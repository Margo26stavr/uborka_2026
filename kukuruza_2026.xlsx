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10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20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21.xml.rels" ContentType="application/vnd.openxmlformats-package.relationships+xml"/>
  <Override PartName="/xl/worksheets/_rels/sheet11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_rels/sheet18.xml.rels" ContentType="application/vnd.openxmlformats-package.relationships+xml"/>
  <Override PartName="/xl/worksheets/_rels/sheet19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media/image1.jpeg" ContentType="image/jpeg"/>
  <Override PartName="/xl/media/image2.png" ContentType="image/png"/>
  <Override PartName="/xl/media/image7.svg" ContentType="image/svg"/>
  <Override PartName="/xl/media/image3.svg" ContentType="image/svg"/>
  <Override PartName="/xl/media/image6.png" ContentType="image/png"/>
  <Override PartName="/xl/media/image4.png" ContentType="image/png"/>
  <Override PartName="/xl/media/image5.svg" ContentType="image/svg"/>
  <Override PartName="/xl/media/image8.png" ContentType="image/png"/>
  <Override PartName="/xl/media/image9.svg" ContentType="image/svg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10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1.xml" ContentType="application/vnd.openxmlformats-officedocument.drawing+xml"/>
  <Override PartName="/xl/drawings/vmlDrawing3.vml" ContentType="application/vnd.openxmlformats-officedocument.vmlDrawing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_rels/drawing1.xml.rels" ContentType="application/vnd.openxmlformats-package.relationships+xml"/>
  <Override PartName="/xl/drawings/_rels/drawing10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drawings/_rels/drawing5.xml.rels" ContentType="application/vnd.openxmlformats-package.relationships+xml"/>
  <Override PartName="/xl/drawings/_rels/drawing7.xml.rels" ContentType="application/vnd.openxmlformats-package.relationships+xml"/>
  <Override PartName="/xl/drawings/_rels/drawing8.xml.rels" ContentType="application/vnd.openxmlformats-package.relationships+xml"/>
  <Override PartName="/xl/drawings/_rels/drawing9.xml.rels" ContentType="application/vnd.openxmlformats-package.relationships+xml"/>
  <Override PartName="/xl/drawings/_rels/drawing11.xml.rels" ContentType="application/vnd.openxmlformats-package.relationships+xml"/>
  <Override PartName="/xl/drawings/_rels/drawing12.xml.rels" ContentType="application/vnd.openxmlformats-package.relationships+xml"/>
  <Override PartName="/xl/drawings/_rels/drawing13.xml.rels" ContentType="application/vnd.openxmlformats-package.relationships+xml"/>
  <Override PartName="/xl/drawings/_rels/drawing14.xml.rels" ContentType="application/vnd.openxmlformats-package.relationships+xml"/>
  <Override PartName="/xl/drawings/_rels/drawing15.xml.rels" ContentType="application/vnd.openxmlformats-package.relationships+xml"/>
  <Override PartName="/xl/drawings/drawing1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omments3.xml" ContentType="application/vnd.openxmlformats-officedocument.spreadsheetml.comments+xml"/>
  <Override PartName="/xl/comments24.xml" ContentType="application/vnd.openxmlformats-officedocument.spreadsheetml.comments+xml"/>
  <Override PartName="/xl/comments4.xml" ContentType="application/vnd.openxmlformats-officedocument.spreadsheetml.comments+xml"/>
  <Override PartName="/xl/pivotTables/pivotTable1.xml" ContentType="application/vnd.openxmlformats-officedocument.spreadsheetml.pivotTable+xml"/>
  <Override PartName="/xl/pivotTables/_rels/pivotTable1.xml.rels" ContentType="application/vnd.openxmlformats-package.relationships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ИНФО" sheetId="1" state="visible" r:id="rId3"/>
    <sheet name="ИНФО 2025" sheetId="2" state="hidden" r:id="rId4"/>
    <sheet name="ОПЕРФАКТ 2026" sheetId="3" state="hidden" r:id="rId5"/>
    <sheet name="ОПЕРФАКТ 2025" sheetId="4" state="hidden" r:id="rId6"/>
    <sheet name="Списание семян 2024" sheetId="5" state="hidden" r:id="rId7"/>
    <sheet name="ЛП 2024" sheetId="6" state="hidden" r:id="rId8"/>
    <sheet name="Кукуруза Ленинский путь" sheetId="7" state="hidden" r:id="rId9"/>
    <sheet name="Свод уборка 2025" sheetId="8" state="hidden" r:id="rId10"/>
    <sheet name="Входной контроль 2025" sheetId="9" state="hidden" r:id="rId11"/>
    <sheet name="Вх контроль 2025 итог" sheetId="10" state="hidden" r:id="rId12"/>
    <sheet name="Поля 2025" sheetId="11" state="hidden" r:id="rId13"/>
    <sheet name="Кукуруза суперсл ГРК" sheetId="12" state="visible" r:id="rId14"/>
    <sheet name="Реестр уборки 2026" sheetId="13" state="hidden" r:id="rId15"/>
    <sheet name="Реестр уборки 2025" sheetId="14" state="hidden" r:id="rId16"/>
    <sheet name="Кукуруза Колос" sheetId="15" state="hidden" r:id="rId17"/>
    <sheet name="Кукуруза Кирова" sheetId="16" state="hidden" r:id="rId18"/>
    <sheet name="Кукуруза Братковский" sheetId="17" state="hidden" r:id="rId19"/>
    <sheet name="Кукуруза Агролидер" sheetId="18" state="hidden" r:id="rId20"/>
    <sheet name="Кукуруза сахарная ГРК" sheetId="19" state="hidden" r:id="rId21"/>
    <sheet name="Кукуруза Иррико сахар" sheetId="20" state="hidden" r:id="rId22"/>
    <sheet name="Кукуруза Иррико суперсл" sheetId="21" state="hidden" r:id="rId23"/>
    <sheet name="Реестр взвешиваний" sheetId="22" state="hidden" r:id="rId24"/>
    <sheet name="Кукуруза Кубань Хлеб" sheetId="23" state="hidden" r:id="rId25"/>
    <sheet name="Поля 2024" sheetId="24" state="hidden" r:id="rId26"/>
  </sheets>
  <definedNames>
    <definedName function="false" hidden="false" localSheetId="0" name="_xlnm.Print_Area" vbProcedure="false">ИНФО!$A$1:$X$58</definedName>
    <definedName function="false" hidden="false" localSheetId="1" name="_xlnm.Print_Area" vbProcedure="false">'ИНФО 2025'!$A$1:$X$58</definedName>
    <definedName function="false" hidden="true" localSheetId="17" name="_xlnm._FilterDatabase" vbProcedure="false">'Кукуруза Агролидер'!$J$3:$S$15</definedName>
    <definedName function="false" hidden="true" localSheetId="16" name="_xlnm._FilterDatabase" vbProcedure="false">'Кукуруза Братковский'!$J$3:$S$33</definedName>
    <definedName function="false" hidden="true" localSheetId="19" name="_xlnm._FilterDatabase" vbProcedure="false">'Кукуруза Иррико сахар'!$J$3:$S$30</definedName>
    <definedName function="false" hidden="true" localSheetId="20" name="_xlnm._FilterDatabase" vbProcedure="false">'Кукуруза Иррико суперсл'!$J$3:$S$43</definedName>
    <definedName function="false" hidden="true" localSheetId="15" name="_xlnm._FilterDatabase" vbProcedure="false">'Кукуруза Кирова'!$K$3:$T$43</definedName>
    <definedName function="false" hidden="true" localSheetId="14" name="_xlnm._FilterDatabase" vbProcedure="false">'Кукуруза Колос'!$L$3:$U$47</definedName>
    <definedName function="false" hidden="true" localSheetId="22" name="_xlnm._FilterDatabase" vbProcedure="false">'Кукуруза Кубань Хлеб'!$J$3:$S$15</definedName>
    <definedName function="false" hidden="false" name="Срез_Контрагент" vbProcedure="false">#N/A</definedName>
  </definedNames>
  <calcPr iterateCount="100" refMode="A1" iterate="false" iterateDelta="0.0001"/>
  <pivotCaches>
    <pivotCache cacheId="1" r:id="rId28"/>
  </pivotCaches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Неезжалова Анастасия Викторовна</author>
  </authors>
  <commentList>
    <comment ref="E86" authorId="0">
      <text>
        <r>
          <rPr>
            <sz val="10"/>
            <rFont val="Arial"/>
            <family val="2"/>
            <charset val="204"/>
          </rPr>
          <t xml:space="preserve">Ленинский путь
Кубань Хлеб</t>
        </r>
      </text>
    </comment>
    <comment ref="F86" authorId="0">
      <text>
        <r>
          <rPr>
            <sz val="10"/>
            <rFont val="Arial"/>
            <family val="2"/>
            <charset val="204"/>
          </rPr>
          <t xml:space="preserve">Братковский
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Неезжалова Анастасия Викторовна</author>
  </authors>
  <commentList>
    <comment ref="E86" authorId="0">
      <text>
        <r>
          <rPr>
            <sz val="10"/>
            <rFont val="Arial"/>
            <family val="2"/>
            <charset val="204"/>
          </rPr>
          <t xml:space="preserve">Ленинский путь
Кубань Хлеб</t>
        </r>
      </text>
    </comment>
    <comment ref="G7" authorId="0">
      <text>
        <r>
          <rPr>
            <sz val="10"/>
            <rFont val="Arial"/>
            <family val="2"/>
            <charset val="204"/>
          </rPr>
          <t xml:space="preserve">корректировка на закупку
</t>
        </r>
      </text>
    </comment>
  </commentList>
</comments>
</file>

<file path=xl/comments24.xml><?xml version="1.0" encoding="utf-8"?>
<comments xmlns="http://schemas.openxmlformats.org/spreadsheetml/2006/main" xmlns:xdr="http://schemas.openxmlformats.org/drawingml/2006/spreadsheetDrawing">
  <authors>
    <author>Неезжалова Анастасия Викторовна</author>
  </authors>
  <commentList>
    <comment ref="Q1" authorId="0">
      <text>
        <r>
          <rPr>
            <sz val="10"/>
            <rFont val="Arial"/>
            <family val="2"/>
            <charset val="204"/>
          </rPr>
          <t xml:space="preserve">прогноз от 19.07.2024
</t>
        </r>
      </text>
    </comment>
  </commentList>
</comments>
</file>

<file path=xl/sharedStrings.xml><?xml version="1.0" encoding="utf-8"?>
<sst xmlns="http://schemas.openxmlformats.org/spreadsheetml/2006/main" count="40458" uniqueCount="3949">
  <si>
    <t xml:space="preserve">ОБЩАЯ ИНФОРМАЦИЯ ПО УБОРКЕ КУКУРУЗЫ САХАРНОЙ И СУПЕРСЛАДКОЙ - СЕЗОН 2026 г.</t>
  </si>
  <si>
    <t xml:space="preserve">ОБЩАЯ ИНФОРМАЦИЯ ПО УБОРКЕ КУКУРУЗЫ САХАРНОЙ И СУПЕРСЛАДКОЙ - СЕЗОН 2025 г.</t>
  </si>
  <si>
    <t xml:space="preserve">Поступление сырья на завод</t>
  </si>
  <si>
    <t xml:space="preserve">Урожай с поля</t>
  </si>
  <si>
    <t xml:space="preserve">Закупка Братковский (конвейер)</t>
  </si>
  <si>
    <t xml:space="preserve">Закупка (вне конвейера)</t>
  </si>
  <si>
    <t xml:space="preserve">Союз-Агро</t>
  </si>
  <si>
    <t xml:space="preserve">Ленинский путь</t>
  </si>
  <si>
    <t xml:space="preserve">по окончанию смены</t>
  </si>
  <si>
    <t xml:space="preserve">Дата отчета</t>
  </si>
  <si>
    <t xml:space="preserve">Закрытие периода</t>
  </si>
  <si>
    <t xml:space="preserve">Валовый сбор в разрезе предприятий</t>
  </si>
  <si>
    <t xml:space="preserve">Начало уборки</t>
  </si>
  <si>
    <t xml:space="preserve">Площадь сева Бюджет</t>
  </si>
  <si>
    <t xml:space="preserve">Площадь сева (факт)</t>
  </si>
  <si>
    <t xml:space="preserve">Урожайность (план)</t>
  </si>
  <si>
    <t xml:space="preserve">План</t>
  </si>
  <si>
    <t xml:space="preserve">Факт</t>
  </si>
  <si>
    <t xml:space="preserve">Площадь уборки</t>
  </si>
  <si>
    <t xml:space="preserve">Урожайность</t>
  </si>
  <si>
    <t xml:space="preserve">Окончание уборки</t>
  </si>
  <si>
    <t xml:space="preserve">Грин Рэй Кубань</t>
  </si>
  <si>
    <t xml:space="preserve">Окончание уборки Прогноз</t>
  </si>
  <si>
    <t xml:space="preserve">им. Кирова</t>
  </si>
  <si>
    <t xml:space="preserve">Длительность уборки</t>
  </si>
  <si>
    <t xml:space="preserve">Иррико-Холдинг</t>
  </si>
  <si>
    <t xml:space="preserve">Дней уборки</t>
  </si>
  <si>
    <t xml:space="preserve">Агролидер</t>
  </si>
  <si>
    <t xml:space="preserve">Колос</t>
  </si>
  <si>
    <t xml:space="preserve">Кукуруза Иррико</t>
  </si>
  <si>
    <t xml:space="preserve">Бюджет</t>
  </si>
  <si>
    <t xml:space="preserve">Кукуруза Иррико суперсл.</t>
  </si>
  <si>
    <t xml:space="preserve">Кукуруза ГРК</t>
  </si>
  <si>
    <t xml:space="preserve">Прогноз</t>
  </si>
  <si>
    <t xml:space="preserve">Кукуруза ГРК суперсл.</t>
  </si>
  <si>
    <t xml:space="preserve">Закрытие</t>
  </si>
  <si>
    <t xml:space="preserve">сахарная</t>
  </si>
  <si>
    <t xml:space="preserve">факт</t>
  </si>
  <si>
    <t xml:space="preserve">суперсладкая</t>
  </si>
  <si>
    <t xml:space="preserve">Структура площади уборки</t>
  </si>
  <si>
    <t xml:space="preserve">Убрали</t>
  </si>
  <si>
    <t xml:space="preserve">Бросили</t>
  </si>
  <si>
    <t xml:space="preserve">Осталось</t>
  </si>
  <si>
    <t xml:space="preserve">Валовый сбор, т</t>
  </si>
  <si>
    <t xml:space="preserve">т</t>
  </si>
  <si>
    <t xml:space="preserve">план</t>
  </si>
  <si>
    <t xml:space="preserve">остаток по плану</t>
  </si>
  <si>
    <t xml:space="preserve">Урожайность, т/га</t>
  </si>
  <si>
    <t xml:space="preserve">Вал, т</t>
  </si>
  <si>
    <t xml:space="preserve">Площадь уборки, га</t>
  </si>
  <si>
    <t xml:space="preserve">Статистика уборки кукурузы</t>
  </si>
  <si>
    <t xml:space="preserve">Кукуруза Агроинвест</t>
  </si>
  <si>
    <t xml:space="preserve">Кукуруза Агролидер</t>
  </si>
  <si>
    <t xml:space="preserve">Кукуруза Братковский</t>
  </si>
  <si>
    <t xml:space="preserve">Кукуруза Джалга</t>
  </si>
  <si>
    <t xml:space="preserve">Кукуруза Золотовское</t>
  </si>
  <si>
    <t xml:space="preserve">Кукуруза Кирова</t>
  </si>
  <si>
    <t xml:space="preserve">Кукуруза Колос</t>
  </si>
  <si>
    <t xml:space="preserve">Кукуруза на зерно_овощ</t>
  </si>
  <si>
    <t xml:space="preserve">Кукуруза Наконечный</t>
  </si>
  <si>
    <t xml:space="preserve">Кукуруза Кубань Хлеб</t>
  </si>
  <si>
    <t xml:space="preserve">Кукуруза Ленин Путь</t>
  </si>
  <si>
    <t xml:space="preserve">2022 г.</t>
  </si>
  <si>
    <t xml:space="preserve">2023 г.</t>
  </si>
  <si>
    <t xml:space="preserve">2024 г.</t>
  </si>
  <si>
    <t xml:space="preserve">2025 г.</t>
  </si>
  <si>
    <t xml:space="preserve">2026 г.</t>
  </si>
  <si>
    <t xml:space="preserve">Прочие</t>
  </si>
  <si>
    <t xml:space="preserve">Урожая с поля</t>
  </si>
  <si>
    <t xml:space="preserve">Закупка</t>
  </si>
  <si>
    <t xml:space="preserve">КА</t>
  </si>
  <si>
    <t xml:space="preserve">в1</t>
  </si>
  <si>
    <t xml:space="preserve">Братковский</t>
  </si>
  <si>
    <t xml:space="preserve">с уч. зак. Братковский</t>
  </si>
  <si>
    <t xml:space="preserve">Культура</t>
  </si>
  <si>
    <t xml:space="preserve">Поле</t>
  </si>
  <si>
    <t xml:space="preserve">Сорт</t>
  </si>
  <si>
    <t xml:space="preserve">Обработано, га</t>
  </si>
  <si>
    <t xml:space="preserve">Внесено в ед. изм.</t>
  </si>
  <si>
    <t xml:space="preserve">Площадь поля, га</t>
  </si>
  <si>
    <t xml:space="preserve">Остаток</t>
  </si>
  <si>
    <t xml:space="preserve">Кукуруза сахарная Ленинский путь</t>
  </si>
  <si>
    <t xml:space="preserve">4 Ленинский путь</t>
  </si>
  <si>
    <t xml:space="preserve">Генератор  F1 (50000)</t>
  </si>
  <si>
    <t xml:space="preserve">В сводке по уборке ГХ 6055 - 53 га</t>
  </si>
  <si>
    <t xml:space="preserve">Элемент F1 (100 тыс.шт)</t>
  </si>
  <si>
    <t xml:space="preserve">В сводке по уборке Элемент - 111 га</t>
  </si>
  <si>
    <t xml:space="preserve">Энтерпрайз</t>
  </si>
  <si>
    <t xml:space="preserve">нет урожая, закупка у КА</t>
  </si>
  <si>
    <t xml:space="preserve">По сводке закупка - 42 га</t>
  </si>
  <si>
    <t xml:space="preserve">2/2 Ленинский путь</t>
  </si>
  <si>
    <t xml:space="preserve">ГХ 6055 F1 (100000)</t>
  </si>
  <si>
    <t xml:space="preserve">По сводке по уборке Генератора - 11 га</t>
  </si>
  <si>
    <t xml:space="preserve">2/1 Ленинский путь</t>
  </si>
  <si>
    <t xml:space="preserve">Кукуруза сахарная Ленинский путь Итог</t>
  </si>
  <si>
    <t xml:space="preserve">Кукуруза сахарная (из суперсладких сортов)</t>
  </si>
  <si>
    <t xml:space="preserve">А-104/1</t>
  </si>
  <si>
    <t xml:space="preserve">Сентинель F1 5000с</t>
  </si>
  <si>
    <t xml:space="preserve">А-106/1</t>
  </si>
  <si>
    <t xml:space="preserve">ЗХИ 3278 ОИ</t>
  </si>
  <si>
    <t xml:space="preserve">пересев 11 га</t>
  </si>
  <si>
    <t xml:space="preserve">Оватонна (5 000 т.с)</t>
  </si>
  <si>
    <t xml:space="preserve">пересев 12 га</t>
  </si>
  <si>
    <t xml:space="preserve">А-108/7</t>
  </si>
  <si>
    <t xml:space="preserve">Киара F1 (50 тыс.с.)</t>
  </si>
  <si>
    <t xml:space="preserve">Харди 100 тыс.сем.</t>
  </si>
  <si>
    <t xml:space="preserve">А-111/2</t>
  </si>
  <si>
    <t xml:space="preserve">А-53/4</t>
  </si>
  <si>
    <t xml:space="preserve">Рубикон</t>
  </si>
  <si>
    <t xml:space="preserve">А-55/5</t>
  </si>
  <si>
    <t xml:space="preserve">А-56</t>
  </si>
  <si>
    <t xml:space="preserve">А-82/1</t>
  </si>
  <si>
    <t xml:space="preserve">Кукуруза сахарная (из суперсладких сортов) Итог</t>
  </si>
  <si>
    <t xml:space="preserve">Кукуруза сахарная Иррико-Холдинг</t>
  </si>
  <si>
    <t xml:space="preserve">3.7 Иррико-Холдинг</t>
  </si>
  <si>
    <t xml:space="preserve">Роялти F1 100000 семян</t>
  </si>
  <si>
    <t xml:space="preserve">2.19.1 Иррико-Холдинг</t>
  </si>
  <si>
    <t xml:space="preserve">3.29 Иррико-Холдинг</t>
  </si>
  <si>
    <t xml:space="preserve">3.32 Иррико-Холдинг</t>
  </si>
  <si>
    <t xml:space="preserve">3.30 Иррико-Холдинг</t>
  </si>
  <si>
    <t xml:space="preserve">3.33 Иррико-Холдинг</t>
  </si>
  <si>
    <t xml:space="preserve">3.31 Иррико-Холдинг</t>
  </si>
  <si>
    <t xml:space="preserve">3.34 Иррико-Холдинг</t>
  </si>
  <si>
    <t xml:space="preserve">3.35 Иррико-Холдинг</t>
  </si>
  <si>
    <t xml:space="preserve">Кукуруза сахарная Иррико-Холдинг Итог</t>
  </si>
  <si>
    <t xml:space="preserve">Кукуруза сахарная АО совхоз. им. Кирова</t>
  </si>
  <si>
    <t xml:space="preserve">1 им. Кирова ЗАО</t>
  </si>
  <si>
    <t xml:space="preserve">Салина</t>
  </si>
  <si>
    <t xml:space="preserve">Кукуруза сахарная АО совхоз. им. Кирова Итог</t>
  </si>
  <si>
    <t xml:space="preserve">Кукуруза сахарная Кубань Хлеб</t>
  </si>
  <si>
    <t xml:space="preserve">10/12 КубаньХлеб</t>
  </si>
  <si>
    <t xml:space="preserve">Энтерпрайз 100 тыс.с.</t>
  </si>
  <si>
    <t xml:space="preserve">10/5 КубаньХлеб</t>
  </si>
  <si>
    <t xml:space="preserve">9/2 КубаньХлеб</t>
  </si>
  <si>
    <t xml:space="preserve">Кукуруза сахарная Кубань Хлеб Итог</t>
  </si>
  <si>
    <t xml:space="preserve">Кукуруза сахарная Колос ООО</t>
  </si>
  <si>
    <t xml:space="preserve">1.3 Колос</t>
  </si>
  <si>
    <t xml:space="preserve">Эрика (100 тыс.шт)</t>
  </si>
  <si>
    <t xml:space="preserve">1.4 Колос</t>
  </si>
  <si>
    <t xml:space="preserve">2.1 Колос</t>
  </si>
  <si>
    <t xml:space="preserve">3.1 Колос</t>
  </si>
  <si>
    <t xml:space="preserve">3.3 Колос</t>
  </si>
  <si>
    <t xml:space="preserve">4.3 Колос</t>
  </si>
  <si>
    <t xml:space="preserve">4.4 Колос</t>
  </si>
  <si>
    <t xml:space="preserve">4.2 Колос</t>
  </si>
  <si>
    <t xml:space="preserve">Краснодарский сахарный 280 СВ</t>
  </si>
  <si>
    <t xml:space="preserve">Кукуруза сахарная Колос ООО Итог</t>
  </si>
  <si>
    <t xml:space="preserve">Кукуруза сахарная</t>
  </si>
  <si>
    <t xml:space="preserve">Кукуруза сахарная Итог</t>
  </si>
  <si>
    <t xml:space="preserve">Общий итог</t>
  </si>
  <si>
    <t xml:space="preserve">По актам на списание семян</t>
  </si>
  <si>
    <t xml:space="preserve">По данным весовой</t>
  </si>
  <si>
    <t xml:space="preserve">Сев, га</t>
  </si>
  <si>
    <t xml:space="preserve">Внесено п.е.</t>
  </si>
  <si>
    <t xml:space="preserve">Дата регистрации веса</t>
  </si>
  <si>
    <t xml:space="preserve">Убрано, га</t>
  </si>
  <si>
    <t xml:space="preserve">Валовый вес, кг</t>
  </si>
  <si>
    <t xml:space="preserve">2 ЛП</t>
  </si>
  <si>
    <t xml:space="preserve">Генератор</t>
  </si>
  <si>
    <t xml:space="preserve">05-09.08.2024</t>
  </si>
  <si>
    <t xml:space="preserve">4 ЛП</t>
  </si>
  <si>
    <t xml:space="preserve">Элемент</t>
  </si>
  <si>
    <t xml:space="preserve">акт, семена запрели</t>
  </si>
  <si>
    <r>
      <rPr>
        <sz val="11"/>
        <color theme="1"/>
        <rFont val="Calibri"/>
        <family val="2"/>
        <charset val="1"/>
      </rPr>
      <t xml:space="preserve">30-31.07.2024 </t>
    </r>
    <r>
      <rPr>
        <b val="true"/>
        <sz val="11"/>
        <color theme="1"/>
        <rFont val="Calibri"/>
        <family val="2"/>
        <charset val="204"/>
      </rPr>
      <t xml:space="preserve">июль</t>
    </r>
  </si>
  <si>
    <t xml:space="preserve">ГХ 6055</t>
  </si>
  <si>
    <t xml:space="preserve">01-02.08.2024
06.08.2024</t>
  </si>
  <si>
    <r>
      <rPr>
        <b val="true"/>
        <i val="true"/>
        <sz val="20"/>
        <color theme="0" tint="-0.5"/>
        <rFont val="Arial"/>
        <family val="2"/>
        <charset val="204"/>
      </rPr>
      <t xml:space="preserve">Кукуруза сахарная Ленинский путь
</t>
    </r>
    <r>
      <rPr>
        <b val="true"/>
        <i val="true"/>
        <sz val="10"/>
        <color theme="0" tint="-0.5"/>
        <rFont val="Arial"/>
        <family val="2"/>
        <charset val="204"/>
      </rPr>
      <t xml:space="preserve">ООО "КОЛХОЗ "Ленинский путь", Краснодасркий край, Крымский район, с. Киевское, удаленность - 270 км       </t>
    </r>
    <r>
      <rPr>
        <b val="true"/>
        <i val="true"/>
        <sz val="24"/>
        <color theme="0" tint="-0.5"/>
        <rFont val="Arial"/>
        <family val="2"/>
        <charset val="204"/>
      </rPr>
      <t xml:space="preserve">                          </t>
    </r>
  </si>
  <si>
    <t xml:space="preserve">Дата</t>
  </si>
  <si>
    <t xml:space="preserve">Общая площадь поля</t>
  </si>
  <si>
    <t xml:space="preserve">Кол-во рейсов</t>
  </si>
  <si>
    <t xml:space="preserve">Валовый сбор по данным КА</t>
  </si>
  <si>
    <t xml:space="preserve">Урожайность по весу КА</t>
  </si>
  <si>
    <t xml:space="preserve">Данные весовой ГРК
с учетом потери при перевозке</t>
  </si>
  <si>
    <t xml:space="preserve">Урожайность </t>
  </si>
  <si>
    <t xml:space="preserve">Показатели</t>
  </si>
  <si>
    <t xml:space="preserve">2020 г.</t>
  </si>
  <si>
    <t xml:space="preserve">2021 г.</t>
  </si>
  <si>
    <t xml:space="preserve">05.08.2024 КА откорректировал площадь уборки на -1,5 га</t>
  </si>
  <si>
    <t xml:space="preserve">Кол-во календарных дней</t>
  </si>
  <si>
    <t xml:space="preserve">Кол-во фактических дней</t>
  </si>
  <si>
    <t xml:space="preserve">в т.ч. уборка покупной - 3 дня</t>
  </si>
  <si>
    <t xml:space="preserve">Кол-во техники</t>
  </si>
  <si>
    <t xml:space="preserve">2 ед.</t>
  </si>
  <si>
    <t xml:space="preserve">2 Ленинский путь</t>
  </si>
  <si>
    <t xml:space="preserve">ГСС 14184 - 6 га (закупка) - 124640 кг - 123060 кг вес (суперсладкая)
Колман - 6 га (закупка) - 94640 кг - 93430 кг вес</t>
  </si>
  <si>
    <t xml:space="preserve">06.08.2024 КА откорректирована площадь уборки по покупной кукурузе</t>
  </si>
  <si>
    <t xml:space="preserve">закупка, в т.ч. суперсладкая</t>
  </si>
  <si>
    <t xml:space="preserve">Валовый сбор</t>
  </si>
  <si>
    <t xml:space="preserve">с учетом уборки покупной - 677,3 т</t>
  </si>
  <si>
    <t xml:space="preserve">Колман - 11 га (закупка)</t>
  </si>
  <si>
    <t xml:space="preserve">закупка</t>
  </si>
  <si>
    <t xml:space="preserve">Площадь сева</t>
  </si>
  <si>
    <t xml:space="preserve">с учетом уборки покупной - 42 га</t>
  </si>
  <si>
    <t xml:space="preserve">Элемент - 6 га - 79600 кг - 79080 кг вес
ГХ 6055 - 3 га - 39340 кг - 39320 кг вес</t>
  </si>
  <si>
    <t xml:space="preserve">на 14:00 06.08.2024</t>
  </si>
  <si>
    <t xml:space="preserve">Урожайность, ц/га</t>
  </si>
  <si>
    <t xml:space="preserve">Колман - 19 га (закупка)</t>
  </si>
  <si>
    <t xml:space="preserve">с учетом уборки 06-07.08.2024</t>
  </si>
  <si>
    <t xml:space="preserve">Элемент - 18 га - 237860 кг - 234890 кг вес 07.08.2024
Элемент - 16 га - 205680 кг - 203910 кг вес 08.08.2024</t>
  </si>
  <si>
    <t xml:space="preserve">с учетом уборки 07-08.08.2024</t>
  </si>
  <si>
    <t xml:space="preserve">с учетом уборки 08-09.08.2024</t>
  </si>
  <si>
    <t xml:space="preserve">Показатели 2024 г.</t>
  </si>
  <si>
    <t xml:space="preserve">Прогноз от 19.07.2024</t>
  </si>
  <si>
    <t xml:space="preserve">с учетом уборки 77 га</t>
  </si>
  <si>
    <t xml:space="preserve">Выполнение по валу</t>
  </si>
  <si>
    <t xml:space="preserve">Выполнение по площади уборки</t>
  </si>
  <si>
    <t xml:space="preserve">Собственная</t>
  </si>
  <si>
    <t xml:space="preserve">в т.ч.
закупка (замена 77 га)</t>
  </si>
  <si>
    <t xml:space="preserve">сахарная </t>
  </si>
  <si>
    <t xml:space="preserve">собственная</t>
  </si>
  <si>
    <t xml:space="preserve">сахарная всего</t>
  </si>
  <si>
    <t xml:space="preserve">Контрагент</t>
  </si>
  <si>
    <t xml:space="preserve">- несколько -</t>
  </si>
  <si>
    <t xml:space="preserve">Дата акта</t>
  </si>
  <si>
    <t xml:space="preserve">- все -</t>
  </si>
  <si>
    <t xml:space="preserve">Заголовки строк</t>
  </si>
  <si>
    <t xml:space="preserve">Количество  рейсов</t>
  </si>
  <si>
    <t xml:space="preserve"> Площадь уборки, га</t>
  </si>
  <si>
    <t xml:space="preserve">Физ. вес, кг</t>
  </si>
  <si>
    <t xml:space="preserve"> Зачетный вес, кг</t>
  </si>
  <si>
    <t xml:space="preserve">Кукуруза сахарная (из суперсладких сортов) 2025 Иррико-Холдинг</t>
  </si>
  <si>
    <t xml:space="preserve">1102 Иррико (Джалга)</t>
  </si>
  <si>
    <t xml:space="preserve">1103 Иррико (Джалга)</t>
  </si>
  <si>
    <t xml:space="preserve">1107 Иррико (Джалга)</t>
  </si>
  <si>
    <t xml:space="preserve">1111 Иррико (Джалга)</t>
  </si>
  <si>
    <t xml:space="preserve">1113 Иррико (Джалга)</t>
  </si>
  <si>
    <t xml:space="preserve">411 Иррико-Холдинг (Винодельненский)</t>
  </si>
  <si>
    <t xml:space="preserve">505 Иррико-Холдинг (Винодельненский)</t>
  </si>
  <si>
    <t xml:space="preserve">605 Иррико-Холдинг (Винодельненский)</t>
  </si>
  <si>
    <t xml:space="preserve">Кукуруза сахарная 2025</t>
  </si>
  <si>
    <t xml:space="preserve">Кукуруза сахарная 2025 Иррико-Холдинг</t>
  </si>
  <si>
    <t xml:space="preserve">2.11 Иррико-Холдинг (Гофицкое)</t>
  </si>
  <si>
    <t xml:space="preserve">2.12 Иррико-Холдинг (Гофицкое)</t>
  </si>
  <si>
    <t xml:space="preserve">2.2.1 Иррико-Холдинг (Гофицкое)</t>
  </si>
  <si>
    <t xml:space="preserve">2.3.1 Иррико-Холдинг (Гофицкое)</t>
  </si>
  <si>
    <t xml:space="preserve">3.2 Иррико-Холдинг (Гофицкое)</t>
  </si>
  <si>
    <t xml:space="preserve">3.29 Иррико-Холдинг (Гофицкое)</t>
  </si>
  <si>
    <t xml:space="preserve">3.31 Иррико-Холдинг (Гофицкое)</t>
  </si>
  <si>
    <t xml:space="preserve">Кукуруза сахарная (из суперсладких сортов) 2025</t>
  </si>
  <si>
    <t xml:space="preserve">Кукуруза сахарная 2025 Агролидер</t>
  </si>
  <si>
    <t xml:space="preserve">Кукуруза сахарная 2025 Братковский</t>
  </si>
  <si>
    <t xml:space="preserve">Кукуруза сахарная 2025 АО совхоз им.Кирова</t>
  </si>
  <si>
    <t xml:space="preserve">Кукуруза сахарная 2025 Колос ООО</t>
  </si>
  <si>
    <t xml:space="preserve">Итог Результат</t>
  </si>
  <si>
    <t xml:space="preserve">Документ</t>
  </si>
  <si>
    <t xml:space="preserve">Номер взвешивания</t>
  </si>
  <si>
    <t xml:space="preserve">Номер вх.  док.</t>
  </si>
  <si>
    <t xml:space="preserve">Водитель</t>
  </si>
  <si>
    <t xml:space="preserve">Автомобиль</t>
  </si>
  <si>
    <t xml:space="preserve">Номер поля</t>
  </si>
  <si>
    <t xml:space="preserve">Хар-ка</t>
  </si>
  <si>
    <t xml:space="preserve">Исх. номенклатура</t>
  </si>
  <si>
    <t xml:space="preserve">Вес брутто</t>
  </si>
  <si>
    <t xml:space="preserve">Вес тары</t>
  </si>
  <si>
    <t xml:space="preserve">% отходов сверх допуска</t>
  </si>
  <si>
    <t xml:space="preserve">Вес нетто</t>
  </si>
  <si>
    <t xml:space="preserve">Зачетный вес</t>
  </si>
  <si>
    <t xml:space="preserve">Номер акта</t>
  </si>
  <si>
    <t xml:space="preserve">Время акта</t>
  </si>
  <si>
    <t xml:space="preserve">Акт входного контроля грин00378 от 04.08.2025 22:18:48</t>
  </si>
  <si>
    <t xml:space="preserve">КОЛХОЗ ЛЕНИНСКИЙ ПУТЬ ООО</t>
  </si>
  <si>
    <t xml:space="preserve">Ревенко Андрей Вячеславович</t>
  </si>
  <si>
    <t xml:space="preserve">А781РР</t>
  </si>
  <si>
    <t xml:space="preserve">Киара</t>
  </si>
  <si>
    <t xml:space="preserve">грин00378</t>
  </si>
  <si>
    <t xml:space="preserve">Акт входного контроля грин00379 от 04.08.2025 22:27:59</t>
  </si>
  <si>
    <t xml:space="preserve">Фомин Николай Григорьевич</t>
  </si>
  <si>
    <t xml:space="preserve">А731ВА</t>
  </si>
  <si>
    <t xml:space="preserve">грин00379</t>
  </si>
  <si>
    <t xml:space="preserve">Акт входного контроля грин00380 от 06.08.2025 7:01:36</t>
  </si>
  <si>
    <t xml:space="preserve">грин00380</t>
  </si>
  <si>
    <t xml:space="preserve">Акт входного контроля грин00381 от 06.08.2025 8:07:43</t>
  </si>
  <si>
    <t xml:space="preserve">Емец Р.А.</t>
  </si>
  <si>
    <t xml:space="preserve">У315НХ</t>
  </si>
  <si>
    <t xml:space="preserve">грин00381</t>
  </si>
  <si>
    <t xml:space="preserve">Акт входного контроля грин00382 от 06.08.2025 20:23:18</t>
  </si>
  <si>
    <t xml:space="preserve">СОЮЗ-АГРО ООО</t>
  </si>
  <si>
    <t xml:space="preserve">Бербеницкий Сергей Николаевич</t>
  </si>
  <si>
    <t xml:space="preserve">С400РР</t>
  </si>
  <si>
    <t xml:space="preserve">Роялти</t>
  </si>
  <si>
    <t xml:space="preserve">грин00382</t>
  </si>
  <si>
    <t xml:space="preserve">Акт входного контроля грин00383 от 06.08.2025 21:42:54</t>
  </si>
  <si>
    <t xml:space="preserve">Кулинич Евгений Владимирович</t>
  </si>
  <si>
    <t xml:space="preserve">У801СТ</t>
  </si>
  <si>
    <t xml:space="preserve">грин00383</t>
  </si>
  <si>
    <t xml:space="preserve">Акт входного контроля грин00384 от 06.08.2025 22:58:36</t>
  </si>
  <si>
    <t xml:space="preserve">грин00384</t>
  </si>
  <si>
    <t xml:space="preserve">Акт входного контроля грин00386 от 06.08.2025 23:58:43</t>
  </si>
  <si>
    <t xml:space="preserve">Черевко Александр Владимирович</t>
  </si>
  <si>
    <t xml:space="preserve">А114МК</t>
  </si>
  <si>
    <t xml:space="preserve">грин00386</t>
  </si>
  <si>
    <t xml:space="preserve">Акт входного контроля грин00387 от 07.08.2025 1:23:56</t>
  </si>
  <si>
    <t xml:space="preserve">Богучарский А. И.</t>
  </si>
  <si>
    <t xml:space="preserve">Е404УС</t>
  </si>
  <si>
    <t xml:space="preserve">грин00387</t>
  </si>
  <si>
    <t xml:space="preserve">Акт входного контроля грин00388 от 07.08.2025 1:53:17</t>
  </si>
  <si>
    <t xml:space="preserve">Извеков Владимир Владимирович</t>
  </si>
  <si>
    <t xml:space="preserve">Н378ХЕ</t>
  </si>
  <si>
    <t xml:space="preserve">грин00388</t>
  </si>
  <si>
    <t xml:space="preserve">Акт входного контроля грин00408 от 07.08.2025 8:49:49</t>
  </si>
  <si>
    <t xml:space="preserve">Мудрак Вадим Васильевич</t>
  </si>
  <si>
    <t xml:space="preserve">Х514ОК</t>
  </si>
  <si>
    <t xml:space="preserve">грин00408</t>
  </si>
  <si>
    <t xml:space="preserve">Акт входного контроля грин00389 от 07.08.2025 11:36:49</t>
  </si>
  <si>
    <t xml:space="preserve">Егоян Артем Владимирович</t>
  </si>
  <si>
    <t xml:space="preserve">А701СН</t>
  </si>
  <si>
    <t xml:space="preserve">грин00389</t>
  </si>
  <si>
    <t xml:space="preserve">Акт входного контроля грин00390 от 07.08.2025 11:44:02</t>
  </si>
  <si>
    <t xml:space="preserve">Мудрак Игорь Вадимович</t>
  </si>
  <si>
    <t xml:space="preserve">С198УЕ</t>
  </si>
  <si>
    <t xml:space="preserve">грин00390</t>
  </si>
  <si>
    <t xml:space="preserve">Акт входного контроля грин00391 от 07.08.2025 12:04:12</t>
  </si>
  <si>
    <t xml:space="preserve">грин00391</t>
  </si>
  <si>
    <t xml:space="preserve">Акт входного контроля грин00403 от 07.08.2025 13:56:29</t>
  </si>
  <si>
    <t xml:space="preserve">грин00403</t>
  </si>
  <si>
    <t xml:space="preserve">Акт входного контроля грин00392 от 07.08.2025 15:44:29</t>
  </si>
  <si>
    <t xml:space="preserve">Вероника</t>
  </si>
  <si>
    <t xml:space="preserve">грин00392</t>
  </si>
  <si>
    <t xml:space="preserve">Акт входного контроля грин00414 от 07.08.2025 15:57:19</t>
  </si>
  <si>
    <t xml:space="preserve">грин00414</t>
  </si>
  <si>
    <t xml:space="preserve">Акт входного контроля грин00393 от 07.08.2025 17:44:38</t>
  </si>
  <si>
    <t xml:space="preserve">грин00393</t>
  </si>
  <si>
    <t xml:space="preserve">Акт входного контроля грин00410 от 07.08.2025 18:42:33</t>
  </si>
  <si>
    <t xml:space="preserve">Черевко А В</t>
  </si>
  <si>
    <t xml:space="preserve">грин00410</t>
  </si>
  <si>
    <t xml:space="preserve">Акт входного контроля грин00415 от 09.08.2025 2:46:36</t>
  </si>
  <si>
    <t xml:space="preserve">Гуднесс Фудс Джалга</t>
  </si>
  <si>
    <t xml:space="preserve">Карамелло</t>
  </si>
  <si>
    <t xml:space="preserve">грин00415</t>
  </si>
  <si>
    <t xml:space="preserve">Акт входного контроля грин00416 от 09.08.2025 3:15:05</t>
  </si>
  <si>
    <t xml:space="preserve">грин00416</t>
  </si>
  <si>
    <t xml:space="preserve">Акт входного контроля грин00417 от 09.08.2025 5:06:02</t>
  </si>
  <si>
    <t xml:space="preserve">Сероштан Станислав Викторович</t>
  </si>
  <si>
    <t xml:space="preserve">Е758РЕ</t>
  </si>
  <si>
    <t xml:space="preserve">грин00417</t>
  </si>
  <si>
    <t xml:space="preserve">Акт входного контроля грин00418 от 09.08.2025 5:12:29</t>
  </si>
  <si>
    <t xml:space="preserve">Майстровский В.Н.</t>
  </si>
  <si>
    <t xml:space="preserve">М057АО</t>
  </si>
  <si>
    <t xml:space="preserve">грин00418</t>
  </si>
  <si>
    <t xml:space="preserve">Акт входного контроля грин00419 от 09.08.2025 6:03:04</t>
  </si>
  <si>
    <t xml:space="preserve">Долгих Николай Петрович</t>
  </si>
  <si>
    <t xml:space="preserve">У726ЕР</t>
  </si>
  <si>
    <t xml:space="preserve">грин00419</t>
  </si>
  <si>
    <t xml:space="preserve">Акт входного контроля грин00420 от 09.08.2025 7:46:16</t>
  </si>
  <si>
    <t xml:space="preserve">грин00420</t>
  </si>
  <si>
    <t xml:space="preserve">Акт входного контроля грин00421 от 09.08.2025 9:40:15</t>
  </si>
  <si>
    <t xml:space="preserve">Кудря Евгений</t>
  </si>
  <si>
    <t xml:space="preserve">А719ОО</t>
  </si>
  <si>
    <t xml:space="preserve">грин00421</t>
  </si>
  <si>
    <t xml:space="preserve">Акт входного контроля грин00422 от 09.08.2025 12:04:58</t>
  </si>
  <si>
    <t xml:space="preserve">Чернецов Александр Михайлович</t>
  </si>
  <si>
    <t xml:space="preserve">Р866РМ</t>
  </si>
  <si>
    <t xml:space="preserve">грин00422</t>
  </si>
  <si>
    <t xml:space="preserve">Акт входного контроля грин00423 от 09.08.2025 12:10:08</t>
  </si>
  <si>
    <t xml:space="preserve">Огнев Максим Викторович</t>
  </si>
  <si>
    <t xml:space="preserve">Р755НН</t>
  </si>
  <si>
    <t xml:space="preserve">грин00423</t>
  </si>
  <si>
    <t xml:space="preserve">Акт входного контроля грин00424 от 09.08.2025 22:58:46</t>
  </si>
  <si>
    <t xml:space="preserve">Д1-009474</t>
  </si>
  <si>
    <t xml:space="preserve">Аладин Василий Сергеевич</t>
  </si>
  <si>
    <t xml:space="preserve">Т110ТМ</t>
  </si>
  <si>
    <t xml:space="preserve">грин00424</t>
  </si>
  <si>
    <t xml:space="preserve">Акт входного контроля грин00425 от 10.08.2025 0:42:08</t>
  </si>
  <si>
    <t xml:space="preserve">грин00425</t>
  </si>
  <si>
    <t xml:space="preserve">Акт входного контроля грин00426 от 10.08.2025 1:15:28</t>
  </si>
  <si>
    <t xml:space="preserve">грин00426</t>
  </si>
  <si>
    <t xml:space="preserve">Акт входного контроля грин00427 от 10.08.2025 1:48:02</t>
  </si>
  <si>
    <t xml:space="preserve">Погуляй А.Б.       </t>
  </si>
  <si>
    <t xml:space="preserve">О824ТХ</t>
  </si>
  <si>
    <t xml:space="preserve">грин00427</t>
  </si>
  <si>
    <t xml:space="preserve">Акт входного контроля грин00428 от 10.08.2025 2:36:55</t>
  </si>
  <si>
    <t xml:space="preserve">грин00428</t>
  </si>
  <si>
    <t xml:space="preserve">Акт входного контроля грин00429 от 10.08.2025 3:04:21</t>
  </si>
  <si>
    <t xml:space="preserve">Ушаков С Е.</t>
  </si>
  <si>
    <t xml:space="preserve">О212РТ</t>
  </si>
  <si>
    <t xml:space="preserve">грин00429</t>
  </si>
  <si>
    <t xml:space="preserve">Акт входного контроля грин00430 от 10.08.2025 4:45:27</t>
  </si>
  <si>
    <t xml:space="preserve">Пугачев Сергей Викторович</t>
  </si>
  <si>
    <t xml:space="preserve">Р258УХ</t>
  </si>
  <si>
    <t xml:space="preserve">грин00430</t>
  </si>
  <si>
    <t xml:space="preserve">Акт входного контроля грин00431 от 10.08.2025 7:22:41</t>
  </si>
  <si>
    <t xml:space="preserve">грин00431</t>
  </si>
  <si>
    <t xml:space="preserve">Акт входного контроля грин00432 от 10.08.2025 8:14:27</t>
  </si>
  <si>
    <t xml:space="preserve">Лазаренко Вячеслав Владимирович</t>
  </si>
  <si>
    <t xml:space="preserve">Т239УС</t>
  </si>
  <si>
    <t xml:space="preserve">грин00432</t>
  </si>
  <si>
    <t xml:space="preserve">Акт входного контроля грин00433 от 10.08.2025 8:23:23</t>
  </si>
  <si>
    <t xml:space="preserve">Никитась Сергей Анатольевич</t>
  </si>
  <si>
    <t xml:space="preserve">К570ЕО</t>
  </si>
  <si>
    <t xml:space="preserve">грин00433</t>
  </si>
  <si>
    <t xml:space="preserve">Акт входного контроля грин00434 от 10.08.2025 9:36:56</t>
  </si>
  <si>
    <t xml:space="preserve">Жданов Андрей Иванович</t>
  </si>
  <si>
    <t xml:space="preserve">С707ОУ</t>
  </si>
  <si>
    <t xml:space="preserve">грин00434</t>
  </si>
  <si>
    <t xml:space="preserve">Акт входного контроля грин00435 от 10.08.2025 10:24:17</t>
  </si>
  <si>
    <t xml:space="preserve">грин00435</t>
  </si>
  <si>
    <t xml:space="preserve">Акт входного контроля грин00436 от 10.08.2025 11:13:43</t>
  </si>
  <si>
    <t xml:space="preserve">грин00436</t>
  </si>
  <si>
    <t xml:space="preserve">Акт входного контроля грин00437 от 10.08.2025 14:44:22</t>
  </si>
  <si>
    <t xml:space="preserve">Пищев Александр Васильевич </t>
  </si>
  <si>
    <t xml:space="preserve">Т522ОН</t>
  </si>
  <si>
    <t xml:space="preserve">грин00437</t>
  </si>
  <si>
    <t xml:space="preserve">Акт входного контроля грин00438 от 10.08.2025 15:31:15</t>
  </si>
  <si>
    <t xml:space="preserve">грин00438</t>
  </si>
  <si>
    <t xml:space="preserve">Акт входного контроля грин00439 от 10.08.2025 19:19:50</t>
  </si>
  <si>
    <t xml:space="preserve">грин00439</t>
  </si>
  <si>
    <t xml:space="preserve">Акт входного контроля грин00440 от 10.08.2025 19:27:42</t>
  </si>
  <si>
    <t xml:space="preserve">грин00440</t>
  </si>
  <si>
    <t xml:space="preserve">Акт входного контроля грин00441 от 10.08.2025 21:28:02</t>
  </si>
  <si>
    <t xml:space="preserve">Блажко Алексей Николаевич</t>
  </si>
  <si>
    <t xml:space="preserve">М676КО</t>
  </si>
  <si>
    <t xml:space="preserve">грин00441</t>
  </si>
  <si>
    <t xml:space="preserve">Акт входного контроля грин00442 от 10.08.2025 21:32:08</t>
  </si>
  <si>
    <t xml:space="preserve">Дик Илья Александрович</t>
  </si>
  <si>
    <t xml:space="preserve">М556ХВ</t>
  </si>
  <si>
    <t xml:space="preserve">грин00442</t>
  </si>
  <si>
    <t xml:space="preserve">Акт входного контроля грин00443 от 10.08.2025 22:19:30</t>
  </si>
  <si>
    <t xml:space="preserve">грин00443</t>
  </si>
  <si>
    <t xml:space="preserve">Акт входного контроля грин00444 от 10.08.2025 23:59:44</t>
  </si>
  <si>
    <t xml:space="preserve">грин00444</t>
  </si>
  <si>
    <t xml:space="preserve">Акт входного контроля грин00458 от 11.08.2025 0:05:24</t>
  </si>
  <si>
    <t xml:space="preserve">грин00458</t>
  </si>
  <si>
    <t xml:space="preserve">Акт входного контроля грин00459 от 11.08.2025 13:46:41</t>
  </si>
  <si>
    <t xml:space="preserve">грин00459</t>
  </si>
  <si>
    <t xml:space="preserve">Акт входного контроля грин00464 от 11.08.2025 15:00:00</t>
  </si>
  <si>
    <t xml:space="preserve">грин00464</t>
  </si>
  <si>
    <t xml:space="preserve">Акт входного контроля грин00465 от 11.08.2025 16:45:30</t>
  </si>
  <si>
    <t xml:space="preserve">грин00465</t>
  </si>
  <si>
    <t xml:space="preserve">Акт входного контроля грин00466 от 11.08.2025 17:20:39</t>
  </si>
  <si>
    <t xml:space="preserve">грин00466</t>
  </si>
  <si>
    <t xml:space="preserve">Акт входного контроля грин00467 от 11.08.2025 21:41:55</t>
  </si>
  <si>
    <t xml:space="preserve">Глушенко Александр Иванович</t>
  </si>
  <si>
    <t xml:space="preserve">Н735ВК</t>
  </si>
  <si>
    <t xml:space="preserve">грин00467</t>
  </si>
  <si>
    <t xml:space="preserve">Акт входного контроля грин00468 от 11.08.2025 21:42:45</t>
  </si>
  <si>
    <t xml:space="preserve">Веревкин Андрей Александрович</t>
  </si>
  <si>
    <t xml:space="preserve">Н234ВК</t>
  </si>
  <si>
    <t xml:space="preserve">грин00468</t>
  </si>
  <si>
    <t xml:space="preserve">Акт входного контроля грин00469 от 11.08.2025 6:39:34</t>
  </si>
  <si>
    <t xml:space="preserve">Чернышов Александр Павлович</t>
  </si>
  <si>
    <t xml:space="preserve">М704ТС</t>
  </si>
  <si>
    <t xml:space="preserve">грин00469</t>
  </si>
  <si>
    <t xml:space="preserve">Акт входного контроля грин00470 от 11.08.2025 9:18:42</t>
  </si>
  <si>
    <t xml:space="preserve">грин00470</t>
  </si>
  <si>
    <t xml:space="preserve">Акт входного контроля грин00471 от 11.08.2025 9:38:43</t>
  </si>
  <si>
    <t xml:space="preserve">грин00471</t>
  </si>
  <si>
    <t xml:space="preserve">Акт входного контроля грин00472 от 11.08.2025 12:01:58</t>
  </si>
  <si>
    <t xml:space="preserve">грин00472</t>
  </si>
  <si>
    <t xml:space="preserve">Акт входного контроля грин00473 от 11.08.2025 22:12:42</t>
  </si>
  <si>
    <t xml:space="preserve">грин00473</t>
  </si>
  <si>
    <t xml:space="preserve">Акт входного контроля грин00474 от 11.08.2025 22:21:40</t>
  </si>
  <si>
    <t xml:space="preserve">грин00474</t>
  </si>
  <si>
    <t xml:space="preserve">Акт входного контроля грин00475 от 11.08.2025 23:38:08</t>
  </si>
  <si>
    <t xml:space="preserve">грин00475</t>
  </si>
  <si>
    <t xml:space="preserve">Акт входного контроля грин00476 от 12.08.2025 8:01:27</t>
  </si>
  <si>
    <t xml:space="preserve">грин00476</t>
  </si>
  <si>
    <t xml:space="preserve">Акт входного контроля грин00477 от 12.08.2025 8:50:59</t>
  </si>
  <si>
    <t xml:space="preserve">грин00477</t>
  </si>
  <si>
    <t xml:space="preserve">Акт входного контроля грин00478 от 12.08.2025 10:29:46</t>
  </si>
  <si>
    <t xml:space="preserve">грин00478</t>
  </si>
  <si>
    <t xml:space="preserve">Акт входного контроля грин00479 от 12.08.2025 13:36:25</t>
  </si>
  <si>
    <t xml:space="preserve">грин00479</t>
  </si>
  <si>
    <t xml:space="preserve">Акт входного контроля грин00480 от 12.08.2025 15:19:54</t>
  </si>
  <si>
    <t xml:space="preserve">грин00480</t>
  </si>
  <si>
    <t xml:space="preserve">Акт входного контроля грин00481 от 12.08.2025 15:28:31</t>
  </si>
  <si>
    <t xml:space="preserve">грин00481</t>
  </si>
  <si>
    <t xml:space="preserve">Акт входного контроля грин00482 от 12.08.2025 17:11:05</t>
  </si>
  <si>
    <t xml:space="preserve">грин00482</t>
  </si>
  <si>
    <t xml:space="preserve">Акт входного контроля грин00483 от 12.08.2025 17:23:55</t>
  </si>
  <si>
    <t xml:space="preserve">грин00483</t>
  </si>
  <si>
    <t xml:space="preserve">Акт входного контроля грин00484 от 12.08.2025 19:43:10</t>
  </si>
  <si>
    <t xml:space="preserve">Шайнрок</t>
  </si>
  <si>
    <t xml:space="preserve">грин00484</t>
  </si>
  <si>
    <t xml:space="preserve">Акт входного контроля грин00485 от 12.08.2025 21:06:26</t>
  </si>
  <si>
    <t xml:space="preserve">грин00485</t>
  </si>
  <si>
    <t xml:space="preserve">Акт входного контроля грин00486 от 12.08.2025 18:26:42</t>
  </si>
  <si>
    <t xml:space="preserve">грин00486</t>
  </si>
  <si>
    <t xml:space="preserve">Акт входного контроля грин00489 от 12.08.2025 18:34:46</t>
  </si>
  <si>
    <t xml:space="preserve">грин00489</t>
  </si>
  <si>
    <t xml:space="preserve">Акт входного контроля грин00493 от 12.08.2025 22:13:38</t>
  </si>
  <si>
    <t xml:space="preserve">грин00493</t>
  </si>
  <si>
    <t xml:space="preserve">Акт входного контроля грин00492 от 12.08.2025 22:19:00</t>
  </si>
  <si>
    <t xml:space="preserve">грин00492</t>
  </si>
  <si>
    <t xml:space="preserve">Акт входного контроля грин00491 от 13.08.2025 9:39:40</t>
  </si>
  <si>
    <t xml:space="preserve">грин00491</t>
  </si>
  <si>
    <t xml:space="preserve">Акт входного контроля грин00490 от 13.08.2025 9:35:31</t>
  </si>
  <si>
    <t xml:space="preserve">грин00490</t>
  </si>
  <si>
    <t xml:space="preserve">Акт входного контроля грин00488 от 13.08.2025 9:40:22</t>
  </si>
  <si>
    <t xml:space="preserve">грин00488</t>
  </si>
  <si>
    <t xml:space="preserve">Акт входного контроля грин00487 от 13.08.2025 9:26:46</t>
  </si>
  <si>
    <t xml:space="preserve">грин00487</t>
  </si>
  <si>
    <t xml:space="preserve">Акт входного контроля грин00497 от 13.08.2025 15:58:21</t>
  </si>
  <si>
    <t xml:space="preserve">грин00497</t>
  </si>
  <si>
    <t xml:space="preserve">Акт входного контроля грин00494 от 13.08.2025 13:29:34</t>
  </si>
  <si>
    <t xml:space="preserve">грин00494</t>
  </si>
  <si>
    <t xml:space="preserve">Акт входного контроля грин00495 от 13.08.2025 14:56:34</t>
  </si>
  <si>
    <t xml:space="preserve">грин00495</t>
  </si>
  <si>
    <t xml:space="preserve">Акт входного контроля грин00496 от 13.08.2025 15:42:46</t>
  </si>
  <si>
    <t xml:space="preserve">грин00496</t>
  </si>
  <si>
    <t xml:space="preserve">Акт входного контроля грин00498 от 13.08.2025 16:12:41</t>
  </si>
  <si>
    <t xml:space="preserve">грин00498</t>
  </si>
  <si>
    <t xml:space="preserve">Акт входного контроля грин00499 от 13.08.2025 16:26:39</t>
  </si>
  <si>
    <t xml:space="preserve">грин00499</t>
  </si>
  <si>
    <t xml:space="preserve">Акт входного контроля грин00500 от 13.08.2025 17:17:38</t>
  </si>
  <si>
    <t xml:space="preserve">грин00500</t>
  </si>
  <si>
    <t xml:space="preserve">Акт входного контроля грин00501 от 13.08.2025 18:32:20</t>
  </si>
  <si>
    <t xml:space="preserve">грин00501</t>
  </si>
  <si>
    <t xml:space="preserve">Акт входного контроля грин00502 от 13.08.2025 19:00:49</t>
  </si>
  <si>
    <t xml:space="preserve">грин00502</t>
  </si>
  <si>
    <t xml:space="preserve">Акт входного контроля грин00503 от 13.08.2025 21:13:02</t>
  </si>
  <si>
    <t xml:space="preserve">грин00503</t>
  </si>
  <si>
    <t xml:space="preserve">Акт входного контроля грин00504 от 13.08.2025 21:35:13</t>
  </si>
  <si>
    <t xml:space="preserve">грин00504</t>
  </si>
  <si>
    <t xml:space="preserve">Акт входного контроля грин00505 от 13.08.2025 19:27:06</t>
  </si>
  <si>
    <t xml:space="preserve">грин00505</t>
  </si>
  <si>
    <t xml:space="preserve">Акт входного контроля грин00506 от 14.08.2025 0:18:30</t>
  </si>
  <si>
    <t xml:space="preserve">грин00506</t>
  </si>
  <si>
    <t xml:space="preserve">Акт входного контроля грин00507 от 14.08.2025 0:25:58</t>
  </si>
  <si>
    <t xml:space="preserve">грин00507</t>
  </si>
  <si>
    <t xml:space="preserve">Акт входного контроля грин00508 от 14.08.2025 9:10:58</t>
  </si>
  <si>
    <t xml:space="preserve">Импресс</t>
  </si>
  <si>
    <t xml:space="preserve">грин00508</t>
  </si>
  <si>
    <t xml:space="preserve">Акт входного контроля грин00509 от 14.08.2025 9:17:18</t>
  </si>
  <si>
    <t xml:space="preserve">грин00509</t>
  </si>
  <si>
    <t xml:space="preserve">Акт входного контроля грин00510 от 14.08.2025 7:27:51</t>
  </si>
  <si>
    <t xml:space="preserve">грин00510</t>
  </si>
  <si>
    <t xml:space="preserve">Акт входного контроля грин00511 от 14.08.2025 7:59:14</t>
  </si>
  <si>
    <t xml:space="preserve">грин00511</t>
  </si>
  <si>
    <t xml:space="preserve">Акт входного контроля грин00512 от 14.08.2025 8:03:32</t>
  </si>
  <si>
    <t xml:space="preserve">Гужва А М.</t>
  </si>
  <si>
    <t xml:space="preserve">Т285ВЕ</t>
  </si>
  <si>
    <t xml:space="preserve">грин00512</t>
  </si>
  <si>
    <t xml:space="preserve">Акт входного контроля грин00513 от 14.08.2025 8:28:20</t>
  </si>
  <si>
    <t xml:space="preserve">Ховятский АМ</t>
  </si>
  <si>
    <t xml:space="preserve">Р684ОХ</t>
  </si>
  <si>
    <t xml:space="preserve">грин00513</t>
  </si>
  <si>
    <t xml:space="preserve">Акт входного контроля грин00514 от 14.08.2025 8:40:39</t>
  </si>
  <si>
    <t xml:space="preserve">Бондаренко Николай Николаевич</t>
  </si>
  <si>
    <t xml:space="preserve">А315МК</t>
  </si>
  <si>
    <t xml:space="preserve">грин00514</t>
  </si>
  <si>
    <t xml:space="preserve">Акт входного контроля грин00515 от 14.08.2025 10:03:35</t>
  </si>
  <si>
    <t xml:space="preserve">Данильченко Ю.А.</t>
  </si>
  <si>
    <t xml:space="preserve">Р347КА</t>
  </si>
  <si>
    <t xml:space="preserve">грин00515</t>
  </si>
  <si>
    <t xml:space="preserve">Акт входного контроля грин00516 от 14.08.2025 11:12:38</t>
  </si>
  <si>
    <t xml:space="preserve">Рыбалкин АН</t>
  </si>
  <si>
    <t xml:space="preserve">Р687УК</t>
  </si>
  <si>
    <t xml:space="preserve">грин00516</t>
  </si>
  <si>
    <t xml:space="preserve">Акт входного контроля грин00517 от 14.08.2025 12:15:56</t>
  </si>
  <si>
    <t xml:space="preserve">Сотников Сергей Кириллович</t>
  </si>
  <si>
    <t xml:space="preserve">Т443МВ</t>
  </si>
  <si>
    <t xml:space="preserve">грин00517</t>
  </si>
  <si>
    <t xml:space="preserve">Акт входного контроля грин00518 от 14.08.2025 15:49:32</t>
  </si>
  <si>
    <t xml:space="preserve">грин00518</t>
  </si>
  <si>
    <t xml:space="preserve">Акт входного контроля грин00519 от 14.08.2025 15:56:26</t>
  </si>
  <si>
    <t xml:space="preserve">грин00519</t>
  </si>
  <si>
    <t xml:space="preserve">Акт входного контроля грин00520 от 14.08.2025 16:50:06</t>
  </si>
  <si>
    <t xml:space="preserve">грин00520</t>
  </si>
  <si>
    <t xml:space="preserve">Акт входного контроля грин00521 от 14.08.2025 20:43:47</t>
  </si>
  <si>
    <t xml:space="preserve">грин00521</t>
  </si>
  <si>
    <t xml:space="preserve">Акт входного контроля грин00522 от 14.08.2025 23:32:47</t>
  </si>
  <si>
    <t xml:space="preserve">грин00522</t>
  </si>
  <si>
    <t xml:space="preserve">Акт входного контроля грин00524 от 14.08.2025 22:02:43</t>
  </si>
  <si>
    <t xml:space="preserve">грин00524</t>
  </si>
  <si>
    <t xml:space="preserve">Акт входного контроля грин00523 от 15.08.2025 1:27:24</t>
  </si>
  <si>
    <t xml:space="preserve">грин00523</t>
  </si>
  <si>
    <t xml:space="preserve">Акт входного контроля грин00525 от 15.08.2025 4:31:46</t>
  </si>
  <si>
    <t xml:space="preserve">грин00525</t>
  </si>
  <si>
    <t xml:space="preserve">Акт входного контроля грин00526 от 15.08.2025 5:18:26</t>
  </si>
  <si>
    <t xml:space="preserve">грин00526</t>
  </si>
  <si>
    <t xml:space="preserve">Акт входного контроля грин00527 от 15.08.2025 13:40:57</t>
  </si>
  <si>
    <t xml:space="preserve">Сентинель</t>
  </si>
  <si>
    <t xml:space="preserve">грин00527</t>
  </si>
  <si>
    <t xml:space="preserve">Акт входного контроля грин00528 от 15.08.2025 13:57:45</t>
  </si>
  <si>
    <t xml:space="preserve">грин00528</t>
  </si>
  <si>
    <t xml:space="preserve">Акт входного контроля грин00529 от 15.08.2025 14:09:13</t>
  </si>
  <si>
    <t xml:space="preserve">Магадиев Александр Сайлаувич</t>
  </si>
  <si>
    <t xml:space="preserve">У184НО</t>
  </si>
  <si>
    <t xml:space="preserve">грин00529</t>
  </si>
  <si>
    <t xml:space="preserve">Акт входного контроля грин00533 от 15.08.2025 6:13:19</t>
  </si>
  <si>
    <t xml:space="preserve">грин00533</t>
  </si>
  <si>
    <t xml:space="preserve">Акт входного контроля грин00530 от 15.08.2025 6:27:33</t>
  </si>
  <si>
    <t xml:space="preserve">Рудик Александр Иванович</t>
  </si>
  <si>
    <t xml:space="preserve">А309АТ</t>
  </si>
  <si>
    <t xml:space="preserve">грин00530</t>
  </si>
  <si>
    <t xml:space="preserve">Акт входного контроля грин00531 от 15.08.2025 17:22:11</t>
  </si>
  <si>
    <t xml:space="preserve">Лендкрузер</t>
  </si>
  <si>
    <t xml:space="preserve">грин00531</t>
  </si>
  <si>
    <t xml:space="preserve">Акт входного контроля грин00532 от 15.08.2025 7:23:47</t>
  </si>
  <si>
    <t xml:space="preserve">грин00532</t>
  </si>
  <si>
    <t xml:space="preserve">Акт входного контроля грин00534 от 15.08.2025 7:37:06</t>
  </si>
  <si>
    <t xml:space="preserve">грин00534</t>
  </si>
  <si>
    <t xml:space="preserve">Акт входного контроля грин00535 от 15.08.2025 7:45:10</t>
  </si>
  <si>
    <t xml:space="preserve">грин00535</t>
  </si>
  <si>
    <t xml:space="preserve">Акт входного контроля грин00536 от 15.08.2025 17:33:17</t>
  </si>
  <si>
    <t xml:space="preserve">грин00536</t>
  </si>
  <si>
    <t xml:space="preserve">Акт входного контроля грин00537 от 15.08.2025 17:55:37</t>
  </si>
  <si>
    <t xml:space="preserve">грин00537</t>
  </si>
  <si>
    <t xml:space="preserve">Акт входного контроля грин00539 от 15.08.2025 18:01:08</t>
  </si>
  <si>
    <t xml:space="preserve">грин00539</t>
  </si>
  <si>
    <t xml:space="preserve">Акт входного контроля грин00538 от 15.08.2025 18:05:41</t>
  </si>
  <si>
    <t xml:space="preserve">грин00538</t>
  </si>
  <si>
    <t xml:space="preserve">Акт входного контроля грин00540 от 15.08.2025 20:31:52</t>
  </si>
  <si>
    <t xml:space="preserve">грин00540</t>
  </si>
  <si>
    <t xml:space="preserve">Акт входного контроля грин00541 от 15.08.2025 22:23:59</t>
  </si>
  <si>
    <t xml:space="preserve">грин00541</t>
  </si>
  <si>
    <t xml:space="preserve">Акт входного контроля грин00542 от 18.08.2025 9:03:32</t>
  </si>
  <si>
    <t xml:space="preserve">Хан</t>
  </si>
  <si>
    <t xml:space="preserve">грин00542</t>
  </si>
  <si>
    <t xml:space="preserve">Акт входного контроля грин00543 от 18.08.2025 11:17:35</t>
  </si>
  <si>
    <t xml:space="preserve">грин00543</t>
  </si>
  <si>
    <t xml:space="preserve">Акт входного контроля грин00547 от 18.08.2025 15:54:51</t>
  </si>
  <si>
    <t xml:space="preserve">грин00547</t>
  </si>
  <si>
    <t xml:space="preserve">Акт входного контроля грин00544 от 18.08.2025 13:32:09</t>
  </si>
  <si>
    <t xml:space="preserve">грин00544</t>
  </si>
  <si>
    <t xml:space="preserve">Акт входного контроля грин00545 от 18.08.2025 14:33:05</t>
  </si>
  <si>
    <t xml:space="preserve">грин00545</t>
  </si>
  <si>
    <t xml:space="preserve">Акт входного контроля грин00546 от 18.08.2025 15:43:26</t>
  </si>
  <si>
    <t xml:space="preserve">грин00546</t>
  </si>
  <si>
    <t xml:space="preserve">Акт входного контроля грин00548 от 18.08.2025 17:32:38</t>
  </si>
  <si>
    <t xml:space="preserve">грин00548</t>
  </si>
  <si>
    <t xml:space="preserve">Акт входного контроля грин00549 от 18.08.2025 17:46:22</t>
  </si>
  <si>
    <t xml:space="preserve">грин00549</t>
  </si>
  <si>
    <t xml:space="preserve">Акт входного контроля грин00550 от 18.08.2025 18:56:16</t>
  </si>
  <si>
    <t xml:space="preserve">грин00550</t>
  </si>
  <si>
    <t xml:space="preserve">Акт входного контроля грин00551 от 18.08.2025 19:14:18</t>
  </si>
  <si>
    <t xml:space="preserve">Мирза</t>
  </si>
  <si>
    <t xml:space="preserve">грин00551</t>
  </si>
  <si>
    <t xml:space="preserve">Акт входного контроля грин00552 от 19.08.2025 16:43:50</t>
  </si>
  <si>
    <t xml:space="preserve">грин00552</t>
  </si>
  <si>
    <t xml:space="preserve">Акт входного контроля грин00553 от 19.08.2025 10:18:09</t>
  </si>
  <si>
    <t xml:space="preserve">грин00553</t>
  </si>
  <si>
    <t xml:space="preserve">Акт входного контроля грин00554 от 19.08.2025 11:31:10</t>
  </si>
  <si>
    <t xml:space="preserve">грин00554</t>
  </si>
  <si>
    <t xml:space="preserve">Акт входного контроля грин00555 от 19.08.2025 16:46:13</t>
  </si>
  <si>
    <t xml:space="preserve">грин00555</t>
  </si>
  <si>
    <t xml:space="preserve">Акт входного контроля грин00556 от 19.08.2025 16:46:32</t>
  </si>
  <si>
    <t xml:space="preserve">грин00556</t>
  </si>
  <si>
    <t xml:space="preserve">Акт входного контроля грин00557 от 19.08.2025 16:46:59</t>
  </si>
  <si>
    <t xml:space="preserve">грин00557</t>
  </si>
  <si>
    <t xml:space="preserve">Акт входного контроля грин00558 от 19.08.2025 16:50:57</t>
  </si>
  <si>
    <t xml:space="preserve">грин00558</t>
  </si>
  <si>
    <t xml:space="preserve">Акт входного контроля грин00560 от 19.08.2025 19:42:02</t>
  </si>
  <si>
    <t xml:space="preserve">грин00560</t>
  </si>
  <si>
    <t xml:space="preserve">Акт входного контроля грин00559 от 19.08.2025 18:05:42</t>
  </si>
  <si>
    <t xml:space="preserve">грин00559</t>
  </si>
  <si>
    <t xml:space="preserve">Акт входного контроля грин00561 от 19.08.2025 19:51:57</t>
  </si>
  <si>
    <t xml:space="preserve">грин00561</t>
  </si>
  <si>
    <t xml:space="preserve">Акт входного контроля грин00562 от 19.08.2025 21:01:39</t>
  </si>
  <si>
    <t xml:space="preserve">грин00562</t>
  </si>
  <si>
    <t xml:space="preserve">Акт входного контроля грин00563 от 19.08.2025 22:09:05</t>
  </si>
  <si>
    <t xml:space="preserve">грин00563</t>
  </si>
  <si>
    <t xml:space="preserve">Акт входного контроля грин00564 от 19.08.2025 23:05:02</t>
  </si>
  <si>
    <t xml:space="preserve">грин00564</t>
  </si>
  <si>
    <t xml:space="preserve">Акт входного контроля грин00565 от 19.08.2025 23:09:45</t>
  </si>
  <si>
    <t xml:space="preserve">грин00565</t>
  </si>
  <si>
    <t xml:space="preserve">Акт входного контроля грин00566 от 19.08.2025 23:53:18</t>
  </si>
  <si>
    <t xml:space="preserve">грин00566</t>
  </si>
  <si>
    <t xml:space="preserve">Акт входного контроля грин00567 от 19.08.2025 21:31:42</t>
  </si>
  <si>
    <t xml:space="preserve">грин00567</t>
  </si>
  <si>
    <t xml:space="preserve">Акт входного контроля грин00568 от 19.08.2025 21:36:46</t>
  </si>
  <si>
    <t xml:space="preserve">грин00568</t>
  </si>
  <si>
    <t xml:space="preserve">Акт входного контроля грин00569 от 19.08.2025 22:28:29</t>
  </si>
  <si>
    <t xml:space="preserve">грин00569</t>
  </si>
  <si>
    <t xml:space="preserve">Акт входного контроля грин00570 от 19.08.2025 22:33:02</t>
  </si>
  <si>
    <t xml:space="preserve">грин00570</t>
  </si>
  <si>
    <t xml:space="preserve">Акт входного контроля грин00571 от 20.08.2025 6:01:59</t>
  </si>
  <si>
    <t xml:space="preserve">грин00571</t>
  </si>
  <si>
    <t xml:space="preserve">Акт входного контроля грин00572 от 20.08.2025 7:56:41</t>
  </si>
  <si>
    <t xml:space="preserve">грин00572</t>
  </si>
  <si>
    <t xml:space="preserve">Акт входного контроля грин00573 от 20.08.2025 9:14:53</t>
  </si>
  <si>
    <t xml:space="preserve">грин00573</t>
  </si>
  <si>
    <t xml:space="preserve">Акт входного контроля грин00574 от 20.08.2025 12:20:45</t>
  </si>
  <si>
    <t xml:space="preserve">грин00574</t>
  </si>
  <si>
    <t xml:space="preserve">Акт входного контроля грин00575 от 20.08.2025 12:35:28</t>
  </si>
  <si>
    <t xml:space="preserve">грин00575</t>
  </si>
  <si>
    <t xml:space="preserve">Акт входного контроля грин00576 от 20.08.2025 12:46:45</t>
  </si>
  <si>
    <t xml:space="preserve">грин00576</t>
  </si>
  <si>
    <t xml:space="preserve">Акт входного контроля грин00577 от 20.08.2025 12:57:55</t>
  </si>
  <si>
    <t xml:space="preserve">грин00577</t>
  </si>
  <si>
    <t xml:space="preserve">Акт входного контроля грин00578 от 20.08.2025 14:48:17</t>
  </si>
  <si>
    <t xml:space="preserve">грин00578</t>
  </si>
  <si>
    <t xml:space="preserve">Акт входного контроля грин00579 от 20.08.2025 15:02:45</t>
  </si>
  <si>
    <t xml:space="preserve">грин00579</t>
  </si>
  <si>
    <t xml:space="preserve">Акт входного контроля грин00580 от 20.08.2025 15:18:12</t>
  </si>
  <si>
    <t xml:space="preserve">грин00580</t>
  </si>
  <si>
    <t xml:space="preserve">Акт входного контроля грин00581 от 20.08.2025 16:14:23</t>
  </si>
  <si>
    <t xml:space="preserve">грин00581</t>
  </si>
  <si>
    <t xml:space="preserve">Акт входного контроля грин00582 от 20.08.2025 18:46:13</t>
  </si>
  <si>
    <t xml:space="preserve">грин00582</t>
  </si>
  <si>
    <t xml:space="preserve">Акт входного контроля грин00583 от 20.08.2025 18:56:30</t>
  </si>
  <si>
    <t xml:space="preserve">грин00583</t>
  </si>
  <si>
    <t xml:space="preserve">Акт входного контроля грин00584 от 20.08.2025 20:29:57</t>
  </si>
  <si>
    <t xml:space="preserve">грин00584</t>
  </si>
  <si>
    <t xml:space="preserve">Акт входного контроля грин00585 от 20.08.2025 21:05:16</t>
  </si>
  <si>
    <t xml:space="preserve">грин00585</t>
  </si>
  <si>
    <t xml:space="preserve">Акт входного контроля грин00586 от 20.08.2025 22:31:13</t>
  </si>
  <si>
    <t xml:space="preserve">грин00586</t>
  </si>
  <si>
    <t xml:space="preserve">Акт входного контроля грин00587 от 20.08.2025 23:51:22</t>
  </si>
  <si>
    <t xml:space="preserve">грин00587</t>
  </si>
  <si>
    <t xml:space="preserve">Акт входного контроля грин00588 от 20.08.2025 19:17:27</t>
  </si>
  <si>
    <t xml:space="preserve">грин00588</t>
  </si>
  <si>
    <t xml:space="preserve">Акт входного контроля грин00589 от 20.08.2025 21:58:30</t>
  </si>
  <si>
    <t xml:space="preserve">грин00589</t>
  </si>
  <si>
    <t xml:space="preserve">Акт входного контроля грин00590 от 20.08.2025 22:06:09</t>
  </si>
  <si>
    <t xml:space="preserve">грин00590</t>
  </si>
  <si>
    <t xml:space="preserve">Акт входного контроля грин00591 от 20.08.2025 22:35:17</t>
  </si>
  <si>
    <t xml:space="preserve">грин00591</t>
  </si>
  <si>
    <t xml:space="preserve">Акт входного контроля грин00592 от 21.08.2025 5:09:04</t>
  </si>
  <si>
    <t xml:space="preserve">грин00592</t>
  </si>
  <si>
    <t xml:space="preserve">Акт входного контроля грин00593 от 21.08.2025 5:44:11</t>
  </si>
  <si>
    <t xml:space="preserve">грин00593</t>
  </si>
  <si>
    <t xml:space="preserve">Акт входного контроля грин00594 от 21.08.2025 8:23:07</t>
  </si>
  <si>
    <t xml:space="preserve">грин00594</t>
  </si>
  <si>
    <t xml:space="preserve">Акт входного контроля грин00595 от 21.08.2025 10:52:35</t>
  </si>
  <si>
    <t xml:space="preserve">грин00595</t>
  </si>
  <si>
    <t xml:space="preserve">Акт входного контроля грин00596 от 21.08.2025 11:04:26</t>
  </si>
  <si>
    <t xml:space="preserve">грин00596</t>
  </si>
  <si>
    <t xml:space="preserve">Акт входного контроля грин00597 от 21.08.2025 11:16:49</t>
  </si>
  <si>
    <t xml:space="preserve">грин00597</t>
  </si>
  <si>
    <t xml:space="preserve">Акт входного контроля грин00598 от 21.08.2025 11:49:03</t>
  </si>
  <si>
    <t xml:space="preserve">грин00598</t>
  </si>
  <si>
    <t xml:space="preserve">Акт входного контроля грин00599 от 21.08.2025 12:31:10</t>
  </si>
  <si>
    <t xml:space="preserve">грин00599</t>
  </si>
  <si>
    <t xml:space="preserve">Акт входного контроля грин00600 от 21.08.2025 13:16:07</t>
  </si>
  <si>
    <t xml:space="preserve">грин00600</t>
  </si>
  <si>
    <t xml:space="preserve">Акт входного контроля грин00601 от 21.08.2025 14:04:36</t>
  </si>
  <si>
    <t xml:space="preserve">грин00601</t>
  </si>
  <si>
    <t xml:space="preserve">Акт входного контроля грин00602 от 21.08.2025 15:25:00</t>
  </si>
  <si>
    <t xml:space="preserve">грин00602</t>
  </si>
  <si>
    <t xml:space="preserve">Акт входного контроля грин00603 от 21.08.2025 15:54:22</t>
  </si>
  <si>
    <t xml:space="preserve">грин00603</t>
  </si>
  <si>
    <t xml:space="preserve">Акт входного контроля грин00604 от 21.08.2025 17:06:17</t>
  </si>
  <si>
    <t xml:space="preserve">грин00604</t>
  </si>
  <si>
    <t xml:space="preserve">Акт входного контроля грин00605 от 21.08.2025 17:51:39</t>
  </si>
  <si>
    <t xml:space="preserve">грин00605</t>
  </si>
  <si>
    <t xml:space="preserve">Акт входного контроля грин00606 от 21.08.2025 18:42:25</t>
  </si>
  <si>
    <t xml:space="preserve">грин00606</t>
  </si>
  <si>
    <t xml:space="preserve">Акт входного контроля грин00607 от 21.08.2025 21:52:33</t>
  </si>
  <si>
    <t xml:space="preserve">грин00607</t>
  </si>
  <si>
    <t xml:space="preserve">Акт входного контроля грин00608 от 21.08.2025 22:10:39</t>
  </si>
  <si>
    <t xml:space="preserve">грин00608</t>
  </si>
  <si>
    <t xml:space="preserve">Акт входного контроля грин00609 от 21.08.2025 22:21:59</t>
  </si>
  <si>
    <t xml:space="preserve">грин00609</t>
  </si>
  <si>
    <t xml:space="preserve">Акт входного контроля грин00610 от 21.08.2025 22:32:47</t>
  </si>
  <si>
    <t xml:space="preserve">грин00610</t>
  </si>
  <si>
    <t xml:space="preserve">Акт входного контроля грин00611 от 22.08.2025 21:12:22</t>
  </si>
  <si>
    <t xml:space="preserve">грин00611</t>
  </si>
  <si>
    <t xml:space="preserve">Акт входного контроля грин00612 от 22.08.2025 21:29:03</t>
  </si>
  <si>
    <t xml:space="preserve">грин00612</t>
  </si>
  <si>
    <t xml:space="preserve">Акт входного контроля грин00613 от 22.08.2025 23:02:10</t>
  </si>
  <si>
    <t xml:space="preserve">грин00613</t>
  </si>
  <si>
    <t xml:space="preserve">Акт входного контроля грин00614 от 22.08.2025 23:05:07</t>
  </si>
  <si>
    <t xml:space="preserve">грин00614</t>
  </si>
  <si>
    <t xml:space="preserve">Акт входного контроля грин00615 от 22.08.2025 23:38:19</t>
  </si>
  <si>
    <t xml:space="preserve">грин00615</t>
  </si>
  <si>
    <t xml:space="preserve">Акт входного контроля грин00616 от 22.08.2025 22:13:02</t>
  </si>
  <si>
    <t xml:space="preserve">грин00616</t>
  </si>
  <si>
    <t xml:space="preserve">Акт входного контроля грин00617 от 22.08.2025 22:17:17</t>
  </si>
  <si>
    <t xml:space="preserve">грин00617</t>
  </si>
  <si>
    <t xml:space="preserve">Акт входного контроля грин00618 от 23.08.2025 2:16:04</t>
  </si>
  <si>
    <t xml:space="preserve">грин00618</t>
  </si>
  <si>
    <t xml:space="preserve">Акт входного контроля грин00621 от 23.08.2025 5:32:17</t>
  </si>
  <si>
    <t xml:space="preserve">грин00621</t>
  </si>
  <si>
    <t xml:space="preserve">Акт входного контроля грин00619 от 23.08.2025 2:59:54</t>
  </si>
  <si>
    <t xml:space="preserve">грин00619</t>
  </si>
  <si>
    <t xml:space="preserve">Акт входного контроля грин00620 от 23.08.2025 3:52:05</t>
  </si>
  <si>
    <t xml:space="preserve">грин00620</t>
  </si>
  <si>
    <t xml:space="preserve">Акт входного контроля грин00622 от 23.08.2025 5:35:18</t>
  </si>
  <si>
    <t xml:space="preserve">грин00622</t>
  </si>
  <si>
    <t xml:space="preserve">Акт входного контроля грин00623 от 23.08.2025 6:12:45</t>
  </si>
  <si>
    <t xml:space="preserve">грин00623</t>
  </si>
  <si>
    <t xml:space="preserve">Акт входного контроля грин00624 от 23.08.2025 9:35:13</t>
  </si>
  <si>
    <t xml:space="preserve">грин00624</t>
  </si>
  <si>
    <t xml:space="preserve">Акт входного контроля грин00625 от 23.08.2025 11:26:19</t>
  </si>
  <si>
    <t xml:space="preserve">грин00625</t>
  </si>
  <si>
    <t xml:space="preserve">Акт входного контроля грин00626 от 23.08.2025 13:33:56</t>
  </si>
  <si>
    <t xml:space="preserve">грин00626</t>
  </si>
  <si>
    <t xml:space="preserve">Акт входного контроля грин00627 от 23.08.2025 13:55:58</t>
  </si>
  <si>
    <t xml:space="preserve">грин00627</t>
  </si>
  <si>
    <t xml:space="preserve">Акт входного контроля грин00628 от 23.08.2025 14:05:06</t>
  </si>
  <si>
    <t xml:space="preserve">грин00628</t>
  </si>
  <si>
    <t xml:space="preserve">Акт входного контроля грин00629 от 23.08.2025 16:19:59</t>
  </si>
  <si>
    <t xml:space="preserve">грин00629</t>
  </si>
  <si>
    <t xml:space="preserve">Акт входного контроля грин00630 от 23.08.2025 16:51:49</t>
  </si>
  <si>
    <t xml:space="preserve">грин00630</t>
  </si>
  <si>
    <t xml:space="preserve">Акт входного контроля грин00631 от 23.08.2025 17:27:25</t>
  </si>
  <si>
    <t xml:space="preserve">грин00631</t>
  </si>
  <si>
    <t xml:space="preserve">Акт входного контроля грин00632 от 23.08.2025 19:36:02</t>
  </si>
  <si>
    <t xml:space="preserve">грин00632</t>
  </si>
  <si>
    <t xml:space="preserve">Акт входного контроля грин00633 от 23.08.2025 15:40:14</t>
  </si>
  <si>
    <t xml:space="preserve">грин00633</t>
  </si>
  <si>
    <t xml:space="preserve">Акт входного контроля грин00634 от 23.08.2025 23:50:49</t>
  </si>
  <si>
    <t xml:space="preserve">грин00634</t>
  </si>
  <si>
    <t xml:space="preserve">Акт входного контроля грин00635 от 23.08.2025 18:50:14</t>
  </si>
  <si>
    <t xml:space="preserve">грин00635</t>
  </si>
  <si>
    <t xml:space="preserve">Акт входного контроля грин00636 от 23.08.2025 18:53:44</t>
  </si>
  <si>
    <t xml:space="preserve">грин00636</t>
  </si>
  <si>
    <t xml:space="preserve">Акт входного контроля грин00637 от 23.08.2025 18:58:00</t>
  </si>
  <si>
    <t xml:space="preserve">грин00637</t>
  </si>
  <si>
    <t xml:space="preserve">Акт входного контроля грин00638 от 23.08.2025 19:02:01</t>
  </si>
  <si>
    <t xml:space="preserve">грин00638</t>
  </si>
  <si>
    <t xml:space="preserve">Акт входного контроля грин00639 от 23.08.2025 21:04:59</t>
  </si>
  <si>
    <t xml:space="preserve">грин00639</t>
  </si>
  <si>
    <t xml:space="preserve">Акт входного контроля грин00640 от 23.08.2025 21:11:18</t>
  </si>
  <si>
    <t xml:space="preserve">грин00640</t>
  </si>
  <si>
    <t xml:space="preserve">Акт входного контроля грин00641 от 23.08.2025 21:36:03</t>
  </si>
  <si>
    <t xml:space="preserve">грин00641</t>
  </si>
  <si>
    <t xml:space="preserve">Акт входного контроля грин00642 от 23.08.2025 22:02:24</t>
  </si>
  <si>
    <t xml:space="preserve">грин00642</t>
  </si>
  <si>
    <t xml:space="preserve">Акт входного контроля грин00643 от 23.08.2025 22:33:01</t>
  </si>
  <si>
    <t xml:space="preserve">грин00643</t>
  </si>
  <si>
    <t xml:space="preserve">Акт входного контроля грин00644 от 23.08.2025 23:57:16</t>
  </si>
  <si>
    <t xml:space="preserve">грин00644</t>
  </si>
  <si>
    <t xml:space="preserve">Акт входного контроля грин00645 от 24.08.2025 12:12:54</t>
  </si>
  <si>
    <t xml:space="preserve">грин00645</t>
  </si>
  <si>
    <t xml:space="preserve">Акт входного контроля грин00646 от 24.08.2025 12:49:38</t>
  </si>
  <si>
    <t xml:space="preserve">грин00646</t>
  </si>
  <si>
    <t xml:space="preserve">Акт входного контроля грин00647 от 24.08.2025 13:03:07</t>
  </si>
  <si>
    <t xml:space="preserve">грин00647</t>
  </si>
  <si>
    <t xml:space="preserve">Акт входного контроля грин00648 от 24.08.2025 13:27:55</t>
  </si>
  <si>
    <t xml:space="preserve">грин00648</t>
  </si>
  <si>
    <t xml:space="preserve">Акт входного контроля грин00649 от 24.08.2025 14:47:55</t>
  </si>
  <si>
    <t xml:space="preserve">грин00649</t>
  </si>
  <si>
    <t xml:space="preserve">Акт входного контроля грин00650 от 24.08.2025 15:44:25</t>
  </si>
  <si>
    <t xml:space="preserve">грин00650</t>
  </si>
  <si>
    <t xml:space="preserve">Акт входного контроля грин00651 от 24.08.2025 16:41:17</t>
  </si>
  <si>
    <t xml:space="preserve">грин00651</t>
  </si>
  <si>
    <t xml:space="preserve">Акт входного контроля грин00652 от 24.08.2025 18:25:01</t>
  </si>
  <si>
    <t xml:space="preserve">грин00652</t>
  </si>
  <si>
    <t xml:space="preserve">Акт входного контроля грин00653 от 24.08.2025 21:34:26</t>
  </si>
  <si>
    <t xml:space="preserve">Гуднесс Фудс Ипатовский</t>
  </si>
  <si>
    <t xml:space="preserve">Харди</t>
  </si>
  <si>
    <t xml:space="preserve">грин00653</t>
  </si>
  <si>
    <t xml:space="preserve">Акт входного контроля грин00654 от 24.08.2025 22:02:36</t>
  </si>
  <si>
    <t xml:space="preserve">грин00654</t>
  </si>
  <si>
    <t xml:space="preserve">Акт входного контроля грин00655 от 24.08.2025 20:24:53</t>
  </si>
  <si>
    <t xml:space="preserve">грин00655</t>
  </si>
  <si>
    <t xml:space="preserve">Акт входного контроля грин00656 от 24.08.2025 20:31:59</t>
  </si>
  <si>
    <t xml:space="preserve">грин00656</t>
  </si>
  <si>
    <t xml:space="preserve">Акт входного контроля грин00657 от 24.08.2025 20:36:15</t>
  </si>
  <si>
    <t xml:space="preserve">грин00657</t>
  </si>
  <si>
    <t xml:space="preserve">Акт входного контроля грин00658 от 24.08.2025 22:31:36</t>
  </si>
  <si>
    <t xml:space="preserve">грин00658</t>
  </si>
  <si>
    <t xml:space="preserve">Акт входного контроля грин00659 от 24.08.2025 22:36:38</t>
  </si>
  <si>
    <t xml:space="preserve">грин00659</t>
  </si>
  <si>
    <t xml:space="preserve">Акт входного контроля грин00660 от 25.08.2025 11:34:16</t>
  </si>
  <si>
    <t xml:space="preserve">грин00660</t>
  </si>
  <si>
    <t xml:space="preserve">Акт входного контроля грин00661 от 25.08.2025 11:34:21</t>
  </si>
  <si>
    <t xml:space="preserve">грин00661</t>
  </si>
  <si>
    <t xml:space="preserve">Акт входного контроля грин00662 от 25.08.2025 11:34:26</t>
  </si>
  <si>
    <t xml:space="preserve">грин00662</t>
  </si>
  <si>
    <t xml:space="preserve">Акт входного контроля грин00663 от 25.08.2025 11:34:29</t>
  </si>
  <si>
    <t xml:space="preserve">грин00663</t>
  </si>
  <si>
    <t xml:space="preserve">Акт входного контроля грин00664 от 25.08.2025 11:34:33</t>
  </si>
  <si>
    <t xml:space="preserve">грин00664</t>
  </si>
  <si>
    <t xml:space="preserve">Акт входного контроля грин00665 от 25.08.2025 11:34:40</t>
  </si>
  <si>
    <t xml:space="preserve">грин00665</t>
  </si>
  <si>
    <t xml:space="preserve">Акт входного контроля грин00667 от 25.08.2025 19:28:45</t>
  </si>
  <si>
    <t xml:space="preserve">грин00667</t>
  </si>
  <si>
    <t xml:space="preserve">Акт входного контроля грин00668 от 25.08.2025 20:52:41</t>
  </si>
  <si>
    <t xml:space="preserve">грин00668</t>
  </si>
  <si>
    <t xml:space="preserve">Акт входного контроля грин00669 от 25.08.2025 21:41:49</t>
  </si>
  <si>
    <t xml:space="preserve">грин00669</t>
  </si>
  <si>
    <t xml:space="preserve">Акт входного контроля грин00670 от 25.08.2025 22:49:14</t>
  </si>
  <si>
    <t xml:space="preserve">грин00670</t>
  </si>
  <si>
    <t xml:space="preserve">Акт входного контроля грин00671 от 25.08.2025 22:55:45</t>
  </si>
  <si>
    <t xml:space="preserve">грин00671</t>
  </si>
  <si>
    <t xml:space="preserve">Акт входного контроля грин00672 от 26.08.2025 11:13:37</t>
  </si>
  <si>
    <t xml:space="preserve">грин00672</t>
  </si>
  <si>
    <t xml:space="preserve">Акт входного контроля грин00673 от 26.08.2025 11:13:40</t>
  </si>
  <si>
    <t xml:space="preserve">грин00673</t>
  </si>
  <si>
    <t xml:space="preserve">Акт входного контроля грин00674 от 26.08.2025 11:13:43</t>
  </si>
  <si>
    <t xml:space="preserve">грин00674</t>
  </si>
  <si>
    <t xml:space="preserve">Акт входного контроля грин00675 от 26.08.2025 3:21:23</t>
  </si>
  <si>
    <t xml:space="preserve">грин00675</t>
  </si>
  <si>
    <t xml:space="preserve">Акт входного контроля грин00676 от 26.08.2025 3:25:15</t>
  </si>
  <si>
    <t xml:space="preserve">грин00676</t>
  </si>
  <si>
    <t xml:space="preserve">Акт входного контроля грин00677 от 26.08.2025 4:47:32</t>
  </si>
  <si>
    <t xml:space="preserve">грин00677</t>
  </si>
  <si>
    <t xml:space="preserve">Акт входного контроля грин00678 от 26.08.2025 5:15:04</t>
  </si>
  <si>
    <t xml:space="preserve">грин00678</t>
  </si>
  <si>
    <t xml:space="preserve">Акт входного контроля грин00679 от 26.08.2025 5:53:07</t>
  </si>
  <si>
    <t xml:space="preserve">грин00679</t>
  </si>
  <si>
    <t xml:space="preserve">Акт входного контроля грин00680 от 26.08.2025 7:23:49</t>
  </si>
  <si>
    <t xml:space="preserve">грин00680</t>
  </si>
  <si>
    <t xml:space="preserve">Акт входного контроля грин00681 от 26.08.2025 8:50:39</t>
  </si>
  <si>
    <t xml:space="preserve">грин00681</t>
  </si>
  <si>
    <t xml:space="preserve">Акт входного контроля грин00682 от 26.08.2025 8:56:24</t>
  </si>
  <si>
    <t xml:space="preserve">грин00682</t>
  </si>
  <si>
    <t xml:space="preserve">Акт входного контроля грин00683 от 26.08.2025 9:07:16</t>
  </si>
  <si>
    <t xml:space="preserve">грин00683</t>
  </si>
  <si>
    <t xml:space="preserve">Акт входного контроля грин00684 от 26.08.2025 10:35:10</t>
  </si>
  <si>
    <t xml:space="preserve">грин00684</t>
  </si>
  <si>
    <t xml:space="preserve">Акт входного контроля грин00685 от 26.08.2025 10:47:40</t>
  </si>
  <si>
    <t xml:space="preserve">грин00685</t>
  </si>
  <si>
    <t xml:space="preserve">Акт входного контроля грин00686 от 26.08.2025 13:06:15</t>
  </si>
  <si>
    <t xml:space="preserve">грин00686</t>
  </si>
  <si>
    <t xml:space="preserve">Акт входного контроля грин00687 от 26.08.2025 15:49:25</t>
  </si>
  <si>
    <t xml:space="preserve">грин00687</t>
  </si>
  <si>
    <t xml:space="preserve">Акт входного контроля грин00688 от 26.08.2025 16:02:12</t>
  </si>
  <si>
    <t xml:space="preserve">Титаренко Максим Сергеевич</t>
  </si>
  <si>
    <t xml:space="preserve">О398ХО</t>
  </si>
  <si>
    <t xml:space="preserve">грин00688</t>
  </si>
  <si>
    <t xml:space="preserve">Акт входного контроля грин00689 от 26.08.2025 17:46:20</t>
  </si>
  <si>
    <t xml:space="preserve">грин00689</t>
  </si>
  <si>
    <t xml:space="preserve">Акт входного контроля грин00690 от 26.08.2025 17:50:48</t>
  </si>
  <si>
    <t xml:space="preserve">грин00690</t>
  </si>
  <si>
    <t xml:space="preserve">Акт входного контроля грин00691 от 26.08.2025 18:55:18</t>
  </si>
  <si>
    <t xml:space="preserve">грин00691</t>
  </si>
  <si>
    <t xml:space="preserve">Акт входного контроля грин00692 от 26.08.2025 20:54:31</t>
  </si>
  <si>
    <t xml:space="preserve">грин00692</t>
  </si>
  <si>
    <t xml:space="preserve">Акт входного контроля грин00693 от 26.08.2025 21:05:42</t>
  </si>
  <si>
    <t xml:space="preserve">грин00693</t>
  </si>
  <si>
    <t xml:space="preserve">Акт входного контроля грин00694 от 26.08.2025 22:06:33</t>
  </si>
  <si>
    <t xml:space="preserve">грин00694</t>
  </si>
  <si>
    <t xml:space="preserve">Акт входного контроля грин00695 от 26.08.2025 22:11:31</t>
  </si>
  <si>
    <t xml:space="preserve">грин00695</t>
  </si>
  <si>
    <t xml:space="preserve">Акт входного контроля грин00696 от 26.08.2025 22:42:57</t>
  </si>
  <si>
    <t xml:space="preserve">грин00696</t>
  </si>
  <si>
    <t xml:space="preserve">Акт входного контроля грин00697 от 26.08.2025 23:06:49</t>
  </si>
  <si>
    <t xml:space="preserve">грин00697</t>
  </si>
  <si>
    <t xml:space="preserve">Акт входного контроля грин00698 от 26.08.2025 23:25:46</t>
  </si>
  <si>
    <t xml:space="preserve">грин00698</t>
  </si>
  <si>
    <t xml:space="preserve">Акт входного контроля грин00699 от 27.08.2025 11:10:28</t>
  </si>
  <si>
    <t xml:space="preserve">грин00699</t>
  </si>
  <si>
    <t xml:space="preserve">Акт входного контроля грин00700 от 27.08.2025 11:14:55</t>
  </si>
  <si>
    <t xml:space="preserve">грин00700</t>
  </si>
  <si>
    <t xml:space="preserve">Акт входного контроля грин00701 от 27.08.2025 11:44:17</t>
  </si>
  <si>
    <t xml:space="preserve">грин00701</t>
  </si>
  <si>
    <t xml:space="preserve">Акт входного контроля грин00702 от 27.08.2025 13:22:04</t>
  </si>
  <si>
    <t xml:space="preserve">грин00702</t>
  </si>
  <si>
    <t xml:space="preserve">Акт входного контроля грин00703 от 27.08.2025 13:57:37</t>
  </si>
  <si>
    <t xml:space="preserve">грин00703</t>
  </si>
  <si>
    <t xml:space="preserve">Акт входного контроля грин00704 от 27.08.2025 15:33:52</t>
  </si>
  <si>
    <t xml:space="preserve">грин00704</t>
  </si>
  <si>
    <t xml:space="preserve">Акт входного контроля грин00705 от 27.08.2025 15:55:46</t>
  </si>
  <si>
    <t xml:space="preserve">грин00705</t>
  </si>
  <si>
    <t xml:space="preserve">Акт входного контроля грин00706 от 27.08.2025 18:35:19</t>
  </si>
  <si>
    <t xml:space="preserve">грин00706</t>
  </si>
  <si>
    <t xml:space="preserve">Акт входного контроля грин00707 от 27.08.2025 18:44:08</t>
  </si>
  <si>
    <t xml:space="preserve">грин00707</t>
  </si>
  <si>
    <t xml:space="preserve">Акт входного контроля грин00708 от 27.08.2025 18:47:06</t>
  </si>
  <si>
    <t xml:space="preserve">грин00708</t>
  </si>
  <si>
    <t xml:space="preserve">Акт входного контроля грин00709 от 27.08.2025 19:01:25</t>
  </si>
  <si>
    <t xml:space="preserve">грин00709</t>
  </si>
  <si>
    <t xml:space="preserve">Акт входного контроля грин00710 от 27.08.2025 16:29:20</t>
  </si>
  <si>
    <t xml:space="preserve">грин00710</t>
  </si>
  <si>
    <t xml:space="preserve">Акт входного контроля грин00711 от 27.08.2025 16:32:49</t>
  </si>
  <si>
    <t xml:space="preserve">грин00711</t>
  </si>
  <si>
    <t xml:space="preserve">Акт входного контроля грин00712 от 27.08.2025 17:26:06</t>
  </si>
  <si>
    <t xml:space="preserve">грин00712</t>
  </si>
  <si>
    <t xml:space="preserve">Акт входного контроля грин00713 от 27.08.2025 19:15:31</t>
  </si>
  <si>
    <t xml:space="preserve">грин00713</t>
  </si>
  <si>
    <t xml:space="preserve">Акт входного контроля грин00714 от 27.08.2025 20:03:47</t>
  </si>
  <si>
    <t xml:space="preserve">грин00714</t>
  </si>
  <si>
    <t xml:space="preserve">Акт входного контроля грин00715 от 27.08.2025 20:09:56</t>
  </si>
  <si>
    <t xml:space="preserve">грин00715</t>
  </si>
  <si>
    <t xml:space="preserve">Акт входного контроля грин00716 от 27.08.2025 20:45:29</t>
  </si>
  <si>
    <t xml:space="preserve">грин00716</t>
  </si>
  <si>
    <t xml:space="preserve">Акт входного контроля грин00717 от 27.08.2025 20:48:31</t>
  </si>
  <si>
    <t xml:space="preserve">грин00717</t>
  </si>
  <si>
    <t xml:space="preserve">Акт входного контроля грин00718 от 27.08.2025 22:03:08</t>
  </si>
  <si>
    <t xml:space="preserve">грин00718</t>
  </si>
  <si>
    <t xml:space="preserve">Акт входного контроля грин00719 от 27.08.2025 22:08:23</t>
  </si>
  <si>
    <t xml:space="preserve">грин00719</t>
  </si>
  <si>
    <t xml:space="preserve">Акт входного контроля грин00720 от 27.08.2025 22:57:38</t>
  </si>
  <si>
    <t xml:space="preserve">грин00720</t>
  </si>
  <si>
    <t xml:space="preserve">Акт входного контроля грин00721 от 27.08.2025 23:12:55</t>
  </si>
  <si>
    <t xml:space="preserve">грин00721</t>
  </si>
  <si>
    <t xml:space="preserve">Акт входного контроля грин00722 от 27.08.2025 23:30:39</t>
  </si>
  <si>
    <t xml:space="preserve">грин00722</t>
  </si>
  <si>
    <t xml:space="preserve">Акт входного контроля грин00724 от 28.08.2025 9:44:48</t>
  </si>
  <si>
    <t xml:space="preserve">грин00724</t>
  </si>
  <si>
    <t xml:space="preserve">Акт входного контроля грин00725 от 28.08.2025 11:02:43</t>
  </si>
  <si>
    <t xml:space="preserve">грин00725</t>
  </si>
  <si>
    <t xml:space="preserve">Акт входного контроля грин00723 от 28.08.2025 9:32:43</t>
  </si>
  <si>
    <t xml:space="preserve">грин00723</t>
  </si>
  <si>
    <t xml:space="preserve">Акт входного контроля грин00726 от 28.08.2025 11:21:14</t>
  </si>
  <si>
    <t xml:space="preserve">грин00726</t>
  </si>
  <si>
    <t xml:space="preserve">Акт входного контроля грин00727 от 28.08.2025 11:41:25</t>
  </si>
  <si>
    <t xml:space="preserve">грин00727</t>
  </si>
  <si>
    <t xml:space="preserve">Акт входного контроля грин00728 от 28.08.2025 13:10:54</t>
  </si>
  <si>
    <t xml:space="preserve">грин00728</t>
  </si>
  <si>
    <t xml:space="preserve">Акт входного контроля грин00729 от 28.08.2025 13:27:59</t>
  </si>
  <si>
    <t xml:space="preserve">грин00729</t>
  </si>
  <si>
    <t xml:space="preserve">Акт входного контроля грин00730 от 28.08.2025 13:39:23</t>
  </si>
  <si>
    <t xml:space="preserve">грин00730</t>
  </si>
  <si>
    <t xml:space="preserve">Акт входного контроля грин00733 от 28.08.2025 17:26:29</t>
  </si>
  <si>
    <t xml:space="preserve">грин00733</t>
  </si>
  <si>
    <t xml:space="preserve">Акт входного контроля грин00731 от 28.08.2025 15:08:13</t>
  </si>
  <si>
    <t xml:space="preserve">грин00731</t>
  </si>
  <si>
    <t xml:space="preserve">Акт входного контроля грин00732 от 28.08.2025 15:20:42</t>
  </si>
  <si>
    <t xml:space="preserve">грин00732</t>
  </si>
  <si>
    <t xml:space="preserve">Акт входного контроля грин00734 от 28.08.2025 17:34:51</t>
  </si>
  <si>
    <t xml:space="preserve">грин00734</t>
  </si>
  <si>
    <t xml:space="preserve">Акт входного контроля грин00735 от 28.08.2025 19:52:49</t>
  </si>
  <si>
    <t xml:space="preserve">грин00735</t>
  </si>
  <si>
    <t xml:space="preserve">Акт входного контроля грин00736 от 28.08.2025 21:13:09</t>
  </si>
  <si>
    <t xml:space="preserve">грин00736</t>
  </si>
  <si>
    <t xml:space="preserve">Акт входного контроля грин00737 от 28.08.2025 21:17:14</t>
  </si>
  <si>
    <t xml:space="preserve">грин00737</t>
  </si>
  <si>
    <t xml:space="preserve">Акт входного контроля грин00738 от 28.08.2025 22:34:56</t>
  </si>
  <si>
    <t xml:space="preserve">грин00738</t>
  </si>
  <si>
    <t xml:space="preserve">Акт входного контроля грин00739 от 28.08.2025 23:35:33</t>
  </si>
  <si>
    <t xml:space="preserve">грин00739</t>
  </si>
  <si>
    <t xml:space="preserve">Акт входного контроля грин00740 от 28.08.2025 20:23:38</t>
  </si>
  <si>
    <t xml:space="preserve">грин00740</t>
  </si>
  <si>
    <t xml:space="preserve">Акт входного контроля грин00741 от 28.08.2025 20:51:29</t>
  </si>
  <si>
    <t xml:space="preserve">грин00741</t>
  </si>
  <si>
    <t xml:space="preserve">Акт входного контроля грин00742 от 28.08.2025 21:08:01</t>
  </si>
  <si>
    <t xml:space="preserve">грин00742</t>
  </si>
  <si>
    <t xml:space="preserve">Акт входного контроля грин00743 от 28.08.2025 21:17:05</t>
  </si>
  <si>
    <t xml:space="preserve">грин00743</t>
  </si>
  <si>
    <t xml:space="preserve">Акт входного контроля грин00744 от 28.08.2025 21:53:38</t>
  </si>
  <si>
    <t xml:space="preserve">грин00744</t>
  </si>
  <si>
    <t xml:space="preserve">Акт входного контроля грин00745 от 28.08.2025 22:44:32</t>
  </si>
  <si>
    <t xml:space="preserve">грин00745</t>
  </si>
  <si>
    <t xml:space="preserve">Акт входного контроля грин00746 от 29.08.2025 8:06:45</t>
  </si>
  <si>
    <t xml:space="preserve">Давыденко Юрий Викторович</t>
  </si>
  <si>
    <t xml:space="preserve">У094СР</t>
  </si>
  <si>
    <t xml:space="preserve">грин00746</t>
  </si>
  <si>
    <t xml:space="preserve">Акт входного контроля грин00747 от 29.08.2025 9:24:57</t>
  </si>
  <si>
    <t xml:space="preserve">Затонский Сергей Анатольевич</t>
  </si>
  <si>
    <t xml:space="preserve">Е647РМ</t>
  </si>
  <si>
    <t xml:space="preserve">грин00747</t>
  </si>
  <si>
    <t xml:space="preserve">Акт входного контроля грин00748 от 29.08.2025 11:03:03</t>
  </si>
  <si>
    <t xml:space="preserve">Демченко Анатолий Григорьевич</t>
  </si>
  <si>
    <t xml:space="preserve">Р818СЕ</t>
  </si>
  <si>
    <t xml:space="preserve">грин00748</t>
  </si>
  <si>
    <t xml:space="preserve">Акт входного контроля грин00749 от 29.08.2025 11:15:52</t>
  </si>
  <si>
    <t xml:space="preserve">грин00749</t>
  </si>
  <si>
    <t xml:space="preserve">Акт входного контроля грин00750 от 29.08.2025 11:26:40</t>
  </si>
  <si>
    <t xml:space="preserve">грин00750</t>
  </si>
  <si>
    <t xml:space="preserve">Акт входного контроля грин00751 от 29.08.2025 11:38:52</t>
  </si>
  <si>
    <t xml:space="preserve">грин00751</t>
  </si>
  <si>
    <t xml:space="preserve">Акт входного контроля грин00752 от 29.08.2025 12:31:33</t>
  </si>
  <si>
    <t xml:space="preserve">грин00752</t>
  </si>
  <si>
    <t xml:space="preserve">Акт входного контроля грин00753 от 29.08.2025 14:13:54</t>
  </si>
  <si>
    <t xml:space="preserve">грин00753</t>
  </si>
  <si>
    <t xml:space="preserve">Акт входного контроля грин00754 от 29.08.2025 14:28:42</t>
  </si>
  <si>
    <t xml:space="preserve">грин00754</t>
  </si>
  <si>
    <t xml:space="preserve">Акт входного контроля грин00755 от 29.08.2025 15:55:47</t>
  </si>
  <si>
    <t xml:space="preserve">грин00755</t>
  </si>
  <si>
    <t xml:space="preserve">Акт входного контроля грин00756 от 29.08.2025 16:04:24</t>
  </si>
  <si>
    <t xml:space="preserve">грин00756</t>
  </si>
  <si>
    <t xml:space="preserve">Акт входного контроля грин00757 от 29.08.2025 19:28:55</t>
  </si>
  <si>
    <t xml:space="preserve">грин00757</t>
  </si>
  <si>
    <t xml:space="preserve">Акт входного контроля грин00758 от 29.08.2025 19:47:32</t>
  </si>
  <si>
    <t xml:space="preserve">грин00758</t>
  </si>
  <si>
    <t xml:space="preserve">Акт входного контроля грин00759 от 29.08.2025 22:01:41</t>
  </si>
  <si>
    <t xml:space="preserve">грин00759</t>
  </si>
  <si>
    <t xml:space="preserve">Акт входного контроля грин00760 от 29.08.2025 23:09:54</t>
  </si>
  <si>
    <t xml:space="preserve">Ковырев Владислав Анатольевич</t>
  </si>
  <si>
    <t xml:space="preserve">грин00760</t>
  </si>
  <si>
    <t xml:space="preserve">Акт входного контроля грин00761 от 29.08.2025 23:37:47</t>
  </si>
  <si>
    <t xml:space="preserve">грин00761</t>
  </si>
  <si>
    <t xml:space="preserve">Акт входного контроля грин00762 от 29.08.2025 20:38:29</t>
  </si>
  <si>
    <t xml:space="preserve">грин00762</t>
  </si>
  <si>
    <t xml:space="preserve">Акт входного контроля грин00763 от 29.08.2025 22:25:02</t>
  </si>
  <si>
    <t xml:space="preserve">грин00763</t>
  </si>
  <si>
    <t xml:space="preserve">Акт входного контроля грин00764 от 29.08.2025 22:29:59</t>
  </si>
  <si>
    <t xml:space="preserve">грин00764</t>
  </si>
  <si>
    <t xml:space="preserve">Акт входного контроля грин00765 от 30.08.2025 1:53:01</t>
  </si>
  <si>
    <t xml:space="preserve">грин00765</t>
  </si>
  <si>
    <t xml:space="preserve">Акт входного контроля грин00766 от 30.08.2025 2:44:40</t>
  </si>
  <si>
    <t xml:space="preserve">грин00766</t>
  </si>
  <si>
    <t xml:space="preserve">Акт входного контроля грин00767 от 30.08.2025 2:58:09</t>
  </si>
  <si>
    <t xml:space="preserve">грин00767</t>
  </si>
  <si>
    <t xml:space="preserve">Акт входного контроля грин00768 от 30.08.2025 5:20:19</t>
  </si>
  <si>
    <t xml:space="preserve">грин00768</t>
  </si>
  <si>
    <t xml:space="preserve">Акт входного контроля грин00769 от 30.08.2025 6:29:05</t>
  </si>
  <si>
    <t xml:space="preserve">грин00769</t>
  </si>
  <si>
    <t xml:space="preserve">Акт входного контроля грин00770 от 30.08.2025 7:07:15</t>
  </si>
  <si>
    <t xml:space="preserve">грин00770</t>
  </si>
  <si>
    <t xml:space="preserve">Акт входного контроля грин00771 от 30.08.2025 9:15:46</t>
  </si>
  <si>
    <t xml:space="preserve">грин00771</t>
  </si>
  <si>
    <t xml:space="preserve">Акт входного контроля грин00772 от 30.08.2025 9:15:15</t>
  </si>
  <si>
    <t xml:space="preserve">грин00772</t>
  </si>
  <si>
    <t xml:space="preserve">Акт входного контроля грин00773 от 30.08.2025 10:06:15</t>
  </si>
  <si>
    <t xml:space="preserve">грин00773</t>
  </si>
  <si>
    <t xml:space="preserve">Акт входного контроля грин00774 от 30.08.2025 10:52:59</t>
  </si>
  <si>
    <t xml:space="preserve">грин00774</t>
  </si>
  <si>
    <t xml:space="preserve">Акт входного контроля грин00775 от 30.08.2025 11:58:56</t>
  </si>
  <si>
    <t xml:space="preserve">грин00775</t>
  </si>
  <si>
    <t xml:space="preserve">Акт входного контроля грин00776 от 30.08.2025 12:40:43</t>
  </si>
  <si>
    <t xml:space="preserve">грин00776</t>
  </si>
  <si>
    <t xml:space="preserve">Акт входного контроля грин00777 от 30.08.2025 16:50:48</t>
  </si>
  <si>
    <t xml:space="preserve">грин00777</t>
  </si>
  <si>
    <t xml:space="preserve">Акт входного контроля грин00778 от 30.08.2025 17:39:30</t>
  </si>
  <si>
    <t xml:space="preserve">грин00778</t>
  </si>
  <si>
    <t xml:space="preserve">Акт входного контроля грин00779 от 30.08.2025 19:04:33</t>
  </si>
  <si>
    <t xml:space="preserve">грин00779</t>
  </si>
  <si>
    <t xml:space="preserve">Акт входного контроля грин00780 от 30.08.2025 21:32:32</t>
  </si>
  <si>
    <t xml:space="preserve">грин00780</t>
  </si>
  <si>
    <t xml:space="preserve">Акт входного контроля грин00781 от 30.08.2025 21:57:24</t>
  </si>
  <si>
    <t xml:space="preserve">грин00781</t>
  </si>
  <si>
    <t xml:space="preserve">Акт входного контроля грин00783 от 30.08.2025 23:59:07</t>
  </si>
  <si>
    <t xml:space="preserve">грин00783</t>
  </si>
  <si>
    <t xml:space="preserve">Акт входного контроля грин00782 от 31.08.2025 1:06:05</t>
  </si>
  <si>
    <t xml:space="preserve">грин00782</t>
  </si>
  <si>
    <t xml:space="preserve">Акт входного контроля грин00784 от 31.08.2025 2:32:39</t>
  </si>
  <si>
    <t xml:space="preserve">грин00784</t>
  </si>
  <si>
    <t xml:space="preserve">Акт входного контроля грин00785 от 31.08.2025 4:38:32</t>
  </si>
  <si>
    <t xml:space="preserve">грин00785</t>
  </si>
  <si>
    <t xml:space="preserve">Акт входного контроля грин00786 от 31.08.2025 5:48:45</t>
  </si>
  <si>
    <t xml:space="preserve">грин00786</t>
  </si>
  <si>
    <t xml:space="preserve">Акт входного контроля грин00787 от 31.08.2025 7:58:52</t>
  </si>
  <si>
    <t xml:space="preserve">грин00787</t>
  </si>
  <si>
    <t xml:space="preserve">Акт входного контроля грин00788 от 31.08.2025 8:12:31</t>
  </si>
  <si>
    <t xml:space="preserve">грин00788</t>
  </si>
  <si>
    <t xml:space="preserve">Акт входного контроля грин00789 от 31.08.2025 10:20:39</t>
  </si>
  <si>
    <t xml:space="preserve">грин00789</t>
  </si>
  <si>
    <t xml:space="preserve">Акт входного контроля грин00790 от 31.08.2025 10:25:22</t>
  </si>
  <si>
    <t xml:space="preserve">грин00790</t>
  </si>
  <si>
    <t xml:space="preserve">Акт входного контроля грин00791 от 31.08.2025 11:59:09</t>
  </si>
  <si>
    <t xml:space="preserve">грин00791</t>
  </si>
  <si>
    <t xml:space="preserve">Акт входного контроля грин00792 от 31.08.2025 12:02:30</t>
  </si>
  <si>
    <t xml:space="preserve">грин00792</t>
  </si>
  <si>
    <t xml:space="preserve">Акт входного контроля грин00793 от 31.08.2025 12:44:03</t>
  </si>
  <si>
    <t xml:space="preserve">грин00793</t>
  </si>
  <si>
    <t xml:space="preserve">Акт входного контроля грин00794 от 31.08.2025 13:38:02</t>
  </si>
  <si>
    <t xml:space="preserve">грин00794</t>
  </si>
  <si>
    <t xml:space="preserve">Акт входного контроля грин00795 от 31.08.2025 16:04:55</t>
  </si>
  <si>
    <t xml:space="preserve">грин00795</t>
  </si>
  <si>
    <t xml:space="preserve">Акт входного контроля грин00796 от 31.08.2025 16:09:55</t>
  </si>
  <si>
    <t xml:space="preserve">грин00796</t>
  </si>
  <si>
    <t xml:space="preserve">Акт входного контроля грин00797 от 31.08.2025 17:55:02</t>
  </si>
  <si>
    <t xml:space="preserve">грин00797</t>
  </si>
  <si>
    <t xml:space="preserve">Акт входного контроля грин00798 от 31.08.2025 17:57:34</t>
  </si>
  <si>
    <t xml:space="preserve">грин00798</t>
  </si>
  <si>
    <t xml:space="preserve">Акт входного контроля грин00799 от 31.08.2025 19:48:40</t>
  </si>
  <si>
    <t xml:space="preserve">грин00799</t>
  </si>
  <si>
    <t xml:space="preserve">Акт входного контроля грин00800 от 31.08.2025 19:56:33</t>
  </si>
  <si>
    <t xml:space="preserve">грин00800</t>
  </si>
  <si>
    <t xml:space="preserve">Акт входного контроля грин00801 от 31.08.2025 22:05:17</t>
  </si>
  <si>
    <t xml:space="preserve">грин00801</t>
  </si>
  <si>
    <t xml:space="preserve">Акт входного контроля грин00802 от 31.08.2025 22:21:44</t>
  </si>
  <si>
    <t xml:space="preserve">грин00802</t>
  </si>
  <si>
    <t xml:space="preserve">Акт входного контроля грин00803 от 31.08.2025 23:02:32</t>
  </si>
  <si>
    <t xml:space="preserve">грин00803</t>
  </si>
  <si>
    <t xml:space="preserve">Акт входного контроля грин00804 от 31.08.2025 22:45:34</t>
  </si>
  <si>
    <t xml:space="preserve">грин00804</t>
  </si>
  <si>
    <t xml:space="preserve">Акт входного контроля грин00805 от 31.08.2025 23:42:10</t>
  </si>
  <si>
    <t xml:space="preserve">грин00805</t>
  </si>
  <si>
    <t xml:space="preserve">Акт входного контроля грин00806 от 01.09.2025 1:54:18</t>
  </si>
  <si>
    <t xml:space="preserve">грин00806</t>
  </si>
  <si>
    <t xml:space="preserve">Акт входного контроля грин00807 от 01.09.2025 3:29:16</t>
  </si>
  <si>
    <t xml:space="preserve">грин00807</t>
  </si>
  <si>
    <t xml:space="preserve">Акт входного контроля грин00808 от 01.09.2025 4:16:48</t>
  </si>
  <si>
    <t xml:space="preserve">грин00808</t>
  </si>
  <si>
    <t xml:space="preserve">Акт входного контроля грин00809 от 01.09.2025 4:58:06</t>
  </si>
  <si>
    <t xml:space="preserve">грин00809</t>
  </si>
  <si>
    <t xml:space="preserve">Акт входного контроля грин00811 от 01.09.2025 5:55:45</t>
  </si>
  <si>
    <t xml:space="preserve">грин00811</t>
  </si>
  <si>
    <t xml:space="preserve">Акт входного контроля грин00810 от 01.09.2025 5:53:17</t>
  </si>
  <si>
    <t xml:space="preserve">грин00810</t>
  </si>
  <si>
    <t xml:space="preserve">Акт входного контроля грин00812 от 01.09.2025 6:35:49</t>
  </si>
  <si>
    <t xml:space="preserve">грин00812</t>
  </si>
  <si>
    <t xml:space="preserve">Акт входного контроля грин00845 от 03.09.2025 14:11:55</t>
  </si>
  <si>
    <t xml:space="preserve">грин00845</t>
  </si>
  <si>
    <t xml:space="preserve">Акт входного контроля грин00847 от 03.09.2025 15:49:19</t>
  </si>
  <si>
    <t xml:space="preserve">грин00847</t>
  </si>
  <si>
    <t xml:space="preserve">Акт входного контроля грин00848 от 03.09.2025 18:09:21</t>
  </si>
  <si>
    <t xml:space="preserve">грин00848</t>
  </si>
  <si>
    <t xml:space="preserve">Акт входного контроля грин00849 от 03.09.2025 19:29:01</t>
  </si>
  <si>
    <t xml:space="preserve">грин00849</t>
  </si>
  <si>
    <t xml:space="preserve">Акт входного контроля грин00850 от 03.09.2025 19:40:00</t>
  </si>
  <si>
    <t xml:space="preserve">грин00850</t>
  </si>
  <si>
    <t xml:space="preserve">Акт входного контроля грин00851 от 03.09.2025 21:03:02</t>
  </si>
  <si>
    <t xml:space="preserve">грин00851</t>
  </si>
  <si>
    <t xml:space="preserve">Акт входного контроля грин00852 от 03.09.2025 21:24:37</t>
  </si>
  <si>
    <t xml:space="preserve">грин00852</t>
  </si>
  <si>
    <t xml:space="preserve">Акт входного контроля грин00854 от 03.09.2025 23:57:43</t>
  </si>
  <si>
    <t xml:space="preserve">грин00854</t>
  </si>
  <si>
    <t xml:space="preserve">Акт входного контроля грин00857 от 04.09.2025 0:05:15</t>
  </si>
  <si>
    <t xml:space="preserve">грин00857</t>
  </si>
  <si>
    <t xml:space="preserve">Акт входного контроля грин00860 от 04.09.2025 1:08:02</t>
  </si>
  <si>
    <t xml:space="preserve">грин00860</t>
  </si>
  <si>
    <t xml:space="preserve">Акт входного контроля грин00859 от 04.09.2025 2:01:22</t>
  </si>
  <si>
    <t xml:space="preserve">грин00859</t>
  </si>
  <si>
    <t xml:space="preserve">Акт входного контроля грин00858 от 04.09.2025 3:03:01</t>
  </si>
  <si>
    <t xml:space="preserve">грин00858</t>
  </si>
  <si>
    <t xml:space="preserve">Акт входного контроля грин00856 от 04.09.2025 12:45:56</t>
  </si>
  <si>
    <t xml:space="preserve">грин00856</t>
  </si>
  <si>
    <t xml:space="preserve">Акт входного контроля грин00855 от 04.09.2025 13:05:04</t>
  </si>
  <si>
    <t xml:space="preserve">грин00855</t>
  </si>
  <si>
    <t xml:space="preserve">Акт входного контроля грин00853 от 04.09.2025 13:14:00</t>
  </si>
  <si>
    <t xml:space="preserve">грин00853</t>
  </si>
  <si>
    <t xml:space="preserve">Акт входного контроля грин00836 от 05.09.2025 12:05:31</t>
  </si>
  <si>
    <t xml:space="preserve">Гуднесс Фудс Гофицкое</t>
  </si>
  <si>
    <t xml:space="preserve">грин00836</t>
  </si>
  <si>
    <t xml:space="preserve">Акт входного контроля грин00837 от 05.09.2025 12:08:14</t>
  </si>
  <si>
    <t xml:space="preserve">грин00837</t>
  </si>
  <si>
    <t xml:space="preserve">Акт входного контроля грин00838 от 05.09.2025 13:14:15</t>
  </si>
  <si>
    <t xml:space="preserve">грин00838</t>
  </si>
  <si>
    <t xml:space="preserve">Акт входного контроля грин00839 от 05.09.2025 13:16:00</t>
  </si>
  <si>
    <t xml:space="preserve">грин00839</t>
  </si>
  <si>
    <t xml:space="preserve">Акт входного контроля грин00840 от 05.09.2025 13:17:54</t>
  </si>
  <si>
    <t xml:space="preserve">грин00840</t>
  </si>
  <si>
    <t xml:space="preserve">Акт входного контроля грин00841 от 05.09.2025 13:19:55</t>
  </si>
  <si>
    <t xml:space="preserve">грин00841</t>
  </si>
  <si>
    <t xml:space="preserve">Акт входного контроля грин00842 от 05.09.2025 10:44:56</t>
  </si>
  <si>
    <t xml:space="preserve">грин00842</t>
  </si>
  <si>
    <t xml:space="preserve">Акт входного контроля грин00843 от 05.09.2025 10:57:55</t>
  </si>
  <si>
    <t xml:space="preserve">грин00843</t>
  </si>
  <si>
    <t xml:space="preserve">Акт входного контроля грин00844 от 05.09.2025 11:08:43</t>
  </si>
  <si>
    <t xml:space="preserve">грин00844</t>
  </si>
  <si>
    <t xml:space="preserve">Акт входного контроля грин00846 от 05.09.2025 13:31:41</t>
  </si>
  <si>
    <t xml:space="preserve">грин00846</t>
  </si>
  <si>
    <t xml:space="preserve">Акт входного контроля грин00861 от 05.09.2025 15:34:38</t>
  </si>
  <si>
    <t xml:space="preserve">грин00861</t>
  </si>
  <si>
    <t xml:space="preserve">Акт входного контроля грин00862 от 05.09.2025 15:47:46</t>
  </si>
  <si>
    <t xml:space="preserve">грин00862</t>
  </si>
  <si>
    <t xml:space="preserve">Акт входного контроля грин00863 от 05.09.2025 16:27:00</t>
  </si>
  <si>
    <t xml:space="preserve">грин00863</t>
  </si>
  <si>
    <t xml:space="preserve">Акт входного контроля грин00864 от 05.09.2025 16:34:37</t>
  </si>
  <si>
    <t xml:space="preserve">грин00864</t>
  </si>
  <si>
    <t xml:space="preserve">Акт входного контроля грин00865 от 05.09.2025 19:24:39</t>
  </si>
  <si>
    <t xml:space="preserve">грин00865</t>
  </si>
  <si>
    <t xml:space="preserve">Акт входного контроля грин00866 от 05.09.2025 19:53:31</t>
  </si>
  <si>
    <t xml:space="preserve">грин00866</t>
  </si>
  <si>
    <t xml:space="preserve">Акт входного контроля грин00867 от 05.09.2025 20:52:11</t>
  </si>
  <si>
    <t xml:space="preserve">грин00867</t>
  </si>
  <si>
    <t xml:space="preserve">Акт входного контроля грин00868 от 05.09.2025 20:55:19</t>
  </si>
  <si>
    <t xml:space="preserve">грин00868</t>
  </si>
  <si>
    <t xml:space="preserve">Акт входного контроля грин00874 от 05.09.2025 17:07:03</t>
  </si>
  <si>
    <t xml:space="preserve">грин00874</t>
  </si>
  <si>
    <t xml:space="preserve">Акт входного контроля грин00869 от 05.09.2025 22:20:20</t>
  </si>
  <si>
    <t xml:space="preserve">грин00869</t>
  </si>
  <si>
    <t xml:space="preserve">Акт входного контроля грин00870 от 05.09.2025 22:23:37</t>
  </si>
  <si>
    <t xml:space="preserve">грин00870</t>
  </si>
  <si>
    <t xml:space="preserve">Акт входного контроля грин00871 от 05.09.2025 18:40:57</t>
  </si>
  <si>
    <t xml:space="preserve">грин00871</t>
  </si>
  <si>
    <t xml:space="preserve">Акт входного контроля грин00872 от 05.09.2025 21:14:27</t>
  </si>
  <si>
    <t xml:space="preserve">грин00872</t>
  </si>
  <si>
    <t xml:space="preserve">Акт входного контроля грин00873 от 05.09.2025 22:43:00</t>
  </si>
  <si>
    <t xml:space="preserve">грин00873</t>
  </si>
  <si>
    <t xml:space="preserve">Акт входного контроля грин00875 от 05.09.2025 22:51:52</t>
  </si>
  <si>
    <t xml:space="preserve">грин00875</t>
  </si>
  <si>
    <t xml:space="preserve">Акт входного контроля грин00877 от 07.09.2025 23:35:20</t>
  </si>
  <si>
    <t xml:space="preserve">грин00877</t>
  </si>
  <si>
    <t xml:space="preserve">Акт входного контроля грин00878 от 07.09.2025 22:46:16</t>
  </si>
  <si>
    <t xml:space="preserve">грин00878</t>
  </si>
  <si>
    <t xml:space="preserve">Акт входного контроля грин00879 от 07.09.2025 23:45:10</t>
  </si>
  <si>
    <t xml:space="preserve">грин00879</t>
  </si>
  <si>
    <t xml:space="preserve">Акт входного контроля грин00880 от 08.09.2025 13:40:07</t>
  </si>
  <si>
    <t xml:space="preserve">грин00880</t>
  </si>
  <si>
    <t xml:space="preserve">Акт входного контроля грин00881 от 08.09.2025 13:42:28</t>
  </si>
  <si>
    <t xml:space="preserve">грин00881</t>
  </si>
  <si>
    <t xml:space="preserve">Акт входного контроля грин00882 от 08.09.2025 13:44:48</t>
  </si>
  <si>
    <t xml:space="preserve">грин00882</t>
  </si>
  <si>
    <t xml:space="preserve">Акт входного контроля грин00883 от 08.09.2025 13:47:58</t>
  </si>
  <si>
    <t xml:space="preserve">грин00883</t>
  </si>
  <si>
    <t xml:space="preserve">Акт входного контроля грин00884 от 08.09.2025 13:51:51</t>
  </si>
  <si>
    <t xml:space="preserve">грин00884</t>
  </si>
  <si>
    <t xml:space="preserve">Акт входного контроля грин00885 от 08.09.2025 13:54:02</t>
  </si>
  <si>
    <t xml:space="preserve">грин00885</t>
  </si>
  <si>
    <t xml:space="preserve">Акт входного контроля грин00886 от 08.09.2025 13:56:44</t>
  </si>
  <si>
    <t xml:space="preserve">грин00886</t>
  </si>
  <si>
    <t xml:space="preserve">Акт входного контроля грин00887 от 08.09.2025 13:59:35</t>
  </si>
  <si>
    <t xml:space="preserve">грин00887</t>
  </si>
  <si>
    <t xml:space="preserve">Акт входного контроля грин00888 от 08.09.2025 8:39:56</t>
  </si>
  <si>
    <t xml:space="preserve">грин00888</t>
  </si>
  <si>
    <t xml:space="preserve">Акт входного контроля грин00890 от 08.09.2025 14:20:49</t>
  </si>
  <si>
    <t xml:space="preserve">грин00890</t>
  </si>
  <si>
    <t xml:space="preserve">Акт входного контроля грин00891 от 08.09.2025 14:30:13</t>
  </si>
  <si>
    <t xml:space="preserve">грин00891</t>
  </si>
  <si>
    <t xml:space="preserve">Акт входного контроля грин00892 от 08.09.2025 14:33:07</t>
  </si>
  <si>
    <t xml:space="preserve">грин00892</t>
  </si>
  <si>
    <t xml:space="preserve">Акт входного контроля грин00893 от 08.09.2025 16:42:28</t>
  </si>
  <si>
    <t xml:space="preserve">грин00893</t>
  </si>
  <si>
    <t xml:space="preserve">Акт входного контроля грин00894 от 08.09.2025 16:46:29</t>
  </si>
  <si>
    <t xml:space="preserve">грин00894</t>
  </si>
  <si>
    <t xml:space="preserve">Акт входного контроля грин00895 от 08.09.2025 18:18:47</t>
  </si>
  <si>
    <t xml:space="preserve">грин00895</t>
  </si>
  <si>
    <t xml:space="preserve">Акт входного контроля грин00896 от 08.09.2025 18:21:17</t>
  </si>
  <si>
    <t xml:space="preserve">грин00896</t>
  </si>
  <si>
    <t xml:space="preserve">Акт входного контроля грин00897 от 08.09.2025 19:53:32</t>
  </si>
  <si>
    <t xml:space="preserve">грин00897</t>
  </si>
  <si>
    <t xml:space="preserve">Акт входного контроля грин00898 от 08.09.2025 20:58:20</t>
  </si>
  <si>
    <t xml:space="preserve">грин00898</t>
  </si>
  <si>
    <t xml:space="preserve">Акт входного контроля грин00899 от 08.09.2025 21:19:25</t>
  </si>
  <si>
    <t xml:space="preserve">грин00899</t>
  </si>
  <si>
    <t xml:space="preserve">Акт входного контроля грин00900 от 08.09.2025 21:40:14</t>
  </si>
  <si>
    <t xml:space="preserve">грин00900</t>
  </si>
  <si>
    <t xml:space="preserve">Акт входного контроля грин00901 от 08.09.2025 22:46:42</t>
  </si>
  <si>
    <t xml:space="preserve">грин00901</t>
  </si>
  <si>
    <t xml:space="preserve">Акт входного контроля грин00902 от 08.09.2025 20:00:20</t>
  </si>
  <si>
    <t xml:space="preserve">Грищенко Александр Александрович</t>
  </si>
  <si>
    <t xml:space="preserve">К416ТН</t>
  </si>
  <si>
    <t xml:space="preserve">грин00902</t>
  </si>
  <si>
    <t xml:space="preserve">Акт входного контроля грин00903 от 08.09.2025 20:04:48</t>
  </si>
  <si>
    <t xml:space="preserve">грин00903</t>
  </si>
  <si>
    <t xml:space="preserve">Акт входного контроля грин00904 от 08.09.2025 20:10:24</t>
  </si>
  <si>
    <t xml:space="preserve">грин00904</t>
  </si>
  <si>
    <t xml:space="preserve">Акт входного контроля грин00905 от 08.09.2025 22:28:46</t>
  </si>
  <si>
    <t xml:space="preserve">грин00905</t>
  </si>
  <si>
    <t xml:space="preserve">Акт входного контроля грин00906 от 08.09.2025 22:56:24</t>
  </si>
  <si>
    <t xml:space="preserve">грин00906</t>
  </si>
  <si>
    <t xml:space="preserve">Акт входного контроля грин00907 от 08.09.2025 23:01:17</t>
  </si>
  <si>
    <t xml:space="preserve">грин00907</t>
  </si>
  <si>
    <t xml:space="preserve">Акт входного контроля грин00908 от 08.09.2025 23:06:31</t>
  </si>
  <si>
    <t xml:space="preserve">грин00908</t>
  </si>
  <si>
    <t xml:space="preserve">Акт входного контроля грин00909 от 09.09.2025 7:01:55</t>
  </si>
  <si>
    <t xml:space="preserve">грин00909</t>
  </si>
  <si>
    <t xml:space="preserve">Акт входного контроля грин00910 от 09.09.2025 9:55:46</t>
  </si>
  <si>
    <t xml:space="preserve">грин00910</t>
  </si>
  <si>
    <t xml:space="preserve">Акт входного контроля грин00911 от 09.09.2025 10:10:12</t>
  </si>
  <si>
    <t xml:space="preserve">Игольницын Сергей Владимирович</t>
  </si>
  <si>
    <t xml:space="preserve">В780ТТ</t>
  </si>
  <si>
    <t xml:space="preserve">грин00911</t>
  </si>
  <si>
    <t xml:space="preserve">Акт входного контроля грин00912 от 09.09.2025 10:19:45</t>
  </si>
  <si>
    <t xml:space="preserve">грин00912</t>
  </si>
  <si>
    <t xml:space="preserve">Акт входного контроля грин00913 от 09.09.2025 11:28:28</t>
  </si>
  <si>
    <t xml:space="preserve">грин00913</t>
  </si>
  <si>
    <t xml:space="preserve">Акт входного контроля грин00914 от 09.09.2025 13:34:02</t>
  </si>
  <si>
    <t xml:space="preserve">грин00914</t>
  </si>
  <si>
    <t xml:space="preserve">Акт входного контроля грин00915 от 09.09.2025 14:12:32</t>
  </si>
  <si>
    <t xml:space="preserve">грин00915</t>
  </si>
  <si>
    <t xml:space="preserve">Акт входного контроля грин00916 от 09.09.2025 15:45:11</t>
  </si>
  <si>
    <t xml:space="preserve">грин00916</t>
  </si>
  <si>
    <t xml:space="preserve">Акт входного контроля грин00918 от 09.09.2025 19:55:21</t>
  </si>
  <si>
    <t xml:space="preserve">грин00918</t>
  </si>
  <si>
    <t xml:space="preserve">Акт входного контроля грин00919 от 09.09.2025 20:00:39</t>
  </si>
  <si>
    <t xml:space="preserve">грин00919</t>
  </si>
  <si>
    <t xml:space="preserve">Акт входного контроля грин00920 от 09.09.2025 20:36:58</t>
  </si>
  <si>
    <t xml:space="preserve">грин00920</t>
  </si>
  <si>
    <t xml:space="preserve">Акт входного контроля грин00921 от 09.09.2025 21:16:09</t>
  </si>
  <si>
    <t xml:space="preserve">грин00921</t>
  </si>
  <si>
    <t xml:space="preserve">Акт входного контроля грин00917 от 09.09.2025 17:00:45</t>
  </si>
  <si>
    <t xml:space="preserve">грин00917</t>
  </si>
  <si>
    <t xml:space="preserve">Акт входного контроля грин00922 от 09.09.2025 12:20:34</t>
  </si>
  <si>
    <t xml:space="preserve">грин00922</t>
  </si>
  <si>
    <t xml:space="preserve">Акт входного контроля грин00923 от 09.09.2025 12:28:33</t>
  </si>
  <si>
    <t xml:space="preserve">грин00923</t>
  </si>
  <si>
    <t xml:space="preserve">Акт входного контроля грин00924 от 09.09.2025 18:15:14</t>
  </si>
  <si>
    <t xml:space="preserve">грин00924</t>
  </si>
  <si>
    <t xml:space="preserve">Акт входного контроля грин00925 от 09.09.2025 18:45:33</t>
  </si>
  <si>
    <t xml:space="preserve">грин00925</t>
  </si>
  <si>
    <t xml:space="preserve">Акт входного контроля грин00926 от 09.09.2025 18:49:44</t>
  </si>
  <si>
    <t xml:space="preserve">грин00926</t>
  </si>
  <si>
    <t xml:space="preserve">Акт входного контроля грин00927 от 09.09.2025 20:05:03</t>
  </si>
  <si>
    <t xml:space="preserve">грин00927</t>
  </si>
  <si>
    <t xml:space="preserve">Акт входного контроля грин00928 от 09.09.2025 20:39:39</t>
  </si>
  <si>
    <t xml:space="preserve">грин00928</t>
  </si>
  <si>
    <t xml:space="preserve">Акт входного контроля грин00929 от 09.09.2025 20:44:23</t>
  </si>
  <si>
    <t xml:space="preserve">грин00929</t>
  </si>
  <si>
    <t xml:space="preserve">Акт входного контроля грин00930 от 09.09.2025 23:28:56</t>
  </si>
  <si>
    <t xml:space="preserve">грин00930</t>
  </si>
  <si>
    <t xml:space="preserve">Акт входного контроля грин00931 от 12.09.2025 2:08:38</t>
  </si>
  <si>
    <t xml:space="preserve">грин00931</t>
  </si>
  <si>
    <t xml:space="preserve">Акт входного контроля грин00932 от 12.09.2025 5:51:17</t>
  </si>
  <si>
    <t xml:space="preserve">грин00932</t>
  </si>
  <si>
    <t xml:space="preserve">Акт входного контроля грин00934 от 12.09.2025 6:38:27</t>
  </si>
  <si>
    <t xml:space="preserve">грин00934</t>
  </si>
  <si>
    <t xml:space="preserve">Акт входного контроля грин00933 от 12.09.2025 6:14:02</t>
  </si>
  <si>
    <t xml:space="preserve">грин00933</t>
  </si>
  <si>
    <t xml:space="preserve">Акт входного контроля грин00935 от 12.09.2025 13:21:37</t>
  </si>
  <si>
    <t xml:space="preserve">грин00935</t>
  </si>
  <si>
    <t xml:space="preserve">Акт входного контроля грин00936 от 12.09.2025 13:50:20</t>
  </si>
  <si>
    <t xml:space="preserve">грин00936</t>
  </si>
  <si>
    <t xml:space="preserve">Акт входного контроля грин00937 от 12.09.2025 13:59:49</t>
  </si>
  <si>
    <t xml:space="preserve">грин00937</t>
  </si>
  <si>
    <t xml:space="preserve">Акт входного контроля грин00938 от 12.09.2025 14:35:23</t>
  </si>
  <si>
    <t xml:space="preserve">грин00938</t>
  </si>
  <si>
    <t xml:space="preserve">Акт входного контроля грин00939 от 12.09.2025 14:53:35</t>
  </si>
  <si>
    <t xml:space="preserve">грин00939</t>
  </si>
  <si>
    <t xml:space="preserve">Акт входного контроля грин00940 от 12.09.2025 19:29:06</t>
  </si>
  <si>
    <t xml:space="preserve">грин00940</t>
  </si>
  <si>
    <t xml:space="preserve">Акт входного контроля грин00941 от 12.09.2025 19:36:48</t>
  </si>
  <si>
    <t xml:space="preserve">грин00941</t>
  </si>
  <si>
    <t xml:space="preserve">Акт входного контроля грин00942 от 12.09.2025 21:28:30</t>
  </si>
  <si>
    <t xml:space="preserve">грин00942</t>
  </si>
  <si>
    <t xml:space="preserve">Акт входного контроля грин00944 от 12.09.2025 22:55:30</t>
  </si>
  <si>
    <t xml:space="preserve">грин00944</t>
  </si>
  <si>
    <t xml:space="preserve">Акт входного контроля грин00943 от 12.09.2025 22:14:07</t>
  </si>
  <si>
    <t xml:space="preserve">грин00943</t>
  </si>
  <si>
    <t xml:space="preserve">Акт входного контроля грин00945 от 12.09.2025 23:36:16</t>
  </si>
  <si>
    <t xml:space="preserve">грин00945</t>
  </si>
  <si>
    <t xml:space="preserve">Акт входного контроля грин00946 от 12.09.2025 8:29:00</t>
  </si>
  <si>
    <t xml:space="preserve">грин00946</t>
  </si>
  <si>
    <t xml:space="preserve">Акт входного контроля грин00947 от 12.09.2025 16:24:39</t>
  </si>
  <si>
    <t xml:space="preserve">грин00947</t>
  </si>
  <si>
    <t xml:space="preserve">Акт входного контроля грин00948 от 12.09.2025 17:18:27</t>
  </si>
  <si>
    <t xml:space="preserve">грин00948</t>
  </si>
  <si>
    <t xml:space="preserve">Акт входного контроля грин00949 от 12.09.2025 18:08:22</t>
  </si>
  <si>
    <t xml:space="preserve">грин00949</t>
  </si>
  <si>
    <t xml:space="preserve">Акт входного контроля грин00950 от 12.09.2025 18:12:17</t>
  </si>
  <si>
    <t xml:space="preserve">грин00950</t>
  </si>
  <si>
    <t xml:space="preserve">Акт входного контроля грин00951 от 12.09.2025 18:49:05</t>
  </si>
  <si>
    <t xml:space="preserve">грин00951</t>
  </si>
  <si>
    <t xml:space="preserve">Акт входного контроля грин00952 от 12.09.2025 19:48:32</t>
  </si>
  <si>
    <t xml:space="preserve">грин00952</t>
  </si>
  <si>
    <t xml:space="preserve">Акт входного контроля грин00953 от 12.09.2025 20:48:31</t>
  </si>
  <si>
    <t xml:space="preserve">грин00953</t>
  </si>
  <si>
    <t xml:space="preserve">Акт входного контроля грин00956 от 12.09.2025 23:11:27</t>
  </si>
  <si>
    <t xml:space="preserve">грин00956</t>
  </si>
  <si>
    <t xml:space="preserve">Акт входного контроля грин00969 от 13.09.2025 0:41:21</t>
  </si>
  <si>
    <t xml:space="preserve">грин00969</t>
  </si>
  <si>
    <t xml:space="preserve">Акт входного контроля грин00971 от 13.09.2025 16:09:09</t>
  </si>
  <si>
    <t xml:space="preserve">грин00971</t>
  </si>
  <si>
    <t xml:space="preserve">Акт входного контроля грин00972 от 13.09.2025 16:14:06</t>
  </si>
  <si>
    <t xml:space="preserve">грин00972</t>
  </si>
  <si>
    <t xml:space="preserve">Акт входного контроля грин00986 от 13.09.2025 16:42:31</t>
  </si>
  <si>
    <t xml:space="preserve">грин00986</t>
  </si>
  <si>
    <t xml:space="preserve">Акт входного контроля грин01014 от 13.09.2025 17:20:59</t>
  </si>
  <si>
    <t xml:space="preserve">грин01014</t>
  </si>
  <si>
    <t xml:space="preserve">Акт входного контроля грин01017 от 13.09.2025 19:47:38</t>
  </si>
  <si>
    <t xml:space="preserve">грин01017</t>
  </si>
  <si>
    <t xml:space="preserve">Акт входного контроля грин01018 от 13.09.2025 21:42:26</t>
  </si>
  <si>
    <t xml:space="preserve">грин01018</t>
  </si>
  <si>
    <t xml:space="preserve">Акт входного контроля грин01020 от 13.09.2025 21:49:13</t>
  </si>
  <si>
    <t xml:space="preserve">грин01020</t>
  </si>
  <si>
    <t xml:space="preserve">Акт входного контроля грин01021 от 13.09.2025 13:25:44</t>
  </si>
  <si>
    <t xml:space="preserve">грин01021</t>
  </si>
  <si>
    <t xml:space="preserve">Акт входного контроля грин01022 от 13.09.2025 13:44:15</t>
  </si>
  <si>
    <t xml:space="preserve">грин01022</t>
  </si>
  <si>
    <t xml:space="preserve">Акт входного контроля грин01023 от 13.09.2025 13:53:25</t>
  </si>
  <si>
    <t xml:space="preserve">грин01023</t>
  </si>
  <si>
    <t xml:space="preserve">Акт входного контроля грин01024 от 13.09.2025 16:21:20</t>
  </si>
  <si>
    <t xml:space="preserve">грин01024</t>
  </si>
  <si>
    <t xml:space="preserve">Акт входного контроля грин01025 от 13.09.2025 16:26:10</t>
  </si>
  <si>
    <t xml:space="preserve">грин01025</t>
  </si>
  <si>
    <t xml:space="preserve">Акт входного контроля грин01027 от 13.09.2025 17:49:42</t>
  </si>
  <si>
    <t xml:space="preserve">грин01027</t>
  </si>
  <si>
    <t xml:space="preserve">Акт входного контроля грин01028 от 13.09.2025 18:39:22</t>
  </si>
  <si>
    <t xml:space="preserve">грин01028</t>
  </si>
  <si>
    <t xml:space="preserve">Акт входного контроля грин01019 от 13.09.2025 21:46:43</t>
  </si>
  <si>
    <t xml:space="preserve">грин01019</t>
  </si>
  <si>
    <t xml:space="preserve">Акт входного контроля грин01029 от 13.09.2025 21:00:48</t>
  </si>
  <si>
    <t xml:space="preserve">грин01029</t>
  </si>
  <si>
    <t xml:space="preserve">Акт входного контроля грин01030 от 14.09.2025 11:28:34</t>
  </si>
  <si>
    <t xml:space="preserve">грин01030</t>
  </si>
  <si>
    <t xml:space="preserve">Акт входного контроля грин01031 от 14.09.2025 13:54:12</t>
  </si>
  <si>
    <t xml:space="preserve">грин01031</t>
  </si>
  <si>
    <t xml:space="preserve">Акт входного контроля грин01032 от 14.09.2025 14:06:53</t>
  </si>
  <si>
    <t xml:space="preserve">грин01032</t>
  </si>
  <si>
    <t xml:space="preserve">Акт входного контроля грин01026 от 14.09.2025 4:42:19</t>
  </si>
  <si>
    <t xml:space="preserve">грин01026</t>
  </si>
  <si>
    <t xml:space="preserve">Акт входного контроля грин01033 от 14.09.2025 15:06:51</t>
  </si>
  <si>
    <t xml:space="preserve">грин01033</t>
  </si>
  <si>
    <t xml:space="preserve">Акт входного контроля грин01034 от 14.09.2025 17:59:10</t>
  </si>
  <si>
    <t xml:space="preserve">грин01034</t>
  </si>
  <si>
    <t xml:space="preserve">Акт входного контроля грин01035 от 14.09.2025 18:14:50</t>
  </si>
  <si>
    <t xml:space="preserve">грин01035</t>
  </si>
  <si>
    <t xml:space="preserve">Акт входного контроля грин01036 от 14.09.2025 18:59:16</t>
  </si>
  <si>
    <t xml:space="preserve">грин01036</t>
  </si>
  <si>
    <t xml:space="preserve">Акт входного контроля грин01037 от 14.09.2025 21:05:13</t>
  </si>
  <si>
    <t xml:space="preserve">грин01037</t>
  </si>
  <si>
    <t xml:space="preserve">Акт входного контроля грин01038 от 14.09.2025 21:14:12</t>
  </si>
  <si>
    <t xml:space="preserve">грин01038</t>
  </si>
  <si>
    <t xml:space="preserve">Акт входного контроля грин01040 от 14.09.2025 6:42:16</t>
  </si>
  <si>
    <t xml:space="preserve">грин01040</t>
  </si>
  <si>
    <t xml:space="preserve">Акт входного контроля грин01039 от 14.09.2025 7:32:33</t>
  </si>
  <si>
    <t xml:space="preserve">грин01039</t>
  </si>
  <si>
    <t xml:space="preserve">Акт входного контроля грин01041 от 14.09.2025 10:02:51</t>
  </si>
  <si>
    <t xml:space="preserve">грин01041</t>
  </si>
  <si>
    <t xml:space="preserve">Акт входного контроля грин01042 от 14.09.2025 10:08:58</t>
  </si>
  <si>
    <t xml:space="preserve">грин01042</t>
  </si>
  <si>
    <t xml:space="preserve">Акт входного контроля грин01043 от 14.09.2025 12:18:54</t>
  </si>
  <si>
    <t xml:space="preserve">грин01043</t>
  </si>
  <si>
    <t xml:space="preserve">Акт входного контроля грин01044 от 14.09.2025 12:49:25</t>
  </si>
  <si>
    <t xml:space="preserve">грин01044</t>
  </si>
  <si>
    <t xml:space="preserve">Акт входного контроля грин01045 от 14.09.2025 12:53:29</t>
  </si>
  <si>
    <t xml:space="preserve">грин01045</t>
  </si>
  <si>
    <t xml:space="preserve">Акт входного контроля грин01046 от 14.09.2025 15:55:33</t>
  </si>
  <si>
    <t xml:space="preserve">грин01046</t>
  </si>
  <si>
    <t xml:space="preserve">Акт входного контроля грин01047 от 14.09.2025 19:09:14</t>
  </si>
  <si>
    <t xml:space="preserve">грин01047</t>
  </si>
  <si>
    <t xml:space="preserve">Акт входного контроля грин01048 от 14.09.2025 19:14:57</t>
  </si>
  <si>
    <t xml:space="preserve">грин01048</t>
  </si>
  <si>
    <t xml:space="preserve">Акт входного контроля грин01049 от 14.09.2025 22:45:19</t>
  </si>
  <si>
    <t xml:space="preserve">грин01049</t>
  </si>
  <si>
    <t xml:space="preserve">Акт входного контроля грин01050 от 14.09.2025 23:40:53</t>
  </si>
  <si>
    <t xml:space="preserve">грин01050</t>
  </si>
  <si>
    <t xml:space="preserve">Акт входного контроля грин01051 от 15.09.2025 19:04:08</t>
  </si>
  <si>
    <t xml:space="preserve">грин01051</t>
  </si>
  <si>
    <t xml:space="preserve">Акт входного контроля грин01052 от 15.09.2025 20:30:01</t>
  </si>
  <si>
    <t xml:space="preserve">грин01052</t>
  </si>
  <si>
    <t xml:space="preserve">Акт входного контроля грин01053 от 15.09.2025 22:43:46</t>
  </si>
  <si>
    <t xml:space="preserve">грин01053</t>
  </si>
  <si>
    <t xml:space="preserve">Акт входного контроля грин01056 от 15.09.2025 5:20:13</t>
  </si>
  <si>
    <t xml:space="preserve">грин01056</t>
  </si>
  <si>
    <t xml:space="preserve">Акт входного контроля грин01057 от 15.09.2025 5:24:33</t>
  </si>
  <si>
    <t xml:space="preserve">грин01057</t>
  </si>
  <si>
    <t xml:space="preserve">Акт входного контроля грин01058 от 15.09.2025 5:50:55</t>
  </si>
  <si>
    <t xml:space="preserve">грин01058</t>
  </si>
  <si>
    <t xml:space="preserve">Акт входного контроля грин01059 от 15.09.2025 7:52:55</t>
  </si>
  <si>
    <t xml:space="preserve">грин01059</t>
  </si>
  <si>
    <t xml:space="preserve">Акт входного контроля грин01060 от 15.09.2025 8:46:39</t>
  </si>
  <si>
    <t xml:space="preserve">грин01060</t>
  </si>
  <si>
    <t xml:space="preserve">Акт входного контроля грин01061 от 15.09.2025 10:17:24</t>
  </si>
  <si>
    <t xml:space="preserve">грин01061</t>
  </si>
  <si>
    <t xml:space="preserve">Акт входного контроля грин01062 от 15.09.2025 10:21:18</t>
  </si>
  <si>
    <t xml:space="preserve">грин01062</t>
  </si>
  <si>
    <t xml:space="preserve">Акт входного контроля грин01063 от 15.09.2025 12:00:35</t>
  </si>
  <si>
    <t xml:space="preserve">грин01063</t>
  </si>
  <si>
    <t xml:space="preserve">Акт входного контроля грин01064 от 15.09.2025 12:40:25</t>
  </si>
  <si>
    <t xml:space="preserve">грин01064</t>
  </si>
  <si>
    <t xml:space="preserve">Акт входного контроля грин01065 от 15.09.2025 14:52:17</t>
  </si>
  <si>
    <t xml:space="preserve">грин01065</t>
  </si>
  <si>
    <t xml:space="preserve">Акт входного контроля грин01066 от 15.09.2025 20:44:50</t>
  </si>
  <si>
    <t xml:space="preserve">грин01066</t>
  </si>
  <si>
    <t xml:space="preserve">Акт входного контроля грин01054 от 15.09.2025 22:56:15</t>
  </si>
  <si>
    <t xml:space="preserve">грин01054</t>
  </si>
  <si>
    <t xml:space="preserve">Акт входного контроля грин01055 от 15.09.2025 22:02:22</t>
  </si>
  <si>
    <t xml:space="preserve">грин01055</t>
  </si>
  <si>
    <t xml:space="preserve">Акт входного контроля грин01067 от 16.09.2025 15:02:36</t>
  </si>
  <si>
    <t xml:space="preserve">ГРИН РЭЙ КУБАНЬ ООО</t>
  </si>
  <si>
    <t xml:space="preserve">Сайко Василий Викторович</t>
  </si>
  <si>
    <t xml:space="preserve">А816ЕВ</t>
  </si>
  <si>
    <t xml:space="preserve">А-113/2</t>
  </si>
  <si>
    <t xml:space="preserve">Оватонна</t>
  </si>
  <si>
    <t xml:space="preserve">грин01067</t>
  </si>
  <si>
    <t xml:space="preserve">Акт входного контроля грин01068 от 16.09.2025 20:03:02</t>
  </si>
  <si>
    <t xml:space="preserve">грин01068</t>
  </si>
  <si>
    <t xml:space="preserve">Акт входного контроля грин01069 от 16.09.2025 22:37:50</t>
  </si>
  <si>
    <t xml:space="preserve">грин01069</t>
  </si>
  <si>
    <t xml:space="preserve">Акт входного контроля грин01070 от 17.09.2025 3:26:23</t>
  </si>
  <si>
    <t xml:space="preserve">грин01070</t>
  </si>
  <si>
    <t xml:space="preserve">Акт входного контроля грин01071 от 17.09.2025 5:27:19</t>
  </si>
  <si>
    <t xml:space="preserve">А-113</t>
  </si>
  <si>
    <t xml:space="preserve">грин01071</t>
  </si>
  <si>
    <t xml:space="preserve">Акт входного контроля грин01072 от 17.09.2025 6:51:28</t>
  </si>
  <si>
    <t xml:space="preserve">грин01072</t>
  </si>
  <si>
    <t xml:space="preserve">Акт входного контроля грин01073 от 17.09.2025 11:25:09</t>
  </si>
  <si>
    <t xml:space="preserve">грин01073</t>
  </si>
  <si>
    <t xml:space="preserve">Акт входного контроля грин01074 от 17.09.2025 13:23:36</t>
  </si>
  <si>
    <t xml:space="preserve">грин01074</t>
  </si>
  <si>
    <t xml:space="preserve">Акт входного контроля грин01075 от 17.09.2025 15:31:56</t>
  </si>
  <si>
    <t xml:space="preserve">грин01075</t>
  </si>
  <si>
    <t xml:space="preserve">Акт входного контроля грин01076 от 17.09.2025 15:57:28</t>
  </si>
  <si>
    <t xml:space="preserve">грин01076</t>
  </si>
  <si>
    <t xml:space="preserve">Акт входного контроля грин01077 от 17.09.2025 16:42:14</t>
  </si>
  <si>
    <t xml:space="preserve">грин01077</t>
  </si>
  <si>
    <t xml:space="preserve">Акт входного контроля грин01078 от 17.09.2025 18:33:27</t>
  </si>
  <si>
    <t xml:space="preserve">грин01078</t>
  </si>
  <si>
    <t xml:space="preserve">Акт входного контроля грин01079 от 17.09.2025 22:25:50</t>
  </si>
  <si>
    <t xml:space="preserve">грин01079</t>
  </si>
  <si>
    <t xml:space="preserve">Акт входного контроля грин01080 от 17.09.2025 22:30:06</t>
  </si>
  <si>
    <t xml:space="preserve">грин01080</t>
  </si>
  <si>
    <t xml:space="preserve">Акт входного контроля грин01081 от 17.09.2025 23:28:55</t>
  </si>
  <si>
    <t xml:space="preserve">грин01081</t>
  </si>
  <si>
    <t xml:space="preserve">Акт входного контроля грин01082 от 18.09.2025 1:18:19</t>
  </si>
  <si>
    <t xml:space="preserve">грин01082</t>
  </si>
  <si>
    <t xml:space="preserve">Акт входного контроля грин01083 от 18.09.2025 4:30:01</t>
  </si>
  <si>
    <t xml:space="preserve">грин01083</t>
  </si>
  <si>
    <t xml:space="preserve">Акт входного контроля грин01084 от 18.09.2025 6:22:14</t>
  </si>
  <si>
    <t xml:space="preserve">грин01084</t>
  </si>
  <si>
    <t xml:space="preserve">Акт входного контроля грин01085 от 18.09.2025 6:26:37</t>
  </si>
  <si>
    <t xml:space="preserve">грин01085</t>
  </si>
  <si>
    <t xml:space="preserve">Акт входного контроля грин01086 от 18.09.2025 10:47:19</t>
  </si>
  <si>
    <t xml:space="preserve">грин01086</t>
  </si>
  <si>
    <t xml:space="preserve">Акт входного контроля грин01087 от 18.09.2025 10:58:07</t>
  </si>
  <si>
    <t xml:space="preserve">грин01087</t>
  </si>
  <si>
    <t xml:space="preserve">Акт входного контроля грин01088 от 18.09.2025 11:09:54</t>
  </si>
  <si>
    <t xml:space="preserve">грин01088</t>
  </si>
  <si>
    <t xml:space="preserve">Акт входного контроля грин01089 от 18.09.2025 14:15:07</t>
  </si>
  <si>
    <t xml:space="preserve">грин01089</t>
  </si>
  <si>
    <t xml:space="preserve">Акт входного контроля грин01090 от 18.09.2025 14:35:56</t>
  </si>
  <si>
    <t xml:space="preserve">грин01090</t>
  </si>
  <si>
    <t xml:space="preserve">Акт входного контроля грин01091 от 18.09.2025 14:42:17</t>
  </si>
  <si>
    <t xml:space="preserve">грин01091</t>
  </si>
  <si>
    <t xml:space="preserve">Акт входного контроля грин01092 от 18.09.2025 14:50:52</t>
  </si>
  <si>
    <t xml:space="preserve">грин01092</t>
  </si>
  <si>
    <t xml:space="preserve">Акт входного контроля грин01093 от 18.09.2025 15:20:48</t>
  </si>
  <si>
    <t xml:space="preserve">грин01093</t>
  </si>
  <si>
    <t xml:space="preserve">Акт входного контроля грин01094 от 18.09.2025 17:37:30</t>
  </si>
  <si>
    <t xml:space="preserve">грин01094</t>
  </si>
  <si>
    <t xml:space="preserve">Акт входного контроля грин01095 от 18.09.2025 18:07:25</t>
  </si>
  <si>
    <t xml:space="preserve">грин01095</t>
  </si>
  <si>
    <t xml:space="preserve">Акт входного контроля грин01096 от 18.09.2025 20:48:26</t>
  </si>
  <si>
    <t xml:space="preserve">грин01096</t>
  </si>
  <si>
    <t xml:space="preserve">Акт входного контроля грин01097 от 18.09.2025 21:00:33</t>
  </si>
  <si>
    <t xml:space="preserve">грин01097</t>
  </si>
  <si>
    <t xml:space="preserve">Акт входного контроля грин01098 от 18.09.2025 23:10:36</t>
  </si>
  <si>
    <t xml:space="preserve">грин01098</t>
  </si>
  <si>
    <t xml:space="preserve">Акт входного контроля грин01099 от 18.09.2025 23:19:24</t>
  </si>
  <si>
    <t xml:space="preserve">грин01099</t>
  </si>
  <si>
    <t xml:space="preserve">Акт входного контроля грин01100 от 18.09.2025 23:34:44</t>
  </si>
  <si>
    <t xml:space="preserve">грин01100</t>
  </si>
  <si>
    <t xml:space="preserve">Акт входного контроля грин01101 от 18.09.2025 22:18:23</t>
  </si>
  <si>
    <t xml:space="preserve">грин01101</t>
  </si>
  <si>
    <t xml:space="preserve">Акт входного контроля грин01102 от 18.09.2025 23:45:26</t>
  </si>
  <si>
    <t xml:space="preserve">грин01102</t>
  </si>
  <si>
    <t xml:space="preserve">Акт входного контроля грин01103 от 18.09.2025 23:50:19</t>
  </si>
  <si>
    <t xml:space="preserve">грин01103</t>
  </si>
  <si>
    <t xml:space="preserve">Акт входного контроля грин01104 от 18.09.2025 23:59:24</t>
  </si>
  <si>
    <t xml:space="preserve">грин01104</t>
  </si>
  <si>
    <t xml:space="preserve">Акт входного контроля грин01105 от 19.09.2025 4:35:35</t>
  </si>
  <si>
    <t xml:space="preserve">грин01105</t>
  </si>
  <si>
    <t xml:space="preserve">Акт входного контроля грин01106 от 19.09.2025 5:44:03</t>
  </si>
  <si>
    <t xml:space="preserve">грин01106</t>
  </si>
  <si>
    <t xml:space="preserve">Акт входного контроля грин01107 от 19.09.2025 7:31:44</t>
  </si>
  <si>
    <t xml:space="preserve">грин01107</t>
  </si>
  <si>
    <t xml:space="preserve">Акт входного контроля грин01108 от 19.09.2025 8:43:27</t>
  </si>
  <si>
    <t xml:space="preserve">грин01108</t>
  </si>
  <si>
    <t xml:space="preserve">Акт входного контроля грин01109 от 19.09.2025 10:29:07</t>
  </si>
  <si>
    <t xml:space="preserve">грин01109</t>
  </si>
  <si>
    <t xml:space="preserve">Акт входного контроля грин01110 от 19.09.2025 11:21:25</t>
  </si>
  <si>
    <t xml:space="preserve">грин01110</t>
  </si>
  <si>
    <t xml:space="preserve">Акт входного контроля грин01111 от 19.09.2025 12:11:28</t>
  </si>
  <si>
    <t xml:space="preserve">грин01111</t>
  </si>
  <si>
    <t xml:space="preserve">Акт входного контроля грин01112 от 19.09.2025 13:34:25</t>
  </si>
  <si>
    <t xml:space="preserve">грин01112</t>
  </si>
  <si>
    <t xml:space="preserve">Акт входного контроля грин01113 от 19.09.2025 14:04:51</t>
  </si>
  <si>
    <t xml:space="preserve">грин01113</t>
  </si>
  <si>
    <t xml:space="preserve">Акт входного контроля грин01114 от 19.09.2025 15:16:50</t>
  </si>
  <si>
    <t xml:space="preserve">грин01114</t>
  </si>
  <si>
    <t xml:space="preserve">Акт входного контроля грин01115 от 19.09.2025 16:23:41</t>
  </si>
  <si>
    <t xml:space="preserve">грин01115</t>
  </si>
  <si>
    <t xml:space="preserve">Акт входного контроля грин01116 от 19.09.2025 17:49:00</t>
  </si>
  <si>
    <t xml:space="preserve">грин01116</t>
  </si>
  <si>
    <t xml:space="preserve">Акт входного контроля грин01117 от 19.09.2025 18:19:40</t>
  </si>
  <si>
    <t xml:space="preserve">грин01117</t>
  </si>
  <si>
    <t xml:space="preserve">Акт входного контроля грин01118 от 19.09.2025 19:17:39</t>
  </si>
  <si>
    <t xml:space="preserve">грин01118</t>
  </si>
  <si>
    <t xml:space="preserve">Акт входного контроля грин01119 от 19.09.2025 22:10:53</t>
  </si>
  <si>
    <t xml:space="preserve">грин01119</t>
  </si>
  <si>
    <t xml:space="preserve">Акт входного контроля грин01120 от 19.09.2025 22:58:41</t>
  </si>
  <si>
    <t xml:space="preserve">37722/1</t>
  </si>
  <si>
    <t xml:space="preserve">грин01120</t>
  </si>
  <si>
    <t xml:space="preserve">Акт входного контроля грин01121 от 19.09.2025 23:15:41</t>
  </si>
  <si>
    <t xml:space="preserve">грин01121</t>
  </si>
  <si>
    <t xml:space="preserve">Акт входного контроля грин01122 от 19.09.2025 23:37:23</t>
  </si>
  <si>
    <t xml:space="preserve">грин01122</t>
  </si>
  <si>
    <t xml:space="preserve">Акт входного контроля грин01123 от 19.09.2025 22:19:34</t>
  </si>
  <si>
    <t xml:space="preserve">грин01123</t>
  </si>
  <si>
    <t xml:space="preserve">Акт входного контроля грин01125 от 20.09.2025 2:45:21</t>
  </si>
  <si>
    <t xml:space="preserve">грин01125</t>
  </si>
  <si>
    <t xml:space="preserve">Акт входного контроля грин01126 от 20.09.2025 3:50:19</t>
  </si>
  <si>
    <t xml:space="preserve">грин01126</t>
  </si>
  <si>
    <t xml:space="preserve">Акт входного контроля грин01127 от 20.09.2025 4:19:30</t>
  </si>
  <si>
    <t xml:space="preserve">грин01127</t>
  </si>
  <si>
    <t xml:space="preserve">Акт входного контроля грин01128 от 20.09.2025 6:38:23</t>
  </si>
  <si>
    <t xml:space="preserve">грин01128</t>
  </si>
  <si>
    <t xml:space="preserve">Акт входного контроля грин01129 от 20.09.2025 8:42:19</t>
  </si>
  <si>
    <t xml:space="preserve">грин01129</t>
  </si>
  <si>
    <t xml:space="preserve">Акт входного контроля грин01130 от 20.09.2025 10:50:10</t>
  </si>
  <si>
    <t xml:space="preserve">грин01130</t>
  </si>
  <si>
    <t xml:space="preserve">Акт входного контроля грин01131 от 20.09.2025 10:52:49</t>
  </si>
  <si>
    <t xml:space="preserve">грин01131</t>
  </si>
  <si>
    <t xml:space="preserve">Акт входного контроля грин01132 от 20.09.2025 14:25:26</t>
  </si>
  <si>
    <t xml:space="preserve">грин01132</t>
  </si>
  <si>
    <t xml:space="preserve">Акт входного контроля грин01133 от 20.09.2025 14:28:22</t>
  </si>
  <si>
    <t xml:space="preserve">Чигрин Н.А.</t>
  </si>
  <si>
    <t xml:space="preserve">А819ЕВ</t>
  </si>
  <si>
    <t xml:space="preserve">грин01133</t>
  </si>
  <si>
    <t xml:space="preserve">Акт входного контроля грин01134 от 20.09.2025 16:43:00</t>
  </si>
  <si>
    <t xml:space="preserve">грин01134</t>
  </si>
  <si>
    <t xml:space="preserve">Акт входного контроля грин01140 от 20.09.2025 23:01:31</t>
  </si>
  <si>
    <t xml:space="preserve">грин01140</t>
  </si>
  <si>
    <t xml:space="preserve">Акт входного контроля грин01135 от 20.09.2025 17:24:32</t>
  </si>
  <si>
    <t xml:space="preserve">грин01135</t>
  </si>
  <si>
    <t xml:space="preserve">Акт входного контроля грин01136 от 20.09.2025 19:31:56</t>
  </si>
  <si>
    <t xml:space="preserve">грин01136</t>
  </si>
  <si>
    <t xml:space="preserve">Акт входного контроля грин01137 от 20.09.2025 19:37:51</t>
  </si>
  <si>
    <t xml:space="preserve">грин01137</t>
  </si>
  <si>
    <t xml:space="preserve">Акт входного контроля грин01138 от 20.09.2025 21:07:15</t>
  </si>
  <si>
    <t xml:space="preserve">грин01138</t>
  </si>
  <si>
    <t xml:space="preserve">Акт входного контроля грин01141 от 20.09.2025 20:26:20</t>
  </si>
  <si>
    <t xml:space="preserve">грин01141</t>
  </si>
  <si>
    <t xml:space="preserve">Акт входного контроля грин01139 от 20.09.2025 22:23:42</t>
  </si>
  <si>
    <t xml:space="preserve">грин01139</t>
  </si>
  <si>
    <t xml:space="preserve">Акт входного контроля грин01142 от 21.09.2025 17:57:38</t>
  </si>
  <si>
    <t xml:space="preserve">грин01142</t>
  </si>
  <si>
    <t xml:space="preserve">Акт входного контроля грин01143 от 21.09.2025 18:05:20</t>
  </si>
  <si>
    <t xml:space="preserve">грин01143</t>
  </si>
  <si>
    <t xml:space="preserve">Акт входного контроля грин01144 от 21.09.2025 19:33:31</t>
  </si>
  <si>
    <t xml:space="preserve">грин01144</t>
  </si>
  <si>
    <t xml:space="preserve">Акт входного контроля грин01145 от 21.09.2025 18:12:15</t>
  </si>
  <si>
    <t xml:space="preserve">Щербет</t>
  </si>
  <si>
    <t xml:space="preserve">грин01145</t>
  </si>
  <si>
    <t xml:space="preserve">Акт входного контроля грин01146 от 21.09.2025 18:20:52</t>
  </si>
  <si>
    <t xml:space="preserve">грин01146</t>
  </si>
  <si>
    <t xml:space="preserve">Акт входного контроля грин01147 от 25.09.2025 12:08:39</t>
  </si>
  <si>
    <t xml:space="preserve">Кукуруза сахарная 2025 (группа)</t>
  </si>
  <si>
    <t xml:space="preserve">грин01147</t>
  </si>
  <si>
    <t xml:space="preserve">Акт входного контроля грин01148 от 25.09.2025 13:35:02</t>
  </si>
  <si>
    <t xml:space="preserve">грин01148</t>
  </si>
  <si>
    <t xml:space="preserve">Акт входного контроля грин01149 от 25.09.2025 14:01:17</t>
  </si>
  <si>
    <t xml:space="preserve">грин01149</t>
  </si>
  <si>
    <t xml:space="preserve">Акт входного контроля грин01150 от 25.09.2025 14:15:19</t>
  </si>
  <si>
    <t xml:space="preserve">грин01150</t>
  </si>
  <si>
    <t xml:space="preserve">Акт входного контроля грин01151 от 25.09.2025 14:37:47</t>
  </si>
  <si>
    <t xml:space="preserve">АГРОЛИДЕР ООО</t>
  </si>
  <si>
    <t xml:space="preserve">16/1 Агролидер</t>
  </si>
  <si>
    <t xml:space="preserve">грин01151</t>
  </si>
  <si>
    <t xml:space="preserve">Акт входного контроля грин01152 от 25.09.2025 14:53:18</t>
  </si>
  <si>
    <t xml:space="preserve">грин01152</t>
  </si>
  <si>
    <t xml:space="preserve">Акт входного контроля грин01153 от 25.09.2025 15:25:08</t>
  </si>
  <si>
    <t xml:space="preserve">грин01153</t>
  </si>
  <si>
    <t xml:space="preserve">Акт входного контроля грин01154 от 25.09.2025 16:35:29</t>
  </si>
  <si>
    <t xml:space="preserve">грин01154</t>
  </si>
  <si>
    <t xml:space="preserve">Акт входного контроля грин01155 от 25.09.2025 17:35:19</t>
  </si>
  <si>
    <t xml:space="preserve">грин01155</t>
  </si>
  <si>
    <t xml:space="preserve">Акт входного контроля грин01156 от 25.09.2025 18:02:37</t>
  </si>
  <si>
    <t xml:space="preserve">грин01156</t>
  </si>
  <si>
    <t xml:space="preserve">Акт входного контроля грин01157 от 25.09.2025 18:34:58</t>
  </si>
  <si>
    <t xml:space="preserve">грин01157</t>
  </si>
  <si>
    <t xml:space="preserve">Акт входного контроля грин01158 от 25.09.2025 20:09:10</t>
  </si>
  <si>
    <t xml:space="preserve">грин01158</t>
  </si>
  <si>
    <t xml:space="preserve">Акт входного контроля грин01159 от 25.09.2025 21:11:34</t>
  </si>
  <si>
    <t xml:space="preserve">грин01159</t>
  </si>
  <si>
    <t xml:space="preserve">Акт входного контроля грин01160 от 25.09.2025 22:12:11</t>
  </si>
  <si>
    <t xml:space="preserve">грин01160</t>
  </si>
  <si>
    <t xml:space="preserve">Акт входного контроля грин01161 от 25.09.2025 22:32:09</t>
  </si>
  <si>
    <t xml:space="preserve">грин01161</t>
  </si>
  <si>
    <t xml:space="preserve">Акт входного контроля грин01162 от 25.09.2025 23:47:12</t>
  </si>
  <si>
    <t xml:space="preserve">грин01162</t>
  </si>
  <si>
    <t xml:space="preserve">Акт входного контроля грин01163 от 25.09.2025 22:39:16</t>
  </si>
  <si>
    <t xml:space="preserve">грин01163</t>
  </si>
  <si>
    <t xml:space="preserve">Акт входного контроля грин01164 от 25.09.2025 23:18:37</t>
  </si>
  <si>
    <t xml:space="preserve">грин01164</t>
  </si>
  <si>
    <t xml:space="preserve">Акт входного контроля грин01165 от 25.09.2025 23:58:01</t>
  </si>
  <si>
    <t xml:space="preserve">грин01165</t>
  </si>
  <si>
    <t xml:space="preserve">Акт входного контроля грин01166 от 26.09.2025 5:28:16</t>
  </si>
  <si>
    <t xml:space="preserve">грин01166</t>
  </si>
  <si>
    <t xml:space="preserve">Акт входного контроля грин01167 от 26.09.2025 5:54:57</t>
  </si>
  <si>
    <t xml:space="preserve">грин01167</t>
  </si>
  <si>
    <t xml:space="preserve">Акт входного контроля грин01168 от 26.09.2025 11:39:26</t>
  </si>
  <si>
    <t xml:space="preserve">грин01168</t>
  </si>
  <si>
    <t xml:space="preserve">Акт входного контроля грин01169 от 26.09.2025 12:28:58</t>
  </si>
  <si>
    <t xml:space="preserve">грин01169</t>
  </si>
  <si>
    <t xml:space="preserve">Акт входного контроля грин01170 от 26.09.2025 13:28:58</t>
  </si>
  <si>
    <t xml:space="preserve">грин01170</t>
  </si>
  <si>
    <t xml:space="preserve">Акт входного контроля грин01171 от 26.09.2025 14:31:52</t>
  </si>
  <si>
    <t xml:space="preserve">грин01171</t>
  </si>
  <si>
    <t xml:space="preserve">Акт входного контроля грин01172 от 26.09.2025 14:36:20</t>
  </si>
  <si>
    <t xml:space="preserve">грин01172</t>
  </si>
  <si>
    <t xml:space="preserve">Акт входного контроля грин01173 от 26.09.2025 15:56:28</t>
  </si>
  <si>
    <t xml:space="preserve">грин01173</t>
  </si>
  <si>
    <t xml:space="preserve">Акт входного контроля грин01174 от 26.09.2025 16:23:16</t>
  </si>
  <si>
    <t xml:space="preserve">грин01174</t>
  </si>
  <si>
    <t xml:space="preserve">Акт входного контроля грин01175 от 26.09.2025 17:15:05</t>
  </si>
  <si>
    <t xml:space="preserve">грин01175</t>
  </si>
  <si>
    <t xml:space="preserve">Акт входного контроля грин01176 от 26.09.2025 17:55:06</t>
  </si>
  <si>
    <t xml:space="preserve">грин01176</t>
  </si>
  <si>
    <t xml:space="preserve">Акт входного контроля грин01177 от 26.09.2025 18:30:12</t>
  </si>
  <si>
    <t xml:space="preserve">грин01177</t>
  </si>
  <si>
    <t xml:space="preserve">Акт входного контроля грин01178 от 26.09.2025 17:51:16</t>
  </si>
  <si>
    <t xml:space="preserve">грин01178</t>
  </si>
  <si>
    <t xml:space="preserve">Акт входного контроля грин01179 от 26.09.2025 18:31:22</t>
  </si>
  <si>
    <t xml:space="preserve">грин01179</t>
  </si>
  <si>
    <t xml:space="preserve">Акт входного контроля грин01180 от 26.09.2025 19:07:51</t>
  </si>
  <si>
    <t xml:space="preserve">грин01180</t>
  </si>
  <si>
    <t xml:space="preserve">Акт входного контроля грин01181 от 26.09.2025 19:55:12</t>
  </si>
  <si>
    <t xml:space="preserve">грин01181</t>
  </si>
  <si>
    <t xml:space="preserve">Акт входного контроля грин01182 от 26.09.2025 21:28:24</t>
  </si>
  <si>
    <t xml:space="preserve">грин01182</t>
  </si>
  <si>
    <t xml:space="preserve">Акт входного контроля грин01183 от 26.09.2025 22:08:35</t>
  </si>
  <si>
    <t xml:space="preserve">грин01183</t>
  </si>
  <si>
    <t xml:space="preserve">Акт входного контроля грин01184 от 26.09.2025 22:54:46</t>
  </si>
  <si>
    <t xml:space="preserve">грин01184</t>
  </si>
  <si>
    <t xml:space="preserve">Акт входного контроля грин01185 от 27.09.2025 12:04:01</t>
  </si>
  <si>
    <t xml:space="preserve">грин01185</t>
  </si>
  <si>
    <t xml:space="preserve">Акт входного контроля грин01186 от 27.09.2025 13:16:51</t>
  </si>
  <si>
    <t xml:space="preserve">грин01186</t>
  </si>
  <si>
    <t xml:space="preserve">Акт входного контроля грин01187 от 27.09.2025 13:21:04</t>
  </si>
  <si>
    <t xml:space="preserve">грин01187</t>
  </si>
  <si>
    <t xml:space="preserve">Акт входного контроля грин01188 от 27.09.2025 13:24:01</t>
  </si>
  <si>
    <t xml:space="preserve">грин01188</t>
  </si>
  <si>
    <t xml:space="preserve">Акт входного контроля грин01189 от 27.09.2025 13:26:36</t>
  </si>
  <si>
    <t xml:space="preserve">грин01189</t>
  </si>
  <si>
    <t xml:space="preserve">Акт входного контроля грин01190 от 27.09.2025 13:30:14</t>
  </si>
  <si>
    <t xml:space="preserve">грин01190</t>
  </si>
  <si>
    <t xml:space="preserve">Акт входного контроля грин01191 от 27.09.2025 13:32:31</t>
  </si>
  <si>
    <t xml:space="preserve">грин01191</t>
  </si>
  <si>
    <t xml:space="preserve">Акт входного контроля грин01192 от 27.09.2025 13:43:30</t>
  </si>
  <si>
    <t xml:space="preserve">грин01192</t>
  </si>
  <si>
    <t xml:space="preserve">Акт входного контроля грин01193 от 27.09.2025 13:46:43</t>
  </si>
  <si>
    <t xml:space="preserve">грин01193</t>
  </si>
  <si>
    <t xml:space="preserve">Акт входного контроля грин01194 от 27.09.2025 13:51:10</t>
  </si>
  <si>
    <t xml:space="preserve">грин01194</t>
  </si>
  <si>
    <t xml:space="preserve">Акт входного контроля грин01195 от 27.09.2025 13:54:52</t>
  </si>
  <si>
    <t xml:space="preserve">грин01195</t>
  </si>
  <si>
    <t xml:space="preserve">Акт входного контроля грин01196 от 27.09.2025 13:57:42</t>
  </si>
  <si>
    <t xml:space="preserve">грин01196</t>
  </si>
  <si>
    <t xml:space="preserve">Акт входного контроля грин01197 от 27.09.2025 15:11:42</t>
  </si>
  <si>
    <t xml:space="preserve">грин01197</t>
  </si>
  <si>
    <t xml:space="preserve">Акт входного контроля грин01198 от 27.09.2025 16:47:46</t>
  </si>
  <si>
    <t xml:space="preserve">грин01198</t>
  </si>
  <si>
    <t xml:space="preserve">Акт входного контроля грин01199 от 27.09.2025 16:50:16</t>
  </si>
  <si>
    <t xml:space="preserve">грин01199</t>
  </si>
  <si>
    <t xml:space="preserve">Акт входного контроля грин01200 от 27.09.2025 17:00:32</t>
  </si>
  <si>
    <t xml:space="preserve">грин01200</t>
  </si>
  <si>
    <t xml:space="preserve">Акт входного контроля грин01201 от 27.09.2025 19:20:05</t>
  </si>
  <si>
    <t xml:space="preserve">грин01201</t>
  </si>
  <si>
    <t xml:space="preserve">Акт входного контроля грин01202 от 27.09.2025 19:23:02</t>
  </si>
  <si>
    <t xml:space="preserve">грин01202</t>
  </si>
  <si>
    <t xml:space="preserve">Акт входного контроля грин01203 от 27.09.2025 19:53:02</t>
  </si>
  <si>
    <t xml:space="preserve">грин01203</t>
  </si>
  <si>
    <t xml:space="preserve">Акт входного контроля грин01204 от 27.09.2025 20:48:44</t>
  </si>
  <si>
    <t xml:space="preserve">грин01204</t>
  </si>
  <si>
    <t xml:space="preserve">Акт входного контроля грин01205 от 27.09.2025 22:21:58</t>
  </si>
  <si>
    <t xml:space="preserve">грин01205</t>
  </si>
  <si>
    <t xml:space="preserve">Акт входного контроля грин01212 от 27.09.2025 19:57:36</t>
  </si>
  <si>
    <t xml:space="preserve">грин01212</t>
  </si>
  <si>
    <t xml:space="preserve">Акт входного контроля грин01206 от 27.09.2025 23:51:07</t>
  </si>
  <si>
    <t xml:space="preserve">грин01206</t>
  </si>
  <si>
    <t xml:space="preserve">Акт входного контроля грин01207 от 27.09.2025 21:45:29</t>
  </si>
  <si>
    <t xml:space="preserve">грин01207</t>
  </si>
  <si>
    <t xml:space="preserve">Акт входного контроля грин01208 от 27.09.2025 22:27:09</t>
  </si>
  <si>
    <t xml:space="preserve">грин01208</t>
  </si>
  <si>
    <t xml:space="preserve">Акт входного контроля грин01209 от 27.09.2025 23:23:00</t>
  </si>
  <si>
    <t xml:space="preserve">грин01209</t>
  </si>
  <si>
    <t xml:space="preserve">Акт входного контроля грин01210 от 28.09.2025 2:31:37</t>
  </si>
  <si>
    <t xml:space="preserve">грин01210</t>
  </si>
  <si>
    <t xml:space="preserve">Акт входного контроля грин01211 от 28.09.2025 3:24:14</t>
  </si>
  <si>
    <t xml:space="preserve">грин01211</t>
  </si>
  <si>
    <t xml:space="preserve">Акт входного контроля грин01217 от 28.09.2025 2:46:17</t>
  </si>
  <si>
    <t xml:space="preserve">А-79</t>
  </si>
  <si>
    <t xml:space="preserve">грин01217</t>
  </si>
  <si>
    <t xml:space="preserve">Акт входного контроля грин01218 от 28.09.2025 3:30:52</t>
  </si>
  <si>
    <t xml:space="preserve">грин01218</t>
  </si>
  <si>
    <t xml:space="preserve">Акт входного контроля грин01220 от 28.09.2025 4:16:43</t>
  </si>
  <si>
    <t xml:space="preserve">грин01220</t>
  </si>
  <si>
    <t xml:space="preserve">Акт входного контроля грин01221 от 28.09.2025 4:41:17</t>
  </si>
  <si>
    <t xml:space="preserve">грин01221</t>
  </si>
  <si>
    <t xml:space="preserve">Акт входного контроля грин01222 от 28.09.2025 5:56:01</t>
  </si>
  <si>
    <t xml:space="preserve">грин01222</t>
  </si>
  <si>
    <t xml:space="preserve">Акт входного контроля грин01224 от 28.09.2025 6:47:49</t>
  </si>
  <si>
    <t xml:space="preserve">грин01224</t>
  </si>
  <si>
    <t xml:space="preserve">Акт входного контроля грин01225 от 28.09.2025 8:30:02</t>
  </si>
  <si>
    <t xml:space="preserve">грин01225</t>
  </si>
  <si>
    <t xml:space="preserve">Акт входного контроля грин01227 от 28.09.2025 9:39:55</t>
  </si>
  <si>
    <t xml:space="preserve">грин01227</t>
  </si>
  <si>
    <t xml:space="preserve">Акт входного контроля грин01229 от 28.09.2025 10:58:59</t>
  </si>
  <si>
    <t xml:space="preserve">грин01229</t>
  </si>
  <si>
    <t xml:space="preserve">Акт входного контроля грин01230 от 28.09.2025 11:41:19</t>
  </si>
  <si>
    <t xml:space="preserve">грин01230</t>
  </si>
  <si>
    <t xml:space="preserve">Акт входного контроля грин01232 от 28.09.2025 12:56:16</t>
  </si>
  <si>
    <t xml:space="preserve">грин01232</t>
  </si>
  <si>
    <t xml:space="preserve">Акт входного контроля грин01234 от 28.09.2025 14:16:13</t>
  </si>
  <si>
    <t xml:space="preserve">грин01234</t>
  </si>
  <si>
    <t xml:space="preserve">Акт входного контроля грин01235 от 28.09.2025 15:00:53</t>
  </si>
  <si>
    <t xml:space="preserve">грин01235</t>
  </si>
  <si>
    <t xml:space="preserve">Акт входного контроля грин01237 от 28.09.2025 15:50:02</t>
  </si>
  <si>
    <t xml:space="preserve">грин01237</t>
  </si>
  <si>
    <t xml:space="preserve">Акт входного контроля грин01238 от 28.09.2025 16:40:34</t>
  </si>
  <si>
    <t xml:space="preserve">грин01238</t>
  </si>
  <si>
    <t xml:space="preserve">Акт входного контроля грин01236 от 28.09.2025 17:26:37</t>
  </si>
  <si>
    <t xml:space="preserve">грин01236</t>
  </si>
  <si>
    <t xml:space="preserve">Акт входного контроля грин01233 от 28.09.2025 18:45:04</t>
  </si>
  <si>
    <t xml:space="preserve">грин01233</t>
  </si>
  <si>
    <t xml:space="preserve">Акт входного контроля грин01231 от 28.09.2025 19:42:20</t>
  </si>
  <si>
    <t xml:space="preserve">грин01231</t>
  </si>
  <si>
    <t xml:space="preserve">Акт входного контроля грин01228 от 28.09.2025 20:48:20</t>
  </si>
  <si>
    <t xml:space="preserve">грин01228</t>
  </si>
  <si>
    <t xml:space="preserve">Акт входного контроля грин01226 от 28.09.2025 21:57:58</t>
  </si>
  <si>
    <t xml:space="preserve">грин01226</t>
  </si>
  <si>
    <t xml:space="preserve">Акт входного контроля грин01223 от 28.09.2025 22:53:42</t>
  </si>
  <si>
    <t xml:space="preserve">грин01223</t>
  </si>
  <si>
    <t xml:space="preserve">Акт входного контроля грин01213 от 29.09.2025 9:54:24</t>
  </si>
  <si>
    <t xml:space="preserve">грин01213</t>
  </si>
  <si>
    <t xml:space="preserve">Акт входного контроля грин01214 от 29.09.2025 12:48:48</t>
  </si>
  <si>
    <t xml:space="preserve">грин01214</t>
  </si>
  <si>
    <t xml:space="preserve">Акт входного контроля грин01215 от 29.09.2025 13:02:32</t>
  </si>
  <si>
    <t xml:space="preserve">грин01215</t>
  </si>
  <si>
    <t xml:space="preserve">Акт входного контроля грин01216 от 29.09.2025 14:24:26</t>
  </si>
  <si>
    <t xml:space="preserve">грин01216</t>
  </si>
  <si>
    <t xml:space="preserve">Акт входного контроля грин01219 от 29.09.2025 16:15:53</t>
  </si>
  <si>
    <t xml:space="preserve">грин01219</t>
  </si>
  <si>
    <t xml:space="preserve">Акт входного контроля грин01239 от 29.09.2025 18:39:52</t>
  </si>
  <si>
    <t xml:space="preserve">грин01239</t>
  </si>
  <si>
    <t xml:space="preserve">Акт входного контроля грин01240 от 29.09.2025 18:50:40</t>
  </si>
  <si>
    <t xml:space="preserve">грин01240</t>
  </si>
  <si>
    <t xml:space="preserve">Акт входного контроля грин01241 от 29.09.2025 23:27:18</t>
  </si>
  <si>
    <t xml:space="preserve">грин01241</t>
  </si>
  <si>
    <t xml:space="preserve">Акт входного контроля грин01242 от 29.09.2025 23:30:25</t>
  </si>
  <si>
    <t xml:space="preserve">грин01242</t>
  </si>
  <si>
    <t xml:space="preserve">Акт входного контроля грин01243 от 29.09.2025 19:06:10</t>
  </si>
  <si>
    <t xml:space="preserve">грин01243</t>
  </si>
  <si>
    <t xml:space="preserve">Акт входного контроля грин01244 от 29.09.2025 20:26:40</t>
  </si>
  <si>
    <t xml:space="preserve">грин01244</t>
  </si>
  <si>
    <t xml:space="preserve">Акт входного контроля грин01245 от 29.09.2025 21:11:51</t>
  </si>
  <si>
    <t xml:space="preserve">грин01245</t>
  </si>
  <si>
    <t xml:space="preserve">Акт входного контроля грин01246 от 29.09.2025 21:17:06</t>
  </si>
  <si>
    <t xml:space="preserve">грин01246</t>
  </si>
  <si>
    <t xml:space="preserve">Акт входного контроля грин01247 от 01.10.2025 11:14:49</t>
  </si>
  <si>
    <t xml:space="preserve">грин01247</t>
  </si>
  <si>
    <t xml:space="preserve">Акт входного контроля грин01248 от 01.10.2025 11:53:06</t>
  </si>
  <si>
    <t xml:space="preserve">грин01248</t>
  </si>
  <si>
    <t xml:space="preserve">Акт входного контроля грин01249 от 01.10.2025 14:54:49</t>
  </si>
  <si>
    <t xml:space="preserve">б/н</t>
  </si>
  <si>
    <t xml:space="preserve">грин01249</t>
  </si>
  <si>
    <t xml:space="preserve">Акт входного контроля грин01250 от 01.10.2025 15:25:15</t>
  </si>
  <si>
    <t xml:space="preserve">грин01250</t>
  </si>
  <si>
    <t xml:space="preserve">Акт входного контроля грин01251 от 01.10.2025 16:30:29</t>
  </si>
  <si>
    <t xml:space="preserve">грин01251</t>
  </si>
  <si>
    <t xml:space="preserve">Акт входного контроля грин01252 от 01.10.2025 18:01:14</t>
  </si>
  <si>
    <t xml:space="preserve">грин01252</t>
  </si>
  <si>
    <t xml:space="preserve">Акт входного контроля грин01253 от 01.10.2025 19:34:44</t>
  </si>
  <si>
    <t xml:space="preserve">грин01253</t>
  </si>
  <si>
    <t xml:space="preserve">Акт входного контроля грин01254 от 01.10.2025 19:39:47</t>
  </si>
  <si>
    <t xml:space="preserve">грин01254</t>
  </si>
  <si>
    <t xml:space="preserve">Акт входного контроля грин01255 от 01.10.2025 20:45:18</t>
  </si>
  <si>
    <t xml:space="preserve">грин01255</t>
  </si>
  <si>
    <t xml:space="preserve">Акт входного контроля грин01258 от 01.10.2025 21:32:04</t>
  </si>
  <si>
    <t xml:space="preserve">14/1 Агролидер</t>
  </si>
  <si>
    <t xml:space="preserve">грин01258</t>
  </si>
  <si>
    <t xml:space="preserve">Акт входного контроля грин01256 от 01.10.2025 21:51:04</t>
  </si>
  <si>
    <t xml:space="preserve">грин01256</t>
  </si>
  <si>
    <t xml:space="preserve">Акт входного контроля грин01267 от 01.10.2025 22:35:07</t>
  </si>
  <si>
    <t xml:space="preserve">грин01267</t>
  </si>
  <si>
    <t xml:space="preserve">Акт входного контроля грин01259 от 01.10.2025 22:47:35</t>
  </si>
  <si>
    <t xml:space="preserve">грин01259</t>
  </si>
  <si>
    <t xml:space="preserve">Акт входного контроля грин01257 от 01.10.2025 23:23:32</t>
  </si>
  <si>
    <t xml:space="preserve">Б/Н</t>
  </si>
  <si>
    <t xml:space="preserve">грин01257</t>
  </si>
  <si>
    <t xml:space="preserve">Акт входного контроля грин01260 от 01.10.2025 23:45:52</t>
  </si>
  <si>
    <t xml:space="preserve">грин01260</t>
  </si>
  <si>
    <t xml:space="preserve">Акт входного контроля грин01261 от 01.10.2025 23:49:37</t>
  </si>
  <si>
    <t xml:space="preserve">грин01261</t>
  </si>
  <si>
    <t xml:space="preserve">Акт входного контроля грин01262 от 02.10.2025 4:24:57</t>
  </si>
  <si>
    <t xml:space="preserve">грин01262</t>
  </si>
  <si>
    <t xml:space="preserve">Акт входного контроля грин01263 от 02.10.2025 5:21:45</t>
  </si>
  <si>
    <t xml:space="preserve">грин01263</t>
  </si>
  <si>
    <t xml:space="preserve">Акт входного контроля грин01264 от 02.10.2025 6:17:09</t>
  </si>
  <si>
    <t xml:space="preserve">грин01264</t>
  </si>
  <si>
    <t xml:space="preserve">Акт входного контроля грин01265 от 02.10.2025 8:10:34</t>
  </si>
  <si>
    <t xml:space="preserve">грин01265</t>
  </si>
  <si>
    <t xml:space="preserve">Акт входного контроля грин01266 от 02.10.2025 9:07:48</t>
  </si>
  <si>
    <t xml:space="preserve">грин01266</t>
  </si>
  <si>
    <t xml:space="preserve">Акт входного контроля грин01268 от 02.10.2025 10:26:47</t>
  </si>
  <si>
    <t xml:space="preserve">грин01268</t>
  </si>
  <si>
    <t xml:space="preserve">Акт входного контроля грин01269 от 02.10.2025 13:00:34</t>
  </si>
  <si>
    <t xml:space="preserve">грин01269</t>
  </si>
  <si>
    <t xml:space="preserve">Акт входного контроля грин01270 от 02.10.2025 13:03:29</t>
  </si>
  <si>
    <t xml:space="preserve">грин01270</t>
  </si>
  <si>
    <t xml:space="preserve">Акт входного контроля грин01271 от 02.10.2025 16:57:38</t>
  </si>
  <si>
    <t xml:space="preserve">15/1 Агролидер</t>
  </si>
  <si>
    <t xml:space="preserve">грин01271</t>
  </si>
  <si>
    <t xml:space="preserve">Акт входного контроля грин01272 от 02.10.2025 17:00:40</t>
  </si>
  <si>
    <t xml:space="preserve">грин01272</t>
  </si>
  <si>
    <t xml:space="preserve">Акт входного контроля грин01273 от 02.10.2025 17:07:38</t>
  </si>
  <si>
    <t xml:space="preserve">грин01273</t>
  </si>
  <si>
    <t xml:space="preserve">Акт входного контроля грин01280 от 02.10.2025 18:30:45</t>
  </si>
  <si>
    <t xml:space="preserve">грин01280</t>
  </si>
  <si>
    <t xml:space="preserve">Акт входного контроля грин01281 от 02.10.2025 18:34:17</t>
  </si>
  <si>
    <t xml:space="preserve">грин01281</t>
  </si>
  <si>
    <t xml:space="preserve">Акт входного контроля грин01282 от 02.10.2025 19:23:51</t>
  </si>
  <si>
    <t xml:space="preserve">грин01282</t>
  </si>
  <si>
    <t xml:space="preserve">Акт входного контроля грин01274 от 02.10.2025 19:40:43</t>
  </si>
  <si>
    <t xml:space="preserve">грин01274</t>
  </si>
  <si>
    <t xml:space="preserve">Акт входного контроля грин01275 от 02.10.2025 19:47:44</t>
  </si>
  <si>
    <t xml:space="preserve">грин01275</t>
  </si>
  <si>
    <t xml:space="preserve">Акт входного контроля грин01283 от 02.10.2025 20:01:07</t>
  </si>
  <si>
    <t xml:space="preserve">грин01283</t>
  </si>
  <si>
    <t xml:space="preserve">Акт входного контроля грин01276 от 02.10.2025 20:36:51</t>
  </si>
  <si>
    <t xml:space="preserve">грин01276</t>
  </si>
  <si>
    <t xml:space="preserve">Акт входного контроля грин01284 от 02.10.2025 21:01:36</t>
  </si>
  <si>
    <t xml:space="preserve">грин01284</t>
  </si>
  <si>
    <t xml:space="preserve">Акт входного контроля грин01285 от 02.10.2025 21:05:59</t>
  </si>
  <si>
    <t xml:space="preserve">грин01285</t>
  </si>
  <si>
    <t xml:space="preserve">Акт входного контроля грин01277 от 02.10.2025 21:46:10</t>
  </si>
  <si>
    <t xml:space="preserve">грин01277</t>
  </si>
  <si>
    <t xml:space="preserve">Акт входного контроля грин01278 от 02.10.2025 22:35:27</t>
  </si>
  <si>
    <t xml:space="preserve">грин01278</t>
  </si>
  <si>
    <t xml:space="preserve">Акт входного контроля грин01286 от 02.10.2025 22:50:02</t>
  </si>
  <si>
    <t xml:space="preserve">грин01286</t>
  </si>
  <si>
    <t xml:space="preserve">Акт входного контроля грин01287 от 02.10.2025 23:14:13</t>
  </si>
  <si>
    <t xml:space="preserve">грин01287</t>
  </si>
  <si>
    <t xml:space="preserve">Акт входного контроля грин01288 от 02.10.2025 23:30:41</t>
  </si>
  <si>
    <t xml:space="preserve">грин01288</t>
  </si>
  <si>
    <t xml:space="preserve">Акт входного контроля грин01279 от 02.10.2025 23:50:02</t>
  </si>
  <si>
    <t xml:space="preserve">грин01279</t>
  </si>
  <si>
    <t xml:space="preserve">Акт входного контроля грин01289 от 03.10.2025 12:42:02</t>
  </si>
  <si>
    <t xml:space="preserve">грин01289</t>
  </si>
  <si>
    <t xml:space="preserve">Акт входного контроля грин01290 от 03.10.2025 13:45:42</t>
  </si>
  <si>
    <t xml:space="preserve">грин01290</t>
  </si>
  <si>
    <t xml:space="preserve">Акт входного контроля грин01291 от 03.10.2025 14:25:43</t>
  </si>
  <si>
    <t xml:space="preserve">грин01291</t>
  </si>
  <si>
    <t xml:space="preserve">Акт входного контроля грин01292 от 03.10.2025 15:08:31</t>
  </si>
  <si>
    <t xml:space="preserve">грин01292</t>
  </si>
  <si>
    <t xml:space="preserve">Акт входного контроля грин01293 от 03.10.2025 16:35:57</t>
  </si>
  <si>
    <t xml:space="preserve">грин01293</t>
  </si>
  <si>
    <t xml:space="preserve">Акт входного контроля грин01294 от 03.10.2025 16:56:37</t>
  </si>
  <si>
    <t xml:space="preserve">грин01294</t>
  </si>
  <si>
    <t xml:space="preserve">Акт входного контроля грин01295 от 03.10.2025 18:07:21</t>
  </si>
  <si>
    <t xml:space="preserve">грин01295</t>
  </si>
  <si>
    <t xml:space="preserve">Акт входного контроля грин01300 от 03.10.2025 18:36:37</t>
  </si>
  <si>
    <t xml:space="preserve">грин01300</t>
  </si>
  <si>
    <t xml:space="preserve">Акт входного контроля грин01301 от 03.10.2025 19:13:56</t>
  </si>
  <si>
    <t xml:space="preserve">грин01301</t>
  </si>
  <si>
    <t xml:space="preserve">Акт входного контроля грин01302 от 03.10.2025 20:16:05</t>
  </si>
  <si>
    <t xml:space="preserve">грин01302</t>
  </si>
  <si>
    <t xml:space="preserve">Акт входного контроля грин01303 от 03.10.2025 21:09:37</t>
  </si>
  <si>
    <t xml:space="preserve">грин01303</t>
  </si>
  <si>
    <t xml:space="preserve">Акт входного контроля грин01305 от 03.10.2025 21:36:57</t>
  </si>
  <si>
    <t xml:space="preserve">грин01305</t>
  </si>
  <si>
    <t xml:space="preserve">Акт входного контроля грин01304 от 03.10.2025 22:43:00</t>
  </si>
  <si>
    <t xml:space="preserve">грин01304</t>
  </si>
  <si>
    <t xml:space="preserve">Акт входного контроля грин01296 от 03.10.2025 23:13:19</t>
  </si>
  <si>
    <t xml:space="preserve">грин01296</t>
  </si>
  <si>
    <t xml:space="preserve">Акт входного контроля грин01297 от 03.10.2025 23:16:30</t>
  </si>
  <si>
    <t xml:space="preserve">грин01297</t>
  </si>
  <si>
    <t xml:space="preserve">Акт входного контроля грин01298 от 03.10.2025 23:19:06</t>
  </si>
  <si>
    <t xml:space="preserve">грин01298</t>
  </si>
  <si>
    <t xml:space="preserve">Акт входного контроля грин01299 от 03.10.2025 23:32:57</t>
  </si>
  <si>
    <t xml:space="preserve">грин01299</t>
  </si>
  <si>
    <t xml:space="preserve">Акт входного контроля грин01306 от 04.10.2025 8:13:44</t>
  </si>
  <si>
    <t xml:space="preserve">грин01306</t>
  </si>
  <si>
    <t xml:space="preserve">Акт входного контроля грин01307 от 04.10.2025 4:09:19</t>
  </si>
  <si>
    <t xml:space="preserve">МОК БРАТКОВСКИЙ АО</t>
  </si>
  <si>
    <t xml:space="preserve">40/1 Братковский</t>
  </si>
  <si>
    <t xml:space="preserve">грин01307</t>
  </si>
  <si>
    <t xml:space="preserve">Акт входного контроля грин01308 от 04.10.2025 4:15:21</t>
  </si>
  <si>
    <t xml:space="preserve">грин01308</t>
  </si>
  <si>
    <t xml:space="preserve">Акт входного контроля грин01309 от 04.10.2025 4:37:07</t>
  </si>
  <si>
    <t xml:space="preserve">грин01309</t>
  </si>
  <si>
    <t xml:space="preserve">Акт входного контроля грин01310 от 04.10.2025 4:41:37</t>
  </si>
  <si>
    <t xml:space="preserve">грин01310</t>
  </si>
  <si>
    <t xml:space="preserve">Акт входного контроля грин01311 от 04.10.2025 5:25:32</t>
  </si>
  <si>
    <t xml:space="preserve">грин01311</t>
  </si>
  <si>
    <t xml:space="preserve">Акт входного контроля грин01312 от 04.10.2025 8:42:04</t>
  </si>
  <si>
    <t xml:space="preserve">грин01312</t>
  </si>
  <si>
    <t xml:space="preserve">Акт входного контроля грин01313 от 04.10.2025 8:45:54</t>
  </si>
  <si>
    <t xml:space="preserve">грин01313</t>
  </si>
  <si>
    <t xml:space="preserve">Акт входного контроля грин01315 от 04.10.2025 9:42:27</t>
  </si>
  <si>
    <t xml:space="preserve">грин01315</t>
  </si>
  <si>
    <t xml:space="preserve">Акт входного контроля грин01314 от 04.10.2025 9:53:17</t>
  </si>
  <si>
    <t xml:space="preserve">грин01314</t>
  </si>
  <si>
    <t xml:space="preserve">Акт входного контроля грин01316 от 04.10.2025 14:58:27</t>
  </si>
  <si>
    <t xml:space="preserve">грин01316</t>
  </si>
  <si>
    <t xml:space="preserve">Акт входного контроля грин01317 от 04.10.2025 16:28:34</t>
  </si>
  <si>
    <t xml:space="preserve">грин01317</t>
  </si>
  <si>
    <t xml:space="preserve">Акт входного контроля грин01318 от 04.10.2025 16:55:55</t>
  </si>
  <si>
    <t xml:space="preserve">грин01318</t>
  </si>
  <si>
    <t xml:space="preserve">Акт входного контроля грин01319 от 04.10.2025 17:13:29</t>
  </si>
  <si>
    <t xml:space="preserve">грин01319</t>
  </si>
  <si>
    <t xml:space="preserve">Акт входного контроля грин01320 от 04.10.2025 19:19:10</t>
  </si>
  <si>
    <t xml:space="preserve">грин01320</t>
  </si>
  <si>
    <t xml:space="preserve">Акт входного контроля грин01321 от 04.10.2025 19:24:05</t>
  </si>
  <si>
    <t xml:space="preserve">грин01321</t>
  </si>
  <si>
    <t xml:space="preserve">Акт входного контроля грин01322 от 04.10.2025 20:40:52</t>
  </si>
  <si>
    <t xml:space="preserve">грин01322</t>
  </si>
  <si>
    <t xml:space="preserve">Акт входного контроля грин01323 от 04.10.2025 21:49:17</t>
  </si>
  <si>
    <t xml:space="preserve">грин01323</t>
  </si>
  <si>
    <t xml:space="preserve">Акт входного контроля грин01324 от 04.10.2025 21:59:13</t>
  </si>
  <si>
    <t xml:space="preserve">грин01324</t>
  </si>
  <si>
    <t xml:space="preserve">Акт входного контроля грин01325 от 05.10.2025 0:35:37</t>
  </si>
  <si>
    <t xml:space="preserve">грин01325</t>
  </si>
  <si>
    <t xml:space="preserve">Акт входного контроля грин01326 от 05.10.2025 0:40:34</t>
  </si>
  <si>
    <t xml:space="preserve">грин01326</t>
  </si>
  <si>
    <t xml:space="preserve">Акт входного контроля грин01327 от 05.10.2025 2:12:46</t>
  </si>
  <si>
    <t xml:space="preserve">грин01327</t>
  </si>
  <si>
    <t xml:space="preserve">Акт входного контроля грин01328 от 05.10.2025 2:17:13</t>
  </si>
  <si>
    <t xml:space="preserve">41/1 Братковский</t>
  </si>
  <si>
    <t xml:space="preserve">грин01328</t>
  </si>
  <si>
    <t xml:space="preserve">Акт входного контроля грин01329 от 05.10.2025 3:47:28</t>
  </si>
  <si>
    <t xml:space="preserve">грин01329</t>
  </si>
  <si>
    <t xml:space="preserve">Акт входного контроля грин01331 от 05.10.2025 7:00:03</t>
  </si>
  <si>
    <t xml:space="preserve">грин01331</t>
  </si>
  <si>
    <t xml:space="preserve">Акт входного контроля грин01333 от 05.10.2025 8:34:05</t>
  </si>
  <si>
    <t xml:space="preserve">грин01333</t>
  </si>
  <si>
    <t xml:space="preserve">Акт входного контроля грин01332 от 05.10.2025 8:39:04</t>
  </si>
  <si>
    <t xml:space="preserve">грин01332</t>
  </si>
  <si>
    <t xml:space="preserve">Акт входного контроля грин01334 от 05.10.2025 8:51:12</t>
  </si>
  <si>
    <t xml:space="preserve">грин01334</t>
  </si>
  <si>
    <t xml:space="preserve">Акт входного контроля грин01335 от 05.10.2025 9:20:30</t>
  </si>
  <si>
    <t xml:space="preserve">грин01335</t>
  </si>
  <si>
    <t xml:space="preserve">Акт входного контроля грин01330 от 05.10.2025 12:02:53</t>
  </si>
  <si>
    <t xml:space="preserve">грин01330</t>
  </si>
  <si>
    <t xml:space="preserve">Акт входного контроля грин01339 от 05.10.2025 20:21:34</t>
  </si>
  <si>
    <t xml:space="preserve">СОВХОЗ ИМЕНИ КИРОВА АО</t>
  </si>
  <si>
    <t xml:space="preserve">1 (3) им. Кирова ЗАО</t>
  </si>
  <si>
    <t xml:space="preserve">грин01339</t>
  </si>
  <si>
    <t xml:space="preserve">Акт входного контроля грин01336 от 05.10.2025 13:31:49</t>
  </si>
  <si>
    <t xml:space="preserve">50/1 Братковский</t>
  </si>
  <si>
    <t xml:space="preserve">ЗУИ 7469</t>
  </si>
  <si>
    <t xml:space="preserve">грин01336</t>
  </si>
  <si>
    <t xml:space="preserve">Акт входного контроля грин01337 от 05.10.2025 14:38:05</t>
  </si>
  <si>
    <t xml:space="preserve">грин01337</t>
  </si>
  <si>
    <t xml:space="preserve">Акт входного контроля грин01338 от 05.10.2025 16:01:15</t>
  </si>
  <si>
    <t xml:space="preserve">грин01338</t>
  </si>
  <si>
    <t xml:space="preserve">Акт входного контроля грин01340 от 05.10.2025 16:45:18</t>
  </si>
  <si>
    <t xml:space="preserve">грин01340</t>
  </si>
  <si>
    <t xml:space="preserve">Акт входного контроля грин01341 от 05.10.2025 18:44:48</t>
  </si>
  <si>
    <t xml:space="preserve">грин01341</t>
  </si>
  <si>
    <t xml:space="preserve">Акт входного контроля грин01342 от 05.10.2025 18:51:35</t>
  </si>
  <si>
    <t xml:space="preserve">грин01342</t>
  </si>
  <si>
    <t xml:space="preserve">Акт входного контроля грин01343 от 05.10.2025 19:24:10</t>
  </si>
  <si>
    <t xml:space="preserve">грин01343</t>
  </si>
  <si>
    <t xml:space="preserve">Акт входного контроля грин01344 от 05.10.2025 20:11:46</t>
  </si>
  <si>
    <t xml:space="preserve">грин01344</t>
  </si>
  <si>
    <t xml:space="preserve">Акт входного контроля грин01345 от 05.10.2025 20:16:43</t>
  </si>
  <si>
    <t xml:space="preserve">грин01345</t>
  </si>
  <si>
    <t xml:space="preserve">Акт входного контроля грин01348 от 05.10.2025 22:04:06</t>
  </si>
  <si>
    <t xml:space="preserve">грин01348</t>
  </si>
  <si>
    <t xml:space="preserve">Акт входного контроля грин01347 от 05.10.2025 23:24:29</t>
  </si>
  <si>
    <t xml:space="preserve">грин01347</t>
  </si>
  <si>
    <t xml:space="preserve">Акт входного контроля грин01346 от 06.10.2025 11:36:57</t>
  </si>
  <si>
    <t xml:space="preserve">грин01346</t>
  </si>
  <si>
    <t xml:space="preserve">Акт входного контроля грин01349 от 06.10.2025 13:27:02</t>
  </si>
  <si>
    <t xml:space="preserve">грин01349</t>
  </si>
  <si>
    <t xml:space="preserve">Акт входного контроля грин01350 от 06.10.2025 14:30:46</t>
  </si>
  <si>
    <t xml:space="preserve">грин01350</t>
  </si>
  <si>
    <t xml:space="preserve">Акт входного контроля грин01351 от 06.10.2025 14:51:55</t>
  </si>
  <si>
    <t xml:space="preserve">грин01351</t>
  </si>
  <si>
    <t xml:space="preserve">Акт входного контроля грин01352 от 06.10.2025 15:57:16</t>
  </si>
  <si>
    <t xml:space="preserve">грин01352</t>
  </si>
  <si>
    <t xml:space="preserve">Акт входного контроля грин01360 от 06.10.2025 17:25:25</t>
  </si>
  <si>
    <t xml:space="preserve">грин01360</t>
  </si>
  <si>
    <t xml:space="preserve">Акт входного контроля грин01353 от 06.10.2025 18:10:13</t>
  </si>
  <si>
    <t xml:space="preserve">грин01353</t>
  </si>
  <si>
    <t xml:space="preserve">Акт входного контроля грин01354 от 06.10.2025 18:13:30</t>
  </si>
  <si>
    <t xml:space="preserve">грин01354</t>
  </si>
  <si>
    <t xml:space="preserve">Акт входного контроля грин01361 от 06.10.2025 18:27:31</t>
  </si>
  <si>
    <t xml:space="preserve">грин01361</t>
  </si>
  <si>
    <t xml:space="preserve">Акт входного контроля грин01355 от 06.10.2025 19:14:05</t>
  </si>
  <si>
    <t xml:space="preserve">грин01355</t>
  </si>
  <si>
    <t xml:space="preserve">Акт входного контроля грин01362 от 06.10.2025 19:43:47</t>
  </si>
  <si>
    <t xml:space="preserve">грин01362</t>
  </si>
  <si>
    <t xml:space="preserve">Акт входного контроля грин01356 от 06.10.2025 20:29:30</t>
  </si>
  <si>
    <t xml:space="preserve">грин01356</t>
  </si>
  <si>
    <t xml:space="preserve">Акт входного контроля грин01357 от 06.10.2025 21:15:07</t>
  </si>
  <si>
    <t xml:space="preserve">грин01357</t>
  </si>
  <si>
    <t xml:space="preserve">Акт входного контроля грин01358 от 06.10.2025 22:39:23</t>
  </si>
  <si>
    <t xml:space="preserve">грин01358</t>
  </si>
  <si>
    <t xml:space="preserve">Акт входного контроля грин01363 от 06.10.2025 23:09:37</t>
  </si>
  <si>
    <t xml:space="preserve">грин01363</t>
  </si>
  <si>
    <t xml:space="preserve">Акт входного контроля грин01364 от 06.10.2025 23:13:08</t>
  </si>
  <si>
    <t xml:space="preserve">грин01364</t>
  </si>
  <si>
    <t xml:space="preserve">Акт входного контроля грин01359 от 06.10.2025 23:46:15</t>
  </si>
  <si>
    <t xml:space="preserve">грин01359</t>
  </si>
  <si>
    <t xml:space="preserve">Акт входного контроля грин01365 от 07.10.2025 4:16:14</t>
  </si>
  <si>
    <t xml:space="preserve">грин01365</t>
  </si>
  <si>
    <t xml:space="preserve">Акт входного контроля грин01366 от 07.10.2025 5:08:23</t>
  </si>
  <si>
    <t xml:space="preserve">грин01366</t>
  </si>
  <si>
    <t xml:space="preserve">Акт входного контроля грин01367 от 07.10.2025 6:41:28</t>
  </si>
  <si>
    <t xml:space="preserve">грин01367</t>
  </si>
  <si>
    <t xml:space="preserve">Акт входного контроля грин01368 от 07.10.2025 6:52:30</t>
  </si>
  <si>
    <t xml:space="preserve">грин01368</t>
  </si>
  <si>
    <t xml:space="preserve">Акт входного контроля грин01369 от 07.10.2025 9:29:45</t>
  </si>
  <si>
    <t xml:space="preserve">грин01369</t>
  </si>
  <si>
    <t xml:space="preserve">Акт входного контроля грин01370 от 07.10.2025 9:52:54</t>
  </si>
  <si>
    <t xml:space="preserve">грин01370</t>
  </si>
  <si>
    <t xml:space="preserve">Акт входного контроля грин01371 от 07.10.2025 14:35:19</t>
  </si>
  <si>
    <t xml:space="preserve">грин01371</t>
  </si>
  <si>
    <t xml:space="preserve">Акт входного контроля грин01372 от 07.10.2025 14:45:19</t>
  </si>
  <si>
    <t xml:space="preserve">грин01372</t>
  </si>
  <si>
    <t xml:space="preserve">Акт входного контроля грин01373 от 07.10.2025 15:33:10</t>
  </si>
  <si>
    <t xml:space="preserve">грин01373</t>
  </si>
  <si>
    <t xml:space="preserve">Акт входного контроля грин01374 от 07.10.2025 17:50:09</t>
  </si>
  <si>
    <t xml:space="preserve">грин01374</t>
  </si>
  <si>
    <t xml:space="preserve">Акт входного контроля грин01375 от 07.10.2025 17:55:49</t>
  </si>
  <si>
    <t xml:space="preserve">грин01375</t>
  </si>
  <si>
    <t xml:space="preserve">Акт входного контроля грин01376 от 07.10.2025 18:29:24</t>
  </si>
  <si>
    <t xml:space="preserve">грин01376</t>
  </si>
  <si>
    <t xml:space="preserve">Акт входного контроля грин01377 от 07.10.2025 19:26:08</t>
  </si>
  <si>
    <t xml:space="preserve">грин01377</t>
  </si>
  <si>
    <t xml:space="preserve">Акт входного контроля грин01381 от 07.10.2025 19:37:43</t>
  </si>
  <si>
    <t xml:space="preserve">грин01381</t>
  </si>
  <si>
    <t xml:space="preserve">Акт входного контроля грин01382 от 07.10.2025 19:44:53</t>
  </si>
  <si>
    <t xml:space="preserve">грин01382</t>
  </si>
  <si>
    <t xml:space="preserve">Акт входного контроля грин01383 от 07.10.2025 20:30:53</t>
  </si>
  <si>
    <t xml:space="preserve">грин01383</t>
  </si>
  <si>
    <t xml:space="preserve">Акт входного контроля грин01378 от 07.10.2025 21:16:58</t>
  </si>
  <si>
    <t xml:space="preserve">грин01378</t>
  </si>
  <si>
    <t xml:space="preserve">Акт входного контроля грин01379 от 07.10.2025 21:20:37</t>
  </si>
  <si>
    <t xml:space="preserve">грин01379</t>
  </si>
  <si>
    <t xml:space="preserve">Акт входного контроля грин01380 от 07.10.2025 21:31:07</t>
  </si>
  <si>
    <t xml:space="preserve">грин01380</t>
  </si>
  <si>
    <t xml:space="preserve">Акт входного контроля грин01384 от 07.10.2025 22:37:49</t>
  </si>
  <si>
    <t xml:space="preserve">грин01384</t>
  </si>
  <si>
    <t xml:space="preserve">Акт входного контроля грин01385 от 07.10.2025 23:36:27</t>
  </si>
  <si>
    <t xml:space="preserve">грин01385</t>
  </si>
  <si>
    <t xml:space="preserve">Акт входного контроля грин01386 от 08.10.2025 3:22:19</t>
  </si>
  <si>
    <t xml:space="preserve">грин01386</t>
  </si>
  <si>
    <t xml:space="preserve">Акт входного контроля грин01387 от 08.10.2025 4:11:08</t>
  </si>
  <si>
    <t xml:space="preserve">грин01387</t>
  </si>
  <si>
    <t xml:space="preserve">Акт входного контроля грин01388 от 08.10.2025 7:36:28</t>
  </si>
  <si>
    <t xml:space="preserve">грин01388</t>
  </si>
  <si>
    <t xml:space="preserve">Акт входного контроля грин01389 от 08.10.2025 9:59:03</t>
  </si>
  <si>
    <t xml:space="preserve">грин01389</t>
  </si>
  <si>
    <t xml:space="preserve">Акт входного контроля грин01390 от 08.10.2025 10:27:38</t>
  </si>
  <si>
    <t xml:space="preserve">грин01390</t>
  </si>
  <si>
    <t xml:space="preserve">Акт входного контроля грин01391 от 08.10.2025 10:58:04</t>
  </si>
  <si>
    <t xml:space="preserve">грин01391</t>
  </si>
  <si>
    <t xml:space="preserve">Акт входного контроля грин01392 от 08.10.2025 11:51:19</t>
  </si>
  <si>
    <t xml:space="preserve">грин01392</t>
  </si>
  <si>
    <t xml:space="preserve">Акт входного контроля грин01393 от 08.10.2025 12:47:02</t>
  </si>
  <si>
    <t xml:space="preserve">грин01393</t>
  </si>
  <si>
    <t xml:space="preserve">Акт входного контроля грин01394 от 08.10.2025 14:40:29</t>
  </si>
  <si>
    <t xml:space="preserve">грин01394</t>
  </si>
  <si>
    <t xml:space="preserve">Акт входного контроля грин01395 от 08.10.2025 15:29:42</t>
  </si>
  <si>
    <t xml:space="preserve">грин01395</t>
  </si>
  <si>
    <t xml:space="preserve">Акт входного контроля грин01396 от 08.10.2025 16:00:59</t>
  </si>
  <si>
    <t xml:space="preserve">грин01396</t>
  </si>
  <si>
    <t xml:space="preserve">Акт входного контроля грин01414 от 08.10.2025 16:32:49</t>
  </si>
  <si>
    <t xml:space="preserve">грин01414</t>
  </si>
  <si>
    <t xml:space="preserve">Акт входного контроля грин01405 от 08.10.2025 17:05:44</t>
  </si>
  <si>
    <t xml:space="preserve">грин01405</t>
  </si>
  <si>
    <t xml:space="preserve">Акт входного контроля грин01415 от 08.10.2025 17:28:26</t>
  </si>
  <si>
    <t xml:space="preserve">грин01415</t>
  </si>
  <si>
    <t xml:space="preserve">Акт входного контроля грин01416 от 08.10.2025 18:16:13</t>
  </si>
  <si>
    <t xml:space="preserve">грин01416</t>
  </si>
  <si>
    <t xml:space="preserve">Акт входного контроля грин01410 от 08.10.2025 19:14:07</t>
  </si>
  <si>
    <t xml:space="preserve">грин01410</t>
  </si>
  <si>
    <t xml:space="preserve">Акт входного контроля грин01417 от 08.10.2025 19:23:07</t>
  </si>
  <si>
    <t xml:space="preserve">грин01417</t>
  </si>
  <si>
    <t xml:space="preserve">Акт входного контроля грин01418 от 08.10.2025 19:29:37</t>
  </si>
  <si>
    <t xml:space="preserve">грин01418</t>
  </si>
  <si>
    <t xml:space="preserve">Акт входного контроля грин01411 от 08.10.2025 19:42:20</t>
  </si>
  <si>
    <t xml:space="preserve">грин01411</t>
  </si>
  <si>
    <t xml:space="preserve">Акт входного контроля грин01419 от 08.10.2025 19:47:42</t>
  </si>
  <si>
    <t xml:space="preserve">грин01419</t>
  </si>
  <si>
    <t xml:space="preserve">Акт входного контроля грин01412 от 08.10.2025 20:27:33</t>
  </si>
  <si>
    <t xml:space="preserve">грин01412</t>
  </si>
  <si>
    <t xml:space="preserve">Акт входного контроля грин01420 от 08.10.2025 21:19:21</t>
  </si>
  <si>
    <t xml:space="preserve">8(б)</t>
  </si>
  <si>
    <t xml:space="preserve">грин01420</t>
  </si>
  <si>
    <t xml:space="preserve">Акт входного контроля грин01413 от 08.10.2025 21:43:58</t>
  </si>
  <si>
    <t xml:space="preserve">грин01413</t>
  </si>
  <si>
    <t xml:space="preserve">Акт входного контроля грин01421 от 08.10.2025 22:36:34</t>
  </si>
  <si>
    <t xml:space="preserve">грин01421</t>
  </si>
  <si>
    <t xml:space="preserve">Акт входного контроля грин01422 от 08.10.2025 22:48:35</t>
  </si>
  <si>
    <t xml:space="preserve">грин01422</t>
  </si>
  <si>
    <t xml:space="preserve">Акт входного контроля грин01423 от 08.10.2025 22:53:19</t>
  </si>
  <si>
    <t xml:space="preserve">грин01423</t>
  </si>
  <si>
    <t xml:space="preserve">Акт входного контроля грин01424 от 08.10.2025 22:56:17</t>
  </si>
  <si>
    <t xml:space="preserve">грин01424</t>
  </si>
  <si>
    <t xml:space="preserve">Акт входного контроля грин01425 от 08.10.2025 22:59:03</t>
  </si>
  <si>
    <t xml:space="preserve">грин01425</t>
  </si>
  <si>
    <t xml:space="preserve">Акт входного контроля грин01434 от 09.10.2025 9:10:33</t>
  </si>
  <si>
    <t xml:space="preserve">грин01434</t>
  </si>
  <si>
    <t xml:space="preserve">Акт входного контроля грин01435 от 09.10.2025 9:56:01</t>
  </si>
  <si>
    <t xml:space="preserve">грин01435</t>
  </si>
  <si>
    <t xml:space="preserve">Акт входного контроля грин01440 от 09.10.2025 11:03:32</t>
  </si>
  <si>
    <t xml:space="preserve">грин01440</t>
  </si>
  <si>
    <t xml:space="preserve">Акт входного контроля грин01441 от 09.10.2025 11:38:03</t>
  </si>
  <si>
    <t xml:space="preserve">грин01441</t>
  </si>
  <si>
    <t xml:space="preserve">Акт входного контроля грин01442 от 09.10.2025 13:12:04</t>
  </si>
  <si>
    <t xml:space="preserve">грин01442</t>
  </si>
  <si>
    <t xml:space="preserve">Акт входного контроля грин01443 от 09.10.2025 14:10:19</t>
  </si>
  <si>
    <t xml:space="preserve">грин01443</t>
  </si>
  <si>
    <t xml:space="preserve">Акт входного контроля грин01444 от 09.10.2025 14:55:20</t>
  </si>
  <si>
    <t xml:space="preserve">грин01444</t>
  </si>
  <si>
    <t xml:space="preserve">Акт входного контроля грин01445 от 09.10.2025 16:10:16</t>
  </si>
  <si>
    <t xml:space="preserve">грин01445</t>
  </si>
  <si>
    <t xml:space="preserve">Акт входного контроля грин01446 от 09.10.2025 16:37:14</t>
  </si>
  <si>
    <t xml:space="preserve">грин01446</t>
  </si>
  <si>
    <t xml:space="preserve">Акт входного контроля грин01447 от 09.10.2025 17:32:21</t>
  </si>
  <si>
    <t xml:space="preserve">грин01447</t>
  </si>
  <si>
    <t xml:space="preserve">Акт входного контроля грин01448 от 09.10.2025 18:17:25</t>
  </si>
  <si>
    <t xml:space="preserve">грин01448</t>
  </si>
  <si>
    <t xml:space="preserve">Акт входного контроля грин01449 от 09.10.2025 21:40:32</t>
  </si>
  <si>
    <t xml:space="preserve">грин01449</t>
  </si>
  <si>
    <t xml:space="preserve">Акт входного контроля грин01450 от 09.10.2025 21:49:49</t>
  </si>
  <si>
    <t xml:space="preserve">грин01450</t>
  </si>
  <si>
    <t xml:space="preserve">Акт входного контроля грин01451 от 09.10.2025 22:57:47</t>
  </si>
  <si>
    <t xml:space="preserve">грин01451</t>
  </si>
  <si>
    <t xml:space="preserve">Акт входного контроля грин01452 от 09.10.2025 23:05:56</t>
  </si>
  <si>
    <t xml:space="preserve">грин01452</t>
  </si>
  <si>
    <t xml:space="preserve">Акт входного контроля грин01453 от 09.10.2025 23:21:19</t>
  </si>
  <si>
    <t xml:space="preserve">грин01453</t>
  </si>
  <si>
    <t xml:space="preserve">Акт входного контроля грин01454 от 09.10.2025 23:33:07</t>
  </si>
  <si>
    <t xml:space="preserve">грин01454</t>
  </si>
  <si>
    <t xml:space="preserve">Акт входного контроля грин01455 от 10.10.2025 3:52:14</t>
  </si>
  <si>
    <t xml:space="preserve">грин01455</t>
  </si>
  <si>
    <t xml:space="preserve">Акт входного контроля грин01456 от 10.10.2025 4:31:15</t>
  </si>
  <si>
    <t xml:space="preserve">грин01456</t>
  </si>
  <si>
    <t xml:space="preserve">Акт входного контроля грин01457 от 10.10.2025 5:27:49</t>
  </si>
  <si>
    <t xml:space="preserve">грин01457</t>
  </si>
  <si>
    <t xml:space="preserve">Акт входного контроля грин01458 от 10.10.2025 7:32:29</t>
  </si>
  <si>
    <t xml:space="preserve">грин01458</t>
  </si>
  <si>
    <t xml:space="preserve">Акт входного контроля грин01459 от 10.10.2025 9:05:22</t>
  </si>
  <si>
    <t xml:space="preserve">грин01459</t>
  </si>
  <si>
    <t xml:space="preserve"> 10.10.2025</t>
  </si>
  <si>
    <t xml:space="preserve">Акт входного контроля грин01460 от 10.10.2025 10:16:49</t>
  </si>
  <si>
    <t xml:space="preserve">грин01460</t>
  </si>
  <si>
    <t xml:space="preserve">Акт входного контроля грин01461 от 10.10.2025 11:00:57</t>
  </si>
  <si>
    <t xml:space="preserve">грин01461</t>
  </si>
  <si>
    <t xml:space="preserve">Акт входного контроля грин01462 от 10.10.2025 11:42:01</t>
  </si>
  <si>
    <t xml:space="preserve">грин01462</t>
  </si>
  <si>
    <t xml:space="preserve">Акт входного контроля грин01463 от 10.10.2025 13:37:36</t>
  </si>
  <si>
    <t xml:space="preserve">грин01463</t>
  </si>
  <si>
    <t xml:space="preserve">Акт входного контроля грин01464 от 10.10.2025 13:45:45</t>
  </si>
  <si>
    <t xml:space="preserve">грин01464</t>
  </si>
  <si>
    <t xml:space="preserve">Акт входного контроля грин01465 от 10.10.2025 14:58:57</t>
  </si>
  <si>
    <t xml:space="preserve">грин01465</t>
  </si>
  <si>
    <t xml:space="preserve">Акт входного контроля грин01466 от 10.10.2025 15:10:26</t>
  </si>
  <si>
    <t xml:space="preserve">грин01466</t>
  </si>
  <si>
    <t xml:space="preserve">Акт входного контроля грин01467 от 10.10.2025 16:52:07</t>
  </si>
  <si>
    <t xml:space="preserve">грин01467</t>
  </si>
  <si>
    <t xml:space="preserve">Акт входного контроля грин01468 от 10.10.2025 17:48:37</t>
  </si>
  <si>
    <t xml:space="preserve">грин01468</t>
  </si>
  <si>
    <t xml:space="preserve">Акт входного контроля грин01469 от 10.10.2025 19:46:13</t>
  </si>
  <si>
    <t xml:space="preserve">грин01469</t>
  </si>
  <si>
    <t xml:space="preserve">Акт входного контроля грин01470 от 10.10.2025 19:54:05</t>
  </si>
  <si>
    <t xml:space="preserve">1 (1) им. Кирова ЗАО</t>
  </si>
  <si>
    <t xml:space="preserve">грин01470</t>
  </si>
  <si>
    <t xml:space="preserve">Акт входного контроля грин01471 от 10.10.2025 20:35:52</t>
  </si>
  <si>
    <t xml:space="preserve">грин01471</t>
  </si>
  <si>
    <t xml:space="preserve">Акт входного контроля грин01472 от 10.10.2025 22:17:12</t>
  </si>
  <si>
    <t xml:space="preserve">грин01472</t>
  </si>
  <si>
    <t xml:space="preserve">Акт входного контроля грин01473 от 10.10.2025 23:06:45</t>
  </si>
  <si>
    <t xml:space="preserve">грин01473</t>
  </si>
  <si>
    <t xml:space="preserve">Акт входного контроля грин01474 от 10.10.2025 23:35:47</t>
  </si>
  <si>
    <t xml:space="preserve">грин01474</t>
  </si>
  <si>
    <t xml:space="preserve">Акт входного контроля грин01475 от 11.10.2025 2:32:39</t>
  </si>
  <si>
    <t xml:space="preserve">грин01475</t>
  </si>
  <si>
    <t xml:space="preserve">Акт входного контроля грин01476 от 11.10.2025 3:03:45</t>
  </si>
  <si>
    <t xml:space="preserve">грин01476</t>
  </si>
  <si>
    <t xml:space="preserve">Акт входного контроля грин01477 от 11.10.2025 4:10:57</t>
  </si>
  <si>
    <t xml:space="preserve">грин01477</t>
  </si>
  <si>
    <t xml:space="preserve">Акт входного контроля грин01478 от 11.10.2025 10:23:13</t>
  </si>
  <si>
    <t xml:space="preserve">грин01478</t>
  </si>
  <si>
    <t xml:space="preserve">Акт входного контроля грин01479 от 11.10.2025 10:52:36</t>
  </si>
  <si>
    <t xml:space="preserve">грин01479</t>
  </si>
  <si>
    <t xml:space="preserve">Акт входного контроля грин01480 от 11.10.2025 11:13:41</t>
  </si>
  <si>
    <t xml:space="preserve">грин01480</t>
  </si>
  <si>
    <t xml:space="preserve">Акт входного контроля грин01481 от 11.10.2025 13:30:48</t>
  </si>
  <si>
    <t xml:space="preserve">грин01481</t>
  </si>
  <si>
    <t xml:space="preserve">Акт входного контроля грин01482 от 11.10.2025 13:40:43</t>
  </si>
  <si>
    <t xml:space="preserve">грин01482</t>
  </si>
  <si>
    <t xml:space="preserve">Акт входного контроля грин01483 от 11.10.2025 14:40:21</t>
  </si>
  <si>
    <t xml:space="preserve">грин01483</t>
  </si>
  <si>
    <t xml:space="preserve">Акт входного контроля грин01484 от 11.10.2025 15:55:32</t>
  </si>
  <si>
    <t xml:space="preserve">грин01484</t>
  </si>
  <si>
    <t xml:space="preserve">Акт входного контроля грин01485 от 11.10.2025 16:26:24</t>
  </si>
  <si>
    <t xml:space="preserve">грин01485</t>
  </si>
  <si>
    <t xml:space="preserve">Акт входного контроля грин01491 от 11.10.2025 19:39:18</t>
  </si>
  <si>
    <t xml:space="preserve">грин01491</t>
  </si>
  <si>
    <t xml:space="preserve">Акт входного контроля грин01492 от 11.10.2025 20:36:39</t>
  </si>
  <si>
    <t xml:space="preserve">грин01492</t>
  </si>
  <si>
    <t xml:space="preserve">Акт входного контроля грин01499 от 11.10.2025 20:59:18</t>
  </si>
  <si>
    <t xml:space="preserve">грин01499</t>
  </si>
  <si>
    <t xml:space="preserve">Акт входного контроля грин01486 от 11.10.2025 21:27:56</t>
  </si>
  <si>
    <t xml:space="preserve">грин01486</t>
  </si>
  <si>
    <t xml:space="preserve">Акт входного контроля грин01487 от 11.10.2025 21:38:43</t>
  </si>
  <si>
    <t xml:space="preserve">грин01487</t>
  </si>
  <si>
    <t xml:space="preserve">Акт входного контроля грин01494 от 11.10.2025 21:49:08</t>
  </si>
  <si>
    <t xml:space="preserve">грин01494</t>
  </si>
  <si>
    <t xml:space="preserve">Акт входного контроля грин01495 от 11.10.2025 22:00:56</t>
  </si>
  <si>
    <t xml:space="preserve">грин01495</t>
  </si>
  <si>
    <t xml:space="preserve">Акт входного контроля грин01488 от 11.10.2025 22:13:51</t>
  </si>
  <si>
    <t xml:space="preserve">грин01488</t>
  </si>
  <si>
    <t xml:space="preserve">Акт входного контроля грин01489 от 11.10.2025 22:36:09</t>
  </si>
  <si>
    <t xml:space="preserve">грин01489</t>
  </si>
  <si>
    <t xml:space="preserve">Акт входного контроля грин01490 от 11.10.2025 23:08:43</t>
  </si>
  <si>
    <t xml:space="preserve">грин01490</t>
  </si>
  <si>
    <t xml:space="preserve">Акт входного контроля грин01496 от 11.10.2025 23:54:42</t>
  </si>
  <si>
    <t xml:space="preserve">грин01496</t>
  </si>
  <si>
    <t xml:space="preserve">Акт входного контроля грин01493 от 12.10.2025 1:42:37</t>
  </si>
  <si>
    <t xml:space="preserve">грин01493</t>
  </si>
  <si>
    <t xml:space="preserve">Акт входного контроля грин01497 от 12.10.2025 5:05:23</t>
  </si>
  <si>
    <t xml:space="preserve">грин01497</t>
  </si>
  <si>
    <t xml:space="preserve">Акт входного контроля грин01498 от 12.10.2025 7:39:05</t>
  </si>
  <si>
    <t xml:space="preserve">Кулик О В</t>
  </si>
  <si>
    <t xml:space="preserve">К403ЕМ</t>
  </si>
  <si>
    <t xml:space="preserve">грин01498</t>
  </si>
  <si>
    <t xml:space="preserve">Акт входного контроля грин01500 от 12.10.2025 8:46:00</t>
  </si>
  <si>
    <t xml:space="preserve">грин01500</t>
  </si>
  <si>
    <t xml:space="preserve">Акт входного контроля грин01501 от 12.10.2025 10:03:40</t>
  </si>
  <si>
    <t xml:space="preserve">грин01501</t>
  </si>
  <si>
    <t xml:space="preserve">Акт входного контроля грин01502 от 12.10.2025 10:47:32</t>
  </si>
  <si>
    <t xml:space="preserve">грин01502</t>
  </si>
  <si>
    <t xml:space="preserve">Акт входного контроля грин01503 от 12.10.2025 11:29:42</t>
  </si>
  <si>
    <t xml:space="preserve">грин01503</t>
  </si>
  <si>
    <t xml:space="preserve">Акт входного контроля грин01504 от 12.10.2025 12:11:34</t>
  </si>
  <si>
    <t xml:space="preserve">грин01504</t>
  </si>
  <si>
    <t xml:space="preserve">Акт входного контроля грин01505 от 12.10.2025 13:17:48</t>
  </si>
  <si>
    <t xml:space="preserve">грин01505</t>
  </si>
  <si>
    <t xml:space="preserve">Акт входного контроля грин01506 от 12.10.2025 13:54:43</t>
  </si>
  <si>
    <t xml:space="preserve">грин01506</t>
  </si>
  <si>
    <t xml:space="preserve">Акт входного контроля грин01507 от 12.10.2025 15:23:07</t>
  </si>
  <si>
    <t xml:space="preserve">грин01507</t>
  </si>
  <si>
    <t xml:space="preserve">Акт входного контроля грин01511 от 12.10.2025 15:28:35</t>
  </si>
  <si>
    <t xml:space="preserve">грин01511</t>
  </si>
  <si>
    <t xml:space="preserve">Акт входного контроля грин01508 от 12.10.2025 15:53:44</t>
  </si>
  <si>
    <t xml:space="preserve">грин01508</t>
  </si>
  <si>
    <t xml:space="preserve">Акт входного контроля грин01509 от 12.10.2025 16:49:11</t>
  </si>
  <si>
    <t xml:space="preserve">грин01509</t>
  </si>
  <si>
    <t xml:space="preserve">Акт входного контроля грин01510 от 12.10.2025 17:30:00</t>
  </si>
  <si>
    <t xml:space="preserve">грин01510</t>
  </si>
  <si>
    <t xml:space="preserve">Акт входного контроля грин01516 от 12.10.2025 20:37:59</t>
  </si>
  <si>
    <t xml:space="preserve">грин01516</t>
  </si>
  <si>
    <t xml:space="preserve">Акт входного контроля грин01517 от 12.10.2025 21:21:31</t>
  </si>
  <si>
    <t xml:space="preserve">грин01517</t>
  </si>
  <si>
    <t xml:space="preserve">Акт входного контроля грин01512 от 12.10.2025 21:50:15</t>
  </si>
  <si>
    <t xml:space="preserve">грин01512</t>
  </si>
  <si>
    <t xml:space="preserve">Акт входного контроля грин01513 от 12.10.2025 22:02:04</t>
  </si>
  <si>
    <t xml:space="preserve">грин01513</t>
  </si>
  <si>
    <t xml:space="preserve">Акт входного контроля грин01518 от 12.10.2025 22:20:30</t>
  </si>
  <si>
    <t xml:space="preserve">грин01518</t>
  </si>
  <si>
    <t xml:space="preserve">Акт входного контроля грин01514 от 12.10.2025 22:54:00</t>
  </si>
  <si>
    <t xml:space="preserve">грин01514</t>
  </si>
  <si>
    <t xml:space="preserve">Акт входного контроля грин01515 от 12.10.2025 23:27:20</t>
  </si>
  <si>
    <t xml:space="preserve">грин01515</t>
  </si>
  <si>
    <t xml:space="preserve">Акт входного контроля грин01519 от 13.10.2025 4:53:07</t>
  </si>
  <si>
    <t xml:space="preserve">грин01519</t>
  </si>
  <si>
    <t xml:space="preserve">Акт входного контроля грин01520 от 13.10.2025 6:12:47</t>
  </si>
  <si>
    <t xml:space="preserve">грин01520</t>
  </si>
  <si>
    <t xml:space="preserve">Акт входного контроля грин01521 от 13.10.2025 8:00:42</t>
  </si>
  <si>
    <t xml:space="preserve">грин01521</t>
  </si>
  <si>
    <t xml:space="preserve">Акт входного контроля грин01522 от 13.10.2025 22:09:35</t>
  </si>
  <si>
    <t xml:space="preserve">грин01522</t>
  </si>
  <si>
    <t xml:space="preserve">Акт входного контроля грин01523 от 13.10.2025 14:18:30</t>
  </si>
  <si>
    <t xml:space="preserve">КОЛОС ООО</t>
  </si>
  <si>
    <t xml:space="preserve">2.2 Колос</t>
  </si>
  <si>
    <t xml:space="preserve">грин01523</t>
  </si>
  <si>
    <t xml:space="preserve">Акт входного контроля грин01524 от 13.10.2025 17:21:50</t>
  </si>
  <si>
    <t xml:space="preserve">грин01524</t>
  </si>
  <si>
    <t xml:space="preserve">Акт входного контроля грин01525 от 13.10.2025 19:19:16</t>
  </si>
  <si>
    <t xml:space="preserve">грин01525</t>
  </si>
  <si>
    <t xml:space="preserve">Акт входного контроля грин01526 от 15.10.2025 22:54:22</t>
  </si>
  <si>
    <t xml:space="preserve">грин01526</t>
  </si>
  <si>
    <t xml:space="preserve">Акт входного контроля грин01527 от 15.10.2025 22:57:08</t>
  </si>
  <si>
    <t xml:space="preserve">грин01527</t>
  </si>
  <si>
    <t xml:space="preserve">Акт входного контроля грин01528 от 15.10.2025 23:18:58</t>
  </si>
  <si>
    <t xml:space="preserve">грин01528</t>
  </si>
  <si>
    <t xml:space="preserve">Акт входного контроля грин01529 от 15.10.2025 23:24:17</t>
  </si>
  <si>
    <t xml:space="preserve">грин01529</t>
  </si>
  <si>
    <t xml:space="preserve">Акт входного контроля грин01530 от 16.10.2025 6:19:50</t>
  </si>
  <si>
    <t xml:space="preserve">грин01530</t>
  </si>
  <si>
    <t xml:space="preserve">Акт входного контроля грин01531 от 16.10.2025 6:22:45</t>
  </si>
  <si>
    <t xml:space="preserve">грин01531</t>
  </si>
  <si>
    <t xml:space="preserve">Акт входного контроля грин01532 от 16.10.2025 6:26:22</t>
  </si>
  <si>
    <t xml:space="preserve">грин01532</t>
  </si>
  <si>
    <t xml:space="preserve">Акт входного контроля грин01533 от 16.10.2025 7:39:38</t>
  </si>
  <si>
    <t xml:space="preserve">грин01533</t>
  </si>
  <si>
    <t xml:space="preserve">Акт входного контроля грин01534 от 16.10.2025 10:09:01</t>
  </si>
  <si>
    <t xml:space="preserve">грин01534</t>
  </si>
  <si>
    <t xml:space="preserve"> 16.10.2025</t>
  </si>
  <si>
    <t xml:space="preserve">Акт входного контроля грин01536 от 16.10.2025 6:28:16</t>
  </si>
  <si>
    <t xml:space="preserve">грин01536 </t>
  </si>
  <si>
    <t xml:space="preserve"> 16.10.2026</t>
  </si>
  <si>
    <t xml:space="preserve">Акт входного контроля грин01535 от 16.10.2025 10:23:55</t>
  </si>
  <si>
    <t xml:space="preserve">грин01535 </t>
  </si>
  <si>
    <t xml:space="preserve"> 16.10.2027</t>
  </si>
  <si>
    <t xml:space="preserve">Акт входного контроля грин01537 от 16.10.2025 12:09:47</t>
  </si>
  <si>
    <t xml:space="preserve">грин01537</t>
  </si>
  <si>
    <t xml:space="preserve"> 16.10.2028</t>
  </si>
  <si>
    <t xml:space="preserve">Акт входного контроля грин01538 от 16.10.2025 14:19:30</t>
  </si>
  <si>
    <t xml:space="preserve">грин01538</t>
  </si>
  <si>
    <t xml:space="preserve">Акт входного контроля грин01539 от 16.10.2025 16:34:55</t>
  </si>
  <si>
    <t xml:space="preserve">грин01539</t>
  </si>
  <si>
    <t xml:space="preserve">Акт входного контроля грин01540 от 16.10.2025 16:40:20</t>
  </si>
  <si>
    <t xml:space="preserve">грин01540</t>
  </si>
  <si>
    <t xml:space="preserve">Акт входного контроля грин01541 от 16.10.2025 16:55:06</t>
  </si>
  <si>
    <t xml:space="preserve">грин01541</t>
  </si>
  <si>
    <t xml:space="preserve">Акт входного контроля грин01542 от 16.10.2025 17:16:12</t>
  </si>
  <si>
    <t xml:space="preserve">грин01542</t>
  </si>
  <si>
    <t xml:space="preserve">Акт входного контроля грин01546 от 16.10.2025 19:03:04</t>
  </si>
  <si>
    <t xml:space="preserve">грин01546</t>
  </si>
  <si>
    <t xml:space="preserve">Акт входного контроля грин01543 от 16.10.2025 19:19:59</t>
  </si>
  <si>
    <t xml:space="preserve">грин01543</t>
  </si>
  <si>
    <t xml:space="preserve">Акт входного контроля грин01547 от 16.10.2025 19:46:30</t>
  </si>
  <si>
    <t xml:space="preserve">грин01547</t>
  </si>
  <si>
    <t xml:space="preserve">Акт входного контроля грин01548 от 16.10.2025 21:11:18</t>
  </si>
  <si>
    <t xml:space="preserve">грин01548</t>
  </si>
  <si>
    <t xml:space="preserve">Акт входного контроля грин01549 от 16.10.2025 21:21:28</t>
  </si>
  <si>
    <t xml:space="preserve">грин01549</t>
  </si>
  <si>
    <t xml:space="preserve">Акт входного контроля грин01544 от 16.10.2025 21:43:34</t>
  </si>
  <si>
    <t xml:space="preserve">грин01544</t>
  </si>
  <si>
    <t xml:space="preserve">Акт входного контроля грин01550 от 16.10.2025 22:40:19</t>
  </si>
  <si>
    <t xml:space="preserve">грин01550</t>
  </si>
  <si>
    <t xml:space="preserve">Акт входного контроля грин01545 от 16.10.2025 23:35:30</t>
  </si>
  <si>
    <t xml:space="preserve">грин01545</t>
  </si>
  <si>
    <t xml:space="preserve">Акт входного контроля грин01552 от 16.10.2025 23:45:42</t>
  </si>
  <si>
    <t xml:space="preserve">грин01552</t>
  </si>
  <si>
    <t xml:space="preserve">Акт входного контроля грин01553 от 17.10.2025 10:57:20</t>
  </si>
  <si>
    <t xml:space="preserve">грин01553</t>
  </si>
  <si>
    <t xml:space="preserve">Акт входного контроля грин01551 от 16.10.2025 22:58:09</t>
  </si>
  <si>
    <t xml:space="preserve">грин01551</t>
  </si>
  <si>
    <t xml:space="preserve">Акт входного контроля грин01554 от 17.10.2025 12:04:55</t>
  </si>
  <si>
    <t xml:space="preserve">грин01554</t>
  </si>
  <si>
    <t xml:space="preserve">Акт входного контроля грин01555 от 17.10.2025 13:46:22</t>
  </si>
  <si>
    <t xml:space="preserve">грин01555</t>
  </si>
  <si>
    <t xml:space="preserve">Акт входного контроля грин01556 от 17.10.2025 15:20:56</t>
  </si>
  <si>
    <t xml:space="preserve">грин01556</t>
  </si>
  <si>
    <t xml:space="preserve">Акт входного контроля грин01557 от 17.10.2025 16:11:42</t>
  </si>
  <si>
    <t xml:space="preserve">грин01557</t>
  </si>
  <si>
    <t xml:space="preserve">Акт входного контроля грин01558 от 17.10.2025 17:27:31</t>
  </si>
  <si>
    <t xml:space="preserve">грин01558</t>
  </si>
  <si>
    <t xml:space="preserve">Акт входного контроля грин01559 от 17.10.2025 18:36:39</t>
  </si>
  <si>
    <t xml:space="preserve">грин01559</t>
  </si>
  <si>
    <t xml:space="preserve">Акт входного контроля грин01560 от 17.10.2025 22:40:27</t>
  </si>
  <si>
    <t xml:space="preserve">грин01560</t>
  </si>
  <si>
    <t xml:space="preserve">Акт входного контроля грин01561 от 17.10.2025 22:43:05</t>
  </si>
  <si>
    <t xml:space="preserve">грин01561</t>
  </si>
  <si>
    <t xml:space="preserve">Акт входного контроля грин01562 от 17.10.2025 22:45:10</t>
  </si>
  <si>
    <t xml:space="preserve">грин01562</t>
  </si>
  <si>
    <t xml:space="preserve">Акт входного контроля грин01563 от 17.10.2025 23:11:48</t>
  </si>
  <si>
    <t xml:space="preserve">грин01563</t>
  </si>
  <si>
    <t xml:space="preserve">Акт входного контроля грин01564 от 17.10.2025 20:04:02</t>
  </si>
  <si>
    <t xml:space="preserve">грин01564</t>
  </si>
  <si>
    <t xml:space="preserve">Акт входного контроля грин01565 от 17.10.2025 20:54:22</t>
  </si>
  <si>
    <t xml:space="preserve">грин01565</t>
  </si>
  <si>
    <t xml:space="preserve">Акт входного контроля грин01566 от 17.10.2025 21:13:41</t>
  </si>
  <si>
    <t xml:space="preserve">грин01566</t>
  </si>
  <si>
    <t xml:space="preserve">Акт входного контроля грин01567 от 17.10.2025 21:48:12</t>
  </si>
  <si>
    <t xml:space="preserve">грин01567</t>
  </si>
  <si>
    <t xml:space="preserve">Акт входного контроля грин01568 от 17.10.2025 22:47:50</t>
  </si>
  <si>
    <t xml:space="preserve">грин01568</t>
  </si>
  <si>
    <t xml:space="preserve">Акт входного контроля грин01569 от 18.10.2025 7:20:07</t>
  </si>
  <si>
    <t xml:space="preserve">грин01569</t>
  </si>
  <si>
    <t xml:space="preserve">Акт входного контроля грин01570 от 18.10.2025 7:22:28</t>
  </si>
  <si>
    <t xml:space="preserve">грин01570</t>
  </si>
  <si>
    <t xml:space="preserve">Акт входного контроля грин01571 от 18.10.2025 8:22:05</t>
  </si>
  <si>
    <t xml:space="preserve">грин01571</t>
  </si>
  <si>
    <t xml:space="preserve">Акт входного контроля грин01572 от 18.10.2025 10:07:17</t>
  </si>
  <si>
    <t xml:space="preserve">грин01572</t>
  </si>
  <si>
    <t xml:space="preserve">Акт входного контроля грин01573 от 18.10.2025 11:52:50</t>
  </si>
  <si>
    <t xml:space="preserve">грин01573</t>
  </si>
  <si>
    <t xml:space="preserve">Акт входного контроля грин01574 от 18.10.2025 14:01:57</t>
  </si>
  <si>
    <t xml:space="preserve">грин01574</t>
  </si>
  <si>
    <t xml:space="preserve">Акт входного контроля грин01575 от 18.10.2025 17:17:11</t>
  </si>
  <si>
    <t xml:space="preserve">грин01575</t>
  </si>
  <si>
    <t xml:space="preserve">Акт входного контроля грин01576 от 18.10.2025 17:30:04</t>
  </si>
  <si>
    <t xml:space="preserve">грин01576</t>
  </si>
  <si>
    <t xml:space="preserve">Акт входного контроля грин01577 от 18.10.2025 20:15:08</t>
  </si>
  <si>
    <t xml:space="preserve">грин01577</t>
  </si>
  <si>
    <t xml:space="preserve">Акт входного контроля грин01578 от 18.10.2025 21:13:23</t>
  </si>
  <si>
    <t xml:space="preserve">грин01578</t>
  </si>
  <si>
    <t xml:space="preserve">Акт входного контроля грин01579 от 18.10.2025 23:32:45</t>
  </si>
  <si>
    <t xml:space="preserve">грин01579</t>
  </si>
  <si>
    <t xml:space="preserve">Акт входного контроля грин01580 от 18.10.2025 23:38:53</t>
  </si>
  <si>
    <t xml:space="preserve">грин01580</t>
  </si>
  <si>
    <t xml:space="preserve">Акт входного контроля грин01581 от 18.10.2025 16:43:52</t>
  </si>
  <si>
    <t xml:space="preserve">грин01581</t>
  </si>
  <si>
    <t xml:space="preserve">Акт входного контроля грин01582 от 18.10.2025 18:33:44</t>
  </si>
  <si>
    <t xml:space="preserve">грин01582</t>
  </si>
  <si>
    <t xml:space="preserve">Акт входного контроля грин01583 от 18.10.2025 19:12:16</t>
  </si>
  <si>
    <t xml:space="preserve">грин01583</t>
  </si>
  <si>
    <t xml:space="preserve">Акт входного контроля грин01584 от 18.10.2025 19:37:08</t>
  </si>
  <si>
    <t xml:space="preserve">грин01584</t>
  </si>
  <si>
    <t xml:space="preserve">Акт входного контроля грин01591 от 18.10.2025 19:45:47</t>
  </si>
  <si>
    <t xml:space="preserve">грин01591</t>
  </si>
  <si>
    <t xml:space="preserve">Акт входного контроля грин01585 от 18.10.2025 21:27:12</t>
  </si>
  <si>
    <t xml:space="preserve">грин01585</t>
  </si>
  <si>
    <t xml:space="preserve">Акт входного контроля грин01589 от 18.10.2025 21:49:58</t>
  </si>
  <si>
    <t xml:space="preserve">грин01589</t>
  </si>
  <si>
    <t xml:space="preserve">Акт входного контроля грин01593 от 18.10.2025 23:19:04</t>
  </si>
  <si>
    <t xml:space="preserve">грин01593</t>
  </si>
  <si>
    <t xml:space="preserve">Акт входного контроля грин01586 от 18.10.2025 23:57:37</t>
  </si>
  <si>
    <t xml:space="preserve">грин01586</t>
  </si>
  <si>
    <t xml:space="preserve">Акт входного контроля грин01587 от 19.10.2025 10:52:28</t>
  </si>
  <si>
    <t xml:space="preserve">грин01587</t>
  </si>
  <si>
    <t xml:space="preserve">Акт входного контроля грин01588 от 19.10.2025 11:00:50</t>
  </si>
  <si>
    <t xml:space="preserve">грин01588</t>
  </si>
  <si>
    <t xml:space="preserve">Акт входного контроля грин01592 от 19.10.2025 13:52:44</t>
  </si>
  <si>
    <t xml:space="preserve">грин01592</t>
  </si>
  <si>
    <t xml:space="preserve">Акт входного контроля грин01590 от 19.10.2025 11:18:31</t>
  </si>
  <si>
    <t xml:space="preserve">грин01590</t>
  </si>
  <si>
    <t xml:space="preserve">Акт входного контроля грин01594 от 19.10.2025 3:31:52</t>
  </si>
  <si>
    <t xml:space="preserve">грин01594</t>
  </si>
  <si>
    <t xml:space="preserve">Акт входного контроля грин01595 от 19.10.2025 15:53:39</t>
  </si>
  <si>
    <t xml:space="preserve">грин01595</t>
  </si>
  <si>
    <t xml:space="preserve">Акт входного контроля грин01596 от 19.10.2025 4:36:10</t>
  </si>
  <si>
    <t xml:space="preserve">грин01596</t>
  </si>
  <si>
    <t xml:space="preserve">Акт входного контроля грин01597 от 19.10.2025 17:09:52</t>
  </si>
  <si>
    <t xml:space="preserve">грин01597</t>
  </si>
  <si>
    <t xml:space="preserve">Акт входного контроля грин01598 от 19.10.2025 19:27:24</t>
  </si>
  <si>
    <t xml:space="preserve">грин01598</t>
  </si>
  <si>
    <t xml:space="preserve">Акт входного контроля грин01599 от 19.10.2025 20:45:47</t>
  </si>
  <si>
    <t xml:space="preserve">грин01599</t>
  </si>
  <si>
    <t xml:space="preserve">Акт входного контроля грин01600 от 19.10.2025 20:48:04</t>
  </si>
  <si>
    <t xml:space="preserve">грин01600</t>
  </si>
  <si>
    <t xml:space="preserve">Акт входного контроля грин01603 от 20.10.2025 17:37:27</t>
  </si>
  <si>
    <t xml:space="preserve">грин01603</t>
  </si>
  <si>
    <t xml:space="preserve">Акт входного контроля грин01604 от 20.10.2025 17:39:34</t>
  </si>
  <si>
    <t xml:space="preserve">грин01604</t>
  </si>
  <si>
    <t xml:space="preserve">Акт входного контроля грин01601 от 20.10.2025 18:49:39</t>
  </si>
  <si>
    <t xml:space="preserve">грин01601</t>
  </si>
  <si>
    <t xml:space="preserve">Акт входного контроля грин01602 от 20.10.2025 19:15:27</t>
  </si>
  <si>
    <t xml:space="preserve">грин01602</t>
  </si>
  <si>
    <t xml:space="preserve">Акт входного контроля грин01605 от 20.10.2025 19:45:21</t>
  </si>
  <si>
    <t xml:space="preserve">грин01605</t>
  </si>
  <si>
    <t xml:space="preserve">Акт входного контроля грин01606 от 20.10.2025 19:52:29</t>
  </si>
  <si>
    <t xml:space="preserve">грин01606</t>
  </si>
  <si>
    <t xml:space="preserve">Акт входного контроля грин01607 от 20.10.2025 20:12:56</t>
  </si>
  <si>
    <t xml:space="preserve">грин01607</t>
  </si>
  <si>
    <t xml:space="preserve">Акт входного контроля грин01608 от 20.10.2025 20:58:00</t>
  </si>
  <si>
    <t xml:space="preserve">грин01608</t>
  </si>
  <si>
    <t xml:space="preserve">Акт входного контроля грин01609 от 20.10.2025 21:34:12</t>
  </si>
  <si>
    <t xml:space="preserve">грин01609</t>
  </si>
  <si>
    <t xml:space="preserve">Акт входного контроля грин01610 от 20.10.2025 21:40:31</t>
  </si>
  <si>
    <t xml:space="preserve">грин01610</t>
  </si>
  <si>
    <t xml:space="preserve">Акт входного контроля грин01611 от 20.10.2025 21:44:10</t>
  </si>
  <si>
    <t xml:space="preserve">грин01611</t>
  </si>
  <si>
    <t xml:space="preserve">Акт входного контроля грин01612 от 20.10.2025 23:20:05</t>
  </si>
  <si>
    <t xml:space="preserve">грин01612</t>
  </si>
  <si>
    <t xml:space="preserve">Акт входного контроля грин01613 от 20.10.2025 23:29:47</t>
  </si>
  <si>
    <t xml:space="preserve">грин01613</t>
  </si>
  <si>
    <t xml:space="preserve">Акт входного контроля грин01614 от 21.10.2025 8:08:28</t>
  </si>
  <si>
    <t xml:space="preserve">грин01614</t>
  </si>
  <si>
    <t xml:space="preserve">Акт входного контроля грин01615 от 21.10.2025 8:50:59</t>
  </si>
  <si>
    <t xml:space="preserve">грин01615</t>
  </si>
  <si>
    <t xml:space="preserve">Акт входного контроля грин01616 от 21.10.2025 9:38:56</t>
  </si>
  <si>
    <t xml:space="preserve">грин01616</t>
  </si>
  <si>
    <t xml:space="preserve">Акт входного контроля грин01617 от 21.10.2025 10:34:49</t>
  </si>
  <si>
    <t xml:space="preserve">грин01617</t>
  </si>
  <si>
    <t xml:space="preserve">Акт входного контроля грин01618 от 21.10.2025 11:08:24</t>
  </si>
  <si>
    <t xml:space="preserve">грин01618</t>
  </si>
  <si>
    <t xml:space="preserve">Акт входного контроля грин01619 от 21.10.2025 12:16:18</t>
  </si>
  <si>
    <t xml:space="preserve">грин01619</t>
  </si>
  <si>
    <t xml:space="preserve">Акт входного контроля грин01620 от 21.10.2025 13:12:49</t>
  </si>
  <si>
    <t xml:space="preserve">грин01620</t>
  </si>
  <si>
    <t xml:space="preserve">Акт входного контроля грин01621 от 21.10.2025 14:17:35</t>
  </si>
  <si>
    <t xml:space="preserve">грин01621</t>
  </si>
  <si>
    <t xml:space="preserve">Акт входного контроля грин01622 от 21.10.2025 15:07:21</t>
  </si>
  <si>
    <t xml:space="preserve">грин01622</t>
  </si>
  <si>
    <t xml:space="preserve">Акт входного контроля грин01623 от 21.10.2025 15:55:59</t>
  </si>
  <si>
    <t xml:space="preserve">грин01623</t>
  </si>
  <si>
    <t xml:space="preserve">Акт входного контроля грин01624 от 21.10.2025 17:06:09</t>
  </si>
  <si>
    <t xml:space="preserve">грин01624</t>
  </si>
  <si>
    <t xml:space="preserve">Акт входного контроля грин01625 от 21.10.2025 18:36:37</t>
  </si>
  <si>
    <t xml:space="preserve">грин01625</t>
  </si>
  <si>
    <t xml:space="preserve">Акт входного контроля грин01628 от 21.10.2025 18:46:20</t>
  </si>
  <si>
    <t xml:space="preserve">грин01628</t>
  </si>
  <si>
    <t xml:space="preserve">Акт входного контроля грин01629 от 21.10.2025 18:51:08</t>
  </si>
  <si>
    <t xml:space="preserve">грин01629</t>
  </si>
  <si>
    <t xml:space="preserve">Акт входного контроля грин01626 от 21.10.2025 19:53:37</t>
  </si>
  <si>
    <t xml:space="preserve">грин01626</t>
  </si>
  <si>
    <t xml:space="preserve">Акт входного контроля грин01630 от 21.10.2025 20:26:42</t>
  </si>
  <si>
    <t xml:space="preserve">грин01630</t>
  </si>
  <si>
    <t xml:space="preserve">Акт входного контроля грин01631 от 21.10.2025 20:31:05</t>
  </si>
  <si>
    <t xml:space="preserve">грин01631</t>
  </si>
  <si>
    <t xml:space="preserve">Акт входного контроля грин01627 от 21.10.2025 21:17:55</t>
  </si>
  <si>
    <t xml:space="preserve">грин01627</t>
  </si>
  <si>
    <t xml:space="preserve">Акт входного контроля грин01632 от 21.10.2025 21:19:23</t>
  </si>
  <si>
    <t xml:space="preserve">грин01632</t>
  </si>
  <si>
    <t xml:space="preserve">Акт входного контроля грин01633 от 21.10.2025 21:30:26</t>
  </si>
  <si>
    <t xml:space="preserve">грин01633</t>
  </si>
  <si>
    <t xml:space="preserve">Акт входного контроля грин01634 от 21.10.2025 22:53:36</t>
  </si>
  <si>
    <t xml:space="preserve">грин01634</t>
  </si>
  <si>
    <t xml:space="preserve">Акт входного контроля грин01635 от 21.10.2025 22:58:32</t>
  </si>
  <si>
    <t xml:space="preserve">грин01635</t>
  </si>
  <si>
    <t xml:space="preserve">Акт входного контроля грин01636 от 21.10.2025 23:54:02</t>
  </si>
  <si>
    <t xml:space="preserve">грин01636</t>
  </si>
  <si>
    <t xml:space="preserve">Акт входного контроля грин01637 от 22.10.2025 6:47:38</t>
  </si>
  <si>
    <t xml:space="preserve">грин01637</t>
  </si>
  <si>
    <t xml:space="preserve">Акт входного контроля грин01638 от 22.10.2025 8:03:41</t>
  </si>
  <si>
    <t xml:space="preserve">грин01638</t>
  </si>
  <si>
    <t xml:space="preserve">Акт входного контроля грин01639 от 22.10.2025 8:48:55</t>
  </si>
  <si>
    <t xml:space="preserve">грин01639</t>
  </si>
  <si>
    <t xml:space="preserve">Акт входного контроля грин01640 от 22.10.2025 10:12:59</t>
  </si>
  <si>
    <t xml:space="preserve">грин01640</t>
  </si>
  <si>
    <t xml:space="preserve">Акт входного контроля грин01642 от 22.10.2025 13:03:38</t>
  </si>
  <si>
    <t xml:space="preserve">грин01642</t>
  </si>
  <si>
    <t xml:space="preserve">Акт входного контроля грин01643 от 22.10.2025 13:09:42</t>
  </si>
  <si>
    <t xml:space="preserve">грин01643</t>
  </si>
  <si>
    <t xml:space="preserve">Акт входного контроля грин01644 от 22.10.2025 14:56:33</t>
  </si>
  <si>
    <t xml:space="preserve">грин01644</t>
  </si>
  <si>
    <t xml:space="preserve">Акт входного контроля грин01645 от 22.10.2025 15:08:41</t>
  </si>
  <si>
    <t xml:space="preserve">грин01645</t>
  </si>
  <si>
    <t xml:space="preserve">Акт входного контроля грин01646 от 21.10.2025 22:08:55</t>
  </si>
  <si>
    <t xml:space="preserve">грин01646</t>
  </si>
  <si>
    <t xml:space="preserve">Акт входного контроля грин01647 от 22.10.2025 16:46:48</t>
  </si>
  <si>
    <t xml:space="preserve">грин01647</t>
  </si>
  <si>
    <t xml:space="preserve">Акт входного контроля грин01648 от 22.10.2025 19:18:25</t>
  </si>
  <si>
    <t xml:space="preserve">грин01648</t>
  </si>
  <si>
    <t xml:space="preserve">Акт входного контроля грин01649 от 22.10.2025 19:21:22</t>
  </si>
  <si>
    <t xml:space="preserve">грин01649</t>
  </si>
  <si>
    <t xml:space="preserve">Акт входного контроля грин01650 от 22.10.2025 19:40:47</t>
  </si>
  <si>
    <t xml:space="preserve">грин01650</t>
  </si>
  <si>
    <t xml:space="preserve">Акт входного контроля грин01651 от 22.10.2025 20:46:04</t>
  </si>
  <si>
    <t xml:space="preserve">грин01651</t>
  </si>
  <si>
    <t xml:space="preserve">Акт входного контроля грин01652 от 22.10.2025 21:29:34</t>
  </si>
  <si>
    <t xml:space="preserve">грин01652</t>
  </si>
  <si>
    <t xml:space="preserve">Акт входного контроля грин01655 от 22.10.2025 21:31:48</t>
  </si>
  <si>
    <t xml:space="preserve">грин01655</t>
  </si>
  <si>
    <t xml:space="preserve">Акт входного контроля грин01656 от 22.10.2025 22:21:45</t>
  </si>
  <si>
    <t xml:space="preserve">грин01656</t>
  </si>
  <si>
    <t xml:space="preserve">Акт входного контроля грин01657 от 22.10.2025 22:23:43</t>
  </si>
  <si>
    <t xml:space="preserve">грин01657</t>
  </si>
  <si>
    <t xml:space="preserve">Акт входного контроля грин01653 от 22.10.2025 22:41:07</t>
  </si>
  <si>
    <t xml:space="preserve">грин01653</t>
  </si>
  <si>
    <t xml:space="preserve">Акт входного контроля грин01658 от 22.10.2025 22:53:16</t>
  </si>
  <si>
    <t xml:space="preserve">грин01658</t>
  </si>
  <si>
    <t xml:space="preserve">Акт входного контроля грин01654 от 22.10.2025 23:29:33</t>
  </si>
  <si>
    <t xml:space="preserve">грин01654</t>
  </si>
  <si>
    <t xml:space="preserve">Акт входного контроля грин01659 от 23.10.2025 7:28:01</t>
  </si>
  <si>
    <t xml:space="preserve">грин01659</t>
  </si>
  <si>
    <t xml:space="preserve">Акт входного контроля грин01660 от 23.10.2025 8:15:35</t>
  </si>
  <si>
    <t xml:space="preserve">грин01660</t>
  </si>
  <si>
    <t xml:space="preserve">Акт входного контроля грин01661 от 23.10.2025 9:29:13</t>
  </si>
  <si>
    <t xml:space="preserve">грин01661</t>
  </si>
  <si>
    <t xml:space="preserve">Акт входного контроля грин01662 от 23.10.2025 11:17:12</t>
  </si>
  <si>
    <t xml:space="preserve">грин01662</t>
  </si>
  <si>
    <t xml:space="preserve">Акт входного контроля грин01663 от 23.10.2025 11:27:34</t>
  </si>
  <si>
    <t xml:space="preserve">грин01663</t>
  </si>
  <si>
    <t xml:space="preserve">Акт входного контроля грин01664 от 23.10.2025 12:59:17</t>
  </si>
  <si>
    <t xml:space="preserve">грин01664</t>
  </si>
  <si>
    <t xml:space="preserve">Акт входного контроля грин01665 от 23.10.2025 13:21:48</t>
  </si>
  <si>
    <t xml:space="preserve">грин01665</t>
  </si>
  <si>
    <t xml:space="preserve">Акт входного контроля грин01682 от 23.10.2025 14:09:54</t>
  </si>
  <si>
    <t xml:space="preserve">грин01682</t>
  </si>
  <si>
    <t xml:space="preserve">Акт входного контроля грин01667 от 23.10.2025 16:12:01</t>
  </si>
  <si>
    <t xml:space="preserve">грин01667</t>
  </si>
  <si>
    <t xml:space="preserve">Акт входного контроля грин01673 от 23.10.2025 23:31:28</t>
  </si>
  <si>
    <t xml:space="preserve">грин01673</t>
  </si>
  <si>
    <t xml:space="preserve">Акт входного контроля грин01674 от 23.10.2025 23:43:08</t>
  </si>
  <si>
    <t xml:space="preserve">грин01674</t>
  </si>
  <si>
    <t xml:space="preserve">Акт входного контроля грин01675 от 23.10.2025 14:46:06</t>
  </si>
  <si>
    <t xml:space="preserve">грин01675</t>
  </si>
  <si>
    <t xml:space="preserve">Акт входного контроля грин01666 от 23.10.2025 16:03:16</t>
  </si>
  <si>
    <t xml:space="preserve">грин01666</t>
  </si>
  <si>
    <t xml:space="preserve">Акт входного контроля грин01668 от 23.10.2025 16:18:59</t>
  </si>
  <si>
    <t xml:space="preserve">грин01668</t>
  </si>
  <si>
    <t xml:space="preserve">Акт входного контроля грин01676 от 23.10.2025 16:30:56</t>
  </si>
  <si>
    <t xml:space="preserve">грин01676</t>
  </si>
  <si>
    <t xml:space="preserve">Акт входного контроля грин01677 от 23.10.2025 16:35:27</t>
  </si>
  <si>
    <t xml:space="preserve">грин01677</t>
  </si>
  <si>
    <t xml:space="preserve">Акт входного контроля грин01669 от 23.10.2025 17:31:40</t>
  </si>
  <si>
    <t xml:space="preserve">грин01669</t>
  </si>
  <si>
    <t xml:space="preserve">Акт входного контроля грин01670 от 23.10.2025 17:40:01</t>
  </si>
  <si>
    <t xml:space="preserve">грин01670</t>
  </si>
  <si>
    <t xml:space="preserve">Акт входного контроля грин01678 от 23.10.2025 18:28:51</t>
  </si>
  <si>
    <t xml:space="preserve">грин01678</t>
  </si>
  <si>
    <t xml:space="preserve">Акт входного контроля грин01679 от 23.10.2025 19:15:43</t>
  </si>
  <si>
    <t xml:space="preserve">4.1 Колос</t>
  </si>
  <si>
    <t xml:space="preserve">грин01679</t>
  </si>
  <si>
    <t xml:space="preserve">Акт входного контроля грин01680 от 23.10.2025 19:44:34</t>
  </si>
  <si>
    <t xml:space="preserve">грин01680</t>
  </si>
  <si>
    <t xml:space="preserve">Акт входного контроля грин01681 от 23.10.2025 20:24:21</t>
  </si>
  <si>
    <t xml:space="preserve">грин01681</t>
  </si>
  <si>
    <t xml:space="preserve">Акт входного контроля грин01683 от 23.10.2025 20:38:25</t>
  </si>
  <si>
    <t xml:space="preserve">грин01683</t>
  </si>
  <si>
    <t xml:space="preserve">Акт входного контроля грин01684 от 23.10.2025 20:42:38</t>
  </si>
  <si>
    <t xml:space="preserve">грин01684</t>
  </si>
  <si>
    <t xml:space="preserve">Акт входного контроля грин01685 от 23.10.2025 21:15:37</t>
  </si>
  <si>
    <t xml:space="preserve">грин01685</t>
  </si>
  <si>
    <t xml:space="preserve">Акт входного контроля грин01686 от 23.10.2025 21:36:33</t>
  </si>
  <si>
    <t xml:space="preserve">2.3 Колос</t>
  </si>
  <si>
    <t xml:space="preserve">грин01686</t>
  </si>
  <si>
    <t xml:space="preserve">Акт входного контроля грин01687 от 23.10.2025 21:47:00</t>
  </si>
  <si>
    <t xml:space="preserve">грин01687</t>
  </si>
  <si>
    <t xml:space="preserve">Акт входного контроля грин01671 от 23.10.2025 23:23:57</t>
  </si>
  <si>
    <t xml:space="preserve">грин01671</t>
  </si>
  <si>
    <t xml:space="preserve">Акт входного контроля грин01672 от 23.10.2025 23:27:09</t>
  </si>
  <si>
    <t xml:space="preserve">грин01672</t>
  </si>
  <si>
    <t xml:space="preserve">Акт входного контроля грин01688 от 24.10.2025 14:47:32</t>
  </si>
  <si>
    <t xml:space="preserve">грин01688</t>
  </si>
  <si>
    <t xml:space="preserve">Акт входного контроля грин01689 от 24.10.2025 15:05:34</t>
  </si>
  <si>
    <t xml:space="preserve">грин01689</t>
  </si>
  <si>
    <t xml:space="preserve">Акт входного контроля грин01691 от 24.10.2025 15:14:39</t>
  </si>
  <si>
    <t xml:space="preserve">грин01691</t>
  </si>
  <si>
    <t xml:space="preserve">Акт входного контроля грин01692 от 24.10.2025 16:38:08</t>
  </si>
  <si>
    <t xml:space="preserve">грин01692</t>
  </si>
  <si>
    <t xml:space="preserve">Акт входного контроля грин01693 от 24.10.2025 17:04:46</t>
  </si>
  <si>
    <t xml:space="preserve">грин01693</t>
  </si>
  <si>
    <t xml:space="preserve">Акт входного контроля грин01694 от 24.10.2025 18:05:17</t>
  </si>
  <si>
    <t xml:space="preserve">грин01694</t>
  </si>
  <si>
    <t xml:space="preserve">Акт входного контроля грин01695 от 24.10.2025 18:14:29</t>
  </si>
  <si>
    <t xml:space="preserve">грин01695</t>
  </si>
  <si>
    <t xml:space="preserve">Акт входного контроля грин01698 от 24.10.2025 18:56:48</t>
  </si>
  <si>
    <t xml:space="preserve">грин01698</t>
  </si>
  <si>
    <t xml:space="preserve">Акт входного контроля грин01696 от 24.10.2025 19:29:36</t>
  </si>
  <si>
    <t xml:space="preserve">грин01696</t>
  </si>
  <si>
    <t xml:space="preserve">Акт входного контроля грин01699 от 24.10.2025 20:18:17</t>
  </si>
  <si>
    <t xml:space="preserve">грин01699</t>
  </si>
  <si>
    <t xml:space="preserve">Акт входного контроля грин01700 от 24.10.2025 20:59:34</t>
  </si>
  <si>
    <t xml:space="preserve">грин01700</t>
  </si>
  <si>
    <t xml:space="preserve">Акт входного контроля грин01697 от 24.10.2025 21:22:04</t>
  </si>
  <si>
    <t xml:space="preserve">грин01697</t>
  </si>
  <si>
    <t xml:space="preserve">Акт входного контроля грин01701 от 24.10.2025 21:44:56</t>
  </si>
  <si>
    <t xml:space="preserve">грин01701</t>
  </si>
  <si>
    <t xml:space="preserve">Акт входного контроля грин01702 от 25.10.2025 2:14:46</t>
  </si>
  <si>
    <t xml:space="preserve">грин01702</t>
  </si>
  <si>
    <t xml:space="preserve">Акт входного контроля грин01703 от 25.10.2025 2:57:51</t>
  </si>
  <si>
    <t xml:space="preserve">грин01703</t>
  </si>
  <si>
    <t xml:space="preserve">Акт входного контроля грин01704 от 25.10.2025 5:03:46</t>
  </si>
  <si>
    <t xml:space="preserve">грин01704</t>
  </si>
  <si>
    <t xml:space="preserve">Акт входного контроля грин01705 от 25.10.2025 7:46:18</t>
  </si>
  <si>
    <t xml:space="preserve">грин01705</t>
  </si>
  <si>
    <t xml:space="preserve">Акт входного контроля грин01706 от 25.10.2025 7:51:26</t>
  </si>
  <si>
    <t xml:space="preserve">грин01706</t>
  </si>
  <si>
    <t xml:space="preserve">Акт входного контроля грин01707 от 25.10.2025 8:50:48</t>
  </si>
  <si>
    <t xml:space="preserve">грин01707</t>
  </si>
  <si>
    <t xml:space="preserve">Акт входного контроля грин01708 от 25.10.2025 9:36:11</t>
  </si>
  <si>
    <t xml:space="preserve">грин01708</t>
  </si>
  <si>
    <t xml:space="preserve">Акт входного контроля грин01709 от 25.10.2025 10:13:28</t>
  </si>
  <si>
    <t xml:space="preserve">грин01709</t>
  </si>
  <si>
    <t xml:space="preserve">Акт входного контроля грин01710 от 25.10.2025 11:26:40</t>
  </si>
  <si>
    <t xml:space="preserve">грин01710</t>
  </si>
  <si>
    <t xml:space="preserve">Акт входного контроля грин01711 от 25.10.2025 12:16:24</t>
  </si>
  <si>
    <t xml:space="preserve">грин01711</t>
  </si>
  <si>
    <t xml:space="preserve">Акт входного контроля грин01712 от 25.10.2025 13:31:22</t>
  </si>
  <si>
    <t xml:space="preserve">грин01712</t>
  </si>
  <si>
    <t xml:space="preserve">Акт входного контроля грин01713 от 25.10.2025 14:39:57</t>
  </si>
  <si>
    <t xml:space="preserve">грин01713</t>
  </si>
  <si>
    <t xml:space="preserve">Акт входного контроля грин01714 от 25.10.2025 15:40:29</t>
  </si>
  <si>
    <t xml:space="preserve">грин01714</t>
  </si>
  <si>
    <t xml:space="preserve">Акт входного контроля грин01715 от 25.10.2025 16:16:50</t>
  </si>
  <si>
    <t xml:space="preserve">грин01715</t>
  </si>
  <si>
    <t xml:space="preserve">Акт входного контроля грин01716 от 25.10.2025 17:55:41</t>
  </si>
  <si>
    <t xml:space="preserve">грин01716</t>
  </si>
  <si>
    <t xml:space="preserve">Акт входного контроля грин01717 от 25.10.2025 19:12:35</t>
  </si>
  <si>
    <t xml:space="preserve">грин01717</t>
  </si>
  <si>
    <t xml:space="preserve">Акт входного контроля грин01718 от 25.10.2025 19:37:47</t>
  </si>
  <si>
    <t xml:space="preserve">грин01718</t>
  </si>
  <si>
    <t xml:space="preserve">Акт входного контроля грин01719 от 25.10.2025 21:50:52</t>
  </si>
  <si>
    <t xml:space="preserve">грин01719</t>
  </si>
  <si>
    <t xml:space="preserve">Акт входного контроля грин01721 от 25.10.2025 23:23:24</t>
  </si>
  <si>
    <t xml:space="preserve">грин01721</t>
  </si>
  <si>
    <t xml:space="preserve">Акт входного контроля грин01720 от 25.10.2025 23:57:18</t>
  </si>
  <si>
    <t xml:space="preserve">грин01720</t>
  </si>
  <si>
    <t xml:space="preserve">Акт входного контроля грин01722 от 26.10.2025 1:24:49</t>
  </si>
  <si>
    <t xml:space="preserve">грин01722</t>
  </si>
  <si>
    <t xml:space="preserve">Акт входного контроля грин01723 от 26.10.2025 2:22:45</t>
  </si>
  <si>
    <t xml:space="preserve">грин01723</t>
  </si>
  <si>
    <t xml:space="preserve">Акт входного контроля грин01724 от 26.10.2025 3:32:00</t>
  </si>
  <si>
    <t xml:space="preserve">грин01724</t>
  </si>
  <si>
    <t xml:space="preserve">Акт входного контроля грин01725 от 26.10.2025 4:07:40</t>
  </si>
  <si>
    <t xml:space="preserve">грин01725</t>
  </si>
  <si>
    <t xml:space="preserve">Акт входного контроля грин01726 от 26.10.2025 5:06:44</t>
  </si>
  <si>
    <t xml:space="preserve">грин01726</t>
  </si>
  <si>
    <t xml:space="preserve">Акт входного контроля грин01727 от 26.10.2025 6:12:27</t>
  </si>
  <si>
    <t xml:space="preserve">грин01727</t>
  </si>
  <si>
    <t xml:space="preserve">Акт входного контроля грин01728 от 26.10.2025 6:33:50</t>
  </si>
  <si>
    <t xml:space="preserve">грин01728</t>
  </si>
  <si>
    <t xml:space="preserve">Акт входного контроля грин01739 от 26.10.2025 9:37:45</t>
  </si>
  <si>
    <t xml:space="preserve">грин01739</t>
  </si>
  <si>
    <t xml:space="preserve">Акт входного контроля грин01729 от 26.10.2025 10:13:05</t>
  </si>
  <si>
    <t xml:space="preserve">грин01729</t>
  </si>
  <si>
    <t xml:space="preserve">Акт входного контроля грин01730 от 26.10.2025 11:14:52</t>
  </si>
  <si>
    <t xml:space="preserve">грин01730</t>
  </si>
  <si>
    <t xml:space="preserve">Акт входного контроля грин01740 от 26.10.2025 12:28:57</t>
  </si>
  <si>
    <t xml:space="preserve">грин01740</t>
  </si>
  <si>
    <t xml:space="preserve">Акт входного контроля грин01731 от 26.10.2025 12:59:42</t>
  </si>
  <si>
    <t xml:space="preserve">грин01731</t>
  </si>
  <si>
    <t xml:space="preserve">Акт входного контроля грин01741 от 26.10.2025 13:06:34</t>
  </si>
  <si>
    <t xml:space="preserve">грин01741</t>
  </si>
  <si>
    <t xml:space="preserve">Акт входного контроля грин01742 от 26.10.2025 13:34:42</t>
  </si>
  <si>
    <t xml:space="preserve">грин01742</t>
  </si>
  <si>
    <t xml:space="preserve">Акт входного контроля грин01732 от 26.10.2025 14:42:46</t>
  </si>
  <si>
    <t xml:space="preserve">грин01732</t>
  </si>
  <si>
    <t xml:space="preserve">Акт входного контроля грин01743 от 26.10.2025 15:01:00</t>
  </si>
  <si>
    <t xml:space="preserve">грин01743</t>
  </si>
  <si>
    <t xml:space="preserve">Акт входного контроля грин01733 от 26.10.2025 16:50:27</t>
  </si>
  <si>
    <t xml:space="preserve">грин01733</t>
  </si>
  <si>
    <t xml:space="preserve">Акт входного контроля грин01734 от 26.10.2025 19:42:59</t>
  </si>
  <si>
    <t xml:space="preserve">грин01734</t>
  </si>
  <si>
    <t xml:space="preserve">Акт входного контроля грин01735 от 26.10.2025 21:34:00</t>
  </si>
  <si>
    <t xml:space="preserve">грин01735</t>
  </si>
  <si>
    <t xml:space="preserve">Акт входного контроля грин01744 от 26.10.2025 17:46:10</t>
  </si>
  <si>
    <t xml:space="preserve">грин01744</t>
  </si>
  <si>
    <t xml:space="preserve">Акт входного контроля грин01745 от 26.10.2025 18:33:00</t>
  </si>
  <si>
    <t xml:space="preserve">грин01745</t>
  </si>
  <si>
    <t xml:space="preserve">Акт входного контроля грин01746 от 26.10.2025 19:01:23</t>
  </si>
  <si>
    <t xml:space="preserve">грин01746</t>
  </si>
  <si>
    <t xml:space="preserve">Акт входного контроля грин01737 от 26.10.2025 22:49:14</t>
  </si>
  <si>
    <t xml:space="preserve">грин01737</t>
  </si>
  <si>
    <t xml:space="preserve">Акт входного контроля грин01747 от 26.10.2025 19:43:30</t>
  </si>
  <si>
    <t xml:space="preserve">грин01747</t>
  </si>
  <si>
    <t xml:space="preserve">Акт входного контроля грин01748 от 26.10.2025 20:48:20</t>
  </si>
  <si>
    <t xml:space="preserve">грин01748</t>
  </si>
  <si>
    <t xml:space="preserve">Акт входного контроля грин01749 от 26.10.2025 21:51:09</t>
  </si>
  <si>
    <t xml:space="preserve">грин01749</t>
  </si>
  <si>
    <t xml:space="preserve">Акт входного контроля грин01761 от 27.10.2025 13:34:37</t>
  </si>
  <si>
    <t xml:space="preserve">грин01761</t>
  </si>
  <si>
    <t xml:space="preserve">Акт входного контроля грин01762 от 27.10.2025 15:16:48</t>
  </si>
  <si>
    <t xml:space="preserve">грин01762</t>
  </si>
  <si>
    <t xml:space="preserve">Акт входного контроля грин01763 от 27.10.2025 15:25:38</t>
  </si>
  <si>
    <t xml:space="preserve">грин01763</t>
  </si>
  <si>
    <t xml:space="preserve">Акт входного контроля грин01751 от 27.10.2025 16:01:44</t>
  </si>
  <si>
    <t xml:space="preserve">грин01751</t>
  </si>
  <si>
    <t xml:space="preserve">Акт входного контроля грин01755 от 27.10.2025 16:59:17</t>
  </si>
  <si>
    <t xml:space="preserve">грин01755</t>
  </si>
  <si>
    <t xml:space="preserve">Акт входного контроля грин01764 от 27.10.2025 17:12:44</t>
  </si>
  <si>
    <t xml:space="preserve">грин01764</t>
  </si>
  <si>
    <t xml:space="preserve">Акт входного контроля грин01757 от 27.10.2025 18:02:59</t>
  </si>
  <si>
    <t xml:space="preserve">грин01757</t>
  </si>
  <si>
    <t xml:space="preserve">Акт входного контроля грин01765 от 27.10.2025 18:13:14</t>
  </si>
  <si>
    <t xml:space="preserve">грин01765</t>
  </si>
  <si>
    <t xml:space="preserve">Акт входного контроля грин01766 от 27.10.2025 19:33:34</t>
  </si>
  <si>
    <t xml:space="preserve">грин01766</t>
  </si>
  <si>
    <t xml:space="preserve">Акт входного контроля грин01767 от 27.10.2025 19:41:50</t>
  </si>
  <si>
    <t xml:space="preserve">грин01767</t>
  </si>
  <si>
    <t xml:space="preserve">Акт входного контроля грин01758 от 27.10.2025 19:59:26</t>
  </si>
  <si>
    <t xml:space="preserve">грин01758</t>
  </si>
  <si>
    <t xml:space="preserve">Акт входного контроля грин01771 от 27.10.2025 20:47:29</t>
  </si>
  <si>
    <t xml:space="preserve">грин01771</t>
  </si>
  <si>
    <t xml:space="preserve">Акт входного контроля грин01759 от 27.10.2025 21:09:37</t>
  </si>
  <si>
    <t xml:space="preserve">грин01759</t>
  </si>
  <si>
    <t xml:space="preserve">Акт входного контроля грин01760 от 27.10.2025 21:21:38</t>
  </si>
  <si>
    <t xml:space="preserve">грин01760</t>
  </si>
  <si>
    <t xml:space="preserve">Акт входного контроля грин01768 от 27.10.2025 21:31:42</t>
  </si>
  <si>
    <t xml:space="preserve">грин01768</t>
  </si>
  <si>
    <t xml:space="preserve">Акт входного контроля грин01769 от 27.10.2025 22:25:20</t>
  </si>
  <si>
    <t xml:space="preserve">грин01769</t>
  </si>
  <si>
    <t xml:space="preserve">Акт входного контроля грин01770 от 27.10.2025 23:31:59</t>
  </si>
  <si>
    <t xml:space="preserve">грин01770</t>
  </si>
  <si>
    <t xml:space="preserve">Акт входного контроля грин01772 от 27.10.2025 23:45:28</t>
  </si>
  <si>
    <t xml:space="preserve">грин01772</t>
  </si>
  <si>
    <t xml:space="preserve">Акт входного контроля грин01773 от 28.10.2025 11:25:33</t>
  </si>
  <si>
    <t xml:space="preserve">грин01773</t>
  </si>
  <si>
    <t xml:space="preserve">Акт входного контроля грин01785 от 28.10.2025 9:53:50</t>
  </si>
  <si>
    <t xml:space="preserve">грин01785</t>
  </si>
  <si>
    <t xml:space="preserve">Акт входного контроля грин01787 от 28.10.2025 12:09:28</t>
  </si>
  <si>
    <t xml:space="preserve">грин01787</t>
  </si>
  <si>
    <t xml:space="preserve">Акт входного контроля грин01788 от 28.10.2025 12:42:24</t>
  </si>
  <si>
    <t xml:space="preserve">грин01788</t>
  </si>
  <si>
    <t xml:space="preserve">Акт входного контроля грин01774 от 28.10.2025 13:37:47</t>
  </si>
  <si>
    <t xml:space="preserve">грин01774</t>
  </si>
  <si>
    <t xml:space="preserve">Акт входного контроля грин01775 от 28.10.2025 13:50:52</t>
  </si>
  <si>
    <t xml:space="preserve">грин01775</t>
  </si>
  <si>
    <t xml:space="preserve">Акт входного контроля грин01776 от 28.10.2025 14:02:10</t>
  </si>
  <si>
    <t xml:space="preserve">грин01776</t>
  </si>
  <si>
    <t xml:space="preserve">Акт входного контроля грин01777 от 28.10.2025 14:47:02</t>
  </si>
  <si>
    <t xml:space="preserve">грин01777</t>
  </si>
  <si>
    <t xml:space="preserve">Акт входного контроля грин01778 от 28.10.2025 16:34:47</t>
  </si>
  <si>
    <t xml:space="preserve">грин01778</t>
  </si>
  <si>
    <t xml:space="preserve">Акт входного контроля грин01779 от 28.10.2025 16:48:57</t>
  </si>
  <si>
    <t xml:space="preserve">грин01779</t>
  </si>
  <si>
    <t xml:space="preserve">Акт входного контроля грин01781 от 28.10.2025 18:05:02</t>
  </si>
  <si>
    <t xml:space="preserve">грин01781</t>
  </si>
  <si>
    <t xml:space="preserve">Акт входного контроля грин01780 от 28.10.2025 18:21:34</t>
  </si>
  <si>
    <t xml:space="preserve">грин01780</t>
  </si>
  <si>
    <t xml:space="preserve">Акт входного контроля грин01782 от 28.10.2025 19:08:47</t>
  </si>
  <si>
    <t xml:space="preserve">грин01782</t>
  </si>
  <si>
    <t xml:space="preserve">Акт входного контроля грин01783 от 28.10.2025 20:08:12</t>
  </si>
  <si>
    <t xml:space="preserve">грин01783</t>
  </si>
  <si>
    <t xml:space="preserve">Акт входного контроля грин01789 от 28.10.2025 22:27:39</t>
  </si>
  <si>
    <t xml:space="preserve">грин01789</t>
  </si>
  <si>
    <t xml:space="preserve">Акт входного контроля грин01784 от 28.10.2025 22:57:01</t>
  </si>
  <si>
    <t xml:space="preserve">грин01784</t>
  </si>
  <si>
    <t xml:space="preserve">Акт входного контроля грин01786 от 28.10.2025 23:25:33</t>
  </si>
  <si>
    <t xml:space="preserve">грин01786</t>
  </si>
  <si>
    <t xml:space="preserve">Акт входного контроля грин01790 от 28.10.2025 23:41:09</t>
  </si>
  <si>
    <t xml:space="preserve">грин01790</t>
  </si>
  <si>
    <t xml:space="preserve">Акт входного контроля грин01791 от 29.10.2025 5:00:55</t>
  </si>
  <si>
    <t xml:space="preserve">грин01791</t>
  </si>
  <si>
    <t xml:space="preserve">Акт входного контроля грин01792 от 29.10.2025 5:43:30</t>
  </si>
  <si>
    <t xml:space="preserve">грин01792</t>
  </si>
  <si>
    <t xml:space="preserve">Акт входного контроля грин01793 от 29.10.2025 6:40:15</t>
  </si>
  <si>
    <t xml:space="preserve">грин01793</t>
  </si>
  <si>
    <t xml:space="preserve">Акт входного контроля грин01794 от 29.10.2025 7:53:30</t>
  </si>
  <si>
    <t xml:space="preserve">грин01794</t>
  </si>
  <si>
    <t xml:space="preserve">Акт входного контроля грин01795 от 29.10.2025 8:46:54</t>
  </si>
  <si>
    <t xml:space="preserve">грин01795</t>
  </si>
  <si>
    <t xml:space="preserve">Акт входного контроля грин01805 от 29.10.2025 19:13:59</t>
  </si>
  <si>
    <t xml:space="preserve">грин01805</t>
  </si>
  <si>
    <t xml:space="preserve">Акт входного контроля грин01801 от 29.10.2025 20:10:46</t>
  </si>
  <si>
    <t xml:space="preserve">грин01801</t>
  </si>
  <si>
    <t xml:space="preserve">Акт входного контроля грин01806 от 29.10.2025 20:43:52</t>
  </si>
  <si>
    <t xml:space="preserve">грин01806</t>
  </si>
  <si>
    <t xml:space="preserve">Акт входного контроля грин01802 от 29.10.2025 21:18:21</t>
  </si>
  <si>
    <t xml:space="preserve">грин01802</t>
  </si>
  <si>
    <t xml:space="preserve">Акт входного контроля грин01807 от 29.10.2025 21:40:56</t>
  </si>
  <si>
    <t xml:space="preserve">грин01807</t>
  </si>
  <si>
    <t xml:space="preserve">Акт входного контроля грин01808 от 29.10.2025 22:21:04</t>
  </si>
  <si>
    <t xml:space="preserve">грин01808</t>
  </si>
  <si>
    <t xml:space="preserve">Акт входного контроля грин01803 от 29.10.2025 22:57:27</t>
  </si>
  <si>
    <t xml:space="preserve">грин01803</t>
  </si>
  <si>
    <t xml:space="preserve">Акт входного контроля грин01809 от 29.10.2025 23:00:55</t>
  </si>
  <si>
    <t xml:space="preserve">грин01809</t>
  </si>
  <si>
    <t xml:space="preserve">Акт входного контроля грин01804 от 29.10.2025 23:21:11</t>
  </si>
  <si>
    <t xml:space="preserve">грин01804</t>
  </si>
  <si>
    <t xml:space="preserve">Акт входного контроля грин01810 от 30.10.2025 5:39:59</t>
  </si>
  <si>
    <t xml:space="preserve">грин01810</t>
  </si>
  <si>
    <t xml:space="preserve">Акт входного контроля грин01811 от 30.10.2025 6:23:27</t>
  </si>
  <si>
    <t xml:space="preserve">грин01811</t>
  </si>
  <si>
    <t xml:space="preserve">Акт входного контроля грин01812 от 30.10.2025 7:49:36</t>
  </si>
  <si>
    <t xml:space="preserve">грин01812</t>
  </si>
  <si>
    <t xml:space="preserve">Акт входного контроля грин01813 от 30.10.2025 8:44:55</t>
  </si>
  <si>
    <t xml:space="preserve">грин01813</t>
  </si>
  <si>
    <t xml:space="preserve">Акт входного контроля грин01814 от 30.10.2025 10:29:59</t>
  </si>
  <si>
    <t xml:space="preserve">грин01814</t>
  </si>
  <si>
    <t xml:space="preserve">Акт входного контроля грин01815 от 30.10.2025 12:46:12</t>
  </si>
  <si>
    <t xml:space="preserve">грин01815</t>
  </si>
  <si>
    <t xml:space="preserve">Акт входного контроля грин01816 от 30.10.2025 12:48:55</t>
  </si>
  <si>
    <t xml:space="preserve">грин01816</t>
  </si>
  <si>
    <t xml:space="preserve">Акт входного контроля грин01817 от 30.10.2025 14:22:47</t>
  </si>
  <si>
    <t xml:space="preserve">грин01817</t>
  </si>
  <si>
    <t xml:space="preserve">Акт входного контроля грин01818 от 30.10.2025 14:56:57</t>
  </si>
  <si>
    <t xml:space="preserve">грин01818</t>
  </si>
  <si>
    <t xml:space="preserve">Акт входного контроля грин01819 от 30.10.2025 16:20:04</t>
  </si>
  <si>
    <t xml:space="preserve">грин01819</t>
  </si>
  <si>
    <t xml:space="preserve">Акт входного контроля грин01820 от 30.10.2025 17:31:11</t>
  </si>
  <si>
    <t xml:space="preserve">грин01820</t>
  </si>
  <si>
    <t xml:space="preserve">Акт входного контроля грин01821 от 30.10.2025 19:09:18</t>
  </si>
  <si>
    <t xml:space="preserve">грин01821</t>
  </si>
  <si>
    <t xml:space="preserve">Акт входного контроля грин01826 от 30.10.2025 20:29:09</t>
  </si>
  <si>
    <t xml:space="preserve">грин01826</t>
  </si>
  <si>
    <t xml:space="preserve">Акт входного контроля грин01827 от 30.10.2025 20:34:18</t>
  </si>
  <si>
    <t xml:space="preserve">грин01827</t>
  </si>
  <si>
    <t xml:space="preserve">Акт входного контроля грин01828 от 30.10.2025 20:40:50</t>
  </si>
  <si>
    <t xml:space="preserve">грин01828</t>
  </si>
  <si>
    <t xml:space="preserve">Акт входного контроля грин01822 от 30.10.2025 21:27:34</t>
  </si>
  <si>
    <t xml:space="preserve">грин01822</t>
  </si>
  <si>
    <t xml:space="preserve">Акт входного контроля грин01823 от 30.10.2025 21:33:16</t>
  </si>
  <si>
    <t xml:space="preserve">грин01823</t>
  </si>
  <si>
    <t xml:space="preserve">Акт входного контроля грин01829 от 30.10.2025 22:21:02</t>
  </si>
  <si>
    <t xml:space="preserve">грин01829</t>
  </si>
  <si>
    <t xml:space="preserve">Акт входного контроля грин01824 от 30.10.2025 22:34:22</t>
  </si>
  <si>
    <t xml:space="preserve">грин01824</t>
  </si>
  <si>
    <t xml:space="preserve">Акт входного контроля грин01830 от 30.10.2025 22:41:47</t>
  </si>
  <si>
    <t xml:space="preserve">грин01830</t>
  </si>
  <si>
    <t xml:space="preserve">Акт входного контроля грин01825 от 30.10.2025 23:30:12</t>
  </si>
  <si>
    <t xml:space="preserve">грин01825</t>
  </si>
  <si>
    <t xml:space="preserve">Акт входного контроля грин01831 от 31.10.2025 9:08:21</t>
  </si>
  <si>
    <t xml:space="preserve">грин01831</t>
  </si>
  <si>
    <t xml:space="preserve">Акт входного контроля грин01832 от 31.10.2025 9:33:59</t>
  </si>
  <si>
    <t xml:space="preserve">грин01832</t>
  </si>
  <si>
    <t xml:space="preserve">Акт входного контроля грин01833 от 31.10.2025 10:56:34</t>
  </si>
  <si>
    <t xml:space="preserve">грин01833</t>
  </si>
  <si>
    <t xml:space="preserve">Акт входного контроля грин01834 от 31.10.2025 11:05:21</t>
  </si>
  <si>
    <t xml:space="preserve">грин01834</t>
  </si>
  <si>
    <t xml:space="preserve">Акт входного контроля грин01835 от 31.10.2025 12:49:58</t>
  </si>
  <si>
    <t xml:space="preserve">грин01835</t>
  </si>
  <si>
    <t xml:space="preserve">Акт входного контроля грин01837 от 31.10.2025 14:00:29</t>
  </si>
  <si>
    <t xml:space="preserve">грин01837</t>
  </si>
  <si>
    <t xml:space="preserve">Акт входного контроля грин01838 от 31.10.2025 14:33:45</t>
  </si>
  <si>
    <t xml:space="preserve">грин01838</t>
  </si>
  <si>
    <t xml:space="preserve">Акт входного контроля грин01839 от 31.10.2025 14:41:43</t>
  </si>
  <si>
    <t xml:space="preserve">грин01839</t>
  </si>
  <si>
    <t xml:space="preserve">Акт входного контроля грин01840 от 31.10.2025 15:44:54</t>
  </si>
  <si>
    <t xml:space="preserve">грин01840</t>
  </si>
  <si>
    <t xml:space="preserve">Акт входного контроля грин01841 от 31.10.2025 16:17:54</t>
  </si>
  <si>
    <t xml:space="preserve">грин01841</t>
  </si>
  <si>
    <t xml:space="preserve">Акт входного контроля грин01842 от 31.10.2025 17:34:13</t>
  </si>
  <si>
    <t xml:space="preserve">грин01842</t>
  </si>
  <si>
    <t xml:space="preserve">Акт входного контроля грин01843 от 31.10.2025 18:37:22</t>
  </si>
  <si>
    <t xml:space="preserve">грин01843</t>
  </si>
  <si>
    <t xml:space="preserve">Акт входного контроля грин01844 от 31.10.2025 21:54:19</t>
  </si>
  <si>
    <t xml:space="preserve">грин01844</t>
  </si>
  <si>
    <t xml:space="preserve">Акт входного контроля грин01845 от 31.10.2025 21:57:05</t>
  </si>
  <si>
    <t xml:space="preserve">грин01845</t>
  </si>
  <si>
    <t xml:space="preserve">Акт входного контроля грин01846 от 31.10.2025 19:26:05</t>
  </si>
  <si>
    <t xml:space="preserve">грин01846</t>
  </si>
  <si>
    <t xml:space="preserve">Акт входного контроля грин01847 от 31.10.2025 20:07:02</t>
  </si>
  <si>
    <t xml:space="preserve">грин01847</t>
  </si>
  <si>
    <t xml:space="preserve">Акт входного контроля грин01848 от 31.10.2025 20:33:15</t>
  </si>
  <si>
    <t xml:space="preserve">грин01848</t>
  </si>
  <si>
    <t xml:space="preserve">Акт входного контроля грин01849 от 31.10.2025 21:07:48</t>
  </si>
  <si>
    <t xml:space="preserve">грин01849</t>
  </si>
  <si>
    <t xml:space="preserve">Акт входного контроля грин01850 от 31.10.2025 23:16:37</t>
  </si>
  <si>
    <t xml:space="preserve">грин01850</t>
  </si>
  <si>
    <t xml:space="preserve">Акт входного контроля грин01851 от 31.10.2025 22:29:02</t>
  </si>
  <si>
    <t xml:space="preserve">грин01851</t>
  </si>
  <si>
    <t xml:space="preserve">Акт входного контроля грин01852 от 31.10.2025 23:47:16</t>
  </si>
  <si>
    <t xml:space="preserve">грин01852</t>
  </si>
  <si>
    <t xml:space="preserve">Акт входного контроля грин01853 от 01.11.2025 8:52:46</t>
  </si>
  <si>
    <t xml:space="preserve">грин01853</t>
  </si>
  <si>
    <t xml:space="preserve">Акт входного контроля грин01854 от 01.11.2025 9:34:03</t>
  </si>
  <si>
    <t xml:space="preserve">грин01854</t>
  </si>
  <si>
    <t xml:space="preserve">Акт входного контроля грин01855 от 01.11.2025 10:09:23</t>
  </si>
  <si>
    <t xml:space="preserve">грин01855</t>
  </si>
  <si>
    <t xml:space="preserve">Акт входного контроля грин01856 от 01.11.2025 11:10:36</t>
  </si>
  <si>
    <t xml:space="preserve">грин01856</t>
  </si>
  <si>
    <t xml:space="preserve">Акт входного контроля грин01857 от 01.11.2025 11:37:55</t>
  </si>
  <si>
    <t xml:space="preserve">грин01857</t>
  </si>
  <si>
    <t xml:space="preserve">Акт входного контроля грин01873 от 01.11.2025 4:40:28</t>
  </si>
  <si>
    <t xml:space="preserve">грин01873</t>
  </si>
  <si>
    <t xml:space="preserve">Акт входного контроля грин01858 от 01.11.2025 14:21:33</t>
  </si>
  <si>
    <t xml:space="preserve">грин01858</t>
  </si>
  <si>
    <t xml:space="preserve">Акт входного контроля грин01859 от 01.11.2025 15:13:59</t>
  </si>
  <si>
    <t xml:space="preserve">грин01859</t>
  </si>
  <si>
    <t xml:space="preserve">Акт входного контроля грин01860 от 01.11.2025 16:07:09</t>
  </si>
  <si>
    <t xml:space="preserve">грин01860</t>
  </si>
  <si>
    <t xml:space="preserve">Акт входного контроля грин01867 от 01.11.2025 16:39:28</t>
  </si>
  <si>
    <t xml:space="preserve">грин01867</t>
  </si>
  <si>
    <t xml:space="preserve">Акт входного контроля грин01868 от 01.11.2025 17:02:24</t>
  </si>
  <si>
    <t xml:space="preserve">грин01868</t>
  </si>
  <si>
    <t xml:space="preserve">Акт входного контроля грин01869 от 01.11.2025 17:32:40</t>
  </si>
  <si>
    <t xml:space="preserve">грин01869</t>
  </si>
  <si>
    <t xml:space="preserve">Акт входного контроля грин01870 от 01.11.2025 17:37:47</t>
  </si>
  <si>
    <t xml:space="preserve">грин01870</t>
  </si>
  <si>
    <t xml:space="preserve">Акт входного контроля грин01871 от 01.11.2025 18:39:03</t>
  </si>
  <si>
    <t xml:space="preserve">грин01871</t>
  </si>
  <si>
    <t xml:space="preserve">Акт входного контроля грин01872 от 01.11.2025 18:51:43</t>
  </si>
  <si>
    <t xml:space="preserve">грин01872</t>
  </si>
  <si>
    <t xml:space="preserve">Акт входного контроля грин01861 от 01.11.2025 19:20:56</t>
  </si>
  <si>
    <t xml:space="preserve">грин01861</t>
  </si>
  <si>
    <t xml:space="preserve">Акт входного контроля грин01862 от 01.11.2025 19:30:37</t>
  </si>
  <si>
    <t xml:space="preserve">грин01862</t>
  </si>
  <si>
    <t xml:space="preserve">Акт входного контроля грин01874 от 01.11.2025 19:37:31</t>
  </si>
  <si>
    <t xml:space="preserve">грин01874</t>
  </si>
  <si>
    <t xml:space="preserve">Акт входного контроля грин01875 от 01.11.2025 19:46:20</t>
  </si>
  <si>
    <t xml:space="preserve">грин01875</t>
  </si>
  <si>
    <t xml:space="preserve">Акт входного контроля грин01863 от 01.11.2025 20:26:51</t>
  </si>
  <si>
    <t xml:space="preserve">грин01863</t>
  </si>
  <si>
    <t xml:space="preserve">Акт входного контроля грин01864 от 01.11.2025 20:33:45</t>
  </si>
  <si>
    <t xml:space="preserve">грин01864</t>
  </si>
  <si>
    <t xml:space="preserve">Акт входного контроля грин01876 от 01.11.2025 21:06:29</t>
  </si>
  <si>
    <t xml:space="preserve">грин01876</t>
  </si>
  <si>
    <t xml:space="preserve">Акт входного контроля грин01877 от 01.11.2025 21:18:06</t>
  </si>
  <si>
    <t xml:space="preserve">грин01877</t>
  </si>
  <si>
    <t xml:space="preserve">Акт входного контроля грин01878 от 01.11.2025 21:32:55</t>
  </si>
  <si>
    <t xml:space="preserve">грин01878</t>
  </si>
  <si>
    <t xml:space="preserve">Акт входного контроля грин01879 от 01.11.2025 22:29:29</t>
  </si>
  <si>
    <t xml:space="preserve">грин01879</t>
  </si>
  <si>
    <t xml:space="preserve">Акт входного контроля грин01865 от 01.11.2025 22:49:27</t>
  </si>
  <si>
    <t xml:space="preserve">грин01865</t>
  </si>
  <si>
    <t xml:space="preserve">Акт входного контроля грин01866 от 01.11.2025 23:03:10</t>
  </si>
  <si>
    <t xml:space="preserve">грин01866</t>
  </si>
  <si>
    <t xml:space="preserve">Акт входного контроля грин01880 от 01.11.2025 23:04:26</t>
  </si>
  <si>
    <t xml:space="preserve">грин01880</t>
  </si>
  <si>
    <t xml:space="preserve">Акт входного контроля грин01881 от 01.11.2025 23:53:49</t>
  </si>
  <si>
    <t xml:space="preserve">грин01881</t>
  </si>
  <si>
    <t xml:space="preserve">Акт входного контроля грин01887 от 02.11.2025 3:14:00</t>
  </si>
  <si>
    <t xml:space="preserve">грин01887</t>
  </si>
  <si>
    <t xml:space="preserve">Акт входного контроля грин01892 от 02.11.2025 15:58:04</t>
  </si>
  <si>
    <t xml:space="preserve">грин01892</t>
  </si>
  <si>
    <t xml:space="preserve">Акт входного контроля грин01893 от 02.11.2025 16:04:05</t>
  </si>
  <si>
    <t xml:space="preserve">грин01893</t>
  </si>
  <si>
    <t xml:space="preserve">Акт входного контроля грин01889 от 02.11.2025 17:02:43</t>
  </si>
  <si>
    <t xml:space="preserve">грин01889</t>
  </si>
  <si>
    <t xml:space="preserve">Акт входного контроля грин01888 от 02.11.2025 17:07:25</t>
  </si>
  <si>
    <t xml:space="preserve">грин01888</t>
  </si>
  <si>
    <t xml:space="preserve">Акт входного контроля грин01890 от 02.11.2025 17:29:56</t>
  </si>
  <si>
    <t xml:space="preserve">грин01890</t>
  </si>
  <si>
    <t xml:space="preserve">Акт входного контроля грин01894 от 02.11.2025 18:26:51</t>
  </si>
  <si>
    <t xml:space="preserve">грин01894</t>
  </si>
  <si>
    <t xml:space="preserve">Акт входного контроля грин01899 от 02.11.2025 18:48:22</t>
  </si>
  <si>
    <t xml:space="preserve">грин01899</t>
  </si>
  <si>
    <t xml:space="preserve">Акт входного контроля грин01882 от 02.11.2025 20:13:07</t>
  </si>
  <si>
    <t xml:space="preserve">грин01882</t>
  </si>
  <si>
    <t xml:space="preserve">Акт входного контроля грин01895 от 02.11.2025 20:18:08</t>
  </si>
  <si>
    <t xml:space="preserve">грин01895</t>
  </si>
  <si>
    <t xml:space="preserve">Акт входного контроля грин01896 от 02.11.2025 20:23:26</t>
  </si>
  <si>
    <t xml:space="preserve">грин01896</t>
  </si>
  <si>
    <t xml:space="preserve">Акт входного контроля грин01897 от 02.11.2025 20:54:03</t>
  </si>
  <si>
    <t xml:space="preserve">грин01897</t>
  </si>
  <si>
    <t xml:space="preserve">Акт входного контроля грин01898 от 02.11.2025 20:59:13</t>
  </si>
  <si>
    <t xml:space="preserve">грин01898</t>
  </si>
  <si>
    <t xml:space="preserve">Акт входного контроля грин01891 от 02.11.2025 21:26:47</t>
  </si>
  <si>
    <t xml:space="preserve">грин01891</t>
  </si>
  <si>
    <t xml:space="preserve">Акт входного контроля грин01883 от 02.11.2025 22:14:22</t>
  </si>
  <si>
    <t xml:space="preserve">грин01883</t>
  </si>
  <si>
    <t xml:space="preserve">Акт входного контроля грин01884 от 02.11.2025 22:23:10</t>
  </si>
  <si>
    <t xml:space="preserve">грин01884</t>
  </si>
  <si>
    <t xml:space="preserve">Акт входного контроля грин01885 от 02.11.2025 23:04:54</t>
  </si>
  <si>
    <t xml:space="preserve">грин01885</t>
  </si>
  <si>
    <t xml:space="preserve">Акт входного контроля грин01886 от 02.11.2025 23:54:59</t>
  </si>
  <si>
    <t xml:space="preserve">грин01886</t>
  </si>
  <si>
    <t xml:space="preserve">Акт входного контроля грин01900 от 02.11.2025 23:56:05</t>
  </si>
  <si>
    <t xml:space="preserve">грин01900</t>
  </si>
  <si>
    <t xml:space="preserve">Акт входного контроля грин01908 от 03.11.2025 15:50:13</t>
  </si>
  <si>
    <t xml:space="preserve">грин01908</t>
  </si>
  <si>
    <t xml:space="preserve">Акт входного контроля грин01909 от 03.11.2025 17:13:47</t>
  </si>
  <si>
    <t xml:space="preserve">грин01909</t>
  </si>
  <si>
    <t xml:space="preserve">Акт входного контроля грин01910 от 03.11.2025 18:13:10</t>
  </si>
  <si>
    <t xml:space="preserve">грин01910</t>
  </si>
  <si>
    <t xml:space="preserve">Акт входного контроля грин01912 от 03.11.2025 18:55:55</t>
  </si>
  <si>
    <t xml:space="preserve">грин01912</t>
  </si>
  <si>
    <t xml:space="preserve">Акт входного контроля грин01901 от 03.11.2025 19:25:31</t>
  </si>
  <si>
    <t xml:space="preserve">грин01901</t>
  </si>
  <si>
    <t xml:space="preserve">Акт входного контроля грин01904 от 03.11.2025 19:58:30</t>
  </si>
  <si>
    <t xml:space="preserve">грин01904</t>
  </si>
  <si>
    <t xml:space="preserve">Акт входного контроля грин01911 от 03.11.2025 20:25:32</t>
  </si>
  <si>
    <t xml:space="preserve">грин01911</t>
  </si>
  <si>
    <t xml:space="preserve">Акт входного контроля грин01905 от 03.11.2025 20:57:45</t>
  </si>
  <si>
    <t xml:space="preserve">грин01905</t>
  </si>
  <si>
    <t xml:space="preserve">Акт входного контроля грин01913 от 03.11.2025 21:04:39</t>
  </si>
  <si>
    <t xml:space="preserve">грин01913</t>
  </si>
  <si>
    <t xml:space="preserve">Акт входного контроля грин01906 от 03.11.2025 22:12:47</t>
  </si>
  <si>
    <t xml:space="preserve">грин01906</t>
  </si>
  <si>
    <t xml:space="preserve">Акт входного контроля грин01914 от 03.11.2025 22:14:41</t>
  </si>
  <si>
    <t xml:space="preserve">грин01914</t>
  </si>
  <si>
    <t xml:space="preserve">Акт входного контроля грин01915 от 03.11.2025 22:51:32</t>
  </si>
  <si>
    <t xml:space="preserve">грин01915</t>
  </si>
  <si>
    <t xml:space="preserve">Акт входного контроля грин01907 от 03.11.2025 23:07:20</t>
  </si>
  <si>
    <t xml:space="preserve">грин01907</t>
  </si>
  <si>
    <t xml:space="preserve">Акт входного контроля грин01916 от 03.11.2025 23:18:09</t>
  </si>
  <si>
    <t xml:space="preserve">грин01916</t>
  </si>
  <si>
    <t xml:space="preserve">Акт входного контроля грин01925 от 04.11.2025 13:36:01</t>
  </si>
  <si>
    <t xml:space="preserve">грин01925</t>
  </si>
  <si>
    <t xml:space="preserve">Акт входного контроля грин01926 от 04.11.2025 14:10:06</t>
  </si>
  <si>
    <t xml:space="preserve">грин01926</t>
  </si>
  <si>
    <t xml:space="preserve">Акт входного контроля грин01917 от 04.11.2025 15:12:44</t>
  </si>
  <si>
    <t xml:space="preserve">грин01917</t>
  </si>
  <si>
    <t xml:space="preserve">Акт входного контроля грин01918 от 04.11.2025 16:21:38</t>
  </si>
  <si>
    <t xml:space="preserve">грин01918</t>
  </si>
  <si>
    <t xml:space="preserve">Акт входного контроля грин01927 от 04.11.2025 16:30:15</t>
  </si>
  <si>
    <t xml:space="preserve">грин01927</t>
  </si>
  <si>
    <t xml:space="preserve">Акт входного контроля грин01919 от 04.11.2025 16:43:50</t>
  </si>
  <si>
    <t xml:space="preserve">грин01919</t>
  </si>
  <si>
    <t xml:space="preserve">Акт входного контроля грин01928 от 04.11.2025 17:37:23</t>
  </si>
  <si>
    <t xml:space="preserve">грин01928</t>
  </si>
  <si>
    <t xml:space="preserve">Акт входного контроля грин01920 от 04.11.2025 18:49:22</t>
  </si>
  <si>
    <t xml:space="preserve">грин01920</t>
  </si>
  <si>
    <t xml:space="preserve">Акт входного контроля грин01921 от 04.11.2025 19:18:35</t>
  </si>
  <si>
    <t xml:space="preserve">грин01921</t>
  </si>
  <si>
    <t xml:space="preserve">Акт входного контроля грин01929 от 04.11.2025 19:33:27</t>
  </si>
  <si>
    <t xml:space="preserve">грин01929</t>
  </si>
  <si>
    <t xml:space="preserve">Акт входного контроля грин01922 от 04.11.2025 21:38:02</t>
  </si>
  <si>
    <t xml:space="preserve">грин01922</t>
  </si>
  <si>
    <t xml:space="preserve">Акт входного контроля грин01923 от 04.11.2025 23:42:40</t>
  </si>
  <si>
    <t xml:space="preserve">грин01923</t>
  </si>
  <si>
    <t xml:space="preserve">Акт входного контроля грин01931 от 04.11.2025 20:18:29</t>
  </si>
  <si>
    <t xml:space="preserve">грин01931</t>
  </si>
  <si>
    <t xml:space="preserve">Акт входного контроля грин01930 от 04.11.2025 20:22:56</t>
  </si>
  <si>
    <t xml:space="preserve">грин01930</t>
  </si>
  <si>
    <t xml:space="preserve">Акт входного контроля грин01924 от 04.11.2025 23:46:02</t>
  </si>
  <si>
    <t xml:space="preserve">грин01924</t>
  </si>
  <si>
    <t xml:space="preserve">Акт входного контроля грин01932 от 05.11.2025 11:15:11</t>
  </si>
  <si>
    <t xml:space="preserve">грин01932</t>
  </si>
  <si>
    <t xml:space="preserve">Акт входного контроля грин01933 от 05.11.2025 11:46:19</t>
  </si>
  <si>
    <t xml:space="preserve">грин01933</t>
  </si>
  <si>
    <t xml:space="preserve">Акт входного контроля грин01941 от 05.11.2025 16:30:16</t>
  </si>
  <si>
    <t xml:space="preserve">грин01941</t>
  </si>
  <si>
    <t xml:space="preserve">Акт входного контроля грин01942 от 05.11.2025 16:37:21</t>
  </si>
  <si>
    <t xml:space="preserve">грин01942</t>
  </si>
  <si>
    <t xml:space="preserve">Акт входного контроля грин01934 от 05.11.2025 17:24:53</t>
  </si>
  <si>
    <t xml:space="preserve">грин01934</t>
  </si>
  <si>
    <t xml:space="preserve">Акт входного контроля грин01935 от 05.11.2025 17:26:23</t>
  </si>
  <si>
    <t xml:space="preserve">грин01935</t>
  </si>
  <si>
    <t xml:space="preserve">Акт входного контроля грин01936 от 05.11.2025 17:54:47</t>
  </si>
  <si>
    <t xml:space="preserve">грин01936</t>
  </si>
  <si>
    <t xml:space="preserve">Акт входного контроля грин01943 от 05.11.2025 18:03:23</t>
  </si>
  <si>
    <t xml:space="preserve">грин01943</t>
  </si>
  <si>
    <t xml:space="preserve">Акт входного контроля грин01937 от 05.11.2025 19:00:27</t>
  </si>
  <si>
    <t xml:space="preserve">грин01937</t>
  </si>
  <si>
    <t xml:space="preserve">Акт входного контроля грин01944 от 05.11.2025 20:17:39</t>
  </si>
  <si>
    <t xml:space="preserve">грин01944</t>
  </si>
  <si>
    <t xml:space="preserve">Акт входного контроля грин01945 от 05.11.2025 20:32:34</t>
  </si>
  <si>
    <t xml:space="preserve">грин01945</t>
  </si>
  <si>
    <t xml:space="preserve">Акт входного контроля грин01938 от 05.11.2025 21:43:48</t>
  </si>
  <si>
    <t xml:space="preserve">грин01938</t>
  </si>
  <si>
    <t xml:space="preserve">Акт входного контроля грин01939 от 05.11.2025 22:03:11</t>
  </si>
  <si>
    <t xml:space="preserve">3.6 Колос</t>
  </si>
  <si>
    <t xml:space="preserve">грин01939</t>
  </si>
  <si>
    <t xml:space="preserve">Акт входного контроля грин01940 от 05.11.2025 23:50:15</t>
  </si>
  <si>
    <t xml:space="preserve">грин01940</t>
  </si>
  <si>
    <t xml:space="preserve">Акт входного контроля грин01946 от 05.11.2025 22:57:09</t>
  </si>
  <si>
    <t xml:space="preserve">грин01946</t>
  </si>
  <si>
    <t xml:space="preserve">Акт входного контроля грин01947 от 05.11.2025 23:02:08</t>
  </si>
  <si>
    <t xml:space="preserve">грин01947</t>
  </si>
  <si>
    <t xml:space="preserve">Акт входного контроля грин01948 от 06.11.2025 12:11:44</t>
  </si>
  <si>
    <t xml:space="preserve">грин01948</t>
  </si>
  <si>
    <t xml:space="preserve">Акт входного контроля грин01955 от 06.11.2025 9:51:46</t>
  </si>
  <si>
    <t xml:space="preserve">грин01955</t>
  </si>
  <si>
    <t xml:space="preserve">Акт входного контроля грин01956 от 06.11.2025 11:38:02</t>
  </si>
  <si>
    <t xml:space="preserve">грин01956</t>
  </si>
  <si>
    <t xml:space="preserve">Акт входного контроля грин01957 от 06.11.2025 13:36:24</t>
  </si>
  <si>
    <t xml:space="preserve">грин01957</t>
  </si>
  <si>
    <t xml:space="preserve">Акт входного контроля грин01949 от 06.11.2025 14:59:31</t>
  </si>
  <si>
    <t xml:space="preserve">грин01949</t>
  </si>
  <si>
    <t xml:space="preserve">Акт входного контроля грин01950 от 06.11.2025 16:34:17</t>
  </si>
  <si>
    <t xml:space="preserve">грин01950</t>
  </si>
  <si>
    <t xml:space="preserve">Акт входного контроля грин01958 от 06.11.2025 16:34:36</t>
  </si>
  <si>
    <t xml:space="preserve">грин01958</t>
  </si>
  <si>
    <t xml:space="preserve">Акт входного контроля грин01959 от 06.11.2025 17:35:10</t>
  </si>
  <si>
    <t xml:space="preserve">грин01959</t>
  </si>
  <si>
    <t xml:space="preserve">Акт входного контроля грин01951 от 06.11.2025 18:41:09</t>
  </si>
  <si>
    <t xml:space="preserve">грин01951</t>
  </si>
  <si>
    <t xml:space="preserve">Акт входного контроля грин01952 от 06.11.2025 20:57:14</t>
  </si>
  <si>
    <t xml:space="preserve">грин01952</t>
  </si>
  <si>
    <t xml:space="preserve">Акт входного контроля грин01953 от 06.11.2025 22:27:21</t>
  </si>
  <si>
    <t xml:space="preserve">грин01953</t>
  </si>
  <si>
    <t xml:space="preserve">Акт входного контроля грин01954 от 06.11.2025 23:35:20</t>
  </si>
  <si>
    <t xml:space="preserve">грин01954</t>
  </si>
  <si>
    <t xml:space="preserve">Акт входного контроля грин01960 от 06.11.2025 17:38:56</t>
  </si>
  <si>
    <t xml:space="preserve">грин01960</t>
  </si>
  <si>
    <t xml:space="preserve">Акт входного контроля грин01961 от 08.11.2025 18:01:42</t>
  </si>
  <si>
    <t xml:space="preserve">грин01961</t>
  </si>
  <si>
    <t xml:space="preserve">Акт входного контроля грин01962 от 08.11.2025 22:02:13</t>
  </si>
  <si>
    <t xml:space="preserve">грин01962</t>
  </si>
  <si>
    <t xml:space="preserve">Акт входного контроля грин01963 от 08.11.2025 22:39:16</t>
  </si>
  <si>
    <t xml:space="preserve">грин01963</t>
  </si>
  <si>
    <t xml:space="preserve">Акт входного контроля грин01964 от 08.11.2025 19:49:02</t>
  </si>
  <si>
    <t xml:space="preserve">грин01964</t>
  </si>
  <si>
    <t xml:space="preserve">Акт входного контроля грин01965 от 08.11.2025 20:34:54</t>
  </si>
  <si>
    <t xml:space="preserve">грин01965</t>
  </si>
  <si>
    <t xml:space="preserve">Акт входного контроля грин01966 от 08.11.2025 21:17:15</t>
  </si>
  <si>
    <t xml:space="preserve">грин01966</t>
  </si>
  <si>
    <t xml:space="preserve">Акт входного контроля грин01967 от 08.11.2025 22:15:51</t>
  </si>
  <si>
    <t xml:space="preserve">грин01967</t>
  </si>
  <si>
    <t xml:space="preserve">Акт входного контроля грин01968 от 08.11.2025 23:22:28</t>
  </si>
  <si>
    <t xml:space="preserve">грин01968</t>
  </si>
  <si>
    <t xml:space="preserve">Акт входного контроля грин01969 от 09.11.2025 7:49:36</t>
  </si>
  <si>
    <t xml:space="preserve">грин01969</t>
  </si>
  <si>
    <t xml:space="preserve">Акт входного контроля грин01970 от 09.11.2025 8:16:25</t>
  </si>
  <si>
    <t xml:space="preserve">грин01970</t>
  </si>
  <si>
    <t xml:space="preserve">Акт входного контроля грин01971 от 09.11.2025 9:48:03</t>
  </si>
  <si>
    <t xml:space="preserve">грин01971</t>
  </si>
  <si>
    <t xml:space="preserve">Акт входного контроля грин01972 от 09.11.2025 11:01:14</t>
  </si>
  <si>
    <t xml:space="preserve">грин01972</t>
  </si>
  <si>
    <t xml:space="preserve">Акт входного контроля грин01973 от 09.11.2025 12:18:32</t>
  </si>
  <si>
    <t xml:space="preserve">грин01973</t>
  </si>
  <si>
    <t xml:space="preserve">Акт входного контроля грин01974 от 09.11.2025 13:42:53</t>
  </si>
  <si>
    <t xml:space="preserve">грин01974</t>
  </si>
  <si>
    <t xml:space="preserve">Акт входного контроля грин01975 от 09.11.2025 14:24:27</t>
  </si>
  <si>
    <t xml:space="preserve">грин01975</t>
  </si>
  <si>
    <t xml:space="preserve">Акт входного контроля грин01976 от 09.11.2025 15:36:20</t>
  </si>
  <si>
    <t xml:space="preserve">грин01976</t>
  </si>
  <si>
    <t xml:space="preserve">Акт входного контроля грин01977 от 09.11.2025 20:31:05</t>
  </si>
  <si>
    <t xml:space="preserve">грин01977</t>
  </si>
  <si>
    <t xml:space="preserve">Акт входного контроля грин01978 от 09.11.2025 22:03:34</t>
  </si>
  <si>
    <t xml:space="preserve">грин01978</t>
  </si>
  <si>
    <t xml:space="preserve">Акт входного контроля грин01979 от 09.11.2025 23:37:50</t>
  </si>
  <si>
    <t xml:space="preserve">грин01979</t>
  </si>
  <si>
    <t xml:space="preserve">Акт входного контроля грин01980 от 09.11.2025 23:48:25</t>
  </si>
  <si>
    <t xml:space="preserve">грин01980</t>
  </si>
  <si>
    <t xml:space="preserve">Акт входного контроля грин01981 от 09.11.2025 13:07:39</t>
  </si>
  <si>
    <t xml:space="preserve">грин01981</t>
  </si>
  <si>
    <t xml:space="preserve">Акт входного контроля грин01982 от 09.11.2025 15:07:21</t>
  </si>
  <si>
    <t xml:space="preserve">грин01982</t>
  </si>
  <si>
    <t xml:space="preserve">Акт входного контроля грин01983 от 09.11.2025 15:18:05</t>
  </si>
  <si>
    <t xml:space="preserve">грин01983</t>
  </si>
  <si>
    <t xml:space="preserve">Акт входного контроля грин01984 от 09.11.2025 15:47:17</t>
  </si>
  <si>
    <t xml:space="preserve">грин01984</t>
  </si>
  <si>
    <t xml:space="preserve">Акт входного контроля грин01985 от 09.11.2025 18:34:09</t>
  </si>
  <si>
    <t xml:space="preserve">грин01985</t>
  </si>
  <si>
    <t xml:space="preserve">Акт входного контроля грин01986 от 05.11.2025 5:05:10</t>
  </si>
  <si>
    <t xml:space="preserve">грин01986</t>
  </si>
  <si>
    <t xml:space="preserve">Акт входного контроля грин01987 от 09.11.2025 18:50:38</t>
  </si>
  <si>
    <t xml:space="preserve">грин01987</t>
  </si>
  <si>
    <t xml:space="preserve">Акт входного контроля грин01988 от 09.11.2025 19:08:30</t>
  </si>
  <si>
    <t xml:space="preserve">грин01988</t>
  </si>
  <si>
    <t xml:space="preserve">Акт входного контроля грин01989 от 09.11.2025 19:14:35</t>
  </si>
  <si>
    <t xml:space="preserve">грин01989</t>
  </si>
  <si>
    <t xml:space="preserve">Акт входного контроля грин01990 от 09.11.2025 19:17:41</t>
  </si>
  <si>
    <t xml:space="preserve">грин01990</t>
  </si>
  <si>
    <t xml:space="preserve">Акт входного контроля грин01991 от 09.11.2025 20:36:28</t>
  </si>
  <si>
    <t xml:space="preserve">грин01991</t>
  </si>
  <si>
    <t xml:space="preserve">Акт входного контроля грин01992 от 09.11.2025 20:41:16</t>
  </si>
  <si>
    <t xml:space="preserve">грин01992</t>
  </si>
  <si>
    <t xml:space="preserve">Акт входного контроля грин01993 от 09.11.2025 22:25:29</t>
  </si>
  <si>
    <t xml:space="preserve">грин01993</t>
  </si>
  <si>
    <t xml:space="preserve">Акт входного контроля грин01994 от 09.11.2025 22:58:02</t>
  </si>
  <si>
    <t xml:space="preserve">грин01994</t>
  </si>
  <si>
    <t xml:space="preserve">Акт входного контроля грин01995 от 09.11.2025 23:06:59</t>
  </si>
  <si>
    <t xml:space="preserve">грин01995</t>
  </si>
  <si>
    <t xml:space="preserve">Акт входного контроля грин01996 от 05.11.2025 5:05:10</t>
  </si>
  <si>
    <t xml:space="preserve">грин01996</t>
  </si>
  <si>
    <t xml:space="preserve">05.11.202</t>
  </si>
  <si>
    <t xml:space="preserve">№ акта</t>
  </si>
  <si>
    <t xml:space="preserve">ГУДНЕСС ФУДС ДЖАЛГА ООО</t>
  </si>
  <si>
    <t xml:space="preserve">ГУДНЕСС ФУДС ИПАТОВСКИЙ ООО</t>
  </si>
  <si>
    <t xml:space="preserve">ГУДНЕСС ФУДС ГОФИЦКОЕ ООО</t>
  </si>
  <si>
    <t xml:space="preserve">А-113/1</t>
  </si>
  <si>
    <t xml:space="preserve">1 (2) им. Кирова ЗАО</t>
  </si>
  <si>
    <t xml:space="preserve">Акт входного контроля грин01534 от 16.10.2025 10:26:48</t>
  </si>
  <si>
    <t xml:space="preserve">грин01535</t>
  </si>
  <si>
    <t xml:space="preserve">грин01536</t>
  </si>
  <si>
    <t xml:space="preserve">Акт входного контроля грин01614 от 21.10.2025 8:08:42</t>
  </si>
  <si>
    <t xml:space="preserve">1 (4) им. Кирова ЗАО</t>
  </si>
  <si>
    <t xml:space="preserve">Акт входного контроля грин01932 от 05.11.2025 17:23:54</t>
  </si>
  <si>
    <t xml:space="preserve">Акт входного контроля грин01933 от 05.11.2025 17:24:22</t>
  </si>
  <si>
    <t xml:space="preserve">Сорт семян (полное название)
акт</t>
  </si>
  <si>
    <t xml:space="preserve">Сорт семян
акт</t>
  </si>
  <si>
    <t xml:space="preserve">Сорт семян
агро</t>
  </si>
  <si>
    <t xml:space="preserve">Сроки сева</t>
  </si>
  <si>
    <t xml:space="preserve">Сроки уборки</t>
  </si>
  <si>
    <t xml:space="preserve">Площадь внесения, га</t>
  </si>
  <si>
    <t xml:space="preserve">Количество внесения, п.е.</t>
  </si>
  <si>
    <t xml:space="preserve">Норма высева факт, п.е./га</t>
  </si>
  <si>
    <t xml:space="preserve">Урожайность план, т/га</t>
  </si>
  <si>
    <t xml:space="preserve">Валовый сбор план, т</t>
  </si>
  <si>
    <t xml:space="preserve">Рефакция план, %</t>
  </si>
  <si>
    <t xml:space="preserve">Зачетный вес план, т</t>
  </si>
  <si>
    <t xml:space="preserve">Остаток, га</t>
  </si>
  <si>
    <t xml:space="preserve">в т.ч. Бросили, га</t>
  </si>
  <si>
    <t xml:space="preserve">Урожайность факт, т/га</t>
  </si>
  <si>
    <t xml:space="preserve">Валовый сбор факт, т</t>
  </si>
  <si>
    <t xml:space="preserve">Рефакция факт, %</t>
  </si>
  <si>
    <t xml:space="preserve">Зачетный вес факт, т</t>
  </si>
  <si>
    <t xml:space="preserve">Примечание</t>
  </si>
  <si>
    <t xml:space="preserve">Кукуруза сахарная (из суперсладких сортов) Иррико-Холдинг</t>
  </si>
  <si>
    <t xml:space="preserve">Импресс F 100 тыс.с.</t>
  </si>
  <si>
    <t xml:space="preserve">08.05-27.05.2025</t>
  </si>
  <si>
    <t xml:space="preserve">13-14.08.2025</t>
  </si>
  <si>
    <t xml:space="preserve">Карамело (100 тыс.шт)</t>
  </si>
  <si>
    <t xml:space="preserve">Карамело</t>
  </si>
  <si>
    <t xml:space="preserve">08-11.08.2025</t>
  </si>
  <si>
    <t xml:space="preserve">14-15.08.2025</t>
  </si>
  <si>
    <t xml:space="preserve">Лендкрузер  F 100 тыс.с.</t>
  </si>
  <si>
    <t xml:space="preserve">Мирза (100 тыс.шт)</t>
  </si>
  <si>
    <t xml:space="preserve">Хан (100 тыс.шт)</t>
  </si>
  <si>
    <t xml:space="preserve">17-24.08.2025</t>
  </si>
  <si>
    <t xml:space="preserve">18-23.08.2025</t>
  </si>
  <si>
    <t xml:space="preserve">28.05-03.06.2025</t>
  </si>
  <si>
    <t xml:space="preserve">03.06-03.06.2025</t>
  </si>
  <si>
    <t xml:space="preserve">24-28.08.2025</t>
  </si>
  <si>
    <t xml:space="preserve">09.06-18.06.2025</t>
  </si>
  <si>
    <t xml:space="preserve">12.09-14.09.2025</t>
  </si>
  <si>
    <t xml:space="preserve">07.09-08.09.2025</t>
  </si>
  <si>
    <t xml:space="preserve">13.09-18.09.2025</t>
  </si>
  <si>
    <t xml:space="preserve">08.09-20.09.2025</t>
  </si>
  <si>
    <t xml:space="preserve">15.09-18.09.2025</t>
  </si>
  <si>
    <t xml:space="preserve">04.09-05.09.2025</t>
  </si>
  <si>
    <t xml:space="preserve">08.09-11.09.2025</t>
  </si>
  <si>
    <t xml:space="preserve">22.06-30.06.2025</t>
  </si>
  <si>
    <t xml:space="preserve">27.09-28.09.2025</t>
  </si>
  <si>
    <t xml:space="preserve">25.06-30.06.2025</t>
  </si>
  <si>
    <t xml:space="preserve">Щербет F1 (100 тыс.шт)</t>
  </si>
  <si>
    <t xml:space="preserve">Оватонна партия Н88989</t>
  </si>
  <si>
    <t xml:space="preserve">16.09-21.09.2025</t>
  </si>
  <si>
    <t xml:space="preserve">см. Щербет</t>
  </si>
  <si>
    <t xml:space="preserve">Кукуруза сахарная Агролидер</t>
  </si>
  <si>
    <t xml:space="preserve">02.07-03.07.2025</t>
  </si>
  <si>
    <t xml:space="preserve">01.10-02.10.2025</t>
  </si>
  <si>
    <t xml:space="preserve">25-29.09.2025</t>
  </si>
  <si>
    <t xml:space="preserve">Кукуруза сахарная Братковский</t>
  </si>
  <si>
    <t xml:space="preserve">04.07-07.07.2025</t>
  </si>
  <si>
    <t xml:space="preserve">05-07.10.2025</t>
  </si>
  <si>
    <t xml:space="preserve">ЗУИ 7469 ОИ (100 тыс сем.)</t>
  </si>
  <si>
    <t xml:space="preserve">Закупка Братковский</t>
  </si>
  <si>
    <t xml:space="preserve">07.07.-08.07.2025</t>
  </si>
  <si>
    <t xml:space="preserve">11-20.10.2025</t>
  </si>
  <si>
    <t xml:space="preserve">08-23.10.2025</t>
  </si>
  <si>
    <t xml:space="preserve">06.07-08.07.2025</t>
  </si>
  <si>
    <t xml:space="preserve">10.10-12.10.2025</t>
  </si>
  <si>
    <t xml:space="preserve">уточняется</t>
  </si>
  <si>
    <t xml:space="preserve">05.10-10.10.2025</t>
  </si>
  <si>
    <t xml:space="preserve">23.10-28.10.2025</t>
  </si>
  <si>
    <t xml:space="preserve">07.07-11.07.2025</t>
  </si>
  <si>
    <t xml:space="preserve">13.10-21.10.2025</t>
  </si>
  <si>
    <t xml:space="preserve">23.10-31.10.2025</t>
  </si>
  <si>
    <t xml:space="preserve">23.10-04.11.2025</t>
  </si>
  <si>
    <t xml:space="preserve">17.10-18.10.2025</t>
  </si>
  <si>
    <t xml:space="preserve">13.10-24.10.2025</t>
  </si>
  <si>
    <t xml:space="preserve">13.10-17.10.2025</t>
  </si>
  <si>
    <t xml:space="preserve">                                                                                                           </t>
  </si>
  <si>
    <t xml:space="preserve">Кукуруза суперсладкая Грин Рэй Кубань</t>
  </si>
  <si>
    <t xml:space="preserve">Дата (по началу смены)</t>
  </si>
  <si>
    <t xml:space="preserve">А-114</t>
  </si>
  <si>
    <t xml:space="preserve">опыт (сорт Макарон)</t>
  </si>
  <si>
    <t xml:space="preserve">3 ед.</t>
  </si>
  <si>
    <t xml:space="preserve">1-2 ед.</t>
  </si>
  <si>
    <t xml:space="preserve">Показатели 2026 г.</t>
  </si>
  <si>
    <t xml:space="preserve"> </t>
  </si>
  <si>
    <t xml:space="preserve">Дата уборки</t>
  </si>
  <si>
    <t xml:space="preserve">Смена</t>
  </si>
  <si>
    <t xml:space="preserve">Акт входного контроля 000000762 от 03.08.2026 15:49:51</t>
  </si>
  <si>
    <t xml:space="preserve">913/1</t>
  </si>
  <si>
    <t xml:space="preserve">Гуйда Николай Николаевич</t>
  </si>
  <si>
    <t xml:space="preserve">Кукуруза сахарная (из суперсладких сортов) 2026</t>
  </si>
  <si>
    <t xml:space="preserve">Акт входного контроля 000000763 от 03.08.2026 16:39:53</t>
  </si>
  <si>
    <t xml:space="preserve">916/2</t>
  </si>
  <si>
    <t xml:space="preserve">Акт входного контроля 000000764 от 03.08.2026 17:16:48</t>
  </si>
  <si>
    <t xml:space="preserve">920/3</t>
  </si>
  <si>
    <t xml:space="preserve">Акт входного контроля 000000765 от 03.08.2026 19:59:10</t>
  </si>
  <si>
    <t xml:space="preserve">922/4</t>
  </si>
  <si>
    <t xml:space="preserve">А718ВХ</t>
  </si>
  <si>
    <t xml:space="preserve">Акт входного контроля 000000766 от 03.08.2026 20:56:05</t>
  </si>
  <si>
    <t xml:space="preserve">923/5</t>
  </si>
  <si>
    <t xml:space="preserve">Акт входного контроля 000000767 от 03.08.2026 21:50:55</t>
  </si>
  <si>
    <t xml:space="preserve">924/6</t>
  </si>
  <si>
    <t xml:space="preserve">Акт входного контроля 000000768 от 03.08.2026 22:32:21</t>
  </si>
  <si>
    <t xml:space="preserve">Акт входного контроля 000000769 от 03.08.2026 22:34:12</t>
  </si>
  <si>
    <t xml:space="preserve">Акт входного контроля 000000770 от 03.08.2026 22:43:51</t>
  </si>
  <si>
    <t xml:space="preserve">Акт входного контроля 000000771 от 03.08.2026 23:48:42</t>
  </si>
  <si>
    <t xml:space="preserve">Акт входного контроля 000000772 от 04.08.2026 2:29:14</t>
  </si>
  <si>
    <t xml:space="preserve">Акт входного контроля 000000773 от 04.08.2026 3:00:37</t>
  </si>
  <si>
    <t xml:space="preserve">Акт входного контроля 000000774 от 04.08.2026 4:05:07</t>
  </si>
  <si>
    <t xml:space="preserve">Акт входного контроля 000000775 от 04.08.2026 4:55:51</t>
  </si>
  <si>
    <t xml:space="preserve">Акт входного контроля 000000776 от 04.08.2026 5:37:16</t>
  </si>
  <si>
    <t xml:space="preserve">Акт входного контроля 000000777 от 04.08.2026 7:16:22</t>
  </si>
  <si>
    <t xml:space="preserve">Акт входного контроля 000000778 от 04.08.2026 15:38:52</t>
  </si>
  <si>
    <t xml:space="preserve">Акт входного контроля 000000779 от 04.08.2026 15:49:29</t>
  </si>
  <si>
    <t xml:space="preserve">Акт входного контроля 000000780 от 04.08.2026 15:52:43</t>
  </si>
  <si>
    <t xml:space="preserve">Акт входного контроля 000000781 от 04.08.2026 15:56:42</t>
  </si>
  <si>
    <t xml:space="preserve">Акт входного контроля 000000782 от 04.08.2026 15:59:33</t>
  </si>
  <si>
    <t xml:space="preserve">Акт входного контроля 000000783 от 04.08.2026 16:03:56</t>
  </si>
  <si>
    <t xml:space="preserve">Акт входного контроля 000000784 от 04.08.2026 16:06:50</t>
  </si>
  <si>
    <t xml:space="preserve">Акт входного контроля 000000785 от 04.08.2026 18:50:58</t>
  </si>
  <si>
    <t xml:space="preserve">Акт входного контроля 000000786 от 04.08.2026 18:55:41</t>
  </si>
  <si>
    <t xml:space="preserve">Акт входного контроля 000000787 от 04.08.2026 18:57:59</t>
  </si>
  <si>
    <t xml:space="preserve">Акт входного контроля 000000788 от 04.08.2026 20:49:31</t>
  </si>
  <si>
    <t xml:space="preserve">Акт входного контроля 000000789 от 04.08.2026 20:54:21</t>
  </si>
  <si>
    <t xml:space="preserve">Акт входного контроля 000000790 от 04.08.2026 21:00:44</t>
  </si>
  <si>
    <t xml:space="preserve">Акт входного контроля 000000791 от 04.08.2026 21:16:25</t>
  </si>
  <si>
    <t xml:space="preserve">Акт входного контроля 000000795 от 04.08.2026 23:16:40</t>
  </si>
  <si>
    <t xml:space="preserve">Акт входного контроля 000000792 от 04.08.2026 23:46:20</t>
  </si>
  <si>
    <t xml:space="preserve">Акт входного контроля 000000793 от 04.08.2026 23:50:58</t>
  </si>
  <si>
    <t xml:space="preserve">Акт входного контроля 000000794 от 04.08.2026 23:53:04</t>
  </si>
  <si>
    <t xml:space="preserve">Акт входного контроля 000000796 от 05.08.2026 2:29:56</t>
  </si>
  <si>
    <t xml:space="preserve">Акт входного контроля 000000797 от 05.08.2026 2:41:51</t>
  </si>
  <si>
    <t xml:space="preserve">Акт входного контроля 000000798 от 05.08.2026 3:25:23</t>
  </si>
  <si>
    <t xml:space="preserve">Акт входного контроля 000000801 от 05.08.2026 4:33:04</t>
  </si>
  <si>
    <t xml:space="preserve">Акт входного контроля 000000799 от 05.08.2026 5:38:34</t>
  </si>
  <si>
    <t xml:space="preserve">Акт входного контроля 000000800 от 05.08.2026 5:42:11</t>
  </si>
  <si>
    <t xml:space="preserve">Акт входного контроля 000000802 от 05.08.2026 7:59:23</t>
  </si>
  <si>
    <t xml:space="preserve">Акт входного контроля 000000803 от 05.08.2026 8:43:54</t>
  </si>
  <si>
    <t xml:space="preserve">Акт входного контроля 000000804 от 05.08.2026 10:30:05</t>
  </si>
  <si>
    <t xml:space="preserve">Акт входного контроля 000000805 от 05.08.2026 10:34:42</t>
  </si>
  <si>
    <t xml:space="preserve">Сосков Н.А</t>
  </si>
  <si>
    <t xml:space="preserve">К188ОЕ</t>
  </si>
  <si>
    <t xml:space="preserve">Акт входного контроля 000000806 от 05.08.2026 10:51:13</t>
  </si>
  <si>
    <t xml:space="preserve">вторая выгрузка</t>
  </si>
  <si>
    <t xml:space="preserve">Акт входного контроля 000000807 от 05.08.2026 11:36:43</t>
  </si>
  <si>
    <t xml:space="preserve">Сосков Денис Николаевич </t>
  </si>
  <si>
    <t xml:space="preserve">С693ТТ</t>
  </si>
  <si>
    <t xml:space="preserve">Акт входного контроля 000000808 от 05.08.2026 12:03:58</t>
  </si>
  <si>
    <t xml:space="preserve">Акт входного контроля 000000809 от 05.08.2026 13:13:39</t>
  </si>
  <si>
    <t xml:space="preserve">Акт входного контроля 000000810 от 05.08.2026 14:56:50</t>
  </si>
  <si>
    <t xml:space="preserve">Акт входного контроля 000000811 от 05.08.2026 15:12:05</t>
  </si>
  <si>
    <t xml:space="preserve">Акт входного контроля 000000812 от 05.08.2026 16:18:21</t>
  </si>
  <si>
    <t xml:space="preserve">Акт входного контроля 000000813 от 05.08.2026 16:39:59</t>
  </si>
  <si>
    <t xml:space="preserve">Акт входного контроля 000000814 от 05.08.2026 17:36:56</t>
  </si>
  <si>
    <t xml:space="preserve">Акт входного контроля 000000815 от 05.08.2026 18:29:56</t>
  </si>
  <si>
    <t xml:space="preserve">Акт входного контроля 000000816 от 05.08.2026 20:04:04</t>
  </si>
  <si>
    <t xml:space="preserve">Акт входного контроля 000000817 от 05.08.2026 20:45:26</t>
  </si>
  <si>
    <t xml:space="preserve">Акт входного контроля 000000818 от 05.08.2026 22:14:15</t>
  </si>
  <si>
    <t xml:space="preserve">Акт входного контроля 000000819 от 05.08.2026 22:28:56</t>
  </si>
  <si>
    <t xml:space="preserve">Акт входного контроля 000000822 от 05.08.2026 23:09:34</t>
  </si>
  <si>
    <t xml:space="preserve">Акт входного контроля 000000820 от 05.08.2026 23:24:15</t>
  </si>
  <si>
    <t xml:space="preserve">Акт входного контроля 000000821 от 05.08.2026 23:39:15</t>
  </si>
  <si>
    <t xml:space="preserve">Акт входного контроля 000000823 от 06.08.2026 1:05:44</t>
  </si>
  <si>
    <t xml:space="preserve">Акт входного контроля 000000824 от 06.08.2026 1:15:23</t>
  </si>
  <si>
    <t xml:space="preserve">Акт входного контроля 000000825 от 06.08.2026 2:55:42</t>
  </si>
  <si>
    <t xml:space="preserve">Акт входного контроля 000000826 от 06.08.2026 3:13:15</t>
  </si>
  <si>
    <t xml:space="preserve">Акт входного контроля 000000827 от 06.08.2026 4:26:03</t>
  </si>
  <si>
    <t xml:space="preserve">Акт входного контроля 000000828 от 06.08.2026 5:23:22</t>
  </si>
  <si>
    <t xml:space="preserve">Акт входного контроля 000000831 от 06.08.2026 5:40:37</t>
  </si>
  <si>
    <t xml:space="preserve">Акт входного контроля 000000829 от 06.08.2026 6:18:12</t>
  </si>
  <si>
    <t xml:space="preserve">Акт входного контроля 000000832 от 06.08.2026 6:24:01</t>
  </si>
  <si>
    <t xml:space="preserve">Акт входного контроля 000000830 от 06.08.2026 6:32:26</t>
  </si>
  <si>
    <t xml:space="preserve">Акт входного контроля 000000833 от 06.08.2026 11:58:44</t>
  </si>
  <si>
    <t xml:space="preserve">Акт входного контроля 000000834 от 06.08.2026 12:00:21</t>
  </si>
  <si>
    <t xml:space="preserve">Акт входного контроля 000000835 от 06.08.2026 12:02:15</t>
  </si>
  <si>
    <t xml:space="preserve">Акт входного контроля 000000836 от 06.08.2026 13:41:15</t>
  </si>
  <si>
    <t xml:space="preserve">Акт входного контроля 000000837 от 06.08.2026 13:48:24</t>
  </si>
  <si>
    <t xml:space="preserve">Акт входного контроля 000000838 от 06.08.2026 13:53:38</t>
  </si>
  <si>
    <t xml:space="preserve">Акт входного контроля 000000839 от 06.08.2026 15:32:45</t>
  </si>
  <si>
    <t xml:space="preserve">Акт входного контроля 000000840 от 06.08.2026 15:40:48</t>
  </si>
  <si>
    <t xml:space="preserve">Акт входного контроля 000000841 от 06.08.2026 16:19:26</t>
  </si>
  <si>
    <t xml:space="preserve">Акт входного контроля 000000842 от 06.08.2026 17:22:15</t>
  </si>
  <si>
    <t xml:space="preserve">Акт входного контроля 000000843 от 06.08.2026 18:21:05</t>
  </si>
  <si>
    <t xml:space="preserve">Акт входного контроля 000000844 от 06.08.2026 19:25:03</t>
  </si>
  <si>
    <t xml:space="preserve">Акт входного контроля 000000845 от 06.08.2026 20:29:13</t>
  </si>
  <si>
    <t xml:space="preserve">Акт входного контроля 000000846 от 06.08.2026 21:23:04</t>
  </si>
  <si>
    <t xml:space="preserve">Акт входного контроля 000000847 от 06.08.2026 22:23:31</t>
  </si>
  <si>
    <t xml:space="preserve">Акт входного контроля 000000850 от 06.08.2026 22:39:48</t>
  </si>
  <si>
    <t xml:space="preserve">Акт входного контроля 000000848 от 06.08.2026 23:03:29</t>
  </si>
  <si>
    <t xml:space="preserve">Акт входного контроля 000000849 от 06.08.2026 23:24:01</t>
  </si>
  <si>
    <t xml:space="preserve">Акт входного контроля 000000851 от 07.08.2026 0:54:11</t>
  </si>
  <si>
    <t xml:space="preserve">Акт входного контроля 000000852 от 07.08.2026 1:27:29</t>
  </si>
  <si>
    <t xml:space="preserve">Акт входного контроля 000000853 от 07.08.2026 2:14:55</t>
  </si>
  <si>
    <t xml:space="preserve">Акт входного контроля 000000854 от 07.08.2026 3:22:32</t>
  </si>
  <si>
    <t xml:space="preserve">Акт входного контроля 000000855 от 07.08.2026 4:33:46</t>
  </si>
  <si>
    <t xml:space="preserve">Акт входного контроля 000000856 от 07.08.2026 5:04:33</t>
  </si>
  <si>
    <t xml:space="preserve">Акт входного контроля 000000857 от 07.08.2026 6:07:06</t>
  </si>
  <si>
    <t xml:space="preserve">Акт входного контроля 000000858 от 07.08.2026 7:46:37</t>
  </si>
  <si>
    <t xml:space="preserve">Вес нетто ЗАКУПКА</t>
  </si>
  <si>
    <t xml:space="preserve">Поле уточн</t>
  </si>
  <si>
    <t xml:space="preserve">А-113/2, А-113/1</t>
  </si>
  <si>
    <r>
      <rPr>
        <b val="true"/>
        <i val="true"/>
        <sz val="20"/>
        <color theme="0" tint="-0.5"/>
        <rFont val="Arial"/>
        <family val="2"/>
        <charset val="204"/>
      </rPr>
      <t xml:space="preserve">Кукуруза сахарная Колос
</t>
    </r>
    <r>
      <rPr>
        <b val="true"/>
        <i val="true"/>
        <sz val="10"/>
        <color theme="0" tint="-0.5"/>
        <rFont val="Arial"/>
        <family val="2"/>
        <charset val="204"/>
      </rPr>
      <t xml:space="preserve">ООО "Колос", Краснодарский край, Гулькевичский район, с. Отрадно-Ольгинское, удаленность - 170 км  </t>
    </r>
    <r>
      <rPr>
        <b val="true"/>
        <i val="true"/>
        <sz val="20"/>
        <color theme="0" tint="-0.5"/>
        <rFont val="Arial"/>
        <family val="2"/>
        <charset val="204"/>
      </rPr>
      <t xml:space="preserve">                               </t>
    </r>
  </si>
  <si>
    <t xml:space="preserve">1-3 ед.</t>
  </si>
  <si>
    <t xml:space="preserve">Показатели 2025 г.</t>
  </si>
  <si>
    <t xml:space="preserve">тестовые</t>
  </si>
  <si>
    <t xml:space="preserve">будет уточнение по 1 машине</t>
  </si>
  <si>
    <t xml:space="preserve">тестовая</t>
  </si>
  <si>
    <r>
      <rPr>
        <b val="true"/>
        <i val="true"/>
        <sz val="20"/>
        <color theme="0" tint="-0.5"/>
        <rFont val="Arial"/>
        <family val="2"/>
        <charset val="204"/>
      </rPr>
      <t xml:space="preserve">Кукуруза сахарная Кирова
</t>
    </r>
    <r>
      <rPr>
        <b val="true"/>
        <i val="true"/>
        <sz val="10"/>
        <color theme="0" tint="-0.5"/>
        <rFont val="Arial"/>
        <family val="2"/>
        <charset val="204"/>
      </rPr>
      <t xml:space="preserve">АО "Совхоз имени Кирова", Ставропольский край, Труновский район, пос. им. Кирова, удаленность - 300 км  </t>
    </r>
    <r>
      <rPr>
        <b val="true"/>
        <i val="true"/>
        <sz val="20"/>
        <color theme="0" tint="-0.5"/>
        <rFont val="Arial"/>
        <family val="2"/>
        <charset val="204"/>
      </rPr>
      <t xml:space="preserve">                               </t>
    </r>
  </si>
  <si>
    <t xml:space="preserve">ТЕСТОВАЯ МАШИНА</t>
  </si>
  <si>
    <t xml:space="preserve">2-3 ед.</t>
  </si>
  <si>
    <t xml:space="preserve">1 ед.</t>
  </si>
  <si>
    <r>
      <rPr>
        <b val="true"/>
        <i val="true"/>
        <sz val="20"/>
        <color theme="0" tint="-0.5"/>
        <rFont val="Arial"/>
        <family val="2"/>
        <charset val="204"/>
      </rPr>
      <t xml:space="preserve">Кукуруза сахарная Братковский
</t>
    </r>
    <r>
      <rPr>
        <b val="true"/>
        <i val="true"/>
        <sz val="10"/>
        <color theme="0" tint="-0.5"/>
        <rFont val="Arial"/>
        <family val="2"/>
        <charset val="204"/>
      </rPr>
      <t xml:space="preserve">Краснодарский край, Кореновский район</t>
    </r>
    <r>
      <rPr>
        <b val="true"/>
        <i val="true"/>
        <sz val="20"/>
        <color theme="0" tint="-0.5"/>
        <rFont val="Arial"/>
        <family val="2"/>
        <charset val="204"/>
      </rPr>
      <t xml:space="preserve">                        </t>
    </r>
  </si>
  <si>
    <t xml:space="preserve">в т.ч. 88 га закупка</t>
  </si>
  <si>
    <t xml:space="preserve">в т.ч.</t>
  </si>
  <si>
    <t xml:space="preserve">Закупка конвейер</t>
  </si>
  <si>
    <r>
      <rPr>
        <b val="true"/>
        <i val="true"/>
        <sz val="20"/>
        <color theme="0" tint="-0.5"/>
        <rFont val="Arial"/>
        <family val="2"/>
        <charset val="204"/>
      </rPr>
      <t xml:space="preserve">Кукуруза сахарная Агролидер
</t>
    </r>
    <r>
      <rPr>
        <b val="true"/>
        <i val="true"/>
        <sz val="10"/>
        <color theme="0" tint="-0.5"/>
        <rFont val="Arial"/>
        <family val="2"/>
        <charset val="204"/>
      </rPr>
      <t xml:space="preserve">Краснодарский край, Тихорецкий район</t>
    </r>
    <r>
      <rPr>
        <b val="true"/>
        <i val="true"/>
        <sz val="20"/>
        <color theme="0" tint="-0.5"/>
        <rFont val="Arial"/>
        <family val="2"/>
        <charset val="204"/>
      </rPr>
      <t xml:space="preserve">                        </t>
    </r>
  </si>
  <si>
    <t xml:space="preserve">15/1Агролидер</t>
  </si>
  <si>
    <t xml:space="preserve">площадь сева будет уточнена по факту уборки</t>
  </si>
  <si>
    <t xml:space="preserve">Кукуруза сахарная Грин Рэй Кубань</t>
  </si>
  <si>
    <r>
      <rPr>
        <b val="true"/>
        <i val="true"/>
        <sz val="20"/>
        <color theme="0" tint="-0.5"/>
        <rFont val="Arial"/>
        <family val="2"/>
        <charset val="204"/>
      </rPr>
      <t xml:space="preserve">Кукуруза сахарная Иррико-Холдинг
</t>
    </r>
    <r>
      <rPr>
        <b val="true"/>
        <i val="true"/>
        <sz val="10"/>
        <color theme="0" tint="-0.5"/>
        <rFont val="Arial"/>
        <family val="2"/>
        <charset val="204"/>
      </rPr>
      <t xml:space="preserve">Ставропольский край, с. Гофицкое - 317 га, пос. Винодельненский - 26 га </t>
    </r>
    <r>
      <rPr>
        <b val="true"/>
        <i val="true"/>
        <sz val="20"/>
        <color theme="0" tint="-0.5"/>
        <rFont val="Arial"/>
        <family val="2"/>
        <charset val="204"/>
      </rPr>
      <t xml:space="preserve">                               </t>
    </r>
  </si>
  <si>
    <t xml:space="preserve">Последняя машина в смене по нашей весовой</t>
  </si>
  <si>
    <t xml:space="preserve"> плюс 2 машины?</t>
  </si>
  <si>
    <t xml:space="preserve">613, 896</t>
  </si>
  <si>
    <t xml:space="preserve">Винодельненский</t>
  </si>
  <si>
    <t xml:space="preserve">198 (700,500)</t>
  </si>
  <si>
    <t xml:space="preserve">199 (595, 303, 807)</t>
  </si>
  <si>
    <t xml:space="preserve">570, вес 094 и 443</t>
  </si>
  <si>
    <t xml:space="preserve">Гофицкое</t>
  </si>
  <si>
    <r>
      <rPr>
        <b val="true"/>
        <i val="true"/>
        <sz val="20"/>
        <color theme="0" tint="-0.5"/>
        <rFont val="Arial"/>
        <family val="2"/>
        <charset val="204"/>
      </rPr>
      <t xml:space="preserve">Кукуруза суперсладкая Иррико-Холдинг
</t>
    </r>
    <r>
      <rPr>
        <b val="true"/>
        <i val="true"/>
        <sz val="10"/>
        <color theme="0" tint="-0.5"/>
        <rFont val="Arial"/>
        <family val="2"/>
        <charset val="204"/>
      </rPr>
      <t xml:space="preserve">Ставропольский край, с. Малая Джалга -  350 га, пос. Винодельненский - 216 га</t>
    </r>
    <r>
      <rPr>
        <b val="true"/>
        <i val="true"/>
        <sz val="20"/>
        <color theme="0" tint="-0.5"/>
        <rFont val="Arial"/>
        <family val="2"/>
        <charset val="204"/>
      </rPr>
      <t xml:space="preserve">                          </t>
    </r>
  </si>
  <si>
    <t xml:space="preserve">Урожайность физ. вес</t>
  </si>
  <si>
    <t xml:space="preserve">Джалга</t>
  </si>
  <si>
    <t xml:space="preserve">Параметры:</t>
  </si>
  <si>
    <t xml:space="preserve">Начало периода: 01.08.2025 0:00:00</t>
  </si>
  <si>
    <t xml:space="preserve">Конец периода: 31.08.2025 0:00:00</t>
  </si>
  <si>
    <t xml:space="preserve">Отбор:</t>
  </si>
  <si>
    <t xml:space="preserve">Отправитель В группе из списка "Гуднесс Фудс Джалга; Союз Агро ООО; СОЮЗ-АГРО ООО; Союз--Агро ООО; Колхоз "Ленинский путь" О...; КОЛХОЗ ЛЕНИНСКИЙ ПУТЬ ООО"</t>
  </si>
  <si>
    <t xml:space="preserve">№ п/п</t>
  </si>
  <si>
    <t xml:space="preserve">Период</t>
  </si>
  <si>
    <t xml:space="preserve">№ машины</t>
  </si>
  <si>
    <t xml:space="preserve">№ прицепа</t>
  </si>
  <si>
    <t xml:space="preserve">Груз</t>
  </si>
  <si>
    <t xml:space="preserve">Получатель</t>
  </si>
  <si>
    <t xml:space="preserve">Отправитель</t>
  </si>
  <si>
    <t xml:space="preserve">Брутто</t>
  </si>
  <si>
    <t xml:space="preserve">Тара</t>
  </si>
  <si>
    <t xml:space="preserve">Нетто</t>
  </si>
  <si>
    <t xml:space="preserve">Брутто (по документам)</t>
  </si>
  <si>
    <t xml:space="preserve">Тара (по документам)</t>
  </si>
  <si>
    <t xml:space="preserve">Нетто (по документам)</t>
  </si>
  <si>
    <t xml:space="preserve">Отклонение</t>
  </si>
  <si>
    <t xml:space="preserve">Пункт назначения</t>
  </si>
  <si>
    <t xml:space="preserve">Пункт отправления</t>
  </si>
  <si>
    <t xml:space="preserve">05.08.2025 2:13:20</t>
  </si>
  <si>
    <t xml:space="preserve">А781РР 123</t>
  </si>
  <si>
    <t xml:space="preserve">ЕХ4187 23</t>
  </si>
  <si>
    <t xml:space="preserve">Грин Рэй Кубань ООО</t>
  </si>
  <si>
    <t xml:space="preserve">05.08.2025 6:11:12</t>
  </si>
  <si>
    <t xml:space="preserve">А731ВА 123</t>
  </si>
  <si>
    <t xml:space="preserve">МО8130 23</t>
  </si>
  <si>
    <t xml:space="preserve">06.08.2025 9:50:53</t>
  </si>
  <si>
    <t xml:space="preserve">06.08.2025 11:56:35</t>
  </si>
  <si>
    <t xml:space="preserve">У315НХ 123</t>
  </si>
  <si>
    <t xml:space="preserve">ЕУ4649 23</t>
  </si>
  <si>
    <t xml:space="preserve">06.08.2025 22:51:43</t>
  </si>
  <si>
    <t xml:space="preserve">С400РР 23</t>
  </si>
  <si>
    <t xml:space="preserve">ЕО0811 23</t>
  </si>
  <si>
    <t xml:space="preserve">07.08.2025 2:05:21</t>
  </si>
  <si>
    <t xml:space="preserve">У801СТ 123</t>
  </si>
  <si>
    <t xml:space="preserve">ВН4482 6</t>
  </si>
  <si>
    <t xml:space="preserve">07.08.2025 3:48:23</t>
  </si>
  <si>
    <t xml:space="preserve">07.08.2025 5:12:57</t>
  </si>
  <si>
    <t xml:space="preserve">А114МК 193</t>
  </si>
  <si>
    <t xml:space="preserve">МЕ2744 23</t>
  </si>
  <si>
    <t xml:space="preserve">07.08.2025 9:23:06</t>
  </si>
  <si>
    <t xml:space="preserve">Е404УС 93</t>
  </si>
  <si>
    <t xml:space="preserve">ЕТ0909 23</t>
  </si>
  <si>
    <t xml:space="preserve">07.08.2025 11:00:23</t>
  </si>
  <si>
    <t xml:space="preserve">Х514ОК 123</t>
  </si>
  <si>
    <t xml:space="preserve">ЕУ4356 23</t>
  </si>
  <si>
    <t xml:space="preserve">с.Гофицкое</t>
  </si>
  <si>
    <t xml:space="preserve">07.08.2025 15:54:13</t>
  </si>
  <si>
    <t xml:space="preserve">Н378ХЕ 93</t>
  </si>
  <si>
    <t xml:space="preserve">ЕР7829 23</t>
  </si>
  <si>
    <t xml:space="preserve">07.08.2025 21:19:03</t>
  </si>
  <si>
    <t xml:space="preserve">А701СН 93</t>
  </si>
  <si>
    <t xml:space="preserve">ЕН9185 23</t>
  </si>
  <si>
    <t xml:space="preserve">08.08.2025 0:28:45</t>
  </si>
  <si>
    <t xml:space="preserve">С198УЕ 193</t>
  </si>
  <si>
    <t xml:space="preserve">ЕУ4355 23</t>
  </si>
  <si>
    <t xml:space="preserve">08.08.2025 2:35:52</t>
  </si>
  <si>
    <t xml:space="preserve">08.08.2025 3:58:50</t>
  </si>
  <si>
    <t xml:space="preserve">МА3410 23</t>
  </si>
  <si>
    <t xml:space="preserve">08.08.2025 6:40:14</t>
  </si>
  <si>
    <t xml:space="preserve">08.08.2025 8:44:54</t>
  </si>
  <si>
    <t xml:space="preserve">А114МК 19</t>
  </si>
  <si>
    <t xml:space="preserve">АВ2744 27</t>
  </si>
  <si>
    <t xml:space="preserve">08.08.2025 10:41:11</t>
  </si>
  <si>
    <t xml:space="preserve">08.08.2025 12:43:43</t>
  </si>
  <si>
    <t xml:space="preserve">09.08.2025 10:00:37</t>
  </si>
  <si>
    <t xml:space="preserve">Консервный цех (ордер)</t>
  </si>
  <si>
    <t xml:space="preserve">Гуднесс Фудс Джалга(Джалга)</t>
  </si>
  <si>
    <t xml:space="preserve">09.08.2025 12:17:01</t>
  </si>
  <si>
    <t xml:space="preserve">09.08.2025 13:33:07</t>
  </si>
  <si>
    <t xml:space="preserve">Е758РЕ 123</t>
  </si>
  <si>
    <t xml:space="preserve">ЕХ4191 23</t>
  </si>
  <si>
    <t xml:space="preserve">09.08.2025 14:53:28</t>
  </si>
  <si>
    <t xml:space="preserve">М057АО 23</t>
  </si>
  <si>
    <t xml:space="preserve">МА6913 23</t>
  </si>
  <si>
    <t xml:space="preserve">09.08.2025 15:39:42</t>
  </si>
  <si>
    <t xml:space="preserve">У726ЕР 123</t>
  </si>
  <si>
    <t xml:space="preserve">ЕС9682 23</t>
  </si>
  <si>
    <t xml:space="preserve">09.08.2025 16:53:05</t>
  </si>
  <si>
    <t xml:space="preserve">09.08.2025 17:51:00</t>
  </si>
  <si>
    <t xml:space="preserve">А719ОО 123</t>
  </si>
  <si>
    <t xml:space="preserve">ЕУ8087 23</t>
  </si>
  <si>
    <t xml:space="preserve">09.08.2025 18:56:43</t>
  </si>
  <si>
    <t xml:space="preserve">Р866РМ 123</t>
  </si>
  <si>
    <t xml:space="preserve">ЕУ2872 23</t>
  </si>
  <si>
    <t xml:space="preserve">09.08.2025 20:09:59</t>
  </si>
  <si>
    <t xml:space="preserve">Р755НН 26</t>
  </si>
  <si>
    <t xml:space="preserve">РА5550 26</t>
  </si>
  <si>
    <t xml:space="preserve">09.08.2025 23:40:43</t>
  </si>
  <si>
    <t xml:space="preserve">Т110ТМ 123</t>
  </si>
  <si>
    <t xml:space="preserve">МС9164 23</t>
  </si>
  <si>
    <t xml:space="preserve">10.08.2025 1:41:53</t>
  </si>
  <si>
    <t xml:space="preserve">10.08.2025 3:13:54</t>
  </si>
  <si>
    <t xml:space="preserve">10.08.2025 4:54:22</t>
  </si>
  <si>
    <t xml:space="preserve">Погуляй А.Б.</t>
  </si>
  <si>
    <t xml:space="preserve">О824ТХ 123</t>
  </si>
  <si>
    <t xml:space="preserve">ЕН1867 23</t>
  </si>
  <si>
    <t xml:space="preserve">10.08.2025 8:08:03</t>
  </si>
  <si>
    <t xml:space="preserve">10.08.2025 9:22:12</t>
  </si>
  <si>
    <t xml:space="preserve">О212РТ 123</t>
  </si>
  <si>
    <t xml:space="preserve">МЕ3194 23</t>
  </si>
  <si>
    <t xml:space="preserve">10.08.2025 10:15:15</t>
  </si>
  <si>
    <t xml:space="preserve">Р258УХ 123</t>
  </si>
  <si>
    <t xml:space="preserve">МО9466 23</t>
  </si>
  <si>
    <t xml:space="preserve">10.08.2025 11:34:23</t>
  </si>
  <si>
    <t xml:space="preserve">10.08.2025 13:39:59</t>
  </si>
  <si>
    <t xml:space="preserve">Лазаренко Вятчеслав Владимирович</t>
  </si>
  <si>
    <t xml:space="preserve">Т239УС 93</t>
  </si>
  <si>
    <t xml:space="preserve">ЕС6637 23</t>
  </si>
  <si>
    <t xml:space="preserve">10.08.2025 13:44:55</t>
  </si>
  <si>
    <t xml:space="preserve">К570ЕО 123</t>
  </si>
  <si>
    <t xml:space="preserve">ЕС6735 93</t>
  </si>
  <si>
    <t xml:space="preserve">10.08.2025 17:11:43</t>
  </si>
  <si>
    <t xml:space="preserve">С707ОУ 123</t>
  </si>
  <si>
    <t xml:space="preserve">ЕТ8716 23</t>
  </si>
  <si>
    <t xml:space="preserve">10.08.2025 18:30:03</t>
  </si>
  <si>
    <t xml:space="preserve">10.08.2025 20:24:09</t>
  </si>
  <si>
    <t xml:space="preserve">10.08.2025 21:13:01</t>
  </si>
  <si>
    <t xml:space="preserve">Пищев Александр Васильевич</t>
  </si>
  <si>
    <t xml:space="preserve">Т522ОН 93</t>
  </si>
  <si>
    <t xml:space="preserve">ЕЕ4940 23</t>
  </si>
  <si>
    <t xml:space="preserve">10.08.2025 23:15:15</t>
  </si>
  <si>
    <t xml:space="preserve">11.08.2025 0:45:55</t>
  </si>
  <si>
    <t xml:space="preserve">11.08.2025 1:57:12</t>
  </si>
  <si>
    <t xml:space="preserve">11.08.2025 4:01:36</t>
  </si>
  <si>
    <t xml:space="preserve">М676КО 48</t>
  </si>
  <si>
    <t xml:space="preserve">АК3820 48</t>
  </si>
  <si>
    <t xml:space="preserve">11.08.2025 4:15:10</t>
  </si>
  <si>
    <t xml:space="preserve">М556ХВ 23</t>
  </si>
  <si>
    <t xml:space="preserve">КС9189 23</t>
  </si>
  <si>
    <t xml:space="preserve">11.08.2025 5:22:44</t>
  </si>
  <si>
    <t xml:space="preserve">11.08.2025 7:54:57</t>
  </si>
  <si>
    <t xml:space="preserve">11.08.2025 11:31:39</t>
  </si>
  <si>
    <t xml:space="preserve">11.08.2025 12:56:44</t>
  </si>
  <si>
    <t xml:space="preserve">11.08.2025 14:27:59</t>
  </si>
  <si>
    <t xml:space="preserve">11.08.2025 15:39:27</t>
  </si>
  <si>
    <t xml:space="preserve">11.08.2025 16:35:55</t>
  </si>
  <si>
    <t xml:space="preserve">11.08.2025 17:55:05</t>
  </si>
  <si>
    <t xml:space="preserve">Н735ВК 126</t>
  </si>
  <si>
    <t xml:space="preserve">ЕМ5924 26</t>
  </si>
  <si>
    <t xml:space="preserve">11.08.2025 18:50:05</t>
  </si>
  <si>
    <t xml:space="preserve">Н234ВК 126</t>
  </si>
  <si>
    <t xml:space="preserve">ЕМ5743 26</t>
  </si>
  <si>
    <t xml:space="preserve">11.08.2025 20:35:32</t>
  </si>
  <si>
    <t xml:space="preserve">М704ТС 126</t>
  </si>
  <si>
    <t xml:space="preserve">ЕК4914 26</t>
  </si>
  <si>
    <t xml:space="preserve">11.08.2025 21:46:24</t>
  </si>
  <si>
    <t xml:space="preserve">11.08.2025 23:18:21</t>
  </si>
  <si>
    <t xml:space="preserve">12.08.2025 1:01:19</t>
  </si>
  <si>
    <t xml:space="preserve">12.08.2025 2:37:28</t>
  </si>
  <si>
    <t xml:space="preserve">12.08.2025 3:46:39</t>
  </si>
  <si>
    <t xml:space="preserve">12.08.2025 4:49:15</t>
  </si>
  <si>
    <t xml:space="preserve">12.08.2025 5:59:06</t>
  </si>
  <si>
    <t xml:space="preserve">12.08.2025 8:30:14</t>
  </si>
  <si>
    <t xml:space="preserve">12.08.2025 10:04:15</t>
  </si>
  <si>
    <t xml:space="preserve">12.08.2025 11:05:06</t>
  </si>
  <si>
    <t xml:space="preserve">12.08.2025 14:38:56</t>
  </si>
  <si>
    <t xml:space="preserve">12.08.2025 14:52:39</t>
  </si>
  <si>
    <t xml:space="preserve">12.08.2025 16:41:08</t>
  </si>
  <si>
    <t xml:space="preserve">12.08.2025 16:45:14</t>
  </si>
  <si>
    <t xml:space="preserve">ЕС6735 23</t>
  </si>
  <si>
    <t xml:space="preserve">12.08.2025 18:45:05</t>
  </si>
  <si>
    <t xml:space="preserve">12.08.2025 19:46:14</t>
  </si>
  <si>
    <t xml:space="preserve">12.08.2025 21:12:17</t>
  </si>
  <si>
    <t xml:space="preserve">12.08.2025 22:09:52</t>
  </si>
  <si>
    <t xml:space="preserve">12.08.2025 23:27:34</t>
  </si>
  <si>
    <t xml:space="preserve">13.08.2025 1:35:16</t>
  </si>
  <si>
    <t xml:space="preserve">13.08.2025 2:46:07</t>
  </si>
  <si>
    <t xml:space="preserve">13.08.2025 4:10:06</t>
  </si>
  <si>
    <t xml:space="preserve">13.08.2025 5:09:34</t>
  </si>
  <si>
    <t xml:space="preserve">13.08.2025 8:25:19</t>
  </si>
  <si>
    <t xml:space="preserve">13.08.2025 10:58:31</t>
  </si>
  <si>
    <t xml:space="preserve">13.08.2025 13:07:25</t>
  </si>
  <si>
    <t xml:space="preserve">13.08.2025 13:19:00</t>
  </si>
  <si>
    <t xml:space="preserve">13.08.2025 13:41:11</t>
  </si>
  <si>
    <t xml:space="preserve">13.08.2025 14:53:48</t>
  </si>
  <si>
    <t xml:space="preserve">13.08.2025 15:08:11</t>
  </si>
  <si>
    <t xml:space="preserve">13.08.2025 16:55:57</t>
  </si>
  <si>
    <t xml:space="preserve">13.08.2025 17:57:55</t>
  </si>
  <si>
    <t xml:space="preserve">ЕЕ9257 23</t>
  </si>
  <si>
    <t xml:space="preserve">13.08.2025 18:50:14</t>
  </si>
  <si>
    <t xml:space="preserve">13.08.2025 20:33:49</t>
  </si>
  <si>
    <t xml:space="preserve">13.08.2025 21:19:32</t>
  </si>
  <si>
    <t xml:space="preserve">13.08.2025 21:59:35</t>
  </si>
  <si>
    <t xml:space="preserve">С400РР 123</t>
  </si>
  <si>
    <t xml:space="preserve">ЕО 0811 23</t>
  </si>
  <si>
    <t xml:space="preserve">14.08.2025 1:51:57</t>
  </si>
  <si>
    <t xml:space="preserve">14.08.2025 2:26:51</t>
  </si>
  <si>
    <t xml:space="preserve">СХ8828 6</t>
  </si>
  <si>
    <t xml:space="preserve">14.08.2025 3:47:51</t>
  </si>
  <si>
    <t xml:space="preserve">14.08.2025 4:33:21</t>
  </si>
  <si>
    <t xml:space="preserve">14.08.2025 7:14:27</t>
  </si>
  <si>
    <t xml:space="preserve">14.08.2025 8:48:14</t>
  </si>
  <si>
    <t xml:space="preserve">14.08.2025 9:30:30</t>
  </si>
  <si>
    <t xml:space="preserve">Т285ВЕ 93</t>
  </si>
  <si>
    <t xml:space="preserve">КМ2828 23</t>
  </si>
  <si>
    <t xml:space="preserve">14.08.2025 10:24:14</t>
  </si>
  <si>
    <t xml:space="preserve">Р684ОХ 26</t>
  </si>
  <si>
    <t xml:space="preserve">РА7136 26</t>
  </si>
  <si>
    <t xml:space="preserve">14.08.2025 11:07:47</t>
  </si>
  <si>
    <t xml:space="preserve">А315МК 126</t>
  </si>
  <si>
    <t xml:space="preserve">РА5983 26</t>
  </si>
  <si>
    <t xml:space="preserve">14.08.2025 12:05:25</t>
  </si>
  <si>
    <t xml:space="preserve">Р347КА 26</t>
  </si>
  <si>
    <t xml:space="preserve">РА6585 26</t>
  </si>
  <si>
    <t xml:space="preserve">14.08.2025 13:15:14</t>
  </si>
  <si>
    <t xml:space="preserve">Р687УК 26</t>
  </si>
  <si>
    <t xml:space="preserve">РВ0254 26</t>
  </si>
  <si>
    <t xml:space="preserve">14.08.2025 14:08:53</t>
  </si>
  <si>
    <t xml:space="preserve">Т443МВ 26</t>
  </si>
  <si>
    <t xml:space="preserve">СА8567 26</t>
  </si>
  <si>
    <t xml:space="preserve">14.08.2025 16:55:06</t>
  </si>
  <si>
    <t xml:space="preserve">14.08.2025 17:48:22</t>
  </si>
  <si>
    <t xml:space="preserve">14.08.2025 18:40:04</t>
  </si>
  <si>
    <t xml:space="preserve">14.08.2025 20:04:58</t>
  </si>
  <si>
    <t xml:space="preserve">14.08.2025 23:09:11</t>
  </si>
  <si>
    <t xml:space="preserve">14.08.2025 23:29:33</t>
  </si>
  <si>
    <t xml:space="preserve">15.08.2025 0:56:57</t>
  </si>
  <si>
    <t xml:space="preserve">15.08.2025 4:17:25</t>
  </si>
  <si>
    <t xml:space="preserve">15.08.2025 5:03:24</t>
  </si>
  <si>
    <t xml:space="preserve">15.08.2025 11:42:03</t>
  </si>
  <si>
    <t xml:space="preserve">15.08.2025 12:07:06</t>
  </si>
  <si>
    <t xml:space="preserve">15.08.2025 13:00:55</t>
  </si>
  <si>
    <t xml:space="preserve">У184НО 193</t>
  </si>
  <si>
    <t xml:space="preserve">МН7302 23</t>
  </si>
  <si>
    <t xml:space="preserve">ООО"КОЛОС"</t>
  </si>
  <si>
    <t xml:space="preserve">15.08.2025 15:25:01</t>
  </si>
  <si>
    <t xml:space="preserve">А309АТ 123</t>
  </si>
  <si>
    <t xml:space="preserve">ЕН4505 23</t>
  </si>
  <si>
    <t xml:space="preserve">15.08.2025 16:40:21</t>
  </si>
  <si>
    <t xml:space="preserve">15.08.2025 18:10:48</t>
  </si>
  <si>
    <t xml:space="preserve">15.08.2025 19:04:50</t>
  </si>
  <si>
    <t xml:space="preserve">15.08.2025 20:16:17</t>
  </si>
  <si>
    <t xml:space="preserve">15.08.2025 21:24:52</t>
  </si>
  <si>
    <t xml:space="preserve">15.08.2025 22:29:30</t>
  </si>
  <si>
    <t xml:space="preserve">15.08.2025 23:39:30</t>
  </si>
  <si>
    <t xml:space="preserve">Ленинский путь Колхоз ООО</t>
  </si>
  <si>
    <t xml:space="preserve">16.08.2025 2:19:04</t>
  </si>
  <si>
    <t xml:space="preserve">16.08.2025 3:44:03</t>
  </si>
  <si>
    <t xml:space="preserve">16.08.2025 5:09:55</t>
  </si>
  <si>
    <t xml:space="preserve">16.08.2025 6:47:57</t>
  </si>
  <si>
    <t xml:space="preserve">18.08.2025 8:36:20</t>
  </si>
  <si>
    <t xml:space="preserve">18.08.2025 9:42:48</t>
  </si>
  <si>
    <t xml:space="preserve">18.08.2025 13:18:23</t>
  </si>
  <si>
    <t xml:space="preserve">18.08.2025 14:21:12</t>
  </si>
  <si>
    <t xml:space="preserve">18.08.2025 15:30:14</t>
  </si>
  <si>
    <t xml:space="preserve">18.08.2025 15:33:49</t>
  </si>
  <si>
    <t xml:space="preserve">18.08.2025 16:28:19</t>
  </si>
  <si>
    <t xml:space="preserve">18.08.2025 17:32:43</t>
  </si>
  <si>
    <t xml:space="preserve">18.08.2025 18:44:06</t>
  </si>
  <si>
    <t xml:space="preserve">18.08.2025 20:33:46</t>
  </si>
  <si>
    <t xml:space="preserve">ЕУ2877 23</t>
  </si>
  <si>
    <t xml:space="preserve">19.08.2025 9:21:04</t>
  </si>
  <si>
    <t xml:space="preserve">19.08.2025 10:06:30</t>
  </si>
  <si>
    <t xml:space="preserve">КС9789 23</t>
  </si>
  <si>
    <t xml:space="preserve">19.08.2025 11:11:55</t>
  </si>
  <si>
    <t xml:space="preserve">Итого</t>
  </si>
  <si>
    <r>
      <rPr>
        <b val="true"/>
        <i val="true"/>
        <sz val="20"/>
        <color theme="0" tint="-0.5"/>
        <rFont val="Arial"/>
        <family val="2"/>
        <charset val="204"/>
      </rPr>
      <t xml:space="preserve">Кукуруза сахарная Кубань Хлеб
</t>
    </r>
    <r>
      <rPr>
        <b val="true"/>
        <i val="true"/>
        <sz val="10"/>
        <color theme="0" tint="-0.5"/>
        <rFont val="Arial"/>
        <family val="2"/>
        <charset val="204"/>
      </rPr>
      <t xml:space="preserve">ООО "Кубаньагро-Фаста", Краснодарский край, Тихорецкий район, ст. Фастовецкая, удаленность - 40 км  </t>
    </r>
    <r>
      <rPr>
        <b val="true"/>
        <i val="true"/>
        <sz val="20"/>
        <color theme="0" tint="-0.5"/>
        <rFont val="Arial"/>
        <family val="2"/>
        <charset val="204"/>
      </rPr>
      <t xml:space="preserve">                               </t>
    </r>
  </si>
  <si>
    <t xml:space="preserve">уточнено количество машин (-1 шт.), вал</t>
  </si>
  <si>
    <t xml:space="preserve">покос закончили 01.09.2024 в 14:19</t>
  </si>
  <si>
    <t xml:space="preserve">уточнена площадь уборки и валовый сбор (перенос части на 01.10.2024)</t>
  </si>
  <si>
    <t xml:space="preserve">688-347</t>
  </si>
  <si>
    <t xml:space="preserve">уточнен вес КА</t>
  </si>
  <si>
    <t xml:space="preserve">684-687</t>
  </si>
  <si>
    <t xml:space="preserve">957 (1 и 2), 688, 404, 317, 057 (1)</t>
  </si>
  <si>
    <t xml:space="preserve">10/12 Кубань Хлеб</t>
  </si>
  <si>
    <t xml:space="preserve">057 (2) поле 10/12</t>
  </si>
  <si>
    <t xml:space="preserve">Прогноз от 28.08.2024</t>
  </si>
  <si>
    <t xml:space="preserve">Выполнение по валу от плана</t>
  </si>
  <si>
    <t xml:space="preserve">Выполнение по валу от прогноза 19.07.2024</t>
  </si>
  <si>
    <t xml:space="preserve"> - остаток по площади (бросили)</t>
  </si>
  <si>
    <t xml:space="preserve">Номер поля агро исх</t>
  </si>
  <si>
    <t xml:space="preserve">Номер поля агро уточн</t>
  </si>
  <si>
    <t xml:space="preserve">Номер поля справочник</t>
  </si>
  <si>
    <t xml:space="preserve">Дата сева агро</t>
  </si>
  <si>
    <t xml:space="preserve">Дата уборки план</t>
  </si>
  <si>
    <t xml:space="preserve">Дата уборки план_откорр</t>
  </si>
  <si>
    <t xml:space="preserve">Дата уборки факт</t>
  </si>
  <si>
    <t xml:space="preserve">Вид</t>
  </si>
  <si>
    <t xml:space="preserve">Сорт агро</t>
  </si>
  <si>
    <t xml:space="preserve">Сорт акт ERP</t>
  </si>
  <si>
    <t xml:space="preserve">Площадь сева, га</t>
  </si>
  <si>
    <t xml:space="preserve">Площадь сева по акту, га</t>
  </si>
  <si>
    <t xml:space="preserve">Остаток площади</t>
  </si>
  <si>
    <t xml:space="preserve">Закрытие, %</t>
  </si>
  <si>
    <t xml:space="preserve">Урожайность плановая, т/га</t>
  </si>
  <si>
    <t xml:space="preserve">Урожайность фактическая, т/га</t>
  </si>
  <si>
    <t xml:space="preserve">Валовый сбор плановый, т</t>
  </si>
  <si>
    <t xml:space="preserve">Валовый сбор фактический, т</t>
  </si>
  <si>
    <t xml:space="preserve">Выполнение плана, %</t>
  </si>
  <si>
    <t xml:space="preserve">ООО Ленинский путь</t>
  </si>
  <si>
    <t xml:space="preserve">Поле-2</t>
  </si>
  <si>
    <t xml:space="preserve">Поле-4</t>
  </si>
  <si>
    <t xml:space="preserve">29-30.07.2024</t>
  </si>
  <si>
    <t xml:space="preserve">30.07-01.08.2024</t>
  </si>
  <si>
    <t xml:space="preserve">01-02.08.2024, 06.08.2024</t>
  </si>
  <si>
    <t xml:space="preserve">05-06.08.2024</t>
  </si>
  <si>
    <t xml:space="preserve">Запрелые семена (перепады температур в фазу прорастания семян).</t>
  </si>
  <si>
    <t xml:space="preserve">ООО ГРК</t>
  </si>
  <si>
    <t xml:space="preserve">А-82</t>
  </si>
  <si>
    <t xml:space="preserve">ЗХИ-3278</t>
  </si>
  <si>
    <t xml:space="preserve">А-53</t>
  </si>
  <si>
    <t xml:space="preserve">18-19.08.2024</t>
  </si>
  <si>
    <t xml:space="preserve">20-22.08.2024</t>
  </si>
  <si>
    <t xml:space="preserve">А-55</t>
  </si>
  <si>
    <t xml:space="preserve">21-24.08.2024</t>
  </si>
  <si>
    <t xml:space="preserve">25-28.08.2024</t>
  </si>
  <si>
    <t xml:space="preserve">А-111</t>
  </si>
  <si>
    <t xml:space="preserve">19-22.08.2024</t>
  </si>
  <si>
    <t xml:space="preserve">А-108</t>
  </si>
  <si>
    <t xml:space="preserve">22-25.08.2024</t>
  </si>
  <si>
    <t xml:space="preserve">28-29.08.2024</t>
  </si>
  <si>
    <t xml:space="preserve">27-28.08.2024</t>
  </si>
  <si>
    <t xml:space="preserve">Оватона</t>
  </si>
  <si>
    <t xml:space="preserve">А-106</t>
  </si>
  <si>
    <t xml:space="preserve">01-02.09.2024</t>
  </si>
  <si>
    <t xml:space="preserve">(ранее - 16,5 га низкая густота, причина - полив)</t>
  </si>
  <si>
    <t xml:space="preserve">пересев 11 га (ранее - 7,5 га низкая густота, причина - полив)</t>
  </si>
  <si>
    <t xml:space="preserve">А-104</t>
  </si>
  <si>
    <t xml:space="preserve">29.08-02.09.2024</t>
  </si>
  <si>
    <t xml:space="preserve">Иррико</t>
  </si>
  <si>
    <t xml:space="preserve">Поле-3.7.</t>
  </si>
  <si>
    <t xml:space="preserve">03-04.09.2024</t>
  </si>
  <si>
    <t xml:space="preserve">Поле-2.19.1.</t>
  </si>
  <si>
    <t xml:space="preserve">04-06.09.2024</t>
  </si>
  <si>
    <t xml:space="preserve">Поле-3.29.</t>
  </si>
  <si>
    <t xml:space="preserve">05-07.09.2024</t>
  </si>
  <si>
    <t xml:space="preserve">Поле-3.32.</t>
  </si>
  <si>
    <t xml:space="preserve">07-08.09.2024</t>
  </si>
  <si>
    <t xml:space="preserve">Поле 3.30</t>
  </si>
  <si>
    <t xml:space="preserve">08-09.09.2024</t>
  </si>
  <si>
    <t xml:space="preserve">Поле 3.33</t>
  </si>
  <si>
    <t xml:space="preserve">09.09.2024, 11-13.09.2024</t>
  </si>
  <si>
    <t xml:space="preserve">Поле 3.31</t>
  </si>
  <si>
    <t xml:space="preserve">10-11.09.2024</t>
  </si>
  <si>
    <t xml:space="preserve">Поле 3.34</t>
  </si>
  <si>
    <t xml:space="preserve">11-15.09.2024</t>
  </si>
  <si>
    <t xml:space="preserve">Поле 3.35</t>
  </si>
  <si>
    <t xml:space="preserve">Кирова</t>
  </si>
  <si>
    <t xml:space="preserve">Поле 5</t>
  </si>
  <si>
    <t xml:space="preserve">18-19.09.2024, 21-22.09.2024</t>
  </si>
  <si>
    <t xml:space="preserve">22.09.2024, 27.09.2024, 30.09.2024, 04.10.2024</t>
  </si>
  <si>
    <t xml:space="preserve">уточнена площадь уборки за 22.09 (-2 га)</t>
  </si>
  <si>
    <t xml:space="preserve">19.09.2024, 04.10.2024</t>
  </si>
  <si>
    <t xml:space="preserve">Поле 11</t>
  </si>
  <si>
    <t xml:space="preserve">30.09-02.10.2024</t>
  </si>
  <si>
    <t xml:space="preserve">18.09.2024, 25-28.09.2024, 30.09-01.10.2024</t>
  </si>
  <si>
    <t xml:space="preserve">уточнена площадь уборки за 26.09 (-6 га) и за 27.09 (+12 га)</t>
  </si>
  <si>
    <t xml:space="preserve">Кубань Хлеб</t>
  </si>
  <si>
    <t xml:space="preserve">Поле 9/2</t>
  </si>
  <si>
    <t xml:space="preserve">29-30.09.2024</t>
  </si>
  <si>
    <t xml:space="preserve">уточнен вал (-1 машина) по 29.09.2024</t>
  </si>
  <si>
    <t xml:space="preserve">Поле 10/5</t>
  </si>
  <si>
    <t xml:space="preserve">05-06.10.2024</t>
  </si>
  <si>
    <t xml:space="preserve">Поле 10/12</t>
  </si>
  <si>
    <t xml:space="preserve">06-07.10.2024</t>
  </si>
  <si>
    <t xml:space="preserve">бросили 20 га - акт от 08.10.2024</t>
  </si>
  <si>
    <t xml:space="preserve">бросили 37 га - акт от 08.10.2024</t>
  </si>
  <si>
    <t xml:space="preserve">Поле 4.4</t>
  </si>
  <si>
    <t xml:space="preserve">22-24.09.2024</t>
  </si>
  <si>
    <t xml:space="preserve">Поле 4.2</t>
  </si>
  <si>
    <t xml:space="preserve">25-26.09.2024</t>
  </si>
  <si>
    <t xml:space="preserve">СВ 280</t>
  </si>
  <si>
    <t xml:space="preserve">Поле 4.3</t>
  </si>
  <si>
    <t xml:space="preserve">24-27.09.2024</t>
  </si>
  <si>
    <t xml:space="preserve">Поле 2.1</t>
  </si>
  <si>
    <t xml:space="preserve">01.10.2024, 04-05.10.2024</t>
  </si>
  <si>
    <t xml:space="preserve">05.10.2024, 07-09.10.2024</t>
  </si>
  <si>
    <t xml:space="preserve">Поле 3.3</t>
  </si>
  <si>
    <t xml:space="preserve">09-11.10.2024</t>
  </si>
  <si>
    <t xml:space="preserve">11-12.10.2024</t>
  </si>
  <si>
    <t xml:space="preserve">Эрика</t>
  </si>
  <si>
    <t xml:space="preserve">Поле 1.3</t>
  </si>
  <si>
    <t xml:space="preserve">12-13.10.2024</t>
  </si>
  <si>
    <t xml:space="preserve">Поле 1.4</t>
  </si>
  <si>
    <t xml:space="preserve">07.10.2024, 13-16.10.2024</t>
  </si>
  <si>
    <t xml:space="preserve">Жива</t>
  </si>
  <si>
    <t xml:space="preserve">Поле 3.1</t>
  </si>
  <si>
    <t xml:space="preserve">02.10.2024, 04-07.10.2024, 15.10.2024</t>
  </si>
  <si>
    <t xml:space="preserve">15-16.10.2024</t>
  </si>
  <si>
    <t xml:space="preserve">16-17.10.2024</t>
  </si>
</sst>
</file>

<file path=xl/styles.xml><?xml version="1.0" encoding="utf-8"?>
<styleSheet xmlns="http://schemas.openxmlformats.org/spreadsheetml/2006/main">
  <numFmts count="76">
    <numFmt numFmtId="164" formatCode="#,##0.0"/>
    <numFmt numFmtId="165" formatCode="#,##0"/>
    <numFmt numFmtId="166" formatCode="General"/>
    <numFmt numFmtId="167" formatCode="_-* #,##0&quot; руб&quot;_-;\-* #,##0&quot; руб&quot;_-;_-* &quot;- руб&quot;_-;_-@_-"/>
    <numFmt numFmtId="168" formatCode="_-* #\ ##0&quot; руб&quot;_-;\-* #\ ##0&quot; руб&quot;_-;_-* &quot;- руб&quot;_-;_-@_-"/>
    <numFmt numFmtId="169" formatCode="_-* #,##0_р_._-;\-* #,##0_р_._-;_-* \-_р_._-;_-@_-"/>
    <numFmt numFmtId="170" formatCode="_-* #,##0.00_р_._-;\-* #,##0.00_р_._-;_-* \-??_р_._-;_-@_-"/>
    <numFmt numFmtId="171" formatCode="_-* #,##0&quot;р.&quot;_-;\-* #,##0&quot;р.&quot;_-;_-* &quot;-р.&quot;_-;_-@_-"/>
    <numFmt numFmtId="172" formatCode="_-* #,##0.00&quot;р.&quot;_-;\-* #,##0.00&quot;р.&quot;_-;_-* \-??&quot;р.&quot;_-;_-@_-"/>
    <numFmt numFmtId="173" formatCode="dd/mm/yyyy"/>
    <numFmt numFmtId="174" formatCode="dd\.mm\.yyyy"/>
    <numFmt numFmtId="175" formatCode="_-* #,##0.00[$€-1]_-;\-* #,##0.00[$€-1]_-;_-* \-??[$€-1]_-"/>
    <numFmt numFmtId="176" formatCode="_-* #,##0.00[$€-1]_-;\-* #,##0.00[$€-1]_-;_-* \-??[$€-1]_-"/>
    <numFmt numFmtId="177" formatCode="_-* #\ ##0.00[$€-1]_-;\-* #\ ##0.00[$€-1]_-;_-* \-??[$€-1]_-"/>
    <numFmt numFmtId="178" formatCode="_-* #\ ##0.00[$€-1]_-;\-* #\ ##0.00[$€-1]_-;_-* \-??[$€-1]_-"/>
    <numFmt numFmtId="179" formatCode="#,##0_р_.;\-#,##0_р_."/>
    <numFmt numFmtId="180" formatCode="#\ ##0;\-#\ ##0"/>
    <numFmt numFmtId="181" formatCode="General_)"/>
    <numFmt numFmtId="182" formatCode="#\ ##0"/>
    <numFmt numFmtId="183" formatCode="_-* #,##0.00&quot; ₽&quot;_-;\-* #,##0.00&quot; ₽&quot;_-;_-* \-??&quot; ₽&quot;_-;_-@_-"/>
    <numFmt numFmtId="184" formatCode="_-* #\ ##0.00&quot;р.&quot;_-;\-* #\ ##0.00&quot;р.&quot;_-;_-* \-??&quot;р.&quot;_-;_-@_-"/>
    <numFmt numFmtId="185" formatCode="_-* #,##0.00&quot;р.&quot;_-;\-* #,##0.00&quot;р.&quot;_-;_-* \-??&quot;р.&quot;_-;_-@_-"/>
    <numFmt numFmtId="186" formatCode="_-* #,##0.00&quot; ₽&quot;_-;\-* #,##0.00&quot; ₽&quot;_-;_-* \-??&quot; ₽&quot;_-;_-@_-"/>
    <numFmt numFmtId="187" formatCode="_-* #\ ##0.00&quot; ₽&quot;_-;\-* #\ ##0.00&quot; ₽&quot;_-;_-* \-??&quot; ₽&quot;_-;_-@_-"/>
    <numFmt numFmtId="188" formatCode="_-* #\.##0.00&quot; ₽&quot;_-;\-* #\.##0.00&quot; ₽&quot;_-;_-* \-??&quot; ₽&quot;_-;_-@_-"/>
    <numFmt numFmtId="189" formatCode="#,##0_);\(#,##0\);\-_);@_)"/>
    <numFmt numFmtId="190" formatCode="0%"/>
    <numFmt numFmtId="191" formatCode="_-* #,##0\ _р_._-;\-* #,##0\ _р_._-;_-* &quot;- &quot;_р_._-;_-@_-"/>
    <numFmt numFmtId="192" formatCode="_-* #,##0.00\ _р_._-;\-* #,##0.00\ _р_._-;_-* \-??\ _р_._-;_-@_-"/>
    <numFmt numFmtId="193" formatCode="_-* #,##0.00_р_._-;\-* #,##0.00_р_._-;_-* \-??_р_._-;_-@_-"/>
    <numFmt numFmtId="194" formatCode="_-* #\ ##0.00_р_._-;\-* #\ ##0.00_р_._-;_-* \-??_р_._-;_-@_-"/>
    <numFmt numFmtId="195" formatCode="_-* #,##0.00_-;\-* #,##0.00_-;_-* \-??_-;_-@_-"/>
    <numFmt numFmtId="196" formatCode="_-* #\ ##0.00_-;\-* #\ ##0.00_-;_-* \-??_-;_-@_-"/>
    <numFmt numFmtId="197" formatCode="_-* #\ ##0.00_р_._-;\-* #\ ##0.00_р_._-;_-* \-??_р_._-;_-@_-"/>
    <numFmt numFmtId="198" formatCode="_-* #,##0.00\ _₽_-;\-* #,##0.00\ _₽_-;_-* \-??\ _₽_-;_-@_-"/>
    <numFmt numFmtId="199" formatCode="_-* #,##0.00_-;\-* #,##0.00_-;_-* \-??_-;_-@_-"/>
    <numFmt numFmtId="200" formatCode="_-* #\ ##0.00_-;\-* #\ ##0.00_-;_-* \-??_-;_-@_-"/>
    <numFmt numFmtId="201" formatCode="&quot;?.&quot;#,##0_);[RED]&quot;(?.&quot;#,##0\)"/>
    <numFmt numFmtId="202" formatCode="&quot;?.&quot;#\ ##0_);[RED]&quot;(?.&quot;#\ ##0\)"/>
    <numFmt numFmtId="203" formatCode="_(* #\ ##0.00_);_(* \(#\ ##0.00\);_(* \-??_);_(@_)"/>
    <numFmt numFmtId="204" formatCode="#,##0\в"/>
    <numFmt numFmtId="205" formatCode="#\ ##0\в"/>
    <numFmt numFmtId="206" formatCode="#,##0_);\(#,##0\);#,###"/>
    <numFmt numFmtId="207" formatCode="#\ ##0_);\(#\ ##0\);#\ ###"/>
    <numFmt numFmtId="208" formatCode="#,##0\т"/>
    <numFmt numFmtId="209" formatCode="#\ ##0\т"/>
    <numFmt numFmtId="210" formatCode="0&quot; т&quot;"/>
    <numFmt numFmtId="211" formatCode="00&quot; га&quot;"/>
    <numFmt numFmtId="212" formatCode="##\ ###&quot; т&quot;"/>
    <numFmt numFmtId="213" formatCode="00.0&quot; т/га&quot;"/>
    <numFmt numFmtId="214" formatCode="0.00"/>
    <numFmt numFmtId="215" formatCode="0.0&quot; т/га&quot;"/>
    <numFmt numFmtId="216" formatCode="00&quot; дн.&quot;"/>
    <numFmt numFmtId="217" formatCode="0&quot; дн&quot;"/>
    <numFmt numFmtId="218" formatCode="0.0%"/>
    <numFmt numFmtId="219" formatCode="0.0"/>
    <numFmt numFmtId="220" formatCode="0"/>
    <numFmt numFmtId="221" formatCode="##,###&quot; т&quot;"/>
    <numFmt numFmtId="222" formatCode="dd/mm/yy;@"/>
    <numFmt numFmtId="223" formatCode="##.0&quot; га&quot;"/>
    <numFmt numFmtId="224" formatCode="##,###&quot; кг&quot;"/>
    <numFmt numFmtId="225" formatCode="00.0&quot; ц/га&quot;"/>
    <numFmt numFmtId="226" formatCode="@"/>
    <numFmt numFmtId="227" formatCode="##,###&quot; тн.&quot;"/>
    <numFmt numFmtId="228" formatCode="##,###&quot; га&quot;"/>
    <numFmt numFmtId="229" formatCode="[$-F400]h:mm:ss\ AM/PM"/>
    <numFmt numFmtId="230" formatCode="00000000000"/>
    <numFmt numFmtId="231" formatCode="000000"/>
    <numFmt numFmtId="232" formatCode="0&quot; Га&quot;"/>
    <numFmt numFmtId="233" formatCode="0.000"/>
    <numFmt numFmtId="234" formatCode="0.0&quot; Га&quot;"/>
    <numFmt numFmtId="235" formatCode="00.0&quot; га&quot;"/>
    <numFmt numFmtId="236" formatCode="##,###.0&quot; га&quot;"/>
    <numFmt numFmtId="237" formatCode="##0.0&quot; га&quot;"/>
    <numFmt numFmtId="238" formatCode="000"/>
    <numFmt numFmtId="239" formatCode="#,##0.000"/>
  </numFmts>
  <fonts count="185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1"/>
      <color rgb="FF000000"/>
      <name val="Calibri"/>
      <family val="2"/>
      <charset val="1"/>
    </font>
    <font>
      <sz val="10"/>
      <name val="Arial Cyr"/>
      <family val="2"/>
      <charset val="204"/>
    </font>
    <font>
      <sz val="10"/>
      <name val="MS Sans Serif"/>
      <family val="2"/>
      <charset val="204"/>
    </font>
    <font>
      <sz val="10"/>
      <name val="MS Sans Serif"/>
      <family val="2"/>
      <charset val="1"/>
    </font>
    <font>
      <sz val="11"/>
      <color rgb="FF000000"/>
      <name val="Calibri"/>
      <family val="2"/>
      <charset val="204"/>
    </font>
    <font>
      <sz val="11"/>
      <color rgb="FFFFFFFF"/>
      <name val="Calibri"/>
      <family val="2"/>
      <charset val="204"/>
    </font>
    <font>
      <sz val="10"/>
      <name val="Arial"/>
      <family val="2"/>
      <charset val="204"/>
    </font>
    <font>
      <u val="single"/>
      <sz val="10"/>
      <color rgb="FF0000FF"/>
      <name val="Arial Cyr"/>
      <family val="2"/>
      <charset val="204"/>
    </font>
    <font>
      <sz val="11"/>
      <color rgb="FF800080"/>
      <name val="Calibri"/>
      <family val="2"/>
      <charset val="204"/>
    </font>
    <font>
      <sz val="10"/>
      <name val="Courier New"/>
      <family val="1"/>
      <charset val="204"/>
    </font>
    <font>
      <sz val="10"/>
      <name val="Courier New"/>
      <family val="3"/>
      <charset val="1"/>
    </font>
    <font>
      <sz val="10"/>
      <name val="Courier New"/>
      <family val="3"/>
      <charset val="204"/>
    </font>
    <font>
      <b val="true"/>
      <sz val="10"/>
      <color rgb="FF000000"/>
      <name val="Arial"/>
      <family val="2"/>
      <charset val="1"/>
    </font>
    <font>
      <b val="true"/>
      <sz val="10"/>
      <color rgb="FF000000"/>
      <name val="Arial"/>
      <family val="2"/>
      <charset val="204"/>
    </font>
    <font>
      <sz val="10"/>
      <color rgb="FF000000"/>
      <name val="MS Sans Serif"/>
      <family val="2"/>
      <charset val="204"/>
    </font>
    <font>
      <b val="true"/>
      <sz val="11"/>
      <color rgb="FFFF9900"/>
      <name val="Calibri"/>
      <family val="2"/>
      <charset val="204"/>
    </font>
    <font>
      <b val="true"/>
      <sz val="11"/>
      <color rgb="FFFFFFFF"/>
      <name val="Calibri"/>
      <family val="2"/>
      <charset val="204"/>
    </font>
    <font>
      <sz val="12"/>
      <name val="Times New Roman"/>
      <family val="1"/>
      <charset val="204"/>
    </font>
    <font>
      <i val="true"/>
      <sz val="11"/>
      <color rgb="FF808080"/>
      <name val="Calibri"/>
      <family val="2"/>
      <charset val="204"/>
    </font>
    <font>
      <u val="single"/>
      <sz val="7"/>
      <color rgb="FF800080"/>
      <name val="Arial"/>
      <family val="2"/>
      <charset val="204"/>
    </font>
    <font>
      <sz val="11"/>
      <color rgb="FF008000"/>
      <name val="Calibri"/>
      <family val="2"/>
      <charset val="204"/>
    </font>
    <font>
      <b val="true"/>
      <sz val="12"/>
      <name val="Arial"/>
      <family val="2"/>
      <charset val="1"/>
    </font>
    <font>
      <b val="true"/>
      <sz val="12"/>
      <name val="Arial"/>
      <family val="2"/>
      <charset val="204"/>
    </font>
    <font>
      <b val="true"/>
      <sz val="15"/>
      <color rgb="FF003366"/>
      <name val="Calibri"/>
      <family val="2"/>
      <charset val="204"/>
    </font>
    <font>
      <b val="true"/>
      <sz val="13"/>
      <color rgb="FF003366"/>
      <name val="Calibri"/>
      <family val="2"/>
      <charset val="204"/>
    </font>
    <font>
      <b val="true"/>
      <sz val="11"/>
      <color rgb="FF003366"/>
      <name val="Calibri"/>
      <family val="2"/>
      <charset val="204"/>
    </font>
    <font>
      <u val="single"/>
      <sz val="9.6"/>
      <color rgb="FF0000FF"/>
      <name val="Arial"/>
      <family val="2"/>
      <charset val="204"/>
    </font>
    <font>
      <sz val="11"/>
      <color rgb="FF333399"/>
      <name val="Calibri"/>
      <family val="2"/>
      <charset val="204"/>
    </font>
    <font>
      <u val="single"/>
      <sz val="10"/>
      <color rgb="FF800080"/>
      <name val="Arial Cyr"/>
      <family val="2"/>
      <charset val="204"/>
    </font>
    <font>
      <b val="true"/>
      <u val="single"/>
      <sz val="16"/>
      <name val="Arial"/>
      <family val="2"/>
      <charset val="1"/>
    </font>
    <font>
      <b val="true"/>
      <u val="single"/>
      <sz val="16"/>
      <name val="Arial"/>
      <family val="2"/>
      <charset val="204"/>
    </font>
    <font>
      <sz val="11"/>
      <color rgb="FFFF9900"/>
      <name val="Calibri"/>
      <family val="2"/>
      <charset val="204"/>
    </font>
    <font>
      <sz val="11"/>
      <color rgb="FF993300"/>
      <name val="Calibri"/>
      <family val="2"/>
      <charset val="204"/>
    </font>
    <font>
      <sz val="8"/>
      <name val="Tahoma"/>
      <family val="2"/>
      <charset val="1"/>
    </font>
    <font>
      <sz val="8"/>
      <name val="Tahoma"/>
      <family val="2"/>
      <charset val="204"/>
    </font>
    <font>
      <sz val="8"/>
      <name val="Times New Roman"/>
      <family val="1"/>
      <charset val="1"/>
    </font>
    <font>
      <b val="true"/>
      <sz val="11"/>
      <color rgb="FF333333"/>
      <name val="Calibri"/>
      <family val="2"/>
      <charset val="204"/>
    </font>
    <font>
      <b val="true"/>
      <sz val="20"/>
      <name val="Times New Roman"/>
      <family val="1"/>
      <charset val="1"/>
    </font>
    <font>
      <b val="true"/>
      <sz val="20"/>
      <name val="Times New Roman"/>
      <family val="1"/>
      <charset val="204"/>
    </font>
    <font>
      <b val="true"/>
      <sz val="18"/>
      <color rgb="FF003366"/>
      <name val="Cambria"/>
      <family val="2"/>
      <charset val="204"/>
    </font>
    <font>
      <b val="true"/>
      <sz val="18"/>
      <color rgb="FF003366"/>
      <name val="Cambria"/>
      <family val="1"/>
      <charset val="204"/>
    </font>
    <font>
      <b val="true"/>
      <sz val="11"/>
      <color rgb="FF000000"/>
      <name val="Calibri"/>
      <family val="2"/>
      <charset val="204"/>
    </font>
    <font>
      <b val="true"/>
      <sz val="14"/>
      <name val="Times New Roman"/>
      <family val="1"/>
      <charset val="1"/>
    </font>
    <font>
      <b val="true"/>
      <sz val="14"/>
      <name val="Times New Roman"/>
      <family val="1"/>
      <charset val="204"/>
    </font>
    <font>
      <sz val="11"/>
      <color rgb="FFFF0000"/>
      <name val="Calibri"/>
      <family val="2"/>
      <charset val="204"/>
    </font>
    <font>
      <b val="true"/>
      <sz val="8"/>
      <name val="Arial Cyr"/>
      <family val="2"/>
      <charset val="204"/>
    </font>
    <font>
      <u val="single"/>
      <sz val="10"/>
      <color theme="10"/>
      <name val="Arial Cyr"/>
      <family val="0"/>
      <charset val="204"/>
    </font>
    <font>
      <u val="single"/>
      <sz val="11"/>
      <color theme="10"/>
      <name val="Calibri"/>
      <family val="2"/>
      <charset val="204"/>
    </font>
    <font>
      <u val="single"/>
      <sz val="11"/>
      <color rgb="FF0000FF"/>
      <name val="Calibri"/>
      <family val="2"/>
      <charset val="204"/>
    </font>
    <font>
      <sz val="12"/>
      <name val="Arial Narrow"/>
      <family val="2"/>
      <charset val="204"/>
    </font>
    <font>
      <b val="true"/>
      <sz val="11"/>
      <color rgb="FF000000"/>
      <name val="Calibri"/>
      <family val="2"/>
      <charset val="1"/>
    </font>
    <font>
      <b val="true"/>
      <sz val="15"/>
      <color theme="3"/>
      <name val="Arial"/>
      <family val="2"/>
      <charset val="204"/>
    </font>
    <font>
      <b val="true"/>
      <sz val="10"/>
      <color rgb="FF0000FF"/>
      <name val="Arial Cyr"/>
      <family val="2"/>
      <charset val="204"/>
    </font>
    <font>
      <sz val="10"/>
      <name val="Arial Cyr"/>
      <family val="0"/>
      <charset val="204"/>
    </font>
    <font>
      <sz val="14"/>
      <color rgb="FF000000"/>
      <name val="Times New Roman"/>
      <family val="2"/>
      <charset val="204"/>
    </font>
    <font>
      <sz val="14"/>
      <color rgb="FF000000"/>
      <name val="Times New Roman"/>
      <family val="1"/>
      <charset val="204"/>
    </font>
    <font>
      <sz val="11"/>
      <color theme="1"/>
      <name val="Calibri"/>
      <family val="2"/>
      <charset val="204"/>
    </font>
    <font>
      <sz val="8"/>
      <name val="Arial"/>
      <family val="2"/>
      <charset val="204"/>
    </font>
    <font>
      <sz val="8"/>
      <name val="Arial"/>
      <family val="2"/>
      <charset val="1"/>
    </font>
    <font>
      <sz val="10"/>
      <name val="Verdana"/>
      <family val="2"/>
      <charset val="204"/>
    </font>
    <font>
      <sz val="11"/>
      <color rgb="FF000000"/>
      <name val="Century Gothic"/>
      <family val="2"/>
      <charset val="1"/>
    </font>
    <font>
      <sz val="11"/>
      <color rgb="FF000000"/>
      <name val="Century Gothic"/>
      <family val="2"/>
      <charset val="204"/>
    </font>
    <font>
      <sz val="12"/>
      <color rgb="FF000000"/>
      <name val="Calibri"/>
      <family val="2"/>
      <charset val="204"/>
    </font>
    <font>
      <sz val="12"/>
      <color theme="1"/>
      <name val="Arial"/>
      <family val="2"/>
      <charset val="204"/>
    </font>
    <font>
      <sz val="11"/>
      <color theme="1"/>
      <name val="Arial"/>
      <family val="0"/>
      <charset val="204"/>
    </font>
    <font>
      <sz val="11"/>
      <color rgb="FF000000"/>
      <name val="Arial"/>
      <family val="2"/>
      <charset val="204"/>
    </font>
    <font>
      <sz val="11"/>
      <color rgb="FF000000"/>
      <name val="Arial"/>
      <family val="0"/>
      <charset val="204"/>
    </font>
    <font>
      <sz val="8"/>
      <color rgb="FF000000"/>
      <name val="Tahoma"/>
      <family val="2"/>
      <charset val="204"/>
    </font>
    <font>
      <sz val="10"/>
      <name val="Times New Roman"/>
      <family val="1"/>
      <charset val="204"/>
    </font>
    <font>
      <sz val="12"/>
      <color theme="1"/>
      <name val="Calibri"/>
      <family val="2"/>
      <charset val="204"/>
    </font>
    <font>
      <sz val="10"/>
      <name val="Tahoma"/>
      <family val="2"/>
      <charset val="204"/>
    </font>
    <font>
      <sz val="10"/>
      <name val="Arial Narrow"/>
      <family val="2"/>
      <charset val="204"/>
    </font>
    <font>
      <b val="true"/>
      <sz val="22"/>
      <color theme="7" tint="-0.25"/>
      <name val="Bahnschrift"/>
      <family val="2"/>
      <charset val="204"/>
    </font>
    <font>
      <b val="true"/>
      <sz val="11"/>
      <color theme="1"/>
      <name val="Calibri"/>
      <family val="2"/>
      <charset val="204"/>
    </font>
    <font>
      <sz val="14"/>
      <color theme="1"/>
      <name val="Bahnschrift"/>
      <family val="2"/>
      <charset val="204"/>
    </font>
    <font>
      <sz val="11"/>
      <color theme="1"/>
      <name val="Bahnschrift"/>
      <family val="2"/>
      <charset val="204"/>
    </font>
    <font>
      <b val="true"/>
      <sz val="15"/>
      <color theme="1"/>
      <name val="Bahnschrift"/>
      <family val="2"/>
      <charset val="204"/>
    </font>
    <font>
      <sz val="15"/>
      <color theme="1"/>
      <name val="Bahnschrift"/>
      <family val="2"/>
      <charset val="204"/>
    </font>
    <font>
      <sz val="14"/>
      <color theme="1" tint="0.3499"/>
      <name val="Bahnschrift"/>
      <family val="2"/>
      <charset val="204"/>
    </font>
    <font>
      <sz val="15"/>
      <color theme="1" tint="0.4999"/>
      <name val="Bahnschrift"/>
      <family val="2"/>
      <charset val="204"/>
    </font>
    <font>
      <sz val="18"/>
      <color rgb="FF000000"/>
      <name val="Bahnschrift"/>
      <family val="2"/>
    </font>
    <font>
      <sz val="12"/>
      <color rgb="FF404040"/>
      <name val="Bahnschrift"/>
      <family val="2"/>
    </font>
    <font>
      <sz val="12"/>
      <color rgb="FF595959"/>
      <name val="Bahnschrift"/>
      <family val="2"/>
    </font>
    <font>
      <sz val="10"/>
      <color rgb="FF000000"/>
      <name val="Calibri"/>
      <family val="2"/>
    </font>
    <font>
      <b val="true"/>
      <sz val="16"/>
      <color rgb="FF000000"/>
      <name val="Bahnschrift"/>
      <family val="2"/>
    </font>
    <font>
      <sz val="16"/>
      <color rgb="FF404040"/>
      <name val="Calibri"/>
      <family val="2"/>
    </font>
    <font>
      <b val="true"/>
      <sz val="20"/>
      <color rgb="FF000000"/>
      <name val="Calibri"/>
      <family val="0"/>
      <charset val="204"/>
    </font>
    <font>
      <b val="true"/>
      <sz val="14"/>
      <color theme="1"/>
      <name val="Bahnschrift"/>
      <family val="2"/>
      <charset val="204"/>
    </font>
    <font>
      <sz val="12"/>
      <color theme="1"/>
      <name val="Bahnschrift"/>
      <family val="2"/>
      <charset val="204"/>
    </font>
    <font>
      <sz val="18"/>
      <color rgb="FF000000"/>
      <name val="Bahnschrift"/>
      <family val="2"/>
      <charset val="204"/>
    </font>
    <font>
      <sz val="14"/>
      <color rgb="FF000000"/>
      <name val="Bahnschrift"/>
      <family val="2"/>
      <charset val="204"/>
    </font>
    <font>
      <sz val="11"/>
      <color rgb="FF000000"/>
      <name val="Calibri"/>
      <family val="0"/>
      <charset val="204"/>
    </font>
    <font>
      <sz val="6"/>
      <color theme="1"/>
      <name val="Bahnschrift"/>
      <family val="2"/>
      <charset val="204"/>
    </font>
    <font>
      <sz val="12"/>
      <color theme="1" tint="0.25"/>
      <name val="Bahnschrift"/>
      <family val="2"/>
      <charset val="204"/>
    </font>
    <font>
      <sz val="20"/>
      <color rgb="FF000000"/>
      <name val="Bahnschrift"/>
      <family val="2"/>
      <charset val="204"/>
    </font>
    <font>
      <sz val="20"/>
      <color theme="2" tint="-0.5"/>
      <name val="Bahnschrift"/>
      <family val="2"/>
      <charset val="204"/>
    </font>
    <font>
      <sz val="16"/>
      <color rgb="FF000000"/>
      <name val="Bahnschrift"/>
      <family val="2"/>
    </font>
    <font>
      <sz val="9"/>
      <color rgb="FF595959"/>
      <name val="Calibri"/>
      <family val="2"/>
    </font>
    <font>
      <sz val="14"/>
      <color theme="1" tint="0.35"/>
      <name val="Bahnschrift SemiCondensed"/>
      <family val="2"/>
      <charset val="204"/>
    </font>
    <font>
      <sz val="15"/>
      <color rgb="FF404040"/>
      <name val="Bahnschrift"/>
      <family val="2"/>
    </font>
    <font>
      <sz val="15"/>
      <color rgb="FF595959"/>
      <name val="Bahnschrift"/>
      <family val="2"/>
    </font>
    <font>
      <sz val="15"/>
      <color rgb="FF000000"/>
      <name val="Bahnschrift"/>
      <family val="2"/>
    </font>
    <font>
      <sz val="15"/>
      <color rgb="FF000000"/>
      <name val="Calibri"/>
      <family val="0"/>
      <charset val="204"/>
    </font>
    <font>
      <sz val="15"/>
      <color rgb="FF000000"/>
      <name val="Bahnschrift"/>
      <family val="2"/>
      <charset val="204"/>
    </font>
    <font>
      <sz val="16"/>
      <color rgb="FF000000"/>
      <name val="Bahnschrift"/>
      <family val="2"/>
      <charset val="204"/>
    </font>
    <font>
      <sz val="20"/>
      <color theme="1" tint="0.5"/>
      <name val="Bahnschrift"/>
      <family val="2"/>
      <charset val="204"/>
    </font>
    <font>
      <b val="true"/>
      <sz val="12"/>
      <color rgb="FF000000"/>
      <name val="Bahnschrift"/>
      <family val="2"/>
    </font>
    <font>
      <sz val="12"/>
      <color rgb="FF000000"/>
      <name val="Bahnschrift"/>
      <family val="2"/>
    </font>
    <font>
      <sz val="14"/>
      <color rgb="FF000000"/>
      <name val="Calibri"/>
      <family val="2"/>
    </font>
    <font>
      <b val="true"/>
      <sz val="14"/>
      <color rgb="FF000000"/>
      <name val="Calibri"/>
      <family val="2"/>
    </font>
    <font>
      <b val="true"/>
      <sz val="14"/>
      <color rgb="FF404040"/>
      <name val="Bahnschrift"/>
      <family val="2"/>
    </font>
    <font>
      <sz val="14"/>
      <color rgb="FF000000"/>
      <name val="Bahnschrift"/>
      <family val="2"/>
    </font>
    <font>
      <b val="true"/>
      <sz val="16"/>
      <color rgb="FF404040"/>
      <name val="Bahnschrift"/>
      <family val="2"/>
    </font>
    <font>
      <b val="true"/>
      <sz val="14"/>
      <color rgb="FF000000"/>
      <name val="Bahnschrift"/>
      <family val="2"/>
    </font>
    <font>
      <sz val="14"/>
      <color theme="1" tint="0.35"/>
      <name val="Bahnschrift SemiBold SemiConden"/>
      <family val="2"/>
      <charset val="204"/>
    </font>
    <font>
      <sz val="14"/>
      <color theme="1" tint="0.35"/>
      <name val="Bahnschrift SemiBold"/>
      <family val="2"/>
      <charset val="204"/>
    </font>
    <font>
      <b val="true"/>
      <sz val="7"/>
      <color theme="1"/>
      <name val="Calibri"/>
      <family val="2"/>
      <charset val="204"/>
    </font>
    <font>
      <sz val="11"/>
      <color theme="1" tint="0.3499"/>
      <name val="Calibri"/>
      <family val="2"/>
      <charset val="1"/>
    </font>
    <font>
      <sz val="9"/>
      <color rgb="FF000000"/>
      <name val="Tahoma"/>
      <family val="2"/>
      <charset val="204"/>
    </font>
    <font>
      <sz val="9"/>
      <color rgb="FF404040"/>
      <name val="Calibri"/>
      <family val="2"/>
    </font>
    <font>
      <b val="true"/>
      <sz val="9"/>
      <color rgb="FF595959"/>
      <name val="Calibri"/>
      <family val="2"/>
    </font>
    <font>
      <sz val="11"/>
      <color rgb="FFFF0000"/>
      <name val="Calibri"/>
      <family val="2"/>
      <charset val="1"/>
    </font>
    <font>
      <b val="true"/>
      <sz val="18"/>
      <color rgb="FF808080"/>
      <name val="Calibri"/>
      <family val="2"/>
    </font>
    <font>
      <sz val="11"/>
      <color theme="1"/>
      <name val="Arial"/>
      <family val="2"/>
      <charset val="204"/>
    </font>
    <font>
      <b val="true"/>
      <i val="true"/>
      <sz val="20"/>
      <color theme="0" tint="-0.5"/>
      <name val="Arial"/>
      <family val="2"/>
      <charset val="204"/>
    </font>
    <font>
      <b val="true"/>
      <i val="true"/>
      <sz val="10"/>
      <color theme="0" tint="-0.5"/>
      <name val="Arial"/>
      <family val="2"/>
      <charset val="204"/>
    </font>
    <font>
      <b val="true"/>
      <i val="true"/>
      <sz val="24"/>
      <color theme="0" tint="-0.5"/>
      <name val="Arial"/>
      <family val="2"/>
      <charset val="204"/>
    </font>
    <font>
      <b val="true"/>
      <sz val="14"/>
      <color theme="1"/>
      <name val="Arial"/>
      <family val="2"/>
      <charset val="204"/>
    </font>
    <font>
      <sz val="11"/>
      <color theme="0"/>
      <name val="Arial"/>
      <family val="2"/>
      <charset val="204"/>
    </font>
    <font>
      <sz val="8"/>
      <color theme="0"/>
      <name val="Arial"/>
      <family val="2"/>
      <charset val="204"/>
    </font>
    <font>
      <b val="true"/>
      <sz val="11"/>
      <color theme="2" tint="-0.5"/>
      <name val="Arial"/>
      <family val="2"/>
      <charset val="204"/>
    </font>
    <font>
      <sz val="11"/>
      <color theme="2" tint="-0.5"/>
      <name val="Arial"/>
      <family val="2"/>
      <charset val="204"/>
    </font>
    <font>
      <i val="true"/>
      <sz val="8"/>
      <color theme="1"/>
      <name val="Arial"/>
      <family val="2"/>
      <charset val="204"/>
    </font>
    <font>
      <sz val="8"/>
      <color rgb="FF000000"/>
      <name val="Arial"/>
      <family val="2"/>
      <charset val="204"/>
    </font>
    <font>
      <i val="true"/>
      <sz val="9"/>
      <color theme="1"/>
      <name val="Arial"/>
      <family val="2"/>
      <charset val="204"/>
    </font>
    <font>
      <sz val="11"/>
      <color rgb="FFFF0000"/>
      <name val="Arial"/>
      <family val="2"/>
      <charset val="204"/>
    </font>
    <font>
      <b val="true"/>
      <sz val="12"/>
      <color theme="2" tint="-0.5"/>
      <name val="Arial"/>
      <family val="2"/>
      <charset val="204"/>
    </font>
    <font>
      <i val="true"/>
      <sz val="11"/>
      <color theme="2" tint="-0.5"/>
      <name val="Arial"/>
      <family val="2"/>
      <charset val="204"/>
    </font>
    <font>
      <b val="true"/>
      <i val="true"/>
      <sz val="11"/>
      <color theme="2" tint="-0.5"/>
      <name val="Arial"/>
      <family val="2"/>
      <charset val="204"/>
    </font>
    <font>
      <b val="true"/>
      <sz val="11"/>
      <name val="Arial"/>
      <family val="2"/>
      <charset val="204"/>
    </font>
    <font>
      <i val="true"/>
      <sz val="11"/>
      <color theme="1"/>
      <name val="Arial"/>
      <family val="2"/>
      <charset val="204"/>
    </font>
    <font>
      <b val="true"/>
      <sz val="11"/>
      <color theme="1"/>
      <name val="Arial"/>
      <family val="2"/>
      <charset val="204"/>
    </font>
    <font>
      <sz val="11"/>
      <name val="Arial"/>
      <family val="2"/>
      <charset val="204"/>
    </font>
    <font>
      <sz val="12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sz val="14"/>
      <color rgb="FF000000"/>
      <name val="Calibri"/>
      <family val="2"/>
      <charset val="1"/>
    </font>
    <font>
      <b val="true"/>
      <sz val="14"/>
      <color rgb="FF000000"/>
      <name val="Calibri"/>
      <family val="2"/>
      <charset val="1"/>
    </font>
    <font>
      <sz val="11"/>
      <name val="Times New Roman"/>
      <family val="1"/>
      <charset val="204"/>
    </font>
    <font>
      <sz val="9"/>
      <color theme="1"/>
      <name val="Calibri"/>
      <family val="2"/>
      <charset val="1"/>
    </font>
    <font>
      <sz val="9"/>
      <name val="Arial"/>
      <family val="2"/>
      <charset val="1"/>
    </font>
    <font>
      <sz val="10"/>
      <name val="Arial"/>
      <family val="2"/>
      <charset val="1"/>
    </font>
    <font>
      <sz val="8"/>
      <color theme="1"/>
      <name val="Calibri"/>
      <family val="2"/>
      <charset val="204"/>
    </font>
    <font>
      <b val="true"/>
      <sz val="8"/>
      <color theme="1"/>
      <name val="Calibri"/>
      <family val="2"/>
      <charset val="204"/>
    </font>
    <font>
      <sz val="8"/>
      <name val="Calibri"/>
      <family val="2"/>
      <charset val="204"/>
    </font>
    <font>
      <b val="true"/>
      <sz val="8"/>
      <name val="Calibri"/>
      <family val="2"/>
      <charset val="204"/>
    </font>
    <font>
      <sz val="8"/>
      <color rgb="FF00B050"/>
      <name val="Calibri"/>
      <family val="2"/>
      <charset val="204"/>
    </font>
    <font>
      <sz val="8"/>
      <color rgb="FFFF0000"/>
      <name val="Calibri"/>
      <family val="2"/>
      <charset val="204"/>
    </font>
    <font>
      <sz val="11"/>
      <color theme="0" tint="-0.15"/>
      <name val="Arial"/>
      <family val="2"/>
      <charset val="204"/>
    </font>
    <font>
      <sz val="11"/>
      <color theme="1" tint="0.4999"/>
      <name val="Arial"/>
      <family val="2"/>
      <charset val="204"/>
    </font>
    <font>
      <i val="true"/>
      <sz val="11"/>
      <color theme="1" tint="0.3499"/>
      <name val="Arial"/>
      <family val="2"/>
      <charset val="204"/>
    </font>
    <font>
      <i val="true"/>
      <sz val="12"/>
      <color theme="1" tint="0.3499"/>
      <name val="Arial"/>
      <family val="2"/>
      <charset val="204"/>
    </font>
    <font>
      <i val="true"/>
      <sz val="8"/>
      <color theme="0" tint="-0.5"/>
      <name val="Arial"/>
      <family val="2"/>
      <charset val="204"/>
    </font>
    <font>
      <i val="true"/>
      <sz val="12"/>
      <color theme="0" tint="-0.5"/>
      <name val="Arial"/>
      <family val="2"/>
      <charset val="204"/>
    </font>
    <font>
      <i val="true"/>
      <sz val="11"/>
      <color theme="1" tint="0.2499"/>
      <name val="Arial"/>
      <family val="2"/>
      <charset val="204"/>
    </font>
    <font>
      <sz val="12"/>
      <color theme="0"/>
      <name val="Arial"/>
      <family val="2"/>
      <charset val="204"/>
    </font>
    <font>
      <sz val="12"/>
      <color rgb="FF000000"/>
      <name val="Arial"/>
      <family val="2"/>
      <charset val="204"/>
    </font>
    <font>
      <i val="true"/>
      <sz val="12"/>
      <color theme="1"/>
      <name val="Arial"/>
      <family val="2"/>
      <charset val="204"/>
    </font>
    <font>
      <i val="true"/>
      <sz val="12"/>
      <color theme="1" tint="0.4999"/>
      <name val="Arial"/>
      <family val="2"/>
      <charset val="204"/>
    </font>
    <font>
      <i val="true"/>
      <sz val="11"/>
      <color theme="0" tint="-0.5"/>
      <name val="Arial"/>
      <family val="2"/>
      <charset val="204"/>
    </font>
    <font>
      <sz val="12"/>
      <name val="Arial"/>
      <family val="2"/>
      <charset val="204"/>
    </font>
    <font>
      <i val="true"/>
      <sz val="11"/>
      <color theme="1" tint="0.4999"/>
      <name val="Arial"/>
      <family val="2"/>
      <charset val="204"/>
    </font>
    <font>
      <sz val="11"/>
      <color theme="0" tint="-0.5"/>
      <name val="Arial"/>
      <family val="2"/>
      <charset val="204"/>
    </font>
    <font>
      <b val="true"/>
      <sz val="10"/>
      <name val="Arial"/>
      <family val="2"/>
      <charset val="1"/>
    </font>
    <font>
      <b val="true"/>
      <sz val="9"/>
      <name val="Arial"/>
      <family val="2"/>
      <charset val="1"/>
    </font>
    <font>
      <i val="true"/>
      <sz val="8"/>
      <color theme="1" tint="0.4999"/>
      <name val="Arial"/>
      <family val="2"/>
      <charset val="204"/>
    </font>
    <font>
      <i val="true"/>
      <sz val="11"/>
      <color theme="0" tint="-0.35"/>
      <name val="Arial"/>
      <family val="2"/>
      <charset val="204"/>
    </font>
    <font>
      <i val="true"/>
      <sz val="11"/>
      <color theme="2" tint="-0.25"/>
      <name val="Arial"/>
      <family val="2"/>
      <charset val="204"/>
    </font>
    <font>
      <b val="true"/>
      <i val="true"/>
      <sz val="11"/>
      <color theme="0" tint="-0.35"/>
      <name val="Arial"/>
      <family val="2"/>
      <charset val="204"/>
    </font>
    <font>
      <i val="true"/>
      <sz val="8"/>
      <color theme="0" tint="-0.35"/>
      <name val="Arial"/>
      <family val="2"/>
      <charset val="204"/>
    </font>
    <font>
      <b val="true"/>
      <sz val="11"/>
      <color rgb="FFFF0000"/>
      <name val="Calibri"/>
      <family val="2"/>
      <charset val="204"/>
    </font>
    <font>
      <sz val="11"/>
      <color theme="1" tint="0.4999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rgb="FFFFC000"/>
        <bgColor rgb="FFFFCC00"/>
      </patternFill>
    </fill>
    <fill>
      <patternFill patternType="solid">
        <fgColor rgb="FFEFF0EF"/>
        <bgColor rgb="FFF2F2F2"/>
      </patternFill>
    </fill>
    <fill>
      <patternFill patternType="solid">
        <fgColor rgb="FFCCFFFF"/>
        <bgColor rgb="FFCCFFCC"/>
      </patternFill>
    </fill>
    <fill>
      <patternFill patternType="solid">
        <fgColor rgb="FFCCCCFF"/>
        <bgColor rgb="FFD0D1CD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B98FF"/>
        <bgColor rgb="FFFF99CC"/>
      </patternFill>
    </fill>
    <fill>
      <patternFill patternType="solid">
        <fgColor rgb="FFFFCC99"/>
        <bgColor rgb="FFFBE5D6"/>
      </patternFill>
    </fill>
    <fill>
      <patternFill patternType="solid">
        <fgColor rgb="FF99CCFF"/>
        <bgColor rgb="FFA6C5E7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009810"/>
      </patternFill>
    </fill>
    <fill>
      <patternFill patternType="solid">
        <fgColor rgb="FFFFCC00"/>
        <bgColor rgb="FFFFC000"/>
      </patternFill>
    </fill>
    <fill>
      <patternFill patternType="solid">
        <fgColor rgb="FF0066CC"/>
        <bgColor rgb="FF0863BE"/>
      </patternFill>
    </fill>
    <fill>
      <patternFill patternType="solid">
        <fgColor rgb="FF800080"/>
        <bgColor rgb="FF7030A0"/>
      </patternFill>
    </fill>
    <fill>
      <patternFill patternType="solid">
        <fgColor rgb="FF33CCCC"/>
        <bgColor rgb="FF00FFFF"/>
      </patternFill>
    </fill>
    <fill>
      <patternFill patternType="solid">
        <fgColor rgb="FFFE9900"/>
        <bgColor rgb="FFFFC000"/>
      </patternFill>
    </fill>
    <fill>
      <patternFill patternType="solid">
        <fgColor theme="4" tint="0.7999"/>
        <bgColor rgb="FFEFF0EF"/>
      </patternFill>
    </fill>
    <fill>
      <patternFill patternType="solid">
        <fgColor theme="0" tint="-0.05"/>
        <bgColor rgb="FFEFF0EF"/>
      </patternFill>
    </fill>
    <fill>
      <patternFill patternType="solid">
        <fgColor theme="2" tint="-0.1"/>
        <bgColor rgb="FFD9D9D9"/>
      </patternFill>
    </fill>
    <fill>
      <patternFill patternType="solid">
        <fgColor rgb="FFFFFF00"/>
        <bgColor rgb="FFFFCC00"/>
      </patternFill>
    </fill>
    <fill>
      <patternFill patternType="solid">
        <fgColor theme="0"/>
        <bgColor rgb="FFF5FFFA"/>
      </patternFill>
    </fill>
    <fill>
      <patternFill patternType="solid">
        <fgColor theme="0" tint="-0.35"/>
        <bgColor rgb="FFAFABAB"/>
      </patternFill>
    </fill>
    <fill>
      <patternFill patternType="solid">
        <fgColor theme="1" tint="0.4999"/>
        <bgColor rgb="FF808080"/>
      </patternFill>
    </fill>
    <fill>
      <patternFill patternType="solid">
        <fgColor rgb="FF4A4C4F"/>
        <bgColor rgb="FF404040"/>
      </patternFill>
    </fill>
    <fill>
      <patternFill patternType="solid">
        <fgColor rgb="FFF8EEC6"/>
        <bgColor rgb="FFFBE5D6"/>
      </patternFill>
    </fill>
    <fill>
      <patternFill patternType="solid">
        <fgColor rgb="FFF5FFFA"/>
        <bgColor rgb="FFFFFFFF"/>
      </patternFill>
    </fill>
    <fill>
      <patternFill patternType="solid">
        <fgColor theme="0" tint="-0.25"/>
        <bgColor rgb="FFC0C0C0"/>
      </patternFill>
    </fill>
  </fills>
  <borders count="30">
    <border diagonalUp="false" diagonalDown="false">
      <left/>
      <right/>
      <top/>
      <bottom/>
      <diagonal/>
    </border>
    <border diagonalUp="false" diagonalDown="false"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theme="2" tint="-0.25"/>
      </left>
      <right/>
      <top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>
        <color rgb="FFCB98FF"/>
      </left>
      <right/>
      <top/>
      <bottom/>
      <diagonal/>
    </border>
    <border diagonalUp="false" diagonalDown="false">
      <left style="thin">
        <color rgb="FFCBC084"/>
      </left>
      <right style="thin">
        <color rgb="FFCBC084"/>
      </right>
      <top/>
      <bottom/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/>
      <diagonal/>
    </border>
    <border diagonalUp="false" diagonalDown="false">
      <left style="thin">
        <color theme="2" tint="-0.25"/>
      </left>
      <right/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/>
      <bottom style="thin">
        <color theme="2" tint="-0.25"/>
      </bottom>
      <diagonal/>
    </border>
    <border diagonalUp="false" diagonalDown="false">
      <left style="thin">
        <color rgb="FFCBC084"/>
      </left>
      <right style="thin">
        <color rgb="FFCBC084"/>
      </right>
      <top style="thin">
        <color rgb="FFCBC084"/>
      </top>
      <bottom style="thin">
        <color rgb="FFCBC084"/>
      </bottom>
      <diagonal/>
    </border>
  </borders>
  <cellStyleXfs count="1556"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9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90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2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5" borderId="0" applyFont="true" applyBorder="false" applyAlignment="true" applyProtection="false">
      <alignment horizontal="general" vertical="bottom" textRotation="0" wrapText="false" indent="0" shrinkToFit="false"/>
    </xf>
    <xf numFmtId="166" fontId="8" fillId="5" borderId="0" applyFont="true" applyBorder="false" applyAlignment="true" applyProtection="false">
      <alignment horizontal="general" vertical="bottom" textRotation="0" wrapText="false" indent="0" shrinkToFit="false"/>
    </xf>
    <xf numFmtId="166" fontId="8" fillId="6" borderId="0" applyFont="true" applyBorder="false" applyAlignment="true" applyProtection="false">
      <alignment horizontal="general" vertical="bottom" textRotation="0" wrapText="false" indent="0" shrinkToFit="false"/>
    </xf>
    <xf numFmtId="166" fontId="8" fillId="6" borderId="0" applyFont="true" applyBorder="false" applyAlignment="true" applyProtection="false">
      <alignment horizontal="general" vertical="bottom" textRotation="0" wrapText="false" indent="0" shrinkToFit="false"/>
    </xf>
    <xf numFmtId="166" fontId="8" fillId="7" borderId="0" applyFont="true" applyBorder="false" applyAlignment="true" applyProtection="false">
      <alignment horizontal="general" vertical="bottom" textRotation="0" wrapText="false" indent="0" shrinkToFit="false"/>
    </xf>
    <xf numFmtId="166" fontId="8" fillId="7" borderId="0" applyFont="true" applyBorder="false" applyAlignment="true" applyProtection="false">
      <alignment horizontal="general" vertical="bottom" textRotation="0" wrapText="false" indent="0" shrinkToFit="false"/>
    </xf>
    <xf numFmtId="166" fontId="8" fillId="8" borderId="0" applyFont="true" applyBorder="false" applyAlignment="true" applyProtection="false">
      <alignment horizontal="general" vertical="bottom" textRotation="0" wrapText="false" indent="0" shrinkToFit="false"/>
    </xf>
    <xf numFmtId="166" fontId="8" fillId="8" borderId="0" applyFont="true" applyBorder="false" applyAlignment="true" applyProtection="false">
      <alignment horizontal="general" vertical="bottom" textRotation="0" wrapText="false" indent="0" shrinkToFit="false"/>
    </xf>
    <xf numFmtId="166" fontId="8" fillId="4" borderId="0" applyFont="true" applyBorder="false" applyAlignment="true" applyProtection="false">
      <alignment horizontal="general" vertical="bottom" textRotation="0" wrapText="false" indent="0" shrinkToFit="false"/>
    </xf>
    <xf numFmtId="166" fontId="8" fillId="4" borderId="0" applyFont="true" applyBorder="false" applyAlignment="true" applyProtection="false">
      <alignment horizontal="general" vertical="bottom" textRotation="0" wrapText="false" indent="0" shrinkToFit="false"/>
    </xf>
    <xf numFmtId="166" fontId="8" fillId="9" borderId="0" applyFont="true" applyBorder="false" applyAlignment="true" applyProtection="false">
      <alignment horizontal="general" vertical="bottom" textRotation="0" wrapText="false" indent="0" shrinkToFit="false"/>
    </xf>
    <xf numFmtId="166" fontId="8" fillId="9" borderId="0" applyFont="true" applyBorder="false" applyAlignment="true" applyProtection="false">
      <alignment horizontal="general" vertical="bottom" textRotation="0" wrapText="false" indent="0" shrinkToFit="false"/>
    </xf>
    <xf numFmtId="166" fontId="8" fillId="5" borderId="0" applyFont="true" applyBorder="false" applyAlignment="true" applyProtection="false">
      <alignment horizontal="general" vertical="bottom" textRotation="0" wrapText="false" indent="0" shrinkToFit="false"/>
    </xf>
    <xf numFmtId="166" fontId="8" fillId="5" borderId="0" applyFont="true" applyBorder="false" applyAlignment="true" applyProtection="false">
      <alignment horizontal="general" vertical="bottom" textRotation="0" wrapText="false" indent="0" shrinkToFit="false"/>
    </xf>
    <xf numFmtId="166" fontId="8" fillId="5" borderId="0" applyFont="true" applyBorder="false" applyAlignment="true" applyProtection="false">
      <alignment horizontal="general" vertical="bottom" textRotation="0" wrapText="false" indent="0" shrinkToFit="false"/>
    </xf>
    <xf numFmtId="166" fontId="8" fillId="5" borderId="0" applyFont="true" applyBorder="false" applyAlignment="true" applyProtection="false">
      <alignment horizontal="general" vertical="bottom" textRotation="0" wrapText="false" indent="0" shrinkToFit="false"/>
    </xf>
    <xf numFmtId="166" fontId="8" fillId="5" borderId="0" applyFont="true" applyBorder="false" applyAlignment="true" applyProtection="false">
      <alignment horizontal="general" vertical="bottom" textRotation="0" wrapText="false" indent="0" shrinkToFit="false"/>
    </xf>
    <xf numFmtId="166" fontId="8" fillId="6" borderId="0" applyFont="true" applyBorder="false" applyAlignment="true" applyProtection="false">
      <alignment horizontal="general" vertical="bottom" textRotation="0" wrapText="false" indent="0" shrinkToFit="false"/>
    </xf>
    <xf numFmtId="166" fontId="8" fillId="6" borderId="0" applyFont="true" applyBorder="false" applyAlignment="true" applyProtection="false">
      <alignment horizontal="general" vertical="bottom" textRotation="0" wrapText="false" indent="0" shrinkToFit="false"/>
    </xf>
    <xf numFmtId="166" fontId="8" fillId="6" borderId="0" applyFont="true" applyBorder="false" applyAlignment="true" applyProtection="false">
      <alignment horizontal="general" vertical="bottom" textRotation="0" wrapText="false" indent="0" shrinkToFit="false"/>
    </xf>
    <xf numFmtId="166" fontId="8" fillId="6" borderId="0" applyFont="true" applyBorder="false" applyAlignment="true" applyProtection="false">
      <alignment horizontal="general" vertical="bottom" textRotation="0" wrapText="false" indent="0" shrinkToFit="false"/>
    </xf>
    <xf numFmtId="166" fontId="8" fillId="6" borderId="0" applyFont="true" applyBorder="false" applyAlignment="true" applyProtection="false">
      <alignment horizontal="general" vertical="bottom" textRotation="0" wrapText="false" indent="0" shrinkToFit="false"/>
    </xf>
    <xf numFmtId="166" fontId="8" fillId="7" borderId="0" applyFont="true" applyBorder="false" applyAlignment="true" applyProtection="false">
      <alignment horizontal="general" vertical="bottom" textRotation="0" wrapText="false" indent="0" shrinkToFit="false"/>
    </xf>
    <xf numFmtId="166" fontId="8" fillId="7" borderId="0" applyFont="true" applyBorder="false" applyAlignment="true" applyProtection="false">
      <alignment horizontal="general" vertical="bottom" textRotation="0" wrapText="false" indent="0" shrinkToFit="false"/>
    </xf>
    <xf numFmtId="166" fontId="8" fillId="7" borderId="0" applyFont="true" applyBorder="false" applyAlignment="true" applyProtection="false">
      <alignment horizontal="general" vertical="bottom" textRotation="0" wrapText="false" indent="0" shrinkToFit="false"/>
    </xf>
    <xf numFmtId="166" fontId="8" fillId="7" borderId="0" applyFont="true" applyBorder="false" applyAlignment="true" applyProtection="false">
      <alignment horizontal="general" vertical="bottom" textRotation="0" wrapText="false" indent="0" shrinkToFit="false"/>
    </xf>
    <xf numFmtId="166" fontId="8" fillId="7" borderId="0" applyFont="true" applyBorder="false" applyAlignment="true" applyProtection="false">
      <alignment horizontal="general" vertical="bottom" textRotation="0" wrapText="false" indent="0" shrinkToFit="false"/>
    </xf>
    <xf numFmtId="166" fontId="8" fillId="8" borderId="0" applyFont="true" applyBorder="false" applyAlignment="true" applyProtection="false">
      <alignment horizontal="general" vertical="bottom" textRotation="0" wrapText="false" indent="0" shrinkToFit="false"/>
    </xf>
    <xf numFmtId="166" fontId="8" fillId="8" borderId="0" applyFont="true" applyBorder="false" applyAlignment="true" applyProtection="false">
      <alignment horizontal="general" vertical="bottom" textRotation="0" wrapText="false" indent="0" shrinkToFit="false"/>
    </xf>
    <xf numFmtId="166" fontId="8" fillId="8" borderId="0" applyFont="true" applyBorder="false" applyAlignment="true" applyProtection="false">
      <alignment horizontal="general" vertical="bottom" textRotation="0" wrapText="false" indent="0" shrinkToFit="false"/>
    </xf>
    <xf numFmtId="166" fontId="8" fillId="8" borderId="0" applyFont="true" applyBorder="false" applyAlignment="true" applyProtection="false">
      <alignment horizontal="general" vertical="bottom" textRotation="0" wrapText="false" indent="0" shrinkToFit="false"/>
    </xf>
    <xf numFmtId="166" fontId="8" fillId="8" borderId="0" applyFont="true" applyBorder="false" applyAlignment="true" applyProtection="false">
      <alignment horizontal="general" vertical="bottom" textRotation="0" wrapText="false" indent="0" shrinkToFit="false"/>
    </xf>
    <xf numFmtId="166" fontId="8" fillId="4" borderId="0" applyFont="true" applyBorder="false" applyAlignment="true" applyProtection="false">
      <alignment horizontal="general" vertical="bottom" textRotation="0" wrapText="false" indent="0" shrinkToFit="false"/>
    </xf>
    <xf numFmtId="166" fontId="8" fillId="4" borderId="0" applyFont="true" applyBorder="false" applyAlignment="true" applyProtection="false">
      <alignment horizontal="general" vertical="bottom" textRotation="0" wrapText="false" indent="0" shrinkToFit="false"/>
    </xf>
    <xf numFmtId="166" fontId="8" fillId="4" borderId="0" applyFont="true" applyBorder="false" applyAlignment="true" applyProtection="false">
      <alignment horizontal="general" vertical="bottom" textRotation="0" wrapText="false" indent="0" shrinkToFit="false"/>
    </xf>
    <xf numFmtId="166" fontId="8" fillId="4" borderId="0" applyFont="true" applyBorder="false" applyAlignment="true" applyProtection="false">
      <alignment horizontal="general" vertical="bottom" textRotation="0" wrapText="false" indent="0" shrinkToFit="false"/>
    </xf>
    <xf numFmtId="166" fontId="8" fillId="4" borderId="0" applyFont="true" applyBorder="false" applyAlignment="true" applyProtection="false">
      <alignment horizontal="general" vertical="bottom" textRotation="0" wrapText="false" indent="0" shrinkToFit="false"/>
    </xf>
    <xf numFmtId="166" fontId="8" fillId="9" borderId="0" applyFont="true" applyBorder="false" applyAlignment="true" applyProtection="false">
      <alignment horizontal="general" vertical="bottom" textRotation="0" wrapText="false" indent="0" shrinkToFit="false"/>
    </xf>
    <xf numFmtId="166" fontId="8" fillId="9" borderId="0" applyFont="true" applyBorder="false" applyAlignment="true" applyProtection="false">
      <alignment horizontal="general" vertical="bottom" textRotation="0" wrapText="false" indent="0" shrinkToFit="false"/>
    </xf>
    <xf numFmtId="166" fontId="8" fillId="9" borderId="0" applyFont="true" applyBorder="false" applyAlignment="true" applyProtection="false">
      <alignment horizontal="general" vertical="bottom" textRotation="0" wrapText="false" indent="0" shrinkToFit="false"/>
    </xf>
    <xf numFmtId="166" fontId="8" fillId="9" borderId="0" applyFont="true" applyBorder="false" applyAlignment="true" applyProtection="false">
      <alignment horizontal="general" vertical="bottom" textRotation="0" wrapText="false" indent="0" shrinkToFit="false"/>
    </xf>
    <xf numFmtId="166" fontId="8" fillId="9" borderId="0" applyFont="true" applyBorder="false" applyAlignment="true" applyProtection="false">
      <alignment horizontal="general" vertical="bottom" textRotation="0" wrapText="false" indent="0" shrinkToFit="false"/>
    </xf>
    <xf numFmtId="166" fontId="8" fillId="10" borderId="0" applyFont="true" applyBorder="false" applyAlignment="true" applyProtection="false">
      <alignment horizontal="general" vertical="bottom" textRotation="0" wrapText="false" indent="0" shrinkToFit="false"/>
    </xf>
    <xf numFmtId="166" fontId="8" fillId="10" borderId="0" applyFont="true" applyBorder="false" applyAlignment="true" applyProtection="false">
      <alignment horizontal="general" vertical="bottom" textRotation="0" wrapText="false" indent="0" shrinkToFit="false"/>
    </xf>
    <xf numFmtId="166" fontId="8" fillId="11" borderId="0" applyFont="true" applyBorder="false" applyAlignment="true" applyProtection="false">
      <alignment horizontal="general" vertical="bottom" textRotation="0" wrapText="false" indent="0" shrinkToFit="false"/>
    </xf>
    <xf numFmtId="166" fontId="8" fillId="11" borderId="0" applyFont="true" applyBorder="false" applyAlignment="true" applyProtection="false">
      <alignment horizontal="general" vertical="bottom" textRotation="0" wrapText="false" indent="0" shrinkToFit="false"/>
    </xf>
    <xf numFmtId="166" fontId="8" fillId="12" borderId="0" applyFont="true" applyBorder="false" applyAlignment="true" applyProtection="false">
      <alignment horizontal="general" vertical="bottom" textRotation="0" wrapText="false" indent="0" shrinkToFit="false"/>
    </xf>
    <xf numFmtId="166" fontId="8" fillId="12" borderId="0" applyFont="true" applyBorder="false" applyAlignment="true" applyProtection="false">
      <alignment horizontal="general" vertical="bottom" textRotation="0" wrapText="false" indent="0" shrinkToFit="false"/>
    </xf>
    <xf numFmtId="166" fontId="8" fillId="8" borderId="0" applyFont="true" applyBorder="false" applyAlignment="true" applyProtection="false">
      <alignment horizontal="general" vertical="bottom" textRotation="0" wrapText="false" indent="0" shrinkToFit="false"/>
    </xf>
    <xf numFmtId="166" fontId="8" fillId="8" borderId="0" applyFont="true" applyBorder="false" applyAlignment="true" applyProtection="false">
      <alignment horizontal="general" vertical="bottom" textRotation="0" wrapText="false" indent="0" shrinkToFit="false"/>
    </xf>
    <xf numFmtId="166" fontId="8" fillId="10" borderId="0" applyFont="true" applyBorder="false" applyAlignment="true" applyProtection="false">
      <alignment horizontal="general" vertical="bottom" textRotation="0" wrapText="false" indent="0" shrinkToFit="false"/>
    </xf>
    <xf numFmtId="166" fontId="8" fillId="10" borderId="0" applyFont="true" applyBorder="false" applyAlignment="true" applyProtection="false">
      <alignment horizontal="general" vertical="bottom" textRotation="0" wrapText="false" indent="0" shrinkToFit="false"/>
    </xf>
    <xf numFmtId="166" fontId="8" fillId="13" borderId="0" applyFont="true" applyBorder="false" applyAlignment="true" applyProtection="false">
      <alignment horizontal="general" vertical="bottom" textRotation="0" wrapText="false" indent="0" shrinkToFit="false"/>
    </xf>
    <xf numFmtId="166" fontId="8" fillId="13" borderId="0" applyFont="true" applyBorder="false" applyAlignment="true" applyProtection="false">
      <alignment horizontal="general" vertical="bottom" textRotation="0" wrapText="false" indent="0" shrinkToFit="false"/>
    </xf>
    <xf numFmtId="166" fontId="8" fillId="10" borderId="0" applyFont="true" applyBorder="false" applyAlignment="true" applyProtection="false">
      <alignment horizontal="general" vertical="bottom" textRotation="0" wrapText="false" indent="0" shrinkToFit="false"/>
    </xf>
    <xf numFmtId="166" fontId="8" fillId="10" borderId="0" applyFont="true" applyBorder="false" applyAlignment="true" applyProtection="false">
      <alignment horizontal="general" vertical="bottom" textRotation="0" wrapText="false" indent="0" shrinkToFit="false"/>
    </xf>
    <xf numFmtId="166" fontId="8" fillId="10" borderId="0" applyFont="true" applyBorder="false" applyAlignment="true" applyProtection="false">
      <alignment horizontal="general" vertical="bottom" textRotation="0" wrapText="false" indent="0" shrinkToFit="false"/>
    </xf>
    <xf numFmtId="166" fontId="8" fillId="10" borderId="0" applyFont="true" applyBorder="false" applyAlignment="true" applyProtection="false">
      <alignment horizontal="general" vertical="bottom" textRotation="0" wrapText="false" indent="0" shrinkToFit="false"/>
    </xf>
    <xf numFmtId="166" fontId="8" fillId="10" borderId="0" applyFont="true" applyBorder="false" applyAlignment="true" applyProtection="false">
      <alignment horizontal="general" vertical="bottom" textRotation="0" wrapText="false" indent="0" shrinkToFit="false"/>
    </xf>
    <xf numFmtId="166" fontId="8" fillId="11" borderId="0" applyFont="true" applyBorder="false" applyAlignment="true" applyProtection="false">
      <alignment horizontal="general" vertical="bottom" textRotation="0" wrapText="false" indent="0" shrinkToFit="false"/>
    </xf>
    <xf numFmtId="166" fontId="8" fillId="11" borderId="0" applyFont="true" applyBorder="false" applyAlignment="true" applyProtection="false">
      <alignment horizontal="general" vertical="bottom" textRotation="0" wrapText="false" indent="0" shrinkToFit="false"/>
    </xf>
    <xf numFmtId="166" fontId="8" fillId="11" borderId="0" applyFont="true" applyBorder="false" applyAlignment="true" applyProtection="false">
      <alignment horizontal="general" vertical="bottom" textRotation="0" wrapText="false" indent="0" shrinkToFit="false"/>
    </xf>
    <xf numFmtId="166" fontId="8" fillId="11" borderId="0" applyFont="true" applyBorder="false" applyAlignment="true" applyProtection="false">
      <alignment horizontal="general" vertical="bottom" textRotation="0" wrapText="false" indent="0" shrinkToFit="false"/>
    </xf>
    <xf numFmtId="166" fontId="8" fillId="11" borderId="0" applyFont="true" applyBorder="false" applyAlignment="true" applyProtection="false">
      <alignment horizontal="general" vertical="bottom" textRotation="0" wrapText="false" indent="0" shrinkToFit="false"/>
    </xf>
    <xf numFmtId="166" fontId="8" fillId="12" borderId="0" applyFont="true" applyBorder="false" applyAlignment="true" applyProtection="false">
      <alignment horizontal="general" vertical="bottom" textRotation="0" wrapText="false" indent="0" shrinkToFit="false"/>
    </xf>
    <xf numFmtId="166" fontId="8" fillId="12" borderId="0" applyFont="true" applyBorder="false" applyAlignment="true" applyProtection="false">
      <alignment horizontal="general" vertical="bottom" textRotation="0" wrapText="false" indent="0" shrinkToFit="false"/>
    </xf>
    <xf numFmtId="166" fontId="8" fillId="12" borderId="0" applyFont="true" applyBorder="false" applyAlignment="true" applyProtection="false">
      <alignment horizontal="general" vertical="bottom" textRotation="0" wrapText="false" indent="0" shrinkToFit="false"/>
    </xf>
    <xf numFmtId="166" fontId="8" fillId="12" borderId="0" applyFont="true" applyBorder="false" applyAlignment="true" applyProtection="false">
      <alignment horizontal="general" vertical="bottom" textRotation="0" wrapText="false" indent="0" shrinkToFit="false"/>
    </xf>
    <xf numFmtId="166" fontId="8" fillId="12" borderId="0" applyFont="true" applyBorder="false" applyAlignment="true" applyProtection="false">
      <alignment horizontal="general" vertical="bottom" textRotation="0" wrapText="false" indent="0" shrinkToFit="false"/>
    </xf>
    <xf numFmtId="166" fontId="8" fillId="8" borderId="0" applyFont="true" applyBorder="false" applyAlignment="true" applyProtection="false">
      <alignment horizontal="general" vertical="bottom" textRotation="0" wrapText="false" indent="0" shrinkToFit="false"/>
    </xf>
    <xf numFmtId="166" fontId="8" fillId="8" borderId="0" applyFont="true" applyBorder="false" applyAlignment="true" applyProtection="false">
      <alignment horizontal="general" vertical="bottom" textRotation="0" wrapText="false" indent="0" shrinkToFit="false"/>
    </xf>
    <xf numFmtId="166" fontId="8" fillId="8" borderId="0" applyFont="true" applyBorder="false" applyAlignment="true" applyProtection="false">
      <alignment horizontal="general" vertical="bottom" textRotation="0" wrapText="false" indent="0" shrinkToFit="false"/>
    </xf>
    <xf numFmtId="166" fontId="8" fillId="8" borderId="0" applyFont="true" applyBorder="false" applyAlignment="true" applyProtection="false">
      <alignment horizontal="general" vertical="bottom" textRotation="0" wrapText="false" indent="0" shrinkToFit="false"/>
    </xf>
    <xf numFmtId="166" fontId="8" fillId="8" borderId="0" applyFont="true" applyBorder="false" applyAlignment="true" applyProtection="false">
      <alignment horizontal="general" vertical="bottom" textRotation="0" wrapText="false" indent="0" shrinkToFit="false"/>
    </xf>
    <xf numFmtId="166" fontId="8" fillId="10" borderId="0" applyFont="true" applyBorder="false" applyAlignment="true" applyProtection="false">
      <alignment horizontal="general" vertical="bottom" textRotation="0" wrapText="false" indent="0" shrinkToFit="false"/>
    </xf>
    <xf numFmtId="166" fontId="8" fillId="10" borderId="0" applyFont="true" applyBorder="false" applyAlignment="true" applyProtection="false">
      <alignment horizontal="general" vertical="bottom" textRotation="0" wrapText="false" indent="0" shrinkToFit="false"/>
    </xf>
    <xf numFmtId="166" fontId="8" fillId="10" borderId="0" applyFont="true" applyBorder="false" applyAlignment="true" applyProtection="false">
      <alignment horizontal="general" vertical="bottom" textRotation="0" wrapText="false" indent="0" shrinkToFit="false"/>
    </xf>
    <xf numFmtId="166" fontId="8" fillId="10" borderId="0" applyFont="true" applyBorder="false" applyAlignment="true" applyProtection="false">
      <alignment horizontal="general" vertical="bottom" textRotation="0" wrapText="false" indent="0" shrinkToFit="false"/>
    </xf>
    <xf numFmtId="166" fontId="8" fillId="10" borderId="0" applyFont="true" applyBorder="false" applyAlignment="true" applyProtection="false">
      <alignment horizontal="general" vertical="bottom" textRotation="0" wrapText="false" indent="0" shrinkToFit="false"/>
    </xf>
    <xf numFmtId="166" fontId="8" fillId="13" borderId="0" applyFont="true" applyBorder="false" applyAlignment="true" applyProtection="false">
      <alignment horizontal="general" vertical="bottom" textRotation="0" wrapText="false" indent="0" shrinkToFit="false"/>
    </xf>
    <xf numFmtId="166" fontId="8" fillId="13" borderId="0" applyFont="true" applyBorder="false" applyAlignment="true" applyProtection="false">
      <alignment horizontal="general" vertical="bottom" textRotation="0" wrapText="false" indent="0" shrinkToFit="false"/>
    </xf>
    <xf numFmtId="166" fontId="8" fillId="13" borderId="0" applyFont="true" applyBorder="false" applyAlignment="true" applyProtection="false">
      <alignment horizontal="general" vertical="bottom" textRotation="0" wrapText="false" indent="0" shrinkToFit="false"/>
    </xf>
    <xf numFmtId="166" fontId="8" fillId="13" borderId="0" applyFont="true" applyBorder="false" applyAlignment="true" applyProtection="false">
      <alignment horizontal="general" vertical="bottom" textRotation="0" wrapText="false" indent="0" shrinkToFit="false"/>
    </xf>
    <xf numFmtId="166" fontId="8" fillId="13" borderId="0" applyFont="true" applyBorder="false" applyAlignment="true" applyProtection="false">
      <alignment horizontal="general" vertical="bottom" textRotation="0" wrapText="false" indent="0" shrinkToFit="false"/>
    </xf>
    <xf numFmtId="166" fontId="9" fillId="14" borderId="0" applyFont="true" applyBorder="false" applyAlignment="true" applyProtection="false">
      <alignment horizontal="general" vertical="bottom" textRotation="0" wrapText="false" indent="0" shrinkToFit="false"/>
    </xf>
    <xf numFmtId="166" fontId="9" fillId="14" borderId="0" applyFont="true" applyBorder="false" applyAlignment="true" applyProtection="false">
      <alignment horizontal="general" vertical="bottom" textRotation="0" wrapText="false" indent="0" shrinkToFit="false"/>
    </xf>
    <xf numFmtId="166" fontId="9" fillId="11" borderId="0" applyFont="true" applyBorder="false" applyAlignment="true" applyProtection="false">
      <alignment horizontal="general" vertical="bottom" textRotation="0" wrapText="false" indent="0" shrinkToFit="false"/>
    </xf>
    <xf numFmtId="166" fontId="9" fillId="11" borderId="0" applyFont="true" applyBorder="false" applyAlignment="true" applyProtection="false">
      <alignment horizontal="general" vertical="bottom" textRotation="0" wrapText="false" indent="0" shrinkToFit="false"/>
    </xf>
    <xf numFmtId="166" fontId="9" fillId="12" borderId="0" applyFont="true" applyBorder="false" applyAlignment="true" applyProtection="false">
      <alignment horizontal="general" vertical="bottom" textRotation="0" wrapText="false" indent="0" shrinkToFit="false"/>
    </xf>
    <xf numFmtId="166" fontId="9" fillId="12" borderId="0" applyFont="true" applyBorder="false" applyAlignment="true" applyProtection="false">
      <alignment horizontal="general" vertical="bottom" textRotation="0" wrapText="false" indent="0" shrinkToFit="false"/>
    </xf>
    <xf numFmtId="166" fontId="9" fillId="15" borderId="0" applyFont="true" applyBorder="false" applyAlignment="true" applyProtection="false">
      <alignment horizontal="general" vertical="bottom" textRotation="0" wrapText="false" indent="0" shrinkToFit="false"/>
    </xf>
    <xf numFmtId="166" fontId="9" fillId="15" borderId="0" applyFont="true" applyBorder="false" applyAlignment="true" applyProtection="false">
      <alignment horizontal="general" vertical="bottom" textRotation="0" wrapText="false" indent="0" shrinkToFit="false"/>
    </xf>
    <xf numFmtId="166" fontId="9" fillId="16" borderId="0" applyFont="true" applyBorder="false" applyAlignment="true" applyProtection="false">
      <alignment horizontal="general" vertical="bottom" textRotation="0" wrapText="false" indent="0" shrinkToFit="false"/>
    </xf>
    <xf numFmtId="166" fontId="9" fillId="16" borderId="0" applyFont="true" applyBorder="false" applyAlignment="true" applyProtection="false">
      <alignment horizontal="general" vertical="bottom" textRotation="0" wrapText="false" indent="0" shrinkToFit="false"/>
    </xf>
    <xf numFmtId="166" fontId="9" fillId="17" borderId="0" applyFont="true" applyBorder="false" applyAlignment="true" applyProtection="false">
      <alignment horizontal="general" vertical="bottom" textRotation="0" wrapText="false" indent="0" shrinkToFit="false"/>
    </xf>
    <xf numFmtId="166" fontId="9" fillId="17" borderId="0" applyFont="true" applyBorder="false" applyAlignment="true" applyProtection="false">
      <alignment horizontal="general" vertical="bottom" textRotation="0" wrapText="false" indent="0" shrinkToFit="false"/>
    </xf>
    <xf numFmtId="166" fontId="9" fillId="14" borderId="0" applyFont="true" applyBorder="false" applyAlignment="true" applyProtection="false">
      <alignment horizontal="general" vertical="bottom" textRotation="0" wrapText="false" indent="0" shrinkToFit="false"/>
    </xf>
    <xf numFmtId="166" fontId="9" fillId="14" borderId="0" applyFont="true" applyBorder="false" applyAlignment="true" applyProtection="false">
      <alignment horizontal="general" vertical="bottom" textRotation="0" wrapText="false" indent="0" shrinkToFit="false"/>
    </xf>
    <xf numFmtId="166" fontId="9" fillId="14" borderId="0" applyFont="true" applyBorder="false" applyAlignment="true" applyProtection="false">
      <alignment horizontal="general" vertical="bottom" textRotation="0" wrapText="false" indent="0" shrinkToFit="false"/>
    </xf>
    <xf numFmtId="166" fontId="9" fillId="14" borderId="0" applyFont="true" applyBorder="false" applyAlignment="true" applyProtection="false">
      <alignment horizontal="general" vertical="bottom" textRotation="0" wrapText="false" indent="0" shrinkToFit="false"/>
    </xf>
    <xf numFmtId="166" fontId="9" fillId="14" borderId="0" applyFont="true" applyBorder="false" applyAlignment="true" applyProtection="false">
      <alignment horizontal="general" vertical="bottom" textRotation="0" wrapText="false" indent="0" shrinkToFit="false"/>
    </xf>
    <xf numFmtId="166" fontId="9" fillId="11" borderId="0" applyFont="true" applyBorder="false" applyAlignment="true" applyProtection="false">
      <alignment horizontal="general" vertical="bottom" textRotation="0" wrapText="false" indent="0" shrinkToFit="false"/>
    </xf>
    <xf numFmtId="166" fontId="9" fillId="11" borderId="0" applyFont="true" applyBorder="false" applyAlignment="true" applyProtection="false">
      <alignment horizontal="general" vertical="bottom" textRotation="0" wrapText="false" indent="0" shrinkToFit="false"/>
    </xf>
    <xf numFmtId="166" fontId="9" fillId="11" borderId="0" applyFont="true" applyBorder="false" applyAlignment="true" applyProtection="false">
      <alignment horizontal="general" vertical="bottom" textRotation="0" wrapText="false" indent="0" shrinkToFit="false"/>
    </xf>
    <xf numFmtId="166" fontId="9" fillId="11" borderId="0" applyFont="true" applyBorder="false" applyAlignment="true" applyProtection="false">
      <alignment horizontal="general" vertical="bottom" textRotation="0" wrapText="false" indent="0" shrinkToFit="false"/>
    </xf>
    <xf numFmtId="166" fontId="9" fillId="11" borderId="0" applyFont="true" applyBorder="false" applyAlignment="true" applyProtection="false">
      <alignment horizontal="general" vertical="bottom" textRotation="0" wrapText="false" indent="0" shrinkToFit="false"/>
    </xf>
    <xf numFmtId="166" fontId="9" fillId="12" borderId="0" applyFont="true" applyBorder="false" applyAlignment="true" applyProtection="false">
      <alignment horizontal="general" vertical="bottom" textRotation="0" wrapText="false" indent="0" shrinkToFit="false"/>
    </xf>
    <xf numFmtId="166" fontId="9" fillId="12" borderId="0" applyFont="true" applyBorder="false" applyAlignment="true" applyProtection="false">
      <alignment horizontal="general" vertical="bottom" textRotation="0" wrapText="false" indent="0" shrinkToFit="false"/>
    </xf>
    <xf numFmtId="166" fontId="9" fillId="12" borderId="0" applyFont="true" applyBorder="false" applyAlignment="true" applyProtection="false">
      <alignment horizontal="general" vertical="bottom" textRotation="0" wrapText="false" indent="0" shrinkToFit="false"/>
    </xf>
    <xf numFmtId="166" fontId="9" fillId="12" borderId="0" applyFont="true" applyBorder="false" applyAlignment="true" applyProtection="false">
      <alignment horizontal="general" vertical="bottom" textRotation="0" wrapText="false" indent="0" shrinkToFit="false"/>
    </xf>
    <xf numFmtId="166" fontId="9" fillId="12" borderId="0" applyFont="true" applyBorder="false" applyAlignment="true" applyProtection="false">
      <alignment horizontal="general" vertical="bottom" textRotation="0" wrapText="false" indent="0" shrinkToFit="false"/>
    </xf>
    <xf numFmtId="166" fontId="9" fillId="15" borderId="0" applyFont="true" applyBorder="false" applyAlignment="true" applyProtection="false">
      <alignment horizontal="general" vertical="bottom" textRotation="0" wrapText="false" indent="0" shrinkToFit="false"/>
    </xf>
    <xf numFmtId="166" fontId="9" fillId="15" borderId="0" applyFont="true" applyBorder="false" applyAlignment="true" applyProtection="false">
      <alignment horizontal="general" vertical="bottom" textRotation="0" wrapText="false" indent="0" shrinkToFit="false"/>
    </xf>
    <xf numFmtId="166" fontId="9" fillId="15" borderId="0" applyFont="true" applyBorder="false" applyAlignment="true" applyProtection="false">
      <alignment horizontal="general" vertical="bottom" textRotation="0" wrapText="false" indent="0" shrinkToFit="false"/>
    </xf>
    <xf numFmtId="166" fontId="9" fillId="15" borderId="0" applyFont="true" applyBorder="false" applyAlignment="true" applyProtection="false">
      <alignment horizontal="general" vertical="bottom" textRotation="0" wrapText="false" indent="0" shrinkToFit="false"/>
    </xf>
    <xf numFmtId="166" fontId="9" fillId="15" borderId="0" applyFont="true" applyBorder="false" applyAlignment="true" applyProtection="false">
      <alignment horizontal="general" vertical="bottom" textRotation="0" wrapText="false" indent="0" shrinkToFit="false"/>
    </xf>
    <xf numFmtId="166" fontId="9" fillId="16" borderId="0" applyFont="true" applyBorder="false" applyAlignment="true" applyProtection="false">
      <alignment horizontal="general" vertical="bottom" textRotation="0" wrapText="false" indent="0" shrinkToFit="false"/>
    </xf>
    <xf numFmtId="166" fontId="9" fillId="16" borderId="0" applyFont="true" applyBorder="false" applyAlignment="true" applyProtection="false">
      <alignment horizontal="general" vertical="bottom" textRotation="0" wrapText="false" indent="0" shrinkToFit="false"/>
    </xf>
    <xf numFmtId="166" fontId="9" fillId="16" borderId="0" applyFont="true" applyBorder="false" applyAlignment="true" applyProtection="false">
      <alignment horizontal="general" vertical="bottom" textRotation="0" wrapText="false" indent="0" shrinkToFit="false"/>
    </xf>
    <xf numFmtId="166" fontId="9" fillId="16" borderId="0" applyFont="true" applyBorder="false" applyAlignment="true" applyProtection="false">
      <alignment horizontal="general" vertical="bottom" textRotation="0" wrapText="false" indent="0" shrinkToFit="false"/>
    </xf>
    <xf numFmtId="166" fontId="9" fillId="16" borderId="0" applyFont="true" applyBorder="false" applyAlignment="true" applyProtection="false">
      <alignment horizontal="general" vertical="bottom" textRotation="0" wrapText="false" indent="0" shrinkToFit="false"/>
    </xf>
    <xf numFmtId="166" fontId="9" fillId="17" borderId="0" applyFont="true" applyBorder="false" applyAlignment="true" applyProtection="false">
      <alignment horizontal="general" vertical="bottom" textRotation="0" wrapText="false" indent="0" shrinkToFit="false"/>
    </xf>
    <xf numFmtId="166" fontId="9" fillId="17" borderId="0" applyFont="true" applyBorder="false" applyAlignment="true" applyProtection="false">
      <alignment horizontal="general" vertical="bottom" textRotation="0" wrapText="false" indent="0" shrinkToFit="false"/>
    </xf>
    <xf numFmtId="166" fontId="9" fillId="17" borderId="0" applyFont="true" applyBorder="false" applyAlignment="true" applyProtection="false">
      <alignment horizontal="general" vertical="bottom" textRotation="0" wrapText="false" indent="0" shrinkToFit="false"/>
    </xf>
    <xf numFmtId="166" fontId="9" fillId="17" borderId="0" applyFont="true" applyBorder="false" applyAlignment="true" applyProtection="false">
      <alignment horizontal="general" vertical="bottom" textRotation="0" wrapText="false" indent="0" shrinkToFit="false"/>
    </xf>
    <xf numFmtId="166" fontId="9" fillId="17" borderId="0" applyFont="true" applyBorder="false" applyAlignment="true" applyProtection="false">
      <alignment horizontal="general" vertical="bottom" textRotation="0" wrapText="false" indent="0" shrinkToFit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82"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10" fontId="8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10" fontId="8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10" fontId="8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14" fontId="0" fillId="1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1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21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1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1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14" fontId="7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1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19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2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21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21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1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1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1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14" fontId="125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5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20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19" fontId="7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7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7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7" fillId="1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7" fillId="1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1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1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7" fillId="21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7" fillId="1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7" fillId="1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7" fillId="18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77" fillId="18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7" fillId="18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7" fillId="18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7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1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7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0" fillId="0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27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27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28" fillId="2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0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30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31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32" fillId="23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3" fillId="23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4" fillId="2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34" fillId="2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22" fontId="69" fillId="2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23" fontId="69" fillId="22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69" fillId="2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24" fontId="69" fillId="22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25" fontId="69" fillId="22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18" fontId="69" fillId="22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5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3" fontId="135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24" fontId="69" fillId="0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6" fillId="22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36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24" fontId="127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16" fontId="135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26" fontId="134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23" fontId="137" fillId="22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23" fontId="69" fillId="0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8" fillId="2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227" fontId="135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21" fontId="135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38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11" fontId="135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25" fontId="134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25" fontId="135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39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40" fillId="22" borderId="1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31" fillId="2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1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21" fontId="141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25" fontId="142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36" fillId="2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23" fontId="132" fillId="23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24" fontId="132" fillId="23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25" fontId="132" fillId="23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28" fontId="135" fillId="2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218" fontId="134" fillId="22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218" fontId="135" fillId="22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218" fontId="127" fillId="22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95" fontId="127" fillId="22" borderId="0" xfId="1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43" fillId="23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23" fontId="143" fillId="23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24" fontId="143" fillId="23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25" fontId="143" fillId="23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44" fillId="2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219" fontId="127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21" fontId="145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25" fontId="143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28" fontId="145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44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46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18" fontId="143" fillId="22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7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4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4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4" xfId="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149" fillId="0" borderId="15" xfId="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149" fillId="0" borderId="16" xfId="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14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1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149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9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9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6" xfId="0" applyFont="true" applyBorder="true" applyAlignment="true" applyProtection="false">
      <alignment horizontal="left" vertical="bottom" textRotation="0" wrapText="false" indent="3" shrinkToFit="false"/>
      <protection locked="true" hidden="false"/>
    </xf>
    <xf numFmtId="173" fontId="4" fillId="0" borderId="6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54" fillId="0" borderId="8" xfId="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15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3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22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5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15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29" fontId="15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5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0" fontId="15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220" fontId="15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54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219" fontId="154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154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73" fontId="154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229" fontId="154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231" fontId="15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15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0" fontId="153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220" fontId="153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219" fontId="153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15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54" fillId="0" borderId="2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15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54" fillId="21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0" fontId="154" fillId="21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220" fontId="154" fillId="21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54" fillId="21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219" fontId="154" fillId="21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154" fillId="21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73" fontId="154" fillId="21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15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5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15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90" fontId="15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5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5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7" fillId="0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7" fillId="0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90" fontId="157" fillId="0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8" fillId="21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7" fillId="21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7" fillId="21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5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5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55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73" fontId="155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232" fontId="15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3" fontId="15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5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90" fontId="15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5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234" fontId="15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95" fontId="155" fillId="0" borderId="0" xfId="1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161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32" fillId="24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3" fillId="24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2" fillId="2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5" fillId="2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27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3" fontId="69" fillId="2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23" fontId="69" fillId="2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24" fontId="69" fillId="0" borderId="2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13" fontId="69" fillId="22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13" fontId="69" fillId="22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224" fontId="162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16" fontId="127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26" fontId="145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21" fontId="127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11" fontId="127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13" fontId="134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15" fontId="134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15" fontId="145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23" fontId="132" fillId="24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24" fontId="132" fillId="24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25" fontId="132" fillId="24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25" fontId="132" fillId="24" borderId="2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35" fontId="127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45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13" fontId="145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36" fontId="145" fillId="2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211" fontId="127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54" fillId="2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154" fillId="2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5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15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54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73" fontId="134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22" fontId="69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9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25" fontId="69" fillId="0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6" fillId="2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224" fontId="127" fillId="0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25" fontId="69" fillId="0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63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24" fontId="146" fillId="0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25" fontId="146" fillId="0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235" fontId="135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2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64" fillId="2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136" fillId="2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225" fontId="127" fillId="0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224" fontId="139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28" fontId="145" fillId="2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223" fontId="132" fillId="25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24" fontId="132" fillId="25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25" fontId="132" fillId="25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25" fontId="69" fillId="2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5" fillId="2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166" fillId="2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16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25" fontId="132" fillId="23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8" fillId="23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7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22" fontId="169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23" fontId="169" fillId="0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69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24" fontId="169" fillId="0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25" fontId="169" fillId="0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25" fontId="169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0" fillId="2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171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7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24" fontId="173" fillId="0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43" fillId="22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18" fontId="134" fillId="22" borderId="1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27" fillId="22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25" fontId="168" fillId="23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7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24" fontId="67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44" fillId="2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25" fontId="69" fillId="22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62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27" fillId="21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37" fontId="69" fillId="22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24" fontId="127" fillId="22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225" fontId="127" fillId="0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9" fillId="2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174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38" fontId="13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13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13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238" fontId="139" fillId="2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16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223" fontId="132" fillId="23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8" fillId="2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237" fontId="69" fillId="0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75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54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6" fontId="154" fillId="26" borderId="2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220" fontId="62" fillId="0" borderId="29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6" fontId="62" fillId="0" borderId="2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176" fillId="0" borderId="2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62" fillId="0" borderId="29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5" fontId="177" fillId="27" borderId="29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220" fontId="62" fillId="0" borderId="29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6" fontId="62" fillId="0" borderId="29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220" fontId="62" fillId="28" borderId="29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6" fontId="62" fillId="28" borderId="2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176" fillId="28" borderId="2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62" fillId="28" borderId="29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5" fontId="177" fillId="28" borderId="29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220" fontId="62" fillId="28" borderId="29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6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4" fillId="26" borderId="29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54" fillId="26" borderId="29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5" fontId="177" fillId="21" borderId="29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225" fontId="146" fillId="0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78" fillId="2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79" fillId="2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221" fontId="180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25" fontId="181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82" fillId="2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225" fontId="145" fillId="2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3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18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39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218" fontId="1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8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2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21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218" fontId="0" fillId="2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1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239" fontId="0" fillId="2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4730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% выполнения" xfId="20"/>
    <cellStyle name="0,00;0;" xfId="21"/>
    <cellStyle name="0,00;0; 1" xfId="22"/>
    <cellStyle name="0,00;0; 1 2" xfId="23"/>
    <cellStyle name="0,00;0; 2" xfId="24"/>
    <cellStyle name="0,00;0; 2 2" xfId="25"/>
    <cellStyle name="0,00;0; 3" xfId="26"/>
    <cellStyle name="0,00;0; 3 2" xfId="27"/>
    <cellStyle name="0,00;0; 4" xfId="28"/>
    <cellStyle name="0,00;0;_АГМ" xfId="29"/>
    <cellStyle name="1Normal" xfId="30"/>
    <cellStyle name="1Normal 1" xfId="31"/>
    <cellStyle name="1Normal 1 2" xfId="32"/>
    <cellStyle name="1Normal 2" xfId="33"/>
    <cellStyle name="1Normal 2 2" xfId="34"/>
    <cellStyle name="1Normal 3" xfId="35"/>
    <cellStyle name="1Normal 3 2" xfId="36"/>
    <cellStyle name="1Normal_АГМ" xfId="37"/>
    <cellStyle name="20% - Accent1" xfId="38"/>
    <cellStyle name="20% - Accent1 2" xfId="39"/>
    <cellStyle name="20% - Accent2" xfId="40"/>
    <cellStyle name="20% - Accent2 2" xfId="41"/>
    <cellStyle name="20% - Accent3" xfId="42"/>
    <cellStyle name="20% - Accent3 2" xfId="43"/>
    <cellStyle name="20% - Accent4" xfId="44"/>
    <cellStyle name="20% - Accent4 2" xfId="45"/>
    <cellStyle name="20% - Accent5" xfId="46"/>
    <cellStyle name="20% - Accent5 2" xfId="47"/>
    <cellStyle name="20% - Accent6" xfId="48"/>
    <cellStyle name="20% - Accent6 2" xfId="49"/>
    <cellStyle name="20% - Акцент1 1" xfId="50"/>
    <cellStyle name="20% - Акцент1 2" xfId="51"/>
    <cellStyle name="20% - Акцент1 2 2" xfId="52"/>
    <cellStyle name="20% - Акцент1 3" xfId="53"/>
    <cellStyle name="20% - Акцент1 4" xfId="54"/>
    <cellStyle name="20% - Акцент2 1" xfId="55"/>
    <cellStyle name="20% - Акцент2 2" xfId="56"/>
    <cellStyle name="20% - Акцент2 2 2" xfId="57"/>
    <cellStyle name="20% - Акцент2 3" xfId="58"/>
    <cellStyle name="20% - Акцент2 4" xfId="59"/>
    <cellStyle name="20% - Акцент3 1" xfId="60"/>
    <cellStyle name="20% - Акцент3 2" xfId="61"/>
    <cellStyle name="20% - Акцент3 2 2" xfId="62"/>
    <cellStyle name="20% - Акцент3 3" xfId="63"/>
    <cellStyle name="20% - Акцент3 4" xfId="64"/>
    <cellStyle name="20% - Акцент4 1" xfId="65"/>
    <cellStyle name="20% - Акцент4 2" xfId="66"/>
    <cellStyle name="20% - Акцент4 2 2" xfId="67"/>
    <cellStyle name="20% - Акцент4 3" xfId="68"/>
    <cellStyle name="20% - Акцент4 4" xfId="69"/>
    <cellStyle name="20% - Акцент5 1" xfId="70"/>
    <cellStyle name="20% - Акцент5 2" xfId="71"/>
    <cellStyle name="20% - Акцент5 2 2" xfId="72"/>
    <cellStyle name="20% - Акцент5 3" xfId="73"/>
    <cellStyle name="20% - Акцент5 4" xfId="74"/>
    <cellStyle name="20% - Акцент6 1" xfId="75"/>
    <cellStyle name="20% - Акцент6 2" xfId="76"/>
    <cellStyle name="20% - Акцент6 2 2" xfId="77"/>
    <cellStyle name="20% - Акцент6 3" xfId="78"/>
    <cellStyle name="20% - Акцент6 4" xfId="79"/>
    <cellStyle name="40% - Accent1" xfId="80"/>
    <cellStyle name="40% - Accent1 2" xfId="81"/>
    <cellStyle name="40% - Accent2" xfId="82"/>
    <cellStyle name="40% - Accent2 2" xfId="83"/>
    <cellStyle name="40% - Accent3" xfId="84"/>
    <cellStyle name="40% - Accent3 2" xfId="85"/>
    <cellStyle name="40% - Accent4" xfId="86"/>
    <cellStyle name="40% - Accent4 2" xfId="87"/>
    <cellStyle name="40% - Accent5" xfId="88"/>
    <cellStyle name="40% - Accent5 2" xfId="89"/>
    <cellStyle name="40% - Accent6" xfId="90"/>
    <cellStyle name="40% - Accent6 2" xfId="91"/>
    <cellStyle name="40% - Акцент1 1" xfId="92"/>
    <cellStyle name="40% - Акцент1 2" xfId="93"/>
    <cellStyle name="40% - Акцент1 2 2" xfId="94"/>
    <cellStyle name="40% - Акцент1 3" xfId="95"/>
    <cellStyle name="40% - Акцент1 4" xfId="96"/>
    <cellStyle name="40% - Акцент2 1" xfId="97"/>
    <cellStyle name="40% - Акцент2 2" xfId="98"/>
    <cellStyle name="40% - Акцент2 2 2" xfId="99"/>
    <cellStyle name="40% - Акцент2 3" xfId="100"/>
    <cellStyle name="40% - Акцент2 4" xfId="101"/>
    <cellStyle name="40% - Акцент3 1" xfId="102"/>
    <cellStyle name="40% - Акцент3 2" xfId="103"/>
    <cellStyle name="40% - Акцент3 2 2" xfId="104"/>
    <cellStyle name="40% - Акцент3 3" xfId="105"/>
    <cellStyle name="40% - Акцент3 4" xfId="106"/>
    <cellStyle name="40% - Акцент4 1" xfId="107"/>
    <cellStyle name="40% - Акцент4 2" xfId="108"/>
    <cellStyle name="40% - Акцент4 2 2" xfId="109"/>
    <cellStyle name="40% - Акцент4 3" xfId="110"/>
    <cellStyle name="40% - Акцент4 4" xfId="111"/>
    <cellStyle name="40% - Акцент5 1" xfId="112"/>
    <cellStyle name="40% - Акцент5 2" xfId="113"/>
    <cellStyle name="40% - Акцент5 2 2" xfId="114"/>
    <cellStyle name="40% - Акцент5 3" xfId="115"/>
    <cellStyle name="40% - Акцент5 4" xfId="116"/>
    <cellStyle name="40% - Акцент6 1" xfId="117"/>
    <cellStyle name="40% - Акцент6 2" xfId="118"/>
    <cellStyle name="40% - Акцент6 2 2" xfId="119"/>
    <cellStyle name="40% - Акцент6 3" xfId="120"/>
    <cellStyle name="40% - Акцент6 4" xfId="121"/>
    <cellStyle name="60% - Accent1" xfId="122"/>
    <cellStyle name="60% - Accent1 2" xfId="123"/>
    <cellStyle name="60% - Accent2" xfId="124"/>
    <cellStyle name="60% - Accent2 2" xfId="125"/>
    <cellStyle name="60% - Accent3" xfId="126"/>
    <cellStyle name="60% - Accent3 2" xfId="127"/>
    <cellStyle name="60% - Accent4" xfId="128"/>
    <cellStyle name="60% - Accent4 2" xfId="129"/>
    <cellStyle name="60% - Accent5" xfId="130"/>
    <cellStyle name="60% - Accent5 2" xfId="131"/>
    <cellStyle name="60% - Accent6" xfId="132"/>
    <cellStyle name="60% - Accent6 2" xfId="133"/>
    <cellStyle name="60% - Акцент1 1" xfId="134"/>
    <cellStyle name="60% - Акцент1 2" xfId="135"/>
    <cellStyle name="60% - Акцент1 2 2" xfId="136"/>
    <cellStyle name="60% - Акцент1 3" xfId="137"/>
    <cellStyle name="60% - Акцент1 4" xfId="138"/>
    <cellStyle name="60% - Акцент2 1" xfId="139"/>
    <cellStyle name="60% - Акцент2 2" xfId="140"/>
    <cellStyle name="60% - Акцент2 2 2" xfId="141"/>
    <cellStyle name="60% - Акцент2 3" xfId="142"/>
    <cellStyle name="60% - Акцент2 4" xfId="143"/>
    <cellStyle name="60% - Акцент3 1" xfId="144"/>
    <cellStyle name="60% - Акцент3 2" xfId="145"/>
    <cellStyle name="60% - Акцент3 2 2" xfId="146"/>
    <cellStyle name="60% - Акцент3 3" xfId="147"/>
    <cellStyle name="60% - Акцент3 4" xfId="148"/>
    <cellStyle name="60% - Акцент4 1" xfId="149"/>
    <cellStyle name="60% - Акцент4 2" xfId="150"/>
    <cellStyle name="60% - Акцент4 2 2" xfId="151"/>
    <cellStyle name="60% - Акцент4 3" xfId="152"/>
    <cellStyle name="60% - Акцент4 4" xfId="153"/>
    <cellStyle name="60% - Акцент5 1" xfId="154"/>
    <cellStyle name="60% - Акцент5 2" xfId="155"/>
    <cellStyle name="60% - Акцент5 2 2" xfId="156"/>
    <cellStyle name="60% - Акцент5 3" xfId="157"/>
    <cellStyle name="60% - Акцент5 4" xfId="158"/>
    <cellStyle name="60% - Акцент6 1" xfId="159"/>
    <cellStyle name="60% - Акцент6 2" xfId="160"/>
    <cellStyle name="60% - Акцент6 2 2" xfId="161"/>
    <cellStyle name="60% - Акцент6 3" xfId="162"/>
    <cellStyle name="60% - Акцент6 4" xfId="163"/>
    <cellStyle name="_FFF" xfId="164"/>
    <cellStyle name="_FFF 1" xfId="165"/>
    <cellStyle name="_FFF 1_Копия Растениеводство форма(Акционеры)" xfId="166"/>
    <cellStyle name="_FFF 1_М( ЗАР)" xfId="167"/>
    <cellStyle name="_FFF 1_Модель АгроГард на 5 лет" xfId="168"/>
    <cellStyle name="_FFF 1_Растениеводство форма( АГМ)" xfId="169"/>
    <cellStyle name="_FFF 1_Свод по Агрохоолдингу  (в т.ч КБН  )" xfId="170"/>
    <cellStyle name="_FFF 1_Форма по растениеводству (Акционеры) ИЛЧ" xfId="171"/>
    <cellStyle name="_FFF 1_раст.-факт" xfId="172"/>
    <cellStyle name="_FFF 2" xfId="173"/>
    <cellStyle name="_FFF 2_Копия Растениеводство форма(Акционеры)" xfId="174"/>
    <cellStyle name="_FFF 2_М( ЗАР)" xfId="175"/>
    <cellStyle name="_FFF 2_Модель АгроГард на 5 лет" xfId="176"/>
    <cellStyle name="_FFF 2_Растениеводство форма( АГМ)" xfId="177"/>
    <cellStyle name="_FFF 2_Свод по Агрохоолдингу  (в т.ч КБН  )" xfId="178"/>
    <cellStyle name="_FFF 2_Форма по растениеводству (Акционеры) ИЛЧ" xfId="179"/>
    <cellStyle name="_FFF 2_раст.-факт" xfId="180"/>
    <cellStyle name="_FFF 3" xfId="181"/>
    <cellStyle name="_FFF 3_Копия Растениеводство форма(Акционеры)" xfId="182"/>
    <cellStyle name="_FFF 3_М( ЗАР)" xfId="183"/>
    <cellStyle name="_FFF 3_Модель АгроГард на 5 лет" xfId="184"/>
    <cellStyle name="_FFF 3_Растениеводство форма( АГМ)" xfId="185"/>
    <cellStyle name="_FFF 3_Свод по Агрохоолдингу  (в т.ч КБН  )" xfId="186"/>
    <cellStyle name="_FFF 3_Форма по растениеводству (Акционеры) ИЛЧ" xfId="187"/>
    <cellStyle name="_FFF 3_раст.-факт" xfId="188"/>
    <cellStyle name="_FFF_New Form10_2" xfId="189"/>
    <cellStyle name="_FFF_New Form10_2 1" xfId="190"/>
    <cellStyle name="_FFF_New Form10_2 1_Копия Растениеводство форма(Акционеры)" xfId="191"/>
    <cellStyle name="_FFF_New Form10_2 1_М( ЗАР)" xfId="192"/>
    <cellStyle name="_FFF_New Form10_2 1_Модель АгроГард на 5 лет" xfId="193"/>
    <cellStyle name="_FFF_New Form10_2 1_Растениеводство форма( АГМ)" xfId="194"/>
    <cellStyle name="_FFF_New Form10_2 1_Свод по Агрохоолдингу  (в т.ч КБН  )" xfId="195"/>
    <cellStyle name="_FFF_New Form10_2 1_Форма по растениеводству (Акционеры) ИЛЧ" xfId="196"/>
    <cellStyle name="_FFF_New Form10_2 1_раст.-факт" xfId="197"/>
    <cellStyle name="_FFF_New Form10_2 2" xfId="198"/>
    <cellStyle name="_FFF_New Form10_2 2_Копия Растениеводство форма(Акционеры)" xfId="199"/>
    <cellStyle name="_FFF_New Form10_2 2_М( ЗАР)" xfId="200"/>
    <cellStyle name="_FFF_New Form10_2 2_Модель АгроГард на 5 лет" xfId="201"/>
    <cellStyle name="_FFF_New Form10_2 2_Растениеводство форма( АГМ)" xfId="202"/>
    <cellStyle name="_FFF_New Form10_2 2_Свод по Агрохоолдингу  (в т.ч КБН  )" xfId="203"/>
    <cellStyle name="_FFF_New Form10_2 2_Форма по растениеводству (Акционеры) ИЛЧ" xfId="204"/>
    <cellStyle name="_FFF_New Form10_2 2_раст.-факт" xfId="205"/>
    <cellStyle name="_FFF_New Form10_2 3" xfId="206"/>
    <cellStyle name="_FFF_New Form10_2 3_Копия Растениеводство форма(Акционеры)" xfId="207"/>
    <cellStyle name="_FFF_New Form10_2 3_М( ЗАР)" xfId="208"/>
    <cellStyle name="_FFF_New Form10_2 3_Модель АгроГард на 5 лет" xfId="209"/>
    <cellStyle name="_FFF_New Form10_2 3_Растениеводство форма( АГМ)" xfId="210"/>
    <cellStyle name="_FFF_New Form10_2 3_Свод по Агрохоолдингу  (в т.ч КБН  )" xfId="211"/>
    <cellStyle name="_FFF_New Form10_2 3_Форма по растениеводству (Акционеры) ИЛЧ" xfId="212"/>
    <cellStyle name="_FFF_New Form10_2 3_раст.-факт" xfId="213"/>
    <cellStyle name="_FFF_New Form10_2_АГМ" xfId="214"/>
    <cellStyle name="_FFF_New Form10_2_Копия Растениеводство форма(Акционеры)" xfId="215"/>
    <cellStyle name="_FFF_New Form10_2_М( ЗАР)" xfId="216"/>
    <cellStyle name="_FFF_New Form10_2_Модель АгроГард на 5 лет" xfId="217"/>
    <cellStyle name="_FFF_New Form10_2_НИК-09" xfId="218"/>
    <cellStyle name="_FFF_New Form10_2_НИК-09 2" xfId="219"/>
    <cellStyle name="_FFF_New Form10_2_Растениеводство форма( АГМ)" xfId="220"/>
    <cellStyle name="_FFF_New Form10_2_Свод по Агрохоолдингу  (в т.ч КБН  )" xfId="221"/>
    <cellStyle name="_FFF_New Form10_2_ТК-2011 АГМ+транспорт" xfId="222"/>
    <cellStyle name="_FFF_New Form10_2_Форма по растениеводству (Акционеры) ИЛЧ" xfId="223"/>
    <cellStyle name="_FFF_New Form10_2_раст.-факт" xfId="224"/>
    <cellStyle name="_FFF_Nsi" xfId="225"/>
    <cellStyle name="_FFF_Nsi 1" xfId="226"/>
    <cellStyle name="_FFF_Nsi 1_Копия Растениеводство форма(Акционеры)" xfId="227"/>
    <cellStyle name="_FFF_Nsi 1_М( ЗАР)" xfId="228"/>
    <cellStyle name="_FFF_Nsi 1_Модель АгроГард на 5 лет" xfId="229"/>
    <cellStyle name="_FFF_Nsi 1_Растениеводство форма( АГМ)" xfId="230"/>
    <cellStyle name="_FFF_Nsi 1_Свод по Агрохоолдингу  (в т.ч КБН  )" xfId="231"/>
    <cellStyle name="_FFF_Nsi 1_Форма по растениеводству (Акционеры) ИЛЧ" xfId="232"/>
    <cellStyle name="_FFF_Nsi 1_раст.-факт" xfId="233"/>
    <cellStyle name="_FFF_Nsi 2" xfId="234"/>
    <cellStyle name="_FFF_Nsi 2_Копия Растениеводство форма(Акционеры)" xfId="235"/>
    <cellStyle name="_FFF_Nsi 2_М( ЗАР)" xfId="236"/>
    <cellStyle name="_FFF_Nsi 2_Модель АгроГард на 5 лет" xfId="237"/>
    <cellStyle name="_FFF_Nsi 2_Растениеводство форма( АГМ)" xfId="238"/>
    <cellStyle name="_FFF_Nsi 2_Свод по Агрохоолдингу  (в т.ч КБН  )" xfId="239"/>
    <cellStyle name="_FFF_Nsi 2_Форма по растениеводству (Акционеры) ИЛЧ" xfId="240"/>
    <cellStyle name="_FFF_Nsi 2_раст.-факт" xfId="241"/>
    <cellStyle name="_FFF_Nsi 3" xfId="242"/>
    <cellStyle name="_FFF_Nsi 3_Копия Растениеводство форма(Акционеры)" xfId="243"/>
    <cellStyle name="_FFF_Nsi 3_М( ЗАР)" xfId="244"/>
    <cellStyle name="_FFF_Nsi 3_Модель АгроГард на 5 лет" xfId="245"/>
    <cellStyle name="_FFF_Nsi 3_Растениеводство форма( АГМ)" xfId="246"/>
    <cellStyle name="_FFF_Nsi 3_Свод по Агрохоолдингу  (в т.ч КБН  )" xfId="247"/>
    <cellStyle name="_FFF_Nsi 3_Форма по растениеводству (Акционеры) ИЛЧ" xfId="248"/>
    <cellStyle name="_FFF_Nsi 3_раст.-факт" xfId="249"/>
    <cellStyle name="_FFF_Nsi_1" xfId="250"/>
    <cellStyle name="_FFF_Nsi_1 1" xfId="251"/>
    <cellStyle name="_FFF_Nsi_1 1_Копия Растениеводство форма(Акционеры)" xfId="252"/>
    <cellStyle name="_FFF_Nsi_1 1_М( ЗАР)" xfId="253"/>
    <cellStyle name="_FFF_Nsi_1 1_Модель АгроГард на 5 лет" xfId="254"/>
    <cellStyle name="_FFF_Nsi_1 1_Растениеводство форма( АГМ)" xfId="255"/>
    <cellStyle name="_FFF_Nsi_1 1_Свод по Агрохоолдингу  (в т.ч КБН  )" xfId="256"/>
    <cellStyle name="_FFF_Nsi_1 1_Форма по растениеводству (Акционеры) ИЛЧ" xfId="257"/>
    <cellStyle name="_FFF_Nsi_1 1_раст.-факт" xfId="258"/>
    <cellStyle name="_FFF_Nsi_1 2" xfId="259"/>
    <cellStyle name="_FFF_Nsi_1 2_Копия Растениеводство форма(Акционеры)" xfId="260"/>
    <cellStyle name="_FFF_Nsi_1 2_М( ЗАР)" xfId="261"/>
    <cellStyle name="_FFF_Nsi_1 2_Модель АгроГард на 5 лет" xfId="262"/>
    <cellStyle name="_FFF_Nsi_1 2_Растениеводство форма( АГМ)" xfId="263"/>
    <cellStyle name="_FFF_Nsi_1 2_Свод по Агрохоолдингу  (в т.ч КБН  )" xfId="264"/>
    <cellStyle name="_FFF_Nsi_1 2_Форма по растениеводству (Акционеры) ИЛЧ" xfId="265"/>
    <cellStyle name="_FFF_Nsi_1 2_раст.-факт" xfId="266"/>
    <cellStyle name="_FFF_Nsi_1 3" xfId="267"/>
    <cellStyle name="_FFF_Nsi_1 3_Копия Растениеводство форма(Акционеры)" xfId="268"/>
    <cellStyle name="_FFF_Nsi_1 3_М( ЗАР)" xfId="269"/>
    <cellStyle name="_FFF_Nsi_1 3_Модель АгроГард на 5 лет" xfId="270"/>
    <cellStyle name="_FFF_Nsi_1 3_Растениеводство форма( АГМ)" xfId="271"/>
    <cellStyle name="_FFF_Nsi_1 3_Свод по Агрохоолдингу  (в т.ч КБН  )" xfId="272"/>
    <cellStyle name="_FFF_Nsi_1 3_Форма по растениеводству (Акционеры) ИЛЧ" xfId="273"/>
    <cellStyle name="_FFF_Nsi_1 3_раст.-факт" xfId="274"/>
    <cellStyle name="_FFF_Nsi_139" xfId="275"/>
    <cellStyle name="_FFF_Nsi_139 1" xfId="276"/>
    <cellStyle name="_FFF_Nsi_139 1_Копия Растениеводство форма(Акционеры)" xfId="277"/>
    <cellStyle name="_FFF_Nsi_139 1_М( ЗАР)" xfId="278"/>
    <cellStyle name="_FFF_Nsi_139 1_Модель АгроГард на 5 лет" xfId="279"/>
    <cellStyle name="_FFF_Nsi_139 1_Растениеводство форма( АГМ)" xfId="280"/>
    <cellStyle name="_FFF_Nsi_139 1_Свод по Агрохоолдингу  (в т.ч КБН  )" xfId="281"/>
    <cellStyle name="_FFF_Nsi_139 1_Форма по растениеводству (Акционеры) ИЛЧ" xfId="282"/>
    <cellStyle name="_FFF_Nsi_139 1_раст.-факт" xfId="283"/>
    <cellStyle name="_FFF_Nsi_139 2" xfId="284"/>
    <cellStyle name="_FFF_Nsi_139 2_Копия Растениеводство форма(Акционеры)" xfId="285"/>
    <cellStyle name="_FFF_Nsi_139 2_М( ЗАР)" xfId="286"/>
    <cellStyle name="_FFF_Nsi_139 2_Модель АгроГард на 5 лет" xfId="287"/>
    <cellStyle name="_FFF_Nsi_139 2_Растениеводство форма( АГМ)" xfId="288"/>
    <cellStyle name="_FFF_Nsi_139 2_Свод по Агрохоолдингу  (в т.ч КБН  )" xfId="289"/>
    <cellStyle name="_FFF_Nsi_139 2_Форма по растениеводству (Акционеры) ИЛЧ" xfId="290"/>
    <cellStyle name="_FFF_Nsi_139 2_раст.-факт" xfId="291"/>
    <cellStyle name="_FFF_Nsi_139 3" xfId="292"/>
    <cellStyle name="_FFF_Nsi_139 3_Копия Растениеводство форма(Акционеры)" xfId="293"/>
    <cellStyle name="_FFF_Nsi_139 3_М( ЗАР)" xfId="294"/>
    <cellStyle name="_FFF_Nsi_139 3_Модель АгроГард на 5 лет" xfId="295"/>
    <cellStyle name="_FFF_Nsi_139 3_Растениеводство форма( АГМ)" xfId="296"/>
    <cellStyle name="_FFF_Nsi_139 3_Свод по Агрохоолдингу  (в т.ч КБН  )" xfId="297"/>
    <cellStyle name="_FFF_Nsi_139 3_Форма по растениеводству (Акционеры) ИЛЧ" xfId="298"/>
    <cellStyle name="_FFF_Nsi_139 3_раст.-факт" xfId="299"/>
    <cellStyle name="_FFF_Nsi_139_АГМ" xfId="300"/>
    <cellStyle name="_FFF_Nsi_139_Копия Растениеводство форма(Акционеры)" xfId="301"/>
    <cellStyle name="_FFF_Nsi_139_М( ЗАР)" xfId="302"/>
    <cellStyle name="_FFF_Nsi_139_Модель АгроГард на 5 лет" xfId="303"/>
    <cellStyle name="_FFF_Nsi_139_НИК-09" xfId="304"/>
    <cellStyle name="_FFF_Nsi_139_НИК-09 2" xfId="305"/>
    <cellStyle name="_FFF_Nsi_139_Растениеводство форма( АГМ)" xfId="306"/>
    <cellStyle name="_FFF_Nsi_139_Свод по Агрохоолдингу  (в т.ч КБН  )" xfId="307"/>
    <cellStyle name="_FFF_Nsi_139_ТК-2011 АГМ+транспорт" xfId="308"/>
    <cellStyle name="_FFF_Nsi_139_Форма по растениеводству (Акционеры) ИЛЧ" xfId="309"/>
    <cellStyle name="_FFF_Nsi_139_раст.-факт" xfId="310"/>
    <cellStyle name="_FFF_Nsi_140" xfId="311"/>
    <cellStyle name="_FFF_Nsi_140 1" xfId="312"/>
    <cellStyle name="_FFF_Nsi_140 1_Копия Растениеводство форма(Акционеры)" xfId="313"/>
    <cellStyle name="_FFF_Nsi_140 1_М( ЗАР)" xfId="314"/>
    <cellStyle name="_FFF_Nsi_140 1_Модель АгроГард на 5 лет" xfId="315"/>
    <cellStyle name="_FFF_Nsi_140 1_Растениеводство форма( АГМ)" xfId="316"/>
    <cellStyle name="_FFF_Nsi_140 1_Свод по Агрохоолдингу  (в т.ч КБН  )" xfId="317"/>
    <cellStyle name="_FFF_Nsi_140 1_Форма по растениеводству (Акционеры) ИЛЧ" xfId="318"/>
    <cellStyle name="_FFF_Nsi_140 1_раст.-факт" xfId="319"/>
    <cellStyle name="_FFF_Nsi_140 2" xfId="320"/>
    <cellStyle name="_FFF_Nsi_140 2_Копия Растениеводство форма(Акционеры)" xfId="321"/>
    <cellStyle name="_FFF_Nsi_140 2_М( ЗАР)" xfId="322"/>
    <cellStyle name="_FFF_Nsi_140 2_Модель АгроГард на 5 лет" xfId="323"/>
    <cellStyle name="_FFF_Nsi_140 2_Растениеводство форма( АГМ)" xfId="324"/>
    <cellStyle name="_FFF_Nsi_140 2_Свод по Агрохоолдингу  (в т.ч КБН  )" xfId="325"/>
    <cellStyle name="_FFF_Nsi_140 2_Форма по растениеводству (Акционеры) ИЛЧ" xfId="326"/>
    <cellStyle name="_FFF_Nsi_140 2_раст.-факт" xfId="327"/>
    <cellStyle name="_FFF_Nsi_140 3" xfId="328"/>
    <cellStyle name="_FFF_Nsi_140 3_Копия Растениеводство форма(Акционеры)" xfId="329"/>
    <cellStyle name="_FFF_Nsi_140 3_М( ЗАР)" xfId="330"/>
    <cellStyle name="_FFF_Nsi_140 3_Модель АгроГард на 5 лет" xfId="331"/>
    <cellStyle name="_FFF_Nsi_140 3_Растениеводство форма( АГМ)" xfId="332"/>
    <cellStyle name="_FFF_Nsi_140 3_Свод по Агрохоолдингу  (в т.ч КБН  )" xfId="333"/>
    <cellStyle name="_FFF_Nsi_140 3_Форма по растениеводству (Акционеры) ИЛЧ" xfId="334"/>
    <cellStyle name="_FFF_Nsi_140 3_раст.-факт" xfId="335"/>
    <cellStyle name="_FFF_Nsi_140(Зах)" xfId="336"/>
    <cellStyle name="_FFF_Nsi_140(Зах) 1" xfId="337"/>
    <cellStyle name="_FFF_Nsi_140(Зах) 1_Копия Растениеводство форма(Акционеры)" xfId="338"/>
    <cellStyle name="_FFF_Nsi_140(Зах) 1_М( ЗАР)" xfId="339"/>
    <cellStyle name="_FFF_Nsi_140(Зах) 1_Модель АгроГард на 5 лет" xfId="340"/>
    <cellStyle name="_FFF_Nsi_140(Зах) 1_Растениеводство форма( АГМ)" xfId="341"/>
    <cellStyle name="_FFF_Nsi_140(Зах) 1_Свод по Агрохоолдингу  (в т.ч КБН  )" xfId="342"/>
    <cellStyle name="_FFF_Nsi_140(Зах) 1_Форма по растениеводству (Акционеры) ИЛЧ" xfId="343"/>
    <cellStyle name="_FFF_Nsi_140(Зах) 1_раст.-факт" xfId="344"/>
    <cellStyle name="_FFF_Nsi_140(Зах) 2" xfId="345"/>
    <cellStyle name="_FFF_Nsi_140(Зах) 2_Копия Растениеводство форма(Акционеры)" xfId="346"/>
    <cellStyle name="_FFF_Nsi_140(Зах) 2_М( ЗАР)" xfId="347"/>
    <cellStyle name="_FFF_Nsi_140(Зах) 2_Модель АгроГард на 5 лет" xfId="348"/>
    <cellStyle name="_FFF_Nsi_140(Зах) 2_Растениеводство форма( АГМ)" xfId="349"/>
    <cellStyle name="_FFF_Nsi_140(Зах) 2_Свод по Агрохоолдингу  (в т.ч КБН  )" xfId="350"/>
    <cellStyle name="_FFF_Nsi_140(Зах) 2_Форма по растениеводству (Акционеры) ИЛЧ" xfId="351"/>
    <cellStyle name="_FFF_Nsi_140(Зах) 2_раст.-факт" xfId="352"/>
    <cellStyle name="_FFF_Nsi_140(Зах) 3" xfId="353"/>
    <cellStyle name="_FFF_Nsi_140(Зах) 3_Копия Растениеводство форма(Акционеры)" xfId="354"/>
    <cellStyle name="_FFF_Nsi_140(Зах) 3_М( ЗАР)" xfId="355"/>
    <cellStyle name="_FFF_Nsi_140(Зах) 3_Модель АгроГард на 5 лет" xfId="356"/>
    <cellStyle name="_FFF_Nsi_140(Зах) 3_Растениеводство форма( АГМ)" xfId="357"/>
    <cellStyle name="_FFF_Nsi_140(Зах) 3_Свод по Агрохоолдингу  (в т.ч КБН  )" xfId="358"/>
    <cellStyle name="_FFF_Nsi_140(Зах) 3_Форма по растениеводству (Акционеры) ИЛЧ" xfId="359"/>
    <cellStyle name="_FFF_Nsi_140(Зах) 3_раст.-факт" xfId="360"/>
    <cellStyle name="_FFF_Nsi_140(Зах)_АГМ" xfId="361"/>
    <cellStyle name="_FFF_Nsi_140(Зах)_Копия Растениеводство форма(Акционеры)" xfId="362"/>
    <cellStyle name="_FFF_Nsi_140(Зах)_М( ЗАР)" xfId="363"/>
    <cellStyle name="_FFF_Nsi_140(Зах)_Модель АгроГард на 5 лет" xfId="364"/>
    <cellStyle name="_FFF_Nsi_140(Зах)_НИК-09" xfId="365"/>
    <cellStyle name="_FFF_Nsi_140(Зах)_НИК-09 2" xfId="366"/>
    <cellStyle name="_FFF_Nsi_140(Зах)_Растениеводство форма( АГМ)" xfId="367"/>
    <cellStyle name="_FFF_Nsi_140(Зах)_Свод по Агрохоолдингу  (в т.ч КБН  )" xfId="368"/>
    <cellStyle name="_FFF_Nsi_140(Зах)_ТК-2011 АГМ+транспорт" xfId="369"/>
    <cellStyle name="_FFF_Nsi_140(Зах)_Форма по растениеводству (Акционеры) ИЛЧ" xfId="370"/>
    <cellStyle name="_FFF_Nsi_140(Зах)_раст.-факт" xfId="371"/>
    <cellStyle name="_FFF_Nsi_140_mod" xfId="372"/>
    <cellStyle name="_FFF_Nsi_140_mod 1" xfId="373"/>
    <cellStyle name="_FFF_Nsi_140_mod 1_Копия Растениеводство форма(Акционеры)" xfId="374"/>
    <cellStyle name="_FFF_Nsi_140_mod 1_М( ЗАР)" xfId="375"/>
    <cellStyle name="_FFF_Nsi_140_mod 1_Модель АгроГард на 5 лет" xfId="376"/>
    <cellStyle name="_FFF_Nsi_140_mod 1_Растениеводство форма( АГМ)" xfId="377"/>
    <cellStyle name="_FFF_Nsi_140_mod 1_Свод по Агрохоолдингу  (в т.ч КБН  )" xfId="378"/>
    <cellStyle name="_FFF_Nsi_140_mod 1_Форма по растениеводству (Акционеры) ИЛЧ" xfId="379"/>
    <cellStyle name="_FFF_Nsi_140_mod 1_раст.-факт" xfId="380"/>
    <cellStyle name="_FFF_Nsi_140_mod 2" xfId="381"/>
    <cellStyle name="_FFF_Nsi_140_mod 2_Копия Растениеводство форма(Акционеры)" xfId="382"/>
    <cellStyle name="_FFF_Nsi_140_mod 2_М( ЗАР)" xfId="383"/>
    <cellStyle name="_FFF_Nsi_140_mod 2_Модель АгроГард на 5 лет" xfId="384"/>
    <cellStyle name="_FFF_Nsi_140_mod 2_Растениеводство форма( АГМ)" xfId="385"/>
    <cellStyle name="_FFF_Nsi_140_mod 2_Свод по Агрохоолдингу  (в т.ч КБН  )" xfId="386"/>
    <cellStyle name="_FFF_Nsi_140_mod 2_Форма по растениеводству (Акционеры) ИЛЧ" xfId="387"/>
    <cellStyle name="_FFF_Nsi_140_mod 2_раст.-факт" xfId="388"/>
    <cellStyle name="_FFF_Nsi_140_mod 3" xfId="389"/>
    <cellStyle name="_FFF_Nsi_140_mod 3_Копия Растениеводство форма(Акционеры)" xfId="390"/>
    <cellStyle name="_FFF_Nsi_140_mod 3_М( ЗАР)" xfId="391"/>
    <cellStyle name="_FFF_Nsi_140_mod 3_Модель АгроГард на 5 лет" xfId="392"/>
    <cellStyle name="_FFF_Nsi_140_mod 3_Растениеводство форма( АГМ)" xfId="393"/>
    <cellStyle name="_FFF_Nsi_140_mod 3_Свод по Агрохоолдингу  (в т.ч КБН  )" xfId="394"/>
    <cellStyle name="_FFF_Nsi_140_mod 3_Форма по растениеводству (Акционеры) ИЛЧ" xfId="395"/>
    <cellStyle name="_FFF_Nsi_140_mod 3_раст.-факт" xfId="396"/>
    <cellStyle name="_FFF_Nsi_140_mod_АГМ" xfId="397"/>
    <cellStyle name="_FFF_Nsi_140_mod_Копия Растениеводство форма(Акционеры)" xfId="398"/>
    <cellStyle name="_FFF_Nsi_140_mod_М( ЗАР)" xfId="399"/>
    <cellStyle name="_FFF_Nsi_140_mod_Модель АгроГард на 5 лет" xfId="400"/>
    <cellStyle name="_FFF_Nsi_140_mod_НИК-09" xfId="401"/>
    <cellStyle name="_FFF_Nsi_140_mod_НИК-09 2" xfId="402"/>
    <cellStyle name="_FFF_Nsi_140_mod_Растениеводство форма( АГМ)" xfId="403"/>
    <cellStyle name="_FFF_Nsi_140_mod_Свод по Агрохоолдингу  (в т.ч КБН  )" xfId="404"/>
    <cellStyle name="_FFF_Nsi_140_mod_ТК-2011 АГМ+транспорт" xfId="405"/>
    <cellStyle name="_FFF_Nsi_140_mod_Форма по растениеводству (Акционеры) ИЛЧ" xfId="406"/>
    <cellStyle name="_FFF_Nsi_140_mod_раст.-факт" xfId="407"/>
    <cellStyle name="_FFF_Nsi_140_АГМ" xfId="408"/>
    <cellStyle name="_FFF_Nsi_140_Копия Растениеводство форма(Акционеры)" xfId="409"/>
    <cellStyle name="_FFF_Nsi_140_М( ЗАР)" xfId="410"/>
    <cellStyle name="_FFF_Nsi_140_Модель АгроГард на 5 лет" xfId="411"/>
    <cellStyle name="_FFF_Nsi_140_НИК-09" xfId="412"/>
    <cellStyle name="_FFF_Nsi_140_НИК-09 2" xfId="413"/>
    <cellStyle name="_FFF_Nsi_140_Растениеводство форма( АГМ)" xfId="414"/>
    <cellStyle name="_FFF_Nsi_140_Свод по Агрохоолдингу  (в т.ч КБН  )" xfId="415"/>
    <cellStyle name="_FFF_Nsi_140_ТК-2011 АГМ+транспорт" xfId="416"/>
    <cellStyle name="_FFF_Nsi_140_Форма по растениеводству (Акционеры) ИЛЧ" xfId="417"/>
    <cellStyle name="_FFF_Nsi_140_раст.-факт" xfId="418"/>
    <cellStyle name="_FFF_Nsi_1_АГМ" xfId="419"/>
    <cellStyle name="_FFF_Nsi_1_Копия Растениеводство форма(Акционеры)" xfId="420"/>
    <cellStyle name="_FFF_Nsi_1_М( ЗАР)" xfId="421"/>
    <cellStyle name="_FFF_Nsi_1_Модель АгроГард на 5 лет" xfId="422"/>
    <cellStyle name="_FFF_Nsi_1_НИК-09" xfId="423"/>
    <cellStyle name="_FFF_Nsi_1_НИК-09 2" xfId="424"/>
    <cellStyle name="_FFF_Nsi_1_Растениеводство форма( АГМ)" xfId="425"/>
    <cellStyle name="_FFF_Nsi_1_Свод по Агрохоолдингу  (в т.ч КБН  )" xfId="426"/>
    <cellStyle name="_FFF_Nsi_1_ТК-2011 АГМ+транспорт" xfId="427"/>
    <cellStyle name="_FFF_Nsi_1_Форма по растениеводству (Акционеры) ИЛЧ" xfId="428"/>
    <cellStyle name="_FFF_Nsi_1_раст.-факт" xfId="429"/>
    <cellStyle name="_FFF_Nsi_АГМ" xfId="430"/>
    <cellStyle name="_FFF_Nsi_Копия Растениеводство форма(Акционеры)" xfId="431"/>
    <cellStyle name="_FFF_Nsi_М( ЗАР)" xfId="432"/>
    <cellStyle name="_FFF_Nsi_Модель АгроГард на 5 лет" xfId="433"/>
    <cellStyle name="_FFF_Nsi_НИК-09" xfId="434"/>
    <cellStyle name="_FFF_Nsi_НИК-09 2" xfId="435"/>
    <cellStyle name="_FFF_Nsi_Растениеводство форма( АГМ)" xfId="436"/>
    <cellStyle name="_FFF_Nsi_Свод по Агрохоолдингу  (в т.ч КБН  )" xfId="437"/>
    <cellStyle name="_FFF_Nsi_ТК-2011 АГМ+транспорт" xfId="438"/>
    <cellStyle name="_FFF_Nsi_Форма по растениеводству (Акционеры) ИЛЧ" xfId="439"/>
    <cellStyle name="_FFF_Nsi_раст.-факт" xfId="440"/>
    <cellStyle name="_FFF_Summary" xfId="441"/>
    <cellStyle name="_FFF_Summary 1" xfId="442"/>
    <cellStyle name="_FFF_Summary 1_Копия Растениеводство форма(Акционеры)" xfId="443"/>
    <cellStyle name="_FFF_Summary 1_М( ЗАР)" xfId="444"/>
    <cellStyle name="_FFF_Summary 1_Модель АгроГард на 5 лет" xfId="445"/>
    <cellStyle name="_FFF_Summary 1_Растениеводство форма( АГМ)" xfId="446"/>
    <cellStyle name="_FFF_Summary 1_Свод по Агрохоолдингу  (в т.ч КБН  )" xfId="447"/>
    <cellStyle name="_FFF_Summary 1_Форма по растениеводству (Акционеры) ИЛЧ" xfId="448"/>
    <cellStyle name="_FFF_Summary 1_раст.-факт" xfId="449"/>
    <cellStyle name="_FFF_Summary 2" xfId="450"/>
    <cellStyle name="_FFF_Summary 2_Копия Растениеводство форма(Акционеры)" xfId="451"/>
    <cellStyle name="_FFF_Summary 2_М( ЗАР)" xfId="452"/>
    <cellStyle name="_FFF_Summary 2_Модель АгроГард на 5 лет" xfId="453"/>
    <cellStyle name="_FFF_Summary 2_Растениеводство форма( АГМ)" xfId="454"/>
    <cellStyle name="_FFF_Summary 2_Свод по Агрохоолдингу  (в т.ч КБН  )" xfId="455"/>
    <cellStyle name="_FFF_Summary 2_Форма по растениеводству (Акционеры) ИЛЧ" xfId="456"/>
    <cellStyle name="_FFF_Summary 2_раст.-факт" xfId="457"/>
    <cellStyle name="_FFF_Summary 3" xfId="458"/>
    <cellStyle name="_FFF_Summary 3_Копия Растениеводство форма(Акционеры)" xfId="459"/>
    <cellStyle name="_FFF_Summary 3_М( ЗАР)" xfId="460"/>
    <cellStyle name="_FFF_Summary 3_Модель АгроГард на 5 лет" xfId="461"/>
    <cellStyle name="_FFF_Summary 3_Растениеводство форма( АГМ)" xfId="462"/>
    <cellStyle name="_FFF_Summary 3_Свод по Агрохоолдингу  (в т.ч КБН  )" xfId="463"/>
    <cellStyle name="_FFF_Summary 3_Форма по растениеводству (Акционеры) ИЛЧ" xfId="464"/>
    <cellStyle name="_FFF_Summary 3_раст.-факт" xfId="465"/>
    <cellStyle name="_FFF_Summary_АГМ" xfId="466"/>
    <cellStyle name="_FFF_Summary_Копия Растениеводство форма(Акционеры)" xfId="467"/>
    <cellStyle name="_FFF_Summary_М( ЗАР)" xfId="468"/>
    <cellStyle name="_FFF_Summary_Модель АгроГард на 5 лет" xfId="469"/>
    <cellStyle name="_FFF_Summary_НИК-09" xfId="470"/>
    <cellStyle name="_FFF_Summary_НИК-09 2" xfId="471"/>
    <cellStyle name="_FFF_Summary_Растениеводство форма( АГМ)" xfId="472"/>
    <cellStyle name="_FFF_Summary_Свод по Агрохоолдингу  (в т.ч КБН  )" xfId="473"/>
    <cellStyle name="_FFF_Summary_ТК-2011 АГМ+транспорт" xfId="474"/>
    <cellStyle name="_FFF_Summary_Форма по растениеводству (Акционеры) ИЛЧ" xfId="475"/>
    <cellStyle name="_FFF_Summary_раст.-факт" xfId="476"/>
    <cellStyle name="_FFF_Tax_form_1кв_3" xfId="477"/>
    <cellStyle name="_FFF_Tax_form_1кв_3 1" xfId="478"/>
    <cellStyle name="_FFF_Tax_form_1кв_3 1_Копия Растениеводство форма(Акционеры)" xfId="479"/>
    <cellStyle name="_FFF_Tax_form_1кв_3 1_М( ЗАР)" xfId="480"/>
    <cellStyle name="_FFF_Tax_form_1кв_3 1_Модель АгроГард на 5 лет" xfId="481"/>
    <cellStyle name="_FFF_Tax_form_1кв_3 1_Растениеводство форма( АГМ)" xfId="482"/>
    <cellStyle name="_FFF_Tax_form_1кв_3 1_Свод по Агрохоолдингу  (в т.ч КБН  )" xfId="483"/>
    <cellStyle name="_FFF_Tax_form_1кв_3 1_Форма по растениеводству (Акционеры) ИЛЧ" xfId="484"/>
    <cellStyle name="_FFF_Tax_form_1кв_3 1_раст.-факт" xfId="485"/>
    <cellStyle name="_FFF_Tax_form_1кв_3 2" xfId="486"/>
    <cellStyle name="_FFF_Tax_form_1кв_3 2_Копия Растениеводство форма(Акционеры)" xfId="487"/>
    <cellStyle name="_FFF_Tax_form_1кв_3 2_М( ЗАР)" xfId="488"/>
    <cellStyle name="_FFF_Tax_form_1кв_3 2_Модель АгроГард на 5 лет" xfId="489"/>
    <cellStyle name="_FFF_Tax_form_1кв_3 2_Растениеводство форма( АГМ)" xfId="490"/>
    <cellStyle name="_FFF_Tax_form_1кв_3 2_Свод по Агрохоолдингу  (в т.ч КБН  )" xfId="491"/>
    <cellStyle name="_FFF_Tax_form_1кв_3 2_Форма по растениеводству (Акционеры) ИЛЧ" xfId="492"/>
    <cellStyle name="_FFF_Tax_form_1кв_3 2_раст.-факт" xfId="493"/>
    <cellStyle name="_FFF_Tax_form_1кв_3 3" xfId="494"/>
    <cellStyle name="_FFF_Tax_form_1кв_3 3_Копия Растениеводство форма(Акционеры)" xfId="495"/>
    <cellStyle name="_FFF_Tax_form_1кв_3 3_М( ЗАР)" xfId="496"/>
    <cellStyle name="_FFF_Tax_form_1кв_3 3_Модель АгроГард на 5 лет" xfId="497"/>
    <cellStyle name="_FFF_Tax_form_1кв_3 3_Растениеводство форма( АГМ)" xfId="498"/>
    <cellStyle name="_FFF_Tax_form_1кв_3 3_Свод по Агрохоолдингу  (в т.ч КБН  )" xfId="499"/>
    <cellStyle name="_FFF_Tax_form_1кв_3 3_Форма по растениеводству (Акционеры) ИЛЧ" xfId="500"/>
    <cellStyle name="_FFF_Tax_form_1кв_3 3_раст.-факт" xfId="501"/>
    <cellStyle name="_FFF_Tax_form_1кв_3_АГМ" xfId="502"/>
    <cellStyle name="_FFF_Tax_form_1кв_3_Копия Растениеводство форма(Акционеры)" xfId="503"/>
    <cellStyle name="_FFF_Tax_form_1кв_3_М( ЗАР)" xfId="504"/>
    <cellStyle name="_FFF_Tax_form_1кв_3_Модель АгроГард на 5 лет" xfId="505"/>
    <cellStyle name="_FFF_Tax_form_1кв_3_НИК-09" xfId="506"/>
    <cellStyle name="_FFF_Tax_form_1кв_3_НИК-09 2" xfId="507"/>
    <cellStyle name="_FFF_Tax_form_1кв_3_Растениеводство форма( АГМ)" xfId="508"/>
    <cellStyle name="_FFF_Tax_form_1кв_3_Свод по Агрохоолдингу  (в т.ч КБН  )" xfId="509"/>
    <cellStyle name="_FFF_Tax_form_1кв_3_ТК-2011 АГМ+транспорт" xfId="510"/>
    <cellStyle name="_FFF_Tax_form_1кв_3_Форма по растениеводству (Акционеры) ИЛЧ" xfId="511"/>
    <cellStyle name="_FFF_Tax_form_1кв_3_раст.-факт" xfId="512"/>
    <cellStyle name="_FFF_АГМ" xfId="513"/>
    <cellStyle name="_FFF_БКЭ" xfId="514"/>
    <cellStyle name="_FFF_БКЭ 1" xfId="515"/>
    <cellStyle name="_FFF_БКЭ 1_Копия Растениеводство форма(Акционеры)" xfId="516"/>
    <cellStyle name="_FFF_БКЭ 1_М( ЗАР)" xfId="517"/>
    <cellStyle name="_FFF_БКЭ 1_Модель АгроГард на 5 лет" xfId="518"/>
    <cellStyle name="_FFF_БКЭ 1_Растениеводство форма( АГМ)" xfId="519"/>
    <cellStyle name="_FFF_БКЭ 1_Свод по Агрохоолдингу  (в т.ч КБН  )" xfId="520"/>
    <cellStyle name="_FFF_БКЭ 1_Форма по растениеводству (Акционеры) ИЛЧ" xfId="521"/>
    <cellStyle name="_FFF_БКЭ 1_раст.-факт" xfId="522"/>
    <cellStyle name="_FFF_БКЭ 2" xfId="523"/>
    <cellStyle name="_FFF_БКЭ 2_Копия Растениеводство форма(Акционеры)" xfId="524"/>
    <cellStyle name="_FFF_БКЭ 2_М( ЗАР)" xfId="525"/>
    <cellStyle name="_FFF_БКЭ 2_Модель АгроГард на 5 лет" xfId="526"/>
    <cellStyle name="_FFF_БКЭ 2_Растениеводство форма( АГМ)" xfId="527"/>
    <cellStyle name="_FFF_БКЭ 2_Свод по Агрохоолдингу  (в т.ч КБН  )" xfId="528"/>
    <cellStyle name="_FFF_БКЭ 2_Форма по растениеводству (Акционеры) ИЛЧ" xfId="529"/>
    <cellStyle name="_FFF_БКЭ 2_раст.-факт" xfId="530"/>
    <cellStyle name="_FFF_БКЭ 3" xfId="531"/>
    <cellStyle name="_FFF_БКЭ 3_Копия Растениеводство форма(Акционеры)" xfId="532"/>
    <cellStyle name="_FFF_БКЭ 3_М( ЗАР)" xfId="533"/>
    <cellStyle name="_FFF_БКЭ 3_Модель АгроГард на 5 лет" xfId="534"/>
    <cellStyle name="_FFF_БКЭ 3_Растениеводство форма( АГМ)" xfId="535"/>
    <cellStyle name="_FFF_БКЭ 3_Свод по Агрохоолдингу  (в т.ч КБН  )" xfId="536"/>
    <cellStyle name="_FFF_БКЭ 3_Форма по растениеводству (Акционеры) ИЛЧ" xfId="537"/>
    <cellStyle name="_FFF_БКЭ 3_раст.-факт" xfId="538"/>
    <cellStyle name="_FFF_БКЭ_АГМ" xfId="539"/>
    <cellStyle name="_FFF_БКЭ_Копия Растениеводство форма(Акционеры)" xfId="540"/>
    <cellStyle name="_FFF_БКЭ_М( ЗАР)" xfId="541"/>
    <cellStyle name="_FFF_БКЭ_Модель АгроГард на 5 лет" xfId="542"/>
    <cellStyle name="_FFF_БКЭ_НИК-09" xfId="543"/>
    <cellStyle name="_FFF_БКЭ_НИК-09 2" xfId="544"/>
    <cellStyle name="_FFF_БКЭ_Растениеводство форма( АГМ)" xfId="545"/>
    <cellStyle name="_FFF_БКЭ_Свод по Агрохоолдингу  (в т.ч КБН  )" xfId="546"/>
    <cellStyle name="_FFF_БКЭ_ТК-2011 АГМ+транспорт" xfId="547"/>
    <cellStyle name="_FFF_БКЭ_Форма по растениеводству (Акционеры) ИЛЧ" xfId="548"/>
    <cellStyle name="_FFF_БКЭ_раст.-факт" xfId="549"/>
    <cellStyle name="_FFF_Копия Растениеводство форма(Акционеры)" xfId="550"/>
    <cellStyle name="_FFF_М( ЗАР)" xfId="551"/>
    <cellStyle name="_FFF_Модель АгроГард на 5 лет" xfId="552"/>
    <cellStyle name="_FFF_НИК-09" xfId="553"/>
    <cellStyle name="_FFF_НИК-09 2" xfId="554"/>
    <cellStyle name="_FFF_Растениеводство форма( АГМ)" xfId="555"/>
    <cellStyle name="_FFF_Свод по Агрохоолдингу  (в т.ч КБН  )" xfId="556"/>
    <cellStyle name="_FFF_ТК-2011 АГМ+транспорт" xfId="557"/>
    <cellStyle name="_FFF_Форма по растениеводству (Акционеры) ИЛЧ" xfId="558"/>
    <cellStyle name="_FFF_раст.-факт" xfId="559"/>
    <cellStyle name="_Final_Book_010301" xfId="560"/>
    <cellStyle name="_Final_Book_010301 1" xfId="561"/>
    <cellStyle name="_Final_Book_010301 1_Копия Растениеводство форма(Акционеры)" xfId="562"/>
    <cellStyle name="_Final_Book_010301 1_М( ЗАР)" xfId="563"/>
    <cellStyle name="_Final_Book_010301 1_Модель АгроГард на 5 лет" xfId="564"/>
    <cellStyle name="_Final_Book_010301 1_Растениеводство форма( АГМ)" xfId="565"/>
    <cellStyle name="_Final_Book_010301 1_Свод по Агрохоолдингу  (в т.ч КБН  )" xfId="566"/>
    <cellStyle name="_Final_Book_010301 1_Форма по растениеводству (Акционеры) ИЛЧ" xfId="567"/>
    <cellStyle name="_Final_Book_010301 1_раст.-факт" xfId="568"/>
    <cellStyle name="_Final_Book_010301 2" xfId="569"/>
    <cellStyle name="_Final_Book_010301 2_Копия Растениеводство форма(Акционеры)" xfId="570"/>
    <cellStyle name="_Final_Book_010301 2_М( ЗАР)" xfId="571"/>
    <cellStyle name="_Final_Book_010301 2_Модель АгроГард на 5 лет" xfId="572"/>
    <cellStyle name="_Final_Book_010301 2_Растениеводство форма( АГМ)" xfId="573"/>
    <cellStyle name="_Final_Book_010301 2_Свод по Агрохоолдингу  (в т.ч КБН  )" xfId="574"/>
    <cellStyle name="_Final_Book_010301 2_Форма по растениеводству (Акционеры) ИЛЧ" xfId="575"/>
    <cellStyle name="_Final_Book_010301 2_раст.-факт" xfId="576"/>
    <cellStyle name="_Final_Book_010301 3" xfId="577"/>
    <cellStyle name="_Final_Book_010301 3_Копия Растениеводство форма(Акционеры)" xfId="578"/>
    <cellStyle name="_Final_Book_010301 3_М( ЗАР)" xfId="579"/>
    <cellStyle name="_Final_Book_010301 3_Модель АгроГард на 5 лет" xfId="580"/>
    <cellStyle name="_Final_Book_010301 3_Растениеводство форма( АГМ)" xfId="581"/>
    <cellStyle name="_Final_Book_010301 3_Свод по Агрохоолдингу  (в т.ч КБН  )" xfId="582"/>
    <cellStyle name="_Final_Book_010301 3_Форма по растениеводству (Акционеры) ИЛЧ" xfId="583"/>
    <cellStyle name="_Final_Book_010301 3_раст.-факт" xfId="584"/>
    <cellStyle name="_Final_Book_010301_New Form10_2" xfId="585"/>
    <cellStyle name="_Final_Book_010301_New Form10_2 1" xfId="586"/>
    <cellStyle name="_Final_Book_010301_New Form10_2 1_Копия Растениеводство форма(Акционеры)" xfId="587"/>
    <cellStyle name="_Final_Book_010301_New Form10_2 1_М( ЗАР)" xfId="588"/>
    <cellStyle name="_Final_Book_010301_New Form10_2 1_Модель АгроГард на 5 лет" xfId="589"/>
    <cellStyle name="_Final_Book_010301_New Form10_2 1_Растениеводство форма( АГМ)" xfId="590"/>
    <cellStyle name="_Final_Book_010301_New Form10_2 1_Свод по Агрохоолдингу  (в т.ч КБН  )" xfId="591"/>
    <cellStyle name="_Final_Book_010301_New Form10_2 1_Форма по растениеводству (Акционеры) ИЛЧ" xfId="592"/>
    <cellStyle name="_Final_Book_010301_New Form10_2 1_раст.-факт" xfId="593"/>
    <cellStyle name="_Final_Book_010301_New Form10_2 2" xfId="594"/>
    <cellStyle name="_Final_Book_010301_New Form10_2 2_Копия Растениеводство форма(Акционеры)" xfId="595"/>
    <cellStyle name="_Final_Book_010301_New Form10_2 2_М( ЗАР)" xfId="596"/>
    <cellStyle name="_Final_Book_010301_New Form10_2 2_Модель АгроГард на 5 лет" xfId="597"/>
    <cellStyle name="_Final_Book_010301_New Form10_2 2_Растениеводство форма( АГМ)" xfId="598"/>
    <cellStyle name="_Final_Book_010301_New Form10_2 2_Свод по Агрохоолдингу  (в т.ч КБН  )" xfId="599"/>
    <cellStyle name="_Final_Book_010301_New Form10_2 2_Форма по растениеводству (Акционеры) ИЛЧ" xfId="600"/>
    <cellStyle name="_Final_Book_010301_New Form10_2 2_раст.-факт" xfId="601"/>
    <cellStyle name="_Final_Book_010301_New Form10_2 3" xfId="602"/>
    <cellStyle name="_Final_Book_010301_New Form10_2 3_Копия Растениеводство форма(Акционеры)" xfId="603"/>
    <cellStyle name="_Final_Book_010301_New Form10_2 3_М( ЗАР)" xfId="604"/>
    <cellStyle name="_Final_Book_010301_New Form10_2 3_Модель АгроГард на 5 лет" xfId="605"/>
    <cellStyle name="_Final_Book_010301_New Form10_2 3_Растениеводство форма( АГМ)" xfId="606"/>
    <cellStyle name="_Final_Book_010301_New Form10_2 3_Свод по Агрохоолдингу  (в т.ч КБН  )" xfId="607"/>
    <cellStyle name="_Final_Book_010301_New Form10_2 3_Форма по растениеводству (Акционеры) ИЛЧ" xfId="608"/>
    <cellStyle name="_Final_Book_010301_New Form10_2 3_раст.-факт" xfId="609"/>
    <cellStyle name="_Final_Book_010301_New Form10_2_АГМ" xfId="610"/>
    <cellStyle name="_Final_Book_010301_New Form10_2_Копия Растениеводство форма(Акционеры)" xfId="611"/>
    <cellStyle name="_Final_Book_010301_New Form10_2_М( ЗАР)" xfId="612"/>
    <cellStyle name="_Final_Book_010301_New Form10_2_Модель АгроГард на 5 лет" xfId="613"/>
    <cellStyle name="_Final_Book_010301_New Form10_2_НИК-09" xfId="614"/>
    <cellStyle name="_Final_Book_010301_New Form10_2_НИК-09 2" xfId="615"/>
    <cellStyle name="_Final_Book_010301_New Form10_2_Растениеводство форма( АГМ)" xfId="616"/>
    <cellStyle name="_Final_Book_010301_New Form10_2_Свод по Агрохоолдингу  (в т.ч КБН  )" xfId="617"/>
    <cellStyle name="_Final_Book_010301_New Form10_2_ТК-2011 АГМ+транспорт" xfId="618"/>
    <cellStyle name="_Final_Book_010301_New Form10_2_Форма по растениеводству (Акционеры) ИЛЧ" xfId="619"/>
    <cellStyle name="_Final_Book_010301_New Form10_2_раст.-факт" xfId="620"/>
    <cellStyle name="_Final_Book_010301_Nsi" xfId="621"/>
    <cellStyle name="_Final_Book_010301_Nsi 1" xfId="622"/>
    <cellStyle name="_Final_Book_010301_Nsi 1_Копия Растениеводство форма(Акционеры)" xfId="623"/>
    <cellStyle name="_Final_Book_010301_Nsi 1_М( ЗАР)" xfId="624"/>
    <cellStyle name="_Final_Book_010301_Nsi 1_Модель АгроГард на 5 лет" xfId="625"/>
    <cellStyle name="_Final_Book_010301_Nsi 1_Растениеводство форма( АГМ)" xfId="626"/>
    <cellStyle name="_Final_Book_010301_Nsi 1_Свод по Агрохоолдингу  (в т.ч КБН  )" xfId="627"/>
    <cellStyle name="_Final_Book_010301_Nsi 1_Форма по растениеводству (Акционеры) ИЛЧ" xfId="628"/>
    <cellStyle name="_Final_Book_010301_Nsi 1_раст.-факт" xfId="629"/>
    <cellStyle name="_Final_Book_010301_Nsi 2" xfId="630"/>
    <cellStyle name="_Final_Book_010301_Nsi 2_Копия Растениеводство форма(Акционеры)" xfId="631"/>
    <cellStyle name="_Final_Book_010301_Nsi 2_М( ЗАР)" xfId="632"/>
    <cellStyle name="_Final_Book_010301_Nsi 2_Модель АгроГард на 5 лет" xfId="633"/>
    <cellStyle name="_Final_Book_010301_Nsi 2_Растениеводство форма( АГМ)" xfId="634"/>
    <cellStyle name="_Final_Book_010301_Nsi 2_Свод по Агрохоолдингу  (в т.ч КБН  )" xfId="635"/>
    <cellStyle name="_Final_Book_010301_Nsi 2_Форма по растениеводству (Акционеры) ИЛЧ" xfId="636"/>
    <cellStyle name="_Final_Book_010301_Nsi 2_раст.-факт" xfId="637"/>
    <cellStyle name="_Final_Book_010301_Nsi 3" xfId="638"/>
    <cellStyle name="_Final_Book_010301_Nsi 3_Копия Растениеводство форма(Акционеры)" xfId="639"/>
    <cellStyle name="_Final_Book_010301_Nsi 3_М( ЗАР)" xfId="640"/>
    <cellStyle name="_Final_Book_010301_Nsi 3_Модель АгроГард на 5 лет" xfId="641"/>
    <cellStyle name="_Final_Book_010301_Nsi 3_Растениеводство форма( АГМ)" xfId="642"/>
    <cellStyle name="_Final_Book_010301_Nsi 3_Свод по Агрохоолдингу  (в т.ч КБН  )" xfId="643"/>
    <cellStyle name="_Final_Book_010301_Nsi 3_Форма по растениеводству (Акционеры) ИЛЧ" xfId="644"/>
    <cellStyle name="_Final_Book_010301_Nsi 3_раст.-факт" xfId="645"/>
    <cellStyle name="_Final_Book_010301_Nsi_1" xfId="646"/>
    <cellStyle name="_Final_Book_010301_Nsi_1 1" xfId="647"/>
    <cellStyle name="_Final_Book_010301_Nsi_1 1_Копия Растениеводство форма(Акционеры)" xfId="648"/>
    <cellStyle name="_Final_Book_010301_Nsi_1 1_М( ЗАР)" xfId="649"/>
    <cellStyle name="_Final_Book_010301_Nsi_1 1_Модель АгроГард на 5 лет" xfId="650"/>
    <cellStyle name="_Final_Book_010301_Nsi_1 1_Растениеводство форма( АГМ)" xfId="651"/>
    <cellStyle name="_Final_Book_010301_Nsi_1 1_Свод по Агрохоолдингу  (в т.ч КБН  )" xfId="652"/>
    <cellStyle name="_Final_Book_010301_Nsi_1 1_Форма по растениеводству (Акционеры) ИЛЧ" xfId="653"/>
    <cellStyle name="_Final_Book_010301_Nsi_1 1_раст.-факт" xfId="654"/>
    <cellStyle name="_Final_Book_010301_Nsi_1 2" xfId="655"/>
    <cellStyle name="_Final_Book_010301_Nsi_1 2_Копия Растениеводство форма(Акционеры)" xfId="656"/>
    <cellStyle name="_Final_Book_010301_Nsi_1 2_М( ЗАР)" xfId="657"/>
    <cellStyle name="_Final_Book_010301_Nsi_1 2_Модель АгроГард на 5 лет" xfId="658"/>
    <cellStyle name="_Final_Book_010301_Nsi_1 2_Растениеводство форма( АГМ)" xfId="659"/>
    <cellStyle name="_Final_Book_010301_Nsi_1 2_Свод по Агрохоолдингу  (в т.ч КБН  )" xfId="660"/>
    <cellStyle name="_Final_Book_010301_Nsi_1 2_Форма по растениеводству (Акционеры) ИЛЧ" xfId="661"/>
    <cellStyle name="_Final_Book_010301_Nsi_1 2_раст.-факт" xfId="662"/>
    <cellStyle name="_Final_Book_010301_Nsi_1 3" xfId="663"/>
    <cellStyle name="_Final_Book_010301_Nsi_1 3_Копия Растениеводство форма(Акционеры)" xfId="664"/>
    <cellStyle name="_Final_Book_010301_Nsi_1 3_М( ЗАР)" xfId="665"/>
    <cellStyle name="_Final_Book_010301_Nsi_1 3_Модель АгроГард на 5 лет" xfId="666"/>
    <cellStyle name="_Final_Book_010301_Nsi_1 3_Растениеводство форма( АГМ)" xfId="667"/>
    <cellStyle name="_Final_Book_010301_Nsi_1 3_Свод по Агрохоолдингу  (в т.ч КБН  )" xfId="668"/>
    <cellStyle name="_Final_Book_010301_Nsi_1 3_Форма по растениеводству (Акционеры) ИЛЧ" xfId="669"/>
    <cellStyle name="_Final_Book_010301_Nsi_1 3_раст.-факт" xfId="670"/>
    <cellStyle name="_Final_Book_010301_Nsi_139" xfId="671"/>
    <cellStyle name="_Final_Book_010301_Nsi_139 1" xfId="672"/>
    <cellStyle name="_Final_Book_010301_Nsi_139 1_Копия Растениеводство форма(Акционеры)" xfId="673"/>
    <cellStyle name="_Final_Book_010301_Nsi_139 1_М( ЗАР)" xfId="674"/>
    <cellStyle name="_Final_Book_010301_Nsi_139 1_Модель АгроГард на 5 лет" xfId="675"/>
    <cellStyle name="_Final_Book_010301_Nsi_139 1_Растениеводство форма( АГМ)" xfId="676"/>
    <cellStyle name="_Final_Book_010301_Nsi_139 1_Свод по Агрохоолдингу  (в т.ч КБН  )" xfId="677"/>
    <cellStyle name="_Final_Book_010301_Nsi_139 1_Форма по растениеводству (Акционеры) ИЛЧ" xfId="678"/>
    <cellStyle name="_Final_Book_010301_Nsi_139 1_раст.-факт" xfId="679"/>
    <cellStyle name="_Final_Book_010301_Nsi_139 2" xfId="680"/>
    <cellStyle name="_Final_Book_010301_Nsi_139 2_Копия Растениеводство форма(Акционеры)" xfId="681"/>
    <cellStyle name="_Final_Book_010301_Nsi_139 2_М( ЗАР)" xfId="682"/>
    <cellStyle name="_Final_Book_010301_Nsi_139 2_Модель АгроГард на 5 лет" xfId="683"/>
    <cellStyle name="_Final_Book_010301_Nsi_139 2_Растениеводство форма( АГМ)" xfId="684"/>
    <cellStyle name="_Final_Book_010301_Nsi_139 2_Свод по Агрохоолдингу  (в т.ч КБН  )" xfId="685"/>
    <cellStyle name="_Final_Book_010301_Nsi_139 2_Форма по растениеводству (Акционеры) ИЛЧ" xfId="686"/>
    <cellStyle name="_Final_Book_010301_Nsi_139 2_раст.-факт" xfId="687"/>
    <cellStyle name="_Final_Book_010301_Nsi_139 3" xfId="688"/>
    <cellStyle name="_Final_Book_010301_Nsi_139 3_Копия Растениеводство форма(Акционеры)" xfId="689"/>
    <cellStyle name="_Final_Book_010301_Nsi_139 3_М( ЗАР)" xfId="690"/>
    <cellStyle name="_Final_Book_010301_Nsi_139 3_Модель АгроГард на 5 лет" xfId="691"/>
    <cellStyle name="_Final_Book_010301_Nsi_139 3_Растениеводство форма( АГМ)" xfId="692"/>
    <cellStyle name="_Final_Book_010301_Nsi_139 3_Свод по Агрохоолдингу  (в т.ч КБН  )" xfId="693"/>
    <cellStyle name="_Final_Book_010301_Nsi_139 3_Форма по растениеводству (Акционеры) ИЛЧ" xfId="694"/>
    <cellStyle name="_Final_Book_010301_Nsi_139 3_раст.-факт" xfId="695"/>
    <cellStyle name="_Final_Book_010301_Nsi_139_АГМ" xfId="696"/>
    <cellStyle name="_Final_Book_010301_Nsi_139_Копия Растениеводство форма(Акционеры)" xfId="697"/>
    <cellStyle name="_Final_Book_010301_Nsi_139_М( ЗАР)" xfId="698"/>
    <cellStyle name="_Final_Book_010301_Nsi_139_Модель АгроГард на 5 лет" xfId="699"/>
    <cellStyle name="_Final_Book_010301_Nsi_139_НИК-09" xfId="700"/>
    <cellStyle name="_Final_Book_010301_Nsi_139_НИК-09 2" xfId="701"/>
    <cellStyle name="_Final_Book_010301_Nsi_139_Растениеводство форма( АГМ)" xfId="702"/>
    <cellStyle name="_Final_Book_010301_Nsi_139_Свод по Агрохоолдингу  (в т.ч КБН  )" xfId="703"/>
    <cellStyle name="_Final_Book_010301_Nsi_139_ТК-2011 АГМ+транспорт" xfId="704"/>
    <cellStyle name="_Final_Book_010301_Nsi_139_Форма по растениеводству (Акционеры) ИЛЧ" xfId="705"/>
    <cellStyle name="_Final_Book_010301_Nsi_139_раст.-факт" xfId="706"/>
    <cellStyle name="_Final_Book_010301_Nsi_140" xfId="707"/>
    <cellStyle name="_Final_Book_010301_Nsi_140 1" xfId="708"/>
    <cellStyle name="_Final_Book_010301_Nsi_140 1_Копия Растениеводство форма(Акционеры)" xfId="709"/>
    <cellStyle name="_Final_Book_010301_Nsi_140 1_М( ЗАР)" xfId="710"/>
    <cellStyle name="_Final_Book_010301_Nsi_140 1_Модель АгроГард на 5 лет" xfId="711"/>
    <cellStyle name="_Final_Book_010301_Nsi_140 1_Растениеводство форма( АГМ)" xfId="712"/>
    <cellStyle name="_Final_Book_010301_Nsi_140 1_Свод по Агрохоолдингу  (в т.ч КБН  )" xfId="713"/>
    <cellStyle name="_Final_Book_010301_Nsi_140 1_Форма по растениеводству (Акционеры) ИЛЧ" xfId="714"/>
    <cellStyle name="_Final_Book_010301_Nsi_140 1_раст.-факт" xfId="715"/>
    <cellStyle name="_Final_Book_010301_Nsi_140 2" xfId="716"/>
    <cellStyle name="_Final_Book_010301_Nsi_140 2_Копия Растениеводство форма(Акционеры)" xfId="717"/>
    <cellStyle name="_Final_Book_010301_Nsi_140 2_М( ЗАР)" xfId="718"/>
    <cellStyle name="_Final_Book_010301_Nsi_140 2_Модель АгроГард на 5 лет" xfId="719"/>
    <cellStyle name="_Final_Book_010301_Nsi_140 2_Растениеводство форма( АГМ)" xfId="720"/>
    <cellStyle name="_Final_Book_010301_Nsi_140 2_Свод по Агрохоолдингу  (в т.ч КБН  )" xfId="721"/>
    <cellStyle name="_Final_Book_010301_Nsi_140 2_Форма по растениеводству (Акционеры) ИЛЧ" xfId="722"/>
    <cellStyle name="_Final_Book_010301_Nsi_140 2_раст.-факт" xfId="723"/>
    <cellStyle name="_Final_Book_010301_Nsi_140 3" xfId="724"/>
    <cellStyle name="_Final_Book_010301_Nsi_140 3_Копия Растениеводство форма(Акционеры)" xfId="725"/>
    <cellStyle name="_Final_Book_010301_Nsi_140 3_М( ЗАР)" xfId="726"/>
    <cellStyle name="_Final_Book_010301_Nsi_140 3_Модель АгроГард на 5 лет" xfId="727"/>
    <cellStyle name="_Final_Book_010301_Nsi_140 3_Растениеводство форма( АГМ)" xfId="728"/>
    <cellStyle name="_Final_Book_010301_Nsi_140 3_Свод по Агрохоолдингу  (в т.ч КБН  )" xfId="729"/>
    <cellStyle name="_Final_Book_010301_Nsi_140 3_Форма по растениеводству (Акционеры) ИЛЧ" xfId="730"/>
    <cellStyle name="_Final_Book_010301_Nsi_140 3_раст.-факт" xfId="731"/>
    <cellStyle name="_Final_Book_010301_Nsi_140(Зах)" xfId="732"/>
    <cellStyle name="_Final_Book_010301_Nsi_140(Зах) 1" xfId="733"/>
    <cellStyle name="_Final_Book_010301_Nsi_140(Зах) 1_Копия Растениеводство форма(Акционеры)" xfId="734"/>
    <cellStyle name="_Final_Book_010301_Nsi_140(Зах) 1_М( ЗАР)" xfId="735"/>
    <cellStyle name="_Final_Book_010301_Nsi_140(Зах) 1_Модель АгроГард на 5 лет" xfId="736"/>
    <cellStyle name="_Final_Book_010301_Nsi_140(Зах) 1_Растениеводство форма( АГМ)" xfId="737"/>
    <cellStyle name="_Final_Book_010301_Nsi_140(Зах) 1_Свод по Агрохоолдингу  (в т.ч КБН  )" xfId="738"/>
    <cellStyle name="_Final_Book_010301_Nsi_140(Зах) 1_Форма по растениеводству (Акционеры) ИЛЧ" xfId="739"/>
    <cellStyle name="_Final_Book_010301_Nsi_140(Зах) 1_раст.-факт" xfId="740"/>
    <cellStyle name="_Final_Book_010301_Nsi_140(Зах) 2" xfId="741"/>
    <cellStyle name="_Final_Book_010301_Nsi_140(Зах) 2_Копия Растениеводство форма(Акционеры)" xfId="742"/>
    <cellStyle name="_Final_Book_010301_Nsi_140(Зах) 2_М( ЗАР)" xfId="743"/>
    <cellStyle name="_Final_Book_010301_Nsi_140(Зах) 2_Модель АгроГард на 5 лет" xfId="744"/>
    <cellStyle name="_Final_Book_010301_Nsi_140(Зах) 2_Растениеводство форма( АГМ)" xfId="745"/>
    <cellStyle name="_Final_Book_010301_Nsi_140(Зах) 2_Свод по Агрохоолдингу  (в т.ч КБН  )" xfId="746"/>
    <cellStyle name="_Final_Book_010301_Nsi_140(Зах) 2_Форма по растениеводству (Акционеры) ИЛЧ" xfId="747"/>
    <cellStyle name="_Final_Book_010301_Nsi_140(Зах) 2_раст.-факт" xfId="748"/>
    <cellStyle name="_Final_Book_010301_Nsi_140(Зах) 3" xfId="749"/>
    <cellStyle name="_Final_Book_010301_Nsi_140(Зах) 3_Копия Растениеводство форма(Акционеры)" xfId="750"/>
    <cellStyle name="_Final_Book_010301_Nsi_140(Зах) 3_М( ЗАР)" xfId="751"/>
    <cellStyle name="_Final_Book_010301_Nsi_140(Зах) 3_Модель АгроГард на 5 лет" xfId="752"/>
    <cellStyle name="_Final_Book_010301_Nsi_140(Зах) 3_Растениеводство форма( АГМ)" xfId="753"/>
    <cellStyle name="_Final_Book_010301_Nsi_140(Зах) 3_Свод по Агрохоолдингу  (в т.ч КБН  )" xfId="754"/>
    <cellStyle name="_Final_Book_010301_Nsi_140(Зах) 3_Форма по растениеводству (Акционеры) ИЛЧ" xfId="755"/>
    <cellStyle name="_Final_Book_010301_Nsi_140(Зах) 3_раст.-факт" xfId="756"/>
    <cellStyle name="_Final_Book_010301_Nsi_140(Зах)_АГМ" xfId="757"/>
    <cellStyle name="_Final_Book_010301_Nsi_140(Зах)_Копия Растениеводство форма(Акционеры)" xfId="758"/>
    <cellStyle name="_Final_Book_010301_Nsi_140(Зах)_М( ЗАР)" xfId="759"/>
    <cellStyle name="_Final_Book_010301_Nsi_140(Зах)_Модель АгроГард на 5 лет" xfId="760"/>
    <cellStyle name="_Final_Book_010301_Nsi_140(Зах)_НИК-09" xfId="761"/>
    <cellStyle name="_Final_Book_010301_Nsi_140(Зах)_НИК-09 2" xfId="762"/>
    <cellStyle name="_Final_Book_010301_Nsi_140(Зах)_Растениеводство форма( АГМ)" xfId="763"/>
    <cellStyle name="_Final_Book_010301_Nsi_140(Зах)_Свод по Агрохоолдингу  (в т.ч КБН  )" xfId="764"/>
    <cellStyle name="_Final_Book_010301_Nsi_140(Зах)_ТК-2011 АГМ+транспорт" xfId="765"/>
    <cellStyle name="_Final_Book_010301_Nsi_140(Зах)_Форма по растениеводству (Акционеры) ИЛЧ" xfId="766"/>
    <cellStyle name="_Final_Book_010301_Nsi_140(Зах)_раст.-факт" xfId="767"/>
    <cellStyle name="_Final_Book_010301_Nsi_140_mod" xfId="768"/>
    <cellStyle name="_Final_Book_010301_Nsi_140_mod 1" xfId="769"/>
    <cellStyle name="_Final_Book_010301_Nsi_140_mod 1_Копия Растениеводство форма(Акционеры)" xfId="770"/>
    <cellStyle name="_Final_Book_010301_Nsi_140_mod 1_М( ЗАР)" xfId="771"/>
    <cellStyle name="_Final_Book_010301_Nsi_140_mod 1_Модель АгроГард на 5 лет" xfId="772"/>
    <cellStyle name="_Final_Book_010301_Nsi_140_mod 1_Растениеводство форма( АГМ)" xfId="773"/>
    <cellStyle name="_Final_Book_010301_Nsi_140_mod 1_Свод по Агрохоолдингу  (в т.ч КБН  )" xfId="774"/>
    <cellStyle name="_Final_Book_010301_Nsi_140_mod 1_Форма по растениеводству (Акционеры) ИЛЧ" xfId="775"/>
    <cellStyle name="_Final_Book_010301_Nsi_140_mod 1_раст.-факт" xfId="776"/>
    <cellStyle name="_Final_Book_010301_Nsi_140_mod 2" xfId="777"/>
    <cellStyle name="_Final_Book_010301_Nsi_140_mod 2_Копия Растениеводство форма(Акционеры)" xfId="778"/>
    <cellStyle name="_Final_Book_010301_Nsi_140_mod 2_М( ЗАР)" xfId="779"/>
    <cellStyle name="_Final_Book_010301_Nsi_140_mod 2_Модель АгроГард на 5 лет" xfId="780"/>
    <cellStyle name="_Final_Book_010301_Nsi_140_mod 2_Растениеводство форма( АГМ)" xfId="781"/>
    <cellStyle name="_Final_Book_010301_Nsi_140_mod 2_Свод по Агрохоолдингу  (в т.ч КБН  )" xfId="782"/>
    <cellStyle name="_Final_Book_010301_Nsi_140_mod 2_Форма по растениеводству (Акционеры) ИЛЧ" xfId="783"/>
    <cellStyle name="_Final_Book_010301_Nsi_140_mod 2_раст.-факт" xfId="784"/>
    <cellStyle name="_Final_Book_010301_Nsi_140_mod 3" xfId="785"/>
    <cellStyle name="_Final_Book_010301_Nsi_140_mod 3_Копия Растениеводство форма(Акционеры)" xfId="786"/>
    <cellStyle name="_Final_Book_010301_Nsi_140_mod 3_М( ЗАР)" xfId="787"/>
    <cellStyle name="_Final_Book_010301_Nsi_140_mod 3_Модель АгроГард на 5 лет" xfId="788"/>
    <cellStyle name="_Final_Book_010301_Nsi_140_mod 3_Растениеводство форма( АГМ)" xfId="789"/>
    <cellStyle name="_Final_Book_010301_Nsi_140_mod 3_Свод по Агрохоолдингу  (в т.ч КБН  )" xfId="790"/>
    <cellStyle name="_Final_Book_010301_Nsi_140_mod 3_Форма по растениеводству (Акционеры) ИЛЧ" xfId="791"/>
    <cellStyle name="_Final_Book_010301_Nsi_140_mod 3_раст.-факт" xfId="792"/>
    <cellStyle name="_Final_Book_010301_Nsi_140_mod_АГМ" xfId="793"/>
    <cellStyle name="_Final_Book_010301_Nsi_140_mod_Копия Растениеводство форма(Акционеры)" xfId="794"/>
    <cellStyle name="_Final_Book_010301_Nsi_140_mod_М( ЗАР)" xfId="795"/>
    <cellStyle name="_Final_Book_010301_Nsi_140_mod_Модель АгроГард на 5 лет" xfId="796"/>
    <cellStyle name="_Final_Book_010301_Nsi_140_mod_НИК-09" xfId="797"/>
    <cellStyle name="_Final_Book_010301_Nsi_140_mod_НИК-09 2" xfId="798"/>
    <cellStyle name="_Final_Book_010301_Nsi_140_mod_Растениеводство форма( АГМ)" xfId="799"/>
    <cellStyle name="_Final_Book_010301_Nsi_140_mod_Свод по Агрохоолдингу  (в т.ч КБН  )" xfId="800"/>
    <cellStyle name="_Final_Book_010301_Nsi_140_mod_ТК-2011 АГМ+транспорт" xfId="801"/>
    <cellStyle name="_Final_Book_010301_Nsi_140_mod_Форма по растениеводству (Акционеры) ИЛЧ" xfId="802"/>
    <cellStyle name="_Final_Book_010301_Nsi_140_mod_раст.-факт" xfId="803"/>
    <cellStyle name="_Final_Book_010301_Nsi_140_АГМ" xfId="804"/>
    <cellStyle name="_Final_Book_010301_Nsi_140_Копия Растениеводство форма(Акционеры)" xfId="805"/>
    <cellStyle name="_Final_Book_010301_Nsi_140_М( ЗАР)" xfId="806"/>
    <cellStyle name="_Final_Book_010301_Nsi_140_Модель АгроГард на 5 лет" xfId="807"/>
    <cellStyle name="_Final_Book_010301_Nsi_140_НИК-09" xfId="808"/>
    <cellStyle name="_Final_Book_010301_Nsi_140_НИК-09 2" xfId="809"/>
    <cellStyle name="_Final_Book_010301_Nsi_140_Растениеводство форма( АГМ)" xfId="810"/>
    <cellStyle name="_Final_Book_010301_Nsi_140_Свод по Агрохоолдингу  (в т.ч КБН  )" xfId="811"/>
    <cellStyle name="_Final_Book_010301_Nsi_140_ТК-2011 АГМ+транспорт" xfId="812"/>
    <cellStyle name="_Final_Book_010301_Nsi_140_Форма по растениеводству (Акционеры) ИЛЧ" xfId="813"/>
    <cellStyle name="_Final_Book_010301_Nsi_140_раст.-факт" xfId="814"/>
    <cellStyle name="_Final_Book_010301_Nsi_1_АГМ" xfId="815"/>
    <cellStyle name="_Final_Book_010301_Nsi_1_Копия Растениеводство форма(Акционеры)" xfId="816"/>
    <cellStyle name="_Final_Book_010301_Nsi_1_М( ЗАР)" xfId="817"/>
    <cellStyle name="_Final_Book_010301_Nsi_1_Модель АгроГард на 5 лет" xfId="818"/>
    <cellStyle name="_Final_Book_010301_Nsi_1_НИК-09" xfId="819"/>
    <cellStyle name="_Final_Book_010301_Nsi_1_НИК-09 2" xfId="820"/>
    <cellStyle name="_Final_Book_010301_Nsi_1_Растениеводство форма( АГМ)" xfId="821"/>
    <cellStyle name="_Final_Book_010301_Nsi_1_Свод по Агрохоолдингу  (в т.ч КБН  )" xfId="822"/>
    <cellStyle name="_Final_Book_010301_Nsi_1_ТК-2011 АГМ+транспорт" xfId="823"/>
    <cellStyle name="_Final_Book_010301_Nsi_1_Форма по растениеводству (Акционеры) ИЛЧ" xfId="824"/>
    <cellStyle name="_Final_Book_010301_Nsi_1_раст.-факт" xfId="825"/>
    <cellStyle name="_Final_Book_010301_Nsi_АГМ" xfId="826"/>
    <cellStyle name="_Final_Book_010301_Nsi_Копия Растениеводство форма(Акционеры)" xfId="827"/>
    <cellStyle name="_Final_Book_010301_Nsi_М( ЗАР)" xfId="828"/>
    <cellStyle name="_Final_Book_010301_Nsi_Модель АгроГард на 5 лет" xfId="829"/>
    <cellStyle name="_Final_Book_010301_Nsi_НИК-09" xfId="830"/>
    <cellStyle name="_Final_Book_010301_Nsi_НИК-09 2" xfId="831"/>
    <cellStyle name="_Final_Book_010301_Nsi_Растениеводство форма( АГМ)" xfId="832"/>
    <cellStyle name="_Final_Book_010301_Nsi_Свод по Агрохоолдингу  (в т.ч КБН  )" xfId="833"/>
    <cellStyle name="_Final_Book_010301_Nsi_ТК-2011 АГМ+транспорт" xfId="834"/>
    <cellStyle name="_Final_Book_010301_Nsi_Форма по растениеводству (Акционеры) ИЛЧ" xfId="835"/>
    <cellStyle name="_Final_Book_010301_Nsi_раст.-факт" xfId="836"/>
    <cellStyle name="_Final_Book_010301_Summary" xfId="837"/>
    <cellStyle name="_Final_Book_010301_Summary 1" xfId="838"/>
    <cellStyle name="_Final_Book_010301_Summary 1_Копия Растениеводство форма(Акционеры)" xfId="839"/>
    <cellStyle name="_Final_Book_010301_Summary 1_М( ЗАР)" xfId="840"/>
    <cellStyle name="_Final_Book_010301_Summary 1_Модель АгроГард на 5 лет" xfId="841"/>
    <cellStyle name="_Final_Book_010301_Summary 1_Растениеводство форма( АГМ)" xfId="842"/>
    <cellStyle name="_Final_Book_010301_Summary 1_Свод по Агрохоолдингу  (в т.ч КБН  )" xfId="843"/>
    <cellStyle name="_Final_Book_010301_Summary 1_Форма по растениеводству (Акционеры) ИЛЧ" xfId="844"/>
    <cellStyle name="_Final_Book_010301_Summary 1_раст.-факт" xfId="845"/>
    <cellStyle name="_Final_Book_010301_Summary 2" xfId="846"/>
    <cellStyle name="_Final_Book_010301_Summary 2_Копия Растениеводство форма(Акционеры)" xfId="847"/>
    <cellStyle name="_Final_Book_010301_Summary 2_М( ЗАР)" xfId="848"/>
    <cellStyle name="_Final_Book_010301_Summary 2_Модель АгроГард на 5 лет" xfId="849"/>
    <cellStyle name="_Final_Book_010301_Summary 2_Растениеводство форма( АГМ)" xfId="850"/>
    <cellStyle name="_Final_Book_010301_Summary 2_Свод по Агрохоолдингу  (в т.ч КБН  )" xfId="851"/>
    <cellStyle name="_Final_Book_010301_Summary 2_Форма по растениеводству (Акционеры) ИЛЧ" xfId="852"/>
    <cellStyle name="_Final_Book_010301_Summary 2_раст.-факт" xfId="853"/>
    <cellStyle name="_Final_Book_010301_Summary 3" xfId="854"/>
    <cellStyle name="_Final_Book_010301_Summary 3_Копия Растениеводство форма(Акционеры)" xfId="855"/>
    <cellStyle name="_Final_Book_010301_Summary 3_М( ЗАР)" xfId="856"/>
    <cellStyle name="_Final_Book_010301_Summary 3_Модель АгроГард на 5 лет" xfId="857"/>
    <cellStyle name="_Final_Book_010301_Summary 3_Растениеводство форма( АГМ)" xfId="858"/>
    <cellStyle name="_Final_Book_010301_Summary 3_Свод по Агрохоолдингу  (в т.ч КБН  )" xfId="859"/>
    <cellStyle name="_Final_Book_010301_Summary 3_Форма по растениеводству (Акционеры) ИЛЧ" xfId="860"/>
    <cellStyle name="_Final_Book_010301_Summary 3_раст.-факт" xfId="861"/>
    <cellStyle name="_Final_Book_010301_Summary_АГМ" xfId="862"/>
    <cellStyle name="_Final_Book_010301_Summary_Копия Растениеводство форма(Акционеры)" xfId="863"/>
    <cellStyle name="_Final_Book_010301_Summary_М( ЗАР)" xfId="864"/>
    <cellStyle name="_Final_Book_010301_Summary_Модель АгроГард на 5 лет" xfId="865"/>
    <cellStyle name="_Final_Book_010301_Summary_НИК-09" xfId="866"/>
    <cellStyle name="_Final_Book_010301_Summary_НИК-09 2" xfId="867"/>
    <cellStyle name="_Final_Book_010301_Summary_Растениеводство форма( АГМ)" xfId="868"/>
    <cellStyle name="_Final_Book_010301_Summary_Свод по Агрохоолдингу  (в т.ч КБН  )" xfId="869"/>
    <cellStyle name="_Final_Book_010301_Summary_ТК-2011 АГМ+транспорт" xfId="870"/>
    <cellStyle name="_Final_Book_010301_Summary_Форма по растениеводству (Акционеры) ИЛЧ" xfId="871"/>
    <cellStyle name="_Final_Book_010301_Summary_раст.-факт" xfId="872"/>
    <cellStyle name="_Final_Book_010301_Tax_form_1кв_3" xfId="873"/>
    <cellStyle name="_Final_Book_010301_Tax_form_1кв_3 1" xfId="874"/>
    <cellStyle name="_Final_Book_010301_Tax_form_1кв_3 1_Копия Растениеводство форма(Акционеры)" xfId="875"/>
    <cellStyle name="_Final_Book_010301_Tax_form_1кв_3 1_М( ЗАР)" xfId="876"/>
    <cellStyle name="_Final_Book_010301_Tax_form_1кв_3 1_Модель АгроГард на 5 лет" xfId="877"/>
    <cellStyle name="_Final_Book_010301_Tax_form_1кв_3 1_Растениеводство форма( АГМ)" xfId="878"/>
    <cellStyle name="_Final_Book_010301_Tax_form_1кв_3 1_Свод по Агрохоолдингу  (в т.ч КБН  )" xfId="879"/>
    <cellStyle name="_Final_Book_010301_Tax_form_1кв_3 1_Форма по растениеводству (Акционеры) ИЛЧ" xfId="880"/>
    <cellStyle name="_Final_Book_010301_Tax_form_1кв_3 1_раст.-факт" xfId="881"/>
    <cellStyle name="_Final_Book_010301_Tax_form_1кв_3 2" xfId="882"/>
    <cellStyle name="_Final_Book_010301_Tax_form_1кв_3 2_Копия Растениеводство форма(Акционеры)" xfId="883"/>
    <cellStyle name="_Final_Book_010301_Tax_form_1кв_3 2_М( ЗАР)" xfId="884"/>
    <cellStyle name="_Final_Book_010301_Tax_form_1кв_3 2_Модель АгроГард на 5 лет" xfId="885"/>
    <cellStyle name="_Final_Book_010301_Tax_form_1кв_3 2_Растениеводство форма( АГМ)" xfId="886"/>
    <cellStyle name="_Final_Book_010301_Tax_form_1кв_3 2_Свод по Агрохоолдингу  (в т.ч КБН  )" xfId="887"/>
    <cellStyle name="_Final_Book_010301_Tax_form_1кв_3 2_Форма по растениеводству (Акционеры) ИЛЧ" xfId="888"/>
    <cellStyle name="_Final_Book_010301_Tax_form_1кв_3 2_раст.-факт" xfId="889"/>
    <cellStyle name="_Final_Book_010301_Tax_form_1кв_3 3" xfId="890"/>
    <cellStyle name="_Final_Book_010301_Tax_form_1кв_3 3_Копия Растениеводство форма(Акционеры)" xfId="891"/>
    <cellStyle name="_Final_Book_010301_Tax_form_1кв_3 3_М( ЗАР)" xfId="892"/>
    <cellStyle name="_Final_Book_010301_Tax_form_1кв_3 3_Модель АгроГард на 5 лет" xfId="893"/>
    <cellStyle name="_Final_Book_010301_Tax_form_1кв_3 3_Растениеводство форма( АГМ)" xfId="894"/>
    <cellStyle name="_Final_Book_010301_Tax_form_1кв_3 3_Свод по Агрохоолдингу  (в т.ч КБН  )" xfId="895"/>
    <cellStyle name="_Final_Book_010301_Tax_form_1кв_3 3_Форма по растениеводству (Акционеры) ИЛЧ" xfId="896"/>
    <cellStyle name="_Final_Book_010301_Tax_form_1кв_3 3_раст.-факт" xfId="897"/>
    <cellStyle name="_Final_Book_010301_Tax_form_1кв_3_АГМ" xfId="898"/>
    <cellStyle name="_Final_Book_010301_Tax_form_1кв_3_Копия Растениеводство форма(Акционеры)" xfId="899"/>
    <cellStyle name="_Final_Book_010301_Tax_form_1кв_3_М( ЗАР)" xfId="900"/>
    <cellStyle name="_Final_Book_010301_Tax_form_1кв_3_Модель АгроГард на 5 лет" xfId="901"/>
    <cellStyle name="_Final_Book_010301_Tax_form_1кв_3_НИК-09" xfId="902"/>
    <cellStyle name="_Final_Book_010301_Tax_form_1кв_3_НИК-09 2" xfId="903"/>
    <cellStyle name="_Final_Book_010301_Tax_form_1кв_3_Растениеводство форма( АГМ)" xfId="904"/>
    <cellStyle name="_Final_Book_010301_Tax_form_1кв_3_Свод по Агрохоолдингу  (в т.ч КБН  )" xfId="905"/>
    <cellStyle name="_Final_Book_010301_Tax_form_1кв_3_ТК-2011 АГМ+транспорт" xfId="906"/>
    <cellStyle name="_Final_Book_010301_Tax_form_1кв_3_Форма по растениеводству (Акционеры) ИЛЧ" xfId="907"/>
    <cellStyle name="_Final_Book_010301_Tax_form_1кв_3_раст.-факт" xfId="908"/>
    <cellStyle name="_Final_Book_010301_АГМ" xfId="909"/>
    <cellStyle name="_Final_Book_010301_БКЭ" xfId="910"/>
    <cellStyle name="_Final_Book_010301_БКЭ 1" xfId="911"/>
    <cellStyle name="_Final_Book_010301_БКЭ 1_Копия Растениеводство форма(Акционеры)" xfId="912"/>
    <cellStyle name="_Final_Book_010301_БКЭ 1_М( ЗАР)" xfId="913"/>
    <cellStyle name="_Final_Book_010301_БКЭ 1_Модель АгроГард на 5 лет" xfId="914"/>
    <cellStyle name="_Final_Book_010301_БКЭ 1_Растениеводство форма( АГМ)" xfId="915"/>
    <cellStyle name="_Final_Book_010301_БКЭ 1_Свод по Агрохоолдингу  (в т.ч КБН  )" xfId="916"/>
    <cellStyle name="_Final_Book_010301_БКЭ 1_Форма по растениеводству (Акционеры) ИЛЧ" xfId="917"/>
    <cellStyle name="_Final_Book_010301_БКЭ 1_раст.-факт" xfId="918"/>
    <cellStyle name="_Final_Book_010301_БКЭ 2" xfId="919"/>
    <cellStyle name="_Final_Book_010301_БКЭ 2_Копия Растениеводство форма(Акционеры)" xfId="920"/>
    <cellStyle name="_Final_Book_010301_БКЭ 2_М( ЗАР)" xfId="921"/>
    <cellStyle name="_Final_Book_010301_БКЭ 2_Модель АгроГард на 5 лет" xfId="922"/>
    <cellStyle name="_Final_Book_010301_БКЭ 2_Растениеводство форма( АГМ)" xfId="923"/>
    <cellStyle name="_Final_Book_010301_БКЭ 2_Свод по Агрохоолдингу  (в т.ч КБН  )" xfId="924"/>
    <cellStyle name="_Final_Book_010301_БКЭ 2_Форма по растениеводству (Акционеры) ИЛЧ" xfId="925"/>
    <cellStyle name="_Final_Book_010301_БКЭ 2_раст.-факт" xfId="926"/>
    <cellStyle name="_Final_Book_010301_БКЭ 3" xfId="927"/>
    <cellStyle name="_Final_Book_010301_БКЭ 3_Копия Растениеводство форма(Акционеры)" xfId="928"/>
    <cellStyle name="_Final_Book_010301_БКЭ 3_М( ЗАР)" xfId="929"/>
    <cellStyle name="_Final_Book_010301_БКЭ 3_Модель АгроГард на 5 лет" xfId="930"/>
    <cellStyle name="_Final_Book_010301_БКЭ 3_Растениеводство форма( АГМ)" xfId="931"/>
    <cellStyle name="_Final_Book_010301_БКЭ 3_Свод по Агрохоолдингу  (в т.ч КБН  )" xfId="932"/>
    <cellStyle name="_Final_Book_010301_БКЭ 3_Форма по растениеводству (Акционеры) ИЛЧ" xfId="933"/>
    <cellStyle name="_Final_Book_010301_БКЭ 3_раст.-факт" xfId="934"/>
    <cellStyle name="_Final_Book_010301_БКЭ_АГМ" xfId="935"/>
    <cellStyle name="_Final_Book_010301_БКЭ_Копия Растениеводство форма(Акционеры)" xfId="936"/>
    <cellStyle name="_Final_Book_010301_БКЭ_М( ЗАР)" xfId="937"/>
    <cellStyle name="_Final_Book_010301_БКЭ_Модель АгроГард на 5 лет" xfId="938"/>
    <cellStyle name="_Final_Book_010301_БКЭ_НИК-09" xfId="939"/>
    <cellStyle name="_Final_Book_010301_БКЭ_НИК-09 2" xfId="940"/>
    <cellStyle name="_Final_Book_010301_БКЭ_Растениеводство форма( АГМ)" xfId="941"/>
    <cellStyle name="_Final_Book_010301_БКЭ_Свод по Агрохоолдингу  (в т.ч КБН  )" xfId="942"/>
    <cellStyle name="_Final_Book_010301_БКЭ_ТК-2011 АГМ+транспорт" xfId="943"/>
    <cellStyle name="_Final_Book_010301_БКЭ_Форма по растениеводству (Акционеры) ИЛЧ" xfId="944"/>
    <cellStyle name="_Final_Book_010301_БКЭ_раст.-факт" xfId="945"/>
    <cellStyle name="_Final_Book_010301_Копия Растениеводство форма(Акционеры)" xfId="946"/>
    <cellStyle name="_Final_Book_010301_М( ЗАР)" xfId="947"/>
    <cellStyle name="_Final_Book_010301_Модель АгроГард на 5 лет" xfId="948"/>
    <cellStyle name="_Final_Book_010301_НИК-09" xfId="949"/>
    <cellStyle name="_Final_Book_010301_НИК-09 2" xfId="950"/>
    <cellStyle name="_Final_Book_010301_Растениеводство форма( АГМ)" xfId="951"/>
    <cellStyle name="_Final_Book_010301_Свод по Агрохоолдингу  (в т.ч КБН  )" xfId="952"/>
    <cellStyle name="_Final_Book_010301_ТК-2011 АГМ+транспорт" xfId="953"/>
    <cellStyle name="_Final_Book_010301_Форма по растениеводству (Акционеры) ИЛЧ" xfId="954"/>
    <cellStyle name="_Final_Book_010301_раст.-факт" xfId="955"/>
    <cellStyle name="_New_Sofi" xfId="956"/>
    <cellStyle name="_New_Sofi 1" xfId="957"/>
    <cellStyle name="_New_Sofi 1_Копия Растениеводство форма(Акционеры)" xfId="958"/>
    <cellStyle name="_New_Sofi 1_М( ЗАР)" xfId="959"/>
    <cellStyle name="_New_Sofi 1_Модель АгроГард на 5 лет" xfId="960"/>
    <cellStyle name="_New_Sofi 1_Растениеводство форма( АГМ)" xfId="961"/>
    <cellStyle name="_New_Sofi 1_Свод по Агрохоолдингу  (в т.ч КБН  )" xfId="962"/>
    <cellStyle name="_New_Sofi 1_Форма по растениеводству (Акционеры) ИЛЧ" xfId="963"/>
    <cellStyle name="_New_Sofi 1_раст.-факт" xfId="964"/>
    <cellStyle name="_New_Sofi 2" xfId="965"/>
    <cellStyle name="_New_Sofi 2_Копия Растениеводство форма(Акционеры)" xfId="966"/>
    <cellStyle name="_New_Sofi 2_М( ЗАР)" xfId="967"/>
    <cellStyle name="_New_Sofi 2_Модель АгроГард на 5 лет" xfId="968"/>
    <cellStyle name="_New_Sofi 2_Растениеводство форма( АГМ)" xfId="969"/>
    <cellStyle name="_New_Sofi 2_Свод по Агрохоолдингу  (в т.ч КБН  )" xfId="970"/>
    <cellStyle name="_New_Sofi 2_Форма по растениеводству (Акционеры) ИЛЧ" xfId="971"/>
    <cellStyle name="_New_Sofi 2_раст.-факт" xfId="972"/>
    <cellStyle name="_New_Sofi 3" xfId="973"/>
    <cellStyle name="_New_Sofi 3_Копия Растениеводство форма(Акционеры)" xfId="974"/>
    <cellStyle name="_New_Sofi 3_М( ЗАР)" xfId="975"/>
    <cellStyle name="_New_Sofi 3_Модель АгроГард на 5 лет" xfId="976"/>
    <cellStyle name="_New_Sofi 3_Растениеводство форма( АГМ)" xfId="977"/>
    <cellStyle name="_New_Sofi 3_Свод по Агрохоолдингу  (в т.ч КБН  )" xfId="978"/>
    <cellStyle name="_New_Sofi 3_Форма по растениеводству (Акционеры) ИЛЧ" xfId="979"/>
    <cellStyle name="_New_Sofi 3_раст.-факт" xfId="980"/>
    <cellStyle name="_New_Sofi_FFF" xfId="981"/>
    <cellStyle name="_New_Sofi_FFF 1" xfId="982"/>
    <cellStyle name="_New_Sofi_FFF 1_Копия Растениеводство форма(Акционеры)" xfId="983"/>
    <cellStyle name="_New_Sofi_FFF 1_М( ЗАР)" xfId="984"/>
    <cellStyle name="_New_Sofi_FFF 1_Модель АгроГард на 5 лет" xfId="985"/>
    <cellStyle name="_New_Sofi_FFF 1_Растениеводство форма( АГМ)" xfId="986"/>
    <cellStyle name="_New_Sofi_FFF 1_Свод по Агрохоолдингу  (в т.ч КБН  )" xfId="987"/>
    <cellStyle name="_New_Sofi_FFF 1_Форма по растениеводству (Акционеры) ИЛЧ" xfId="988"/>
    <cellStyle name="_New_Sofi_FFF 1_раст.-факт" xfId="989"/>
    <cellStyle name="_New_Sofi_FFF 2" xfId="990"/>
    <cellStyle name="_New_Sofi_FFF 2_Копия Растениеводство форма(Акционеры)" xfId="991"/>
    <cellStyle name="_New_Sofi_FFF 2_М( ЗАР)" xfId="992"/>
    <cellStyle name="_New_Sofi_FFF 2_Модель АгроГард на 5 лет" xfId="993"/>
    <cellStyle name="_New_Sofi_FFF 2_Растениеводство форма( АГМ)" xfId="994"/>
    <cellStyle name="_New_Sofi_FFF 2_Свод по Агрохоолдингу  (в т.ч КБН  )" xfId="995"/>
    <cellStyle name="_New_Sofi_FFF 2_Форма по растениеводству (Акционеры) ИЛЧ" xfId="996"/>
    <cellStyle name="_New_Sofi_FFF 2_раст.-факт" xfId="997"/>
    <cellStyle name="_New_Sofi_FFF 3" xfId="998"/>
    <cellStyle name="_New_Sofi_FFF 3_Копия Растениеводство форма(Акционеры)" xfId="999"/>
    <cellStyle name="_New_Sofi_FFF 3_М( ЗАР)" xfId="1000"/>
    <cellStyle name="_New_Sofi_FFF 3_Модель АгроГард на 5 лет" xfId="1001"/>
    <cellStyle name="_New_Sofi_FFF 3_Растениеводство форма( АГМ)" xfId="1002"/>
    <cellStyle name="_New_Sofi_FFF 3_Свод по Агрохоолдингу  (в т.ч КБН  )" xfId="1003"/>
    <cellStyle name="_New_Sofi_FFF 3_Форма по растениеводству (Акционеры) ИЛЧ" xfId="1004"/>
    <cellStyle name="_New_Sofi_FFF 3_раст.-факт" xfId="1005"/>
    <cellStyle name="_New_Sofi_FFF_АГМ" xfId="1006"/>
    <cellStyle name="_New_Sofi_FFF_Копия Растениеводство форма(Акционеры)" xfId="1007"/>
    <cellStyle name="_New_Sofi_FFF_М( ЗАР)" xfId="1008"/>
    <cellStyle name="_New_Sofi_FFF_Модель АгроГард на 5 лет" xfId="1009"/>
    <cellStyle name="_New_Sofi_FFF_НИК-09" xfId="1010"/>
    <cellStyle name="_New_Sofi_FFF_НИК-09 2" xfId="1011"/>
    <cellStyle name="_New_Sofi_FFF_Растениеводство форма( АГМ)" xfId="1012"/>
    <cellStyle name="_New_Sofi_FFF_Свод по Агрохоолдингу  (в т.ч КБН  )" xfId="1013"/>
    <cellStyle name="_New_Sofi_FFF_ТК-2011 АГМ+транспорт" xfId="1014"/>
    <cellStyle name="_New_Sofi_FFF_Форма по растениеводству (Акционеры) ИЛЧ" xfId="1015"/>
    <cellStyle name="_New_Sofi_FFF_раст.-факт" xfId="1016"/>
    <cellStyle name="_New_Sofi_New Form10_2" xfId="1017"/>
    <cellStyle name="_New_Sofi_New Form10_2 1" xfId="1018"/>
    <cellStyle name="_New_Sofi_New Form10_2 1_Копия Растениеводство форма(Акционеры)" xfId="1019"/>
    <cellStyle name="_New_Sofi_New Form10_2 1_М( ЗАР)" xfId="1020"/>
    <cellStyle name="_New_Sofi_New Form10_2 1_Модель АгроГард на 5 лет" xfId="1021"/>
    <cellStyle name="_New_Sofi_New Form10_2 1_Растениеводство форма( АГМ)" xfId="1022"/>
    <cellStyle name="_New_Sofi_New Form10_2 1_Свод по Агрохоолдингу  (в т.ч КБН  )" xfId="1023"/>
    <cellStyle name="_New_Sofi_New Form10_2 1_Форма по растениеводству (Акционеры) ИЛЧ" xfId="1024"/>
    <cellStyle name="_New_Sofi_New Form10_2 1_раст.-факт" xfId="1025"/>
    <cellStyle name="_New_Sofi_New Form10_2 2" xfId="1026"/>
    <cellStyle name="_New_Sofi_New Form10_2 2_Копия Растениеводство форма(Акционеры)" xfId="1027"/>
    <cellStyle name="_New_Sofi_New Form10_2 2_М( ЗАР)" xfId="1028"/>
    <cellStyle name="_New_Sofi_New Form10_2 2_Модель АгроГард на 5 лет" xfId="1029"/>
    <cellStyle name="_New_Sofi_New Form10_2 2_Растениеводство форма( АГМ)" xfId="1030"/>
    <cellStyle name="_New_Sofi_New Form10_2 2_Свод по Агрохоолдингу  (в т.ч КБН  )" xfId="1031"/>
    <cellStyle name="_New_Sofi_New Form10_2 2_Форма по растениеводству (Акционеры) ИЛЧ" xfId="1032"/>
    <cellStyle name="_New_Sofi_New Form10_2 2_раст.-факт" xfId="1033"/>
    <cellStyle name="_New_Sofi_New Form10_2 3" xfId="1034"/>
    <cellStyle name="_New_Sofi_New Form10_2 3_Копия Растениеводство форма(Акционеры)" xfId="1035"/>
    <cellStyle name="_New_Sofi_New Form10_2 3_М( ЗАР)" xfId="1036"/>
    <cellStyle name="_New_Sofi_New Form10_2 3_Модель АгроГард на 5 лет" xfId="1037"/>
    <cellStyle name="_New_Sofi_New Form10_2 3_Растениеводство форма( АГМ)" xfId="1038"/>
    <cellStyle name="_New_Sofi_New Form10_2 3_Свод по Агрохоолдингу  (в т.ч КБН  )" xfId="1039"/>
    <cellStyle name="_New_Sofi_New Form10_2 3_Форма по растениеводству (Акционеры) ИЛЧ" xfId="1040"/>
    <cellStyle name="_New_Sofi_New Form10_2 3_раст.-факт" xfId="1041"/>
    <cellStyle name="_New_Sofi_New Form10_2_АГМ" xfId="1042"/>
    <cellStyle name="_New_Sofi_New Form10_2_Копия Растениеводство форма(Акционеры)" xfId="1043"/>
    <cellStyle name="_New_Sofi_New Form10_2_М( ЗАР)" xfId="1044"/>
    <cellStyle name="_New_Sofi_New Form10_2_Модель АгроГард на 5 лет" xfId="1045"/>
    <cellStyle name="_New_Sofi_New Form10_2_НИК-09" xfId="1046"/>
    <cellStyle name="_New_Sofi_New Form10_2_НИК-09 2" xfId="1047"/>
    <cellStyle name="_New_Sofi_New Form10_2_Растениеводство форма( АГМ)" xfId="1048"/>
    <cellStyle name="_New_Sofi_New Form10_2_Свод по Агрохоолдингу  (в т.ч КБН  )" xfId="1049"/>
    <cellStyle name="_New_Sofi_New Form10_2_ТК-2011 АГМ+транспорт" xfId="1050"/>
    <cellStyle name="_New_Sofi_New Form10_2_Форма по растениеводству (Акционеры) ИЛЧ" xfId="1051"/>
    <cellStyle name="_New_Sofi_New Form10_2_раст.-факт" xfId="1052"/>
    <cellStyle name="_New_Sofi_Nsi" xfId="1053"/>
    <cellStyle name="_New_Sofi_Nsi 1" xfId="1054"/>
    <cellStyle name="_New_Sofi_Nsi 1_Копия Растениеводство форма(Акционеры)" xfId="1055"/>
    <cellStyle name="_New_Sofi_Nsi 1_М( ЗАР)" xfId="1056"/>
    <cellStyle name="_New_Sofi_Nsi 1_Модель АгроГард на 5 лет" xfId="1057"/>
    <cellStyle name="_New_Sofi_Nsi 1_Растениеводство форма( АГМ)" xfId="1058"/>
    <cellStyle name="_New_Sofi_Nsi 1_Свод по Агрохоолдингу  (в т.ч КБН  )" xfId="1059"/>
    <cellStyle name="_New_Sofi_Nsi 1_Форма по растениеводству (Акционеры) ИЛЧ" xfId="1060"/>
    <cellStyle name="_New_Sofi_Nsi 1_раст.-факт" xfId="1061"/>
    <cellStyle name="_New_Sofi_Nsi 2" xfId="1062"/>
    <cellStyle name="_New_Sofi_Nsi 2_Копия Растениеводство форма(Акционеры)" xfId="1063"/>
    <cellStyle name="_New_Sofi_Nsi 2_М( ЗАР)" xfId="1064"/>
    <cellStyle name="_New_Sofi_Nsi 2_Модель АгроГард на 5 лет" xfId="1065"/>
    <cellStyle name="_New_Sofi_Nsi 2_Растениеводство форма( АГМ)" xfId="1066"/>
    <cellStyle name="_New_Sofi_Nsi 2_Свод по Агрохоолдингу  (в т.ч КБН  )" xfId="1067"/>
    <cellStyle name="_New_Sofi_Nsi 2_Форма по растениеводству (Акционеры) ИЛЧ" xfId="1068"/>
    <cellStyle name="_New_Sofi_Nsi 2_раст.-факт" xfId="1069"/>
    <cellStyle name="_New_Sofi_Nsi 3" xfId="1070"/>
    <cellStyle name="_New_Sofi_Nsi 3_Копия Растениеводство форма(Акционеры)" xfId="1071"/>
    <cellStyle name="_New_Sofi_Nsi 3_М( ЗАР)" xfId="1072"/>
    <cellStyle name="_New_Sofi_Nsi 3_Модель АгроГард на 5 лет" xfId="1073"/>
    <cellStyle name="_New_Sofi_Nsi 3_Растениеводство форма( АГМ)" xfId="1074"/>
    <cellStyle name="_New_Sofi_Nsi 3_Свод по Агрохоолдингу  (в т.ч КБН  )" xfId="1075"/>
    <cellStyle name="_New_Sofi_Nsi 3_Форма по растениеводству (Акционеры) ИЛЧ" xfId="1076"/>
    <cellStyle name="_New_Sofi_Nsi 3_раст.-факт" xfId="1077"/>
    <cellStyle name="_New_Sofi_Nsi_1" xfId="1078"/>
    <cellStyle name="_New_Sofi_Nsi_1 1" xfId="1079"/>
    <cellStyle name="_New_Sofi_Nsi_1 1_Копия Растениеводство форма(Акционеры)" xfId="1080"/>
    <cellStyle name="_New_Sofi_Nsi_1 1_М( ЗАР)" xfId="1081"/>
    <cellStyle name="_New_Sofi_Nsi_1 1_Модель АгроГард на 5 лет" xfId="1082"/>
    <cellStyle name="_New_Sofi_Nsi_1 1_Растениеводство форма( АГМ)" xfId="1083"/>
    <cellStyle name="_New_Sofi_Nsi_1 1_Свод по Агрохоолдингу  (в т.ч КБН  )" xfId="1084"/>
    <cellStyle name="_New_Sofi_Nsi_1 1_Форма по растениеводству (Акционеры) ИЛЧ" xfId="1085"/>
    <cellStyle name="_New_Sofi_Nsi_1 1_раст.-факт" xfId="1086"/>
    <cellStyle name="_New_Sofi_Nsi_1 2" xfId="1087"/>
    <cellStyle name="_New_Sofi_Nsi_1 2_Копия Растениеводство форма(Акционеры)" xfId="1088"/>
    <cellStyle name="_New_Sofi_Nsi_1 2_М( ЗАР)" xfId="1089"/>
    <cellStyle name="_New_Sofi_Nsi_1 2_Модель АгроГард на 5 лет" xfId="1090"/>
    <cellStyle name="_New_Sofi_Nsi_1 2_Растениеводство форма( АГМ)" xfId="1091"/>
    <cellStyle name="_New_Sofi_Nsi_1 2_Свод по Агрохоолдингу  (в т.ч КБН  )" xfId="1092"/>
    <cellStyle name="_New_Sofi_Nsi_1 2_Форма по растениеводству (Акционеры) ИЛЧ" xfId="1093"/>
    <cellStyle name="_New_Sofi_Nsi_1 2_раст.-факт" xfId="1094"/>
    <cellStyle name="_New_Sofi_Nsi_1 3" xfId="1095"/>
    <cellStyle name="_New_Sofi_Nsi_1 3_Копия Растениеводство форма(Акционеры)" xfId="1096"/>
    <cellStyle name="_New_Sofi_Nsi_1 3_М( ЗАР)" xfId="1097"/>
    <cellStyle name="_New_Sofi_Nsi_1 3_Модель АгроГард на 5 лет" xfId="1098"/>
    <cellStyle name="_New_Sofi_Nsi_1 3_Растениеводство форма( АГМ)" xfId="1099"/>
    <cellStyle name="_New_Sofi_Nsi_1 3_Свод по Агрохоолдингу  (в т.ч КБН  )" xfId="1100"/>
    <cellStyle name="_New_Sofi_Nsi_1 3_Форма по растениеводству (Акционеры) ИЛЧ" xfId="1101"/>
    <cellStyle name="_New_Sofi_Nsi_1 3_раст.-факт" xfId="1102"/>
    <cellStyle name="_New_Sofi_Nsi_139" xfId="1103"/>
    <cellStyle name="_New_Sofi_Nsi_139 1" xfId="1104"/>
    <cellStyle name="_New_Sofi_Nsi_139 1_Копия Растениеводство форма(Акционеры)" xfId="1105"/>
    <cellStyle name="_New_Sofi_Nsi_139 1_М( ЗАР)" xfId="1106"/>
    <cellStyle name="_New_Sofi_Nsi_139 1_Модель АгроГард на 5 лет" xfId="1107"/>
    <cellStyle name="_New_Sofi_Nsi_139 1_Растениеводство форма( АГМ)" xfId="1108"/>
    <cellStyle name="_New_Sofi_Nsi_139 1_Свод по Агрохоолдингу  (в т.ч КБН  )" xfId="1109"/>
    <cellStyle name="_New_Sofi_Nsi_139 1_Форма по растениеводству (Акционеры) ИЛЧ" xfId="1110"/>
    <cellStyle name="_New_Sofi_Nsi_139 1_раст.-факт" xfId="1111"/>
    <cellStyle name="_New_Sofi_Nsi_139 2" xfId="1112"/>
    <cellStyle name="_New_Sofi_Nsi_139 2_Копия Растениеводство форма(Акционеры)" xfId="1113"/>
    <cellStyle name="_New_Sofi_Nsi_139 2_М( ЗАР)" xfId="1114"/>
    <cellStyle name="_New_Sofi_Nsi_139 2_Модель АгроГард на 5 лет" xfId="1115"/>
    <cellStyle name="_New_Sofi_Nsi_139 2_Растениеводство форма( АГМ)" xfId="1116"/>
    <cellStyle name="_New_Sofi_Nsi_139 2_Свод по Агрохоолдингу  (в т.ч КБН  )" xfId="1117"/>
    <cellStyle name="_New_Sofi_Nsi_139 2_Форма по растениеводству (Акционеры) ИЛЧ" xfId="1118"/>
    <cellStyle name="_New_Sofi_Nsi_139 2_раст.-факт" xfId="1119"/>
    <cellStyle name="_New_Sofi_Nsi_139 3" xfId="1120"/>
    <cellStyle name="_New_Sofi_Nsi_139 3_Копия Растениеводство форма(Акционеры)" xfId="1121"/>
    <cellStyle name="_New_Sofi_Nsi_139 3_М( ЗАР)" xfId="1122"/>
    <cellStyle name="_New_Sofi_Nsi_139 3_Модель АгроГард на 5 лет" xfId="1123"/>
    <cellStyle name="_New_Sofi_Nsi_139 3_Растениеводство форма( АГМ)" xfId="1124"/>
    <cellStyle name="_New_Sofi_Nsi_139 3_Свод по Агрохоолдингу  (в т.ч КБН  )" xfId="1125"/>
    <cellStyle name="_New_Sofi_Nsi_139 3_Форма по растениеводству (Акционеры) ИЛЧ" xfId="1126"/>
    <cellStyle name="_New_Sofi_Nsi_139 3_раст.-факт" xfId="1127"/>
    <cellStyle name="_New_Sofi_Nsi_139_АГМ" xfId="1128"/>
    <cellStyle name="_New_Sofi_Nsi_139_Копия Растениеводство форма(Акционеры)" xfId="1129"/>
    <cellStyle name="_New_Sofi_Nsi_139_М( ЗАР)" xfId="1130"/>
    <cellStyle name="_New_Sofi_Nsi_139_Модель АгроГард на 5 лет" xfId="1131"/>
    <cellStyle name="_New_Sofi_Nsi_139_НИК-09" xfId="1132"/>
    <cellStyle name="_New_Sofi_Nsi_139_НИК-09 2" xfId="1133"/>
    <cellStyle name="_New_Sofi_Nsi_139_Растениеводство форма( АГМ)" xfId="1134"/>
    <cellStyle name="_New_Sofi_Nsi_139_Свод по Агрохоолдингу  (в т.ч КБН  )" xfId="1135"/>
    <cellStyle name="_New_Sofi_Nsi_139_ТК-2011 АГМ+транспорт" xfId="1136"/>
    <cellStyle name="_New_Sofi_Nsi_139_Форма по растениеводству (Акционеры) ИЛЧ" xfId="1137"/>
    <cellStyle name="_New_Sofi_Nsi_139_раст.-факт" xfId="1138"/>
    <cellStyle name="_New_Sofi_Nsi_140" xfId="1139"/>
    <cellStyle name="_New_Sofi_Nsi_140 1" xfId="1140"/>
    <cellStyle name="_New_Sofi_Nsi_140 1_Копия Растениеводство форма(Акционеры)" xfId="1141"/>
    <cellStyle name="_New_Sofi_Nsi_140 1_М( ЗАР)" xfId="1142"/>
    <cellStyle name="_New_Sofi_Nsi_140 1_Модель АгроГард на 5 лет" xfId="1143"/>
    <cellStyle name="_New_Sofi_Nsi_140 1_Растениеводство форма( АГМ)" xfId="1144"/>
    <cellStyle name="_New_Sofi_Nsi_140 1_Свод по Агрохоолдингу  (в т.ч КБН  )" xfId="1145"/>
    <cellStyle name="_New_Sofi_Nsi_140 1_Форма по растениеводству (Акционеры) ИЛЧ" xfId="1146"/>
    <cellStyle name="_New_Sofi_Nsi_140 1_раст.-факт" xfId="1147"/>
    <cellStyle name="_New_Sofi_Nsi_140 2" xfId="1148"/>
    <cellStyle name="_New_Sofi_Nsi_140 2_Копия Растениеводство форма(Акционеры)" xfId="1149"/>
    <cellStyle name="_New_Sofi_Nsi_140 2_М( ЗАР)" xfId="1150"/>
    <cellStyle name="_New_Sofi_Nsi_140 2_Модель АгроГард на 5 лет" xfId="1151"/>
    <cellStyle name="_New_Sofi_Nsi_140 2_Растениеводство форма( АГМ)" xfId="1152"/>
    <cellStyle name="_New_Sofi_Nsi_140 2_Свод по Агрохоолдингу  (в т.ч КБН  )" xfId="1153"/>
    <cellStyle name="_New_Sofi_Nsi_140 2_Форма по растениеводству (Акционеры) ИЛЧ" xfId="1154"/>
    <cellStyle name="_New_Sofi_Nsi_140 2_раст.-факт" xfId="1155"/>
    <cellStyle name="_New_Sofi_Nsi_140 3" xfId="1156"/>
    <cellStyle name="_New_Sofi_Nsi_140 3_Копия Растениеводство форма(Акционеры)" xfId="1157"/>
    <cellStyle name="_New_Sofi_Nsi_140 3_М( ЗАР)" xfId="1158"/>
    <cellStyle name="_New_Sofi_Nsi_140 3_Модель АгроГард на 5 лет" xfId="1159"/>
    <cellStyle name="_New_Sofi_Nsi_140 3_Растениеводство форма( АГМ)" xfId="1160"/>
    <cellStyle name="_New_Sofi_Nsi_140 3_Свод по Агрохоолдингу  (в т.ч КБН  )" xfId="1161"/>
    <cellStyle name="_New_Sofi_Nsi_140 3_Форма по растениеводству (Акционеры) ИЛЧ" xfId="1162"/>
    <cellStyle name="_New_Sofi_Nsi_140 3_раст.-факт" xfId="1163"/>
    <cellStyle name="_New_Sofi_Nsi_140(Зах)" xfId="1164"/>
    <cellStyle name="_New_Sofi_Nsi_140(Зах) 1" xfId="1165"/>
    <cellStyle name="_New_Sofi_Nsi_140(Зах) 1_Копия Растениеводство форма(Акционеры)" xfId="1166"/>
    <cellStyle name="_New_Sofi_Nsi_140(Зах) 1_М( ЗАР)" xfId="1167"/>
    <cellStyle name="_New_Sofi_Nsi_140(Зах) 1_Модель АгроГард на 5 лет" xfId="1168"/>
    <cellStyle name="_New_Sofi_Nsi_140(Зах) 1_Растениеводство форма( АГМ)" xfId="1169"/>
    <cellStyle name="_New_Sofi_Nsi_140(Зах) 1_Свод по Агрохоолдингу  (в т.ч КБН  )" xfId="1170"/>
    <cellStyle name="_New_Sofi_Nsi_140(Зах) 1_Форма по растениеводству (Акционеры) ИЛЧ" xfId="1171"/>
    <cellStyle name="_New_Sofi_Nsi_140(Зах) 1_раст.-факт" xfId="1172"/>
    <cellStyle name="_New_Sofi_Nsi_140(Зах) 2" xfId="1173"/>
    <cellStyle name="_New_Sofi_Nsi_140(Зах) 2_Копия Растениеводство форма(Акционеры)" xfId="1174"/>
    <cellStyle name="_New_Sofi_Nsi_140(Зах) 2_М( ЗАР)" xfId="1175"/>
    <cellStyle name="_New_Sofi_Nsi_140(Зах) 2_Модель АгроГард на 5 лет" xfId="1176"/>
    <cellStyle name="_New_Sofi_Nsi_140(Зах) 2_Растениеводство форма( АГМ)" xfId="1177"/>
    <cellStyle name="_New_Sofi_Nsi_140(Зах) 2_Свод по Агрохоолдингу  (в т.ч КБН  )" xfId="1178"/>
    <cellStyle name="_New_Sofi_Nsi_140(Зах) 2_Форма по растениеводству (Акционеры) ИЛЧ" xfId="1179"/>
    <cellStyle name="_New_Sofi_Nsi_140(Зах) 2_раст.-факт" xfId="1180"/>
    <cellStyle name="_New_Sofi_Nsi_140(Зах) 3" xfId="1181"/>
    <cellStyle name="_New_Sofi_Nsi_140(Зах) 3_Копия Растениеводство форма(Акционеры)" xfId="1182"/>
    <cellStyle name="_New_Sofi_Nsi_140(Зах) 3_М( ЗАР)" xfId="1183"/>
    <cellStyle name="_New_Sofi_Nsi_140(Зах) 3_Модель АгроГард на 5 лет" xfId="1184"/>
    <cellStyle name="_New_Sofi_Nsi_140(Зах) 3_Растениеводство форма( АГМ)" xfId="1185"/>
    <cellStyle name="_New_Sofi_Nsi_140(Зах) 3_Свод по Агрохоолдингу  (в т.ч КБН  )" xfId="1186"/>
    <cellStyle name="_New_Sofi_Nsi_140(Зах) 3_Форма по растениеводству (Акционеры) ИЛЧ" xfId="1187"/>
    <cellStyle name="_New_Sofi_Nsi_140(Зах) 3_раст.-факт" xfId="1188"/>
    <cellStyle name="_New_Sofi_Nsi_140(Зах)_АГМ" xfId="1189"/>
    <cellStyle name="_New_Sofi_Nsi_140(Зах)_Копия Растениеводство форма(Акционеры)" xfId="1190"/>
    <cellStyle name="_New_Sofi_Nsi_140(Зах)_М( ЗАР)" xfId="1191"/>
    <cellStyle name="_New_Sofi_Nsi_140(Зах)_Модель АгроГард на 5 лет" xfId="1192"/>
    <cellStyle name="_New_Sofi_Nsi_140(Зах)_НИК-09" xfId="1193"/>
    <cellStyle name="_New_Sofi_Nsi_140(Зах)_НИК-09 2" xfId="1194"/>
    <cellStyle name="_New_Sofi_Nsi_140(Зах)_Растениеводство форма( АГМ)" xfId="1195"/>
    <cellStyle name="_New_Sofi_Nsi_140(Зах)_Свод по Агрохоолдингу  (в т.ч КБН  )" xfId="1196"/>
    <cellStyle name="_New_Sofi_Nsi_140(Зах)_ТК-2011 АГМ+транспорт" xfId="1197"/>
    <cellStyle name="_New_Sofi_Nsi_140(Зах)_Форма по растениеводству (Акционеры) ИЛЧ" xfId="1198"/>
    <cellStyle name="_New_Sofi_Nsi_140(Зах)_раст.-факт" xfId="1199"/>
    <cellStyle name="_New_Sofi_Nsi_140_mod" xfId="1200"/>
    <cellStyle name="_New_Sofi_Nsi_140_mod 1" xfId="1201"/>
    <cellStyle name="_New_Sofi_Nsi_140_mod 1_Копия Растениеводство форма(Акционеры)" xfId="1202"/>
    <cellStyle name="_New_Sofi_Nsi_140_mod 1_М( ЗАР)" xfId="1203"/>
    <cellStyle name="_New_Sofi_Nsi_140_mod 1_Модель АгроГард на 5 лет" xfId="1204"/>
    <cellStyle name="_New_Sofi_Nsi_140_mod 1_Растениеводство форма( АГМ)" xfId="1205"/>
    <cellStyle name="_New_Sofi_Nsi_140_mod 1_Свод по Агрохоолдингу  (в т.ч КБН  )" xfId="1206"/>
    <cellStyle name="_New_Sofi_Nsi_140_mod 1_Форма по растениеводству (Акционеры) ИЛЧ" xfId="1207"/>
    <cellStyle name="_New_Sofi_Nsi_140_mod 1_раст.-факт" xfId="1208"/>
    <cellStyle name="_New_Sofi_Nsi_140_mod 2" xfId="1209"/>
    <cellStyle name="_New_Sofi_Nsi_140_mod 2_Копия Растениеводство форма(Акционеры)" xfId="1210"/>
    <cellStyle name="_New_Sofi_Nsi_140_mod 2_М( ЗАР)" xfId="1211"/>
    <cellStyle name="_New_Sofi_Nsi_140_mod 2_Модель АгроГард на 5 лет" xfId="1212"/>
    <cellStyle name="_New_Sofi_Nsi_140_mod 2_Растениеводство форма( АГМ)" xfId="1213"/>
    <cellStyle name="_New_Sofi_Nsi_140_mod 2_Свод по Агрохоолдингу  (в т.ч КБН  )" xfId="1214"/>
    <cellStyle name="_New_Sofi_Nsi_140_mod 2_Форма по растениеводству (Акционеры) ИЛЧ" xfId="1215"/>
    <cellStyle name="_New_Sofi_Nsi_140_mod 2_раст.-факт" xfId="1216"/>
    <cellStyle name="_New_Sofi_Nsi_140_mod 3" xfId="1217"/>
    <cellStyle name="_New_Sofi_Nsi_140_mod 3_Копия Растениеводство форма(Акционеры)" xfId="1218"/>
    <cellStyle name="_New_Sofi_Nsi_140_mod 3_М( ЗАР)" xfId="1219"/>
    <cellStyle name="_New_Sofi_Nsi_140_mod 3_Модель АгроГард на 5 лет" xfId="1220"/>
    <cellStyle name="_New_Sofi_Nsi_140_mod 3_Растениеводство форма( АГМ)" xfId="1221"/>
    <cellStyle name="_New_Sofi_Nsi_140_mod 3_Свод по Агрохоолдингу  (в т.ч КБН  )" xfId="1222"/>
    <cellStyle name="_New_Sofi_Nsi_140_mod 3_Форма по растениеводству (Акционеры) ИЛЧ" xfId="1223"/>
    <cellStyle name="_New_Sofi_Nsi_140_mod 3_раст.-факт" xfId="1224"/>
    <cellStyle name="_New_Sofi_Nsi_140_mod_АГМ" xfId="1225"/>
    <cellStyle name="_New_Sofi_Nsi_140_mod_Копия Растениеводство форма(Акционеры)" xfId="1226"/>
    <cellStyle name="_New_Sofi_Nsi_140_mod_М( ЗАР)" xfId="1227"/>
    <cellStyle name="_New_Sofi_Nsi_140_mod_Модель АгроГард на 5 лет" xfId="1228"/>
    <cellStyle name="_New_Sofi_Nsi_140_mod_НИК-09" xfId="1229"/>
    <cellStyle name="_New_Sofi_Nsi_140_mod_НИК-09 2" xfId="1230"/>
    <cellStyle name="_New_Sofi_Nsi_140_mod_Растениеводство форма( АГМ)" xfId="1231"/>
    <cellStyle name="_New_Sofi_Nsi_140_mod_Свод по Агрохоолдингу  (в т.ч КБН  )" xfId="1232"/>
    <cellStyle name="_New_Sofi_Nsi_140_mod_ТК-2011 АГМ+транспорт" xfId="1233"/>
    <cellStyle name="_New_Sofi_Nsi_140_mod_Форма по растениеводству (Акционеры) ИЛЧ" xfId="1234"/>
    <cellStyle name="_New_Sofi_Nsi_140_mod_раст.-факт" xfId="1235"/>
    <cellStyle name="_New_Sofi_Nsi_140_АГМ" xfId="1236"/>
    <cellStyle name="_New_Sofi_Nsi_140_Копия Растениеводство форма(Акционеры)" xfId="1237"/>
    <cellStyle name="_New_Sofi_Nsi_140_М( ЗАР)" xfId="1238"/>
    <cellStyle name="_New_Sofi_Nsi_140_Модель АгроГард на 5 лет" xfId="1239"/>
    <cellStyle name="_New_Sofi_Nsi_140_НИК-09" xfId="1240"/>
    <cellStyle name="_New_Sofi_Nsi_140_НИК-09 2" xfId="1241"/>
    <cellStyle name="_New_Sofi_Nsi_140_Растениеводство форма( АГМ)" xfId="1242"/>
    <cellStyle name="_New_Sofi_Nsi_140_Свод по Агрохоолдингу  (в т.ч КБН  )" xfId="1243"/>
    <cellStyle name="_New_Sofi_Nsi_140_ТК-2011 АГМ+транспорт" xfId="1244"/>
    <cellStyle name="_New_Sofi_Nsi_140_Форма по растениеводству (Акционеры) ИЛЧ" xfId="1245"/>
    <cellStyle name="_New_Sofi_Nsi_140_раст.-факт" xfId="1246"/>
    <cellStyle name="_New_Sofi_Nsi_1_АГМ" xfId="1247"/>
    <cellStyle name="_New_Sofi_Nsi_1_Копия Растениеводство форма(Акционеры)" xfId="1248"/>
    <cellStyle name="_New_Sofi_Nsi_1_М( ЗАР)" xfId="1249"/>
    <cellStyle name="_New_Sofi_Nsi_1_Модель АгроГард на 5 лет" xfId="1250"/>
    <cellStyle name="_New_Sofi_Nsi_1_НИК-09" xfId="1251"/>
    <cellStyle name="_New_Sofi_Nsi_1_НИК-09 2" xfId="1252"/>
    <cellStyle name="_New_Sofi_Nsi_1_Растениеводство форма( АГМ)" xfId="1253"/>
    <cellStyle name="_New_Sofi_Nsi_1_Свод по Агрохоолдингу  (в т.ч КБН  )" xfId="1254"/>
    <cellStyle name="_New_Sofi_Nsi_1_ТК-2011 АГМ+транспорт" xfId="1255"/>
    <cellStyle name="_New_Sofi_Nsi_1_Форма по растениеводству (Акционеры) ИЛЧ" xfId="1256"/>
    <cellStyle name="_New_Sofi_Nsi_1_раст.-факт" xfId="1257"/>
    <cellStyle name="_New_Sofi_Nsi_АГМ" xfId="1258"/>
    <cellStyle name="_New_Sofi_Nsi_Копия Растениеводство форма(Акционеры)" xfId="1259"/>
    <cellStyle name="_New_Sofi_Nsi_М( ЗАР)" xfId="1260"/>
    <cellStyle name="_New_Sofi_Nsi_Модель АгроГард на 5 лет" xfId="1261"/>
    <cellStyle name="_New_Sofi_Nsi_НИК-09" xfId="1262"/>
    <cellStyle name="_New_Sofi_Nsi_НИК-09 2" xfId="1263"/>
    <cellStyle name="_New_Sofi_Nsi_Растениеводство форма( АГМ)" xfId="1264"/>
    <cellStyle name="_New_Sofi_Nsi_Свод по Агрохоолдингу  (в т.ч КБН  )" xfId="1265"/>
    <cellStyle name="_New_Sofi_Nsi_ТК-2011 АГМ+транспорт" xfId="1266"/>
    <cellStyle name="_New_Sofi_Nsi_Форма по растениеводству (Акционеры) ИЛЧ" xfId="1267"/>
    <cellStyle name="_New_Sofi_Nsi_раст.-факт" xfId="1268"/>
    <cellStyle name="_New_Sofi_Summary" xfId="1269"/>
    <cellStyle name="_New_Sofi_Summary 1" xfId="1270"/>
    <cellStyle name="_New_Sofi_Summary 1_Копия Растениеводство форма(Акционеры)" xfId="1271"/>
    <cellStyle name="_New_Sofi_Summary 1_М( ЗАР)" xfId="1272"/>
    <cellStyle name="_New_Sofi_Summary 1_Модель АгроГард на 5 лет" xfId="1273"/>
    <cellStyle name="_New_Sofi_Summary 1_Растениеводство форма( АГМ)" xfId="1274"/>
    <cellStyle name="_New_Sofi_Summary 1_Свод по Агрохоолдингу  (в т.ч КБН  )" xfId="1275"/>
    <cellStyle name="_New_Sofi_Summary 1_Форма по растениеводству (Акционеры) ИЛЧ" xfId="1276"/>
    <cellStyle name="_New_Sofi_Summary 1_раст.-факт" xfId="1277"/>
    <cellStyle name="_New_Sofi_Summary 2" xfId="1278"/>
    <cellStyle name="_New_Sofi_Summary 2_Копия Растениеводство форма(Акционеры)" xfId="1279"/>
    <cellStyle name="_New_Sofi_Summary 2_М( ЗАР)" xfId="1280"/>
    <cellStyle name="_New_Sofi_Summary 2_Модель АгроГард на 5 лет" xfId="1281"/>
    <cellStyle name="_New_Sofi_Summary 2_Растениеводство форма( АГМ)" xfId="1282"/>
    <cellStyle name="_New_Sofi_Summary 2_Свод по Агрохоолдингу  (в т.ч КБН  )" xfId="1283"/>
    <cellStyle name="_New_Sofi_Summary 2_Форма по растениеводству (Акционеры) ИЛЧ" xfId="1284"/>
    <cellStyle name="_New_Sofi_Summary 2_раст.-факт" xfId="1285"/>
    <cellStyle name="_New_Sofi_Summary 3" xfId="1286"/>
    <cellStyle name="_New_Sofi_Summary 3_Копия Растениеводство форма(Акционеры)" xfId="1287"/>
    <cellStyle name="_New_Sofi_Summary 3_М( ЗАР)" xfId="1288"/>
    <cellStyle name="_New_Sofi_Summary 3_Модель АгроГард на 5 лет" xfId="1289"/>
    <cellStyle name="_New_Sofi_Summary 3_Растениеводство форма( АГМ)" xfId="1290"/>
    <cellStyle name="_New_Sofi_Summary 3_Свод по Агрохоолдингу  (в т.ч КБН  )" xfId="1291"/>
    <cellStyle name="_New_Sofi_Summary 3_Форма по растениеводству (Акционеры) ИЛЧ" xfId="1292"/>
    <cellStyle name="_New_Sofi_Summary 3_раст.-факт" xfId="1293"/>
    <cellStyle name="_New_Sofi_Summary_АГМ" xfId="1294"/>
    <cellStyle name="_New_Sofi_Summary_Копия Растениеводство форма(Акционеры)" xfId="1295"/>
    <cellStyle name="_New_Sofi_Summary_М( ЗАР)" xfId="1296"/>
    <cellStyle name="_New_Sofi_Summary_Модель АгроГард на 5 лет" xfId="1297"/>
    <cellStyle name="_New_Sofi_Summary_НИК-09" xfId="1298"/>
    <cellStyle name="_New_Sofi_Summary_НИК-09 2" xfId="1299"/>
    <cellStyle name="_New_Sofi_Summary_Растениеводство форма( АГМ)" xfId="1300"/>
    <cellStyle name="_New_Sofi_Summary_Свод по Агрохоолдингу  (в т.ч КБН  )" xfId="1301"/>
    <cellStyle name="_New_Sofi_Summary_ТК-2011 АГМ+транспорт" xfId="1302"/>
    <cellStyle name="_New_Sofi_Summary_Форма по растениеводству (Акционеры) ИЛЧ" xfId="1303"/>
    <cellStyle name="_New_Sofi_Summary_раст.-факт" xfId="1304"/>
    <cellStyle name="_New_Sofi_Tax_form_1кв_3" xfId="1305"/>
    <cellStyle name="_New_Sofi_Tax_form_1кв_3 1" xfId="1306"/>
    <cellStyle name="_New_Sofi_Tax_form_1кв_3 1_Копия Растениеводство форма(Акционеры)" xfId="1307"/>
    <cellStyle name="_New_Sofi_Tax_form_1кв_3 1_М( ЗАР)" xfId="1308"/>
    <cellStyle name="_New_Sofi_Tax_form_1кв_3 1_Модель АгроГард на 5 лет" xfId="1309"/>
    <cellStyle name="_New_Sofi_Tax_form_1кв_3 1_Растениеводство форма( АГМ)" xfId="1310"/>
    <cellStyle name="_New_Sofi_Tax_form_1кв_3 1_Свод по Агрохоолдингу  (в т.ч КБН  )" xfId="1311"/>
    <cellStyle name="_New_Sofi_Tax_form_1кв_3 1_Форма по растениеводству (Акционеры) ИЛЧ" xfId="1312"/>
    <cellStyle name="_New_Sofi_Tax_form_1кв_3 1_раст.-факт" xfId="1313"/>
    <cellStyle name="_New_Sofi_Tax_form_1кв_3 2" xfId="1314"/>
    <cellStyle name="_New_Sofi_Tax_form_1кв_3 2_Копия Растениеводство форма(Акционеры)" xfId="1315"/>
    <cellStyle name="_New_Sofi_Tax_form_1кв_3 2_М( ЗАР)" xfId="1316"/>
    <cellStyle name="_New_Sofi_Tax_form_1кв_3 2_Модель АгроГард на 5 лет" xfId="1317"/>
    <cellStyle name="_New_Sofi_Tax_form_1кв_3 2_Растениеводство форма( АГМ)" xfId="1318"/>
    <cellStyle name="_New_Sofi_Tax_form_1кв_3 2_Свод по Агрохоолдингу  (в т.ч КБН  )" xfId="1319"/>
    <cellStyle name="_New_Sofi_Tax_form_1кв_3 2_Форма по растениеводству (Акционеры) ИЛЧ" xfId="1320"/>
    <cellStyle name="_New_Sofi_Tax_form_1кв_3 2_раст.-факт" xfId="1321"/>
    <cellStyle name="_New_Sofi_Tax_form_1кв_3 3" xfId="1322"/>
    <cellStyle name="_New_Sofi_Tax_form_1кв_3 3_Копия Растениеводство форма(Акционеры)" xfId="1323"/>
    <cellStyle name="_New_Sofi_Tax_form_1кв_3 3_М( ЗАР)" xfId="1324"/>
    <cellStyle name="_New_Sofi_Tax_form_1кв_3 3_Модель АгроГард на 5 лет" xfId="1325"/>
    <cellStyle name="_New_Sofi_Tax_form_1кв_3 3_Растениеводство форма( АГМ)" xfId="1326"/>
    <cellStyle name="_New_Sofi_Tax_form_1кв_3 3_Свод по Агрохоолдингу  (в т.ч КБН  )" xfId="1327"/>
    <cellStyle name="_New_Sofi_Tax_form_1кв_3 3_Форма по растениеводству (Акционеры) ИЛЧ" xfId="1328"/>
    <cellStyle name="_New_Sofi_Tax_form_1кв_3 3_раст.-факт" xfId="1329"/>
    <cellStyle name="_New_Sofi_Tax_form_1кв_3_АГМ" xfId="1330"/>
    <cellStyle name="_New_Sofi_Tax_form_1кв_3_Копия Растениеводство форма(Акционеры)" xfId="1331"/>
    <cellStyle name="_New_Sofi_Tax_form_1кв_3_М( ЗАР)" xfId="1332"/>
    <cellStyle name="_New_Sofi_Tax_form_1кв_3_Модель АгроГард на 5 лет" xfId="1333"/>
    <cellStyle name="_New_Sofi_Tax_form_1кв_3_НИК-09" xfId="1334"/>
    <cellStyle name="_New_Sofi_Tax_form_1кв_3_НИК-09 2" xfId="1335"/>
    <cellStyle name="_New_Sofi_Tax_form_1кв_3_Растениеводство форма( АГМ)" xfId="1336"/>
    <cellStyle name="_New_Sofi_Tax_form_1кв_3_Свод по Агрохоолдингу  (в т.ч КБН  )" xfId="1337"/>
    <cellStyle name="_New_Sofi_Tax_form_1кв_3_ТК-2011 АГМ+транспорт" xfId="1338"/>
    <cellStyle name="_New_Sofi_Tax_form_1кв_3_Форма по растениеводству (Акционеры) ИЛЧ" xfId="1339"/>
    <cellStyle name="_New_Sofi_Tax_form_1кв_3_раст.-факт" xfId="1340"/>
    <cellStyle name="_New_Sofi_АГМ" xfId="1341"/>
    <cellStyle name="_New_Sofi_БКЭ" xfId="1342"/>
    <cellStyle name="_New_Sofi_БКЭ 1" xfId="1343"/>
    <cellStyle name="_New_Sofi_БКЭ 1_Копия Растениеводство форма(Акционеры)" xfId="1344"/>
    <cellStyle name="_New_Sofi_БКЭ 1_М( ЗАР)" xfId="1345"/>
    <cellStyle name="_New_Sofi_БКЭ 1_Модель АгроГард на 5 лет" xfId="1346"/>
    <cellStyle name="_New_Sofi_БКЭ 1_Растениеводство форма( АГМ)" xfId="1347"/>
    <cellStyle name="_New_Sofi_БКЭ 1_Свод по Агрохоолдингу  (в т.ч КБН  )" xfId="1348"/>
    <cellStyle name="_New_Sofi_БКЭ 1_Форма по растениеводству (Акционеры) ИЛЧ" xfId="1349"/>
    <cellStyle name="_New_Sofi_БКЭ 1_раст.-факт" xfId="1350"/>
    <cellStyle name="_New_Sofi_БКЭ 2" xfId="1351"/>
    <cellStyle name="_New_Sofi_БКЭ 2_Копия Растениеводство форма(Акционеры)" xfId="1352"/>
    <cellStyle name="_New_Sofi_БКЭ 2_М( ЗАР)" xfId="1353"/>
    <cellStyle name="_New_Sofi_БКЭ 2_Модель АгроГард на 5 лет" xfId="1354"/>
    <cellStyle name="_New_Sofi_БКЭ 2_Растениеводство форма( АГМ)" xfId="1355"/>
    <cellStyle name="_New_Sofi_БКЭ 2_Свод по Агрохоолдингу  (в т.ч КБН  )" xfId="1356"/>
    <cellStyle name="_New_Sofi_БКЭ 2_Форма по растениеводству (Акционеры) ИЛЧ" xfId="1357"/>
    <cellStyle name="_New_Sofi_БКЭ 2_раст.-факт" xfId="1358"/>
    <cellStyle name="_New_Sofi_БКЭ 3" xfId="1359"/>
    <cellStyle name="_New_Sofi_БКЭ 3_Копия Растениеводство форма(Акционеры)" xfId="1360"/>
    <cellStyle name="_New_Sofi_БКЭ 3_М( ЗАР)" xfId="1361"/>
    <cellStyle name="_New_Sofi_БКЭ 3_Модель АгроГард на 5 лет" xfId="1362"/>
    <cellStyle name="_New_Sofi_БКЭ 3_Растениеводство форма( АГМ)" xfId="1363"/>
    <cellStyle name="_New_Sofi_БКЭ 3_Свод по Агрохоолдингу  (в т.ч КБН  )" xfId="1364"/>
    <cellStyle name="_New_Sofi_БКЭ 3_Форма по растениеводству (Акционеры) ИЛЧ" xfId="1365"/>
    <cellStyle name="_New_Sofi_БКЭ 3_раст.-факт" xfId="1366"/>
    <cellStyle name="_New_Sofi_БКЭ_АГМ" xfId="1367"/>
    <cellStyle name="_New_Sofi_БКЭ_Копия Растениеводство форма(Акционеры)" xfId="1368"/>
    <cellStyle name="_New_Sofi_БКЭ_М( ЗАР)" xfId="1369"/>
    <cellStyle name="_New_Sofi_БКЭ_Модель АгроГард на 5 лет" xfId="1370"/>
    <cellStyle name="_New_Sofi_БКЭ_НИК-09" xfId="1371"/>
    <cellStyle name="_New_Sofi_БКЭ_НИК-09 2" xfId="1372"/>
    <cellStyle name="_New_Sofi_БКЭ_Растениеводство форма( АГМ)" xfId="1373"/>
    <cellStyle name="_New_Sofi_БКЭ_Свод по Агрохоолдингу  (в т.ч КБН  )" xfId="1374"/>
    <cellStyle name="_New_Sofi_БКЭ_ТК-2011 АГМ+транспорт" xfId="1375"/>
    <cellStyle name="_New_Sofi_БКЭ_Форма по растениеводству (Акционеры) ИЛЧ" xfId="1376"/>
    <cellStyle name="_New_Sofi_БКЭ_раст.-факт" xfId="1377"/>
    <cellStyle name="_New_Sofi_Копия Растениеводство форма(Акционеры)" xfId="1378"/>
    <cellStyle name="_New_Sofi_М( ЗАР)" xfId="1379"/>
    <cellStyle name="_New_Sofi_Модель АгроГард на 5 лет" xfId="1380"/>
    <cellStyle name="_New_Sofi_НИК-09" xfId="1381"/>
    <cellStyle name="_New_Sofi_НИК-09 2" xfId="1382"/>
    <cellStyle name="_New_Sofi_Растениеводство форма( АГМ)" xfId="1383"/>
    <cellStyle name="_New_Sofi_Свод по Агрохоолдингу  (в т.ч КБН  )" xfId="1384"/>
    <cellStyle name="_New_Sofi_ТК-2011 АГМ+транспорт" xfId="1385"/>
    <cellStyle name="_New_Sofi_Форма по растениеводству (Акционеры) ИЛЧ" xfId="1386"/>
    <cellStyle name="_New_Sofi_раст.-факт" xfId="1387"/>
    <cellStyle name="_Nsi" xfId="1388"/>
    <cellStyle name="_Nsi 1" xfId="1389"/>
    <cellStyle name="_Nsi 1_Копия Растениеводство форма(Акционеры)" xfId="1390"/>
    <cellStyle name="_Nsi 1_М( ЗАР)" xfId="1391"/>
    <cellStyle name="_Nsi 1_Модель АгроГард на 5 лет" xfId="1392"/>
    <cellStyle name="_Nsi 1_Растениеводство форма( АГМ)" xfId="1393"/>
    <cellStyle name="_Nsi 1_Свод по Агрохоолдингу  (в т.ч КБН  )" xfId="1394"/>
    <cellStyle name="_Nsi 1_Форма по растениеводству (Акционеры) ИЛЧ" xfId="1395"/>
    <cellStyle name="_Nsi 1_раст.-факт" xfId="1396"/>
    <cellStyle name="_Nsi 2" xfId="1397"/>
    <cellStyle name="_Nsi 2_Копия Растениеводство форма(Акционеры)" xfId="1398"/>
    <cellStyle name="_Nsi 2_М( ЗАР)" xfId="1399"/>
    <cellStyle name="_Nsi 2_Модель АгроГард на 5 лет" xfId="1400"/>
    <cellStyle name="_Nsi 2_Растениеводство форма( АГМ)" xfId="1401"/>
    <cellStyle name="_Nsi 2_Свод по Агрохоолдингу  (в т.ч КБН  )" xfId="1402"/>
    <cellStyle name="_Nsi 2_Форма по растениеводству (Акционеры) ИЛЧ" xfId="1403"/>
    <cellStyle name="_Nsi 2_раст.-факт" xfId="1404"/>
    <cellStyle name="_Nsi 3" xfId="1405"/>
    <cellStyle name="_Nsi 3_Копия Растениеводство форма(Акционеры)" xfId="1406"/>
    <cellStyle name="_Nsi 3_М( ЗАР)" xfId="1407"/>
    <cellStyle name="_Nsi 3_Модель АгроГард на 5 лет" xfId="1408"/>
    <cellStyle name="_Nsi 3_Растениеводство форма( АГМ)" xfId="1409"/>
    <cellStyle name="_Nsi 3_Свод по Агрохоолдингу  (в т.ч КБН  )" xfId="1410"/>
    <cellStyle name="_Nsi 3_Форма по растениеводству (Акционеры) ИЛЧ" xfId="1411"/>
    <cellStyle name="_Nsi 3_раст.-факт" xfId="1412"/>
    <cellStyle name="_Nsi_АГМ" xfId="1413"/>
    <cellStyle name="_Nsi_Копия Растениеводство форма(Акционеры)" xfId="1414"/>
    <cellStyle name="_Nsi_М( ЗАР)" xfId="1415"/>
    <cellStyle name="_Nsi_Модель АгроГард на 5 лет" xfId="1416"/>
    <cellStyle name="_Nsi_НИК-09" xfId="1417"/>
    <cellStyle name="_Nsi_НИК-09 2" xfId="1418"/>
    <cellStyle name="_Nsi_Растениеводство форма( АГМ)" xfId="1419"/>
    <cellStyle name="_Nsi_Свод по Агрохоолдингу  (в т.ч КБН  )" xfId="1420"/>
    <cellStyle name="_Nsi_ТК-2011 АГМ+транспорт" xfId="1421"/>
    <cellStyle name="_Nsi_Форма по растениеводству (Акционеры) ИЛЧ" xfId="1422"/>
    <cellStyle name="_Nsi_раст.-факт" xfId="1423"/>
    <cellStyle name="_Книга3" xfId="1424"/>
    <cellStyle name="_Книга3 1" xfId="1425"/>
    <cellStyle name="_Книга3 1_Копия Растениеводство форма(Акционеры)" xfId="1426"/>
    <cellStyle name="_Книга3 1_М( ЗАР)" xfId="1427"/>
    <cellStyle name="_Книга3 1_Модель АгроГард на 5 лет" xfId="1428"/>
    <cellStyle name="_Книга3 1_Растениеводство форма( АГМ)" xfId="1429"/>
    <cellStyle name="_Книга3 1_Свод по Агрохоолдингу  (в т.ч КБН  )" xfId="1430"/>
    <cellStyle name="_Книга3 1_Форма по растениеводству (Акционеры) ИЛЧ" xfId="1431"/>
    <cellStyle name="_Книга3 1_раст.-факт" xfId="1432"/>
    <cellStyle name="_Книга3 2" xfId="1433"/>
    <cellStyle name="_Книга3 2_Копия Растениеводство форма(Акционеры)" xfId="1434"/>
    <cellStyle name="_Книга3 2_М( ЗАР)" xfId="1435"/>
    <cellStyle name="_Книга3 2_Модель АгроГард на 5 лет" xfId="1436"/>
    <cellStyle name="_Книга3 2_Растениеводство форма( АГМ)" xfId="1437"/>
    <cellStyle name="_Книга3 2_Свод по Агрохоолдингу  (в т.ч КБН  )" xfId="1438"/>
    <cellStyle name="_Книга3 2_Форма по растениеводству (Акционеры) ИЛЧ" xfId="1439"/>
    <cellStyle name="_Книга3 2_раст.-факт" xfId="1440"/>
    <cellStyle name="_Книга3 3" xfId="1441"/>
    <cellStyle name="_Книга3 3_Копия Растениеводство форма(Акционеры)" xfId="1442"/>
    <cellStyle name="_Книга3 3_М( ЗАР)" xfId="1443"/>
    <cellStyle name="_Книга3 3_Модель АгроГард на 5 лет" xfId="1444"/>
    <cellStyle name="_Книга3 3_Растениеводство форма( АГМ)" xfId="1445"/>
    <cellStyle name="_Книга3 3_Свод по Агрохоолдингу  (в т.ч КБН  )" xfId="1446"/>
    <cellStyle name="_Книга3 3_Форма по растениеводству (Акционеры) ИЛЧ" xfId="1447"/>
    <cellStyle name="_Книга3 3_раст.-факт" xfId="1448"/>
    <cellStyle name="_Книга3_New Form10_2" xfId="1449"/>
    <cellStyle name="_Книга3_New Form10_2 1" xfId="1450"/>
    <cellStyle name="_Книга3_New Form10_2 1_Копия Растениеводство форма(Акционеры)" xfId="1451"/>
    <cellStyle name="_Книга3_New Form10_2 1_М( ЗАР)" xfId="1452"/>
    <cellStyle name="_Книга3_New Form10_2 1_Модель АгроГард на 5 лет" xfId="1453"/>
    <cellStyle name="_Книга3_New Form10_2 1_Растениеводство форма( АГМ)" xfId="1454"/>
    <cellStyle name="_Книга3_New Form10_2 1_Свод по Агрохоолдингу  (в т.ч КБН  )" xfId="1455"/>
    <cellStyle name="_Книга3_New Form10_2 1_Форма по растениеводству (Акционеры) ИЛЧ" xfId="1456"/>
    <cellStyle name="_Книга3_New Form10_2 1_раст.-факт" xfId="1457"/>
    <cellStyle name="_Книга3_New Form10_2 2" xfId="1458"/>
    <cellStyle name="_Книга3_New Form10_2 2_Копия Растениеводство форма(Акционеры)" xfId="1459"/>
    <cellStyle name="_Книга3_New Form10_2 2_М( ЗАР)" xfId="1460"/>
    <cellStyle name="_Книга3_New Form10_2 2_Модель АгроГард на 5 лет" xfId="1461"/>
    <cellStyle name="_Книга3_New Form10_2 2_Растениеводство форма( АГМ)" xfId="1462"/>
    <cellStyle name="_Книга3_New Form10_2 2_Свод по Агрохоолдингу  (в т.ч КБН  )" xfId="1463"/>
    <cellStyle name="_Книга3_New Form10_2 2_Форма по растениеводству (Акционеры) ИЛЧ" xfId="1464"/>
    <cellStyle name="_Книга3_New Form10_2 2_раст.-факт" xfId="1465"/>
    <cellStyle name="_Книга3_New Form10_2 3" xfId="1466"/>
    <cellStyle name="_Книга3_New Form10_2 3_Копия Растениеводство форма(Акционеры)" xfId="1467"/>
    <cellStyle name="_Книга3_New Form10_2 3_М( ЗАР)" xfId="1468"/>
    <cellStyle name="_Книга3_New Form10_2 3_Модель АгроГард на 5 лет" xfId="1469"/>
    <cellStyle name="_Книга3_New Form10_2 3_Растениеводство форма( АГМ)" xfId="1470"/>
    <cellStyle name="_Книга3_New Form10_2 3_Свод по Агрохоолдингу  (в т.ч КБН  )" xfId="1471"/>
    <cellStyle name="_Книга3_New Form10_2 3_Форма по растениеводству (Акционеры) ИЛЧ" xfId="1472"/>
    <cellStyle name="_Книга3_New Form10_2 3_раст.-факт" xfId="1473"/>
    <cellStyle name="_Книга3_New Form10_2_АГМ" xfId="1474"/>
    <cellStyle name="_Книга3_New Form10_2_Копия Растениеводство форма(Акционеры)" xfId="1475"/>
    <cellStyle name="_Книга3_New Form10_2_М( ЗАР)" xfId="1476"/>
    <cellStyle name="_Книга3_New Form10_2_Модель АгроГард на 5 лет" xfId="1477"/>
    <cellStyle name="_Книга3_New Form10_2_НИК-09" xfId="1478"/>
    <cellStyle name="_Книга3_New Form10_2_НИК-09 2" xfId="1479"/>
    <cellStyle name="_Книга3_New Form10_2_Растениеводство форма( АГМ)" xfId="1480"/>
    <cellStyle name="_Книга3_New Form10_2_Свод по Агрохоолдингу  (в т.ч КБН  )" xfId="1481"/>
    <cellStyle name="_Книга3_New Form10_2_ТК-2011 АГМ+транспорт" xfId="1482"/>
    <cellStyle name="_Книга3_New Form10_2_Форма по растениеводству (Акционеры) ИЛЧ" xfId="1483"/>
    <cellStyle name="_Книга3_New Form10_2_раст.-факт" xfId="1484"/>
    <cellStyle name="_Книга3_Nsi" xfId="1485"/>
    <cellStyle name="_Книга3_Nsi 1" xfId="1486"/>
    <cellStyle name="_Книга3_Nsi 1_Копия Растениеводство форма(Акционеры)" xfId="1487"/>
    <cellStyle name="_Книга3_Nsi 1_М( ЗАР)" xfId="1488"/>
    <cellStyle name="_Книга3_Nsi 1_Модель АгроГард на 5 лет" xfId="1489"/>
    <cellStyle name="_Книга3_Nsi 1_Растениеводство форма( АГМ)" xfId="1490"/>
    <cellStyle name="_Книга3_Nsi 1_Свод по Агрохоолдингу  (в т.ч КБН  )" xfId="1491"/>
    <cellStyle name="_Книга3_Nsi 1_Форма по растениеводству (Акционеры) ИЛЧ" xfId="1492"/>
    <cellStyle name="_Книга3_Nsi 1_раст.-факт" xfId="1493"/>
    <cellStyle name="_Книга3_Nsi 2" xfId="1494"/>
    <cellStyle name="_Книга3_Nsi 2_Копия Растениеводство форма(Акционеры)" xfId="1495"/>
    <cellStyle name="_Книга3_Nsi 2_М( ЗАР)" xfId="1496"/>
    <cellStyle name="_Книга3_Nsi 2_Модель АгроГард на 5 лет" xfId="1497"/>
    <cellStyle name="_Книга3_Nsi 2_Растениеводство форма( АГМ)" xfId="1498"/>
    <cellStyle name="_Книга3_Nsi 2_Свод по Агрохоолдингу  (в т.ч КБН  )" xfId="1499"/>
    <cellStyle name="_Книга3_Nsi 2_Форма по растениеводству (Акционеры) ИЛЧ" xfId="1500"/>
    <cellStyle name="_Книга3_Nsi 2_раст.-факт" xfId="1501"/>
    <cellStyle name="_Книга3_Nsi 3" xfId="1502"/>
    <cellStyle name="_Книга3_Nsi 3_Копия Растениеводство форма(Акционеры)" xfId="1503"/>
    <cellStyle name="_Книга3_Nsi 3_М( ЗАР)" xfId="1504"/>
    <cellStyle name="_Книга3_Nsi 3_Модель АгроГард на 5 лет" xfId="1505"/>
    <cellStyle name="_Книга3_Nsi 3_Растениеводство форма( АГМ)" xfId="1506"/>
    <cellStyle name="_Книга3_Nsi 3_Свод по Агрохоолдингу  (в т.ч КБН  )" xfId="1507"/>
    <cellStyle name="_Книга3_Nsi 3_Форма по растениеводству (Акционеры) ИЛЧ" xfId="1508"/>
    <cellStyle name="_Книга3_Nsi 3_раст.-факт" xfId="1509"/>
    <cellStyle name="_Книга3_Nsi_1" xfId="1510"/>
    <cellStyle name="_Книга3_Nsi_1 1" xfId="1511"/>
    <cellStyle name="_Книга3_Nsi_1 1_Копия Растениеводство форма(Акционеры)" xfId="1512"/>
    <cellStyle name="_Книга3_Nsi_1 1_М( ЗАР)" xfId="1513"/>
    <cellStyle name="_Книга3_Nsi_1 1_Модель АгроГард на 5 лет" xfId="1514"/>
    <cellStyle name="_Книга3_Nsi_1 1_Растениеводство форма( АГМ)" xfId="1515"/>
    <cellStyle name="_Книга3_Nsi_1 1_Свод по Агрохоолдингу  (в т.ч КБН  )" xfId="1516"/>
    <cellStyle name="_Книга3_Nsi_1 1_Форма по растениеводству (Акционеры) ИЛЧ" xfId="1517"/>
    <cellStyle name="_Книга3_Nsi_1 1_раст.-факт" xfId="1518"/>
    <cellStyle name="_Книга3_Nsi_1 2" xfId="1519"/>
    <cellStyle name="_Книга3_Nsi_1 2_Копия Растениеводство форма(Акционеры)" xfId="1520"/>
    <cellStyle name="_Книга3_Nsi_1 2_М( ЗАР)" xfId="1521"/>
    <cellStyle name="_Книга3_Nsi_1 2_Модель АгроГард на 5 лет" xfId="1522"/>
    <cellStyle name="_Книга3_Nsi_1 2_Растениеводство форма( АГМ)" xfId="1523"/>
    <cellStyle name="_Книга3_Nsi_1 2_Свод по Агрохоолдингу  (в т.ч КБН  )" xfId="1524"/>
    <cellStyle name="_Книга3_Nsi_1 2_Форма по растениеводству (Акционеры) ИЛЧ" xfId="1525"/>
    <cellStyle name="_Книга3_Nsi_1 2_раст.-факт" xfId="1526"/>
    <cellStyle name="_Книга3_Nsi_1 3" xfId="1527"/>
    <cellStyle name="_Книга3_Nsi_1 3_Копия Растениеводство форма(Акционеры)" xfId="1528"/>
    <cellStyle name="_Книга3_Nsi_1 3_М( ЗАР)" xfId="1529"/>
    <cellStyle name="_Книга3_Nsi_1 3_Модель АгроГард на 5 лет" xfId="1530"/>
    <cellStyle name="_Книга3_Nsi_1 3_Растениеводство форма( АГМ)" xfId="1531"/>
    <cellStyle name="_Книга3_Nsi_1 3_Свод по Агрохоолдингу  (в т.ч КБН  )" xfId="1532"/>
    <cellStyle name="_Книга3_Nsi_1 3_Форма по растениеводству (Акционеры) ИЛЧ" xfId="1533"/>
    <cellStyle name="_Книга3_Nsi_1 3_раст.-факт" xfId="1534"/>
    <cellStyle name="_Книга3_Nsi_139" xfId="1535"/>
    <cellStyle name="_Книга3_Nsi_139 1" xfId="1536"/>
    <cellStyle name="_Книга3_Nsi_139 1_Копия Растениеводство форма(Акционеры)" xfId="1537"/>
    <cellStyle name="_Книга3_Nsi_139 1_М( ЗАР)" xfId="1538"/>
    <cellStyle name="_Книга3_Nsi_139 1_Модель АгроГард на 5 лет" xfId="1539"/>
    <cellStyle name="_Книга3_Nsi_139 1_Растениеводство форма( АГМ)" xfId="1540"/>
    <cellStyle name="_Книга3_Nsi_139 1_Свод по Агрохоолдингу  (в т.ч КБН  )" xfId="1541"/>
    <cellStyle name="_Книга3_Nsi_139 1_Форма по растениеводству (Акционеры) ИЛЧ" xfId="1542"/>
    <cellStyle name="_Книга3_Nsi_139 1_раст.-факт" xfId="1543"/>
    <cellStyle name="_Книга3_Nsi_139 2" xfId="1544"/>
    <cellStyle name="_Книга3_Nsi_139 2_Копия Растениеводство форма(Акционеры)" xfId="1545"/>
    <cellStyle name="_Книга3_Nsi_139 2_М( ЗАР)" xfId="1546"/>
    <cellStyle name="_Книга3_Nsi_139 2_Модель АгроГард на 5 лет" xfId="1547"/>
    <cellStyle name="_Книга3_Nsi_139 2_Растениеводство форма( АГМ)" xfId="1548"/>
    <cellStyle name="_Книга3_Nsi_139 2_Свод по Агрохоолдингу  (в т.ч КБН  )" xfId="1549"/>
    <cellStyle name="_Книга3_Nsi_139 2_Форма по растениеводству (Акционеры) ИЛЧ" xfId="1550"/>
    <cellStyle name="_Книга3_Nsi_139 2_раст.-факт" xfId="1551"/>
    <cellStyle name="_Книга3_Nsi_139 3" xfId="1552"/>
    <cellStyle name="_Книга3_Nsi_139 3_Копия Растениеводство форма(Акционеры)" xfId="1553"/>
    <cellStyle name="_Книга3_Nsi_139 3_М( ЗАР)" xfId="1554"/>
    <cellStyle name="_Книга3_Nsi_139 3_Модель АгроГард на 5 лет" xfId="1555"/>
    <cellStyle name="_Книга3_Nsi_139 3_Растениеводство форма( АГМ)" xfId="0"/>
    <cellStyle name="_Книга3_Nsi_139 3_Свод по Агрохоолдингу  (в т.ч КБН  )" xfId="0"/>
    <cellStyle name="_Книга3_Nsi_139 3_Форма по растениеводству (Акционеры) ИЛЧ" xfId="0"/>
    <cellStyle name="_Книга3_Nsi_139 3_раст.-факт" xfId="0"/>
    <cellStyle name="_Книга3_Nsi_139_АГМ" xfId="0"/>
    <cellStyle name="_Книга3_Nsi_139_Копия Растениеводство форма(Акционеры)" xfId="0"/>
    <cellStyle name="_Книга3_Nsi_139_М( ЗАР)" xfId="0"/>
    <cellStyle name="_Книга3_Nsi_139_Модель АгроГард на 5 лет" xfId="0"/>
    <cellStyle name="_Книга3_Nsi_139_НИК-09" xfId="0"/>
    <cellStyle name="_Книга3_Nsi_139_НИК-09 2" xfId="0"/>
    <cellStyle name="_Книга3_Nsi_139_Растениеводство форма( АГМ)" xfId="0"/>
    <cellStyle name="_Книга3_Nsi_139_Свод по Агрохоолдингу  (в т.ч КБН  )" xfId="0"/>
    <cellStyle name="_Книга3_Nsi_139_ТК-2011 АГМ+транспорт" xfId="0"/>
    <cellStyle name="_Книга3_Nsi_139_Форма по растениеводству (Акционеры) ИЛЧ" xfId="0"/>
    <cellStyle name="_Книга3_Nsi_139_раст.-факт" xfId="0"/>
    <cellStyle name="_Книга3_Nsi_140" xfId="0"/>
    <cellStyle name="_Книга3_Nsi_140 1" xfId="0"/>
    <cellStyle name="_Книга3_Nsi_140 1_Копия Растениеводство форма(Акционеры)" xfId="0"/>
    <cellStyle name="_Книга3_Nsi_140 1_М( ЗАР)" xfId="0"/>
    <cellStyle name="_Книга3_Nsi_140 1_Модель АгроГард на 5 лет" xfId="0"/>
    <cellStyle name="_Книга3_Nsi_140 1_Растениеводство форма( АГМ)" xfId="0"/>
    <cellStyle name="_Книга3_Nsi_140 1_Свод по Агрохоолдингу  (в т.ч КБН  )" xfId="0"/>
    <cellStyle name="_Книга3_Nsi_140 1_Форма по растениеводству (Акционеры) ИЛЧ" xfId="0"/>
    <cellStyle name="_Книга3_Nsi_140 1_раст.-факт" xfId="0"/>
    <cellStyle name="_Книга3_Nsi_140 2" xfId="0"/>
    <cellStyle name="_Книга3_Nsi_140 2_Копия Растениеводство форма(Акционеры)" xfId="0"/>
    <cellStyle name="_Книга3_Nsi_140 2_М( ЗАР)" xfId="0"/>
    <cellStyle name="_Книга3_Nsi_140 2_Модель АгроГард на 5 лет" xfId="0"/>
    <cellStyle name="_Книга3_Nsi_140 2_Растениеводство форма( АГМ)" xfId="0"/>
    <cellStyle name="_Книга3_Nsi_140 2_Свод по Агрохоолдингу  (в т.ч КБН  )" xfId="0"/>
    <cellStyle name="_Книга3_Nsi_140 2_Форма по растениеводству (Акционеры) ИЛЧ" xfId="0"/>
    <cellStyle name="_Книга3_Nsi_140 2_раст.-факт" xfId="0"/>
    <cellStyle name="_Книга3_Nsi_140 3" xfId="0"/>
    <cellStyle name="_Книга3_Nsi_140 3_Копия Растениеводство форма(Акционеры)" xfId="0"/>
    <cellStyle name="_Книга3_Nsi_140 3_М( ЗАР)" xfId="0"/>
    <cellStyle name="_Книга3_Nsi_140 3_Модель АгроГард на 5 лет" xfId="0"/>
    <cellStyle name="_Книга3_Nsi_140 3_Растениеводство форма( АГМ)" xfId="0"/>
    <cellStyle name="_Книга3_Nsi_140 3_Свод по Агрохоолдингу  (в т.ч КБН  )" xfId="0"/>
    <cellStyle name="_Книга3_Nsi_140 3_Форма по растениеводству (Акционеры) ИЛЧ" xfId="0"/>
    <cellStyle name="_Книга3_Nsi_140 3_раст.-факт" xfId="0"/>
    <cellStyle name="_Книга3_Nsi_140(Зах)" xfId="0"/>
    <cellStyle name="_Книга3_Nsi_140(Зах) 1" xfId="0"/>
    <cellStyle name="_Книга3_Nsi_140(Зах) 1_Копия Растениеводство форма(Акционеры)" xfId="0"/>
    <cellStyle name="_Книга3_Nsi_140(Зах) 1_М( ЗАР)" xfId="0"/>
    <cellStyle name="_Книга3_Nsi_140(Зах) 1_Модель АгроГард на 5 лет" xfId="0"/>
    <cellStyle name="_Книга3_Nsi_140(Зах) 1_Растениеводство форма( АГМ)" xfId="0"/>
    <cellStyle name="_Книга3_Nsi_140(Зах) 1_Свод по Агрохоолдингу  (в т.ч КБН  )" xfId="0"/>
    <cellStyle name="_Книга3_Nsi_140(Зах) 1_Форма по растениеводству (Акционеры) ИЛЧ" xfId="0"/>
    <cellStyle name="_Книга3_Nsi_140(Зах) 1_раст.-факт" xfId="0"/>
    <cellStyle name="_Книга3_Nsi_140(Зах) 2" xfId="0"/>
    <cellStyle name="_Книга3_Nsi_140(Зах) 2_Копия Растениеводство форма(Акционеры)" xfId="0"/>
    <cellStyle name="_Книга3_Nsi_140(Зах) 2_М( ЗАР)" xfId="0"/>
    <cellStyle name="_Книга3_Nsi_140(Зах) 2_Модель АгроГард на 5 лет" xfId="0"/>
    <cellStyle name="_Книга3_Nsi_140(Зах) 2_Растениеводство форма( АГМ)" xfId="0"/>
    <cellStyle name="_Книга3_Nsi_140(Зах) 2_Свод по Агрохоолдингу  (в т.ч КБН  )" xfId="0"/>
    <cellStyle name="_Книга3_Nsi_140(Зах) 2_Форма по растениеводству (Акционеры) ИЛЧ" xfId="0"/>
    <cellStyle name="_Книга3_Nsi_140(Зах) 2_раст.-факт" xfId="0"/>
    <cellStyle name="_Книга3_Nsi_140(Зах) 3" xfId="0"/>
    <cellStyle name="_Книга3_Nsi_140(Зах) 3_Копия Растениеводство форма(Акционеры)" xfId="0"/>
    <cellStyle name="_Книга3_Nsi_140(Зах) 3_М( ЗАР)" xfId="0"/>
    <cellStyle name="_Книга3_Nsi_140(Зах) 3_Модель АгроГард на 5 лет" xfId="0"/>
    <cellStyle name="_Книга3_Nsi_140(Зах) 3_Растениеводство форма( АГМ)" xfId="0"/>
    <cellStyle name="_Книга3_Nsi_140(Зах) 3_Свод по Агрохоолдингу  (в т.ч КБН  )" xfId="0"/>
    <cellStyle name="_Книга3_Nsi_140(Зах) 3_Форма по растениеводству (Акционеры) ИЛЧ" xfId="0"/>
    <cellStyle name="_Книга3_Nsi_140(Зах) 3_раст.-факт" xfId="0"/>
    <cellStyle name="_Книга3_Nsi_140(Зах)_АГМ" xfId="0"/>
    <cellStyle name="_Книга3_Nsi_140(Зах)_Копия Растениеводство форма(Акционеры)" xfId="0"/>
    <cellStyle name="_Книга3_Nsi_140(Зах)_М( ЗАР)" xfId="0"/>
    <cellStyle name="_Книга3_Nsi_140(Зах)_Модель АгроГард на 5 лет" xfId="0"/>
    <cellStyle name="_Книга3_Nsi_140(Зах)_НИК-09" xfId="0"/>
    <cellStyle name="_Книга3_Nsi_140(Зах)_НИК-09 2" xfId="0"/>
    <cellStyle name="_Книга3_Nsi_140(Зах)_Растениеводство форма( АГМ)" xfId="0"/>
    <cellStyle name="_Книга3_Nsi_140(Зах)_Свод по Агрохоолдингу  (в т.ч КБН  )" xfId="0"/>
    <cellStyle name="_Книга3_Nsi_140(Зах)_ТК-2011 АГМ+транспорт" xfId="0"/>
    <cellStyle name="_Книга3_Nsi_140(Зах)_Форма по растениеводству (Акционеры) ИЛЧ" xfId="0"/>
    <cellStyle name="_Книга3_Nsi_140(Зах)_раст.-факт" xfId="0"/>
    <cellStyle name="_Книга3_Nsi_140_mod" xfId="0"/>
    <cellStyle name="_Книга3_Nsi_140_mod 1" xfId="0"/>
    <cellStyle name="_Книга3_Nsi_140_mod 1_Копия Растениеводство форма(Акционеры)" xfId="0"/>
    <cellStyle name="_Книга3_Nsi_140_mod 1_М( ЗАР)" xfId="0"/>
    <cellStyle name="_Книга3_Nsi_140_mod 1_Модель АгроГард на 5 лет" xfId="0"/>
    <cellStyle name="_Книга3_Nsi_140_mod 1_Растениеводство форма( АГМ)" xfId="0"/>
    <cellStyle name="_Книга3_Nsi_140_mod 1_Свод по Агрохоолдингу  (в т.ч КБН  )" xfId="0"/>
    <cellStyle name="_Книга3_Nsi_140_mod 1_Форма по растениеводству (Акционеры) ИЛЧ" xfId="0"/>
    <cellStyle name="_Книга3_Nsi_140_mod 1_раст.-факт" xfId="0"/>
    <cellStyle name="_Книга3_Nsi_140_mod 2" xfId="0"/>
    <cellStyle name="_Книга3_Nsi_140_mod 2_Копия Растениеводство форма(Акционеры)" xfId="0"/>
    <cellStyle name="_Книга3_Nsi_140_mod 2_М( ЗАР)" xfId="0"/>
    <cellStyle name="_Книга3_Nsi_140_mod 2_Модель АгроГард на 5 лет" xfId="0"/>
    <cellStyle name="_Книга3_Nsi_140_mod 2_Растениеводство форма( АГМ)" xfId="0"/>
    <cellStyle name="_Книга3_Nsi_140_mod 2_Свод по Агрохоолдингу  (в т.ч КБН  )" xfId="0"/>
    <cellStyle name="_Книга3_Nsi_140_mod 2_Форма по растениеводству (Акционеры) ИЛЧ" xfId="0"/>
    <cellStyle name="_Книга3_Nsi_140_mod 2_раст.-факт" xfId="0"/>
    <cellStyle name="_Книга3_Nsi_140_mod 3" xfId="0"/>
    <cellStyle name="_Книга3_Nsi_140_mod 3_Копия Растениеводство форма(Акционеры)" xfId="0"/>
    <cellStyle name="_Книга3_Nsi_140_mod 3_М( ЗАР)" xfId="0"/>
    <cellStyle name="_Книга3_Nsi_140_mod 3_Модель АгроГард на 5 лет" xfId="0"/>
    <cellStyle name="_Книга3_Nsi_140_mod 3_Растениеводство форма( АГМ)" xfId="0"/>
    <cellStyle name="_Книга3_Nsi_140_mod 3_Свод по Агрохоолдингу  (в т.ч КБН  )" xfId="0"/>
    <cellStyle name="_Книга3_Nsi_140_mod 3_Форма по растениеводству (Акционеры) ИЛЧ" xfId="0"/>
    <cellStyle name="_Книга3_Nsi_140_mod 3_раст.-факт" xfId="0"/>
    <cellStyle name="_Книга3_Nsi_140_mod_АГМ" xfId="0"/>
    <cellStyle name="_Книга3_Nsi_140_mod_Копия Растениеводство форма(Акционеры)" xfId="0"/>
    <cellStyle name="_Книга3_Nsi_140_mod_М( ЗАР)" xfId="0"/>
    <cellStyle name="_Книга3_Nsi_140_mod_Модель АгроГард на 5 лет" xfId="0"/>
    <cellStyle name="_Книга3_Nsi_140_mod_НИК-09" xfId="0"/>
    <cellStyle name="_Книга3_Nsi_140_mod_НИК-09 2" xfId="0"/>
    <cellStyle name="_Книга3_Nsi_140_mod_Растениеводство форма( АГМ)" xfId="0"/>
    <cellStyle name="_Книга3_Nsi_140_mod_Свод по Агрохоолдингу  (в т.ч КБН  )" xfId="0"/>
    <cellStyle name="_Книга3_Nsi_140_mod_ТК-2011 АГМ+транспорт" xfId="0"/>
    <cellStyle name="_Книга3_Nsi_140_mod_Форма по растениеводству (Акционеры) ИЛЧ" xfId="0"/>
    <cellStyle name="_Книга3_Nsi_140_mod_раст.-факт" xfId="0"/>
    <cellStyle name="_Книга3_Nsi_140_АГМ" xfId="0"/>
    <cellStyle name="_Книга3_Nsi_140_Копия Растениеводство форма(Акционеры)" xfId="0"/>
    <cellStyle name="_Книга3_Nsi_140_М( ЗАР)" xfId="0"/>
    <cellStyle name="_Книга3_Nsi_140_Модель АгроГард на 5 лет" xfId="0"/>
    <cellStyle name="_Книга3_Nsi_140_НИК-09" xfId="0"/>
    <cellStyle name="_Книга3_Nsi_140_НИК-09 2" xfId="0"/>
    <cellStyle name="_Книга3_Nsi_140_Растениеводство форма( АГМ)" xfId="0"/>
    <cellStyle name="_Книга3_Nsi_140_Свод по Агрохоолдингу  (в т.ч КБН  )" xfId="0"/>
    <cellStyle name="_Книга3_Nsi_140_ТК-2011 АГМ+транспорт" xfId="0"/>
    <cellStyle name="_Книга3_Nsi_140_Форма по растениеводству (Акционеры) ИЛЧ" xfId="0"/>
    <cellStyle name="_Книга3_Nsi_140_раст.-факт" xfId="0"/>
    <cellStyle name="_Книга3_Nsi_1_АГМ" xfId="0"/>
    <cellStyle name="_Книга3_Nsi_1_Копия Растениеводство форма(Акционеры)" xfId="0"/>
    <cellStyle name="_Книга3_Nsi_1_М( ЗАР)" xfId="0"/>
    <cellStyle name="_Книга3_Nsi_1_Модель АгроГард на 5 лет" xfId="0"/>
    <cellStyle name="_Книга3_Nsi_1_НИК-09" xfId="0"/>
    <cellStyle name="_Книга3_Nsi_1_НИК-09 2" xfId="0"/>
    <cellStyle name="_Книга3_Nsi_1_Растениеводство форма( АГМ)" xfId="0"/>
    <cellStyle name="_Книга3_Nsi_1_Свод по Агрохоолдингу  (в т.ч КБН  )" xfId="0"/>
    <cellStyle name="_Книга3_Nsi_1_ТК-2011 АГМ+транспорт" xfId="0"/>
    <cellStyle name="_Книга3_Nsi_1_Форма по растениеводству (Акционеры) ИЛЧ" xfId="0"/>
    <cellStyle name="_Книга3_Nsi_1_раст.-факт" xfId="0"/>
    <cellStyle name="_Книга3_Nsi_АГМ" xfId="0"/>
    <cellStyle name="_Книга3_Nsi_Копия Растениеводство форма(Акционеры)" xfId="0"/>
    <cellStyle name="_Книга3_Nsi_М( ЗАР)" xfId="0"/>
    <cellStyle name="_Книга3_Nsi_Модель АгроГард на 5 лет" xfId="0"/>
    <cellStyle name="_Книга3_Nsi_НИК-09" xfId="0"/>
    <cellStyle name="_Книга3_Nsi_НИК-09 2" xfId="0"/>
    <cellStyle name="_Книга3_Nsi_Растениеводство форма( АГМ)" xfId="0"/>
    <cellStyle name="_Книга3_Nsi_Свод по Агрохоолдингу  (в т.ч КБН  )" xfId="0"/>
    <cellStyle name="_Книга3_Nsi_ТК-2011 АГМ+транспорт" xfId="0"/>
    <cellStyle name="_Книга3_Nsi_Форма по растениеводству (Акционеры) ИЛЧ" xfId="0"/>
    <cellStyle name="_Книга3_Nsi_раст.-факт" xfId="0"/>
    <cellStyle name="_Книга3_Summary" xfId="0"/>
    <cellStyle name="_Книга3_Summary 1" xfId="0"/>
    <cellStyle name="_Книга3_Summary 1_Копия Растениеводство форма(Акционеры)" xfId="0"/>
    <cellStyle name="_Книга3_Summary 1_М( ЗАР)" xfId="0"/>
    <cellStyle name="_Книга3_Summary 1_Модель АгроГард на 5 лет" xfId="0"/>
    <cellStyle name="_Книга3_Summary 1_Растениеводство форма( АГМ)" xfId="0"/>
    <cellStyle name="_Книга3_Summary 1_Свод по Агрохоолдингу  (в т.ч КБН  )" xfId="0"/>
    <cellStyle name="_Книга3_Summary 1_Форма по растениеводству (Акционеры) ИЛЧ" xfId="0"/>
    <cellStyle name="_Книга3_Summary 1_раст.-факт" xfId="0"/>
    <cellStyle name="_Книга3_Summary 2" xfId="0"/>
    <cellStyle name="_Книга3_Summary 2_Копия Растениеводство форма(Акционеры)" xfId="0"/>
    <cellStyle name="_Книга3_Summary 2_М( ЗАР)" xfId="0"/>
    <cellStyle name="_Книга3_Summary 2_Модель АгроГард на 5 лет" xfId="0"/>
    <cellStyle name="_Книга3_Summary 2_Растениеводство форма( АГМ)" xfId="0"/>
    <cellStyle name="_Книга3_Summary 2_Свод по Агрохоолдингу  (в т.ч КБН  )" xfId="0"/>
    <cellStyle name="_Книга3_Summary 2_Форма по растениеводству (Акционеры) ИЛЧ" xfId="0"/>
    <cellStyle name="_Книга3_Summary 2_раст.-факт" xfId="0"/>
    <cellStyle name="_Книга3_Summary 3" xfId="0"/>
    <cellStyle name="_Книга3_Summary 3_Копия Растениеводство форма(Акционеры)" xfId="0"/>
    <cellStyle name="_Книга3_Summary 3_М( ЗАР)" xfId="0"/>
    <cellStyle name="_Книга3_Summary 3_Модель АгроГард на 5 лет" xfId="0"/>
    <cellStyle name="_Книга3_Summary 3_Растениеводство форма( АГМ)" xfId="0"/>
    <cellStyle name="_Книга3_Summary 3_Свод по Агрохоолдингу  (в т.ч КБН  )" xfId="0"/>
    <cellStyle name="_Книга3_Summary 3_Форма по растениеводству (Акционеры) ИЛЧ" xfId="0"/>
    <cellStyle name="_Книга3_Summary 3_раст.-факт" xfId="0"/>
    <cellStyle name="_Книга3_Summary_АГМ" xfId="0"/>
    <cellStyle name="_Книга3_Summary_Копия Растениеводство форма(Акционеры)" xfId="0"/>
    <cellStyle name="_Книга3_Summary_М( ЗАР)" xfId="0"/>
    <cellStyle name="_Книга3_Summary_Модель АгроГард на 5 лет" xfId="0"/>
    <cellStyle name="_Книга3_Summary_НИК-09" xfId="0"/>
    <cellStyle name="_Книга3_Summary_НИК-09 2" xfId="0"/>
    <cellStyle name="_Книга3_Summary_Растениеводство форма( АГМ)" xfId="0"/>
    <cellStyle name="_Книга3_Summary_Свод по Агрохоолдингу  (в т.ч КБН  )" xfId="0"/>
    <cellStyle name="_Книга3_Summary_ТК-2011 АГМ+транспорт" xfId="0"/>
    <cellStyle name="_Книга3_Summary_Форма по растениеводству (Акционеры) ИЛЧ" xfId="0"/>
    <cellStyle name="_Книга3_Summary_раст.-факт" xfId="0"/>
    <cellStyle name="_Книга3_Tax_form_1кв_3" xfId="0"/>
    <cellStyle name="_Книга3_Tax_form_1кв_3 1" xfId="0"/>
    <cellStyle name="_Книга3_Tax_form_1кв_3 1_Копия Растениеводство форма(Акционеры)" xfId="0"/>
    <cellStyle name="_Книга3_Tax_form_1кв_3 1_М( ЗАР)" xfId="0"/>
    <cellStyle name="_Книга3_Tax_form_1кв_3 1_Модель АгроГард на 5 лет" xfId="0"/>
    <cellStyle name="_Книга3_Tax_form_1кв_3 1_Растениеводство форма( АГМ)" xfId="0"/>
    <cellStyle name="_Книга3_Tax_form_1кв_3 1_Свод по Агрохоолдингу  (в т.ч КБН  )" xfId="0"/>
    <cellStyle name="_Книга3_Tax_form_1кв_3 1_Форма по растениеводству (Акционеры) ИЛЧ" xfId="0"/>
    <cellStyle name="_Книга3_Tax_form_1кв_3 1_раст.-факт" xfId="0"/>
    <cellStyle name="_Книга3_Tax_form_1кв_3 2" xfId="0"/>
    <cellStyle name="_Книга3_Tax_form_1кв_3 2_Копия Растениеводство форма(Акционеры)" xfId="0"/>
    <cellStyle name="_Книга3_Tax_form_1кв_3 2_М( ЗАР)" xfId="0"/>
    <cellStyle name="_Книга3_Tax_form_1кв_3 2_Модель АгроГард на 5 лет" xfId="0"/>
    <cellStyle name="_Книга3_Tax_form_1кв_3 2_Растениеводство форма( АГМ)" xfId="0"/>
    <cellStyle name="_Книга3_Tax_form_1кв_3 2_Свод по Агрохоолдингу  (в т.ч КБН  )" xfId="0"/>
    <cellStyle name="_Книга3_Tax_form_1кв_3 2_Форма по растениеводству (Акционеры) ИЛЧ" xfId="0"/>
    <cellStyle name="_Книга3_Tax_form_1кв_3 2_раст.-факт" xfId="0"/>
    <cellStyle name="_Книга3_Tax_form_1кв_3 3" xfId="0"/>
    <cellStyle name="_Книга3_Tax_form_1кв_3 3_Копия Растениеводство форма(Акционеры)" xfId="0"/>
    <cellStyle name="_Книга3_Tax_form_1кв_3 3_М( ЗАР)" xfId="0"/>
    <cellStyle name="_Книга3_Tax_form_1кв_3 3_Модель АгроГард на 5 лет" xfId="0"/>
    <cellStyle name="_Книга3_Tax_form_1кв_3 3_Растениеводство форма( АГМ)" xfId="0"/>
    <cellStyle name="_Книга3_Tax_form_1кв_3 3_Свод по Агрохоолдингу  (в т.ч КБН  )" xfId="0"/>
    <cellStyle name="_Книга3_Tax_form_1кв_3 3_Форма по растениеводству (Акционеры) ИЛЧ" xfId="0"/>
    <cellStyle name="_Книга3_Tax_form_1кв_3 3_раст.-факт" xfId="0"/>
    <cellStyle name="_Книга3_Tax_form_1кв_3_АГМ" xfId="0"/>
    <cellStyle name="_Книга3_Tax_form_1кв_3_Копия Растениеводство форма(Акционеры)" xfId="0"/>
    <cellStyle name="_Книга3_Tax_form_1кв_3_М( ЗАР)" xfId="0"/>
    <cellStyle name="_Книга3_Tax_form_1кв_3_Модель АгроГард на 5 лет" xfId="0"/>
    <cellStyle name="_Книга3_Tax_form_1кв_3_НИК-09" xfId="0"/>
    <cellStyle name="_Книга3_Tax_form_1кв_3_НИК-09 2" xfId="0"/>
    <cellStyle name="_Книга3_Tax_form_1кв_3_Растениеводство форма( АГМ)" xfId="0"/>
    <cellStyle name="_Книга3_Tax_form_1кв_3_Свод по Агрохоолдингу  (в т.ч КБН  )" xfId="0"/>
    <cellStyle name="_Книга3_Tax_form_1кв_3_ТК-2011 АГМ+транспорт" xfId="0"/>
    <cellStyle name="_Книга3_Tax_form_1кв_3_Форма по растениеводству (Акционеры) ИЛЧ" xfId="0"/>
    <cellStyle name="_Книга3_Tax_form_1кв_3_раст.-факт" xfId="0"/>
    <cellStyle name="_Книга3_АГМ" xfId="0"/>
    <cellStyle name="_Книга3_БКЭ" xfId="0"/>
    <cellStyle name="_Книга3_БКЭ 1" xfId="0"/>
    <cellStyle name="_Книга3_БКЭ 1_Копия Растениеводство форма(Акционеры)" xfId="0"/>
    <cellStyle name="_Книга3_БКЭ 1_М( ЗАР)" xfId="0"/>
    <cellStyle name="_Книга3_БКЭ 1_Модель АгроГард на 5 лет" xfId="0"/>
    <cellStyle name="_Книга3_БКЭ 1_Растениеводство форма( АГМ)" xfId="0"/>
    <cellStyle name="_Книга3_БКЭ 1_Свод по Агрохоолдингу  (в т.ч КБН  )" xfId="0"/>
    <cellStyle name="_Книга3_БКЭ 1_Форма по растениеводству (Акционеры) ИЛЧ" xfId="0"/>
    <cellStyle name="_Книга3_БКЭ 1_раст.-факт" xfId="0"/>
    <cellStyle name="_Книга3_БКЭ 2" xfId="0"/>
    <cellStyle name="_Книга3_БКЭ 2_Копия Растениеводство форма(Акционеры)" xfId="0"/>
    <cellStyle name="_Книга3_БКЭ 2_М( ЗАР)" xfId="0"/>
    <cellStyle name="_Книга3_БКЭ 2_Модель АгроГард на 5 лет" xfId="0"/>
    <cellStyle name="_Книга3_БКЭ 2_Растениеводство форма( АГМ)" xfId="0"/>
    <cellStyle name="_Книга3_БКЭ 2_Свод по Агрохоолдингу  (в т.ч КБН  )" xfId="0"/>
    <cellStyle name="_Книга3_БКЭ 2_Форма по растениеводству (Акционеры) ИЛЧ" xfId="0"/>
    <cellStyle name="_Книга3_БКЭ 2_раст.-факт" xfId="0"/>
    <cellStyle name="_Книга3_БКЭ 3" xfId="0"/>
    <cellStyle name="_Книга3_БКЭ 3_Копия Растениеводство форма(Акционеры)" xfId="0"/>
    <cellStyle name="_Книга3_БКЭ 3_М( ЗАР)" xfId="0"/>
    <cellStyle name="_Книга3_БКЭ 3_Модель АгроГард на 5 лет" xfId="0"/>
    <cellStyle name="_Книга3_БКЭ 3_Растениеводство форма( АГМ)" xfId="0"/>
    <cellStyle name="_Книга3_БКЭ 3_Свод по Агрохоолдингу  (в т.ч КБН  )" xfId="0"/>
    <cellStyle name="_Книга3_БКЭ 3_Форма по растениеводству (Акционеры) ИЛЧ" xfId="0"/>
    <cellStyle name="_Книга3_БКЭ 3_раст.-факт" xfId="0"/>
    <cellStyle name="_Книга3_БКЭ_АГМ" xfId="0"/>
    <cellStyle name="_Книга3_БКЭ_Копия Растениеводство форма(Акционеры)" xfId="0"/>
    <cellStyle name="_Книга3_БКЭ_М( ЗАР)" xfId="0"/>
    <cellStyle name="_Книга3_БКЭ_Модель АгроГард на 5 лет" xfId="0"/>
    <cellStyle name="_Книга3_БКЭ_НИК-09" xfId="0"/>
    <cellStyle name="_Книга3_БКЭ_НИК-09 2" xfId="0"/>
    <cellStyle name="_Книга3_БКЭ_Растениеводство форма( АГМ)" xfId="0"/>
    <cellStyle name="_Книга3_БКЭ_Свод по Агрохоолдингу  (в т.ч КБН  )" xfId="0"/>
    <cellStyle name="_Книга3_БКЭ_ТК-2011 АГМ+транспорт" xfId="0"/>
    <cellStyle name="_Книга3_БКЭ_Форма по растениеводству (Акционеры) ИЛЧ" xfId="0"/>
    <cellStyle name="_Книга3_БКЭ_раст.-факт" xfId="0"/>
    <cellStyle name="_Книга3_Копия Растениеводство форма(Акционеры)" xfId="0"/>
    <cellStyle name="_Книга3_М( ЗАР)" xfId="0"/>
    <cellStyle name="_Книга3_Модель АгроГард на 5 лет" xfId="0"/>
    <cellStyle name="_Книга3_НИК-09" xfId="0"/>
    <cellStyle name="_Книга3_НИК-09 2" xfId="0"/>
    <cellStyle name="_Книга3_Растениеводство форма( АГМ)" xfId="0"/>
    <cellStyle name="_Книга3_Свод по Агрохоолдингу  (в т.ч КБН  )" xfId="0"/>
    <cellStyle name="_Книга3_ТК-2011 АГМ+транспорт" xfId="0"/>
    <cellStyle name="_Книга3_Форма по растениеводству (Акционеры) ИЛЧ" xfId="0"/>
    <cellStyle name="_Книга3_раст.-факт" xfId="0"/>
    <cellStyle name="_Книга7" xfId="0"/>
    <cellStyle name="_Книга7 1" xfId="0"/>
    <cellStyle name="_Книга7 1_Копия Растениеводство форма(Акционеры)" xfId="0"/>
    <cellStyle name="_Книга7 1_М( ЗАР)" xfId="0"/>
    <cellStyle name="_Книга7 1_Модель АгроГард на 5 лет" xfId="0"/>
    <cellStyle name="_Книга7 1_Растениеводство форма( АГМ)" xfId="0"/>
    <cellStyle name="_Книга7 1_Свод по Агрохоолдингу  (в т.ч КБН  )" xfId="0"/>
    <cellStyle name="_Книга7 1_Форма по растениеводству (Акционеры) ИЛЧ" xfId="0"/>
    <cellStyle name="_Книга7 1_раст.-факт" xfId="0"/>
    <cellStyle name="_Книга7 2" xfId="0"/>
    <cellStyle name="_Книга7 2_Копия Растениеводство форма(Акционеры)" xfId="0"/>
    <cellStyle name="_Книга7 2_М( ЗАР)" xfId="0"/>
    <cellStyle name="_Книга7 2_Модель АгроГард на 5 лет" xfId="0"/>
    <cellStyle name="_Книга7 2_Растениеводство форма( АГМ)" xfId="0"/>
    <cellStyle name="_Книга7 2_Свод по Агрохоолдингу  (в т.ч КБН  )" xfId="0"/>
    <cellStyle name="_Книга7 2_Форма по растениеводству (Акционеры) ИЛЧ" xfId="0"/>
    <cellStyle name="_Книга7 2_раст.-факт" xfId="0"/>
    <cellStyle name="_Книга7 3" xfId="0"/>
    <cellStyle name="_Книга7 3_Копия Растениеводство форма(Акционеры)" xfId="0"/>
    <cellStyle name="_Книга7 3_М( ЗАР)" xfId="0"/>
    <cellStyle name="_Книга7 3_Модель АгроГард на 5 лет" xfId="0"/>
    <cellStyle name="_Книга7 3_Растениеводство форма( АГМ)" xfId="0"/>
    <cellStyle name="_Книга7 3_Свод по Агрохоолдингу  (в т.ч КБН  )" xfId="0"/>
    <cellStyle name="_Книга7 3_Форма по растениеводству (Акционеры) ИЛЧ" xfId="0"/>
    <cellStyle name="_Книга7 3_раст.-факт" xfId="0"/>
    <cellStyle name="_Книга7_New Form10_2" xfId="0"/>
    <cellStyle name="_Книга7_New Form10_2 1" xfId="0"/>
    <cellStyle name="_Книга7_New Form10_2 1_Копия Растениеводство форма(Акционеры)" xfId="0"/>
    <cellStyle name="_Книга7_New Form10_2 1_М( ЗАР)" xfId="0"/>
    <cellStyle name="_Книга7_New Form10_2 1_Модель АгроГард на 5 лет" xfId="0"/>
    <cellStyle name="_Книга7_New Form10_2 1_Растениеводство форма( АГМ)" xfId="0"/>
    <cellStyle name="_Книга7_New Form10_2 1_Свод по Агрохоолдингу  (в т.ч КБН  )" xfId="0"/>
    <cellStyle name="_Книга7_New Form10_2 1_Форма по растениеводству (Акционеры) ИЛЧ" xfId="0"/>
    <cellStyle name="_Книга7_New Form10_2 1_раст.-факт" xfId="0"/>
    <cellStyle name="_Книга7_New Form10_2 2" xfId="0"/>
    <cellStyle name="_Книга7_New Form10_2 2_Копия Растениеводство форма(Акционеры)" xfId="0"/>
    <cellStyle name="_Книга7_New Form10_2 2_М( ЗАР)" xfId="0"/>
    <cellStyle name="_Книга7_New Form10_2 2_Модель АгроГард на 5 лет" xfId="0"/>
    <cellStyle name="_Книга7_New Form10_2 2_Растениеводство форма( АГМ)" xfId="0"/>
    <cellStyle name="_Книга7_New Form10_2 2_Свод по Агрохоолдингу  (в т.ч КБН  )" xfId="0"/>
    <cellStyle name="_Книга7_New Form10_2 2_Форма по растениеводству (Акционеры) ИЛЧ" xfId="0"/>
    <cellStyle name="_Книга7_New Form10_2 2_раст.-факт" xfId="0"/>
    <cellStyle name="_Книга7_New Form10_2 3" xfId="0"/>
    <cellStyle name="_Книга7_New Form10_2 3_Копия Растениеводство форма(Акционеры)" xfId="0"/>
    <cellStyle name="_Книга7_New Form10_2 3_М( ЗАР)" xfId="0"/>
    <cellStyle name="_Книга7_New Form10_2 3_Модель АгроГард на 5 лет" xfId="0"/>
    <cellStyle name="_Книга7_New Form10_2 3_Растениеводство форма( АГМ)" xfId="0"/>
    <cellStyle name="_Книга7_New Form10_2 3_Свод по Агрохоолдингу  (в т.ч КБН  )" xfId="0"/>
    <cellStyle name="_Книга7_New Form10_2 3_Форма по растениеводству (Акционеры) ИЛЧ" xfId="0"/>
    <cellStyle name="_Книга7_New Form10_2 3_раст.-факт" xfId="0"/>
    <cellStyle name="_Книга7_New Form10_2_АГМ" xfId="0"/>
    <cellStyle name="_Книга7_New Form10_2_Копия Растениеводство форма(Акционеры)" xfId="0"/>
    <cellStyle name="_Книга7_New Form10_2_М( ЗАР)" xfId="0"/>
    <cellStyle name="_Книга7_New Form10_2_Модель АгроГард на 5 лет" xfId="0"/>
    <cellStyle name="_Книга7_New Form10_2_НИК-09" xfId="0"/>
    <cellStyle name="_Книга7_New Form10_2_НИК-09 2" xfId="0"/>
    <cellStyle name="_Книга7_New Form10_2_Растениеводство форма( АГМ)" xfId="0"/>
    <cellStyle name="_Книга7_New Form10_2_Свод по Агрохоолдингу  (в т.ч КБН  )" xfId="0"/>
    <cellStyle name="_Книга7_New Form10_2_ТК-2011 АГМ+транспорт" xfId="0"/>
    <cellStyle name="_Книга7_New Form10_2_Форма по растениеводству (Акционеры) ИЛЧ" xfId="0"/>
    <cellStyle name="_Книга7_New Form10_2_раст.-факт" xfId="0"/>
    <cellStyle name="_Книга7_Nsi" xfId="0"/>
    <cellStyle name="_Книга7_Nsi 1" xfId="0"/>
    <cellStyle name="_Книга7_Nsi 1_Копия Растениеводство форма(Акционеры)" xfId="0"/>
    <cellStyle name="_Книга7_Nsi 1_М( ЗАР)" xfId="0"/>
    <cellStyle name="_Книга7_Nsi 1_Модель АгроГард на 5 лет" xfId="0"/>
    <cellStyle name="_Книга7_Nsi 1_Растениеводство форма( АГМ)" xfId="0"/>
    <cellStyle name="_Книга7_Nsi 1_Свод по Агрохоолдингу  (в т.ч КБН  )" xfId="0"/>
    <cellStyle name="_Книга7_Nsi 1_Форма по растениеводству (Акционеры) ИЛЧ" xfId="0"/>
    <cellStyle name="_Книга7_Nsi 1_раст.-факт" xfId="0"/>
    <cellStyle name="_Книга7_Nsi 2" xfId="0"/>
    <cellStyle name="_Книга7_Nsi 2_Копия Растениеводство форма(Акционеры)" xfId="0"/>
    <cellStyle name="_Книга7_Nsi 2_М( ЗАР)" xfId="0"/>
    <cellStyle name="_Книга7_Nsi 2_Модель АгроГард на 5 лет" xfId="0"/>
    <cellStyle name="_Книга7_Nsi 2_Растениеводство форма( АГМ)" xfId="0"/>
    <cellStyle name="_Книга7_Nsi 2_Свод по Агрохоолдингу  (в т.ч КБН  )" xfId="0"/>
    <cellStyle name="_Книга7_Nsi 2_Форма по растениеводству (Акционеры) ИЛЧ" xfId="0"/>
    <cellStyle name="_Книга7_Nsi 2_раст.-факт" xfId="0"/>
    <cellStyle name="_Книга7_Nsi 3" xfId="0"/>
    <cellStyle name="_Книга7_Nsi 3_Копия Растениеводство форма(Акционеры)" xfId="0"/>
    <cellStyle name="_Книга7_Nsi 3_М( ЗАР)" xfId="0"/>
    <cellStyle name="_Книга7_Nsi 3_Модель АгроГард на 5 лет" xfId="0"/>
    <cellStyle name="_Книга7_Nsi 3_Растениеводство форма( АГМ)" xfId="0"/>
    <cellStyle name="_Книга7_Nsi 3_Свод по Агрохоолдингу  (в т.ч КБН  )" xfId="0"/>
    <cellStyle name="_Книга7_Nsi 3_Форма по растениеводству (Акционеры) ИЛЧ" xfId="0"/>
    <cellStyle name="_Книга7_Nsi 3_раст.-факт" xfId="0"/>
    <cellStyle name="_Книга7_Nsi_1" xfId="0"/>
    <cellStyle name="_Книга7_Nsi_1 1" xfId="0"/>
    <cellStyle name="_Книга7_Nsi_1 1_Копия Растениеводство форма(Акционеры)" xfId="0"/>
    <cellStyle name="_Книга7_Nsi_1 1_М( ЗАР)" xfId="0"/>
    <cellStyle name="_Книга7_Nsi_1 1_Модель АгроГард на 5 лет" xfId="0"/>
    <cellStyle name="_Книга7_Nsi_1 1_Растениеводство форма( АГМ)" xfId="0"/>
    <cellStyle name="_Книга7_Nsi_1 1_Свод по Агрохоолдингу  (в т.ч КБН  )" xfId="0"/>
    <cellStyle name="_Книга7_Nsi_1 1_Форма по растениеводству (Акционеры) ИЛЧ" xfId="0"/>
    <cellStyle name="_Книга7_Nsi_1 1_раст.-факт" xfId="0"/>
    <cellStyle name="_Книга7_Nsi_1 2" xfId="0"/>
    <cellStyle name="_Книга7_Nsi_1 2_Копия Растениеводство форма(Акционеры)" xfId="0"/>
    <cellStyle name="_Книга7_Nsi_1 2_М( ЗАР)" xfId="0"/>
    <cellStyle name="_Книга7_Nsi_1 2_Модель АгроГард на 5 лет" xfId="0"/>
    <cellStyle name="_Книга7_Nsi_1 2_Растениеводство форма( АГМ)" xfId="0"/>
    <cellStyle name="_Книга7_Nsi_1 2_Свод по Агрохоолдингу  (в т.ч КБН  )" xfId="0"/>
    <cellStyle name="_Книга7_Nsi_1 2_Форма по растениеводству (Акционеры) ИЛЧ" xfId="0"/>
    <cellStyle name="_Книга7_Nsi_1 2_раст.-факт" xfId="0"/>
    <cellStyle name="_Книга7_Nsi_1 3" xfId="0"/>
    <cellStyle name="_Книга7_Nsi_1 3_Копия Растениеводство форма(Акционеры)" xfId="0"/>
    <cellStyle name="_Книга7_Nsi_1 3_М( ЗАР)" xfId="0"/>
    <cellStyle name="_Книга7_Nsi_1 3_Модель АгроГард на 5 лет" xfId="0"/>
    <cellStyle name="_Книга7_Nsi_1 3_Растениеводство форма( АГМ)" xfId="0"/>
    <cellStyle name="_Книга7_Nsi_1 3_Свод по Агрохоолдингу  (в т.ч КБН  )" xfId="0"/>
    <cellStyle name="_Книга7_Nsi_1 3_Форма по растениеводству (Акционеры) ИЛЧ" xfId="0"/>
    <cellStyle name="_Книга7_Nsi_1 3_раст.-факт" xfId="0"/>
    <cellStyle name="_Книга7_Nsi_139" xfId="0"/>
    <cellStyle name="_Книга7_Nsi_139 1" xfId="0"/>
    <cellStyle name="_Книга7_Nsi_139 1_Копия Растениеводство форма(Акционеры)" xfId="0"/>
    <cellStyle name="_Книга7_Nsi_139 1_М( ЗАР)" xfId="0"/>
    <cellStyle name="_Книга7_Nsi_139 1_Модель АгроГард на 5 лет" xfId="0"/>
    <cellStyle name="_Книга7_Nsi_139 1_Растениеводство форма( АГМ)" xfId="0"/>
    <cellStyle name="_Книга7_Nsi_139 1_Свод по Агрохоолдингу  (в т.ч КБН  )" xfId="0"/>
    <cellStyle name="_Книга7_Nsi_139 1_Форма по растениеводству (Акционеры) ИЛЧ" xfId="0"/>
    <cellStyle name="_Книга7_Nsi_139 1_раст.-факт" xfId="0"/>
    <cellStyle name="_Книга7_Nsi_139 2" xfId="0"/>
    <cellStyle name="_Книга7_Nsi_139 2_Копия Растениеводство форма(Акционеры)" xfId="0"/>
    <cellStyle name="_Книга7_Nsi_139 2_М( ЗАР)" xfId="0"/>
    <cellStyle name="_Книга7_Nsi_139 2_Модель АгроГард на 5 лет" xfId="0"/>
    <cellStyle name="_Книга7_Nsi_139 2_Растениеводство форма( АГМ)" xfId="0"/>
    <cellStyle name="_Книга7_Nsi_139 2_Свод по Агрохоолдингу  (в т.ч КБН  )" xfId="0"/>
    <cellStyle name="_Книга7_Nsi_139 2_Форма по растениеводству (Акционеры) ИЛЧ" xfId="0"/>
    <cellStyle name="_Книга7_Nsi_139 2_раст.-факт" xfId="0"/>
    <cellStyle name="_Книга7_Nsi_139 3" xfId="0"/>
    <cellStyle name="_Книга7_Nsi_139 3_Копия Растениеводство форма(Акционеры)" xfId="0"/>
    <cellStyle name="_Книга7_Nsi_139 3_М( ЗАР)" xfId="0"/>
    <cellStyle name="_Книга7_Nsi_139 3_Модель АгроГард на 5 лет" xfId="0"/>
    <cellStyle name="_Книга7_Nsi_139 3_Растениеводство форма( АГМ)" xfId="0"/>
    <cellStyle name="_Книга7_Nsi_139 3_Свод по Агрохоолдингу  (в т.ч КБН  )" xfId="0"/>
    <cellStyle name="_Книга7_Nsi_139 3_Форма по растениеводству (Акционеры) ИЛЧ" xfId="0"/>
    <cellStyle name="_Книга7_Nsi_139 3_раст.-факт" xfId="0"/>
    <cellStyle name="_Книга7_Nsi_139_АГМ" xfId="0"/>
    <cellStyle name="_Книга7_Nsi_139_Копия Растениеводство форма(Акционеры)" xfId="0"/>
    <cellStyle name="_Книга7_Nsi_139_М( ЗАР)" xfId="0"/>
    <cellStyle name="_Книга7_Nsi_139_Модель АгроГард на 5 лет" xfId="0"/>
    <cellStyle name="_Книга7_Nsi_139_НИК-09" xfId="0"/>
    <cellStyle name="_Книга7_Nsi_139_НИК-09 2" xfId="0"/>
    <cellStyle name="_Книга7_Nsi_139_Растениеводство форма( АГМ)" xfId="0"/>
    <cellStyle name="_Книга7_Nsi_139_Свод по Агрохоолдингу  (в т.ч КБН  )" xfId="0"/>
    <cellStyle name="_Книга7_Nsi_139_ТК-2011 АГМ+транспорт" xfId="0"/>
    <cellStyle name="_Книга7_Nsi_139_Форма по растениеводству (Акционеры) ИЛЧ" xfId="0"/>
    <cellStyle name="_Книга7_Nsi_139_раст.-факт" xfId="0"/>
    <cellStyle name="_Книга7_Nsi_140" xfId="0"/>
    <cellStyle name="_Книга7_Nsi_140 1" xfId="0"/>
    <cellStyle name="_Книга7_Nsi_140 1_Копия Растениеводство форма(Акционеры)" xfId="0"/>
    <cellStyle name="_Книга7_Nsi_140 1_М( ЗАР)" xfId="0"/>
    <cellStyle name="_Книга7_Nsi_140 1_Модель АгроГард на 5 лет" xfId="0"/>
    <cellStyle name="_Книга7_Nsi_140 1_Растениеводство форма( АГМ)" xfId="0"/>
    <cellStyle name="_Книга7_Nsi_140 1_Свод по Агрохоолдингу  (в т.ч КБН  )" xfId="0"/>
    <cellStyle name="_Книга7_Nsi_140 1_Форма по растениеводству (Акционеры) ИЛЧ" xfId="0"/>
    <cellStyle name="_Книга7_Nsi_140 1_раст.-факт" xfId="0"/>
    <cellStyle name="_Книга7_Nsi_140 2" xfId="0"/>
    <cellStyle name="_Книга7_Nsi_140 2_Копия Растениеводство форма(Акционеры)" xfId="0"/>
    <cellStyle name="_Книга7_Nsi_140 2_М( ЗАР)" xfId="0"/>
    <cellStyle name="_Книга7_Nsi_140 2_Модель АгроГард на 5 лет" xfId="0"/>
    <cellStyle name="_Книга7_Nsi_140 2_Растениеводство форма( АГМ)" xfId="0"/>
    <cellStyle name="_Книга7_Nsi_140 2_Свод по Агрохоолдингу  (в т.ч КБН  )" xfId="0"/>
    <cellStyle name="_Книга7_Nsi_140 2_Форма по растениеводству (Акционеры) ИЛЧ" xfId="0"/>
    <cellStyle name="_Книга7_Nsi_140 2_раст.-факт" xfId="0"/>
    <cellStyle name="_Книга7_Nsi_140 3" xfId="0"/>
    <cellStyle name="_Книга7_Nsi_140 3_Копия Растениеводство форма(Акционеры)" xfId="0"/>
    <cellStyle name="_Книга7_Nsi_140 3_М( ЗАР)" xfId="0"/>
    <cellStyle name="_Книга7_Nsi_140 3_Модель АгроГард на 5 лет" xfId="0"/>
    <cellStyle name="_Книга7_Nsi_140 3_Растениеводство форма( АГМ)" xfId="0"/>
    <cellStyle name="_Книга7_Nsi_140 3_Свод по Агрохоолдингу  (в т.ч КБН  )" xfId="0"/>
    <cellStyle name="_Книга7_Nsi_140 3_Форма по растениеводству (Акционеры) ИЛЧ" xfId="0"/>
    <cellStyle name="_Книга7_Nsi_140 3_раст.-факт" xfId="0"/>
    <cellStyle name="_Книга7_Nsi_140(Зах)" xfId="0"/>
    <cellStyle name="_Книга7_Nsi_140(Зах) 1" xfId="0"/>
    <cellStyle name="_Книга7_Nsi_140(Зах) 1_Копия Растениеводство форма(Акционеры)" xfId="0"/>
    <cellStyle name="_Книга7_Nsi_140(Зах) 1_М( ЗАР)" xfId="0"/>
    <cellStyle name="_Книга7_Nsi_140(Зах) 1_Модель АгроГард на 5 лет" xfId="0"/>
    <cellStyle name="_Книга7_Nsi_140(Зах) 1_Растениеводство форма( АГМ)" xfId="0"/>
    <cellStyle name="_Книга7_Nsi_140(Зах) 1_Свод по Агрохоолдингу  (в т.ч КБН  )" xfId="0"/>
    <cellStyle name="_Книга7_Nsi_140(Зах) 1_Форма по растениеводству (Акционеры) ИЛЧ" xfId="0"/>
    <cellStyle name="_Книга7_Nsi_140(Зах) 1_раст.-факт" xfId="0"/>
    <cellStyle name="_Книга7_Nsi_140(Зах) 2" xfId="0"/>
    <cellStyle name="_Книга7_Nsi_140(Зах) 2_Копия Растениеводство форма(Акционеры)" xfId="0"/>
    <cellStyle name="_Книга7_Nsi_140(Зах) 2_М( ЗАР)" xfId="0"/>
    <cellStyle name="_Книга7_Nsi_140(Зах) 2_Модель АгроГард на 5 лет" xfId="0"/>
    <cellStyle name="_Книга7_Nsi_140(Зах) 2_Растениеводство форма( АГМ)" xfId="0"/>
    <cellStyle name="_Книга7_Nsi_140(Зах) 2_Свод по Агрохоолдингу  (в т.ч КБН  )" xfId="0"/>
    <cellStyle name="_Книга7_Nsi_140(Зах) 2_Форма по растениеводству (Акционеры) ИЛЧ" xfId="0"/>
    <cellStyle name="_Книга7_Nsi_140(Зах) 2_раст.-факт" xfId="0"/>
    <cellStyle name="_Книга7_Nsi_140(Зах) 3" xfId="0"/>
    <cellStyle name="_Книга7_Nsi_140(Зах) 3_Копия Растениеводство форма(Акционеры)" xfId="0"/>
    <cellStyle name="_Книга7_Nsi_140(Зах) 3_М( ЗАР)" xfId="0"/>
    <cellStyle name="_Книга7_Nsi_140(Зах) 3_Модель АгроГард на 5 лет" xfId="0"/>
    <cellStyle name="_Книга7_Nsi_140(Зах) 3_Растениеводство форма( АГМ)" xfId="0"/>
    <cellStyle name="_Книга7_Nsi_140(Зах) 3_Свод по Агрохоолдингу  (в т.ч КБН  )" xfId="0"/>
    <cellStyle name="_Книга7_Nsi_140(Зах) 3_Форма по растениеводству (Акционеры) ИЛЧ" xfId="0"/>
    <cellStyle name="_Книга7_Nsi_140(Зах) 3_раст.-факт" xfId="0"/>
    <cellStyle name="_Книга7_Nsi_140(Зах)_АГМ" xfId="0"/>
    <cellStyle name="_Книга7_Nsi_140(Зах)_Копия Растениеводство форма(Акционеры)" xfId="0"/>
    <cellStyle name="_Книга7_Nsi_140(Зах)_М( ЗАР)" xfId="0"/>
    <cellStyle name="_Книга7_Nsi_140(Зах)_Модель АгроГард на 5 лет" xfId="0"/>
    <cellStyle name="_Книга7_Nsi_140(Зах)_НИК-09" xfId="0"/>
    <cellStyle name="_Книга7_Nsi_140(Зах)_НИК-09 2" xfId="0"/>
    <cellStyle name="_Книга7_Nsi_140(Зах)_Растениеводство форма( АГМ)" xfId="0"/>
    <cellStyle name="_Книга7_Nsi_140(Зах)_Свод по Агрохоолдингу  (в т.ч КБН  )" xfId="0"/>
    <cellStyle name="_Книга7_Nsi_140(Зах)_ТК-2011 АГМ+транспорт" xfId="0"/>
    <cellStyle name="_Книга7_Nsi_140(Зах)_Форма по растениеводству (Акционеры) ИЛЧ" xfId="0"/>
    <cellStyle name="_Книга7_Nsi_140(Зах)_раст.-факт" xfId="0"/>
    <cellStyle name="_Книга7_Nsi_140_mod" xfId="0"/>
    <cellStyle name="_Книга7_Nsi_140_mod 1" xfId="0"/>
    <cellStyle name="_Книга7_Nsi_140_mod 1_Копия Растениеводство форма(Акционеры)" xfId="0"/>
    <cellStyle name="_Книга7_Nsi_140_mod 1_М( ЗАР)" xfId="0"/>
    <cellStyle name="_Книга7_Nsi_140_mod 1_Модель АгроГард на 5 лет" xfId="0"/>
    <cellStyle name="_Книга7_Nsi_140_mod 1_Растениеводство форма( АГМ)" xfId="0"/>
    <cellStyle name="_Книга7_Nsi_140_mod 1_Свод по Агрохоолдингу  (в т.ч КБН  )" xfId="0"/>
    <cellStyle name="_Книга7_Nsi_140_mod 1_Форма по растениеводству (Акционеры) ИЛЧ" xfId="0"/>
    <cellStyle name="_Книга7_Nsi_140_mod 1_раст.-факт" xfId="0"/>
    <cellStyle name="_Книга7_Nsi_140_mod 2" xfId="0"/>
    <cellStyle name="_Книга7_Nsi_140_mod 2_Копия Растениеводство форма(Акционеры)" xfId="0"/>
    <cellStyle name="_Книга7_Nsi_140_mod 2_М( ЗАР)" xfId="0"/>
    <cellStyle name="_Книга7_Nsi_140_mod 2_Модель АгроГард на 5 лет" xfId="0"/>
    <cellStyle name="_Книга7_Nsi_140_mod 2_Растениеводство форма( АГМ)" xfId="0"/>
    <cellStyle name="_Книга7_Nsi_140_mod 2_Свод по Агрохоолдингу  (в т.ч КБН  )" xfId="0"/>
    <cellStyle name="_Книга7_Nsi_140_mod 2_Форма по растениеводству (Акционеры) ИЛЧ" xfId="0"/>
    <cellStyle name="_Книга7_Nsi_140_mod 2_раст.-факт" xfId="0"/>
    <cellStyle name="_Книга7_Nsi_140_mod 3" xfId="0"/>
    <cellStyle name="_Книга7_Nsi_140_mod 3_Копия Растениеводство форма(Акционеры)" xfId="0"/>
    <cellStyle name="_Книга7_Nsi_140_mod 3_М( ЗАР)" xfId="0"/>
    <cellStyle name="_Книга7_Nsi_140_mod 3_Модель АгроГард на 5 лет" xfId="0"/>
    <cellStyle name="_Книга7_Nsi_140_mod 3_Растениеводство форма( АГМ)" xfId="0"/>
    <cellStyle name="_Книга7_Nsi_140_mod 3_Свод по Агрохоолдингу  (в т.ч КБН  )" xfId="0"/>
    <cellStyle name="_Книга7_Nsi_140_mod 3_Форма по растениеводству (Акционеры) ИЛЧ" xfId="0"/>
    <cellStyle name="_Книга7_Nsi_140_mod 3_раст.-факт" xfId="0"/>
    <cellStyle name="_Книга7_Nsi_140_mod_АГМ" xfId="0"/>
    <cellStyle name="_Книга7_Nsi_140_mod_Копия Растениеводство форма(Акционеры)" xfId="0"/>
    <cellStyle name="_Книга7_Nsi_140_mod_М( ЗАР)" xfId="0"/>
    <cellStyle name="_Книга7_Nsi_140_mod_Модель АгроГард на 5 лет" xfId="0"/>
    <cellStyle name="_Книга7_Nsi_140_mod_НИК-09" xfId="0"/>
    <cellStyle name="_Книга7_Nsi_140_mod_НИК-09 2" xfId="0"/>
    <cellStyle name="_Книга7_Nsi_140_mod_Растениеводство форма( АГМ)" xfId="0"/>
    <cellStyle name="_Книга7_Nsi_140_mod_Свод по Агрохоолдингу  (в т.ч КБН  )" xfId="0"/>
    <cellStyle name="_Книга7_Nsi_140_mod_ТК-2011 АГМ+транспорт" xfId="0"/>
    <cellStyle name="_Книга7_Nsi_140_mod_Форма по растениеводству (Акционеры) ИЛЧ" xfId="0"/>
    <cellStyle name="_Книга7_Nsi_140_mod_раст.-факт" xfId="0"/>
    <cellStyle name="_Книга7_Nsi_140_АГМ" xfId="0"/>
    <cellStyle name="_Книга7_Nsi_140_Копия Растениеводство форма(Акционеры)" xfId="0"/>
    <cellStyle name="_Книга7_Nsi_140_М( ЗАР)" xfId="0"/>
    <cellStyle name="_Книга7_Nsi_140_Модель АгроГард на 5 лет" xfId="0"/>
    <cellStyle name="_Книга7_Nsi_140_НИК-09" xfId="0"/>
    <cellStyle name="_Книга7_Nsi_140_НИК-09 2" xfId="0"/>
    <cellStyle name="_Книга7_Nsi_140_Растениеводство форма( АГМ)" xfId="0"/>
    <cellStyle name="_Книга7_Nsi_140_Свод по Агрохоолдингу  (в т.ч КБН  )" xfId="0"/>
    <cellStyle name="_Книга7_Nsi_140_ТК-2011 АГМ+транспорт" xfId="0"/>
    <cellStyle name="_Книга7_Nsi_140_Форма по растениеводству (Акционеры) ИЛЧ" xfId="0"/>
    <cellStyle name="_Книга7_Nsi_140_раст.-факт" xfId="0"/>
    <cellStyle name="_Книга7_Nsi_1_АГМ" xfId="0"/>
    <cellStyle name="_Книга7_Nsi_1_Копия Растениеводство форма(Акционеры)" xfId="0"/>
    <cellStyle name="_Книга7_Nsi_1_М( ЗАР)" xfId="0"/>
    <cellStyle name="_Книга7_Nsi_1_Модель АгроГард на 5 лет" xfId="0"/>
    <cellStyle name="_Книга7_Nsi_1_НИК-09" xfId="0"/>
    <cellStyle name="_Книга7_Nsi_1_НИК-09 2" xfId="0"/>
    <cellStyle name="_Книга7_Nsi_1_Растениеводство форма( АГМ)" xfId="0"/>
    <cellStyle name="_Книга7_Nsi_1_Свод по Агрохоолдингу  (в т.ч КБН  )" xfId="0"/>
    <cellStyle name="_Книга7_Nsi_1_ТК-2011 АГМ+транспорт" xfId="0"/>
    <cellStyle name="_Книга7_Nsi_1_Форма по растениеводству (Акционеры) ИЛЧ" xfId="0"/>
    <cellStyle name="_Книга7_Nsi_1_раст.-факт" xfId="0"/>
    <cellStyle name="_Книга7_Nsi_АГМ" xfId="0"/>
    <cellStyle name="_Книга7_Nsi_Копия Растениеводство форма(Акционеры)" xfId="0"/>
    <cellStyle name="_Книга7_Nsi_М( ЗАР)" xfId="0"/>
    <cellStyle name="_Книга7_Nsi_Модель АгроГард на 5 лет" xfId="0"/>
    <cellStyle name="_Книга7_Nsi_НИК-09" xfId="0"/>
    <cellStyle name="_Книга7_Nsi_НИК-09 2" xfId="0"/>
    <cellStyle name="_Книга7_Nsi_Растениеводство форма( АГМ)" xfId="0"/>
    <cellStyle name="_Книга7_Nsi_Свод по Агрохоолдингу  (в т.ч КБН  )" xfId="0"/>
    <cellStyle name="_Книга7_Nsi_ТК-2011 АГМ+транспорт" xfId="0"/>
    <cellStyle name="_Книга7_Nsi_Форма по растениеводству (Акционеры) ИЛЧ" xfId="0"/>
    <cellStyle name="_Книга7_Nsi_раст.-факт" xfId="0"/>
    <cellStyle name="_Книга7_Summary" xfId="0"/>
    <cellStyle name="_Книга7_Summary 1" xfId="0"/>
    <cellStyle name="_Книга7_Summary 1_Копия Растениеводство форма(Акционеры)" xfId="0"/>
    <cellStyle name="_Книга7_Summary 1_М( ЗАР)" xfId="0"/>
    <cellStyle name="_Книга7_Summary 1_Модель АгроГард на 5 лет" xfId="0"/>
    <cellStyle name="_Книга7_Summary 1_Растениеводство форма( АГМ)" xfId="0"/>
    <cellStyle name="_Книга7_Summary 1_Свод по Агрохоолдингу  (в т.ч КБН  )" xfId="0"/>
    <cellStyle name="_Книга7_Summary 1_Форма по растениеводству (Акционеры) ИЛЧ" xfId="0"/>
    <cellStyle name="_Книга7_Summary 1_раст.-факт" xfId="0"/>
    <cellStyle name="_Книга7_Summary 2" xfId="0"/>
    <cellStyle name="_Книга7_Summary 2_Копия Растениеводство форма(Акционеры)" xfId="0"/>
    <cellStyle name="_Книга7_Summary 2_М( ЗАР)" xfId="0"/>
    <cellStyle name="_Книга7_Summary 2_Модель АгроГард на 5 лет" xfId="0"/>
    <cellStyle name="_Книга7_Summary 2_Растениеводство форма( АГМ)" xfId="0"/>
    <cellStyle name="_Книга7_Summary 2_Свод по Агрохоолдингу  (в т.ч КБН  )" xfId="0"/>
    <cellStyle name="_Книга7_Summary 2_Форма по растениеводству (Акционеры) ИЛЧ" xfId="0"/>
    <cellStyle name="_Книга7_Summary 2_раст.-факт" xfId="0"/>
    <cellStyle name="_Книга7_Summary 3" xfId="0"/>
    <cellStyle name="_Книга7_Summary 3_Копия Растениеводство форма(Акционеры)" xfId="0"/>
    <cellStyle name="_Книга7_Summary 3_М( ЗАР)" xfId="0"/>
    <cellStyle name="_Книга7_Summary 3_Модель АгроГард на 5 лет" xfId="0"/>
    <cellStyle name="_Книга7_Summary 3_Растениеводство форма( АГМ)" xfId="0"/>
    <cellStyle name="_Книга7_Summary 3_Свод по Агрохоолдингу  (в т.ч КБН  )" xfId="0"/>
    <cellStyle name="_Книга7_Summary 3_Форма по растениеводству (Акционеры) ИЛЧ" xfId="0"/>
    <cellStyle name="_Книга7_Summary 3_раст.-факт" xfId="0"/>
    <cellStyle name="_Книга7_Summary_АГМ" xfId="0"/>
    <cellStyle name="_Книга7_Summary_Копия Растениеводство форма(Акционеры)" xfId="0"/>
    <cellStyle name="_Книга7_Summary_М( ЗАР)" xfId="0"/>
    <cellStyle name="_Книга7_Summary_Модель АгроГард на 5 лет" xfId="0"/>
    <cellStyle name="_Книга7_Summary_НИК-09" xfId="0"/>
    <cellStyle name="_Книга7_Summary_НИК-09 2" xfId="0"/>
    <cellStyle name="_Книга7_Summary_Растениеводство форма( АГМ)" xfId="0"/>
    <cellStyle name="_Книга7_Summary_Свод по Агрохоолдингу  (в т.ч КБН  )" xfId="0"/>
    <cellStyle name="_Книга7_Summary_ТК-2011 АГМ+транспорт" xfId="0"/>
    <cellStyle name="_Книга7_Summary_Форма по растениеводству (Акционеры) ИЛЧ" xfId="0"/>
    <cellStyle name="_Книга7_Summary_раст.-факт" xfId="0"/>
    <cellStyle name="_Книга7_Tax_form_1кв_3" xfId="0"/>
    <cellStyle name="_Книга7_Tax_form_1кв_3 1" xfId="0"/>
    <cellStyle name="_Книга7_Tax_form_1кв_3 1_Копия Растениеводство форма(Акционеры)" xfId="0"/>
    <cellStyle name="_Книга7_Tax_form_1кв_3 1_М( ЗАР)" xfId="0"/>
    <cellStyle name="_Книга7_Tax_form_1кв_3 1_Модель АгроГард на 5 лет" xfId="0"/>
    <cellStyle name="_Книга7_Tax_form_1кв_3 1_Растениеводство форма( АГМ)" xfId="0"/>
    <cellStyle name="_Книга7_Tax_form_1кв_3 1_Свод по Агрохоолдингу  (в т.ч КБН  )" xfId="0"/>
    <cellStyle name="_Книга7_Tax_form_1кв_3 1_Форма по растениеводству (Акционеры) ИЛЧ" xfId="0"/>
    <cellStyle name="_Книга7_Tax_form_1кв_3 1_раст.-факт" xfId="0"/>
    <cellStyle name="_Книга7_Tax_form_1кв_3 2" xfId="0"/>
    <cellStyle name="_Книга7_Tax_form_1кв_3 2_Копия Растениеводство форма(Акционеры)" xfId="0"/>
    <cellStyle name="_Книга7_Tax_form_1кв_3 2_М( ЗАР)" xfId="0"/>
    <cellStyle name="_Книга7_Tax_form_1кв_3 2_Модель АгроГард на 5 лет" xfId="0"/>
    <cellStyle name="_Книга7_Tax_form_1кв_3 2_Растениеводство форма( АГМ)" xfId="0"/>
    <cellStyle name="_Книга7_Tax_form_1кв_3 2_Свод по Агрохоолдингу  (в т.ч КБН  )" xfId="0"/>
    <cellStyle name="_Книга7_Tax_form_1кв_3 2_Форма по растениеводству (Акционеры) ИЛЧ" xfId="0"/>
    <cellStyle name="_Книга7_Tax_form_1кв_3 2_раст.-факт" xfId="0"/>
    <cellStyle name="_Книга7_Tax_form_1кв_3 3" xfId="0"/>
    <cellStyle name="_Книга7_Tax_form_1кв_3 3_Копия Растениеводство форма(Акционеры)" xfId="0"/>
    <cellStyle name="_Книга7_Tax_form_1кв_3 3_М( ЗАР)" xfId="0"/>
    <cellStyle name="_Книга7_Tax_form_1кв_3 3_Модель АгроГард на 5 лет" xfId="0"/>
    <cellStyle name="_Книга7_Tax_form_1кв_3 3_Растениеводство форма( АГМ)" xfId="0"/>
    <cellStyle name="_Книга7_Tax_form_1кв_3 3_Свод по Агрохоолдингу  (в т.ч КБН  )" xfId="0"/>
    <cellStyle name="_Книга7_Tax_form_1кв_3 3_Форма по растениеводству (Акционеры) ИЛЧ" xfId="0"/>
    <cellStyle name="_Книга7_Tax_form_1кв_3 3_раст.-факт" xfId="0"/>
    <cellStyle name="_Книга7_Tax_form_1кв_3_АГМ" xfId="0"/>
    <cellStyle name="_Книга7_Tax_form_1кв_3_Копия Растениеводство форма(Акционеры)" xfId="0"/>
    <cellStyle name="_Книга7_Tax_form_1кв_3_М( ЗАР)" xfId="0"/>
    <cellStyle name="_Книга7_Tax_form_1кв_3_Модель АгроГард на 5 лет" xfId="0"/>
    <cellStyle name="_Книга7_Tax_form_1кв_3_НИК-09" xfId="0"/>
    <cellStyle name="_Книга7_Tax_form_1кв_3_НИК-09 2" xfId="0"/>
    <cellStyle name="_Книга7_Tax_form_1кв_3_Растениеводство форма( АГМ)" xfId="0"/>
    <cellStyle name="_Книга7_Tax_form_1кв_3_Свод по Агрохоолдингу  (в т.ч КБН  )" xfId="0"/>
    <cellStyle name="_Книга7_Tax_form_1кв_3_ТК-2011 АГМ+транспорт" xfId="0"/>
    <cellStyle name="_Книга7_Tax_form_1кв_3_Форма по растениеводству (Акционеры) ИЛЧ" xfId="0"/>
    <cellStyle name="_Книга7_Tax_form_1кв_3_раст.-факт" xfId="0"/>
    <cellStyle name="_Книга7_АГМ" xfId="0"/>
    <cellStyle name="_Книга7_БКЭ" xfId="0"/>
    <cellStyle name="_Книга7_БКЭ 1" xfId="0"/>
    <cellStyle name="_Книга7_БКЭ 1_Копия Растениеводство форма(Акционеры)" xfId="0"/>
    <cellStyle name="_Книга7_БКЭ 1_М( ЗАР)" xfId="0"/>
    <cellStyle name="_Книга7_БКЭ 1_Модель АгроГард на 5 лет" xfId="0"/>
    <cellStyle name="_Книга7_БКЭ 1_Растениеводство форма( АГМ)" xfId="0"/>
    <cellStyle name="_Книга7_БКЭ 1_Свод по Агрохоолдингу  (в т.ч КБН  )" xfId="0"/>
    <cellStyle name="_Книга7_БКЭ 1_Форма по растениеводству (Акционеры) ИЛЧ" xfId="0"/>
    <cellStyle name="_Книга7_БКЭ 1_раст.-факт" xfId="0"/>
    <cellStyle name="_Книга7_БКЭ 2" xfId="0"/>
    <cellStyle name="_Книга7_БКЭ 2_Копия Растениеводство форма(Акционеры)" xfId="0"/>
    <cellStyle name="_Книга7_БКЭ 2_М( ЗАР)" xfId="0"/>
    <cellStyle name="_Книга7_БКЭ 2_Модель АгроГард на 5 лет" xfId="0"/>
    <cellStyle name="_Книга7_БКЭ 2_Растениеводство форма( АГМ)" xfId="0"/>
    <cellStyle name="_Книга7_БКЭ 2_Свод по Агрохоолдингу  (в т.ч КБН  )" xfId="0"/>
    <cellStyle name="_Книга7_БКЭ 2_Форма по растениеводству (Акционеры) ИЛЧ" xfId="0"/>
    <cellStyle name="_Книга7_БКЭ 2_раст.-факт" xfId="0"/>
    <cellStyle name="_Книга7_БКЭ 3" xfId="0"/>
    <cellStyle name="_Книга7_БКЭ 3_Копия Растениеводство форма(Акционеры)" xfId="0"/>
    <cellStyle name="_Книга7_БКЭ 3_М( ЗАР)" xfId="0"/>
    <cellStyle name="_Книга7_БКЭ 3_Модель АгроГард на 5 лет" xfId="0"/>
    <cellStyle name="_Книга7_БКЭ 3_Растениеводство форма( АГМ)" xfId="0"/>
    <cellStyle name="_Книга7_БКЭ 3_Свод по Агрохоолдингу  (в т.ч КБН  )" xfId="0"/>
    <cellStyle name="_Книга7_БКЭ 3_Форма по растениеводству (Акционеры) ИЛЧ" xfId="0"/>
    <cellStyle name="_Книга7_БКЭ 3_раст.-факт" xfId="0"/>
    <cellStyle name="_Книга7_БКЭ_АГМ" xfId="0"/>
    <cellStyle name="_Книга7_БКЭ_Копия Растениеводство форма(Акционеры)" xfId="0"/>
    <cellStyle name="_Книга7_БКЭ_М( ЗАР)" xfId="0"/>
    <cellStyle name="_Книга7_БКЭ_Модель АгроГард на 5 лет" xfId="0"/>
    <cellStyle name="_Книга7_БКЭ_НИК-09" xfId="0"/>
    <cellStyle name="_Книга7_БКЭ_НИК-09 2" xfId="0"/>
    <cellStyle name="_Книга7_БКЭ_Растениеводство форма( АГМ)" xfId="0"/>
    <cellStyle name="_Книга7_БКЭ_Свод по Агрохоолдингу  (в т.ч КБН  )" xfId="0"/>
    <cellStyle name="_Книга7_БКЭ_ТК-2011 АГМ+транспорт" xfId="0"/>
    <cellStyle name="_Книга7_БКЭ_Форма по растениеводству (Акционеры) ИЛЧ" xfId="0"/>
    <cellStyle name="_Книга7_БКЭ_раст.-факт" xfId="0"/>
    <cellStyle name="_Книга7_Копия Растениеводство форма(Акционеры)" xfId="0"/>
    <cellStyle name="_Книга7_М( ЗАР)" xfId="0"/>
    <cellStyle name="_Книга7_Модель АгроГард на 5 лет" xfId="0"/>
    <cellStyle name="_Книга7_НИК-09" xfId="0"/>
    <cellStyle name="_Книга7_НИК-09 2" xfId="0"/>
    <cellStyle name="_Книга7_Растениеводство форма( АГМ)" xfId="0"/>
    <cellStyle name="_Книга7_Свод по Агрохоолдингу  (в т.ч КБН  )" xfId="0"/>
    <cellStyle name="_Книга7_ТК-2011 АГМ+транспорт" xfId="0"/>
    <cellStyle name="_Книга7_Форма по растениеводству (Акционеры) ИЛЧ" xfId="0"/>
    <cellStyle name="_Книга7_раст.-факт" xfId="0"/>
    <cellStyle name="Accent1" xfId="0"/>
    <cellStyle name="Accent1 2" xfId="0"/>
    <cellStyle name="Accent2" xfId="0"/>
    <cellStyle name="Accent2 2" xfId="0"/>
    <cellStyle name="Accent3" xfId="0"/>
    <cellStyle name="Accent3 2" xfId="0"/>
    <cellStyle name="Accent4" xfId="0"/>
    <cellStyle name="Accent4 2" xfId="0"/>
    <cellStyle name="Accent5" xfId="0"/>
    <cellStyle name="Accent5 2" xfId="0"/>
    <cellStyle name="Accent6" xfId="0"/>
    <cellStyle name="Accent6 2" xfId="0"/>
    <cellStyle name="Aeia?nnueea" xfId="0"/>
    <cellStyle name="Aeia?nnueea 1" xfId="0"/>
    <cellStyle name="Aeia?nnueea 2" xfId="0"/>
    <cellStyle name="Aeia?nnueea 3" xfId="0"/>
    <cellStyle name="Aeia?nnueea_АГМ" xfId="0"/>
    <cellStyle name="Bad 1" xfId="0"/>
    <cellStyle name="Bad 2" xfId="0"/>
    <cellStyle name="Balance" xfId="0"/>
    <cellStyle name="Balance 1" xfId="0"/>
    <cellStyle name="Balance 1 2" xfId="0"/>
    <cellStyle name="Balance 2" xfId="0"/>
    <cellStyle name="Balance 2 2" xfId="0"/>
    <cellStyle name="Balance 3" xfId="0"/>
    <cellStyle name="Balance 3 2" xfId="0"/>
    <cellStyle name="Balance_АГМ" xfId="0"/>
    <cellStyle name="BalanceBold" xfId="0"/>
    <cellStyle name="BalanceBold 1" xfId="0"/>
    <cellStyle name="BalanceBold 1 2" xfId="0"/>
    <cellStyle name="BalanceBold 2" xfId="0"/>
    <cellStyle name="BalanceBold 2 2" xfId="0"/>
    <cellStyle name="BalanceBold 3" xfId="0"/>
    <cellStyle name="BalanceBold 3 2" xfId="0"/>
    <cellStyle name="BalanceBold 4" xfId="0"/>
    <cellStyle name="BalanceBold_АГМ" xfId="0"/>
    <cellStyle name="Calc Currency (0)" xfId="0"/>
    <cellStyle name="Calc Currency (0) 1" xfId="0"/>
    <cellStyle name="Calc Currency (0) 2" xfId="0"/>
    <cellStyle name="Calc Currency (0) 3" xfId="0"/>
    <cellStyle name="Calc Currency (0)_АГМ" xfId="0"/>
    <cellStyle name="Calculation" xfId="0"/>
    <cellStyle name="Calculation 10" xfId="0"/>
    <cellStyle name="Calculation 10 2" xfId="0"/>
    <cellStyle name="Calculation 10 2 2" xfId="0"/>
    <cellStyle name="Calculation 10 2 2 2" xfId="0"/>
    <cellStyle name="Calculation 10 2 2 2 2" xfId="0"/>
    <cellStyle name="Calculation 10 2 2 2 3" xfId="0"/>
    <cellStyle name="Calculation 10 2 2 3" xfId="0"/>
    <cellStyle name="Calculation 10 2 2 4" xfId="0"/>
    <cellStyle name="Calculation 10 2 3" xfId="0"/>
    <cellStyle name="Calculation 10 2 3 2" xfId="0"/>
    <cellStyle name="Calculation 10 2 3 2 2" xfId="0"/>
    <cellStyle name="Calculation 10 2 3 2 3" xfId="0"/>
    <cellStyle name="Calculation 10 2 3 3" xfId="0"/>
    <cellStyle name="Calculation 10 2 3 4" xfId="0"/>
    <cellStyle name="Calculation 10 2 4" xfId="0"/>
    <cellStyle name="Calculation 10 2 4 2" xfId="0"/>
    <cellStyle name="Calculation 10 2 4 3" xfId="0"/>
    <cellStyle name="Calculation 10 2 5" xfId="0"/>
    <cellStyle name="Calculation 10 2 6" xfId="0"/>
    <cellStyle name="Calculation 10 3" xfId="0"/>
    <cellStyle name="Calculation 10 3 2" xfId="0"/>
    <cellStyle name="Calculation 10 3 2 2" xfId="0"/>
    <cellStyle name="Calculation 10 3 2 2 2" xfId="0"/>
    <cellStyle name="Calculation 10 3 2 2 3" xfId="0"/>
    <cellStyle name="Calculation 10 3 2 3" xfId="0"/>
    <cellStyle name="Calculation 10 3 2 4" xfId="0"/>
    <cellStyle name="Calculation 10 3 3" xfId="0"/>
    <cellStyle name="Calculation 10 3 3 2" xfId="0"/>
    <cellStyle name="Calculation 10 3 3 3" xfId="0"/>
    <cellStyle name="Calculation 10 3 4" xfId="0"/>
    <cellStyle name="Calculation 10 3 5" xfId="0"/>
    <cellStyle name="Calculation 10 4" xfId="0"/>
    <cellStyle name="Calculation 10 4 2" xfId="0"/>
    <cellStyle name="Calculation 10 4 2 2" xfId="0"/>
    <cellStyle name="Calculation 10 4 2 2 2" xfId="0"/>
    <cellStyle name="Calculation 10 4 2 2 3" xfId="0"/>
    <cellStyle name="Calculation 10 4 2 3" xfId="0"/>
    <cellStyle name="Calculation 10 4 2 4" xfId="0"/>
    <cellStyle name="Calculation 10 4 3" xfId="0"/>
    <cellStyle name="Calculation 10 4 3 2" xfId="0"/>
    <cellStyle name="Calculation 10 4 3 3" xfId="0"/>
    <cellStyle name="Calculation 10 4 4" xfId="0"/>
    <cellStyle name="Calculation 10 4 5" xfId="0"/>
    <cellStyle name="Calculation 10 5" xfId="0"/>
    <cellStyle name="Calculation 10 5 2" xfId="0"/>
    <cellStyle name="Calculation 10 5 3" xfId="0"/>
    <cellStyle name="Calculation 10 6" xfId="0"/>
    <cellStyle name="Calculation 10 7" xfId="0"/>
    <cellStyle name="Calculation 11" xfId="0"/>
    <cellStyle name="Calculation 11 2" xfId="0"/>
    <cellStyle name="Calculation 11 2 2" xfId="0"/>
    <cellStyle name="Calculation 11 2 2 2" xfId="0"/>
    <cellStyle name="Calculation 11 2 2 2 2" xfId="0"/>
    <cellStyle name="Calculation 11 2 2 2 3" xfId="0"/>
    <cellStyle name="Calculation 11 2 2 3" xfId="0"/>
    <cellStyle name="Calculation 11 2 2 4" xfId="0"/>
    <cellStyle name="Calculation 11 2 3" xfId="0"/>
    <cellStyle name="Calculation 11 2 3 2" xfId="0"/>
    <cellStyle name="Calculation 11 2 3 2 2" xfId="0"/>
    <cellStyle name="Calculation 11 2 3 2 3" xfId="0"/>
    <cellStyle name="Calculation 11 2 3 3" xfId="0"/>
    <cellStyle name="Calculation 11 2 3 4" xfId="0"/>
    <cellStyle name="Calculation 11 2 4" xfId="0"/>
    <cellStyle name="Calculation 11 2 4 2" xfId="0"/>
    <cellStyle name="Calculation 11 2 4 3" xfId="0"/>
    <cellStyle name="Calculation 11 2 5" xfId="0"/>
    <cellStyle name="Calculation 11 2 6" xfId="0"/>
    <cellStyle name="Calculation 11 3" xfId="0"/>
    <cellStyle name="Calculation 11 3 2" xfId="0"/>
    <cellStyle name="Calculation 11 3 2 2" xfId="0"/>
    <cellStyle name="Calculation 11 3 2 2 2" xfId="0"/>
    <cellStyle name="Calculation 11 3 2 2 3" xfId="0"/>
    <cellStyle name="Calculation 11 3 2 3" xfId="0"/>
    <cellStyle name="Calculation 11 3 2 4" xfId="0"/>
    <cellStyle name="Calculation 11 3 3" xfId="0"/>
    <cellStyle name="Calculation 11 3 3 2" xfId="0"/>
    <cellStyle name="Calculation 11 3 3 3" xfId="0"/>
    <cellStyle name="Calculation 11 3 4" xfId="0"/>
    <cellStyle name="Calculation 11 3 5" xfId="0"/>
    <cellStyle name="Calculation 11 4" xfId="0"/>
    <cellStyle name="Calculation 11 4 2" xfId="0"/>
    <cellStyle name="Calculation 11 4 2 2" xfId="0"/>
    <cellStyle name="Calculation 11 4 2 2 2" xfId="0"/>
    <cellStyle name="Calculation 11 4 2 2 3" xfId="0"/>
    <cellStyle name="Calculation 11 4 2 3" xfId="0"/>
    <cellStyle name="Calculation 11 4 2 4" xfId="0"/>
    <cellStyle name="Calculation 11 4 3" xfId="0"/>
    <cellStyle name="Calculation 11 4 3 2" xfId="0"/>
    <cellStyle name="Calculation 11 4 3 3" xfId="0"/>
    <cellStyle name="Calculation 11 4 4" xfId="0"/>
    <cellStyle name="Calculation 11 4 5" xfId="0"/>
    <cellStyle name="Calculation 11 5" xfId="0"/>
    <cellStyle name="Calculation 11 5 2" xfId="0"/>
    <cellStyle name="Calculation 11 5 3" xfId="0"/>
    <cellStyle name="Calculation 11 6" xfId="0"/>
    <cellStyle name="Calculation 11 7" xfId="0"/>
    <cellStyle name="Calculation 12" xfId="0"/>
    <cellStyle name="Calculation 12 2" xfId="0"/>
    <cellStyle name="Calculation 12 2 2" xfId="0"/>
    <cellStyle name="Calculation 12 2 2 2" xfId="0"/>
    <cellStyle name="Calculation 12 2 2 2 2" xfId="0"/>
    <cellStyle name="Calculation 12 2 2 2 3" xfId="0"/>
    <cellStyle name="Calculation 12 2 2 3" xfId="0"/>
    <cellStyle name="Calculation 12 2 2 4" xfId="0"/>
    <cellStyle name="Calculation 12 2 3" xfId="0"/>
    <cellStyle name="Calculation 12 2 3 2" xfId="0"/>
    <cellStyle name="Calculation 12 2 3 2 2" xfId="0"/>
    <cellStyle name="Calculation 12 2 3 2 3" xfId="0"/>
    <cellStyle name="Calculation 12 2 3 3" xfId="0"/>
    <cellStyle name="Calculation 12 2 3 4" xfId="0"/>
    <cellStyle name="Calculation 12 2 4" xfId="0"/>
    <cellStyle name="Calculation 12 2 4 2" xfId="0"/>
    <cellStyle name="Calculation 12 2 4 3" xfId="0"/>
    <cellStyle name="Calculation 12 2 5" xfId="0"/>
    <cellStyle name="Calculation 12 2 6" xfId="0"/>
    <cellStyle name="Calculation 12 3" xfId="0"/>
    <cellStyle name="Calculation 12 3 2" xfId="0"/>
    <cellStyle name="Calculation 12 3 2 2" xfId="0"/>
    <cellStyle name="Calculation 12 3 2 2 2" xfId="0"/>
    <cellStyle name="Calculation 12 3 2 2 3" xfId="0"/>
    <cellStyle name="Calculation 12 3 2 3" xfId="0"/>
    <cellStyle name="Calculation 12 3 2 4" xfId="0"/>
    <cellStyle name="Calculation 12 3 3" xfId="0"/>
    <cellStyle name="Calculation 12 3 3 2" xfId="0"/>
    <cellStyle name="Calculation 12 3 3 3" xfId="0"/>
    <cellStyle name="Calculation 12 3 4" xfId="0"/>
    <cellStyle name="Calculation 12 3 5" xfId="0"/>
    <cellStyle name="Calculation 12 4" xfId="0"/>
    <cellStyle name="Calculation 12 4 2" xfId="0"/>
    <cellStyle name="Calculation 12 4 2 2" xfId="0"/>
    <cellStyle name="Calculation 12 4 2 2 2" xfId="0"/>
    <cellStyle name="Calculation 12 4 2 2 3" xfId="0"/>
    <cellStyle name="Calculation 12 4 2 3" xfId="0"/>
    <cellStyle name="Calculation 12 4 2 4" xfId="0"/>
    <cellStyle name="Calculation 12 4 3" xfId="0"/>
    <cellStyle name="Calculation 12 4 3 2" xfId="0"/>
    <cellStyle name="Calculation 12 4 3 3" xfId="0"/>
    <cellStyle name="Calculation 12 4 4" xfId="0"/>
    <cellStyle name="Calculation 12 4 5" xfId="0"/>
    <cellStyle name="Calculation 12 5" xfId="0"/>
    <cellStyle name="Calculation 12 5 2" xfId="0"/>
    <cellStyle name="Calculation 12 5 3" xfId="0"/>
    <cellStyle name="Calculation 12 6" xfId="0"/>
    <cellStyle name="Calculation 12 7" xfId="0"/>
    <cellStyle name="Calculation 13" xfId="0"/>
    <cellStyle name="Calculation 13 2" xfId="0"/>
    <cellStyle name="Calculation 13 2 2" xfId="0"/>
    <cellStyle name="Calculation 13 2 2 2" xfId="0"/>
    <cellStyle name="Calculation 13 2 2 2 2" xfId="0"/>
    <cellStyle name="Calculation 13 2 2 2 3" xfId="0"/>
    <cellStyle name="Calculation 13 2 2 3" xfId="0"/>
    <cellStyle name="Calculation 13 2 2 4" xfId="0"/>
    <cellStyle name="Calculation 13 2 3" xfId="0"/>
    <cellStyle name="Calculation 13 2 3 2" xfId="0"/>
    <cellStyle name="Calculation 13 2 3 2 2" xfId="0"/>
    <cellStyle name="Calculation 13 2 3 2 3" xfId="0"/>
    <cellStyle name="Calculation 13 2 3 3" xfId="0"/>
    <cellStyle name="Calculation 13 2 3 4" xfId="0"/>
    <cellStyle name="Calculation 13 2 4" xfId="0"/>
    <cellStyle name="Calculation 13 2 4 2" xfId="0"/>
    <cellStyle name="Calculation 13 2 4 3" xfId="0"/>
    <cellStyle name="Calculation 13 2 5" xfId="0"/>
    <cellStyle name="Calculation 13 2 6" xfId="0"/>
    <cellStyle name="Calculation 13 3" xfId="0"/>
    <cellStyle name="Calculation 13 3 2" xfId="0"/>
    <cellStyle name="Calculation 13 3 2 2" xfId="0"/>
    <cellStyle name="Calculation 13 3 2 2 2" xfId="0"/>
    <cellStyle name="Calculation 13 3 2 2 3" xfId="0"/>
    <cellStyle name="Calculation 13 3 2 3" xfId="0"/>
    <cellStyle name="Calculation 13 3 2 4" xfId="0"/>
    <cellStyle name="Calculation 13 3 3" xfId="0"/>
    <cellStyle name="Calculation 13 3 3 2" xfId="0"/>
    <cellStyle name="Calculation 13 3 3 3" xfId="0"/>
    <cellStyle name="Calculation 13 3 4" xfId="0"/>
    <cellStyle name="Calculation 13 3 5" xfId="0"/>
    <cellStyle name="Calculation 13 4" xfId="0"/>
    <cellStyle name="Calculation 13 4 2" xfId="0"/>
    <cellStyle name="Calculation 13 4 2 2" xfId="0"/>
    <cellStyle name="Calculation 13 4 2 2 2" xfId="0"/>
    <cellStyle name="Calculation 13 4 2 2 3" xfId="0"/>
    <cellStyle name="Calculation 13 4 2 3" xfId="0"/>
    <cellStyle name="Calculation 13 4 2 4" xfId="0"/>
    <cellStyle name="Calculation 13 4 3" xfId="0"/>
    <cellStyle name="Calculation 13 4 3 2" xfId="0"/>
    <cellStyle name="Calculation 13 4 3 3" xfId="0"/>
    <cellStyle name="Calculation 13 4 4" xfId="0"/>
    <cellStyle name="Calculation 13 4 5" xfId="0"/>
    <cellStyle name="Calculation 13 5" xfId="0"/>
    <cellStyle name="Calculation 13 5 2" xfId="0"/>
    <cellStyle name="Calculation 13 5 3" xfId="0"/>
    <cellStyle name="Calculation 13 6" xfId="0"/>
    <cellStyle name="Calculation 13 7" xfId="0"/>
    <cellStyle name="Calculation 14" xfId="0"/>
    <cellStyle name="Calculation 14 2" xfId="0"/>
    <cellStyle name="Calculation 14 2 2" xfId="0"/>
    <cellStyle name="Calculation 14 2 2 2" xfId="0"/>
    <cellStyle name="Calculation 14 2 2 2 2" xfId="0"/>
    <cellStyle name="Calculation 14 2 2 2 3" xfId="0"/>
    <cellStyle name="Calculation 14 2 2 3" xfId="0"/>
    <cellStyle name="Calculation 14 2 2 4" xfId="0"/>
    <cellStyle name="Calculation 14 2 3" xfId="0"/>
    <cellStyle name="Calculation 14 2 3 2" xfId="0"/>
    <cellStyle name="Calculation 14 2 3 2 2" xfId="0"/>
    <cellStyle name="Calculation 14 2 3 2 3" xfId="0"/>
    <cellStyle name="Calculation 14 2 3 3" xfId="0"/>
    <cellStyle name="Calculation 14 2 3 4" xfId="0"/>
    <cellStyle name="Calculation 14 2 4" xfId="0"/>
    <cellStyle name="Calculation 14 2 4 2" xfId="0"/>
    <cellStyle name="Calculation 14 2 4 3" xfId="0"/>
    <cellStyle name="Calculation 14 2 5" xfId="0"/>
    <cellStyle name="Calculation 14 2 6" xfId="0"/>
    <cellStyle name="Calculation 14 3" xfId="0"/>
    <cellStyle name="Calculation 14 3 2" xfId="0"/>
    <cellStyle name="Calculation 14 3 2 2" xfId="0"/>
    <cellStyle name="Calculation 14 3 2 2 2" xfId="0"/>
    <cellStyle name="Calculation 14 3 2 2 3" xfId="0"/>
    <cellStyle name="Calculation 14 3 2 3" xfId="0"/>
    <cellStyle name="Calculation 14 3 2 4" xfId="0"/>
    <cellStyle name="Calculation 14 3 3" xfId="0"/>
    <cellStyle name="Calculation 14 3 3 2" xfId="0"/>
    <cellStyle name="Calculation 14 3 3 3" xfId="0"/>
    <cellStyle name="Calculation 14 3 4" xfId="0"/>
    <cellStyle name="Calculation 14 3 5" xfId="0"/>
    <cellStyle name="Calculation 14 4" xfId="0"/>
    <cellStyle name="Calculation 14 4 2" xfId="0"/>
    <cellStyle name="Calculation 14 4 2 2" xfId="0"/>
    <cellStyle name="Calculation 14 4 2 2 2" xfId="0"/>
    <cellStyle name="Calculation 14 4 2 2 3" xfId="0"/>
    <cellStyle name="Calculation 14 4 2 3" xfId="0"/>
    <cellStyle name="Calculation 14 4 2 4" xfId="0"/>
    <cellStyle name="Calculation 14 4 3" xfId="0"/>
    <cellStyle name="Calculation 14 4 3 2" xfId="0"/>
    <cellStyle name="Calculation 14 4 3 3" xfId="0"/>
    <cellStyle name="Calculation 14 4 4" xfId="0"/>
    <cellStyle name="Calculation 14 4 5" xfId="0"/>
    <cellStyle name="Calculation 14 5" xfId="0"/>
    <cellStyle name="Calculation 14 5 2" xfId="0"/>
    <cellStyle name="Calculation 14 5 3" xfId="0"/>
    <cellStyle name="Calculation 14 6" xfId="0"/>
    <cellStyle name="Calculation 14 7" xfId="0"/>
    <cellStyle name="Calculation 15" xfId="0"/>
    <cellStyle name="Calculation 15 2" xfId="0"/>
    <cellStyle name="Calculation 15 2 2" xfId="0"/>
    <cellStyle name="Calculation 15 2 2 2" xfId="0"/>
    <cellStyle name="Calculation 15 2 2 2 2" xfId="0"/>
    <cellStyle name="Calculation 15 2 2 2 3" xfId="0"/>
    <cellStyle name="Calculation 15 2 2 3" xfId="0"/>
    <cellStyle name="Calculation 15 2 2 4" xfId="0"/>
    <cellStyle name="Calculation 15 2 3" xfId="0"/>
    <cellStyle name="Calculation 15 2 3 2" xfId="0"/>
    <cellStyle name="Calculation 15 2 3 2 2" xfId="0"/>
    <cellStyle name="Calculation 15 2 3 2 3" xfId="0"/>
    <cellStyle name="Calculation 15 2 3 3" xfId="0"/>
    <cellStyle name="Calculation 15 2 3 4" xfId="0"/>
    <cellStyle name="Calculation 15 2 4" xfId="0"/>
    <cellStyle name="Calculation 15 2 4 2" xfId="0"/>
    <cellStyle name="Calculation 15 2 4 3" xfId="0"/>
    <cellStyle name="Calculation 15 2 5" xfId="0"/>
    <cellStyle name="Calculation 15 2 6" xfId="0"/>
    <cellStyle name="Calculation 15 3" xfId="0"/>
    <cellStyle name="Calculation 15 3 2" xfId="0"/>
    <cellStyle name="Calculation 15 3 2 2" xfId="0"/>
    <cellStyle name="Calculation 15 3 2 2 2" xfId="0"/>
    <cellStyle name="Calculation 15 3 2 2 3" xfId="0"/>
    <cellStyle name="Calculation 15 3 2 3" xfId="0"/>
    <cellStyle name="Calculation 15 3 2 4" xfId="0"/>
    <cellStyle name="Calculation 15 3 3" xfId="0"/>
    <cellStyle name="Calculation 15 3 3 2" xfId="0"/>
    <cellStyle name="Calculation 15 3 3 3" xfId="0"/>
    <cellStyle name="Calculation 15 3 4" xfId="0"/>
    <cellStyle name="Calculation 15 3 5" xfId="0"/>
    <cellStyle name="Calculation 15 4" xfId="0"/>
    <cellStyle name="Calculation 15 4 2" xfId="0"/>
    <cellStyle name="Calculation 15 4 2 2" xfId="0"/>
    <cellStyle name="Calculation 15 4 2 2 2" xfId="0"/>
    <cellStyle name="Calculation 15 4 2 2 3" xfId="0"/>
    <cellStyle name="Calculation 15 4 2 3" xfId="0"/>
    <cellStyle name="Calculation 15 4 2 4" xfId="0"/>
    <cellStyle name="Calculation 15 4 3" xfId="0"/>
    <cellStyle name="Calculation 15 4 3 2" xfId="0"/>
    <cellStyle name="Calculation 15 4 3 3" xfId="0"/>
    <cellStyle name="Calculation 15 4 4" xfId="0"/>
    <cellStyle name="Calculation 15 4 5" xfId="0"/>
    <cellStyle name="Calculation 15 5" xfId="0"/>
    <cellStyle name="Calculation 15 5 2" xfId="0"/>
    <cellStyle name="Calculation 15 5 3" xfId="0"/>
    <cellStyle name="Calculation 15 6" xfId="0"/>
    <cellStyle name="Calculation 15 7" xfId="0"/>
    <cellStyle name="Calculation 16" xfId="0"/>
    <cellStyle name="Calculation 16 2" xfId="0"/>
    <cellStyle name="Calculation 16 2 2" xfId="0"/>
    <cellStyle name="Calculation 16 2 2 2" xfId="0"/>
    <cellStyle name="Calculation 16 2 2 2 2" xfId="0"/>
    <cellStyle name="Calculation 16 2 2 2 3" xfId="0"/>
    <cellStyle name="Calculation 16 2 2 3" xfId="0"/>
    <cellStyle name="Calculation 16 2 2 4" xfId="0"/>
    <cellStyle name="Calculation 16 2 3" xfId="0"/>
    <cellStyle name="Calculation 16 2 3 2" xfId="0"/>
    <cellStyle name="Calculation 16 2 3 2 2" xfId="0"/>
    <cellStyle name="Calculation 16 2 3 2 3" xfId="0"/>
    <cellStyle name="Calculation 16 2 3 3" xfId="0"/>
    <cellStyle name="Calculation 16 2 3 4" xfId="0"/>
    <cellStyle name="Calculation 16 2 4" xfId="0"/>
    <cellStyle name="Calculation 16 2 4 2" xfId="0"/>
    <cellStyle name="Calculation 16 2 4 3" xfId="0"/>
    <cellStyle name="Calculation 16 2 5" xfId="0"/>
    <cellStyle name="Calculation 16 2 6" xfId="0"/>
    <cellStyle name="Calculation 16 3" xfId="0"/>
    <cellStyle name="Calculation 16 3 2" xfId="0"/>
    <cellStyle name="Calculation 16 3 2 2" xfId="0"/>
    <cellStyle name="Calculation 16 3 2 2 2" xfId="0"/>
    <cellStyle name="Calculation 16 3 2 2 3" xfId="0"/>
    <cellStyle name="Calculation 16 3 2 3" xfId="0"/>
    <cellStyle name="Calculation 16 3 2 4" xfId="0"/>
    <cellStyle name="Calculation 16 3 3" xfId="0"/>
    <cellStyle name="Calculation 16 3 3 2" xfId="0"/>
    <cellStyle name="Calculation 16 3 3 3" xfId="0"/>
    <cellStyle name="Calculation 16 3 4" xfId="0"/>
    <cellStyle name="Calculation 16 3 5" xfId="0"/>
    <cellStyle name="Calculation 16 4" xfId="0"/>
    <cellStyle name="Calculation 16 4 2" xfId="0"/>
    <cellStyle name="Calculation 16 4 2 2" xfId="0"/>
    <cellStyle name="Calculation 16 4 2 2 2" xfId="0"/>
    <cellStyle name="Calculation 16 4 2 2 3" xfId="0"/>
    <cellStyle name="Calculation 16 4 2 3" xfId="0"/>
    <cellStyle name="Calculation 16 4 2 4" xfId="0"/>
    <cellStyle name="Calculation 16 4 3" xfId="0"/>
    <cellStyle name="Calculation 16 4 3 2" xfId="0"/>
    <cellStyle name="Calculation 16 4 3 3" xfId="0"/>
    <cellStyle name="Calculation 16 4 4" xfId="0"/>
    <cellStyle name="Calculation 16 4 5" xfId="0"/>
    <cellStyle name="Calculation 16 5" xfId="0"/>
    <cellStyle name="Calculation 16 5 2" xfId="0"/>
    <cellStyle name="Calculation 16 5 3" xfId="0"/>
    <cellStyle name="Calculation 16 6" xfId="0"/>
    <cellStyle name="Calculation 16 7" xfId="0"/>
    <cellStyle name="Calculation 17" xfId="0"/>
    <cellStyle name="Calculation 17 2" xfId="0"/>
    <cellStyle name="Calculation 17 2 2" xfId="0"/>
    <cellStyle name="Calculation 17 2 2 2" xfId="0"/>
    <cellStyle name="Calculation 17 2 2 2 2" xfId="0"/>
    <cellStyle name="Calculation 17 2 2 2 3" xfId="0"/>
    <cellStyle name="Calculation 17 2 2 3" xfId="0"/>
    <cellStyle name="Calculation 17 2 2 4" xfId="0"/>
    <cellStyle name="Calculation 17 2 3" xfId="0"/>
    <cellStyle name="Calculation 17 2 3 2" xfId="0"/>
    <cellStyle name="Calculation 17 2 3 2 2" xfId="0"/>
    <cellStyle name="Calculation 17 2 3 2 3" xfId="0"/>
    <cellStyle name="Calculation 17 2 3 3" xfId="0"/>
    <cellStyle name="Calculation 17 2 3 4" xfId="0"/>
    <cellStyle name="Calculation 17 2 4" xfId="0"/>
    <cellStyle name="Calculation 17 2 4 2" xfId="0"/>
    <cellStyle name="Calculation 17 2 4 3" xfId="0"/>
    <cellStyle name="Calculation 17 2 5" xfId="0"/>
    <cellStyle name="Calculation 17 2 6" xfId="0"/>
    <cellStyle name="Calculation 17 3" xfId="0"/>
    <cellStyle name="Calculation 17 3 2" xfId="0"/>
    <cellStyle name="Calculation 17 3 2 2" xfId="0"/>
    <cellStyle name="Calculation 17 3 2 2 2" xfId="0"/>
    <cellStyle name="Calculation 17 3 2 2 3" xfId="0"/>
    <cellStyle name="Calculation 17 3 2 3" xfId="0"/>
    <cellStyle name="Calculation 17 3 2 4" xfId="0"/>
    <cellStyle name="Calculation 17 3 3" xfId="0"/>
    <cellStyle name="Calculation 17 3 3 2" xfId="0"/>
    <cellStyle name="Calculation 17 3 3 3" xfId="0"/>
    <cellStyle name="Calculation 17 3 4" xfId="0"/>
    <cellStyle name="Calculation 17 3 5" xfId="0"/>
    <cellStyle name="Calculation 17 4" xfId="0"/>
    <cellStyle name="Calculation 17 4 2" xfId="0"/>
    <cellStyle name="Calculation 17 4 2 2" xfId="0"/>
    <cellStyle name="Calculation 17 4 2 2 2" xfId="0"/>
    <cellStyle name="Calculation 17 4 2 2 3" xfId="0"/>
    <cellStyle name="Calculation 17 4 2 3" xfId="0"/>
    <cellStyle name="Calculation 17 4 2 4" xfId="0"/>
    <cellStyle name="Calculation 17 4 3" xfId="0"/>
    <cellStyle name="Calculation 17 4 3 2" xfId="0"/>
    <cellStyle name="Calculation 17 4 3 3" xfId="0"/>
    <cellStyle name="Calculation 17 4 4" xfId="0"/>
    <cellStyle name="Calculation 17 4 5" xfId="0"/>
    <cellStyle name="Calculation 17 5" xfId="0"/>
    <cellStyle name="Calculation 17 5 2" xfId="0"/>
    <cellStyle name="Calculation 17 5 3" xfId="0"/>
    <cellStyle name="Calculation 17 6" xfId="0"/>
    <cellStyle name="Calculation 17 7" xfId="0"/>
    <cellStyle name="Calculation 18" xfId="0"/>
    <cellStyle name="Calculation 18 2" xfId="0"/>
    <cellStyle name="Calculation 18 2 2" xfId="0"/>
    <cellStyle name="Calculation 18 2 2 2" xfId="0"/>
    <cellStyle name="Calculation 18 2 2 2 2" xfId="0"/>
    <cellStyle name="Calculation 18 2 2 2 3" xfId="0"/>
    <cellStyle name="Calculation 18 2 2 3" xfId="0"/>
    <cellStyle name="Calculation 18 2 2 4" xfId="0"/>
    <cellStyle name="Calculation 18 2 3" xfId="0"/>
    <cellStyle name="Calculation 18 2 3 2" xfId="0"/>
    <cellStyle name="Calculation 18 2 3 2 2" xfId="0"/>
    <cellStyle name="Calculation 18 2 3 2 3" xfId="0"/>
    <cellStyle name="Calculation 18 2 3 3" xfId="0"/>
    <cellStyle name="Calculation 18 2 3 4" xfId="0"/>
    <cellStyle name="Calculation 18 2 4" xfId="0"/>
    <cellStyle name="Calculation 18 2 4 2" xfId="0"/>
    <cellStyle name="Calculation 18 2 4 3" xfId="0"/>
    <cellStyle name="Calculation 18 2 5" xfId="0"/>
    <cellStyle name="Calculation 18 2 6" xfId="0"/>
    <cellStyle name="Calculation 18 3" xfId="0"/>
    <cellStyle name="Calculation 18 3 2" xfId="0"/>
    <cellStyle name="Calculation 18 3 2 2" xfId="0"/>
    <cellStyle name="Calculation 18 3 2 2 2" xfId="0"/>
    <cellStyle name="Calculation 18 3 2 2 3" xfId="0"/>
    <cellStyle name="Calculation 18 3 2 3" xfId="0"/>
    <cellStyle name="Calculation 18 3 2 4" xfId="0"/>
    <cellStyle name="Calculation 18 3 3" xfId="0"/>
    <cellStyle name="Calculation 18 3 3 2" xfId="0"/>
    <cellStyle name="Calculation 18 3 3 3" xfId="0"/>
    <cellStyle name="Calculation 18 3 4" xfId="0"/>
    <cellStyle name="Calculation 18 3 5" xfId="0"/>
    <cellStyle name="Calculation 18 4" xfId="0"/>
    <cellStyle name="Calculation 18 4 2" xfId="0"/>
    <cellStyle name="Calculation 18 4 2 2" xfId="0"/>
    <cellStyle name="Calculation 18 4 2 2 2" xfId="0"/>
    <cellStyle name="Calculation 18 4 2 2 3" xfId="0"/>
    <cellStyle name="Calculation 18 4 2 3" xfId="0"/>
    <cellStyle name="Calculation 18 4 2 4" xfId="0"/>
    <cellStyle name="Calculation 18 4 3" xfId="0"/>
    <cellStyle name="Calculation 18 4 3 2" xfId="0"/>
    <cellStyle name="Calculation 18 4 3 3" xfId="0"/>
    <cellStyle name="Calculation 18 4 4" xfId="0"/>
    <cellStyle name="Calculation 18 4 5" xfId="0"/>
    <cellStyle name="Calculation 18 5" xfId="0"/>
    <cellStyle name="Calculation 18 5 2" xfId="0"/>
    <cellStyle name="Calculation 18 5 3" xfId="0"/>
    <cellStyle name="Calculation 18 6" xfId="0"/>
    <cellStyle name="Calculation 18 7" xfId="0"/>
    <cellStyle name="Calculation 19" xfId="0"/>
    <cellStyle name="Calculation 19 2" xfId="0"/>
    <cellStyle name="Calculation 19 2 2" xfId="0"/>
    <cellStyle name="Calculation 19 2 2 2" xfId="0"/>
    <cellStyle name="Calculation 19 2 2 2 2" xfId="0"/>
    <cellStyle name="Calculation 19 2 2 2 3" xfId="0"/>
    <cellStyle name="Calculation 19 2 2 3" xfId="0"/>
    <cellStyle name="Calculation 19 2 2 4" xfId="0"/>
    <cellStyle name="Calculation 19 2 3" xfId="0"/>
    <cellStyle name="Calculation 19 2 3 2" xfId="0"/>
    <cellStyle name="Calculation 19 2 3 2 2" xfId="0"/>
    <cellStyle name="Calculation 19 2 3 2 3" xfId="0"/>
    <cellStyle name="Calculation 19 2 3 3" xfId="0"/>
    <cellStyle name="Calculation 19 2 3 4" xfId="0"/>
    <cellStyle name="Calculation 19 2 4" xfId="0"/>
    <cellStyle name="Calculation 19 2 4 2" xfId="0"/>
    <cellStyle name="Calculation 19 2 4 3" xfId="0"/>
    <cellStyle name="Calculation 19 2 5" xfId="0"/>
    <cellStyle name="Calculation 19 2 6" xfId="0"/>
    <cellStyle name="Calculation 19 3" xfId="0"/>
    <cellStyle name="Calculation 19 3 2" xfId="0"/>
    <cellStyle name="Calculation 19 3 2 2" xfId="0"/>
    <cellStyle name="Calculation 19 3 2 2 2" xfId="0"/>
    <cellStyle name="Calculation 19 3 2 2 3" xfId="0"/>
    <cellStyle name="Calculation 19 3 2 3" xfId="0"/>
    <cellStyle name="Calculation 19 3 2 4" xfId="0"/>
    <cellStyle name="Calculation 19 3 3" xfId="0"/>
    <cellStyle name="Calculation 19 3 3 2" xfId="0"/>
    <cellStyle name="Calculation 19 3 3 3" xfId="0"/>
    <cellStyle name="Calculation 19 3 4" xfId="0"/>
    <cellStyle name="Calculation 19 3 5" xfId="0"/>
    <cellStyle name="Calculation 19 4" xfId="0"/>
    <cellStyle name="Calculation 19 4 2" xfId="0"/>
    <cellStyle name="Calculation 19 4 2 2" xfId="0"/>
    <cellStyle name="Calculation 19 4 2 2 2" xfId="0"/>
    <cellStyle name="Calculation 19 4 2 2 3" xfId="0"/>
    <cellStyle name="Calculation 19 4 2 3" xfId="0"/>
    <cellStyle name="Calculation 19 4 2 4" xfId="0"/>
    <cellStyle name="Calculation 19 4 3" xfId="0"/>
    <cellStyle name="Calculation 19 4 3 2" xfId="0"/>
    <cellStyle name="Calculation 19 4 3 3" xfId="0"/>
    <cellStyle name="Calculation 19 4 4" xfId="0"/>
    <cellStyle name="Calculation 19 4 5" xfId="0"/>
    <cellStyle name="Calculation 19 5" xfId="0"/>
    <cellStyle name="Calculation 19 5 2" xfId="0"/>
    <cellStyle name="Calculation 19 5 3" xfId="0"/>
    <cellStyle name="Calculation 19 6" xfId="0"/>
    <cellStyle name="Calculation 19 7" xfId="0"/>
    <cellStyle name="Calculation 2" xfId="0"/>
    <cellStyle name="Calculation 2 10" xfId="0"/>
    <cellStyle name="Calculation 2 11" xfId="0"/>
    <cellStyle name="Calculation 2 2" xfId="0"/>
    <cellStyle name="Calculation 2 2 2" xfId="0"/>
    <cellStyle name="Calculation 2 2 2 2" xfId="0"/>
    <cellStyle name="Calculation 2 2 2 2 2" xfId="0"/>
    <cellStyle name="Calculation 2 2 2 2 2 2" xfId="0"/>
    <cellStyle name="Calculation 2 2 2 2 2 3" xfId="0"/>
    <cellStyle name="Calculation 2 2 2 2 3" xfId="0"/>
    <cellStyle name="Calculation 2 2 2 2 4" xfId="0"/>
    <cellStyle name="Calculation 2 2 2 3" xfId="0"/>
    <cellStyle name="Calculation 2 2 2 3 2" xfId="0"/>
    <cellStyle name="Calculation 2 2 2 3 3" xfId="0"/>
    <cellStyle name="Calculation 2 2 2 4" xfId="0"/>
    <cellStyle name="Calculation 2 2 2 5" xfId="0"/>
    <cellStyle name="Calculation 2 2 3" xfId="0"/>
    <cellStyle name="Calculation 2 2 3 2" xfId="0"/>
    <cellStyle name="Calculation 2 2 3 2 2" xfId="0"/>
    <cellStyle name="Calculation 2 2 3 2 3" xfId="0"/>
    <cellStyle name="Calculation 2 2 3 3" xfId="0"/>
    <cellStyle name="Calculation 2 2 3 4" xfId="0"/>
    <cellStyle name="Calculation 2 2 4" xfId="0"/>
    <cellStyle name="Calculation 2 2 4 2" xfId="0"/>
    <cellStyle name="Calculation 2 2 4 3" xfId="0"/>
    <cellStyle name="Calculation 2 2 5" xfId="0"/>
    <cellStyle name="Calculation 2 2 6" xfId="0"/>
    <cellStyle name="Calculation 2 3" xfId="0"/>
    <cellStyle name="Calculation 2 3 2" xfId="0"/>
    <cellStyle name="Calculation 2 3 2 2" xfId="0"/>
    <cellStyle name="Calculation 2 3 2 2 2" xfId="0"/>
    <cellStyle name="Calculation 2 3 2 2 2 2" xfId="0"/>
    <cellStyle name="Calculation 2 3 2 2 2 3" xfId="0"/>
    <cellStyle name="Calculation 2 3 2 2 3" xfId="0"/>
    <cellStyle name="Calculation 2 3 2 2 4" xfId="0"/>
    <cellStyle name="Calculation 2 3 2 3" xfId="0"/>
    <cellStyle name="Calculation 2 3 2 3 2" xfId="0"/>
    <cellStyle name="Calculation 2 3 2 3 3" xfId="0"/>
    <cellStyle name="Calculation 2 3 2 4" xfId="0"/>
    <cellStyle name="Calculation 2 3 2 5" xfId="0"/>
    <cellStyle name="Calculation 2 3 3" xfId="0"/>
    <cellStyle name="Calculation 2 3 3 2" xfId="0"/>
    <cellStyle name="Calculation 2 3 3 2 2" xfId="0"/>
    <cellStyle name="Calculation 2 3 3 2 3" xfId="0"/>
    <cellStyle name="Calculation 2 3 3 3" xfId="0"/>
    <cellStyle name="Calculation 2 3 3 4" xfId="0"/>
    <cellStyle name="Calculation 2 3 4" xfId="0"/>
    <cellStyle name="Calculation 2 3 4 2" xfId="0"/>
    <cellStyle name="Calculation 2 3 4 3" xfId="0"/>
    <cellStyle name="Calculation 2 3 5" xfId="0"/>
    <cellStyle name="Calculation 2 3 6" xfId="0"/>
    <cellStyle name="Calculation 2 4" xfId="0"/>
    <cellStyle name="Calculation 2 4 2" xfId="0"/>
    <cellStyle name="Calculation 2 4 2 2" xfId="0"/>
    <cellStyle name="Calculation 2 4 2 2 2" xfId="0"/>
    <cellStyle name="Calculation 2 4 2 2 2 2" xfId="0"/>
    <cellStyle name="Calculation 2 4 2 2 2 3" xfId="0"/>
    <cellStyle name="Calculation 2 4 2 2 3" xfId="0"/>
    <cellStyle name="Calculation 2 4 2 2 4" xfId="0"/>
    <cellStyle name="Calculation 2 4 2 3" xfId="0"/>
    <cellStyle name="Calculation 2 4 2 3 2" xfId="0"/>
    <cellStyle name="Calculation 2 4 2 3 3" xfId="0"/>
    <cellStyle name="Calculation 2 4 2 4" xfId="0"/>
    <cellStyle name="Calculation 2 4 2 5" xfId="0"/>
    <cellStyle name="Calculation 2 4 3" xfId="0"/>
    <cellStyle name="Calculation 2 4 3 2" xfId="0"/>
    <cellStyle name="Calculation 2 4 3 2 2" xfId="0"/>
    <cellStyle name="Calculation 2 4 3 2 3" xfId="0"/>
    <cellStyle name="Calculation 2 4 3 3" xfId="0"/>
    <cellStyle name="Calculation 2 4 3 4" xfId="0"/>
    <cellStyle name="Calculation 2 4 4" xfId="0"/>
    <cellStyle name="Calculation 2 4 4 2" xfId="0"/>
    <cellStyle name="Calculation 2 4 4 3" xfId="0"/>
    <cellStyle name="Calculation 2 4 5" xfId="0"/>
    <cellStyle name="Calculation 2 4 6" xfId="0"/>
    <cellStyle name="Calculation 2 5" xfId="0"/>
    <cellStyle name="Calculation 2 5 2" xfId="0"/>
    <cellStyle name="Calculation 2 5 2 2" xfId="0"/>
    <cellStyle name="Calculation 2 5 2 2 2" xfId="0"/>
    <cellStyle name="Calculation 2 5 2 2 2 2" xfId="0"/>
    <cellStyle name="Calculation 2 5 2 2 2 3" xfId="0"/>
    <cellStyle name="Calculation 2 5 2 2 3" xfId="0"/>
    <cellStyle name="Calculation 2 5 2 2 4" xfId="0"/>
    <cellStyle name="Calculation 2 5 2 3" xfId="0"/>
    <cellStyle name="Calculation 2 5 2 3 2" xfId="0"/>
    <cellStyle name="Calculation 2 5 2 3 3" xfId="0"/>
    <cellStyle name="Calculation 2 5 2 4" xfId="0"/>
    <cellStyle name="Calculation 2 5 2 5" xfId="0"/>
    <cellStyle name="Calculation 2 5 3" xfId="0"/>
    <cellStyle name="Calculation 2 5 3 2" xfId="0"/>
    <cellStyle name="Calculation 2 5 3 2 2" xfId="0"/>
    <cellStyle name="Calculation 2 5 3 2 3" xfId="0"/>
    <cellStyle name="Calculation 2 5 3 3" xfId="0"/>
    <cellStyle name="Calculation 2 5 3 4" xfId="0"/>
    <cellStyle name="Calculation 2 5 4" xfId="0"/>
    <cellStyle name="Calculation 2 5 4 2" xfId="0"/>
    <cellStyle name="Calculation 2 5 4 3" xfId="0"/>
    <cellStyle name="Calculation 2 5 5" xfId="0"/>
    <cellStyle name="Calculation 2 5 6" xfId="0"/>
    <cellStyle name="Calculation 2 6" xfId="0"/>
    <cellStyle name="Calculation 2 6 2" xfId="0"/>
    <cellStyle name="Calculation 2 6 2 2" xfId="0"/>
    <cellStyle name="Calculation 2 6 2 2 2" xfId="0"/>
    <cellStyle name="Calculation 2 6 2 2 3" xfId="0"/>
    <cellStyle name="Calculation 2 6 2 3" xfId="0"/>
    <cellStyle name="Calculation 2 6 2 4" xfId="0"/>
    <cellStyle name="Calculation 2 6 3" xfId="0"/>
    <cellStyle name="Calculation 2 6 3 2" xfId="0"/>
    <cellStyle name="Calculation 2 6 3 3" xfId="0"/>
    <cellStyle name="Calculation 2 6 4" xfId="0"/>
    <cellStyle name="Calculation 2 6 5" xfId="0"/>
    <cellStyle name="Calculation 2 7" xfId="0"/>
    <cellStyle name="Calculation 2 7 2" xfId="0"/>
    <cellStyle name="Calculation 2 7 2 2" xfId="0"/>
    <cellStyle name="Calculation 2 7 2 2 2" xfId="0"/>
    <cellStyle name="Calculation 2 7 2 2 3" xfId="0"/>
    <cellStyle name="Calculation 2 7 2 3" xfId="0"/>
    <cellStyle name="Calculation 2 7 2 4" xfId="0"/>
    <cellStyle name="Calculation 2 7 3" xfId="0"/>
    <cellStyle name="Calculation 2 7 3 2" xfId="0"/>
    <cellStyle name="Calculation 2 7 3 3" xfId="0"/>
    <cellStyle name="Calculation 2 7 4" xfId="0"/>
    <cellStyle name="Calculation 2 7 5" xfId="0"/>
    <cellStyle name="Calculation 2 8" xfId="0"/>
    <cellStyle name="Calculation 2 8 2" xfId="0"/>
    <cellStyle name="Calculation 2 8 3" xfId="0"/>
    <cellStyle name="Calculation 2 9" xfId="0"/>
    <cellStyle name="Calculation 2 9 2" xfId="0"/>
    <cellStyle name="Calculation 2 9 3" xfId="0"/>
    <cellStyle name="Calculation 20" xfId="0"/>
    <cellStyle name="Calculation 20 2" xfId="0"/>
    <cellStyle name="Calculation 20 2 2" xfId="0"/>
    <cellStyle name="Calculation 20 2 2 2" xfId="0"/>
    <cellStyle name="Calculation 20 2 2 2 2" xfId="0"/>
    <cellStyle name="Calculation 20 2 2 2 3" xfId="0"/>
    <cellStyle name="Calculation 20 2 2 3" xfId="0"/>
    <cellStyle name="Calculation 20 2 2 4" xfId="0"/>
    <cellStyle name="Calculation 20 2 3" xfId="0"/>
    <cellStyle name="Calculation 20 2 3 2" xfId="0"/>
    <cellStyle name="Calculation 20 2 3 3" xfId="0"/>
    <cellStyle name="Calculation 20 2 4" xfId="0"/>
    <cellStyle name="Calculation 20 2 5" xfId="0"/>
    <cellStyle name="Calculation 20 3" xfId="0"/>
    <cellStyle name="Calculation 20 3 2" xfId="0"/>
    <cellStyle name="Calculation 20 3 2 2" xfId="0"/>
    <cellStyle name="Calculation 20 3 2 3" xfId="0"/>
    <cellStyle name="Calculation 20 3 3" xfId="0"/>
    <cellStyle name="Calculation 20 3 4" xfId="0"/>
    <cellStyle name="Calculation 20 4" xfId="0"/>
    <cellStyle name="Calculation 20 4 2" xfId="0"/>
    <cellStyle name="Calculation 20 4 3" xfId="0"/>
    <cellStyle name="Calculation 20 5" xfId="0"/>
    <cellStyle name="Calculation 20 6" xfId="0"/>
    <cellStyle name="Calculation 21" xfId="0"/>
    <cellStyle name="Calculation 21 2" xfId="0"/>
    <cellStyle name="Calculation 21 2 2" xfId="0"/>
    <cellStyle name="Calculation 21 2 2 2" xfId="0"/>
    <cellStyle name="Calculation 21 2 2 3" xfId="0"/>
    <cellStyle name="Calculation 21 2 3" xfId="0"/>
    <cellStyle name="Calculation 21 2 4" xfId="0"/>
    <cellStyle name="Calculation 21 3" xfId="0"/>
    <cellStyle name="Calculation 21 3 2" xfId="0"/>
    <cellStyle name="Calculation 21 3 2 2" xfId="0"/>
    <cellStyle name="Calculation 21 3 2 3" xfId="0"/>
    <cellStyle name="Calculation 21 3 3" xfId="0"/>
    <cellStyle name="Calculation 21 3 4" xfId="0"/>
    <cellStyle name="Calculation 21 4" xfId="0"/>
    <cellStyle name="Calculation 21 4 2" xfId="0"/>
    <cellStyle name="Calculation 21 4 3" xfId="0"/>
    <cellStyle name="Calculation 21 5" xfId="0"/>
    <cellStyle name="Calculation 21 6" xfId="0"/>
    <cellStyle name="Calculation 22" xfId="0"/>
    <cellStyle name="Calculation 22 2" xfId="0"/>
    <cellStyle name="Calculation 22 2 2" xfId="0"/>
    <cellStyle name="Calculation 22 2 2 2" xfId="0"/>
    <cellStyle name="Calculation 22 2 2 3" xfId="0"/>
    <cellStyle name="Calculation 22 2 3" xfId="0"/>
    <cellStyle name="Calculation 22 2 4" xfId="0"/>
    <cellStyle name="Calculation 22 3" xfId="0"/>
    <cellStyle name="Calculation 22 3 2" xfId="0"/>
    <cellStyle name="Calculation 22 3 2 2" xfId="0"/>
    <cellStyle name="Calculation 22 3 2 3" xfId="0"/>
    <cellStyle name="Calculation 22 3 3" xfId="0"/>
    <cellStyle name="Calculation 22 3 4" xfId="0"/>
    <cellStyle name="Calculation 22 4" xfId="0"/>
    <cellStyle name="Calculation 22 4 2" xfId="0"/>
    <cellStyle name="Calculation 22 4 3" xfId="0"/>
    <cellStyle name="Calculation 22 5" xfId="0"/>
    <cellStyle name="Calculation 22 6" xfId="0"/>
    <cellStyle name="Calculation 23" xfId="0"/>
    <cellStyle name="Calculation 23 2" xfId="0"/>
    <cellStyle name="Calculation 23 2 2" xfId="0"/>
    <cellStyle name="Calculation 23 2 2 2" xfId="0"/>
    <cellStyle name="Calculation 23 2 2 3" xfId="0"/>
    <cellStyle name="Calculation 23 2 3" xfId="0"/>
    <cellStyle name="Calculation 23 2 4" xfId="0"/>
    <cellStyle name="Calculation 23 3" xfId="0"/>
    <cellStyle name="Calculation 23 3 2" xfId="0"/>
    <cellStyle name="Calculation 23 3 2 2" xfId="0"/>
    <cellStyle name="Calculation 23 3 2 3" xfId="0"/>
    <cellStyle name="Calculation 23 3 3" xfId="0"/>
    <cellStyle name="Calculation 23 3 4" xfId="0"/>
    <cellStyle name="Calculation 23 4" xfId="0"/>
    <cellStyle name="Calculation 23 4 2" xfId="0"/>
    <cellStyle name="Calculation 23 4 3" xfId="0"/>
    <cellStyle name="Calculation 23 5" xfId="0"/>
    <cellStyle name="Calculation 23 6" xfId="0"/>
    <cellStyle name="Calculation 24" xfId="0"/>
    <cellStyle name="Calculation 24 2" xfId="0"/>
    <cellStyle name="Calculation 24 2 2" xfId="0"/>
    <cellStyle name="Calculation 24 2 2 2" xfId="0"/>
    <cellStyle name="Calculation 24 2 2 3" xfId="0"/>
    <cellStyle name="Calculation 24 2 3" xfId="0"/>
    <cellStyle name="Calculation 24 2 4" xfId="0"/>
    <cellStyle name="Calculation 24 3" xfId="0"/>
    <cellStyle name="Calculation 24 3 2" xfId="0"/>
    <cellStyle name="Calculation 24 3 2 2" xfId="0"/>
    <cellStyle name="Calculation 24 3 2 3" xfId="0"/>
    <cellStyle name="Calculation 24 3 3" xfId="0"/>
    <cellStyle name="Calculation 24 3 4" xfId="0"/>
    <cellStyle name="Calculation 24 4" xfId="0"/>
    <cellStyle name="Calculation 24 4 2" xfId="0"/>
    <cellStyle name="Calculation 24 4 3" xfId="0"/>
    <cellStyle name="Calculation 24 5" xfId="0"/>
    <cellStyle name="Calculation 24 6" xfId="0"/>
    <cellStyle name="Calculation 25" xfId="0"/>
    <cellStyle name="Calculation 25 2" xfId="0"/>
    <cellStyle name="Calculation 25 2 2" xfId="0"/>
    <cellStyle name="Calculation 25 2 2 2" xfId="0"/>
    <cellStyle name="Calculation 25 2 2 3" xfId="0"/>
    <cellStyle name="Calculation 25 2 3" xfId="0"/>
    <cellStyle name="Calculation 25 2 4" xfId="0"/>
    <cellStyle name="Calculation 25 3" xfId="0"/>
    <cellStyle name="Calculation 25 3 2" xfId="0"/>
    <cellStyle name="Calculation 25 3 3" xfId="0"/>
    <cellStyle name="Calculation 25 4" xfId="0"/>
    <cellStyle name="Calculation 25 5" xfId="0"/>
    <cellStyle name="Calculation 26" xfId="0"/>
    <cellStyle name="Calculation 26 2" xfId="0"/>
    <cellStyle name="Calculation 26 2 2" xfId="0"/>
    <cellStyle name="Calculation 26 2 2 2" xfId="0"/>
    <cellStyle name="Calculation 26 2 2 3" xfId="0"/>
    <cellStyle name="Calculation 26 2 3" xfId="0"/>
    <cellStyle name="Calculation 26 2 4" xfId="0"/>
    <cellStyle name="Calculation 26 3" xfId="0"/>
    <cellStyle name="Calculation 26 3 2" xfId="0"/>
    <cellStyle name="Calculation 26 3 3" xfId="0"/>
    <cellStyle name="Calculation 26 4" xfId="0"/>
    <cellStyle name="Calculation 26 5" xfId="0"/>
    <cellStyle name="Calculation 27" xfId="0"/>
    <cellStyle name="Calculation 27 2" xfId="0"/>
    <cellStyle name="Calculation 27 2 2" xfId="0"/>
    <cellStyle name="Calculation 27 2 3" xfId="0"/>
    <cellStyle name="Calculation 27 3" xfId="0"/>
    <cellStyle name="Calculation 27 4" xfId="0"/>
    <cellStyle name="Calculation 28" xfId="0"/>
    <cellStyle name="Calculation 28 2" xfId="0"/>
    <cellStyle name="Calculation 28 2 2" xfId="0"/>
    <cellStyle name="Calculation 28 2 3" xfId="0"/>
    <cellStyle name="Calculation 28 3" xfId="0"/>
    <cellStyle name="Calculation 28 4" xfId="0"/>
    <cellStyle name="Calculation 29" xfId="0"/>
    <cellStyle name="Calculation 29 2" xfId="0"/>
    <cellStyle name="Calculation 29 3" xfId="0"/>
    <cellStyle name="Calculation 3" xfId="0"/>
    <cellStyle name="Calculation 3 10" xfId="0"/>
    <cellStyle name="Calculation 3 2" xfId="0"/>
    <cellStyle name="Calculation 3 2 2" xfId="0"/>
    <cellStyle name="Calculation 3 2 2 2" xfId="0"/>
    <cellStyle name="Calculation 3 2 2 2 2" xfId="0"/>
    <cellStyle name="Calculation 3 2 2 2 3" xfId="0"/>
    <cellStyle name="Calculation 3 2 2 3" xfId="0"/>
    <cellStyle name="Calculation 3 2 2 4" xfId="0"/>
    <cellStyle name="Calculation 3 2 3" xfId="0"/>
    <cellStyle name="Calculation 3 2 3 2" xfId="0"/>
    <cellStyle name="Calculation 3 2 3 2 2" xfId="0"/>
    <cellStyle name="Calculation 3 2 3 2 3" xfId="0"/>
    <cellStyle name="Calculation 3 2 3 3" xfId="0"/>
    <cellStyle name="Calculation 3 2 3 4" xfId="0"/>
    <cellStyle name="Calculation 3 2 4" xfId="0"/>
    <cellStyle name="Calculation 3 2 4 2" xfId="0"/>
    <cellStyle name="Calculation 3 2 4 3" xfId="0"/>
    <cellStyle name="Calculation 3 2 5" xfId="0"/>
    <cellStyle name="Calculation 3 2 6" xfId="0"/>
    <cellStyle name="Calculation 3 3" xfId="0"/>
    <cellStyle name="Calculation 3 3 2" xfId="0"/>
    <cellStyle name="Calculation 3 3 2 2" xfId="0"/>
    <cellStyle name="Calculation 3 3 2 2 2" xfId="0"/>
    <cellStyle name="Calculation 3 3 2 2 3" xfId="0"/>
    <cellStyle name="Calculation 3 3 2 3" xfId="0"/>
    <cellStyle name="Calculation 3 3 2 4" xfId="0"/>
    <cellStyle name="Calculation 3 3 3" xfId="0"/>
    <cellStyle name="Calculation 3 3 3 2" xfId="0"/>
    <cellStyle name="Calculation 3 3 3 2 2" xfId="0"/>
    <cellStyle name="Calculation 3 3 3 2 3" xfId="0"/>
    <cellStyle name="Calculation 3 3 3 3" xfId="0"/>
    <cellStyle name="Calculation 3 3 3 4" xfId="0"/>
    <cellStyle name="Calculation 3 3 4" xfId="0"/>
    <cellStyle name="Calculation 3 3 4 2" xfId="0"/>
    <cellStyle name="Calculation 3 3 4 3" xfId="0"/>
    <cellStyle name="Calculation 3 3 5" xfId="0"/>
    <cellStyle name="Calculation 3 3 6" xfId="0"/>
    <cellStyle name="Calculation 3 4" xfId="0"/>
    <cellStyle name="Calculation 3 4 2" xfId="0"/>
    <cellStyle name="Calculation 3 4 2 2" xfId="0"/>
    <cellStyle name="Calculation 3 4 2 2 2" xfId="0"/>
    <cellStyle name="Calculation 3 4 2 2 3" xfId="0"/>
    <cellStyle name="Calculation 3 4 2 3" xfId="0"/>
    <cellStyle name="Calculation 3 4 2 4" xfId="0"/>
    <cellStyle name="Calculation 3 4 3" xfId="0"/>
    <cellStyle name="Calculation 3 4 3 2" xfId="0"/>
    <cellStyle name="Calculation 3 4 3 2 2" xfId="0"/>
    <cellStyle name="Calculation 3 4 3 2 3" xfId="0"/>
    <cellStyle name="Calculation 3 4 3 3" xfId="0"/>
    <cellStyle name="Calculation 3 4 3 4" xfId="0"/>
    <cellStyle name="Calculation 3 4 4" xfId="0"/>
    <cellStyle name="Calculation 3 4 4 2" xfId="0"/>
    <cellStyle name="Calculation 3 4 4 3" xfId="0"/>
    <cellStyle name="Calculation 3 4 5" xfId="0"/>
    <cellStyle name="Calculation 3 4 6" xfId="0"/>
    <cellStyle name="Calculation 3 5" xfId="0"/>
    <cellStyle name="Calculation 3 5 2" xfId="0"/>
    <cellStyle name="Calculation 3 5 2 2" xfId="0"/>
    <cellStyle name="Calculation 3 5 2 2 2" xfId="0"/>
    <cellStyle name="Calculation 3 5 2 2 3" xfId="0"/>
    <cellStyle name="Calculation 3 5 2 3" xfId="0"/>
    <cellStyle name="Calculation 3 5 2 4" xfId="0"/>
    <cellStyle name="Calculation 3 5 3" xfId="0"/>
    <cellStyle name="Calculation 3 5 3 2" xfId="0"/>
    <cellStyle name="Calculation 3 5 3 2 2" xfId="0"/>
    <cellStyle name="Calculation 3 5 3 2 3" xfId="0"/>
    <cellStyle name="Calculation 3 5 3 3" xfId="0"/>
    <cellStyle name="Calculation 3 5 3 4" xfId="0"/>
    <cellStyle name="Calculation 3 5 4" xfId="0"/>
    <cellStyle name="Calculation 3 5 4 2" xfId="0"/>
    <cellStyle name="Calculation 3 5 4 3" xfId="0"/>
    <cellStyle name="Calculation 3 5 5" xfId="0"/>
    <cellStyle name="Calculation 3 5 6" xfId="0"/>
    <cellStyle name="Calculation 3 6" xfId="0"/>
    <cellStyle name="Calculation 3 6 2" xfId="0"/>
    <cellStyle name="Calculation 3 6 2 2" xfId="0"/>
    <cellStyle name="Calculation 3 6 2 2 2" xfId="0"/>
    <cellStyle name="Calculation 3 6 2 2 3" xfId="0"/>
    <cellStyle name="Calculation 3 6 2 3" xfId="0"/>
    <cellStyle name="Calculation 3 6 2 4" xfId="0"/>
    <cellStyle name="Calculation 3 6 3" xfId="0"/>
    <cellStyle name="Calculation 3 6 3 2" xfId="0"/>
    <cellStyle name="Calculation 3 6 3 3" xfId="0"/>
    <cellStyle name="Calculation 3 6 4" xfId="0"/>
    <cellStyle name="Calculation 3 6 5" xfId="0"/>
    <cellStyle name="Calculation 3 7" xfId="0"/>
    <cellStyle name="Calculation 3 7 2" xfId="0"/>
    <cellStyle name="Calculation 3 7 2 2" xfId="0"/>
    <cellStyle name="Calculation 3 7 2 2 2" xfId="0"/>
    <cellStyle name="Calculation 3 7 2 2 3" xfId="0"/>
    <cellStyle name="Calculation 3 7 2 3" xfId="0"/>
    <cellStyle name="Calculation 3 7 2 4" xfId="0"/>
    <cellStyle name="Calculation 3 7 3" xfId="0"/>
    <cellStyle name="Calculation 3 7 3 2" xfId="0"/>
    <cellStyle name="Calculation 3 7 3 3" xfId="0"/>
    <cellStyle name="Calculation 3 7 4" xfId="0"/>
    <cellStyle name="Calculation 3 7 5" xfId="0"/>
    <cellStyle name="Calculation 3 8" xfId="0"/>
    <cellStyle name="Calculation 3 8 2" xfId="0"/>
    <cellStyle name="Calculation 3 8 3" xfId="0"/>
    <cellStyle name="Calculation 3 9" xfId="0"/>
    <cellStyle name="Calculation 30" xfId="0"/>
    <cellStyle name="Calculation 30 2" xfId="0"/>
    <cellStyle name="Calculation 30 3" xfId="0"/>
    <cellStyle name="Calculation 31" xfId="0"/>
    <cellStyle name="Calculation 31 2" xfId="0"/>
    <cellStyle name="Calculation 31 3" xfId="0"/>
    <cellStyle name="Calculation 32" xfId="0"/>
    <cellStyle name="Calculation 32 2" xfId="0"/>
    <cellStyle name="Calculation 32 3" xfId="0"/>
    <cellStyle name="Calculation 33" xfId="0"/>
    <cellStyle name="Calculation 4" xfId="0"/>
    <cellStyle name="Calculation 4 10" xfId="0"/>
    <cellStyle name="Calculation 4 2" xfId="0"/>
    <cellStyle name="Calculation 4 2 2" xfId="0"/>
    <cellStyle name="Calculation 4 2 2 2" xfId="0"/>
    <cellStyle name="Calculation 4 2 2 2 2" xfId="0"/>
    <cellStyle name="Calculation 4 2 2 2 3" xfId="0"/>
    <cellStyle name="Calculation 4 2 2 3" xfId="0"/>
    <cellStyle name="Calculation 4 2 2 4" xfId="0"/>
    <cellStyle name="Calculation 4 2 3" xfId="0"/>
    <cellStyle name="Calculation 4 2 3 2" xfId="0"/>
    <cellStyle name="Calculation 4 2 3 2 2" xfId="0"/>
    <cellStyle name="Calculation 4 2 3 2 3" xfId="0"/>
    <cellStyle name="Calculation 4 2 3 3" xfId="0"/>
    <cellStyle name="Calculation 4 2 3 4" xfId="0"/>
    <cellStyle name="Calculation 4 2 4" xfId="0"/>
    <cellStyle name="Calculation 4 2 4 2" xfId="0"/>
    <cellStyle name="Calculation 4 2 4 3" xfId="0"/>
    <cellStyle name="Calculation 4 2 5" xfId="0"/>
    <cellStyle name="Calculation 4 2 6" xfId="0"/>
    <cellStyle name="Calculation 4 3" xfId="0"/>
    <cellStyle name="Calculation 4 3 2" xfId="0"/>
    <cellStyle name="Calculation 4 3 2 2" xfId="0"/>
    <cellStyle name="Calculation 4 3 2 2 2" xfId="0"/>
    <cellStyle name="Calculation 4 3 2 2 3" xfId="0"/>
    <cellStyle name="Calculation 4 3 2 3" xfId="0"/>
    <cellStyle name="Calculation 4 3 2 4" xfId="0"/>
    <cellStyle name="Calculation 4 3 3" xfId="0"/>
    <cellStyle name="Calculation 4 3 3 2" xfId="0"/>
    <cellStyle name="Calculation 4 3 3 2 2" xfId="0"/>
    <cellStyle name="Calculation 4 3 3 2 3" xfId="0"/>
    <cellStyle name="Calculation 4 3 3 3" xfId="0"/>
    <cellStyle name="Calculation 4 3 3 4" xfId="0"/>
    <cellStyle name="Calculation 4 3 4" xfId="0"/>
    <cellStyle name="Calculation 4 3 4 2" xfId="0"/>
    <cellStyle name="Calculation 4 3 4 3" xfId="0"/>
    <cellStyle name="Calculation 4 3 5" xfId="0"/>
    <cellStyle name="Calculation 4 3 6" xfId="0"/>
    <cellStyle name="Calculation 4 4" xfId="0"/>
    <cellStyle name="Calculation 4 4 2" xfId="0"/>
    <cellStyle name="Calculation 4 4 2 2" xfId="0"/>
    <cellStyle name="Calculation 4 4 2 2 2" xfId="0"/>
    <cellStyle name="Calculation 4 4 2 2 3" xfId="0"/>
    <cellStyle name="Calculation 4 4 2 3" xfId="0"/>
    <cellStyle name="Calculation 4 4 2 4" xfId="0"/>
    <cellStyle name="Calculation 4 4 3" xfId="0"/>
    <cellStyle name="Calculation 4 4 3 2" xfId="0"/>
    <cellStyle name="Calculation 4 4 3 2 2" xfId="0"/>
    <cellStyle name="Calculation 4 4 3 2 3" xfId="0"/>
    <cellStyle name="Calculation 4 4 3 3" xfId="0"/>
    <cellStyle name="Calculation 4 4 3 4" xfId="0"/>
    <cellStyle name="Calculation 4 4 4" xfId="0"/>
    <cellStyle name="Calculation 4 4 4 2" xfId="0"/>
    <cellStyle name="Calculation 4 4 4 3" xfId="0"/>
    <cellStyle name="Calculation 4 4 5" xfId="0"/>
    <cellStyle name="Calculation 4 4 6" xfId="0"/>
    <cellStyle name="Calculation 4 5" xfId="0"/>
    <cellStyle name="Calculation 4 5 2" xfId="0"/>
    <cellStyle name="Calculation 4 5 2 2" xfId="0"/>
    <cellStyle name="Calculation 4 5 2 2 2" xfId="0"/>
    <cellStyle name="Calculation 4 5 2 2 3" xfId="0"/>
    <cellStyle name="Calculation 4 5 2 3" xfId="0"/>
    <cellStyle name="Calculation 4 5 2 4" xfId="0"/>
    <cellStyle name="Calculation 4 5 3" xfId="0"/>
    <cellStyle name="Calculation 4 5 3 2" xfId="0"/>
    <cellStyle name="Calculation 4 5 3 2 2" xfId="0"/>
    <cellStyle name="Calculation 4 5 3 2 3" xfId="0"/>
    <cellStyle name="Calculation 4 5 3 3" xfId="0"/>
    <cellStyle name="Calculation 4 5 3 4" xfId="0"/>
    <cellStyle name="Calculation 4 5 4" xfId="0"/>
    <cellStyle name="Calculation 4 5 4 2" xfId="0"/>
    <cellStyle name="Calculation 4 5 4 3" xfId="0"/>
    <cellStyle name="Calculation 4 5 5" xfId="0"/>
    <cellStyle name="Calculation 4 5 6" xfId="0"/>
    <cellStyle name="Calculation 4 6" xfId="0"/>
    <cellStyle name="Calculation 4 6 2" xfId="0"/>
    <cellStyle name="Calculation 4 6 2 2" xfId="0"/>
    <cellStyle name="Calculation 4 6 2 2 2" xfId="0"/>
    <cellStyle name="Calculation 4 6 2 2 3" xfId="0"/>
    <cellStyle name="Calculation 4 6 2 3" xfId="0"/>
    <cellStyle name="Calculation 4 6 2 4" xfId="0"/>
    <cellStyle name="Calculation 4 6 3" xfId="0"/>
    <cellStyle name="Calculation 4 6 3 2" xfId="0"/>
    <cellStyle name="Calculation 4 6 3 3" xfId="0"/>
    <cellStyle name="Calculation 4 6 4" xfId="0"/>
    <cellStyle name="Calculation 4 6 5" xfId="0"/>
    <cellStyle name="Calculation 4 7" xfId="0"/>
    <cellStyle name="Calculation 4 7 2" xfId="0"/>
    <cellStyle name="Calculation 4 7 2 2" xfId="0"/>
    <cellStyle name="Calculation 4 7 2 2 2" xfId="0"/>
    <cellStyle name="Calculation 4 7 2 2 3" xfId="0"/>
    <cellStyle name="Calculation 4 7 2 3" xfId="0"/>
    <cellStyle name="Calculation 4 7 2 4" xfId="0"/>
    <cellStyle name="Calculation 4 7 3" xfId="0"/>
    <cellStyle name="Calculation 4 7 3 2" xfId="0"/>
    <cellStyle name="Calculation 4 7 3 3" xfId="0"/>
    <cellStyle name="Calculation 4 7 4" xfId="0"/>
    <cellStyle name="Calculation 4 7 5" xfId="0"/>
    <cellStyle name="Calculation 4 8" xfId="0"/>
    <cellStyle name="Calculation 4 8 2" xfId="0"/>
    <cellStyle name="Calculation 4 8 3" xfId="0"/>
    <cellStyle name="Calculation 4 9" xfId="0"/>
    <cellStyle name="Calculation 5" xfId="0"/>
    <cellStyle name="Calculation 5 2" xfId="0"/>
    <cellStyle name="Calculation 5 2 2" xfId="0"/>
    <cellStyle name="Calculation 5 2 2 2" xfId="0"/>
    <cellStyle name="Calculation 5 2 2 2 2" xfId="0"/>
    <cellStyle name="Calculation 5 2 2 2 3" xfId="0"/>
    <cellStyle name="Calculation 5 2 2 3" xfId="0"/>
    <cellStyle name="Calculation 5 2 2 4" xfId="0"/>
    <cellStyle name="Calculation 5 2 3" xfId="0"/>
    <cellStyle name="Calculation 5 2 3 2" xfId="0"/>
    <cellStyle name="Calculation 5 2 3 2 2" xfId="0"/>
    <cellStyle name="Calculation 5 2 3 2 3" xfId="0"/>
    <cellStyle name="Calculation 5 2 3 3" xfId="0"/>
    <cellStyle name="Calculation 5 2 3 4" xfId="0"/>
    <cellStyle name="Calculation 5 2 4" xfId="0"/>
    <cellStyle name="Calculation 5 2 4 2" xfId="0"/>
    <cellStyle name="Calculation 5 2 4 3" xfId="0"/>
    <cellStyle name="Calculation 5 2 5" xfId="0"/>
    <cellStyle name="Calculation 5 2 6" xfId="0"/>
    <cellStyle name="Calculation 5 3" xfId="0"/>
    <cellStyle name="Calculation 5 3 2" xfId="0"/>
    <cellStyle name="Calculation 5 3 2 2" xfId="0"/>
    <cellStyle name="Calculation 5 3 2 2 2" xfId="0"/>
    <cellStyle name="Calculation 5 3 2 2 3" xfId="0"/>
    <cellStyle name="Calculation 5 3 2 3" xfId="0"/>
    <cellStyle name="Calculation 5 3 2 4" xfId="0"/>
    <cellStyle name="Calculation 5 3 3" xfId="0"/>
    <cellStyle name="Calculation 5 3 3 2" xfId="0"/>
    <cellStyle name="Calculation 5 3 3 3" xfId="0"/>
    <cellStyle name="Calculation 5 3 4" xfId="0"/>
    <cellStyle name="Calculation 5 3 5" xfId="0"/>
    <cellStyle name="Calculation 5 4" xfId="0"/>
    <cellStyle name="Calculation 5 4 2" xfId="0"/>
    <cellStyle name="Calculation 5 4 2 2" xfId="0"/>
    <cellStyle name="Calculation 5 4 2 2 2" xfId="0"/>
    <cellStyle name="Calculation 5 4 2 2 3" xfId="0"/>
    <cellStyle name="Calculation 5 4 2 3" xfId="0"/>
    <cellStyle name="Calculation 5 4 2 4" xfId="0"/>
    <cellStyle name="Calculation 5 4 3" xfId="0"/>
    <cellStyle name="Calculation 5 4 3 2" xfId="0"/>
    <cellStyle name="Calculation 5 4 3 3" xfId="0"/>
    <cellStyle name="Calculation 5 4 4" xfId="0"/>
    <cellStyle name="Calculation 5 4 5" xfId="0"/>
    <cellStyle name="Calculation 5 5" xfId="0"/>
    <cellStyle name="Calculation 5 5 2" xfId="0"/>
    <cellStyle name="Calculation 5 5 3" xfId="0"/>
    <cellStyle name="Calculation 5 6" xfId="0"/>
    <cellStyle name="Calculation 5 7" xfId="0"/>
    <cellStyle name="Calculation 6" xfId="0"/>
    <cellStyle name="Calculation 6 2" xfId="0"/>
    <cellStyle name="Calculation 6 2 2" xfId="0"/>
    <cellStyle name="Calculation 6 2 2 2" xfId="0"/>
    <cellStyle name="Calculation 6 2 2 2 2" xfId="0"/>
    <cellStyle name="Calculation 6 2 2 2 3" xfId="0"/>
    <cellStyle name="Calculation 6 2 2 3" xfId="0"/>
    <cellStyle name="Calculation 6 2 2 4" xfId="0"/>
    <cellStyle name="Calculation 6 2 3" xfId="0"/>
    <cellStyle name="Calculation 6 2 3 2" xfId="0"/>
    <cellStyle name="Calculation 6 2 3 2 2" xfId="0"/>
    <cellStyle name="Calculation 6 2 3 2 3" xfId="0"/>
    <cellStyle name="Calculation 6 2 3 3" xfId="0"/>
    <cellStyle name="Calculation 6 2 3 4" xfId="0"/>
    <cellStyle name="Calculation 6 2 4" xfId="0"/>
    <cellStyle name="Calculation 6 2 4 2" xfId="0"/>
    <cellStyle name="Calculation 6 2 4 3" xfId="0"/>
    <cellStyle name="Calculation 6 2 5" xfId="0"/>
    <cellStyle name="Calculation 6 2 6" xfId="0"/>
    <cellStyle name="Calculation 6 3" xfId="0"/>
    <cellStyle name="Calculation 6 3 2" xfId="0"/>
    <cellStyle name="Calculation 6 3 2 2" xfId="0"/>
    <cellStyle name="Calculation 6 3 2 2 2" xfId="0"/>
    <cellStyle name="Calculation 6 3 2 2 3" xfId="0"/>
    <cellStyle name="Calculation 6 3 2 3" xfId="0"/>
    <cellStyle name="Calculation 6 3 2 4" xfId="0"/>
    <cellStyle name="Calculation 6 3 3" xfId="0"/>
    <cellStyle name="Calculation 6 3 3 2" xfId="0"/>
    <cellStyle name="Calculation 6 3 3 3" xfId="0"/>
    <cellStyle name="Calculation 6 3 4" xfId="0"/>
    <cellStyle name="Calculation 6 3 5" xfId="0"/>
    <cellStyle name="Calculation 6 4" xfId="0"/>
    <cellStyle name="Calculation 6 4 2" xfId="0"/>
    <cellStyle name="Calculation 6 4 2 2" xfId="0"/>
    <cellStyle name="Calculation 6 4 2 2 2" xfId="0"/>
    <cellStyle name="Calculation 6 4 2 2 3" xfId="0"/>
    <cellStyle name="Calculation 6 4 2 3" xfId="0"/>
    <cellStyle name="Calculation 6 4 2 4" xfId="0"/>
    <cellStyle name="Calculation 6 4 3" xfId="0"/>
    <cellStyle name="Calculation 6 4 3 2" xfId="0"/>
    <cellStyle name="Calculation 6 4 3 3" xfId="0"/>
    <cellStyle name="Calculation 6 4 4" xfId="0"/>
    <cellStyle name="Calculation 6 4 5" xfId="0"/>
    <cellStyle name="Calculation 6 5" xfId="0"/>
    <cellStyle name="Calculation 6 5 2" xfId="0"/>
    <cellStyle name="Calculation 6 5 3" xfId="0"/>
    <cellStyle name="Calculation 6 6" xfId="0"/>
    <cellStyle name="Calculation 6 7" xfId="0"/>
    <cellStyle name="Calculation 7" xfId="0"/>
    <cellStyle name="Calculation 7 2" xfId="0"/>
    <cellStyle name="Calculation 7 2 2" xfId="0"/>
    <cellStyle name="Calculation 7 2 2 2" xfId="0"/>
    <cellStyle name="Calculation 7 2 2 2 2" xfId="0"/>
    <cellStyle name="Calculation 7 2 2 2 3" xfId="0"/>
    <cellStyle name="Calculation 7 2 2 3" xfId="0"/>
    <cellStyle name="Calculation 7 2 2 4" xfId="0"/>
    <cellStyle name="Calculation 7 2 3" xfId="0"/>
    <cellStyle name="Calculation 7 2 3 2" xfId="0"/>
    <cellStyle name="Calculation 7 2 3 2 2" xfId="0"/>
    <cellStyle name="Calculation 7 2 3 2 3" xfId="0"/>
    <cellStyle name="Calculation 7 2 3 3" xfId="0"/>
    <cellStyle name="Calculation 7 2 3 4" xfId="0"/>
    <cellStyle name="Calculation 7 2 4" xfId="0"/>
    <cellStyle name="Calculation 7 2 4 2" xfId="0"/>
    <cellStyle name="Calculation 7 2 4 3" xfId="0"/>
    <cellStyle name="Calculation 7 2 5" xfId="0"/>
    <cellStyle name="Calculation 7 2 6" xfId="0"/>
    <cellStyle name="Calculation 7 3" xfId="0"/>
    <cellStyle name="Calculation 7 3 2" xfId="0"/>
    <cellStyle name="Calculation 7 3 2 2" xfId="0"/>
    <cellStyle name="Calculation 7 3 2 2 2" xfId="0"/>
    <cellStyle name="Calculation 7 3 2 2 3" xfId="0"/>
    <cellStyle name="Calculation 7 3 2 3" xfId="0"/>
    <cellStyle name="Calculation 7 3 2 4" xfId="0"/>
    <cellStyle name="Calculation 7 3 3" xfId="0"/>
    <cellStyle name="Calculation 7 3 3 2" xfId="0"/>
    <cellStyle name="Calculation 7 3 3 3" xfId="0"/>
    <cellStyle name="Calculation 7 3 4" xfId="0"/>
    <cellStyle name="Calculation 7 3 5" xfId="0"/>
    <cellStyle name="Calculation 7 4" xfId="0"/>
    <cellStyle name="Calculation 7 4 2" xfId="0"/>
    <cellStyle name="Calculation 7 4 2 2" xfId="0"/>
    <cellStyle name="Calculation 7 4 2 2 2" xfId="0"/>
    <cellStyle name="Calculation 7 4 2 2 3" xfId="0"/>
    <cellStyle name="Calculation 7 4 2 3" xfId="0"/>
    <cellStyle name="Calculation 7 4 2 4" xfId="0"/>
    <cellStyle name="Calculation 7 4 3" xfId="0"/>
    <cellStyle name="Calculation 7 4 3 2" xfId="0"/>
    <cellStyle name="Calculation 7 4 3 3" xfId="0"/>
    <cellStyle name="Calculation 7 4 4" xfId="0"/>
    <cellStyle name="Calculation 7 4 5" xfId="0"/>
    <cellStyle name="Calculation 7 5" xfId="0"/>
    <cellStyle name="Calculation 7 5 2" xfId="0"/>
    <cellStyle name="Calculation 7 5 3" xfId="0"/>
    <cellStyle name="Calculation 7 6" xfId="0"/>
    <cellStyle name="Calculation 7 7" xfId="0"/>
    <cellStyle name="Calculation 8" xfId="0"/>
    <cellStyle name="Calculation 8 2" xfId="0"/>
    <cellStyle name="Calculation 8 2 2" xfId="0"/>
    <cellStyle name="Calculation 8 2 2 2" xfId="0"/>
    <cellStyle name="Calculation 8 2 2 2 2" xfId="0"/>
    <cellStyle name="Calculation 8 2 2 2 3" xfId="0"/>
    <cellStyle name="Calculation 8 2 2 3" xfId="0"/>
    <cellStyle name="Calculation 8 2 2 4" xfId="0"/>
    <cellStyle name="Calculation 8 2 3" xfId="0"/>
    <cellStyle name="Calculation 8 2 3 2" xfId="0"/>
    <cellStyle name="Calculation 8 2 3 2 2" xfId="0"/>
    <cellStyle name="Calculation 8 2 3 2 3" xfId="0"/>
    <cellStyle name="Calculation 8 2 3 3" xfId="0"/>
    <cellStyle name="Calculation 8 2 3 4" xfId="0"/>
    <cellStyle name="Calculation 8 2 4" xfId="0"/>
    <cellStyle name="Calculation 8 2 4 2" xfId="0"/>
    <cellStyle name="Calculation 8 2 4 3" xfId="0"/>
    <cellStyle name="Calculation 8 2 5" xfId="0"/>
    <cellStyle name="Calculation 8 2 6" xfId="0"/>
    <cellStyle name="Calculation 8 3" xfId="0"/>
    <cellStyle name="Calculation 8 3 2" xfId="0"/>
    <cellStyle name="Calculation 8 3 2 2" xfId="0"/>
    <cellStyle name="Calculation 8 3 2 2 2" xfId="0"/>
    <cellStyle name="Calculation 8 3 2 2 3" xfId="0"/>
    <cellStyle name="Calculation 8 3 2 3" xfId="0"/>
    <cellStyle name="Calculation 8 3 2 4" xfId="0"/>
    <cellStyle name="Calculation 8 3 3" xfId="0"/>
    <cellStyle name="Calculation 8 3 3 2" xfId="0"/>
    <cellStyle name="Calculation 8 3 3 3" xfId="0"/>
    <cellStyle name="Calculation 8 3 4" xfId="0"/>
    <cellStyle name="Calculation 8 3 5" xfId="0"/>
    <cellStyle name="Calculation 8 4" xfId="0"/>
    <cellStyle name="Calculation 8 4 2" xfId="0"/>
    <cellStyle name="Calculation 8 4 2 2" xfId="0"/>
    <cellStyle name="Calculation 8 4 2 2 2" xfId="0"/>
    <cellStyle name="Calculation 8 4 2 2 3" xfId="0"/>
    <cellStyle name="Calculation 8 4 2 3" xfId="0"/>
    <cellStyle name="Calculation 8 4 2 4" xfId="0"/>
    <cellStyle name="Calculation 8 4 3" xfId="0"/>
    <cellStyle name="Calculation 8 4 3 2" xfId="0"/>
    <cellStyle name="Calculation 8 4 3 3" xfId="0"/>
    <cellStyle name="Calculation 8 4 4" xfId="0"/>
    <cellStyle name="Calculation 8 4 5" xfId="0"/>
    <cellStyle name="Calculation 8 5" xfId="0"/>
    <cellStyle name="Calculation 8 5 2" xfId="0"/>
    <cellStyle name="Calculation 8 5 3" xfId="0"/>
    <cellStyle name="Calculation 8 6" xfId="0"/>
    <cellStyle name="Calculation 8 7" xfId="0"/>
    <cellStyle name="Calculation 9" xfId="0"/>
    <cellStyle name="Calculation 9 2" xfId="0"/>
    <cellStyle name="Calculation 9 2 2" xfId="0"/>
    <cellStyle name="Calculation 9 2 2 2" xfId="0"/>
    <cellStyle name="Calculation 9 2 2 2 2" xfId="0"/>
    <cellStyle name="Calculation 9 2 2 2 3" xfId="0"/>
    <cellStyle name="Calculation 9 2 2 3" xfId="0"/>
    <cellStyle name="Calculation 9 2 2 4" xfId="0"/>
    <cellStyle name="Calculation 9 2 3" xfId="0"/>
    <cellStyle name="Calculation 9 2 3 2" xfId="0"/>
    <cellStyle name="Calculation 9 2 3 2 2" xfId="0"/>
    <cellStyle name="Calculation 9 2 3 2 3" xfId="0"/>
    <cellStyle name="Calculation 9 2 3 3" xfId="0"/>
    <cellStyle name="Calculation 9 2 3 4" xfId="0"/>
    <cellStyle name="Calculation 9 2 4" xfId="0"/>
    <cellStyle name="Calculation 9 2 4 2" xfId="0"/>
    <cellStyle name="Calculation 9 2 4 3" xfId="0"/>
    <cellStyle name="Calculation 9 2 5" xfId="0"/>
    <cellStyle name="Calculation 9 2 6" xfId="0"/>
    <cellStyle name="Calculation 9 3" xfId="0"/>
    <cellStyle name="Calculation 9 3 2" xfId="0"/>
    <cellStyle name="Calculation 9 3 2 2" xfId="0"/>
    <cellStyle name="Calculation 9 3 2 2 2" xfId="0"/>
    <cellStyle name="Calculation 9 3 2 2 3" xfId="0"/>
    <cellStyle name="Calculation 9 3 2 3" xfId="0"/>
    <cellStyle name="Calculation 9 3 2 4" xfId="0"/>
    <cellStyle name="Calculation 9 3 3" xfId="0"/>
    <cellStyle name="Calculation 9 3 3 2" xfId="0"/>
    <cellStyle name="Calculation 9 3 3 3" xfId="0"/>
    <cellStyle name="Calculation 9 3 4" xfId="0"/>
    <cellStyle name="Calculation 9 3 5" xfId="0"/>
    <cellStyle name="Calculation 9 4" xfId="0"/>
    <cellStyle name="Calculation 9 4 2" xfId="0"/>
    <cellStyle name="Calculation 9 4 2 2" xfId="0"/>
    <cellStyle name="Calculation 9 4 2 2 2" xfId="0"/>
    <cellStyle name="Calculation 9 4 2 2 3" xfId="0"/>
    <cellStyle name="Calculation 9 4 2 3" xfId="0"/>
    <cellStyle name="Calculation 9 4 2 4" xfId="0"/>
    <cellStyle name="Calculation 9 4 3" xfId="0"/>
    <cellStyle name="Calculation 9 4 3 2" xfId="0"/>
    <cellStyle name="Calculation 9 4 3 3" xfId="0"/>
    <cellStyle name="Calculation 9 4 4" xfId="0"/>
    <cellStyle name="Calculation 9 4 5" xfId="0"/>
    <cellStyle name="Calculation 9 5" xfId="0"/>
    <cellStyle name="Calculation 9 5 2" xfId="0"/>
    <cellStyle name="Calculation 9 5 3" xfId="0"/>
    <cellStyle name="Calculation 9 6" xfId="0"/>
    <cellStyle name="Calculation 9 7" xfId="0"/>
    <cellStyle name="Check Cell" xfId="0"/>
    <cellStyle name="Check Cell 2" xfId="0"/>
    <cellStyle name="Comma [0]_0_Cash" xfId="0"/>
    <cellStyle name="Comma_0_Cash" xfId="0"/>
    <cellStyle name="Currency [0]_0_Cash" xfId="0"/>
    <cellStyle name="Currency_0_Cash" xfId="0"/>
    <cellStyle name="Data" xfId="0"/>
    <cellStyle name="Data 1" xfId="0"/>
    <cellStyle name="Data 1 2" xfId="0"/>
    <cellStyle name="Data 2" xfId="0"/>
    <cellStyle name="Data 2 2" xfId="0"/>
    <cellStyle name="Data 3" xfId="0"/>
    <cellStyle name="Data 3 2" xfId="0"/>
    <cellStyle name="Data_АГМ" xfId="0"/>
    <cellStyle name="DataBold" xfId="0"/>
    <cellStyle name="DataBold 1" xfId="0"/>
    <cellStyle name="DataBold 1 2" xfId="0"/>
    <cellStyle name="DataBold 2" xfId="0"/>
    <cellStyle name="DataBold 2 2" xfId="0"/>
    <cellStyle name="DataBold 3" xfId="0"/>
    <cellStyle name="DataBold 3 2" xfId="0"/>
    <cellStyle name="DataBold 4" xfId="0"/>
    <cellStyle name="DataBold_АГМ" xfId="0"/>
    <cellStyle name="date" xfId="0"/>
    <cellStyle name="date 1" xfId="0"/>
    <cellStyle name="date 1 2" xfId="0"/>
    <cellStyle name="date 2" xfId="0"/>
    <cellStyle name="date 2 2" xfId="0"/>
    <cellStyle name="date 3" xfId="0"/>
    <cellStyle name="date 3 2" xfId="0"/>
    <cellStyle name="date 4" xfId="0"/>
    <cellStyle name="date_АГМ" xfId="0"/>
    <cellStyle name="E&amp;Y House" xfId="0"/>
    <cellStyle name="E&amp;Y House 1" xfId="0"/>
    <cellStyle name="E&amp;Y House 2" xfId="0"/>
    <cellStyle name="E&amp;Y House 3" xfId="0"/>
    <cellStyle name="E&amp;Y House_АГМ" xfId="0"/>
    <cellStyle name="Euro" xfId="0"/>
    <cellStyle name="Euro 1" xfId="0"/>
    <cellStyle name="Euro 1 2" xfId="0"/>
    <cellStyle name="Euro 2" xfId="0"/>
    <cellStyle name="Euro 2 2" xfId="0"/>
    <cellStyle name="Euro 2 3" xfId="0"/>
    <cellStyle name="Euro 3" xfId="0"/>
    <cellStyle name="Euro 3 2" xfId="0"/>
    <cellStyle name="Euro 4" xfId="0"/>
    <cellStyle name="Euro_АГМ" xfId="0"/>
    <cellStyle name="Explanatory Text" xfId="0"/>
    <cellStyle name="Followed Hyperlink_Draft-forms" xfId="0"/>
    <cellStyle name="Good 2" xfId="0"/>
    <cellStyle name="Good 3" xfId="0"/>
    <cellStyle name="Header1" xfId="0"/>
    <cellStyle name="Header1 1" xfId="0"/>
    <cellStyle name="Header1 1 10" xfId="0"/>
    <cellStyle name="Header1 1 10 2" xfId="0"/>
    <cellStyle name="Header1 1 10 2 2" xfId="0"/>
    <cellStyle name="Header1 1 10 2 3" xfId="0"/>
    <cellStyle name="Header1 1 10 3" xfId="0"/>
    <cellStyle name="Header1 1 10 4" xfId="0"/>
    <cellStyle name="Header1 1 11" xfId="0"/>
    <cellStyle name="Header1 1 11 2" xfId="0"/>
    <cellStyle name="Header1 1 11 2 2" xfId="0"/>
    <cellStyle name="Header1 1 11 2 3" xfId="0"/>
    <cellStyle name="Header1 1 11 3" xfId="0"/>
    <cellStyle name="Header1 1 11 4" xfId="0"/>
    <cellStyle name="Header1 1 12" xfId="0"/>
    <cellStyle name="Header1 1 12 2" xfId="0"/>
    <cellStyle name="Header1 1 12 2 2" xfId="0"/>
    <cellStyle name="Header1 1 12 2 3" xfId="0"/>
    <cellStyle name="Header1 1 12 3" xfId="0"/>
    <cellStyle name="Header1 1 12 4" xfId="0"/>
    <cellStyle name="Header1 1 13" xfId="0"/>
    <cellStyle name="Header1 1 13 2" xfId="0"/>
    <cellStyle name="Header1 1 13 2 2" xfId="0"/>
    <cellStyle name="Header1 1 13 2 3" xfId="0"/>
    <cellStyle name="Header1 1 13 3" xfId="0"/>
    <cellStyle name="Header1 1 13 4" xfId="0"/>
    <cellStyle name="Header1 1 14" xfId="0"/>
    <cellStyle name="Header1 1 14 2" xfId="0"/>
    <cellStyle name="Header1 1 14 2 2" xfId="0"/>
    <cellStyle name="Header1 1 14 2 3" xfId="0"/>
    <cellStyle name="Header1 1 14 3" xfId="0"/>
    <cellStyle name="Header1 1 14 4" xfId="0"/>
    <cellStyle name="Header1 1 15" xfId="0"/>
    <cellStyle name="Header1 1 15 2" xfId="0"/>
    <cellStyle name="Header1 1 15 2 2" xfId="0"/>
    <cellStyle name="Header1 1 15 2 3" xfId="0"/>
    <cellStyle name="Header1 1 15 3" xfId="0"/>
    <cellStyle name="Header1 1 15 4" xfId="0"/>
    <cellStyle name="Header1 1 16" xfId="0"/>
    <cellStyle name="Header1 1 16 2" xfId="0"/>
    <cellStyle name="Header1 1 16 2 2" xfId="0"/>
    <cellStyle name="Header1 1 16 2 3" xfId="0"/>
    <cellStyle name="Header1 1 16 3" xfId="0"/>
    <cellStyle name="Header1 1 16 4" xfId="0"/>
    <cellStyle name="Header1 1 17" xfId="0"/>
    <cellStyle name="Header1 1 17 2" xfId="0"/>
    <cellStyle name="Header1 1 17 2 2" xfId="0"/>
    <cellStyle name="Header1 1 17 2 3" xfId="0"/>
    <cellStyle name="Header1 1 17 3" xfId="0"/>
    <cellStyle name="Header1 1 17 4" xfId="0"/>
    <cellStyle name="Header1 1 18" xfId="0"/>
    <cellStyle name="Header1 1 18 2" xfId="0"/>
    <cellStyle name="Header1 1 18 2 2" xfId="0"/>
    <cellStyle name="Header1 1 18 2 3" xfId="0"/>
    <cellStyle name="Header1 1 18 3" xfId="0"/>
    <cellStyle name="Header1 1 18 4" xfId="0"/>
    <cellStyle name="Header1 1 19" xfId="0"/>
    <cellStyle name="Header1 1 19 2" xfId="0"/>
    <cellStyle name="Header1 1 19 2 2" xfId="0"/>
    <cellStyle name="Header1 1 19 2 3" xfId="0"/>
    <cellStyle name="Header1 1 19 3" xfId="0"/>
    <cellStyle name="Header1 1 19 4" xfId="0"/>
    <cellStyle name="Header1 1 2" xfId="0"/>
    <cellStyle name="Header1 1 2 10" xfId="0"/>
    <cellStyle name="Header1 1 2 11" xfId="0"/>
    <cellStyle name="Header1 1 2 2" xfId="0"/>
    <cellStyle name="Header1 1 2 2 2" xfId="0"/>
    <cellStyle name="Header1 1 2 2 3" xfId="0"/>
    <cellStyle name="Header1 1 2 3" xfId="0"/>
    <cellStyle name="Header1 1 2 3 2" xfId="0"/>
    <cellStyle name="Header1 1 2 3 3" xfId="0"/>
    <cellStyle name="Header1 1 2 4" xfId="0"/>
    <cellStyle name="Header1 1 2 4 2" xfId="0"/>
    <cellStyle name="Header1 1 2 4 3" xfId="0"/>
    <cellStyle name="Header1 1 2 5" xfId="0"/>
    <cellStyle name="Header1 1 2 5 2" xfId="0"/>
    <cellStyle name="Header1 1 2 5 3" xfId="0"/>
    <cellStyle name="Header1 1 2 6" xfId="0"/>
    <cellStyle name="Header1 1 2 6 2" xfId="0"/>
    <cellStyle name="Header1 1 2 6 3" xfId="0"/>
    <cellStyle name="Header1 1 2 7" xfId="0"/>
    <cellStyle name="Header1 1 2 7 2" xfId="0"/>
    <cellStyle name="Header1 1 2 7 3" xfId="0"/>
    <cellStyle name="Header1 1 2 8" xfId="0"/>
    <cellStyle name="Header1 1 2 8 2" xfId="0"/>
    <cellStyle name="Header1 1 2 8 3" xfId="0"/>
    <cellStyle name="Header1 1 2 9" xfId="0"/>
    <cellStyle name="Header1 1 2 9 2" xfId="0"/>
    <cellStyle name="Header1 1 2 9 3" xfId="0"/>
    <cellStyle name="Header1 1 20" xfId="0"/>
    <cellStyle name="Header1 1 20 2" xfId="0"/>
    <cellStyle name="Header1 1 20 2 2" xfId="0"/>
    <cellStyle name="Header1 1 20 2 3" xfId="0"/>
    <cellStyle name="Header1 1 20 3" xfId="0"/>
    <cellStyle name="Header1 1 20 4" xfId="0"/>
    <cellStyle name="Header1 1 21" xfId="0"/>
    <cellStyle name="Header1 1 21 2" xfId="0"/>
    <cellStyle name="Header1 1 21 2 2" xfId="0"/>
    <cellStyle name="Header1 1 21 2 3" xfId="0"/>
    <cellStyle name="Header1 1 21 3" xfId="0"/>
    <cellStyle name="Header1 1 21 4" xfId="0"/>
    <cellStyle name="Header1 1 22" xfId="0"/>
    <cellStyle name="Header1 1 22 2" xfId="0"/>
    <cellStyle name="Header1 1 22 2 2" xfId="0"/>
    <cellStyle name="Header1 1 22 2 3" xfId="0"/>
    <cellStyle name="Header1 1 22 3" xfId="0"/>
    <cellStyle name="Header1 1 22 4" xfId="0"/>
    <cellStyle name="Header1 1 23" xfId="0"/>
    <cellStyle name="Header1 1 23 2" xfId="0"/>
    <cellStyle name="Header1 1 23 3" xfId="0"/>
    <cellStyle name="Header1 1 24" xfId="0"/>
    <cellStyle name="Header1 1 24 2" xfId="0"/>
    <cellStyle name="Header1 1 24 3" xfId="0"/>
    <cellStyle name="Header1 1 25" xfId="0"/>
    <cellStyle name="Header1 1 3" xfId="0"/>
    <cellStyle name="Header1 1 3 10" xfId="0"/>
    <cellStyle name="Header1 1 3 2" xfId="0"/>
    <cellStyle name="Header1 1 3 2 2" xfId="0"/>
    <cellStyle name="Header1 1 3 2 3" xfId="0"/>
    <cellStyle name="Header1 1 3 3" xfId="0"/>
    <cellStyle name="Header1 1 3 3 2" xfId="0"/>
    <cellStyle name="Header1 1 3 3 3" xfId="0"/>
    <cellStyle name="Header1 1 3 4" xfId="0"/>
    <cellStyle name="Header1 1 3 4 2" xfId="0"/>
    <cellStyle name="Header1 1 3 4 3" xfId="0"/>
    <cellStyle name="Header1 1 3 5" xfId="0"/>
    <cellStyle name="Header1 1 3 5 2" xfId="0"/>
    <cellStyle name="Header1 1 3 5 3" xfId="0"/>
    <cellStyle name="Header1 1 3 6" xfId="0"/>
    <cellStyle name="Header1 1 3 6 2" xfId="0"/>
    <cellStyle name="Header1 1 3 6 3" xfId="0"/>
    <cellStyle name="Header1 1 3 7" xfId="0"/>
    <cellStyle name="Header1 1 3 7 2" xfId="0"/>
    <cellStyle name="Header1 1 3 7 3" xfId="0"/>
    <cellStyle name="Header1 1 3 8" xfId="0"/>
    <cellStyle name="Header1 1 3 8 2" xfId="0"/>
    <cellStyle name="Header1 1 3 8 3" xfId="0"/>
    <cellStyle name="Header1 1 3 9" xfId="0"/>
    <cellStyle name="Header1 1 4" xfId="0"/>
    <cellStyle name="Header1 1 4 2" xfId="0"/>
    <cellStyle name="Header1 1 4 2 2" xfId="0"/>
    <cellStyle name="Header1 1 4 2 3" xfId="0"/>
    <cellStyle name="Header1 1 4 3" xfId="0"/>
    <cellStyle name="Header1 1 4 4" xfId="0"/>
    <cellStyle name="Header1 1 5" xfId="0"/>
    <cellStyle name="Header1 1 5 2" xfId="0"/>
    <cellStyle name="Header1 1 5 2 2" xfId="0"/>
    <cellStyle name="Header1 1 5 2 3" xfId="0"/>
    <cellStyle name="Header1 1 5 3" xfId="0"/>
    <cellStyle name="Header1 1 5 4" xfId="0"/>
    <cellStyle name="Header1 1 6" xfId="0"/>
    <cellStyle name="Header1 1 6 2" xfId="0"/>
    <cellStyle name="Header1 1 6 2 2" xfId="0"/>
    <cellStyle name="Header1 1 6 2 3" xfId="0"/>
    <cellStyle name="Header1 1 6 3" xfId="0"/>
    <cellStyle name="Header1 1 6 4" xfId="0"/>
    <cellStyle name="Header1 1 7" xfId="0"/>
    <cellStyle name="Header1 1 7 2" xfId="0"/>
    <cellStyle name="Header1 1 7 2 2" xfId="0"/>
    <cellStyle name="Header1 1 7 2 3" xfId="0"/>
    <cellStyle name="Header1 1 7 3" xfId="0"/>
    <cellStyle name="Header1 1 7 4" xfId="0"/>
    <cellStyle name="Header1 1 8" xfId="0"/>
    <cellStyle name="Header1 1 8 2" xfId="0"/>
    <cellStyle name="Header1 1 8 2 2" xfId="0"/>
    <cellStyle name="Header1 1 8 2 3" xfId="0"/>
    <cellStyle name="Header1 1 8 3" xfId="0"/>
    <cellStyle name="Header1 1 8 4" xfId="0"/>
    <cellStyle name="Header1 1 9" xfId="0"/>
    <cellStyle name="Header1 1 9 2" xfId="0"/>
    <cellStyle name="Header1 1 9 2 2" xfId="0"/>
    <cellStyle name="Header1 1 9 2 3" xfId="0"/>
    <cellStyle name="Header1 1 9 3" xfId="0"/>
    <cellStyle name="Header1 1 9 4" xfId="0"/>
    <cellStyle name="Header1 10" xfId="0"/>
    <cellStyle name="Header1 10 2" xfId="0"/>
    <cellStyle name="Header1 10 2 2" xfId="0"/>
    <cellStyle name="Header1 10 2 3" xfId="0"/>
    <cellStyle name="Header1 10 3" xfId="0"/>
    <cellStyle name="Header1 10 4" xfId="0"/>
    <cellStyle name="Header1 11" xfId="0"/>
    <cellStyle name="Header1 11 2" xfId="0"/>
    <cellStyle name="Header1 11 2 2" xfId="0"/>
    <cellStyle name="Header1 11 2 3" xfId="0"/>
    <cellStyle name="Header1 11 3" xfId="0"/>
    <cellStyle name="Header1 11 4" xfId="0"/>
    <cellStyle name="Header1 12" xfId="0"/>
    <cellStyle name="Header1 12 2" xfId="0"/>
    <cellStyle name="Header1 12 2 2" xfId="0"/>
    <cellStyle name="Header1 12 2 3" xfId="0"/>
    <cellStyle name="Header1 12 3" xfId="0"/>
    <cellStyle name="Header1 12 4" xfId="0"/>
    <cellStyle name="Header1 13" xfId="0"/>
    <cellStyle name="Header1 13 2" xfId="0"/>
    <cellStyle name="Header1 13 2 2" xfId="0"/>
    <cellStyle name="Header1 13 2 3" xfId="0"/>
    <cellStyle name="Header1 13 3" xfId="0"/>
    <cellStyle name="Header1 13 4" xfId="0"/>
    <cellStyle name="Header1 14" xfId="0"/>
    <cellStyle name="Header1 14 2" xfId="0"/>
    <cellStyle name="Header1 14 2 2" xfId="0"/>
    <cellStyle name="Header1 14 2 3" xfId="0"/>
    <cellStyle name="Header1 14 3" xfId="0"/>
    <cellStyle name="Header1 14 4" xfId="0"/>
    <cellStyle name="Header1 15" xfId="0"/>
    <cellStyle name="Header1 15 2" xfId="0"/>
    <cellStyle name="Header1 15 2 2" xfId="0"/>
    <cellStyle name="Header1 15 2 3" xfId="0"/>
    <cellStyle name="Header1 15 3" xfId="0"/>
    <cellStyle name="Header1 15 4" xfId="0"/>
    <cellStyle name="Header1 16" xfId="0"/>
    <cellStyle name="Header1 16 2" xfId="0"/>
    <cellStyle name="Header1 16 2 2" xfId="0"/>
    <cellStyle name="Header1 16 2 3" xfId="0"/>
    <cellStyle name="Header1 16 3" xfId="0"/>
    <cellStyle name="Header1 16 4" xfId="0"/>
    <cellStyle name="Header1 17" xfId="0"/>
    <cellStyle name="Header1 17 2" xfId="0"/>
    <cellStyle name="Header1 17 2 2" xfId="0"/>
    <cellStyle name="Header1 17 2 3" xfId="0"/>
    <cellStyle name="Header1 17 3" xfId="0"/>
    <cellStyle name="Header1 17 4" xfId="0"/>
    <cellStyle name="Header1 18" xfId="0"/>
    <cellStyle name="Header1 18 2" xfId="0"/>
    <cellStyle name="Header1 18 2 2" xfId="0"/>
    <cellStyle name="Header1 18 2 3" xfId="0"/>
    <cellStyle name="Header1 18 3" xfId="0"/>
    <cellStyle name="Header1 18 4" xfId="0"/>
    <cellStyle name="Header1 19" xfId="0"/>
    <cellStyle name="Header1 19 2" xfId="0"/>
    <cellStyle name="Header1 19 2 2" xfId="0"/>
    <cellStyle name="Header1 19 2 3" xfId="0"/>
    <cellStyle name="Header1 19 3" xfId="0"/>
    <cellStyle name="Header1 19 4" xfId="0"/>
    <cellStyle name="Header1 2" xfId="0"/>
    <cellStyle name="Header1 2 10" xfId="0"/>
    <cellStyle name="Header1 2 10 2" xfId="0"/>
    <cellStyle name="Header1 2 10 2 2" xfId="0"/>
    <cellStyle name="Header1 2 10 2 3" xfId="0"/>
    <cellStyle name="Header1 2 10 3" xfId="0"/>
    <cellStyle name="Header1 2 10 4" xfId="0"/>
    <cellStyle name="Header1 2 11" xfId="0"/>
    <cellStyle name="Header1 2 11 2" xfId="0"/>
    <cellStyle name="Header1 2 11 2 2" xfId="0"/>
    <cellStyle name="Header1 2 11 2 3" xfId="0"/>
    <cellStyle name="Header1 2 11 3" xfId="0"/>
    <cellStyle name="Header1 2 11 4" xfId="0"/>
    <cellStyle name="Header1 2 12" xfId="0"/>
    <cellStyle name="Header1 2 12 2" xfId="0"/>
    <cellStyle name="Header1 2 12 2 2" xfId="0"/>
    <cellStyle name="Header1 2 12 2 3" xfId="0"/>
    <cellStyle name="Header1 2 12 3" xfId="0"/>
    <cellStyle name="Header1 2 12 4" xfId="0"/>
    <cellStyle name="Header1 2 13" xfId="0"/>
    <cellStyle name="Header1 2 13 2" xfId="0"/>
    <cellStyle name="Header1 2 13 2 2" xfId="0"/>
    <cellStyle name="Header1 2 13 2 3" xfId="0"/>
    <cellStyle name="Header1 2 13 3" xfId="0"/>
    <cellStyle name="Header1 2 13 4" xfId="0"/>
    <cellStyle name="Header1 2 14" xfId="0"/>
    <cellStyle name="Header1 2 14 2" xfId="0"/>
    <cellStyle name="Header1 2 14 2 2" xfId="0"/>
    <cellStyle name="Header1 2 14 2 3" xfId="0"/>
    <cellStyle name="Header1 2 14 3" xfId="0"/>
    <cellStyle name="Header1 2 14 4" xfId="0"/>
    <cellStyle name="Header1 2 15" xfId="0"/>
    <cellStyle name="Header1 2 15 2" xfId="0"/>
    <cellStyle name="Header1 2 15 2 2" xfId="0"/>
    <cellStyle name="Header1 2 15 2 3" xfId="0"/>
    <cellStyle name="Header1 2 15 3" xfId="0"/>
    <cellStyle name="Header1 2 15 4" xfId="0"/>
    <cellStyle name="Header1 2 16" xfId="0"/>
    <cellStyle name="Header1 2 16 2" xfId="0"/>
    <cellStyle name="Header1 2 16 2 2" xfId="0"/>
    <cellStyle name="Header1 2 16 2 3" xfId="0"/>
    <cellStyle name="Header1 2 16 3" xfId="0"/>
    <cellStyle name="Header1 2 16 4" xfId="0"/>
    <cellStyle name="Header1 2 17" xfId="0"/>
    <cellStyle name="Header1 2 17 2" xfId="0"/>
    <cellStyle name="Header1 2 17 2 2" xfId="0"/>
    <cellStyle name="Header1 2 17 2 3" xfId="0"/>
    <cellStyle name="Header1 2 17 3" xfId="0"/>
    <cellStyle name="Header1 2 17 4" xfId="0"/>
    <cellStyle name="Header1 2 18" xfId="0"/>
    <cellStyle name="Header1 2 18 2" xfId="0"/>
    <cellStyle name="Header1 2 18 2 2" xfId="0"/>
    <cellStyle name="Header1 2 18 2 3" xfId="0"/>
    <cellStyle name="Header1 2 18 3" xfId="0"/>
    <cellStyle name="Header1 2 18 4" xfId="0"/>
    <cellStyle name="Header1 2 19" xfId="0"/>
    <cellStyle name="Header1 2 19 2" xfId="0"/>
    <cellStyle name="Header1 2 19 2 2" xfId="0"/>
    <cellStyle name="Header1 2 19 2 3" xfId="0"/>
    <cellStyle name="Header1 2 19 3" xfId="0"/>
    <cellStyle name="Header1 2 19 4" xfId="0"/>
    <cellStyle name="Header1 2 2" xfId="0"/>
    <cellStyle name="Header1 2 2 10" xfId="0"/>
    <cellStyle name="Header1 2 2 11" xfId="0"/>
    <cellStyle name="Header1 2 2 2" xfId="0"/>
    <cellStyle name="Header1 2 2 2 2" xfId="0"/>
    <cellStyle name="Header1 2 2 2 3" xfId="0"/>
    <cellStyle name="Header1 2 2 3" xfId="0"/>
    <cellStyle name="Header1 2 2 3 2" xfId="0"/>
    <cellStyle name="Header1 2 2 3 3" xfId="0"/>
    <cellStyle name="Header1 2 2 4" xfId="0"/>
    <cellStyle name="Header1 2 2 4 2" xfId="0"/>
    <cellStyle name="Header1 2 2 4 3" xfId="0"/>
    <cellStyle name="Header1 2 2 5" xfId="0"/>
    <cellStyle name="Header1 2 2 5 2" xfId="0"/>
    <cellStyle name="Header1 2 2 5 3" xfId="0"/>
    <cellStyle name="Header1 2 2 6" xfId="0"/>
    <cellStyle name="Header1 2 2 6 2" xfId="0"/>
    <cellStyle name="Header1 2 2 6 3" xfId="0"/>
    <cellStyle name="Header1 2 2 7" xfId="0"/>
    <cellStyle name="Header1 2 2 7 2" xfId="0"/>
    <cellStyle name="Header1 2 2 7 3" xfId="0"/>
    <cellStyle name="Header1 2 2 8" xfId="0"/>
    <cellStyle name="Header1 2 2 8 2" xfId="0"/>
    <cellStyle name="Header1 2 2 8 3" xfId="0"/>
    <cellStyle name="Header1 2 2 9" xfId="0"/>
    <cellStyle name="Header1 2 2 9 2" xfId="0"/>
    <cellStyle name="Header1 2 2 9 3" xfId="0"/>
    <cellStyle name="Header1 2 20" xfId="0"/>
    <cellStyle name="Header1 2 20 2" xfId="0"/>
    <cellStyle name="Header1 2 20 2 2" xfId="0"/>
    <cellStyle name="Header1 2 20 2 3" xfId="0"/>
    <cellStyle name="Header1 2 20 3" xfId="0"/>
    <cellStyle name="Header1 2 20 4" xfId="0"/>
    <cellStyle name="Header1 2 21" xfId="0"/>
    <cellStyle name="Header1 2 21 2" xfId="0"/>
    <cellStyle name="Header1 2 21 2 2" xfId="0"/>
    <cellStyle name="Header1 2 21 2 3" xfId="0"/>
    <cellStyle name="Header1 2 21 3" xfId="0"/>
    <cellStyle name="Header1 2 21 4" xfId="0"/>
    <cellStyle name="Header1 2 22" xfId="0"/>
    <cellStyle name="Header1 2 22 2" xfId="0"/>
    <cellStyle name="Header1 2 22 2 2" xfId="0"/>
    <cellStyle name="Header1 2 22 2 3" xfId="0"/>
    <cellStyle name="Header1 2 22 3" xfId="0"/>
    <cellStyle name="Header1 2 22 4" xfId="0"/>
    <cellStyle name="Header1 2 23" xfId="0"/>
    <cellStyle name="Header1 2 23 2" xfId="0"/>
    <cellStyle name="Header1 2 23 3" xfId="0"/>
    <cellStyle name="Header1 2 24" xfId="0"/>
    <cellStyle name="Header1 2 24 2" xfId="0"/>
    <cellStyle name="Header1 2 24 3" xfId="0"/>
    <cellStyle name="Header1 2 25" xfId="0"/>
    <cellStyle name="Header1 2 3" xfId="0"/>
    <cellStyle name="Header1 2 3 10" xfId="0"/>
    <cellStyle name="Header1 2 3 2" xfId="0"/>
    <cellStyle name="Header1 2 3 2 2" xfId="0"/>
    <cellStyle name="Header1 2 3 2 3" xfId="0"/>
    <cellStyle name="Header1 2 3 3" xfId="0"/>
    <cellStyle name="Header1 2 3 3 2" xfId="0"/>
    <cellStyle name="Header1 2 3 3 3" xfId="0"/>
    <cellStyle name="Header1 2 3 4" xfId="0"/>
    <cellStyle name="Header1 2 3 4 2" xfId="0"/>
    <cellStyle name="Header1 2 3 4 3" xfId="0"/>
    <cellStyle name="Header1 2 3 5" xfId="0"/>
    <cellStyle name="Header1 2 3 5 2" xfId="0"/>
    <cellStyle name="Header1 2 3 5 3" xfId="0"/>
    <cellStyle name="Header1 2 3 6" xfId="0"/>
    <cellStyle name="Header1 2 3 6 2" xfId="0"/>
    <cellStyle name="Header1 2 3 6 3" xfId="0"/>
    <cellStyle name="Header1 2 3 7" xfId="0"/>
    <cellStyle name="Header1 2 3 7 2" xfId="0"/>
    <cellStyle name="Header1 2 3 7 3" xfId="0"/>
    <cellStyle name="Header1 2 3 8" xfId="0"/>
    <cellStyle name="Header1 2 3 8 2" xfId="0"/>
    <cellStyle name="Header1 2 3 8 3" xfId="0"/>
    <cellStyle name="Header1 2 3 9" xfId="0"/>
    <cellStyle name="Header1 2 4" xfId="0"/>
    <cellStyle name="Header1 2 4 2" xfId="0"/>
    <cellStyle name="Header1 2 4 2 2" xfId="0"/>
    <cellStyle name="Header1 2 4 2 3" xfId="0"/>
    <cellStyle name="Header1 2 4 3" xfId="0"/>
    <cellStyle name="Header1 2 4 4" xfId="0"/>
    <cellStyle name="Header1 2 5" xfId="0"/>
    <cellStyle name="Header1 2 5 2" xfId="0"/>
    <cellStyle name="Header1 2 5 2 2" xfId="0"/>
    <cellStyle name="Header1 2 5 2 3" xfId="0"/>
    <cellStyle name="Header1 2 5 3" xfId="0"/>
    <cellStyle name="Header1 2 5 4" xfId="0"/>
    <cellStyle name="Header1 2 6" xfId="0"/>
    <cellStyle name="Header1 2 6 2" xfId="0"/>
    <cellStyle name="Header1 2 6 2 2" xfId="0"/>
    <cellStyle name="Header1 2 6 2 3" xfId="0"/>
    <cellStyle name="Header1 2 6 3" xfId="0"/>
    <cellStyle name="Header1 2 6 4" xfId="0"/>
    <cellStyle name="Header1 2 7" xfId="0"/>
    <cellStyle name="Header1 2 7 2" xfId="0"/>
    <cellStyle name="Header1 2 7 2 2" xfId="0"/>
    <cellStyle name="Header1 2 7 2 3" xfId="0"/>
    <cellStyle name="Header1 2 7 3" xfId="0"/>
    <cellStyle name="Header1 2 7 4" xfId="0"/>
    <cellStyle name="Header1 2 8" xfId="0"/>
    <cellStyle name="Header1 2 8 2" xfId="0"/>
    <cellStyle name="Header1 2 8 2 2" xfId="0"/>
    <cellStyle name="Header1 2 8 2 3" xfId="0"/>
    <cellStyle name="Header1 2 8 3" xfId="0"/>
    <cellStyle name="Header1 2 8 4" xfId="0"/>
    <cellStyle name="Header1 2 9" xfId="0"/>
    <cellStyle name="Header1 2 9 2" xfId="0"/>
    <cellStyle name="Header1 2 9 2 2" xfId="0"/>
    <cellStyle name="Header1 2 9 2 3" xfId="0"/>
    <cellStyle name="Header1 2 9 3" xfId="0"/>
    <cellStyle name="Header1 2 9 4" xfId="0"/>
    <cellStyle name="Header1 20" xfId="0"/>
    <cellStyle name="Header1 20 2" xfId="0"/>
    <cellStyle name="Header1 20 2 2" xfId="0"/>
    <cellStyle name="Header1 20 2 3" xfId="0"/>
    <cellStyle name="Header1 20 3" xfId="0"/>
    <cellStyle name="Header1 20 4" xfId="0"/>
    <cellStyle name="Header1 21" xfId="0"/>
    <cellStyle name="Header1 21 2" xfId="0"/>
    <cellStyle name="Header1 21 2 2" xfId="0"/>
    <cellStyle name="Header1 21 2 3" xfId="0"/>
    <cellStyle name="Header1 21 3" xfId="0"/>
    <cellStyle name="Header1 21 4" xfId="0"/>
    <cellStyle name="Header1 22" xfId="0"/>
    <cellStyle name="Header1 22 2" xfId="0"/>
    <cellStyle name="Header1 22 2 2" xfId="0"/>
    <cellStyle name="Header1 22 2 3" xfId="0"/>
    <cellStyle name="Header1 22 3" xfId="0"/>
    <cellStyle name="Header1 22 4" xfId="0"/>
    <cellStyle name="Header1 23" xfId="0"/>
    <cellStyle name="Header1 23 2" xfId="0"/>
    <cellStyle name="Header1 23 2 2" xfId="0"/>
    <cellStyle name="Header1 23 2 3" xfId="0"/>
    <cellStyle name="Header1 23 3" xfId="0"/>
    <cellStyle name="Header1 23 4" xfId="0"/>
    <cellStyle name="Header1 24" xfId="0"/>
    <cellStyle name="Header1 24 2" xfId="0"/>
    <cellStyle name="Header1 24 2 2" xfId="0"/>
    <cellStyle name="Header1 24 2 3" xfId="0"/>
    <cellStyle name="Header1 24 3" xfId="0"/>
    <cellStyle name="Header1 24 4" xfId="0"/>
    <cellStyle name="Header1 25" xfId="0"/>
    <cellStyle name="Header1 25 2" xfId="0"/>
    <cellStyle name="Header1 25 3" xfId="0"/>
    <cellStyle name="Header1 26" xfId="0"/>
    <cellStyle name="Header1 26 2" xfId="0"/>
    <cellStyle name="Header1 26 3" xfId="0"/>
    <cellStyle name="Header1 27" xfId="0"/>
    <cellStyle name="Header1 3" xfId="0"/>
    <cellStyle name="Header1 3 10" xfId="0"/>
    <cellStyle name="Header1 3 10 2" xfId="0"/>
    <cellStyle name="Header1 3 10 2 2" xfId="0"/>
    <cellStyle name="Header1 3 10 2 3" xfId="0"/>
    <cellStyle name="Header1 3 10 3" xfId="0"/>
    <cellStyle name="Header1 3 10 4" xfId="0"/>
    <cellStyle name="Header1 3 11" xfId="0"/>
    <cellStyle name="Header1 3 11 2" xfId="0"/>
    <cellStyle name="Header1 3 11 2 2" xfId="0"/>
    <cellStyle name="Header1 3 11 2 3" xfId="0"/>
    <cellStyle name="Header1 3 11 3" xfId="0"/>
    <cellStyle name="Header1 3 11 4" xfId="0"/>
    <cellStyle name="Header1 3 12" xfId="0"/>
    <cellStyle name="Header1 3 12 2" xfId="0"/>
    <cellStyle name="Header1 3 12 2 2" xfId="0"/>
    <cellStyle name="Header1 3 12 2 3" xfId="0"/>
    <cellStyle name="Header1 3 12 3" xfId="0"/>
    <cellStyle name="Header1 3 12 4" xfId="0"/>
    <cellStyle name="Header1 3 13" xfId="0"/>
    <cellStyle name="Header1 3 13 2" xfId="0"/>
    <cellStyle name="Header1 3 13 2 2" xfId="0"/>
    <cellStyle name="Header1 3 13 2 3" xfId="0"/>
    <cellStyle name="Header1 3 13 3" xfId="0"/>
    <cellStyle name="Header1 3 13 4" xfId="0"/>
    <cellStyle name="Header1 3 14" xfId="0"/>
    <cellStyle name="Header1 3 14 2" xfId="0"/>
    <cellStyle name="Header1 3 14 2 2" xfId="0"/>
    <cellStyle name="Header1 3 14 2 3" xfId="0"/>
    <cellStyle name="Header1 3 14 3" xfId="0"/>
    <cellStyle name="Header1 3 14 4" xfId="0"/>
    <cellStyle name="Header1 3 15" xfId="0"/>
    <cellStyle name="Header1 3 15 2" xfId="0"/>
    <cellStyle name="Header1 3 15 2 2" xfId="0"/>
    <cellStyle name="Header1 3 15 2 3" xfId="0"/>
    <cellStyle name="Header1 3 15 3" xfId="0"/>
    <cellStyle name="Header1 3 15 4" xfId="0"/>
    <cellStyle name="Header1 3 16" xfId="0"/>
    <cellStyle name="Header1 3 16 2" xfId="0"/>
    <cellStyle name="Header1 3 16 2 2" xfId="0"/>
    <cellStyle name="Header1 3 16 2 3" xfId="0"/>
    <cellStyle name="Header1 3 16 3" xfId="0"/>
    <cellStyle name="Header1 3 16 4" xfId="0"/>
    <cellStyle name="Header1 3 17" xfId="0"/>
    <cellStyle name="Header1 3 17 2" xfId="0"/>
    <cellStyle name="Header1 3 17 2 2" xfId="0"/>
    <cellStyle name="Header1 3 17 2 3" xfId="0"/>
    <cellStyle name="Header1 3 17 3" xfId="0"/>
    <cellStyle name="Header1 3 17 4" xfId="0"/>
    <cellStyle name="Header1 3 18" xfId="0"/>
    <cellStyle name="Header1 3 18 2" xfId="0"/>
    <cellStyle name="Header1 3 18 2 2" xfId="0"/>
    <cellStyle name="Header1 3 18 2 3" xfId="0"/>
    <cellStyle name="Header1 3 18 3" xfId="0"/>
    <cellStyle name="Header1 3 18 4" xfId="0"/>
    <cellStyle name="Header1 3 19" xfId="0"/>
    <cellStyle name="Header1 3 19 2" xfId="0"/>
    <cellStyle name="Header1 3 19 2 2" xfId="0"/>
    <cellStyle name="Header1 3 19 2 3" xfId="0"/>
    <cellStyle name="Header1 3 19 3" xfId="0"/>
    <cellStyle name="Header1 3 19 4" xfId="0"/>
    <cellStyle name="Header1 3 2" xfId="0"/>
    <cellStyle name="Header1 3 2 10" xfId="0"/>
    <cellStyle name="Header1 3 2 11" xfId="0"/>
    <cellStyle name="Header1 3 2 2" xfId="0"/>
    <cellStyle name="Header1 3 2 2 2" xfId="0"/>
    <cellStyle name="Header1 3 2 2 3" xfId="0"/>
    <cellStyle name="Header1 3 2 3" xfId="0"/>
    <cellStyle name="Header1 3 2 3 2" xfId="0"/>
    <cellStyle name="Header1 3 2 3 3" xfId="0"/>
    <cellStyle name="Header1 3 2 4" xfId="0"/>
    <cellStyle name="Header1 3 2 4 2" xfId="0"/>
    <cellStyle name="Header1 3 2 4 3" xfId="0"/>
    <cellStyle name="Header1 3 2 5" xfId="0"/>
    <cellStyle name="Header1 3 2 5 2" xfId="0"/>
    <cellStyle name="Header1 3 2 5 3" xfId="0"/>
    <cellStyle name="Header1 3 2 6" xfId="0"/>
    <cellStyle name="Header1 3 2 6 2" xfId="0"/>
    <cellStyle name="Header1 3 2 6 3" xfId="0"/>
    <cellStyle name="Header1 3 2 7" xfId="0"/>
    <cellStyle name="Header1 3 2 7 2" xfId="0"/>
    <cellStyle name="Header1 3 2 7 3" xfId="0"/>
    <cellStyle name="Header1 3 2 8" xfId="0"/>
    <cellStyle name="Header1 3 2 8 2" xfId="0"/>
    <cellStyle name="Header1 3 2 8 3" xfId="0"/>
    <cellStyle name="Header1 3 2 9" xfId="0"/>
    <cellStyle name="Header1 3 2 9 2" xfId="0"/>
    <cellStyle name="Header1 3 2 9 3" xfId="0"/>
    <cellStyle name="Header1 3 20" xfId="0"/>
    <cellStyle name="Header1 3 20 2" xfId="0"/>
    <cellStyle name="Header1 3 20 2 2" xfId="0"/>
    <cellStyle name="Header1 3 20 2 3" xfId="0"/>
    <cellStyle name="Header1 3 20 3" xfId="0"/>
    <cellStyle name="Header1 3 20 4" xfId="0"/>
    <cellStyle name="Header1 3 21" xfId="0"/>
    <cellStyle name="Header1 3 21 2" xfId="0"/>
    <cellStyle name="Header1 3 21 2 2" xfId="0"/>
    <cellStyle name="Header1 3 21 2 3" xfId="0"/>
    <cellStyle name="Header1 3 21 3" xfId="0"/>
    <cellStyle name="Header1 3 21 4" xfId="0"/>
    <cellStyle name="Header1 3 22" xfId="0"/>
    <cellStyle name="Header1 3 22 2" xfId="0"/>
    <cellStyle name="Header1 3 22 2 2" xfId="0"/>
    <cellStyle name="Header1 3 22 2 3" xfId="0"/>
    <cellStyle name="Header1 3 22 3" xfId="0"/>
    <cellStyle name="Header1 3 22 4" xfId="0"/>
    <cellStyle name="Header1 3 23" xfId="0"/>
    <cellStyle name="Header1 3 23 2" xfId="0"/>
    <cellStyle name="Header1 3 23 3" xfId="0"/>
    <cellStyle name="Header1 3 24" xfId="0"/>
    <cellStyle name="Header1 3 24 2" xfId="0"/>
    <cellStyle name="Header1 3 24 3" xfId="0"/>
    <cellStyle name="Header1 3 25" xfId="0"/>
    <cellStyle name="Header1 3 3" xfId="0"/>
    <cellStyle name="Header1 3 3 10" xfId="0"/>
    <cellStyle name="Header1 3 3 2" xfId="0"/>
    <cellStyle name="Header1 3 3 2 2" xfId="0"/>
    <cellStyle name="Header1 3 3 2 3" xfId="0"/>
    <cellStyle name="Header1 3 3 3" xfId="0"/>
    <cellStyle name="Header1 3 3 3 2" xfId="0"/>
    <cellStyle name="Header1 3 3 3 3" xfId="0"/>
    <cellStyle name="Header1 3 3 4" xfId="0"/>
    <cellStyle name="Header1 3 3 4 2" xfId="0"/>
    <cellStyle name="Header1 3 3 4 3" xfId="0"/>
    <cellStyle name="Header1 3 3 5" xfId="0"/>
    <cellStyle name="Header1 3 3 5 2" xfId="0"/>
    <cellStyle name="Header1 3 3 5 3" xfId="0"/>
    <cellStyle name="Header1 3 3 6" xfId="0"/>
    <cellStyle name="Header1 3 3 6 2" xfId="0"/>
    <cellStyle name="Header1 3 3 6 3" xfId="0"/>
    <cellStyle name="Header1 3 3 7" xfId="0"/>
    <cellStyle name="Header1 3 3 7 2" xfId="0"/>
    <cellStyle name="Header1 3 3 7 3" xfId="0"/>
    <cellStyle name="Header1 3 3 8" xfId="0"/>
    <cellStyle name="Header1 3 3 8 2" xfId="0"/>
    <cellStyle name="Header1 3 3 8 3" xfId="0"/>
    <cellStyle name="Header1 3 3 9" xfId="0"/>
    <cellStyle name="Header1 3 4" xfId="0"/>
    <cellStyle name="Header1 3 4 2" xfId="0"/>
    <cellStyle name="Header1 3 4 2 2" xfId="0"/>
    <cellStyle name="Header1 3 4 2 3" xfId="0"/>
    <cellStyle name="Header1 3 4 3" xfId="0"/>
    <cellStyle name="Header1 3 4 4" xfId="0"/>
    <cellStyle name="Header1 3 5" xfId="0"/>
    <cellStyle name="Header1 3 5 2" xfId="0"/>
    <cellStyle name="Header1 3 5 2 2" xfId="0"/>
    <cellStyle name="Header1 3 5 2 3" xfId="0"/>
    <cellStyle name="Header1 3 5 3" xfId="0"/>
    <cellStyle name="Header1 3 5 4" xfId="0"/>
    <cellStyle name="Header1 3 6" xfId="0"/>
    <cellStyle name="Header1 3 6 2" xfId="0"/>
    <cellStyle name="Header1 3 6 2 2" xfId="0"/>
    <cellStyle name="Header1 3 6 2 3" xfId="0"/>
    <cellStyle name="Header1 3 6 3" xfId="0"/>
    <cellStyle name="Header1 3 6 4" xfId="0"/>
    <cellStyle name="Header1 3 7" xfId="0"/>
    <cellStyle name="Header1 3 7 2" xfId="0"/>
    <cellStyle name="Header1 3 7 2 2" xfId="0"/>
    <cellStyle name="Header1 3 7 2 3" xfId="0"/>
    <cellStyle name="Header1 3 7 3" xfId="0"/>
    <cellStyle name="Header1 3 7 4" xfId="0"/>
    <cellStyle name="Header1 3 8" xfId="0"/>
    <cellStyle name="Header1 3 8 2" xfId="0"/>
    <cellStyle name="Header1 3 8 2 2" xfId="0"/>
    <cellStyle name="Header1 3 8 2 3" xfId="0"/>
    <cellStyle name="Header1 3 8 3" xfId="0"/>
    <cellStyle name="Header1 3 8 4" xfId="0"/>
    <cellStyle name="Header1 3 9" xfId="0"/>
    <cellStyle name="Header1 3 9 2" xfId="0"/>
    <cellStyle name="Header1 3 9 2 2" xfId="0"/>
    <cellStyle name="Header1 3 9 2 3" xfId="0"/>
    <cellStyle name="Header1 3 9 3" xfId="0"/>
    <cellStyle name="Header1 3 9 4" xfId="0"/>
    <cellStyle name="Header1 4" xfId="0"/>
    <cellStyle name="Header1 4 10" xfId="0"/>
    <cellStyle name="Header1 4 11" xfId="0"/>
    <cellStyle name="Header1 4 2" xfId="0"/>
    <cellStyle name="Header1 4 2 2" xfId="0"/>
    <cellStyle name="Header1 4 2 3" xfId="0"/>
    <cellStyle name="Header1 4 3" xfId="0"/>
    <cellStyle name="Header1 4 3 2" xfId="0"/>
    <cellStyle name="Header1 4 3 3" xfId="0"/>
    <cellStyle name="Header1 4 4" xfId="0"/>
    <cellStyle name="Header1 4 4 2" xfId="0"/>
    <cellStyle name="Header1 4 4 3" xfId="0"/>
    <cellStyle name="Header1 4 5" xfId="0"/>
    <cellStyle name="Header1 4 5 2" xfId="0"/>
    <cellStyle name="Header1 4 5 3" xfId="0"/>
    <cellStyle name="Header1 4 6" xfId="0"/>
    <cellStyle name="Header1 4 6 2" xfId="0"/>
    <cellStyle name="Header1 4 6 3" xfId="0"/>
    <cellStyle name="Header1 4 7" xfId="0"/>
    <cellStyle name="Header1 4 7 2" xfId="0"/>
    <cellStyle name="Header1 4 7 3" xfId="0"/>
    <cellStyle name="Header1 4 8" xfId="0"/>
    <cellStyle name="Header1 4 8 2" xfId="0"/>
    <cellStyle name="Header1 4 8 3" xfId="0"/>
    <cellStyle name="Header1 4 9" xfId="0"/>
    <cellStyle name="Header1 4 9 2" xfId="0"/>
    <cellStyle name="Header1 4 9 3" xfId="0"/>
    <cellStyle name="Header1 5" xfId="0"/>
    <cellStyle name="Header1 5 10" xfId="0"/>
    <cellStyle name="Header1 5 2" xfId="0"/>
    <cellStyle name="Header1 5 2 2" xfId="0"/>
    <cellStyle name="Header1 5 2 3" xfId="0"/>
    <cellStyle name="Header1 5 3" xfId="0"/>
    <cellStyle name="Header1 5 3 2" xfId="0"/>
    <cellStyle name="Header1 5 3 3" xfId="0"/>
    <cellStyle name="Header1 5 4" xfId="0"/>
    <cellStyle name="Header1 5 4 2" xfId="0"/>
    <cellStyle name="Header1 5 4 3" xfId="0"/>
    <cellStyle name="Header1 5 5" xfId="0"/>
    <cellStyle name="Header1 5 5 2" xfId="0"/>
    <cellStyle name="Header1 5 5 3" xfId="0"/>
    <cellStyle name="Header1 5 6" xfId="0"/>
    <cellStyle name="Header1 5 6 2" xfId="0"/>
    <cellStyle name="Header1 5 6 3" xfId="0"/>
    <cellStyle name="Header1 5 7" xfId="0"/>
    <cellStyle name="Header1 5 7 2" xfId="0"/>
    <cellStyle name="Header1 5 7 3" xfId="0"/>
    <cellStyle name="Header1 5 8" xfId="0"/>
    <cellStyle name="Header1 5 8 2" xfId="0"/>
    <cellStyle name="Header1 5 8 3" xfId="0"/>
    <cellStyle name="Header1 5 9" xfId="0"/>
    <cellStyle name="Header1 6" xfId="0"/>
    <cellStyle name="Header1 6 2" xfId="0"/>
    <cellStyle name="Header1 6 2 2" xfId="0"/>
    <cellStyle name="Header1 6 2 3" xfId="0"/>
    <cellStyle name="Header1 6 3" xfId="0"/>
    <cellStyle name="Header1 6 4" xfId="0"/>
    <cellStyle name="Header1 7" xfId="0"/>
    <cellStyle name="Header1 7 2" xfId="0"/>
    <cellStyle name="Header1 7 2 2" xfId="0"/>
    <cellStyle name="Header1 7 2 3" xfId="0"/>
    <cellStyle name="Header1 7 3" xfId="0"/>
    <cellStyle name="Header1 7 4" xfId="0"/>
    <cellStyle name="Header1 8" xfId="0"/>
    <cellStyle name="Header1 8 2" xfId="0"/>
    <cellStyle name="Header1 8 2 2" xfId="0"/>
    <cellStyle name="Header1 8 2 3" xfId="0"/>
    <cellStyle name="Header1 8 3" xfId="0"/>
    <cellStyle name="Header1 8 4" xfId="0"/>
    <cellStyle name="Header1 9" xfId="0"/>
    <cellStyle name="Header1 9 2" xfId="0"/>
    <cellStyle name="Header1 9 2 2" xfId="0"/>
    <cellStyle name="Header1 9 2 3" xfId="0"/>
    <cellStyle name="Header1 9 3" xfId="0"/>
    <cellStyle name="Header1 9 4" xfId="0"/>
    <cellStyle name="Header1_АГМ" xfId="0"/>
    <cellStyle name="Header2" xfId="0"/>
    <cellStyle name="Header2 1" xfId="0"/>
    <cellStyle name="Header2 1 10" xfId="0"/>
    <cellStyle name="Header2 1 10 2" xfId="0"/>
    <cellStyle name="Header2 1 10 2 2" xfId="0"/>
    <cellStyle name="Header2 1 10 2 2 2" xfId="0"/>
    <cellStyle name="Header2 1 10 2 2 2 2" xfId="0"/>
    <cellStyle name="Header2 1 10 2 2 2 3" xfId="0"/>
    <cellStyle name="Header2 1 10 2 2 3" xfId="0"/>
    <cellStyle name="Header2 1 10 2 2 4" xfId="0"/>
    <cellStyle name="Header2 1 10 2 3" xfId="0"/>
    <cellStyle name="Header2 1 10 2 3 2" xfId="0"/>
    <cellStyle name="Header2 1 10 2 3 2 2" xfId="0"/>
    <cellStyle name="Header2 1 10 2 3 2 3" xfId="0"/>
    <cellStyle name="Header2 1 10 2 3 3" xfId="0"/>
    <cellStyle name="Header2 1 10 2 3 4" xfId="0"/>
    <cellStyle name="Header2 1 10 2 4" xfId="0"/>
    <cellStyle name="Header2 1 10 2 4 2" xfId="0"/>
    <cellStyle name="Header2 1 10 2 4 3" xfId="0"/>
    <cellStyle name="Header2 1 10 2 5" xfId="0"/>
    <cellStyle name="Header2 1 10 2 6" xfId="0"/>
    <cellStyle name="Header2 1 10 3" xfId="0"/>
    <cellStyle name="Header2 1 10 3 2" xfId="0"/>
    <cellStyle name="Header2 1 10 3 2 2" xfId="0"/>
    <cellStyle name="Header2 1 10 3 2 2 2" xfId="0"/>
    <cellStyle name="Header2 1 10 3 2 2 3" xfId="0"/>
    <cellStyle name="Header2 1 10 3 2 3" xfId="0"/>
    <cellStyle name="Header2 1 10 3 2 4" xfId="0"/>
    <cellStyle name="Header2 1 10 3 3" xfId="0"/>
    <cellStyle name="Header2 1 10 3 3 2" xfId="0"/>
    <cellStyle name="Header2 1 10 3 3 3" xfId="0"/>
    <cellStyle name="Header2 1 10 3 4" xfId="0"/>
    <cellStyle name="Header2 1 10 3 5" xfId="0"/>
    <cellStyle name="Header2 1 10 4" xfId="0"/>
    <cellStyle name="Header2 1 10 4 2" xfId="0"/>
    <cellStyle name="Header2 1 10 4 2 2" xfId="0"/>
    <cellStyle name="Header2 1 10 4 2 2 2" xfId="0"/>
    <cellStyle name="Header2 1 10 4 2 2 3" xfId="0"/>
    <cellStyle name="Header2 1 10 4 2 3" xfId="0"/>
    <cellStyle name="Header2 1 10 4 2 4" xfId="0"/>
    <cellStyle name="Header2 1 10 4 3" xfId="0"/>
    <cellStyle name="Header2 1 10 4 3 2" xfId="0"/>
    <cellStyle name="Header2 1 10 4 3 3" xfId="0"/>
    <cellStyle name="Header2 1 10 4 4" xfId="0"/>
    <cellStyle name="Header2 1 10 4 5" xfId="0"/>
    <cellStyle name="Header2 1 10 5" xfId="0"/>
    <cellStyle name="Header2 1 10 5 2" xfId="0"/>
    <cellStyle name="Header2 1 10 5 3" xfId="0"/>
    <cellStyle name="Header2 1 10 6" xfId="0"/>
    <cellStyle name="Header2 1 10 7" xfId="0"/>
    <cellStyle name="Header2 1 11" xfId="0"/>
    <cellStyle name="Header2 1 11 2" xfId="0"/>
    <cellStyle name="Header2 1 11 2 2" xfId="0"/>
    <cellStyle name="Header2 1 11 2 2 2" xfId="0"/>
    <cellStyle name="Header2 1 11 2 2 2 2" xfId="0"/>
    <cellStyle name="Header2 1 11 2 2 2 3" xfId="0"/>
    <cellStyle name="Header2 1 11 2 2 3" xfId="0"/>
    <cellStyle name="Header2 1 11 2 2 4" xfId="0"/>
    <cellStyle name="Header2 1 11 2 3" xfId="0"/>
    <cellStyle name="Header2 1 11 2 3 2" xfId="0"/>
    <cellStyle name="Header2 1 11 2 3 2 2" xfId="0"/>
    <cellStyle name="Header2 1 11 2 3 2 3" xfId="0"/>
    <cellStyle name="Header2 1 11 2 3 3" xfId="0"/>
    <cellStyle name="Header2 1 11 2 3 4" xfId="0"/>
    <cellStyle name="Header2 1 11 2 4" xfId="0"/>
    <cellStyle name="Header2 1 11 2 4 2" xfId="0"/>
    <cellStyle name="Header2 1 11 2 4 3" xfId="0"/>
    <cellStyle name="Header2 1 11 2 5" xfId="0"/>
    <cellStyle name="Header2 1 11 2 6" xfId="0"/>
    <cellStyle name="Header2 1 11 3" xfId="0"/>
    <cellStyle name="Header2 1 11 3 2" xfId="0"/>
    <cellStyle name="Header2 1 11 3 2 2" xfId="0"/>
    <cellStyle name="Header2 1 11 3 2 2 2" xfId="0"/>
    <cellStyle name="Header2 1 11 3 2 2 3" xfId="0"/>
    <cellStyle name="Header2 1 11 3 2 3" xfId="0"/>
    <cellStyle name="Header2 1 11 3 2 4" xfId="0"/>
    <cellStyle name="Header2 1 11 3 3" xfId="0"/>
    <cellStyle name="Header2 1 11 3 3 2" xfId="0"/>
    <cellStyle name="Header2 1 11 3 3 3" xfId="0"/>
    <cellStyle name="Header2 1 11 3 4" xfId="0"/>
    <cellStyle name="Header2 1 11 3 5" xfId="0"/>
    <cellStyle name="Header2 1 11 4" xfId="0"/>
    <cellStyle name="Header2 1 11 4 2" xfId="0"/>
    <cellStyle name="Header2 1 11 4 2 2" xfId="0"/>
    <cellStyle name="Header2 1 11 4 2 2 2" xfId="0"/>
    <cellStyle name="Header2 1 11 4 2 2 3" xfId="0"/>
    <cellStyle name="Header2 1 11 4 2 3" xfId="0"/>
    <cellStyle name="Header2 1 11 4 2 4" xfId="0"/>
    <cellStyle name="Header2 1 11 4 3" xfId="0"/>
    <cellStyle name="Header2 1 11 4 3 2" xfId="0"/>
    <cellStyle name="Header2 1 11 4 3 3" xfId="0"/>
    <cellStyle name="Header2 1 11 4 4" xfId="0"/>
    <cellStyle name="Header2 1 11 4 5" xfId="0"/>
    <cellStyle name="Header2 1 11 5" xfId="0"/>
    <cellStyle name="Header2 1 11 5 2" xfId="0"/>
    <cellStyle name="Header2 1 11 5 3" xfId="0"/>
    <cellStyle name="Header2 1 11 6" xfId="0"/>
    <cellStyle name="Header2 1 11 7" xfId="0"/>
    <cellStyle name="Header2 1 12" xfId="0"/>
    <cellStyle name="Header2 1 12 2" xfId="0"/>
    <cellStyle name="Header2 1 12 2 2" xfId="0"/>
    <cellStyle name="Header2 1 12 2 2 2" xfId="0"/>
    <cellStyle name="Header2 1 12 2 2 2 2" xfId="0"/>
    <cellStyle name="Header2 1 12 2 2 2 3" xfId="0"/>
    <cellStyle name="Header2 1 12 2 2 3" xfId="0"/>
    <cellStyle name="Header2 1 12 2 2 4" xfId="0"/>
    <cellStyle name="Header2 1 12 2 3" xfId="0"/>
    <cellStyle name="Header2 1 12 2 3 2" xfId="0"/>
    <cellStyle name="Header2 1 12 2 3 2 2" xfId="0"/>
    <cellStyle name="Header2 1 12 2 3 2 3" xfId="0"/>
    <cellStyle name="Header2 1 12 2 3 3" xfId="0"/>
    <cellStyle name="Header2 1 12 2 3 4" xfId="0"/>
    <cellStyle name="Header2 1 12 2 4" xfId="0"/>
    <cellStyle name="Header2 1 12 2 4 2" xfId="0"/>
    <cellStyle name="Header2 1 12 2 4 3" xfId="0"/>
    <cellStyle name="Header2 1 12 2 5" xfId="0"/>
    <cellStyle name="Header2 1 12 2 6" xfId="0"/>
    <cellStyle name="Header2 1 12 3" xfId="0"/>
    <cellStyle name="Header2 1 12 3 2" xfId="0"/>
    <cellStyle name="Header2 1 12 3 2 2" xfId="0"/>
    <cellStyle name="Header2 1 12 3 2 2 2" xfId="0"/>
    <cellStyle name="Header2 1 12 3 2 2 3" xfId="0"/>
    <cellStyle name="Header2 1 12 3 2 3" xfId="0"/>
    <cellStyle name="Header2 1 12 3 2 4" xfId="0"/>
    <cellStyle name="Header2 1 12 3 3" xfId="0"/>
    <cellStyle name="Header2 1 12 3 3 2" xfId="0"/>
    <cellStyle name="Header2 1 12 3 3 3" xfId="0"/>
    <cellStyle name="Header2 1 12 3 4" xfId="0"/>
    <cellStyle name="Header2 1 12 3 5" xfId="0"/>
    <cellStyle name="Header2 1 12 4" xfId="0"/>
    <cellStyle name="Header2 1 12 4 2" xfId="0"/>
    <cellStyle name="Header2 1 12 4 2 2" xfId="0"/>
    <cellStyle name="Header2 1 12 4 2 2 2" xfId="0"/>
    <cellStyle name="Header2 1 12 4 2 2 3" xfId="0"/>
    <cellStyle name="Header2 1 12 4 2 3" xfId="0"/>
    <cellStyle name="Header2 1 12 4 2 4" xfId="0"/>
    <cellStyle name="Header2 1 12 4 3" xfId="0"/>
    <cellStyle name="Header2 1 12 4 3 2" xfId="0"/>
    <cellStyle name="Header2 1 12 4 3 3" xfId="0"/>
    <cellStyle name="Header2 1 12 4 4" xfId="0"/>
    <cellStyle name="Header2 1 12 4 5" xfId="0"/>
    <cellStyle name="Header2 1 12 5" xfId="0"/>
    <cellStyle name="Header2 1 12 5 2" xfId="0"/>
    <cellStyle name="Header2 1 12 5 3" xfId="0"/>
    <cellStyle name="Header2 1 12 6" xfId="0"/>
    <cellStyle name="Header2 1 12 7" xfId="0"/>
    <cellStyle name="Header2 1 13" xfId="0"/>
    <cellStyle name="Header2 1 13 2" xfId="0"/>
    <cellStyle name="Header2 1 13 2 2" xfId="0"/>
    <cellStyle name="Header2 1 13 2 2 2" xfId="0"/>
    <cellStyle name="Header2 1 13 2 2 2 2" xfId="0"/>
    <cellStyle name="Header2 1 13 2 2 2 3" xfId="0"/>
    <cellStyle name="Header2 1 13 2 2 3" xfId="0"/>
    <cellStyle name="Header2 1 13 2 2 4" xfId="0"/>
    <cellStyle name="Header2 1 13 2 3" xfId="0"/>
    <cellStyle name="Header2 1 13 2 3 2" xfId="0"/>
    <cellStyle name="Header2 1 13 2 3 2 2" xfId="0"/>
    <cellStyle name="Header2 1 13 2 3 2 3" xfId="0"/>
    <cellStyle name="Header2 1 13 2 3 3" xfId="0"/>
    <cellStyle name="Header2 1 13 2 3 4" xfId="0"/>
    <cellStyle name="Header2 1 13 2 4" xfId="0"/>
    <cellStyle name="Header2 1 13 2 4 2" xfId="0"/>
    <cellStyle name="Header2 1 13 2 4 3" xfId="0"/>
    <cellStyle name="Header2 1 13 2 5" xfId="0"/>
    <cellStyle name="Header2 1 13 2 6" xfId="0"/>
    <cellStyle name="Header2 1 13 3" xfId="0"/>
    <cellStyle name="Header2 1 13 3 2" xfId="0"/>
    <cellStyle name="Header2 1 13 3 2 2" xfId="0"/>
    <cellStyle name="Header2 1 13 3 2 2 2" xfId="0"/>
    <cellStyle name="Header2 1 13 3 2 2 3" xfId="0"/>
    <cellStyle name="Header2 1 13 3 2 3" xfId="0"/>
    <cellStyle name="Header2 1 13 3 2 4" xfId="0"/>
    <cellStyle name="Header2 1 13 3 3" xfId="0"/>
    <cellStyle name="Header2 1 13 3 3 2" xfId="0"/>
    <cellStyle name="Header2 1 13 3 3 3" xfId="0"/>
    <cellStyle name="Header2 1 13 3 4" xfId="0"/>
    <cellStyle name="Header2 1 13 3 5" xfId="0"/>
    <cellStyle name="Header2 1 13 4" xfId="0"/>
    <cellStyle name="Header2 1 13 4 2" xfId="0"/>
    <cellStyle name="Header2 1 13 4 2 2" xfId="0"/>
    <cellStyle name="Header2 1 13 4 2 2 2" xfId="0"/>
    <cellStyle name="Header2 1 13 4 2 2 3" xfId="0"/>
    <cellStyle name="Header2 1 13 4 2 3" xfId="0"/>
    <cellStyle name="Header2 1 13 4 2 4" xfId="0"/>
    <cellStyle name="Header2 1 13 4 3" xfId="0"/>
    <cellStyle name="Header2 1 13 4 3 2" xfId="0"/>
    <cellStyle name="Header2 1 13 4 3 3" xfId="0"/>
    <cellStyle name="Header2 1 13 4 4" xfId="0"/>
    <cellStyle name="Header2 1 13 4 5" xfId="0"/>
    <cellStyle name="Header2 1 13 5" xfId="0"/>
    <cellStyle name="Header2 1 13 5 2" xfId="0"/>
    <cellStyle name="Header2 1 13 5 3" xfId="0"/>
    <cellStyle name="Header2 1 13 6" xfId="0"/>
    <cellStyle name="Header2 1 13 7" xfId="0"/>
    <cellStyle name="Header2 1 14" xfId="0"/>
    <cellStyle name="Header2 1 14 2" xfId="0"/>
    <cellStyle name="Header2 1 14 2 2" xfId="0"/>
    <cellStyle name="Header2 1 14 2 2 2" xfId="0"/>
    <cellStyle name="Header2 1 14 2 2 2 2" xfId="0"/>
    <cellStyle name="Header2 1 14 2 2 2 3" xfId="0"/>
    <cellStyle name="Header2 1 14 2 2 3" xfId="0"/>
    <cellStyle name="Header2 1 14 2 2 4" xfId="0"/>
    <cellStyle name="Header2 1 14 2 3" xfId="0"/>
    <cellStyle name="Header2 1 14 2 3 2" xfId="0"/>
    <cellStyle name="Header2 1 14 2 3 2 2" xfId="0"/>
    <cellStyle name="Header2 1 14 2 3 2 3" xfId="0"/>
    <cellStyle name="Header2 1 14 2 3 3" xfId="0"/>
    <cellStyle name="Header2 1 14 2 3 4" xfId="0"/>
    <cellStyle name="Header2 1 14 2 4" xfId="0"/>
    <cellStyle name="Header2 1 14 2 4 2" xfId="0"/>
    <cellStyle name="Header2 1 14 2 4 3" xfId="0"/>
    <cellStyle name="Header2 1 14 2 5" xfId="0"/>
    <cellStyle name="Header2 1 14 2 6" xfId="0"/>
    <cellStyle name="Header2 1 14 3" xfId="0"/>
    <cellStyle name="Header2 1 14 3 2" xfId="0"/>
    <cellStyle name="Header2 1 14 3 2 2" xfId="0"/>
    <cellStyle name="Header2 1 14 3 2 2 2" xfId="0"/>
    <cellStyle name="Header2 1 14 3 2 2 3" xfId="0"/>
    <cellStyle name="Header2 1 14 3 2 3" xfId="0"/>
    <cellStyle name="Header2 1 14 3 2 4" xfId="0"/>
    <cellStyle name="Header2 1 14 3 3" xfId="0"/>
    <cellStyle name="Header2 1 14 3 3 2" xfId="0"/>
    <cellStyle name="Header2 1 14 3 3 3" xfId="0"/>
    <cellStyle name="Header2 1 14 3 4" xfId="0"/>
    <cellStyle name="Header2 1 14 3 5" xfId="0"/>
    <cellStyle name="Header2 1 14 4" xfId="0"/>
    <cellStyle name="Header2 1 14 4 2" xfId="0"/>
    <cellStyle name="Header2 1 14 4 2 2" xfId="0"/>
    <cellStyle name="Header2 1 14 4 2 2 2" xfId="0"/>
    <cellStyle name="Header2 1 14 4 2 2 3" xfId="0"/>
    <cellStyle name="Header2 1 14 4 2 3" xfId="0"/>
    <cellStyle name="Header2 1 14 4 2 4" xfId="0"/>
    <cellStyle name="Header2 1 14 4 3" xfId="0"/>
    <cellStyle name="Header2 1 14 4 3 2" xfId="0"/>
    <cellStyle name="Header2 1 14 4 3 3" xfId="0"/>
    <cellStyle name="Header2 1 14 4 4" xfId="0"/>
    <cellStyle name="Header2 1 14 4 5" xfId="0"/>
    <cellStyle name="Header2 1 14 5" xfId="0"/>
    <cellStyle name="Header2 1 14 5 2" xfId="0"/>
    <cellStyle name="Header2 1 14 5 3" xfId="0"/>
    <cellStyle name="Header2 1 14 6" xfId="0"/>
    <cellStyle name="Header2 1 14 7" xfId="0"/>
    <cellStyle name="Header2 1 15" xfId="0"/>
    <cellStyle name="Header2 1 15 2" xfId="0"/>
    <cellStyle name="Header2 1 15 2 2" xfId="0"/>
    <cellStyle name="Header2 1 15 2 2 2" xfId="0"/>
    <cellStyle name="Header2 1 15 2 2 2 2" xfId="0"/>
    <cellStyle name="Header2 1 15 2 2 2 3" xfId="0"/>
    <cellStyle name="Header2 1 15 2 2 3" xfId="0"/>
    <cellStyle name="Header2 1 15 2 2 4" xfId="0"/>
    <cellStyle name="Header2 1 15 2 3" xfId="0"/>
    <cellStyle name="Header2 1 15 2 3 2" xfId="0"/>
    <cellStyle name="Header2 1 15 2 3 2 2" xfId="0"/>
    <cellStyle name="Header2 1 15 2 3 2 3" xfId="0"/>
    <cellStyle name="Header2 1 15 2 3 3" xfId="0"/>
    <cellStyle name="Header2 1 15 2 3 4" xfId="0"/>
    <cellStyle name="Header2 1 15 2 4" xfId="0"/>
    <cellStyle name="Header2 1 15 2 4 2" xfId="0"/>
    <cellStyle name="Header2 1 15 2 4 3" xfId="0"/>
    <cellStyle name="Header2 1 15 2 5" xfId="0"/>
    <cellStyle name="Header2 1 15 2 6" xfId="0"/>
    <cellStyle name="Header2 1 15 3" xfId="0"/>
    <cellStyle name="Header2 1 15 3 2" xfId="0"/>
    <cellStyle name="Header2 1 15 3 2 2" xfId="0"/>
    <cellStyle name="Header2 1 15 3 2 2 2" xfId="0"/>
    <cellStyle name="Header2 1 15 3 2 2 3" xfId="0"/>
    <cellStyle name="Header2 1 15 3 2 3" xfId="0"/>
    <cellStyle name="Header2 1 15 3 2 4" xfId="0"/>
    <cellStyle name="Header2 1 15 3 3" xfId="0"/>
    <cellStyle name="Header2 1 15 3 3 2" xfId="0"/>
    <cellStyle name="Header2 1 15 3 3 3" xfId="0"/>
    <cellStyle name="Header2 1 15 3 4" xfId="0"/>
    <cellStyle name="Header2 1 15 3 5" xfId="0"/>
    <cellStyle name="Header2 1 15 4" xfId="0"/>
    <cellStyle name="Header2 1 15 4 2" xfId="0"/>
    <cellStyle name="Header2 1 15 4 2 2" xfId="0"/>
    <cellStyle name="Header2 1 15 4 2 2 2" xfId="0"/>
    <cellStyle name="Header2 1 15 4 2 2 3" xfId="0"/>
    <cellStyle name="Header2 1 15 4 2 3" xfId="0"/>
    <cellStyle name="Header2 1 15 4 2 4" xfId="0"/>
    <cellStyle name="Header2 1 15 4 3" xfId="0"/>
    <cellStyle name="Header2 1 15 4 3 2" xfId="0"/>
    <cellStyle name="Header2 1 15 4 3 3" xfId="0"/>
    <cellStyle name="Header2 1 15 4 4" xfId="0"/>
    <cellStyle name="Header2 1 15 4 5" xfId="0"/>
    <cellStyle name="Header2 1 15 5" xfId="0"/>
    <cellStyle name="Header2 1 15 5 2" xfId="0"/>
    <cellStyle name="Header2 1 15 5 3" xfId="0"/>
    <cellStyle name="Header2 1 15 6" xfId="0"/>
    <cellStyle name="Header2 1 15 7" xfId="0"/>
    <cellStyle name="Header2 1 16" xfId="0"/>
    <cellStyle name="Header2 1 16 2" xfId="0"/>
    <cellStyle name="Header2 1 16 2 2" xfId="0"/>
    <cellStyle name="Header2 1 16 2 2 2" xfId="0"/>
    <cellStyle name="Header2 1 16 2 2 2 2" xfId="0"/>
    <cellStyle name="Header2 1 16 2 2 2 3" xfId="0"/>
    <cellStyle name="Header2 1 16 2 2 3" xfId="0"/>
    <cellStyle name="Header2 1 16 2 2 4" xfId="0"/>
    <cellStyle name="Header2 1 16 2 3" xfId="0"/>
    <cellStyle name="Header2 1 16 2 3 2" xfId="0"/>
    <cellStyle name="Header2 1 16 2 3 2 2" xfId="0"/>
    <cellStyle name="Header2 1 16 2 3 2 3" xfId="0"/>
    <cellStyle name="Header2 1 16 2 3 3" xfId="0"/>
    <cellStyle name="Header2 1 16 2 3 4" xfId="0"/>
    <cellStyle name="Header2 1 16 2 4" xfId="0"/>
    <cellStyle name="Header2 1 16 2 4 2" xfId="0"/>
    <cellStyle name="Header2 1 16 2 4 3" xfId="0"/>
    <cellStyle name="Header2 1 16 2 5" xfId="0"/>
    <cellStyle name="Header2 1 16 2 6" xfId="0"/>
    <cellStyle name="Header2 1 16 3" xfId="0"/>
    <cellStyle name="Header2 1 16 3 2" xfId="0"/>
    <cellStyle name="Header2 1 16 3 2 2" xfId="0"/>
    <cellStyle name="Header2 1 16 3 2 2 2" xfId="0"/>
    <cellStyle name="Header2 1 16 3 2 2 3" xfId="0"/>
    <cellStyle name="Header2 1 16 3 2 3" xfId="0"/>
    <cellStyle name="Header2 1 16 3 2 4" xfId="0"/>
    <cellStyle name="Header2 1 16 3 3" xfId="0"/>
    <cellStyle name="Header2 1 16 3 3 2" xfId="0"/>
    <cellStyle name="Header2 1 16 3 3 3" xfId="0"/>
    <cellStyle name="Header2 1 16 3 4" xfId="0"/>
    <cellStyle name="Header2 1 16 3 5" xfId="0"/>
    <cellStyle name="Header2 1 16 4" xfId="0"/>
    <cellStyle name="Header2 1 16 4 2" xfId="0"/>
    <cellStyle name="Header2 1 16 4 2 2" xfId="0"/>
    <cellStyle name="Header2 1 16 4 2 2 2" xfId="0"/>
    <cellStyle name="Header2 1 16 4 2 2 3" xfId="0"/>
    <cellStyle name="Header2 1 16 4 2 3" xfId="0"/>
    <cellStyle name="Header2 1 16 4 2 4" xfId="0"/>
    <cellStyle name="Header2 1 16 4 3" xfId="0"/>
    <cellStyle name="Header2 1 16 4 3 2" xfId="0"/>
    <cellStyle name="Header2 1 16 4 3 3" xfId="0"/>
    <cellStyle name="Header2 1 16 4 4" xfId="0"/>
    <cellStyle name="Header2 1 16 4 5" xfId="0"/>
    <cellStyle name="Header2 1 16 5" xfId="0"/>
    <cellStyle name="Header2 1 16 5 2" xfId="0"/>
    <cellStyle name="Header2 1 16 5 3" xfId="0"/>
    <cellStyle name="Header2 1 16 6" xfId="0"/>
    <cellStyle name="Header2 1 16 7" xfId="0"/>
    <cellStyle name="Header2 1 17" xfId="0"/>
    <cellStyle name="Header2 1 17 2" xfId="0"/>
    <cellStyle name="Header2 1 17 2 2" xfId="0"/>
    <cellStyle name="Header2 1 17 2 2 2" xfId="0"/>
    <cellStyle name="Header2 1 17 2 2 2 2" xfId="0"/>
    <cellStyle name="Header2 1 17 2 2 2 3" xfId="0"/>
    <cellStyle name="Header2 1 17 2 2 3" xfId="0"/>
    <cellStyle name="Header2 1 17 2 2 4" xfId="0"/>
    <cellStyle name="Header2 1 17 2 3" xfId="0"/>
    <cellStyle name="Header2 1 17 2 3 2" xfId="0"/>
    <cellStyle name="Header2 1 17 2 3 2 2" xfId="0"/>
    <cellStyle name="Header2 1 17 2 3 2 3" xfId="0"/>
    <cellStyle name="Header2 1 17 2 3 3" xfId="0"/>
    <cellStyle name="Header2 1 17 2 3 4" xfId="0"/>
    <cellStyle name="Header2 1 17 2 4" xfId="0"/>
    <cellStyle name="Header2 1 17 2 4 2" xfId="0"/>
    <cellStyle name="Header2 1 17 2 4 3" xfId="0"/>
    <cellStyle name="Header2 1 17 2 5" xfId="0"/>
    <cellStyle name="Header2 1 17 2 6" xfId="0"/>
    <cellStyle name="Header2 1 17 3" xfId="0"/>
    <cellStyle name="Header2 1 17 3 2" xfId="0"/>
    <cellStyle name="Header2 1 17 3 2 2" xfId="0"/>
    <cellStyle name="Header2 1 17 3 2 2 2" xfId="0"/>
    <cellStyle name="Header2 1 17 3 2 2 3" xfId="0"/>
    <cellStyle name="Header2 1 17 3 2 3" xfId="0"/>
    <cellStyle name="Header2 1 17 3 2 4" xfId="0"/>
    <cellStyle name="Header2 1 17 3 3" xfId="0"/>
    <cellStyle name="Header2 1 17 3 3 2" xfId="0"/>
    <cellStyle name="Header2 1 17 3 3 3" xfId="0"/>
    <cellStyle name="Header2 1 17 3 4" xfId="0"/>
    <cellStyle name="Header2 1 17 3 5" xfId="0"/>
    <cellStyle name="Header2 1 17 4" xfId="0"/>
    <cellStyle name="Header2 1 17 4 2" xfId="0"/>
    <cellStyle name="Header2 1 17 4 2 2" xfId="0"/>
    <cellStyle name="Header2 1 17 4 2 2 2" xfId="0"/>
    <cellStyle name="Header2 1 17 4 2 2 3" xfId="0"/>
    <cellStyle name="Header2 1 17 4 2 3" xfId="0"/>
    <cellStyle name="Header2 1 17 4 2 4" xfId="0"/>
    <cellStyle name="Header2 1 17 4 3" xfId="0"/>
    <cellStyle name="Header2 1 17 4 3 2" xfId="0"/>
    <cellStyle name="Header2 1 17 4 3 3" xfId="0"/>
    <cellStyle name="Header2 1 17 4 4" xfId="0"/>
    <cellStyle name="Header2 1 17 4 5" xfId="0"/>
    <cellStyle name="Header2 1 17 5" xfId="0"/>
    <cellStyle name="Header2 1 17 5 2" xfId="0"/>
    <cellStyle name="Header2 1 17 5 3" xfId="0"/>
    <cellStyle name="Header2 1 17 6" xfId="0"/>
    <cellStyle name="Header2 1 17 7" xfId="0"/>
    <cellStyle name="Header2 1 18" xfId="0"/>
    <cellStyle name="Header2 1 18 2" xfId="0"/>
    <cellStyle name="Header2 1 18 2 2" xfId="0"/>
    <cellStyle name="Header2 1 18 2 2 2" xfId="0"/>
    <cellStyle name="Header2 1 18 2 2 2 2" xfId="0"/>
    <cellStyle name="Header2 1 18 2 2 2 3" xfId="0"/>
    <cellStyle name="Header2 1 18 2 2 3" xfId="0"/>
    <cellStyle name="Header2 1 18 2 2 4" xfId="0"/>
    <cellStyle name="Header2 1 18 2 3" xfId="0"/>
    <cellStyle name="Header2 1 18 2 3 2" xfId="0"/>
    <cellStyle name="Header2 1 18 2 3 2 2" xfId="0"/>
    <cellStyle name="Header2 1 18 2 3 2 3" xfId="0"/>
    <cellStyle name="Header2 1 18 2 3 3" xfId="0"/>
    <cellStyle name="Header2 1 18 2 3 4" xfId="0"/>
    <cellStyle name="Header2 1 18 2 4" xfId="0"/>
    <cellStyle name="Header2 1 18 2 4 2" xfId="0"/>
    <cellStyle name="Header2 1 18 2 4 3" xfId="0"/>
    <cellStyle name="Header2 1 18 2 5" xfId="0"/>
    <cellStyle name="Header2 1 18 2 6" xfId="0"/>
    <cellStyle name="Header2 1 18 3" xfId="0"/>
    <cellStyle name="Header2 1 18 3 2" xfId="0"/>
    <cellStyle name="Header2 1 18 3 2 2" xfId="0"/>
    <cellStyle name="Header2 1 18 3 2 2 2" xfId="0"/>
    <cellStyle name="Header2 1 18 3 2 2 3" xfId="0"/>
    <cellStyle name="Header2 1 18 3 2 3" xfId="0"/>
    <cellStyle name="Header2 1 18 3 2 4" xfId="0"/>
    <cellStyle name="Header2 1 18 3 3" xfId="0"/>
    <cellStyle name="Header2 1 18 3 3 2" xfId="0"/>
    <cellStyle name="Header2 1 18 3 3 3" xfId="0"/>
    <cellStyle name="Header2 1 18 3 4" xfId="0"/>
    <cellStyle name="Header2 1 18 3 5" xfId="0"/>
    <cellStyle name="Header2 1 18 4" xfId="0"/>
    <cellStyle name="Header2 1 18 4 2" xfId="0"/>
    <cellStyle name="Header2 1 18 4 2 2" xfId="0"/>
    <cellStyle name="Header2 1 18 4 2 2 2" xfId="0"/>
    <cellStyle name="Header2 1 18 4 2 2 3" xfId="0"/>
    <cellStyle name="Header2 1 18 4 2 3" xfId="0"/>
    <cellStyle name="Header2 1 18 4 2 4" xfId="0"/>
    <cellStyle name="Header2 1 18 4 3" xfId="0"/>
    <cellStyle name="Header2 1 18 4 3 2" xfId="0"/>
    <cellStyle name="Header2 1 18 4 3 3" xfId="0"/>
    <cellStyle name="Header2 1 18 4 4" xfId="0"/>
    <cellStyle name="Header2 1 18 4 5" xfId="0"/>
    <cellStyle name="Header2 1 18 5" xfId="0"/>
    <cellStyle name="Header2 1 18 5 2" xfId="0"/>
    <cellStyle name="Header2 1 18 5 3" xfId="0"/>
    <cellStyle name="Header2 1 18 6" xfId="0"/>
    <cellStyle name="Header2 1 18 7" xfId="0"/>
    <cellStyle name="Header2 1 19" xfId="0"/>
    <cellStyle name="Header2 1 19 2" xfId="0"/>
    <cellStyle name="Header2 1 19 2 2" xfId="0"/>
    <cellStyle name="Header2 1 19 2 2 2" xfId="0"/>
    <cellStyle name="Header2 1 19 2 2 2 2" xfId="0"/>
    <cellStyle name="Header2 1 19 2 2 2 3" xfId="0"/>
    <cellStyle name="Header2 1 19 2 2 3" xfId="0"/>
    <cellStyle name="Header2 1 19 2 2 4" xfId="0"/>
    <cellStyle name="Header2 1 19 2 3" xfId="0"/>
    <cellStyle name="Header2 1 19 2 3 2" xfId="0"/>
    <cellStyle name="Header2 1 19 2 3 2 2" xfId="0"/>
    <cellStyle name="Header2 1 19 2 3 2 3" xfId="0"/>
    <cellStyle name="Header2 1 19 2 3 3" xfId="0"/>
    <cellStyle name="Header2 1 19 2 3 4" xfId="0"/>
    <cellStyle name="Header2 1 19 2 4" xfId="0"/>
    <cellStyle name="Header2 1 19 2 4 2" xfId="0"/>
    <cellStyle name="Header2 1 19 2 4 3" xfId="0"/>
    <cellStyle name="Header2 1 19 2 5" xfId="0"/>
    <cellStyle name="Header2 1 19 2 6" xfId="0"/>
    <cellStyle name="Header2 1 19 3" xfId="0"/>
    <cellStyle name="Header2 1 19 3 2" xfId="0"/>
    <cellStyle name="Header2 1 19 3 2 2" xfId="0"/>
    <cellStyle name="Header2 1 19 3 2 2 2" xfId="0"/>
    <cellStyle name="Header2 1 19 3 2 2 3" xfId="0"/>
    <cellStyle name="Header2 1 19 3 2 3" xfId="0"/>
    <cellStyle name="Header2 1 19 3 2 4" xfId="0"/>
    <cellStyle name="Header2 1 19 3 3" xfId="0"/>
    <cellStyle name="Header2 1 19 3 3 2" xfId="0"/>
    <cellStyle name="Header2 1 19 3 3 3" xfId="0"/>
    <cellStyle name="Header2 1 19 3 4" xfId="0"/>
    <cellStyle name="Header2 1 19 3 5" xfId="0"/>
    <cellStyle name="Header2 1 19 4" xfId="0"/>
    <cellStyle name="Header2 1 19 4 2" xfId="0"/>
    <cellStyle name="Header2 1 19 4 2 2" xfId="0"/>
    <cellStyle name="Header2 1 19 4 2 2 2" xfId="0"/>
    <cellStyle name="Header2 1 19 4 2 2 3" xfId="0"/>
    <cellStyle name="Header2 1 19 4 2 3" xfId="0"/>
    <cellStyle name="Header2 1 19 4 2 4" xfId="0"/>
    <cellStyle name="Header2 1 19 4 3" xfId="0"/>
    <cellStyle name="Header2 1 19 4 3 2" xfId="0"/>
    <cellStyle name="Header2 1 19 4 3 3" xfId="0"/>
    <cellStyle name="Header2 1 19 4 4" xfId="0"/>
    <cellStyle name="Header2 1 19 4 5" xfId="0"/>
    <cellStyle name="Header2 1 19 5" xfId="0"/>
    <cellStyle name="Header2 1 19 5 2" xfId="0"/>
    <cellStyle name="Header2 1 19 5 3" xfId="0"/>
    <cellStyle name="Header2 1 19 6" xfId="0"/>
    <cellStyle name="Header2 1 19 7" xfId="0"/>
    <cellStyle name="Header2 1 2" xfId="0"/>
    <cellStyle name="Header2 1 2 10" xfId="0"/>
    <cellStyle name="Header2 1 2 11" xfId="0"/>
    <cellStyle name="Header2 1 2 2" xfId="0"/>
    <cellStyle name="Header2 1 2 2 2" xfId="0"/>
    <cellStyle name="Header2 1 2 2 2 2" xfId="0"/>
    <cellStyle name="Header2 1 2 2 2 2 2" xfId="0"/>
    <cellStyle name="Header2 1 2 2 2 2 2 2" xfId="0"/>
    <cellStyle name="Header2 1 2 2 2 2 2 3" xfId="0"/>
    <cellStyle name="Header2 1 2 2 2 2 3" xfId="0"/>
    <cellStyle name="Header2 1 2 2 2 2 4" xfId="0"/>
    <cellStyle name="Header2 1 2 2 2 3" xfId="0"/>
    <cellStyle name="Header2 1 2 2 2 3 2" xfId="0"/>
    <cellStyle name="Header2 1 2 2 2 3 3" xfId="0"/>
    <cellStyle name="Header2 1 2 2 2 4" xfId="0"/>
    <cellStyle name="Header2 1 2 2 2 5" xfId="0"/>
    <cellStyle name="Header2 1 2 2 3" xfId="0"/>
    <cellStyle name="Header2 1 2 2 3 2" xfId="0"/>
    <cellStyle name="Header2 1 2 2 3 2 2" xfId="0"/>
    <cellStyle name="Header2 1 2 2 3 2 3" xfId="0"/>
    <cellStyle name="Header2 1 2 2 3 3" xfId="0"/>
    <cellStyle name="Header2 1 2 2 3 4" xfId="0"/>
    <cellStyle name="Header2 1 2 2 4" xfId="0"/>
    <cellStyle name="Header2 1 2 2 4 2" xfId="0"/>
    <cellStyle name="Header2 1 2 2 4 3" xfId="0"/>
    <cellStyle name="Header2 1 2 2 5" xfId="0"/>
    <cellStyle name="Header2 1 2 2 6" xfId="0"/>
    <cellStyle name="Header2 1 2 3" xfId="0"/>
    <cellStyle name="Header2 1 2 3 2" xfId="0"/>
    <cellStyle name="Header2 1 2 3 2 2" xfId="0"/>
    <cellStyle name="Header2 1 2 3 2 2 2" xfId="0"/>
    <cellStyle name="Header2 1 2 3 2 2 2 2" xfId="0"/>
    <cellStyle name="Header2 1 2 3 2 2 2 3" xfId="0"/>
    <cellStyle name="Header2 1 2 3 2 2 3" xfId="0"/>
    <cellStyle name="Header2 1 2 3 2 2 4" xfId="0"/>
    <cellStyle name="Header2 1 2 3 2 3" xfId="0"/>
    <cellStyle name="Header2 1 2 3 2 3 2" xfId="0"/>
    <cellStyle name="Header2 1 2 3 2 3 3" xfId="0"/>
    <cellStyle name="Header2 1 2 3 2 4" xfId="0"/>
    <cellStyle name="Header2 1 2 3 2 5" xfId="0"/>
    <cellStyle name="Header2 1 2 3 3" xfId="0"/>
    <cellStyle name="Header2 1 2 3 3 2" xfId="0"/>
    <cellStyle name="Header2 1 2 3 3 2 2" xfId="0"/>
    <cellStyle name="Header2 1 2 3 3 2 3" xfId="0"/>
    <cellStyle name="Header2 1 2 3 3 3" xfId="0"/>
    <cellStyle name="Header2 1 2 3 3 4" xfId="0"/>
    <cellStyle name="Header2 1 2 3 4" xfId="0"/>
    <cellStyle name="Header2 1 2 3 4 2" xfId="0"/>
    <cellStyle name="Header2 1 2 3 4 3" xfId="0"/>
    <cellStyle name="Header2 1 2 3 5" xfId="0"/>
    <cellStyle name="Header2 1 2 3 6" xfId="0"/>
    <cellStyle name="Header2 1 2 4" xfId="0"/>
    <cellStyle name="Header2 1 2 4 2" xfId="0"/>
    <cellStyle name="Header2 1 2 4 2 2" xfId="0"/>
    <cellStyle name="Header2 1 2 4 2 2 2" xfId="0"/>
    <cellStyle name="Header2 1 2 4 2 2 2 2" xfId="0"/>
    <cellStyle name="Header2 1 2 4 2 2 2 3" xfId="0"/>
    <cellStyle name="Header2 1 2 4 2 2 3" xfId="0"/>
    <cellStyle name="Header2 1 2 4 2 2 4" xfId="0"/>
    <cellStyle name="Header2 1 2 4 2 3" xfId="0"/>
    <cellStyle name="Header2 1 2 4 2 3 2" xfId="0"/>
    <cellStyle name="Header2 1 2 4 2 3 3" xfId="0"/>
    <cellStyle name="Header2 1 2 4 2 4" xfId="0"/>
    <cellStyle name="Header2 1 2 4 2 5" xfId="0"/>
    <cellStyle name="Header2 1 2 4 3" xfId="0"/>
    <cellStyle name="Header2 1 2 4 3 2" xfId="0"/>
    <cellStyle name="Header2 1 2 4 3 2 2" xfId="0"/>
    <cellStyle name="Header2 1 2 4 3 2 3" xfId="0"/>
    <cellStyle name="Header2 1 2 4 3 3" xfId="0"/>
    <cellStyle name="Header2 1 2 4 3 4" xfId="0"/>
    <cellStyle name="Header2 1 2 4 4" xfId="0"/>
    <cellStyle name="Header2 1 2 4 4 2" xfId="0"/>
    <cellStyle name="Header2 1 2 4 4 3" xfId="0"/>
    <cellStyle name="Header2 1 2 4 5" xfId="0"/>
    <cellStyle name="Header2 1 2 4 6" xfId="0"/>
    <cellStyle name="Header2 1 2 5" xfId="0"/>
    <cellStyle name="Header2 1 2 5 2" xfId="0"/>
    <cellStyle name="Header2 1 2 5 2 2" xfId="0"/>
    <cellStyle name="Header2 1 2 5 2 2 2" xfId="0"/>
    <cellStyle name="Header2 1 2 5 2 2 2 2" xfId="0"/>
    <cellStyle name="Header2 1 2 5 2 2 2 3" xfId="0"/>
    <cellStyle name="Header2 1 2 5 2 2 3" xfId="0"/>
    <cellStyle name="Header2 1 2 5 2 2 4" xfId="0"/>
    <cellStyle name="Header2 1 2 5 2 3" xfId="0"/>
    <cellStyle name="Header2 1 2 5 2 3 2" xfId="0"/>
    <cellStyle name="Header2 1 2 5 2 3 3" xfId="0"/>
    <cellStyle name="Header2 1 2 5 2 4" xfId="0"/>
    <cellStyle name="Header2 1 2 5 2 5" xfId="0"/>
    <cellStyle name="Header2 1 2 5 3" xfId="0"/>
    <cellStyle name="Header2 1 2 5 3 2" xfId="0"/>
    <cellStyle name="Header2 1 2 5 3 2 2" xfId="0"/>
    <cellStyle name="Header2 1 2 5 3 2 3" xfId="0"/>
    <cellStyle name="Header2 1 2 5 3 3" xfId="0"/>
    <cellStyle name="Header2 1 2 5 3 4" xfId="0"/>
    <cellStyle name="Header2 1 2 5 4" xfId="0"/>
    <cellStyle name="Header2 1 2 5 4 2" xfId="0"/>
    <cellStyle name="Header2 1 2 5 4 3" xfId="0"/>
    <cellStyle name="Header2 1 2 5 5" xfId="0"/>
    <cellStyle name="Header2 1 2 5 6" xfId="0"/>
    <cellStyle name="Header2 1 2 6" xfId="0"/>
    <cellStyle name="Header2 1 2 6 2" xfId="0"/>
    <cellStyle name="Header2 1 2 6 2 2" xfId="0"/>
    <cellStyle name="Header2 1 2 6 2 2 2" xfId="0"/>
    <cellStyle name="Header2 1 2 6 2 2 3" xfId="0"/>
    <cellStyle name="Header2 1 2 6 2 3" xfId="0"/>
    <cellStyle name="Header2 1 2 6 2 4" xfId="0"/>
    <cellStyle name="Header2 1 2 6 3" xfId="0"/>
    <cellStyle name="Header2 1 2 6 3 2" xfId="0"/>
    <cellStyle name="Header2 1 2 6 3 3" xfId="0"/>
    <cellStyle name="Header2 1 2 6 4" xfId="0"/>
    <cellStyle name="Header2 1 2 6 5" xfId="0"/>
    <cellStyle name="Header2 1 2 7" xfId="0"/>
    <cellStyle name="Header2 1 2 7 2" xfId="0"/>
    <cellStyle name="Header2 1 2 7 2 2" xfId="0"/>
    <cellStyle name="Header2 1 2 7 2 2 2" xfId="0"/>
    <cellStyle name="Header2 1 2 7 2 2 3" xfId="0"/>
    <cellStyle name="Header2 1 2 7 2 3" xfId="0"/>
    <cellStyle name="Header2 1 2 7 2 4" xfId="0"/>
    <cellStyle name="Header2 1 2 7 3" xfId="0"/>
    <cellStyle name="Header2 1 2 7 3 2" xfId="0"/>
    <cellStyle name="Header2 1 2 7 3 3" xfId="0"/>
    <cellStyle name="Header2 1 2 7 4" xfId="0"/>
    <cellStyle name="Header2 1 2 7 5" xfId="0"/>
    <cellStyle name="Header2 1 2 8" xfId="0"/>
    <cellStyle name="Header2 1 2 8 2" xfId="0"/>
    <cellStyle name="Header2 1 2 8 3" xfId="0"/>
    <cellStyle name="Header2 1 2 9" xfId="0"/>
    <cellStyle name="Header2 1 2 9 2" xfId="0"/>
    <cellStyle name="Header2 1 2 9 3" xfId="0"/>
    <cellStyle name="Header2 1 20" xfId="0"/>
    <cellStyle name="Header2 1 20 2" xfId="0"/>
    <cellStyle name="Header2 1 20 2 2" xfId="0"/>
    <cellStyle name="Header2 1 20 2 2 2" xfId="0"/>
    <cellStyle name="Header2 1 20 2 2 2 2" xfId="0"/>
    <cellStyle name="Header2 1 20 2 2 2 3" xfId="0"/>
    <cellStyle name="Header2 1 20 2 2 3" xfId="0"/>
    <cellStyle name="Header2 1 20 2 2 4" xfId="0"/>
    <cellStyle name="Header2 1 20 2 3" xfId="0"/>
    <cellStyle name="Header2 1 20 2 3 2" xfId="0"/>
    <cellStyle name="Header2 1 20 2 3 3" xfId="0"/>
    <cellStyle name="Header2 1 20 2 4" xfId="0"/>
    <cellStyle name="Header2 1 20 2 5" xfId="0"/>
    <cellStyle name="Header2 1 20 3" xfId="0"/>
    <cellStyle name="Header2 1 20 3 2" xfId="0"/>
    <cellStyle name="Header2 1 20 3 2 2" xfId="0"/>
    <cellStyle name="Header2 1 20 3 2 3" xfId="0"/>
    <cellStyle name="Header2 1 20 3 3" xfId="0"/>
    <cellStyle name="Header2 1 20 3 4" xfId="0"/>
    <cellStyle name="Header2 1 20 4" xfId="0"/>
    <cellStyle name="Header2 1 20 4 2" xfId="0"/>
    <cellStyle name="Header2 1 20 4 3" xfId="0"/>
    <cellStyle name="Header2 1 20 5" xfId="0"/>
    <cellStyle name="Header2 1 20 6" xfId="0"/>
    <cellStyle name="Header2 1 21" xfId="0"/>
    <cellStyle name="Header2 1 21 2" xfId="0"/>
    <cellStyle name="Header2 1 21 2 2" xfId="0"/>
    <cellStyle name="Header2 1 21 2 2 2" xfId="0"/>
    <cellStyle name="Header2 1 21 2 2 3" xfId="0"/>
    <cellStyle name="Header2 1 21 2 3" xfId="0"/>
    <cellStyle name="Header2 1 21 2 4" xfId="0"/>
    <cellStyle name="Header2 1 21 3" xfId="0"/>
    <cellStyle name="Header2 1 21 3 2" xfId="0"/>
    <cellStyle name="Header2 1 21 3 2 2" xfId="0"/>
    <cellStyle name="Header2 1 21 3 2 3" xfId="0"/>
    <cellStyle name="Header2 1 21 3 3" xfId="0"/>
    <cellStyle name="Header2 1 21 3 4" xfId="0"/>
    <cellStyle name="Header2 1 21 4" xfId="0"/>
    <cellStyle name="Header2 1 21 4 2" xfId="0"/>
    <cellStyle name="Header2 1 21 4 3" xfId="0"/>
    <cellStyle name="Header2 1 21 5" xfId="0"/>
    <cellStyle name="Header2 1 21 6" xfId="0"/>
    <cellStyle name="Header2 1 22" xfId="0"/>
    <cellStyle name="Header2 1 22 2" xfId="0"/>
    <cellStyle name="Header2 1 22 2 2" xfId="0"/>
    <cellStyle name="Header2 1 22 2 2 2" xfId="0"/>
    <cellStyle name="Header2 1 22 2 2 3" xfId="0"/>
    <cellStyle name="Header2 1 22 2 3" xfId="0"/>
    <cellStyle name="Header2 1 22 2 4" xfId="0"/>
    <cellStyle name="Header2 1 22 3" xfId="0"/>
    <cellStyle name="Header2 1 22 3 2" xfId="0"/>
    <cellStyle name="Header2 1 22 3 2 2" xfId="0"/>
    <cellStyle name="Header2 1 22 3 2 3" xfId="0"/>
    <cellStyle name="Header2 1 22 3 3" xfId="0"/>
    <cellStyle name="Header2 1 22 3 4" xfId="0"/>
    <cellStyle name="Header2 1 22 4" xfId="0"/>
    <cellStyle name="Header2 1 22 4 2" xfId="0"/>
    <cellStyle name="Header2 1 22 4 3" xfId="0"/>
    <cellStyle name="Header2 1 22 5" xfId="0"/>
    <cellStyle name="Header2 1 22 6" xfId="0"/>
    <cellStyle name="Header2 1 23" xfId="0"/>
    <cellStyle name="Header2 1 23 2" xfId="0"/>
    <cellStyle name="Header2 1 23 2 2" xfId="0"/>
    <cellStyle name="Header2 1 23 2 2 2" xfId="0"/>
    <cellStyle name="Header2 1 23 2 2 3" xfId="0"/>
    <cellStyle name="Header2 1 23 2 3" xfId="0"/>
    <cellStyle name="Header2 1 23 2 4" xfId="0"/>
    <cellStyle name="Header2 1 23 3" xfId="0"/>
    <cellStyle name="Header2 1 23 3 2" xfId="0"/>
    <cellStyle name="Header2 1 23 3 2 2" xfId="0"/>
    <cellStyle name="Header2 1 23 3 2 3" xfId="0"/>
    <cellStyle name="Header2 1 23 3 3" xfId="0"/>
    <cellStyle name="Header2 1 23 3 4" xfId="0"/>
    <cellStyle name="Header2 1 23 4" xfId="0"/>
    <cellStyle name="Header2 1 23 4 2" xfId="0"/>
    <cellStyle name="Header2 1 23 4 3" xfId="0"/>
    <cellStyle name="Header2 1 23 5" xfId="0"/>
    <cellStyle name="Header2 1 23 6" xfId="0"/>
    <cellStyle name="Header2 1 24" xfId="0"/>
    <cellStyle name="Header2 1 24 2" xfId="0"/>
    <cellStyle name="Header2 1 24 2 2" xfId="0"/>
    <cellStyle name="Header2 1 24 2 2 2" xfId="0"/>
    <cellStyle name="Header2 1 24 2 2 3" xfId="0"/>
    <cellStyle name="Header2 1 24 2 3" xfId="0"/>
    <cellStyle name="Header2 1 24 2 4" xfId="0"/>
    <cellStyle name="Header2 1 24 3" xfId="0"/>
    <cellStyle name="Header2 1 24 3 2" xfId="0"/>
    <cellStyle name="Header2 1 24 3 2 2" xfId="0"/>
    <cellStyle name="Header2 1 24 3 2 3" xfId="0"/>
    <cellStyle name="Header2 1 24 3 3" xfId="0"/>
    <cellStyle name="Header2 1 24 3 4" xfId="0"/>
    <cellStyle name="Header2 1 24 4" xfId="0"/>
    <cellStyle name="Header2 1 24 4 2" xfId="0"/>
    <cellStyle name="Header2 1 24 4 3" xfId="0"/>
    <cellStyle name="Header2 1 24 5" xfId="0"/>
    <cellStyle name="Header2 1 24 6" xfId="0"/>
    <cellStyle name="Header2 1 25" xfId="0"/>
    <cellStyle name="Header2 1 25 2" xfId="0"/>
    <cellStyle name="Header2 1 25 2 2" xfId="0"/>
    <cellStyle name="Header2 1 25 2 2 2" xfId="0"/>
    <cellStyle name="Header2 1 25 2 2 3" xfId="0"/>
    <cellStyle name="Header2 1 25 2 3" xfId="0"/>
    <cellStyle name="Header2 1 25 2 4" xfId="0"/>
    <cellStyle name="Header2 1 25 3" xfId="0"/>
    <cellStyle name="Header2 1 25 3 2" xfId="0"/>
    <cellStyle name="Header2 1 25 3 3" xfId="0"/>
    <cellStyle name="Header2 1 25 4" xfId="0"/>
    <cellStyle name="Header2 1 25 5" xfId="0"/>
    <cellStyle name="Header2 1 26" xfId="0"/>
    <cellStyle name="Header2 1 26 2" xfId="0"/>
    <cellStyle name="Header2 1 26 2 2" xfId="0"/>
    <cellStyle name="Header2 1 26 2 2 2" xfId="0"/>
    <cellStyle name="Header2 1 26 2 2 3" xfId="0"/>
    <cellStyle name="Header2 1 26 2 3" xfId="0"/>
    <cellStyle name="Header2 1 26 2 4" xfId="0"/>
    <cellStyle name="Header2 1 26 3" xfId="0"/>
    <cellStyle name="Header2 1 26 3 2" xfId="0"/>
    <cellStyle name="Header2 1 26 3 3" xfId="0"/>
    <cellStyle name="Header2 1 26 4" xfId="0"/>
    <cellStyle name="Header2 1 26 5" xfId="0"/>
    <cellStyle name="Header2 1 27" xfId="0"/>
    <cellStyle name="Header2 1 27 2" xfId="0"/>
    <cellStyle name="Header2 1 27 2 2" xfId="0"/>
    <cellStyle name="Header2 1 27 2 2 2" xfId="0"/>
    <cellStyle name="Header2 1 27 2 2 3" xfId="0"/>
    <cellStyle name="Header2 1 27 2 3" xfId="0"/>
    <cellStyle name="Header2 1 27 2 4" xfId="0"/>
    <cellStyle name="Header2 1 27 3" xfId="0"/>
    <cellStyle name="Header2 1 27 3 2" xfId="0"/>
    <cellStyle name="Header2 1 27 3 3" xfId="0"/>
    <cellStyle name="Header2 1 27 4" xfId="0"/>
    <cellStyle name="Header2 1 27 5" xfId="0"/>
    <cellStyle name="Header2 1 28" xfId="0"/>
    <cellStyle name="Header2 1 28 2" xfId="0"/>
    <cellStyle name="Header2 1 28 2 2" xfId="0"/>
    <cellStyle name="Header2 1 28 2 3" xfId="0"/>
    <cellStyle name="Header2 1 28 3" xfId="0"/>
    <cellStyle name="Header2 1 28 4" xfId="0"/>
    <cellStyle name="Header2 1 29" xfId="0"/>
    <cellStyle name="Header2 1 29 2" xfId="0"/>
    <cellStyle name="Header2 1 29 2 2" xfId="0"/>
    <cellStyle name="Header2 1 29 2 3" xfId="0"/>
    <cellStyle name="Header2 1 29 3" xfId="0"/>
    <cellStyle name="Header2 1 29 4" xfId="0"/>
    <cellStyle name="Header2 1 3" xfId="0"/>
    <cellStyle name="Header2 1 3 10" xfId="0"/>
    <cellStyle name="Header2 1 3 2" xfId="0"/>
    <cellStyle name="Header2 1 3 2 2" xfId="0"/>
    <cellStyle name="Header2 1 3 2 2 2" xfId="0"/>
    <cellStyle name="Header2 1 3 2 2 2 2" xfId="0"/>
    <cellStyle name="Header2 1 3 2 2 2 3" xfId="0"/>
    <cellStyle name="Header2 1 3 2 2 3" xfId="0"/>
    <cellStyle name="Header2 1 3 2 2 4" xfId="0"/>
    <cellStyle name="Header2 1 3 2 3" xfId="0"/>
    <cellStyle name="Header2 1 3 2 3 2" xfId="0"/>
    <cellStyle name="Header2 1 3 2 3 2 2" xfId="0"/>
    <cellStyle name="Header2 1 3 2 3 2 3" xfId="0"/>
    <cellStyle name="Header2 1 3 2 3 3" xfId="0"/>
    <cellStyle name="Header2 1 3 2 3 4" xfId="0"/>
    <cellStyle name="Header2 1 3 2 4" xfId="0"/>
    <cellStyle name="Header2 1 3 2 4 2" xfId="0"/>
    <cellStyle name="Header2 1 3 2 4 3" xfId="0"/>
    <cellStyle name="Header2 1 3 2 5" xfId="0"/>
    <cellStyle name="Header2 1 3 2 6" xfId="0"/>
    <cellStyle name="Header2 1 3 3" xfId="0"/>
    <cellStyle name="Header2 1 3 3 2" xfId="0"/>
    <cellStyle name="Header2 1 3 3 2 2" xfId="0"/>
    <cellStyle name="Header2 1 3 3 2 2 2" xfId="0"/>
    <cellStyle name="Header2 1 3 3 2 2 3" xfId="0"/>
    <cellStyle name="Header2 1 3 3 2 3" xfId="0"/>
    <cellStyle name="Header2 1 3 3 2 4" xfId="0"/>
    <cellStyle name="Header2 1 3 3 3" xfId="0"/>
    <cellStyle name="Header2 1 3 3 3 2" xfId="0"/>
    <cellStyle name="Header2 1 3 3 3 2 2" xfId="0"/>
    <cellStyle name="Header2 1 3 3 3 2 3" xfId="0"/>
    <cellStyle name="Header2 1 3 3 3 3" xfId="0"/>
    <cellStyle name="Header2 1 3 3 3 4" xfId="0"/>
    <cellStyle name="Header2 1 3 3 4" xfId="0"/>
    <cellStyle name="Header2 1 3 3 4 2" xfId="0"/>
    <cellStyle name="Header2 1 3 3 4 3" xfId="0"/>
    <cellStyle name="Header2 1 3 3 5" xfId="0"/>
    <cellStyle name="Header2 1 3 3 6" xfId="0"/>
    <cellStyle name="Header2 1 3 4" xfId="0"/>
    <cellStyle name="Header2 1 3 4 2" xfId="0"/>
    <cellStyle name="Header2 1 3 4 2 2" xfId="0"/>
    <cellStyle name="Header2 1 3 4 2 2 2" xfId="0"/>
    <cellStyle name="Header2 1 3 4 2 2 3" xfId="0"/>
    <cellStyle name="Header2 1 3 4 2 3" xfId="0"/>
    <cellStyle name="Header2 1 3 4 2 4" xfId="0"/>
    <cellStyle name="Header2 1 3 4 3" xfId="0"/>
    <cellStyle name="Header2 1 3 4 3 2" xfId="0"/>
    <cellStyle name="Header2 1 3 4 3 2 2" xfId="0"/>
    <cellStyle name="Header2 1 3 4 3 2 3" xfId="0"/>
    <cellStyle name="Header2 1 3 4 3 3" xfId="0"/>
    <cellStyle name="Header2 1 3 4 3 4" xfId="0"/>
    <cellStyle name="Header2 1 3 4 4" xfId="0"/>
    <cellStyle name="Header2 1 3 4 4 2" xfId="0"/>
    <cellStyle name="Header2 1 3 4 4 3" xfId="0"/>
    <cellStyle name="Header2 1 3 4 5" xfId="0"/>
    <cellStyle name="Header2 1 3 4 6" xfId="0"/>
    <cellStyle name="Header2 1 3 5" xfId="0"/>
    <cellStyle name="Header2 1 3 5 2" xfId="0"/>
    <cellStyle name="Header2 1 3 5 2 2" xfId="0"/>
    <cellStyle name="Header2 1 3 5 2 2 2" xfId="0"/>
    <cellStyle name="Header2 1 3 5 2 2 3" xfId="0"/>
    <cellStyle name="Header2 1 3 5 2 3" xfId="0"/>
    <cellStyle name="Header2 1 3 5 2 4" xfId="0"/>
    <cellStyle name="Header2 1 3 5 3" xfId="0"/>
    <cellStyle name="Header2 1 3 5 3 2" xfId="0"/>
    <cellStyle name="Header2 1 3 5 3 2 2" xfId="0"/>
    <cellStyle name="Header2 1 3 5 3 2 3" xfId="0"/>
    <cellStyle name="Header2 1 3 5 3 3" xfId="0"/>
    <cellStyle name="Header2 1 3 5 3 4" xfId="0"/>
    <cellStyle name="Header2 1 3 5 4" xfId="0"/>
    <cellStyle name="Header2 1 3 5 4 2" xfId="0"/>
    <cellStyle name="Header2 1 3 5 4 3" xfId="0"/>
    <cellStyle name="Header2 1 3 5 5" xfId="0"/>
    <cellStyle name="Header2 1 3 5 6" xfId="0"/>
    <cellStyle name="Header2 1 3 6" xfId="0"/>
    <cellStyle name="Header2 1 3 6 2" xfId="0"/>
    <cellStyle name="Header2 1 3 6 2 2" xfId="0"/>
    <cellStyle name="Header2 1 3 6 2 2 2" xfId="0"/>
    <cellStyle name="Header2 1 3 6 2 2 3" xfId="0"/>
    <cellStyle name="Header2 1 3 6 2 3" xfId="0"/>
    <cellStyle name="Header2 1 3 6 2 4" xfId="0"/>
    <cellStyle name="Header2 1 3 6 3" xfId="0"/>
    <cellStyle name="Header2 1 3 6 3 2" xfId="0"/>
    <cellStyle name="Header2 1 3 6 3 3" xfId="0"/>
    <cellStyle name="Header2 1 3 6 4" xfId="0"/>
    <cellStyle name="Header2 1 3 6 5" xfId="0"/>
    <cellStyle name="Header2 1 3 7" xfId="0"/>
    <cellStyle name="Header2 1 3 7 2" xfId="0"/>
    <cellStyle name="Header2 1 3 7 2 2" xfId="0"/>
    <cellStyle name="Header2 1 3 7 2 2 2" xfId="0"/>
    <cellStyle name="Header2 1 3 7 2 2 3" xfId="0"/>
    <cellStyle name="Header2 1 3 7 2 3" xfId="0"/>
    <cellStyle name="Header2 1 3 7 2 4" xfId="0"/>
    <cellStyle name="Header2 1 3 7 3" xfId="0"/>
    <cellStyle name="Header2 1 3 7 3 2" xfId="0"/>
    <cellStyle name="Header2 1 3 7 3 3" xfId="0"/>
    <cellStyle name="Header2 1 3 7 4" xfId="0"/>
    <cellStyle name="Header2 1 3 7 5" xfId="0"/>
    <cellStyle name="Header2 1 3 8" xfId="0"/>
    <cellStyle name="Header2 1 3 8 2" xfId="0"/>
    <cellStyle name="Header2 1 3 8 3" xfId="0"/>
    <cellStyle name="Header2 1 3 9" xfId="0"/>
    <cellStyle name="Header2 1 30" xfId="0"/>
    <cellStyle name="Header2 1 30 2" xfId="0"/>
    <cellStyle name="Header2 1 30 3" xfId="0"/>
    <cellStyle name="Header2 1 31" xfId="0"/>
    <cellStyle name="Header2 1 31 2" xfId="0"/>
    <cellStyle name="Header2 1 31 3" xfId="0"/>
    <cellStyle name="Header2 1 32" xfId="0"/>
    <cellStyle name="Header2 1 32 2" xfId="0"/>
    <cellStyle name="Header2 1 32 3" xfId="0"/>
    <cellStyle name="Header2 1 33" xfId="0"/>
    <cellStyle name="Header2 1 33 2" xfId="0"/>
    <cellStyle name="Header2 1 33 3" xfId="0"/>
    <cellStyle name="Header2 1 34" xfId="0"/>
    <cellStyle name="Header2 1 4" xfId="0"/>
    <cellStyle name="Header2 1 4 10" xfId="0"/>
    <cellStyle name="Header2 1 4 2" xfId="0"/>
    <cellStyle name="Header2 1 4 2 2" xfId="0"/>
    <cellStyle name="Header2 1 4 2 2 2" xfId="0"/>
    <cellStyle name="Header2 1 4 2 2 2 2" xfId="0"/>
    <cellStyle name="Header2 1 4 2 2 2 3" xfId="0"/>
    <cellStyle name="Header2 1 4 2 2 3" xfId="0"/>
    <cellStyle name="Header2 1 4 2 2 4" xfId="0"/>
    <cellStyle name="Header2 1 4 2 3" xfId="0"/>
    <cellStyle name="Header2 1 4 2 3 2" xfId="0"/>
    <cellStyle name="Header2 1 4 2 3 2 2" xfId="0"/>
    <cellStyle name="Header2 1 4 2 3 2 3" xfId="0"/>
    <cellStyle name="Header2 1 4 2 3 3" xfId="0"/>
    <cellStyle name="Header2 1 4 2 3 4" xfId="0"/>
    <cellStyle name="Header2 1 4 2 4" xfId="0"/>
    <cellStyle name="Header2 1 4 2 4 2" xfId="0"/>
    <cellStyle name="Header2 1 4 2 4 3" xfId="0"/>
    <cellStyle name="Header2 1 4 2 5" xfId="0"/>
    <cellStyle name="Header2 1 4 2 6" xfId="0"/>
    <cellStyle name="Header2 1 4 3" xfId="0"/>
    <cellStyle name="Header2 1 4 3 2" xfId="0"/>
    <cellStyle name="Header2 1 4 3 2 2" xfId="0"/>
    <cellStyle name="Header2 1 4 3 2 2 2" xfId="0"/>
    <cellStyle name="Header2 1 4 3 2 2 3" xfId="0"/>
    <cellStyle name="Header2 1 4 3 2 3" xfId="0"/>
    <cellStyle name="Header2 1 4 3 2 4" xfId="0"/>
    <cellStyle name="Header2 1 4 3 3" xfId="0"/>
    <cellStyle name="Header2 1 4 3 3 2" xfId="0"/>
    <cellStyle name="Header2 1 4 3 3 2 2" xfId="0"/>
    <cellStyle name="Header2 1 4 3 3 2 3" xfId="0"/>
    <cellStyle name="Header2 1 4 3 3 3" xfId="0"/>
    <cellStyle name="Header2 1 4 3 3 4" xfId="0"/>
    <cellStyle name="Header2 1 4 3 4" xfId="0"/>
    <cellStyle name="Header2 1 4 3 4 2" xfId="0"/>
    <cellStyle name="Header2 1 4 3 4 3" xfId="0"/>
    <cellStyle name="Header2 1 4 3 5" xfId="0"/>
    <cellStyle name="Header2 1 4 3 6" xfId="0"/>
    <cellStyle name="Header2 1 4 4" xfId="0"/>
    <cellStyle name="Header2 1 4 4 2" xfId="0"/>
    <cellStyle name="Header2 1 4 4 2 2" xfId="0"/>
    <cellStyle name="Header2 1 4 4 2 2 2" xfId="0"/>
    <cellStyle name="Header2 1 4 4 2 2 3" xfId="0"/>
    <cellStyle name="Header2 1 4 4 2 3" xfId="0"/>
    <cellStyle name="Header2 1 4 4 2 4" xfId="0"/>
    <cellStyle name="Header2 1 4 4 3" xfId="0"/>
    <cellStyle name="Header2 1 4 4 3 2" xfId="0"/>
    <cellStyle name="Header2 1 4 4 3 2 2" xfId="0"/>
    <cellStyle name="Header2 1 4 4 3 2 3" xfId="0"/>
    <cellStyle name="Header2 1 4 4 3 3" xfId="0"/>
    <cellStyle name="Header2 1 4 4 3 4" xfId="0"/>
    <cellStyle name="Header2 1 4 4 4" xfId="0"/>
    <cellStyle name="Header2 1 4 4 4 2" xfId="0"/>
    <cellStyle name="Header2 1 4 4 4 3" xfId="0"/>
    <cellStyle name="Header2 1 4 4 5" xfId="0"/>
    <cellStyle name="Header2 1 4 4 6" xfId="0"/>
    <cellStyle name="Header2 1 4 5" xfId="0"/>
    <cellStyle name="Header2 1 4 5 2" xfId="0"/>
    <cellStyle name="Header2 1 4 5 2 2" xfId="0"/>
    <cellStyle name="Header2 1 4 5 2 2 2" xfId="0"/>
    <cellStyle name="Header2 1 4 5 2 2 3" xfId="0"/>
    <cellStyle name="Header2 1 4 5 2 3" xfId="0"/>
    <cellStyle name="Header2 1 4 5 2 4" xfId="0"/>
    <cellStyle name="Header2 1 4 5 3" xfId="0"/>
    <cellStyle name="Header2 1 4 5 3 2" xfId="0"/>
    <cellStyle name="Header2 1 4 5 3 2 2" xfId="0"/>
    <cellStyle name="Header2 1 4 5 3 2 3" xfId="0"/>
    <cellStyle name="Header2 1 4 5 3 3" xfId="0"/>
    <cellStyle name="Header2 1 4 5 3 4" xfId="0"/>
    <cellStyle name="Header2 1 4 5 4" xfId="0"/>
    <cellStyle name="Header2 1 4 5 4 2" xfId="0"/>
    <cellStyle name="Header2 1 4 5 4 3" xfId="0"/>
    <cellStyle name="Header2 1 4 5 5" xfId="0"/>
    <cellStyle name="Header2 1 4 5 6" xfId="0"/>
    <cellStyle name="Header2 1 4 6" xfId="0"/>
    <cellStyle name="Header2 1 4 6 2" xfId="0"/>
    <cellStyle name="Header2 1 4 6 2 2" xfId="0"/>
    <cellStyle name="Header2 1 4 6 2 2 2" xfId="0"/>
    <cellStyle name="Header2 1 4 6 2 2 3" xfId="0"/>
    <cellStyle name="Header2 1 4 6 2 3" xfId="0"/>
    <cellStyle name="Header2 1 4 6 2 4" xfId="0"/>
    <cellStyle name="Header2 1 4 6 3" xfId="0"/>
    <cellStyle name="Header2 1 4 6 3 2" xfId="0"/>
    <cellStyle name="Header2 1 4 6 3 3" xfId="0"/>
    <cellStyle name="Header2 1 4 6 4" xfId="0"/>
    <cellStyle name="Header2 1 4 6 5" xfId="0"/>
    <cellStyle name="Header2 1 4 7" xfId="0"/>
    <cellStyle name="Header2 1 4 7 2" xfId="0"/>
    <cellStyle name="Header2 1 4 7 2 2" xfId="0"/>
    <cellStyle name="Header2 1 4 7 2 2 2" xfId="0"/>
    <cellStyle name="Header2 1 4 7 2 2 3" xfId="0"/>
    <cellStyle name="Header2 1 4 7 2 3" xfId="0"/>
    <cellStyle name="Header2 1 4 7 2 4" xfId="0"/>
    <cellStyle name="Header2 1 4 7 3" xfId="0"/>
    <cellStyle name="Header2 1 4 7 3 2" xfId="0"/>
    <cellStyle name="Header2 1 4 7 3 3" xfId="0"/>
    <cellStyle name="Header2 1 4 7 4" xfId="0"/>
    <cellStyle name="Header2 1 4 7 5" xfId="0"/>
    <cellStyle name="Header2 1 4 8" xfId="0"/>
    <cellStyle name="Header2 1 4 8 2" xfId="0"/>
    <cellStyle name="Header2 1 4 8 3" xfId="0"/>
    <cellStyle name="Header2 1 4 9" xfId="0"/>
    <cellStyle name="Header2 1 5" xfId="0"/>
    <cellStyle name="Header2 1 5 2" xfId="0"/>
    <cellStyle name="Header2 1 5 2 2" xfId="0"/>
    <cellStyle name="Header2 1 5 2 2 2" xfId="0"/>
    <cellStyle name="Header2 1 5 2 2 2 2" xfId="0"/>
    <cellStyle name="Header2 1 5 2 2 2 3" xfId="0"/>
    <cellStyle name="Header2 1 5 2 2 3" xfId="0"/>
    <cellStyle name="Header2 1 5 2 2 4" xfId="0"/>
    <cellStyle name="Header2 1 5 2 3" xfId="0"/>
    <cellStyle name="Header2 1 5 2 3 2" xfId="0"/>
    <cellStyle name="Header2 1 5 2 3 2 2" xfId="0"/>
    <cellStyle name="Header2 1 5 2 3 2 3" xfId="0"/>
    <cellStyle name="Header2 1 5 2 3 3" xfId="0"/>
    <cellStyle name="Header2 1 5 2 3 4" xfId="0"/>
    <cellStyle name="Header2 1 5 2 4" xfId="0"/>
    <cellStyle name="Header2 1 5 2 4 2" xfId="0"/>
    <cellStyle name="Header2 1 5 2 4 3" xfId="0"/>
    <cellStyle name="Header2 1 5 2 5" xfId="0"/>
    <cellStyle name="Header2 1 5 2 6" xfId="0"/>
    <cellStyle name="Header2 1 5 3" xfId="0"/>
    <cellStyle name="Header2 1 5 3 2" xfId="0"/>
    <cellStyle name="Header2 1 5 3 2 2" xfId="0"/>
    <cellStyle name="Header2 1 5 3 2 2 2" xfId="0"/>
    <cellStyle name="Header2 1 5 3 2 2 3" xfId="0"/>
    <cellStyle name="Header2 1 5 3 2 3" xfId="0"/>
    <cellStyle name="Header2 1 5 3 2 4" xfId="0"/>
    <cellStyle name="Header2 1 5 3 3" xfId="0"/>
    <cellStyle name="Header2 1 5 3 3 2" xfId="0"/>
    <cellStyle name="Header2 1 5 3 3 3" xfId="0"/>
    <cellStyle name="Header2 1 5 3 4" xfId="0"/>
    <cellStyle name="Header2 1 5 3 5" xfId="0"/>
    <cellStyle name="Header2 1 5 4" xfId="0"/>
    <cellStyle name="Header2 1 5 4 2" xfId="0"/>
    <cellStyle name="Header2 1 5 4 2 2" xfId="0"/>
    <cellStyle name="Header2 1 5 4 2 2 2" xfId="0"/>
    <cellStyle name="Header2 1 5 4 2 2 3" xfId="0"/>
    <cellStyle name="Header2 1 5 4 2 3" xfId="0"/>
    <cellStyle name="Header2 1 5 4 2 4" xfId="0"/>
    <cellStyle name="Header2 1 5 4 3" xfId="0"/>
    <cellStyle name="Header2 1 5 4 3 2" xfId="0"/>
    <cellStyle name="Header2 1 5 4 3 3" xfId="0"/>
    <cellStyle name="Header2 1 5 4 4" xfId="0"/>
    <cellStyle name="Header2 1 5 4 5" xfId="0"/>
    <cellStyle name="Header2 1 5 5" xfId="0"/>
    <cellStyle name="Header2 1 5 5 2" xfId="0"/>
    <cellStyle name="Header2 1 5 5 3" xfId="0"/>
    <cellStyle name="Header2 1 5 6" xfId="0"/>
    <cellStyle name="Header2 1 5 7" xfId="0"/>
    <cellStyle name="Header2 1 6" xfId="0"/>
    <cellStyle name="Header2 1 6 2" xfId="0"/>
    <cellStyle name="Header2 1 6 2 2" xfId="0"/>
    <cellStyle name="Header2 1 6 2 2 2" xfId="0"/>
    <cellStyle name="Header2 1 6 2 2 2 2" xfId="0"/>
    <cellStyle name="Header2 1 6 2 2 2 3" xfId="0"/>
    <cellStyle name="Header2 1 6 2 2 3" xfId="0"/>
    <cellStyle name="Header2 1 6 2 2 4" xfId="0"/>
    <cellStyle name="Header2 1 6 2 3" xfId="0"/>
    <cellStyle name="Header2 1 6 2 3 2" xfId="0"/>
    <cellStyle name="Header2 1 6 2 3 2 2" xfId="0"/>
    <cellStyle name="Header2 1 6 2 3 2 3" xfId="0"/>
    <cellStyle name="Header2 1 6 2 3 3" xfId="0"/>
    <cellStyle name="Header2 1 6 2 3 4" xfId="0"/>
    <cellStyle name="Header2 1 6 2 4" xfId="0"/>
    <cellStyle name="Header2 1 6 2 4 2" xfId="0"/>
    <cellStyle name="Header2 1 6 2 4 3" xfId="0"/>
    <cellStyle name="Header2 1 6 2 5" xfId="0"/>
    <cellStyle name="Header2 1 6 2 6" xfId="0"/>
    <cellStyle name="Header2 1 6 3" xfId="0"/>
    <cellStyle name="Header2 1 6 3 2" xfId="0"/>
    <cellStyle name="Header2 1 6 3 2 2" xfId="0"/>
    <cellStyle name="Header2 1 6 3 2 2 2" xfId="0"/>
    <cellStyle name="Header2 1 6 3 2 2 3" xfId="0"/>
    <cellStyle name="Header2 1 6 3 2 3" xfId="0"/>
    <cellStyle name="Header2 1 6 3 2 4" xfId="0"/>
    <cellStyle name="Header2 1 6 3 3" xfId="0"/>
    <cellStyle name="Header2 1 6 3 3 2" xfId="0"/>
    <cellStyle name="Header2 1 6 3 3 3" xfId="0"/>
    <cellStyle name="Header2 1 6 3 4" xfId="0"/>
    <cellStyle name="Header2 1 6 3 5" xfId="0"/>
    <cellStyle name="Header2 1 6 4" xfId="0"/>
    <cellStyle name="Header2 1 6 4 2" xfId="0"/>
    <cellStyle name="Header2 1 6 4 2 2" xfId="0"/>
    <cellStyle name="Header2 1 6 4 2 2 2" xfId="0"/>
    <cellStyle name="Header2 1 6 4 2 2 3" xfId="0"/>
    <cellStyle name="Header2 1 6 4 2 3" xfId="0"/>
    <cellStyle name="Header2 1 6 4 2 4" xfId="0"/>
    <cellStyle name="Header2 1 6 4 3" xfId="0"/>
    <cellStyle name="Header2 1 6 4 3 2" xfId="0"/>
    <cellStyle name="Header2 1 6 4 3 3" xfId="0"/>
    <cellStyle name="Header2 1 6 4 4" xfId="0"/>
    <cellStyle name="Header2 1 6 4 5" xfId="0"/>
    <cellStyle name="Header2 1 6 5" xfId="0"/>
    <cellStyle name="Header2 1 6 5 2" xfId="0"/>
    <cellStyle name="Header2 1 6 5 3" xfId="0"/>
    <cellStyle name="Header2 1 6 6" xfId="0"/>
    <cellStyle name="Header2 1 6 7" xfId="0"/>
    <cellStyle name="Header2 1 7" xfId="0"/>
    <cellStyle name="Header2 1 7 2" xfId="0"/>
    <cellStyle name="Header2 1 7 2 2" xfId="0"/>
    <cellStyle name="Header2 1 7 2 2 2" xfId="0"/>
    <cellStyle name="Header2 1 7 2 2 2 2" xfId="0"/>
    <cellStyle name="Header2 1 7 2 2 2 3" xfId="0"/>
    <cellStyle name="Header2 1 7 2 2 3" xfId="0"/>
    <cellStyle name="Header2 1 7 2 2 4" xfId="0"/>
    <cellStyle name="Header2 1 7 2 3" xfId="0"/>
    <cellStyle name="Header2 1 7 2 3 2" xfId="0"/>
    <cellStyle name="Header2 1 7 2 3 2 2" xfId="0"/>
    <cellStyle name="Header2 1 7 2 3 2 3" xfId="0"/>
    <cellStyle name="Header2 1 7 2 3 3" xfId="0"/>
    <cellStyle name="Header2 1 7 2 3 4" xfId="0"/>
    <cellStyle name="Header2 1 7 2 4" xfId="0"/>
    <cellStyle name="Header2 1 7 2 4 2" xfId="0"/>
    <cellStyle name="Header2 1 7 2 4 3" xfId="0"/>
    <cellStyle name="Header2 1 7 2 5" xfId="0"/>
    <cellStyle name="Header2 1 7 2 6" xfId="0"/>
    <cellStyle name="Header2 1 7 3" xfId="0"/>
    <cellStyle name="Header2 1 7 3 2" xfId="0"/>
    <cellStyle name="Header2 1 7 3 2 2" xfId="0"/>
    <cellStyle name="Header2 1 7 3 2 2 2" xfId="0"/>
    <cellStyle name="Header2 1 7 3 2 2 3" xfId="0"/>
    <cellStyle name="Header2 1 7 3 2 3" xfId="0"/>
    <cellStyle name="Header2 1 7 3 2 4" xfId="0"/>
    <cellStyle name="Header2 1 7 3 3" xfId="0"/>
    <cellStyle name="Header2 1 7 3 3 2" xfId="0"/>
    <cellStyle name="Header2 1 7 3 3 3" xfId="0"/>
    <cellStyle name="Header2 1 7 3 4" xfId="0"/>
    <cellStyle name="Header2 1 7 3 5" xfId="0"/>
    <cellStyle name="Header2 1 7 4" xfId="0"/>
    <cellStyle name="Header2 1 7 4 2" xfId="0"/>
    <cellStyle name="Header2 1 7 4 2 2" xfId="0"/>
    <cellStyle name="Header2 1 7 4 2 2 2" xfId="0"/>
    <cellStyle name="Header2 1 7 4 2 2 3" xfId="0"/>
    <cellStyle name="Header2 1 7 4 2 3" xfId="0"/>
    <cellStyle name="Header2 1 7 4 2 4" xfId="0"/>
    <cellStyle name="Header2 1 7 4 3" xfId="0"/>
    <cellStyle name="Header2 1 7 4 3 2" xfId="0"/>
    <cellStyle name="Header2 1 7 4 3 3" xfId="0"/>
    <cellStyle name="Header2 1 7 4 4" xfId="0"/>
    <cellStyle name="Header2 1 7 4 5" xfId="0"/>
    <cellStyle name="Header2 1 7 5" xfId="0"/>
    <cellStyle name="Header2 1 7 5 2" xfId="0"/>
    <cellStyle name="Header2 1 7 5 3" xfId="0"/>
    <cellStyle name="Header2 1 7 6" xfId="0"/>
    <cellStyle name="Header2 1 7 7" xfId="0"/>
    <cellStyle name="Header2 1 8" xfId="0"/>
    <cellStyle name="Header2 1 8 2" xfId="0"/>
    <cellStyle name="Header2 1 8 2 2" xfId="0"/>
    <cellStyle name="Header2 1 8 2 2 2" xfId="0"/>
    <cellStyle name="Header2 1 8 2 2 2 2" xfId="0"/>
    <cellStyle name="Header2 1 8 2 2 2 3" xfId="0"/>
    <cellStyle name="Header2 1 8 2 2 3" xfId="0"/>
    <cellStyle name="Header2 1 8 2 2 4" xfId="0"/>
    <cellStyle name="Header2 1 8 2 3" xfId="0"/>
    <cellStyle name="Header2 1 8 2 3 2" xfId="0"/>
    <cellStyle name="Header2 1 8 2 3 2 2" xfId="0"/>
    <cellStyle name="Header2 1 8 2 3 2 3" xfId="0"/>
    <cellStyle name="Header2 1 8 2 3 3" xfId="0"/>
    <cellStyle name="Header2 1 8 2 3 4" xfId="0"/>
    <cellStyle name="Header2 1 8 2 4" xfId="0"/>
    <cellStyle name="Header2 1 8 2 4 2" xfId="0"/>
    <cellStyle name="Header2 1 8 2 4 3" xfId="0"/>
    <cellStyle name="Header2 1 8 2 5" xfId="0"/>
    <cellStyle name="Header2 1 8 2 6" xfId="0"/>
    <cellStyle name="Header2 1 8 3" xfId="0"/>
    <cellStyle name="Header2 1 8 3 2" xfId="0"/>
    <cellStyle name="Header2 1 8 3 2 2" xfId="0"/>
    <cellStyle name="Header2 1 8 3 2 2 2" xfId="0"/>
    <cellStyle name="Header2 1 8 3 2 2 3" xfId="0"/>
    <cellStyle name="Header2 1 8 3 2 3" xfId="0"/>
    <cellStyle name="Header2 1 8 3 2 4" xfId="0"/>
    <cellStyle name="Header2 1 8 3 3" xfId="0"/>
    <cellStyle name="Header2 1 8 3 3 2" xfId="0"/>
    <cellStyle name="Header2 1 8 3 3 3" xfId="0"/>
    <cellStyle name="Header2 1 8 3 4" xfId="0"/>
    <cellStyle name="Header2 1 8 3 5" xfId="0"/>
    <cellStyle name="Header2 1 8 4" xfId="0"/>
    <cellStyle name="Header2 1 8 4 2" xfId="0"/>
    <cellStyle name="Header2 1 8 4 2 2" xfId="0"/>
    <cellStyle name="Header2 1 8 4 2 2 2" xfId="0"/>
    <cellStyle name="Header2 1 8 4 2 2 3" xfId="0"/>
    <cellStyle name="Header2 1 8 4 2 3" xfId="0"/>
    <cellStyle name="Header2 1 8 4 2 4" xfId="0"/>
    <cellStyle name="Header2 1 8 4 3" xfId="0"/>
    <cellStyle name="Header2 1 8 4 3 2" xfId="0"/>
    <cellStyle name="Header2 1 8 4 3 3" xfId="0"/>
    <cellStyle name="Header2 1 8 4 4" xfId="0"/>
    <cellStyle name="Header2 1 8 4 5" xfId="0"/>
    <cellStyle name="Header2 1 8 5" xfId="0"/>
    <cellStyle name="Header2 1 8 5 2" xfId="0"/>
    <cellStyle name="Header2 1 8 5 3" xfId="0"/>
    <cellStyle name="Header2 1 8 6" xfId="0"/>
    <cellStyle name="Header2 1 8 7" xfId="0"/>
    <cellStyle name="Header2 1 9" xfId="0"/>
    <cellStyle name="Header2 1 9 2" xfId="0"/>
    <cellStyle name="Header2 1 9 2 2" xfId="0"/>
    <cellStyle name="Header2 1 9 2 2 2" xfId="0"/>
    <cellStyle name="Header2 1 9 2 2 2 2" xfId="0"/>
    <cellStyle name="Header2 1 9 2 2 2 3" xfId="0"/>
    <cellStyle name="Header2 1 9 2 2 3" xfId="0"/>
    <cellStyle name="Header2 1 9 2 2 4" xfId="0"/>
    <cellStyle name="Header2 1 9 2 3" xfId="0"/>
    <cellStyle name="Header2 1 9 2 3 2" xfId="0"/>
    <cellStyle name="Header2 1 9 2 3 2 2" xfId="0"/>
    <cellStyle name="Header2 1 9 2 3 2 3" xfId="0"/>
    <cellStyle name="Header2 1 9 2 3 3" xfId="0"/>
    <cellStyle name="Header2 1 9 2 3 4" xfId="0"/>
    <cellStyle name="Header2 1 9 2 4" xfId="0"/>
    <cellStyle name="Header2 1 9 2 4 2" xfId="0"/>
    <cellStyle name="Header2 1 9 2 4 3" xfId="0"/>
    <cellStyle name="Header2 1 9 2 5" xfId="0"/>
    <cellStyle name="Header2 1 9 2 6" xfId="0"/>
    <cellStyle name="Header2 1 9 3" xfId="0"/>
    <cellStyle name="Header2 1 9 3 2" xfId="0"/>
    <cellStyle name="Header2 1 9 3 2 2" xfId="0"/>
    <cellStyle name="Header2 1 9 3 2 2 2" xfId="0"/>
    <cellStyle name="Header2 1 9 3 2 2 3" xfId="0"/>
    <cellStyle name="Header2 1 9 3 2 3" xfId="0"/>
    <cellStyle name="Header2 1 9 3 2 4" xfId="0"/>
    <cellStyle name="Header2 1 9 3 3" xfId="0"/>
    <cellStyle name="Header2 1 9 3 3 2" xfId="0"/>
    <cellStyle name="Header2 1 9 3 3 3" xfId="0"/>
    <cellStyle name="Header2 1 9 3 4" xfId="0"/>
    <cellStyle name="Header2 1 9 3 5" xfId="0"/>
    <cellStyle name="Header2 1 9 4" xfId="0"/>
    <cellStyle name="Header2 1 9 4 2" xfId="0"/>
    <cellStyle name="Header2 1 9 4 2 2" xfId="0"/>
    <cellStyle name="Header2 1 9 4 2 2 2" xfId="0"/>
    <cellStyle name="Header2 1 9 4 2 2 3" xfId="0"/>
    <cellStyle name="Header2 1 9 4 2 3" xfId="0"/>
    <cellStyle name="Header2 1 9 4 2 4" xfId="0"/>
    <cellStyle name="Header2 1 9 4 3" xfId="0"/>
    <cellStyle name="Header2 1 9 4 3 2" xfId="0"/>
    <cellStyle name="Header2 1 9 4 3 3" xfId="0"/>
    <cellStyle name="Header2 1 9 4 4" xfId="0"/>
    <cellStyle name="Header2 1 9 4 5" xfId="0"/>
    <cellStyle name="Header2 1 9 5" xfId="0"/>
    <cellStyle name="Header2 1 9 5 2" xfId="0"/>
    <cellStyle name="Header2 1 9 5 3" xfId="0"/>
    <cellStyle name="Header2 1 9 6" xfId="0"/>
    <cellStyle name="Header2 1 9 7" xfId="0"/>
    <cellStyle name="Header2 10" xfId="0"/>
    <cellStyle name="Header2 10 2" xfId="0"/>
    <cellStyle name="Header2 10 2 2" xfId="0"/>
    <cellStyle name="Header2 10 2 2 2" xfId="0"/>
    <cellStyle name="Header2 10 2 2 2 2" xfId="0"/>
    <cellStyle name="Header2 10 2 2 2 3" xfId="0"/>
    <cellStyle name="Header2 10 2 2 3" xfId="0"/>
    <cellStyle name="Header2 10 2 2 4" xfId="0"/>
    <cellStyle name="Header2 10 2 3" xfId="0"/>
    <cellStyle name="Header2 10 2 3 2" xfId="0"/>
    <cellStyle name="Header2 10 2 3 2 2" xfId="0"/>
    <cellStyle name="Header2 10 2 3 2 3" xfId="0"/>
    <cellStyle name="Header2 10 2 3 3" xfId="0"/>
    <cellStyle name="Header2 10 2 3 4" xfId="0"/>
    <cellStyle name="Header2 10 2 4" xfId="0"/>
    <cellStyle name="Header2 10 2 4 2" xfId="0"/>
    <cellStyle name="Header2 10 2 4 3" xfId="0"/>
    <cellStyle name="Header2 10 2 5" xfId="0"/>
    <cellStyle name="Header2 10 2 6" xfId="0"/>
    <cellStyle name="Header2 10 3" xfId="0"/>
    <cellStyle name="Header2 10 3 2" xfId="0"/>
    <cellStyle name="Header2 10 3 2 2" xfId="0"/>
    <cellStyle name="Header2 10 3 2 2 2" xfId="0"/>
    <cellStyle name="Header2 10 3 2 2 3" xfId="0"/>
    <cellStyle name="Header2 10 3 2 3" xfId="0"/>
    <cellStyle name="Header2 10 3 2 4" xfId="0"/>
    <cellStyle name="Header2 10 3 3" xfId="0"/>
    <cellStyle name="Header2 10 3 3 2" xfId="0"/>
    <cellStyle name="Header2 10 3 3 3" xfId="0"/>
    <cellStyle name="Header2 10 3 4" xfId="0"/>
    <cellStyle name="Header2 10 3 5" xfId="0"/>
    <cellStyle name="Header2 10 4" xfId="0"/>
    <cellStyle name="Header2 10 4 2" xfId="0"/>
    <cellStyle name="Header2 10 4 2 2" xfId="0"/>
    <cellStyle name="Header2 10 4 2 2 2" xfId="0"/>
    <cellStyle name="Header2 10 4 2 2 3" xfId="0"/>
    <cellStyle name="Header2 10 4 2 3" xfId="0"/>
    <cellStyle name="Header2 10 4 2 4" xfId="0"/>
    <cellStyle name="Header2 10 4 3" xfId="0"/>
    <cellStyle name="Header2 10 4 3 2" xfId="0"/>
    <cellStyle name="Header2 10 4 3 3" xfId="0"/>
    <cellStyle name="Header2 10 4 4" xfId="0"/>
    <cellStyle name="Header2 10 4 5" xfId="0"/>
    <cellStyle name="Header2 10 5" xfId="0"/>
    <cellStyle name="Header2 10 5 2" xfId="0"/>
    <cellStyle name="Header2 10 5 3" xfId="0"/>
    <cellStyle name="Header2 10 6" xfId="0"/>
    <cellStyle name="Header2 10 7" xfId="0"/>
    <cellStyle name="Header2 11" xfId="0"/>
    <cellStyle name="Header2 11 2" xfId="0"/>
    <cellStyle name="Header2 11 2 2" xfId="0"/>
    <cellStyle name="Header2 11 2 2 2" xfId="0"/>
    <cellStyle name="Header2 11 2 2 2 2" xfId="0"/>
    <cellStyle name="Header2 11 2 2 2 3" xfId="0"/>
    <cellStyle name="Header2 11 2 2 3" xfId="0"/>
    <cellStyle name="Header2 11 2 2 4" xfId="0"/>
    <cellStyle name="Header2 11 2 3" xfId="0"/>
    <cellStyle name="Header2 11 2 3 2" xfId="0"/>
    <cellStyle name="Header2 11 2 3 2 2" xfId="0"/>
    <cellStyle name="Header2 11 2 3 2 3" xfId="0"/>
    <cellStyle name="Header2 11 2 3 3" xfId="0"/>
    <cellStyle name="Header2 11 2 3 4" xfId="0"/>
    <cellStyle name="Header2 11 2 4" xfId="0"/>
    <cellStyle name="Header2 11 2 4 2" xfId="0"/>
    <cellStyle name="Header2 11 2 4 3" xfId="0"/>
    <cellStyle name="Header2 11 2 5" xfId="0"/>
    <cellStyle name="Header2 11 2 6" xfId="0"/>
    <cellStyle name="Header2 11 3" xfId="0"/>
    <cellStyle name="Header2 11 3 2" xfId="0"/>
    <cellStyle name="Header2 11 3 2 2" xfId="0"/>
    <cellStyle name="Header2 11 3 2 2 2" xfId="0"/>
    <cellStyle name="Header2 11 3 2 2 3" xfId="0"/>
    <cellStyle name="Header2 11 3 2 3" xfId="0"/>
    <cellStyle name="Header2 11 3 2 4" xfId="0"/>
    <cellStyle name="Header2 11 3 3" xfId="0"/>
    <cellStyle name="Header2 11 3 3 2" xfId="0"/>
    <cellStyle name="Header2 11 3 3 3" xfId="0"/>
    <cellStyle name="Header2 11 3 4" xfId="0"/>
    <cellStyle name="Header2 11 3 5" xfId="0"/>
    <cellStyle name="Header2 11 4" xfId="0"/>
    <cellStyle name="Header2 11 4 2" xfId="0"/>
    <cellStyle name="Header2 11 4 2 2" xfId="0"/>
    <cellStyle name="Header2 11 4 2 2 2" xfId="0"/>
    <cellStyle name="Header2 11 4 2 2 3" xfId="0"/>
    <cellStyle name="Header2 11 4 2 3" xfId="0"/>
    <cellStyle name="Header2 11 4 2 4" xfId="0"/>
    <cellStyle name="Header2 11 4 3" xfId="0"/>
    <cellStyle name="Header2 11 4 3 2" xfId="0"/>
    <cellStyle name="Header2 11 4 3 3" xfId="0"/>
    <cellStyle name="Header2 11 4 4" xfId="0"/>
    <cellStyle name="Header2 11 4 5" xfId="0"/>
    <cellStyle name="Header2 11 5" xfId="0"/>
    <cellStyle name="Header2 11 5 2" xfId="0"/>
    <cellStyle name="Header2 11 5 3" xfId="0"/>
    <cellStyle name="Header2 11 6" xfId="0"/>
    <cellStyle name="Header2 11 7" xfId="0"/>
    <cellStyle name="Header2 12" xfId="0"/>
    <cellStyle name="Header2 12 2" xfId="0"/>
    <cellStyle name="Header2 12 2 2" xfId="0"/>
    <cellStyle name="Header2 12 2 2 2" xfId="0"/>
    <cellStyle name="Header2 12 2 2 2 2" xfId="0"/>
    <cellStyle name="Header2 12 2 2 2 3" xfId="0"/>
    <cellStyle name="Header2 12 2 2 3" xfId="0"/>
    <cellStyle name="Header2 12 2 2 4" xfId="0"/>
    <cellStyle name="Header2 12 2 3" xfId="0"/>
    <cellStyle name="Header2 12 2 3 2" xfId="0"/>
    <cellStyle name="Header2 12 2 3 2 2" xfId="0"/>
    <cellStyle name="Header2 12 2 3 2 3" xfId="0"/>
    <cellStyle name="Header2 12 2 3 3" xfId="0"/>
    <cellStyle name="Header2 12 2 3 4" xfId="0"/>
    <cellStyle name="Header2 12 2 4" xfId="0"/>
    <cellStyle name="Header2 12 2 4 2" xfId="0"/>
    <cellStyle name="Header2 12 2 4 3" xfId="0"/>
    <cellStyle name="Header2 12 2 5" xfId="0"/>
    <cellStyle name="Header2 12 2 6" xfId="0"/>
    <cellStyle name="Header2 12 3" xfId="0"/>
    <cellStyle name="Header2 12 3 2" xfId="0"/>
    <cellStyle name="Header2 12 3 2 2" xfId="0"/>
    <cellStyle name="Header2 12 3 2 2 2" xfId="0"/>
    <cellStyle name="Header2 12 3 2 2 3" xfId="0"/>
    <cellStyle name="Header2 12 3 2 3" xfId="0"/>
    <cellStyle name="Header2 12 3 2 4" xfId="0"/>
    <cellStyle name="Header2 12 3 3" xfId="0"/>
    <cellStyle name="Header2 12 3 3 2" xfId="0"/>
    <cellStyle name="Header2 12 3 3 3" xfId="0"/>
    <cellStyle name="Header2 12 3 4" xfId="0"/>
    <cellStyle name="Header2 12 3 5" xfId="0"/>
    <cellStyle name="Header2 12 4" xfId="0"/>
    <cellStyle name="Header2 12 4 2" xfId="0"/>
    <cellStyle name="Header2 12 4 2 2" xfId="0"/>
    <cellStyle name="Header2 12 4 2 2 2" xfId="0"/>
    <cellStyle name="Header2 12 4 2 2 3" xfId="0"/>
    <cellStyle name="Header2 12 4 2 3" xfId="0"/>
    <cellStyle name="Header2 12 4 2 4" xfId="0"/>
    <cellStyle name="Header2 12 4 3" xfId="0"/>
    <cellStyle name="Header2 12 4 3 2" xfId="0"/>
    <cellStyle name="Header2 12 4 3 3" xfId="0"/>
    <cellStyle name="Header2 12 4 4" xfId="0"/>
    <cellStyle name="Header2 12 4 5" xfId="0"/>
    <cellStyle name="Header2 12 5" xfId="0"/>
    <cellStyle name="Header2 12 5 2" xfId="0"/>
    <cellStyle name="Header2 12 5 3" xfId="0"/>
    <cellStyle name="Header2 12 6" xfId="0"/>
    <cellStyle name="Header2 12 7" xfId="0"/>
    <cellStyle name="Header2 13" xfId="0"/>
    <cellStyle name="Header2 13 2" xfId="0"/>
    <cellStyle name="Header2 13 2 2" xfId="0"/>
    <cellStyle name="Header2 13 2 2 2" xfId="0"/>
    <cellStyle name="Header2 13 2 2 2 2" xfId="0"/>
    <cellStyle name="Header2 13 2 2 2 3" xfId="0"/>
    <cellStyle name="Header2 13 2 2 3" xfId="0"/>
    <cellStyle name="Header2 13 2 2 4" xfId="0"/>
    <cellStyle name="Header2 13 2 3" xfId="0"/>
    <cellStyle name="Header2 13 2 3 2" xfId="0"/>
    <cellStyle name="Header2 13 2 3 2 2" xfId="0"/>
    <cellStyle name="Header2 13 2 3 2 3" xfId="0"/>
    <cellStyle name="Header2 13 2 3 3" xfId="0"/>
    <cellStyle name="Header2 13 2 3 4" xfId="0"/>
    <cellStyle name="Header2 13 2 4" xfId="0"/>
    <cellStyle name="Header2 13 2 4 2" xfId="0"/>
    <cellStyle name="Header2 13 2 4 3" xfId="0"/>
    <cellStyle name="Header2 13 2 5" xfId="0"/>
    <cellStyle name="Header2 13 2 6" xfId="0"/>
    <cellStyle name="Header2 13 3" xfId="0"/>
    <cellStyle name="Header2 13 3 2" xfId="0"/>
    <cellStyle name="Header2 13 3 2 2" xfId="0"/>
    <cellStyle name="Header2 13 3 2 2 2" xfId="0"/>
    <cellStyle name="Header2 13 3 2 2 3" xfId="0"/>
    <cellStyle name="Header2 13 3 2 3" xfId="0"/>
    <cellStyle name="Header2 13 3 2 4" xfId="0"/>
    <cellStyle name="Header2 13 3 3" xfId="0"/>
    <cellStyle name="Header2 13 3 3 2" xfId="0"/>
    <cellStyle name="Header2 13 3 3 3" xfId="0"/>
    <cellStyle name="Header2 13 3 4" xfId="0"/>
    <cellStyle name="Header2 13 3 5" xfId="0"/>
    <cellStyle name="Header2 13 4" xfId="0"/>
    <cellStyle name="Header2 13 4 2" xfId="0"/>
    <cellStyle name="Header2 13 4 2 2" xfId="0"/>
    <cellStyle name="Header2 13 4 2 2 2" xfId="0"/>
    <cellStyle name="Header2 13 4 2 2 3" xfId="0"/>
    <cellStyle name="Header2 13 4 2 3" xfId="0"/>
    <cellStyle name="Header2 13 4 2 4" xfId="0"/>
    <cellStyle name="Header2 13 4 3" xfId="0"/>
    <cellStyle name="Header2 13 4 3 2" xfId="0"/>
    <cellStyle name="Header2 13 4 3 3" xfId="0"/>
    <cellStyle name="Header2 13 4 4" xfId="0"/>
    <cellStyle name="Header2 13 4 5" xfId="0"/>
    <cellStyle name="Header2 13 5" xfId="0"/>
    <cellStyle name="Header2 13 5 2" xfId="0"/>
    <cellStyle name="Header2 13 5 3" xfId="0"/>
    <cellStyle name="Header2 13 6" xfId="0"/>
    <cellStyle name="Header2 13 7" xfId="0"/>
    <cellStyle name="Header2 14" xfId="0"/>
    <cellStyle name="Header2 14 2" xfId="0"/>
    <cellStyle name="Header2 14 2 2" xfId="0"/>
    <cellStyle name="Header2 14 2 2 2" xfId="0"/>
    <cellStyle name="Header2 14 2 2 2 2" xfId="0"/>
    <cellStyle name="Header2 14 2 2 2 3" xfId="0"/>
    <cellStyle name="Header2 14 2 2 3" xfId="0"/>
    <cellStyle name="Header2 14 2 2 4" xfId="0"/>
    <cellStyle name="Header2 14 2 3" xfId="0"/>
    <cellStyle name="Header2 14 2 3 2" xfId="0"/>
    <cellStyle name="Header2 14 2 3 2 2" xfId="0"/>
    <cellStyle name="Header2 14 2 3 2 3" xfId="0"/>
    <cellStyle name="Header2 14 2 3 3" xfId="0"/>
    <cellStyle name="Header2 14 2 3 4" xfId="0"/>
    <cellStyle name="Header2 14 2 4" xfId="0"/>
    <cellStyle name="Header2 14 2 4 2" xfId="0"/>
    <cellStyle name="Header2 14 2 4 3" xfId="0"/>
    <cellStyle name="Header2 14 2 5" xfId="0"/>
    <cellStyle name="Header2 14 2 6" xfId="0"/>
    <cellStyle name="Header2 14 3" xfId="0"/>
    <cellStyle name="Header2 14 3 2" xfId="0"/>
    <cellStyle name="Header2 14 3 2 2" xfId="0"/>
    <cellStyle name="Header2 14 3 2 2 2" xfId="0"/>
    <cellStyle name="Header2 14 3 2 2 3" xfId="0"/>
    <cellStyle name="Header2 14 3 2 3" xfId="0"/>
    <cellStyle name="Header2 14 3 2 4" xfId="0"/>
    <cellStyle name="Header2 14 3 3" xfId="0"/>
    <cellStyle name="Header2 14 3 3 2" xfId="0"/>
    <cellStyle name="Header2 14 3 3 3" xfId="0"/>
    <cellStyle name="Header2 14 3 4" xfId="0"/>
    <cellStyle name="Header2 14 3 5" xfId="0"/>
    <cellStyle name="Header2 14 4" xfId="0"/>
    <cellStyle name="Header2 14 4 2" xfId="0"/>
    <cellStyle name="Header2 14 4 2 2" xfId="0"/>
    <cellStyle name="Header2 14 4 2 2 2" xfId="0"/>
    <cellStyle name="Header2 14 4 2 2 3" xfId="0"/>
    <cellStyle name="Header2 14 4 2 3" xfId="0"/>
    <cellStyle name="Header2 14 4 2 4" xfId="0"/>
    <cellStyle name="Header2 14 4 3" xfId="0"/>
    <cellStyle name="Header2 14 4 3 2" xfId="0"/>
    <cellStyle name="Header2 14 4 3 3" xfId="0"/>
    <cellStyle name="Header2 14 4 4" xfId="0"/>
    <cellStyle name="Header2 14 4 5" xfId="0"/>
    <cellStyle name="Header2 14 5" xfId="0"/>
    <cellStyle name="Header2 14 5 2" xfId="0"/>
    <cellStyle name="Header2 14 5 3" xfId="0"/>
    <cellStyle name="Header2 14 6" xfId="0"/>
    <cellStyle name="Header2 14 7" xfId="0"/>
    <cellStyle name="Header2 15" xfId="0"/>
    <cellStyle name="Header2 15 2" xfId="0"/>
    <cellStyle name="Header2 15 2 2" xfId="0"/>
    <cellStyle name="Header2 15 2 2 2" xfId="0"/>
    <cellStyle name="Header2 15 2 2 2 2" xfId="0"/>
    <cellStyle name="Header2 15 2 2 2 3" xfId="0"/>
    <cellStyle name="Header2 15 2 2 3" xfId="0"/>
    <cellStyle name="Header2 15 2 2 4" xfId="0"/>
    <cellStyle name="Header2 15 2 3" xfId="0"/>
    <cellStyle name="Header2 15 2 3 2" xfId="0"/>
    <cellStyle name="Header2 15 2 3 2 2" xfId="0"/>
    <cellStyle name="Header2 15 2 3 2 3" xfId="0"/>
    <cellStyle name="Header2 15 2 3 3" xfId="0"/>
    <cellStyle name="Header2 15 2 3 4" xfId="0"/>
    <cellStyle name="Header2 15 2 4" xfId="0"/>
    <cellStyle name="Header2 15 2 4 2" xfId="0"/>
    <cellStyle name="Header2 15 2 4 3" xfId="0"/>
    <cellStyle name="Header2 15 2 5" xfId="0"/>
    <cellStyle name="Header2 15 2 6" xfId="0"/>
    <cellStyle name="Header2 15 3" xfId="0"/>
    <cellStyle name="Header2 15 3 2" xfId="0"/>
    <cellStyle name="Header2 15 3 2 2" xfId="0"/>
    <cellStyle name="Header2 15 3 2 2 2" xfId="0"/>
    <cellStyle name="Header2 15 3 2 2 3" xfId="0"/>
    <cellStyle name="Header2 15 3 2 3" xfId="0"/>
    <cellStyle name="Header2 15 3 2 4" xfId="0"/>
    <cellStyle name="Header2 15 3 3" xfId="0"/>
    <cellStyle name="Header2 15 3 3 2" xfId="0"/>
    <cellStyle name="Header2 15 3 3 3" xfId="0"/>
    <cellStyle name="Header2 15 3 4" xfId="0"/>
    <cellStyle name="Header2 15 3 5" xfId="0"/>
    <cellStyle name="Header2 15 4" xfId="0"/>
    <cellStyle name="Header2 15 4 2" xfId="0"/>
    <cellStyle name="Header2 15 4 2 2" xfId="0"/>
    <cellStyle name="Header2 15 4 2 2 2" xfId="0"/>
    <cellStyle name="Header2 15 4 2 2 3" xfId="0"/>
    <cellStyle name="Header2 15 4 2 3" xfId="0"/>
    <cellStyle name="Header2 15 4 2 4" xfId="0"/>
    <cellStyle name="Header2 15 4 3" xfId="0"/>
    <cellStyle name="Header2 15 4 3 2" xfId="0"/>
    <cellStyle name="Header2 15 4 3 3" xfId="0"/>
    <cellStyle name="Header2 15 4 4" xfId="0"/>
    <cellStyle name="Header2 15 4 5" xfId="0"/>
    <cellStyle name="Header2 15 5" xfId="0"/>
    <cellStyle name="Header2 15 5 2" xfId="0"/>
    <cellStyle name="Header2 15 5 3" xfId="0"/>
    <cellStyle name="Header2 15 6" xfId="0"/>
    <cellStyle name="Header2 15 7" xfId="0"/>
    <cellStyle name="Header2 16" xfId="0"/>
    <cellStyle name="Header2 16 2" xfId="0"/>
    <cellStyle name="Header2 16 2 2" xfId="0"/>
    <cellStyle name="Header2 16 2 2 2" xfId="0"/>
    <cellStyle name="Header2 16 2 2 2 2" xfId="0"/>
    <cellStyle name="Header2 16 2 2 2 3" xfId="0"/>
    <cellStyle name="Header2 16 2 2 3" xfId="0"/>
    <cellStyle name="Header2 16 2 2 4" xfId="0"/>
    <cellStyle name="Header2 16 2 3" xfId="0"/>
    <cellStyle name="Header2 16 2 3 2" xfId="0"/>
    <cellStyle name="Header2 16 2 3 2 2" xfId="0"/>
    <cellStyle name="Header2 16 2 3 2 3" xfId="0"/>
    <cellStyle name="Header2 16 2 3 3" xfId="0"/>
    <cellStyle name="Header2 16 2 3 4" xfId="0"/>
    <cellStyle name="Header2 16 2 4" xfId="0"/>
    <cellStyle name="Header2 16 2 4 2" xfId="0"/>
    <cellStyle name="Header2 16 2 4 3" xfId="0"/>
    <cellStyle name="Header2 16 2 5" xfId="0"/>
    <cellStyle name="Header2 16 2 6" xfId="0"/>
    <cellStyle name="Header2 16 3" xfId="0"/>
    <cellStyle name="Header2 16 3 2" xfId="0"/>
    <cellStyle name="Header2 16 3 2 2" xfId="0"/>
    <cellStyle name="Header2 16 3 2 2 2" xfId="0"/>
    <cellStyle name="Header2 16 3 2 2 3" xfId="0"/>
    <cellStyle name="Header2 16 3 2 3" xfId="0"/>
    <cellStyle name="Header2 16 3 2 4" xfId="0"/>
    <cellStyle name="Header2 16 3 3" xfId="0"/>
    <cellStyle name="Header2 16 3 3 2" xfId="0"/>
    <cellStyle name="Header2 16 3 3 3" xfId="0"/>
    <cellStyle name="Header2 16 3 4" xfId="0"/>
    <cellStyle name="Header2 16 3 5" xfId="0"/>
    <cellStyle name="Header2 16 4" xfId="0"/>
    <cellStyle name="Header2 16 4 2" xfId="0"/>
    <cellStyle name="Header2 16 4 2 2" xfId="0"/>
    <cellStyle name="Header2 16 4 2 2 2" xfId="0"/>
    <cellStyle name="Header2 16 4 2 2 3" xfId="0"/>
    <cellStyle name="Header2 16 4 2 3" xfId="0"/>
    <cellStyle name="Header2 16 4 2 4" xfId="0"/>
    <cellStyle name="Header2 16 4 3" xfId="0"/>
    <cellStyle name="Header2 16 4 3 2" xfId="0"/>
    <cellStyle name="Header2 16 4 3 3" xfId="0"/>
    <cellStyle name="Header2 16 4 4" xfId="0"/>
    <cellStyle name="Header2 16 4 5" xfId="0"/>
    <cellStyle name="Header2 16 5" xfId="0"/>
    <cellStyle name="Header2 16 5 2" xfId="0"/>
    <cellStyle name="Header2 16 5 3" xfId="0"/>
    <cellStyle name="Header2 16 6" xfId="0"/>
    <cellStyle name="Header2 16 7" xfId="0"/>
    <cellStyle name="Header2 17" xfId="0"/>
    <cellStyle name="Header2 17 2" xfId="0"/>
    <cellStyle name="Header2 17 2 2" xfId="0"/>
    <cellStyle name="Header2 17 2 2 2" xfId="0"/>
    <cellStyle name="Header2 17 2 2 2 2" xfId="0"/>
    <cellStyle name="Header2 17 2 2 2 3" xfId="0"/>
    <cellStyle name="Header2 17 2 2 3" xfId="0"/>
    <cellStyle name="Header2 17 2 2 4" xfId="0"/>
    <cellStyle name="Header2 17 2 3" xfId="0"/>
    <cellStyle name="Header2 17 2 3 2" xfId="0"/>
    <cellStyle name="Header2 17 2 3 2 2" xfId="0"/>
    <cellStyle name="Header2 17 2 3 2 3" xfId="0"/>
    <cellStyle name="Header2 17 2 3 3" xfId="0"/>
    <cellStyle name="Header2 17 2 3 4" xfId="0"/>
    <cellStyle name="Header2 17 2 4" xfId="0"/>
    <cellStyle name="Header2 17 2 4 2" xfId="0"/>
    <cellStyle name="Header2 17 2 4 3" xfId="0"/>
    <cellStyle name="Header2 17 2 5" xfId="0"/>
    <cellStyle name="Header2 17 2 6" xfId="0"/>
    <cellStyle name="Header2 17 3" xfId="0"/>
    <cellStyle name="Header2 17 3 2" xfId="0"/>
    <cellStyle name="Header2 17 3 2 2" xfId="0"/>
    <cellStyle name="Header2 17 3 2 2 2" xfId="0"/>
    <cellStyle name="Header2 17 3 2 2 3" xfId="0"/>
    <cellStyle name="Header2 17 3 2 3" xfId="0"/>
    <cellStyle name="Header2 17 3 2 4" xfId="0"/>
    <cellStyle name="Header2 17 3 3" xfId="0"/>
    <cellStyle name="Header2 17 3 3 2" xfId="0"/>
    <cellStyle name="Header2 17 3 3 3" xfId="0"/>
    <cellStyle name="Header2 17 3 4" xfId="0"/>
    <cellStyle name="Header2 17 3 5" xfId="0"/>
    <cellStyle name="Header2 17 4" xfId="0"/>
    <cellStyle name="Header2 17 4 2" xfId="0"/>
    <cellStyle name="Header2 17 4 2 2" xfId="0"/>
    <cellStyle name="Header2 17 4 2 2 2" xfId="0"/>
    <cellStyle name="Header2 17 4 2 2 3" xfId="0"/>
    <cellStyle name="Header2 17 4 2 3" xfId="0"/>
    <cellStyle name="Header2 17 4 2 4" xfId="0"/>
    <cellStyle name="Header2 17 4 3" xfId="0"/>
    <cellStyle name="Header2 17 4 3 2" xfId="0"/>
    <cellStyle name="Header2 17 4 3 3" xfId="0"/>
    <cellStyle name="Header2 17 4 4" xfId="0"/>
    <cellStyle name="Header2 17 4 5" xfId="0"/>
    <cellStyle name="Header2 17 5" xfId="0"/>
    <cellStyle name="Header2 17 5 2" xfId="0"/>
    <cellStyle name="Header2 17 5 3" xfId="0"/>
    <cellStyle name="Header2 17 6" xfId="0"/>
    <cellStyle name="Header2 17 7" xfId="0"/>
    <cellStyle name="Header2 18" xfId="0"/>
    <cellStyle name="Header2 18 2" xfId="0"/>
    <cellStyle name="Header2 18 2 2" xfId="0"/>
    <cellStyle name="Header2 18 2 2 2" xfId="0"/>
    <cellStyle name="Header2 18 2 2 2 2" xfId="0"/>
    <cellStyle name="Header2 18 2 2 2 3" xfId="0"/>
    <cellStyle name="Header2 18 2 2 3" xfId="0"/>
    <cellStyle name="Header2 18 2 2 4" xfId="0"/>
    <cellStyle name="Header2 18 2 3" xfId="0"/>
    <cellStyle name="Header2 18 2 3 2" xfId="0"/>
    <cellStyle name="Header2 18 2 3 2 2" xfId="0"/>
    <cellStyle name="Header2 18 2 3 2 3" xfId="0"/>
    <cellStyle name="Header2 18 2 3 3" xfId="0"/>
    <cellStyle name="Header2 18 2 3 4" xfId="0"/>
    <cellStyle name="Header2 18 2 4" xfId="0"/>
    <cellStyle name="Header2 18 2 4 2" xfId="0"/>
    <cellStyle name="Header2 18 2 4 3" xfId="0"/>
    <cellStyle name="Header2 18 2 5" xfId="0"/>
    <cellStyle name="Header2 18 2 6" xfId="0"/>
    <cellStyle name="Header2 18 3" xfId="0"/>
    <cellStyle name="Header2 18 3 2" xfId="0"/>
    <cellStyle name="Header2 18 3 2 2" xfId="0"/>
    <cellStyle name="Header2 18 3 2 2 2" xfId="0"/>
    <cellStyle name="Header2 18 3 2 2 3" xfId="0"/>
    <cellStyle name="Header2 18 3 2 3" xfId="0"/>
    <cellStyle name="Header2 18 3 2 4" xfId="0"/>
    <cellStyle name="Header2 18 3 3" xfId="0"/>
    <cellStyle name="Header2 18 3 3 2" xfId="0"/>
    <cellStyle name="Header2 18 3 3 3" xfId="0"/>
    <cellStyle name="Header2 18 3 4" xfId="0"/>
    <cellStyle name="Header2 18 3 5" xfId="0"/>
    <cellStyle name="Header2 18 4" xfId="0"/>
    <cellStyle name="Header2 18 4 2" xfId="0"/>
    <cellStyle name="Header2 18 4 2 2" xfId="0"/>
    <cellStyle name="Header2 18 4 2 2 2" xfId="0"/>
    <cellStyle name="Header2 18 4 2 2 3" xfId="0"/>
    <cellStyle name="Header2 18 4 2 3" xfId="0"/>
    <cellStyle name="Header2 18 4 2 4" xfId="0"/>
    <cellStyle name="Header2 18 4 3" xfId="0"/>
    <cellStyle name="Header2 18 4 3 2" xfId="0"/>
    <cellStyle name="Header2 18 4 3 3" xfId="0"/>
    <cellStyle name="Header2 18 4 4" xfId="0"/>
    <cellStyle name="Header2 18 4 5" xfId="0"/>
    <cellStyle name="Header2 18 5" xfId="0"/>
    <cellStyle name="Header2 18 5 2" xfId="0"/>
    <cellStyle name="Header2 18 5 3" xfId="0"/>
    <cellStyle name="Header2 18 6" xfId="0"/>
    <cellStyle name="Header2 18 7" xfId="0"/>
    <cellStyle name="Header2 19" xfId="0"/>
    <cellStyle name="Header2 19 2" xfId="0"/>
    <cellStyle name="Header2 19 2 2" xfId="0"/>
    <cellStyle name="Header2 19 2 2 2" xfId="0"/>
    <cellStyle name="Header2 19 2 2 2 2" xfId="0"/>
    <cellStyle name="Header2 19 2 2 2 3" xfId="0"/>
    <cellStyle name="Header2 19 2 2 3" xfId="0"/>
    <cellStyle name="Header2 19 2 2 4" xfId="0"/>
    <cellStyle name="Header2 19 2 3" xfId="0"/>
    <cellStyle name="Header2 19 2 3 2" xfId="0"/>
    <cellStyle name="Header2 19 2 3 2 2" xfId="0"/>
    <cellStyle name="Header2 19 2 3 2 3" xfId="0"/>
    <cellStyle name="Header2 19 2 3 3" xfId="0"/>
    <cellStyle name="Header2 19 2 3 4" xfId="0"/>
    <cellStyle name="Header2 19 2 4" xfId="0"/>
    <cellStyle name="Header2 19 2 4 2" xfId="0"/>
    <cellStyle name="Header2 19 2 4 3" xfId="0"/>
    <cellStyle name="Header2 19 2 5" xfId="0"/>
    <cellStyle name="Header2 19 2 6" xfId="0"/>
    <cellStyle name="Header2 19 3" xfId="0"/>
    <cellStyle name="Header2 19 3 2" xfId="0"/>
    <cellStyle name="Header2 19 3 2 2" xfId="0"/>
    <cellStyle name="Header2 19 3 2 2 2" xfId="0"/>
    <cellStyle name="Header2 19 3 2 2 3" xfId="0"/>
    <cellStyle name="Header2 19 3 2 3" xfId="0"/>
    <cellStyle name="Header2 19 3 2 4" xfId="0"/>
    <cellStyle name="Header2 19 3 3" xfId="0"/>
    <cellStyle name="Header2 19 3 3 2" xfId="0"/>
    <cellStyle name="Header2 19 3 3 3" xfId="0"/>
    <cellStyle name="Header2 19 3 4" xfId="0"/>
    <cellStyle name="Header2 19 3 5" xfId="0"/>
    <cellStyle name="Header2 19 4" xfId="0"/>
    <cellStyle name="Header2 19 4 2" xfId="0"/>
    <cellStyle name="Header2 19 4 2 2" xfId="0"/>
    <cellStyle name="Header2 19 4 2 2 2" xfId="0"/>
    <cellStyle name="Header2 19 4 2 2 3" xfId="0"/>
    <cellStyle name="Header2 19 4 2 3" xfId="0"/>
    <cellStyle name="Header2 19 4 2 4" xfId="0"/>
    <cellStyle name="Header2 19 4 3" xfId="0"/>
    <cellStyle name="Header2 19 4 3 2" xfId="0"/>
    <cellStyle name="Header2 19 4 3 3" xfId="0"/>
    <cellStyle name="Header2 19 4 4" xfId="0"/>
    <cellStyle name="Header2 19 4 5" xfId="0"/>
    <cellStyle name="Header2 19 5" xfId="0"/>
    <cellStyle name="Header2 19 5 2" xfId="0"/>
    <cellStyle name="Header2 19 5 3" xfId="0"/>
    <cellStyle name="Header2 19 6" xfId="0"/>
    <cellStyle name="Header2 19 7" xfId="0"/>
    <cellStyle name="Header2 2" xfId="0"/>
    <cellStyle name="Header2 2 10" xfId="0"/>
    <cellStyle name="Header2 2 10 2" xfId="0"/>
    <cellStyle name="Header2 2 10 2 2" xfId="0"/>
    <cellStyle name="Header2 2 10 2 2 2" xfId="0"/>
    <cellStyle name="Header2 2 10 2 2 2 2" xfId="0"/>
    <cellStyle name="Header2 2 10 2 2 2 3" xfId="0"/>
    <cellStyle name="Header2 2 10 2 2 3" xfId="0"/>
    <cellStyle name="Header2 2 10 2 2 4" xfId="0"/>
    <cellStyle name="Header2 2 10 2 3" xfId="0"/>
    <cellStyle name="Header2 2 10 2 3 2" xfId="0"/>
    <cellStyle name="Header2 2 10 2 3 2 2" xfId="0"/>
    <cellStyle name="Header2 2 10 2 3 2 3" xfId="0"/>
    <cellStyle name="Header2 2 10 2 3 3" xfId="0"/>
    <cellStyle name="Header2 2 10 2 3 4" xfId="0"/>
    <cellStyle name="Header2 2 10 2 4" xfId="0"/>
    <cellStyle name="Header2 2 10 2 4 2" xfId="0"/>
    <cellStyle name="Header2 2 10 2 4 3" xfId="0"/>
    <cellStyle name="Header2 2 10 2 5" xfId="0"/>
    <cellStyle name="Header2 2 10 2 6" xfId="0"/>
    <cellStyle name="Header2 2 10 3" xfId="0"/>
    <cellStyle name="Header2 2 10 3 2" xfId="0"/>
    <cellStyle name="Header2 2 10 3 2 2" xfId="0"/>
    <cellStyle name="Header2 2 10 3 2 2 2" xfId="0"/>
    <cellStyle name="Header2 2 10 3 2 2 3" xfId="0"/>
    <cellStyle name="Header2 2 10 3 2 3" xfId="0"/>
    <cellStyle name="Header2 2 10 3 2 4" xfId="0"/>
    <cellStyle name="Header2 2 10 3 3" xfId="0"/>
    <cellStyle name="Header2 2 10 3 3 2" xfId="0"/>
    <cellStyle name="Header2 2 10 3 3 3" xfId="0"/>
    <cellStyle name="Header2 2 10 3 4" xfId="0"/>
    <cellStyle name="Header2 2 10 3 5" xfId="0"/>
    <cellStyle name="Header2 2 10 4" xfId="0"/>
    <cellStyle name="Header2 2 10 4 2" xfId="0"/>
    <cellStyle name="Header2 2 10 4 2 2" xfId="0"/>
    <cellStyle name="Header2 2 10 4 2 2 2" xfId="0"/>
    <cellStyle name="Header2 2 10 4 2 2 3" xfId="0"/>
    <cellStyle name="Header2 2 10 4 2 3" xfId="0"/>
    <cellStyle name="Header2 2 10 4 2 4" xfId="0"/>
    <cellStyle name="Header2 2 10 4 3" xfId="0"/>
    <cellStyle name="Header2 2 10 4 3 2" xfId="0"/>
    <cellStyle name="Header2 2 10 4 3 3" xfId="0"/>
    <cellStyle name="Header2 2 10 4 4" xfId="0"/>
    <cellStyle name="Header2 2 10 4 5" xfId="0"/>
    <cellStyle name="Header2 2 10 5" xfId="0"/>
    <cellStyle name="Header2 2 10 5 2" xfId="0"/>
    <cellStyle name="Header2 2 10 5 3" xfId="0"/>
    <cellStyle name="Header2 2 10 6" xfId="0"/>
    <cellStyle name="Header2 2 10 7" xfId="0"/>
    <cellStyle name="Header2 2 11" xfId="0"/>
    <cellStyle name="Header2 2 11 2" xfId="0"/>
    <cellStyle name="Header2 2 11 2 2" xfId="0"/>
    <cellStyle name="Header2 2 11 2 2 2" xfId="0"/>
    <cellStyle name="Header2 2 11 2 2 2 2" xfId="0"/>
    <cellStyle name="Header2 2 11 2 2 2 3" xfId="0"/>
    <cellStyle name="Header2 2 11 2 2 3" xfId="0"/>
    <cellStyle name="Header2 2 11 2 2 4" xfId="0"/>
    <cellStyle name="Header2 2 11 2 3" xfId="0"/>
    <cellStyle name="Header2 2 11 2 3 2" xfId="0"/>
    <cellStyle name="Header2 2 11 2 3 2 2" xfId="0"/>
    <cellStyle name="Header2 2 11 2 3 2 3" xfId="0"/>
    <cellStyle name="Header2 2 11 2 3 3" xfId="0"/>
    <cellStyle name="Header2 2 11 2 3 4" xfId="0"/>
    <cellStyle name="Header2 2 11 2 4" xfId="0"/>
    <cellStyle name="Header2 2 11 2 4 2" xfId="0"/>
    <cellStyle name="Header2 2 11 2 4 3" xfId="0"/>
    <cellStyle name="Header2 2 11 2 5" xfId="0"/>
    <cellStyle name="Header2 2 11 2 6" xfId="0"/>
    <cellStyle name="Header2 2 11 3" xfId="0"/>
    <cellStyle name="Header2 2 11 3 2" xfId="0"/>
    <cellStyle name="Header2 2 11 3 2 2" xfId="0"/>
    <cellStyle name="Header2 2 11 3 2 2 2" xfId="0"/>
    <cellStyle name="Header2 2 11 3 2 2 3" xfId="0"/>
    <cellStyle name="Header2 2 11 3 2 3" xfId="0"/>
    <cellStyle name="Header2 2 11 3 2 4" xfId="0"/>
    <cellStyle name="Header2 2 11 3 3" xfId="0"/>
    <cellStyle name="Header2 2 11 3 3 2" xfId="0"/>
    <cellStyle name="Header2 2 11 3 3 3" xfId="0"/>
    <cellStyle name="Header2 2 11 3 4" xfId="0"/>
    <cellStyle name="Header2 2 11 3 5" xfId="0"/>
    <cellStyle name="Header2 2 11 4" xfId="0"/>
    <cellStyle name="Header2 2 11 4 2" xfId="0"/>
    <cellStyle name="Header2 2 11 4 2 2" xfId="0"/>
    <cellStyle name="Header2 2 11 4 2 2 2" xfId="0"/>
    <cellStyle name="Header2 2 11 4 2 2 3" xfId="0"/>
    <cellStyle name="Header2 2 11 4 2 3" xfId="0"/>
    <cellStyle name="Header2 2 11 4 2 4" xfId="0"/>
    <cellStyle name="Header2 2 11 4 3" xfId="0"/>
    <cellStyle name="Header2 2 11 4 3 2" xfId="0"/>
    <cellStyle name="Header2 2 11 4 3 3" xfId="0"/>
    <cellStyle name="Header2 2 11 4 4" xfId="0"/>
    <cellStyle name="Header2 2 11 4 5" xfId="0"/>
    <cellStyle name="Header2 2 11 5" xfId="0"/>
    <cellStyle name="Header2 2 11 5 2" xfId="0"/>
    <cellStyle name="Header2 2 11 5 3" xfId="0"/>
    <cellStyle name="Header2 2 11 6" xfId="0"/>
    <cellStyle name="Header2 2 11 7" xfId="0"/>
    <cellStyle name="Header2 2 12" xfId="0"/>
    <cellStyle name="Header2 2 12 2" xfId="0"/>
    <cellStyle name="Header2 2 12 2 2" xfId="0"/>
    <cellStyle name="Header2 2 12 2 2 2" xfId="0"/>
    <cellStyle name="Header2 2 12 2 2 2 2" xfId="0"/>
    <cellStyle name="Header2 2 12 2 2 2 3" xfId="0"/>
    <cellStyle name="Header2 2 12 2 2 3" xfId="0"/>
    <cellStyle name="Header2 2 12 2 2 4" xfId="0"/>
    <cellStyle name="Header2 2 12 2 3" xfId="0"/>
    <cellStyle name="Header2 2 12 2 3 2" xfId="0"/>
    <cellStyle name="Header2 2 12 2 3 2 2" xfId="0"/>
    <cellStyle name="Header2 2 12 2 3 2 3" xfId="0"/>
    <cellStyle name="Header2 2 12 2 3 3" xfId="0"/>
    <cellStyle name="Header2 2 12 2 3 4" xfId="0"/>
    <cellStyle name="Header2 2 12 2 4" xfId="0"/>
    <cellStyle name="Header2 2 12 2 4 2" xfId="0"/>
    <cellStyle name="Header2 2 12 2 4 3" xfId="0"/>
    <cellStyle name="Header2 2 12 2 5" xfId="0"/>
    <cellStyle name="Header2 2 12 2 6" xfId="0"/>
    <cellStyle name="Header2 2 12 3" xfId="0"/>
    <cellStyle name="Header2 2 12 3 2" xfId="0"/>
    <cellStyle name="Header2 2 12 3 2 2" xfId="0"/>
    <cellStyle name="Header2 2 12 3 2 2 2" xfId="0"/>
    <cellStyle name="Header2 2 12 3 2 2 3" xfId="0"/>
    <cellStyle name="Header2 2 12 3 2 3" xfId="0"/>
    <cellStyle name="Header2 2 12 3 2 4" xfId="0"/>
    <cellStyle name="Header2 2 12 3 3" xfId="0"/>
    <cellStyle name="Header2 2 12 3 3 2" xfId="0"/>
    <cellStyle name="Header2 2 12 3 3 3" xfId="0"/>
    <cellStyle name="Header2 2 12 3 4" xfId="0"/>
    <cellStyle name="Header2 2 12 3 5" xfId="0"/>
    <cellStyle name="Header2 2 12 4" xfId="0"/>
    <cellStyle name="Header2 2 12 4 2" xfId="0"/>
    <cellStyle name="Header2 2 12 4 2 2" xfId="0"/>
    <cellStyle name="Header2 2 12 4 2 2 2" xfId="0"/>
    <cellStyle name="Header2 2 12 4 2 2 3" xfId="0"/>
    <cellStyle name="Header2 2 12 4 2 3" xfId="0"/>
    <cellStyle name="Header2 2 12 4 2 4" xfId="0"/>
    <cellStyle name="Header2 2 12 4 3" xfId="0"/>
    <cellStyle name="Header2 2 12 4 3 2" xfId="0"/>
    <cellStyle name="Header2 2 12 4 3 3" xfId="0"/>
    <cellStyle name="Header2 2 12 4 4" xfId="0"/>
    <cellStyle name="Header2 2 12 4 5" xfId="0"/>
    <cellStyle name="Header2 2 12 5" xfId="0"/>
    <cellStyle name="Header2 2 12 5 2" xfId="0"/>
    <cellStyle name="Header2 2 12 5 3" xfId="0"/>
    <cellStyle name="Header2 2 12 6" xfId="0"/>
    <cellStyle name="Header2 2 12 7" xfId="0"/>
    <cellStyle name="Header2 2 13" xfId="0"/>
    <cellStyle name="Header2 2 13 2" xfId="0"/>
    <cellStyle name="Header2 2 13 2 2" xfId="0"/>
    <cellStyle name="Header2 2 13 2 2 2" xfId="0"/>
    <cellStyle name="Header2 2 13 2 2 2 2" xfId="0"/>
    <cellStyle name="Header2 2 13 2 2 2 3" xfId="0"/>
    <cellStyle name="Header2 2 13 2 2 3" xfId="0"/>
    <cellStyle name="Header2 2 13 2 2 4" xfId="0"/>
    <cellStyle name="Header2 2 13 2 3" xfId="0"/>
    <cellStyle name="Header2 2 13 2 3 2" xfId="0"/>
    <cellStyle name="Header2 2 13 2 3 2 2" xfId="0"/>
    <cellStyle name="Header2 2 13 2 3 2 3" xfId="0"/>
    <cellStyle name="Header2 2 13 2 3 3" xfId="0"/>
    <cellStyle name="Header2 2 13 2 3 4" xfId="0"/>
    <cellStyle name="Header2 2 13 2 4" xfId="0"/>
    <cellStyle name="Header2 2 13 2 4 2" xfId="0"/>
    <cellStyle name="Header2 2 13 2 4 3" xfId="0"/>
    <cellStyle name="Header2 2 13 2 5" xfId="0"/>
    <cellStyle name="Header2 2 13 2 6" xfId="0"/>
    <cellStyle name="Header2 2 13 3" xfId="0"/>
    <cellStyle name="Header2 2 13 3 2" xfId="0"/>
    <cellStyle name="Header2 2 13 3 2 2" xfId="0"/>
    <cellStyle name="Header2 2 13 3 2 2 2" xfId="0"/>
    <cellStyle name="Header2 2 13 3 2 2 3" xfId="0"/>
    <cellStyle name="Header2 2 13 3 2 3" xfId="0"/>
    <cellStyle name="Header2 2 13 3 2 4" xfId="0"/>
    <cellStyle name="Header2 2 13 3 3" xfId="0"/>
    <cellStyle name="Header2 2 13 3 3 2" xfId="0"/>
    <cellStyle name="Header2 2 13 3 3 3" xfId="0"/>
    <cellStyle name="Header2 2 13 3 4" xfId="0"/>
    <cellStyle name="Header2 2 13 3 5" xfId="0"/>
    <cellStyle name="Header2 2 13 4" xfId="0"/>
    <cellStyle name="Header2 2 13 4 2" xfId="0"/>
    <cellStyle name="Header2 2 13 4 2 2" xfId="0"/>
    <cellStyle name="Header2 2 13 4 2 2 2" xfId="0"/>
    <cellStyle name="Header2 2 13 4 2 2 3" xfId="0"/>
    <cellStyle name="Header2 2 13 4 2 3" xfId="0"/>
    <cellStyle name="Header2 2 13 4 2 4" xfId="0"/>
    <cellStyle name="Header2 2 13 4 3" xfId="0"/>
    <cellStyle name="Header2 2 13 4 3 2" xfId="0"/>
    <cellStyle name="Header2 2 13 4 3 3" xfId="0"/>
    <cellStyle name="Header2 2 13 4 4" xfId="0"/>
    <cellStyle name="Header2 2 13 4 5" xfId="0"/>
    <cellStyle name="Header2 2 13 5" xfId="0"/>
    <cellStyle name="Header2 2 13 5 2" xfId="0"/>
    <cellStyle name="Header2 2 13 5 3" xfId="0"/>
    <cellStyle name="Header2 2 13 6" xfId="0"/>
    <cellStyle name="Header2 2 13 7" xfId="0"/>
    <cellStyle name="Header2 2 14" xfId="0"/>
    <cellStyle name="Header2 2 14 2" xfId="0"/>
    <cellStyle name="Header2 2 14 2 2" xfId="0"/>
    <cellStyle name="Header2 2 14 2 2 2" xfId="0"/>
    <cellStyle name="Header2 2 14 2 2 2 2" xfId="0"/>
    <cellStyle name="Header2 2 14 2 2 2 3" xfId="0"/>
    <cellStyle name="Header2 2 14 2 2 3" xfId="0"/>
    <cellStyle name="Header2 2 14 2 2 4" xfId="0"/>
    <cellStyle name="Header2 2 14 2 3" xfId="0"/>
    <cellStyle name="Header2 2 14 2 3 2" xfId="0"/>
    <cellStyle name="Header2 2 14 2 3 2 2" xfId="0"/>
    <cellStyle name="Header2 2 14 2 3 2 3" xfId="0"/>
    <cellStyle name="Header2 2 14 2 3 3" xfId="0"/>
    <cellStyle name="Header2 2 14 2 3 4" xfId="0"/>
    <cellStyle name="Header2 2 14 2 4" xfId="0"/>
    <cellStyle name="Header2 2 14 2 4 2" xfId="0"/>
    <cellStyle name="Header2 2 14 2 4 3" xfId="0"/>
    <cellStyle name="Header2 2 14 2 5" xfId="0"/>
    <cellStyle name="Header2 2 14 2 6" xfId="0"/>
    <cellStyle name="Header2 2 14 3" xfId="0"/>
    <cellStyle name="Header2 2 14 3 2" xfId="0"/>
    <cellStyle name="Header2 2 14 3 2 2" xfId="0"/>
    <cellStyle name="Header2 2 14 3 2 2 2" xfId="0"/>
    <cellStyle name="Header2 2 14 3 2 2 3" xfId="0"/>
    <cellStyle name="Header2 2 14 3 2 3" xfId="0"/>
    <cellStyle name="Header2 2 14 3 2 4" xfId="0"/>
    <cellStyle name="Header2 2 14 3 3" xfId="0"/>
    <cellStyle name="Header2 2 14 3 3 2" xfId="0"/>
    <cellStyle name="Header2 2 14 3 3 3" xfId="0"/>
    <cellStyle name="Header2 2 14 3 4" xfId="0"/>
    <cellStyle name="Header2 2 14 3 5" xfId="0"/>
    <cellStyle name="Header2 2 14 4" xfId="0"/>
    <cellStyle name="Header2 2 14 4 2" xfId="0"/>
    <cellStyle name="Header2 2 14 4 2 2" xfId="0"/>
    <cellStyle name="Header2 2 14 4 2 2 2" xfId="0"/>
    <cellStyle name="Header2 2 14 4 2 2 3" xfId="0"/>
    <cellStyle name="Header2 2 14 4 2 3" xfId="0"/>
    <cellStyle name="Header2 2 14 4 2 4" xfId="0"/>
    <cellStyle name="Header2 2 14 4 3" xfId="0"/>
    <cellStyle name="Header2 2 14 4 3 2" xfId="0"/>
    <cellStyle name="Header2 2 14 4 3 3" xfId="0"/>
    <cellStyle name="Header2 2 14 4 4" xfId="0"/>
    <cellStyle name="Header2 2 14 4 5" xfId="0"/>
    <cellStyle name="Header2 2 14 5" xfId="0"/>
    <cellStyle name="Header2 2 14 5 2" xfId="0"/>
    <cellStyle name="Header2 2 14 5 3" xfId="0"/>
    <cellStyle name="Header2 2 14 6" xfId="0"/>
    <cellStyle name="Header2 2 14 7" xfId="0"/>
    <cellStyle name="Header2 2 15" xfId="0"/>
    <cellStyle name="Header2 2 15 2" xfId="0"/>
    <cellStyle name="Header2 2 15 2 2" xfId="0"/>
    <cellStyle name="Header2 2 15 2 2 2" xfId="0"/>
    <cellStyle name="Header2 2 15 2 2 2 2" xfId="0"/>
    <cellStyle name="Header2 2 15 2 2 2 3" xfId="0"/>
    <cellStyle name="Header2 2 15 2 2 3" xfId="0"/>
    <cellStyle name="Header2 2 15 2 2 4" xfId="0"/>
    <cellStyle name="Header2 2 15 2 3" xfId="0"/>
    <cellStyle name="Header2 2 15 2 3 2" xfId="0"/>
    <cellStyle name="Header2 2 15 2 3 2 2" xfId="0"/>
    <cellStyle name="Header2 2 15 2 3 2 3" xfId="0"/>
    <cellStyle name="Header2 2 15 2 3 3" xfId="0"/>
    <cellStyle name="Header2 2 15 2 3 4" xfId="0"/>
    <cellStyle name="Header2 2 15 2 4" xfId="0"/>
    <cellStyle name="Header2 2 15 2 4 2" xfId="0"/>
    <cellStyle name="Header2 2 15 2 4 3" xfId="0"/>
    <cellStyle name="Header2 2 15 2 5" xfId="0"/>
    <cellStyle name="Header2 2 15 2 6" xfId="0"/>
    <cellStyle name="Header2 2 15 3" xfId="0"/>
    <cellStyle name="Header2 2 15 3 2" xfId="0"/>
    <cellStyle name="Header2 2 15 3 2 2" xfId="0"/>
    <cellStyle name="Header2 2 15 3 2 2 2" xfId="0"/>
    <cellStyle name="Header2 2 15 3 2 2 3" xfId="0"/>
    <cellStyle name="Header2 2 15 3 2 3" xfId="0"/>
    <cellStyle name="Header2 2 15 3 2 4" xfId="0"/>
    <cellStyle name="Header2 2 15 3 3" xfId="0"/>
    <cellStyle name="Header2 2 15 3 3 2" xfId="0"/>
    <cellStyle name="Header2 2 15 3 3 3" xfId="0"/>
    <cellStyle name="Header2 2 15 3 4" xfId="0"/>
    <cellStyle name="Header2 2 15 3 5" xfId="0"/>
    <cellStyle name="Header2 2 15 4" xfId="0"/>
    <cellStyle name="Header2 2 15 4 2" xfId="0"/>
    <cellStyle name="Header2 2 15 4 2 2" xfId="0"/>
    <cellStyle name="Header2 2 15 4 2 2 2" xfId="0"/>
    <cellStyle name="Header2 2 15 4 2 2 3" xfId="0"/>
    <cellStyle name="Header2 2 15 4 2 3" xfId="0"/>
    <cellStyle name="Header2 2 15 4 2 4" xfId="0"/>
    <cellStyle name="Header2 2 15 4 3" xfId="0"/>
    <cellStyle name="Header2 2 15 4 3 2" xfId="0"/>
    <cellStyle name="Header2 2 15 4 3 3" xfId="0"/>
    <cellStyle name="Header2 2 15 4 4" xfId="0"/>
    <cellStyle name="Header2 2 15 4 5" xfId="0"/>
    <cellStyle name="Header2 2 15 5" xfId="0"/>
    <cellStyle name="Header2 2 15 5 2" xfId="0"/>
    <cellStyle name="Header2 2 15 5 3" xfId="0"/>
    <cellStyle name="Header2 2 15 6" xfId="0"/>
    <cellStyle name="Header2 2 15 7" xfId="0"/>
    <cellStyle name="Header2 2 16" xfId="0"/>
    <cellStyle name="Header2 2 16 2" xfId="0"/>
    <cellStyle name="Header2 2 16 2 2" xfId="0"/>
    <cellStyle name="Header2 2 16 2 2 2" xfId="0"/>
    <cellStyle name="Header2 2 16 2 2 2 2" xfId="0"/>
    <cellStyle name="Header2 2 16 2 2 2 3" xfId="0"/>
    <cellStyle name="Header2 2 16 2 2 3" xfId="0"/>
    <cellStyle name="Header2 2 16 2 2 4" xfId="0"/>
    <cellStyle name="Header2 2 16 2 3" xfId="0"/>
    <cellStyle name="Header2 2 16 2 3 2" xfId="0"/>
    <cellStyle name="Header2 2 16 2 3 2 2" xfId="0"/>
    <cellStyle name="Header2 2 16 2 3 2 3" xfId="0"/>
    <cellStyle name="Header2 2 16 2 3 3" xfId="0"/>
    <cellStyle name="Header2 2 16 2 3 4" xfId="0"/>
    <cellStyle name="Header2 2 16 2 4" xfId="0"/>
    <cellStyle name="Header2 2 16 2 4 2" xfId="0"/>
    <cellStyle name="Header2 2 16 2 4 3" xfId="0"/>
    <cellStyle name="Header2 2 16 2 5" xfId="0"/>
    <cellStyle name="Header2 2 16 2 6" xfId="0"/>
    <cellStyle name="Header2 2 16 3" xfId="0"/>
    <cellStyle name="Header2 2 16 3 2" xfId="0"/>
    <cellStyle name="Header2 2 16 3 2 2" xfId="0"/>
    <cellStyle name="Header2 2 16 3 2 2 2" xfId="0"/>
    <cellStyle name="Header2 2 16 3 2 2 3" xfId="0"/>
    <cellStyle name="Header2 2 16 3 2 3" xfId="0"/>
    <cellStyle name="Header2 2 16 3 2 4" xfId="0"/>
    <cellStyle name="Header2 2 16 3 3" xfId="0"/>
    <cellStyle name="Header2 2 16 3 3 2" xfId="0"/>
    <cellStyle name="Header2 2 16 3 3 3" xfId="0"/>
    <cellStyle name="Header2 2 16 3 4" xfId="0"/>
    <cellStyle name="Header2 2 16 3 5" xfId="0"/>
    <cellStyle name="Header2 2 16 4" xfId="0"/>
    <cellStyle name="Header2 2 16 4 2" xfId="0"/>
    <cellStyle name="Header2 2 16 4 2 2" xfId="0"/>
    <cellStyle name="Header2 2 16 4 2 2 2" xfId="0"/>
    <cellStyle name="Header2 2 16 4 2 2 3" xfId="0"/>
    <cellStyle name="Header2 2 16 4 2 3" xfId="0"/>
    <cellStyle name="Header2 2 16 4 2 4" xfId="0"/>
    <cellStyle name="Header2 2 16 4 3" xfId="0"/>
    <cellStyle name="Header2 2 16 4 3 2" xfId="0"/>
    <cellStyle name="Header2 2 16 4 3 3" xfId="0"/>
    <cellStyle name="Header2 2 16 4 4" xfId="0"/>
    <cellStyle name="Header2 2 16 4 5" xfId="0"/>
    <cellStyle name="Header2 2 16 5" xfId="0"/>
    <cellStyle name="Header2 2 16 5 2" xfId="0"/>
    <cellStyle name="Header2 2 16 5 3" xfId="0"/>
    <cellStyle name="Header2 2 16 6" xfId="0"/>
    <cellStyle name="Header2 2 16 7" xfId="0"/>
    <cellStyle name="Header2 2 17" xfId="0"/>
    <cellStyle name="Header2 2 17 2" xfId="0"/>
    <cellStyle name="Header2 2 17 2 2" xfId="0"/>
    <cellStyle name="Header2 2 17 2 2 2" xfId="0"/>
    <cellStyle name="Header2 2 17 2 2 2 2" xfId="0"/>
    <cellStyle name="Header2 2 17 2 2 2 3" xfId="0"/>
    <cellStyle name="Header2 2 17 2 2 3" xfId="0"/>
    <cellStyle name="Header2 2 17 2 2 4" xfId="0"/>
    <cellStyle name="Header2 2 17 2 3" xfId="0"/>
    <cellStyle name="Header2 2 17 2 3 2" xfId="0"/>
    <cellStyle name="Header2 2 17 2 3 2 2" xfId="0"/>
    <cellStyle name="Header2 2 17 2 3 2 3" xfId="0"/>
    <cellStyle name="Header2 2 17 2 3 3" xfId="0"/>
    <cellStyle name="Header2 2 17 2 3 4" xfId="0"/>
    <cellStyle name="Header2 2 17 2 4" xfId="0"/>
    <cellStyle name="Header2 2 17 2 4 2" xfId="0"/>
    <cellStyle name="Header2 2 17 2 4 3" xfId="0"/>
    <cellStyle name="Header2 2 17 2 5" xfId="0"/>
    <cellStyle name="Header2 2 17 2 6" xfId="0"/>
    <cellStyle name="Header2 2 17 3" xfId="0"/>
    <cellStyle name="Header2 2 17 3 2" xfId="0"/>
    <cellStyle name="Header2 2 17 3 2 2" xfId="0"/>
    <cellStyle name="Header2 2 17 3 2 2 2" xfId="0"/>
    <cellStyle name="Header2 2 17 3 2 2 3" xfId="0"/>
    <cellStyle name="Header2 2 17 3 2 3" xfId="0"/>
    <cellStyle name="Header2 2 17 3 2 4" xfId="0"/>
    <cellStyle name="Header2 2 17 3 3" xfId="0"/>
    <cellStyle name="Header2 2 17 3 3 2" xfId="0"/>
    <cellStyle name="Header2 2 17 3 3 3" xfId="0"/>
    <cellStyle name="Header2 2 17 3 4" xfId="0"/>
    <cellStyle name="Header2 2 17 3 5" xfId="0"/>
    <cellStyle name="Header2 2 17 4" xfId="0"/>
    <cellStyle name="Header2 2 17 4 2" xfId="0"/>
    <cellStyle name="Header2 2 17 4 2 2" xfId="0"/>
    <cellStyle name="Header2 2 17 4 2 2 2" xfId="0"/>
    <cellStyle name="Header2 2 17 4 2 2 3" xfId="0"/>
    <cellStyle name="Header2 2 17 4 2 3" xfId="0"/>
    <cellStyle name="Header2 2 17 4 2 4" xfId="0"/>
    <cellStyle name="Header2 2 17 4 3" xfId="0"/>
    <cellStyle name="Header2 2 17 4 3 2" xfId="0"/>
    <cellStyle name="Header2 2 17 4 3 3" xfId="0"/>
    <cellStyle name="Header2 2 17 4 4" xfId="0"/>
    <cellStyle name="Header2 2 17 4 5" xfId="0"/>
    <cellStyle name="Header2 2 17 5" xfId="0"/>
    <cellStyle name="Header2 2 17 5 2" xfId="0"/>
    <cellStyle name="Header2 2 17 5 3" xfId="0"/>
    <cellStyle name="Header2 2 17 6" xfId="0"/>
    <cellStyle name="Header2 2 17 7" xfId="0"/>
    <cellStyle name="Header2 2 18" xfId="0"/>
    <cellStyle name="Header2 2 18 2" xfId="0"/>
    <cellStyle name="Header2 2 18 2 2" xfId="0"/>
    <cellStyle name="Header2 2 18 2 2 2" xfId="0"/>
    <cellStyle name="Header2 2 18 2 2 2 2" xfId="0"/>
    <cellStyle name="Header2 2 18 2 2 2 3" xfId="0"/>
    <cellStyle name="Header2 2 18 2 2 3" xfId="0"/>
    <cellStyle name="Header2 2 18 2 2 4" xfId="0"/>
    <cellStyle name="Header2 2 18 2 3" xfId="0"/>
    <cellStyle name="Header2 2 18 2 3 2" xfId="0"/>
    <cellStyle name="Header2 2 18 2 3 2 2" xfId="0"/>
    <cellStyle name="Header2 2 18 2 3 2 3" xfId="0"/>
    <cellStyle name="Header2 2 18 2 3 3" xfId="0"/>
    <cellStyle name="Header2 2 18 2 3 4" xfId="0"/>
    <cellStyle name="Header2 2 18 2 4" xfId="0"/>
    <cellStyle name="Header2 2 18 2 4 2" xfId="0"/>
    <cellStyle name="Header2 2 18 2 4 3" xfId="0"/>
    <cellStyle name="Header2 2 18 2 5" xfId="0"/>
    <cellStyle name="Header2 2 18 2 6" xfId="0"/>
    <cellStyle name="Header2 2 18 3" xfId="0"/>
    <cellStyle name="Header2 2 18 3 2" xfId="0"/>
    <cellStyle name="Header2 2 18 3 2 2" xfId="0"/>
    <cellStyle name="Header2 2 18 3 2 2 2" xfId="0"/>
    <cellStyle name="Header2 2 18 3 2 2 3" xfId="0"/>
    <cellStyle name="Header2 2 18 3 2 3" xfId="0"/>
    <cellStyle name="Header2 2 18 3 2 4" xfId="0"/>
    <cellStyle name="Header2 2 18 3 3" xfId="0"/>
    <cellStyle name="Header2 2 18 3 3 2" xfId="0"/>
    <cellStyle name="Header2 2 18 3 3 3" xfId="0"/>
    <cellStyle name="Header2 2 18 3 4" xfId="0"/>
    <cellStyle name="Header2 2 18 3 5" xfId="0"/>
    <cellStyle name="Header2 2 18 4" xfId="0"/>
    <cellStyle name="Header2 2 18 4 2" xfId="0"/>
    <cellStyle name="Header2 2 18 4 2 2" xfId="0"/>
    <cellStyle name="Header2 2 18 4 2 2 2" xfId="0"/>
    <cellStyle name="Header2 2 18 4 2 2 3" xfId="0"/>
    <cellStyle name="Header2 2 18 4 2 3" xfId="0"/>
    <cellStyle name="Header2 2 18 4 2 4" xfId="0"/>
    <cellStyle name="Header2 2 18 4 3" xfId="0"/>
    <cellStyle name="Header2 2 18 4 3 2" xfId="0"/>
    <cellStyle name="Header2 2 18 4 3 3" xfId="0"/>
    <cellStyle name="Header2 2 18 4 4" xfId="0"/>
    <cellStyle name="Header2 2 18 4 5" xfId="0"/>
    <cellStyle name="Header2 2 18 5" xfId="0"/>
    <cellStyle name="Header2 2 18 5 2" xfId="0"/>
    <cellStyle name="Header2 2 18 5 3" xfId="0"/>
    <cellStyle name="Header2 2 18 6" xfId="0"/>
    <cellStyle name="Header2 2 18 7" xfId="0"/>
    <cellStyle name="Header2 2 19" xfId="0"/>
    <cellStyle name="Header2 2 19 2" xfId="0"/>
    <cellStyle name="Header2 2 19 2 2" xfId="0"/>
    <cellStyle name="Header2 2 19 2 2 2" xfId="0"/>
    <cellStyle name="Header2 2 19 2 2 2 2" xfId="0"/>
    <cellStyle name="Header2 2 19 2 2 2 3" xfId="0"/>
    <cellStyle name="Header2 2 19 2 2 3" xfId="0"/>
    <cellStyle name="Header2 2 19 2 2 4" xfId="0"/>
    <cellStyle name="Header2 2 19 2 3" xfId="0"/>
    <cellStyle name="Header2 2 19 2 3 2" xfId="0"/>
    <cellStyle name="Header2 2 19 2 3 2 2" xfId="0"/>
    <cellStyle name="Header2 2 19 2 3 2 3" xfId="0"/>
    <cellStyle name="Header2 2 19 2 3 3" xfId="0"/>
    <cellStyle name="Header2 2 19 2 3 4" xfId="0"/>
    <cellStyle name="Header2 2 19 2 4" xfId="0"/>
    <cellStyle name="Header2 2 19 2 4 2" xfId="0"/>
    <cellStyle name="Header2 2 19 2 4 3" xfId="0"/>
    <cellStyle name="Header2 2 19 2 5" xfId="0"/>
    <cellStyle name="Header2 2 19 2 6" xfId="0"/>
    <cellStyle name="Header2 2 19 3" xfId="0"/>
    <cellStyle name="Header2 2 19 3 2" xfId="0"/>
    <cellStyle name="Header2 2 19 3 2 2" xfId="0"/>
    <cellStyle name="Header2 2 19 3 2 2 2" xfId="0"/>
    <cellStyle name="Header2 2 19 3 2 2 3" xfId="0"/>
    <cellStyle name="Header2 2 19 3 2 3" xfId="0"/>
    <cellStyle name="Header2 2 19 3 2 4" xfId="0"/>
    <cellStyle name="Header2 2 19 3 3" xfId="0"/>
    <cellStyle name="Header2 2 19 3 3 2" xfId="0"/>
    <cellStyle name="Header2 2 19 3 3 3" xfId="0"/>
    <cellStyle name="Header2 2 19 3 4" xfId="0"/>
    <cellStyle name="Header2 2 19 3 5" xfId="0"/>
    <cellStyle name="Header2 2 19 4" xfId="0"/>
    <cellStyle name="Header2 2 19 4 2" xfId="0"/>
    <cellStyle name="Header2 2 19 4 2 2" xfId="0"/>
    <cellStyle name="Header2 2 19 4 2 2 2" xfId="0"/>
    <cellStyle name="Header2 2 19 4 2 2 3" xfId="0"/>
    <cellStyle name="Header2 2 19 4 2 3" xfId="0"/>
    <cellStyle name="Header2 2 19 4 2 4" xfId="0"/>
    <cellStyle name="Header2 2 19 4 3" xfId="0"/>
    <cellStyle name="Header2 2 19 4 3 2" xfId="0"/>
    <cellStyle name="Header2 2 19 4 3 3" xfId="0"/>
    <cellStyle name="Header2 2 19 4 4" xfId="0"/>
    <cellStyle name="Header2 2 19 4 5" xfId="0"/>
    <cellStyle name="Header2 2 19 5" xfId="0"/>
    <cellStyle name="Header2 2 19 5 2" xfId="0"/>
    <cellStyle name="Header2 2 19 5 3" xfId="0"/>
    <cellStyle name="Header2 2 19 6" xfId="0"/>
    <cellStyle name="Header2 2 19 7" xfId="0"/>
    <cellStyle name="Header2 2 2" xfId="0"/>
    <cellStyle name="Header2 2 2 10" xfId="0"/>
    <cellStyle name="Header2 2 2 11" xfId="0"/>
    <cellStyle name="Header2 2 2 2" xfId="0"/>
    <cellStyle name="Header2 2 2 2 2" xfId="0"/>
    <cellStyle name="Header2 2 2 2 2 2" xfId="0"/>
    <cellStyle name="Header2 2 2 2 2 2 2" xfId="0"/>
    <cellStyle name="Header2 2 2 2 2 2 2 2" xfId="0"/>
    <cellStyle name="Header2 2 2 2 2 2 2 3" xfId="0"/>
    <cellStyle name="Header2 2 2 2 2 2 3" xfId="0"/>
    <cellStyle name="Header2 2 2 2 2 2 4" xfId="0"/>
    <cellStyle name="Header2 2 2 2 2 3" xfId="0"/>
    <cellStyle name="Header2 2 2 2 2 3 2" xfId="0"/>
    <cellStyle name="Header2 2 2 2 2 3 3" xfId="0"/>
    <cellStyle name="Header2 2 2 2 2 4" xfId="0"/>
    <cellStyle name="Header2 2 2 2 2 5" xfId="0"/>
    <cellStyle name="Header2 2 2 2 3" xfId="0"/>
    <cellStyle name="Header2 2 2 2 3 2" xfId="0"/>
    <cellStyle name="Header2 2 2 2 3 2 2" xfId="0"/>
    <cellStyle name="Header2 2 2 2 3 2 3" xfId="0"/>
    <cellStyle name="Header2 2 2 2 3 3" xfId="0"/>
    <cellStyle name="Header2 2 2 2 3 4" xfId="0"/>
    <cellStyle name="Header2 2 2 2 4" xfId="0"/>
    <cellStyle name="Header2 2 2 2 4 2" xfId="0"/>
    <cellStyle name="Header2 2 2 2 4 3" xfId="0"/>
    <cellStyle name="Header2 2 2 2 5" xfId="0"/>
    <cellStyle name="Header2 2 2 2 6" xfId="0"/>
    <cellStyle name="Header2 2 2 3" xfId="0"/>
    <cellStyle name="Header2 2 2 3 2" xfId="0"/>
    <cellStyle name="Header2 2 2 3 2 2" xfId="0"/>
    <cellStyle name="Header2 2 2 3 2 2 2" xfId="0"/>
    <cellStyle name="Header2 2 2 3 2 2 2 2" xfId="0"/>
    <cellStyle name="Header2 2 2 3 2 2 2 3" xfId="0"/>
    <cellStyle name="Header2 2 2 3 2 2 3" xfId="0"/>
    <cellStyle name="Header2 2 2 3 2 2 4" xfId="0"/>
    <cellStyle name="Header2 2 2 3 2 3" xfId="0"/>
    <cellStyle name="Header2 2 2 3 2 3 2" xfId="0"/>
    <cellStyle name="Header2 2 2 3 2 3 3" xfId="0"/>
    <cellStyle name="Header2 2 2 3 2 4" xfId="0"/>
    <cellStyle name="Header2 2 2 3 2 5" xfId="0"/>
    <cellStyle name="Header2 2 2 3 3" xfId="0"/>
    <cellStyle name="Header2 2 2 3 3 2" xfId="0"/>
    <cellStyle name="Header2 2 2 3 3 2 2" xfId="0"/>
    <cellStyle name="Header2 2 2 3 3 2 3" xfId="0"/>
    <cellStyle name="Header2 2 2 3 3 3" xfId="0"/>
    <cellStyle name="Header2 2 2 3 3 4" xfId="0"/>
    <cellStyle name="Header2 2 2 3 4" xfId="0"/>
    <cellStyle name="Header2 2 2 3 4 2" xfId="0"/>
    <cellStyle name="Header2 2 2 3 4 3" xfId="0"/>
    <cellStyle name="Header2 2 2 3 5" xfId="0"/>
    <cellStyle name="Header2 2 2 3 6" xfId="0"/>
    <cellStyle name="Header2 2 2 4" xfId="0"/>
    <cellStyle name="Header2 2 2 4 2" xfId="0"/>
    <cellStyle name="Header2 2 2 4 2 2" xfId="0"/>
    <cellStyle name="Header2 2 2 4 2 2 2" xfId="0"/>
    <cellStyle name="Header2 2 2 4 2 2 2 2" xfId="0"/>
    <cellStyle name="Header2 2 2 4 2 2 2 3" xfId="0"/>
    <cellStyle name="Header2 2 2 4 2 2 3" xfId="0"/>
    <cellStyle name="Header2 2 2 4 2 2 4" xfId="0"/>
    <cellStyle name="Header2 2 2 4 2 3" xfId="0"/>
    <cellStyle name="Header2 2 2 4 2 3 2" xfId="0"/>
    <cellStyle name="Header2 2 2 4 2 3 3" xfId="0"/>
    <cellStyle name="Header2 2 2 4 2 4" xfId="0"/>
    <cellStyle name="Header2 2 2 4 2 5" xfId="0"/>
    <cellStyle name="Header2 2 2 4 3" xfId="0"/>
    <cellStyle name="Header2 2 2 4 3 2" xfId="0"/>
    <cellStyle name="Header2 2 2 4 3 2 2" xfId="0"/>
    <cellStyle name="Header2 2 2 4 3 2 3" xfId="0"/>
    <cellStyle name="Header2 2 2 4 3 3" xfId="0"/>
    <cellStyle name="Header2 2 2 4 3 4" xfId="0"/>
    <cellStyle name="Header2 2 2 4 4" xfId="0"/>
    <cellStyle name="Header2 2 2 4 4 2" xfId="0"/>
    <cellStyle name="Header2 2 2 4 4 3" xfId="0"/>
    <cellStyle name="Header2 2 2 4 5" xfId="0"/>
    <cellStyle name="Header2 2 2 4 6" xfId="0"/>
    <cellStyle name="Header2 2 2 5" xfId="0"/>
    <cellStyle name="Header2 2 2 5 2" xfId="0"/>
    <cellStyle name="Header2 2 2 5 2 2" xfId="0"/>
    <cellStyle name="Header2 2 2 5 2 2 2" xfId="0"/>
    <cellStyle name="Header2 2 2 5 2 2 2 2" xfId="0"/>
    <cellStyle name="Header2 2 2 5 2 2 2 3" xfId="0"/>
    <cellStyle name="Header2 2 2 5 2 2 3" xfId="0"/>
    <cellStyle name="Header2 2 2 5 2 2 4" xfId="0"/>
    <cellStyle name="Header2 2 2 5 2 3" xfId="0"/>
    <cellStyle name="Header2 2 2 5 2 3 2" xfId="0"/>
    <cellStyle name="Header2 2 2 5 2 3 3" xfId="0"/>
    <cellStyle name="Header2 2 2 5 2 4" xfId="0"/>
    <cellStyle name="Header2 2 2 5 2 5" xfId="0"/>
    <cellStyle name="Header2 2 2 5 3" xfId="0"/>
    <cellStyle name="Header2 2 2 5 3 2" xfId="0"/>
    <cellStyle name="Header2 2 2 5 3 2 2" xfId="0"/>
    <cellStyle name="Header2 2 2 5 3 2 3" xfId="0"/>
    <cellStyle name="Header2 2 2 5 3 3" xfId="0"/>
    <cellStyle name="Header2 2 2 5 3 4" xfId="0"/>
    <cellStyle name="Header2 2 2 5 4" xfId="0"/>
    <cellStyle name="Header2 2 2 5 4 2" xfId="0"/>
    <cellStyle name="Header2 2 2 5 4 3" xfId="0"/>
    <cellStyle name="Header2 2 2 5 5" xfId="0"/>
    <cellStyle name="Header2 2 2 5 6" xfId="0"/>
    <cellStyle name="Header2 2 2 6" xfId="0"/>
    <cellStyle name="Header2 2 2 6 2" xfId="0"/>
    <cellStyle name="Header2 2 2 6 2 2" xfId="0"/>
    <cellStyle name="Header2 2 2 6 2 2 2" xfId="0"/>
    <cellStyle name="Header2 2 2 6 2 2 3" xfId="0"/>
    <cellStyle name="Header2 2 2 6 2 3" xfId="0"/>
    <cellStyle name="Header2 2 2 6 2 4" xfId="0"/>
    <cellStyle name="Header2 2 2 6 3" xfId="0"/>
    <cellStyle name="Header2 2 2 6 3 2" xfId="0"/>
    <cellStyle name="Header2 2 2 6 3 3" xfId="0"/>
    <cellStyle name="Header2 2 2 6 4" xfId="0"/>
    <cellStyle name="Header2 2 2 6 5" xfId="0"/>
    <cellStyle name="Header2 2 2 7" xfId="0"/>
    <cellStyle name="Header2 2 2 7 2" xfId="0"/>
    <cellStyle name="Header2 2 2 7 2 2" xfId="0"/>
    <cellStyle name="Header2 2 2 7 2 2 2" xfId="0"/>
    <cellStyle name="Header2 2 2 7 2 2 3" xfId="0"/>
    <cellStyle name="Header2 2 2 7 2 3" xfId="0"/>
    <cellStyle name="Header2 2 2 7 2 4" xfId="0"/>
    <cellStyle name="Header2 2 2 7 3" xfId="0"/>
    <cellStyle name="Header2 2 2 7 3 2" xfId="0"/>
    <cellStyle name="Header2 2 2 7 3 3" xfId="0"/>
    <cellStyle name="Header2 2 2 7 4" xfId="0"/>
    <cellStyle name="Header2 2 2 7 5" xfId="0"/>
    <cellStyle name="Header2 2 2 8" xfId="0"/>
    <cellStyle name="Header2 2 2 8 2" xfId="0"/>
    <cellStyle name="Header2 2 2 8 3" xfId="0"/>
    <cellStyle name="Header2 2 2 9" xfId="0"/>
    <cellStyle name="Header2 2 2 9 2" xfId="0"/>
    <cellStyle name="Header2 2 2 9 3" xfId="0"/>
    <cellStyle name="Header2 2 20" xfId="0"/>
    <cellStyle name="Header2 2 20 2" xfId="0"/>
    <cellStyle name="Header2 2 20 2 2" xfId="0"/>
    <cellStyle name="Header2 2 20 2 2 2" xfId="0"/>
    <cellStyle name="Header2 2 20 2 2 2 2" xfId="0"/>
    <cellStyle name="Header2 2 20 2 2 2 3" xfId="0"/>
    <cellStyle name="Header2 2 20 2 2 3" xfId="0"/>
    <cellStyle name="Header2 2 20 2 2 4" xfId="0"/>
    <cellStyle name="Header2 2 20 2 3" xfId="0"/>
    <cellStyle name="Header2 2 20 2 3 2" xfId="0"/>
    <cellStyle name="Header2 2 20 2 3 3" xfId="0"/>
    <cellStyle name="Header2 2 20 2 4" xfId="0"/>
    <cellStyle name="Header2 2 20 2 5" xfId="0"/>
    <cellStyle name="Header2 2 20 3" xfId="0"/>
    <cellStyle name="Header2 2 20 3 2" xfId="0"/>
    <cellStyle name="Header2 2 20 3 2 2" xfId="0"/>
    <cellStyle name="Header2 2 20 3 2 3" xfId="0"/>
    <cellStyle name="Header2 2 20 3 3" xfId="0"/>
    <cellStyle name="Header2 2 20 3 4" xfId="0"/>
    <cellStyle name="Header2 2 20 4" xfId="0"/>
    <cellStyle name="Header2 2 20 4 2" xfId="0"/>
    <cellStyle name="Header2 2 20 4 3" xfId="0"/>
    <cellStyle name="Header2 2 20 5" xfId="0"/>
    <cellStyle name="Header2 2 20 6" xfId="0"/>
    <cellStyle name="Header2 2 21" xfId="0"/>
    <cellStyle name="Header2 2 21 2" xfId="0"/>
    <cellStyle name="Header2 2 21 2 2" xfId="0"/>
    <cellStyle name="Header2 2 21 2 2 2" xfId="0"/>
    <cellStyle name="Header2 2 21 2 2 3" xfId="0"/>
    <cellStyle name="Header2 2 21 2 3" xfId="0"/>
    <cellStyle name="Header2 2 21 2 4" xfId="0"/>
    <cellStyle name="Header2 2 21 3" xfId="0"/>
    <cellStyle name="Header2 2 21 3 2" xfId="0"/>
    <cellStyle name="Header2 2 21 3 2 2" xfId="0"/>
    <cellStyle name="Header2 2 21 3 2 3" xfId="0"/>
    <cellStyle name="Header2 2 21 3 3" xfId="0"/>
    <cellStyle name="Header2 2 21 3 4" xfId="0"/>
    <cellStyle name="Header2 2 21 4" xfId="0"/>
    <cellStyle name="Header2 2 21 4 2" xfId="0"/>
    <cellStyle name="Header2 2 21 4 3" xfId="0"/>
    <cellStyle name="Header2 2 21 5" xfId="0"/>
    <cellStyle name="Header2 2 21 6" xfId="0"/>
    <cellStyle name="Header2 2 22" xfId="0"/>
    <cellStyle name="Header2 2 22 2" xfId="0"/>
    <cellStyle name="Header2 2 22 2 2" xfId="0"/>
    <cellStyle name="Header2 2 22 2 2 2" xfId="0"/>
    <cellStyle name="Header2 2 22 2 2 3" xfId="0"/>
    <cellStyle name="Header2 2 22 2 3" xfId="0"/>
    <cellStyle name="Header2 2 22 2 4" xfId="0"/>
    <cellStyle name="Header2 2 22 3" xfId="0"/>
    <cellStyle name="Header2 2 22 3 2" xfId="0"/>
    <cellStyle name="Header2 2 22 3 2 2" xfId="0"/>
    <cellStyle name="Header2 2 22 3 2 3" xfId="0"/>
    <cellStyle name="Header2 2 22 3 3" xfId="0"/>
    <cellStyle name="Header2 2 22 3 4" xfId="0"/>
    <cellStyle name="Header2 2 22 4" xfId="0"/>
    <cellStyle name="Header2 2 22 4 2" xfId="0"/>
    <cellStyle name="Header2 2 22 4 3" xfId="0"/>
    <cellStyle name="Header2 2 22 5" xfId="0"/>
    <cellStyle name="Header2 2 22 6" xfId="0"/>
    <cellStyle name="Header2 2 23" xfId="0"/>
    <cellStyle name="Header2 2 23 2" xfId="0"/>
    <cellStyle name="Header2 2 23 2 2" xfId="0"/>
    <cellStyle name="Header2 2 23 2 2 2" xfId="0"/>
    <cellStyle name="Header2 2 23 2 2 3" xfId="0"/>
    <cellStyle name="Header2 2 23 2 3" xfId="0"/>
    <cellStyle name="Header2 2 23 2 4" xfId="0"/>
    <cellStyle name="Header2 2 23 3" xfId="0"/>
    <cellStyle name="Header2 2 23 3 2" xfId="0"/>
    <cellStyle name="Header2 2 23 3 2 2" xfId="0"/>
    <cellStyle name="Header2 2 23 3 2 3" xfId="0"/>
    <cellStyle name="Header2 2 23 3 3" xfId="0"/>
    <cellStyle name="Header2 2 23 3 4" xfId="0"/>
    <cellStyle name="Header2 2 23 4" xfId="0"/>
    <cellStyle name="Header2 2 23 4 2" xfId="0"/>
    <cellStyle name="Header2 2 23 4 3" xfId="0"/>
    <cellStyle name="Header2 2 23 5" xfId="0"/>
    <cellStyle name="Header2 2 23 6" xfId="0"/>
    <cellStyle name="Header2 2 24" xfId="0"/>
    <cellStyle name="Header2 2 24 2" xfId="0"/>
    <cellStyle name="Header2 2 24 2 2" xfId="0"/>
    <cellStyle name="Header2 2 24 2 2 2" xfId="0"/>
    <cellStyle name="Header2 2 24 2 2 3" xfId="0"/>
    <cellStyle name="Header2 2 24 2 3" xfId="0"/>
    <cellStyle name="Header2 2 24 2 4" xfId="0"/>
    <cellStyle name="Header2 2 24 3" xfId="0"/>
    <cellStyle name="Header2 2 24 3 2" xfId="0"/>
    <cellStyle name="Header2 2 24 3 2 2" xfId="0"/>
    <cellStyle name="Header2 2 24 3 2 3" xfId="0"/>
    <cellStyle name="Header2 2 24 3 3" xfId="0"/>
    <cellStyle name="Header2 2 24 3 4" xfId="0"/>
    <cellStyle name="Header2 2 24 4" xfId="0"/>
    <cellStyle name="Header2 2 24 4 2" xfId="0"/>
    <cellStyle name="Header2 2 24 4 3" xfId="0"/>
    <cellStyle name="Header2 2 24 5" xfId="0"/>
    <cellStyle name="Header2 2 24 6" xfId="0"/>
    <cellStyle name="Header2 2 25" xfId="0"/>
    <cellStyle name="Header2 2 25 2" xfId="0"/>
    <cellStyle name="Header2 2 25 2 2" xfId="0"/>
    <cellStyle name="Header2 2 25 2 2 2" xfId="0"/>
    <cellStyle name="Header2 2 25 2 2 3" xfId="0"/>
    <cellStyle name="Header2 2 25 2 3" xfId="0"/>
    <cellStyle name="Header2 2 25 2 4" xfId="0"/>
    <cellStyle name="Header2 2 25 3" xfId="0"/>
    <cellStyle name="Header2 2 25 3 2" xfId="0"/>
    <cellStyle name="Header2 2 25 3 3" xfId="0"/>
    <cellStyle name="Header2 2 25 4" xfId="0"/>
    <cellStyle name="Header2 2 25 5" xfId="0"/>
    <cellStyle name="Header2 2 26" xfId="0"/>
    <cellStyle name="Header2 2 26 2" xfId="0"/>
    <cellStyle name="Header2 2 26 2 2" xfId="0"/>
    <cellStyle name="Header2 2 26 2 2 2" xfId="0"/>
    <cellStyle name="Header2 2 26 2 2 3" xfId="0"/>
    <cellStyle name="Header2 2 26 2 3" xfId="0"/>
    <cellStyle name="Header2 2 26 2 4" xfId="0"/>
    <cellStyle name="Header2 2 26 3" xfId="0"/>
    <cellStyle name="Header2 2 26 3 2" xfId="0"/>
    <cellStyle name="Header2 2 26 3 3" xfId="0"/>
    <cellStyle name="Header2 2 26 4" xfId="0"/>
    <cellStyle name="Header2 2 26 5" xfId="0"/>
    <cellStyle name="Header2 2 27" xfId="0"/>
    <cellStyle name="Header2 2 27 2" xfId="0"/>
    <cellStyle name="Header2 2 27 2 2" xfId="0"/>
    <cellStyle name="Header2 2 27 2 2 2" xfId="0"/>
    <cellStyle name="Header2 2 27 2 2 3" xfId="0"/>
    <cellStyle name="Header2 2 27 2 3" xfId="0"/>
    <cellStyle name="Header2 2 27 2 4" xfId="0"/>
    <cellStyle name="Header2 2 27 3" xfId="0"/>
    <cellStyle name="Header2 2 27 3 2" xfId="0"/>
    <cellStyle name="Header2 2 27 3 3" xfId="0"/>
    <cellStyle name="Header2 2 27 4" xfId="0"/>
    <cellStyle name="Header2 2 27 5" xfId="0"/>
    <cellStyle name="Header2 2 28" xfId="0"/>
    <cellStyle name="Header2 2 28 2" xfId="0"/>
    <cellStyle name="Header2 2 28 2 2" xfId="0"/>
    <cellStyle name="Header2 2 28 2 3" xfId="0"/>
    <cellStyle name="Header2 2 28 3" xfId="0"/>
    <cellStyle name="Header2 2 28 4" xfId="0"/>
    <cellStyle name="Header2 2 29" xfId="0"/>
    <cellStyle name="Header2 2 29 2" xfId="0"/>
    <cellStyle name="Header2 2 29 2 2" xfId="0"/>
    <cellStyle name="Header2 2 29 2 3" xfId="0"/>
    <cellStyle name="Header2 2 29 3" xfId="0"/>
    <cellStyle name="Header2 2 29 4" xfId="0"/>
    <cellStyle name="Header2 2 3" xfId="0"/>
    <cellStyle name="Header2 2 3 10" xfId="0"/>
    <cellStyle name="Header2 2 3 2" xfId="0"/>
    <cellStyle name="Header2 2 3 2 2" xfId="0"/>
    <cellStyle name="Header2 2 3 2 2 2" xfId="0"/>
    <cellStyle name="Header2 2 3 2 2 2 2" xfId="0"/>
    <cellStyle name="Header2 2 3 2 2 2 3" xfId="0"/>
    <cellStyle name="Header2 2 3 2 2 3" xfId="0"/>
    <cellStyle name="Header2 2 3 2 2 4" xfId="0"/>
    <cellStyle name="Header2 2 3 2 3" xfId="0"/>
    <cellStyle name="Header2 2 3 2 3 2" xfId="0"/>
    <cellStyle name="Header2 2 3 2 3 2 2" xfId="0"/>
    <cellStyle name="Header2 2 3 2 3 2 3" xfId="0"/>
    <cellStyle name="Header2 2 3 2 3 3" xfId="0"/>
    <cellStyle name="Header2 2 3 2 3 4" xfId="0"/>
    <cellStyle name="Header2 2 3 2 4" xfId="0"/>
    <cellStyle name="Header2 2 3 2 4 2" xfId="0"/>
    <cellStyle name="Header2 2 3 2 4 3" xfId="0"/>
    <cellStyle name="Header2 2 3 2 5" xfId="0"/>
    <cellStyle name="Header2 2 3 2 6" xfId="0"/>
    <cellStyle name="Header2 2 3 3" xfId="0"/>
    <cellStyle name="Header2 2 3 3 2" xfId="0"/>
    <cellStyle name="Header2 2 3 3 2 2" xfId="0"/>
    <cellStyle name="Header2 2 3 3 2 2 2" xfId="0"/>
    <cellStyle name="Header2 2 3 3 2 2 3" xfId="0"/>
    <cellStyle name="Header2 2 3 3 2 3" xfId="0"/>
    <cellStyle name="Header2 2 3 3 2 4" xfId="0"/>
    <cellStyle name="Header2 2 3 3 3" xfId="0"/>
    <cellStyle name="Header2 2 3 3 3 2" xfId="0"/>
    <cellStyle name="Header2 2 3 3 3 2 2" xfId="0"/>
    <cellStyle name="Header2 2 3 3 3 2 3" xfId="0"/>
    <cellStyle name="Header2 2 3 3 3 3" xfId="0"/>
    <cellStyle name="Header2 2 3 3 3 4" xfId="0"/>
    <cellStyle name="Header2 2 3 3 4" xfId="0"/>
    <cellStyle name="Header2 2 3 3 4 2" xfId="0"/>
    <cellStyle name="Header2 2 3 3 4 3" xfId="0"/>
    <cellStyle name="Header2 2 3 3 5" xfId="0"/>
    <cellStyle name="Header2 2 3 3 6" xfId="0"/>
    <cellStyle name="Header2 2 3 4" xfId="0"/>
    <cellStyle name="Header2 2 3 4 2" xfId="0"/>
    <cellStyle name="Header2 2 3 4 2 2" xfId="0"/>
    <cellStyle name="Header2 2 3 4 2 2 2" xfId="0"/>
    <cellStyle name="Header2 2 3 4 2 2 3" xfId="0"/>
    <cellStyle name="Header2 2 3 4 2 3" xfId="0"/>
    <cellStyle name="Header2 2 3 4 2 4" xfId="0"/>
    <cellStyle name="Header2 2 3 4 3" xfId="0"/>
    <cellStyle name="Header2 2 3 4 3 2" xfId="0"/>
    <cellStyle name="Header2 2 3 4 3 2 2" xfId="0"/>
    <cellStyle name="Header2 2 3 4 3 2 3" xfId="0"/>
    <cellStyle name="Header2 2 3 4 3 3" xfId="0"/>
    <cellStyle name="Header2 2 3 4 3 4" xfId="0"/>
    <cellStyle name="Header2 2 3 4 4" xfId="0"/>
    <cellStyle name="Header2 2 3 4 4 2" xfId="0"/>
    <cellStyle name="Header2 2 3 4 4 3" xfId="0"/>
    <cellStyle name="Header2 2 3 4 5" xfId="0"/>
    <cellStyle name="Header2 2 3 4 6" xfId="0"/>
    <cellStyle name="Header2 2 3 5" xfId="0"/>
    <cellStyle name="Header2 2 3 5 2" xfId="0"/>
    <cellStyle name="Header2 2 3 5 2 2" xfId="0"/>
    <cellStyle name="Header2 2 3 5 2 2 2" xfId="0"/>
    <cellStyle name="Header2 2 3 5 2 2 3" xfId="0"/>
    <cellStyle name="Header2 2 3 5 2 3" xfId="0"/>
    <cellStyle name="Header2 2 3 5 2 4" xfId="0"/>
    <cellStyle name="Header2 2 3 5 3" xfId="0"/>
    <cellStyle name="Header2 2 3 5 3 2" xfId="0"/>
    <cellStyle name="Header2 2 3 5 3 2 2" xfId="0"/>
    <cellStyle name="Header2 2 3 5 3 2 3" xfId="0"/>
    <cellStyle name="Header2 2 3 5 3 3" xfId="0"/>
    <cellStyle name="Header2 2 3 5 3 4" xfId="0"/>
    <cellStyle name="Header2 2 3 5 4" xfId="0"/>
    <cellStyle name="Header2 2 3 5 4 2" xfId="0"/>
    <cellStyle name="Header2 2 3 5 4 3" xfId="0"/>
    <cellStyle name="Header2 2 3 5 5" xfId="0"/>
    <cellStyle name="Header2 2 3 5 6" xfId="0"/>
    <cellStyle name="Header2 2 3 6" xfId="0"/>
    <cellStyle name="Header2 2 3 6 2" xfId="0"/>
    <cellStyle name="Header2 2 3 6 2 2" xfId="0"/>
    <cellStyle name="Header2 2 3 6 2 2 2" xfId="0"/>
    <cellStyle name="Header2 2 3 6 2 2 3" xfId="0"/>
    <cellStyle name="Header2 2 3 6 2 3" xfId="0"/>
    <cellStyle name="Header2 2 3 6 2 4" xfId="0"/>
    <cellStyle name="Header2 2 3 6 3" xfId="0"/>
    <cellStyle name="Header2 2 3 6 3 2" xfId="0"/>
    <cellStyle name="Header2 2 3 6 3 3" xfId="0"/>
    <cellStyle name="Header2 2 3 6 4" xfId="0"/>
    <cellStyle name="Header2 2 3 6 5" xfId="0"/>
    <cellStyle name="Header2 2 3 7" xfId="0"/>
    <cellStyle name="Header2 2 3 7 2" xfId="0"/>
    <cellStyle name="Header2 2 3 7 2 2" xfId="0"/>
    <cellStyle name="Header2 2 3 7 2 2 2" xfId="0"/>
    <cellStyle name="Header2 2 3 7 2 2 3" xfId="0"/>
    <cellStyle name="Header2 2 3 7 2 3" xfId="0"/>
    <cellStyle name="Header2 2 3 7 2 4" xfId="0"/>
    <cellStyle name="Header2 2 3 7 3" xfId="0"/>
    <cellStyle name="Header2 2 3 7 3 2" xfId="0"/>
    <cellStyle name="Header2 2 3 7 3 3" xfId="0"/>
    <cellStyle name="Header2 2 3 7 4" xfId="0"/>
    <cellStyle name="Header2 2 3 7 5" xfId="0"/>
    <cellStyle name="Header2 2 3 8" xfId="0"/>
    <cellStyle name="Header2 2 3 8 2" xfId="0"/>
    <cellStyle name="Header2 2 3 8 3" xfId="0"/>
    <cellStyle name="Header2 2 3 9" xfId="0"/>
    <cellStyle name="Header2 2 30" xfId="0"/>
    <cellStyle name="Header2 2 30 2" xfId="0"/>
    <cellStyle name="Header2 2 30 3" xfId="0"/>
    <cellStyle name="Header2 2 31" xfId="0"/>
    <cellStyle name="Header2 2 31 2" xfId="0"/>
    <cellStyle name="Header2 2 31 3" xfId="0"/>
    <cellStyle name="Header2 2 32" xfId="0"/>
    <cellStyle name="Header2 2 32 2" xfId="0"/>
    <cellStyle name="Header2 2 32 3" xfId="0"/>
    <cellStyle name="Header2 2 33" xfId="0"/>
    <cellStyle name="Header2 2 33 2" xfId="0"/>
    <cellStyle name="Header2 2 33 3" xfId="0"/>
    <cellStyle name="Header2 2 34" xfId="0"/>
    <cellStyle name="Header2 2 4" xfId="0"/>
    <cellStyle name="Header2 2 4 10" xfId="0"/>
    <cellStyle name="Header2 2 4 2" xfId="0"/>
    <cellStyle name="Header2 2 4 2 2" xfId="0"/>
    <cellStyle name="Header2 2 4 2 2 2" xfId="0"/>
    <cellStyle name="Header2 2 4 2 2 2 2" xfId="0"/>
    <cellStyle name="Header2 2 4 2 2 2 3" xfId="0"/>
    <cellStyle name="Header2 2 4 2 2 3" xfId="0"/>
    <cellStyle name="Header2 2 4 2 2 4" xfId="0"/>
    <cellStyle name="Header2 2 4 2 3" xfId="0"/>
    <cellStyle name="Header2 2 4 2 3 2" xfId="0"/>
    <cellStyle name="Header2 2 4 2 3 2 2" xfId="0"/>
    <cellStyle name="Header2 2 4 2 3 2 3" xfId="0"/>
    <cellStyle name="Header2 2 4 2 3 3" xfId="0"/>
    <cellStyle name="Header2 2 4 2 3 4" xfId="0"/>
    <cellStyle name="Header2 2 4 2 4" xfId="0"/>
    <cellStyle name="Header2 2 4 2 4 2" xfId="0"/>
    <cellStyle name="Header2 2 4 2 4 3" xfId="0"/>
    <cellStyle name="Header2 2 4 2 5" xfId="0"/>
    <cellStyle name="Header2 2 4 2 6" xfId="0"/>
    <cellStyle name="Header2 2 4 3" xfId="0"/>
    <cellStyle name="Header2 2 4 3 2" xfId="0"/>
    <cellStyle name="Header2 2 4 3 2 2" xfId="0"/>
    <cellStyle name="Header2 2 4 3 2 2 2" xfId="0"/>
    <cellStyle name="Header2 2 4 3 2 2 3" xfId="0"/>
    <cellStyle name="Header2 2 4 3 2 3" xfId="0"/>
    <cellStyle name="Header2 2 4 3 2 4" xfId="0"/>
    <cellStyle name="Header2 2 4 3 3" xfId="0"/>
    <cellStyle name="Header2 2 4 3 3 2" xfId="0"/>
    <cellStyle name="Header2 2 4 3 3 2 2" xfId="0"/>
    <cellStyle name="Header2 2 4 3 3 2 3" xfId="0"/>
    <cellStyle name="Header2 2 4 3 3 3" xfId="0"/>
    <cellStyle name="Header2 2 4 3 3 4" xfId="0"/>
    <cellStyle name="Header2 2 4 3 4" xfId="0"/>
    <cellStyle name="Header2 2 4 3 4 2" xfId="0"/>
    <cellStyle name="Header2 2 4 3 4 3" xfId="0"/>
    <cellStyle name="Header2 2 4 3 5" xfId="0"/>
    <cellStyle name="Header2 2 4 3 6" xfId="0"/>
    <cellStyle name="Header2 2 4 4" xfId="0"/>
    <cellStyle name="Header2 2 4 4 2" xfId="0"/>
    <cellStyle name="Header2 2 4 4 2 2" xfId="0"/>
    <cellStyle name="Header2 2 4 4 2 2 2" xfId="0"/>
    <cellStyle name="Header2 2 4 4 2 2 3" xfId="0"/>
    <cellStyle name="Header2 2 4 4 2 3" xfId="0"/>
    <cellStyle name="Header2 2 4 4 2 4" xfId="0"/>
    <cellStyle name="Header2 2 4 4 3" xfId="0"/>
    <cellStyle name="Header2 2 4 4 3 2" xfId="0"/>
    <cellStyle name="Header2 2 4 4 3 2 2" xfId="0"/>
    <cellStyle name="Header2 2 4 4 3 2 3" xfId="0"/>
    <cellStyle name="Header2 2 4 4 3 3" xfId="0"/>
    <cellStyle name="Header2 2 4 4 3 4" xfId="0"/>
    <cellStyle name="Header2 2 4 4 4" xfId="0"/>
    <cellStyle name="Header2 2 4 4 4 2" xfId="0"/>
    <cellStyle name="Header2 2 4 4 4 3" xfId="0"/>
    <cellStyle name="Header2 2 4 4 5" xfId="0"/>
    <cellStyle name="Header2 2 4 4 6" xfId="0"/>
    <cellStyle name="Header2 2 4 5" xfId="0"/>
    <cellStyle name="Header2 2 4 5 2" xfId="0"/>
    <cellStyle name="Header2 2 4 5 2 2" xfId="0"/>
    <cellStyle name="Header2 2 4 5 2 2 2" xfId="0"/>
    <cellStyle name="Header2 2 4 5 2 2 3" xfId="0"/>
    <cellStyle name="Header2 2 4 5 2 3" xfId="0"/>
    <cellStyle name="Header2 2 4 5 2 4" xfId="0"/>
    <cellStyle name="Header2 2 4 5 3" xfId="0"/>
    <cellStyle name="Header2 2 4 5 3 2" xfId="0"/>
    <cellStyle name="Header2 2 4 5 3 2 2" xfId="0"/>
    <cellStyle name="Header2 2 4 5 3 2 3" xfId="0"/>
    <cellStyle name="Header2 2 4 5 3 3" xfId="0"/>
    <cellStyle name="Header2 2 4 5 3 4" xfId="0"/>
    <cellStyle name="Header2 2 4 5 4" xfId="0"/>
    <cellStyle name="Header2 2 4 5 4 2" xfId="0"/>
    <cellStyle name="Header2 2 4 5 4 3" xfId="0"/>
    <cellStyle name="Header2 2 4 5 5" xfId="0"/>
    <cellStyle name="Header2 2 4 5 6" xfId="0"/>
    <cellStyle name="Header2 2 4 6" xfId="0"/>
    <cellStyle name="Header2 2 4 6 2" xfId="0"/>
    <cellStyle name="Header2 2 4 6 2 2" xfId="0"/>
    <cellStyle name="Header2 2 4 6 2 2 2" xfId="0"/>
    <cellStyle name="Header2 2 4 6 2 2 3" xfId="0"/>
    <cellStyle name="Header2 2 4 6 2 3" xfId="0"/>
    <cellStyle name="Header2 2 4 6 2 4" xfId="0"/>
    <cellStyle name="Header2 2 4 6 3" xfId="0"/>
    <cellStyle name="Header2 2 4 6 3 2" xfId="0"/>
    <cellStyle name="Header2 2 4 6 3 3" xfId="0"/>
    <cellStyle name="Header2 2 4 6 4" xfId="0"/>
    <cellStyle name="Header2 2 4 6 5" xfId="0"/>
    <cellStyle name="Header2 2 4 7" xfId="0"/>
    <cellStyle name="Header2 2 4 7 2" xfId="0"/>
    <cellStyle name="Header2 2 4 7 2 2" xfId="0"/>
    <cellStyle name="Header2 2 4 7 2 2 2" xfId="0"/>
    <cellStyle name="Header2 2 4 7 2 2 3" xfId="0"/>
    <cellStyle name="Header2 2 4 7 2 3" xfId="0"/>
    <cellStyle name="Header2 2 4 7 2 4" xfId="0"/>
    <cellStyle name="Header2 2 4 7 3" xfId="0"/>
    <cellStyle name="Header2 2 4 7 3 2" xfId="0"/>
    <cellStyle name="Header2 2 4 7 3 3" xfId="0"/>
    <cellStyle name="Header2 2 4 7 4" xfId="0"/>
    <cellStyle name="Header2 2 4 7 5" xfId="0"/>
    <cellStyle name="Header2 2 4 8" xfId="0"/>
    <cellStyle name="Header2 2 4 8 2" xfId="0"/>
    <cellStyle name="Header2 2 4 8 3" xfId="0"/>
    <cellStyle name="Header2 2 4 9" xfId="0"/>
    <cellStyle name="Header2 2 5" xfId="0"/>
    <cellStyle name="Header2 2 5 2" xfId="0"/>
    <cellStyle name="Header2 2 5 2 2" xfId="0"/>
    <cellStyle name="Header2 2 5 2 2 2" xfId="0"/>
    <cellStyle name="Header2 2 5 2 2 2 2" xfId="0"/>
    <cellStyle name="Header2 2 5 2 2 2 3" xfId="0"/>
    <cellStyle name="Header2 2 5 2 2 3" xfId="0"/>
    <cellStyle name="Header2 2 5 2 2 4" xfId="0"/>
    <cellStyle name="Header2 2 5 2 3" xfId="0"/>
    <cellStyle name="Header2 2 5 2 3 2" xfId="0"/>
    <cellStyle name="Header2 2 5 2 3 2 2" xfId="0"/>
    <cellStyle name="Header2 2 5 2 3 2 3" xfId="0"/>
    <cellStyle name="Header2 2 5 2 3 3" xfId="0"/>
    <cellStyle name="Header2 2 5 2 3 4" xfId="0"/>
    <cellStyle name="Header2 2 5 2 4" xfId="0"/>
    <cellStyle name="Header2 2 5 2 4 2" xfId="0"/>
    <cellStyle name="Header2 2 5 2 4 3" xfId="0"/>
    <cellStyle name="Header2 2 5 2 5" xfId="0"/>
    <cellStyle name="Header2 2 5 2 6" xfId="0"/>
    <cellStyle name="Header2 2 5 3" xfId="0"/>
    <cellStyle name="Header2 2 5 3 2" xfId="0"/>
    <cellStyle name="Header2 2 5 3 2 2" xfId="0"/>
    <cellStyle name="Header2 2 5 3 2 2 2" xfId="0"/>
    <cellStyle name="Header2 2 5 3 2 2 3" xfId="0"/>
    <cellStyle name="Header2 2 5 3 2 3" xfId="0"/>
    <cellStyle name="Header2 2 5 3 2 4" xfId="0"/>
    <cellStyle name="Header2 2 5 3 3" xfId="0"/>
    <cellStyle name="Header2 2 5 3 3 2" xfId="0"/>
    <cellStyle name="Header2 2 5 3 3 3" xfId="0"/>
    <cellStyle name="Header2 2 5 3 4" xfId="0"/>
    <cellStyle name="Header2 2 5 3 5" xfId="0"/>
    <cellStyle name="Header2 2 5 4" xfId="0"/>
    <cellStyle name="Header2 2 5 4 2" xfId="0"/>
    <cellStyle name="Header2 2 5 4 2 2" xfId="0"/>
    <cellStyle name="Header2 2 5 4 2 2 2" xfId="0"/>
    <cellStyle name="Header2 2 5 4 2 2 3" xfId="0"/>
    <cellStyle name="Header2 2 5 4 2 3" xfId="0"/>
    <cellStyle name="Header2 2 5 4 2 4" xfId="0"/>
    <cellStyle name="Header2 2 5 4 3" xfId="0"/>
    <cellStyle name="Header2 2 5 4 3 2" xfId="0"/>
    <cellStyle name="Header2 2 5 4 3 3" xfId="0"/>
    <cellStyle name="Header2 2 5 4 4" xfId="0"/>
    <cellStyle name="Header2 2 5 4 5" xfId="0"/>
    <cellStyle name="Header2 2 5 5" xfId="0"/>
    <cellStyle name="Header2 2 5 5 2" xfId="0"/>
    <cellStyle name="Header2 2 5 5 3" xfId="0"/>
    <cellStyle name="Header2 2 5 6" xfId="0"/>
    <cellStyle name="Header2 2 5 7" xfId="0"/>
    <cellStyle name="Header2 2 6" xfId="0"/>
    <cellStyle name="Header2 2 6 2" xfId="0"/>
    <cellStyle name="Header2 2 6 2 2" xfId="0"/>
    <cellStyle name="Header2 2 6 2 2 2" xfId="0"/>
    <cellStyle name="Header2 2 6 2 2 2 2" xfId="0"/>
    <cellStyle name="Header2 2 6 2 2 2 3" xfId="0"/>
    <cellStyle name="Header2 2 6 2 2 3" xfId="0"/>
    <cellStyle name="Header2 2 6 2 2 4" xfId="0"/>
    <cellStyle name="Header2 2 6 2 3" xfId="0"/>
    <cellStyle name="Header2 2 6 2 3 2" xfId="0"/>
    <cellStyle name="Header2 2 6 2 3 2 2" xfId="0"/>
    <cellStyle name="Header2 2 6 2 3 2 3" xfId="0"/>
    <cellStyle name="Header2 2 6 2 3 3" xfId="0"/>
    <cellStyle name="Header2 2 6 2 3 4" xfId="0"/>
    <cellStyle name="Header2 2 6 2 4" xfId="0"/>
    <cellStyle name="Header2 2 6 2 4 2" xfId="0"/>
    <cellStyle name="Header2 2 6 2 4 3" xfId="0"/>
    <cellStyle name="Header2 2 6 2 5" xfId="0"/>
    <cellStyle name="Header2 2 6 2 6" xfId="0"/>
    <cellStyle name="Header2 2 6 3" xfId="0"/>
    <cellStyle name="Header2 2 6 3 2" xfId="0"/>
    <cellStyle name="Header2 2 6 3 2 2" xfId="0"/>
    <cellStyle name="Header2 2 6 3 2 2 2" xfId="0"/>
    <cellStyle name="Header2 2 6 3 2 2 3" xfId="0"/>
    <cellStyle name="Header2 2 6 3 2 3" xfId="0"/>
    <cellStyle name="Header2 2 6 3 2 4" xfId="0"/>
    <cellStyle name="Header2 2 6 3 3" xfId="0"/>
    <cellStyle name="Header2 2 6 3 3 2" xfId="0"/>
    <cellStyle name="Header2 2 6 3 3 3" xfId="0"/>
    <cellStyle name="Header2 2 6 3 4" xfId="0"/>
    <cellStyle name="Header2 2 6 3 5" xfId="0"/>
    <cellStyle name="Header2 2 6 4" xfId="0"/>
    <cellStyle name="Header2 2 6 4 2" xfId="0"/>
    <cellStyle name="Header2 2 6 4 2 2" xfId="0"/>
    <cellStyle name="Header2 2 6 4 2 2 2" xfId="0"/>
    <cellStyle name="Header2 2 6 4 2 2 3" xfId="0"/>
    <cellStyle name="Header2 2 6 4 2 3" xfId="0"/>
    <cellStyle name="Header2 2 6 4 2 4" xfId="0"/>
    <cellStyle name="Header2 2 6 4 3" xfId="0"/>
    <cellStyle name="Header2 2 6 4 3 2" xfId="0"/>
    <cellStyle name="Header2 2 6 4 3 3" xfId="0"/>
    <cellStyle name="Header2 2 6 4 4" xfId="0"/>
    <cellStyle name="Header2 2 6 4 5" xfId="0"/>
    <cellStyle name="Header2 2 6 5" xfId="0"/>
    <cellStyle name="Header2 2 6 5 2" xfId="0"/>
    <cellStyle name="Header2 2 6 5 3" xfId="0"/>
    <cellStyle name="Header2 2 6 6" xfId="0"/>
    <cellStyle name="Header2 2 6 7" xfId="0"/>
    <cellStyle name="Header2 2 7" xfId="0"/>
    <cellStyle name="Header2 2 7 2" xfId="0"/>
    <cellStyle name="Header2 2 7 2 2" xfId="0"/>
    <cellStyle name="Header2 2 7 2 2 2" xfId="0"/>
    <cellStyle name="Header2 2 7 2 2 2 2" xfId="0"/>
    <cellStyle name="Header2 2 7 2 2 2 3" xfId="0"/>
    <cellStyle name="Header2 2 7 2 2 3" xfId="0"/>
    <cellStyle name="Header2 2 7 2 2 4" xfId="0"/>
    <cellStyle name="Header2 2 7 2 3" xfId="0"/>
    <cellStyle name="Header2 2 7 2 3 2" xfId="0"/>
    <cellStyle name="Header2 2 7 2 3 2 2" xfId="0"/>
    <cellStyle name="Header2 2 7 2 3 2 3" xfId="0"/>
    <cellStyle name="Header2 2 7 2 3 3" xfId="0"/>
    <cellStyle name="Header2 2 7 2 3 4" xfId="0"/>
    <cellStyle name="Header2 2 7 2 4" xfId="0"/>
    <cellStyle name="Header2 2 7 2 4 2" xfId="0"/>
    <cellStyle name="Header2 2 7 2 4 3" xfId="0"/>
    <cellStyle name="Header2 2 7 2 5" xfId="0"/>
    <cellStyle name="Header2 2 7 2 6" xfId="0"/>
    <cellStyle name="Header2 2 7 3" xfId="0"/>
    <cellStyle name="Header2 2 7 3 2" xfId="0"/>
    <cellStyle name="Header2 2 7 3 2 2" xfId="0"/>
    <cellStyle name="Header2 2 7 3 2 2 2" xfId="0"/>
    <cellStyle name="Header2 2 7 3 2 2 3" xfId="0"/>
    <cellStyle name="Header2 2 7 3 2 3" xfId="0"/>
    <cellStyle name="Header2 2 7 3 2 4" xfId="0"/>
    <cellStyle name="Header2 2 7 3 3" xfId="0"/>
    <cellStyle name="Header2 2 7 3 3 2" xfId="0"/>
    <cellStyle name="Header2 2 7 3 3 3" xfId="0"/>
    <cellStyle name="Header2 2 7 3 4" xfId="0"/>
    <cellStyle name="Header2 2 7 3 5" xfId="0"/>
    <cellStyle name="Header2 2 7 4" xfId="0"/>
    <cellStyle name="Header2 2 7 4 2" xfId="0"/>
    <cellStyle name="Header2 2 7 4 2 2" xfId="0"/>
    <cellStyle name="Header2 2 7 4 2 2 2" xfId="0"/>
    <cellStyle name="Header2 2 7 4 2 2 3" xfId="0"/>
    <cellStyle name="Header2 2 7 4 2 3" xfId="0"/>
    <cellStyle name="Header2 2 7 4 2 4" xfId="0"/>
    <cellStyle name="Header2 2 7 4 3" xfId="0"/>
    <cellStyle name="Header2 2 7 4 3 2" xfId="0"/>
    <cellStyle name="Header2 2 7 4 3 3" xfId="0"/>
    <cellStyle name="Header2 2 7 4 4" xfId="0"/>
    <cellStyle name="Header2 2 7 4 5" xfId="0"/>
    <cellStyle name="Header2 2 7 5" xfId="0"/>
    <cellStyle name="Header2 2 7 5 2" xfId="0"/>
    <cellStyle name="Header2 2 7 5 3" xfId="0"/>
    <cellStyle name="Header2 2 7 6" xfId="0"/>
    <cellStyle name="Header2 2 7 7" xfId="0"/>
    <cellStyle name="Header2 2 8" xfId="0"/>
    <cellStyle name="Header2 2 8 2" xfId="0"/>
    <cellStyle name="Header2 2 8 2 2" xfId="0"/>
    <cellStyle name="Header2 2 8 2 2 2" xfId="0"/>
    <cellStyle name="Header2 2 8 2 2 2 2" xfId="0"/>
    <cellStyle name="Header2 2 8 2 2 2 3" xfId="0"/>
    <cellStyle name="Header2 2 8 2 2 3" xfId="0"/>
    <cellStyle name="Header2 2 8 2 2 4" xfId="0"/>
    <cellStyle name="Header2 2 8 2 3" xfId="0"/>
    <cellStyle name="Header2 2 8 2 3 2" xfId="0"/>
    <cellStyle name="Header2 2 8 2 3 2 2" xfId="0"/>
    <cellStyle name="Header2 2 8 2 3 2 3" xfId="0"/>
    <cellStyle name="Header2 2 8 2 3 3" xfId="0"/>
    <cellStyle name="Header2 2 8 2 3 4" xfId="0"/>
    <cellStyle name="Header2 2 8 2 4" xfId="0"/>
    <cellStyle name="Header2 2 8 2 4 2" xfId="0"/>
    <cellStyle name="Header2 2 8 2 4 3" xfId="0"/>
    <cellStyle name="Header2 2 8 2 5" xfId="0"/>
    <cellStyle name="Header2 2 8 2 6" xfId="0"/>
    <cellStyle name="Header2 2 8 3" xfId="0"/>
    <cellStyle name="Header2 2 8 3 2" xfId="0"/>
    <cellStyle name="Header2 2 8 3 2 2" xfId="0"/>
    <cellStyle name="Header2 2 8 3 2 2 2" xfId="0"/>
    <cellStyle name="Header2 2 8 3 2 2 3" xfId="0"/>
    <cellStyle name="Header2 2 8 3 2 3" xfId="0"/>
    <cellStyle name="Header2 2 8 3 2 4" xfId="0"/>
    <cellStyle name="Header2 2 8 3 3" xfId="0"/>
    <cellStyle name="Header2 2 8 3 3 2" xfId="0"/>
    <cellStyle name="Header2 2 8 3 3 3" xfId="0"/>
    <cellStyle name="Header2 2 8 3 4" xfId="0"/>
    <cellStyle name="Header2 2 8 3 5" xfId="0"/>
    <cellStyle name="Header2 2 8 4" xfId="0"/>
    <cellStyle name="Header2 2 8 4 2" xfId="0"/>
    <cellStyle name="Header2 2 8 4 2 2" xfId="0"/>
    <cellStyle name="Header2 2 8 4 2 2 2" xfId="0"/>
    <cellStyle name="Header2 2 8 4 2 2 3" xfId="0"/>
    <cellStyle name="Header2 2 8 4 2 3" xfId="0"/>
    <cellStyle name="Header2 2 8 4 2 4" xfId="0"/>
    <cellStyle name="Header2 2 8 4 3" xfId="0"/>
    <cellStyle name="Header2 2 8 4 3 2" xfId="0"/>
    <cellStyle name="Header2 2 8 4 3 3" xfId="0"/>
    <cellStyle name="Header2 2 8 4 4" xfId="0"/>
    <cellStyle name="Header2 2 8 4 5" xfId="0"/>
    <cellStyle name="Header2 2 8 5" xfId="0"/>
    <cellStyle name="Header2 2 8 5 2" xfId="0"/>
    <cellStyle name="Header2 2 8 5 3" xfId="0"/>
    <cellStyle name="Header2 2 8 6" xfId="0"/>
    <cellStyle name="Header2 2 8 7" xfId="0"/>
    <cellStyle name="Header2 2 9" xfId="0"/>
    <cellStyle name="Header2 2 9 2" xfId="0"/>
    <cellStyle name="Header2 2 9 2 2" xfId="0"/>
    <cellStyle name="Header2 2 9 2 2 2" xfId="0"/>
    <cellStyle name="Header2 2 9 2 2 2 2" xfId="0"/>
    <cellStyle name="Header2 2 9 2 2 2 3" xfId="0"/>
    <cellStyle name="Header2 2 9 2 2 3" xfId="0"/>
    <cellStyle name="Header2 2 9 2 2 4" xfId="0"/>
    <cellStyle name="Header2 2 9 2 3" xfId="0"/>
    <cellStyle name="Header2 2 9 2 3 2" xfId="0"/>
    <cellStyle name="Header2 2 9 2 3 2 2" xfId="0"/>
    <cellStyle name="Header2 2 9 2 3 2 3" xfId="0"/>
    <cellStyle name="Header2 2 9 2 3 3" xfId="0"/>
    <cellStyle name="Header2 2 9 2 3 4" xfId="0"/>
    <cellStyle name="Header2 2 9 2 4" xfId="0"/>
    <cellStyle name="Header2 2 9 2 4 2" xfId="0"/>
    <cellStyle name="Header2 2 9 2 4 3" xfId="0"/>
    <cellStyle name="Header2 2 9 2 5" xfId="0"/>
    <cellStyle name="Header2 2 9 2 6" xfId="0"/>
    <cellStyle name="Header2 2 9 3" xfId="0"/>
    <cellStyle name="Header2 2 9 3 2" xfId="0"/>
    <cellStyle name="Header2 2 9 3 2 2" xfId="0"/>
    <cellStyle name="Header2 2 9 3 2 2 2" xfId="0"/>
    <cellStyle name="Header2 2 9 3 2 2 3" xfId="0"/>
    <cellStyle name="Header2 2 9 3 2 3" xfId="0"/>
    <cellStyle name="Header2 2 9 3 2 4" xfId="0"/>
    <cellStyle name="Header2 2 9 3 3" xfId="0"/>
    <cellStyle name="Header2 2 9 3 3 2" xfId="0"/>
    <cellStyle name="Header2 2 9 3 3 3" xfId="0"/>
    <cellStyle name="Header2 2 9 3 4" xfId="0"/>
    <cellStyle name="Header2 2 9 3 5" xfId="0"/>
    <cellStyle name="Header2 2 9 4" xfId="0"/>
    <cellStyle name="Header2 2 9 4 2" xfId="0"/>
    <cellStyle name="Header2 2 9 4 2 2" xfId="0"/>
    <cellStyle name="Header2 2 9 4 2 2 2" xfId="0"/>
    <cellStyle name="Header2 2 9 4 2 2 3" xfId="0"/>
    <cellStyle name="Header2 2 9 4 2 3" xfId="0"/>
    <cellStyle name="Header2 2 9 4 2 4" xfId="0"/>
    <cellStyle name="Header2 2 9 4 3" xfId="0"/>
    <cellStyle name="Header2 2 9 4 3 2" xfId="0"/>
    <cellStyle name="Header2 2 9 4 3 3" xfId="0"/>
    <cellStyle name="Header2 2 9 4 4" xfId="0"/>
    <cellStyle name="Header2 2 9 4 5" xfId="0"/>
    <cellStyle name="Header2 2 9 5" xfId="0"/>
    <cellStyle name="Header2 2 9 5 2" xfId="0"/>
    <cellStyle name="Header2 2 9 5 3" xfId="0"/>
    <cellStyle name="Header2 2 9 6" xfId="0"/>
    <cellStyle name="Header2 2 9 7" xfId="0"/>
    <cellStyle name="Header2 20" xfId="0"/>
    <cellStyle name="Header2 20 2" xfId="0"/>
    <cellStyle name="Header2 20 2 2" xfId="0"/>
    <cellStyle name="Header2 20 2 2 2" xfId="0"/>
    <cellStyle name="Header2 20 2 2 2 2" xfId="0"/>
    <cellStyle name="Header2 20 2 2 2 3" xfId="0"/>
    <cellStyle name="Header2 20 2 2 3" xfId="0"/>
    <cellStyle name="Header2 20 2 2 4" xfId="0"/>
    <cellStyle name="Header2 20 2 3" xfId="0"/>
    <cellStyle name="Header2 20 2 3 2" xfId="0"/>
    <cellStyle name="Header2 20 2 3 2 2" xfId="0"/>
    <cellStyle name="Header2 20 2 3 2 3" xfId="0"/>
    <cellStyle name="Header2 20 2 3 3" xfId="0"/>
    <cellStyle name="Header2 20 2 3 4" xfId="0"/>
    <cellStyle name="Header2 20 2 4" xfId="0"/>
    <cellStyle name="Header2 20 2 4 2" xfId="0"/>
    <cellStyle name="Header2 20 2 4 3" xfId="0"/>
    <cellStyle name="Header2 20 2 5" xfId="0"/>
    <cellStyle name="Header2 20 2 6" xfId="0"/>
    <cellStyle name="Header2 20 3" xfId="0"/>
    <cellStyle name="Header2 20 3 2" xfId="0"/>
    <cellStyle name="Header2 20 3 2 2" xfId="0"/>
    <cellStyle name="Header2 20 3 2 2 2" xfId="0"/>
    <cellStyle name="Header2 20 3 2 2 3" xfId="0"/>
    <cellStyle name="Header2 20 3 2 3" xfId="0"/>
    <cellStyle name="Header2 20 3 2 4" xfId="0"/>
    <cellStyle name="Header2 20 3 3" xfId="0"/>
    <cellStyle name="Header2 20 3 3 2" xfId="0"/>
    <cellStyle name="Header2 20 3 3 3" xfId="0"/>
    <cellStyle name="Header2 20 3 4" xfId="0"/>
    <cellStyle name="Header2 20 3 5" xfId="0"/>
    <cellStyle name="Header2 20 4" xfId="0"/>
    <cellStyle name="Header2 20 4 2" xfId="0"/>
    <cellStyle name="Header2 20 4 2 2" xfId="0"/>
    <cellStyle name="Header2 20 4 2 2 2" xfId="0"/>
    <cellStyle name="Header2 20 4 2 2 3" xfId="0"/>
    <cellStyle name="Header2 20 4 2 3" xfId="0"/>
    <cellStyle name="Header2 20 4 2 4" xfId="0"/>
    <cellStyle name="Header2 20 4 3" xfId="0"/>
    <cellStyle name="Header2 20 4 3 2" xfId="0"/>
    <cellStyle name="Header2 20 4 3 3" xfId="0"/>
    <cellStyle name="Header2 20 4 4" xfId="0"/>
    <cellStyle name="Header2 20 4 5" xfId="0"/>
    <cellStyle name="Header2 20 5" xfId="0"/>
    <cellStyle name="Header2 20 5 2" xfId="0"/>
    <cellStyle name="Header2 20 5 3" xfId="0"/>
    <cellStyle name="Header2 20 6" xfId="0"/>
    <cellStyle name="Header2 20 7" xfId="0"/>
    <cellStyle name="Header2 21" xfId="0"/>
    <cellStyle name="Header2 21 2" xfId="0"/>
    <cellStyle name="Header2 21 2 2" xfId="0"/>
    <cellStyle name="Header2 21 2 2 2" xfId="0"/>
    <cellStyle name="Header2 21 2 2 2 2" xfId="0"/>
    <cellStyle name="Header2 21 2 2 2 3" xfId="0"/>
    <cellStyle name="Header2 21 2 2 3" xfId="0"/>
    <cellStyle name="Header2 21 2 2 4" xfId="0"/>
    <cellStyle name="Header2 21 2 3" xfId="0"/>
    <cellStyle name="Header2 21 2 3 2" xfId="0"/>
    <cellStyle name="Header2 21 2 3 2 2" xfId="0"/>
    <cellStyle name="Header2 21 2 3 2 3" xfId="0"/>
    <cellStyle name="Header2 21 2 3 3" xfId="0"/>
    <cellStyle name="Header2 21 2 3 4" xfId="0"/>
    <cellStyle name="Header2 21 2 4" xfId="0"/>
    <cellStyle name="Header2 21 2 4 2" xfId="0"/>
    <cellStyle name="Header2 21 2 4 3" xfId="0"/>
    <cellStyle name="Header2 21 2 5" xfId="0"/>
    <cellStyle name="Header2 21 2 6" xfId="0"/>
    <cellStyle name="Header2 21 3" xfId="0"/>
    <cellStyle name="Header2 21 3 2" xfId="0"/>
    <cellStyle name="Header2 21 3 2 2" xfId="0"/>
    <cellStyle name="Header2 21 3 2 2 2" xfId="0"/>
    <cellStyle name="Header2 21 3 2 2 3" xfId="0"/>
    <cellStyle name="Header2 21 3 2 3" xfId="0"/>
    <cellStyle name="Header2 21 3 2 4" xfId="0"/>
    <cellStyle name="Header2 21 3 3" xfId="0"/>
    <cellStyle name="Header2 21 3 3 2" xfId="0"/>
    <cellStyle name="Header2 21 3 3 3" xfId="0"/>
    <cellStyle name="Header2 21 3 4" xfId="0"/>
    <cellStyle name="Header2 21 3 5" xfId="0"/>
    <cellStyle name="Header2 21 4" xfId="0"/>
    <cellStyle name="Header2 21 4 2" xfId="0"/>
    <cellStyle name="Header2 21 4 2 2" xfId="0"/>
    <cellStyle name="Header2 21 4 2 2 2" xfId="0"/>
    <cellStyle name="Header2 21 4 2 2 3" xfId="0"/>
    <cellStyle name="Header2 21 4 2 3" xfId="0"/>
    <cellStyle name="Header2 21 4 2 4" xfId="0"/>
    <cellStyle name="Header2 21 4 3" xfId="0"/>
    <cellStyle name="Header2 21 4 3 2" xfId="0"/>
    <cellStyle name="Header2 21 4 3 3" xfId="0"/>
    <cellStyle name="Header2 21 4 4" xfId="0"/>
    <cellStyle name="Header2 21 4 5" xfId="0"/>
    <cellStyle name="Header2 21 5" xfId="0"/>
    <cellStyle name="Header2 21 5 2" xfId="0"/>
    <cellStyle name="Header2 21 5 3" xfId="0"/>
    <cellStyle name="Header2 21 6" xfId="0"/>
    <cellStyle name="Header2 21 7" xfId="0"/>
    <cellStyle name="Header2 22" xfId="0"/>
    <cellStyle name="Header2 22 2" xfId="0"/>
    <cellStyle name="Header2 22 2 2" xfId="0"/>
    <cellStyle name="Header2 22 2 2 2" xfId="0"/>
    <cellStyle name="Header2 22 2 2 2 2" xfId="0"/>
    <cellStyle name="Header2 22 2 2 2 3" xfId="0"/>
    <cellStyle name="Header2 22 2 2 3" xfId="0"/>
    <cellStyle name="Header2 22 2 2 4" xfId="0"/>
    <cellStyle name="Header2 22 2 3" xfId="0"/>
    <cellStyle name="Header2 22 2 3 2" xfId="0"/>
    <cellStyle name="Header2 22 2 3 3" xfId="0"/>
    <cellStyle name="Header2 22 2 4" xfId="0"/>
    <cellStyle name="Header2 22 2 5" xfId="0"/>
    <cellStyle name="Header2 22 3" xfId="0"/>
    <cellStyle name="Header2 22 3 2" xfId="0"/>
    <cellStyle name="Header2 22 3 2 2" xfId="0"/>
    <cellStyle name="Header2 22 3 2 3" xfId="0"/>
    <cellStyle name="Header2 22 3 3" xfId="0"/>
    <cellStyle name="Header2 22 3 4" xfId="0"/>
    <cellStyle name="Header2 22 4" xfId="0"/>
    <cellStyle name="Header2 22 4 2" xfId="0"/>
    <cellStyle name="Header2 22 4 3" xfId="0"/>
    <cellStyle name="Header2 22 5" xfId="0"/>
    <cellStyle name="Header2 22 6" xfId="0"/>
    <cellStyle name="Header2 23" xfId="0"/>
    <cellStyle name="Header2 23 2" xfId="0"/>
    <cellStyle name="Header2 23 2 2" xfId="0"/>
    <cellStyle name="Header2 23 2 2 2" xfId="0"/>
    <cellStyle name="Header2 23 2 2 3" xfId="0"/>
    <cellStyle name="Header2 23 2 3" xfId="0"/>
    <cellStyle name="Header2 23 2 4" xfId="0"/>
    <cellStyle name="Header2 23 3" xfId="0"/>
    <cellStyle name="Header2 23 3 2" xfId="0"/>
    <cellStyle name="Header2 23 3 2 2" xfId="0"/>
    <cellStyle name="Header2 23 3 2 3" xfId="0"/>
    <cellStyle name="Header2 23 3 3" xfId="0"/>
    <cellStyle name="Header2 23 3 4" xfId="0"/>
    <cellStyle name="Header2 23 4" xfId="0"/>
    <cellStyle name="Header2 23 4 2" xfId="0"/>
    <cellStyle name="Header2 23 4 3" xfId="0"/>
    <cellStyle name="Header2 23 5" xfId="0"/>
    <cellStyle name="Header2 23 6" xfId="0"/>
    <cellStyle name="Header2 24" xfId="0"/>
    <cellStyle name="Header2 24 2" xfId="0"/>
    <cellStyle name="Header2 24 2 2" xfId="0"/>
    <cellStyle name="Header2 24 2 2 2" xfId="0"/>
    <cellStyle name="Header2 24 2 2 3" xfId="0"/>
    <cellStyle name="Header2 24 2 3" xfId="0"/>
    <cellStyle name="Header2 24 2 4" xfId="0"/>
    <cellStyle name="Header2 24 3" xfId="0"/>
    <cellStyle name="Header2 24 3 2" xfId="0"/>
    <cellStyle name="Header2 24 3 2 2" xfId="0"/>
    <cellStyle name="Header2 24 3 2 3" xfId="0"/>
    <cellStyle name="Header2 24 3 3" xfId="0"/>
    <cellStyle name="Header2 24 3 4" xfId="0"/>
    <cellStyle name="Header2 24 4" xfId="0"/>
    <cellStyle name="Header2 24 4 2" xfId="0"/>
    <cellStyle name="Header2 24 4 3" xfId="0"/>
    <cellStyle name="Header2 24 5" xfId="0"/>
    <cellStyle name="Header2 24 6" xfId="0"/>
    <cellStyle name="Header2 25" xfId="0"/>
    <cellStyle name="Header2 25 2" xfId="0"/>
    <cellStyle name="Header2 25 2 2" xfId="0"/>
    <cellStyle name="Header2 25 2 2 2" xfId="0"/>
    <cellStyle name="Header2 25 2 2 3" xfId="0"/>
    <cellStyle name="Header2 25 2 3" xfId="0"/>
    <cellStyle name="Header2 25 2 4" xfId="0"/>
    <cellStyle name="Header2 25 3" xfId="0"/>
    <cellStyle name="Header2 25 3 2" xfId="0"/>
    <cellStyle name="Header2 25 3 2 2" xfId="0"/>
    <cellStyle name="Header2 25 3 2 3" xfId="0"/>
    <cellStyle name="Header2 25 3 3" xfId="0"/>
    <cellStyle name="Header2 25 3 4" xfId="0"/>
    <cellStyle name="Header2 25 4" xfId="0"/>
    <cellStyle name="Header2 25 4 2" xfId="0"/>
    <cellStyle name="Header2 25 4 3" xfId="0"/>
    <cellStyle name="Header2 25 5" xfId="0"/>
    <cellStyle name="Header2 25 6" xfId="0"/>
    <cellStyle name="Header2 26" xfId="0"/>
    <cellStyle name="Header2 26 2" xfId="0"/>
    <cellStyle name="Header2 26 2 2" xfId="0"/>
    <cellStyle name="Header2 26 2 2 2" xfId="0"/>
    <cellStyle name="Header2 26 2 2 3" xfId="0"/>
    <cellStyle name="Header2 26 2 3" xfId="0"/>
    <cellStyle name="Header2 26 2 4" xfId="0"/>
    <cellStyle name="Header2 26 3" xfId="0"/>
    <cellStyle name="Header2 26 3 2" xfId="0"/>
    <cellStyle name="Header2 26 3 2 2" xfId="0"/>
    <cellStyle name="Header2 26 3 2 3" xfId="0"/>
    <cellStyle name="Header2 26 3 3" xfId="0"/>
    <cellStyle name="Header2 26 3 4" xfId="0"/>
    <cellStyle name="Header2 26 4" xfId="0"/>
    <cellStyle name="Header2 26 4 2" xfId="0"/>
    <cellStyle name="Header2 26 4 3" xfId="0"/>
    <cellStyle name="Header2 26 5" xfId="0"/>
    <cellStyle name="Header2 26 6" xfId="0"/>
    <cellStyle name="Header2 27" xfId="0"/>
    <cellStyle name="Header2 27 2" xfId="0"/>
    <cellStyle name="Header2 27 2 2" xfId="0"/>
    <cellStyle name="Header2 27 2 2 2" xfId="0"/>
    <cellStyle name="Header2 27 2 2 3" xfId="0"/>
    <cellStyle name="Header2 27 2 3" xfId="0"/>
    <cellStyle name="Header2 27 2 4" xfId="0"/>
    <cellStyle name="Header2 27 3" xfId="0"/>
    <cellStyle name="Header2 27 3 2" xfId="0"/>
    <cellStyle name="Header2 27 3 3" xfId="0"/>
    <cellStyle name="Header2 27 4" xfId="0"/>
    <cellStyle name="Header2 27 5" xfId="0"/>
    <cellStyle name="Header2 28" xfId="0"/>
    <cellStyle name="Header2 28 2" xfId="0"/>
    <cellStyle name="Header2 28 2 2" xfId="0"/>
    <cellStyle name="Header2 28 2 2 2" xfId="0"/>
    <cellStyle name="Header2 28 2 2 3" xfId="0"/>
    <cellStyle name="Header2 28 2 3" xfId="0"/>
    <cellStyle name="Header2 28 2 4" xfId="0"/>
    <cellStyle name="Header2 28 3" xfId="0"/>
    <cellStyle name="Header2 28 3 2" xfId="0"/>
    <cellStyle name="Header2 28 3 3" xfId="0"/>
    <cellStyle name="Header2 28 4" xfId="0"/>
    <cellStyle name="Header2 28 5" xfId="0"/>
    <cellStyle name="Header2 29" xfId="0"/>
    <cellStyle name="Header2 29 2" xfId="0"/>
    <cellStyle name="Header2 29 2 2" xfId="0"/>
    <cellStyle name="Header2 29 2 2 2" xfId="0"/>
    <cellStyle name="Header2 29 2 2 3" xfId="0"/>
    <cellStyle name="Header2 29 2 3" xfId="0"/>
    <cellStyle name="Header2 29 2 4" xfId="0"/>
    <cellStyle name="Header2 29 3" xfId="0"/>
    <cellStyle name="Header2 29 3 2" xfId="0"/>
    <cellStyle name="Header2 29 3 3" xfId="0"/>
    <cellStyle name="Header2 29 4" xfId="0"/>
    <cellStyle name="Header2 29 5" xfId="0"/>
    <cellStyle name="Header2 3" xfId="0"/>
    <cellStyle name="Header2 3 10" xfId="0"/>
    <cellStyle name="Header2 3 10 2" xfId="0"/>
    <cellStyle name="Header2 3 10 2 2" xfId="0"/>
    <cellStyle name="Header2 3 10 2 2 2" xfId="0"/>
    <cellStyle name="Header2 3 10 2 2 2 2" xfId="0"/>
    <cellStyle name="Header2 3 10 2 2 2 3" xfId="0"/>
    <cellStyle name="Header2 3 10 2 2 3" xfId="0"/>
    <cellStyle name="Header2 3 10 2 2 4" xfId="0"/>
    <cellStyle name="Header2 3 10 2 3" xfId="0"/>
    <cellStyle name="Header2 3 10 2 3 2" xfId="0"/>
    <cellStyle name="Header2 3 10 2 3 2 2" xfId="0"/>
    <cellStyle name="Header2 3 10 2 3 2 3" xfId="0"/>
    <cellStyle name="Header2 3 10 2 3 3" xfId="0"/>
    <cellStyle name="Header2 3 10 2 3 4" xfId="0"/>
    <cellStyle name="Header2 3 10 2 4" xfId="0"/>
    <cellStyle name="Header2 3 10 2 4 2" xfId="0"/>
    <cellStyle name="Header2 3 10 2 4 3" xfId="0"/>
    <cellStyle name="Header2 3 10 2 5" xfId="0"/>
    <cellStyle name="Header2 3 10 2 6" xfId="0"/>
    <cellStyle name="Header2 3 10 3" xfId="0"/>
    <cellStyle name="Header2 3 10 3 2" xfId="0"/>
    <cellStyle name="Header2 3 10 3 2 2" xfId="0"/>
    <cellStyle name="Header2 3 10 3 2 2 2" xfId="0"/>
    <cellStyle name="Header2 3 10 3 2 2 3" xfId="0"/>
    <cellStyle name="Header2 3 10 3 2 3" xfId="0"/>
    <cellStyle name="Header2 3 10 3 2 4" xfId="0"/>
    <cellStyle name="Header2 3 10 3 3" xfId="0"/>
    <cellStyle name="Header2 3 10 3 3 2" xfId="0"/>
    <cellStyle name="Header2 3 10 3 3 3" xfId="0"/>
    <cellStyle name="Header2 3 10 3 4" xfId="0"/>
    <cellStyle name="Header2 3 10 3 5" xfId="0"/>
    <cellStyle name="Header2 3 10 4" xfId="0"/>
    <cellStyle name="Header2 3 10 4 2" xfId="0"/>
    <cellStyle name="Header2 3 10 4 2 2" xfId="0"/>
    <cellStyle name="Header2 3 10 4 2 2 2" xfId="0"/>
    <cellStyle name="Header2 3 10 4 2 2 3" xfId="0"/>
    <cellStyle name="Header2 3 10 4 2 3" xfId="0"/>
    <cellStyle name="Header2 3 10 4 2 4" xfId="0"/>
    <cellStyle name="Header2 3 10 4 3" xfId="0"/>
    <cellStyle name="Header2 3 10 4 3 2" xfId="0"/>
    <cellStyle name="Header2 3 10 4 3 3" xfId="0"/>
    <cellStyle name="Header2 3 10 4 4" xfId="0"/>
    <cellStyle name="Header2 3 10 4 5" xfId="0"/>
    <cellStyle name="Header2 3 10 5" xfId="0"/>
    <cellStyle name="Header2 3 10 5 2" xfId="0"/>
    <cellStyle name="Header2 3 10 5 3" xfId="0"/>
    <cellStyle name="Header2 3 10 6" xfId="0"/>
    <cellStyle name="Header2 3 10 7" xfId="0"/>
    <cellStyle name="Header2 3 11" xfId="0"/>
    <cellStyle name="Header2 3 11 2" xfId="0"/>
    <cellStyle name="Header2 3 11 2 2" xfId="0"/>
    <cellStyle name="Header2 3 11 2 2 2" xfId="0"/>
    <cellStyle name="Header2 3 11 2 2 2 2" xfId="0"/>
    <cellStyle name="Header2 3 11 2 2 2 3" xfId="0"/>
    <cellStyle name="Header2 3 11 2 2 3" xfId="0"/>
    <cellStyle name="Header2 3 11 2 2 4" xfId="0"/>
    <cellStyle name="Header2 3 11 2 3" xfId="0"/>
    <cellStyle name="Header2 3 11 2 3 2" xfId="0"/>
    <cellStyle name="Header2 3 11 2 3 2 2" xfId="0"/>
    <cellStyle name="Header2 3 11 2 3 2 3" xfId="0"/>
    <cellStyle name="Header2 3 11 2 3 3" xfId="0"/>
    <cellStyle name="Header2 3 11 2 3 4" xfId="0"/>
    <cellStyle name="Header2 3 11 2 4" xfId="0"/>
    <cellStyle name="Header2 3 11 2 4 2" xfId="0"/>
    <cellStyle name="Header2 3 11 2 4 3" xfId="0"/>
    <cellStyle name="Header2 3 11 2 5" xfId="0"/>
    <cellStyle name="Header2 3 11 2 6" xfId="0"/>
    <cellStyle name="Header2 3 11 3" xfId="0"/>
    <cellStyle name="Header2 3 11 3 2" xfId="0"/>
    <cellStyle name="Header2 3 11 3 2 2" xfId="0"/>
    <cellStyle name="Header2 3 11 3 2 2 2" xfId="0"/>
    <cellStyle name="Header2 3 11 3 2 2 3" xfId="0"/>
    <cellStyle name="Header2 3 11 3 2 3" xfId="0"/>
    <cellStyle name="Header2 3 11 3 2 4" xfId="0"/>
    <cellStyle name="Header2 3 11 3 3" xfId="0"/>
    <cellStyle name="Header2 3 11 3 3 2" xfId="0"/>
    <cellStyle name="Header2 3 11 3 3 3" xfId="0"/>
    <cellStyle name="Header2 3 11 3 4" xfId="0"/>
    <cellStyle name="Header2 3 11 3 5" xfId="0"/>
    <cellStyle name="Header2 3 11 4" xfId="0"/>
    <cellStyle name="Header2 3 11 4 2" xfId="0"/>
    <cellStyle name="Header2 3 11 4 2 2" xfId="0"/>
    <cellStyle name="Header2 3 11 4 2 2 2" xfId="0"/>
    <cellStyle name="Header2 3 11 4 2 2 3" xfId="0"/>
    <cellStyle name="Header2 3 11 4 2 3" xfId="0"/>
    <cellStyle name="Header2 3 11 4 2 4" xfId="0"/>
    <cellStyle name="Header2 3 11 4 3" xfId="0"/>
    <cellStyle name="Header2 3 11 4 3 2" xfId="0"/>
    <cellStyle name="Header2 3 11 4 3 3" xfId="0"/>
    <cellStyle name="Header2 3 11 4 4" xfId="0"/>
    <cellStyle name="Header2 3 11 4 5" xfId="0"/>
    <cellStyle name="Header2 3 11 5" xfId="0"/>
    <cellStyle name="Header2 3 11 5 2" xfId="0"/>
    <cellStyle name="Header2 3 11 5 3" xfId="0"/>
    <cellStyle name="Header2 3 11 6" xfId="0"/>
    <cellStyle name="Header2 3 11 7" xfId="0"/>
    <cellStyle name="Header2 3 12" xfId="0"/>
    <cellStyle name="Header2 3 12 2" xfId="0"/>
    <cellStyle name="Header2 3 12 2 2" xfId="0"/>
    <cellStyle name="Header2 3 12 2 2 2" xfId="0"/>
    <cellStyle name="Header2 3 12 2 2 2 2" xfId="0"/>
    <cellStyle name="Header2 3 12 2 2 2 3" xfId="0"/>
    <cellStyle name="Header2 3 12 2 2 3" xfId="0"/>
    <cellStyle name="Header2 3 12 2 2 4" xfId="0"/>
    <cellStyle name="Header2 3 12 2 3" xfId="0"/>
    <cellStyle name="Header2 3 12 2 3 2" xfId="0"/>
    <cellStyle name="Header2 3 12 2 3 2 2" xfId="0"/>
    <cellStyle name="Header2 3 12 2 3 2 3" xfId="0"/>
    <cellStyle name="Header2 3 12 2 3 3" xfId="0"/>
    <cellStyle name="Header2 3 12 2 3 4" xfId="0"/>
    <cellStyle name="Header2 3 12 2 4" xfId="0"/>
    <cellStyle name="Header2 3 12 2 4 2" xfId="0"/>
    <cellStyle name="Header2 3 12 2 4 3" xfId="0"/>
    <cellStyle name="Header2 3 12 2 5" xfId="0"/>
    <cellStyle name="Header2 3 12 2 6" xfId="0"/>
    <cellStyle name="Header2 3 12 3" xfId="0"/>
    <cellStyle name="Header2 3 12 3 2" xfId="0"/>
    <cellStyle name="Header2 3 12 3 2 2" xfId="0"/>
    <cellStyle name="Header2 3 12 3 2 2 2" xfId="0"/>
    <cellStyle name="Header2 3 12 3 2 2 3" xfId="0"/>
    <cellStyle name="Header2 3 12 3 2 3" xfId="0"/>
    <cellStyle name="Header2 3 12 3 2 4" xfId="0"/>
    <cellStyle name="Header2 3 12 3 3" xfId="0"/>
    <cellStyle name="Header2 3 12 3 3 2" xfId="0"/>
    <cellStyle name="Header2 3 12 3 3 3" xfId="0"/>
    <cellStyle name="Header2 3 12 3 4" xfId="0"/>
    <cellStyle name="Header2 3 12 3 5" xfId="0"/>
    <cellStyle name="Header2 3 12 4" xfId="0"/>
    <cellStyle name="Header2 3 12 4 2" xfId="0"/>
    <cellStyle name="Header2 3 12 4 2 2" xfId="0"/>
    <cellStyle name="Header2 3 12 4 2 2 2" xfId="0"/>
    <cellStyle name="Header2 3 12 4 2 2 3" xfId="0"/>
    <cellStyle name="Header2 3 12 4 2 3" xfId="0"/>
    <cellStyle name="Header2 3 12 4 2 4" xfId="0"/>
    <cellStyle name="Header2 3 12 4 3" xfId="0"/>
    <cellStyle name="Header2 3 12 4 3 2" xfId="0"/>
    <cellStyle name="Header2 3 12 4 3 3" xfId="0"/>
    <cellStyle name="Header2 3 12 4 4" xfId="0"/>
    <cellStyle name="Header2 3 12 4 5" xfId="0"/>
    <cellStyle name="Header2 3 12 5" xfId="0"/>
    <cellStyle name="Header2 3 12 5 2" xfId="0"/>
    <cellStyle name="Header2 3 12 5 3" xfId="0"/>
    <cellStyle name="Header2 3 12 6" xfId="0"/>
    <cellStyle name="Header2 3 12 7" xfId="0"/>
    <cellStyle name="Header2 3 13" xfId="0"/>
    <cellStyle name="Header2 3 13 2" xfId="0"/>
    <cellStyle name="Header2 3 13 2 2" xfId="0"/>
    <cellStyle name="Header2 3 13 2 2 2" xfId="0"/>
    <cellStyle name="Header2 3 13 2 2 2 2" xfId="0"/>
    <cellStyle name="Header2 3 13 2 2 2 3" xfId="0"/>
    <cellStyle name="Header2 3 13 2 2 3" xfId="0"/>
    <cellStyle name="Header2 3 13 2 2 4" xfId="0"/>
    <cellStyle name="Header2 3 13 2 3" xfId="0"/>
    <cellStyle name="Header2 3 13 2 3 2" xfId="0"/>
    <cellStyle name="Header2 3 13 2 3 2 2" xfId="0"/>
    <cellStyle name="Header2 3 13 2 3 2 3" xfId="0"/>
    <cellStyle name="Header2 3 13 2 3 3" xfId="0"/>
    <cellStyle name="Header2 3 13 2 3 4" xfId="0"/>
    <cellStyle name="Header2 3 13 2 4" xfId="0"/>
    <cellStyle name="Header2 3 13 2 4 2" xfId="0"/>
    <cellStyle name="Header2 3 13 2 4 3" xfId="0"/>
    <cellStyle name="Header2 3 13 2 5" xfId="0"/>
    <cellStyle name="Header2 3 13 2 6" xfId="0"/>
    <cellStyle name="Header2 3 13 3" xfId="0"/>
    <cellStyle name="Header2 3 13 3 2" xfId="0"/>
    <cellStyle name="Header2 3 13 3 2 2" xfId="0"/>
    <cellStyle name="Header2 3 13 3 2 2 2" xfId="0"/>
    <cellStyle name="Header2 3 13 3 2 2 3" xfId="0"/>
    <cellStyle name="Header2 3 13 3 2 3" xfId="0"/>
    <cellStyle name="Header2 3 13 3 2 4" xfId="0"/>
    <cellStyle name="Header2 3 13 3 3" xfId="0"/>
    <cellStyle name="Header2 3 13 3 3 2" xfId="0"/>
    <cellStyle name="Header2 3 13 3 3 3" xfId="0"/>
    <cellStyle name="Header2 3 13 3 4" xfId="0"/>
    <cellStyle name="Header2 3 13 3 5" xfId="0"/>
    <cellStyle name="Header2 3 13 4" xfId="0"/>
    <cellStyle name="Header2 3 13 4 2" xfId="0"/>
    <cellStyle name="Header2 3 13 4 2 2" xfId="0"/>
    <cellStyle name="Header2 3 13 4 2 2 2" xfId="0"/>
    <cellStyle name="Header2 3 13 4 2 2 3" xfId="0"/>
    <cellStyle name="Header2 3 13 4 2 3" xfId="0"/>
    <cellStyle name="Header2 3 13 4 2 4" xfId="0"/>
    <cellStyle name="Header2 3 13 4 3" xfId="0"/>
    <cellStyle name="Header2 3 13 4 3 2" xfId="0"/>
    <cellStyle name="Header2 3 13 4 3 3" xfId="0"/>
    <cellStyle name="Header2 3 13 4 4" xfId="0"/>
    <cellStyle name="Header2 3 13 4 5" xfId="0"/>
    <cellStyle name="Header2 3 13 5" xfId="0"/>
    <cellStyle name="Header2 3 13 5 2" xfId="0"/>
    <cellStyle name="Header2 3 13 5 3" xfId="0"/>
    <cellStyle name="Header2 3 13 6" xfId="0"/>
    <cellStyle name="Header2 3 13 7" xfId="0"/>
    <cellStyle name="Header2 3 14" xfId="0"/>
    <cellStyle name="Header2 3 14 2" xfId="0"/>
    <cellStyle name="Header2 3 14 2 2" xfId="0"/>
    <cellStyle name="Header2 3 14 2 2 2" xfId="0"/>
    <cellStyle name="Header2 3 14 2 2 2 2" xfId="0"/>
    <cellStyle name="Header2 3 14 2 2 2 3" xfId="0"/>
    <cellStyle name="Header2 3 14 2 2 3" xfId="0"/>
    <cellStyle name="Header2 3 14 2 2 4" xfId="0"/>
    <cellStyle name="Header2 3 14 2 3" xfId="0"/>
    <cellStyle name="Header2 3 14 2 3 2" xfId="0"/>
    <cellStyle name="Header2 3 14 2 3 2 2" xfId="0"/>
    <cellStyle name="Header2 3 14 2 3 2 3" xfId="0"/>
    <cellStyle name="Header2 3 14 2 3 3" xfId="0"/>
    <cellStyle name="Header2 3 14 2 3 4" xfId="0"/>
    <cellStyle name="Header2 3 14 2 4" xfId="0"/>
    <cellStyle name="Header2 3 14 2 4 2" xfId="0"/>
    <cellStyle name="Header2 3 14 2 4 3" xfId="0"/>
    <cellStyle name="Header2 3 14 2 5" xfId="0"/>
    <cellStyle name="Header2 3 14 2 6" xfId="0"/>
    <cellStyle name="Header2 3 14 3" xfId="0"/>
    <cellStyle name="Header2 3 14 3 2" xfId="0"/>
    <cellStyle name="Header2 3 14 3 2 2" xfId="0"/>
    <cellStyle name="Header2 3 14 3 2 2 2" xfId="0"/>
    <cellStyle name="Header2 3 14 3 2 2 3" xfId="0"/>
    <cellStyle name="Header2 3 14 3 2 3" xfId="0"/>
    <cellStyle name="Header2 3 14 3 2 4" xfId="0"/>
    <cellStyle name="Header2 3 14 3 3" xfId="0"/>
    <cellStyle name="Header2 3 14 3 3 2" xfId="0"/>
    <cellStyle name="Header2 3 14 3 3 3" xfId="0"/>
    <cellStyle name="Header2 3 14 3 4" xfId="0"/>
    <cellStyle name="Header2 3 14 3 5" xfId="0"/>
    <cellStyle name="Header2 3 14 4" xfId="0"/>
    <cellStyle name="Header2 3 14 4 2" xfId="0"/>
    <cellStyle name="Header2 3 14 4 2 2" xfId="0"/>
    <cellStyle name="Header2 3 14 4 2 2 2" xfId="0"/>
    <cellStyle name="Header2 3 14 4 2 2 3" xfId="0"/>
    <cellStyle name="Header2 3 14 4 2 3" xfId="0"/>
    <cellStyle name="Header2 3 14 4 2 4" xfId="0"/>
    <cellStyle name="Header2 3 14 4 3" xfId="0"/>
    <cellStyle name="Header2 3 14 4 3 2" xfId="0"/>
    <cellStyle name="Header2 3 14 4 3 3" xfId="0"/>
    <cellStyle name="Header2 3 14 4 4" xfId="0"/>
    <cellStyle name="Header2 3 14 4 5" xfId="0"/>
    <cellStyle name="Header2 3 14 5" xfId="0"/>
    <cellStyle name="Header2 3 14 5 2" xfId="0"/>
    <cellStyle name="Header2 3 14 5 3" xfId="0"/>
    <cellStyle name="Header2 3 14 6" xfId="0"/>
    <cellStyle name="Header2 3 14 7" xfId="0"/>
    <cellStyle name="Header2 3 15" xfId="0"/>
    <cellStyle name="Header2 3 15 2" xfId="0"/>
    <cellStyle name="Header2 3 15 2 2" xfId="0"/>
    <cellStyle name="Header2 3 15 2 2 2" xfId="0"/>
    <cellStyle name="Header2 3 15 2 2 2 2" xfId="0"/>
    <cellStyle name="Header2 3 15 2 2 2 3" xfId="0"/>
    <cellStyle name="Header2 3 15 2 2 3" xfId="0"/>
    <cellStyle name="Header2 3 15 2 2 4" xfId="0"/>
    <cellStyle name="Header2 3 15 2 3" xfId="0"/>
    <cellStyle name="Header2 3 15 2 3 2" xfId="0"/>
    <cellStyle name="Header2 3 15 2 3 2 2" xfId="0"/>
    <cellStyle name="Header2 3 15 2 3 2 3" xfId="0"/>
    <cellStyle name="Header2 3 15 2 3 3" xfId="0"/>
    <cellStyle name="Header2 3 15 2 3 4" xfId="0"/>
    <cellStyle name="Header2 3 15 2 4" xfId="0"/>
    <cellStyle name="Header2 3 15 2 4 2" xfId="0"/>
    <cellStyle name="Header2 3 15 2 4 3" xfId="0"/>
    <cellStyle name="Header2 3 15 2 5" xfId="0"/>
    <cellStyle name="Header2 3 15 2 6" xfId="0"/>
    <cellStyle name="Header2 3 15 3" xfId="0"/>
    <cellStyle name="Header2 3 15 3 2" xfId="0"/>
    <cellStyle name="Header2 3 15 3 2 2" xfId="0"/>
    <cellStyle name="Header2 3 15 3 2 2 2" xfId="0"/>
    <cellStyle name="Header2 3 15 3 2 2 3" xfId="0"/>
    <cellStyle name="Header2 3 15 3 2 3" xfId="0"/>
    <cellStyle name="Header2 3 15 3 2 4" xfId="0"/>
    <cellStyle name="Header2 3 15 3 3" xfId="0"/>
    <cellStyle name="Header2 3 15 3 3 2" xfId="0"/>
    <cellStyle name="Header2 3 15 3 3 3" xfId="0"/>
    <cellStyle name="Header2 3 15 3 4" xfId="0"/>
    <cellStyle name="Header2 3 15 3 5" xfId="0"/>
    <cellStyle name="Header2 3 15 4" xfId="0"/>
    <cellStyle name="Header2 3 15 4 2" xfId="0"/>
    <cellStyle name="Header2 3 15 4 2 2" xfId="0"/>
    <cellStyle name="Header2 3 15 4 2 2 2" xfId="0"/>
    <cellStyle name="Header2 3 15 4 2 2 3" xfId="0"/>
    <cellStyle name="Header2 3 15 4 2 3" xfId="0"/>
    <cellStyle name="Header2 3 15 4 2 4" xfId="0"/>
    <cellStyle name="Header2 3 15 4 3" xfId="0"/>
    <cellStyle name="Header2 3 15 4 3 2" xfId="0"/>
    <cellStyle name="Header2 3 15 4 3 3" xfId="0"/>
    <cellStyle name="Header2 3 15 4 4" xfId="0"/>
    <cellStyle name="Header2 3 15 4 5" xfId="0"/>
    <cellStyle name="Header2 3 15 5" xfId="0"/>
    <cellStyle name="Header2 3 15 5 2" xfId="0"/>
    <cellStyle name="Header2 3 15 5 3" xfId="0"/>
    <cellStyle name="Header2 3 15 6" xfId="0"/>
    <cellStyle name="Header2 3 15 7" xfId="0"/>
    <cellStyle name="Header2 3 16" xfId="0"/>
    <cellStyle name="Header2 3 16 2" xfId="0"/>
    <cellStyle name="Header2 3 16 2 2" xfId="0"/>
    <cellStyle name="Header2 3 16 2 2 2" xfId="0"/>
    <cellStyle name="Header2 3 16 2 2 2 2" xfId="0"/>
    <cellStyle name="Header2 3 16 2 2 2 3" xfId="0"/>
    <cellStyle name="Header2 3 16 2 2 3" xfId="0"/>
    <cellStyle name="Header2 3 16 2 2 4" xfId="0"/>
    <cellStyle name="Header2 3 16 2 3" xfId="0"/>
    <cellStyle name="Header2 3 16 2 3 2" xfId="0"/>
    <cellStyle name="Header2 3 16 2 3 2 2" xfId="0"/>
    <cellStyle name="Header2 3 16 2 3 2 3" xfId="0"/>
    <cellStyle name="Header2 3 16 2 3 3" xfId="0"/>
    <cellStyle name="Header2 3 16 2 3 4" xfId="0"/>
    <cellStyle name="Header2 3 16 2 4" xfId="0"/>
    <cellStyle name="Header2 3 16 2 4 2" xfId="0"/>
    <cellStyle name="Header2 3 16 2 4 3" xfId="0"/>
    <cellStyle name="Header2 3 16 2 5" xfId="0"/>
    <cellStyle name="Header2 3 16 2 6" xfId="0"/>
    <cellStyle name="Header2 3 16 3" xfId="0"/>
    <cellStyle name="Header2 3 16 3 2" xfId="0"/>
    <cellStyle name="Header2 3 16 3 2 2" xfId="0"/>
    <cellStyle name="Header2 3 16 3 2 2 2" xfId="0"/>
    <cellStyle name="Header2 3 16 3 2 2 3" xfId="0"/>
    <cellStyle name="Header2 3 16 3 2 3" xfId="0"/>
    <cellStyle name="Header2 3 16 3 2 4" xfId="0"/>
    <cellStyle name="Header2 3 16 3 3" xfId="0"/>
    <cellStyle name="Header2 3 16 3 3 2" xfId="0"/>
    <cellStyle name="Header2 3 16 3 3 3" xfId="0"/>
    <cellStyle name="Header2 3 16 3 4" xfId="0"/>
    <cellStyle name="Header2 3 16 3 5" xfId="0"/>
    <cellStyle name="Header2 3 16 4" xfId="0"/>
    <cellStyle name="Header2 3 16 4 2" xfId="0"/>
    <cellStyle name="Header2 3 16 4 2 2" xfId="0"/>
    <cellStyle name="Header2 3 16 4 2 2 2" xfId="0"/>
    <cellStyle name="Header2 3 16 4 2 2 3" xfId="0"/>
    <cellStyle name="Header2 3 16 4 2 3" xfId="0"/>
    <cellStyle name="Header2 3 16 4 2 4" xfId="0"/>
    <cellStyle name="Header2 3 16 4 3" xfId="0"/>
    <cellStyle name="Header2 3 16 4 3 2" xfId="0"/>
    <cellStyle name="Header2 3 16 4 3 3" xfId="0"/>
    <cellStyle name="Header2 3 16 4 4" xfId="0"/>
    <cellStyle name="Header2 3 16 4 5" xfId="0"/>
    <cellStyle name="Header2 3 16 5" xfId="0"/>
    <cellStyle name="Header2 3 16 5 2" xfId="0"/>
    <cellStyle name="Header2 3 16 5 3" xfId="0"/>
    <cellStyle name="Header2 3 16 6" xfId="0"/>
    <cellStyle name="Header2 3 16 7" xfId="0"/>
    <cellStyle name="Header2 3 17" xfId="0"/>
    <cellStyle name="Header2 3 17 2" xfId="0"/>
    <cellStyle name="Header2 3 17 2 2" xfId="0"/>
    <cellStyle name="Header2 3 17 2 2 2" xfId="0"/>
    <cellStyle name="Header2 3 17 2 2 2 2" xfId="0"/>
    <cellStyle name="Header2 3 17 2 2 2 3" xfId="0"/>
    <cellStyle name="Header2 3 17 2 2 3" xfId="0"/>
    <cellStyle name="Header2 3 17 2 2 4" xfId="0"/>
    <cellStyle name="Header2 3 17 2 3" xfId="0"/>
    <cellStyle name="Header2 3 17 2 3 2" xfId="0"/>
    <cellStyle name="Header2 3 17 2 3 2 2" xfId="0"/>
    <cellStyle name="Header2 3 17 2 3 2 3" xfId="0"/>
    <cellStyle name="Header2 3 17 2 3 3" xfId="0"/>
    <cellStyle name="Header2 3 17 2 3 4" xfId="0"/>
    <cellStyle name="Header2 3 17 2 4" xfId="0"/>
    <cellStyle name="Header2 3 17 2 4 2" xfId="0"/>
    <cellStyle name="Header2 3 17 2 4 3" xfId="0"/>
    <cellStyle name="Header2 3 17 2 5" xfId="0"/>
    <cellStyle name="Header2 3 17 2 6" xfId="0"/>
    <cellStyle name="Header2 3 17 3" xfId="0"/>
    <cellStyle name="Header2 3 17 3 2" xfId="0"/>
    <cellStyle name="Header2 3 17 3 2 2" xfId="0"/>
    <cellStyle name="Header2 3 17 3 2 2 2" xfId="0"/>
    <cellStyle name="Header2 3 17 3 2 2 3" xfId="0"/>
    <cellStyle name="Header2 3 17 3 2 3" xfId="0"/>
    <cellStyle name="Header2 3 17 3 2 4" xfId="0"/>
    <cellStyle name="Header2 3 17 3 3" xfId="0"/>
    <cellStyle name="Header2 3 17 3 3 2" xfId="0"/>
    <cellStyle name="Header2 3 17 3 3 3" xfId="0"/>
    <cellStyle name="Header2 3 17 3 4" xfId="0"/>
    <cellStyle name="Header2 3 17 3 5" xfId="0"/>
    <cellStyle name="Header2 3 17 4" xfId="0"/>
    <cellStyle name="Header2 3 17 4 2" xfId="0"/>
    <cellStyle name="Header2 3 17 4 2 2" xfId="0"/>
    <cellStyle name="Header2 3 17 4 2 2 2" xfId="0"/>
    <cellStyle name="Header2 3 17 4 2 2 3" xfId="0"/>
    <cellStyle name="Header2 3 17 4 2 3" xfId="0"/>
    <cellStyle name="Header2 3 17 4 2 4" xfId="0"/>
    <cellStyle name="Header2 3 17 4 3" xfId="0"/>
    <cellStyle name="Header2 3 17 4 3 2" xfId="0"/>
    <cellStyle name="Header2 3 17 4 3 3" xfId="0"/>
    <cellStyle name="Header2 3 17 4 4" xfId="0"/>
    <cellStyle name="Header2 3 17 4 5" xfId="0"/>
    <cellStyle name="Header2 3 17 5" xfId="0"/>
    <cellStyle name="Header2 3 17 5 2" xfId="0"/>
    <cellStyle name="Header2 3 17 5 3" xfId="0"/>
    <cellStyle name="Header2 3 17 6" xfId="0"/>
    <cellStyle name="Header2 3 17 7" xfId="0"/>
    <cellStyle name="Header2 3 18" xfId="0"/>
    <cellStyle name="Header2 3 18 2" xfId="0"/>
    <cellStyle name="Header2 3 18 2 2" xfId="0"/>
    <cellStyle name="Header2 3 18 2 2 2" xfId="0"/>
    <cellStyle name="Header2 3 18 2 2 2 2" xfId="0"/>
    <cellStyle name="Header2 3 18 2 2 2 3" xfId="0"/>
    <cellStyle name="Header2 3 18 2 2 3" xfId="0"/>
    <cellStyle name="Header2 3 18 2 2 4" xfId="0"/>
    <cellStyle name="Header2 3 18 2 3" xfId="0"/>
    <cellStyle name="Header2 3 18 2 3 2" xfId="0"/>
    <cellStyle name="Header2 3 18 2 3 2 2" xfId="0"/>
    <cellStyle name="Header2 3 18 2 3 2 3" xfId="0"/>
    <cellStyle name="Header2 3 18 2 3 3" xfId="0"/>
    <cellStyle name="Header2 3 18 2 3 4" xfId="0"/>
    <cellStyle name="Header2 3 18 2 4" xfId="0"/>
    <cellStyle name="Header2 3 18 2 4 2" xfId="0"/>
    <cellStyle name="Header2 3 18 2 4 3" xfId="0"/>
    <cellStyle name="Header2 3 18 2 5" xfId="0"/>
    <cellStyle name="Header2 3 18 2 6" xfId="0"/>
    <cellStyle name="Header2 3 18 3" xfId="0"/>
    <cellStyle name="Header2 3 18 3 2" xfId="0"/>
    <cellStyle name="Header2 3 18 3 2 2" xfId="0"/>
    <cellStyle name="Header2 3 18 3 2 2 2" xfId="0"/>
    <cellStyle name="Header2 3 18 3 2 2 3" xfId="0"/>
    <cellStyle name="Header2 3 18 3 2 3" xfId="0"/>
    <cellStyle name="Header2 3 18 3 2 4" xfId="0"/>
    <cellStyle name="Header2 3 18 3 3" xfId="0"/>
    <cellStyle name="Header2 3 18 3 3 2" xfId="0"/>
    <cellStyle name="Header2 3 18 3 3 3" xfId="0"/>
    <cellStyle name="Header2 3 18 3 4" xfId="0"/>
    <cellStyle name="Header2 3 18 3 5" xfId="0"/>
    <cellStyle name="Header2 3 18 4" xfId="0"/>
    <cellStyle name="Header2 3 18 4 2" xfId="0"/>
    <cellStyle name="Header2 3 18 4 2 2" xfId="0"/>
    <cellStyle name="Header2 3 18 4 2 2 2" xfId="0"/>
    <cellStyle name="Header2 3 18 4 2 2 3" xfId="0"/>
    <cellStyle name="Header2 3 18 4 2 3" xfId="0"/>
    <cellStyle name="Header2 3 18 4 2 4" xfId="0"/>
    <cellStyle name="Header2 3 18 4 3" xfId="0"/>
    <cellStyle name="Header2 3 18 4 3 2" xfId="0"/>
    <cellStyle name="Header2 3 18 4 3 3" xfId="0"/>
    <cellStyle name="Header2 3 18 4 4" xfId="0"/>
    <cellStyle name="Header2 3 18 4 5" xfId="0"/>
    <cellStyle name="Header2 3 18 5" xfId="0"/>
    <cellStyle name="Header2 3 18 5 2" xfId="0"/>
    <cellStyle name="Header2 3 18 5 3" xfId="0"/>
    <cellStyle name="Header2 3 18 6" xfId="0"/>
    <cellStyle name="Header2 3 18 7" xfId="0"/>
    <cellStyle name="Header2 3 19" xfId="0"/>
    <cellStyle name="Header2 3 19 2" xfId="0"/>
    <cellStyle name="Header2 3 19 2 2" xfId="0"/>
    <cellStyle name="Header2 3 19 2 2 2" xfId="0"/>
    <cellStyle name="Header2 3 19 2 2 2 2" xfId="0"/>
    <cellStyle name="Header2 3 19 2 2 2 3" xfId="0"/>
    <cellStyle name="Header2 3 19 2 2 3" xfId="0"/>
    <cellStyle name="Header2 3 19 2 2 4" xfId="0"/>
    <cellStyle name="Header2 3 19 2 3" xfId="0"/>
    <cellStyle name="Header2 3 19 2 3 2" xfId="0"/>
    <cellStyle name="Header2 3 19 2 3 2 2" xfId="0"/>
    <cellStyle name="Header2 3 19 2 3 2 3" xfId="0"/>
    <cellStyle name="Header2 3 19 2 3 3" xfId="0"/>
    <cellStyle name="Header2 3 19 2 3 4" xfId="0"/>
    <cellStyle name="Header2 3 19 2 4" xfId="0"/>
    <cellStyle name="Header2 3 19 2 4 2" xfId="0"/>
    <cellStyle name="Header2 3 19 2 4 3" xfId="0"/>
    <cellStyle name="Header2 3 19 2 5" xfId="0"/>
    <cellStyle name="Header2 3 19 2 6" xfId="0"/>
    <cellStyle name="Header2 3 19 3" xfId="0"/>
    <cellStyle name="Header2 3 19 3 2" xfId="0"/>
    <cellStyle name="Header2 3 19 3 2 2" xfId="0"/>
    <cellStyle name="Header2 3 19 3 2 2 2" xfId="0"/>
    <cellStyle name="Header2 3 19 3 2 2 3" xfId="0"/>
    <cellStyle name="Header2 3 19 3 2 3" xfId="0"/>
    <cellStyle name="Header2 3 19 3 2 4" xfId="0"/>
    <cellStyle name="Header2 3 19 3 3" xfId="0"/>
    <cellStyle name="Header2 3 19 3 3 2" xfId="0"/>
    <cellStyle name="Header2 3 19 3 3 3" xfId="0"/>
    <cellStyle name="Header2 3 19 3 4" xfId="0"/>
    <cellStyle name="Header2 3 19 3 5" xfId="0"/>
    <cellStyle name="Header2 3 19 4" xfId="0"/>
    <cellStyle name="Header2 3 19 4 2" xfId="0"/>
    <cellStyle name="Header2 3 19 4 2 2" xfId="0"/>
    <cellStyle name="Header2 3 19 4 2 2 2" xfId="0"/>
    <cellStyle name="Header2 3 19 4 2 2 3" xfId="0"/>
    <cellStyle name="Header2 3 19 4 2 3" xfId="0"/>
    <cellStyle name="Header2 3 19 4 2 4" xfId="0"/>
    <cellStyle name="Header2 3 19 4 3" xfId="0"/>
    <cellStyle name="Header2 3 19 4 3 2" xfId="0"/>
    <cellStyle name="Header2 3 19 4 3 3" xfId="0"/>
    <cellStyle name="Header2 3 19 4 4" xfId="0"/>
    <cellStyle name="Header2 3 19 4 5" xfId="0"/>
    <cellStyle name="Header2 3 19 5" xfId="0"/>
    <cellStyle name="Header2 3 19 5 2" xfId="0"/>
    <cellStyle name="Header2 3 19 5 3" xfId="0"/>
    <cellStyle name="Header2 3 19 6" xfId="0"/>
    <cellStyle name="Header2 3 19 7" xfId="0"/>
    <cellStyle name="Header2 3 2" xfId="0"/>
    <cellStyle name="Header2 3 2 10" xfId="0"/>
    <cellStyle name="Header2 3 2 11" xfId="0"/>
    <cellStyle name="Header2 3 2 2" xfId="0"/>
    <cellStyle name="Header2 3 2 2 2" xfId="0"/>
    <cellStyle name="Header2 3 2 2 2 2" xfId="0"/>
    <cellStyle name="Header2 3 2 2 2 2 2" xfId="0"/>
    <cellStyle name="Header2 3 2 2 2 2 2 2" xfId="0"/>
    <cellStyle name="Header2 3 2 2 2 2 2 3" xfId="0"/>
    <cellStyle name="Header2 3 2 2 2 2 3" xfId="0"/>
    <cellStyle name="Header2 3 2 2 2 2 4" xfId="0"/>
    <cellStyle name="Header2 3 2 2 2 3" xfId="0"/>
    <cellStyle name="Header2 3 2 2 2 3 2" xfId="0"/>
    <cellStyle name="Header2 3 2 2 2 3 3" xfId="0"/>
    <cellStyle name="Header2 3 2 2 2 4" xfId="0"/>
    <cellStyle name="Header2 3 2 2 2 5" xfId="0"/>
    <cellStyle name="Header2 3 2 2 3" xfId="0"/>
    <cellStyle name="Header2 3 2 2 3 2" xfId="0"/>
    <cellStyle name="Header2 3 2 2 3 2 2" xfId="0"/>
    <cellStyle name="Header2 3 2 2 3 2 3" xfId="0"/>
    <cellStyle name="Header2 3 2 2 3 3" xfId="0"/>
    <cellStyle name="Header2 3 2 2 3 4" xfId="0"/>
    <cellStyle name="Header2 3 2 2 4" xfId="0"/>
    <cellStyle name="Header2 3 2 2 4 2" xfId="0"/>
    <cellStyle name="Header2 3 2 2 4 3" xfId="0"/>
    <cellStyle name="Header2 3 2 2 5" xfId="0"/>
    <cellStyle name="Header2 3 2 2 6" xfId="0"/>
    <cellStyle name="Header2 3 2 3" xfId="0"/>
    <cellStyle name="Header2 3 2 3 2" xfId="0"/>
    <cellStyle name="Header2 3 2 3 2 2" xfId="0"/>
    <cellStyle name="Header2 3 2 3 2 2 2" xfId="0"/>
    <cellStyle name="Header2 3 2 3 2 2 2 2" xfId="0"/>
    <cellStyle name="Header2 3 2 3 2 2 2 3" xfId="0"/>
    <cellStyle name="Header2 3 2 3 2 2 3" xfId="0"/>
    <cellStyle name="Header2 3 2 3 2 2 4" xfId="0"/>
    <cellStyle name="Header2 3 2 3 2 3" xfId="0"/>
    <cellStyle name="Header2 3 2 3 2 3 2" xfId="0"/>
    <cellStyle name="Header2 3 2 3 2 3 3" xfId="0"/>
    <cellStyle name="Header2 3 2 3 2 4" xfId="0"/>
    <cellStyle name="Header2 3 2 3 2 5" xfId="0"/>
    <cellStyle name="Header2 3 2 3 3" xfId="0"/>
    <cellStyle name="Header2 3 2 3 3 2" xfId="0"/>
    <cellStyle name="Header2 3 2 3 3 2 2" xfId="0"/>
    <cellStyle name="Header2 3 2 3 3 2 3" xfId="0"/>
    <cellStyle name="Header2 3 2 3 3 3" xfId="0"/>
    <cellStyle name="Header2 3 2 3 3 4" xfId="0"/>
    <cellStyle name="Header2 3 2 3 4" xfId="0"/>
    <cellStyle name="Header2 3 2 3 4 2" xfId="0"/>
    <cellStyle name="Header2 3 2 3 4 3" xfId="0"/>
    <cellStyle name="Header2 3 2 3 5" xfId="0"/>
    <cellStyle name="Header2 3 2 3 6" xfId="0"/>
    <cellStyle name="Header2 3 2 4" xfId="0"/>
    <cellStyle name="Header2 3 2 4 2" xfId="0"/>
    <cellStyle name="Header2 3 2 4 2 2" xfId="0"/>
    <cellStyle name="Header2 3 2 4 2 2 2" xfId="0"/>
    <cellStyle name="Header2 3 2 4 2 2 2 2" xfId="0"/>
    <cellStyle name="Header2 3 2 4 2 2 2 3" xfId="0"/>
    <cellStyle name="Header2 3 2 4 2 2 3" xfId="0"/>
    <cellStyle name="Header2 3 2 4 2 2 4" xfId="0"/>
    <cellStyle name="Header2 3 2 4 2 3" xfId="0"/>
    <cellStyle name="Header2 3 2 4 2 3 2" xfId="0"/>
    <cellStyle name="Header2 3 2 4 2 3 3" xfId="0"/>
    <cellStyle name="Header2 3 2 4 2 4" xfId="0"/>
    <cellStyle name="Header2 3 2 4 2 5" xfId="0"/>
    <cellStyle name="Header2 3 2 4 3" xfId="0"/>
    <cellStyle name="Header2 3 2 4 3 2" xfId="0"/>
    <cellStyle name="Header2 3 2 4 3 2 2" xfId="0"/>
    <cellStyle name="Header2 3 2 4 3 2 3" xfId="0"/>
    <cellStyle name="Header2 3 2 4 3 3" xfId="0"/>
    <cellStyle name="Header2 3 2 4 3 4" xfId="0"/>
    <cellStyle name="Header2 3 2 4 4" xfId="0"/>
    <cellStyle name="Header2 3 2 4 4 2" xfId="0"/>
    <cellStyle name="Header2 3 2 4 4 3" xfId="0"/>
    <cellStyle name="Header2 3 2 4 5" xfId="0"/>
    <cellStyle name="Header2 3 2 4 6" xfId="0"/>
    <cellStyle name="Header2 3 2 5" xfId="0"/>
    <cellStyle name="Header2 3 2 5 2" xfId="0"/>
    <cellStyle name="Header2 3 2 5 2 2" xfId="0"/>
    <cellStyle name="Header2 3 2 5 2 2 2" xfId="0"/>
    <cellStyle name="Header2 3 2 5 2 2 2 2" xfId="0"/>
    <cellStyle name="Header2 3 2 5 2 2 2 3" xfId="0"/>
    <cellStyle name="Header2 3 2 5 2 2 3" xfId="0"/>
    <cellStyle name="Header2 3 2 5 2 2 4" xfId="0"/>
    <cellStyle name="Header2 3 2 5 2 3" xfId="0"/>
    <cellStyle name="Header2 3 2 5 2 3 2" xfId="0"/>
    <cellStyle name="Header2 3 2 5 2 3 3" xfId="0"/>
    <cellStyle name="Header2 3 2 5 2 4" xfId="0"/>
    <cellStyle name="Header2 3 2 5 2 5" xfId="0"/>
    <cellStyle name="Header2 3 2 5 3" xfId="0"/>
    <cellStyle name="Header2 3 2 5 3 2" xfId="0"/>
    <cellStyle name="Header2 3 2 5 3 2 2" xfId="0"/>
    <cellStyle name="Header2 3 2 5 3 2 3" xfId="0"/>
    <cellStyle name="Header2 3 2 5 3 3" xfId="0"/>
    <cellStyle name="Header2 3 2 5 3 4" xfId="0"/>
    <cellStyle name="Header2 3 2 5 4" xfId="0"/>
    <cellStyle name="Header2 3 2 5 4 2" xfId="0"/>
    <cellStyle name="Header2 3 2 5 4 3" xfId="0"/>
    <cellStyle name="Header2 3 2 5 5" xfId="0"/>
    <cellStyle name="Header2 3 2 5 6" xfId="0"/>
    <cellStyle name="Header2 3 2 6" xfId="0"/>
    <cellStyle name="Header2 3 2 6 2" xfId="0"/>
    <cellStyle name="Header2 3 2 6 2 2" xfId="0"/>
    <cellStyle name="Header2 3 2 6 2 2 2" xfId="0"/>
    <cellStyle name="Header2 3 2 6 2 2 3" xfId="0"/>
    <cellStyle name="Header2 3 2 6 2 3" xfId="0"/>
    <cellStyle name="Header2 3 2 6 2 4" xfId="0"/>
    <cellStyle name="Header2 3 2 6 3" xfId="0"/>
    <cellStyle name="Header2 3 2 6 3 2" xfId="0"/>
    <cellStyle name="Header2 3 2 6 3 3" xfId="0"/>
    <cellStyle name="Header2 3 2 6 4" xfId="0"/>
    <cellStyle name="Header2 3 2 6 5" xfId="0"/>
    <cellStyle name="Header2 3 2 7" xfId="0"/>
    <cellStyle name="Header2 3 2 7 2" xfId="0"/>
    <cellStyle name="Header2 3 2 7 2 2" xfId="0"/>
    <cellStyle name="Header2 3 2 7 2 2 2" xfId="0"/>
    <cellStyle name="Header2 3 2 7 2 2 3" xfId="0"/>
    <cellStyle name="Header2 3 2 7 2 3" xfId="0"/>
    <cellStyle name="Header2 3 2 7 2 4" xfId="0"/>
    <cellStyle name="Header2 3 2 7 3" xfId="0"/>
    <cellStyle name="Header2 3 2 7 3 2" xfId="0"/>
    <cellStyle name="Header2 3 2 7 3 3" xfId="0"/>
    <cellStyle name="Header2 3 2 7 4" xfId="0"/>
    <cellStyle name="Header2 3 2 7 5" xfId="0"/>
    <cellStyle name="Header2 3 2 8" xfId="0"/>
    <cellStyle name="Header2 3 2 8 2" xfId="0"/>
    <cellStyle name="Header2 3 2 8 3" xfId="0"/>
    <cellStyle name="Header2 3 2 9" xfId="0"/>
    <cellStyle name="Header2 3 2 9 2" xfId="0"/>
    <cellStyle name="Header2 3 2 9 3" xfId="0"/>
    <cellStyle name="Header2 3 20" xfId="0"/>
    <cellStyle name="Header2 3 20 2" xfId="0"/>
    <cellStyle name="Header2 3 20 2 2" xfId="0"/>
    <cellStyle name="Header2 3 20 2 2 2" xfId="0"/>
    <cellStyle name="Header2 3 20 2 2 2 2" xfId="0"/>
    <cellStyle name="Header2 3 20 2 2 2 3" xfId="0"/>
    <cellStyle name="Header2 3 20 2 2 3" xfId="0"/>
    <cellStyle name="Header2 3 20 2 2 4" xfId="0"/>
    <cellStyle name="Header2 3 20 2 3" xfId="0"/>
    <cellStyle name="Header2 3 20 2 3 2" xfId="0"/>
    <cellStyle name="Header2 3 20 2 3 3" xfId="0"/>
    <cellStyle name="Header2 3 20 2 4" xfId="0"/>
    <cellStyle name="Header2 3 20 2 5" xfId="0"/>
    <cellStyle name="Header2 3 20 3" xfId="0"/>
    <cellStyle name="Header2 3 20 3 2" xfId="0"/>
    <cellStyle name="Header2 3 20 3 2 2" xfId="0"/>
    <cellStyle name="Header2 3 20 3 2 3" xfId="0"/>
    <cellStyle name="Header2 3 20 3 3" xfId="0"/>
    <cellStyle name="Header2 3 20 3 4" xfId="0"/>
    <cellStyle name="Header2 3 20 4" xfId="0"/>
    <cellStyle name="Header2 3 20 4 2" xfId="0"/>
    <cellStyle name="Header2 3 20 4 3" xfId="0"/>
    <cellStyle name="Header2 3 20 5" xfId="0"/>
    <cellStyle name="Header2 3 20 6" xfId="0"/>
    <cellStyle name="Header2 3 21" xfId="0"/>
    <cellStyle name="Header2 3 21 2" xfId="0"/>
    <cellStyle name="Header2 3 21 2 2" xfId="0"/>
    <cellStyle name="Header2 3 21 2 2 2" xfId="0"/>
    <cellStyle name="Header2 3 21 2 2 3" xfId="0"/>
    <cellStyle name="Header2 3 21 2 3" xfId="0"/>
    <cellStyle name="Header2 3 21 2 4" xfId="0"/>
    <cellStyle name="Header2 3 21 3" xfId="0"/>
    <cellStyle name="Header2 3 21 3 2" xfId="0"/>
    <cellStyle name="Header2 3 21 3 2 2" xfId="0"/>
    <cellStyle name="Header2 3 21 3 2 3" xfId="0"/>
    <cellStyle name="Header2 3 21 3 3" xfId="0"/>
    <cellStyle name="Header2 3 21 3 4" xfId="0"/>
    <cellStyle name="Header2 3 21 4" xfId="0"/>
    <cellStyle name="Header2 3 21 4 2" xfId="0"/>
    <cellStyle name="Header2 3 21 4 3" xfId="0"/>
    <cellStyle name="Header2 3 21 5" xfId="0"/>
    <cellStyle name="Header2 3 21 6" xfId="0"/>
    <cellStyle name="Header2 3 22" xfId="0"/>
    <cellStyle name="Header2 3 22 2" xfId="0"/>
    <cellStyle name="Header2 3 22 2 2" xfId="0"/>
    <cellStyle name="Header2 3 22 2 2 2" xfId="0"/>
    <cellStyle name="Header2 3 22 2 2 3" xfId="0"/>
    <cellStyle name="Header2 3 22 2 3" xfId="0"/>
    <cellStyle name="Header2 3 22 2 4" xfId="0"/>
    <cellStyle name="Header2 3 22 3" xfId="0"/>
    <cellStyle name="Header2 3 22 3 2" xfId="0"/>
    <cellStyle name="Header2 3 22 3 2 2" xfId="0"/>
    <cellStyle name="Header2 3 22 3 2 3" xfId="0"/>
    <cellStyle name="Header2 3 22 3 3" xfId="0"/>
    <cellStyle name="Header2 3 22 3 4" xfId="0"/>
    <cellStyle name="Header2 3 22 4" xfId="0"/>
    <cellStyle name="Header2 3 22 4 2" xfId="0"/>
    <cellStyle name="Header2 3 22 4 3" xfId="0"/>
    <cellStyle name="Header2 3 22 5" xfId="0"/>
    <cellStyle name="Header2 3 22 6" xfId="0"/>
    <cellStyle name="Header2 3 23" xfId="0"/>
    <cellStyle name="Header2 3 23 2" xfId="0"/>
    <cellStyle name="Header2 3 23 2 2" xfId="0"/>
    <cellStyle name="Header2 3 23 2 2 2" xfId="0"/>
    <cellStyle name="Header2 3 23 2 2 3" xfId="0"/>
    <cellStyle name="Header2 3 23 2 3" xfId="0"/>
    <cellStyle name="Header2 3 23 2 4" xfId="0"/>
    <cellStyle name="Header2 3 23 3" xfId="0"/>
    <cellStyle name="Header2 3 23 3 2" xfId="0"/>
    <cellStyle name="Header2 3 23 3 2 2" xfId="0"/>
    <cellStyle name="Header2 3 23 3 2 3" xfId="0"/>
    <cellStyle name="Header2 3 23 3 3" xfId="0"/>
    <cellStyle name="Header2 3 23 3 4" xfId="0"/>
    <cellStyle name="Header2 3 23 4" xfId="0"/>
    <cellStyle name="Header2 3 23 4 2" xfId="0"/>
    <cellStyle name="Header2 3 23 4 3" xfId="0"/>
    <cellStyle name="Header2 3 23 5" xfId="0"/>
    <cellStyle name="Header2 3 23 6" xfId="0"/>
    <cellStyle name="Header2 3 24" xfId="0"/>
    <cellStyle name="Header2 3 24 2" xfId="0"/>
    <cellStyle name="Header2 3 24 2 2" xfId="0"/>
    <cellStyle name="Header2 3 24 2 2 2" xfId="0"/>
    <cellStyle name="Header2 3 24 2 2 3" xfId="0"/>
    <cellStyle name="Header2 3 24 2 3" xfId="0"/>
    <cellStyle name="Header2 3 24 2 4" xfId="0"/>
    <cellStyle name="Header2 3 24 3" xfId="0"/>
    <cellStyle name="Header2 3 24 3 2" xfId="0"/>
    <cellStyle name="Header2 3 24 3 2 2" xfId="0"/>
    <cellStyle name="Header2 3 24 3 2 3" xfId="0"/>
    <cellStyle name="Header2 3 24 3 3" xfId="0"/>
    <cellStyle name="Header2 3 24 3 4" xfId="0"/>
    <cellStyle name="Header2 3 24 4" xfId="0"/>
    <cellStyle name="Header2 3 24 4 2" xfId="0"/>
    <cellStyle name="Header2 3 24 4 3" xfId="0"/>
    <cellStyle name="Header2 3 24 5" xfId="0"/>
    <cellStyle name="Header2 3 24 6" xfId="0"/>
    <cellStyle name="Header2 3 25" xfId="0"/>
    <cellStyle name="Header2 3 25 2" xfId="0"/>
    <cellStyle name="Header2 3 25 2 2" xfId="0"/>
    <cellStyle name="Header2 3 25 2 2 2" xfId="0"/>
    <cellStyle name="Header2 3 25 2 2 3" xfId="0"/>
    <cellStyle name="Header2 3 25 2 3" xfId="0"/>
    <cellStyle name="Header2 3 25 2 4" xfId="0"/>
    <cellStyle name="Header2 3 25 3" xfId="0"/>
    <cellStyle name="Header2 3 25 3 2" xfId="0"/>
    <cellStyle name="Header2 3 25 3 3" xfId="0"/>
    <cellStyle name="Header2 3 25 4" xfId="0"/>
    <cellStyle name="Header2 3 25 5" xfId="0"/>
    <cellStyle name="Header2 3 26" xfId="0"/>
    <cellStyle name="Header2 3 26 2" xfId="0"/>
    <cellStyle name="Header2 3 26 2 2" xfId="0"/>
    <cellStyle name="Header2 3 26 2 2 2" xfId="0"/>
    <cellStyle name="Header2 3 26 2 2 3" xfId="0"/>
    <cellStyle name="Header2 3 26 2 3" xfId="0"/>
    <cellStyle name="Header2 3 26 2 4" xfId="0"/>
    <cellStyle name="Header2 3 26 3" xfId="0"/>
    <cellStyle name="Header2 3 26 3 2" xfId="0"/>
    <cellStyle name="Header2 3 26 3 3" xfId="0"/>
    <cellStyle name="Header2 3 26 4" xfId="0"/>
    <cellStyle name="Header2 3 26 5" xfId="0"/>
    <cellStyle name="Header2 3 27" xfId="0"/>
    <cellStyle name="Header2 3 27 2" xfId="0"/>
    <cellStyle name="Header2 3 27 2 2" xfId="0"/>
    <cellStyle name="Header2 3 27 2 2 2" xfId="0"/>
    <cellStyle name="Header2 3 27 2 2 3" xfId="0"/>
    <cellStyle name="Header2 3 27 2 3" xfId="0"/>
    <cellStyle name="Header2 3 27 2 4" xfId="0"/>
    <cellStyle name="Header2 3 27 3" xfId="0"/>
    <cellStyle name="Header2 3 27 3 2" xfId="0"/>
    <cellStyle name="Header2 3 27 3 3" xfId="0"/>
    <cellStyle name="Header2 3 27 4" xfId="0"/>
    <cellStyle name="Header2 3 27 5" xfId="0"/>
    <cellStyle name="Header2 3 28" xfId="0"/>
    <cellStyle name="Header2 3 28 2" xfId="0"/>
    <cellStyle name="Header2 3 28 2 2" xfId="0"/>
    <cellStyle name="Header2 3 28 2 3" xfId="0"/>
    <cellStyle name="Header2 3 28 3" xfId="0"/>
    <cellStyle name="Header2 3 28 4" xfId="0"/>
    <cellStyle name="Header2 3 29" xfId="0"/>
    <cellStyle name="Header2 3 29 2" xfId="0"/>
    <cellStyle name="Header2 3 29 2 2" xfId="0"/>
    <cellStyle name="Header2 3 29 2 3" xfId="0"/>
    <cellStyle name="Header2 3 29 3" xfId="0"/>
    <cellStyle name="Header2 3 29 4" xfId="0"/>
    <cellStyle name="Header2 3 3" xfId="0"/>
    <cellStyle name="Header2 3 3 10" xfId="0"/>
    <cellStyle name="Header2 3 3 2" xfId="0"/>
    <cellStyle name="Header2 3 3 2 2" xfId="0"/>
    <cellStyle name="Header2 3 3 2 2 2" xfId="0"/>
    <cellStyle name="Header2 3 3 2 2 2 2" xfId="0"/>
    <cellStyle name="Header2 3 3 2 2 2 3" xfId="0"/>
    <cellStyle name="Header2 3 3 2 2 3" xfId="0"/>
    <cellStyle name="Header2 3 3 2 2 4" xfId="0"/>
    <cellStyle name="Header2 3 3 2 3" xfId="0"/>
    <cellStyle name="Header2 3 3 2 3 2" xfId="0"/>
    <cellStyle name="Header2 3 3 2 3 2 2" xfId="0"/>
    <cellStyle name="Header2 3 3 2 3 2 3" xfId="0"/>
    <cellStyle name="Header2 3 3 2 3 3" xfId="0"/>
    <cellStyle name="Header2 3 3 2 3 4" xfId="0"/>
    <cellStyle name="Header2 3 3 2 4" xfId="0"/>
    <cellStyle name="Header2 3 3 2 4 2" xfId="0"/>
    <cellStyle name="Header2 3 3 2 4 3" xfId="0"/>
    <cellStyle name="Header2 3 3 2 5" xfId="0"/>
    <cellStyle name="Header2 3 3 2 6" xfId="0"/>
    <cellStyle name="Header2 3 3 3" xfId="0"/>
    <cellStyle name="Header2 3 3 3 2" xfId="0"/>
    <cellStyle name="Header2 3 3 3 2 2" xfId="0"/>
    <cellStyle name="Header2 3 3 3 2 2 2" xfId="0"/>
    <cellStyle name="Header2 3 3 3 2 2 3" xfId="0"/>
    <cellStyle name="Header2 3 3 3 2 3" xfId="0"/>
    <cellStyle name="Header2 3 3 3 2 4" xfId="0"/>
    <cellStyle name="Header2 3 3 3 3" xfId="0"/>
    <cellStyle name="Header2 3 3 3 3 2" xfId="0"/>
    <cellStyle name="Header2 3 3 3 3 2 2" xfId="0"/>
    <cellStyle name="Header2 3 3 3 3 2 3" xfId="0"/>
    <cellStyle name="Header2 3 3 3 3 3" xfId="0"/>
    <cellStyle name="Header2 3 3 3 3 4" xfId="0"/>
    <cellStyle name="Header2 3 3 3 4" xfId="0"/>
    <cellStyle name="Header2 3 3 3 4 2" xfId="0"/>
    <cellStyle name="Header2 3 3 3 4 3" xfId="0"/>
    <cellStyle name="Header2 3 3 3 5" xfId="0"/>
    <cellStyle name="Header2 3 3 3 6" xfId="0"/>
    <cellStyle name="Header2 3 3 4" xfId="0"/>
    <cellStyle name="Header2 3 3 4 2" xfId="0"/>
    <cellStyle name="Header2 3 3 4 2 2" xfId="0"/>
    <cellStyle name="Header2 3 3 4 2 2 2" xfId="0"/>
    <cellStyle name="Header2 3 3 4 2 2 3" xfId="0"/>
    <cellStyle name="Header2 3 3 4 2 3" xfId="0"/>
    <cellStyle name="Header2 3 3 4 2 4" xfId="0"/>
    <cellStyle name="Header2 3 3 4 3" xfId="0"/>
    <cellStyle name="Header2 3 3 4 3 2" xfId="0"/>
    <cellStyle name="Header2 3 3 4 3 2 2" xfId="0"/>
    <cellStyle name="Header2 3 3 4 3 2 3" xfId="0"/>
    <cellStyle name="Header2 3 3 4 3 3" xfId="0"/>
    <cellStyle name="Header2 3 3 4 3 4" xfId="0"/>
    <cellStyle name="Header2 3 3 4 4" xfId="0"/>
    <cellStyle name="Header2 3 3 4 4 2" xfId="0"/>
    <cellStyle name="Header2 3 3 4 4 3" xfId="0"/>
    <cellStyle name="Header2 3 3 4 5" xfId="0"/>
    <cellStyle name="Header2 3 3 4 6" xfId="0"/>
    <cellStyle name="Header2 3 3 5" xfId="0"/>
    <cellStyle name="Header2 3 3 5 2" xfId="0"/>
    <cellStyle name="Header2 3 3 5 2 2" xfId="0"/>
    <cellStyle name="Header2 3 3 5 2 2 2" xfId="0"/>
    <cellStyle name="Header2 3 3 5 2 2 3" xfId="0"/>
    <cellStyle name="Header2 3 3 5 2 3" xfId="0"/>
    <cellStyle name="Header2 3 3 5 2 4" xfId="0"/>
    <cellStyle name="Header2 3 3 5 3" xfId="0"/>
    <cellStyle name="Header2 3 3 5 3 2" xfId="0"/>
    <cellStyle name="Header2 3 3 5 3 2 2" xfId="0"/>
    <cellStyle name="Header2 3 3 5 3 2 3" xfId="0"/>
    <cellStyle name="Header2 3 3 5 3 3" xfId="0"/>
    <cellStyle name="Header2 3 3 5 3 4" xfId="0"/>
    <cellStyle name="Header2 3 3 5 4" xfId="0"/>
    <cellStyle name="Header2 3 3 5 4 2" xfId="0"/>
    <cellStyle name="Header2 3 3 5 4 3" xfId="0"/>
    <cellStyle name="Header2 3 3 5 5" xfId="0"/>
    <cellStyle name="Header2 3 3 5 6" xfId="0"/>
    <cellStyle name="Header2 3 3 6" xfId="0"/>
    <cellStyle name="Header2 3 3 6 2" xfId="0"/>
    <cellStyle name="Header2 3 3 6 2 2" xfId="0"/>
    <cellStyle name="Header2 3 3 6 2 2 2" xfId="0"/>
    <cellStyle name="Header2 3 3 6 2 2 3" xfId="0"/>
    <cellStyle name="Header2 3 3 6 2 3" xfId="0"/>
    <cellStyle name="Header2 3 3 6 2 4" xfId="0"/>
    <cellStyle name="Header2 3 3 6 3" xfId="0"/>
    <cellStyle name="Header2 3 3 6 3 2" xfId="0"/>
    <cellStyle name="Header2 3 3 6 3 3" xfId="0"/>
    <cellStyle name="Header2 3 3 6 4" xfId="0"/>
    <cellStyle name="Header2 3 3 6 5" xfId="0"/>
    <cellStyle name="Header2 3 3 7" xfId="0"/>
    <cellStyle name="Header2 3 3 7 2" xfId="0"/>
    <cellStyle name="Header2 3 3 7 2 2" xfId="0"/>
    <cellStyle name="Header2 3 3 7 2 2 2" xfId="0"/>
    <cellStyle name="Header2 3 3 7 2 2 3" xfId="0"/>
    <cellStyle name="Header2 3 3 7 2 3" xfId="0"/>
    <cellStyle name="Header2 3 3 7 2 4" xfId="0"/>
    <cellStyle name="Header2 3 3 7 3" xfId="0"/>
    <cellStyle name="Header2 3 3 7 3 2" xfId="0"/>
    <cellStyle name="Header2 3 3 7 3 3" xfId="0"/>
    <cellStyle name="Header2 3 3 7 4" xfId="0"/>
    <cellStyle name="Header2 3 3 7 5" xfId="0"/>
    <cellStyle name="Header2 3 3 8" xfId="0"/>
    <cellStyle name="Header2 3 3 8 2" xfId="0"/>
    <cellStyle name="Header2 3 3 8 3" xfId="0"/>
    <cellStyle name="Header2 3 3 9" xfId="0"/>
    <cellStyle name="Header2 3 30" xfId="0"/>
    <cellStyle name="Header2 3 30 2" xfId="0"/>
    <cellStyle name="Header2 3 30 3" xfId="0"/>
    <cellStyle name="Header2 3 31" xfId="0"/>
    <cellStyle name="Header2 3 31 2" xfId="0"/>
    <cellStyle name="Header2 3 31 3" xfId="0"/>
    <cellStyle name="Header2 3 32" xfId="0"/>
    <cellStyle name="Header2 3 32 2" xfId="0"/>
    <cellStyle name="Header2 3 32 3" xfId="0"/>
    <cellStyle name="Header2 3 33" xfId="0"/>
    <cellStyle name="Header2 3 33 2" xfId="0"/>
    <cellStyle name="Header2 3 33 3" xfId="0"/>
    <cellStyle name="Header2 3 34" xfId="0"/>
    <cellStyle name="Header2 3 4" xfId="0"/>
    <cellStyle name="Header2 3 4 10" xfId="0"/>
    <cellStyle name="Header2 3 4 2" xfId="0"/>
    <cellStyle name="Header2 3 4 2 2" xfId="0"/>
    <cellStyle name="Header2 3 4 2 2 2" xfId="0"/>
    <cellStyle name="Header2 3 4 2 2 2 2" xfId="0"/>
    <cellStyle name="Header2 3 4 2 2 2 3" xfId="0"/>
    <cellStyle name="Header2 3 4 2 2 3" xfId="0"/>
    <cellStyle name="Header2 3 4 2 2 4" xfId="0"/>
    <cellStyle name="Header2 3 4 2 3" xfId="0"/>
    <cellStyle name="Header2 3 4 2 3 2" xfId="0"/>
    <cellStyle name="Header2 3 4 2 3 2 2" xfId="0"/>
    <cellStyle name="Header2 3 4 2 3 2 3" xfId="0"/>
    <cellStyle name="Header2 3 4 2 3 3" xfId="0"/>
    <cellStyle name="Header2 3 4 2 3 4" xfId="0"/>
    <cellStyle name="Header2 3 4 2 4" xfId="0"/>
    <cellStyle name="Header2 3 4 2 4 2" xfId="0"/>
    <cellStyle name="Header2 3 4 2 4 3" xfId="0"/>
    <cellStyle name="Header2 3 4 2 5" xfId="0"/>
    <cellStyle name="Header2 3 4 2 6" xfId="0"/>
    <cellStyle name="Header2 3 4 3" xfId="0"/>
    <cellStyle name="Header2 3 4 3 2" xfId="0"/>
    <cellStyle name="Header2 3 4 3 2 2" xfId="0"/>
    <cellStyle name="Header2 3 4 3 2 2 2" xfId="0"/>
    <cellStyle name="Header2 3 4 3 2 2 3" xfId="0"/>
    <cellStyle name="Header2 3 4 3 2 3" xfId="0"/>
    <cellStyle name="Header2 3 4 3 2 4" xfId="0"/>
    <cellStyle name="Header2 3 4 3 3" xfId="0"/>
    <cellStyle name="Header2 3 4 3 3 2" xfId="0"/>
    <cellStyle name="Header2 3 4 3 3 2 2" xfId="0"/>
    <cellStyle name="Header2 3 4 3 3 2 3" xfId="0"/>
    <cellStyle name="Header2 3 4 3 3 3" xfId="0"/>
    <cellStyle name="Header2 3 4 3 3 4" xfId="0"/>
    <cellStyle name="Header2 3 4 3 4" xfId="0"/>
    <cellStyle name="Header2 3 4 3 4 2" xfId="0"/>
    <cellStyle name="Header2 3 4 3 4 3" xfId="0"/>
    <cellStyle name="Header2 3 4 3 5" xfId="0"/>
    <cellStyle name="Header2 3 4 3 6" xfId="0"/>
    <cellStyle name="Header2 3 4 4" xfId="0"/>
    <cellStyle name="Header2 3 4 4 2" xfId="0"/>
    <cellStyle name="Header2 3 4 4 2 2" xfId="0"/>
    <cellStyle name="Header2 3 4 4 2 2 2" xfId="0"/>
    <cellStyle name="Header2 3 4 4 2 2 3" xfId="0"/>
    <cellStyle name="Header2 3 4 4 2 3" xfId="0"/>
    <cellStyle name="Header2 3 4 4 2 4" xfId="0"/>
    <cellStyle name="Header2 3 4 4 3" xfId="0"/>
    <cellStyle name="Header2 3 4 4 3 2" xfId="0"/>
    <cellStyle name="Header2 3 4 4 3 2 2" xfId="0"/>
    <cellStyle name="Header2 3 4 4 3 2 3" xfId="0"/>
    <cellStyle name="Header2 3 4 4 3 3" xfId="0"/>
    <cellStyle name="Header2 3 4 4 3 4" xfId="0"/>
    <cellStyle name="Header2 3 4 4 4" xfId="0"/>
    <cellStyle name="Header2 3 4 4 4 2" xfId="0"/>
    <cellStyle name="Header2 3 4 4 4 3" xfId="0"/>
    <cellStyle name="Header2 3 4 4 5" xfId="0"/>
    <cellStyle name="Header2 3 4 4 6" xfId="0"/>
    <cellStyle name="Header2 3 4 5" xfId="0"/>
    <cellStyle name="Header2 3 4 5 2" xfId="0"/>
    <cellStyle name="Header2 3 4 5 2 2" xfId="0"/>
    <cellStyle name="Header2 3 4 5 2 2 2" xfId="0"/>
    <cellStyle name="Header2 3 4 5 2 2 3" xfId="0"/>
    <cellStyle name="Header2 3 4 5 2 3" xfId="0"/>
    <cellStyle name="Header2 3 4 5 2 4" xfId="0"/>
    <cellStyle name="Header2 3 4 5 3" xfId="0"/>
    <cellStyle name="Header2 3 4 5 3 2" xfId="0"/>
    <cellStyle name="Header2 3 4 5 3 2 2" xfId="0"/>
    <cellStyle name="Header2 3 4 5 3 2 3" xfId="0"/>
    <cellStyle name="Header2 3 4 5 3 3" xfId="0"/>
    <cellStyle name="Header2 3 4 5 3 4" xfId="0"/>
    <cellStyle name="Header2 3 4 5 4" xfId="0"/>
    <cellStyle name="Header2 3 4 5 4 2" xfId="0"/>
    <cellStyle name="Header2 3 4 5 4 3" xfId="0"/>
    <cellStyle name="Header2 3 4 5 5" xfId="0"/>
    <cellStyle name="Header2 3 4 5 6" xfId="0"/>
    <cellStyle name="Header2 3 4 6" xfId="0"/>
    <cellStyle name="Header2 3 4 6 2" xfId="0"/>
    <cellStyle name="Header2 3 4 6 2 2" xfId="0"/>
    <cellStyle name="Header2 3 4 6 2 2 2" xfId="0"/>
    <cellStyle name="Header2 3 4 6 2 2 3" xfId="0"/>
    <cellStyle name="Header2 3 4 6 2 3" xfId="0"/>
    <cellStyle name="Header2 3 4 6 2 4" xfId="0"/>
    <cellStyle name="Header2 3 4 6 3" xfId="0"/>
    <cellStyle name="Header2 3 4 6 3 2" xfId="0"/>
    <cellStyle name="Header2 3 4 6 3 3" xfId="0"/>
    <cellStyle name="Header2 3 4 6 4" xfId="0"/>
    <cellStyle name="Header2 3 4 6 5" xfId="0"/>
    <cellStyle name="Header2 3 4 7" xfId="0"/>
    <cellStyle name="Header2 3 4 7 2" xfId="0"/>
    <cellStyle name="Header2 3 4 7 2 2" xfId="0"/>
    <cellStyle name="Header2 3 4 7 2 2 2" xfId="0"/>
    <cellStyle name="Header2 3 4 7 2 2 3" xfId="0"/>
    <cellStyle name="Header2 3 4 7 2 3" xfId="0"/>
    <cellStyle name="Header2 3 4 7 2 4" xfId="0"/>
    <cellStyle name="Header2 3 4 7 3" xfId="0"/>
    <cellStyle name="Header2 3 4 7 3 2" xfId="0"/>
    <cellStyle name="Header2 3 4 7 3 3" xfId="0"/>
    <cellStyle name="Header2 3 4 7 4" xfId="0"/>
    <cellStyle name="Header2 3 4 7 5" xfId="0"/>
    <cellStyle name="Header2 3 4 8" xfId="0"/>
    <cellStyle name="Header2 3 4 8 2" xfId="0"/>
    <cellStyle name="Header2 3 4 8 3" xfId="0"/>
    <cellStyle name="Header2 3 4 9" xfId="0"/>
    <cellStyle name="Header2 3 5" xfId="0"/>
    <cellStyle name="Header2 3 5 2" xfId="0"/>
    <cellStyle name="Header2 3 5 2 2" xfId="0"/>
    <cellStyle name="Header2 3 5 2 2 2" xfId="0"/>
    <cellStyle name="Header2 3 5 2 2 2 2" xfId="0"/>
    <cellStyle name="Header2 3 5 2 2 2 3" xfId="0"/>
    <cellStyle name="Header2 3 5 2 2 3" xfId="0"/>
    <cellStyle name="Header2 3 5 2 2 4" xfId="0"/>
    <cellStyle name="Header2 3 5 2 3" xfId="0"/>
    <cellStyle name="Header2 3 5 2 3 2" xfId="0"/>
    <cellStyle name="Header2 3 5 2 3 2 2" xfId="0"/>
    <cellStyle name="Header2 3 5 2 3 2 3" xfId="0"/>
    <cellStyle name="Header2 3 5 2 3 3" xfId="0"/>
    <cellStyle name="Header2 3 5 2 3 4" xfId="0"/>
    <cellStyle name="Header2 3 5 2 4" xfId="0"/>
    <cellStyle name="Header2 3 5 2 4 2" xfId="0"/>
    <cellStyle name="Header2 3 5 2 4 3" xfId="0"/>
    <cellStyle name="Header2 3 5 2 5" xfId="0"/>
    <cellStyle name="Header2 3 5 2 6" xfId="0"/>
    <cellStyle name="Header2 3 5 3" xfId="0"/>
    <cellStyle name="Header2 3 5 3 2" xfId="0"/>
    <cellStyle name="Header2 3 5 3 2 2" xfId="0"/>
    <cellStyle name="Header2 3 5 3 2 2 2" xfId="0"/>
    <cellStyle name="Header2 3 5 3 2 2 3" xfId="0"/>
    <cellStyle name="Header2 3 5 3 2 3" xfId="0"/>
    <cellStyle name="Header2 3 5 3 2 4" xfId="0"/>
    <cellStyle name="Header2 3 5 3 3" xfId="0"/>
    <cellStyle name="Header2 3 5 3 3 2" xfId="0"/>
    <cellStyle name="Header2 3 5 3 3 3" xfId="0"/>
    <cellStyle name="Header2 3 5 3 4" xfId="0"/>
    <cellStyle name="Header2 3 5 3 5" xfId="0"/>
    <cellStyle name="Header2 3 5 4" xfId="0"/>
    <cellStyle name="Header2 3 5 4 2" xfId="0"/>
    <cellStyle name="Header2 3 5 4 2 2" xfId="0"/>
    <cellStyle name="Header2 3 5 4 2 2 2" xfId="0"/>
    <cellStyle name="Header2 3 5 4 2 2 3" xfId="0"/>
    <cellStyle name="Header2 3 5 4 2 3" xfId="0"/>
    <cellStyle name="Header2 3 5 4 2 4" xfId="0"/>
    <cellStyle name="Header2 3 5 4 3" xfId="0"/>
    <cellStyle name="Header2 3 5 4 3 2" xfId="0"/>
    <cellStyle name="Header2 3 5 4 3 3" xfId="0"/>
    <cellStyle name="Header2 3 5 4 4" xfId="0"/>
    <cellStyle name="Header2 3 5 4 5" xfId="0"/>
    <cellStyle name="Header2 3 5 5" xfId="0"/>
    <cellStyle name="Header2 3 5 5 2" xfId="0"/>
    <cellStyle name="Header2 3 5 5 3" xfId="0"/>
    <cellStyle name="Header2 3 5 6" xfId="0"/>
    <cellStyle name="Header2 3 5 7" xfId="0"/>
    <cellStyle name="Header2 3 6" xfId="0"/>
    <cellStyle name="Header2 3 6 2" xfId="0"/>
    <cellStyle name="Header2 3 6 2 2" xfId="0"/>
    <cellStyle name="Header2 3 6 2 2 2" xfId="0"/>
    <cellStyle name="Header2 3 6 2 2 2 2" xfId="0"/>
    <cellStyle name="Header2 3 6 2 2 2 3" xfId="0"/>
    <cellStyle name="Header2 3 6 2 2 3" xfId="0"/>
    <cellStyle name="Header2 3 6 2 2 4" xfId="0"/>
    <cellStyle name="Header2 3 6 2 3" xfId="0"/>
    <cellStyle name="Header2 3 6 2 3 2" xfId="0"/>
    <cellStyle name="Header2 3 6 2 3 2 2" xfId="0"/>
    <cellStyle name="Header2 3 6 2 3 2 3" xfId="0"/>
    <cellStyle name="Header2 3 6 2 3 3" xfId="0"/>
    <cellStyle name="Header2 3 6 2 3 4" xfId="0"/>
    <cellStyle name="Header2 3 6 2 4" xfId="0"/>
    <cellStyle name="Header2 3 6 2 4 2" xfId="0"/>
    <cellStyle name="Header2 3 6 2 4 3" xfId="0"/>
    <cellStyle name="Header2 3 6 2 5" xfId="0"/>
    <cellStyle name="Header2 3 6 2 6" xfId="0"/>
    <cellStyle name="Header2 3 6 3" xfId="0"/>
    <cellStyle name="Header2 3 6 3 2" xfId="0"/>
    <cellStyle name="Header2 3 6 3 2 2" xfId="0"/>
    <cellStyle name="Header2 3 6 3 2 2 2" xfId="0"/>
    <cellStyle name="Header2 3 6 3 2 2 3" xfId="0"/>
    <cellStyle name="Header2 3 6 3 2 3" xfId="0"/>
    <cellStyle name="Header2 3 6 3 2 4" xfId="0"/>
    <cellStyle name="Header2 3 6 3 3" xfId="0"/>
    <cellStyle name="Header2 3 6 3 3 2" xfId="0"/>
    <cellStyle name="Header2 3 6 3 3 3" xfId="0"/>
    <cellStyle name="Header2 3 6 3 4" xfId="0"/>
    <cellStyle name="Header2 3 6 3 5" xfId="0"/>
    <cellStyle name="Header2 3 6 4" xfId="0"/>
    <cellStyle name="Header2 3 6 4 2" xfId="0"/>
    <cellStyle name="Header2 3 6 4 2 2" xfId="0"/>
    <cellStyle name="Header2 3 6 4 2 2 2" xfId="0"/>
    <cellStyle name="Header2 3 6 4 2 2 3" xfId="0"/>
    <cellStyle name="Header2 3 6 4 2 3" xfId="0"/>
    <cellStyle name="Header2 3 6 4 2 4" xfId="0"/>
    <cellStyle name="Header2 3 6 4 3" xfId="0"/>
    <cellStyle name="Header2 3 6 4 3 2" xfId="0"/>
    <cellStyle name="Header2 3 6 4 3 3" xfId="0"/>
    <cellStyle name="Header2 3 6 4 4" xfId="0"/>
    <cellStyle name="Header2 3 6 4 5" xfId="0"/>
    <cellStyle name="Header2 3 6 5" xfId="0"/>
    <cellStyle name="Header2 3 6 5 2" xfId="0"/>
    <cellStyle name="Header2 3 6 5 3" xfId="0"/>
    <cellStyle name="Header2 3 6 6" xfId="0"/>
    <cellStyle name="Header2 3 6 7" xfId="0"/>
    <cellStyle name="Header2 3 7" xfId="0"/>
    <cellStyle name="Header2 3 7 2" xfId="0"/>
    <cellStyle name="Header2 3 7 2 2" xfId="0"/>
    <cellStyle name="Header2 3 7 2 2 2" xfId="0"/>
    <cellStyle name="Header2 3 7 2 2 2 2" xfId="0"/>
    <cellStyle name="Header2 3 7 2 2 2 3" xfId="0"/>
    <cellStyle name="Header2 3 7 2 2 3" xfId="0"/>
    <cellStyle name="Header2 3 7 2 2 4" xfId="0"/>
    <cellStyle name="Header2 3 7 2 3" xfId="0"/>
    <cellStyle name="Header2 3 7 2 3 2" xfId="0"/>
    <cellStyle name="Header2 3 7 2 3 2 2" xfId="0"/>
    <cellStyle name="Header2 3 7 2 3 2 3" xfId="0"/>
    <cellStyle name="Header2 3 7 2 3 3" xfId="0"/>
    <cellStyle name="Header2 3 7 2 3 4" xfId="0"/>
    <cellStyle name="Header2 3 7 2 4" xfId="0"/>
    <cellStyle name="Header2 3 7 2 4 2" xfId="0"/>
    <cellStyle name="Header2 3 7 2 4 3" xfId="0"/>
    <cellStyle name="Header2 3 7 2 5" xfId="0"/>
    <cellStyle name="Header2 3 7 2 6" xfId="0"/>
    <cellStyle name="Header2 3 7 3" xfId="0"/>
    <cellStyle name="Header2 3 7 3 2" xfId="0"/>
    <cellStyle name="Header2 3 7 3 2 2" xfId="0"/>
    <cellStyle name="Header2 3 7 3 2 2 2" xfId="0"/>
    <cellStyle name="Header2 3 7 3 2 2 3" xfId="0"/>
    <cellStyle name="Header2 3 7 3 2 3" xfId="0"/>
    <cellStyle name="Header2 3 7 3 2 4" xfId="0"/>
    <cellStyle name="Header2 3 7 3 3" xfId="0"/>
    <cellStyle name="Header2 3 7 3 3 2" xfId="0"/>
    <cellStyle name="Header2 3 7 3 3 3" xfId="0"/>
    <cellStyle name="Header2 3 7 3 4" xfId="0"/>
    <cellStyle name="Header2 3 7 3 5" xfId="0"/>
    <cellStyle name="Header2 3 7 4" xfId="0"/>
    <cellStyle name="Header2 3 7 4 2" xfId="0"/>
    <cellStyle name="Header2 3 7 4 2 2" xfId="0"/>
    <cellStyle name="Header2 3 7 4 2 2 2" xfId="0"/>
    <cellStyle name="Header2 3 7 4 2 2 3" xfId="0"/>
    <cellStyle name="Header2 3 7 4 2 3" xfId="0"/>
    <cellStyle name="Header2 3 7 4 2 4" xfId="0"/>
    <cellStyle name="Header2 3 7 4 3" xfId="0"/>
    <cellStyle name="Header2 3 7 4 3 2" xfId="0"/>
    <cellStyle name="Header2 3 7 4 3 3" xfId="0"/>
    <cellStyle name="Header2 3 7 4 4" xfId="0"/>
    <cellStyle name="Header2 3 7 4 5" xfId="0"/>
    <cellStyle name="Header2 3 7 5" xfId="0"/>
    <cellStyle name="Header2 3 7 5 2" xfId="0"/>
    <cellStyle name="Header2 3 7 5 3" xfId="0"/>
    <cellStyle name="Header2 3 7 6" xfId="0"/>
    <cellStyle name="Header2 3 7 7" xfId="0"/>
    <cellStyle name="Header2 3 8" xfId="0"/>
    <cellStyle name="Header2 3 8 2" xfId="0"/>
    <cellStyle name="Header2 3 8 2 2" xfId="0"/>
    <cellStyle name="Header2 3 8 2 2 2" xfId="0"/>
    <cellStyle name="Header2 3 8 2 2 2 2" xfId="0"/>
    <cellStyle name="Header2 3 8 2 2 2 3" xfId="0"/>
    <cellStyle name="Header2 3 8 2 2 3" xfId="0"/>
    <cellStyle name="Header2 3 8 2 2 4" xfId="0"/>
    <cellStyle name="Header2 3 8 2 3" xfId="0"/>
    <cellStyle name="Header2 3 8 2 3 2" xfId="0"/>
    <cellStyle name="Header2 3 8 2 3 2 2" xfId="0"/>
    <cellStyle name="Header2 3 8 2 3 2 3" xfId="0"/>
    <cellStyle name="Header2 3 8 2 3 3" xfId="0"/>
    <cellStyle name="Header2 3 8 2 3 4" xfId="0"/>
    <cellStyle name="Header2 3 8 2 4" xfId="0"/>
    <cellStyle name="Header2 3 8 2 4 2" xfId="0"/>
    <cellStyle name="Header2 3 8 2 4 3" xfId="0"/>
    <cellStyle name="Header2 3 8 2 5" xfId="0"/>
    <cellStyle name="Header2 3 8 2 6" xfId="0"/>
    <cellStyle name="Header2 3 8 3" xfId="0"/>
    <cellStyle name="Header2 3 8 3 2" xfId="0"/>
    <cellStyle name="Header2 3 8 3 2 2" xfId="0"/>
    <cellStyle name="Header2 3 8 3 2 2 2" xfId="0"/>
    <cellStyle name="Header2 3 8 3 2 2 3" xfId="0"/>
    <cellStyle name="Header2 3 8 3 2 3" xfId="0"/>
    <cellStyle name="Header2 3 8 3 2 4" xfId="0"/>
    <cellStyle name="Header2 3 8 3 3" xfId="0"/>
    <cellStyle name="Header2 3 8 3 3 2" xfId="0"/>
    <cellStyle name="Header2 3 8 3 3 3" xfId="0"/>
    <cellStyle name="Header2 3 8 3 4" xfId="0"/>
    <cellStyle name="Header2 3 8 3 5" xfId="0"/>
    <cellStyle name="Header2 3 8 4" xfId="0"/>
    <cellStyle name="Header2 3 8 4 2" xfId="0"/>
    <cellStyle name="Header2 3 8 4 2 2" xfId="0"/>
    <cellStyle name="Header2 3 8 4 2 2 2" xfId="0"/>
    <cellStyle name="Header2 3 8 4 2 2 3" xfId="0"/>
    <cellStyle name="Header2 3 8 4 2 3" xfId="0"/>
    <cellStyle name="Header2 3 8 4 2 4" xfId="0"/>
    <cellStyle name="Header2 3 8 4 3" xfId="0"/>
    <cellStyle name="Header2 3 8 4 3 2" xfId="0"/>
    <cellStyle name="Header2 3 8 4 3 3" xfId="0"/>
    <cellStyle name="Header2 3 8 4 4" xfId="0"/>
    <cellStyle name="Header2 3 8 4 5" xfId="0"/>
    <cellStyle name="Header2 3 8 5" xfId="0"/>
    <cellStyle name="Header2 3 8 5 2" xfId="0"/>
    <cellStyle name="Header2 3 8 5 3" xfId="0"/>
    <cellStyle name="Header2 3 8 6" xfId="0"/>
    <cellStyle name="Header2 3 8 7" xfId="0"/>
    <cellStyle name="Header2 3 9" xfId="0"/>
    <cellStyle name="Header2 3 9 2" xfId="0"/>
    <cellStyle name="Header2 3 9 2 2" xfId="0"/>
    <cellStyle name="Header2 3 9 2 2 2" xfId="0"/>
    <cellStyle name="Header2 3 9 2 2 2 2" xfId="0"/>
    <cellStyle name="Header2 3 9 2 2 2 3" xfId="0"/>
    <cellStyle name="Header2 3 9 2 2 3" xfId="0"/>
    <cellStyle name="Header2 3 9 2 2 4" xfId="0"/>
    <cellStyle name="Header2 3 9 2 3" xfId="0"/>
    <cellStyle name="Header2 3 9 2 3 2" xfId="0"/>
    <cellStyle name="Header2 3 9 2 3 2 2" xfId="0"/>
    <cellStyle name="Header2 3 9 2 3 2 3" xfId="0"/>
    <cellStyle name="Header2 3 9 2 3 3" xfId="0"/>
    <cellStyle name="Header2 3 9 2 3 4" xfId="0"/>
    <cellStyle name="Header2 3 9 2 4" xfId="0"/>
    <cellStyle name="Header2 3 9 2 4 2" xfId="0"/>
    <cellStyle name="Header2 3 9 2 4 3" xfId="0"/>
    <cellStyle name="Header2 3 9 2 5" xfId="0"/>
    <cellStyle name="Header2 3 9 2 6" xfId="0"/>
    <cellStyle name="Header2 3 9 3" xfId="0"/>
    <cellStyle name="Header2 3 9 3 2" xfId="0"/>
    <cellStyle name="Header2 3 9 3 2 2" xfId="0"/>
    <cellStyle name="Header2 3 9 3 2 2 2" xfId="0"/>
    <cellStyle name="Header2 3 9 3 2 2 3" xfId="0"/>
    <cellStyle name="Header2 3 9 3 2 3" xfId="0"/>
    <cellStyle name="Header2 3 9 3 2 4" xfId="0"/>
    <cellStyle name="Header2 3 9 3 3" xfId="0"/>
    <cellStyle name="Header2 3 9 3 3 2" xfId="0"/>
    <cellStyle name="Header2 3 9 3 3 3" xfId="0"/>
    <cellStyle name="Header2 3 9 3 4" xfId="0"/>
    <cellStyle name="Header2 3 9 3 5" xfId="0"/>
    <cellStyle name="Header2 3 9 4" xfId="0"/>
    <cellStyle name="Header2 3 9 4 2" xfId="0"/>
    <cellStyle name="Header2 3 9 4 2 2" xfId="0"/>
    <cellStyle name="Header2 3 9 4 2 2 2" xfId="0"/>
    <cellStyle name="Header2 3 9 4 2 2 3" xfId="0"/>
    <cellStyle name="Header2 3 9 4 2 3" xfId="0"/>
    <cellStyle name="Header2 3 9 4 2 4" xfId="0"/>
    <cellStyle name="Header2 3 9 4 3" xfId="0"/>
    <cellStyle name="Header2 3 9 4 3 2" xfId="0"/>
    <cellStyle name="Header2 3 9 4 3 3" xfId="0"/>
    <cellStyle name="Header2 3 9 4 4" xfId="0"/>
    <cellStyle name="Header2 3 9 4 5" xfId="0"/>
    <cellStyle name="Header2 3 9 5" xfId="0"/>
    <cellStyle name="Header2 3 9 5 2" xfId="0"/>
    <cellStyle name="Header2 3 9 5 3" xfId="0"/>
    <cellStyle name="Header2 3 9 6" xfId="0"/>
    <cellStyle name="Header2 3 9 7" xfId="0"/>
    <cellStyle name="Header2 30" xfId="0"/>
    <cellStyle name="Header2 30 2" xfId="0"/>
    <cellStyle name="Header2 30 2 2" xfId="0"/>
    <cellStyle name="Header2 30 2 3" xfId="0"/>
    <cellStyle name="Header2 30 3" xfId="0"/>
    <cellStyle name="Header2 30 4" xfId="0"/>
    <cellStyle name="Header2 31" xfId="0"/>
    <cellStyle name="Header2 31 2" xfId="0"/>
    <cellStyle name="Header2 31 2 2" xfId="0"/>
    <cellStyle name="Header2 31 2 3" xfId="0"/>
    <cellStyle name="Header2 31 3" xfId="0"/>
    <cellStyle name="Header2 31 4" xfId="0"/>
    <cellStyle name="Header2 32" xfId="0"/>
    <cellStyle name="Header2 32 2" xfId="0"/>
    <cellStyle name="Header2 32 3" xfId="0"/>
    <cellStyle name="Header2 33" xfId="0"/>
    <cellStyle name="Header2 33 2" xfId="0"/>
    <cellStyle name="Header2 33 3" xfId="0"/>
    <cellStyle name="Header2 34" xfId="0"/>
    <cellStyle name="Header2 34 2" xfId="0"/>
    <cellStyle name="Header2 34 3" xfId="0"/>
    <cellStyle name="Header2 35" xfId="0"/>
    <cellStyle name="Header2 35 2" xfId="0"/>
    <cellStyle name="Header2 35 3" xfId="0"/>
    <cellStyle name="Header2 36" xfId="0"/>
    <cellStyle name="Header2 4" xfId="0"/>
    <cellStyle name="Header2 4 10" xfId="0"/>
    <cellStyle name="Header2 4 11" xfId="0"/>
    <cellStyle name="Header2 4 2" xfId="0"/>
    <cellStyle name="Header2 4 2 2" xfId="0"/>
    <cellStyle name="Header2 4 2 2 2" xfId="0"/>
    <cellStyle name="Header2 4 2 2 2 2" xfId="0"/>
    <cellStyle name="Header2 4 2 2 2 2 2" xfId="0"/>
    <cellStyle name="Header2 4 2 2 2 2 3" xfId="0"/>
    <cellStyle name="Header2 4 2 2 2 3" xfId="0"/>
    <cellStyle name="Header2 4 2 2 2 4" xfId="0"/>
    <cellStyle name="Header2 4 2 2 3" xfId="0"/>
    <cellStyle name="Header2 4 2 2 3 2" xfId="0"/>
    <cellStyle name="Header2 4 2 2 3 3" xfId="0"/>
    <cellStyle name="Header2 4 2 2 4" xfId="0"/>
    <cellStyle name="Header2 4 2 2 5" xfId="0"/>
    <cellStyle name="Header2 4 2 3" xfId="0"/>
    <cellStyle name="Header2 4 2 3 2" xfId="0"/>
    <cellStyle name="Header2 4 2 3 2 2" xfId="0"/>
    <cellStyle name="Header2 4 2 3 2 3" xfId="0"/>
    <cellStyle name="Header2 4 2 3 3" xfId="0"/>
    <cellStyle name="Header2 4 2 3 4" xfId="0"/>
    <cellStyle name="Header2 4 2 4" xfId="0"/>
    <cellStyle name="Header2 4 2 4 2" xfId="0"/>
    <cellStyle name="Header2 4 2 4 3" xfId="0"/>
    <cellStyle name="Header2 4 2 5" xfId="0"/>
    <cellStyle name="Header2 4 2 6" xfId="0"/>
    <cellStyle name="Header2 4 3" xfId="0"/>
    <cellStyle name="Header2 4 3 2" xfId="0"/>
    <cellStyle name="Header2 4 3 2 2" xfId="0"/>
    <cellStyle name="Header2 4 3 2 2 2" xfId="0"/>
    <cellStyle name="Header2 4 3 2 2 2 2" xfId="0"/>
    <cellStyle name="Header2 4 3 2 2 2 3" xfId="0"/>
    <cellStyle name="Header2 4 3 2 2 3" xfId="0"/>
    <cellStyle name="Header2 4 3 2 2 4" xfId="0"/>
    <cellStyle name="Header2 4 3 2 3" xfId="0"/>
    <cellStyle name="Header2 4 3 2 3 2" xfId="0"/>
    <cellStyle name="Header2 4 3 2 3 3" xfId="0"/>
    <cellStyle name="Header2 4 3 2 4" xfId="0"/>
    <cellStyle name="Header2 4 3 2 5" xfId="0"/>
    <cellStyle name="Header2 4 3 3" xfId="0"/>
    <cellStyle name="Header2 4 3 3 2" xfId="0"/>
    <cellStyle name="Header2 4 3 3 2 2" xfId="0"/>
    <cellStyle name="Header2 4 3 3 2 3" xfId="0"/>
    <cellStyle name="Header2 4 3 3 3" xfId="0"/>
    <cellStyle name="Header2 4 3 3 4" xfId="0"/>
    <cellStyle name="Header2 4 3 4" xfId="0"/>
    <cellStyle name="Header2 4 3 4 2" xfId="0"/>
    <cellStyle name="Header2 4 3 4 3" xfId="0"/>
    <cellStyle name="Header2 4 3 5" xfId="0"/>
    <cellStyle name="Header2 4 3 6" xfId="0"/>
    <cellStyle name="Header2 4 4" xfId="0"/>
    <cellStyle name="Header2 4 4 2" xfId="0"/>
    <cellStyle name="Header2 4 4 2 2" xfId="0"/>
    <cellStyle name="Header2 4 4 2 2 2" xfId="0"/>
    <cellStyle name="Header2 4 4 2 2 2 2" xfId="0"/>
    <cellStyle name="Header2 4 4 2 2 2 3" xfId="0"/>
    <cellStyle name="Header2 4 4 2 2 3" xfId="0"/>
    <cellStyle name="Header2 4 4 2 2 4" xfId="0"/>
    <cellStyle name="Header2 4 4 2 3" xfId="0"/>
    <cellStyle name="Header2 4 4 2 3 2" xfId="0"/>
    <cellStyle name="Header2 4 4 2 3 3" xfId="0"/>
    <cellStyle name="Header2 4 4 2 4" xfId="0"/>
    <cellStyle name="Header2 4 4 2 5" xfId="0"/>
    <cellStyle name="Header2 4 4 3" xfId="0"/>
    <cellStyle name="Header2 4 4 3 2" xfId="0"/>
    <cellStyle name="Header2 4 4 3 2 2" xfId="0"/>
    <cellStyle name="Header2 4 4 3 2 3" xfId="0"/>
    <cellStyle name="Header2 4 4 3 3" xfId="0"/>
    <cellStyle name="Header2 4 4 3 4" xfId="0"/>
    <cellStyle name="Header2 4 4 4" xfId="0"/>
    <cellStyle name="Header2 4 4 4 2" xfId="0"/>
    <cellStyle name="Header2 4 4 4 3" xfId="0"/>
    <cellStyle name="Header2 4 4 5" xfId="0"/>
    <cellStyle name="Header2 4 4 6" xfId="0"/>
    <cellStyle name="Header2 4 5" xfId="0"/>
    <cellStyle name="Header2 4 5 2" xfId="0"/>
    <cellStyle name="Header2 4 5 2 2" xfId="0"/>
    <cellStyle name="Header2 4 5 2 2 2" xfId="0"/>
    <cellStyle name="Header2 4 5 2 2 2 2" xfId="0"/>
    <cellStyle name="Header2 4 5 2 2 2 3" xfId="0"/>
    <cellStyle name="Header2 4 5 2 2 3" xfId="0"/>
    <cellStyle name="Header2 4 5 2 2 4" xfId="0"/>
    <cellStyle name="Header2 4 5 2 3" xfId="0"/>
    <cellStyle name="Header2 4 5 2 3 2" xfId="0"/>
    <cellStyle name="Header2 4 5 2 3 3" xfId="0"/>
    <cellStyle name="Header2 4 5 2 4" xfId="0"/>
    <cellStyle name="Header2 4 5 2 5" xfId="0"/>
    <cellStyle name="Header2 4 5 3" xfId="0"/>
    <cellStyle name="Header2 4 5 3 2" xfId="0"/>
    <cellStyle name="Header2 4 5 3 2 2" xfId="0"/>
    <cellStyle name="Header2 4 5 3 2 3" xfId="0"/>
    <cellStyle name="Header2 4 5 3 3" xfId="0"/>
    <cellStyle name="Header2 4 5 3 4" xfId="0"/>
    <cellStyle name="Header2 4 5 4" xfId="0"/>
    <cellStyle name="Header2 4 5 4 2" xfId="0"/>
    <cellStyle name="Header2 4 5 4 3" xfId="0"/>
    <cellStyle name="Header2 4 5 5" xfId="0"/>
    <cellStyle name="Header2 4 5 6" xfId="0"/>
    <cellStyle name="Header2 4 6" xfId="0"/>
    <cellStyle name="Header2 4 6 2" xfId="0"/>
    <cellStyle name="Header2 4 6 2 2" xfId="0"/>
    <cellStyle name="Header2 4 6 2 2 2" xfId="0"/>
    <cellStyle name="Header2 4 6 2 2 3" xfId="0"/>
    <cellStyle name="Header2 4 6 2 3" xfId="0"/>
    <cellStyle name="Header2 4 6 2 4" xfId="0"/>
    <cellStyle name="Header2 4 6 3" xfId="0"/>
    <cellStyle name="Header2 4 6 3 2" xfId="0"/>
    <cellStyle name="Header2 4 6 3 3" xfId="0"/>
    <cellStyle name="Header2 4 6 4" xfId="0"/>
    <cellStyle name="Header2 4 6 5" xfId="0"/>
    <cellStyle name="Header2 4 7" xfId="0"/>
    <cellStyle name="Header2 4 7 2" xfId="0"/>
    <cellStyle name="Header2 4 7 2 2" xfId="0"/>
    <cellStyle name="Header2 4 7 2 2 2" xfId="0"/>
    <cellStyle name="Header2 4 7 2 2 3" xfId="0"/>
    <cellStyle name="Header2 4 7 2 3" xfId="0"/>
    <cellStyle name="Header2 4 7 2 4" xfId="0"/>
    <cellStyle name="Header2 4 7 3" xfId="0"/>
    <cellStyle name="Header2 4 7 3 2" xfId="0"/>
    <cellStyle name="Header2 4 7 3 3" xfId="0"/>
    <cellStyle name="Header2 4 7 4" xfId="0"/>
    <cellStyle name="Header2 4 7 5" xfId="0"/>
    <cellStyle name="Header2 4 8" xfId="0"/>
    <cellStyle name="Header2 4 8 2" xfId="0"/>
    <cellStyle name="Header2 4 8 3" xfId="0"/>
    <cellStyle name="Header2 4 9" xfId="0"/>
    <cellStyle name="Header2 4 9 2" xfId="0"/>
    <cellStyle name="Header2 4 9 3" xfId="0"/>
    <cellStyle name="Header2 5" xfId="0"/>
    <cellStyle name="Header2 5 10" xfId="0"/>
    <cellStyle name="Header2 5 2" xfId="0"/>
    <cellStyle name="Header2 5 2 2" xfId="0"/>
    <cellStyle name="Header2 5 2 2 2" xfId="0"/>
    <cellStyle name="Header2 5 2 2 2 2" xfId="0"/>
    <cellStyle name="Header2 5 2 2 2 3" xfId="0"/>
    <cellStyle name="Header2 5 2 2 3" xfId="0"/>
    <cellStyle name="Header2 5 2 2 4" xfId="0"/>
    <cellStyle name="Header2 5 2 3" xfId="0"/>
    <cellStyle name="Header2 5 2 3 2" xfId="0"/>
    <cellStyle name="Header2 5 2 3 2 2" xfId="0"/>
    <cellStyle name="Header2 5 2 3 2 3" xfId="0"/>
    <cellStyle name="Header2 5 2 3 3" xfId="0"/>
    <cellStyle name="Header2 5 2 3 4" xfId="0"/>
    <cellStyle name="Header2 5 2 4" xfId="0"/>
    <cellStyle name="Header2 5 2 4 2" xfId="0"/>
    <cellStyle name="Header2 5 2 4 3" xfId="0"/>
    <cellStyle name="Header2 5 2 5" xfId="0"/>
    <cellStyle name="Header2 5 2 6" xfId="0"/>
    <cellStyle name="Header2 5 3" xfId="0"/>
    <cellStyle name="Header2 5 3 2" xfId="0"/>
    <cellStyle name="Header2 5 3 2 2" xfId="0"/>
    <cellStyle name="Header2 5 3 2 2 2" xfId="0"/>
    <cellStyle name="Header2 5 3 2 2 3" xfId="0"/>
    <cellStyle name="Header2 5 3 2 3" xfId="0"/>
    <cellStyle name="Header2 5 3 2 4" xfId="0"/>
    <cellStyle name="Header2 5 3 3" xfId="0"/>
    <cellStyle name="Header2 5 3 3 2" xfId="0"/>
    <cellStyle name="Header2 5 3 3 2 2" xfId="0"/>
    <cellStyle name="Header2 5 3 3 2 3" xfId="0"/>
    <cellStyle name="Header2 5 3 3 3" xfId="0"/>
    <cellStyle name="Header2 5 3 3 4" xfId="0"/>
    <cellStyle name="Header2 5 3 4" xfId="0"/>
    <cellStyle name="Header2 5 3 4 2" xfId="0"/>
    <cellStyle name="Header2 5 3 4 3" xfId="0"/>
    <cellStyle name="Header2 5 3 5" xfId="0"/>
    <cellStyle name="Header2 5 3 6" xfId="0"/>
    <cellStyle name="Header2 5 4" xfId="0"/>
    <cellStyle name="Header2 5 4 2" xfId="0"/>
    <cellStyle name="Header2 5 4 2 2" xfId="0"/>
    <cellStyle name="Header2 5 4 2 2 2" xfId="0"/>
    <cellStyle name="Header2 5 4 2 2 3" xfId="0"/>
    <cellStyle name="Header2 5 4 2 3" xfId="0"/>
    <cellStyle name="Header2 5 4 2 4" xfId="0"/>
    <cellStyle name="Header2 5 4 3" xfId="0"/>
    <cellStyle name="Header2 5 4 3 2" xfId="0"/>
    <cellStyle name="Header2 5 4 3 2 2" xfId="0"/>
    <cellStyle name="Header2 5 4 3 2 3" xfId="0"/>
    <cellStyle name="Header2 5 4 3 3" xfId="0"/>
    <cellStyle name="Header2 5 4 3 4" xfId="0"/>
    <cellStyle name="Header2 5 4 4" xfId="0"/>
    <cellStyle name="Header2 5 4 4 2" xfId="0"/>
    <cellStyle name="Header2 5 4 4 3" xfId="0"/>
    <cellStyle name="Header2 5 4 5" xfId="0"/>
    <cellStyle name="Header2 5 4 6" xfId="0"/>
    <cellStyle name="Header2 5 5" xfId="0"/>
    <cellStyle name="Header2 5 5 2" xfId="0"/>
    <cellStyle name="Header2 5 5 2 2" xfId="0"/>
    <cellStyle name="Header2 5 5 2 2 2" xfId="0"/>
    <cellStyle name="Header2 5 5 2 2 3" xfId="0"/>
    <cellStyle name="Header2 5 5 2 3" xfId="0"/>
    <cellStyle name="Header2 5 5 2 4" xfId="0"/>
    <cellStyle name="Header2 5 5 3" xfId="0"/>
    <cellStyle name="Header2 5 5 3 2" xfId="0"/>
    <cellStyle name="Header2 5 5 3 2 2" xfId="0"/>
    <cellStyle name="Header2 5 5 3 2 3" xfId="0"/>
    <cellStyle name="Header2 5 5 3 3" xfId="0"/>
    <cellStyle name="Header2 5 5 3 4" xfId="0"/>
    <cellStyle name="Header2 5 5 4" xfId="0"/>
    <cellStyle name="Header2 5 5 4 2" xfId="0"/>
    <cellStyle name="Header2 5 5 4 3" xfId="0"/>
    <cellStyle name="Header2 5 5 5" xfId="0"/>
    <cellStyle name="Header2 5 5 6" xfId="0"/>
    <cellStyle name="Header2 5 6" xfId="0"/>
    <cellStyle name="Header2 5 6 2" xfId="0"/>
    <cellStyle name="Header2 5 6 2 2" xfId="0"/>
    <cellStyle name="Header2 5 6 2 2 2" xfId="0"/>
    <cellStyle name="Header2 5 6 2 2 3" xfId="0"/>
    <cellStyle name="Header2 5 6 2 3" xfId="0"/>
    <cellStyle name="Header2 5 6 2 4" xfId="0"/>
    <cellStyle name="Header2 5 6 3" xfId="0"/>
    <cellStyle name="Header2 5 6 3 2" xfId="0"/>
    <cellStyle name="Header2 5 6 3 3" xfId="0"/>
    <cellStyle name="Header2 5 6 4" xfId="0"/>
    <cellStyle name="Header2 5 6 5" xfId="0"/>
    <cellStyle name="Header2 5 7" xfId="0"/>
    <cellStyle name="Header2 5 7 2" xfId="0"/>
    <cellStyle name="Header2 5 7 2 2" xfId="0"/>
    <cellStyle name="Header2 5 7 2 2 2" xfId="0"/>
    <cellStyle name="Header2 5 7 2 2 3" xfId="0"/>
    <cellStyle name="Header2 5 7 2 3" xfId="0"/>
    <cellStyle name="Header2 5 7 2 4" xfId="0"/>
    <cellStyle name="Header2 5 7 3" xfId="0"/>
    <cellStyle name="Header2 5 7 3 2" xfId="0"/>
    <cellStyle name="Header2 5 7 3 3" xfId="0"/>
    <cellStyle name="Header2 5 7 4" xfId="0"/>
    <cellStyle name="Header2 5 7 5" xfId="0"/>
    <cellStyle name="Header2 5 8" xfId="0"/>
    <cellStyle name="Header2 5 8 2" xfId="0"/>
    <cellStyle name="Header2 5 8 3" xfId="0"/>
    <cellStyle name="Header2 5 9" xfId="0"/>
    <cellStyle name="Header2 6" xfId="0"/>
    <cellStyle name="Header2 6 10" xfId="0"/>
    <cellStyle name="Header2 6 2" xfId="0"/>
    <cellStyle name="Header2 6 2 2" xfId="0"/>
    <cellStyle name="Header2 6 2 2 2" xfId="0"/>
    <cellStyle name="Header2 6 2 2 2 2" xfId="0"/>
    <cellStyle name="Header2 6 2 2 2 3" xfId="0"/>
    <cellStyle name="Header2 6 2 2 3" xfId="0"/>
    <cellStyle name="Header2 6 2 2 4" xfId="0"/>
    <cellStyle name="Header2 6 2 3" xfId="0"/>
    <cellStyle name="Header2 6 2 3 2" xfId="0"/>
    <cellStyle name="Header2 6 2 3 2 2" xfId="0"/>
    <cellStyle name="Header2 6 2 3 2 3" xfId="0"/>
    <cellStyle name="Header2 6 2 3 3" xfId="0"/>
    <cellStyle name="Header2 6 2 3 4" xfId="0"/>
    <cellStyle name="Header2 6 2 4" xfId="0"/>
    <cellStyle name="Header2 6 2 4 2" xfId="0"/>
    <cellStyle name="Header2 6 2 4 3" xfId="0"/>
    <cellStyle name="Header2 6 2 5" xfId="0"/>
    <cellStyle name="Header2 6 2 6" xfId="0"/>
    <cellStyle name="Header2 6 3" xfId="0"/>
    <cellStyle name="Header2 6 3 2" xfId="0"/>
    <cellStyle name="Header2 6 3 2 2" xfId="0"/>
    <cellStyle name="Header2 6 3 2 2 2" xfId="0"/>
    <cellStyle name="Header2 6 3 2 2 3" xfId="0"/>
    <cellStyle name="Header2 6 3 2 3" xfId="0"/>
    <cellStyle name="Header2 6 3 2 4" xfId="0"/>
    <cellStyle name="Header2 6 3 3" xfId="0"/>
    <cellStyle name="Header2 6 3 3 2" xfId="0"/>
    <cellStyle name="Header2 6 3 3 2 2" xfId="0"/>
    <cellStyle name="Header2 6 3 3 2 3" xfId="0"/>
    <cellStyle name="Header2 6 3 3 3" xfId="0"/>
    <cellStyle name="Header2 6 3 3 4" xfId="0"/>
    <cellStyle name="Header2 6 3 4" xfId="0"/>
    <cellStyle name="Header2 6 3 4 2" xfId="0"/>
    <cellStyle name="Header2 6 3 4 3" xfId="0"/>
    <cellStyle name="Header2 6 3 5" xfId="0"/>
    <cellStyle name="Header2 6 3 6" xfId="0"/>
    <cellStyle name="Header2 6 4" xfId="0"/>
    <cellStyle name="Header2 6 4 2" xfId="0"/>
    <cellStyle name="Header2 6 4 2 2" xfId="0"/>
    <cellStyle name="Header2 6 4 2 2 2" xfId="0"/>
    <cellStyle name="Header2 6 4 2 2 3" xfId="0"/>
    <cellStyle name="Header2 6 4 2 3" xfId="0"/>
    <cellStyle name="Header2 6 4 2 4" xfId="0"/>
    <cellStyle name="Header2 6 4 3" xfId="0"/>
    <cellStyle name="Header2 6 4 3 2" xfId="0"/>
    <cellStyle name="Header2 6 4 3 2 2" xfId="0"/>
    <cellStyle name="Header2 6 4 3 2 3" xfId="0"/>
    <cellStyle name="Header2 6 4 3 3" xfId="0"/>
    <cellStyle name="Header2 6 4 3 4" xfId="0"/>
    <cellStyle name="Header2 6 4 4" xfId="0"/>
    <cellStyle name="Header2 6 4 4 2" xfId="0"/>
    <cellStyle name="Header2 6 4 4 3" xfId="0"/>
    <cellStyle name="Header2 6 4 5" xfId="0"/>
    <cellStyle name="Header2 6 4 6" xfId="0"/>
    <cellStyle name="Header2 6 5" xfId="0"/>
    <cellStyle name="Header2 6 5 2" xfId="0"/>
    <cellStyle name="Header2 6 5 2 2" xfId="0"/>
    <cellStyle name="Header2 6 5 2 2 2" xfId="0"/>
    <cellStyle name="Header2 6 5 2 2 3" xfId="0"/>
    <cellStyle name="Header2 6 5 2 3" xfId="0"/>
    <cellStyle name="Header2 6 5 2 4" xfId="0"/>
    <cellStyle name="Header2 6 5 3" xfId="0"/>
    <cellStyle name="Header2 6 5 3 2" xfId="0"/>
    <cellStyle name="Header2 6 5 3 2 2" xfId="0"/>
    <cellStyle name="Header2 6 5 3 2 3" xfId="0"/>
    <cellStyle name="Header2 6 5 3 3" xfId="0"/>
    <cellStyle name="Header2 6 5 3 4" xfId="0"/>
    <cellStyle name="Header2 6 5 4" xfId="0"/>
    <cellStyle name="Header2 6 5 4 2" xfId="0"/>
    <cellStyle name="Header2 6 5 4 3" xfId="0"/>
    <cellStyle name="Header2 6 5 5" xfId="0"/>
    <cellStyle name="Header2 6 5 6" xfId="0"/>
    <cellStyle name="Header2 6 6" xfId="0"/>
    <cellStyle name="Header2 6 6 2" xfId="0"/>
    <cellStyle name="Header2 6 6 2 2" xfId="0"/>
    <cellStyle name="Header2 6 6 2 2 2" xfId="0"/>
    <cellStyle name="Header2 6 6 2 2 3" xfId="0"/>
    <cellStyle name="Header2 6 6 2 3" xfId="0"/>
    <cellStyle name="Header2 6 6 2 4" xfId="0"/>
    <cellStyle name="Header2 6 6 3" xfId="0"/>
    <cellStyle name="Header2 6 6 3 2" xfId="0"/>
    <cellStyle name="Header2 6 6 3 3" xfId="0"/>
    <cellStyle name="Header2 6 6 4" xfId="0"/>
    <cellStyle name="Header2 6 6 5" xfId="0"/>
    <cellStyle name="Header2 6 7" xfId="0"/>
    <cellStyle name="Header2 6 7 2" xfId="0"/>
    <cellStyle name="Header2 6 7 2 2" xfId="0"/>
    <cellStyle name="Header2 6 7 2 2 2" xfId="0"/>
    <cellStyle name="Header2 6 7 2 2 3" xfId="0"/>
    <cellStyle name="Header2 6 7 2 3" xfId="0"/>
    <cellStyle name="Header2 6 7 2 4" xfId="0"/>
    <cellStyle name="Header2 6 7 3" xfId="0"/>
    <cellStyle name="Header2 6 7 3 2" xfId="0"/>
    <cellStyle name="Header2 6 7 3 3" xfId="0"/>
    <cellStyle name="Header2 6 7 4" xfId="0"/>
    <cellStyle name="Header2 6 7 5" xfId="0"/>
    <cellStyle name="Header2 6 8" xfId="0"/>
    <cellStyle name="Header2 6 8 2" xfId="0"/>
    <cellStyle name="Header2 6 8 3" xfId="0"/>
    <cellStyle name="Header2 6 9" xfId="0"/>
    <cellStyle name="Header2 7" xfId="0"/>
    <cellStyle name="Header2 7 2" xfId="0"/>
    <cellStyle name="Header2 7 2 2" xfId="0"/>
    <cellStyle name="Header2 7 2 2 2" xfId="0"/>
    <cellStyle name="Header2 7 2 2 2 2" xfId="0"/>
    <cellStyle name="Header2 7 2 2 2 3" xfId="0"/>
    <cellStyle name="Header2 7 2 2 3" xfId="0"/>
    <cellStyle name="Header2 7 2 2 4" xfId="0"/>
    <cellStyle name="Header2 7 2 3" xfId="0"/>
    <cellStyle name="Header2 7 2 3 2" xfId="0"/>
    <cellStyle name="Header2 7 2 3 2 2" xfId="0"/>
    <cellStyle name="Header2 7 2 3 2 3" xfId="0"/>
    <cellStyle name="Header2 7 2 3 3" xfId="0"/>
    <cellStyle name="Header2 7 2 3 4" xfId="0"/>
    <cellStyle name="Header2 7 2 4" xfId="0"/>
    <cellStyle name="Header2 7 2 4 2" xfId="0"/>
    <cellStyle name="Header2 7 2 4 3" xfId="0"/>
    <cellStyle name="Header2 7 2 5" xfId="0"/>
    <cellStyle name="Header2 7 2 6" xfId="0"/>
    <cellStyle name="Header2 7 3" xfId="0"/>
    <cellStyle name="Header2 7 3 2" xfId="0"/>
    <cellStyle name="Header2 7 3 2 2" xfId="0"/>
    <cellStyle name="Header2 7 3 2 2 2" xfId="0"/>
    <cellStyle name="Header2 7 3 2 2 3" xfId="0"/>
    <cellStyle name="Header2 7 3 2 3" xfId="0"/>
    <cellStyle name="Header2 7 3 2 4" xfId="0"/>
    <cellStyle name="Header2 7 3 3" xfId="0"/>
    <cellStyle name="Header2 7 3 3 2" xfId="0"/>
    <cellStyle name="Header2 7 3 3 3" xfId="0"/>
    <cellStyle name="Header2 7 3 4" xfId="0"/>
    <cellStyle name="Header2 7 3 5" xfId="0"/>
    <cellStyle name="Header2 7 4" xfId="0"/>
    <cellStyle name="Header2 7 4 2" xfId="0"/>
    <cellStyle name="Header2 7 4 2 2" xfId="0"/>
    <cellStyle name="Header2 7 4 2 2 2" xfId="0"/>
    <cellStyle name="Header2 7 4 2 2 3" xfId="0"/>
    <cellStyle name="Header2 7 4 2 3" xfId="0"/>
    <cellStyle name="Header2 7 4 2 4" xfId="0"/>
    <cellStyle name="Header2 7 4 3" xfId="0"/>
    <cellStyle name="Header2 7 4 3 2" xfId="0"/>
    <cellStyle name="Header2 7 4 3 3" xfId="0"/>
    <cellStyle name="Header2 7 4 4" xfId="0"/>
    <cellStyle name="Header2 7 4 5" xfId="0"/>
    <cellStyle name="Header2 7 5" xfId="0"/>
    <cellStyle name="Header2 7 5 2" xfId="0"/>
    <cellStyle name="Header2 7 5 3" xfId="0"/>
    <cellStyle name="Header2 7 6" xfId="0"/>
    <cellStyle name="Header2 7 7" xfId="0"/>
    <cellStyle name="Header2 8" xfId="0"/>
    <cellStyle name="Header2 8 2" xfId="0"/>
    <cellStyle name="Header2 8 2 2" xfId="0"/>
    <cellStyle name="Header2 8 2 2 2" xfId="0"/>
    <cellStyle name="Header2 8 2 2 2 2" xfId="0"/>
    <cellStyle name="Header2 8 2 2 2 3" xfId="0"/>
    <cellStyle name="Header2 8 2 2 3" xfId="0"/>
    <cellStyle name="Header2 8 2 2 4" xfId="0"/>
    <cellStyle name="Header2 8 2 3" xfId="0"/>
    <cellStyle name="Header2 8 2 3 2" xfId="0"/>
    <cellStyle name="Header2 8 2 3 2 2" xfId="0"/>
    <cellStyle name="Header2 8 2 3 2 3" xfId="0"/>
    <cellStyle name="Header2 8 2 3 3" xfId="0"/>
    <cellStyle name="Header2 8 2 3 4" xfId="0"/>
    <cellStyle name="Header2 8 2 4" xfId="0"/>
    <cellStyle name="Header2 8 2 4 2" xfId="0"/>
    <cellStyle name="Header2 8 2 4 3" xfId="0"/>
    <cellStyle name="Header2 8 2 5" xfId="0"/>
    <cellStyle name="Header2 8 2 6" xfId="0"/>
    <cellStyle name="Header2 8 3" xfId="0"/>
    <cellStyle name="Header2 8 3 2" xfId="0"/>
    <cellStyle name="Header2 8 3 2 2" xfId="0"/>
    <cellStyle name="Header2 8 3 2 2 2" xfId="0"/>
    <cellStyle name="Header2 8 3 2 2 3" xfId="0"/>
    <cellStyle name="Header2 8 3 2 3" xfId="0"/>
    <cellStyle name="Header2 8 3 2 4" xfId="0"/>
    <cellStyle name="Header2 8 3 3" xfId="0"/>
    <cellStyle name="Header2 8 3 3 2" xfId="0"/>
    <cellStyle name="Header2 8 3 3 3" xfId="0"/>
    <cellStyle name="Header2 8 3 4" xfId="0"/>
    <cellStyle name="Header2 8 3 5" xfId="0"/>
    <cellStyle name="Header2 8 4" xfId="0"/>
    <cellStyle name="Header2 8 4 2" xfId="0"/>
    <cellStyle name="Header2 8 4 2 2" xfId="0"/>
    <cellStyle name="Header2 8 4 2 2 2" xfId="0"/>
    <cellStyle name="Header2 8 4 2 2 3" xfId="0"/>
    <cellStyle name="Header2 8 4 2 3" xfId="0"/>
    <cellStyle name="Header2 8 4 2 4" xfId="0"/>
    <cellStyle name="Header2 8 4 3" xfId="0"/>
    <cellStyle name="Header2 8 4 3 2" xfId="0"/>
    <cellStyle name="Header2 8 4 3 3" xfId="0"/>
    <cellStyle name="Header2 8 4 4" xfId="0"/>
    <cellStyle name="Header2 8 4 5" xfId="0"/>
    <cellStyle name="Header2 8 5" xfId="0"/>
    <cellStyle name="Header2 8 5 2" xfId="0"/>
    <cellStyle name="Header2 8 5 3" xfId="0"/>
    <cellStyle name="Header2 8 6" xfId="0"/>
    <cellStyle name="Header2 8 7" xfId="0"/>
    <cellStyle name="Header2 9" xfId="0"/>
    <cellStyle name="Header2 9 2" xfId="0"/>
    <cellStyle name="Header2 9 2 2" xfId="0"/>
    <cellStyle name="Header2 9 2 2 2" xfId="0"/>
    <cellStyle name="Header2 9 2 2 2 2" xfId="0"/>
    <cellStyle name="Header2 9 2 2 2 3" xfId="0"/>
    <cellStyle name="Header2 9 2 2 3" xfId="0"/>
    <cellStyle name="Header2 9 2 2 4" xfId="0"/>
    <cellStyle name="Header2 9 2 3" xfId="0"/>
    <cellStyle name="Header2 9 2 3 2" xfId="0"/>
    <cellStyle name="Header2 9 2 3 2 2" xfId="0"/>
    <cellStyle name="Header2 9 2 3 2 3" xfId="0"/>
    <cellStyle name="Header2 9 2 3 3" xfId="0"/>
    <cellStyle name="Header2 9 2 3 4" xfId="0"/>
    <cellStyle name="Header2 9 2 4" xfId="0"/>
    <cellStyle name="Header2 9 2 4 2" xfId="0"/>
    <cellStyle name="Header2 9 2 4 3" xfId="0"/>
    <cellStyle name="Header2 9 2 5" xfId="0"/>
    <cellStyle name="Header2 9 2 6" xfId="0"/>
    <cellStyle name="Header2 9 3" xfId="0"/>
    <cellStyle name="Header2 9 3 2" xfId="0"/>
    <cellStyle name="Header2 9 3 2 2" xfId="0"/>
    <cellStyle name="Header2 9 3 2 2 2" xfId="0"/>
    <cellStyle name="Header2 9 3 2 2 3" xfId="0"/>
    <cellStyle name="Header2 9 3 2 3" xfId="0"/>
    <cellStyle name="Header2 9 3 2 4" xfId="0"/>
    <cellStyle name="Header2 9 3 3" xfId="0"/>
    <cellStyle name="Header2 9 3 3 2" xfId="0"/>
    <cellStyle name="Header2 9 3 3 3" xfId="0"/>
    <cellStyle name="Header2 9 3 4" xfId="0"/>
    <cellStyle name="Header2 9 3 5" xfId="0"/>
    <cellStyle name="Header2 9 4" xfId="0"/>
    <cellStyle name="Header2 9 4 2" xfId="0"/>
    <cellStyle name="Header2 9 4 2 2" xfId="0"/>
    <cellStyle name="Header2 9 4 2 2 2" xfId="0"/>
    <cellStyle name="Header2 9 4 2 2 3" xfId="0"/>
    <cellStyle name="Header2 9 4 2 3" xfId="0"/>
    <cellStyle name="Header2 9 4 2 4" xfId="0"/>
    <cellStyle name="Header2 9 4 3" xfId="0"/>
    <cellStyle name="Header2 9 4 3 2" xfId="0"/>
    <cellStyle name="Header2 9 4 3 3" xfId="0"/>
    <cellStyle name="Header2 9 4 4" xfId="0"/>
    <cellStyle name="Header2 9 4 5" xfId="0"/>
    <cellStyle name="Header2 9 5" xfId="0"/>
    <cellStyle name="Header2 9 5 2" xfId="0"/>
    <cellStyle name="Header2 9 5 3" xfId="0"/>
    <cellStyle name="Header2 9 6" xfId="0"/>
    <cellStyle name="Header2 9 7" xfId="0"/>
    <cellStyle name="Header2_АГМ" xfId="0"/>
    <cellStyle name="Heading 1 4" xfId="0"/>
    <cellStyle name="Heading 2 5" xfId="0"/>
    <cellStyle name="Heading 3" xfId="0"/>
    <cellStyle name="Heading 3 2" xfId="0"/>
    <cellStyle name="Heading 3 2 2" xfId="0"/>
    <cellStyle name="Heading 3 2 2 2" xfId="0"/>
    <cellStyle name="Heading 3 2 3" xfId="0"/>
    <cellStyle name="Heading 3 2 3 2" xfId="0"/>
    <cellStyle name="Heading 3 2 4" xfId="0"/>
    <cellStyle name="Heading 3 2 4 2" xfId="0"/>
    <cellStyle name="Heading 3 2 5" xfId="0"/>
    <cellStyle name="Heading 3 2 5 2" xfId="0"/>
    <cellStyle name="Heading 3 2 6" xfId="0"/>
    <cellStyle name="Heading 3 3" xfId="0"/>
    <cellStyle name="Heading 3 3 2" xfId="0"/>
    <cellStyle name="Heading 3 3 2 2" xfId="0"/>
    <cellStyle name="Heading 3 3 3" xfId="0"/>
    <cellStyle name="Heading 3 3 3 2" xfId="0"/>
    <cellStyle name="Heading 3 3 4" xfId="0"/>
    <cellStyle name="Heading 3 3 4 2" xfId="0"/>
    <cellStyle name="Heading 3 3 5" xfId="0"/>
    <cellStyle name="Heading 3 4" xfId="0"/>
    <cellStyle name="Heading 3 4 2" xfId="0"/>
    <cellStyle name="Heading 4" xfId="0"/>
    <cellStyle name="Hyperlink_Tier 1" xfId="0"/>
    <cellStyle name="Iau?iue_130 nnd. are." xfId="0"/>
    <cellStyle name="Input" xfId="0"/>
    <cellStyle name="Input 10" xfId="0"/>
    <cellStyle name="Input 10 2" xfId="0"/>
    <cellStyle name="Input 10 2 2" xfId="0"/>
    <cellStyle name="Input 10 2 2 2" xfId="0"/>
    <cellStyle name="Input 10 2 2 2 2" xfId="0"/>
    <cellStyle name="Input 10 2 2 2 3" xfId="0"/>
    <cellStyle name="Input 10 2 2 3" xfId="0"/>
    <cellStyle name="Input 10 2 2 4" xfId="0"/>
    <cellStyle name="Input 10 2 3" xfId="0"/>
    <cellStyle name="Input 10 2 3 2" xfId="0"/>
    <cellStyle name="Input 10 2 3 2 2" xfId="0"/>
    <cellStyle name="Input 10 2 3 2 3" xfId="0"/>
    <cellStyle name="Input 10 2 3 3" xfId="0"/>
    <cellStyle name="Input 10 2 3 4" xfId="0"/>
    <cellStyle name="Input 10 2 4" xfId="0"/>
    <cellStyle name="Input 10 2 4 2" xfId="0"/>
    <cellStyle name="Input 10 2 4 3" xfId="0"/>
    <cellStyle name="Input 10 2 5" xfId="0"/>
    <cellStyle name="Input 10 2 6" xfId="0"/>
    <cellStyle name="Input 10 3" xfId="0"/>
    <cellStyle name="Input 10 3 2" xfId="0"/>
    <cellStyle name="Input 10 3 2 2" xfId="0"/>
    <cellStyle name="Input 10 3 2 2 2" xfId="0"/>
    <cellStyle name="Input 10 3 2 2 3" xfId="0"/>
    <cellStyle name="Input 10 3 2 3" xfId="0"/>
    <cellStyle name="Input 10 3 2 4" xfId="0"/>
    <cellStyle name="Input 10 3 3" xfId="0"/>
    <cellStyle name="Input 10 3 3 2" xfId="0"/>
    <cellStyle name="Input 10 3 3 3" xfId="0"/>
    <cellStyle name="Input 10 3 4" xfId="0"/>
    <cellStyle name="Input 10 3 5" xfId="0"/>
    <cellStyle name="Input 10 4" xfId="0"/>
    <cellStyle name="Input 10 4 2" xfId="0"/>
    <cellStyle name="Input 10 4 2 2" xfId="0"/>
    <cellStyle name="Input 10 4 2 2 2" xfId="0"/>
    <cellStyle name="Input 10 4 2 2 3" xfId="0"/>
    <cellStyle name="Input 10 4 2 3" xfId="0"/>
    <cellStyle name="Input 10 4 2 4" xfId="0"/>
    <cellStyle name="Input 10 4 3" xfId="0"/>
    <cellStyle name="Input 10 4 3 2" xfId="0"/>
    <cellStyle name="Input 10 4 3 3" xfId="0"/>
    <cellStyle name="Input 10 4 4" xfId="0"/>
    <cellStyle name="Input 10 4 5" xfId="0"/>
    <cellStyle name="Input 10 5" xfId="0"/>
    <cellStyle name="Input 10 5 2" xfId="0"/>
    <cellStyle name="Input 10 5 3" xfId="0"/>
    <cellStyle name="Input 10 6" xfId="0"/>
    <cellStyle name="Input 10 7" xfId="0"/>
    <cellStyle name="Input 11" xfId="0"/>
    <cellStyle name="Input 11 2" xfId="0"/>
    <cellStyle name="Input 11 2 2" xfId="0"/>
    <cellStyle name="Input 11 2 2 2" xfId="0"/>
    <cellStyle name="Input 11 2 2 2 2" xfId="0"/>
    <cellStyle name="Input 11 2 2 2 3" xfId="0"/>
    <cellStyle name="Input 11 2 2 3" xfId="0"/>
    <cellStyle name="Input 11 2 2 4" xfId="0"/>
    <cellStyle name="Input 11 2 3" xfId="0"/>
    <cellStyle name="Input 11 2 3 2" xfId="0"/>
    <cellStyle name="Input 11 2 3 2 2" xfId="0"/>
    <cellStyle name="Input 11 2 3 2 3" xfId="0"/>
    <cellStyle name="Input 11 2 3 3" xfId="0"/>
    <cellStyle name="Input 11 2 3 4" xfId="0"/>
    <cellStyle name="Input 11 2 4" xfId="0"/>
    <cellStyle name="Input 11 2 4 2" xfId="0"/>
    <cellStyle name="Input 11 2 4 3" xfId="0"/>
    <cellStyle name="Input 11 2 5" xfId="0"/>
    <cellStyle name="Input 11 2 6" xfId="0"/>
    <cellStyle name="Input 11 3" xfId="0"/>
    <cellStyle name="Input 11 3 2" xfId="0"/>
    <cellStyle name="Input 11 3 2 2" xfId="0"/>
    <cellStyle name="Input 11 3 2 2 2" xfId="0"/>
    <cellStyle name="Input 11 3 2 2 3" xfId="0"/>
    <cellStyle name="Input 11 3 2 3" xfId="0"/>
    <cellStyle name="Input 11 3 2 4" xfId="0"/>
    <cellStyle name="Input 11 3 3" xfId="0"/>
    <cellStyle name="Input 11 3 3 2" xfId="0"/>
    <cellStyle name="Input 11 3 3 3" xfId="0"/>
    <cellStyle name="Input 11 3 4" xfId="0"/>
    <cellStyle name="Input 11 3 5" xfId="0"/>
    <cellStyle name="Input 11 4" xfId="0"/>
    <cellStyle name="Input 11 4 2" xfId="0"/>
    <cellStyle name="Input 11 4 2 2" xfId="0"/>
    <cellStyle name="Input 11 4 2 2 2" xfId="0"/>
    <cellStyle name="Input 11 4 2 2 3" xfId="0"/>
    <cellStyle name="Input 11 4 2 3" xfId="0"/>
    <cellStyle name="Input 11 4 2 4" xfId="0"/>
    <cellStyle name="Input 11 4 3" xfId="0"/>
    <cellStyle name="Input 11 4 3 2" xfId="0"/>
    <cellStyle name="Input 11 4 3 3" xfId="0"/>
    <cellStyle name="Input 11 4 4" xfId="0"/>
    <cellStyle name="Input 11 4 5" xfId="0"/>
    <cellStyle name="Input 11 5" xfId="0"/>
    <cellStyle name="Input 11 5 2" xfId="0"/>
    <cellStyle name="Input 11 5 3" xfId="0"/>
    <cellStyle name="Input 11 6" xfId="0"/>
    <cellStyle name="Input 11 7" xfId="0"/>
    <cellStyle name="Input 12" xfId="0"/>
    <cellStyle name="Input 12 2" xfId="0"/>
    <cellStyle name="Input 12 2 2" xfId="0"/>
    <cellStyle name="Input 12 2 2 2" xfId="0"/>
    <cellStyle name="Input 12 2 2 2 2" xfId="0"/>
    <cellStyle name="Input 12 2 2 2 3" xfId="0"/>
    <cellStyle name="Input 12 2 2 3" xfId="0"/>
    <cellStyle name="Input 12 2 2 4" xfId="0"/>
    <cellStyle name="Input 12 2 3" xfId="0"/>
    <cellStyle name="Input 12 2 3 2" xfId="0"/>
    <cellStyle name="Input 12 2 3 2 2" xfId="0"/>
    <cellStyle name="Input 12 2 3 2 3" xfId="0"/>
    <cellStyle name="Input 12 2 3 3" xfId="0"/>
    <cellStyle name="Input 12 2 3 4" xfId="0"/>
    <cellStyle name="Input 12 2 4" xfId="0"/>
    <cellStyle name="Input 12 2 4 2" xfId="0"/>
    <cellStyle name="Input 12 2 4 3" xfId="0"/>
    <cellStyle name="Input 12 2 5" xfId="0"/>
    <cellStyle name="Input 12 2 6" xfId="0"/>
    <cellStyle name="Input 12 3" xfId="0"/>
    <cellStyle name="Input 12 3 2" xfId="0"/>
    <cellStyle name="Input 12 3 2 2" xfId="0"/>
    <cellStyle name="Input 12 3 2 2 2" xfId="0"/>
    <cellStyle name="Input 12 3 2 2 3" xfId="0"/>
    <cellStyle name="Input 12 3 2 3" xfId="0"/>
    <cellStyle name="Input 12 3 2 4" xfId="0"/>
    <cellStyle name="Input 12 3 3" xfId="0"/>
    <cellStyle name="Input 12 3 3 2" xfId="0"/>
    <cellStyle name="Input 12 3 3 3" xfId="0"/>
    <cellStyle name="Input 12 3 4" xfId="0"/>
    <cellStyle name="Input 12 3 5" xfId="0"/>
    <cellStyle name="Input 12 4" xfId="0"/>
    <cellStyle name="Input 12 4 2" xfId="0"/>
    <cellStyle name="Input 12 4 2 2" xfId="0"/>
    <cellStyle name="Input 12 4 2 2 2" xfId="0"/>
    <cellStyle name="Input 12 4 2 2 3" xfId="0"/>
    <cellStyle name="Input 12 4 2 3" xfId="0"/>
    <cellStyle name="Input 12 4 2 4" xfId="0"/>
    <cellStyle name="Input 12 4 3" xfId="0"/>
    <cellStyle name="Input 12 4 3 2" xfId="0"/>
    <cellStyle name="Input 12 4 3 3" xfId="0"/>
    <cellStyle name="Input 12 4 4" xfId="0"/>
    <cellStyle name="Input 12 4 5" xfId="0"/>
    <cellStyle name="Input 12 5" xfId="0"/>
    <cellStyle name="Input 12 5 2" xfId="0"/>
    <cellStyle name="Input 12 5 3" xfId="0"/>
    <cellStyle name="Input 12 6" xfId="0"/>
    <cellStyle name="Input 12 7" xfId="0"/>
    <cellStyle name="Input 13" xfId="0"/>
    <cellStyle name="Input 13 2" xfId="0"/>
    <cellStyle name="Input 13 2 2" xfId="0"/>
    <cellStyle name="Input 13 2 2 2" xfId="0"/>
    <cellStyle name="Input 13 2 2 2 2" xfId="0"/>
    <cellStyle name="Input 13 2 2 2 3" xfId="0"/>
    <cellStyle name="Input 13 2 2 3" xfId="0"/>
    <cellStyle name="Input 13 2 2 4" xfId="0"/>
    <cellStyle name="Input 13 2 3" xfId="0"/>
    <cellStyle name="Input 13 2 3 2" xfId="0"/>
    <cellStyle name="Input 13 2 3 2 2" xfId="0"/>
    <cellStyle name="Input 13 2 3 2 3" xfId="0"/>
    <cellStyle name="Input 13 2 3 3" xfId="0"/>
    <cellStyle name="Input 13 2 3 4" xfId="0"/>
    <cellStyle name="Input 13 2 4" xfId="0"/>
    <cellStyle name="Input 13 2 4 2" xfId="0"/>
    <cellStyle name="Input 13 2 4 3" xfId="0"/>
    <cellStyle name="Input 13 2 5" xfId="0"/>
    <cellStyle name="Input 13 2 6" xfId="0"/>
    <cellStyle name="Input 13 3" xfId="0"/>
    <cellStyle name="Input 13 3 2" xfId="0"/>
    <cellStyle name="Input 13 3 2 2" xfId="0"/>
    <cellStyle name="Input 13 3 2 2 2" xfId="0"/>
    <cellStyle name="Input 13 3 2 2 3" xfId="0"/>
    <cellStyle name="Input 13 3 2 3" xfId="0"/>
    <cellStyle name="Input 13 3 2 4" xfId="0"/>
    <cellStyle name="Input 13 3 3" xfId="0"/>
    <cellStyle name="Input 13 3 3 2" xfId="0"/>
    <cellStyle name="Input 13 3 3 3" xfId="0"/>
    <cellStyle name="Input 13 3 4" xfId="0"/>
    <cellStyle name="Input 13 3 5" xfId="0"/>
    <cellStyle name="Input 13 4" xfId="0"/>
    <cellStyle name="Input 13 4 2" xfId="0"/>
    <cellStyle name="Input 13 4 2 2" xfId="0"/>
    <cellStyle name="Input 13 4 2 2 2" xfId="0"/>
    <cellStyle name="Input 13 4 2 2 3" xfId="0"/>
    <cellStyle name="Input 13 4 2 3" xfId="0"/>
    <cellStyle name="Input 13 4 2 4" xfId="0"/>
    <cellStyle name="Input 13 4 3" xfId="0"/>
    <cellStyle name="Input 13 4 3 2" xfId="0"/>
    <cellStyle name="Input 13 4 3 3" xfId="0"/>
    <cellStyle name="Input 13 4 4" xfId="0"/>
    <cellStyle name="Input 13 4 5" xfId="0"/>
    <cellStyle name="Input 13 5" xfId="0"/>
    <cellStyle name="Input 13 5 2" xfId="0"/>
    <cellStyle name="Input 13 5 3" xfId="0"/>
    <cellStyle name="Input 13 6" xfId="0"/>
    <cellStyle name="Input 13 7" xfId="0"/>
    <cellStyle name="Input 14" xfId="0"/>
    <cellStyle name="Input 14 2" xfId="0"/>
    <cellStyle name="Input 14 2 2" xfId="0"/>
    <cellStyle name="Input 14 2 2 2" xfId="0"/>
    <cellStyle name="Input 14 2 2 2 2" xfId="0"/>
    <cellStyle name="Input 14 2 2 2 3" xfId="0"/>
    <cellStyle name="Input 14 2 2 3" xfId="0"/>
    <cellStyle name="Input 14 2 2 4" xfId="0"/>
    <cellStyle name="Input 14 2 3" xfId="0"/>
    <cellStyle name="Input 14 2 3 2" xfId="0"/>
    <cellStyle name="Input 14 2 3 2 2" xfId="0"/>
    <cellStyle name="Input 14 2 3 2 3" xfId="0"/>
    <cellStyle name="Input 14 2 3 3" xfId="0"/>
    <cellStyle name="Input 14 2 3 4" xfId="0"/>
    <cellStyle name="Input 14 2 4" xfId="0"/>
    <cellStyle name="Input 14 2 4 2" xfId="0"/>
    <cellStyle name="Input 14 2 4 3" xfId="0"/>
    <cellStyle name="Input 14 2 5" xfId="0"/>
    <cellStyle name="Input 14 2 6" xfId="0"/>
    <cellStyle name="Input 14 3" xfId="0"/>
    <cellStyle name="Input 14 3 2" xfId="0"/>
    <cellStyle name="Input 14 3 2 2" xfId="0"/>
    <cellStyle name="Input 14 3 2 2 2" xfId="0"/>
    <cellStyle name="Input 14 3 2 2 3" xfId="0"/>
    <cellStyle name="Input 14 3 2 3" xfId="0"/>
    <cellStyle name="Input 14 3 2 4" xfId="0"/>
    <cellStyle name="Input 14 3 3" xfId="0"/>
    <cellStyle name="Input 14 3 3 2" xfId="0"/>
    <cellStyle name="Input 14 3 3 3" xfId="0"/>
    <cellStyle name="Input 14 3 4" xfId="0"/>
    <cellStyle name="Input 14 3 5" xfId="0"/>
    <cellStyle name="Input 14 4" xfId="0"/>
    <cellStyle name="Input 14 4 2" xfId="0"/>
    <cellStyle name="Input 14 4 2 2" xfId="0"/>
    <cellStyle name="Input 14 4 2 2 2" xfId="0"/>
    <cellStyle name="Input 14 4 2 2 3" xfId="0"/>
    <cellStyle name="Input 14 4 2 3" xfId="0"/>
    <cellStyle name="Input 14 4 2 4" xfId="0"/>
    <cellStyle name="Input 14 4 3" xfId="0"/>
    <cellStyle name="Input 14 4 3 2" xfId="0"/>
    <cellStyle name="Input 14 4 3 3" xfId="0"/>
    <cellStyle name="Input 14 4 4" xfId="0"/>
    <cellStyle name="Input 14 4 5" xfId="0"/>
    <cellStyle name="Input 14 5" xfId="0"/>
    <cellStyle name="Input 14 5 2" xfId="0"/>
    <cellStyle name="Input 14 5 3" xfId="0"/>
    <cellStyle name="Input 14 6" xfId="0"/>
    <cellStyle name="Input 14 7" xfId="0"/>
    <cellStyle name="Input 15" xfId="0"/>
    <cellStyle name="Input 15 2" xfId="0"/>
    <cellStyle name="Input 15 2 2" xfId="0"/>
    <cellStyle name="Input 15 2 2 2" xfId="0"/>
    <cellStyle name="Input 15 2 2 2 2" xfId="0"/>
    <cellStyle name="Input 15 2 2 2 3" xfId="0"/>
    <cellStyle name="Input 15 2 2 3" xfId="0"/>
    <cellStyle name="Input 15 2 2 4" xfId="0"/>
    <cellStyle name="Input 15 2 3" xfId="0"/>
    <cellStyle name="Input 15 2 3 2" xfId="0"/>
    <cellStyle name="Input 15 2 3 2 2" xfId="0"/>
    <cellStyle name="Input 15 2 3 2 3" xfId="0"/>
    <cellStyle name="Input 15 2 3 3" xfId="0"/>
    <cellStyle name="Input 15 2 3 4" xfId="0"/>
    <cellStyle name="Input 15 2 4" xfId="0"/>
    <cellStyle name="Input 15 2 4 2" xfId="0"/>
    <cellStyle name="Input 15 2 4 3" xfId="0"/>
    <cellStyle name="Input 15 2 5" xfId="0"/>
    <cellStyle name="Input 15 2 6" xfId="0"/>
    <cellStyle name="Input 15 3" xfId="0"/>
    <cellStyle name="Input 15 3 2" xfId="0"/>
    <cellStyle name="Input 15 3 2 2" xfId="0"/>
    <cellStyle name="Input 15 3 2 2 2" xfId="0"/>
    <cellStyle name="Input 15 3 2 2 3" xfId="0"/>
    <cellStyle name="Input 15 3 2 3" xfId="0"/>
    <cellStyle name="Input 15 3 2 4" xfId="0"/>
    <cellStyle name="Input 15 3 3" xfId="0"/>
    <cellStyle name="Input 15 3 3 2" xfId="0"/>
    <cellStyle name="Input 15 3 3 3" xfId="0"/>
    <cellStyle name="Input 15 3 4" xfId="0"/>
    <cellStyle name="Input 15 3 5" xfId="0"/>
    <cellStyle name="Input 15 4" xfId="0"/>
    <cellStyle name="Input 15 4 2" xfId="0"/>
    <cellStyle name="Input 15 4 2 2" xfId="0"/>
    <cellStyle name="Input 15 4 2 2 2" xfId="0"/>
    <cellStyle name="Input 15 4 2 2 3" xfId="0"/>
    <cellStyle name="Input 15 4 2 3" xfId="0"/>
    <cellStyle name="Input 15 4 2 4" xfId="0"/>
    <cellStyle name="Input 15 4 3" xfId="0"/>
    <cellStyle name="Input 15 4 3 2" xfId="0"/>
    <cellStyle name="Input 15 4 3 3" xfId="0"/>
    <cellStyle name="Input 15 4 4" xfId="0"/>
    <cellStyle name="Input 15 4 5" xfId="0"/>
    <cellStyle name="Input 15 5" xfId="0"/>
    <cellStyle name="Input 15 5 2" xfId="0"/>
    <cellStyle name="Input 15 5 3" xfId="0"/>
    <cellStyle name="Input 15 6" xfId="0"/>
    <cellStyle name="Input 15 7" xfId="0"/>
    <cellStyle name="Input 16" xfId="0"/>
    <cellStyle name="Input 16 2" xfId="0"/>
    <cellStyle name="Input 16 2 2" xfId="0"/>
    <cellStyle name="Input 16 2 2 2" xfId="0"/>
    <cellStyle name="Input 16 2 2 2 2" xfId="0"/>
    <cellStyle name="Input 16 2 2 2 3" xfId="0"/>
    <cellStyle name="Input 16 2 2 3" xfId="0"/>
    <cellStyle name="Input 16 2 2 4" xfId="0"/>
    <cellStyle name="Input 16 2 3" xfId="0"/>
    <cellStyle name="Input 16 2 3 2" xfId="0"/>
    <cellStyle name="Input 16 2 3 2 2" xfId="0"/>
    <cellStyle name="Input 16 2 3 2 3" xfId="0"/>
    <cellStyle name="Input 16 2 3 3" xfId="0"/>
    <cellStyle name="Input 16 2 3 4" xfId="0"/>
    <cellStyle name="Input 16 2 4" xfId="0"/>
    <cellStyle name="Input 16 2 4 2" xfId="0"/>
    <cellStyle name="Input 16 2 4 3" xfId="0"/>
    <cellStyle name="Input 16 2 5" xfId="0"/>
    <cellStyle name="Input 16 2 6" xfId="0"/>
    <cellStyle name="Input 16 3" xfId="0"/>
    <cellStyle name="Input 16 3 2" xfId="0"/>
    <cellStyle name="Input 16 3 2 2" xfId="0"/>
    <cellStyle name="Input 16 3 2 2 2" xfId="0"/>
    <cellStyle name="Input 16 3 2 2 3" xfId="0"/>
    <cellStyle name="Input 16 3 2 3" xfId="0"/>
    <cellStyle name="Input 16 3 2 4" xfId="0"/>
    <cellStyle name="Input 16 3 3" xfId="0"/>
    <cellStyle name="Input 16 3 3 2" xfId="0"/>
    <cellStyle name="Input 16 3 3 3" xfId="0"/>
    <cellStyle name="Input 16 3 4" xfId="0"/>
    <cellStyle name="Input 16 3 5" xfId="0"/>
    <cellStyle name="Input 16 4" xfId="0"/>
    <cellStyle name="Input 16 4 2" xfId="0"/>
    <cellStyle name="Input 16 4 2 2" xfId="0"/>
    <cellStyle name="Input 16 4 2 2 2" xfId="0"/>
    <cellStyle name="Input 16 4 2 2 3" xfId="0"/>
    <cellStyle name="Input 16 4 2 3" xfId="0"/>
    <cellStyle name="Input 16 4 2 4" xfId="0"/>
    <cellStyle name="Input 16 4 3" xfId="0"/>
    <cellStyle name="Input 16 4 3 2" xfId="0"/>
    <cellStyle name="Input 16 4 3 3" xfId="0"/>
    <cellStyle name="Input 16 4 4" xfId="0"/>
    <cellStyle name="Input 16 4 5" xfId="0"/>
    <cellStyle name="Input 16 5" xfId="0"/>
    <cellStyle name="Input 16 5 2" xfId="0"/>
    <cellStyle name="Input 16 5 3" xfId="0"/>
    <cellStyle name="Input 16 6" xfId="0"/>
    <cellStyle name="Input 16 7" xfId="0"/>
    <cellStyle name="Input 17" xfId="0"/>
    <cellStyle name="Input 17 2" xfId="0"/>
    <cellStyle name="Input 17 2 2" xfId="0"/>
    <cellStyle name="Input 17 2 2 2" xfId="0"/>
    <cellStyle name="Input 17 2 2 2 2" xfId="0"/>
    <cellStyle name="Input 17 2 2 2 3" xfId="0"/>
    <cellStyle name="Input 17 2 2 3" xfId="0"/>
    <cellStyle name="Input 17 2 2 4" xfId="0"/>
    <cellStyle name="Input 17 2 3" xfId="0"/>
    <cellStyle name="Input 17 2 3 2" xfId="0"/>
    <cellStyle name="Input 17 2 3 2 2" xfId="0"/>
    <cellStyle name="Input 17 2 3 2 3" xfId="0"/>
    <cellStyle name="Input 17 2 3 3" xfId="0"/>
    <cellStyle name="Input 17 2 3 4" xfId="0"/>
    <cellStyle name="Input 17 2 4" xfId="0"/>
    <cellStyle name="Input 17 2 4 2" xfId="0"/>
    <cellStyle name="Input 17 2 4 3" xfId="0"/>
    <cellStyle name="Input 17 2 5" xfId="0"/>
    <cellStyle name="Input 17 2 6" xfId="0"/>
    <cellStyle name="Input 17 3" xfId="0"/>
    <cellStyle name="Input 17 3 2" xfId="0"/>
    <cellStyle name="Input 17 3 2 2" xfId="0"/>
    <cellStyle name="Input 17 3 2 2 2" xfId="0"/>
    <cellStyle name="Input 17 3 2 2 3" xfId="0"/>
    <cellStyle name="Input 17 3 2 3" xfId="0"/>
    <cellStyle name="Input 17 3 2 4" xfId="0"/>
    <cellStyle name="Input 17 3 3" xfId="0"/>
    <cellStyle name="Input 17 3 3 2" xfId="0"/>
    <cellStyle name="Input 17 3 3 3" xfId="0"/>
    <cellStyle name="Input 17 3 4" xfId="0"/>
    <cellStyle name="Input 17 3 5" xfId="0"/>
    <cellStyle name="Input 17 4" xfId="0"/>
    <cellStyle name="Input 17 4 2" xfId="0"/>
    <cellStyle name="Input 17 4 2 2" xfId="0"/>
    <cellStyle name="Input 17 4 2 2 2" xfId="0"/>
    <cellStyle name="Input 17 4 2 2 3" xfId="0"/>
    <cellStyle name="Input 17 4 2 3" xfId="0"/>
    <cellStyle name="Input 17 4 2 4" xfId="0"/>
    <cellStyle name="Input 17 4 3" xfId="0"/>
    <cellStyle name="Input 17 4 3 2" xfId="0"/>
    <cellStyle name="Input 17 4 3 3" xfId="0"/>
    <cellStyle name="Input 17 4 4" xfId="0"/>
    <cellStyle name="Input 17 4 5" xfId="0"/>
    <cellStyle name="Input 17 5" xfId="0"/>
    <cellStyle name="Input 17 5 2" xfId="0"/>
    <cellStyle name="Input 17 5 3" xfId="0"/>
    <cellStyle name="Input 17 6" xfId="0"/>
    <cellStyle name="Input 17 7" xfId="0"/>
    <cellStyle name="Input 18" xfId="0"/>
    <cellStyle name="Input 18 2" xfId="0"/>
    <cellStyle name="Input 18 2 2" xfId="0"/>
    <cellStyle name="Input 18 2 2 2" xfId="0"/>
    <cellStyle name="Input 18 2 2 2 2" xfId="0"/>
    <cellStyle name="Input 18 2 2 2 3" xfId="0"/>
    <cellStyle name="Input 18 2 2 3" xfId="0"/>
    <cellStyle name="Input 18 2 2 4" xfId="0"/>
    <cellStyle name="Input 18 2 3" xfId="0"/>
    <cellStyle name="Input 18 2 3 2" xfId="0"/>
    <cellStyle name="Input 18 2 3 2 2" xfId="0"/>
    <cellStyle name="Input 18 2 3 2 3" xfId="0"/>
    <cellStyle name="Input 18 2 3 3" xfId="0"/>
    <cellStyle name="Input 18 2 3 4" xfId="0"/>
    <cellStyle name="Input 18 2 4" xfId="0"/>
    <cellStyle name="Input 18 2 4 2" xfId="0"/>
    <cellStyle name="Input 18 2 4 3" xfId="0"/>
    <cellStyle name="Input 18 2 5" xfId="0"/>
    <cellStyle name="Input 18 2 6" xfId="0"/>
    <cellStyle name="Input 18 3" xfId="0"/>
    <cellStyle name="Input 18 3 2" xfId="0"/>
    <cellStyle name="Input 18 3 2 2" xfId="0"/>
    <cellStyle name="Input 18 3 2 2 2" xfId="0"/>
    <cellStyle name="Input 18 3 2 2 3" xfId="0"/>
    <cellStyle name="Input 18 3 2 3" xfId="0"/>
    <cellStyle name="Input 18 3 2 4" xfId="0"/>
    <cellStyle name="Input 18 3 3" xfId="0"/>
    <cellStyle name="Input 18 3 3 2" xfId="0"/>
    <cellStyle name="Input 18 3 3 3" xfId="0"/>
    <cellStyle name="Input 18 3 4" xfId="0"/>
    <cellStyle name="Input 18 3 5" xfId="0"/>
    <cellStyle name="Input 18 4" xfId="0"/>
    <cellStyle name="Input 18 4 2" xfId="0"/>
    <cellStyle name="Input 18 4 2 2" xfId="0"/>
    <cellStyle name="Input 18 4 2 2 2" xfId="0"/>
    <cellStyle name="Input 18 4 2 2 3" xfId="0"/>
    <cellStyle name="Input 18 4 2 3" xfId="0"/>
    <cellStyle name="Input 18 4 2 4" xfId="0"/>
    <cellStyle name="Input 18 4 3" xfId="0"/>
    <cellStyle name="Input 18 4 3 2" xfId="0"/>
    <cellStyle name="Input 18 4 3 3" xfId="0"/>
    <cellStyle name="Input 18 4 4" xfId="0"/>
    <cellStyle name="Input 18 4 5" xfId="0"/>
    <cellStyle name="Input 18 5" xfId="0"/>
    <cellStyle name="Input 18 5 2" xfId="0"/>
    <cellStyle name="Input 18 5 3" xfId="0"/>
    <cellStyle name="Input 18 6" xfId="0"/>
    <cellStyle name="Input 18 7" xfId="0"/>
    <cellStyle name="Input 19" xfId="0"/>
    <cellStyle name="Input 19 2" xfId="0"/>
    <cellStyle name="Input 19 2 2" xfId="0"/>
    <cellStyle name="Input 19 2 2 2" xfId="0"/>
    <cellStyle name="Input 19 2 2 2 2" xfId="0"/>
    <cellStyle name="Input 19 2 2 2 3" xfId="0"/>
    <cellStyle name="Input 19 2 2 3" xfId="0"/>
    <cellStyle name="Input 19 2 2 4" xfId="0"/>
    <cellStyle name="Input 19 2 3" xfId="0"/>
    <cellStyle name="Input 19 2 3 2" xfId="0"/>
    <cellStyle name="Input 19 2 3 2 2" xfId="0"/>
    <cellStyle name="Input 19 2 3 2 3" xfId="0"/>
    <cellStyle name="Input 19 2 3 3" xfId="0"/>
    <cellStyle name="Input 19 2 3 4" xfId="0"/>
    <cellStyle name="Input 19 2 4" xfId="0"/>
    <cellStyle name="Input 19 2 4 2" xfId="0"/>
    <cellStyle name="Input 19 2 4 3" xfId="0"/>
    <cellStyle name="Input 19 2 5" xfId="0"/>
    <cellStyle name="Input 19 2 6" xfId="0"/>
    <cellStyle name="Input 19 3" xfId="0"/>
    <cellStyle name="Input 19 3 2" xfId="0"/>
    <cellStyle name="Input 19 3 2 2" xfId="0"/>
    <cellStyle name="Input 19 3 2 2 2" xfId="0"/>
    <cellStyle name="Input 19 3 2 2 3" xfId="0"/>
    <cellStyle name="Input 19 3 2 3" xfId="0"/>
    <cellStyle name="Input 19 3 2 4" xfId="0"/>
    <cellStyle name="Input 19 3 3" xfId="0"/>
    <cellStyle name="Input 19 3 3 2" xfId="0"/>
    <cellStyle name="Input 19 3 3 3" xfId="0"/>
    <cellStyle name="Input 19 3 4" xfId="0"/>
    <cellStyle name="Input 19 3 5" xfId="0"/>
    <cellStyle name="Input 19 4" xfId="0"/>
    <cellStyle name="Input 19 4 2" xfId="0"/>
    <cellStyle name="Input 19 4 2 2" xfId="0"/>
    <cellStyle name="Input 19 4 2 2 2" xfId="0"/>
    <cellStyle name="Input 19 4 2 2 3" xfId="0"/>
    <cellStyle name="Input 19 4 2 3" xfId="0"/>
    <cellStyle name="Input 19 4 2 4" xfId="0"/>
    <cellStyle name="Input 19 4 3" xfId="0"/>
    <cellStyle name="Input 19 4 3 2" xfId="0"/>
    <cellStyle name="Input 19 4 3 3" xfId="0"/>
    <cellStyle name="Input 19 4 4" xfId="0"/>
    <cellStyle name="Input 19 4 5" xfId="0"/>
    <cellStyle name="Input 19 5" xfId="0"/>
    <cellStyle name="Input 19 5 2" xfId="0"/>
    <cellStyle name="Input 19 5 3" xfId="0"/>
    <cellStyle name="Input 19 6" xfId="0"/>
    <cellStyle name="Input 19 7" xfId="0"/>
    <cellStyle name="Input 2" xfId="0"/>
    <cellStyle name="Input 2 10" xfId="0"/>
    <cellStyle name="Input 2 11" xfId="0"/>
    <cellStyle name="Input 2 2" xfId="0"/>
    <cellStyle name="Input 2 2 2" xfId="0"/>
    <cellStyle name="Input 2 2 2 2" xfId="0"/>
    <cellStyle name="Input 2 2 2 2 2" xfId="0"/>
    <cellStyle name="Input 2 2 2 2 2 2" xfId="0"/>
    <cellStyle name="Input 2 2 2 2 2 3" xfId="0"/>
    <cellStyle name="Input 2 2 2 2 3" xfId="0"/>
    <cellStyle name="Input 2 2 2 2 4" xfId="0"/>
    <cellStyle name="Input 2 2 2 3" xfId="0"/>
    <cellStyle name="Input 2 2 2 3 2" xfId="0"/>
    <cellStyle name="Input 2 2 2 3 3" xfId="0"/>
    <cellStyle name="Input 2 2 2 4" xfId="0"/>
    <cellStyle name="Input 2 2 2 5" xfId="0"/>
    <cellStyle name="Input 2 2 3" xfId="0"/>
    <cellStyle name="Input 2 2 3 2" xfId="0"/>
    <cellStyle name="Input 2 2 3 2 2" xfId="0"/>
    <cellStyle name="Input 2 2 3 2 3" xfId="0"/>
    <cellStyle name="Input 2 2 3 3" xfId="0"/>
    <cellStyle name="Input 2 2 3 4" xfId="0"/>
    <cellStyle name="Input 2 2 4" xfId="0"/>
    <cellStyle name="Input 2 2 4 2" xfId="0"/>
    <cellStyle name="Input 2 2 4 3" xfId="0"/>
    <cellStyle name="Input 2 2 5" xfId="0"/>
    <cellStyle name="Input 2 2 6" xfId="0"/>
    <cellStyle name="Input 2 3" xfId="0"/>
    <cellStyle name="Input 2 3 2" xfId="0"/>
    <cellStyle name="Input 2 3 2 2" xfId="0"/>
    <cellStyle name="Input 2 3 2 2 2" xfId="0"/>
    <cellStyle name="Input 2 3 2 2 2 2" xfId="0"/>
    <cellStyle name="Input 2 3 2 2 2 3" xfId="0"/>
    <cellStyle name="Input 2 3 2 2 3" xfId="0"/>
    <cellStyle name="Input 2 3 2 2 4" xfId="0"/>
    <cellStyle name="Input 2 3 2 3" xfId="0"/>
    <cellStyle name="Input 2 3 2 3 2" xfId="0"/>
    <cellStyle name="Input 2 3 2 3 3" xfId="0"/>
    <cellStyle name="Input 2 3 2 4" xfId="0"/>
    <cellStyle name="Input 2 3 2 5" xfId="0"/>
    <cellStyle name="Input 2 3 3" xfId="0"/>
    <cellStyle name="Input 2 3 3 2" xfId="0"/>
    <cellStyle name="Input 2 3 3 2 2" xfId="0"/>
    <cellStyle name="Input 2 3 3 2 3" xfId="0"/>
    <cellStyle name="Input 2 3 3 3" xfId="0"/>
    <cellStyle name="Input 2 3 3 4" xfId="0"/>
    <cellStyle name="Input 2 3 4" xfId="0"/>
    <cellStyle name="Input 2 3 4 2" xfId="0"/>
    <cellStyle name="Input 2 3 4 3" xfId="0"/>
    <cellStyle name="Input 2 3 5" xfId="0"/>
    <cellStyle name="Input 2 3 6" xfId="0"/>
    <cellStyle name="Input 2 4" xfId="0"/>
    <cellStyle name="Input 2 4 2" xfId="0"/>
    <cellStyle name="Input 2 4 2 2" xfId="0"/>
    <cellStyle name="Input 2 4 2 2 2" xfId="0"/>
    <cellStyle name="Input 2 4 2 2 2 2" xfId="0"/>
    <cellStyle name="Input 2 4 2 2 2 3" xfId="0"/>
    <cellStyle name="Input 2 4 2 2 3" xfId="0"/>
    <cellStyle name="Input 2 4 2 2 4" xfId="0"/>
    <cellStyle name="Input 2 4 2 3" xfId="0"/>
    <cellStyle name="Input 2 4 2 3 2" xfId="0"/>
    <cellStyle name="Input 2 4 2 3 3" xfId="0"/>
    <cellStyle name="Input 2 4 2 4" xfId="0"/>
    <cellStyle name="Input 2 4 2 5" xfId="0"/>
    <cellStyle name="Input 2 4 3" xfId="0"/>
    <cellStyle name="Input 2 4 3 2" xfId="0"/>
    <cellStyle name="Input 2 4 3 2 2" xfId="0"/>
    <cellStyle name="Input 2 4 3 2 3" xfId="0"/>
    <cellStyle name="Input 2 4 3 3" xfId="0"/>
    <cellStyle name="Input 2 4 3 4" xfId="0"/>
    <cellStyle name="Input 2 4 4" xfId="0"/>
    <cellStyle name="Input 2 4 4 2" xfId="0"/>
    <cellStyle name="Input 2 4 4 3" xfId="0"/>
    <cellStyle name="Input 2 4 5" xfId="0"/>
    <cellStyle name="Input 2 4 6" xfId="0"/>
    <cellStyle name="Input 2 5" xfId="0"/>
    <cellStyle name="Input 2 5 2" xfId="0"/>
    <cellStyle name="Input 2 5 2 2" xfId="0"/>
    <cellStyle name="Input 2 5 2 2 2" xfId="0"/>
    <cellStyle name="Input 2 5 2 2 2 2" xfId="0"/>
    <cellStyle name="Input 2 5 2 2 2 3" xfId="0"/>
    <cellStyle name="Input 2 5 2 2 3" xfId="0"/>
    <cellStyle name="Input 2 5 2 2 4" xfId="0"/>
    <cellStyle name="Input 2 5 2 3" xfId="0"/>
    <cellStyle name="Input 2 5 2 3 2" xfId="0"/>
    <cellStyle name="Input 2 5 2 3 3" xfId="0"/>
    <cellStyle name="Input 2 5 2 4" xfId="0"/>
    <cellStyle name="Input 2 5 2 5" xfId="0"/>
    <cellStyle name="Input 2 5 3" xfId="0"/>
    <cellStyle name="Input 2 5 3 2" xfId="0"/>
    <cellStyle name="Input 2 5 3 2 2" xfId="0"/>
    <cellStyle name="Input 2 5 3 2 3" xfId="0"/>
    <cellStyle name="Input 2 5 3 3" xfId="0"/>
    <cellStyle name="Input 2 5 3 4" xfId="0"/>
    <cellStyle name="Input 2 5 4" xfId="0"/>
    <cellStyle name="Input 2 5 4 2" xfId="0"/>
    <cellStyle name="Input 2 5 4 3" xfId="0"/>
    <cellStyle name="Input 2 5 5" xfId="0"/>
    <cellStyle name="Input 2 5 6" xfId="0"/>
    <cellStyle name="Input 2 6" xfId="0"/>
    <cellStyle name="Input 2 6 2" xfId="0"/>
    <cellStyle name="Input 2 6 2 2" xfId="0"/>
    <cellStyle name="Input 2 6 2 2 2" xfId="0"/>
    <cellStyle name="Input 2 6 2 2 3" xfId="0"/>
    <cellStyle name="Input 2 6 2 3" xfId="0"/>
    <cellStyle name="Input 2 6 2 4" xfId="0"/>
    <cellStyle name="Input 2 6 3" xfId="0"/>
    <cellStyle name="Input 2 6 3 2" xfId="0"/>
    <cellStyle name="Input 2 6 3 3" xfId="0"/>
    <cellStyle name="Input 2 6 4" xfId="0"/>
    <cellStyle name="Input 2 6 5" xfId="0"/>
    <cellStyle name="Input 2 7" xfId="0"/>
    <cellStyle name="Input 2 7 2" xfId="0"/>
    <cellStyle name="Input 2 7 2 2" xfId="0"/>
    <cellStyle name="Input 2 7 2 2 2" xfId="0"/>
    <cellStyle name="Input 2 7 2 2 3" xfId="0"/>
    <cellStyle name="Input 2 7 2 3" xfId="0"/>
    <cellStyle name="Input 2 7 2 4" xfId="0"/>
    <cellStyle name="Input 2 7 3" xfId="0"/>
    <cellStyle name="Input 2 7 3 2" xfId="0"/>
    <cellStyle name="Input 2 7 3 3" xfId="0"/>
    <cellStyle name="Input 2 7 4" xfId="0"/>
    <cellStyle name="Input 2 7 5" xfId="0"/>
    <cellStyle name="Input 2 8" xfId="0"/>
    <cellStyle name="Input 2 8 2" xfId="0"/>
    <cellStyle name="Input 2 8 3" xfId="0"/>
    <cellStyle name="Input 2 9" xfId="0"/>
    <cellStyle name="Input 2 9 2" xfId="0"/>
    <cellStyle name="Input 2 9 3" xfId="0"/>
    <cellStyle name="Input 20" xfId="0"/>
    <cellStyle name="Input 20 2" xfId="0"/>
    <cellStyle name="Input 20 2 2" xfId="0"/>
    <cellStyle name="Input 20 2 2 2" xfId="0"/>
    <cellStyle name="Input 20 2 2 2 2" xfId="0"/>
    <cellStyle name="Input 20 2 2 2 3" xfId="0"/>
    <cellStyle name="Input 20 2 2 3" xfId="0"/>
    <cellStyle name="Input 20 2 2 4" xfId="0"/>
    <cellStyle name="Input 20 2 3" xfId="0"/>
    <cellStyle name="Input 20 2 3 2" xfId="0"/>
    <cellStyle name="Input 20 2 3 3" xfId="0"/>
    <cellStyle name="Input 20 2 4" xfId="0"/>
    <cellStyle name="Input 20 2 5" xfId="0"/>
    <cellStyle name="Input 20 3" xfId="0"/>
    <cellStyle name="Input 20 3 2" xfId="0"/>
    <cellStyle name="Input 20 3 2 2" xfId="0"/>
    <cellStyle name="Input 20 3 2 3" xfId="0"/>
    <cellStyle name="Input 20 3 3" xfId="0"/>
    <cellStyle name="Input 20 3 4" xfId="0"/>
    <cellStyle name="Input 20 4" xfId="0"/>
    <cellStyle name="Input 20 4 2" xfId="0"/>
    <cellStyle name="Input 20 4 3" xfId="0"/>
    <cellStyle name="Input 20 5" xfId="0"/>
    <cellStyle name="Input 20 6" xfId="0"/>
    <cellStyle name="Input 21" xfId="0"/>
    <cellStyle name="Input 21 2" xfId="0"/>
    <cellStyle name="Input 21 2 2" xfId="0"/>
    <cellStyle name="Input 21 2 2 2" xfId="0"/>
    <cellStyle name="Input 21 2 2 3" xfId="0"/>
    <cellStyle name="Input 21 2 3" xfId="0"/>
    <cellStyle name="Input 21 2 4" xfId="0"/>
    <cellStyle name="Input 21 3" xfId="0"/>
    <cellStyle name="Input 21 3 2" xfId="0"/>
    <cellStyle name="Input 21 3 2 2" xfId="0"/>
    <cellStyle name="Input 21 3 2 3" xfId="0"/>
    <cellStyle name="Input 21 3 3" xfId="0"/>
    <cellStyle name="Input 21 3 4" xfId="0"/>
    <cellStyle name="Input 21 4" xfId="0"/>
    <cellStyle name="Input 21 4 2" xfId="0"/>
    <cellStyle name="Input 21 4 3" xfId="0"/>
    <cellStyle name="Input 21 5" xfId="0"/>
    <cellStyle name="Input 21 6" xfId="0"/>
    <cellStyle name="Input 22" xfId="0"/>
    <cellStyle name="Input 22 2" xfId="0"/>
    <cellStyle name="Input 22 2 2" xfId="0"/>
    <cellStyle name="Input 22 2 2 2" xfId="0"/>
    <cellStyle name="Input 22 2 2 3" xfId="0"/>
    <cellStyle name="Input 22 2 3" xfId="0"/>
    <cellStyle name="Input 22 2 4" xfId="0"/>
    <cellStyle name="Input 22 3" xfId="0"/>
    <cellStyle name="Input 22 3 2" xfId="0"/>
    <cellStyle name="Input 22 3 2 2" xfId="0"/>
    <cellStyle name="Input 22 3 2 3" xfId="0"/>
    <cellStyle name="Input 22 3 3" xfId="0"/>
    <cellStyle name="Input 22 3 4" xfId="0"/>
    <cellStyle name="Input 22 4" xfId="0"/>
    <cellStyle name="Input 22 4 2" xfId="0"/>
    <cellStyle name="Input 22 4 3" xfId="0"/>
    <cellStyle name="Input 22 5" xfId="0"/>
    <cellStyle name="Input 22 6" xfId="0"/>
    <cellStyle name="Input 23" xfId="0"/>
    <cellStyle name="Input 23 2" xfId="0"/>
    <cellStyle name="Input 23 2 2" xfId="0"/>
    <cellStyle name="Input 23 2 2 2" xfId="0"/>
    <cellStyle name="Input 23 2 2 3" xfId="0"/>
    <cellStyle name="Input 23 2 3" xfId="0"/>
    <cellStyle name="Input 23 2 4" xfId="0"/>
    <cellStyle name="Input 23 3" xfId="0"/>
    <cellStyle name="Input 23 3 2" xfId="0"/>
    <cellStyle name="Input 23 3 2 2" xfId="0"/>
    <cellStyle name="Input 23 3 2 3" xfId="0"/>
    <cellStyle name="Input 23 3 3" xfId="0"/>
    <cellStyle name="Input 23 3 4" xfId="0"/>
    <cellStyle name="Input 23 4" xfId="0"/>
    <cellStyle name="Input 23 4 2" xfId="0"/>
    <cellStyle name="Input 23 4 3" xfId="0"/>
    <cellStyle name="Input 23 5" xfId="0"/>
    <cellStyle name="Input 23 6" xfId="0"/>
    <cellStyle name="Input 24" xfId="0"/>
    <cellStyle name="Input 24 2" xfId="0"/>
    <cellStyle name="Input 24 2 2" xfId="0"/>
    <cellStyle name="Input 24 2 2 2" xfId="0"/>
    <cellStyle name="Input 24 2 2 3" xfId="0"/>
    <cellStyle name="Input 24 2 3" xfId="0"/>
    <cellStyle name="Input 24 2 4" xfId="0"/>
    <cellStyle name="Input 24 3" xfId="0"/>
    <cellStyle name="Input 24 3 2" xfId="0"/>
    <cellStyle name="Input 24 3 2 2" xfId="0"/>
    <cellStyle name="Input 24 3 2 3" xfId="0"/>
    <cellStyle name="Input 24 3 3" xfId="0"/>
    <cellStyle name="Input 24 3 4" xfId="0"/>
    <cellStyle name="Input 24 4" xfId="0"/>
    <cellStyle name="Input 24 4 2" xfId="0"/>
    <cellStyle name="Input 24 4 3" xfId="0"/>
    <cellStyle name="Input 24 5" xfId="0"/>
    <cellStyle name="Input 24 6" xfId="0"/>
    <cellStyle name="Input 25" xfId="0"/>
    <cellStyle name="Input 25 2" xfId="0"/>
    <cellStyle name="Input 25 2 2" xfId="0"/>
    <cellStyle name="Input 25 2 2 2" xfId="0"/>
    <cellStyle name="Input 25 2 2 3" xfId="0"/>
    <cellStyle name="Input 25 2 3" xfId="0"/>
    <cellStyle name="Input 25 2 4" xfId="0"/>
    <cellStyle name="Input 25 3" xfId="0"/>
    <cellStyle name="Input 25 3 2" xfId="0"/>
    <cellStyle name="Input 25 3 3" xfId="0"/>
    <cellStyle name="Input 25 4" xfId="0"/>
    <cellStyle name="Input 25 5" xfId="0"/>
    <cellStyle name="Input 26" xfId="0"/>
    <cellStyle name="Input 26 2" xfId="0"/>
    <cellStyle name="Input 26 2 2" xfId="0"/>
    <cellStyle name="Input 26 2 2 2" xfId="0"/>
    <cellStyle name="Input 26 2 2 3" xfId="0"/>
    <cellStyle name="Input 26 2 3" xfId="0"/>
    <cellStyle name="Input 26 2 4" xfId="0"/>
    <cellStyle name="Input 26 3" xfId="0"/>
    <cellStyle name="Input 26 3 2" xfId="0"/>
    <cellStyle name="Input 26 3 3" xfId="0"/>
    <cellStyle name="Input 26 4" xfId="0"/>
    <cellStyle name="Input 26 5" xfId="0"/>
    <cellStyle name="Input 27" xfId="0"/>
    <cellStyle name="Input 27 2" xfId="0"/>
    <cellStyle name="Input 27 2 2" xfId="0"/>
    <cellStyle name="Input 27 2 3" xfId="0"/>
    <cellStyle name="Input 27 3" xfId="0"/>
    <cellStyle name="Input 27 4" xfId="0"/>
    <cellStyle name="Input 28" xfId="0"/>
    <cellStyle name="Input 28 2" xfId="0"/>
    <cellStyle name="Input 28 2 2" xfId="0"/>
    <cellStyle name="Input 28 2 3" xfId="0"/>
    <cellStyle name="Input 28 3" xfId="0"/>
    <cellStyle name="Input 28 4" xfId="0"/>
    <cellStyle name="Input 29" xfId="0"/>
    <cellStyle name="Input 29 2" xfId="0"/>
    <cellStyle name="Input 29 3" xfId="0"/>
    <cellStyle name="Input 3" xfId="0"/>
    <cellStyle name="Input 3 10" xfId="0"/>
    <cellStyle name="Input 3 2" xfId="0"/>
    <cellStyle name="Input 3 2 2" xfId="0"/>
    <cellStyle name="Input 3 2 2 2" xfId="0"/>
    <cellStyle name="Input 3 2 2 2 2" xfId="0"/>
    <cellStyle name="Input 3 2 2 2 3" xfId="0"/>
    <cellStyle name="Input 3 2 2 3" xfId="0"/>
    <cellStyle name="Input 3 2 2 4" xfId="0"/>
    <cellStyle name="Input 3 2 3" xfId="0"/>
    <cellStyle name="Input 3 2 3 2" xfId="0"/>
    <cellStyle name="Input 3 2 3 2 2" xfId="0"/>
    <cellStyle name="Input 3 2 3 2 3" xfId="0"/>
    <cellStyle name="Input 3 2 3 3" xfId="0"/>
    <cellStyle name="Input 3 2 3 4" xfId="0"/>
    <cellStyle name="Input 3 2 4" xfId="0"/>
    <cellStyle name="Input 3 2 4 2" xfId="0"/>
    <cellStyle name="Input 3 2 4 3" xfId="0"/>
    <cellStyle name="Input 3 2 5" xfId="0"/>
    <cellStyle name="Input 3 2 6" xfId="0"/>
    <cellStyle name="Input 3 3" xfId="0"/>
    <cellStyle name="Input 3 3 2" xfId="0"/>
    <cellStyle name="Input 3 3 2 2" xfId="0"/>
    <cellStyle name="Input 3 3 2 2 2" xfId="0"/>
    <cellStyle name="Input 3 3 2 2 3" xfId="0"/>
    <cellStyle name="Input 3 3 2 3" xfId="0"/>
    <cellStyle name="Input 3 3 2 4" xfId="0"/>
    <cellStyle name="Input 3 3 3" xfId="0"/>
    <cellStyle name="Input 3 3 3 2" xfId="0"/>
    <cellStyle name="Input 3 3 3 2 2" xfId="0"/>
    <cellStyle name="Input 3 3 3 2 3" xfId="0"/>
    <cellStyle name="Input 3 3 3 3" xfId="0"/>
    <cellStyle name="Input 3 3 3 4" xfId="0"/>
    <cellStyle name="Input 3 3 4" xfId="0"/>
    <cellStyle name="Input 3 3 4 2" xfId="0"/>
    <cellStyle name="Input 3 3 4 3" xfId="0"/>
    <cellStyle name="Input 3 3 5" xfId="0"/>
    <cellStyle name="Input 3 3 6" xfId="0"/>
    <cellStyle name="Input 3 4" xfId="0"/>
    <cellStyle name="Input 3 4 2" xfId="0"/>
    <cellStyle name="Input 3 4 2 2" xfId="0"/>
    <cellStyle name="Input 3 4 2 2 2" xfId="0"/>
    <cellStyle name="Input 3 4 2 2 3" xfId="0"/>
    <cellStyle name="Input 3 4 2 3" xfId="0"/>
    <cellStyle name="Input 3 4 2 4" xfId="0"/>
    <cellStyle name="Input 3 4 3" xfId="0"/>
    <cellStyle name="Input 3 4 3 2" xfId="0"/>
    <cellStyle name="Input 3 4 3 2 2" xfId="0"/>
    <cellStyle name="Input 3 4 3 2 3" xfId="0"/>
    <cellStyle name="Input 3 4 3 3" xfId="0"/>
    <cellStyle name="Input 3 4 3 4" xfId="0"/>
    <cellStyle name="Input 3 4 4" xfId="0"/>
    <cellStyle name="Input 3 4 4 2" xfId="0"/>
    <cellStyle name="Input 3 4 4 3" xfId="0"/>
    <cellStyle name="Input 3 4 5" xfId="0"/>
    <cellStyle name="Input 3 4 6" xfId="0"/>
    <cellStyle name="Input 3 5" xfId="0"/>
    <cellStyle name="Input 3 5 2" xfId="0"/>
    <cellStyle name="Input 3 5 2 2" xfId="0"/>
    <cellStyle name="Input 3 5 2 2 2" xfId="0"/>
    <cellStyle name="Input 3 5 2 2 3" xfId="0"/>
    <cellStyle name="Input 3 5 2 3" xfId="0"/>
    <cellStyle name="Input 3 5 2 4" xfId="0"/>
    <cellStyle name="Input 3 5 3" xfId="0"/>
    <cellStyle name="Input 3 5 3 2" xfId="0"/>
    <cellStyle name="Input 3 5 3 2 2" xfId="0"/>
    <cellStyle name="Input 3 5 3 2 3" xfId="0"/>
    <cellStyle name="Input 3 5 3 3" xfId="0"/>
    <cellStyle name="Input 3 5 3 4" xfId="0"/>
    <cellStyle name="Input 3 5 4" xfId="0"/>
    <cellStyle name="Input 3 5 4 2" xfId="0"/>
    <cellStyle name="Input 3 5 4 3" xfId="0"/>
    <cellStyle name="Input 3 5 5" xfId="0"/>
    <cellStyle name="Input 3 5 6" xfId="0"/>
    <cellStyle name="Input 3 6" xfId="0"/>
    <cellStyle name="Input 3 6 2" xfId="0"/>
    <cellStyle name="Input 3 6 2 2" xfId="0"/>
    <cellStyle name="Input 3 6 2 2 2" xfId="0"/>
    <cellStyle name="Input 3 6 2 2 3" xfId="0"/>
    <cellStyle name="Input 3 6 2 3" xfId="0"/>
    <cellStyle name="Input 3 6 2 4" xfId="0"/>
    <cellStyle name="Input 3 6 3" xfId="0"/>
    <cellStyle name="Input 3 6 3 2" xfId="0"/>
    <cellStyle name="Input 3 6 3 3" xfId="0"/>
    <cellStyle name="Input 3 6 4" xfId="0"/>
    <cellStyle name="Input 3 6 5" xfId="0"/>
    <cellStyle name="Input 3 7" xfId="0"/>
    <cellStyle name="Input 3 7 2" xfId="0"/>
    <cellStyle name="Input 3 7 2 2" xfId="0"/>
    <cellStyle name="Input 3 7 2 2 2" xfId="0"/>
    <cellStyle name="Input 3 7 2 2 3" xfId="0"/>
    <cellStyle name="Input 3 7 2 3" xfId="0"/>
    <cellStyle name="Input 3 7 2 4" xfId="0"/>
    <cellStyle name="Input 3 7 3" xfId="0"/>
    <cellStyle name="Input 3 7 3 2" xfId="0"/>
    <cellStyle name="Input 3 7 3 3" xfId="0"/>
    <cellStyle name="Input 3 7 4" xfId="0"/>
    <cellStyle name="Input 3 7 5" xfId="0"/>
    <cellStyle name="Input 3 8" xfId="0"/>
    <cellStyle name="Input 3 8 2" xfId="0"/>
    <cellStyle name="Input 3 8 3" xfId="0"/>
    <cellStyle name="Input 3 9" xfId="0"/>
    <cellStyle name="Input 30" xfId="0"/>
    <cellStyle name="Input 30 2" xfId="0"/>
    <cellStyle name="Input 30 3" xfId="0"/>
    <cellStyle name="Input 31" xfId="0"/>
    <cellStyle name="Input 31 2" xfId="0"/>
    <cellStyle name="Input 31 3" xfId="0"/>
    <cellStyle name="Input 32" xfId="0"/>
    <cellStyle name="Input 32 2" xfId="0"/>
    <cellStyle name="Input 32 3" xfId="0"/>
    <cellStyle name="Input 33" xfId="0"/>
    <cellStyle name="Input 4" xfId="0"/>
    <cellStyle name="Input 4 10" xfId="0"/>
    <cellStyle name="Input 4 2" xfId="0"/>
    <cellStyle name="Input 4 2 2" xfId="0"/>
    <cellStyle name="Input 4 2 2 2" xfId="0"/>
    <cellStyle name="Input 4 2 2 2 2" xfId="0"/>
    <cellStyle name="Input 4 2 2 2 3" xfId="0"/>
    <cellStyle name="Input 4 2 2 3" xfId="0"/>
    <cellStyle name="Input 4 2 2 4" xfId="0"/>
    <cellStyle name="Input 4 2 3" xfId="0"/>
    <cellStyle name="Input 4 2 3 2" xfId="0"/>
    <cellStyle name="Input 4 2 3 2 2" xfId="0"/>
    <cellStyle name="Input 4 2 3 2 3" xfId="0"/>
    <cellStyle name="Input 4 2 3 3" xfId="0"/>
    <cellStyle name="Input 4 2 3 4" xfId="0"/>
    <cellStyle name="Input 4 2 4" xfId="0"/>
    <cellStyle name="Input 4 2 4 2" xfId="0"/>
    <cellStyle name="Input 4 2 4 3" xfId="0"/>
    <cellStyle name="Input 4 2 5" xfId="0"/>
    <cellStyle name="Input 4 2 6" xfId="0"/>
    <cellStyle name="Input 4 3" xfId="0"/>
    <cellStyle name="Input 4 3 2" xfId="0"/>
    <cellStyle name="Input 4 3 2 2" xfId="0"/>
    <cellStyle name="Input 4 3 2 2 2" xfId="0"/>
    <cellStyle name="Input 4 3 2 2 3" xfId="0"/>
    <cellStyle name="Input 4 3 2 3" xfId="0"/>
    <cellStyle name="Input 4 3 2 4" xfId="0"/>
    <cellStyle name="Input 4 3 3" xfId="0"/>
    <cellStyle name="Input 4 3 3 2" xfId="0"/>
    <cellStyle name="Input 4 3 3 2 2" xfId="0"/>
    <cellStyle name="Input 4 3 3 2 3" xfId="0"/>
    <cellStyle name="Input 4 3 3 3" xfId="0"/>
    <cellStyle name="Input 4 3 3 4" xfId="0"/>
    <cellStyle name="Input 4 3 4" xfId="0"/>
    <cellStyle name="Input 4 3 4 2" xfId="0"/>
    <cellStyle name="Input 4 3 4 3" xfId="0"/>
    <cellStyle name="Input 4 3 5" xfId="0"/>
    <cellStyle name="Input 4 3 6" xfId="0"/>
    <cellStyle name="Input 4 4" xfId="0"/>
    <cellStyle name="Input 4 4 2" xfId="0"/>
    <cellStyle name="Input 4 4 2 2" xfId="0"/>
    <cellStyle name="Input 4 4 2 2 2" xfId="0"/>
    <cellStyle name="Input 4 4 2 2 3" xfId="0"/>
    <cellStyle name="Input 4 4 2 3" xfId="0"/>
    <cellStyle name="Input 4 4 2 4" xfId="0"/>
    <cellStyle name="Input 4 4 3" xfId="0"/>
    <cellStyle name="Input 4 4 3 2" xfId="0"/>
    <cellStyle name="Input 4 4 3 2 2" xfId="0"/>
    <cellStyle name="Input 4 4 3 2 3" xfId="0"/>
    <cellStyle name="Input 4 4 3 3" xfId="0"/>
    <cellStyle name="Input 4 4 3 4" xfId="0"/>
    <cellStyle name="Input 4 4 4" xfId="0"/>
    <cellStyle name="Input 4 4 4 2" xfId="0"/>
    <cellStyle name="Input 4 4 4 3" xfId="0"/>
    <cellStyle name="Input 4 4 5" xfId="0"/>
    <cellStyle name="Input 4 4 6" xfId="0"/>
    <cellStyle name="Input 4 5" xfId="0"/>
    <cellStyle name="Input 4 5 2" xfId="0"/>
    <cellStyle name="Input 4 5 2 2" xfId="0"/>
    <cellStyle name="Input 4 5 2 2 2" xfId="0"/>
    <cellStyle name="Input 4 5 2 2 3" xfId="0"/>
    <cellStyle name="Input 4 5 2 3" xfId="0"/>
    <cellStyle name="Input 4 5 2 4" xfId="0"/>
    <cellStyle name="Input 4 5 3" xfId="0"/>
    <cellStyle name="Input 4 5 3 2" xfId="0"/>
    <cellStyle name="Input 4 5 3 2 2" xfId="0"/>
    <cellStyle name="Input 4 5 3 2 3" xfId="0"/>
    <cellStyle name="Input 4 5 3 3" xfId="0"/>
    <cellStyle name="Input 4 5 3 4" xfId="0"/>
    <cellStyle name="Input 4 5 4" xfId="0"/>
    <cellStyle name="Input 4 5 4 2" xfId="0"/>
    <cellStyle name="Input 4 5 4 3" xfId="0"/>
    <cellStyle name="Input 4 5 5" xfId="0"/>
    <cellStyle name="Input 4 5 6" xfId="0"/>
    <cellStyle name="Input 4 6" xfId="0"/>
    <cellStyle name="Input 4 6 2" xfId="0"/>
    <cellStyle name="Input 4 6 2 2" xfId="0"/>
    <cellStyle name="Input 4 6 2 2 2" xfId="0"/>
    <cellStyle name="Input 4 6 2 2 3" xfId="0"/>
    <cellStyle name="Input 4 6 2 3" xfId="0"/>
    <cellStyle name="Input 4 6 2 4" xfId="0"/>
    <cellStyle name="Input 4 6 3" xfId="0"/>
    <cellStyle name="Input 4 6 3 2" xfId="0"/>
    <cellStyle name="Input 4 6 3 3" xfId="0"/>
    <cellStyle name="Input 4 6 4" xfId="0"/>
    <cellStyle name="Input 4 6 5" xfId="0"/>
    <cellStyle name="Input 4 7" xfId="0"/>
    <cellStyle name="Input 4 7 2" xfId="0"/>
    <cellStyle name="Input 4 7 2 2" xfId="0"/>
    <cellStyle name="Input 4 7 2 2 2" xfId="0"/>
    <cellStyle name="Input 4 7 2 2 3" xfId="0"/>
    <cellStyle name="Input 4 7 2 3" xfId="0"/>
    <cellStyle name="Input 4 7 2 4" xfId="0"/>
    <cellStyle name="Input 4 7 3" xfId="0"/>
    <cellStyle name="Input 4 7 3 2" xfId="0"/>
    <cellStyle name="Input 4 7 3 3" xfId="0"/>
    <cellStyle name="Input 4 7 4" xfId="0"/>
    <cellStyle name="Input 4 7 5" xfId="0"/>
    <cellStyle name="Input 4 8" xfId="0"/>
    <cellStyle name="Input 4 8 2" xfId="0"/>
    <cellStyle name="Input 4 8 3" xfId="0"/>
    <cellStyle name="Input 4 9" xfId="0"/>
    <cellStyle name="Input 5" xfId="0"/>
    <cellStyle name="Input 5 2" xfId="0"/>
    <cellStyle name="Input 5 2 2" xfId="0"/>
    <cellStyle name="Input 5 2 2 2" xfId="0"/>
    <cellStyle name="Input 5 2 2 2 2" xfId="0"/>
    <cellStyle name="Input 5 2 2 2 3" xfId="0"/>
    <cellStyle name="Input 5 2 2 3" xfId="0"/>
    <cellStyle name="Input 5 2 2 4" xfId="0"/>
    <cellStyle name="Input 5 2 3" xfId="0"/>
    <cellStyle name="Input 5 2 3 2" xfId="0"/>
    <cellStyle name="Input 5 2 3 2 2" xfId="0"/>
    <cellStyle name="Input 5 2 3 2 3" xfId="0"/>
    <cellStyle name="Input 5 2 3 3" xfId="0"/>
    <cellStyle name="Input 5 2 3 4" xfId="0"/>
    <cellStyle name="Input 5 2 4" xfId="0"/>
    <cellStyle name="Input 5 2 4 2" xfId="0"/>
    <cellStyle name="Input 5 2 4 3" xfId="0"/>
    <cellStyle name="Input 5 2 5" xfId="0"/>
    <cellStyle name="Input 5 2 6" xfId="0"/>
    <cellStyle name="Input 5 3" xfId="0"/>
    <cellStyle name="Input 5 3 2" xfId="0"/>
    <cellStyle name="Input 5 3 2 2" xfId="0"/>
    <cellStyle name="Input 5 3 2 2 2" xfId="0"/>
    <cellStyle name="Input 5 3 2 2 3" xfId="0"/>
    <cellStyle name="Input 5 3 2 3" xfId="0"/>
    <cellStyle name="Input 5 3 2 4" xfId="0"/>
    <cellStyle name="Input 5 3 3" xfId="0"/>
    <cellStyle name="Input 5 3 3 2" xfId="0"/>
    <cellStyle name="Input 5 3 3 3" xfId="0"/>
    <cellStyle name="Input 5 3 4" xfId="0"/>
    <cellStyle name="Input 5 3 5" xfId="0"/>
    <cellStyle name="Input 5 4" xfId="0"/>
    <cellStyle name="Input 5 4 2" xfId="0"/>
    <cellStyle name="Input 5 4 2 2" xfId="0"/>
    <cellStyle name="Input 5 4 2 2 2" xfId="0"/>
    <cellStyle name="Input 5 4 2 2 3" xfId="0"/>
    <cellStyle name="Input 5 4 2 3" xfId="0"/>
    <cellStyle name="Input 5 4 2 4" xfId="0"/>
    <cellStyle name="Input 5 4 3" xfId="0"/>
    <cellStyle name="Input 5 4 3 2" xfId="0"/>
    <cellStyle name="Input 5 4 3 3" xfId="0"/>
    <cellStyle name="Input 5 4 4" xfId="0"/>
    <cellStyle name="Input 5 4 5" xfId="0"/>
    <cellStyle name="Input 5 5" xfId="0"/>
    <cellStyle name="Input 5 5 2" xfId="0"/>
    <cellStyle name="Input 5 5 3" xfId="0"/>
    <cellStyle name="Input 5 6" xfId="0"/>
    <cellStyle name="Input 5 7" xfId="0"/>
    <cellStyle name="Input 6" xfId="0"/>
    <cellStyle name="Input 6 2" xfId="0"/>
    <cellStyle name="Input 6 2 2" xfId="0"/>
    <cellStyle name="Input 6 2 2 2" xfId="0"/>
    <cellStyle name="Input 6 2 2 2 2" xfId="0"/>
    <cellStyle name="Input 6 2 2 2 3" xfId="0"/>
    <cellStyle name="Input 6 2 2 3" xfId="0"/>
    <cellStyle name="Input 6 2 2 4" xfId="0"/>
    <cellStyle name="Input 6 2 3" xfId="0"/>
    <cellStyle name="Input 6 2 3 2" xfId="0"/>
    <cellStyle name="Input 6 2 3 2 2" xfId="0"/>
    <cellStyle name="Input 6 2 3 2 3" xfId="0"/>
    <cellStyle name="Input 6 2 3 3" xfId="0"/>
    <cellStyle name="Input 6 2 3 4" xfId="0"/>
    <cellStyle name="Input 6 2 4" xfId="0"/>
    <cellStyle name="Input 6 2 4 2" xfId="0"/>
    <cellStyle name="Input 6 2 4 3" xfId="0"/>
    <cellStyle name="Input 6 2 5" xfId="0"/>
    <cellStyle name="Input 6 2 6" xfId="0"/>
    <cellStyle name="Input 6 3" xfId="0"/>
    <cellStyle name="Input 6 3 2" xfId="0"/>
    <cellStyle name="Input 6 3 2 2" xfId="0"/>
    <cellStyle name="Input 6 3 2 2 2" xfId="0"/>
    <cellStyle name="Input 6 3 2 2 3" xfId="0"/>
    <cellStyle name="Input 6 3 2 3" xfId="0"/>
    <cellStyle name="Input 6 3 2 4" xfId="0"/>
    <cellStyle name="Input 6 3 3" xfId="0"/>
    <cellStyle name="Input 6 3 3 2" xfId="0"/>
    <cellStyle name="Input 6 3 3 3" xfId="0"/>
    <cellStyle name="Input 6 3 4" xfId="0"/>
    <cellStyle name="Input 6 3 5" xfId="0"/>
    <cellStyle name="Input 6 4" xfId="0"/>
    <cellStyle name="Input 6 4 2" xfId="0"/>
    <cellStyle name="Input 6 4 2 2" xfId="0"/>
    <cellStyle name="Input 6 4 2 2 2" xfId="0"/>
    <cellStyle name="Input 6 4 2 2 3" xfId="0"/>
    <cellStyle name="Input 6 4 2 3" xfId="0"/>
    <cellStyle name="Input 6 4 2 4" xfId="0"/>
    <cellStyle name="Input 6 4 3" xfId="0"/>
    <cellStyle name="Input 6 4 3 2" xfId="0"/>
    <cellStyle name="Input 6 4 3 3" xfId="0"/>
    <cellStyle name="Input 6 4 4" xfId="0"/>
    <cellStyle name="Input 6 4 5" xfId="0"/>
    <cellStyle name="Input 6 5" xfId="0"/>
    <cellStyle name="Input 6 5 2" xfId="0"/>
    <cellStyle name="Input 6 5 3" xfId="0"/>
    <cellStyle name="Input 6 6" xfId="0"/>
    <cellStyle name="Input 6 7" xfId="0"/>
    <cellStyle name="Input 7" xfId="0"/>
    <cellStyle name="Input 7 2" xfId="0"/>
    <cellStyle name="Input 7 2 2" xfId="0"/>
    <cellStyle name="Input 7 2 2 2" xfId="0"/>
    <cellStyle name="Input 7 2 2 2 2" xfId="0"/>
    <cellStyle name="Input 7 2 2 2 3" xfId="0"/>
    <cellStyle name="Input 7 2 2 3" xfId="0"/>
    <cellStyle name="Input 7 2 2 4" xfId="0"/>
    <cellStyle name="Input 7 2 3" xfId="0"/>
    <cellStyle name="Input 7 2 3 2" xfId="0"/>
    <cellStyle name="Input 7 2 3 2 2" xfId="0"/>
    <cellStyle name="Input 7 2 3 2 3" xfId="0"/>
    <cellStyle name="Input 7 2 3 3" xfId="0"/>
    <cellStyle name="Input 7 2 3 4" xfId="0"/>
    <cellStyle name="Input 7 2 4" xfId="0"/>
    <cellStyle name="Input 7 2 4 2" xfId="0"/>
    <cellStyle name="Input 7 2 4 3" xfId="0"/>
    <cellStyle name="Input 7 2 5" xfId="0"/>
    <cellStyle name="Input 7 2 6" xfId="0"/>
    <cellStyle name="Input 7 3" xfId="0"/>
    <cellStyle name="Input 7 3 2" xfId="0"/>
    <cellStyle name="Input 7 3 2 2" xfId="0"/>
    <cellStyle name="Input 7 3 2 2 2" xfId="0"/>
    <cellStyle name="Input 7 3 2 2 3" xfId="0"/>
    <cellStyle name="Input 7 3 2 3" xfId="0"/>
    <cellStyle name="Input 7 3 2 4" xfId="0"/>
    <cellStyle name="Input 7 3 3" xfId="0"/>
    <cellStyle name="Input 7 3 3 2" xfId="0"/>
    <cellStyle name="Input 7 3 3 3" xfId="0"/>
    <cellStyle name="Input 7 3 4" xfId="0"/>
    <cellStyle name="Input 7 3 5" xfId="0"/>
    <cellStyle name="Input 7 4" xfId="0"/>
    <cellStyle name="Input 7 4 2" xfId="0"/>
    <cellStyle name="Input 7 4 2 2" xfId="0"/>
    <cellStyle name="Input 7 4 2 2 2" xfId="0"/>
    <cellStyle name="Input 7 4 2 2 3" xfId="0"/>
    <cellStyle name="Input 7 4 2 3" xfId="0"/>
    <cellStyle name="Input 7 4 2 4" xfId="0"/>
    <cellStyle name="Input 7 4 3" xfId="0"/>
    <cellStyle name="Input 7 4 3 2" xfId="0"/>
    <cellStyle name="Input 7 4 3 3" xfId="0"/>
    <cellStyle name="Input 7 4 4" xfId="0"/>
    <cellStyle name="Input 7 4 5" xfId="0"/>
    <cellStyle name="Input 7 5" xfId="0"/>
    <cellStyle name="Input 7 5 2" xfId="0"/>
    <cellStyle name="Input 7 5 3" xfId="0"/>
    <cellStyle name="Input 7 6" xfId="0"/>
    <cellStyle name="Input 7 7" xfId="0"/>
    <cellStyle name="Input 8" xfId="0"/>
    <cellStyle name="Input 8 2" xfId="0"/>
    <cellStyle name="Input 8 2 2" xfId="0"/>
    <cellStyle name="Input 8 2 2 2" xfId="0"/>
    <cellStyle name="Input 8 2 2 2 2" xfId="0"/>
    <cellStyle name="Input 8 2 2 2 3" xfId="0"/>
    <cellStyle name="Input 8 2 2 3" xfId="0"/>
    <cellStyle name="Input 8 2 2 4" xfId="0"/>
    <cellStyle name="Input 8 2 3" xfId="0"/>
    <cellStyle name="Input 8 2 3 2" xfId="0"/>
    <cellStyle name="Input 8 2 3 2 2" xfId="0"/>
    <cellStyle name="Input 8 2 3 2 3" xfId="0"/>
    <cellStyle name="Input 8 2 3 3" xfId="0"/>
    <cellStyle name="Input 8 2 3 4" xfId="0"/>
    <cellStyle name="Input 8 2 4" xfId="0"/>
    <cellStyle name="Input 8 2 4 2" xfId="0"/>
    <cellStyle name="Input 8 2 4 3" xfId="0"/>
    <cellStyle name="Input 8 2 5" xfId="0"/>
    <cellStyle name="Input 8 2 6" xfId="0"/>
    <cellStyle name="Input 8 3" xfId="0"/>
    <cellStyle name="Input 8 3 2" xfId="0"/>
    <cellStyle name="Input 8 3 2 2" xfId="0"/>
    <cellStyle name="Input 8 3 2 2 2" xfId="0"/>
    <cellStyle name="Input 8 3 2 2 3" xfId="0"/>
    <cellStyle name="Input 8 3 2 3" xfId="0"/>
    <cellStyle name="Input 8 3 2 4" xfId="0"/>
    <cellStyle name="Input 8 3 3" xfId="0"/>
    <cellStyle name="Input 8 3 3 2" xfId="0"/>
    <cellStyle name="Input 8 3 3 3" xfId="0"/>
    <cellStyle name="Input 8 3 4" xfId="0"/>
    <cellStyle name="Input 8 3 5" xfId="0"/>
    <cellStyle name="Input 8 4" xfId="0"/>
    <cellStyle name="Input 8 4 2" xfId="0"/>
    <cellStyle name="Input 8 4 2 2" xfId="0"/>
    <cellStyle name="Input 8 4 2 2 2" xfId="0"/>
    <cellStyle name="Input 8 4 2 2 3" xfId="0"/>
    <cellStyle name="Input 8 4 2 3" xfId="0"/>
    <cellStyle name="Input 8 4 2 4" xfId="0"/>
    <cellStyle name="Input 8 4 3" xfId="0"/>
    <cellStyle name="Input 8 4 3 2" xfId="0"/>
    <cellStyle name="Input 8 4 3 3" xfId="0"/>
    <cellStyle name="Input 8 4 4" xfId="0"/>
    <cellStyle name="Input 8 4 5" xfId="0"/>
    <cellStyle name="Input 8 5" xfId="0"/>
    <cellStyle name="Input 8 5 2" xfId="0"/>
    <cellStyle name="Input 8 5 3" xfId="0"/>
    <cellStyle name="Input 8 6" xfId="0"/>
    <cellStyle name="Input 8 7" xfId="0"/>
    <cellStyle name="Input 9" xfId="0"/>
    <cellStyle name="Input 9 2" xfId="0"/>
    <cellStyle name="Input 9 2 2" xfId="0"/>
    <cellStyle name="Input 9 2 2 2" xfId="0"/>
    <cellStyle name="Input 9 2 2 2 2" xfId="0"/>
    <cellStyle name="Input 9 2 2 2 3" xfId="0"/>
    <cellStyle name="Input 9 2 2 3" xfId="0"/>
    <cellStyle name="Input 9 2 2 4" xfId="0"/>
    <cellStyle name="Input 9 2 3" xfId="0"/>
    <cellStyle name="Input 9 2 3 2" xfId="0"/>
    <cellStyle name="Input 9 2 3 2 2" xfId="0"/>
    <cellStyle name="Input 9 2 3 2 3" xfId="0"/>
    <cellStyle name="Input 9 2 3 3" xfId="0"/>
    <cellStyle name="Input 9 2 3 4" xfId="0"/>
    <cellStyle name="Input 9 2 4" xfId="0"/>
    <cellStyle name="Input 9 2 4 2" xfId="0"/>
    <cellStyle name="Input 9 2 4 3" xfId="0"/>
    <cellStyle name="Input 9 2 5" xfId="0"/>
    <cellStyle name="Input 9 2 6" xfId="0"/>
    <cellStyle name="Input 9 3" xfId="0"/>
    <cellStyle name="Input 9 3 2" xfId="0"/>
    <cellStyle name="Input 9 3 2 2" xfId="0"/>
    <cellStyle name="Input 9 3 2 2 2" xfId="0"/>
    <cellStyle name="Input 9 3 2 2 3" xfId="0"/>
    <cellStyle name="Input 9 3 2 3" xfId="0"/>
    <cellStyle name="Input 9 3 2 4" xfId="0"/>
    <cellStyle name="Input 9 3 3" xfId="0"/>
    <cellStyle name="Input 9 3 3 2" xfId="0"/>
    <cellStyle name="Input 9 3 3 3" xfId="0"/>
    <cellStyle name="Input 9 3 4" xfId="0"/>
    <cellStyle name="Input 9 3 5" xfId="0"/>
    <cellStyle name="Input 9 4" xfId="0"/>
    <cellStyle name="Input 9 4 2" xfId="0"/>
    <cellStyle name="Input 9 4 2 2" xfId="0"/>
    <cellStyle name="Input 9 4 2 2 2" xfId="0"/>
    <cellStyle name="Input 9 4 2 2 3" xfId="0"/>
    <cellStyle name="Input 9 4 2 3" xfId="0"/>
    <cellStyle name="Input 9 4 2 4" xfId="0"/>
    <cellStyle name="Input 9 4 3" xfId="0"/>
    <cellStyle name="Input 9 4 3 2" xfId="0"/>
    <cellStyle name="Input 9 4 3 3" xfId="0"/>
    <cellStyle name="Input 9 4 4" xfId="0"/>
    <cellStyle name="Input 9 4 5" xfId="0"/>
    <cellStyle name="Input 9 5" xfId="0"/>
    <cellStyle name="Input 9 5 2" xfId="0"/>
    <cellStyle name="Input 9 5 3" xfId="0"/>
    <cellStyle name="Input 9 6" xfId="0"/>
    <cellStyle name="Input 9 7" xfId="0"/>
    <cellStyle name="Ioe?uaaaoayny aeia?nnueea" xfId="0"/>
    <cellStyle name="Ioe?uaaaoayny aeia?nnueea 1" xfId="0"/>
    <cellStyle name="Ioe?uaaaoayny aeia?nnueea 2" xfId="0"/>
    <cellStyle name="Ioe?uaaaoayny aeia?nnueea 3" xfId="0"/>
    <cellStyle name="Ioe?uaaaoayny aeia?nnueea_АГМ" xfId="0"/>
    <cellStyle name="ISO" xfId="0"/>
    <cellStyle name="ISO 1" xfId="0"/>
    <cellStyle name="ISO 1 2" xfId="0"/>
    <cellStyle name="ISO 2" xfId="0"/>
    <cellStyle name="ISO 2 2" xfId="0"/>
    <cellStyle name="ISO 3" xfId="0"/>
    <cellStyle name="ISO 3 2" xfId="0"/>
    <cellStyle name="ISO 4" xfId="0"/>
    <cellStyle name="ISO_АГМ" xfId="0"/>
    <cellStyle name="Linked Cell" xfId="0"/>
    <cellStyle name="Neutral 2" xfId="0"/>
    <cellStyle name="Neutral 6" xfId="0"/>
    <cellStyle name="Norma11l" xfId="0"/>
    <cellStyle name="Norma11l 1" xfId="0"/>
    <cellStyle name="Norma11l 1 2" xfId="0"/>
    <cellStyle name="Norma11l 1 2 2" xfId="0"/>
    <cellStyle name="Norma11l 1 2 2 2" xfId="0"/>
    <cellStyle name="Norma11l 1 2 2 2 2" xfId="0"/>
    <cellStyle name="Norma11l 1 2 2 2 2 2" xfId="0"/>
    <cellStyle name="Norma11l 1 2 2 2 3" xfId="0"/>
    <cellStyle name="Norma11l 1 2 2 3" xfId="0"/>
    <cellStyle name="Norma11l 1 2 3" xfId="0"/>
    <cellStyle name="Norma11l 1 2 3 2" xfId="0"/>
    <cellStyle name="Norma11l 1 2 3 2 2" xfId="0"/>
    <cellStyle name="Norma11l 1 2 3 2 2 2" xfId="0"/>
    <cellStyle name="Norma11l 1 2 3 2 3" xfId="0"/>
    <cellStyle name="Norma11l 1 2 3 3" xfId="0"/>
    <cellStyle name="Norma11l 1 2 4" xfId="0"/>
    <cellStyle name="Norma11l 1 2 4 2" xfId="0"/>
    <cellStyle name="Norma11l 1 2 4 2 2" xfId="0"/>
    <cellStyle name="Norma11l 1 2 4 2 2 2" xfId="0"/>
    <cellStyle name="Norma11l 1 2 4 2 3" xfId="0"/>
    <cellStyle name="Norma11l 1 2 4 3" xfId="0"/>
    <cellStyle name="Norma11l 1 2 5" xfId="0"/>
    <cellStyle name="Norma11l 1 2 5 2" xfId="0"/>
    <cellStyle name="Norma11l 1 2 5 2 2" xfId="0"/>
    <cellStyle name="Norma11l 1 2 5 2 2 2" xfId="0"/>
    <cellStyle name="Norma11l 1 2 5 2 3" xfId="0"/>
    <cellStyle name="Norma11l 1 2 5 3" xfId="0"/>
    <cellStyle name="Norma11l 1 2 6" xfId="0"/>
    <cellStyle name="Norma11l 1 2 6 2" xfId="0"/>
    <cellStyle name="Norma11l 1 2 6 2 2" xfId="0"/>
    <cellStyle name="Norma11l 1 2 6 3" xfId="0"/>
    <cellStyle name="Norma11l 1 2 7" xfId="0"/>
    <cellStyle name="Norma11l 1 3" xfId="0"/>
    <cellStyle name="Norma11l 1 3 2" xfId="0"/>
    <cellStyle name="Norma11l 1 3 2 2" xfId="0"/>
    <cellStyle name="Norma11l 1 3 2 2 2" xfId="0"/>
    <cellStyle name="Norma11l 1 3 2 3" xfId="0"/>
    <cellStyle name="Norma11l 1 3 3" xfId="0"/>
    <cellStyle name="Norma11l 1 4" xfId="0"/>
    <cellStyle name="Norma11l 1 4 2" xfId="0"/>
    <cellStyle name="Norma11l 1 4 2 2" xfId="0"/>
    <cellStyle name="Norma11l 1 4 3" xfId="0"/>
    <cellStyle name="Norma11l 1 5" xfId="0"/>
    <cellStyle name="Norma11l 1 5 2" xfId="0"/>
    <cellStyle name="Norma11l 1 6" xfId="0"/>
    <cellStyle name="Norma11l 2" xfId="0"/>
    <cellStyle name="Norma11l 2 2" xfId="0"/>
    <cellStyle name="Norma11l 2 2 2" xfId="0"/>
    <cellStyle name="Norma11l 2 2 2 2" xfId="0"/>
    <cellStyle name="Norma11l 2 2 2 2 2" xfId="0"/>
    <cellStyle name="Norma11l 2 2 2 2 2 2" xfId="0"/>
    <cellStyle name="Norma11l 2 2 2 2 3" xfId="0"/>
    <cellStyle name="Norma11l 2 2 2 3" xfId="0"/>
    <cellStyle name="Norma11l 2 2 3" xfId="0"/>
    <cellStyle name="Norma11l 2 2 3 2" xfId="0"/>
    <cellStyle name="Norma11l 2 2 3 2 2" xfId="0"/>
    <cellStyle name="Norma11l 2 2 3 2 2 2" xfId="0"/>
    <cellStyle name="Norma11l 2 2 3 2 3" xfId="0"/>
    <cellStyle name="Norma11l 2 2 3 3" xfId="0"/>
    <cellStyle name="Norma11l 2 2 4" xfId="0"/>
    <cellStyle name="Norma11l 2 2 4 2" xfId="0"/>
    <cellStyle name="Norma11l 2 2 4 2 2" xfId="0"/>
    <cellStyle name="Norma11l 2 2 4 2 2 2" xfId="0"/>
    <cellStyle name="Norma11l 2 2 4 2 3" xfId="0"/>
    <cellStyle name="Norma11l 2 2 4 3" xfId="0"/>
    <cellStyle name="Norma11l 2 2 5" xfId="0"/>
    <cellStyle name="Norma11l 2 2 5 2" xfId="0"/>
    <cellStyle name="Norma11l 2 2 5 2 2" xfId="0"/>
    <cellStyle name="Norma11l 2 2 5 2 2 2" xfId="0"/>
    <cellStyle name="Norma11l 2 2 5 2 3" xfId="0"/>
    <cellStyle name="Norma11l 2 2 5 3" xfId="0"/>
    <cellStyle name="Norma11l 2 2 6" xfId="0"/>
    <cellStyle name="Norma11l 2 2 6 2" xfId="0"/>
    <cellStyle name="Norma11l 2 2 6 2 2" xfId="0"/>
    <cellStyle name="Norma11l 2 2 6 3" xfId="0"/>
    <cellStyle name="Norma11l 2 2 7" xfId="0"/>
    <cellStyle name="Norma11l 2 3" xfId="0"/>
    <cellStyle name="Norma11l 2 3 2" xfId="0"/>
    <cellStyle name="Norma11l 2 3 2 2" xfId="0"/>
    <cellStyle name="Norma11l 2 3 2 2 2" xfId="0"/>
    <cellStyle name="Norma11l 2 3 2 3" xfId="0"/>
    <cellStyle name="Norma11l 2 3 3" xfId="0"/>
    <cellStyle name="Norma11l 2 4" xfId="0"/>
    <cellStyle name="Norma11l 2 4 2" xfId="0"/>
    <cellStyle name="Norma11l 2 4 2 2" xfId="0"/>
    <cellStyle name="Norma11l 2 4 3" xfId="0"/>
    <cellStyle name="Norma11l 2 5" xfId="0"/>
    <cellStyle name="Norma11l 2 5 2" xfId="0"/>
    <cellStyle name="Norma11l 2 6" xfId="0"/>
    <cellStyle name="Norma11l 3" xfId="0"/>
    <cellStyle name="Norma11l 3 2" xfId="0"/>
    <cellStyle name="Norma11l 3 2 2" xfId="0"/>
    <cellStyle name="Norma11l 3 2 2 2" xfId="0"/>
    <cellStyle name="Norma11l 3 2 2 2 2" xfId="0"/>
    <cellStyle name="Norma11l 3 2 2 2 2 2" xfId="0"/>
    <cellStyle name="Norma11l 3 2 2 2 3" xfId="0"/>
    <cellStyle name="Norma11l 3 2 2 3" xfId="0"/>
    <cellStyle name="Norma11l 3 2 3" xfId="0"/>
    <cellStyle name="Norma11l 3 2 3 2" xfId="0"/>
    <cellStyle name="Norma11l 3 2 3 2 2" xfId="0"/>
    <cellStyle name="Norma11l 3 2 3 2 2 2" xfId="0"/>
    <cellStyle name="Norma11l 3 2 3 2 3" xfId="0"/>
    <cellStyle name="Norma11l 3 2 3 3" xfId="0"/>
    <cellStyle name="Norma11l 3 2 4" xfId="0"/>
    <cellStyle name="Norma11l 3 2 4 2" xfId="0"/>
    <cellStyle name="Norma11l 3 2 4 2 2" xfId="0"/>
    <cellStyle name="Norma11l 3 2 4 2 2 2" xfId="0"/>
    <cellStyle name="Norma11l 3 2 4 2 3" xfId="0"/>
    <cellStyle name="Norma11l 3 2 4 3" xfId="0"/>
    <cellStyle name="Norma11l 3 2 5" xfId="0"/>
    <cellStyle name="Norma11l 3 2 5 2" xfId="0"/>
    <cellStyle name="Norma11l 3 2 5 2 2" xfId="0"/>
    <cellStyle name="Norma11l 3 2 5 2 2 2" xfId="0"/>
    <cellStyle name="Norma11l 3 2 5 2 3" xfId="0"/>
    <cellStyle name="Norma11l 3 2 5 3" xfId="0"/>
    <cellStyle name="Norma11l 3 2 6" xfId="0"/>
    <cellStyle name="Norma11l 3 2 6 2" xfId="0"/>
    <cellStyle name="Norma11l 3 2 6 2 2" xfId="0"/>
    <cellStyle name="Norma11l 3 2 6 3" xfId="0"/>
    <cellStyle name="Norma11l 3 2 7" xfId="0"/>
    <cellStyle name="Norma11l 3 3" xfId="0"/>
    <cellStyle name="Norma11l 3 3 2" xfId="0"/>
    <cellStyle name="Norma11l 3 3 2 2" xfId="0"/>
    <cellStyle name="Norma11l 3 3 2 2 2" xfId="0"/>
    <cellStyle name="Norma11l 3 3 2 3" xfId="0"/>
    <cellStyle name="Norma11l 3 3 3" xfId="0"/>
    <cellStyle name="Norma11l 3 4" xfId="0"/>
    <cellStyle name="Norma11l 3 4 2" xfId="0"/>
    <cellStyle name="Norma11l 3 4 2 2" xfId="0"/>
    <cellStyle name="Norma11l 3 4 3" xfId="0"/>
    <cellStyle name="Norma11l 3 5" xfId="0"/>
    <cellStyle name="Norma11l 3 5 2" xfId="0"/>
    <cellStyle name="Norma11l 3 6" xfId="0"/>
    <cellStyle name="Norma11l 4" xfId="0"/>
    <cellStyle name="Norma11l 4 10" xfId="0"/>
    <cellStyle name="Norma11l 4 2" xfId="0"/>
    <cellStyle name="Norma11l 4 2 2" xfId="0"/>
    <cellStyle name="Norma11l 4 2 2 2" xfId="0"/>
    <cellStyle name="Norma11l 4 2 3" xfId="0"/>
    <cellStyle name="Norma11l 4 2 3 2" xfId="0"/>
    <cellStyle name="Norma11l 4 2 4" xfId="0"/>
    <cellStyle name="Norma11l 4 3" xfId="0"/>
    <cellStyle name="Norma11l 4 3 2" xfId="0"/>
    <cellStyle name="Norma11l 4 3 2 2" xfId="0"/>
    <cellStyle name="Norma11l 4 3 3" xfId="0"/>
    <cellStyle name="Norma11l 4 3 3 2" xfId="0"/>
    <cellStyle name="Norma11l 4 3 4" xfId="0"/>
    <cellStyle name="Norma11l 4 4" xfId="0"/>
    <cellStyle name="Norma11l 4 4 2" xfId="0"/>
    <cellStyle name="Norma11l 4 4 2 2" xfId="0"/>
    <cellStyle name="Norma11l 4 4 3" xfId="0"/>
    <cellStyle name="Norma11l 4 4 3 2" xfId="0"/>
    <cellStyle name="Norma11l 4 4 4" xfId="0"/>
    <cellStyle name="Norma11l 4 5" xfId="0"/>
    <cellStyle name="Norma11l 4 5 2" xfId="0"/>
    <cellStyle name="Norma11l 4 5 2 2" xfId="0"/>
    <cellStyle name="Norma11l 4 5 3" xfId="0"/>
    <cellStyle name="Norma11l 4 5 3 2" xfId="0"/>
    <cellStyle name="Norma11l 4 5 4" xfId="0"/>
    <cellStyle name="Norma11l 4 6" xfId="0"/>
    <cellStyle name="Norma11l 4 6 2" xfId="0"/>
    <cellStyle name="Norma11l 4 6 2 2" xfId="0"/>
    <cellStyle name="Norma11l 4 6 3" xfId="0"/>
    <cellStyle name="Norma11l 4 6 3 2" xfId="0"/>
    <cellStyle name="Norma11l 4 6 4" xfId="0"/>
    <cellStyle name="Norma11l 4 7" xfId="0"/>
    <cellStyle name="Norma11l 4 7 2" xfId="0"/>
    <cellStyle name="Norma11l 4 7 2 2" xfId="0"/>
    <cellStyle name="Norma11l 4 7 3" xfId="0"/>
    <cellStyle name="Norma11l 4 7 3 2" xfId="0"/>
    <cellStyle name="Norma11l 4 7 4" xfId="0"/>
    <cellStyle name="Norma11l 4 8" xfId="0"/>
    <cellStyle name="Norma11l 4 8 2" xfId="0"/>
    <cellStyle name="Norma11l 4 9" xfId="0"/>
    <cellStyle name="Norma11l 4 9 2" xfId="0"/>
    <cellStyle name="Norma11l 5" xfId="0"/>
    <cellStyle name="Norma11l 5 2" xfId="0"/>
    <cellStyle name="Norma11l 5 2 2" xfId="0"/>
    <cellStyle name="Norma11l 5 3" xfId="0"/>
    <cellStyle name="Norma11l 5 3 2" xfId="0"/>
    <cellStyle name="Norma11l 5 4" xfId="0"/>
    <cellStyle name="Norma11l 6" xfId="0"/>
    <cellStyle name="Norma11l 6 2" xfId="0"/>
    <cellStyle name="Norma11l 7" xfId="0"/>
    <cellStyle name="Norma11l 7 2" xfId="0"/>
    <cellStyle name="Norma11l_АГМ" xfId="0"/>
    <cellStyle name="Normal 2" xfId="0"/>
    <cellStyle name="Normal 2 1" xfId="0"/>
    <cellStyle name="Normal 2 1 2" xfId="0"/>
    <cellStyle name="Normal 2 10" xfId="0"/>
    <cellStyle name="Normal 2 10 2" xfId="0"/>
    <cellStyle name="Normal 2 10 2 2" xfId="0"/>
    <cellStyle name="Normal 2 10 2 2 2" xfId="0"/>
    <cellStyle name="Normal 2 10 2 2 2 2" xfId="0"/>
    <cellStyle name="Normal 2 10 2 2 2 2 2" xfId="0"/>
    <cellStyle name="Normal 2 10 2 2 2 2 2 2" xfId="0"/>
    <cellStyle name="Normal 2 10 2 2 2 2 3" xfId="0"/>
    <cellStyle name="Normal 2 10 2 2 2 2 3 2" xfId="0"/>
    <cellStyle name="Normal 2 10 2 2 2 2 4" xfId="0"/>
    <cellStyle name="Normal 2 10 2 2 2 3" xfId="0"/>
    <cellStyle name="Normal 2 10 2 2 2 3 2" xfId="0"/>
    <cellStyle name="Normal 2 10 2 2 2 4" xfId="0"/>
    <cellStyle name="Normal 2 10 2 2 2 4 2" xfId="0"/>
    <cellStyle name="Normal 2 10 2 2 2 5" xfId="0"/>
    <cellStyle name="Normal 2 10 2 3" xfId="0"/>
    <cellStyle name="Normal 2 10 2 3 2" xfId="0"/>
    <cellStyle name="Normal 2 10 2 3 2 2" xfId="0"/>
    <cellStyle name="Normal 2 10 2 3 2 2 2" xfId="0"/>
    <cellStyle name="Normal 2 10 2 3 2 3" xfId="0"/>
    <cellStyle name="Normal 2 10 2 3 2 3 2" xfId="0"/>
    <cellStyle name="Normal 2 10 2 3 2 4" xfId="0"/>
    <cellStyle name="Normal 2 10 2 3 3" xfId="0"/>
    <cellStyle name="Normal 2 10 2 3 3 2" xfId="0"/>
    <cellStyle name="Normal 2 10 2 3 4" xfId="0"/>
    <cellStyle name="Normal 2 10 2 3 4 2" xfId="0"/>
    <cellStyle name="Normal 2 10 2 3 5" xfId="0"/>
    <cellStyle name="Normal 2 10 2 4" xfId="0"/>
    <cellStyle name="Normal 2 10 2 4 2" xfId="0"/>
    <cellStyle name="Normal 2 10 2 4 2 2" xfId="0"/>
    <cellStyle name="Normal 2 10 2 4 3" xfId="0"/>
    <cellStyle name="Normal 2 10 2 4 3 2" xfId="0"/>
    <cellStyle name="Normal 2 10 2 4 4" xfId="0"/>
    <cellStyle name="Normal 2 10 2 5" xfId="0"/>
    <cellStyle name="Normal 2 10 2 5 2" xfId="0"/>
    <cellStyle name="Normal 2 10 2 6" xfId="0"/>
    <cellStyle name="Normal 2 10 2 6 2" xfId="0"/>
    <cellStyle name="Normal 2 10 3" xfId="0"/>
    <cellStyle name="Normal 2 10 3 2" xfId="0"/>
    <cellStyle name="Normal 2 10 3 2 2" xfId="0"/>
    <cellStyle name="Normal 2 10 3 2 2 2" xfId="0"/>
    <cellStyle name="Normal 2 10 3 2 2 2 2" xfId="0"/>
    <cellStyle name="Normal 2 10 3 2 2 3" xfId="0"/>
    <cellStyle name="Normal 2 10 3 2 2 3 2" xfId="0"/>
    <cellStyle name="Normal 2 10 3 2 2 4" xfId="0"/>
    <cellStyle name="Normal 2 10 3 2 3" xfId="0"/>
    <cellStyle name="Normal 2 10 3 2 3 2" xfId="0"/>
    <cellStyle name="Normal 2 10 3 2 4" xfId="0"/>
    <cellStyle name="Normal 2 10 3 2 4 2" xfId="0"/>
    <cellStyle name="Normal 2 10 3 2 5" xfId="0"/>
    <cellStyle name="Normal 2 10 3 3" xfId="0"/>
    <cellStyle name="Normal 2 10 3 3 2" xfId="0"/>
    <cellStyle name="Normal 2 10 3 3 2 2" xfId="0"/>
    <cellStyle name="Normal 2 10 3 3 3" xfId="0"/>
    <cellStyle name="Normal 2 10 3 3 3 2" xfId="0"/>
    <cellStyle name="Normal 2 10 3 3 4" xfId="0"/>
    <cellStyle name="Normal 2 10 3 4" xfId="0"/>
    <cellStyle name="Normal 2 10 3 4 2" xfId="0"/>
    <cellStyle name="Normal 2 10 3 5" xfId="0"/>
    <cellStyle name="Normal 2 10 3 5 2" xfId="0"/>
    <cellStyle name="Normal 2 10 3 6" xfId="0"/>
    <cellStyle name="Normal 2 10 4" xfId="0"/>
    <cellStyle name="Normal 2 10 4 2" xfId="0"/>
    <cellStyle name="Normal 2 10 4 2 2" xfId="0"/>
    <cellStyle name="Normal 2 10 4 2 2 2" xfId="0"/>
    <cellStyle name="Normal 2 10 4 2 2 2 2" xfId="0"/>
    <cellStyle name="Normal 2 10 4 2 2 3" xfId="0"/>
    <cellStyle name="Normal 2 10 4 2 2 3 2" xfId="0"/>
    <cellStyle name="Normal 2 10 4 2 2 4" xfId="0"/>
    <cellStyle name="Normal 2 10 4 2 3" xfId="0"/>
    <cellStyle name="Normal 2 10 4 2 3 2" xfId="0"/>
    <cellStyle name="Normal 2 10 4 2 4" xfId="0"/>
    <cellStyle name="Normal 2 10 4 2 4 2" xfId="0"/>
    <cellStyle name="Normal 2 10 4 2 5" xfId="0"/>
    <cellStyle name="Normal 2 10 5" xfId="0"/>
    <cellStyle name="Normal 2 10 5 2" xfId="0"/>
    <cellStyle name="Normal 2 10 5 2 2" xfId="0"/>
    <cellStyle name="Normal 2 10 5 3" xfId="0"/>
    <cellStyle name="Normal 2 10 5 3 2" xfId="0"/>
    <cellStyle name="Normal 2 10 5 4" xfId="0"/>
    <cellStyle name="Normal 2 10 6" xfId="0"/>
    <cellStyle name="Normal 2 10 6 2" xfId="0"/>
    <cellStyle name="Normal 2 11" xfId="0"/>
    <cellStyle name="Normal 2 11 2" xfId="0"/>
    <cellStyle name="Normal 2 11 2 2" xfId="0"/>
    <cellStyle name="Normal 2 11 2 2 2" xfId="0"/>
    <cellStyle name="Normal 2 11 2 2 2 2" xfId="0"/>
    <cellStyle name="Normal 2 11 2 2 2 2 2" xfId="0"/>
    <cellStyle name="Normal 2 11 2 2 2 2 2 2" xfId="0"/>
    <cellStyle name="Normal 2 11 2 2 2 2 3" xfId="0"/>
    <cellStyle name="Normal 2 11 2 2 2 2 3 2" xfId="0"/>
    <cellStyle name="Normal 2 11 2 2 2 2 4" xfId="0"/>
    <cellStyle name="Normal 2 11 2 2 2 3" xfId="0"/>
    <cellStyle name="Normal 2 11 2 2 2 3 2" xfId="0"/>
    <cellStyle name="Normal 2 11 2 2 2 4" xfId="0"/>
    <cellStyle name="Normal 2 11 2 2 2 4 2" xfId="0"/>
    <cellStyle name="Normal 2 11 2 2 2 5" xfId="0"/>
    <cellStyle name="Normal 2 11 2 3" xfId="0"/>
    <cellStyle name="Normal 2 11 2 3 2" xfId="0"/>
    <cellStyle name="Normal 2 11 2 3 2 2" xfId="0"/>
    <cellStyle name="Normal 2 11 2 3 2 2 2" xfId="0"/>
    <cellStyle name="Normal 2 11 2 3 2 3" xfId="0"/>
    <cellStyle name="Normal 2 11 2 3 2 3 2" xfId="0"/>
    <cellStyle name="Normal 2 11 2 3 2 4" xfId="0"/>
    <cellStyle name="Normal 2 11 2 3 3" xfId="0"/>
    <cellStyle name="Normal 2 11 2 3 3 2" xfId="0"/>
    <cellStyle name="Normal 2 11 2 3 4" xfId="0"/>
    <cellStyle name="Normal 2 11 2 3 4 2" xfId="0"/>
    <cellStyle name="Normal 2 11 2 3 5" xfId="0"/>
    <cellStyle name="Normal 2 11 2 4" xfId="0"/>
    <cellStyle name="Normal 2 11 2 4 2" xfId="0"/>
    <cellStyle name="Normal 2 11 2 4 2 2" xfId="0"/>
    <cellStyle name="Normal 2 11 2 4 3" xfId="0"/>
    <cellStyle name="Normal 2 11 2 4 3 2" xfId="0"/>
    <cellStyle name="Normal 2 11 2 4 4" xfId="0"/>
    <cellStyle name="Normal 2 11 2 5" xfId="0"/>
    <cellStyle name="Normal 2 11 2 5 2" xfId="0"/>
    <cellStyle name="Normal 2 11 2 6" xfId="0"/>
    <cellStyle name="Normal 2 11 2 6 2" xfId="0"/>
    <cellStyle name="Normal 2 11 3" xfId="0"/>
    <cellStyle name="Normal 2 11 3 2" xfId="0"/>
    <cellStyle name="Normal 2 11 3 2 2" xfId="0"/>
    <cellStyle name="Normal 2 11 3 2 2 2" xfId="0"/>
    <cellStyle name="Normal 2 11 3 2 2 2 2" xfId="0"/>
    <cellStyle name="Normal 2 11 3 2 2 3" xfId="0"/>
    <cellStyle name="Normal 2 11 3 2 2 3 2" xfId="0"/>
    <cellStyle name="Normal 2 11 3 2 2 4" xfId="0"/>
    <cellStyle name="Normal 2 11 3 2 3" xfId="0"/>
    <cellStyle name="Normal 2 11 3 2 3 2" xfId="0"/>
    <cellStyle name="Normal 2 11 3 2 4" xfId="0"/>
    <cellStyle name="Normal 2 11 3 2 4 2" xfId="0"/>
    <cellStyle name="Normal 2 11 3 2 5" xfId="0"/>
    <cellStyle name="Normal 2 11 3 3" xfId="0"/>
    <cellStyle name="Normal 2 11 3 3 2" xfId="0"/>
    <cellStyle name="Normal 2 11 3 3 2 2" xfId="0"/>
    <cellStyle name="Normal 2 11 3 3 3" xfId="0"/>
    <cellStyle name="Normal 2 11 3 3 3 2" xfId="0"/>
    <cellStyle name="Normal 2 11 3 3 4" xfId="0"/>
    <cellStyle name="Normal 2 11 3 4" xfId="0"/>
    <cellStyle name="Normal 2 11 3 4 2" xfId="0"/>
    <cellStyle name="Normal 2 11 3 5" xfId="0"/>
    <cellStyle name="Normal 2 11 3 5 2" xfId="0"/>
    <cellStyle name="Normal 2 11 3 6" xfId="0"/>
    <cellStyle name="Normal 2 11 4" xfId="0"/>
    <cellStyle name="Normal 2 11 4 2" xfId="0"/>
    <cellStyle name="Normal 2 11 4 2 2" xfId="0"/>
    <cellStyle name="Normal 2 11 4 2 2 2" xfId="0"/>
    <cellStyle name="Normal 2 11 4 2 2 2 2" xfId="0"/>
    <cellStyle name="Normal 2 11 4 2 2 3" xfId="0"/>
    <cellStyle name="Normal 2 11 4 2 2 3 2" xfId="0"/>
    <cellStyle name="Normal 2 11 4 2 2 4" xfId="0"/>
    <cellStyle name="Normal 2 11 4 2 3" xfId="0"/>
    <cellStyle name="Normal 2 11 4 2 3 2" xfId="0"/>
    <cellStyle name="Normal 2 11 4 2 4" xfId="0"/>
    <cellStyle name="Normal 2 11 4 2 4 2" xfId="0"/>
    <cellStyle name="Normal 2 11 4 2 5" xfId="0"/>
    <cellStyle name="Normal 2 11 5" xfId="0"/>
    <cellStyle name="Normal 2 11 5 2" xfId="0"/>
    <cellStyle name="Normal 2 11 5 2 2" xfId="0"/>
    <cellStyle name="Normal 2 11 5 3" xfId="0"/>
    <cellStyle name="Normal 2 11 5 3 2" xfId="0"/>
    <cellStyle name="Normal 2 11 5 4" xfId="0"/>
    <cellStyle name="Normal 2 11 6" xfId="0"/>
    <cellStyle name="Normal 2 11 6 2" xfId="0"/>
    <cellStyle name="Normal 2 12" xfId="0"/>
    <cellStyle name="Normal 2 12 2" xfId="0"/>
    <cellStyle name="Normal 2 12 2 2" xfId="0"/>
    <cellStyle name="Normal 2 12 2 2 2" xfId="0"/>
    <cellStyle name="Normal 2 12 2 2 2 2" xfId="0"/>
    <cellStyle name="Normal 2 12 2 2 2 2 2" xfId="0"/>
    <cellStyle name="Normal 2 12 2 2 2 2 2 2" xfId="0"/>
    <cellStyle name="Normal 2 12 2 2 2 2 3" xfId="0"/>
    <cellStyle name="Normal 2 12 2 2 2 2 3 2" xfId="0"/>
    <cellStyle name="Normal 2 12 2 2 2 2 4" xfId="0"/>
    <cellStyle name="Normal 2 12 2 2 2 3" xfId="0"/>
    <cellStyle name="Normal 2 12 2 2 2 3 2" xfId="0"/>
    <cellStyle name="Normal 2 12 2 2 2 4" xfId="0"/>
    <cellStyle name="Normal 2 12 2 2 2 4 2" xfId="0"/>
    <cellStyle name="Normal 2 12 2 2 2 5" xfId="0"/>
    <cellStyle name="Normal 2 12 2 3" xfId="0"/>
    <cellStyle name="Normal 2 12 2 3 2" xfId="0"/>
    <cellStyle name="Normal 2 12 2 3 2 2" xfId="0"/>
    <cellStyle name="Normal 2 12 2 3 2 2 2" xfId="0"/>
    <cellStyle name="Normal 2 12 2 3 2 3" xfId="0"/>
    <cellStyle name="Normal 2 12 2 3 2 3 2" xfId="0"/>
    <cellStyle name="Normal 2 12 2 3 2 4" xfId="0"/>
    <cellStyle name="Normal 2 12 2 3 3" xfId="0"/>
    <cellStyle name="Normal 2 12 2 3 3 2" xfId="0"/>
    <cellStyle name="Normal 2 12 2 3 4" xfId="0"/>
    <cellStyle name="Normal 2 12 2 3 4 2" xfId="0"/>
    <cellStyle name="Normal 2 12 2 3 5" xfId="0"/>
    <cellStyle name="Normal 2 12 2 4" xfId="0"/>
    <cellStyle name="Normal 2 12 2 4 2" xfId="0"/>
    <cellStyle name="Normal 2 12 2 4 2 2" xfId="0"/>
    <cellStyle name="Normal 2 12 2 4 3" xfId="0"/>
    <cellStyle name="Normal 2 12 2 4 3 2" xfId="0"/>
    <cellStyle name="Normal 2 12 2 4 4" xfId="0"/>
    <cellStyle name="Normal 2 12 2 5" xfId="0"/>
    <cellStyle name="Normal 2 12 2 5 2" xfId="0"/>
    <cellStyle name="Normal 2 12 2 6" xfId="0"/>
    <cellStyle name="Normal 2 12 2 6 2" xfId="0"/>
    <cellStyle name="Normal 2 12 3" xfId="0"/>
    <cellStyle name="Normal 2 12 3 2" xfId="0"/>
    <cellStyle name="Normal 2 12 3 2 2" xfId="0"/>
    <cellStyle name="Normal 2 12 3 2 2 2" xfId="0"/>
    <cellStyle name="Normal 2 12 3 2 2 2 2" xfId="0"/>
    <cellStyle name="Normal 2 12 3 2 2 3" xfId="0"/>
    <cellStyle name="Normal 2 12 3 2 2 3 2" xfId="0"/>
    <cellStyle name="Normal 2 12 3 2 2 4" xfId="0"/>
    <cellStyle name="Normal 2 12 3 2 3" xfId="0"/>
    <cellStyle name="Normal 2 12 3 2 3 2" xfId="0"/>
    <cellStyle name="Normal 2 12 3 2 4" xfId="0"/>
    <cellStyle name="Normal 2 12 3 2 4 2" xfId="0"/>
    <cellStyle name="Normal 2 12 3 2 5" xfId="0"/>
    <cellStyle name="Normal 2 12 3 3" xfId="0"/>
    <cellStyle name="Normal 2 12 3 3 2" xfId="0"/>
    <cellStyle name="Normal 2 12 3 3 2 2" xfId="0"/>
    <cellStyle name="Normal 2 12 3 3 3" xfId="0"/>
    <cellStyle name="Normal 2 12 3 3 3 2" xfId="0"/>
    <cellStyle name="Normal 2 12 3 3 4" xfId="0"/>
    <cellStyle name="Normal 2 12 3 4" xfId="0"/>
    <cellStyle name="Normal 2 12 3 4 2" xfId="0"/>
    <cellStyle name="Normal 2 12 3 5" xfId="0"/>
    <cellStyle name="Normal 2 12 3 5 2" xfId="0"/>
    <cellStyle name="Normal 2 12 3 6" xfId="0"/>
    <cellStyle name="Normal 2 12 4" xfId="0"/>
    <cellStyle name="Normal 2 12 4 2" xfId="0"/>
    <cellStyle name="Normal 2 12 4 2 2" xfId="0"/>
    <cellStyle name="Normal 2 12 4 2 2 2" xfId="0"/>
    <cellStyle name="Normal 2 12 4 2 2 2 2" xfId="0"/>
    <cellStyle name="Normal 2 12 4 2 2 3" xfId="0"/>
    <cellStyle name="Normal 2 12 4 2 2 3 2" xfId="0"/>
    <cellStyle name="Normal 2 12 4 2 2 4" xfId="0"/>
    <cellStyle name="Normal 2 12 4 2 3" xfId="0"/>
    <cellStyle name="Normal 2 12 4 2 3 2" xfId="0"/>
    <cellStyle name="Normal 2 12 4 2 4" xfId="0"/>
    <cellStyle name="Normal 2 12 4 2 4 2" xfId="0"/>
    <cellStyle name="Normal 2 12 4 2 5" xfId="0"/>
    <cellStyle name="Normal 2 12 5" xfId="0"/>
    <cellStyle name="Normal 2 12 5 2" xfId="0"/>
    <cellStyle name="Normal 2 12 5 2 2" xfId="0"/>
    <cellStyle name="Normal 2 12 5 3" xfId="0"/>
    <cellStyle name="Normal 2 12 5 3 2" xfId="0"/>
    <cellStyle name="Normal 2 12 5 4" xfId="0"/>
    <cellStyle name="Normal 2 12 6" xfId="0"/>
    <cellStyle name="Normal 2 12 6 2" xfId="0"/>
    <cellStyle name="Normal 2 13" xfId="0"/>
    <cellStyle name="Normal 2 13 2" xfId="0"/>
    <cellStyle name="Normal 2 13 2 2" xfId="0"/>
    <cellStyle name="Normal 2 13 2 2 2" xfId="0"/>
    <cellStyle name="Normal 2 13 2 2 2 2" xfId="0"/>
    <cellStyle name="Normal 2 13 2 2 2 2 2" xfId="0"/>
    <cellStyle name="Normal 2 13 2 2 2 2 2 2" xfId="0"/>
    <cellStyle name="Normal 2 13 2 2 2 2 3" xfId="0"/>
    <cellStyle name="Normal 2 13 2 2 2 2 3 2" xfId="0"/>
    <cellStyle name="Normal 2 13 2 2 2 2 4" xfId="0"/>
    <cellStyle name="Normal 2 13 2 2 2 3" xfId="0"/>
    <cellStyle name="Normal 2 13 2 2 2 3 2" xfId="0"/>
    <cellStyle name="Normal 2 13 2 2 2 4" xfId="0"/>
    <cellStyle name="Normal 2 13 2 2 2 4 2" xfId="0"/>
    <cellStyle name="Normal 2 13 2 2 2 5" xfId="0"/>
    <cellStyle name="Normal 2 13 2 3" xfId="0"/>
    <cellStyle name="Normal 2 13 2 3 2" xfId="0"/>
    <cellStyle name="Normal 2 13 2 3 2 2" xfId="0"/>
    <cellStyle name="Normal 2 13 2 3 2 2 2" xfId="0"/>
    <cellStyle name="Normal 2 13 2 3 2 3" xfId="0"/>
    <cellStyle name="Normal 2 13 2 3 2 3 2" xfId="0"/>
    <cellStyle name="Normal 2 13 2 3 2 4" xfId="0"/>
    <cellStyle name="Normal 2 13 2 3 3" xfId="0"/>
    <cellStyle name="Normal 2 13 2 3 3 2" xfId="0"/>
    <cellStyle name="Normal 2 13 2 3 4" xfId="0"/>
    <cellStyle name="Normal 2 13 2 3 4 2" xfId="0"/>
    <cellStyle name="Normal 2 13 2 3 5" xfId="0"/>
    <cellStyle name="Normal 2 13 2 4" xfId="0"/>
    <cellStyle name="Normal 2 13 2 4 2" xfId="0"/>
    <cellStyle name="Normal 2 13 2 4 2 2" xfId="0"/>
    <cellStyle name="Normal 2 13 2 4 3" xfId="0"/>
    <cellStyle name="Normal 2 13 2 4 3 2" xfId="0"/>
    <cellStyle name="Normal 2 13 2 4 4" xfId="0"/>
    <cellStyle name="Normal 2 13 2 5" xfId="0"/>
    <cellStyle name="Normal 2 13 2 5 2" xfId="0"/>
    <cellStyle name="Normal 2 13 2 6" xfId="0"/>
    <cellStyle name="Normal 2 13 2 6 2" xfId="0"/>
    <cellStyle name="Normal 2 13 3" xfId="0"/>
    <cellStyle name="Normal 2 13 3 2" xfId="0"/>
    <cellStyle name="Normal 2 13 3 2 2" xfId="0"/>
    <cellStyle name="Normal 2 13 3 2 2 2" xfId="0"/>
    <cellStyle name="Normal 2 13 3 2 2 2 2" xfId="0"/>
    <cellStyle name="Normal 2 13 3 2 2 3" xfId="0"/>
    <cellStyle name="Normal 2 13 3 2 2 3 2" xfId="0"/>
    <cellStyle name="Normal 2 13 3 2 2 4" xfId="0"/>
    <cellStyle name="Normal 2 13 3 2 3" xfId="0"/>
    <cellStyle name="Normal 2 13 3 2 3 2" xfId="0"/>
    <cellStyle name="Normal 2 13 3 2 4" xfId="0"/>
    <cellStyle name="Normal 2 13 3 2 4 2" xfId="0"/>
    <cellStyle name="Normal 2 13 3 2 5" xfId="0"/>
    <cellStyle name="Normal 2 13 3 3" xfId="0"/>
    <cellStyle name="Normal 2 13 3 3 2" xfId="0"/>
    <cellStyle name="Normal 2 13 3 3 2 2" xfId="0"/>
    <cellStyle name="Normal 2 13 3 3 3" xfId="0"/>
    <cellStyle name="Normal 2 13 3 3 3 2" xfId="0"/>
    <cellStyle name="Normal 2 13 3 3 4" xfId="0"/>
    <cellStyle name="Normal 2 13 3 4" xfId="0"/>
    <cellStyle name="Normal 2 13 3 4 2" xfId="0"/>
    <cellStyle name="Normal 2 13 3 5" xfId="0"/>
    <cellStyle name="Normal 2 13 3 5 2" xfId="0"/>
    <cellStyle name="Normal 2 13 3 6" xfId="0"/>
    <cellStyle name="Normal 2 13 4" xfId="0"/>
    <cellStyle name="Normal 2 13 4 2" xfId="0"/>
    <cellStyle name="Normal 2 13 4 2 2" xfId="0"/>
    <cellStyle name="Normal 2 13 4 2 2 2" xfId="0"/>
    <cellStyle name="Normal 2 13 4 2 2 2 2" xfId="0"/>
    <cellStyle name="Normal 2 13 4 2 2 3" xfId="0"/>
    <cellStyle name="Normal 2 13 4 2 2 3 2" xfId="0"/>
    <cellStyle name="Normal 2 13 4 2 2 4" xfId="0"/>
    <cellStyle name="Normal 2 13 4 2 3" xfId="0"/>
    <cellStyle name="Normal 2 13 4 2 3 2" xfId="0"/>
    <cellStyle name="Normal 2 13 4 2 4" xfId="0"/>
    <cellStyle name="Normal 2 13 4 2 4 2" xfId="0"/>
    <cellStyle name="Normal 2 13 4 2 5" xfId="0"/>
    <cellStyle name="Normal 2 13 5" xfId="0"/>
    <cellStyle name="Normal 2 13 5 2" xfId="0"/>
    <cellStyle name="Normal 2 13 5 2 2" xfId="0"/>
    <cellStyle name="Normal 2 13 5 3" xfId="0"/>
    <cellStyle name="Normal 2 13 5 3 2" xfId="0"/>
    <cellStyle name="Normal 2 13 5 4" xfId="0"/>
    <cellStyle name="Normal 2 13 6" xfId="0"/>
    <cellStyle name="Normal 2 13 6 2" xfId="0"/>
    <cellStyle name="Normal 2 14" xfId="0"/>
    <cellStyle name="Normal 2 14 2" xfId="0"/>
    <cellStyle name="Normal 2 14 2 2" xfId="0"/>
    <cellStyle name="Normal 2 14 2 2 2" xfId="0"/>
    <cellStyle name="Normal 2 14 2 2 2 2" xfId="0"/>
    <cellStyle name="Normal 2 14 2 2 2 2 2" xfId="0"/>
    <cellStyle name="Normal 2 14 2 2 2 2 2 2" xfId="0"/>
    <cellStyle name="Normal 2 14 2 2 2 2 3" xfId="0"/>
    <cellStyle name="Normal 2 14 2 2 2 2 3 2" xfId="0"/>
    <cellStyle name="Normal 2 14 2 2 2 2 4" xfId="0"/>
    <cellStyle name="Normal 2 14 2 2 2 3" xfId="0"/>
    <cellStyle name="Normal 2 14 2 2 2 3 2" xfId="0"/>
    <cellStyle name="Normal 2 14 2 2 2 4" xfId="0"/>
    <cellStyle name="Normal 2 14 2 2 2 4 2" xfId="0"/>
    <cellStyle name="Normal 2 14 2 2 2 5" xfId="0"/>
    <cellStyle name="Normal 2 14 2 3" xfId="0"/>
    <cellStyle name="Normal 2 14 2 3 2" xfId="0"/>
    <cellStyle name="Normal 2 14 2 3 2 2" xfId="0"/>
    <cellStyle name="Normal 2 14 2 3 2 2 2" xfId="0"/>
    <cellStyle name="Normal 2 14 2 3 2 3" xfId="0"/>
    <cellStyle name="Normal 2 14 2 3 2 3 2" xfId="0"/>
    <cellStyle name="Normal 2 14 2 3 2 4" xfId="0"/>
    <cellStyle name="Normal 2 14 2 3 3" xfId="0"/>
    <cellStyle name="Normal 2 14 2 3 3 2" xfId="0"/>
    <cellStyle name="Normal 2 14 2 3 4" xfId="0"/>
    <cellStyle name="Normal 2 14 2 3 4 2" xfId="0"/>
    <cellStyle name="Normal 2 14 2 3 5" xfId="0"/>
    <cellStyle name="Normal 2 14 2 4" xfId="0"/>
    <cellStyle name="Normal 2 14 2 4 2" xfId="0"/>
    <cellStyle name="Normal 2 14 2 4 2 2" xfId="0"/>
    <cellStyle name="Normal 2 14 2 4 3" xfId="0"/>
    <cellStyle name="Normal 2 14 2 4 3 2" xfId="0"/>
    <cellStyle name="Normal 2 14 2 4 4" xfId="0"/>
    <cellStyle name="Normal 2 14 2 5" xfId="0"/>
    <cellStyle name="Normal 2 14 2 5 2" xfId="0"/>
    <cellStyle name="Normal 2 14 2 6" xfId="0"/>
    <cellStyle name="Normal 2 14 2 6 2" xfId="0"/>
    <cellStyle name="Normal 2 14 3" xfId="0"/>
    <cellStyle name="Normal 2 14 3 2" xfId="0"/>
    <cellStyle name="Normal 2 14 3 2 2" xfId="0"/>
    <cellStyle name="Normal 2 14 3 2 2 2" xfId="0"/>
    <cellStyle name="Normal 2 14 3 2 2 2 2" xfId="0"/>
    <cellStyle name="Normal 2 14 3 2 2 3" xfId="0"/>
    <cellStyle name="Normal 2 14 3 2 2 3 2" xfId="0"/>
    <cellStyle name="Normal 2 14 3 2 2 4" xfId="0"/>
    <cellStyle name="Normal 2 14 3 2 3" xfId="0"/>
    <cellStyle name="Normal 2 14 3 2 3 2" xfId="0"/>
    <cellStyle name="Normal 2 14 3 2 4" xfId="0"/>
    <cellStyle name="Normal 2 14 3 2 4 2" xfId="0"/>
    <cellStyle name="Normal 2 14 3 2 5" xfId="0"/>
    <cellStyle name="Normal 2 14 3 3" xfId="0"/>
    <cellStyle name="Normal 2 14 3 3 2" xfId="0"/>
    <cellStyle name="Normal 2 14 3 3 2 2" xfId="0"/>
    <cellStyle name="Normal 2 14 3 3 3" xfId="0"/>
    <cellStyle name="Normal 2 14 3 3 3 2" xfId="0"/>
    <cellStyle name="Normal 2 14 3 3 4" xfId="0"/>
    <cellStyle name="Normal 2 14 3 4" xfId="0"/>
    <cellStyle name="Normal 2 14 3 4 2" xfId="0"/>
    <cellStyle name="Normal 2 14 3 5" xfId="0"/>
    <cellStyle name="Normal 2 14 3 5 2" xfId="0"/>
    <cellStyle name="Normal 2 14 3 6" xfId="0"/>
    <cellStyle name="Normal 2 14 4" xfId="0"/>
    <cellStyle name="Normal 2 14 4 2" xfId="0"/>
    <cellStyle name="Normal 2 14 4 2 2" xfId="0"/>
    <cellStyle name="Normal 2 14 4 2 2 2" xfId="0"/>
    <cellStyle name="Normal 2 14 4 2 2 2 2" xfId="0"/>
    <cellStyle name="Normal 2 14 4 2 2 3" xfId="0"/>
    <cellStyle name="Normal 2 14 4 2 2 3 2" xfId="0"/>
    <cellStyle name="Normal 2 14 4 2 2 4" xfId="0"/>
    <cellStyle name="Normal 2 14 4 2 3" xfId="0"/>
    <cellStyle name="Normal 2 14 4 2 3 2" xfId="0"/>
    <cellStyle name="Normal 2 14 4 2 4" xfId="0"/>
    <cellStyle name="Normal 2 14 4 2 4 2" xfId="0"/>
    <cellStyle name="Normal 2 14 4 2 5" xfId="0"/>
    <cellStyle name="Normal 2 14 5" xfId="0"/>
    <cellStyle name="Normal 2 14 5 2" xfId="0"/>
    <cellStyle name="Normal 2 14 5 2 2" xfId="0"/>
    <cellStyle name="Normal 2 14 5 3" xfId="0"/>
    <cellStyle name="Normal 2 14 5 3 2" xfId="0"/>
    <cellStyle name="Normal 2 14 5 4" xfId="0"/>
    <cellStyle name="Normal 2 14 6" xfId="0"/>
    <cellStyle name="Normal 2 14 6 2" xfId="0"/>
    <cellStyle name="Normal 2 15" xfId="0"/>
    <cellStyle name="Normal 2 15 2" xfId="0"/>
    <cellStyle name="Normal 2 15 2 2" xfId="0"/>
    <cellStyle name="Normal 2 15 2 2 2" xfId="0"/>
    <cellStyle name="Normal 2 15 2 2 2 2" xfId="0"/>
    <cellStyle name="Normal 2 15 2 2 2 2 2" xfId="0"/>
    <cellStyle name="Normal 2 15 2 2 2 2 2 2" xfId="0"/>
    <cellStyle name="Normal 2 15 2 2 2 2 3" xfId="0"/>
    <cellStyle name="Normal 2 15 2 2 2 2 3 2" xfId="0"/>
    <cellStyle name="Normal 2 15 2 2 2 2 4" xfId="0"/>
    <cellStyle name="Normal 2 15 2 2 2 3" xfId="0"/>
    <cellStyle name="Normal 2 15 2 2 2 3 2" xfId="0"/>
    <cellStyle name="Normal 2 15 2 2 2 4" xfId="0"/>
    <cellStyle name="Normal 2 15 2 2 2 4 2" xfId="0"/>
    <cellStyle name="Normal 2 15 2 2 2 5" xfId="0"/>
    <cellStyle name="Normal 2 15 2 3" xfId="0"/>
    <cellStyle name="Normal 2 15 2 3 2" xfId="0"/>
    <cellStyle name="Normal 2 15 2 3 2 2" xfId="0"/>
    <cellStyle name="Normal 2 15 2 3 2 2 2" xfId="0"/>
    <cellStyle name="Normal 2 15 2 3 2 3" xfId="0"/>
    <cellStyle name="Normal 2 15 2 3 2 3 2" xfId="0"/>
    <cellStyle name="Normal 2 15 2 3 2 4" xfId="0"/>
    <cellStyle name="Normal 2 15 2 3 3" xfId="0"/>
    <cellStyle name="Normal 2 15 2 3 3 2" xfId="0"/>
    <cellStyle name="Normal 2 15 2 3 4" xfId="0"/>
    <cellStyle name="Normal 2 15 2 3 4 2" xfId="0"/>
    <cellStyle name="Normal 2 15 2 3 5" xfId="0"/>
    <cellStyle name="Normal 2 15 2 4" xfId="0"/>
    <cellStyle name="Normal 2 15 2 4 2" xfId="0"/>
    <cellStyle name="Normal 2 15 2 4 2 2" xfId="0"/>
    <cellStyle name="Normal 2 15 2 4 3" xfId="0"/>
    <cellStyle name="Normal 2 15 2 4 3 2" xfId="0"/>
    <cellStyle name="Normal 2 15 2 4 4" xfId="0"/>
    <cellStyle name="Normal 2 15 2 5" xfId="0"/>
    <cellStyle name="Normal 2 15 2 5 2" xfId="0"/>
    <cellStyle name="Normal 2 15 2 6" xfId="0"/>
    <cellStyle name="Normal 2 15 2 6 2" xfId="0"/>
    <cellStyle name="Normal 2 15 3" xfId="0"/>
    <cellStyle name="Normal 2 15 3 2" xfId="0"/>
    <cellStyle name="Normal 2 15 3 2 2" xfId="0"/>
    <cellStyle name="Normal 2 15 3 2 2 2" xfId="0"/>
    <cellStyle name="Normal 2 15 3 2 2 2 2" xfId="0"/>
    <cellStyle name="Normal 2 15 3 2 2 3" xfId="0"/>
    <cellStyle name="Normal 2 15 3 2 2 3 2" xfId="0"/>
    <cellStyle name="Normal 2 15 3 2 2 4" xfId="0"/>
    <cellStyle name="Normal 2 15 3 2 3" xfId="0"/>
    <cellStyle name="Normal 2 15 3 2 3 2" xfId="0"/>
    <cellStyle name="Normal 2 15 3 2 4" xfId="0"/>
    <cellStyle name="Normal 2 15 3 2 4 2" xfId="0"/>
    <cellStyle name="Normal 2 15 3 2 5" xfId="0"/>
    <cellStyle name="Normal 2 15 3 3" xfId="0"/>
    <cellStyle name="Normal 2 15 3 3 2" xfId="0"/>
    <cellStyle name="Normal 2 15 3 3 2 2" xfId="0"/>
    <cellStyle name="Normal 2 15 3 3 3" xfId="0"/>
    <cellStyle name="Normal 2 15 3 3 3 2" xfId="0"/>
    <cellStyle name="Normal 2 15 3 3 4" xfId="0"/>
    <cellStyle name="Normal 2 15 3 4" xfId="0"/>
    <cellStyle name="Normal 2 15 3 4 2" xfId="0"/>
    <cellStyle name="Normal 2 15 3 5" xfId="0"/>
    <cellStyle name="Normal 2 15 3 5 2" xfId="0"/>
    <cellStyle name="Normal 2 15 3 6" xfId="0"/>
    <cellStyle name="Normal 2 15 4" xfId="0"/>
    <cellStyle name="Normal 2 15 4 2" xfId="0"/>
    <cellStyle name="Normal 2 15 4 2 2" xfId="0"/>
    <cellStyle name="Normal 2 15 4 2 2 2" xfId="0"/>
    <cellStyle name="Normal 2 15 4 2 2 2 2" xfId="0"/>
    <cellStyle name="Normal 2 15 4 2 2 3" xfId="0"/>
    <cellStyle name="Normal 2 15 4 2 2 3 2" xfId="0"/>
    <cellStyle name="Normal 2 15 4 2 2 4" xfId="0"/>
    <cellStyle name="Normal 2 15 4 2 3" xfId="0"/>
    <cellStyle name="Normal 2 15 4 2 3 2" xfId="0"/>
    <cellStyle name="Normal 2 15 4 2 4" xfId="0"/>
    <cellStyle name="Normal 2 15 4 2 4 2" xfId="0"/>
    <cellStyle name="Normal 2 15 4 2 5" xfId="0"/>
    <cellStyle name="Normal 2 15 5" xfId="0"/>
    <cellStyle name="Normal 2 15 5 2" xfId="0"/>
    <cellStyle name="Normal 2 15 5 2 2" xfId="0"/>
    <cellStyle name="Normal 2 15 5 3" xfId="0"/>
    <cellStyle name="Normal 2 15 5 3 2" xfId="0"/>
    <cellStyle name="Normal 2 15 5 4" xfId="0"/>
    <cellStyle name="Normal 2 15 6" xfId="0"/>
    <cellStyle name="Normal 2 15 6 2" xfId="0"/>
    <cellStyle name="Normal 2 16" xfId="0"/>
    <cellStyle name="Normal 2 16 2" xfId="0"/>
    <cellStyle name="Normal 2 16 2 2" xfId="0"/>
    <cellStyle name="Normal 2 16 2 2 2" xfId="0"/>
    <cellStyle name="Normal 2 16 2 2 2 2" xfId="0"/>
    <cellStyle name="Normal 2 16 2 2 2 2 2" xfId="0"/>
    <cellStyle name="Normal 2 16 2 2 2 2 2 2" xfId="0"/>
    <cellStyle name="Normal 2 16 2 2 2 2 3" xfId="0"/>
    <cellStyle name="Normal 2 16 2 2 2 2 3 2" xfId="0"/>
    <cellStyle name="Normal 2 16 2 2 2 2 4" xfId="0"/>
    <cellStyle name="Normal 2 16 2 2 2 3" xfId="0"/>
    <cellStyle name="Normal 2 16 2 2 2 3 2" xfId="0"/>
    <cellStyle name="Normal 2 16 2 2 2 4" xfId="0"/>
    <cellStyle name="Normal 2 16 2 2 2 4 2" xfId="0"/>
    <cellStyle name="Normal 2 16 2 2 2 5" xfId="0"/>
    <cellStyle name="Normal 2 16 2 3" xfId="0"/>
    <cellStyle name="Normal 2 16 2 3 2" xfId="0"/>
    <cellStyle name="Normal 2 16 2 3 2 2" xfId="0"/>
    <cellStyle name="Normal 2 16 2 3 2 2 2" xfId="0"/>
    <cellStyle name="Normal 2 16 2 3 2 3" xfId="0"/>
    <cellStyle name="Normal 2 16 2 3 2 3 2" xfId="0"/>
    <cellStyle name="Normal 2 16 2 3 2 4" xfId="0"/>
    <cellStyle name="Normal 2 16 2 3 3" xfId="0"/>
    <cellStyle name="Normal 2 16 2 3 3 2" xfId="0"/>
    <cellStyle name="Normal 2 16 2 3 4" xfId="0"/>
    <cellStyle name="Normal 2 16 2 3 4 2" xfId="0"/>
    <cellStyle name="Normal 2 16 2 3 5" xfId="0"/>
    <cellStyle name="Normal 2 16 2 4" xfId="0"/>
    <cellStyle name="Normal 2 16 2 4 2" xfId="0"/>
    <cellStyle name="Normal 2 16 2 4 2 2" xfId="0"/>
    <cellStyle name="Normal 2 16 2 4 3" xfId="0"/>
    <cellStyle name="Normal 2 16 2 4 3 2" xfId="0"/>
    <cellStyle name="Normal 2 16 2 4 4" xfId="0"/>
    <cellStyle name="Normal 2 16 2 5" xfId="0"/>
    <cellStyle name="Normal 2 16 2 5 2" xfId="0"/>
    <cellStyle name="Normal 2 16 2 6" xfId="0"/>
    <cellStyle name="Normal 2 16 2 6 2" xfId="0"/>
    <cellStyle name="Normal 2 16 3" xfId="0"/>
    <cellStyle name="Normal 2 16 3 2" xfId="0"/>
    <cellStyle name="Normal 2 16 3 2 2" xfId="0"/>
    <cellStyle name="Normal 2 16 3 2 2 2" xfId="0"/>
    <cellStyle name="Normal 2 16 3 2 2 2 2" xfId="0"/>
    <cellStyle name="Normal 2 16 3 2 2 3" xfId="0"/>
    <cellStyle name="Normal 2 16 3 2 2 3 2" xfId="0"/>
    <cellStyle name="Normal 2 16 3 2 2 4" xfId="0"/>
    <cellStyle name="Normal 2 16 3 2 3" xfId="0"/>
    <cellStyle name="Normal 2 16 3 2 3 2" xfId="0"/>
    <cellStyle name="Normal 2 16 3 2 4" xfId="0"/>
    <cellStyle name="Normal 2 16 3 2 4 2" xfId="0"/>
    <cellStyle name="Normal 2 16 3 2 5" xfId="0"/>
    <cellStyle name="Normal 2 16 3 3" xfId="0"/>
    <cellStyle name="Normal 2 16 3 3 2" xfId="0"/>
    <cellStyle name="Normal 2 16 3 3 2 2" xfId="0"/>
    <cellStyle name="Normal 2 16 3 3 3" xfId="0"/>
    <cellStyle name="Normal 2 16 3 3 3 2" xfId="0"/>
    <cellStyle name="Normal 2 16 3 3 4" xfId="0"/>
    <cellStyle name="Normal 2 16 3 4" xfId="0"/>
    <cellStyle name="Normal 2 16 3 4 2" xfId="0"/>
    <cellStyle name="Normal 2 16 3 5" xfId="0"/>
    <cellStyle name="Normal 2 16 3 5 2" xfId="0"/>
    <cellStyle name="Normal 2 16 3 6" xfId="0"/>
    <cellStyle name="Normal 2 16 4" xfId="0"/>
    <cellStyle name="Normal 2 16 4 2" xfId="0"/>
    <cellStyle name="Normal 2 16 4 2 2" xfId="0"/>
    <cellStyle name="Normal 2 16 4 2 2 2" xfId="0"/>
    <cellStyle name="Normal 2 16 4 2 2 2 2" xfId="0"/>
    <cellStyle name="Normal 2 16 4 2 2 3" xfId="0"/>
    <cellStyle name="Normal 2 16 4 2 2 3 2" xfId="0"/>
    <cellStyle name="Normal 2 16 4 2 2 4" xfId="0"/>
    <cellStyle name="Normal 2 16 4 2 3" xfId="0"/>
    <cellStyle name="Normal 2 16 4 2 3 2" xfId="0"/>
    <cellStyle name="Normal 2 16 4 2 4" xfId="0"/>
    <cellStyle name="Normal 2 16 4 2 4 2" xfId="0"/>
    <cellStyle name="Normal 2 16 4 2 5" xfId="0"/>
    <cellStyle name="Normal 2 16 5" xfId="0"/>
    <cellStyle name="Normal 2 16 5 2" xfId="0"/>
    <cellStyle name="Normal 2 16 5 2 2" xfId="0"/>
    <cellStyle name="Normal 2 16 5 3" xfId="0"/>
    <cellStyle name="Normal 2 16 5 3 2" xfId="0"/>
    <cellStyle name="Normal 2 16 5 4" xfId="0"/>
    <cellStyle name="Normal 2 16 6" xfId="0"/>
    <cellStyle name="Normal 2 16 6 2" xfId="0"/>
    <cellStyle name="Normal 2 17" xfId="0"/>
    <cellStyle name="Normal 2 17 2" xfId="0"/>
    <cellStyle name="Normal 2 17 2 2" xfId="0"/>
    <cellStyle name="Normal 2 17 2 2 2" xfId="0"/>
    <cellStyle name="Normal 2 17 2 2 2 2" xfId="0"/>
    <cellStyle name="Normal 2 17 2 2 2 2 2" xfId="0"/>
    <cellStyle name="Normal 2 17 2 2 2 2 2 2" xfId="0"/>
    <cellStyle name="Normal 2 17 2 2 2 2 3" xfId="0"/>
    <cellStyle name="Normal 2 17 2 2 2 2 3 2" xfId="0"/>
    <cellStyle name="Normal 2 17 2 2 2 2 4" xfId="0"/>
    <cellStyle name="Normal 2 17 2 2 2 3" xfId="0"/>
    <cellStyle name="Normal 2 17 2 2 2 3 2" xfId="0"/>
    <cellStyle name="Normal 2 17 2 2 2 4" xfId="0"/>
    <cellStyle name="Normal 2 17 2 2 2 4 2" xfId="0"/>
    <cellStyle name="Normal 2 17 2 2 2 5" xfId="0"/>
    <cellStyle name="Normal 2 17 2 3" xfId="0"/>
    <cellStyle name="Normal 2 17 2 3 2" xfId="0"/>
    <cellStyle name="Normal 2 17 2 3 2 2" xfId="0"/>
    <cellStyle name="Normal 2 17 2 3 2 2 2" xfId="0"/>
    <cellStyle name="Normal 2 17 2 3 2 3" xfId="0"/>
    <cellStyle name="Normal 2 17 2 3 2 3 2" xfId="0"/>
    <cellStyle name="Normal 2 17 2 3 2 4" xfId="0"/>
    <cellStyle name="Normal 2 17 2 3 3" xfId="0"/>
    <cellStyle name="Normal 2 17 2 3 3 2" xfId="0"/>
    <cellStyle name="Normal 2 17 2 3 4" xfId="0"/>
    <cellStyle name="Normal 2 17 2 3 4 2" xfId="0"/>
    <cellStyle name="Normal 2 17 2 3 5" xfId="0"/>
    <cellStyle name="Normal 2 17 2 4" xfId="0"/>
    <cellStyle name="Normal 2 17 2 4 2" xfId="0"/>
    <cellStyle name="Normal 2 17 2 4 2 2" xfId="0"/>
    <cellStyle name="Normal 2 17 2 4 3" xfId="0"/>
    <cellStyle name="Normal 2 17 2 4 3 2" xfId="0"/>
    <cellStyle name="Normal 2 17 2 4 4" xfId="0"/>
    <cellStyle name="Normal 2 17 2 5" xfId="0"/>
    <cellStyle name="Normal 2 17 2 5 2" xfId="0"/>
    <cellStyle name="Normal 2 17 2 6" xfId="0"/>
    <cellStyle name="Normal 2 17 2 6 2" xfId="0"/>
    <cellStyle name="Normal 2 17 3" xfId="0"/>
    <cellStyle name="Normal 2 17 3 2" xfId="0"/>
    <cellStyle name="Normal 2 17 3 2 2" xfId="0"/>
    <cellStyle name="Normal 2 17 3 2 2 2" xfId="0"/>
    <cellStyle name="Normal 2 17 3 2 2 2 2" xfId="0"/>
    <cellStyle name="Normal 2 17 3 2 2 3" xfId="0"/>
    <cellStyle name="Normal 2 17 3 2 2 3 2" xfId="0"/>
    <cellStyle name="Normal 2 17 3 2 2 4" xfId="0"/>
    <cellStyle name="Normal 2 17 3 2 3" xfId="0"/>
    <cellStyle name="Normal 2 17 3 2 3 2" xfId="0"/>
    <cellStyle name="Normal 2 17 3 2 4" xfId="0"/>
    <cellStyle name="Normal 2 17 3 2 4 2" xfId="0"/>
    <cellStyle name="Normal 2 17 3 2 5" xfId="0"/>
    <cellStyle name="Normal 2 17 3 3" xfId="0"/>
    <cellStyle name="Normal 2 17 3 3 2" xfId="0"/>
    <cellStyle name="Normal 2 17 3 3 2 2" xfId="0"/>
    <cellStyle name="Normal 2 17 3 3 3" xfId="0"/>
    <cellStyle name="Normal 2 17 3 3 3 2" xfId="0"/>
    <cellStyle name="Normal 2 17 3 3 4" xfId="0"/>
    <cellStyle name="Normal 2 17 3 4" xfId="0"/>
    <cellStyle name="Normal 2 17 3 4 2" xfId="0"/>
    <cellStyle name="Normal 2 17 3 5" xfId="0"/>
    <cellStyle name="Normal 2 17 3 5 2" xfId="0"/>
    <cellStyle name="Normal 2 17 3 6" xfId="0"/>
    <cellStyle name="Normal 2 17 4" xfId="0"/>
    <cellStyle name="Normal 2 17 4 2" xfId="0"/>
    <cellStyle name="Normal 2 17 4 2 2" xfId="0"/>
    <cellStyle name="Normal 2 17 4 2 2 2" xfId="0"/>
    <cellStyle name="Normal 2 17 4 2 2 2 2" xfId="0"/>
    <cellStyle name="Normal 2 17 4 2 2 3" xfId="0"/>
    <cellStyle name="Normal 2 17 4 2 2 3 2" xfId="0"/>
    <cellStyle name="Normal 2 17 4 2 2 4" xfId="0"/>
    <cellStyle name="Normal 2 17 4 2 3" xfId="0"/>
    <cellStyle name="Normal 2 17 4 2 3 2" xfId="0"/>
    <cellStyle name="Normal 2 17 4 2 4" xfId="0"/>
    <cellStyle name="Normal 2 17 4 2 4 2" xfId="0"/>
    <cellStyle name="Normal 2 17 4 2 5" xfId="0"/>
    <cellStyle name="Normal 2 17 5" xfId="0"/>
    <cellStyle name="Normal 2 17 5 2" xfId="0"/>
    <cellStyle name="Normal 2 17 5 2 2" xfId="0"/>
    <cellStyle name="Normal 2 17 5 3" xfId="0"/>
    <cellStyle name="Normal 2 17 5 3 2" xfId="0"/>
    <cellStyle name="Normal 2 17 5 4" xfId="0"/>
    <cellStyle name="Normal 2 17 6" xfId="0"/>
    <cellStyle name="Normal 2 17 6 2" xfId="0"/>
    <cellStyle name="Normal 2 18" xfId="0"/>
    <cellStyle name="Normal 2 18 2" xfId="0"/>
    <cellStyle name="Normal 2 18 2 2" xfId="0"/>
    <cellStyle name="Normal 2 18 2 2 2" xfId="0"/>
    <cellStyle name="Normal 2 18 2 2 2 2" xfId="0"/>
    <cellStyle name="Normal 2 18 2 2 2 2 2" xfId="0"/>
    <cellStyle name="Normal 2 18 2 2 2 2 2 2" xfId="0"/>
    <cellStyle name="Normal 2 18 2 2 2 2 3" xfId="0"/>
    <cellStyle name="Normal 2 18 2 2 2 2 3 2" xfId="0"/>
    <cellStyle name="Normal 2 18 2 2 2 2 4" xfId="0"/>
    <cellStyle name="Normal 2 18 2 2 2 3" xfId="0"/>
    <cellStyle name="Normal 2 18 2 2 2 3 2" xfId="0"/>
    <cellStyle name="Normal 2 18 2 2 2 4" xfId="0"/>
    <cellStyle name="Normal 2 18 2 2 2 4 2" xfId="0"/>
    <cellStyle name="Normal 2 18 2 2 2 5" xfId="0"/>
    <cellStyle name="Normal 2 18 2 3" xfId="0"/>
    <cellStyle name="Normal 2 18 2 3 2" xfId="0"/>
    <cellStyle name="Normal 2 18 2 3 2 2" xfId="0"/>
    <cellStyle name="Normal 2 18 2 3 2 2 2" xfId="0"/>
    <cellStyle name="Normal 2 18 2 3 2 3" xfId="0"/>
    <cellStyle name="Normal 2 18 2 3 2 3 2" xfId="0"/>
    <cellStyle name="Normal 2 18 2 3 2 4" xfId="0"/>
    <cellStyle name="Normal 2 18 2 3 3" xfId="0"/>
    <cellStyle name="Normal 2 18 2 3 3 2" xfId="0"/>
    <cellStyle name="Normal 2 18 2 3 4" xfId="0"/>
    <cellStyle name="Normal 2 18 2 3 4 2" xfId="0"/>
    <cellStyle name="Normal 2 18 2 3 5" xfId="0"/>
    <cellStyle name="Normal 2 18 2 4" xfId="0"/>
    <cellStyle name="Normal 2 18 2 4 2" xfId="0"/>
    <cellStyle name="Normal 2 18 2 4 2 2" xfId="0"/>
    <cellStyle name="Normal 2 18 2 4 3" xfId="0"/>
    <cellStyle name="Normal 2 18 2 4 3 2" xfId="0"/>
    <cellStyle name="Normal 2 18 2 4 4" xfId="0"/>
    <cellStyle name="Normal 2 18 2 5" xfId="0"/>
    <cellStyle name="Normal 2 18 2 5 2" xfId="0"/>
    <cellStyle name="Normal 2 18 2 6" xfId="0"/>
    <cellStyle name="Normal 2 18 2 6 2" xfId="0"/>
    <cellStyle name="Normal 2 18 3" xfId="0"/>
    <cellStyle name="Normal 2 18 3 2" xfId="0"/>
    <cellStyle name="Normal 2 18 3 2 2" xfId="0"/>
    <cellStyle name="Normal 2 18 3 2 2 2" xfId="0"/>
    <cellStyle name="Normal 2 18 3 2 2 2 2" xfId="0"/>
    <cellStyle name="Normal 2 18 3 2 2 3" xfId="0"/>
    <cellStyle name="Normal 2 18 3 2 2 3 2" xfId="0"/>
    <cellStyle name="Normal 2 18 3 2 2 4" xfId="0"/>
    <cellStyle name="Normal 2 18 3 2 3" xfId="0"/>
    <cellStyle name="Normal 2 18 3 2 3 2" xfId="0"/>
    <cellStyle name="Normal 2 18 3 2 4" xfId="0"/>
    <cellStyle name="Normal 2 18 3 2 4 2" xfId="0"/>
    <cellStyle name="Normal 2 18 3 2 5" xfId="0"/>
    <cellStyle name="Normal 2 18 3 3" xfId="0"/>
    <cellStyle name="Normal 2 18 3 3 2" xfId="0"/>
    <cellStyle name="Normal 2 18 3 3 2 2" xfId="0"/>
    <cellStyle name="Normal 2 18 3 3 3" xfId="0"/>
    <cellStyle name="Normal 2 18 3 3 3 2" xfId="0"/>
    <cellStyle name="Normal 2 18 3 3 4" xfId="0"/>
    <cellStyle name="Normal 2 18 3 4" xfId="0"/>
    <cellStyle name="Normal 2 18 3 4 2" xfId="0"/>
    <cellStyle name="Normal 2 18 3 5" xfId="0"/>
    <cellStyle name="Normal 2 18 3 5 2" xfId="0"/>
    <cellStyle name="Normal 2 18 3 6" xfId="0"/>
    <cellStyle name="Normal 2 18 4" xfId="0"/>
    <cellStyle name="Normal 2 18 4 2" xfId="0"/>
    <cellStyle name="Normal 2 18 4 2 2" xfId="0"/>
    <cellStyle name="Normal 2 18 4 2 2 2" xfId="0"/>
    <cellStyle name="Normal 2 18 4 2 2 2 2" xfId="0"/>
    <cellStyle name="Normal 2 18 4 2 2 3" xfId="0"/>
    <cellStyle name="Normal 2 18 4 2 2 3 2" xfId="0"/>
    <cellStyle name="Normal 2 18 4 2 2 4" xfId="0"/>
    <cellStyle name="Normal 2 18 4 2 3" xfId="0"/>
    <cellStyle name="Normal 2 18 4 2 3 2" xfId="0"/>
    <cellStyle name="Normal 2 18 4 2 4" xfId="0"/>
    <cellStyle name="Normal 2 18 4 2 4 2" xfId="0"/>
    <cellStyle name="Normal 2 18 4 2 5" xfId="0"/>
    <cellStyle name="Normal 2 18 5" xfId="0"/>
    <cellStyle name="Normal 2 18 5 2" xfId="0"/>
    <cellStyle name="Normal 2 18 5 2 2" xfId="0"/>
    <cellStyle name="Normal 2 18 5 3" xfId="0"/>
    <cellStyle name="Normal 2 18 5 3 2" xfId="0"/>
    <cellStyle name="Normal 2 18 5 4" xfId="0"/>
    <cellStyle name="Normal 2 18 6" xfId="0"/>
    <cellStyle name="Normal 2 18 6 2" xfId="0"/>
    <cellStyle name="Normal 2 19" xfId="0"/>
    <cellStyle name="Normal 2 19 2" xfId="0"/>
    <cellStyle name="Normal 2 19 2 2" xfId="0"/>
    <cellStyle name="Normal 2 19 2 2 2" xfId="0"/>
    <cellStyle name="Normal 2 19 2 2 2 2" xfId="0"/>
    <cellStyle name="Normal 2 19 2 2 2 2 2" xfId="0"/>
    <cellStyle name="Normal 2 19 2 2 2 2 2 2" xfId="0"/>
    <cellStyle name="Normal 2 19 2 2 2 2 3" xfId="0"/>
    <cellStyle name="Normal 2 19 2 2 2 2 3 2" xfId="0"/>
    <cellStyle name="Normal 2 19 2 2 2 2 4" xfId="0"/>
    <cellStyle name="Normal 2 19 2 2 2 3" xfId="0"/>
    <cellStyle name="Normal 2 19 2 2 2 3 2" xfId="0"/>
    <cellStyle name="Normal 2 19 2 2 2 4" xfId="0"/>
    <cellStyle name="Normal 2 19 2 2 2 4 2" xfId="0"/>
    <cellStyle name="Normal 2 19 2 2 2 5" xfId="0"/>
    <cellStyle name="Normal 2 19 2 3" xfId="0"/>
    <cellStyle name="Normal 2 19 2 3 2" xfId="0"/>
    <cellStyle name="Normal 2 19 2 3 2 2" xfId="0"/>
    <cellStyle name="Normal 2 19 2 3 2 2 2" xfId="0"/>
    <cellStyle name="Normal 2 19 2 3 2 3" xfId="0"/>
    <cellStyle name="Normal 2 19 2 3 2 3 2" xfId="0"/>
    <cellStyle name="Normal 2 19 2 3 2 4" xfId="0"/>
    <cellStyle name="Normal 2 19 2 3 3" xfId="0"/>
    <cellStyle name="Normal 2 19 2 3 3 2" xfId="0"/>
    <cellStyle name="Normal 2 19 2 3 4" xfId="0"/>
    <cellStyle name="Normal 2 19 2 3 4 2" xfId="0"/>
    <cellStyle name="Normal 2 19 2 3 5" xfId="0"/>
    <cellStyle name="Normal 2 19 2 4" xfId="0"/>
    <cellStyle name="Normal 2 19 2 4 2" xfId="0"/>
    <cellStyle name="Normal 2 19 2 4 2 2" xfId="0"/>
    <cellStyle name="Normal 2 19 2 4 3" xfId="0"/>
    <cellStyle name="Normal 2 19 2 4 3 2" xfId="0"/>
    <cellStyle name="Normal 2 19 2 4 4" xfId="0"/>
    <cellStyle name="Normal 2 19 2 5" xfId="0"/>
    <cellStyle name="Normal 2 19 2 5 2" xfId="0"/>
    <cellStyle name="Normal 2 19 2 6" xfId="0"/>
    <cellStyle name="Normal 2 19 2 6 2" xfId="0"/>
    <cellStyle name="Normal 2 19 3" xfId="0"/>
    <cellStyle name="Normal 2 19 3 2" xfId="0"/>
    <cellStyle name="Normal 2 19 3 2 2" xfId="0"/>
    <cellStyle name="Normal 2 19 3 2 2 2" xfId="0"/>
    <cellStyle name="Normal 2 19 3 2 2 2 2" xfId="0"/>
    <cellStyle name="Normal 2 19 3 2 2 3" xfId="0"/>
    <cellStyle name="Normal 2 19 3 2 2 3 2" xfId="0"/>
    <cellStyle name="Normal 2 19 3 2 2 4" xfId="0"/>
    <cellStyle name="Normal 2 19 3 2 3" xfId="0"/>
    <cellStyle name="Normal 2 19 3 2 3 2" xfId="0"/>
    <cellStyle name="Normal 2 19 3 2 4" xfId="0"/>
    <cellStyle name="Normal 2 19 3 2 4 2" xfId="0"/>
    <cellStyle name="Normal 2 19 3 2 5" xfId="0"/>
    <cellStyle name="Normal 2 19 3 3" xfId="0"/>
    <cellStyle name="Normal 2 19 3 3 2" xfId="0"/>
    <cellStyle name="Normal 2 19 3 3 2 2" xfId="0"/>
    <cellStyle name="Normal 2 19 3 3 3" xfId="0"/>
    <cellStyle name="Normal 2 19 3 3 3 2" xfId="0"/>
    <cellStyle name="Normal 2 19 3 3 4" xfId="0"/>
    <cellStyle name="Normal 2 19 3 4" xfId="0"/>
    <cellStyle name="Normal 2 19 3 4 2" xfId="0"/>
    <cellStyle name="Normal 2 19 3 5" xfId="0"/>
    <cellStyle name="Normal 2 19 3 5 2" xfId="0"/>
    <cellStyle name="Normal 2 19 3 6" xfId="0"/>
    <cellStyle name="Normal 2 19 4" xfId="0"/>
    <cellStyle name="Normal 2 19 4 2" xfId="0"/>
    <cellStyle name="Normal 2 19 4 2 2" xfId="0"/>
    <cellStyle name="Normal 2 19 4 2 2 2" xfId="0"/>
    <cellStyle name="Normal 2 19 4 2 2 2 2" xfId="0"/>
    <cellStyle name="Normal 2 19 4 2 2 3" xfId="0"/>
    <cellStyle name="Normal 2 19 4 2 2 3 2" xfId="0"/>
    <cellStyle name="Normal 2 19 4 2 2 4" xfId="0"/>
    <cellStyle name="Normal 2 19 4 2 3" xfId="0"/>
    <cellStyle name="Normal 2 19 4 2 3 2" xfId="0"/>
    <cellStyle name="Normal 2 19 4 2 4" xfId="0"/>
    <cellStyle name="Normal 2 19 4 2 4 2" xfId="0"/>
    <cellStyle name="Normal 2 19 4 2 5" xfId="0"/>
    <cellStyle name="Normal 2 19 5" xfId="0"/>
    <cellStyle name="Normal 2 19 5 2" xfId="0"/>
    <cellStyle name="Normal 2 19 5 2 2" xfId="0"/>
    <cellStyle name="Normal 2 19 5 3" xfId="0"/>
    <cellStyle name="Normal 2 19 5 3 2" xfId="0"/>
    <cellStyle name="Normal 2 19 5 4" xfId="0"/>
    <cellStyle name="Normal 2 19 6" xfId="0"/>
    <cellStyle name="Normal 2 19 6 2" xfId="0"/>
    <cellStyle name="Normal 2 2" xfId="0"/>
    <cellStyle name="Normal 2 2 2" xfId="0"/>
    <cellStyle name="Normal 2 20" xfId="0"/>
    <cellStyle name="Normal 2 20 2" xfId="0"/>
    <cellStyle name="Normal 2 20 2 2" xfId="0"/>
    <cellStyle name="Normal 2 20 2 2 2" xfId="0"/>
    <cellStyle name="Normal 2 20 2 2 2 2" xfId="0"/>
    <cellStyle name="Normal 2 20 2 2 2 2 2" xfId="0"/>
    <cellStyle name="Normal 2 20 2 2 2 2 2 2" xfId="0"/>
    <cellStyle name="Normal 2 20 2 2 2 2 3" xfId="0"/>
    <cellStyle name="Normal 2 20 2 2 2 2 3 2" xfId="0"/>
    <cellStyle name="Normal 2 20 2 2 2 2 4" xfId="0"/>
    <cellStyle name="Normal 2 20 2 2 2 3" xfId="0"/>
    <cellStyle name="Normal 2 20 2 2 2 3 2" xfId="0"/>
    <cellStyle name="Normal 2 20 2 2 2 4" xfId="0"/>
    <cellStyle name="Normal 2 20 2 2 2 4 2" xfId="0"/>
    <cellStyle name="Normal 2 20 2 2 2 5" xfId="0"/>
    <cellStyle name="Normal 2 20 2 3" xfId="0"/>
    <cellStyle name="Normal 2 20 2 3 2" xfId="0"/>
    <cellStyle name="Normal 2 20 2 3 2 2" xfId="0"/>
    <cellStyle name="Normal 2 20 2 3 2 2 2" xfId="0"/>
    <cellStyle name="Normal 2 20 2 3 2 3" xfId="0"/>
    <cellStyle name="Normal 2 20 2 3 2 3 2" xfId="0"/>
    <cellStyle name="Normal 2 20 2 3 2 4" xfId="0"/>
    <cellStyle name="Normal 2 20 2 3 3" xfId="0"/>
    <cellStyle name="Normal 2 20 2 3 3 2" xfId="0"/>
    <cellStyle name="Normal 2 20 2 3 4" xfId="0"/>
    <cellStyle name="Normal 2 20 2 3 4 2" xfId="0"/>
    <cellStyle name="Normal 2 20 2 3 5" xfId="0"/>
    <cellStyle name="Normal 2 20 2 4" xfId="0"/>
    <cellStyle name="Normal 2 20 2 4 2" xfId="0"/>
    <cellStyle name="Normal 2 20 2 4 2 2" xfId="0"/>
    <cellStyle name="Normal 2 20 2 4 3" xfId="0"/>
    <cellStyle name="Normal 2 20 2 4 3 2" xfId="0"/>
    <cellStyle name="Normal 2 20 2 4 4" xfId="0"/>
    <cellStyle name="Normal 2 20 2 5" xfId="0"/>
    <cellStyle name="Normal 2 20 2 5 2" xfId="0"/>
    <cellStyle name="Normal 2 20 2 6" xfId="0"/>
    <cellStyle name="Normal 2 20 2 6 2" xfId="0"/>
    <cellStyle name="Normal 2 20 3" xfId="0"/>
    <cellStyle name="Normal 2 20 3 2" xfId="0"/>
    <cellStyle name="Normal 2 20 3 2 2" xfId="0"/>
    <cellStyle name="Normal 2 20 3 2 2 2" xfId="0"/>
    <cellStyle name="Normal 2 20 3 2 2 2 2" xfId="0"/>
    <cellStyle name="Normal 2 20 3 2 2 3" xfId="0"/>
    <cellStyle name="Normal 2 20 3 2 2 3 2" xfId="0"/>
    <cellStyle name="Normal 2 20 3 2 2 4" xfId="0"/>
    <cellStyle name="Normal 2 20 3 2 3" xfId="0"/>
    <cellStyle name="Normal 2 20 3 2 3 2" xfId="0"/>
    <cellStyle name="Normal 2 20 3 2 4" xfId="0"/>
    <cellStyle name="Normal 2 20 3 2 4 2" xfId="0"/>
    <cellStyle name="Normal 2 20 3 2 5" xfId="0"/>
    <cellStyle name="Normal 2 20 3 3" xfId="0"/>
    <cellStyle name="Normal 2 20 3 3 2" xfId="0"/>
    <cellStyle name="Normal 2 20 3 3 2 2" xfId="0"/>
    <cellStyle name="Normal 2 20 3 3 3" xfId="0"/>
    <cellStyle name="Normal 2 20 3 3 3 2" xfId="0"/>
    <cellStyle name="Normal 2 20 3 3 4" xfId="0"/>
    <cellStyle name="Normal 2 20 3 4" xfId="0"/>
    <cellStyle name="Normal 2 20 3 4 2" xfId="0"/>
    <cellStyle name="Normal 2 20 3 5" xfId="0"/>
    <cellStyle name="Normal 2 20 3 5 2" xfId="0"/>
    <cellStyle name="Normal 2 20 3 6" xfId="0"/>
    <cellStyle name="Normal 2 20 4" xfId="0"/>
    <cellStyle name="Normal 2 20 4 2" xfId="0"/>
    <cellStyle name="Normal 2 20 4 2 2" xfId="0"/>
    <cellStyle name="Normal 2 20 4 2 2 2" xfId="0"/>
    <cellStyle name="Normal 2 20 4 2 2 2 2" xfId="0"/>
    <cellStyle name="Normal 2 20 4 2 2 3" xfId="0"/>
    <cellStyle name="Normal 2 20 4 2 2 3 2" xfId="0"/>
    <cellStyle name="Normal 2 20 4 2 2 4" xfId="0"/>
    <cellStyle name="Normal 2 20 4 2 3" xfId="0"/>
    <cellStyle name="Normal 2 20 4 2 3 2" xfId="0"/>
    <cellStyle name="Normal 2 20 4 2 4" xfId="0"/>
    <cellStyle name="Normal 2 20 4 2 4 2" xfId="0"/>
    <cellStyle name="Normal 2 20 4 2 5" xfId="0"/>
    <cellStyle name="Normal 2 20 5" xfId="0"/>
    <cellStyle name="Normal 2 20 5 2" xfId="0"/>
    <cellStyle name="Normal 2 20 5 2 2" xfId="0"/>
    <cellStyle name="Normal 2 20 5 3" xfId="0"/>
    <cellStyle name="Normal 2 20 5 3 2" xfId="0"/>
    <cellStyle name="Normal 2 20 5 4" xfId="0"/>
    <cellStyle name="Normal 2 20 6" xfId="0"/>
    <cellStyle name="Normal 2 20 6 2" xfId="0"/>
    <cellStyle name="Normal 2 21" xfId="0"/>
    <cellStyle name="Normal 2 21 2" xfId="0"/>
    <cellStyle name="Normal 2 21 2 2" xfId="0"/>
    <cellStyle name="Normal 2 21 2 2 2" xfId="0"/>
    <cellStyle name="Normal 2 21 2 2 2 2" xfId="0"/>
    <cellStyle name="Normal 2 21 2 2 2 2 2" xfId="0"/>
    <cellStyle name="Normal 2 21 2 2 2 2 2 2" xfId="0"/>
    <cellStyle name="Normal 2 21 2 2 2 2 3" xfId="0"/>
    <cellStyle name="Normal 2 21 2 2 2 2 3 2" xfId="0"/>
    <cellStyle name="Normal 2 21 2 2 2 2 4" xfId="0"/>
    <cellStyle name="Normal 2 21 2 2 2 3" xfId="0"/>
    <cellStyle name="Normal 2 21 2 2 2 3 2" xfId="0"/>
    <cellStyle name="Normal 2 21 2 2 2 4" xfId="0"/>
    <cellStyle name="Normal 2 21 2 2 2 4 2" xfId="0"/>
    <cellStyle name="Normal 2 21 2 2 2 5" xfId="0"/>
    <cellStyle name="Normal 2 21 2 3" xfId="0"/>
    <cellStyle name="Normal 2 21 2 3 2" xfId="0"/>
    <cellStyle name="Normal 2 21 2 3 2 2" xfId="0"/>
    <cellStyle name="Normal 2 21 2 3 2 2 2" xfId="0"/>
    <cellStyle name="Normal 2 21 2 3 2 3" xfId="0"/>
    <cellStyle name="Normal 2 21 2 3 2 3 2" xfId="0"/>
    <cellStyle name="Normal 2 21 2 3 2 4" xfId="0"/>
    <cellStyle name="Normal 2 21 2 3 3" xfId="0"/>
    <cellStyle name="Normal 2 21 2 3 3 2" xfId="0"/>
    <cellStyle name="Normal 2 21 2 3 4" xfId="0"/>
    <cellStyle name="Normal 2 21 2 3 4 2" xfId="0"/>
    <cellStyle name="Normal 2 21 2 3 5" xfId="0"/>
    <cellStyle name="Normal 2 21 2 4" xfId="0"/>
    <cellStyle name="Normal 2 21 2 4 2" xfId="0"/>
    <cellStyle name="Normal 2 21 2 4 2 2" xfId="0"/>
    <cellStyle name="Normal 2 21 2 4 3" xfId="0"/>
    <cellStyle name="Normal 2 21 2 4 3 2" xfId="0"/>
    <cellStyle name="Normal 2 21 2 4 4" xfId="0"/>
    <cellStyle name="Normal 2 21 2 5" xfId="0"/>
    <cellStyle name="Normal 2 21 2 5 2" xfId="0"/>
    <cellStyle name="Normal 2 21 2 6" xfId="0"/>
    <cellStyle name="Normal 2 21 2 6 2" xfId="0"/>
    <cellStyle name="Normal 2 21 3" xfId="0"/>
    <cellStyle name="Normal 2 21 3 2" xfId="0"/>
    <cellStyle name="Normal 2 21 3 2 2" xfId="0"/>
    <cellStyle name="Normal 2 21 3 2 2 2" xfId="0"/>
    <cellStyle name="Normal 2 21 3 2 2 2 2" xfId="0"/>
    <cellStyle name="Normal 2 21 3 2 2 3" xfId="0"/>
    <cellStyle name="Normal 2 21 3 2 2 3 2" xfId="0"/>
    <cellStyle name="Normal 2 21 3 2 2 4" xfId="0"/>
    <cellStyle name="Normal 2 21 3 2 3" xfId="0"/>
    <cellStyle name="Normal 2 21 3 2 3 2" xfId="0"/>
    <cellStyle name="Normal 2 21 3 2 4" xfId="0"/>
    <cellStyle name="Normal 2 21 3 2 4 2" xfId="0"/>
    <cellStyle name="Normal 2 21 3 2 5" xfId="0"/>
    <cellStyle name="Normal 2 21 3 3" xfId="0"/>
    <cellStyle name="Normal 2 21 3 3 2" xfId="0"/>
    <cellStyle name="Normal 2 21 3 3 2 2" xfId="0"/>
    <cellStyle name="Normal 2 21 3 3 3" xfId="0"/>
    <cellStyle name="Normal 2 21 3 3 3 2" xfId="0"/>
    <cellStyle name="Normal 2 21 3 3 4" xfId="0"/>
    <cellStyle name="Normal 2 21 3 4" xfId="0"/>
    <cellStyle name="Normal 2 21 3 4 2" xfId="0"/>
    <cellStyle name="Normal 2 21 3 5" xfId="0"/>
    <cellStyle name="Normal 2 21 3 5 2" xfId="0"/>
    <cellStyle name="Normal 2 21 3 6" xfId="0"/>
    <cellStyle name="Normal 2 21 4" xfId="0"/>
    <cellStyle name="Normal 2 21 5" xfId="0"/>
    <cellStyle name="Normal 2 21 5 2" xfId="0"/>
    <cellStyle name="Normal 2 21 5 2 2" xfId="0"/>
    <cellStyle name="Normal 2 21 5 3" xfId="0"/>
    <cellStyle name="Normal 2 21 5 3 2" xfId="0"/>
    <cellStyle name="Normal 2 21 5 4" xfId="0"/>
    <cellStyle name="Normal 2 21 6" xfId="0"/>
    <cellStyle name="Normal 2 21 6 2" xfId="0"/>
    <cellStyle name="Normal 2 22" xfId="0"/>
    <cellStyle name="Normal 2 22 2" xfId="0"/>
    <cellStyle name="Normal 2 22 2 2" xfId="0"/>
    <cellStyle name="Normal 2 22 2 2 2" xfId="0"/>
    <cellStyle name="Normal 2 22 2 2 2 2" xfId="0"/>
    <cellStyle name="Normal 2 22 2 2 2 2 2" xfId="0"/>
    <cellStyle name="Normal 2 22 2 2 2 3" xfId="0"/>
    <cellStyle name="Normal 2 22 2 2 2 3 2" xfId="0"/>
    <cellStyle name="Normal 2 22 2 2 2 4" xfId="0"/>
    <cellStyle name="Normal 2 22 2 2 3" xfId="0"/>
    <cellStyle name="Normal 2 22 2 2 3 2" xfId="0"/>
    <cellStyle name="Normal 2 22 2 2 4" xfId="0"/>
    <cellStyle name="Normal 2 22 2 2 4 2" xfId="0"/>
    <cellStyle name="Normal 2 22 2 2 5" xfId="0"/>
    <cellStyle name="Normal 2 22 3" xfId="0"/>
    <cellStyle name="Normal 2 22 3 2" xfId="0"/>
    <cellStyle name="Normal 2 22 3 2 2" xfId="0"/>
    <cellStyle name="Normal 2 22 3 2 2 2" xfId="0"/>
    <cellStyle name="Normal 2 22 3 2 3" xfId="0"/>
    <cellStyle name="Normal 2 22 3 2 3 2" xfId="0"/>
    <cellStyle name="Normal 2 22 3 2 4" xfId="0"/>
    <cellStyle name="Normal 2 22 3 3" xfId="0"/>
    <cellStyle name="Normal 2 22 3 3 2" xfId="0"/>
    <cellStyle name="Normal 2 22 3 4" xfId="0"/>
    <cellStyle name="Normal 2 22 3 4 2" xfId="0"/>
    <cellStyle name="Normal 2 22 3 5" xfId="0"/>
    <cellStyle name="Normal 2 22 4" xfId="0"/>
    <cellStyle name="Normal 2 22 4 2" xfId="0"/>
    <cellStyle name="Normal 2 22 4 2 2" xfId="0"/>
    <cellStyle name="Normal 2 22 4 3" xfId="0"/>
    <cellStyle name="Normal 2 22 4 3 2" xfId="0"/>
    <cellStyle name="Normal 2 22 4 4" xfId="0"/>
    <cellStyle name="Normal 2 22 5" xfId="0"/>
    <cellStyle name="Normal 2 22 5 2" xfId="0"/>
    <cellStyle name="Normal 2 23" xfId="0"/>
    <cellStyle name="Normal 2 23 2" xfId="0"/>
    <cellStyle name="Normal 2 23 2 2" xfId="0"/>
    <cellStyle name="Normal 2 23 2 2 2" xfId="0"/>
    <cellStyle name="Normal 2 23 2 2 2 2" xfId="0"/>
    <cellStyle name="Normal 2 23 2 2 2 2 2" xfId="0"/>
    <cellStyle name="Normal 2 23 2 2 2 3" xfId="0"/>
    <cellStyle name="Normal 2 23 2 2 2 3 2" xfId="0"/>
    <cellStyle name="Normal 2 23 2 2 2 4" xfId="0"/>
    <cellStyle name="Normal 2 23 2 2 3" xfId="0"/>
    <cellStyle name="Normal 2 23 2 2 3 2" xfId="0"/>
    <cellStyle name="Normal 2 23 2 2 4" xfId="0"/>
    <cellStyle name="Normal 2 23 2 2 4 2" xfId="0"/>
    <cellStyle name="Normal 2 23 2 2 5" xfId="0"/>
    <cellStyle name="Normal 2 23 3" xfId="0"/>
    <cellStyle name="Normal 2 23 3 2" xfId="0"/>
    <cellStyle name="Normal 2 23 3 2 2" xfId="0"/>
    <cellStyle name="Normal 2 23 3 2 2 2" xfId="0"/>
    <cellStyle name="Normal 2 23 3 2 3" xfId="0"/>
    <cellStyle name="Normal 2 23 3 2 3 2" xfId="0"/>
    <cellStyle name="Normal 2 23 3 2 4" xfId="0"/>
    <cellStyle name="Normal 2 23 3 3" xfId="0"/>
    <cellStyle name="Normal 2 23 3 3 2" xfId="0"/>
    <cellStyle name="Normal 2 23 3 4" xfId="0"/>
    <cellStyle name="Normal 2 23 3 4 2" xfId="0"/>
    <cellStyle name="Normal 2 23 3 5" xfId="0"/>
    <cellStyle name="Normal 2 23 4" xfId="0"/>
    <cellStyle name="Normal 2 23 4 2" xfId="0"/>
    <cellStyle name="Normal 2 23 4 2 2" xfId="0"/>
    <cellStyle name="Normal 2 23 4 3" xfId="0"/>
    <cellStyle name="Normal 2 23 4 3 2" xfId="0"/>
    <cellStyle name="Normal 2 23 4 4" xfId="0"/>
    <cellStyle name="Normal 2 23 5" xfId="0"/>
    <cellStyle name="Normal 2 23 5 2" xfId="0"/>
    <cellStyle name="Normal 2 23 6" xfId="0"/>
    <cellStyle name="Normal 2 23 6 2" xfId="0"/>
    <cellStyle name="Normal 2 24" xfId="0"/>
    <cellStyle name="Normal 2 24 2" xfId="0"/>
    <cellStyle name="Normal 2 24 2 2" xfId="0"/>
    <cellStyle name="Normal 2 24 2 2 2" xfId="0"/>
    <cellStyle name="Normal 2 24 2 2 2 2" xfId="0"/>
    <cellStyle name="Normal 2 24 2 2 2 2 2" xfId="0"/>
    <cellStyle name="Normal 2 24 2 2 2 3" xfId="0"/>
    <cellStyle name="Normal 2 24 2 2 2 3 2" xfId="0"/>
    <cellStyle name="Normal 2 24 2 2 2 4" xfId="0"/>
    <cellStyle name="Normal 2 24 2 2 3" xfId="0"/>
    <cellStyle name="Normal 2 24 2 2 3 2" xfId="0"/>
    <cellStyle name="Normal 2 24 2 2 4" xfId="0"/>
    <cellStyle name="Normal 2 24 2 2 4 2" xfId="0"/>
    <cellStyle name="Normal 2 24 2 2 5" xfId="0"/>
    <cellStyle name="Normal 2 24 3" xfId="0"/>
    <cellStyle name="Normal 2 24 3 2" xfId="0"/>
    <cellStyle name="Normal 2 24 3 2 2" xfId="0"/>
    <cellStyle name="Normal 2 24 3 2 2 2" xfId="0"/>
    <cellStyle name="Normal 2 24 3 2 3" xfId="0"/>
    <cellStyle name="Normal 2 24 3 2 3 2" xfId="0"/>
    <cellStyle name="Normal 2 24 3 2 4" xfId="0"/>
    <cellStyle name="Normal 2 24 3 3" xfId="0"/>
    <cellStyle name="Normal 2 24 3 3 2" xfId="0"/>
    <cellStyle name="Normal 2 24 3 4" xfId="0"/>
    <cellStyle name="Normal 2 24 3 4 2" xfId="0"/>
    <cellStyle name="Normal 2 24 3 5" xfId="0"/>
    <cellStyle name="Normal 2 24 4" xfId="0"/>
    <cellStyle name="Normal 2 24 4 2" xfId="0"/>
    <cellStyle name="Normal 2 24 4 2 2" xfId="0"/>
    <cellStyle name="Normal 2 24 4 3" xfId="0"/>
    <cellStyle name="Normal 2 24 4 3 2" xfId="0"/>
    <cellStyle name="Normal 2 24 4 4" xfId="0"/>
    <cellStyle name="Normal 2 24 5" xfId="0"/>
    <cellStyle name="Normal 2 24 5 2" xfId="0"/>
    <cellStyle name="Normal 2 24 6" xfId="0"/>
    <cellStyle name="Normal 2 24 6 2" xfId="0"/>
    <cellStyle name="Normal 2 25" xfId="0"/>
    <cellStyle name="Normal 2 25 2" xfId="0"/>
    <cellStyle name="Normal 2 25 2 2" xfId="0"/>
    <cellStyle name="Normal 2 25 2 2 2" xfId="0"/>
    <cellStyle name="Normal 2 25 2 2 2 2" xfId="0"/>
    <cellStyle name="Normal 2 25 2 2 2 2 2" xfId="0"/>
    <cellStyle name="Normal 2 25 2 2 2 3" xfId="0"/>
    <cellStyle name="Normal 2 25 2 2 2 3 2" xfId="0"/>
    <cellStyle name="Normal 2 25 2 2 2 4" xfId="0"/>
    <cellStyle name="Normal 2 25 2 2 3" xfId="0"/>
    <cellStyle name="Normal 2 25 2 2 3 2" xfId="0"/>
    <cellStyle name="Normal 2 25 2 2 4" xfId="0"/>
    <cellStyle name="Normal 2 25 2 2 4 2" xfId="0"/>
    <cellStyle name="Normal 2 25 2 2 5" xfId="0"/>
    <cellStyle name="Normal 2 25 3" xfId="0"/>
    <cellStyle name="Normal 2 25 3 2" xfId="0"/>
    <cellStyle name="Normal 2 25 3 2 2" xfId="0"/>
    <cellStyle name="Normal 2 25 3 2 2 2" xfId="0"/>
    <cellStyle name="Normal 2 25 3 2 3" xfId="0"/>
    <cellStyle name="Normal 2 25 3 2 3 2" xfId="0"/>
    <cellStyle name="Normal 2 25 3 2 4" xfId="0"/>
    <cellStyle name="Normal 2 25 3 3" xfId="0"/>
    <cellStyle name="Normal 2 25 3 3 2" xfId="0"/>
    <cellStyle name="Normal 2 25 3 4" xfId="0"/>
    <cellStyle name="Normal 2 25 3 4 2" xfId="0"/>
    <cellStyle name="Normal 2 25 3 5" xfId="0"/>
    <cellStyle name="Normal 2 25 4" xfId="0"/>
    <cellStyle name="Normal 2 25 4 2" xfId="0"/>
    <cellStyle name="Normal 2 25 4 2 2" xfId="0"/>
    <cellStyle name="Normal 2 25 4 3" xfId="0"/>
    <cellStyle name="Normal 2 25 4 3 2" xfId="0"/>
    <cellStyle name="Normal 2 25 4 4" xfId="0"/>
    <cellStyle name="Normal 2 25 5" xfId="0"/>
    <cellStyle name="Normal 2 25 5 2" xfId="0"/>
    <cellStyle name="Normal 2 25 6" xfId="0"/>
    <cellStyle name="Normal 2 25 6 2" xfId="0"/>
    <cellStyle name="Normal 2 26" xfId="0"/>
    <cellStyle name="Normal 2 26 2" xfId="0"/>
    <cellStyle name="Normal 2 26 2 2" xfId="0"/>
    <cellStyle name="Normal 2 26 3" xfId="0"/>
    <cellStyle name="Normal 2 26 3 2" xfId="0"/>
    <cellStyle name="Normal 2 26 4" xfId="0"/>
    <cellStyle name="Normal 2 27" xfId="0"/>
    <cellStyle name="Normal 2 27 2" xfId="0"/>
    <cellStyle name="Normal 2 27 2 2" xfId="0"/>
    <cellStyle name="Normal 2 27 3" xfId="0"/>
    <cellStyle name="Normal 2 27 3 2" xfId="0"/>
    <cellStyle name="Normal 2 27 4" xfId="0"/>
    <cellStyle name="Normal 2 28" xfId="0"/>
    <cellStyle name="Normal 2 28 2" xfId="0"/>
    <cellStyle name="Normal 2 28 2 2" xfId="0"/>
    <cellStyle name="Normal 2 28 3" xfId="0"/>
    <cellStyle name="Normal 2 28 3 2" xfId="0"/>
    <cellStyle name="Normal 2 28 4" xfId="0"/>
    <cellStyle name="Normal 2 29" xfId="0"/>
    <cellStyle name="Normal 2 3" xfId="0"/>
    <cellStyle name="Normal 2 3 2" xfId="0"/>
    <cellStyle name="Normal 2 4" xfId="0"/>
    <cellStyle name="Normal 2 4 2" xfId="0"/>
    <cellStyle name="Normal 2 4 2 2" xfId="0"/>
    <cellStyle name="Normal 2 4 2 2 2" xfId="0"/>
    <cellStyle name="Normal 2 4 2 2 3" xfId="0"/>
    <cellStyle name="Normal 2 4 2 2 3 2" xfId="0"/>
    <cellStyle name="Normal 2 4 2 2 3 2 2" xfId="0"/>
    <cellStyle name="Normal 2 4 2 2 3 2 2 2" xfId="0"/>
    <cellStyle name="Normal 2 4 2 2 3 2 3" xfId="0"/>
    <cellStyle name="Normal 2 4 2 2 3 2 3 2" xfId="0"/>
    <cellStyle name="Normal 2 4 2 2 3 2 4" xfId="0"/>
    <cellStyle name="Normal 2 4 2 2 3 3" xfId="0"/>
    <cellStyle name="Normal 2 4 2 2 3 3 2" xfId="0"/>
    <cellStyle name="Normal 2 4 2 2 3 4" xfId="0"/>
    <cellStyle name="Normal 2 4 2 2 3 4 2" xfId="0"/>
    <cellStyle name="Normal 2 4 2 2 3 5" xfId="0"/>
    <cellStyle name="Normal 2 4 2 2 4" xfId="0"/>
    <cellStyle name="Normal 2 4 2 2 4 2" xfId="0"/>
    <cellStyle name="Normal 2 4 2 2 4 2 2" xfId="0"/>
    <cellStyle name="Normal 2 4 2 2 4 3" xfId="0"/>
    <cellStyle name="Normal 2 4 2 2 4 3 2" xfId="0"/>
    <cellStyle name="Normal 2 4 2 2 4 4" xfId="0"/>
    <cellStyle name="Normal 2 4 2 2 5" xfId="0"/>
    <cellStyle name="Normal 2 4 2 2 5 2" xfId="0"/>
    <cellStyle name="Normal 2 4 2 2 6" xfId="0"/>
    <cellStyle name="Normal 2 4 2 2 6 2" xfId="0"/>
    <cellStyle name="Normal 2 4 2 3" xfId="0"/>
    <cellStyle name="Normal 2 4 2 4" xfId="0"/>
    <cellStyle name="Normal 2 4 2 4 2" xfId="0"/>
    <cellStyle name="Normal 2 4 2 4 2 2" xfId="0"/>
    <cellStyle name="Normal 2 4 2 4 2 2 2" xfId="0"/>
    <cellStyle name="Normal 2 4 2 4 2 3" xfId="0"/>
    <cellStyle name="Normal 2 4 2 4 2 3 2" xfId="0"/>
    <cellStyle name="Normal 2 4 2 4 2 4" xfId="0"/>
    <cellStyle name="Normal 2 4 2 4 3" xfId="0"/>
    <cellStyle name="Normal 2 4 2 4 3 2" xfId="0"/>
    <cellStyle name="Normal 2 4 2 4 4" xfId="0"/>
    <cellStyle name="Normal 2 4 2 4 4 2" xfId="0"/>
    <cellStyle name="Normal 2 4 2 4 5" xfId="0"/>
    <cellStyle name="Normal 2 4 2 5" xfId="0"/>
    <cellStyle name="Normal 2 4 2 5 2" xfId="0"/>
    <cellStyle name="Normal 2 4 2 5 2 2" xfId="0"/>
    <cellStyle name="Normal 2 4 2 5 3" xfId="0"/>
    <cellStyle name="Normal 2 4 2 5 3 2" xfId="0"/>
    <cellStyle name="Normal 2 4 2 5 4" xfId="0"/>
    <cellStyle name="Normal 2 4 2 6" xfId="0"/>
    <cellStyle name="Normal 2 4 2 6 2" xfId="0"/>
    <cellStyle name="Normal 2 4 2 7" xfId="0"/>
    <cellStyle name="Normal 2 4 2 7 2" xfId="0"/>
    <cellStyle name="Normal 2 4 3" xfId="0"/>
    <cellStyle name="Normal 2 4 3 2" xfId="0"/>
    <cellStyle name="Normal 2 4 3 2 2" xfId="0"/>
    <cellStyle name="Normal 2 4 3 2 3" xfId="0"/>
    <cellStyle name="Normal 2 4 3 2 3 2" xfId="0"/>
    <cellStyle name="Normal 2 4 3 2 3 2 2" xfId="0"/>
    <cellStyle name="Normal 2 4 3 2 3 2 2 2" xfId="0"/>
    <cellStyle name="Normal 2 4 3 2 3 2 3" xfId="0"/>
    <cellStyle name="Normal 2 4 3 2 3 2 3 2" xfId="0"/>
    <cellStyle name="Normal 2 4 3 2 3 2 4" xfId="0"/>
    <cellStyle name="Normal 2 4 3 2 3 3" xfId="0"/>
    <cellStyle name="Normal 2 4 3 2 3 3 2" xfId="0"/>
    <cellStyle name="Normal 2 4 3 2 3 4" xfId="0"/>
    <cellStyle name="Normal 2 4 3 2 3 4 2" xfId="0"/>
    <cellStyle name="Normal 2 4 3 2 3 5" xfId="0"/>
    <cellStyle name="Normal 2 4 3 2 4" xfId="0"/>
    <cellStyle name="Normal 2 4 3 2 4 2" xfId="0"/>
    <cellStyle name="Normal 2 4 3 2 4 2 2" xfId="0"/>
    <cellStyle name="Normal 2 4 3 2 4 3" xfId="0"/>
    <cellStyle name="Normal 2 4 3 2 4 3 2" xfId="0"/>
    <cellStyle name="Normal 2 4 3 2 4 4" xfId="0"/>
    <cellStyle name="Normal 2 4 3 2 5" xfId="0"/>
    <cellStyle name="Normal 2 4 3 2 5 2" xfId="0"/>
    <cellStyle name="Normal 2 4 3 2 6" xfId="0"/>
    <cellStyle name="Normal 2 4 3 2 6 2" xfId="0"/>
    <cellStyle name="Normal 2 4 3 3" xfId="0"/>
    <cellStyle name="Normal 2 4 3 3 2" xfId="0"/>
    <cellStyle name="Normal 2 4 3 3 2 2" xfId="0"/>
    <cellStyle name="Normal 2 4 3 3 2 2 2" xfId="0"/>
    <cellStyle name="Normal 2 4 3 3 2 3" xfId="0"/>
    <cellStyle name="Normal 2 4 3 3 2 3 2" xfId="0"/>
    <cellStyle name="Normal 2 4 3 3 2 4" xfId="0"/>
    <cellStyle name="Normal 2 4 3 3 3" xfId="0"/>
    <cellStyle name="Normal 2 4 3 3 3 2" xfId="0"/>
    <cellStyle name="Normal 2 4 3 3 4" xfId="0"/>
    <cellStyle name="Normal 2 4 3 3 4 2" xfId="0"/>
    <cellStyle name="Normal 2 4 3 3 5" xfId="0"/>
    <cellStyle name="Normal 2 4 3 4" xfId="0"/>
    <cellStyle name="Normal 2 4 3 4 2" xfId="0"/>
    <cellStyle name="Normal 2 4 3 4 2 2" xfId="0"/>
    <cellStyle name="Normal 2 4 3 4 3" xfId="0"/>
    <cellStyle name="Normal 2 4 3 4 3 2" xfId="0"/>
    <cellStyle name="Normal 2 4 3 4 4" xfId="0"/>
    <cellStyle name="Normal 2 4 3 5" xfId="0"/>
    <cellStyle name="Normal 2 4 3 5 2" xfId="0"/>
    <cellStyle name="Normal 2 4 3 6" xfId="0"/>
    <cellStyle name="Normal 2 4 3 6 2" xfId="0"/>
    <cellStyle name="Normal 2 4 4" xfId="0"/>
    <cellStyle name="Normal 2 4 4 2" xfId="0"/>
    <cellStyle name="Normal 2 4 4 2 2" xfId="0"/>
    <cellStyle name="Normal 2 4 4 2 3" xfId="0"/>
    <cellStyle name="Normal 2 4 4 2 3 2" xfId="0"/>
    <cellStyle name="Normal 2 4 4 2 3 2 2" xfId="0"/>
    <cellStyle name="Normal 2 4 4 2 3 2 2 2" xfId="0"/>
    <cellStyle name="Normal 2 4 4 2 3 2 3" xfId="0"/>
    <cellStyle name="Normal 2 4 4 2 3 2 3 2" xfId="0"/>
    <cellStyle name="Normal 2 4 4 2 3 2 4" xfId="0"/>
    <cellStyle name="Normal 2 4 4 2 3 3" xfId="0"/>
    <cellStyle name="Normal 2 4 4 2 3 3 2" xfId="0"/>
    <cellStyle name="Normal 2 4 4 2 3 4" xfId="0"/>
    <cellStyle name="Normal 2 4 4 2 3 4 2" xfId="0"/>
    <cellStyle name="Normal 2 4 4 2 3 5" xfId="0"/>
    <cellStyle name="Normal 2 4 4 2 4" xfId="0"/>
    <cellStyle name="Normal 2 4 4 2 4 2" xfId="0"/>
    <cellStyle name="Normal 2 4 4 2 4 2 2" xfId="0"/>
    <cellStyle name="Normal 2 4 4 2 4 3" xfId="0"/>
    <cellStyle name="Normal 2 4 4 2 4 3 2" xfId="0"/>
    <cellStyle name="Normal 2 4 4 2 4 4" xfId="0"/>
    <cellStyle name="Normal 2 4 4 2 5" xfId="0"/>
    <cellStyle name="Normal 2 4 4 2 5 2" xfId="0"/>
    <cellStyle name="Normal 2 4 4 2 6" xfId="0"/>
    <cellStyle name="Normal 2 4 4 2 6 2" xfId="0"/>
    <cellStyle name="Normal 2 4 4 3" xfId="0"/>
    <cellStyle name="Normal 2 4 4 3 2" xfId="0"/>
    <cellStyle name="Normal 2 4 4 3 2 2" xfId="0"/>
    <cellStyle name="Normal 2 4 4 3 2 2 2" xfId="0"/>
    <cellStyle name="Normal 2 4 4 3 2 3" xfId="0"/>
    <cellStyle name="Normal 2 4 4 3 2 3 2" xfId="0"/>
    <cellStyle name="Normal 2 4 4 3 2 4" xfId="0"/>
    <cellStyle name="Normal 2 4 4 3 3" xfId="0"/>
    <cellStyle name="Normal 2 4 4 3 3 2" xfId="0"/>
    <cellStyle name="Normal 2 4 4 3 4" xfId="0"/>
    <cellStyle name="Normal 2 4 4 3 4 2" xfId="0"/>
    <cellStyle name="Normal 2 4 4 3 5" xfId="0"/>
    <cellStyle name="Normal 2 4 4 4" xfId="0"/>
    <cellStyle name="Normal 2 4 4 4 2" xfId="0"/>
    <cellStyle name="Normal 2 4 4 4 2 2" xfId="0"/>
    <cellStyle name="Normal 2 4 4 4 3" xfId="0"/>
    <cellStyle name="Normal 2 4 4 4 3 2" xfId="0"/>
    <cellStyle name="Normal 2 4 4 4 4" xfId="0"/>
    <cellStyle name="Normal 2 4 4 5" xfId="0"/>
    <cellStyle name="Normal 2 4 4 5 2" xfId="0"/>
    <cellStyle name="Normal 2 4 4 6" xfId="0"/>
    <cellStyle name="Normal 2 4 4 6 2" xfId="0"/>
    <cellStyle name="Normal 2 4 5" xfId="0"/>
    <cellStyle name="Normal 2 4 5 2" xfId="0"/>
    <cellStyle name="Normal 2 4 5 2 2" xfId="0"/>
    <cellStyle name="Normal 2 4 5 2 2 2" xfId="0"/>
    <cellStyle name="Normal 2 4 5 2 2 2 2" xfId="0"/>
    <cellStyle name="Normal 2 4 5 2 2 2 2 2" xfId="0"/>
    <cellStyle name="Normal 2 4 5 2 2 2 3" xfId="0"/>
    <cellStyle name="Normal 2 4 5 2 2 2 3 2" xfId="0"/>
    <cellStyle name="Normal 2 4 5 2 2 2 4" xfId="0"/>
    <cellStyle name="Normal 2 4 5 2 2 3" xfId="0"/>
    <cellStyle name="Normal 2 4 5 2 2 3 2" xfId="0"/>
    <cellStyle name="Normal 2 4 5 2 2 4" xfId="0"/>
    <cellStyle name="Normal 2 4 5 2 2 4 2" xfId="0"/>
    <cellStyle name="Normal 2 4 5 2 2 5" xfId="0"/>
    <cellStyle name="Normal 2 4 5 3" xfId="0"/>
    <cellStyle name="Normal 2 4 5 3 2" xfId="0"/>
    <cellStyle name="Normal 2 4 5 3 2 2" xfId="0"/>
    <cellStyle name="Normal 2 4 5 3 2 2 2" xfId="0"/>
    <cellStyle name="Normal 2 4 5 3 2 3" xfId="0"/>
    <cellStyle name="Normal 2 4 5 3 2 3 2" xfId="0"/>
    <cellStyle name="Normal 2 4 5 3 2 4" xfId="0"/>
    <cellStyle name="Normal 2 4 5 3 3" xfId="0"/>
    <cellStyle name="Normal 2 4 5 3 3 2" xfId="0"/>
    <cellStyle name="Normal 2 4 5 3 4" xfId="0"/>
    <cellStyle name="Normal 2 4 5 3 4 2" xfId="0"/>
    <cellStyle name="Normal 2 4 5 3 5" xfId="0"/>
    <cellStyle name="Normal 2 4 5 4" xfId="0"/>
    <cellStyle name="Normal 2 4 5 4 2" xfId="0"/>
    <cellStyle name="Normal 2 4 5 4 2 2" xfId="0"/>
    <cellStyle name="Normal 2 4 5 4 3" xfId="0"/>
    <cellStyle name="Normal 2 4 5 4 3 2" xfId="0"/>
    <cellStyle name="Normal 2 4 5 4 4" xfId="0"/>
    <cellStyle name="Normal 2 4 5 5" xfId="0"/>
    <cellStyle name="Normal 2 4 5 5 2" xfId="0"/>
    <cellStyle name="Normal 2 4 5 6" xfId="0"/>
    <cellStyle name="Normal 2 4 5 6 2" xfId="0"/>
    <cellStyle name="Normal 2 4 6" xfId="0"/>
    <cellStyle name="Normal 2 4 6 2" xfId="0"/>
    <cellStyle name="Normal 2 4 6 2 2" xfId="0"/>
    <cellStyle name="Normal 2 4 6 2 2 2" xfId="0"/>
    <cellStyle name="Normal 2 4 6 2 2 2 2" xfId="0"/>
    <cellStyle name="Normal 2 4 6 2 2 3" xfId="0"/>
    <cellStyle name="Normal 2 4 6 2 2 3 2" xfId="0"/>
    <cellStyle name="Normal 2 4 6 2 2 4" xfId="0"/>
    <cellStyle name="Normal 2 4 6 2 3" xfId="0"/>
    <cellStyle name="Normal 2 4 6 2 3 2" xfId="0"/>
    <cellStyle name="Normal 2 4 6 2 4" xfId="0"/>
    <cellStyle name="Normal 2 4 6 2 4 2" xfId="0"/>
    <cellStyle name="Normal 2 4 6 2 5" xfId="0"/>
    <cellStyle name="Normal 2 4 6 3" xfId="0"/>
    <cellStyle name="Normal 2 4 6 3 2" xfId="0"/>
    <cellStyle name="Normal 2 4 6 3 2 2" xfId="0"/>
    <cellStyle name="Normal 2 4 6 3 3" xfId="0"/>
    <cellStyle name="Normal 2 4 6 3 3 2" xfId="0"/>
    <cellStyle name="Normal 2 4 6 3 4" xfId="0"/>
    <cellStyle name="Normal 2 4 6 4" xfId="0"/>
    <cellStyle name="Normal 2 4 6 4 2" xfId="0"/>
    <cellStyle name="Normal 2 4 6 5" xfId="0"/>
    <cellStyle name="Normal 2 4 6 5 2" xfId="0"/>
    <cellStyle name="Normal 2 4 6 6" xfId="0"/>
    <cellStyle name="Normal 2 4 7" xfId="0"/>
    <cellStyle name="Normal 2 4 7 2" xfId="0"/>
    <cellStyle name="Normal 2 4 7 2 2" xfId="0"/>
    <cellStyle name="Normal 2 4 7 2 2 2" xfId="0"/>
    <cellStyle name="Normal 2 4 7 2 2 2 2" xfId="0"/>
    <cellStyle name="Normal 2 4 7 2 2 3" xfId="0"/>
    <cellStyle name="Normal 2 4 7 2 2 3 2" xfId="0"/>
    <cellStyle name="Normal 2 4 7 2 2 4" xfId="0"/>
    <cellStyle name="Normal 2 4 7 2 3" xfId="0"/>
    <cellStyle name="Normal 2 4 7 2 3 2" xfId="0"/>
    <cellStyle name="Normal 2 4 7 2 4" xfId="0"/>
    <cellStyle name="Normal 2 4 7 2 4 2" xfId="0"/>
    <cellStyle name="Normal 2 4 7 2 5" xfId="0"/>
    <cellStyle name="Normal 2 4 8" xfId="0"/>
    <cellStyle name="Normal 2 4 8 2" xfId="0"/>
    <cellStyle name="Normal 2 4 8 2 2" xfId="0"/>
    <cellStyle name="Normal 2 4 8 3" xfId="0"/>
    <cellStyle name="Normal 2 4 8 3 2" xfId="0"/>
    <cellStyle name="Normal 2 4 8 4" xfId="0"/>
    <cellStyle name="Normal 2 4 9" xfId="0"/>
    <cellStyle name="Normal 2 4 9 2" xfId="0"/>
    <cellStyle name="Normal 2 5" xfId="0"/>
    <cellStyle name="Normal 2 5 2" xfId="0"/>
    <cellStyle name="Normal 2 5 2 2" xfId="0"/>
    <cellStyle name="Normal 2 5 2 2 2" xfId="0"/>
    <cellStyle name="Normal 2 5 2 2 2 2" xfId="0"/>
    <cellStyle name="Normal 2 5 2 2 2 2 2" xfId="0"/>
    <cellStyle name="Normal 2 5 2 2 2 2 2 2" xfId="0"/>
    <cellStyle name="Normal 2 5 2 2 2 2 3" xfId="0"/>
    <cellStyle name="Normal 2 5 2 2 2 2 3 2" xfId="0"/>
    <cellStyle name="Normal 2 5 2 2 2 2 4" xfId="0"/>
    <cellStyle name="Normal 2 5 2 2 2 3" xfId="0"/>
    <cellStyle name="Normal 2 5 2 2 2 3 2" xfId="0"/>
    <cellStyle name="Normal 2 5 2 2 2 4" xfId="0"/>
    <cellStyle name="Normal 2 5 2 2 2 4 2" xfId="0"/>
    <cellStyle name="Normal 2 5 2 2 2 5" xfId="0"/>
    <cellStyle name="Normal 2 5 2 3" xfId="0"/>
    <cellStyle name="Normal 2 5 2 3 2" xfId="0"/>
    <cellStyle name="Normal 2 5 2 3 2 2" xfId="0"/>
    <cellStyle name="Normal 2 5 2 3 2 2 2" xfId="0"/>
    <cellStyle name="Normal 2 5 2 3 2 3" xfId="0"/>
    <cellStyle name="Normal 2 5 2 3 2 3 2" xfId="0"/>
    <cellStyle name="Normal 2 5 2 3 2 4" xfId="0"/>
    <cellStyle name="Normal 2 5 2 3 3" xfId="0"/>
    <cellStyle name="Normal 2 5 2 3 3 2" xfId="0"/>
    <cellStyle name="Normal 2 5 2 3 4" xfId="0"/>
    <cellStyle name="Normal 2 5 2 3 4 2" xfId="0"/>
    <cellStyle name="Normal 2 5 2 3 5" xfId="0"/>
    <cellStyle name="Normal 2 5 2 4" xfId="0"/>
    <cellStyle name="Normal 2 5 2 4 2" xfId="0"/>
    <cellStyle name="Normal 2 5 2 4 2 2" xfId="0"/>
    <cellStyle name="Normal 2 5 2 4 3" xfId="0"/>
    <cellStyle name="Normal 2 5 2 4 3 2" xfId="0"/>
    <cellStyle name="Normal 2 5 2 4 4" xfId="0"/>
    <cellStyle name="Normal 2 5 2 5" xfId="0"/>
    <cellStyle name="Normal 2 5 2 5 2" xfId="0"/>
    <cellStyle name="Normal 2 5 2 6" xfId="0"/>
    <cellStyle name="Normal 2 5 2 6 2" xfId="0"/>
    <cellStyle name="Normal 2 5 3" xfId="0"/>
    <cellStyle name="Normal 2 5 3 2" xfId="0"/>
    <cellStyle name="Normal 2 5 3 2 2" xfId="0"/>
    <cellStyle name="Normal 2 5 3 2 2 2" xfId="0"/>
    <cellStyle name="Normal 2 5 3 2 2 2 2" xfId="0"/>
    <cellStyle name="Normal 2 5 3 2 2 2 2 2" xfId="0"/>
    <cellStyle name="Normal 2 5 3 2 2 2 3" xfId="0"/>
    <cellStyle name="Normal 2 5 3 2 2 2 3 2" xfId="0"/>
    <cellStyle name="Normal 2 5 3 2 2 2 4" xfId="0"/>
    <cellStyle name="Normal 2 5 3 2 2 3" xfId="0"/>
    <cellStyle name="Normal 2 5 3 2 2 3 2" xfId="0"/>
    <cellStyle name="Normal 2 5 3 2 2 4" xfId="0"/>
    <cellStyle name="Normal 2 5 3 2 2 4 2" xfId="0"/>
    <cellStyle name="Normal 2 5 3 2 2 5" xfId="0"/>
    <cellStyle name="Normal 2 5 3 3" xfId="0"/>
    <cellStyle name="Normal 2 5 3 3 2" xfId="0"/>
    <cellStyle name="Normal 2 5 3 3 2 2" xfId="0"/>
    <cellStyle name="Normal 2 5 3 3 2 2 2" xfId="0"/>
    <cellStyle name="Normal 2 5 3 3 2 3" xfId="0"/>
    <cellStyle name="Normal 2 5 3 3 2 3 2" xfId="0"/>
    <cellStyle name="Normal 2 5 3 3 2 4" xfId="0"/>
    <cellStyle name="Normal 2 5 3 3 3" xfId="0"/>
    <cellStyle name="Normal 2 5 3 3 3 2" xfId="0"/>
    <cellStyle name="Normal 2 5 3 3 4" xfId="0"/>
    <cellStyle name="Normal 2 5 3 3 4 2" xfId="0"/>
    <cellStyle name="Normal 2 5 3 3 5" xfId="0"/>
    <cellStyle name="Normal 2 5 3 4" xfId="0"/>
    <cellStyle name="Normal 2 5 3 4 2" xfId="0"/>
    <cellStyle name="Normal 2 5 3 4 2 2" xfId="0"/>
    <cellStyle name="Normal 2 5 3 4 3" xfId="0"/>
    <cellStyle name="Normal 2 5 3 4 3 2" xfId="0"/>
    <cellStyle name="Normal 2 5 3 4 4" xfId="0"/>
    <cellStyle name="Normal 2 5 3 5" xfId="0"/>
    <cellStyle name="Normal 2 5 3 5 2" xfId="0"/>
    <cellStyle name="Normal 2 5 3 6" xfId="0"/>
    <cellStyle name="Normal 2 5 3 6 2" xfId="0"/>
    <cellStyle name="Normal 2 5 4" xfId="0"/>
    <cellStyle name="Normal 2 5 4 2" xfId="0"/>
    <cellStyle name="Normal 2 5 4 2 2" xfId="0"/>
    <cellStyle name="Normal 2 5 4 2 2 2" xfId="0"/>
    <cellStyle name="Normal 2 5 4 2 2 2 2" xfId="0"/>
    <cellStyle name="Normal 2 5 4 2 2 2 2 2" xfId="0"/>
    <cellStyle name="Normal 2 5 4 2 2 2 3" xfId="0"/>
    <cellStyle name="Normal 2 5 4 2 2 2 3 2" xfId="0"/>
    <cellStyle name="Normal 2 5 4 2 2 2 4" xfId="0"/>
    <cellStyle name="Normal 2 5 4 2 2 3" xfId="0"/>
    <cellStyle name="Normal 2 5 4 2 2 3 2" xfId="0"/>
    <cellStyle name="Normal 2 5 4 2 2 4" xfId="0"/>
    <cellStyle name="Normal 2 5 4 2 2 4 2" xfId="0"/>
    <cellStyle name="Normal 2 5 4 2 2 5" xfId="0"/>
    <cellStyle name="Normal 2 5 4 3" xfId="0"/>
    <cellStyle name="Normal 2 5 4 3 2" xfId="0"/>
    <cellStyle name="Normal 2 5 4 3 2 2" xfId="0"/>
    <cellStyle name="Normal 2 5 4 3 2 2 2" xfId="0"/>
    <cellStyle name="Normal 2 5 4 3 2 3" xfId="0"/>
    <cellStyle name="Normal 2 5 4 3 2 3 2" xfId="0"/>
    <cellStyle name="Normal 2 5 4 3 2 4" xfId="0"/>
    <cellStyle name="Normal 2 5 4 3 3" xfId="0"/>
    <cellStyle name="Normal 2 5 4 3 3 2" xfId="0"/>
    <cellStyle name="Normal 2 5 4 3 4" xfId="0"/>
    <cellStyle name="Normal 2 5 4 3 4 2" xfId="0"/>
    <cellStyle name="Normal 2 5 4 3 5" xfId="0"/>
    <cellStyle name="Normal 2 5 4 4" xfId="0"/>
    <cellStyle name="Normal 2 5 4 4 2" xfId="0"/>
    <cellStyle name="Normal 2 5 4 4 2 2" xfId="0"/>
    <cellStyle name="Normal 2 5 4 4 3" xfId="0"/>
    <cellStyle name="Normal 2 5 4 4 3 2" xfId="0"/>
    <cellStyle name="Normal 2 5 4 4 4" xfId="0"/>
    <cellStyle name="Normal 2 5 4 5" xfId="0"/>
    <cellStyle name="Normal 2 5 4 5 2" xfId="0"/>
    <cellStyle name="Normal 2 5 4 6" xfId="0"/>
    <cellStyle name="Normal 2 5 4 6 2" xfId="0"/>
    <cellStyle name="Normal 2 5 5" xfId="0"/>
    <cellStyle name="Normal 2 5 5 2" xfId="0"/>
    <cellStyle name="Normal 2 5 5 2 2" xfId="0"/>
    <cellStyle name="Normal 2 5 5 2 2 2" xfId="0"/>
    <cellStyle name="Normal 2 5 5 2 2 2 2" xfId="0"/>
    <cellStyle name="Normal 2 5 5 2 2 2 2 2" xfId="0"/>
    <cellStyle name="Normal 2 5 5 2 2 2 3" xfId="0"/>
    <cellStyle name="Normal 2 5 5 2 2 2 3 2" xfId="0"/>
    <cellStyle name="Normal 2 5 5 2 2 2 4" xfId="0"/>
    <cellStyle name="Normal 2 5 5 2 2 3" xfId="0"/>
    <cellStyle name="Normal 2 5 5 2 2 3 2" xfId="0"/>
    <cellStyle name="Normal 2 5 5 2 2 4" xfId="0"/>
    <cellStyle name="Normal 2 5 5 2 2 4 2" xfId="0"/>
    <cellStyle name="Normal 2 5 5 2 2 5" xfId="0"/>
    <cellStyle name="Normal 2 5 5 3" xfId="0"/>
    <cellStyle name="Normal 2 5 5 3 2" xfId="0"/>
    <cellStyle name="Normal 2 5 5 3 2 2" xfId="0"/>
    <cellStyle name="Normal 2 5 5 3 2 2 2" xfId="0"/>
    <cellStyle name="Normal 2 5 5 3 2 3" xfId="0"/>
    <cellStyle name="Normal 2 5 5 3 2 3 2" xfId="0"/>
    <cellStyle name="Normal 2 5 5 3 2 4" xfId="0"/>
    <cellStyle name="Normal 2 5 5 3 3" xfId="0"/>
    <cellStyle name="Normal 2 5 5 3 3 2" xfId="0"/>
    <cellStyle name="Normal 2 5 5 3 4" xfId="0"/>
    <cellStyle name="Normal 2 5 5 3 4 2" xfId="0"/>
    <cellStyle name="Normal 2 5 5 3 5" xfId="0"/>
    <cellStyle name="Normal 2 5 5 4" xfId="0"/>
    <cellStyle name="Normal 2 5 5 4 2" xfId="0"/>
    <cellStyle name="Normal 2 5 5 4 2 2" xfId="0"/>
    <cellStyle name="Normal 2 5 5 4 3" xfId="0"/>
    <cellStyle name="Normal 2 5 5 4 3 2" xfId="0"/>
    <cellStyle name="Normal 2 5 5 4 4" xfId="0"/>
    <cellStyle name="Normal 2 5 5 5" xfId="0"/>
    <cellStyle name="Normal 2 5 5 5 2" xfId="0"/>
    <cellStyle name="Normal 2 5 5 6" xfId="0"/>
    <cellStyle name="Normal 2 5 5 6 2" xfId="0"/>
    <cellStyle name="Normal 2 5 6" xfId="0"/>
    <cellStyle name="Normal 2 5 6 2" xfId="0"/>
    <cellStyle name="Normal 2 5 6 2 2" xfId="0"/>
    <cellStyle name="Normal 2 5 6 2 2 2" xfId="0"/>
    <cellStyle name="Normal 2 5 6 2 3" xfId="0"/>
    <cellStyle name="Normal 2 5 6 2 3 2" xfId="0"/>
    <cellStyle name="Normal 2 5 6 2 4" xfId="0"/>
    <cellStyle name="Normal 2 5 6 3" xfId="0"/>
    <cellStyle name="Normal 2 5 6 3 2" xfId="0"/>
    <cellStyle name="Normal 2 5 6 4" xfId="0"/>
    <cellStyle name="Normal 2 5 6 4 2" xfId="0"/>
    <cellStyle name="Normal 2 5 6 5" xfId="0"/>
    <cellStyle name="Normal 2 5 7" xfId="0"/>
    <cellStyle name="Normal 2 5 7 2" xfId="0"/>
    <cellStyle name="Normal 2 5 7 2 2" xfId="0"/>
    <cellStyle name="Normal 2 5 7 2 2 2" xfId="0"/>
    <cellStyle name="Normal 2 5 7 2 2 2 2" xfId="0"/>
    <cellStyle name="Normal 2 5 7 2 2 3" xfId="0"/>
    <cellStyle name="Normal 2 5 7 2 2 3 2" xfId="0"/>
    <cellStyle name="Normal 2 5 7 2 2 4" xfId="0"/>
    <cellStyle name="Normal 2 5 7 2 3" xfId="0"/>
    <cellStyle name="Normal 2 5 7 2 3 2" xfId="0"/>
    <cellStyle name="Normal 2 5 7 2 4" xfId="0"/>
    <cellStyle name="Normal 2 5 7 2 4 2" xfId="0"/>
    <cellStyle name="Normal 2 5 7 2 5" xfId="0"/>
    <cellStyle name="Normal 2 5 8" xfId="0"/>
    <cellStyle name="Normal 2 5 8 2" xfId="0"/>
    <cellStyle name="Normal 2 5 8 2 2" xfId="0"/>
    <cellStyle name="Normal 2 5 8 3" xfId="0"/>
    <cellStyle name="Normal 2 5 8 3 2" xfId="0"/>
    <cellStyle name="Normal 2 5 8 4" xfId="0"/>
    <cellStyle name="Normal 2 5 9" xfId="0"/>
    <cellStyle name="Normal 2 5 9 2" xfId="0"/>
    <cellStyle name="Normal 2 6" xfId="0"/>
    <cellStyle name="Normal 2 6 2" xfId="0"/>
    <cellStyle name="Normal 2 6 2 2" xfId="0"/>
    <cellStyle name="Normal 2 6 2 2 2" xfId="0"/>
    <cellStyle name="Normal 2 6 2 2 2 2" xfId="0"/>
    <cellStyle name="Normal 2 6 2 2 2 2 2" xfId="0"/>
    <cellStyle name="Normal 2 6 2 2 2 2 2 2" xfId="0"/>
    <cellStyle name="Normal 2 6 2 2 2 2 3" xfId="0"/>
    <cellStyle name="Normal 2 6 2 2 2 2 3 2" xfId="0"/>
    <cellStyle name="Normal 2 6 2 2 2 2 4" xfId="0"/>
    <cellStyle name="Normal 2 6 2 2 2 3" xfId="0"/>
    <cellStyle name="Normal 2 6 2 2 2 3 2" xfId="0"/>
    <cellStyle name="Normal 2 6 2 2 2 4" xfId="0"/>
    <cellStyle name="Normal 2 6 2 2 2 4 2" xfId="0"/>
    <cellStyle name="Normal 2 6 2 2 2 5" xfId="0"/>
    <cellStyle name="Normal 2 6 2 3" xfId="0"/>
    <cellStyle name="Normal 2 6 2 3 2" xfId="0"/>
    <cellStyle name="Normal 2 6 2 3 2 2" xfId="0"/>
    <cellStyle name="Normal 2 6 2 3 2 2 2" xfId="0"/>
    <cellStyle name="Normal 2 6 2 3 2 3" xfId="0"/>
    <cellStyle name="Normal 2 6 2 3 2 3 2" xfId="0"/>
    <cellStyle name="Normal 2 6 2 3 2 4" xfId="0"/>
    <cellStyle name="Normal 2 6 2 3 3" xfId="0"/>
    <cellStyle name="Normal 2 6 2 3 3 2" xfId="0"/>
    <cellStyle name="Normal 2 6 2 3 4" xfId="0"/>
    <cellStyle name="Normal 2 6 2 3 4 2" xfId="0"/>
    <cellStyle name="Normal 2 6 2 3 5" xfId="0"/>
    <cellStyle name="Normal 2 6 2 4" xfId="0"/>
    <cellStyle name="Normal 2 6 2 4 2" xfId="0"/>
    <cellStyle name="Normal 2 6 2 4 2 2" xfId="0"/>
    <cellStyle name="Normal 2 6 2 4 3" xfId="0"/>
    <cellStyle name="Normal 2 6 2 4 3 2" xfId="0"/>
    <cellStyle name="Normal 2 6 2 4 4" xfId="0"/>
    <cellStyle name="Normal 2 6 2 5" xfId="0"/>
    <cellStyle name="Normal 2 6 2 5 2" xfId="0"/>
    <cellStyle name="Normal 2 6 2 6" xfId="0"/>
    <cellStyle name="Normal 2 6 2 6 2" xfId="0"/>
    <cellStyle name="Normal 2 6 3" xfId="0"/>
    <cellStyle name="Normal 2 6 3 2" xfId="0"/>
    <cellStyle name="Normal 2 6 3 2 2" xfId="0"/>
    <cellStyle name="Normal 2 6 3 2 2 2" xfId="0"/>
    <cellStyle name="Normal 2 6 3 2 2 2 2" xfId="0"/>
    <cellStyle name="Normal 2 6 3 2 2 2 2 2" xfId="0"/>
    <cellStyle name="Normal 2 6 3 2 2 2 3" xfId="0"/>
    <cellStyle name="Normal 2 6 3 2 2 2 3 2" xfId="0"/>
    <cellStyle name="Normal 2 6 3 2 2 2 4" xfId="0"/>
    <cellStyle name="Normal 2 6 3 2 2 3" xfId="0"/>
    <cellStyle name="Normal 2 6 3 2 2 3 2" xfId="0"/>
    <cellStyle name="Normal 2 6 3 2 2 4" xfId="0"/>
    <cellStyle name="Normal 2 6 3 2 2 4 2" xfId="0"/>
    <cellStyle name="Normal 2 6 3 2 2 5" xfId="0"/>
    <cellStyle name="Normal 2 6 3 3" xfId="0"/>
    <cellStyle name="Normal 2 6 3 3 2" xfId="0"/>
    <cellStyle name="Normal 2 6 3 3 2 2" xfId="0"/>
    <cellStyle name="Normal 2 6 3 3 2 2 2" xfId="0"/>
    <cellStyle name="Normal 2 6 3 3 2 3" xfId="0"/>
    <cellStyle name="Normal 2 6 3 3 2 3 2" xfId="0"/>
    <cellStyle name="Normal 2 6 3 3 2 4" xfId="0"/>
    <cellStyle name="Normal 2 6 3 3 3" xfId="0"/>
    <cellStyle name="Normal 2 6 3 3 3 2" xfId="0"/>
    <cellStyle name="Normal 2 6 3 3 4" xfId="0"/>
    <cellStyle name="Normal 2 6 3 3 4 2" xfId="0"/>
    <cellStyle name="Normal 2 6 3 3 5" xfId="0"/>
    <cellStyle name="Normal 2 6 3 4" xfId="0"/>
    <cellStyle name="Normal 2 6 3 4 2" xfId="0"/>
    <cellStyle name="Normal 2 6 3 4 2 2" xfId="0"/>
    <cellStyle name="Normal 2 6 3 4 3" xfId="0"/>
    <cellStyle name="Normal 2 6 3 4 3 2" xfId="0"/>
    <cellStyle name="Normal 2 6 3 4 4" xfId="0"/>
    <cellStyle name="Normal 2 6 3 5" xfId="0"/>
    <cellStyle name="Normal 2 6 3 5 2" xfId="0"/>
    <cellStyle name="Normal 2 6 3 6" xfId="0"/>
    <cellStyle name="Normal 2 6 3 6 2" xfId="0"/>
    <cellStyle name="Normal 2 6 4" xfId="0"/>
    <cellStyle name="Normal 2 6 4 2" xfId="0"/>
    <cellStyle name="Normal 2 6 4 2 2" xfId="0"/>
    <cellStyle name="Normal 2 6 4 2 2 2" xfId="0"/>
    <cellStyle name="Normal 2 6 4 2 2 2 2" xfId="0"/>
    <cellStyle name="Normal 2 6 4 2 2 2 2 2" xfId="0"/>
    <cellStyle name="Normal 2 6 4 2 2 2 3" xfId="0"/>
    <cellStyle name="Normal 2 6 4 2 2 2 3 2" xfId="0"/>
    <cellStyle name="Normal 2 6 4 2 2 2 4" xfId="0"/>
    <cellStyle name="Normal 2 6 4 2 2 3" xfId="0"/>
    <cellStyle name="Normal 2 6 4 2 2 3 2" xfId="0"/>
    <cellStyle name="Normal 2 6 4 2 2 4" xfId="0"/>
    <cellStyle name="Normal 2 6 4 2 2 4 2" xfId="0"/>
    <cellStyle name="Normal 2 6 4 2 2 5" xfId="0"/>
    <cellStyle name="Normal 2 6 4 3" xfId="0"/>
    <cellStyle name="Normal 2 6 4 3 2" xfId="0"/>
    <cellStyle name="Normal 2 6 4 3 2 2" xfId="0"/>
    <cellStyle name="Normal 2 6 4 3 2 2 2" xfId="0"/>
    <cellStyle name="Normal 2 6 4 3 2 3" xfId="0"/>
    <cellStyle name="Normal 2 6 4 3 2 3 2" xfId="0"/>
    <cellStyle name="Normal 2 6 4 3 2 4" xfId="0"/>
    <cellStyle name="Normal 2 6 4 3 3" xfId="0"/>
    <cellStyle name="Normal 2 6 4 3 3 2" xfId="0"/>
    <cellStyle name="Normal 2 6 4 3 4" xfId="0"/>
    <cellStyle name="Normal 2 6 4 3 4 2" xfId="0"/>
    <cellStyle name="Normal 2 6 4 3 5" xfId="0"/>
    <cellStyle name="Normal 2 6 4 4" xfId="0"/>
    <cellStyle name="Normal 2 6 4 4 2" xfId="0"/>
    <cellStyle name="Normal 2 6 4 4 2 2" xfId="0"/>
    <cellStyle name="Normal 2 6 4 4 3" xfId="0"/>
    <cellStyle name="Normal 2 6 4 4 3 2" xfId="0"/>
    <cellStyle name="Normal 2 6 4 4 4" xfId="0"/>
    <cellStyle name="Normal 2 6 4 5" xfId="0"/>
    <cellStyle name="Normal 2 6 4 5 2" xfId="0"/>
    <cellStyle name="Normal 2 6 4 6" xfId="0"/>
    <cellStyle name="Normal 2 6 4 6 2" xfId="0"/>
    <cellStyle name="Normal 2 6 5" xfId="0"/>
    <cellStyle name="Normal 2 6 5 2" xfId="0"/>
    <cellStyle name="Normal 2 6 5 2 2" xfId="0"/>
    <cellStyle name="Normal 2 6 5 2 2 2" xfId="0"/>
    <cellStyle name="Normal 2 6 5 2 2 2 2" xfId="0"/>
    <cellStyle name="Normal 2 6 5 2 2 2 2 2" xfId="0"/>
    <cellStyle name="Normal 2 6 5 2 2 2 3" xfId="0"/>
    <cellStyle name="Normal 2 6 5 2 2 2 3 2" xfId="0"/>
    <cellStyle name="Normal 2 6 5 2 2 2 4" xfId="0"/>
    <cellStyle name="Normal 2 6 5 2 2 3" xfId="0"/>
    <cellStyle name="Normal 2 6 5 2 2 3 2" xfId="0"/>
    <cellStyle name="Normal 2 6 5 2 2 4" xfId="0"/>
    <cellStyle name="Normal 2 6 5 2 2 4 2" xfId="0"/>
    <cellStyle name="Normal 2 6 5 2 2 5" xfId="0"/>
    <cellStyle name="Normal 2 6 5 3" xfId="0"/>
    <cellStyle name="Normal 2 6 5 3 2" xfId="0"/>
    <cellStyle name="Normal 2 6 5 3 2 2" xfId="0"/>
    <cellStyle name="Normal 2 6 5 3 2 2 2" xfId="0"/>
    <cellStyle name="Normal 2 6 5 3 2 3" xfId="0"/>
    <cellStyle name="Normal 2 6 5 3 2 3 2" xfId="0"/>
    <cellStyle name="Normal 2 6 5 3 2 4" xfId="0"/>
    <cellStyle name="Normal 2 6 5 3 3" xfId="0"/>
    <cellStyle name="Normal 2 6 5 3 3 2" xfId="0"/>
    <cellStyle name="Normal 2 6 5 3 4" xfId="0"/>
    <cellStyle name="Normal 2 6 5 3 4 2" xfId="0"/>
    <cellStyle name="Normal 2 6 5 3 5" xfId="0"/>
    <cellStyle name="Normal 2 6 5 4" xfId="0"/>
    <cellStyle name="Normal 2 6 5 4 2" xfId="0"/>
    <cellStyle name="Normal 2 6 5 4 2 2" xfId="0"/>
    <cellStyle name="Normal 2 6 5 4 3" xfId="0"/>
    <cellStyle name="Normal 2 6 5 4 3 2" xfId="0"/>
    <cellStyle name="Normal 2 6 5 4 4" xfId="0"/>
    <cellStyle name="Normal 2 6 5 5" xfId="0"/>
    <cellStyle name="Normal 2 6 5 5 2" xfId="0"/>
    <cellStyle name="Normal 2 6 5 6" xfId="0"/>
    <cellStyle name="Normal 2 6 5 6 2" xfId="0"/>
    <cellStyle name="Normal 2 6 6" xfId="0"/>
    <cellStyle name="Normal 2 6 6 2" xfId="0"/>
    <cellStyle name="Normal 2 6 6 2 2" xfId="0"/>
    <cellStyle name="Normal 2 6 6 2 2 2" xfId="0"/>
    <cellStyle name="Normal 2 6 6 2 3" xfId="0"/>
    <cellStyle name="Normal 2 6 6 2 3 2" xfId="0"/>
    <cellStyle name="Normal 2 6 6 2 4" xfId="0"/>
    <cellStyle name="Normal 2 6 6 3" xfId="0"/>
    <cellStyle name="Normal 2 6 6 3 2" xfId="0"/>
    <cellStyle name="Normal 2 6 6 4" xfId="0"/>
    <cellStyle name="Normal 2 6 6 4 2" xfId="0"/>
    <cellStyle name="Normal 2 6 6 5" xfId="0"/>
    <cellStyle name="Normal 2 6 7" xfId="0"/>
    <cellStyle name="Normal 2 6 7 2" xfId="0"/>
    <cellStyle name="Normal 2 6 7 2 2" xfId="0"/>
    <cellStyle name="Normal 2 6 7 2 2 2" xfId="0"/>
    <cellStyle name="Normal 2 6 7 2 2 2 2" xfId="0"/>
    <cellStyle name="Normal 2 6 7 2 2 3" xfId="0"/>
    <cellStyle name="Normal 2 6 7 2 2 3 2" xfId="0"/>
    <cellStyle name="Normal 2 6 7 2 2 4" xfId="0"/>
    <cellStyle name="Normal 2 6 7 2 3" xfId="0"/>
    <cellStyle name="Normal 2 6 7 2 3 2" xfId="0"/>
    <cellStyle name="Normal 2 6 7 2 4" xfId="0"/>
    <cellStyle name="Normal 2 6 7 2 4 2" xfId="0"/>
    <cellStyle name="Normal 2 6 7 2 5" xfId="0"/>
    <cellStyle name="Normal 2 6 8" xfId="0"/>
    <cellStyle name="Normal 2 6 8 2" xfId="0"/>
    <cellStyle name="Normal 2 6 8 2 2" xfId="0"/>
    <cellStyle name="Normal 2 6 8 3" xfId="0"/>
    <cellStyle name="Normal 2 6 8 3 2" xfId="0"/>
    <cellStyle name="Normal 2 6 8 4" xfId="0"/>
    <cellStyle name="Normal 2 6 9" xfId="0"/>
    <cellStyle name="Normal 2 6 9 2" xfId="0"/>
    <cellStyle name="Normal 2 7" xfId="0"/>
    <cellStyle name="Normal 2 7 2" xfId="0"/>
    <cellStyle name="Normal 2 7 2 2" xfId="0"/>
    <cellStyle name="Normal 2 7 2 2 2" xfId="0"/>
    <cellStyle name="Normal 2 7 2 2 2 2" xfId="0"/>
    <cellStyle name="Normal 2 7 2 2 2 2 2" xfId="0"/>
    <cellStyle name="Normal 2 7 2 2 2 2 2 2" xfId="0"/>
    <cellStyle name="Normal 2 7 2 2 2 2 3" xfId="0"/>
    <cellStyle name="Normal 2 7 2 2 2 2 3 2" xfId="0"/>
    <cellStyle name="Normal 2 7 2 2 2 2 4" xfId="0"/>
    <cellStyle name="Normal 2 7 2 2 2 3" xfId="0"/>
    <cellStyle name="Normal 2 7 2 2 2 3 2" xfId="0"/>
    <cellStyle name="Normal 2 7 2 2 2 4" xfId="0"/>
    <cellStyle name="Normal 2 7 2 2 2 4 2" xfId="0"/>
    <cellStyle name="Normal 2 7 2 2 2 5" xfId="0"/>
    <cellStyle name="Normal 2 7 2 3" xfId="0"/>
    <cellStyle name="Normal 2 7 2 3 2" xfId="0"/>
    <cellStyle name="Normal 2 7 2 3 2 2" xfId="0"/>
    <cellStyle name="Normal 2 7 2 3 2 2 2" xfId="0"/>
    <cellStyle name="Normal 2 7 2 3 2 3" xfId="0"/>
    <cellStyle name="Normal 2 7 2 3 2 3 2" xfId="0"/>
    <cellStyle name="Normal 2 7 2 3 2 4" xfId="0"/>
    <cellStyle name="Normal 2 7 2 3 3" xfId="0"/>
    <cellStyle name="Normal 2 7 2 3 3 2" xfId="0"/>
    <cellStyle name="Normal 2 7 2 3 4" xfId="0"/>
    <cellStyle name="Normal 2 7 2 3 4 2" xfId="0"/>
    <cellStyle name="Normal 2 7 2 3 5" xfId="0"/>
    <cellStyle name="Normal 2 7 2 4" xfId="0"/>
    <cellStyle name="Normal 2 7 2 4 2" xfId="0"/>
    <cellStyle name="Normal 2 7 2 4 2 2" xfId="0"/>
    <cellStyle name="Normal 2 7 2 4 3" xfId="0"/>
    <cellStyle name="Normal 2 7 2 4 3 2" xfId="0"/>
    <cellStyle name="Normal 2 7 2 4 4" xfId="0"/>
    <cellStyle name="Normal 2 7 2 5" xfId="0"/>
    <cellStyle name="Normal 2 7 2 5 2" xfId="0"/>
    <cellStyle name="Normal 2 7 2 6" xfId="0"/>
    <cellStyle name="Normal 2 7 2 6 2" xfId="0"/>
    <cellStyle name="Normal 2 7 3" xfId="0"/>
    <cellStyle name="Normal 2 7 3 2" xfId="0"/>
    <cellStyle name="Normal 2 7 3 2 2" xfId="0"/>
    <cellStyle name="Normal 2 7 3 2 2 2" xfId="0"/>
    <cellStyle name="Normal 2 7 3 2 2 2 2" xfId="0"/>
    <cellStyle name="Normal 2 7 3 2 2 3" xfId="0"/>
    <cellStyle name="Normal 2 7 3 2 2 3 2" xfId="0"/>
    <cellStyle name="Normal 2 7 3 2 2 4" xfId="0"/>
    <cellStyle name="Normal 2 7 3 2 3" xfId="0"/>
    <cellStyle name="Normal 2 7 3 2 3 2" xfId="0"/>
    <cellStyle name="Normal 2 7 3 2 4" xfId="0"/>
    <cellStyle name="Normal 2 7 3 2 4 2" xfId="0"/>
    <cellStyle name="Normal 2 7 3 2 5" xfId="0"/>
    <cellStyle name="Normal 2 7 3 3" xfId="0"/>
    <cellStyle name="Normal 2 7 3 3 2" xfId="0"/>
    <cellStyle name="Normal 2 7 3 3 2 2" xfId="0"/>
    <cellStyle name="Normal 2 7 3 3 3" xfId="0"/>
    <cellStyle name="Normal 2 7 3 3 3 2" xfId="0"/>
    <cellStyle name="Normal 2 7 3 3 4" xfId="0"/>
    <cellStyle name="Normal 2 7 3 4" xfId="0"/>
    <cellStyle name="Normal 2 7 3 4 2" xfId="0"/>
    <cellStyle name="Normal 2 7 3 5" xfId="0"/>
    <cellStyle name="Normal 2 7 3 5 2" xfId="0"/>
    <cellStyle name="Normal 2 7 3 6" xfId="0"/>
    <cellStyle name="Normal 2 7 4" xfId="0"/>
    <cellStyle name="Normal 2 7 4 2" xfId="0"/>
    <cellStyle name="Normal 2 7 4 2 2" xfId="0"/>
    <cellStyle name="Normal 2 7 4 2 2 2" xfId="0"/>
    <cellStyle name="Normal 2 7 4 2 2 2 2" xfId="0"/>
    <cellStyle name="Normal 2 7 4 2 2 3" xfId="0"/>
    <cellStyle name="Normal 2 7 4 2 2 3 2" xfId="0"/>
    <cellStyle name="Normal 2 7 4 2 2 4" xfId="0"/>
    <cellStyle name="Normal 2 7 4 2 3" xfId="0"/>
    <cellStyle name="Normal 2 7 4 2 3 2" xfId="0"/>
    <cellStyle name="Normal 2 7 4 2 4" xfId="0"/>
    <cellStyle name="Normal 2 7 4 2 4 2" xfId="0"/>
    <cellStyle name="Normal 2 7 4 2 5" xfId="0"/>
    <cellStyle name="Normal 2 7 5" xfId="0"/>
    <cellStyle name="Normal 2 7 5 2" xfId="0"/>
    <cellStyle name="Normal 2 7 5 2 2" xfId="0"/>
    <cellStyle name="Normal 2 7 5 3" xfId="0"/>
    <cellStyle name="Normal 2 7 5 3 2" xfId="0"/>
    <cellStyle name="Normal 2 7 5 4" xfId="0"/>
    <cellStyle name="Normal 2 7 6" xfId="0"/>
    <cellStyle name="Normal 2 7 6 2" xfId="0"/>
    <cellStyle name="Normal 2 8" xfId="0"/>
    <cellStyle name="Normal 2 8 2" xfId="0"/>
    <cellStyle name="Normal 2 8 2 2" xfId="0"/>
    <cellStyle name="Normal 2 8 2 2 2" xfId="0"/>
    <cellStyle name="Normal 2 8 2 2 2 2" xfId="0"/>
    <cellStyle name="Normal 2 8 2 2 2 2 2" xfId="0"/>
    <cellStyle name="Normal 2 8 2 2 2 2 2 2" xfId="0"/>
    <cellStyle name="Normal 2 8 2 2 2 2 3" xfId="0"/>
    <cellStyle name="Normal 2 8 2 2 2 2 3 2" xfId="0"/>
    <cellStyle name="Normal 2 8 2 2 2 2 4" xfId="0"/>
    <cellStyle name="Normal 2 8 2 2 2 3" xfId="0"/>
    <cellStyle name="Normal 2 8 2 2 2 3 2" xfId="0"/>
    <cellStyle name="Normal 2 8 2 2 2 4" xfId="0"/>
    <cellStyle name="Normal 2 8 2 2 2 4 2" xfId="0"/>
    <cellStyle name="Normal 2 8 2 2 2 5" xfId="0"/>
    <cellStyle name="Normal 2 8 2 3" xfId="0"/>
    <cellStyle name="Normal 2 8 2 3 2" xfId="0"/>
    <cellStyle name="Normal 2 8 2 3 2 2" xfId="0"/>
    <cellStyle name="Normal 2 8 2 3 2 2 2" xfId="0"/>
    <cellStyle name="Normal 2 8 2 3 2 3" xfId="0"/>
    <cellStyle name="Normal 2 8 2 3 2 3 2" xfId="0"/>
    <cellStyle name="Normal 2 8 2 3 2 4" xfId="0"/>
    <cellStyle name="Normal 2 8 2 3 3" xfId="0"/>
    <cellStyle name="Normal 2 8 2 3 3 2" xfId="0"/>
    <cellStyle name="Normal 2 8 2 3 4" xfId="0"/>
    <cellStyle name="Normal 2 8 2 3 4 2" xfId="0"/>
    <cellStyle name="Normal 2 8 2 3 5" xfId="0"/>
    <cellStyle name="Normal 2 8 2 4" xfId="0"/>
    <cellStyle name="Normal 2 8 2 4 2" xfId="0"/>
    <cellStyle name="Normal 2 8 2 4 2 2" xfId="0"/>
    <cellStyle name="Normal 2 8 2 4 3" xfId="0"/>
    <cellStyle name="Normal 2 8 2 4 3 2" xfId="0"/>
    <cellStyle name="Normal 2 8 2 4 4" xfId="0"/>
    <cellStyle name="Normal 2 8 2 5" xfId="0"/>
    <cellStyle name="Normal 2 8 2 5 2" xfId="0"/>
    <cellStyle name="Normal 2 8 2 6" xfId="0"/>
    <cellStyle name="Normal 2 8 2 6 2" xfId="0"/>
    <cellStyle name="Normal 2 8 3" xfId="0"/>
    <cellStyle name="Normal 2 8 3 2" xfId="0"/>
    <cellStyle name="Normal 2 8 3 2 2" xfId="0"/>
    <cellStyle name="Normal 2 8 3 2 2 2" xfId="0"/>
    <cellStyle name="Normal 2 8 3 2 2 2 2" xfId="0"/>
    <cellStyle name="Normal 2 8 3 2 2 3" xfId="0"/>
    <cellStyle name="Normal 2 8 3 2 2 3 2" xfId="0"/>
    <cellStyle name="Normal 2 8 3 2 2 4" xfId="0"/>
    <cellStyle name="Normal 2 8 3 2 3" xfId="0"/>
    <cellStyle name="Normal 2 8 3 2 3 2" xfId="0"/>
    <cellStyle name="Normal 2 8 3 2 4" xfId="0"/>
    <cellStyle name="Normal 2 8 3 2 4 2" xfId="0"/>
    <cellStyle name="Normal 2 8 3 2 5" xfId="0"/>
    <cellStyle name="Normal 2 8 3 3" xfId="0"/>
    <cellStyle name="Normal 2 8 3 3 2" xfId="0"/>
    <cellStyle name="Normal 2 8 3 3 2 2" xfId="0"/>
    <cellStyle name="Normal 2 8 3 3 3" xfId="0"/>
    <cellStyle name="Normal 2 8 3 3 3 2" xfId="0"/>
    <cellStyle name="Normal 2 8 3 3 4" xfId="0"/>
    <cellStyle name="Normal 2 8 3 4" xfId="0"/>
    <cellStyle name="Normal 2 8 3 4 2" xfId="0"/>
    <cellStyle name="Normal 2 8 3 5" xfId="0"/>
    <cellStyle name="Normal 2 8 3 5 2" xfId="0"/>
    <cellStyle name="Normal 2 8 3 6" xfId="0"/>
    <cellStyle name="Normal 2 8 4" xfId="0"/>
    <cellStyle name="Normal 2 8 4 2" xfId="0"/>
    <cellStyle name="Normal 2 8 4 2 2" xfId="0"/>
    <cellStyle name="Normal 2 8 4 2 2 2" xfId="0"/>
    <cellStyle name="Normal 2 8 4 2 2 2 2" xfId="0"/>
    <cellStyle name="Normal 2 8 4 2 2 3" xfId="0"/>
    <cellStyle name="Normal 2 8 4 2 2 3 2" xfId="0"/>
    <cellStyle name="Normal 2 8 4 2 2 4" xfId="0"/>
    <cellStyle name="Normal 2 8 4 2 3" xfId="0"/>
    <cellStyle name="Normal 2 8 4 2 3 2" xfId="0"/>
    <cellStyle name="Normal 2 8 4 2 4" xfId="0"/>
    <cellStyle name="Normal 2 8 4 2 4 2" xfId="0"/>
    <cellStyle name="Normal 2 8 4 2 5" xfId="0"/>
    <cellStyle name="Normal 2 8 5" xfId="0"/>
    <cellStyle name="Normal 2 8 5 2" xfId="0"/>
    <cellStyle name="Normal 2 8 5 2 2" xfId="0"/>
    <cellStyle name="Normal 2 8 5 3" xfId="0"/>
    <cellStyle name="Normal 2 8 5 3 2" xfId="0"/>
    <cellStyle name="Normal 2 8 5 4" xfId="0"/>
    <cellStyle name="Normal 2 8 6" xfId="0"/>
    <cellStyle name="Normal 2 8 6 2" xfId="0"/>
    <cellStyle name="Normal 2 9" xfId="0"/>
    <cellStyle name="Normal 2 9 2" xfId="0"/>
    <cellStyle name="Normal 2 9 2 2" xfId="0"/>
    <cellStyle name="Normal 2 9 2 2 2" xfId="0"/>
    <cellStyle name="Normal 2 9 2 2 2 2" xfId="0"/>
    <cellStyle name="Normal 2 9 2 2 2 2 2" xfId="0"/>
    <cellStyle name="Normal 2 9 2 2 2 2 2 2" xfId="0"/>
    <cellStyle name="Normal 2 9 2 2 2 2 3" xfId="0"/>
    <cellStyle name="Normal 2 9 2 2 2 2 3 2" xfId="0"/>
    <cellStyle name="Normal 2 9 2 2 2 2 4" xfId="0"/>
    <cellStyle name="Normal 2 9 2 2 2 3" xfId="0"/>
    <cellStyle name="Normal 2 9 2 2 2 3 2" xfId="0"/>
    <cellStyle name="Normal 2 9 2 2 2 4" xfId="0"/>
    <cellStyle name="Normal 2 9 2 2 2 4 2" xfId="0"/>
    <cellStyle name="Normal 2 9 2 2 2 5" xfId="0"/>
    <cellStyle name="Normal 2 9 2 3" xfId="0"/>
    <cellStyle name="Normal 2 9 2 3 2" xfId="0"/>
    <cellStyle name="Normal 2 9 2 3 2 2" xfId="0"/>
    <cellStyle name="Normal 2 9 2 3 2 2 2" xfId="0"/>
    <cellStyle name="Normal 2 9 2 3 2 3" xfId="0"/>
    <cellStyle name="Normal 2 9 2 3 2 3 2" xfId="0"/>
    <cellStyle name="Normal 2 9 2 3 2 4" xfId="0"/>
    <cellStyle name="Normal 2 9 2 3 3" xfId="0"/>
    <cellStyle name="Normal 2 9 2 3 3 2" xfId="0"/>
    <cellStyle name="Normal 2 9 2 3 4" xfId="0"/>
    <cellStyle name="Normal 2 9 2 3 4 2" xfId="0"/>
    <cellStyle name="Normal 2 9 2 3 5" xfId="0"/>
    <cellStyle name="Normal 2 9 2 4" xfId="0"/>
    <cellStyle name="Normal 2 9 2 4 2" xfId="0"/>
    <cellStyle name="Normal 2 9 2 4 2 2" xfId="0"/>
    <cellStyle name="Normal 2 9 2 4 3" xfId="0"/>
    <cellStyle name="Normal 2 9 2 4 3 2" xfId="0"/>
    <cellStyle name="Normal 2 9 2 4 4" xfId="0"/>
    <cellStyle name="Normal 2 9 2 5" xfId="0"/>
    <cellStyle name="Normal 2 9 2 5 2" xfId="0"/>
    <cellStyle name="Normal 2 9 2 6" xfId="0"/>
    <cellStyle name="Normal 2 9 2 6 2" xfId="0"/>
    <cellStyle name="Normal 2 9 3" xfId="0"/>
    <cellStyle name="Normal 2 9 3 2" xfId="0"/>
    <cellStyle name="Normal 2 9 3 2 2" xfId="0"/>
    <cellStyle name="Normal 2 9 3 2 2 2" xfId="0"/>
    <cellStyle name="Normal 2 9 3 2 2 2 2" xfId="0"/>
    <cellStyle name="Normal 2 9 3 2 2 3" xfId="0"/>
    <cellStyle name="Normal 2 9 3 2 2 3 2" xfId="0"/>
    <cellStyle name="Normal 2 9 3 2 2 4" xfId="0"/>
    <cellStyle name="Normal 2 9 3 2 3" xfId="0"/>
    <cellStyle name="Normal 2 9 3 2 3 2" xfId="0"/>
    <cellStyle name="Normal 2 9 3 2 4" xfId="0"/>
    <cellStyle name="Normal 2 9 3 2 4 2" xfId="0"/>
    <cellStyle name="Normal 2 9 3 2 5" xfId="0"/>
    <cellStyle name="Normal 2 9 4" xfId="0"/>
    <cellStyle name="Normal 2 9 4 2" xfId="0"/>
    <cellStyle name="Normal 2 9 4 3" xfId="0"/>
    <cellStyle name="Normal 2 9 4 3 2" xfId="0"/>
    <cellStyle name="Normal 2 9 4 3 2 2" xfId="0"/>
    <cellStyle name="Normal 2 9 4 3 2 2 2" xfId="0"/>
    <cellStyle name="Normal 2 9 4 3 2 3" xfId="0"/>
    <cellStyle name="Normal 2 9 4 3 2 3 2" xfId="0"/>
    <cellStyle name="Normal 2 9 4 3 2 4" xfId="0"/>
    <cellStyle name="Normal 2 9 4 3 3" xfId="0"/>
    <cellStyle name="Normal 2 9 4 3 3 2" xfId="0"/>
    <cellStyle name="Normal 2 9 4 3 4" xfId="0"/>
    <cellStyle name="Normal 2 9 4 3 4 2" xfId="0"/>
    <cellStyle name="Normal 2 9 4 3 5" xfId="0"/>
    <cellStyle name="Normal 2 9 4 4" xfId="0"/>
    <cellStyle name="Normal 2 9 4 4 2" xfId="0"/>
    <cellStyle name="Normal 2 9 4 4 2 2" xfId="0"/>
    <cellStyle name="Normal 2 9 4 4 3" xfId="0"/>
    <cellStyle name="Normal 2 9 4 4 3 2" xfId="0"/>
    <cellStyle name="Normal 2 9 4 4 4" xfId="0"/>
    <cellStyle name="Normal 2 9 4 5" xfId="0"/>
    <cellStyle name="Normal 2 9 4 5 2" xfId="0"/>
    <cellStyle name="Normal 2 9 4 6" xfId="0"/>
    <cellStyle name="Normal 2 9 4 6 2" xfId="0"/>
    <cellStyle name="Normal 2 9 5" xfId="0"/>
    <cellStyle name="Normal 2 9 5 2" xfId="0"/>
    <cellStyle name="Normal 2 9 5 2 2" xfId="0"/>
    <cellStyle name="Normal 2 9 5 3" xfId="0"/>
    <cellStyle name="Normal 2 9 5 3 2" xfId="0"/>
    <cellStyle name="Normal 2 9 5 4" xfId="0"/>
    <cellStyle name="Normal 2 9 6" xfId="0"/>
    <cellStyle name="Normal 2 9 6 2" xfId="0"/>
    <cellStyle name="Normal 2_АГМ" xfId="0"/>
    <cellStyle name="Normal_#10-Headcount" xfId="0"/>
    <cellStyle name="normбlnм_laroux" xfId="0"/>
    <cellStyle name="Note 10" xfId="0"/>
    <cellStyle name="Note 10 2" xfId="0"/>
    <cellStyle name="Note 10 2 2" xfId="0"/>
    <cellStyle name="Note 10 2 2 2" xfId="0"/>
    <cellStyle name="Note 10 2 2 2 2" xfId="0"/>
    <cellStyle name="Note 10 2 2 2 3" xfId="0"/>
    <cellStyle name="Note 10 2 2 3" xfId="0"/>
    <cellStyle name="Note 10 2 2 4" xfId="0"/>
    <cellStyle name="Note 10 2 3" xfId="0"/>
    <cellStyle name="Note 10 2 3 2" xfId="0"/>
    <cellStyle name="Note 10 2 3 2 2" xfId="0"/>
    <cellStyle name="Note 10 2 3 2 3" xfId="0"/>
    <cellStyle name="Note 10 2 3 3" xfId="0"/>
    <cellStyle name="Note 10 2 3 4" xfId="0"/>
    <cellStyle name="Note 10 2 4" xfId="0"/>
    <cellStyle name="Note 10 2 4 2" xfId="0"/>
    <cellStyle name="Note 10 2 4 3" xfId="0"/>
    <cellStyle name="Note 10 2 5" xfId="0"/>
    <cellStyle name="Note 10 2 6" xfId="0"/>
    <cellStyle name="Note 10 3" xfId="0"/>
    <cellStyle name="Note 10 3 2" xfId="0"/>
    <cellStyle name="Note 10 3 2 2" xfId="0"/>
    <cellStyle name="Note 10 3 2 2 2" xfId="0"/>
    <cellStyle name="Note 10 3 2 2 3" xfId="0"/>
    <cellStyle name="Note 10 3 2 3" xfId="0"/>
    <cellStyle name="Note 10 3 2 4" xfId="0"/>
    <cellStyle name="Note 10 3 3" xfId="0"/>
    <cellStyle name="Note 10 3 3 2" xfId="0"/>
    <cellStyle name="Note 10 3 3 3" xfId="0"/>
    <cellStyle name="Note 10 3 4" xfId="0"/>
    <cellStyle name="Note 10 3 5" xfId="0"/>
    <cellStyle name="Note 10 4" xfId="0"/>
    <cellStyle name="Note 10 4 2" xfId="0"/>
    <cellStyle name="Note 10 4 2 2" xfId="0"/>
    <cellStyle name="Note 10 4 2 2 2" xfId="0"/>
    <cellStyle name="Note 10 4 2 2 3" xfId="0"/>
    <cellStyle name="Note 10 4 2 3" xfId="0"/>
    <cellStyle name="Note 10 4 2 4" xfId="0"/>
    <cellStyle name="Note 10 4 3" xfId="0"/>
    <cellStyle name="Note 10 4 3 2" xfId="0"/>
    <cellStyle name="Note 10 4 3 3" xfId="0"/>
    <cellStyle name="Note 10 4 4" xfId="0"/>
    <cellStyle name="Note 10 4 5" xfId="0"/>
    <cellStyle name="Note 10 5" xfId="0"/>
    <cellStyle name="Note 10 5 2" xfId="0"/>
    <cellStyle name="Note 10 5 3" xfId="0"/>
    <cellStyle name="Note 10 6" xfId="0"/>
    <cellStyle name="Note 10 7" xfId="0"/>
    <cellStyle name="Note 11" xfId="0"/>
    <cellStyle name="Note 11 2" xfId="0"/>
    <cellStyle name="Note 11 2 2" xfId="0"/>
    <cellStyle name="Note 11 2 2 2" xfId="0"/>
    <cellStyle name="Note 11 2 2 2 2" xfId="0"/>
    <cellStyle name="Note 11 2 2 2 3" xfId="0"/>
    <cellStyle name="Note 11 2 2 3" xfId="0"/>
    <cellStyle name="Note 11 2 2 4" xfId="0"/>
    <cellStyle name="Note 11 2 3" xfId="0"/>
    <cellStyle name="Note 11 2 3 2" xfId="0"/>
    <cellStyle name="Note 11 2 3 2 2" xfId="0"/>
    <cellStyle name="Note 11 2 3 2 3" xfId="0"/>
    <cellStyle name="Note 11 2 3 3" xfId="0"/>
    <cellStyle name="Note 11 2 3 4" xfId="0"/>
    <cellStyle name="Note 11 2 4" xfId="0"/>
    <cellStyle name="Note 11 2 4 2" xfId="0"/>
    <cellStyle name="Note 11 2 4 3" xfId="0"/>
    <cellStyle name="Note 11 2 5" xfId="0"/>
    <cellStyle name="Note 11 2 6" xfId="0"/>
    <cellStyle name="Note 11 3" xfId="0"/>
    <cellStyle name="Note 11 3 2" xfId="0"/>
    <cellStyle name="Note 11 3 2 2" xfId="0"/>
    <cellStyle name="Note 11 3 2 2 2" xfId="0"/>
    <cellStyle name="Note 11 3 2 2 3" xfId="0"/>
    <cellStyle name="Note 11 3 2 3" xfId="0"/>
    <cellStyle name="Note 11 3 2 4" xfId="0"/>
    <cellStyle name="Note 11 3 3" xfId="0"/>
    <cellStyle name="Note 11 3 3 2" xfId="0"/>
    <cellStyle name="Note 11 3 3 3" xfId="0"/>
    <cellStyle name="Note 11 3 4" xfId="0"/>
    <cellStyle name="Note 11 3 5" xfId="0"/>
    <cellStyle name="Note 11 4" xfId="0"/>
    <cellStyle name="Note 11 4 2" xfId="0"/>
    <cellStyle name="Note 11 4 2 2" xfId="0"/>
    <cellStyle name="Note 11 4 2 2 2" xfId="0"/>
    <cellStyle name="Note 11 4 2 2 3" xfId="0"/>
    <cellStyle name="Note 11 4 2 3" xfId="0"/>
    <cellStyle name="Note 11 4 2 4" xfId="0"/>
    <cellStyle name="Note 11 4 3" xfId="0"/>
    <cellStyle name="Note 11 4 3 2" xfId="0"/>
    <cellStyle name="Note 11 4 3 3" xfId="0"/>
    <cellStyle name="Note 11 4 4" xfId="0"/>
    <cellStyle name="Note 11 4 5" xfId="0"/>
    <cellStyle name="Note 11 5" xfId="0"/>
    <cellStyle name="Note 11 5 2" xfId="0"/>
    <cellStyle name="Note 11 5 3" xfId="0"/>
    <cellStyle name="Note 11 6" xfId="0"/>
    <cellStyle name="Note 11 7" xfId="0"/>
    <cellStyle name="Note 12" xfId="0"/>
    <cellStyle name="Note 12 2" xfId="0"/>
    <cellStyle name="Note 12 2 2" xfId="0"/>
    <cellStyle name="Note 12 2 2 2" xfId="0"/>
    <cellStyle name="Note 12 2 2 2 2" xfId="0"/>
    <cellStyle name="Note 12 2 2 2 3" xfId="0"/>
    <cellStyle name="Note 12 2 2 3" xfId="0"/>
    <cellStyle name="Note 12 2 2 4" xfId="0"/>
    <cellStyle name="Note 12 2 3" xfId="0"/>
    <cellStyle name="Note 12 2 3 2" xfId="0"/>
    <cellStyle name="Note 12 2 3 2 2" xfId="0"/>
    <cellStyle name="Note 12 2 3 2 3" xfId="0"/>
    <cellStyle name="Note 12 2 3 3" xfId="0"/>
    <cellStyle name="Note 12 2 3 4" xfId="0"/>
    <cellStyle name="Note 12 2 4" xfId="0"/>
    <cellStyle name="Note 12 2 4 2" xfId="0"/>
    <cellStyle name="Note 12 2 4 3" xfId="0"/>
    <cellStyle name="Note 12 2 5" xfId="0"/>
    <cellStyle name="Note 12 2 6" xfId="0"/>
    <cellStyle name="Note 12 3" xfId="0"/>
    <cellStyle name="Note 12 3 2" xfId="0"/>
    <cellStyle name="Note 12 3 2 2" xfId="0"/>
    <cellStyle name="Note 12 3 2 2 2" xfId="0"/>
    <cellStyle name="Note 12 3 2 2 3" xfId="0"/>
    <cellStyle name="Note 12 3 2 3" xfId="0"/>
    <cellStyle name="Note 12 3 2 4" xfId="0"/>
    <cellStyle name="Note 12 3 3" xfId="0"/>
    <cellStyle name="Note 12 3 3 2" xfId="0"/>
    <cellStyle name="Note 12 3 3 3" xfId="0"/>
    <cellStyle name="Note 12 3 4" xfId="0"/>
    <cellStyle name="Note 12 3 5" xfId="0"/>
    <cellStyle name="Note 12 4" xfId="0"/>
    <cellStyle name="Note 12 4 2" xfId="0"/>
    <cellStyle name="Note 12 4 2 2" xfId="0"/>
    <cellStyle name="Note 12 4 2 2 2" xfId="0"/>
    <cellStyle name="Note 12 4 2 2 3" xfId="0"/>
    <cellStyle name="Note 12 4 2 3" xfId="0"/>
    <cellStyle name="Note 12 4 2 4" xfId="0"/>
    <cellStyle name="Note 12 4 3" xfId="0"/>
    <cellStyle name="Note 12 4 3 2" xfId="0"/>
    <cellStyle name="Note 12 4 3 3" xfId="0"/>
    <cellStyle name="Note 12 4 4" xfId="0"/>
    <cellStyle name="Note 12 4 5" xfId="0"/>
    <cellStyle name="Note 12 5" xfId="0"/>
    <cellStyle name="Note 12 5 2" xfId="0"/>
    <cellStyle name="Note 12 5 3" xfId="0"/>
    <cellStyle name="Note 12 6" xfId="0"/>
    <cellStyle name="Note 12 7" xfId="0"/>
    <cellStyle name="Note 13" xfId="0"/>
    <cellStyle name="Note 13 2" xfId="0"/>
    <cellStyle name="Note 13 2 2" xfId="0"/>
    <cellStyle name="Note 13 2 2 2" xfId="0"/>
    <cellStyle name="Note 13 2 2 2 2" xfId="0"/>
    <cellStyle name="Note 13 2 2 2 3" xfId="0"/>
    <cellStyle name="Note 13 2 2 3" xfId="0"/>
    <cellStyle name="Note 13 2 2 4" xfId="0"/>
    <cellStyle name="Note 13 2 3" xfId="0"/>
    <cellStyle name="Note 13 2 3 2" xfId="0"/>
    <cellStyle name="Note 13 2 3 2 2" xfId="0"/>
    <cellStyle name="Note 13 2 3 2 3" xfId="0"/>
    <cellStyle name="Note 13 2 3 3" xfId="0"/>
    <cellStyle name="Note 13 2 3 4" xfId="0"/>
    <cellStyle name="Note 13 2 4" xfId="0"/>
    <cellStyle name="Note 13 2 4 2" xfId="0"/>
    <cellStyle name="Note 13 2 4 3" xfId="0"/>
    <cellStyle name="Note 13 2 5" xfId="0"/>
    <cellStyle name="Note 13 2 6" xfId="0"/>
    <cellStyle name="Note 13 3" xfId="0"/>
    <cellStyle name="Note 13 3 2" xfId="0"/>
    <cellStyle name="Note 13 3 2 2" xfId="0"/>
    <cellStyle name="Note 13 3 2 2 2" xfId="0"/>
    <cellStyle name="Note 13 3 2 2 3" xfId="0"/>
    <cellStyle name="Note 13 3 2 3" xfId="0"/>
    <cellStyle name="Note 13 3 2 4" xfId="0"/>
    <cellStyle name="Note 13 3 3" xfId="0"/>
    <cellStyle name="Note 13 3 3 2" xfId="0"/>
    <cellStyle name="Note 13 3 3 3" xfId="0"/>
    <cellStyle name="Note 13 3 4" xfId="0"/>
    <cellStyle name="Note 13 3 5" xfId="0"/>
    <cellStyle name="Note 13 4" xfId="0"/>
    <cellStyle name="Note 13 4 2" xfId="0"/>
    <cellStyle name="Note 13 4 2 2" xfId="0"/>
    <cellStyle name="Note 13 4 2 2 2" xfId="0"/>
    <cellStyle name="Note 13 4 2 2 3" xfId="0"/>
    <cellStyle name="Note 13 4 2 3" xfId="0"/>
    <cellStyle name="Note 13 4 2 4" xfId="0"/>
    <cellStyle name="Note 13 4 3" xfId="0"/>
    <cellStyle name="Note 13 4 3 2" xfId="0"/>
    <cellStyle name="Note 13 4 3 3" xfId="0"/>
    <cellStyle name="Note 13 4 4" xfId="0"/>
    <cellStyle name="Note 13 4 5" xfId="0"/>
    <cellStyle name="Note 13 5" xfId="0"/>
    <cellStyle name="Note 13 5 2" xfId="0"/>
    <cellStyle name="Note 13 5 3" xfId="0"/>
    <cellStyle name="Note 13 6" xfId="0"/>
    <cellStyle name="Note 13 7" xfId="0"/>
    <cellStyle name="Note 14" xfId="0"/>
    <cellStyle name="Note 14 2" xfId="0"/>
    <cellStyle name="Note 14 2 2" xfId="0"/>
    <cellStyle name="Note 14 2 2 2" xfId="0"/>
    <cellStyle name="Note 14 2 2 2 2" xfId="0"/>
    <cellStyle name="Note 14 2 2 2 3" xfId="0"/>
    <cellStyle name="Note 14 2 2 3" xfId="0"/>
    <cellStyle name="Note 14 2 2 4" xfId="0"/>
    <cellStyle name="Note 14 2 3" xfId="0"/>
    <cellStyle name="Note 14 2 3 2" xfId="0"/>
    <cellStyle name="Note 14 2 3 2 2" xfId="0"/>
    <cellStyle name="Note 14 2 3 2 3" xfId="0"/>
    <cellStyle name="Note 14 2 3 3" xfId="0"/>
    <cellStyle name="Note 14 2 3 4" xfId="0"/>
    <cellStyle name="Note 14 2 4" xfId="0"/>
    <cellStyle name="Note 14 2 4 2" xfId="0"/>
    <cellStyle name="Note 14 2 4 3" xfId="0"/>
    <cellStyle name="Note 14 2 5" xfId="0"/>
    <cellStyle name="Note 14 2 6" xfId="0"/>
    <cellStyle name="Note 14 3" xfId="0"/>
    <cellStyle name="Note 14 3 2" xfId="0"/>
    <cellStyle name="Note 14 3 2 2" xfId="0"/>
    <cellStyle name="Note 14 3 2 2 2" xfId="0"/>
    <cellStyle name="Note 14 3 2 2 3" xfId="0"/>
    <cellStyle name="Note 14 3 2 3" xfId="0"/>
    <cellStyle name="Note 14 3 2 4" xfId="0"/>
    <cellStyle name="Note 14 3 3" xfId="0"/>
    <cellStyle name="Note 14 3 3 2" xfId="0"/>
    <cellStyle name="Note 14 3 3 3" xfId="0"/>
    <cellStyle name="Note 14 3 4" xfId="0"/>
    <cellStyle name="Note 14 3 5" xfId="0"/>
    <cellStyle name="Note 14 4" xfId="0"/>
    <cellStyle name="Note 14 4 2" xfId="0"/>
    <cellStyle name="Note 14 4 2 2" xfId="0"/>
    <cellStyle name="Note 14 4 2 2 2" xfId="0"/>
    <cellStyle name="Note 14 4 2 2 3" xfId="0"/>
    <cellStyle name="Note 14 4 2 3" xfId="0"/>
    <cellStyle name="Note 14 4 2 4" xfId="0"/>
    <cellStyle name="Note 14 4 3" xfId="0"/>
    <cellStyle name="Note 14 4 3 2" xfId="0"/>
    <cellStyle name="Note 14 4 3 3" xfId="0"/>
    <cellStyle name="Note 14 4 4" xfId="0"/>
    <cellStyle name="Note 14 4 5" xfId="0"/>
    <cellStyle name="Note 14 5" xfId="0"/>
    <cellStyle name="Note 14 5 2" xfId="0"/>
    <cellStyle name="Note 14 5 3" xfId="0"/>
    <cellStyle name="Note 14 6" xfId="0"/>
    <cellStyle name="Note 14 7" xfId="0"/>
    <cellStyle name="Note 15" xfId="0"/>
    <cellStyle name="Note 15 2" xfId="0"/>
    <cellStyle name="Note 15 2 2" xfId="0"/>
    <cellStyle name="Note 15 2 2 2" xfId="0"/>
    <cellStyle name="Note 15 2 2 2 2" xfId="0"/>
    <cellStyle name="Note 15 2 2 2 3" xfId="0"/>
    <cellStyle name="Note 15 2 2 3" xfId="0"/>
    <cellStyle name="Note 15 2 2 4" xfId="0"/>
    <cellStyle name="Note 15 2 3" xfId="0"/>
    <cellStyle name="Note 15 2 3 2" xfId="0"/>
    <cellStyle name="Note 15 2 3 2 2" xfId="0"/>
    <cellStyle name="Note 15 2 3 2 3" xfId="0"/>
    <cellStyle name="Note 15 2 3 3" xfId="0"/>
    <cellStyle name="Note 15 2 3 4" xfId="0"/>
    <cellStyle name="Note 15 2 4" xfId="0"/>
    <cellStyle name="Note 15 2 4 2" xfId="0"/>
    <cellStyle name="Note 15 2 4 3" xfId="0"/>
    <cellStyle name="Note 15 2 5" xfId="0"/>
    <cellStyle name="Note 15 2 6" xfId="0"/>
    <cellStyle name="Note 15 3" xfId="0"/>
    <cellStyle name="Note 15 3 2" xfId="0"/>
    <cellStyle name="Note 15 3 2 2" xfId="0"/>
    <cellStyle name="Note 15 3 2 2 2" xfId="0"/>
    <cellStyle name="Note 15 3 2 2 3" xfId="0"/>
    <cellStyle name="Note 15 3 2 3" xfId="0"/>
    <cellStyle name="Note 15 3 2 4" xfId="0"/>
    <cellStyle name="Note 15 3 3" xfId="0"/>
    <cellStyle name="Note 15 3 3 2" xfId="0"/>
    <cellStyle name="Note 15 3 3 3" xfId="0"/>
    <cellStyle name="Note 15 3 4" xfId="0"/>
    <cellStyle name="Note 15 3 5" xfId="0"/>
    <cellStyle name="Note 15 4" xfId="0"/>
    <cellStyle name="Note 15 4 2" xfId="0"/>
    <cellStyle name="Note 15 4 2 2" xfId="0"/>
    <cellStyle name="Note 15 4 2 2 2" xfId="0"/>
    <cellStyle name="Note 15 4 2 2 3" xfId="0"/>
    <cellStyle name="Note 15 4 2 3" xfId="0"/>
    <cellStyle name="Note 15 4 2 4" xfId="0"/>
    <cellStyle name="Note 15 4 3" xfId="0"/>
    <cellStyle name="Note 15 4 3 2" xfId="0"/>
    <cellStyle name="Note 15 4 3 3" xfId="0"/>
    <cellStyle name="Note 15 4 4" xfId="0"/>
    <cellStyle name="Note 15 4 5" xfId="0"/>
    <cellStyle name="Note 15 5" xfId="0"/>
    <cellStyle name="Note 15 5 2" xfId="0"/>
    <cellStyle name="Note 15 5 3" xfId="0"/>
    <cellStyle name="Note 15 6" xfId="0"/>
    <cellStyle name="Note 15 7" xfId="0"/>
    <cellStyle name="Note 16" xfId="0"/>
    <cellStyle name="Note 16 2" xfId="0"/>
    <cellStyle name="Note 16 2 2" xfId="0"/>
    <cellStyle name="Note 16 2 2 2" xfId="0"/>
    <cellStyle name="Note 16 2 2 2 2" xfId="0"/>
    <cellStyle name="Note 16 2 2 2 3" xfId="0"/>
    <cellStyle name="Note 16 2 2 3" xfId="0"/>
    <cellStyle name="Note 16 2 2 4" xfId="0"/>
    <cellStyle name="Note 16 2 3" xfId="0"/>
    <cellStyle name="Note 16 2 3 2" xfId="0"/>
    <cellStyle name="Note 16 2 3 2 2" xfId="0"/>
    <cellStyle name="Note 16 2 3 2 3" xfId="0"/>
    <cellStyle name="Note 16 2 3 3" xfId="0"/>
    <cellStyle name="Note 16 2 3 4" xfId="0"/>
    <cellStyle name="Note 16 2 4" xfId="0"/>
    <cellStyle name="Note 16 2 4 2" xfId="0"/>
    <cellStyle name="Note 16 2 4 3" xfId="0"/>
    <cellStyle name="Note 16 2 5" xfId="0"/>
    <cellStyle name="Note 16 2 6" xfId="0"/>
    <cellStyle name="Note 16 3" xfId="0"/>
    <cellStyle name="Note 16 3 2" xfId="0"/>
    <cellStyle name="Note 16 3 2 2" xfId="0"/>
    <cellStyle name="Note 16 3 2 2 2" xfId="0"/>
    <cellStyle name="Note 16 3 2 2 3" xfId="0"/>
    <cellStyle name="Note 16 3 2 3" xfId="0"/>
    <cellStyle name="Note 16 3 2 4" xfId="0"/>
    <cellStyle name="Note 16 3 3" xfId="0"/>
    <cellStyle name="Note 16 3 3 2" xfId="0"/>
    <cellStyle name="Note 16 3 3 3" xfId="0"/>
    <cellStyle name="Note 16 3 4" xfId="0"/>
    <cellStyle name="Note 16 3 5" xfId="0"/>
    <cellStyle name="Note 16 4" xfId="0"/>
    <cellStyle name="Note 16 4 2" xfId="0"/>
    <cellStyle name="Note 16 4 2 2" xfId="0"/>
    <cellStyle name="Note 16 4 2 2 2" xfId="0"/>
    <cellStyle name="Note 16 4 2 2 3" xfId="0"/>
    <cellStyle name="Note 16 4 2 3" xfId="0"/>
    <cellStyle name="Note 16 4 2 4" xfId="0"/>
    <cellStyle name="Note 16 4 3" xfId="0"/>
    <cellStyle name="Note 16 4 3 2" xfId="0"/>
    <cellStyle name="Note 16 4 3 3" xfId="0"/>
    <cellStyle name="Note 16 4 4" xfId="0"/>
    <cellStyle name="Note 16 4 5" xfId="0"/>
    <cellStyle name="Note 16 5" xfId="0"/>
    <cellStyle name="Note 16 5 2" xfId="0"/>
    <cellStyle name="Note 16 5 3" xfId="0"/>
    <cellStyle name="Note 16 6" xfId="0"/>
    <cellStyle name="Note 16 7" xfId="0"/>
    <cellStyle name="Note 17" xfId="0"/>
    <cellStyle name="Note 17 2" xfId="0"/>
    <cellStyle name="Note 17 2 2" xfId="0"/>
    <cellStyle name="Note 17 2 2 2" xfId="0"/>
    <cellStyle name="Note 17 2 2 2 2" xfId="0"/>
    <cellStyle name="Note 17 2 2 2 3" xfId="0"/>
    <cellStyle name="Note 17 2 2 3" xfId="0"/>
    <cellStyle name="Note 17 2 2 4" xfId="0"/>
    <cellStyle name="Note 17 2 3" xfId="0"/>
    <cellStyle name="Note 17 2 3 2" xfId="0"/>
    <cellStyle name="Note 17 2 3 2 2" xfId="0"/>
    <cellStyle name="Note 17 2 3 2 3" xfId="0"/>
    <cellStyle name="Note 17 2 3 3" xfId="0"/>
    <cellStyle name="Note 17 2 3 4" xfId="0"/>
    <cellStyle name="Note 17 2 4" xfId="0"/>
    <cellStyle name="Note 17 2 4 2" xfId="0"/>
    <cellStyle name="Note 17 2 4 3" xfId="0"/>
    <cellStyle name="Note 17 2 5" xfId="0"/>
    <cellStyle name="Note 17 2 6" xfId="0"/>
    <cellStyle name="Note 17 3" xfId="0"/>
    <cellStyle name="Note 17 3 2" xfId="0"/>
    <cellStyle name="Note 17 3 2 2" xfId="0"/>
    <cellStyle name="Note 17 3 2 2 2" xfId="0"/>
    <cellStyle name="Note 17 3 2 2 3" xfId="0"/>
    <cellStyle name="Note 17 3 2 3" xfId="0"/>
    <cellStyle name="Note 17 3 2 4" xfId="0"/>
    <cellStyle name="Note 17 3 3" xfId="0"/>
    <cellStyle name="Note 17 3 3 2" xfId="0"/>
    <cellStyle name="Note 17 3 3 3" xfId="0"/>
    <cellStyle name="Note 17 3 4" xfId="0"/>
    <cellStyle name="Note 17 3 5" xfId="0"/>
    <cellStyle name="Note 17 4" xfId="0"/>
    <cellStyle name="Note 17 4 2" xfId="0"/>
    <cellStyle name="Note 17 4 2 2" xfId="0"/>
    <cellStyle name="Note 17 4 2 2 2" xfId="0"/>
    <cellStyle name="Note 17 4 2 2 3" xfId="0"/>
    <cellStyle name="Note 17 4 2 3" xfId="0"/>
    <cellStyle name="Note 17 4 2 4" xfId="0"/>
    <cellStyle name="Note 17 4 3" xfId="0"/>
    <cellStyle name="Note 17 4 3 2" xfId="0"/>
    <cellStyle name="Note 17 4 3 3" xfId="0"/>
    <cellStyle name="Note 17 4 4" xfId="0"/>
    <cellStyle name="Note 17 4 5" xfId="0"/>
    <cellStyle name="Note 17 5" xfId="0"/>
    <cellStyle name="Note 17 5 2" xfId="0"/>
    <cellStyle name="Note 17 5 3" xfId="0"/>
    <cellStyle name="Note 17 6" xfId="0"/>
    <cellStyle name="Note 17 7" xfId="0"/>
    <cellStyle name="Note 18" xfId="0"/>
    <cellStyle name="Note 18 2" xfId="0"/>
    <cellStyle name="Note 18 2 2" xfId="0"/>
    <cellStyle name="Note 18 2 2 2" xfId="0"/>
    <cellStyle name="Note 18 2 2 2 2" xfId="0"/>
    <cellStyle name="Note 18 2 2 2 3" xfId="0"/>
    <cellStyle name="Note 18 2 2 3" xfId="0"/>
    <cellStyle name="Note 18 2 2 4" xfId="0"/>
    <cellStyle name="Note 18 2 3" xfId="0"/>
    <cellStyle name="Note 18 2 3 2" xfId="0"/>
    <cellStyle name="Note 18 2 3 2 2" xfId="0"/>
    <cellStyle name="Note 18 2 3 2 3" xfId="0"/>
    <cellStyle name="Note 18 2 3 3" xfId="0"/>
    <cellStyle name="Note 18 2 3 4" xfId="0"/>
    <cellStyle name="Note 18 2 4" xfId="0"/>
    <cellStyle name="Note 18 2 4 2" xfId="0"/>
    <cellStyle name="Note 18 2 4 3" xfId="0"/>
    <cellStyle name="Note 18 2 5" xfId="0"/>
    <cellStyle name="Note 18 2 6" xfId="0"/>
    <cellStyle name="Note 18 3" xfId="0"/>
    <cellStyle name="Note 18 3 2" xfId="0"/>
    <cellStyle name="Note 18 3 2 2" xfId="0"/>
    <cellStyle name="Note 18 3 2 2 2" xfId="0"/>
    <cellStyle name="Note 18 3 2 2 3" xfId="0"/>
    <cellStyle name="Note 18 3 2 3" xfId="0"/>
    <cellStyle name="Note 18 3 2 4" xfId="0"/>
    <cellStyle name="Note 18 3 3" xfId="0"/>
    <cellStyle name="Note 18 3 3 2" xfId="0"/>
    <cellStyle name="Note 18 3 3 3" xfId="0"/>
    <cellStyle name="Note 18 3 4" xfId="0"/>
    <cellStyle name="Note 18 3 5" xfId="0"/>
    <cellStyle name="Note 18 4" xfId="0"/>
    <cellStyle name="Note 18 4 2" xfId="0"/>
    <cellStyle name="Note 18 4 2 2" xfId="0"/>
    <cellStyle name="Note 18 4 2 2 2" xfId="0"/>
    <cellStyle name="Note 18 4 2 2 3" xfId="0"/>
    <cellStyle name="Note 18 4 2 3" xfId="0"/>
    <cellStyle name="Note 18 4 2 4" xfId="0"/>
    <cellStyle name="Note 18 4 3" xfId="0"/>
    <cellStyle name="Note 18 4 3 2" xfId="0"/>
    <cellStyle name="Note 18 4 3 3" xfId="0"/>
    <cellStyle name="Note 18 4 4" xfId="0"/>
    <cellStyle name="Note 18 4 5" xfId="0"/>
    <cellStyle name="Note 18 5" xfId="0"/>
    <cellStyle name="Note 18 5 2" xfId="0"/>
    <cellStyle name="Note 18 5 3" xfId="0"/>
    <cellStyle name="Note 18 6" xfId="0"/>
    <cellStyle name="Note 18 7" xfId="0"/>
    <cellStyle name="Note 19" xfId="0"/>
    <cellStyle name="Note 19 2" xfId="0"/>
    <cellStyle name="Note 19 2 2" xfId="0"/>
    <cellStyle name="Note 19 2 2 2" xfId="0"/>
    <cellStyle name="Note 19 2 2 2 2" xfId="0"/>
    <cellStyle name="Note 19 2 2 2 3" xfId="0"/>
    <cellStyle name="Note 19 2 2 3" xfId="0"/>
    <cellStyle name="Note 19 2 2 4" xfId="0"/>
    <cellStyle name="Note 19 2 3" xfId="0"/>
    <cellStyle name="Note 19 2 3 2" xfId="0"/>
    <cellStyle name="Note 19 2 3 2 2" xfId="0"/>
    <cellStyle name="Note 19 2 3 2 3" xfId="0"/>
    <cellStyle name="Note 19 2 3 3" xfId="0"/>
    <cellStyle name="Note 19 2 3 4" xfId="0"/>
    <cellStyle name="Note 19 2 4" xfId="0"/>
    <cellStyle name="Note 19 2 4 2" xfId="0"/>
    <cellStyle name="Note 19 2 4 3" xfId="0"/>
    <cellStyle name="Note 19 2 5" xfId="0"/>
    <cellStyle name="Note 19 2 6" xfId="0"/>
    <cellStyle name="Note 19 3" xfId="0"/>
    <cellStyle name="Note 19 3 2" xfId="0"/>
    <cellStyle name="Note 19 3 2 2" xfId="0"/>
    <cellStyle name="Note 19 3 2 2 2" xfId="0"/>
    <cellStyle name="Note 19 3 2 2 3" xfId="0"/>
    <cellStyle name="Note 19 3 2 3" xfId="0"/>
    <cellStyle name="Note 19 3 2 4" xfId="0"/>
    <cellStyle name="Note 19 3 3" xfId="0"/>
    <cellStyle name="Note 19 3 3 2" xfId="0"/>
    <cellStyle name="Note 19 3 3 3" xfId="0"/>
    <cellStyle name="Note 19 3 4" xfId="0"/>
    <cellStyle name="Note 19 3 5" xfId="0"/>
    <cellStyle name="Note 19 4" xfId="0"/>
    <cellStyle name="Note 19 4 2" xfId="0"/>
    <cellStyle name="Note 19 4 2 2" xfId="0"/>
    <cellStyle name="Note 19 4 2 2 2" xfId="0"/>
    <cellStyle name="Note 19 4 2 2 3" xfId="0"/>
    <cellStyle name="Note 19 4 2 3" xfId="0"/>
    <cellStyle name="Note 19 4 2 4" xfId="0"/>
    <cellStyle name="Note 19 4 3" xfId="0"/>
    <cellStyle name="Note 19 4 3 2" xfId="0"/>
    <cellStyle name="Note 19 4 3 3" xfId="0"/>
    <cellStyle name="Note 19 4 4" xfId="0"/>
    <cellStyle name="Note 19 4 5" xfId="0"/>
    <cellStyle name="Note 19 5" xfId="0"/>
    <cellStyle name="Note 19 5 2" xfId="0"/>
    <cellStyle name="Note 19 5 3" xfId="0"/>
    <cellStyle name="Note 19 6" xfId="0"/>
    <cellStyle name="Note 19 7" xfId="0"/>
    <cellStyle name="Note 2" xfId="0"/>
    <cellStyle name="Note 2 10" xfId="0"/>
    <cellStyle name="Note 2 11" xfId="0"/>
    <cellStyle name="Note 2 2" xfId="0"/>
    <cellStyle name="Note 2 2 2" xfId="0"/>
    <cellStyle name="Note 2 2 2 2" xfId="0"/>
    <cellStyle name="Note 2 2 2 2 2" xfId="0"/>
    <cellStyle name="Note 2 2 2 2 2 2" xfId="0"/>
    <cellStyle name="Note 2 2 2 2 2 3" xfId="0"/>
    <cellStyle name="Note 2 2 2 2 3" xfId="0"/>
    <cellStyle name="Note 2 2 2 2 4" xfId="0"/>
    <cellStyle name="Note 2 2 2 3" xfId="0"/>
    <cellStyle name="Note 2 2 2 3 2" xfId="0"/>
    <cellStyle name="Note 2 2 2 3 3" xfId="0"/>
    <cellStyle name="Note 2 2 2 4" xfId="0"/>
    <cellStyle name="Note 2 2 2 5" xfId="0"/>
    <cellStyle name="Note 2 2 3" xfId="0"/>
    <cellStyle name="Note 2 2 3 2" xfId="0"/>
    <cellStyle name="Note 2 2 3 2 2" xfId="0"/>
    <cellStyle name="Note 2 2 3 2 3" xfId="0"/>
    <cellStyle name="Note 2 2 3 3" xfId="0"/>
    <cellStyle name="Note 2 2 3 4" xfId="0"/>
    <cellStyle name="Note 2 2 4" xfId="0"/>
    <cellStyle name="Note 2 2 4 2" xfId="0"/>
    <cellStyle name="Note 2 2 4 3" xfId="0"/>
    <cellStyle name="Note 2 2 5" xfId="0"/>
    <cellStyle name="Note 2 2 6" xfId="0"/>
    <cellStyle name="Note 2 3" xfId="0"/>
    <cellStyle name="Note 2 3 2" xfId="0"/>
    <cellStyle name="Note 2 3 2 2" xfId="0"/>
    <cellStyle name="Note 2 3 2 2 2" xfId="0"/>
    <cellStyle name="Note 2 3 2 2 2 2" xfId="0"/>
    <cellStyle name="Note 2 3 2 2 2 3" xfId="0"/>
    <cellStyle name="Note 2 3 2 2 3" xfId="0"/>
    <cellStyle name="Note 2 3 2 2 4" xfId="0"/>
    <cellStyle name="Note 2 3 2 3" xfId="0"/>
    <cellStyle name="Note 2 3 2 3 2" xfId="0"/>
    <cellStyle name="Note 2 3 2 3 3" xfId="0"/>
    <cellStyle name="Note 2 3 2 4" xfId="0"/>
    <cellStyle name="Note 2 3 2 5" xfId="0"/>
    <cellStyle name="Note 2 3 3" xfId="0"/>
    <cellStyle name="Note 2 3 3 2" xfId="0"/>
    <cellStyle name="Note 2 3 3 2 2" xfId="0"/>
    <cellStyle name="Note 2 3 3 2 3" xfId="0"/>
    <cellStyle name="Note 2 3 3 3" xfId="0"/>
    <cellStyle name="Note 2 3 3 4" xfId="0"/>
    <cellStyle name="Note 2 3 4" xfId="0"/>
    <cellStyle name="Note 2 3 4 2" xfId="0"/>
    <cellStyle name="Note 2 3 4 3" xfId="0"/>
    <cellStyle name="Note 2 3 5" xfId="0"/>
    <cellStyle name="Note 2 3 6" xfId="0"/>
    <cellStyle name="Note 2 4" xfId="0"/>
    <cellStyle name="Note 2 4 2" xfId="0"/>
    <cellStyle name="Note 2 4 2 2" xfId="0"/>
    <cellStyle name="Note 2 4 2 2 2" xfId="0"/>
    <cellStyle name="Note 2 4 2 2 2 2" xfId="0"/>
    <cellStyle name="Note 2 4 2 2 2 3" xfId="0"/>
    <cellStyle name="Note 2 4 2 2 3" xfId="0"/>
    <cellStyle name="Note 2 4 2 2 4" xfId="0"/>
    <cellStyle name="Note 2 4 2 3" xfId="0"/>
    <cellStyle name="Note 2 4 2 3 2" xfId="0"/>
    <cellStyle name="Note 2 4 2 3 3" xfId="0"/>
    <cellStyle name="Note 2 4 2 4" xfId="0"/>
    <cellStyle name="Note 2 4 2 5" xfId="0"/>
    <cellStyle name="Note 2 4 3" xfId="0"/>
    <cellStyle name="Note 2 4 3 2" xfId="0"/>
    <cellStyle name="Note 2 4 3 2 2" xfId="0"/>
    <cellStyle name="Note 2 4 3 2 3" xfId="0"/>
    <cellStyle name="Note 2 4 3 3" xfId="0"/>
    <cellStyle name="Note 2 4 3 4" xfId="0"/>
    <cellStyle name="Note 2 4 4" xfId="0"/>
    <cellStyle name="Note 2 4 4 2" xfId="0"/>
    <cellStyle name="Note 2 4 4 3" xfId="0"/>
    <cellStyle name="Note 2 4 5" xfId="0"/>
    <cellStyle name="Note 2 4 6" xfId="0"/>
    <cellStyle name="Note 2 5" xfId="0"/>
    <cellStyle name="Note 2 5 2" xfId="0"/>
    <cellStyle name="Note 2 5 2 2" xfId="0"/>
    <cellStyle name="Note 2 5 2 2 2" xfId="0"/>
    <cellStyle name="Note 2 5 2 2 2 2" xfId="0"/>
    <cellStyle name="Note 2 5 2 2 2 3" xfId="0"/>
    <cellStyle name="Note 2 5 2 2 3" xfId="0"/>
    <cellStyle name="Note 2 5 2 2 4" xfId="0"/>
    <cellStyle name="Note 2 5 2 3" xfId="0"/>
    <cellStyle name="Note 2 5 2 3 2" xfId="0"/>
    <cellStyle name="Note 2 5 2 3 3" xfId="0"/>
    <cellStyle name="Note 2 5 2 4" xfId="0"/>
    <cellStyle name="Note 2 5 2 5" xfId="0"/>
    <cellStyle name="Note 2 5 3" xfId="0"/>
    <cellStyle name="Note 2 5 3 2" xfId="0"/>
    <cellStyle name="Note 2 5 3 2 2" xfId="0"/>
    <cellStyle name="Note 2 5 3 2 3" xfId="0"/>
    <cellStyle name="Note 2 5 3 3" xfId="0"/>
    <cellStyle name="Note 2 5 3 4" xfId="0"/>
    <cellStyle name="Note 2 5 4" xfId="0"/>
    <cellStyle name="Note 2 5 4 2" xfId="0"/>
    <cellStyle name="Note 2 5 4 3" xfId="0"/>
    <cellStyle name="Note 2 5 5" xfId="0"/>
    <cellStyle name="Note 2 5 6" xfId="0"/>
    <cellStyle name="Note 2 6" xfId="0"/>
    <cellStyle name="Note 2 6 2" xfId="0"/>
    <cellStyle name="Note 2 6 2 2" xfId="0"/>
    <cellStyle name="Note 2 6 2 2 2" xfId="0"/>
    <cellStyle name="Note 2 6 2 2 3" xfId="0"/>
    <cellStyle name="Note 2 6 2 3" xfId="0"/>
    <cellStyle name="Note 2 6 2 4" xfId="0"/>
    <cellStyle name="Note 2 6 3" xfId="0"/>
    <cellStyle name="Note 2 6 3 2" xfId="0"/>
    <cellStyle name="Note 2 6 3 3" xfId="0"/>
    <cellStyle name="Note 2 6 4" xfId="0"/>
    <cellStyle name="Note 2 6 5" xfId="0"/>
    <cellStyle name="Note 2 7" xfId="0"/>
    <cellStyle name="Note 2 7 2" xfId="0"/>
    <cellStyle name="Note 2 7 2 2" xfId="0"/>
    <cellStyle name="Note 2 7 2 2 2" xfId="0"/>
    <cellStyle name="Note 2 7 2 2 3" xfId="0"/>
    <cellStyle name="Note 2 7 2 3" xfId="0"/>
    <cellStyle name="Note 2 7 2 4" xfId="0"/>
    <cellStyle name="Note 2 7 3" xfId="0"/>
    <cellStyle name="Note 2 7 3 2" xfId="0"/>
    <cellStyle name="Note 2 7 3 3" xfId="0"/>
    <cellStyle name="Note 2 7 4" xfId="0"/>
    <cellStyle name="Note 2 7 5" xfId="0"/>
    <cellStyle name="Note 2 8" xfId="0"/>
    <cellStyle name="Note 2 8 2" xfId="0"/>
    <cellStyle name="Note 2 8 3" xfId="0"/>
    <cellStyle name="Note 2 9" xfId="0"/>
    <cellStyle name="Note 2 9 2" xfId="0"/>
    <cellStyle name="Note 2 9 3" xfId="0"/>
    <cellStyle name="Note 20" xfId="0"/>
    <cellStyle name="Note 20 2" xfId="0"/>
    <cellStyle name="Note 20 2 2" xfId="0"/>
    <cellStyle name="Note 20 2 2 2" xfId="0"/>
    <cellStyle name="Note 20 2 2 2 2" xfId="0"/>
    <cellStyle name="Note 20 2 2 2 3" xfId="0"/>
    <cellStyle name="Note 20 2 2 3" xfId="0"/>
    <cellStyle name="Note 20 2 2 4" xfId="0"/>
    <cellStyle name="Note 20 2 3" xfId="0"/>
    <cellStyle name="Note 20 2 3 2" xfId="0"/>
    <cellStyle name="Note 20 2 3 3" xfId="0"/>
    <cellStyle name="Note 20 2 4" xfId="0"/>
    <cellStyle name="Note 20 2 5" xfId="0"/>
    <cellStyle name="Note 20 3" xfId="0"/>
    <cellStyle name="Note 20 3 2" xfId="0"/>
    <cellStyle name="Note 20 3 2 2" xfId="0"/>
    <cellStyle name="Note 20 3 2 3" xfId="0"/>
    <cellStyle name="Note 20 3 3" xfId="0"/>
    <cellStyle name="Note 20 3 4" xfId="0"/>
    <cellStyle name="Note 20 4" xfId="0"/>
    <cellStyle name="Note 20 4 2" xfId="0"/>
    <cellStyle name="Note 20 4 3" xfId="0"/>
    <cellStyle name="Note 20 5" xfId="0"/>
    <cellStyle name="Note 20 6" xfId="0"/>
    <cellStyle name="Note 21" xfId="0"/>
    <cellStyle name="Note 21 2" xfId="0"/>
    <cellStyle name="Note 21 2 2" xfId="0"/>
    <cellStyle name="Note 21 2 2 2" xfId="0"/>
    <cellStyle name="Note 21 2 2 3" xfId="0"/>
    <cellStyle name="Note 21 2 3" xfId="0"/>
    <cellStyle name="Note 21 2 4" xfId="0"/>
    <cellStyle name="Note 21 3" xfId="0"/>
    <cellStyle name="Note 21 3 2" xfId="0"/>
    <cellStyle name="Note 21 3 2 2" xfId="0"/>
    <cellStyle name="Note 21 3 2 3" xfId="0"/>
    <cellStyle name="Note 21 3 3" xfId="0"/>
    <cellStyle name="Note 21 3 4" xfId="0"/>
    <cellStyle name="Note 21 4" xfId="0"/>
    <cellStyle name="Note 21 4 2" xfId="0"/>
    <cellStyle name="Note 21 4 3" xfId="0"/>
    <cellStyle name="Note 21 5" xfId="0"/>
    <cellStyle name="Note 21 6" xfId="0"/>
    <cellStyle name="Note 22" xfId="0"/>
    <cellStyle name="Note 22 2" xfId="0"/>
    <cellStyle name="Note 22 2 2" xfId="0"/>
    <cellStyle name="Note 22 2 2 2" xfId="0"/>
    <cellStyle name="Note 22 2 2 3" xfId="0"/>
    <cellStyle name="Note 22 2 3" xfId="0"/>
    <cellStyle name="Note 22 2 4" xfId="0"/>
    <cellStyle name="Note 22 3" xfId="0"/>
    <cellStyle name="Note 22 3 2" xfId="0"/>
    <cellStyle name="Note 22 3 2 2" xfId="0"/>
    <cellStyle name="Note 22 3 2 3" xfId="0"/>
    <cellStyle name="Note 22 3 3" xfId="0"/>
    <cellStyle name="Note 22 3 4" xfId="0"/>
    <cellStyle name="Note 22 4" xfId="0"/>
    <cellStyle name="Note 22 4 2" xfId="0"/>
    <cellStyle name="Note 22 4 3" xfId="0"/>
    <cellStyle name="Note 22 5" xfId="0"/>
    <cellStyle name="Note 22 6" xfId="0"/>
    <cellStyle name="Note 23" xfId="0"/>
    <cellStyle name="Note 23 2" xfId="0"/>
    <cellStyle name="Note 23 2 2" xfId="0"/>
    <cellStyle name="Note 23 2 2 2" xfId="0"/>
    <cellStyle name="Note 23 2 2 3" xfId="0"/>
    <cellStyle name="Note 23 2 3" xfId="0"/>
    <cellStyle name="Note 23 2 4" xfId="0"/>
    <cellStyle name="Note 23 3" xfId="0"/>
    <cellStyle name="Note 23 3 2" xfId="0"/>
    <cellStyle name="Note 23 3 2 2" xfId="0"/>
    <cellStyle name="Note 23 3 2 3" xfId="0"/>
    <cellStyle name="Note 23 3 3" xfId="0"/>
    <cellStyle name="Note 23 3 4" xfId="0"/>
    <cellStyle name="Note 23 4" xfId="0"/>
    <cellStyle name="Note 23 4 2" xfId="0"/>
    <cellStyle name="Note 23 4 3" xfId="0"/>
    <cellStyle name="Note 23 5" xfId="0"/>
    <cellStyle name="Note 23 6" xfId="0"/>
    <cellStyle name="Note 24" xfId="0"/>
    <cellStyle name="Note 24 2" xfId="0"/>
    <cellStyle name="Note 24 2 2" xfId="0"/>
    <cellStyle name="Note 24 2 2 2" xfId="0"/>
    <cellStyle name="Note 24 2 2 3" xfId="0"/>
    <cellStyle name="Note 24 2 3" xfId="0"/>
    <cellStyle name="Note 24 2 4" xfId="0"/>
    <cellStyle name="Note 24 3" xfId="0"/>
    <cellStyle name="Note 24 3 2" xfId="0"/>
    <cellStyle name="Note 24 3 2 2" xfId="0"/>
    <cellStyle name="Note 24 3 2 3" xfId="0"/>
    <cellStyle name="Note 24 3 3" xfId="0"/>
    <cellStyle name="Note 24 3 4" xfId="0"/>
    <cellStyle name="Note 24 4" xfId="0"/>
    <cellStyle name="Note 24 4 2" xfId="0"/>
    <cellStyle name="Note 24 4 3" xfId="0"/>
    <cellStyle name="Note 24 5" xfId="0"/>
    <cellStyle name="Note 24 6" xfId="0"/>
    <cellStyle name="Note 25" xfId="0"/>
    <cellStyle name="Note 25 2" xfId="0"/>
    <cellStyle name="Note 25 2 2" xfId="0"/>
    <cellStyle name="Note 25 2 2 2" xfId="0"/>
    <cellStyle name="Note 25 2 2 3" xfId="0"/>
    <cellStyle name="Note 25 2 3" xfId="0"/>
    <cellStyle name="Note 25 2 4" xfId="0"/>
    <cellStyle name="Note 25 3" xfId="0"/>
    <cellStyle name="Note 25 3 2" xfId="0"/>
    <cellStyle name="Note 25 3 3" xfId="0"/>
    <cellStyle name="Note 25 4" xfId="0"/>
    <cellStyle name="Note 25 5" xfId="0"/>
    <cellStyle name="Note 26" xfId="0"/>
    <cellStyle name="Note 26 2" xfId="0"/>
    <cellStyle name="Note 26 2 2" xfId="0"/>
    <cellStyle name="Note 26 2 2 2" xfId="0"/>
    <cellStyle name="Note 26 2 2 3" xfId="0"/>
    <cellStyle name="Note 26 2 3" xfId="0"/>
    <cellStyle name="Note 26 2 4" xfId="0"/>
    <cellStyle name="Note 26 3" xfId="0"/>
    <cellStyle name="Note 26 3 2" xfId="0"/>
    <cellStyle name="Note 26 3 3" xfId="0"/>
    <cellStyle name="Note 26 4" xfId="0"/>
    <cellStyle name="Note 26 5" xfId="0"/>
    <cellStyle name="Note 27" xfId="0"/>
    <cellStyle name="Note 27 2" xfId="0"/>
    <cellStyle name="Note 27 2 2" xfId="0"/>
    <cellStyle name="Note 27 2 2 2" xfId="0"/>
    <cellStyle name="Note 27 2 2 3" xfId="0"/>
    <cellStyle name="Note 27 2 3" xfId="0"/>
    <cellStyle name="Note 27 2 4" xfId="0"/>
    <cellStyle name="Note 27 3" xfId="0"/>
    <cellStyle name="Note 27 3 2" xfId="0"/>
    <cellStyle name="Note 27 3 3" xfId="0"/>
    <cellStyle name="Note 27 4" xfId="0"/>
    <cellStyle name="Note 27 5" xfId="0"/>
    <cellStyle name="Note 28" xfId="0"/>
    <cellStyle name="Note 28 2" xfId="0"/>
    <cellStyle name="Note 28 2 2" xfId="0"/>
    <cellStyle name="Note 28 2 3" xfId="0"/>
    <cellStyle name="Note 28 3" xfId="0"/>
    <cellStyle name="Note 28 4" xfId="0"/>
    <cellStyle name="Note 29" xfId="0"/>
    <cellStyle name="Note 29 2" xfId="0"/>
    <cellStyle name="Note 29 2 2" xfId="0"/>
    <cellStyle name="Note 29 2 3" xfId="0"/>
    <cellStyle name="Note 29 3" xfId="0"/>
    <cellStyle name="Note 29 4" xfId="0"/>
    <cellStyle name="Note 3" xfId="0"/>
    <cellStyle name="Note 3 10" xfId="0"/>
    <cellStyle name="Note 3 2" xfId="0"/>
    <cellStyle name="Note 3 2 2" xfId="0"/>
    <cellStyle name="Note 3 2 2 2" xfId="0"/>
    <cellStyle name="Note 3 2 2 2 2" xfId="0"/>
    <cellStyle name="Note 3 2 2 2 3" xfId="0"/>
    <cellStyle name="Note 3 2 2 3" xfId="0"/>
    <cellStyle name="Note 3 2 2 4" xfId="0"/>
    <cellStyle name="Note 3 2 3" xfId="0"/>
    <cellStyle name="Note 3 2 3 2" xfId="0"/>
    <cellStyle name="Note 3 2 3 2 2" xfId="0"/>
    <cellStyle name="Note 3 2 3 2 3" xfId="0"/>
    <cellStyle name="Note 3 2 3 3" xfId="0"/>
    <cellStyle name="Note 3 2 3 4" xfId="0"/>
    <cellStyle name="Note 3 2 4" xfId="0"/>
    <cellStyle name="Note 3 2 4 2" xfId="0"/>
    <cellStyle name="Note 3 2 4 3" xfId="0"/>
    <cellStyle name="Note 3 2 5" xfId="0"/>
    <cellStyle name="Note 3 2 6" xfId="0"/>
    <cellStyle name="Note 3 3" xfId="0"/>
    <cellStyle name="Note 3 3 2" xfId="0"/>
    <cellStyle name="Note 3 3 2 2" xfId="0"/>
    <cellStyle name="Note 3 3 2 2 2" xfId="0"/>
    <cellStyle name="Note 3 3 2 2 3" xfId="0"/>
    <cellStyle name="Note 3 3 2 3" xfId="0"/>
    <cellStyle name="Note 3 3 2 4" xfId="0"/>
    <cellStyle name="Note 3 3 3" xfId="0"/>
    <cellStyle name="Note 3 3 3 2" xfId="0"/>
    <cellStyle name="Note 3 3 3 2 2" xfId="0"/>
    <cellStyle name="Note 3 3 3 2 3" xfId="0"/>
    <cellStyle name="Note 3 3 3 3" xfId="0"/>
    <cellStyle name="Note 3 3 3 4" xfId="0"/>
    <cellStyle name="Note 3 3 4" xfId="0"/>
    <cellStyle name="Note 3 3 4 2" xfId="0"/>
    <cellStyle name="Note 3 3 4 3" xfId="0"/>
    <cellStyle name="Note 3 3 5" xfId="0"/>
    <cellStyle name="Note 3 3 6" xfId="0"/>
    <cellStyle name="Note 3 4" xfId="0"/>
    <cellStyle name="Note 3 4 2" xfId="0"/>
    <cellStyle name="Note 3 4 2 2" xfId="0"/>
    <cellStyle name="Note 3 4 2 2 2" xfId="0"/>
    <cellStyle name="Note 3 4 2 2 3" xfId="0"/>
    <cellStyle name="Note 3 4 2 3" xfId="0"/>
    <cellStyle name="Note 3 4 2 4" xfId="0"/>
    <cellStyle name="Note 3 4 3" xfId="0"/>
    <cellStyle name="Note 3 4 3 2" xfId="0"/>
    <cellStyle name="Note 3 4 3 2 2" xfId="0"/>
    <cellStyle name="Note 3 4 3 2 3" xfId="0"/>
    <cellStyle name="Note 3 4 3 3" xfId="0"/>
    <cellStyle name="Note 3 4 3 4" xfId="0"/>
    <cellStyle name="Note 3 4 4" xfId="0"/>
    <cellStyle name="Note 3 4 4 2" xfId="0"/>
    <cellStyle name="Note 3 4 4 3" xfId="0"/>
    <cellStyle name="Note 3 4 5" xfId="0"/>
    <cellStyle name="Note 3 4 6" xfId="0"/>
    <cellStyle name="Note 3 5" xfId="0"/>
    <cellStyle name="Note 3 5 2" xfId="0"/>
    <cellStyle name="Note 3 5 2 2" xfId="0"/>
    <cellStyle name="Note 3 5 2 2 2" xfId="0"/>
    <cellStyle name="Note 3 5 2 2 3" xfId="0"/>
    <cellStyle name="Note 3 5 2 3" xfId="0"/>
    <cellStyle name="Note 3 5 2 4" xfId="0"/>
    <cellStyle name="Note 3 5 3" xfId="0"/>
    <cellStyle name="Note 3 5 3 2" xfId="0"/>
    <cellStyle name="Note 3 5 3 2 2" xfId="0"/>
    <cellStyle name="Note 3 5 3 2 3" xfId="0"/>
    <cellStyle name="Note 3 5 3 3" xfId="0"/>
    <cellStyle name="Note 3 5 3 4" xfId="0"/>
    <cellStyle name="Note 3 5 4" xfId="0"/>
    <cellStyle name="Note 3 5 4 2" xfId="0"/>
    <cellStyle name="Note 3 5 4 3" xfId="0"/>
    <cellStyle name="Note 3 5 5" xfId="0"/>
    <cellStyle name="Note 3 5 6" xfId="0"/>
    <cellStyle name="Note 3 6" xfId="0"/>
    <cellStyle name="Note 3 6 2" xfId="0"/>
    <cellStyle name="Note 3 6 2 2" xfId="0"/>
    <cellStyle name="Note 3 6 2 2 2" xfId="0"/>
    <cellStyle name="Note 3 6 2 2 3" xfId="0"/>
    <cellStyle name="Note 3 6 2 3" xfId="0"/>
    <cellStyle name="Note 3 6 2 4" xfId="0"/>
    <cellStyle name="Note 3 6 3" xfId="0"/>
    <cellStyle name="Note 3 6 3 2" xfId="0"/>
    <cellStyle name="Note 3 6 3 3" xfId="0"/>
    <cellStyle name="Note 3 6 4" xfId="0"/>
    <cellStyle name="Note 3 6 5" xfId="0"/>
    <cellStyle name="Note 3 7" xfId="0"/>
    <cellStyle name="Note 3 7 2" xfId="0"/>
    <cellStyle name="Note 3 7 2 2" xfId="0"/>
    <cellStyle name="Note 3 7 2 2 2" xfId="0"/>
    <cellStyle name="Note 3 7 2 2 3" xfId="0"/>
    <cellStyle name="Note 3 7 2 3" xfId="0"/>
    <cellStyle name="Note 3 7 2 4" xfId="0"/>
    <cellStyle name="Note 3 7 3" xfId="0"/>
    <cellStyle name="Note 3 7 3 2" xfId="0"/>
    <cellStyle name="Note 3 7 3 3" xfId="0"/>
    <cellStyle name="Note 3 7 4" xfId="0"/>
    <cellStyle name="Note 3 7 5" xfId="0"/>
    <cellStyle name="Note 3 8" xfId="0"/>
    <cellStyle name="Note 3 8 2" xfId="0"/>
    <cellStyle name="Note 3 8 3" xfId="0"/>
    <cellStyle name="Note 3 9" xfId="0"/>
    <cellStyle name="Note 30" xfId="0"/>
    <cellStyle name="Note 30 2" xfId="0"/>
    <cellStyle name="Note 30 3" xfId="0"/>
    <cellStyle name="Note 31" xfId="0"/>
    <cellStyle name="Note 31 2" xfId="0"/>
    <cellStyle name="Note 31 3" xfId="0"/>
    <cellStyle name="Note 32" xfId="0"/>
    <cellStyle name="Note 32 2" xfId="0"/>
    <cellStyle name="Note 32 3" xfId="0"/>
    <cellStyle name="Note 33" xfId="0"/>
    <cellStyle name="Note 33 2" xfId="0"/>
    <cellStyle name="Note 33 3" xfId="0"/>
    <cellStyle name="Note 34" xfId="0"/>
    <cellStyle name="Note 35" xfId="0"/>
    <cellStyle name="Note 4" xfId="0"/>
    <cellStyle name="Note 4 10" xfId="0"/>
    <cellStyle name="Note 4 2" xfId="0"/>
    <cellStyle name="Note 4 2 2" xfId="0"/>
    <cellStyle name="Note 4 2 2 2" xfId="0"/>
    <cellStyle name="Note 4 2 2 2 2" xfId="0"/>
    <cellStyle name="Note 4 2 2 2 3" xfId="0"/>
    <cellStyle name="Note 4 2 2 3" xfId="0"/>
    <cellStyle name="Note 4 2 2 4" xfId="0"/>
    <cellStyle name="Note 4 2 3" xfId="0"/>
    <cellStyle name="Note 4 2 3 2" xfId="0"/>
    <cellStyle name="Note 4 2 3 2 2" xfId="0"/>
    <cellStyle name="Note 4 2 3 2 3" xfId="0"/>
    <cellStyle name="Note 4 2 3 3" xfId="0"/>
    <cellStyle name="Note 4 2 3 4" xfId="0"/>
    <cellStyle name="Note 4 2 4" xfId="0"/>
    <cellStyle name="Note 4 2 4 2" xfId="0"/>
    <cellStyle name="Note 4 2 4 3" xfId="0"/>
    <cellStyle name="Note 4 2 5" xfId="0"/>
    <cellStyle name="Note 4 2 6" xfId="0"/>
    <cellStyle name="Note 4 3" xfId="0"/>
    <cellStyle name="Note 4 3 2" xfId="0"/>
    <cellStyle name="Note 4 3 2 2" xfId="0"/>
    <cellStyle name="Note 4 3 2 2 2" xfId="0"/>
    <cellStyle name="Note 4 3 2 2 3" xfId="0"/>
    <cellStyle name="Note 4 3 2 3" xfId="0"/>
    <cellStyle name="Note 4 3 2 4" xfId="0"/>
    <cellStyle name="Note 4 3 3" xfId="0"/>
    <cellStyle name="Note 4 3 3 2" xfId="0"/>
    <cellStyle name="Note 4 3 3 2 2" xfId="0"/>
    <cellStyle name="Note 4 3 3 2 3" xfId="0"/>
    <cellStyle name="Note 4 3 3 3" xfId="0"/>
    <cellStyle name="Note 4 3 3 4" xfId="0"/>
    <cellStyle name="Note 4 3 4" xfId="0"/>
    <cellStyle name="Note 4 3 4 2" xfId="0"/>
    <cellStyle name="Note 4 3 4 3" xfId="0"/>
    <cellStyle name="Note 4 3 5" xfId="0"/>
    <cellStyle name="Note 4 3 6" xfId="0"/>
    <cellStyle name="Note 4 4" xfId="0"/>
    <cellStyle name="Note 4 4 2" xfId="0"/>
    <cellStyle name="Note 4 4 2 2" xfId="0"/>
    <cellStyle name="Note 4 4 2 2 2" xfId="0"/>
    <cellStyle name="Note 4 4 2 2 3" xfId="0"/>
    <cellStyle name="Note 4 4 2 3" xfId="0"/>
    <cellStyle name="Note 4 4 2 4" xfId="0"/>
    <cellStyle name="Note 4 4 3" xfId="0"/>
    <cellStyle name="Note 4 4 3 2" xfId="0"/>
    <cellStyle name="Note 4 4 3 2 2" xfId="0"/>
    <cellStyle name="Note 4 4 3 2 3" xfId="0"/>
    <cellStyle name="Note 4 4 3 3" xfId="0"/>
    <cellStyle name="Note 4 4 3 4" xfId="0"/>
    <cellStyle name="Note 4 4 4" xfId="0"/>
    <cellStyle name="Note 4 4 4 2" xfId="0"/>
    <cellStyle name="Note 4 4 4 3" xfId="0"/>
    <cellStyle name="Note 4 4 5" xfId="0"/>
    <cellStyle name="Note 4 4 6" xfId="0"/>
    <cellStyle name="Note 4 5" xfId="0"/>
    <cellStyle name="Note 4 5 2" xfId="0"/>
    <cellStyle name="Note 4 5 2 2" xfId="0"/>
    <cellStyle name="Note 4 5 2 2 2" xfId="0"/>
    <cellStyle name="Note 4 5 2 2 3" xfId="0"/>
    <cellStyle name="Note 4 5 2 3" xfId="0"/>
    <cellStyle name="Note 4 5 2 4" xfId="0"/>
    <cellStyle name="Note 4 5 3" xfId="0"/>
    <cellStyle name="Note 4 5 3 2" xfId="0"/>
    <cellStyle name="Note 4 5 3 2 2" xfId="0"/>
    <cellStyle name="Note 4 5 3 2 3" xfId="0"/>
    <cellStyle name="Note 4 5 3 3" xfId="0"/>
    <cellStyle name="Note 4 5 3 4" xfId="0"/>
    <cellStyle name="Note 4 5 4" xfId="0"/>
    <cellStyle name="Note 4 5 4 2" xfId="0"/>
    <cellStyle name="Note 4 5 4 3" xfId="0"/>
    <cellStyle name="Note 4 5 5" xfId="0"/>
    <cellStyle name="Note 4 5 6" xfId="0"/>
    <cellStyle name="Note 4 6" xfId="0"/>
    <cellStyle name="Note 4 6 2" xfId="0"/>
    <cellStyle name="Note 4 6 2 2" xfId="0"/>
    <cellStyle name="Note 4 6 2 2 2" xfId="0"/>
    <cellStyle name="Note 4 6 2 2 3" xfId="0"/>
    <cellStyle name="Note 4 6 2 3" xfId="0"/>
    <cellStyle name="Note 4 6 2 4" xfId="0"/>
    <cellStyle name="Note 4 6 3" xfId="0"/>
    <cellStyle name="Note 4 6 3 2" xfId="0"/>
    <cellStyle name="Note 4 6 3 3" xfId="0"/>
    <cellStyle name="Note 4 6 4" xfId="0"/>
    <cellStyle name="Note 4 6 5" xfId="0"/>
    <cellStyle name="Note 4 7" xfId="0"/>
    <cellStyle name="Note 4 7 2" xfId="0"/>
    <cellStyle name="Note 4 7 2 2" xfId="0"/>
    <cellStyle name="Note 4 7 2 2 2" xfId="0"/>
    <cellStyle name="Note 4 7 2 2 3" xfId="0"/>
    <cellStyle name="Note 4 7 2 3" xfId="0"/>
    <cellStyle name="Note 4 7 2 4" xfId="0"/>
    <cellStyle name="Note 4 7 3" xfId="0"/>
    <cellStyle name="Note 4 7 3 2" xfId="0"/>
    <cellStyle name="Note 4 7 3 3" xfId="0"/>
    <cellStyle name="Note 4 7 4" xfId="0"/>
    <cellStyle name="Note 4 7 5" xfId="0"/>
    <cellStyle name="Note 4 8" xfId="0"/>
    <cellStyle name="Note 4 8 2" xfId="0"/>
    <cellStyle name="Note 4 8 3" xfId="0"/>
    <cellStyle name="Note 4 9" xfId="0"/>
    <cellStyle name="Note 5" xfId="0"/>
    <cellStyle name="Note 5 2" xfId="0"/>
    <cellStyle name="Note 5 2 2" xfId="0"/>
    <cellStyle name="Note 5 2 2 2" xfId="0"/>
    <cellStyle name="Note 5 2 2 2 2" xfId="0"/>
    <cellStyle name="Note 5 2 2 2 3" xfId="0"/>
    <cellStyle name="Note 5 2 2 3" xfId="0"/>
    <cellStyle name="Note 5 2 2 4" xfId="0"/>
    <cellStyle name="Note 5 2 3" xfId="0"/>
    <cellStyle name="Note 5 2 3 2" xfId="0"/>
    <cellStyle name="Note 5 2 3 2 2" xfId="0"/>
    <cellStyle name="Note 5 2 3 2 3" xfId="0"/>
    <cellStyle name="Note 5 2 3 3" xfId="0"/>
    <cellStyle name="Note 5 2 3 4" xfId="0"/>
    <cellStyle name="Note 5 2 4" xfId="0"/>
    <cellStyle name="Note 5 2 4 2" xfId="0"/>
    <cellStyle name="Note 5 2 4 3" xfId="0"/>
    <cellStyle name="Note 5 2 5" xfId="0"/>
    <cellStyle name="Note 5 2 6" xfId="0"/>
    <cellStyle name="Note 5 3" xfId="0"/>
    <cellStyle name="Note 5 3 2" xfId="0"/>
    <cellStyle name="Note 5 3 2 2" xfId="0"/>
    <cellStyle name="Note 5 3 2 2 2" xfId="0"/>
    <cellStyle name="Note 5 3 2 2 3" xfId="0"/>
    <cellStyle name="Note 5 3 2 3" xfId="0"/>
    <cellStyle name="Note 5 3 2 4" xfId="0"/>
    <cellStyle name="Note 5 3 3" xfId="0"/>
    <cellStyle name="Note 5 3 3 2" xfId="0"/>
    <cellStyle name="Note 5 3 3 3" xfId="0"/>
    <cellStyle name="Note 5 3 4" xfId="0"/>
    <cellStyle name="Note 5 3 5" xfId="0"/>
    <cellStyle name="Note 5 4" xfId="0"/>
    <cellStyle name="Note 5 4 2" xfId="0"/>
    <cellStyle name="Note 5 4 2 2" xfId="0"/>
    <cellStyle name="Note 5 4 2 2 2" xfId="0"/>
    <cellStyle name="Note 5 4 2 2 3" xfId="0"/>
    <cellStyle name="Note 5 4 2 3" xfId="0"/>
    <cellStyle name="Note 5 4 2 4" xfId="0"/>
    <cellStyle name="Note 5 4 3" xfId="0"/>
    <cellStyle name="Note 5 4 3 2" xfId="0"/>
    <cellStyle name="Note 5 4 3 3" xfId="0"/>
    <cellStyle name="Note 5 4 4" xfId="0"/>
    <cellStyle name="Note 5 4 5" xfId="0"/>
    <cellStyle name="Note 5 5" xfId="0"/>
    <cellStyle name="Note 5 5 2" xfId="0"/>
    <cellStyle name="Note 5 5 3" xfId="0"/>
    <cellStyle name="Note 5 6" xfId="0"/>
    <cellStyle name="Note 5 7" xfId="0"/>
    <cellStyle name="Note 6" xfId="0"/>
    <cellStyle name="Note 6 2" xfId="0"/>
    <cellStyle name="Note 6 2 2" xfId="0"/>
    <cellStyle name="Note 6 2 2 2" xfId="0"/>
    <cellStyle name="Note 6 2 2 2 2" xfId="0"/>
    <cellStyle name="Note 6 2 2 2 3" xfId="0"/>
    <cellStyle name="Note 6 2 2 3" xfId="0"/>
    <cellStyle name="Note 6 2 2 4" xfId="0"/>
    <cellStyle name="Note 6 2 3" xfId="0"/>
    <cellStyle name="Note 6 2 3 2" xfId="0"/>
    <cellStyle name="Note 6 2 3 2 2" xfId="0"/>
    <cellStyle name="Note 6 2 3 2 3" xfId="0"/>
    <cellStyle name="Note 6 2 3 3" xfId="0"/>
    <cellStyle name="Note 6 2 3 4" xfId="0"/>
    <cellStyle name="Note 6 2 4" xfId="0"/>
    <cellStyle name="Note 6 2 4 2" xfId="0"/>
    <cellStyle name="Note 6 2 4 3" xfId="0"/>
    <cellStyle name="Note 6 2 5" xfId="0"/>
    <cellStyle name="Note 6 2 6" xfId="0"/>
    <cellStyle name="Note 6 3" xfId="0"/>
    <cellStyle name="Note 6 3 2" xfId="0"/>
    <cellStyle name="Note 6 3 2 2" xfId="0"/>
    <cellStyle name="Note 6 3 2 2 2" xfId="0"/>
    <cellStyle name="Note 6 3 2 2 3" xfId="0"/>
    <cellStyle name="Note 6 3 2 3" xfId="0"/>
    <cellStyle name="Note 6 3 2 4" xfId="0"/>
    <cellStyle name="Note 6 3 3" xfId="0"/>
    <cellStyle name="Note 6 3 3 2" xfId="0"/>
    <cellStyle name="Note 6 3 3 3" xfId="0"/>
    <cellStyle name="Note 6 3 4" xfId="0"/>
    <cellStyle name="Note 6 3 5" xfId="0"/>
    <cellStyle name="Note 6 4" xfId="0"/>
    <cellStyle name="Note 6 4 2" xfId="0"/>
    <cellStyle name="Note 6 4 2 2" xfId="0"/>
    <cellStyle name="Note 6 4 2 2 2" xfId="0"/>
    <cellStyle name="Note 6 4 2 2 3" xfId="0"/>
    <cellStyle name="Note 6 4 2 3" xfId="0"/>
    <cellStyle name="Note 6 4 2 4" xfId="0"/>
    <cellStyle name="Note 6 4 3" xfId="0"/>
    <cellStyle name="Note 6 4 3 2" xfId="0"/>
    <cellStyle name="Note 6 4 3 3" xfId="0"/>
    <cellStyle name="Note 6 4 4" xfId="0"/>
    <cellStyle name="Note 6 4 5" xfId="0"/>
    <cellStyle name="Note 6 5" xfId="0"/>
    <cellStyle name="Note 6 5 2" xfId="0"/>
    <cellStyle name="Note 6 5 3" xfId="0"/>
    <cellStyle name="Note 6 6" xfId="0"/>
    <cellStyle name="Note 6 7" xfId="0"/>
    <cellStyle name="Note 7" xfId="0"/>
    <cellStyle name="Note 7 2" xfId="0"/>
    <cellStyle name="Note 7 2 2" xfId="0"/>
    <cellStyle name="Note 7 2 2 2" xfId="0"/>
    <cellStyle name="Note 7 2 2 2 2" xfId="0"/>
    <cellStyle name="Note 7 2 2 2 3" xfId="0"/>
    <cellStyle name="Note 7 2 2 3" xfId="0"/>
    <cellStyle name="Note 7 2 2 4" xfId="0"/>
    <cellStyle name="Note 7 2 3" xfId="0"/>
    <cellStyle name="Note 7 2 3 2" xfId="0"/>
    <cellStyle name="Note 7 2 3 2 2" xfId="0"/>
    <cellStyle name="Note 7 2 3 2 3" xfId="0"/>
    <cellStyle name="Note 7 2 3 3" xfId="0"/>
    <cellStyle name="Note 7 2 3 4" xfId="0"/>
    <cellStyle name="Note 7 2 4" xfId="0"/>
    <cellStyle name="Note 7 2 4 2" xfId="0"/>
    <cellStyle name="Note 7 2 4 3" xfId="0"/>
    <cellStyle name="Note 7 2 5" xfId="0"/>
    <cellStyle name="Note 7 2 6" xfId="0"/>
    <cellStyle name="Note 7 3" xfId="0"/>
    <cellStyle name="Note 7 3 2" xfId="0"/>
    <cellStyle name="Note 7 3 2 2" xfId="0"/>
    <cellStyle name="Note 7 3 2 2 2" xfId="0"/>
    <cellStyle name="Note 7 3 2 2 3" xfId="0"/>
    <cellStyle name="Note 7 3 2 3" xfId="0"/>
    <cellStyle name="Note 7 3 2 4" xfId="0"/>
    <cellStyle name="Note 7 3 3" xfId="0"/>
    <cellStyle name="Note 7 3 3 2" xfId="0"/>
    <cellStyle name="Note 7 3 3 3" xfId="0"/>
    <cellStyle name="Note 7 3 4" xfId="0"/>
    <cellStyle name="Note 7 3 5" xfId="0"/>
    <cellStyle name="Note 7 4" xfId="0"/>
    <cellStyle name="Note 7 4 2" xfId="0"/>
    <cellStyle name="Note 7 4 2 2" xfId="0"/>
    <cellStyle name="Note 7 4 2 2 2" xfId="0"/>
    <cellStyle name="Note 7 4 2 2 3" xfId="0"/>
    <cellStyle name="Note 7 4 2 3" xfId="0"/>
    <cellStyle name="Note 7 4 2 4" xfId="0"/>
    <cellStyle name="Note 7 4 3" xfId="0"/>
    <cellStyle name="Note 7 4 3 2" xfId="0"/>
    <cellStyle name="Note 7 4 3 3" xfId="0"/>
    <cellStyle name="Note 7 4 4" xfId="0"/>
    <cellStyle name="Note 7 4 5" xfId="0"/>
    <cellStyle name="Note 7 5" xfId="0"/>
    <cellStyle name="Note 7 5 2" xfId="0"/>
    <cellStyle name="Note 7 5 3" xfId="0"/>
    <cellStyle name="Note 7 6" xfId="0"/>
    <cellStyle name="Note 7 7" xfId="0"/>
    <cellStyle name="Note 8" xfId="0"/>
    <cellStyle name="Note 8 2" xfId="0"/>
    <cellStyle name="Note 8 2 2" xfId="0"/>
    <cellStyle name="Note 8 2 2 2" xfId="0"/>
    <cellStyle name="Note 8 2 2 2 2" xfId="0"/>
    <cellStyle name="Note 8 2 2 2 3" xfId="0"/>
    <cellStyle name="Note 8 2 2 3" xfId="0"/>
    <cellStyle name="Note 8 2 2 4" xfId="0"/>
    <cellStyle name="Note 8 2 3" xfId="0"/>
    <cellStyle name="Note 8 2 3 2" xfId="0"/>
    <cellStyle name="Note 8 2 3 2 2" xfId="0"/>
    <cellStyle name="Note 8 2 3 2 3" xfId="0"/>
    <cellStyle name="Note 8 2 3 3" xfId="0"/>
    <cellStyle name="Note 8 2 3 4" xfId="0"/>
    <cellStyle name="Note 8 2 4" xfId="0"/>
    <cellStyle name="Note 8 2 4 2" xfId="0"/>
    <cellStyle name="Note 8 2 4 3" xfId="0"/>
    <cellStyle name="Note 8 2 5" xfId="0"/>
    <cellStyle name="Note 8 2 6" xfId="0"/>
    <cellStyle name="Note 8 3" xfId="0"/>
    <cellStyle name="Note 8 3 2" xfId="0"/>
    <cellStyle name="Note 8 3 2 2" xfId="0"/>
    <cellStyle name="Note 8 3 2 2 2" xfId="0"/>
    <cellStyle name="Note 8 3 2 2 3" xfId="0"/>
    <cellStyle name="Note 8 3 2 3" xfId="0"/>
    <cellStyle name="Note 8 3 2 4" xfId="0"/>
    <cellStyle name="Note 8 3 3" xfId="0"/>
    <cellStyle name="Note 8 3 3 2" xfId="0"/>
    <cellStyle name="Note 8 3 3 3" xfId="0"/>
    <cellStyle name="Note 8 3 4" xfId="0"/>
    <cellStyle name="Note 8 3 5" xfId="0"/>
    <cellStyle name="Note 8 4" xfId="0"/>
    <cellStyle name="Note 8 4 2" xfId="0"/>
    <cellStyle name="Note 8 4 2 2" xfId="0"/>
    <cellStyle name="Note 8 4 2 2 2" xfId="0"/>
    <cellStyle name="Note 8 4 2 2 3" xfId="0"/>
    <cellStyle name="Note 8 4 2 3" xfId="0"/>
    <cellStyle name="Note 8 4 2 4" xfId="0"/>
    <cellStyle name="Note 8 4 3" xfId="0"/>
    <cellStyle name="Note 8 4 3 2" xfId="0"/>
    <cellStyle name="Note 8 4 3 3" xfId="0"/>
    <cellStyle name="Note 8 4 4" xfId="0"/>
    <cellStyle name="Note 8 4 5" xfId="0"/>
    <cellStyle name="Note 8 5" xfId="0"/>
    <cellStyle name="Note 8 5 2" xfId="0"/>
    <cellStyle name="Note 8 5 3" xfId="0"/>
    <cellStyle name="Note 8 6" xfId="0"/>
    <cellStyle name="Note 8 7" xfId="0"/>
    <cellStyle name="Note 9" xfId="0"/>
    <cellStyle name="Note 9 2" xfId="0"/>
    <cellStyle name="Note 9 2 2" xfId="0"/>
    <cellStyle name="Note 9 2 2 2" xfId="0"/>
    <cellStyle name="Note 9 2 2 2 2" xfId="0"/>
    <cellStyle name="Note 9 2 2 2 3" xfId="0"/>
    <cellStyle name="Note 9 2 2 3" xfId="0"/>
    <cellStyle name="Note 9 2 2 4" xfId="0"/>
    <cellStyle name="Note 9 2 3" xfId="0"/>
    <cellStyle name="Note 9 2 3 2" xfId="0"/>
    <cellStyle name="Note 9 2 3 2 2" xfId="0"/>
    <cellStyle name="Note 9 2 3 2 3" xfId="0"/>
    <cellStyle name="Note 9 2 3 3" xfId="0"/>
    <cellStyle name="Note 9 2 3 4" xfId="0"/>
    <cellStyle name="Note 9 2 4" xfId="0"/>
    <cellStyle name="Note 9 2 4 2" xfId="0"/>
    <cellStyle name="Note 9 2 4 3" xfId="0"/>
    <cellStyle name="Note 9 2 5" xfId="0"/>
    <cellStyle name="Note 9 2 6" xfId="0"/>
    <cellStyle name="Note 9 3" xfId="0"/>
    <cellStyle name="Note 9 3 2" xfId="0"/>
    <cellStyle name="Note 9 3 2 2" xfId="0"/>
    <cellStyle name="Note 9 3 2 2 2" xfId="0"/>
    <cellStyle name="Note 9 3 2 2 3" xfId="0"/>
    <cellStyle name="Note 9 3 2 3" xfId="0"/>
    <cellStyle name="Note 9 3 2 4" xfId="0"/>
    <cellStyle name="Note 9 3 3" xfId="0"/>
    <cellStyle name="Note 9 3 3 2" xfId="0"/>
    <cellStyle name="Note 9 3 3 3" xfId="0"/>
    <cellStyle name="Note 9 3 4" xfId="0"/>
    <cellStyle name="Note 9 3 5" xfId="0"/>
    <cellStyle name="Note 9 4" xfId="0"/>
    <cellStyle name="Note 9 4 2" xfId="0"/>
    <cellStyle name="Note 9 4 2 2" xfId="0"/>
    <cellStyle name="Note 9 4 2 2 2" xfId="0"/>
    <cellStyle name="Note 9 4 2 2 3" xfId="0"/>
    <cellStyle name="Note 9 4 2 3" xfId="0"/>
    <cellStyle name="Note 9 4 2 4" xfId="0"/>
    <cellStyle name="Note 9 4 3" xfId="0"/>
    <cellStyle name="Note 9 4 3 2" xfId="0"/>
    <cellStyle name="Note 9 4 3 3" xfId="0"/>
    <cellStyle name="Note 9 4 4" xfId="0"/>
    <cellStyle name="Note 9 4 5" xfId="0"/>
    <cellStyle name="Note 9 5" xfId="0"/>
    <cellStyle name="Note 9 5 2" xfId="0"/>
    <cellStyle name="Note 9 5 3" xfId="0"/>
    <cellStyle name="Note 9 6" xfId="0"/>
    <cellStyle name="Note 9 7" xfId="0"/>
    <cellStyle name="Output" xfId="0"/>
    <cellStyle name="Output 10" xfId="0"/>
    <cellStyle name="Output 10 2" xfId="0"/>
    <cellStyle name="Output 10 2 2" xfId="0"/>
    <cellStyle name="Output 10 2 2 2" xfId="0"/>
    <cellStyle name="Output 10 2 2 2 2" xfId="0"/>
    <cellStyle name="Output 10 2 2 2 3" xfId="0"/>
    <cellStyle name="Output 10 2 2 3" xfId="0"/>
    <cellStyle name="Output 10 2 2 4" xfId="0"/>
    <cellStyle name="Output 10 2 3" xfId="0"/>
    <cellStyle name="Output 10 2 3 2" xfId="0"/>
    <cellStyle name="Output 10 2 3 2 2" xfId="0"/>
    <cellStyle name="Output 10 2 3 2 3" xfId="0"/>
    <cellStyle name="Output 10 2 3 3" xfId="0"/>
    <cellStyle name="Output 10 2 3 4" xfId="0"/>
    <cellStyle name="Output 10 2 4" xfId="0"/>
    <cellStyle name="Output 10 2 4 2" xfId="0"/>
    <cellStyle name="Output 10 2 4 3" xfId="0"/>
    <cellStyle name="Output 10 2 5" xfId="0"/>
    <cellStyle name="Output 10 2 6" xfId="0"/>
    <cellStyle name="Output 10 3" xfId="0"/>
    <cellStyle name="Output 10 3 2" xfId="0"/>
    <cellStyle name="Output 10 3 2 2" xfId="0"/>
    <cellStyle name="Output 10 3 2 2 2" xfId="0"/>
    <cellStyle name="Output 10 3 2 2 3" xfId="0"/>
    <cellStyle name="Output 10 3 2 3" xfId="0"/>
    <cellStyle name="Output 10 3 2 4" xfId="0"/>
    <cellStyle name="Output 10 3 3" xfId="0"/>
    <cellStyle name="Output 10 3 3 2" xfId="0"/>
    <cellStyle name="Output 10 3 3 3" xfId="0"/>
    <cellStyle name="Output 10 3 4" xfId="0"/>
    <cellStyle name="Output 10 3 5" xfId="0"/>
    <cellStyle name="Output 10 4" xfId="0"/>
    <cellStyle name="Output 10 4 2" xfId="0"/>
    <cellStyle name="Output 10 4 2 2" xfId="0"/>
    <cellStyle name="Output 10 4 2 2 2" xfId="0"/>
    <cellStyle name="Output 10 4 2 2 3" xfId="0"/>
    <cellStyle name="Output 10 4 2 3" xfId="0"/>
    <cellStyle name="Output 10 4 2 4" xfId="0"/>
    <cellStyle name="Output 10 4 3" xfId="0"/>
    <cellStyle name="Output 10 4 3 2" xfId="0"/>
    <cellStyle name="Output 10 4 3 3" xfId="0"/>
    <cellStyle name="Output 10 4 4" xfId="0"/>
    <cellStyle name="Output 10 4 5" xfId="0"/>
    <cellStyle name="Output 10 5" xfId="0"/>
    <cellStyle name="Output 10 5 2" xfId="0"/>
    <cellStyle name="Output 10 5 3" xfId="0"/>
    <cellStyle name="Output 10 6" xfId="0"/>
    <cellStyle name="Output 10 7" xfId="0"/>
    <cellStyle name="Output 11" xfId="0"/>
    <cellStyle name="Output 11 2" xfId="0"/>
    <cellStyle name="Output 11 2 2" xfId="0"/>
    <cellStyle name="Output 11 2 2 2" xfId="0"/>
    <cellStyle name="Output 11 2 2 2 2" xfId="0"/>
    <cellStyle name="Output 11 2 2 2 3" xfId="0"/>
    <cellStyle name="Output 11 2 2 3" xfId="0"/>
    <cellStyle name="Output 11 2 2 4" xfId="0"/>
    <cellStyle name="Output 11 2 3" xfId="0"/>
    <cellStyle name="Output 11 2 3 2" xfId="0"/>
    <cellStyle name="Output 11 2 3 2 2" xfId="0"/>
    <cellStyle name="Output 11 2 3 2 3" xfId="0"/>
    <cellStyle name="Output 11 2 3 3" xfId="0"/>
    <cellStyle name="Output 11 2 3 4" xfId="0"/>
    <cellStyle name="Output 11 2 4" xfId="0"/>
    <cellStyle name="Output 11 2 4 2" xfId="0"/>
    <cellStyle name="Output 11 2 4 3" xfId="0"/>
    <cellStyle name="Output 11 2 5" xfId="0"/>
    <cellStyle name="Output 11 2 6" xfId="0"/>
    <cellStyle name="Output 11 3" xfId="0"/>
    <cellStyle name="Output 11 3 2" xfId="0"/>
    <cellStyle name="Output 11 3 2 2" xfId="0"/>
    <cellStyle name="Output 11 3 2 2 2" xfId="0"/>
    <cellStyle name="Output 11 3 2 2 3" xfId="0"/>
    <cellStyle name="Output 11 3 2 3" xfId="0"/>
    <cellStyle name="Output 11 3 2 4" xfId="0"/>
    <cellStyle name="Output 11 3 3" xfId="0"/>
    <cellStyle name="Output 11 3 3 2" xfId="0"/>
    <cellStyle name="Output 11 3 3 3" xfId="0"/>
    <cellStyle name="Output 11 3 4" xfId="0"/>
    <cellStyle name="Output 11 3 5" xfId="0"/>
    <cellStyle name="Output 11 4" xfId="0"/>
    <cellStyle name="Output 11 4 2" xfId="0"/>
    <cellStyle name="Output 11 4 2 2" xfId="0"/>
    <cellStyle name="Output 11 4 2 2 2" xfId="0"/>
    <cellStyle name="Output 11 4 2 2 3" xfId="0"/>
    <cellStyle name="Output 11 4 2 3" xfId="0"/>
    <cellStyle name="Output 11 4 2 4" xfId="0"/>
    <cellStyle name="Output 11 4 3" xfId="0"/>
    <cellStyle name="Output 11 4 3 2" xfId="0"/>
    <cellStyle name="Output 11 4 3 3" xfId="0"/>
    <cellStyle name="Output 11 4 4" xfId="0"/>
    <cellStyle name="Output 11 4 5" xfId="0"/>
    <cellStyle name="Output 11 5" xfId="0"/>
    <cellStyle name="Output 11 5 2" xfId="0"/>
    <cellStyle name="Output 11 5 3" xfId="0"/>
    <cellStyle name="Output 11 6" xfId="0"/>
    <cellStyle name="Output 11 7" xfId="0"/>
    <cellStyle name="Output 12" xfId="0"/>
    <cellStyle name="Output 12 2" xfId="0"/>
    <cellStyle name="Output 12 2 2" xfId="0"/>
    <cellStyle name="Output 12 2 2 2" xfId="0"/>
    <cellStyle name="Output 12 2 2 2 2" xfId="0"/>
    <cellStyle name="Output 12 2 2 2 3" xfId="0"/>
    <cellStyle name="Output 12 2 2 3" xfId="0"/>
    <cellStyle name="Output 12 2 2 4" xfId="0"/>
    <cellStyle name="Output 12 2 3" xfId="0"/>
    <cellStyle name="Output 12 2 3 2" xfId="0"/>
    <cellStyle name="Output 12 2 3 2 2" xfId="0"/>
    <cellStyle name="Output 12 2 3 2 3" xfId="0"/>
    <cellStyle name="Output 12 2 3 3" xfId="0"/>
    <cellStyle name="Output 12 2 3 4" xfId="0"/>
    <cellStyle name="Output 12 2 4" xfId="0"/>
    <cellStyle name="Output 12 2 4 2" xfId="0"/>
    <cellStyle name="Output 12 2 4 3" xfId="0"/>
    <cellStyle name="Output 12 2 5" xfId="0"/>
    <cellStyle name="Output 12 2 6" xfId="0"/>
    <cellStyle name="Output 12 3" xfId="0"/>
    <cellStyle name="Output 12 3 2" xfId="0"/>
    <cellStyle name="Output 12 3 2 2" xfId="0"/>
    <cellStyle name="Output 12 3 2 2 2" xfId="0"/>
    <cellStyle name="Output 12 3 2 2 3" xfId="0"/>
    <cellStyle name="Output 12 3 2 3" xfId="0"/>
    <cellStyle name="Output 12 3 2 4" xfId="0"/>
    <cellStyle name="Output 12 3 3" xfId="0"/>
    <cellStyle name="Output 12 3 3 2" xfId="0"/>
    <cellStyle name="Output 12 3 3 3" xfId="0"/>
    <cellStyle name="Output 12 3 4" xfId="0"/>
    <cellStyle name="Output 12 3 5" xfId="0"/>
    <cellStyle name="Output 12 4" xfId="0"/>
    <cellStyle name="Output 12 4 2" xfId="0"/>
    <cellStyle name="Output 12 4 2 2" xfId="0"/>
    <cellStyle name="Output 12 4 2 2 2" xfId="0"/>
    <cellStyle name="Output 12 4 2 2 3" xfId="0"/>
    <cellStyle name="Output 12 4 2 3" xfId="0"/>
    <cellStyle name="Output 12 4 2 4" xfId="0"/>
    <cellStyle name="Output 12 4 3" xfId="0"/>
    <cellStyle name="Output 12 4 3 2" xfId="0"/>
    <cellStyle name="Output 12 4 3 3" xfId="0"/>
    <cellStyle name="Output 12 4 4" xfId="0"/>
    <cellStyle name="Output 12 4 5" xfId="0"/>
    <cellStyle name="Output 12 5" xfId="0"/>
    <cellStyle name="Output 12 5 2" xfId="0"/>
    <cellStyle name="Output 12 5 3" xfId="0"/>
    <cellStyle name="Output 12 6" xfId="0"/>
    <cellStyle name="Output 12 7" xfId="0"/>
    <cellStyle name="Output 13" xfId="0"/>
    <cellStyle name="Output 13 2" xfId="0"/>
    <cellStyle name="Output 13 2 2" xfId="0"/>
    <cellStyle name="Output 13 2 2 2" xfId="0"/>
    <cellStyle name="Output 13 2 2 2 2" xfId="0"/>
    <cellStyle name="Output 13 2 2 2 3" xfId="0"/>
    <cellStyle name="Output 13 2 2 3" xfId="0"/>
    <cellStyle name="Output 13 2 2 4" xfId="0"/>
    <cellStyle name="Output 13 2 3" xfId="0"/>
    <cellStyle name="Output 13 2 3 2" xfId="0"/>
    <cellStyle name="Output 13 2 3 2 2" xfId="0"/>
    <cellStyle name="Output 13 2 3 2 3" xfId="0"/>
    <cellStyle name="Output 13 2 3 3" xfId="0"/>
    <cellStyle name="Output 13 2 3 4" xfId="0"/>
    <cellStyle name="Output 13 2 4" xfId="0"/>
    <cellStyle name="Output 13 2 4 2" xfId="0"/>
    <cellStyle name="Output 13 2 4 3" xfId="0"/>
    <cellStyle name="Output 13 2 5" xfId="0"/>
    <cellStyle name="Output 13 2 6" xfId="0"/>
    <cellStyle name="Output 13 3" xfId="0"/>
    <cellStyle name="Output 13 3 2" xfId="0"/>
    <cellStyle name="Output 13 3 2 2" xfId="0"/>
    <cellStyle name="Output 13 3 2 2 2" xfId="0"/>
    <cellStyle name="Output 13 3 2 2 3" xfId="0"/>
    <cellStyle name="Output 13 3 2 3" xfId="0"/>
    <cellStyle name="Output 13 3 2 4" xfId="0"/>
    <cellStyle name="Output 13 3 3" xfId="0"/>
    <cellStyle name="Output 13 3 3 2" xfId="0"/>
    <cellStyle name="Output 13 3 3 3" xfId="0"/>
    <cellStyle name="Output 13 3 4" xfId="0"/>
    <cellStyle name="Output 13 3 5" xfId="0"/>
    <cellStyle name="Output 13 4" xfId="0"/>
    <cellStyle name="Output 13 4 2" xfId="0"/>
    <cellStyle name="Output 13 4 2 2" xfId="0"/>
    <cellStyle name="Output 13 4 2 2 2" xfId="0"/>
    <cellStyle name="Output 13 4 2 2 3" xfId="0"/>
    <cellStyle name="Output 13 4 2 3" xfId="0"/>
    <cellStyle name="Output 13 4 2 4" xfId="0"/>
    <cellStyle name="Output 13 4 3" xfId="0"/>
    <cellStyle name="Output 13 4 3 2" xfId="0"/>
    <cellStyle name="Output 13 4 3 3" xfId="0"/>
    <cellStyle name="Output 13 4 4" xfId="0"/>
    <cellStyle name="Output 13 4 5" xfId="0"/>
    <cellStyle name="Output 13 5" xfId="0"/>
    <cellStyle name="Output 13 5 2" xfId="0"/>
    <cellStyle name="Output 13 5 3" xfId="0"/>
    <cellStyle name="Output 13 6" xfId="0"/>
    <cellStyle name="Output 13 7" xfId="0"/>
    <cellStyle name="Output 14" xfId="0"/>
    <cellStyle name="Output 14 2" xfId="0"/>
    <cellStyle name="Output 14 2 2" xfId="0"/>
    <cellStyle name="Output 14 2 2 2" xfId="0"/>
    <cellStyle name="Output 14 2 2 2 2" xfId="0"/>
    <cellStyle name="Output 14 2 2 2 3" xfId="0"/>
    <cellStyle name="Output 14 2 2 3" xfId="0"/>
    <cellStyle name="Output 14 2 2 4" xfId="0"/>
    <cellStyle name="Output 14 2 3" xfId="0"/>
    <cellStyle name="Output 14 2 3 2" xfId="0"/>
    <cellStyle name="Output 14 2 3 2 2" xfId="0"/>
    <cellStyle name="Output 14 2 3 2 3" xfId="0"/>
    <cellStyle name="Output 14 2 3 3" xfId="0"/>
    <cellStyle name="Output 14 2 3 4" xfId="0"/>
    <cellStyle name="Output 14 2 4" xfId="0"/>
    <cellStyle name="Output 14 2 4 2" xfId="0"/>
    <cellStyle name="Output 14 2 4 3" xfId="0"/>
    <cellStyle name="Output 14 2 5" xfId="0"/>
    <cellStyle name="Output 14 2 6" xfId="0"/>
    <cellStyle name="Output 14 3" xfId="0"/>
    <cellStyle name="Output 14 3 2" xfId="0"/>
    <cellStyle name="Output 14 3 2 2" xfId="0"/>
    <cellStyle name="Output 14 3 2 2 2" xfId="0"/>
    <cellStyle name="Output 14 3 2 2 3" xfId="0"/>
    <cellStyle name="Output 14 3 2 3" xfId="0"/>
    <cellStyle name="Output 14 3 2 4" xfId="0"/>
    <cellStyle name="Output 14 3 3" xfId="0"/>
    <cellStyle name="Output 14 3 3 2" xfId="0"/>
    <cellStyle name="Output 14 3 3 3" xfId="0"/>
    <cellStyle name="Output 14 3 4" xfId="0"/>
    <cellStyle name="Output 14 3 5" xfId="0"/>
    <cellStyle name="Output 14 4" xfId="0"/>
    <cellStyle name="Output 14 4 2" xfId="0"/>
    <cellStyle name="Output 14 4 2 2" xfId="0"/>
    <cellStyle name="Output 14 4 2 2 2" xfId="0"/>
    <cellStyle name="Output 14 4 2 2 3" xfId="0"/>
    <cellStyle name="Output 14 4 2 3" xfId="0"/>
    <cellStyle name="Output 14 4 2 4" xfId="0"/>
    <cellStyle name="Output 14 4 3" xfId="0"/>
    <cellStyle name="Output 14 4 3 2" xfId="0"/>
    <cellStyle name="Output 14 4 3 3" xfId="0"/>
    <cellStyle name="Output 14 4 4" xfId="0"/>
    <cellStyle name="Output 14 4 5" xfId="0"/>
    <cellStyle name="Output 14 5" xfId="0"/>
    <cellStyle name="Output 14 5 2" xfId="0"/>
    <cellStyle name="Output 14 5 3" xfId="0"/>
    <cellStyle name="Output 14 6" xfId="0"/>
    <cellStyle name="Output 14 7" xfId="0"/>
    <cellStyle name="Output 15" xfId="0"/>
    <cellStyle name="Output 15 2" xfId="0"/>
    <cellStyle name="Output 15 2 2" xfId="0"/>
    <cellStyle name="Output 15 2 2 2" xfId="0"/>
    <cellStyle name="Output 15 2 2 2 2" xfId="0"/>
    <cellStyle name="Output 15 2 2 2 3" xfId="0"/>
    <cellStyle name="Output 15 2 2 3" xfId="0"/>
    <cellStyle name="Output 15 2 2 4" xfId="0"/>
    <cellStyle name="Output 15 2 3" xfId="0"/>
    <cellStyle name="Output 15 2 3 2" xfId="0"/>
    <cellStyle name="Output 15 2 3 2 2" xfId="0"/>
    <cellStyle name="Output 15 2 3 2 3" xfId="0"/>
    <cellStyle name="Output 15 2 3 3" xfId="0"/>
    <cellStyle name="Output 15 2 3 4" xfId="0"/>
    <cellStyle name="Output 15 2 4" xfId="0"/>
    <cellStyle name="Output 15 2 4 2" xfId="0"/>
    <cellStyle name="Output 15 2 4 3" xfId="0"/>
    <cellStyle name="Output 15 2 5" xfId="0"/>
    <cellStyle name="Output 15 2 6" xfId="0"/>
    <cellStyle name="Output 15 3" xfId="0"/>
    <cellStyle name="Output 15 3 2" xfId="0"/>
    <cellStyle name="Output 15 3 2 2" xfId="0"/>
    <cellStyle name="Output 15 3 2 2 2" xfId="0"/>
    <cellStyle name="Output 15 3 2 2 3" xfId="0"/>
    <cellStyle name="Output 15 3 2 3" xfId="0"/>
    <cellStyle name="Output 15 3 2 4" xfId="0"/>
    <cellStyle name="Output 15 3 3" xfId="0"/>
    <cellStyle name="Output 15 3 3 2" xfId="0"/>
    <cellStyle name="Output 15 3 3 3" xfId="0"/>
    <cellStyle name="Output 15 3 4" xfId="0"/>
    <cellStyle name="Output 15 3 5" xfId="0"/>
    <cellStyle name="Output 15 4" xfId="0"/>
    <cellStyle name="Output 15 4 2" xfId="0"/>
    <cellStyle name="Output 15 4 2 2" xfId="0"/>
    <cellStyle name="Output 15 4 2 2 2" xfId="0"/>
    <cellStyle name="Output 15 4 2 2 3" xfId="0"/>
    <cellStyle name="Output 15 4 2 3" xfId="0"/>
    <cellStyle name="Output 15 4 2 4" xfId="0"/>
    <cellStyle name="Output 15 4 3" xfId="0"/>
    <cellStyle name="Output 15 4 3 2" xfId="0"/>
    <cellStyle name="Output 15 4 3 3" xfId="0"/>
    <cellStyle name="Output 15 4 4" xfId="0"/>
    <cellStyle name="Output 15 4 5" xfId="0"/>
    <cellStyle name="Output 15 5" xfId="0"/>
    <cellStyle name="Output 15 5 2" xfId="0"/>
    <cellStyle name="Output 15 5 3" xfId="0"/>
    <cellStyle name="Output 15 6" xfId="0"/>
    <cellStyle name="Output 15 7" xfId="0"/>
    <cellStyle name="Output 16" xfId="0"/>
    <cellStyle name="Output 16 2" xfId="0"/>
    <cellStyle name="Output 16 2 2" xfId="0"/>
    <cellStyle name="Output 16 2 2 2" xfId="0"/>
    <cellStyle name="Output 16 2 2 2 2" xfId="0"/>
    <cellStyle name="Output 16 2 2 2 3" xfId="0"/>
    <cellStyle name="Output 16 2 2 3" xfId="0"/>
    <cellStyle name="Output 16 2 2 4" xfId="0"/>
    <cellStyle name="Output 16 2 3" xfId="0"/>
    <cellStyle name="Output 16 2 3 2" xfId="0"/>
    <cellStyle name="Output 16 2 3 2 2" xfId="0"/>
    <cellStyle name="Output 16 2 3 2 3" xfId="0"/>
    <cellStyle name="Output 16 2 3 3" xfId="0"/>
    <cellStyle name="Output 16 2 3 4" xfId="0"/>
    <cellStyle name="Output 16 2 4" xfId="0"/>
    <cellStyle name="Output 16 2 4 2" xfId="0"/>
    <cellStyle name="Output 16 2 4 3" xfId="0"/>
    <cellStyle name="Output 16 2 5" xfId="0"/>
    <cellStyle name="Output 16 2 6" xfId="0"/>
    <cellStyle name="Output 16 3" xfId="0"/>
    <cellStyle name="Output 16 3 2" xfId="0"/>
    <cellStyle name="Output 16 3 2 2" xfId="0"/>
    <cellStyle name="Output 16 3 2 2 2" xfId="0"/>
    <cellStyle name="Output 16 3 2 2 3" xfId="0"/>
    <cellStyle name="Output 16 3 2 3" xfId="0"/>
    <cellStyle name="Output 16 3 2 4" xfId="0"/>
    <cellStyle name="Output 16 3 3" xfId="0"/>
    <cellStyle name="Output 16 3 3 2" xfId="0"/>
    <cellStyle name="Output 16 3 3 3" xfId="0"/>
    <cellStyle name="Output 16 3 4" xfId="0"/>
    <cellStyle name="Output 16 3 5" xfId="0"/>
    <cellStyle name="Output 16 4" xfId="0"/>
    <cellStyle name="Output 16 4 2" xfId="0"/>
    <cellStyle name="Output 16 4 2 2" xfId="0"/>
    <cellStyle name="Output 16 4 2 2 2" xfId="0"/>
    <cellStyle name="Output 16 4 2 2 3" xfId="0"/>
    <cellStyle name="Output 16 4 2 3" xfId="0"/>
    <cellStyle name="Output 16 4 2 4" xfId="0"/>
    <cellStyle name="Output 16 4 3" xfId="0"/>
    <cellStyle name="Output 16 4 3 2" xfId="0"/>
    <cellStyle name="Output 16 4 3 3" xfId="0"/>
    <cellStyle name="Output 16 4 4" xfId="0"/>
    <cellStyle name="Output 16 4 5" xfId="0"/>
    <cellStyle name="Output 16 5" xfId="0"/>
    <cellStyle name="Output 16 5 2" xfId="0"/>
    <cellStyle name="Output 16 5 3" xfId="0"/>
    <cellStyle name="Output 16 6" xfId="0"/>
    <cellStyle name="Output 16 7" xfId="0"/>
    <cellStyle name="Output 17" xfId="0"/>
    <cellStyle name="Output 17 2" xfId="0"/>
    <cellStyle name="Output 17 2 2" xfId="0"/>
    <cellStyle name="Output 17 2 2 2" xfId="0"/>
    <cellStyle name="Output 17 2 2 2 2" xfId="0"/>
    <cellStyle name="Output 17 2 2 2 3" xfId="0"/>
    <cellStyle name="Output 17 2 2 3" xfId="0"/>
    <cellStyle name="Output 17 2 2 4" xfId="0"/>
    <cellStyle name="Output 17 2 3" xfId="0"/>
    <cellStyle name="Output 17 2 3 2" xfId="0"/>
    <cellStyle name="Output 17 2 3 2 2" xfId="0"/>
    <cellStyle name="Output 17 2 3 2 3" xfId="0"/>
    <cellStyle name="Output 17 2 3 3" xfId="0"/>
    <cellStyle name="Output 17 2 3 4" xfId="0"/>
    <cellStyle name="Output 17 2 4" xfId="0"/>
    <cellStyle name="Output 17 2 4 2" xfId="0"/>
    <cellStyle name="Output 17 2 4 3" xfId="0"/>
    <cellStyle name="Output 17 2 5" xfId="0"/>
    <cellStyle name="Output 17 2 6" xfId="0"/>
    <cellStyle name="Output 17 3" xfId="0"/>
    <cellStyle name="Output 17 3 2" xfId="0"/>
    <cellStyle name="Output 17 3 2 2" xfId="0"/>
    <cellStyle name="Output 17 3 2 2 2" xfId="0"/>
    <cellStyle name="Output 17 3 2 2 3" xfId="0"/>
    <cellStyle name="Output 17 3 2 3" xfId="0"/>
    <cellStyle name="Output 17 3 2 4" xfId="0"/>
    <cellStyle name="Output 17 3 3" xfId="0"/>
    <cellStyle name="Output 17 3 3 2" xfId="0"/>
    <cellStyle name="Output 17 3 3 3" xfId="0"/>
    <cellStyle name="Output 17 3 4" xfId="0"/>
    <cellStyle name="Output 17 3 5" xfId="0"/>
    <cellStyle name="Output 17 4" xfId="0"/>
    <cellStyle name="Output 17 4 2" xfId="0"/>
    <cellStyle name="Output 17 4 2 2" xfId="0"/>
    <cellStyle name="Output 17 4 2 2 2" xfId="0"/>
    <cellStyle name="Output 17 4 2 2 3" xfId="0"/>
    <cellStyle name="Output 17 4 2 3" xfId="0"/>
    <cellStyle name="Output 17 4 2 4" xfId="0"/>
    <cellStyle name="Output 17 4 3" xfId="0"/>
    <cellStyle name="Output 17 4 3 2" xfId="0"/>
    <cellStyle name="Output 17 4 3 3" xfId="0"/>
    <cellStyle name="Output 17 4 4" xfId="0"/>
    <cellStyle name="Output 17 4 5" xfId="0"/>
    <cellStyle name="Output 17 5" xfId="0"/>
    <cellStyle name="Output 17 5 2" xfId="0"/>
    <cellStyle name="Output 17 5 3" xfId="0"/>
    <cellStyle name="Output 17 6" xfId="0"/>
    <cellStyle name="Output 17 7" xfId="0"/>
    <cellStyle name="Output 18" xfId="0"/>
    <cellStyle name="Output 18 2" xfId="0"/>
    <cellStyle name="Output 18 2 2" xfId="0"/>
    <cellStyle name="Output 18 2 2 2" xfId="0"/>
    <cellStyle name="Output 18 2 2 2 2" xfId="0"/>
    <cellStyle name="Output 18 2 2 2 3" xfId="0"/>
    <cellStyle name="Output 18 2 2 3" xfId="0"/>
    <cellStyle name="Output 18 2 2 4" xfId="0"/>
    <cellStyle name="Output 18 2 3" xfId="0"/>
    <cellStyle name="Output 18 2 3 2" xfId="0"/>
    <cellStyle name="Output 18 2 3 2 2" xfId="0"/>
    <cellStyle name="Output 18 2 3 2 3" xfId="0"/>
    <cellStyle name="Output 18 2 3 3" xfId="0"/>
    <cellStyle name="Output 18 2 3 4" xfId="0"/>
    <cellStyle name="Output 18 2 4" xfId="0"/>
    <cellStyle name="Output 18 2 4 2" xfId="0"/>
    <cellStyle name="Output 18 2 4 3" xfId="0"/>
    <cellStyle name="Output 18 2 5" xfId="0"/>
    <cellStyle name="Output 18 2 6" xfId="0"/>
    <cellStyle name="Output 18 3" xfId="0"/>
    <cellStyle name="Output 18 3 2" xfId="0"/>
    <cellStyle name="Output 18 3 2 2" xfId="0"/>
    <cellStyle name="Output 18 3 2 2 2" xfId="0"/>
    <cellStyle name="Output 18 3 2 2 3" xfId="0"/>
    <cellStyle name="Output 18 3 2 3" xfId="0"/>
    <cellStyle name="Output 18 3 2 4" xfId="0"/>
    <cellStyle name="Output 18 3 3" xfId="0"/>
    <cellStyle name="Output 18 3 3 2" xfId="0"/>
    <cellStyle name="Output 18 3 3 3" xfId="0"/>
    <cellStyle name="Output 18 3 4" xfId="0"/>
    <cellStyle name="Output 18 3 5" xfId="0"/>
    <cellStyle name="Output 18 4" xfId="0"/>
    <cellStyle name="Output 18 4 2" xfId="0"/>
    <cellStyle name="Output 18 4 2 2" xfId="0"/>
    <cellStyle name="Output 18 4 2 2 2" xfId="0"/>
    <cellStyle name="Output 18 4 2 2 3" xfId="0"/>
    <cellStyle name="Output 18 4 2 3" xfId="0"/>
    <cellStyle name="Output 18 4 2 4" xfId="0"/>
    <cellStyle name="Output 18 4 3" xfId="0"/>
    <cellStyle name="Output 18 4 3 2" xfId="0"/>
    <cellStyle name="Output 18 4 3 3" xfId="0"/>
    <cellStyle name="Output 18 4 4" xfId="0"/>
    <cellStyle name="Output 18 4 5" xfId="0"/>
    <cellStyle name="Output 18 5" xfId="0"/>
    <cellStyle name="Output 18 5 2" xfId="0"/>
    <cellStyle name="Output 18 5 3" xfId="0"/>
    <cellStyle name="Output 18 6" xfId="0"/>
    <cellStyle name="Output 18 7" xfId="0"/>
    <cellStyle name="Output 19" xfId="0"/>
    <cellStyle name="Output 19 2" xfId="0"/>
    <cellStyle name="Output 19 2 2" xfId="0"/>
    <cellStyle name="Output 19 2 2 2" xfId="0"/>
    <cellStyle name="Output 19 2 2 2 2" xfId="0"/>
    <cellStyle name="Output 19 2 2 2 3" xfId="0"/>
    <cellStyle name="Output 19 2 2 3" xfId="0"/>
    <cellStyle name="Output 19 2 2 4" xfId="0"/>
    <cellStyle name="Output 19 2 3" xfId="0"/>
    <cellStyle name="Output 19 2 3 2" xfId="0"/>
    <cellStyle name="Output 19 2 3 2 2" xfId="0"/>
    <cellStyle name="Output 19 2 3 2 3" xfId="0"/>
    <cellStyle name="Output 19 2 3 3" xfId="0"/>
    <cellStyle name="Output 19 2 3 4" xfId="0"/>
    <cellStyle name="Output 19 2 4" xfId="0"/>
    <cellStyle name="Output 19 2 4 2" xfId="0"/>
    <cellStyle name="Output 19 2 4 3" xfId="0"/>
    <cellStyle name="Output 19 2 5" xfId="0"/>
    <cellStyle name="Output 19 2 6" xfId="0"/>
    <cellStyle name="Output 19 3" xfId="0"/>
    <cellStyle name="Output 19 3 2" xfId="0"/>
    <cellStyle name="Output 19 3 2 2" xfId="0"/>
    <cellStyle name="Output 19 3 2 2 2" xfId="0"/>
    <cellStyle name="Output 19 3 2 2 3" xfId="0"/>
    <cellStyle name="Output 19 3 2 3" xfId="0"/>
    <cellStyle name="Output 19 3 2 4" xfId="0"/>
    <cellStyle name="Output 19 3 3" xfId="0"/>
    <cellStyle name="Output 19 3 3 2" xfId="0"/>
    <cellStyle name="Output 19 3 3 3" xfId="0"/>
    <cellStyle name="Output 19 3 4" xfId="0"/>
    <cellStyle name="Output 19 3 5" xfId="0"/>
    <cellStyle name="Output 19 4" xfId="0"/>
    <cellStyle name="Output 19 4 2" xfId="0"/>
    <cellStyle name="Output 19 4 2 2" xfId="0"/>
    <cellStyle name="Output 19 4 2 2 2" xfId="0"/>
    <cellStyle name="Output 19 4 2 2 3" xfId="0"/>
    <cellStyle name="Output 19 4 2 3" xfId="0"/>
    <cellStyle name="Output 19 4 2 4" xfId="0"/>
    <cellStyle name="Output 19 4 3" xfId="0"/>
    <cellStyle name="Output 19 4 3 2" xfId="0"/>
    <cellStyle name="Output 19 4 3 3" xfId="0"/>
    <cellStyle name="Output 19 4 4" xfId="0"/>
    <cellStyle name="Output 19 4 5" xfId="0"/>
    <cellStyle name="Output 19 5" xfId="0"/>
    <cellStyle name="Output 19 5 2" xfId="0"/>
    <cellStyle name="Output 19 5 3" xfId="0"/>
    <cellStyle name="Output 19 6" xfId="0"/>
    <cellStyle name="Output 19 7" xfId="0"/>
    <cellStyle name="Output 2" xfId="0"/>
    <cellStyle name="Output 2 10" xfId="0"/>
    <cellStyle name="Output 2 10 2" xfId="0"/>
    <cellStyle name="Output 2 10 3" xfId="0"/>
    <cellStyle name="Output 2 11" xfId="0"/>
    <cellStyle name="Output 2 12" xfId="0"/>
    <cellStyle name="Output 2 2" xfId="0"/>
    <cellStyle name="Output 2 2 2" xfId="0"/>
    <cellStyle name="Output 2 2 2 2" xfId="0"/>
    <cellStyle name="Output 2 2 2 2 2" xfId="0"/>
    <cellStyle name="Output 2 2 2 2 2 2" xfId="0"/>
    <cellStyle name="Output 2 2 2 2 2 3" xfId="0"/>
    <cellStyle name="Output 2 2 2 2 3" xfId="0"/>
    <cellStyle name="Output 2 2 2 2 4" xfId="0"/>
    <cellStyle name="Output 2 2 2 3" xfId="0"/>
    <cellStyle name="Output 2 2 2 3 2" xfId="0"/>
    <cellStyle name="Output 2 2 2 3 3" xfId="0"/>
    <cellStyle name="Output 2 2 2 4" xfId="0"/>
    <cellStyle name="Output 2 2 2 5" xfId="0"/>
    <cellStyle name="Output 2 2 3" xfId="0"/>
    <cellStyle name="Output 2 2 3 2" xfId="0"/>
    <cellStyle name="Output 2 2 3 2 2" xfId="0"/>
    <cellStyle name="Output 2 2 3 2 3" xfId="0"/>
    <cellStyle name="Output 2 2 3 3" xfId="0"/>
    <cellStyle name="Output 2 2 3 4" xfId="0"/>
    <cellStyle name="Output 2 2 4" xfId="0"/>
    <cellStyle name="Output 2 2 4 2" xfId="0"/>
    <cellStyle name="Output 2 2 4 3" xfId="0"/>
    <cellStyle name="Output 2 2 5" xfId="0"/>
    <cellStyle name="Output 2 2 6" xfId="0"/>
    <cellStyle name="Output 2 3" xfId="0"/>
    <cellStyle name="Output 2 3 2" xfId="0"/>
    <cellStyle name="Output 2 3 2 2" xfId="0"/>
    <cellStyle name="Output 2 3 2 2 2" xfId="0"/>
    <cellStyle name="Output 2 3 2 2 2 2" xfId="0"/>
    <cellStyle name="Output 2 3 2 2 2 3" xfId="0"/>
    <cellStyle name="Output 2 3 2 2 3" xfId="0"/>
    <cellStyle name="Output 2 3 2 2 4" xfId="0"/>
    <cellStyle name="Output 2 3 2 3" xfId="0"/>
    <cellStyle name="Output 2 3 2 3 2" xfId="0"/>
    <cellStyle name="Output 2 3 2 3 3" xfId="0"/>
    <cellStyle name="Output 2 3 2 4" xfId="0"/>
    <cellStyle name="Output 2 3 2 5" xfId="0"/>
    <cellStyle name="Output 2 3 3" xfId="0"/>
    <cellStyle name="Output 2 3 3 2" xfId="0"/>
    <cellStyle name="Output 2 3 3 2 2" xfId="0"/>
    <cellStyle name="Output 2 3 3 2 3" xfId="0"/>
    <cellStyle name="Output 2 3 3 3" xfId="0"/>
    <cellStyle name="Output 2 3 3 4" xfId="0"/>
    <cellStyle name="Output 2 3 4" xfId="0"/>
    <cellStyle name="Output 2 3 4 2" xfId="0"/>
    <cellStyle name="Output 2 3 4 3" xfId="0"/>
    <cellStyle name="Output 2 3 5" xfId="0"/>
    <cellStyle name="Output 2 3 6" xfId="0"/>
    <cellStyle name="Output 2 4" xfId="0"/>
    <cellStyle name="Output 2 4 2" xfId="0"/>
    <cellStyle name="Output 2 4 2 2" xfId="0"/>
    <cellStyle name="Output 2 4 2 2 2" xfId="0"/>
    <cellStyle name="Output 2 4 2 2 2 2" xfId="0"/>
    <cellStyle name="Output 2 4 2 2 2 3" xfId="0"/>
    <cellStyle name="Output 2 4 2 2 3" xfId="0"/>
    <cellStyle name="Output 2 4 2 2 4" xfId="0"/>
    <cellStyle name="Output 2 4 2 3" xfId="0"/>
    <cellStyle name="Output 2 4 2 3 2" xfId="0"/>
    <cellStyle name="Output 2 4 2 3 3" xfId="0"/>
    <cellStyle name="Output 2 4 2 4" xfId="0"/>
    <cellStyle name="Output 2 4 2 5" xfId="0"/>
    <cellStyle name="Output 2 4 3" xfId="0"/>
    <cellStyle name="Output 2 4 3 2" xfId="0"/>
    <cellStyle name="Output 2 4 3 2 2" xfId="0"/>
    <cellStyle name="Output 2 4 3 2 3" xfId="0"/>
    <cellStyle name="Output 2 4 3 3" xfId="0"/>
    <cellStyle name="Output 2 4 3 4" xfId="0"/>
    <cellStyle name="Output 2 4 4" xfId="0"/>
    <cellStyle name="Output 2 4 4 2" xfId="0"/>
    <cellStyle name="Output 2 4 4 3" xfId="0"/>
    <cellStyle name="Output 2 4 5" xfId="0"/>
    <cellStyle name="Output 2 4 6" xfId="0"/>
    <cellStyle name="Output 2 5" xfId="0"/>
    <cellStyle name="Output 2 5 2" xfId="0"/>
    <cellStyle name="Output 2 5 2 2" xfId="0"/>
    <cellStyle name="Output 2 5 2 2 2" xfId="0"/>
    <cellStyle name="Output 2 5 2 2 2 2" xfId="0"/>
    <cellStyle name="Output 2 5 2 2 2 3" xfId="0"/>
    <cellStyle name="Output 2 5 2 2 3" xfId="0"/>
    <cellStyle name="Output 2 5 2 2 4" xfId="0"/>
    <cellStyle name="Output 2 5 2 3" xfId="0"/>
    <cellStyle name="Output 2 5 2 3 2" xfId="0"/>
    <cellStyle name="Output 2 5 2 3 3" xfId="0"/>
    <cellStyle name="Output 2 5 2 4" xfId="0"/>
    <cellStyle name="Output 2 5 2 5" xfId="0"/>
    <cellStyle name="Output 2 5 3" xfId="0"/>
    <cellStyle name="Output 2 5 3 2" xfId="0"/>
    <cellStyle name="Output 2 5 3 2 2" xfId="0"/>
    <cellStyle name="Output 2 5 3 2 3" xfId="0"/>
    <cellStyle name="Output 2 5 3 3" xfId="0"/>
    <cellStyle name="Output 2 5 3 4" xfId="0"/>
    <cellStyle name="Output 2 5 4" xfId="0"/>
    <cellStyle name="Output 2 5 4 2" xfId="0"/>
    <cellStyle name="Output 2 5 4 3" xfId="0"/>
    <cellStyle name="Output 2 5 5" xfId="0"/>
    <cellStyle name="Output 2 5 6" xfId="0"/>
    <cellStyle name="Output 2 6" xfId="0"/>
    <cellStyle name="Output 2 6 2" xfId="0"/>
    <cellStyle name="Output 2 6 2 2" xfId="0"/>
    <cellStyle name="Output 2 6 2 2 2" xfId="0"/>
    <cellStyle name="Output 2 6 2 2 3" xfId="0"/>
    <cellStyle name="Output 2 6 2 3" xfId="0"/>
    <cellStyle name="Output 2 6 2 4" xfId="0"/>
    <cellStyle name="Output 2 6 3" xfId="0"/>
    <cellStyle name="Output 2 6 3 2" xfId="0"/>
    <cellStyle name="Output 2 6 3 3" xfId="0"/>
    <cellStyle name="Output 2 6 4" xfId="0"/>
    <cellStyle name="Output 2 6 5" xfId="0"/>
    <cellStyle name="Output 2 7" xfId="0"/>
    <cellStyle name="Output 2 7 2" xfId="0"/>
    <cellStyle name="Output 2 7 2 2" xfId="0"/>
    <cellStyle name="Output 2 7 2 2 2" xfId="0"/>
    <cellStyle name="Output 2 7 2 2 3" xfId="0"/>
    <cellStyle name="Output 2 7 2 3" xfId="0"/>
    <cellStyle name="Output 2 7 2 4" xfId="0"/>
    <cellStyle name="Output 2 7 3" xfId="0"/>
    <cellStyle name="Output 2 7 3 2" xfId="0"/>
    <cellStyle name="Output 2 7 3 3" xfId="0"/>
    <cellStyle name="Output 2 7 4" xfId="0"/>
    <cellStyle name="Output 2 7 5" xfId="0"/>
    <cellStyle name="Output 2 8" xfId="0"/>
    <cellStyle name="Output 2 8 2" xfId="0"/>
    <cellStyle name="Output 2 8 2 2" xfId="0"/>
    <cellStyle name="Output 2 8 2 2 2" xfId="0"/>
    <cellStyle name="Output 2 8 2 2 3" xfId="0"/>
    <cellStyle name="Output 2 8 2 3" xfId="0"/>
    <cellStyle name="Output 2 8 2 4" xfId="0"/>
    <cellStyle name="Output 2 8 3" xfId="0"/>
    <cellStyle name="Output 2 8 3 2" xfId="0"/>
    <cellStyle name="Output 2 8 3 3" xfId="0"/>
    <cellStyle name="Output 2 8 4" xfId="0"/>
    <cellStyle name="Output 2 8 5" xfId="0"/>
    <cellStyle name="Output 2 9" xfId="0"/>
    <cellStyle name="Output 2 9 2" xfId="0"/>
    <cellStyle name="Output 2 9 3" xfId="0"/>
    <cellStyle name="Output 20" xfId="0"/>
    <cellStyle name="Output 20 2" xfId="0"/>
    <cellStyle name="Output 20 2 2" xfId="0"/>
    <cellStyle name="Output 20 2 2 2" xfId="0"/>
    <cellStyle name="Output 20 2 2 2 2" xfId="0"/>
    <cellStyle name="Output 20 2 2 2 3" xfId="0"/>
    <cellStyle name="Output 20 2 2 3" xfId="0"/>
    <cellStyle name="Output 20 2 2 4" xfId="0"/>
    <cellStyle name="Output 20 2 3" xfId="0"/>
    <cellStyle name="Output 20 2 3 2" xfId="0"/>
    <cellStyle name="Output 20 2 3 2 2" xfId="0"/>
    <cellStyle name="Output 20 2 3 2 3" xfId="0"/>
    <cellStyle name="Output 20 2 3 3" xfId="0"/>
    <cellStyle name="Output 20 2 3 4" xfId="0"/>
    <cellStyle name="Output 20 2 4" xfId="0"/>
    <cellStyle name="Output 20 2 4 2" xfId="0"/>
    <cellStyle name="Output 20 2 4 3" xfId="0"/>
    <cellStyle name="Output 20 2 5" xfId="0"/>
    <cellStyle name="Output 20 2 6" xfId="0"/>
    <cellStyle name="Output 20 3" xfId="0"/>
    <cellStyle name="Output 20 3 2" xfId="0"/>
    <cellStyle name="Output 20 3 2 2" xfId="0"/>
    <cellStyle name="Output 20 3 2 2 2" xfId="0"/>
    <cellStyle name="Output 20 3 2 2 3" xfId="0"/>
    <cellStyle name="Output 20 3 2 3" xfId="0"/>
    <cellStyle name="Output 20 3 2 4" xfId="0"/>
    <cellStyle name="Output 20 3 3" xfId="0"/>
    <cellStyle name="Output 20 3 3 2" xfId="0"/>
    <cellStyle name="Output 20 3 3 3" xfId="0"/>
    <cellStyle name="Output 20 3 4" xfId="0"/>
    <cellStyle name="Output 20 3 5" xfId="0"/>
    <cellStyle name="Output 20 4" xfId="0"/>
    <cellStyle name="Output 20 4 2" xfId="0"/>
    <cellStyle name="Output 20 4 2 2" xfId="0"/>
    <cellStyle name="Output 20 4 2 2 2" xfId="0"/>
    <cellStyle name="Output 20 4 2 2 3" xfId="0"/>
    <cellStyle name="Output 20 4 2 3" xfId="0"/>
    <cellStyle name="Output 20 4 2 4" xfId="0"/>
    <cellStyle name="Output 20 4 3" xfId="0"/>
    <cellStyle name="Output 20 4 3 2" xfId="0"/>
    <cellStyle name="Output 20 4 3 3" xfId="0"/>
    <cellStyle name="Output 20 4 4" xfId="0"/>
    <cellStyle name="Output 20 4 5" xfId="0"/>
    <cellStyle name="Output 20 5" xfId="0"/>
    <cellStyle name="Output 20 5 2" xfId="0"/>
    <cellStyle name="Output 20 5 2 2" xfId="0"/>
    <cellStyle name="Output 20 5 2 3" xfId="0"/>
    <cellStyle name="Output 20 5 3" xfId="0"/>
    <cellStyle name="Output 20 5 4" xfId="0"/>
    <cellStyle name="Output 20 6" xfId="0"/>
    <cellStyle name="Output 20 6 2" xfId="0"/>
    <cellStyle name="Output 20 6 3" xfId="0"/>
    <cellStyle name="Output 20 7" xfId="0"/>
    <cellStyle name="Output 20 8" xfId="0"/>
    <cellStyle name="Output 21" xfId="0"/>
    <cellStyle name="Output 21 2" xfId="0"/>
    <cellStyle name="Output 21 2 2" xfId="0"/>
    <cellStyle name="Output 21 2 2 2" xfId="0"/>
    <cellStyle name="Output 21 2 2 3" xfId="0"/>
    <cellStyle name="Output 21 2 3" xfId="0"/>
    <cellStyle name="Output 21 2 4" xfId="0"/>
    <cellStyle name="Output 21 3" xfId="0"/>
    <cellStyle name="Output 21 3 2" xfId="0"/>
    <cellStyle name="Output 21 3 2 2" xfId="0"/>
    <cellStyle name="Output 21 3 2 3" xfId="0"/>
    <cellStyle name="Output 21 3 3" xfId="0"/>
    <cellStyle name="Output 21 3 4" xfId="0"/>
    <cellStyle name="Output 21 4" xfId="0"/>
    <cellStyle name="Output 21 4 2" xfId="0"/>
    <cellStyle name="Output 21 4 3" xfId="0"/>
    <cellStyle name="Output 21 5" xfId="0"/>
    <cellStyle name="Output 21 6" xfId="0"/>
    <cellStyle name="Output 22" xfId="0"/>
    <cellStyle name="Output 22 2" xfId="0"/>
    <cellStyle name="Output 22 2 2" xfId="0"/>
    <cellStyle name="Output 22 2 2 2" xfId="0"/>
    <cellStyle name="Output 22 2 2 3" xfId="0"/>
    <cellStyle name="Output 22 2 3" xfId="0"/>
    <cellStyle name="Output 22 2 4" xfId="0"/>
    <cellStyle name="Output 22 3" xfId="0"/>
    <cellStyle name="Output 22 3 2" xfId="0"/>
    <cellStyle name="Output 22 3 2 2" xfId="0"/>
    <cellStyle name="Output 22 3 2 3" xfId="0"/>
    <cellStyle name="Output 22 3 3" xfId="0"/>
    <cellStyle name="Output 22 3 4" xfId="0"/>
    <cellStyle name="Output 22 4" xfId="0"/>
    <cellStyle name="Output 22 4 2" xfId="0"/>
    <cellStyle name="Output 22 4 3" xfId="0"/>
    <cellStyle name="Output 22 5" xfId="0"/>
    <cellStyle name="Output 22 6" xfId="0"/>
    <cellStyle name="Output 23" xfId="0"/>
    <cellStyle name="Output 23 2" xfId="0"/>
    <cellStyle name="Output 23 2 2" xfId="0"/>
    <cellStyle name="Output 23 2 2 2" xfId="0"/>
    <cellStyle name="Output 23 2 2 3" xfId="0"/>
    <cellStyle name="Output 23 2 3" xfId="0"/>
    <cellStyle name="Output 23 2 4" xfId="0"/>
    <cellStyle name="Output 23 3" xfId="0"/>
    <cellStyle name="Output 23 3 2" xfId="0"/>
    <cellStyle name="Output 23 3 2 2" xfId="0"/>
    <cellStyle name="Output 23 3 2 3" xfId="0"/>
    <cellStyle name="Output 23 3 3" xfId="0"/>
    <cellStyle name="Output 23 3 4" xfId="0"/>
    <cellStyle name="Output 23 4" xfId="0"/>
    <cellStyle name="Output 23 4 2" xfId="0"/>
    <cellStyle name="Output 23 4 3" xfId="0"/>
    <cellStyle name="Output 23 5" xfId="0"/>
    <cellStyle name="Output 23 6" xfId="0"/>
    <cellStyle name="Output 24" xfId="0"/>
    <cellStyle name="Output 24 2" xfId="0"/>
    <cellStyle name="Output 24 2 2" xfId="0"/>
    <cellStyle name="Output 24 2 2 2" xfId="0"/>
    <cellStyle name="Output 24 2 2 3" xfId="0"/>
    <cellStyle name="Output 24 2 3" xfId="0"/>
    <cellStyle name="Output 24 2 4" xfId="0"/>
    <cellStyle name="Output 24 3" xfId="0"/>
    <cellStyle name="Output 24 3 2" xfId="0"/>
    <cellStyle name="Output 24 3 2 2" xfId="0"/>
    <cellStyle name="Output 24 3 2 3" xfId="0"/>
    <cellStyle name="Output 24 3 3" xfId="0"/>
    <cellStyle name="Output 24 3 4" xfId="0"/>
    <cellStyle name="Output 24 4" xfId="0"/>
    <cellStyle name="Output 24 4 2" xfId="0"/>
    <cellStyle name="Output 24 4 3" xfId="0"/>
    <cellStyle name="Output 24 5" xfId="0"/>
    <cellStyle name="Output 24 6" xfId="0"/>
    <cellStyle name="Output 25" xfId="0"/>
    <cellStyle name="Output 25 2" xfId="0"/>
    <cellStyle name="Output 25 2 2" xfId="0"/>
    <cellStyle name="Output 25 2 2 2" xfId="0"/>
    <cellStyle name="Output 25 2 2 3" xfId="0"/>
    <cellStyle name="Output 25 2 3" xfId="0"/>
    <cellStyle name="Output 25 2 4" xfId="0"/>
    <cellStyle name="Output 25 3" xfId="0"/>
    <cellStyle name="Output 25 3 2" xfId="0"/>
    <cellStyle name="Output 25 3 2 2" xfId="0"/>
    <cellStyle name="Output 25 3 2 3" xfId="0"/>
    <cellStyle name="Output 25 3 3" xfId="0"/>
    <cellStyle name="Output 25 3 4" xfId="0"/>
    <cellStyle name="Output 25 4" xfId="0"/>
    <cellStyle name="Output 25 4 2" xfId="0"/>
    <cellStyle name="Output 25 4 3" xfId="0"/>
    <cellStyle name="Output 25 5" xfId="0"/>
    <cellStyle name="Output 25 6" xfId="0"/>
    <cellStyle name="Output 26" xfId="0"/>
    <cellStyle name="Output 26 2" xfId="0"/>
    <cellStyle name="Output 26 2 2" xfId="0"/>
    <cellStyle name="Output 26 2 2 2" xfId="0"/>
    <cellStyle name="Output 26 2 2 3" xfId="0"/>
    <cellStyle name="Output 26 2 3" xfId="0"/>
    <cellStyle name="Output 26 2 4" xfId="0"/>
    <cellStyle name="Output 26 3" xfId="0"/>
    <cellStyle name="Output 26 3 2" xfId="0"/>
    <cellStyle name="Output 26 3 3" xfId="0"/>
    <cellStyle name="Output 26 4" xfId="0"/>
    <cellStyle name="Output 26 5" xfId="0"/>
    <cellStyle name="Output 27" xfId="0"/>
    <cellStyle name="Output 27 2" xfId="0"/>
    <cellStyle name="Output 27 2 2" xfId="0"/>
    <cellStyle name="Output 27 2 2 2" xfId="0"/>
    <cellStyle name="Output 27 2 2 3" xfId="0"/>
    <cellStyle name="Output 27 2 3" xfId="0"/>
    <cellStyle name="Output 27 2 4" xfId="0"/>
    <cellStyle name="Output 27 3" xfId="0"/>
    <cellStyle name="Output 27 3 2" xfId="0"/>
    <cellStyle name="Output 27 3 3" xfId="0"/>
    <cellStyle name="Output 27 4" xfId="0"/>
    <cellStyle name="Output 27 5" xfId="0"/>
    <cellStyle name="Output 28" xfId="0"/>
    <cellStyle name="Output 28 2" xfId="0"/>
    <cellStyle name="Output 28 2 2" xfId="0"/>
    <cellStyle name="Output 28 2 2 2" xfId="0"/>
    <cellStyle name="Output 28 2 2 3" xfId="0"/>
    <cellStyle name="Output 28 2 3" xfId="0"/>
    <cellStyle name="Output 28 2 4" xfId="0"/>
    <cellStyle name="Output 28 3" xfId="0"/>
    <cellStyle name="Output 28 3 2" xfId="0"/>
    <cellStyle name="Output 28 3 3" xfId="0"/>
    <cellStyle name="Output 28 4" xfId="0"/>
    <cellStyle name="Output 28 5" xfId="0"/>
    <cellStyle name="Output 29" xfId="0"/>
    <cellStyle name="Output 29 2" xfId="0"/>
    <cellStyle name="Output 29 2 2" xfId="0"/>
    <cellStyle name="Output 29 2 3" xfId="0"/>
    <cellStyle name="Output 29 3" xfId="0"/>
    <cellStyle name="Output 29 4" xfId="0"/>
    <cellStyle name="Output 3" xfId="0"/>
    <cellStyle name="Output 3 10" xfId="0"/>
    <cellStyle name="Output 3 2" xfId="0"/>
    <cellStyle name="Output 3 2 2" xfId="0"/>
    <cellStyle name="Output 3 2 2 2" xfId="0"/>
    <cellStyle name="Output 3 2 2 2 2" xfId="0"/>
    <cellStyle name="Output 3 2 2 2 3" xfId="0"/>
    <cellStyle name="Output 3 2 2 3" xfId="0"/>
    <cellStyle name="Output 3 2 2 4" xfId="0"/>
    <cellStyle name="Output 3 2 3" xfId="0"/>
    <cellStyle name="Output 3 2 3 2" xfId="0"/>
    <cellStyle name="Output 3 2 3 2 2" xfId="0"/>
    <cellStyle name="Output 3 2 3 2 3" xfId="0"/>
    <cellStyle name="Output 3 2 3 3" xfId="0"/>
    <cellStyle name="Output 3 2 3 4" xfId="0"/>
    <cellStyle name="Output 3 2 4" xfId="0"/>
    <cellStyle name="Output 3 2 4 2" xfId="0"/>
    <cellStyle name="Output 3 2 4 3" xfId="0"/>
    <cellStyle name="Output 3 2 5" xfId="0"/>
    <cellStyle name="Output 3 2 6" xfId="0"/>
    <cellStyle name="Output 3 3" xfId="0"/>
    <cellStyle name="Output 3 3 2" xfId="0"/>
    <cellStyle name="Output 3 3 2 2" xfId="0"/>
    <cellStyle name="Output 3 3 2 2 2" xfId="0"/>
    <cellStyle name="Output 3 3 2 2 3" xfId="0"/>
    <cellStyle name="Output 3 3 2 3" xfId="0"/>
    <cellStyle name="Output 3 3 2 4" xfId="0"/>
    <cellStyle name="Output 3 3 3" xfId="0"/>
    <cellStyle name="Output 3 3 3 2" xfId="0"/>
    <cellStyle name="Output 3 3 3 2 2" xfId="0"/>
    <cellStyle name="Output 3 3 3 2 3" xfId="0"/>
    <cellStyle name="Output 3 3 3 3" xfId="0"/>
    <cellStyle name="Output 3 3 3 4" xfId="0"/>
    <cellStyle name="Output 3 3 4" xfId="0"/>
    <cellStyle name="Output 3 3 4 2" xfId="0"/>
    <cellStyle name="Output 3 3 4 3" xfId="0"/>
    <cellStyle name="Output 3 3 5" xfId="0"/>
    <cellStyle name="Output 3 3 6" xfId="0"/>
    <cellStyle name="Output 3 4" xfId="0"/>
    <cellStyle name="Output 3 4 2" xfId="0"/>
    <cellStyle name="Output 3 4 2 2" xfId="0"/>
    <cellStyle name="Output 3 4 2 2 2" xfId="0"/>
    <cellStyle name="Output 3 4 2 2 3" xfId="0"/>
    <cellStyle name="Output 3 4 2 3" xfId="0"/>
    <cellStyle name="Output 3 4 2 4" xfId="0"/>
    <cellStyle name="Output 3 4 3" xfId="0"/>
    <cellStyle name="Output 3 4 3 2" xfId="0"/>
    <cellStyle name="Output 3 4 3 2 2" xfId="0"/>
    <cellStyle name="Output 3 4 3 2 3" xfId="0"/>
    <cellStyle name="Output 3 4 3 3" xfId="0"/>
    <cellStyle name="Output 3 4 3 4" xfId="0"/>
    <cellStyle name="Output 3 4 4" xfId="0"/>
    <cellStyle name="Output 3 4 4 2" xfId="0"/>
    <cellStyle name="Output 3 4 4 3" xfId="0"/>
    <cellStyle name="Output 3 4 5" xfId="0"/>
    <cellStyle name="Output 3 4 6" xfId="0"/>
    <cellStyle name="Output 3 5" xfId="0"/>
    <cellStyle name="Output 3 5 2" xfId="0"/>
    <cellStyle name="Output 3 5 2 2" xfId="0"/>
    <cellStyle name="Output 3 5 2 2 2" xfId="0"/>
    <cellStyle name="Output 3 5 2 2 3" xfId="0"/>
    <cellStyle name="Output 3 5 2 3" xfId="0"/>
    <cellStyle name="Output 3 5 2 4" xfId="0"/>
    <cellStyle name="Output 3 5 3" xfId="0"/>
    <cellStyle name="Output 3 5 3 2" xfId="0"/>
    <cellStyle name="Output 3 5 3 2 2" xfId="0"/>
    <cellStyle name="Output 3 5 3 2 3" xfId="0"/>
    <cellStyle name="Output 3 5 3 3" xfId="0"/>
    <cellStyle name="Output 3 5 3 4" xfId="0"/>
    <cellStyle name="Output 3 5 4" xfId="0"/>
    <cellStyle name="Output 3 5 4 2" xfId="0"/>
    <cellStyle name="Output 3 5 4 3" xfId="0"/>
    <cellStyle name="Output 3 5 5" xfId="0"/>
    <cellStyle name="Output 3 5 6" xfId="0"/>
    <cellStyle name="Output 3 6" xfId="0"/>
    <cellStyle name="Output 3 6 2" xfId="0"/>
    <cellStyle name="Output 3 6 2 2" xfId="0"/>
    <cellStyle name="Output 3 6 2 2 2" xfId="0"/>
    <cellStyle name="Output 3 6 2 2 3" xfId="0"/>
    <cellStyle name="Output 3 6 2 3" xfId="0"/>
    <cellStyle name="Output 3 6 2 4" xfId="0"/>
    <cellStyle name="Output 3 6 3" xfId="0"/>
    <cellStyle name="Output 3 6 3 2" xfId="0"/>
    <cellStyle name="Output 3 6 3 3" xfId="0"/>
    <cellStyle name="Output 3 6 4" xfId="0"/>
    <cellStyle name="Output 3 6 5" xfId="0"/>
    <cellStyle name="Output 3 7" xfId="0"/>
    <cellStyle name="Output 3 7 2" xfId="0"/>
    <cellStyle name="Output 3 7 2 2" xfId="0"/>
    <cellStyle name="Output 3 7 2 2 2" xfId="0"/>
    <cellStyle name="Output 3 7 2 2 3" xfId="0"/>
    <cellStyle name="Output 3 7 2 3" xfId="0"/>
    <cellStyle name="Output 3 7 2 4" xfId="0"/>
    <cellStyle name="Output 3 7 3" xfId="0"/>
    <cellStyle name="Output 3 7 3 2" xfId="0"/>
    <cellStyle name="Output 3 7 3 3" xfId="0"/>
    <cellStyle name="Output 3 7 4" xfId="0"/>
    <cellStyle name="Output 3 7 5" xfId="0"/>
    <cellStyle name="Output 3 8" xfId="0"/>
    <cellStyle name="Output 3 8 2" xfId="0"/>
    <cellStyle name="Output 3 8 3" xfId="0"/>
    <cellStyle name="Output 3 9" xfId="0"/>
    <cellStyle name="Output 30" xfId="0"/>
    <cellStyle name="Output 30 2" xfId="0"/>
    <cellStyle name="Output 30 2 2" xfId="0"/>
    <cellStyle name="Output 30 2 3" xfId="0"/>
    <cellStyle name="Output 30 3" xfId="0"/>
    <cellStyle name="Output 30 4" xfId="0"/>
    <cellStyle name="Output 31" xfId="0"/>
    <cellStyle name="Output 31 2" xfId="0"/>
    <cellStyle name="Output 31 3" xfId="0"/>
    <cellStyle name="Output 32" xfId="0"/>
    <cellStyle name="Output 32 2" xfId="0"/>
    <cellStyle name="Output 32 3" xfId="0"/>
    <cellStyle name="Output 33" xfId="0"/>
    <cellStyle name="Output 33 2" xfId="0"/>
    <cellStyle name="Output 33 3" xfId="0"/>
    <cellStyle name="Output 34" xfId="0"/>
    <cellStyle name="Output 34 2" xfId="0"/>
    <cellStyle name="Output 34 3" xfId="0"/>
    <cellStyle name="Output 35" xfId="0"/>
    <cellStyle name="Output 4" xfId="0"/>
    <cellStyle name="Output 4 10" xfId="0"/>
    <cellStyle name="Output 4 2" xfId="0"/>
    <cellStyle name="Output 4 2 2" xfId="0"/>
    <cellStyle name="Output 4 2 2 2" xfId="0"/>
    <cellStyle name="Output 4 2 2 2 2" xfId="0"/>
    <cellStyle name="Output 4 2 2 2 3" xfId="0"/>
    <cellStyle name="Output 4 2 2 3" xfId="0"/>
    <cellStyle name="Output 4 2 2 4" xfId="0"/>
    <cellStyle name="Output 4 2 3" xfId="0"/>
    <cellStyle name="Output 4 2 3 2" xfId="0"/>
    <cellStyle name="Output 4 2 3 2 2" xfId="0"/>
    <cellStyle name="Output 4 2 3 2 3" xfId="0"/>
    <cellStyle name="Output 4 2 3 3" xfId="0"/>
    <cellStyle name="Output 4 2 3 4" xfId="0"/>
    <cellStyle name="Output 4 2 4" xfId="0"/>
    <cellStyle name="Output 4 2 4 2" xfId="0"/>
    <cellStyle name="Output 4 2 4 3" xfId="0"/>
    <cellStyle name="Output 4 2 5" xfId="0"/>
    <cellStyle name="Output 4 2 6" xfId="0"/>
    <cellStyle name="Output 4 3" xfId="0"/>
    <cellStyle name="Output 4 3 2" xfId="0"/>
    <cellStyle name="Output 4 3 2 2" xfId="0"/>
    <cellStyle name="Output 4 3 2 2 2" xfId="0"/>
    <cellStyle name="Output 4 3 2 2 3" xfId="0"/>
    <cellStyle name="Output 4 3 2 3" xfId="0"/>
    <cellStyle name="Output 4 3 2 4" xfId="0"/>
    <cellStyle name="Output 4 3 3" xfId="0"/>
    <cellStyle name="Output 4 3 3 2" xfId="0"/>
    <cellStyle name="Output 4 3 3 2 2" xfId="0"/>
    <cellStyle name="Output 4 3 3 2 3" xfId="0"/>
    <cellStyle name="Output 4 3 3 3" xfId="0"/>
    <cellStyle name="Output 4 3 3 4" xfId="0"/>
    <cellStyle name="Output 4 3 4" xfId="0"/>
    <cellStyle name="Output 4 3 4 2" xfId="0"/>
    <cellStyle name="Output 4 3 4 3" xfId="0"/>
    <cellStyle name="Output 4 3 5" xfId="0"/>
    <cellStyle name="Output 4 3 6" xfId="0"/>
    <cellStyle name="Output 4 4" xfId="0"/>
    <cellStyle name="Output 4 4 2" xfId="0"/>
    <cellStyle name="Output 4 4 2 2" xfId="0"/>
    <cellStyle name="Output 4 4 2 2 2" xfId="0"/>
    <cellStyle name="Output 4 4 2 2 3" xfId="0"/>
    <cellStyle name="Output 4 4 2 3" xfId="0"/>
    <cellStyle name="Output 4 4 2 4" xfId="0"/>
    <cellStyle name="Output 4 4 3" xfId="0"/>
    <cellStyle name="Output 4 4 3 2" xfId="0"/>
    <cellStyle name="Output 4 4 3 2 2" xfId="0"/>
    <cellStyle name="Output 4 4 3 2 3" xfId="0"/>
    <cellStyle name="Output 4 4 3 3" xfId="0"/>
    <cellStyle name="Output 4 4 3 4" xfId="0"/>
    <cellStyle name="Output 4 4 4" xfId="0"/>
    <cellStyle name="Output 4 4 4 2" xfId="0"/>
    <cellStyle name="Output 4 4 4 3" xfId="0"/>
    <cellStyle name="Output 4 4 5" xfId="0"/>
    <cellStyle name="Output 4 4 6" xfId="0"/>
    <cellStyle name="Output 4 5" xfId="0"/>
    <cellStyle name="Output 4 5 2" xfId="0"/>
    <cellStyle name="Output 4 5 2 2" xfId="0"/>
    <cellStyle name="Output 4 5 2 2 2" xfId="0"/>
    <cellStyle name="Output 4 5 2 2 3" xfId="0"/>
    <cellStyle name="Output 4 5 2 3" xfId="0"/>
    <cellStyle name="Output 4 5 2 4" xfId="0"/>
    <cellStyle name="Output 4 5 3" xfId="0"/>
    <cellStyle name="Output 4 5 3 2" xfId="0"/>
    <cellStyle name="Output 4 5 3 2 2" xfId="0"/>
    <cellStyle name="Output 4 5 3 2 3" xfId="0"/>
    <cellStyle name="Output 4 5 3 3" xfId="0"/>
    <cellStyle name="Output 4 5 3 4" xfId="0"/>
    <cellStyle name="Output 4 5 4" xfId="0"/>
    <cellStyle name="Output 4 5 4 2" xfId="0"/>
    <cellStyle name="Output 4 5 4 3" xfId="0"/>
    <cellStyle name="Output 4 5 5" xfId="0"/>
    <cellStyle name="Output 4 5 6" xfId="0"/>
    <cellStyle name="Output 4 6" xfId="0"/>
    <cellStyle name="Output 4 6 2" xfId="0"/>
    <cellStyle name="Output 4 6 2 2" xfId="0"/>
    <cellStyle name="Output 4 6 2 2 2" xfId="0"/>
    <cellStyle name="Output 4 6 2 2 3" xfId="0"/>
    <cellStyle name="Output 4 6 2 3" xfId="0"/>
    <cellStyle name="Output 4 6 2 4" xfId="0"/>
    <cellStyle name="Output 4 6 3" xfId="0"/>
    <cellStyle name="Output 4 6 3 2" xfId="0"/>
    <cellStyle name="Output 4 6 3 3" xfId="0"/>
    <cellStyle name="Output 4 6 4" xfId="0"/>
    <cellStyle name="Output 4 6 5" xfId="0"/>
    <cellStyle name="Output 4 7" xfId="0"/>
    <cellStyle name="Output 4 7 2" xfId="0"/>
    <cellStyle name="Output 4 7 2 2" xfId="0"/>
    <cellStyle name="Output 4 7 2 2 2" xfId="0"/>
    <cellStyle name="Output 4 7 2 2 3" xfId="0"/>
    <cellStyle name="Output 4 7 2 3" xfId="0"/>
    <cellStyle name="Output 4 7 2 4" xfId="0"/>
    <cellStyle name="Output 4 7 3" xfId="0"/>
    <cellStyle name="Output 4 7 3 2" xfId="0"/>
    <cellStyle name="Output 4 7 3 3" xfId="0"/>
    <cellStyle name="Output 4 7 4" xfId="0"/>
    <cellStyle name="Output 4 7 5" xfId="0"/>
    <cellStyle name="Output 4 8" xfId="0"/>
    <cellStyle name="Output 4 8 2" xfId="0"/>
    <cellStyle name="Output 4 8 3" xfId="0"/>
    <cellStyle name="Output 4 9" xfId="0"/>
    <cellStyle name="Output 5" xfId="0"/>
    <cellStyle name="Output 5 2" xfId="0"/>
    <cellStyle name="Output 5 2 2" xfId="0"/>
    <cellStyle name="Output 5 2 2 2" xfId="0"/>
    <cellStyle name="Output 5 2 2 2 2" xfId="0"/>
    <cellStyle name="Output 5 2 2 2 3" xfId="0"/>
    <cellStyle name="Output 5 2 2 3" xfId="0"/>
    <cellStyle name="Output 5 2 2 4" xfId="0"/>
    <cellStyle name="Output 5 2 3" xfId="0"/>
    <cellStyle name="Output 5 2 3 2" xfId="0"/>
    <cellStyle name="Output 5 2 3 2 2" xfId="0"/>
    <cellStyle name="Output 5 2 3 2 3" xfId="0"/>
    <cellStyle name="Output 5 2 3 3" xfId="0"/>
    <cellStyle name="Output 5 2 3 4" xfId="0"/>
    <cellStyle name="Output 5 2 4" xfId="0"/>
    <cellStyle name="Output 5 2 4 2" xfId="0"/>
    <cellStyle name="Output 5 2 4 3" xfId="0"/>
    <cellStyle name="Output 5 2 5" xfId="0"/>
    <cellStyle name="Output 5 2 6" xfId="0"/>
    <cellStyle name="Output 5 3" xfId="0"/>
    <cellStyle name="Output 5 3 2" xfId="0"/>
    <cellStyle name="Output 5 3 2 2" xfId="0"/>
    <cellStyle name="Output 5 3 2 2 2" xfId="0"/>
    <cellStyle name="Output 5 3 2 2 3" xfId="0"/>
    <cellStyle name="Output 5 3 2 3" xfId="0"/>
    <cellStyle name="Output 5 3 2 4" xfId="0"/>
    <cellStyle name="Output 5 3 3" xfId="0"/>
    <cellStyle name="Output 5 3 3 2" xfId="0"/>
    <cellStyle name="Output 5 3 3 3" xfId="0"/>
    <cellStyle name="Output 5 3 4" xfId="0"/>
    <cellStyle name="Output 5 3 5" xfId="0"/>
    <cellStyle name="Output 5 4" xfId="0"/>
    <cellStyle name="Output 5 4 2" xfId="0"/>
    <cellStyle name="Output 5 4 2 2" xfId="0"/>
    <cellStyle name="Output 5 4 2 2 2" xfId="0"/>
    <cellStyle name="Output 5 4 2 2 3" xfId="0"/>
    <cellStyle name="Output 5 4 2 3" xfId="0"/>
    <cellStyle name="Output 5 4 2 4" xfId="0"/>
    <cellStyle name="Output 5 4 3" xfId="0"/>
    <cellStyle name="Output 5 4 3 2" xfId="0"/>
    <cellStyle name="Output 5 4 3 3" xfId="0"/>
    <cellStyle name="Output 5 4 4" xfId="0"/>
    <cellStyle name="Output 5 4 5" xfId="0"/>
    <cellStyle name="Output 5 5" xfId="0"/>
    <cellStyle name="Output 5 5 2" xfId="0"/>
    <cellStyle name="Output 5 5 3" xfId="0"/>
    <cellStyle name="Output 5 6" xfId="0"/>
    <cellStyle name="Output 5 7" xfId="0"/>
    <cellStyle name="Output 6" xfId="0"/>
    <cellStyle name="Output 6 2" xfId="0"/>
    <cellStyle name="Output 6 2 2" xfId="0"/>
    <cellStyle name="Output 6 2 2 2" xfId="0"/>
    <cellStyle name="Output 6 2 2 2 2" xfId="0"/>
    <cellStyle name="Output 6 2 2 2 3" xfId="0"/>
    <cellStyle name="Output 6 2 2 3" xfId="0"/>
    <cellStyle name="Output 6 2 2 4" xfId="0"/>
    <cellStyle name="Output 6 2 3" xfId="0"/>
    <cellStyle name="Output 6 2 3 2" xfId="0"/>
    <cellStyle name="Output 6 2 3 2 2" xfId="0"/>
    <cellStyle name="Output 6 2 3 2 3" xfId="0"/>
    <cellStyle name="Output 6 2 3 3" xfId="0"/>
    <cellStyle name="Output 6 2 3 4" xfId="0"/>
    <cellStyle name="Output 6 2 4" xfId="0"/>
    <cellStyle name="Output 6 2 4 2" xfId="0"/>
    <cellStyle name="Output 6 2 4 3" xfId="0"/>
    <cellStyle name="Output 6 2 5" xfId="0"/>
    <cellStyle name="Output 6 2 6" xfId="0"/>
    <cellStyle name="Output 6 3" xfId="0"/>
    <cellStyle name="Output 6 3 2" xfId="0"/>
    <cellStyle name="Output 6 3 2 2" xfId="0"/>
    <cellStyle name="Output 6 3 2 2 2" xfId="0"/>
    <cellStyle name="Output 6 3 2 2 3" xfId="0"/>
    <cellStyle name="Output 6 3 2 3" xfId="0"/>
    <cellStyle name="Output 6 3 2 4" xfId="0"/>
    <cellStyle name="Output 6 3 3" xfId="0"/>
    <cellStyle name="Output 6 3 3 2" xfId="0"/>
    <cellStyle name="Output 6 3 3 3" xfId="0"/>
    <cellStyle name="Output 6 3 4" xfId="0"/>
    <cellStyle name="Output 6 3 5" xfId="0"/>
    <cellStyle name="Output 6 4" xfId="0"/>
    <cellStyle name="Output 6 4 2" xfId="0"/>
    <cellStyle name="Output 6 4 2 2" xfId="0"/>
    <cellStyle name="Output 6 4 2 2 2" xfId="0"/>
    <cellStyle name="Output 6 4 2 2 3" xfId="0"/>
    <cellStyle name="Output 6 4 2 3" xfId="0"/>
    <cellStyle name="Output 6 4 2 4" xfId="0"/>
    <cellStyle name="Output 6 4 3" xfId="0"/>
    <cellStyle name="Output 6 4 3 2" xfId="0"/>
    <cellStyle name="Output 6 4 3 3" xfId="0"/>
    <cellStyle name="Output 6 4 4" xfId="0"/>
    <cellStyle name="Output 6 4 5" xfId="0"/>
    <cellStyle name="Output 6 5" xfId="0"/>
    <cellStyle name="Output 6 5 2" xfId="0"/>
    <cellStyle name="Output 6 5 3" xfId="0"/>
    <cellStyle name="Output 6 6" xfId="0"/>
    <cellStyle name="Output 6 7" xfId="0"/>
    <cellStyle name="Output 7" xfId="0"/>
    <cellStyle name="Output 7 2" xfId="0"/>
    <cellStyle name="Output 7 2 2" xfId="0"/>
    <cellStyle name="Output 7 2 2 2" xfId="0"/>
    <cellStyle name="Output 7 2 2 2 2" xfId="0"/>
    <cellStyle name="Output 7 2 2 2 3" xfId="0"/>
    <cellStyle name="Output 7 2 2 3" xfId="0"/>
    <cellStyle name="Output 7 2 2 4" xfId="0"/>
    <cellStyle name="Output 7 2 3" xfId="0"/>
    <cellStyle name="Output 7 2 3 2" xfId="0"/>
    <cellStyle name="Output 7 2 3 2 2" xfId="0"/>
    <cellStyle name="Output 7 2 3 2 3" xfId="0"/>
    <cellStyle name="Output 7 2 3 3" xfId="0"/>
    <cellStyle name="Output 7 2 3 4" xfId="0"/>
    <cellStyle name="Output 7 2 4" xfId="0"/>
    <cellStyle name="Output 7 2 4 2" xfId="0"/>
    <cellStyle name="Output 7 2 4 3" xfId="0"/>
    <cellStyle name="Output 7 2 5" xfId="0"/>
    <cellStyle name="Output 7 2 6" xfId="0"/>
    <cellStyle name="Output 7 3" xfId="0"/>
    <cellStyle name="Output 7 3 2" xfId="0"/>
    <cellStyle name="Output 7 3 2 2" xfId="0"/>
    <cellStyle name="Output 7 3 2 2 2" xfId="0"/>
    <cellStyle name="Output 7 3 2 2 3" xfId="0"/>
    <cellStyle name="Output 7 3 2 3" xfId="0"/>
    <cellStyle name="Output 7 3 2 4" xfId="0"/>
    <cellStyle name="Output 7 3 3" xfId="0"/>
    <cellStyle name="Output 7 3 3 2" xfId="0"/>
    <cellStyle name="Output 7 3 3 3" xfId="0"/>
    <cellStyle name="Output 7 3 4" xfId="0"/>
    <cellStyle name="Output 7 3 5" xfId="0"/>
    <cellStyle name="Output 7 4" xfId="0"/>
    <cellStyle name="Output 7 4 2" xfId="0"/>
    <cellStyle name="Output 7 4 2 2" xfId="0"/>
    <cellStyle name="Output 7 4 2 2 2" xfId="0"/>
    <cellStyle name="Output 7 4 2 2 3" xfId="0"/>
    <cellStyle name="Output 7 4 2 3" xfId="0"/>
    <cellStyle name="Output 7 4 2 4" xfId="0"/>
    <cellStyle name="Output 7 4 3" xfId="0"/>
    <cellStyle name="Output 7 4 3 2" xfId="0"/>
    <cellStyle name="Output 7 4 3 3" xfId="0"/>
    <cellStyle name="Output 7 4 4" xfId="0"/>
    <cellStyle name="Output 7 4 5" xfId="0"/>
    <cellStyle name="Output 7 5" xfId="0"/>
    <cellStyle name="Output 7 5 2" xfId="0"/>
    <cellStyle name="Output 7 5 3" xfId="0"/>
    <cellStyle name="Output 7 6" xfId="0"/>
    <cellStyle name="Output 7 7" xfId="0"/>
    <cellStyle name="Output 8" xfId="0"/>
    <cellStyle name="Output 8 2" xfId="0"/>
    <cellStyle name="Output 8 2 2" xfId="0"/>
    <cellStyle name="Output 8 2 2 2" xfId="0"/>
    <cellStyle name="Output 8 2 2 2 2" xfId="0"/>
    <cellStyle name="Output 8 2 2 2 3" xfId="0"/>
    <cellStyle name="Output 8 2 2 3" xfId="0"/>
    <cellStyle name="Output 8 2 2 4" xfId="0"/>
    <cellStyle name="Output 8 2 3" xfId="0"/>
    <cellStyle name="Output 8 2 3 2" xfId="0"/>
    <cellStyle name="Output 8 2 3 2 2" xfId="0"/>
    <cellStyle name="Output 8 2 3 2 3" xfId="0"/>
    <cellStyle name="Output 8 2 3 3" xfId="0"/>
    <cellStyle name="Output 8 2 3 4" xfId="0"/>
    <cellStyle name="Output 8 2 4" xfId="0"/>
    <cellStyle name="Output 8 2 4 2" xfId="0"/>
    <cellStyle name="Output 8 2 4 3" xfId="0"/>
    <cellStyle name="Output 8 2 5" xfId="0"/>
    <cellStyle name="Output 8 2 6" xfId="0"/>
    <cellStyle name="Output 8 3" xfId="0"/>
    <cellStyle name="Output 8 3 2" xfId="0"/>
    <cellStyle name="Output 8 3 2 2" xfId="0"/>
    <cellStyle name="Output 8 3 2 2 2" xfId="0"/>
    <cellStyle name="Output 8 3 2 2 3" xfId="0"/>
    <cellStyle name="Output 8 3 2 3" xfId="0"/>
    <cellStyle name="Output 8 3 2 4" xfId="0"/>
    <cellStyle name="Output 8 3 3" xfId="0"/>
    <cellStyle name="Output 8 3 3 2" xfId="0"/>
    <cellStyle name="Output 8 3 3 3" xfId="0"/>
    <cellStyle name="Output 8 3 4" xfId="0"/>
    <cellStyle name="Output 8 3 5" xfId="0"/>
    <cellStyle name="Output 8 4" xfId="0"/>
    <cellStyle name="Output 8 4 2" xfId="0"/>
    <cellStyle name="Output 8 4 2 2" xfId="0"/>
    <cellStyle name="Output 8 4 2 2 2" xfId="0"/>
    <cellStyle name="Output 8 4 2 2 3" xfId="0"/>
    <cellStyle name="Output 8 4 2 3" xfId="0"/>
    <cellStyle name="Output 8 4 2 4" xfId="0"/>
    <cellStyle name="Output 8 4 3" xfId="0"/>
    <cellStyle name="Output 8 4 3 2" xfId="0"/>
    <cellStyle name="Output 8 4 3 3" xfId="0"/>
    <cellStyle name="Output 8 4 4" xfId="0"/>
    <cellStyle name="Output 8 4 5" xfId="0"/>
    <cellStyle name="Output 8 5" xfId="0"/>
    <cellStyle name="Output 8 5 2" xfId="0"/>
    <cellStyle name="Output 8 5 3" xfId="0"/>
    <cellStyle name="Output 8 6" xfId="0"/>
    <cellStyle name="Output 8 7" xfId="0"/>
    <cellStyle name="Output 9" xfId="0"/>
    <cellStyle name="Output 9 2" xfId="0"/>
    <cellStyle name="Output 9 2 2" xfId="0"/>
    <cellStyle name="Output 9 2 2 2" xfId="0"/>
    <cellStyle name="Output 9 2 2 2 2" xfId="0"/>
    <cellStyle name="Output 9 2 2 2 3" xfId="0"/>
    <cellStyle name="Output 9 2 2 3" xfId="0"/>
    <cellStyle name="Output 9 2 2 4" xfId="0"/>
    <cellStyle name="Output 9 2 3" xfId="0"/>
    <cellStyle name="Output 9 2 3 2" xfId="0"/>
    <cellStyle name="Output 9 2 3 2 2" xfId="0"/>
    <cellStyle name="Output 9 2 3 2 3" xfId="0"/>
    <cellStyle name="Output 9 2 3 3" xfId="0"/>
    <cellStyle name="Output 9 2 3 4" xfId="0"/>
    <cellStyle name="Output 9 2 4" xfId="0"/>
    <cellStyle name="Output 9 2 4 2" xfId="0"/>
    <cellStyle name="Output 9 2 4 3" xfId="0"/>
    <cellStyle name="Output 9 2 5" xfId="0"/>
    <cellStyle name="Output 9 2 6" xfId="0"/>
    <cellStyle name="Output 9 3" xfId="0"/>
    <cellStyle name="Output 9 3 2" xfId="0"/>
    <cellStyle name="Output 9 3 2 2" xfId="0"/>
    <cellStyle name="Output 9 3 2 2 2" xfId="0"/>
    <cellStyle name="Output 9 3 2 2 3" xfId="0"/>
    <cellStyle name="Output 9 3 2 3" xfId="0"/>
    <cellStyle name="Output 9 3 2 4" xfId="0"/>
    <cellStyle name="Output 9 3 3" xfId="0"/>
    <cellStyle name="Output 9 3 3 2" xfId="0"/>
    <cellStyle name="Output 9 3 3 3" xfId="0"/>
    <cellStyle name="Output 9 3 4" xfId="0"/>
    <cellStyle name="Output 9 3 5" xfId="0"/>
    <cellStyle name="Output 9 4" xfId="0"/>
    <cellStyle name="Output 9 4 2" xfId="0"/>
    <cellStyle name="Output 9 4 2 2" xfId="0"/>
    <cellStyle name="Output 9 4 2 2 2" xfId="0"/>
    <cellStyle name="Output 9 4 2 2 3" xfId="0"/>
    <cellStyle name="Output 9 4 2 3" xfId="0"/>
    <cellStyle name="Output 9 4 2 4" xfId="0"/>
    <cellStyle name="Output 9 4 3" xfId="0"/>
    <cellStyle name="Output 9 4 3 2" xfId="0"/>
    <cellStyle name="Output 9 4 3 3" xfId="0"/>
    <cellStyle name="Output 9 4 4" xfId="0"/>
    <cellStyle name="Output 9 4 5" xfId="0"/>
    <cellStyle name="Output 9 5" xfId="0"/>
    <cellStyle name="Output 9 5 2" xfId="0"/>
    <cellStyle name="Output 9 5 3" xfId="0"/>
    <cellStyle name="Output 9 6" xfId="0"/>
    <cellStyle name="Output 9 7" xfId="0"/>
    <cellStyle name="Paaotsikko" xfId="0"/>
    <cellStyle name="Paaotsikko 1" xfId="0"/>
    <cellStyle name="Paaotsikko 1 2" xfId="0"/>
    <cellStyle name="Paaotsikko 2" xfId="0"/>
    <cellStyle name="Paaotsikko 2 2" xfId="0"/>
    <cellStyle name="Paaotsikko 3" xfId="0"/>
    <cellStyle name="Paaotsikko 3 2" xfId="0"/>
    <cellStyle name="Paaotsikko 4" xfId="0"/>
    <cellStyle name="Paaotsikko_АГМ" xfId="0"/>
    <cellStyle name="Title" xfId="0"/>
    <cellStyle name="Title 2" xfId="0"/>
    <cellStyle name="Total" xfId="0"/>
    <cellStyle name="Total 10" xfId="0"/>
    <cellStyle name="Total 10 2" xfId="0"/>
    <cellStyle name="Total 10 2 2" xfId="0"/>
    <cellStyle name="Total 10 2 2 2" xfId="0"/>
    <cellStyle name="Total 10 2 2 2 2" xfId="0"/>
    <cellStyle name="Total 10 2 2 2 3" xfId="0"/>
    <cellStyle name="Total 10 2 2 3" xfId="0"/>
    <cellStyle name="Total 10 2 2 4" xfId="0"/>
    <cellStyle name="Total 10 2 3" xfId="0"/>
    <cellStyle name="Total 10 2 3 2" xfId="0"/>
    <cellStyle name="Total 10 2 3 2 2" xfId="0"/>
    <cellStyle name="Total 10 2 3 2 3" xfId="0"/>
    <cellStyle name="Total 10 2 3 3" xfId="0"/>
    <cellStyle name="Total 10 2 3 4" xfId="0"/>
    <cellStyle name="Total 10 2 4" xfId="0"/>
    <cellStyle name="Total 10 2 4 2" xfId="0"/>
    <cellStyle name="Total 10 2 4 3" xfId="0"/>
    <cellStyle name="Total 10 2 5" xfId="0"/>
    <cellStyle name="Total 10 2 6" xfId="0"/>
    <cellStyle name="Total 10 3" xfId="0"/>
    <cellStyle name="Total 10 3 2" xfId="0"/>
    <cellStyle name="Total 10 3 2 2" xfId="0"/>
    <cellStyle name="Total 10 3 2 2 2" xfId="0"/>
    <cellStyle name="Total 10 3 2 2 3" xfId="0"/>
    <cellStyle name="Total 10 3 2 3" xfId="0"/>
    <cellStyle name="Total 10 3 2 4" xfId="0"/>
    <cellStyle name="Total 10 3 3" xfId="0"/>
    <cellStyle name="Total 10 3 3 2" xfId="0"/>
    <cellStyle name="Total 10 3 3 3" xfId="0"/>
    <cellStyle name="Total 10 3 4" xfId="0"/>
    <cellStyle name="Total 10 3 5" xfId="0"/>
    <cellStyle name="Total 10 4" xfId="0"/>
    <cellStyle name="Total 10 4 2" xfId="0"/>
    <cellStyle name="Total 10 4 2 2" xfId="0"/>
    <cellStyle name="Total 10 4 2 2 2" xfId="0"/>
    <cellStyle name="Total 10 4 2 2 3" xfId="0"/>
    <cellStyle name="Total 10 4 2 3" xfId="0"/>
    <cellStyle name="Total 10 4 2 4" xfId="0"/>
    <cellStyle name="Total 10 4 3" xfId="0"/>
    <cellStyle name="Total 10 4 3 2" xfId="0"/>
    <cellStyle name="Total 10 4 3 3" xfId="0"/>
    <cellStyle name="Total 10 4 4" xfId="0"/>
    <cellStyle name="Total 10 4 5" xfId="0"/>
    <cellStyle name="Total 10 5" xfId="0"/>
    <cellStyle name="Total 10 5 2" xfId="0"/>
    <cellStyle name="Total 10 5 3" xfId="0"/>
    <cellStyle name="Total 10 6" xfId="0"/>
    <cellStyle name="Total 10 7" xfId="0"/>
    <cellStyle name="Total 11" xfId="0"/>
    <cellStyle name="Total 11 2" xfId="0"/>
    <cellStyle name="Total 11 2 2" xfId="0"/>
    <cellStyle name="Total 11 2 2 2" xfId="0"/>
    <cellStyle name="Total 11 2 2 2 2" xfId="0"/>
    <cellStyle name="Total 11 2 2 2 3" xfId="0"/>
    <cellStyle name="Total 11 2 2 3" xfId="0"/>
    <cellStyle name="Total 11 2 2 4" xfId="0"/>
    <cellStyle name="Total 11 2 3" xfId="0"/>
    <cellStyle name="Total 11 2 3 2" xfId="0"/>
    <cellStyle name="Total 11 2 3 2 2" xfId="0"/>
    <cellStyle name="Total 11 2 3 2 3" xfId="0"/>
    <cellStyle name="Total 11 2 3 3" xfId="0"/>
    <cellStyle name="Total 11 2 3 4" xfId="0"/>
    <cellStyle name="Total 11 2 4" xfId="0"/>
    <cellStyle name="Total 11 2 4 2" xfId="0"/>
    <cellStyle name="Total 11 2 4 3" xfId="0"/>
    <cellStyle name="Total 11 2 5" xfId="0"/>
    <cellStyle name="Total 11 2 6" xfId="0"/>
    <cellStyle name="Total 11 3" xfId="0"/>
    <cellStyle name="Total 11 3 2" xfId="0"/>
    <cellStyle name="Total 11 3 2 2" xfId="0"/>
    <cellStyle name="Total 11 3 2 2 2" xfId="0"/>
    <cellStyle name="Total 11 3 2 2 3" xfId="0"/>
    <cellStyle name="Total 11 3 2 3" xfId="0"/>
    <cellStyle name="Total 11 3 2 4" xfId="0"/>
    <cellStyle name="Total 11 3 3" xfId="0"/>
    <cellStyle name="Total 11 3 3 2" xfId="0"/>
    <cellStyle name="Total 11 3 3 3" xfId="0"/>
    <cellStyle name="Total 11 3 4" xfId="0"/>
    <cellStyle name="Total 11 3 5" xfId="0"/>
    <cellStyle name="Total 11 4" xfId="0"/>
    <cellStyle name="Total 11 4 2" xfId="0"/>
    <cellStyle name="Total 11 4 2 2" xfId="0"/>
    <cellStyle name="Total 11 4 2 2 2" xfId="0"/>
    <cellStyle name="Total 11 4 2 2 3" xfId="0"/>
    <cellStyle name="Total 11 4 2 3" xfId="0"/>
    <cellStyle name="Total 11 4 2 4" xfId="0"/>
    <cellStyle name="Total 11 4 3" xfId="0"/>
    <cellStyle name="Total 11 4 3 2" xfId="0"/>
    <cellStyle name="Total 11 4 3 3" xfId="0"/>
    <cellStyle name="Total 11 4 4" xfId="0"/>
    <cellStyle name="Total 11 4 5" xfId="0"/>
    <cellStyle name="Total 11 5" xfId="0"/>
    <cellStyle name="Total 11 5 2" xfId="0"/>
    <cellStyle name="Total 11 5 3" xfId="0"/>
    <cellStyle name="Total 11 6" xfId="0"/>
    <cellStyle name="Total 11 7" xfId="0"/>
    <cellStyle name="Total 12" xfId="0"/>
    <cellStyle name="Total 12 2" xfId="0"/>
    <cellStyle name="Total 12 2 2" xfId="0"/>
    <cellStyle name="Total 12 2 2 2" xfId="0"/>
    <cellStyle name="Total 12 2 2 2 2" xfId="0"/>
    <cellStyle name="Total 12 2 2 2 3" xfId="0"/>
    <cellStyle name="Total 12 2 2 3" xfId="0"/>
    <cellStyle name="Total 12 2 2 4" xfId="0"/>
    <cellStyle name="Total 12 2 3" xfId="0"/>
    <cellStyle name="Total 12 2 3 2" xfId="0"/>
    <cellStyle name="Total 12 2 3 2 2" xfId="0"/>
    <cellStyle name="Total 12 2 3 2 3" xfId="0"/>
    <cellStyle name="Total 12 2 3 3" xfId="0"/>
    <cellStyle name="Total 12 2 3 4" xfId="0"/>
    <cellStyle name="Total 12 2 4" xfId="0"/>
    <cellStyle name="Total 12 2 4 2" xfId="0"/>
    <cellStyle name="Total 12 2 4 3" xfId="0"/>
    <cellStyle name="Total 12 2 5" xfId="0"/>
    <cellStyle name="Total 12 2 6" xfId="0"/>
    <cellStyle name="Total 12 3" xfId="0"/>
    <cellStyle name="Total 12 3 2" xfId="0"/>
    <cellStyle name="Total 12 3 2 2" xfId="0"/>
    <cellStyle name="Total 12 3 2 2 2" xfId="0"/>
    <cellStyle name="Total 12 3 2 2 3" xfId="0"/>
    <cellStyle name="Total 12 3 2 3" xfId="0"/>
    <cellStyle name="Total 12 3 2 4" xfId="0"/>
    <cellStyle name="Total 12 3 3" xfId="0"/>
    <cellStyle name="Total 12 3 3 2" xfId="0"/>
    <cellStyle name="Total 12 3 3 3" xfId="0"/>
    <cellStyle name="Total 12 3 4" xfId="0"/>
    <cellStyle name="Total 12 3 5" xfId="0"/>
    <cellStyle name="Total 12 4" xfId="0"/>
    <cellStyle name="Total 12 4 2" xfId="0"/>
    <cellStyle name="Total 12 4 2 2" xfId="0"/>
    <cellStyle name="Total 12 4 2 2 2" xfId="0"/>
    <cellStyle name="Total 12 4 2 2 3" xfId="0"/>
    <cellStyle name="Total 12 4 2 3" xfId="0"/>
    <cellStyle name="Total 12 4 2 4" xfId="0"/>
    <cellStyle name="Total 12 4 3" xfId="0"/>
    <cellStyle name="Total 12 4 3 2" xfId="0"/>
    <cellStyle name="Total 12 4 3 3" xfId="0"/>
    <cellStyle name="Total 12 4 4" xfId="0"/>
    <cellStyle name="Total 12 4 5" xfId="0"/>
    <cellStyle name="Total 12 5" xfId="0"/>
    <cellStyle name="Total 12 5 2" xfId="0"/>
    <cellStyle name="Total 12 5 3" xfId="0"/>
    <cellStyle name="Total 12 6" xfId="0"/>
    <cellStyle name="Total 12 7" xfId="0"/>
    <cellStyle name="Total 13" xfId="0"/>
    <cellStyle name="Total 13 2" xfId="0"/>
    <cellStyle name="Total 13 2 2" xfId="0"/>
    <cellStyle name="Total 13 2 2 2" xfId="0"/>
    <cellStyle name="Total 13 2 2 2 2" xfId="0"/>
    <cellStyle name="Total 13 2 2 2 3" xfId="0"/>
    <cellStyle name="Total 13 2 2 3" xfId="0"/>
    <cellStyle name="Total 13 2 2 4" xfId="0"/>
    <cellStyle name="Total 13 2 3" xfId="0"/>
    <cellStyle name="Total 13 2 3 2" xfId="0"/>
    <cellStyle name="Total 13 2 3 2 2" xfId="0"/>
    <cellStyle name="Total 13 2 3 2 3" xfId="0"/>
    <cellStyle name="Total 13 2 3 3" xfId="0"/>
    <cellStyle name="Total 13 2 3 4" xfId="0"/>
    <cellStyle name="Total 13 2 4" xfId="0"/>
    <cellStyle name="Total 13 2 4 2" xfId="0"/>
    <cellStyle name="Total 13 2 4 3" xfId="0"/>
    <cellStyle name="Total 13 2 5" xfId="0"/>
    <cellStyle name="Total 13 2 6" xfId="0"/>
    <cellStyle name="Total 13 3" xfId="0"/>
    <cellStyle name="Total 13 3 2" xfId="0"/>
    <cellStyle name="Total 13 3 2 2" xfId="0"/>
    <cellStyle name="Total 13 3 2 2 2" xfId="0"/>
    <cellStyle name="Total 13 3 2 2 3" xfId="0"/>
    <cellStyle name="Total 13 3 2 3" xfId="0"/>
    <cellStyle name="Total 13 3 2 4" xfId="0"/>
    <cellStyle name="Total 13 3 3" xfId="0"/>
    <cellStyle name="Total 13 3 3 2" xfId="0"/>
    <cellStyle name="Total 13 3 3 3" xfId="0"/>
    <cellStyle name="Total 13 3 4" xfId="0"/>
    <cellStyle name="Total 13 3 5" xfId="0"/>
    <cellStyle name="Total 13 4" xfId="0"/>
    <cellStyle name="Total 13 4 2" xfId="0"/>
    <cellStyle name="Total 13 4 2 2" xfId="0"/>
    <cellStyle name="Total 13 4 2 2 2" xfId="0"/>
    <cellStyle name="Total 13 4 2 2 3" xfId="0"/>
    <cellStyle name="Total 13 4 2 3" xfId="0"/>
    <cellStyle name="Total 13 4 2 4" xfId="0"/>
    <cellStyle name="Total 13 4 3" xfId="0"/>
    <cellStyle name="Total 13 4 3 2" xfId="0"/>
    <cellStyle name="Total 13 4 3 3" xfId="0"/>
    <cellStyle name="Total 13 4 4" xfId="0"/>
    <cellStyle name="Total 13 4 5" xfId="0"/>
    <cellStyle name="Total 13 5" xfId="0"/>
    <cellStyle name="Total 13 5 2" xfId="0"/>
    <cellStyle name="Total 13 5 3" xfId="0"/>
    <cellStyle name="Total 13 6" xfId="0"/>
    <cellStyle name="Total 13 7" xfId="0"/>
    <cellStyle name="Total 14" xfId="0"/>
    <cellStyle name="Total 14 2" xfId="0"/>
    <cellStyle name="Total 14 2 2" xfId="0"/>
    <cellStyle name="Total 14 2 2 2" xfId="0"/>
    <cellStyle name="Total 14 2 2 2 2" xfId="0"/>
    <cellStyle name="Total 14 2 2 2 3" xfId="0"/>
    <cellStyle name="Total 14 2 2 3" xfId="0"/>
    <cellStyle name="Total 14 2 2 4" xfId="0"/>
    <cellStyle name="Total 14 2 3" xfId="0"/>
    <cellStyle name="Total 14 2 3 2" xfId="0"/>
    <cellStyle name="Total 14 2 3 2 2" xfId="0"/>
    <cellStyle name="Total 14 2 3 2 3" xfId="0"/>
    <cellStyle name="Total 14 2 3 3" xfId="0"/>
    <cellStyle name="Total 14 2 3 4" xfId="0"/>
    <cellStyle name="Total 14 2 4" xfId="0"/>
    <cellStyle name="Total 14 2 4 2" xfId="0"/>
    <cellStyle name="Total 14 2 4 3" xfId="0"/>
    <cellStyle name="Total 14 2 5" xfId="0"/>
    <cellStyle name="Total 14 2 6" xfId="0"/>
    <cellStyle name="Total 14 3" xfId="0"/>
    <cellStyle name="Total 14 3 2" xfId="0"/>
    <cellStyle name="Total 14 3 2 2" xfId="0"/>
    <cellStyle name="Total 14 3 2 2 2" xfId="0"/>
    <cellStyle name="Total 14 3 2 2 3" xfId="0"/>
    <cellStyle name="Total 14 3 2 3" xfId="0"/>
    <cellStyle name="Total 14 3 2 4" xfId="0"/>
    <cellStyle name="Total 14 3 3" xfId="0"/>
    <cellStyle name="Total 14 3 3 2" xfId="0"/>
    <cellStyle name="Total 14 3 3 3" xfId="0"/>
    <cellStyle name="Total 14 3 4" xfId="0"/>
    <cellStyle name="Total 14 3 5" xfId="0"/>
    <cellStyle name="Total 14 4" xfId="0"/>
    <cellStyle name="Total 14 4 2" xfId="0"/>
    <cellStyle name="Total 14 4 2 2" xfId="0"/>
    <cellStyle name="Total 14 4 2 2 2" xfId="0"/>
    <cellStyle name="Total 14 4 2 2 3" xfId="0"/>
    <cellStyle name="Total 14 4 2 3" xfId="0"/>
    <cellStyle name="Total 14 4 2 4" xfId="0"/>
    <cellStyle name="Total 14 4 3" xfId="0"/>
    <cellStyle name="Total 14 4 3 2" xfId="0"/>
    <cellStyle name="Total 14 4 3 3" xfId="0"/>
    <cellStyle name="Total 14 4 4" xfId="0"/>
    <cellStyle name="Total 14 4 5" xfId="0"/>
    <cellStyle name="Total 14 5" xfId="0"/>
    <cellStyle name="Total 14 5 2" xfId="0"/>
    <cellStyle name="Total 14 5 3" xfId="0"/>
    <cellStyle name="Total 14 6" xfId="0"/>
    <cellStyle name="Total 14 7" xfId="0"/>
    <cellStyle name="Total 15" xfId="0"/>
    <cellStyle name="Total 15 2" xfId="0"/>
    <cellStyle name="Total 15 2 2" xfId="0"/>
    <cellStyle name="Total 15 2 2 2" xfId="0"/>
    <cellStyle name="Total 15 2 2 2 2" xfId="0"/>
    <cellStyle name="Total 15 2 2 2 3" xfId="0"/>
    <cellStyle name="Total 15 2 2 3" xfId="0"/>
    <cellStyle name="Total 15 2 2 4" xfId="0"/>
    <cellStyle name="Total 15 2 3" xfId="0"/>
    <cellStyle name="Total 15 2 3 2" xfId="0"/>
    <cellStyle name="Total 15 2 3 2 2" xfId="0"/>
    <cellStyle name="Total 15 2 3 2 3" xfId="0"/>
    <cellStyle name="Total 15 2 3 3" xfId="0"/>
    <cellStyle name="Total 15 2 3 4" xfId="0"/>
    <cellStyle name="Total 15 2 4" xfId="0"/>
    <cellStyle name="Total 15 2 4 2" xfId="0"/>
    <cellStyle name="Total 15 2 4 3" xfId="0"/>
    <cellStyle name="Total 15 2 5" xfId="0"/>
    <cellStyle name="Total 15 2 6" xfId="0"/>
    <cellStyle name="Total 15 3" xfId="0"/>
    <cellStyle name="Total 15 3 2" xfId="0"/>
    <cellStyle name="Total 15 3 2 2" xfId="0"/>
    <cellStyle name="Total 15 3 2 2 2" xfId="0"/>
    <cellStyle name="Total 15 3 2 2 3" xfId="0"/>
    <cellStyle name="Total 15 3 2 3" xfId="0"/>
    <cellStyle name="Total 15 3 2 4" xfId="0"/>
    <cellStyle name="Total 15 3 3" xfId="0"/>
    <cellStyle name="Total 15 3 3 2" xfId="0"/>
    <cellStyle name="Total 15 3 3 3" xfId="0"/>
    <cellStyle name="Total 15 3 4" xfId="0"/>
    <cellStyle name="Total 15 3 5" xfId="0"/>
    <cellStyle name="Total 15 4" xfId="0"/>
    <cellStyle name="Total 15 4 2" xfId="0"/>
    <cellStyle name="Total 15 4 2 2" xfId="0"/>
    <cellStyle name="Total 15 4 2 2 2" xfId="0"/>
    <cellStyle name="Total 15 4 2 2 3" xfId="0"/>
    <cellStyle name="Total 15 4 2 3" xfId="0"/>
    <cellStyle name="Total 15 4 2 4" xfId="0"/>
    <cellStyle name="Total 15 4 3" xfId="0"/>
    <cellStyle name="Total 15 4 3 2" xfId="0"/>
    <cellStyle name="Total 15 4 3 3" xfId="0"/>
    <cellStyle name="Total 15 4 4" xfId="0"/>
    <cellStyle name="Total 15 4 5" xfId="0"/>
    <cellStyle name="Total 15 5" xfId="0"/>
    <cellStyle name="Total 15 5 2" xfId="0"/>
    <cellStyle name="Total 15 5 3" xfId="0"/>
    <cellStyle name="Total 15 6" xfId="0"/>
    <cellStyle name="Total 15 7" xfId="0"/>
    <cellStyle name="Total 16" xfId="0"/>
    <cellStyle name="Total 16 2" xfId="0"/>
    <cellStyle name="Total 16 2 2" xfId="0"/>
    <cellStyle name="Total 16 2 2 2" xfId="0"/>
    <cellStyle name="Total 16 2 2 2 2" xfId="0"/>
    <cellStyle name="Total 16 2 2 2 3" xfId="0"/>
    <cellStyle name="Total 16 2 2 3" xfId="0"/>
    <cellStyle name="Total 16 2 2 4" xfId="0"/>
    <cellStyle name="Total 16 2 3" xfId="0"/>
    <cellStyle name="Total 16 2 3 2" xfId="0"/>
    <cellStyle name="Total 16 2 3 2 2" xfId="0"/>
    <cellStyle name="Total 16 2 3 2 3" xfId="0"/>
    <cellStyle name="Total 16 2 3 3" xfId="0"/>
    <cellStyle name="Total 16 2 3 4" xfId="0"/>
    <cellStyle name="Total 16 2 4" xfId="0"/>
    <cellStyle name="Total 16 2 4 2" xfId="0"/>
    <cellStyle name="Total 16 2 4 3" xfId="0"/>
    <cellStyle name="Total 16 2 5" xfId="0"/>
    <cellStyle name="Total 16 2 6" xfId="0"/>
    <cellStyle name="Total 16 3" xfId="0"/>
    <cellStyle name="Total 16 3 2" xfId="0"/>
    <cellStyle name="Total 16 3 2 2" xfId="0"/>
    <cellStyle name="Total 16 3 2 2 2" xfId="0"/>
    <cellStyle name="Total 16 3 2 2 3" xfId="0"/>
    <cellStyle name="Total 16 3 2 3" xfId="0"/>
    <cellStyle name="Total 16 3 2 4" xfId="0"/>
    <cellStyle name="Total 16 3 3" xfId="0"/>
    <cellStyle name="Total 16 3 3 2" xfId="0"/>
    <cellStyle name="Total 16 3 3 3" xfId="0"/>
    <cellStyle name="Total 16 3 4" xfId="0"/>
    <cellStyle name="Total 16 3 5" xfId="0"/>
    <cellStyle name="Total 16 4" xfId="0"/>
    <cellStyle name="Total 16 4 2" xfId="0"/>
    <cellStyle name="Total 16 4 2 2" xfId="0"/>
    <cellStyle name="Total 16 4 2 2 2" xfId="0"/>
    <cellStyle name="Total 16 4 2 2 3" xfId="0"/>
    <cellStyle name="Total 16 4 2 3" xfId="0"/>
    <cellStyle name="Total 16 4 2 4" xfId="0"/>
    <cellStyle name="Total 16 4 3" xfId="0"/>
    <cellStyle name="Total 16 4 3 2" xfId="0"/>
    <cellStyle name="Total 16 4 3 3" xfId="0"/>
    <cellStyle name="Total 16 4 4" xfId="0"/>
    <cellStyle name="Total 16 4 5" xfId="0"/>
    <cellStyle name="Total 16 5" xfId="0"/>
    <cellStyle name="Total 16 5 2" xfId="0"/>
    <cellStyle name="Total 16 5 3" xfId="0"/>
    <cellStyle name="Total 16 6" xfId="0"/>
    <cellStyle name="Total 16 7" xfId="0"/>
    <cellStyle name="Total 17" xfId="0"/>
    <cellStyle name="Total 17 2" xfId="0"/>
    <cellStyle name="Total 17 2 2" xfId="0"/>
    <cellStyle name="Total 17 2 2 2" xfId="0"/>
    <cellStyle name="Total 17 2 2 2 2" xfId="0"/>
    <cellStyle name="Total 17 2 2 2 3" xfId="0"/>
    <cellStyle name="Total 17 2 2 3" xfId="0"/>
    <cellStyle name="Total 17 2 2 4" xfId="0"/>
    <cellStyle name="Total 17 2 3" xfId="0"/>
    <cellStyle name="Total 17 2 3 2" xfId="0"/>
    <cellStyle name="Total 17 2 3 2 2" xfId="0"/>
    <cellStyle name="Total 17 2 3 2 3" xfId="0"/>
    <cellStyle name="Total 17 2 3 3" xfId="0"/>
    <cellStyle name="Total 17 2 3 4" xfId="0"/>
    <cellStyle name="Total 17 2 4" xfId="0"/>
    <cellStyle name="Total 17 2 4 2" xfId="0"/>
    <cellStyle name="Total 17 2 4 3" xfId="0"/>
    <cellStyle name="Total 17 2 5" xfId="0"/>
    <cellStyle name="Total 17 2 6" xfId="0"/>
    <cellStyle name="Total 17 3" xfId="0"/>
    <cellStyle name="Total 17 3 2" xfId="0"/>
    <cellStyle name="Total 17 3 2 2" xfId="0"/>
    <cellStyle name="Total 17 3 2 2 2" xfId="0"/>
    <cellStyle name="Total 17 3 2 2 3" xfId="0"/>
    <cellStyle name="Total 17 3 2 3" xfId="0"/>
    <cellStyle name="Total 17 3 2 4" xfId="0"/>
    <cellStyle name="Total 17 3 3" xfId="0"/>
    <cellStyle name="Total 17 3 3 2" xfId="0"/>
    <cellStyle name="Total 17 3 3 3" xfId="0"/>
    <cellStyle name="Total 17 3 4" xfId="0"/>
    <cellStyle name="Total 17 3 5" xfId="0"/>
    <cellStyle name="Total 17 4" xfId="0"/>
    <cellStyle name="Total 17 4 2" xfId="0"/>
    <cellStyle name="Total 17 4 2 2" xfId="0"/>
    <cellStyle name="Total 17 4 2 2 2" xfId="0"/>
    <cellStyle name="Total 17 4 2 2 3" xfId="0"/>
    <cellStyle name="Total 17 4 2 3" xfId="0"/>
    <cellStyle name="Total 17 4 2 4" xfId="0"/>
    <cellStyle name="Total 17 4 3" xfId="0"/>
    <cellStyle name="Total 17 4 3 2" xfId="0"/>
    <cellStyle name="Total 17 4 3 3" xfId="0"/>
    <cellStyle name="Total 17 4 4" xfId="0"/>
    <cellStyle name="Total 17 4 5" xfId="0"/>
    <cellStyle name="Total 17 5" xfId="0"/>
    <cellStyle name="Total 17 5 2" xfId="0"/>
    <cellStyle name="Total 17 5 3" xfId="0"/>
    <cellStyle name="Total 17 6" xfId="0"/>
    <cellStyle name="Total 17 7" xfId="0"/>
    <cellStyle name="Total 18" xfId="0"/>
    <cellStyle name="Total 18 2" xfId="0"/>
    <cellStyle name="Total 18 2 2" xfId="0"/>
    <cellStyle name="Total 18 2 2 2" xfId="0"/>
    <cellStyle name="Total 18 2 2 2 2" xfId="0"/>
    <cellStyle name="Total 18 2 2 2 3" xfId="0"/>
    <cellStyle name="Total 18 2 2 3" xfId="0"/>
    <cellStyle name="Total 18 2 2 4" xfId="0"/>
    <cellStyle name="Total 18 2 3" xfId="0"/>
    <cellStyle name="Total 18 2 3 2" xfId="0"/>
    <cellStyle name="Total 18 2 3 2 2" xfId="0"/>
    <cellStyle name="Total 18 2 3 2 3" xfId="0"/>
    <cellStyle name="Total 18 2 3 3" xfId="0"/>
    <cellStyle name="Total 18 2 3 4" xfId="0"/>
    <cellStyle name="Total 18 2 4" xfId="0"/>
    <cellStyle name="Total 18 2 4 2" xfId="0"/>
    <cellStyle name="Total 18 2 4 3" xfId="0"/>
    <cellStyle name="Total 18 2 5" xfId="0"/>
    <cellStyle name="Total 18 2 6" xfId="0"/>
    <cellStyle name="Total 18 3" xfId="0"/>
    <cellStyle name="Total 18 3 2" xfId="0"/>
    <cellStyle name="Total 18 3 2 2" xfId="0"/>
    <cellStyle name="Total 18 3 2 2 2" xfId="0"/>
    <cellStyle name="Total 18 3 2 2 3" xfId="0"/>
    <cellStyle name="Total 18 3 2 3" xfId="0"/>
    <cellStyle name="Total 18 3 2 4" xfId="0"/>
    <cellStyle name="Total 18 3 3" xfId="0"/>
    <cellStyle name="Total 18 3 3 2" xfId="0"/>
    <cellStyle name="Total 18 3 3 3" xfId="0"/>
    <cellStyle name="Total 18 3 4" xfId="0"/>
    <cellStyle name="Total 18 3 5" xfId="0"/>
    <cellStyle name="Total 18 4" xfId="0"/>
    <cellStyle name="Total 18 4 2" xfId="0"/>
    <cellStyle name="Total 18 4 2 2" xfId="0"/>
    <cellStyle name="Total 18 4 2 2 2" xfId="0"/>
    <cellStyle name="Total 18 4 2 2 3" xfId="0"/>
    <cellStyle name="Total 18 4 2 3" xfId="0"/>
    <cellStyle name="Total 18 4 2 4" xfId="0"/>
    <cellStyle name="Total 18 4 3" xfId="0"/>
    <cellStyle name="Total 18 4 3 2" xfId="0"/>
    <cellStyle name="Total 18 4 3 3" xfId="0"/>
    <cellStyle name="Total 18 4 4" xfId="0"/>
    <cellStyle name="Total 18 4 5" xfId="0"/>
    <cellStyle name="Total 18 5" xfId="0"/>
    <cellStyle name="Total 18 5 2" xfId="0"/>
    <cellStyle name="Total 18 5 3" xfId="0"/>
    <cellStyle name="Total 18 6" xfId="0"/>
    <cellStyle name="Total 18 7" xfId="0"/>
    <cellStyle name="Total 19" xfId="0"/>
    <cellStyle name="Total 19 2" xfId="0"/>
    <cellStyle name="Total 19 2 2" xfId="0"/>
    <cellStyle name="Total 19 2 2 2" xfId="0"/>
    <cellStyle name="Total 19 2 2 2 2" xfId="0"/>
    <cellStyle name="Total 19 2 2 2 3" xfId="0"/>
    <cellStyle name="Total 19 2 2 3" xfId="0"/>
    <cellStyle name="Total 19 2 2 4" xfId="0"/>
    <cellStyle name="Total 19 2 3" xfId="0"/>
    <cellStyle name="Total 19 2 3 2" xfId="0"/>
    <cellStyle name="Total 19 2 3 2 2" xfId="0"/>
    <cellStyle name="Total 19 2 3 2 3" xfId="0"/>
    <cellStyle name="Total 19 2 3 3" xfId="0"/>
    <cellStyle name="Total 19 2 3 4" xfId="0"/>
    <cellStyle name="Total 19 2 4" xfId="0"/>
    <cellStyle name="Total 19 2 4 2" xfId="0"/>
    <cellStyle name="Total 19 2 4 3" xfId="0"/>
    <cellStyle name="Total 19 2 5" xfId="0"/>
    <cellStyle name="Total 19 2 6" xfId="0"/>
    <cellStyle name="Total 19 3" xfId="0"/>
    <cellStyle name="Total 19 3 2" xfId="0"/>
    <cellStyle name="Total 19 3 2 2" xfId="0"/>
    <cellStyle name="Total 19 3 2 2 2" xfId="0"/>
    <cellStyle name="Total 19 3 2 2 3" xfId="0"/>
    <cellStyle name="Total 19 3 2 3" xfId="0"/>
    <cellStyle name="Total 19 3 2 4" xfId="0"/>
    <cellStyle name="Total 19 3 3" xfId="0"/>
    <cellStyle name="Total 19 3 3 2" xfId="0"/>
    <cellStyle name="Total 19 3 3 3" xfId="0"/>
    <cellStyle name="Total 19 3 4" xfId="0"/>
    <cellStyle name="Total 19 3 5" xfId="0"/>
    <cellStyle name="Total 19 4" xfId="0"/>
    <cellStyle name="Total 19 4 2" xfId="0"/>
    <cellStyle name="Total 19 4 2 2" xfId="0"/>
    <cellStyle name="Total 19 4 2 2 2" xfId="0"/>
    <cellStyle name="Total 19 4 2 2 3" xfId="0"/>
    <cellStyle name="Total 19 4 2 3" xfId="0"/>
    <cellStyle name="Total 19 4 2 4" xfId="0"/>
    <cellStyle name="Total 19 4 3" xfId="0"/>
    <cellStyle name="Total 19 4 3 2" xfId="0"/>
    <cellStyle name="Total 19 4 3 3" xfId="0"/>
    <cellStyle name="Total 19 4 4" xfId="0"/>
    <cellStyle name="Total 19 4 5" xfId="0"/>
    <cellStyle name="Total 19 5" xfId="0"/>
    <cellStyle name="Total 19 5 2" xfId="0"/>
    <cellStyle name="Total 19 5 3" xfId="0"/>
    <cellStyle name="Total 19 6" xfId="0"/>
    <cellStyle name="Total 19 7" xfId="0"/>
    <cellStyle name="Total 2" xfId="0"/>
    <cellStyle name="Total 2 10" xfId="0"/>
    <cellStyle name="Total 2 10 2" xfId="0"/>
    <cellStyle name="Total 2 10 3" xfId="0"/>
    <cellStyle name="Total 2 11" xfId="0"/>
    <cellStyle name="Total 2 12" xfId="0"/>
    <cellStyle name="Total 2 2" xfId="0"/>
    <cellStyle name="Total 2 2 2" xfId="0"/>
    <cellStyle name="Total 2 2 2 2" xfId="0"/>
    <cellStyle name="Total 2 2 2 2 2" xfId="0"/>
    <cellStyle name="Total 2 2 2 2 2 2" xfId="0"/>
    <cellStyle name="Total 2 2 2 2 2 3" xfId="0"/>
    <cellStyle name="Total 2 2 2 2 3" xfId="0"/>
    <cellStyle name="Total 2 2 2 2 4" xfId="0"/>
    <cellStyle name="Total 2 2 2 3" xfId="0"/>
    <cellStyle name="Total 2 2 2 3 2" xfId="0"/>
    <cellStyle name="Total 2 2 2 3 3" xfId="0"/>
    <cellStyle name="Total 2 2 2 4" xfId="0"/>
    <cellStyle name="Total 2 2 2 5" xfId="0"/>
    <cellStyle name="Total 2 2 3" xfId="0"/>
    <cellStyle name="Total 2 2 3 2" xfId="0"/>
    <cellStyle name="Total 2 2 3 2 2" xfId="0"/>
    <cellStyle name="Total 2 2 3 2 3" xfId="0"/>
    <cellStyle name="Total 2 2 3 3" xfId="0"/>
    <cellStyle name="Total 2 2 3 4" xfId="0"/>
    <cellStyle name="Total 2 2 4" xfId="0"/>
    <cellStyle name="Total 2 2 4 2" xfId="0"/>
    <cellStyle name="Total 2 2 4 3" xfId="0"/>
    <cellStyle name="Total 2 2 5" xfId="0"/>
    <cellStyle name="Total 2 2 6" xfId="0"/>
    <cellStyle name="Total 2 3" xfId="0"/>
    <cellStyle name="Total 2 3 2" xfId="0"/>
    <cellStyle name="Total 2 3 2 2" xfId="0"/>
    <cellStyle name="Total 2 3 2 2 2" xfId="0"/>
    <cellStyle name="Total 2 3 2 2 2 2" xfId="0"/>
    <cellStyle name="Total 2 3 2 2 2 3" xfId="0"/>
    <cellStyle name="Total 2 3 2 2 3" xfId="0"/>
    <cellStyle name="Total 2 3 2 2 4" xfId="0"/>
    <cellStyle name="Total 2 3 2 3" xfId="0"/>
    <cellStyle name="Total 2 3 2 3 2" xfId="0"/>
    <cellStyle name="Total 2 3 2 3 3" xfId="0"/>
    <cellStyle name="Total 2 3 2 4" xfId="0"/>
    <cellStyle name="Total 2 3 2 5" xfId="0"/>
    <cellStyle name="Total 2 3 3" xfId="0"/>
    <cellStyle name="Total 2 3 3 2" xfId="0"/>
    <cellStyle name="Total 2 3 3 2 2" xfId="0"/>
    <cellStyle name="Total 2 3 3 2 3" xfId="0"/>
    <cellStyle name="Total 2 3 3 3" xfId="0"/>
    <cellStyle name="Total 2 3 3 4" xfId="0"/>
    <cellStyle name="Total 2 3 4" xfId="0"/>
    <cellStyle name="Total 2 3 4 2" xfId="0"/>
    <cellStyle name="Total 2 3 4 3" xfId="0"/>
    <cellStyle name="Total 2 3 5" xfId="0"/>
    <cellStyle name="Total 2 3 6" xfId="0"/>
    <cellStyle name="Total 2 4" xfId="0"/>
    <cellStyle name="Total 2 4 2" xfId="0"/>
    <cellStyle name="Total 2 4 2 2" xfId="0"/>
    <cellStyle name="Total 2 4 2 2 2" xfId="0"/>
    <cellStyle name="Total 2 4 2 2 2 2" xfId="0"/>
    <cellStyle name="Total 2 4 2 2 2 3" xfId="0"/>
    <cellStyle name="Total 2 4 2 2 3" xfId="0"/>
    <cellStyle name="Total 2 4 2 2 4" xfId="0"/>
    <cellStyle name="Total 2 4 2 3" xfId="0"/>
    <cellStyle name="Total 2 4 2 3 2" xfId="0"/>
    <cellStyle name="Total 2 4 2 3 3" xfId="0"/>
    <cellStyle name="Total 2 4 2 4" xfId="0"/>
    <cellStyle name="Total 2 4 2 5" xfId="0"/>
    <cellStyle name="Total 2 4 3" xfId="0"/>
    <cellStyle name="Total 2 4 3 2" xfId="0"/>
    <cellStyle name="Total 2 4 3 2 2" xfId="0"/>
    <cellStyle name="Total 2 4 3 2 3" xfId="0"/>
    <cellStyle name="Total 2 4 3 3" xfId="0"/>
    <cellStyle name="Total 2 4 3 4" xfId="0"/>
    <cellStyle name="Total 2 4 4" xfId="0"/>
    <cellStyle name="Total 2 4 4 2" xfId="0"/>
    <cellStyle name="Total 2 4 4 3" xfId="0"/>
    <cellStyle name="Total 2 4 5" xfId="0"/>
    <cellStyle name="Total 2 4 6" xfId="0"/>
    <cellStyle name="Total 2 5" xfId="0"/>
    <cellStyle name="Total 2 5 2" xfId="0"/>
    <cellStyle name="Total 2 5 2 2" xfId="0"/>
    <cellStyle name="Total 2 5 2 2 2" xfId="0"/>
    <cellStyle name="Total 2 5 2 2 2 2" xfId="0"/>
    <cellStyle name="Total 2 5 2 2 2 3" xfId="0"/>
    <cellStyle name="Total 2 5 2 2 3" xfId="0"/>
    <cellStyle name="Total 2 5 2 2 4" xfId="0"/>
    <cellStyle name="Total 2 5 2 3" xfId="0"/>
    <cellStyle name="Total 2 5 2 3 2" xfId="0"/>
    <cellStyle name="Total 2 5 2 3 3" xfId="0"/>
    <cellStyle name="Total 2 5 2 4" xfId="0"/>
    <cellStyle name="Total 2 5 2 5" xfId="0"/>
    <cellStyle name="Total 2 5 3" xfId="0"/>
    <cellStyle name="Total 2 5 3 2" xfId="0"/>
    <cellStyle name="Total 2 5 3 2 2" xfId="0"/>
    <cellStyle name="Total 2 5 3 2 3" xfId="0"/>
    <cellStyle name="Total 2 5 3 3" xfId="0"/>
    <cellStyle name="Total 2 5 3 4" xfId="0"/>
    <cellStyle name="Total 2 5 4" xfId="0"/>
    <cellStyle name="Total 2 5 4 2" xfId="0"/>
    <cellStyle name="Total 2 5 4 3" xfId="0"/>
    <cellStyle name="Total 2 5 5" xfId="0"/>
    <cellStyle name="Total 2 5 6" xfId="0"/>
    <cellStyle name="Total 2 6" xfId="0"/>
    <cellStyle name="Total 2 6 2" xfId="0"/>
    <cellStyle name="Total 2 6 2 2" xfId="0"/>
    <cellStyle name="Total 2 6 2 2 2" xfId="0"/>
    <cellStyle name="Total 2 6 2 2 3" xfId="0"/>
    <cellStyle name="Total 2 6 2 3" xfId="0"/>
    <cellStyle name="Total 2 6 2 4" xfId="0"/>
    <cellStyle name="Total 2 6 3" xfId="0"/>
    <cellStyle name="Total 2 6 3 2" xfId="0"/>
    <cellStyle name="Total 2 6 3 3" xfId="0"/>
    <cellStyle name="Total 2 6 4" xfId="0"/>
    <cellStyle name="Total 2 6 5" xfId="0"/>
    <cellStyle name="Total 2 7" xfId="0"/>
    <cellStyle name="Total 2 7 2" xfId="0"/>
    <cellStyle name="Total 2 7 2 2" xfId="0"/>
    <cellStyle name="Total 2 7 2 2 2" xfId="0"/>
    <cellStyle name="Total 2 7 2 2 3" xfId="0"/>
    <cellStyle name="Total 2 7 2 3" xfId="0"/>
    <cellStyle name="Total 2 7 2 4" xfId="0"/>
    <cellStyle name="Total 2 7 3" xfId="0"/>
    <cellStyle name="Total 2 7 3 2" xfId="0"/>
    <cellStyle name="Total 2 7 3 3" xfId="0"/>
    <cellStyle name="Total 2 7 4" xfId="0"/>
    <cellStyle name="Total 2 7 5" xfId="0"/>
    <cellStyle name="Total 2 8" xfId="0"/>
    <cellStyle name="Total 2 8 2" xfId="0"/>
    <cellStyle name="Total 2 8 2 2" xfId="0"/>
    <cellStyle name="Total 2 8 2 2 2" xfId="0"/>
    <cellStyle name="Total 2 8 2 2 3" xfId="0"/>
    <cellStyle name="Total 2 8 2 3" xfId="0"/>
    <cellStyle name="Total 2 8 2 4" xfId="0"/>
    <cellStyle name="Total 2 8 3" xfId="0"/>
    <cellStyle name="Total 2 8 3 2" xfId="0"/>
    <cellStyle name="Total 2 8 3 3" xfId="0"/>
    <cellStyle name="Total 2 8 4" xfId="0"/>
    <cellStyle name="Total 2 8 5" xfId="0"/>
    <cellStyle name="Total 2 9" xfId="0"/>
    <cellStyle name="Total 2 9 2" xfId="0"/>
    <cellStyle name="Total 2 9 3" xfId="0"/>
    <cellStyle name="Total 20" xfId="0"/>
    <cellStyle name="Total 20 2" xfId="0"/>
    <cellStyle name="Total 20 2 2" xfId="0"/>
    <cellStyle name="Total 20 2 2 2" xfId="0"/>
    <cellStyle name="Total 20 2 2 2 2" xfId="0"/>
    <cellStyle name="Total 20 2 2 2 3" xfId="0"/>
    <cellStyle name="Total 20 2 2 3" xfId="0"/>
    <cellStyle name="Total 20 2 2 4" xfId="0"/>
    <cellStyle name="Total 20 2 3" xfId="0"/>
    <cellStyle name="Total 20 2 3 2" xfId="0"/>
    <cellStyle name="Total 20 2 3 2 2" xfId="0"/>
    <cellStyle name="Total 20 2 3 2 3" xfId="0"/>
    <cellStyle name="Total 20 2 3 3" xfId="0"/>
    <cellStyle name="Total 20 2 3 4" xfId="0"/>
    <cellStyle name="Total 20 2 4" xfId="0"/>
    <cellStyle name="Total 20 2 4 2" xfId="0"/>
    <cellStyle name="Total 20 2 4 3" xfId="0"/>
    <cellStyle name="Total 20 2 5" xfId="0"/>
    <cellStyle name="Total 20 2 6" xfId="0"/>
    <cellStyle name="Total 20 3" xfId="0"/>
    <cellStyle name="Total 20 3 2" xfId="0"/>
    <cellStyle name="Total 20 3 2 2" xfId="0"/>
    <cellStyle name="Total 20 3 2 2 2" xfId="0"/>
    <cellStyle name="Total 20 3 2 2 3" xfId="0"/>
    <cellStyle name="Total 20 3 2 3" xfId="0"/>
    <cellStyle name="Total 20 3 2 4" xfId="0"/>
    <cellStyle name="Total 20 3 3" xfId="0"/>
    <cellStyle name="Total 20 3 3 2" xfId="0"/>
    <cellStyle name="Total 20 3 3 3" xfId="0"/>
    <cellStyle name="Total 20 3 4" xfId="0"/>
    <cellStyle name="Total 20 3 5" xfId="0"/>
    <cellStyle name="Total 20 4" xfId="0"/>
    <cellStyle name="Total 20 4 2" xfId="0"/>
    <cellStyle name="Total 20 4 2 2" xfId="0"/>
    <cellStyle name="Total 20 4 2 2 2" xfId="0"/>
    <cellStyle name="Total 20 4 2 2 3" xfId="0"/>
    <cellStyle name="Total 20 4 2 3" xfId="0"/>
    <cellStyle name="Total 20 4 2 4" xfId="0"/>
    <cellStyle name="Total 20 4 3" xfId="0"/>
    <cellStyle name="Total 20 4 3 2" xfId="0"/>
    <cellStyle name="Total 20 4 3 3" xfId="0"/>
    <cellStyle name="Total 20 4 4" xfId="0"/>
    <cellStyle name="Total 20 4 5" xfId="0"/>
    <cellStyle name="Total 20 5" xfId="0"/>
    <cellStyle name="Total 20 5 2" xfId="0"/>
    <cellStyle name="Total 20 5 2 2" xfId="0"/>
    <cellStyle name="Total 20 5 2 3" xfId="0"/>
    <cellStyle name="Total 20 5 3" xfId="0"/>
    <cellStyle name="Total 20 5 4" xfId="0"/>
    <cellStyle name="Total 20 6" xfId="0"/>
    <cellStyle name="Total 20 6 2" xfId="0"/>
    <cellStyle name="Total 20 6 3" xfId="0"/>
    <cellStyle name="Total 20 7" xfId="0"/>
    <cellStyle name="Total 20 8" xfId="0"/>
    <cellStyle name="Total 21" xfId="0"/>
    <cellStyle name="Total 21 2" xfId="0"/>
    <cellStyle name="Total 21 2 2" xfId="0"/>
    <cellStyle name="Total 21 2 2 2" xfId="0"/>
    <cellStyle name="Total 21 2 2 3" xfId="0"/>
    <cellStyle name="Total 21 2 3" xfId="0"/>
    <cellStyle name="Total 21 2 4" xfId="0"/>
    <cellStyle name="Total 21 3" xfId="0"/>
    <cellStyle name="Total 21 3 2" xfId="0"/>
    <cellStyle name="Total 21 3 2 2" xfId="0"/>
    <cellStyle name="Total 21 3 2 3" xfId="0"/>
    <cellStyle name="Total 21 3 3" xfId="0"/>
    <cellStyle name="Total 21 3 4" xfId="0"/>
    <cellStyle name="Total 21 4" xfId="0"/>
    <cellStyle name="Total 21 4 2" xfId="0"/>
    <cellStyle name="Total 21 4 3" xfId="0"/>
    <cellStyle name="Total 21 5" xfId="0"/>
    <cellStyle name="Total 21 6" xfId="0"/>
    <cellStyle name="Total 22" xfId="0"/>
    <cellStyle name="Total 22 2" xfId="0"/>
    <cellStyle name="Total 22 2 2" xfId="0"/>
    <cellStyle name="Total 22 2 2 2" xfId="0"/>
    <cellStyle name="Total 22 2 2 3" xfId="0"/>
    <cellStyle name="Total 22 2 3" xfId="0"/>
    <cellStyle name="Total 22 2 4" xfId="0"/>
    <cellStyle name="Total 22 3" xfId="0"/>
    <cellStyle name="Total 22 3 2" xfId="0"/>
    <cellStyle name="Total 22 3 2 2" xfId="0"/>
    <cellStyle name="Total 22 3 2 3" xfId="0"/>
    <cellStyle name="Total 22 3 3" xfId="0"/>
    <cellStyle name="Total 22 3 4" xfId="0"/>
    <cellStyle name="Total 22 4" xfId="0"/>
    <cellStyle name="Total 22 4 2" xfId="0"/>
    <cellStyle name="Total 22 4 3" xfId="0"/>
    <cellStyle name="Total 22 5" xfId="0"/>
    <cellStyle name="Total 22 6" xfId="0"/>
    <cellStyle name="Total 23" xfId="0"/>
    <cellStyle name="Total 23 2" xfId="0"/>
    <cellStyle name="Total 23 2 2" xfId="0"/>
    <cellStyle name="Total 23 2 2 2" xfId="0"/>
    <cellStyle name="Total 23 2 2 3" xfId="0"/>
    <cellStyle name="Total 23 2 3" xfId="0"/>
    <cellStyle name="Total 23 2 4" xfId="0"/>
    <cellStyle name="Total 23 3" xfId="0"/>
    <cellStyle name="Total 23 3 2" xfId="0"/>
    <cellStyle name="Total 23 3 2 2" xfId="0"/>
    <cellStyle name="Total 23 3 2 3" xfId="0"/>
    <cellStyle name="Total 23 3 3" xfId="0"/>
    <cellStyle name="Total 23 3 4" xfId="0"/>
    <cellStyle name="Total 23 4" xfId="0"/>
    <cellStyle name="Total 23 4 2" xfId="0"/>
    <cellStyle name="Total 23 4 3" xfId="0"/>
    <cellStyle name="Total 23 5" xfId="0"/>
    <cellStyle name="Total 23 6" xfId="0"/>
    <cellStyle name="Total 24" xfId="0"/>
    <cellStyle name="Total 24 2" xfId="0"/>
    <cellStyle name="Total 24 2 2" xfId="0"/>
    <cellStyle name="Total 24 2 2 2" xfId="0"/>
    <cellStyle name="Total 24 2 2 3" xfId="0"/>
    <cellStyle name="Total 24 2 3" xfId="0"/>
    <cellStyle name="Total 24 2 4" xfId="0"/>
    <cellStyle name="Total 24 3" xfId="0"/>
    <cellStyle name="Total 24 3 2" xfId="0"/>
    <cellStyle name="Total 24 3 2 2" xfId="0"/>
    <cellStyle name="Total 24 3 2 3" xfId="0"/>
    <cellStyle name="Total 24 3 3" xfId="0"/>
    <cellStyle name="Total 24 3 4" xfId="0"/>
    <cellStyle name="Total 24 4" xfId="0"/>
    <cellStyle name="Total 24 4 2" xfId="0"/>
    <cellStyle name="Total 24 4 3" xfId="0"/>
    <cellStyle name="Total 24 5" xfId="0"/>
    <cellStyle name="Total 24 6" xfId="0"/>
    <cellStyle name="Total 25" xfId="0"/>
    <cellStyle name="Total 25 2" xfId="0"/>
    <cellStyle name="Total 25 2 2" xfId="0"/>
    <cellStyle name="Total 25 2 2 2" xfId="0"/>
    <cellStyle name="Total 25 2 2 3" xfId="0"/>
    <cellStyle name="Total 25 2 3" xfId="0"/>
    <cellStyle name="Total 25 2 4" xfId="0"/>
    <cellStyle name="Total 25 3" xfId="0"/>
    <cellStyle name="Total 25 3 2" xfId="0"/>
    <cellStyle name="Total 25 3 2 2" xfId="0"/>
    <cellStyle name="Total 25 3 2 3" xfId="0"/>
    <cellStyle name="Total 25 3 3" xfId="0"/>
    <cellStyle name="Total 25 3 4" xfId="0"/>
    <cellStyle name="Total 25 4" xfId="0"/>
    <cellStyle name="Total 25 4 2" xfId="0"/>
    <cellStyle name="Total 25 4 3" xfId="0"/>
    <cellStyle name="Total 25 5" xfId="0"/>
    <cellStyle name="Total 25 6" xfId="0"/>
    <cellStyle name="Total 26" xfId="0"/>
    <cellStyle name="Total 26 2" xfId="0"/>
    <cellStyle name="Total 26 2 2" xfId="0"/>
    <cellStyle name="Total 26 2 2 2" xfId="0"/>
    <cellStyle name="Total 26 2 2 3" xfId="0"/>
    <cellStyle name="Total 26 2 3" xfId="0"/>
    <cellStyle name="Total 26 2 4" xfId="0"/>
    <cellStyle name="Total 26 3" xfId="0"/>
    <cellStyle name="Total 26 3 2" xfId="0"/>
    <cellStyle name="Total 26 3 3" xfId="0"/>
    <cellStyle name="Total 26 4" xfId="0"/>
    <cellStyle name="Total 26 5" xfId="0"/>
    <cellStyle name="Total 27" xfId="0"/>
    <cellStyle name="Total 27 2" xfId="0"/>
    <cellStyle name="Total 27 2 2" xfId="0"/>
    <cellStyle name="Total 27 2 2 2" xfId="0"/>
    <cellStyle name="Total 27 2 2 3" xfId="0"/>
    <cellStyle name="Total 27 2 3" xfId="0"/>
    <cellStyle name="Total 27 2 4" xfId="0"/>
    <cellStyle name="Total 27 3" xfId="0"/>
    <cellStyle name="Total 27 3 2" xfId="0"/>
    <cellStyle name="Total 27 3 3" xfId="0"/>
    <cellStyle name="Total 27 4" xfId="0"/>
    <cellStyle name="Total 27 5" xfId="0"/>
    <cellStyle name="Total 28" xfId="0"/>
    <cellStyle name="Total 28 2" xfId="0"/>
    <cellStyle name="Total 28 2 2" xfId="0"/>
    <cellStyle name="Total 28 2 2 2" xfId="0"/>
    <cellStyle name="Total 28 2 2 3" xfId="0"/>
    <cellStyle name="Total 28 2 3" xfId="0"/>
    <cellStyle name="Total 28 2 4" xfId="0"/>
    <cellStyle name="Total 28 3" xfId="0"/>
    <cellStyle name="Total 28 3 2" xfId="0"/>
    <cellStyle name="Total 28 3 3" xfId="0"/>
    <cellStyle name="Total 28 4" xfId="0"/>
    <cellStyle name="Total 28 5" xfId="0"/>
    <cellStyle name="Total 29" xfId="0"/>
    <cellStyle name="Total 29 2" xfId="0"/>
    <cellStyle name="Total 29 2 2" xfId="0"/>
    <cellStyle name="Total 29 2 3" xfId="0"/>
    <cellStyle name="Total 29 3" xfId="0"/>
    <cellStyle name="Total 29 4" xfId="0"/>
    <cellStyle name="Total 3" xfId="0"/>
    <cellStyle name="Total 3 10" xfId="0"/>
    <cellStyle name="Total 3 2" xfId="0"/>
    <cellStyle name="Total 3 2 2" xfId="0"/>
    <cellStyle name="Total 3 2 2 2" xfId="0"/>
    <cellStyle name="Total 3 2 2 2 2" xfId="0"/>
    <cellStyle name="Total 3 2 2 2 3" xfId="0"/>
    <cellStyle name="Total 3 2 2 3" xfId="0"/>
    <cellStyle name="Total 3 2 2 4" xfId="0"/>
    <cellStyle name="Total 3 2 3" xfId="0"/>
    <cellStyle name="Total 3 2 3 2" xfId="0"/>
    <cellStyle name="Total 3 2 3 2 2" xfId="0"/>
    <cellStyle name="Total 3 2 3 2 3" xfId="0"/>
    <cellStyle name="Total 3 2 3 3" xfId="0"/>
    <cellStyle name="Total 3 2 3 4" xfId="0"/>
    <cellStyle name="Total 3 2 4" xfId="0"/>
    <cellStyle name="Total 3 2 4 2" xfId="0"/>
    <cellStyle name="Total 3 2 4 3" xfId="0"/>
    <cellStyle name="Total 3 2 5" xfId="0"/>
    <cellStyle name="Total 3 2 6" xfId="0"/>
    <cellStyle name="Total 3 3" xfId="0"/>
    <cellStyle name="Total 3 3 2" xfId="0"/>
    <cellStyle name="Total 3 3 2 2" xfId="0"/>
    <cellStyle name="Total 3 3 2 2 2" xfId="0"/>
    <cellStyle name="Total 3 3 2 2 3" xfId="0"/>
    <cellStyle name="Total 3 3 2 3" xfId="0"/>
    <cellStyle name="Total 3 3 2 4" xfId="0"/>
    <cellStyle name="Total 3 3 3" xfId="0"/>
    <cellStyle name="Total 3 3 3 2" xfId="0"/>
    <cellStyle name="Total 3 3 3 2 2" xfId="0"/>
    <cellStyle name="Total 3 3 3 2 3" xfId="0"/>
    <cellStyle name="Total 3 3 3 3" xfId="0"/>
    <cellStyle name="Total 3 3 3 4" xfId="0"/>
    <cellStyle name="Total 3 3 4" xfId="0"/>
    <cellStyle name="Total 3 3 4 2" xfId="0"/>
    <cellStyle name="Total 3 3 4 3" xfId="0"/>
    <cellStyle name="Total 3 3 5" xfId="0"/>
    <cellStyle name="Total 3 3 6" xfId="0"/>
    <cellStyle name="Total 3 4" xfId="0"/>
    <cellStyle name="Total 3 4 2" xfId="0"/>
    <cellStyle name="Total 3 4 2 2" xfId="0"/>
    <cellStyle name="Total 3 4 2 2 2" xfId="0"/>
    <cellStyle name="Total 3 4 2 2 3" xfId="0"/>
    <cellStyle name="Total 3 4 2 3" xfId="0"/>
    <cellStyle name="Total 3 4 2 4" xfId="0"/>
    <cellStyle name="Total 3 4 3" xfId="0"/>
    <cellStyle name="Total 3 4 3 2" xfId="0"/>
    <cellStyle name="Total 3 4 3 2 2" xfId="0"/>
    <cellStyle name="Total 3 4 3 2 3" xfId="0"/>
    <cellStyle name="Total 3 4 3 3" xfId="0"/>
    <cellStyle name="Total 3 4 3 4" xfId="0"/>
    <cellStyle name="Total 3 4 4" xfId="0"/>
    <cellStyle name="Total 3 4 4 2" xfId="0"/>
    <cellStyle name="Total 3 4 4 3" xfId="0"/>
    <cellStyle name="Total 3 4 5" xfId="0"/>
    <cellStyle name="Total 3 4 6" xfId="0"/>
    <cellStyle name="Total 3 5" xfId="0"/>
    <cellStyle name="Total 3 5 2" xfId="0"/>
    <cellStyle name="Total 3 5 2 2" xfId="0"/>
    <cellStyle name="Total 3 5 2 2 2" xfId="0"/>
    <cellStyle name="Total 3 5 2 2 3" xfId="0"/>
    <cellStyle name="Total 3 5 2 3" xfId="0"/>
    <cellStyle name="Total 3 5 2 4" xfId="0"/>
    <cellStyle name="Total 3 5 3" xfId="0"/>
    <cellStyle name="Total 3 5 3 2" xfId="0"/>
    <cellStyle name="Total 3 5 3 2 2" xfId="0"/>
    <cellStyle name="Total 3 5 3 2 3" xfId="0"/>
    <cellStyle name="Total 3 5 3 3" xfId="0"/>
    <cellStyle name="Total 3 5 3 4" xfId="0"/>
    <cellStyle name="Total 3 5 4" xfId="0"/>
    <cellStyle name="Total 3 5 4 2" xfId="0"/>
    <cellStyle name="Total 3 5 4 3" xfId="0"/>
    <cellStyle name="Total 3 5 5" xfId="0"/>
    <cellStyle name="Total 3 5 6" xfId="0"/>
    <cellStyle name="Total 3 6" xfId="0"/>
    <cellStyle name="Total 3 6 2" xfId="0"/>
    <cellStyle name="Total 3 6 2 2" xfId="0"/>
    <cellStyle name="Total 3 6 2 2 2" xfId="0"/>
    <cellStyle name="Total 3 6 2 2 3" xfId="0"/>
    <cellStyle name="Total 3 6 2 3" xfId="0"/>
    <cellStyle name="Total 3 6 2 4" xfId="0"/>
    <cellStyle name="Total 3 6 3" xfId="0"/>
    <cellStyle name="Total 3 6 3 2" xfId="0"/>
    <cellStyle name="Total 3 6 3 3" xfId="0"/>
    <cellStyle name="Total 3 6 4" xfId="0"/>
    <cellStyle name="Total 3 6 5" xfId="0"/>
    <cellStyle name="Total 3 7" xfId="0"/>
    <cellStyle name="Total 3 7 2" xfId="0"/>
    <cellStyle name="Total 3 7 2 2" xfId="0"/>
    <cellStyle name="Total 3 7 2 2 2" xfId="0"/>
    <cellStyle name="Total 3 7 2 2 3" xfId="0"/>
    <cellStyle name="Total 3 7 2 3" xfId="0"/>
    <cellStyle name="Total 3 7 2 4" xfId="0"/>
    <cellStyle name="Total 3 7 3" xfId="0"/>
    <cellStyle name="Total 3 7 3 2" xfId="0"/>
    <cellStyle name="Total 3 7 3 3" xfId="0"/>
    <cellStyle name="Total 3 7 4" xfId="0"/>
    <cellStyle name="Total 3 7 5" xfId="0"/>
    <cellStyle name="Total 3 8" xfId="0"/>
    <cellStyle name="Total 3 8 2" xfId="0"/>
    <cellStyle name="Total 3 8 3" xfId="0"/>
    <cellStyle name="Total 3 9" xfId="0"/>
    <cellStyle name="Total 30" xfId="0"/>
    <cellStyle name="Total 30 2" xfId="0"/>
    <cellStyle name="Total 30 3" xfId="0"/>
    <cellStyle name="Total 31" xfId="0"/>
    <cellStyle name="Total 31 2" xfId="0"/>
    <cellStyle name="Total 31 3" xfId="0"/>
    <cellStyle name="Total 32" xfId="0"/>
    <cellStyle name="Total 32 2" xfId="0"/>
    <cellStyle name="Total 32 3" xfId="0"/>
    <cellStyle name="Total 33" xfId="0"/>
    <cellStyle name="Total 33 2" xfId="0"/>
    <cellStyle name="Total 33 3" xfId="0"/>
    <cellStyle name="Total 34" xfId="0"/>
    <cellStyle name="Total 4" xfId="0"/>
    <cellStyle name="Total 4 10" xfId="0"/>
    <cellStyle name="Total 4 2" xfId="0"/>
    <cellStyle name="Total 4 2 2" xfId="0"/>
    <cellStyle name="Total 4 2 2 2" xfId="0"/>
    <cellStyle name="Total 4 2 2 2 2" xfId="0"/>
    <cellStyle name="Total 4 2 2 2 3" xfId="0"/>
    <cellStyle name="Total 4 2 2 3" xfId="0"/>
    <cellStyle name="Total 4 2 2 4" xfId="0"/>
    <cellStyle name="Total 4 2 3" xfId="0"/>
    <cellStyle name="Total 4 2 3 2" xfId="0"/>
    <cellStyle name="Total 4 2 3 2 2" xfId="0"/>
    <cellStyle name="Total 4 2 3 2 3" xfId="0"/>
    <cellStyle name="Total 4 2 3 3" xfId="0"/>
    <cellStyle name="Total 4 2 3 4" xfId="0"/>
    <cellStyle name="Total 4 2 4" xfId="0"/>
    <cellStyle name="Total 4 2 4 2" xfId="0"/>
    <cellStyle name="Total 4 2 4 3" xfId="0"/>
    <cellStyle name="Total 4 2 5" xfId="0"/>
    <cellStyle name="Total 4 2 6" xfId="0"/>
    <cellStyle name="Total 4 3" xfId="0"/>
    <cellStyle name="Total 4 3 2" xfId="0"/>
    <cellStyle name="Total 4 3 2 2" xfId="0"/>
    <cellStyle name="Total 4 3 2 2 2" xfId="0"/>
    <cellStyle name="Total 4 3 2 2 3" xfId="0"/>
    <cellStyle name="Total 4 3 2 3" xfId="0"/>
    <cellStyle name="Total 4 3 2 4" xfId="0"/>
    <cellStyle name="Total 4 3 3" xfId="0"/>
    <cellStyle name="Total 4 3 3 2" xfId="0"/>
    <cellStyle name="Total 4 3 3 2 2" xfId="0"/>
    <cellStyle name="Total 4 3 3 2 3" xfId="0"/>
    <cellStyle name="Total 4 3 3 3" xfId="0"/>
    <cellStyle name="Total 4 3 3 4" xfId="0"/>
    <cellStyle name="Total 4 3 4" xfId="0"/>
    <cellStyle name="Total 4 3 4 2" xfId="0"/>
    <cellStyle name="Total 4 3 4 3" xfId="0"/>
    <cellStyle name="Total 4 3 5" xfId="0"/>
    <cellStyle name="Total 4 3 6" xfId="0"/>
    <cellStyle name="Total 4 4" xfId="0"/>
    <cellStyle name="Total 4 4 2" xfId="0"/>
    <cellStyle name="Total 4 4 2 2" xfId="0"/>
    <cellStyle name="Total 4 4 2 2 2" xfId="0"/>
    <cellStyle name="Total 4 4 2 2 3" xfId="0"/>
    <cellStyle name="Total 4 4 2 3" xfId="0"/>
    <cellStyle name="Total 4 4 2 4" xfId="0"/>
    <cellStyle name="Total 4 4 3" xfId="0"/>
    <cellStyle name="Total 4 4 3 2" xfId="0"/>
    <cellStyle name="Total 4 4 3 2 2" xfId="0"/>
    <cellStyle name="Total 4 4 3 2 3" xfId="0"/>
    <cellStyle name="Total 4 4 3 3" xfId="0"/>
    <cellStyle name="Total 4 4 3 4" xfId="0"/>
    <cellStyle name="Total 4 4 4" xfId="0"/>
    <cellStyle name="Total 4 4 4 2" xfId="0"/>
    <cellStyle name="Total 4 4 4 3" xfId="0"/>
    <cellStyle name="Total 4 4 5" xfId="0"/>
    <cellStyle name="Total 4 4 6" xfId="0"/>
    <cellStyle name="Total 4 5" xfId="0"/>
    <cellStyle name="Total 4 5 2" xfId="0"/>
    <cellStyle name="Total 4 5 2 2" xfId="0"/>
    <cellStyle name="Total 4 5 2 2 2" xfId="0"/>
    <cellStyle name="Total 4 5 2 2 3" xfId="0"/>
    <cellStyle name="Total 4 5 2 3" xfId="0"/>
    <cellStyle name="Total 4 5 2 4" xfId="0"/>
    <cellStyle name="Total 4 5 3" xfId="0"/>
    <cellStyle name="Total 4 5 3 2" xfId="0"/>
    <cellStyle name="Total 4 5 3 2 2" xfId="0"/>
    <cellStyle name="Total 4 5 3 2 3" xfId="0"/>
    <cellStyle name="Total 4 5 3 3" xfId="0"/>
    <cellStyle name="Total 4 5 3 4" xfId="0"/>
    <cellStyle name="Total 4 5 4" xfId="0"/>
    <cellStyle name="Total 4 5 4 2" xfId="0"/>
    <cellStyle name="Total 4 5 4 3" xfId="0"/>
    <cellStyle name="Total 4 5 5" xfId="0"/>
    <cellStyle name="Total 4 5 6" xfId="0"/>
    <cellStyle name="Total 4 6" xfId="0"/>
    <cellStyle name="Total 4 6 2" xfId="0"/>
    <cellStyle name="Total 4 6 2 2" xfId="0"/>
    <cellStyle name="Total 4 6 2 2 2" xfId="0"/>
    <cellStyle name="Total 4 6 2 2 3" xfId="0"/>
    <cellStyle name="Total 4 6 2 3" xfId="0"/>
    <cellStyle name="Total 4 6 2 4" xfId="0"/>
    <cellStyle name="Total 4 6 3" xfId="0"/>
    <cellStyle name="Total 4 6 3 2" xfId="0"/>
    <cellStyle name="Total 4 6 3 3" xfId="0"/>
    <cellStyle name="Total 4 6 4" xfId="0"/>
    <cellStyle name="Total 4 6 5" xfId="0"/>
    <cellStyle name="Total 4 7" xfId="0"/>
    <cellStyle name="Total 4 7 2" xfId="0"/>
    <cellStyle name="Total 4 7 2 2" xfId="0"/>
    <cellStyle name="Total 4 7 2 2 2" xfId="0"/>
    <cellStyle name="Total 4 7 2 2 3" xfId="0"/>
    <cellStyle name="Total 4 7 2 3" xfId="0"/>
    <cellStyle name="Total 4 7 2 4" xfId="0"/>
    <cellStyle name="Total 4 7 3" xfId="0"/>
    <cellStyle name="Total 4 7 3 2" xfId="0"/>
    <cellStyle name="Total 4 7 3 3" xfId="0"/>
    <cellStyle name="Total 4 7 4" xfId="0"/>
    <cellStyle name="Total 4 7 5" xfId="0"/>
    <cellStyle name="Total 4 8" xfId="0"/>
    <cellStyle name="Total 4 8 2" xfId="0"/>
    <cellStyle name="Total 4 8 3" xfId="0"/>
    <cellStyle name="Total 4 9" xfId="0"/>
    <cellStyle name="Total 5" xfId="0"/>
    <cellStyle name="Total 5 2" xfId="0"/>
    <cellStyle name="Total 5 2 2" xfId="0"/>
    <cellStyle name="Total 5 2 2 2" xfId="0"/>
    <cellStyle name="Total 5 2 2 2 2" xfId="0"/>
    <cellStyle name="Total 5 2 2 2 3" xfId="0"/>
    <cellStyle name="Total 5 2 2 3" xfId="0"/>
    <cellStyle name="Total 5 2 2 4" xfId="0"/>
    <cellStyle name="Total 5 2 3" xfId="0"/>
    <cellStyle name="Total 5 2 3 2" xfId="0"/>
    <cellStyle name="Total 5 2 3 2 2" xfId="0"/>
    <cellStyle name="Total 5 2 3 2 3" xfId="0"/>
    <cellStyle name="Total 5 2 3 3" xfId="0"/>
    <cellStyle name="Total 5 2 3 4" xfId="0"/>
    <cellStyle name="Total 5 2 4" xfId="0"/>
    <cellStyle name="Total 5 2 4 2" xfId="0"/>
    <cellStyle name="Total 5 2 4 3" xfId="0"/>
    <cellStyle name="Total 5 2 5" xfId="0"/>
    <cellStyle name="Total 5 2 6" xfId="0"/>
    <cellStyle name="Total 5 3" xfId="0"/>
    <cellStyle name="Total 5 3 2" xfId="0"/>
    <cellStyle name="Total 5 3 2 2" xfId="0"/>
    <cellStyle name="Total 5 3 2 2 2" xfId="0"/>
    <cellStyle name="Total 5 3 2 2 3" xfId="0"/>
    <cellStyle name="Total 5 3 2 3" xfId="0"/>
    <cellStyle name="Total 5 3 2 4" xfId="0"/>
    <cellStyle name="Total 5 3 3" xfId="0"/>
    <cellStyle name="Total 5 3 3 2" xfId="0"/>
    <cellStyle name="Total 5 3 3 3" xfId="0"/>
    <cellStyle name="Total 5 3 4" xfId="0"/>
    <cellStyle name="Total 5 3 5" xfId="0"/>
    <cellStyle name="Total 5 4" xfId="0"/>
    <cellStyle name="Total 5 4 2" xfId="0"/>
    <cellStyle name="Total 5 4 2 2" xfId="0"/>
    <cellStyle name="Total 5 4 2 2 2" xfId="0"/>
    <cellStyle name="Total 5 4 2 2 3" xfId="0"/>
    <cellStyle name="Total 5 4 2 3" xfId="0"/>
    <cellStyle name="Total 5 4 2 4" xfId="0"/>
    <cellStyle name="Total 5 4 3" xfId="0"/>
    <cellStyle name="Total 5 4 3 2" xfId="0"/>
    <cellStyle name="Total 5 4 3 3" xfId="0"/>
    <cellStyle name="Total 5 4 4" xfId="0"/>
    <cellStyle name="Total 5 4 5" xfId="0"/>
    <cellStyle name="Total 5 5" xfId="0"/>
    <cellStyle name="Total 5 5 2" xfId="0"/>
    <cellStyle name="Total 5 5 3" xfId="0"/>
    <cellStyle name="Total 5 6" xfId="0"/>
    <cellStyle name="Total 5 7" xfId="0"/>
    <cellStyle name="Total 6" xfId="0"/>
    <cellStyle name="Total 6 2" xfId="0"/>
    <cellStyle name="Total 6 2 2" xfId="0"/>
    <cellStyle name="Total 6 2 2 2" xfId="0"/>
    <cellStyle name="Total 6 2 2 2 2" xfId="0"/>
    <cellStyle name="Total 6 2 2 2 3" xfId="0"/>
    <cellStyle name="Total 6 2 2 3" xfId="0"/>
    <cellStyle name="Total 6 2 2 4" xfId="0"/>
    <cellStyle name="Total 6 2 3" xfId="0"/>
    <cellStyle name="Total 6 2 3 2" xfId="0"/>
    <cellStyle name="Total 6 2 3 2 2" xfId="0"/>
    <cellStyle name="Total 6 2 3 2 3" xfId="0"/>
    <cellStyle name="Total 6 2 3 3" xfId="0"/>
    <cellStyle name="Total 6 2 3 4" xfId="0"/>
    <cellStyle name="Total 6 2 4" xfId="0"/>
    <cellStyle name="Total 6 2 4 2" xfId="0"/>
    <cellStyle name="Total 6 2 4 3" xfId="0"/>
    <cellStyle name="Total 6 2 5" xfId="0"/>
    <cellStyle name="Total 6 2 6" xfId="0"/>
    <cellStyle name="Total 6 3" xfId="0"/>
    <cellStyle name="Total 6 3 2" xfId="0"/>
    <cellStyle name="Total 6 3 2 2" xfId="0"/>
    <cellStyle name="Total 6 3 2 2 2" xfId="0"/>
    <cellStyle name="Total 6 3 2 2 3" xfId="0"/>
    <cellStyle name="Total 6 3 2 3" xfId="0"/>
    <cellStyle name="Total 6 3 2 4" xfId="0"/>
    <cellStyle name="Total 6 3 3" xfId="0"/>
    <cellStyle name="Total 6 3 3 2" xfId="0"/>
    <cellStyle name="Total 6 3 3 3" xfId="0"/>
    <cellStyle name="Total 6 3 4" xfId="0"/>
    <cellStyle name="Total 6 3 5" xfId="0"/>
    <cellStyle name="Total 6 4" xfId="0"/>
    <cellStyle name="Total 6 4 2" xfId="0"/>
    <cellStyle name="Total 6 4 2 2" xfId="0"/>
    <cellStyle name="Total 6 4 2 2 2" xfId="0"/>
    <cellStyle name="Total 6 4 2 2 3" xfId="0"/>
    <cellStyle name="Total 6 4 2 3" xfId="0"/>
    <cellStyle name="Total 6 4 2 4" xfId="0"/>
    <cellStyle name="Total 6 4 3" xfId="0"/>
    <cellStyle name="Total 6 4 3 2" xfId="0"/>
    <cellStyle name="Total 6 4 3 3" xfId="0"/>
    <cellStyle name="Total 6 4 4" xfId="0"/>
    <cellStyle name="Total 6 4 5" xfId="0"/>
    <cellStyle name="Total 6 5" xfId="0"/>
    <cellStyle name="Total 6 5 2" xfId="0"/>
    <cellStyle name="Total 6 5 3" xfId="0"/>
    <cellStyle name="Total 6 6" xfId="0"/>
    <cellStyle name="Total 6 7" xfId="0"/>
    <cellStyle name="Total 7" xfId="0"/>
    <cellStyle name="Total 7 2" xfId="0"/>
    <cellStyle name="Total 7 2 2" xfId="0"/>
    <cellStyle name="Total 7 2 2 2" xfId="0"/>
    <cellStyle name="Total 7 2 2 2 2" xfId="0"/>
    <cellStyle name="Total 7 2 2 2 3" xfId="0"/>
    <cellStyle name="Total 7 2 2 3" xfId="0"/>
    <cellStyle name="Total 7 2 2 4" xfId="0"/>
    <cellStyle name="Total 7 2 3" xfId="0"/>
    <cellStyle name="Total 7 2 3 2" xfId="0"/>
    <cellStyle name="Total 7 2 3 2 2" xfId="0"/>
    <cellStyle name="Total 7 2 3 2 3" xfId="0"/>
    <cellStyle name="Total 7 2 3 3" xfId="0"/>
    <cellStyle name="Total 7 2 3 4" xfId="0"/>
    <cellStyle name="Total 7 2 4" xfId="0"/>
    <cellStyle name="Total 7 2 4 2" xfId="0"/>
    <cellStyle name="Total 7 2 4 3" xfId="0"/>
    <cellStyle name="Total 7 2 5" xfId="0"/>
    <cellStyle name="Total 7 2 6" xfId="0"/>
    <cellStyle name="Total 7 3" xfId="0"/>
    <cellStyle name="Total 7 3 2" xfId="0"/>
    <cellStyle name="Total 7 3 2 2" xfId="0"/>
    <cellStyle name="Total 7 3 2 2 2" xfId="0"/>
    <cellStyle name="Total 7 3 2 2 3" xfId="0"/>
    <cellStyle name="Total 7 3 2 3" xfId="0"/>
    <cellStyle name="Total 7 3 2 4" xfId="0"/>
    <cellStyle name="Total 7 3 3" xfId="0"/>
    <cellStyle name="Total 7 3 3 2" xfId="0"/>
    <cellStyle name="Total 7 3 3 3" xfId="0"/>
    <cellStyle name="Total 7 3 4" xfId="0"/>
    <cellStyle name="Total 7 3 5" xfId="0"/>
    <cellStyle name="Total 7 4" xfId="0"/>
    <cellStyle name="Total 7 4 2" xfId="0"/>
    <cellStyle name="Total 7 4 2 2" xfId="0"/>
    <cellStyle name="Total 7 4 2 2 2" xfId="0"/>
    <cellStyle name="Total 7 4 2 2 3" xfId="0"/>
    <cellStyle name="Total 7 4 2 3" xfId="0"/>
    <cellStyle name="Total 7 4 2 4" xfId="0"/>
    <cellStyle name="Total 7 4 3" xfId="0"/>
    <cellStyle name="Total 7 4 3 2" xfId="0"/>
    <cellStyle name="Total 7 4 3 3" xfId="0"/>
    <cellStyle name="Total 7 4 4" xfId="0"/>
    <cellStyle name="Total 7 4 5" xfId="0"/>
    <cellStyle name="Total 7 5" xfId="0"/>
    <cellStyle name="Total 7 5 2" xfId="0"/>
    <cellStyle name="Total 7 5 3" xfId="0"/>
    <cellStyle name="Total 7 6" xfId="0"/>
    <cellStyle name="Total 7 7" xfId="0"/>
    <cellStyle name="Total 8" xfId="0"/>
    <cellStyle name="Total 8 2" xfId="0"/>
    <cellStyle name="Total 8 2 2" xfId="0"/>
    <cellStyle name="Total 8 2 2 2" xfId="0"/>
    <cellStyle name="Total 8 2 2 2 2" xfId="0"/>
    <cellStyle name="Total 8 2 2 2 3" xfId="0"/>
    <cellStyle name="Total 8 2 2 3" xfId="0"/>
    <cellStyle name="Total 8 2 2 4" xfId="0"/>
    <cellStyle name="Total 8 2 3" xfId="0"/>
    <cellStyle name="Total 8 2 3 2" xfId="0"/>
    <cellStyle name="Total 8 2 3 2 2" xfId="0"/>
    <cellStyle name="Total 8 2 3 2 3" xfId="0"/>
    <cellStyle name="Total 8 2 3 3" xfId="0"/>
    <cellStyle name="Total 8 2 3 4" xfId="0"/>
    <cellStyle name="Total 8 2 4" xfId="0"/>
    <cellStyle name="Total 8 2 4 2" xfId="0"/>
    <cellStyle name="Total 8 2 4 3" xfId="0"/>
    <cellStyle name="Total 8 2 5" xfId="0"/>
    <cellStyle name="Total 8 2 6" xfId="0"/>
    <cellStyle name="Total 8 3" xfId="0"/>
    <cellStyle name="Total 8 3 2" xfId="0"/>
    <cellStyle name="Total 8 3 2 2" xfId="0"/>
    <cellStyle name="Total 8 3 2 2 2" xfId="0"/>
    <cellStyle name="Total 8 3 2 2 3" xfId="0"/>
    <cellStyle name="Total 8 3 2 3" xfId="0"/>
    <cellStyle name="Total 8 3 2 4" xfId="0"/>
    <cellStyle name="Total 8 3 3" xfId="0"/>
    <cellStyle name="Total 8 3 3 2" xfId="0"/>
    <cellStyle name="Total 8 3 3 3" xfId="0"/>
    <cellStyle name="Total 8 3 4" xfId="0"/>
    <cellStyle name="Total 8 3 5" xfId="0"/>
    <cellStyle name="Total 8 4" xfId="0"/>
    <cellStyle name="Total 8 4 2" xfId="0"/>
    <cellStyle name="Total 8 4 2 2" xfId="0"/>
    <cellStyle name="Total 8 4 2 2 2" xfId="0"/>
    <cellStyle name="Total 8 4 2 2 3" xfId="0"/>
    <cellStyle name="Total 8 4 2 3" xfId="0"/>
    <cellStyle name="Total 8 4 2 4" xfId="0"/>
    <cellStyle name="Total 8 4 3" xfId="0"/>
    <cellStyle name="Total 8 4 3 2" xfId="0"/>
    <cellStyle name="Total 8 4 3 3" xfId="0"/>
    <cellStyle name="Total 8 4 4" xfId="0"/>
    <cellStyle name="Total 8 4 5" xfId="0"/>
    <cellStyle name="Total 8 5" xfId="0"/>
    <cellStyle name="Total 8 5 2" xfId="0"/>
    <cellStyle name="Total 8 5 3" xfId="0"/>
    <cellStyle name="Total 8 6" xfId="0"/>
    <cellStyle name="Total 8 7" xfId="0"/>
    <cellStyle name="Total 9" xfId="0"/>
    <cellStyle name="Total 9 2" xfId="0"/>
    <cellStyle name="Total 9 2 2" xfId="0"/>
    <cellStyle name="Total 9 2 2 2" xfId="0"/>
    <cellStyle name="Total 9 2 2 2 2" xfId="0"/>
    <cellStyle name="Total 9 2 2 2 3" xfId="0"/>
    <cellStyle name="Total 9 2 2 3" xfId="0"/>
    <cellStyle name="Total 9 2 2 4" xfId="0"/>
    <cellStyle name="Total 9 2 3" xfId="0"/>
    <cellStyle name="Total 9 2 3 2" xfId="0"/>
    <cellStyle name="Total 9 2 3 2 2" xfId="0"/>
    <cellStyle name="Total 9 2 3 2 3" xfId="0"/>
    <cellStyle name="Total 9 2 3 3" xfId="0"/>
    <cellStyle name="Total 9 2 3 4" xfId="0"/>
    <cellStyle name="Total 9 2 4" xfId="0"/>
    <cellStyle name="Total 9 2 4 2" xfId="0"/>
    <cellStyle name="Total 9 2 4 3" xfId="0"/>
    <cellStyle name="Total 9 2 5" xfId="0"/>
    <cellStyle name="Total 9 2 6" xfId="0"/>
    <cellStyle name="Total 9 3" xfId="0"/>
    <cellStyle name="Total 9 3 2" xfId="0"/>
    <cellStyle name="Total 9 3 2 2" xfId="0"/>
    <cellStyle name="Total 9 3 2 2 2" xfId="0"/>
    <cellStyle name="Total 9 3 2 2 3" xfId="0"/>
    <cellStyle name="Total 9 3 2 3" xfId="0"/>
    <cellStyle name="Total 9 3 2 4" xfId="0"/>
    <cellStyle name="Total 9 3 3" xfId="0"/>
    <cellStyle name="Total 9 3 3 2" xfId="0"/>
    <cellStyle name="Total 9 3 3 3" xfId="0"/>
    <cellStyle name="Total 9 3 4" xfId="0"/>
    <cellStyle name="Total 9 3 5" xfId="0"/>
    <cellStyle name="Total 9 4" xfId="0"/>
    <cellStyle name="Total 9 4 2" xfId="0"/>
    <cellStyle name="Total 9 4 2 2" xfId="0"/>
    <cellStyle name="Total 9 4 2 2 2" xfId="0"/>
    <cellStyle name="Total 9 4 2 2 3" xfId="0"/>
    <cellStyle name="Total 9 4 2 3" xfId="0"/>
    <cellStyle name="Total 9 4 2 4" xfId="0"/>
    <cellStyle name="Total 9 4 3" xfId="0"/>
    <cellStyle name="Total 9 4 3 2" xfId="0"/>
    <cellStyle name="Total 9 4 3 3" xfId="0"/>
    <cellStyle name="Total 9 4 4" xfId="0"/>
    <cellStyle name="Total 9 4 5" xfId="0"/>
    <cellStyle name="Total 9 5" xfId="0"/>
    <cellStyle name="Total 9 5 2" xfId="0"/>
    <cellStyle name="Total 9 5 3" xfId="0"/>
    <cellStyle name="Total 9 6" xfId="0"/>
    <cellStyle name="Total 9 7" xfId="0"/>
    <cellStyle name="Valiotsikko" xfId="0"/>
    <cellStyle name="Valiotsikko 1" xfId="0"/>
    <cellStyle name="Valiotsikko 1 2" xfId="0"/>
    <cellStyle name="Valiotsikko 2" xfId="0"/>
    <cellStyle name="Valiotsikko 2 2" xfId="0"/>
    <cellStyle name="Valiotsikko 3" xfId="0"/>
    <cellStyle name="Valiotsikko 3 2" xfId="0"/>
    <cellStyle name="Valiotsikko 4" xfId="0"/>
    <cellStyle name="Valiotsikko_АГМ" xfId="0"/>
    <cellStyle name="Warning Text" xfId="0"/>
    <cellStyle name="Акцент1 1" xfId="0"/>
    <cellStyle name="Акцент1 2" xfId="0"/>
    <cellStyle name="Акцент1 2 2" xfId="0"/>
    <cellStyle name="Акцент1 3" xfId="0"/>
    <cellStyle name="Акцент1 4" xfId="0"/>
    <cellStyle name="Акцент2 1" xfId="0"/>
    <cellStyle name="Акцент2 2" xfId="0"/>
    <cellStyle name="Акцент2 2 2" xfId="0"/>
    <cellStyle name="Акцент2 3" xfId="0"/>
    <cellStyle name="Акцент2 4" xfId="0"/>
    <cellStyle name="Акцент3 1" xfId="0"/>
    <cellStyle name="Акцент3 2" xfId="0"/>
    <cellStyle name="Акцент3 2 2" xfId="0"/>
    <cellStyle name="Акцент3 3" xfId="0"/>
    <cellStyle name="Акцент3 4" xfId="0"/>
    <cellStyle name="Акцент4 1" xfId="0"/>
    <cellStyle name="Акцент4 2" xfId="0"/>
    <cellStyle name="Акцент4 2 2" xfId="0"/>
    <cellStyle name="Акцент4 3" xfId="0"/>
    <cellStyle name="Акцент4 4" xfId="0"/>
    <cellStyle name="Акцент5 1" xfId="0"/>
    <cellStyle name="Акцент5 2" xfId="0"/>
    <cellStyle name="Акцент5 2 2" xfId="0"/>
    <cellStyle name="Акцент5 3" xfId="0"/>
    <cellStyle name="Акцент5 4" xfId="0"/>
    <cellStyle name="Акцент6 1" xfId="0"/>
    <cellStyle name="Акцент6 2" xfId="0"/>
    <cellStyle name="Акцент6 2 2" xfId="0"/>
    <cellStyle name="Акцент6 3" xfId="0"/>
    <cellStyle name="Акцент6 4" xfId="0"/>
    <cellStyle name="Беззащитный" xfId="0"/>
    <cellStyle name="Беззащитный 2" xfId="0"/>
    <cellStyle name="Беззащитный 2 2" xfId="0"/>
    <cellStyle name="Беззащитный 2 2 2" xfId="0"/>
    <cellStyle name="Беззащитный 2 2 2 2" xfId="0"/>
    <cellStyle name="Беззащитный 2 2 3" xfId="0"/>
    <cellStyle name="Беззащитный 2 3" xfId="0"/>
    <cellStyle name="Беззащитный 2 3 2" xfId="0"/>
    <cellStyle name="Беззащитный 2 3 2 2" xfId="0"/>
    <cellStyle name="Беззащитный 2 3 3" xfId="0"/>
    <cellStyle name="Беззащитный 2 4" xfId="0"/>
    <cellStyle name="Беззащитный 2 4 2" xfId="0"/>
    <cellStyle name="Беззащитный 2 4 2 2" xfId="0"/>
    <cellStyle name="Беззащитный 2 4 3" xfId="0"/>
    <cellStyle name="Беззащитный 2 5" xfId="0"/>
    <cellStyle name="Беззащитный 2 5 2" xfId="0"/>
    <cellStyle name="Беззащитный 2 5 2 2" xfId="0"/>
    <cellStyle name="Беззащитный 2 5 3" xfId="0"/>
    <cellStyle name="Беззащитный 2 6" xfId="0"/>
    <cellStyle name="Беззащитный 2 6 2" xfId="0"/>
    <cellStyle name="Беззащитный 2 7" xfId="0"/>
    <cellStyle name="Беззащитный 3" xfId="0"/>
    <cellStyle name="Беззащитный 3 2" xfId="0"/>
    <cellStyle name="Беззащитный 3 2 2" xfId="0"/>
    <cellStyle name="Беззащитный 3 2 2 2" xfId="0"/>
    <cellStyle name="Беззащитный 3 2 3" xfId="0"/>
    <cellStyle name="Беззащитный 3 3" xfId="0"/>
    <cellStyle name="Беззащитный 3 3 2" xfId="0"/>
    <cellStyle name="Беззащитный 3 3 2 2" xfId="0"/>
    <cellStyle name="Беззащитный 3 3 3" xfId="0"/>
    <cellStyle name="Беззащитный 3 4" xfId="0"/>
    <cellStyle name="Беззащитный 3 4 2" xfId="0"/>
    <cellStyle name="Беззащитный 3 4 2 2" xfId="0"/>
    <cellStyle name="Беззащитный 3 4 3" xfId="0"/>
    <cellStyle name="Беззащитный 3 5" xfId="0"/>
    <cellStyle name="Беззащитный 3 5 2" xfId="0"/>
    <cellStyle name="Беззащитный 3 6" xfId="0"/>
    <cellStyle name="Беззащитный 4" xfId="0"/>
    <cellStyle name="Беззащитный 4 2" xfId="0"/>
    <cellStyle name="Беззащитный 4 2 2" xfId="0"/>
    <cellStyle name="Беззащитный 4 3" xfId="0"/>
    <cellStyle name="Беззащитный 5" xfId="0"/>
    <cellStyle name="Беззащитный 5 2" xfId="0"/>
    <cellStyle name="Беззащитный 6" xfId="0"/>
    <cellStyle name="Ввод  1" xfId="0"/>
    <cellStyle name="Ввод  1 10" xfId="0"/>
    <cellStyle name="Ввод  1 10 2" xfId="0"/>
    <cellStyle name="Ввод  1 10 2 2" xfId="0"/>
    <cellStyle name="Ввод  1 10 2 2 2" xfId="0"/>
    <cellStyle name="Ввод  1 10 2 2 2 2" xfId="0"/>
    <cellStyle name="Ввод  1 10 2 2 2 3" xfId="0"/>
    <cellStyle name="Ввод  1 10 2 2 3" xfId="0"/>
    <cellStyle name="Ввод  1 10 2 2 4" xfId="0"/>
    <cellStyle name="Ввод  1 10 2 3" xfId="0"/>
    <cellStyle name="Ввод  1 10 2 3 2" xfId="0"/>
    <cellStyle name="Ввод  1 10 2 3 2 2" xfId="0"/>
    <cellStyle name="Ввод  1 10 2 3 2 3" xfId="0"/>
    <cellStyle name="Ввод  1 10 2 3 3" xfId="0"/>
    <cellStyle name="Ввод  1 10 2 3 4" xfId="0"/>
    <cellStyle name="Ввод  1 10 2 4" xfId="0"/>
    <cellStyle name="Ввод  1 10 2 4 2" xfId="0"/>
    <cellStyle name="Ввод  1 10 2 4 3" xfId="0"/>
    <cellStyle name="Ввод  1 10 2 5" xfId="0"/>
    <cellStyle name="Ввод  1 10 2 6" xfId="0"/>
    <cellStyle name="Ввод  1 10 3" xfId="0"/>
    <cellStyle name="Ввод  1 10 3 2" xfId="0"/>
    <cellStyle name="Ввод  1 10 3 2 2" xfId="0"/>
    <cellStyle name="Ввод  1 10 3 2 2 2" xfId="0"/>
    <cellStyle name="Ввод  1 10 3 2 2 3" xfId="0"/>
    <cellStyle name="Ввод  1 10 3 2 3" xfId="0"/>
    <cellStyle name="Ввод  1 10 3 2 4" xfId="0"/>
    <cellStyle name="Ввод  1 10 3 3" xfId="0"/>
    <cellStyle name="Ввод  1 10 3 3 2" xfId="0"/>
    <cellStyle name="Ввод  1 10 3 3 3" xfId="0"/>
    <cellStyle name="Ввод  1 10 3 4" xfId="0"/>
    <cellStyle name="Ввод  1 10 3 5" xfId="0"/>
    <cellStyle name="Ввод  1 10 4" xfId="0"/>
    <cellStyle name="Ввод  1 10 4 2" xfId="0"/>
    <cellStyle name="Ввод  1 10 4 2 2" xfId="0"/>
    <cellStyle name="Ввод  1 10 4 2 2 2" xfId="0"/>
    <cellStyle name="Ввод  1 10 4 2 2 3" xfId="0"/>
    <cellStyle name="Ввод  1 10 4 2 3" xfId="0"/>
    <cellStyle name="Ввод  1 10 4 2 4" xfId="0"/>
    <cellStyle name="Ввод  1 10 4 3" xfId="0"/>
    <cellStyle name="Ввод  1 10 4 3 2" xfId="0"/>
    <cellStyle name="Ввод  1 10 4 3 3" xfId="0"/>
    <cellStyle name="Ввод  1 10 4 4" xfId="0"/>
    <cellStyle name="Ввод  1 10 4 5" xfId="0"/>
    <cellStyle name="Ввод  1 10 5" xfId="0"/>
    <cellStyle name="Ввод  1 10 5 2" xfId="0"/>
    <cellStyle name="Ввод  1 10 5 3" xfId="0"/>
    <cellStyle name="Ввод  1 10 6" xfId="0"/>
    <cellStyle name="Ввод  1 10 7" xfId="0"/>
    <cellStyle name="Ввод  1 11" xfId="0"/>
    <cellStyle name="Ввод  1 11 2" xfId="0"/>
    <cellStyle name="Ввод  1 11 2 2" xfId="0"/>
    <cellStyle name="Ввод  1 11 2 2 2" xfId="0"/>
    <cellStyle name="Ввод  1 11 2 2 2 2" xfId="0"/>
    <cellStyle name="Ввод  1 11 2 2 2 3" xfId="0"/>
    <cellStyle name="Ввод  1 11 2 2 3" xfId="0"/>
    <cellStyle name="Ввод  1 11 2 2 4" xfId="0"/>
    <cellStyle name="Ввод  1 11 2 3" xfId="0"/>
    <cellStyle name="Ввод  1 11 2 3 2" xfId="0"/>
    <cellStyle name="Ввод  1 11 2 3 2 2" xfId="0"/>
    <cellStyle name="Ввод  1 11 2 3 2 3" xfId="0"/>
    <cellStyle name="Ввод  1 11 2 3 3" xfId="0"/>
    <cellStyle name="Ввод  1 11 2 3 4" xfId="0"/>
    <cellStyle name="Ввод  1 11 2 4" xfId="0"/>
    <cellStyle name="Ввод  1 11 2 4 2" xfId="0"/>
    <cellStyle name="Ввод  1 11 2 4 3" xfId="0"/>
    <cellStyle name="Ввод  1 11 2 5" xfId="0"/>
    <cellStyle name="Ввод  1 11 2 6" xfId="0"/>
    <cellStyle name="Ввод  1 11 3" xfId="0"/>
    <cellStyle name="Ввод  1 11 3 2" xfId="0"/>
    <cellStyle name="Ввод  1 11 3 2 2" xfId="0"/>
    <cellStyle name="Ввод  1 11 3 2 2 2" xfId="0"/>
    <cellStyle name="Ввод  1 11 3 2 2 3" xfId="0"/>
    <cellStyle name="Ввод  1 11 3 2 3" xfId="0"/>
    <cellStyle name="Ввод  1 11 3 2 4" xfId="0"/>
    <cellStyle name="Ввод  1 11 3 3" xfId="0"/>
    <cellStyle name="Ввод  1 11 3 3 2" xfId="0"/>
    <cellStyle name="Ввод  1 11 3 3 3" xfId="0"/>
    <cellStyle name="Ввод  1 11 3 4" xfId="0"/>
    <cellStyle name="Ввод  1 11 3 5" xfId="0"/>
    <cellStyle name="Ввод  1 11 4" xfId="0"/>
    <cellStyle name="Ввод  1 11 4 2" xfId="0"/>
    <cellStyle name="Ввод  1 11 4 2 2" xfId="0"/>
    <cellStyle name="Ввод  1 11 4 2 2 2" xfId="0"/>
    <cellStyle name="Ввод  1 11 4 2 2 3" xfId="0"/>
    <cellStyle name="Ввод  1 11 4 2 3" xfId="0"/>
    <cellStyle name="Ввод  1 11 4 2 4" xfId="0"/>
    <cellStyle name="Ввод  1 11 4 3" xfId="0"/>
    <cellStyle name="Ввод  1 11 4 3 2" xfId="0"/>
    <cellStyle name="Ввод  1 11 4 3 3" xfId="0"/>
    <cellStyle name="Ввод  1 11 4 4" xfId="0"/>
    <cellStyle name="Ввод  1 11 4 5" xfId="0"/>
    <cellStyle name="Ввод  1 11 5" xfId="0"/>
    <cellStyle name="Ввод  1 11 5 2" xfId="0"/>
    <cellStyle name="Ввод  1 11 5 3" xfId="0"/>
    <cellStyle name="Ввод  1 11 6" xfId="0"/>
    <cellStyle name="Ввод  1 11 7" xfId="0"/>
    <cellStyle name="Ввод  1 12" xfId="0"/>
    <cellStyle name="Ввод  1 12 2" xfId="0"/>
    <cellStyle name="Ввод  1 12 2 2" xfId="0"/>
    <cellStyle name="Ввод  1 12 2 2 2" xfId="0"/>
    <cellStyle name="Ввод  1 12 2 2 2 2" xfId="0"/>
    <cellStyle name="Ввод  1 12 2 2 2 3" xfId="0"/>
    <cellStyle name="Ввод  1 12 2 2 3" xfId="0"/>
    <cellStyle name="Ввод  1 12 2 2 4" xfId="0"/>
    <cellStyle name="Ввод  1 12 2 3" xfId="0"/>
    <cellStyle name="Ввод  1 12 2 3 2" xfId="0"/>
    <cellStyle name="Ввод  1 12 2 3 2 2" xfId="0"/>
    <cellStyle name="Ввод  1 12 2 3 2 3" xfId="0"/>
    <cellStyle name="Ввод  1 12 2 3 3" xfId="0"/>
    <cellStyle name="Ввод  1 12 2 3 4" xfId="0"/>
    <cellStyle name="Ввод  1 12 2 4" xfId="0"/>
    <cellStyle name="Ввод  1 12 2 4 2" xfId="0"/>
    <cellStyle name="Ввод  1 12 2 4 3" xfId="0"/>
    <cellStyle name="Ввод  1 12 2 5" xfId="0"/>
    <cellStyle name="Ввод  1 12 2 6" xfId="0"/>
    <cellStyle name="Ввод  1 12 3" xfId="0"/>
    <cellStyle name="Ввод  1 12 3 2" xfId="0"/>
    <cellStyle name="Ввод  1 12 3 2 2" xfId="0"/>
    <cellStyle name="Ввод  1 12 3 2 2 2" xfId="0"/>
    <cellStyle name="Ввод  1 12 3 2 2 3" xfId="0"/>
    <cellStyle name="Ввод  1 12 3 2 3" xfId="0"/>
    <cellStyle name="Ввод  1 12 3 2 4" xfId="0"/>
    <cellStyle name="Ввод  1 12 3 3" xfId="0"/>
    <cellStyle name="Ввод  1 12 3 3 2" xfId="0"/>
    <cellStyle name="Ввод  1 12 3 3 3" xfId="0"/>
    <cellStyle name="Ввод  1 12 3 4" xfId="0"/>
    <cellStyle name="Ввод  1 12 3 5" xfId="0"/>
    <cellStyle name="Ввод  1 12 4" xfId="0"/>
    <cellStyle name="Ввод  1 12 4 2" xfId="0"/>
    <cellStyle name="Ввод  1 12 4 2 2" xfId="0"/>
    <cellStyle name="Ввод  1 12 4 2 2 2" xfId="0"/>
    <cellStyle name="Ввод  1 12 4 2 2 3" xfId="0"/>
    <cellStyle name="Ввод  1 12 4 2 3" xfId="0"/>
    <cellStyle name="Ввод  1 12 4 2 4" xfId="0"/>
    <cellStyle name="Ввод  1 12 4 3" xfId="0"/>
    <cellStyle name="Ввод  1 12 4 3 2" xfId="0"/>
    <cellStyle name="Ввод  1 12 4 3 3" xfId="0"/>
    <cellStyle name="Ввод  1 12 4 4" xfId="0"/>
    <cellStyle name="Ввод  1 12 4 5" xfId="0"/>
    <cellStyle name="Ввод  1 12 5" xfId="0"/>
    <cellStyle name="Ввод  1 12 5 2" xfId="0"/>
    <cellStyle name="Ввод  1 12 5 3" xfId="0"/>
    <cellStyle name="Ввод  1 12 6" xfId="0"/>
    <cellStyle name="Ввод  1 12 7" xfId="0"/>
    <cellStyle name="Ввод  1 13" xfId="0"/>
    <cellStyle name="Ввод  1 13 2" xfId="0"/>
    <cellStyle name="Ввод  1 13 2 2" xfId="0"/>
    <cellStyle name="Ввод  1 13 2 2 2" xfId="0"/>
    <cellStyle name="Ввод  1 13 2 2 2 2" xfId="0"/>
    <cellStyle name="Ввод  1 13 2 2 2 3" xfId="0"/>
    <cellStyle name="Ввод  1 13 2 2 3" xfId="0"/>
    <cellStyle name="Ввод  1 13 2 2 4" xfId="0"/>
    <cellStyle name="Ввод  1 13 2 3" xfId="0"/>
    <cellStyle name="Ввод  1 13 2 3 2" xfId="0"/>
    <cellStyle name="Ввод  1 13 2 3 2 2" xfId="0"/>
    <cellStyle name="Ввод  1 13 2 3 2 3" xfId="0"/>
    <cellStyle name="Ввод  1 13 2 3 3" xfId="0"/>
    <cellStyle name="Ввод  1 13 2 3 4" xfId="0"/>
    <cellStyle name="Ввод  1 13 2 4" xfId="0"/>
    <cellStyle name="Ввод  1 13 2 4 2" xfId="0"/>
    <cellStyle name="Ввод  1 13 2 4 3" xfId="0"/>
    <cellStyle name="Ввод  1 13 2 5" xfId="0"/>
    <cellStyle name="Ввод  1 13 2 6" xfId="0"/>
    <cellStyle name="Ввод  1 13 3" xfId="0"/>
    <cellStyle name="Ввод  1 13 3 2" xfId="0"/>
    <cellStyle name="Ввод  1 13 3 2 2" xfId="0"/>
    <cellStyle name="Ввод  1 13 3 2 2 2" xfId="0"/>
    <cellStyle name="Ввод  1 13 3 2 2 3" xfId="0"/>
    <cellStyle name="Ввод  1 13 3 2 3" xfId="0"/>
    <cellStyle name="Ввод  1 13 3 2 4" xfId="0"/>
    <cellStyle name="Ввод  1 13 3 3" xfId="0"/>
    <cellStyle name="Ввод  1 13 3 3 2" xfId="0"/>
    <cellStyle name="Ввод  1 13 3 3 3" xfId="0"/>
    <cellStyle name="Ввод  1 13 3 4" xfId="0"/>
    <cellStyle name="Ввод  1 13 3 5" xfId="0"/>
    <cellStyle name="Ввод  1 13 4" xfId="0"/>
    <cellStyle name="Ввод  1 13 4 2" xfId="0"/>
    <cellStyle name="Ввод  1 13 4 2 2" xfId="0"/>
    <cellStyle name="Ввод  1 13 4 2 2 2" xfId="0"/>
    <cellStyle name="Ввод  1 13 4 2 2 3" xfId="0"/>
    <cellStyle name="Ввод  1 13 4 2 3" xfId="0"/>
    <cellStyle name="Ввод  1 13 4 2 4" xfId="0"/>
    <cellStyle name="Ввод  1 13 4 3" xfId="0"/>
    <cellStyle name="Ввод  1 13 4 3 2" xfId="0"/>
    <cellStyle name="Ввод  1 13 4 3 3" xfId="0"/>
    <cellStyle name="Ввод  1 13 4 4" xfId="0"/>
    <cellStyle name="Ввод  1 13 4 5" xfId="0"/>
    <cellStyle name="Ввод  1 13 5" xfId="0"/>
    <cellStyle name="Ввод  1 13 5 2" xfId="0"/>
    <cellStyle name="Ввод  1 13 5 3" xfId="0"/>
    <cellStyle name="Ввод  1 13 6" xfId="0"/>
    <cellStyle name="Ввод  1 13 7" xfId="0"/>
    <cellStyle name="Ввод  1 14" xfId="0"/>
    <cellStyle name="Ввод  1 14 2" xfId="0"/>
    <cellStyle name="Ввод  1 14 2 2" xfId="0"/>
    <cellStyle name="Ввод  1 14 2 2 2" xfId="0"/>
    <cellStyle name="Ввод  1 14 2 2 2 2" xfId="0"/>
    <cellStyle name="Ввод  1 14 2 2 2 3" xfId="0"/>
    <cellStyle name="Ввод  1 14 2 2 3" xfId="0"/>
    <cellStyle name="Ввод  1 14 2 2 4" xfId="0"/>
    <cellStyle name="Ввод  1 14 2 3" xfId="0"/>
    <cellStyle name="Ввод  1 14 2 3 2" xfId="0"/>
    <cellStyle name="Ввод  1 14 2 3 2 2" xfId="0"/>
    <cellStyle name="Ввод  1 14 2 3 2 3" xfId="0"/>
    <cellStyle name="Ввод  1 14 2 3 3" xfId="0"/>
    <cellStyle name="Ввод  1 14 2 3 4" xfId="0"/>
    <cellStyle name="Ввод  1 14 2 4" xfId="0"/>
    <cellStyle name="Ввод  1 14 2 4 2" xfId="0"/>
    <cellStyle name="Ввод  1 14 2 4 3" xfId="0"/>
    <cellStyle name="Ввод  1 14 2 5" xfId="0"/>
    <cellStyle name="Ввод  1 14 2 6" xfId="0"/>
    <cellStyle name="Ввод  1 14 3" xfId="0"/>
    <cellStyle name="Ввод  1 14 3 2" xfId="0"/>
    <cellStyle name="Ввод  1 14 3 2 2" xfId="0"/>
    <cellStyle name="Ввод  1 14 3 2 2 2" xfId="0"/>
    <cellStyle name="Ввод  1 14 3 2 2 3" xfId="0"/>
    <cellStyle name="Ввод  1 14 3 2 3" xfId="0"/>
    <cellStyle name="Ввод  1 14 3 2 4" xfId="0"/>
    <cellStyle name="Ввод  1 14 3 3" xfId="0"/>
    <cellStyle name="Ввод  1 14 3 3 2" xfId="0"/>
    <cellStyle name="Ввод  1 14 3 3 3" xfId="0"/>
    <cellStyle name="Ввод  1 14 3 4" xfId="0"/>
    <cellStyle name="Ввод  1 14 3 5" xfId="0"/>
    <cellStyle name="Ввод  1 14 4" xfId="0"/>
    <cellStyle name="Ввод  1 14 4 2" xfId="0"/>
    <cellStyle name="Ввод  1 14 4 2 2" xfId="0"/>
    <cellStyle name="Ввод  1 14 4 2 2 2" xfId="0"/>
    <cellStyle name="Ввод  1 14 4 2 2 3" xfId="0"/>
    <cellStyle name="Ввод  1 14 4 2 3" xfId="0"/>
    <cellStyle name="Ввод  1 14 4 2 4" xfId="0"/>
    <cellStyle name="Ввод  1 14 4 3" xfId="0"/>
    <cellStyle name="Ввод  1 14 4 3 2" xfId="0"/>
    <cellStyle name="Ввод  1 14 4 3 3" xfId="0"/>
    <cellStyle name="Ввод  1 14 4 4" xfId="0"/>
    <cellStyle name="Ввод  1 14 4 5" xfId="0"/>
    <cellStyle name="Ввод  1 14 5" xfId="0"/>
    <cellStyle name="Ввод  1 14 5 2" xfId="0"/>
    <cellStyle name="Ввод  1 14 5 3" xfId="0"/>
    <cellStyle name="Ввод  1 14 6" xfId="0"/>
    <cellStyle name="Ввод  1 14 7" xfId="0"/>
    <cellStyle name="Ввод  1 15" xfId="0"/>
    <cellStyle name="Ввод  1 15 2" xfId="0"/>
    <cellStyle name="Ввод  1 15 2 2" xfId="0"/>
    <cellStyle name="Ввод  1 15 2 2 2" xfId="0"/>
    <cellStyle name="Ввод  1 15 2 2 2 2" xfId="0"/>
    <cellStyle name="Ввод  1 15 2 2 2 3" xfId="0"/>
    <cellStyle name="Ввод  1 15 2 2 3" xfId="0"/>
    <cellStyle name="Ввод  1 15 2 2 4" xfId="0"/>
    <cellStyle name="Ввод  1 15 2 3" xfId="0"/>
    <cellStyle name="Ввод  1 15 2 3 2" xfId="0"/>
    <cellStyle name="Ввод  1 15 2 3 2 2" xfId="0"/>
    <cellStyle name="Ввод  1 15 2 3 2 3" xfId="0"/>
    <cellStyle name="Ввод  1 15 2 3 3" xfId="0"/>
    <cellStyle name="Ввод  1 15 2 3 4" xfId="0"/>
    <cellStyle name="Ввод  1 15 2 4" xfId="0"/>
    <cellStyle name="Ввод  1 15 2 4 2" xfId="0"/>
    <cellStyle name="Ввод  1 15 2 4 3" xfId="0"/>
    <cellStyle name="Ввод  1 15 2 5" xfId="0"/>
    <cellStyle name="Ввод  1 15 2 6" xfId="0"/>
    <cellStyle name="Ввод  1 15 3" xfId="0"/>
    <cellStyle name="Ввод  1 15 3 2" xfId="0"/>
    <cellStyle name="Ввод  1 15 3 2 2" xfId="0"/>
    <cellStyle name="Ввод  1 15 3 2 2 2" xfId="0"/>
    <cellStyle name="Ввод  1 15 3 2 2 3" xfId="0"/>
    <cellStyle name="Ввод  1 15 3 2 3" xfId="0"/>
    <cellStyle name="Ввод  1 15 3 2 4" xfId="0"/>
    <cellStyle name="Ввод  1 15 3 3" xfId="0"/>
    <cellStyle name="Ввод  1 15 3 3 2" xfId="0"/>
    <cellStyle name="Ввод  1 15 3 3 3" xfId="0"/>
    <cellStyle name="Ввод  1 15 3 4" xfId="0"/>
    <cellStyle name="Ввод  1 15 3 5" xfId="0"/>
    <cellStyle name="Ввод  1 15 4" xfId="0"/>
    <cellStyle name="Ввод  1 15 4 2" xfId="0"/>
    <cellStyle name="Ввод  1 15 4 2 2" xfId="0"/>
    <cellStyle name="Ввод  1 15 4 2 2 2" xfId="0"/>
    <cellStyle name="Ввод  1 15 4 2 2 3" xfId="0"/>
    <cellStyle name="Ввод  1 15 4 2 3" xfId="0"/>
    <cellStyle name="Ввод  1 15 4 2 4" xfId="0"/>
    <cellStyle name="Ввод  1 15 4 3" xfId="0"/>
    <cellStyle name="Ввод  1 15 4 3 2" xfId="0"/>
    <cellStyle name="Ввод  1 15 4 3 3" xfId="0"/>
    <cellStyle name="Ввод  1 15 4 4" xfId="0"/>
    <cellStyle name="Ввод  1 15 4 5" xfId="0"/>
    <cellStyle name="Ввод  1 15 5" xfId="0"/>
    <cellStyle name="Ввод  1 15 5 2" xfId="0"/>
    <cellStyle name="Ввод  1 15 5 3" xfId="0"/>
    <cellStyle name="Ввод  1 15 6" xfId="0"/>
    <cellStyle name="Ввод  1 15 7" xfId="0"/>
    <cellStyle name="Ввод  1 16" xfId="0"/>
    <cellStyle name="Ввод  1 16 2" xfId="0"/>
    <cellStyle name="Ввод  1 16 2 2" xfId="0"/>
    <cellStyle name="Ввод  1 16 2 2 2" xfId="0"/>
    <cellStyle name="Ввод  1 16 2 2 2 2" xfId="0"/>
    <cellStyle name="Ввод  1 16 2 2 2 3" xfId="0"/>
    <cellStyle name="Ввод  1 16 2 2 3" xfId="0"/>
    <cellStyle name="Ввод  1 16 2 2 4" xfId="0"/>
    <cellStyle name="Ввод  1 16 2 3" xfId="0"/>
    <cellStyle name="Ввод  1 16 2 3 2" xfId="0"/>
    <cellStyle name="Ввод  1 16 2 3 2 2" xfId="0"/>
    <cellStyle name="Ввод  1 16 2 3 2 3" xfId="0"/>
    <cellStyle name="Ввод  1 16 2 3 3" xfId="0"/>
    <cellStyle name="Ввод  1 16 2 3 4" xfId="0"/>
    <cellStyle name="Ввод  1 16 2 4" xfId="0"/>
    <cellStyle name="Ввод  1 16 2 4 2" xfId="0"/>
    <cellStyle name="Ввод  1 16 2 4 3" xfId="0"/>
    <cellStyle name="Ввод  1 16 2 5" xfId="0"/>
    <cellStyle name="Ввод  1 16 2 6" xfId="0"/>
    <cellStyle name="Ввод  1 16 3" xfId="0"/>
    <cellStyle name="Ввод  1 16 3 2" xfId="0"/>
    <cellStyle name="Ввод  1 16 3 2 2" xfId="0"/>
    <cellStyle name="Ввод  1 16 3 2 2 2" xfId="0"/>
    <cellStyle name="Ввод  1 16 3 2 2 3" xfId="0"/>
    <cellStyle name="Ввод  1 16 3 2 3" xfId="0"/>
    <cellStyle name="Ввод  1 16 3 2 4" xfId="0"/>
    <cellStyle name="Ввод  1 16 3 3" xfId="0"/>
    <cellStyle name="Ввод  1 16 3 3 2" xfId="0"/>
    <cellStyle name="Ввод  1 16 3 3 3" xfId="0"/>
    <cellStyle name="Ввод  1 16 3 4" xfId="0"/>
    <cellStyle name="Ввод  1 16 3 5" xfId="0"/>
    <cellStyle name="Ввод  1 16 4" xfId="0"/>
    <cellStyle name="Ввод  1 16 4 2" xfId="0"/>
    <cellStyle name="Ввод  1 16 4 2 2" xfId="0"/>
    <cellStyle name="Ввод  1 16 4 2 2 2" xfId="0"/>
    <cellStyle name="Ввод  1 16 4 2 2 3" xfId="0"/>
    <cellStyle name="Ввод  1 16 4 2 3" xfId="0"/>
    <cellStyle name="Ввод  1 16 4 2 4" xfId="0"/>
    <cellStyle name="Ввод  1 16 4 3" xfId="0"/>
    <cellStyle name="Ввод  1 16 4 3 2" xfId="0"/>
    <cellStyle name="Ввод  1 16 4 3 3" xfId="0"/>
    <cellStyle name="Ввод  1 16 4 4" xfId="0"/>
    <cellStyle name="Ввод  1 16 4 5" xfId="0"/>
    <cellStyle name="Ввод  1 16 5" xfId="0"/>
    <cellStyle name="Ввод  1 16 5 2" xfId="0"/>
    <cellStyle name="Ввод  1 16 5 3" xfId="0"/>
    <cellStyle name="Ввод  1 16 6" xfId="0"/>
    <cellStyle name="Ввод  1 16 7" xfId="0"/>
    <cellStyle name="Ввод  1 17" xfId="0"/>
    <cellStyle name="Ввод  1 17 2" xfId="0"/>
    <cellStyle name="Ввод  1 17 2 2" xfId="0"/>
    <cellStyle name="Ввод  1 17 2 2 2" xfId="0"/>
    <cellStyle name="Ввод  1 17 2 2 2 2" xfId="0"/>
    <cellStyle name="Ввод  1 17 2 2 2 3" xfId="0"/>
    <cellStyle name="Ввод  1 17 2 2 3" xfId="0"/>
    <cellStyle name="Ввод  1 17 2 2 4" xfId="0"/>
    <cellStyle name="Ввод  1 17 2 3" xfId="0"/>
    <cellStyle name="Ввод  1 17 2 3 2" xfId="0"/>
    <cellStyle name="Ввод  1 17 2 3 2 2" xfId="0"/>
    <cellStyle name="Ввод  1 17 2 3 2 3" xfId="0"/>
    <cellStyle name="Ввод  1 17 2 3 3" xfId="0"/>
    <cellStyle name="Ввод  1 17 2 3 4" xfId="0"/>
    <cellStyle name="Ввод  1 17 2 4" xfId="0"/>
    <cellStyle name="Ввод  1 17 2 4 2" xfId="0"/>
    <cellStyle name="Ввод  1 17 2 4 3" xfId="0"/>
    <cellStyle name="Ввод  1 17 2 5" xfId="0"/>
    <cellStyle name="Ввод  1 17 2 6" xfId="0"/>
    <cellStyle name="Ввод  1 17 3" xfId="0"/>
    <cellStyle name="Ввод  1 17 3 2" xfId="0"/>
    <cellStyle name="Ввод  1 17 3 2 2" xfId="0"/>
    <cellStyle name="Ввод  1 17 3 2 2 2" xfId="0"/>
    <cellStyle name="Ввод  1 17 3 2 2 3" xfId="0"/>
    <cellStyle name="Ввод  1 17 3 2 3" xfId="0"/>
    <cellStyle name="Ввод  1 17 3 2 4" xfId="0"/>
    <cellStyle name="Ввод  1 17 3 3" xfId="0"/>
    <cellStyle name="Ввод  1 17 3 3 2" xfId="0"/>
    <cellStyle name="Ввод  1 17 3 3 3" xfId="0"/>
    <cellStyle name="Ввод  1 17 3 4" xfId="0"/>
    <cellStyle name="Ввод  1 17 3 5" xfId="0"/>
    <cellStyle name="Ввод  1 17 4" xfId="0"/>
    <cellStyle name="Ввод  1 17 4 2" xfId="0"/>
    <cellStyle name="Ввод  1 17 4 2 2" xfId="0"/>
    <cellStyle name="Ввод  1 17 4 2 2 2" xfId="0"/>
    <cellStyle name="Ввод  1 17 4 2 2 3" xfId="0"/>
    <cellStyle name="Ввод  1 17 4 2 3" xfId="0"/>
    <cellStyle name="Ввод  1 17 4 2 4" xfId="0"/>
    <cellStyle name="Ввод  1 17 4 3" xfId="0"/>
    <cellStyle name="Ввод  1 17 4 3 2" xfId="0"/>
    <cellStyle name="Ввод  1 17 4 3 3" xfId="0"/>
    <cellStyle name="Ввод  1 17 4 4" xfId="0"/>
    <cellStyle name="Ввод  1 17 4 5" xfId="0"/>
    <cellStyle name="Ввод  1 17 5" xfId="0"/>
    <cellStyle name="Ввод  1 17 5 2" xfId="0"/>
    <cellStyle name="Ввод  1 17 5 3" xfId="0"/>
    <cellStyle name="Ввод  1 17 6" xfId="0"/>
    <cellStyle name="Ввод  1 17 7" xfId="0"/>
    <cellStyle name="Ввод  1 18" xfId="0"/>
    <cellStyle name="Ввод  1 18 2" xfId="0"/>
    <cellStyle name="Ввод  1 18 2 2" xfId="0"/>
    <cellStyle name="Ввод  1 18 2 2 2" xfId="0"/>
    <cellStyle name="Ввод  1 18 2 2 2 2" xfId="0"/>
    <cellStyle name="Ввод  1 18 2 2 2 3" xfId="0"/>
    <cellStyle name="Ввод  1 18 2 2 3" xfId="0"/>
    <cellStyle name="Ввод  1 18 2 2 4" xfId="0"/>
    <cellStyle name="Ввод  1 18 2 3" xfId="0"/>
    <cellStyle name="Ввод  1 18 2 3 2" xfId="0"/>
    <cellStyle name="Ввод  1 18 2 3 2 2" xfId="0"/>
    <cellStyle name="Ввод  1 18 2 3 2 3" xfId="0"/>
    <cellStyle name="Ввод  1 18 2 3 3" xfId="0"/>
    <cellStyle name="Ввод  1 18 2 3 4" xfId="0"/>
    <cellStyle name="Ввод  1 18 2 4" xfId="0"/>
    <cellStyle name="Ввод  1 18 2 4 2" xfId="0"/>
    <cellStyle name="Ввод  1 18 2 4 3" xfId="0"/>
    <cellStyle name="Ввод  1 18 2 5" xfId="0"/>
    <cellStyle name="Ввод  1 18 2 6" xfId="0"/>
    <cellStyle name="Ввод  1 18 3" xfId="0"/>
    <cellStyle name="Ввод  1 18 3 2" xfId="0"/>
    <cellStyle name="Ввод  1 18 3 2 2" xfId="0"/>
    <cellStyle name="Ввод  1 18 3 2 2 2" xfId="0"/>
    <cellStyle name="Ввод  1 18 3 2 2 3" xfId="0"/>
    <cellStyle name="Ввод  1 18 3 2 3" xfId="0"/>
    <cellStyle name="Ввод  1 18 3 2 4" xfId="0"/>
    <cellStyle name="Ввод  1 18 3 3" xfId="0"/>
    <cellStyle name="Ввод  1 18 3 3 2" xfId="0"/>
    <cellStyle name="Ввод  1 18 3 3 3" xfId="0"/>
    <cellStyle name="Ввод  1 18 3 4" xfId="0"/>
    <cellStyle name="Ввод  1 18 3 5" xfId="0"/>
    <cellStyle name="Ввод  1 18 4" xfId="0"/>
    <cellStyle name="Ввод  1 18 4 2" xfId="0"/>
    <cellStyle name="Ввод  1 18 4 2 2" xfId="0"/>
    <cellStyle name="Ввод  1 18 4 2 2 2" xfId="0"/>
    <cellStyle name="Ввод  1 18 4 2 2 3" xfId="0"/>
    <cellStyle name="Ввод  1 18 4 2 3" xfId="0"/>
    <cellStyle name="Ввод  1 18 4 2 4" xfId="0"/>
    <cellStyle name="Ввод  1 18 4 3" xfId="0"/>
    <cellStyle name="Ввод  1 18 4 3 2" xfId="0"/>
    <cellStyle name="Ввод  1 18 4 3 3" xfId="0"/>
    <cellStyle name="Ввод  1 18 4 4" xfId="0"/>
    <cellStyle name="Ввод  1 18 4 5" xfId="0"/>
    <cellStyle name="Ввод  1 18 5" xfId="0"/>
    <cellStyle name="Ввод  1 18 5 2" xfId="0"/>
    <cellStyle name="Ввод  1 18 5 3" xfId="0"/>
    <cellStyle name="Ввод  1 18 6" xfId="0"/>
    <cellStyle name="Ввод  1 18 7" xfId="0"/>
    <cellStyle name="Ввод  1 19" xfId="0"/>
    <cellStyle name="Ввод  1 19 2" xfId="0"/>
    <cellStyle name="Ввод  1 19 2 2" xfId="0"/>
    <cellStyle name="Ввод  1 19 2 2 2" xfId="0"/>
    <cellStyle name="Ввод  1 19 2 2 2 2" xfId="0"/>
    <cellStyle name="Ввод  1 19 2 2 2 3" xfId="0"/>
    <cellStyle name="Ввод  1 19 2 2 3" xfId="0"/>
    <cellStyle name="Ввод  1 19 2 2 4" xfId="0"/>
    <cellStyle name="Ввод  1 19 2 3" xfId="0"/>
    <cellStyle name="Ввод  1 19 2 3 2" xfId="0"/>
    <cellStyle name="Ввод  1 19 2 3 2 2" xfId="0"/>
    <cellStyle name="Ввод  1 19 2 3 2 3" xfId="0"/>
    <cellStyle name="Ввод  1 19 2 3 3" xfId="0"/>
    <cellStyle name="Ввод  1 19 2 3 4" xfId="0"/>
    <cellStyle name="Ввод  1 19 2 4" xfId="0"/>
    <cellStyle name="Ввод  1 19 2 4 2" xfId="0"/>
    <cellStyle name="Ввод  1 19 2 4 3" xfId="0"/>
    <cellStyle name="Ввод  1 19 2 5" xfId="0"/>
    <cellStyle name="Ввод  1 19 2 6" xfId="0"/>
    <cellStyle name="Ввод  1 19 3" xfId="0"/>
    <cellStyle name="Ввод  1 19 3 2" xfId="0"/>
    <cellStyle name="Ввод  1 19 3 2 2" xfId="0"/>
    <cellStyle name="Ввод  1 19 3 2 2 2" xfId="0"/>
    <cellStyle name="Ввод  1 19 3 2 2 3" xfId="0"/>
    <cellStyle name="Ввод  1 19 3 2 3" xfId="0"/>
    <cellStyle name="Ввод  1 19 3 2 4" xfId="0"/>
    <cellStyle name="Ввод  1 19 3 3" xfId="0"/>
    <cellStyle name="Ввод  1 19 3 3 2" xfId="0"/>
    <cellStyle name="Ввод  1 19 3 3 3" xfId="0"/>
    <cellStyle name="Ввод  1 19 3 4" xfId="0"/>
    <cellStyle name="Ввод  1 19 3 5" xfId="0"/>
    <cellStyle name="Ввод  1 19 4" xfId="0"/>
    <cellStyle name="Ввод  1 19 4 2" xfId="0"/>
    <cellStyle name="Ввод  1 19 4 2 2" xfId="0"/>
    <cellStyle name="Ввод  1 19 4 2 2 2" xfId="0"/>
    <cellStyle name="Ввод  1 19 4 2 2 3" xfId="0"/>
    <cellStyle name="Ввод  1 19 4 2 3" xfId="0"/>
    <cellStyle name="Ввод  1 19 4 2 4" xfId="0"/>
    <cellStyle name="Ввод  1 19 4 3" xfId="0"/>
    <cellStyle name="Ввод  1 19 4 3 2" xfId="0"/>
    <cellStyle name="Ввод  1 19 4 3 3" xfId="0"/>
    <cellStyle name="Ввод  1 19 4 4" xfId="0"/>
    <cellStyle name="Ввод  1 19 4 5" xfId="0"/>
    <cellStyle name="Ввод  1 19 5" xfId="0"/>
    <cellStyle name="Ввод  1 19 5 2" xfId="0"/>
    <cellStyle name="Ввод  1 19 5 3" xfId="0"/>
    <cellStyle name="Ввод  1 19 6" xfId="0"/>
    <cellStyle name="Ввод  1 19 7" xfId="0"/>
    <cellStyle name="Ввод  1 2" xfId="0"/>
    <cellStyle name="Ввод  1 2 10" xfId="0"/>
    <cellStyle name="Ввод  1 2 11" xfId="0"/>
    <cellStyle name="Ввод  1 2 2" xfId="0"/>
    <cellStyle name="Ввод  1 2 2 2" xfId="0"/>
    <cellStyle name="Ввод  1 2 2 2 2" xfId="0"/>
    <cellStyle name="Ввод  1 2 2 2 2 2" xfId="0"/>
    <cellStyle name="Ввод  1 2 2 2 2 2 2" xfId="0"/>
    <cellStyle name="Ввод  1 2 2 2 2 2 3" xfId="0"/>
    <cellStyle name="Ввод  1 2 2 2 2 3" xfId="0"/>
    <cellStyle name="Ввод  1 2 2 2 2 4" xfId="0"/>
    <cellStyle name="Ввод  1 2 2 2 3" xfId="0"/>
    <cellStyle name="Ввод  1 2 2 2 3 2" xfId="0"/>
    <cellStyle name="Ввод  1 2 2 2 3 3" xfId="0"/>
    <cellStyle name="Ввод  1 2 2 2 4" xfId="0"/>
    <cellStyle name="Ввод  1 2 2 2 5" xfId="0"/>
    <cellStyle name="Ввод  1 2 2 3" xfId="0"/>
    <cellStyle name="Ввод  1 2 2 3 2" xfId="0"/>
    <cellStyle name="Ввод  1 2 2 3 2 2" xfId="0"/>
    <cellStyle name="Ввод  1 2 2 3 2 3" xfId="0"/>
    <cellStyle name="Ввод  1 2 2 3 3" xfId="0"/>
    <cellStyle name="Ввод  1 2 2 3 4" xfId="0"/>
    <cellStyle name="Ввод  1 2 2 4" xfId="0"/>
    <cellStyle name="Ввод  1 2 2 4 2" xfId="0"/>
    <cellStyle name="Ввод  1 2 2 4 3" xfId="0"/>
    <cellStyle name="Ввод  1 2 2 5" xfId="0"/>
    <cellStyle name="Ввод  1 2 2 6" xfId="0"/>
    <cellStyle name="Ввод  1 2 3" xfId="0"/>
    <cellStyle name="Ввод  1 2 3 2" xfId="0"/>
    <cellStyle name="Ввод  1 2 3 2 2" xfId="0"/>
    <cellStyle name="Ввод  1 2 3 2 2 2" xfId="0"/>
    <cellStyle name="Ввод  1 2 3 2 2 2 2" xfId="0"/>
    <cellStyle name="Ввод  1 2 3 2 2 2 3" xfId="0"/>
    <cellStyle name="Ввод  1 2 3 2 2 3" xfId="0"/>
    <cellStyle name="Ввод  1 2 3 2 2 4" xfId="0"/>
    <cellStyle name="Ввод  1 2 3 2 3" xfId="0"/>
    <cellStyle name="Ввод  1 2 3 2 3 2" xfId="0"/>
    <cellStyle name="Ввод  1 2 3 2 3 3" xfId="0"/>
    <cellStyle name="Ввод  1 2 3 2 4" xfId="0"/>
    <cellStyle name="Ввод  1 2 3 2 5" xfId="0"/>
    <cellStyle name="Ввод  1 2 3 3" xfId="0"/>
    <cellStyle name="Ввод  1 2 3 3 2" xfId="0"/>
    <cellStyle name="Ввод  1 2 3 3 2 2" xfId="0"/>
    <cellStyle name="Ввод  1 2 3 3 2 3" xfId="0"/>
    <cellStyle name="Ввод  1 2 3 3 3" xfId="0"/>
    <cellStyle name="Ввод  1 2 3 3 4" xfId="0"/>
    <cellStyle name="Ввод  1 2 3 4" xfId="0"/>
    <cellStyle name="Ввод  1 2 3 4 2" xfId="0"/>
    <cellStyle name="Ввод  1 2 3 4 3" xfId="0"/>
    <cellStyle name="Ввод  1 2 3 5" xfId="0"/>
    <cellStyle name="Ввод  1 2 3 6" xfId="0"/>
    <cellStyle name="Ввод  1 2 4" xfId="0"/>
    <cellStyle name="Ввод  1 2 4 2" xfId="0"/>
    <cellStyle name="Ввод  1 2 4 2 2" xfId="0"/>
    <cellStyle name="Ввод  1 2 4 2 2 2" xfId="0"/>
    <cellStyle name="Ввод  1 2 4 2 2 2 2" xfId="0"/>
    <cellStyle name="Ввод  1 2 4 2 2 2 3" xfId="0"/>
    <cellStyle name="Ввод  1 2 4 2 2 3" xfId="0"/>
    <cellStyle name="Ввод  1 2 4 2 2 4" xfId="0"/>
    <cellStyle name="Ввод  1 2 4 2 3" xfId="0"/>
    <cellStyle name="Ввод  1 2 4 2 3 2" xfId="0"/>
    <cellStyle name="Ввод  1 2 4 2 3 3" xfId="0"/>
    <cellStyle name="Ввод  1 2 4 2 4" xfId="0"/>
    <cellStyle name="Ввод  1 2 4 2 5" xfId="0"/>
    <cellStyle name="Ввод  1 2 4 3" xfId="0"/>
    <cellStyle name="Ввод  1 2 4 3 2" xfId="0"/>
    <cellStyle name="Ввод  1 2 4 3 2 2" xfId="0"/>
    <cellStyle name="Ввод  1 2 4 3 2 3" xfId="0"/>
    <cellStyle name="Ввод  1 2 4 3 3" xfId="0"/>
    <cellStyle name="Ввод  1 2 4 3 4" xfId="0"/>
    <cellStyle name="Ввод  1 2 4 4" xfId="0"/>
    <cellStyle name="Ввод  1 2 4 4 2" xfId="0"/>
    <cellStyle name="Ввод  1 2 4 4 3" xfId="0"/>
    <cellStyle name="Ввод  1 2 4 5" xfId="0"/>
    <cellStyle name="Ввод  1 2 4 6" xfId="0"/>
    <cellStyle name="Ввод  1 2 5" xfId="0"/>
    <cellStyle name="Ввод  1 2 5 2" xfId="0"/>
    <cellStyle name="Ввод  1 2 5 2 2" xfId="0"/>
    <cellStyle name="Ввод  1 2 5 2 2 2" xfId="0"/>
    <cellStyle name="Ввод  1 2 5 2 2 2 2" xfId="0"/>
    <cellStyle name="Ввод  1 2 5 2 2 2 3" xfId="0"/>
    <cellStyle name="Ввод  1 2 5 2 2 3" xfId="0"/>
    <cellStyle name="Ввод  1 2 5 2 2 4" xfId="0"/>
    <cellStyle name="Ввод  1 2 5 2 3" xfId="0"/>
    <cellStyle name="Ввод  1 2 5 2 3 2" xfId="0"/>
    <cellStyle name="Ввод  1 2 5 2 3 3" xfId="0"/>
    <cellStyle name="Ввод  1 2 5 2 4" xfId="0"/>
    <cellStyle name="Ввод  1 2 5 2 5" xfId="0"/>
    <cellStyle name="Ввод  1 2 5 3" xfId="0"/>
    <cellStyle name="Ввод  1 2 5 3 2" xfId="0"/>
    <cellStyle name="Ввод  1 2 5 3 2 2" xfId="0"/>
    <cellStyle name="Ввод  1 2 5 3 2 3" xfId="0"/>
    <cellStyle name="Ввод  1 2 5 3 3" xfId="0"/>
    <cellStyle name="Ввод  1 2 5 3 4" xfId="0"/>
    <cellStyle name="Ввод  1 2 5 4" xfId="0"/>
    <cellStyle name="Ввод  1 2 5 4 2" xfId="0"/>
    <cellStyle name="Ввод  1 2 5 4 3" xfId="0"/>
    <cellStyle name="Ввод  1 2 5 5" xfId="0"/>
    <cellStyle name="Ввод  1 2 5 6" xfId="0"/>
    <cellStyle name="Ввод  1 2 6" xfId="0"/>
    <cellStyle name="Ввод  1 2 6 2" xfId="0"/>
    <cellStyle name="Ввод  1 2 6 2 2" xfId="0"/>
    <cellStyle name="Ввод  1 2 6 2 2 2" xfId="0"/>
    <cellStyle name="Ввод  1 2 6 2 2 3" xfId="0"/>
    <cellStyle name="Ввод  1 2 6 2 3" xfId="0"/>
    <cellStyle name="Ввод  1 2 6 2 4" xfId="0"/>
    <cellStyle name="Ввод  1 2 6 3" xfId="0"/>
    <cellStyle name="Ввод  1 2 6 3 2" xfId="0"/>
    <cellStyle name="Ввод  1 2 6 3 3" xfId="0"/>
    <cellStyle name="Ввод  1 2 6 4" xfId="0"/>
    <cellStyle name="Ввод  1 2 6 5" xfId="0"/>
    <cellStyle name="Ввод  1 2 7" xfId="0"/>
    <cellStyle name="Ввод  1 2 7 2" xfId="0"/>
    <cellStyle name="Ввод  1 2 7 2 2" xfId="0"/>
    <cellStyle name="Ввод  1 2 7 2 2 2" xfId="0"/>
    <cellStyle name="Ввод  1 2 7 2 2 3" xfId="0"/>
    <cellStyle name="Ввод  1 2 7 2 3" xfId="0"/>
    <cellStyle name="Ввод  1 2 7 2 4" xfId="0"/>
    <cellStyle name="Ввод  1 2 7 3" xfId="0"/>
    <cellStyle name="Ввод  1 2 7 3 2" xfId="0"/>
    <cellStyle name="Ввод  1 2 7 3 3" xfId="0"/>
    <cellStyle name="Ввод  1 2 7 4" xfId="0"/>
    <cellStyle name="Ввод  1 2 7 5" xfId="0"/>
    <cellStyle name="Ввод  1 2 8" xfId="0"/>
    <cellStyle name="Ввод  1 2 8 2" xfId="0"/>
    <cellStyle name="Ввод  1 2 8 3" xfId="0"/>
    <cellStyle name="Ввод  1 2 9" xfId="0"/>
    <cellStyle name="Ввод  1 2 9 2" xfId="0"/>
    <cellStyle name="Ввод  1 2 9 3" xfId="0"/>
    <cellStyle name="Ввод  1 20" xfId="0"/>
    <cellStyle name="Ввод  1 20 2" xfId="0"/>
    <cellStyle name="Ввод  1 20 2 2" xfId="0"/>
    <cellStyle name="Ввод  1 20 2 2 2" xfId="0"/>
    <cellStyle name="Ввод  1 20 2 2 2 2" xfId="0"/>
    <cellStyle name="Ввод  1 20 2 2 2 3" xfId="0"/>
    <cellStyle name="Ввод  1 20 2 2 3" xfId="0"/>
    <cellStyle name="Ввод  1 20 2 2 4" xfId="0"/>
    <cellStyle name="Ввод  1 20 2 3" xfId="0"/>
    <cellStyle name="Ввод  1 20 2 3 2" xfId="0"/>
    <cellStyle name="Ввод  1 20 2 3 3" xfId="0"/>
    <cellStyle name="Ввод  1 20 2 4" xfId="0"/>
    <cellStyle name="Ввод  1 20 2 5" xfId="0"/>
    <cellStyle name="Ввод  1 20 3" xfId="0"/>
    <cellStyle name="Ввод  1 20 3 2" xfId="0"/>
    <cellStyle name="Ввод  1 20 3 2 2" xfId="0"/>
    <cellStyle name="Ввод  1 20 3 2 3" xfId="0"/>
    <cellStyle name="Ввод  1 20 3 3" xfId="0"/>
    <cellStyle name="Ввод  1 20 3 4" xfId="0"/>
    <cellStyle name="Ввод  1 20 4" xfId="0"/>
    <cellStyle name="Ввод  1 20 4 2" xfId="0"/>
    <cellStyle name="Ввод  1 20 4 3" xfId="0"/>
    <cellStyle name="Ввод  1 20 5" xfId="0"/>
    <cellStyle name="Ввод  1 20 6" xfId="0"/>
    <cellStyle name="Ввод  1 21" xfId="0"/>
    <cellStyle name="Ввод  1 21 2" xfId="0"/>
    <cellStyle name="Ввод  1 21 2 2" xfId="0"/>
    <cellStyle name="Ввод  1 21 2 2 2" xfId="0"/>
    <cellStyle name="Ввод  1 21 2 2 3" xfId="0"/>
    <cellStyle name="Ввод  1 21 2 3" xfId="0"/>
    <cellStyle name="Ввод  1 21 2 4" xfId="0"/>
    <cellStyle name="Ввод  1 21 3" xfId="0"/>
    <cellStyle name="Ввод  1 21 3 2" xfId="0"/>
    <cellStyle name="Ввод  1 21 3 2 2" xfId="0"/>
    <cellStyle name="Ввод  1 21 3 2 3" xfId="0"/>
    <cellStyle name="Ввод  1 21 3 3" xfId="0"/>
    <cellStyle name="Ввод  1 21 3 4" xfId="0"/>
    <cellStyle name="Ввод  1 21 4" xfId="0"/>
    <cellStyle name="Ввод  1 21 4 2" xfId="0"/>
    <cellStyle name="Ввод  1 21 4 3" xfId="0"/>
    <cellStyle name="Ввод  1 21 5" xfId="0"/>
    <cellStyle name="Ввод  1 21 6" xfId="0"/>
    <cellStyle name="Ввод  1 22" xfId="0"/>
    <cellStyle name="Ввод  1 22 2" xfId="0"/>
    <cellStyle name="Ввод  1 22 2 2" xfId="0"/>
    <cellStyle name="Ввод  1 22 2 2 2" xfId="0"/>
    <cellStyle name="Ввод  1 22 2 2 3" xfId="0"/>
    <cellStyle name="Ввод  1 22 2 3" xfId="0"/>
    <cellStyle name="Ввод  1 22 2 4" xfId="0"/>
    <cellStyle name="Ввод  1 22 3" xfId="0"/>
    <cellStyle name="Ввод  1 22 3 2" xfId="0"/>
    <cellStyle name="Ввод  1 22 3 2 2" xfId="0"/>
    <cellStyle name="Ввод  1 22 3 2 3" xfId="0"/>
    <cellStyle name="Ввод  1 22 3 3" xfId="0"/>
    <cellStyle name="Ввод  1 22 3 4" xfId="0"/>
    <cellStyle name="Ввод  1 22 4" xfId="0"/>
    <cellStyle name="Ввод  1 22 4 2" xfId="0"/>
    <cellStyle name="Ввод  1 22 4 3" xfId="0"/>
    <cellStyle name="Ввод  1 22 5" xfId="0"/>
    <cellStyle name="Ввод  1 22 6" xfId="0"/>
    <cellStyle name="Ввод  1 23" xfId="0"/>
    <cellStyle name="Ввод  1 23 2" xfId="0"/>
    <cellStyle name="Ввод  1 23 2 2" xfId="0"/>
    <cellStyle name="Ввод  1 23 2 2 2" xfId="0"/>
    <cellStyle name="Ввод  1 23 2 2 3" xfId="0"/>
    <cellStyle name="Ввод  1 23 2 3" xfId="0"/>
    <cellStyle name="Ввод  1 23 2 4" xfId="0"/>
    <cellStyle name="Ввод  1 23 3" xfId="0"/>
    <cellStyle name="Ввод  1 23 3 2" xfId="0"/>
    <cellStyle name="Ввод  1 23 3 2 2" xfId="0"/>
    <cellStyle name="Ввод  1 23 3 2 3" xfId="0"/>
    <cellStyle name="Ввод  1 23 3 3" xfId="0"/>
    <cellStyle name="Ввод  1 23 3 4" xfId="0"/>
    <cellStyle name="Ввод  1 23 4" xfId="0"/>
    <cellStyle name="Ввод  1 23 4 2" xfId="0"/>
    <cellStyle name="Ввод  1 23 4 3" xfId="0"/>
    <cellStyle name="Ввод  1 23 5" xfId="0"/>
    <cellStyle name="Ввод  1 23 6" xfId="0"/>
    <cellStyle name="Ввод  1 24" xfId="0"/>
    <cellStyle name="Ввод  1 24 2" xfId="0"/>
    <cellStyle name="Ввод  1 24 2 2" xfId="0"/>
    <cellStyle name="Ввод  1 24 2 2 2" xfId="0"/>
    <cellStyle name="Ввод  1 24 2 2 3" xfId="0"/>
    <cellStyle name="Ввод  1 24 2 3" xfId="0"/>
    <cellStyle name="Ввод  1 24 2 4" xfId="0"/>
    <cellStyle name="Ввод  1 24 3" xfId="0"/>
    <cellStyle name="Ввод  1 24 3 2" xfId="0"/>
    <cellStyle name="Ввод  1 24 3 2 2" xfId="0"/>
    <cellStyle name="Ввод  1 24 3 2 3" xfId="0"/>
    <cellStyle name="Ввод  1 24 3 3" xfId="0"/>
    <cellStyle name="Ввод  1 24 3 4" xfId="0"/>
    <cellStyle name="Ввод  1 24 4" xfId="0"/>
    <cellStyle name="Ввод  1 24 4 2" xfId="0"/>
    <cellStyle name="Ввод  1 24 4 3" xfId="0"/>
    <cellStyle name="Ввод  1 24 5" xfId="0"/>
    <cellStyle name="Ввод  1 24 6" xfId="0"/>
    <cellStyle name="Ввод  1 25" xfId="0"/>
    <cellStyle name="Ввод  1 25 2" xfId="0"/>
    <cellStyle name="Ввод  1 25 2 2" xfId="0"/>
    <cellStyle name="Ввод  1 25 2 2 2" xfId="0"/>
    <cellStyle name="Ввод  1 25 2 2 3" xfId="0"/>
    <cellStyle name="Ввод  1 25 2 3" xfId="0"/>
    <cellStyle name="Ввод  1 25 2 4" xfId="0"/>
    <cellStyle name="Ввод  1 25 3" xfId="0"/>
    <cellStyle name="Ввод  1 25 3 2" xfId="0"/>
    <cellStyle name="Ввод  1 25 3 3" xfId="0"/>
    <cellStyle name="Ввод  1 25 4" xfId="0"/>
    <cellStyle name="Ввод  1 25 5" xfId="0"/>
    <cellStyle name="Ввод  1 26" xfId="0"/>
    <cellStyle name="Ввод  1 26 2" xfId="0"/>
    <cellStyle name="Ввод  1 26 2 2" xfId="0"/>
    <cellStyle name="Ввод  1 26 2 2 2" xfId="0"/>
    <cellStyle name="Ввод  1 26 2 2 3" xfId="0"/>
    <cellStyle name="Ввод  1 26 2 3" xfId="0"/>
    <cellStyle name="Ввод  1 26 2 4" xfId="0"/>
    <cellStyle name="Ввод  1 26 3" xfId="0"/>
    <cellStyle name="Ввод  1 26 3 2" xfId="0"/>
    <cellStyle name="Ввод  1 26 3 3" xfId="0"/>
    <cellStyle name="Ввод  1 26 4" xfId="0"/>
    <cellStyle name="Ввод  1 26 5" xfId="0"/>
    <cellStyle name="Ввод  1 27" xfId="0"/>
    <cellStyle name="Ввод  1 27 2" xfId="0"/>
    <cellStyle name="Ввод  1 27 2 2" xfId="0"/>
    <cellStyle name="Ввод  1 27 2 3" xfId="0"/>
    <cellStyle name="Ввод  1 27 3" xfId="0"/>
    <cellStyle name="Ввод  1 27 4" xfId="0"/>
    <cellStyle name="Ввод  1 28" xfId="0"/>
    <cellStyle name="Ввод  1 28 2" xfId="0"/>
    <cellStyle name="Ввод  1 28 3" xfId="0"/>
    <cellStyle name="Ввод  1 29" xfId="0"/>
    <cellStyle name="Ввод  1 29 2" xfId="0"/>
    <cellStyle name="Ввод  1 29 3" xfId="0"/>
    <cellStyle name="Ввод  1 3" xfId="0"/>
    <cellStyle name="Ввод  1 3 10" xfId="0"/>
    <cellStyle name="Ввод  1 3 2" xfId="0"/>
    <cellStyle name="Ввод  1 3 2 2" xfId="0"/>
    <cellStyle name="Ввод  1 3 2 2 2" xfId="0"/>
    <cellStyle name="Ввод  1 3 2 2 2 2" xfId="0"/>
    <cellStyle name="Ввод  1 3 2 2 2 3" xfId="0"/>
    <cellStyle name="Ввод  1 3 2 2 3" xfId="0"/>
    <cellStyle name="Ввод  1 3 2 2 4" xfId="0"/>
    <cellStyle name="Ввод  1 3 2 3" xfId="0"/>
    <cellStyle name="Ввод  1 3 2 3 2" xfId="0"/>
    <cellStyle name="Ввод  1 3 2 3 2 2" xfId="0"/>
    <cellStyle name="Ввод  1 3 2 3 2 3" xfId="0"/>
    <cellStyle name="Ввод  1 3 2 3 3" xfId="0"/>
    <cellStyle name="Ввод  1 3 2 3 4" xfId="0"/>
    <cellStyle name="Ввод  1 3 2 4" xfId="0"/>
    <cellStyle name="Ввод  1 3 2 4 2" xfId="0"/>
    <cellStyle name="Ввод  1 3 2 4 3" xfId="0"/>
    <cellStyle name="Ввод  1 3 2 5" xfId="0"/>
    <cellStyle name="Ввод  1 3 2 6" xfId="0"/>
    <cellStyle name="Ввод  1 3 3" xfId="0"/>
    <cellStyle name="Ввод  1 3 3 2" xfId="0"/>
    <cellStyle name="Ввод  1 3 3 2 2" xfId="0"/>
    <cellStyle name="Ввод  1 3 3 2 2 2" xfId="0"/>
    <cellStyle name="Ввод  1 3 3 2 2 3" xfId="0"/>
    <cellStyle name="Ввод  1 3 3 2 3" xfId="0"/>
    <cellStyle name="Ввод  1 3 3 2 4" xfId="0"/>
    <cellStyle name="Ввод  1 3 3 3" xfId="0"/>
    <cellStyle name="Ввод  1 3 3 3 2" xfId="0"/>
    <cellStyle name="Ввод  1 3 3 3 2 2" xfId="0"/>
    <cellStyle name="Ввод  1 3 3 3 2 3" xfId="0"/>
    <cellStyle name="Ввод  1 3 3 3 3" xfId="0"/>
    <cellStyle name="Ввод  1 3 3 3 4" xfId="0"/>
    <cellStyle name="Ввод  1 3 3 4" xfId="0"/>
    <cellStyle name="Ввод  1 3 3 4 2" xfId="0"/>
    <cellStyle name="Ввод  1 3 3 4 3" xfId="0"/>
    <cellStyle name="Ввод  1 3 3 5" xfId="0"/>
    <cellStyle name="Ввод  1 3 3 6" xfId="0"/>
    <cellStyle name="Ввод  1 3 4" xfId="0"/>
    <cellStyle name="Ввод  1 3 4 2" xfId="0"/>
    <cellStyle name="Ввод  1 3 4 2 2" xfId="0"/>
    <cellStyle name="Ввод  1 3 4 2 2 2" xfId="0"/>
    <cellStyle name="Ввод  1 3 4 2 2 3" xfId="0"/>
    <cellStyle name="Ввод  1 3 4 2 3" xfId="0"/>
    <cellStyle name="Ввод  1 3 4 2 4" xfId="0"/>
    <cellStyle name="Ввод  1 3 4 3" xfId="0"/>
    <cellStyle name="Ввод  1 3 4 3 2" xfId="0"/>
    <cellStyle name="Ввод  1 3 4 3 2 2" xfId="0"/>
    <cellStyle name="Ввод  1 3 4 3 2 3" xfId="0"/>
    <cellStyle name="Ввод  1 3 4 3 3" xfId="0"/>
    <cellStyle name="Ввод  1 3 4 3 4" xfId="0"/>
    <cellStyle name="Ввод  1 3 4 4" xfId="0"/>
    <cellStyle name="Ввод  1 3 4 4 2" xfId="0"/>
    <cellStyle name="Ввод  1 3 4 4 3" xfId="0"/>
    <cellStyle name="Ввод  1 3 4 5" xfId="0"/>
    <cellStyle name="Ввод  1 3 4 6" xfId="0"/>
    <cellStyle name="Ввод  1 3 5" xfId="0"/>
    <cellStyle name="Ввод  1 3 5 2" xfId="0"/>
    <cellStyle name="Ввод  1 3 5 2 2" xfId="0"/>
    <cellStyle name="Ввод  1 3 5 2 2 2" xfId="0"/>
    <cellStyle name="Ввод  1 3 5 2 2 3" xfId="0"/>
    <cellStyle name="Ввод  1 3 5 2 3" xfId="0"/>
    <cellStyle name="Ввод  1 3 5 2 4" xfId="0"/>
    <cellStyle name="Ввод  1 3 5 3" xfId="0"/>
    <cellStyle name="Ввод  1 3 5 3 2" xfId="0"/>
    <cellStyle name="Ввод  1 3 5 3 2 2" xfId="0"/>
    <cellStyle name="Ввод  1 3 5 3 2 3" xfId="0"/>
    <cellStyle name="Ввод  1 3 5 3 3" xfId="0"/>
    <cellStyle name="Ввод  1 3 5 3 4" xfId="0"/>
    <cellStyle name="Ввод  1 3 5 4" xfId="0"/>
    <cellStyle name="Ввод  1 3 5 4 2" xfId="0"/>
    <cellStyle name="Ввод  1 3 5 4 3" xfId="0"/>
    <cellStyle name="Ввод  1 3 5 5" xfId="0"/>
    <cellStyle name="Ввод  1 3 5 6" xfId="0"/>
    <cellStyle name="Ввод  1 3 6" xfId="0"/>
    <cellStyle name="Ввод  1 3 6 2" xfId="0"/>
    <cellStyle name="Ввод  1 3 6 2 2" xfId="0"/>
    <cellStyle name="Ввод  1 3 6 2 2 2" xfId="0"/>
    <cellStyle name="Ввод  1 3 6 2 2 3" xfId="0"/>
    <cellStyle name="Ввод  1 3 6 2 3" xfId="0"/>
    <cellStyle name="Ввод  1 3 6 2 4" xfId="0"/>
    <cellStyle name="Ввод  1 3 6 3" xfId="0"/>
    <cellStyle name="Ввод  1 3 6 3 2" xfId="0"/>
    <cellStyle name="Ввод  1 3 6 3 3" xfId="0"/>
    <cellStyle name="Ввод  1 3 6 4" xfId="0"/>
    <cellStyle name="Ввод  1 3 6 5" xfId="0"/>
    <cellStyle name="Ввод  1 3 7" xfId="0"/>
    <cellStyle name="Ввод  1 3 7 2" xfId="0"/>
    <cellStyle name="Ввод  1 3 7 2 2" xfId="0"/>
    <cellStyle name="Ввод  1 3 7 2 2 2" xfId="0"/>
    <cellStyle name="Ввод  1 3 7 2 2 3" xfId="0"/>
    <cellStyle name="Ввод  1 3 7 2 3" xfId="0"/>
    <cellStyle name="Ввод  1 3 7 2 4" xfId="0"/>
    <cellStyle name="Ввод  1 3 7 3" xfId="0"/>
    <cellStyle name="Ввод  1 3 7 3 2" xfId="0"/>
    <cellStyle name="Ввод  1 3 7 3 3" xfId="0"/>
    <cellStyle name="Ввод  1 3 7 4" xfId="0"/>
    <cellStyle name="Ввод  1 3 7 5" xfId="0"/>
    <cellStyle name="Ввод  1 3 8" xfId="0"/>
    <cellStyle name="Ввод  1 3 8 2" xfId="0"/>
    <cellStyle name="Ввод  1 3 8 3" xfId="0"/>
    <cellStyle name="Ввод  1 3 9" xfId="0"/>
    <cellStyle name="Ввод  1 30" xfId="0"/>
    <cellStyle name="Ввод  1 30 2" xfId="0"/>
    <cellStyle name="Ввод  1 30 3" xfId="0"/>
    <cellStyle name="Ввод  1 31" xfId="0"/>
    <cellStyle name="Ввод  1 31 2" xfId="0"/>
    <cellStyle name="Ввод  1 31 3" xfId="0"/>
    <cellStyle name="Ввод  1 32" xfId="0"/>
    <cellStyle name="Ввод  1 4" xfId="0"/>
    <cellStyle name="Ввод  1 4 10" xfId="0"/>
    <cellStyle name="Ввод  1 4 2" xfId="0"/>
    <cellStyle name="Ввод  1 4 2 2" xfId="0"/>
    <cellStyle name="Ввод  1 4 2 2 2" xfId="0"/>
    <cellStyle name="Ввод  1 4 2 2 2 2" xfId="0"/>
    <cellStyle name="Ввод  1 4 2 2 2 3" xfId="0"/>
    <cellStyle name="Ввод  1 4 2 2 3" xfId="0"/>
    <cellStyle name="Ввод  1 4 2 2 4" xfId="0"/>
    <cellStyle name="Ввод  1 4 2 3" xfId="0"/>
    <cellStyle name="Ввод  1 4 2 3 2" xfId="0"/>
    <cellStyle name="Ввод  1 4 2 3 2 2" xfId="0"/>
    <cellStyle name="Ввод  1 4 2 3 2 3" xfId="0"/>
    <cellStyle name="Ввод  1 4 2 3 3" xfId="0"/>
    <cellStyle name="Ввод  1 4 2 3 4" xfId="0"/>
    <cellStyle name="Ввод  1 4 2 4" xfId="0"/>
    <cellStyle name="Ввод  1 4 2 4 2" xfId="0"/>
    <cellStyle name="Ввод  1 4 2 4 3" xfId="0"/>
    <cellStyle name="Ввод  1 4 2 5" xfId="0"/>
    <cellStyle name="Ввод  1 4 2 6" xfId="0"/>
    <cellStyle name="Ввод  1 4 3" xfId="0"/>
    <cellStyle name="Ввод  1 4 3 2" xfId="0"/>
    <cellStyle name="Ввод  1 4 3 2 2" xfId="0"/>
    <cellStyle name="Ввод  1 4 3 2 2 2" xfId="0"/>
    <cellStyle name="Ввод  1 4 3 2 2 3" xfId="0"/>
    <cellStyle name="Ввод  1 4 3 2 3" xfId="0"/>
    <cellStyle name="Ввод  1 4 3 2 4" xfId="0"/>
    <cellStyle name="Ввод  1 4 3 3" xfId="0"/>
    <cellStyle name="Ввод  1 4 3 3 2" xfId="0"/>
    <cellStyle name="Ввод  1 4 3 3 2 2" xfId="0"/>
    <cellStyle name="Ввод  1 4 3 3 2 3" xfId="0"/>
    <cellStyle name="Ввод  1 4 3 3 3" xfId="0"/>
    <cellStyle name="Ввод  1 4 3 3 4" xfId="0"/>
    <cellStyle name="Ввод  1 4 3 4" xfId="0"/>
    <cellStyle name="Ввод  1 4 3 4 2" xfId="0"/>
    <cellStyle name="Ввод  1 4 3 4 3" xfId="0"/>
    <cellStyle name="Ввод  1 4 3 5" xfId="0"/>
    <cellStyle name="Ввод  1 4 3 6" xfId="0"/>
    <cellStyle name="Ввод  1 4 4" xfId="0"/>
    <cellStyle name="Ввод  1 4 4 2" xfId="0"/>
    <cellStyle name="Ввод  1 4 4 2 2" xfId="0"/>
    <cellStyle name="Ввод  1 4 4 2 2 2" xfId="0"/>
    <cellStyle name="Ввод  1 4 4 2 2 3" xfId="0"/>
    <cellStyle name="Ввод  1 4 4 2 3" xfId="0"/>
    <cellStyle name="Ввод  1 4 4 2 4" xfId="0"/>
    <cellStyle name="Ввод  1 4 4 3" xfId="0"/>
    <cellStyle name="Ввод  1 4 4 3 2" xfId="0"/>
    <cellStyle name="Ввод  1 4 4 3 2 2" xfId="0"/>
    <cellStyle name="Ввод  1 4 4 3 2 3" xfId="0"/>
    <cellStyle name="Ввод  1 4 4 3 3" xfId="0"/>
    <cellStyle name="Ввод  1 4 4 3 4" xfId="0"/>
    <cellStyle name="Ввод  1 4 4 4" xfId="0"/>
    <cellStyle name="Ввод  1 4 4 4 2" xfId="0"/>
    <cellStyle name="Ввод  1 4 4 4 3" xfId="0"/>
    <cellStyle name="Ввод  1 4 4 5" xfId="0"/>
    <cellStyle name="Ввод  1 4 4 6" xfId="0"/>
    <cellStyle name="Ввод  1 4 5" xfId="0"/>
    <cellStyle name="Ввод  1 4 5 2" xfId="0"/>
    <cellStyle name="Ввод  1 4 5 2 2" xfId="0"/>
    <cellStyle name="Ввод  1 4 5 2 2 2" xfId="0"/>
    <cellStyle name="Ввод  1 4 5 2 2 3" xfId="0"/>
    <cellStyle name="Ввод  1 4 5 2 3" xfId="0"/>
    <cellStyle name="Ввод  1 4 5 2 4" xfId="0"/>
    <cellStyle name="Ввод  1 4 5 3" xfId="0"/>
    <cellStyle name="Ввод  1 4 5 3 2" xfId="0"/>
    <cellStyle name="Ввод  1 4 5 3 2 2" xfId="0"/>
    <cellStyle name="Ввод  1 4 5 3 2 3" xfId="0"/>
    <cellStyle name="Ввод  1 4 5 3 3" xfId="0"/>
    <cellStyle name="Ввод  1 4 5 3 4" xfId="0"/>
    <cellStyle name="Ввод  1 4 5 4" xfId="0"/>
    <cellStyle name="Ввод  1 4 5 4 2" xfId="0"/>
    <cellStyle name="Ввод  1 4 5 4 3" xfId="0"/>
    <cellStyle name="Ввод  1 4 5 5" xfId="0"/>
    <cellStyle name="Ввод  1 4 5 6" xfId="0"/>
    <cellStyle name="Ввод  1 4 6" xfId="0"/>
    <cellStyle name="Ввод  1 4 6 2" xfId="0"/>
    <cellStyle name="Ввод  1 4 6 2 2" xfId="0"/>
    <cellStyle name="Ввод  1 4 6 2 2 2" xfId="0"/>
    <cellStyle name="Ввод  1 4 6 2 2 3" xfId="0"/>
    <cellStyle name="Ввод  1 4 6 2 3" xfId="0"/>
    <cellStyle name="Ввод  1 4 6 2 4" xfId="0"/>
    <cellStyle name="Ввод  1 4 6 3" xfId="0"/>
    <cellStyle name="Ввод  1 4 6 3 2" xfId="0"/>
    <cellStyle name="Ввод  1 4 6 3 3" xfId="0"/>
    <cellStyle name="Ввод  1 4 6 4" xfId="0"/>
    <cellStyle name="Ввод  1 4 6 5" xfId="0"/>
    <cellStyle name="Ввод  1 4 7" xfId="0"/>
    <cellStyle name="Ввод  1 4 7 2" xfId="0"/>
    <cellStyle name="Ввод  1 4 7 2 2" xfId="0"/>
    <cellStyle name="Ввод  1 4 7 2 2 2" xfId="0"/>
    <cellStyle name="Ввод  1 4 7 2 2 3" xfId="0"/>
    <cellStyle name="Ввод  1 4 7 2 3" xfId="0"/>
    <cellStyle name="Ввод  1 4 7 2 4" xfId="0"/>
    <cellStyle name="Ввод  1 4 7 3" xfId="0"/>
    <cellStyle name="Ввод  1 4 7 3 2" xfId="0"/>
    <cellStyle name="Ввод  1 4 7 3 3" xfId="0"/>
    <cellStyle name="Ввод  1 4 7 4" xfId="0"/>
    <cellStyle name="Ввод  1 4 7 5" xfId="0"/>
    <cellStyle name="Ввод  1 4 8" xfId="0"/>
    <cellStyle name="Ввод  1 4 8 2" xfId="0"/>
    <cellStyle name="Ввод  1 4 8 3" xfId="0"/>
    <cellStyle name="Ввод  1 4 9" xfId="0"/>
    <cellStyle name="Ввод  1 5" xfId="0"/>
    <cellStyle name="Ввод  1 5 2" xfId="0"/>
    <cellStyle name="Ввод  1 5 2 2" xfId="0"/>
    <cellStyle name="Ввод  1 5 2 2 2" xfId="0"/>
    <cellStyle name="Ввод  1 5 2 2 2 2" xfId="0"/>
    <cellStyle name="Ввод  1 5 2 2 2 3" xfId="0"/>
    <cellStyle name="Ввод  1 5 2 2 3" xfId="0"/>
    <cellStyle name="Ввод  1 5 2 2 4" xfId="0"/>
    <cellStyle name="Ввод  1 5 2 3" xfId="0"/>
    <cellStyle name="Ввод  1 5 2 3 2" xfId="0"/>
    <cellStyle name="Ввод  1 5 2 3 2 2" xfId="0"/>
    <cellStyle name="Ввод  1 5 2 3 2 3" xfId="0"/>
    <cellStyle name="Ввод  1 5 2 3 3" xfId="0"/>
    <cellStyle name="Ввод  1 5 2 3 4" xfId="0"/>
    <cellStyle name="Ввод  1 5 2 4" xfId="0"/>
    <cellStyle name="Ввод  1 5 2 4 2" xfId="0"/>
    <cellStyle name="Ввод  1 5 2 4 3" xfId="0"/>
    <cellStyle name="Ввод  1 5 2 5" xfId="0"/>
    <cellStyle name="Ввод  1 5 2 6" xfId="0"/>
    <cellStyle name="Ввод  1 5 3" xfId="0"/>
    <cellStyle name="Ввод  1 5 3 2" xfId="0"/>
    <cellStyle name="Ввод  1 5 3 2 2" xfId="0"/>
    <cellStyle name="Ввод  1 5 3 2 2 2" xfId="0"/>
    <cellStyle name="Ввод  1 5 3 2 2 3" xfId="0"/>
    <cellStyle name="Ввод  1 5 3 2 3" xfId="0"/>
    <cellStyle name="Ввод  1 5 3 2 4" xfId="0"/>
    <cellStyle name="Ввод  1 5 3 3" xfId="0"/>
    <cellStyle name="Ввод  1 5 3 3 2" xfId="0"/>
    <cellStyle name="Ввод  1 5 3 3 3" xfId="0"/>
    <cellStyle name="Ввод  1 5 3 4" xfId="0"/>
    <cellStyle name="Ввод  1 5 3 5" xfId="0"/>
    <cellStyle name="Ввод  1 5 4" xfId="0"/>
    <cellStyle name="Ввод  1 5 4 2" xfId="0"/>
    <cellStyle name="Ввод  1 5 4 2 2" xfId="0"/>
    <cellStyle name="Ввод  1 5 4 2 2 2" xfId="0"/>
    <cellStyle name="Ввод  1 5 4 2 2 3" xfId="0"/>
    <cellStyle name="Ввод  1 5 4 2 3" xfId="0"/>
    <cellStyle name="Ввод  1 5 4 2 4" xfId="0"/>
    <cellStyle name="Ввод  1 5 4 3" xfId="0"/>
    <cellStyle name="Ввод  1 5 4 3 2" xfId="0"/>
    <cellStyle name="Ввод  1 5 4 3 3" xfId="0"/>
    <cellStyle name="Ввод  1 5 4 4" xfId="0"/>
    <cellStyle name="Ввод  1 5 4 5" xfId="0"/>
    <cellStyle name="Ввод  1 5 5" xfId="0"/>
    <cellStyle name="Ввод  1 5 5 2" xfId="0"/>
    <cellStyle name="Ввод  1 5 5 3" xfId="0"/>
    <cellStyle name="Ввод  1 5 6" xfId="0"/>
    <cellStyle name="Ввод  1 5 7" xfId="0"/>
    <cellStyle name="Ввод  1 6" xfId="0"/>
    <cellStyle name="Ввод  1 6 2" xfId="0"/>
    <cellStyle name="Ввод  1 6 2 2" xfId="0"/>
    <cellStyle name="Ввод  1 6 2 2 2" xfId="0"/>
    <cellStyle name="Ввод  1 6 2 2 2 2" xfId="0"/>
    <cellStyle name="Ввод  1 6 2 2 2 3" xfId="0"/>
    <cellStyle name="Ввод  1 6 2 2 3" xfId="0"/>
    <cellStyle name="Ввод  1 6 2 2 4" xfId="0"/>
    <cellStyle name="Ввод  1 6 2 3" xfId="0"/>
    <cellStyle name="Ввод  1 6 2 3 2" xfId="0"/>
    <cellStyle name="Ввод  1 6 2 3 2 2" xfId="0"/>
    <cellStyle name="Ввод  1 6 2 3 2 3" xfId="0"/>
    <cellStyle name="Ввод  1 6 2 3 3" xfId="0"/>
    <cellStyle name="Ввод  1 6 2 3 4" xfId="0"/>
    <cellStyle name="Ввод  1 6 2 4" xfId="0"/>
    <cellStyle name="Ввод  1 6 2 4 2" xfId="0"/>
    <cellStyle name="Ввод  1 6 2 4 3" xfId="0"/>
    <cellStyle name="Ввод  1 6 2 5" xfId="0"/>
    <cellStyle name="Ввод  1 6 2 6" xfId="0"/>
    <cellStyle name="Ввод  1 6 3" xfId="0"/>
    <cellStyle name="Ввод  1 6 3 2" xfId="0"/>
    <cellStyle name="Ввод  1 6 3 2 2" xfId="0"/>
    <cellStyle name="Ввод  1 6 3 2 2 2" xfId="0"/>
    <cellStyle name="Ввод  1 6 3 2 2 3" xfId="0"/>
    <cellStyle name="Ввод  1 6 3 2 3" xfId="0"/>
    <cellStyle name="Ввод  1 6 3 2 4" xfId="0"/>
    <cellStyle name="Ввод  1 6 3 3" xfId="0"/>
    <cellStyle name="Ввод  1 6 3 3 2" xfId="0"/>
    <cellStyle name="Ввод  1 6 3 3 3" xfId="0"/>
    <cellStyle name="Ввод  1 6 3 4" xfId="0"/>
    <cellStyle name="Ввод  1 6 3 5" xfId="0"/>
    <cellStyle name="Ввод  1 6 4" xfId="0"/>
    <cellStyle name="Ввод  1 6 4 2" xfId="0"/>
    <cellStyle name="Ввод  1 6 4 2 2" xfId="0"/>
    <cellStyle name="Ввод  1 6 4 2 2 2" xfId="0"/>
    <cellStyle name="Ввод  1 6 4 2 2 3" xfId="0"/>
    <cellStyle name="Ввод  1 6 4 2 3" xfId="0"/>
    <cellStyle name="Ввод  1 6 4 2 4" xfId="0"/>
    <cellStyle name="Ввод  1 6 4 3" xfId="0"/>
    <cellStyle name="Ввод  1 6 4 3 2" xfId="0"/>
    <cellStyle name="Ввод  1 6 4 3 3" xfId="0"/>
    <cellStyle name="Ввод  1 6 4 4" xfId="0"/>
    <cellStyle name="Ввод  1 6 4 5" xfId="0"/>
    <cellStyle name="Ввод  1 6 5" xfId="0"/>
    <cellStyle name="Ввод  1 6 5 2" xfId="0"/>
    <cellStyle name="Ввод  1 6 5 3" xfId="0"/>
    <cellStyle name="Ввод  1 6 6" xfId="0"/>
    <cellStyle name="Ввод  1 6 7" xfId="0"/>
    <cellStyle name="Ввод  1 7" xfId="0"/>
    <cellStyle name="Ввод  1 7 2" xfId="0"/>
    <cellStyle name="Ввод  1 7 2 2" xfId="0"/>
    <cellStyle name="Ввод  1 7 2 2 2" xfId="0"/>
    <cellStyle name="Ввод  1 7 2 2 2 2" xfId="0"/>
    <cellStyle name="Ввод  1 7 2 2 2 3" xfId="0"/>
    <cellStyle name="Ввод  1 7 2 2 3" xfId="0"/>
    <cellStyle name="Ввод  1 7 2 2 4" xfId="0"/>
    <cellStyle name="Ввод  1 7 2 3" xfId="0"/>
    <cellStyle name="Ввод  1 7 2 3 2" xfId="0"/>
    <cellStyle name="Ввод  1 7 2 3 2 2" xfId="0"/>
    <cellStyle name="Ввод  1 7 2 3 2 3" xfId="0"/>
    <cellStyle name="Ввод  1 7 2 3 3" xfId="0"/>
    <cellStyle name="Ввод  1 7 2 3 4" xfId="0"/>
    <cellStyle name="Ввод  1 7 2 4" xfId="0"/>
    <cellStyle name="Ввод  1 7 2 4 2" xfId="0"/>
    <cellStyle name="Ввод  1 7 2 4 3" xfId="0"/>
    <cellStyle name="Ввод  1 7 2 5" xfId="0"/>
    <cellStyle name="Ввод  1 7 2 6" xfId="0"/>
    <cellStyle name="Ввод  1 7 3" xfId="0"/>
    <cellStyle name="Ввод  1 7 3 2" xfId="0"/>
    <cellStyle name="Ввод  1 7 3 2 2" xfId="0"/>
    <cellStyle name="Ввод  1 7 3 2 2 2" xfId="0"/>
    <cellStyle name="Ввод  1 7 3 2 2 3" xfId="0"/>
    <cellStyle name="Ввод  1 7 3 2 3" xfId="0"/>
    <cellStyle name="Ввод  1 7 3 2 4" xfId="0"/>
    <cellStyle name="Ввод  1 7 3 3" xfId="0"/>
    <cellStyle name="Ввод  1 7 3 3 2" xfId="0"/>
    <cellStyle name="Ввод  1 7 3 3 3" xfId="0"/>
    <cellStyle name="Ввод  1 7 3 4" xfId="0"/>
    <cellStyle name="Ввод  1 7 3 5" xfId="0"/>
    <cellStyle name="Ввод  1 7 4" xfId="0"/>
    <cellStyle name="Ввод  1 7 4 2" xfId="0"/>
    <cellStyle name="Ввод  1 7 4 2 2" xfId="0"/>
    <cellStyle name="Ввод  1 7 4 2 2 2" xfId="0"/>
    <cellStyle name="Ввод  1 7 4 2 2 3" xfId="0"/>
    <cellStyle name="Ввод  1 7 4 2 3" xfId="0"/>
    <cellStyle name="Ввод  1 7 4 2 4" xfId="0"/>
    <cellStyle name="Ввод  1 7 4 3" xfId="0"/>
    <cellStyle name="Ввод  1 7 4 3 2" xfId="0"/>
    <cellStyle name="Ввод  1 7 4 3 3" xfId="0"/>
    <cellStyle name="Ввод  1 7 4 4" xfId="0"/>
    <cellStyle name="Ввод  1 7 4 5" xfId="0"/>
    <cellStyle name="Ввод  1 7 5" xfId="0"/>
    <cellStyle name="Ввод  1 7 5 2" xfId="0"/>
    <cellStyle name="Ввод  1 7 5 3" xfId="0"/>
    <cellStyle name="Ввод  1 7 6" xfId="0"/>
    <cellStyle name="Ввод  1 7 7" xfId="0"/>
    <cellStyle name="Ввод  1 8" xfId="0"/>
    <cellStyle name="Ввод  1 8 2" xfId="0"/>
    <cellStyle name="Ввод  1 8 2 2" xfId="0"/>
    <cellStyle name="Ввод  1 8 2 2 2" xfId="0"/>
    <cellStyle name="Ввод  1 8 2 2 2 2" xfId="0"/>
    <cellStyle name="Ввод  1 8 2 2 2 3" xfId="0"/>
    <cellStyle name="Ввод  1 8 2 2 3" xfId="0"/>
    <cellStyle name="Ввод  1 8 2 2 4" xfId="0"/>
    <cellStyle name="Ввод  1 8 2 3" xfId="0"/>
    <cellStyle name="Ввод  1 8 2 3 2" xfId="0"/>
    <cellStyle name="Ввод  1 8 2 3 2 2" xfId="0"/>
    <cellStyle name="Ввод  1 8 2 3 2 3" xfId="0"/>
    <cellStyle name="Ввод  1 8 2 3 3" xfId="0"/>
    <cellStyle name="Ввод  1 8 2 3 4" xfId="0"/>
    <cellStyle name="Ввод  1 8 2 4" xfId="0"/>
    <cellStyle name="Ввод  1 8 2 4 2" xfId="0"/>
    <cellStyle name="Ввод  1 8 2 4 3" xfId="0"/>
    <cellStyle name="Ввод  1 8 2 5" xfId="0"/>
    <cellStyle name="Ввод  1 8 2 6" xfId="0"/>
    <cellStyle name="Ввод  1 8 3" xfId="0"/>
    <cellStyle name="Ввод  1 8 3 2" xfId="0"/>
    <cellStyle name="Ввод  1 8 3 2 2" xfId="0"/>
    <cellStyle name="Ввод  1 8 3 2 2 2" xfId="0"/>
    <cellStyle name="Ввод  1 8 3 2 2 3" xfId="0"/>
    <cellStyle name="Ввод  1 8 3 2 3" xfId="0"/>
    <cellStyle name="Ввод  1 8 3 2 4" xfId="0"/>
    <cellStyle name="Ввод  1 8 3 3" xfId="0"/>
    <cellStyle name="Ввод  1 8 3 3 2" xfId="0"/>
    <cellStyle name="Ввод  1 8 3 3 3" xfId="0"/>
    <cellStyle name="Ввод  1 8 3 4" xfId="0"/>
    <cellStyle name="Ввод  1 8 3 5" xfId="0"/>
    <cellStyle name="Ввод  1 8 4" xfId="0"/>
    <cellStyle name="Ввод  1 8 4 2" xfId="0"/>
    <cellStyle name="Ввод  1 8 4 2 2" xfId="0"/>
    <cellStyle name="Ввод  1 8 4 2 2 2" xfId="0"/>
    <cellStyle name="Ввод  1 8 4 2 2 3" xfId="0"/>
    <cellStyle name="Ввод  1 8 4 2 3" xfId="0"/>
    <cellStyle name="Ввод  1 8 4 2 4" xfId="0"/>
    <cellStyle name="Ввод  1 8 4 3" xfId="0"/>
    <cellStyle name="Ввод  1 8 4 3 2" xfId="0"/>
    <cellStyle name="Ввод  1 8 4 3 3" xfId="0"/>
    <cellStyle name="Ввод  1 8 4 4" xfId="0"/>
    <cellStyle name="Ввод  1 8 4 5" xfId="0"/>
    <cellStyle name="Ввод  1 8 5" xfId="0"/>
    <cellStyle name="Ввод  1 8 5 2" xfId="0"/>
    <cellStyle name="Ввод  1 8 5 3" xfId="0"/>
    <cellStyle name="Ввод  1 8 6" xfId="0"/>
    <cellStyle name="Ввод  1 8 7" xfId="0"/>
    <cellStyle name="Ввод  1 9" xfId="0"/>
    <cellStyle name="Ввод  1 9 2" xfId="0"/>
    <cellStyle name="Ввод  1 9 2 2" xfId="0"/>
    <cellStyle name="Ввод  1 9 2 2 2" xfId="0"/>
    <cellStyle name="Ввод  1 9 2 2 2 2" xfId="0"/>
    <cellStyle name="Ввод  1 9 2 2 2 3" xfId="0"/>
    <cellStyle name="Ввод  1 9 2 2 3" xfId="0"/>
    <cellStyle name="Ввод  1 9 2 2 4" xfId="0"/>
    <cellStyle name="Ввод  1 9 2 3" xfId="0"/>
    <cellStyle name="Ввод  1 9 2 3 2" xfId="0"/>
    <cellStyle name="Ввод  1 9 2 3 2 2" xfId="0"/>
    <cellStyle name="Ввод  1 9 2 3 2 3" xfId="0"/>
    <cellStyle name="Ввод  1 9 2 3 3" xfId="0"/>
    <cellStyle name="Ввод  1 9 2 3 4" xfId="0"/>
    <cellStyle name="Ввод  1 9 2 4" xfId="0"/>
    <cellStyle name="Ввод  1 9 2 4 2" xfId="0"/>
    <cellStyle name="Ввод  1 9 2 4 3" xfId="0"/>
    <cellStyle name="Ввод  1 9 2 5" xfId="0"/>
    <cellStyle name="Ввод  1 9 2 6" xfId="0"/>
    <cellStyle name="Ввод  1 9 3" xfId="0"/>
    <cellStyle name="Ввод  1 9 3 2" xfId="0"/>
    <cellStyle name="Ввод  1 9 3 2 2" xfId="0"/>
    <cellStyle name="Ввод  1 9 3 2 2 2" xfId="0"/>
    <cellStyle name="Ввод  1 9 3 2 2 3" xfId="0"/>
    <cellStyle name="Ввод  1 9 3 2 3" xfId="0"/>
    <cellStyle name="Ввод  1 9 3 2 4" xfId="0"/>
    <cellStyle name="Ввод  1 9 3 3" xfId="0"/>
    <cellStyle name="Ввод  1 9 3 3 2" xfId="0"/>
    <cellStyle name="Ввод  1 9 3 3 3" xfId="0"/>
    <cellStyle name="Ввод  1 9 3 4" xfId="0"/>
    <cellStyle name="Ввод  1 9 3 5" xfId="0"/>
    <cellStyle name="Ввод  1 9 4" xfId="0"/>
    <cellStyle name="Ввод  1 9 4 2" xfId="0"/>
    <cellStyle name="Ввод  1 9 4 2 2" xfId="0"/>
    <cellStyle name="Ввод  1 9 4 2 2 2" xfId="0"/>
    <cellStyle name="Ввод  1 9 4 2 2 3" xfId="0"/>
    <cellStyle name="Ввод  1 9 4 2 3" xfId="0"/>
    <cellStyle name="Ввод  1 9 4 2 4" xfId="0"/>
    <cellStyle name="Ввод  1 9 4 3" xfId="0"/>
    <cellStyle name="Ввод  1 9 4 3 2" xfId="0"/>
    <cellStyle name="Ввод  1 9 4 3 3" xfId="0"/>
    <cellStyle name="Ввод  1 9 4 4" xfId="0"/>
    <cellStyle name="Ввод  1 9 4 5" xfId="0"/>
    <cellStyle name="Ввод  1 9 5" xfId="0"/>
    <cellStyle name="Ввод  1 9 5 2" xfId="0"/>
    <cellStyle name="Ввод  1 9 5 3" xfId="0"/>
    <cellStyle name="Ввод  1 9 6" xfId="0"/>
    <cellStyle name="Ввод  1 9 7" xfId="0"/>
    <cellStyle name="Ввод  2" xfId="0"/>
    <cellStyle name="Ввод  2 10" xfId="0"/>
    <cellStyle name="Ввод  2 10 2" xfId="0"/>
    <cellStyle name="Ввод  2 10 2 2" xfId="0"/>
    <cellStyle name="Ввод  2 10 2 2 2" xfId="0"/>
    <cellStyle name="Ввод  2 10 2 2 2 2" xfId="0"/>
    <cellStyle name="Ввод  2 10 2 2 2 3" xfId="0"/>
    <cellStyle name="Ввод  2 10 2 2 3" xfId="0"/>
    <cellStyle name="Ввод  2 10 2 2 4" xfId="0"/>
    <cellStyle name="Ввод  2 10 2 3" xfId="0"/>
    <cellStyle name="Ввод  2 10 2 3 2" xfId="0"/>
    <cellStyle name="Ввод  2 10 2 3 2 2" xfId="0"/>
    <cellStyle name="Ввод  2 10 2 3 2 3" xfId="0"/>
    <cellStyle name="Ввод  2 10 2 3 3" xfId="0"/>
    <cellStyle name="Ввод  2 10 2 3 4" xfId="0"/>
    <cellStyle name="Ввод  2 10 2 4" xfId="0"/>
    <cellStyle name="Ввод  2 10 2 4 2" xfId="0"/>
    <cellStyle name="Ввод  2 10 2 4 3" xfId="0"/>
    <cellStyle name="Ввод  2 10 2 5" xfId="0"/>
    <cellStyle name="Ввод  2 10 2 6" xfId="0"/>
    <cellStyle name="Ввод  2 10 3" xfId="0"/>
    <cellStyle name="Ввод  2 10 3 2" xfId="0"/>
    <cellStyle name="Ввод  2 10 3 2 2" xfId="0"/>
    <cellStyle name="Ввод  2 10 3 2 2 2" xfId="0"/>
    <cellStyle name="Ввод  2 10 3 2 2 3" xfId="0"/>
    <cellStyle name="Ввод  2 10 3 2 3" xfId="0"/>
    <cellStyle name="Ввод  2 10 3 2 4" xfId="0"/>
    <cellStyle name="Ввод  2 10 3 3" xfId="0"/>
    <cellStyle name="Ввод  2 10 3 3 2" xfId="0"/>
    <cellStyle name="Ввод  2 10 3 3 3" xfId="0"/>
    <cellStyle name="Ввод  2 10 3 4" xfId="0"/>
    <cellStyle name="Ввод  2 10 3 5" xfId="0"/>
    <cellStyle name="Ввод  2 10 4" xfId="0"/>
    <cellStyle name="Ввод  2 10 4 2" xfId="0"/>
    <cellStyle name="Ввод  2 10 4 2 2" xfId="0"/>
    <cellStyle name="Ввод  2 10 4 2 2 2" xfId="0"/>
    <cellStyle name="Ввод  2 10 4 2 2 3" xfId="0"/>
    <cellStyle name="Ввод  2 10 4 2 3" xfId="0"/>
    <cellStyle name="Ввод  2 10 4 2 4" xfId="0"/>
    <cellStyle name="Ввод  2 10 4 3" xfId="0"/>
    <cellStyle name="Ввод  2 10 4 3 2" xfId="0"/>
    <cellStyle name="Ввод  2 10 4 3 3" xfId="0"/>
    <cellStyle name="Ввод  2 10 4 4" xfId="0"/>
    <cellStyle name="Ввод  2 10 4 5" xfId="0"/>
    <cellStyle name="Ввод  2 10 5" xfId="0"/>
    <cellStyle name="Ввод  2 10 5 2" xfId="0"/>
    <cellStyle name="Ввод  2 10 5 3" xfId="0"/>
    <cellStyle name="Ввод  2 10 6" xfId="0"/>
    <cellStyle name="Ввод  2 10 7" xfId="0"/>
    <cellStyle name="Ввод  2 11" xfId="0"/>
    <cellStyle name="Ввод  2 11 2" xfId="0"/>
    <cellStyle name="Ввод  2 11 2 2" xfId="0"/>
    <cellStyle name="Ввод  2 11 2 2 2" xfId="0"/>
    <cellStyle name="Ввод  2 11 2 2 2 2" xfId="0"/>
    <cellStyle name="Ввод  2 11 2 2 2 3" xfId="0"/>
    <cellStyle name="Ввод  2 11 2 2 3" xfId="0"/>
    <cellStyle name="Ввод  2 11 2 2 4" xfId="0"/>
    <cellStyle name="Ввод  2 11 2 3" xfId="0"/>
    <cellStyle name="Ввод  2 11 2 3 2" xfId="0"/>
    <cellStyle name="Ввод  2 11 2 3 2 2" xfId="0"/>
    <cellStyle name="Ввод  2 11 2 3 2 3" xfId="0"/>
    <cellStyle name="Ввод  2 11 2 3 3" xfId="0"/>
    <cellStyle name="Ввод  2 11 2 3 4" xfId="0"/>
    <cellStyle name="Ввод  2 11 2 4" xfId="0"/>
    <cellStyle name="Ввод  2 11 2 4 2" xfId="0"/>
    <cellStyle name="Ввод  2 11 2 4 3" xfId="0"/>
    <cellStyle name="Ввод  2 11 2 5" xfId="0"/>
    <cellStyle name="Ввод  2 11 2 6" xfId="0"/>
    <cellStyle name="Ввод  2 11 3" xfId="0"/>
    <cellStyle name="Ввод  2 11 3 2" xfId="0"/>
    <cellStyle name="Ввод  2 11 3 2 2" xfId="0"/>
    <cellStyle name="Ввод  2 11 3 2 2 2" xfId="0"/>
    <cellStyle name="Ввод  2 11 3 2 2 3" xfId="0"/>
    <cellStyle name="Ввод  2 11 3 2 3" xfId="0"/>
    <cellStyle name="Ввод  2 11 3 2 4" xfId="0"/>
    <cellStyle name="Ввод  2 11 3 3" xfId="0"/>
    <cellStyle name="Ввод  2 11 3 3 2" xfId="0"/>
    <cellStyle name="Ввод  2 11 3 3 3" xfId="0"/>
    <cellStyle name="Ввод  2 11 3 4" xfId="0"/>
    <cellStyle name="Ввод  2 11 3 5" xfId="0"/>
    <cellStyle name="Ввод  2 11 4" xfId="0"/>
    <cellStyle name="Ввод  2 11 4 2" xfId="0"/>
    <cellStyle name="Ввод  2 11 4 2 2" xfId="0"/>
    <cellStyle name="Ввод  2 11 4 2 2 2" xfId="0"/>
    <cellStyle name="Ввод  2 11 4 2 2 3" xfId="0"/>
    <cellStyle name="Ввод  2 11 4 2 3" xfId="0"/>
    <cellStyle name="Ввод  2 11 4 2 4" xfId="0"/>
    <cellStyle name="Ввод  2 11 4 3" xfId="0"/>
    <cellStyle name="Ввод  2 11 4 3 2" xfId="0"/>
    <cellStyle name="Ввод  2 11 4 3 3" xfId="0"/>
    <cellStyle name="Ввод  2 11 4 4" xfId="0"/>
    <cellStyle name="Ввод  2 11 4 5" xfId="0"/>
    <cellStyle name="Ввод  2 11 5" xfId="0"/>
    <cellStyle name="Ввод  2 11 5 2" xfId="0"/>
    <cellStyle name="Ввод  2 11 5 3" xfId="0"/>
    <cellStyle name="Ввод  2 11 6" xfId="0"/>
    <cellStyle name="Ввод  2 11 7" xfId="0"/>
    <cellStyle name="Ввод  2 12" xfId="0"/>
    <cellStyle name="Ввод  2 12 2" xfId="0"/>
    <cellStyle name="Ввод  2 12 2 2" xfId="0"/>
    <cellStyle name="Ввод  2 12 2 2 2" xfId="0"/>
    <cellStyle name="Ввод  2 12 2 2 2 2" xfId="0"/>
    <cellStyle name="Ввод  2 12 2 2 2 3" xfId="0"/>
    <cellStyle name="Ввод  2 12 2 2 3" xfId="0"/>
    <cellStyle name="Ввод  2 12 2 2 4" xfId="0"/>
    <cellStyle name="Ввод  2 12 2 3" xfId="0"/>
    <cellStyle name="Ввод  2 12 2 3 2" xfId="0"/>
    <cellStyle name="Ввод  2 12 2 3 2 2" xfId="0"/>
    <cellStyle name="Ввод  2 12 2 3 2 3" xfId="0"/>
    <cellStyle name="Ввод  2 12 2 3 3" xfId="0"/>
    <cellStyle name="Ввод  2 12 2 3 4" xfId="0"/>
    <cellStyle name="Ввод  2 12 2 4" xfId="0"/>
    <cellStyle name="Ввод  2 12 2 4 2" xfId="0"/>
    <cellStyle name="Ввод  2 12 2 4 3" xfId="0"/>
    <cellStyle name="Ввод  2 12 2 5" xfId="0"/>
    <cellStyle name="Ввод  2 12 2 6" xfId="0"/>
    <cellStyle name="Ввод  2 12 3" xfId="0"/>
    <cellStyle name="Ввод  2 12 3 2" xfId="0"/>
    <cellStyle name="Ввод  2 12 3 2 2" xfId="0"/>
    <cellStyle name="Ввод  2 12 3 2 2 2" xfId="0"/>
    <cellStyle name="Ввод  2 12 3 2 2 3" xfId="0"/>
    <cellStyle name="Ввод  2 12 3 2 3" xfId="0"/>
    <cellStyle name="Ввод  2 12 3 2 4" xfId="0"/>
    <cellStyle name="Ввод  2 12 3 3" xfId="0"/>
    <cellStyle name="Ввод  2 12 3 3 2" xfId="0"/>
    <cellStyle name="Ввод  2 12 3 3 3" xfId="0"/>
    <cellStyle name="Ввод  2 12 3 4" xfId="0"/>
    <cellStyle name="Ввод  2 12 3 5" xfId="0"/>
    <cellStyle name="Ввод  2 12 4" xfId="0"/>
    <cellStyle name="Ввод  2 12 4 2" xfId="0"/>
    <cellStyle name="Ввод  2 12 4 2 2" xfId="0"/>
    <cellStyle name="Ввод  2 12 4 2 2 2" xfId="0"/>
    <cellStyle name="Ввод  2 12 4 2 2 3" xfId="0"/>
    <cellStyle name="Ввод  2 12 4 2 3" xfId="0"/>
    <cellStyle name="Ввод  2 12 4 2 4" xfId="0"/>
    <cellStyle name="Ввод  2 12 4 3" xfId="0"/>
    <cellStyle name="Ввод  2 12 4 3 2" xfId="0"/>
    <cellStyle name="Ввод  2 12 4 3 3" xfId="0"/>
    <cellStyle name="Ввод  2 12 4 4" xfId="0"/>
    <cellStyle name="Ввод  2 12 4 5" xfId="0"/>
    <cellStyle name="Ввод  2 12 5" xfId="0"/>
    <cellStyle name="Ввод  2 12 5 2" xfId="0"/>
    <cellStyle name="Ввод  2 12 5 3" xfId="0"/>
    <cellStyle name="Ввод  2 12 6" xfId="0"/>
    <cellStyle name="Ввод  2 12 7" xfId="0"/>
    <cellStyle name="Ввод  2 13" xfId="0"/>
    <cellStyle name="Ввод  2 13 2" xfId="0"/>
    <cellStyle name="Ввод  2 13 2 2" xfId="0"/>
    <cellStyle name="Ввод  2 13 2 2 2" xfId="0"/>
    <cellStyle name="Ввод  2 13 2 2 2 2" xfId="0"/>
    <cellStyle name="Ввод  2 13 2 2 2 3" xfId="0"/>
    <cellStyle name="Ввод  2 13 2 2 3" xfId="0"/>
    <cellStyle name="Ввод  2 13 2 2 4" xfId="0"/>
    <cellStyle name="Ввод  2 13 2 3" xfId="0"/>
    <cellStyle name="Ввод  2 13 2 3 2" xfId="0"/>
    <cellStyle name="Ввод  2 13 2 3 2 2" xfId="0"/>
    <cellStyle name="Ввод  2 13 2 3 2 3" xfId="0"/>
    <cellStyle name="Ввод  2 13 2 3 3" xfId="0"/>
    <cellStyle name="Ввод  2 13 2 3 4" xfId="0"/>
    <cellStyle name="Ввод  2 13 2 4" xfId="0"/>
    <cellStyle name="Ввод  2 13 2 4 2" xfId="0"/>
    <cellStyle name="Ввод  2 13 2 4 3" xfId="0"/>
    <cellStyle name="Ввод  2 13 2 5" xfId="0"/>
    <cellStyle name="Ввод  2 13 2 6" xfId="0"/>
    <cellStyle name="Ввод  2 13 3" xfId="0"/>
    <cellStyle name="Ввод  2 13 3 2" xfId="0"/>
    <cellStyle name="Ввод  2 13 3 2 2" xfId="0"/>
    <cellStyle name="Ввод  2 13 3 2 2 2" xfId="0"/>
    <cellStyle name="Ввод  2 13 3 2 2 3" xfId="0"/>
    <cellStyle name="Ввод  2 13 3 2 3" xfId="0"/>
    <cellStyle name="Ввод  2 13 3 2 4" xfId="0"/>
    <cellStyle name="Ввод  2 13 3 3" xfId="0"/>
    <cellStyle name="Ввод  2 13 3 3 2" xfId="0"/>
    <cellStyle name="Ввод  2 13 3 3 3" xfId="0"/>
    <cellStyle name="Ввод  2 13 3 4" xfId="0"/>
    <cellStyle name="Ввод  2 13 3 5" xfId="0"/>
    <cellStyle name="Ввод  2 13 4" xfId="0"/>
    <cellStyle name="Ввод  2 13 4 2" xfId="0"/>
    <cellStyle name="Ввод  2 13 4 2 2" xfId="0"/>
    <cellStyle name="Ввод  2 13 4 2 2 2" xfId="0"/>
    <cellStyle name="Ввод  2 13 4 2 2 3" xfId="0"/>
    <cellStyle name="Ввод  2 13 4 2 3" xfId="0"/>
    <cellStyle name="Ввод  2 13 4 2 4" xfId="0"/>
    <cellStyle name="Ввод  2 13 4 3" xfId="0"/>
    <cellStyle name="Ввод  2 13 4 3 2" xfId="0"/>
    <cellStyle name="Ввод  2 13 4 3 3" xfId="0"/>
    <cellStyle name="Ввод  2 13 4 4" xfId="0"/>
    <cellStyle name="Ввод  2 13 4 5" xfId="0"/>
    <cellStyle name="Ввод  2 13 5" xfId="0"/>
    <cellStyle name="Ввод  2 13 5 2" xfId="0"/>
    <cellStyle name="Ввод  2 13 5 3" xfId="0"/>
    <cellStyle name="Ввод  2 13 6" xfId="0"/>
    <cellStyle name="Ввод  2 13 7" xfId="0"/>
    <cellStyle name="Ввод  2 14" xfId="0"/>
    <cellStyle name="Ввод  2 14 2" xfId="0"/>
    <cellStyle name="Ввод  2 14 2 2" xfId="0"/>
    <cellStyle name="Ввод  2 14 2 2 2" xfId="0"/>
    <cellStyle name="Ввод  2 14 2 2 2 2" xfId="0"/>
    <cellStyle name="Ввод  2 14 2 2 2 3" xfId="0"/>
    <cellStyle name="Ввод  2 14 2 2 3" xfId="0"/>
    <cellStyle name="Ввод  2 14 2 2 4" xfId="0"/>
    <cellStyle name="Ввод  2 14 2 3" xfId="0"/>
    <cellStyle name="Ввод  2 14 2 3 2" xfId="0"/>
    <cellStyle name="Ввод  2 14 2 3 2 2" xfId="0"/>
    <cellStyle name="Ввод  2 14 2 3 2 3" xfId="0"/>
    <cellStyle name="Ввод  2 14 2 3 3" xfId="0"/>
    <cellStyle name="Ввод  2 14 2 3 4" xfId="0"/>
    <cellStyle name="Ввод  2 14 2 4" xfId="0"/>
    <cellStyle name="Ввод  2 14 2 4 2" xfId="0"/>
    <cellStyle name="Ввод  2 14 2 4 3" xfId="0"/>
    <cellStyle name="Ввод  2 14 2 5" xfId="0"/>
    <cellStyle name="Ввод  2 14 2 6" xfId="0"/>
    <cellStyle name="Ввод  2 14 3" xfId="0"/>
    <cellStyle name="Ввод  2 14 3 2" xfId="0"/>
    <cellStyle name="Ввод  2 14 3 2 2" xfId="0"/>
    <cellStyle name="Ввод  2 14 3 2 2 2" xfId="0"/>
    <cellStyle name="Ввод  2 14 3 2 2 3" xfId="0"/>
    <cellStyle name="Ввод  2 14 3 2 3" xfId="0"/>
    <cellStyle name="Ввод  2 14 3 2 4" xfId="0"/>
    <cellStyle name="Ввод  2 14 3 3" xfId="0"/>
    <cellStyle name="Ввод  2 14 3 3 2" xfId="0"/>
    <cellStyle name="Ввод  2 14 3 3 3" xfId="0"/>
    <cellStyle name="Ввод  2 14 3 4" xfId="0"/>
    <cellStyle name="Ввод  2 14 3 5" xfId="0"/>
    <cellStyle name="Ввод  2 14 4" xfId="0"/>
    <cellStyle name="Ввод  2 14 4 2" xfId="0"/>
    <cellStyle name="Ввод  2 14 4 2 2" xfId="0"/>
    <cellStyle name="Ввод  2 14 4 2 2 2" xfId="0"/>
    <cellStyle name="Ввод  2 14 4 2 2 3" xfId="0"/>
    <cellStyle name="Ввод  2 14 4 2 3" xfId="0"/>
    <cellStyle name="Ввод  2 14 4 2 4" xfId="0"/>
    <cellStyle name="Ввод  2 14 4 3" xfId="0"/>
    <cellStyle name="Ввод  2 14 4 3 2" xfId="0"/>
    <cellStyle name="Ввод  2 14 4 3 3" xfId="0"/>
    <cellStyle name="Ввод  2 14 4 4" xfId="0"/>
    <cellStyle name="Ввод  2 14 4 5" xfId="0"/>
    <cellStyle name="Ввод  2 14 5" xfId="0"/>
    <cellStyle name="Ввод  2 14 5 2" xfId="0"/>
    <cellStyle name="Ввод  2 14 5 3" xfId="0"/>
    <cellStyle name="Ввод  2 14 6" xfId="0"/>
    <cellStyle name="Ввод  2 14 7" xfId="0"/>
    <cellStyle name="Ввод  2 15" xfId="0"/>
    <cellStyle name="Ввод  2 15 2" xfId="0"/>
    <cellStyle name="Ввод  2 15 2 2" xfId="0"/>
    <cellStyle name="Ввод  2 15 2 2 2" xfId="0"/>
    <cellStyle name="Ввод  2 15 2 2 2 2" xfId="0"/>
    <cellStyle name="Ввод  2 15 2 2 2 3" xfId="0"/>
    <cellStyle name="Ввод  2 15 2 2 3" xfId="0"/>
    <cellStyle name="Ввод  2 15 2 2 4" xfId="0"/>
    <cellStyle name="Ввод  2 15 2 3" xfId="0"/>
    <cellStyle name="Ввод  2 15 2 3 2" xfId="0"/>
    <cellStyle name="Ввод  2 15 2 3 2 2" xfId="0"/>
    <cellStyle name="Ввод  2 15 2 3 2 3" xfId="0"/>
    <cellStyle name="Ввод  2 15 2 3 3" xfId="0"/>
    <cellStyle name="Ввод  2 15 2 3 4" xfId="0"/>
    <cellStyle name="Ввод  2 15 2 4" xfId="0"/>
    <cellStyle name="Ввод  2 15 2 4 2" xfId="0"/>
    <cellStyle name="Ввод  2 15 2 4 3" xfId="0"/>
    <cellStyle name="Ввод  2 15 2 5" xfId="0"/>
    <cellStyle name="Ввод  2 15 2 6" xfId="0"/>
    <cellStyle name="Ввод  2 15 3" xfId="0"/>
    <cellStyle name="Ввод  2 15 3 2" xfId="0"/>
    <cellStyle name="Ввод  2 15 3 2 2" xfId="0"/>
    <cellStyle name="Ввод  2 15 3 2 2 2" xfId="0"/>
    <cellStyle name="Ввод  2 15 3 2 2 3" xfId="0"/>
    <cellStyle name="Ввод  2 15 3 2 3" xfId="0"/>
    <cellStyle name="Ввод  2 15 3 2 4" xfId="0"/>
    <cellStyle name="Ввод  2 15 3 3" xfId="0"/>
    <cellStyle name="Ввод  2 15 3 3 2" xfId="0"/>
    <cellStyle name="Ввод  2 15 3 3 3" xfId="0"/>
    <cellStyle name="Ввод  2 15 3 4" xfId="0"/>
    <cellStyle name="Ввод  2 15 3 5" xfId="0"/>
    <cellStyle name="Ввод  2 15 4" xfId="0"/>
    <cellStyle name="Ввод  2 15 4 2" xfId="0"/>
    <cellStyle name="Ввод  2 15 4 2 2" xfId="0"/>
    <cellStyle name="Ввод  2 15 4 2 2 2" xfId="0"/>
    <cellStyle name="Ввод  2 15 4 2 2 3" xfId="0"/>
    <cellStyle name="Ввод  2 15 4 2 3" xfId="0"/>
    <cellStyle name="Ввод  2 15 4 2 4" xfId="0"/>
    <cellStyle name="Ввод  2 15 4 3" xfId="0"/>
    <cellStyle name="Ввод  2 15 4 3 2" xfId="0"/>
    <cellStyle name="Ввод  2 15 4 3 3" xfId="0"/>
    <cellStyle name="Ввод  2 15 4 4" xfId="0"/>
    <cellStyle name="Ввод  2 15 4 5" xfId="0"/>
    <cellStyle name="Ввод  2 15 5" xfId="0"/>
    <cellStyle name="Ввод  2 15 5 2" xfId="0"/>
    <cellStyle name="Ввод  2 15 5 3" xfId="0"/>
    <cellStyle name="Ввод  2 15 6" xfId="0"/>
    <cellStyle name="Ввод  2 15 7" xfId="0"/>
    <cellStyle name="Ввод  2 16" xfId="0"/>
    <cellStyle name="Ввод  2 16 2" xfId="0"/>
    <cellStyle name="Ввод  2 16 2 2" xfId="0"/>
    <cellStyle name="Ввод  2 16 2 2 2" xfId="0"/>
    <cellStyle name="Ввод  2 16 2 2 2 2" xfId="0"/>
    <cellStyle name="Ввод  2 16 2 2 2 3" xfId="0"/>
    <cellStyle name="Ввод  2 16 2 2 3" xfId="0"/>
    <cellStyle name="Ввод  2 16 2 2 4" xfId="0"/>
    <cellStyle name="Ввод  2 16 2 3" xfId="0"/>
    <cellStyle name="Ввод  2 16 2 3 2" xfId="0"/>
    <cellStyle name="Ввод  2 16 2 3 2 2" xfId="0"/>
    <cellStyle name="Ввод  2 16 2 3 2 3" xfId="0"/>
    <cellStyle name="Ввод  2 16 2 3 3" xfId="0"/>
    <cellStyle name="Ввод  2 16 2 3 4" xfId="0"/>
    <cellStyle name="Ввод  2 16 2 4" xfId="0"/>
    <cellStyle name="Ввод  2 16 2 4 2" xfId="0"/>
    <cellStyle name="Ввод  2 16 2 4 3" xfId="0"/>
    <cellStyle name="Ввод  2 16 2 5" xfId="0"/>
    <cellStyle name="Ввод  2 16 2 6" xfId="0"/>
    <cellStyle name="Ввод  2 16 3" xfId="0"/>
    <cellStyle name="Ввод  2 16 3 2" xfId="0"/>
    <cellStyle name="Ввод  2 16 3 2 2" xfId="0"/>
    <cellStyle name="Ввод  2 16 3 2 2 2" xfId="0"/>
    <cellStyle name="Ввод  2 16 3 2 2 3" xfId="0"/>
    <cellStyle name="Ввод  2 16 3 2 3" xfId="0"/>
    <cellStyle name="Ввод  2 16 3 2 4" xfId="0"/>
    <cellStyle name="Ввод  2 16 3 3" xfId="0"/>
    <cellStyle name="Ввод  2 16 3 3 2" xfId="0"/>
    <cellStyle name="Ввод  2 16 3 3 3" xfId="0"/>
    <cellStyle name="Ввод  2 16 3 4" xfId="0"/>
    <cellStyle name="Ввод  2 16 3 5" xfId="0"/>
    <cellStyle name="Ввод  2 16 4" xfId="0"/>
    <cellStyle name="Ввод  2 16 4 2" xfId="0"/>
    <cellStyle name="Ввод  2 16 4 2 2" xfId="0"/>
    <cellStyle name="Ввод  2 16 4 2 2 2" xfId="0"/>
    <cellStyle name="Ввод  2 16 4 2 2 3" xfId="0"/>
    <cellStyle name="Ввод  2 16 4 2 3" xfId="0"/>
    <cellStyle name="Ввод  2 16 4 2 4" xfId="0"/>
    <cellStyle name="Ввод  2 16 4 3" xfId="0"/>
    <cellStyle name="Ввод  2 16 4 3 2" xfId="0"/>
    <cellStyle name="Ввод  2 16 4 3 3" xfId="0"/>
    <cellStyle name="Ввод  2 16 4 4" xfId="0"/>
    <cellStyle name="Ввод  2 16 4 5" xfId="0"/>
    <cellStyle name="Ввод  2 16 5" xfId="0"/>
    <cellStyle name="Ввод  2 16 5 2" xfId="0"/>
    <cellStyle name="Ввод  2 16 5 3" xfId="0"/>
    <cellStyle name="Ввод  2 16 6" xfId="0"/>
    <cellStyle name="Ввод  2 16 7" xfId="0"/>
    <cellStyle name="Ввод  2 17" xfId="0"/>
    <cellStyle name="Ввод  2 17 2" xfId="0"/>
    <cellStyle name="Ввод  2 17 2 2" xfId="0"/>
    <cellStyle name="Ввод  2 17 2 2 2" xfId="0"/>
    <cellStyle name="Ввод  2 17 2 2 2 2" xfId="0"/>
    <cellStyle name="Ввод  2 17 2 2 2 3" xfId="0"/>
    <cellStyle name="Ввод  2 17 2 2 3" xfId="0"/>
    <cellStyle name="Ввод  2 17 2 2 4" xfId="0"/>
    <cellStyle name="Ввод  2 17 2 3" xfId="0"/>
    <cellStyle name="Ввод  2 17 2 3 2" xfId="0"/>
    <cellStyle name="Ввод  2 17 2 3 2 2" xfId="0"/>
    <cellStyle name="Ввод  2 17 2 3 2 3" xfId="0"/>
    <cellStyle name="Ввод  2 17 2 3 3" xfId="0"/>
    <cellStyle name="Ввод  2 17 2 3 4" xfId="0"/>
    <cellStyle name="Ввод  2 17 2 4" xfId="0"/>
    <cellStyle name="Ввод  2 17 2 4 2" xfId="0"/>
    <cellStyle name="Ввод  2 17 2 4 3" xfId="0"/>
    <cellStyle name="Ввод  2 17 2 5" xfId="0"/>
    <cellStyle name="Ввод  2 17 2 6" xfId="0"/>
    <cellStyle name="Ввод  2 17 3" xfId="0"/>
    <cellStyle name="Ввод  2 17 3 2" xfId="0"/>
    <cellStyle name="Ввод  2 17 3 2 2" xfId="0"/>
    <cellStyle name="Ввод  2 17 3 2 2 2" xfId="0"/>
    <cellStyle name="Ввод  2 17 3 2 2 3" xfId="0"/>
    <cellStyle name="Ввод  2 17 3 2 3" xfId="0"/>
    <cellStyle name="Ввод  2 17 3 2 4" xfId="0"/>
    <cellStyle name="Ввод  2 17 3 3" xfId="0"/>
    <cellStyle name="Ввод  2 17 3 3 2" xfId="0"/>
    <cellStyle name="Ввод  2 17 3 3 3" xfId="0"/>
    <cellStyle name="Ввод  2 17 3 4" xfId="0"/>
    <cellStyle name="Ввод  2 17 3 5" xfId="0"/>
    <cellStyle name="Ввод  2 17 4" xfId="0"/>
    <cellStyle name="Ввод  2 17 4 2" xfId="0"/>
    <cellStyle name="Ввод  2 17 4 2 2" xfId="0"/>
    <cellStyle name="Ввод  2 17 4 2 2 2" xfId="0"/>
    <cellStyle name="Ввод  2 17 4 2 2 3" xfId="0"/>
    <cellStyle name="Ввод  2 17 4 2 3" xfId="0"/>
    <cellStyle name="Ввод  2 17 4 2 4" xfId="0"/>
    <cellStyle name="Ввод  2 17 4 3" xfId="0"/>
    <cellStyle name="Ввод  2 17 4 3 2" xfId="0"/>
    <cellStyle name="Ввод  2 17 4 3 3" xfId="0"/>
    <cellStyle name="Ввод  2 17 4 4" xfId="0"/>
    <cellStyle name="Ввод  2 17 4 5" xfId="0"/>
    <cellStyle name="Ввод  2 17 5" xfId="0"/>
    <cellStyle name="Ввод  2 17 5 2" xfId="0"/>
    <cellStyle name="Ввод  2 17 5 3" xfId="0"/>
    <cellStyle name="Ввод  2 17 6" xfId="0"/>
    <cellStyle name="Ввод  2 17 7" xfId="0"/>
    <cellStyle name="Ввод  2 18" xfId="0"/>
    <cellStyle name="Ввод  2 18 2" xfId="0"/>
    <cellStyle name="Ввод  2 18 2 2" xfId="0"/>
    <cellStyle name="Ввод  2 18 2 2 2" xfId="0"/>
    <cellStyle name="Ввод  2 18 2 2 2 2" xfId="0"/>
    <cellStyle name="Ввод  2 18 2 2 2 3" xfId="0"/>
    <cellStyle name="Ввод  2 18 2 2 3" xfId="0"/>
    <cellStyle name="Ввод  2 18 2 2 4" xfId="0"/>
    <cellStyle name="Ввод  2 18 2 3" xfId="0"/>
    <cellStyle name="Ввод  2 18 2 3 2" xfId="0"/>
    <cellStyle name="Ввод  2 18 2 3 2 2" xfId="0"/>
    <cellStyle name="Ввод  2 18 2 3 2 3" xfId="0"/>
    <cellStyle name="Ввод  2 18 2 3 3" xfId="0"/>
    <cellStyle name="Ввод  2 18 2 3 4" xfId="0"/>
    <cellStyle name="Ввод  2 18 2 4" xfId="0"/>
    <cellStyle name="Ввод  2 18 2 4 2" xfId="0"/>
    <cellStyle name="Ввод  2 18 2 4 3" xfId="0"/>
    <cellStyle name="Ввод  2 18 2 5" xfId="0"/>
    <cellStyle name="Ввод  2 18 2 6" xfId="0"/>
    <cellStyle name="Ввод  2 18 3" xfId="0"/>
    <cellStyle name="Ввод  2 18 3 2" xfId="0"/>
    <cellStyle name="Ввод  2 18 3 2 2" xfId="0"/>
    <cellStyle name="Ввод  2 18 3 2 2 2" xfId="0"/>
    <cellStyle name="Ввод  2 18 3 2 2 3" xfId="0"/>
    <cellStyle name="Ввод  2 18 3 2 3" xfId="0"/>
    <cellStyle name="Ввод  2 18 3 2 4" xfId="0"/>
    <cellStyle name="Ввод  2 18 3 3" xfId="0"/>
    <cellStyle name="Ввод  2 18 3 3 2" xfId="0"/>
    <cellStyle name="Ввод  2 18 3 3 3" xfId="0"/>
    <cellStyle name="Ввод  2 18 3 4" xfId="0"/>
    <cellStyle name="Ввод  2 18 3 5" xfId="0"/>
    <cellStyle name="Ввод  2 18 4" xfId="0"/>
    <cellStyle name="Ввод  2 18 4 2" xfId="0"/>
    <cellStyle name="Ввод  2 18 4 2 2" xfId="0"/>
    <cellStyle name="Ввод  2 18 4 2 2 2" xfId="0"/>
    <cellStyle name="Ввод  2 18 4 2 2 3" xfId="0"/>
    <cellStyle name="Ввод  2 18 4 2 3" xfId="0"/>
    <cellStyle name="Ввод  2 18 4 2 4" xfId="0"/>
    <cellStyle name="Ввод  2 18 4 3" xfId="0"/>
    <cellStyle name="Ввод  2 18 4 3 2" xfId="0"/>
    <cellStyle name="Ввод  2 18 4 3 3" xfId="0"/>
    <cellStyle name="Ввод  2 18 4 4" xfId="0"/>
    <cellStyle name="Ввод  2 18 4 5" xfId="0"/>
    <cellStyle name="Ввод  2 18 5" xfId="0"/>
    <cellStyle name="Ввод  2 18 5 2" xfId="0"/>
    <cellStyle name="Ввод  2 18 5 3" xfId="0"/>
    <cellStyle name="Ввод  2 18 6" xfId="0"/>
    <cellStyle name="Ввод  2 18 7" xfId="0"/>
    <cellStyle name="Ввод  2 19" xfId="0"/>
    <cellStyle name="Ввод  2 19 2" xfId="0"/>
    <cellStyle name="Ввод  2 19 2 2" xfId="0"/>
    <cellStyle name="Ввод  2 19 2 2 2" xfId="0"/>
    <cellStyle name="Ввод  2 19 2 2 2 2" xfId="0"/>
    <cellStyle name="Ввод  2 19 2 2 2 3" xfId="0"/>
    <cellStyle name="Ввод  2 19 2 2 3" xfId="0"/>
    <cellStyle name="Ввод  2 19 2 2 4" xfId="0"/>
    <cellStyle name="Ввод  2 19 2 3" xfId="0"/>
    <cellStyle name="Ввод  2 19 2 3 2" xfId="0"/>
    <cellStyle name="Ввод  2 19 2 3 2 2" xfId="0"/>
    <cellStyle name="Ввод  2 19 2 3 2 3" xfId="0"/>
    <cellStyle name="Ввод  2 19 2 3 3" xfId="0"/>
    <cellStyle name="Ввод  2 19 2 3 4" xfId="0"/>
    <cellStyle name="Ввод  2 19 2 4" xfId="0"/>
    <cellStyle name="Ввод  2 19 2 4 2" xfId="0"/>
    <cellStyle name="Ввод  2 19 2 4 3" xfId="0"/>
    <cellStyle name="Ввод  2 19 2 5" xfId="0"/>
    <cellStyle name="Ввод  2 19 2 6" xfId="0"/>
    <cellStyle name="Ввод  2 19 3" xfId="0"/>
    <cellStyle name="Ввод  2 19 3 2" xfId="0"/>
    <cellStyle name="Ввод  2 19 3 2 2" xfId="0"/>
    <cellStyle name="Ввод  2 19 3 2 2 2" xfId="0"/>
    <cellStyle name="Ввод  2 19 3 2 2 3" xfId="0"/>
    <cellStyle name="Ввод  2 19 3 2 3" xfId="0"/>
    <cellStyle name="Ввод  2 19 3 2 4" xfId="0"/>
    <cellStyle name="Ввод  2 19 3 3" xfId="0"/>
    <cellStyle name="Ввод  2 19 3 3 2" xfId="0"/>
    <cellStyle name="Ввод  2 19 3 3 3" xfId="0"/>
    <cellStyle name="Ввод  2 19 3 4" xfId="0"/>
    <cellStyle name="Ввод  2 19 3 5" xfId="0"/>
    <cellStyle name="Ввод  2 19 4" xfId="0"/>
    <cellStyle name="Ввод  2 19 4 2" xfId="0"/>
    <cellStyle name="Ввод  2 19 4 2 2" xfId="0"/>
    <cellStyle name="Ввод  2 19 4 2 2 2" xfId="0"/>
    <cellStyle name="Ввод  2 19 4 2 2 3" xfId="0"/>
    <cellStyle name="Ввод  2 19 4 2 3" xfId="0"/>
    <cellStyle name="Ввод  2 19 4 2 4" xfId="0"/>
    <cellStyle name="Ввод  2 19 4 3" xfId="0"/>
    <cellStyle name="Ввод  2 19 4 3 2" xfId="0"/>
    <cellStyle name="Ввод  2 19 4 3 3" xfId="0"/>
    <cellStyle name="Ввод  2 19 4 4" xfId="0"/>
    <cellStyle name="Ввод  2 19 4 5" xfId="0"/>
    <cellStyle name="Ввод  2 19 5" xfId="0"/>
    <cellStyle name="Ввод  2 19 5 2" xfId="0"/>
    <cellStyle name="Ввод  2 19 5 3" xfId="0"/>
    <cellStyle name="Ввод  2 19 6" xfId="0"/>
    <cellStyle name="Ввод  2 19 7" xfId="0"/>
    <cellStyle name="Ввод  2 2" xfId="0"/>
    <cellStyle name="Ввод  2 2 10" xfId="0"/>
    <cellStyle name="Ввод  2 2 11" xfId="0"/>
    <cellStyle name="Ввод  2 2 2" xfId="0"/>
    <cellStyle name="Ввод  2 2 2 2" xfId="0"/>
    <cellStyle name="Ввод  2 2 2 2 2" xfId="0"/>
    <cellStyle name="Ввод  2 2 2 2 2 2" xfId="0"/>
    <cellStyle name="Ввод  2 2 2 2 2 2 2" xfId="0"/>
    <cellStyle name="Ввод  2 2 2 2 2 2 3" xfId="0"/>
    <cellStyle name="Ввод  2 2 2 2 2 3" xfId="0"/>
    <cellStyle name="Ввод  2 2 2 2 2 4" xfId="0"/>
    <cellStyle name="Ввод  2 2 2 2 3" xfId="0"/>
    <cellStyle name="Ввод  2 2 2 2 3 2" xfId="0"/>
    <cellStyle name="Ввод  2 2 2 2 3 3" xfId="0"/>
    <cellStyle name="Ввод  2 2 2 2 4" xfId="0"/>
    <cellStyle name="Ввод  2 2 2 2 5" xfId="0"/>
    <cellStyle name="Ввод  2 2 2 3" xfId="0"/>
    <cellStyle name="Ввод  2 2 2 3 2" xfId="0"/>
    <cellStyle name="Ввод  2 2 2 3 2 2" xfId="0"/>
    <cellStyle name="Ввод  2 2 2 3 2 3" xfId="0"/>
    <cellStyle name="Ввод  2 2 2 3 3" xfId="0"/>
    <cellStyle name="Ввод  2 2 2 3 4" xfId="0"/>
    <cellStyle name="Ввод  2 2 2 4" xfId="0"/>
    <cellStyle name="Ввод  2 2 2 4 2" xfId="0"/>
    <cellStyle name="Ввод  2 2 2 4 3" xfId="0"/>
    <cellStyle name="Ввод  2 2 2 5" xfId="0"/>
    <cellStyle name="Ввод  2 2 2 6" xfId="0"/>
    <cellStyle name="Ввод  2 2 3" xfId="0"/>
    <cellStyle name="Ввод  2 2 3 2" xfId="0"/>
    <cellStyle name="Ввод  2 2 3 2 2" xfId="0"/>
    <cellStyle name="Ввод  2 2 3 2 2 2" xfId="0"/>
    <cellStyle name="Ввод  2 2 3 2 2 2 2" xfId="0"/>
    <cellStyle name="Ввод  2 2 3 2 2 2 3" xfId="0"/>
    <cellStyle name="Ввод  2 2 3 2 2 3" xfId="0"/>
    <cellStyle name="Ввод  2 2 3 2 2 4" xfId="0"/>
    <cellStyle name="Ввод  2 2 3 2 3" xfId="0"/>
    <cellStyle name="Ввод  2 2 3 2 3 2" xfId="0"/>
    <cellStyle name="Ввод  2 2 3 2 3 3" xfId="0"/>
    <cellStyle name="Ввод  2 2 3 2 4" xfId="0"/>
    <cellStyle name="Ввод  2 2 3 2 5" xfId="0"/>
    <cellStyle name="Ввод  2 2 3 3" xfId="0"/>
    <cellStyle name="Ввод  2 2 3 3 2" xfId="0"/>
    <cellStyle name="Ввод  2 2 3 3 2 2" xfId="0"/>
    <cellStyle name="Ввод  2 2 3 3 2 3" xfId="0"/>
    <cellStyle name="Ввод  2 2 3 3 3" xfId="0"/>
    <cellStyle name="Ввод  2 2 3 3 4" xfId="0"/>
    <cellStyle name="Ввод  2 2 3 4" xfId="0"/>
    <cellStyle name="Ввод  2 2 3 4 2" xfId="0"/>
    <cellStyle name="Ввод  2 2 3 4 3" xfId="0"/>
    <cellStyle name="Ввод  2 2 3 5" xfId="0"/>
    <cellStyle name="Ввод  2 2 3 6" xfId="0"/>
    <cellStyle name="Ввод  2 2 4" xfId="0"/>
    <cellStyle name="Ввод  2 2 4 2" xfId="0"/>
    <cellStyle name="Ввод  2 2 4 2 2" xfId="0"/>
    <cellStyle name="Ввод  2 2 4 2 2 2" xfId="0"/>
    <cellStyle name="Ввод  2 2 4 2 2 2 2" xfId="0"/>
    <cellStyle name="Ввод  2 2 4 2 2 2 3" xfId="0"/>
    <cellStyle name="Ввод  2 2 4 2 2 3" xfId="0"/>
    <cellStyle name="Ввод  2 2 4 2 2 4" xfId="0"/>
    <cellStyle name="Ввод  2 2 4 2 3" xfId="0"/>
    <cellStyle name="Ввод  2 2 4 2 3 2" xfId="0"/>
    <cellStyle name="Ввод  2 2 4 2 3 3" xfId="0"/>
    <cellStyle name="Ввод  2 2 4 2 4" xfId="0"/>
    <cellStyle name="Ввод  2 2 4 2 5" xfId="0"/>
    <cellStyle name="Ввод  2 2 4 3" xfId="0"/>
    <cellStyle name="Ввод  2 2 4 3 2" xfId="0"/>
    <cellStyle name="Ввод  2 2 4 3 2 2" xfId="0"/>
    <cellStyle name="Ввод  2 2 4 3 2 3" xfId="0"/>
    <cellStyle name="Ввод  2 2 4 3 3" xfId="0"/>
    <cellStyle name="Ввод  2 2 4 3 4" xfId="0"/>
    <cellStyle name="Ввод  2 2 4 4" xfId="0"/>
    <cellStyle name="Ввод  2 2 4 4 2" xfId="0"/>
    <cellStyle name="Ввод  2 2 4 4 3" xfId="0"/>
    <cellStyle name="Ввод  2 2 4 5" xfId="0"/>
    <cellStyle name="Ввод  2 2 4 6" xfId="0"/>
    <cellStyle name="Ввод  2 2 5" xfId="0"/>
    <cellStyle name="Ввод  2 2 5 2" xfId="0"/>
    <cellStyle name="Ввод  2 2 5 2 2" xfId="0"/>
    <cellStyle name="Ввод  2 2 5 2 2 2" xfId="0"/>
    <cellStyle name="Ввод  2 2 5 2 2 2 2" xfId="0"/>
    <cellStyle name="Ввод  2 2 5 2 2 2 3" xfId="0"/>
    <cellStyle name="Ввод  2 2 5 2 2 3" xfId="0"/>
    <cellStyle name="Ввод  2 2 5 2 2 4" xfId="0"/>
    <cellStyle name="Ввод  2 2 5 2 3" xfId="0"/>
    <cellStyle name="Ввод  2 2 5 2 3 2" xfId="0"/>
    <cellStyle name="Ввод  2 2 5 2 3 3" xfId="0"/>
    <cellStyle name="Ввод  2 2 5 2 4" xfId="0"/>
    <cellStyle name="Ввод  2 2 5 2 5" xfId="0"/>
    <cellStyle name="Ввод  2 2 5 3" xfId="0"/>
    <cellStyle name="Ввод  2 2 5 3 2" xfId="0"/>
    <cellStyle name="Ввод  2 2 5 3 2 2" xfId="0"/>
    <cellStyle name="Ввод  2 2 5 3 2 3" xfId="0"/>
    <cellStyle name="Ввод  2 2 5 3 3" xfId="0"/>
    <cellStyle name="Ввод  2 2 5 3 4" xfId="0"/>
    <cellStyle name="Ввод  2 2 5 4" xfId="0"/>
    <cellStyle name="Ввод  2 2 5 4 2" xfId="0"/>
    <cellStyle name="Ввод  2 2 5 4 3" xfId="0"/>
    <cellStyle name="Ввод  2 2 5 5" xfId="0"/>
    <cellStyle name="Ввод  2 2 5 6" xfId="0"/>
    <cellStyle name="Ввод  2 2 6" xfId="0"/>
    <cellStyle name="Ввод  2 2 6 2" xfId="0"/>
    <cellStyle name="Ввод  2 2 6 2 2" xfId="0"/>
    <cellStyle name="Ввод  2 2 6 2 2 2" xfId="0"/>
    <cellStyle name="Ввод  2 2 6 2 2 3" xfId="0"/>
    <cellStyle name="Ввод  2 2 6 2 3" xfId="0"/>
    <cellStyle name="Ввод  2 2 6 2 4" xfId="0"/>
    <cellStyle name="Ввод  2 2 6 3" xfId="0"/>
    <cellStyle name="Ввод  2 2 6 3 2" xfId="0"/>
    <cellStyle name="Ввод  2 2 6 3 3" xfId="0"/>
    <cellStyle name="Ввод  2 2 6 4" xfId="0"/>
    <cellStyle name="Ввод  2 2 6 5" xfId="0"/>
    <cellStyle name="Ввод  2 2 7" xfId="0"/>
    <cellStyle name="Ввод  2 2 7 2" xfId="0"/>
    <cellStyle name="Ввод  2 2 7 2 2" xfId="0"/>
    <cellStyle name="Ввод  2 2 7 2 2 2" xfId="0"/>
    <cellStyle name="Ввод  2 2 7 2 2 3" xfId="0"/>
    <cellStyle name="Ввод  2 2 7 2 3" xfId="0"/>
    <cellStyle name="Ввод  2 2 7 2 4" xfId="0"/>
    <cellStyle name="Ввод  2 2 7 3" xfId="0"/>
    <cellStyle name="Ввод  2 2 7 3 2" xfId="0"/>
    <cellStyle name="Ввод  2 2 7 3 3" xfId="0"/>
    <cellStyle name="Ввод  2 2 7 4" xfId="0"/>
    <cellStyle name="Ввод  2 2 7 5" xfId="0"/>
    <cellStyle name="Ввод  2 2 8" xfId="0"/>
    <cellStyle name="Ввод  2 2 8 2" xfId="0"/>
    <cellStyle name="Ввод  2 2 8 3" xfId="0"/>
    <cellStyle name="Ввод  2 2 9" xfId="0"/>
    <cellStyle name="Ввод  2 2 9 2" xfId="0"/>
    <cellStyle name="Ввод  2 2 9 3" xfId="0"/>
    <cellStyle name="Ввод  2 20" xfId="0"/>
    <cellStyle name="Ввод  2 20 2" xfId="0"/>
    <cellStyle name="Ввод  2 20 2 2" xfId="0"/>
    <cellStyle name="Ввод  2 20 2 2 2" xfId="0"/>
    <cellStyle name="Ввод  2 20 2 2 2 2" xfId="0"/>
    <cellStyle name="Ввод  2 20 2 2 2 3" xfId="0"/>
    <cellStyle name="Ввод  2 20 2 2 3" xfId="0"/>
    <cellStyle name="Ввод  2 20 2 2 4" xfId="0"/>
    <cellStyle name="Ввод  2 20 2 3" xfId="0"/>
    <cellStyle name="Ввод  2 20 2 3 2" xfId="0"/>
    <cellStyle name="Ввод  2 20 2 3 3" xfId="0"/>
    <cellStyle name="Ввод  2 20 2 4" xfId="0"/>
    <cellStyle name="Ввод  2 20 2 5" xfId="0"/>
    <cellStyle name="Ввод  2 20 3" xfId="0"/>
    <cellStyle name="Ввод  2 20 3 2" xfId="0"/>
    <cellStyle name="Ввод  2 20 3 2 2" xfId="0"/>
    <cellStyle name="Ввод  2 20 3 2 3" xfId="0"/>
    <cellStyle name="Ввод  2 20 3 3" xfId="0"/>
    <cellStyle name="Ввод  2 20 3 4" xfId="0"/>
    <cellStyle name="Ввод  2 20 4" xfId="0"/>
    <cellStyle name="Ввод  2 20 4 2" xfId="0"/>
    <cellStyle name="Ввод  2 20 4 3" xfId="0"/>
    <cellStyle name="Ввод  2 20 5" xfId="0"/>
    <cellStyle name="Ввод  2 20 6" xfId="0"/>
    <cellStyle name="Ввод  2 21" xfId="0"/>
    <cellStyle name="Ввод  2 21 2" xfId="0"/>
    <cellStyle name="Ввод  2 21 2 2" xfId="0"/>
    <cellStyle name="Ввод  2 21 2 2 2" xfId="0"/>
    <cellStyle name="Ввод  2 21 2 2 3" xfId="0"/>
    <cellStyle name="Ввод  2 21 2 3" xfId="0"/>
    <cellStyle name="Ввод  2 21 2 4" xfId="0"/>
    <cellStyle name="Ввод  2 21 3" xfId="0"/>
    <cellStyle name="Ввод  2 21 3 2" xfId="0"/>
    <cellStyle name="Ввод  2 21 3 2 2" xfId="0"/>
    <cellStyle name="Ввод  2 21 3 2 3" xfId="0"/>
    <cellStyle name="Ввод  2 21 3 3" xfId="0"/>
    <cellStyle name="Ввод  2 21 3 4" xfId="0"/>
    <cellStyle name="Ввод  2 21 4" xfId="0"/>
    <cellStyle name="Ввод  2 21 4 2" xfId="0"/>
    <cellStyle name="Ввод  2 21 4 3" xfId="0"/>
    <cellStyle name="Ввод  2 21 5" xfId="0"/>
    <cellStyle name="Ввод  2 21 6" xfId="0"/>
    <cellStyle name="Ввод  2 22" xfId="0"/>
    <cellStyle name="Ввод  2 22 2" xfId="0"/>
    <cellStyle name="Ввод  2 22 2 2" xfId="0"/>
    <cellStyle name="Ввод  2 22 2 2 2" xfId="0"/>
    <cellStyle name="Ввод  2 22 2 2 3" xfId="0"/>
    <cellStyle name="Ввод  2 22 2 3" xfId="0"/>
    <cellStyle name="Ввод  2 22 2 4" xfId="0"/>
    <cellStyle name="Ввод  2 22 3" xfId="0"/>
    <cellStyle name="Ввод  2 22 3 2" xfId="0"/>
    <cellStyle name="Ввод  2 22 3 2 2" xfId="0"/>
    <cellStyle name="Ввод  2 22 3 2 3" xfId="0"/>
    <cellStyle name="Ввод  2 22 3 3" xfId="0"/>
    <cellStyle name="Ввод  2 22 3 4" xfId="0"/>
    <cellStyle name="Ввод  2 22 4" xfId="0"/>
    <cellStyle name="Ввод  2 22 4 2" xfId="0"/>
    <cellStyle name="Ввод  2 22 4 3" xfId="0"/>
    <cellStyle name="Ввод  2 22 5" xfId="0"/>
    <cellStyle name="Ввод  2 22 6" xfId="0"/>
    <cellStyle name="Ввод  2 23" xfId="0"/>
    <cellStyle name="Ввод  2 23 2" xfId="0"/>
    <cellStyle name="Ввод  2 23 2 2" xfId="0"/>
    <cellStyle name="Ввод  2 23 2 2 2" xfId="0"/>
    <cellStyle name="Ввод  2 23 2 2 3" xfId="0"/>
    <cellStyle name="Ввод  2 23 2 3" xfId="0"/>
    <cellStyle name="Ввод  2 23 2 4" xfId="0"/>
    <cellStyle name="Ввод  2 23 3" xfId="0"/>
    <cellStyle name="Ввод  2 23 3 2" xfId="0"/>
    <cellStyle name="Ввод  2 23 3 2 2" xfId="0"/>
    <cellStyle name="Ввод  2 23 3 2 3" xfId="0"/>
    <cellStyle name="Ввод  2 23 3 3" xfId="0"/>
    <cellStyle name="Ввод  2 23 3 4" xfId="0"/>
    <cellStyle name="Ввод  2 23 4" xfId="0"/>
    <cellStyle name="Ввод  2 23 4 2" xfId="0"/>
    <cellStyle name="Ввод  2 23 4 3" xfId="0"/>
    <cellStyle name="Ввод  2 23 5" xfId="0"/>
    <cellStyle name="Ввод  2 23 6" xfId="0"/>
    <cellStyle name="Ввод  2 24" xfId="0"/>
    <cellStyle name="Ввод  2 24 2" xfId="0"/>
    <cellStyle name="Ввод  2 24 2 2" xfId="0"/>
    <cellStyle name="Ввод  2 24 2 2 2" xfId="0"/>
    <cellStyle name="Ввод  2 24 2 2 3" xfId="0"/>
    <cellStyle name="Ввод  2 24 2 3" xfId="0"/>
    <cellStyle name="Ввод  2 24 2 4" xfId="0"/>
    <cellStyle name="Ввод  2 24 3" xfId="0"/>
    <cellStyle name="Ввод  2 24 3 2" xfId="0"/>
    <cellStyle name="Ввод  2 24 3 2 2" xfId="0"/>
    <cellStyle name="Ввод  2 24 3 2 3" xfId="0"/>
    <cellStyle name="Ввод  2 24 3 3" xfId="0"/>
    <cellStyle name="Ввод  2 24 3 4" xfId="0"/>
    <cellStyle name="Ввод  2 24 4" xfId="0"/>
    <cellStyle name="Ввод  2 24 4 2" xfId="0"/>
    <cellStyle name="Ввод  2 24 4 3" xfId="0"/>
    <cellStyle name="Ввод  2 24 5" xfId="0"/>
    <cellStyle name="Ввод  2 24 6" xfId="0"/>
    <cellStyle name="Ввод  2 25" xfId="0"/>
    <cellStyle name="Ввод  2 25 2" xfId="0"/>
    <cellStyle name="Ввод  2 25 2 2" xfId="0"/>
    <cellStyle name="Ввод  2 25 2 2 2" xfId="0"/>
    <cellStyle name="Ввод  2 25 2 2 3" xfId="0"/>
    <cellStyle name="Ввод  2 25 2 3" xfId="0"/>
    <cellStyle name="Ввод  2 25 2 4" xfId="0"/>
    <cellStyle name="Ввод  2 25 3" xfId="0"/>
    <cellStyle name="Ввод  2 25 3 2" xfId="0"/>
    <cellStyle name="Ввод  2 25 3 3" xfId="0"/>
    <cellStyle name="Ввод  2 25 4" xfId="0"/>
    <cellStyle name="Ввод  2 25 5" xfId="0"/>
    <cellStyle name="Ввод  2 26" xfId="0"/>
    <cellStyle name="Ввод  2 26 2" xfId="0"/>
    <cellStyle name="Ввод  2 26 2 2" xfId="0"/>
    <cellStyle name="Ввод  2 26 2 2 2" xfId="0"/>
    <cellStyle name="Ввод  2 26 2 2 3" xfId="0"/>
    <cellStyle name="Ввод  2 26 2 3" xfId="0"/>
    <cellStyle name="Ввод  2 26 2 4" xfId="0"/>
    <cellStyle name="Ввод  2 26 3" xfId="0"/>
    <cellStyle name="Ввод  2 26 3 2" xfId="0"/>
    <cellStyle name="Ввод  2 26 3 3" xfId="0"/>
    <cellStyle name="Ввод  2 26 4" xfId="0"/>
    <cellStyle name="Ввод  2 26 5" xfId="0"/>
    <cellStyle name="Ввод  2 27" xfId="0"/>
    <cellStyle name="Ввод  2 27 2" xfId="0"/>
    <cellStyle name="Ввод  2 27 2 2" xfId="0"/>
    <cellStyle name="Ввод  2 27 2 3" xfId="0"/>
    <cellStyle name="Ввод  2 27 3" xfId="0"/>
    <cellStyle name="Ввод  2 27 4" xfId="0"/>
    <cellStyle name="Ввод  2 28" xfId="0"/>
    <cellStyle name="Ввод  2 28 2" xfId="0"/>
    <cellStyle name="Ввод  2 28 2 2" xfId="0"/>
    <cellStyle name="Ввод  2 28 2 3" xfId="0"/>
    <cellStyle name="Ввод  2 28 3" xfId="0"/>
    <cellStyle name="Ввод  2 28 4" xfId="0"/>
    <cellStyle name="Ввод  2 29" xfId="0"/>
    <cellStyle name="Ввод  2 29 2" xfId="0"/>
    <cellStyle name="Ввод  2 29 3" xfId="0"/>
    <cellStyle name="Ввод  2 3" xfId="0"/>
    <cellStyle name="Ввод  2 3 10" xfId="0"/>
    <cellStyle name="Ввод  2 3 2" xfId="0"/>
    <cellStyle name="Ввод  2 3 2 2" xfId="0"/>
    <cellStyle name="Ввод  2 3 2 2 2" xfId="0"/>
    <cellStyle name="Ввод  2 3 2 2 2 2" xfId="0"/>
    <cellStyle name="Ввод  2 3 2 2 2 3" xfId="0"/>
    <cellStyle name="Ввод  2 3 2 2 3" xfId="0"/>
    <cellStyle name="Ввод  2 3 2 2 4" xfId="0"/>
    <cellStyle name="Ввод  2 3 2 3" xfId="0"/>
    <cellStyle name="Ввод  2 3 2 3 2" xfId="0"/>
    <cellStyle name="Ввод  2 3 2 3 2 2" xfId="0"/>
    <cellStyle name="Ввод  2 3 2 3 2 3" xfId="0"/>
    <cellStyle name="Ввод  2 3 2 3 3" xfId="0"/>
    <cellStyle name="Ввод  2 3 2 3 4" xfId="0"/>
    <cellStyle name="Ввод  2 3 2 4" xfId="0"/>
    <cellStyle name="Ввод  2 3 2 4 2" xfId="0"/>
    <cellStyle name="Ввод  2 3 2 4 3" xfId="0"/>
    <cellStyle name="Ввод  2 3 2 5" xfId="0"/>
    <cellStyle name="Ввод  2 3 2 6" xfId="0"/>
    <cellStyle name="Ввод  2 3 3" xfId="0"/>
    <cellStyle name="Ввод  2 3 3 2" xfId="0"/>
    <cellStyle name="Ввод  2 3 3 2 2" xfId="0"/>
    <cellStyle name="Ввод  2 3 3 2 2 2" xfId="0"/>
    <cellStyle name="Ввод  2 3 3 2 2 3" xfId="0"/>
    <cellStyle name="Ввод  2 3 3 2 3" xfId="0"/>
    <cellStyle name="Ввод  2 3 3 2 4" xfId="0"/>
    <cellStyle name="Ввод  2 3 3 3" xfId="0"/>
    <cellStyle name="Ввод  2 3 3 3 2" xfId="0"/>
    <cellStyle name="Ввод  2 3 3 3 2 2" xfId="0"/>
    <cellStyle name="Ввод  2 3 3 3 2 3" xfId="0"/>
    <cellStyle name="Ввод  2 3 3 3 3" xfId="0"/>
    <cellStyle name="Ввод  2 3 3 3 4" xfId="0"/>
    <cellStyle name="Ввод  2 3 3 4" xfId="0"/>
    <cellStyle name="Ввод  2 3 3 4 2" xfId="0"/>
    <cellStyle name="Ввод  2 3 3 4 3" xfId="0"/>
    <cellStyle name="Ввод  2 3 3 5" xfId="0"/>
    <cellStyle name="Ввод  2 3 3 6" xfId="0"/>
    <cellStyle name="Ввод  2 3 4" xfId="0"/>
    <cellStyle name="Ввод  2 3 4 2" xfId="0"/>
    <cellStyle name="Ввод  2 3 4 2 2" xfId="0"/>
    <cellStyle name="Ввод  2 3 4 2 2 2" xfId="0"/>
    <cellStyle name="Ввод  2 3 4 2 2 3" xfId="0"/>
    <cellStyle name="Ввод  2 3 4 2 3" xfId="0"/>
    <cellStyle name="Ввод  2 3 4 2 4" xfId="0"/>
    <cellStyle name="Ввод  2 3 4 3" xfId="0"/>
    <cellStyle name="Ввод  2 3 4 3 2" xfId="0"/>
    <cellStyle name="Ввод  2 3 4 3 2 2" xfId="0"/>
    <cellStyle name="Ввод  2 3 4 3 2 3" xfId="0"/>
    <cellStyle name="Ввод  2 3 4 3 3" xfId="0"/>
    <cellStyle name="Ввод  2 3 4 3 4" xfId="0"/>
    <cellStyle name="Ввод  2 3 4 4" xfId="0"/>
    <cellStyle name="Ввод  2 3 4 4 2" xfId="0"/>
    <cellStyle name="Ввод  2 3 4 4 3" xfId="0"/>
    <cellStyle name="Ввод  2 3 4 5" xfId="0"/>
    <cellStyle name="Ввод  2 3 4 6" xfId="0"/>
    <cellStyle name="Ввод  2 3 5" xfId="0"/>
    <cellStyle name="Ввод  2 3 5 2" xfId="0"/>
    <cellStyle name="Ввод  2 3 5 2 2" xfId="0"/>
    <cellStyle name="Ввод  2 3 5 2 2 2" xfId="0"/>
    <cellStyle name="Ввод  2 3 5 2 2 3" xfId="0"/>
    <cellStyle name="Ввод  2 3 5 2 3" xfId="0"/>
    <cellStyle name="Ввод  2 3 5 2 4" xfId="0"/>
    <cellStyle name="Ввод  2 3 5 3" xfId="0"/>
    <cellStyle name="Ввод  2 3 5 3 2" xfId="0"/>
    <cellStyle name="Ввод  2 3 5 3 2 2" xfId="0"/>
    <cellStyle name="Ввод  2 3 5 3 2 3" xfId="0"/>
    <cellStyle name="Ввод  2 3 5 3 3" xfId="0"/>
    <cellStyle name="Ввод  2 3 5 3 4" xfId="0"/>
    <cellStyle name="Ввод  2 3 5 4" xfId="0"/>
    <cellStyle name="Ввод  2 3 5 4 2" xfId="0"/>
    <cellStyle name="Ввод  2 3 5 4 3" xfId="0"/>
    <cellStyle name="Ввод  2 3 5 5" xfId="0"/>
    <cellStyle name="Ввод  2 3 5 6" xfId="0"/>
    <cellStyle name="Ввод  2 3 6" xfId="0"/>
    <cellStyle name="Ввод  2 3 6 2" xfId="0"/>
    <cellStyle name="Ввод  2 3 6 2 2" xfId="0"/>
    <cellStyle name="Ввод  2 3 6 2 2 2" xfId="0"/>
    <cellStyle name="Ввод  2 3 6 2 2 3" xfId="0"/>
    <cellStyle name="Ввод  2 3 6 2 3" xfId="0"/>
    <cellStyle name="Ввод  2 3 6 2 4" xfId="0"/>
    <cellStyle name="Ввод  2 3 6 3" xfId="0"/>
    <cellStyle name="Ввод  2 3 6 3 2" xfId="0"/>
    <cellStyle name="Ввод  2 3 6 3 3" xfId="0"/>
    <cellStyle name="Ввод  2 3 6 4" xfId="0"/>
    <cellStyle name="Ввод  2 3 6 5" xfId="0"/>
    <cellStyle name="Ввод  2 3 7" xfId="0"/>
    <cellStyle name="Ввод  2 3 7 2" xfId="0"/>
    <cellStyle name="Ввод  2 3 7 2 2" xfId="0"/>
    <cellStyle name="Ввод  2 3 7 2 2 2" xfId="0"/>
    <cellStyle name="Ввод  2 3 7 2 2 3" xfId="0"/>
    <cellStyle name="Ввод  2 3 7 2 3" xfId="0"/>
    <cellStyle name="Ввод  2 3 7 2 4" xfId="0"/>
    <cellStyle name="Ввод  2 3 7 3" xfId="0"/>
    <cellStyle name="Ввод  2 3 7 3 2" xfId="0"/>
    <cellStyle name="Ввод  2 3 7 3 3" xfId="0"/>
    <cellStyle name="Ввод  2 3 7 4" xfId="0"/>
    <cellStyle name="Ввод  2 3 7 5" xfId="0"/>
    <cellStyle name="Ввод  2 3 8" xfId="0"/>
    <cellStyle name="Ввод  2 3 8 2" xfId="0"/>
    <cellStyle name="Ввод  2 3 8 3" xfId="0"/>
    <cellStyle name="Ввод  2 3 9" xfId="0"/>
    <cellStyle name="Ввод  2 30" xfId="0"/>
    <cellStyle name="Ввод  2 30 2" xfId="0"/>
    <cellStyle name="Ввод  2 30 3" xfId="0"/>
    <cellStyle name="Ввод  2 31" xfId="0"/>
    <cellStyle name="Ввод  2 31 2" xfId="0"/>
    <cellStyle name="Ввод  2 31 3" xfId="0"/>
    <cellStyle name="Ввод  2 32" xfId="0"/>
    <cellStyle name="Ввод  2 32 2" xfId="0"/>
    <cellStyle name="Ввод  2 32 3" xfId="0"/>
    <cellStyle name="Ввод  2 33" xfId="0"/>
    <cellStyle name="Ввод  2 4" xfId="0"/>
    <cellStyle name="Ввод  2 4 10" xfId="0"/>
    <cellStyle name="Ввод  2 4 2" xfId="0"/>
    <cellStyle name="Ввод  2 4 2 2" xfId="0"/>
    <cellStyle name="Ввод  2 4 2 2 2" xfId="0"/>
    <cellStyle name="Ввод  2 4 2 2 2 2" xfId="0"/>
    <cellStyle name="Ввод  2 4 2 2 2 3" xfId="0"/>
    <cellStyle name="Ввод  2 4 2 2 3" xfId="0"/>
    <cellStyle name="Ввод  2 4 2 2 4" xfId="0"/>
    <cellStyle name="Ввод  2 4 2 3" xfId="0"/>
    <cellStyle name="Ввод  2 4 2 3 2" xfId="0"/>
    <cellStyle name="Ввод  2 4 2 3 2 2" xfId="0"/>
    <cellStyle name="Ввод  2 4 2 3 2 3" xfId="0"/>
    <cellStyle name="Ввод  2 4 2 3 3" xfId="0"/>
    <cellStyle name="Ввод  2 4 2 3 4" xfId="0"/>
    <cellStyle name="Ввод  2 4 2 4" xfId="0"/>
    <cellStyle name="Ввод  2 4 2 4 2" xfId="0"/>
    <cellStyle name="Ввод  2 4 2 4 3" xfId="0"/>
    <cellStyle name="Ввод  2 4 2 5" xfId="0"/>
    <cellStyle name="Ввод  2 4 2 6" xfId="0"/>
    <cellStyle name="Ввод  2 4 3" xfId="0"/>
    <cellStyle name="Ввод  2 4 3 2" xfId="0"/>
    <cellStyle name="Ввод  2 4 3 2 2" xfId="0"/>
    <cellStyle name="Ввод  2 4 3 2 2 2" xfId="0"/>
    <cellStyle name="Ввод  2 4 3 2 2 3" xfId="0"/>
    <cellStyle name="Ввод  2 4 3 2 3" xfId="0"/>
    <cellStyle name="Ввод  2 4 3 2 4" xfId="0"/>
    <cellStyle name="Ввод  2 4 3 3" xfId="0"/>
    <cellStyle name="Ввод  2 4 3 3 2" xfId="0"/>
    <cellStyle name="Ввод  2 4 3 3 2 2" xfId="0"/>
    <cellStyle name="Ввод  2 4 3 3 2 3" xfId="0"/>
    <cellStyle name="Ввод  2 4 3 3 3" xfId="0"/>
    <cellStyle name="Ввод  2 4 3 3 4" xfId="0"/>
    <cellStyle name="Ввод  2 4 3 4" xfId="0"/>
    <cellStyle name="Ввод  2 4 3 4 2" xfId="0"/>
    <cellStyle name="Ввод  2 4 3 4 3" xfId="0"/>
    <cellStyle name="Ввод  2 4 3 5" xfId="0"/>
    <cellStyle name="Ввод  2 4 3 6" xfId="0"/>
    <cellStyle name="Ввод  2 4 4" xfId="0"/>
    <cellStyle name="Ввод  2 4 4 2" xfId="0"/>
    <cellStyle name="Ввод  2 4 4 2 2" xfId="0"/>
    <cellStyle name="Ввод  2 4 4 2 2 2" xfId="0"/>
    <cellStyle name="Ввод  2 4 4 2 2 3" xfId="0"/>
    <cellStyle name="Ввод  2 4 4 2 3" xfId="0"/>
    <cellStyle name="Ввод  2 4 4 2 4" xfId="0"/>
    <cellStyle name="Ввод  2 4 4 3" xfId="0"/>
    <cellStyle name="Ввод  2 4 4 3 2" xfId="0"/>
    <cellStyle name="Ввод  2 4 4 3 2 2" xfId="0"/>
    <cellStyle name="Ввод  2 4 4 3 2 3" xfId="0"/>
    <cellStyle name="Ввод  2 4 4 3 3" xfId="0"/>
    <cellStyle name="Ввод  2 4 4 3 4" xfId="0"/>
    <cellStyle name="Ввод  2 4 4 4" xfId="0"/>
    <cellStyle name="Ввод  2 4 4 4 2" xfId="0"/>
    <cellStyle name="Ввод  2 4 4 4 3" xfId="0"/>
    <cellStyle name="Ввод  2 4 4 5" xfId="0"/>
    <cellStyle name="Ввод  2 4 4 6" xfId="0"/>
    <cellStyle name="Ввод  2 4 5" xfId="0"/>
    <cellStyle name="Ввод  2 4 5 2" xfId="0"/>
    <cellStyle name="Ввод  2 4 5 2 2" xfId="0"/>
    <cellStyle name="Ввод  2 4 5 2 2 2" xfId="0"/>
    <cellStyle name="Ввод  2 4 5 2 2 3" xfId="0"/>
    <cellStyle name="Ввод  2 4 5 2 3" xfId="0"/>
    <cellStyle name="Ввод  2 4 5 2 4" xfId="0"/>
    <cellStyle name="Ввод  2 4 5 3" xfId="0"/>
    <cellStyle name="Ввод  2 4 5 3 2" xfId="0"/>
    <cellStyle name="Ввод  2 4 5 3 2 2" xfId="0"/>
    <cellStyle name="Ввод  2 4 5 3 2 3" xfId="0"/>
    <cellStyle name="Ввод  2 4 5 3 3" xfId="0"/>
    <cellStyle name="Ввод  2 4 5 3 4" xfId="0"/>
    <cellStyle name="Ввод  2 4 5 4" xfId="0"/>
    <cellStyle name="Ввод  2 4 5 4 2" xfId="0"/>
    <cellStyle name="Ввод  2 4 5 4 3" xfId="0"/>
    <cellStyle name="Ввод  2 4 5 5" xfId="0"/>
    <cellStyle name="Ввод  2 4 5 6" xfId="0"/>
    <cellStyle name="Ввод  2 4 6" xfId="0"/>
    <cellStyle name="Ввод  2 4 6 2" xfId="0"/>
    <cellStyle name="Ввод  2 4 6 2 2" xfId="0"/>
    <cellStyle name="Ввод  2 4 6 2 2 2" xfId="0"/>
    <cellStyle name="Ввод  2 4 6 2 2 3" xfId="0"/>
    <cellStyle name="Ввод  2 4 6 2 3" xfId="0"/>
    <cellStyle name="Ввод  2 4 6 2 4" xfId="0"/>
    <cellStyle name="Ввод  2 4 6 3" xfId="0"/>
    <cellStyle name="Ввод  2 4 6 3 2" xfId="0"/>
    <cellStyle name="Ввод  2 4 6 3 3" xfId="0"/>
    <cellStyle name="Ввод  2 4 6 4" xfId="0"/>
    <cellStyle name="Ввод  2 4 6 5" xfId="0"/>
    <cellStyle name="Ввод  2 4 7" xfId="0"/>
    <cellStyle name="Ввод  2 4 7 2" xfId="0"/>
    <cellStyle name="Ввод  2 4 7 2 2" xfId="0"/>
    <cellStyle name="Ввод  2 4 7 2 2 2" xfId="0"/>
    <cellStyle name="Ввод  2 4 7 2 2 3" xfId="0"/>
    <cellStyle name="Ввод  2 4 7 2 3" xfId="0"/>
    <cellStyle name="Ввод  2 4 7 2 4" xfId="0"/>
    <cellStyle name="Ввод  2 4 7 3" xfId="0"/>
    <cellStyle name="Ввод  2 4 7 3 2" xfId="0"/>
    <cellStyle name="Ввод  2 4 7 3 3" xfId="0"/>
    <cellStyle name="Ввод  2 4 7 4" xfId="0"/>
    <cellStyle name="Ввод  2 4 7 5" xfId="0"/>
    <cellStyle name="Ввод  2 4 8" xfId="0"/>
    <cellStyle name="Ввод  2 4 8 2" xfId="0"/>
    <cellStyle name="Ввод  2 4 8 3" xfId="0"/>
    <cellStyle name="Ввод  2 4 9" xfId="0"/>
    <cellStyle name="Ввод  2 5" xfId="0"/>
    <cellStyle name="Ввод  2 5 2" xfId="0"/>
    <cellStyle name="Ввод  2 5 2 2" xfId="0"/>
    <cellStyle name="Ввод  2 5 2 2 2" xfId="0"/>
    <cellStyle name="Ввод  2 5 2 2 2 2" xfId="0"/>
    <cellStyle name="Ввод  2 5 2 2 2 3" xfId="0"/>
    <cellStyle name="Ввод  2 5 2 2 3" xfId="0"/>
    <cellStyle name="Ввод  2 5 2 2 4" xfId="0"/>
    <cellStyle name="Ввод  2 5 2 3" xfId="0"/>
    <cellStyle name="Ввод  2 5 2 3 2" xfId="0"/>
    <cellStyle name="Ввод  2 5 2 3 2 2" xfId="0"/>
    <cellStyle name="Ввод  2 5 2 3 2 3" xfId="0"/>
    <cellStyle name="Ввод  2 5 2 3 3" xfId="0"/>
    <cellStyle name="Ввод  2 5 2 3 4" xfId="0"/>
    <cellStyle name="Ввод  2 5 2 4" xfId="0"/>
    <cellStyle name="Ввод  2 5 2 4 2" xfId="0"/>
    <cellStyle name="Ввод  2 5 2 4 3" xfId="0"/>
    <cellStyle name="Ввод  2 5 2 5" xfId="0"/>
    <cellStyle name="Ввод  2 5 2 6" xfId="0"/>
    <cellStyle name="Ввод  2 5 3" xfId="0"/>
    <cellStyle name="Ввод  2 5 3 2" xfId="0"/>
    <cellStyle name="Ввод  2 5 3 2 2" xfId="0"/>
    <cellStyle name="Ввод  2 5 3 2 2 2" xfId="0"/>
    <cellStyle name="Ввод  2 5 3 2 2 3" xfId="0"/>
    <cellStyle name="Ввод  2 5 3 2 3" xfId="0"/>
    <cellStyle name="Ввод  2 5 3 2 4" xfId="0"/>
    <cellStyle name="Ввод  2 5 3 3" xfId="0"/>
    <cellStyle name="Ввод  2 5 3 3 2" xfId="0"/>
    <cellStyle name="Ввод  2 5 3 3 3" xfId="0"/>
    <cellStyle name="Ввод  2 5 3 4" xfId="0"/>
    <cellStyle name="Ввод  2 5 3 5" xfId="0"/>
    <cellStyle name="Ввод  2 5 4" xfId="0"/>
    <cellStyle name="Ввод  2 5 4 2" xfId="0"/>
    <cellStyle name="Ввод  2 5 4 2 2" xfId="0"/>
    <cellStyle name="Ввод  2 5 4 2 2 2" xfId="0"/>
    <cellStyle name="Ввод  2 5 4 2 2 3" xfId="0"/>
    <cellStyle name="Ввод  2 5 4 2 3" xfId="0"/>
    <cellStyle name="Ввод  2 5 4 2 4" xfId="0"/>
    <cellStyle name="Ввод  2 5 4 3" xfId="0"/>
    <cellStyle name="Ввод  2 5 4 3 2" xfId="0"/>
    <cellStyle name="Ввод  2 5 4 3 3" xfId="0"/>
    <cellStyle name="Ввод  2 5 4 4" xfId="0"/>
    <cellStyle name="Ввод  2 5 4 5" xfId="0"/>
    <cellStyle name="Ввод  2 5 5" xfId="0"/>
    <cellStyle name="Ввод  2 5 5 2" xfId="0"/>
    <cellStyle name="Ввод  2 5 5 3" xfId="0"/>
    <cellStyle name="Ввод  2 5 6" xfId="0"/>
    <cellStyle name="Ввод  2 5 7" xfId="0"/>
    <cellStyle name="Ввод  2 6" xfId="0"/>
    <cellStyle name="Ввод  2 6 2" xfId="0"/>
    <cellStyle name="Ввод  2 6 2 2" xfId="0"/>
    <cellStyle name="Ввод  2 6 2 2 2" xfId="0"/>
    <cellStyle name="Ввод  2 6 2 2 2 2" xfId="0"/>
    <cellStyle name="Ввод  2 6 2 2 2 3" xfId="0"/>
    <cellStyle name="Ввод  2 6 2 2 3" xfId="0"/>
    <cellStyle name="Ввод  2 6 2 2 4" xfId="0"/>
    <cellStyle name="Ввод  2 6 2 3" xfId="0"/>
    <cellStyle name="Ввод  2 6 2 3 2" xfId="0"/>
    <cellStyle name="Ввод  2 6 2 3 2 2" xfId="0"/>
    <cellStyle name="Ввод  2 6 2 3 2 3" xfId="0"/>
    <cellStyle name="Ввод  2 6 2 3 3" xfId="0"/>
    <cellStyle name="Ввод  2 6 2 3 4" xfId="0"/>
    <cellStyle name="Ввод  2 6 2 4" xfId="0"/>
    <cellStyle name="Ввод  2 6 2 4 2" xfId="0"/>
    <cellStyle name="Ввод  2 6 2 4 3" xfId="0"/>
    <cellStyle name="Ввод  2 6 2 5" xfId="0"/>
    <cellStyle name="Ввод  2 6 2 6" xfId="0"/>
    <cellStyle name="Ввод  2 6 3" xfId="0"/>
    <cellStyle name="Ввод  2 6 3 2" xfId="0"/>
    <cellStyle name="Ввод  2 6 3 2 2" xfId="0"/>
    <cellStyle name="Ввод  2 6 3 2 2 2" xfId="0"/>
    <cellStyle name="Ввод  2 6 3 2 2 3" xfId="0"/>
    <cellStyle name="Ввод  2 6 3 2 3" xfId="0"/>
    <cellStyle name="Ввод  2 6 3 2 4" xfId="0"/>
    <cellStyle name="Ввод  2 6 3 3" xfId="0"/>
    <cellStyle name="Ввод  2 6 3 3 2" xfId="0"/>
    <cellStyle name="Ввод  2 6 3 3 3" xfId="0"/>
    <cellStyle name="Ввод  2 6 3 4" xfId="0"/>
    <cellStyle name="Ввод  2 6 3 5" xfId="0"/>
    <cellStyle name="Ввод  2 6 4" xfId="0"/>
    <cellStyle name="Ввод  2 6 4 2" xfId="0"/>
    <cellStyle name="Ввод  2 6 4 2 2" xfId="0"/>
    <cellStyle name="Ввод  2 6 4 2 2 2" xfId="0"/>
    <cellStyle name="Ввод  2 6 4 2 2 3" xfId="0"/>
    <cellStyle name="Ввод  2 6 4 2 3" xfId="0"/>
    <cellStyle name="Ввод  2 6 4 2 4" xfId="0"/>
    <cellStyle name="Ввод  2 6 4 3" xfId="0"/>
    <cellStyle name="Ввод  2 6 4 3 2" xfId="0"/>
    <cellStyle name="Ввод  2 6 4 3 3" xfId="0"/>
    <cellStyle name="Ввод  2 6 4 4" xfId="0"/>
    <cellStyle name="Ввод  2 6 4 5" xfId="0"/>
    <cellStyle name="Ввод  2 6 5" xfId="0"/>
    <cellStyle name="Ввод  2 6 5 2" xfId="0"/>
    <cellStyle name="Ввод  2 6 5 3" xfId="0"/>
    <cellStyle name="Ввод  2 6 6" xfId="0"/>
    <cellStyle name="Ввод  2 6 7" xfId="0"/>
    <cellStyle name="Ввод  2 7" xfId="0"/>
    <cellStyle name="Ввод  2 7 2" xfId="0"/>
    <cellStyle name="Ввод  2 7 2 2" xfId="0"/>
    <cellStyle name="Ввод  2 7 2 2 2" xfId="0"/>
    <cellStyle name="Ввод  2 7 2 2 2 2" xfId="0"/>
    <cellStyle name="Ввод  2 7 2 2 2 3" xfId="0"/>
    <cellStyle name="Ввод  2 7 2 2 3" xfId="0"/>
    <cellStyle name="Ввод  2 7 2 2 4" xfId="0"/>
    <cellStyle name="Ввод  2 7 2 3" xfId="0"/>
    <cellStyle name="Ввод  2 7 2 3 2" xfId="0"/>
    <cellStyle name="Ввод  2 7 2 3 2 2" xfId="0"/>
    <cellStyle name="Ввод  2 7 2 3 2 3" xfId="0"/>
    <cellStyle name="Ввод  2 7 2 3 3" xfId="0"/>
    <cellStyle name="Ввод  2 7 2 3 4" xfId="0"/>
    <cellStyle name="Ввод  2 7 2 4" xfId="0"/>
    <cellStyle name="Ввод  2 7 2 4 2" xfId="0"/>
    <cellStyle name="Ввод  2 7 2 4 3" xfId="0"/>
    <cellStyle name="Ввод  2 7 2 5" xfId="0"/>
    <cellStyle name="Ввод  2 7 2 6" xfId="0"/>
    <cellStyle name="Ввод  2 7 3" xfId="0"/>
    <cellStyle name="Ввод  2 7 3 2" xfId="0"/>
    <cellStyle name="Ввод  2 7 3 2 2" xfId="0"/>
    <cellStyle name="Ввод  2 7 3 2 2 2" xfId="0"/>
    <cellStyle name="Ввод  2 7 3 2 2 3" xfId="0"/>
    <cellStyle name="Ввод  2 7 3 2 3" xfId="0"/>
    <cellStyle name="Ввод  2 7 3 2 4" xfId="0"/>
    <cellStyle name="Ввод  2 7 3 3" xfId="0"/>
    <cellStyle name="Ввод  2 7 3 3 2" xfId="0"/>
    <cellStyle name="Ввод  2 7 3 3 3" xfId="0"/>
    <cellStyle name="Ввод  2 7 3 4" xfId="0"/>
    <cellStyle name="Ввод  2 7 3 5" xfId="0"/>
    <cellStyle name="Ввод  2 7 4" xfId="0"/>
    <cellStyle name="Ввод  2 7 4 2" xfId="0"/>
    <cellStyle name="Ввод  2 7 4 2 2" xfId="0"/>
    <cellStyle name="Ввод  2 7 4 2 2 2" xfId="0"/>
    <cellStyle name="Ввод  2 7 4 2 2 3" xfId="0"/>
    <cellStyle name="Ввод  2 7 4 2 3" xfId="0"/>
    <cellStyle name="Ввод  2 7 4 2 4" xfId="0"/>
    <cellStyle name="Ввод  2 7 4 3" xfId="0"/>
    <cellStyle name="Ввод  2 7 4 3 2" xfId="0"/>
    <cellStyle name="Ввод  2 7 4 3 3" xfId="0"/>
    <cellStyle name="Ввод  2 7 4 4" xfId="0"/>
    <cellStyle name="Ввод  2 7 4 5" xfId="0"/>
    <cellStyle name="Ввод  2 7 5" xfId="0"/>
    <cellStyle name="Ввод  2 7 5 2" xfId="0"/>
    <cellStyle name="Ввод  2 7 5 3" xfId="0"/>
    <cellStyle name="Ввод  2 7 6" xfId="0"/>
    <cellStyle name="Ввод  2 7 7" xfId="0"/>
    <cellStyle name="Ввод  2 8" xfId="0"/>
    <cellStyle name="Ввод  2 8 2" xfId="0"/>
    <cellStyle name="Ввод  2 8 2 2" xfId="0"/>
    <cellStyle name="Ввод  2 8 2 2 2" xfId="0"/>
    <cellStyle name="Ввод  2 8 2 2 2 2" xfId="0"/>
    <cellStyle name="Ввод  2 8 2 2 2 3" xfId="0"/>
    <cellStyle name="Ввод  2 8 2 2 3" xfId="0"/>
    <cellStyle name="Ввод  2 8 2 2 4" xfId="0"/>
    <cellStyle name="Ввод  2 8 2 3" xfId="0"/>
    <cellStyle name="Ввод  2 8 2 3 2" xfId="0"/>
    <cellStyle name="Ввод  2 8 2 3 2 2" xfId="0"/>
    <cellStyle name="Ввод  2 8 2 3 2 3" xfId="0"/>
    <cellStyle name="Ввод  2 8 2 3 3" xfId="0"/>
    <cellStyle name="Ввод  2 8 2 3 4" xfId="0"/>
    <cellStyle name="Ввод  2 8 2 4" xfId="0"/>
    <cellStyle name="Ввод  2 8 2 4 2" xfId="0"/>
    <cellStyle name="Ввод  2 8 2 4 3" xfId="0"/>
    <cellStyle name="Ввод  2 8 2 5" xfId="0"/>
    <cellStyle name="Ввод  2 8 2 6" xfId="0"/>
    <cellStyle name="Ввод  2 8 3" xfId="0"/>
    <cellStyle name="Ввод  2 8 3 2" xfId="0"/>
    <cellStyle name="Ввод  2 8 3 2 2" xfId="0"/>
    <cellStyle name="Ввод  2 8 3 2 2 2" xfId="0"/>
    <cellStyle name="Ввод  2 8 3 2 2 3" xfId="0"/>
    <cellStyle name="Ввод  2 8 3 2 3" xfId="0"/>
    <cellStyle name="Ввод  2 8 3 2 4" xfId="0"/>
    <cellStyle name="Ввод  2 8 3 3" xfId="0"/>
    <cellStyle name="Ввод  2 8 3 3 2" xfId="0"/>
    <cellStyle name="Ввод  2 8 3 3 3" xfId="0"/>
    <cellStyle name="Ввод  2 8 3 4" xfId="0"/>
    <cellStyle name="Ввод  2 8 3 5" xfId="0"/>
    <cellStyle name="Ввод  2 8 4" xfId="0"/>
    <cellStyle name="Ввод  2 8 4 2" xfId="0"/>
    <cellStyle name="Ввод  2 8 4 2 2" xfId="0"/>
    <cellStyle name="Ввод  2 8 4 2 2 2" xfId="0"/>
    <cellStyle name="Ввод  2 8 4 2 2 3" xfId="0"/>
    <cellStyle name="Ввод  2 8 4 2 3" xfId="0"/>
    <cellStyle name="Ввод  2 8 4 2 4" xfId="0"/>
    <cellStyle name="Ввод  2 8 4 3" xfId="0"/>
    <cellStyle name="Ввод  2 8 4 3 2" xfId="0"/>
    <cellStyle name="Ввод  2 8 4 3 3" xfId="0"/>
    <cellStyle name="Ввод  2 8 4 4" xfId="0"/>
    <cellStyle name="Ввод  2 8 4 5" xfId="0"/>
    <cellStyle name="Ввод  2 8 5" xfId="0"/>
    <cellStyle name="Ввод  2 8 5 2" xfId="0"/>
    <cellStyle name="Ввод  2 8 5 3" xfId="0"/>
    <cellStyle name="Ввод  2 8 6" xfId="0"/>
    <cellStyle name="Ввод  2 8 7" xfId="0"/>
    <cellStyle name="Ввод  2 9" xfId="0"/>
    <cellStyle name="Ввод  2 9 2" xfId="0"/>
    <cellStyle name="Ввод  2 9 2 2" xfId="0"/>
    <cellStyle name="Ввод  2 9 2 2 2" xfId="0"/>
    <cellStyle name="Ввод  2 9 2 2 2 2" xfId="0"/>
    <cellStyle name="Ввод  2 9 2 2 2 3" xfId="0"/>
    <cellStyle name="Ввод  2 9 2 2 3" xfId="0"/>
    <cellStyle name="Ввод  2 9 2 2 4" xfId="0"/>
    <cellStyle name="Ввод  2 9 2 3" xfId="0"/>
    <cellStyle name="Ввод  2 9 2 3 2" xfId="0"/>
    <cellStyle name="Ввод  2 9 2 3 2 2" xfId="0"/>
    <cellStyle name="Ввод  2 9 2 3 2 3" xfId="0"/>
    <cellStyle name="Ввод  2 9 2 3 3" xfId="0"/>
    <cellStyle name="Ввод  2 9 2 3 4" xfId="0"/>
    <cellStyle name="Ввод  2 9 2 4" xfId="0"/>
    <cellStyle name="Ввод  2 9 2 4 2" xfId="0"/>
    <cellStyle name="Ввод  2 9 2 4 3" xfId="0"/>
    <cellStyle name="Ввод  2 9 2 5" xfId="0"/>
    <cellStyle name="Ввод  2 9 2 6" xfId="0"/>
    <cellStyle name="Ввод  2 9 3" xfId="0"/>
    <cellStyle name="Ввод  2 9 3 2" xfId="0"/>
    <cellStyle name="Ввод  2 9 3 2 2" xfId="0"/>
    <cellStyle name="Ввод  2 9 3 2 2 2" xfId="0"/>
    <cellStyle name="Ввод  2 9 3 2 2 3" xfId="0"/>
    <cellStyle name="Ввод  2 9 3 2 3" xfId="0"/>
    <cellStyle name="Ввод  2 9 3 2 4" xfId="0"/>
    <cellStyle name="Ввод  2 9 3 3" xfId="0"/>
    <cellStyle name="Ввод  2 9 3 3 2" xfId="0"/>
    <cellStyle name="Ввод  2 9 3 3 3" xfId="0"/>
    <cellStyle name="Ввод  2 9 3 4" xfId="0"/>
    <cellStyle name="Ввод  2 9 3 5" xfId="0"/>
    <cellStyle name="Ввод  2 9 4" xfId="0"/>
    <cellStyle name="Ввод  2 9 4 2" xfId="0"/>
    <cellStyle name="Ввод  2 9 4 2 2" xfId="0"/>
    <cellStyle name="Ввод  2 9 4 2 2 2" xfId="0"/>
    <cellStyle name="Ввод  2 9 4 2 2 3" xfId="0"/>
    <cellStyle name="Ввод  2 9 4 2 3" xfId="0"/>
    <cellStyle name="Ввод  2 9 4 2 4" xfId="0"/>
    <cellStyle name="Ввод  2 9 4 3" xfId="0"/>
    <cellStyle name="Ввод  2 9 4 3 2" xfId="0"/>
    <cellStyle name="Ввод  2 9 4 3 3" xfId="0"/>
    <cellStyle name="Ввод  2 9 4 4" xfId="0"/>
    <cellStyle name="Ввод  2 9 4 5" xfId="0"/>
    <cellStyle name="Ввод  2 9 5" xfId="0"/>
    <cellStyle name="Ввод  2 9 5 2" xfId="0"/>
    <cellStyle name="Ввод  2 9 5 3" xfId="0"/>
    <cellStyle name="Ввод  2 9 6" xfId="0"/>
    <cellStyle name="Ввод  2 9 7" xfId="0"/>
    <cellStyle name="Ввод  3" xfId="0"/>
    <cellStyle name="Ввод  3 10" xfId="0"/>
    <cellStyle name="Ввод  3 10 2" xfId="0"/>
    <cellStyle name="Ввод  3 10 2 2" xfId="0"/>
    <cellStyle name="Ввод  3 10 2 2 2" xfId="0"/>
    <cellStyle name="Ввод  3 10 2 2 2 2" xfId="0"/>
    <cellStyle name="Ввод  3 10 2 2 2 3" xfId="0"/>
    <cellStyle name="Ввод  3 10 2 2 3" xfId="0"/>
    <cellStyle name="Ввод  3 10 2 2 4" xfId="0"/>
    <cellStyle name="Ввод  3 10 2 3" xfId="0"/>
    <cellStyle name="Ввод  3 10 2 3 2" xfId="0"/>
    <cellStyle name="Ввод  3 10 2 3 2 2" xfId="0"/>
    <cellStyle name="Ввод  3 10 2 3 2 3" xfId="0"/>
    <cellStyle name="Ввод  3 10 2 3 3" xfId="0"/>
    <cellStyle name="Ввод  3 10 2 3 4" xfId="0"/>
    <cellStyle name="Ввод  3 10 2 4" xfId="0"/>
    <cellStyle name="Ввод  3 10 2 4 2" xfId="0"/>
    <cellStyle name="Ввод  3 10 2 4 3" xfId="0"/>
    <cellStyle name="Ввод  3 10 2 5" xfId="0"/>
    <cellStyle name="Ввод  3 10 2 6" xfId="0"/>
    <cellStyle name="Ввод  3 10 3" xfId="0"/>
    <cellStyle name="Ввод  3 10 3 2" xfId="0"/>
    <cellStyle name="Ввод  3 10 3 2 2" xfId="0"/>
    <cellStyle name="Ввод  3 10 3 2 2 2" xfId="0"/>
    <cellStyle name="Ввод  3 10 3 2 2 3" xfId="0"/>
    <cellStyle name="Ввод  3 10 3 2 3" xfId="0"/>
    <cellStyle name="Ввод  3 10 3 2 4" xfId="0"/>
    <cellStyle name="Ввод  3 10 3 3" xfId="0"/>
    <cellStyle name="Ввод  3 10 3 3 2" xfId="0"/>
    <cellStyle name="Ввод  3 10 3 3 3" xfId="0"/>
    <cellStyle name="Ввод  3 10 3 4" xfId="0"/>
    <cellStyle name="Ввод  3 10 3 5" xfId="0"/>
    <cellStyle name="Ввод  3 10 4" xfId="0"/>
    <cellStyle name="Ввод  3 10 4 2" xfId="0"/>
    <cellStyle name="Ввод  3 10 4 2 2" xfId="0"/>
    <cellStyle name="Ввод  3 10 4 2 2 2" xfId="0"/>
    <cellStyle name="Ввод  3 10 4 2 2 3" xfId="0"/>
    <cellStyle name="Ввод  3 10 4 2 3" xfId="0"/>
    <cellStyle name="Ввод  3 10 4 2 4" xfId="0"/>
    <cellStyle name="Ввод  3 10 4 3" xfId="0"/>
    <cellStyle name="Ввод  3 10 4 3 2" xfId="0"/>
    <cellStyle name="Ввод  3 10 4 3 3" xfId="0"/>
    <cellStyle name="Ввод  3 10 4 4" xfId="0"/>
    <cellStyle name="Ввод  3 10 4 5" xfId="0"/>
    <cellStyle name="Ввод  3 10 5" xfId="0"/>
    <cellStyle name="Ввод  3 10 5 2" xfId="0"/>
    <cellStyle name="Ввод  3 10 5 3" xfId="0"/>
    <cellStyle name="Ввод  3 10 6" xfId="0"/>
    <cellStyle name="Ввод  3 10 7" xfId="0"/>
    <cellStyle name="Ввод  3 11" xfId="0"/>
    <cellStyle name="Ввод  3 11 2" xfId="0"/>
    <cellStyle name="Ввод  3 11 2 2" xfId="0"/>
    <cellStyle name="Ввод  3 11 2 2 2" xfId="0"/>
    <cellStyle name="Ввод  3 11 2 2 2 2" xfId="0"/>
    <cellStyle name="Ввод  3 11 2 2 2 3" xfId="0"/>
    <cellStyle name="Ввод  3 11 2 2 3" xfId="0"/>
    <cellStyle name="Ввод  3 11 2 2 4" xfId="0"/>
    <cellStyle name="Ввод  3 11 2 3" xfId="0"/>
    <cellStyle name="Ввод  3 11 2 3 2" xfId="0"/>
    <cellStyle name="Ввод  3 11 2 3 2 2" xfId="0"/>
    <cellStyle name="Ввод  3 11 2 3 2 3" xfId="0"/>
    <cellStyle name="Ввод  3 11 2 3 3" xfId="0"/>
    <cellStyle name="Ввод  3 11 2 3 4" xfId="0"/>
    <cellStyle name="Ввод  3 11 2 4" xfId="0"/>
    <cellStyle name="Ввод  3 11 2 4 2" xfId="0"/>
    <cellStyle name="Ввод  3 11 2 4 3" xfId="0"/>
    <cellStyle name="Ввод  3 11 2 5" xfId="0"/>
    <cellStyle name="Ввод  3 11 2 6" xfId="0"/>
    <cellStyle name="Ввод  3 11 3" xfId="0"/>
    <cellStyle name="Ввод  3 11 3 2" xfId="0"/>
    <cellStyle name="Ввод  3 11 3 2 2" xfId="0"/>
    <cellStyle name="Ввод  3 11 3 2 2 2" xfId="0"/>
    <cellStyle name="Ввод  3 11 3 2 2 3" xfId="0"/>
    <cellStyle name="Ввод  3 11 3 2 3" xfId="0"/>
    <cellStyle name="Ввод  3 11 3 2 4" xfId="0"/>
    <cellStyle name="Ввод  3 11 3 3" xfId="0"/>
    <cellStyle name="Ввод  3 11 3 3 2" xfId="0"/>
    <cellStyle name="Ввод  3 11 3 3 3" xfId="0"/>
    <cellStyle name="Ввод  3 11 3 4" xfId="0"/>
    <cellStyle name="Ввод  3 11 3 5" xfId="0"/>
    <cellStyle name="Ввод  3 11 4" xfId="0"/>
    <cellStyle name="Ввод  3 11 4 2" xfId="0"/>
    <cellStyle name="Ввод  3 11 4 2 2" xfId="0"/>
    <cellStyle name="Ввод  3 11 4 2 2 2" xfId="0"/>
    <cellStyle name="Ввод  3 11 4 2 2 3" xfId="0"/>
    <cellStyle name="Ввод  3 11 4 2 3" xfId="0"/>
    <cellStyle name="Ввод  3 11 4 2 4" xfId="0"/>
    <cellStyle name="Ввод  3 11 4 3" xfId="0"/>
    <cellStyle name="Ввод  3 11 4 3 2" xfId="0"/>
    <cellStyle name="Ввод  3 11 4 3 3" xfId="0"/>
    <cellStyle name="Ввод  3 11 4 4" xfId="0"/>
    <cellStyle name="Ввод  3 11 4 5" xfId="0"/>
    <cellStyle name="Ввод  3 11 5" xfId="0"/>
    <cellStyle name="Ввод  3 11 5 2" xfId="0"/>
    <cellStyle name="Ввод  3 11 5 3" xfId="0"/>
    <cellStyle name="Ввод  3 11 6" xfId="0"/>
    <cellStyle name="Ввод  3 11 7" xfId="0"/>
    <cellStyle name="Ввод  3 12" xfId="0"/>
    <cellStyle name="Ввод  3 12 2" xfId="0"/>
    <cellStyle name="Ввод  3 12 2 2" xfId="0"/>
    <cellStyle name="Ввод  3 12 2 2 2" xfId="0"/>
    <cellStyle name="Ввод  3 12 2 2 2 2" xfId="0"/>
    <cellStyle name="Ввод  3 12 2 2 2 3" xfId="0"/>
    <cellStyle name="Ввод  3 12 2 2 3" xfId="0"/>
    <cellStyle name="Ввод  3 12 2 2 4" xfId="0"/>
    <cellStyle name="Ввод  3 12 2 3" xfId="0"/>
    <cellStyle name="Ввод  3 12 2 3 2" xfId="0"/>
    <cellStyle name="Ввод  3 12 2 3 2 2" xfId="0"/>
    <cellStyle name="Ввод  3 12 2 3 2 3" xfId="0"/>
    <cellStyle name="Ввод  3 12 2 3 3" xfId="0"/>
    <cellStyle name="Ввод  3 12 2 3 4" xfId="0"/>
    <cellStyle name="Ввод  3 12 2 4" xfId="0"/>
    <cellStyle name="Ввод  3 12 2 4 2" xfId="0"/>
    <cellStyle name="Ввод  3 12 2 4 3" xfId="0"/>
    <cellStyle name="Ввод  3 12 2 5" xfId="0"/>
    <cellStyle name="Ввод  3 12 2 6" xfId="0"/>
    <cellStyle name="Ввод  3 12 3" xfId="0"/>
    <cellStyle name="Ввод  3 12 3 2" xfId="0"/>
    <cellStyle name="Ввод  3 12 3 2 2" xfId="0"/>
    <cellStyle name="Ввод  3 12 3 2 2 2" xfId="0"/>
    <cellStyle name="Ввод  3 12 3 2 2 3" xfId="0"/>
    <cellStyle name="Ввод  3 12 3 2 3" xfId="0"/>
    <cellStyle name="Ввод  3 12 3 2 4" xfId="0"/>
    <cellStyle name="Ввод  3 12 3 3" xfId="0"/>
    <cellStyle name="Ввод  3 12 3 3 2" xfId="0"/>
    <cellStyle name="Ввод  3 12 3 3 3" xfId="0"/>
    <cellStyle name="Ввод  3 12 3 4" xfId="0"/>
    <cellStyle name="Ввод  3 12 3 5" xfId="0"/>
    <cellStyle name="Ввод  3 12 4" xfId="0"/>
    <cellStyle name="Ввод  3 12 4 2" xfId="0"/>
    <cellStyle name="Ввод  3 12 4 2 2" xfId="0"/>
    <cellStyle name="Ввод  3 12 4 2 2 2" xfId="0"/>
    <cellStyle name="Ввод  3 12 4 2 2 3" xfId="0"/>
    <cellStyle name="Ввод  3 12 4 2 3" xfId="0"/>
    <cellStyle name="Ввод  3 12 4 2 4" xfId="0"/>
    <cellStyle name="Ввод  3 12 4 3" xfId="0"/>
    <cellStyle name="Ввод  3 12 4 3 2" xfId="0"/>
    <cellStyle name="Ввод  3 12 4 3 3" xfId="0"/>
    <cellStyle name="Ввод  3 12 4 4" xfId="0"/>
    <cellStyle name="Ввод  3 12 4 5" xfId="0"/>
    <cellStyle name="Ввод  3 12 5" xfId="0"/>
    <cellStyle name="Ввод  3 12 5 2" xfId="0"/>
    <cellStyle name="Ввод  3 12 5 3" xfId="0"/>
    <cellStyle name="Ввод  3 12 6" xfId="0"/>
    <cellStyle name="Ввод  3 12 7" xfId="0"/>
    <cellStyle name="Ввод  3 13" xfId="0"/>
    <cellStyle name="Ввод  3 13 2" xfId="0"/>
    <cellStyle name="Ввод  3 13 2 2" xfId="0"/>
    <cellStyle name="Ввод  3 13 2 2 2" xfId="0"/>
    <cellStyle name="Ввод  3 13 2 2 2 2" xfId="0"/>
    <cellStyle name="Ввод  3 13 2 2 2 3" xfId="0"/>
    <cellStyle name="Ввод  3 13 2 2 3" xfId="0"/>
    <cellStyle name="Ввод  3 13 2 2 4" xfId="0"/>
    <cellStyle name="Ввод  3 13 2 3" xfId="0"/>
    <cellStyle name="Ввод  3 13 2 3 2" xfId="0"/>
    <cellStyle name="Ввод  3 13 2 3 2 2" xfId="0"/>
    <cellStyle name="Ввод  3 13 2 3 2 3" xfId="0"/>
    <cellStyle name="Ввод  3 13 2 3 3" xfId="0"/>
    <cellStyle name="Ввод  3 13 2 3 4" xfId="0"/>
    <cellStyle name="Ввод  3 13 2 4" xfId="0"/>
    <cellStyle name="Ввод  3 13 2 4 2" xfId="0"/>
    <cellStyle name="Ввод  3 13 2 4 3" xfId="0"/>
    <cellStyle name="Ввод  3 13 2 5" xfId="0"/>
    <cellStyle name="Ввод  3 13 2 6" xfId="0"/>
    <cellStyle name="Ввод  3 13 3" xfId="0"/>
    <cellStyle name="Ввод  3 13 3 2" xfId="0"/>
    <cellStyle name="Ввод  3 13 3 2 2" xfId="0"/>
    <cellStyle name="Ввод  3 13 3 2 2 2" xfId="0"/>
    <cellStyle name="Ввод  3 13 3 2 2 3" xfId="0"/>
    <cellStyle name="Ввод  3 13 3 2 3" xfId="0"/>
    <cellStyle name="Ввод  3 13 3 2 4" xfId="0"/>
    <cellStyle name="Ввод  3 13 3 3" xfId="0"/>
    <cellStyle name="Ввод  3 13 3 3 2" xfId="0"/>
    <cellStyle name="Ввод  3 13 3 3 3" xfId="0"/>
    <cellStyle name="Ввод  3 13 3 4" xfId="0"/>
    <cellStyle name="Ввод  3 13 3 5" xfId="0"/>
    <cellStyle name="Ввод  3 13 4" xfId="0"/>
    <cellStyle name="Ввод  3 13 4 2" xfId="0"/>
    <cellStyle name="Ввод  3 13 4 2 2" xfId="0"/>
    <cellStyle name="Ввод  3 13 4 2 2 2" xfId="0"/>
    <cellStyle name="Ввод  3 13 4 2 2 3" xfId="0"/>
    <cellStyle name="Ввод  3 13 4 2 3" xfId="0"/>
    <cellStyle name="Ввод  3 13 4 2 4" xfId="0"/>
    <cellStyle name="Ввод  3 13 4 3" xfId="0"/>
    <cellStyle name="Ввод  3 13 4 3 2" xfId="0"/>
    <cellStyle name="Ввод  3 13 4 3 3" xfId="0"/>
    <cellStyle name="Ввод  3 13 4 4" xfId="0"/>
    <cellStyle name="Ввод  3 13 4 5" xfId="0"/>
    <cellStyle name="Ввод  3 13 5" xfId="0"/>
    <cellStyle name="Ввод  3 13 5 2" xfId="0"/>
    <cellStyle name="Ввод  3 13 5 3" xfId="0"/>
    <cellStyle name="Ввод  3 13 6" xfId="0"/>
    <cellStyle name="Ввод  3 13 7" xfId="0"/>
    <cellStyle name="Ввод  3 14" xfId="0"/>
    <cellStyle name="Ввод  3 14 2" xfId="0"/>
    <cellStyle name="Ввод  3 14 2 2" xfId="0"/>
    <cellStyle name="Ввод  3 14 2 2 2" xfId="0"/>
    <cellStyle name="Ввод  3 14 2 2 2 2" xfId="0"/>
    <cellStyle name="Ввод  3 14 2 2 2 3" xfId="0"/>
    <cellStyle name="Ввод  3 14 2 2 3" xfId="0"/>
    <cellStyle name="Ввод  3 14 2 2 4" xfId="0"/>
    <cellStyle name="Ввод  3 14 2 3" xfId="0"/>
    <cellStyle name="Ввод  3 14 2 3 2" xfId="0"/>
    <cellStyle name="Ввод  3 14 2 3 2 2" xfId="0"/>
    <cellStyle name="Ввод  3 14 2 3 2 3" xfId="0"/>
    <cellStyle name="Ввод  3 14 2 3 3" xfId="0"/>
    <cellStyle name="Ввод  3 14 2 3 4" xfId="0"/>
    <cellStyle name="Ввод  3 14 2 4" xfId="0"/>
    <cellStyle name="Ввод  3 14 2 4 2" xfId="0"/>
    <cellStyle name="Ввод  3 14 2 4 3" xfId="0"/>
    <cellStyle name="Ввод  3 14 2 5" xfId="0"/>
    <cellStyle name="Ввод  3 14 2 6" xfId="0"/>
    <cellStyle name="Ввод  3 14 3" xfId="0"/>
    <cellStyle name="Ввод  3 14 3 2" xfId="0"/>
    <cellStyle name="Ввод  3 14 3 2 2" xfId="0"/>
    <cellStyle name="Ввод  3 14 3 2 2 2" xfId="0"/>
    <cellStyle name="Ввод  3 14 3 2 2 3" xfId="0"/>
    <cellStyle name="Ввод  3 14 3 2 3" xfId="0"/>
    <cellStyle name="Ввод  3 14 3 2 4" xfId="0"/>
    <cellStyle name="Ввод  3 14 3 3" xfId="0"/>
    <cellStyle name="Ввод  3 14 3 3 2" xfId="0"/>
    <cellStyle name="Ввод  3 14 3 3 3" xfId="0"/>
    <cellStyle name="Ввод  3 14 3 4" xfId="0"/>
    <cellStyle name="Ввод  3 14 3 5" xfId="0"/>
    <cellStyle name="Ввод  3 14 4" xfId="0"/>
    <cellStyle name="Ввод  3 14 4 2" xfId="0"/>
    <cellStyle name="Ввод  3 14 4 2 2" xfId="0"/>
    <cellStyle name="Ввод  3 14 4 2 2 2" xfId="0"/>
    <cellStyle name="Ввод  3 14 4 2 2 3" xfId="0"/>
    <cellStyle name="Ввод  3 14 4 2 3" xfId="0"/>
    <cellStyle name="Ввод  3 14 4 2 4" xfId="0"/>
    <cellStyle name="Ввод  3 14 4 3" xfId="0"/>
    <cellStyle name="Ввод  3 14 4 3 2" xfId="0"/>
    <cellStyle name="Ввод  3 14 4 3 3" xfId="0"/>
    <cellStyle name="Ввод  3 14 4 4" xfId="0"/>
    <cellStyle name="Ввод  3 14 4 5" xfId="0"/>
    <cellStyle name="Ввод  3 14 5" xfId="0"/>
    <cellStyle name="Ввод  3 14 5 2" xfId="0"/>
    <cellStyle name="Ввод  3 14 5 3" xfId="0"/>
    <cellStyle name="Ввод  3 14 6" xfId="0"/>
    <cellStyle name="Ввод  3 14 7" xfId="0"/>
    <cellStyle name="Ввод  3 15" xfId="0"/>
    <cellStyle name="Ввод  3 15 2" xfId="0"/>
    <cellStyle name="Ввод  3 15 2 2" xfId="0"/>
    <cellStyle name="Ввод  3 15 2 2 2" xfId="0"/>
    <cellStyle name="Ввод  3 15 2 2 2 2" xfId="0"/>
    <cellStyle name="Ввод  3 15 2 2 2 3" xfId="0"/>
    <cellStyle name="Ввод  3 15 2 2 3" xfId="0"/>
    <cellStyle name="Ввод  3 15 2 2 4" xfId="0"/>
    <cellStyle name="Ввод  3 15 2 3" xfId="0"/>
    <cellStyle name="Ввод  3 15 2 3 2" xfId="0"/>
    <cellStyle name="Ввод  3 15 2 3 2 2" xfId="0"/>
    <cellStyle name="Ввод  3 15 2 3 2 3" xfId="0"/>
    <cellStyle name="Ввод  3 15 2 3 3" xfId="0"/>
    <cellStyle name="Ввод  3 15 2 3 4" xfId="0"/>
    <cellStyle name="Ввод  3 15 2 4" xfId="0"/>
    <cellStyle name="Ввод  3 15 2 4 2" xfId="0"/>
    <cellStyle name="Ввод  3 15 2 4 3" xfId="0"/>
    <cellStyle name="Ввод  3 15 2 5" xfId="0"/>
    <cellStyle name="Ввод  3 15 2 6" xfId="0"/>
    <cellStyle name="Ввод  3 15 3" xfId="0"/>
    <cellStyle name="Ввод  3 15 3 2" xfId="0"/>
    <cellStyle name="Ввод  3 15 3 2 2" xfId="0"/>
    <cellStyle name="Ввод  3 15 3 2 2 2" xfId="0"/>
    <cellStyle name="Ввод  3 15 3 2 2 3" xfId="0"/>
    <cellStyle name="Ввод  3 15 3 2 3" xfId="0"/>
    <cellStyle name="Ввод  3 15 3 2 4" xfId="0"/>
    <cellStyle name="Ввод  3 15 3 3" xfId="0"/>
    <cellStyle name="Ввод  3 15 3 3 2" xfId="0"/>
    <cellStyle name="Ввод  3 15 3 3 3" xfId="0"/>
    <cellStyle name="Ввод  3 15 3 4" xfId="0"/>
    <cellStyle name="Ввод  3 15 3 5" xfId="0"/>
    <cellStyle name="Ввод  3 15 4" xfId="0"/>
    <cellStyle name="Ввод  3 15 4 2" xfId="0"/>
    <cellStyle name="Ввод  3 15 4 2 2" xfId="0"/>
    <cellStyle name="Ввод  3 15 4 2 2 2" xfId="0"/>
    <cellStyle name="Ввод  3 15 4 2 2 3" xfId="0"/>
    <cellStyle name="Ввод  3 15 4 2 3" xfId="0"/>
    <cellStyle name="Ввод  3 15 4 2 4" xfId="0"/>
    <cellStyle name="Ввод  3 15 4 3" xfId="0"/>
    <cellStyle name="Ввод  3 15 4 3 2" xfId="0"/>
    <cellStyle name="Ввод  3 15 4 3 3" xfId="0"/>
    <cellStyle name="Ввод  3 15 4 4" xfId="0"/>
    <cellStyle name="Ввод  3 15 4 5" xfId="0"/>
    <cellStyle name="Ввод  3 15 5" xfId="0"/>
    <cellStyle name="Ввод  3 15 5 2" xfId="0"/>
    <cellStyle name="Ввод  3 15 5 3" xfId="0"/>
    <cellStyle name="Ввод  3 15 6" xfId="0"/>
    <cellStyle name="Ввод  3 15 7" xfId="0"/>
    <cellStyle name="Ввод  3 16" xfId="0"/>
    <cellStyle name="Ввод  3 16 2" xfId="0"/>
    <cellStyle name="Ввод  3 16 2 2" xfId="0"/>
    <cellStyle name="Ввод  3 16 2 2 2" xfId="0"/>
    <cellStyle name="Ввод  3 16 2 2 2 2" xfId="0"/>
    <cellStyle name="Ввод  3 16 2 2 2 3" xfId="0"/>
    <cellStyle name="Ввод  3 16 2 2 3" xfId="0"/>
    <cellStyle name="Ввод  3 16 2 2 4" xfId="0"/>
    <cellStyle name="Ввод  3 16 2 3" xfId="0"/>
    <cellStyle name="Ввод  3 16 2 3 2" xfId="0"/>
    <cellStyle name="Ввод  3 16 2 3 2 2" xfId="0"/>
    <cellStyle name="Ввод  3 16 2 3 2 3" xfId="0"/>
    <cellStyle name="Ввод  3 16 2 3 3" xfId="0"/>
    <cellStyle name="Ввод  3 16 2 3 4" xfId="0"/>
    <cellStyle name="Ввод  3 16 2 4" xfId="0"/>
    <cellStyle name="Ввод  3 16 2 4 2" xfId="0"/>
    <cellStyle name="Ввод  3 16 2 4 3" xfId="0"/>
    <cellStyle name="Ввод  3 16 2 5" xfId="0"/>
    <cellStyle name="Ввод  3 16 2 6" xfId="0"/>
    <cellStyle name="Ввод  3 16 3" xfId="0"/>
    <cellStyle name="Ввод  3 16 3 2" xfId="0"/>
    <cellStyle name="Ввод  3 16 3 2 2" xfId="0"/>
    <cellStyle name="Ввод  3 16 3 2 2 2" xfId="0"/>
    <cellStyle name="Ввод  3 16 3 2 2 3" xfId="0"/>
    <cellStyle name="Ввод  3 16 3 2 3" xfId="0"/>
    <cellStyle name="Ввод  3 16 3 2 4" xfId="0"/>
    <cellStyle name="Ввод  3 16 3 3" xfId="0"/>
    <cellStyle name="Ввод  3 16 3 3 2" xfId="0"/>
    <cellStyle name="Ввод  3 16 3 3 3" xfId="0"/>
    <cellStyle name="Ввод  3 16 3 4" xfId="0"/>
    <cellStyle name="Ввод  3 16 3 5" xfId="0"/>
    <cellStyle name="Ввод  3 16 4" xfId="0"/>
    <cellStyle name="Ввод  3 16 4 2" xfId="0"/>
    <cellStyle name="Ввод  3 16 4 2 2" xfId="0"/>
    <cellStyle name="Ввод  3 16 4 2 2 2" xfId="0"/>
    <cellStyle name="Ввод  3 16 4 2 2 3" xfId="0"/>
    <cellStyle name="Ввод  3 16 4 2 3" xfId="0"/>
    <cellStyle name="Ввод  3 16 4 2 4" xfId="0"/>
    <cellStyle name="Ввод  3 16 4 3" xfId="0"/>
    <cellStyle name="Ввод  3 16 4 3 2" xfId="0"/>
    <cellStyle name="Ввод  3 16 4 3 3" xfId="0"/>
    <cellStyle name="Ввод  3 16 4 4" xfId="0"/>
    <cellStyle name="Ввод  3 16 4 5" xfId="0"/>
    <cellStyle name="Ввод  3 16 5" xfId="0"/>
    <cellStyle name="Ввод  3 16 5 2" xfId="0"/>
    <cellStyle name="Ввод  3 16 5 3" xfId="0"/>
    <cellStyle name="Ввод  3 16 6" xfId="0"/>
    <cellStyle name="Ввод  3 16 7" xfId="0"/>
    <cellStyle name="Ввод  3 17" xfId="0"/>
    <cellStyle name="Ввод  3 17 2" xfId="0"/>
    <cellStyle name="Ввод  3 17 2 2" xfId="0"/>
    <cellStyle name="Ввод  3 17 2 2 2" xfId="0"/>
    <cellStyle name="Ввод  3 17 2 2 2 2" xfId="0"/>
    <cellStyle name="Ввод  3 17 2 2 2 3" xfId="0"/>
    <cellStyle name="Ввод  3 17 2 2 3" xfId="0"/>
    <cellStyle name="Ввод  3 17 2 2 4" xfId="0"/>
    <cellStyle name="Ввод  3 17 2 3" xfId="0"/>
    <cellStyle name="Ввод  3 17 2 3 2" xfId="0"/>
    <cellStyle name="Ввод  3 17 2 3 2 2" xfId="0"/>
    <cellStyle name="Ввод  3 17 2 3 2 3" xfId="0"/>
    <cellStyle name="Ввод  3 17 2 3 3" xfId="0"/>
    <cellStyle name="Ввод  3 17 2 3 4" xfId="0"/>
    <cellStyle name="Ввод  3 17 2 4" xfId="0"/>
    <cellStyle name="Ввод  3 17 2 4 2" xfId="0"/>
    <cellStyle name="Ввод  3 17 2 4 3" xfId="0"/>
    <cellStyle name="Ввод  3 17 2 5" xfId="0"/>
    <cellStyle name="Ввод  3 17 2 6" xfId="0"/>
    <cellStyle name="Ввод  3 17 3" xfId="0"/>
    <cellStyle name="Ввод  3 17 3 2" xfId="0"/>
    <cellStyle name="Ввод  3 17 3 2 2" xfId="0"/>
    <cellStyle name="Ввод  3 17 3 2 2 2" xfId="0"/>
    <cellStyle name="Ввод  3 17 3 2 2 3" xfId="0"/>
    <cellStyle name="Ввод  3 17 3 2 3" xfId="0"/>
    <cellStyle name="Ввод  3 17 3 2 4" xfId="0"/>
    <cellStyle name="Ввод  3 17 3 3" xfId="0"/>
    <cellStyle name="Ввод  3 17 3 3 2" xfId="0"/>
    <cellStyle name="Ввод  3 17 3 3 3" xfId="0"/>
    <cellStyle name="Ввод  3 17 3 4" xfId="0"/>
    <cellStyle name="Ввод  3 17 3 5" xfId="0"/>
    <cellStyle name="Ввод  3 17 4" xfId="0"/>
    <cellStyle name="Ввод  3 17 4 2" xfId="0"/>
    <cellStyle name="Ввод  3 17 4 2 2" xfId="0"/>
    <cellStyle name="Ввод  3 17 4 2 2 2" xfId="0"/>
    <cellStyle name="Ввод  3 17 4 2 2 3" xfId="0"/>
    <cellStyle name="Ввод  3 17 4 2 3" xfId="0"/>
    <cellStyle name="Ввод  3 17 4 2 4" xfId="0"/>
    <cellStyle name="Ввод  3 17 4 3" xfId="0"/>
    <cellStyle name="Ввод  3 17 4 3 2" xfId="0"/>
    <cellStyle name="Ввод  3 17 4 3 3" xfId="0"/>
    <cellStyle name="Ввод  3 17 4 4" xfId="0"/>
    <cellStyle name="Ввод  3 17 4 5" xfId="0"/>
    <cellStyle name="Ввод  3 17 5" xfId="0"/>
    <cellStyle name="Ввод  3 17 5 2" xfId="0"/>
    <cellStyle name="Ввод  3 17 5 3" xfId="0"/>
    <cellStyle name="Ввод  3 17 6" xfId="0"/>
    <cellStyle name="Ввод  3 17 7" xfId="0"/>
    <cellStyle name="Ввод  3 18" xfId="0"/>
    <cellStyle name="Ввод  3 18 2" xfId="0"/>
    <cellStyle name="Ввод  3 18 2 2" xfId="0"/>
    <cellStyle name="Ввод  3 18 2 2 2" xfId="0"/>
    <cellStyle name="Ввод  3 18 2 2 2 2" xfId="0"/>
    <cellStyle name="Ввод  3 18 2 2 2 3" xfId="0"/>
    <cellStyle name="Ввод  3 18 2 2 3" xfId="0"/>
    <cellStyle name="Ввод  3 18 2 2 4" xfId="0"/>
    <cellStyle name="Ввод  3 18 2 3" xfId="0"/>
    <cellStyle name="Ввод  3 18 2 3 2" xfId="0"/>
    <cellStyle name="Ввод  3 18 2 3 2 2" xfId="0"/>
    <cellStyle name="Ввод  3 18 2 3 2 3" xfId="0"/>
    <cellStyle name="Ввод  3 18 2 3 3" xfId="0"/>
    <cellStyle name="Ввод  3 18 2 3 4" xfId="0"/>
    <cellStyle name="Ввод  3 18 2 4" xfId="0"/>
    <cellStyle name="Ввод  3 18 2 4 2" xfId="0"/>
    <cellStyle name="Ввод  3 18 2 4 3" xfId="0"/>
    <cellStyle name="Ввод  3 18 2 5" xfId="0"/>
    <cellStyle name="Ввод  3 18 2 6" xfId="0"/>
    <cellStyle name="Ввод  3 18 3" xfId="0"/>
    <cellStyle name="Ввод  3 18 3 2" xfId="0"/>
    <cellStyle name="Ввод  3 18 3 2 2" xfId="0"/>
    <cellStyle name="Ввод  3 18 3 2 2 2" xfId="0"/>
    <cellStyle name="Ввод  3 18 3 2 2 3" xfId="0"/>
    <cellStyle name="Ввод  3 18 3 2 3" xfId="0"/>
    <cellStyle name="Ввод  3 18 3 2 4" xfId="0"/>
    <cellStyle name="Ввод  3 18 3 3" xfId="0"/>
    <cellStyle name="Ввод  3 18 3 3 2" xfId="0"/>
    <cellStyle name="Ввод  3 18 3 3 3" xfId="0"/>
    <cellStyle name="Ввод  3 18 3 4" xfId="0"/>
    <cellStyle name="Ввод  3 18 3 5" xfId="0"/>
    <cellStyle name="Ввод  3 18 4" xfId="0"/>
    <cellStyle name="Ввод  3 18 4 2" xfId="0"/>
    <cellStyle name="Ввод  3 18 4 2 2" xfId="0"/>
    <cellStyle name="Ввод  3 18 4 2 2 2" xfId="0"/>
    <cellStyle name="Ввод  3 18 4 2 2 3" xfId="0"/>
    <cellStyle name="Ввод  3 18 4 2 3" xfId="0"/>
    <cellStyle name="Ввод  3 18 4 2 4" xfId="0"/>
    <cellStyle name="Ввод  3 18 4 3" xfId="0"/>
    <cellStyle name="Ввод  3 18 4 3 2" xfId="0"/>
    <cellStyle name="Ввод  3 18 4 3 3" xfId="0"/>
    <cellStyle name="Ввод  3 18 4 4" xfId="0"/>
    <cellStyle name="Ввод  3 18 4 5" xfId="0"/>
    <cellStyle name="Ввод  3 18 5" xfId="0"/>
    <cellStyle name="Ввод  3 18 5 2" xfId="0"/>
    <cellStyle name="Ввод  3 18 5 3" xfId="0"/>
    <cellStyle name="Ввод  3 18 6" xfId="0"/>
    <cellStyle name="Ввод  3 18 7" xfId="0"/>
    <cellStyle name="Ввод  3 19" xfId="0"/>
    <cellStyle name="Ввод  3 19 2" xfId="0"/>
    <cellStyle name="Ввод  3 19 2 2" xfId="0"/>
    <cellStyle name="Ввод  3 19 2 2 2" xfId="0"/>
    <cellStyle name="Ввод  3 19 2 2 2 2" xfId="0"/>
    <cellStyle name="Ввод  3 19 2 2 2 3" xfId="0"/>
    <cellStyle name="Ввод  3 19 2 2 3" xfId="0"/>
    <cellStyle name="Ввод  3 19 2 2 4" xfId="0"/>
    <cellStyle name="Ввод  3 19 2 3" xfId="0"/>
    <cellStyle name="Ввод  3 19 2 3 2" xfId="0"/>
    <cellStyle name="Ввод  3 19 2 3 2 2" xfId="0"/>
    <cellStyle name="Ввод  3 19 2 3 2 3" xfId="0"/>
    <cellStyle name="Ввод  3 19 2 3 3" xfId="0"/>
    <cellStyle name="Ввод  3 19 2 3 4" xfId="0"/>
    <cellStyle name="Ввод  3 19 2 4" xfId="0"/>
    <cellStyle name="Ввод  3 19 2 4 2" xfId="0"/>
    <cellStyle name="Ввод  3 19 2 4 3" xfId="0"/>
    <cellStyle name="Ввод  3 19 2 5" xfId="0"/>
    <cellStyle name="Ввод  3 19 2 6" xfId="0"/>
    <cellStyle name="Ввод  3 19 3" xfId="0"/>
    <cellStyle name="Ввод  3 19 3 2" xfId="0"/>
    <cellStyle name="Ввод  3 19 3 2 2" xfId="0"/>
    <cellStyle name="Ввод  3 19 3 2 2 2" xfId="0"/>
    <cellStyle name="Ввод  3 19 3 2 2 3" xfId="0"/>
    <cellStyle name="Ввод  3 19 3 2 3" xfId="0"/>
    <cellStyle name="Ввод  3 19 3 2 4" xfId="0"/>
    <cellStyle name="Ввод  3 19 3 3" xfId="0"/>
    <cellStyle name="Ввод  3 19 3 3 2" xfId="0"/>
    <cellStyle name="Ввод  3 19 3 3 3" xfId="0"/>
    <cellStyle name="Ввод  3 19 3 4" xfId="0"/>
    <cellStyle name="Ввод  3 19 3 5" xfId="0"/>
    <cellStyle name="Ввод  3 19 4" xfId="0"/>
    <cellStyle name="Ввод  3 19 4 2" xfId="0"/>
    <cellStyle name="Ввод  3 19 4 2 2" xfId="0"/>
    <cellStyle name="Ввод  3 19 4 2 2 2" xfId="0"/>
    <cellStyle name="Ввод  3 19 4 2 2 3" xfId="0"/>
    <cellStyle name="Ввод  3 19 4 2 3" xfId="0"/>
    <cellStyle name="Ввод  3 19 4 2 4" xfId="0"/>
    <cellStyle name="Ввод  3 19 4 3" xfId="0"/>
    <cellStyle name="Ввод  3 19 4 3 2" xfId="0"/>
    <cellStyle name="Ввод  3 19 4 3 3" xfId="0"/>
    <cellStyle name="Ввод  3 19 4 4" xfId="0"/>
    <cellStyle name="Ввод  3 19 4 5" xfId="0"/>
    <cellStyle name="Ввод  3 19 5" xfId="0"/>
    <cellStyle name="Ввод  3 19 5 2" xfId="0"/>
    <cellStyle name="Ввод  3 19 5 3" xfId="0"/>
    <cellStyle name="Ввод  3 19 6" xfId="0"/>
    <cellStyle name="Ввод  3 19 7" xfId="0"/>
    <cellStyle name="Ввод  3 2" xfId="0"/>
    <cellStyle name="Ввод  3 2 10" xfId="0"/>
    <cellStyle name="Ввод  3 2 11" xfId="0"/>
    <cellStyle name="Ввод  3 2 2" xfId="0"/>
    <cellStyle name="Ввод  3 2 2 2" xfId="0"/>
    <cellStyle name="Ввод  3 2 2 2 2" xfId="0"/>
    <cellStyle name="Ввод  3 2 2 2 2 2" xfId="0"/>
    <cellStyle name="Ввод  3 2 2 2 2 2 2" xfId="0"/>
    <cellStyle name="Ввод  3 2 2 2 2 2 3" xfId="0"/>
    <cellStyle name="Ввод  3 2 2 2 2 3" xfId="0"/>
    <cellStyle name="Ввод  3 2 2 2 2 4" xfId="0"/>
    <cellStyle name="Ввод  3 2 2 2 3" xfId="0"/>
    <cellStyle name="Ввод  3 2 2 2 3 2" xfId="0"/>
    <cellStyle name="Ввод  3 2 2 2 3 3" xfId="0"/>
    <cellStyle name="Ввод  3 2 2 2 4" xfId="0"/>
    <cellStyle name="Ввод  3 2 2 2 5" xfId="0"/>
    <cellStyle name="Ввод  3 2 2 3" xfId="0"/>
    <cellStyle name="Ввод  3 2 2 3 2" xfId="0"/>
    <cellStyle name="Ввод  3 2 2 3 2 2" xfId="0"/>
    <cellStyle name="Ввод  3 2 2 3 2 3" xfId="0"/>
    <cellStyle name="Ввод  3 2 2 3 3" xfId="0"/>
    <cellStyle name="Ввод  3 2 2 3 4" xfId="0"/>
    <cellStyle name="Ввод  3 2 2 4" xfId="0"/>
    <cellStyle name="Ввод  3 2 2 4 2" xfId="0"/>
    <cellStyle name="Ввод  3 2 2 4 3" xfId="0"/>
    <cellStyle name="Ввод  3 2 2 5" xfId="0"/>
    <cellStyle name="Ввод  3 2 2 6" xfId="0"/>
    <cellStyle name="Ввод  3 2 3" xfId="0"/>
    <cellStyle name="Ввод  3 2 3 2" xfId="0"/>
    <cellStyle name="Ввод  3 2 3 2 2" xfId="0"/>
    <cellStyle name="Ввод  3 2 3 2 2 2" xfId="0"/>
    <cellStyle name="Ввод  3 2 3 2 2 2 2" xfId="0"/>
    <cellStyle name="Ввод  3 2 3 2 2 2 3" xfId="0"/>
    <cellStyle name="Ввод  3 2 3 2 2 3" xfId="0"/>
    <cellStyle name="Ввод  3 2 3 2 2 4" xfId="0"/>
    <cellStyle name="Ввод  3 2 3 2 3" xfId="0"/>
    <cellStyle name="Ввод  3 2 3 2 3 2" xfId="0"/>
    <cellStyle name="Ввод  3 2 3 2 3 3" xfId="0"/>
    <cellStyle name="Ввод  3 2 3 2 4" xfId="0"/>
    <cellStyle name="Ввод  3 2 3 2 5" xfId="0"/>
    <cellStyle name="Ввод  3 2 3 3" xfId="0"/>
    <cellStyle name="Ввод  3 2 3 3 2" xfId="0"/>
    <cellStyle name="Ввод  3 2 3 3 2 2" xfId="0"/>
    <cellStyle name="Ввод  3 2 3 3 2 3" xfId="0"/>
    <cellStyle name="Ввод  3 2 3 3 3" xfId="0"/>
    <cellStyle name="Ввод  3 2 3 3 4" xfId="0"/>
    <cellStyle name="Ввод  3 2 3 4" xfId="0"/>
    <cellStyle name="Ввод  3 2 3 4 2" xfId="0"/>
    <cellStyle name="Ввод  3 2 3 4 3" xfId="0"/>
    <cellStyle name="Ввод  3 2 3 5" xfId="0"/>
    <cellStyle name="Ввод  3 2 3 6" xfId="0"/>
    <cellStyle name="Ввод  3 2 4" xfId="0"/>
    <cellStyle name="Ввод  3 2 4 2" xfId="0"/>
    <cellStyle name="Ввод  3 2 4 2 2" xfId="0"/>
    <cellStyle name="Ввод  3 2 4 2 2 2" xfId="0"/>
    <cellStyle name="Ввод  3 2 4 2 2 2 2" xfId="0"/>
    <cellStyle name="Ввод  3 2 4 2 2 2 3" xfId="0"/>
    <cellStyle name="Ввод  3 2 4 2 2 3" xfId="0"/>
    <cellStyle name="Ввод  3 2 4 2 2 4" xfId="0"/>
    <cellStyle name="Ввод  3 2 4 2 3" xfId="0"/>
    <cellStyle name="Ввод  3 2 4 2 3 2" xfId="0"/>
    <cellStyle name="Ввод  3 2 4 2 3 3" xfId="0"/>
    <cellStyle name="Ввод  3 2 4 2 4" xfId="0"/>
    <cellStyle name="Ввод  3 2 4 2 5" xfId="0"/>
    <cellStyle name="Ввод  3 2 4 3" xfId="0"/>
    <cellStyle name="Ввод  3 2 4 3 2" xfId="0"/>
    <cellStyle name="Ввод  3 2 4 3 2 2" xfId="0"/>
    <cellStyle name="Ввод  3 2 4 3 2 3" xfId="0"/>
    <cellStyle name="Ввод  3 2 4 3 3" xfId="0"/>
    <cellStyle name="Ввод  3 2 4 3 4" xfId="0"/>
    <cellStyle name="Ввод  3 2 4 4" xfId="0"/>
    <cellStyle name="Ввод  3 2 4 4 2" xfId="0"/>
    <cellStyle name="Ввод  3 2 4 4 3" xfId="0"/>
    <cellStyle name="Ввод  3 2 4 5" xfId="0"/>
    <cellStyle name="Ввод  3 2 4 6" xfId="0"/>
    <cellStyle name="Ввод  3 2 5" xfId="0"/>
    <cellStyle name="Ввод  3 2 5 2" xfId="0"/>
    <cellStyle name="Ввод  3 2 5 2 2" xfId="0"/>
    <cellStyle name="Ввод  3 2 5 2 2 2" xfId="0"/>
    <cellStyle name="Ввод  3 2 5 2 2 2 2" xfId="0"/>
    <cellStyle name="Ввод  3 2 5 2 2 2 3" xfId="0"/>
    <cellStyle name="Ввод  3 2 5 2 2 3" xfId="0"/>
    <cellStyle name="Ввод  3 2 5 2 2 4" xfId="0"/>
    <cellStyle name="Ввод  3 2 5 2 3" xfId="0"/>
    <cellStyle name="Ввод  3 2 5 2 3 2" xfId="0"/>
    <cellStyle name="Ввод  3 2 5 2 3 3" xfId="0"/>
    <cellStyle name="Ввод  3 2 5 2 4" xfId="0"/>
    <cellStyle name="Ввод  3 2 5 2 5" xfId="0"/>
    <cellStyle name="Ввод  3 2 5 3" xfId="0"/>
    <cellStyle name="Ввод  3 2 5 3 2" xfId="0"/>
    <cellStyle name="Ввод  3 2 5 3 2 2" xfId="0"/>
    <cellStyle name="Ввод  3 2 5 3 2 3" xfId="0"/>
    <cellStyle name="Ввод  3 2 5 3 3" xfId="0"/>
    <cellStyle name="Ввод  3 2 5 3 4" xfId="0"/>
    <cellStyle name="Ввод  3 2 5 4" xfId="0"/>
    <cellStyle name="Ввод  3 2 5 4 2" xfId="0"/>
    <cellStyle name="Ввод  3 2 5 4 3" xfId="0"/>
    <cellStyle name="Ввод  3 2 5 5" xfId="0"/>
    <cellStyle name="Ввод  3 2 5 6" xfId="0"/>
    <cellStyle name="Ввод  3 2 6" xfId="0"/>
    <cellStyle name="Ввод  3 2 6 2" xfId="0"/>
    <cellStyle name="Ввод  3 2 6 2 2" xfId="0"/>
    <cellStyle name="Ввод  3 2 6 2 2 2" xfId="0"/>
    <cellStyle name="Ввод  3 2 6 2 2 3" xfId="0"/>
    <cellStyle name="Ввод  3 2 6 2 3" xfId="0"/>
    <cellStyle name="Ввод  3 2 6 2 4" xfId="0"/>
    <cellStyle name="Ввод  3 2 6 3" xfId="0"/>
    <cellStyle name="Ввод  3 2 6 3 2" xfId="0"/>
    <cellStyle name="Ввод  3 2 6 3 3" xfId="0"/>
    <cellStyle name="Ввод  3 2 6 4" xfId="0"/>
    <cellStyle name="Ввод  3 2 6 5" xfId="0"/>
    <cellStyle name="Ввод  3 2 7" xfId="0"/>
    <cellStyle name="Ввод  3 2 7 2" xfId="0"/>
    <cellStyle name="Ввод  3 2 7 2 2" xfId="0"/>
    <cellStyle name="Ввод  3 2 7 2 2 2" xfId="0"/>
    <cellStyle name="Ввод  3 2 7 2 2 3" xfId="0"/>
    <cellStyle name="Ввод  3 2 7 2 3" xfId="0"/>
    <cellStyle name="Ввод  3 2 7 2 4" xfId="0"/>
    <cellStyle name="Ввод  3 2 7 3" xfId="0"/>
    <cellStyle name="Ввод  3 2 7 3 2" xfId="0"/>
    <cellStyle name="Ввод  3 2 7 3 3" xfId="0"/>
    <cellStyle name="Ввод  3 2 7 4" xfId="0"/>
    <cellStyle name="Ввод  3 2 7 5" xfId="0"/>
    <cellStyle name="Ввод  3 2 8" xfId="0"/>
    <cellStyle name="Ввод  3 2 8 2" xfId="0"/>
    <cellStyle name="Ввод  3 2 8 3" xfId="0"/>
    <cellStyle name="Ввод  3 2 9" xfId="0"/>
    <cellStyle name="Ввод  3 2 9 2" xfId="0"/>
    <cellStyle name="Ввод  3 2 9 3" xfId="0"/>
    <cellStyle name="Ввод  3 20" xfId="0"/>
    <cellStyle name="Ввод  3 20 2" xfId="0"/>
    <cellStyle name="Ввод  3 20 2 2" xfId="0"/>
    <cellStyle name="Ввод  3 20 2 2 2" xfId="0"/>
    <cellStyle name="Ввод  3 20 2 2 2 2" xfId="0"/>
    <cellStyle name="Ввод  3 20 2 2 2 3" xfId="0"/>
    <cellStyle name="Ввод  3 20 2 2 3" xfId="0"/>
    <cellStyle name="Ввод  3 20 2 2 4" xfId="0"/>
    <cellStyle name="Ввод  3 20 2 3" xfId="0"/>
    <cellStyle name="Ввод  3 20 2 3 2" xfId="0"/>
    <cellStyle name="Ввод  3 20 2 3 3" xfId="0"/>
    <cellStyle name="Ввод  3 20 2 4" xfId="0"/>
    <cellStyle name="Ввод  3 20 2 5" xfId="0"/>
    <cellStyle name="Ввод  3 20 3" xfId="0"/>
    <cellStyle name="Ввод  3 20 3 2" xfId="0"/>
    <cellStyle name="Ввод  3 20 3 2 2" xfId="0"/>
    <cellStyle name="Ввод  3 20 3 2 3" xfId="0"/>
    <cellStyle name="Ввод  3 20 3 3" xfId="0"/>
    <cellStyle name="Ввод  3 20 3 4" xfId="0"/>
    <cellStyle name="Ввод  3 20 4" xfId="0"/>
    <cellStyle name="Ввод  3 20 4 2" xfId="0"/>
    <cellStyle name="Ввод  3 20 4 3" xfId="0"/>
    <cellStyle name="Ввод  3 20 5" xfId="0"/>
    <cellStyle name="Ввод  3 20 6" xfId="0"/>
    <cellStyle name="Ввод  3 21" xfId="0"/>
    <cellStyle name="Ввод  3 21 2" xfId="0"/>
    <cellStyle name="Ввод  3 21 2 2" xfId="0"/>
    <cellStyle name="Ввод  3 21 2 2 2" xfId="0"/>
    <cellStyle name="Ввод  3 21 2 2 3" xfId="0"/>
    <cellStyle name="Ввод  3 21 2 3" xfId="0"/>
    <cellStyle name="Ввод  3 21 2 4" xfId="0"/>
    <cellStyle name="Ввод  3 21 3" xfId="0"/>
    <cellStyle name="Ввод  3 21 3 2" xfId="0"/>
    <cellStyle name="Ввод  3 21 3 2 2" xfId="0"/>
    <cellStyle name="Ввод  3 21 3 2 3" xfId="0"/>
    <cellStyle name="Ввод  3 21 3 3" xfId="0"/>
    <cellStyle name="Ввод  3 21 3 4" xfId="0"/>
    <cellStyle name="Ввод  3 21 4" xfId="0"/>
    <cellStyle name="Ввод  3 21 4 2" xfId="0"/>
    <cellStyle name="Ввод  3 21 4 3" xfId="0"/>
    <cellStyle name="Ввод  3 21 5" xfId="0"/>
    <cellStyle name="Ввод  3 21 6" xfId="0"/>
    <cellStyle name="Ввод  3 22" xfId="0"/>
    <cellStyle name="Ввод  3 22 2" xfId="0"/>
    <cellStyle name="Ввод  3 22 2 2" xfId="0"/>
    <cellStyle name="Ввод  3 22 2 2 2" xfId="0"/>
    <cellStyle name="Ввод  3 22 2 2 3" xfId="0"/>
    <cellStyle name="Ввод  3 22 2 3" xfId="0"/>
    <cellStyle name="Ввод  3 22 2 4" xfId="0"/>
    <cellStyle name="Ввод  3 22 3" xfId="0"/>
    <cellStyle name="Ввод  3 22 3 2" xfId="0"/>
    <cellStyle name="Ввод  3 22 3 2 2" xfId="0"/>
    <cellStyle name="Ввод  3 22 3 2 3" xfId="0"/>
    <cellStyle name="Ввод  3 22 3 3" xfId="0"/>
    <cellStyle name="Ввод  3 22 3 4" xfId="0"/>
    <cellStyle name="Ввод  3 22 4" xfId="0"/>
    <cellStyle name="Ввод  3 22 4 2" xfId="0"/>
    <cellStyle name="Ввод  3 22 4 3" xfId="0"/>
    <cellStyle name="Ввод  3 22 5" xfId="0"/>
    <cellStyle name="Ввод  3 22 6" xfId="0"/>
    <cellStyle name="Ввод  3 23" xfId="0"/>
    <cellStyle name="Ввод  3 23 2" xfId="0"/>
    <cellStyle name="Ввод  3 23 2 2" xfId="0"/>
    <cellStyle name="Ввод  3 23 2 2 2" xfId="0"/>
    <cellStyle name="Ввод  3 23 2 2 3" xfId="0"/>
    <cellStyle name="Ввод  3 23 2 3" xfId="0"/>
    <cellStyle name="Ввод  3 23 2 4" xfId="0"/>
    <cellStyle name="Ввод  3 23 3" xfId="0"/>
    <cellStyle name="Ввод  3 23 3 2" xfId="0"/>
    <cellStyle name="Ввод  3 23 3 2 2" xfId="0"/>
    <cellStyle name="Ввод  3 23 3 2 3" xfId="0"/>
    <cellStyle name="Ввод  3 23 3 3" xfId="0"/>
    <cellStyle name="Ввод  3 23 3 4" xfId="0"/>
    <cellStyle name="Ввод  3 23 4" xfId="0"/>
    <cellStyle name="Ввод  3 23 4 2" xfId="0"/>
    <cellStyle name="Ввод  3 23 4 3" xfId="0"/>
    <cellStyle name="Ввод  3 23 5" xfId="0"/>
    <cellStyle name="Ввод  3 23 6" xfId="0"/>
    <cellStyle name="Ввод  3 24" xfId="0"/>
    <cellStyle name="Ввод  3 24 2" xfId="0"/>
    <cellStyle name="Ввод  3 24 2 2" xfId="0"/>
    <cellStyle name="Ввод  3 24 2 2 2" xfId="0"/>
    <cellStyle name="Ввод  3 24 2 2 3" xfId="0"/>
    <cellStyle name="Ввод  3 24 2 3" xfId="0"/>
    <cellStyle name="Ввод  3 24 2 4" xfId="0"/>
    <cellStyle name="Ввод  3 24 3" xfId="0"/>
    <cellStyle name="Ввод  3 24 3 2" xfId="0"/>
    <cellStyle name="Ввод  3 24 3 2 2" xfId="0"/>
    <cellStyle name="Ввод  3 24 3 2 3" xfId="0"/>
    <cellStyle name="Ввод  3 24 3 3" xfId="0"/>
    <cellStyle name="Ввод  3 24 3 4" xfId="0"/>
    <cellStyle name="Ввод  3 24 4" xfId="0"/>
    <cellStyle name="Ввод  3 24 4 2" xfId="0"/>
    <cellStyle name="Ввод  3 24 4 3" xfId="0"/>
    <cellStyle name="Ввод  3 24 5" xfId="0"/>
    <cellStyle name="Ввод  3 24 6" xfId="0"/>
    <cellStyle name="Ввод  3 25" xfId="0"/>
    <cellStyle name="Ввод  3 25 2" xfId="0"/>
    <cellStyle name="Ввод  3 25 2 2" xfId="0"/>
    <cellStyle name="Ввод  3 25 2 2 2" xfId="0"/>
    <cellStyle name="Ввод  3 25 2 2 3" xfId="0"/>
    <cellStyle name="Ввод  3 25 2 3" xfId="0"/>
    <cellStyle name="Ввод  3 25 2 4" xfId="0"/>
    <cellStyle name="Ввод  3 25 3" xfId="0"/>
    <cellStyle name="Ввод  3 25 3 2" xfId="0"/>
    <cellStyle name="Ввод  3 25 3 3" xfId="0"/>
    <cellStyle name="Ввод  3 25 4" xfId="0"/>
    <cellStyle name="Ввод  3 25 5" xfId="0"/>
    <cellStyle name="Ввод  3 26" xfId="0"/>
    <cellStyle name="Ввод  3 26 2" xfId="0"/>
    <cellStyle name="Ввод  3 26 2 2" xfId="0"/>
    <cellStyle name="Ввод  3 26 2 2 2" xfId="0"/>
    <cellStyle name="Ввод  3 26 2 2 3" xfId="0"/>
    <cellStyle name="Ввод  3 26 2 3" xfId="0"/>
    <cellStyle name="Ввод  3 26 2 4" xfId="0"/>
    <cellStyle name="Ввод  3 26 3" xfId="0"/>
    <cellStyle name="Ввод  3 26 3 2" xfId="0"/>
    <cellStyle name="Ввод  3 26 3 3" xfId="0"/>
    <cellStyle name="Ввод  3 26 4" xfId="0"/>
    <cellStyle name="Ввод  3 26 5" xfId="0"/>
    <cellStyle name="Ввод  3 27" xfId="0"/>
    <cellStyle name="Ввод  3 27 2" xfId="0"/>
    <cellStyle name="Ввод  3 27 2 2" xfId="0"/>
    <cellStyle name="Ввод  3 27 2 3" xfId="0"/>
    <cellStyle name="Ввод  3 27 3" xfId="0"/>
    <cellStyle name="Ввод  3 27 4" xfId="0"/>
    <cellStyle name="Ввод  3 28" xfId="0"/>
    <cellStyle name="Ввод  3 28 2" xfId="0"/>
    <cellStyle name="Ввод  3 28 3" xfId="0"/>
    <cellStyle name="Ввод  3 29" xfId="0"/>
    <cellStyle name="Ввод  3 29 2" xfId="0"/>
    <cellStyle name="Ввод  3 29 3" xfId="0"/>
    <cellStyle name="Ввод  3 3" xfId="0"/>
    <cellStyle name="Ввод  3 3 10" xfId="0"/>
    <cellStyle name="Ввод  3 3 2" xfId="0"/>
    <cellStyle name="Ввод  3 3 2 2" xfId="0"/>
    <cellStyle name="Ввод  3 3 2 2 2" xfId="0"/>
    <cellStyle name="Ввод  3 3 2 2 2 2" xfId="0"/>
    <cellStyle name="Ввод  3 3 2 2 2 3" xfId="0"/>
    <cellStyle name="Ввод  3 3 2 2 3" xfId="0"/>
    <cellStyle name="Ввод  3 3 2 2 4" xfId="0"/>
    <cellStyle name="Ввод  3 3 2 3" xfId="0"/>
    <cellStyle name="Ввод  3 3 2 3 2" xfId="0"/>
    <cellStyle name="Ввод  3 3 2 3 2 2" xfId="0"/>
    <cellStyle name="Ввод  3 3 2 3 2 3" xfId="0"/>
    <cellStyle name="Ввод  3 3 2 3 3" xfId="0"/>
    <cellStyle name="Ввод  3 3 2 3 4" xfId="0"/>
    <cellStyle name="Ввод  3 3 2 4" xfId="0"/>
    <cellStyle name="Ввод  3 3 2 4 2" xfId="0"/>
    <cellStyle name="Ввод  3 3 2 4 3" xfId="0"/>
    <cellStyle name="Ввод  3 3 2 5" xfId="0"/>
    <cellStyle name="Ввод  3 3 2 6" xfId="0"/>
    <cellStyle name="Ввод  3 3 3" xfId="0"/>
    <cellStyle name="Ввод  3 3 3 2" xfId="0"/>
    <cellStyle name="Ввод  3 3 3 2 2" xfId="0"/>
    <cellStyle name="Ввод  3 3 3 2 2 2" xfId="0"/>
    <cellStyle name="Ввод  3 3 3 2 2 3" xfId="0"/>
    <cellStyle name="Ввод  3 3 3 2 3" xfId="0"/>
    <cellStyle name="Ввод  3 3 3 2 4" xfId="0"/>
    <cellStyle name="Ввод  3 3 3 3" xfId="0"/>
    <cellStyle name="Ввод  3 3 3 3 2" xfId="0"/>
    <cellStyle name="Ввод  3 3 3 3 2 2" xfId="0"/>
    <cellStyle name="Ввод  3 3 3 3 2 3" xfId="0"/>
    <cellStyle name="Ввод  3 3 3 3 3" xfId="0"/>
    <cellStyle name="Ввод  3 3 3 3 4" xfId="0"/>
    <cellStyle name="Ввод  3 3 3 4" xfId="0"/>
    <cellStyle name="Ввод  3 3 3 4 2" xfId="0"/>
    <cellStyle name="Ввод  3 3 3 4 3" xfId="0"/>
    <cellStyle name="Ввод  3 3 3 5" xfId="0"/>
    <cellStyle name="Ввод  3 3 3 6" xfId="0"/>
    <cellStyle name="Ввод  3 3 4" xfId="0"/>
    <cellStyle name="Ввод  3 3 4 2" xfId="0"/>
    <cellStyle name="Ввод  3 3 4 2 2" xfId="0"/>
    <cellStyle name="Ввод  3 3 4 2 2 2" xfId="0"/>
    <cellStyle name="Ввод  3 3 4 2 2 3" xfId="0"/>
    <cellStyle name="Ввод  3 3 4 2 3" xfId="0"/>
    <cellStyle name="Ввод  3 3 4 2 4" xfId="0"/>
    <cellStyle name="Ввод  3 3 4 3" xfId="0"/>
    <cellStyle name="Ввод  3 3 4 3 2" xfId="0"/>
    <cellStyle name="Ввод  3 3 4 3 2 2" xfId="0"/>
    <cellStyle name="Ввод  3 3 4 3 2 3" xfId="0"/>
    <cellStyle name="Ввод  3 3 4 3 3" xfId="0"/>
    <cellStyle name="Ввод  3 3 4 3 4" xfId="0"/>
    <cellStyle name="Ввод  3 3 4 4" xfId="0"/>
    <cellStyle name="Ввод  3 3 4 4 2" xfId="0"/>
    <cellStyle name="Ввод  3 3 4 4 3" xfId="0"/>
    <cellStyle name="Ввод  3 3 4 5" xfId="0"/>
    <cellStyle name="Ввод  3 3 4 6" xfId="0"/>
    <cellStyle name="Ввод  3 3 5" xfId="0"/>
    <cellStyle name="Ввод  3 3 5 2" xfId="0"/>
    <cellStyle name="Ввод  3 3 5 2 2" xfId="0"/>
    <cellStyle name="Ввод  3 3 5 2 2 2" xfId="0"/>
    <cellStyle name="Ввод  3 3 5 2 2 3" xfId="0"/>
    <cellStyle name="Ввод  3 3 5 2 3" xfId="0"/>
    <cellStyle name="Ввод  3 3 5 2 4" xfId="0"/>
    <cellStyle name="Ввод  3 3 5 3" xfId="0"/>
    <cellStyle name="Ввод  3 3 5 3 2" xfId="0"/>
    <cellStyle name="Ввод  3 3 5 3 2 2" xfId="0"/>
    <cellStyle name="Ввод  3 3 5 3 2 3" xfId="0"/>
    <cellStyle name="Ввод  3 3 5 3 3" xfId="0"/>
    <cellStyle name="Ввод  3 3 5 3 4" xfId="0"/>
    <cellStyle name="Ввод  3 3 5 4" xfId="0"/>
    <cellStyle name="Ввод  3 3 5 4 2" xfId="0"/>
    <cellStyle name="Ввод  3 3 5 4 3" xfId="0"/>
    <cellStyle name="Ввод  3 3 5 5" xfId="0"/>
    <cellStyle name="Ввод  3 3 5 6" xfId="0"/>
    <cellStyle name="Ввод  3 3 6" xfId="0"/>
    <cellStyle name="Ввод  3 3 6 2" xfId="0"/>
    <cellStyle name="Ввод  3 3 6 2 2" xfId="0"/>
    <cellStyle name="Ввод  3 3 6 2 2 2" xfId="0"/>
    <cellStyle name="Ввод  3 3 6 2 2 3" xfId="0"/>
    <cellStyle name="Ввод  3 3 6 2 3" xfId="0"/>
    <cellStyle name="Ввод  3 3 6 2 4" xfId="0"/>
    <cellStyle name="Ввод  3 3 6 3" xfId="0"/>
    <cellStyle name="Ввод  3 3 6 3 2" xfId="0"/>
    <cellStyle name="Ввод  3 3 6 3 3" xfId="0"/>
    <cellStyle name="Ввод  3 3 6 4" xfId="0"/>
    <cellStyle name="Ввод  3 3 6 5" xfId="0"/>
    <cellStyle name="Ввод  3 3 7" xfId="0"/>
    <cellStyle name="Ввод  3 3 7 2" xfId="0"/>
    <cellStyle name="Ввод  3 3 7 2 2" xfId="0"/>
    <cellStyle name="Ввод  3 3 7 2 2 2" xfId="0"/>
    <cellStyle name="Ввод  3 3 7 2 2 3" xfId="0"/>
    <cellStyle name="Ввод  3 3 7 2 3" xfId="0"/>
    <cellStyle name="Ввод  3 3 7 2 4" xfId="0"/>
    <cellStyle name="Ввод  3 3 7 3" xfId="0"/>
    <cellStyle name="Ввод  3 3 7 3 2" xfId="0"/>
    <cellStyle name="Ввод  3 3 7 3 3" xfId="0"/>
    <cellStyle name="Ввод  3 3 7 4" xfId="0"/>
    <cellStyle name="Ввод  3 3 7 5" xfId="0"/>
    <cellStyle name="Ввод  3 3 8" xfId="0"/>
    <cellStyle name="Ввод  3 3 8 2" xfId="0"/>
    <cellStyle name="Ввод  3 3 8 3" xfId="0"/>
    <cellStyle name="Ввод  3 3 9" xfId="0"/>
    <cellStyle name="Ввод  3 30" xfId="0"/>
    <cellStyle name="Ввод  3 30 2" xfId="0"/>
    <cellStyle name="Ввод  3 30 3" xfId="0"/>
    <cellStyle name="Ввод  3 31" xfId="0"/>
    <cellStyle name="Ввод  3 31 2" xfId="0"/>
    <cellStyle name="Ввод  3 31 3" xfId="0"/>
    <cellStyle name="Ввод  3 32" xfId="0"/>
    <cellStyle name="Ввод  3 4" xfId="0"/>
    <cellStyle name="Ввод  3 4 10" xfId="0"/>
    <cellStyle name="Ввод  3 4 2" xfId="0"/>
    <cellStyle name="Ввод  3 4 2 2" xfId="0"/>
    <cellStyle name="Ввод  3 4 2 2 2" xfId="0"/>
    <cellStyle name="Ввод  3 4 2 2 2 2" xfId="0"/>
    <cellStyle name="Ввод  3 4 2 2 2 3" xfId="0"/>
    <cellStyle name="Ввод  3 4 2 2 3" xfId="0"/>
    <cellStyle name="Ввод  3 4 2 2 4" xfId="0"/>
    <cellStyle name="Ввод  3 4 2 3" xfId="0"/>
    <cellStyle name="Ввод  3 4 2 3 2" xfId="0"/>
    <cellStyle name="Ввод  3 4 2 3 2 2" xfId="0"/>
    <cellStyle name="Ввод  3 4 2 3 2 3" xfId="0"/>
    <cellStyle name="Ввод  3 4 2 3 3" xfId="0"/>
    <cellStyle name="Ввод  3 4 2 3 4" xfId="0"/>
    <cellStyle name="Ввод  3 4 2 4" xfId="0"/>
    <cellStyle name="Ввод  3 4 2 4 2" xfId="0"/>
    <cellStyle name="Ввод  3 4 2 4 3" xfId="0"/>
    <cellStyle name="Ввод  3 4 2 5" xfId="0"/>
    <cellStyle name="Ввод  3 4 2 6" xfId="0"/>
    <cellStyle name="Ввод  3 4 3" xfId="0"/>
    <cellStyle name="Ввод  3 4 3 2" xfId="0"/>
    <cellStyle name="Ввод  3 4 3 2 2" xfId="0"/>
    <cellStyle name="Ввод  3 4 3 2 2 2" xfId="0"/>
    <cellStyle name="Ввод  3 4 3 2 2 3" xfId="0"/>
    <cellStyle name="Ввод  3 4 3 2 3" xfId="0"/>
    <cellStyle name="Ввод  3 4 3 2 4" xfId="0"/>
    <cellStyle name="Ввод  3 4 3 3" xfId="0"/>
    <cellStyle name="Ввод  3 4 3 3 2" xfId="0"/>
    <cellStyle name="Ввод  3 4 3 3 2 2" xfId="0"/>
    <cellStyle name="Ввод  3 4 3 3 2 3" xfId="0"/>
    <cellStyle name="Ввод  3 4 3 3 3" xfId="0"/>
    <cellStyle name="Ввод  3 4 3 3 4" xfId="0"/>
    <cellStyle name="Ввод  3 4 3 4" xfId="0"/>
    <cellStyle name="Ввод  3 4 3 4 2" xfId="0"/>
    <cellStyle name="Ввод  3 4 3 4 3" xfId="0"/>
    <cellStyle name="Ввод  3 4 3 5" xfId="0"/>
    <cellStyle name="Ввод  3 4 3 6" xfId="0"/>
    <cellStyle name="Ввод  3 4 4" xfId="0"/>
    <cellStyle name="Ввод  3 4 4 2" xfId="0"/>
    <cellStyle name="Ввод  3 4 4 2 2" xfId="0"/>
    <cellStyle name="Ввод  3 4 4 2 2 2" xfId="0"/>
    <cellStyle name="Ввод  3 4 4 2 2 3" xfId="0"/>
    <cellStyle name="Ввод  3 4 4 2 3" xfId="0"/>
    <cellStyle name="Ввод  3 4 4 2 4" xfId="0"/>
    <cellStyle name="Ввод  3 4 4 3" xfId="0"/>
    <cellStyle name="Ввод  3 4 4 3 2" xfId="0"/>
    <cellStyle name="Ввод  3 4 4 3 2 2" xfId="0"/>
    <cellStyle name="Ввод  3 4 4 3 2 3" xfId="0"/>
    <cellStyle name="Ввод  3 4 4 3 3" xfId="0"/>
    <cellStyle name="Ввод  3 4 4 3 4" xfId="0"/>
    <cellStyle name="Ввод  3 4 4 4" xfId="0"/>
    <cellStyle name="Ввод  3 4 4 4 2" xfId="0"/>
    <cellStyle name="Ввод  3 4 4 4 3" xfId="0"/>
    <cellStyle name="Ввод  3 4 4 5" xfId="0"/>
    <cellStyle name="Ввод  3 4 4 6" xfId="0"/>
    <cellStyle name="Ввод  3 4 5" xfId="0"/>
    <cellStyle name="Ввод  3 4 5 2" xfId="0"/>
    <cellStyle name="Ввод  3 4 5 2 2" xfId="0"/>
    <cellStyle name="Ввод  3 4 5 2 2 2" xfId="0"/>
    <cellStyle name="Ввод  3 4 5 2 2 3" xfId="0"/>
    <cellStyle name="Ввод  3 4 5 2 3" xfId="0"/>
    <cellStyle name="Ввод  3 4 5 2 4" xfId="0"/>
    <cellStyle name="Ввод  3 4 5 3" xfId="0"/>
    <cellStyle name="Ввод  3 4 5 3 2" xfId="0"/>
    <cellStyle name="Ввод  3 4 5 3 2 2" xfId="0"/>
    <cellStyle name="Ввод  3 4 5 3 2 3" xfId="0"/>
    <cellStyle name="Ввод  3 4 5 3 3" xfId="0"/>
    <cellStyle name="Ввод  3 4 5 3 4" xfId="0"/>
    <cellStyle name="Ввод  3 4 5 4" xfId="0"/>
    <cellStyle name="Ввод  3 4 5 4 2" xfId="0"/>
    <cellStyle name="Ввод  3 4 5 4 3" xfId="0"/>
    <cellStyle name="Ввод  3 4 5 5" xfId="0"/>
    <cellStyle name="Ввод  3 4 5 6" xfId="0"/>
    <cellStyle name="Ввод  3 4 6" xfId="0"/>
    <cellStyle name="Ввод  3 4 6 2" xfId="0"/>
    <cellStyle name="Ввод  3 4 6 2 2" xfId="0"/>
    <cellStyle name="Ввод  3 4 6 2 2 2" xfId="0"/>
    <cellStyle name="Ввод  3 4 6 2 2 3" xfId="0"/>
    <cellStyle name="Ввод  3 4 6 2 3" xfId="0"/>
    <cellStyle name="Ввод  3 4 6 2 4" xfId="0"/>
    <cellStyle name="Ввод  3 4 6 3" xfId="0"/>
    <cellStyle name="Ввод  3 4 6 3 2" xfId="0"/>
    <cellStyle name="Ввод  3 4 6 3 3" xfId="0"/>
    <cellStyle name="Ввод  3 4 6 4" xfId="0"/>
    <cellStyle name="Ввод  3 4 6 5" xfId="0"/>
    <cellStyle name="Ввод  3 4 7" xfId="0"/>
    <cellStyle name="Ввод  3 4 7 2" xfId="0"/>
    <cellStyle name="Ввод  3 4 7 2 2" xfId="0"/>
    <cellStyle name="Ввод  3 4 7 2 2 2" xfId="0"/>
    <cellStyle name="Ввод  3 4 7 2 2 3" xfId="0"/>
    <cellStyle name="Ввод  3 4 7 2 3" xfId="0"/>
    <cellStyle name="Ввод  3 4 7 2 4" xfId="0"/>
    <cellStyle name="Ввод  3 4 7 3" xfId="0"/>
    <cellStyle name="Ввод  3 4 7 3 2" xfId="0"/>
    <cellStyle name="Ввод  3 4 7 3 3" xfId="0"/>
    <cellStyle name="Ввод  3 4 7 4" xfId="0"/>
    <cellStyle name="Ввод  3 4 7 5" xfId="0"/>
    <cellStyle name="Ввод  3 4 8" xfId="0"/>
    <cellStyle name="Ввод  3 4 8 2" xfId="0"/>
    <cellStyle name="Ввод  3 4 8 3" xfId="0"/>
    <cellStyle name="Ввод  3 4 9" xfId="0"/>
    <cellStyle name="Ввод  3 5" xfId="0"/>
    <cellStyle name="Ввод  3 5 2" xfId="0"/>
    <cellStyle name="Ввод  3 5 2 2" xfId="0"/>
    <cellStyle name="Ввод  3 5 2 2 2" xfId="0"/>
    <cellStyle name="Ввод  3 5 2 2 2 2" xfId="0"/>
    <cellStyle name="Ввод  3 5 2 2 2 3" xfId="0"/>
    <cellStyle name="Ввод  3 5 2 2 3" xfId="0"/>
    <cellStyle name="Ввод  3 5 2 2 4" xfId="0"/>
    <cellStyle name="Ввод  3 5 2 3" xfId="0"/>
    <cellStyle name="Ввод  3 5 2 3 2" xfId="0"/>
    <cellStyle name="Ввод  3 5 2 3 2 2" xfId="0"/>
    <cellStyle name="Ввод  3 5 2 3 2 3" xfId="0"/>
    <cellStyle name="Ввод  3 5 2 3 3" xfId="0"/>
    <cellStyle name="Ввод  3 5 2 3 4" xfId="0"/>
    <cellStyle name="Ввод  3 5 2 4" xfId="0"/>
    <cellStyle name="Ввод  3 5 2 4 2" xfId="0"/>
    <cellStyle name="Ввод  3 5 2 4 3" xfId="0"/>
    <cellStyle name="Ввод  3 5 2 5" xfId="0"/>
    <cellStyle name="Ввод  3 5 2 6" xfId="0"/>
    <cellStyle name="Ввод  3 5 3" xfId="0"/>
    <cellStyle name="Ввод  3 5 3 2" xfId="0"/>
    <cellStyle name="Ввод  3 5 3 2 2" xfId="0"/>
    <cellStyle name="Ввод  3 5 3 2 2 2" xfId="0"/>
    <cellStyle name="Ввод  3 5 3 2 2 3" xfId="0"/>
    <cellStyle name="Ввод  3 5 3 2 3" xfId="0"/>
    <cellStyle name="Ввод  3 5 3 2 4" xfId="0"/>
    <cellStyle name="Ввод  3 5 3 3" xfId="0"/>
    <cellStyle name="Ввод  3 5 3 3 2" xfId="0"/>
    <cellStyle name="Ввод  3 5 3 3 3" xfId="0"/>
    <cellStyle name="Ввод  3 5 3 4" xfId="0"/>
    <cellStyle name="Ввод  3 5 3 5" xfId="0"/>
    <cellStyle name="Ввод  3 5 4" xfId="0"/>
    <cellStyle name="Ввод  3 5 4 2" xfId="0"/>
    <cellStyle name="Ввод  3 5 4 2 2" xfId="0"/>
    <cellStyle name="Ввод  3 5 4 2 2 2" xfId="0"/>
    <cellStyle name="Ввод  3 5 4 2 2 3" xfId="0"/>
    <cellStyle name="Ввод  3 5 4 2 3" xfId="0"/>
    <cellStyle name="Ввод  3 5 4 2 4" xfId="0"/>
    <cellStyle name="Ввод  3 5 4 3" xfId="0"/>
    <cellStyle name="Ввод  3 5 4 3 2" xfId="0"/>
    <cellStyle name="Ввод  3 5 4 3 3" xfId="0"/>
    <cellStyle name="Ввод  3 5 4 4" xfId="0"/>
    <cellStyle name="Ввод  3 5 4 5" xfId="0"/>
    <cellStyle name="Ввод  3 5 5" xfId="0"/>
    <cellStyle name="Ввод  3 5 5 2" xfId="0"/>
    <cellStyle name="Ввод  3 5 5 3" xfId="0"/>
    <cellStyle name="Ввод  3 5 6" xfId="0"/>
    <cellStyle name="Ввод  3 5 7" xfId="0"/>
    <cellStyle name="Ввод  3 6" xfId="0"/>
    <cellStyle name="Ввод  3 6 2" xfId="0"/>
    <cellStyle name="Ввод  3 6 2 2" xfId="0"/>
    <cellStyle name="Ввод  3 6 2 2 2" xfId="0"/>
    <cellStyle name="Ввод  3 6 2 2 2 2" xfId="0"/>
    <cellStyle name="Ввод  3 6 2 2 2 3" xfId="0"/>
    <cellStyle name="Ввод  3 6 2 2 3" xfId="0"/>
    <cellStyle name="Ввод  3 6 2 2 4" xfId="0"/>
    <cellStyle name="Ввод  3 6 2 3" xfId="0"/>
    <cellStyle name="Ввод  3 6 2 3 2" xfId="0"/>
    <cellStyle name="Ввод  3 6 2 3 2 2" xfId="0"/>
    <cellStyle name="Ввод  3 6 2 3 2 3" xfId="0"/>
    <cellStyle name="Ввод  3 6 2 3 3" xfId="0"/>
    <cellStyle name="Ввод  3 6 2 3 4" xfId="0"/>
    <cellStyle name="Ввод  3 6 2 4" xfId="0"/>
    <cellStyle name="Ввод  3 6 2 4 2" xfId="0"/>
    <cellStyle name="Ввод  3 6 2 4 3" xfId="0"/>
    <cellStyle name="Ввод  3 6 2 5" xfId="0"/>
    <cellStyle name="Ввод  3 6 2 6" xfId="0"/>
    <cellStyle name="Ввод  3 6 3" xfId="0"/>
    <cellStyle name="Ввод  3 6 3 2" xfId="0"/>
    <cellStyle name="Ввод  3 6 3 2 2" xfId="0"/>
    <cellStyle name="Ввод  3 6 3 2 2 2" xfId="0"/>
    <cellStyle name="Ввод  3 6 3 2 2 3" xfId="0"/>
    <cellStyle name="Ввод  3 6 3 2 3" xfId="0"/>
    <cellStyle name="Ввод  3 6 3 2 4" xfId="0"/>
    <cellStyle name="Ввод  3 6 3 3" xfId="0"/>
    <cellStyle name="Ввод  3 6 3 3 2" xfId="0"/>
    <cellStyle name="Ввод  3 6 3 3 3" xfId="0"/>
    <cellStyle name="Ввод  3 6 3 4" xfId="0"/>
    <cellStyle name="Ввод  3 6 3 5" xfId="0"/>
    <cellStyle name="Ввод  3 6 4" xfId="0"/>
    <cellStyle name="Ввод  3 6 4 2" xfId="0"/>
    <cellStyle name="Ввод  3 6 4 2 2" xfId="0"/>
    <cellStyle name="Ввод  3 6 4 2 2 2" xfId="0"/>
    <cellStyle name="Ввод  3 6 4 2 2 3" xfId="0"/>
    <cellStyle name="Ввод  3 6 4 2 3" xfId="0"/>
    <cellStyle name="Ввод  3 6 4 2 4" xfId="0"/>
    <cellStyle name="Ввод  3 6 4 3" xfId="0"/>
    <cellStyle name="Ввод  3 6 4 3 2" xfId="0"/>
    <cellStyle name="Ввод  3 6 4 3 3" xfId="0"/>
    <cellStyle name="Ввод  3 6 4 4" xfId="0"/>
    <cellStyle name="Ввод  3 6 4 5" xfId="0"/>
    <cellStyle name="Ввод  3 6 5" xfId="0"/>
    <cellStyle name="Ввод  3 6 5 2" xfId="0"/>
    <cellStyle name="Ввод  3 6 5 3" xfId="0"/>
    <cellStyle name="Ввод  3 6 6" xfId="0"/>
    <cellStyle name="Ввод  3 6 7" xfId="0"/>
    <cellStyle name="Ввод  3 7" xfId="0"/>
    <cellStyle name="Ввод  3 7 2" xfId="0"/>
    <cellStyle name="Ввод  3 7 2 2" xfId="0"/>
    <cellStyle name="Ввод  3 7 2 2 2" xfId="0"/>
    <cellStyle name="Ввод  3 7 2 2 2 2" xfId="0"/>
    <cellStyle name="Ввод  3 7 2 2 2 3" xfId="0"/>
    <cellStyle name="Ввод  3 7 2 2 3" xfId="0"/>
    <cellStyle name="Ввод  3 7 2 2 4" xfId="0"/>
    <cellStyle name="Ввод  3 7 2 3" xfId="0"/>
    <cellStyle name="Ввод  3 7 2 3 2" xfId="0"/>
    <cellStyle name="Ввод  3 7 2 3 2 2" xfId="0"/>
    <cellStyle name="Ввод  3 7 2 3 2 3" xfId="0"/>
    <cellStyle name="Ввод  3 7 2 3 3" xfId="0"/>
    <cellStyle name="Ввод  3 7 2 3 4" xfId="0"/>
    <cellStyle name="Ввод  3 7 2 4" xfId="0"/>
    <cellStyle name="Ввод  3 7 2 4 2" xfId="0"/>
    <cellStyle name="Ввод  3 7 2 4 3" xfId="0"/>
    <cellStyle name="Ввод  3 7 2 5" xfId="0"/>
    <cellStyle name="Ввод  3 7 2 6" xfId="0"/>
    <cellStyle name="Ввод  3 7 3" xfId="0"/>
    <cellStyle name="Ввод  3 7 3 2" xfId="0"/>
    <cellStyle name="Ввод  3 7 3 2 2" xfId="0"/>
    <cellStyle name="Ввод  3 7 3 2 2 2" xfId="0"/>
    <cellStyle name="Ввод  3 7 3 2 2 3" xfId="0"/>
    <cellStyle name="Ввод  3 7 3 2 3" xfId="0"/>
    <cellStyle name="Ввод  3 7 3 2 4" xfId="0"/>
    <cellStyle name="Ввод  3 7 3 3" xfId="0"/>
    <cellStyle name="Ввод  3 7 3 3 2" xfId="0"/>
    <cellStyle name="Ввод  3 7 3 3 3" xfId="0"/>
    <cellStyle name="Ввод  3 7 3 4" xfId="0"/>
    <cellStyle name="Ввод  3 7 3 5" xfId="0"/>
    <cellStyle name="Ввод  3 7 4" xfId="0"/>
    <cellStyle name="Ввод  3 7 4 2" xfId="0"/>
    <cellStyle name="Ввод  3 7 4 2 2" xfId="0"/>
    <cellStyle name="Ввод  3 7 4 2 2 2" xfId="0"/>
    <cellStyle name="Ввод  3 7 4 2 2 3" xfId="0"/>
    <cellStyle name="Ввод  3 7 4 2 3" xfId="0"/>
    <cellStyle name="Ввод  3 7 4 2 4" xfId="0"/>
    <cellStyle name="Ввод  3 7 4 3" xfId="0"/>
    <cellStyle name="Ввод  3 7 4 3 2" xfId="0"/>
    <cellStyle name="Ввод  3 7 4 3 3" xfId="0"/>
    <cellStyle name="Ввод  3 7 4 4" xfId="0"/>
    <cellStyle name="Ввод  3 7 4 5" xfId="0"/>
    <cellStyle name="Ввод  3 7 5" xfId="0"/>
    <cellStyle name="Ввод  3 7 5 2" xfId="0"/>
    <cellStyle name="Ввод  3 7 5 3" xfId="0"/>
    <cellStyle name="Ввод  3 7 6" xfId="0"/>
    <cellStyle name="Ввод  3 7 7" xfId="0"/>
    <cellStyle name="Ввод  3 8" xfId="0"/>
    <cellStyle name="Ввод  3 8 2" xfId="0"/>
    <cellStyle name="Ввод  3 8 2 2" xfId="0"/>
    <cellStyle name="Ввод  3 8 2 2 2" xfId="0"/>
    <cellStyle name="Ввод  3 8 2 2 2 2" xfId="0"/>
    <cellStyle name="Ввод  3 8 2 2 2 3" xfId="0"/>
    <cellStyle name="Ввод  3 8 2 2 3" xfId="0"/>
    <cellStyle name="Ввод  3 8 2 2 4" xfId="0"/>
    <cellStyle name="Ввод  3 8 2 3" xfId="0"/>
    <cellStyle name="Ввод  3 8 2 3 2" xfId="0"/>
    <cellStyle name="Ввод  3 8 2 3 2 2" xfId="0"/>
    <cellStyle name="Ввод  3 8 2 3 2 3" xfId="0"/>
    <cellStyle name="Ввод  3 8 2 3 3" xfId="0"/>
    <cellStyle name="Ввод  3 8 2 3 4" xfId="0"/>
    <cellStyle name="Ввод  3 8 2 4" xfId="0"/>
    <cellStyle name="Ввод  3 8 2 4 2" xfId="0"/>
    <cellStyle name="Ввод  3 8 2 4 3" xfId="0"/>
    <cellStyle name="Ввод  3 8 2 5" xfId="0"/>
    <cellStyle name="Ввод  3 8 2 6" xfId="0"/>
    <cellStyle name="Ввод  3 8 3" xfId="0"/>
    <cellStyle name="Ввод  3 8 3 2" xfId="0"/>
    <cellStyle name="Ввод  3 8 3 2 2" xfId="0"/>
    <cellStyle name="Ввод  3 8 3 2 2 2" xfId="0"/>
    <cellStyle name="Ввод  3 8 3 2 2 3" xfId="0"/>
    <cellStyle name="Ввод  3 8 3 2 3" xfId="0"/>
    <cellStyle name="Ввод  3 8 3 2 4" xfId="0"/>
    <cellStyle name="Ввод  3 8 3 3" xfId="0"/>
    <cellStyle name="Ввод  3 8 3 3 2" xfId="0"/>
    <cellStyle name="Ввод  3 8 3 3 3" xfId="0"/>
    <cellStyle name="Ввод  3 8 3 4" xfId="0"/>
    <cellStyle name="Ввод  3 8 3 5" xfId="0"/>
    <cellStyle name="Ввод  3 8 4" xfId="0"/>
    <cellStyle name="Ввод  3 8 4 2" xfId="0"/>
    <cellStyle name="Ввод  3 8 4 2 2" xfId="0"/>
    <cellStyle name="Ввод  3 8 4 2 2 2" xfId="0"/>
    <cellStyle name="Ввод  3 8 4 2 2 3" xfId="0"/>
    <cellStyle name="Ввод  3 8 4 2 3" xfId="0"/>
    <cellStyle name="Ввод  3 8 4 2 4" xfId="0"/>
    <cellStyle name="Ввод  3 8 4 3" xfId="0"/>
    <cellStyle name="Ввод  3 8 4 3 2" xfId="0"/>
    <cellStyle name="Ввод  3 8 4 3 3" xfId="0"/>
    <cellStyle name="Ввод  3 8 4 4" xfId="0"/>
    <cellStyle name="Ввод  3 8 4 5" xfId="0"/>
    <cellStyle name="Ввод  3 8 5" xfId="0"/>
    <cellStyle name="Ввод  3 8 5 2" xfId="0"/>
    <cellStyle name="Ввод  3 8 5 3" xfId="0"/>
    <cellStyle name="Ввод  3 8 6" xfId="0"/>
    <cellStyle name="Ввод  3 8 7" xfId="0"/>
    <cellStyle name="Ввод  3 9" xfId="0"/>
    <cellStyle name="Ввод  3 9 2" xfId="0"/>
    <cellStyle name="Ввод  3 9 2 2" xfId="0"/>
    <cellStyle name="Ввод  3 9 2 2 2" xfId="0"/>
    <cellStyle name="Ввод  3 9 2 2 2 2" xfId="0"/>
    <cellStyle name="Ввод  3 9 2 2 2 3" xfId="0"/>
    <cellStyle name="Ввод  3 9 2 2 3" xfId="0"/>
    <cellStyle name="Ввод  3 9 2 2 4" xfId="0"/>
    <cellStyle name="Ввод  3 9 2 3" xfId="0"/>
    <cellStyle name="Ввод  3 9 2 3 2" xfId="0"/>
    <cellStyle name="Ввод  3 9 2 3 2 2" xfId="0"/>
    <cellStyle name="Ввод  3 9 2 3 2 3" xfId="0"/>
    <cellStyle name="Ввод  3 9 2 3 3" xfId="0"/>
    <cellStyle name="Ввод  3 9 2 3 4" xfId="0"/>
    <cellStyle name="Ввод  3 9 2 4" xfId="0"/>
    <cellStyle name="Ввод  3 9 2 4 2" xfId="0"/>
    <cellStyle name="Ввод  3 9 2 4 3" xfId="0"/>
    <cellStyle name="Ввод  3 9 2 5" xfId="0"/>
    <cellStyle name="Ввод  3 9 2 6" xfId="0"/>
    <cellStyle name="Ввод  3 9 3" xfId="0"/>
    <cellStyle name="Ввод  3 9 3 2" xfId="0"/>
    <cellStyle name="Ввод  3 9 3 2 2" xfId="0"/>
    <cellStyle name="Ввод  3 9 3 2 2 2" xfId="0"/>
    <cellStyle name="Ввод  3 9 3 2 2 3" xfId="0"/>
    <cellStyle name="Ввод  3 9 3 2 3" xfId="0"/>
    <cellStyle name="Ввод  3 9 3 2 4" xfId="0"/>
    <cellStyle name="Ввод  3 9 3 3" xfId="0"/>
    <cellStyle name="Ввод  3 9 3 3 2" xfId="0"/>
    <cellStyle name="Ввод  3 9 3 3 3" xfId="0"/>
    <cellStyle name="Ввод  3 9 3 4" xfId="0"/>
    <cellStyle name="Ввод  3 9 3 5" xfId="0"/>
    <cellStyle name="Ввод  3 9 4" xfId="0"/>
    <cellStyle name="Ввод  3 9 4 2" xfId="0"/>
    <cellStyle name="Ввод  3 9 4 2 2" xfId="0"/>
    <cellStyle name="Ввод  3 9 4 2 2 2" xfId="0"/>
    <cellStyle name="Ввод  3 9 4 2 2 3" xfId="0"/>
    <cellStyle name="Ввод  3 9 4 2 3" xfId="0"/>
    <cellStyle name="Ввод  3 9 4 2 4" xfId="0"/>
    <cellStyle name="Ввод  3 9 4 3" xfId="0"/>
    <cellStyle name="Ввод  3 9 4 3 2" xfId="0"/>
    <cellStyle name="Ввод  3 9 4 3 3" xfId="0"/>
    <cellStyle name="Ввод  3 9 4 4" xfId="0"/>
    <cellStyle name="Ввод  3 9 4 5" xfId="0"/>
    <cellStyle name="Ввод  3 9 5" xfId="0"/>
    <cellStyle name="Ввод  3 9 5 2" xfId="0"/>
    <cellStyle name="Ввод  3 9 5 3" xfId="0"/>
    <cellStyle name="Ввод  3 9 6" xfId="0"/>
    <cellStyle name="Ввод  3 9 7" xfId="0"/>
    <cellStyle name="Ввод  4" xfId="0"/>
    <cellStyle name="Ввод  4 10" xfId="0"/>
    <cellStyle name="Ввод  4 10 2" xfId="0"/>
    <cellStyle name="Ввод  4 10 2 2" xfId="0"/>
    <cellStyle name="Ввод  4 10 2 2 2" xfId="0"/>
    <cellStyle name="Ввод  4 10 2 2 2 2" xfId="0"/>
    <cellStyle name="Ввод  4 10 2 2 2 3" xfId="0"/>
    <cellStyle name="Ввод  4 10 2 2 3" xfId="0"/>
    <cellStyle name="Ввод  4 10 2 2 4" xfId="0"/>
    <cellStyle name="Ввод  4 10 2 3" xfId="0"/>
    <cellStyle name="Ввод  4 10 2 3 2" xfId="0"/>
    <cellStyle name="Ввод  4 10 2 3 2 2" xfId="0"/>
    <cellStyle name="Ввод  4 10 2 3 2 3" xfId="0"/>
    <cellStyle name="Ввод  4 10 2 3 3" xfId="0"/>
    <cellStyle name="Ввод  4 10 2 3 4" xfId="0"/>
    <cellStyle name="Ввод  4 10 2 4" xfId="0"/>
    <cellStyle name="Ввод  4 10 2 4 2" xfId="0"/>
    <cellStyle name="Ввод  4 10 2 4 3" xfId="0"/>
    <cellStyle name="Ввод  4 10 2 5" xfId="0"/>
    <cellStyle name="Ввод  4 10 2 6" xfId="0"/>
    <cellStyle name="Ввод  4 10 3" xfId="0"/>
    <cellStyle name="Ввод  4 10 3 2" xfId="0"/>
    <cellStyle name="Ввод  4 10 3 2 2" xfId="0"/>
    <cellStyle name="Ввод  4 10 3 2 2 2" xfId="0"/>
    <cellStyle name="Ввод  4 10 3 2 2 3" xfId="0"/>
    <cellStyle name="Ввод  4 10 3 2 3" xfId="0"/>
    <cellStyle name="Ввод  4 10 3 2 4" xfId="0"/>
    <cellStyle name="Ввод  4 10 3 3" xfId="0"/>
    <cellStyle name="Ввод  4 10 3 3 2" xfId="0"/>
    <cellStyle name="Ввод  4 10 3 3 3" xfId="0"/>
    <cellStyle name="Ввод  4 10 3 4" xfId="0"/>
    <cellStyle name="Ввод  4 10 3 5" xfId="0"/>
    <cellStyle name="Ввод  4 10 4" xfId="0"/>
    <cellStyle name="Ввод  4 10 4 2" xfId="0"/>
    <cellStyle name="Ввод  4 10 4 2 2" xfId="0"/>
    <cellStyle name="Ввод  4 10 4 2 2 2" xfId="0"/>
    <cellStyle name="Ввод  4 10 4 2 2 3" xfId="0"/>
    <cellStyle name="Ввод  4 10 4 2 3" xfId="0"/>
    <cellStyle name="Ввод  4 10 4 2 4" xfId="0"/>
    <cellStyle name="Ввод  4 10 4 3" xfId="0"/>
    <cellStyle name="Ввод  4 10 4 3 2" xfId="0"/>
    <cellStyle name="Ввод  4 10 4 3 3" xfId="0"/>
    <cellStyle name="Ввод  4 10 4 4" xfId="0"/>
    <cellStyle name="Ввод  4 10 4 5" xfId="0"/>
    <cellStyle name="Ввод  4 10 5" xfId="0"/>
    <cellStyle name="Ввод  4 10 5 2" xfId="0"/>
    <cellStyle name="Ввод  4 10 5 3" xfId="0"/>
    <cellStyle name="Ввод  4 10 6" xfId="0"/>
    <cellStyle name="Ввод  4 10 7" xfId="0"/>
    <cellStyle name="Ввод  4 11" xfId="0"/>
    <cellStyle name="Ввод  4 11 2" xfId="0"/>
    <cellStyle name="Ввод  4 11 2 2" xfId="0"/>
    <cellStyle name="Ввод  4 11 2 2 2" xfId="0"/>
    <cellStyle name="Ввод  4 11 2 2 2 2" xfId="0"/>
    <cellStyle name="Ввод  4 11 2 2 2 3" xfId="0"/>
    <cellStyle name="Ввод  4 11 2 2 3" xfId="0"/>
    <cellStyle name="Ввод  4 11 2 2 4" xfId="0"/>
    <cellStyle name="Ввод  4 11 2 3" xfId="0"/>
    <cellStyle name="Ввод  4 11 2 3 2" xfId="0"/>
    <cellStyle name="Ввод  4 11 2 3 2 2" xfId="0"/>
    <cellStyle name="Ввод  4 11 2 3 2 3" xfId="0"/>
    <cellStyle name="Ввод  4 11 2 3 3" xfId="0"/>
    <cellStyle name="Ввод  4 11 2 3 4" xfId="0"/>
    <cellStyle name="Ввод  4 11 2 4" xfId="0"/>
    <cellStyle name="Ввод  4 11 2 4 2" xfId="0"/>
    <cellStyle name="Ввод  4 11 2 4 3" xfId="0"/>
    <cellStyle name="Ввод  4 11 2 5" xfId="0"/>
    <cellStyle name="Ввод  4 11 2 6" xfId="0"/>
    <cellStyle name="Ввод  4 11 3" xfId="0"/>
    <cellStyle name="Ввод  4 11 3 2" xfId="0"/>
    <cellStyle name="Ввод  4 11 3 2 2" xfId="0"/>
    <cellStyle name="Ввод  4 11 3 2 2 2" xfId="0"/>
    <cellStyle name="Ввод  4 11 3 2 2 3" xfId="0"/>
    <cellStyle name="Ввод  4 11 3 2 3" xfId="0"/>
    <cellStyle name="Ввод  4 11 3 2 4" xfId="0"/>
    <cellStyle name="Ввод  4 11 3 3" xfId="0"/>
    <cellStyle name="Ввод  4 11 3 3 2" xfId="0"/>
    <cellStyle name="Ввод  4 11 3 3 3" xfId="0"/>
    <cellStyle name="Ввод  4 11 3 4" xfId="0"/>
    <cellStyle name="Ввод  4 11 3 5" xfId="0"/>
    <cellStyle name="Ввод  4 11 4" xfId="0"/>
    <cellStyle name="Ввод  4 11 4 2" xfId="0"/>
    <cellStyle name="Ввод  4 11 4 2 2" xfId="0"/>
    <cellStyle name="Ввод  4 11 4 2 2 2" xfId="0"/>
    <cellStyle name="Ввод  4 11 4 2 2 3" xfId="0"/>
    <cellStyle name="Ввод  4 11 4 2 3" xfId="0"/>
    <cellStyle name="Ввод  4 11 4 2 4" xfId="0"/>
    <cellStyle name="Ввод  4 11 4 3" xfId="0"/>
    <cellStyle name="Ввод  4 11 4 3 2" xfId="0"/>
    <cellStyle name="Ввод  4 11 4 3 3" xfId="0"/>
    <cellStyle name="Ввод  4 11 4 4" xfId="0"/>
    <cellStyle name="Ввод  4 11 4 5" xfId="0"/>
    <cellStyle name="Ввод  4 11 5" xfId="0"/>
    <cellStyle name="Ввод  4 11 5 2" xfId="0"/>
    <cellStyle name="Ввод  4 11 5 3" xfId="0"/>
    <cellStyle name="Ввод  4 11 6" xfId="0"/>
    <cellStyle name="Ввод  4 11 7" xfId="0"/>
    <cellStyle name="Ввод  4 12" xfId="0"/>
    <cellStyle name="Ввод  4 12 2" xfId="0"/>
    <cellStyle name="Ввод  4 12 2 2" xfId="0"/>
    <cellStyle name="Ввод  4 12 2 2 2" xfId="0"/>
    <cellStyle name="Ввод  4 12 2 2 2 2" xfId="0"/>
    <cellStyle name="Ввод  4 12 2 2 2 3" xfId="0"/>
    <cellStyle name="Ввод  4 12 2 2 3" xfId="0"/>
    <cellStyle name="Ввод  4 12 2 2 4" xfId="0"/>
    <cellStyle name="Ввод  4 12 2 3" xfId="0"/>
    <cellStyle name="Ввод  4 12 2 3 2" xfId="0"/>
    <cellStyle name="Ввод  4 12 2 3 2 2" xfId="0"/>
    <cellStyle name="Ввод  4 12 2 3 2 3" xfId="0"/>
    <cellStyle name="Ввод  4 12 2 3 3" xfId="0"/>
    <cellStyle name="Ввод  4 12 2 3 4" xfId="0"/>
    <cellStyle name="Ввод  4 12 2 4" xfId="0"/>
    <cellStyle name="Ввод  4 12 2 4 2" xfId="0"/>
    <cellStyle name="Ввод  4 12 2 4 3" xfId="0"/>
    <cellStyle name="Ввод  4 12 2 5" xfId="0"/>
    <cellStyle name="Ввод  4 12 2 6" xfId="0"/>
    <cellStyle name="Ввод  4 12 3" xfId="0"/>
    <cellStyle name="Ввод  4 12 3 2" xfId="0"/>
    <cellStyle name="Ввод  4 12 3 2 2" xfId="0"/>
    <cellStyle name="Ввод  4 12 3 2 2 2" xfId="0"/>
    <cellStyle name="Ввод  4 12 3 2 2 3" xfId="0"/>
    <cellStyle name="Ввод  4 12 3 2 3" xfId="0"/>
    <cellStyle name="Ввод  4 12 3 2 4" xfId="0"/>
    <cellStyle name="Ввод  4 12 3 3" xfId="0"/>
    <cellStyle name="Ввод  4 12 3 3 2" xfId="0"/>
    <cellStyle name="Ввод  4 12 3 3 3" xfId="0"/>
    <cellStyle name="Ввод  4 12 3 4" xfId="0"/>
    <cellStyle name="Ввод  4 12 3 5" xfId="0"/>
    <cellStyle name="Ввод  4 12 4" xfId="0"/>
    <cellStyle name="Ввод  4 12 4 2" xfId="0"/>
    <cellStyle name="Ввод  4 12 4 2 2" xfId="0"/>
    <cellStyle name="Ввод  4 12 4 2 2 2" xfId="0"/>
    <cellStyle name="Ввод  4 12 4 2 2 3" xfId="0"/>
    <cellStyle name="Ввод  4 12 4 2 3" xfId="0"/>
    <cellStyle name="Ввод  4 12 4 2 4" xfId="0"/>
    <cellStyle name="Ввод  4 12 4 3" xfId="0"/>
    <cellStyle name="Ввод  4 12 4 3 2" xfId="0"/>
    <cellStyle name="Ввод  4 12 4 3 3" xfId="0"/>
    <cellStyle name="Ввод  4 12 4 4" xfId="0"/>
    <cellStyle name="Ввод  4 12 4 5" xfId="0"/>
    <cellStyle name="Ввод  4 12 5" xfId="0"/>
    <cellStyle name="Ввод  4 12 5 2" xfId="0"/>
    <cellStyle name="Ввод  4 12 5 3" xfId="0"/>
    <cellStyle name="Ввод  4 12 6" xfId="0"/>
    <cellStyle name="Ввод  4 12 7" xfId="0"/>
    <cellStyle name="Ввод  4 13" xfId="0"/>
    <cellStyle name="Ввод  4 13 2" xfId="0"/>
    <cellStyle name="Ввод  4 13 2 2" xfId="0"/>
    <cellStyle name="Ввод  4 13 2 2 2" xfId="0"/>
    <cellStyle name="Ввод  4 13 2 2 2 2" xfId="0"/>
    <cellStyle name="Ввод  4 13 2 2 2 3" xfId="0"/>
    <cellStyle name="Ввод  4 13 2 2 3" xfId="0"/>
    <cellStyle name="Ввод  4 13 2 2 4" xfId="0"/>
    <cellStyle name="Ввод  4 13 2 3" xfId="0"/>
    <cellStyle name="Ввод  4 13 2 3 2" xfId="0"/>
    <cellStyle name="Ввод  4 13 2 3 2 2" xfId="0"/>
    <cellStyle name="Ввод  4 13 2 3 2 3" xfId="0"/>
    <cellStyle name="Ввод  4 13 2 3 3" xfId="0"/>
    <cellStyle name="Ввод  4 13 2 3 4" xfId="0"/>
    <cellStyle name="Ввод  4 13 2 4" xfId="0"/>
    <cellStyle name="Ввод  4 13 2 4 2" xfId="0"/>
    <cellStyle name="Ввод  4 13 2 4 3" xfId="0"/>
    <cellStyle name="Ввод  4 13 2 5" xfId="0"/>
    <cellStyle name="Ввод  4 13 2 6" xfId="0"/>
    <cellStyle name="Ввод  4 13 3" xfId="0"/>
    <cellStyle name="Ввод  4 13 3 2" xfId="0"/>
    <cellStyle name="Ввод  4 13 3 2 2" xfId="0"/>
    <cellStyle name="Ввод  4 13 3 2 2 2" xfId="0"/>
    <cellStyle name="Ввод  4 13 3 2 2 3" xfId="0"/>
    <cellStyle name="Ввод  4 13 3 2 3" xfId="0"/>
    <cellStyle name="Ввод  4 13 3 2 4" xfId="0"/>
    <cellStyle name="Ввод  4 13 3 3" xfId="0"/>
    <cellStyle name="Ввод  4 13 3 3 2" xfId="0"/>
    <cellStyle name="Ввод  4 13 3 3 3" xfId="0"/>
    <cellStyle name="Ввод  4 13 3 4" xfId="0"/>
    <cellStyle name="Ввод  4 13 3 5" xfId="0"/>
    <cellStyle name="Ввод  4 13 4" xfId="0"/>
    <cellStyle name="Ввод  4 13 4 2" xfId="0"/>
    <cellStyle name="Ввод  4 13 4 2 2" xfId="0"/>
    <cellStyle name="Ввод  4 13 4 2 2 2" xfId="0"/>
    <cellStyle name="Ввод  4 13 4 2 2 3" xfId="0"/>
    <cellStyle name="Ввод  4 13 4 2 3" xfId="0"/>
    <cellStyle name="Ввод  4 13 4 2 4" xfId="0"/>
    <cellStyle name="Ввод  4 13 4 3" xfId="0"/>
    <cellStyle name="Ввод  4 13 4 3 2" xfId="0"/>
    <cellStyle name="Ввод  4 13 4 3 3" xfId="0"/>
    <cellStyle name="Ввод  4 13 4 4" xfId="0"/>
    <cellStyle name="Ввод  4 13 4 5" xfId="0"/>
    <cellStyle name="Ввод  4 13 5" xfId="0"/>
    <cellStyle name="Ввод  4 13 5 2" xfId="0"/>
    <cellStyle name="Ввод  4 13 5 3" xfId="0"/>
    <cellStyle name="Ввод  4 13 6" xfId="0"/>
    <cellStyle name="Ввод  4 13 7" xfId="0"/>
    <cellStyle name="Ввод  4 14" xfId="0"/>
    <cellStyle name="Ввод  4 14 2" xfId="0"/>
    <cellStyle name="Ввод  4 14 2 2" xfId="0"/>
    <cellStyle name="Ввод  4 14 2 2 2" xfId="0"/>
    <cellStyle name="Ввод  4 14 2 2 2 2" xfId="0"/>
    <cellStyle name="Ввод  4 14 2 2 2 3" xfId="0"/>
    <cellStyle name="Ввод  4 14 2 2 3" xfId="0"/>
    <cellStyle name="Ввод  4 14 2 2 4" xfId="0"/>
    <cellStyle name="Ввод  4 14 2 3" xfId="0"/>
    <cellStyle name="Ввод  4 14 2 3 2" xfId="0"/>
    <cellStyle name="Ввод  4 14 2 3 2 2" xfId="0"/>
    <cellStyle name="Ввод  4 14 2 3 2 3" xfId="0"/>
    <cellStyle name="Ввод  4 14 2 3 3" xfId="0"/>
    <cellStyle name="Ввод  4 14 2 3 4" xfId="0"/>
    <cellStyle name="Ввод  4 14 2 4" xfId="0"/>
    <cellStyle name="Ввод  4 14 2 4 2" xfId="0"/>
    <cellStyle name="Ввод  4 14 2 4 3" xfId="0"/>
    <cellStyle name="Ввод  4 14 2 5" xfId="0"/>
    <cellStyle name="Ввод  4 14 2 6" xfId="0"/>
    <cellStyle name="Ввод  4 14 3" xfId="0"/>
    <cellStyle name="Ввод  4 14 3 2" xfId="0"/>
    <cellStyle name="Ввод  4 14 3 2 2" xfId="0"/>
    <cellStyle name="Ввод  4 14 3 2 2 2" xfId="0"/>
    <cellStyle name="Ввод  4 14 3 2 2 3" xfId="0"/>
    <cellStyle name="Ввод  4 14 3 2 3" xfId="0"/>
    <cellStyle name="Ввод  4 14 3 2 4" xfId="0"/>
    <cellStyle name="Ввод  4 14 3 3" xfId="0"/>
    <cellStyle name="Ввод  4 14 3 3 2" xfId="0"/>
    <cellStyle name="Ввод  4 14 3 3 3" xfId="0"/>
    <cellStyle name="Ввод  4 14 3 4" xfId="0"/>
    <cellStyle name="Ввод  4 14 3 5" xfId="0"/>
    <cellStyle name="Ввод  4 14 4" xfId="0"/>
    <cellStyle name="Ввод  4 14 4 2" xfId="0"/>
    <cellStyle name="Ввод  4 14 4 2 2" xfId="0"/>
    <cellStyle name="Ввод  4 14 4 2 2 2" xfId="0"/>
    <cellStyle name="Ввод  4 14 4 2 2 3" xfId="0"/>
    <cellStyle name="Ввод  4 14 4 2 3" xfId="0"/>
    <cellStyle name="Ввод  4 14 4 2 4" xfId="0"/>
    <cellStyle name="Ввод  4 14 4 3" xfId="0"/>
    <cellStyle name="Ввод  4 14 4 3 2" xfId="0"/>
    <cellStyle name="Ввод  4 14 4 3 3" xfId="0"/>
    <cellStyle name="Ввод  4 14 4 4" xfId="0"/>
    <cellStyle name="Ввод  4 14 4 5" xfId="0"/>
    <cellStyle name="Ввод  4 14 5" xfId="0"/>
    <cellStyle name="Ввод  4 14 5 2" xfId="0"/>
    <cellStyle name="Ввод  4 14 5 3" xfId="0"/>
    <cellStyle name="Ввод  4 14 6" xfId="0"/>
    <cellStyle name="Ввод  4 14 7" xfId="0"/>
    <cellStyle name="Ввод  4 15" xfId="0"/>
    <cellStyle name="Ввод  4 15 2" xfId="0"/>
    <cellStyle name="Ввод  4 15 2 2" xfId="0"/>
    <cellStyle name="Ввод  4 15 2 2 2" xfId="0"/>
    <cellStyle name="Ввод  4 15 2 2 2 2" xfId="0"/>
    <cellStyle name="Ввод  4 15 2 2 2 3" xfId="0"/>
    <cellStyle name="Ввод  4 15 2 2 3" xfId="0"/>
    <cellStyle name="Ввод  4 15 2 2 4" xfId="0"/>
    <cellStyle name="Ввод  4 15 2 3" xfId="0"/>
    <cellStyle name="Ввод  4 15 2 3 2" xfId="0"/>
    <cellStyle name="Ввод  4 15 2 3 2 2" xfId="0"/>
    <cellStyle name="Ввод  4 15 2 3 2 3" xfId="0"/>
    <cellStyle name="Ввод  4 15 2 3 3" xfId="0"/>
    <cellStyle name="Ввод  4 15 2 3 4" xfId="0"/>
    <cellStyle name="Ввод  4 15 2 4" xfId="0"/>
    <cellStyle name="Ввод  4 15 2 4 2" xfId="0"/>
    <cellStyle name="Ввод  4 15 2 4 3" xfId="0"/>
    <cellStyle name="Ввод  4 15 2 5" xfId="0"/>
    <cellStyle name="Ввод  4 15 2 6" xfId="0"/>
    <cellStyle name="Ввод  4 15 3" xfId="0"/>
    <cellStyle name="Ввод  4 15 3 2" xfId="0"/>
    <cellStyle name="Ввод  4 15 3 2 2" xfId="0"/>
    <cellStyle name="Ввод  4 15 3 2 2 2" xfId="0"/>
    <cellStyle name="Ввод  4 15 3 2 2 3" xfId="0"/>
    <cellStyle name="Ввод  4 15 3 2 3" xfId="0"/>
    <cellStyle name="Ввод  4 15 3 2 4" xfId="0"/>
    <cellStyle name="Ввод  4 15 3 3" xfId="0"/>
    <cellStyle name="Ввод  4 15 3 3 2" xfId="0"/>
    <cellStyle name="Ввод  4 15 3 3 3" xfId="0"/>
    <cellStyle name="Ввод  4 15 3 4" xfId="0"/>
    <cellStyle name="Ввод  4 15 3 5" xfId="0"/>
    <cellStyle name="Ввод  4 15 4" xfId="0"/>
    <cellStyle name="Ввод  4 15 4 2" xfId="0"/>
    <cellStyle name="Ввод  4 15 4 2 2" xfId="0"/>
    <cellStyle name="Ввод  4 15 4 2 2 2" xfId="0"/>
    <cellStyle name="Ввод  4 15 4 2 2 3" xfId="0"/>
    <cellStyle name="Ввод  4 15 4 2 3" xfId="0"/>
    <cellStyle name="Ввод  4 15 4 2 4" xfId="0"/>
    <cellStyle name="Ввод  4 15 4 3" xfId="0"/>
    <cellStyle name="Ввод  4 15 4 3 2" xfId="0"/>
    <cellStyle name="Ввод  4 15 4 3 3" xfId="0"/>
    <cellStyle name="Ввод  4 15 4 4" xfId="0"/>
    <cellStyle name="Ввод  4 15 4 5" xfId="0"/>
    <cellStyle name="Ввод  4 15 5" xfId="0"/>
    <cellStyle name="Ввод  4 15 5 2" xfId="0"/>
    <cellStyle name="Ввод  4 15 5 3" xfId="0"/>
    <cellStyle name="Ввод  4 15 6" xfId="0"/>
    <cellStyle name="Ввод  4 15 7" xfId="0"/>
    <cellStyle name="Ввод  4 16" xfId="0"/>
    <cellStyle name="Ввод  4 16 2" xfId="0"/>
    <cellStyle name="Ввод  4 16 2 2" xfId="0"/>
    <cellStyle name="Ввод  4 16 2 2 2" xfId="0"/>
    <cellStyle name="Ввод  4 16 2 2 2 2" xfId="0"/>
    <cellStyle name="Ввод  4 16 2 2 2 3" xfId="0"/>
    <cellStyle name="Ввод  4 16 2 2 3" xfId="0"/>
    <cellStyle name="Ввод  4 16 2 2 4" xfId="0"/>
    <cellStyle name="Ввод  4 16 2 3" xfId="0"/>
    <cellStyle name="Ввод  4 16 2 3 2" xfId="0"/>
    <cellStyle name="Ввод  4 16 2 3 2 2" xfId="0"/>
    <cellStyle name="Ввод  4 16 2 3 2 3" xfId="0"/>
    <cellStyle name="Ввод  4 16 2 3 3" xfId="0"/>
    <cellStyle name="Ввод  4 16 2 3 4" xfId="0"/>
    <cellStyle name="Ввод  4 16 2 4" xfId="0"/>
    <cellStyle name="Ввод  4 16 2 4 2" xfId="0"/>
    <cellStyle name="Ввод  4 16 2 4 3" xfId="0"/>
    <cellStyle name="Ввод  4 16 2 5" xfId="0"/>
    <cellStyle name="Ввод  4 16 2 6" xfId="0"/>
    <cellStyle name="Ввод  4 16 3" xfId="0"/>
    <cellStyle name="Ввод  4 16 3 2" xfId="0"/>
    <cellStyle name="Ввод  4 16 3 2 2" xfId="0"/>
    <cellStyle name="Ввод  4 16 3 2 2 2" xfId="0"/>
    <cellStyle name="Ввод  4 16 3 2 2 3" xfId="0"/>
    <cellStyle name="Ввод  4 16 3 2 3" xfId="0"/>
    <cellStyle name="Ввод  4 16 3 2 4" xfId="0"/>
    <cellStyle name="Ввод  4 16 3 3" xfId="0"/>
    <cellStyle name="Ввод  4 16 3 3 2" xfId="0"/>
    <cellStyle name="Ввод  4 16 3 3 3" xfId="0"/>
    <cellStyle name="Ввод  4 16 3 4" xfId="0"/>
    <cellStyle name="Ввод  4 16 3 5" xfId="0"/>
    <cellStyle name="Ввод  4 16 4" xfId="0"/>
    <cellStyle name="Ввод  4 16 4 2" xfId="0"/>
    <cellStyle name="Ввод  4 16 4 2 2" xfId="0"/>
    <cellStyle name="Ввод  4 16 4 2 2 2" xfId="0"/>
    <cellStyle name="Ввод  4 16 4 2 2 3" xfId="0"/>
    <cellStyle name="Ввод  4 16 4 2 3" xfId="0"/>
    <cellStyle name="Ввод  4 16 4 2 4" xfId="0"/>
    <cellStyle name="Ввод  4 16 4 3" xfId="0"/>
    <cellStyle name="Ввод  4 16 4 3 2" xfId="0"/>
    <cellStyle name="Ввод  4 16 4 3 3" xfId="0"/>
    <cellStyle name="Ввод  4 16 4 4" xfId="0"/>
    <cellStyle name="Ввод  4 16 4 5" xfId="0"/>
    <cellStyle name="Ввод  4 16 5" xfId="0"/>
    <cellStyle name="Ввод  4 16 5 2" xfId="0"/>
    <cellStyle name="Ввод  4 16 5 3" xfId="0"/>
    <cellStyle name="Ввод  4 16 6" xfId="0"/>
    <cellStyle name="Ввод  4 16 7" xfId="0"/>
    <cellStyle name="Ввод  4 17" xfId="0"/>
    <cellStyle name="Ввод  4 17 2" xfId="0"/>
    <cellStyle name="Ввод  4 17 2 2" xfId="0"/>
    <cellStyle name="Ввод  4 17 2 2 2" xfId="0"/>
    <cellStyle name="Ввод  4 17 2 2 2 2" xfId="0"/>
    <cellStyle name="Ввод  4 17 2 2 2 3" xfId="0"/>
    <cellStyle name="Ввод  4 17 2 2 3" xfId="0"/>
    <cellStyle name="Ввод  4 17 2 2 4" xfId="0"/>
    <cellStyle name="Ввод  4 17 2 3" xfId="0"/>
    <cellStyle name="Ввод  4 17 2 3 2" xfId="0"/>
    <cellStyle name="Ввод  4 17 2 3 2 2" xfId="0"/>
    <cellStyle name="Ввод  4 17 2 3 2 3" xfId="0"/>
    <cellStyle name="Ввод  4 17 2 3 3" xfId="0"/>
    <cellStyle name="Ввод  4 17 2 3 4" xfId="0"/>
    <cellStyle name="Ввод  4 17 2 4" xfId="0"/>
    <cellStyle name="Ввод  4 17 2 4 2" xfId="0"/>
    <cellStyle name="Ввод  4 17 2 4 3" xfId="0"/>
    <cellStyle name="Ввод  4 17 2 5" xfId="0"/>
    <cellStyle name="Ввод  4 17 2 6" xfId="0"/>
    <cellStyle name="Ввод  4 17 3" xfId="0"/>
    <cellStyle name="Ввод  4 17 3 2" xfId="0"/>
    <cellStyle name="Ввод  4 17 3 2 2" xfId="0"/>
    <cellStyle name="Ввод  4 17 3 2 2 2" xfId="0"/>
    <cellStyle name="Ввод  4 17 3 2 2 3" xfId="0"/>
    <cellStyle name="Ввод  4 17 3 2 3" xfId="0"/>
    <cellStyle name="Ввод  4 17 3 2 4" xfId="0"/>
    <cellStyle name="Ввод  4 17 3 3" xfId="0"/>
    <cellStyle name="Ввод  4 17 3 3 2" xfId="0"/>
    <cellStyle name="Ввод  4 17 3 3 3" xfId="0"/>
    <cellStyle name="Ввод  4 17 3 4" xfId="0"/>
    <cellStyle name="Ввод  4 17 3 5" xfId="0"/>
    <cellStyle name="Ввод  4 17 4" xfId="0"/>
    <cellStyle name="Ввод  4 17 4 2" xfId="0"/>
    <cellStyle name="Ввод  4 17 4 2 2" xfId="0"/>
    <cellStyle name="Ввод  4 17 4 2 2 2" xfId="0"/>
    <cellStyle name="Ввод  4 17 4 2 2 3" xfId="0"/>
    <cellStyle name="Ввод  4 17 4 2 3" xfId="0"/>
    <cellStyle name="Ввод  4 17 4 2 4" xfId="0"/>
    <cellStyle name="Ввод  4 17 4 3" xfId="0"/>
    <cellStyle name="Ввод  4 17 4 3 2" xfId="0"/>
    <cellStyle name="Ввод  4 17 4 3 3" xfId="0"/>
    <cellStyle name="Ввод  4 17 4 4" xfId="0"/>
    <cellStyle name="Ввод  4 17 4 5" xfId="0"/>
    <cellStyle name="Ввод  4 17 5" xfId="0"/>
    <cellStyle name="Ввод  4 17 5 2" xfId="0"/>
    <cellStyle name="Ввод  4 17 5 3" xfId="0"/>
    <cellStyle name="Ввод  4 17 6" xfId="0"/>
    <cellStyle name="Ввод  4 17 7" xfId="0"/>
    <cellStyle name="Ввод  4 18" xfId="0"/>
    <cellStyle name="Ввод  4 18 2" xfId="0"/>
    <cellStyle name="Ввод  4 18 2 2" xfId="0"/>
    <cellStyle name="Ввод  4 18 2 2 2" xfId="0"/>
    <cellStyle name="Ввод  4 18 2 2 2 2" xfId="0"/>
    <cellStyle name="Ввод  4 18 2 2 2 3" xfId="0"/>
    <cellStyle name="Ввод  4 18 2 2 3" xfId="0"/>
    <cellStyle name="Ввод  4 18 2 2 4" xfId="0"/>
    <cellStyle name="Ввод  4 18 2 3" xfId="0"/>
    <cellStyle name="Ввод  4 18 2 3 2" xfId="0"/>
    <cellStyle name="Ввод  4 18 2 3 2 2" xfId="0"/>
    <cellStyle name="Ввод  4 18 2 3 2 3" xfId="0"/>
    <cellStyle name="Ввод  4 18 2 3 3" xfId="0"/>
    <cellStyle name="Ввод  4 18 2 3 4" xfId="0"/>
    <cellStyle name="Ввод  4 18 2 4" xfId="0"/>
    <cellStyle name="Ввод  4 18 2 4 2" xfId="0"/>
    <cellStyle name="Ввод  4 18 2 4 3" xfId="0"/>
    <cellStyle name="Ввод  4 18 2 5" xfId="0"/>
    <cellStyle name="Ввод  4 18 2 6" xfId="0"/>
    <cellStyle name="Ввод  4 18 3" xfId="0"/>
    <cellStyle name="Ввод  4 18 3 2" xfId="0"/>
    <cellStyle name="Ввод  4 18 3 2 2" xfId="0"/>
    <cellStyle name="Ввод  4 18 3 2 2 2" xfId="0"/>
    <cellStyle name="Ввод  4 18 3 2 2 3" xfId="0"/>
    <cellStyle name="Ввод  4 18 3 2 3" xfId="0"/>
    <cellStyle name="Ввод  4 18 3 2 4" xfId="0"/>
    <cellStyle name="Ввод  4 18 3 3" xfId="0"/>
    <cellStyle name="Ввод  4 18 3 3 2" xfId="0"/>
    <cellStyle name="Ввод  4 18 3 3 3" xfId="0"/>
    <cellStyle name="Ввод  4 18 3 4" xfId="0"/>
    <cellStyle name="Ввод  4 18 3 5" xfId="0"/>
    <cellStyle name="Ввод  4 18 4" xfId="0"/>
    <cellStyle name="Ввод  4 18 4 2" xfId="0"/>
    <cellStyle name="Ввод  4 18 4 2 2" xfId="0"/>
    <cellStyle name="Ввод  4 18 4 2 2 2" xfId="0"/>
    <cellStyle name="Ввод  4 18 4 2 2 3" xfId="0"/>
    <cellStyle name="Ввод  4 18 4 2 3" xfId="0"/>
    <cellStyle name="Ввод  4 18 4 2 4" xfId="0"/>
    <cellStyle name="Ввод  4 18 4 3" xfId="0"/>
    <cellStyle name="Ввод  4 18 4 3 2" xfId="0"/>
    <cellStyle name="Ввод  4 18 4 3 3" xfId="0"/>
    <cellStyle name="Ввод  4 18 4 4" xfId="0"/>
    <cellStyle name="Ввод  4 18 4 5" xfId="0"/>
    <cellStyle name="Ввод  4 18 5" xfId="0"/>
    <cellStyle name="Ввод  4 18 5 2" xfId="0"/>
    <cellStyle name="Ввод  4 18 5 3" xfId="0"/>
    <cellStyle name="Ввод  4 18 6" xfId="0"/>
    <cellStyle name="Ввод  4 18 7" xfId="0"/>
    <cellStyle name="Ввод  4 19" xfId="0"/>
    <cellStyle name="Ввод  4 19 2" xfId="0"/>
    <cellStyle name="Ввод  4 19 2 2" xfId="0"/>
    <cellStyle name="Ввод  4 19 2 2 2" xfId="0"/>
    <cellStyle name="Ввод  4 19 2 2 2 2" xfId="0"/>
    <cellStyle name="Ввод  4 19 2 2 2 3" xfId="0"/>
    <cellStyle name="Ввод  4 19 2 2 3" xfId="0"/>
    <cellStyle name="Ввод  4 19 2 2 4" xfId="0"/>
    <cellStyle name="Ввод  4 19 2 3" xfId="0"/>
    <cellStyle name="Ввод  4 19 2 3 2" xfId="0"/>
    <cellStyle name="Ввод  4 19 2 3 2 2" xfId="0"/>
    <cellStyle name="Ввод  4 19 2 3 2 3" xfId="0"/>
    <cellStyle name="Ввод  4 19 2 3 3" xfId="0"/>
    <cellStyle name="Ввод  4 19 2 3 4" xfId="0"/>
    <cellStyle name="Ввод  4 19 2 4" xfId="0"/>
    <cellStyle name="Ввод  4 19 2 4 2" xfId="0"/>
    <cellStyle name="Ввод  4 19 2 4 3" xfId="0"/>
    <cellStyle name="Ввод  4 19 2 5" xfId="0"/>
    <cellStyle name="Ввод  4 19 2 6" xfId="0"/>
    <cellStyle name="Ввод  4 19 3" xfId="0"/>
    <cellStyle name="Ввод  4 19 3 2" xfId="0"/>
    <cellStyle name="Ввод  4 19 3 2 2" xfId="0"/>
    <cellStyle name="Ввод  4 19 3 2 2 2" xfId="0"/>
    <cellStyle name="Ввод  4 19 3 2 2 3" xfId="0"/>
    <cellStyle name="Ввод  4 19 3 2 3" xfId="0"/>
    <cellStyle name="Ввод  4 19 3 2 4" xfId="0"/>
    <cellStyle name="Ввод  4 19 3 3" xfId="0"/>
    <cellStyle name="Ввод  4 19 3 3 2" xfId="0"/>
    <cellStyle name="Ввод  4 19 3 3 3" xfId="0"/>
    <cellStyle name="Ввод  4 19 3 4" xfId="0"/>
    <cellStyle name="Ввод  4 19 3 5" xfId="0"/>
    <cellStyle name="Ввод  4 19 4" xfId="0"/>
    <cellStyle name="Ввод  4 19 4 2" xfId="0"/>
    <cellStyle name="Ввод  4 19 4 2 2" xfId="0"/>
    <cellStyle name="Ввод  4 19 4 2 2 2" xfId="0"/>
    <cellStyle name="Ввод  4 19 4 2 2 3" xfId="0"/>
    <cellStyle name="Ввод  4 19 4 2 3" xfId="0"/>
    <cellStyle name="Ввод  4 19 4 2 4" xfId="0"/>
    <cellStyle name="Ввод  4 19 4 3" xfId="0"/>
    <cellStyle name="Ввод  4 19 4 3 2" xfId="0"/>
    <cellStyle name="Ввод  4 19 4 3 3" xfId="0"/>
    <cellStyle name="Ввод  4 19 4 4" xfId="0"/>
    <cellStyle name="Ввод  4 19 4 5" xfId="0"/>
    <cellStyle name="Ввод  4 19 5" xfId="0"/>
    <cellStyle name="Ввод  4 19 5 2" xfId="0"/>
    <cellStyle name="Ввод  4 19 5 3" xfId="0"/>
    <cellStyle name="Ввод  4 19 6" xfId="0"/>
    <cellStyle name="Ввод  4 19 7" xfId="0"/>
    <cellStyle name="Ввод  4 2" xfId="0"/>
    <cellStyle name="Ввод  4 2 10" xfId="0"/>
    <cellStyle name="Ввод  4 2 11" xfId="0"/>
    <cellStyle name="Ввод  4 2 2" xfId="0"/>
    <cellStyle name="Ввод  4 2 2 2" xfId="0"/>
    <cellStyle name="Ввод  4 2 2 2 2" xfId="0"/>
    <cellStyle name="Ввод  4 2 2 2 2 2" xfId="0"/>
    <cellStyle name="Ввод  4 2 2 2 2 2 2" xfId="0"/>
    <cellStyle name="Ввод  4 2 2 2 2 2 3" xfId="0"/>
    <cellStyle name="Ввод  4 2 2 2 2 3" xfId="0"/>
    <cellStyle name="Ввод  4 2 2 2 2 4" xfId="0"/>
    <cellStyle name="Ввод  4 2 2 2 3" xfId="0"/>
    <cellStyle name="Ввод  4 2 2 2 3 2" xfId="0"/>
    <cellStyle name="Ввод  4 2 2 2 3 3" xfId="0"/>
    <cellStyle name="Ввод  4 2 2 2 4" xfId="0"/>
    <cellStyle name="Ввод  4 2 2 2 5" xfId="0"/>
    <cellStyle name="Ввод  4 2 2 3" xfId="0"/>
    <cellStyle name="Ввод  4 2 2 3 2" xfId="0"/>
    <cellStyle name="Ввод  4 2 2 3 2 2" xfId="0"/>
    <cellStyle name="Ввод  4 2 2 3 2 3" xfId="0"/>
    <cellStyle name="Ввод  4 2 2 3 3" xfId="0"/>
    <cellStyle name="Ввод  4 2 2 3 4" xfId="0"/>
    <cellStyle name="Ввод  4 2 2 4" xfId="0"/>
    <cellStyle name="Ввод  4 2 2 4 2" xfId="0"/>
    <cellStyle name="Ввод  4 2 2 4 3" xfId="0"/>
    <cellStyle name="Ввод  4 2 2 5" xfId="0"/>
    <cellStyle name="Ввод  4 2 2 6" xfId="0"/>
    <cellStyle name="Ввод  4 2 3" xfId="0"/>
    <cellStyle name="Ввод  4 2 3 2" xfId="0"/>
    <cellStyle name="Ввод  4 2 3 2 2" xfId="0"/>
    <cellStyle name="Ввод  4 2 3 2 2 2" xfId="0"/>
    <cellStyle name="Ввод  4 2 3 2 2 2 2" xfId="0"/>
    <cellStyle name="Ввод  4 2 3 2 2 2 3" xfId="0"/>
    <cellStyle name="Ввод  4 2 3 2 2 3" xfId="0"/>
    <cellStyle name="Ввод  4 2 3 2 2 4" xfId="0"/>
    <cellStyle name="Ввод  4 2 3 2 3" xfId="0"/>
    <cellStyle name="Ввод  4 2 3 2 3 2" xfId="0"/>
    <cellStyle name="Ввод  4 2 3 2 3 3" xfId="0"/>
    <cellStyle name="Ввод  4 2 3 2 4" xfId="0"/>
    <cellStyle name="Ввод  4 2 3 2 5" xfId="0"/>
    <cellStyle name="Ввод  4 2 3 3" xfId="0"/>
    <cellStyle name="Ввод  4 2 3 3 2" xfId="0"/>
    <cellStyle name="Ввод  4 2 3 3 2 2" xfId="0"/>
    <cellStyle name="Ввод  4 2 3 3 2 3" xfId="0"/>
    <cellStyle name="Ввод  4 2 3 3 3" xfId="0"/>
    <cellStyle name="Ввод  4 2 3 3 4" xfId="0"/>
    <cellStyle name="Ввод  4 2 3 4" xfId="0"/>
    <cellStyle name="Ввод  4 2 3 4 2" xfId="0"/>
    <cellStyle name="Ввод  4 2 3 4 3" xfId="0"/>
    <cellStyle name="Ввод  4 2 3 5" xfId="0"/>
    <cellStyle name="Ввод  4 2 3 6" xfId="0"/>
    <cellStyle name="Ввод  4 2 4" xfId="0"/>
    <cellStyle name="Ввод  4 2 4 2" xfId="0"/>
    <cellStyle name="Ввод  4 2 4 2 2" xfId="0"/>
    <cellStyle name="Ввод  4 2 4 2 2 2" xfId="0"/>
    <cellStyle name="Ввод  4 2 4 2 2 2 2" xfId="0"/>
    <cellStyle name="Ввод  4 2 4 2 2 2 3" xfId="0"/>
    <cellStyle name="Ввод  4 2 4 2 2 3" xfId="0"/>
    <cellStyle name="Ввод  4 2 4 2 2 4" xfId="0"/>
    <cellStyle name="Ввод  4 2 4 2 3" xfId="0"/>
    <cellStyle name="Ввод  4 2 4 2 3 2" xfId="0"/>
    <cellStyle name="Ввод  4 2 4 2 3 3" xfId="0"/>
    <cellStyle name="Ввод  4 2 4 2 4" xfId="0"/>
    <cellStyle name="Ввод  4 2 4 2 5" xfId="0"/>
    <cellStyle name="Ввод  4 2 4 3" xfId="0"/>
    <cellStyle name="Ввод  4 2 4 3 2" xfId="0"/>
    <cellStyle name="Ввод  4 2 4 3 2 2" xfId="0"/>
    <cellStyle name="Ввод  4 2 4 3 2 3" xfId="0"/>
    <cellStyle name="Ввод  4 2 4 3 3" xfId="0"/>
    <cellStyle name="Ввод  4 2 4 3 4" xfId="0"/>
    <cellStyle name="Ввод  4 2 4 4" xfId="0"/>
    <cellStyle name="Ввод  4 2 4 4 2" xfId="0"/>
    <cellStyle name="Ввод  4 2 4 4 3" xfId="0"/>
    <cellStyle name="Ввод  4 2 4 5" xfId="0"/>
    <cellStyle name="Ввод  4 2 4 6" xfId="0"/>
    <cellStyle name="Ввод  4 2 5" xfId="0"/>
    <cellStyle name="Ввод  4 2 5 2" xfId="0"/>
    <cellStyle name="Ввод  4 2 5 2 2" xfId="0"/>
    <cellStyle name="Ввод  4 2 5 2 2 2" xfId="0"/>
    <cellStyle name="Ввод  4 2 5 2 2 2 2" xfId="0"/>
    <cellStyle name="Ввод  4 2 5 2 2 2 3" xfId="0"/>
    <cellStyle name="Ввод  4 2 5 2 2 3" xfId="0"/>
    <cellStyle name="Ввод  4 2 5 2 2 4" xfId="0"/>
    <cellStyle name="Ввод  4 2 5 2 3" xfId="0"/>
    <cellStyle name="Ввод  4 2 5 2 3 2" xfId="0"/>
    <cellStyle name="Ввод  4 2 5 2 3 3" xfId="0"/>
    <cellStyle name="Ввод  4 2 5 2 4" xfId="0"/>
    <cellStyle name="Ввод  4 2 5 2 5" xfId="0"/>
    <cellStyle name="Ввод  4 2 5 3" xfId="0"/>
    <cellStyle name="Ввод  4 2 5 3 2" xfId="0"/>
    <cellStyle name="Ввод  4 2 5 3 2 2" xfId="0"/>
    <cellStyle name="Ввод  4 2 5 3 2 3" xfId="0"/>
    <cellStyle name="Ввод  4 2 5 3 3" xfId="0"/>
    <cellStyle name="Ввод  4 2 5 3 4" xfId="0"/>
    <cellStyle name="Ввод  4 2 5 4" xfId="0"/>
    <cellStyle name="Ввод  4 2 5 4 2" xfId="0"/>
    <cellStyle name="Ввод  4 2 5 4 3" xfId="0"/>
    <cellStyle name="Ввод  4 2 5 5" xfId="0"/>
    <cellStyle name="Ввод  4 2 5 6" xfId="0"/>
    <cellStyle name="Ввод  4 2 6" xfId="0"/>
    <cellStyle name="Ввод  4 2 6 2" xfId="0"/>
    <cellStyle name="Ввод  4 2 6 2 2" xfId="0"/>
    <cellStyle name="Ввод  4 2 6 2 2 2" xfId="0"/>
    <cellStyle name="Ввод  4 2 6 2 2 3" xfId="0"/>
    <cellStyle name="Ввод  4 2 6 2 3" xfId="0"/>
    <cellStyle name="Ввод  4 2 6 2 4" xfId="0"/>
    <cellStyle name="Ввод  4 2 6 3" xfId="0"/>
    <cellStyle name="Ввод  4 2 6 3 2" xfId="0"/>
    <cellStyle name="Ввод  4 2 6 3 3" xfId="0"/>
    <cellStyle name="Ввод  4 2 6 4" xfId="0"/>
    <cellStyle name="Ввод  4 2 6 5" xfId="0"/>
    <cellStyle name="Ввод  4 2 7" xfId="0"/>
    <cellStyle name="Ввод  4 2 7 2" xfId="0"/>
    <cellStyle name="Ввод  4 2 7 2 2" xfId="0"/>
    <cellStyle name="Ввод  4 2 7 2 2 2" xfId="0"/>
    <cellStyle name="Ввод  4 2 7 2 2 3" xfId="0"/>
    <cellStyle name="Ввод  4 2 7 2 3" xfId="0"/>
    <cellStyle name="Ввод  4 2 7 2 4" xfId="0"/>
    <cellStyle name="Ввод  4 2 7 3" xfId="0"/>
    <cellStyle name="Ввод  4 2 7 3 2" xfId="0"/>
    <cellStyle name="Ввод  4 2 7 3 3" xfId="0"/>
    <cellStyle name="Ввод  4 2 7 4" xfId="0"/>
    <cellStyle name="Ввод  4 2 7 5" xfId="0"/>
    <cellStyle name="Ввод  4 2 8" xfId="0"/>
    <cellStyle name="Ввод  4 2 8 2" xfId="0"/>
    <cellStyle name="Ввод  4 2 8 3" xfId="0"/>
    <cellStyle name="Ввод  4 2 9" xfId="0"/>
    <cellStyle name="Ввод  4 2 9 2" xfId="0"/>
    <cellStyle name="Ввод  4 2 9 3" xfId="0"/>
    <cellStyle name="Ввод  4 20" xfId="0"/>
    <cellStyle name="Ввод  4 20 2" xfId="0"/>
    <cellStyle name="Ввод  4 20 2 2" xfId="0"/>
    <cellStyle name="Ввод  4 20 2 2 2" xfId="0"/>
    <cellStyle name="Ввод  4 20 2 2 2 2" xfId="0"/>
    <cellStyle name="Ввод  4 20 2 2 2 3" xfId="0"/>
    <cellStyle name="Ввод  4 20 2 2 3" xfId="0"/>
    <cellStyle name="Ввод  4 20 2 2 4" xfId="0"/>
    <cellStyle name="Ввод  4 20 2 3" xfId="0"/>
    <cellStyle name="Ввод  4 20 2 3 2" xfId="0"/>
    <cellStyle name="Ввод  4 20 2 3 3" xfId="0"/>
    <cellStyle name="Ввод  4 20 2 4" xfId="0"/>
    <cellStyle name="Ввод  4 20 2 5" xfId="0"/>
    <cellStyle name="Ввод  4 20 3" xfId="0"/>
    <cellStyle name="Ввод  4 20 3 2" xfId="0"/>
    <cellStyle name="Ввод  4 20 3 2 2" xfId="0"/>
    <cellStyle name="Ввод  4 20 3 2 3" xfId="0"/>
    <cellStyle name="Ввод  4 20 3 3" xfId="0"/>
    <cellStyle name="Ввод  4 20 3 4" xfId="0"/>
    <cellStyle name="Ввод  4 20 4" xfId="0"/>
    <cellStyle name="Ввод  4 20 4 2" xfId="0"/>
    <cellStyle name="Ввод  4 20 4 3" xfId="0"/>
    <cellStyle name="Ввод  4 20 5" xfId="0"/>
    <cellStyle name="Ввод  4 20 6" xfId="0"/>
    <cellStyle name="Ввод  4 21" xfId="0"/>
    <cellStyle name="Ввод  4 21 2" xfId="0"/>
    <cellStyle name="Ввод  4 21 2 2" xfId="0"/>
    <cellStyle name="Ввод  4 21 2 2 2" xfId="0"/>
    <cellStyle name="Ввод  4 21 2 2 3" xfId="0"/>
    <cellStyle name="Ввод  4 21 2 3" xfId="0"/>
    <cellStyle name="Ввод  4 21 2 4" xfId="0"/>
    <cellStyle name="Ввод  4 21 3" xfId="0"/>
    <cellStyle name="Ввод  4 21 3 2" xfId="0"/>
    <cellStyle name="Ввод  4 21 3 2 2" xfId="0"/>
    <cellStyle name="Ввод  4 21 3 2 3" xfId="0"/>
    <cellStyle name="Ввод  4 21 3 3" xfId="0"/>
    <cellStyle name="Ввод  4 21 3 4" xfId="0"/>
    <cellStyle name="Ввод  4 21 4" xfId="0"/>
    <cellStyle name="Ввод  4 21 4 2" xfId="0"/>
    <cellStyle name="Ввод  4 21 4 3" xfId="0"/>
    <cellStyle name="Ввод  4 21 5" xfId="0"/>
    <cellStyle name="Ввод  4 21 6" xfId="0"/>
    <cellStyle name="Ввод  4 22" xfId="0"/>
    <cellStyle name="Ввод  4 22 2" xfId="0"/>
    <cellStyle name="Ввод  4 22 2 2" xfId="0"/>
    <cellStyle name="Ввод  4 22 2 2 2" xfId="0"/>
    <cellStyle name="Ввод  4 22 2 2 3" xfId="0"/>
    <cellStyle name="Ввод  4 22 2 3" xfId="0"/>
    <cellStyle name="Ввод  4 22 2 4" xfId="0"/>
    <cellStyle name="Ввод  4 22 3" xfId="0"/>
    <cellStyle name="Ввод  4 22 3 2" xfId="0"/>
    <cellStyle name="Ввод  4 22 3 2 2" xfId="0"/>
    <cellStyle name="Ввод  4 22 3 2 3" xfId="0"/>
    <cellStyle name="Ввод  4 22 3 3" xfId="0"/>
    <cellStyle name="Ввод  4 22 3 4" xfId="0"/>
    <cellStyle name="Ввод  4 22 4" xfId="0"/>
    <cellStyle name="Ввод  4 22 4 2" xfId="0"/>
    <cellStyle name="Ввод  4 22 4 3" xfId="0"/>
    <cellStyle name="Ввод  4 22 5" xfId="0"/>
    <cellStyle name="Ввод  4 22 6" xfId="0"/>
    <cellStyle name="Ввод  4 23" xfId="0"/>
    <cellStyle name="Ввод  4 23 2" xfId="0"/>
    <cellStyle name="Ввод  4 23 2 2" xfId="0"/>
    <cellStyle name="Ввод  4 23 2 2 2" xfId="0"/>
    <cellStyle name="Ввод  4 23 2 2 3" xfId="0"/>
    <cellStyle name="Ввод  4 23 2 3" xfId="0"/>
    <cellStyle name="Ввод  4 23 2 4" xfId="0"/>
    <cellStyle name="Ввод  4 23 3" xfId="0"/>
    <cellStyle name="Ввод  4 23 3 2" xfId="0"/>
    <cellStyle name="Ввод  4 23 3 2 2" xfId="0"/>
    <cellStyle name="Ввод  4 23 3 2 3" xfId="0"/>
    <cellStyle name="Ввод  4 23 3 3" xfId="0"/>
    <cellStyle name="Ввод  4 23 3 4" xfId="0"/>
    <cellStyle name="Ввод  4 23 4" xfId="0"/>
    <cellStyle name="Ввод  4 23 4 2" xfId="0"/>
    <cellStyle name="Ввод  4 23 4 3" xfId="0"/>
    <cellStyle name="Ввод  4 23 5" xfId="0"/>
    <cellStyle name="Ввод  4 23 6" xfId="0"/>
    <cellStyle name="Ввод  4 24" xfId="0"/>
    <cellStyle name="Ввод  4 24 2" xfId="0"/>
    <cellStyle name="Ввод  4 24 2 2" xfId="0"/>
    <cellStyle name="Ввод  4 24 2 2 2" xfId="0"/>
    <cellStyle name="Ввод  4 24 2 2 3" xfId="0"/>
    <cellStyle name="Ввод  4 24 2 3" xfId="0"/>
    <cellStyle name="Ввод  4 24 2 4" xfId="0"/>
    <cellStyle name="Ввод  4 24 3" xfId="0"/>
    <cellStyle name="Ввод  4 24 3 2" xfId="0"/>
    <cellStyle name="Ввод  4 24 3 2 2" xfId="0"/>
    <cellStyle name="Ввод  4 24 3 2 3" xfId="0"/>
    <cellStyle name="Ввод  4 24 3 3" xfId="0"/>
    <cellStyle name="Ввод  4 24 3 4" xfId="0"/>
    <cellStyle name="Ввод  4 24 4" xfId="0"/>
    <cellStyle name="Ввод  4 24 4 2" xfId="0"/>
    <cellStyle name="Ввод  4 24 4 3" xfId="0"/>
    <cellStyle name="Ввод  4 24 5" xfId="0"/>
    <cellStyle name="Ввод  4 24 6" xfId="0"/>
    <cellStyle name="Ввод  4 25" xfId="0"/>
    <cellStyle name="Ввод  4 25 2" xfId="0"/>
    <cellStyle name="Ввод  4 25 2 2" xfId="0"/>
    <cellStyle name="Ввод  4 25 2 2 2" xfId="0"/>
    <cellStyle name="Ввод  4 25 2 2 3" xfId="0"/>
    <cellStyle name="Ввод  4 25 2 3" xfId="0"/>
    <cellStyle name="Ввод  4 25 2 4" xfId="0"/>
    <cellStyle name="Ввод  4 25 3" xfId="0"/>
    <cellStyle name="Ввод  4 25 3 2" xfId="0"/>
    <cellStyle name="Ввод  4 25 3 3" xfId="0"/>
    <cellStyle name="Ввод  4 25 4" xfId="0"/>
    <cellStyle name="Ввод  4 25 5" xfId="0"/>
    <cellStyle name="Ввод  4 26" xfId="0"/>
    <cellStyle name="Ввод  4 26 2" xfId="0"/>
    <cellStyle name="Ввод  4 26 2 2" xfId="0"/>
    <cellStyle name="Ввод  4 26 2 2 2" xfId="0"/>
    <cellStyle name="Ввод  4 26 2 2 3" xfId="0"/>
    <cellStyle name="Ввод  4 26 2 3" xfId="0"/>
    <cellStyle name="Ввод  4 26 2 4" xfId="0"/>
    <cellStyle name="Ввод  4 26 3" xfId="0"/>
    <cellStyle name="Ввод  4 26 3 2" xfId="0"/>
    <cellStyle name="Ввод  4 26 3 3" xfId="0"/>
    <cellStyle name="Ввод  4 26 4" xfId="0"/>
    <cellStyle name="Ввод  4 26 5" xfId="0"/>
    <cellStyle name="Ввод  4 27" xfId="0"/>
    <cellStyle name="Ввод  4 27 2" xfId="0"/>
    <cellStyle name="Ввод  4 27 2 2" xfId="0"/>
    <cellStyle name="Ввод  4 27 2 3" xfId="0"/>
    <cellStyle name="Ввод  4 27 3" xfId="0"/>
    <cellStyle name="Ввод  4 27 4" xfId="0"/>
    <cellStyle name="Ввод  4 28" xfId="0"/>
    <cellStyle name="Ввод  4 28 2" xfId="0"/>
    <cellStyle name="Ввод  4 28 3" xfId="0"/>
    <cellStyle name="Ввод  4 29" xfId="0"/>
    <cellStyle name="Ввод  4 29 2" xfId="0"/>
    <cellStyle name="Ввод  4 29 3" xfId="0"/>
    <cellStyle name="Ввод  4 3" xfId="0"/>
    <cellStyle name="Ввод  4 3 10" xfId="0"/>
    <cellStyle name="Ввод  4 3 2" xfId="0"/>
    <cellStyle name="Ввод  4 3 2 2" xfId="0"/>
    <cellStyle name="Ввод  4 3 2 2 2" xfId="0"/>
    <cellStyle name="Ввод  4 3 2 2 2 2" xfId="0"/>
    <cellStyle name="Ввод  4 3 2 2 2 3" xfId="0"/>
    <cellStyle name="Ввод  4 3 2 2 3" xfId="0"/>
    <cellStyle name="Ввод  4 3 2 2 4" xfId="0"/>
    <cellStyle name="Ввод  4 3 2 3" xfId="0"/>
    <cellStyle name="Ввод  4 3 2 3 2" xfId="0"/>
    <cellStyle name="Ввод  4 3 2 3 2 2" xfId="0"/>
    <cellStyle name="Ввод  4 3 2 3 2 3" xfId="0"/>
    <cellStyle name="Ввод  4 3 2 3 3" xfId="0"/>
    <cellStyle name="Ввод  4 3 2 3 4" xfId="0"/>
    <cellStyle name="Ввод  4 3 2 4" xfId="0"/>
    <cellStyle name="Ввод  4 3 2 4 2" xfId="0"/>
    <cellStyle name="Ввод  4 3 2 4 3" xfId="0"/>
    <cellStyle name="Ввод  4 3 2 5" xfId="0"/>
    <cellStyle name="Ввод  4 3 2 6" xfId="0"/>
    <cellStyle name="Ввод  4 3 3" xfId="0"/>
    <cellStyle name="Ввод  4 3 3 2" xfId="0"/>
    <cellStyle name="Ввод  4 3 3 2 2" xfId="0"/>
    <cellStyle name="Ввод  4 3 3 2 2 2" xfId="0"/>
    <cellStyle name="Ввод  4 3 3 2 2 3" xfId="0"/>
    <cellStyle name="Ввод  4 3 3 2 3" xfId="0"/>
    <cellStyle name="Ввод  4 3 3 2 4" xfId="0"/>
    <cellStyle name="Ввод  4 3 3 3" xfId="0"/>
    <cellStyle name="Ввод  4 3 3 3 2" xfId="0"/>
    <cellStyle name="Ввод  4 3 3 3 2 2" xfId="0"/>
    <cellStyle name="Ввод  4 3 3 3 2 3" xfId="0"/>
    <cellStyle name="Ввод  4 3 3 3 3" xfId="0"/>
    <cellStyle name="Ввод  4 3 3 3 4" xfId="0"/>
    <cellStyle name="Ввод  4 3 3 4" xfId="0"/>
    <cellStyle name="Ввод  4 3 3 4 2" xfId="0"/>
    <cellStyle name="Ввод  4 3 3 4 3" xfId="0"/>
    <cellStyle name="Ввод  4 3 3 5" xfId="0"/>
    <cellStyle name="Ввод  4 3 3 6" xfId="0"/>
    <cellStyle name="Ввод  4 3 4" xfId="0"/>
    <cellStyle name="Ввод  4 3 4 2" xfId="0"/>
    <cellStyle name="Ввод  4 3 4 2 2" xfId="0"/>
    <cellStyle name="Ввод  4 3 4 2 2 2" xfId="0"/>
    <cellStyle name="Ввод  4 3 4 2 2 3" xfId="0"/>
    <cellStyle name="Ввод  4 3 4 2 3" xfId="0"/>
    <cellStyle name="Ввод  4 3 4 2 4" xfId="0"/>
    <cellStyle name="Ввод  4 3 4 3" xfId="0"/>
    <cellStyle name="Ввод  4 3 4 3 2" xfId="0"/>
    <cellStyle name="Ввод  4 3 4 3 2 2" xfId="0"/>
    <cellStyle name="Ввод  4 3 4 3 2 3" xfId="0"/>
    <cellStyle name="Ввод  4 3 4 3 3" xfId="0"/>
    <cellStyle name="Ввод  4 3 4 3 4" xfId="0"/>
    <cellStyle name="Ввод  4 3 4 4" xfId="0"/>
    <cellStyle name="Ввод  4 3 4 4 2" xfId="0"/>
    <cellStyle name="Ввод  4 3 4 4 3" xfId="0"/>
    <cellStyle name="Ввод  4 3 4 5" xfId="0"/>
    <cellStyle name="Ввод  4 3 4 6" xfId="0"/>
    <cellStyle name="Ввод  4 3 5" xfId="0"/>
    <cellStyle name="Ввод  4 3 5 2" xfId="0"/>
    <cellStyle name="Ввод  4 3 5 2 2" xfId="0"/>
    <cellStyle name="Ввод  4 3 5 2 2 2" xfId="0"/>
    <cellStyle name="Ввод  4 3 5 2 2 3" xfId="0"/>
    <cellStyle name="Ввод  4 3 5 2 3" xfId="0"/>
    <cellStyle name="Ввод  4 3 5 2 4" xfId="0"/>
    <cellStyle name="Ввод  4 3 5 3" xfId="0"/>
    <cellStyle name="Ввод  4 3 5 3 2" xfId="0"/>
    <cellStyle name="Ввод  4 3 5 3 2 2" xfId="0"/>
    <cellStyle name="Ввод  4 3 5 3 2 3" xfId="0"/>
    <cellStyle name="Ввод  4 3 5 3 3" xfId="0"/>
    <cellStyle name="Ввод  4 3 5 3 4" xfId="0"/>
    <cellStyle name="Ввод  4 3 5 4" xfId="0"/>
    <cellStyle name="Ввод  4 3 5 4 2" xfId="0"/>
    <cellStyle name="Ввод  4 3 5 4 3" xfId="0"/>
    <cellStyle name="Ввод  4 3 5 5" xfId="0"/>
    <cellStyle name="Ввод  4 3 5 6" xfId="0"/>
    <cellStyle name="Ввод  4 3 6" xfId="0"/>
    <cellStyle name="Ввод  4 3 6 2" xfId="0"/>
    <cellStyle name="Ввод  4 3 6 2 2" xfId="0"/>
    <cellStyle name="Ввод  4 3 6 2 2 2" xfId="0"/>
    <cellStyle name="Ввод  4 3 6 2 2 3" xfId="0"/>
    <cellStyle name="Ввод  4 3 6 2 3" xfId="0"/>
    <cellStyle name="Ввод  4 3 6 2 4" xfId="0"/>
    <cellStyle name="Ввод  4 3 6 3" xfId="0"/>
    <cellStyle name="Ввод  4 3 6 3 2" xfId="0"/>
    <cellStyle name="Ввод  4 3 6 3 3" xfId="0"/>
    <cellStyle name="Ввод  4 3 6 4" xfId="0"/>
    <cellStyle name="Ввод  4 3 6 5" xfId="0"/>
    <cellStyle name="Ввод  4 3 7" xfId="0"/>
    <cellStyle name="Ввод  4 3 7 2" xfId="0"/>
    <cellStyle name="Ввод  4 3 7 2 2" xfId="0"/>
    <cellStyle name="Ввод  4 3 7 2 2 2" xfId="0"/>
    <cellStyle name="Ввод  4 3 7 2 2 3" xfId="0"/>
    <cellStyle name="Ввод  4 3 7 2 3" xfId="0"/>
    <cellStyle name="Ввод  4 3 7 2 4" xfId="0"/>
    <cellStyle name="Ввод  4 3 7 3" xfId="0"/>
    <cellStyle name="Ввод  4 3 7 3 2" xfId="0"/>
    <cellStyle name="Ввод  4 3 7 3 3" xfId="0"/>
    <cellStyle name="Ввод  4 3 7 4" xfId="0"/>
    <cellStyle name="Ввод  4 3 7 5" xfId="0"/>
    <cellStyle name="Ввод  4 3 8" xfId="0"/>
    <cellStyle name="Ввод  4 3 8 2" xfId="0"/>
    <cellStyle name="Ввод  4 3 8 3" xfId="0"/>
    <cellStyle name="Ввод  4 3 9" xfId="0"/>
    <cellStyle name="Ввод  4 30" xfId="0"/>
    <cellStyle name="Ввод  4 30 2" xfId="0"/>
    <cellStyle name="Ввод  4 30 3" xfId="0"/>
    <cellStyle name="Ввод  4 31" xfId="0"/>
    <cellStyle name="Ввод  4 31 2" xfId="0"/>
    <cellStyle name="Ввод  4 31 3" xfId="0"/>
    <cellStyle name="Ввод  4 32" xfId="0"/>
    <cellStyle name="Ввод  4 4" xfId="0"/>
    <cellStyle name="Ввод  4 4 10" xfId="0"/>
    <cellStyle name="Ввод  4 4 2" xfId="0"/>
    <cellStyle name="Ввод  4 4 2 2" xfId="0"/>
    <cellStyle name="Ввод  4 4 2 2 2" xfId="0"/>
    <cellStyle name="Ввод  4 4 2 2 2 2" xfId="0"/>
    <cellStyle name="Ввод  4 4 2 2 2 3" xfId="0"/>
    <cellStyle name="Ввод  4 4 2 2 3" xfId="0"/>
    <cellStyle name="Ввод  4 4 2 2 4" xfId="0"/>
    <cellStyle name="Ввод  4 4 2 3" xfId="0"/>
    <cellStyle name="Ввод  4 4 2 3 2" xfId="0"/>
    <cellStyle name="Ввод  4 4 2 3 2 2" xfId="0"/>
    <cellStyle name="Ввод  4 4 2 3 2 3" xfId="0"/>
    <cellStyle name="Ввод  4 4 2 3 3" xfId="0"/>
    <cellStyle name="Ввод  4 4 2 3 4" xfId="0"/>
    <cellStyle name="Ввод  4 4 2 4" xfId="0"/>
    <cellStyle name="Ввод  4 4 2 4 2" xfId="0"/>
    <cellStyle name="Ввод  4 4 2 4 3" xfId="0"/>
    <cellStyle name="Ввод  4 4 2 5" xfId="0"/>
    <cellStyle name="Ввод  4 4 2 6" xfId="0"/>
    <cellStyle name="Ввод  4 4 3" xfId="0"/>
    <cellStyle name="Ввод  4 4 3 2" xfId="0"/>
    <cellStyle name="Ввод  4 4 3 2 2" xfId="0"/>
    <cellStyle name="Ввод  4 4 3 2 2 2" xfId="0"/>
    <cellStyle name="Ввод  4 4 3 2 2 3" xfId="0"/>
    <cellStyle name="Ввод  4 4 3 2 3" xfId="0"/>
    <cellStyle name="Ввод  4 4 3 2 4" xfId="0"/>
    <cellStyle name="Ввод  4 4 3 3" xfId="0"/>
    <cellStyle name="Ввод  4 4 3 3 2" xfId="0"/>
    <cellStyle name="Ввод  4 4 3 3 2 2" xfId="0"/>
    <cellStyle name="Ввод  4 4 3 3 2 3" xfId="0"/>
    <cellStyle name="Ввод  4 4 3 3 3" xfId="0"/>
    <cellStyle name="Ввод  4 4 3 3 4" xfId="0"/>
    <cellStyle name="Ввод  4 4 3 4" xfId="0"/>
    <cellStyle name="Ввод  4 4 3 4 2" xfId="0"/>
    <cellStyle name="Ввод  4 4 3 4 3" xfId="0"/>
    <cellStyle name="Ввод  4 4 3 5" xfId="0"/>
    <cellStyle name="Ввод  4 4 3 6" xfId="0"/>
    <cellStyle name="Ввод  4 4 4" xfId="0"/>
    <cellStyle name="Ввод  4 4 4 2" xfId="0"/>
    <cellStyle name="Ввод  4 4 4 2 2" xfId="0"/>
    <cellStyle name="Ввод  4 4 4 2 2 2" xfId="0"/>
    <cellStyle name="Ввод  4 4 4 2 2 3" xfId="0"/>
    <cellStyle name="Ввод  4 4 4 2 3" xfId="0"/>
    <cellStyle name="Ввод  4 4 4 2 4" xfId="0"/>
    <cellStyle name="Ввод  4 4 4 3" xfId="0"/>
    <cellStyle name="Ввод  4 4 4 3 2" xfId="0"/>
    <cellStyle name="Ввод  4 4 4 3 2 2" xfId="0"/>
    <cellStyle name="Ввод  4 4 4 3 2 3" xfId="0"/>
    <cellStyle name="Ввод  4 4 4 3 3" xfId="0"/>
    <cellStyle name="Ввод  4 4 4 3 4" xfId="0"/>
    <cellStyle name="Ввод  4 4 4 4" xfId="0"/>
    <cellStyle name="Ввод  4 4 4 4 2" xfId="0"/>
    <cellStyle name="Ввод  4 4 4 4 3" xfId="0"/>
    <cellStyle name="Ввод  4 4 4 5" xfId="0"/>
    <cellStyle name="Ввод  4 4 4 6" xfId="0"/>
    <cellStyle name="Ввод  4 4 5" xfId="0"/>
    <cellStyle name="Ввод  4 4 5 2" xfId="0"/>
    <cellStyle name="Ввод  4 4 5 2 2" xfId="0"/>
    <cellStyle name="Ввод  4 4 5 2 2 2" xfId="0"/>
    <cellStyle name="Ввод  4 4 5 2 2 3" xfId="0"/>
    <cellStyle name="Ввод  4 4 5 2 3" xfId="0"/>
    <cellStyle name="Ввод  4 4 5 2 4" xfId="0"/>
    <cellStyle name="Ввод  4 4 5 3" xfId="0"/>
    <cellStyle name="Ввод  4 4 5 3 2" xfId="0"/>
    <cellStyle name="Ввод  4 4 5 3 2 2" xfId="0"/>
    <cellStyle name="Ввод  4 4 5 3 2 3" xfId="0"/>
    <cellStyle name="Ввод  4 4 5 3 3" xfId="0"/>
    <cellStyle name="Ввод  4 4 5 3 4" xfId="0"/>
    <cellStyle name="Ввод  4 4 5 4" xfId="0"/>
    <cellStyle name="Ввод  4 4 5 4 2" xfId="0"/>
    <cellStyle name="Ввод  4 4 5 4 3" xfId="0"/>
    <cellStyle name="Ввод  4 4 5 5" xfId="0"/>
    <cellStyle name="Ввод  4 4 5 6" xfId="0"/>
    <cellStyle name="Ввод  4 4 6" xfId="0"/>
    <cellStyle name="Ввод  4 4 6 2" xfId="0"/>
    <cellStyle name="Ввод  4 4 6 2 2" xfId="0"/>
    <cellStyle name="Ввод  4 4 6 2 2 2" xfId="0"/>
    <cellStyle name="Ввод  4 4 6 2 2 3" xfId="0"/>
    <cellStyle name="Ввод  4 4 6 2 3" xfId="0"/>
    <cellStyle name="Ввод  4 4 6 2 4" xfId="0"/>
    <cellStyle name="Ввод  4 4 6 3" xfId="0"/>
    <cellStyle name="Ввод  4 4 6 3 2" xfId="0"/>
    <cellStyle name="Ввод  4 4 6 3 3" xfId="0"/>
    <cellStyle name="Ввод  4 4 6 4" xfId="0"/>
    <cellStyle name="Ввод  4 4 6 5" xfId="0"/>
    <cellStyle name="Ввод  4 4 7" xfId="0"/>
    <cellStyle name="Ввод  4 4 7 2" xfId="0"/>
    <cellStyle name="Ввод  4 4 7 2 2" xfId="0"/>
    <cellStyle name="Ввод  4 4 7 2 2 2" xfId="0"/>
    <cellStyle name="Ввод  4 4 7 2 2 3" xfId="0"/>
    <cellStyle name="Ввод  4 4 7 2 3" xfId="0"/>
    <cellStyle name="Ввод  4 4 7 2 4" xfId="0"/>
    <cellStyle name="Ввод  4 4 7 3" xfId="0"/>
    <cellStyle name="Ввод  4 4 7 3 2" xfId="0"/>
    <cellStyle name="Ввод  4 4 7 3 3" xfId="0"/>
    <cellStyle name="Ввод  4 4 7 4" xfId="0"/>
    <cellStyle name="Ввод  4 4 7 5" xfId="0"/>
    <cellStyle name="Ввод  4 4 8" xfId="0"/>
    <cellStyle name="Ввод  4 4 8 2" xfId="0"/>
    <cellStyle name="Ввод  4 4 8 3" xfId="0"/>
    <cellStyle name="Ввод  4 4 9" xfId="0"/>
    <cellStyle name="Ввод  4 5" xfId="0"/>
    <cellStyle name="Ввод  4 5 2" xfId="0"/>
    <cellStyle name="Ввод  4 5 2 2" xfId="0"/>
    <cellStyle name="Ввод  4 5 2 2 2" xfId="0"/>
    <cellStyle name="Ввод  4 5 2 2 2 2" xfId="0"/>
    <cellStyle name="Ввод  4 5 2 2 2 3" xfId="0"/>
    <cellStyle name="Ввод  4 5 2 2 3" xfId="0"/>
    <cellStyle name="Ввод  4 5 2 2 4" xfId="0"/>
    <cellStyle name="Ввод  4 5 2 3" xfId="0"/>
    <cellStyle name="Ввод  4 5 2 3 2" xfId="0"/>
    <cellStyle name="Ввод  4 5 2 3 2 2" xfId="0"/>
    <cellStyle name="Ввод  4 5 2 3 2 3" xfId="0"/>
    <cellStyle name="Ввод  4 5 2 3 3" xfId="0"/>
    <cellStyle name="Ввод  4 5 2 3 4" xfId="0"/>
    <cellStyle name="Ввод  4 5 2 4" xfId="0"/>
    <cellStyle name="Ввод  4 5 2 4 2" xfId="0"/>
    <cellStyle name="Ввод  4 5 2 4 3" xfId="0"/>
    <cellStyle name="Ввод  4 5 2 5" xfId="0"/>
    <cellStyle name="Ввод  4 5 2 6" xfId="0"/>
    <cellStyle name="Ввод  4 5 3" xfId="0"/>
    <cellStyle name="Ввод  4 5 3 2" xfId="0"/>
    <cellStyle name="Ввод  4 5 3 2 2" xfId="0"/>
    <cellStyle name="Ввод  4 5 3 2 2 2" xfId="0"/>
    <cellStyle name="Ввод  4 5 3 2 2 3" xfId="0"/>
    <cellStyle name="Ввод  4 5 3 2 3" xfId="0"/>
    <cellStyle name="Ввод  4 5 3 2 4" xfId="0"/>
    <cellStyle name="Ввод  4 5 3 3" xfId="0"/>
    <cellStyle name="Ввод  4 5 3 3 2" xfId="0"/>
    <cellStyle name="Ввод  4 5 3 3 3" xfId="0"/>
    <cellStyle name="Ввод  4 5 3 4" xfId="0"/>
    <cellStyle name="Ввод  4 5 3 5" xfId="0"/>
    <cellStyle name="Ввод  4 5 4" xfId="0"/>
    <cellStyle name="Ввод  4 5 4 2" xfId="0"/>
    <cellStyle name="Ввод  4 5 4 2 2" xfId="0"/>
    <cellStyle name="Ввод  4 5 4 2 2 2" xfId="0"/>
    <cellStyle name="Ввод  4 5 4 2 2 3" xfId="0"/>
    <cellStyle name="Ввод  4 5 4 2 3" xfId="0"/>
    <cellStyle name="Ввод  4 5 4 2 4" xfId="0"/>
    <cellStyle name="Ввод  4 5 4 3" xfId="0"/>
    <cellStyle name="Ввод  4 5 4 3 2" xfId="0"/>
    <cellStyle name="Ввод  4 5 4 3 3" xfId="0"/>
    <cellStyle name="Ввод  4 5 4 4" xfId="0"/>
    <cellStyle name="Ввод  4 5 4 5" xfId="0"/>
    <cellStyle name="Ввод  4 5 5" xfId="0"/>
    <cellStyle name="Ввод  4 5 5 2" xfId="0"/>
    <cellStyle name="Ввод  4 5 5 3" xfId="0"/>
    <cellStyle name="Ввод  4 5 6" xfId="0"/>
    <cellStyle name="Ввод  4 5 7" xfId="0"/>
    <cellStyle name="Ввод  4 6" xfId="0"/>
    <cellStyle name="Ввод  4 6 2" xfId="0"/>
    <cellStyle name="Ввод  4 6 2 2" xfId="0"/>
    <cellStyle name="Ввод  4 6 2 2 2" xfId="0"/>
    <cellStyle name="Ввод  4 6 2 2 2 2" xfId="0"/>
    <cellStyle name="Ввод  4 6 2 2 2 3" xfId="0"/>
    <cellStyle name="Ввод  4 6 2 2 3" xfId="0"/>
    <cellStyle name="Ввод  4 6 2 2 4" xfId="0"/>
    <cellStyle name="Ввод  4 6 2 3" xfId="0"/>
    <cellStyle name="Ввод  4 6 2 3 2" xfId="0"/>
    <cellStyle name="Ввод  4 6 2 3 2 2" xfId="0"/>
    <cellStyle name="Ввод  4 6 2 3 2 3" xfId="0"/>
    <cellStyle name="Ввод  4 6 2 3 3" xfId="0"/>
    <cellStyle name="Ввод  4 6 2 3 4" xfId="0"/>
    <cellStyle name="Ввод  4 6 2 4" xfId="0"/>
    <cellStyle name="Ввод  4 6 2 4 2" xfId="0"/>
    <cellStyle name="Ввод  4 6 2 4 3" xfId="0"/>
    <cellStyle name="Ввод  4 6 2 5" xfId="0"/>
    <cellStyle name="Ввод  4 6 2 6" xfId="0"/>
    <cellStyle name="Ввод  4 6 3" xfId="0"/>
    <cellStyle name="Ввод  4 6 3 2" xfId="0"/>
    <cellStyle name="Ввод  4 6 3 2 2" xfId="0"/>
    <cellStyle name="Ввод  4 6 3 2 2 2" xfId="0"/>
    <cellStyle name="Ввод  4 6 3 2 2 3" xfId="0"/>
    <cellStyle name="Ввод  4 6 3 2 3" xfId="0"/>
    <cellStyle name="Ввод  4 6 3 2 4" xfId="0"/>
    <cellStyle name="Ввод  4 6 3 3" xfId="0"/>
    <cellStyle name="Ввод  4 6 3 3 2" xfId="0"/>
    <cellStyle name="Ввод  4 6 3 3 3" xfId="0"/>
    <cellStyle name="Ввод  4 6 3 4" xfId="0"/>
    <cellStyle name="Ввод  4 6 3 5" xfId="0"/>
    <cellStyle name="Ввод  4 6 4" xfId="0"/>
    <cellStyle name="Ввод  4 6 4 2" xfId="0"/>
    <cellStyle name="Ввод  4 6 4 2 2" xfId="0"/>
    <cellStyle name="Ввод  4 6 4 2 2 2" xfId="0"/>
    <cellStyle name="Ввод  4 6 4 2 2 3" xfId="0"/>
    <cellStyle name="Ввод  4 6 4 2 3" xfId="0"/>
    <cellStyle name="Ввод  4 6 4 2 4" xfId="0"/>
    <cellStyle name="Ввод  4 6 4 3" xfId="0"/>
    <cellStyle name="Ввод  4 6 4 3 2" xfId="0"/>
    <cellStyle name="Ввод  4 6 4 3 3" xfId="0"/>
    <cellStyle name="Ввод  4 6 4 4" xfId="0"/>
    <cellStyle name="Ввод  4 6 4 5" xfId="0"/>
    <cellStyle name="Ввод  4 6 5" xfId="0"/>
    <cellStyle name="Ввод  4 6 5 2" xfId="0"/>
    <cellStyle name="Ввод  4 6 5 3" xfId="0"/>
    <cellStyle name="Ввод  4 6 6" xfId="0"/>
    <cellStyle name="Ввод  4 6 7" xfId="0"/>
    <cellStyle name="Ввод  4 7" xfId="0"/>
    <cellStyle name="Ввод  4 7 2" xfId="0"/>
    <cellStyle name="Ввод  4 7 2 2" xfId="0"/>
    <cellStyle name="Ввод  4 7 2 2 2" xfId="0"/>
    <cellStyle name="Ввод  4 7 2 2 2 2" xfId="0"/>
    <cellStyle name="Ввод  4 7 2 2 2 3" xfId="0"/>
    <cellStyle name="Ввод  4 7 2 2 3" xfId="0"/>
    <cellStyle name="Ввод  4 7 2 2 4" xfId="0"/>
    <cellStyle name="Ввод  4 7 2 3" xfId="0"/>
    <cellStyle name="Ввод  4 7 2 3 2" xfId="0"/>
    <cellStyle name="Ввод  4 7 2 3 2 2" xfId="0"/>
    <cellStyle name="Ввод  4 7 2 3 2 3" xfId="0"/>
    <cellStyle name="Ввод  4 7 2 3 3" xfId="0"/>
    <cellStyle name="Ввод  4 7 2 3 4" xfId="0"/>
    <cellStyle name="Ввод  4 7 2 4" xfId="0"/>
    <cellStyle name="Ввод  4 7 2 4 2" xfId="0"/>
    <cellStyle name="Ввод  4 7 2 4 3" xfId="0"/>
    <cellStyle name="Ввод  4 7 2 5" xfId="0"/>
    <cellStyle name="Ввод  4 7 2 6" xfId="0"/>
    <cellStyle name="Ввод  4 7 3" xfId="0"/>
    <cellStyle name="Ввод  4 7 3 2" xfId="0"/>
    <cellStyle name="Ввод  4 7 3 2 2" xfId="0"/>
    <cellStyle name="Ввод  4 7 3 2 2 2" xfId="0"/>
    <cellStyle name="Ввод  4 7 3 2 2 3" xfId="0"/>
    <cellStyle name="Ввод  4 7 3 2 3" xfId="0"/>
    <cellStyle name="Ввод  4 7 3 2 4" xfId="0"/>
    <cellStyle name="Ввод  4 7 3 3" xfId="0"/>
    <cellStyle name="Ввод  4 7 3 3 2" xfId="0"/>
    <cellStyle name="Ввод  4 7 3 3 3" xfId="0"/>
    <cellStyle name="Ввод  4 7 3 4" xfId="0"/>
    <cellStyle name="Ввод  4 7 3 5" xfId="0"/>
    <cellStyle name="Ввод  4 7 4" xfId="0"/>
    <cellStyle name="Ввод  4 7 4 2" xfId="0"/>
    <cellStyle name="Ввод  4 7 4 2 2" xfId="0"/>
    <cellStyle name="Ввод  4 7 4 2 2 2" xfId="0"/>
    <cellStyle name="Ввод  4 7 4 2 2 3" xfId="0"/>
    <cellStyle name="Ввод  4 7 4 2 3" xfId="0"/>
    <cellStyle name="Ввод  4 7 4 2 4" xfId="0"/>
    <cellStyle name="Ввод  4 7 4 3" xfId="0"/>
    <cellStyle name="Ввод  4 7 4 3 2" xfId="0"/>
    <cellStyle name="Ввод  4 7 4 3 3" xfId="0"/>
    <cellStyle name="Ввод  4 7 4 4" xfId="0"/>
    <cellStyle name="Ввод  4 7 4 5" xfId="0"/>
    <cellStyle name="Ввод  4 7 5" xfId="0"/>
    <cellStyle name="Ввод  4 7 5 2" xfId="0"/>
    <cellStyle name="Ввод  4 7 5 3" xfId="0"/>
    <cellStyle name="Ввод  4 7 6" xfId="0"/>
    <cellStyle name="Ввод  4 7 7" xfId="0"/>
    <cellStyle name="Ввод  4 8" xfId="0"/>
    <cellStyle name="Ввод  4 8 2" xfId="0"/>
    <cellStyle name="Ввод  4 8 2 2" xfId="0"/>
    <cellStyle name="Ввод  4 8 2 2 2" xfId="0"/>
    <cellStyle name="Ввод  4 8 2 2 2 2" xfId="0"/>
    <cellStyle name="Ввод  4 8 2 2 2 3" xfId="0"/>
    <cellStyle name="Ввод  4 8 2 2 3" xfId="0"/>
    <cellStyle name="Ввод  4 8 2 2 4" xfId="0"/>
    <cellStyle name="Ввод  4 8 2 3" xfId="0"/>
    <cellStyle name="Ввод  4 8 2 3 2" xfId="0"/>
    <cellStyle name="Ввод  4 8 2 3 2 2" xfId="0"/>
    <cellStyle name="Ввод  4 8 2 3 2 3" xfId="0"/>
    <cellStyle name="Ввод  4 8 2 3 3" xfId="0"/>
    <cellStyle name="Ввод  4 8 2 3 4" xfId="0"/>
    <cellStyle name="Ввод  4 8 2 4" xfId="0"/>
    <cellStyle name="Ввод  4 8 2 4 2" xfId="0"/>
    <cellStyle name="Ввод  4 8 2 4 3" xfId="0"/>
    <cellStyle name="Ввод  4 8 2 5" xfId="0"/>
    <cellStyle name="Ввод  4 8 2 6" xfId="0"/>
    <cellStyle name="Ввод  4 8 3" xfId="0"/>
    <cellStyle name="Ввод  4 8 3 2" xfId="0"/>
    <cellStyle name="Ввод  4 8 3 2 2" xfId="0"/>
    <cellStyle name="Ввод  4 8 3 2 2 2" xfId="0"/>
    <cellStyle name="Ввод  4 8 3 2 2 3" xfId="0"/>
    <cellStyle name="Ввод  4 8 3 2 3" xfId="0"/>
    <cellStyle name="Ввод  4 8 3 2 4" xfId="0"/>
    <cellStyle name="Ввод  4 8 3 3" xfId="0"/>
    <cellStyle name="Ввод  4 8 3 3 2" xfId="0"/>
    <cellStyle name="Ввод  4 8 3 3 3" xfId="0"/>
    <cellStyle name="Ввод  4 8 3 4" xfId="0"/>
    <cellStyle name="Ввод  4 8 3 5" xfId="0"/>
    <cellStyle name="Ввод  4 8 4" xfId="0"/>
    <cellStyle name="Ввод  4 8 4 2" xfId="0"/>
    <cellStyle name="Ввод  4 8 4 2 2" xfId="0"/>
    <cellStyle name="Ввод  4 8 4 2 2 2" xfId="0"/>
    <cellStyle name="Ввод  4 8 4 2 2 3" xfId="0"/>
    <cellStyle name="Ввод  4 8 4 2 3" xfId="0"/>
    <cellStyle name="Ввод  4 8 4 2 4" xfId="0"/>
    <cellStyle name="Ввод  4 8 4 3" xfId="0"/>
    <cellStyle name="Ввод  4 8 4 3 2" xfId="0"/>
    <cellStyle name="Ввод  4 8 4 3 3" xfId="0"/>
    <cellStyle name="Ввод  4 8 4 4" xfId="0"/>
    <cellStyle name="Ввод  4 8 4 5" xfId="0"/>
    <cellStyle name="Ввод  4 8 5" xfId="0"/>
    <cellStyle name="Ввод  4 8 5 2" xfId="0"/>
    <cellStyle name="Ввод  4 8 5 3" xfId="0"/>
    <cellStyle name="Ввод  4 8 6" xfId="0"/>
    <cellStyle name="Ввод  4 8 7" xfId="0"/>
    <cellStyle name="Ввод  4 9" xfId="0"/>
    <cellStyle name="Ввод  4 9 2" xfId="0"/>
    <cellStyle name="Ввод  4 9 2 2" xfId="0"/>
    <cellStyle name="Ввод  4 9 2 2 2" xfId="0"/>
    <cellStyle name="Ввод  4 9 2 2 2 2" xfId="0"/>
    <cellStyle name="Ввод  4 9 2 2 2 3" xfId="0"/>
    <cellStyle name="Ввод  4 9 2 2 3" xfId="0"/>
    <cellStyle name="Ввод  4 9 2 2 4" xfId="0"/>
    <cellStyle name="Ввод  4 9 2 3" xfId="0"/>
    <cellStyle name="Ввод  4 9 2 3 2" xfId="0"/>
    <cellStyle name="Ввод  4 9 2 3 2 2" xfId="0"/>
    <cellStyle name="Ввод  4 9 2 3 2 3" xfId="0"/>
    <cellStyle name="Ввод  4 9 2 3 3" xfId="0"/>
    <cellStyle name="Ввод  4 9 2 3 4" xfId="0"/>
    <cellStyle name="Ввод  4 9 2 4" xfId="0"/>
    <cellStyle name="Ввод  4 9 2 4 2" xfId="0"/>
    <cellStyle name="Ввод  4 9 2 4 3" xfId="0"/>
    <cellStyle name="Ввод  4 9 2 5" xfId="0"/>
    <cellStyle name="Ввод  4 9 2 6" xfId="0"/>
    <cellStyle name="Ввод  4 9 3" xfId="0"/>
    <cellStyle name="Ввод  4 9 3 2" xfId="0"/>
    <cellStyle name="Ввод  4 9 3 2 2" xfId="0"/>
    <cellStyle name="Ввод  4 9 3 2 2 2" xfId="0"/>
    <cellStyle name="Ввод  4 9 3 2 2 3" xfId="0"/>
    <cellStyle name="Ввод  4 9 3 2 3" xfId="0"/>
    <cellStyle name="Ввод  4 9 3 2 4" xfId="0"/>
    <cellStyle name="Ввод  4 9 3 3" xfId="0"/>
    <cellStyle name="Ввод  4 9 3 3 2" xfId="0"/>
    <cellStyle name="Ввод  4 9 3 3 3" xfId="0"/>
    <cellStyle name="Ввод  4 9 3 4" xfId="0"/>
    <cellStyle name="Ввод  4 9 3 5" xfId="0"/>
    <cellStyle name="Ввод  4 9 4" xfId="0"/>
    <cellStyle name="Ввод  4 9 4 2" xfId="0"/>
    <cellStyle name="Ввод  4 9 4 2 2" xfId="0"/>
    <cellStyle name="Ввод  4 9 4 2 2 2" xfId="0"/>
    <cellStyle name="Ввод  4 9 4 2 2 3" xfId="0"/>
    <cellStyle name="Ввод  4 9 4 2 3" xfId="0"/>
    <cellStyle name="Ввод  4 9 4 2 4" xfId="0"/>
    <cellStyle name="Ввод  4 9 4 3" xfId="0"/>
    <cellStyle name="Ввод  4 9 4 3 2" xfId="0"/>
    <cellStyle name="Ввод  4 9 4 3 3" xfId="0"/>
    <cellStyle name="Ввод  4 9 4 4" xfId="0"/>
    <cellStyle name="Ввод  4 9 4 5" xfId="0"/>
    <cellStyle name="Ввод  4 9 5" xfId="0"/>
    <cellStyle name="Ввод  4 9 5 2" xfId="0"/>
    <cellStyle name="Ввод  4 9 5 3" xfId="0"/>
    <cellStyle name="Ввод  4 9 6" xfId="0"/>
    <cellStyle name="Ввод  4 9 7" xfId="0"/>
    <cellStyle name="Верт. заголовок" xfId="0"/>
    <cellStyle name="Верт. заголовок 1" xfId="0"/>
    <cellStyle name="Верт. заголовок 1 2" xfId="0"/>
    <cellStyle name="Верт. заголовок 2" xfId="0"/>
    <cellStyle name="Верт. заголовок 2 2" xfId="0"/>
    <cellStyle name="Верт. заголовок 3" xfId="0"/>
    <cellStyle name="Верт. заголовок 3 2" xfId="0"/>
    <cellStyle name="Верт. заголовок 4" xfId="0"/>
    <cellStyle name="Вывод 1" xfId="0"/>
    <cellStyle name="Вывод 1 10" xfId="0"/>
    <cellStyle name="Вывод 1 10 2" xfId="0"/>
    <cellStyle name="Вывод 1 10 2 2" xfId="0"/>
    <cellStyle name="Вывод 1 10 2 2 2" xfId="0"/>
    <cellStyle name="Вывод 1 10 2 2 2 2" xfId="0"/>
    <cellStyle name="Вывод 1 10 2 2 2 3" xfId="0"/>
    <cellStyle name="Вывод 1 10 2 2 3" xfId="0"/>
    <cellStyle name="Вывод 1 10 2 2 4" xfId="0"/>
    <cellStyle name="Вывод 1 10 2 3" xfId="0"/>
    <cellStyle name="Вывод 1 10 2 3 2" xfId="0"/>
    <cellStyle name="Вывод 1 10 2 3 2 2" xfId="0"/>
    <cellStyle name="Вывод 1 10 2 3 2 3" xfId="0"/>
    <cellStyle name="Вывод 1 10 2 3 3" xfId="0"/>
    <cellStyle name="Вывод 1 10 2 3 4" xfId="0"/>
    <cellStyle name="Вывод 1 10 2 4" xfId="0"/>
    <cellStyle name="Вывод 1 10 2 4 2" xfId="0"/>
    <cellStyle name="Вывод 1 10 2 4 3" xfId="0"/>
    <cellStyle name="Вывод 1 10 2 5" xfId="0"/>
    <cellStyle name="Вывод 1 10 2 6" xfId="0"/>
    <cellStyle name="Вывод 1 10 3" xfId="0"/>
    <cellStyle name="Вывод 1 10 3 2" xfId="0"/>
    <cellStyle name="Вывод 1 10 3 2 2" xfId="0"/>
    <cellStyle name="Вывод 1 10 3 2 2 2" xfId="0"/>
    <cellStyle name="Вывод 1 10 3 2 2 3" xfId="0"/>
    <cellStyle name="Вывод 1 10 3 2 3" xfId="0"/>
    <cellStyle name="Вывод 1 10 3 2 4" xfId="0"/>
    <cellStyle name="Вывод 1 10 3 3" xfId="0"/>
    <cellStyle name="Вывод 1 10 3 3 2" xfId="0"/>
    <cellStyle name="Вывод 1 10 3 3 3" xfId="0"/>
    <cellStyle name="Вывод 1 10 3 4" xfId="0"/>
    <cellStyle name="Вывод 1 10 3 5" xfId="0"/>
    <cellStyle name="Вывод 1 10 4" xfId="0"/>
    <cellStyle name="Вывод 1 10 4 2" xfId="0"/>
    <cellStyle name="Вывод 1 10 4 2 2" xfId="0"/>
    <cellStyle name="Вывод 1 10 4 2 2 2" xfId="0"/>
    <cellStyle name="Вывод 1 10 4 2 2 3" xfId="0"/>
    <cellStyle name="Вывод 1 10 4 2 3" xfId="0"/>
    <cellStyle name="Вывод 1 10 4 2 4" xfId="0"/>
    <cellStyle name="Вывод 1 10 4 3" xfId="0"/>
    <cellStyle name="Вывод 1 10 4 3 2" xfId="0"/>
    <cellStyle name="Вывод 1 10 4 3 3" xfId="0"/>
    <cellStyle name="Вывод 1 10 4 4" xfId="0"/>
    <cellStyle name="Вывод 1 10 4 5" xfId="0"/>
    <cellStyle name="Вывод 1 10 5" xfId="0"/>
    <cellStyle name="Вывод 1 10 5 2" xfId="0"/>
    <cellStyle name="Вывод 1 10 5 3" xfId="0"/>
    <cellStyle name="Вывод 1 10 6" xfId="0"/>
    <cellStyle name="Вывод 1 10 7" xfId="0"/>
    <cellStyle name="Вывод 1 11" xfId="0"/>
    <cellStyle name="Вывод 1 11 2" xfId="0"/>
    <cellStyle name="Вывод 1 11 2 2" xfId="0"/>
    <cellStyle name="Вывод 1 11 2 2 2" xfId="0"/>
    <cellStyle name="Вывод 1 11 2 2 2 2" xfId="0"/>
    <cellStyle name="Вывод 1 11 2 2 2 3" xfId="0"/>
    <cellStyle name="Вывод 1 11 2 2 3" xfId="0"/>
    <cellStyle name="Вывод 1 11 2 2 4" xfId="0"/>
    <cellStyle name="Вывод 1 11 2 3" xfId="0"/>
    <cellStyle name="Вывод 1 11 2 3 2" xfId="0"/>
    <cellStyle name="Вывод 1 11 2 3 2 2" xfId="0"/>
    <cellStyle name="Вывод 1 11 2 3 2 3" xfId="0"/>
    <cellStyle name="Вывод 1 11 2 3 3" xfId="0"/>
    <cellStyle name="Вывод 1 11 2 3 4" xfId="0"/>
    <cellStyle name="Вывод 1 11 2 4" xfId="0"/>
    <cellStyle name="Вывод 1 11 2 4 2" xfId="0"/>
    <cellStyle name="Вывод 1 11 2 4 3" xfId="0"/>
    <cellStyle name="Вывод 1 11 2 5" xfId="0"/>
    <cellStyle name="Вывод 1 11 2 6" xfId="0"/>
    <cellStyle name="Вывод 1 11 3" xfId="0"/>
    <cellStyle name="Вывод 1 11 3 2" xfId="0"/>
    <cellStyle name="Вывод 1 11 3 2 2" xfId="0"/>
    <cellStyle name="Вывод 1 11 3 2 2 2" xfId="0"/>
    <cellStyle name="Вывод 1 11 3 2 2 3" xfId="0"/>
    <cellStyle name="Вывод 1 11 3 2 3" xfId="0"/>
    <cellStyle name="Вывод 1 11 3 2 4" xfId="0"/>
    <cellStyle name="Вывод 1 11 3 3" xfId="0"/>
    <cellStyle name="Вывод 1 11 3 3 2" xfId="0"/>
    <cellStyle name="Вывод 1 11 3 3 3" xfId="0"/>
    <cellStyle name="Вывод 1 11 3 4" xfId="0"/>
    <cellStyle name="Вывод 1 11 3 5" xfId="0"/>
    <cellStyle name="Вывод 1 11 4" xfId="0"/>
    <cellStyle name="Вывод 1 11 4 2" xfId="0"/>
    <cellStyle name="Вывод 1 11 4 2 2" xfId="0"/>
    <cellStyle name="Вывод 1 11 4 2 2 2" xfId="0"/>
    <cellStyle name="Вывод 1 11 4 2 2 3" xfId="0"/>
    <cellStyle name="Вывод 1 11 4 2 3" xfId="0"/>
    <cellStyle name="Вывод 1 11 4 2 4" xfId="0"/>
    <cellStyle name="Вывод 1 11 4 3" xfId="0"/>
    <cellStyle name="Вывод 1 11 4 3 2" xfId="0"/>
    <cellStyle name="Вывод 1 11 4 3 3" xfId="0"/>
    <cellStyle name="Вывод 1 11 4 4" xfId="0"/>
    <cellStyle name="Вывод 1 11 4 5" xfId="0"/>
    <cellStyle name="Вывод 1 11 5" xfId="0"/>
    <cellStyle name="Вывод 1 11 5 2" xfId="0"/>
    <cellStyle name="Вывод 1 11 5 3" xfId="0"/>
    <cellStyle name="Вывод 1 11 6" xfId="0"/>
    <cellStyle name="Вывод 1 11 7" xfId="0"/>
    <cellStyle name="Вывод 1 12" xfId="0"/>
    <cellStyle name="Вывод 1 12 2" xfId="0"/>
    <cellStyle name="Вывод 1 12 2 2" xfId="0"/>
    <cellStyle name="Вывод 1 12 2 2 2" xfId="0"/>
    <cellStyle name="Вывод 1 12 2 2 2 2" xfId="0"/>
    <cellStyle name="Вывод 1 12 2 2 2 3" xfId="0"/>
    <cellStyle name="Вывод 1 12 2 2 3" xfId="0"/>
    <cellStyle name="Вывод 1 12 2 2 4" xfId="0"/>
    <cellStyle name="Вывод 1 12 2 3" xfId="0"/>
    <cellStyle name="Вывод 1 12 2 3 2" xfId="0"/>
    <cellStyle name="Вывод 1 12 2 3 2 2" xfId="0"/>
    <cellStyle name="Вывод 1 12 2 3 2 3" xfId="0"/>
    <cellStyle name="Вывод 1 12 2 3 3" xfId="0"/>
    <cellStyle name="Вывод 1 12 2 3 4" xfId="0"/>
    <cellStyle name="Вывод 1 12 2 4" xfId="0"/>
    <cellStyle name="Вывод 1 12 2 4 2" xfId="0"/>
    <cellStyle name="Вывод 1 12 2 4 3" xfId="0"/>
    <cellStyle name="Вывод 1 12 2 5" xfId="0"/>
    <cellStyle name="Вывод 1 12 2 6" xfId="0"/>
    <cellStyle name="Вывод 1 12 3" xfId="0"/>
    <cellStyle name="Вывод 1 12 3 2" xfId="0"/>
    <cellStyle name="Вывод 1 12 3 2 2" xfId="0"/>
    <cellStyle name="Вывод 1 12 3 2 2 2" xfId="0"/>
    <cellStyle name="Вывод 1 12 3 2 2 3" xfId="0"/>
    <cellStyle name="Вывод 1 12 3 2 3" xfId="0"/>
    <cellStyle name="Вывод 1 12 3 2 4" xfId="0"/>
    <cellStyle name="Вывод 1 12 3 3" xfId="0"/>
    <cellStyle name="Вывод 1 12 3 3 2" xfId="0"/>
    <cellStyle name="Вывод 1 12 3 3 3" xfId="0"/>
    <cellStyle name="Вывод 1 12 3 4" xfId="0"/>
    <cellStyle name="Вывод 1 12 3 5" xfId="0"/>
    <cellStyle name="Вывод 1 12 4" xfId="0"/>
    <cellStyle name="Вывод 1 12 4 2" xfId="0"/>
    <cellStyle name="Вывод 1 12 4 2 2" xfId="0"/>
    <cellStyle name="Вывод 1 12 4 2 2 2" xfId="0"/>
    <cellStyle name="Вывод 1 12 4 2 2 3" xfId="0"/>
    <cellStyle name="Вывод 1 12 4 2 3" xfId="0"/>
    <cellStyle name="Вывод 1 12 4 2 4" xfId="0"/>
    <cellStyle name="Вывод 1 12 4 3" xfId="0"/>
    <cellStyle name="Вывод 1 12 4 3 2" xfId="0"/>
    <cellStyle name="Вывод 1 12 4 3 3" xfId="0"/>
    <cellStyle name="Вывод 1 12 4 4" xfId="0"/>
    <cellStyle name="Вывод 1 12 4 5" xfId="0"/>
    <cellStyle name="Вывод 1 12 5" xfId="0"/>
    <cellStyle name="Вывод 1 12 5 2" xfId="0"/>
    <cellStyle name="Вывод 1 12 5 3" xfId="0"/>
    <cellStyle name="Вывод 1 12 6" xfId="0"/>
    <cellStyle name="Вывод 1 12 7" xfId="0"/>
    <cellStyle name="Вывод 1 13" xfId="0"/>
    <cellStyle name="Вывод 1 13 2" xfId="0"/>
    <cellStyle name="Вывод 1 13 2 2" xfId="0"/>
    <cellStyle name="Вывод 1 13 2 2 2" xfId="0"/>
    <cellStyle name="Вывод 1 13 2 2 2 2" xfId="0"/>
    <cellStyle name="Вывод 1 13 2 2 2 3" xfId="0"/>
    <cellStyle name="Вывод 1 13 2 2 3" xfId="0"/>
    <cellStyle name="Вывод 1 13 2 2 4" xfId="0"/>
    <cellStyle name="Вывод 1 13 2 3" xfId="0"/>
    <cellStyle name="Вывод 1 13 2 3 2" xfId="0"/>
    <cellStyle name="Вывод 1 13 2 3 2 2" xfId="0"/>
    <cellStyle name="Вывод 1 13 2 3 2 3" xfId="0"/>
    <cellStyle name="Вывод 1 13 2 3 3" xfId="0"/>
    <cellStyle name="Вывод 1 13 2 3 4" xfId="0"/>
    <cellStyle name="Вывод 1 13 2 4" xfId="0"/>
    <cellStyle name="Вывод 1 13 2 4 2" xfId="0"/>
    <cellStyle name="Вывод 1 13 2 4 3" xfId="0"/>
    <cellStyle name="Вывод 1 13 2 5" xfId="0"/>
    <cellStyle name="Вывод 1 13 2 6" xfId="0"/>
    <cellStyle name="Вывод 1 13 3" xfId="0"/>
    <cellStyle name="Вывод 1 13 3 2" xfId="0"/>
    <cellStyle name="Вывод 1 13 3 2 2" xfId="0"/>
    <cellStyle name="Вывод 1 13 3 2 2 2" xfId="0"/>
    <cellStyle name="Вывод 1 13 3 2 2 3" xfId="0"/>
    <cellStyle name="Вывод 1 13 3 2 3" xfId="0"/>
    <cellStyle name="Вывод 1 13 3 2 4" xfId="0"/>
    <cellStyle name="Вывод 1 13 3 3" xfId="0"/>
    <cellStyle name="Вывод 1 13 3 3 2" xfId="0"/>
    <cellStyle name="Вывод 1 13 3 3 3" xfId="0"/>
    <cellStyle name="Вывод 1 13 3 4" xfId="0"/>
    <cellStyle name="Вывод 1 13 3 5" xfId="0"/>
    <cellStyle name="Вывод 1 13 4" xfId="0"/>
    <cellStyle name="Вывод 1 13 4 2" xfId="0"/>
    <cellStyle name="Вывод 1 13 4 2 2" xfId="0"/>
    <cellStyle name="Вывод 1 13 4 2 2 2" xfId="0"/>
    <cellStyle name="Вывод 1 13 4 2 2 3" xfId="0"/>
    <cellStyle name="Вывод 1 13 4 2 3" xfId="0"/>
    <cellStyle name="Вывод 1 13 4 2 4" xfId="0"/>
    <cellStyle name="Вывод 1 13 4 3" xfId="0"/>
    <cellStyle name="Вывод 1 13 4 3 2" xfId="0"/>
    <cellStyle name="Вывод 1 13 4 3 3" xfId="0"/>
    <cellStyle name="Вывод 1 13 4 4" xfId="0"/>
    <cellStyle name="Вывод 1 13 4 5" xfId="0"/>
    <cellStyle name="Вывод 1 13 5" xfId="0"/>
    <cellStyle name="Вывод 1 13 5 2" xfId="0"/>
    <cellStyle name="Вывод 1 13 5 3" xfId="0"/>
    <cellStyle name="Вывод 1 13 6" xfId="0"/>
    <cellStyle name="Вывод 1 13 7" xfId="0"/>
    <cellStyle name="Вывод 1 14" xfId="0"/>
    <cellStyle name="Вывод 1 14 2" xfId="0"/>
    <cellStyle name="Вывод 1 14 2 2" xfId="0"/>
    <cellStyle name="Вывод 1 14 2 2 2" xfId="0"/>
    <cellStyle name="Вывод 1 14 2 2 2 2" xfId="0"/>
    <cellStyle name="Вывод 1 14 2 2 2 3" xfId="0"/>
    <cellStyle name="Вывод 1 14 2 2 3" xfId="0"/>
    <cellStyle name="Вывод 1 14 2 2 4" xfId="0"/>
    <cellStyle name="Вывод 1 14 2 3" xfId="0"/>
    <cellStyle name="Вывод 1 14 2 3 2" xfId="0"/>
    <cellStyle name="Вывод 1 14 2 3 2 2" xfId="0"/>
    <cellStyle name="Вывод 1 14 2 3 2 3" xfId="0"/>
    <cellStyle name="Вывод 1 14 2 3 3" xfId="0"/>
    <cellStyle name="Вывод 1 14 2 3 4" xfId="0"/>
    <cellStyle name="Вывод 1 14 2 4" xfId="0"/>
    <cellStyle name="Вывод 1 14 2 4 2" xfId="0"/>
    <cellStyle name="Вывод 1 14 2 4 3" xfId="0"/>
    <cellStyle name="Вывод 1 14 2 5" xfId="0"/>
    <cellStyle name="Вывод 1 14 2 6" xfId="0"/>
    <cellStyle name="Вывод 1 14 3" xfId="0"/>
    <cellStyle name="Вывод 1 14 3 2" xfId="0"/>
    <cellStyle name="Вывод 1 14 3 2 2" xfId="0"/>
    <cellStyle name="Вывод 1 14 3 2 2 2" xfId="0"/>
    <cellStyle name="Вывод 1 14 3 2 2 3" xfId="0"/>
    <cellStyle name="Вывод 1 14 3 2 3" xfId="0"/>
    <cellStyle name="Вывод 1 14 3 2 4" xfId="0"/>
    <cellStyle name="Вывод 1 14 3 3" xfId="0"/>
    <cellStyle name="Вывод 1 14 3 3 2" xfId="0"/>
    <cellStyle name="Вывод 1 14 3 3 3" xfId="0"/>
    <cellStyle name="Вывод 1 14 3 4" xfId="0"/>
    <cellStyle name="Вывод 1 14 3 5" xfId="0"/>
    <cellStyle name="Вывод 1 14 4" xfId="0"/>
    <cellStyle name="Вывод 1 14 4 2" xfId="0"/>
    <cellStyle name="Вывод 1 14 4 2 2" xfId="0"/>
    <cellStyle name="Вывод 1 14 4 2 2 2" xfId="0"/>
    <cellStyle name="Вывод 1 14 4 2 2 3" xfId="0"/>
    <cellStyle name="Вывод 1 14 4 2 3" xfId="0"/>
    <cellStyle name="Вывод 1 14 4 2 4" xfId="0"/>
    <cellStyle name="Вывод 1 14 4 3" xfId="0"/>
    <cellStyle name="Вывод 1 14 4 3 2" xfId="0"/>
    <cellStyle name="Вывод 1 14 4 3 3" xfId="0"/>
    <cellStyle name="Вывод 1 14 4 4" xfId="0"/>
    <cellStyle name="Вывод 1 14 4 5" xfId="0"/>
    <cellStyle name="Вывод 1 14 5" xfId="0"/>
    <cellStyle name="Вывод 1 14 5 2" xfId="0"/>
    <cellStyle name="Вывод 1 14 5 3" xfId="0"/>
    <cellStyle name="Вывод 1 14 6" xfId="0"/>
    <cellStyle name="Вывод 1 14 7" xfId="0"/>
    <cellStyle name="Вывод 1 15" xfId="0"/>
    <cellStyle name="Вывод 1 15 2" xfId="0"/>
    <cellStyle name="Вывод 1 15 2 2" xfId="0"/>
    <cellStyle name="Вывод 1 15 2 2 2" xfId="0"/>
    <cellStyle name="Вывод 1 15 2 2 2 2" xfId="0"/>
    <cellStyle name="Вывод 1 15 2 2 2 3" xfId="0"/>
    <cellStyle name="Вывод 1 15 2 2 3" xfId="0"/>
    <cellStyle name="Вывод 1 15 2 2 4" xfId="0"/>
    <cellStyle name="Вывод 1 15 2 3" xfId="0"/>
    <cellStyle name="Вывод 1 15 2 3 2" xfId="0"/>
    <cellStyle name="Вывод 1 15 2 3 2 2" xfId="0"/>
    <cellStyle name="Вывод 1 15 2 3 2 3" xfId="0"/>
    <cellStyle name="Вывод 1 15 2 3 3" xfId="0"/>
    <cellStyle name="Вывод 1 15 2 3 4" xfId="0"/>
    <cellStyle name="Вывод 1 15 2 4" xfId="0"/>
    <cellStyle name="Вывод 1 15 2 4 2" xfId="0"/>
    <cellStyle name="Вывод 1 15 2 4 3" xfId="0"/>
    <cellStyle name="Вывод 1 15 2 5" xfId="0"/>
    <cellStyle name="Вывод 1 15 2 6" xfId="0"/>
    <cellStyle name="Вывод 1 15 3" xfId="0"/>
    <cellStyle name="Вывод 1 15 3 2" xfId="0"/>
    <cellStyle name="Вывод 1 15 3 2 2" xfId="0"/>
    <cellStyle name="Вывод 1 15 3 2 2 2" xfId="0"/>
    <cellStyle name="Вывод 1 15 3 2 2 3" xfId="0"/>
    <cellStyle name="Вывод 1 15 3 2 3" xfId="0"/>
    <cellStyle name="Вывод 1 15 3 2 4" xfId="0"/>
    <cellStyle name="Вывод 1 15 3 3" xfId="0"/>
    <cellStyle name="Вывод 1 15 3 3 2" xfId="0"/>
    <cellStyle name="Вывод 1 15 3 3 3" xfId="0"/>
    <cellStyle name="Вывод 1 15 3 4" xfId="0"/>
    <cellStyle name="Вывод 1 15 3 5" xfId="0"/>
    <cellStyle name="Вывод 1 15 4" xfId="0"/>
    <cellStyle name="Вывод 1 15 4 2" xfId="0"/>
    <cellStyle name="Вывод 1 15 4 2 2" xfId="0"/>
    <cellStyle name="Вывод 1 15 4 2 2 2" xfId="0"/>
    <cellStyle name="Вывод 1 15 4 2 2 3" xfId="0"/>
    <cellStyle name="Вывод 1 15 4 2 3" xfId="0"/>
    <cellStyle name="Вывод 1 15 4 2 4" xfId="0"/>
    <cellStyle name="Вывод 1 15 4 3" xfId="0"/>
    <cellStyle name="Вывод 1 15 4 3 2" xfId="0"/>
    <cellStyle name="Вывод 1 15 4 3 3" xfId="0"/>
    <cellStyle name="Вывод 1 15 4 4" xfId="0"/>
    <cellStyle name="Вывод 1 15 4 5" xfId="0"/>
    <cellStyle name="Вывод 1 15 5" xfId="0"/>
    <cellStyle name="Вывод 1 15 5 2" xfId="0"/>
    <cellStyle name="Вывод 1 15 5 3" xfId="0"/>
    <cellStyle name="Вывод 1 15 6" xfId="0"/>
    <cellStyle name="Вывод 1 15 7" xfId="0"/>
    <cellStyle name="Вывод 1 16" xfId="0"/>
    <cellStyle name="Вывод 1 16 2" xfId="0"/>
    <cellStyle name="Вывод 1 16 2 2" xfId="0"/>
    <cellStyle name="Вывод 1 16 2 2 2" xfId="0"/>
    <cellStyle name="Вывод 1 16 2 2 2 2" xfId="0"/>
    <cellStyle name="Вывод 1 16 2 2 2 3" xfId="0"/>
    <cellStyle name="Вывод 1 16 2 2 3" xfId="0"/>
    <cellStyle name="Вывод 1 16 2 2 4" xfId="0"/>
    <cellStyle name="Вывод 1 16 2 3" xfId="0"/>
    <cellStyle name="Вывод 1 16 2 3 2" xfId="0"/>
    <cellStyle name="Вывод 1 16 2 3 2 2" xfId="0"/>
    <cellStyle name="Вывод 1 16 2 3 2 3" xfId="0"/>
    <cellStyle name="Вывод 1 16 2 3 3" xfId="0"/>
    <cellStyle name="Вывод 1 16 2 3 4" xfId="0"/>
    <cellStyle name="Вывод 1 16 2 4" xfId="0"/>
    <cellStyle name="Вывод 1 16 2 4 2" xfId="0"/>
    <cellStyle name="Вывод 1 16 2 4 3" xfId="0"/>
    <cellStyle name="Вывод 1 16 2 5" xfId="0"/>
    <cellStyle name="Вывод 1 16 2 6" xfId="0"/>
    <cellStyle name="Вывод 1 16 3" xfId="0"/>
    <cellStyle name="Вывод 1 16 3 2" xfId="0"/>
    <cellStyle name="Вывод 1 16 3 2 2" xfId="0"/>
    <cellStyle name="Вывод 1 16 3 2 2 2" xfId="0"/>
    <cellStyle name="Вывод 1 16 3 2 2 3" xfId="0"/>
    <cellStyle name="Вывод 1 16 3 2 3" xfId="0"/>
    <cellStyle name="Вывод 1 16 3 2 4" xfId="0"/>
    <cellStyle name="Вывод 1 16 3 3" xfId="0"/>
    <cellStyle name="Вывод 1 16 3 3 2" xfId="0"/>
    <cellStyle name="Вывод 1 16 3 3 3" xfId="0"/>
    <cellStyle name="Вывод 1 16 3 4" xfId="0"/>
    <cellStyle name="Вывод 1 16 3 5" xfId="0"/>
    <cellStyle name="Вывод 1 16 4" xfId="0"/>
    <cellStyle name="Вывод 1 16 4 2" xfId="0"/>
    <cellStyle name="Вывод 1 16 4 2 2" xfId="0"/>
    <cellStyle name="Вывод 1 16 4 2 2 2" xfId="0"/>
    <cellStyle name="Вывод 1 16 4 2 2 3" xfId="0"/>
    <cellStyle name="Вывод 1 16 4 2 3" xfId="0"/>
    <cellStyle name="Вывод 1 16 4 2 4" xfId="0"/>
    <cellStyle name="Вывод 1 16 4 3" xfId="0"/>
    <cellStyle name="Вывод 1 16 4 3 2" xfId="0"/>
    <cellStyle name="Вывод 1 16 4 3 3" xfId="0"/>
    <cellStyle name="Вывод 1 16 4 4" xfId="0"/>
    <cellStyle name="Вывод 1 16 4 5" xfId="0"/>
    <cellStyle name="Вывод 1 16 5" xfId="0"/>
    <cellStyle name="Вывод 1 16 5 2" xfId="0"/>
    <cellStyle name="Вывод 1 16 5 3" xfId="0"/>
    <cellStyle name="Вывод 1 16 6" xfId="0"/>
    <cellStyle name="Вывод 1 16 7" xfId="0"/>
    <cellStyle name="Вывод 1 17" xfId="0"/>
    <cellStyle name="Вывод 1 17 2" xfId="0"/>
    <cellStyle name="Вывод 1 17 2 2" xfId="0"/>
    <cellStyle name="Вывод 1 17 2 2 2" xfId="0"/>
    <cellStyle name="Вывод 1 17 2 2 2 2" xfId="0"/>
    <cellStyle name="Вывод 1 17 2 2 2 3" xfId="0"/>
    <cellStyle name="Вывод 1 17 2 2 3" xfId="0"/>
    <cellStyle name="Вывод 1 17 2 2 4" xfId="0"/>
    <cellStyle name="Вывод 1 17 2 3" xfId="0"/>
    <cellStyle name="Вывод 1 17 2 3 2" xfId="0"/>
    <cellStyle name="Вывод 1 17 2 3 2 2" xfId="0"/>
    <cellStyle name="Вывод 1 17 2 3 2 3" xfId="0"/>
    <cellStyle name="Вывод 1 17 2 3 3" xfId="0"/>
    <cellStyle name="Вывод 1 17 2 3 4" xfId="0"/>
    <cellStyle name="Вывод 1 17 2 4" xfId="0"/>
    <cellStyle name="Вывод 1 17 2 4 2" xfId="0"/>
    <cellStyle name="Вывод 1 17 2 4 3" xfId="0"/>
    <cellStyle name="Вывод 1 17 2 5" xfId="0"/>
    <cellStyle name="Вывод 1 17 2 6" xfId="0"/>
    <cellStyle name="Вывод 1 17 3" xfId="0"/>
    <cellStyle name="Вывод 1 17 3 2" xfId="0"/>
    <cellStyle name="Вывод 1 17 3 2 2" xfId="0"/>
    <cellStyle name="Вывод 1 17 3 2 2 2" xfId="0"/>
    <cellStyle name="Вывод 1 17 3 2 2 3" xfId="0"/>
    <cellStyle name="Вывод 1 17 3 2 3" xfId="0"/>
    <cellStyle name="Вывод 1 17 3 2 4" xfId="0"/>
    <cellStyle name="Вывод 1 17 3 3" xfId="0"/>
    <cellStyle name="Вывод 1 17 3 3 2" xfId="0"/>
    <cellStyle name="Вывод 1 17 3 3 3" xfId="0"/>
    <cellStyle name="Вывод 1 17 3 4" xfId="0"/>
    <cellStyle name="Вывод 1 17 3 5" xfId="0"/>
    <cellStyle name="Вывод 1 17 4" xfId="0"/>
    <cellStyle name="Вывод 1 17 4 2" xfId="0"/>
    <cellStyle name="Вывод 1 17 4 2 2" xfId="0"/>
    <cellStyle name="Вывод 1 17 4 2 2 2" xfId="0"/>
    <cellStyle name="Вывод 1 17 4 2 2 3" xfId="0"/>
    <cellStyle name="Вывод 1 17 4 2 3" xfId="0"/>
    <cellStyle name="Вывод 1 17 4 2 4" xfId="0"/>
    <cellStyle name="Вывод 1 17 4 3" xfId="0"/>
    <cellStyle name="Вывод 1 17 4 3 2" xfId="0"/>
    <cellStyle name="Вывод 1 17 4 3 3" xfId="0"/>
    <cellStyle name="Вывод 1 17 4 4" xfId="0"/>
    <cellStyle name="Вывод 1 17 4 5" xfId="0"/>
    <cellStyle name="Вывод 1 17 5" xfId="0"/>
    <cellStyle name="Вывод 1 17 5 2" xfId="0"/>
    <cellStyle name="Вывод 1 17 5 3" xfId="0"/>
    <cellStyle name="Вывод 1 17 6" xfId="0"/>
    <cellStyle name="Вывод 1 17 7" xfId="0"/>
    <cellStyle name="Вывод 1 18" xfId="0"/>
    <cellStyle name="Вывод 1 18 2" xfId="0"/>
    <cellStyle name="Вывод 1 18 2 2" xfId="0"/>
    <cellStyle name="Вывод 1 18 2 2 2" xfId="0"/>
    <cellStyle name="Вывод 1 18 2 2 2 2" xfId="0"/>
    <cellStyle name="Вывод 1 18 2 2 2 3" xfId="0"/>
    <cellStyle name="Вывод 1 18 2 2 3" xfId="0"/>
    <cellStyle name="Вывод 1 18 2 2 4" xfId="0"/>
    <cellStyle name="Вывод 1 18 2 3" xfId="0"/>
    <cellStyle name="Вывод 1 18 2 3 2" xfId="0"/>
    <cellStyle name="Вывод 1 18 2 3 2 2" xfId="0"/>
    <cellStyle name="Вывод 1 18 2 3 2 3" xfId="0"/>
    <cellStyle name="Вывод 1 18 2 3 3" xfId="0"/>
    <cellStyle name="Вывод 1 18 2 3 4" xfId="0"/>
    <cellStyle name="Вывод 1 18 2 4" xfId="0"/>
    <cellStyle name="Вывод 1 18 2 4 2" xfId="0"/>
    <cellStyle name="Вывод 1 18 2 4 3" xfId="0"/>
    <cellStyle name="Вывод 1 18 2 5" xfId="0"/>
    <cellStyle name="Вывод 1 18 2 6" xfId="0"/>
    <cellStyle name="Вывод 1 18 3" xfId="0"/>
    <cellStyle name="Вывод 1 18 3 2" xfId="0"/>
    <cellStyle name="Вывод 1 18 3 2 2" xfId="0"/>
    <cellStyle name="Вывод 1 18 3 2 2 2" xfId="0"/>
    <cellStyle name="Вывод 1 18 3 2 2 3" xfId="0"/>
    <cellStyle name="Вывод 1 18 3 2 3" xfId="0"/>
    <cellStyle name="Вывод 1 18 3 2 4" xfId="0"/>
    <cellStyle name="Вывод 1 18 3 3" xfId="0"/>
    <cellStyle name="Вывод 1 18 3 3 2" xfId="0"/>
    <cellStyle name="Вывод 1 18 3 3 3" xfId="0"/>
    <cellStyle name="Вывод 1 18 3 4" xfId="0"/>
    <cellStyle name="Вывод 1 18 3 5" xfId="0"/>
    <cellStyle name="Вывод 1 18 4" xfId="0"/>
    <cellStyle name="Вывод 1 18 4 2" xfId="0"/>
    <cellStyle name="Вывод 1 18 4 2 2" xfId="0"/>
    <cellStyle name="Вывод 1 18 4 2 2 2" xfId="0"/>
    <cellStyle name="Вывод 1 18 4 2 2 3" xfId="0"/>
    <cellStyle name="Вывод 1 18 4 2 3" xfId="0"/>
    <cellStyle name="Вывод 1 18 4 2 4" xfId="0"/>
    <cellStyle name="Вывод 1 18 4 3" xfId="0"/>
    <cellStyle name="Вывод 1 18 4 3 2" xfId="0"/>
    <cellStyle name="Вывод 1 18 4 3 3" xfId="0"/>
    <cellStyle name="Вывод 1 18 4 4" xfId="0"/>
    <cellStyle name="Вывод 1 18 4 5" xfId="0"/>
    <cellStyle name="Вывод 1 18 5" xfId="0"/>
    <cellStyle name="Вывод 1 18 5 2" xfId="0"/>
    <cellStyle name="Вывод 1 18 5 3" xfId="0"/>
    <cellStyle name="Вывод 1 18 6" xfId="0"/>
    <cellStyle name="Вывод 1 18 7" xfId="0"/>
    <cellStyle name="Вывод 1 19" xfId="0"/>
    <cellStyle name="Вывод 1 19 2" xfId="0"/>
    <cellStyle name="Вывод 1 19 2 2" xfId="0"/>
    <cellStyle name="Вывод 1 19 2 2 2" xfId="0"/>
    <cellStyle name="Вывод 1 19 2 2 2 2" xfId="0"/>
    <cellStyle name="Вывод 1 19 2 2 2 3" xfId="0"/>
    <cellStyle name="Вывод 1 19 2 2 3" xfId="0"/>
    <cellStyle name="Вывод 1 19 2 2 4" xfId="0"/>
    <cellStyle name="Вывод 1 19 2 3" xfId="0"/>
    <cellStyle name="Вывод 1 19 2 3 2" xfId="0"/>
    <cellStyle name="Вывод 1 19 2 3 2 2" xfId="0"/>
    <cellStyle name="Вывод 1 19 2 3 2 3" xfId="0"/>
    <cellStyle name="Вывод 1 19 2 3 3" xfId="0"/>
    <cellStyle name="Вывод 1 19 2 3 4" xfId="0"/>
    <cellStyle name="Вывод 1 19 2 4" xfId="0"/>
    <cellStyle name="Вывод 1 19 2 4 2" xfId="0"/>
    <cellStyle name="Вывод 1 19 2 4 3" xfId="0"/>
    <cellStyle name="Вывод 1 19 2 5" xfId="0"/>
    <cellStyle name="Вывод 1 19 2 6" xfId="0"/>
    <cellStyle name="Вывод 1 19 3" xfId="0"/>
    <cellStyle name="Вывод 1 19 3 2" xfId="0"/>
    <cellStyle name="Вывод 1 19 3 2 2" xfId="0"/>
    <cellStyle name="Вывод 1 19 3 2 2 2" xfId="0"/>
    <cellStyle name="Вывод 1 19 3 2 2 3" xfId="0"/>
    <cellStyle name="Вывод 1 19 3 2 3" xfId="0"/>
    <cellStyle name="Вывод 1 19 3 2 4" xfId="0"/>
    <cellStyle name="Вывод 1 19 3 3" xfId="0"/>
    <cellStyle name="Вывод 1 19 3 3 2" xfId="0"/>
    <cellStyle name="Вывод 1 19 3 3 3" xfId="0"/>
    <cellStyle name="Вывод 1 19 3 4" xfId="0"/>
    <cellStyle name="Вывод 1 19 3 5" xfId="0"/>
    <cellStyle name="Вывод 1 19 4" xfId="0"/>
    <cellStyle name="Вывод 1 19 4 2" xfId="0"/>
    <cellStyle name="Вывод 1 19 4 2 2" xfId="0"/>
    <cellStyle name="Вывод 1 19 4 2 2 2" xfId="0"/>
    <cellStyle name="Вывод 1 19 4 2 2 3" xfId="0"/>
    <cellStyle name="Вывод 1 19 4 2 3" xfId="0"/>
    <cellStyle name="Вывод 1 19 4 2 4" xfId="0"/>
    <cellStyle name="Вывод 1 19 4 3" xfId="0"/>
    <cellStyle name="Вывод 1 19 4 3 2" xfId="0"/>
    <cellStyle name="Вывод 1 19 4 3 3" xfId="0"/>
    <cellStyle name="Вывод 1 19 4 4" xfId="0"/>
    <cellStyle name="Вывод 1 19 4 5" xfId="0"/>
    <cellStyle name="Вывод 1 19 5" xfId="0"/>
    <cellStyle name="Вывод 1 19 5 2" xfId="0"/>
    <cellStyle name="Вывод 1 19 5 3" xfId="0"/>
    <cellStyle name="Вывод 1 19 6" xfId="0"/>
    <cellStyle name="Вывод 1 19 7" xfId="0"/>
    <cellStyle name="Вывод 1 2" xfId="0"/>
    <cellStyle name="Вывод 1 2 10" xfId="0"/>
    <cellStyle name="Вывод 1 2 10 2" xfId="0"/>
    <cellStyle name="Вывод 1 2 10 3" xfId="0"/>
    <cellStyle name="Вывод 1 2 11" xfId="0"/>
    <cellStyle name="Вывод 1 2 12" xfId="0"/>
    <cellStyle name="Вывод 1 2 2" xfId="0"/>
    <cellStyle name="Вывод 1 2 2 2" xfId="0"/>
    <cellStyle name="Вывод 1 2 2 2 2" xfId="0"/>
    <cellStyle name="Вывод 1 2 2 2 2 2" xfId="0"/>
    <cellStyle name="Вывод 1 2 2 2 2 2 2" xfId="0"/>
    <cellStyle name="Вывод 1 2 2 2 2 2 3" xfId="0"/>
    <cellStyle name="Вывод 1 2 2 2 2 3" xfId="0"/>
    <cellStyle name="Вывод 1 2 2 2 2 4" xfId="0"/>
    <cellStyle name="Вывод 1 2 2 2 3" xfId="0"/>
    <cellStyle name="Вывод 1 2 2 2 3 2" xfId="0"/>
    <cellStyle name="Вывод 1 2 2 2 3 3" xfId="0"/>
    <cellStyle name="Вывод 1 2 2 2 4" xfId="0"/>
    <cellStyle name="Вывод 1 2 2 2 5" xfId="0"/>
    <cellStyle name="Вывод 1 2 2 3" xfId="0"/>
    <cellStyle name="Вывод 1 2 2 3 2" xfId="0"/>
    <cellStyle name="Вывод 1 2 2 3 2 2" xfId="0"/>
    <cellStyle name="Вывод 1 2 2 3 2 3" xfId="0"/>
    <cellStyle name="Вывод 1 2 2 3 3" xfId="0"/>
    <cellStyle name="Вывод 1 2 2 3 4" xfId="0"/>
    <cellStyle name="Вывод 1 2 2 4" xfId="0"/>
    <cellStyle name="Вывод 1 2 2 4 2" xfId="0"/>
    <cellStyle name="Вывод 1 2 2 4 3" xfId="0"/>
    <cellStyle name="Вывод 1 2 2 5" xfId="0"/>
    <cellStyle name="Вывод 1 2 2 6" xfId="0"/>
    <cellStyle name="Вывод 1 2 3" xfId="0"/>
    <cellStyle name="Вывод 1 2 3 2" xfId="0"/>
    <cellStyle name="Вывод 1 2 3 2 2" xfId="0"/>
    <cellStyle name="Вывод 1 2 3 2 2 2" xfId="0"/>
    <cellStyle name="Вывод 1 2 3 2 2 2 2" xfId="0"/>
    <cellStyle name="Вывод 1 2 3 2 2 2 3" xfId="0"/>
    <cellStyle name="Вывод 1 2 3 2 2 3" xfId="0"/>
    <cellStyle name="Вывод 1 2 3 2 2 4" xfId="0"/>
    <cellStyle name="Вывод 1 2 3 2 3" xfId="0"/>
    <cellStyle name="Вывод 1 2 3 2 3 2" xfId="0"/>
    <cellStyle name="Вывод 1 2 3 2 3 3" xfId="0"/>
    <cellStyle name="Вывод 1 2 3 2 4" xfId="0"/>
    <cellStyle name="Вывод 1 2 3 2 5" xfId="0"/>
    <cellStyle name="Вывод 1 2 3 3" xfId="0"/>
    <cellStyle name="Вывод 1 2 3 3 2" xfId="0"/>
    <cellStyle name="Вывод 1 2 3 3 2 2" xfId="0"/>
    <cellStyle name="Вывод 1 2 3 3 2 3" xfId="0"/>
    <cellStyle name="Вывод 1 2 3 3 3" xfId="0"/>
    <cellStyle name="Вывод 1 2 3 3 4" xfId="0"/>
    <cellStyle name="Вывод 1 2 3 4" xfId="0"/>
    <cellStyle name="Вывод 1 2 3 4 2" xfId="0"/>
    <cellStyle name="Вывод 1 2 3 4 3" xfId="0"/>
    <cellStyle name="Вывод 1 2 3 5" xfId="0"/>
    <cellStyle name="Вывод 1 2 3 6" xfId="0"/>
    <cellStyle name="Вывод 1 2 4" xfId="0"/>
    <cellStyle name="Вывод 1 2 4 2" xfId="0"/>
    <cellStyle name="Вывод 1 2 4 2 2" xfId="0"/>
    <cellStyle name="Вывод 1 2 4 2 2 2" xfId="0"/>
    <cellStyle name="Вывод 1 2 4 2 2 2 2" xfId="0"/>
    <cellStyle name="Вывод 1 2 4 2 2 2 3" xfId="0"/>
    <cellStyle name="Вывод 1 2 4 2 2 3" xfId="0"/>
    <cellStyle name="Вывод 1 2 4 2 2 4" xfId="0"/>
    <cellStyle name="Вывод 1 2 4 2 3" xfId="0"/>
    <cellStyle name="Вывод 1 2 4 2 3 2" xfId="0"/>
    <cellStyle name="Вывод 1 2 4 2 3 3" xfId="0"/>
    <cellStyle name="Вывод 1 2 4 2 4" xfId="0"/>
    <cellStyle name="Вывод 1 2 4 2 5" xfId="0"/>
    <cellStyle name="Вывод 1 2 4 3" xfId="0"/>
    <cellStyle name="Вывод 1 2 4 3 2" xfId="0"/>
    <cellStyle name="Вывод 1 2 4 3 2 2" xfId="0"/>
    <cellStyle name="Вывод 1 2 4 3 2 3" xfId="0"/>
    <cellStyle name="Вывод 1 2 4 3 3" xfId="0"/>
    <cellStyle name="Вывод 1 2 4 3 4" xfId="0"/>
    <cellStyle name="Вывод 1 2 4 4" xfId="0"/>
    <cellStyle name="Вывод 1 2 4 4 2" xfId="0"/>
    <cellStyle name="Вывод 1 2 4 4 3" xfId="0"/>
    <cellStyle name="Вывод 1 2 4 5" xfId="0"/>
    <cellStyle name="Вывод 1 2 4 6" xfId="0"/>
    <cellStyle name="Вывод 1 2 5" xfId="0"/>
    <cellStyle name="Вывод 1 2 5 2" xfId="0"/>
    <cellStyle name="Вывод 1 2 5 2 2" xfId="0"/>
    <cellStyle name="Вывод 1 2 5 2 2 2" xfId="0"/>
    <cellStyle name="Вывод 1 2 5 2 2 2 2" xfId="0"/>
    <cellStyle name="Вывод 1 2 5 2 2 2 3" xfId="0"/>
    <cellStyle name="Вывод 1 2 5 2 2 3" xfId="0"/>
    <cellStyle name="Вывод 1 2 5 2 2 4" xfId="0"/>
    <cellStyle name="Вывод 1 2 5 2 3" xfId="0"/>
    <cellStyle name="Вывод 1 2 5 2 3 2" xfId="0"/>
    <cellStyle name="Вывод 1 2 5 2 3 3" xfId="0"/>
    <cellStyle name="Вывод 1 2 5 2 4" xfId="0"/>
    <cellStyle name="Вывод 1 2 5 2 5" xfId="0"/>
    <cellStyle name="Вывод 1 2 5 3" xfId="0"/>
    <cellStyle name="Вывод 1 2 5 3 2" xfId="0"/>
    <cellStyle name="Вывод 1 2 5 3 2 2" xfId="0"/>
    <cellStyle name="Вывод 1 2 5 3 2 3" xfId="0"/>
    <cellStyle name="Вывод 1 2 5 3 3" xfId="0"/>
    <cellStyle name="Вывод 1 2 5 3 4" xfId="0"/>
    <cellStyle name="Вывод 1 2 5 4" xfId="0"/>
    <cellStyle name="Вывод 1 2 5 4 2" xfId="0"/>
    <cellStyle name="Вывод 1 2 5 4 3" xfId="0"/>
    <cellStyle name="Вывод 1 2 5 5" xfId="0"/>
    <cellStyle name="Вывод 1 2 5 6" xfId="0"/>
    <cellStyle name="Вывод 1 2 6" xfId="0"/>
    <cellStyle name="Вывод 1 2 6 2" xfId="0"/>
    <cellStyle name="Вывод 1 2 6 2 2" xfId="0"/>
    <cellStyle name="Вывод 1 2 6 2 2 2" xfId="0"/>
    <cellStyle name="Вывод 1 2 6 2 2 3" xfId="0"/>
    <cellStyle name="Вывод 1 2 6 2 3" xfId="0"/>
    <cellStyle name="Вывод 1 2 6 2 4" xfId="0"/>
    <cellStyle name="Вывод 1 2 6 3" xfId="0"/>
    <cellStyle name="Вывод 1 2 6 3 2" xfId="0"/>
    <cellStyle name="Вывод 1 2 6 3 3" xfId="0"/>
    <cellStyle name="Вывод 1 2 6 4" xfId="0"/>
    <cellStyle name="Вывод 1 2 6 5" xfId="0"/>
    <cellStyle name="Вывод 1 2 7" xfId="0"/>
    <cellStyle name="Вывод 1 2 7 2" xfId="0"/>
    <cellStyle name="Вывод 1 2 7 2 2" xfId="0"/>
    <cellStyle name="Вывод 1 2 7 2 2 2" xfId="0"/>
    <cellStyle name="Вывод 1 2 7 2 2 3" xfId="0"/>
    <cellStyle name="Вывод 1 2 7 2 3" xfId="0"/>
    <cellStyle name="Вывод 1 2 7 2 4" xfId="0"/>
    <cellStyle name="Вывод 1 2 7 3" xfId="0"/>
    <cellStyle name="Вывод 1 2 7 3 2" xfId="0"/>
    <cellStyle name="Вывод 1 2 7 3 3" xfId="0"/>
    <cellStyle name="Вывод 1 2 7 4" xfId="0"/>
    <cellStyle name="Вывод 1 2 7 5" xfId="0"/>
    <cellStyle name="Вывод 1 2 8" xfId="0"/>
    <cellStyle name="Вывод 1 2 8 2" xfId="0"/>
    <cellStyle name="Вывод 1 2 8 2 2" xfId="0"/>
    <cellStyle name="Вывод 1 2 8 2 2 2" xfId="0"/>
    <cellStyle name="Вывод 1 2 8 2 2 3" xfId="0"/>
    <cellStyle name="Вывод 1 2 8 2 3" xfId="0"/>
    <cellStyle name="Вывод 1 2 8 2 4" xfId="0"/>
    <cellStyle name="Вывод 1 2 8 3" xfId="0"/>
    <cellStyle name="Вывод 1 2 8 3 2" xfId="0"/>
    <cellStyle name="Вывод 1 2 8 3 3" xfId="0"/>
    <cellStyle name="Вывод 1 2 8 4" xfId="0"/>
    <cellStyle name="Вывод 1 2 8 5" xfId="0"/>
    <cellStyle name="Вывод 1 2 9" xfId="0"/>
    <cellStyle name="Вывод 1 2 9 2" xfId="0"/>
    <cellStyle name="Вывод 1 2 9 3" xfId="0"/>
    <cellStyle name="Вывод 1 20" xfId="0"/>
    <cellStyle name="Вывод 1 20 2" xfId="0"/>
    <cellStyle name="Вывод 1 20 2 2" xfId="0"/>
    <cellStyle name="Вывод 1 20 2 2 2" xfId="0"/>
    <cellStyle name="Вывод 1 20 2 2 2 2" xfId="0"/>
    <cellStyle name="Вывод 1 20 2 2 2 3" xfId="0"/>
    <cellStyle name="Вывод 1 20 2 2 3" xfId="0"/>
    <cellStyle name="Вывод 1 20 2 2 4" xfId="0"/>
    <cellStyle name="Вывод 1 20 2 3" xfId="0"/>
    <cellStyle name="Вывод 1 20 2 3 2" xfId="0"/>
    <cellStyle name="Вывод 1 20 2 3 2 2" xfId="0"/>
    <cellStyle name="Вывод 1 20 2 3 2 3" xfId="0"/>
    <cellStyle name="Вывод 1 20 2 3 3" xfId="0"/>
    <cellStyle name="Вывод 1 20 2 3 4" xfId="0"/>
    <cellStyle name="Вывод 1 20 2 4" xfId="0"/>
    <cellStyle name="Вывод 1 20 2 4 2" xfId="0"/>
    <cellStyle name="Вывод 1 20 2 4 3" xfId="0"/>
    <cellStyle name="Вывод 1 20 2 5" xfId="0"/>
    <cellStyle name="Вывод 1 20 2 6" xfId="0"/>
    <cellStyle name="Вывод 1 20 3" xfId="0"/>
    <cellStyle name="Вывод 1 20 3 2" xfId="0"/>
    <cellStyle name="Вывод 1 20 3 2 2" xfId="0"/>
    <cellStyle name="Вывод 1 20 3 2 2 2" xfId="0"/>
    <cellStyle name="Вывод 1 20 3 2 2 3" xfId="0"/>
    <cellStyle name="Вывод 1 20 3 2 3" xfId="0"/>
    <cellStyle name="Вывод 1 20 3 2 4" xfId="0"/>
    <cellStyle name="Вывод 1 20 3 3" xfId="0"/>
    <cellStyle name="Вывод 1 20 3 3 2" xfId="0"/>
    <cellStyle name="Вывод 1 20 3 3 3" xfId="0"/>
    <cellStyle name="Вывод 1 20 3 4" xfId="0"/>
    <cellStyle name="Вывод 1 20 3 5" xfId="0"/>
    <cellStyle name="Вывод 1 20 4" xfId="0"/>
    <cellStyle name="Вывод 1 20 4 2" xfId="0"/>
    <cellStyle name="Вывод 1 20 4 2 2" xfId="0"/>
    <cellStyle name="Вывод 1 20 4 2 2 2" xfId="0"/>
    <cellStyle name="Вывод 1 20 4 2 2 3" xfId="0"/>
    <cellStyle name="Вывод 1 20 4 2 3" xfId="0"/>
    <cellStyle name="Вывод 1 20 4 2 4" xfId="0"/>
    <cellStyle name="Вывод 1 20 4 3" xfId="0"/>
    <cellStyle name="Вывод 1 20 4 3 2" xfId="0"/>
    <cellStyle name="Вывод 1 20 4 3 3" xfId="0"/>
    <cellStyle name="Вывод 1 20 4 4" xfId="0"/>
    <cellStyle name="Вывод 1 20 4 5" xfId="0"/>
    <cellStyle name="Вывод 1 20 5" xfId="0"/>
    <cellStyle name="Вывод 1 20 5 2" xfId="0"/>
    <cellStyle name="Вывод 1 20 5 2 2" xfId="0"/>
    <cellStyle name="Вывод 1 20 5 2 3" xfId="0"/>
    <cellStyle name="Вывод 1 20 5 3" xfId="0"/>
    <cellStyle name="Вывод 1 20 5 4" xfId="0"/>
    <cellStyle name="Вывод 1 20 6" xfId="0"/>
    <cellStyle name="Вывод 1 20 6 2" xfId="0"/>
    <cellStyle name="Вывод 1 20 6 3" xfId="0"/>
    <cellStyle name="Вывод 1 20 7" xfId="0"/>
    <cellStyle name="Вывод 1 20 8" xfId="0"/>
    <cellStyle name="Вывод 1 21" xfId="0"/>
    <cellStyle name="Вывод 1 21 2" xfId="0"/>
    <cellStyle name="Вывод 1 21 2 2" xfId="0"/>
    <cellStyle name="Вывод 1 21 2 2 2" xfId="0"/>
    <cellStyle name="Вывод 1 21 2 2 3" xfId="0"/>
    <cellStyle name="Вывод 1 21 2 3" xfId="0"/>
    <cellStyle name="Вывод 1 21 2 4" xfId="0"/>
    <cellStyle name="Вывод 1 21 3" xfId="0"/>
    <cellStyle name="Вывод 1 21 3 2" xfId="0"/>
    <cellStyle name="Вывод 1 21 3 2 2" xfId="0"/>
    <cellStyle name="Вывод 1 21 3 2 3" xfId="0"/>
    <cellStyle name="Вывод 1 21 3 3" xfId="0"/>
    <cellStyle name="Вывод 1 21 3 4" xfId="0"/>
    <cellStyle name="Вывод 1 21 4" xfId="0"/>
    <cellStyle name="Вывод 1 21 4 2" xfId="0"/>
    <cellStyle name="Вывод 1 21 4 3" xfId="0"/>
    <cellStyle name="Вывод 1 21 5" xfId="0"/>
    <cellStyle name="Вывод 1 21 6" xfId="0"/>
    <cellStyle name="Вывод 1 22" xfId="0"/>
    <cellStyle name="Вывод 1 22 2" xfId="0"/>
    <cellStyle name="Вывод 1 22 2 2" xfId="0"/>
    <cellStyle name="Вывод 1 22 2 2 2" xfId="0"/>
    <cellStyle name="Вывод 1 22 2 2 3" xfId="0"/>
    <cellStyle name="Вывод 1 22 2 3" xfId="0"/>
    <cellStyle name="Вывод 1 22 2 4" xfId="0"/>
    <cellStyle name="Вывод 1 22 3" xfId="0"/>
    <cellStyle name="Вывод 1 22 3 2" xfId="0"/>
    <cellStyle name="Вывод 1 22 3 2 2" xfId="0"/>
    <cellStyle name="Вывод 1 22 3 2 3" xfId="0"/>
    <cellStyle name="Вывод 1 22 3 3" xfId="0"/>
    <cellStyle name="Вывод 1 22 3 4" xfId="0"/>
    <cellStyle name="Вывод 1 22 4" xfId="0"/>
    <cellStyle name="Вывод 1 22 4 2" xfId="0"/>
    <cellStyle name="Вывод 1 22 4 3" xfId="0"/>
    <cellStyle name="Вывод 1 22 5" xfId="0"/>
    <cellStyle name="Вывод 1 22 6" xfId="0"/>
    <cellStyle name="Вывод 1 23" xfId="0"/>
    <cellStyle name="Вывод 1 23 2" xfId="0"/>
    <cellStyle name="Вывод 1 23 2 2" xfId="0"/>
    <cellStyle name="Вывод 1 23 2 2 2" xfId="0"/>
    <cellStyle name="Вывод 1 23 2 2 3" xfId="0"/>
    <cellStyle name="Вывод 1 23 2 3" xfId="0"/>
    <cellStyle name="Вывод 1 23 2 4" xfId="0"/>
    <cellStyle name="Вывод 1 23 3" xfId="0"/>
    <cellStyle name="Вывод 1 23 3 2" xfId="0"/>
    <cellStyle name="Вывод 1 23 3 2 2" xfId="0"/>
    <cellStyle name="Вывод 1 23 3 2 3" xfId="0"/>
    <cellStyle name="Вывод 1 23 3 3" xfId="0"/>
    <cellStyle name="Вывод 1 23 3 4" xfId="0"/>
    <cellStyle name="Вывод 1 23 4" xfId="0"/>
    <cellStyle name="Вывод 1 23 4 2" xfId="0"/>
    <cellStyle name="Вывод 1 23 4 3" xfId="0"/>
    <cellStyle name="Вывод 1 23 5" xfId="0"/>
    <cellStyle name="Вывод 1 23 6" xfId="0"/>
    <cellStyle name="Вывод 1 24" xfId="0"/>
    <cellStyle name="Вывод 1 24 2" xfId="0"/>
    <cellStyle name="Вывод 1 24 2 2" xfId="0"/>
    <cellStyle name="Вывод 1 24 2 2 2" xfId="0"/>
    <cellStyle name="Вывод 1 24 2 2 3" xfId="0"/>
    <cellStyle name="Вывод 1 24 2 3" xfId="0"/>
    <cellStyle name="Вывод 1 24 2 4" xfId="0"/>
    <cellStyle name="Вывод 1 24 3" xfId="0"/>
    <cellStyle name="Вывод 1 24 3 2" xfId="0"/>
    <cellStyle name="Вывод 1 24 3 2 2" xfId="0"/>
    <cellStyle name="Вывод 1 24 3 2 3" xfId="0"/>
    <cellStyle name="Вывод 1 24 3 3" xfId="0"/>
    <cellStyle name="Вывод 1 24 3 4" xfId="0"/>
    <cellStyle name="Вывод 1 24 4" xfId="0"/>
    <cellStyle name="Вывод 1 24 4 2" xfId="0"/>
    <cellStyle name="Вывод 1 24 4 3" xfId="0"/>
    <cellStyle name="Вывод 1 24 5" xfId="0"/>
    <cellStyle name="Вывод 1 24 6" xfId="0"/>
    <cellStyle name="Вывод 1 25" xfId="0"/>
    <cellStyle name="Вывод 1 25 2" xfId="0"/>
    <cellStyle name="Вывод 1 25 2 2" xfId="0"/>
    <cellStyle name="Вывод 1 25 2 2 2" xfId="0"/>
    <cellStyle name="Вывод 1 25 2 2 3" xfId="0"/>
    <cellStyle name="Вывод 1 25 2 3" xfId="0"/>
    <cellStyle name="Вывод 1 25 2 4" xfId="0"/>
    <cellStyle name="Вывод 1 25 3" xfId="0"/>
    <cellStyle name="Вывод 1 25 3 2" xfId="0"/>
    <cellStyle name="Вывод 1 25 3 2 2" xfId="0"/>
    <cellStyle name="Вывод 1 25 3 2 3" xfId="0"/>
    <cellStyle name="Вывод 1 25 3 3" xfId="0"/>
    <cellStyle name="Вывод 1 25 3 4" xfId="0"/>
    <cellStyle name="Вывод 1 25 4" xfId="0"/>
    <cellStyle name="Вывод 1 25 4 2" xfId="0"/>
    <cellStyle name="Вывод 1 25 4 3" xfId="0"/>
    <cellStyle name="Вывод 1 25 5" xfId="0"/>
    <cellStyle name="Вывод 1 25 6" xfId="0"/>
    <cellStyle name="Вывод 1 26" xfId="0"/>
    <cellStyle name="Вывод 1 26 2" xfId="0"/>
    <cellStyle name="Вывод 1 26 2 2" xfId="0"/>
    <cellStyle name="Вывод 1 26 2 2 2" xfId="0"/>
    <cellStyle name="Вывод 1 26 2 2 3" xfId="0"/>
    <cellStyle name="Вывод 1 26 2 3" xfId="0"/>
    <cellStyle name="Вывод 1 26 2 4" xfId="0"/>
    <cellStyle name="Вывод 1 26 3" xfId="0"/>
    <cellStyle name="Вывод 1 26 3 2" xfId="0"/>
    <cellStyle name="Вывод 1 26 3 3" xfId="0"/>
    <cellStyle name="Вывод 1 26 4" xfId="0"/>
    <cellStyle name="Вывод 1 26 5" xfId="0"/>
    <cellStyle name="Вывод 1 27" xfId="0"/>
    <cellStyle name="Вывод 1 27 2" xfId="0"/>
    <cellStyle name="Вывод 1 27 2 2" xfId="0"/>
    <cellStyle name="Вывод 1 27 2 2 2" xfId="0"/>
    <cellStyle name="Вывод 1 27 2 2 3" xfId="0"/>
    <cellStyle name="Вывод 1 27 2 3" xfId="0"/>
    <cellStyle name="Вывод 1 27 2 4" xfId="0"/>
    <cellStyle name="Вывод 1 27 3" xfId="0"/>
    <cellStyle name="Вывод 1 27 3 2" xfId="0"/>
    <cellStyle name="Вывод 1 27 3 3" xfId="0"/>
    <cellStyle name="Вывод 1 27 4" xfId="0"/>
    <cellStyle name="Вывод 1 27 5" xfId="0"/>
    <cellStyle name="Вывод 1 28" xfId="0"/>
    <cellStyle name="Вывод 1 28 2" xfId="0"/>
    <cellStyle name="Вывод 1 28 2 2" xfId="0"/>
    <cellStyle name="Вывод 1 28 2 2 2" xfId="0"/>
    <cellStyle name="Вывод 1 28 2 2 3" xfId="0"/>
    <cellStyle name="Вывод 1 28 2 3" xfId="0"/>
    <cellStyle name="Вывод 1 28 2 4" xfId="0"/>
    <cellStyle name="Вывод 1 28 3" xfId="0"/>
    <cellStyle name="Вывод 1 28 3 2" xfId="0"/>
    <cellStyle name="Вывод 1 28 3 3" xfId="0"/>
    <cellStyle name="Вывод 1 28 4" xfId="0"/>
    <cellStyle name="Вывод 1 28 5" xfId="0"/>
    <cellStyle name="Вывод 1 29" xfId="0"/>
    <cellStyle name="Вывод 1 29 2" xfId="0"/>
    <cellStyle name="Вывод 1 29 2 2" xfId="0"/>
    <cellStyle name="Вывод 1 29 2 3" xfId="0"/>
    <cellStyle name="Вывод 1 29 3" xfId="0"/>
    <cellStyle name="Вывод 1 29 4" xfId="0"/>
    <cellStyle name="Вывод 1 3" xfId="0"/>
    <cellStyle name="Вывод 1 3 10" xfId="0"/>
    <cellStyle name="Вывод 1 3 2" xfId="0"/>
    <cellStyle name="Вывод 1 3 2 2" xfId="0"/>
    <cellStyle name="Вывод 1 3 2 2 2" xfId="0"/>
    <cellStyle name="Вывод 1 3 2 2 2 2" xfId="0"/>
    <cellStyle name="Вывод 1 3 2 2 2 3" xfId="0"/>
    <cellStyle name="Вывод 1 3 2 2 3" xfId="0"/>
    <cellStyle name="Вывод 1 3 2 2 4" xfId="0"/>
    <cellStyle name="Вывод 1 3 2 3" xfId="0"/>
    <cellStyle name="Вывод 1 3 2 3 2" xfId="0"/>
    <cellStyle name="Вывод 1 3 2 3 2 2" xfId="0"/>
    <cellStyle name="Вывод 1 3 2 3 2 3" xfId="0"/>
    <cellStyle name="Вывод 1 3 2 3 3" xfId="0"/>
    <cellStyle name="Вывод 1 3 2 3 4" xfId="0"/>
    <cellStyle name="Вывод 1 3 2 4" xfId="0"/>
    <cellStyle name="Вывод 1 3 2 4 2" xfId="0"/>
    <cellStyle name="Вывод 1 3 2 4 3" xfId="0"/>
    <cellStyle name="Вывод 1 3 2 5" xfId="0"/>
    <cellStyle name="Вывод 1 3 2 6" xfId="0"/>
    <cellStyle name="Вывод 1 3 3" xfId="0"/>
    <cellStyle name="Вывод 1 3 3 2" xfId="0"/>
    <cellStyle name="Вывод 1 3 3 2 2" xfId="0"/>
    <cellStyle name="Вывод 1 3 3 2 2 2" xfId="0"/>
    <cellStyle name="Вывод 1 3 3 2 2 3" xfId="0"/>
    <cellStyle name="Вывод 1 3 3 2 3" xfId="0"/>
    <cellStyle name="Вывод 1 3 3 2 4" xfId="0"/>
    <cellStyle name="Вывод 1 3 3 3" xfId="0"/>
    <cellStyle name="Вывод 1 3 3 3 2" xfId="0"/>
    <cellStyle name="Вывод 1 3 3 3 2 2" xfId="0"/>
    <cellStyle name="Вывод 1 3 3 3 2 3" xfId="0"/>
    <cellStyle name="Вывод 1 3 3 3 3" xfId="0"/>
    <cellStyle name="Вывод 1 3 3 3 4" xfId="0"/>
    <cellStyle name="Вывод 1 3 3 4" xfId="0"/>
    <cellStyle name="Вывод 1 3 3 4 2" xfId="0"/>
    <cellStyle name="Вывод 1 3 3 4 3" xfId="0"/>
    <cellStyle name="Вывод 1 3 3 5" xfId="0"/>
    <cellStyle name="Вывод 1 3 3 6" xfId="0"/>
    <cellStyle name="Вывод 1 3 4" xfId="0"/>
    <cellStyle name="Вывод 1 3 4 2" xfId="0"/>
    <cellStyle name="Вывод 1 3 4 2 2" xfId="0"/>
    <cellStyle name="Вывод 1 3 4 2 2 2" xfId="0"/>
    <cellStyle name="Вывод 1 3 4 2 2 3" xfId="0"/>
    <cellStyle name="Вывод 1 3 4 2 3" xfId="0"/>
    <cellStyle name="Вывод 1 3 4 2 4" xfId="0"/>
    <cellStyle name="Вывод 1 3 4 3" xfId="0"/>
    <cellStyle name="Вывод 1 3 4 3 2" xfId="0"/>
    <cellStyle name="Вывод 1 3 4 3 2 2" xfId="0"/>
    <cellStyle name="Вывод 1 3 4 3 2 3" xfId="0"/>
    <cellStyle name="Вывод 1 3 4 3 3" xfId="0"/>
    <cellStyle name="Вывод 1 3 4 3 4" xfId="0"/>
    <cellStyle name="Вывод 1 3 4 4" xfId="0"/>
    <cellStyle name="Вывод 1 3 4 4 2" xfId="0"/>
    <cellStyle name="Вывод 1 3 4 4 3" xfId="0"/>
    <cellStyle name="Вывод 1 3 4 5" xfId="0"/>
    <cellStyle name="Вывод 1 3 4 6" xfId="0"/>
    <cellStyle name="Вывод 1 3 5" xfId="0"/>
    <cellStyle name="Вывод 1 3 5 2" xfId="0"/>
    <cellStyle name="Вывод 1 3 5 2 2" xfId="0"/>
    <cellStyle name="Вывод 1 3 5 2 2 2" xfId="0"/>
    <cellStyle name="Вывод 1 3 5 2 2 3" xfId="0"/>
    <cellStyle name="Вывод 1 3 5 2 3" xfId="0"/>
    <cellStyle name="Вывод 1 3 5 2 4" xfId="0"/>
    <cellStyle name="Вывод 1 3 5 3" xfId="0"/>
    <cellStyle name="Вывод 1 3 5 3 2" xfId="0"/>
    <cellStyle name="Вывод 1 3 5 3 2 2" xfId="0"/>
    <cellStyle name="Вывод 1 3 5 3 2 3" xfId="0"/>
    <cellStyle name="Вывод 1 3 5 3 3" xfId="0"/>
    <cellStyle name="Вывод 1 3 5 3 4" xfId="0"/>
    <cellStyle name="Вывод 1 3 5 4" xfId="0"/>
    <cellStyle name="Вывод 1 3 5 4 2" xfId="0"/>
    <cellStyle name="Вывод 1 3 5 4 3" xfId="0"/>
    <cellStyle name="Вывод 1 3 5 5" xfId="0"/>
    <cellStyle name="Вывод 1 3 5 6" xfId="0"/>
    <cellStyle name="Вывод 1 3 6" xfId="0"/>
    <cellStyle name="Вывод 1 3 6 2" xfId="0"/>
    <cellStyle name="Вывод 1 3 6 2 2" xfId="0"/>
    <cellStyle name="Вывод 1 3 6 2 2 2" xfId="0"/>
    <cellStyle name="Вывод 1 3 6 2 2 3" xfId="0"/>
    <cellStyle name="Вывод 1 3 6 2 3" xfId="0"/>
    <cellStyle name="Вывод 1 3 6 2 4" xfId="0"/>
    <cellStyle name="Вывод 1 3 6 3" xfId="0"/>
    <cellStyle name="Вывод 1 3 6 3 2" xfId="0"/>
    <cellStyle name="Вывод 1 3 6 3 3" xfId="0"/>
    <cellStyle name="Вывод 1 3 6 4" xfId="0"/>
    <cellStyle name="Вывод 1 3 6 5" xfId="0"/>
    <cellStyle name="Вывод 1 3 7" xfId="0"/>
    <cellStyle name="Вывод 1 3 7 2" xfId="0"/>
    <cellStyle name="Вывод 1 3 7 2 2" xfId="0"/>
    <cellStyle name="Вывод 1 3 7 2 2 2" xfId="0"/>
    <cellStyle name="Вывод 1 3 7 2 2 3" xfId="0"/>
    <cellStyle name="Вывод 1 3 7 2 3" xfId="0"/>
    <cellStyle name="Вывод 1 3 7 2 4" xfId="0"/>
    <cellStyle name="Вывод 1 3 7 3" xfId="0"/>
    <cellStyle name="Вывод 1 3 7 3 2" xfId="0"/>
    <cellStyle name="Вывод 1 3 7 3 3" xfId="0"/>
    <cellStyle name="Вывод 1 3 7 4" xfId="0"/>
    <cellStyle name="Вывод 1 3 7 5" xfId="0"/>
    <cellStyle name="Вывод 1 3 8" xfId="0"/>
    <cellStyle name="Вывод 1 3 8 2" xfId="0"/>
    <cellStyle name="Вывод 1 3 8 3" xfId="0"/>
    <cellStyle name="Вывод 1 3 9" xfId="0"/>
    <cellStyle name="Вывод 1 30" xfId="0"/>
    <cellStyle name="Вывод 1 30 2" xfId="0"/>
    <cellStyle name="Вывод 1 30 3" xfId="0"/>
    <cellStyle name="Вывод 1 31" xfId="0"/>
    <cellStyle name="Вывод 1 31 2" xfId="0"/>
    <cellStyle name="Вывод 1 31 3" xfId="0"/>
    <cellStyle name="Вывод 1 32" xfId="0"/>
    <cellStyle name="Вывод 1 32 2" xfId="0"/>
    <cellStyle name="Вывод 1 32 3" xfId="0"/>
    <cellStyle name="Вывод 1 33" xfId="0"/>
    <cellStyle name="Вывод 1 33 2" xfId="0"/>
    <cellStyle name="Вывод 1 33 3" xfId="0"/>
    <cellStyle name="Вывод 1 34" xfId="0"/>
    <cellStyle name="Вывод 1 4" xfId="0"/>
    <cellStyle name="Вывод 1 4 10" xfId="0"/>
    <cellStyle name="Вывод 1 4 2" xfId="0"/>
    <cellStyle name="Вывод 1 4 2 2" xfId="0"/>
    <cellStyle name="Вывод 1 4 2 2 2" xfId="0"/>
    <cellStyle name="Вывод 1 4 2 2 2 2" xfId="0"/>
    <cellStyle name="Вывод 1 4 2 2 2 3" xfId="0"/>
    <cellStyle name="Вывод 1 4 2 2 3" xfId="0"/>
    <cellStyle name="Вывод 1 4 2 2 4" xfId="0"/>
    <cellStyle name="Вывод 1 4 2 3" xfId="0"/>
    <cellStyle name="Вывод 1 4 2 3 2" xfId="0"/>
    <cellStyle name="Вывод 1 4 2 3 2 2" xfId="0"/>
    <cellStyle name="Вывод 1 4 2 3 2 3" xfId="0"/>
    <cellStyle name="Вывод 1 4 2 3 3" xfId="0"/>
    <cellStyle name="Вывод 1 4 2 3 4" xfId="0"/>
    <cellStyle name="Вывод 1 4 2 4" xfId="0"/>
    <cellStyle name="Вывод 1 4 2 4 2" xfId="0"/>
    <cellStyle name="Вывод 1 4 2 4 3" xfId="0"/>
    <cellStyle name="Вывод 1 4 2 5" xfId="0"/>
    <cellStyle name="Вывод 1 4 2 6" xfId="0"/>
    <cellStyle name="Вывод 1 4 3" xfId="0"/>
    <cellStyle name="Вывод 1 4 3 2" xfId="0"/>
    <cellStyle name="Вывод 1 4 3 2 2" xfId="0"/>
    <cellStyle name="Вывод 1 4 3 2 2 2" xfId="0"/>
    <cellStyle name="Вывод 1 4 3 2 2 3" xfId="0"/>
    <cellStyle name="Вывод 1 4 3 2 3" xfId="0"/>
    <cellStyle name="Вывод 1 4 3 2 4" xfId="0"/>
    <cellStyle name="Вывод 1 4 3 3" xfId="0"/>
    <cellStyle name="Вывод 1 4 3 3 2" xfId="0"/>
    <cellStyle name="Вывод 1 4 3 3 2 2" xfId="0"/>
    <cellStyle name="Вывод 1 4 3 3 2 3" xfId="0"/>
    <cellStyle name="Вывод 1 4 3 3 3" xfId="0"/>
    <cellStyle name="Вывод 1 4 3 3 4" xfId="0"/>
    <cellStyle name="Вывод 1 4 3 4" xfId="0"/>
    <cellStyle name="Вывод 1 4 3 4 2" xfId="0"/>
    <cellStyle name="Вывод 1 4 3 4 3" xfId="0"/>
    <cellStyle name="Вывод 1 4 3 5" xfId="0"/>
    <cellStyle name="Вывод 1 4 3 6" xfId="0"/>
    <cellStyle name="Вывод 1 4 4" xfId="0"/>
    <cellStyle name="Вывод 1 4 4 2" xfId="0"/>
    <cellStyle name="Вывод 1 4 4 2 2" xfId="0"/>
    <cellStyle name="Вывод 1 4 4 2 2 2" xfId="0"/>
    <cellStyle name="Вывод 1 4 4 2 2 3" xfId="0"/>
    <cellStyle name="Вывод 1 4 4 2 3" xfId="0"/>
    <cellStyle name="Вывод 1 4 4 2 4" xfId="0"/>
    <cellStyle name="Вывод 1 4 4 3" xfId="0"/>
    <cellStyle name="Вывод 1 4 4 3 2" xfId="0"/>
    <cellStyle name="Вывод 1 4 4 3 2 2" xfId="0"/>
    <cellStyle name="Вывод 1 4 4 3 2 3" xfId="0"/>
    <cellStyle name="Вывод 1 4 4 3 3" xfId="0"/>
    <cellStyle name="Вывод 1 4 4 3 4" xfId="0"/>
    <cellStyle name="Вывод 1 4 4 4" xfId="0"/>
    <cellStyle name="Вывод 1 4 4 4 2" xfId="0"/>
    <cellStyle name="Вывод 1 4 4 4 3" xfId="0"/>
    <cellStyle name="Вывод 1 4 4 5" xfId="0"/>
    <cellStyle name="Вывод 1 4 4 6" xfId="0"/>
    <cellStyle name="Вывод 1 4 5" xfId="0"/>
    <cellStyle name="Вывод 1 4 5 2" xfId="0"/>
    <cellStyle name="Вывод 1 4 5 2 2" xfId="0"/>
    <cellStyle name="Вывод 1 4 5 2 2 2" xfId="0"/>
    <cellStyle name="Вывод 1 4 5 2 2 3" xfId="0"/>
    <cellStyle name="Вывод 1 4 5 2 3" xfId="0"/>
    <cellStyle name="Вывод 1 4 5 2 4" xfId="0"/>
    <cellStyle name="Вывод 1 4 5 3" xfId="0"/>
    <cellStyle name="Вывод 1 4 5 3 2" xfId="0"/>
    <cellStyle name="Вывод 1 4 5 3 2 2" xfId="0"/>
    <cellStyle name="Вывод 1 4 5 3 2 3" xfId="0"/>
    <cellStyle name="Вывод 1 4 5 3 3" xfId="0"/>
    <cellStyle name="Вывод 1 4 5 3 4" xfId="0"/>
    <cellStyle name="Вывод 1 4 5 4" xfId="0"/>
    <cellStyle name="Вывод 1 4 5 4 2" xfId="0"/>
    <cellStyle name="Вывод 1 4 5 4 3" xfId="0"/>
    <cellStyle name="Вывод 1 4 5 5" xfId="0"/>
    <cellStyle name="Вывод 1 4 5 6" xfId="0"/>
    <cellStyle name="Вывод 1 4 6" xfId="0"/>
    <cellStyle name="Вывод 1 4 6 2" xfId="0"/>
    <cellStyle name="Вывод 1 4 6 2 2" xfId="0"/>
    <cellStyle name="Вывод 1 4 6 2 2 2" xfId="0"/>
    <cellStyle name="Вывод 1 4 6 2 2 3" xfId="0"/>
    <cellStyle name="Вывод 1 4 6 2 3" xfId="0"/>
    <cellStyle name="Вывод 1 4 6 2 4" xfId="0"/>
    <cellStyle name="Вывод 1 4 6 3" xfId="0"/>
    <cellStyle name="Вывод 1 4 6 3 2" xfId="0"/>
    <cellStyle name="Вывод 1 4 6 3 3" xfId="0"/>
    <cellStyle name="Вывод 1 4 6 4" xfId="0"/>
    <cellStyle name="Вывод 1 4 6 5" xfId="0"/>
    <cellStyle name="Вывод 1 4 7" xfId="0"/>
    <cellStyle name="Вывод 1 4 7 2" xfId="0"/>
    <cellStyle name="Вывод 1 4 7 2 2" xfId="0"/>
    <cellStyle name="Вывод 1 4 7 2 2 2" xfId="0"/>
    <cellStyle name="Вывод 1 4 7 2 2 3" xfId="0"/>
    <cellStyle name="Вывод 1 4 7 2 3" xfId="0"/>
    <cellStyle name="Вывод 1 4 7 2 4" xfId="0"/>
    <cellStyle name="Вывод 1 4 7 3" xfId="0"/>
    <cellStyle name="Вывод 1 4 7 3 2" xfId="0"/>
    <cellStyle name="Вывод 1 4 7 3 3" xfId="0"/>
    <cellStyle name="Вывод 1 4 7 4" xfId="0"/>
    <cellStyle name="Вывод 1 4 7 5" xfId="0"/>
    <cellStyle name="Вывод 1 4 8" xfId="0"/>
    <cellStyle name="Вывод 1 4 8 2" xfId="0"/>
    <cellStyle name="Вывод 1 4 8 3" xfId="0"/>
    <cellStyle name="Вывод 1 4 9" xfId="0"/>
    <cellStyle name="Вывод 1 5" xfId="0"/>
    <cellStyle name="Вывод 1 5 2" xfId="0"/>
    <cellStyle name="Вывод 1 5 2 2" xfId="0"/>
    <cellStyle name="Вывод 1 5 2 2 2" xfId="0"/>
    <cellStyle name="Вывод 1 5 2 2 2 2" xfId="0"/>
    <cellStyle name="Вывод 1 5 2 2 2 3" xfId="0"/>
    <cellStyle name="Вывод 1 5 2 2 3" xfId="0"/>
    <cellStyle name="Вывод 1 5 2 2 4" xfId="0"/>
    <cellStyle name="Вывод 1 5 2 3" xfId="0"/>
    <cellStyle name="Вывод 1 5 2 3 2" xfId="0"/>
    <cellStyle name="Вывод 1 5 2 3 2 2" xfId="0"/>
    <cellStyle name="Вывод 1 5 2 3 2 3" xfId="0"/>
    <cellStyle name="Вывод 1 5 2 3 3" xfId="0"/>
    <cellStyle name="Вывод 1 5 2 3 4" xfId="0"/>
    <cellStyle name="Вывод 1 5 2 4" xfId="0"/>
    <cellStyle name="Вывод 1 5 2 4 2" xfId="0"/>
    <cellStyle name="Вывод 1 5 2 4 3" xfId="0"/>
    <cellStyle name="Вывод 1 5 2 5" xfId="0"/>
    <cellStyle name="Вывод 1 5 2 6" xfId="0"/>
    <cellStyle name="Вывод 1 5 3" xfId="0"/>
    <cellStyle name="Вывод 1 5 3 2" xfId="0"/>
    <cellStyle name="Вывод 1 5 3 2 2" xfId="0"/>
    <cellStyle name="Вывод 1 5 3 2 2 2" xfId="0"/>
    <cellStyle name="Вывод 1 5 3 2 2 3" xfId="0"/>
    <cellStyle name="Вывод 1 5 3 2 3" xfId="0"/>
    <cellStyle name="Вывод 1 5 3 2 4" xfId="0"/>
    <cellStyle name="Вывод 1 5 3 3" xfId="0"/>
    <cellStyle name="Вывод 1 5 3 3 2" xfId="0"/>
    <cellStyle name="Вывод 1 5 3 3 3" xfId="0"/>
    <cellStyle name="Вывод 1 5 3 4" xfId="0"/>
    <cellStyle name="Вывод 1 5 3 5" xfId="0"/>
    <cellStyle name="Вывод 1 5 4" xfId="0"/>
    <cellStyle name="Вывод 1 5 4 2" xfId="0"/>
    <cellStyle name="Вывод 1 5 4 2 2" xfId="0"/>
    <cellStyle name="Вывод 1 5 4 2 2 2" xfId="0"/>
    <cellStyle name="Вывод 1 5 4 2 2 3" xfId="0"/>
    <cellStyle name="Вывод 1 5 4 2 3" xfId="0"/>
    <cellStyle name="Вывод 1 5 4 2 4" xfId="0"/>
    <cellStyle name="Вывод 1 5 4 3" xfId="0"/>
    <cellStyle name="Вывод 1 5 4 3 2" xfId="0"/>
    <cellStyle name="Вывод 1 5 4 3 3" xfId="0"/>
    <cellStyle name="Вывод 1 5 4 4" xfId="0"/>
    <cellStyle name="Вывод 1 5 4 5" xfId="0"/>
    <cellStyle name="Вывод 1 5 5" xfId="0"/>
    <cellStyle name="Вывод 1 5 5 2" xfId="0"/>
    <cellStyle name="Вывод 1 5 5 3" xfId="0"/>
    <cellStyle name="Вывод 1 5 6" xfId="0"/>
    <cellStyle name="Вывод 1 5 7" xfId="0"/>
    <cellStyle name="Вывод 1 6" xfId="0"/>
    <cellStyle name="Вывод 1 6 2" xfId="0"/>
    <cellStyle name="Вывод 1 6 2 2" xfId="0"/>
    <cellStyle name="Вывод 1 6 2 2 2" xfId="0"/>
    <cellStyle name="Вывод 1 6 2 2 2 2" xfId="0"/>
    <cellStyle name="Вывод 1 6 2 2 2 3" xfId="0"/>
    <cellStyle name="Вывод 1 6 2 2 3" xfId="0"/>
    <cellStyle name="Вывод 1 6 2 2 4" xfId="0"/>
    <cellStyle name="Вывод 1 6 2 3" xfId="0"/>
    <cellStyle name="Вывод 1 6 2 3 2" xfId="0"/>
    <cellStyle name="Вывод 1 6 2 3 2 2" xfId="0"/>
    <cellStyle name="Вывод 1 6 2 3 2 3" xfId="0"/>
    <cellStyle name="Вывод 1 6 2 3 3" xfId="0"/>
    <cellStyle name="Вывод 1 6 2 3 4" xfId="0"/>
    <cellStyle name="Вывод 1 6 2 4" xfId="0"/>
    <cellStyle name="Вывод 1 6 2 4 2" xfId="0"/>
    <cellStyle name="Вывод 1 6 2 4 3" xfId="0"/>
    <cellStyle name="Вывод 1 6 2 5" xfId="0"/>
    <cellStyle name="Вывод 1 6 2 6" xfId="0"/>
    <cellStyle name="Вывод 1 6 3" xfId="0"/>
    <cellStyle name="Вывод 1 6 3 2" xfId="0"/>
    <cellStyle name="Вывод 1 6 3 2 2" xfId="0"/>
    <cellStyle name="Вывод 1 6 3 2 2 2" xfId="0"/>
    <cellStyle name="Вывод 1 6 3 2 2 3" xfId="0"/>
    <cellStyle name="Вывод 1 6 3 2 3" xfId="0"/>
    <cellStyle name="Вывод 1 6 3 2 4" xfId="0"/>
    <cellStyle name="Вывод 1 6 3 3" xfId="0"/>
    <cellStyle name="Вывод 1 6 3 3 2" xfId="0"/>
    <cellStyle name="Вывод 1 6 3 3 3" xfId="0"/>
    <cellStyle name="Вывод 1 6 3 4" xfId="0"/>
    <cellStyle name="Вывод 1 6 3 5" xfId="0"/>
    <cellStyle name="Вывод 1 6 4" xfId="0"/>
    <cellStyle name="Вывод 1 6 4 2" xfId="0"/>
    <cellStyle name="Вывод 1 6 4 2 2" xfId="0"/>
    <cellStyle name="Вывод 1 6 4 2 2 2" xfId="0"/>
    <cellStyle name="Вывод 1 6 4 2 2 3" xfId="0"/>
    <cellStyle name="Вывод 1 6 4 2 3" xfId="0"/>
    <cellStyle name="Вывод 1 6 4 2 4" xfId="0"/>
    <cellStyle name="Вывод 1 6 4 3" xfId="0"/>
    <cellStyle name="Вывод 1 6 4 3 2" xfId="0"/>
    <cellStyle name="Вывод 1 6 4 3 3" xfId="0"/>
    <cellStyle name="Вывод 1 6 4 4" xfId="0"/>
    <cellStyle name="Вывод 1 6 4 5" xfId="0"/>
    <cellStyle name="Вывод 1 6 5" xfId="0"/>
    <cellStyle name="Вывод 1 6 5 2" xfId="0"/>
    <cellStyle name="Вывод 1 6 5 3" xfId="0"/>
    <cellStyle name="Вывод 1 6 6" xfId="0"/>
    <cellStyle name="Вывод 1 6 7" xfId="0"/>
    <cellStyle name="Вывод 1 7" xfId="0"/>
    <cellStyle name="Вывод 1 7 2" xfId="0"/>
    <cellStyle name="Вывод 1 7 2 2" xfId="0"/>
    <cellStyle name="Вывод 1 7 2 2 2" xfId="0"/>
    <cellStyle name="Вывод 1 7 2 2 2 2" xfId="0"/>
    <cellStyle name="Вывод 1 7 2 2 2 3" xfId="0"/>
    <cellStyle name="Вывод 1 7 2 2 3" xfId="0"/>
    <cellStyle name="Вывод 1 7 2 2 4" xfId="0"/>
    <cellStyle name="Вывод 1 7 2 3" xfId="0"/>
    <cellStyle name="Вывод 1 7 2 3 2" xfId="0"/>
    <cellStyle name="Вывод 1 7 2 3 2 2" xfId="0"/>
    <cellStyle name="Вывод 1 7 2 3 2 3" xfId="0"/>
    <cellStyle name="Вывод 1 7 2 3 3" xfId="0"/>
    <cellStyle name="Вывод 1 7 2 3 4" xfId="0"/>
    <cellStyle name="Вывод 1 7 2 4" xfId="0"/>
    <cellStyle name="Вывод 1 7 2 4 2" xfId="0"/>
    <cellStyle name="Вывод 1 7 2 4 3" xfId="0"/>
    <cellStyle name="Вывод 1 7 2 5" xfId="0"/>
    <cellStyle name="Вывод 1 7 2 6" xfId="0"/>
    <cellStyle name="Вывод 1 7 3" xfId="0"/>
    <cellStyle name="Вывод 1 7 3 2" xfId="0"/>
    <cellStyle name="Вывод 1 7 3 2 2" xfId="0"/>
    <cellStyle name="Вывод 1 7 3 2 2 2" xfId="0"/>
    <cellStyle name="Вывод 1 7 3 2 2 3" xfId="0"/>
    <cellStyle name="Вывод 1 7 3 2 3" xfId="0"/>
    <cellStyle name="Вывод 1 7 3 2 4" xfId="0"/>
    <cellStyle name="Вывод 1 7 3 3" xfId="0"/>
    <cellStyle name="Вывод 1 7 3 3 2" xfId="0"/>
    <cellStyle name="Вывод 1 7 3 3 3" xfId="0"/>
    <cellStyle name="Вывод 1 7 3 4" xfId="0"/>
    <cellStyle name="Вывод 1 7 3 5" xfId="0"/>
    <cellStyle name="Вывод 1 7 4" xfId="0"/>
    <cellStyle name="Вывод 1 7 4 2" xfId="0"/>
    <cellStyle name="Вывод 1 7 4 2 2" xfId="0"/>
    <cellStyle name="Вывод 1 7 4 2 2 2" xfId="0"/>
    <cellStyle name="Вывод 1 7 4 2 2 3" xfId="0"/>
    <cellStyle name="Вывод 1 7 4 2 3" xfId="0"/>
    <cellStyle name="Вывод 1 7 4 2 4" xfId="0"/>
    <cellStyle name="Вывод 1 7 4 3" xfId="0"/>
    <cellStyle name="Вывод 1 7 4 3 2" xfId="0"/>
    <cellStyle name="Вывод 1 7 4 3 3" xfId="0"/>
    <cellStyle name="Вывод 1 7 4 4" xfId="0"/>
    <cellStyle name="Вывод 1 7 4 5" xfId="0"/>
    <cellStyle name="Вывод 1 7 5" xfId="0"/>
    <cellStyle name="Вывод 1 7 5 2" xfId="0"/>
    <cellStyle name="Вывод 1 7 5 3" xfId="0"/>
    <cellStyle name="Вывод 1 7 6" xfId="0"/>
    <cellStyle name="Вывод 1 7 7" xfId="0"/>
    <cellStyle name="Вывод 1 8" xfId="0"/>
    <cellStyle name="Вывод 1 8 2" xfId="0"/>
    <cellStyle name="Вывод 1 8 2 2" xfId="0"/>
    <cellStyle name="Вывод 1 8 2 2 2" xfId="0"/>
    <cellStyle name="Вывод 1 8 2 2 2 2" xfId="0"/>
    <cellStyle name="Вывод 1 8 2 2 2 3" xfId="0"/>
    <cellStyle name="Вывод 1 8 2 2 3" xfId="0"/>
    <cellStyle name="Вывод 1 8 2 2 4" xfId="0"/>
    <cellStyle name="Вывод 1 8 2 3" xfId="0"/>
    <cellStyle name="Вывод 1 8 2 3 2" xfId="0"/>
    <cellStyle name="Вывод 1 8 2 3 2 2" xfId="0"/>
    <cellStyle name="Вывод 1 8 2 3 2 3" xfId="0"/>
    <cellStyle name="Вывод 1 8 2 3 3" xfId="0"/>
    <cellStyle name="Вывод 1 8 2 3 4" xfId="0"/>
    <cellStyle name="Вывод 1 8 2 4" xfId="0"/>
    <cellStyle name="Вывод 1 8 2 4 2" xfId="0"/>
    <cellStyle name="Вывод 1 8 2 4 3" xfId="0"/>
    <cellStyle name="Вывод 1 8 2 5" xfId="0"/>
    <cellStyle name="Вывод 1 8 2 6" xfId="0"/>
    <cellStyle name="Вывод 1 8 3" xfId="0"/>
    <cellStyle name="Вывод 1 8 3 2" xfId="0"/>
    <cellStyle name="Вывод 1 8 3 2 2" xfId="0"/>
    <cellStyle name="Вывод 1 8 3 2 2 2" xfId="0"/>
    <cellStyle name="Вывод 1 8 3 2 2 3" xfId="0"/>
    <cellStyle name="Вывод 1 8 3 2 3" xfId="0"/>
    <cellStyle name="Вывод 1 8 3 2 4" xfId="0"/>
    <cellStyle name="Вывод 1 8 3 3" xfId="0"/>
    <cellStyle name="Вывод 1 8 3 3 2" xfId="0"/>
    <cellStyle name="Вывод 1 8 3 3 3" xfId="0"/>
    <cellStyle name="Вывод 1 8 3 4" xfId="0"/>
    <cellStyle name="Вывод 1 8 3 5" xfId="0"/>
    <cellStyle name="Вывод 1 8 4" xfId="0"/>
    <cellStyle name="Вывод 1 8 4 2" xfId="0"/>
    <cellStyle name="Вывод 1 8 4 2 2" xfId="0"/>
    <cellStyle name="Вывод 1 8 4 2 2 2" xfId="0"/>
    <cellStyle name="Вывод 1 8 4 2 2 3" xfId="0"/>
    <cellStyle name="Вывод 1 8 4 2 3" xfId="0"/>
    <cellStyle name="Вывод 1 8 4 2 4" xfId="0"/>
    <cellStyle name="Вывод 1 8 4 3" xfId="0"/>
    <cellStyle name="Вывод 1 8 4 3 2" xfId="0"/>
    <cellStyle name="Вывод 1 8 4 3 3" xfId="0"/>
    <cellStyle name="Вывод 1 8 4 4" xfId="0"/>
    <cellStyle name="Вывод 1 8 4 5" xfId="0"/>
    <cellStyle name="Вывод 1 8 5" xfId="0"/>
    <cellStyle name="Вывод 1 8 5 2" xfId="0"/>
    <cellStyle name="Вывод 1 8 5 3" xfId="0"/>
    <cellStyle name="Вывод 1 8 6" xfId="0"/>
    <cellStyle name="Вывод 1 8 7" xfId="0"/>
    <cellStyle name="Вывод 1 9" xfId="0"/>
    <cellStyle name="Вывод 1 9 2" xfId="0"/>
    <cellStyle name="Вывод 1 9 2 2" xfId="0"/>
    <cellStyle name="Вывод 1 9 2 2 2" xfId="0"/>
    <cellStyle name="Вывод 1 9 2 2 2 2" xfId="0"/>
    <cellStyle name="Вывод 1 9 2 2 2 3" xfId="0"/>
    <cellStyle name="Вывод 1 9 2 2 3" xfId="0"/>
    <cellStyle name="Вывод 1 9 2 2 4" xfId="0"/>
    <cellStyle name="Вывод 1 9 2 3" xfId="0"/>
    <cellStyle name="Вывод 1 9 2 3 2" xfId="0"/>
    <cellStyle name="Вывод 1 9 2 3 2 2" xfId="0"/>
    <cellStyle name="Вывод 1 9 2 3 2 3" xfId="0"/>
    <cellStyle name="Вывод 1 9 2 3 3" xfId="0"/>
    <cellStyle name="Вывод 1 9 2 3 4" xfId="0"/>
    <cellStyle name="Вывод 1 9 2 4" xfId="0"/>
    <cellStyle name="Вывод 1 9 2 4 2" xfId="0"/>
    <cellStyle name="Вывод 1 9 2 4 3" xfId="0"/>
    <cellStyle name="Вывод 1 9 2 5" xfId="0"/>
    <cellStyle name="Вывод 1 9 2 6" xfId="0"/>
    <cellStyle name="Вывод 1 9 3" xfId="0"/>
    <cellStyle name="Вывод 1 9 3 2" xfId="0"/>
    <cellStyle name="Вывод 1 9 3 2 2" xfId="0"/>
    <cellStyle name="Вывод 1 9 3 2 2 2" xfId="0"/>
    <cellStyle name="Вывод 1 9 3 2 2 3" xfId="0"/>
    <cellStyle name="Вывод 1 9 3 2 3" xfId="0"/>
    <cellStyle name="Вывод 1 9 3 2 4" xfId="0"/>
    <cellStyle name="Вывод 1 9 3 3" xfId="0"/>
    <cellStyle name="Вывод 1 9 3 3 2" xfId="0"/>
    <cellStyle name="Вывод 1 9 3 3 3" xfId="0"/>
    <cellStyle name="Вывод 1 9 3 4" xfId="0"/>
    <cellStyle name="Вывод 1 9 3 5" xfId="0"/>
    <cellStyle name="Вывод 1 9 4" xfId="0"/>
    <cellStyle name="Вывод 1 9 4 2" xfId="0"/>
    <cellStyle name="Вывод 1 9 4 2 2" xfId="0"/>
    <cellStyle name="Вывод 1 9 4 2 2 2" xfId="0"/>
    <cellStyle name="Вывод 1 9 4 2 2 3" xfId="0"/>
    <cellStyle name="Вывод 1 9 4 2 3" xfId="0"/>
    <cellStyle name="Вывод 1 9 4 2 4" xfId="0"/>
    <cellStyle name="Вывод 1 9 4 3" xfId="0"/>
    <cellStyle name="Вывод 1 9 4 3 2" xfId="0"/>
    <cellStyle name="Вывод 1 9 4 3 3" xfId="0"/>
    <cellStyle name="Вывод 1 9 4 4" xfId="0"/>
    <cellStyle name="Вывод 1 9 4 5" xfId="0"/>
    <cellStyle name="Вывод 1 9 5" xfId="0"/>
    <cellStyle name="Вывод 1 9 5 2" xfId="0"/>
    <cellStyle name="Вывод 1 9 5 3" xfId="0"/>
    <cellStyle name="Вывод 1 9 6" xfId="0"/>
    <cellStyle name="Вывод 1 9 7" xfId="0"/>
    <cellStyle name="Вывод 2" xfId="0"/>
    <cellStyle name="Вывод 2 10" xfId="0"/>
    <cellStyle name="Вывод 2 10 2" xfId="0"/>
    <cellStyle name="Вывод 2 10 2 2" xfId="0"/>
    <cellStyle name="Вывод 2 10 2 2 2" xfId="0"/>
    <cellStyle name="Вывод 2 10 2 2 2 2" xfId="0"/>
    <cellStyle name="Вывод 2 10 2 2 2 3" xfId="0"/>
    <cellStyle name="Вывод 2 10 2 2 3" xfId="0"/>
    <cellStyle name="Вывод 2 10 2 2 4" xfId="0"/>
    <cellStyle name="Вывод 2 10 2 3" xfId="0"/>
    <cellStyle name="Вывод 2 10 2 3 2" xfId="0"/>
    <cellStyle name="Вывод 2 10 2 3 2 2" xfId="0"/>
    <cellStyle name="Вывод 2 10 2 3 2 3" xfId="0"/>
    <cellStyle name="Вывод 2 10 2 3 3" xfId="0"/>
    <cellStyle name="Вывод 2 10 2 3 4" xfId="0"/>
    <cellStyle name="Вывод 2 10 2 4" xfId="0"/>
    <cellStyle name="Вывод 2 10 2 4 2" xfId="0"/>
    <cellStyle name="Вывод 2 10 2 4 3" xfId="0"/>
    <cellStyle name="Вывод 2 10 2 5" xfId="0"/>
    <cellStyle name="Вывод 2 10 2 6" xfId="0"/>
    <cellStyle name="Вывод 2 10 3" xfId="0"/>
    <cellStyle name="Вывод 2 10 3 2" xfId="0"/>
    <cellStyle name="Вывод 2 10 3 2 2" xfId="0"/>
    <cellStyle name="Вывод 2 10 3 2 2 2" xfId="0"/>
    <cellStyle name="Вывод 2 10 3 2 2 3" xfId="0"/>
    <cellStyle name="Вывод 2 10 3 2 3" xfId="0"/>
    <cellStyle name="Вывод 2 10 3 2 4" xfId="0"/>
    <cellStyle name="Вывод 2 10 3 3" xfId="0"/>
    <cellStyle name="Вывод 2 10 3 3 2" xfId="0"/>
    <cellStyle name="Вывод 2 10 3 3 3" xfId="0"/>
    <cellStyle name="Вывод 2 10 3 4" xfId="0"/>
    <cellStyle name="Вывод 2 10 3 5" xfId="0"/>
    <cellStyle name="Вывод 2 10 4" xfId="0"/>
    <cellStyle name="Вывод 2 10 4 2" xfId="0"/>
    <cellStyle name="Вывод 2 10 4 2 2" xfId="0"/>
    <cellStyle name="Вывод 2 10 4 2 2 2" xfId="0"/>
    <cellStyle name="Вывод 2 10 4 2 2 3" xfId="0"/>
    <cellStyle name="Вывод 2 10 4 2 3" xfId="0"/>
    <cellStyle name="Вывод 2 10 4 2 4" xfId="0"/>
    <cellStyle name="Вывод 2 10 4 3" xfId="0"/>
    <cellStyle name="Вывод 2 10 4 3 2" xfId="0"/>
    <cellStyle name="Вывод 2 10 4 3 3" xfId="0"/>
    <cellStyle name="Вывод 2 10 4 4" xfId="0"/>
    <cellStyle name="Вывод 2 10 4 5" xfId="0"/>
    <cellStyle name="Вывод 2 10 5" xfId="0"/>
    <cellStyle name="Вывод 2 10 5 2" xfId="0"/>
    <cellStyle name="Вывод 2 10 5 3" xfId="0"/>
    <cellStyle name="Вывод 2 10 6" xfId="0"/>
    <cellStyle name="Вывод 2 10 7" xfId="0"/>
    <cellStyle name="Вывод 2 11" xfId="0"/>
    <cellStyle name="Вывод 2 11 2" xfId="0"/>
    <cellStyle name="Вывод 2 11 2 2" xfId="0"/>
    <cellStyle name="Вывод 2 11 2 2 2" xfId="0"/>
    <cellStyle name="Вывод 2 11 2 2 2 2" xfId="0"/>
    <cellStyle name="Вывод 2 11 2 2 2 3" xfId="0"/>
    <cellStyle name="Вывод 2 11 2 2 3" xfId="0"/>
    <cellStyle name="Вывод 2 11 2 2 4" xfId="0"/>
    <cellStyle name="Вывод 2 11 2 3" xfId="0"/>
    <cellStyle name="Вывод 2 11 2 3 2" xfId="0"/>
    <cellStyle name="Вывод 2 11 2 3 2 2" xfId="0"/>
    <cellStyle name="Вывод 2 11 2 3 2 3" xfId="0"/>
    <cellStyle name="Вывод 2 11 2 3 3" xfId="0"/>
    <cellStyle name="Вывод 2 11 2 3 4" xfId="0"/>
    <cellStyle name="Вывод 2 11 2 4" xfId="0"/>
    <cellStyle name="Вывод 2 11 2 4 2" xfId="0"/>
    <cellStyle name="Вывод 2 11 2 4 3" xfId="0"/>
    <cellStyle name="Вывод 2 11 2 5" xfId="0"/>
    <cellStyle name="Вывод 2 11 2 6" xfId="0"/>
    <cellStyle name="Вывод 2 11 3" xfId="0"/>
    <cellStyle name="Вывод 2 11 3 2" xfId="0"/>
    <cellStyle name="Вывод 2 11 3 2 2" xfId="0"/>
    <cellStyle name="Вывод 2 11 3 2 2 2" xfId="0"/>
    <cellStyle name="Вывод 2 11 3 2 2 3" xfId="0"/>
    <cellStyle name="Вывод 2 11 3 2 3" xfId="0"/>
    <cellStyle name="Вывод 2 11 3 2 4" xfId="0"/>
    <cellStyle name="Вывод 2 11 3 3" xfId="0"/>
    <cellStyle name="Вывод 2 11 3 3 2" xfId="0"/>
    <cellStyle name="Вывод 2 11 3 3 3" xfId="0"/>
    <cellStyle name="Вывод 2 11 3 4" xfId="0"/>
    <cellStyle name="Вывод 2 11 3 5" xfId="0"/>
    <cellStyle name="Вывод 2 11 4" xfId="0"/>
    <cellStyle name="Вывод 2 11 4 2" xfId="0"/>
    <cellStyle name="Вывод 2 11 4 2 2" xfId="0"/>
    <cellStyle name="Вывод 2 11 4 2 2 2" xfId="0"/>
    <cellStyle name="Вывод 2 11 4 2 2 3" xfId="0"/>
    <cellStyle name="Вывод 2 11 4 2 3" xfId="0"/>
    <cellStyle name="Вывод 2 11 4 2 4" xfId="0"/>
    <cellStyle name="Вывод 2 11 4 3" xfId="0"/>
    <cellStyle name="Вывод 2 11 4 3 2" xfId="0"/>
    <cellStyle name="Вывод 2 11 4 3 3" xfId="0"/>
    <cellStyle name="Вывод 2 11 4 4" xfId="0"/>
    <cellStyle name="Вывод 2 11 4 5" xfId="0"/>
    <cellStyle name="Вывод 2 11 5" xfId="0"/>
    <cellStyle name="Вывод 2 11 5 2" xfId="0"/>
    <cellStyle name="Вывод 2 11 5 3" xfId="0"/>
    <cellStyle name="Вывод 2 11 6" xfId="0"/>
    <cellStyle name="Вывод 2 11 7" xfId="0"/>
    <cellStyle name="Вывод 2 12" xfId="0"/>
    <cellStyle name="Вывод 2 12 2" xfId="0"/>
    <cellStyle name="Вывод 2 12 2 2" xfId="0"/>
    <cellStyle name="Вывод 2 12 2 2 2" xfId="0"/>
    <cellStyle name="Вывод 2 12 2 2 2 2" xfId="0"/>
    <cellStyle name="Вывод 2 12 2 2 2 3" xfId="0"/>
    <cellStyle name="Вывод 2 12 2 2 3" xfId="0"/>
    <cellStyle name="Вывод 2 12 2 2 4" xfId="0"/>
    <cellStyle name="Вывод 2 12 2 3" xfId="0"/>
    <cellStyle name="Вывод 2 12 2 3 2" xfId="0"/>
    <cellStyle name="Вывод 2 12 2 3 2 2" xfId="0"/>
    <cellStyle name="Вывод 2 12 2 3 2 3" xfId="0"/>
    <cellStyle name="Вывод 2 12 2 3 3" xfId="0"/>
    <cellStyle name="Вывод 2 12 2 3 4" xfId="0"/>
    <cellStyle name="Вывод 2 12 2 4" xfId="0"/>
    <cellStyle name="Вывод 2 12 2 4 2" xfId="0"/>
    <cellStyle name="Вывод 2 12 2 4 3" xfId="0"/>
    <cellStyle name="Вывод 2 12 2 5" xfId="0"/>
    <cellStyle name="Вывод 2 12 2 6" xfId="0"/>
    <cellStyle name="Вывод 2 12 3" xfId="0"/>
    <cellStyle name="Вывод 2 12 3 2" xfId="0"/>
    <cellStyle name="Вывод 2 12 3 2 2" xfId="0"/>
    <cellStyle name="Вывод 2 12 3 2 2 2" xfId="0"/>
    <cellStyle name="Вывод 2 12 3 2 2 3" xfId="0"/>
    <cellStyle name="Вывод 2 12 3 2 3" xfId="0"/>
    <cellStyle name="Вывод 2 12 3 2 4" xfId="0"/>
    <cellStyle name="Вывод 2 12 3 3" xfId="0"/>
    <cellStyle name="Вывод 2 12 3 3 2" xfId="0"/>
    <cellStyle name="Вывод 2 12 3 3 3" xfId="0"/>
    <cellStyle name="Вывод 2 12 3 4" xfId="0"/>
    <cellStyle name="Вывод 2 12 3 5" xfId="0"/>
    <cellStyle name="Вывод 2 12 4" xfId="0"/>
    <cellStyle name="Вывод 2 12 4 2" xfId="0"/>
    <cellStyle name="Вывод 2 12 4 2 2" xfId="0"/>
    <cellStyle name="Вывод 2 12 4 2 2 2" xfId="0"/>
    <cellStyle name="Вывод 2 12 4 2 2 3" xfId="0"/>
    <cellStyle name="Вывод 2 12 4 2 3" xfId="0"/>
    <cellStyle name="Вывод 2 12 4 2 4" xfId="0"/>
    <cellStyle name="Вывод 2 12 4 3" xfId="0"/>
    <cellStyle name="Вывод 2 12 4 3 2" xfId="0"/>
    <cellStyle name="Вывод 2 12 4 3 3" xfId="0"/>
    <cellStyle name="Вывод 2 12 4 4" xfId="0"/>
    <cellStyle name="Вывод 2 12 4 5" xfId="0"/>
    <cellStyle name="Вывод 2 12 5" xfId="0"/>
    <cellStyle name="Вывод 2 12 5 2" xfId="0"/>
    <cellStyle name="Вывод 2 12 5 3" xfId="0"/>
    <cellStyle name="Вывод 2 12 6" xfId="0"/>
    <cellStyle name="Вывод 2 12 7" xfId="0"/>
    <cellStyle name="Вывод 2 13" xfId="0"/>
    <cellStyle name="Вывод 2 13 2" xfId="0"/>
    <cellStyle name="Вывод 2 13 2 2" xfId="0"/>
    <cellStyle name="Вывод 2 13 2 2 2" xfId="0"/>
    <cellStyle name="Вывод 2 13 2 2 2 2" xfId="0"/>
    <cellStyle name="Вывод 2 13 2 2 2 3" xfId="0"/>
    <cellStyle name="Вывод 2 13 2 2 3" xfId="0"/>
    <cellStyle name="Вывод 2 13 2 2 4" xfId="0"/>
    <cellStyle name="Вывод 2 13 2 3" xfId="0"/>
    <cellStyle name="Вывод 2 13 2 3 2" xfId="0"/>
    <cellStyle name="Вывод 2 13 2 3 2 2" xfId="0"/>
    <cellStyle name="Вывод 2 13 2 3 2 3" xfId="0"/>
    <cellStyle name="Вывод 2 13 2 3 3" xfId="0"/>
    <cellStyle name="Вывод 2 13 2 3 4" xfId="0"/>
    <cellStyle name="Вывод 2 13 2 4" xfId="0"/>
    <cellStyle name="Вывод 2 13 2 4 2" xfId="0"/>
    <cellStyle name="Вывод 2 13 2 4 3" xfId="0"/>
    <cellStyle name="Вывод 2 13 2 5" xfId="0"/>
    <cellStyle name="Вывод 2 13 2 6" xfId="0"/>
    <cellStyle name="Вывод 2 13 3" xfId="0"/>
    <cellStyle name="Вывод 2 13 3 2" xfId="0"/>
    <cellStyle name="Вывод 2 13 3 2 2" xfId="0"/>
    <cellStyle name="Вывод 2 13 3 2 2 2" xfId="0"/>
    <cellStyle name="Вывод 2 13 3 2 2 3" xfId="0"/>
    <cellStyle name="Вывод 2 13 3 2 3" xfId="0"/>
    <cellStyle name="Вывод 2 13 3 2 4" xfId="0"/>
    <cellStyle name="Вывод 2 13 3 3" xfId="0"/>
    <cellStyle name="Вывод 2 13 3 3 2" xfId="0"/>
    <cellStyle name="Вывод 2 13 3 3 3" xfId="0"/>
    <cellStyle name="Вывод 2 13 3 4" xfId="0"/>
    <cellStyle name="Вывод 2 13 3 5" xfId="0"/>
    <cellStyle name="Вывод 2 13 4" xfId="0"/>
    <cellStyle name="Вывод 2 13 4 2" xfId="0"/>
    <cellStyle name="Вывод 2 13 4 2 2" xfId="0"/>
    <cellStyle name="Вывод 2 13 4 2 2 2" xfId="0"/>
    <cellStyle name="Вывод 2 13 4 2 2 3" xfId="0"/>
    <cellStyle name="Вывод 2 13 4 2 3" xfId="0"/>
    <cellStyle name="Вывод 2 13 4 2 4" xfId="0"/>
    <cellStyle name="Вывод 2 13 4 3" xfId="0"/>
    <cellStyle name="Вывод 2 13 4 3 2" xfId="0"/>
    <cellStyle name="Вывод 2 13 4 3 3" xfId="0"/>
    <cellStyle name="Вывод 2 13 4 4" xfId="0"/>
    <cellStyle name="Вывод 2 13 4 5" xfId="0"/>
    <cellStyle name="Вывод 2 13 5" xfId="0"/>
    <cellStyle name="Вывод 2 13 5 2" xfId="0"/>
    <cellStyle name="Вывод 2 13 5 3" xfId="0"/>
    <cellStyle name="Вывод 2 13 6" xfId="0"/>
    <cellStyle name="Вывод 2 13 7" xfId="0"/>
    <cellStyle name="Вывод 2 14" xfId="0"/>
    <cellStyle name="Вывод 2 14 2" xfId="0"/>
    <cellStyle name="Вывод 2 14 2 2" xfId="0"/>
    <cellStyle name="Вывод 2 14 2 2 2" xfId="0"/>
    <cellStyle name="Вывод 2 14 2 2 2 2" xfId="0"/>
    <cellStyle name="Вывод 2 14 2 2 2 3" xfId="0"/>
    <cellStyle name="Вывод 2 14 2 2 3" xfId="0"/>
    <cellStyle name="Вывод 2 14 2 2 4" xfId="0"/>
    <cellStyle name="Вывод 2 14 2 3" xfId="0"/>
    <cellStyle name="Вывод 2 14 2 3 2" xfId="0"/>
    <cellStyle name="Вывод 2 14 2 3 2 2" xfId="0"/>
    <cellStyle name="Вывод 2 14 2 3 2 3" xfId="0"/>
    <cellStyle name="Вывод 2 14 2 3 3" xfId="0"/>
    <cellStyle name="Вывод 2 14 2 3 4" xfId="0"/>
    <cellStyle name="Вывод 2 14 2 4" xfId="0"/>
    <cellStyle name="Вывод 2 14 2 4 2" xfId="0"/>
    <cellStyle name="Вывод 2 14 2 4 3" xfId="0"/>
    <cellStyle name="Вывод 2 14 2 5" xfId="0"/>
    <cellStyle name="Вывод 2 14 2 6" xfId="0"/>
    <cellStyle name="Вывод 2 14 3" xfId="0"/>
    <cellStyle name="Вывод 2 14 3 2" xfId="0"/>
    <cellStyle name="Вывод 2 14 3 2 2" xfId="0"/>
    <cellStyle name="Вывод 2 14 3 2 2 2" xfId="0"/>
    <cellStyle name="Вывод 2 14 3 2 2 3" xfId="0"/>
    <cellStyle name="Вывод 2 14 3 2 3" xfId="0"/>
    <cellStyle name="Вывод 2 14 3 2 4" xfId="0"/>
    <cellStyle name="Вывод 2 14 3 3" xfId="0"/>
    <cellStyle name="Вывод 2 14 3 3 2" xfId="0"/>
    <cellStyle name="Вывод 2 14 3 3 3" xfId="0"/>
    <cellStyle name="Вывод 2 14 3 4" xfId="0"/>
    <cellStyle name="Вывод 2 14 3 5" xfId="0"/>
    <cellStyle name="Вывод 2 14 4" xfId="0"/>
    <cellStyle name="Вывод 2 14 4 2" xfId="0"/>
    <cellStyle name="Вывод 2 14 4 2 2" xfId="0"/>
    <cellStyle name="Вывод 2 14 4 2 2 2" xfId="0"/>
    <cellStyle name="Вывод 2 14 4 2 2 3" xfId="0"/>
    <cellStyle name="Вывод 2 14 4 2 3" xfId="0"/>
    <cellStyle name="Вывод 2 14 4 2 4" xfId="0"/>
    <cellStyle name="Вывод 2 14 4 3" xfId="0"/>
    <cellStyle name="Вывод 2 14 4 3 2" xfId="0"/>
    <cellStyle name="Вывод 2 14 4 3 3" xfId="0"/>
    <cellStyle name="Вывод 2 14 4 4" xfId="0"/>
    <cellStyle name="Вывод 2 14 4 5" xfId="0"/>
    <cellStyle name="Вывод 2 14 5" xfId="0"/>
    <cellStyle name="Вывод 2 14 5 2" xfId="0"/>
    <cellStyle name="Вывод 2 14 5 3" xfId="0"/>
    <cellStyle name="Вывод 2 14 6" xfId="0"/>
    <cellStyle name="Вывод 2 14 7" xfId="0"/>
    <cellStyle name="Вывод 2 15" xfId="0"/>
    <cellStyle name="Вывод 2 15 2" xfId="0"/>
    <cellStyle name="Вывод 2 15 2 2" xfId="0"/>
    <cellStyle name="Вывод 2 15 2 2 2" xfId="0"/>
    <cellStyle name="Вывод 2 15 2 2 2 2" xfId="0"/>
    <cellStyle name="Вывод 2 15 2 2 2 3" xfId="0"/>
    <cellStyle name="Вывод 2 15 2 2 3" xfId="0"/>
    <cellStyle name="Вывод 2 15 2 2 4" xfId="0"/>
    <cellStyle name="Вывод 2 15 2 3" xfId="0"/>
    <cellStyle name="Вывод 2 15 2 3 2" xfId="0"/>
    <cellStyle name="Вывод 2 15 2 3 2 2" xfId="0"/>
    <cellStyle name="Вывод 2 15 2 3 2 3" xfId="0"/>
    <cellStyle name="Вывод 2 15 2 3 3" xfId="0"/>
    <cellStyle name="Вывод 2 15 2 3 4" xfId="0"/>
    <cellStyle name="Вывод 2 15 2 4" xfId="0"/>
    <cellStyle name="Вывод 2 15 2 4 2" xfId="0"/>
    <cellStyle name="Вывод 2 15 2 4 3" xfId="0"/>
    <cellStyle name="Вывод 2 15 2 5" xfId="0"/>
    <cellStyle name="Вывод 2 15 2 6" xfId="0"/>
    <cellStyle name="Вывод 2 15 3" xfId="0"/>
    <cellStyle name="Вывод 2 15 3 2" xfId="0"/>
    <cellStyle name="Вывод 2 15 3 2 2" xfId="0"/>
    <cellStyle name="Вывод 2 15 3 2 2 2" xfId="0"/>
    <cellStyle name="Вывод 2 15 3 2 2 3" xfId="0"/>
    <cellStyle name="Вывод 2 15 3 2 3" xfId="0"/>
    <cellStyle name="Вывод 2 15 3 2 4" xfId="0"/>
    <cellStyle name="Вывод 2 15 3 3" xfId="0"/>
    <cellStyle name="Вывод 2 15 3 3 2" xfId="0"/>
    <cellStyle name="Вывод 2 15 3 3 3" xfId="0"/>
    <cellStyle name="Вывод 2 15 3 4" xfId="0"/>
    <cellStyle name="Вывод 2 15 3 5" xfId="0"/>
    <cellStyle name="Вывод 2 15 4" xfId="0"/>
    <cellStyle name="Вывод 2 15 4 2" xfId="0"/>
    <cellStyle name="Вывод 2 15 4 2 2" xfId="0"/>
    <cellStyle name="Вывод 2 15 4 2 2 2" xfId="0"/>
    <cellStyle name="Вывод 2 15 4 2 2 3" xfId="0"/>
    <cellStyle name="Вывод 2 15 4 2 3" xfId="0"/>
    <cellStyle name="Вывод 2 15 4 2 4" xfId="0"/>
    <cellStyle name="Вывод 2 15 4 3" xfId="0"/>
    <cellStyle name="Вывод 2 15 4 3 2" xfId="0"/>
    <cellStyle name="Вывод 2 15 4 3 3" xfId="0"/>
    <cellStyle name="Вывод 2 15 4 4" xfId="0"/>
    <cellStyle name="Вывод 2 15 4 5" xfId="0"/>
    <cellStyle name="Вывод 2 15 5" xfId="0"/>
    <cellStyle name="Вывод 2 15 5 2" xfId="0"/>
    <cellStyle name="Вывод 2 15 5 3" xfId="0"/>
    <cellStyle name="Вывод 2 15 6" xfId="0"/>
    <cellStyle name="Вывод 2 15 7" xfId="0"/>
    <cellStyle name="Вывод 2 16" xfId="0"/>
    <cellStyle name="Вывод 2 16 2" xfId="0"/>
    <cellStyle name="Вывод 2 16 2 2" xfId="0"/>
    <cellStyle name="Вывод 2 16 2 2 2" xfId="0"/>
    <cellStyle name="Вывод 2 16 2 2 2 2" xfId="0"/>
    <cellStyle name="Вывод 2 16 2 2 2 3" xfId="0"/>
    <cellStyle name="Вывод 2 16 2 2 3" xfId="0"/>
    <cellStyle name="Вывод 2 16 2 2 4" xfId="0"/>
    <cellStyle name="Вывод 2 16 2 3" xfId="0"/>
    <cellStyle name="Вывод 2 16 2 3 2" xfId="0"/>
    <cellStyle name="Вывод 2 16 2 3 2 2" xfId="0"/>
    <cellStyle name="Вывод 2 16 2 3 2 3" xfId="0"/>
    <cellStyle name="Вывод 2 16 2 3 3" xfId="0"/>
    <cellStyle name="Вывод 2 16 2 3 4" xfId="0"/>
    <cellStyle name="Вывод 2 16 2 4" xfId="0"/>
    <cellStyle name="Вывод 2 16 2 4 2" xfId="0"/>
    <cellStyle name="Вывод 2 16 2 4 3" xfId="0"/>
    <cellStyle name="Вывод 2 16 2 5" xfId="0"/>
    <cellStyle name="Вывод 2 16 2 6" xfId="0"/>
    <cellStyle name="Вывод 2 16 3" xfId="0"/>
    <cellStyle name="Вывод 2 16 3 2" xfId="0"/>
    <cellStyle name="Вывод 2 16 3 2 2" xfId="0"/>
    <cellStyle name="Вывод 2 16 3 2 2 2" xfId="0"/>
    <cellStyle name="Вывод 2 16 3 2 2 3" xfId="0"/>
    <cellStyle name="Вывод 2 16 3 2 3" xfId="0"/>
    <cellStyle name="Вывод 2 16 3 2 4" xfId="0"/>
    <cellStyle name="Вывод 2 16 3 3" xfId="0"/>
    <cellStyle name="Вывод 2 16 3 3 2" xfId="0"/>
    <cellStyle name="Вывод 2 16 3 3 3" xfId="0"/>
    <cellStyle name="Вывод 2 16 3 4" xfId="0"/>
    <cellStyle name="Вывод 2 16 3 5" xfId="0"/>
    <cellStyle name="Вывод 2 16 4" xfId="0"/>
    <cellStyle name="Вывод 2 16 4 2" xfId="0"/>
    <cellStyle name="Вывод 2 16 4 2 2" xfId="0"/>
    <cellStyle name="Вывод 2 16 4 2 2 2" xfId="0"/>
    <cellStyle name="Вывод 2 16 4 2 2 3" xfId="0"/>
    <cellStyle name="Вывод 2 16 4 2 3" xfId="0"/>
    <cellStyle name="Вывод 2 16 4 2 4" xfId="0"/>
    <cellStyle name="Вывод 2 16 4 3" xfId="0"/>
    <cellStyle name="Вывод 2 16 4 3 2" xfId="0"/>
    <cellStyle name="Вывод 2 16 4 3 3" xfId="0"/>
    <cellStyle name="Вывод 2 16 4 4" xfId="0"/>
    <cellStyle name="Вывод 2 16 4 5" xfId="0"/>
    <cellStyle name="Вывод 2 16 5" xfId="0"/>
    <cellStyle name="Вывод 2 16 5 2" xfId="0"/>
    <cellStyle name="Вывод 2 16 5 3" xfId="0"/>
    <cellStyle name="Вывод 2 16 6" xfId="0"/>
    <cellStyle name="Вывод 2 16 7" xfId="0"/>
    <cellStyle name="Вывод 2 17" xfId="0"/>
    <cellStyle name="Вывод 2 17 2" xfId="0"/>
    <cellStyle name="Вывод 2 17 2 2" xfId="0"/>
    <cellStyle name="Вывод 2 17 2 2 2" xfId="0"/>
    <cellStyle name="Вывод 2 17 2 2 2 2" xfId="0"/>
    <cellStyle name="Вывод 2 17 2 2 2 3" xfId="0"/>
    <cellStyle name="Вывод 2 17 2 2 3" xfId="0"/>
    <cellStyle name="Вывод 2 17 2 2 4" xfId="0"/>
    <cellStyle name="Вывод 2 17 2 3" xfId="0"/>
    <cellStyle name="Вывод 2 17 2 3 2" xfId="0"/>
    <cellStyle name="Вывод 2 17 2 3 2 2" xfId="0"/>
    <cellStyle name="Вывод 2 17 2 3 2 3" xfId="0"/>
    <cellStyle name="Вывод 2 17 2 3 3" xfId="0"/>
    <cellStyle name="Вывод 2 17 2 3 4" xfId="0"/>
    <cellStyle name="Вывод 2 17 2 4" xfId="0"/>
    <cellStyle name="Вывод 2 17 2 4 2" xfId="0"/>
    <cellStyle name="Вывод 2 17 2 4 3" xfId="0"/>
    <cellStyle name="Вывод 2 17 2 5" xfId="0"/>
    <cellStyle name="Вывод 2 17 2 6" xfId="0"/>
    <cellStyle name="Вывод 2 17 3" xfId="0"/>
    <cellStyle name="Вывод 2 17 3 2" xfId="0"/>
    <cellStyle name="Вывод 2 17 3 2 2" xfId="0"/>
    <cellStyle name="Вывод 2 17 3 2 2 2" xfId="0"/>
    <cellStyle name="Вывод 2 17 3 2 2 3" xfId="0"/>
    <cellStyle name="Вывод 2 17 3 2 3" xfId="0"/>
    <cellStyle name="Вывод 2 17 3 2 4" xfId="0"/>
    <cellStyle name="Вывод 2 17 3 3" xfId="0"/>
    <cellStyle name="Вывод 2 17 3 3 2" xfId="0"/>
    <cellStyle name="Вывод 2 17 3 3 3" xfId="0"/>
    <cellStyle name="Вывод 2 17 3 4" xfId="0"/>
    <cellStyle name="Вывод 2 17 3 5" xfId="0"/>
    <cellStyle name="Вывод 2 17 4" xfId="0"/>
    <cellStyle name="Вывод 2 17 4 2" xfId="0"/>
    <cellStyle name="Вывод 2 17 4 2 2" xfId="0"/>
    <cellStyle name="Вывод 2 17 4 2 2 2" xfId="0"/>
    <cellStyle name="Вывод 2 17 4 2 2 3" xfId="0"/>
    <cellStyle name="Вывод 2 17 4 2 3" xfId="0"/>
    <cellStyle name="Вывод 2 17 4 2 4" xfId="0"/>
    <cellStyle name="Вывод 2 17 4 3" xfId="0"/>
    <cellStyle name="Вывод 2 17 4 3 2" xfId="0"/>
    <cellStyle name="Вывод 2 17 4 3 3" xfId="0"/>
    <cellStyle name="Вывод 2 17 4 4" xfId="0"/>
    <cellStyle name="Вывод 2 17 4 5" xfId="0"/>
    <cellStyle name="Вывод 2 17 5" xfId="0"/>
    <cellStyle name="Вывод 2 17 5 2" xfId="0"/>
    <cellStyle name="Вывод 2 17 5 3" xfId="0"/>
    <cellStyle name="Вывод 2 17 6" xfId="0"/>
    <cellStyle name="Вывод 2 17 7" xfId="0"/>
    <cellStyle name="Вывод 2 18" xfId="0"/>
    <cellStyle name="Вывод 2 18 2" xfId="0"/>
    <cellStyle name="Вывод 2 18 2 2" xfId="0"/>
    <cellStyle name="Вывод 2 18 2 2 2" xfId="0"/>
    <cellStyle name="Вывод 2 18 2 2 2 2" xfId="0"/>
    <cellStyle name="Вывод 2 18 2 2 2 3" xfId="0"/>
    <cellStyle name="Вывод 2 18 2 2 3" xfId="0"/>
    <cellStyle name="Вывод 2 18 2 2 4" xfId="0"/>
    <cellStyle name="Вывод 2 18 2 3" xfId="0"/>
    <cellStyle name="Вывод 2 18 2 3 2" xfId="0"/>
    <cellStyle name="Вывод 2 18 2 3 2 2" xfId="0"/>
    <cellStyle name="Вывод 2 18 2 3 2 3" xfId="0"/>
    <cellStyle name="Вывод 2 18 2 3 3" xfId="0"/>
    <cellStyle name="Вывод 2 18 2 3 4" xfId="0"/>
    <cellStyle name="Вывод 2 18 2 4" xfId="0"/>
    <cellStyle name="Вывод 2 18 2 4 2" xfId="0"/>
    <cellStyle name="Вывод 2 18 2 4 3" xfId="0"/>
    <cellStyle name="Вывод 2 18 2 5" xfId="0"/>
    <cellStyle name="Вывод 2 18 2 6" xfId="0"/>
    <cellStyle name="Вывод 2 18 3" xfId="0"/>
    <cellStyle name="Вывод 2 18 3 2" xfId="0"/>
    <cellStyle name="Вывод 2 18 3 2 2" xfId="0"/>
    <cellStyle name="Вывод 2 18 3 2 2 2" xfId="0"/>
    <cellStyle name="Вывод 2 18 3 2 2 3" xfId="0"/>
    <cellStyle name="Вывод 2 18 3 2 3" xfId="0"/>
    <cellStyle name="Вывод 2 18 3 2 4" xfId="0"/>
    <cellStyle name="Вывод 2 18 3 3" xfId="0"/>
    <cellStyle name="Вывод 2 18 3 3 2" xfId="0"/>
    <cellStyle name="Вывод 2 18 3 3 3" xfId="0"/>
    <cellStyle name="Вывод 2 18 3 4" xfId="0"/>
    <cellStyle name="Вывод 2 18 3 5" xfId="0"/>
    <cellStyle name="Вывод 2 18 4" xfId="0"/>
    <cellStyle name="Вывод 2 18 4 2" xfId="0"/>
    <cellStyle name="Вывод 2 18 4 2 2" xfId="0"/>
    <cellStyle name="Вывод 2 18 4 2 2 2" xfId="0"/>
    <cellStyle name="Вывод 2 18 4 2 2 3" xfId="0"/>
    <cellStyle name="Вывод 2 18 4 2 3" xfId="0"/>
    <cellStyle name="Вывод 2 18 4 2 4" xfId="0"/>
    <cellStyle name="Вывод 2 18 4 3" xfId="0"/>
    <cellStyle name="Вывод 2 18 4 3 2" xfId="0"/>
    <cellStyle name="Вывод 2 18 4 3 3" xfId="0"/>
    <cellStyle name="Вывод 2 18 4 4" xfId="0"/>
    <cellStyle name="Вывод 2 18 4 5" xfId="0"/>
    <cellStyle name="Вывод 2 18 5" xfId="0"/>
    <cellStyle name="Вывод 2 18 5 2" xfId="0"/>
    <cellStyle name="Вывод 2 18 5 3" xfId="0"/>
    <cellStyle name="Вывод 2 18 6" xfId="0"/>
    <cellStyle name="Вывод 2 18 7" xfId="0"/>
    <cellStyle name="Вывод 2 19" xfId="0"/>
    <cellStyle name="Вывод 2 19 2" xfId="0"/>
    <cellStyle name="Вывод 2 19 2 2" xfId="0"/>
    <cellStyle name="Вывод 2 19 2 2 2" xfId="0"/>
    <cellStyle name="Вывод 2 19 2 2 2 2" xfId="0"/>
    <cellStyle name="Вывод 2 19 2 2 2 3" xfId="0"/>
    <cellStyle name="Вывод 2 19 2 2 3" xfId="0"/>
    <cellStyle name="Вывод 2 19 2 2 4" xfId="0"/>
    <cellStyle name="Вывод 2 19 2 3" xfId="0"/>
    <cellStyle name="Вывод 2 19 2 3 2" xfId="0"/>
    <cellStyle name="Вывод 2 19 2 3 2 2" xfId="0"/>
    <cellStyle name="Вывод 2 19 2 3 2 3" xfId="0"/>
    <cellStyle name="Вывод 2 19 2 3 3" xfId="0"/>
    <cellStyle name="Вывод 2 19 2 3 4" xfId="0"/>
    <cellStyle name="Вывод 2 19 2 4" xfId="0"/>
    <cellStyle name="Вывод 2 19 2 4 2" xfId="0"/>
    <cellStyle name="Вывод 2 19 2 4 3" xfId="0"/>
    <cellStyle name="Вывод 2 19 2 5" xfId="0"/>
    <cellStyle name="Вывод 2 19 2 6" xfId="0"/>
    <cellStyle name="Вывод 2 19 3" xfId="0"/>
    <cellStyle name="Вывод 2 19 3 2" xfId="0"/>
    <cellStyle name="Вывод 2 19 3 2 2" xfId="0"/>
    <cellStyle name="Вывод 2 19 3 2 2 2" xfId="0"/>
    <cellStyle name="Вывод 2 19 3 2 2 3" xfId="0"/>
    <cellStyle name="Вывод 2 19 3 2 3" xfId="0"/>
    <cellStyle name="Вывод 2 19 3 2 4" xfId="0"/>
    <cellStyle name="Вывод 2 19 3 3" xfId="0"/>
    <cellStyle name="Вывод 2 19 3 3 2" xfId="0"/>
    <cellStyle name="Вывод 2 19 3 3 3" xfId="0"/>
    <cellStyle name="Вывод 2 19 3 4" xfId="0"/>
    <cellStyle name="Вывод 2 19 3 5" xfId="0"/>
    <cellStyle name="Вывод 2 19 4" xfId="0"/>
    <cellStyle name="Вывод 2 19 4 2" xfId="0"/>
    <cellStyle name="Вывод 2 19 4 2 2" xfId="0"/>
    <cellStyle name="Вывод 2 19 4 2 2 2" xfId="0"/>
    <cellStyle name="Вывод 2 19 4 2 2 3" xfId="0"/>
    <cellStyle name="Вывод 2 19 4 2 3" xfId="0"/>
    <cellStyle name="Вывод 2 19 4 2 4" xfId="0"/>
    <cellStyle name="Вывод 2 19 4 3" xfId="0"/>
    <cellStyle name="Вывод 2 19 4 3 2" xfId="0"/>
    <cellStyle name="Вывод 2 19 4 3 3" xfId="0"/>
    <cellStyle name="Вывод 2 19 4 4" xfId="0"/>
    <cellStyle name="Вывод 2 19 4 5" xfId="0"/>
    <cellStyle name="Вывод 2 19 5" xfId="0"/>
    <cellStyle name="Вывод 2 19 5 2" xfId="0"/>
    <cellStyle name="Вывод 2 19 5 3" xfId="0"/>
    <cellStyle name="Вывод 2 19 6" xfId="0"/>
    <cellStyle name="Вывод 2 19 7" xfId="0"/>
    <cellStyle name="Вывод 2 2" xfId="0"/>
    <cellStyle name="Вывод 2 2 10" xfId="0"/>
    <cellStyle name="Вывод 2 2 10 2" xfId="0"/>
    <cellStyle name="Вывод 2 2 10 3" xfId="0"/>
    <cellStyle name="Вывод 2 2 11" xfId="0"/>
    <cellStyle name="Вывод 2 2 12" xfId="0"/>
    <cellStyle name="Вывод 2 2 2" xfId="0"/>
    <cellStyle name="Вывод 2 2 2 2" xfId="0"/>
    <cellStyle name="Вывод 2 2 2 2 2" xfId="0"/>
    <cellStyle name="Вывод 2 2 2 2 2 2" xfId="0"/>
    <cellStyle name="Вывод 2 2 2 2 2 2 2" xfId="0"/>
    <cellStyle name="Вывод 2 2 2 2 2 2 3" xfId="0"/>
    <cellStyle name="Вывод 2 2 2 2 2 3" xfId="0"/>
    <cellStyle name="Вывод 2 2 2 2 2 4" xfId="0"/>
    <cellStyle name="Вывод 2 2 2 2 3" xfId="0"/>
    <cellStyle name="Вывод 2 2 2 2 3 2" xfId="0"/>
    <cellStyle name="Вывод 2 2 2 2 3 3" xfId="0"/>
    <cellStyle name="Вывод 2 2 2 2 4" xfId="0"/>
    <cellStyle name="Вывод 2 2 2 2 5" xfId="0"/>
    <cellStyle name="Вывод 2 2 2 3" xfId="0"/>
    <cellStyle name="Вывод 2 2 2 3 2" xfId="0"/>
    <cellStyle name="Вывод 2 2 2 3 2 2" xfId="0"/>
    <cellStyle name="Вывод 2 2 2 3 2 3" xfId="0"/>
    <cellStyle name="Вывод 2 2 2 3 3" xfId="0"/>
    <cellStyle name="Вывод 2 2 2 3 4" xfId="0"/>
    <cellStyle name="Вывод 2 2 2 4" xfId="0"/>
    <cellStyle name="Вывод 2 2 2 4 2" xfId="0"/>
    <cellStyle name="Вывод 2 2 2 4 3" xfId="0"/>
    <cellStyle name="Вывод 2 2 2 5" xfId="0"/>
    <cellStyle name="Вывод 2 2 2 6" xfId="0"/>
    <cellStyle name="Вывод 2 2 3" xfId="0"/>
    <cellStyle name="Вывод 2 2 3 2" xfId="0"/>
    <cellStyle name="Вывод 2 2 3 2 2" xfId="0"/>
    <cellStyle name="Вывод 2 2 3 2 2 2" xfId="0"/>
    <cellStyle name="Вывод 2 2 3 2 2 2 2" xfId="0"/>
    <cellStyle name="Вывод 2 2 3 2 2 2 3" xfId="0"/>
    <cellStyle name="Вывод 2 2 3 2 2 3" xfId="0"/>
    <cellStyle name="Вывод 2 2 3 2 2 4" xfId="0"/>
    <cellStyle name="Вывод 2 2 3 2 3" xfId="0"/>
    <cellStyle name="Вывод 2 2 3 2 3 2" xfId="0"/>
    <cellStyle name="Вывод 2 2 3 2 3 3" xfId="0"/>
    <cellStyle name="Вывод 2 2 3 2 4" xfId="0"/>
    <cellStyle name="Вывод 2 2 3 2 5" xfId="0"/>
    <cellStyle name="Вывод 2 2 3 3" xfId="0"/>
    <cellStyle name="Вывод 2 2 3 3 2" xfId="0"/>
    <cellStyle name="Вывод 2 2 3 3 2 2" xfId="0"/>
    <cellStyle name="Вывод 2 2 3 3 2 3" xfId="0"/>
    <cellStyle name="Вывод 2 2 3 3 3" xfId="0"/>
    <cellStyle name="Вывод 2 2 3 3 4" xfId="0"/>
    <cellStyle name="Вывод 2 2 3 4" xfId="0"/>
    <cellStyle name="Вывод 2 2 3 4 2" xfId="0"/>
    <cellStyle name="Вывод 2 2 3 4 3" xfId="0"/>
    <cellStyle name="Вывод 2 2 3 5" xfId="0"/>
    <cellStyle name="Вывод 2 2 3 6" xfId="0"/>
    <cellStyle name="Вывод 2 2 4" xfId="0"/>
    <cellStyle name="Вывод 2 2 4 2" xfId="0"/>
    <cellStyle name="Вывод 2 2 4 2 2" xfId="0"/>
    <cellStyle name="Вывод 2 2 4 2 2 2" xfId="0"/>
    <cellStyle name="Вывод 2 2 4 2 2 2 2" xfId="0"/>
    <cellStyle name="Вывод 2 2 4 2 2 2 3" xfId="0"/>
    <cellStyle name="Вывод 2 2 4 2 2 3" xfId="0"/>
    <cellStyle name="Вывод 2 2 4 2 2 4" xfId="0"/>
    <cellStyle name="Вывод 2 2 4 2 3" xfId="0"/>
    <cellStyle name="Вывод 2 2 4 2 3 2" xfId="0"/>
    <cellStyle name="Вывод 2 2 4 2 3 3" xfId="0"/>
    <cellStyle name="Вывод 2 2 4 2 4" xfId="0"/>
    <cellStyle name="Вывод 2 2 4 2 5" xfId="0"/>
    <cellStyle name="Вывод 2 2 4 3" xfId="0"/>
    <cellStyle name="Вывод 2 2 4 3 2" xfId="0"/>
    <cellStyle name="Вывод 2 2 4 3 2 2" xfId="0"/>
    <cellStyle name="Вывод 2 2 4 3 2 3" xfId="0"/>
    <cellStyle name="Вывод 2 2 4 3 3" xfId="0"/>
    <cellStyle name="Вывод 2 2 4 3 4" xfId="0"/>
    <cellStyle name="Вывод 2 2 4 4" xfId="0"/>
    <cellStyle name="Вывод 2 2 4 4 2" xfId="0"/>
    <cellStyle name="Вывод 2 2 4 4 3" xfId="0"/>
    <cellStyle name="Вывод 2 2 4 5" xfId="0"/>
    <cellStyle name="Вывод 2 2 4 6" xfId="0"/>
    <cellStyle name="Вывод 2 2 5" xfId="0"/>
    <cellStyle name="Вывод 2 2 5 2" xfId="0"/>
    <cellStyle name="Вывод 2 2 5 2 2" xfId="0"/>
    <cellStyle name="Вывод 2 2 5 2 2 2" xfId="0"/>
    <cellStyle name="Вывод 2 2 5 2 2 2 2" xfId="0"/>
    <cellStyle name="Вывод 2 2 5 2 2 2 3" xfId="0"/>
    <cellStyle name="Вывод 2 2 5 2 2 3" xfId="0"/>
    <cellStyle name="Вывод 2 2 5 2 2 4" xfId="0"/>
    <cellStyle name="Вывод 2 2 5 2 3" xfId="0"/>
    <cellStyle name="Вывод 2 2 5 2 3 2" xfId="0"/>
    <cellStyle name="Вывод 2 2 5 2 3 3" xfId="0"/>
    <cellStyle name="Вывод 2 2 5 2 4" xfId="0"/>
    <cellStyle name="Вывод 2 2 5 2 5" xfId="0"/>
    <cellStyle name="Вывод 2 2 5 3" xfId="0"/>
    <cellStyle name="Вывод 2 2 5 3 2" xfId="0"/>
    <cellStyle name="Вывод 2 2 5 3 2 2" xfId="0"/>
    <cellStyle name="Вывод 2 2 5 3 2 3" xfId="0"/>
    <cellStyle name="Вывод 2 2 5 3 3" xfId="0"/>
    <cellStyle name="Вывод 2 2 5 3 4" xfId="0"/>
    <cellStyle name="Вывод 2 2 5 4" xfId="0"/>
    <cellStyle name="Вывод 2 2 5 4 2" xfId="0"/>
    <cellStyle name="Вывод 2 2 5 4 3" xfId="0"/>
    <cellStyle name="Вывод 2 2 5 5" xfId="0"/>
    <cellStyle name="Вывод 2 2 5 6" xfId="0"/>
    <cellStyle name="Вывод 2 2 6" xfId="0"/>
    <cellStyle name="Вывод 2 2 6 2" xfId="0"/>
    <cellStyle name="Вывод 2 2 6 2 2" xfId="0"/>
    <cellStyle name="Вывод 2 2 6 2 2 2" xfId="0"/>
    <cellStyle name="Вывод 2 2 6 2 2 3" xfId="0"/>
    <cellStyle name="Вывод 2 2 6 2 3" xfId="0"/>
    <cellStyle name="Вывод 2 2 6 2 4" xfId="0"/>
    <cellStyle name="Вывод 2 2 6 3" xfId="0"/>
    <cellStyle name="Вывод 2 2 6 3 2" xfId="0"/>
    <cellStyle name="Вывод 2 2 6 3 3" xfId="0"/>
    <cellStyle name="Вывод 2 2 6 4" xfId="0"/>
    <cellStyle name="Вывод 2 2 6 5" xfId="0"/>
    <cellStyle name="Вывод 2 2 7" xfId="0"/>
    <cellStyle name="Вывод 2 2 7 2" xfId="0"/>
    <cellStyle name="Вывод 2 2 7 2 2" xfId="0"/>
    <cellStyle name="Вывод 2 2 7 2 2 2" xfId="0"/>
    <cellStyle name="Вывод 2 2 7 2 2 3" xfId="0"/>
    <cellStyle name="Вывод 2 2 7 2 3" xfId="0"/>
    <cellStyle name="Вывод 2 2 7 2 4" xfId="0"/>
    <cellStyle name="Вывод 2 2 7 3" xfId="0"/>
    <cellStyle name="Вывод 2 2 7 3 2" xfId="0"/>
    <cellStyle name="Вывод 2 2 7 3 3" xfId="0"/>
    <cellStyle name="Вывод 2 2 7 4" xfId="0"/>
    <cellStyle name="Вывод 2 2 7 5" xfId="0"/>
    <cellStyle name="Вывод 2 2 8" xfId="0"/>
    <cellStyle name="Вывод 2 2 8 2" xfId="0"/>
    <cellStyle name="Вывод 2 2 8 2 2" xfId="0"/>
    <cellStyle name="Вывод 2 2 8 2 2 2" xfId="0"/>
    <cellStyle name="Вывод 2 2 8 2 2 3" xfId="0"/>
    <cellStyle name="Вывод 2 2 8 2 3" xfId="0"/>
    <cellStyle name="Вывод 2 2 8 2 4" xfId="0"/>
    <cellStyle name="Вывод 2 2 8 3" xfId="0"/>
    <cellStyle name="Вывод 2 2 8 3 2" xfId="0"/>
    <cellStyle name="Вывод 2 2 8 3 3" xfId="0"/>
    <cellStyle name="Вывод 2 2 8 4" xfId="0"/>
    <cellStyle name="Вывод 2 2 8 5" xfId="0"/>
    <cellStyle name="Вывод 2 2 9" xfId="0"/>
    <cellStyle name="Вывод 2 2 9 2" xfId="0"/>
    <cellStyle name="Вывод 2 2 9 3" xfId="0"/>
    <cellStyle name="Вывод 2 20" xfId="0"/>
    <cellStyle name="Вывод 2 20 2" xfId="0"/>
    <cellStyle name="Вывод 2 20 2 2" xfId="0"/>
    <cellStyle name="Вывод 2 20 2 2 2" xfId="0"/>
    <cellStyle name="Вывод 2 20 2 2 2 2" xfId="0"/>
    <cellStyle name="Вывод 2 20 2 2 2 3" xfId="0"/>
    <cellStyle name="Вывод 2 20 2 2 3" xfId="0"/>
    <cellStyle name="Вывод 2 20 2 2 4" xfId="0"/>
    <cellStyle name="Вывод 2 20 2 3" xfId="0"/>
    <cellStyle name="Вывод 2 20 2 3 2" xfId="0"/>
    <cellStyle name="Вывод 2 20 2 3 2 2" xfId="0"/>
    <cellStyle name="Вывод 2 20 2 3 2 3" xfId="0"/>
    <cellStyle name="Вывод 2 20 2 3 3" xfId="0"/>
    <cellStyle name="Вывод 2 20 2 3 4" xfId="0"/>
    <cellStyle name="Вывод 2 20 2 4" xfId="0"/>
    <cellStyle name="Вывод 2 20 2 4 2" xfId="0"/>
    <cellStyle name="Вывод 2 20 2 4 3" xfId="0"/>
    <cellStyle name="Вывод 2 20 2 5" xfId="0"/>
    <cellStyle name="Вывод 2 20 2 6" xfId="0"/>
    <cellStyle name="Вывод 2 20 3" xfId="0"/>
    <cellStyle name="Вывод 2 20 3 2" xfId="0"/>
    <cellStyle name="Вывод 2 20 3 2 2" xfId="0"/>
    <cellStyle name="Вывод 2 20 3 2 2 2" xfId="0"/>
    <cellStyle name="Вывод 2 20 3 2 2 3" xfId="0"/>
    <cellStyle name="Вывод 2 20 3 2 3" xfId="0"/>
    <cellStyle name="Вывод 2 20 3 2 4" xfId="0"/>
    <cellStyle name="Вывод 2 20 3 3" xfId="0"/>
    <cellStyle name="Вывод 2 20 3 3 2" xfId="0"/>
    <cellStyle name="Вывод 2 20 3 3 3" xfId="0"/>
    <cellStyle name="Вывод 2 20 3 4" xfId="0"/>
    <cellStyle name="Вывод 2 20 3 5" xfId="0"/>
    <cellStyle name="Вывод 2 20 4" xfId="0"/>
    <cellStyle name="Вывод 2 20 4 2" xfId="0"/>
    <cellStyle name="Вывод 2 20 4 2 2" xfId="0"/>
    <cellStyle name="Вывод 2 20 4 2 2 2" xfId="0"/>
    <cellStyle name="Вывод 2 20 4 2 2 3" xfId="0"/>
    <cellStyle name="Вывод 2 20 4 2 3" xfId="0"/>
    <cellStyle name="Вывод 2 20 4 2 4" xfId="0"/>
    <cellStyle name="Вывод 2 20 4 3" xfId="0"/>
    <cellStyle name="Вывод 2 20 4 3 2" xfId="0"/>
    <cellStyle name="Вывод 2 20 4 3 3" xfId="0"/>
    <cellStyle name="Вывод 2 20 4 4" xfId="0"/>
    <cellStyle name="Вывод 2 20 4 5" xfId="0"/>
    <cellStyle name="Вывод 2 20 5" xfId="0"/>
    <cellStyle name="Вывод 2 20 5 2" xfId="0"/>
    <cellStyle name="Вывод 2 20 5 2 2" xfId="0"/>
    <cellStyle name="Вывод 2 20 5 2 3" xfId="0"/>
    <cellStyle name="Вывод 2 20 5 3" xfId="0"/>
    <cellStyle name="Вывод 2 20 5 4" xfId="0"/>
    <cellStyle name="Вывод 2 20 6" xfId="0"/>
    <cellStyle name="Вывод 2 20 6 2" xfId="0"/>
    <cellStyle name="Вывод 2 20 6 3" xfId="0"/>
    <cellStyle name="Вывод 2 20 7" xfId="0"/>
    <cellStyle name="Вывод 2 20 8" xfId="0"/>
    <cellStyle name="Вывод 2 21" xfId="0"/>
    <cellStyle name="Вывод 2 21 2" xfId="0"/>
    <cellStyle name="Вывод 2 21 2 2" xfId="0"/>
    <cellStyle name="Вывод 2 21 2 2 2" xfId="0"/>
    <cellStyle name="Вывод 2 21 2 2 3" xfId="0"/>
    <cellStyle name="Вывод 2 21 2 3" xfId="0"/>
    <cellStyle name="Вывод 2 21 2 4" xfId="0"/>
    <cellStyle name="Вывод 2 21 3" xfId="0"/>
    <cellStyle name="Вывод 2 21 3 2" xfId="0"/>
    <cellStyle name="Вывод 2 21 3 2 2" xfId="0"/>
    <cellStyle name="Вывод 2 21 3 2 3" xfId="0"/>
    <cellStyle name="Вывод 2 21 3 3" xfId="0"/>
    <cellStyle name="Вывод 2 21 3 4" xfId="0"/>
    <cellStyle name="Вывод 2 21 4" xfId="0"/>
    <cellStyle name="Вывод 2 21 4 2" xfId="0"/>
    <cellStyle name="Вывод 2 21 4 3" xfId="0"/>
    <cellStyle name="Вывод 2 21 5" xfId="0"/>
    <cellStyle name="Вывод 2 21 6" xfId="0"/>
    <cellStyle name="Вывод 2 22" xfId="0"/>
    <cellStyle name="Вывод 2 22 2" xfId="0"/>
    <cellStyle name="Вывод 2 22 2 2" xfId="0"/>
    <cellStyle name="Вывод 2 22 2 2 2" xfId="0"/>
    <cellStyle name="Вывод 2 22 2 2 3" xfId="0"/>
    <cellStyle name="Вывод 2 22 2 3" xfId="0"/>
    <cellStyle name="Вывод 2 22 2 4" xfId="0"/>
    <cellStyle name="Вывод 2 22 3" xfId="0"/>
    <cellStyle name="Вывод 2 22 3 2" xfId="0"/>
    <cellStyle name="Вывод 2 22 3 2 2" xfId="0"/>
    <cellStyle name="Вывод 2 22 3 2 3" xfId="0"/>
    <cellStyle name="Вывод 2 22 3 3" xfId="0"/>
    <cellStyle name="Вывод 2 22 3 4" xfId="0"/>
    <cellStyle name="Вывод 2 22 4" xfId="0"/>
    <cellStyle name="Вывод 2 22 4 2" xfId="0"/>
    <cellStyle name="Вывод 2 22 4 3" xfId="0"/>
    <cellStyle name="Вывод 2 22 5" xfId="0"/>
    <cellStyle name="Вывод 2 22 6" xfId="0"/>
    <cellStyle name="Вывод 2 23" xfId="0"/>
    <cellStyle name="Вывод 2 23 2" xfId="0"/>
    <cellStyle name="Вывод 2 23 2 2" xfId="0"/>
    <cellStyle name="Вывод 2 23 2 2 2" xfId="0"/>
    <cellStyle name="Вывод 2 23 2 2 3" xfId="0"/>
    <cellStyle name="Вывод 2 23 2 3" xfId="0"/>
    <cellStyle name="Вывод 2 23 2 4" xfId="0"/>
    <cellStyle name="Вывод 2 23 3" xfId="0"/>
    <cellStyle name="Вывод 2 23 3 2" xfId="0"/>
    <cellStyle name="Вывод 2 23 3 2 2" xfId="0"/>
    <cellStyle name="Вывод 2 23 3 2 3" xfId="0"/>
    <cellStyle name="Вывод 2 23 3 3" xfId="0"/>
    <cellStyle name="Вывод 2 23 3 4" xfId="0"/>
    <cellStyle name="Вывод 2 23 4" xfId="0"/>
    <cellStyle name="Вывод 2 23 4 2" xfId="0"/>
    <cellStyle name="Вывод 2 23 4 3" xfId="0"/>
    <cellStyle name="Вывод 2 23 5" xfId="0"/>
    <cellStyle name="Вывод 2 23 6" xfId="0"/>
    <cellStyle name="Вывод 2 24" xfId="0"/>
    <cellStyle name="Вывод 2 24 2" xfId="0"/>
    <cellStyle name="Вывод 2 24 2 2" xfId="0"/>
    <cellStyle name="Вывод 2 24 2 2 2" xfId="0"/>
    <cellStyle name="Вывод 2 24 2 2 3" xfId="0"/>
    <cellStyle name="Вывод 2 24 2 3" xfId="0"/>
    <cellStyle name="Вывод 2 24 2 4" xfId="0"/>
    <cellStyle name="Вывод 2 24 3" xfId="0"/>
    <cellStyle name="Вывод 2 24 3 2" xfId="0"/>
    <cellStyle name="Вывод 2 24 3 2 2" xfId="0"/>
    <cellStyle name="Вывод 2 24 3 2 3" xfId="0"/>
    <cellStyle name="Вывод 2 24 3 3" xfId="0"/>
    <cellStyle name="Вывод 2 24 3 4" xfId="0"/>
    <cellStyle name="Вывод 2 24 4" xfId="0"/>
    <cellStyle name="Вывод 2 24 4 2" xfId="0"/>
    <cellStyle name="Вывод 2 24 4 3" xfId="0"/>
    <cellStyle name="Вывод 2 24 5" xfId="0"/>
    <cellStyle name="Вывод 2 24 6" xfId="0"/>
    <cellStyle name="Вывод 2 25" xfId="0"/>
    <cellStyle name="Вывод 2 25 2" xfId="0"/>
    <cellStyle name="Вывод 2 25 2 2" xfId="0"/>
    <cellStyle name="Вывод 2 25 2 2 2" xfId="0"/>
    <cellStyle name="Вывод 2 25 2 2 3" xfId="0"/>
    <cellStyle name="Вывод 2 25 2 3" xfId="0"/>
    <cellStyle name="Вывод 2 25 2 4" xfId="0"/>
    <cellStyle name="Вывод 2 25 3" xfId="0"/>
    <cellStyle name="Вывод 2 25 3 2" xfId="0"/>
    <cellStyle name="Вывод 2 25 3 2 2" xfId="0"/>
    <cellStyle name="Вывод 2 25 3 2 3" xfId="0"/>
    <cellStyle name="Вывод 2 25 3 3" xfId="0"/>
    <cellStyle name="Вывод 2 25 3 4" xfId="0"/>
    <cellStyle name="Вывод 2 25 4" xfId="0"/>
    <cellStyle name="Вывод 2 25 4 2" xfId="0"/>
    <cellStyle name="Вывод 2 25 4 3" xfId="0"/>
    <cellStyle name="Вывод 2 25 5" xfId="0"/>
    <cellStyle name="Вывод 2 25 6" xfId="0"/>
    <cellStyle name="Вывод 2 26" xfId="0"/>
    <cellStyle name="Вывод 2 26 2" xfId="0"/>
    <cellStyle name="Вывод 2 26 2 2" xfId="0"/>
    <cellStyle name="Вывод 2 26 2 2 2" xfId="0"/>
    <cellStyle name="Вывод 2 26 2 2 3" xfId="0"/>
    <cellStyle name="Вывод 2 26 2 3" xfId="0"/>
    <cellStyle name="Вывод 2 26 2 4" xfId="0"/>
    <cellStyle name="Вывод 2 26 3" xfId="0"/>
    <cellStyle name="Вывод 2 26 3 2" xfId="0"/>
    <cellStyle name="Вывод 2 26 3 3" xfId="0"/>
    <cellStyle name="Вывод 2 26 4" xfId="0"/>
    <cellStyle name="Вывод 2 26 5" xfId="0"/>
    <cellStyle name="Вывод 2 27" xfId="0"/>
    <cellStyle name="Вывод 2 27 2" xfId="0"/>
    <cellStyle name="Вывод 2 27 2 2" xfId="0"/>
    <cellStyle name="Вывод 2 27 2 2 2" xfId="0"/>
    <cellStyle name="Вывод 2 27 2 2 3" xfId="0"/>
    <cellStyle name="Вывод 2 27 2 3" xfId="0"/>
    <cellStyle name="Вывод 2 27 2 4" xfId="0"/>
    <cellStyle name="Вывод 2 27 3" xfId="0"/>
    <cellStyle name="Вывод 2 27 3 2" xfId="0"/>
    <cellStyle name="Вывод 2 27 3 3" xfId="0"/>
    <cellStyle name="Вывод 2 27 4" xfId="0"/>
    <cellStyle name="Вывод 2 27 5" xfId="0"/>
    <cellStyle name="Вывод 2 28" xfId="0"/>
    <cellStyle name="Вывод 2 28 2" xfId="0"/>
    <cellStyle name="Вывод 2 28 2 2" xfId="0"/>
    <cellStyle name="Вывод 2 28 2 2 2" xfId="0"/>
    <cellStyle name="Вывод 2 28 2 2 3" xfId="0"/>
    <cellStyle name="Вывод 2 28 2 3" xfId="0"/>
    <cellStyle name="Вывод 2 28 2 4" xfId="0"/>
    <cellStyle name="Вывод 2 28 3" xfId="0"/>
    <cellStyle name="Вывод 2 28 3 2" xfId="0"/>
    <cellStyle name="Вывод 2 28 3 3" xfId="0"/>
    <cellStyle name="Вывод 2 28 4" xfId="0"/>
    <cellStyle name="Вывод 2 28 5" xfId="0"/>
    <cellStyle name="Вывод 2 29" xfId="0"/>
    <cellStyle name="Вывод 2 29 2" xfId="0"/>
    <cellStyle name="Вывод 2 29 2 2" xfId="0"/>
    <cellStyle name="Вывод 2 29 2 3" xfId="0"/>
    <cellStyle name="Вывод 2 29 3" xfId="0"/>
    <cellStyle name="Вывод 2 29 4" xfId="0"/>
    <cellStyle name="Вывод 2 3" xfId="0"/>
    <cellStyle name="Вывод 2 3 10" xfId="0"/>
    <cellStyle name="Вывод 2 3 2" xfId="0"/>
    <cellStyle name="Вывод 2 3 2 2" xfId="0"/>
    <cellStyle name="Вывод 2 3 2 2 2" xfId="0"/>
    <cellStyle name="Вывод 2 3 2 2 2 2" xfId="0"/>
    <cellStyle name="Вывод 2 3 2 2 2 3" xfId="0"/>
    <cellStyle name="Вывод 2 3 2 2 3" xfId="0"/>
    <cellStyle name="Вывод 2 3 2 2 4" xfId="0"/>
    <cellStyle name="Вывод 2 3 2 3" xfId="0"/>
    <cellStyle name="Вывод 2 3 2 3 2" xfId="0"/>
    <cellStyle name="Вывод 2 3 2 3 2 2" xfId="0"/>
    <cellStyle name="Вывод 2 3 2 3 2 3" xfId="0"/>
    <cellStyle name="Вывод 2 3 2 3 3" xfId="0"/>
    <cellStyle name="Вывод 2 3 2 3 4" xfId="0"/>
    <cellStyle name="Вывод 2 3 2 4" xfId="0"/>
    <cellStyle name="Вывод 2 3 2 4 2" xfId="0"/>
    <cellStyle name="Вывод 2 3 2 4 3" xfId="0"/>
    <cellStyle name="Вывод 2 3 2 5" xfId="0"/>
    <cellStyle name="Вывод 2 3 2 6" xfId="0"/>
    <cellStyle name="Вывод 2 3 3" xfId="0"/>
    <cellStyle name="Вывод 2 3 3 2" xfId="0"/>
    <cellStyle name="Вывод 2 3 3 2 2" xfId="0"/>
    <cellStyle name="Вывод 2 3 3 2 2 2" xfId="0"/>
    <cellStyle name="Вывод 2 3 3 2 2 3" xfId="0"/>
    <cellStyle name="Вывод 2 3 3 2 3" xfId="0"/>
    <cellStyle name="Вывод 2 3 3 2 4" xfId="0"/>
    <cellStyle name="Вывод 2 3 3 3" xfId="0"/>
    <cellStyle name="Вывод 2 3 3 3 2" xfId="0"/>
    <cellStyle name="Вывод 2 3 3 3 2 2" xfId="0"/>
    <cellStyle name="Вывод 2 3 3 3 2 3" xfId="0"/>
    <cellStyle name="Вывод 2 3 3 3 3" xfId="0"/>
    <cellStyle name="Вывод 2 3 3 3 4" xfId="0"/>
    <cellStyle name="Вывод 2 3 3 4" xfId="0"/>
    <cellStyle name="Вывод 2 3 3 4 2" xfId="0"/>
    <cellStyle name="Вывод 2 3 3 4 3" xfId="0"/>
    <cellStyle name="Вывод 2 3 3 5" xfId="0"/>
    <cellStyle name="Вывод 2 3 3 6" xfId="0"/>
    <cellStyle name="Вывод 2 3 4" xfId="0"/>
    <cellStyle name="Вывод 2 3 4 2" xfId="0"/>
    <cellStyle name="Вывод 2 3 4 2 2" xfId="0"/>
    <cellStyle name="Вывод 2 3 4 2 2 2" xfId="0"/>
    <cellStyle name="Вывод 2 3 4 2 2 3" xfId="0"/>
    <cellStyle name="Вывод 2 3 4 2 3" xfId="0"/>
    <cellStyle name="Вывод 2 3 4 2 4" xfId="0"/>
    <cellStyle name="Вывод 2 3 4 3" xfId="0"/>
    <cellStyle name="Вывод 2 3 4 3 2" xfId="0"/>
    <cellStyle name="Вывод 2 3 4 3 2 2" xfId="0"/>
    <cellStyle name="Вывод 2 3 4 3 2 3" xfId="0"/>
    <cellStyle name="Вывод 2 3 4 3 3" xfId="0"/>
    <cellStyle name="Вывод 2 3 4 3 4" xfId="0"/>
    <cellStyle name="Вывод 2 3 4 4" xfId="0"/>
    <cellStyle name="Вывод 2 3 4 4 2" xfId="0"/>
    <cellStyle name="Вывод 2 3 4 4 3" xfId="0"/>
    <cellStyle name="Вывод 2 3 4 5" xfId="0"/>
    <cellStyle name="Вывод 2 3 4 6" xfId="0"/>
    <cellStyle name="Вывод 2 3 5" xfId="0"/>
    <cellStyle name="Вывод 2 3 5 2" xfId="0"/>
    <cellStyle name="Вывод 2 3 5 2 2" xfId="0"/>
    <cellStyle name="Вывод 2 3 5 2 2 2" xfId="0"/>
    <cellStyle name="Вывод 2 3 5 2 2 3" xfId="0"/>
    <cellStyle name="Вывод 2 3 5 2 3" xfId="0"/>
    <cellStyle name="Вывод 2 3 5 2 4" xfId="0"/>
    <cellStyle name="Вывод 2 3 5 3" xfId="0"/>
    <cellStyle name="Вывод 2 3 5 3 2" xfId="0"/>
    <cellStyle name="Вывод 2 3 5 3 2 2" xfId="0"/>
    <cellStyle name="Вывод 2 3 5 3 2 3" xfId="0"/>
    <cellStyle name="Вывод 2 3 5 3 3" xfId="0"/>
    <cellStyle name="Вывод 2 3 5 3 4" xfId="0"/>
    <cellStyle name="Вывод 2 3 5 4" xfId="0"/>
    <cellStyle name="Вывод 2 3 5 4 2" xfId="0"/>
    <cellStyle name="Вывод 2 3 5 4 3" xfId="0"/>
    <cellStyle name="Вывод 2 3 5 5" xfId="0"/>
    <cellStyle name="Вывод 2 3 5 6" xfId="0"/>
    <cellStyle name="Вывод 2 3 6" xfId="0"/>
    <cellStyle name="Вывод 2 3 6 2" xfId="0"/>
    <cellStyle name="Вывод 2 3 6 2 2" xfId="0"/>
    <cellStyle name="Вывод 2 3 6 2 2 2" xfId="0"/>
    <cellStyle name="Вывод 2 3 6 2 2 3" xfId="0"/>
    <cellStyle name="Вывод 2 3 6 2 3" xfId="0"/>
    <cellStyle name="Вывод 2 3 6 2 4" xfId="0"/>
    <cellStyle name="Вывод 2 3 6 3" xfId="0"/>
    <cellStyle name="Вывод 2 3 6 3 2" xfId="0"/>
    <cellStyle name="Вывод 2 3 6 3 3" xfId="0"/>
    <cellStyle name="Вывод 2 3 6 4" xfId="0"/>
    <cellStyle name="Вывод 2 3 6 5" xfId="0"/>
    <cellStyle name="Вывод 2 3 7" xfId="0"/>
    <cellStyle name="Вывод 2 3 7 2" xfId="0"/>
    <cellStyle name="Вывод 2 3 7 2 2" xfId="0"/>
    <cellStyle name="Вывод 2 3 7 2 2 2" xfId="0"/>
    <cellStyle name="Вывод 2 3 7 2 2 3" xfId="0"/>
    <cellStyle name="Вывод 2 3 7 2 3" xfId="0"/>
    <cellStyle name="Вывод 2 3 7 2 4" xfId="0"/>
    <cellStyle name="Вывод 2 3 7 3" xfId="0"/>
    <cellStyle name="Вывод 2 3 7 3 2" xfId="0"/>
    <cellStyle name="Вывод 2 3 7 3 3" xfId="0"/>
    <cellStyle name="Вывод 2 3 7 4" xfId="0"/>
    <cellStyle name="Вывод 2 3 7 5" xfId="0"/>
    <cellStyle name="Вывод 2 3 8" xfId="0"/>
    <cellStyle name="Вывод 2 3 8 2" xfId="0"/>
    <cellStyle name="Вывод 2 3 8 3" xfId="0"/>
    <cellStyle name="Вывод 2 3 9" xfId="0"/>
    <cellStyle name="Вывод 2 30" xfId="0"/>
    <cellStyle name="Вывод 2 30 2" xfId="0"/>
    <cellStyle name="Вывод 2 30 2 2" xfId="0"/>
    <cellStyle name="Вывод 2 30 2 3" xfId="0"/>
    <cellStyle name="Вывод 2 30 3" xfId="0"/>
    <cellStyle name="Вывод 2 30 4" xfId="0"/>
    <cellStyle name="Вывод 2 31" xfId="0"/>
    <cellStyle name="Вывод 2 31 2" xfId="0"/>
    <cellStyle name="Вывод 2 31 3" xfId="0"/>
    <cellStyle name="Вывод 2 32" xfId="0"/>
    <cellStyle name="Вывод 2 32 2" xfId="0"/>
    <cellStyle name="Вывод 2 32 3" xfId="0"/>
    <cellStyle name="Вывод 2 33" xfId="0"/>
    <cellStyle name="Вывод 2 33 2" xfId="0"/>
    <cellStyle name="Вывод 2 33 3" xfId="0"/>
    <cellStyle name="Вывод 2 34" xfId="0"/>
    <cellStyle name="Вывод 2 34 2" xfId="0"/>
    <cellStyle name="Вывод 2 34 3" xfId="0"/>
    <cellStyle name="Вывод 2 35" xfId="0"/>
    <cellStyle name="Вывод 2 4" xfId="0"/>
    <cellStyle name="Вывод 2 4 10" xfId="0"/>
    <cellStyle name="Вывод 2 4 2" xfId="0"/>
    <cellStyle name="Вывод 2 4 2 2" xfId="0"/>
    <cellStyle name="Вывод 2 4 2 2 2" xfId="0"/>
    <cellStyle name="Вывод 2 4 2 2 2 2" xfId="0"/>
    <cellStyle name="Вывод 2 4 2 2 2 3" xfId="0"/>
    <cellStyle name="Вывод 2 4 2 2 3" xfId="0"/>
    <cellStyle name="Вывод 2 4 2 2 4" xfId="0"/>
    <cellStyle name="Вывод 2 4 2 3" xfId="0"/>
    <cellStyle name="Вывод 2 4 2 3 2" xfId="0"/>
    <cellStyle name="Вывод 2 4 2 3 2 2" xfId="0"/>
    <cellStyle name="Вывод 2 4 2 3 2 3" xfId="0"/>
    <cellStyle name="Вывод 2 4 2 3 3" xfId="0"/>
    <cellStyle name="Вывод 2 4 2 3 4" xfId="0"/>
    <cellStyle name="Вывод 2 4 2 4" xfId="0"/>
    <cellStyle name="Вывод 2 4 2 4 2" xfId="0"/>
    <cellStyle name="Вывод 2 4 2 4 3" xfId="0"/>
    <cellStyle name="Вывод 2 4 2 5" xfId="0"/>
    <cellStyle name="Вывод 2 4 2 6" xfId="0"/>
    <cellStyle name="Вывод 2 4 3" xfId="0"/>
    <cellStyle name="Вывод 2 4 3 2" xfId="0"/>
    <cellStyle name="Вывод 2 4 3 2 2" xfId="0"/>
    <cellStyle name="Вывод 2 4 3 2 2 2" xfId="0"/>
    <cellStyle name="Вывод 2 4 3 2 2 3" xfId="0"/>
    <cellStyle name="Вывод 2 4 3 2 3" xfId="0"/>
    <cellStyle name="Вывод 2 4 3 2 4" xfId="0"/>
    <cellStyle name="Вывод 2 4 3 3" xfId="0"/>
    <cellStyle name="Вывод 2 4 3 3 2" xfId="0"/>
    <cellStyle name="Вывод 2 4 3 3 2 2" xfId="0"/>
    <cellStyle name="Вывод 2 4 3 3 2 3" xfId="0"/>
    <cellStyle name="Вывод 2 4 3 3 3" xfId="0"/>
    <cellStyle name="Вывод 2 4 3 3 4" xfId="0"/>
    <cellStyle name="Вывод 2 4 3 4" xfId="0"/>
    <cellStyle name="Вывод 2 4 3 4 2" xfId="0"/>
    <cellStyle name="Вывод 2 4 3 4 3" xfId="0"/>
    <cellStyle name="Вывод 2 4 3 5" xfId="0"/>
    <cellStyle name="Вывод 2 4 3 6" xfId="0"/>
    <cellStyle name="Вывод 2 4 4" xfId="0"/>
    <cellStyle name="Вывод 2 4 4 2" xfId="0"/>
    <cellStyle name="Вывод 2 4 4 2 2" xfId="0"/>
    <cellStyle name="Вывод 2 4 4 2 2 2" xfId="0"/>
    <cellStyle name="Вывод 2 4 4 2 2 3" xfId="0"/>
    <cellStyle name="Вывод 2 4 4 2 3" xfId="0"/>
    <cellStyle name="Вывод 2 4 4 2 4" xfId="0"/>
    <cellStyle name="Вывод 2 4 4 3" xfId="0"/>
    <cellStyle name="Вывод 2 4 4 3 2" xfId="0"/>
    <cellStyle name="Вывод 2 4 4 3 2 2" xfId="0"/>
    <cellStyle name="Вывод 2 4 4 3 2 3" xfId="0"/>
    <cellStyle name="Вывод 2 4 4 3 3" xfId="0"/>
    <cellStyle name="Вывод 2 4 4 3 4" xfId="0"/>
    <cellStyle name="Вывод 2 4 4 4" xfId="0"/>
    <cellStyle name="Вывод 2 4 4 4 2" xfId="0"/>
    <cellStyle name="Вывод 2 4 4 4 3" xfId="0"/>
    <cellStyle name="Вывод 2 4 4 5" xfId="0"/>
    <cellStyle name="Вывод 2 4 4 6" xfId="0"/>
    <cellStyle name="Вывод 2 4 5" xfId="0"/>
    <cellStyle name="Вывод 2 4 5 2" xfId="0"/>
    <cellStyle name="Вывод 2 4 5 2 2" xfId="0"/>
    <cellStyle name="Вывод 2 4 5 2 2 2" xfId="0"/>
    <cellStyle name="Вывод 2 4 5 2 2 3" xfId="0"/>
    <cellStyle name="Вывод 2 4 5 2 3" xfId="0"/>
    <cellStyle name="Вывод 2 4 5 2 4" xfId="0"/>
    <cellStyle name="Вывод 2 4 5 3" xfId="0"/>
    <cellStyle name="Вывод 2 4 5 3 2" xfId="0"/>
    <cellStyle name="Вывод 2 4 5 3 2 2" xfId="0"/>
    <cellStyle name="Вывод 2 4 5 3 2 3" xfId="0"/>
    <cellStyle name="Вывод 2 4 5 3 3" xfId="0"/>
    <cellStyle name="Вывод 2 4 5 3 4" xfId="0"/>
    <cellStyle name="Вывод 2 4 5 4" xfId="0"/>
    <cellStyle name="Вывод 2 4 5 4 2" xfId="0"/>
    <cellStyle name="Вывод 2 4 5 4 3" xfId="0"/>
    <cellStyle name="Вывод 2 4 5 5" xfId="0"/>
    <cellStyle name="Вывод 2 4 5 6" xfId="0"/>
    <cellStyle name="Вывод 2 4 6" xfId="0"/>
    <cellStyle name="Вывод 2 4 6 2" xfId="0"/>
    <cellStyle name="Вывод 2 4 6 2 2" xfId="0"/>
    <cellStyle name="Вывод 2 4 6 2 2 2" xfId="0"/>
    <cellStyle name="Вывод 2 4 6 2 2 3" xfId="0"/>
    <cellStyle name="Вывод 2 4 6 2 3" xfId="0"/>
    <cellStyle name="Вывод 2 4 6 2 4" xfId="0"/>
    <cellStyle name="Вывод 2 4 6 3" xfId="0"/>
    <cellStyle name="Вывод 2 4 6 3 2" xfId="0"/>
    <cellStyle name="Вывод 2 4 6 3 3" xfId="0"/>
    <cellStyle name="Вывод 2 4 6 4" xfId="0"/>
    <cellStyle name="Вывод 2 4 6 5" xfId="0"/>
    <cellStyle name="Вывод 2 4 7" xfId="0"/>
    <cellStyle name="Вывод 2 4 7 2" xfId="0"/>
    <cellStyle name="Вывод 2 4 7 2 2" xfId="0"/>
    <cellStyle name="Вывод 2 4 7 2 2 2" xfId="0"/>
    <cellStyle name="Вывод 2 4 7 2 2 3" xfId="0"/>
    <cellStyle name="Вывод 2 4 7 2 3" xfId="0"/>
    <cellStyle name="Вывод 2 4 7 2 4" xfId="0"/>
    <cellStyle name="Вывод 2 4 7 3" xfId="0"/>
    <cellStyle name="Вывод 2 4 7 3 2" xfId="0"/>
    <cellStyle name="Вывод 2 4 7 3 3" xfId="0"/>
    <cellStyle name="Вывод 2 4 7 4" xfId="0"/>
    <cellStyle name="Вывод 2 4 7 5" xfId="0"/>
    <cellStyle name="Вывод 2 4 8" xfId="0"/>
    <cellStyle name="Вывод 2 4 8 2" xfId="0"/>
    <cellStyle name="Вывод 2 4 8 3" xfId="0"/>
    <cellStyle name="Вывод 2 4 9" xfId="0"/>
    <cellStyle name="Вывод 2 5" xfId="0"/>
    <cellStyle name="Вывод 2 5 2" xfId="0"/>
    <cellStyle name="Вывод 2 5 2 2" xfId="0"/>
    <cellStyle name="Вывод 2 5 2 2 2" xfId="0"/>
    <cellStyle name="Вывод 2 5 2 2 2 2" xfId="0"/>
    <cellStyle name="Вывод 2 5 2 2 2 3" xfId="0"/>
    <cellStyle name="Вывод 2 5 2 2 3" xfId="0"/>
    <cellStyle name="Вывод 2 5 2 2 4" xfId="0"/>
    <cellStyle name="Вывод 2 5 2 3" xfId="0"/>
    <cellStyle name="Вывод 2 5 2 3 2" xfId="0"/>
    <cellStyle name="Вывод 2 5 2 3 2 2" xfId="0"/>
    <cellStyle name="Вывод 2 5 2 3 2 3" xfId="0"/>
    <cellStyle name="Вывод 2 5 2 3 3" xfId="0"/>
    <cellStyle name="Вывод 2 5 2 3 4" xfId="0"/>
    <cellStyle name="Вывод 2 5 2 4" xfId="0"/>
    <cellStyle name="Вывод 2 5 2 4 2" xfId="0"/>
    <cellStyle name="Вывод 2 5 2 4 3" xfId="0"/>
    <cellStyle name="Вывод 2 5 2 5" xfId="0"/>
    <cellStyle name="Вывод 2 5 2 6" xfId="0"/>
    <cellStyle name="Вывод 2 5 3" xfId="0"/>
    <cellStyle name="Вывод 2 5 3 2" xfId="0"/>
    <cellStyle name="Вывод 2 5 3 2 2" xfId="0"/>
    <cellStyle name="Вывод 2 5 3 2 2 2" xfId="0"/>
    <cellStyle name="Вывод 2 5 3 2 2 3" xfId="0"/>
    <cellStyle name="Вывод 2 5 3 2 3" xfId="0"/>
    <cellStyle name="Вывод 2 5 3 2 4" xfId="0"/>
    <cellStyle name="Вывод 2 5 3 3" xfId="0"/>
    <cellStyle name="Вывод 2 5 3 3 2" xfId="0"/>
    <cellStyle name="Вывод 2 5 3 3 3" xfId="0"/>
    <cellStyle name="Вывод 2 5 3 4" xfId="0"/>
    <cellStyle name="Вывод 2 5 3 5" xfId="0"/>
    <cellStyle name="Вывод 2 5 4" xfId="0"/>
    <cellStyle name="Вывод 2 5 4 2" xfId="0"/>
    <cellStyle name="Вывод 2 5 4 2 2" xfId="0"/>
    <cellStyle name="Вывод 2 5 4 2 2 2" xfId="0"/>
    <cellStyle name="Вывод 2 5 4 2 2 3" xfId="0"/>
    <cellStyle name="Вывод 2 5 4 2 3" xfId="0"/>
    <cellStyle name="Вывод 2 5 4 2 4" xfId="0"/>
    <cellStyle name="Вывод 2 5 4 3" xfId="0"/>
    <cellStyle name="Вывод 2 5 4 3 2" xfId="0"/>
    <cellStyle name="Вывод 2 5 4 3 3" xfId="0"/>
    <cellStyle name="Вывод 2 5 4 4" xfId="0"/>
    <cellStyle name="Вывод 2 5 4 5" xfId="0"/>
    <cellStyle name="Вывод 2 5 5" xfId="0"/>
    <cellStyle name="Вывод 2 5 5 2" xfId="0"/>
    <cellStyle name="Вывод 2 5 5 3" xfId="0"/>
    <cellStyle name="Вывод 2 5 6" xfId="0"/>
    <cellStyle name="Вывод 2 5 7" xfId="0"/>
    <cellStyle name="Вывод 2 6" xfId="0"/>
    <cellStyle name="Вывод 2 6 2" xfId="0"/>
    <cellStyle name="Вывод 2 6 2 2" xfId="0"/>
    <cellStyle name="Вывод 2 6 2 2 2" xfId="0"/>
    <cellStyle name="Вывод 2 6 2 2 2 2" xfId="0"/>
    <cellStyle name="Вывод 2 6 2 2 2 3" xfId="0"/>
    <cellStyle name="Вывод 2 6 2 2 3" xfId="0"/>
    <cellStyle name="Вывод 2 6 2 2 4" xfId="0"/>
    <cellStyle name="Вывод 2 6 2 3" xfId="0"/>
    <cellStyle name="Вывод 2 6 2 3 2" xfId="0"/>
    <cellStyle name="Вывод 2 6 2 3 2 2" xfId="0"/>
    <cellStyle name="Вывод 2 6 2 3 2 3" xfId="0"/>
    <cellStyle name="Вывод 2 6 2 3 3" xfId="0"/>
    <cellStyle name="Вывод 2 6 2 3 4" xfId="0"/>
    <cellStyle name="Вывод 2 6 2 4" xfId="0"/>
    <cellStyle name="Вывод 2 6 2 4 2" xfId="0"/>
    <cellStyle name="Вывод 2 6 2 4 3" xfId="0"/>
    <cellStyle name="Вывод 2 6 2 5" xfId="0"/>
    <cellStyle name="Вывод 2 6 2 6" xfId="0"/>
    <cellStyle name="Вывод 2 6 3" xfId="0"/>
    <cellStyle name="Вывод 2 6 3 2" xfId="0"/>
    <cellStyle name="Вывод 2 6 3 2 2" xfId="0"/>
    <cellStyle name="Вывод 2 6 3 2 2 2" xfId="0"/>
    <cellStyle name="Вывод 2 6 3 2 2 3" xfId="0"/>
    <cellStyle name="Вывод 2 6 3 2 3" xfId="0"/>
    <cellStyle name="Вывод 2 6 3 2 4" xfId="0"/>
    <cellStyle name="Вывод 2 6 3 3" xfId="0"/>
    <cellStyle name="Вывод 2 6 3 3 2" xfId="0"/>
    <cellStyle name="Вывод 2 6 3 3 3" xfId="0"/>
    <cellStyle name="Вывод 2 6 3 4" xfId="0"/>
    <cellStyle name="Вывод 2 6 3 5" xfId="0"/>
    <cellStyle name="Вывод 2 6 4" xfId="0"/>
    <cellStyle name="Вывод 2 6 4 2" xfId="0"/>
    <cellStyle name="Вывод 2 6 4 2 2" xfId="0"/>
    <cellStyle name="Вывод 2 6 4 2 2 2" xfId="0"/>
    <cellStyle name="Вывод 2 6 4 2 2 3" xfId="0"/>
    <cellStyle name="Вывод 2 6 4 2 3" xfId="0"/>
    <cellStyle name="Вывод 2 6 4 2 4" xfId="0"/>
    <cellStyle name="Вывод 2 6 4 3" xfId="0"/>
    <cellStyle name="Вывод 2 6 4 3 2" xfId="0"/>
    <cellStyle name="Вывод 2 6 4 3 3" xfId="0"/>
    <cellStyle name="Вывод 2 6 4 4" xfId="0"/>
    <cellStyle name="Вывод 2 6 4 5" xfId="0"/>
    <cellStyle name="Вывод 2 6 5" xfId="0"/>
    <cellStyle name="Вывод 2 6 5 2" xfId="0"/>
    <cellStyle name="Вывод 2 6 5 3" xfId="0"/>
    <cellStyle name="Вывод 2 6 6" xfId="0"/>
    <cellStyle name="Вывод 2 6 7" xfId="0"/>
    <cellStyle name="Вывод 2 7" xfId="0"/>
    <cellStyle name="Вывод 2 7 2" xfId="0"/>
    <cellStyle name="Вывод 2 7 2 2" xfId="0"/>
    <cellStyle name="Вывод 2 7 2 2 2" xfId="0"/>
    <cellStyle name="Вывод 2 7 2 2 2 2" xfId="0"/>
    <cellStyle name="Вывод 2 7 2 2 2 3" xfId="0"/>
    <cellStyle name="Вывод 2 7 2 2 3" xfId="0"/>
    <cellStyle name="Вывод 2 7 2 2 4" xfId="0"/>
    <cellStyle name="Вывод 2 7 2 3" xfId="0"/>
    <cellStyle name="Вывод 2 7 2 3 2" xfId="0"/>
    <cellStyle name="Вывод 2 7 2 3 2 2" xfId="0"/>
    <cellStyle name="Вывод 2 7 2 3 2 3" xfId="0"/>
    <cellStyle name="Вывод 2 7 2 3 3" xfId="0"/>
    <cellStyle name="Вывод 2 7 2 3 4" xfId="0"/>
    <cellStyle name="Вывод 2 7 2 4" xfId="0"/>
    <cellStyle name="Вывод 2 7 2 4 2" xfId="0"/>
    <cellStyle name="Вывод 2 7 2 4 3" xfId="0"/>
    <cellStyle name="Вывод 2 7 2 5" xfId="0"/>
    <cellStyle name="Вывод 2 7 2 6" xfId="0"/>
    <cellStyle name="Вывод 2 7 3" xfId="0"/>
    <cellStyle name="Вывод 2 7 3 2" xfId="0"/>
    <cellStyle name="Вывод 2 7 3 2 2" xfId="0"/>
    <cellStyle name="Вывод 2 7 3 2 2 2" xfId="0"/>
    <cellStyle name="Вывод 2 7 3 2 2 3" xfId="0"/>
    <cellStyle name="Вывод 2 7 3 2 3" xfId="0"/>
    <cellStyle name="Вывод 2 7 3 2 4" xfId="0"/>
    <cellStyle name="Вывод 2 7 3 3" xfId="0"/>
    <cellStyle name="Вывод 2 7 3 3 2" xfId="0"/>
    <cellStyle name="Вывод 2 7 3 3 3" xfId="0"/>
    <cellStyle name="Вывод 2 7 3 4" xfId="0"/>
    <cellStyle name="Вывод 2 7 3 5" xfId="0"/>
    <cellStyle name="Вывод 2 7 4" xfId="0"/>
    <cellStyle name="Вывод 2 7 4 2" xfId="0"/>
    <cellStyle name="Вывод 2 7 4 2 2" xfId="0"/>
    <cellStyle name="Вывод 2 7 4 2 2 2" xfId="0"/>
    <cellStyle name="Вывод 2 7 4 2 2 3" xfId="0"/>
    <cellStyle name="Вывод 2 7 4 2 3" xfId="0"/>
    <cellStyle name="Вывод 2 7 4 2 4" xfId="0"/>
    <cellStyle name="Вывод 2 7 4 3" xfId="0"/>
    <cellStyle name="Вывод 2 7 4 3 2" xfId="0"/>
    <cellStyle name="Вывод 2 7 4 3 3" xfId="0"/>
    <cellStyle name="Вывод 2 7 4 4" xfId="0"/>
    <cellStyle name="Вывод 2 7 4 5" xfId="0"/>
    <cellStyle name="Вывод 2 7 5" xfId="0"/>
    <cellStyle name="Вывод 2 7 5 2" xfId="0"/>
    <cellStyle name="Вывод 2 7 5 3" xfId="0"/>
    <cellStyle name="Вывод 2 7 6" xfId="0"/>
    <cellStyle name="Вывод 2 7 7" xfId="0"/>
    <cellStyle name="Вывод 2 8" xfId="0"/>
    <cellStyle name="Вывод 2 8 2" xfId="0"/>
    <cellStyle name="Вывод 2 8 2 2" xfId="0"/>
    <cellStyle name="Вывод 2 8 2 2 2" xfId="0"/>
    <cellStyle name="Вывод 2 8 2 2 2 2" xfId="0"/>
    <cellStyle name="Вывод 2 8 2 2 2 3" xfId="0"/>
    <cellStyle name="Вывод 2 8 2 2 3" xfId="0"/>
    <cellStyle name="Вывод 2 8 2 2 4" xfId="0"/>
    <cellStyle name="Вывод 2 8 2 3" xfId="0"/>
    <cellStyle name="Вывод 2 8 2 3 2" xfId="0"/>
    <cellStyle name="Вывод 2 8 2 3 2 2" xfId="0"/>
    <cellStyle name="Вывод 2 8 2 3 2 3" xfId="0"/>
    <cellStyle name="Вывод 2 8 2 3 3" xfId="0"/>
    <cellStyle name="Вывод 2 8 2 3 4" xfId="0"/>
    <cellStyle name="Вывод 2 8 2 4" xfId="0"/>
    <cellStyle name="Вывод 2 8 2 4 2" xfId="0"/>
    <cellStyle name="Вывод 2 8 2 4 3" xfId="0"/>
    <cellStyle name="Вывод 2 8 2 5" xfId="0"/>
    <cellStyle name="Вывод 2 8 2 6" xfId="0"/>
    <cellStyle name="Вывод 2 8 3" xfId="0"/>
    <cellStyle name="Вывод 2 8 3 2" xfId="0"/>
    <cellStyle name="Вывод 2 8 3 2 2" xfId="0"/>
    <cellStyle name="Вывод 2 8 3 2 2 2" xfId="0"/>
    <cellStyle name="Вывод 2 8 3 2 2 3" xfId="0"/>
    <cellStyle name="Вывод 2 8 3 2 3" xfId="0"/>
    <cellStyle name="Вывод 2 8 3 2 4" xfId="0"/>
    <cellStyle name="Вывод 2 8 3 3" xfId="0"/>
    <cellStyle name="Вывод 2 8 3 3 2" xfId="0"/>
    <cellStyle name="Вывод 2 8 3 3 3" xfId="0"/>
    <cellStyle name="Вывод 2 8 3 4" xfId="0"/>
    <cellStyle name="Вывод 2 8 3 5" xfId="0"/>
    <cellStyle name="Вывод 2 8 4" xfId="0"/>
    <cellStyle name="Вывод 2 8 4 2" xfId="0"/>
    <cellStyle name="Вывод 2 8 4 2 2" xfId="0"/>
    <cellStyle name="Вывод 2 8 4 2 2 2" xfId="0"/>
    <cellStyle name="Вывод 2 8 4 2 2 3" xfId="0"/>
    <cellStyle name="Вывод 2 8 4 2 3" xfId="0"/>
    <cellStyle name="Вывод 2 8 4 2 4" xfId="0"/>
    <cellStyle name="Вывод 2 8 4 3" xfId="0"/>
    <cellStyle name="Вывод 2 8 4 3 2" xfId="0"/>
    <cellStyle name="Вывод 2 8 4 3 3" xfId="0"/>
    <cellStyle name="Вывод 2 8 4 4" xfId="0"/>
    <cellStyle name="Вывод 2 8 4 5" xfId="0"/>
    <cellStyle name="Вывод 2 8 5" xfId="0"/>
    <cellStyle name="Вывод 2 8 5 2" xfId="0"/>
    <cellStyle name="Вывод 2 8 5 3" xfId="0"/>
    <cellStyle name="Вывод 2 8 6" xfId="0"/>
    <cellStyle name="Вывод 2 8 7" xfId="0"/>
    <cellStyle name="Вывод 2 9" xfId="0"/>
    <cellStyle name="Вывод 2 9 2" xfId="0"/>
    <cellStyle name="Вывод 2 9 2 2" xfId="0"/>
    <cellStyle name="Вывод 2 9 2 2 2" xfId="0"/>
    <cellStyle name="Вывод 2 9 2 2 2 2" xfId="0"/>
    <cellStyle name="Вывод 2 9 2 2 2 3" xfId="0"/>
    <cellStyle name="Вывод 2 9 2 2 3" xfId="0"/>
    <cellStyle name="Вывод 2 9 2 2 4" xfId="0"/>
    <cellStyle name="Вывод 2 9 2 3" xfId="0"/>
    <cellStyle name="Вывод 2 9 2 3 2" xfId="0"/>
    <cellStyle name="Вывод 2 9 2 3 2 2" xfId="0"/>
    <cellStyle name="Вывод 2 9 2 3 2 3" xfId="0"/>
    <cellStyle name="Вывод 2 9 2 3 3" xfId="0"/>
    <cellStyle name="Вывод 2 9 2 3 4" xfId="0"/>
    <cellStyle name="Вывод 2 9 2 4" xfId="0"/>
    <cellStyle name="Вывод 2 9 2 4 2" xfId="0"/>
    <cellStyle name="Вывод 2 9 2 4 3" xfId="0"/>
    <cellStyle name="Вывод 2 9 2 5" xfId="0"/>
    <cellStyle name="Вывод 2 9 2 6" xfId="0"/>
    <cellStyle name="Вывод 2 9 3" xfId="0"/>
    <cellStyle name="Вывод 2 9 3 2" xfId="0"/>
    <cellStyle name="Вывод 2 9 3 2 2" xfId="0"/>
    <cellStyle name="Вывод 2 9 3 2 2 2" xfId="0"/>
    <cellStyle name="Вывод 2 9 3 2 2 3" xfId="0"/>
    <cellStyle name="Вывод 2 9 3 2 3" xfId="0"/>
    <cellStyle name="Вывод 2 9 3 2 4" xfId="0"/>
    <cellStyle name="Вывод 2 9 3 3" xfId="0"/>
    <cellStyle name="Вывод 2 9 3 3 2" xfId="0"/>
    <cellStyle name="Вывод 2 9 3 3 3" xfId="0"/>
    <cellStyle name="Вывод 2 9 3 4" xfId="0"/>
    <cellStyle name="Вывод 2 9 3 5" xfId="0"/>
    <cellStyle name="Вывод 2 9 4" xfId="0"/>
    <cellStyle name="Вывод 2 9 4 2" xfId="0"/>
    <cellStyle name="Вывод 2 9 4 2 2" xfId="0"/>
    <cellStyle name="Вывод 2 9 4 2 2 2" xfId="0"/>
    <cellStyle name="Вывод 2 9 4 2 2 3" xfId="0"/>
    <cellStyle name="Вывод 2 9 4 2 3" xfId="0"/>
    <cellStyle name="Вывод 2 9 4 2 4" xfId="0"/>
    <cellStyle name="Вывод 2 9 4 3" xfId="0"/>
    <cellStyle name="Вывод 2 9 4 3 2" xfId="0"/>
    <cellStyle name="Вывод 2 9 4 3 3" xfId="0"/>
    <cellStyle name="Вывод 2 9 4 4" xfId="0"/>
    <cellStyle name="Вывод 2 9 4 5" xfId="0"/>
    <cellStyle name="Вывод 2 9 5" xfId="0"/>
    <cellStyle name="Вывод 2 9 5 2" xfId="0"/>
    <cellStyle name="Вывод 2 9 5 3" xfId="0"/>
    <cellStyle name="Вывод 2 9 6" xfId="0"/>
    <cellStyle name="Вывод 2 9 7" xfId="0"/>
    <cellStyle name="Вывод 3" xfId="0"/>
    <cellStyle name="Вывод 3 10" xfId="0"/>
    <cellStyle name="Вывод 3 10 2" xfId="0"/>
    <cellStyle name="Вывод 3 10 2 2" xfId="0"/>
    <cellStyle name="Вывод 3 10 2 2 2" xfId="0"/>
    <cellStyle name="Вывод 3 10 2 2 2 2" xfId="0"/>
    <cellStyle name="Вывод 3 10 2 2 2 3" xfId="0"/>
    <cellStyle name="Вывод 3 10 2 2 3" xfId="0"/>
    <cellStyle name="Вывод 3 10 2 2 4" xfId="0"/>
    <cellStyle name="Вывод 3 10 2 3" xfId="0"/>
    <cellStyle name="Вывод 3 10 2 3 2" xfId="0"/>
    <cellStyle name="Вывод 3 10 2 3 2 2" xfId="0"/>
    <cellStyle name="Вывод 3 10 2 3 2 3" xfId="0"/>
    <cellStyle name="Вывод 3 10 2 3 3" xfId="0"/>
    <cellStyle name="Вывод 3 10 2 3 4" xfId="0"/>
    <cellStyle name="Вывод 3 10 2 4" xfId="0"/>
    <cellStyle name="Вывод 3 10 2 4 2" xfId="0"/>
    <cellStyle name="Вывод 3 10 2 4 3" xfId="0"/>
    <cellStyle name="Вывод 3 10 2 5" xfId="0"/>
    <cellStyle name="Вывод 3 10 2 6" xfId="0"/>
    <cellStyle name="Вывод 3 10 3" xfId="0"/>
    <cellStyle name="Вывод 3 10 3 2" xfId="0"/>
    <cellStyle name="Вывод 3 10 3 2 2" xfId="0"/>
    <cellStyle name="Вывод 3 10 3 2 2 2" xfId="0"/>
    <cellStyle name="Вывод 3 10 3 2 2 3" xfId="0"/>
    <cellStyle name="Вывод 3 10 3 2 3" xfId="0"/>
    <cellStyle name="Вывод 3 10 3 2 4" xfId="0"/>
    <cellStyle name="Вывод 3 10 3 3" xfId="0"/>
    <cellStyle name="Вывод 3 10 3 3 2" xfId="0"/>
    <cellStyle name="Вывод 3 10 3 3 3" xfId="0"/>
    <cellStyle name="Вывод 3 10 3 4" xfId="0"/>
    <cellStyle name="Вывод 3 10 3 5" xfId="0"/>
    <cellStyle name="Вывод 3 10 4" xfId="0"/>
    <cellStyle name="Вывод 3 10 4 2" xfId="0"/>
    <cellStyle name="Вывод 3 10 4 2 2" xfId="0"/>
    <cellStyle name="Вывод 3 10 4 2 2 2" xfId="0"/>
    <cellStyle name="Вывод 3 10 4 2 2 3" xfId="0"/>
    <cellStyle name="Вывод 3 10 4 2 3" xfId="0"/>
    <cellStyle name="Вывод 3 10 4 2 4" xfId="0"/>
    <cellStyle name="Вывод 3 10 4 3" xfId="0"/>
    <cellStyle name="Вывод 3 10 4 3 2" xfId="0"/>
    <cellStyle name="Вывод 3 10 4 3 3" xfId="0"/>
    <cellStyle name="Вывод 3 10 4 4" xfId="0"/>
    <cellStyle name="Вывод 3 10 4 5" xfId="0"/>
    <cellStyle name="Вывод 3 10 5" xfId="0"/>
    <cellStyle name="Вывод 3 10 5 2" xfId="0"/>
    <cellStyle name="Вывод 3 10 5 3" xfId="0"/>
    <cellStyle name="Вывод 3 10 6" xfId="0"/>
    <cellStyle name="Вывод 3 10 7" xfId="0"/>
    <cellStyle name="Вывод 3 11" xfId="0"/>
    <cellStyle name="Вывод 3 11 2" xfId="0"/>
    <cellStyle name="Вывод 3 11 2 2" xfId="0"/>
    <cellStyle name="Вывод 3 11 2 2 2" xfId="0"/>
    <cellStyle name="Вывод 3 11 2 2 2 2" xfId="0"/>
    <cellStyle name="Вывод 3 11 2 2 2 3" xfId="0"/>
    <cellStyle name="Вывод 3 11 2 2 3" xfId="0"/>
    <cellStyle name="Вывод 3 11 2 2 4" xfId="0"/>
    <cellStyle name="Вывод 3 11 2 3" xfId="0"/>
    <cellStyle name="Вывод 3 11 2 3 2" xfId="0"/>
    <cellStyle name="Вывод 3 11 2 3 2 2" xfId="0"/>
    <cellStyle name="Вывод 3 11 2 3 2 3" xfId="0"/>
    <cellStyle name="Вывод 3 11 2 3 3" xfId="0"/>
    <cellStyle name="Вывод 3 11 2 3 4" xfId="0"/>
    <cellStyle name="Вывод 3 11 2 4" xfId="0"/>
    <cellStyle name="Вывод 3 11 2 4 2" xfId="0"/>
    <cellStyle name="Вывод 3 11 2 4 3" xfId="0"/>
    <cellStyle name="Вывод 3 11 2 5" xfId="0"/>
    <cellStyle name="Вывод 3 11 2 6" xfId="0"/>
    <cellStyle name="Вывод 3 11 3" xfId="0"/>
    <cellStyle name="Вывод 3 11 3 2" xfId="0"/>
    <cellStyle name="Вывод 3 11 3 2 2" xfId="0"/>
    <cellStyle name="Вывод 3 11 3 2 2 2" xfId="0"/>
    <cellStyle name="Вывод 3 11 3 2 2 3" xfId="0"/>
    <cellStyle name="Вывод 3 11 3 2 3" xfId="0"/>
    <cellStyle name="Вывод 3 11 3 2 4" xfId="0"/>
    <cellStyle name="Вывод 3 11 3 3" xfId="0"/>
    <cellStyle name="Вывод 3 11 3 3 2" xfId="0"/>
    <cellStyle name="Вывод 3 11 3 3 3" xfId="0"/>
    <cellStyle name="Вывод 3 11 3 4" xfId="0"/>
    <cellStyle name="Вывод 3 11 3 5" xfId="0"/>
    <cellStyle name="Вывод 3 11 4" xfId="0"/>
    <cellStyle name="Вывод 3 11 4 2" xfId="0"/>
    <cellStyle name="Вывод 3 11 4 2 2" xfId="0"/>
    <cellStyle name="Вывод 3 11 4 2 2 2" xfId="0"/>
    <cellStyle name="Вывод 3 11 4 2 2 3" xfId="0"/>
    <cellStyle name="Вывод 3 11 4 2 3" xfId="0"/>
    <cellStyle name="Вывод 3 11 4 2 4" xfId="0"/>
    <cellStyle name="Вывод 3 11 4 3" xfId="0"/>
    <cellStyle name="Вывод 3 11 4 3 2" xfId="0"/>
    <cellStyle name="Вывод 3 11 4 3 3" xfId="0"/>
    <cellStyle name="Вывод 3 11 4 4" xfId="0"/>
    <cellStyle name="Вывод 3 11 4 5" xfId="0"/>
    <cellStyle name="Вывод 3 11 5" xfId="0"/>
    <cellStyle name="Вывод 3 11 5 2" xfId="0"/>
    <cellStyle name="Вывод 3 11 5 3" xfId="0"/>
    <cellStyle name="Вывод 3 11 6" xfId="0"/>
    <cellStyle name="Вывод 3 11 7" xfId="0"/>
    <cellStyle name="Вывод 3 12" xfId="0"/>
    <cellStyle name="Вывод 3 12 2" xfId="0"/>
    <cellStyle name="Вывод 3 12 2 2" xfId="0"/>
    <cellStyle name="Вывод 3 12 2 2 2" xfId="0"/>
    <cellStyle name="Вывод 3 12 2 2 2 2" xfId="0"/>
    <cellStyle name="Вывод 3 12 2 2 2 3" xfId="0"/>
    <cellStyle name="Вывод 3 12 2 2 3" xfId="0"/>
    <cellStyle name="Вывод 3 12 2 2 4" xfId="0"/>
    <cellStyle name="Вывод 3 12 2 3" xfId="0"/>
    <cellStyle name="Вывод 3 12 2 3 2" xfId="0"/>
    <cellStyle name="Вывод 3 12 2 3 2 2" xfId="0"/>
    <cellStyle name="Вывод 3 12 2 3 2 3" xfId="0"/>
    <cellStyle name="Вывод 3 12 2 3 3" xfId="0"/>
    <cellStyle name="Вывод 3 12 2 3 4" xfId="0"/>
    <cellStyle name="Вывод 3 12 2 4" xfId="0"/>
    <cellStyle name="Вывод 3 12 2 4 2" xfId="0"/>
    <cellStyle name="Вывод 3 12 2 4 3" xfId="0"/>
    <cellStyle name="Вывод 3 12 2 5" xfId="0"/>
    <cellStyle name="Вывод 3 12 2 6" xfId="0"/>
    <cellStyle name="Вывод 3 12 3" xfId="0"/>
    <cellStyle name="Вывод 3 12 3 2" xfId="0"/>
    <cellStyle name="Вывод 3 12 3 2 2" xfId="0"/>
    <cellStyle name="Вывод 3 12 3 2 2 2" xfId="0"/>
    <cellStyle name="Вывод 3 12 3 2 2 3" xfId="0"/>
    <cellStyle name="Вывод 3 12 3 2 3" xfId="0"/>
    <cellStyle name="Вывод 3 12 3 2 4" xfId="0"/>
    <cellStyle name="Вывод 3 12 3 3" xfId="0"/>
    <cellStyle name="Вывод 3 12 3 3 2" xfId="0"/>
    <cellStyle name="Вывод 3 12 3 3 3" xfId="0"/>
    <cellStyle name="Вывод 3 12 3 4" xfId="0"/>
    <cellStyle name="Вывод 3 12 3 5" xfId="0"/>
    <cellStyle name="Вывод 3 12 4" xfId="0"/>
    <cellStyle name="Вывод 3 12 4 2" xfId="0"/>
    <cellStyle name="Вывод 3 12 4 2 2" xfId="0"/>
    <cellStyle name="Вывод 3 12 4 2 2 2" xfId="0"/>
    <cellStyle name="Вывод 3 12 4 2 2 3" xfId="0"/>
    <cellStyle name="Вывод 3 12 4 2 3" xfId="0"/>
    <cellStyle name="Вывод 3 12 4 2 4" xfId="0"/>
    <cellStyle name="Вывод 3 12 4 3" xfId="0"/>
    <cellStyle name="Вывод 3 12 4 3 2" xfId="0"/>
    <cellStyle name="Вывод 3 12 4 3 3" xfId="0"/>
    <cellStyle name="Вывод 3 12 4 4" xfId="0"/>
    <cellStyle name="Вывод 3 12 4 5" xfId="0"/>
    <cellStyle name="Вывод 3 12 5" xfId="0"/>
    <cellStyle name="Вывод 3 12 5 2" xfId="0"/>
    <cellStyle name="Вывод 3 12 5 3" xfId="0"/>
    <cellStyle name="Вывод 3 12 6" xfId="0"/>
    <cellStyle name="Вывод 3 12 7" xfId="0"/>
    <cellStyle name="Вывод 3 13" xfId="0"/>
    <cellStyle name="Вывод 3 13 2" xfId="0"/>
    <cellStyle name="Вывод 3 13 2 2" xfId="0"/>
    <cellStyle name="Вывод 3 13 2 2 2" xfId="0"/>
    <cellStyle name="Вывод 3 13 2 2 2 2" xfId="0"/>
    <cellStyle name="Вывод 3 13 2 2 2 3" xfId="0"/>
    <cellStyle name="Вывод 3 13 2 2 3" xfId="0"/>
    <cellStyle name="Вывод 3 13 2 2 4" xfId="0"/>
    <cellStyle name="Вывод 3 13 2 3" xfId="0"/>
    <cellStyle name="Вывод 3 13 2 3 2" xfId="0"/>
    <cellStyle name="Вывод 3 13 2 3 2 2" xfId="0"/>
    <cellStyle name="Вывод 3 13 2 3 2 3" xfId="0"/>
    <cellStyle name="Вывод 3 13 2 3 3" xfId="0"/>
    <cellStyle name="Вывод 3 13 2 3 4" xfId="0"/>
    <cellStyle name="Вывод 3 13 2 4" xfId="0"/>
    <cellStyle name="Вывод 3 13 2 4 2" xfId="0"/>
    <cellStyle name="Вывод 3 13 2 4 3" xfId="0"/>
    <cellStyle name="Вывод 3 13 2 5" xfId="0"/>
    <cellStyle name="Вывод 3 13 2 6" xfId="0"/>
    <cellStyle name="Вывод 3 13 3" xfId="0"/>
    <cellStyle name="Вывод 3 13 3 2" xfId="0"/>
    <cellStyle name="Вывод 3 13 3 2 2" xfId="0"/>
    <cellStyle name="Вывод 3 13 3 2 2 2" xfId="0"/>
    <cellStyle name="Вывод 3 13 3 2 2 3" xfId="0"/>
    <cellStyle name="Вывод 3 13 3 2 3" xfId="0"/>
    <cellStyle name="Вывод 3 13 3 2 4" xfId="0"/>
    <cellStyle name="Вывод 3 13 3 3" xfId="0"/>
    <cellStyle name="Вывод 3 13 3 3 2" xfId="0"/>
    <cellStyle name="Вывод 3 13 3 3 3" xfId="0"/>
    <cellStyle name="Вывод 3 13 3 4" xfId="0"/>
    <cellStyle name="Вывод 3 13 3 5" xfId="0"/>
    <cellStyle name="Вывод 3 13 4" xfId="0"/>
    <cellStyle name="Вывод 3 13 4 2" xfId="0"/>
    <cellStyle name="Вывод 3 13 4 2 2" xfId="0"/>
    <cellStyle name="Вывод 3 13 4 2 2 2" xfId="0"/>
    <cellStyle name="Вывод 3 13 4 2 2 3" xfId="0"/>
    <cellStyle name="Вывод 3 13 4 2 3" xfId="0"/>
    <cellStyle name="Вывод 3 13 4 2 4" xfId="0"/>
    <cellStyle name="Вывод 3 13 4 3" xfId="0"/>
    <cellStyle name="Вывод 3 13 4 3 2" xfId="0"/>
    <cellStyle name="Вывод 3 13 4 3 3" xfId="0"/>
    <cellStyle name="Вывод 3 13 4 4" xfId="0"/>
    <cellStyle name="Вывод 3 13 4 5" xfId="0"/>
    <cellStyle name="Вывод 3 13 5" xfId="0"/>
    <cellStyle name="Вывод 3 13 5 2" xfId="0"/>
    <cellStyle name="Вывод 3 13 5 3" xfId="0"/>
    <cellStyle name="Вывод 3 13 6" xfId="0"/>
    <cellStyle name="Вывод 3 13 7" xfId="0"/>
    <cellStyle name="Вывод 3 14" xfId="0"/>
    <cellStyle name="Вывод 3 14 2" xfId="0"/>
    <cellStyle name="Вывод 3 14 2 2" xfId="0"/>
    <cellStyle name="Вывод 3 14 2 2 2" xfId="0"/>
    <cellStyle name="Вывод 3 14 2 2 2 2" xfId="0"/>
    <cellStyle name="Вывод 3 14 2 2 2 3" xfId="0"/>
    <cellStyle name="Вывод 3 14 2 2 3" xfId="0"/>
    <cellStyle name="Вывод 3 14 2 2 4" xfId="0"/>
    <cellStyle name="Вывод 3 14 2 3" xfId="0"/>
    <cellStyle name="Вывод 3 14 2 3 2" xfId="0"/>
    <cellStyle name="Вывод 3 14 2 3 2 2" xfId="0"/>
    <cellStyle name="Вывод 3 14 2 3 2 3" xfId="0"/>
    <cellStyle name="Вывод 3 14 2 3 3" xfId="0"/>
    <cellStyle name="Вывод 3 14 2 3 4" xfId="0"/>
    <cellStyle name="Вывод 3 14 2 4" xfId="0"/>
    <cellStyle name="Вывод 3 14 2 4 2" xfId="0"/>
    <cellStyle name="Вывод 3 14 2 4 3" xfId="0"/>
    <cellStyle name="Вывод 3 14 2 5" xfId="0"/>
    <cellStyle name="Вывод 3 14 2 6" xfId="0"/>
    <cellStyle name="Вывод 3 14 3" xfId="0"/>
    <cellStyle name="Вывод 3 14 3 2" xfId="0"/>
    <cellStyle name="Вывод 3 14 3 2 2" xfId="0"/>
    <cellStyle name="Вывод 3 14 3 2 2 2" xfId="0"/>
    <cellStyle name="Вывод 3 14 3 2 2 3" xfId="0"/>
    <cellStyle name="Вывод 3 14 3 2 3" xfId="0"/>
    <cellStyle name="Вывод 3 14 3 2 4" xfId="0"/>
    <cellStyle name="Вывод 3 14 3 3" xfId="0"/>
    <cellStyle name="Вывод 3 14 3 3 2" xfId="0"/>
    <cellStyle name="Вывод 3 14 3 3 3" xfId="0"/>
    <cellStyle name="Вывод 3 14 3 4" xfId="0"/>
    <cellStyle name="Вывод 3 14 3 5" xfId="0"/>
    <cellStyle name="Вывод 3 14 4" xfId="0"/>
    <cellStyle name="Вывод 3 14 4 2" xfId="0"/>
    <cellStyle name="Вывод 3 14 4 2 2" xfId="0"/>
    <cellStyle name="Вывод 3 14 4 2 2 2" xfId="0"/>
    <cellStyle name="Вывод 3 14 4 2 2 3" xfId="0"/>
    <cellStyle name="Вывод 3 14 4 2 3" xfId="0"/>
    <cellStyle name="Вывод 3 14 4 2 4" xfId="0"/>
    <cellStyle name="Вывод 3 14 4 3" xfId="0"/>
    <cellStyle name="Вывод 3 14 4 3 2" xfId="0"/>
    <cellStyle name="Вывод 3 14 4 3 3" xfId="0"/>
    <cellStyle name="Вывод 3 14 4 4" xfId="0"/>
    <cellStyle name="Вывод 3 14 4 5" xfId="0"/>
    <cellStyle name="Вывод 3 14 5" xfId="0"/>
    <cellStyle name="Вывод 3 14 5 2" xfId="0"/>
    <cellStyle name="Вывод 3 14 5 3" xfId="0"/>
    <cellStyle name="Вывод 3 14 6" xfId="0"/>
    <cellStyle name="Вывод 3 14 7" xfId="0"/>
    <cellStyle name="Вывод 3 15" xfId="0"/>
    <cellStyle name="Вывод 3 15 2" xfId="0"/>
    <cellStyle name="Вывод 3 15 2 2" xfId="0"/>
    <cellStyle name="Вывод 3 15 2 2 2" xfId="0"/>
    <cellStyle name="Вывод 3 15 2 2 2 2" xfId="0"/>
    <cellStyle name="Вывод 3 15 2 2 2 3" xfId="0"/>
    <cellStyle name="Вывод 3 15 2 2 3" xfId="0"/>
    <cellStyle name="Вывод 3 15 2 2 4" xfId="0"/>
    <cellStyle name="Вывод 3 15 2 3" xfId="0"/>
    <cellStyle name="Вывод 3 15 2 3 2" xfId="0"/>
    <cellStyle name="Вывод 3 15 2 3 2 2" xfId="0"/>
    <cellStyle name="Вывод 3 15 2 3 2 3" xfId="0"/>
    <cellStyle name="Вывод 3 15 2 3 3" xfId="0"/>
    <cellStyle name="Вывод 3 15 2 3 4" xfId="0"/>
    <cellStyle name="Вывод 3 15 2 4" xfId="0"/>
    <cellStyle name="Вывод 3 15 2 4 2" xfId="0"/>
    <cellStyle name="Вывод 3 15 2 4 3" xfId="0"/>
    <cellStyle name="Вывод 3 15 2 5" xfId="0"/>
    <cellStyle name="Вывод 3 15 2 6" xfId="0"/>
    <cellStyle name="Вывод 3 15 3" xfId="0"/>
    <cellStyle name="Вывод 3 15 3 2" xfId="0"/>
    <cellStyle name="Вывод 3 15 3 2 2" xfId="0"/>
    <cellStyle name="Вывод 3 15 3 2 2 2" xfId="0"/>
    <cellStyle name="Вывод 3 15 3 2 2 3" xfId="0"/>
    <cellStyle name="Вывод 3 15 3 2 3" xfId="0"/>
    <cellStyle name="Вывод 3 15 3 2 4" xfId="0"/>
    <cellStyle name="Вывод 3 15 3 3" xfId="0"/>
    <cellStyle name="Вывод 3 15 3 3 2" xfId="0"/>
    <cellStyle name="Вывод 3 15 3 3 3" xfId="0"/>
    <cellStyle name="Вывод 3 15 3 4" xfId="0"/>
    <cellStyle name="Вывод 3 15 3 5" xfId="0"/>
    <cellStyle name="Вывод 3 15 4" xfId="0"/>
    <cellStyle name="Вывод 3 15 4 2" xfId="0"/>
    <cellStyle name="Вывод 3 15 4 2 2" xfId="0"/>
    <cellStyle name="Вывод 3 15 4 2 2 2" xfId="0"/>
    <cellStyle name="Вывод 3 15 4 2 2 3" xfId="0"/>
    <cellStyle name="Вывод 3 15 4 2 3" xfId="0"/>
    <cellStyle name="Вывод 3 15 4 2 4" xfId="0"/>
    <cellStyle name="Вывод 3 15 4 3" xfId="0"/>
    <cellStyle name="Вывод 3 15 4 3 2" xfId="0"/>
    <cellStyle name="Вывод 3 15 4 3 3" xfId="0"/>
    <cellStyle name="Вывод 3 15 4 4" xfId="0"/>
    <cellStyle name="Вывод 3 15 4 5" xfId="0"/>
    <cellStyle name="Вывод 3 15 5" xfId="0"/>
    <cellStyle name="Вывод 3 15 5 2" xfId="0"/>
    <cellStyle name="Вывод 3 15 5 3" xfId="0"/>
    <cellStyle name="Вывод 3 15 6" xfId="0"/>
    <cellStyle name="Вывод 3 15 7" xfId="0"/>
    <cellStyle name="Вывод 3 16" xfId="0"/>
    <cellStyle name="Вывод 3 16 2" xfId="0"/>
    <cellStyle name="Вывод 3 16 2 2" xfId="0"/>
    <cellStyle name="Вывод 3 16 2 2 2" xfId="0"/>
    <cellStyle name="Вывод 3 16 2 2 2 2" xfId="0"/>
    <cellStyle name="Вывод 3 16 2 2 2 3" xfId="0"/>
    <cellStyle name="Вывод 3 16 2 2 3" xfId="0"/>
    <cellStyle name="Вывод 3 16 2 2 4" xfId="0"/>
    <cellStyle name="Вывод 3 16 2 3" xfId="0"/>
    <cellStyle name="Вывод 3 16 2 3 2" xfId="0"/>
    <cellStyle name="Вывод 3 16 2 3 2 2" xfId="0"/>
    <cellStyle name="Вывод 3 16 2 3 2 3" xfId="0"/>
    <cellStyle name="Вывод 3 16 2 3 3" xfId="0"/>
    <cellStyle name="Вывод 3 16 2 3 4" xfId="0"/>
    <cellStyle name="Вывод 3 16 2 4" xfId="0"/>
    <cellStyle name="Вывод 3 16 2 4 2" xfId="0"/>
    <cellStyle name="Вывод 3 16 2 4 3" xfId="0"/>
    <cellStyle name="Вывод 3 16 2 5" xfId="0"/>
    <cellStyle name="Вывод 3 16 2 6" xfId="0"/>
    <cellStyle name="Вывод 3 16 3" xfId="0"/>
    <cellStyle name="Вывод 3 16 3 2" xfId="0"/>
    <cellStyle name="Вывод 3 16 3 2 2" xfId="0"/>
    <cellStyle name="Вывод 3 16 3 2 2 2" xfId="0"/>
    <cellStyle name="Вывод 3 16 3 2 2 3" xfId="0"/>
    <cellStyle name="Вывод 3 16 3 2 3" xfId="0"/>
    <cellStyle name="Вывод 3 16 3 2 4" xfId="0"/>
    <cellStyle name="Вывод 3 16 3 3" xfId="0"/>
    <cellStyle name="Вывод 3 16 3 3 2" xfId="0"/>
    <cellStyle name="Вывод 3 16 3 3 3" xfId="0"/>
    <cellStyle name="Вывод 3 16 3 4" xfId="0"/>
    <cellStyle name="Вывод 3 16 3 5" xfId="0"/>
    <cellStyle name="Вывод 3 16 4" xfId="0"/>
    <cellStyle name="Вывод 3 16 4 2" xfId="0"/>
    <cellStyle name="Вывод 3 16 4 2 2" xfId="0"/>
    <cellStyle name="Вывод 3 16 4 2 2 2" xfId="0"/>
    <cellStyle name="Вывод 3 16 4 2 2 3" xfId="0"/>
    <cellStyle name="Вывод 3 16 4 2 3" xfId="0"/>
    <cellStyle name="Вывод 3 16 4 2 4" xfId="0"/>
    <cellStyle name="Вывод 3 16 4 3" xfId="0"/>
    <cellStyle name="Вывод 3 16 4 3 2" xfId="0"/>
    <cellStyle name="Вывод 3 16 4 3 3" xfId="0"/>
    <cellStyle name="Вывод 3 16 4 4" xfId="0"/>
    <cellStyle name="Вывод 3 16 4 5" xfId="0"/>
    <cellStyle name="Вывод 3 16 5" xfId="0"/>
    <cellStyle name="Вывод 3 16 5 2" xfId="0"/>
    <cellStyle name="Вывод 3 16 5 3" xfId="0"/>
    <cellStyle name="Вывод 3 16 6" xfId="0"/>
    <cellStyle name="Вывод 3 16 7" xfId="0"/>
    <cellStyle name="Вывод 3 17" xfId="0"/>
    <cellStyle name="Вывод 3 17 2" xfId="0"/>
    <cellStyle name="Вывод 3 17 2 2" xfId="0"/>
    <cellStyle name="Вывод 3 17 2 2 2" xfId="0"/>
    <cellStyle name="Вывод 3 17 2 2 2 2" xfId="0"/>
    <cellStyle name="Вывод 3 17 2 2 2 3" xfId="0"/>
    <cellStyle name="Вывод 3 17 2 2 3" xfId="0"/>
    <cellStyle name="Вывод 3 17 2 2 4" xfId="0"/>
    <cellStyle name="Вывод 3 17 2 3" xfId="0"/>
    <cellStyle name="Вывод 3 17 2 3 2" xfId="0"/>
    <cellStyle name="Вывод 3 17 2 3 2 2" xfId="0"/>
    <cellStyle name="Вывод 3 17 2 3 2 3" xfId="0"/>
    <cellStyle name="Вывод 3 17 2 3 3" xfId="0"/>
    <cellStyle name="Вывод 3 17 2 3 4" xfId="0"/>
    <cellStyle name="Вывод 3 17 2 4" xfId="0"/>
    <cellStyle name="Вывод 3 17 2 4 2" xfId="0"/>
    <cellStyle name="Вывод 3 17 2 4 3" xfId="0"/>
    <cellStyle name="Вывод 3 17 2 5" xfId="0"/>
    <cellStyle name="Вывод 3 17 2 6" xfId="0"/>
    <cellStyle name="Вывод 3 17 3" xfId="0"/>
    <cellStyle name="Вывод 3 17 3 2" xfId="0"/>
    <cellStyle name="Вывод 3 17 3 2 2" xfId="0"/>
    <cellStyle name="Вывод 3 17 3 2 2 2" xfId="0"/>
    <cellStyle name="Вывод 3 17 3 2 2 3" xfId="0"/>
    <cellStyle name="Вывод 3 17 3 2 3" xfId="0"/>
    <cellStyle name="Вывод 3 17 3 2 4" xfId="0"/>
    <cellStyle name="Вывод 3 17 3 3" xfId="0"/>
    <cellStyle name="Вывод 3 17 3 3 2" xfId="0"/>
    <cellStyle name="Вывод 3 17 3 3 3" xfId="0"/>
    <cellStyle name="Вывод 3 17 3 4" xfId="0"/>
    <cellStyle name="Вывод 3 17 3 5" xfId="0"/>
    <cellStyle name="Вывод 3 17 4" xfId="0"/>
    <cellStyle name="Вывод 3 17 4 2" xfId="0"/>
    <cellStyle name="Вывод 3 17 4 2 2" xfId="0"/>
    <cellStyle name="Вывод 3 17 4 2 2 2" xfId="0"/>
    <cellStyle name="Вывод 3 17 4 2 2 3" xfId="0"/>
    <cellStyle name="Вывод 3 17 4 2 3" xfId="0"/>
    <cellStyle name="Вывод 3 17 4 2 4" xfId="0"/>
    <cellStyle name="Вывод 3 17 4 3" xfId="0"/>
    <cellStyle name="Вывод 3 17 4 3 2" xfId="0"/>
    <cellStyle name="Вывод 3 17 4 3 3" xfId="0"/>
    <cellStyle name="Вывод 3 17 4 4" xfId="0"/>
    <cellStyle name="Вывод 3 17 4 5" xfId="0"/>
    <cellStyle name="Вывод 3 17 5" xfId="0"/>
    <cellStyle name="Вывод 3 17 5 2" xfId="0"/>
    <cellStyle name="Вывод 3 17 5 3" xfId="0"/>
    <cellStyle name="Вывод 3 17 6" xfId="0"/>
    <cellStyle name="Вывод 3 17 7" xfId="0"/>
    <cellStyle name="Вывод 3 18" xfId="0"/>
    <cellStyle name="Вывод 3 18 2" xfId="0"/>
    <cellStyle name="Вывод 3 18 2 2" xfId="0"/>
    <cellStyle name="Вывод 3 18 2 2 2" xfId="0"/>
    <cellStyle name="Вывод 3 18 2 2 2 2" xfId="0"/>
    <cellStyle name="Вывод 3 18 2 2 2 3" xfId="0"/>
    <cellStyle name="Вывод 3 18 2 2 3" xfId="0"/>
    <cellStyle name="Вывод 3 18 2 2 4" xfId="0"/>
    <cellStyle name="Вывод 3 18 2 3" xfId="0"/>
    <cellStyle name="Вывод 3 18 2 3 2" xfId="0"/>
    <cellStyle name="Вывод 3 18 2 3 2 2" xfId="0"/>
    <cellStyle name="Вывод 3 18 2 3 2 3" xfId="0"/>
    <cellStyle name="Вывод 3 18 2 3 3" xfId="0"/>
    <cellStyle name="Вывод 3 18 2 3 4" xfId="0"/>
    <cellStyle name="Вывод 3 18 2 4" xfId="0"/>
    <cellStyle name="Вывод 3 18 2 4 2" xfId="0"/>
    <cellStyle name="Вывод 3 18 2 4 3" xfId="0"/>
    <cellStyle name="Вывод 3 18 2 5" xfId="0"/>
    <cellStyle name="Вывод 3 18 2 6" xfId="0"/>
    <cellStyle name="Вывод 3 18 3" xfId="0"/>
    <cellStyle name="Вывод 3 18 3 2" xfId="0"/>
    <cellStyle name="Вывод 3 18 3 2 2" xfId="0"/>
    <cellStyle name="Вывод 3 18 3 2 2 2" xfId="0"/>
    <cellStyle name="Вывод 3 18 3 2 2 3" xfId="0"/>
    <cellStyle name="Вывод 3 18 3 2 3" xfId="0"/>
    <cellStyle name="Вывод 3 18 3 2 4" xfId="0"/>
    <cellStyle name="Вывод 3 18 3 3" xfId="0"/>
    <cellStyle name="Вывод 3 18 3 3 2" xfId="0"/>
    <cellStyle name="Вывод 3 18 3 3 3" xfId="0"/>
    <cellStyle name="Вывод 3 18 3 4" xfId="0"/>
    <cellStyle name="Вывод 3 18 3 5" xfId="0"/>
    <cellStyle name="Вывод 3 18 4" xfId="0"/>
    <cellStyle name="Вывод 3 18 4 2" xfId="0"/>
    <cellStyle name="Вывод 3 18 4 2 2" xfId="0"/>
    <cellStyle name="Вывод 3 18 4 2 2 2" xfId="0"/>
    <cellStyle name="Вывод 3 18 4 2 2 3" xfId="0"/>
    <cellStyle name="Вывод 3 18 4 2 3" xfId="0"/>
    <cellStyle name="Вывод 3 18 4 2 4" xfId="0"/>
    <cellStyle name="Вывод 3 18 4 3" xfId="0"/>
    <cellStyle name="Вывод 3 18 4 3 2" xfId="0"/>
    <cellStyle name="Вывод 3 18 4 3 3" xfId="0"/>
    <cellStyle name="Вывод 3 18 4 4" xfId="0"/>
    <cellStyle name="Вывод 3 18 4 5" xfId="0"/>
    <cellStyle name="Вывод 3 18 5" xfId="0"/>
    <cellStyle name="Вывод 3 18 5 2" xfId="0"/>
    <cellStyle name="Вывод 3 18 5 3" xfId="0"/>
    <cellStyle name="Вывод 3 18 6" xfId="0"/>
    <cellStyle name="Вывод 3 18 7" xfId="0"/>
    <cellStyle name="Вывод 3 19" xfId="0"/>
    <cellStyle name="Вывод 3 19 2" xfId="0"/>
    <cellStyle name="Вывод 3 19 2 2" xfId="0"/>
    <cellStyle name="Вывод 3 19 2 2 2" xfId="0"/>
    <cellStyle name="Вывод 3 19 2 2 2 2" xfId="0"/>
    <cellStyle name="Вывод 3 19 2 2 2 3" xfId="0"/>
    <cellStyle name="Вывод 3 19 2 2 3" xfId="0"/>
    <cellStyle name="Вывод 3 19 2 2 4" xfId="0"/>
    <cellStyle name="Вывод 3 19 2 3" xfId="0"/>
    <cellStyle name="Вывод 3 19 2 3 2" xfId="0"/>
    <cellStyle name="Вывод 3 19 2 3 2 2" xfId="0"/>
    <cellStyle name="Вывод 3 19 2 3 2 3" xfId="0"/>
    <cellStyle name="Вывод 3 19 2 3 3" xfId="0"/>
    <cellStyle name="Вывод 3 19 2 3 4" xfId="0"/>
    <cellStyle name="Вывод 3 19 2 4" xfId="0"/>
    <cellStyle name="Вывод 3 19 2 4 2" xfId="0"/>
    <cellStyle name="Вывод 3 19 2 4 3" xfId="0"/>
    <cellStyle name="Вывод 3 19 2 5" xfId="0"/>
    <cellStyle name="Вывод 3 19 2 6" xfId="0"/>
    <cellStyle name="Вывод 3 19 3" xfId="0"/>
    <cellStyle name="Вывод 3 19 3 2" xfId="0"/>
    <cellStyle name="Вывод 3 19 3 2 2" xfId="0"/>
    <cellStyle name="Вывод 3 19 3 2 2 2" xfId="0"/>
    <cellStyle name="Вывод 3 19 3 2 2 3" xfId="0"/>
    <cellStyle name="Вывод 3 19 3 2 3" xfId="0"/>
    <cellStyle name="Вывод 3 19 3 2 4" xfId="0"/>
    <cellStyle name="Вывод 3 19 3 3" xfId="0"/>
    <cellStyle name="Вывод 3 19 3 3 2" xfId="0"/>
    <cellStyle name="Вывод 3 19 3 3 3" xfId="0"/>
    <cellStyle name="Вывод 3 19 3 4" xfId="0"/>
    <cellStyle name="Вывод 3 19 3 5" xfId="0"/>
    <cellStyle name="Вывод 3 19 4" xfId="0"/>
    <cellStyle name="Вывод 3 19 4 2" xfId="0"/>
    <cellStyle name="Вывод 3 19 4 2 2" xfId="0"/>
    <cellStyle name="Вывод 3 19 4 2 2 2" xfId="0"/>
    <cellStyle name="Вывод 3 19 4 2 2 3" xfId="0"/>
    <cellStyle name="Вывод 3 19 4 2 3" xfId="0"/>
    <cellStyle name="Вывод 3 19 4 2 4" xfId="0"/>
    <cellStyle name="Вывод 3 19 4 3" xfId="0"/>
    <cellStyle name="Вывод 3 19 4 3 2" xfId="0"/>
    <cellStyle name="Вывод 3 19 4 3 3" xfId="0"/>
    <cellStyle name="Вывод 3 19 4 4" xfId="0"/>
    <cellStyle name="Вывод 3 19 4 5" xfId="0"/>
    <cellStyle name="Вывод 3 19 5" xfId="0"/>
    <cellStyle name="Вывод 3 19 5 2" xfId="0"/>
    <cellStyle name="Вывод 3 19 5 3" xfId="0"/>
    <cellStyle name="Вывод 3 19 6" xfId="0"/>
    <cellStyle name="Вывод 3 19 7" xfId="0"/>
    <cellStyle name="Вывод 3 2" xfId="0"/>
    <cellStyle name="Вывод 3 2 10" xfId="0"/>
    <cellStyle name="Вывод 3 2 10 2" xfId="0"/>
    <cellStyle name="Вывод 3 2 10 3" xfId="0"/>
    <cellStyle name="Вывод 3 2 11" xfId="0"/>
    <cellStyle name="Вывод 3 2 12" xfId="0"/>
    <cellStyle name="Вывод 3 2 2" xfId="0"/>
    <cellStyle name="Вывод 3 2 2 2" xfId="0"/>
    <cellStyle name="Вывод 3 2 2 2 2" xfId="0"/>
    <cellStyle name="Вывод 3 2 2 2 2 2" xfId="0"/>
    <cellStyle name="Вывод 3 2 2 2 2 2 2" xfId="0"/>
    <cellStyle name="Вывод 3 2 2 2 2 2 3" xfId="0"/>
    <cellStyle name="Вывод 3 2 2 2 2 3" xfId="0"/>
    <cellStyle name="Вывод 3 2 2 2 2 4" xfId="0"/>
    <cellStyle name="Вывод 3 2 2 2 3" xfId="0"/>
    <cellStyle name="Вывод 3 2 2 2 3 2" xfId="0"/>
    <cellStyle name="Вывод 3 2 2 2 3 3" xfId="0"/>
    <cellStyle name="Вывод 3 2 2 2 4" xfId="0"/>
    <cellStyle name="Вывод 3 2 2 2 5" xfId="0"/>
    <cellStyle name="Вывод 3 2 2 3" xfId="0"/>
    <cellStyle name="Вывод 3 2 2 3 2" xfId="0"/>
    <cellStyle name="Вывод 3 2 2 3 2 2" xfId="0"/>
    <cellStyle name="Вывод 3 2 2 3 2 3" xfId="0"/>
    <cellStyle name="Вывод 3 2 2 3 3" xfId="0"/>
    <cellStyle name="Вывод 3 2 2 3 4" xfId="0"/>
    <cellStyle name="Вывод 3 2 2 4" xfId="0"/>
    <cellStyle name="Вывод 3 2 2 4 2" xfId="0"/>
    <cellStyle name="Вывод 3 2 2 4 3" xfId="0"/>
    <cellStyle name="Вывод 3 2 2 5" xfId="0"/>
    <cellStyle name="Вывод 3 2 2 6" xfId="0"/>
    <cellStyle name="Вывод 3 2 3" xfId="0"/>
    <cellStyle name="Вывод 3 2 3 2" xfId="0"/>
    <cellStyle name="Вывод 3 2 3 2 2" xfId="0"/>
    <cellStyle name="Вывод 3 2 3 2 2 2" xfId="0"/>
    <cellStyle name="Вывод 3 2 3 2 2 2 2" xfId="0"/>
    <cellStyle name="Вывод 3 2 3 2 2 2 3" xfId="0"/>
    <cellStyle name="Вывод 3 2 3 2 2 3" xfId="0"/>
    <cellStyle name="Вывод 3 2 3 2 2 4" xfId="0"/>
    <cellStyle name="Вывод 3 2 3 2 3" xfId="0"/>
    <cellStyle name="Вывод 3 2 3 2 3 2" xfId="0"/>
    <cellStyle name="Вывод 3 2 3 2 3 3" xfId="0"/>
    <cellStyle name="Вывод 3 2 3 2 4" xfId="0"/>
    <cellStyle name="Вывод 3 2 3 2 5" xfId="0"/>
    <cellStyle name="Вывод 3 2 3 3" xfId="0"/>
    <cellStyle name="Вывод 3 2 3 3 2" xfId="0"/>
    <cellStyle name="Вывод 3 2 3 3 2 2" xfId="0"/>
    <cellStyle name="Вывод 3 2 3 3 2 3" xfId="0"/>
    <cellStyle name="Вывод 3 2 3 3 3" xfId="0"/>
    <cellStyle name="Вывод 3 2 3 3 4" xfId="0"/>
    <cellStyle name="Вывод 3 2 3 4" xfId="0"/>
    <cellStyle name="Вывод 3 2 3 4 2" xfId="0"/>
    <cellStyle name="Вывод 3 2 3 4 3" xfId="0"/>
    <cellStyle name="Вывод 3 2 3 5" xfId="0"/>
    <cellStyle name="Вывод 3 2 3 6" xfId="0"/>
    <cellStyle name="Вывод 3 2 4" xfId="0"/>
    <cellStyle name="Вывод 3 2 4 2" xfId="0"/>
    <cellStyle name="Вывод 3 2 4 2 2" xfId="0"/>
    <cellStyle name="Вывод 3 2 4 2 2 2" xfId="0"/>
    <cellStyle name="Вывод 3 2 4 2 2 2 2" xfId="0"/>
    <cellStyle name="Вывод 3 2 4 2 2 2 3" xfId="0"/>
    <cellStyle name="Вывод 3 2 4 2 2 3" xfId="0"/>
    <cellStyle name="Вывод 3 2 4 2 2 4" xfId="0"/>
    <cellStyle name="Вывод 3 2 4 2 3" xfId="0"/>
    <cellStyle name="Вывод 3 2 4 2 3 2" xfId="0"/>
    <cellStyle name="Вывод 3 2 4 2 3 3" xfId="0"/>
    <cellStyle name="Вывод 3 2 4 2 4" xfId="0"/>
    <cellStyle name="Вывод 3 2 4 2 5" xfId="0"/>
    <cellStyle name="Вывод 3 2 4 3" xfId="0"/>
    <cellStyle name="Вывод 3 2 4 3 2" xfId="0"/>
    <cellStyle name="Вывод 3 2 4 3 2 2" xfId="0"/>
    <cellStyle name="Вывод 3 2 4 3 2 3" xfId="0"/>
    <cellStyle name="Вывод 3 2 4 3 3" xfId="0"/>
    <cellStyle name="Вывод 3 2 4 3 4" xfId="0"/>
    <cellStyle name="Вывод 3 2 4 4" xfId="0"/>
    <cellStyle name="Вывод 3 2 4 4 2" xfId="0"/>
    <cellStyle name="Вывод 3 2 4 4 3" xfId="0"/>
    <cellStyle name="Вывод 3 2 4 5" xfId="0"/>
    <cellStyle name="Вывод 3 2 4 6" xfId="0"/>
    <cellStyle name="Вывод 3 2 5" xfId="0"/>
    <cellStyle name="Вывод 3 2 5 2" xfId="0"/>
    <cellStyle name="Вывод 3 2 5 2 2" xfId="0"/>
    <cellStyle name="Вывод 3 2 5 2 2 2" xfId="0"/>
    <cellStyle name="Вывод 3 2 5 2 2 2 2" xfId="0"/>
    <cellStyle name="Вывод 3 2 5 2 2 2 3" xfId="0"/>
    <cellStyle name="Вывод 3 2 5 2 2 3" xfId="0"/>
    <cellStyle name="Вывод 3 2 5 2 2 4" xfId="0"/>
    <cellStyle name="Вывод 3 2 5 2 3" xfId="0"/>
    <cellStyle name="Вывод 3 2 5 2 3 2" xfId="0"/>
    <cellStyle name="Вывод 3 2 5 2 3 3" xfId="0"/>
    <cellStyle name="Вывод 3 2 5 2 4" xfId="0"/>
    <cellStyle name="Вывод 3 2 5 2 5" xfId="0"/>
    <cellStyle name="Вывод 3 2 5 3" xfId="0"/>
    <cellStyle name="Вывод 3 2 5 3 2" xfId="0"/>
    <cellStyle name="Вывод 3 2 5 3 2 2" xfId="0"/>
    <cellStyle name="Вывод 3 2 5 3 2 3" xfId="0"/>
    <cellStyle name="Вывод 3 2 5 3 3" xfId="0"/>
    <cellStyle name="Вывод 3 2 5 3 4" xfId="0"/>
    <cellStyle name="Вывод 3 2 5 4" xfId="0"/>
    <cellStyle name="Вывод 3 2 5 4 2" xfId="0"/>
    <cellStyle name="Вывод 3 2 5 4 3" xfId="0"/>
    <cellStyle name="Вывод 3 2 5 5" xfId="0"/>
    <cellStyle name="Вывод 3 2 5 6" xfId="0"/>
    <cellStyle name="Вывод 3 2 6" xfId="0"/>
    <cellStyle name="Вывод 3 2 6 2" xfId="0"/>
    <cellStyle name="Вывод 3 2 6 2 2" xfId="0"/>
    <cellStyle name="Вывод 3 2 6 2 2 2" xfId="0"/>
    <cellStyle name="Вывод 3 2 6 2 2 3" xfId="0"/>
    <cellStyle name="Вывод 3 2 6 2 3" xfId="0"/>
    <cellStyle name="Вывод 3 2 6 2 4" xfId="0"/>
    <cellStyle name="Вывод 3 2 6 3" xfId="0"/>
    <cellStyle name="Вывод 3 2 6 3 2" xfId="0"/>
    <cellStyle name="Вывод 3 2 6 3 3" xfId="0"/>
    <cellStyle name="Вывод 3 2 6 4" xfId="0"/>
    <cellStyle name="Вывод 3 2 6 5" xfId="0"/>
    <cellStyle name="Вывод 3 2 7" xfId="0"/>
    <cellStyle name="Вывод 3 2 7 2" xfId="0"/>
    <cellStyle name="Вывод 3 2 7 2 2" xfId="0"/>
    <cellStyle name="Вывод 3 2 7 2 2 2" xfId="0"/>
    <cellStyle name="Вывод 3 2 7 2 2 3" xfId="0"/>
    <cellStyle name="Вывод 3 2 7 2 3" xfId="0"/>
    <cellStyle name="Вывод 3 2 7 2 4" xfId="0"/>
    <cellStyle name="Вывод 3 2 7 3" xfId="0"/>
    <cellStyle name="Вывод 3 2 7 3 2" xfId="0"/>
    <cellStyle name="Вывод 3 2 7 3 3" xfId="0"/>
    <cellStyle name="Вывод 3 2 7 4" xfId="0"/>
    <cellStyle name="Вывод 3 2 7 5" xfId="0"/>
    <cellStyle name="Вывод 3 2 8" xfId="0"/>
    <cellStyle name="Вывод 3 2 8 2" xfId="0"/>
    <cellStyle name="Вывод 3 2 8 2 2" xfId="0"/>
    <cellStyle name="Вывод 3 2 8 2 2 2" xfId="0"/>
    <cellStyle name="Вывод 3 2 8 2 2 3" xfId="0"/>
    <cellStyle name="Вывод 3 2 8 2 3" xfId="0"/>
    <cellStyle name="Вывод 3 2 8 2 4" xfId="0"/>
    <cellStyle name="Вывод 3 2 8 3" xfId="0"/>
    <cellStyle name="Вывод 3 2 8 3 2" xfId="0"/>
    <cellStyle name="Вывод 3 2 8 3 3" xfId="0"/>
    <cellStyle name="Вывод 3 2 8 4" xfId="0"/>
    <cellStyle name="Вывод 3 2 8 5" xfId="0"/>
    <cellStyle name="Вывод 3 2 9" xfId="0"/>
    <cellStyle name="Вывод 3 2 9 2" xfId="0"/>
    <cellStyle name="Вывод 3 2 9 3" xfId="0"/>
    <cellStyle name="Вывод 3 20" xfId="0"/>
    <cellStyle name="Вывод 3 20 2" xfId="0"/>
    <cellStyle name="Вывод 3 20 2 2" xfId="0"/>
    <cellStyle name="Вывод 3 20 2 2 2" xfId="0"/>
    <cellStyle name="Вывод 3 20 2 2 2 2" xfId="0"/>
    <cellStyle name="Вывод 3 20 2 2 2 3" xfId="0"/>
    <cellStyle name="Вывод 3 20 2 2 3" xfId="0"/>
    <cellStyle name="Вывод 3 20 2 2 4" xfId="0"/>
    <cellStyle name="Вывод 3 20 2 3" xfId="0"/>
    <cellStyle name="Вывод 3 20 2 3 2" xfId="0"/>
    <cellStyle name="Вывод 3 20 2 3 2 2" xfId="0"/>
    <cellStyle name="Вывод 3 20 2 3 2 3" xfId="0"/>
    <cellStyle name="Вывод 3 20 2 3 3" xfId="0"/>
    <cellStyle name="Вывод 3 20 2 3 4" xfId="0"/>
    <cellStyle name="Вывод 3 20 2 4" xfId="0"/>
    <cellStyle name="Вывод 3 20 2 4 2" xfId="0"/>
    <cellStyle name="Вывод 3 20 2 4 3" xfId="0"/>
    <cellStyle name="Вывод 3 20 2 5" xfId="0"/>
    <cellStyle name="Вывод 3 20 2 6" xfId="0"/>
    <cellStyle name="Вывод 3 20 3" xfId="0"/>
    <cellStyle name="Вывод 3 20 3 2" xfId="0"/>
    <cellStyle name="Вывод 3 20 3 2 2" xfId="0"/>
    <cellStyle name="Вывод 3 20 3 2 2 2" xfId="0"/>
    <cellStyle name="Вывод 3 20 3 2 2 3" xfId="0"/>
    <cellStyle name="Вывод 3 20 3 2 3" xfId="0"/>
    <cellStyle name="Вывод 3 20 3 2 4" xfId="0"/>
    <cellStyle name="Вывод 3 20 3 3" xfId="0"/>
    <cellStyle name="Вывод 3 20 3 3 2" xfId="0"/>
    <cellStyle name="Вывод 3 20 3 3 3" xfId="0"/>
    <cellStyle name="Вывод 3 20 3 4" xfId="0"/>
    <cellStyle name="Вывод 3 20 3 5" xfId="0"/>
    <cellStyle name="Вывод 3 20 4" xfId="0"/>
    <cellStyle name="Вывод 3 20 4 2" xfId="0"/>
    <cellStyle name="Вывод 3 20 4 2 2" xfId="0"/>
    <cellStyle name="Вывод 3 20 4 2 2 2" xfId="0"/>
    <cellStyle name="Вывод 3 20 4 2 2 3" xfId="0"/>
    <cellStyle name="Вывод 3 20 4 2 3" xfId="0"/>
    <cellStyle name="Вывод 3 20 4 2 4" xfId="0"/>
    <cellStyle name="Вывод 3 20 4 3" xfId="0"/>
    <cellStyle name="Вывод 3 20 4 3 2" xfId="0"/>
    <cellStyle name="Вывод 3 20 4 3 3" xfId="0"/>
    <cellStyle name="Вывод 3 20 4 4" xfId="0"/>
    <cellStyle name="Вывод 3 20 4 5" xfId="0"/>
    <cellStyle name="Вывод 3 20 5" xfId="0"/>
    <cellStyle name="Вывод 3 20 5 2" xfId="0"/>
    <cellStyle name="Вывод 3 20 5 2 2" xfId="0"/>
    <cellStyle name="Вывод 3 20 5 2 3" xfId="0"/>
    <cellStyle name="Вывод 3 20 5 3" xfId="0"/>
    <cellStyle name="Вывод 3 20 5 4" xfId="0"/>
    <cellStyle name="Вывод 3 20 6" xfId="0"/>
    <cellStyle name="Вывод 3 20 6 2" xfId="0"/>
    <cellStyle name="Вывод 3 20 6 3" xfId="0"/>
    <cellStyle name="Вывод 3 20 7" xfId="0"/>
    <cellStyle name="Вывод 3 20 8" xfId="0"/>
    <cellStyle name="Вывод 3 21" xfId="0"/>
    <cellStyle name="Вывод 3 21 2" xfId="0"/>
    <cellStyle name="Вывод 3 21 2 2" xfId="0"/>
    <cellStyle name="Вывод 3 21 2 2 2" xfId="0"/>
    <cellStyle name="Вывод 3 21 2 2 3" xfId="0"/>
    <cellStyle name="Вывод 3 21 2 3" xfId="0"/>
    <cellStyle name="Вывод 3 21 2 4" xfId="0"/>
    <cellStyle name="Вывод 3 21 3" xfId="0"/>
    <cellStyle name="Вывод 3 21 3 2" xfId="0"/>
    <cellStyle name="Вывод 3 21 3 2 2" xfId="0"/>
    <cellStyle name="Вывод 3 21 3 2 3" xfId="0"/>
    <cellStyle name="Вывод 3 21 3 3" xfId="0"/>
    <cellStyle name="Вывод 3 21 3 4" xfId="0"/>
    <cellStyle name="Вывод 3 21 4" xfId="0"/>
    <cellStyle name="Вывод 3 21 4 2" xfId="0"/>
    <cellStyle name="Вывод 3 21 4 3" xfId="0"/>
    <cellStyle name="Вывод 3 21 5" xfId="0"/>
    <cellStyle name="Вывод 3 21 6" xfId="0"/>
    <cellStyle name="Вывод 3 22" xfId="0"/>
    <cellStyle name="Вывод 3 22 2" xfId="0"/>
    <cellStyle name="Вывод 3 22 2 2" xfId="0"/>
    <cellStyle name="Вывод 3 22 2 2 2" xfId="0"/>
    <cellStyle name="Вывод 3 22 2 2 3" xfId="0"/>
    <cellStyle name="Вывод 3 22 2 3" xfId="0"/>
    <cellStyle name="Вывод 3 22 2 4" xfId="0"/>
    <cellStyle name="Вывод 3 22 3" xfId="0"/>
    <cellStyle name="Вывод 3 22 3 2" xfId="0"/>
    <cellStyle name="Вывод 3 22 3 2 2" xfId="0"/>
    <cellStyle name="Вывод 3 22 3 2 3" xfId="0"/>
    <cellStyle name="Вывод 3 22 3 3" xfId="0"/>
    <cellStyle name="Вывод 3 22 3 4" xfId="0"/>
    <cellStyle name="Вывод 3 22 4" xfId="0"/>
    <cellStyle name="Вывод 3 22 4 2" xfId="0"/>
    <cellStyle name="Вывод 3 22 4 3" xfId="0"/>
    <cellStyle name="Вывод 3 22 5" xfId="0"/>
    <cellStyle name="Вывод 3 22 6" xfId="0"/>
    <cellStyle name="Вывод 3 23" xfId="0"/>
    <cellStyle name="Вывод 3 23 2" xfId="0"/>
    <cellStyle name="Вывод 3 23 2 2" xfId="0"/>
    <cellStyle name="Вывод 3 23 2 2 2" xfId="0"/>
    <cellStyle name="Вывод 3 23 2 2 3" xfId="0"/>
    <cellStyle name="Вывод 3 23 2 3" xfId="0"/>
    <cellStyle name="Вывод 3 23 2 4" xfId="0"/>
    <cellStyle name="Вывод 3 23 3" xfId="0"/>
    <cellStyle name="Вывод 3 23 3 2" xfId="0"/>
    <cellStyle name="Вывод 3 23 3 2 2" xfId="0"/>
    <cellStyle name="Вывод 3 23 3 2 3" xfId="0"/>
    <cellStyle name="Вывод 3 23 3 3" xfId="0"/>
    <cellStyle name="Вывод 3 23 3 4" xfId="0"/>
    <cellStyle name="Вывод 3 23 4" xfId="0"/>
    <cellStyle name="Вывод 3 23 4 2" xfId="0"/>
    <cellStyle name="Вывод 3 23 4 3" xfId="0"/>
    <cellStyle name="Вывод 3 23 5" xfId="0"/>
    <cellStyle name="Вывод 3 23 6" xfId="0"/>
    <cellStyle name="Вывод 3 24" xfId="0"/>
    <cellStyle name="Вывод 3 24 2" xfId="0"/>
    <cellStyle name="Вывод 3 24 2 2" xfId="0"/>
    <cellStyle name="Вывод 3 24 2 2 2" xfId="0"/>
    <cellStyle name="Вывод 3 24 2 2 3" xfId="0"/>
    <cellStyle name="Вывод 3 24 2 3" xfId="0"/>
    <cellStyle name="Вывод 3 24 2 4" xfId="0"/>
    <cellStyle name="Вывод 3 24 3" xfId="0"/>
    <cellStyle name="Вывод 3 24 3 2" xfId="0"/>
    <cellStyle name="Вывод 3 24 3 2 2" xfId="0"/>
    <cellStyle name="Вывод 3 24 3 2 3" xfId="0"/>
    <cellStyle name="Вывод 3 24 3 3" xfId="0"/>
    <cellStyle name="Вывод 3 24 3 4" xfId="0"/>
    <cellStyle name="Вывод 3 24 4" xfId="0"/>
    <cellStyle name="Вывод 3 24 4 2" xfId="0"/>
    <cellStyle name="Вывод 3 24 4 3" xfId="0"/>
    <cellStyle name="Вывод 3 24 5" xfId="0"/>
    <cellStyle name="Вывод 3 24 6" xfId="0"/>
    <cellStyle name="Вывод 3 25" xfId="0"/>
    <cellStyle name="Вывод 3 25 2" xfId="0"/>
    <cellStyle name="Вывод 3 25 2 2" xfId="0"/>
    <cellStyle name="Вывод 3 25 2 2 2" xfId="0"/>
    <cellStyle name="Вывод 3 25 2 2 3" xfId="0"/>
    <cellStyle name="Вывод 3 25 2 3" xfId="0"/>
    <cellStyle name="Вывод 3 25 2 4" xfId="0"/>
    <cellStyle name="Вывод 3 25 3" xfId="0"/>
    <cellStyle name="Вывод 3 25 3 2" xfId="0"/>
    <cellStyle name="Вывод 3 25 3 2 2" xfId="0"/>
    <cellStyle name="Вывод 3 25 3 2 3" xfId="0"/>
    <cellStyle name="Вывод 3 25 3 3" xfId="0"/>
    <cellStyle name="Вывод 3 25 3 4" xfId="0"/>
    <cellStyle name="Вывод 3 25 4" xfId="0"/>
    <cellStyle name="Вывод 3 25 4 2" xfId="0"/>
    <cellStyle name="Вывод 3 25 4 3" xfId="0"/>
    <cellStyle name="Вывод 3 25 5" xfId="0"/>
    <cellStyle name="Вывод 3 25 6" xfId="0"/>
    <cellStyle name="Вывод 3 26" xfId="0"/>
    <cellStyle name="Вывод 3 26 2" xfId="0"/>
    <cellStyle name="Вывод 3 26 2 2" xfId="0"/>
    <cellStyle name="Вывод 3 26 2 2 2" xfId="0"/>
    <cellStyle name="Вывод 3 26 2 2 3" xfId="0"/>
    <cellStyle name="Вывод 3 26 2 3" xfId="0"/>
    <cellStyle name="Вывод 3 26 2 4" xfId="0"/>
    <cellStyle name="Вывод 3 26 3" xfId="0"/>
    <cellStyle name="Вывод 3 26 3 2" xfId="0"/>
    <cellStyle name="Вывод 3 26 3 3" xfId="0"/>
    <cellStyle name="Вывод 3 26 4" xfId="0"/>
    <cellStyle name="Вывод 3 26 5" xfId="0"/>
    <cellStyle name="Вывод 3 27" xfId="0"/>
    <cellStyle name="Вывод 3 27 2" xfId="0"/>
    <cellStyle name="Вывод 3 27 2 2" xfId="0"/>
    <cellStyle name="Вывод 3 27 2 2 2" xfId="0"/>
    <cellStyle name="Вывод 3 27 2 2 3" xfId="0"/>
    <cellStyle name="Вывод 3 27 2 3" xfId="0"/>
    <cellStyle name="Вывод 3 27 2 4" xfId="0"/>
    <cellStyle name="Вывод 3 27 3" xfId="0"/>
    <cellStyle name="Вывод 3 27 3 2" xfId="0"/>
    <cellStyle name="Вывод 3 27 3 3" xfId="0"/>
    <cellStyle name="Вывод 3 27 4" xfId="0"/>
    <cellStyle name="Вывод 3 27 5" xfId="0"/>
    <cellStyle name="Вывод 3 28" xfId="0"/>
    <cellStyle name="Вывод 3 28 2" xfId="0"/>
    <cellStyle name="Вывод 3 28 2 2" xfId="0"/>
    <cellStyle name="Вывод 3 28 2 2 2" xfId="0"/>
    <cellStyle name="Вывод 3 28 2 2 3" xfId="0"/>
    <cellStyle name="Вывод 3 28 2 3" xfId="0"/>
    <cellStyle name="Вывод 3 28 2 4" xfId="0"/>
    <cellStyle name="Вывод 3 28 3" xfId="0"/>
    <cellStyle name="Вывод 3 28 3 2" xfId="0"/>
    <cellStyle name="Вывод 3 28 3 3" xfId="0"/>
    <cellStyle name="Вывод 3 28 4" xfId="0"/>
    <cellStyle name="Вывод 3 28 5" xfId="0"/>
    <cellStyle name="Вывод 3 29" xfId="0"/>
    <cellStyle name="Вывод 3 29 2" xfId="0"/>
    <cellStyle name="Вывод 3 29 2 2" xfId="0"/>
    <cellStyle name="Вывод 3 29 2 3" xfId="0"/>
    <cellStyle name="Вывод 3 29 3" xfId="0"/>
    <cellStyle name="Вывод 3 29 4" xfId="0"/>
    <cellStyle name="Вывод 3 3" xfId="0"/>
    <cellStyle name="Вывод 3 3 10" xfId="0"/>
    <cellStyle name="Вывод 3 3 2" xfId="0"/>
    <cellStyle name="Вывод 3 3 2 2" xfId="0"/>
    <cellStyle name="Вывод 3 3 2 2 2" xfId="0"/>
    <cellStyle name="Вывод 3 3 2 2 2 2" xfId="0"/>
    <cellStyle name="Вывод 3 3 2 2 2 3" xfId="0"/>
    <cellStyle name="Вывод 3 3 2 2 3" xfId="0"/>
    <cellStyle name="Вывод 3 3 2 2 4" xfId="0"/>
    <cellStyle name="Вывод 3 3 2 3" xfId="0"/>
    <cellStyle name="Вывод 3 3 2 3 2" xfId="0"/>
    <cellStyle name="Вывод 3 3 2 3 2 2" xfId="0"/>
    <cellStyle name="Вывод 3 3 2 3 2 3" xfId="0"/>
    <cellStyle name="Вывод 3 3 2 3 3" xfId="0"/>
    <cellStyle name="Вывод 3 3 2 3 4" xfId="0"/>
    <cellStyle name="Вывод 3 3 2 4" xfId="0"/>
    <cellStyle name="Вывод 3 3 2 4 2" xfId="0"/>
    <cellStyle name="Вывод 3 3 2 4 3" xfId="0"/>
    <cellStyle name="Вывод 3 3 2 5" xfId="0"/>
    <cellStyle name="Вывод 3 3 2 6" xfId="0"/>
    <cellStyle name="Вывод 3 3 3" xfId="0"/>
    <cellStyle name="Вывод 3 3 3 2" xfId="0"/>
    <cellStyle name="Вывод 3 3 3 2 2" xfId="0"/>
    <cellStyle name="Вывод 3 3 3 2 2 2" xfId="0"/>
    <cellStyle name="Вывод 3 3 3 2 2 3" xfId="0"/>
    <cellStyle name="Вывод 3 3 3 2 3" xfId="0"/>
    <cellStyle name="Вывод 3 3 3 2 4" xfId="0"/>
    <cellStyle name="Вывод 3 3 3 3" xfId="0"/>
    <cellStyle name="Вывод 3 3 3 3 2" xfId="0"/>
    <cellStyle name="Вывод 3 3 3 3 2 2" xfId="0"/>
    <cellStyle name="Вывод 3 3 3 3 2 3" xfId="0"/>
    <cellStyle name="Вывод 3 3 3 3 3" xfId="0"/>
    <cellStyle name="Вывод 3 3 3 3 4" xfId="0"/>
    <cellStyle name="Вывод 3 3 3 4" xfId="0"/>
    <cellStyle name="Вывод 3 3 3 4 2" xfId="0"/>
    <cellStyle name="Вывод 3 3 3 4 3" xfId="0"/>
    <cellStyle name="Вывод 3 3 3 5" xfId="0"/>
    <cellStyle name="Вывод 3 3 3 6" xfId="0"/>
    <cellStyle name="Вывод 3 3 4" xfId="0"/>
    <cellStyle name="Вывод 3 3 4 2" xfId="0"/>
    <cellStyle name="Вывод 3 3 4 2 2" xfId="0"/>
    <cellStyle name="Вывод 3 3 4 2 2 2" xfId="0"/>
    <cellStyle name="Вывод 3 3 4 2 2 3" xfId="0"/>
    <cellStyle name="Вывод 3 3 4 2 3" xfId="0"/>
    <cellStyle name="Вывод 3 3 4 2 4" xfId="0"/>
    <cellStyle name="Вывод 3 3 4 3" xfId="0"/>
    <cellStyle name="Вывод 3 3 4 3 2" xfId="0"/>
    <cellStyle name="Вывод 3 3 4 3 2 2" xfId="0"/>
    <cellStyle name="Вывод 3 3 4 3 2 3" xfId="0"/>
    <cellStyle name="Вывод 3 3 4 3 3" xfId="0"/>
    <cellStyle name="Вывод 3 3 4 3 4" xfId="0"/>
    <cellStyle name="Вывод 3 3 4 4" xfId="0"/>
    <cellStyle name="Вывод 3 3 4 4 2" xfId="0"/>
    <cellStyle name="Вывод 3 3 4 4 3" xfId="0"/>
    <cellStyle name="Вывод 3 3 4 5" xfId="0"/>
    <cellStyle name="Вывод 3 3 4 6" xfId="0"/>
    <cellStyle name="Вывод 3 3 5" xfId="0"/>
    <cellStyle name="Вывод 3 3 5 2" xfId="0"/>
    <cellStyle name="Вывод 3 3 5 2 2" xfId="0"/>
    <cellStyle name="Вывод 3 3 5 2 2 2" xfId="0"/>
    <cellStyle name="Вывод 3 3 5 2 2 3" xfId="0"/>
    <cellStyle name="Вывод 3 3 5 2 3" xfId="0"/>
    <cellStyle name="Вывод 3 3 5 2 4" xfId="0"/>
    <cellStyle name="Вывод 3 3 5 3" xfId="0"/>
    <cellStyle name="Вывод 3 3 5 3 2" xfId="0"/>
    <cellStyle name="Вывод 3 3 5 3 2 2" xfId="0"/>
    <cellStyle name="Вывод 3 3 5 3 2 3" xfId="0"/>
    <cellStyle name="Вывод 3 3 5 3 3" xfId="0"/>
    <cellStyle name="Вывод 3 3 5 3 4" xfId="0"/>
    <cellStyle name="Вывод 3 3 5 4" xfId="0"/>
    <cellStyle name="Вывод 3 3 5 4 2" xfId="0"/>
    <cellStyle name="Вывод 3 3 5 4 3" xfId="0"/>
    <cellStyle name="Вывод 3 3 5 5" xfId="0"/>
    <cellStyle name="Вывод 3 3 5 6" xfId="0"/>
    <cellStyle name="Вывод 3 3 6" xfId="0"/>
    <cellStyle name="Вывод 3 3 6 2" xfId="0"/>
    <cellStyle name="Вывод 3 3 6 2 2" xfId="0"/>
    <cellStyle name="Вывод 3 3 6 2 2 2" xfId="0"/>
    <cellStyle name="Вывод 3 3 6 2 2 3" xfId="0"/>
    <cellStyle name="Вывод 3 3 6 2 3" xfId="0"/>
    <cellStyle name="Вывод 3 3 6 2 4" xfId="0"/>
    <cellStyle name="Вывод 3 3 6 3" xfId="0"/>
    <cellStyle name="Вывод 3 3 6 3 2" xfId="0"/>
    <cellStyle name="Вывод 3 3 6 3 3" xfId="0"/>
    <cellStyle name="Вывод 3 3 6 4" xfId="0"/>
    <cellStyle name="Вывод 3 3 6 5" xfId="0"/>
    <cellStyle name="Вывод 3 3 7" xfId="0"/>
    <cellStyle name="Вывод 3 3 7 2" xfId="0"/>
    <cellStyle name="Вывод 3 3 7 2 2" xfId="0"/>
    <cellStyle name="Вывод 3 3 7 2 2 2" xfId="0"/>
    <cellStyle name="Вывод 3 3 7 2 2 3" xfId="0"/>
    <cellStyle name="Вывод 3 3 7 2 3" xfId="0"/>
    <cellStyle name="Вывод 3 3 7 2 4" xfId="0"/>
    <cellStyle name="Вывод 3 3 7 3" xfId="0"/>
    <cellStyle name="Вывод 3 3 7 3 2" xfId="0"/>
    <cellStyle name="Вывод 3 3 7 3 3" xfId="0"/>
    <cellStyle name="Вывод 3 3 7 4" xfId="0"/>
    <cellStyle name="Вывод 3 3 7 5" xfId="0"/>
    <cellStyle name="Вывод 3 3 8" xfId="0"/>
    <cellStyle name="Вывод 3 3 8 2" xfId="0"/>
    <cellStyle name="Вывод 3 3 8 3" xfId="0"/>
    <cellStyle name="Вывод 3 3 9" xfId="0"/>
    <cellStyle name="Вывод 3 30" xfId="0"/>
    <cellStyle name="Вывод 3 30 2" xfId="0"/>
    <cellStyle name="Вывод 3 30 3" xfId="0"/>
    <cellStyle name="Вывод 3 31" xfId="0"/>
    <cellStyle name="Вывод 3 31 2" xfId="0"/>
    <cellStyle name="Вывод 3 31 3" xfId="0"/>
    <cellStyle name="Вывод 3 32" xfId="0"/>
    <cellStyle name="Вывод 3 32 2" xfId="0"/>
    <cellStyle name="Вывод 3 32 3" xfId="0"/>
    <cellStyle name="Вывод 3 33" xfId="0"/>
    <cellStyle name="Вывод 3 33 2" xfId="0"/>
    <cellStyle name="Вывод 3 33 3" xfId="0"/>
    <cellStyle name="Вывод 3 34" xfId="0"/>
    <cellStyle name="Вывод 3 4" xfId="0"/>
    <cellStyle name="Вывод 3 4 10" xfId="0"/>
    <cellStyle name="Вывод 3 4 2" xfId="0"/>
    <cellStyle name="Вывод 3 4 2 2" xfId="0"/>
    <cellStyle name="Вывод 3 4 2 2 2" xfId="0"/>
    <cellStyle name="Вывод 3 4 2 2 2 2" xfId="0"/>
    <cellStyle name="Вывод 3 4 2 2 2 3" xfId="0"/>
    <cellStyle name="Вывод 3 4 2 2 3" xfId="0"/>
    <cellStyle name="Вывод 3 4 2 2 4" xfId="0"/>
    <cellStyle name="Вывод 3 4 2 3" xfId="0"/>
    <cellStyle name="Вывод 3 4 2 3 2" xfId="0"/>
    <cellStyle name="Вывод 3 4 2 3 2 2" xfId="0"/>
    <cellStyle name="Вывод 3 4 2 3 2 3" xfId="0"/>
    <cellStyle name="Вывод 3 4 2 3 3" xfId="0"/>
    <cellStyle name="Вывод 3 4 2 3 4" xfId="0"/>
    <cellStyle name="Вывод 3 4 2 4" xfId="0"/>
    <cellStyle name="Вывод 3 4 2 4 2" xfId="0"/>
    <cellStyle name="Вывод 3 4 2 4 3" xfId="0"/>
    <cellStyle name="Вывод 3 4 2 5" xfId="0"/>
    <cellStyle name="Вывод 3 4 2 6" xfId="0"/>
    <cellStyle name="Вывод 3 4 3" xfId="0"/>
    <cellStyle name="Вывод 3 4 3 2" xfId="0"/>
    <cellStyle name="Вывод 3 4 3 2 2" xfId="0"/>
    <cellStyle name="Вывод 3 4 3 2 2 2" xfId="0"/>
    <cellStyle name="Вывод 3 4 3 2 2 3" xfId="0"/>
    <cellStyle name="Вывод 3 4 3 2 3" xfId="0"/>
    <cellStyle name="Вывод 3 4 3 2 4" xfId="0"/>
    <cellStyle name="Вывод 3 4 3 3" xfId="0"/>
    <cellStyle name="Вывод 3 4 3 3 2" xfId="0"/>
    <cellStyle name="Вывод 3 4 3 3 2 2" xfId="0"/>
    <cellStyle name="Вывод 3 4 3 3 2 3" xfId="0"/>
    <cellStyle name="Вывод 3 4 3 3 3" xfId="0"/>
    <cellStyle name="Вывод 3 4 3 3 4" xfId="0"/>
    <cellStyle name="Вывод 3 4 3 4" xfId="0"/>
    <cellStyle name="Вывод 3 4 3 4 2" xfId="0"/>
    <cellStyle name="Вывод 3 4 3 4 3" xfId="0"/>
    <cellStyle name="Вывод 3 4 3 5" xfId="0"/>
    <cellStyle name="Вывод 3 4 3 6" xfId="0"/>
    <cellStyle name="Вывод 3 4 4" xfId="0"/>
    <cellStyle name="Вывод 3 4 4 2" xfId="0"/>
    <cellStyle name="Вывод 3 4 4 2 2" xfId="0"/>
    <cellStyle name="Вывод 3 4 4 2 2 2" xfId="0"/>
    <cellStyle name="Вывод 3 4 4 2 2 3" xfId="0"/>
    <cellStyle name="Вывод 3 4 4 2 3" xfId="0"/>
    <cellStyle name="Вывод 3 4 4 2 4" xfId="0"/>
    <cellStyle name="Вывод 3 4 4 3" xfId="0"/>
    <cellStyle name="Вывод 3 4 4 3 2" xfId="0"/>
    <cellStyle name="Вывод 3 4 4 3 2 2" xfId="0"/>
    <cellStyle name="Вывод 3 4 4 3 2 3" xfId="0"/>
    <cellStyle name="Вывод 3 4 4 3 3" xfId="0"/>
    <cellStyle name="Вывод 3 4 4 3 4" xfId="0"/>
    <cellStyle name="Вывод 3 4 4 4" xfId="0"/>
    <cellStyle name="Вывод 3 4 4 4 2" xfId="0"/>
    <cellStyle name="Вывод 3 4 4 4 3" xfId="0"/>
    <cellStyle name="Вывод 3 4 4 5" xfId="0"/>
    <cellStyle name="Вывод 3 4 4 6" xfId="0"/>
    <cellStyle name="Вывод 3 4 5" xfId="0"/>
    <cellStyle name="Вывод 3 4 5 2" xfId="0"/>
    <cellStyle name="Вывод 3 4 5 2 2" xfId="0"/>
    <cellStyle name="Вывод 3 4 5 2 2 2" xfId="0"/>
    <cellStyle name="Вывод 3 4 5 2 2 3" xfId="0"/>
    <cellStyle name="Вывод 3 4 5 2 3" xfId="0"/>
    <cellStyle name="Вывод 3 4 5 2 4" xfId="0"/>
    <cellStyle name="Вывод 3 4 5 3" xfId="0"/>
    <cellStyle name="Вывод 3 4 5 3 2" xfId="0"/>
    <cellStyle name="Вывод 3 4 5 3 2 2" xfId="0"/>
    <cellStyle name="Вывод 3 4 5 3 2 3" xfId="0"/>
    <cellStyle name="Вывод 3 4 5 3 3" xfId="0"/>
    <cellStyle name="Вывод 3 4 5 3 4" xfId="0"/>
    <cellStyle name="Вывод 3 4 5 4" xfId="0"/>
    <cellStyle name="Вывод 3 4 5 4 2" xfId="0"/>
    <cellStyle name="Вывод 3 4 5 4 3" xfId="0"/>
    <cellStyle name="Вывод 3 4 5 5" xfId="0"/>
    <cellStyle name="Вывод 3 4 5 6" xfId="0"/>
    <cellStyle name="Вывод 3 4 6" xfId="0"/>
    <cellStyle name="Вывод 3 4 6 2" xfId="0"/>
    <cellStyle name="Вывод 3 4 6 2 2" xfId="0"/>
    <cellStyle name="Вывод 3 4 6 2 2 2" xfId="0"/>
    <cellStyle name="Вывод 3 4 6 2 2 3" xfId="0"/>
    <cellStyle name="Вывод 3 4 6 2 3" xfId="0"/>
    <cellStyle name="Вывод 3 4 6 2 4" xfId="0"/>
    <cellStyle name="Вывод 3 4 6 3" xfId="0"/>
    <cellStyle name="Вывод 3 4 6 3 2" xfId="0"/>
    <cellStyle name="Вывод 3 4 6 3 3" xfId="0"/>
    <cellStyle name="Вывод 3 4 6 4" xfId="0"/>
    <cellStyle name="Вывод 3 4 6 5" xfId="0"/>
    <cellStyle name="Вывод 3 4 7" xfId="0"/>
    <cellStyle name="Вывод 3 4 7 2" xfId="0"/>
    <cellStyle name="Вывод 3 4 7 2 2" xfId="0"/>
    <cellStyle name="Вывод 3 4 7 2 2 2" xfId="0"/>
    <cellStyle name="Вывод 3 4 7 2 2 3" xfId="0"/>
    <cellStyle name="Вывод 3 4 7 2 3" xfId="0"/>
    <cellStyle name="Вывод 3 4 7 2 4" xfId="0"/>
    <cellStyle name="Вывод 3 4 7 3" xfId="0"/>
    <cellStyle name="Вывод 3 4 7 3 2" xfId="0"/>
    <cellStyle name="Вывод 3 4 7 3 3" xfId="0"/>
    <cellStyle name="Вывод 3 4 7 4" xfId="0"/>
    <cellStyle name="Вывод 3 4 7 5" xfId="0"/>
    <cellStyle name="Вывод 3 4 8" xfId="0"/>
    <cellStyle name="Вывод 3 4 8 2" xfId="0"/>
    <cellStyle name="Вывод 3 4 8 3" xfId="0"/>
    <cellStyle name="Вывод 3 4 9" xfId="0"/>
    <cellStyle name="Вывод 3 5" xfId="0"/>
    <cellStyle name="Вывод 3 5 2" xfId="0"/>
    <cellStyle name="Вывод 3 5 2 2" xfId="0"/>
    <cellStyle name="Вывод 3 5 2 2 2" xfId="0"/>
    <cellStyle name="Вывод 3 5 2 2 2 2" xfId="0"/>
    <cellStyle name="Вывод 3 5 2 2 2 3" xfId="0"/>
    <cellStyle name="Вывод 3 5 2 2 3" xfId="0"/>
    <cellStyle name="Вывод 3 5 2 2 4" xfId="0"/>
    <cellStyle name="Вывод 3 5 2 3" xfId="0"/>
    <cellStyle name="Вывод 3 5 2 3 2" xfId="0"/>
    <cellStyle name="Вывод 3 5 2 3 2 2" xfId="0"/>
    <cellStyle name="Вывод 3 5 2 3 2 3" xfId="0"/>
    <cellStyle name="Вывод 3 5 2 3 3" xfId="0"/>
    <cellStyle name="Вывод 3 5 2 3 4" xfId="0"/>
    <cellStyle name="Вывод 3 5 2 4" xfId="0"/>
    <cellStyle name="Вывод 3 5 2 4 2" xfId="0"/>
    <cellStyle name="Вывод 3 5 2 4 3" xfId="0"/>
    <cellStyle name="Вывод 3 5 2 5" xfId="0"/>
    <cellStyle name="Вывод 3 5 2 6" xfId="0"/>
    <cellStyle name="Вывод 3 5 3" xfId="0"/>
    <cellStyle name="Вывод 3 5 3 2" xfId="0"/>
    <cellStyle name="Вывод 3 5 3 2 2" xfId="0"/>
    <cellStyle name="Вывод 3 5 3 2 2 2" xfId="0"/>
    <cellStyle name="Вывод 3 5 3 2 2 3" xfId="0"/>
    <cellStyle name="Вывод 3 5 3 2 3" xfId="0"/>
    <cellStyle name="Вывод 3 5 3 2 4" xfId="0"/>
    <cellStyle name="Вывод 3 5 3 3" xfId="0"/>
    <cellStyle name="Вывод 3 5 3 3 2" xfId="0"/>
    <cellStyle name="Вывод 3 5 3 3 3" xfId="0"/>
    <cellStyle name="Вывод 3 5 3 4" xfId="0"/>
    <cellStyle name="Вывод 3 5 3 5" xfId="0"/>
    <cellStyle name="Вывод 3 5 4" xfId="0"/>
    <cellStyle name="Вывод 3 5 4 2" xfId="0"/>
    <cellStyle name="Вывод 3 5 4 2 2" xfId="0"/>
    <cellStyle name="Вывод 3 5 4 2 2 2" xfId="0"/>
    <cellStyle name="Вывод 3 5 4 2 2 3" xfId="0"/>
    <cellStyle name="Вывод 3 5 4 2 3" xfId="0"/>
    <cellStyle name="Вывод 3 5 4 2 4" xfId="0"/>
    <cellStyle name="Вывод 3 5 4 3" xfId="0"/>
    <cellStyle name="Вывод 3 5 4 3 2" xfId="0"/>
    <cellStyle name="Вывод 3 5 4 3 3" xfId="0"/>
    <cellStyle name="Вывод 3 5 4 4" xfId="0"/>
    <cellStyle name="Вывод 3 5 4 5" xfId="0"/>
    <cellStyle name="Вывод 3 5 5" xfId="0"/>
    <cellStyle name="Вывод 3 5 5 2" xfId="0"/>
    <cellStyle name="Вывод 3 5 5 3" xfId="0"/>
    <cellStyle name="Вывод 3 5 6" xfId="0"/>
    <cellStyle name="Вывод 3 5 7" xfId="0"/>
    <cellStyle name="Вывод 3 6" xfId="0"/>
    <cellStyle name="Вывод 3 6 2" xfId="0"/>
    <cellStyle name="Вывод 3 6 2 2" xfId="0"/>
    <cellStyle name="Вывод 3 6 2 2 2" xfId="0"/>
    <cellStyle name="Вывод 3 6 2 2 2 2" xfId="0"/>
    <cellStyle name="Вывод 3 6 2 2 2 3" xfId="0"/>
    <cellStyle name="Вывод 3 6 2 2 3" xfId="0"/>
    <cellStyle name="Вывод 3 6 2 2 4" xfId="0"/>
    <cellStyle name="Вывод 3 6 2 3" xfId="0"/>
    <cellStyle name="Вывод 3 6 2 3 2" xfId="0"/>
    <cellStyle name="Вывод 3 6 2 3 2 2" xfId="0"/>
    <cellStyle name="Вывод 3 6 2 3 2 3" xfId="0"/>
    <cellStyle name="Вывод 3 6 2 3 3" xfId="0"/>
    <cellStyle name="Вывод 3 6 2 3 4" xfId="0"/>
    <cellStyle name="Вывод 3 6 2 4" xfId="0"/>
    <cellStyle name="Вывод 3 6 2 4 2" xfId="0"/>
    <cellStyle name="Вывод 3 6 2 4 3" xfId="0"/>
    <cellStyle name="Вывод 3 6 2 5" xfId="0"/>
    <cellStyle name="Вывод 3 6 2 6" xfId="0"/>
    <cellStyle name="Вывод 3 6 3" xfId="0"/>
    <cellStyle name="Вывод 3 6 3 2" xfId="0"/>
    <cellStyle name="Вывод 3 6 3 2 2" xfId="0"/>
    <cellStyle name="Вывод 3 6 3 2 2 2" xfId="0"/>
    <cellStyle name="Вывод 3 6 3 2 2 3" xfId="0"/>
    <cellStyle name="Вывод 3 6 3 2 3" xfId="0"/>
    <cellStyle name="Вывод 3 6 3 2 4" xfId="0"/>
    <cellStyle name="Вывод 3 6 3 3" xfId="0"/>
    <cellStyle name="Вывод 3 6 3 3 2" xfId="0"/>
    <cellStyle name="Вывод 3 6 3 3 3" xfId="0"/>
    <cellStyle name="Вывод 3 6 3 4" xfId="0"/>
    <cellStyle name="Вывод 3 6 3 5" xfId="0"/>
    <cellStyle name="Вывод 3 6 4" xfId="0"/>
    <cellStyle name="Вывод 3 6 4 2" xfId="0"/>
    <cellStyle name="Вывод 3 6 4 2 2" xfId="0"/>
    <cellStyle name="Вывод 3 6 4 2 2 2" xfId="0"/>
    <cellStyle name="Вывод 3 6 4 2 2 3" xfId="0"/>
    <cellStyle name="Вывод 3 6 4 2 3" xfId="0"/>
    <cellStyle name="Вывод 3 6 4 2 4" xfId="0"/>
    <cellStyle name="Вывод 3 6 4 3" xfId="0"/>
    <cellStyle name="Вывод 3 6 4 3 2" xfId="0"/>
    <cellStyle name="Вывод 3 6 4 3 3" xfId="0"/>
    <cellStyle name="Вывод 3 6 4 4" xfId="0"/>
    <cellStyle name="Вывод 3 6 4 5" xfId="0"/>
    <cellStyle name="Вывод 3 6 5" xfId="0"/>
    <cellStyle name="Вывод 3 6 5 2" xfId="0"/>
    <cellStyle name="Вывод 3 6 5 3" xfId="0"/>
    <cellStyle name="Вывод 3 6 6" xfId="0"/>
    <cellStyle name="Вывод 3 6 7" xfId="0"/>
    <cellStyle name="Вывод 3 7" xfId="0"/>
    <cellStyle name="Вывод 3 7 2" xfId="0"/>
    <cellStyle name="Вывод 3 7 2 2" xfId="0"/>
    <cellStyle name="Вывод 3 7 2 2 2" xfId="0"/>
    <cellStyle name="Вывод 3 7 2 2 2 2" xfId="0"/>
    <cellStyle name="Вывод 3 7 2 2 2 3" xfId="0"/>
    <cellStyle name="Вывод 3 7 2 2 3" xfId="0"/>
    <cellStyle name="Вывод 3 7 2 2 4" xfId="0"/>
    <cellStyle name="Вывод 3 7 2 3" xfId="0"/>
    <cellStyle name="Вывод 3 7 2 3 2" xfId="0"/>
    <cellStyle name="Вывод 3 7 2 3 2 2" xfId="0"/>
    <cellStyle name="Вывод 3 7 2 3 2 3" xfId="0"/>
    <cellStyle name="Вывод 3 7 2 3 3" xfId="0"/>
    <cellStyle name="Вывод 3 7 2 3 4" xfId="0"/>
    <cellStyle name="Вывод 3 7 2 4" xfId="0"/>
    <cellStyle name="Вывод 3 7 2 4 2" xfId="0"/>
    <cellStyle name="Вывод 3 7 2 4 3" xfId="0"/>
    <cellStyle name="Вывод 3 7 2 5" xfId="0"/>
    <cellStyle name="Вывод 3 7 2 6" xfId="0"/>
    <cellStyle name="Вывод 3 7 3" xfId="0"/>
    <cellStyle name="Вывод 3 7 3 2" xfId="0"/>
    <cellStyle name="Вывод 3 7 3 2 2" xfId="0"/>
    <cellStyle name="Вывод 3 7 3 2 2 2" xfId="0"/>
    <cellStyle name="Вывод 3 7 3 2 2 3" xfId="0"/>
    <cellStyle name="Вывод 3 7 3 2 3" xfId="0"/>
    <cellStyle name="Вывод 3 7 3 2 4" xfId="0"/>
    <cellStyle name="Вывод 3 7 3 3" xfId="0"/>
    <cellStyle name="Вывод 3 7 3 3 2" xfId="0"/>
    <cellStyle name="Вывод 3 7 3 3 3" xfId="0"/>
    <cellStyle name="Вывод 3 7 3 4" xfId="0"/>
    <cellStyle name="Вывод 3 7 3 5" xfId="0"/>
    <cellStyle name="Вывод 3 7 4" xfId="0"/>
    <cellStyle name="Вывод 3 7 4 2" xfId="0"/>
    <cellStyle name="Вывод 3 7 4 2 2" xfId="0"/>
    <cellStyle name="Вывод 3 7 4 2 2 2" xfId="0"/>
    <cellStyle name="Вывод 3 7 4 2 2 3" xfId="0"/>
    <cellStyle name="Вывод 3 7 4 2 3" xfId="0"/>
    <cellStyle name="Вывод 3 7 4 2 4" xfId="0"/>
    <cellStyle name="Вывод 3 7 4 3" xfId="0"/>
    <cellStyle name="Вывод 3 7 4 3 2" xfId="0"/>
    <cellStyle name="Вывод 3 7 4 3 3" xfId="0"/>
    <cellStyle name="Вывод 3 7 4 4" xfId="0"/>
    <cellStyle name="Вывод 3 7 4 5" xfId="0"/>
    <cellStyle name="Вывод 3 7 5" xfId="0"/>
    <cellStyle name="Вывод 3 7 5 2" xfId="0"/>
    <cellStyle name="Вывод 3 7 5 3" xfId="0"/>
    <cellStyle name="Вывод 3 7 6" xfId="0"/>
    <cellStyle name="Вывод 3 7 7" xfId="0"/>
    <cellStyle name="Вывод 3 8" xfId="0"/>
    <cellStyle name="Вывод 3 8 2" xfId="0"/>
    <cellStyle name="Вывод 3 8 2 2" xfId="0"/>
    <cellStyle name="Вывод 3 8 2 2 2" xfId="0"/>
    <cellStyle name="Вывод 3 8 2 2 2 2" xfId="0"/>
    <cellStyle name="Вывод 3 8 2 2 2 3" xfId="0"/>
    <cellStyle name="Вывод 3 8 2 2 3" xfId="0"/>
    <cellStyle name="Вывод 3 8 2 2 4" xfId="0"/>
    <cellStyle name="Вывод 3 8 2 3" xfId="0"/>
    <cellStyle name="Вывод 3 8 2 3 2" xfId="0"/>
    <cellStyle name="Вывод 3 8 2 3 2 2" xfId="0"/>
    <cellStyle name="Вывод 3 8 2 3 2 3" xfId="0"/>
    <cellStyle name="Вывод 3 8 2 3 3" xfId="0"/>
    <cellStyle name="Вывод 3 8 2 3 4" xfId="0"/>
    <cellStyle name="Вывод 3 8 2 4" xfId="0"/>
    <cellStyle name="Вывод 3 8 2 4 2" xfId="0"/>
    <cellStyle name="Вывод 3 8 2 4 3" xfId="0"/>
    <cellStyle name="Вывод 3 8 2 5" xfId="0"/>
    <cellStyle name="Вывод 3 8 2 6" xfId="0"/>
    <cellStyle name="Вывод 3 8 3" xfId="0"/>
    <cellStyle name="Вывод 3 8 3 2" xfId="0"/>
    <cellStyle name="Вывод 3 8 3 2 2" xfId="0"/>
    <cellStyle name="Вывод 3 8 3 2 2 2" xfId="0"/>
    <cellStyle name="Вывод 3 8 3 2 2 3" xfId="0"/>
    <cellStyle name="Вывод 3 8 3 2 3" xfId="0"/>
    <cellStyle name="Вывод 3 8 3 2 4" xfId="0"/>
    <cellStyle name="Вывод 3 8 3 3" xfId="0"/>
    <cellStyle name="Вывод 3 8 3 3 2" xfId="0"/>
    <cellStyle name="Вывод 3 8 3 3 3" xfId="0"/>
    <cellStyle name="Вывод 3 8 3 4" xfId="0"/>
    <cellStyle name="Вывод 3 8 3 5" xfId="0"/>
    <cellStyle name="Вывод 3 8 4" xfId="0"/>
    <cellStyle name="Вывод 3 8 4 2" xfId="0"/>
    <cellStyle name="Вывод 3 8 4 2 2" xfId="0"/>
    <cellStyle name="Вывод 3 8 4 2 2 2" xfId="0"/>
    <cellStyle name="Вывод 3 8 4 2 2 3" xfId="0"/>
    <cellStyle name="Вывод 3 8 4 2 3" xfId="0"/>
    <cellStyle name="Вывод 3 8 4 2 4" xfId="0"/>
    <cellStyle name="Вывод 3 8 4 3" xfId="0"/>
    <cellStyle name="Вывод 3 8 4 3 2" xfId="0"/>
    <cellStyle name="Вывод 3 8 4 3 3" xfId="0"/>
    <cellStyle name="Вывод 3 8 4 4" xfId="0"/>
    <cellStyle name="Вывод 3 8 4 5" xfId="0"/>
    <cellStyle name="Вывод 3 8 5" xfId="0"/>
    <cellStyle name="Вывод 3 8 5 2" xfId="0"/>
    <cellStyle name="Вывод 3 8 5 3" xfId="0"/>
    <cellStyle name="Вывод 3 8 6" xfId="0"/>
    <cellStyle name="Вывод 3 8 7" xfId="0"/>
    <cellStyle name="Вывод 3 9" xfId="0"/>
    <cellStyle name="Вывод 3 9 2" xfId="0"/>
    <cellStyle name="Вывод 3 9 2 2" xfId="0"/>
    <cellStyle name="Вывод 3 9 2 2 2" xfId="0"/>
    <cellStyle name="Вывод 3 9 2 2 2 2" xfId="0"/>
    <cellStyle name="Вывод 3 9 2 2 2 3" xfId="0"/>
    <cellStyle name="Вывод 3 9 2 2 3" xfId="0"/>
    <cellStyle name="Вывод 3 9 2 2 4" xfId="0"/>
    <cellStyle name="Вывод 3 9 2 3" xfId="0"/>
    <cellStyle name="Вывод 3 9 2 3 2" xfId="0"/>
    <cellStyle name="Вывод 3 9 2 3 2 2" xfId="0"/>
    <cellStyle name="Вывод 3 9 2 3 2 3" xfId="0"/>
    <cellStyle name="Вывод 3 9 2 3 3" xfId="0"/>
    <cellStyle name="Вывод 3 9 2 3 4" xfId="0"/>
    <cellStyle name="Вывод 3 9 2 4" xfId="0"/>
    <cellStyle name="Вывод 3 9 2 4 2" xfId="0"/>
    <cellStyle name="Вывод 3 9 2 4 3" xfId="0"/>
    <cellStyle name="Вывод 3 9 2 5" xfId="0"/>
    <cellStyle name="Вывод 3 9 2 6" xfId="0"/>
    <cellStyle name="Вывод 3 9 3" xfId="0"/>
    <cellStyle name="Вывод 3 9 3 2" xfId="0"/>
    <cellStyle name="Вывод 3 9 3 2 2" xfId="0"/>
    <cellStyle name="Вывод 3 9 3 2 2 2" xfId="0"/>
    <cellStyle name="Вывод 3 9 3 2 2 3" xfId="0"/>
    <cellStyle name="Вывод 3 9 3 2 3" xfId="0"/>
    <cellStyle name="Вывод 3 9 3 2 4" xfId="0"/>
    <cellStyle name="Вывод 3 9 3 3" xfId="0"/>
    <cellStyle name="Вывод 3 9 3 3 2" xfId="0"/>
    <cellStyle name="Вывод 3 9 3 3 3" xfId="0"/>
    <cellStyle name="Вывод 3 9 3 4" xfId="0"/>
    <cellStyle name="Вывод 3 9 3 5" xfId="0"/>
    <cellStyle name="Вывод 3 9 4" xfId="0"/>
    <cellStyle name="Вывод 3 9 4 2" xfId="0"/>
    <cellStyle name="Вывод 3 9 4 2 2" xfId="0"/>
    <cellStyle name="Вывод 3 9 4 2 2 2" xfId="0"/>
    <cellStyle name="Вывод 3 9 4 2 2 3" xfId="0"/>
    <cellStyle name="Вывод 3 9 4 2 3" xfId="0"/>
    <cellStyle name="Вывод 3 9 4 2 4" xfId="0"/>
    <cellStyle name="Вывод 3 9 4 3" xfId="0"/>
    <cellStyle name="Вывод 3 9 4 3 2" xfId="0"/>
    <cellStyle name="Вывод 3 9 4 3 3" xfId="0"/>
    <cellStyle name="Вывод 3 9 4 4" xfId="0"/>
    <cellStyle name="Вывод 3 9 4 5" xfId="0"/>
    <cellStyle name="Вывод 3 9 5" xfId="0"/>
    <cellStyle name="Вывод 3 9 5 2" xfId="0"/>
    <cellStyle name="Вывод 3 9 5 3" xfId="0"/>
    <cellStyle name="Вывод 3 9 6" xfId="0"/>
    <cellStyle name="Вывод 3 9 7" xfId="0"/>
    <cellStyle name="Вывод 4" xfId="0"/>
    <cellStyle name="Вывод 4 10" xfId="0"/>
    <cellStyle name="Вывод 4 10 2" xfId="0"/>
    <cellStyle name="Вывод 4 10 2 2" xfId="0"/>
    <cellStyle name="Вывод 4 10 2 2 2" xfId="0"/>
    <cellStyle name="Вывод 4 10 2 2 2 2" xfId="0"/>
    <cellStyle name="Вывод 4 10 2 2 2 3" xfId="0"/>
    <cellStyle name="Вывод 4 10 2 2 3" xfId="0"/>
    <cellStyle name="Вывод 4 10 2 2 4" xfId="0"/>
    <cellStyle name="Вывод 4 10 2 3" xfId="0"/>
    <cellStyle name="Вывод 4 10 2 3 2" xfId="0"/>
    <cellStyle name="Вывод 4 10 2 3 2 2" xfId="0"/>
    <cellStyle name="Вывод 4 10 2 3 2 3" xfId="0"/>
    <cellStyle name="Вывод 4 10 2 3 3" xfId="0"/>
    <cellStyle name="Вывод 4 10 2 3 4" xfId="0"/>
    <cellStyle name="Вывод 4 10 2 4" xfId="0"/>
    <cellStyle name="Вывод 4 10 2 4 2" xfId="0"/>
    <cellStyle name="Вывод 4 10 2 4 3" xfId="0"/>
    <cellStyle name="Вывод 4 10 2 5" xfId="0"/>
    <cellStyle name="Вывод 4 10 2 6" xfId="0"/>
    <cellStyle name="Вывод 4 10 3" xfId="0"/>
    <cellStyle name="Вывод 4 10 3 2" xfId="0"/>
    <cellStyle name="Вывод 4 10 3 2 2" xfId="0"/>
    <cellStyle name="Вывод 4 10 3 2 2 2" xfId="0"/>
    <cellStyle name="Вывод 4 10 3 2 2 3" xfId="0"/>
    <cellStyle name="Вывод 4 10 3 2 3" xfId="0"/>
    <cellStyle name="Вывод 4 10 3 2 4" xfId="0"/>
    <cellStyle name="Вывод 4 10 3 3" xfId="0"/>
    <cellStyle name="Вывод 4 10 3 3 2" xfId="0"/>
    <cellStyle name="Вывод 4 10 3 3 3" xfId="0"/>
    <cellStyle name="Вывод 4 10 3 4" xfId="0"/>
    <cellStyle name="Вывод 4 10 3 5" xfId="0"/>
    <cellStyle name="Вывод 4 10 4" xfId="0"/>
    <cellStyle name="Вывод 4 10 4 2" xfId="0"/>
    <cellStyle name="Вывод 4 10 4 2 2" xfId="0"/>
    <cellStyle name="Вывод 4 10 4 2 2 2" xfId="0"/>
    <cellStyle name="Вывод 4 10 4 2 2 3" xfId="0"/>
    <cellStyle name="Вывод 4 10 4 2 3" xfId="0"/>
    <cellStyle name="Вывод 4 10 4 2 4" xfId="0"/>
    <cellStyle name="Вывод 4 10 4 3" xfId="0"/>
    <cellStyle name="Вывод 4 10 4 3 2" xfId="0"/>
    <cellStyle name="Вывод 4 10 4 3 3" xfId="0"/>
    <cellStyle name="Вывод 4 10 4 4" xfId="0"/>
    <cellStyle name="Вывод 4 10 4 5" xfId="0"/>
    <cellStyle name="Вывод 4 10 5" xfId="0"/>
    <cellStyle name="Вывод 4 10 5 2" xfId="0"/>
    <cellStyle name="Вывод 4 10 5 3" xfId="0"/>
    <cellStyle name="Вывод 4 10 6" xfId="0"/>
    <cellStyle name="Вывод 4 10 7" xfId="0"/>
    <cellStyle name="Вывод 4 11" xfId="0"/>
    <cellStyle name="Вывод 4 11 2" xfId="0"/>
    <cellStyle name="Вывод 4 11 2 2" xfId="0"/>
    <cellStyle name="Вывод 4 11 2 2 2" xfId="0"/>
    <cellStyle name="Вывод 4 11 2 2 2 2" xfId="0"/>
    <cellStyle name="Вывод 4 11 2 2 2 3" xfId="0"/>
    <cellStyle name="Вывод 4 11 2 2 3" xfId="0"/>
    <cellStyle name="Вывод 4 11 2 2 4" xfId="0"/>
    <cellStyle name="Вывод 4 11 2 3" xfId="0"/>
    <cellStyle name="Вывод 4 11 2 3 2" xfId="0"/>
    <cellStyle name="Вывод 4 11 2 3 2 2" xfId="0"/>
    <cellStyle name="Вывод 4 11 2 3 2 3" xfId="0"/>
    <cellStyle name="Вывод 4 11 2 3 3" xfId="0"/>
    <cellStyle name="Вывод 4 11 2 3 4" xfId="0"/>
    <cellStyle name="Вывод 4 11 2 4" xfId="0"/>
    <cellStyle name="Вывод 4 11 2 4 2" xfId="0"/>
    <cellStyle name="Вывод 4 11 2 4 3" xfId="0"/>
    <cellStyle name="Вывод 4 11 2 5" xfId="0"/>
    <cellStyle name="Вывод 4 11 2 6" xfId="0"/>
    <cellStyle name="Вывод 4 11 3" xfId="0"/>
    <cellStyle name="Вывод 4 11 3 2" xfId="0"/>
    <cellStyle name="Вывод 4 11 3 2 2" xfId="0"/>
    <cellStyle name="Вывод 4 11 3 2 2 2" xfId="0"/>
    <cellStyle name="Вывод 4 11 3 2 2 3" xfId="0"/>
    <cellStyle name="Вывод 4 11 3 2 3" xfId="0"/>
    <cellStyle name="Вывод 4 11 3 2 4" xfId="0"/>
    <cellStyle name="Вывод 4 11 3 3" xfId="0"/>
    <cellStyle name="Вывод 4 11 3 3 2" xfId="0"/>
    <cellStyle name="Вывод 4 11 3 3 3" xfId="0"/>
    <cellStyle name="Вывод 4 11 3 4" xfId="0"/>
    <cellStyle name="Вывод 4 11 3 5" xfId="0"/>
    <cellStyle name="Вывод 4 11 4" xfId="0"/>
    <cellStyle name="Вывод 4 11 4 2" xfId="0"/>
    <cellStyle name="Вывод 4 11 4 2 2" xfId="0"/>
    <cellStyle name="Вывод 4 11 4 2 2 2" xfId="0"/>
    <cellStyle name="Вывод 4 11 4 2 2 3" xfId="0"/>
    <cellStyle name="Вывод 4 11 4 2 3" xfId="0"/>
    <cellStyle name="Вывод 4 11 4 2 4" xfId="0"/>
    <cellStyle name="Вывод 4 11 4 3" xfId="0"/>
    <cellStyle name="Вывод 4 11 4 3 2" xfId="0"/>
    <cellStyle name="Вывод 4 11 4 3 3" xfId="0"/>
    <cellStyle name="Вывод 4 11 4 4" xfId="0"/>
    <cellStyle name="Вывод 4 11 4 5" xfId="0"/>
    <cellStyle name="Вывод 4 11 5" xfId="0"/>
    <cellStyle name="Вывод 4 11 5 2" xfId="0"/>
    <cellStyle name="Вывод 4 11 5 3" xfId="0"/>
    <cellStyle name="Вывод 4 11 6" xfId="0"/>
    <cellStyle name="Вывод 4 11 7" xfId="0"/>
    <cellStyle name="Вывод 4 12" xfId="0"/>
    <cellStyle name="Вывод 4 12 2" xfId="0"/>
    <cellStyle name="Вывод 4 12 2 2" xfId="0"/>
    <cellStyle name="Вывод 4 12 2 2 2" xfId="0"/>
    <cellStyle name="Вывод 4 12 2 2 2 2" xfId="0"/>
    <cellStyle name="Вывод 4 12 2 2 2 3" xfId="0"/>
    <cellStyle name="Вывод 4 12 2 2 3" xfId="0"/>
    <cellStyle name="Вывод 4 12 2 2 4" xfId="0"/>
    <cellStyle name="Вывод 4 12 2 3" xfId="0"/>
    <cellStyle name="Вывод 4 12 2 3 2" xfId="0"/>
    <cellStyle name="Вывод 4 12 2 3 2 2" xfId="0"/>
    <cellStyle name="Вывод 4 12 2 3 2 3" xfId="0"/>
    <cellStyle name="Вывод 4 12 2 3 3" xfId="0"/>
    <cellStyle name="Вывод 4 12 2 3 4" xfId="0"/>
    <cellStyle name="Вывод 4 12 2 4" xfId="0"/>
    <cellStyle name="Вывод 4 12 2 4 2" xfId="0"/>
    <cellStyle name="Вывод 4 12 2 4 3" xfId="0"/>
    <cellStyle name="Вывод 4 12 2 5" xfId="0"/>
    <cellStyle name="Вывод 4 12 2 6" xfId="0"/>
    <cellStyle name="Вывод 4 12 3" xfId="0"/>
    <cellStyle name="Вывод 4 12 3 2" xfId="0"/>
    <cellStyle name="Вывод 4 12 3 2 2" xfId="0"/>
    <cellStyle name="Вывод 4 12 3 2 2 2" xfId="0"/>
    <cellStyle name="Вывод 4 12 3 2 2 3" xfId="0"/>
    <cellStyle name="Вывод 4 12 3 2 3" xfId="0"/>
    <cellStyle name="Вывод 4 12 3 2 4" xfId="0"/>
    <cellStyle name="Вывод 4 12 3 3" xfId="0"/>
    <cellStyle name="Вывод 4 12 3 3 2" xfId="0"/>
    <cellStyle name="Вывод 4 12 3 3 3" xfId="0"/>
    <cellStyle name="Вывод 4 12 3 4" xfId="0"/>
    <cellStyle name="Вывод 4 12 3 5" xfId="0"/>
    <cellStyle name="Вывод 4 12 4" xfId="0"/>
    <cellStyle name="Вывод 4 12 4 2" xfId="0"/>
    <cellStyle name="Вывод 4 12 4 2 2" xfId="0"/>
    <cellStyle name="Вывод 4 12 4 2 2 2" xfId="0"/>
    <cellStyle name="Вывод 4 12 4 2 2 3" xfId="0"/>
    <cellStyle name="Вывод 4 12 4 2 3" xfId="0"/>
    <cellStyle name="Вывод 4 12 4 2 4" xfId="0"/>
    <cellStyle name="Вывод 4 12 4 3" xfId="0"/>
    <cellStyle name="Вывод 4 12 4 3 2" xfId="0"/>
    <cellStyle name="Вывод 4 12 4 3 3" xfId="0"/>
    <cellStyle name="Вывод 4 12 4 4" xfId="0"/>
    <cellStyle name="Вывод 4 12 4 5" xfId="0"/>
    <cellStyle name="Вывод 4 12 5" xfId="0"/>
    <cellStyle name="Вывод 4 12 5 2" xfId="0"/>
    <cellStyle name="Вывод 4 12 5 3" xfId="0"/>
    <cellStyle name="Вывод 4 12 6" xfId="0"/>
    <cellStyle name="Вывод 4 12 7" xfId="0"/>
    <cellStyle name="Вывод 4 13" xfId="0"/>
    <cellStyle name="Вывод 4 13 2" xfId="0"/>
    <cellStyle name="Вывод 4 13 2 2" xfId="0"/>
    <cellStyle name="Вывод 4 13 2 2 2" xfId="0"/>
    <cellStyle name="Вывод 4 13 2 2 2 2" xfId="0"/>
    <cellStyle name="Вывод 4 13 2 2 2 3" xfId="0"/>
    <cellStyle name="Вывод 4 13 2 2 3" xfId="0"/>
    <cellStyle name="Вывод 4 13 2 2 4" xfId="0"/>
    <cellStyle name="Вывод 4 13 2 3" xfId="0"/>
    <cellStyle name="Вывод 4 13 2 3 2" xfId="0"/>
    <cellStyle name="Вывод 4 13 2 3 2 2" xfId="0"/>
    <cellStyle name="Вывод 4 13 2 3 2 3" xfId="0"/>
    <cellStyle name="Вывод 4 13 2 3 3" xfId="0"/>
    <cellStyle name="Вывод 4 13 2 3 4" xfId="0"/>
    <cellStyle name="Вывод 4 13 2 4" xfId="0"/>
    <cellStyle name="Вывод 4 13 2 4 2" xfId="0"/>
    <cellStyle name="Вывод 4 13 2 4 3" xfId="0"/>
    <cellStyle name="Вывод 4 13 2 5" xfId="0"/>
    <cellStyle name="Вывод 4 13 2 6" xfId="0"/>
    <cellStyle name="Вывод 4 13 3" xfId="0"/>
    <cellStyle name="Вывод 4 13 3 2" xfId="0"/>
    <cellStyle name="Вывод 4 13 3 2 2" xfId="0"/>
    <cellStyle name="Вывод 4 13 3 2 2 2" xfId="0"/>
    <cellStyle name="Вывод 4 13 3 2 2 3" xfId="0"/>
    <cellStyle name="Вывод 4 13 3 2 3" xfId="0"/>
    <cellStyle name="Вывод 4 13 3 2 4" xfId="0"/>
    <cellStyle name="Вывод 4 13 3 3" xfId="0"/>
    <cellStyle name="Вывод 4 13 3 3 2" xfId="0"/>
    <cellStyle name="Вывод 4 13 3 3 3" xfId="0"/>
    <cellStyle name="Вывод 4 13 3 4" xfId="0"/>
    <cellStyle name="Вывод 4 13 3 5" xfId="0"/>
    <cellStyle name="Вывод 4 13 4" xfId="0"/>
    <cellStyle name="Вывод 4 13 4 2" xfId="0"/>
    <cellStyle name="Вывод 4 13 4 2 2" xfId="0"/>
    <cellStyle name="Вывод 4 13 4 2 2 2" xfId="0"/>
    <cellStyle name="Вывод 4 13 4 2 2 3" xfId="0"/>
    <cellStyle name="Вывод 4 13 4 2 3" xfId="0"/>
    <cellStyle name="Вывод 4 13 4 2 4" xfId="0"/>
    <cellStyle name="Вывод 4 13 4 3" xfId="0"/>
    <cellStyle name="Вывод 4 13 4 3 2" xfId="0"/>
    <cellStyle name="Вывод 4 13 4 3 3" xfId="0"/>
    <cellStyle name="Вывод 4 13 4 4" xfId="0"/>
    <cellStyle name="Вывод 4 13 4 5" xfId="0"/>
    <cellStyle name="Вывод 4 13 5" xfId="0"/>
    <cellStyle name="Вывод 4 13 5 2" xfId="0"/>
    <cellStyle name="Вывод 4 13 5 3" xfId="0"/>
    <cellStyle name="Вывод 4 13 6" xfId="0"/>
    <cellStyle name="Вывод 4 13 7" xfId="0"/>
    <cellStyle name="Вывод 4 14" xfId="0"/>
    <cellStyle name="Вывод 4 14 2" xfId="0"/>
    <cellStyle name="Вывод 4 14 2 2" xfId="0"/>
    <cellStyle name="Вывод 4 14 2 2 2" xfId="0"/>
    <cellStyle name="Вывод 4 14 2 2 2 2" xfId="0"/>
    <cellStyle name="Вывод 4 14 2 2 2 3" xfId="0"/>
    <cellStyle name="Вывод 4 14 2 2 3" xfId="0"/>
    <cellStyle name="Вывод 4 14 2 2 4" xfId="0"/>
    <cellStyle name="Вывод 4 14 2 3" xfId="0"/>
    <cellStyle name="Вывод 4 14 2 3 2" xfId="0"/>
    <cellStyle name="Вывод 4 14 2 3 2 2" xfId="0"/>
    <cellStyle name="Вывод 4 14 2 3 2 3" xfId="0"/>
    <cellStyle name="Вывод 4 14 2 3 3" xfId="0"/>
    <cellStyle name="Вывод 4 14 2 3 4" xfId="0"/>
    <cellStyle name="Вывод 4 14 2 4" xfId="0"/>
    <cellStyle name="Вывод 4 14 2 4 2" xfId="0"/>
    <cellStyle name="Вывод 4 14 2 4 3" xfId="0"/>
    <cellStyle name="Вывод 4 14 2 5" xfId="0"/>
    <cellStyle name="Вывод 4 14 2 6" xfId="0"/>
    <cellStyle name="Вывод 4 14 3" xfId="0"/>
    <cellStyle name="Вывод 4 14 3 2" xfId="0"/>
    <cellStyle name="Вывод 4 14 3 2 2" xfId="0"/>
    <cellStyle name="Вывод 4 14 3 2 2 2" xfId="0"/>
    <cellStyle name="Вывод 4 14 3 2 2 3" xfId="0"/>
    <cellStyle name="Вывод 4 14 3 2 3" xfId="0"/>
    <cellStyle name="Вывод 4 14 3 2 4" xfId="0"/>
    <cellStyle name="Вывод 4 14 3 3" xfId="0"/>
    <cellStyle name="Вывод 4 14 3 3 2" xfId="0"/>
    <cellStyle name="Вывод 4 14 3 3 3" xfId="0"/>
    <cellStyle name="Вывод 4 14 3 4" xfId="0"/>
    <cellStyle name="Вывод 4 14 3 5" xfId="0"/>
    <cellStyle name="Вывод 4 14 4" xfId="0"/>
    <cellStyle name="Вывод 4 14 4 2" xfId="0"/>
    <cellStyle name="Вывод 4 14 4 2 2" xfId="0"/>
    <cellStyle name="Вывод 4 14 4 2 2 2" xfId="0"/>
    <cellStyle name="Вывод 4 14 4 2 2 3" xfId="0"/>
    <cellStyle name="Вывод 4 14 4 2 3" xfId="0"/>
    <cellStyle name="Вывод 4 14 4 2 4" xfId="0"/>
    <cellStyle name="Вывод 4 14 4 3" xfId="0"/>
    <cellStyle name="Вывод 4 14 4 3 2" xfId="0"/>
    <cellStyle name="Вывод 4 14 4 3 3" xfId="0"/>
    <cellStyle name="Вывод 4 14 4 4" xfId="0"/>
    <cellStyle name="Вывод 4 14 4 5" xfId="0"/>
    <cellStyle name="Вывод 4 14 5" xfId="0"/>
    <cellStyle name="Вывод 4 14 5 2" xfId="0"/>
    <cellStyle name="Вывод 4 14 5 3" xfId="0"/>
    <cellStyle name="Вывод 4 14 6" xfId="0"/>
    <cellStyle name="Вывод 4 14 7" xfId="0"/>
    <cellStyle name="Вывод 4 15" xfId="0"/>
    <cellStyle name="Вывод 4 15 2" xfId="0"/>
    <cellStyle name="Вывод 4 15 2 2" xfId="0"/>
    <cellStyle name="Вывод 4 15 2 2 2" xfId="0"/>
    <cellStyle name="Вывод 4 15 2 2 2 2" xfId="0"/>
    <cellStyle name="Вывод 4 15 2 2 2 3" xfId="0"/>
    <cellStyle name="Вывод 4 15 2 2 3" xfId="0"/>
    <cellStyle name="Вывод 4 15 2 2 4" xfId="0"/>
    <cellStyle name="Вывод 4 15 2 3" xfId="0"/>
    <cellStyle name="Вывод 4 15 2 3 2" xfId="0"/>
    <cellStyle name="Вывод 4 15 2 3 2 2" xfId="0"/>
    <cellStyle name="Вывод 4 15 2 3 2 3" xfId="0"/>
    <cellStyle name="Вывод 4 15 2 3 3" xfId="0"/>
    <cellStyle name="Вывод 4 15 2 3 4" xfId="0"/>
    <cellStyle name="Вывод 4 15 2 4" xfId="0"/>
    <cellStyle name="Вывод 4 15 2 4 2" xfId="0"/>
    <cellStyle name="Вывод 4 15 2 4 3" xfId="0"/>
    <cellStyle name="Вывод 4 15 2 5" xfId="0"/>
    <cellStyle name="Вывод 4 15 2 6" xfId="0"/>
    <cellStyle name="Вывод 4 15 3" xfId="0"/>
    <cellStyle name="Вывод 4 15 3 2" xfId="0"/>
    <cellStyle name="Вывод 4 15 3 2 2" xfId="0"/>
    <cellStyle name="Вывод 4 15 3 2 2 2" xfId="0"/>
    <cellStyle name="Вывод 4 15 3 2 2 3" xfId="0"/>
    <cellStyle name="Вывод 4 15 3 2 3" xfId="0"/>
    <cellStyle name="Вывод 4 15 3 2 4" xfId="0"/>
    <cellStyle name="Вывод 4 15 3 3" xfId="0"/>
    <cellStyle name="Вывод 4 15 3 3 2" xfId="0"/>
    <cellStyle name="Вывод 4 15 3 3 3" xfId="0"/>
    <cellStyle name="Вывод 4 15 3 4" xfId="0"/>
    <cellStyle name="Вывод 4 15 3 5" xfId="0"/>
    <cellStyle name="Вывод 4 15 4" xfId="0"/>
    <cellStyle name="Вывод 4 15 4 2" xfId="0"/>
    <cellStyle name="Вывод 4 15 4 2 2" xfId="0"/>
    <cellStyle name="Вывод 4 15 4 2 2 2" xfId="0"/>
    <cellStyle name="Вывод 4 15 4 2 2 3" xfId="0"/>
    <cellStyle name="Вывод 4 15 4 2 3" xfId="0"/>
    <cellStyle name="Вывод 4 15 4 2 4" xfId="0"/>
    <cellStyle name="Вывод 4 15 4 3" xfId="0"/>
    <cellStyle name="Вывод 4 15 4 3 2" xfId="0"/>
    <cellStyle name="Вывод 4 15 4 3 3" xfId="0"/>
    <cellStyle name="Вывод 4 15 4 4" xfId="0"/>
    <cellStyle name="Вывод 4 15 4 5" xfId="0"/>
    <cellStyle name="Вывод 4 15 5" xfId="0"/>
    <cellStyle name="Вывод 4 15 5 2" xfId="0"/>
    <cellStyle name="Вывод 4 15 5 3" xfId="0"/>
    <cellStyle name="Вывод 4 15 6" xfId="0"/>
    <cellStyle name="Вывод 4 15 7" xfId="0"/>
    <cellStyle name="Вывод 4 16" xfId="0"/>
    <cellStyle name="Вывод 4 16 2" xfId="0"/>
    <cellStyle name="Вывод 4 16 2 2" xfId="0"/>
    <cellStyle name="Вывод 4 16 2 2 2" xfId="0"/>
    <cellStyle name="Вывод 4 16 2 2 2 2" xfId="0"/>
    <cellStyle name="Вывод 4 16 2 2 2 3" xfId="0"/>
    <cellStyle name="Вывод 4 16 2 2 3" xfId="0"/>
    <cellStyle name="Вывод 4 16 2 2 4" xfId="0"/>
    <cellStyle name="Вывод 4 16 2 3" xfId="0"/>
    <cellStyle name="Вывод 4 16 2 3 2" xfId="0"/>
    <cellStyle name="Вывод 4 16 2 3 2 2" xfId="0"/>
    <cellStyle name="Вывод 4 16 2 3 2 3" xfId="0"/>
    <cellStyle name="Вывод 4 16 2 3 3" xfId="0"/>
    <cellStyle name="Вывод 4 16 2 3 4" xfId="0"/>
    <cellStyle name="Вывод 4 16 2 4" xfId="0"/>
    <cellStyle name="Вывод 4 16 2 4 2" xfId="0"/>
    <cellStyle name="Вывод 4 16 2 4 3" xfId="0"/>
    <cellStyle name="Вывод 4 16 2 5" xfId="0"/>
    <cellStyle name="Вывод 4 16 2 6" xfId="0"/>
    <cellStyle name="Вывод 4 16 3" xfId="0"/>
    <cellStyle name="Вывод 4 16 3 2" xfId="0"/>
    <cellStyle name="Вывод 4 16 3 2 2" xfId="0"/>
    <cellStyle name="Вывод 4 16 3 2 2 2" xfId="0"/>
    <cellStyle name="Вывод 4 16 3 2 2 3" xfId="0"/>
    <cellStyle name="Вывод 4 16 3 2 3" xfId="0"/>
    <cellStyle name="Вывод 4 16 3 2 4" xfId="0"/>
    <cellStyle name="Вывод 4 16 3 3" xfId="0"/>
    <cellStyle name="Вывод 4 16 3 3 2" xfId="0"/>
    <cellStyle name="Вывод 4 16 3 3 3" xfId="0"/>
    <cellStyle name="Вывод 4 16 3 4" xfId="0"/>
    <cellStyle name="Вывод 4 16 3 5" xfId="0"/>
    <cellStyle name="Вывод 4 16 4" xfId="0"/>
    <cellStyle name="Вывод 4 16 4 2" xfId="0"/>
    <cellStyle name="Вывод 4 16 4 2 2" xfId="0"/>
    <cellStyle name="Вывод 4 16 4 2 2 2" xfId="0"/>
    <cellStyle name="Вывод 4 16 4 2 2 3" xfId="0"/>
    <cellStyle name="Вывод 4 16 4 2 3" xfId="0"/>
    <cellStyle name="Вывод 4 16 4 2 4" xfId="0"/>
    <cellStyle name="Вывод 4 16 4 3" xfId="0"/>
    <cellStyle name="Вывод 4 16 4 3 2" xfId="0"/>
    <cellStyle name="Вывод 4 16 4 3 3" xfId="0"/>
    <cellStyle name="Вывод 4 16 4 4" xfId="0"/>
    <cellStyle name="Вывод 4 16 4 5" xfId="0"/>
    <cellStyle name="Вывод 4 16 5" xfId="0"/>
    <cellStyle name="Вывод 4 16 5 2" xfId="0"/>
    <cellStyle name="Вывод 4 16 5 3" xfId="0"/>
    <cellStyle name="Вывод 4 16 6" xfId="0"/>
    <cellStyle name="Вывод 4 16 7" xfId="0"/>
    <cellStyle name="Вывод 4 17" xfId="0"/>
    <cellStyle name="Вывод 4 17 2" xfId="0"/>
    <cellStyle name="Вывод 4 17 2 2" xfId="0"/>
    <cellStyle name="Вывод 4 17 2 2 2" xfId="0"/>
    <cellStyle name="Вывод 4 17 2 2 2 2" xfId="0"/>
    <cellStyle name="Вывод 4 17 2 2 2 3" xfId="0"/>
    <cellStyle name="Вывод 4 17 2 2 3" xfId="0"/>
    <cellStyle name="Вывод 4 17 2 2 4" xfId="0"/>
    <cellStyle name="Вывод 4 17 2 3" xfId="0"/>
    <cellStyle name="Вывод 4 17 2 3 2" xfId="0"/>
    <cellStyle name="Вывод 4 17 2 3 2 2" xfId="0"/>
    <cellStyle name="Вывод 4 17 2 3 2 3" xfId="0"/>
    <cellStyle name="Вывод 4 17 2 3 3" xfId="0"/>
    <cellStyle name="Вывод 4 17 2 3 4" xfId="0"/>
    <cellStyle name="Вывод 4 17 2 4" xfId="0"/>
    <cellStyle name="Вывод 4 17 2 4 2" xfId="0"/>
    <cellStyle name="Вывод 4 17 2 4 3" xfId="0"/>
    <cellStyle name="Вывод 4 17 2 5" xfId="0"/>
    <cellStyle name="Вывод 4 17 2 6" xfId="0"/>
    <cellStyle name="Вывод 4 17 3" xfId="0"/>
    <cellStyle name="Вывод 4 17 3 2" xfId="0"/>
    <cellStyle name="Вывод 4 17 3 2 2" xfId="0"/>
    <cellStyle name="Вывод 4 17 3 2 2 2" xfId="0"/>
    <cellStyle name="Вывод 4 17 3 2 2 3" xfId="0"/>
    <cellStyle name="Вывод 4 17 3 2 3" xfId="0"/>
    <cellStyle name="Вывод 4 17 3 2 4" xfId="0"/>
    <cellStyle name="Вывод 4 17 3 3" xfId="0"/>
    <cellStyle name="Вывод 4 17 3 3 2" xfId="0"/>
    <cellStyle name="Вывод 4 17 3 3 3" xfId="0"/>
    <cellStyle name="Вывод 4 17 3 4" xfId="0"/>
    <cellStyle name="Вывод 4 17 3 5" xfId="0"/>
    <cellStyle name="Вывод 4 17 4" xfId="0"/>
    <cellStyle name="Вывод 4 17 4 2" xfId="0"/>
    <cellStyle name="Вывод 4 17 4 2 2" xfId="0"/>
    <cellStyle name="Вывод 4 17 4 2 2 2" xfId="0"/>
    <cellStyle name="Вывод 4 17 4 2 2 3" xfId="0"/>
    <cellStyle name="Вывод 4 17 4 2 3" xfId="0"/>
    <cellStyle name="Вывод 4 17 4 2 4" xfId="0"/>
    <cellStyle name="Вывод 4 17 4 3" xfId="0"/>
    <cellStyle name="Вывод 4 17 4 3 2" xfId="0"/>
    <cellStyle name="Вывод 4 17 4 3 3" xfId="0"/>
    <cellStyle name="Вывод 4 17 4 4" xfId="0"/>
    <cellStyle name="Вывод 4 17 4 5" xfId="0"/>
    <cellStyle name="Вывод 4 17 5" xfId="0"/>
    <cellStyle name="Вывод 4 17 5 2" xfId="0"/>
    <cellStyle name="Вывод 4 17 5 3" xfId="0"/>
    <cellStyle name="Вывод 4 17 6" xfId="0"/>
    <cellStyle name="Вывод 4 17 7" xfId="0"/>
    <cellStyle name="Вывод 4 18" xfId="0"/>
    <cellStyle name="Вывод 4 18 2" xfId="0"/>
    <cellStyle name="Вывод 4 18 2 2" xfId="0"/>
    <cellStyle name="Вывод 4 18 2 2 2" xfId="0"/>
    <cellStyle name="Вывод 4 18 2 2 2 2" xfId="0"/>
    <cellStyle name="Вывод 4 18 2 2 2 3" xfId="0"/>
    <cellStyle name="Вывод 4 18 2 2 3" xfId="0"/>
    <cellStyle name="Вывод 4 18 2 2 4" xfId="0"/>
    <cellStyle name="Вывод 4 18 2 3" xfId="0"/>
    <cellStyle name="Вывод 4 18 2 3 2" xfId="0"/>
    <cellStyle name="Вывод 4 18 2 3 2 2" xfId="0"/>
    <cellStyle name="Вывод 4 18 2 3 2 3" xfId="0"/>
    <cellStyle name="Вывод 4 18 2 3 3" xfId="0"/>
    <cellStyle name="Вывод 4 18 2 3 4" xfId="0"/>
    <cellStyle name="Вывод 4 18 2 4" xfId="0"/>
    <cellStyle name="Вывод 4 18 2 4 2" xfId="0"/>
    <cellStyle name="Вывод 4 18 2 4 3" xfId="0"/>
    <cellStyle name="Вывод 4 18 2 5" xfId="0"/>
    <cellStyle name="Вывод 4 18 2 6" xfId="0"/>
    <cellStyle name="Вывод 4 18 3" xfId="0"/>
    <cellStyle name="Вывод 4 18 3 2" xfId="0"/>
    <cellStyle name="Вывод 4 18 3 2 2" xfId="0"/>
    <cellStyle name="Вывод 4 18 3 2 2 2" xfId="0"/>
    <cellStyle name="Вывод 4 18 3 2 2 3" xfId="0"/>
    <cellStyle name="Вывод 4 18 3 2 3" xfId="0"/>
    <cellStyle name="Вывод 4 18 3 2 4" xfId="0"/>
    <cellStyle name="Вывод 4 18 3 3" xfId="0"/>
    <cellStyle name="Вывод 4 18 3 3 2" xfId="0"/>
    <cellStyle name="Вывод 4 18 3 3 3" xfId="0"/>
    <cellStyle name="Вывод 4 18 3 4" xfId="0"/>
    <cellStyle name="Вывод 4 18 3 5" xfId="0"/>
    <cellStyle name="Вывод 4 18 4" xfId="0"/>
    <cellStyle name="Вывод 4 18 4 2" xfId="0"/>
    <cellStyle name="Вывод 4 18 4 2 2" xfId="0"/>
    <cellStyle name="Вывод 4 18 4 2 2 2" xfId="0"/>
    <cellStyle name="Вывод 4 18 4 2 2 3" xfId="0"/>
    <cellStyle name="Вывод 4 18 4 2 3" xfId="0"/>
    <cellStyle name="Вывод 4 18 4 2 4" xfId="0"/>
    <cellStyle name="Вывод 4 18 4 3" xfId="0"/>
    <cellStyle name="Вывод 4 18 4 3 2" xfId="0"/>
    <cellStyle name="Вывод 4 18 4 3 3" xfId="0"/>
    <cellStyle name="Вывод 4 18 4 4" xfId="0"/>
    <cellStyle name="Вывод 4 18 4 5" xfId="0"/>
    <cellStyle name="Вывод 4 18 5" xfId="0"/>
    <cellStyle name="Вывод 4 18 5 2" xfId="0"/>
    <cellStyle name="Вывод 4 18 5 3" xfId="0"/>
    <cellStyle name="Вывод 4 18 6" xfId="0"/>
    <cellStyle name="Вывод 4 18 7" xfId="0"/>
    <cellStyle name="Вывод 4 19" xfId="0"/>
    <cellStyle name="Вывод 4 19 2" xfId="0"/>
    <cellStyle name="Вывод 4 19 2 2" xfId="0"/>
    <cellStyle name="Вывод 4 19 2 2 2" xfId="0"/>
    <cellStyle name="Вывод 4 19 2 2 2 2" xfId="0"/>
    <cellStyle name="Вывод 4 19 2 2 2 3" xfId="0"/>
    <cellStyle name="Вывод 4 19 2 2 3" xfId="0"/>
    <cellStyle name="Вывод 4 19 2 2 4" xfId="0"/>
    <cellStyle name="Вывод 4 19 2 3" xfId="0"/>
    <cellStyle name="Вывод 4 19 2 3 2" xfId="0"/>
    <cellStyle name="Вывод 4 19 2 3 2 2" xfId="0"/>
    <cellStyle name="Вывод 4 19 2 3 2 3" xfId="0"/>
    <cellStyle name="Вывод 4 19 2 3 3" xfId="0"/>
    <cellStyle name="Вывод 4 19 2 3 4" xfId="0"/>
    <cellStyle name="Вывод 4 19 2 4" xfId="0"/>
    <cellStyle name="Вывод 4 19 2 4 2" xfId="0"/>
    <cellStyle name="Вывод 4 19 2 4 3" xfId="0"/>
    <cellStyle name="Вывод 4 19 2 5" xfId="0"/>
    <cellStyle name="Вывод 4 19 2 6" xfId="0"/>
    <cellStyle name="Вывод 4 19 3" xfId="0"/>
    <cellStyle name="Вывод 4 19 3 2" xfId="0"/>
    <cellStyle name="Вывод 4 19 3 2 2" xfId="0"/>
    <cellStyle name="Вывод 4 19 3 2 2 2" xfId="0"/>
    <cellStyle name="Вывод 4 19 3 2 2 3" xfId="0"/>
    <cellStyle name="Вывод 4 19 3 2 3" xfId="0"/>
    <cellStyle name="Вывод 4 19 3 2 4" xfId="0"/>
    <cellStyle name="Вывод 4 19 3 3" xfId="0"/>
    <cellStyle name="Вывод 4 19 3 3 2" xfId="0"/>
    <cellStyle name="Вывод 4 19 3 3 3" xfId="0"/>
    <cellStyle name="Вывод 4 19 3 4" xfId="0"/>
    <cellStyle name="Вывод 4 19 3 5" xfId="0"/>
    <cellStyle name="Вывод 4 19 4" xfId="0"/>
    <cellStyle name="Вывод 4 19 4 2" xfId="0"/>
    <cellStyle name="Вывод 4 19 4 2 2" xfId="0"/>
    <cellStyle name="Вывод 4 19 4 2 2 2" xfId="0"/>
    <cellStyle name="Вывод 4 19 4 2 2 3" xfId="0"/>
    <cellStyle name="Вывод 4 19 4 2 3" xfId="0"/>
    <cellStyle name="Вывод 4 19 4 2 4" xfId="0"/>
    <cellStyle name="Вывод 4 19 4 3" xfId="0"/>
    <cellStyle name="Вывод 4 19 4 3 2" xfId="0"/>
    <cellStyle name="Вывод 4 19 4 3 3" xfId="0"/>
    <cellStyle name="Вывод 4 19 4 4" xfId="0"/>
    <cellStyle name="Вывод 4 19 4 5" xfId="0"/>
    <cellStyle name="Вывод 4 19 5" xfId="0"/>
    <cellStyle name="Вывод 4 19 5 2" xfId="0"/>
    <cellStyle name="Вывод 4 19 5 3" xfId="0"/>
    <cellStyle name="Вывод 4 19 6" xfId="0"/>
    <cellStyle name="Вывод 4 19 7" xfId="0"/>
    <cellStyle name="Вывод 4 2" xfId="0"/>
    <cellStyle name="Вывод 4 2 10" xfId="0"/>
    <cellStyle name="Вывод 4 2 10 2" xfId="0"/>
    <cellStyle name="Вывод 4 2 10 3" xfId="0"/>
    <cellStyle name="Вывод 4 2 11" xfId="0"/>
    <cellStyle name="Вывод 4 2 12" xfId="0"/>
    <cellStyle name="Вывод 4 2 2" xfId="0"/>
    <cellStyle name="Вывод 4 2 2 2" xfId="0"/>
    <cellStyle name="Вывод 4 2 2 2 2" xfId="0"/>
    <cellStyle name="Вывод 4 2 2 2 2 2" xfId="0"/>
    <cellStyle name="Вывод 4 2 2 2 2 2 2" xfId="0"/>
    <cellStyle name="Вывод 4 2 2 2 2 2 3" xfId="0"/>
    <cellStyle name="Вывод 4 2 2 2 2 3" xfId="0"/>
    <cellStyle name="Вывод 4 2 2 2 2 4" xfId="0"/>
    <cellStyle name="Вывод 4 2 2 2 3" xfId="0"/>
    <cellStyle name="Вывод 4 2 2 2 3 2" xfId="0"/>
    <cellStyle name="Вывод 4 2 2 2 3 3" xfId="0"/>
    <cellStyle name="Вывод 4 2 2 2 4" xfId="0"/>
    <cellStyle name="Вывод 4 2 2 2 5" xfId="0"/>
    <cellStyle name="Вывод 4 2 2 3" xfId="0"/>
    <cellStyle name="Вывод 4 2 2 3 2" xfId="0"/>
    <cellStyle name="Вывод 4 2 2 3 2 2" xfId="0"/>
    <cellStyle name="Вывод 4 2 2 3 2 3" xfId="0"/>
    <cellStyle name="Вывод 4 2 2 3 3" xfId="0"/>
    <cellStyle name="Вывод 4 2 2 3 4" xfId="0"/>
    <cellStyle name="Вывод 4 2 2 4" xfId="0"/>
    <cellStyle name="Вывод 4 2 2 4 2" xfId="0"/>
    <cellStyle name="Вывод 4 2 2 4 3" xfId="0"/>
    <cellStyle name="Вывод 4 2 2 5" xfId="0"/>
    <cellStyle name="Вывод 4 2 2 6" xfId="0"/>
    <cellStyle name="Вывод 4 2 3" xfId="0"/>
    <cellStyle name="Вывод 4 2 3 2" xfId="0"/>
    <cellStyle name="Вывод 4 2 3 2 2" xfId="0"/>
    <cellStyle name="Вывод 4 2 3 2 2 2" xfId="0"/>
    <cellStyle name="Вывод 4 2 3 2 2 2 2" xfId="0"/>
    <cellStyle name="Вывод 4 2 3 2 2 2 3" xfId="0"/>
    <cellStyle name="Вывод 4 2 3 2 2 3" xfId="0"/>
    <cellStyle name="Вывод 4 2 3 2 2 4" xfId="0"/>
    <cellStyle name="Вывод 4 2 3 2 3" xfId="0"/>
    <cellStyle name="Вывод 4 2 3 2 3 2" xfId="0"/>
    <cellStyle name="Вывод 4 2 3 2 3 3" xfId="0"/>
    <cellStyle name="Вывод 4 2 3 2 4" xfId="0"/>
    <cellStyle name="Вывод 4 2 3 2 5" xfId="0"/>
    <cellStyle name="Вывод 4 2 3 3" xfId="0"/>
    <cellStyle name="Вывод 4 2 3 3 2" xfId="0"/>
    <cellStyle name="Вывод 4 2 3 3 2 2" xfId="0"/>
    <cellStyle name="Вывод 4 2 3 3 2 3" xfId="0"/>
    <cellStyle name="Вывод 4 2 3 3 3" xfId="0"/>
    <cellStyle name="Вывод 4 2 3 3 4" xfId="0"/>
    <cellStyle name="Вывод 4 2 3 4" xfId="0"/>
    <cellStyle name="Вывод 4 2 3 4 2" xfId="0"/>
    <cellStyle name="Вывод 4 2 3 4 3" xfId="0"/>
    <cellStyle name="Вывод 4 2 3 5" xfId="0"/>
    <cellStyle name="Вывод 4 2 3 6" xfId="0"/>
    <cellStyle name="Вывод 4 2 4" xfId="0"/>
    <cellStyle name="Вывод 4 2 4 2" xfId="0"/>
    <cellStyle name="Вывод 4 2 4 2 2" xfId="0"/>
    <cellStyle name="Вывод 4 2 4 2 2 2" xfId="0"/>
    <cellStyle name="Вывод 4 2 4 2 2 2 2" xfId="0"/>
    <cellStyle name="Вывод 4 2 4 2 2 2 3" xfId="0"/>
    <cellStyle name="Вывод 4 2 4 2 2 3" xfId="0"/>
    <cellStyle name="Вывод 4 2 4 2 2 4" xfId="0"/>
    <cellStyle name="Вывод 4 2 4 2 3" xfId="0"/>
    <cellStyle name="Вывод 4 2 4 2 3 2" xfId="0"/>
    <cellStyle name="Вывод 4 2 4 2 3 3" xfId="0"/>
    <cellStyle name="Вывод 4 2 4 2 4" xfId="0"/>
    <cellStyle name="Вывод 4 2 4 2 5" xfId="0"/>
    <cellStyle name="Вывод 4 2 4 3" xfId="0"/>
    <cellStyle name="Вывод 4 2 4 3 2" xfId="0"/>
    <cellStyle name="Вывод 4 2 4 3 2 2" xfId="0"/>
    <cellStyle name="Вывод 4 2 4 3 2 3" xfId="0"/>
    <cellStyle name="Вывод 4 2 4 3 3" xfId="0"/>
    <cellStyle name="Вывод 4 2 4 3 4" xfId="0"/>
    <cellStyle name="Вывод 4 2 4 4" xfId="0"/>
    <cellStyle name="Вывод 4 2 4 4 2" xfId="0"/>
    <cellStyle name="Вывод 4 2 4 4 3" xfId="0"/>
    <cellStyle name="Вывод 4 2 4 5" xfId="0"/>
    <cellStyle name="Вывод 4 2 4 6" xfId="0"/>
    <cellStyle name="Вывод 4 2 5" xfId="0"/>
    <cellStyle name="Вывод 4 2 5 2" xfId="0"/>
    <cellStyle name="Вывод 4 2 5 2 2" xfId="0"/>
    <cellStyle name="Вывод 4 2 5 2 2 2" xfId="0"/>
    <cellStyle name="Вывод 4 2 5 2 2 2 2" xfId="0"/>
    <cellStyle name="Вывод 4 2 5 2 2 2 3" xfId="0"/>
    <cellStyle name="Вывод 4 2 5 2 2 3" xfId="0"/>
    <cellStyle name="Вывод 4 2 5 2 2 4" xfId="0"/>
    <cellStyle name="Вывод 4 2 5 2 3" xfId="0"/>
    <cellStyle name="Вывод 4 2 5 2 3 2" xfId="0"/>
    <cellStyle name="Вывод 4 2 5 2 3 3" xfId="0"/>
    <cellStyle name="Вывод 4 2 5 2 4" xfId="0"/>
    <cellStyle name="Вывод 4 2 5 2 5" xfId="0"/>
    <cellStyle name="Вывод 4 2 5 3" xfId="0"/>
    <cellStyle name="Вывод 4 2 5 3 2" xfId="0"/>
    <cellStyle name="Вывод 4 2 5 3 2 2" xfId="0"/>
    <cellStyle name="Вывод 4 2 5 3 2 3" xfId="0"/>
    <cellStyle name="Вывод 4 2 5 3 3" xfId="0"/>
    <cellStyle name="Вывод 4 2 5 3 4" xfId="0"/>
    <cellStyle name="Вывод 4 2 5 4" xfId="0"/>
    <cellStyle name="Вывод 4 2 5 4 2" xfId="0"/>
    <cellStyle name="Вывод 4 2 5 4 3" xfId="0"/>
    <cellStyle name="Вывод 4 2 5 5" xfId="0"/>
    <cellStyle name="Вывод 4 2 5 6" xfId="0"/>
    <cellStyle name="Вывод 4 2 6" xfId="0"/>
    <cellStyle name="Вывод 4 2 6 2" xfId="0"/>
    <cellStyle name="Вывод 4 2 6 2 2" xfId="0"/>
    <cellStyle name="Вывод 4 2 6 2 2 2" xfId="0"/>
    <cellStyle name="Вывод 4 2 6 2 2 3" xfId="0"/>
    <cellStyle name="Вывод 4 2 6 2 3" xfId="0"/>
    <cellStyle name="Вывод 4 2 6 2 4" xfId="0"/>
    <cellStyle name="Вывод 4 2 6 3" xfId="0"/>
    <cellStyle name="Вывод 4 2 6 3 2" xfId="0"/>
    <cellStyle name="Вывод 4 2 6 3 3" xfId="0"/>
    <cellStyle name="Вывод 4 2 6 4" xfId="0"/>
    <cellStyle name="Вывод 4 2 6 5" xfId="0"/>
    <cellStyle name="Вывод 4 2 7" xfId="0"/>
    <cellStyle name="Вывод 4 2 7 2" xfId="0"/>
    <cellStyle name="Вывод 4 2 7 2 2" xfId="0"/>
    <cellStyle name="Вывод 4 2 7 2 2 2" xfId="0"/>
    <cellStyle name="Вывод 4 2 7 2 2 3" xfId="0"/>
    <cellStyle name="Вывод 4 2 7 2 3" xfId="0"/>
    <cellStyle name="Вывод 4 2 7 2 4" xfId="0"/>
    <cellStyle name="Вывод 4 2 7 3" xfId="0"/>
    <cellStyle name="Вывод 4 2 7 3 2" xfId="0"/>
    <cellStyle name="Вывод 4 2 7 3 3" xfId="0"/>
    <cellStyle name="Вывод 4 2 7 4" xfId="0"/>
    <cellStyle name="Вывод 4 2 7 5" xfId="0"/>
    <cellStyle name="Вывод 4 2 8" xfId="0"/>
    <cellStyle name="Вывод 4 2 8 2" xfId="0"/>
    <cellStyle name="Вывод 4 2 8 2 2" xfId="0"/>
    <cellStyle name="Вывод 4 2 8 2 2 2" xfId="0"/>
    <cellStyle name="Вывод 4 2 8 2 2 3" xfId="0"/>
    <cellStyle name="Вывод 4 2 8 2 3" xfId="0"/>
    <cellStyle name="Вывод 4 2 8 2 4" xfId="0"/>
    <cellStyle name="Вывод 4 2 8 3" xfId="0"/>
    <cellStyle name="Вывод 4 2 8 3 2" xfId="0"/>
    <cellStyle name="Вывод 4 2 8 3 3" xfId="0"/>
    <cellStyle name="Вывод 4 2 8 4" xfId="0"/>
    <cellStyle name="Вывод 4 2 8 5" xfId="0"/>
    <cellStyle name="Вывод 4 2 9" xfId="0"/>
    <cellStyle name="Вывод 4 2 9 2" xfId="0"/>
    <cellStyle name="Вывод 4 2 9 3" xfId="0"/>
    <cellStyle name="Вывод 4 20" xfId="0"/>
    <cellStyle name="Вывод 4 20 2" xfId="0"/>
    <cellStyle name="Вывод 4 20 2 2" xfId="0"/>
    <cellStyle name="Вывод 4 20 2 2 2" xfId="0"/>
    <cellStyle name="Вывод 4 20 2 2 2 2" xfId="0"/>
    <cellStyle name="Вывод 4 20 2 2 2 3" xfId="0"/>
    <cellStyle name="Вывод 4 20 2 2 3" xfId="0"/>
    <cellStyle name="Вывод 4 20 2 2 4" xfId="0"/>
    <cellStyle name="Вывод 4 20 2 3" xfId="0"/>
    <cellStyle name="Вывод 4 20 2 3 2" xfId="0"/>
    <cellStyle name="Вывод 4 20 2 3 2 2" xfId="0"/>
    <cellStyle name="Вывод 4 20 2 3 2 3" xfId="0"/>
    <cellStyle name="Вывод 4 20 2 3 3" xfId="0"/>
    <cellStyle name="Вывод 4 20 2 3 4" xfId="0"/>
    <cellStyle name="Вывод 4 20 2 4" xfId="0"/>
    <cellStyle name="Вывод 4 20 2 4 2" xfId="0"/>
    <cellStyle name="Вывод 4 20 2 4 3" xfId="0"/>
    <cellStyle name="Вывод 4 20 2 5" xfId="0"/>
    <cellStyle name="Вывод 4 20 2 6" xfId="0"/>
    <cellStyle name="Вывод 4 20 3" xfId="0"/>
    <cellStyle name="Вывод 4 20 3 2" xfId="0"/>
    <cellStyle name="Вывод 4 20 3 2 2" xfId="0"/>
    <cellStyle name="Вывод 4 20 3 2 2 2" xfId="0"/>
    <cellStyle name="Вывод 4 20 3 2 2 3" xfId="0"/>
    <cellStyle name="Вывод 4 20 3 2 3" xfId="0"/>
    <cellStyle name="Вывод 4 20 3 2 4" xfId="0"/>
    <cellStyle name="Вывод 4 20 3 3" xfId="0"/>
    <cellStyle name="Вывод 4 20 3 3 2" xfId="0"/>
    <cellStyle name="Вывод 4 20 3 3 3" xfId="0"/>
    <cellStyle name="Вывод 4 20 3 4" xfId="0"/>
    <cellStyle name="Вывод 4 20 3 5" xfId="0"/>
    <cellStyle name="Вывод 4 20 4" xfId="0"/>
    <cellStyle name="Вывод 4 20 4 2" xfId="0"/>
    <cellStyle name="Вывод 4 20 4 2 2" xfId="0"/>
    <cellStyle name="Вывод 4 20 4 2 2 2" xfId="0"/>
    <cellStyle name="Вывод 4 20 4 2 2 3" xfId="0"/>
    <cellStyle name="Вывод 4 20 4 2 3" xfId="0"/>
    <cellStyle name="Вывод 4 20 4 2 4" xfId="0"/>
    <cellStyle name="Вывод 4 20 4 3" xfId="0"/>
    <cellStyle name="Вывод 4 20 4 3 2" xfId="0"/>
    <cellStyle name="Вывод 4 20 4 3 3" xfId="0"/>
    <cellStyle name="Вывод 4 20 4 4" xfId="0"/>
    <cellStyle name="Вывод 4 20 4 5" xfId="0"/>
    <cellStyle name="Вывод 4 20 5" xfId="0"/>
    <cellStyle name="Вывод 4 20 5 2" xfId="0"/>
    <cellStyle name="Вывод 4 20 5 2 2" xfId="0"/>
    <cellStyle name="Вывод 4 20 5 2 3" xfId="0"/>
    <cellStyle name="Вывод 4 20 5 3" xfId="0"/>
    <cellStyle name="Вывод 4 20 5 4" xfId="0"/>
    <cellStyle name="Вывод 4 20 6" xfId="0"/>
    <cellStyle name="Вывод 4 20 6 2" xfId="0"/>
    <cellStyle name="Вывод 4 20 6 3" xfId="0"/>
    <cellStyle name="Вывод 4 20 7" xfId="0"/>
    <cellStyle name="Вывод 4 20 8" xfId="0"/>
    <cellStyle name="Вывод 4 21" xfId="0"/>
    <cellStyle name="Вывод 4 21 2" xfId="0"/>
    <cellStyle name="Вывод 4 21 2 2" xfId="0"/>
    <cellStyle name="Вывод 4 21 2 2 2" xfId="0"/>
    <cellStyle name="Вывод 4 21 2 2 3" xfId="0"/>
    <cellStyle name="Вывод 4 21 2 3" xfId="0"/>
    <cellStyle name="Вывод 4 21 2 4" xfId="0"/>
    <cellStyle name="Вывод 4 21 3" xfId="0"/>
    <cellStyle name="Вывод 4 21 3 2" xfId="0"/>
    <cellStyle name="Вывод 4 21 3 2 2" xfId="0"/>
    <cellStyle name="Вывод 4 21 3 2 3" xfId="0"/>
    <cellStyle name="Вывод 4 21 3 3" xfId="0"/>
    <cellStyle name="Вывод 4 21 3 4" xfId="0"/>
    <cellStyle name="Вывод 4 21 4" xfId="0"/>
    <cellStyle name="Вывод 4 21 4 2" xfId="0"/>
    <cellStyle name="Вывод 4 21 4 3" xfId="0"/>
    <cellStyle name="Вывод 4 21 5" xfId="0"/>
    <cellStyle name="Вывод 4 21 6" xfId="0"/>
    <cellStyle name="Вывод 4 22" xfId="0"/>
    <cellStyle name="Вывод 4 22 2" xfId="0"/>
    <cellStyle name="Вывод 4 22 2 2" xfId="0"/>
    <cellStyle name="Вывод 4 22 2 2 2" xfId="0"/>
    <cellStyle name="Вывод 4 22 2 2 3" xfId="0"/>
    <cellStyle name="Вывод 4 22 2 3" xfId="0"/>
    <cellStyle name="Вывод 4 22 2 4" xfId="0"/>
    <cellStyle name="Вывод 4 22 3" xfId="0"/>
    <cellStyle name="Вывод 4 22 3 2" xfId="0"/>
    <cellStyle name="Вывод 4 22 3 2 2" xfId="0"/>
    <cellStyle name="Вывод 4 22 3 2 3" xfId="0"/>
    <cellStyle name="Вывод 4 22 3 3" xfId="0"/>
    <cellStyle name="Вывод 4 22 3 4" xfId="0"/>
    <cellStyle name="Вывод 4 22 4" xfId="0"/>
    <cellStyle name="Вывод 4 22 4 2" xfId="0"/>
    <cellStyle name="Вывод 4 22 4 3" xfId="0"/>
    <cellStyle name="Вывод 4 22 5" xfId="0"/>
    <cellStyle name="Вывод 4 22 6" xfId="0"/>
    <cellStyle name="Вывод 4 23" xfId="0"/>
    <cellStyle name="Вывод 4 23 2" xfId="0"/>
    <cellStyle name="Вывод 4 23 2 2" xfId="0"/>
    <cellStyle name="Вывод 4 23 2 2 2" xfId="0"/>
    <cellStyle name="Вывод 4 23 2 2 3" xfId="0"/>
    <cellStyle name="Вывод 4 23 2 3" xfId="0"/>
    <cellStyle name="Вывод 4 23 2 4" xfId="0"/>
    <cellStyle name="Вывод 4 23 3" xfId="0"/>
    <cellStyle name="Вывод 4 23 3 2" xfId="0"/>
    <cellStyle name="Вывод 4 23 3 2 2" xfId="0"/>
    <cellStyle name="Вывод 4 23 3 2 3" xfId="0"/>
    <cellStyle name="Вывод 4 23 3 3" xfId="0"/>
    <cellStyle name="Вывод 4 23 3 4" xfId="0"/>
    <cellStyle name="Вывод 4 23 4" xfId="0"/>
    <cellStyle name="Вывод 4 23 4 2" xfId="0"/>
    <cellStyle name="Вывод 4 23 4 3" xfId="0"/>
    <cellStyle name="Вывод 4 23 5" xfId="0"/>
    <cellStyle name="Вывод 4 23 6" xfId="0"/>
    <cellStyle name="Вывод 4 24" xfId="0"/>
    <cellStyle name="Вывод 4 24 2" xfId="0"/>
    <cellStyle name="Вывод 4 24 2 2" xfId="0"/>
    <cellStyle name="Вывод 4 24 2 2 2" xfId="0"/>
    <cellStyle name="Вывод 4 24 2 2 3" xfId="0"/>
    <cellStyle name="Вывод 4 24 2 3" xfId="0"/>
    <cellStyle name="Вывод 4 24 2 4" xfId="0"/>
    <cellStyle name="Вывод 4 24 3" xfId="0"/>
    <cellStyle name="Вывод 4 24 3 2" xfId="0"/>
    <cellStyle name="Вывод 4 24 3 2 2" xfId="0"/>
    <cellStyle name="Вывод 4 24 3 2 3" xfId="0"/>
    <cellStyle name="Вывод 4 24 3 3" xfId="0"/>
    <cellStyle name="Вывод 4 24 3 4" xfId="0"/>
    <cellStyle name="Вывод 4 24 4" xfId="0"/>
    <cellStyle name="Вывод 4 24 4 2" xfId="0"/>
    <cellStyle name="Вывод 4 24 4 3" xfId="0"/>
    <cellStyle name="Вывод 4 24 5" xfId="0"/>
    <cellStyle name="Вывод 4 24 6" xfId="0"/>
    <cellStyle name="Вывод 4 25" xfId="0"/>
    <cellStyle name="Вывод 4 25 2" xfId="0"/>
    <cellStyle name="Вывод 4 25 2 2" xfId="0"/>
    <cellStyle name="Вывод 4 25 2 2 2" xfId="0"/>
    <cellStyle name="Вывод 4 25 2 2 3" xfId="0"/>
    <cellStyle name="Вывод 4 25 2 3" xfId="0"/>
    <cellStyle name="Вывод 4 25 2 4" xfId="0"/>
    <cellStyle name="Вывод 4 25 3" xfId="0"/>
    <cellStyle name="Вывод 4 25 3 2" xfId="0"/>
    <cellStyle name="Вывод 4 25 3 2 2" xfId="0"/>
    <cellStyle name="Вывод 4 25 3 2 3" xfId="0"/>
    <cellStyle name="Вывод 4 25 3 3" xfId="0"/>
    <cellStyle name="Вывод 4 25 3 4" xfId="0"/>
    <cellStyle name="Вывод 4 25 4" xfId="0"/>
    <cellStyle name="Вывод 4 25 4 2" xfId="0"/>
    <cellStyle name="Вывод 4 25 4 3" xfId="0"/>
    <cellStyle name="Вывод 4 25 5" xfId="0"/>
    <cellStyle name="Вывод 4 25 6" xfId="0"/>
    <cellStyle name="Вывод 4 26" xfId="0"/>
    <cellStyle name="Вывод 4 26 2" xfId="0"/>
    <cellStyle name="Вывод 4 26 2 2" xfId="0"/>
    <cellStyle name="Вывод 4 26 2 2 2" xfId="0"/>
    <cellStyle name="Вывод 4 26 2 2 3" xfId="0"/>
    <cellStyle name="Вывод 4 26 2 3" xfId="0"/>
    <cellStyle name="Вывод 4 26 2 4" xfId="0"/>
    <cellStyle name="Вывод 4 26 3" xfId="0"/>
    <cellStyle name="Вывод 4 26 3 2" xfId="0"/>
    <cellStyle name="Вывод 4 26 3 3" xfId="0"/>
    <cellStyle name="Вывод 4 26 4" xfId="0"/>
    <cellStyle name="Вывод 4 26 5" xfId="0"/>
    <cellStyle name="Вывод 4 27" xfId="0"/>
    <cellStyle name="Вывод 4 27 2" xfId="0"/>
    <cellStyle name="Вывод 4 27 2 2" xfId="0"/>
    <cellStyle name="Вывод 4 27 2 2 2" xfId="0"/>
    <cellStyle name="Вывод 4 27 2 2 3" xfId="0"/>
    <cellStyle name="Вывод 4 27 2 3" xfId="0"/>
    <cellStyle name="Вывод 4 27 2 4" xfId="0"/>
    <cellStyle name="Вывод 4 27 3" xfId="0"/>
    <cellStyle name="Вывод 4 27 3 2" xfId="0"/>
    <cellStyle name="Вывод 4 27 3 3" xfId="0"/>
    <cellStyle name="Вывод 4 27 4" xfId="0"/>
    <cellStyle name="Вывод 4 27 5" xfId="0"/>
    <cellStyle name="Вывод 4 28" xfId="0"/>
    <cellStyle name="Вывод 4 28 2" xfId="0"/>
    <cellStyle name="Вывод 4 28 2 2" xfId="0"/>
    <cellStyle name="Вывод 4 28 2 2 2" xfId="0"/>
    <cellStyle name="Вывод 4 28 2 2 3" xfId="0"/>
    <cellStyle name="Вывод 4 28 2 3" xfId="0"/>
    <cellStyle name="Вывод 4 28 2 4" xfId="0"/>
    <cellStyle name="Вывод 4 28 3" xfId="0"/>
    <cellStyle name="Вывод 4 28 3 2" xfId="0"/>
    <cellStyle name="Вывод 4 28 3 3" xfId="0"/>
    <cellStyle name="Вывод 4 28 4" xfId="0"/>
    <cellStyle name="Вывод 4 28 5" xfId="0"/>
    <cellStyle name="Вывод 4 29" xfId="0"/>
    <cellStyle name="Вывод 4 29 2" xfId="0"/>
    <cellStyle name="Вывод 4 29 2 2" xfId="0"/>
    <cellStyle name="Вывод 4 29 2 3" xfId="0"/>
    <cellStyle name="Вывод 4 29 3" xfId="0"/>
    <cellStyle name="Вывод 4 29 4" xfId="0"/>
    <cellStyle name="Вывод 4 3" xfId="0"/>
    <cellStyle name="Вывод 4 3 10" xfId="0"/>
    <cellStyle name="Вывод 4 3 2" xfId="0"/>
    <cellStyle name="Вывод 4 3 2 2" xfId="0"/>
    <cellStyle name="Вывод 4 3 2 2 2" xfId="0"/>
    <cellStyle name="Вывод 4 3 2 2 2 2" xfId="0"/>
    <cellStyle name="Вывод 4 3 2 2 2 3" xfId="0"/>
    <cellStyle name="Вывод 4 3 2 2 3" xfId="0"/>
    <cellStyle name="Вывод 4 3 2 2 4" xfId="0"/>
    <cellStyle name="Вывод 4 3 2 3" xfId="0"/>
    <cellStyle name="Вывод 4 3 2 3 2" xfId="0"/>
    <cellStyle name="Вывод 4 3 2 3 2 2" xfId="0"/>
    <cellStyle name="Вывод 4 3 2 3 2 3" xfId="0"/>
    <cellStyle name="Вывод 4 3 2 3 3" xfId="0"/>
    <cellStyle name="Вывод 4 3 2 3 4" xfId="0"/>
    <cellStyle name="Вывод 4 3 2 4" xfId="0"/>
    <cellStyle name="Вывод 4 3 2 4 2" xfId="0"/>
    <cellStyle name="Вывод 4 3 2 4 3" xfId="0"/>
    <cellStyle name="Вывод 4 3 2 5" xfId="0"/>
    <cellStyle name="Вывод 4 3 2 6" xfId="0"/>
    <cellStyle name="Вывод 4 3 3" xfId="0"/>
    <cellStyle name="Вывод 4 3 3 2" xfId="0"/>
    <cellStyle name="Вывод 4 3 3 2 2" xfId="0"/>
    <cellStyle name="Вывод 4 3 3 2 2 2" xfId="0"/>
    <cellStyle name="Вывод 4 3 3 2 2 3" xfId="0"/>
    <cellStyle name="Вывод 4 3 3 2 3" xfId="0"/>
    <cellStyle name="Вывод 4 3 3 2 4" xfId="0"/>
    <cellStyle name="Вывод 4 3 3 3" xfId="0"/>
    <cellStyle name="Вывод 4 3 3 3 2" xfId="0"/>
    <cellStyle name="Вывод 4 3 3 3 2 2" xfId="0"/>
    <cellStyle name="Вывод 4 3 3 3 2 3" xfId="0"/>
    <cellStyle name="Вывод 4 3 3 3 3" xfId="0"/>
    <cellStyle name="Вывод 4 3 3 3 4" xfId="0"/>
    <cellStyle name="Вывод 4 3 3 4" xfId="0"/>
    <cellStyle name="Вывод 4 3 3 4 2" xfId="0"/>
    <cellStyle name="Вывод 4 3 3 4 3" xfId="0"/>
    <cellStyle name="Вывод 4 3 3 5" xfId="0"/>
    <cellStyle name="Вывод 4 3 3 6" xfId="0"/>
    <cellStyle name="Вывод 4 3 4" xfId="0"/>
    <cellStyle name="Вывод 4 3 4 2" xfId="0"/>
    <cellStyle name="Вывод 4 3 4 2 2" xfId="0"/>
    <cellStyle name="Вывод 4 3 4 2 2 2" xfId="0"/>
    <cellStyle name="Вывод 4 3 4 2 2 3" xfId="0"/>
    <cellStyle name="Вывод 4 3 4 2 3" xfId="0"/>
    <cellStyle name="Вывод 4 3 4 2 4" xfId="0"/>
    <cellStyle name="Вывод 4 3 4 3" xfId="0"/>
    <cellStyle name="Вывод 4 3 4 3 2" xfId="0"/>
    <cellStyle name="Вывод 4 3 4 3 2 2" xfId="0"/>
    <cellStyle name="Вывод 4 3 4 3 2 3" xfId="0"/>
    <cellStyle name="Вывод 4 3 4 3 3" xfId="0"/>
    <cellStyle name="Вывод 4 3 4 3 4" xfId="0"/>
    <cellStyle name="Вывод 4 3 4 4" xfId="0"/>
    <cellStyle name="Вывод 4 3 4 4 2" xfId="0"/>
    <cellStyle name="Вывод 4 3 4 4 3" xfId="0"/>
    <cellStyle name="Вывод 4 3 4 5" xfId="0"/>
    <cellStyle name="Вывод 4 3 4 6" xfId="0"/>
    <cellStyle name="Вывод 4 3 5" xfId="0"/>
    <cellStyle name="Вывод 4 3 5 2" xfId="0"/>
    <cellStyle name="Вывод 4 3 5 2 2" xfId="0"/>
    <cellStyle name="Вывод 4 3 5 2 2 2" xfId="0"/>
    <cellStyle name="Вывод 4 3 5 2 2 3" xfId="0"/>
    <cellStyle name="Вывод 4 3 5 2 3" xfId="0"/>
    <cellStyle name="Вывод 4 3 5 2 4" xfId="0"/>
    <cellStyle name="Вывод 4 3 5 3" xfId="0"/>
    <cellStyle name="Вывод 4 3 5 3 2" xfId="0"/>
    <cellStyle name="Вывод 4 3 5 3 2 2" xfId="0"/>
    <cellStyle name="Вывод 4 3 5 3 2 3" xfId="0"/>
    <cellStyle name="Вывод 4 3 5 3 3" xfId="0"/>
    <cellStyle name="Вывод 4 3 5 3 4" xfId="0"/>
    <cellStyle name="Вывод 4 3 5 4" xfId="0"/>
    <cellStyle name="Вывод 4 3 5 4 2" xfId="0"/>
    <cellStyle name="Вывод 4 3 5 4 3" xfId="0"/>
    <cellStyle name="Вывод 4 3 5 5" xfId="0"/>
    <cellStyle name="Вывод 4 3 5 6" xfId="0"/>
    <cellStyle name="Вывод 4 3 6" xfId="0"/>
    <cellStyle name="Вывод 4 3 6 2" xfId="0"/>
    <cellStyle name="Вывод 4 3 6 2 2" xfId="0"/>
    <cellStyle name="Вывод 4 3 6 2 2 2" xfId="0"/>
    <cellStyle name="Вывод 4 3 6 2 2 3" xfId="0"/>
    <cellStyle name="Вывод 4 3 6 2 3" xfId="0"/>
    <cellStyle name="Вывод 4 3 6 2 4" xfId="0"/>
    <cellStyle name="Вывод 4 3 6 3" xfId="0"/>
    <cellStyle name="Вывод 4 3 6 3 2" xfId="0"/>
    <cellStyle name="Вывод 4 3 6 3 3" xfId="0"/>
    <cellStyle name="Вывод 4 3 6 4" xfId="0"/>
    <cellStyle name="Вывод 4 3 6 5" xfId="0"/>
    <cellStyle name="Вывод 4 3 7" xfId="0"/>
    <cellStyle name="Вывод 4 3 7 2" xfId="0"/>
    <cellStyle name="Вывод 4 3 7 2 2" xfId="0"/>
    <cellStyle name="Вывод 4 3 7 2 2 2" xfId="0"/>
    <cellStyle name="Вывод 4 3 7 2 2 3" xfId="0"/>
    <cellStyle name="Вывод 4 3 7 2 3" xfId="0"/>
    <cellStyle name="Вывод 4 3 7 2 4" xfId="0"/>
    <cellStyle name="Вывод 4 3 7 3" xfId="0"/>
    <cellStyle name="Вывод 4 3 7 3 2" xfId="0"/>
    <cellStyle name="Вывод 4 3 7 3 3" xfId="0"/>
    <cellStyle name="Вывод 4 3 7 4" xfId="0"/>
    <cellStyle name="Вывод 4 3 7 5" xfId="0"/>
    <cellStyle name="Вывод 4 3 8" xfId="0"/>
    <cellStyle name="Вывод 4 3 8 2" xfId="0"/>
    <cellStyle name="Вывод 4 3 8 3" xfId="0"/>
    <cellStyle name="Вывод 4 3 9" xfId="0"/>
    <cellStyle name="Вывод 4 30" xfId="0"/>
    <cellStyle name="Вывод 4 30 2" xfId="0"/>
    <cellStyle name="Вывод 4 30 3" xfId="0"/>
    <cellStyle name="Вывод 4 31" xfId="0"/>
    <cellStyle name="Вывод 4 31 2" xfId="0"/>
    <cellStyle name="Вывод 4 31 3" xfId="0"/>
    <cellStyle name="Вывод 4 32" xfId="0"/>
    <cellStyle name="Вывод 4 32 2" xfId="0"/>
    <cellStyle name="Вывод 4 32 3" xfId="0"/>
    <cellStyle name="Вывод 4 33" xfId="0"/>
    <cellStyle name="Вывод 4 33 2" xfId="0"/>
    <cellStyle name="Вывод 4 33 3" xfId="0"/>
    <cellStyle name="Вывод 4 34" xfId="0"/>
    <cellStyle name="Вывод 4 4" xfId="0"/>
    <cellStyle name="Вывод 4 4 10" xfId="0"/>
    <cellStyle name="Вывод 4 4 2" xfId="0"/>
    <cellStyle name="Вывод 4 4 2 2" xfId="0"/>
    <cellStyle name="Вывод 4 4 2 2 2" xfId="0"/>
    <cellStyle name="Вывод 4 4 2 2 2 2" xfId="0"/>
    <cellStyle name="Вывод 4 4 2 2 2 3" xfId="0"/>
    <cellStyle name="Вывод 4 4 2 2 3" xfId="0"/>
    <cellStyle name="Вывод 4 4 2 2 4" xfId="0"/>
    <cellStyle name="Вывод 4 4 2 3" xfId="0"/>
    <cellStyle name="Вывод 4 4 2 3 2" xfId="0"/>
    <cellStyle name="Вывод 4 4 2 3 2 2" xfId="0"/>
    <cellStyle name="Вывод 4 4 2 3 2 3" xfId="0"/>
    <cellStyle name="Вывод 4 4 2 3 3" xfId="0"/>
    <cellStyle name="Вывод 4 4 2 3 4" xfId="0"/>
    <cellStyle name="Вывод 4 4 2 4" xfId="0"/>
    <cellStyle name="Вывод 4 4 2 4 2" xfId="0"/>
    <cellStyle name="Вывод 4 4 2 4 3" xfId="0"/>
    <cellStyle name="Вывод 4 4 2 5" xfId="0"/>
    <cellStyle name="Вывод 4 4 2 6" xfId="0"/>
    <cellStyle name="Вывод 4 4 3" xfId="0"/>
    <cellStyle name="Вывод 4 4 3 2" xfId="0"/>
    <cellStyle name="Вывод 4 4 3 2 2" xfId="0"/>
    <cellStyle name="Вывод 4 4 3 2 2 2" xfId="0"/>
    <cellStyle name="Вывод 4 4 3 2 2 3" xfId="0"/>
    <cellStyle name="Вывод 4 4 3 2 3" xfId="0"/>
    <cellStyle name="Вывод 4 4 3 2 4" xfId="0"/>
    <cellStyle name="Вывод 4 4 3 3" xfId="0"/>
    <cellStyle name="Вывод 4 4 3 3 2" xfId="0"/>
    <cellStyle name="Вывод 4 4 3 3 2 2" xfId="0"/>
    <cellStyle name="Вывод 4 4 3 3 2 3" xfId="0"/>
    <cellStyle name="Вывод 4 4 3 3 3" xfId="0"/>
    <cellStyle name="Вывод 4 4 3 3 4" xfId="0"/>
    <cellStyle name="Вывод 4 4 3 4" xfId="0"/>
    <cellStyle name="Вывод 4 4 3 4 2" xfId="0"/>
    <cellStyle name="Вывод 4 4 3 4 3" xfId="0"/>
    <cellStyle name="Вывод 4 4 3 5" xfId="0"/>
    <cellStyle name="Вывод 4 4 3 6" xfId="0"/>
    <cellStyle name="Вывод 4 4 4" xfId="0"/>
    <cellStyle name="Вывод 4 4 4 2" xfId="0"/>
    <cellStyle name="Вывод 4 4 4 2 2" xfId="0"/>
    <cellStyle name="Вывод 4 4 4 2 2 2" xfId="0"/>
    <cellStyle name="Вывод 4 4 4 2 2 3" xfId="0"/>
    <cellStyle name="Вывод 4 4 4 2 3" xfId="0"/>
    <cellStyle name="Вывод 4 4 4 2 4" xfId="0"/>
    <cellStyle name="Вывод 4 4 4 3" xfId="0"/>
    <cellStyle name="Вывод 4 4 4 3 2" xfId="0"/>
    <cellStyle name="Вывод 4 4 4 3 2 2" xfId="0"/>
    <cellStyle name="Вывод 4 4 4 3 2 3" xfId="0"/>
    <cellStyle name="Вывод 4 4 4 3 3" xfId="0"/>
    <cellStyle name="Вывод 4 4 4 3 4" xfId="0"/>
    <cellStyle name="Вывод 4 4 4 4" xfId="0"/>
    <cellStyle name="Вывод 4 4 4 4 2" xfId="0"/>
    <cellStyle name="Вывод 4 4 4 4 3" xfId="0"/>
    <cellStyle name="Вывод 4 4 4 5" xfId="0"/>
    <cellStyle name="Вывод 4 4 4 6" xfId="0"/>
    <cellStyle name="Вывод 4 4 5" xfId="0"/>
    <cellStyle name="Вывод 4 4 5 2" xfId="0"/>
    <cellStyle name="Вывод 4 4 5 2 2" xfId="0"/>
    <cellStyle name="Вывод 4 4 5 2 2 2" xfId="0"/>
    <cellStyle name="Вывод 4 4 5 2 2 3" xfId="0"/>
    <cellStyle name="Вывод 4 4 5 2 3" xfId="0"/>
    <cellStyle name="Вывод 4 4 5 2 4" xfId="0"/>
    <cellStyle name="Вывод 4 4 5 3" xfId="0"/>
    <cellStyle name="Вывод 4 4 5 3 2" xfId="0"/>
    <cellStyle name="Вывод 4 4 5 3 2 2" xfId="0"/>
    <cellStyle name="Вывод 4 4 5 3 2 3" xfId="0"/>
    <cellStyle name="Вывод 4 4 5 3 3" xfId="0"/>
    <cellStyle name="Вывод 4 4 5 3 4" xfId="0"/>
    <cellStyle name="Вывод 4 4 5 4" xfId="0"/>
    <cellStyle name="Вывод 4 4 5 4 2" xfId="0"/>
    <cellStyle name="Вывод 4 4 5 4 3" xfId="0"/>
    <cellStyle name="Вывод 4 4 5 5" xfId="0"/>
    <cellStyle name="Вывод 4 4 5 6" xfId="0"/>
    <cellStyle name="Вывод 4 4 6" xfId="0"/>
    <cellStyle name="Вывод 4 4 6 2" xfId="0"/>
    <cellStyle name="Вывод 4 4 6 2 2" xfId="0"/>
    <cellStyle name="Вывод 4 4 6 2 2 2" xfId="0"/>
    <cellStyle name="Вывод 4 4 6 2 2 3" xfId="0"/>
    <cellStyle name="Вывод 4 4 6 2 3" xfId="0"/>
    <cellStyle name="Вывод 4 4 6 2 4" xfId="0"/>
    <cellStyle name="Вывод 4 4 6 3" xfId="0"/>
    <cellStyle name="Вывод 4 4 6 3 2" xfId="0"/>
    <cellStyle name="Вывод 4 4 6 3 3" xfId="0"/>
    <cellStyle name="Вывод 4 4 6 4" xfId="0"/>
    <cellStyle name="Вывод 4 4 6 5" xfId="0"/>
    <cellStyle name="Вывод 4 4 7" xfId="0"/>
    <cellStyle name="Вывод 4 4 7 2" xfId="0"/>
    <cellStyle name="Вывод 4 4 7 2 2" xfId="0"/>
    <cellStyle name="Вывод 4 4 7 2 2 2" xfId="0"/>
    <cellStyle name="Вывод 4 4 7 2 2 3" xfId="0"/>
    <cellStyle name="Вывод 4 4 7 2 3" xfId="0"/>
    <cellStyle name="Вывод 4 4 7 2 4" xfId="0"/>
    <cellStyle name="Вывод 4 4 7 3" xfId="0"/>
    <cellStyle name="Вывод 4 4 7 3 2" xfId="0"/>
    <cellStyle name="Вывод 4 4 7 3 3" xfId="0"/>
    <cellStyle name="Вывод 4 4 7 4" xfId="0"/>
    <cellStyle name="Вывод 4 4 7 5" xfId="0"/>
    <cellStyle name="Вывод 4 4 8" xfId="0"/>
    <cellStyle name="Вывод 4 4 8 2" xfId="0"/>
    <cellStyle name="Вывод 4 4 8 3" xfId="0"/>
    <cellStyle name="Вывод 4 4 9" xfId="0"/>
    <cellStyle name="Вывод 4 5" xfId="0"/>
    <cellStyle name="Вывод 4 5 2" xfId="0"/>
    <cellStyle name="Вывод 4 5 2 2" xfId="0"/>
    <cellStyle name="Вывод 4 5 2 2 2" xfId="0"/>
    <cellStyle name="Вывод 4 5 2 2 2 2" xfId="0"/>
    <cellStyle name="Вывод 4 5 2 2 2 3" xfId="0"/>
    <cellStyle name="Вывод 4 5 2 2 3" xfId="0"/>
    <cellStyle name="Вывод 4 5 2 2 4" xfId="0"/>
    <cellStyle name="Вывод 4 5 2 3" xfId="0"/>
    <cellStyle name="Вывод 4 5 2 3 2" xfId="0"/>
    <cellStyle name="Вывод 4 5 2 3 2 2" xfId="0"/>
    <cellStyle name="Вывод 4 5 2 3 2 3" xfId="0"/>
    <cellStyle name="Вывод 4 5 2 3 3" xfId="0"/>
    <cellStyle name="Вывод 4 5 2 3 4" xfId="0"/>
    <cellStyle name="Вывод 4 5 2 4" xfId="0"/>
    <cellStyle name="Вывод 4 5 2 4 2" xfId="0"/>
    <cellStyle name="Вывод 4 5 2 4 3" xfId="0"/>
    <cellStyle name="Вывод 4 5 2 5" xfId="0"/>
    <cellStyle name="Вывод 4 5 2 6" xfId="0"/>
    <cellStyle name="Вывод 4 5 3" xfId="0"/>
    <cellStyle name="Вывод 4 5 3 2" xfId="0"/>
    <cellStyle name="Вывод 4 5 3 2 2" xfId="0"/>
    <cellStyle name="Вывод 4 5 3 2 2 2" xfId="0"/>
    <cellStyle name="Вывод 4 5 3 2 2 3" xfId="0"/>
    <cellStyle name="Вывод 4 5 3 2 3" xfId="0"/>
    <cellStyle name="Вывод 4 5 3 2 4" xfId="0"/>
    <cellStyle name="Вывод 4 5 3 3" xfId="0"/>
    <cellStyle name="Вывод 4 5 3 3 2" xfId="0"/>
    <cellStyle name="Вывод 4 5 3 3 3" xfId="0"/>
    <cellStyle name="Вывод 4 5 3 4" xfId="0"/>
    <cellStyle name="Вывод 4 5 3 5" xfId="0"/>
    <cellStyle name="Вывод 4 5 4" xfId="0"/>
    <cellStyle name="Вывод 4 5 4 2" xfId="0"/>
    <cellStyle name="Вывод 4 5 4 2 2" xfId="0"/>
    <cellStyle name="Вывод 4 5 4 2 2 2" xfId="0"/>
    <cellStyle name="Вывод 4 5 4 2 2 3" xfId="0"/>
    <cellStyle name="Вывод 4 5 4 2 3" xfId="0"/>
    <cellStyle name="Вывод 4 5 4 2 4" xfId="0"/>
    <cellStyle name="Вывод 4 5 4 3" xfId="0"/>
    <cellStyle name="Вывод 4 5 4 3 2" xfId="0"/>
    <cellStyle name="Вывод 4 5 4 3 3" xfId="0"/>
    <cellStyle name="Вывод 4 5 4 4" xfId="0"/>
    <cellStyle name="Вывод 4 5 4 5" xfId="0"/>
    <cellStyle name="Вывод 4 5 5" xfId="0"/>
    <cellStyle name="Вывод 4 5 5 2" xfId="0"/>
    <cellStyle name="Вывод 4 5 5 3" xfId="0"/>
    <cellStyle name="Вывод 4 5 6" xfId="0"/>
    <cellStyle name="Вывод 4 5 7" xfId="0"/>
    <cellStyle name="Вывод 4 6" xfId="0"/>
    <cellStyle name="Вывод 4 6 2" xfId="0"/>
    <cellStyle name="Вывод 4 6 2 2" xfId="0"/>
    <cellStyle name="Вывод 4 6 2 2 2" xfId="0"/>
    <cellStyle name="Вывод 4 6 2 2 2 2" xfId="0"/>
    <cellStyle name="Вывод 4 6 2 2 2 3" xfId="0"/>
    <cellStyle name="Вывод 4 6 2 2 3" xfId="0"/>
    <cellStyle name="Вывод 4 6 2 2 4" xfId="0"/>
    <cellStyle name="Вывод 4 6 2 3" xfId="0"/>
    <cellStyle name="Вывод 4 6 2 3 2" xfId="0"/>
    <cellStyle name="Вывод 4 6 2 3 2 2" xfId="0"/>
    <cellStyle name="Вывод 4 6 2 3 2 3" xfId="0"/>
    <cellStyle name="Вывод 4 6 2 3 3" xfId="0"/>
    <cellStyle name="Вывод 4 6 2 3 4" xfId="0"/>
    <cellStyle name="Вывод 4 6 2 4" xfId="0"/>
    <cellStyle name="Вывод 4 6 2 4 2" xfId="0"/>
    <cellStyle name="Вывод 4 6 2 4 3" xfId="0"/>
    <cellStyle name="Вывод 4 6 2 5" xfId="0"/>
    <cellStyle name="Вывод 4 6 2 6" xfId="0"/>
    <cellStyle name="Вывод 4 6 3" xfId="0"/>
    <cellStyle name="Вывод 4 6 3 2" xfId="0"/>
    <cellStyle name="Вывод 4 6 3 2 2" xfId="0"/>
    <cellStyle name="Вывод 4 6 3 2 2 2" xfId="0"/>
    <cellStyle name="Вывод 4 6 3 2 2 3" xfId="0"/>
    <cellStyle name="Вывод 4 6 3 2 3" xfId="0"/>
    <cellStyle name="Вывод 4 6 3 2 4" xfId="0"/>
    <cellStyle name="Вывод 4 6 3 3" xfId="0"/>
    <cellStyle name="Вывод 4 6 3 3 2" xfId="0"/>
    <cellStyle name="Вывод 4 6 3 3 3" xfId="0"/>
    <cellStyle name="Вывод 4 6 3 4" xfId="0"/>
    <cellStyle name="Вывод 4 6 3 5" xfId="0"/>
    <cellStyle name="Вывод 4 6 4" xfId="0"/>
    <cellStyle name="Вывод 4 6 4 2" xfId="0"/>
    <cellStyle name="Вывод 4 6 4 2 2" xfId="0"/>
    <cellStyle name="Вывод 4 6 4 2 2 2" xfId="0"/>
    <cellStyle name="Вывод 4 6 4 2 2 3" xfId="0"/>
    <cellStyle name="Вывод 4 6 4 2 3" xfId="0"/>
    <cellStyle name="Вывод 4 6 4 2 4" xfId="0"/>
    <cellStyle name="Вывод 4 6 4 3" xfId="0"/>
    <cellStyle name="Вывод 4 6 4 3 2" xfId="0"/>
    <cellStyle name="Вывод 4 6 4 3 3" xfId="0"/>
    <cellStyle name="Вывод 4 6 4 4" xfId="0"/>
    <cellStyle name="Вывод 4 6 4 5" xfId="0"/>
    <cellStyle name="Вывод 4 6 5" xfId="0"/>
    <cellStyle name="Вывод 4 6 5 2" xfId="0"/>
    <cellStyle name="Вывод 4 6 5 3" xfId="0"/>
    <cellStyle name="Вывод 4 6 6" xfId="0"/>
    <cellStyle name="Вывод 4 6 7" xfId="0"/>
    <cellStyle name="Вывод 4 7" xfId="0"/>
    <cellStyle name="Вывод 4 7 2" xfId="0"/>
    <cellStyle name="Вывод 4 7 2 2" xfId="0"/>
    <cellStyle name="Вывод 4 7 2 2 2" xfId="0"/>
    <cellStyle name="Вывод 4 7 2 2 2 2" xfId="0"/>
    <cellStyle name="Вывод 4 7 2 2 2 3" xfId="0"/>
    <cellStyle name="Вывод 4 7 2 2 3" xfId="0"/>
    <cellStyle name="Вывод 4 7 2 2 4" xfId="0"/>
    <cellStyle name="Вывод 4 7 2 3" xfId="0"/>
    <cellStyle name="Вывод 4 7 2 3 2" xfId="0"/>
    <cellStyle name="Вывод 4 7 2 3 2 2" xfId="0"/>
    <cellStyle name="Вывод 4 7 2 3 2 3" xfId="0"/>
    <cellStyle name="Вывод 4 7 2 3 3" xfId="0"/>
    <cellStyle name="Вывод 4 7 2 3 4" xfId="0"/>
    <cellStyle name="Вывод 4 7 2 4" xfId="0"/>
    <cellStyle name="Вывод 4 7 2 4 2" xfId="0"/>
    <cellStyle name="Вывод 4 7 2 4 3" xfId="0"/>
    <cellStyle name="Вывод 4 7 2 5" xfId="0"/>
    <cellStyle name="Вывод 4 7 2 6" xfId="0"/>
    <cellStyle name="Вывод 4 7 3" xfId="0"/>
    <cellStyle name="Вывод 4 7 3 2" xfId="0"/>
    <cellStyle name="Вывод 4 7 3 2 2" xfId="0"/>
    <cellStyle name="Вывод 4 7 3 2 2 2" xfId="0"/>
    <cellStyle name="Вывод 4 7 3 2 2 3" xfId="0"/>
    <cellStyle name="Вывод 4 7 3 2 3" xfId="0"/>
    <cellStyle name="Вывод 4 7 3 2 4" xfId="0"/>
    <cellStyle name="Вывод 4 7 3 3" xfId="0"/>
    <cellStyle name="Вывод 4 7 3 3 2" xfId="0"/>
    <cellStyle name="Вывод 4 7 3 3 3" xfId="0"/>
    <cellStyle name="Вывод 4 7 3 4" xfId="0"/>
    <cellStyle name="Вывод 4 7 3 5" xfId="0"/>
    <cellStyle name="Вывод 4 7 4" xfId="0"/>
    <cellStyle name="Вывод 4 7 4 2" xfId="0"/>
    <cellStyle name="Вывод 4 7 4 2 2" xfId="0"/>
    <cellStyle name="Вывод 4 7 4 2 2 2" xfId="0"/>
    <cellStyle name="Вывод 4 7 4 2 2 3" xfId="0"/>
    <cellStyle name="Вывод 4 7 4 2 3" xfId="0"/>
    <cellStyle name="Вывод 4 7 4 2 4" xfId="0"/>
    <cellStyle name="Вывод 4 7 4 3" xfId="0"/>
    <cellStyle name="Вывод 4 7 4 3 2" xfId="0"/>
    <cellStyle name="Вывод 4 7 4 3 3" xfId="0"/>
    <cellStyle name="Вывод 4 7 4 4" xfId="0"/>
    <cellStyle name="Вывод 4 7 4 5" xfId="0"/>
    <cellStyle name="Вывод 4 7 5" xfId="0"/>
    <cellStyle name="Вывод 4 7 5 2" xfId="0"/>
    <cellStyle name="Вывод 4 7 5 3" xfId="0"/>
    <cellStyle name="Вывод 4 7 6" xfId="0"/>
    <cellStyle name="Вывод 4 7 7" xfId="0"/>
    <cellStyle name="Вывод 4 8" xfId="0"/>
    <cellStyle name="Вывод 4 8 2" xfId="0"/>
    <cellStyle name="Вывод 4 8 2 2" xfId="0"/>
    <cellStyle name="Вывод 4 8 2 2 2" xfId="0"/>
    <cellStyle name="Вывод 4 8 2 2 2 2" xfId="0"/>
    <cellStyle name="Вывод 4 8 2 2 2 3" xfId="0"/>
    <cellStyle name="Вывод 4 8 2 2 3" xfId="0"/>
    <cellStyle name="Вывод 4 8 2 2 4" xfId="0"/>
    <cellStyle name="Вывод 4 8 2 3" xfId="0"/>
    <cellStyle name="Вывод 4 8 2 3 2" xfId="0"/>
    <cellStyle name="Вывод 4 8 2 3 2 2" xfId="0"/>
    <cellStyle name="Вывод 4 8 2 3 2 3" xfId="0"/>
    <cellStyle name="Вывод 4 8 2 3 3" xfId="0"/>
    <cellStyle name="Вывод 4 8 2 3 4" xfId="0"/>
    <cellStyle name="Вывод 4 8 2 4" xfId="0"/>
    <cellStyle name="Вывод 4 8 2 4 2" xfId="0"/>
    <cellStyle name="Вывод 4 8 2 4 3" xfId="0"/>
    <cellStyle name="Вывод 4 8 2 5" xfId="0"/>
    <cellStyle name="Вывод 4 8 2 6" xfId="0"/>
    <cellStyle name="Вывод 4 8 3" xfId="0"/>
    <cellStyle name="Вывод 4 8 3 2" xfId="0"/>
    <cellStyle name="Вывод 4 8 3 2 2" xfId="0"/>
    <cellStyle name="Вывод 4 8 3 2 2 2" xfId="0"/>
    <cellStyle name="Вывод 4 8 3 2 2 3" xfId="0"/>
    <cellStyle name="Вывод 4 8 3 2 3" xfId="0"/>
    <cellStyle name="Вывод 4 8 3 2 4" xfId="0"/>
    <cellStyle name="Вывод 4 8 3 3" xfId="0"/>
    <cellStyle name="Вывод 4 8 3 3 2" xfId="0"/>
    <cellStyle name="Вывод 4 8 3 3 3" xfId="0"/>
    <cellStyle name="Вывод 4 8 3 4" xfId="0"/>
    <cellStyle name="Вывод 4 8 3 5" xfId="0"/>
    <cellStyle name="Вывод 4 8 4" xfId="0"/>
    <cellStyle name="Вывод 4 8 4 2" xfId="0"/>
    <cellStyle name="Вывод 4 8 4 2 2" xfId="0"/>
    <cellStyle name="Вывод 4 8 4 2 2 2" xfId="0"/>
    <cellStyle name="Вывод 4 8 4 2 2 3" xfId="0"/>
    <cellStyle name="Вывод 4 8 4 2 3" xfId="0"/>
    <cellStyle name="Вывод 4 8 4 2 4" xfId="0"/>
    <cellStyle name="Вывод 4 8 4 3" xfId="0"/>
    <cellStyle name="Вывод 4 8 4 3 2" xfId="0"/>
    <cellStyle name="Вывод 4 8 4 3 3" xfId="0"/>
    <cellStyle name="Вывод 4 8 4 4" xfId="0"/>
    <cellStyle name="Вывод 4 8 4 5" xfId="0"/>
    <cellStyle name="Вывод 4 8 5" xfId="0"/>
    <cellStyle name="Вывод 4 8 5 2" xfId="0"/>
    <cellStyle name="Вывод 4 8 5 3" xfId="0"/>
    <cellStyle name="Вывод 4 8 6" xfId="0"/>
    <cellStyle name="Вывод 4 8 7" xfId="0"/>
    <cellStyle name="Вывод 4 9" xfId="0"/>
    <cellStyle name="Вывод 4 9 2" xfId="0"/>
    <cellStyle name="Вывод 4 9 2 2" xfId="0"/>
    <cellStyle name="Вывод 4 9 2 2 2" xfId="0"/>
    <cellStyle name="Вывод 4 9 2 2 2 2" xfId="0"/>
    <cellStyle name="Вывод 4 9 2 2 2 3" xfId="0"/>
    <cellStyle name="Вывод 4 9 2 2 3" xfId="0"/>
    <cellStyle name="Вывод 4 9 2 2 4" xfId="0"/>
    <cellStyle name="Вывод 4 9 2 3" xfId="0"/>
    <cellStyle name="Вывод 4 9 2 3 2" xfId="0"/>
    <cellStyle name="Вывод 4 9 2 3 2 2" xfId="0"/>
    <cellStyle name="Вывод 4 9 2 3 2 3" xfId="0"/>
    <cellStyle name="Вывод 4 9 2 3 3" xfId="0"/>
    <cellStyle name="Вывод 4 9 2 3 4" xfId="0"/>
    <cellStyle name="Вывод 4 9 2 4" xfId="0"/>
    <cellStyle name="Вывод 4 9 2 4 2" xfId="0"/>
    <cellStyle name="Вывод 4 9 2 4 3" xfId="0"/>
    <cellStyle name="Вывод 4 9 2 5" xfId="0"/>
    <cellStyle name="Вывод 4 9 2 6" xfId="0"/>
    <cellStyle name="Вывод 4 9 3" xfId="0"/>
    <cellStyle name="Вывод 4 9 3 2" xfId="0"/>
    <cellStyle name="Вывод 4 9 3 2 2" xfId="0"/>
    <cellStyle name="Вывод 4 9 3 2 2 2" xfId="0"/>
    <cellStyle name="Вывод 4 9 3 2 2 3" xfId="0"/>
    <cellStyle name="Вывод 4 9 3 2 3" xfId="0"/>
    <cellStyle name="Вывод 4 9 3 2 4" xfId="0"/>
    <cellStyle name="Вывод 4 9 3 3" xfId="0"/>
    <cellStyle name="Вывод 4 9 3 3 2" xfId="0"/>
    <cellStyle name="Вывод 4 9 3 3 3" xfId="0"/>
    <cellStyle name="Вывод 4 9 3 4" xfId="0"/>
    <cellStyle name="Вывод 4 9 3 5" xfId="0"/>
    <cellStyle name="Вывод 4 9 4" xfId="0"/>
    <cellStyle name="Вывод 4 9 4 2" xfId="0"/>
    <cellStyle name="Вывод 4 9 4 2 2" xfId="0"/>
    <cellStyle name="Вывод 4 9 4 2 2 2" xfId="0"/>
    <cellStyle name="Вывод 4 9 4 2 2 3" xfId="0"/>
    <cellStyle name="Вывод 4 9 4 2 3" xfId="0"/>
    <cellStyle name="Вывод 4 9 4 2 4" xfId="0"/>
    <cellStyle name="Вывод 4 9 4 3" xfId="0"/>
    <cellStyle name="Вывод 4 9 4 3 2" xfId="0"/>
    <cellStyle name="Вывод 4 9 4 3 3" xfId="0"/>
    <cellStyle name="Вывод 4 9 4 4" xfId="0"/>
    <cellStyle name="Вывод 4 9 4 5" xfId="0"/>
    <cellStyle name="Вывод 4 9 5" xfId="0"/>
    <cellStyle name="Вывод 4 9 5 2" xfId="0"/>
    <cellStyle name="Вывод 4 9 5 3" xfId="0"/>
    <cellStyle name="Вывод 4 9 6" xfId="0"/>
    <cellStyle name="Вывод 4 9 7" xfId="0"/>
    <cellStyle name="Вычисление 1" xfId="0"/>
    <cellStyle name="Вычисление 1 10" xfId="0"/>
    <cellStyle name="Вычисление 1 10 2" xfId="0"/>
    <cellStyle name="Вычисление 1 10 2 2" xfId="0"/>
    <cellStyle name="Вычисление 1 10 2 2 2" xfId="0"/>
    <cellStyle name="Вычисление 1 10 2 2 2 2" xfId="0"/>
    <cellStyle name="Вычисление 1 10 2 2 2 3" xfId="0"/>
    <cellStyle name="Вычисление 1 10 2 2 3" xfId="0"/>
    <cellStyle name="Вычисление 1 10 2 2 4" xfId="0"/>
    <cellStyle name="Вычисление 1 10 2 3" xfId="0"/>
    <cellStyle name="Вычисление 1 10 2 3 2" xfId="0"/>
    <cellStyle name="Вычисление 1 10 2 3 2 2" xfId="0"/>
    <cellStyle name="Вычисление 1 10 2 3 2 3" xfId="0"/>
    <cellStyle name="Вычисление 1 10 2 3 3" xfId="0"/>
    <cellStyle name="Вычисление 1 10 2 3 4" xfId="0"/>
    <cellStyle name="Вычисление 1 10 2 4" xfId="0"/>
    <cellStyle name="Вычисление 1 10 2 4 2" xfId="0"/>
    <cellStyle name="Вычисление 1 10 2 4 3" xfId="0"/>
    <cellStyle name="Вычисление 1 10 2 5" xfId="0"/>
    <cellStyle name="Вычисление 1 10 2 6" xfId="0"/>
    <cellStyle name="Вычисление 1 10 3" xfId="0"/>
    <cellStyle name="Вычисление 1 10 3 2" xfId="0"/>
    <cellStyle name="Вычисление 1 10 3 2 2" xfId="0"/>
    <cellStyle name="Вычисление 1 10 3 2 2 2" xfId="0"/>
    <cellStyle name="Вычисление 1 10 3 2 2 3" xfId="0"/>
    <cellStyle name="Вычисление 1 10 3 2 3" xfId="0"/>
    <cellStyle name="Вычисление 1 10 3 2 4" xfId="0"/>
    <cellStyle name="Вычисление 1 10 3 3" xfId="0"/>
    <cellStyle name="Вычисление 1 10 3 3 2" xfId="0"/>
    <cellStyle name="Вычисление 1 10 3 3 3" xfId="0"/>
    <cellStyle name="Вычисление 1 10 3 4" xfId="0"/>
    <cellStyle name="Вычисление 1 10 3 5" xfId="0"/>
    <cellStyle name="Вычисление 1 10 4" xfId="0"/>
    <cellStyle name="Вычисление 1 10 4 2" xfId="0"/>
    <cellStyle name="Вычисление 1 10 4 2 2" xfId="0"/>
    <cellStyle name="Вычисление 1 10 4 2 2 2" xfId="0"/>
    <cellStyle name="Вычисление 1 10 4 2 2 3" xfId="0"/>
    <cellStyle name="Вычисление 1 10 4 2 3" xfId="0"/>
    <cellStyle name="Вычисление 1 10 4 2 4" xfId="0"/>
    <cellStyle name="Вычисление 1 10 4 3" xfId="0"/>
    <cellStyle name="Вычисление 1 10 4 3 2" xfId="0"/>
    <cellStyle name="Вычисление 1 10 4 3 3" xfId="0"/>
    <cellStyle name="Вычисление 1 10 4 4" xfId="0"/>
    <cellStyle name="Вычисление 1 10 4 5" xfId="0"/>
    <cellStyle name="Вычисление 1 10 5" xfId="0"/>
    <cellStyle name="Вычисление 1 10 5 2" xfId="0"/>
    <cellStyle name="Вычисление 1 10 5 3" xfId="0"/>
    <cellStyle name="Вычисление 1 10 6" xfId="0"/>
    <cellStyle name="Вычисление 1 10 7" xfId="0"/>
    <cellStyle name="Вычисление 1 11" xfId="0"/>
    <cellStyle name="Вычисление 1 11 2" xfId="0"/>
    <cellStyle name="Вычисление 1 11 2 2" xfId="0"/>
    <cellStyle name="Вычисление 1 11 2 2 2" xfId="0"/>
    <cellStyle name="Вычисление 1 11 2 2 2 2" xfId="0"/>
    <cellStyle name="Вычисление 1 11 2 2 2 3" xfId="0"/>
    <cellStyle name="Вычисление 1 11 2 2 3" xfId="0"/>
    <cellStyle name="Вычисление 1 11 2 2 4" xfId="0"/>
    <cellStyle name="Вычисление 1 11 2 3" xfId="0"/>
    <cellStyle name="Вычисление 1 11 2 3 2" xfId="0"/>
    <cellStyle name="Вычисление 1 11 2 3 2 2" xfId="0"/>
    <cellStyle name="Вычисление 1 11 2 3 2 3" xfId="0"/>
    <cellStyle name="Вычисление 1 11 2 3 3" xfId="0"/>
    <cellStyle name="Вычисление 1 11 2 3 4" xfId="0"/>
    <cellStyle name="Вычисление 1 11 2 4" xfId="0"/>
    <cellStyle name="Вычисление 1 11 2 4 2" xfId="0"/>
    <cellStyle name="Вычисление 1 11 2 4 3" xfId="0"/>
    <cellStyle name="Вычисление 1 11 2 5" xfId="0"/>
    <cellStyle name="Вычисление 1 11 2 6" xfId="0"/>
    <cellStyle name="Вычисление 1 11 3" xfId="0"/>
    <cellStyle name="Вычисление 1 11 3 2" xfId="0"/>
    <cellStyle name="Вычисление 1 11 3 2 2" xfId="0"/>
    <cellStyle name="Вычисление 1 11 3 2 2 2" xfId="0"/>
    <cellStyle name="Вычисление 1 11 3 2 2 3" xfId="0"/>
    <cellStyle name="Вычисление 1 11 3 2 3" xfId="0"/>
    <cellStyle name="Вычисление 1 11 3 2 4" xfId="0"/>
    <cellStyle name="Вычисление 1 11 3 3" xfId="0"/>
    <cellStyle name="Вычисление 1 11 3 3 2" xfId="0"/>
    <cellStyle name="Вычисление 1 11 3 3 3" xfId="0"/>
    <cellStyle name="Вычисление 1 11 3 4" xfId="0"/>
    <cellStyle name="Вычисление 1 11 3 5" xfId="0"/>
    <cellStyle name="Вычисление 1 11 4" xfId="0"/>
    <cellStyle name="Вычисление 1 11 4 2" xfId="0"/>
    <cellStyle name="Вычисление 1 11 4 2 2" xfId="0"/>
    <cellStyle name="Вычисление 1 11 4 2 2 2" xfId="0"/>
    <cellStyle name="Вычисление 1 11 4 2 2 3" xfId="0"/>
    <cellStyle name="Вычисление 1 11 4 2 3" xfId="0"/>
    <cellStyle name="Вычисление 1 11 4 2 4" xfId="0"/>
    <cellStyle name="Вычисление 1 11 4 3" xfId="0"/>
    <cellStyle name="Вычисление 1 11 4 3 2" xfId="0"/>
    <cellStyle name="Вычисление 1 11 4 3 3" xfId="0"/>
    <cellStyle name="Вычисление 1 11 4 4" xfId="0"/>
    <cellStyle name="Вычисление 1 11 4 5" xfId="0"/>
    <cellStyle name="Вычисление 1 11 5" xfId="0"/>
    <cellStyle name="Вычисление 1 11 5 2" xfId="0"/>
    <cellStyle name="Вычисление 1 11 5 3" xfId="0"/>
    <cellStyle name="Вычисление 1 11 6" xfId="0"/>
    <cellStyle name="Вычисление 1 11 7" xfId="0"/>
    <cellStyle name="Вычисление 1 12" xfId="0"/>
    <cellStyle name="Вычисление 1 12 2" xfId="0"/>
    <cellStyle name="Вычисление 1 12 2 2" xfId="0"/>
    <cellStyle name="Вычисление 1 12 2 2 2" xfId="0"/>
    <cellStyle name="Вычисление 1 12 2 2 2 2" xfId="0"/>
    <cellStyle name="Вычисление 1 12 2 2 2 3" xfId="0"/>
    <cellStyle name="Вычисление 1 12 2 2 3" xfId="0"/>
    <cellStyle name="Вычисление 1 12 2 2 4" xfId="0"/>
    <cellStyle name="Вычисление 1 12 2 3" xfId="0"/>
    <cellStyle name="Вычисление 1 12 2 3 2" xfId="0"/>
    <cellStyle name="Вычисление 1 12 2 3 2 2" xfId="0"/>
    <cellStyle name="Вычисление 1 12 2 3 2 3" xfId="0"/>
    <cellStyle name="Вычисление 1 12 2 3 3" xfId="0"/>
    <cellStyle name="Вычисление 1 12 2 3 4" xfId="0"/>
    <cellStyle name="Вычисление 1 12 2 4" xfId="0"/>
    <cellStyle name="Вычисление 1 12 2 4 2" xfId="0"/>
    <cellStyle name="Вычисление 1 12 2 4 3" xfId="0"/>
    <cellStyle name="Вычисление 1 12 2 5" xfId="0"/>
    <cellStyle name="Вычисление 1 12 2 6" xfId="0"/>
    <cellStyle name="Вычисление 1 12 3" xfId="0"/>
    <cellStyle name="Вычисление 1 12 3 2" xfId="0"/>
    <cellStyle name="Вычисление 1 12 3 2 2" xfId="0"/>
    <cellStyle name="Вычисление 1 12 3 2 2 2" xfId="0"/>
    <cellStyle name="Вычисление 1 12 3 2 2 3" xfId="0"/>
    <cellStyle name="Вычисление 1 12 3 2 3" xfId="0"/>
    <cellStyle name="Вычисление 1 12 3 2 4" xfId="0"/>
    <cellStyle name="Вычисление 1 12 3 3" xfId="0"/>
    <cellStyle name="Вычисление 1 12 3 3 2" xfId="0"/>
    <cellStyle name="Вычисление 1 12 3 3 3" xfId="0"/>
    <cellStyle name="Вычисление 1 12 3 4" xfId="0"/>
    <cellStyle name="Вычисление 1 12 3 5" xfId="0"/>
    <cellStyle name="Вычисление 1 12 4" xfId="0"/>
    <cellStyle name="Вычисление 1 12 4 2" xfId="0"/>
    <cellStyle name="Вычисление 1 12 4 2 2" xfId="0"/>
    <cellStyle name="Вычисление 1 12 4 2 2 2" xfId="0"/>
    <cellStyle name="Вычисление 1 12 4 2 2 3" xfId="0"/>
    <cellStyle name="Вычисление 1 12 4 2 3" xfId="0"/>
    <cellStyle name="Вычисление 1 12 4 2 4" xfId="0"/>
    <cellStyle name="Вычисление 1 12 4 3" xfId="0"/>
    <cellStyle name="Вычисление 1 12 4 3 2" xfId="0"/>
    <cellStyle name="Вычисление 1 12 4 3 3" xfId="0"/>
    <cellStyle name="Вычисление 1 12 4 4" xfId="0"/>
    <cellStyle name="Вычисление 1 12 4 5" xfId="0"/>
    <cellStyle name="Вычисление 1 12 5" xfId="0"/>
    <cellStyle name="Вычисление 1 12 5 2" xfId="0"/>
    <cellStyle name="Вычисление 1 12 5 3" xfId="0"/>
    <cellStyle name="Вычисление 1 12 6" xfId="0"/>
    <cellStyle name="Вычисление 1 12 7" xfId="0"/>
    <cellStyle name="Вычисление 1 13" xfId="0"/>
    <cellStyle name="Вычисление 1 13 2" xfId="0"/>
    <cellStyle name="Вычисление 1 13 2 2" xfId="0"/>
    <cellStyle name="Вычисление 1 13 2 2 2" xfId="0"/>
    <cellStyle name="Вычисление 1 13 2 2 2 2" xfId="0"/>
    <cellStyle name="Вычисление 1 13 2 2 2 3" xfId="0"/>
    <cellStyle name="Вычисление 1 13 2 2 3" xfId="0"/>
    <cellStyle name="Вычисление 1 13 2 2 4" xfId="0"/>
    <cellStyle name="Вычисление 1 13 2 3" xfId="0"/>
    <cellStyle name="Вычисление 1 13 2 3 2" xfId="0"/>
    <cellStyle name="Вычисление 1 13 2 3 2 2" xfId="0"/>
    <cellStyle name="Вычисление 1 13 2 3 2 3" xfId="0"/>
    <cellStyle name="Вычисление 1 13 2 3 3" xfId="0"/>
    <cellStyle name="Вычисление 1 13 2 3 4" xfId="0"/>
    <cellStyle name="Вычисление 1 13 2 4" xfId="0"/>
    <cellStyle name="Вычисление 1 13 2 4 2" xfId="0"/>
    <cellStyle name="Вычисление 1 13 2 4 3" xfId="0"/>
    <cellStyle name="Вычисление 1 13 2 5" xfId="0"/>
    <cellStyle name="Вычисление 1 13 2 6" xfId="0"/>
    <cellStyle name="Вычисление 1 13 3" xfId="0"/>
    <cellStyle name="Вычисление 1 13 3 2" xfId="0"/>
    <cellStyle name="Вычисление 1 13 3 2 2" xfId="0"/>
    <cellStyle name="Вычисление 1 13 3 2 2 2" xfId="0"/>
    <cellStyle name="Вычисление 1 13 3 2 2 3" xfId="0"/>
    <cellStyle name="Вычисление 1 13 3 2 3" xfId="0"/>
    <cellStyle name="Вычисление 1 13 3 2 4" xfId="0"/>
    <cellStyle name="Вычисление 1 13 3 3" xfId="0"/>
    <cellStyle name="Вычисление 1 13 3 3 2" xfId="0"/>
    <cellStyle name="Вычисление 1 13 3 3 3" xfId="0"/>
    <cellStyle name="Вычисление 1 13 3 4" xfId="0"/>
    <cellStyle name="Вычисление 1 13 3 5" xfId="0"/>
    <cellStyle name="Вычисление 1 13 4" xfId="0"/>
    <cellStyle name="Вычисление 1 13 4 2" xfId="0"/>
    <cellStyle name="Вычисление 1 13 4 2 2" xfId="0"/>
    <cellStyle name="Вычисление 1 13 4 2 2 2" xfId="0"/>
    <cellStyle name="Вычисление 1 13 4 2 2 3" xfId="0"/>
    <cellStyle name="Вычисление 1 13 4 2 3" xfId="0"/>
    <cellStyle name="Вычисление 1 13 4 2 4" xfId="0"/>
    <cellStyle name="Вычисление 1 13 4 3" xfId="0"/>
    <cellStyle name="Вычисление 1 13 4 3 2" xfId="0"/>
    <cellStyle name="Вычисление 1 13 4 3 3" xfId="0"/>
    <cellStyle name="Вычисление 1 13 4 4" xfId="0"/>
    <cellStyle name="Вычисление 1 13 4 5" xfId="0"/>
    <cellStyle name="Вычисление 1 13 5" xfId="0"/>
    <cellStyle name="Вычисление 1 13 5 2" xfId="0"/>
    <cellStyle name="Вычисление 1 13 5 3" xfId="0"/>
    <cellStyle name="Вычисление 1 13 6" xfId="0"/>
    <cellStyle name="Вычисление 1 13 7" xfId="0"/>
    <cellStyle name="Вычисление 1 14" xfId="0"/>
    <cellStyle name="Вычисление 1 14 2" xfId="0"/>
    <cellStyle name="Вычисление 1 14 2 2" xfId="0"/>
    <cellStyle name="Вычисление 1 14 2 2 2" xfId="0"/>
    <cellStyle name="Вычисление 1 14 2 2 2 2" xfId="0"/>
    <cellStyle name="Вычисление 1 14 2 2 2 3" xfId="0"/>
    <cellStyle name="Вычисление 1 14 2 2 3" xfId="0"/>
    <cellStyle name="Вычисление 1 14 2 2 4" xfId="0"/>
    <cellStyle name="Вычисление 1 14 2 3" xfId="0"/>
    <cellStyle name="Вычисление 1 14 2 3 2" xfId="0"/>
    <cellStyle name="Вычисление 1 14 2 3 2 2" xfId="0"/>
    <cellStyle name="Вычисление 1 14 2 3 2 3" xfId="0"/>
    <cellStyle name="Вычисление 1 14 2 3 3" xfId="0"/>
    <cellStyle name="Вычисление 1 14 2 3 4" xfId="0"/>
    <cellStyle name="Вычисление 1 14 2 4" xfId="0"/>
    <cellStyle name="Вычисление 1 14 2 4 2" xfId="0"/>
    <cellStyle name="Вычисление 1 14 2 4 3" xfId="0"/>
    <cellStyle name="Вычисление 1 14 2 5" xfId="0"/>
    <cellStyle name="Вычисление 1 14 2 6" xfId="0"/>
    <cellStyle name="Вычисление 1 14 3" xfId="0"/>
    <cellStyle name="Вычисление 1 14 3 2" xfId="0"/>
    <cellStyle name="Вычисление 1 14 3 2 2" xfId="0"/>
    <cellStyle name="Вычисление 1 14 3 2 2 2" xfId="0"/>
    <cellStyle name="Вычисление 1 14 3 2 2 3" xfId="0"/>
    <cellStyle name="Вычисление 1 14 3 2 3" xfId="0"/>
    <cellStyle name="Вычисление 1 14 3 2 4" xfId="0"/>
    <cellStyle name="Вычисление 1 14 3 3" xfId="0"/>
    <cellStyle name="Вычисление 1 14 3 3 2" xfId="0"/>
    <cellStyle name="Вычисление 1 14 3 3 3" xfId="0"/>
    <cellStyle name="Вычисление 1 14 3 4" xfId="0"/>
    <cellStyle name="Вычисление 1 14 3 5" xfId="0"/>
    <cellStyle name="Вычисление 1 14 4" xfId="0"/>
    <cellStyle name="Вычисление 1 14 4 2" xfId="0"/>
    <cellStyle name="Вычисление 1 14 4 2 2" xfId="0"/>
    <cellStyle name="Вычисление 1 14 4 2 2 2" xfId="0"/>
    <cellStyle name="Вычисление 1 14 4 2 2 3" xfId="0"/>
    <cellStyle name="Вычисление 1 14 4 2 3" xfId="0"/>
    <cellStyle name="Вычисление 1 14 4 2 4" xfId="0"/>
    <cellStyle name="Вычисление 1 14 4 3" xfId="0"/>
    <cellStyle name="Вычисление 1 14 4 3 2" xfId="0"/>
    <cellStyle name="Вычисление 1 14 4 3 3" xfId="0"/>
    <cellStyle name="Вычисление 1 14 4 4" xfId="0"/>
    <cellStyle name="Вычисление 1 14 4 5" xfId="0"/>
    <cellStyle name="Вычисление 1 14 5" xfId="0"/>
    <cellStyle name="Вычисление 1 14 5 2" xfId="0"/>
    <cellStyle name="Вычисление 1 14 5 3" xfId="0"/>
    <cellStyle name="Вычисление 1 14 6" xfId="0"/>
    <cellStyle name="Вычисление 1 14 7" xfId="0"/>
    <cellStyle name="Вычисление 1 15" xfId="0"/>
    <cellStyle name="Вычисление 1 15 2" xfId="0"/>
    <cellStyle name="Вычисление 1 15 2 2" xfId="0"/>
    <cellStyle name="Вычисление 1 15 2 2 2" xfId="0"/>
    <cellStyle name="Вычисление 1 15 2 2 2 2" xfId="0"/>
    <cellStyle name="Вычисление 1 15 2 2 2 3" xfId="0"/>
    <cellStyle name="Вычисление 1 15 2 2 3" xfId="0"/>
    <cellStyle name="Вычисление 1 15 2 2 4" xfId="0"/>
    <cellStyle name="Вычисление 1 15 2 3" xfId="0"/>
    <cellStyle name="Вычисление 1 15 2 3 2" xfId="0"/>
    <cellStyle name="Вычисление 1 15 2 3 2 2" xfId="0"/>
    <cellStyle name="Вычисление 1 15 2 3 2 3" xfId="0"/>
    <cellStyle name="Вычисление 1 15 2 3 3" xfId="0"/>
    <cellStyle name="Вычисление 1 15 2 3 4" xfId="0"/>
    <cellStyle name="Вычисление 1 15 2 4" xfId="0"/>
    <cellStyle name="Вычисление 1 15 2 4 2" xfId="0"/>
    <cellStyle name="Вычисление 1 15 2 4 3" xfId="0"/>
    <cellStyle name="Вычисление 1 15 2 5" xfId="0"/>
    <cellStyle name="Вычисление 1 15 2 6" xfId="0"/>
    <cellStyle name="Вычисление 1 15 3" xfId="0"/>
    <cellStyle name="Вычисление 1 15 3 2" xfId="0"/>
    <cellStyle name="Вычисление 1 15 3 2 2" xfId="0"/>
    <cellStyle name="Вычисление 1 15 3 2 2 2" xfId="0"/>
    <cellStyle name="Вычисление 1 15 3 2 2 3" xfId="0"/>
    <cellStyle name="Вычисление 1 15 3 2 3" xfId="0"/>
    <cellStyle name="Вычисление 1 15 3 2 4" xfId="0"/>
    <cellStyle name="Вычисление 1 15 3 3" xfId="0"/>
    <cellStyle name="Вычисление 1 15 3 3 2" xfId="0"/>
    <cellStyle name="Вычисление 1 15 3 3 3" xfId="0"/>
    <cellStyle name="Вычисление 1 15 3 4" xfId="0"/>
    <cellStyle name="Вычисление 1 15 3 5" xfId="0"/>
    <cellStyle name="Вычисление 1 15 4" xfId="0"/>
    <cellStyle name="Вычисление 1 15 4 2" xfId="0"/>
    <cellStyle name="Вычисление 1 15 4 2 2" xfId="0"/>
    <cellStyle name="Вычисление 1 15 4 2 2 2" xfId="0"/>
    <cellStyle name="Вычисление 1 15 4 2 2 3" xfId="0"/>
    <cellStyle name="Вычисление 1 15 4 2 3" xfId="0"/>
    <cellStyle name="Вычисление 1 15 4 2 4" xfId="0"/>
    <cellStyle name="Вычисление 1 15 4 3" xfId="0"/>
    <cellStyle name="Вычисление 1 15 4 3 2" xfId="0"/>
    <cellStyle name="Вычисление 1 15 4 3 3" xfId="0"/>
    <cellStyle name="Вычисление 1 15 4 4" xfId="0"/>
    <cellStyle name="Вычисление 1 15 4 5" xfId="0"/>
    <cellStyle name="Вычисление 1 15 5" xfId="0"/>
    <cellStyle name="Вычисление 1 15 5 2" xfId="0"/>
    <cellStyle name="Вычисление 1 15 5 3" xfId="0"/>
    <cellStyle name="Вычисление 1 15 6" xfId="0"/>
    <cellStyle name="Вычисление 1 15 7" xfId="0"/>
    <cellStyle name="Вычисление 1 16" xfId="0"/>
    <cellStyle name="Вычисление 1 16 2" xfId="0"/>
    <cellStyle name="Вычисление 1 16 2 2" xfId="0"/>
    <cellStyle name="Вычисление 1 16 2 2 2" xfId="0"/>
    <cellStyle name="Вычисление 1 16 2 2 2 2" xfId="0"/>
    <cellStyle name="Вычисление 1 16 2 2 2 3" xfId="0"/>
    <cellStyle name="Вычисление 1 16 2 2 3" xfId="0"/>
    <cellStyle name="Вычисление 1 16 2 2 4" xfId="0"/>
    <cellStyle name="Вычисление 1 16 2 3" xfId="0"/>
    <cellStyle name="Вычисление 1 16 2 3 2" xfId="0"/>
    <cellStyle name="Вычисление 1 16 2 3 2 2" xfId="0"/>
    <cellStyle name="Вычисление 1 16 2 3 2 3" xfId="0"/>
    <cellStyle name="Вычисление 1 16 2 3 3" xfId="0"/>
    <cellStyle name="Вычисление 1 16 2 3 4" xfId="0"/>
    <cellStyle name="Вычисление 1 16 2 4" xfId="0"/>
    <cellStyle name="Вычисление 1 16 2 4 2" xfId="0"/>
    <cellStyle name="Вычисление 1 16 2 4 3" xfId="0"/>
    <cellStyle name="Вычисление 1 16 2 5" xfId="0"/>
    <cellStyle name="Вычисление 1 16 2 6" xfId="0"/>
    <cellStyle name="Вычисление 1 16 3" xfId="0"/>
    <cellStyle name="Вычисление 1 16 3 2" xfId="0"/>
    <cellStyle name="Вычисление 1 16 3 2 2" xfId="0"/>
    <cellStyle name="Вычисление 1 16 3 2 2 2" xfId="0"/>
    <cellStyle name="Вычисление 1 16 3 2 2 3" xfId="0"/>
    <cellStyle name="Вычисление 1 16 3 2 3" xfId="0"/>
    <cellStyle name="Вычисление 1 16 3 2 4" xfId="0"/>
    <cellStyle name="Вычисление 1 16 3 3" xfId="0"/>
    <cellStyle name="Вычисление 1 16 3 3 2" xfId="0"/>
    <cellStyle name="Вычисление 1 16 3 3 3" xfId="0"/>
    <cellStyle name="Вычисление 1 16 3 4" xfId="0"/>
    <cellStyle name="Вычисление 1 16 3 5" xfId="0"/>
    <cellStyle name="Вычисление 1 16 4" xfId="0"/>
    <cellStyle name="Вычисление 1 16 4 2" xfId="0"/>
    <cellStyle name="Вычисление 1 16 4 2 2" xfId="0"/>
    <cellStyle name="Вычисление 1 16 4 2 2 2" xfId="0"/>
    <cellStyle name="Вычисление 1 16 4 2 2 3" xfId="0"/>
    <cellStyle name="Вычисление 1 16 4 2 3" xfId="0"/>
    <cellStyle name="Вычисление 1 16 4 2 4" xfId="0"/>
    <cellStyle name="Вычисление 1 16 4 3" xfId="0"/>
    <cellStyle name="Вычисление 1 16 4 3 2" xfId="0"/>
    <cellStyle name="Вычисление 1 16 4 3 3" xfId="0"/>
    <cellStyle name="Вычисление 1 16 4 4" xfId="0"/>
    <cellStyle name="Вычисление 1 16 4 5" xfId="0"/>
    <cellStyle name="Вычисление 1 16 5" xfId="0"/>
    <cellStyle name="Вычисление 1 16 5 2" xfId="0"/>
    <cellStyle name="Вычисление 1 16 5 3" xfId="0"/>
    <cellStyle name="Вычисление 1 16 6" xfId="0"/>
    <cellStyle name="Вычисление 1 16 7" xfId="0"/>
    <cellStyle name="Вычисление 1 17" xfId="0"/>
    <cellStyle name="Вычисление 1 17 2" xfId="0"/>
    <cellStyle name="Вычисление 1 17 2 2" xfId="0"/>
    <cellStyle name="Вычисление 1 17 2 2 2" xfId="0"/>
    <cellStyle name="Вычисление 1 17 2 2 2 2" xfId="0"/>
    <cellStyle name="Вычисление 1 17 2 2 2 3" xfId="0"/>
    <cellStyle name="Вычисление 1 17 2 2 3" xfId="0"/>
    <cellStyle name="Вычисление 1 17 2 2 4" xfId="0"/>
    <cellStyle name="Вычисление 1 17 2 3" xfId="0"/>
    <cellStyle name="Вычисление 1 17 2 3 2" xfId="0"/>
    <cellStyle name="Вычисление 1 17 2 3 2 2" xfId="0"/>
    <cellStyle name="Вычисление 1 17 2 3 2 3" xfId="0"/>
    <cellStyle name="Вычисление 1 17 2 3 3" xfId="0"/>
    <cellStyle name="Вычисление 1 17 2 3 4" xfId="0"/>
    <cellStyle name="Вычисление 1 17 2 4" xfId="0"/>
    <cellStyle name="Вычисление 1 17 2 4 2" xfId="0"/>
    <cellStyle name="Вычисление 1 17 2 4 3" xfId="0"/>
    <cellStyle name="Вычисление 1 17 2 5" xfId="0"/>
    <cellStyle name="Вычисление 1 17 2 6" xfId="0"/>
    <cellStyle name="Вычисление 1 17 3" xfId="0"/>
    <cellStyle name="Вычисление 1 17 3 2" xfId="0"/>
    <cellStyle name="Вычисление 1 17 3 2 2" xfId="0"/>
    <cellStyle name="Вычисление 1 17 3 2 2 2" xfId="0"/>
    <cellStyle name="Вычисление 1 17 3 2 2 3" xfId="0"/>
    <cellStyle name="Вычисление 1 17 3 2 3" xfId="0"/>
    <cellStyle name="Вычисление 1 17 3 2 4" xfId="0"/>
    <cellStyle name="Вычисление 1 17 3 3" xfId="0"/>
    <cellStyle name="Вычисление 1 17 3 3 2" xfId="0"/>
    <cellStyle name="Вычисление 1 17 3 3 3" xfId="0"/>
    <cellStyle name="Вычисление 1 17 3 4" xfId="0"/>
    <cellStyle name="Вычисление 1 17 3 5" xfId="0"/>
    <cellStyle name="Вычисление 1 17 4" xfId="0"/>
    <cellStyle name="Вычисление 1 17 4 2" xfId="0"/>
    <cellStyle name="Вычисление 1 17 4 2 2" xfId="0"/>
    <cellStyle name="Вычисление 1 17 4 2 2 2" xfId="0"/>
    <cellStyle name="Вычисление 1 17 4 2 2 3" xfId="0"/>
    <cellStyle name="Вычисление 1 17 4 2 3" xfId="0"/>
    <cellStyle name="Вычисление 1 17 4 2 4" xfId="0"/>
    <cellStyle name="Вычисление 1 17 4 3" xfId="0"/>
    <cellStyle name="Вычисление 1 17 4 3 2" xfId="0"/>
    <cellStyle name="Вычисление 1 17 4 3 3" xfId="0"/>
    <cellStyle name="Вычисление 1 17 4 4" xfId="0"/>
    <cellStyle name="Вычисление 1 17 4 5" xfId="0"/>
    <cellStyle name="Вычисление 1 17 5" xfId="0"/>
    <cellStyle name="Вычисление 1 17 5 2" xfId="0"/>
    <cellStyle name="Вычисление 1 17 5 3" xfId="0"/>
    <cellStyle name="Вычисление 1 17 6" xfId="0"/>
    <cellStyle name="Вычисление 1 17 7" xfId="0"/>
    <cellStyle name="Вычисление 1 18" xfId="0"/>
    <cellStyle name="Вычисление 1 18 2" xfId="0"/>
    <cellStyle name="Вычисление 1 18 2 2" xfId="0"/>
    <cellStyle name="Вычисление 1 18 2 2 2" xfId="0"/>
    <cellStyle name="Вычисление 1 18 2 2 2 2" xfId="0"/>
    <cellStyle name="Вычисление 1 18 2 2 2 3" xfId="0"/>
    <cellStyle name="Вычисление 1 18 2 2 3" xfId="0"/>
    <cellStyle name="Вычисление 1 18 2 2 4" xfId="0"/>
    <cellStyle name="Вычисление 1 18 2 3" xfId="0"/>
    <cellStyle name="Вычисление 1 18 2 3 2" xfId="0"/>
    <cellStyle name="Вычисление 1 18 2 3 2 2" xfId="0"/>
    <cellStyle name="Вычисление 1 18 2 3 2 3" xfId="0"/>
    <cellStyle name="Вычисление 1 18 2 3 3" xfId="0"/>
    <cellStyle name="Вычисление 1 18 2 3 4" xfId="0"/>
    <cellStyle name="Вычисление 1 18 2 4" xfId="0"/>
    <cellStyle name="Вычисление 1 18 2 4 2" xfId="0"/>
    <cellStyle name="Вычисление 1 18 2 4 3" xfId="0"/>
    <cellStyle name="Вычисление 1 18 2 5" xfId="0"/>
    <cellStyle name="Вычисление 1 18 2 6" xfId="0"/>
    <cellStyle name="Вычисление 1 18 3" xfId="0"/>
    <cellStyle name="Вычисление 1 18 3 2" xfId="0"/>
    <cellStyle name="Вычисление 1 18 3 2 2" xfId="0"/>
    <cellStyle name="Вычисление 1 18 3 2 2 2" xfId="0"/>
    <cellStyle name="Вычисление 1 18 3 2 2 3" xfId="0"/>
    <cellStyle name="Вычисление 1 18 3 2 3" xfId="0"/>
    <cellStyle name="Вычисление 1 18 3 2 4" xfId="0"/>
    <cellStyle name="Вычисление 1 18 3 3" xfId="0"/>
    <cellStyle name="Вычисление 1 18 3 3 2" xfId="0"/>
    <cellStyle name="Вычисление 1 18 3 3 3" xfId="0"/>
    <cellStyle name="Вычисление 1 18 3 4" xfId="0"/>
    <cellStyle name="Вычисление 1 18 3 5" xfId="0"/>
    <cellStyle name="Вычисление 1 18 4" xfId="0"/>
    <cellStyle name="Вычисление 1 18 4 2" xfId="0"/>
    <cellStyle name="Вычисление 1 18 4 2 2" xfId="0"/>
    <cellStyle name="Вычисление 1 18 4 2 2 2" xfId="0"/>
    <cellStyle name="Вычисление 1 18 4 2 2 3" xfId="0"/>
    <cellStyle name="Вычисление 1 18 4 2 3" xfId="0"/>
    <cellStyle name="Вычисление 1 18 4 2 4" xfId="0"/>
    <cellStyle name="Вычисление 1 18 4 3" xfId="0"/>
    <cellStyle name="Вычисление 1 18 4 3 2" xfId="0"/>
    <cellStyle name="Вычисление 1 18 4 3 3" xfId="0"/>
    <cellStyle name="Вычисление 1 18 4 4" xfId="0"/>
    <cellStyle name="Вычисление 1 18 4 5" xfId="0"/>
    <cellStyle name="Вычисление 1 18 5" xfId="0"/>
    <cellStyle name="Вычисление 1 18 5 2" xfId="0"/>
    <cellStyle name="Вычисление 1 18 5 3" xfId="0"/>
    <cellStyle name="Вычисление 1 18 6" xfId="0"/>
    <cellStyle name="Вычисление 1 18 7" xfId="0"/>
    <cellStyle name="Вычисление 1 19" xfId="0"/>
    <cellStyle name="Вычисление 1 19 2" xfId="0"/>
    <cellStyle name="Вычисление 1 19 2 2" xfId="0"/>
    <cellStyle name="Вычисление 1 19 2 2 2" xfId="0"/>
    <cellStyle name="Вычисление 1 19 2 2 2 2" xfId="0"/>
    <cellStyle name="Вычисление 1 19 2 2 2 3" xfId="0"/>
    <cellStyle name="Вычисление 1 19 2 2 3" xfId="0"/>
    <cellStyle name="Вычисление 1 19 2 2 4" xfId="0"/>
    <cellStyle name="Вычисление 1 19 2 3" xfId="0"/>
    <cellStyle name="Вычисление 1 19 2 3 2" xfId="0"/>
    <cellStyle name="Вычисление 1 19 2 3 2 2" xfId="0"/>
    <cellStyle name="Вычисление 1 19 2 3 2 3" xfId="0"/>
    <cellStyle name="Вычисление 1 19 2 3 3" xfId="0"/>
    <cellStyle name="Вычисление 1 19 2 3 4" xfId="0"/>
    <cellStyle name="Вычисление 1 19 2 4" xfId="0"/>
    <cellStyle name="Вычисление 1 19 2 4 2" xfId="0"/>
    <cellStyle name="Вычисление 1 19 2 4 3" xfId="0"/>
    <cellStyle name="Вычисление 1 19 2 5" xfId="0"/>
    <cellStyle name="Вычисление 1 19 2 6" xfId="0"/>
    <cellStyle name="Вычисление 1 19 3" xfId="0"/>
    <cellStyle name="Вычисление 1 19 3 2" xfId="0"/>
    <cellStyle name="Вычисление 1 19 3 2 2" xfId="0"/>
    <cellStyle name="Вычисление 1 19 3 2 2 2" xfId="0"/>
    <cellStyle name="Вычисление 1 19 3 2 2 3" xfId="0"/>
    <cellStyle name="Вычисление 1 19 3 2 3" xfId="0"/>
    <cellStyle name="Вычисление 1 19 3 2 4" xfId="0"/>
    <cellStyle name="Вычисление 1 19 3 3" xfId="0"/>
    <cellStyle name="Вычисление 1 19 3 3 2" xfId="0"/>
    <cellStyle name="Вычисление 1 19 3 3 3" xfId="0"/>
    <cellStyle name="Вычисление 1 19 3 4" xfId="0"/>
    <cellStyle name="Вычисление 1 19 3 5" xfId="0"/>
    <cellStyle name="Вычисление 1 19 4" xfId="0"/>
    <cellStyle name="Вычисление 1 19 4 2" xfId="0"/>
    <cellStyle name="Вычисление 1 19 4 2 2" xfId="0"/>
    <cellStyle name="Вычисление 1 19 4 2 2 2" xfId="0"/>
    <cellStyle name="Вычисление 1 19 4 2 2 3" xfId="0"/>
    <cellStyle name="Вычисление 1 19 4 2 3" xfId="0"/>
    <cellStyle name="Вычисление 1 19 4 2 4" xfId="0"/>
    <cellStyle name="Вычисление 1 19 4 3" xfId="0"/>
    <cellStyle name="Вычисление 1 19 4 3 2" xfId="0"/>
    <cellStyle name="Вычисление 1 19 4 3 3" xfId="0"/>
    <cellStyle name="Вычисление 1 19 4 4" xfId="0"/>
    <cellStyle name="Вычисление 1 19 4 5" xfId="0"/>
    <cellStyle name="Вычисление 1 19 5" xfId="0"/>
    <cellStyle name="Вычисление 1 19 5 2" xfId="0"/>
    <cellStyle name="Вычисление 1 19 5 3" xfId="0"/>
    <cellStyle name="Вычисление 1 19 6" xfId="0"/>
    <cellStyle name="Вычисление 1 19 7" xfId="0"/>
    <cellStyle name="Вычисление 1 2" xfId="0"/>
    <cellStyle name="Вычисление 1 2 10" xfId="0"/>
    <cellStyle name="Вычисление 1 2 11" xfId="0"/>
    <cellStyle name="Вычисление 1 2 2" xfId="0"/>
    <cellStyle name="Вычисление 1 2 2 2" xfId="0"/>
    <cellStyle name="Вычисление 1 2 2 2 2" xfId="0"/>
    <cellStyle name="Вычисление 1 2 2 2 2 2" xfId="0"/>
    <cellStyle name="Вычисление 1 2 2 2 2 2 2" xfId="0"/>
    <cellStyle name="Вычисление 1 2 2 2 2 2 3" xfId="0"/>
    <cellStyle name="Вычисление 1 2 2 2 2 3" xfId="0"/>
    <cellStyle name="Вычисление 1 2 2 2 2 4" xfId="0"/>
    <cellStyle name="Вычисление 1 2 2 2 3" xfId="0"/>
    <cellStyle name="Вычисление 1 2 2 2 3 2" xfId="0"/>
    <cellStyle name="Вычисление 1 2 2 2 3 3" xfId="0"/>
    <cellStyle name="Вычисление 1 2 2 2 4" xfId="0"/>
    <cellStyle name="Вычисление 1 2 2 2 5" xfId="0"/>
    <cellStyle name="Вычисление 1 2 2 3" xfId="0"/>
    <cellStyle name="Вычисление 1 2 2 3 2" xfId="0"/>
    <cellStyle name="Вычисление 1 2 2 3 2 2" xfId="0"/>
    <cellStyle name="Вычисление 1 2 2 3 2 3" xfId="0"/>
    <cellStyle name="Вычисление 1 2 2 3 3" xfId="0"/>
    <cellStyle name="Вычисление 1 2 2 3 4" xfId="0"/>
    <cellStyle name="Вычисление 1 2 2 4" xfId="0"/>
    <cellStyle name="Вычисление 1 2 2 4 2" xfId="0"/>
    <cellStyle name="Вычисление 1 2 2 4 3" xfId="0"/>
    <cellStyle name="Вычисление 1 2 2 5" xfId="0"/>
    <cellStyle name="Вычисление 1 2 2 6" xfId="0"/>
    <cellStyle name="Вычисление 1 2 3" xfId="0"/>
    <cellStyle name="Вычисление 1 2 3 2" xfId="0"/>
    <cellStyle name="Вычисление 1 2 3 2 2" xfId="0"/>
    <cellStyle name="Вычисление 1 2 3 2 2 2" xfId="0"/>
    <cellStyle name="Вычисление 1 2 3 2 2 2 2" xfId="0"/>
    <cellStyle name="Вычисление 1 2 3 2 2 2 3" xfId="0"/>
    <cellStyle name="Вычисление 1 2 3 2 2 3" xfId="0"/>
    <cellStyle name="Вычисление 1 2 3 2 2 4" xfId="0"/>
    <cellStyle name="Вычисление 1 2 3 2 3" xfId="0"/>
    <cellStyle name="Вычисление 1 2 3 2 3 2" xfId="0"/>
    <cellStyle name="Вычисление 1 2 3 2 3 3" xfId="0"/>
    <cellStyle name="Вычисление 1 2 3 2 4" xfId="0"/>
    <cellStyle name="Вычисление 1 2 3 2 5" xfId="0"/>
    <cellStyle name="Вычисление 1 2 3 3" xfId="0"/>
    <cellStyle name="Вычисление 1 2 3 3 2" xfId="0"/>
    <cellStyle name="Вычисление 1 2 3 3 2 2" xfId="0"/>
    <cellStyle name="Вычисление 1 2 3 3 2 3" xfId="0"/>
    <cellStyle name="Вычисление 1 2 3 3 3" xfId="0"/>
    <cellStyle name="Вычисление 1 2 3 3 4" xfId="0"/>
    <cellStyle name="Вычисление 1 2 3 4" xfId="0"/>
    <cellStyle name="Вычисление 1 2 3 4 2" xfId="0"/>
    <cellStyle name="Вычисление 1 2 3 4 3" xfId="0"/>
    <cellStyle name="Вычисление 1 2 3 5" xfId="0"/>
    <cellStyle name="Вычисление 1 2 3 6" xfId="0"/>
    <cellStyle name="Вычисление 1 2 4" xfId="0"/>
    <cellStyle name="Вычисление 1 2 4 2" xfId="0"/>
    <cellStyle name="Вычисление 1 2 4 2 2" xfId="0"/>
    <cellStyle name="Вычисление 1 2 4 2 2 2" xfId="0"/>
    <cellStyle name="Вычисление 1 2 4 2 2 2 2" xfId="0"/>
    <cellStyle name="Вычисление 1 2 4 2 2 2 3" xfId="0"/>
    <cellStyle name="Вычисление 1 2 4 2 2 3" xfId="0"/>
    <cellStyle name="Вычисление 1 2 4 2 2 4" xfId="0"/>
    <cellStyle name="Вычисление 1 2 4 2 3" xfId="0"/>
    <cellStyle name="Вычисление 1 2 4 2 3 2" xfId="0"/>
    <cellStyle name="Вычисление 1 2 4 2 3 3" xfId="0"/>
    <cellStyle name="Вычисление 1 2 4 2 4" xfId="0"/>
    <cellStyle name="Вычисление 1 2 4 2 5" xfId="0"/>
    <cellStyle name="Вычисление 1 2 4 3" xfId="0"/>
    <cellStyle name="Вычисление 1 2 4 3 2" xfId="0"/>
    <cellStyle name="Вычисление 1 2 4 3 2 2" xfId="0"/>
    <cellStyle name="Вычисление 1 2 4 3 2 3" xfId="0"/>
    <cellStyle name="Вычисление 1 2 4 3 3" xfId="0"/>
    <cellStyle name="Вычисление 1 2 4 3 4" xfId="0"/>
    <cellStyle name="Вычисление 1 2 4 4" xfId="0"/>
    <cellStyle name="Вычисление 1 2 4 4 2" xfId="0"/>
    <cellStyle name="Вычисление 1 2 4 4 3" xfId="0"/>
    <cellStyle name="Вычисление 1 2 4 5" xfId="0"/>
    <cellStyle name="Вычисление 1 2 4 6" xfId="0"/>
    <cellStyle name="Вычисление 1 2 5" xfId="0"/>
    <cellStyle name="Вычисление 1 2 5 2" xfId="0"/>
    <cellStyle name="Вычисление 1 2 5 2 2" xfId="0"/>
    <cellStyle name="Вычисление 1 2 5 2 2 2" xfId="0"/>
    <cellStyle name="Вычисление 1 2 5 2 2 2 2" xfId="0"/>
    <cellStyle name="Вычисление 1 2 5 2 2 2 3" xfId="0"/>
    <cellStyle name="Вычисление 1 2 5 2 2 3" xfId="0"/>
    <cellStyle name="Вычисление 1 2 5 2 2 4" xfId="0"/>
    <cellStyle name="Вычисление 1 2 5 2 3" xfId="0"/>
    <cellStyle name="Вычисление 1 2 5 2 3 2" xfId="0"/>
    <cellStyle name="Вычисление 1 2 5 2 3 3" xfId="0"/>
    <cellStyle name="Вычисление 1 2 5 2 4" xfId="0"/>
    <cellStyle name="Вычисление 1 2 5 2 5" xfId="0"/>
    <cellStyle name="Вычисление 1 2 5 3" xfId="0"/>
    <cellStyle name="Вычисление 1 2 5 3 2" xfId="0"/>
    <cellStyle name="Вычисление 1 2 5 3 2 2" xfId="0"/>
    <cellStyle name="Вычисление 1 2 5 3 2 3" xfId="0"/>
    <cellStyle name="Вычисление 1 2 5 3 3" xfId="0"/>
    <cellStyle name="Вычисление 1 2 5 3 4" xfId="0"/>
    <cellStyle name="Вычисление 1 2 5 4" xfId="0"/>
    <cellStyle name="Вычисление 1 2 5 4 2" xfId="0"/>
    <cellStyle name="Вычисление 1 2 5 4 3" xfId="0"/>
    <cellStyle name="Вычисление 1 2 5 5" xfId="0"/>
    <cellStyle name="Вычисление 1 2 5 6" xfId="0"/>
    <cellStyle name="Вычисление 1 2 6" xfId="0"/>
    <cellStyle name="Вычисление 1 2 6 2" xfId="0"/>
    <cellStyle name="Вычисление 1 2 6 2 2" xfId="0"/>
    <cellStyle name="Вычисление 1 2 6 2 2 2" xfId="0"/>
    <cellStyle name="Вычисление 1 2 6 2 2 3" xfId="0"/>
    <cellStyle name="Вычисление 1 2 6 2 3" xfId="0"/>
    <cellStyle name="Вычисление 1 2 6 2 4" xfId="0"/>
    <cellStyle name="Вычисление 1 2 6 3" xfId="0"/>
    <cellStyle name="Вычисление 1 2 6 3 2" xfId="0"/>
    <cellStyle name="Вычисление 1 2 6 3 3" xfId="0"/>
    <cellStyle name="Вычисление 1 2 6 4" xfId="0"/>
    <cellStyle name="Вычисление 1 2 6 5" xfId="0"/>
    <cellStyle name="Вычисление 1 2 7" xfId="0"/>
    <cellStyle name="Вычисление 1 2 7 2" xfId="0"/>
    <cellStyle name="Вычисление 1 2 7 2 2" xfId="0"/>
    <cellStyle name="Вычисление 1 2 7 2 2 2" xfId="0"/>
    <cellStyle name="Вычисление 1 2 7 2 2 3" xfId="0"/>
    <cellStyle name="Вычисление 1 2 7 2 3" xfId="0"/>
    <cellStyle name="Вычисление 1 2 7 2 4" xfId="0"/>
    <cellStyle name="Вычисление 1 2 7 3" xfId="0"/>
    <cellStyle name="Вычисление 1 2 7 3 2" xfId="0"/>
    <cellStyle name="Вычисление 1 2 7 3 3" xfId="0"/>
    <cellStyle name="Вычисление 1 2 7 4" xfId="0"/>
    <cellStyle name="Вычисление 1 2 7 5" xfId="0"/>
    <cellStyle name="Вычисление 1 2 8" xfId="0"/>
    <cellStyle name="Вычисление 1 2 8 2" xfId="0"/>
    <cellStyle name="Вычисление 1 2 8 3" xfId="0"/>
    <cellStyle name="Вычисление 1 2 9" xfId="0"/>
    <cellStyle name="Вычисление 1 2 9 2" xfId="0"/>
    <cellStyle name="Вычисление 1 2 9 3" xfId="0"/>
    <cellStyle name="Вычисление 1 20" xfId="0"/>
    <cellStyle name="Вычисление 1 20 2" xfId="0"/>
    <cellStyle name="Вычисление 1 20 2 2" xfId="0"/>
    <cellStyle name="Вычисление 1 20 2 2 2" xfId="0"/>
    <cellStyle name="Вычисление 1 20 2 2 2 2" xfId="0"/>
    <cellStyle name="Вычисление 1 20 2 2 2 3" xfId="0"/>
    <cellStyle name="Вычисление 1 20 2 2 3" xfId="0"/>
    <cellStyle name="Вычисление 1 20 2 2 4" xfId="0"/>
    <cellStyle name="Вычисление 1 20 2 3" xfId="0"/>
    <cellStyle name="Вычисление 1 20 2 3 2" xfId="0"/>
    <cellStyle name="Вычисление 1 20 2 3 3" xfId="0"/>
    <cellStyle name="Вычисление 1 20 2 4" xfId="0"/>
    <cellStyle name="Вычисление 1 20 2 5" xfId="0"/>
    <cellStyle name="Вычисление 1 20 3" xfId="0"/>
    <cellStyle name="Вычисление 1 20 3 2" xfId="0"/>
    <cellStyle name="Вычисление 1 20 3 2 2" xfId="0"/>
    <cellStyle name="Вычисление 1 20 3 2 3" xfId="0"/>
    <cellStyle name="Вычисление 1 20 3 3" xfId="0"/>
    <cellStyle name="Вычисление 1 20 3 4" xfId="0"/>
    <cellStyle name="Вычисление 1 20 4" xfId="0"/>
    <cellStyle name="Вычисление 1 20 4 2" xfId="0"/>
    <cellStyle name="Вычисление 1 20 4 3" xfId="0"/>
    <cellStyle name="Вычисление 1 20 5" xfId="0"/>
    <cellStyle name="Вычисление 1 20 6" xfId="0"/>
    <cellStyle name="Вычисление 1 21" xfId="0"/>
    <cellStyle name="Вычисление 1 21 2" xfId="0"/>
    <cellStyle name="Вычисление 1 21 2 2" xfId="0"/>
    <cellStyle name="Вычисление 1 21 2 2 2" xfId="0"/>
    <cellStyle name="Вычисление 1 21 2 2 3" xfId="0"/>
    <cellStyle name="Вычисление 1 21 2 3" xfId="0"/>
    <cellStyle name="Вычисление 1 21 2 4" xfId="0"/>
    <cellStyle name="Вычисление 1 21 3" xfId="0"/>
    <cellStyle name="Вычисление 1 21 3 2" xfId="0"/>
    <cellStyle name="Вычисление 1 21 3 2 2" xfId="0"/>
    <cellStyle name="Вычисление 1 21 3 2 3" xfId="0"/>
    <cellStyle name="Вычисление 1 21 3 3" xfId="0"/>
    <cellStyle name="Вычисление 1 21 3 4" xfId="0"/>
    <cellStyle name="Вычисление 1 21 4" xfId="0"/>
    <cellStyle name="Вычисление 1 21 4 2" xfId="0"/>
    <cellStyle name="Вычисление 1 21 4 3" xfId="0"/>
    <cellStyle name="Вычисление 1 21 5" xfId="0"/>
    <cellStyle name="Вычисление 1 21 6" xfId="0"/>
    <cellStyle name="Вычисление 1 22" xfId="0"/>
    <cellStyle name="Вычисление 1 22 2" xfId="0"/>
    <cellStyle name="Вычисление 1 22 2 2" xfId="0"/>
    <cellStyle name="Вычисление 1 22 2 2 2" xfId="0"/>
    <cellStyle name="Вычисление 1 22 2 2 3" xfId="0"/>
    <cellStyle name="Вычисление 1 22 2 3" xfId="0"/>
    <cellStyle name="Вычисление 1 22 2 4" xfId="0"/>
    <cellStyle name="Вычисление 1 22 3" xfId="0"/>
    <cellStyle name="Вычисление 1 22 3 2" xfId="0"/>
    <cellStyle name="Вычисление 1 22 3 2 2" xfId="0"/>
    <cellStyle name="Вычисление 1 22 3 2 3" xfId="0"/>
    <cellStyle name="Вычисление 1 22 3 3" xfId="0"/>
    <cellStyle name="Вычисление 1 22 3 4" xfId="0"/>
    <cellStyle name="Вычисление 1 22 4" xfId="0"/>
    <cellStyle name="Вычисление 1 22 4 2" xfId="0"/>
    <cellStyle name="Вычисление 1 22 4 3" xfId="0"/>
    <cellStyle name="Вычисление 1 22 5" xfId="0"/>
    <cellStyle name="Вычисление 1 22 6" xfId="0"/>
    <cellStyle name="Вычисление 1 23" xfId="0"/>
    <cellStyle name="Вычисление 1 23 2" xfId="0"/>
    <cellStyle name="Вычисление 1 23 2 2" xfId="0"/>
    <cellStyle name="Вычисление 1 23 2 2 2" xfId="0"/>
    <cellStyle name="Вычисление 1 23 2 2 3" xfId="0"/>
    <cellStyle name="Вычисление 1 23 2 3" xfId="0"/>
    <cellStyle name="Вычисление 1 23 2 4" xfId="0"/>
    <cellStyle name="Вычисление 1 23 3" xfId="0"/>
    <cellStyle name="Вычисление 1 23 3 2" xfId="0"/>
    <cellStyle name="Вычисление 1 23 3 2 2" xfId="0"/>
    <cellStyle name="Вычисление 1 23 3 2 3" xfId="0"/>
    <cellStyle name="Вычисление 1 23 3 3" xfId="0"/>
    <cellStyle name="Вычисление 1 23 3 4" xfId="0"/>
    <cellStyle name="Вычисление 1 23 4" xfId="0"/>
    <cellStyle name="Вычисление 1 23 4 2" xfId="0"/>
    <cellStyle name="Вычисление 1 23 4 3" xfId="0"/>
    <cellStyle name="Вычисление 1 23 5" xfId="0"/>
    <cellStyle name="Вычисление 1 23 6" xfId="0"/>
    <cellStyle name="Вычисление 1 24" xfId="0"/>
    <cellStyle name="Вычисление 1 24 2" xfId="0"/>
    <cellStyle name="Вычисление 1 24 2 2" xfId="0"/>
    <cellStyle name="Вычисление 1 24 2 2 2" xfId="0"/>
    <cellStyle name="Вычисление 1 24 2 2 3" xfId="0"/>
    <cellStyle name="Вычисление 1 24 2 3" xfId="0"/>
    <cellStyle name="Вычисление 1 24 2 4" xfId="0"/>
    <cellStyle name="Вычисление 1 24 3" xfId="0"/>
    <cellStyle name="Вычисление 1 24 3 2" xfId="0"/>
    <cellStyle name="Вычисление 1 24 3 2 2" xfId="0"/>
    <cellStyle name="Вычисление 1 24 3 2 3" xfId="0"/>
    <cellStyle name="Вычисление 1 24 3 3" xfId="0"/>
    <cellStyle name="Вычисление 1 24 3 4" xfId="0"/>
    <cellStyle name="Вычисление 1 24 4" xfId="0"/>
    <cellStyle name="Вычисление 1 24 4 2" xfId="0"/>
    <cellStyle name="Вычисление 1 24 4 3" xfId="0"/>
    <cellStyle name="Вычисление 1 24 5" xfId="0"/>
    <cellStyle name="Вычисление 1 24 6" xfId="0"/>
    <cellStyle name="Вычисление 1 25" xfId="0"/>
    <cellStyle name="Вычисление 1 25 2" xfId="0"/>
    <cellStyle name="Вычисление 1 25 2 2" xfId="0"/>
    <cellStyle name="Вычисление 1 25 2 2 2" xfId="0"/>
    <cellStyle name="Вычисление 1 25 2 2 3" xfId="0"/>
    <cellStyle name="Вычисление 1 25 2 3" xfId="0"/>
    <cellStyle name="Вычисление 1 25 2 4" xfId="0"/>
    <cellStyle name="Вычисление 1 25 3" xfId="0"/>
    <cellStyle name="Вычисление 1 25 3 2" xfId="0"/>
    <cellStyle name="Вычисление 1 25 3 3" xfId="0"/>
    <cellStyle name="Вычисление 1 25 4" xfId="0"/>
    <cellStyle name="Вычисление 1 25 5" xfId="0"/>
    <cellStyle name="Вычисление 1 26" xfId="0"/>
    <cellStyle name="Вычисление 1 26 2" xfId="0"/>
    <cellStyle name="Вычисление 1 26 2 2" xfId="0"/>
    <cellStyle name="Вычисление 1 26 2 2 2" xfId="0"/>
    <cellStyle name="Вычисление 1 26 2 2 3" xfId="0"/>
    <cellStyle name="Вычисление 1 26 2 3" xfId="0"/>
    <cellStyle name="Вычисление 1 26 2 4" xfId="0"/>
    <cellStyle name="Вычисление 1 26 3" xfId="0"/>
    <cellStyle name="Вычисление 1 26 3 2" xfId="0"/>
    <cellStyle name="Вычисление 1 26 3 3" xfId="0"/>
    <cellStyle name="Вычисление 1 26 4" xfId="0"/>
    <cellStyle name="Вычисление 1 26 5" xfId="0"/>
    <cellStyle name="Вычисление 1 27" xfId="0"/>
    <cellStyle name="Вычисление 1 27 2" xfId="0"/>
    <cellStyle name="Вычисление 1 27 2 2" xfId="0"/>
    <cellStyle name="Вычисление 1 27 2 3" xfId="0"/>
    <cellStyle name="Вычисление 1 27 3" xfId="0"/>
    <cellStyle name="Вычисление 1 27 4" xfId="0"/>
    <cellStyle name="Вычисление 1 28" xfId="0"/>
    <cellStyle name="Вычисление 1 28 2" xfId="0"/>
    <cellStyle name="Вычисление 1 28 3" xfId="0"/>
    <cellStyle name="Вычисление 1 29" xfId="0"/>
    <cellStyle name="Вычисление 1 29 2" xfId="0"/>
    <cellStyle name="Вычисление 1 29 3" xfId="0"/>
    <cellStyle name="Вычисление 1 3" xfId="0"/>
    <cellStyle name="Вычисление 1 3 10" xfId="0"/>
    <cellStyle name="Вычисление 1 3 2" xfId="0"/>
    <cellStyle name="Вычисление 1 3 2 2" xfId="0"/>
    <cellStyle name="Вычисление 1 3 2 2 2" xfId="0"/>
    <cellStyle name="Вычисление 1 3 2 2 2 2" xfId="0"/>
    <cellStyle name="Вычисление 1 3 2 2 2 3" xfId="0"/>
    <cellStyle name="Вычисление 1 3 2 2 3" xfId="0"/>
    <cellStyle name="Вычисление 1 3 2 2 4" xfId="0"/>
    <cellStyle name="Вычисление 1 3 2 3" xfId="0"/>
    <cellStyle name="Вычисление 1 3 2 3 2" xfId="0"/>
    <cellStyle name="Вычисление 1 3 2 3 2 2" xfId="0"/>
    <cellStyle name="Вычисление 1 3 2 3 2 3" xfId="0"/>
    <cellStyle name="Вычисление 1 3 2 3 3" xfId="0"/>
    <cellStyle name="Вычисление 1 3 2 3 4" xfId="0"/>
    <cellStyle name="Вычисление 1 3 2 4" xfId="0"/>
    <cellStyle name="Вычисление 1 3 2 4 2" xfId="0"/>
    <cellStyle name="Вычисление 1 3 2 4 3" xfId="0"/>
    <cellStyle name="Вычисление 1 3 2 5" xfId="0"/>
    <cellStyle name="Вычисление 1 3 2 6" xfId="0"/>
    <cellStyle name="Вычисление 1 3 3" xfId="0"/>
    <cellStyle name="Вычисление 1 3 3 2" xfId="0"/>
    <cellStyle name="Вычисление 1 3 3 2 2" xfId="0"/>
    <cellStyle name="Вычисление 1 3 3 2 2 2" xfId="0"/>
    <cellStyle name="Вычисление 1 3 3 2 2 3" xfId="0"/>
    <cellStyle name="Вычисление 1 3 3 2 3" xfId="0"/>
    <cellStyle name="Вычисление 1 3 3 2 4" xfId="0"/>
    <cellStyle name="Вычисление 1 3 3 3" xfId="0"/>
    <cellStyle name="Вычисление 1 3 3 3 2" xfId="0"/>
    <cellStyle name="Вычисление 1 3 3 3 2 2" xfId="0"/>
    <cellStyle name="Вычисление 1 3 3 3 2 3" xfId="0"/>
    <cellStyle name="Вычисление 1 3 3 3 3" xfId="0"/>
    <cellStyle name="Вычисление 1 3 3 3 4" xfId="0"/>
    <cellStyle name="Вычисление 1 3 3 4" xfId="0"/>
    <cellStyle name="Вычисление 1 3 3 4 2" xfId="0"/>
    <cellStyle name="Вычисление 1 3 3 4 3" xfId="0"/>
    <cellStyle name="Вычисление 1 3 3 5" xfId="0"/>
    <cellStyle name="Вычисление 1 3 3 6" xfId="0"/>
    <cellStyle name="Вычисление 1 3 4" xfId="0"/>
    <cellStyle name="Вычисление 1 3 4 2" xfId="0"/>
    <cellStyle name="Вычисление 1 3 4 2 2" xfId="0"/>
    <cellStyle name="Вычисление 1 3 4 2 2 2" xfId="0"/>
    <cellStyle name="Вычисление 1 3 4 2 2 3" xfId="0"/>
    <cellStyle name="Вычисление 1 3 4 2 3" xfId="0"/>
    <cellStyle name="Вычисление 1 3 4 2 4" xfId="0"/>
    <cellStyle name="Вычисление 1 3 4 3" xfId="0"/>
    <cellStyle name="Вычисление 1 3 4 3 2" xfId="0"/>
    <cellStyle name="Вычисление 1 3 4 3 2 2" xfId="0"/>
    <cellStyle name="Вычисление 1 3 4 3 2 3" xfId="0"/>
    <cellStyle name="Вычисление 1 3 4 3 3" xfId="0"/>
    <cellStyle name="Вычисление 1 3 4 3 4" xfId="0"/>
    <cellStyle name="Вычисление 1 3 4 4" xfId="0"/>
    <cellStyle name="Вычисление 1 3 4 4 2" xfId="0"/>
    <cellStyle name="Вычисление 1 3 4 4 3" xfId="0"/>
    <cellStyle name="Вычисление 1 3 4 5" xfId="0"/>
    <cellStyle name="Вычисление 1 3 4 6" xfId="0"/>
    <cellStyle name="Вычисление 1 3 5" xfId="0"/>
    <cellStyle name="Вычисление 1 3 5 2" xfId="0"/>
    <cellStyle name="Вычисление 1 3 5 2 2" xfId="0"/>
    <cellStyle name="Вычисление 1 3 5 2 2 2" xfId="0"/>
    <cellStyle name="Вычисление 1 3 5 2 2 3" xfId="0"/>
    <cellStyle name="Вычисление 1 3 5 2 3" xfId="0"/>
    <cellStyle name="Вычисление 1 3 5 2 4" xfId="0"/>
    <cellStyle name="Вычисление 1 3 5 3" xfId="0"/>
    <cellStyle name="Вычисление 1 3 5 3 2" xfId="0"/>
    <cellStyle name="Вычисление 1 3 5 3 2 2" xfId="0"/>
    <cellStyle name="Вычисление 1 3 5 3 2 3" xfId="0"/>
    <cellStyle name="Вычисление 1 3 5 3 3" xfId="0"/>
    <cellStyle name="Вычисление 1 3 5 3 4" xfId="0"/>
    <cellStyle name="Вычисление 1 3 5 4" xfId="0"/>
    <cellStyle name="Вычисление 1 3 5 4 2" xfId="0"/>
    <cellStyle name="Вычисление 1 3 5 4 3" xfId="0"/>
    <cellStyle name="Вычисление 1 3 5 5" xfId="0"/>
    <cellStyle name="Вычисление 1 3 5 6" xfId="0"/>
    <cellStyle name="Вычисление 1 3 6" xfId="0"/>
    <cellStyle name="Вычисление 1 3 6 2" xfId="0"/>
    <cellStyle name="Вычисление 1 3 6 2 2" xfId="0"/>
    <cellStyle name="Вычисление 1 3 6 2 2 2" xfId="0"/>
    <cellStyle name="Вычисление 1 3 6 2 2 3" xfId="0"/>
    <cellStyle name="Вычисление 1 3 6 2 3" xfId="0"/>
    <cellStyle name="Вычисление 1 3 6 2 4" xfId="0"/>
    <cellStyle name="Вычисление 1 3 6 3" xfId="0"/>
    <cellStyle name="Вычисление 1 3 6 3 2" xfId="0"/>
    <cellStyle name="Вычисление 1 3 6 3 3" xfId="0"/>
    <cellStyle name="Вычисление 1 3 6 4" xfId="0"/>
    <cellStyle name="Вычисление 1 3 6 5" xfId="0"/>
    <cellStyle name="Вычисление 1 3 7" xfId="0"/>
    <cellStyle name="Вычисление 1 3 7 2" xfId="0"/>
    <cellStyle name="Вычисление 1 3 7 2 2" xfId="0"/>
    <cellStyle name="Вычисление 1 3 7 2 2 2" xfId="0"/>
    <cellStyle name="Вычисление 1 3 7 2 2 3" xfId="0"/>
    <cellStyle name="Вычисление 1 3 7 2 3" xfId="0"/>
    <cellStyle name="Вычисление 1 3 7 2 4" xfId="0"/>
    <cellStyle name="Вычисление 1 3 7 3" xfId="0"/>
    <cellStyle name="Вычисление 1 3 7 3 2" xfId="0"/>
    <cellStyle name="Вычисление 1 3 7 3 3" xfId="0"/>
    <cellStyle name="Вычисление 1 3 7 4" xfId="0"/>
    <cellStyle name="Вычисление 1 3 7 5" xfId="0"/>
    <cellStyle name="Вычисление 1 3 8" xfId="0"/>
    <cellStyle name="Вычисление 1 3 8 2" xfId="0"/>
    <cellStyle name="Вычисление 1 3 8 3" xfId="0"/>
    <cellStyle name="Вычисление 1 3 9" xfId="0"/>
    <cellStyle name="Вычисление 1 30" xfId="0"/>
    <cellStyle name="Вычисление 1 30 2" xfId="0"/>
    <cellStyle name="Вычисление 1 30 3" xfId="0"/>
    <cellStyle name="Вычисление 1 31" xfId="0"/>
    <cellStyle name="Вычисление 1 31 2" xfId="0"/>
    <cellStyle name="Вычисление 1 31 3" xfId="0"/>
    <cellStyle name="Вычисление 1 32" xfId="0"/>
    <cellStyle name="Вычисление 1 4" xfId="0"/>
    <cellStyle name="Вычисление 1 4 10" xfId="0"/>
    <cellStyle name="Вычисление 1 4 2" xfId="0"/>
    <cellStyle name="Вычисление 1 4 2 2" xfId="0"/>
    <cellStyle name="Вычисление 1 4 2 2 2" xfId="0"/>
    <cellStyle name="Вычисление 1 4 2 2 2 2" xfId="0"/>
    <cellStyle name="Вычисление 1 4 2 2 2 3" xfId="0"/>
    <cellStyle name="Вычисление 1 4 2 2 3" xfId="0"/>
    <cellStyle name="Вычисление 1 4 2 2 4" xfId="0"/>
    <cellStyle name="Вычисление 1 4 2 3" xfId="0"/>
    <cellStyle name="Вычисление 1 4 2 3 2" xfId="0"/>
    <cellStyle name="Вычисление 1 4 2 3 2 2" xfId="0"/>
    <cellStyle name="Вычисление 1 4 2 3 2 3" xfId="0"/>
    <cellStyle name="Вычисление 1 4 2 3 3" xfId="0"/>
    <cellStyle name="Вычисление 1 4 2 3 4" xfId="0"/>
    <cellStyle name="Вычисление 1 4 2 4" xfId="0"/>
    <cellStyle name="Вычисление 1 4 2 4 2" xfId="0"/>
    <cellStyle name="Вычисление 1 4 2 4 3" xfId="0"/>
    <cellStyle name="Вычисление 1 4 2 5" xfId="0"/>
    <cellStyle name="Вычисление 1 4 2 6" xfId="0"/>
    <cellStyle name="Вычисление 1 4 3" xfId="0"/>
    <cellStyle name="Вычисление 1 4 3 2" xfId="0"/>
    <cellStyle name="Вычисление 1 4 3 2 2" xfId="0"/>
    <cellStyle name="Вычисление 1 4 3 2 2 2" xfId="0"/>
    <cellStyle name="Вычисление 1 4 3 2 2 3" xfId="0"/>
    <cellStyle name="Вычисление 1 4 3 2 3" xfId="0"/>
    <cellStyle name="Вычисление 1 4 3 2 4" xfId="0"/>
    <cellStyle name="Вычисление 1 4 3 3" xfId="0"/>
    <cellStyle name="Вычисление 1 4 3 3 2" xfId="0"/>
    <cellStyle name="Вычисление 1 4 3 3 2 2" xfId="0"/>
    <cellStyle name="Вычисление 1 4 3 3 2 3" xfId="0"/>
    <cellStyle name="Вычисление 1 4 3 3 3" xfId="0"/>
    <cellStyle name="Вычисление 1 4 3 3 4" xfId="0"/>
    <cellStyle name="Вычисление 1 4 3 4" xfId="0"/>
    <cellStyle name="Вычисление 1 4 3 4 2" xfId="0"/>
    <cellStyle name="Вычисление 1 4 3 4 3" xfId="0"/>
    <cellStyle name="Вычисление 1 4 3 5" xfId="0"/>
    <cellStyle name="Вычисление 1 4 3 6" xfId="0"/>
    <cellStyle name="Вычисление 1 4 4" xfId="0"/>
    <cellStyle name="Вычисление 1 4 4 2" xfId="0"/>
    <cellStyle name="Вычисление 1 4 4 2 2" xfId="0"/>
    <cellStyle name="Вычисление 1 4 4 2 2 2" xfId="0"/>
    <cellStyle name="Вычисление 1 4 4 2 2 3" xfId="0"/>
    <cellStyle name="Вычисление 1 4 4 2 3" xfId="0"/>
    <cellStyle name="Вычисление 1 4 4 2 4" xfId="0"/>
    <cellStyle name="Вычисление 1 4 4 3" xfId="0"/>
    <cellStyle name="Вычисление 1 4 4 3 2" xfId="0"/>
    <cellStyle name="Вычисление 1 4 4 3 2 2" xfId="0"/>
    <cellStyle name="Вычисление 1 4 4 3 2 3" xfId="0"/>
    <cellStyle name="Вычисление 1 4 4 3 3" xfId="0"/>
    <cellStyle name="Вычисление 1 4 4 3 4" xfId="0"/>
    <cellStyle name="Вычисление 1 4 4 4" xfId="0"/>
    <cellStyle name="Вычисление 1 4 4 4 2" xfId="0"/>
    <cellStyle name="Вычисление 1 4 4 4 3" xfId="0"/>
    <cellStyle name="Вычисление 1 4 4 5" xfId="0"/>
    <cellStyle name="Вычисление 1 4 4 6" xfId="0"/>
    <cellStyle name="Вычисление 1 4 5" xfId="0"/>
    <cellStyle name="Вычисление 1 4 5 2" xfId="0"/>
    <cellStyle name="Вычисление 1 4 5 2 2" xfId="0"/>
    <cellStyle name="Вычисление 1 4 5 2 2 2" xfId="0"/>
    <cellStyle name="Вычисление 1 4 5 2 2 3" xfId="0"/>
    <cellStyle name="Вычисление 1 4 5 2 3" xfId="0"/>
    <cellStyle name="Вычисление 1 4 5 2 4" xfId="0"/>
    <cellStyle name="Вычисление 1 4 5 3" xfId="0"/>
    <cellStyle name="Вычисление 1 4 5 3 2" xfId="0"/>
    <cellStyle name="Вычисление 1 4 5 3 2 2" xfId="0"/>
    <cellStyle name="Вычисление 1 4 5 3 2 3" xfId="0"/>
    <cellStyle name="Вычисление 1 4 5 3 3" xfId="0"/>
    <cellStyle name="Вычисление 1 4 5 3 4" xfId="0"/>
    <cellStyle name="Вычисление 1 4 5 4" xfId="0"/>
    <cellStyle name="Вычисление 1 4 5 4 2" xfId="0"/>
    <cellStyle name="Вычисление 1 4 5 4 3" xfId="0"/>
    <cellStyle name="Вычисление 1 4 5 5" xfId="0"/>
    <cellStyle name="Вычисление 1 4 5 6" xfId="0"/>
    <cellStyle name="Вычисление 1 4 6" xfId="0"/>
    <cellStyle name="Вычисление 1 4 6 2" xfId="0"/>
    <cellStyle name="Вычисление 1 4 6 2 2" xfId="0"/>
    <cellStyle name="Вычисление 1 4 6 2 2 2" xfId="0"/>
    <cellStyle name="Вычисление 1 4 6 2 2 3" xfId="0"/>
    <cellStyle name="Вычисление 1 4 6 2 3" xfId="0"/>
    <cellStyle name="Вычисление 1 4 6 2 4" xfId="0"/>
    <cellStyle name="Вычисление 1 4 6 3" xfId="0"/>
    <cellStyle name="Вычисление 1 4 6 3 2" xfId="0"/>
    <cellStyle name="Вычисление 1 4 6 3 3" xfId="0"/>
    <cellStyle name="Вычисление 1 4 6 4" xfId="0"/>
    <cellStyle name="Вычисление 1 4 6 5" xfId="0"/>
    <cellStyle name="Вычисление 1 4 7" xfId="0"/>
    <cellStyle name="Вычисление 1 4 7 2" xfId="0"/>
    <cellStyle name="Вычисление 1 4 7 2 2" xfId="0"/>
    <cellStyle name="Вычисление 1 4 7 2 2 2" xfId="0"/>
    <cellStyle name="Вычисление 1 4 7 2 2 3" xfId="0"/>
    <cellStyle name="Вычисление 1 4 7 2 3" xfId="0"/>
    <cellStyle name="Вычисление 1 4 7 2 4" xfId="0"/>
    <cellStyle name="Вычисление 1 4 7 3" xfId="0"/>
    <cellStyle name="Вычисление 1 4 7 3 2" xfId="0"/>
    <cellStyle name="Вычисление 1 4 7 3 3" xfId="0"/>
    <cellStyle name="Вычисление 1 4 7 4" xfId="0"/>
    <cellStyle name="Вычисление 1 4 7 5" xfId="0"/>
    <cellStyle name="Вычисление 1 4 8" xfId="0"/>
    <cellStyle name="Вычисление 1 4 8 2" xfId="0"/>
    <cellStyle name="Вычисление 1 4 8 3" xfId="0"/>
    <cellStyle name="Вычисление 1 4 9" xfId="0"/>
    <cellStyle name="Вычисление 1 5" xfId="0"/>
    <cellStyle name="Вычисление 1 5 2" xfId="0"/>
    <cellStyle name="Вычисление 1 5 2 2" xfId="0"/>
    <cellStyle name="Вычисление 1 5 2 2 2" xfId="0"/>
    <cellStyle name="Вычисление 1 5 2 2 2 2" xfId="0"/>
    <cellStyle name="Вычисление 1 5 2 2 2 3" xfId="0"/>
    <cellStyle name="Вычисление 1 5 2 2 3" xfId="0"/>
    <cellStyle name="Вычисление 1 5 2 2 4" xfId="0"/>
    <cellStyle name="Вычисление 1 5 2 3" xfId="0"/>
    <cellStyle name="Вычисление 1 5 2 3 2" xfId="0"/>
    <cellStyle name="Вычисление 1 5 2 3 2 2" xfId="0"/>
    <cellStyle name="Вычисление 1 5 2 3 2 3" xfId="0"/>
    <cellStyle name="Вычисление 1 5 2 3 3" xfId="0"/>
    <cellStyle name="Вычисление 1 5 2 3 4" xfId="0"/>
    <cellStyle name="Вычисление 1 5 2 4" xfId="0"/>
    <cellStyle name="Вычисление 1 5 2 4 2" xfId="0"/>
    <cellStyle name="Вычисление 1 5 2 4 3" xfId="0"/>
    <cellStyle name="Вычисление 1 5 2 5" xfId="0"/>
    <cellStyle name="Вычисление 1 5 2 6" xfId="0"/>
    <cellStyle name="Вычисление 1 5 3" xfId="0"/>
    <cellStyle name="Вычисление 1 5 3 2" xfId="0"/>
    <cellStyle name="Вычисление 1 5 3 2 2" xfId="0"/>
    <cellStyle name="Вычисление 1 5 3 2 2 2" xfId="0"/>
    <cellStyle name="Вычисление 1 5 3 2 2 3" xfId="0"/>
    <cellStyle name="Вычисление 1 5 3 2 3" xfId="0"/>
    <cellStyle name="Вычисление 1 5 3 2 4" xfId="0"/>
    <cellStyle name="Вычисление 1 5 3 3" xfId="0"/>
    <cellStyle name="Вычисление 1 5 3 3 2" xfId="0"/>
    <cellStyle name="Вычисление 1 5 3 3 3" xfId="0"/>
    <cellStyle name="Вычисление 1 5 3 4" xfId="0"/>
    <cellStyle name="Вычисление 1 5 3 5" xfId="0"/>
    <cellStyle name="Вычисление 1 5 4" xfId="0"/>
    <cellStyle name="Вычисление 1 5 4 2" xfId="0"/>
    <cellStyle name="Вычисление 1 5 4 2 2" xfId="0"/>
    <cellStyle name="Вычисление 1 5 4 2 2 2" xfId="0"/>
    <cellStyle name="Вычисление 1 5 4 2 2 3" xfId="0"/>
    <cellStyle name="Вычисление 1 5 4 2 3" xfId="0"/>
    <cellStyle name="Вычисление 1 5 4 2 4" xfId="0"/>
    <cellStyle name="Вычисление 1 5 4 3" xfId="0"/>
    <cellStyle name="Вычисление 1 5 4 3 2" xfId="0"/>
    <cellStyle name="Вычисление 1 5 4 3 3" xfId="0"/>
    <cellStyle name="Вычисление 1 5 4 4" xfId="0"/>
    <cellStyle name="Вычисление 1 5 4 5" xfId="0"/>
    <cellStyle name="Вычисление 1 5 5" xfId="0"/>
    <cellStyle name="Вычисление 1 5 5 2" xfId="0"/>
    <cellStyle name="Вычисление 1 5 5 3" xfId="0"/>
    <cellStyle name="Вычисление 1 5 6" xfId="0"/>
    <cellStyle name="Вычисление 1 5 7" xfId="0"/>
    <cellStyle name="Вычисление 1 6" xfId="0"/>
    <cellStyle name="Вычисление 1 6 2" xfId="0"/>
    <cellStyle name="Вычисление 1 6 2 2" xfId="0"/>
    <cellStyle name="Вычисление 1 6 2 2 2" xfId="0"/>
    <cellStyle name="Вычисление 1 6 2 2 2 2" xfId="0"/>
    <cellStyle name="Вычисление 1 6 2 2 2 3" xfId="0"/>
    <cellStyle name="Вычисление 1 6 2 2 3" xfId="0"/>
    <cellStyle name="Вычисление 1 6 2 2 4" xfId="0"/>
    <cellStyle name="Вычисление 1 6 2 3" xfId="0"/>
    <cellStyle name="Вычисление 1 6 2 3 2" xfId="0"/>
    <cellStyle name="Вычисление 1 6 2 3 2 2" xfId="0"/>
    <cellStyle name="Вычисление 1 6 2 3 2 3" xfId="0"/>
    <cellStyle name="Вычисление 1 6 2 3 3" xfId="0"/>
    <cellStyle name="Вычисление 1 6 2 3 4" xfId="0"/>
    <cellStyle name="Вычисление 1 6 2 4" xfId="0"/>
    <cellStyle name="Вычисление 1 6 2 4 2" xfId="0"/>
    <cellStyle name="Вычисление 1 6 2 4 3" xfId="0"/>
    <cellStyle name="Вычисление 1 6 2 5" xfId="0"/>
    <cellStyle name="Вычисление 1 6 2 6" xfId="0"/>
    <cellStyle name="Вычисление 1 6 3" xfId="0"/>
    <cellStyle name="Вычисление 1 6 3 2" xfId="0"/>
    <cellStyle name="Вычисление 1 6 3 2 2" xfId="0"/>
    <cellStyle name="Вычисление 1 6 3 2 2 2" xfId="0"/>
    <cellStyle name="Вычисление 1 6 3 2 2 3" xfId="0"/>
    <cellStyle name="Вычисление 1 6 3 2 3" xfId="0"/>
    <cellStyle name="Вычисление 1 6 3 2 4" xfId="0"/>
    <cellStyle name="Вычисление 1 6 3 3" xfId="0"/>
    <cellStyle name="Вычисление 1 6 3 3 2" xfId="0"/>
    <cellStyle name="Вычисление 1 6 3 3 3" xfId="0"/>
    <cellStyle name="Вычисление 1 6 3 4" xfId="0"/>
    <cellStyle name="Вычисление 1 6 3 5" xfId="0"/>
    <cellStyle name="Вычисление 1 6 4" xfId="0"/>
    <cellStyle name="Вычисление 1 6 4 2" xfId="0"/>
    <cellStyle name="Вычисление 1 6 4 2 2" xfId="0"/>
    <cellStyle name="Вычисление 1 6 4 2 2 2" xfId="0"/>
    <cellStyle name="Вычисление 1 6 4 2 2 3" xfId="0"/>
    <cellStyle name="Вычисление 1 6 4 2 3" xfId="0"/>
    <cellStyle name="Вычисление 1 6 4 2 4" xfId="0"/>
    <cellStyle name="Вычисление 1 6 4 3" xfId="0"/>
    <cellStyle name="Вычисление 1 6 4 3 2" xfId="0"/>
    <cellStyle name="Вычисление 1 6 4 3 3" xfId="0"/>
    <cellStyle name="Вычисление 1 6 4 4" xfId="0"/>
    <cellStyle name="Вычисление 1 6 4 5" xfId="0"/>
    <cellStyle name="Вычисление 1 6 5" xfId="0"/>
    <cellStyle name="Вычисление 1 6 5 2" xfId="0"/>
    <cellStyle name="Вычисление 1 6 5 3" xfId="0"/>
    <cellStyle name="Вычисление 1 6 6" xfId="0"/>
    <cellStyle name="Вычисление 1 6 7" xfId="0"/>
    <cellStyle name="Вычисление 1 7" xfId="0"/>
    <cellStyle name="Вычисление 1 7 2" xfId="0"/>
    <cellStyle name="Вычисление 1 7 2 2" xfId="0"/>
    <cellStyle name="Вычисление 1 7 2 2 2" xfId="0"/>
    <cellStyle name="Вычисление 1 7 2 2 2 2" xfId="0"/>
    <cellStyle name="Вычисление 1 7 2 2 2 3" xfId="0"/>
    <cellStyle name="Вычисление 1 7 2 2 3" xfId="0"/>
    <cellStyle name="Вычисление 1 7 2 2 4" xfId="0"/>
    <cellStyle name="Вычисление 1 7 2 3" xfId="0"/>
    <cellStyle name="Вычисление 1 7 2 3 2" xfId="0"/>
    <cellStyle name="Вычисление 1 7 2 3 2 2" xfId="0"/>
    <cellStyle name="Вычисление 1 7 2 3 2 3" xfId="0"/>
    <cellStyle name="Вычисление 1 7 2 3 3" xfId="0"/>
    <cellStyle name="Вычисление 1 7 2 3 4" xfId="0"/>
    <cellStyle name="Вычисление 1 7 2 4" xfId="0"/>
    <cellStyle name="Вычисление 1 7 2 4 2" xfId="0"/>
    <cellStyle name="Вычисление 1 7 2 4 3" xfId="0"/>
    <cellStyle name="Вычисление 1 7 2 5" xfId="0"/>
    <cellStyle name="Вычисление 1 7 2 6" xfId="0"/>
    <cellStyle name="Вычисление 1 7 3" xfId="0"/>
    <cellStyle name="Вычисление 1 7 3 2" xfId="0"/>
    <cellStyle name="Вычисление 1 7 3 2 2" xfId="0"/>
    <cellStyle name="Вычисление 1 7 3 2 2 2" xfId="0"/>
    <cellStyle name="Вычисление 1 7 3 2 2 3" xfId="0"/>
    <cellStyle name="Вычисление 1 7 3 2 3" xfId="0"/>
    <cellStyle name="Вычисление 1 7 3 2 4" xfId="0"/>
    <cellStyle name="Вычисление 1 7 3 3" xfId="0"/>
    <cellStyle name="Вычисление 1 7 3 3 2" xfId="0"/>
    <cellStyle name="Вычисление 1 7 3 3 3" xfId="0"/>
    <cellStyle name="Вычисление 1 7 3 4" xfId="0"/>
    <cellStyle name="Вычисление 1 7 3 5" xfId="0"/>
    <cellStyle name="Вычисление 1 7 4" xfId="0"/>
    <cellStyle name="Вычисление 1 7 4 2" xfId="0"/>
    <cellStyle name="Вычисление 1 7 4 2 2" xfId="0"/>
    <cellStyle name="Вычисление 1 7 4 2 2 2" xfId="0"/>
    <cellStyle name="Вычисление 1 7 4 2 2 3" xfId="0"/>
    <cellStyle name="Вычисление 1 7 4 2 3" xfId="0"/>
    <cellStyle name="Вычисление 1 7 4 2 4" xfId="0"/>
    <cellStyle name="Вычисление 1 7 4 3" xfId="0"/>
    <cellStyle name="Вычисление 1 7 4 3 2" xfId="0"/>
    <cellStyle name="Вычисление 1 7 4 3 3" xfId="0"/>
    <cellStyle name="Вычисление 1 7 4 4" xfId="0"/>
    <cellStyle name="Вычисление 1 7 4 5" xfId="0"/>
    <cellStyle name="Вычисление 1 7 5" xfId="0"/>
    <cellStyle name="Вычисление 1 7 5 2" xfId="0"/>
    <cellStyle name="Вычисление 1 7 5 3" xfId="0"/>
    <cellStyle name="Вычисление 1 7 6" xfId="0"/>
    <cellStyle name="Вычисление 1 7 7" xfId="0"/>
    <cellStyle name="Вычисление 1 8" xfId="0"/>
    <cellStyle name="Вычисление 1 8 2" xfId="0"/>
    <cellStyle name="Вычисление 1 8 2 2" xfId="0"/>
    <cellStyle name="Вычисление 1 8 2 2 2" xfId="0"/>
    <cellStyle name="Вычисление 1 8 2 2 2 2" xfId="0"/>
    <cellStyle name="Вычисление 1 8 2 2 2 3" xfId="0"/>
    <cellStyle name="Вычисление 1 8 2 2 3" xfId="0"/>
    <cellStyle name="Вычисление 1 8 2 2 4" xfId="0"/>
    <cellStyle name="Вычисление 1 8 2 3" xfId="0"/>
    <cellStyle name="Вычисление 1 8 2 3 2" xfId="0"/>
    <cellStyle name="Вычисление 1 8 2 3 2 2" xfId="0"/>
    <cellStyle name="Вычисление 1 8 2 3 2 3" xfId="0"/>
    <cellStyle name="Вычисление 1 8 2 3 3" xfId="0"/>
    <cellStyle name="Вычисление 1 8 2 3 4" xfId="0"/>
    <cellStyle name="Вычисление 1 8 2 4" xfId="0"/>
    <cellStyle name="Вычисление 1 8 2 4 2" xfId="0"/>
    <cellStyle name="Вычисление 1 8 2 4 3" xfId="0"/>
    <cellStyle name="Вычисление 1 8 2 5" xfId="0"/>
    <cellStyle name="Вычисление 1 8 2 6" xfId="0"/>
    <cellStyle name="Вычисление 1 8 3" xfId="0"/>
    <cellStyle name="Вычисление 1 8 3 2" xfId="0"/>
    <cellStyle name="Вычисление 1 8 3 2 2" xfId="0"/>
    <cellStyle name="Вычисление 1 8 3 2 2 2" xfId="0"/>
    <cellStyle name="Вычисление 1 8 3 2 2 3" xfId="0"/>
    <cellStyle name="Вычисление 1 8 3 2 3" xfId="0"/>
    <cellStyle name="Вычисление 1 8 3 2 4" xfId="0"/>
    <cellStyle name="Вычисление 1 8 3 3" xfId="0"/>
    <cellStyle name="Вычисление 1 8 3 3 2" xfId="0"/>
    <cellStyle name="Вычисление 1 8 3 3 3" xfId="0"/>
    <cellStyle name="Вычисление 1 8 3 4" xfId="0"/>
    <cellStyle name="Вычисление 1 8 3 5" xfId="0"/>
    <cellStyle name="Вычисление 1 8 4" xfId="0"/>
    <cellStyle name="Вычисление 1 8 4 2" xfId="0"/>
    <cellStyle name="Вычисление 1 8 4 2 2" xfId="0"/>
    <cellStyle name="Вычисление 1 8 4 2 2 2" xfId="0"/>
    <cellStyle name="Вычисление 1 8 4 2 2 3" xfId="0"/>
    <cellStyle name="Вычисление 1 8 4 2 3" xfId="0"/>
    <cellStyle name="Вычисление 1 8 4 2 4" xfId="0"/>
    <cellStyle name="Вычисление 1 8 4 3" xfId="0"/>
    <cellStyle name="Вычисление 1 8 4 3 2" xfId="0"/>
    <cellStyle name="Вычисление 1 8 4 3 3" xfId="0"/>
    <cellStyle name="Вычисление 1 8 4 4" xfId="0"/>
    <cellStyle name="Вычисление 1 8 4 5" xfId="0"/>
    <cellStyle name="Вычисление 1 8 5" xfId="0"/>
    <cellStyle name="Вычисление 1 8 5 2" xfId="0"/>
    <cellStyle name="Вычисление 1 8 5 3" xfId="0"/>
    <cellStyle name="Вычисление 1 8 6" xfId="0"/>
    <cellStyle name="Вычисление 1 8 7" xfId="0"/>
    <cellStyle name="Вычисление 1 9" xfId="0"/>
    <cellStyle name="Вычисление 1 9 2" xfId="0"/>
    <cellStyle name="Вычисление 1 9 2 2" xfId="0"/>
    <cellStyle name="Вычисление 1 9 2 2 2" xfId="0"/>
    <cellStyle name="Вычисление 1 9 2 2 2 2" xfId="0"/>
    <cellStyle name="Вычисление 1 9 2 2 2 3" xfId="0"/>
    <cellStyle name="Вычисление 1 9 2 2 3" xfId="0"/>
    <cellStyle name="Вычисление 1 9 2 2 4" xfId="0"/>
    <cellStyle name="Вычисление 1 9 2 3" xfId="0"/>
    <cellStyle name="Вычисление 1 9 2 3 2" xfId="0"/>
    <cellStyle name="Вычисление 1 9 2 3 2 2" xfId="0"/>
    <cellStyle name="Вычисление 1 9 2 3 2 3" xfId="0"/>
    <cellStyle name="Вычисление 1 9 2 3 3" xfId="0"/>
    <cellStyle name="Вычисление 1 9 2 3 4" xfId="0"/>
    <cellStyle name="Вычисление 1 9 2 4" xfId="0"/>
    <cellStyle name="Вычисление 1 9 2 4 2" xfId="0"/>
    <cellStyle name="Вычисление 1 9 2 4 3" xfId="0"/>
    <cellStyle name="Вычисление 1 9 2 5" xfId="0"/>
    <cellStyle name="Вычисление 1 9 2 6" xfId="0"/>
    <cellStyle name="Вычисление 1 9 3" xfId="0"/>
    <cellStyle name="Вычисление 1 9 3 2" xfId="0"/>
    <cellStyle name="Вычисление 1 9 3 2 2" xfId="0"/>
    <cellStyle name="Вычисление 1 9 3 2 2 2" xfId="0"/>
    <cellStyle name="Вычисление 1 9 3 2 2 3" xfId="0"/>
    <cellStyle name="Вычисление 1 9 3 2 3" xfId="0"/>
    <cellStyle name="Вычисление 1 9 3 2 4" xfId="0"/>
    <cellStyle name="Вычисление 1 9 3 3" xfId="0"/>
    <cellStyle name="Вычисление 1 9 3 3 2" xfId="0"/>
    <cellStyle name="Вычисление 1 9 3 3 3" xfId="0"/>
    <cellStyle name="Вычисление 1 9 3 4" xfId="0"/>
    <cellStyle name="Вычисление 1 9 3 5" xfId="0"/>
    <cellStyle name="Вычисление 1 9 4" xfId="0"/>
    <cellStyle name="Вычисление 1 9 4 2" xfId="0"/>
    <cellStyle name="Вычисление 1 9 4 2 2" xfId="0"/>
    <cellStyle name="Вычисление 1 9 4 2 2 2" xfId="0"/>
    <cellStyle name="Вычисление 1 9 4 2 2 3" xfId="0"/>
    <cellStyle name="Вычисление 1 9 4 2 3" xfId="0"/>
    <cellStyle name="Вычисление 1 9 4 2 4" xfId="0"/>
    <cellStyle name="Вычисление 1 9 4 3" xfId="0"/>
    <cellStyle name="Вычисление 1 9 4 3 2" xfId="0"/>
    <cellStyle name="Вычисление 1 9 4 3 3" xfId="0"/>
    <cellStyle name="Вычисление 1 9 4 4" xfId="0"/>
    <cellStyle name="Вычисление 1 9 4 5" xfId="0"/>
    <cellStyle name="Вычисление 1 9 5" xfId="0"/>
    <cellStyle name="Вычисление 1 9 5 2" xfId="0"/>
    <cellStyle name="Вычисление 1 9 5 3" xfId="0"/>
    <cellStyle name="Вычисление 1 9 6" xfId="0"/>
    <cellStyle name="Вычисление 1 9 7" xfId="0"/>
    <cellStyle name="Вычисление 2" xfId="0"/>
    <cellStyle name="Вычисление 2 10" xfId="0"/>
    <cellStyle name="Вычисление 2 10 2" xfId="0"/>
    <cellStyle name="Вычисление 2 10 2 2" xfId="0"/>
    <cellStyle name="Вычисление 2 10 2 2 2" xfId="0"/>
    <cellStyle name="Вычисление 2 10 2 2 2 2" xfId="0"/>
    <cellStyle name="Вычисление 2 10 2 2 2 3" xfId="0"/>
    <cellStyle name="Вычисление 2 10 2 2 3" xfId="0"/>
    <cellStyle name="Вычисление 2 10 2 2 4" xfId="0"/>
    <cellStyle name="Вычисление 2 10 2 3" xfId="0"/>
    <cellStyle name="Вычисление 2 10 2 3 2" xfId="0"/>
    <cellStyle name="Вычисление 2 10 2 3 2 2" xfId="0"/>
    <cellStyle name="Вычисление 2 10 2 3 2 3" xfId="0"/>
    <cellStyle name="Вычисление 2 10 2 3 3" xfId="0"/>
    <cellStyle name="Вычисление 2 10 2 3 4" xfId="0"/>
    <cellStyle name="Вычисление 2 10 2 4" xfId="0"/>
    <cellStyle name="Вычисление 2 10 2 4 2" xfId="0"/>
    <cellStyle name="Вычисление 2 10 2 4 3" xfId="0"/>
    <cellStyle name="Вычисление 2 10 2 5" xfId="0"/>
    <cellStyle name="Вычисление 2 10 2 6" xfId="0"/>
    <cellStyle name="Вычисление 2 10 3" xfId="0"/>
    <cellStyle name="Вычисление 2 10 3 2" xfId="0"/>
    <cellStyle name="Вычисление 2 10 3 2 2" xfId="0"/>
    <cellStyle name="Вычисление 2 10 3 2 2 2" xfId="0"/>
    <cellStyle name="Вычисление 2 10 3 2 2 3" xfId="0"/>
    <cellStyle name="Вычисление 2 10 3 2 3" xfId="0"/>
    <cellStyle name="Вычисление 2 10 3 2 4" xfId="0"/>
    <cellStyle name="Вычисление 2 10 3 3" xfId="0"/>
    <cellStyle name="Вычисление 2 10 3 3 2" xfId="0"/>
    <cellStyle name="Вычисление 2 10 3 3 3" xfId="0"/>
    <cellStyle name="Вычисление 2 10 3 4" xfId="0"/>
    <cellStyle name="Вычисление 2 10 3 5" xfId="0"/>
    <cellStyle name="Вычисление 2 10 4" xfId="0"/>
    <cellStyle name="Вычисление 2 10 4 2" xfId="0"/>
    <cellStyle name="Вычисление 2 10 4 2 2" xfId="0"/>
    <cellStyle name="Вычисление 2 10 4 2 2 2" xfId="0"/>
    <cellStyle name="Вычисление 2 10 4 2 2 3" xfId="0"/>
    <cellStyle name="Вычисление 2 10 4 2 3" xfId="0"/>
    <cellStyle name="Вычисление 2 10 4 2 4" xfId="0"/>
    <cellStyle name="Вычисление 2 10 4 3" xfId="0"/>
    <cellStyle name="Вычисление 2 10 4 3 2" xfId="0"/>
    <cellStyle name="Вычисление 2 10 4 3 3" xfId="0"/>
    <cellStyle name="Вычисление 2 10 4 4" xfId="0"/>
    <cellStyle name="Вычисление 2 10 4 5" xfId="0"/>
    <cellStyle name="Вычисление 2 10 5" xfId="0"/>
    <cellStyle name="Вычисление 2 10 5 2" xfId="0"/>
    <cellStyle name="Вычисление 2 10 5 3" xfId="0"/>
    <cellStyle name="Вычисление 2 10 6" xfId="0"/>
    <cellStyle name="Вычисление 2 10 7" xfId="0"/>
    <cellStyle name="Вычисление 2 11" xfId="0"/>
    <cellStyle name="Вычисление 2 11 2" xfId="0"/>
    <cellStyle name="Вычисление 2 11 2 2" xfId="0"/>
    <cellStyle name="Вычисление 2 11 2 2 2" xfId="0"/>
    <cellStyle name="Вычисление 2 11 2 2 2 2" xfId="0"/>
    <cellStyle name="Вычисление 2 11 2 2 2 3" xfId="0"/>
    <cellStyle name="Вычисление 2 11 2 2 3" xfId="0"/>
    <cellStyle name="Вычисление 2 11 2 2 4" xfId="0"/>
    <cellStyle name="Вычисление 2 11 2 3" xfId="0"/>
    <cellStyle name="Вычисление 2 11 2 3 2" xfId="0"/>
    <cellStyle name="Вычисление 2 11 2 3 2 2" xfId="0"/>
    <cellStyle name="Вычисление 2 11 2 3 2 3" xfId="0"/>
    <cellStyle name="Вычисление 2 11 2 3 3" xfId="0"/>
    <cellStyle name="Вычисление 2 11 2 3 4" xfId="0"/>
    <cellStyle name="Вычисление 2 11 2 4" xfId="0"/>
    <cellStyle name="Вычисление 2 11 2 4 2" xfId="0"/>
    <cellStyle name="Вычисление 2 11 2 4 3" xfId="0"/>
    <cellStyle name="Вычисление 2 11 2 5" xfId="0"/>
    <cellStyle name="Вычисление 2 11 2 6" xfId="0"/>
    <cellStyle name="Вычисление 2 11 3" xfId="0"/>
    <cellStyle name="Вычисление 2 11 3 2" xfId="0"/>
    <cellStyle name="Вычисление 2 11 3 2 2" xfId="0"/>
    <cellStyle name="Вычисление 2 11 3 2 2 2" xfId="0"/>
    <cellStyle name="Вычисление 2 11 3 2 2 3" xfId="0"/>
    <cellStyle name="Вычисление 2 11 3 2 3" xfId="0"/>
    <cellStyle name="Вычисление 2 11 3 2 4" xfId="0"/>
    <cellStyle name="Вычисление 2 11 3 3" xfId="0"/>
    <cellStyle name="Вычисление 2 11 3 3 2" xfId="0"/>
    <cellStyle name="Вычисление 2 11 3 3 3" xfId="0"/>
    <cellStyle name="Вычисление 2 11 3 4" xfId="0"/>
    <cellStyle name="Вычисление 2 11 3 5" xfId="0"/>
    <cellStyle name="Вычисление 2 11 4" xfId="0"/>
    <cellStyle name="Вычисление 2 11 4 2" xfId="0"/>
    <cellStyle name="Вычисление 2 11 4 2 2" xfId="0"/>
    <cellStyle name="Вычисление 2 11 4 2 2 2" xfId="0"/>
    <cellStyle name="Вычисление 2 11 4 2 2 3" xfId="0"/>
    <cellStyle name="Вычисление 2 11 4 2 3" xfId="0"/>
    <cellStyle name="Вычисление 2 11 4 2 4" xfId="0"/>
    <cellStyle name="Вычисление 2 11 4 3" xfId="0"/>
    <cellStyle name="Вычисление 2 11 4 3 2" xfId="0"/>
    <cellStyle name="Вычисление 2 11 4 3 3" xfId="0"/>
    <cellStyle name="Вычисление 2 11 4 4" xfId="0"/>
    <cellStyle name="Вычисление 2 11 4 5" xfId="0"/>
    <cellStyle name="Вычисление 2 11 5" xfId="0"/>
    <cellStyle name="Вычисление 2 11 5 2" xfId="0"/>
    <cellStyle name="Вычисление 2 11 5 3" xfId="0"/>
    <cellStyle name="Вычисление 2 11 6" xfId="0"/>
    <cellStyle name="Вычисление 2 11 7" xfId="0"/>
    <cellStyle name="Вычисление 2 12" xfId="0"/>
    <cellStyle name="Вычисление 2 12 2" xfId="0"/>
    <cellStyle name="Вычисление 2 12 2 2" xfId="0"/>
    <cellStyle name="Вычисление 2 12 2 2 2" xfId="0"/>
    <cellStyle name="Вычисление 2 12 2 2 2 2" xfId="0"/>
    <cellStyle name="Вычисление 2 12 2 2 2 3" xfId="0"/>
    <cellStyle name="Вычисление 2 12 2 2 3" xfId="0"/>
    <cellStyle name="Вычисление 2 12 2 2 4" xfId="0"/>
    <cellStyle name="Вычисление 2 12 2 3" xfId="0"/>
    <cellStyle name="Вычисление 2 12 2 3 2" xfId="0"/>
    <cellStyle name="Вычисление 2 12 2 3 2 2" xfId="0"/>
    <cellStyle name="Вычисление 2 12 2 3 2 3" xfId="0"/>
    <cellStyle name="Вычисление 2 12 2 3 3" xfId="0"/>
    <cellStyle name="Вычисление 2 12 2 3 4" xfId="0"/>
    <cellStyle name="Вычисление 2 12 2 4" xfId="0"/>
    <cellStyle name="Вычисление 2 12 2 4 2" xfId="0"/>
    <cellStyle name="Вычисление 2 12 2 4 3" xfId="0"/>
    <cellStyle name="Вычисление 2 12 2 5" xfId="0"/>
    <cellStyle name="Вычисление 2 12 2 6" xfId="0"/>
    <cellStyle name="Вычисление 2 12 3" xfId="0"/>
    <cellStyle name="Вычисление 2 12 3 2" xfId="0"/>
    <cellStyle name="Вычисление 2 12 3 2 2" xfId="0"/>
    <cellStyle name="Вычисление 2 12 3 2 2 2" xfId="0"/>
    <cellStyle name="Вычисление 2 12 3 2 2 3" xfId="0"/>
    <cellStyle name="Вычисление 2 12 3 2 3" xfId="0"/>
    <cellStyle name="Вычисление 2 12 3 2 4" xfId="0"/>
    <cellStyle name="Вычисление 2 12 3 3" xfId="0"/>
    <cellStyle name="Вычисление 2 12 3 3 2" xfId="0"/>
    <cellStyle name="Вычисление 2 12 3 3 3" xfId="0"/>
    <cellStyle name="Вычисление 2 12 3 4" xfId="0"/>
    <cellStyle name="Вычисление 2 12 3 5" xfId="0"/>
    <cellStyle name="Вычисление 2 12 4" xfId="0"/>
    <cellStyle name="Вычисление 2 12 4 2" xfId="0"/>
    <cellStyle name="Вычисление 2 12 4 2 2" xfId="0"/>
    <cellStyle name="Вычисление 2 12 4 2 2 2" xfId="0"/>
    <cellStyle name="Вычисление 2 12 4 2 2 3" xfId="0"/>
    <cellStyle name="Вычисление 2 12 4 2 3" xfId="0"/>
    <cellStyle name="Вычисление 2 12 4 2 4" xfId="0"/>
    <cellStyle name="Вычисление 2 12 4 3" xfId="0"/>
    <cellStyle name="Вычисление 2 12 4 3 2" xfId="0"/>
    <cellStyle name="Вычисление 2 12 4 3 3" xfId="0"/>
    <cellStyle name="Вычисление 2 12 4 4" xfId="0"/>
    <cellStyle name="Вычисление 2 12 4 5" xfId="0"/>
    <cellStyle name="Вычисление 2 12 5" xfId="0"/>
    <cellStyle name="Вычисление 2 12 5 2" xfId="0"/>
    <cellStyle name="Вычисление 2 12 5 3" xfId="0"/>
    <cellStyle name="Вычисление 2 12 6" xfId="0"/>
    <cellStyle name="Вычисление 2 12 7" xfId="0"/>
    <cellStyle name="Вычисление 2 13" xfId="0"/>
    <cellStyle name="Вычисление 2 13 2" xfId="0"/>
    <cellStyle name="Вычисление 2 13 2 2" xfId="0"/>
    <cellStyle name="Вычисление 2 13 2 2 2" xfId="0"/>
    <cellStyle name="Вычисление 2 13 2 2 2 2" xfId="0"/>
    <cellStyle name="Вычисление 2 13 2 2 2 3" xfId="0"/>
    <cellStyle name="Вычисление 2 13 2 2 3" xfId="0"/>
    <cellStyle name="Вычисление 2 13 2 2 4" xfId="0"/>
    <cellStyle name="Вычисление 2 13 2 3" xfId="0"/>
    <cellStyle name="Вычисление 2 13 2 3 2" xfId="0"/>
    <cellStyle name="Вычисление 2 13 2 3 2 2" xfId="0"/>
    <cellStyle name="Вычисление 2 13 2 3 2 3" xfId="0"/>
    <cellStyle name="Вычисление 2 13 2 3 3" xfId="0"/>
    <cellStyle name="Вычисление 2 13 2 3 4" xfId="0"/>
    <cellStyle name="Вычисление 2 13 2 4" xfId="0"/>
    <cellStyle name="Вычисление 2 13 2 4 2" xfId="0"/>
    <cellStyle name="Вычисление 2 13 2 4 3" xfId="0"/>
    <cellStyle name="Вычисление 2 13 2 5" xfId="0"/>
    <cellStyle name="Вычисление 2 13 2 6" xfId="0"/>
    <cellStyle name="Вычисление 2 13 3" xfId="0"/>
    <cellStyle name="Вычисление 2 13 3 2" xfId="0"/>
    <cellStyle name="Вычисление 2 13 3 2 2" xfId="0"/>
    <cellStyle name="Вычисление 2 13 3 2 2 2" xfId="0"/>
    <cellStyle name="Вычисление 2 13 3 2 2 3" xfId="0"/>
    <cellStyle name="Вычисление 2 13 3 2 3" xfId="0"/>
    <cellStyle name="Вычисление 2 13 3 2 4" xfId="0"/>
    <cellStyle name="Вычисление 2 13 3 3" xfId="0"/>
    <cellStyle name="Вычисление 2 13 3 3 2" xfId="0"/>
    <cellStyle name="Вычисление 2 13 3 3 3" xfId="0"/>
    <cellStyle name="Вычисление 2 13 3 4" xfId="0"/>
    <cellStyle name="Вычисление 2 13 3 5" xfId="0"/>
    <cellStyle name="Вычисление 2 13 4" xfId="0"/>
    <cellStyle name="Вычисление 2 13 4 2" xfId="0"/>
    <cellStyle name="Вычисление 2 13 4 2 2" xfId="0"/>
    <cellStyle name="Вычисление 2 13 4 2 2 2" xfId="0"/>
    <cellStyle name="Вычисление 2 13 4 2 2 3" xfId="0"/>
    <cellStyle name="Вычисление 2 13 4 2 3" xfId="0"/>
    <cellStyle name="Вычисление 2 13 4 2 4" xfId="0"/>
    <cellStyle name="Вычисление 2 13 4 3" xfId="0"/>
    <cellStyle name="Вычисление 2 13 4 3 2" xfId="0"/>
    <cellStyle name="Вычисление 2 13 4 3 3" xfId="0"/>
    <cellStyle name="Вычисление 2 13 4 4" xfId="0"/>
    <cellStyle name="Вычисление 2 13 4 5" xfId="0"/>
    <cellStyle name="Вычисление 2 13 5" xfId="0"/>
    <cellStyle name="Вычисление 2 13 5 2" xfId="0"/>
    <cellStyle name="Вычисление 2 13 5 3" xfId="0"/>
    <cellStyle name="Вычисление 2 13 6" xfId="0"/>
    <cellStyle name="Вычисление 2 13 7" xfId="0"/>
    <cellStyle name="Вычисление 2 14" xfId="0"/>
    <cellStyle name="Вычисление 2 14 2" xfId="0"/>
    <cellStyle name="Вычисление 2 14 2 2" xfId="0"/>
    <cellStyle name="Вычисление 2 14 2 2 2" xfId="0"/>
    <cellStyle name="Вычисление 2 14 2 2 2 2" xfId="0"/>
    <cellStyle name="Вычисление 2 14 2 2 2 3" xfId="0"/>
    <cellStyle name="Вычисление 2 14 2 2 3" xfId="0"/>
    <cellStyle name="Вычисление 2 14 2 2 4" xfId="0"/>
    <cellStyle name="Вычисление 2 14 2 3" xfId="0"/>
    <cellStyle name="Вычисление 2 14 2 3 2" xfId="0"/>
    <cellStyle name="Вычисление 2 14 2 3 2 2" xfId="0"/>
    <cellStyle name="Вычисление 2 14 2 3 2 3" xfId="0"/>
    <cellStyle name="Вычисление 2 14 2 3 3" xfId="0"/>
    <cellStyle name="Вычисление 2 14 2 3 4" xfId="0"/>
    <cellStyle name="Вычисление 2 14 2 4" xfId="0"/>
    <cellStyle name="Вычисление 2 14 2 4 2" xfId="0"/>
    <cellStyle name="Вычисление 2 14 2 4 3" xfId="0"/>
    <cellStyle name="Вычисление 2 14 2 5" xfId="0"/>
    <cellStyle name="Вычисление 2 14 2 6" xfId="0"/>
    <cellStyle name="Вычисление 2 14 3" xfId="0"/>
    <cellStyle name="Вычисление 2 14 3 2" xfId="0"/>
    <cellStyle name="Вычисление 2 14 3 2 2" xfId="0"/>
    <cellStyle name="Вычисление 2 14 3 2 2 2" xfId="0"/>
    <cellStyle name="Вычисление 2 14 3 2 2 3" xfId="0"/>
    <cellStyle name="Вычисление 2 14 3 2 3" xfId="0"/>
    <cellStyle name="Вычисление 2 14 3 2 4" xfId="0"/>
    <cellStyle name="Вычисление 2 14 3 3" xfId="0"/>
    <cellStyle name="Вычисление 2 14 3 3 2" xfId="0"/>
    <cellStyle name="Вычисление 2 14 3 3 3" xfId="0"/>
    <cellStyle name="Вычисление 2 14 3 4" xfId="0"/>
    <cellStyle name="Вычисление 2 14 3 5" xfId="0"/>
    <cellStyle name="Вычисление 2 14 4" xfId="0"/>
    <cellStyle name="Вычисление 2 14 4 2" xfId="0"/>
    <cellStyle name="Вычисление 2 14 4 2 2" xfId="0"/>
    <cellStyle name="Вычисление 2 14 4 2 2 2" xfId="0"/>
    <cellStyle name="Вычисление 2 14 4 2 2 3" xfId="0"/>
    <cellStyle name="Вычисление 2 14 4 2 3" xfId="0"/>
    <cellStyle name="Вычисление 2 14 4 2 4" xfId="0"/>
    <cellStyle name="Вычисление 2 14 4 3" xfId="0"/>
    <cellStyle name="Вычисление 2 14 4 3 2" xfId="0"/>
    <cellStyle name="Вычисление 2 14 4 3 3" xfId="0"/>
    <cellStyle name="Вычисление 2 14 4 4" xfId="0"/>
    <cellStyle name="Вычисление 2 14 4 5" xfId="0"/>
    <cellStyle name="Вычисление 2 14 5" xfId="0"/>
    <cellStyle name="Вычисление 2 14 5 2" xfId="0"/>
    <cellStyle name="Вычисление 2 14 5 3" xfId="0"/>
    <cellStyle name="Вычисление 2 14 6" xfId="0"/>
    <cellStyle name="Вычисление 2 14 7" xfId="0"/>
    <cellStyle name="Вычисление 2 15" xfId="0"/>
    <cellStyle name="Вычисление 2 15 2" xfId="0"/>
    <cellStyle name="Вычисление 2 15 2 2" xfId="0"/>
    <cellStyle name="Вычисление 2 15 2 2 2" xfId="0"/>
    <cellStyle name="Вычисление 2 15 2 2 2 2" xfId="0"/>
    <cellStyle name="Вычисление 2 15 2 2 2 3" xfId="0"/>
    <cellStyle name="Вычисление 2 15 2 2 3" xfId="0"/>
    <cellStyle name="Вычисление 2 15 2 2 4" xfId="0"/>
    <cellStyle name="Вычисление 2 15 2 3" xfId="0"/>
    <cellStyle name="Вычисление 2 15 2 3 2" xfId="0"/>
    <cellStyle name="Вычисление 2 15 2 3 2 2" xfId="0"/>
    <cellStyle name="Вычисление 2 15 2 3 2 3" xfId="0"/>
    <cellStyle name="Вычисление 2 15 2 3 3" xfId="0"/>
    <cellStyle name="Вычисление 2 15 2 3 4" xfId="0"/>
    <cellStyle name="Вычисление 2 15 2 4" xfId="0"/>
    <cellStyle name="Вычисление 2 15 2 4 2" xfId="0"/>
    <cellStyle name="Вычисление 2 15 2 4 3" xfId="0"/>
    <cellStyle name="Вычисление 2 15 2 5" xfId="0"/>
    <cellStyle name="Вычисление 2 15 2 6" xfId="0"/>
    <cellStyle name="Вычисление 2 15 3" xfId="0"/>
    <cellStyle name="Вычисление 2 15 3 2" xfId="0"/>
    <cellStyle name="Вычисление 2 15 3 2 2" xfId="0"/>
    <cellStyle name="Вычисление 2 15 3 2 2 2" xfId="0"/>
    <cellStyle name="Вычисление 2 15 3 2 2 3" xfId="0"/>
    <cellStyle name="Вычисление 2 15 3 2 3" xfId="0"/>
    <cellStyle name="Вычисление 2 15 3 2 4" xfId="0"/>
    <cellStyle name="Вычисление 2 15 3 3" xfId="0"/>
    <cellStyle name="Вычисление 2 15 3 3 2" xfId="0"/>
    <cellStyle name="Вычисление 2 15 3 3 3" xfId="0"/>
    <cellStyle name="Вычисление 2 15 3 4" xfId="0"/>
    <cellStyle name="Вычисление 2 15 3 5" xfId="0"/>
    <cellStyle name="Вычисление 2 15 4" xfId="0"/>
    <cellStyle name="Вычисление 2 15 4 2" xfId="0"/>
    <cellStyle name="Вычисление 2 15 4 2 2" xfId="0"/>
    <cellStyle name="Вычисление 2 15 4 2 2 2" xfId="0"/>
    <cellStyle name="Вычисление 2 15 4 2 2 3" xfId="0"/>
    <cellStyle name="Вычисление 2 15 4 2 3" xfId="0"/>
    <cellStyle name="Вычисление 2 15 4 2 4" xfId="0"/>
    <cellStyle name="Вычисление 2 15 4 3" xfId="0"/>
    <cellStyle name="Вычисление 2 15 4 3 2" xfId="0"/>
    <cellStyle name="Вычисление 2 15 4 3 3" xfId="0"/>
    <cellStyle name="Вычисление 2 15 4 4" xfId="0"/>
    <cellStyle name="Вычисление 2 15 4 5" xfId="0"/>
    <cellStyle name="Вычисление 2 15 5" xfId="0"/>
    <cellStyle name="Вычисление 2 15 5 2" xfId="0"/>
    <cellStyle name="Вычисление 2 15 5 3" xfId="0"/>
    <cellStyle name="Вычисление 2 15 6" xfId="0"/>
    <cellStyle name="Вычисление 2 15 7" xfId="0"/>
    <cellStyle name="Вычисление 2 16" xfId="0"/>
    <cellStyle name="Вычисление 2 16 2" xfId="0"/>
    <cellStyle name="Вычисление 2 16 2 2" xfId="0"/>
    <cellStyle name="Вычисление 2 16 2 2 2" xfId="0"/>
    <cellStyle name="Вычисление 2 16 2 2 2 2" xfId="0"/>
    <cellStyle name="Вычисление 2 16 2 2 2 3" xfId="0"/>
    <cellStyle name="Вычисление 2 16 2 2 3" xfId="0"/>
    <cellStyle name="Вычисление 2 16 2 2 4" xfId="0"/>
    <cellStyle name="Вычисление 2 16 2 3" xfId="0"/>
    <cellStyle name="Вычисление 2 16 2 3 2" xfId="0"/>
    <cellStyle name="Вычисление 2 16 2 3 2 2" xfId="0"/>
    <cellStyle name="Вычисление 2 16 2 3 2 3" xfId="0"/>
    <cellStyle name="Вычисление 2 16 2 3 3" xfId="0"/>
    <cellStyle name="Вычисление 2 16 2 3 4" xfId="0"/>
    <cellStyle name="Вычисление 2 16 2 4" xfId="0"/>
    <cellStyle name="Вычисление 2 16 2 4 2" xfId="0"/>
    <cellStyle name="Вычисление 2 16 2 4 3" xfId="0"/>
    <cellStyle name="Вычисление 2 16 2 5" xfId="0"/>
    <cellStyle name="Вычисление 2 16 2 6" xfId="0"/>
    <cellStyle name="Вычисление 2 16 3" xfId="0"/>
    <cellStyle name="Вычисление 2 16 3 2" xfId="0"/>
    <cellStyle name="Вычисление 2 16 3 2 2" xfId="0"/>
    <cellStyle name="Вычисление 2 16 3 2 2 2" xfId="0"/>
    <cellStyle name="Вычисление 2 16 3 2 2 3" xfId="0"/>
    <cellStyle name="Вычисление 2 16 3 2 3" xfId="0"/>
    <cellStyle name="Вычисление 2 16 3 2 4" xfId="0"/>
    <cellStyle name="Вычисление 2 16 3 3" xfId="0"/>
    <cellStyle name="Вычисление 2 16 3 3 2" xfId="0"/>
    <cellStyle name="Вычисление 2 16 3 3 3" xfId="0"/>
    <cellStyle name="Вычисление 2 16 3 4" xfId="0"/>
    <cellStyle name="Вычисление 2 16 3 5" xfId="0"/>
    <cellStyle name="Вычисление 2 16 4" xfId="0"/>
    <cellStyle name="Вычисление 2 16 4 2" xfId="0"/>
    <cellStyle name="Вычисление 2 16 4 2 2" xfId="0"/>
    <cellStyle name="Вычисление 2 16 4 2 2 2" xfId="0"/>
    <cellStyle name="Вычисление 2 16 4 2 2 3" xfId="0"/>
    <cellStyle name="Вычисление 2 16 4 2 3" xfId="0"/>
    <cellStyle name="Вычисление 2 16 4 2 4" xfId="0"/>
    <cellStyle name="Вычисление 2 16 4 3" xfId="0"/>
    <cellStyle name="Вычисление 2 16 4 3 2" xfId="0"/>
    <cellStyle name="Вычисление 2 16 4 3 3" xfId="0"/>
    <cellStyle name="Вычисление 2 16 4 4" xfId="0"/>
    <cellStyle name="Вычисление 2 16 4 5" xfId="0"/>
    <cellStyle name="Вычисление 2 16 5" xfId="0"/>
    <cellStyle name="Вычисление 2 16 5 2" xfId="0"/>
    <cellStyle name="Вычисление 2 16 5 3" xfId="0"/>
    <cellStyle name="Вычисление 2 16 6" xfId="0"/>
    <cellStyle name="Вычисление 2 16 7" xfId="0"/>
    <cellStyle name="Вычисление 2 17" xfId="0"/>
    <cellStyle name="Вычисление 2 17 2" xfId="0"/>
    <cellStyle name="Вычисление 2 17 2 2" xfId="0"/>
    <cellStyle name="Вычисление 2 17 2 2 2" xfId="0"/>
    <cellStyle name="Вычисление 2 17 2 2 2 2" xfId="0"/>
    <cellStyle name="Вычисление 2 17 2 2 2 3" xfId="0"/>
    <cellStyle name="Вычисление 2 17 2 2 3" xfId="0"/>
    <cellStyle name="Вычисление 2 17 2 2 4" xfId="0"/>
    <cellStyle name="Вычисление 2 17 2 3" xfId="0"/>
    <cellStyle name="Вычисление 2 17 2 3 2" xfId="0"/>
    <cellStyle name="Вычисление 2 17 2 3 2 2" xfId="0"/>
    <cellStyle name="Вычисление 2 17 2 3 2 3" xfId="0"/>
    <cellStyle name="Вычисление 2 17 2 3 3" xfId="0"/>
    <cellStyle name="Вычисление 2 17 2 3 4" xfId="0"/>
    <cellStyle name="Вычисление 2 17 2 4" xfId="0"/>
    <cellStyle name="Вычисление 2 17 2 4 2" xfId="0"/>
    <cellStyle name="Вычисление 2 17 2 4 3" xfId="0"/>
    <cellStyle name="Вычисление 2 17 2 5" xfId="0"/>
    <cellStyle name="Вычисление 2 17 2 6" xfId="0"/>
    <cellStyle name="Вычисление 2 17 3" xfId="0"/>
    <cellStyle name="Вычисление 2 17 3 2" xfId="0"/>
    <cellStyle name="Вычисление 2 17 3 2 2" xfId="0"/>
    <cellStyle name="Вычисление 2 17 3 2 2 2" xfId="0"/>
    <cellStyle name="Вычисление 2 17 3 2 2 3" xfId="0"/>
    <cellStyle name="Вычисление 2 17 3 2 3" xfId="0"/>
    <cellStyle name="Вычисление 2 17 3 2 4" xfId="0"/>
    <cellStyle name="Вычисление 2 17 3 3" xfId="0"/>
    <cellStyle name="Вычисление 2 17 3 3 2" xfId="0"/>
    <cellStyle name="Вычисление 2 17 3 3 3" xfId="0"/>
    <cellStyle name="Вычисление 2 17 3 4" xfId="0"/>
    <cellStyle name="Вычисление 2 17 3 5" xfId="0"/>
    <cellStyle name="Вычисление 2 17 4" xfId="0"/>
    <cellStyle name="Вычисление 2 17 4 2" xfId="0"/>
    <cellStyle name="Вычисление 2 17 4 2 2" xfId="0"/>
    <cellStyle name="Вычисление 2 17 4 2 2 2" xfId="0"/>
    <cellStyle name="Вычисление 2 17 4 2 2 3" xfId="0"/>
    <cellStyle name="Вычисление 2 17 4 2 3" xfId="0"/>
    <cellStyle name="Вычисление 2 17 4 2 4" xfId="0"/>
    <cellStyle name="Вычисление 2 17 4 3" xfId="0"/>
    <cellStyle name="Вычисление 2 17 4 3 2" xfId="0"/>
    <cellStyle name="Вычисление 2 17 4 3 3" xfId="0"/>
    <cellStyle name="Вычисление 2 17 4 4" xfId="0"/>
    <cellStyle name="Вычисление 2 17 4 5" xfId="0"/>
    <cellStyle name="Вычисление 2 17 5" xfId="0"/>
    <cellStyle name="Вычисление 2 17 5 2" xfId="0"/>
    <cellStyle name="Вычисление 2 17 5 3" xfId="0"/>
    <cellStyle name="Вычисление 2 17 6" xfId="0"/>
    <cellStyle name="Вычисление 2 17 7" xfId="0"/>
    <cellStyle name="Вычисление 2 18" xfId="0"/>
    <cellStyle name="Вычисление 2 18 2" xfId="0"/>
    <cellStyle name="Вычисление 2 18 2 2" xfId="0"/>
    <cellStyle name="Вычисление 2 18 2 2 2" xfId="0"/>
    <cellStyle name="Вычисление 2 18 2 2 2 2" xfId="0"/>
    <cellStyle name="Вычисление 2 18 2 2 2 3" xfId="0"/>
    <cellStyle name="Вычисление 2 18 2 2 3" xfId="0"/>
    <cellStyle name="Вычисление 2 18 2 2 4" xfId="0"/>
    <cellStyle name="Вычисление 2 18 2 3" xfId="0"/>
    <cellStyle name="Вычисление 2 18 2 3 2" xfId="0"/>
    <cellStyle name="Вычисление 2 18 2 3 2 2" xfId="0"/>
    <cellStyle name="Вычисление 2 18 2 3 2 3" xfId="0"/>
    <cellStyle name="Вычисление 2 18 2 3 3" xfId="0"/>
    <cellStyle name="Вычисление 2 18 2 3 4" xfId="0"/>
    <cellStyle name="Вычисление 2 18 2 4" xfId="0"/>
    <cellStyle name="Вычисление 2 18 2 4 2" xfId="0"/>
    <cellStyle name="Вычисление 2 18 2 4 3" xfId="0"/>
    <cellStyle name="Вычисление 2 18 2 5" xfId="0"/>
    <cellStyle name="Вычисление 2 18 2 6" xfId="0"/>
    <cellStyle name="Вычисление 2 18 3" xfId="0"/>
    <cellStyle name="Вычисление 2 18 3 2" xfId="0"/>
    <cellStyle name="Вычисление 2 18 3 2 2" xfId="0"/>
    <cellStyle name="Вычисление 2 18 3 2 2 2" xfId="0"/>
    <cellStyle name="Вычисление 2 18 3 2 2 3" xfId="0"/>
    <cellStyle name="Вычисление 2 18 3 2 3" xfId="0"/>
    <cellStyle name="Вычисление 2 18 3 2 4" xfId="0"/>
    <cellStyle name="Вычисление 2 18 3 3" xfId="0"/>
    <cellStyle name="Вычисление 2 18 3 3 2" xfId="0"/>
    <cellStyle name="Вычисление 2 18 3 3 3" xfId="0"/>
    <cellStyle name="Вычисление 2 18 3 4" xfId="0"/>
    <cellStyle name="Вычисление 2 18 3 5" xfId="0"/>
    <cellStyle name="Вычисление 2 18 4" xfId="0"/>
    <cellStyle name="Вычисление 2 18 4 2" xfId="0"/>
    <cellStyle name="Вычисление 2 18 4 2 2" xfId="0"/>
    <cellStyle name="Вычисление 2 18 4 2 2 2" xfId="0"/>
    <cellStyle name="Вычисление 2 18 4 2 2 3" xfId="0"/>
    <cellStyle name="Вычисление 2 18 4 2 3" xfId="0"/>
    <cellStyle name="Вычисление 2 18 4 2 4" xfId="0"/>
    <cellStyle name="Вычисление 2 18 4 3" xfId="0"/>
    <cellStyle name="Вычисление 2 18 4 3 2" xfId="0"/>
    <cellStyle name="Вычисление 2 18 4 3 3" xfId="0"/>
    <cellStyle name="Вычисление 2 18 4 4" xfId="0"/>
    <cellStyle name="Вычисление 2 18 4 5" xfId="0"/>
    <cellStyle name="Вычисление 2 18 5" xfId="0"/>
    <cellStyle name="Вычисление 2 18 5 2" xfId="0"/>
    <cellStyle name="Вычисление 2 18 5 3" xfId="0"/>
    <cellStyle name="Вычисление 2 18 6" xfId="0"/>
    <cellStyle name="Вычисление 2 18 7" xfId="0"/>
    <cellStyle name="Вычисление 2 19" xfId="0"/>
    <cellStyle name="Вычисление 2 19 2" xfId="0"/>
    <cellStyle name="Вычисление 2 19 2 2" xfId="0"/>
    <cellStyle name="Вычисление 2 19 2 2 2" xfId="0"/>
    <cellStyle name="Вычисление 2 19 2 2 2 2" xfId="0"/>
    <cellStyle name="Вычисление 2 19 2 2 2 3" xfId="0"/>
    <cellStyle name="Вычисление 2 19 2 2 3" xfId="0"/>
    <cellStyle name="Вычисление 2 19 2 2 4" xfId="0"/>
    <cellStyle name="Вычисление 2 19 2 3" xfId="0"/>
    <cellStyle name="Вычисление 2 19 2 3 2" xfId="0"/>
    <cellStyle name="Вычисление 2 19 2 3 2 2" xfId="0"/>
    <cellStyle name="Вычисление 2 19 2 3 2 3" xfId="0"/>
    <cellStyle name="Вычисление 2 19 2 3 3" xfId="0"/>
    <cellStyle name="Вычисление 2 19 2 3 4" xfId="0"/>
    <cellStyle name="Вычисление 2 19 2 4" xfId="0"/>
    <cellStyle name="Вычисление 2 19 2 4 2" xfId="0"/>
    <cellStyle name="Вычисление 2 19 2 4 3" xfId="0"/>
    <cellStyle name="Вычисление 2 19 2 5" xfId="0"/>
    <cellStyle name="Вычисление 2 19 2 6" xfId="0"/>
    <cellStyle name="Вычисление 2 19 3" xfId="0"/>
    <cellStyle name="Вычисление 2 19 3 2" xfId="0"/>
    <cellStyle name="Вычисление 2 19 3 2 2" xfId="0"/>
    <cellStyle name="Вычисление 2 19 3 2 2 2" xfId="0"/>
    <cellStyle name="Вычисление 2 19 3 2 2 3" xfId="0"/>
    <cellStyle name="Вычисление 2 19 3 2 3" xfId="0"/>
    <cellStyle name="Вычисление 2 19 3 2 4" xfId="0"/>
    <cellStyle name="Вычисление 2 19 3 3" xfId="0"/>
    <cellStyle name="Вычисление 2 19 3 3 2" xfId="0"/>
    <cellStyle name="Вычисление 2 19 3 3 3" xfId="0"/>
    <cellStyle name="Вычисление 2 19 3 4" xfId="0"/>
    <cellStyle name="Вычисление 2 19 3 5" xfId="0"/>
    <cellStyle name="Вычисление 2 19 4" xfId="0"/>
    <cellStyle name="Вычисление 2 19 4 2" xfId="0"/>
    <cellStyle name="Вычисление 2 19 4 2 2" xfId="0"/>
    <cellStyle name="Вычисление 2 19 4 2 2 2" xfId="0"/>
    <cellStyle name="Вычисление 2 19 4 2 2 3" xfId="0"/>
    <cellStyle name="Вычисление 2 19 4 2 3" xfId="0"/>
    <cellStyle name="Вычисление 2 19 4 2 4" xfId="0"/>
    <cellStyle name="Вычисление 2 19 4 3" xfId="0"/>
    <cellStyle name="Вычисление 2 19 4 3 2" xfId="0"/>
    <cellStyle name="Вычисление 2 19 4 3 3" xfId="0"/>
    <cellStyle name="Вычисление 2 19 4 4" xfId="0"/>
    <cellStyle name="Вычисление 2 19 4 5" xfId="0"/>
    <cellStyle name="Вычисление 2 19 5" xfId="0"/>
    <cellStyle name="Вычисление 2 19 5 2" xfId="0"/>
    <cellStyle name="Вычисление 2 19 5 3" xfId="0"/>
    <cellStyle name="Вычисление 2 19 6" xfId="0"/>
    <cellStyle name="Вычисление 2 19 7" xfId="0"/>
    <cellStyle name="Вычисление 2 2" xfId="0"/>
    <cellStyle name="Вычисление 2 2 10" xfId="0"/>
    <cellStyle name="Вычисление 2 2 11" xfId="0"/>
    <cellStyle name="Вычисление 2 2 2" xfId="0"/>
    <cellStyle name="Вычисление 2 2 2 2" xfId="0"/>
    <cellStyle name="Вычисление 2 2 2 2 2" xfId="0"/>
    <cellStyle name="Вычисление 2 2 2 2 2 2" xfId="0"/>
    <cellStyle name="Вычисление 2 2 2 2 2 2 2" xfId="0"/>
    <cellStyle name="Вычисление 2 2 2 2 2 2 3" xfId="0"/>
    <cellStyle name="Вычисление 2 2 2 2 2 3" xfId="0"/>
    <cellStyle name="Вычисление 2 2 2 2 2 4" xfId="0"/>
    <cellStyle name="Вычисление 2 2 2 2 3" xfId="0"/>
    <cellStyle name="Вычисление 2 2 2 2 3 2" xfId="0"/>
    <cellStyle name="Вычисление 2 2 2 2 3 3" xfId="0"/>
    <cellStyle name="Вычисление 2 2 2 2 4" xfId="0"/>
    <cellStyle name="Вычисление 2 2 2 2 5" xfId="0"/>
    <cellStyle name="Вычисление 2 2 2 3" xfId="0"/>
    <cellStyle name="Вычисление 2 2 2 3 2" xfId="0"/>
    <cellStyle name="Вычисление 2 2 2 3 2 2" xfId="0"/>
    <cellStyle name="Вычисление 2 2 2 3 2 3" xfId="0"/>
    <cellStyle name="Вычисление 2 2 2 3 3" xfId="0"/>
    <cellStyle name="Вычисление 2 2 2 3 4" xfId="0"/>
    <cellStyle name="Вычисление 2 2 2 4" xfId="0"/>
    <cellStyle name="Вычисление 2 2 2 4 2" xfId="0"/>
    <cellStyle name="Вычисление 2 2 2 4 3" xfId="0"/>
    <cellStyle name="Вычисление 2 2 2 5" xfId="0"/>
    <cellStyle name="Вычисление 2 2 2 6" xfId="0"/>
    <cellStyle name="Вычисление 2 2 3" xfId="0"/>
    <cellStyle name="Вычисление 2 2 3 2" xfId="0"/>
    <cellStyle name="Вычисление 2 2 3 2 2" xfId="0"/>
    <cellStyle name="Вычисление 2 2 3 2 2 2" xfId="0"/>
    <cellStyle name="Вычисление 2 2 3 2 2 2 2" xfId="0"/>
    <cellStyle name="Вычисление 2 2 3 2 2 2 3" xfId="0"/>
    <cellStyle name="Вычисление 2 2 3 2 2 3" xfId="0"/>
    <cellStyle name="Вычисление 2 2 3 2 2 4" xfId="0"/>
    <cellStyle name="Вычисление 2 2 3 2 3" xfId="0"/>
    <cellStyle name="Вычисление 2 2 3 2 3 2" xfId="0"/>
    <cellStyle name="Вычисление 2 2 3 2 3 3" xfId="0"/>
    <cellStyle name="Вычисление 2 2 3 2 4" xfId="0"/>
    <cellStyle name="Вычисление 2 2 3 2 5" xfId="0"/>
    <cellStyle name="Вычисление 2 2 3 3" xfId="0"/>
    <cellStyle name="Вычисление 2 2 3 3 2" xfId="0"/>
    <cellStyle name="Вычисление 2 2 3 3 2 2" xfId="0"/>
    <cellStyle name="Вычисление 2 2 3 3 2 3" xfId="0"/>
    <cellStyle name="Вычисление 2 2 3 3 3" xfId="0"/>
    <cellStyle name="Вычисление 2 2 3 3 4" xfId="0"/>
    <cellStyle name="Вычисление 2 2 3 4" xfId="0"/>
    <cellStyle name="Вычисление 2 2 3 4 2" xfId="0"/>
    <cellStyle name="Вычисление 2 2 3 4 3" xfId="0"/>
    <cellStyle name="Вычисление 2 2 3 5" xfId="0"/>
    <cellStyle name="Вычисление 2 2 3 6" xfId="0"/>
    <cellStyle name="Вычисление 2 2 4" xfId="0"/>
    <cellStyle name="Вычисление 2 2 4 2" xfId="0"/>
    <cellStyle name="Вычисление 2 2 4 2 2" xfId="0"/>
    <cellStyle name="Вычисление 2 2 4 2 2 2" xfId="0"/>
    <cellStyle name="Вычисление 2 2 4 2 2 2 2" xfId="0"/>
    <cellStyle name="Вычисление 2 2 4 2 2 2 3" xfId="0"/>
    <cellStyle name="Вычисление 2 2 4 2 2 3" xfId="0"/>
    <cellStyle name="Вычисление 2 2 4 2 2 4" xfId="0"/>
    <cellStyle name="Вычисление 2 2 4 2 3" xfId="0"/>
    <cellStyle name="Вычисление 2 2 4 2 3 2" xfId="0"/>
    <cellStyle name="Вычисление 2 2 4 2 3 3" xfId="0"/>
    <cellStyle name="Вычисление 2 2 4 2 4" xfId="0"/>
    <cellStyle name="Вычисление 2 2 4 2 5" xfId="0"/>
    <cellStyle name="Вычисление 2 2 4 3" xfId="0"/>
    <cellStyle name="Вычисление 2 2 4 3 2" xfId="0"/>
    <cellStyle name="Вычисление 2 2 4 3 2 2" xfId="0"/>
    <cellStyle name="Вычисление 2 2 4 3 2 3" xfId="0"/>
    <cellStyle name="Вычисление 2 2 4 3 3" xfId="0"/>
    <cellStyle name="Вычисление 2 2 4 3 4" xfId="0"/>
    <cellStyle name="Вычисление 2 2 4 4" xfId="0"/>
    <cellStyle name="Вычисление 2 2 4 4 2" xfId="0"/>
    <cellStyle name="Вычисление 2 2 4 4 3" xfId="0"/>
    <cellStyle name="Вычисление 2 2 4 5" xfId="0"/>
    <cellStyle name="Вычисление 2 2 4 6" xfId="0"/>
    <cellStyle name="Вычисление 2 2 5" xfId="0"/>
    <cellStyle name="Вычисление 2 2 5 2" xfId="0"/>
    <cellStyle name="Вычисление 2 2 5 2 2" xfId="0"/>
    <cellStyle name="Вычисление 2 2 5 2 2 2" xfId="0"/>
    <cellStyle name="Вычисление 2 2 5 2 2 2 2" xfId="0"/>
    <cellStyle name="Вычисление 2 2 5 2 2 2 3" xfId="0"/>
    <cellStyle name="Вычисление 2 2 5 2 2 3" xfId="0"/>
    <cellStyle name="Вычисление 2 2 5 2 2 4" xfId="0"/>
    <cellStyle name="Вычисление 2 2 5 2 3" xfId="0"/>
    <cellStyle name="Вычисление 2 2 5 2 3 2" xfId="0"/>
    <cellStyle name="Вычисление 2 2 5 2 3 3" xfId="0"/>
    <cellStyle name="Вычисление 2 2 5 2 4" xfId="0"/>
    <cellStyle name="Вычисление 2 2 5 2 5" xfId="0"/>
    <cellStyle name="Вычисление 2 2 5 3" xfId="0"/>
    <cellStyle name="Вычисление 2 2 5 3 2" xfId="0"/>
    <cellStyle name="Вычисление 2 2 5 3 2 2" xfId="0"/>
    <cellStyle name="Вычисление 2 2 5 3 2 3" xfId="0"/>
    <cellStyle name="Вычисление 2 2 5 3 3" xfId="0"/>
    <cellStyle name="Вычисление 2 2 5 3 4" xfId="0"/>
    <cellStyle name="Вычисление 2 2 5 4" xfId="0"/>
    <cellStyle name="Вычисление 2 2 5 4 2" xfId="0"/>
    <cellStyle name="Вычисление 2 2 5 4 3" xfId="0"/>
    <cellStyle name="Вычисление 2 2 5 5" xfId="0"/>
    <cellStyle name="Вычисление 2 2 5 6" xfId="0"/>
    <cellStyle name="Вычисление 2 2 6" xfId="0"/>
    <cellStyle name="Вычисление 2 2 6 2" xfId="0"/>
    <cellStyle name="Вычисление 2 2 6 2 2" xfId="0"/>
    <cellStyle name="Вычисление 2 2 6 2 2 2" xfId="0"/>
    <cellStyle name="Вычисление 2 2 6 2 2 3" xfId="0"/>
    <cellStyle name="Вычисление 2 2 6 2 3" xfId="0"/>
    <cellStyle name="Вычисление 2 2 6 2 4" xfId="0"/>
    <cellStyle name="Вычисление 2 2 6 3" xfId="0"/>
    <cellStyle name="Вычисление 2 2 6 3 2" xfId="0"/>
    <cellStyle name="Вычисление 2 2 6 3 3" xfId="0"/>
    <cellStyle name="Вычисление 2 2 6 4" xfId="0"/>
    <cellStyle name="Вычисление 2 2 6 5" xfId="0"/>
    <cellStyle name="Вычисление 2 2 7" xfId="0"/>
    <cellStyle name="Вычисление 2 2 7 2" xfId="0"/>
    <cellStyle name="Вычисление 2 2 7 2 2" xfId="0"/>
    <cellStyle name="Вычисление 2 2 7 2 2 2" xfId="0"/>
    <cellStyle name="Вычисление 2 2 7 2 2 3" xfId="0"/>
    <cellStyle name="Вычисление 2 2 7 2 3" xfId="0"/>
    <cellStyle name="Вычисление 2 2 7 2 4" xfId="0"/>
    <cellStyle name="Вычисление 2 2 7 3" xfId="0"/>
    <cellStyle name="Вычисление 2 2 7 3 2" xfId="0"/>
    <cellStyle name="Вычисление 2 2 7 3 3" xfId="0"/>
    <cellStyle name="Вычисление 2 2 7 4" xfId="0"/>
    <cellStyle name="Вычисление 2 2 7 5" xfId="0"/>
    <cellStyle name="Вычисление 2 2 8" xfId="0"/>
    <cellStyle name="Вычисление 2 2 8 2" xfId="0"/>
    <cellStyle name="Вычисление 2 2 8 3" xfId="0"/>
    <cellStyle name="Вычисление 2 2 9" xfId="0"/>
    <cellStyle name="Вычисление 2 2 9 2" xfId="0"/>
    <cellStyle name="Вычисление 2 2 9 3" xfId="0"/>
    <cellStyle name="Вычисление 2 20" xfId="0"/>
    <cellStyle name="Вычисление 2 20 2" xfId="0"/>
    <cellStyle name="Вычисление 2 20 2 2" xfId="0"/>
    <cellStyle name="Вычисление 2 20 2 2 2" xfId="0"/>
    <cellStyle name="Вычисление 2 20 2 2 2 2" xfId="0"/>
    <cellStyle name="Вычисление 2 20 2 2 2 3" xfId="0"/>
    <cellStyle name="Вычисление 2 20 2 2 3" xfId="0"/>
    <cellStyle name="Вычисление 2 20 2 2 4" xfId="0"/>
    <cellStyle name="Вычисление 2 20 2 3" xfId="0"/>
    <cellStyle name="Вычисление 2 20 2 3 2" xfId="0"/>
    <cellStyle name="Вычисление 2 20 2 3 3" xfId="0"/>
    <cellStyle name="Вычисление 2 20 2 4" xfId="0"/>
    <cellStyle name="Вычисление 2 20 2 5" xfId="0"/>
    <cellStyle name="Вычисление 2 20 3" xfId="0"/>
    <cellStyle name="Вычисление 2 20 3 2" xfId="0"/>
    <cellStyle name="Вычисление 2 20 3 2 2" xfId="0"/>
    <cellStyle name="Вычисление 2 20 3 2 3" xfId="0"/>
    <cellStyle name="Вычисление 2 20 3 3" xfId="0"/>
    <cellStyle name="Вычисление 2 20 3 4" xfId="0"/>
    <cellStyle name="Вычисление 2 20 4" xfId="0"/>
    <cellStyle name="Вычисление 2 20 4 2" xfId="0"/>
    <cellStyle name="Вычисление 2 20 4 3" xfId="0"/>
    <cellStyle name="Вычисление 2 20 5" xfId="0"/>
    <cellStyle name="Вычисление 2 20 6" xfId="0"/>
    <cellStyle name="Вычисление 2 21" xfId="0"/>
    <cellStyle name="Вычисление 2 21 2" xfId="0"/>
    <cellStyle name="Вычисление 2 21 2 2" xfId="0"/>
    <cellStyle name="Вычисление 2 21 2 2 2" xfId="0"/>
    <cellStyle name="Вычисление 2 21 2 2 3" xfId="0"/>
    <cellStyle name="Вычисление 2 21 2 3" xfId="0"/>
    <cellStyle name="Вычисление 2 21 2 4" xfId="0"/>
    <cellStyle name="Вычисление 2 21 3" xfId="0"/>
    <cellStyle name="Вычисление 2 21 3 2" xfId="0"/>
    <cellStyle name="Вычисление 2 21 3 2 2" xfId="0"/>
    <cellStyle name="Вычисление 2 21 3 2 3" xfId="0"/>
    <cellStyle name="Вычисление 2 21 3 3" xfId="0"/>
    <cellStyle name="Вычисление 2 21 3 4" xfId="0"/>
    <cellStyle name="Вычисление 2 21 4" xfId="0"/>
    <cellStyle name="Вычисление 2 21 4 2" xfId="0"/>
    <cellStyle name="Вычисление 2 21 4 3" xfId="0"/>
    <cellStyle name="Вычисление 2 21 5" xfId="0"/>
    <cellStyle name="Вычисление 2 21 6" xfId="0"/>
    <cellStyle name="Вычисление 2 22" xfId="0"/>
    <cellStyle name="Вычисление 2 22 2" xfId="0"/>
    <cellStyle name="Вычисление 2 22 2 2" xfId="0"/>
    <cellStyle name="Вычисление 2 22 2 2 2" xfId="0"/>
    <cellStyle name="Вычисление 2 22 2 2 3" xfId="0"/>
    <cellStyle name="Вычисление 2 22 2 3" xfId="0"/>
    <cellStyle name="Вычисление 2 22 2 4" xfId="0"/>
    <cellStyle name="Вычисление 2 22 3" xfId="0"/>
    <cellStyle name="Вычисление 2 22 3 2" xfId="0"/>
    <cellStyle name="Вычисление 2 22 3 2 2" xfId="0"/>
    <cellStyle name="Вычисление 2 22 3 2 3" xfId="0"/>
    <cellStyle name="Вычисление 2 22 3 3" xfId="0"/>
    <cellStyle name="Вычисление 2 22 3 4" xfId="0"/>
    <cellStyle name="Вычисление 2 22 4" xfId="0"/>
    <cellStyle name="Вычисление 2 22 4 2" xfId="0"/>
    <cellStyle name="Вычисление 2 22 4 3" xfId="0"/>
    <cellStyle name="Вычисление 2 22 5" xfId="0"/>
    <cellStyle name="Вычисление 2 22 6" xfId="0"/>
    <cellStyle name="Вычисление 2 23" xfId="0"/>
    <cellStyle name="Вычисление 2 23 2" xfId="0"/>
    <cellStyle name="Вычисление 2 23 2 2" xfId="0"/>
    <cellStyle name="Вычисление 2 23 2 2 2" xfId="0"/>
    <cellStyle name="Вычисление 2 23 2 2 3" xfId="0"/>
    <cellStyle name="Вычисление 2 23 2 3" xfId="0"/>
    <cellStyle name="Вычисление 2 23 2 4" xfId="0"/>
    <cellStyle name="Вычисление 2 23 3" xfId="0"/>
    <cellStyle name="Вычисление 2 23 3 2" xfId="0"/>
    <cellStyle name="Вычисление 2 23 3 2 2" xfId="0"/>
    <cellStyle name="Вычисление 2 23 3 2 3" xfId="0"/>
    <cellStyle name="Вычисление 2 23 3 3" xfId="0"/>
    <cellStyle name="Вычисление 2 23 3 4" xfId="0"/>
    <cellStyle name="Вычисление 2 23 4" xfId="0"/>
    <cellStyle name="Вычисление 2 23 4 2" xfId="0"/>
    <cellStyle name="Вычисление 2 23 4 3" xfId="0"/>
    <cellStyle name="Вычисление 2 23 5" xfId="0"/>
    <cellStyle name="Вычисление 2 23 6" xfId="0"/>
    <cellStyle name="Вычисление 2 24" xfId="0"/>
    <cellStyle name="Вычисление 2 24 2" xfId="0"/>
    <cellStyle name="Вычисление 2 24 2 2" xfId="0"/>
    <cellStyle name="Вычисление 2 24 2 2 2" xfId="0"/>
    <cellStyle name="Вычисление 2 24 2 2 3" xfId="0"/>
    <cellStyle name="Вычисление 2 24 2 3" xfId="0"/>
    <cellStyle name="Вычисление 2 24 2 4" xfId="0"/>
    <cellStyle name="Вычисление 2 24 3" xfId="0"/>
    <cellStyle name="Вычисление 2 24 3 2" xfId="0"/>
    <cellStyle name="Вычисление 2 24 3 2 2" xfId="0"/>
    <cellStyle name="Вычисление 2 24 3 2 3" xfId="0"/>
    <cellStyle name="Вычисление 2 24 3 3" xfId="0"/>
    <cellStyle name="Вычисление 2 24 3 4" xfId="0"/>
    <cellStyle name="Вычисление 2 24 4" xfId="0"/>
    <cellStyle name="Вычисление 2 24 4 2" xfId="0"/>
    <cellStyle name="Вычисление 2 24 4 3" xfId="0"/>
    <cellStyle name="Вычисление 2 24 5" xfId="0"/>
    <cellStyle name="Вычисление 2 24 6" xfId="0"/>
    <cellStyle name="Вычисление 2 25" xfId="0"/>
    <cellStyle name="Вычисление 2 25 2" xfId="0"/>
    <cellStyle name="Вычисление 2 25 2 2" xfId="0"/>
    <cellStyle name="Вычисление 2 25 2 2 2" xfId="0"/>
    <cellStyle name="Вычисление 2 25 2 2 3" xfId="0"/>
    <cellStyle name="Вычисление 2 25 2 3" xfId="0"/>
    <cellStyle name="Вычисление 2 25 2 4" xfId="0"/>
    <cellStyle name="Вычисление 2 25 3" xfId="0"/>
    <cellStyle name="Вычисление 2 25 3 2" xfId="0"/>
    <cellStyle name="Вычисление 2 25 3 3" xfId="0"/>
    <cellStyle name="Вычисление 2 25 4" xfId="0"/>
    <cellStyle name="Вычисление 2 25 5" xfId="0"/>
    <cellStyle name="Вычисление 2 26" xfId="0"/>
    <cellStyle name="Вычисление 2 26 2" xfId="0"/>
    <cellStyle name="Вычисление 2 26 2 2" xfId="0"/>
    <cellStyle name="Вычисление 2 26 2 2 2" xfId="0"/>
    <cellStyle name="Вычисление 2 26 2 2 3" xfId="0"/>
    <cellStyle name="Вычисление 2 26 2 3" xfId="0"/>
    <cellStyle name="Вычисление 2 26 2 4" xfId="0"/>
    <cellStyle name="Вычисление 2 26 3" xfId="0"/>
    <cellStyle name="Вычисление 2 26 3 2" xfId="0"/>
    <cellStyle name="Вычисление 2 26 3 3" xfId="0"/>
    <cellStyle name="Вычисление 2 26 4" xfId="0"/>
    <cellStyle name="Вычисление 2 26 5" xfId="0"/>
    <cellStyle name="Вычисление 2 27" xfId="0"/>
    <cellStyle name="Вычисление 2 27 2" xfId="0"/>
    <cellStyle name="Вычисление 2 27 2 2" xfId="0"/>
    <cellStyle name="Вычисление 2 27 2 3" xfId="0"/>
    <cellStyle name="Вычисление 2 27 3" xfId="0"/>
    <cellStyle name="Вычисление 2 27 4" xfId="0"/>
    <cellStyle name="Вычисление 2 28" xfId="0"/>
    <cellStyle name="Вычисление 2 28 2" xfId="0"/>
    <cellStyle name="Вычисление 2 28 2 2" xfId="0"/>
    <cellStyle name="Вычисление 2 28 2 3" xfId="0"/>
    <cellStyle name="Вычисление 2 28 3" xfId="0"/>
    <cellStyle name="Вычисление 2 28 4" xfId="0"/>
    <cellStyle name="Вычисление 2 29" xfId="0"/>
    <cellStyle name="Вычисление 2 29 2" xfId="0"/>
    <cellStyle name="Вычисление 2 29 3" xfId="0"/>
    <cellStyle name="Вычисление 2 3" xfId="0"/>
    <cellStyle name="Вычисление 2 3 10" xfId="0"/>
    <cellStyle name="Вычисление 2 3 2" xfId="0"/>
    <cellStyle name="Вычисление 2 3 2 2" xfId="0"/>
    <cellStyle name="Вычисление 2 3 2 2 2" xfId="0"/>
    <cellStyle name="Вычисление 2 3 2 2 2 2" xfId="0"/>
    <cellStyle name="Вычисление 2 3 2 2 2 3" xfId="0"/>
    <cellStyle name="Вычисление 2 3 2 2 3" xfId="0"/>
    <cellStyle name="Вычисление 2 3 2 2 4" xfId="0"/>
    <cellStyle name="Вычисление 2 3 2 3" xfId="0"/>
    <cellStyle name="Вычисление 2 3 2 3 2" xfId="0"/>
    <cellStyle name="Вычисление 2 3 2 3 2 2" xfId="0"/>
    <cellStyle name="Вычисление 2 3 2 3 2 3" xfId="0"/>
    <cellStyle name="Вычисление 2 3 2 3 3" xfId="0"/>
    <cellStyle name="Вычисление 2 3 2 3 4" xfId="0"/>
    <cellStyle name="Вычисление 2 3 2 4" xfId="0"/>
    <cellStyle name="Вычисление 2 3 2 4 2" xfId="0"/>
    <cellStyle name="Вычисление 2 3 2 4 3" xfId="0"/>
    <cellStyle name="Вычисление 2 3 2 5" xfId="0"/>
    <cellStyle name="Вычисление 2 3 2 6" xfId="0"/>
    <cellStyle name="Вычисление 2 3 3" xfId="0"/>
    <cellStyle name="Вычисление 2 3 3 2" xfId="0"/>
    <cellStyle name="Вычисление 2 3 3 2 2" xfId="0"/>
    <cellStyle name="Вычисление 2 3 3 2 2 2" xfId="0"/>
    <cellStyle name="Вычисление 2 3 3 2 2 3" xfId="0"/>
    <cellStyle name="Вычисление 2 3 3 2 3" xfId="0"/>
    <cellStyle name="Вычисление 2 3 3 2 4" xfId="0"/>
    <cellStyle name="Вычисление 2 3 3 3" xfId="0"/>
    <cellStyle name="Вычисление 2 3 3 3 2" xfId="0"/>
    <cellStyle name="Вычисление 2 3 3 3 2 2" xfId="0"/>
    <cellStyle name="Вычисление 2 3 3 3 2 3" xfId="0"/>
    <cellStyle name="Вычисление 2 3 3 3 3" xfId="0"/>
    <cellStyle name="Вычисление 2 3 3 3 4" xfId="0"/>
    <cellStyle name="Вычисление 2 3 3 4" xfId="0"/>
    <cellStyle name="Вычисление 2 3 3 4 2" xfId="0"/>
    <cellStyle name="Вычисление 2 3 3 4 3" xfId="0"/>
    <cellStyle name="Вычисление 2 3 3 5" xfId="0"/>
    <cellStyle name="Вычисление 2 3 3 6" xfId="0"/>
    <cellStyle name="Вычисление 2 3 4" xfId="0"/>
    <cellStyle name="Вычисление 2 3 4 2" xfId="0"/>
    <cellStyle name="Вычисление 2 3 4 2 2" xfId="0"/>
    <cellStyle name="Вычисление 2 3 4 2 2 2" xfId="0"/>
    <cellStyle name="Вычисление 2 3 4 2 2 3" xfId="0"/>
    <cellStyle name="Вычисление 2 3 4 2 3" xfId="0"/>
    <cellStyle name="Вычисление 2 3 4 2 4" xfId="0"/>
    <cellStyle name="Вычисление 2 3 4 3" xfId="0"/>
    <cellStyle name="Вычисление 2 3 4 3 2" xfId="0"/>
    <cellStyle name="Вычисление 2 3 4 3 2 2" xfId="0"/>
    <cellStyle name="Вычисление 2 3 4 3 2 3" xfId="0"/>
    <cellStyle name="Вычисление 2 3 4 3 3" xfId="0"/>
    <cellStyle name="Вычисление 2 3 4 3 4" xfId="0"/>
    <cellStyle name="Вычисление 2 3 4 4" xfId="0"/>
    <cellStyle name="Вычисление 2 3 4 4 2" xfId="0"/>
    <cellStyle name="Вычисление 2 3 4 4 3" xfId="0"/>
    <cellStyle name="Вычисление 2 3 4 5" xfId="0"/>
    <cellStyle name="Вычисление 2 3 4 6" xfId="0"/>
    <cellStyle name="Вычисление 2 3 5" xfId="0"/>
    <cellStyle name="Вычисление 2 3 5 2" xfId="0"/>
    <cellStyle name="Вычисление 2 3 5 2 2" xfId="0"/>
    <cellStyle name="Вычисление 2 3 5 2 2 2" xfId="0"/>
    <cellStyle name="Вычисление 2 3 5 2 2 3" xfId="0"/>
    <cellStyle name="Вычисление 2 3 5 2 3" xfId="0"/>
    <cellStyle name="Вычисление 2 3 5 2 4" xfId="0"/>
    <cellStyle name="Вычисление 2 3 5 3" xfId="0"/>
    <cellStyle name="Вычисление 2 3 5 3 2" xfId="0"/>
    <cellStyle name="Вычисление 2 3 5 3 2 2" xfId="0"/>
    <cellStyle name="Вычисление 2 3 5 3 2 3" xfId="0"/>
    <cellStyle name="Вычисление 2 3 5 3 3" xfId="0"/>
    <cellStyle name="Вычисление 2 3 5 3 4" xfId="0"/>
    <cellStyle name="Вычисление 2 3 5 4" xfId="0"/>
    <cellStyle name="Вычисление 2 3 5 4 2" xfId="0"/>
    <cellStyle name="Вычисление 2 3 5 4 3" xfId="0"/>
    <cellStyle name="Вычисление 2 3 5 5" xfId="0"/>
    <cellStyle name="Вычисление 2 3 5 6" xfId="0"/>
    <cellStyle name="Вычисление 2 3 6" xfId="0"/>
    <cellStyle name="Вычисление 2 3 6 2" xfId="0"/>
    <cellStyle name="Вычисление 2 3 6 2 2" xfId="0"/>
    <cellStyle name="Вычисление 2 3 6 2 2 2" xfId="0"/>
    <cellStyle name="Вычисление 2 3 6 2 2 3" xfId="0"/>
    <cellStyle name="Вычисление 2 3 6 2 3" xfId="0"/>
    <cellStyle name="Вычисление 2 3 6 2 4" xfId="0"/>
    <cellStyle name="Вычисление 2 3 6 3" xfId="0"/>
    <cellStyle name="Вычисление 2 3 6 3 2" xfId="0"/>
    <cellStyle name="Вычисление 2 3 6 3 3" xfId="0"/>
    <cellStyle name="Вычисление 2 3 6 4" xfId="0"/>
    <cellStyle name="Вычисление 2 3 6 5" xfId="0"/>
    <cellStyle name="Вычисление 2 3 7" xfId="0"/>
    <cellStyle name="Вычисление 2 3 7 2" xfId="0"/>
    <cellStyle name="Вычисление 2 3 7 2 2" xfId="0"/>
    <cellStyle name="Вычисление 2 3 7 2 2 2" xfId="0"/>
    <cellStyle name="Вычисление 2 3 7 2 2 3" xfId="0"/>
    <cellStyle name="Вычисление 2 3 7 2 3" xfId="0"/>
    <cellStyle name="Вычисление 2 3 7 2 4" xfId="0"/>
    <cellStyle name="Вычисление 2 3 7 3" xfId="0"/>
    <cellStyle name="Вычисление 2 3 7 3 2" xfId="0"/>
    <cellStyle name="Вычисление 2 3 7 3 3" xfId="0"/>
    <cellStyle name="Вычисление 2 3 7 4" xfId="0"/>
    <cellStyle name="Вычисление 2 3 7 5" xfId="0"/>
    <cellStyle name="Вычисление 2 3 8" xfId="0"/>
    <cellStyle name="Вычисление 2 3 8 2" xfId="0"/>
    <cellStyle name="Вычисление 2 3 8 3" xfId="0"/>
    <cellStyle name="Вычисление 2 3 9" xfId="0"/>
    <cellStyle name="Вычисление 2 30" xfId="0"/>
    <cellStyle name="Вычисление 2 30 2" xfId="0"/>
    <cellStyle name="Вычисление 2 30 3" xfId="0"/>
    <cellStyle name="Вычисление 2 31" xfId="0"/>
    <cellStyle name="Вычисление 2 31 2" xfId="0"/>
    <cellStyle name="Вычисление 2 31 3" xfId="0"/>
    <cellStyle name="Вычисление 2 32" xfId="0"/>
    <cellStyle name="Вычисление 2 32 2" xfId="0"/>
    <cellStyle name="Вычисление 2 32 3" xfId="0"/>
    <cellStyle name="Вычисление 2 33" xfId="0"/>
    <cellStyle name="Вычисление 2 4" xfId="0"/>
    <cellStyle name="Вычисление 2 4 10" xfId="0"/>
    <cellStyle name="Вычисление 2 4 2" xfId="0"/>
    <cellStyle name="Вычисление 2 4 2 2" xfId="0"/>
    <cellStyle name="Вычисление 2 4 2 2 2" xfId="0"/>
    <cellStyle name="Вычисление 2 4 2 2 2 2" xfId="0"/>
    <cellStyle name="Вычисление 2 4 2 2 2 3" xfId="0"/>
    <cellStyle name="Вычисление 2 4 2 2 3" xfId="0"/>
    <cellStyle name="Вычисление 2 4 2 2 4" xfId="0"/>
    <cellStyle name="Вычисление 2 4 2 3" xfId="0"/>
    <cellStyle name="Вычисление 2 4 2 3 2" xfId="0"/>
    <cellStyle name="Вычисление 2 4 2 3 2 2" xfId="0"/>
    <cellStyle name="Вычисление 2 4 2 3 2 3" xfId="0"/>
    <cellStyle name="Вычисление 2 4 2 3 3" xfId="0"/>
    <cellStyle name="Вычисление 2 4 2 3 4" xfId="0"/>
    <cellStyle name="Вычисление 2 4 2 4" xfId="0"/>
    <cellStyle name="Вычисление 2 4 2 4 2" xfId="0"/>
    <cellStyle name="Вычисление 2 4 2 4 3" xfId="0"/>
    <cellStyle name="Вычисление 2 4 2 5" xfId="0"/>
    <cellStyle name="Вычисление 2 4 2 6" xfId="0"/>
    <cellStyle name="Вычисление 2 4 3" xfId="0"/>
    <cellStyle name="Вычисление 2 4 3 2" xfId="0"/>
    <cellStyle name="Вычисление 2 4 3 2 2" xfId="0"/>
    <cellStyle name="Вычисление 2 4 3 2 2 2" xfId="0"/>
    <cellStyle name="Вычисление 2 4 3 2 2 3" xfId="0"/>
    <cellStyle name="Вычисление 2 4 3 2 3" xfId="0"/>
    <cellStyle name="Вычисление 2 4 3 2 4" xfId="0"/>
    <cellStyle name="Вычисление 2 4 3 3" xfId="0"/>
    <cellStyle name="Вычисление 2 4 3 3 2" xfId="0"/>
    <cellStyle name="Вычисление 2 4 3 3 2 2" xfId="0"/>
    <cellStyle name="Вычисление 2 4 3 3 2 3" xfId="0"/>
    <cellStyle name="Вычисление 2 4 3 3 3" xfId="0"/>
    <cellStyle name="Вычисление 2 4 3 3 4" xfId="0"/>
    <cellStyle name="Вычисление 2 4 3 4" xfId="0"/>
    <cellStyle name="Вычисление 2 4 3 4 2" xfId="0"/>
    <cellStyle name="Вычисление 2 4 3 4 3" xfId="0"/>
    <cellStyle name="Вычисление 2 4 3 5" xfId="0"/>
    <cellStyle name="Вычисление 2 4 3 6" xfId="0"/>
    <cellStyle name="Вычисление 2 4 4" xfId="0"/>
    <cellStyle name="Вычисление 2 4 4 2" xfId="0"/>
    <cellStyle name="Вычисление 2 4 4 2 2" xfId="0"/>
    <cellStyle name="Вычисление 2 4 4 2 2 2" xfId="0"/>
    <cellStyle name="Вычисление 2 4 4 2 2 3" xfId="0"/>
    <cellStyle name="Вычисление 2 4 4 2 3" xfId="0"/>
    <cellStyle name="Вычисление 2 4 4 2 4" xfId="0"/>
    <cellStyle name="Вычисление 2 4 4 3" xfId="0"/>
    <cellStyle name="Вычисление 2 4 4 3 2" xfId="0"/>
    <cellStyle name="Вычисление 2 4 4 3 2 2" xfId="0"/>
    <cellStyle name="Вычисление 2 4 4 3 2 3" xfId="0"/>
    <cellStyle name="Вычисление 2 4 4 3 3" xfId="0"/>
    <cellStyle name="Вычисление 2 4 4 3 4" xfId="0"/>
    <cellStyle name="Вычисление 2 4 4 4" xfId="0"/>
    <cellStyle name="Вычисление 2 4 4 4 2" xfId="0"/>
    <cellStyle name="Вычисление 2 4 4 4 3" xfId="0"/>
    <cellStyle name="Вычисление 2 4 4 5" xfId="0"/>
    <cellStyle name="Вычисление 2 4 4 6" xfId="0"/>
    <cellStyle name="Вычисление 2 4 5" xfId="0"/>
    <cellStyle name="Вычисление 2 4 5 2" xfId="0"/>
    <cellStyle name="Вычисление 2 4 5 2 2" xfId="0"/>
    <cellStyle name="Вычисление 2 4 5 2 2 2" xfId="0"/>
    <cellStyle name="Вычисление 2 4 5 2 2 3" xfId="0"/>
    <cellStyle name="Вычисление 2 4 5 2 3" xfId="0"/>
    <cellStyle name="Вычисление 2 4 5 2 4" xfId="0"/>
    <cellStyle name="Вычисление 2 4 5 3" xfId="0"/>
    <cellStyle name="Вычисление 2 4 5 3 2" xfId="0"/>
    <cellStyle name="Вычисление 2 4 5 3 2 2" xfId="0"/>
    <cellStyle name="Вычисление 2 4 5 3 2 3" xfId="0"/>
    <cellStyle name="Вычисление 2 4 5 3 3" xfId="0"/>
    <cellStyle name="Вычисление 2 4 5 3 4" xfId="0"/>
    <cellStyle name="Вычисление 2 4 5 4" xfId="0"/>
    <cellStyle name="Вычисление 2 4 5 4 2" xfId="0"/>
    <cellStyle name="Вычисление 2 4 5 4 3" xfId="0"/>
    <cellStyle name="Вычисление 2 4 5 5" xfId="0"/>
    <cellStyle name="Вычисление 2 4 5 6" xfId="0"/>
    <cellStyle name="Вычисление 2 4 6" xfId="0"/>
    <cellStyle name="Вычисление 2 4 6 2" xfId="0"/>
    <cellStyle name="Вычисление 2 4 6 2 2" xfId="0"/>
    <cellStyle name="Вычисление 2 4 6 2 2 2" xfId="0"/>
    <cellStyle name="Вычисление 2 4 6 2 2 3" xfId="0"/>
    <cellStyle name="Вычисление 2 4 6 2 3" xfId="0"/>
    <cellStyle name="Вычисление 2 4 6 2 4" xfId="0"/>
    <cellStyle name="Вычисление 2 4 6 3" xfId="0"/>
    <cellStyle name="Вычисление 2 4 6 3 2" xfId="0"/>
    <cellStyle name="Вычисление 2 4 6 3 3" xfId="0"/>
    <cellStyle name="Вычисление 2 4 6 4" xfId="0"/>
    <cellStyle name="Вычисление 2 4 6 5" xfId="0"/>
    <cellStyle name="Вычисление 2 4 7" xfId="0"/>
    <cellStyle name="Вычисление 2 4 7 2" xfId="0"/>
    <cellStyle name="Вычисление 2 4 7 2 2" xfId="0"/>
    <cellStyle name="Вычисление 2 4 7 2 2 2" xfId="0"/>
    <cellStyle name="Вычисление 2 4 7 2 2 3" xfId="0"/>
    <cellStyle name="Вычисление 2 4 7 2 3" xfId="0"/>
    <cellStyle name="Вычисление 2 4 7 2 4" xfId="0"/>
    <cellStyle name="Вычисление 2 4 7 3" xfId="0"/>
    <cellStyle name="Вычисление 2 4 7 3 2" xfId="0"/>
    <cellStyle name="Вычисление 2 4 7 3 3" xfId="0"/>
    <cellStyle name="Вычисление 2 4 7 4" xfId="0"/>
    <cellStyle name="Вычисление 2 4 7 5" xfId="0"/>
    <cellStyle name="Вычисление 2 4 8" xfId="0"/>
    <cellStyle name="Вычисление 2 4 8 2" xfId="0"/>
    <cellStyle name="Вычисление 2 4 8 3" xfId="0"/>
    <cellStyle name="Вычисление 2 4 9" xfId="0"/>
    <cellStyle name="Вычисление 2 5" xfId="0"/>
    <cellStyle name="Вычисление 2 5 2" xfId="0"/>
    <cellStyle name="Вычисление 2 5 2 2" xfId="0"/>
    <cellStyle name="Вычисление 2 5 2 2 2" xfId="0"/>
    <cellStyle name="Вычисление 2 5 2 2 2 2" xfId="0"/>
    <cellStyle name="Вычисление 2 5 2 2 2 3" xfId="0"/>
    <cellStyle name="Вычисление 2 5 2 2 3" xfId="0"/>
    <cellStyle name="Вычисление 2 5 2 2 4" xfId="0"/>
    <cellStyle name="Вычисление 2 5 2 3" xfId="0"/>
    <cellStyle name="Вычисление 2 5 2 3 2" xfId="0"/>
    <cellStyle name="Вычисление 2 5 2 3 2 2" xfId="0"/>
    <cellStyle name="Вычисление 2 5 2 3 2 3" xfId="0"/>
    <cellStyle name="Вычисление 2 5 2 3 3" xfId="0"/>
    <cellStyle name="Вычисление 2 5 2 3 4" xfId="0"/>
    <cellStyle name="Вычисление 2 5 2 4" xfId="0"/>
    <cellStyle name="Вычисление 2 5 2 4 2" xfId="0"/>
    <cellStyle name="Вычисление 2 5 2 4 3" xfId="0"/>
    <cellStyle name="Вычисление 2 5 2 5" xfId="0"/>
    <cellStyle name="Вычисление 2 5 2 6" xfId="0"/>
    <cellStyle name="Вычисление 2 5 3" xfId="0"/>
    <cellStyle name="Вычисление 2 5 3 2" xfId="0"/>
    <cellStyle name="Вычисление 2 5 3 2 2" xfId="0"/>
    <cellStyle name="Вычисление 2 5 3 2 2 2" xfId="0"/>
    <cellStyle name="Вычисление 2 5 3 2 2 3" xfId="0"/>
    <cellStyle name="Вычисление 2 5 3 2 3" xfId="0"/>
    <cellStyle name="Вычисление 2 5 3 2 4" xfId="0"/>
    <cellStyle name="Вычисление 2 5 3 3" xfId="0"/>
    <cellStyle name="Вычисление 2 5 3 3 2" xfId="0"/>
    <cellStyle name="Вычисление 2 5 3 3 3" xfId="0"/>
    <cellStyle name="Вычисление 2 5 3 4" xfId="0"/>
    <cellStyle name="Вычисление 2 5 3 5" xfId="0"/>
    <cellStyle name="Вычисление 2 5 4" xfId="0"/>
    <cellStyle name="Вычисление 2 5 4 2" xfId="0"/>
    <cellStyle name="Вычисление 2 5 4 2 2" xfId="0"/>
    <cellStyle name="Вычисление 2 5 4 2 2 2" xfId="0"/>
    <cellStyle name="Вычисление 2 5 4 2 2 3" xfId="0"/>
    <cellStyle name="Вычисление 2 5 4 2 3" xfId="0"/>
    <cellStyle name="Вычисление 2 5 4 2 4" xfId="0"/>
    <cellStyle name="Вычисление 2 5 4 3" xfId="0"/>
    <cellStyle name="Вычисление 2 5 4 3 2" xfId="0"/>
    <cellStyle name="Вычисление 2 5 4 3 3" xfId="0"/>
    <cellStyle name="Вычисление 2 5 4 4" xfId="0"/>
    <cellStyle name="Вычисление 2 5 4 5" xfId="0"/>
    <cellStyle name="Вычисление 2 5 5" xfId="0"/>
    <cellStyle name="Вычисление 2 5 5 2" xfId="0"/>
    <cellStyle name="Вычисление 2 5 5 3" xfId="0"/>
    <cellStyle name="Вычисление 2 5 6" xfId="0"/>
    <cellStyle name="Вычисление 2 5 7" xfId="0"/>
    <cellStyle name="Вычисление 2 6" xfId="0"/>
    <cellStyle name="Вычисление 2 6 2" xfId="0"/>
    <cellStyle name="Вычисление 2 6 2 2" xfId="0"/>
    <cellStyle name="Вычисление 2 6 2 2 2" xfId="0"/>
    <cellStyle name="Вычисление 2 6 2 2 2 2" xfId="0"/>
    <cellStyle name="Вычисление 2 6 2 2 2 3" xfId="0"/>
    <cellStyle name="Вычисление 2 6 2 2 3" xfId="0"/>
    <cellStyle name="Вычисление 2 6 2 2 4" xfId="0"/>
    <cellStyle name="Вычисление 2 6 2 3" xfId="0"/>
    <cellStyle name="Вычисление 2 6 2 3 2" xfId="0"/>
    <cellStyle name="Вычисление 2 6 2 3 2 2" xfId="0"/>
    <cellStyle name="Вычисление 2 6 2 3 2 3" xfId="0"/>
    <cellStyle name="Вычисление 2 6 2 3 3" xfId="0"/>
    <cellStyle name="Вычисление 2 6 2 3 4" xfId="0"/>
    <cellStyle name="Вычисление 2 6 2 4" xfId="0"/>
    <cellStyle name="Вычисление 2 6 2 4 2" xfId="0"/>
    <cellStyle name="Вычисление 2 6 2 4 3" xfId="0"/>
    <cellStyle name="Вычисление 2 6 2 5" xfId="0"/>
    <cellStyle name="Вычисление 2 6 2 6" xfId="0"/>
    <cellStyle name="Вычисление 2 6 3" xfId="0"/>
    <cellStyle name="Вычисление 2 6 3 2" xfId="0"/>
    <cellStyle name="Вычисление 2 6 3 2 2" xfId="0"/>
    <cellStyle name="Вычисление 2 6 3 2 2 2" xfId="0"/>
    <cellStyle name="Вычисление 2 6 3 2 2 3" xfId="0"/>
    <cellStyle name="Вычисление 2 6 3 2 3" xfId="0"/>
    <cellStyle name="Вычисление 2 6 3 2 4" xfId="0"/>
    <cellStyle name="Вычисление 2 6 3 3" xfId="0"/>
    <cellStyle name="Вычисление 2 6 3 3 2" xfId="0"/>
    <cellStyle name="Вычисление 2 6 3 3 3" xfId="0"/>
    <cellStyle name="Вычисление 2 6 3 4" xfId="0"/>
    <cellStyle name="Вычисление 2 6 3 5" xfId="0"/>
    <cellStyle name="Вычисление 2 6 4" xfId="0"/>
    <cellStyle name="Вычисление 2 6 4 2" xfId="0"/>
    <cellStyle name="Вычисление 2 6 4 2 2" xfId="0"/>
    <cellStyle name="Вычисление 2 6 4 2 2 2" xfId="0"/>
    <cellStyle name="Вычисление 2 6 4 2 2 3" xfId="0"/>
    <cellStyle name="Вычисление 2 6 4 2 3" xfId="0"/>
    <cellStyle name="Вычисление 2 6 4 2 4" xfId="0"/>
    <cellStyle name="Вычисление 2 6 4 3" xfId="0"/>
    <cellStyle name="Вычисление 2 6 4 3 2" xfId="0"/>
    <cellStyle name="Вычисление 2 6 4 3 3" xfId="0"/>
    <cellStyle name="Вычисление 2 6 4 4" xfId="0"/>
    <cellStyle name="Вычисление 2 6 4 5" xfId="0"/>
    <cellStyle name="Вычисление 2 6 5" xfId="0"/>
    <cellStyle name="Вычисление 2 6 5 2" xfId="0"/>
    <cellStyle name="Вычисление 2 6 5 3" xfId="0"/>
    <cellStyle name="Вычисление 2 6 6" xfId="0"/>
    <cellStyle name="Вычисление 2 6 7" xfId="0"/>
    <cellStyle name="Вычисление 2 7" xfId="0"/>
    <cellStyle name="Вычисление 2 7 2" xfId="0"/>
    <cellStyle name="Вычисление 2 7 2 2" xfId="0"/>
    <cellStyle name="Вычисление 2 7 2 2 2" xfId="0"/>
    <cellStyle name="Вычисление 2 7 2 2 2 2" xfId="0"/>
    <cellStyle name="Вычисление 2 7 2 2 2 3" xfId="0"/>
    <cellStyle name="Вычисление 2 7 2 2 3" xfId="0"/>
    <cellStyle name="Вычисление 2 7 2 2 4" xfId="0"/>
    <cellStyle name="Вычисление 2 7 2 3" xfId="0"/>
    <cellStyle name="Вычисление 2 7 2 3 2" xfId="0"/>
    <cellStyle name="Вычисление 2 7 2 3 2 2" xfId="0"/>
    <cellStyle name="Вычисление 2 7 2 3 2 3" xfId="0"/>
    <cellStyle name="Вычисление 2 7 2 3 3" xfId="0"/>
    <cellStyle name="Вычисление 2 7 2 3 4" xfId="0"/>
    <cellStyle name="Вычисление 2 7 2 4" xfId="0"/>
    <cellStyle name="Вычисление 2 7 2 4 2" xfId="0"/>
    <cellStyle name="Вычисление 2 7 2 4 3" xfId="0"/>
    <cellStyle name="Вычисление 2 7 2 5" xfId="0"/>
    <cellStyle name="Вычисление 2 7 2 6" xfId="0"/>
    <cellStyle name="Вычисление 2 7 3" xfId="0"/>
    <cellStyle name="Вычисление 2 7 3 2" xfId="0"/>
    <cellStyle name="Вычисление 2 7 3 2 2" xfId="0"/>
    <cellStyle name="Вычисление 2 7 3 2 2 2" xfId="0"/>
    <cellStyle name="Вычисление 2 7 3 2 2 3" xfId="0"/>
    <cellStyle name="Вычисление 2 7 3 2 3" xfId="0"/>
    <cellStyle name="Вычисление 2 7 3 2 4" xfId="0"/>
    <cellStyle name="Вычисление 2 7 3 3" xfId="0"/>
    <cellStyle name="Вычисление 2 7 3 3 2" xfId="0"/>
    <cellStyle name="Вычисление 2 7 3 3 3" xfId="0"/>
    <cellStyle name="Вычисление 2 7 3 4" xfId="0"/>
    <cellStyle name="Вычисление 2 7 3 5" xfId="0"/>
    <cellStyle name="Вычисление 2 7 4" xfId="0"/>
    <cellStyle name="Вычисление 2 7 4 2" xfId="0"/>
    <cellStyle name="Вычисление 2 7 4 2 2" xfId="0"/>
    <cellStyle name="Вычисление 2 7 4 2 2 2" xfId="0"/>
    <cellStyle name="Вычисление 2 7 4 2 2 3" xfId="0"/>
    <cellStyle name="Вычисление 2 7 4 2 3" xfId="0"/>
    <cellStyle name="Вычисление 2 7 4 2 4" xfId="0"/>
    <cellStyle name="Вычисление 2 7 4 3" xfId="0"/>
    <cellStyle name="Вычисление 2 7 4 3 2" xfId="0"/>
    <cellStyle name="Вычисление 2 7 4 3 3" xfId="0"/>
    <cellStyle name="Вычисление 2 7 4 4" xfId="0"/>
    <cellStyle name="Вычисление 2 7 4 5" xfId="0"/>
    <cellStyle name="Вычисление 2 7 5" xfId="0"/>
    <cellStyle name="Вычисление 2 7 5 2" xfId="0"/>
    <cellStyle name="Вычисление 2 7 5 3" xfId="0"/>
    <cellStyle name="Вычисление 2 7 6" xfId="0"/>
    <cellStyle name="Вычисление 2 7 7" xfId="0"/>
    <cellStyle name="Вычисление 2 8" xfId="0"/>
    <cellStyle name="Вычисление 2 8 2" xfId="0"/>
    <cellStyle name="Вычисление 2 8 2 2" xfId="0"/>
    <cellStyle name="Вычисление 2 8 2 2 2" xfId="0"/>
    <cellStyle name="Вычисление 2 8 2 2 2 2" xfId="0"/>
    <cellStyle name="Вычисление 2 8 2 2 2 3" xfId="0"/>
    <cellStyle name="Вычисление 2 8 2 2 3" xfId="0"/>
    <cellStyle name="Вычисление 2 8 2 2 4" xfId="0"/>
    <cellStyle name="Вычисление 2 8 2 3" xfId="0"/>
    <cellStyle name="Вычисление 2 8 2 3 2" xfId="0"/>
    <cellStyle name="Вычисление 2 8 2 3 2 2" xfId="0"/>
    <cellStyle name="Вычисление 2 8 2 3 2 3" xfId="0"/>
    <cellStyle name="Вычисление 2 8 2 3 3" xfId="0"/>
    <cellStyle name="Вычисление 2 8 2 3 4" xfId="0"/>
    <cellStyle name="Вычисление 2 8 2 4" xfId="0"/>
    <cellStyle name="Вычисление 2 8 2 4 2" xfId="0"/>
    <cellStyle name="Вычисление 2 8 2 4 3" xfId="0"/>
    <cellStyle name="Вычисление 2 8 2 5" xfId="0"/>
    <cellStyle name="Вычисление 2 8 2 6" xfId="0"/>
    <cellStyle name="Вычисление 2 8 3" xfId="0"/>
    <cellStyle name="Вычисление 2 8 3 2" xfId="0"/>
    <cellStyle name="Вычисление 2 8 3 2 2" xfId="0"/>
    <cellStyle name="Вычисление 2 8 3 2 2 2" xfId="0"/>
    <cellStyle name="Вычисление 2 8 3 2 2 3" xfId="0"/>
    <cellStyle name="Вычисление 2 8 3 2 3" xfId="0"/>
    <cellStyle name="Вычисление 2 8 3 2 4" xfId="0"/>
    <cellStyle name="Вычисление 2 8 3 3" xfId="0"/>
    <cellStyle name="Вычисление 2 8 3 3 2" xfId="0"/>
    <cellStyle name="Вычисление 2 8 3 3 3" xfId="0"/>
    <cellStyle name="Вычисление 2 8 3 4" xfId="0"/>
    <cellStyle name="Вычисление 2 8 3 5" xfId="0"/>
    <cellStyle name="Вычисление 2 8 4" xfId="0"/>
    <cellStyle name="Вычисление 2 8 4 2" xfId="0"/>
    <cellStyle name="Вычисление 2 8 4 2 2" xfId="0"/>
    <cellStyle name="Вычисление 2 8 4 2 2 2" xfId="0"/>
    <cellStyle name="Вычисление 2 8 4 2 2 3" xfId="0"/>
    <cellStyle name="Вычисление 2 8 4 2 3" xfId="0"/>
    <cellStyle name="Вычисление 2 8 4 2 4" xfId="0"/>
    <cellStyle name="Вычисление 2 8 4 3" xfId="0"/>
    <cellStyle name="Вычисление 2 8 4 3 2" xfId="0"/>
    <cellStyle name="Вычисление 2 8 4 3 3" xfId="0"/>
    <cellStyle name="Вычисление 2 8 4 4" xfId="0"/>
    <cellStyle name="Вычисление 2 8 4 5" xfId="0"/>
    <cellStyle name="Вычисление 2 8 5" xfId="0"/>
    <cellStyle name="Вычисление 2 8 5 2" xfId="0"/>
    <cellStyle name="Вычисление 2 8 5 3" xfId="0"/>
    <cellStyle name="Вычисление 2 8 6" xfId="0"/>
    <cellStyle name="Вычисление 2 8 7" xfId="0"/>
    <cellStyle name="Вычисление 2 9" xfId="0"/>
    <cellStyle name="Вычисление 2 9 2" xfId="0"/>
    <cellStyle name="Вычисление 2 9 2 2" xfId="0"/>
    <cellStyle name="Вычисление 2 9 2 2 2" xfId="0"/>
    <cellStyle name="Вычисление 2 9 2 2 2 2" xfId="0"/>
    <cellStyle name="Вычисление 2 9 2 2 2 3" xfId="0"/>
    <cellStyle name="Вычисление 2 9 2 2 3" xfId="0"/>
    <cellStyle name="Вычисление 2 9 2 2 4" xfId="0"/>
    <cellStyle name="Вычисление 2 9 2 3" xfId="0"/>
    <cellStyle name="Вычисление 2 9 2 3 2" xfId="0"/>
    <cellStyle name="Вычисление 2 9 2 3 2 2" xfId="0"/>
    <cellStyle name="Вычисление 2 9 2 3 2 3" xfId="0"/>
    <cellStyle name="Вычисление 2 9 2 3 3" xfId="0"/>
    <cellStyle name="Вычисление 2 9 2 3 4" xfId="0"/>
    <cellStyle name="Вычисление 2 9 2 4" xfId="0"/>
    <cellStyle name="Вычисление 2 9 2 4 2" xfId="0"/>
    <cellStyle name="Вычисление 2 9 2 4 3" xfId="0"/>
    <cellStyle name="Вычисление 2 9 2 5" xfId="0"/>
    <cellStyle name="Вычисление 2 9 2 6" xfId="0"/>
    <cellStyle name="Вычисление 2 9 3" xfId="0"/>
    <cellStyle name="Вычисление 2 9 3 2" xfId="0"/>
    <cellStyle name="Вычисление 2 9 3 2 2" xfId="0"/>
    <cellStyle name="Вычисление 2 9 3 2 2 2" xfId="0"/>
    <cellStyle name="Вычисление 2 9 3 2 2 3" xfId="0"/>
    <cellStyle name="Вычисление 2 9 3 2 3" xfId="0"/>
    <cellStyle name="Вычисление 2 9 3 2 4" xfId="0"/>
    <cellStyle name="Вычисление 2 9 3 3" xfId="0"/>
    <cellStyle name="Вычисление 2 9 3 3 2" xfId="0"/>
    <cellStyle name="Вычисление 2 9 3 3 3" xfId="0"/>
    <cellStyle name="Вычисление 2 9 3 4" xfId="0"/>
    <cellStyle name="Вычисление 2 9 3 5" xfId="0"/>
    <cellStyle name="Вычисление 2 9 4" xfId="0"/>
    <cellStyle name="Вычисление 2 9 4 2" xfId="0"/>
    <cellStyle name="Вычисление 2 9 4 2 2" xfId="0"/>
    <cellStyle name="Вычисление 2 9 4 2 2 2" xfId="0"/>
    <cellStyle name="Вычисление 2 9 4 2 2 3" xfId="0"/>
    <cellStyle name="Вычисление 2 9 4 2 3" xfId="0"/>
    <cellStyle name="Вычисление 2 9 4 2 4" xfId="0"/>
    <cellStyle name="Вычисление 2 9 4 3" xfId="0"/>
    <cellStyle name="Вычисление 2 9 4 3 2" xfId="0"/>
    <cellStyle name="Вычисление 2 9 4 3 3" xfId="0"/>
    <cellStyle name="Вычисление 2 9 4 4" xfId="0"/>
    <cellStyle name="Вычисление 2 9 4 5" xfId="0"/>
    <cellStyle name="Вычисление 2 9 5" xfId="0"/>
    <cellStyle name="Вычисление 2 9 5 2" xfId="0"/>
    <cellStyle name="Вычисление 2 9 5 3" xfId="0"/>
    <cellStyle name="Вычисление 2 9 6" xfId="0"/>
    <cellStyle name="Вычисление 2 9 7" xfId="0"/>
    <cellStyle name="Вычисление 3" xfId="0"/>
    <cellStyle name="Вычисление 3 10" xfId="0"/>
    <cellStyle name="Вычисление 3 10 2" xfId="0"/>
    <cellStyle name="Вычисление 3 10 2 2" xfId="0"/>
    <cellStyle name="Вычисление 3 10 2 2 2" xfId="0"/>
    <cellStyle name="Вычисление 3 10 2 2 2 2" xfId="0"/>
    <cellStyle name="Вычисление 3 10 2 2 2 3" xfId="0"/>
    <cellStyle name="Вычисление 3 10 2 2 3" xfId="0"/>
    <cellStyle name="Вычисление 3 10 2 2 4" xfId="0"/>
    <cellStyle name="Вычисление 3 10 2 3" xfId="0"/>
    <cellStyle name="Вычисление 3 10 2 3 2" xfId="0"/>
    <cellStyle name="Вычисление 3 10 2 3 2 2" xfId="0"/>
    <cellStyle name="Вычисление 3 10 2 3 2 3" xfId="0"/>
    <cellStyle name="Вычисление 3 10 2 3 3" xfId="0"/>
    <cellStyle name="Вычисление 3 10 2 3 4" xfId="0"/>
    <cellStyle name="Вычисление 3 10 2 4" xfId="0"/>
    <cellStyle name="Вычисление 3 10 2 4 2" xfId="0"/>
    <cellStyle name="Вычисление 3 10 2 4 3" xfId="0"/>
    <cellStyle name="Вычисление 3 10 2 5" xfId="0"/>
    <cellStyle name="Вычисление 3 10 2 6" xfId="0"/>
    <cellStyle name="Вычисление 3 10 3" xfId="0"/>
    <cellStyle name="Вычисление 3 10 3 2" xfId="0"/>
    <cellStyle name="Вычисление 3 10 3 2 2" xfId="0"/>
    <cellStyle name="Вычисление 3 10 3 2 2 2" xfId="0"/>
    <cellStyle name="Вычисление 3 10 3 2 2 3" xfId="0"/>
    <cellStyle name="Вычисление 3 10 3 2 3" xfId="0"/>
    <cellStyle name="Вычисление 3 10 3 2 4" xfId="0"/>
    <cellStyle name="Вычисление 3 10 3 3" xfId="0"/>
    <cellStyle name="Вычисление 3 10 3 3 2" xfId="0"/>
    <cellStyle name="Вычисление 3 10 3 3 3" xfId="0"/>
    <cellStyle name="Вычисление 3 10 3 4" xfId="0"/>
    <cellStyle name="Вычисление 3 10 3 5" xfId="0"/>
    <cellStyle name="Вычисление 3 10 4" xfId="0"/>
    <cellStyle name="Вычисление 3 10 4 2" xfId="0"/>
    <cellStyle name="Вычисление 3 10 4 2 2" xfId="0"/>
    <cellStyle name="Вычисление 3 10 4 2 2 2" xfId="0"/>
    <cellStyle name="Вычисление 3 10 4 2 2 3" xfId="0"/>
    <cellStyle name="Вычисление 3 10 4 2 3" xfId="0"/>
    <cellStyle name="Вычисление 3 10 4 2 4" xfId="0"/>
    <cellStyle name="Вычисление 3 10 4 3" xfId="0"/>
    <cellStyle name="Вычисление 3 10 4 3 2" xfId="0"/>
    <cellStyle name="Вычисление 3 10 4 3 3" xfId="0"/>
    <cellStyle name="Вычисление 3 10 4 4" xfId="0"/>
    <cellStyle name="Вычисление 3 10 4 5" xfId="0"/>
    <cellStyle name="Вычисление 3 10 5" xfId="0"/>
    <cellStyle name="Вычисление 3 10 5 2" xfId="0"/>
    <cellStyle name="Вычисление 3 10 5 3" xfId="0"/>
    <cellStyle name="Вычисление 3 10 6" xfId="0"/>
    <cellStyle name="Вычисление 3 10 7" xfId="0"/>
    <cellStyle name="Вычисление 3 11" xfId="0"/>
    <cellStyle name="Вычисление 3 11 2" xfId="0"/>
    <cellStyle name="Вычисление 3 11 2 2" xfId="0"/>
    <cellStyle name="Вычисление 3 11 2 2 2" xfId="0"/>
    <cellStyle name="Вычисление 3 11 2 2 2 2" xfId="0"/>
    <cellStyle name="Вычисление 3 11 2 2 2 3" xfId="0"/>
    <cellStyle name="Вычисление 3 11 2 2 3" xfId="0"/>
    <cellStyle name="Вычисление 3 11 2 2 4" xfId="0"/>
    <cellStyle name="Вычисление 3 11 2 3" xfId="0"/>
    <cellStyle name="Вычисление 3 11 2 3 2" xfId="0"/>
    <cellStyle name="Вычисление 3 11 2 3 2 2" xfId="0"/>
    <cellStyle name="Вычисление 3 11 2 3 2 3" xfId="0"/>
    <cellStyle name="Вычисление 3 11 2 3 3" xfId="0"/>
    <cellStyle name="Вычисление 3 11 2 3 4" xfId="0"/>
    <cellStyle name="Вычисление 3 11 2 4" xfId="0"/>
    <cellStyle name="Вычисление 3 11 2 4 2" xfId="0"/>
    <cellStyle name="Вычисление 3 11 2 4 3" xfId="0"/>
    <cellStyle name="Вычисление 3 11 2 5" xfId="0"/>
    <cellStyle name="Вычисление 3 11 2 6" xfId="0"/>
    <cellStyle name="Вычисление 3 11 3" xfId="0"/>
    <cellStyle name="Вычисление 3 11 3 2" xfId="0"/>
    <cellStyle name="Вычисление 3 11 3 2 2" xfId="0"/>
    <cellStyle name="Вычисление 3 11 3 2 2 2" xfId="0"/>
    <cellStyle name="Вычисление 3 11 3 2 2 3" xfId="0"/>
    <cellStyle name="Вычисление 3 11 3 2 3" xfId="0"/>
    <cellStyle name="Вычисление 3 11 3 2 4" xfId="0"/>
    <cellStyle name="Вычисление 3 11 3 3" xfId="0"/>
    <cellStyle name="Вычисление 3 11 3 3 2" xfId="0"/>
    <cellStyle name="Вычисление 3 11 3 3 3" xfId="0"/>
    <cellStyle name="Вычисление 3 11 3 4" xfId="0"/>
    <cellStyle name="Вычисление 3 11 3 5" xfId="0"/>
    <cellStyle name="Вычисление 3 11 4" xfId="0"/>
    <cellStyle name="Вычисление 3 11 4 2" xfId="0"/>
    <cellStyle name="Вычисление 3 11 4 2 2" xfId="0"/>
    <cellStyle name="Вычисление 3 11 4 2 2 2" xfId="0"/>
    <cellStyle name="Вычисление 3 11 4 2 2 3" xfId="0"/>
    <cellStyle name="Вычисление 3 11 4 2 3" xfId="0"/>
    <cellStyle name="Вычисление 3 11 4 2 4" xfId="0"/>
    <cellStyle name="Вычисление 3 11 4 3" xfId="0"/>
    <cellStyle name="Вычисление 3 11 4 3 2" xfId="0"/>
    <cellStyle name="Вычисление 3 11 4 3 3" xfId="0"/>
    <cellStyle name="Вычисление 3 11 4 4" xfId="0"/>
    <cellStyle name="Вычисление 3 11 4 5" xfId="0"/>
    <cellStyle name="Вычисление 3 11 5" xfId="0"/>
    <cellStyle name="Вычисление 3 11 5 2" xfId="0"/>
    <cellStyle name="Вычисление 3 11 5 3" xfId="0"/>
    <cellStyle name="Вычисление 3 11 6" xfId="0"/>
    <cellStyle name="Вычисление 3 11 7" xfId="0"/>
    <cellStyle name="Вычисление 3 12" xfId="0"/>
    <cellStyle name="Вычисление 3 12 2" xfId="0"/>
    <cellStyle name="Вычисление 3 12 2 2" xfId="0"/>
    <cellStyle name="Вычисление 3 12 2 2 2" xfId="0"/>
    <cellStyle name="Вычисление 3 12 2 2 2 2" xfId="0"/>
    <cellStyle name="Вычисление 3 12 2 2 2 3" xfId="0"/>
    <cellStyle name="Вычисление 3 12 2 2 3" xfId="0"/>
    <cellStyle name="Вычисление 3 12 2 2 4" xfId="0"/>
    <cellStyle name="Вычисление 3 12 2 3" xfId="0"/>
    <cellStyle name="Вычисление 3 12 2 3 2" xfId="0"/>
    <cellStyle name="Вычисление 3 12 2 3 2 2" xfId="0"/>
    <cellStyle name="Вычисление 3 12 2 3 2 3" xfId="0"/>
    <cellStyle name="Вычисление 3 12 2 3 3" xfId="0"/>
    <cellStyle name="Вычисление 3 12 2 3 4" xfId="0"/>
    <cellStyle name="Вычисление 3 12 2 4" xfId="0"/>
    <cellStyle name="Вычисление 3 12 2 4 2" xfId="0"/>
    <cellStyle name="Вычисление 3 12 2 4 3" xfId="0"/>
    <cellStyle name="Вычисление 3 12 2 5" xfId="0"/>
    <cellStyle name="Вычисление 3 12 2 6" xfId="0"/>
    <cellStyle name="Вычисление 3 12 3" xfId="0"/>
    <cellStyle name="Вычисление 3 12 3 2" xfId="0"/>
    <cellStyle name="Вычисление 3 12 3 2 2" xfId="0"/>
    <cellStyle name="Вычисление 3 12 3 2 2 2" xfId="0"/>
    <cellStyle name="Вычисление 3 12 3 2 2 3" xfId="0"/>
    <cellStyle name="Вычисление 3 12 3 2 3" xfId="0"/>
    <cellStyle name="Вычисление 3 12 3 2 4" xfId="0"/>
    <cellStyle name="Вычисление 3 12 3 3" xfId="0"/>
    <cellStyle name="Вычисление 3 12 3 3 2" xfId="0"/>
    <cellStyle name="Вычисление 3 12 3 3 3" xfId="0"/>
    <cellStyle name="Вычисление 3 12 3 4" xfId="0"/>
    <cellStyle name="Вычисление 3 12 3 5" xfId="0"/>
    <cellStyle name="Вычисление 3 12 4" xfId="0"/>
    <cellStyle name="Вычисление 3 12 4 2" xfId="0"/>
    <cellStyle name="Вычисление 3 12 4 2 2" xfId="0"/>
    <cellStyle name="Вычисление 3 12 4 2 2 2" xfId="0"/>
    <cellStyle name="Вычисление 3 12 4 2 2 3" xfId="0"/>
    <cellStyle name="Вычисление 3 12 4 2 3" xfId="0"/>
    <cellStyle name="Вычисление 3 12 4 2 4" xfId="0"/>
    <cellStyle name="Вычисление 3 12 4 3" xfId="0"/>
    <cellStyle name="Вычисление 3 12 4 3 2" xfId="0"/>
    <cellStyle name="Вычисление 3 12 4 3 3" xfId="0"/>
    <cellStyle name="Вычисление 3 12 4 4" xfId="0"/>
    <cellStyle name="Вычисление 3 12 4 5" xfId="0"/>
    <cellStyle name="Вычисление 3 12 5" xfId="0"/>
    <cellStyle name="Вычисление 3 12 5 2" xfId="0"/>
    <cellStyle name="Вычисление 3 12 5 3" xfId="0"/>
    <cellStyle name="Вычисление 3 12 6" xfId="0"/>
    <cellStyle name="Вычисление 3 12 7" xfId="0"/>
    <cellStyle name="Вычисление 3 13" xfId="0"/>
    <cellStyle name="Вычисление 3 13 2" xfId="0"/>
    <cellStyle name="Вычисление 3 13 2 2" xfId="0"/>
    <cellStyle name="Вычисление 3 13 2 2 2" xfId="0"/>
    <cellStyle name="Вычисление 3 13 2 2 2 2" xfId="0"/>
    <cellStyle name="Вычисление 3 13 2 2 2 3" xfId="0"/>
    <cellStyle name="Вычисление 3 13 2 2 3" xfId="0"/>
    <cellStyle name="Вычисление 3 13 2 2 4" xfId="0"/>
    <cellStyle name="Вычисление 3 13 2 3" xfId="0"/>
    <cellStyle name="Вычисление 3 13 2 3 2" xfId="0"/>
    <cellStyle name="Вычисление 3 13 2 3 2 2" xfId="0"/>
    <cellStyle name="Вычисление 3 13 2 3 2 3" xfId="0"/>
    <cellStyle name="Вычисление 3 13 2 3 3" xfId="0"/>
    <cellStyle name="Вычисление 3 13 2 3 4" xfId="0"/>
    <cellStyle name="Вычисление 3 13 2 4" xfId="0"/>
    <cellStyle name="Вычисление 3 13 2 4 2" xfId="0"/>
    <cellStyle name="Вычисление 3 13 2 4 3" xfId="0"/>
    <cellStyle name="Вычисление 3 13 2 5" xfId="0"/>
    <cellStyle name="Вычисление 3 13 2 6" xfId="0"/>
    <cellStyle name="Вычисление 3 13 3" xfId="0"/>
    <cellStyle name="Вычисление 3 13 3 2" xfId="0"/>
    <cellStyle name="Вычисление 3 13 3 2 2" xfId="0"/>
    <cellStyle name="Вычисление 3 13 3 2 2 2" xfId="0"/>
    <cellStyle name="Вычисление 3 13 3 2 2 3" xfId="0"/>
    <cellStyle name="Вычисление 3 13 3 2 3" xfId="0"/>
    <cellStyle name="Вычисление 3 13 3 2 4" xfId="0"/>
    <cellStyle name="Вычисление 3 13 3 3" xfId="0"/>
    <cellStyle name="Вычисление 3 13 3 3 2" xfId="0"/>
    <cellStyle name="Вычисление 3 13 3 3 3" xfId="0"/>
    <cellStyle name="Вычисление 3 13 3 4" xfId="0"/>
    <cellStyle name="Вычисление 3 13 3 5" xfId="0"/>
    <cellStyle name="Вычисление 3 13 4" xfId="0"/>
    <cellStyle name="Вычисление 3 13 4 2" xfId="0"/>
    <cellStyle name="Вычисление 3 13 4 2 2" xfId="0"/>
    <cellStyle name="Вычисление 3 13 4 2 2 2" xfId="0"/>
    <cellStyle name="Вычисление 3 13 4 2 2 3" xfId="0"/>
    <cellStyle name="Вычисление 3 13 4 2 3" xfId="0"/>
    <cellStyle name="Вычисление 3 13 4 2 4" xfId="0"/>
    <cellStyle name="Вычисление 3 13 4 3" xfId="0"/>
    <cellStyle name="Вычисление 3 13 4 3 2" xfId="0"/>
    <cellStyle name="Вычисление 3 13 4 3 3" xfId="0"/>
    <cellStyle name="Вычисление 3 13 4 4" xfId="0"/>
    <cellStyle name="Вычисление 3 13 4 5" xfId="0"/>
    <cellStyle name="Вычисление 3 13 5" xfId="0"/>
    <cellStyle name="Вычисление 3 13 5 2" xfId="0"/>
    <cellStyle name="Вычисление 3 13 5 3" xfId="0"/>
    <cellStyle name="Вычисление 3 13 6" xfId="0"/>
    <cellStyle name="Вычисление 3 13 7" xfId="0"/>
    <cellStyle name="Вычисление 3 14" xfId="0"/>
    <cellStyle name="Вычисление 3 14 2" xfId="0"/>
    <cellStyle name="Вычисление 3 14 2 2" xfId="0"/>
    <cellStyle name="Вычисление 3 14 2 2 2" xfId="0"/>
    <cellStyle name="Вычисление 3 14 2 2 2 2" xfId="0"/>
    <cellStyle name="Вычисление 3 14 2 2 2 3" xfId="0"/>
    <cellStyle name="Вычисление 3 14 2 2 3" xfId="0"/>
    <cellStyle name="Вычисление 3 14 2 2 4" xfId="0"/>
    <cellStyle name="Вычисление 3 14 2 3" xfId="0"/>
    <cellStyle name="Вычисление 3 14 2 3 2" xfId="0"/>
    <cellStyle name="Вычисление 3 14 2 3 2 2" xfId="0"/>
    <cellStyle name="Вычисление 3 14 2 3 2 3" xfId="0"/>
    <cellStyle name="Вычисление 3 14 2 3 3" xfId="0"/>
    <cellStyle name="Вычисление 3 14 2 3 4" xfId="0"/>
    <cellStyle name="Вычисление 3 14 2 4" xfId="0"/>
    <cellStyle name="Вычисление 3 14 2 4 2" xfId="0"/>
    <cellStyle name="Вычисление 3 14 2 4 3" xfId="0"/>
    <cellStyle name="Вычисление 3 14 2 5" xfId="0"/>
    <cellStyle name="Вычисление 3 14 2 6" xfId="0"/>
    <cellStyle name="Вычисление 3 14 3" xfId="0"/>
    <cellStyle name="Вычисление 3 14 3 2" xfId="0"/>
    <cellStyle name="Вычисление 3 14 3 2 2" xfId="0"/>
    <cellStyle name="Вычисление 3 14 3 2 2 2" xfId="0"/>
    <cellStyle name="Вычисление 3 14 3 2 2 3" xfId="0"/>
    <cellStyle name="Вычисление 3 14 3 2 3" xfId="0"/>
    <cellStyle name="Вычисление 3 14 3 2 4" xfId="0"/>
    <cellStyle name="Вычисление 3 14 3 3" xfId="0"/>
    <cellStyle name="Вычисление 3 14 3 3 2" xfId="0"/>
    <cellStyle name="Вычисление 3 14 3 3 3" xfId="0"/>
    <cellStyle name="Вычисление 3 14 3 4" xfId="0"/>
    <cellStyle name="Вычисление 3 14 3 5" xfId="0"/>
    <cellStyle name="Вычисление 3 14 4" xfId="0"/>
    <cellStyle name="Вычисление 3 14 4 2" xfId="0"/>
    <cellStyle name="Вычисление 3 14 4 2 2" xfId="0"/>
    <cellStyle name="Вычисление 3 14 4 2 2 2" xfId="0"/>
    <cellStyle name="Вычисление 3 14 4 2 2 3" xfId="0"/>
    <cellStyle name="Вычисление 3 14 4 2 3" xfId="0"/>
    <cellStyle name="Вычисление 3 14 4 2 4" xfId="0"/>
    <cellStyle name="Вычисление 3 14 4 3" xfId="0"/>
    <cellStyle name="Вычисление 3 14 4 3 2" xfId="0"/>
    <cellStyle name="Вычисление 3 14 4 3 3" xfId="0"/>
    <cellStyle name="Вычисление 3 14 4 4" xfId="0"/>
    <cellStyle name="Вычисление 3 14 4 5" xfId="0"/>
    <cellStyle name="Вычисление 3 14 5" xfId="0"/>
    <cellStyle name="Вычисление 3 14 5 2" xfId="0"/>
    <cellStyle name="Вычисление 3 14 5 3" xfId="0"/>
    <cellStyle name="Вычисление 3 14 6" xfId="0"/>
    <cellStyle name="Вычисление 3 14 7" xfId="0"/>
    <cellStyle name="Вычисление 3 15" xfId="0"/>
    <cellStyle name="Вычисление 3 15 2" xfId="0"/>
    <cellStyle name="Вычисление 3 15 2 2" xfId="0"/>
    <cellStyle name="Вычисление 3 15 2 2 2" xfId="0"/>
    <cellStyle name="Вычисление 3 15 2 2 2 2" xfId="0"/>
    <cellStyle name="Вычисление 3 15 2 2 2 3" xfId="0"/>
    <cellStyle name="Вычисление 3 15 2 2 3" xfId="0"/>
    <cellStyle name="Вычисление 3 15 2 2 4" xfId="0"/>
    <cellStyle name="Вычисление 3 15 2 3" xfId="0"/>
    <cellStyle name="Вычисление 3 15 2 3 2" xfId="0"/>
    <cellStyle name="Вычисление 3 15 2 3 2 2" xfId="0"/>
    <cellStyle name="Вычисление 3 15 2 3 2 3" xfId="0"/>
    <cellStyle name="Вычисление 3 15 2 3 3" xfId="0"/>
    <cellStyle name="Вычисление 3 15 2 3 4" xfId="0"/>
    <cellStyle name="Вычисление 3 15 2 4" xfId="0"/>
    <cellStyle name="Вычисление 3 15 2 4 2" xfId="0"/>
    <cellStyle name="Вычисление 3 15 2 4 3" xfId="0"/>
    <cellStyle name="Вычисление 3 15 2 5" xfId="0"/>
    <cellStyle name="Вычисление 3 15 2 6" xfId="0"/>
    <cellStyle name="Вычисление 3 15 3" xfId="0"/>
    <cellStyle name="Вычисление 3 15 3 2" xfId="0"/>
    <cellStyle name="Вычисление 3 15 3 2 2" xfId="0"/>
    <cellStyle name="Вычисление 3 15 3 2 2 2" xfId="0"/>
    <cellStyle name="Вычисление 3 15 3 2 2 3" xfId="0"/>
    <cellStyle name="Вычисление 3 15 3 2 3" xfId="0"/>
    <cellStyle name="Вычисление 3 15 3 2 4" xfId="0"/>
    <cellStyle name="Вычисление 3 15 3 3" xfId="0"/>
    <cellStyle name="Вычисление 3 15 3 3 2" xfId="0"/>
    <cellStyle name="Вычисление 3 15 3 3 3" xfId="0"/>
    <cellStyle name="Вычисление 3 15 3 4" xfId="0"/>
    <cellStyle name="Вычисление 3 15 3 5" xfId="0"/>
    <cellStyle name="Вычисление 3 15 4" xfId="0"/>
    <cellStyle name="Вычисление 3 15 4 2" xfId="0"/>
    <cellStyle name="Вычисление 3 15 4 2 2" xfId="0"/>
    <cellStyle name="Вычисление 3 15 4 2 2 2" xfId="0"/>
    <cellStyle name="Вычисление 3 15 4 2 2 3" xfId="0"/>
    <cellStyle name="Вычисление 3 15 4 2 3" xfId="0"/>
    <cellStyle name="Вычисление 3 15 4 2 4" xfId="0"/>
    <cellStyle name="Вычисление 3 15 4 3" xfId="0"/>
    <cellStyle name="Вычисление 3 15 4 3 2" xfId="0"/>
    <cellStyle name="Вычисление 3 15 4 3 3" xfId="0"/>
    <cellStyle name="Вычисление 3 15 4 4" xfId="0"/>
    <cellStyle name="Вычисление 3 15 4 5" xfId="0"/>
    <cellStyle name="Вычисление 3 15 5" xfId="0"/>
    <cellStyle name="Вычисление 3 15 5 2" xfId="0"/>
    <cellStyle name="Вычисление 3 15 5 3" xfId="0"/>
    <cellStyle name="Вычисление 3 15 6" xfId="0"/>
    <cellStyle name="Вычисление 3 15 7" xfId="0"/>
    <cellStyle name="Вычисление 3 16" xfId="0"/>
    <cellStyle name="Вычисление 3 16 2" xfId="0"/>
    <cellStyle name="Вычисление 3 16 2 2" xfId="0"/>
    <cellStyle name="Вычисление 3 16 2 2 2" xfId="0"/>
    <cellStyle name="Вычисление 3 16 2 2 2 2" xfId="0"/>
    <cellStyle name="Вычисление 3 16 2 2 2 3" xfId="0"/>
    <cellStyle name="Вычисление 3 16 2 2 3" xfId="0"/>
    <cellStyle name="Вычисление 3 16 2 2 4" xfId="0"/>
    <cellStyle name="Вычисление 3 16 2 3" xfId="0"/>
    <cellStyle name="Вычисление 3 16 2 3 2" xfId="0"/>
    <cellStyle name="Вычисление 3 16 2 3 2 2" xfId="0"/>
    <cellStyle name="Вычисление 3 16 2 3 2 3" xfId="0"/>
    <cellStyle name="Вычисление 3 16 2 3 3" xfId="0"/>
    <cellStyle name="Вычисление 3 16 2 3 4" xfId="0"/>
    <cellStyle name="Вычисление 3 16 2 4" xfId="0"/>
    <cellStyle name="Вычисление 3 16 2 4 2" xfId="0"/>
    <cellStyle name="Вычисление 3 16 2 4 3" xfId="0"/>
    <cellStyle name="Вычисление 3 16 2 5" xfId="0"/>
    <cellStyle name="Вычисление 3 16 2 6" xfId="0"/>
    <cellStyle name="Вычисление 3 16 3" xfId="0"/>
    <cellStyle name="Вычисление 3 16 3 2" xfId="0"/>
    <cellStyle name="Вычисление 3 16 3 2 2" xfId="0"/>
    <cellStyle name="Вычисление 3 16 3 2 2 2" xfId="0"/>
    <cellStyle name="Вычисление 3 16 3 2 2 3" xfId="0"/>
    <cellStyle name="Вычисление 3 16 3 2 3" xfId="0"/>
    <cellStyle name="Вычисление 3 16 3 2 4" xfId="0"/>
    <cellStyle name="Вычисление 3 16 3 3" xfId="0"/>
    <cellStyle name="Вычисление 3 16 3 3 2" xfId="0"/>
    <cellStyle name="Вычисление 3 16 3 3 3" xfId="0"/>
    <cellStyle name="Вычисление 3 16 3 4" xfId="0"/>
    <cellStyle name="Вычисление 3 16 3 5" xfId="0"/>
    <cellStyle name="Вычисление 3 16 4" xfId="0"/>
    <cellStyle name="Вычисление 3 16 4 2" xfId="0"/>
    <cellStyle name="Вычисление 3 16 4 2 2" xfId="0"/>
    <cellStyle name="Вычисление 3 16 4 2 2 2" xfId="0"/>
    <cellStyle name="Вычисление 3 16 4 2 2 3" xfId="0"/>
    <cellStyle name="Вычисление 3 16 4 2 3" xfId="0"/>
    <cellStyle name="Вычисление 3 16 4 2 4" xfId="0"/>
    <cellStyle name="Вычисление 3 16 4 3" xfId="0"/>
    <cellStyle name="Вычисление 3 16 4 3 2" xfId="0"/>
    <cellStyle name="Вычисление 3 16 4 3 3" xfId="0"/>
    <cellStyle name="Вычисление 3 16 4 4" xfId="0"/>
    <cellStyle name="Вычисление 3 16 4 5" xfId="0"/>
    <cellStyle name="Вычисление 3 16 5" xfId="0"/>
    <cellStyle name="Вычисление 3 16 5 2" xfId="0"/>
    <cellStyle name="Вычисление 3 16 5 3" xfId="0"/>
    <cellStyle name="Вычисление 3 16 6" xfId="0"/>
    <cellStyle name="Вычисление 3 16 7" xfId="0"/>
    <cellStyle name="Вычисление 3 17" xfId="0"/>
    <cellStyle name="Вычисление 3 17 2" xfId="0"/>
    <cellStyle name="Вычисление 3 17 2 2" xfId="0"/>
    <cellStyle name="Вычисление 3 17 2 2 2" xfId="0"/>
    <cellStyle name="Вычисление 3 17 2 2 2 2" xfId="0"/>
    <cellStyle name="Вычисление 3 17 2 2 2 3" xfId="0"/>
    <cellStyle name="Вычисление 3 17 2 2 3" xfId="0"/>
    <cellStyle name="Вычисление 3 17 2 2 4" xfId="0"/>
    <cellStyle name="Вычисление 3 17 2 3" xfId="0"/>
    <cellStyle name="Вычисление 3 17 2 3 2" xfId="0"/>
    <cellStyle name="Вычисление 3 17 2 3 2 2" xfId="0"/>
    <cellStyle name="Вычисление 3 17 2 3 2 3" xfId="0"/>
    <cellStyle name="Вычисление 3 17 2 3 3" xfId="0"/>
    <cellStyle name="Вычисление 3 17 2 3 4" xfId="0"/>
    <cellStyle name="Вычисление 3 17 2 4" xfId="0"/>
    <cellStyle name="Вычисление 3 17 2 4 2" xfId="0"/>
    <cellStyle name="Вычисление 3 17 2 4 3" xfId="0"/>
    <cellStyle name="Вычисление 3 17 2 5" xfId="0"/>
    <cellStyle name="Вычисление 3 17 2 6" xfId="0"/>
    <cellStyle name="Вычисление 3 17 3" xfId="0"/>
    <cellStyle name="Вычисление 3 17 3 2" xfId="0"/>
    <cellStyle name="Вычисление 3 17 3 2 2" xfId="0"/>
    <cellStyle name="Вычисление 3 17 3 2 2 2" xfId="0"/>
    <cellStyle name="Вычисление 3 17 3 2 2 3" xfId="0"/>
    <cellStyle name="Вычисление 3 17 3 2 3" xfId="0"/>
    <cellStyle name="Вычисление 3 17 3 2 4" xfId="0"/>
    <cellStyle name="Вычисление 3 17 3 3" xfId="0"/>
    <cellStyle name="Вычисление 3 17 3 3 2" xfId="0"/>
    <cellStyle name="Вычисление 3 17 3 3 3" xfId="0"/>
    <cellStyle name="Вычисление 3 17 3 4" xfId="0"/>
    <cellStyle name="Вычисление 3 17 3 5" xfId="0"/>
    <cellStyle name="Вычисление 3 17 4" xfId="0"/>
    <cellStyle name="Вычисление 3 17 4 2" xfId="0"/>
    <cellStyle name="Вычисление 3 17 4 2 2" xfId="0"/>
    <cellStyle name="Вычисление 3 17 4 2 2 2" xfId="0"/>
    <cellStyle name="Вычисление 3 17 4 2 2 3" xfId="0"/>
    <cellStyle name="Вычисление 3 17 4 2 3" xfId="0"/>
    <cellStyle name="Вычисление 3 17 4 2 4" xfId="0"/>
    <cellStyle name="Вычисление 3 17 4 3" xfId="0"/>
    <cellStyle name="Вычисление 3 17 4 3 2" xfId="0"/>
    <cellStyle name="Вычисление 3 17 4 3 3" xfId="0"/>
    <cellStyle name="Вычисление 3 17 4 4" xfId="0"/>
    <cellStyle name="Вычисление 3 17 4 5" xfId="0"/>
    <cellStyle name="Вычисление 3 17 5" xfId="0"/>
    <cellStyle name="Вычисление 3 17 5 2" xfId="0"/>
    <cellStyle name="Вычисление 3 17 5 3" xfId="0"/>
    <cellStyle name="Вычисление 3 17 6" xfId="0"/>
    <cellStyle name="Вычисление 3 17 7" xfId="0"/>
    <cellStyle name="Вычисление 3 18" xfId="0"/>
    <cellStyle name="Вычисление 3 18 2" xfId="0"/>
    <cellStyle name="Вычисление 3 18 2 2" xfId="0"/>
    <cellStyle name="Вычисление 3 18 2 2 2" xfId="0"/>
    <cellStyle name="Вычисление 3 18 2 2 2 2" xfId="0"/>
    <cellStyle name="Вычисление 3 18 2 2 2 3" xfId="0"/>
    <cellStyle name="Вычисление 3 18 2 2 3" xfId="0"/>
    <cellStyle name="Вычисление 3 18 2 2 4" xfId="0"/>
    <cellStyle name="Вычисление 3 18 2 3" xfId="0"/>
    <cellStyle name="Вычисление 3 18 2 3 2" xfId="0"/>
    <cellStyle name="Вычисление 3 18 2 3 2 2" xfId="0"/>
    <cellStyle name="Вычисление 3 18 2 3 2 3" xfId="0"/>
    <cellStyle name="Вычисление 3 18 2 3 3" xfId="0"/>
    <cellStyle name="Вычисление 3 18 2 3 4" xfId="0"/>
    <cellStyle name="Вычисление 3 18 2 4" xfId="0"/>
    <cellStyle name="Вычисление 3 18 2 4 2" xfId="0"/>
    <cellStyle name="Вычисление 3 18 2 4 3" xfId="0"/>
    <cellStyle name="Вычисление 3 18 2 5" xfId="0"/>
    <cellStyle name="Вычисление 3 18 2 6" xfId="0"/>
    <cellStyle name="Вычисление 3 18 3" xfId="0"/>
    <cellStyle name="Вычисление 3 18 3 2" xfId="0"/>
    <cellStyle name="Вычисление 3 18 3 2 2" xfId="0"/>
    <cellStyle name="Вычисление 3 18 3 2 2 2" xfId="0"/>
    <cellStyle name="Вычисление 3 18 3 2 2 3" xfId="0"/>
    <cellStyle name="Вычисление 3 18 3 2 3" xfId="0"/>
    <cellStyle name="Вычисление 3 18 3 2 4" xfId="0"/>
    <cellStyle name="Вычисление 3 18 3 3" xfId="0"/>
    <cellStyle name="Вычисление 3 18 3 3 2" xfId="0"/>
    <cellStyle name="Вычисление 3 18 3 3 3" xfId="0"/>
    <cellStyle name="Вычисление 3 18 3 4" xfId="0"/>
    <cellStyle name="Вычисление 3 18 3 5" xfId="0"/>
    <cellStyle name="Вычисление 3 18 4" xfId="0"/>
    <cellStyle name="Вычисление 3 18 4 2" xfId="0"/>
    <cellStyle name="Вычисление 3 18 4 2 2" xfId="0"/>
    <cellStyle name="Вычисление 3 18 4 2 2 2" xfId="0"/>
    <cellStyle name="Вычисление 3 18 4 2 2 3" xfId="0"/>
    <cellStyle name="Вычисление 3 18 4 2 3" xfId="0"/>
    <cellStyle name="Вычисление 3 18 4 2 4" xfId="0"/>
    <cellStyle name="Вычисление 3 18 4 3" xfId="0"/>
    <cellStyle name="Вычисление 3 18 4 3 2" xfId="0"/>
    <cellStyle name="Вычисление 3 18 4 3 3" xfId="0"/>
    <cellStyle name="Вычисление 3 18 4 4" xfId="0"/>
    <cellStyle name="Вычисление 3 18 4 5" xfId="0"/>
    <cellStyle name="Вычисление 3 18 5" xfId="0"/>
    <cellStyle name="Вычисление 3 18 5 2" xfId="0"/>
    <cellStyle name="Вычисление 3 18 5 3" xfId="0"/>
    <cellStyle name="Вычисление 3 18 6" xfId="0"/>
    <cellStyle name="Вычисление 3 18 7" xfId="0"/>
    <cellStyle name="Вычисление 3 19" xfId="0"/>
    <cellStyle name="Вычисление 3 19 2" xfId="0"/>
    <cellStyle name="Вычисление 3 19 2 2" xfId="0"/>
    <cellStyle name="Вычисление 3 19 2 2 2" xfId="0"/>
    <cellStyle name="Вычисление 3 19 2 2 2 2" xfId="0"/>
    <cellStyle name="Вычисление 3 19 2 2 2 3" xfId="0"/>
    <cellStyle name="Вычисление 3 19 2 2 3" xfId="0"/>
    <cellStyle name="Вычисление 3 19 2 2 4" xfId="0"/>
    <cellStyle name="Вычисление 3 19 2 3" xfId="0"/>
    <cellStyle name="Вычисление 3 19 2 3 2" xfId="0"/>
    <cellStyle name="Вычисление 3 19 2 3 2 2" xfId="0"/>
    <cellStyle name="Вычисление 3 19 2 3 2 3" xfId="0"/>
    <cellStyle name="Вычисление 3 19 2 3 3" xfId="0"/>
    <cellStyle name="Вычисление 3 19 2 3 4" xfId="0"/>
    <cellStyle name="Вычисление 3 19 2 4" xfId="0"/>
    <cellStyle name="Вычисление 3 19 2 4 2" xfId="0"/>
    <cellStyle name="Вычисление 3 19 2 4 3" xfId="0"/>
    <cellStyle name="Вычисление 3 19 2 5" xfId="0"/>
    <cellStyle name="Вычисление 3 19 2 6" xfId="0"/>
    <cellStyle name="Вычисление 3 19 3" xfId="0"/>
    <cellStyle name="Вычисление 3 19 3 2" xfId="0"/>
    <cellStyle name="Вычисление 3 19 3 2 2" xfId="0"/>
    <cellStyle name="Вычисление 3 19 3 2 2 2" xfId="0"/>
    <cellStyle name="Вычисление 3 19 3 2 2 3" xfId="0"/>
    <cellStyle name="Вычисление 3 19 3 2 3" xfId="0"/>
    <cellStyle name="Вычисление 3 19 3 2 4" xfId="0"/>
    <cellStyle name="Вычисление 3 19 3 3" xfId="0"/>
    <cellStyle name="Вычисление 3 19 3 3 2" xfId="0"/>
    <cellStyle name="Вычисление 3 19 3 3 3" xfId="0"/>
    <cellStyle name="Вычисление 3 19 3 4" xfId="0"/>
    <cellStyle name="Вычисление 3 19 3 5" xfId="0"/>
    <cellStyle name="Вычисление 3 19 4" xfId="0"/>
    <cellStyle name="Вычисление 3 19 4 2" xfId="0"/>
    <cellStyle name="Вычисление 3 19 4 2 2" xfId="0"/>
    <cellStyle name="Вычисление 3 19 4 2 2 2" xfId="0"/>
    <cellStyle name="Вычисление 3 19 4 2 2 3" xfId="0"/>
    <cellStyle name="Вычисление 3 19 4 2 3" xfId="0"/>
    <cellStyle name="Вычисление 3 19 4 2 4" xfId="0"/>
    <cellStyle name="Вычисление 3 19 4 3" xfId="0"/>
    <cellStyle name="Вычисление 3 19 4 3 2" xfId="0"/>
    <cellStyle name="Вычисление 3 19 4 3 3" xfId="0"/>
    <cellStyle name="Вычисление 3 19 4 4" xfId="0"/>
    <cellStyle name="Вычисление 3 19 4 5" xfId="0"/>
    <cellStyle name="Вычисление 3 19 5" xfId="0"/>
    <cellStyle name="Вычисление 3 19 5 2" xfId="0"/>
    <cellStyle name="Вычисление 3 19 5 3" xfId="0"/>
    <cellStyle name="Вычисление 3 19 6" xfId="0"/>
    <cellStyle name="Вычисление 3 19 7" xfId="0"/>
    <cellStyle name="Вычисление 3 2" xfId="0"/>
    <cellStyle name="Вычисление 3 2 10" xfId="0"/>
    <cellStyle name="Вычисление 3 2 11" xfId="0"/>
    <cellStyle name="Вычисление 3 2 2" xfId="0"/>
    <cellStyle name="Вычисление 3 2 2 2" xfId="0"/>
    <cellStyle name="Вычисление 3 2 2 2 2" xfId="0"/>
    <cellStyle name="Вычисление 3 2 2 2 2 2" xfId="0"/>
    <cellStyle name="Вычисление 3 2 2 2 2 2 2" xfId="0"/>
    <cellStyle name="Вычисление 3 2 2 2 2 2 3" xfId="0"/>
    <cellStyle name="Вычисление 3 2 2 2 2 3" xfId="0"/>
    <cellStyle name="Вычисление 3 2 2 2 2 4" xfId="0"/>
    <cellStyle name="Вычисление 3 2 2 2 3" xfId="0"/>
    <cellStyle name="Вычисление 3 2 2 2 3 2" xfId="0"/>
    <cellStyle name="Вычисление 3 2 2 2 3 3" xfId="0"/>
    <cellStyle name="Вычисление 3 2 2 2 4" xfId="0"/>
    <cellStyle name="Вычисление 3 2 2 2 5" xfId="0"/>
    <cellStyle name="Вычисление 3 2 2 3" xfId="0"/>
    <cellStyle name="Вычисление 3 2 2 3 2" xfId="0"/>
    <cellStyle name="Вычисление 3 2 2 3 2 2" xfId="0"/>
    <cellStyle name="Вычисление 3 2 2 3 2 3" xfId="0"/>
    <cellStyle name="Вычисление 3 2 2 3 3" xfId="0"/>
    <cellStyle name="Вычисление 3 2 2 3 4" xfId="0"/>
    <cellStyle name="Вычисление 3 2 2 4" xfId="0"/>
    <cellStyle name="Вычисление 3 2 2 4 2" xfId="0"/>
    <cellStyle name="Вычисление 3 2 2 4 3" xfId="0"/>
    <cellStyle name="Вычисление 3 2 2 5" xfId="0"/>
    <cellStyle name="Вычисление 3 2 2 6" xfId="0"/>
    <cellStyle name="Вычисление 3 2 3" xfId="0"/>
    <cellStyle name="Вычисление 3 2 3 2" xfId="0"/>
    <cellStyle name="Вычисление 3 2 3 2 2" xfId="0"/>
    <cellStyle name="Вычисление 3 2 3 2 2 2" xfId="0"/>
    <cellStyle name="Вычисление 3 2 3 2 2 2 2" xfId="0"/>
    <cellStyle name="Вычисление 3 2 3 2 2 2 3" xfId="0"/>
    <cellStyle name="Вычисление 3 2 3 2 2 3" xfId="0"/>
    <cellStyle name="Вычисление 3 2 3 2 2 4" xfId="0"/>
    <cellStyle name="Вычисление 3 2 3 2 3" xfId="0"/>
    <cellStyle name="Вычисление 3 2 3 2 3 2" xfId="0"/>
    <cellStyle name="Вычисление 3 2 3 2 3 3" xfId="0"/>
    <cellStyle name="Вычисление 3 2 3 2 4" xfId="0"/>
    <cellStyle name="Вычисление 3 2 3 2 5" xfId="0"/>
    <cellStyle name="Вычисление 3 2 3 3" xfId="0"/>
    <cellStyle name="Вычисление 3 2 3 3 2" xfId="0"/>
    <cellStyle name="Вычисление 3 2 3 3 2 2" xfId="0"/>
    <cellStyle name="Вычисление 3 2 3 3 2 3" xfId="0"/>
    <cellStyle name="Вычисление 3 2 3 3 3" xfId="0"/>
    <cellStyle name="Вычисление 3 2 3 3 4" xfId="0"/>
    <cellStyle name="Вычисление 3 2 3 4" xfId="0"/>
    <cellStyle name="Вычисление 3 2 3 4 2" xfId="0"/>
    <cellStyle name="Вычисление 3 2 3 4 3" xfId="0"/>
    <cellStyle name="Вычисление 3 2 3 5" xfId="0"/>
    <cellStyle name="Вычисление 3 2 3 6" xfId="0"/>
    <cellStyle name="Вычисление 3 2 4" xfId="0"/>
    <cellStyle name="Вычисление 3 2 4 2" xfId="0"/>
    <cellStyle name="Вычисление 3 2 4 2 2" xfId="0"/>
    <cellStyle name="Вычисление 3 2 4 2 2 2" xfId="0"/>
    <cellStyle name="Вычисление 3 2 4 2 2 2 2" xfId="0"/>
    <cellStyle name="Вычисление 3 2 4 2 2 2 3" xfId="0"/>
    <cellStyle name="Вычисление 3 2 4 2 2 3" xfId="0"/>
    <cellStyle name="Вычисление 3 2 4 2 2 4" xfId="0"/>
    <cellStyle name="Вычисление 3 2 4 2 3" xfId="0"/>
    <cellStyle name="Вычисление 3 2 4 2 3 2" xfId="0"/>
    <cellStyle name="Вычисление 3 2 4 2 3 3" xfId="0"/>
    <cellStyle name="Вычисление 3 2 4 2 4" xfId="0"/>
    <cellStyle name="Вычисление 3 2 4 2 5" xfId="0"/>
    <cellStyle name="Вычисление 3 2 4 3" xfId="0"/>
    <cellStyle name="Вычисление 3 2 4 3 2" xfId="0"/>
    <cellStyle name="Вычисление 3 2 4 3 2 2" xfId="0"/>
    <cellStyle name="Вычисление 3 2 4 3 2 3" xfId="0"/>
    <cellStyle name="Вычисление 3 2 4 3 3" xfId="0"/>
    <cellStyle name="Вычисление 3 2 4 3 4" xfId="0"/>
    <cellStyle name="Вычисление 3 2 4 4" xfId="0"/>
    <cellStyle name="Вычисление 3 2 4 4 2" xfId="0"/>
    <cellStyle name="Вычисление 3 2 4 4 3" xfId="0"/>
    <cellStyle name="Вычисление 3 2 4 5" xfId="0"/>
    <cellStyle name="Вычисление 3 2 4 6" xfId="0"/>
    <cellStyle name="Вычисление 3 2 5" xfId="0"/>
    <cellStyle name="Вычисление 3 2 5 2" xfId="0"/>
    <cellStyle name="Вычисление 3 2 5 2 2" xfId="0"/>
    <cellStyle name="Вычисление 3 2 5 2 2 2" xfId="0"/>
    <cellStyle name="Вычисление 3 2 5 2 2 2 2" xfId="0"/>
    <cellStyle name="Вычисление 3 2 5 2 2 2 3" xfId="0"/>
    <cellStyle name="Вычисление 3 2 5 2 2 3" xfId="0"/>
    <cellStyle name="Вычисление 3 2 5 2 2 4" xfId="0"/>
    <cellStyle name="Вычисление 3 2 5 2 3" xfId="0"/>
    <cellStyle name="Вычисление 3 2 5 2 3 2" xfId="0"/>
    <cellStyle name="Вычисление 3 2 5 2 3 3" xfId="0"/>
    <cellStyle name="Вычисление 3 2 5 2 4" xfId="0"/>
    <cellStyle name="Вычисление 3 2 5 2 5" xfId="0"/>
    <cellStyle name="Вычисление 3 2 5 3" xfId="0"/>
    <cellStyle name="Вычисление 3 2 5 3 2" xfId="0"/>
    <cellStyle name="Вычисление 3 2 5 3 2 2" xfId="0"/>
    <cellStyle name="Вычисление 3 2 5 3 2 3" xfId="0"/>
    <cellStyle name="Вычисление 3 2 5 3 3" xfId="0"/>
    <cellStyle name="Вычисление 3 2 5 3 4" xfId="0"/>
    <cellStyle name="Вычисление 3 2 5 4" xfId="0"/>
    <cellStyle name="Вычисление 3 2 5 4 2" xfId="0"/>
    <cellStyle name="Вычисление 3 2 5 4 3" xfId="0"/>
    <cellStyle name="Вычисление 3 2 5 5" xfId="0"/>
    <cellStyle name="Вычисление 3 2 5 6" xfId="0"/>
    <cellStyle name="Вычисление 3 2 6" xfId="0"/>
    <cellStyle name="Вычисление 3 2 6 2" xfId="0"/>
    <cellStyle name="Вычисление 3 2 6 2 2" xfId="0"/>
    <cellStyle name="Вычисление 3 2 6 2 2 2" xfId="0"/>
    <cellStyle name="Вычисление 3 2 6 2 2 3" xfId="0"/>
    <cellStyle name="Вычисление 3 2 6 2 3" xfId="0"/>
    <cellStyle name="Вычисление 3 2 6 2 4" xfId="0"/>
    <cellStyle name="Вычисление 3 2 6 3" xfId="0"/>
    <cellStyle name="Вычисление 3 2 6 3 2" xfId="0"/>
    <cellStyle name="Вычисление 3 2 6 3 3" xfId="0"/>
    <cellStyle name="Вычисление 3 2 6 4" xfId="0"/>
    <cellStyle name="Вычисление 3 2 6 5" xfId="0"/>
    <cellStyle name="Вычисление 3 2 7" xfId="0"/>
    <cellStyle name="Вычисление 3 2 7 2" xfId="0"/>
    <cellStyle name="Вычисление 3 2 7 2 2" xfId="0"/>
    <cellStyle name="Вычисление 3 2 7 2 2 2" xfId="0"/>
    <cellStyle name="Вычисление 3 2 7 2 2 3" xfId="0"/>
    <cellStyle name="Вычисление 3 2 7 2 3" xfId="0"/>
    <cellStyle name="Вычисление 3 2 7 2 4" xfId="0"/>
    <cellStyle name="Вычисление 3 2 7 3" xfId="0"/>
    <cellStyle name="Вычисление 3 2 7 3 2" xfId="0"/>
    <cellStyle name="Вычисление 3 2 7 3 3" xfId="0"/>
    <cellStyle name="Вычисление 3 2 7 4" xfId="0"/>
    <cellStyle name="Вычисление 3 2 7 5" xfId="0"/>
    <cellStyle name="Вычисление 3 2 8" xfId="0"/>
    <cellStyle name="Вычисление 3 2 8 2" xfId="0"/>
    <cellStyle name="Вычисление 3 2 8 3" xfId="0"/>
    <cellStyle name="Вычисление 3 2 9" xfId="0"/>
    <cellStyle name="Вычисление 3 2 9 2" xfId="0"/>
    <cellStyle name="Вычисление 3 2 9 3" xfId="0"/>
    <cellStyle name="Вычисление 3 20" xfId="0"/>
    <cellStyle name="Вычисление 3 20 2" xfId="0"/>
    <cellStyle name="Вычисление 3 20 2 2" xfId="0"/>
    <cellStyle name="Вычисление 3 20 2 2 2" xfId="0"/>
    <cellStyle name="Вычисление 3 20 2 2 2 2" xfId="0"/>
    <cellStyle name="Вычисление 3 20 2 2 2 3" xfId="0"/>
    <cellStyle name="Вычисление 3 20 2 2 3" xfId="0"/>
    <cellStyle name="Вычисление 3 20 2 2 4" xfId="0"/>
    <cellStyle name="Вычисление 3 20 2 3" xfId="0"/>
    <cellStyle name="Вычисление 3 20 2 3 2" xfId="0"/>
    <cellStyle name="Вычисление 3 20 2 3 3" xfId="0"/>
    <cellStyle name="Вычисление 3 20 2 4" xfId="0"/>
    <cellStyle name="Вычисление 3 20 2 5" xfId="0"/>
    <cellStyle name="Вычисление 3 20 3" xfId="0"/>
    <cellStyle name="Вычисление 3 20 3 2" xfId="0"/>
    <cellStyle name="Вычисление 3 20 3 2 2" xfId="0"/>
    <cellStyle name="Вычисление 3 20 3 2 3" xfId="0"/>
    <cellStyle name="Вычисление 3 20 3 3" xfId="0"/>
    <cellStyle name="Вычисление 3 20 3 4" xfId="0"/>
    <cellStyle name="Вычисление 3 20 4" xfId="0"/>
    <cellStyle name="Вычисление 3 20 4 2" xfId="0"/>
    <cellStyle name="Вычисление 3 20 4 3" xfId="0"/>
    <cellStyle name="Вычисление 3 20 5" xfId="0"/>
    <cellStyle name="Вычисление 3 20 6" xfId="0"/>
    <cellStyle name="Вычисление 3 21" xfId="0"/>
    <cellStyle name="Вычисление 3 21 2" xfId="0"/>
    <cellStyle name="Вычисление 3 21 2 2" xfId="0"/>
    <cellStyle name="Вычисление 3 21 2 2 2" xfId="0"/>
    <cellStyle name="Вычисление 3 21 2 2 3" xfId="0"/>
    <cellStyle name="Вычисление 3 21 2 3" xfId="0"/>
    <cellStyle name="Вычисление 3 21 2 4" xfId="0"/>
    <cellStyle name="Вычисление 3 21 3" xfId="0"/>
    <cellStyle name="Вычисление 3 21 3 2" xfId="0"/>
    <cellStyle name="Вычисление 3 21 3 2 2" xfId="0"/>
    <cellStyle name="Вычисление 3 21 3 2 3" xfId="0"/>
    <cellStyle name="Вычисление 3 21 3 3" xfId="0"/>
    <cellStyle name="Вычисление 3 21 3 4" xfId="0"/>
    <cellStyle name="Вычисление 3 21 4" xfId="0"/>
    <cellStyle name="Вычисление 3 21 4 2" xfId="0"/>
    <cellStyle name="Вычисление 3 21 4 3" xfId="0"/>
    <cellStyle name="Вычисление 3 21 5" xfId="0"/>
    <cellStyle name="Вычисление 3 21 6" xfId="0"/>
    <cellStyle name="Вычисление 3 22" xfId="0"/>
    <cellStyle name="Вычисление 3 22 2" xfId="0"/>
    <cellStyle name="Вычисление 3 22 2 2" xfId="0"/>
    <cellStyle name="Вычисление 3 22 2 2 2" xfId="0"/>
    <cellStyle name="Вычисление 3 22 2 2 3" xfId="0"/>
    <cellStyle name="Вычисление 3 22 2 3" xfId="0"/>
    <cellStyle name="Вычисление 3 22 2 4" xfId="0"/>
    <cellStyle name="Вычисление 3 22 3" xfId="0"/>
    <cellStyle name="Вычисление 3 22 3 2" xfId="0"/>
    <cellStyle name="Вычисление 3 22 3 2 2" xfId="0"/>
    <cellStyle name="Вычисление 3 22 3 2 3" xfId="0"/>
    <cellStyle name="Вычисление 3 22 3 3" xfId="0"/>
    <cellStyle name="Вычисление 3 22 3 4" xfId="0"/>
    <cellStyle name="Вычисление 3 22 4" xfId="0"/>
    <cellStyle name="Вычисление 3 22 4 2" xfId="0"/>
    <cellStyle name="Вычисление 3 22 4 3" xfId="0"/>
    <cellStyle name="Вычисление 3 22 5" xfId="0"/>
    <cellStyle name="Вычисление 3 22 6" xfId="0"/>
    <cellStyle name="Вычисление 3 23" xfId="0"/>
    <cellStyle name="Вычисление 3 23 2" xfId="0"/>
    <cellStyle name="Вычисление 3 23 2 2" xfId="0"/>
    <cellStyle name="Вычисление 3 23 2 2 2" xfId="0"/>
    <cellStyle name="Вычисление 3 23 2 2 3" xfId="0"/>
    <cellStyle name="Вычисление 3 23 2 3" xfId="0"/>
    <cellStyle name="Вычисление 3 23 2 4" xfId="0"/>
    <cellStyle name="Вычисление 3 23 3" xfId="0"/>
    <cellStyle name="Вычисление 3 23 3 2" xfId="0"/>
    <cellStyle name="Вычисление 3 23 3 2 2" xfId="0"/>
    <cellStyle name="Вычисление 3 23 3 2 3" xfId="0"/>
    <cellStyle name="Вычисление 3 23 3 3" xfId="0"/>
    <cellStyle name="Вычисление 3 23 3 4" xfId="0"/>
    <cellStyle name="Вычисление 3 23 4" xfId="0"/>
    <cellStyle name="Вычисление 3 23 4 2" xfId="0"/>
    <cellStyle name="Вычисление 3 23 4 3" xfId="0"/>
    <cellStyle name="Вычисление 3 23 5" xfId="0"/>
    <cellStyle name="Вычисление 3 23 6" xfId="0"/>
    <cellStyle name="Вычисление 3 24" xfId="0"/>
    <cellStyle name="Вычисление 3 24 2" xfId="0"/>
    <cellStyle name="Вычисление 3 24 2 2" xfId="0"/>
    <cellStyle name="Вычисление 3 24 2 2 2" xfId="0"/>
    <cellStyle name="Вычисление 3 24 2 2 3" xfId="0"/>
    <cellStyle name="Вычисление 3 24 2 3" xfId="0"/>
    <cellStyle name="Вычисление 3 24 2 4" xfId="0"/>
    <cellStyle name="Вычисление 3 24 3" xfId="0"/>
    <cellStyle name="Вычисление 3 24 3 2" xfId="0"/>
    <cellStyle name="Вычисление 3 24 3 2 2" xfId="0"/>
    <cellStyle name="Вычисление 3 24 3 2 3" xfId="0"/>
    <cellStyle name="Вычисление 3 24 3 3" xfId="0"/>
    <cellStyle name="Вычисление 3 24 3 4" xfId="0"/>
    <cellStyle name="Вычисление 3 24 4" xfId="0"/>
    <cellStyle name="Вычисление 3 24 4 2" xfId="0"/>
    <cellStyle name="Вычисление 3 24 4 3" xfId="0"/>
    <cellStyle name="Вычисление 3 24 5" xfId="0"/>
    <cellStyle name="Вычисление 3 24 6" xfId="0"/>
    <cellStyle name="Вычисление 3 25" xfId="0"/>
    <cellStyle name="Вычисление 3 25 2" xfId="0"/>
    <cellStyle name="Вычисление 3 25 2 2" xfId="0"/>
    <cellStyle name="Вычисление 3 25 2 2 2" xfId="0"/>
    <cellStyle name="Вычисление 3 25 2 2 3" xfId="0"/>
    <cellStyle name="Вычисление 3 25 2 3" xfId="0"/>
    <cellStyle name="Вычисление 3 25 2 4" xfId="0"/>
    <cellStyle name="Вычисление 3 25 3" xfId="0"/>
    <cellStyle name="Вычисление 3 25 3 2" xfId="0"/>
    <cellStyle name="Вычисление 3 25 3 3" xfId="0"/>
    <cellStyle name="Вычисление 3 25 4" xfId="0"/>
    <cellStyle name="Вычисление 3 25 5" xfId="0"/>
    <cellStyle name="Вычисление 3 26" xfId="0"/>
    <cellStyle name="Вычисление 3 26 2" xfId="0"/>
    <cellStyle name="Вычисление 3 26 2 2" xfId="0"/>
    <cellStyle name="Вычисление 3 26 2 2 2" xfId="0"/>
    <cellStyle name="Вычисление 3 26 2 2 3" xfId="0"/>
    <cellStyle name="Вычисление 3 26 2 3" xfId="0"/>
    <cellStyle name="Вычисление 3 26 2 4" xfId="0"/>
    <cellStyle name="Вычисление 3 26 3" xfId="0"/>
    <cellStyle name="Вычисление 3 26 3 2" xfId="0"/>
    <cellStyle name="Вычисление 3 26 3 3" xfId="0"/>
    <cellStyle name="Вычисление 3 26 4" xfId="0"/>
    <cellStyle name="Вычисление 3 26 5" xfId="0"/>
    <cellStyle name="Вычисление 3 27" xfId="0"/>
    <cellStyle name="Вычисление 3 27 2" xfId="0"/>
    <cellStyle name="Вычисление 3 27 2 2" xfId="0"/>
    <cellStyle name="Вычисление 3 27 2 3" xfId="0"/>
    <cellStyle name="Вычисление 3 27 3" xfId="0"/>
    <cellStyle name="Вычисление 3 27 4" xfId="0"/>
    <cellStyle name="Вычисление 3 28" xfId="0"/>
    <cellStyle name="Вычисление 3 28 2" xfId="0"/>
    <cellStyle name="Вычисление 3 28 3" xfId="0"/>
    <cellStyle name="Вычисление 3 29" xfId="0"/>
    <cellStyle name="Вычисление 3 29 2" xfId="0"/>
    <cellStyle name="Вычисление 3 29 3" xfId="0"/>
    <cellStyle name="Вычисление 3 3" xfId="0"/>
    <cellStyle name="Вычисление 3 3 10" xfId="0"/>
    <cellStyle name="Вычисление 3 3 2" xfId="0"/>
    <cellStyle name="Вычисление 3 3 2 2" xfId="0"/>
    <cellStyle name="Вычисление 3 3 2 2 2" xfId="0"/>
    <cellStyle name="Вычисление 3 3 2 2 2 2" xfId="0"/>
    <cellStyle name="Вычисление 3 3 2 2 2 3" xfId="0"/>
    <cellStyle name="Вычисление 3 3 2 2 3" xfId="0"/>
    <cellStyle name="Вычисление 3 3 2 2 4" xfId="0"/>
    <cellStyle name="Вычисление 3 3 2 3" xfId="0"/>
    <cellStyle name="Вычисление 3 3 2 3 2" xfId="0"/>
    <cellStyle name="Вычисление 3 3 2 3 2 2" xfId="0"/>
    <cellStyle name="Вычисление 3 3 2 3 2 3" xfId="0"/>
    <cellStyle name="Вычисление 3 3 2 3 3" xfId="0"/>
    <cellStyle name="Вычисление 3 3 2 3 4" xfId="0"/>
    <cellStyle name="Вычисление 3 3 2 4" xfId="0"/>
    <cellStyle name="Вычисление 3 3 2 4 2" xfId="0"/>
    <cellStyle name="Вычисление 3 3 2 4 3" xfId="0"/>
    <cellStyle name="Вычисление 3 3 2 5" xfId="0"/>
    <cellStyle name="Вычисление 3 3 2 6" xfId="0"/>
    <cellStyle name="Вычисление 3 3 3" xfId="0"/>
    <cellStyle name="Вычисление 3 3 3 2" xfId="0"/>
    <cellStyle name="Вычисление 3 3 3 2 2" xfId="0"/>
    <cellStyle name="Вычисление 3 3 3 2 2 2" xfId="0"/>
    <cellStyle name="Вычисление 3 3 3 2 2 3" xfId="0"/>
    <cellStyle name="Вычисление 3 3 3 2 3" xfId="0"/>
    <cellStyle name="Вычисление 3 3 3 2 4" xfId="0"/>
    <cellStyle name="Вычисление 3 3 3 3" xfId="0"/>
    <cellStyle name="Вычисление 3 3 3 3 2" xfId="0"/>
    <cellStyle name="Вычисление 3 3 3 3 2 2" xfId="0"/>
    <cellStyle name="Вычисление 3 3 3 3 2 3" xfId="0"/>
    <cellStyle name="Вычисление 3 3 3 3 3" xfId="0"/>
    <cellStyle name="Вычисление 3 3 3 3 4" xfId="0"/>
    <cellStyle name="Вычисление 3 3 3 4" xfId="0"/>
    <cellStyle name="Вычисление 3 3 3 4 2" xfId="0"/>
    <cellStyle name="Вычисление 3 3 3 4 3" xfId="0"/>
    <cellStyle name="Вычисление 3 3 3 5" xfId="0"/>
    <cellStyle name="Вычисление 3 3 3 6" xfId="0"/>
    <cellStyle name="Вычисление 3 3 4" xfId="0"/>
    <cellStyle name="Вычисление 3 3 4 2" xfId="0"/>
    <cellStyle name="Вычисление 3 3 4 2 2" xfId="0"/>
    <cellStyle name="Вычисление 3 3 4 2 2 2" xfId="0"/>
    <cellStyle name="Вычисление 3 3 4 2 2 3" xfId="0"/>
    <cellStyle name="Вычисление 3 3 4 2 3" xfId="0"/>
    <cellStyle name="Вычисление 3 3 4 2 4" xfId="0"/>
    <cellStyle name="Вычисление 3 3 4 3" xfId="0"/>
    <cellStyle name="Вычисление 3 3 4 3 2" xfId="0"/>
    <cellStyle name="Вычисление 3 3 4 3 2 2" xfId="0"/>
    <cellStyle name="Вычисление 3 3 4 3 2 3" xfId="0"/>
    <cellStyle name="Вычисление 3 3 4 3 3" xfId="0"/>
    <cellStyle name="Вычисление 3 3 4 3 4" xfId="0"/>
    <cellStyle name="Вычисление 3 3 4 4" xfId="0"/>
    <cellStyle name="Вычисление 3 3 4 4 2" xfId="0"/>
    <cellStyle name="Вычисление 3 3 4 4 3" xfId="0"/>
    <cellStyle name="Вычисление 3 3 4 5" xfId="0"/>
    <cellStyle name="Вычисление 3 3 4 6" xfId="0"/>
    <cellStyle name="Вычисление 3 3 5" xfId="0"/>
    <cellStyle name="Вычисление 3 3 5 2" xfId="0"/>
    <cellStyle name="Вычисление 3 3 5 2 2" xfId="0"/>
    <cellStyle name="Вычисление 3 3 5 2 2 2" xfId="0"/>
    <cellStyle name="Вычисление 3 3 5 2 2 3" xfId="0"/>
    <cellStyle name="Вычисление 3 3 5 2 3" xfId="0"/>
    <cellStyle name="Вычисление 3 3 5 2 4" xfId="0"/>
    <cellStyle name="Вычисление 3 3 5 3" xfId="0"/>
    <cellStyle name="Вычисление 3 3 5 3 2" xfId="0"/>
    <cellStyle name="Вычисление 3 3 5 3 2 2" xfId="0"/>
    <cellStyle name="Вычисление 3 3 5 3 2 3" xfId="0"/>
    <cellStyle name="Вычисление 3 3 5 3 3" xfId="0"/>
    <cellStyle name="Вычисление 3 3 5 3 4" xfId="0"/>
    <cellStyle name="Вычисление 3 3 5 4" xfId="0"/>
    <cellStyle name="Вычисление 3 3 5 4 2" xfId="0"/>
    <cellStyle name="Вычисление 3 3 5 4 3" xfId="0"/>
    <cellStyle name="Вычисление 3 3 5 5" xfId="0"/>
    <cellStyle name="Вычисление 3 3 5 6" xfId="0"/>
    <cellStyle name="Вычисление 3 3 6" xfId="0"/>
    <cellStyle name="Вычисление 3 3 6 2" xfId="0"/>
    <cellStyle name="Вычисление 3 3 6 2 2" xfId="0"/>
    <cellStyle name="Вычисление 3 3 6 2 2 2" xfId="0"/>
    <cellStyle name="Вычисление 3 3 6 2 2 3" xfId="0"/>
    <cellStyle name="Вычисление 3 3 6 2 3" xfId="0"/>
    <cellStyle name="Вычисление 3 3 6 2 4" xfId="0"/>
    <cellStyle name="Вычисление 3 3 6 3" xfId="0"/>
    <cellStyle name="Вычисление 3 3 6 3 2" xfId="0"/>
    <cellStyle name="Вычисление 3 3 6 3 3" xfId="0"/>
    <cellStyle name="Вычисление 3 3 6 4" xfId="0"/>
    <cellStyle name="Вычисление 3 3 6 5" xfId="0"/>
    <cellStyle name="Вычисление 3 3 7" xfId="0"/>
    <cellStyle name="Вычисление 3 3 7 2" xfId="0"/>
    <cellStyle name="Вычисление 3 3 7 2 2" xfId="0"/>
    <cellStyle name="Вычисление 3 3 7 2 2 2" xfId="0"/>
    <cellStyle name="Вычисление 3 3 7 2 2 3" xfId="0"/>
    <cellStyle name="Вычисление 3 3 7 2 3" xfId="0"/>
    <cellStyle name="Вычисление 3 3 7 2 4" xfId="0"/>
    <cellStyle name="Вычисление 3 3 7 3" xfId="0"/>
    <cellStyle name="Вычисление 3 3 7 3 2" xfId="0"/>
    <cellStyle name="Вычисление 3 3 7 3 3" xfId="0"/>
    <cellStyle name="Вычисление 3 3 7 4" xfId="0"/>
    <cellStyle name="Вычисление 3 3 7 5" xfId="0"/>
    <cellStyle name="Вычисление 3 3 8" xfId="0"/>
    <cellStyle name="Вычисление 3 3 8 2" xfId="0"/>
    <cellStyle name="Вычисление 3 3 8 3" xfId="0"/>
    <cellStyle name="Вычисление 3 3 9" xfId="0"/>
    <cellStyle name="Вычисление 3 30" xfId="0"/>
    <cellStyle name="Вычисление 3 30 2" xfId="0"/>
    <cellStyle name="Вычисление 3 30 3" xfId="0"/>
    <cellStyle name="Вычисление 3 31" xfId="0"/>
    <cellStyle name="Вычисление 3 31 2" xfId="0"/>
    <cellStyle name="Вычисление 3 31 3" xfId="0"/>
    <cellStyle name="Вычисление 3 32" xfId="0"/>
    <cellStyle name="Вычисление 3 4" xfId="0"/>
    <cellStyle name="Вычисление 3 4 10" xfId="0"/>
    <cellStyle name="Вычисление 3 4 2" xfId="0"/>
    <cellStyle name="Вычисление 3 4 2 2" xfId="0"/>
    <cellStyle name="Вычисление 3 4 2 2 2" xfId="0"/>
    <cellStyle name="Вычисление 3 4 2 2 2 2" xfId="0"/>
    <cellStyle name="Вычисление 3 4 2 2 2 3" xfId="0"/>
    <cellStyle name="Вычисление 3 4 2 2 3" xfId="0"/>
    <cellStyle name="Вычисление 3 4 2 2 4" xfId="0"/>
    <cellStyle name="Вычисление 3 4 2 3" xfId="0"/>
    <cellStyle name="Вычисление 3 4 2 3 2" xfId="0"/>
    <cellStyle name="Вычисление 3 4 2 3 2 2" xfId="0"/>
    <cellStyle name="Вычисление 3 4 2 3 2 3" xfId="0"/>
    <cellStyle name="Вычисление 3 4 2 3 3" xfId="0"/>
    <cellStyle name="Вычисление 3 4 2 3 4" xfId="0"/>
    <cellStyle name="Вычисление 3 4 2 4" xfId="0"/>
    <cellStyle name="Вычисление 3 4 2 4 2" xfId="0"/>
    <cellStyle name="Вычисление 3 4 2 4 3" xfId="0"/>
    <cellStyle name="Вычисление 3 4 2 5" xfId="0"/>
    <cellStyle name="Вычисление 3 4 2 6" xfId="0"/>
    <cellStyle name="Вычисление 3 4 3" xfId="0"/>
    <cellStyle name="Вычисление 3 4 3 2" xfId="0"/>
    <cellStyle name="Вычисление 3 4 3 2 2" xfId="0"/>
    <cellStyle name="Вычисление 3 4 3 2 2 2" xfId="0"/>
    <cellStyle name="Вычисление 3 4 3 2 2 3" xfId="0"/>
    <cellStyle name="Вычисление 3 4 3 2 3" xfId="0"/>
    <cellStyle name="Вычисление 3 4 3 2 4" xfId="0"/>
    <cellStyle name="Вычисление 3 4 3 3" xfId="0"/>
    <cellStyle name="Вычисление 3 4 3 3 2" xfId="0"/>
    <cellStyle name="Вычисление 3 4 3 3 2 2" xfId="0"/>
    <cellStyle name="Вычисление 3 4 3 3 2 3" xfId="0"/>
    <cellStyle name="Вычисление 3 4 3 3 3" xfId="0"/>
    <cellStyle name="Вычисление 3 4 3 3 4" xfId="0"/>
    <cellStyle name="Вычисление 3 4 3 4" xfId="0"/>
    <cellStyle name="Вычисление 3 4 3 4 2" xfId="0"/>
    <cellStyle name="Вычисление 3 4 3 4 3" xfId="0"/>
    <cellStyle name="Вычисление 3 4 3 5" xfId="0"/>
    <cellStyle name="Вычисление 3 4 3 6" xfId="0"/>
    <cellStyle name="Вычисление 3 4 4" xfId="0"/>
    <cellStyle name="Вычисление 3 4 4 2" xfId="0"/>
    <cellStyle name="Вычисление 3 4 4 2 2" xfId="0"/>
    <cellStyle name="Вычисление 3 4 4 2 2 2" xfId="0"/>
    <cellStyle name="Вычисление 3 4 4 2 2 3" xfId="0"/>
    <cellStyle name="Вычисление 3 4 4 2 3" xfId="0"/>
    <cellStyle name="Вычисление 3 4 4 2 4" xfId="0"/>
    <cellStyle name="Вычисление 3 4 4 3" xfId="0"/>
    <cellStyle name="Вычисление 3 4 4 3 2" xfId="0"/>
    <cellStyle name="Вычисление 3 4 4 3 2 2" xfId="0"/>
    <cellStyle name="Вычисление 3 4 4 3 2 3" xfId="0"/>
    <cellStyle name="Вычисление 3 4 4 3 3" xfId="0"/>
    <cellStyle name="Вычисление 3 4 4 3 4" xfId="0"/>
    <cellStyle name="Вычисление 3 4 4 4" xfId="0"/>
    <cellStyle name="Вычисление 3 4 4 4 2" xfId="0"/>
    <cellStyle name="Вычисление 3 4 4 4 3" xfId="0"/>
    <cellStyle name="Вычисление 3 4 4 5" xfId="0"/>
    <cellStyle name="Вычисление 3 4 4 6" xfId="0"/>
    <cellStyle name="Вычисление 3 4 5" xfId="0"/>
    <cellStyle name="Вычисление 3 4 5 2" xfId="0"/>
    <cellStyle name="Вычисление 3 4 5 2 2" xfId="0"/>
    <cellStyle name="Вычисление 3 4 5 2 2 2" xfId="0"/>
    <cellStyle name="Вычисление 3 4 5 2 2 3" xfId="0"/>
    <cellStyle name="Вычисление 3 4 5 2 3" xfId="0"/>
    <cellStyle name="Вычисление 3 4 5 2 4" xfId="0"/>
    <cellStyle name="Вычисление 3 4 5 3" xfId="0"/>
    <cellStyle name="Вычисление 3 4 5 3 2" xfId="0"/>
    <cellStyle name="Вычисление 3 4 5 3 2 2" xfId="0"/>
    <cellStyle name="Вычисление 3 4 5 3 2 3" xfId="0"/>
    <cellStyle name="Вычисление 3 4 5 3 3" xfId="0"/>
    <cellStyle name="Вычисление 3 4 5 3 4" xfId="0"/>
    <cellStyle name="Вычисление 3 4 5 4" xfId="0"/>
    <cellStyle name="Вычисление 3 4 5 4 2" xfId="0"/>
    <cellStyle name="Вычисление 3 4 5 4 3" xfId="0"/>
    <cellStyle name="Вычисление 3 4 5 5" xfId="0"/>
    <cellStyle name="Вычисление 3 4 5 6" xfId="0"/>
    <cellStyle name="Вычисление 3 4 6" xfId="0"/>
    <cellStyle name="Вычисление 3 4 6 2" xfId="0"/>
    <cellStyle name="Вычисление 3 4 6 2 2" xfId="0"/>
    <cellStyle name="Вычисление 3 4 6 2 2 2" xfId="0"/>
    <cellStyle name="Вычисление 3 4 6 2 2 3" xfId="0"/>
    <cellStyle name="Вычисление 3 4 6 2 3" xfId="0"/>
    <cellStyle name="Вычисление 3 4 6 2 4" xfId="0"/>
    <cellStyle name="Вычисление 3 4 6 3" xfId="0"/>
    <cellStyle name="Вычисление 3 4 6 3 2" xfId="0"/>
    <cellStyle name="Вычисление 3 4 6 3 3" xfId="0"/>
    <cellStyle name="Вычисление 3 4 6 4" xfId="0"/>
    <cellStyle name="Вычисление 3 4 6 5" xfId="0"/>
    <cellStyle name="Вычисление 3 4 7" xfId="0"/>
    <cellStyle name="Вычисление 3 4 7 2" xfId="0"/>
    <cellStyle name="Вычисление 3 4 7 2 2" xfId="0"/>
    <cellStyle name="Вычисление 3 4 7 2 2 2" xfId="0"/>
    <cellStyle name="Вычисление 3 4 7 2 2 3" xfId="0"/>
    <cellStyle name="Вычисление 3 4 7 2 3" xfId="0"/>
    <cellStyle name="Вычисление 3 4 7 2 4" xfId="0"/>
    <cellStyle name="Вычисление 3 4 7 3" xfId="0"/>
    <cellStyle name="Вычисление 3 4 7 3 2" xfId="0"/>
    <cellStyle name="Вычисление 3 4 7 3 3" xfId="0"/>
    <cellStyle name="Вычисление 3 4 7 4" xfId="0"/>
    <cellStyle name="Вычисление 3 4 7 5" xfId="0"/>
    <cellStyle name="Вычисление 3 4 8" xfId="0"/>
    <cellStyle name="Вычисление 3 4 8 2" xfId="0"/>
    <cellStyle name="Вычисление 3 4 8 3" xfId="0"/>
    <cellStyle name="Вычисление 3 4 9" xfId="0"/>
    <cellStyle name="Вычисление 3 5" xfId="0"/>
    <cellStyle name="Вычисление 3 5 2" xfId="0"/>
    <cellStyle name="Вычисление 3 5 2 2" xfId="0"/>
    <cellStyle name="Вычисление 3 5 2 2 2" xfId="0"/>
    <cellStyle name="Вычисление 3 5 2 2 2 2" xfId="0"/>
    <cellStyle name="Вычисление 3 5 2 2 2 3" xfId="0"/>
    <cellStyle name="Вычисление 3 5 2 2 3" xfId="0"/>
    <cellStyle name="Вычисление 3 5 2 2 4" xfId="0"/>
    <cellStyle name="Вычисление 3 5 2 3" xfId="0"/>
    <cellStyle name="Вычисление 3 5 2 3 2" xfId="0"/>
    <cellStyle name="Вычисление 3 5 2 3 2 2" xfId="0"/>
    <cellStyle name="Вычисление 3 5 2 3 2 3" xfId="0"/>
    <cellStyle name="Вычисление 3 5 2 3 3" xfId="0"/>
    <cellStyle name="Вычисление 3 5 2 3 4" xfId="0"/>
    <cellStyle name="Вычисление 3 5 2 4" xfId="0"/>
    <cellStyle name="Вычисление 3 5 2 4 2" xfId="0"/>
    <cellStyle name="Вычисление 3 5 2 4 3" xfId="0"/>
    <cellStyle name="Вычисление 3 5 2 5" xfId="0"/>
    <cellStyle name="Вычисление 3 5 2 6" xfId="0"/>
    <cellStyle name="Вычисление 3 5 3" xfId="0"/>
    <cellStyle name="Вычисление 3 5 3 2" xfId="0"/>
    <cellStyle name="Вычисление 3 5 3 2 2" xfId="0"/>
    <cellStyle name="Вычисление 3 5 3 2 2 2" xfId="0"/>
    <cellStyle name="Вычисление 3 5 3 2 2 3" xfId="0"/>
    <cellStyle name="Вычисление 3 5 3 2 3" xfId="0"/>
    <cellStyle name="Вычисление 3 5 3 2 4" xfId="0"/>
    <cellStyle name="Вычисление 3 5 3 3" xfId="0"/>
    <cellStyle name="Вычисление 3 5 3 3 2" xfId="0"/>
    <cellStyle name="Вычисление 3 5 3 3 3" xfId="0"/>
    <cellStyle name="Вычисление 3 5 3 4" xfId="0"/>
    <cellStyle name="Вычисление 3 5 3 5" xfId="0"/>
    <cellStyle name="Вычисление 3 5 4" xfId="0"/>
    <cellStyle name="Вычисление 3 5 4 2" xfId="0"/>
    <cellStyle name="Вычисление 3 5 4 2 2" xfId="0"/>
    <cellStyle name="Вычисление 3 5 4 2 2 2" xfId="0"/>
    <cellStyle name="Вычисление 3 5 4 2 2 3" xfId="0"/>
    <cellStyle name="Вычисление 3 5 4 2 3" xfId="0"/>
    <cellStyle name="Вычисление 3 5 4 2 4" xfId="0"/>
    <cellStyle name="Вычисление 3 5 4 3" xfId="0"/>
    <cellStyle name="Вычисление 3 5 4 3 2" xfId="0"/>
    <cellStyle name="Вычисление 3 5 4 3 3" xfId="0"/>
    <cellStyle name="Вычисление 3 5 4 4" xfId="0"/>
    <cellStyle name="Вычисление 3 5 4 5" xfId="0"/>
    <cellStyle name="Вычисление 3 5 5" xfId="0"/>
    <cellStyle name="Вычисление 3 5 5 2" xfId="0"/>
    <cellStyle name="Вычисление 3 5 5 3" xfId="0"/>
    <cellStyle name="Вычисление 3 5 6" xfId="0"/>
    <cellStyle name="Вычисление 3 5 7" xfId="0"/>
    <cellStyle name="Вычисление 3 6" xfId="0"/>
    <cellStyle name="Вычисление 3 6 2" xfId="0"/>
    <cellStyle name="Вычисление 3 6 2 2" xfId="0"/>
    <cellStyle name="Вычисление 3 6 2 2 2" xfId="0"/>
    <cellStyle name="Вычисление 3 6 2 2 2 2" xfId="0"/>
    <cellStyle name="Вычисление 3 6 2 2 2 3" xfId="0"/>
    <cellStyle name="Вычисление 3 6 2 2 3" xfId="0"/>
    <cellStyle name="Вычисление 3 6 2 2 4" xfId="0"/>
    <cellStyle name="Вычисление 3 6 2 3" xfId="0"/>
    <cellStyle name="Вычисление 3 6 2 3 2" xfId="0"/>
    <cellStyle name="Вычисление 3 6 2 3 2 2" xfId="0"/>
    <cellStyle name="Вычисление 3 6 2 3 2 3" xfId="0"/>
    <cellStyle name="Вычисление 3 6 2 3 3" xfId="0"/>
    <cellStyle name="Вычисление 3 6 2 3 4" xfId="0"/>
    <cellStyle name="Вычисление 3 6 2 4" xfId="0"/>
    <cellStyle name="Вычисление 3 6 2 4 2" xfId="0"/>
    <cellStyle name="Вычисление 3 6 2 4 3" xfId="0"/>
    <cellStyle name="Вычисление 3 6 2 5" xfId="0"/>
    <cellStyle name="Вычисление 3 6 2 6" xfId="0"/>
    <cellStyle name="Вычисление 3 6 3" xfId="0"/>
    <cellStyle name="Вычисление 3 6 3 2" xfId="0"/>
    <cellStyle name="Вычисление 3 6 3 2 2" xfId="0"/>
    <cellStyle name="Вычисление 3 6 3 2 2 2" xfId="0"/>
    <cellStyle name="Вычисление 3 6 3 2 2 3" xfId="0"/>
    <cellStyle name="Вычисление 3 6 3 2 3" xfId="0"/>
    <cellStyle name="Вычисление 3 6 3 2 4" xfId="0"/>
    <cellStyle name="Вычисление 3 6 3 3" xfId="0"/>
    <cellStyle name="Вычисление 3 6 3 3 2" xfId="0"/>
    <cellStyle name="Вычисление 3 6 3 3 3" xfId="0"/>
    <cellStyle name="Вычисление 3 6 3 4" xfId="0"/>
    <cellStyle name="Вычисление 3 6 3 5" xfId="0"/>
    <cellStyle name="Вычисление 3 6 4" xfId="0"/>
    <cellStyle name="Вычисление 3 6 4 2" xfId="0"/>
    <cellStyle name="Вычисление 3 6 4 2 2" xfId="0"/>
    <cellStyle name="Вычисление 3 6 4 2 2 2" xfId="0"/>
    <cellStyle name="Вычисление 3 6 4 2 2 3" xfId="0"/>
    <cellStyle name="Вычисление 3 6 4 2 3" xfId="0"/>
    <cellStyle name="Вычисление 3 6 4 2 4" xfId="0"/>
    <cellStyle name="Вычисление 3 6 4 3" xfId="0"/>
    <cellStyle name="Вычисление 3 6 4 3 2" xfId="0"/>
    <cellStyle name="Вычисление 3 6 4 3 3" xfId="0"/>
    <cellStyle name="Вычисление 3 6 4 4" xfId="0"/>
    <cellStyle name="Вычисление 3 6 4 5" xfId="0"/>
    <cellStyle name="Вычисление 3 6 5" xfId="0"/>
    <cellStyle name="Вычисление 3 6 5 2" xfId="0"/>
    <cellStyle name="Вычисление 3 6 5 3" xfId="0"/>
    <cellStyle name="Вычисление 3 6 6" xfId="0"/>
    <cellStyle name="Вычисление 3 6 7" xfId="0"/>
    <cellStyle name="Вычисление 3 7" xfId="0"/>
    <cellStyle name="Вычисление 3 7 2" xfId="0"/>
    <cellStyle name="Вычисление 3 7 2 2" xfId="0"/>
    <cellStyle name="Вычисление 3 7 2 2 2" xfId="0"/>
    <cellStyle name="Вычисление 3 7 2 2 2 2" xfId="0"/>
    <cellStyle name="Вычисление 3 7 2 2 2 3" xfId="0"/>
    <cellStyle name="Вычисление 3 7 2 2 3" xfId="0"/>
    <cellStyle name="Вычисление 3 7 2 2 4" xfId="0"/>
    <cellStyle name="Вычисление 3 7 2 3" xfId="0"/>
    <cellStyle name="Вычисление 3 7 2 3 2" xfId="0"/>
    <cellStyle name="Вычисление 3 7 2 3 2 2" xfId="0"/>
    <cellStyle name="Вычисление 3 7 2 3 2 3" xfId="0"/>
    <cellStyle name="Вычисление 3 7 2 3 3" xfId="0"/>
    <cellStyle name="Вычисление 3 7 2 3 4" xfId="0"/>
    <cellStyle name="Вычисление 3 7 2 4" xfId="0"/>
    <cellStyle name="Вычисление 3 7 2 4 2" xfId="0"/>
    <cellStyle name="Вычисление 3 7 2 4 3" xfId="0"/>
    <cellStyle name="Вычисление 3 7 2 5" xfId="0"/>
    <cellStyle name="Вычисление 3 7 2 6" xfId="0"/>
    <cellStyle name="Вычисление 3 7 3" xfId="0"/>
    <cellStyle name="Вычисление 3 7 3 2" xfId="0"/>
    <cellStyle name="Вычисление 3 7 3 2 2" xfId="0"/>
    <cellStyle name="Вычисление 3 7 3 2 2 2" xfId="0"/>
    <cellStyle name="Вычисление 3 7 3 2 2 3" xfId="0"/>
    <cellStyle name="Вычисление 3 7 3 2 3" xfId="0"/>
    <cellStyle name="Вычисление 3 7 3 2 4" xfId="0"/>
    <cellStyle name="Вычисление 3 7 3 3" xfId="0"/>
    <cellStyle name="Вычисление 3 7 3 3 2" xfId="0"/>
    <cellStyle name="Вычисление 3 7 3 3 3" xfId="0"/>
    <cellStyle name="Вычисление 3 7 3 4" xfId="0"/>
    <cellStyle name="Вычисление 3 7 3 5" xfId="0"/>
    <cellStyle name="Вычисление 3 7 4" xfId="0"/>
    <cellStyle name="Вычисление 3 7 4 2" xfId="0"/>
    <cellStyle name="Вычисление 3 7 4 2 2" xfId="0"/>
    <cellStyle name="Вычисление 3 7 4 2 2 2" xfId="0"/>
    <cellStyle name="Вычисление 3 7 4 2 2 3" xfId="0"/>
    <cellStyle name="Вычисление 3 7 4 2 3" xfId="0"/>
    <cellStyle name="Вычисление 3 7 4 2 4" xfId="0"/>
    <cellStyle name="Вычисление 3 7 4 3" xfId="0"/>
    <cellStyle name="Вычисление 3 7 4 3 2" xfId="0"/>
    <cellStyle name="Вычисление 3 7 4 3 3" xfId="0"/>
    <cellStyle name="Вычисление 3 7 4 4" xfId="0"/>
    <cellStyle name="Вычисление 3 7 4 5" xfId="0"/>
    <cellStyle name="Вычисление 3 7 5" xfId="0"/>
    <cellStyle name="Вычисление 3 7 5 2" xfId="0"/>
    <cellStyle name="Вычисление 3 7 5 3" xfId="0"/>
    <cellStyle name="Вычисление 3 7 6" xfId="0"/>
    <cellStyle name="Вычисление 3 7 7" xfId="0"/>
    <cellStyle name="Вычисление 3 8" xfId="0"/>
    <cellStyle name="Вычисление 3 8 2" xfId="0"/>
    <cellStyle name="Вычисление 3 8 2 2" xfId="0"/>
    <cellStyle name="Вычисление 3 8 2 2 2" xfId="0"/>
    <cellStyle name="Вычисление 3 8 2 2 2 2" xfId="0"/>
    <cellStyle name="Вычисление 3 8 2 2 2 3" xfId="0"/>
    <cellStyle name="Вычисление 3 8 2 2 3" xfId="0"/>
    <cellStyle name="Вычисление 3 8 2 2 4" xfId="0"/>
    <cellStyle name="Вычисление 3 8 2 3" xfId="0"/>
    <cellStyle name="Вычисление 3 8 2 3 2" xfId="0"/>
    <cellStyle name="Вычисление 3 8 2 3 2 2" xfId="0"/>
    <cellStyle name="Вычисление 3 8 2 3 2 3" xfId="0"/>
    <cellStyle name="Вычисление 3 8 2 3 3" xfId="0"/>
    <cellStyle name="Вычисление 3 8 2 3 4" xfId="0"/>
    <cellStyle name="Вычисление 3 8 2 4" xfId="0"/>
    <cellStyle name="Вычисление 3 8 2 4 2" xfId="0"/>
    <cellStyle name="Вычисление 3 8 2 4 3" xfId="0"/>
    <cellStyle name="Вычисление 3 8 2 5" xfId="0"/>
    <cellStyle name="Вычисление 3 8 2 6" xfId="0"/>
    <cellStyle name="Вычисление 3 8 3" xfId="0"/>
    <cellStyle name="Вычисление 3 8 3 2" xfId="0"/>
    <cellStyle name="Вычисление 3 8 3 2 2" xfId="0"/>
    <cellStyle name="Вычисление 3 8 3 2 2 2" xfId="0"/>
    <cellStyle name="Вычисление 3 8 3 2 2 3" xfId="0"/>
    <cellStyle name="Вычисление 3 8 3 2 3" xfId="0"/>
    <cellStyle name="Вычисление 3 8 3 2 4" xfId="0"/>
    <cellStyle name="Вычисление 3 8 3 3" xfId="0"/>
    <cellStyle name="Вычисление 3 8 3 3 2" xfId="0"/>
    <cellStyle name="Вычисление 3 8 3 3 3" xfId="0"/>
    <cellStyle name="Вычисление 3 8 3 4" xfId="0"/>
    <cellStyle name="Вычисление 3 8 3 5" xfId="0"/>
    <cellStyle name="Вычисление 3 8 4" xfId="0"/>
    <cellStyle name="Вычисление 3 8 4 2" xfId="0"/>
    <cellStyle name="Вычисление 3 8 4 2 2" xfId="0"/>
    <cellStyle name="Вычисление 3 8 4 2 2 2" xfId="0"/>
    <cellStyle name="Вычисление 3 8 4 2 2 3" xfId="0"/>
    <cellStyle name="Вычисление 3 8 4 2 3" xfId="0"/>
    <cellStyle name="Вычисление 3 8 4 2 4" xfId="0"/>
    <cellStyle name="Вычисление 3 8 4 3" xfId="0"/>
    <cellStyle name="Вычисление 3 8 4 3 2" xfId="0"/>
    <cellStyle name="Вычисление 3 8 4 3 3" xfId="0"/>
    <cellStyle name="Вычисление 3 8 4 4" xfId="0"/>
    <cellStyle name="Вычисление 3 8 4 5" xfId="0"/>
    <cellStyle name="Вычисление 3 8 5" xfId="0"/>
    <cellStyle name="Вычисление 3 8 5 2" xfId="0"/>
    <cellStyle name="Вычисление 3 8 5 3" xfId="0"/>
    <cellStyle name="Вычисление 3 8 6" xfId="0"/>
    <cellStyle name="Вычисление 3 8 7" xfId="0"/>
    <cellStyle name="Вычисление 3 9" xfId="0"/>
    <cellStyle name="Вычисление 3 9 2" xfId="0"/>
    <cellStyle name="Вычисление 3 9 2 2" xfId="0"/>
    <cellStyle name="Вычисление 3 9 2 2 2" xfId="0"/>
    <cellStyle name="Вычисление 3 9 2 2 2 2" xfId="0"/>
    <cellStyle name="Вычисление 3 9 2 2 2 3" xfId="0"/>
    <cellStyle name="Вычисление 3 9 2 2 3" xfId="0"/>
    <cellStyle name="Вычисление 3 9 2 2 4" xfId="0"/>
    <cellStyle name="Вычисление 3 9 2 3" xfId="0"/>
    <cellStyle name="Вычисление 3 9 2 3 2" xfId="0"/>
    <cellStyle name="Вычисление 3 9 2 3 2 2" xfId="0"/>
    <cellStyle name="Вычисление 3 9 2 3 2 3" xfId="0"/>
    <cellStyle name="Вычисление 3 9 2 3 3" xfId="0"/>
    <cellStyle name="Вычисление 3 9 2 3 4" xfId="0"/>
    <cellStyle name="Вычисление 3 9 2 4" xfId="0"/>
    <cellStyle name="Вычисление 3 9 2 4 2" xfId="0"/>
    <cellStyle name="Вычисление 3 9 2 4 3" xfId="0"/>
    <cellStyle name="Вычисление 3 9 2 5" xfId="0"/>
    <cellStyle name="Вычисление 3 9 2 6" xfId="0"/>
    <cellStyle name="Вычисление 3 9 3" xfId="0"/>
    <cellStyle name="Вычисление 3 9 3 2" xfId="0"/>
    <cellStyle name="Вычисление 3 9 3 2 2" xfId="0"/>
    <cellStyle name="Вычисление 3 9 3 2 2 2" xfId="0"/>
    <cellStyle name="Вычисление 3 9 3 2 2 3" xfId="0"/>
    <cellStyle name="Вычисление 3 9 3 2 3" xfId="0"/>
    <cellStyle name="Вычисление 3 9 3 2 4" xfId="0"/>
    <cellStyle name="Вычисление 3 9 3 3" xfId="0"/>
    <cellStyle name="Вычисление 3 9 3 3 2" xfId="0"/>
    <cellStyle name="Вычисление 3 9 3 3 3" xfId="0"/>
    <cellStyle name="Вычисление 3 9 3 4" xfId="0"/>
    <cellStyle name="Вычисление 3 9 3 5" xfId="0"/>
    <cellStyle name="Вычисление 3 9 4" xfId="0"/>
    <cellStyle name="Вычисление 3 9 4 2" xfId="0"/>
    <cellStyle name="Вычисление 3 9 4 2 2" xfId="0"/>
    <cellStyle name="Вычисление 3 9 4 2 2 2" xfId="0"/>
    <cellStyle name="Вычисление 3 9 4 2 2 3" xfId="0"/>
    <cellStyle name="Вычисление 3 9 4 2 3" xfId="0"/>
    <cellStyle name="Вычисление 3 9 4 2 4" xfId="0"/>
    <cellStyle name="Вычисление 3 9 4 3" xfId="0"/>
    <cellStyle name="Вычисление 3 9 4 3 2" xfId="0"/>
    <cellStyle name="Вычисление 3 9 4 3 3" xfId="0"/>
    <cellStyle name="Вычисление 3 9 4 4" xfId="0"/>
    <cellStyle name="Вычисление 3 9 4 5" xfId="0"/>
    <cellStyle name="Вычисление 3 9 5" xfId="0"/>
    <cellStyle name="Вычисление 3 9 5 2" xfId="0"/>
    <cellStyle name="Вычисление 3 9 5 3" xfId="0"/>
    <cellStyle name="Вычисление 3 9 6" xfId="0"/>
    <cellStyle name="Вычисление 3 9 7" xfId="0"/>
    <cellStyle name="Вычисление 4" xfId="0"/>
    <cellStyle name="Вычисление 4 10" xfId="0"/>
    <cellStyle name="Вычисление 4 10 2" xfId="0"/>
    <cellStyle name="Вычисление 4 10 2 2" xfId="0"/>
    <cellStyle name="Вычисление 4 10 2 2 2" xfId="0"/>
    <cellStyle name="Вычисление 4 10 2 2 2 2" xfId="0"/>
    <cellStyle name="Вычисление 4 10 2 2 2 3" xfId="0"/>
    <cellStyle name="Вычисление 4 10 2 2 3" xfId="0"/>
    <cellStyle name="Вычисление 4 10 2 2 4" xfId="0"/>
    <cellStyle name="Вычисление 4 10 2 3" xfId="0"/>
    <cellStyle name="Вычисление 4 10 2 3 2" xfId="0"/>
    <cellStyle name="Вычисление 4 10 2 3 2 2" xfId="0"/>
    <cellStyle name="Вычисление 4 10 2 3 2 3" xfId="0"/>
    <cellStyle name="Вычисление 4 10 2 3 3" xfId="0"/>
    <cellStyle name="Вычисление 4 10 2 3 4" xfId="0"/>
    <cellStyle name="Вычисление 4 10 2 4" xfId="0"/>
    <cellStyle name="Вычисление 4 10 2 4 2" xfId="0"/>
    <cellStyle name="Вычисление 4 10 2 4 3" xfId="0"/>
    <cellStyle name="Вычисление 4 10 2 5" xfId="0"/>
    <cellStyle name="Вычисление 4 10 2 6" xfId="0"/>
    <cellStyle name="Вычисление 4 10 3" xfId="0"/>
    <cellStyle name="Вычисление 4 10 3 2" xfId="0"/>
    <cellStyle name="Вычисление 4 10 3 2 2" xfId="0"/>
    <cellStyle name="Вычисление 4 10 3 2 2 2" xfId="0"/>
    <cellStyle name="Вычисление 4 10 3 2 2 3" xfId="0"/>
    <cellStyle name="Вычисление 4 10 3 2 3" xfId="0"/>
    <cellStyle name="Вычисление 4 10 3 2 4" xfId="0"/>
    <cellStyle name="Вычисление 4 10 3 3" xfId="0"/>
    <cellStyle name="Вычисление 4 10 3 3 2" xfId="0"/>
    <cellStyle name="Вычисление 4 10 3 3 3" xfId="0"/>
    <cellStyle name="Вычисление 4 10 3 4" xfId="0"/>
    <cellStyle name="Вычисление 4 10 3 5" xfId="0"/>
    <cellStyle name="Вычисление 4 10 4" xfId="0"/>
    <cellStyle name="Вычисление 4 10 4 2" xfId="0"/>
    <cellStyle name="Вычисление 4 10 4 2 2" xfId="0"/>
    <cellStyle name="Вычисление 4 10 4 2 2 2" xfId="0"/>
    <cellStyle name="Вычисление 4 10 4 2 2 3" xfId="0"/>
    <cellStyle name="Вычисление 4 10 4 2 3" xfId="0"/>
    <cellStyle name="Вычисление 4 10 4 2 4" xfId="0"/>
    <cellStyle name="Вычисление 4 10 4 3" xfId="0"/>
    <cellStyle name="Вычисление 4 10 4 3 2" xfId="0"/>
    <cellStyle name="Вычисление 4 10 4 3 3" xfId="0"/>
    <cellStyle name="Вычисление 4 10 4 4" xfId="0"/>
    <cellStyle name="Вычисление 4 10 4 5" xfId="0"/>
    <cellStyle name="Вычисление 4 10 5" xfId="0"/>
    <cellStyle name="Вычисление 4 10 5 2" xfId="0"/>
    <cellStyle name="Вычисление 4 10 5 3" xfId="0"/>
    <cellStyle name="Вычисление 4 10 6" xfId="0"/>
    <cellStyle name="Вычисление 4 10 7" xfId="0"/>
    <cellStyle name="Вычисление 4 11" xfId="0"/>
    <cellStyle name="Вычисление 4 11 2" xfId="0"/>
    <cellStyle name="Вычисление 4 11 2 2" xfId="0"/>
    <cellStyle name="Вычисление 4 11 2 2 2" xfId="0"/>
    <cellStyle name="Вычисление 4 11 2 2 2 2" xfId="0"/>
    <cellStyle name="Вычисление 4 11 2 2 2 3" xfId="0"/>
    <cellStyle name="Вычисление 4 11 2 2 3" xfId="0"/>
    <cellStyle name="Вычисление 4 11 2 2 4" xfId="0"/>
    <cellStyle name="Вычисление 4 11 2 3" xfId="0"/>
    <cellStyle name="Вычисление 4 11 2 3 2" xfId="0"/>
    <cellStyle name="Вычисление 4 11 2 3 2 2" xfId="0"/>
    <cellStyle name="Вычисление 4 11 2 3 2 3" xfId="0"/>
    <cellStyle name="Вычисление 4 11 2 3 3" xfId="0"/>
    <cellStyle name="Вычисление 4 11 2 3 4" xfId="0"/>
    <cellStyle name="Вычисление 4 11 2 4" xfId="0"/>
    <cellStyle name="Вычисление 4 11 2 4 2" xfId="0"/>
    <cellStyle name="Вычисление 4 11 2 4 3" xfId="0"/>
    <cellStyle name="Вычисление 4 11 2 5" xfId="0"/>
    <cellStyle name="Вычисление 4 11 2 6" xfId="0"/>
    <cellStyle name="Вычисление 4 11 3" xfId="0"/>
    <cellStyle name="Вычисление 4 11 3 2" xfId="0"/>
    <cellStyle name="Вычисление 4 11 3 2 2" xfId="0"/>
    <cellStyle name="Вычисление 4 11 3 2 2 2" xfId="0"/>
    <cellStyle name="Вычисление 4 11 3 2 2 3" xfId="0"/>
    <cellStyle name="Вычисление 4 11 3 2 3" xfId="0"/>
    <cellStyle name="Вычисление 4 11 3 2 4" xfId="0"/>
    <cellStyle name="Вычисление 4 11 3 3" xfId="0"/>
    <cellStyle name="Вычисление 4 11 3 3 2" xfId="0"/>
    <cellStyle name="Вычисление 4 11 3 3 3" xfId="0"/>
    <cellStyle name="Вычисление 4 11 3 4" xfId="0"/>
    <cellStyle name="Вычисление 4 11 3 5" xfId="0"/>
    <cellStyle name="Вычисление 4 11 4" xfId="0"/>
    <cellStyle name="Вычисление 4 11 4 2" xfId="0"/>
    <cellStyle name="Вычисление 4 11 4 2 2" xfId="0"/>
    <cellStyle name="Вычисление 4 11 4 2 2 2" xfId="0"/>
    <cellStyle name="Вычисление 4 11 4 2 2 3" xfId="0"/>
    <cellStyle name="Вычисление 4 11 4 2 3" xfId="0"/>
    <cellStyle name="Вычисление 4 11 4 2 4" xfId="0"/>
    <cellStyle name="Вычисление 4 11 4 3" xfId="0"/>
    <cellStyle name="Вычисление 4 11 4 3 2" xfId="0"/>
    <cellStyle name="Вычисление 4 11 4 3 3" xfId="0"/>
    <cellStyle name="Вычисление 4 11 4 4" xfId="0"/>
    <cellStyle name="Вычисление 4 11 4 5" xfId="0"/>
    <cellStyle name="Вычисление 4 11 5" xfId="0"/>
    <cellStyle name="Вычисление 4 11 5 2" xfId="0"/>
    <cellStyle name="Вычисление 4 11 5 3" xfId="0"/>
    <cellStyle name="Вычисление 4 11 6" xfId="0"/>
    <cellStyle name="Вычисление 4 11 7" xfId="0"/>
    <cellStyle name="Вычисление 4 12" xfId="0"/>
    <cellStyle name="Вычисление 4 12 2" xfId="0"/>
    <cellStyle name="Вычисление 4 12 2 2" xfId="0"/>
    <cellStyle name="Вычисление 4 12 2 2 2" xfId="0"/>
    <cellStyle name="Вычисление 4 12 2 2 2 2" xfId="0"/>
    <cellStyle name="Вычисление 4 12 2 2 2 3" xfId="0"/>
    <cellStyle name="Вычисление 4 12 2 2 3" xfId="0"/>
    <cellStyle name="Вычисление 4 12 2 2 4" xfId="0"/>
    <cellStyle name="Вычисление 4 12 2 3" xfId="0"/>
    <cellStyle name="Вычисление 4 12 2 3 2" xfId="0"/>
    <cellStyle name="Вычисление 4 12 2 3 2 2" xfId="0"/>
    <cellStyle name="Вычисление 4 12 2 3 2 3" xfId="0"/>
    <cellStyle name="Вычисление 4 12 2 3 3" xfId="0"/>
    <cellStyle name="Вычисление 4 12 2 3 4" xfId="0"/>
    <cellStyle name="Вычисление 4 12 2 4" xfId="0"/>
    <cellStyle name="Вычисление 4 12 2 4 2" xfId="0"/>
    <cellStyle name="Вычисление 4 12 2 4 3" xfId="0"/>
    <cellStyle name="Вычисление 4 12 2 5" xfId="0"/>
    <cellStyle name="Вычисление 4 12 2 6" xfId="0"/>
    <cellStyle name="Вычисление 4 12 3" xfId="0"/>
    <cellStyle name="Вычисление 4 12 3 2" xfId="0"/>
    <cellStyle name="Вычисление 4 12 3 2 2" xfId="0"/>
    <cellStyle name="Вычисление 4 12 3 2 2 2" xfId="0"/>
    <cellStyle name="Вычисление 4 12 3 2 2 3" xfId="0"/>
    <cellStyle name="Вычисление 4 12 3 2 3" xfId="0"/>
    <cellStyle name="Вычисление 4 12 3 2 4" xfId="0"/>
    <cellStyle name="Вычисление 4 12 3 3" xfId="0"/>
    <cellStyle name="Вычисление 4 12 3 3 2" xfId="0"/>
    <cellStyle name="Вычисление 4 12 3 3 3" xfId="0"/>
    <cellStyle name="Вычисление 4 12 3 4" xfId="0"/>
    <cellStyle name="Вычисление 4 12 3 5" xfId="0"/>
    <cellStyle name="Вычисление 4 12 4" xfId="0"/>
    <cellStyle name="Вычисление 4 12 4 2" xfId="0"/>
    <cellStyle name="Вычисление 4 12 4 2 2" xfId="0"/>
    <cellStyle name="Вычисление 4 12 4 2 2 2" xfId="0"/>
    <cellStyle name="Вычисление 4 12 4 2 2 3" xfId="0"/>
    <cellStyle name="Вычисление 4 12 4 2 3" xfId="0"/>
    <cellStyle name="Вычисление 4 12 4 2 4" xfId="0"/>
    <cellStyle name="Вычисление 4 12 4 3" xfId="0"/>
    <cellStyle name="Вычисление 4 12 4 3 2" xfId="0"/>
    <cellStyle name="Вычисление 4 12 4 3 3" xfId="0"/>
    <cellStyle name="Вычисление 4 12 4 4" xfId="0"/>
    <cellStyle name="Вычисление 4 12 4 5" xfId="0"/>
    <cellStyle name="Вычисление 4 12 5" xfId="0"/>
    <cellStyle name="Вычисление 4 12 5 2" xfId="0"/>
    <cellStyle name="Вычисление 4 12 5 3" xfId="0"/>
    <cellStyle name="Вычисление 4 12 6" xfId="0"/>
    <cellStyle name="Вычисление 4 12 7" xfId="0"/>
    <cellStyle name="Вычисление 4 13" xfId="0"/>
    <cellStyle name="Вычисление 4 13 2" xfId="0"/>
    <cellStyle name="Вычисление 4 13 2 2" xfId="0"/>
    <cellStyle name="Вычисление 4 13 2 2 2" xfId="0"/>
    <cellStyle name="Вычисление 4 13 2 2 2 2" xfId="0"/>
    <cellStyle name="Вычисление 4 13 2 2 2 3" xfId="0"/>
    <cellStyle name="Вычисление 4 13 2 2 3" xfId="0"/>
    <cellStyle name="Вычисление 4 13 2 2 4" xfId="0"/>
    <cellStyle name="Вычисление 4 13 2 3" xfId="0"/>
    <cellStyle name="Вычисление 4 13 2 3 2" xfId="0"/>
    <cellStyle name="Вычисление 4 13 2 3 2 2" xfId="0"/>
    <cellStyle name="Вычисление 4 13 2 3 2 3" xfId="0"/>
    <cellStyle name="Вычисление 4 13 2 3 3" xfId="0"/>
    <cellStyle name="Вычисление 4 13 2 3 4" xfId="0"/>
    <cellStyle name="Вычисление 4 13 2 4" xfId="0"/>
    <cellStyle name="Вычисление 4 13 2 4 2" xfId="0"/>
    <cellStyle name="Вычисление 4 13 2 4 3" xfId="0"/>
    <cellStyle name="Вычисление 4 13 2 5" xfId="0"/>
    <cellStyle name="Вычисление 4 13 2 6" xfId="0"/>
    <cellStyle name="Вычисление 4 13 3" xfId="0"/>
    <cellStyle name="Вычисление 4 13 3 2" xfId="0"/>
    <cellStyle name="Вычисление 4 13 3 2 2" xfId="0"/>
    <cellStyle name="Вычисление 4 13 3 2 2 2" xfId="0"/>
    <cellStyle name="Вычисление 4 13 3 2 2 3" xfId="0"/>
    <cellStyle name="Вычисление 4 13 3 2 3" xfId="0"/>
    <cellStyle name="Вычисление 4 13 3 2 4" xfId="0"/>
    <cellStyle name="Вычисление 4 13 3 3" xfId="0"/>
    <cellStyle name="Вычисление 4 13 3 3 2" xfId="0"/>
    <cellStyle name="Вычисление 4 13 3 3 3" xfId="0"/>
    <cellStyle name="Вычисление 4 13 3 4" xfId="0"/>
    <cellStyle name="Вычисление 4 13 3 5" xfId="0"/>
    <cellStyle name="Вычисление 4 13 4" xfId="0"/>
    <cellStyle name="Вычисление 4 13 4 2" xfId="0"/>
    <cellStyle name="Вычисление 4 13 4 2 2" xfId="0"/>
    <cellStyle name="Вычисление 4 13 4 2 2 2" xfId="0"/>
    <cellStyle name="Вычисление 4 13 4 2 2 3" xfId="0"/>
    <cellStyle name="Вычисление 4 13 4 2 3" xfId="0"/>
    <cellStyle name="Вычисление 4 13 4 2 4" xfId="0"/>
    <cellStyle name="Вычисление 4 13 4 3" xfId="0"/>
    <cellStyle name="Вычисление 4 13 4 3 2" xfId="0"/>
    <cellStyle name="Вычисление 4 13 4 3 3" xfId="0"/>
    <cellStyle name="Вычисление 4 13 4 4" xfId="0"/>
    <cellStyle name="Вычисление 4 13 4 5" xfId="0"/>
    <cellStyle name="Вычисление 4 13 5" xfId="0"/>
    <cellStyle name="Вычисление 4 13 5 2" xfId="0"/>
    <cellStyle name="Вычисление 4 13 5 3" xfId="0"/>
    <cellStyle name="Вычисление 4 13 6" xfId="0"/>
    <cellStyle name="Вычисление 4 13 7" xfId="0"/>
    <cellStyle name="Вычисление 4 14" xfId="0"/>
    <cellStyle name="Вычисление 4 14 2" xfId="0"/>
    <cellStyle name="Вычисление 4 14 2 2" xfId="0"/>
    <cellStyle name="Вычисление 4 14 2 2 2" xfId="0"/>
    <cellStyle name="Вычисление 4 14 2 2 2 2" xfId="0"/>
    <cellStyle name="Вычисление 4 14 2 2 2 3" xfId="0"/>
    <cellStyle name="Вычисление 4 14 2 2 3" xfId="0"/>
    <cellStyle name="Вычисление 4 14 2 2 4" xfId="0"/>
    <cellStyle name="Вычисление 4 14 2 3" xfId="0"/>
    <cellStyle name="Вычисление 4 14 2 3 2" xfId="0"/>
    <cellStyle name="Вычисление 4 14 2 3 2 2" xfId="0"/>
    <cellStyle name="Вычисление 4 14 2 3 2 3" xfId="0"/>
    <cellStyle name="Вычисление 4 14 2 3 3" xfId="0"/>
    <cellStyle name="Вычисление 4 14 2 3 4" xfId="0"/>
    <cellStyle name="Вычисление 4 14 2 4" xfId="0"/>
    <cellStyle name="Вычисление 4 14 2 4 2" xfId="0"/>
    <cellStyle name="Вычисление 4 14 2 4 3" xfId="0"/>
    <cellStyle name="Вычисление 4 14 2 5" xfId="0"/>
    <cellStyle name="Вычисление 4 14 2 6" xfId="0"/>
    <cellStyle name="Вычисление 4 14 3" xfId="0"/>
    <cellStyle name="Вычисление 4 14 3 2" xfId="0"/>
    <cellStyle name="Вычисление 4 14 3 2 2" xfId="0"/>
    <cellStyle name="Вычисление 4 14 3 2 2 2" xfId="0"/>
    <cellStyle name="Вычисление 4 14 3 2 2 3" xfId="0"/>
    <cellStyle name="Вычисление 4 14 3 2 3" xfId="0"/>
    <cellStyle name="Вычисление 4 14 3 2 4" xfId="0"/>
    <cellStyle name="Вычисление 4 14 3 3" xfId="0"/>
    <cellStyle name="Вычисление 4 14 3 3 2" xfId="0"/>
    <cellStyle name="Вычисление 4 14 3 3 3" xfId="0"/>
    <cellStyle name="Вычисление 4 14 3 4" xfId="0"/>
    <cellStyle name="Вычисление 4 14 3 5" xfId="0"/>
    <cellStyle name="Вычисление 4 14 4" xfId="0"/>
    <cellStyle name="Вычисление 4 14 4 2" xfId="0"/>
    <cellStyle name="Вычисление 4 14 4 2 2" xfId="0"/>
    <cellStyle name="Вычисление 4 14 4 2 2 2" xfId="0"/>
    <cellStyle name="Вычисление 4 14 4 2 2 3" xfId="0"/>
    <cellStyle name="Вычисление 4 14 4 2 3" xfId="0"/>
    <cellStyle name="Вычисление 4 14 4 2 4" xfId="0"/>
    <cellStyle name="Вычисление 4 14 4 3" xfId="0"/>
    <cellStyle name="Вычисление 4 14 4 3 2" xfId="0"/>
    <cellStyle name="Вычисление 4 14 4 3 3" xfId="0"/>
    <cellStyle name="Вычисление 4 14 4 4" xfId="0"/>
    <cellStyle name="Вычисление 4 14 4 5" xfId="0"/>
    <cellStyle name="Вычисление 4 14 5" xfId="0"/>
    <cellStyle name="Вычисление 4 14 5 2" xfId="0"/>
    <cellStyle name="Вычисление 4 14 5 3" xfId="0"/>
    <cellStyle name="Вычисление 4 14 6" xfId="0"/>
    <cellStyle name="Вычисление 4 14 7" xfId="0"/>
    <cellStyle name="Вычисление 4 15" xfId="0"/>
    <cellStyle name="Вычисление 4 15 2" xfId="0"/>
    <cellStyle name="Вычисление 4 15 2 2" xfId="0"/>
    <cellStyle name="Вычисление 4 15 2 2 2" xfId="0"/>
    <cellStyle name="Вычисление 4 15 2 2 2 2" xfId="0"/>
    <cellStyle name="Вычисление 4 15 2 2 2 3" xfId="0"/>
    <cellStyle name="Вычисление 4 15 2 2 3" xfId="0"/>
    <cellStyle name="Вычисление 4 15 2 2 4" xfId="0"/>
    <cellStyle name="Вычисление 4 15 2 3" xfId="0"/>
    <cellStyle name="Вычисление 4 15 2 3 2" xfId="0"/>
    <cellStyle name="Вычисление 4 15 2 3 2 2" xfId="0"/>
    <cellStyle name="Вычисление 4 15 2 3 2 3" xfId="0"/>
    <cellStyle name="Вычисление 4 15 2 3 3" xfId="0"/>
    <cellStyle name="Вычисление 4 15 2 3 4" xfId="0"/>
    <cellStyle name="Вычисление 4 15 2 4" xfId="0"/>
    <cellStyle name="Вычисление 4 15 2 4 2" xfId="0"/>
    <cellStyle name="Вычисление 4 15 2 4 3" xfId="0"/>
    <cellStyle name="Вычисление 4 15 2 5" xfId="0"/>
    <cellStyle name="Вычисление 4 15 2 6" xfId="0"/>
    <cellStyle name="Вычисление 4 15 3" xfId="0"/>
    <cellStyle name="Вычисление 4 15 3 2" xfId="0"/>
    <cellStyle name="Вычисление 4 15 3 2 2" xfId="0"/>
    <cellStyle name="Вычисление 4 15 3 2 2 2" xfId="0"/>
    <cellStyle name="Вычисление 4 15 3 2 2 3" xfId="0"/>
    <cellStyle name="Вычисление 4 15 3 2 3" xfId="0"/>
    <cellStyle name="Вычисление 4 15 3 2 4" xfId="0"/>
    <cellStyle name="Вычисление 4 15 3 3" xfId="0"/>
    <cellStyle name="Вычисление 4 15 3 3 2" xfId="0"/>
    <cellStyle name="Вычисление 4 15 3 3 3" xfId="0"/>
    <cellStyle name="Вычисление 4 15 3 4" xfId="0"/>
    <cellStyle name="Вычисление 4 15 3 5" xfId="0"/>
    <cellStyle name="Вычисление 4 15 4" xfId="0"/>
    <cellStyle name="Вычисление 4 15 4 2" xfId="0"/>
    <cellStyle name="Вычисление 4 15 4 2 2" xfId="0"/>
    <cellStyle name="Вычисление 4 15 4 2 2 2" xfId="0"/>
    <cellStyle name="Вычисление 4 15 4 2 2 3" xfId="0"/>
    <cellStyle name="Вычисление 4 15 4 2 3" xfId="0"/>
    <cellStyle name="Вычисление 4 15 4 2 4" xfId="0"/>
    <cellStyle name="Вычисление 4 15 4 3" xfId="0"/>
    <cellStyle name="Вычисление 4 15 4 3 2" xfId="0"/>
    <cellStyle name="Вычисление 4 15 4 3 3" xfId="0"/>
    <cellStyle name="Вычисление 4 15 4 4" xfId="0"/>
    <cellStyle name="Вычисление 4 15 4 5" xfId="0"/>
    <cellStyle name="Вычисление 4 15 5" xfId="0"/>
    <cellStyle name="Вычисление 4 15 5 2" xfId="0"/>
    <cellStyle name="Вычисление 4 15 5 3" xfId="0"/>
    <cellStyle name="Вычисление 4 15 6" xfId="0"/>
    <cellStyle name="Вычисление 4 15 7" xfId="0"/>
    <cellStyle name="Вычисление 4 16" xfId="0"/>
    <cellStyle name="Вычисление 4 16 2" xfId="0"/>
    <cellStyle name="Вычисление 4 16 2 2" xfId="0"/>
    <cellStyle name="Вычисление 4 16 2 2 2" xfId="0"/>
    <cellStyle name="Вычисление 4 16 2 2 2 2" xfId="0"/>
    <cellStyle name="Вычисление 4 16 2 2 2 3" xfId="0"/>
    <cellStyle name="Вычисление 4 16 2 2 3" xfId="0"/>
    <cellStyle name="Вычисление 4 16 2 2 4" xfId="0"/>
    <cellStyle name="Вычисление 4 16 2 3" xfId="0"/>
    <cellStyle name="Вычисление 4 16 2 3 2" xfId="0"/>
    <cellStyle name="Вычисление 4 16 2 3 2 2" xfId="0"/>
    <cellStyle name="Вычисление 4 16 2 3 2 3" xfId="0"/>
    <cellStyle name="Вычисление 4 16 2 3 3" xfId="0"/>
    <cellStyle name="Вычисление 4 16 2 3 4" xfId="0"/>
    <cellStyle name="Вычисление 4 16 2 4" xfId="0"/>
    <cellStyle name="Вычисление 4 16 2 4 2" xfId="0"/>
    <cellStyle name="Вычисление 4 16 2 4 3" xfId="0"/>
    <cellStyle name="Вычисление 4 16 2 5" xfId="0"/>
    <cellStyle name="Вычисление 4 16 2 6" xfId="0"/>
    <cellStyle name="Вычисление 4 16 3" xfId="0"/>
    <cellStyle name="Вычисление 4 16 3 2" xfId="0"/>
    <cellStyle name="Вычисление 4 16 3 2 2" xfId="0"/>
    <cellStyle name="Вычисление 4 16 3 2 2 2" xfId="0"/>
    <cellStyle name="Вычисление 4 16 3 2 2 3" xfId="0"/>
    <cellStyle name="Вычисление 4 16 3 2 3" xfId="0"/>
    <cellStyle name="Вычисление 4 16 3 2 4" xfId="0"/>
    <cellStyle name="Вычисление 4 16 3 3" xfId="0"/>
    <cellStyle name="Вычисление 4 16 3 3 2" xfId="0"/>
    <cellStyle name="Вычисление 4 16 3 3 3" xfId="0"/>
    <cellStyle name="Вычисление 4 16 3 4" xfId="0"/>
    <cellStyle name="Вычисление 4 16 3 5" xfId="0"/>
    <cellStyle name="Вычисление 4 16 4" xfId="0"/>
    <cellStyle name="Вычисление 4 16 4 2" xfId="0"/>
    <cellStyle name="Вычисление 4 16 4 2 2" xfId="0"/>
    <cellStyle name="Вычисление 4 16 4 2 2 2" xfId="0"/>
    <cellStyle name="Вычисление 4 16 4 2 2 3" xfId="0"/>
    <cellStyle name="Вычисление 4 16 4 2 3" xfId="0"/>
    <cellStyle name="Вычисление 4 16 4 2 4" xfId="0"/>
    <cellStyle name="Вычисление 4 16 4 3" xfId="0"/>
    <cellStyle name="Вычисление 4 16 4 3 2" xfId="0"/>
    <cellStyle name="Вычисление 4 16 4 3 3" xfId="0"/>
    <cellStyle name="Вычисление 4 16 4 4" xfId="0"/>
    <cellStyle name="Вычисление 4 16 4 5" xfId="0"/>
    <cellStyle name="Вычисление 4 16 5" xfId="0"/>
    <cellStyle name="Вычисление 4 16 5 2" xfId="0"/>
    <cellStyle name="Вычисление 4 16 5 3" xfId="0"/>
    <cellStyle name="Вычисление 4 16 6" xfId="0"/>
    <cellStyle name="Вычисление 4 16 7" xfId="0"/>
    <cellStyle name="Вычисление 4 17" xfId="0"/>
    <cellStyle name="Вычисление 4 17 2" xfId="0"/>
    <cellStyle name="Вычисление 4 17 2 2" xfId="0"/>
    <cellStyle name="Вычисление 4 17 2 2 2" xfId="0"/>
    <cellStyle name="Вычисление 4 17 2 2 2 2" xfId="0"/>
    <cellStyle name="Вычисление 4 17 2 2 2 3" xfId="0"/>
    <cellStyle name="Вычисление 4 17 2 2 3" xfId="0"/>
    <cellStyle name="Вычисление 4 17 2 2 4" xfId="0"/>
    <cellStyle name="Вычисление 4 17 2 3" xfId="0"/>
    <cellStyle name="Вычисление 4 17 2 3 2" xfId="0"/>
    <cellStyle name="Вычисление 4 17 2 3 2 2" xfId="0"/>
    <cellStyle name="Вычисление 4 17 2 3 2 3" xfId="0"/>
    <cellStyle name="Вычисление 4 17 2 3 3" xfId="0"/>
    <cellStyle name="Вычисление 4 17 2 3 4" xfId="0"/>
    <cellStyle name="Вычисление 4 17 2 4" xfId="0"/>
    <cellStyle name="Вычисление 4 17 2 4 2" xfId="0"/>
    <cellStyle name="Вычисление 4 17 2 4 3" xfId="0"/>
    <cellStyle name="Вычисление 4 17 2 5" xfId="0"/>
    <cellStyle name="Вычисление 4 17 2 6" xfId="0"/>
    <cellStyle name="Вычисление 4 17 3" xfId="0"/>
    <cellStyle name="Вычисление 4 17 3 2" xfId="0"/>
    <cellStyle name="Вычисление 4 17 3 2 2" xfId="0"/>
    <cellStyle name="Вычисление 4 17 3 2 2 2" xfId="0"/>
    <cellStyle name="Вычисление 4 17 3 2 2 3" xfId="0"/>
    <cellStyle name="Вычисление 4 17 3 2 3" xfId="0"/>
    <cellStyle name="Вычисление 4 17 3 2 4" xfId="0"/>
    <cellStyle name="Вычисление 4 17 3 3" xfId="0"/>
    <cellStyle name="Вычисление 4 17 3 3 2" xfId="0"/>
    <cellStyle name="Вычисление 4 17 3 3 3" xfId="0"/>
    <cellStyle name="Вычисление 4 17 3 4" xfId="0"/>
    <cellStyle name="Вычисление 4 17 3 5" xfId="0"/>
    <cellStyle name="Вычисление 4 17 4" xfId="0"/>
    <cellStyle name="Вычисление 4 17 4 2" xfId="0"/>
    <cellStyle name="Вычисление 4 17 4 2 2" xfId="0"/>
    <cellStyle name="Вычисление 4 17 4 2 2 2" xfId="0"/>
    <cellStyle name="Вычисление 4 17 4 2 2 3" xfId="0"/>
    <cellStyle name="Вычисление 4 17 4 2 3" xfId="0"/>
    <cellStyle name="Вычисление 4 17 4 2 4" xfId="0"/>
    <cellStyle name="Вычисление 4 17 4 3" xfId="0"/>
    <cellStyle name="Вычисление 4 17 4 3 2" xfId="0"/>
    <cellStyle name="Вычисление 4 17 4 3 3" xfId="0"/>
    <cellStyle name="Вычисление 4 17 4 4" xfId="0"/>
    <cellStyle name="Вычисление 4 17 4 5" xfId="0"/>
    <cellStyle name="Вычисление 4 17 5" xfId="0"/>
    <cellStyle name="Вычисление 4 17 5 2" xfId="0"/>
    <cellStyle name="Вычисление 4 17 5 3" xfId="0"/>
    <cellStyle name="Вычисление 4 17 6" xfId="0"/>
    <cellStyle name="Вычисление 4 17 7" xfId="0"/>
    <cellStyle name="Вычисление 4 18" xfId="0"/>
    <cellStyle name="Вычисление 4 18 2" xfId="0"/>
    <cellStyle name="Вычисление 4 18 2 2" xfId="0"/>
    <cellStyle name="Вычисление 4 18 2 2 2" xfId="0"/>
    <cellStyle name="Вычисление 4 18 2 2 2 2" xfId="0"/>
    <cellStyle name="Вычисление 4 18 2 2 2 3" xfId="0"/>
    <cellStyle name="Вычисление 4 18 2 2 3" xfId="0"/>
    <cellStyle name="Вычисление 4 18 2 2 4" xfId="0"/>
    <cellStyle name="Вычисление 4 18 2 3" xfId="0"/>
    <cellStyle name="Вычисление 4 18 2 3 2" xfId="0"/>
    <cellStyle name="Вычисление 4 18 2 3 2 2" xfId="0"/>
    <cellStyle name="Вычисление 4 18 2 3 2 3" xfId="0"/>
    <cellStyle name="Вычисление 4 18 2 3 3" xfId="0"/>
    <cellStyle name="Вычисление 4 18 2 3 4" xfId="0"/>
    <cellStyle name="Вычисление 4 18 2 4" xfId="0"/>
    <cellStyle name="Вычисление 4 18 2 4 2" xfId="0"/>
    <cellStyle name="Вычисление 4 18 2 4 3" xfId="0"/>
    <cellStyle name="Вычисление 4 18 2 5" xfId="0"/>
    <cellStyle name="Вычисление 4 18 2 6" xfId="0"/>
    <cellStyle name="Вычисление 4 18 3" xfId="0"/>
    <cellStyle name="Вычисление 4 18 3 2" xfId="0"/>
    <cellStyle name="Вычисление 4 18 3 2 2" xfId="0"/>
    <cellStyle name="Вычисление 4 18 3 2 2 2" xfId="0"/>
    <cellStyle name="Вычисление 4 18 3 2 2 3" xfId="0"/>
    <cellStyle name="Вычисление 4 18 3 2 3" xfId="0"/>
    <cellStyle name="Вычисление 4 18 3 2 4" xfId="0"/>
    <cellStyle name="Вычисление 4 18 3 3" xfId="0"/>
    <cellStyle name="Вычисление 4 18 3 3 2" xfId="0"/>
    <cellStyle name="Вычисление 4 18 3 3 3" xfId="0"/>
    <cellStyle name="Вычисление 4 18 3 4" xfId="0"/>
    <cellStyle name="Вычисление 4 18 3 5" xfId="0"/>
    <cellStyle name="Вычисление 4 18 4" xfId="0"/>
    <cellStyle name="Вычисление 4 18 4 2" xfId="0"/>
    <cellStyle name="Вычисление 4 18 4 2 2" xfId="0"/>
    <cellStyle name="Вычисление 4 18 4 2 2 2" xfId="0"/>
    <cellStyle name="Вычисление 4 18 4 2 2 3" xfId="0"/>
    <cellStyle name="Вычисление 4 18 4 2 3" xfId="0"/>
    <cellStyle name="Вычисление 4 18 4 2 4" xfId="0"/>
    <cellStyle name="Вычисление 4 18 4 3" xfId="0"/>
    <cellStyle name="Вычисление 4 18 4 3 2" xfId="0"/>
    <cellStyle name="Вычисление 4 18 4 3 3" xfId="0"/>
    <cellStyle name="Вычисление 4 18 4 4" xfId="0"/>
    <cellStyle name="Вычисление 4 18 4 5" xfId="0"/>
    <cellStyle name="Вычисление 4 18 5" xfId="0"/>
    <cellStyle name="Вычисление 4 18 5 2" xfId="0"/>
    <cellStyle name="Вычисление 4 18 5 3" xfId="0"/>
    <cellStyle name="Вычисление 4 18 6" xfId="0"/>
    <cellStyle name="Вычисление 4 18 7" xfId="0"/>
    <cellStyle name="Вычисление 4 19" xfId="0"/>
    <cellStyle name="Вычисление 4 19 2" xfId="0"/>
    <cellStyle name="Вычисление 4 19 2 2" xfId="0"/>
    <cellStyle name="Вычисление 4 19 2 2 2" xfId="0"/>
    <cellStyle name="Вычисление 4 19 2 2 2 2" xfId="0"/>
    <cellStyle name="Вычисление 4 19 2 2 2 3" xfId="0"/>
    <cellStyle name="Вычисление 4 19 2 2 3" xfId="0"/>
    <cellStyle name="Вычисление 4 19 2 2 4" xfId="0"/>
    <cellStyle name="Вычисление 4 19 2 3" xfId="0"/>
    <cellStyle name="Вычисление 4 19 2 3 2" xfId="0"/>
    <cellStyle name="Вычисление 4 19 2 3 2 2" xfId="0"/>
    <cellStyle name="Вычисление 4 19 2 3 2 3" xfId="0"/>
    <cellStyle name="Вычисление 4 19 2 3 3" xfId="0"/>
    <cellStyle name="Вычисление 4 19 2 3 4" xfId="0"/>
    <cellStyle name="Вычисление 4 19 2 4" xfId="0"/>
    <cellStyle name="Вычисление 4 19 2 4 2" xfId="0"/>
    <cellStyle name="Вычисление 4 19 2 4 3" xfId="0"/>
    <cellStyle name="Вычисление 4 19 2 5" xfId="0"/>
    <cellStyle name="Вычисление 4 19 2 6" xfId="0"/>
    <cellStyle name="Вычисление 4 19 3" xfId="0"/>
    <cellStyle name="Вычисление 4 19 3 2" xfId="0"/>
    <cellStyle name="Вычисление 4 19 3 2 2" xfId="0"/>
    <cellStyle name="Вычисление 4 19 3 2 2 2" xfId="0"/>
    <cellStyle name="Вычисление 4 19 3 2 2 3" xfId="0"/>
    <cellStyle name="Вычисление 4 19 3 2 3" xfId="0"/>
    <cellStyle name="Вычисление 4 19 3 2 4" xfId="0"/>
    <cellStyle name="Вычисление 4 19 3 3" xfId="0"/>
    <cellStyle name="Вычисление 4 19 3 3 2" xfId="0"/>
    <cellStyle name="Вычисление 4 19 3 3 3" xfId="0"/>
    <cellStyle name="Вычисление 4 19 3 4" xfId="0"/>
    <cellStyle name="Вычисление 4 19 3 5" xfId="0"/>
    <cellStyle name="Вычисление 4 19 4" xfId="0"/>
    <cellStyle name="Вычисление 4 19 4 2" xfId="0"/>
    <cellStyle name="Вычисление 4 19 4 2 2" xfId="0"/>
    <cellStyle name="Вычисление 4 19 4 2 2 2" xfId="0"/>
    <cellStyle name="Вычисление 4 19 4 2 2 3" xfId="0"/>
    <cellStyle name="Вычисление 4 19 4 2 3" xfId="0"/>
    <cellStyle name="Вычисление 4 19 4 2 4" xfId="0"/>
    <cellStyle name="Вычисление 4 19 4 3" xfId="0"/>
    <cellStyle name="Вычисление 4 19 4 3 2" xfId="0"/>
    <cellStyle name="Вычисление 4 19 4 3 3" xfId="0"/>
    <cellStyle name="Вычисление 4 19 4 4" xfId="0"/>
    <cellStyle name="Вычисление 4 19 4 5" xfId="0"/>
    <cellStyle name="Вычисление 4 19 5" xfId="0"/>
    <cellStyle name="Вычисление 4 19 5 2" xfId="0"/>
    <cellStyle name="Вычисление 4 19 5 3" xfId="0"/>
    <cellStyle name="Вычисление 4 19 6" xfId="0"/>
    <cellStyle name="Вычисление 4 19 7" xfId="0"/>
    <cellStyle name="Вычисление 4 2" xfId="0"/>
    <cellStyle name="Вычисление 4 2 10" xfId="0"/>
    <cellStyle name="Вычисление 4 2 11" xfId="0"/>
    <cellStyle name="Вычисление 4 2 2" xfId="0"/>
    <cellStyle name="Вычисление 4 2 2 2" xfId="0"/>
    <cellStyle name="Вычисление 4 2 2 2 2" xfId="0"/>
    <cellStyle name="Вычисление 4 2 2 2 2 2" xfId="0"/>
    <cellStyle name="Вычисление 4 2 2 2 2 2 2" xfId="0"/>
    <cellStyle name="Вычисление 4 2 2 2 2 2 3" xfId="0"/>
    <cellStyle name="Вычисление 4 2 2 2 2 3" xfId="0"/>
    <cellStyle name="Вычисление 4 2 2 2 2 4" xfId="0"/>
    <cellStyle name="Вычисление 4 2 2 2 3" xfId="0"/>
    <cellStyle name="Вычисление 4 2 2 2 3 2" xfId="0"/>
    <cellStyle name="Вычисление 4 2 2 2 3 3" xfId="0"/>
    <cellStyle name="Вычисление 4 2 2 2 4" xfId="0"/>
    <cellStyle name="Вычисление 4 2 2 2 5" xfId="0"/>
    <cellStyle name="Вычисление 4 2 2 3" xfId="0"/>
    <cellStyle name="Вычисление 4 2 2 3 2" xfId="0"/>
    <cellStyle name="Вычисление 4 2 2 3 2 2" xfId="0"/>
    <cellStyle name="Вычисление 4 2 2 3 2 3" xfId="0"/>
    <cellStyle name="Вычисление 4 2 2 3 3" xfId="0"/>
    <cellStyle name="Вычисление 4 2 2 3 4" xfId="0"/>
    <cellStyle name="Вычисление 4 2 2 4" xfId="0"/>
    <cellStyle name="Вычисление 4 2 2 4 2" xfId="0"/>
    <cellStyle name="Вычисление 4 2 2 4 3" xfId="0"/>
    <cellStyle name="Вычисление 4 2 2 5" xfId="0"/>
    <cellStyle name="Вычисление 4 2 2 6" xfId="0"/>
    <cellStyle name="Вычисление 4 2 3" xfId="0"/>
    <cellStyle name="Вычисление 4 2 3 2" xfId="0"/>
    <cellStyle name="Вычисление 4 2 3 2 2" xfId="0"/>
    <cellStyle name="Вычисление 4 2 3 2 2 2" xfId="0"/>
    <cellStyle name="Вычисление 4 2 3 2 2 2 2" xfId="0"/>
    <cellStyle name="Вычисление 4 2 3 2 2 2 3" xfId="0"/>
    <cellStyle name="Вычисление 4 2 3 2 2 3" xfId="0"/>
    <cellStyle name="Вычисление 4 2 3 2 2 4" xfId="0"/>
    <cellStyle name="Вычисление 4 2 3 2 3" xfId="0"/>
    <cellStyle name="Вычисление 4 2 3 2 3 2" xfId="0"/>
    <cellStyle name="Вычисление 4 2 3 2 3 3" xfId="0"/>
    <cellStyle name="Вычисление 4 2 3 2 4" xfId="0"/>
    <cellStyle name="Вычисление 4 2 3 2 5" xfId="0"/>
    <cellStyle name="Вычисление 4 2 3 3" xfId="0"/>
    <cellStyle name="Вычисление 4 2 3 3 2" xfId="0"/>
    <cellStyle name="Вычисление 4 2 3 3 2 2" xfId="0"/>
    <cellStyle name="Вычисление 4 2 3 3 2 3" xfId="0"/>
    <cellStyle name="Вычисление 4 2 3 3 3" xfId="0"/>
    <cellStyle name="Вычисление 4 2 3 3 4" xfId="0"/>
    <cellStyle name="Вычисление 4 2 3 4" xfId="0"/>
    <cellStyle name="Вычисление 4 2 3 4 2" xfId="0"/>
    <cellStyle name="Вычисление 4 2 3 4 3" xfId="0"/>
    <cellStyle name="Вычисление 4 2 3 5" xfId="0"/>
    <cellStyle name="Вычисление 4 2 3 6" xfId="0"/>
    <cellStyle name="Вычисление 4 2 4" xfId="0"/>
    <cellStyle name="Вычисление 4 2 4 2" xfId="0"/>
    <cellStyle name="Вычисление 4 2 4 2 2" xfId="0"/>
    <cellStyle name="Вычисление 4 2 4 2 2 2" xfId="0"/>
    <cellStyle name="Вычисление 4 2 4 2 2 2 2" xfId="0"/>
    <cellStyle name="Вычисление 4 2 4 2 2 2 3" xfId="0"/>
    <cellStyle name="Вычисление 4 2 4 2 2 3" xfId="0"/>
    <cellStyle name="Вычисление 4 2 4 2 2 4" xfId="0"/>
    <cellStyle name="Вычисление 4 2 4 2 3" xfId="0"/>
    <cellStyle name="Вычисление 4 2 4 2 3 2" xfId="0"/>
    <cellStyle name="Вычисление 4 2 4 2 3 3" xfId="0"/>
    <cellStyle name="Вычисление 4 2 4 2 4" xfId="0"/>
    <cellStyle name="Вычисление 4 2 4 2 5" xfId="0"/>
    <cellStyle name="Вычисление 4 2 4 3" xfId="0"/>
    <cellStyle name="Вычисление 4 2 4 3 2" xfId="0"/>
    <cellStyle name="Вычисление 4 2 4 3 2 2" xfId="0"/>
    <cellStyle name="Вычисление 4 2 4 3 2 3" xfId="0"/>
    <cellStyle name="Вычисление 4 2 4 3 3" xfId="0"/>
    <cellStyle name="Вычисление 4 2 4 3 4" xfId="0"/>
    <cellStyle name="Вычисление 4 2 4 4" xfId="0"/>
    <cellStyle name="Вычисление 4 2 4 4 2" xfId="0"/>
    <cellStyle name="Вычисление 4 2 4 4 3" xfId="0"/>
    <cellStyle name="Вычисление 4 2 4 5" xfId="0"/>
    <cellStyle name="Вычисление 4 2 4 6" xfId="0"/>
    <cellStyle name="Вычисление 4 2 5" xfId="0"/>
    <cellStyle name="Вычисление 4 2 5 2" xfId="0"/>
    <cellStyle name="Вычисление 4 2 5 2 2" xfId="0"/>
    <cellStyle name="Вычисление 4 2 5 2 2 2" xfId="0"/>
    <cellStyle name="Вычисление 4 2 5 2 2 2 2" xfId="0"/>
    <cellStyle name="Вычисление 4 2 5 2 2 2 3" xfId="0"/>
    <cellStyle name="Вычисление 4 2 5 2 2 3" xfId="0"/>
    <cellStyle name="Вычисление 4 2 5 2 2 4" xfId="0"/>
    <cellStyle name="Вычисление 4 2 5 2 3" xfId="0"/>
    <cellStyle name="Вычисление 4 2 5 2 3 2" xfId="0"/>
    <cellStyle name="Вычисление 4 2 5 2 3 3" xfId="0"/>
    <cellStyle name="Вычисление 4 2 5 2 4" xfId="0"/>
    <cellStyle name="Вычисление 4 2 5 2 5" xfId="0"/>
    <cellStyle name="Вычисление 4 2 5 3" xfId="0"/>
    <cellStyle name="Вычисление 4 2 5 3 2" xfId="0"/>
    <cellStyle name="Вычисление 4 2 5 3 2 2" xfId="0"/>
    <cellStyle name="Вычисление 4 2 5 3 2 3" xfId="0"/>
    <cellStyle name="Вычисление 4 2 5 3 3" xfId="0"/>
    <cellStyle name="Вычисление 4 2 5 3 4" xfId="0"/>
    <cellStyle name="Вычисление 4 2 5 4" xfId="0"/>
    <cellStyle name="Вычисление 4 2 5 4 2" xfId="0"/>
    <cellStyle name="Вычисление 4 2 5 4 3" xfId="0"/>
    <cellStyle name="Вычисление 4 2 5 5" xfId="0"/>
    <cellStyle name="Вычисление 4 2 5 6" xfId="0"/>
    <cellStyle name="Вычисление 4 2 6" xfId="0"/>
    <cellStyle name="Вычисление 4 2 6 2" xfId="0"/>
    <cellStyle name="Вычисление 4 2 6 2 2" xfId="0"/>
    <cellStyle name="Вычисление 4 2 6 2 2 2" xfId="0"/>
    <cellStyle name="Вычисление 4 2 6 2 2 3" xfId="0"/>
    <cellStyle name="Вычисление 4 2 6 2 3" xfId="0"/>
    <cellStyle name="Вычисление 4 2 6 2 4" xfId="0"/>
    <cellStyle name="Вычисление 4 2 6 3" xfId="0"/>
    <cellStyle name="Вычисление 4 2 6 3 2" xfId="0"/>
    <cellStyle name="Вычисление 4 2 6 3 3" xfId="0"/>
    <cellStyle name="Вычисление 4 2 6 4" xfId="0"/>
    <cellStyle name="Вычисление 4 2 6 5" xfId="0"/>
    <cellStyle name="Вычисление 4 2 7" xfId="0"/>
    <cellStyle name="Вычисление 4 2 7 2" xfId="0"/>
    <cellStyle name="Вычисление 4 2 7 2 2" xfId="0"/>
    <cellStyle name="Вычисление 4 2 7 2 2 2" xfId="0"/>
    <cellStyle name="Вычисление 4 2 7 2 2 3" xfId="0"/>
    <cellStyle name="Вычисление 4 2 7 2 3" xfId="0"/>
    <cellStyle name="Вычисление 4 2 7 2 4" xfId="0"/>
    <cellStyle name="Вычисление 4 2 7 3" xfId="0"/>
    <cellStyle name="Вычисление 4 2 7 3 2" xfId="0"/>
    <cellStyle name="Вычисление 4 2 7 3 3" xfId="0"/>
    <cellStyle name="Вычисление 4 2 7 4" xfId="0"/>
    <cellStyle name="Вычисление 4 2 7 5" xfId="0"/>
    <cellStyle name="Вычисление 4 2 8" xfId="0"/>
    <cellStyle name="Вычисление 4 2 8 2" xfId="0"/>
    <cellStyle name="Вычисление 4 2 8 3" xfId="0"/>
    <cellStyle name="Вычисление 4 2 9" xfId="0"/>
    <cellStyle name="Вычисление 4 2 9 2" xfId="0"/>
    <cellStyle name="Вычисление 4 2 9 3" xfId="0"/>
    <cellStyle name="Вычисление 4 20" xfId="0"/>
    <cellStyle name="Вычисление 4 20 2" xfId="0"/>
    <cellStyle name="Вычисление 4 20 2 2" xfId="0"/>
    <cellStyle name="Вычисление 4 20 2 2 2" xfId="0"/>
    <cellStyle name="Вычисление 4 20 2 2 2 2" xfId="0"/>
    <cellStyle name="Вычисление 4 20 2 2 2 3" xfId="0"/>
    <cellStyle name="Вычисление 4 20 2 2 3" xfId="0"/>
    <cellStyle name="Вычисление 4 20 2 2 4" xfId="0"/>
    <cellStyle name="Вычисление 4 20 2 3" xfId="0"/>
    <cellStyle name="Вычисление 4 20 2 3 2" xfId="0"/>
    <cellStyle name="Вычисление 4 20 2 3 3" xfId="0"/>
    <cellStyle name="Вычисление 4 20 2 4" xfId="0"/>
    <cellStyle name="Вычисление 4 20 2 5" xfId="0"/>
    <cellStyle name="Вычисление 4 20 3" xfId="0"/>
    <cellStyle name="Вычисление 4 20 3 2" xfId="0"/>
    <cellStyle name="Вычисление 4 20 3 2 2" xfId="0"/>
    <cellStyle name="Вычисление 4 20 3 2 3" xfId="0"/>
    <cellStyle name="Вычисление 4 20 3 3" xfId="0"/>
    <cellStyle name="Вычисление 4 20 3 4" xfId="0"/>
    <cellStyle name="Вычисление 4 20 4" xfId="0"/>
    <cellStyle name="Вычисление 4 20 4 2" xfId="0"/>
    <cellStyle name="Вычисление 4 20 4 3" xfId="0"/>
    <cellStyle name="Вычисление 4 20 5" xfId="0"/>
    <cellStyle name="Вычисление 4 20 6" xfId="0"/>
    <cellStyle name="Вычисление 4 21" xfId="0"/>
    <cellStyle name="Вычисление 4 21 2" xfId="0"/>
    <cellStyle name="Вычисление 4 21 2 2" xfId="0"/>
    <cellStyle name="Вычисление 4 21 2 2 2" xfId="0"/>
    <cellStyle name="Вычисление 4 21 2 2 3" xfId="0"/>
    <cellStyle name="Вычисление 4 21 2 3" xfId="0"/>
    <cellStyle name="Вычисление 4 21 2 4" xfId="0"/>
    <cellStyle name="Вычисление 4 21 3" xfId="0"/>
    <cellStyle name="Вычисление 4 21 3 2" xfId="0"/>
    <cellStyle name="Вычисление 4 21 3 2 2" xfId="0"/>
    <cellStyle name="Вычисление 4 21 3 2 3" xfId="0"/>
    <cellStyle name="Вычисление 4 21 3 3" xfId="0"/>
    <cellStyle name="Вычисление 4 21 3 4" xfId="0"/>
    <cellStyle name="Вычисление 4 21 4" xfId="0"/>
    <cellStyle name="Вычисление 4 21 4 2" xfId="0"/>
    <cellStyle name="Вычисление 4 21 4 3" xfId="0"/>
    <cellStyle name="Вычисление 4 21 5" xfId="0"/>
    <cellStyle name="Вычисление 4 21 6" xfId="0"/>
    <cellStyle name="Вычисление 4 22" xfId="0"/>
    <cellStyle name="Вычисление 4 22 2" xfId="0"/>
    <cellStyle name="Вычисление 4 22 2 2" xfId="0"/>
    <cellStyle name="Вычисление 4 22 2 2 2" xfId="0"/>
    <cellStyle name="Вычисление 4 22 2 2 3" xfId="0"/>
    <cellStyle name="Вычисление 4 22 2 3" xfId="0"/>
    <cellStyle name="Вычисление 4 22 2 4" xfId="0"/>
    <cellStyle name="Вычисление 4 22 3" xfId="0"/>
    <cellStyle name="Вычисление 4 22 3 2" xfId="0"/>
    <cellStyle name="Вычисление 4 22 3 2 2" xfId="0"/>
    <cellStyle name="Вычисление 4 22 3 2 3" xfId="0"/>
    <cellStyle name="Вычисление 4 22 3 3" xfId="0"/>
    <cellStyle name="Вычисление 4 22 3 4" xfId="0"/>
    <cellStyle name="Вычисление 4 22 4" xfId="0"/>
    <cellStyle name="Вычисление 4 22 4 2" xfId="0"/>
    <cellStyle name="Вычисление 4 22 4 3" xfId="0"/>
    <cellStyle name="Вычисление 4 22 5" xfId="0"/>
    <cellStyle name="Вычисление 4 22 6" xfId="0"/>
    <cellStyle name="Вычисление 4 23" xfId="0"/>
    <cellStyle name="Вычисление 4 23 2" xfId="0"/>
    <cellStyle name="Вычисление 4 23 2 2" xfId="0"/>
    <cellStyle name="Вычисление 4 23 2 2 2" xfId="0"/>
    <cellStyle name="Вычисление 4 23 2 2 3" xfId="0"/>
    <cellStyle name="Вычисление 4 23 2 3" xfId="0"/>
    <cellStyle name="Вычисление 4 23 2 4" xfId="0"/>
    <cellStyle name="Вычисление 4 23 3" xfId="0"/>
    <cellStyle name="Вычисление 4 23 3 2" xfId="0"/>
    <cellStyle name="Вычисление 4 23 3 2 2" xfId="0"/>
    <cellStyle name="Вычисление 4 23 3 2 3" xfId="0"/>
    <cellStyle name="Вычисление 4 23 3 3" xfId="0"/>
    <cellStyle name="Вычисление 4 23 3 4" xfId="0"/>
    <cellStyle name="Вычисление 4 23 4" xfId="0"/>
    <cellStyle name="Вычисление 4 23 4 2" xfId="0"/>
    <cellStyle name="Вычисление 4 23 4 3" xfId="0"/>
    <cellStyle name="Вычисление 4 23 5" xfId="0"/>
    <cellStyle name="Вычисление 4 23 6" xfId="0"/>
    <cellStyle name="Вычисление 4 24" xfId="0"/>
    <cellStyle name="Вычисление 4 24 2" xfId="0"/>
    <cellStyle name="Вычисление 4 24 2 2" xfId="0"/>
    <cellStyle name="Вычисление 4 24 2 2 2" xfId="0"/>
    <cellStyle name="Вычисление 4 24 2 2 3" xfId="0"/>
    <cellStyle name="Вычисление 4 24 2 3" xfId="0"/>
    <cellStyle name="Вычисление 4 24 2 4" xfId="0"/>
    <cellStyle name="Вычисление 4 24 3" xfId="0"/>
    <cellStyle name="Вычисление 4 24 3 2" xfId="0"/>
    <cellStyle name="Вычисление 4 24 3 2 2" xfId="0"/>
    <cellStyle name="Вычисление 4 24 3 2 3" xfId="0"/>
    <cellStyle name="Вычисление 4 24 3 3" xfId="0"/>
    <cellStyle name="Вычисление 4 24 3 4" xfId="0"/>
    <cellStyle name="Вычисление 4 24 4" xfId="0"/>
    <cellStyle name="Вычисление 4 24 4 2" xfId="0"/>
    <cellStyle name="Вычисление 4 24 4 3" xfId="0"/>
    <cellStyle name="Вычисление 4 24 5" xfId="0"/>
    <cellStyle name="Вычисление 4 24 6" xfId="0"/>
    <cellStyle name="Вычисление 4 25" xfId="0"/>
    <cellStyle name="Вычисление 4 25 2" xfId="0"/>
    <cellStyle name="Вычисление 4 25 2 2" xfId="0"/>
    <cellStyle name="Вычисление 4 25 2 2 2" xfId="0"/>
    <cellStyle name="Вычисление 4 25 2 2 3" xfId="0"/>
    <cellStyle name="Вычисление 4 25 2 3" xfId="0"/>
    <cellStyle name="Вычисление 4 25 2 4" xfId="0"/>
    <cellStyle name="Вычисление 4 25 3" xfId="0"/>
    <cellStyle name="Вычисление 4 25 3 2" xfId="0"/>
    <cellStyle name="Вычисление 4 25 3 3" xfId="0"/>
    <cellStyle name="Вычисление 4 25 4" xfId="0"/>
    <cellStyle name="Вычисление 4 25 5" xfId="0"/>
    <cellStyle name="Вычисление 4 26" xfId="0"/>
    <cellStyle name="Вычисление 4 26 2" xfId="0"/>
    <cellStyle name="Вычисление 4 26 2 2" xfId="0"/>
    <cellStyle name="Вычисление 4 26 2 2 2" xfId="0"/>
    <cellStyle name="Вычисление 4 26 2 2 3" xfId="0"/>
    <cellStyle name="Вычисление 4 26 2 3" xfId="0"/>
    <cellStyle name="Вычисление 4 26 2 4" xfId="0"/>
    <cellStyle name="Вычисление 4 26 3" xfId="0"/>
    <cellStyle name="Вычисление 4 26 3 2" xfId="0"/>
    <cellStyle name="Вычисление 4 26 3 3" xfId="0"/>
    <cellStyle name="Вычисление 4 26 4" xfId="0"/>
    <cellStyle name="Вычисление 4 26 5" xfId="0"/>
    <cellStyle name="Вычисление 4 27" xfId="0"/>
    <cellStyle name="Вычисление 4 27 2" xfId="0"/>
    <cellStyle name="Вычисление 4 27 2 2" xfId="0"/>
    <cellStyle name="Вычисление 4 27 2 3" xfId="0"/>
    <cellStyle name="Вычисление 4 27 3" xfId="0"/>
    <cellStyle name="Вычисление 4 27 4" xfId="0"/>
    <cellStyle name="Вычисление 4 28" xfId="0"/>
    <cellStyle name="Вычисление 4 28 2" xfId="0"/>
    <cellStyle name="Вычисление 4 28 3" xfId="0"/>
    <cellStyle name="Вычисление 4 29" xfId="0"/>
    <cellStyle name="Вычисление 4 29 2" xfId="0"/>
    <cellStyle name="Вычисление 4 29 3" xfId="0"/>
    <cellStyle name="Вычисление 4 3" xfId="0"/>
    <cellStyle name="Вычисление 4 3 10" xfId="0"/>
    <cellStyle name="Вычисление 4 3 2" xfId="0"/>
    <cellStyle name="Вычисление 4 3 2 2" xfId="0"/>
    <cellStyle name="Вычисление 4 3 2 2 2" xfId="0"/>
    <cellStyle name="Вычисление 4 3 2 2 2 2" xfId="0"/>
    <cellStyle name="Вычисление 4 3 2 2 2 3" xfId="0"/>
    <cellStyle name="Вычисление 4 3 2 2 3" xfId="0"/>
    <cellStyle name="Вычисление 4 3 2 2 4" xfId="0"/>
    <cellStyle name="Вычисление 4 3 2 3" xfId="0"/>
    <cellStyle name="Вычисление 4 3 2 3 2" xfId="0"/>
    <cellStyle name="Вычисление 4 3 2 3 2 2" xfId="0"/>
    <cellStyle name="Вычисление 4 3 2 3 2 3" xfId="0"/>
    <cellStyle name="Вычисление 4 3 2 3 3" xfId="0"/>
    <cellStyle name="Вычисление 4 3 2 3 4" xfId="0"/>
    <cellStyle name="Вычисление 4 3 2 4" xfId="0"/>
    <cellStyle name="Вычисление 4 3 2 4 2" xfId="0"/>
    <cellStyle name="Вычисление 4 3 2 4 3" xfId="0"/>
    <cellStyle name="Вычисление 4 3 2 5" xfId="0"/>
    <cellStyle name="Вычисление 4 3 2 6" xfId="0"/>
    <cellStyle name="Вычисление 4 3 3" xfId="0"/>
    <cellStyle name="Вычисление 4 3 3 2" xfId="0"/>
    <cellStyle name="Вычисление 4 3 3 2 2" xfId="0"/>
    <cellStyle name="Вычисление 4 3 3 2 2 2" xfId="0"/>
    <cellStyle name="Вычисление 4 3 3 2 2 3" xfId="0"/>
    <cellStyle name="Вычисление 4 3 3 2 3" xfId="0"/>
    <cellStyle name="Вычисление 4 3 3 2 4" xfId="0"/>
    <cellStyle name="Вычисление 4 3 3 3" xfId="0"/>
    <cellStyle name="Вычисление 4 3 3 3 2" xfId="0"/>
    <cellStyle name="Вычисление 4 3 3 3 2 2" xfId="0"/>
    <cellStyle name="Вычисление 4 3 3 3 2 3" xfId="0"/>
    <cellStyle name="Вычисление 4 3 3 3 3" xfId="0"/>
    <cellStyle name="Вычисление 4 3 3 3 4" xfId="0"/>
    <cellStyle name="Вычисление 4 3 3 4" xfId="0"/>
    <cellStyle name="Вычисление 4 3 3 4 2" xfId="0"/>
    <cellStyle name="Вычисление 4 3 3 4 3" xfId="0"/>
    <cellStyle name="Вычисление 4 3 3 5" xfId="0"/>
    <cellStyle name="Вычисление 4 3 3 6" xfId="0"/>
    <cellStyle name="Вычисление 4 3 4" xfId="0"/>
    <cellStyle name="Вычисление 4 3 4 2" xfId="0"/>
    <cellStyle name="Вычисление 4 3 4 2 2" xfId="0"/>
    <cellStyle name="Вычисление 4 3 4 2 2 2" xfId="0"/>
    <cellStyle name="Вычисление 4 3 4 2 2 3" xfId="0"/>
    <cellStyle name="Вычисление 4 3 4 2 3" xfId="0"/>
    <cellStyle name="Вычисление 4 3 4 2 4" xfId="0"/>
    <cellStyle name="Вычисление 4 3 4 3" xfId="0"/>
    <cellStyle name="Вычисление 4 3 4 3 2" xfId="0"/>
    <cellStyle name="Вычисление 4 3 4 3 2 2" xfId="0"/>
    <cellStyle name="Вычисление 4 3 4 3 2 3" xfId="0"/>
    <cellStyle name="Вычисление 4 3 4 3 3" xfId="0"/>
    <cellStyle name="Вычисление 4 3 4 3 4" xfId="0"/>
    <cellStyle name="Вычисление 4 3 4 4" xfId="0"/>
    <cellStyle name="Вычисление 4 3 4 4 2" xfId="0"/>
    <cellStyle name="Вычисление 4 3 4 4 3" xfId="0"/>
    <cellStyle name="Вычисление 4 3 4 5" xfId="0"/>
    <cellStyle name="Вычисление 4 3 4 6" xfId="0"/>
    <cellStyle name="Вычисление 4 3 5" xfId="0"/>
    <cellStyle name="Вычисление 4 3 5 2" xfId="0"/>
    <cellStyle name="Вычисление 4 3 5 2 2" xfId="0"/>
    <cellStyle name="Вычисление 4 3 5 2 2 2" xfId="0"/>
    <cellStyle name="Вычисление 4 3 5 2 2 3" xfId="0"/>
    <cellStyle name="Вычисление 4 3 5 2 3" xfId="0"/>
    <cellStyle name="Вычисление 4 3 5 2 4" xfId="0"/>
    <cellStyle name="Вычисление 4 3 5 3" xfId="0"/>
    <cellStyle name="Вычисление 4 3 5 3 2" xfId="0"/>
    <cellStyle name="Вычисление 4 3 5 3 2 2" xfId="0"/>
    <cellStyle name="Вычисление 4 3 5 3 2 3" xfId="0"/>
    <cellStyle name="Вычисление 4 3 5 3 3" xfId="0"/>
    <cellStyle name="Вычисление 4 3 5 3 4" xfId="0"/>
    <cellStyle name="Вычисление 4 3 5 4" xfId="0"/>
    <cellStyle name="Вычисление 4 3 5 4 2" xfId="0"/>
    <cellStyle name="Вычисление 4 3 5 4 3" xfId="0"/>
    <cellStyle name="Вычисление 4 3 5 5" xfId="0"/>
    <cellStyle name="Вычисление 4 3 5 6" xfId="0"/>
    <cellStyle name="Вычисление 4 3 6" xfId="0"/>
    <cellStyle name="Вычисление 4 3 6 2" xfId="0"/>
    <cellStyle name="Вычисление 4 3 6 2 2" xfId="0"/>
    <cellStyle name="Вычисление 4 3 6 2 2 2" xfId="0"/>
    <cellStyle name="Вычисление 4 3 6 2 2 3" xfId="0"/>
    <cellStyle name="Вычисление 4 3 6 2 3" xfId="0"/>
    <cellStyle name="Вычисление 4 3 6 2 4" xfId="0"/>
    <cellStyle name="Вычисление 4 3 6 3" xfId="0"/>
    <cellStyle name="Вычисление 4 3 6 3 2" xfId="0"/>
    <cellStyle name="Вычисление 4 3 6 3 3" xfId="0"/>
    <cellStyle name="Вычисление 4 3 6 4" xfId="0"/>
    <cellStyle name="Вычисление 4 3 6 5" xfId="0"/>
    <cellStyle name="Вычисление 4 3 7" xfId="0"/>
    <cellStyle name="Вычисление 4 3 7 2" xfId="0"/>
    <cellStyle name="Вычисление 4 3 7 2 2" xfId="0"/>
    <cellStyle name="Вычисление 4 3 7 2 2 2" xfId="0"/>
    <cellStyle name="Вычисление 4 3 7 2 2 3" xfId="0"/>
    <cellStyle name="Вычисление 4 3 7 2 3" xfId="0"/>
    <cellStyle name="Вычисление 4 3 7 2 4" xfId="0"/>
    <cellStyle name="Вычисление 4 3 7 3" xfId="0"/>
    <cellStyle name="Вычисление 4 3 7 3 2" xfId="0"/>
    <cellStyle name="Вычисление 4 3 7 3 3" xfId="0"/>
    <cellStyle name="Вычисление 4 3 7 4" xfId="0"/>
    <cellStyle name="Вычисление 4 3 7 5" xfId="0"/>
    <cellStyle name="Вычисление 4 3 8" xfId="0"/>
    <cellStyle name="Вычисление 4 3 8 2" xfId="0"/>
    <cellStyle name="Вычисление 4 3 8 3" xfId="0"/>
    <cellStyle name="Вычисление 4 3 9" xfId="0"/>
    <cellStyle name="Вычисление 4 30" xfId="0"/>
    <cellStyle name="Вычисление 4 30 2" xfId="0"/>
    <cellStyle name="Вычисление 4 30 3" xfId="0"/>
    <cellStyle name="Вычисление 4 31" xfId="0"/>
    <cellStyle name="Вычисление 4 31 2" xfId="0"/>
    <cellStyle name="Вычисление 4 31 3" xfId="0"/>
    <cellStyle name="Вычисление 4 32" xfId="0"/>
    <cellStyle name="Вычисление 4 4" xfId="0"/>
    <cellStyle name="Вычисление 4 4 10" xfId="0"/>
    <cellStyle name="Вычисление 4 4 2" xfId="0"/>
    <cellStyle name="Вычисление 4 4 2 2" xfId="0"/>
    <cellStyle name="Вычисление 4 4 2 2 2" xfId="0"/>
    <cellStyle name="Вычисление 4 4 2 2 2 2" xfId="0"/>
    <cellStyle name="Вычисление 4 4 2 2 2 3" xfId="0"/>
    <cellStyle name="Вычисление 4 4 2 2 3" xfId="0"/>
    <cellStyle name="Вычисление 4 4 2 2 4" xfId="0"/>
    <cellStyle name="Вычисление 4 4 2 3" xfId="0"/>
    <cellStyle name="Вычисление 4 4 2 3 2" xfId="0"/>
    <cellStyle name="Вычисление 4 4 2 3 2 2" xfId="0"/>
    <cellStyle name="Вычисление 4 4 2 3 2 3" xfId="0"/>
    <cellStyle name="Вычисление 4 4 2 3 3" xfId="0"/>
    <cellStyle name="Вычисление 4 4 2 3 4" xfId="0"/>
    <cellStyle name="Вычисление 4 4 2 4" xfId="0"/>
    <cellStyle name="Вычисление 4 4 2 4 2" xfId="0"/>
    <cellStyle name="Вычисление 4 4 2 4 3" xfId="0"/>
    <cellStyle name="Вычисление 4 4 2 5" xfId="0"/>
    <cellStyle name="Вычисление 4 4 2 6" xfId="0"/>
    <cellStyle name="Вычисление 4 4 3" xfId="0"/>
    <cellStyle name="Вычисление 4 4 3 2" xfId="0"/>
    <cellStyle name="Вычисление 4 4 3 2 2" xfId="0"/>
    <cellStyle name="Вычисление 4 4 3 2 2 2" xfId="0"/>
    <cellStyle name="Вычисление 4 4 3 2 2 3" xfId="0"/>
    <cellStyle name="Вычисление 4 4 3 2 3" xfId="0"/>
    <cellStyle name="Вычисление 4 4 3 2 4" xfId="0"/>
    <cellStyle name="Вычисление 4 4 3 3" xfId="0"/>
    <cellStyle name="Вычисление 4 4 3 3 2" xfId="0"/>
    <cellStyle name="Вычисление 4 4 3 3 2 2" xfId="0"/>
    <cellStyle name="Вычисление 4 4 3 3 2 3" xfId="0"/>
    <cellStyle name="Вычисление 4 4 3 3 3" xfId="0"/>
    <cellStyle name="Вычисление 4 4 3 3 4" xfId="0"/>
    <cellStyle name="Вычисление 4 4 3 4" xfId="0"/>
    <cellStyle name="Вычисление 4 4 3 4 2" xfId="0"/>
    <cellStyle name="Вычисление 4 4 3 4 3" xfId="0"/>
    <cellStyle name="Вычисление 4 4 3 5" xfId="0"/>
    <cellStyle name="Вычисление 4 4 3 6" xfId="0"/>
    <cellStyle name="Вычисление 4 4 4" xfId="0"/>
    <cellStyle name="Вычисление 4 4 4 2" xfId="0"/>
    <cellStyle name="Вычисление 4 4 4 2 2" xfId="0"/>
    <cellStyle name="Вычисление 4 4 4 2 2 2" xfId="0"/>
    <cellStyle name="Вычисление 4 4 4 2 2 3" xfId="0"/>
    <cellStyle name="Вычисление 4 4 4 2 3" xfId="0"/>
    <cellStyle name="Вычисление 4 4 4 2 4" xfId="0"/>
    <cellStyle name="Вычисление 4 4 4 3" xfId="0"/>
    <cellStyle name="Вычисление 4 4 4 3 2" xfId="0"/>
    <cellStyle name="Вычисление 4 4 4 3 2 2" xfId="0"/>
    <cellStyle name="Вычисление 4 4 4 3 2 3" xfId="0"/>
    <cellStyle name="Вычисление 4 4 4 3 3" xfId="0"/>
    <cellStyle name="Вычисление 4 4 4 3 4" xfId="0"/>
    <cellStyle name="Вычисление 4 4 4 4" xfId="0"/>
    <cellStyle name="Вычисление 4 4 4 4 2" xfId="0"/>
    <cellStyle name="Вычисление 4 4 4 4 3" xfId="0"/>
    <cellStyle name="Вычисление 4 4 4 5" xfId="0"/>
    <cellStyle name="Вычисление 4 4 4 6" xfId="0"/>
    <cellStyle name="Вычисление 4 4 5" xfId="0"/>
    <cellStyle name="Вычисление 4 4 5 2" xfId="0"/>
    <cellStyle name="Вычисление 4 4 5 2 2" xfId="0"/>
    <cellStyle name="Вычисление 4 4 5 2 2 2" xfId="0"/>
    <cellStyle name="Вычисление 4 4 5 2 2 3" xfId="0"/>
    <cellStyle name="Вычисление 4 4 5 2 3" xfId="0"/>
    <cellStyle name="Вычисление 4 4 5 2 4" xfId="0"/>
    <cellStyle name="Вычисление 4 4 5 3" xfId="0"/>
    <cellStyle name="Вычисление 4 4 5 3 2" xfId="0"/>
    <cellStyle name="Вычисление 4 4 5 3 2 2" xfId="0"/>
    <cellStyle name="Вычисление 4 4 5 3 2 3" xfId="0"/>
    <cellStyle name="Вычисление 4 4 5 3 3" xfId="0"/>
    <cellStyle name="Вычисление 4 4 5 3 4" xfId="0"/>
    <cellStyle name="Вычисление 4 4 5 4" xfId="0"/>
    <cellStyle name="Вычисление 4 4 5 4 2" xfId="0"/>
    <cellStyle name="Вычисление 4 4 5 4 3" xfId="0"/>
    <cellStyle name="Вычисление 4 4 5 5" xfId="0"/>
    <cellStyle name="Вычисление 4 4 5 6" xfId="0"/>
    <cellStyle name="Вычисление 4 4 6" xfId="0"/>
    <cellStyle name="Вычисление 4 4 6 2" xfId="0"/>
    <cellStyle name="Вычисление 4 4 6 2 2" xfId="0"/>
    <cellStyle name="Вычисление 4 4 6 2 2 2" xfId="0"/>
    <cellStyle name="Вычисление 4 4 6 2 2 3" xfId="0"/>
    <cellStyle name="Вычисление 4 4 6 2 3" xfId="0"/>
    <cellStyle name="Вычисление 4 4 6 2 4" xfId="0"/>
    <cellStyle name="Вычисление 4 4 6 3" xfId="0"/>
    <cellStyle name="Вычисление 4 4 6 3 2" xfId="0"/>
    <cellStyle name="Вычисление 4 4 6 3 3" xfId="0"/>
    <cellStyle name="Вычисление 4 4 6 4" xfId="0"/>
    <cellStyle name="Вычисление 4 4 6 5" xfId="0"/>
    <cellStyle name="Вычисление 4 4 7" xfId="0"/>
    <cellStyle name="Вычисление 4 4 7 2" xfId="0"/>
    <cellStyle name="Вычисление 4 4 7 2 2" xfId="0"/>
    <cellStyle name="Вычисление 4 4 7 2 2 2" xfId="0"/>
    <cellStyle name="Вычисление 4 4 7 2 2 3" xfId="0"/>
    <cellStyle name="Вычисление 4 4 7 2 3" xfId="0"/>
    <cellStyle name="Вычисление 4 4 7 2 4" xfId="0"/>
    <cellStyle name="Вычисление 4 4 7 3" xfId="0"/>
    <cellStyle name="Вычисление 4 4 7 3 2" xfId="0"/>
    <cellStyle name="Вычисление 4 4 7 3 3" xfId="0"/>
    <cellStyle name="Вычисление 4 4 7 4" xfId="0"/>
    <cellStyle name="Вычисление 4 4 7 5" xfId="0"/>
    <cellStyle name="Вычисление 4 4 8" xfId="0"/>
    <cellStyle name="Вычисление 4 4 8 2" xfId="0"/>
    <cellStyle name="Вычисление 4 4 8 3" xfId="0"/>
    <cellStyle name="Вычисление 4 4 9" xfId="0"/>
    <cellStyle name="Вычисление 4 5" xfId="0"/>
    <cellStyle name="Вычисление 4 5 2" xfId="0"/>
    <cellStyle name="Вычисление 4 5 2 2" xfId="0"/>
    <cellStyle name="Вычисление 4 5 2 2 2" xfId="0"/>
    <cellStyle name="Вычисление 4 5 2 2 2 2" xfId="0"/>
    <cellStyle name="Вычисление 4 5 2 2 2 3" xfId="0"/>
    <cellStyle name="Вычисление 4 5 2 2 3" xfId="0"/>
    <cellStyle name="Вычисление 4 5 2 2 4" xfId="0"/>
    <cellStyle name="Вычисление 4 5 2 3" xfId="0"/>
    <cellStyle name="Вычисление 4 5 2 3 2" xfId="0"/>
    <cellStyle name="Вычисление 4 5 2 3 2 2" xfId="0"/>
    <cellStyle name="Вычисление 4 5 2 3 2 3" xfId="0"/>
    <cellStyle name="Вычисление 4 5 2 3 3" xfId="0"/>
    <cellStyle name="Вычисление 4 5 2 3 4" xfId="0"/>
    <cellStyle name="Вычисление 4 5 2 4" xfId="0"/>
    <cellStyle name="Вычисление 4 5 2 4 2" xfId="0"/>
    <cellStyle name="Вычисление 4 5 2 4 3" xfId="0"/>
    <cellStyle name="Вычисление 4 5 2 5" xfId="0"/>
    <cellStyle name="Вычисление 4 5 2 6" xfId="0"/>
    <cellStyle name="Вычисление 4 5 3" xfId="0"/>
    <cellStyle name="Вычисление 4 5 3 2" xfId="0"/>
    <cellStyle name="Вычисление 4 5 3 2 2" xfId="0"/>
    <cellStyle name="Вычисление 4 5 3 2 2 2" xfId="0"/>
    <cellStyle name="Вычисление 4 5 3 2 2 3" xfId="0"/>
    <cellStyle name="Вычисление 4 5 3 2 3" xfId="0"/>
    <cellStyle name="Вычисление 4 5 3 2 4" xfId="0"/>
    <cellStyle name="Вычисление 4 5 3 3" xfId="0"/>
    <cellStyle name="Вычисление 4 5 3 3 2" xfId="0"/>
    <cellStyle name="Вычисление 4 5 3 3 3" xfId="0"/>
    <cellStyle name="Вычисление 4 5 3 4" xfId="0"/>
    <cellStyle name="Вычисление 4 5 3 5" xfId="0"/>
    <cellStyle name="Вычисление 4 5 4" xfId="0"/>
    <cellStyle name="Вычисление 4 5 4 2" xfId="0"/>
    <cellStyle name="Вычисление 4 5 4 2 2" xfId="0"/>
    <cellStyle name="Вычисление 4 5 4 2 2 2" xfId="0"/>
    <cellStyle name="Вычисление 4 5 4 2 2 3" xfId="0"/>
    <cellStyle name="Вычисление 4 5 4 2 3" xfId="0"/>
    <cellStyle name="Вычисление 4 5 4 2 4" xfId="0"/>
    <cellStyle name="Вычисление 4 5 4 3" xfId="0"/>
    <cellStyle name="Вычисление 4 5 4 3 2" xfId="0"/>
    <cellStyle name="Вычисление 4 5 4 3 3" xfId="0"/>
    <cellStyle name="Вычисление 4 5 4 4" xfId="0"/>
    <cellStyle name="Вычисление 4 5 4 5" xfId="0"/>
    <cellStyle name="Вычисление 4 5 5" xfId="0"/>
    <cellStyle name="Вычисление 4 5 5 2" xfId="0"/>
    <cellStyle name="Вычисление 4 5 5 3" xfId="0"/>
    <cellStyle name="Вычисление 4 5 6" xfId="0"/>
    <cellStyle name="Вычисление 4 5 7" xfId="0"/>
    <cellStyle name="Вычисление 4 6" xfId="0"/>
    <cellStyle name="Вычисление 4 6 2" xfId="0"/>
    <cellStyle name="Вычисление 4 6 2 2" xfId="0"/>
    <cellStyle name="Вычисление 4 6 2 2 2" xfId="0"/>
    <cellStyle name="Вычисление 4 6 2 2 2 2" xfId="0"/>
    <cellStyle name="Вычисление 4 6 2 2 2 3" xfId="0"/>
    <cellStyle name="Вычисление 4 6 2 2 3" xfId="0"/>
    <cellStyle name="Вычисление 4 6 2 2 4" xfId="0"/>
    <cellStyle name="Вычисление 4 6 2 3" xfId="0"/>
    <cellStyle name="Вычисление 4 6 2 3 2" xfId="0"/>
    <cellStyle name="Вычисление 4 6 2 3 2 2" xfId="0"/>
    <cellStyle name="Вычисление 4 6 2 3 2 3" xfId="0"/>
    <cellStyle name="Вычисление 4 6 2 3 3" xfId="0"/>
    <cellStyle name="Вычисление 4 6 2 3 4" xfId="0"/>
    <cellStyle name="Вычисление 4 6 2 4" xfId="0"/>
    <cellStyle name="Вычисление 4 6 2 4 2" xfId="0"/>
    <cellStyle name="Вычисление 4 6 2 4 3" xfId="0"/>
    <cellStyle name="Вычисление 4 6 2 5" xfId="0"/>
    <cellStyle name="Вычисление 4 6 2 6" xfId="0"/>
    <cellStyle name="Вычисление 4 6 3" xfId="0"/>
    <cellStyle name="Вычисление 4 6 3 2" xfId="0"/>
    <cellStyle name="Вычисление 4 6 3 2 2" xfId="0"/>
    <cellStyle name="Вычисление 4 6 3 2 2 2" xfId="0"/>
    <cellStyle name="Вычисление 4 6 3 2 2 3" xfId="0"/>
    <cellStyle name="Вычисление 4 6 3 2 3" xfId="0"/>
    <cellStyle name="Вычисление 4 6 3 2 4" xfId="0"/>
    <cellStyle name="Вычисление 4 6 3 3" xfId="0"/>
    <cellStyle name="Вычисление 4 6 3 3 2" xfId="0"/>
    <cellStyle name="Вычисление 4 6 3 3 3" xfId="0"/>
    <cellStyle name="Вычисление 4 6 3 4" xfId="0"/>
    <cellStyle name="Вычисление 4 6 3 5" xfId="0"/>
    <cellStyle name="Вычисление 4 6 4" xfId="0"/>
    <cellStyle name="Вычисление 4 6 4 2" xfId="0"/>
    <cellStyle name="Вычисление 4 6 4 2 2" xfId="0"/>
    <cellStyle name="Вычисление 4 6 4 2 2 2" xfId="0"/>
    <cellStyle name="Вычисление 4 6 4 2 2 3" xfId="0"/>
    <cellStyle name="Вычисление 4 6 4 2 3" xfId="0"/>
    <cellStyle name="Вычисление 4 6 4 2 4" xfId="0"/>
    <cellStyle name="Вычисление 4 6 4 3" xfId="0"/>
    <cellStyle name="Вычисление 4 6 4 3 2" xfId="0"/>
    <cellStyle name="Вычисление 4 6 4 3 3" xfId="0"/>
    <cellStyle name="Вычисление 4 6 4 4" xfId="0"/>
    <cellStyle name="Вычисление 4 6 4 5" xfId="0"/>
    <cellStyle name="Вычисление 4 6 5" xfId="0"/>
    <cellStyle name="Вычисление 4 6 5 2" xfId="0"/>
    <cellStyle name="Вычисление 4 6 5 3" xfId="0"/>
    <cellStyle name="Вычисление 4 6 6" xfId="0"/>
    <cellStyle name="Вычисление 4 6 7" xfId="0"/>
    <cellStyle name="Вычисление 4 7" xfId="0"/>
    <cellStyle name="Вычисление 4 7 2" xfId="0"/>
    <cellStyle name="Вычисление 4 7 2 2" xfId="0"/>
    <cellStyle name="Вычисление 4 7 2 2 2" xfId="0"/>
    <cellStyle name="Вычисление 4 7 2 2 2 2" xfId="0"/>
    <cellStyle name="Вычисление 4 7 2 2 2 3" xfId="0"/>
    <cellStyle name="Вычисление 4 7 2 2 3" xfId="0"/>
    <cellStyle name="Вычисление 4 7 2 2 4" xfId="0"/>
    <cellStyle name="Вычисление 4 7 2 3" xfId="0"/>
    <cellStyle name="Вычисление 4 7 2 3 2" xfId="0"/>
    <cellStyle name="Вычисление 4 7 2 3 2 2" xfId="0"/>
    <cellStyle name="Вычисление 4 7 2 3 2 3" xfId="0"/>
    <cellStyle name="Вычисление 4 7 2 3 3" xfId="0"/>
    <cellStyle name="Вычисление 4 7 2 3 4" xfId="0"/>
    <cellStyle name="Вычисление 4 7 2 4" xfId="0"/>
    <cellStyle name="Вычисление 4 7 2 4 2" xfId="0"/>
    <cellStyle name="Вычисление 4 7 2 4 3" xfId="0"/>
    <cellStyle name="Вычисление 4 7 2 5" xfId="0"/>
    <cellStyle name="Вычисление 4 7 2 6" xfId="0"/>
    <cellStyle name="Вычисление 4 7 3" xfId="0"/>
    <cellStyle name="Вычисление 4 7 3 2" xfId="0"/>
    <cellStyle name="Вычисление 4 7 3 2 2" xfId="0"/>
    <cellStyle name="Вычисление 4 7 3 2 2 2" xfId="0"/>
    <cellStyle name="Вычисление 4 7 3 2 2 3" xfId="0"/>
    <cellStyle name="Вычисление 4 7 3 2 3" xfId="0"/>
    <cellStyle name="Вычисление 4 7 3 2 4" xfId="0"/>
    <cellStyle name="Вычисление 4 7 3 3" xfId="0"/>
    <cellStyle name="Вычисление 4 7 3 3 2" xfId="0"/>
    <cellStyle name="Вычисление 4 7 3 3 3" xfId="0"/>
    <cellStyle name="Вычисление 4 7 3 4" xfId="0"/>
    <cellStyle name="Вычисление 4 7 3 5" xfId="0"/>
    <cellStyle name="Вычисление 4 7 4" xfId="0"/>
    <cellStyle name="Вычисление 4 7 4 2" xfId="0"/>
    <cellStyle name="Вычисление 4 7 4 2 2" xfId="0"/>
    <cellStyle name="Вычисление 4 7 4 2 2 2" xfId="0"/>
    <cellStyle name="Вычисление 4 7 4 2 2 3" xfId="0"/>
    <cellStyle name="Вычисление 4 7 4 2 3" xfId="0"/>
    <cellStyle name="Вычисление 4 7 4 2 4" xfId="0"/>
    <cellStyle name="Вычисление 4 7 4 3" xfId="0"/>
    <cellStyle name="Вычисление 4 7 4 3 2" xfId="0"/>
    <cellStyle name="Вычисление 4 7 4 3 3" xfId="0"/>
    <cellStyle name="Вычисление 4 7 4 4" xfId="0"/>
    <cellStyle name="Вычисление 4 7 4 5" xfId="0"/>
    <cellStyle name="Вычисление 4 7 5" xfId="0"/>
    <cellStyle name="Вычисление 4 7 5 2" xfId="0"/>
    <cellStyle name="Вычисление 4 7 5 3" xfId="0"/>
    <cellStyle name="Вычисление 4 7 6" xfId="0"/>
    <cellStyle name="Вычисление 4 7 7" xfId="0"/>
    <cellStyle name="Вычисление 4 8" xfId="0"/>
    <cellStyle name="Вычисление 4 8 2" xfId="0"/>
    <cellStyle name="Вычисление 4 8 2 2" xfId="0"/>
    <cellStyle name="Вычисление 4 8 2 2 2" xfId="0"/>
    <cellStyle name="Вычисление 4 8 2 2 2 2" xfId="0"/>
    <cellStyle name="Вычисление 4 8 2 2 2 3" xfId="0"/>
    <cellStyle name="Вычисление 4 8 2 2 3" xfId="0"/>
    <cellStyle name="Вычисление 4 8 2 2 4" xfId="0"/>
    <cellStyle name="Вычисление 4 8 2 3" xfId="0"/>
    <cellStyle name="Вычисление 4 8 2 3 2" xfId="0"/>
    <cellStyle name="Вычисление 4 8 2 3 2 2" xfId="0"/>
    <cellStyle name="Вычисление 4 8 2 3 2 3" xfId="0"/>
    <cellStyle name="Вычисление 4 8 2 3 3" xfId="0"/>
    <cellStyle name="Вычисление 4 8 2 3 4" xfId="0"/>
    <cellStyle name="Вычисление 4 8 2 4" xfId="0"/>
    <cellStyle name="Вычисление 4 8 2 4 2" xfId="0"/>
    <cellStyle name="Вычисление 4 8 2 4 3" xfId="0"/>
    <cellStyle name="Вычисление 4 8 2 5" xfId="0"/>
    <cellStyle name="Вычисление 4 8 2 6" xfId="0"/>
    <cellStyle name="Вычисление 4 8 3" xfId="0"/>
    <cellStyle name="Вычисление 4 8 3 2" xfId="0"/>
    <cellStyle name="Вычисление 4 8 3 2 2" xfId="0"/>
    <cellStyle name="Вычисление 4 8 3 2 2 2" xfId="0"/>
    <cellStyle name="Вычисление 4 8 3 2 2 3" xfId="0"/>
    <cellStyle name="Вычисление 4 8 3 2 3" xfId="0"/>
    <cellStyle name="Вычисление 4 8 3 2 4" xfId="0"/>
    <cellStyle name="Вычисление 4 8 3 3" xfId="0"/>
    <cellStyle name="Вычисление 4 8 3 3 2" xfId="0"/>
    <cellStyle name="Вычисление 4 8 3 3 3" xfId="0"/>
    <cellStyle name="Вычисление 4 8 3 4" xfId="0"/>
    <cellStyle name="Вычисление 4 8 3 5" xfId="0"/>
    <cellStyle name="Вычисление 4 8 4" xfId="0"/>
    <cellStyle name="Вычисление 4 8 4 2" xfId="0"/>
    <cellStyle name="Вычисление 4 8 4 2 2" xfId="0"/>
    <cellStyle name="Вычисление 4 8 4 2 2 2" xfId="0"/>
    <cellStyle name="Вычисление 4 8 4 2 2 3" xfId="0"/>
    <cellStyle name="Вычисление 4 8 4 2 3" xfId="0"/>
    <cellStyle name="Вычисление 4 8 4 2 4" xfId="0"/>
    <cellStyle name="Вычисление 4 8 4 3" xfId="0"/>
    <cellStyle name="Вычисление 4 8 4 3 2" xfId="0"/>
    <cellStyle name="Вычисление 4 8 4 3 3" xfId="0"/>
    <cellStyle name="Вычисление 4 8 4 4" xfId="0"/>
    <cellStyle name="Вычисление 4 8 4 5" xfId="0"/>
    <cellStyle name="Вычисление 4 8 5" xfId="0"/>
    <cellStyle name="Вычисление 4 8 5 2" xfId="0"/>
    <cellStyle name="Вычисление 4 8 5 3" xfId="0"/>
    <cellStyle name="Вычисление 4 8 6" xfId="0"/>
    <cellStyle name="Вычисление 4 8 7" xfId="0"/>
    <cellStyle name="Вычисление 4 9" xfId="0"/>
    <cellStyle name="Вычисление 4 9 2" xfId="0"/>
    <cellStyle name="Вычисление 4 9 2 2" xfId="0"/>
    <cellStyle name="Вычисление 4 9 2 2 2" xfId="0"/>
    <cellStyle name="Вычисление 4 9 2 2 2 2" xfId="0"/>
    <cellStyle name="Вычисление 4 9 2 2 2 3" xfId="0"/>
    <cellStyle name="Вычисление 4 9 2 2 3" xfId="0"/>
    <cellStyle name="Вычисление 4 9 2 2 4" xfId="0"/>
    <cellStyle name="Вычисление 4 9 2 3" xfId="0"/>
    <cellStyle name="Вычисление 4 9 2 3 2" xfId="0"/>
    <cellStyle name="Вычисление 4 9 2 3 2 2" xfId="0"/>
    <cellStyle name="Вычисление 4 9 2 3 2 3" xfId="0"/>
    <cellStyle name="Вычисление 4 9 2 3 3" xfId="0"/>
    <cellStyle name="Вычисление 4 9 2 3 4" xfId="0"/>
    <cellStyle name="Вычисление 4 9 2 4" xfId="0"/>
    <cellStyle name="Вычисление 4 9 2 4 2" xfId="0"/>
    <cellStyle name="Вычисление 4 9 2 4 3" xfId="0"/>
    <cellStyle name="Вычисление 4 9 2 5" xfId="0"/>
    <cellStyle name="Вычисление 4 9 2 6" xfId="0"/>
    <cellStyle name="Вычисление 4 9 3" xfId="0"/>
    <cellStyle name="Вычисление 4 9 3 2" xfId="0"/>
    <cellStyle name="Вычисление 4 9 3 2 2" xfId="0"/>
    <cellStyle name="Вычисление 4 9 3 2 2 2" xfId="0"/>
    <cellStyle name="Вычисление 4 9 3 2 2 3" xfId="0"/>
    <cellStyle name="Вычисление 4 9 3 2 3" xfId="0"/>
    <cellStyle name="Вычисление 4 9 3 2 4" xfId="0"/>
    <cellStyle name="Вычисление 4 9 3 3" xfId="0"/>
    <cellStyle name="Вычисление 4 9 3 3 2" xfId="0"/>
    <cellStyle name="Вычисление 4 9 3 3 3" xfId="0"/>
    <cellStyle name="Вычисление 4 9 3 4" xfId="0"/>
    <cellStyle name="Вычисление 4 9 3 5" xfId="0"/>
    <cellStyle name="Вычисление 4 9 4" xfId="0"/>
    <cellStyle name="Вычисление 4 9 4 2" xfId="0"/>
    <cellStyle name="Вычисление 4 9 4 2 2" xfId="0"/>
    <cellStyle name="Вычисление 4 9 4 2 2 2" xfId="0"/>
    <cellStyle name="Вычисление 4 9 4 2 2 3" xfId="0"/>
    <cellStyle name="Вычисление 4 9 4 2 3" xfId="0"/>
    <cellStyle name="Вычисление 4 9 4 2 4" xfId="0"/>
    <cellStyle name="Вычисление 4 9 4 3" xfId="0"/>
    <cellStyle name="Вычисление 4 9 4 3 2" xfId="0"/>
    <cellStyle name="Вычисление 4 9 4 3 3" xfId="0"/>
    <cellStyle name="Вычисление 4 9 4 4" xfId="0"/>
    <cellStyle name="Вычисление 4 9 4 5" xfId="0"/>
    <cellStyle name="Вычисление 4 9 5" xfId="0"/>
    <cellStyle name="Вычисление 4 9 5 2" xfId="0"/>
    <cellStyle name="Вычисление 4 9 5 3" xfId="0"/>
    <cellStyle name="Вычисление 4 9 6" xfId="0"/>
    <cellStyle name="Вычисление 4 9 7" xfId="0"/>
    <cellStyle name="Гиперссылка 2" xfId="0"/>
    <cellStyle name="Гиперссылка 2 2" xfId="0"/>
    <cellStyle name="Гиперссылка 2 3" xfId="0"/>
    <cellStyle name="Гиперссылка 3" xfId="0"/>
    <cellStyle name="Дата" xfId="0"/>
    <cellStyle name="Дата 1" xfId="0"/>
    <cellStyle name="Дата 1 2" xfId="0"/>
    <cellStyle name="Дата 2" xfId="0"/>
    <cellStyle name="Дата 2 2" xfId="0"/>
    <cellStyle name="Дата 3" xfId="0"/>
    <cellStyle name="Дата 3 2" xfId="0"/>
    <cellStyle name="Дата 4" xfId="0"/>
    <cellStyle name="Дата UTL" xfId="0"/>
    <cellStyle name="Дата UTL 1" xfId="0"/>
    <cellStyle name="Дата UTL 1 2" xfId="0"/>
    <cellStyle name="Дата UTL 2" xfId="0"/>
    <cellStyle name="Дата UTL 2 2" xfId="0"/>
    <cellStyle name="Дата UTL 3" xfId="0"/>
    <cellStyle name="Дата UTL 3 2" xfId="0"/>
    <cellStyle name="Дата UTL 4" xfId="0"/>
    <cellStyle name="Дата_Выручка и осн показ" xfId="0"/>
    <cellStyle name="Денежный 2" xfId="0"/>
    <cellStyle name="Денежный 2 2" xfId="0"/>
    <cellStyle name="Денежный 2 3" xfId="0"/>
    <cellStyle name="Денежный 3" xfId="0"/>
    <cellStyle name="Денежный 3 2" xfId="0"/>
    <cellStyle name="Денежный 3 3" xfId="0"/>
    <cellStyle name="Денежный 4" xfId="0"/>
    <cellStyle name="Денежный 4 10" xfId="0"/>
    <cellStyle name="Денежный 4 10 2" xfId="0"/>
    <cellStyle name="Денежный 4 10 3" xfId="0"/>
    <cellStyle name="Денежный 4 10 4" xfId="0"/>
    <cellStyle name="Денежный 4 10 5" xfId="0"/>
    <cellStyle name="Денежный 4 11" xfId="0"/>
    <cellStyle name="Денежный 4 12" xfId="0"/>
    <cellStyle name="Денежный 4 13" xfId="0"/>
    <cellStyle name="Денежный 4 14" xfId="0"/>
    <cellStyle name="Денежный 4 15" xfId="0"/>
    <cellStyle name="Денежный 4 2" xfId="0"/>
    <cellStyle name="Денежный 4 2 10" xfId="0"/>
    <cellStyle name="Денежный 4 2 11" xfId="0"/>
    <cellStyle name="Денежный 4 2 12" xfId="0"/>
    <cellStyle name="Денежный 4 2 13" xfId="0"/>
    <cellStyle name="Денежный 4 2 2" xfId="0"/>
    <cellStyle name="Денежный 4 2 2 2" xfId="0"/>
    <cellStyle name="Денежный 4 2 2 2 2" xfId="0"/>
    <cellStyle name="Денежный 4 2 2 2 2 2" xfId="0"/>
    <cellStyle name="Денежный 4 2 2 2 2 3" xfId="0"/>
    <cellStyle name="Денежный 4 2 2 2 2 4" xfId="0"/>
    <cellStyle name="Денежный 4 2 2 2 2 5" xfId="0"/>
    <cellStyle name="Денежный 4 2 2 2 3" xfId="0"/>
    <cellStyle name="Денежный 4 2 2 2 4" xfId="0"/>
    <cellStyle name="Денежный 4 2 2 2 5" xfId="0"/>
    <cellStyle name="Денежный 4 2 2 2 6" xfId="0"/>
    <cellStyle name="Денежный 4 2 2 3" xfId="0"/>
    <cellStyle name="Денежный 4 2 2 3 2" xfId="0"/>
    <cellStyle name="Денежный 4 2 2 3 3" xfId="0"/>
    <cellStyle name="Денежный 4 2 2 3 4" xfId="0"/>
    <cellStyle name="Денежный 4 2 2 3 5" xfId="0"/>
    <cellStyle name="Денежный 4 2 2 4" xfId="0"/>
    <cellStyle name="Денежный 4 2 2 5" xfId="0"/>
    <cellStyle name="Денежный 4 2 2 6" xfId="0"/>
    <cellStyle name="Денежный 4 2 2 7" xfId="0"/>
    <cellStyle name="Денежный 4 2 3" xfId="0"/>
    <cellStyle name="Денежный 4 2 3 2" xfId="0"/>
    <cellStyle name="Денежный 4 2 3 2 2" xfId="0"/>
    <cellStyle name="Денежный 4 2 3 2 3" xfId="0"/>
    <cellStyle name="Денежный 4 2 3 2 4" xfId="0"/>
    <cellStyle name="Денежный 4 2 3 2 5" xfId="0"/>
    <cellStyle name="Денежный 4 2 3 3" xfId="0"/>
    <cellStyle name="Денежный 4 2 3 4" xfId="0"/>
    <cellStyle name="Денежный 4 2 3 5" xfId="0"/>
    <cellStyle name="Денежный 4 2 3 6" xfId="0"/>
    <cellStyle name="Денежный 4 2 4" xfId="0"/>
    <cellStyle name="Денежный 4 2 4 2" xfId="0"/>
    <cellStyle name="Денежный 4 2 4 2 2" xfId="0"/>
    <cellStyle name="Денежный 4 2 4 2 3" xfId="0"/>
    <cellStyle name="Денежный 4 2 4 2 4" xfId="0"/>
    <cellStyle name="Денежный 4 2 4 2 5" xfId="0"/>
    <cellStyle name="Денежный 4 2 4 3" xfId="0"/>
    <cellStyle name="Денежный 4 2 4 4" xfId="0"/>
    <cellStyle name="Денежный 4 2 4 5" xfId="0"/>
    <cellStyle name="Денежный 4 2 4 6" xfId="0"/>
    <cellStyle name="Денежный 4 2 5" xfId="0"/>
    <cellStyle name="Денежный 4 2 5 2" xfId="0"/>
    <cellStyle name="Денежный 4 2 5 2 2" xfId="0"/>
    <cellStyle name="Денежный 4 2 5 2 3" xfId="0"/>
    <cellStyle name="Денежный 4 2 5 2 4" xfId="0"/>
    <cellStyle name="Денежный 4 2 5 2 5" xfId="0"/>
    <cellStyle name="Денежный 4 2 5 3" xfId="0"/>
    <cellStyle name="Денежный 4 2 5 4" xfId="0"/>
    <cellStyle name="Денежный 4 2 5 5" xfId="0"/>
    <cellStyle name="Денежный 4 2 5 6" xfId="0"/>
    <cellStyle name="Денежный 4 2 6" xfId="0"/>
    <cellStyle name="Денежный 4 2 6 2" xfId="0"/>
    <cellStyle name="Денежный 4 2 6 2 2" xfId="0"/>
    <cellStyle name="Денежный 4 2 6 2 3" xfId="0"/>
    <cellStyle name="Денежный 4 2 6 2 4" xfId="0"/>
    <cellStyle name="Денежный 4 2 6 2 5" xfId="0"/>
    <cellStyle name="Денежный 4 2 6 3" xfId="0"/>
    <cellStyle name="Денежный 4 2 6 4" xfId="0"/>
    <cellStyle name="Денежный 4 2 6 5" xfId="0"/>
    <cellStyle name="Денежный 4 2 6 6" xfId="0"/>
    <cellStyle name="Денежный 4 2 7" xfId="0"/>
    <cellStyle name="Денежный 4 2 7 2" xfId="0"/>
    <cellStyle name="Денежный 4 2 7 3" xfId="0"/>
    <cellStyle name="Денежный 4 2 7 4" xfId="0"/>
    <cellStyle name="Денежный 4 2 7 5" xfId="0"/>
    <cellStyle name="Денежный 4 2 8" xfId="0"/>
    <cellStyle name="Денежный 4 2 8 2" xfId="0"/>
    <cellStyle name="Денежный 4 2 8 3" xfId="0"/>
    <cellStyle name="Денежный 4 2 8 4" xfId="0"/>
    <cellStyle name="Денежный 4 2 8 5" xfId="0"/>
    <cellStyle name="Денежный 4 2 9" xfId="0"/>
    <cellStyle name="Денежный 4 3" xfId="0"/>
    <cellStyle name="Денежный 4 3 2" xfId="0"/>
    <cellStyle name="Денежный 4 3 2 2" xfId="0"/>
    <cellStyle name="Денежный 4 3 2 2 2" xfId="0"/>
    <cellStyle name="Денежный 4 3 2 2 3" xfId="0"/>
    <cellStyle name="Денежный 4 3 2 2 4" xfId="0"/>
    <cellStyle name="Денежный 4 3 2 2 5" xfId="0"/>
    <cellStyle name="Денежный 4 3 2 3" xfId="0"/>
    <cellStyle name="Денежный 4 3 2 4" xfId="0"/>
    <cellStyle name="Денежный 4 3 2 5" xfId="0"/>
    <cellStyle name="Денежный 4 3 2 6" xfId="0"/>
    <cellStyle name="Денежный 4 3 3" xfId="0"/>
    <cellStyle name="Денежный 4 3 3 2" xfId="0"/>
    <cellStyle name="Денежный 4 3 3 3" xfId="0"/>
    <cellStyle name="Денежный 4 3 3 4" xfId="0"/>
    <cellStyle name="Денежный 4 3 3 5" xfId="0"/>
    <cellStyle name="Денежный 4 3 4" xfId="0"/>
    <cellStyle name="Денежный 4 3 5" xfId="0"/>
    <cellStyle name="Денежный 4 3 6" xfId="0"/>
    <cellStyle name="Денежный 4 3 7" xfId="0"/>
    <cellStyle name="Денежный 4 4" xfId="0"/>
    <cellStyle name="Денежный 4 4 2" xfId="0"/>
    <cellStyle name="Денежный 4 4 2 2" xfId="0"/>
    <cellStyle name="Денежный 4 4 2 3" xfId="0"/>
    <cellStyle name="Денежный 4 4 2 4" xfId="0"/>
    <cellStyle name="Денежный 4 4 2 5" xfId="0"/>
    <cellStyle name="Денежный 4 4 3" xfId="0"/>
    <cellStyle name="Денежный 4 4 4" xfId="0"/>
    <cellStyle name="Денежный 4 4 5" xfId="0"/>
    <cellStyle name="Денежный 4 4 6" xfId="0"/>
    <cellStyle name="Денежный 4 5" xfId="0"/>
    <cellStyle name="Денежный 4 5 2" xfId="0"/>
    <cellStyle name="Денежный 4 5 2 2" xfId="0"/>
    <cellStyle name="Денежный 4 5 2 3" xfId="0"/>
    <cellStyle name="Денежный 4 5 2 4" xfId="0"/>
    <cellStyle name="Денежный 4 5 2 5" xfId="0"/>
    <cellStyle name="Денежный 4 5 3" xfId="0"/>
    <cellStyle name="Денежный 4 5 4" xfId="0"/>
    <cellStyle name="Денежный 4 5 5" xfId="0"/>
    <cellStyle name="Денежный 4 5 6" xfId="0"/>
    <cellStyle name="Денежный 4 6" xfId="0"/>
    <cellStyle name="Денежный 4 6 2" xfId="0"/>
    <cellStyle name="Денежный 4 6 2 2" xfId="0"/>
    <cellStyle name="Денежный 4 6 2 3" xfId="0"/>
    <cellStyle name="Денежный 4 6 2 4" xfId="0"/>
    <cellStyle name="Денежный 4 6 2 5" xfId="0"/>
    <cellStyle name="Денежный 4 6 3" xfId="0"/>
    <cellStyle name="Денежный 4 6 4" xfId="0"/>
    <cellStyle name="Денежный 4 6 5" xfId="0"/>
    <cellStyle name="Денежный 4 6 6" xfId="0"/>
    <cellStyle name="Денежный 4 7" xfId="0"/>
    <cellStyle name="Денежный 4 7 2" xfId="0"/>
    <cellStyle name="Денежный 4 7 2 2" xfId="0"/>
    <cellStyle name="Денежный 4 7 2 3" xfId="0"/>
    <cellStyle name="Денежный 4 7 2 4" xfId="0"/>
    <cellStyle name="Денежный 4 7 2 5" xfId="0"/>
    <cellStyle name="Денежный 4 7 3" xfId="0"/>
    <cellStyle name="Денежный 4 7 4" xfId="0"/>
    <cellStyle name="Денежный 4 7 5" xfId="0"/>
    <cellStyle name="Денежный 4 7 6" xfId="0"/>
    <cellStyle name="Денежный 4 8" xfId="0"/>
    <cellStyle name="Денежный 4 8 2" xfId="0"/>
    <cellStyle name="Денежный 4 8 3" xfId="0"/>
    <cellStyle name="Денежный 4 8 4" xfId="0"/>
    <cellStyle name="Денежный 4 8 5" xfId="0"/>
    <cellStyle name="Денежный 4 9" xfId="0"/>
    <cellStyle name="Денежный 5" xfId="0"/>
    <cellStyle name="Денежный 5 10" xfId="0"/>
    <cellStyle name="Денежный 5 10 2" xfId="0"/>
    <cellStyle name="Денежный 5 10 3" xfId="0"/>
    <cellStyle name="Денежный 5 10 4" xfId="0"/>
    <cellStyle name="Денежный 5 10 5" xfId="0"/>
    <cellStyle name="Денежный 5 11" xfId="0"/>
    <cellStyle name="Денежный 5 12" xfId="0"/>
    <cellStyle name="Денежный 5 13" xfId="0"/>
    <cellStyle name="Денежный 5 14" xfId="0"/>
    <cellStyle name="Денежный 5 15" xfId="0"/>
    <cellStyle name="Денежный 5 2" xfId="0"/>
    <cellStyle name="Денежный 5 2 10" xfId="0"/>
    <cellStyle name="Денежный 5 2 11" xfId="0"/>
    <cellStyle name="Денежный 5 2 12" xfId="0"/>
    <cellStyle name="Денежный 5 2 13" xfId="0"/>
    <cellStyle name="Денежный 5 2 2" xfId="0"/>
    <cellStyle name="Денежный 5 2 2 2" xfId="0"/>
    <cellStyle name="Денежный 5 2 2 2 2" xfId="0"/>
    <cellStyle name="Денежный 5 2 2 2 2 2" xfId="0"/>
    <cellStyle name="Денежный 5 2 2 2 2 3" xfId="0"/>
    <cellStyle name="Денежный 5 2 2 2 2 4" xfId="0"/>
    <cellStyle name="Денежный 5 2 2 2 2 5" xfId="0"/>
    <cellStyle name="Денежный 5 2 2 2 3" xfId="0"/>
    <cellStyle name="Денежный 5 2 2 2 4" xfId="0"/>
    <cellStyle name="Денежный 5 2 2 2 5" xfId="0"/>
    <cellStyle name="Денежный 5 2 2 2 6" xfId="0"/>
    <cellStyle name="Денежный 5 2 2 3" xfId="0"/>
    <cellStyle name="Денежный 5 2 2 3 2" xfId="0"/>
    <cellStyle name="Денежный 5 2 2 3 3" xfId="0"/>
    <cellStyle name="Денежный 5 2 2 3 4" xfId="0"/>
    <cellStyle name="Денежный 5 2 2 3 5" xfId="0"/>
    <cellStyle name="Денежный 5 2 2 4" xfId="0"/>
    <cellStyle name="Денежный 5 2 2 5" xfId="0"/>
    <cellStyle name="Денежный 5 2 2 6" xfId="0"/>
    <cellStyle name="Денежный 5 2 2 7" xfId="0"/>
    <cellStyle name="Денежный 5 2 3" xfId="0"/>
    <cellStyle name="Денежный 5 2 3 2" xfId="0"/>
    <cellStyle name="Денежный 5 2 3 2 2" xfId="0"/>
    <cellStyle name="Денежный 5 2 3 2 3" xfId="0"/>
    <cellStyle name="Денежный 5 2 3 2 4" xfId="0"/>
    <cellStyle name="Денежный 5 2 3 2 5" xfId="0"/>
    <cellStyle name="Денежный 5 2 3 3" xfId="0"/>
    <cellStyle name="Денежный 5 2 3 4" xfId="0"/>
    <cellStyle name="Денежный 5 2 3 5" xfId="0"/>
    <cellStyle name="Денежный 5 2 3 6" xfId="0"/>
    <cellStyle name="Денежный 5 2 4" xfId="0"/>
    <cellStyle name="Денежный 5 2 4 2" xfId="0"/>
    <cellStyle name="Денежный 5 2 4 2 2" xfId="0"/>
    <cellStyle name="Денежный 5 2 4 2 3" xfId="0"/>
    <cellStyle name="Денежный 5 2 4 2 4" xfId="0"/>
    <cellStyle name="Денежный 5 2 4 2 5" xfId="0"/>
    <cellStyle name="Денежный 5 2 4 3" xfId="0"/>
    <cellStyle name="Денежный 5 2 4 4" xfId="0"/>
    <cellStyle name="Денежный 5 2 4 5" xfId="0"/>
    <cellStyle name="Денежный 5 2 4 6" xfId="0"/>
    <cellStyle name="Денежный 5 2 5" xfId="0"/>
    <cellStyle name="Денежный 5 2 5 2" xfId="0"/>
    <cellStyle name="Денежный 5 2 5 2 2" xfId="0"/>
    <cellStyle name="Денежный 5 2 5 2 3" xfId="0"/>
    <cellStyle name="Денежный 5 2 5 2 4" xfId="0"/>
    <cellStyle name="Денежный 5 2 5 2 5" xfId="0"/>
    <cellStyle name="Денежный 5 2 5 3" xfId="0"/>
    <cellStyle name="Денежный 5 2 5 4" xfId="0"/>
    <cellStyle name="Денежный 5 2 5 5" xfId="0"/>
    <cellStyle name="Денежный 5 2 5 6" xfId="0"/>
    <cellStyle name="Денежный 5 2 6" xfId="0"/>
    <cellStyle name="Денежный 5 2 6 2" xfId="0"/>
    <cellStyle name="Денежный 5 2 6 2 2" xfId="0"/>
    <cellStyle name="Денежный 5 2 6 2 3" xfId="0"/>
    <cellStyle name="Денежный 5 2 6 2 4" xfId="0"/>
    <cellStyle name="Денежный 5 2 6 2 5" xfId="0"/>
    <cellStyle name="Денежный 5 2 6 3" xfId="0"/>
    <cellStyle name="Денежный 5 2 6 4" xfId="0"/>
    <cellStyle name="Денежный 5 2 6 5" xfId="0"/>
    <cellStyle name="Денежный 5 2 6 6" xfId="0"/>
    <cellStyle name="Денежный 5 2 7" xfId="0"/>
    <cellStyle name="Денежный 5 2 7 2" xfId="0"/>
    <cellStyle name="Денежный 5 2 7 3" xfId="0"/>
    <cellStyle name="Денежный 5 2 7 4" xfId="0"/>
    <cellStyle name="Денежный 5 2 7 5" xfId="0"/>
    <cellStyle name="Денежный 5 2 8" xfId="0"/>
    <cellStyle name="Денежный 5 2 8 2" xfId="0"/>
    <cellStyle name="Денежный 5 2 8 3" xfId="0"/>
    <cellStyle name="Денежный 5 2 8 4" xfId="0"/>
    <cellStyle name="Денежный 5 2 8 5" xfId="0"/>
    <cellStyle name="Денежный 5 2 9" xfId="0"/>
    <cellStyle name="Денежный 5 3" xfId="0"/>
    <cellStyle name="Денежный 5 3 2" xfId="0"/>
    <cellStyle name="Денежный 5 3 2 2" xfId="0"/>
    <cellStyle name="Денежный 5 3 2 2 2" xfId="0"/>
    <cellStyle name="Денежный 5 3 2 2 3" xfId="0"/>
    <cellStyle name="Денежный 5 3 2 2 4" xfId="0"/>
    <cellStyle name="Денежный 5 3 2 2 5" xfId="0"/>
    <cellStyle name="Денежный 5 3 2 3" xfId="0"/>
    <cellStyle name="Денежный 5 3 2 4" xfId="0"/>
    <cellStyle name="Денежный 5 3 2 5" xfId="0"/>
    <cellStyle name="Денежный 5 3 2 6" xfId="0"/>
    <cellStyle name="Денежный 5 3 3" xfId="0"/>
    <cellStyle name="Денежный 5 3 3 2" xfId="0"/>
    <cellStyle name="Денежный 5 3 3 3" xfId="0"/>
    <cellStyle name="Денежный 5 3 3 4" xfId="0"/>
    <cellStyle name="Денежный 5 3 3 5" xfId="0"/>
    <cellStyle name="Денежный 5 3 4" xfId="0"/>
    <cellStyle name="Денежный 5 3 5" xfId="0"/>
    <cellStyle name="Денежный 5 3 6" xfId="0"/>
    <cellStyle name="Денежный 5 3 7" xfId="0"/>
    <cellStyle name="Денежный 5 4" xfId="0"/>
    <cellStyle name="Денежный 5 4 2" xfId="0"/>
    <cellStyle name="Денежный 5 4 2 2" xfId="0"/>
    <cellStyle name="Денежный 5 4 2 3" xfId="0"/>
    <cellStyle name="Денежный 5 4 2 4" xfId="0"/>
    <cellStyle name="Денежный 5 4 2 5" xfId="0"/>
    <cellStyle name="Денежный 5 4 3" xfId="0"/>
    <cellStyle name="Денежный 5 4 4" xfId="0"/>
    <cellStyle name="Денежный 5 4 5" xfId="0"/>
    <cellStyle name="Денежный 5 4 6" xfId="0"/>
    <cellStyle name="Денежный 5 5" xfId="0"/>
    <cellStyle name="Денежный 5 5 2" xfId="0"/>
    <cellStyle name="Денежный 5 5 2 2" xfId="0"/>
    <cellStyle name="Денежный 5 5 2 3" xfId="0"/>
    <cellStyle name="Денежный 5 5 2 4" xfId="0"/>
    <cellStyle name="Денежный 5 5 2 5" xfId="0"/>
    <cellStyle name="Денежный 5 5 3" xfId="0"/>
    <cellStyle name="Денежный 5 5 4" xfId="0"/>
    <cellStyle name="Денежный 5 5 5" xfId="0"/>
    <cellStyle name="Денежный 5 5 6" xfId="0"/>
    <cellStyle name="Денежный 5 6" xfId="0"/>
    <cellStyle name="Денежный 5 6 2" xfId="0"/>
    <cellStyle name="Денежный 5 6 2 2" xfId="0"/>
    <cellStyle name="Денежный 5 6 2 3" xfId="0"/>
    <cellStyle name="Денежный 5 6 2 4" xfId="0"/>
    <cellStyle name="Денежный 5 6 2 5" xfId="0"/>
    <cellStyle name="Денежный 5 6 3" xfId="0"/>
    <cellStyle name="Денежный 5 6 4" xfId="0"/>
    <cellStyle name="Денежный 5 6 5" xfId="0"/>
    <cellStyle name="Денежный 5 6 6" xfId="0"/>
    <cellStyle name="Денежный 5 7" xfId="0"/>
    <cellStyle name="Денежный 5 7 2" xfId="0"/>
    <cellStyle name="Денежный 5 7 2 2" xfId="0"/>
    <cellStyle name="Денежный 5 7 2 3" xfId="0"/>
    <cellStyle name="Денежный 5 7 2 4" xfId="0"/>
    <cellStyle name="Денежный 5 7 2 5" xfId="0"/>
    <cellStyle name="Денежный 5 7 3" xfId="0"/>
    <cellStyle name="Денежный 5 7 4" xfId="0"/>
    <cellStyle name="Денежный 5 7 5" xfId="0"/>
    <cellStyle name="Денежный 5 7 6" xfId="0"/>
    <cellStyle name="Денежный 5 8" xfId="0"/>
    <cellStyle name="Денежный 5 8 2" xfId="0"/>
    <cellStyle name="Денежный 5 8 3" xfId="0"/>
    <cellStyle name="Денежный 5 8 4" xfId="0"/>
    <cellStyle name="Денежный 5 8 5" xfId="0"/>
    <cellStyle name="Денежный 5 9" xfId="0"/>
    <cellStyle name="Денежный 6" xfId="0"/>
    <cellStyle name="Денежный 7" xfId="0"/>
    <cellStyle name="Денежный 7 2" xfId="0"/>
    <cellStyle name="Денежный 7 3" xfId="0"/>
    <cellStyle name="Заглавие сводной таблицы" xfId="0"/>
    <cellStyle name="Заглавие сводной таблицы 2" xfId="0"/>
    <cellStyle name="Заголовок 1 1" xfId="0"/>
    <cellStyle name="Заголовок 1 2" xfId="0"/>
    <cellStyle name="Заголовок 1 2 2" xfId="0"/>
    <cellStyle name="Заголовок 1 3" xfId="0"/>
    <cellStyle name="Заголовок 1 4" xfId="0"/>
    <cellStyle name="Заголовок 1 5" xfId="0"/>
    <cellStyle name="Заголовок 2 1" xfId="0"/>
    <cellStyle name="Заголовок 2 2" xfId="0"/>
    <cellStyle name="Заголовок 2 3" xfId="0"/>
    <cellStyle name="Заголовок 2 4" xfId="0"/>
    <cellStyle name="Заголовок 3 1" xfId="0"/>
    <cellStyle name="Заголовок 3 1 2" xfId="0"/>
    <cellStyle name="Заголовок 3 1 2 2" xfId="0"/>
    <cellStyle name="Заголовок 3 1 2 2 2" xfId="0"/>
    <cellStyle name="Заголовок 3 1 2 3" xfId="0"/>
    <cellStyle name="Заголовок 3 1 2 3 2" xfId="0"/>
    <cellStyle name="Заголовок 3 1 2 4" xfId="0"/>
    <cellStyle name="Заголовок 3 1 2 4 2" xfId="0"/>
    <cellStyle name="Заголовок 3 1 2 5" xfId="0"/>
    <cellStyle name="Заголовок 3 1 2 5 2" xfId="0"/>
    <cellStyle name="Заголовок 3 1 2 6" xfId="0"/>
    <cellStyle name="Заголовок 3 1 3" xfId="0"/>
    <cellStyle name="Заголовок 3 1 3 2" xfId="0"/>
    <cellStyle name="Заголовок 3 1 3 2 2" xfId="0"/>
    <cellStyle name="Заголовок 3 1 3 3" xfId="0"/>
    <cellStyle name="Заголовок 3 1 3 3 2" xfId="0"/>
    <cellStyle name="Заголовок 3 1 3 4" xfId="0"/>
    <cellStyle name="Заголовок 3 1 3 4 2" xfId="0"/>
    <cellStyle name="Заголовок 3 1 3 5" xfId="0"/>
    <cellStyle name="Заголовок 3 1 4" xfId="0"/>
    <cellStyle name="Заголовок 3 1 4 2" xfId="0"/>
    <cellStyle name="Заголовок 3 2" xfId="0"/>
    <cellStyle name="Заголовок 3 2 2" xfId="0"/>
    <cellStyle name="Заголовок 3 2 2 2" xfId="0"/>
    <cellStyle name="Заголовок 3 2 2 2 2" xfId="0"/>
    <cellStyle name="Заголовок 3 2 2 3" xfId="0"/>
    <cellStyle name="Заголовок 3 2 2 3 2" xfId="0"/>
    <cellStyle name="Заголовок 3 2 2 4" xfId="0"/>
    <cellStyle name="Заголовок 3 2 2 4 2" xfId="0"/>
    <cellStyle name="Заголовок 3 2 2 5" xfId="0"/>
    <cellStyle name="Заголовок 3 2 2 5 2" xfId="0"/>
    <cellStyle name="Заголовок 3 2 2 6" xfId="0"/>
    <cellStyle name="Заголовок 3 2 3" xfId="0"/>
    <cellStyle name="Заголовок 3 2 3 2" xfId="0"/>
    <cellStyle name="Заголовок 3 2 3 2 2" xfId="0"/>
    <cellStyle name="Заголовок 3 2 3 3" xfId="0"/>
    <cellStyle name="Заголовок 3 2 3 3 2" xfId="0"/>
    <cellStyle name="Заголовок 3 2 3 4" xfId="0"/>
    <cellStyle name="Заголовок 3 2 3 4 2" xfId="0"/>
    <cellStyle name="Заголовок 3 2 3 5" xfId="0"/>
    <cellStyle name="Заголовок 3 2 4" xfId="0"/>
    <cellStyle name="Заголовок 3 2 4 2" xfId="0"/>
    <cellStyle name="Заголовок 3 3" xfId="0"/>
    <cellStyle name="Заголовок 3 3 2" xfId="0"/>
    <cellStyle name="Заголовок 3 3 2 2" xfId="0"/>
    <cellStyle name="Заголовок 3 3 2 2 2" xfId="0"/>
    <cellStyle name="Заголовок 3 3 2 3" xfId="0"/>
    <cellStyle name="Заголовок 3 3 2 3 2" xfId="0"/>
    <cellStyle name="Заголовок 3 3 2 4" xfId="0"/>
    <cellStyle name="Заголовок 3 3 2 4 2" xfId="0"/>
    <cellStyle name="Заголовок 3 3 2 5" xfId="0"/>
    <cellStyle name="Заголовок 3 3 2 5 2" xfId="0"/>
    <cellStyle name="Заголовок 3 3 2 6" xfId="0"/>
    <cellStyle name="Заголовок 3 3 3" xfId="0"/>
    <cellStyle name="Заголовок 3 3 3 2" xfId="0"/>
    <cellStyle name="Заголовок 3 3 3 2 2" xfId="0"/>
    <cellStyle name="Заголовок 3 3 3 3" xfId="0"/>
    <cellStyle name="Заголовок 3 3 3 3 2" xfId="0"/>
    <cellStyle name="Заголовок 3 3 3 4" xfId="0"/>
    <cellStyle name="Заголовок 3 3 3 4 2" xfId="0"/>
    <cellStyle name="Заголовок 3 3 3 5" xfId="0"/>
    <cellStyle name="Заголовок 3 3 4" xfId="0"/>
    <cellStyle name="Заголовок 3 3 4 2" xfId="0"/>
    <cellStyle name="Заголовок 3 4" xfId="0"/>
    <cellStyle name="Заголовок 3 4 2" xfId="0"/>
    <cellStyle name="Заголовок 3 4 2 2" xfId="0"/>
    <cellStyle name="Заголовок 3 4 2 2 2" xfId="0"/>
    <cellStyle name="Заголовок 3 4 2 3" xfId="0"/>
    <cellStyle name="Заголовок 3 4 2 3 2" xfId="0"/>
    <cellStyle name="Заголовок 3 4 2 4" xfId="0"/>
    <cellStyle name="Заголовок 3 4 2 4 2" xfId="0"/>
    <cellStyle name="Заголовок 3 4 2 5" xfId="0"/>
    <cellStyle name="Заголовок 3 4 2 5 2" xfId="0"/>
    <cellStyle name="Заголовок 3 4 2 6" xfId="0"/>
    <cellStyle name="Заголовок 3 4 3" xfId="0"/>
    <cellStyle name="Заголовок 3 4 3 2" xfId="0"/>
    <cellStyle name="Заголовок 3 4 3 2 2" xfId="0"/>
    <cellStyle name="Заголовок 3 4 3 3" xfId="0"/>
    <cellStyle name="Заголовок 3 4 3 3 2" xfId="0"/>
    <cellStyle name="Заголовок 3 4 3 4" xfId="0"/>
    <cellStyle name="Заголовок 3 4 3 4 2" xfId="0"/>
    <cellStyle name="Заголовок 3 4 3 5" xfId="0"/>
    <cellStyle name="Заголовок 3 4 4" xfId="0"/>
    <cellStyle name="Заголовок 3 4 4 2" xfId="0"/>
    <cellStyle name="Заголовок 4 1" xfId="0"/>
    <cellStyle name="Заголовок 4 2" xfId="0"/>
    <cellStyle name="Заголовок 4 3" xfId="0"/>
    <cellStyle name="Заголовок 4 4" xfId="0"/>
    <cellStyle name="Защитный" xfId="0"/>
    <cellStyle name="Защитный 2" xfId="0"/>
    <cellStyle name="Защитный 2 2" xfId="0"/>
    <cellStyle name="Защитный 2 2 2" xfId="0"/>
    <cellStyle name="Защитный 2 2 2 2" xfId="0"/>
    <cellStyle name="Защитный 2 2 3" xfId="0"/>
    <cellStyle name="Защитный 2 3" xfId="0"/>
    <cellStyle name="Защитный 2 3 2" xfId="0"/>
    <cellStyle name="Защитный 2 3 2 2" xfId="0"/>
    <cellStyle name="Защитный 2 3 3" xfId="0"/>
    <cellStyle name="Защитный 2 4" xfId="0"/>
    <cellStyle name="Защитный 2 4 2" xfId="0"/>
    <cellStyle name="Защитный 2 4 2 2" xfId="0"/>
    <cellStyle name="Защитный 2 4 3" xfId="0"/>
    <cellStyle name="Защитный 2 5" xfId="0"/>
    <cellStyle name="Защитный 2 5 2" xfId="0"/>
    <cellStyle name="Защитный 2 5 2 2" xfId="0"/>
    <cellStyle name="Защитный 2 5 3" xfId="0"/>
    <cellStyle name="Защитный 2 6" xfId="0"/>
    <cellStyle name="Защитный 2 6 2" xfId="0"/>
    <cellStyle name="Защитный 2 7" xfId="0"/>
    <cellStyle name="Защитный 3" xfId="0"/>
    <cellStyle name="Защитный 3 2" xfId="0"/>
    <cellStyle name="Защитный 3 2 2" xfId="0"/>
    <cellStyle name="Защитный 3 2 2 2" xfId="0"/>
    <cellStyle name="Защитный 3 2 3" xfId="0"/>
    <cellStyle name="Защитный 3 3" xfId="0"/>
    <cellStyle name="Защитный 3 3 2" xfId="0"/>
    <cellStyle name="Защитный 3 3 2 2" xfId="0"/>
    <cellStyle name="Защитный 3 3 3" xfId="0"/>
    <cellStyle name="Защитный 3 4" xfId="0"/>
    <cellStyle name="Защитный 3 4 2" xfId="0"/>
    <cellStyle name="Защитный 3 4 2 2" xfId="0"/>
    <cellStyle name="Защитный 3 4 3" xfId="0"/>
    <cellStyle name="Защитный 3 5" xfId="0"/>
    <cellStyle name="Защитный 3 5 2" xfId="0"/>
    <cellStyle name="Защитный 3 6" xfId="0"/>
    <cellStyle name="Защитный 4" xfId="0"/>
    <cellStyle name="Защитный 4 2" xfId="0"/>
    <cellStyle name="Защитный 4 2 2" xfId="0"/>
    <cellStyle name="Защитный 4 3" xfId="0"/>
    <cellStyle name="Защитный 5" xfId="0"/>
    <cellStyle name="Защитный 5 2" xfId="0"/>
    <cellStyle name="Защитный 6" xfId="0"/>
    <cellStyle name="Значение сводной таблицы" xfId="0"/>
    <cellStyle name="Значение сводной таблицы 2" xfId="0"/>
    <cellStyle name="Итог 1" xfId="0"/>
    <cellStyle name="Итог 1 10" xfId="0"/>
    <cellStyle name="Итог 1 10 2" xfId="0"/>
    <cellStyle name="Итог 1 10 2 2" xfId="0"/>
    <cellStyle name="Итог 1 10 2 2 2" xfId="0"/>
    <cellStyle name="Итог 1 10 2 2 2 2" xfId="0"/>
    <cellStyle name="Итог 1 10 2 2 2 3" xfId="0"/>
    <cellStyle name="Итог 1 10 2 2 3" xfId="0"/>
    <cellStyle name="Итог 1 10 2 2 4" xfId="0"/>
    <cellStyle name="Итог 1 10 2 3" xfId="0"/>
    <cellStyle name="Итог 1 10 2 3 2" xfId="0"/>
    <cellStyle name="Итог 1 10 2 3 2 2" xfId="0"/>
    <cellStyle name="Итог 1 10 2 3 2 3" xfId="0"/>
    <cellStyle name="Итог 1 10 2 3 3" xfId="0"/>
    <cellStyle name="Итог 1 10 2 3 4" xfId="0"/>
    <cellStyle name="Итог 1 10 2 4" xfId="0"/>
    <cellStyle name="Итог 1 10 2 4 2" xfId="0"/>
    <cellStyle name="Итог 1 10 2 4 3" xfId="0"/>
    <cellStyle name="Итог 1 10 2 5" xfId="0"/>
    <cellStyle name="Итог 1 10 2 6" xfId="0"/>
    <cellStyle name="Итог 1 10 3" xfId="0"/>
    <cellStyle name="Итог 1 10 3 2" xfId="0"/>
    <cellStyle name="Итог 1 10 3 2 2" xfId="0"/>
    <cellStyle name="Итог 1 10 3 2 2 2" xfId="0"/>
    <cellStyle name="Итог 1 10 3 2 2 3" xfId="0"/>
    <cellStyle name="Итог 1 10 3 2 3" xfId="0"/>
    <cellStyle name="Итог 1 10 3 2 4" xfId="0"/>
    <cellStyle name="Итог 1 10 3 3" xfId="0"/>
    <cellStyle name="Итог 1 10 3 3 2" xfId="0"/>
    <cellStyle name="Итог 1 10 3 3 3" xfId="0"/>
    <cellStyle name="Итог 1 10 3 4" xfId="0"/>
    <cellStyle name="Итог 1 10 3 5" xfId="0"/>
    <cellStyle name="Итог 1 10 4" xfId="0"/>
    <cellStyle name="Итог 1 10 4 2" xfId="0"/>
    <cellStyle name="Итог 1 10 4 2 2" xfId="0"/>
    <cellStyle name="Итог 1 10 4 2 2 2" xfId="0"/>
    <cellStyle name="Итог 1 10 4 2 2 3" xfId="0"/>
    <cellStyle name="Итог 1 10 4 2 3" xfId="0"/>
    <cellStyle name="Итог 1 10 4 2 4" xfId="0"/>
    <cellStyle name="Итог 1 10 4 3" xfId="0"/>
    <cellStyle name="Итог 1 10 4 3 2" xfId="0"/>
    <cellStyle name="Итог 1 10 4 3 3" xfId="0"/>
    <cellStyle name="Итог 1 10 4 4" xfId="0"/>
    <cellStyle name="Итог 1 10 4 5" xfId="0"/>
    <cellStyle name="Итог 1 10 5" xfId="0"/>
    <cellStyle name="Итог 1 10 5 2" xfId="0"/>
    <cellStyle name="Итог 1 10 5 3" xfId="0"/>
    <cellStyle name="Итог 1 10 6" xfId="0"/>
    <cellStyle name="Итог 1 10 7" xfId="0"/>
    <cellStyle name="Итог 1 11" xfId="0"/>
    <cellStyle name="Итог 1 11 2" xfId="0"/>
    <cellStyle name="Итог 1 11 2 2" xfId="0"/>
    <cellStyle name="Итог 1 11 2 2 2" xfId="0"/>
    <cellStyle name="Итог 1 11 2 2 2 2" xfId="0"/>
    <cellStyle name="Итог 1 11 2 2 2 3" xfId="0"/>
    <cellStyle name="Итог 1 11 2 2 3" xfId="0"/>
    <cellStyle name="Итог 1 11 2 2 4" xfId="0"/>
    <cellStyle name="Итог 1 11 2 3" xfId="0"/>
    <cellStyle name="Итог 1 11 2 3 2" xfId="0"/>
    <cellStyle name="Итог 1 11 2 3 2 2" xfId="0"/>
    <cellStyle name="Итог 1 11 2 3 2 3" xfId="0"/>
    <cellStyle name="Итог 1 11 2 3 3" xfId="0"/>
    <cellStyle name="Итог 1 11 2 3 4" xfId="0"/>
    <cellStyle name="Итог 1 11 2 4" xfId="0"/>
    <cellStyle name="Итог 1 11 2 4 2" xfId="0"/>
    <cellStyle name="Итог 1 11 2 4 3" xfId="0"/>
    <cellStyle name="Итог 1 11 2 5" xfId="0"/>
    <cellStyle name="Итог 1 11 2 6" xfId="0"/>
    <cellStyle name="Итог 1 11 3" xfId="0"/>
    <cellStyle name="Итог 1 11 3 2" xfId="0"/>
    <cellStyle name="Итог 1 11 3 2 2" xfId="0"/>
    <cellStyle name="Итог 1 11 3 2 2 2" xfId="0"/>
    <cellStyle name="Итог 1 11 3 2 2 3" xfId="0"/>
    <cellStyle name="Итог 1 11 3 2 3" xfId="0"/>
    <cellStyle name="Итог 1 11 3 2 4" xfId="0"/>
    <cellStyle name="Итог 1 11 3 3" xfId="0"/>
    <cellStyle name="Итог 1 11 3 3 2" xfId="0"/>
    <cellStyle name="Итог 1 11 3 3 3" xfId="0"/>
    <cellStyle name="Итог 1 11 3 4" xfId="0"/>
    <cellStyle name="Итог 1 11 3 5" xfId="0"/>
    <cellStyle name="Итог 1 11 4" xfId="0"/>
    <cellStyle name="Итог 1 11 4 2" xfId="0"/>
    <cellStyle name="Итог 1 11 4 2 2" xfId="0"/>
    <cellStyle name="Итог 1 11 4 2 2 2" xfId="0"/>
    <cellStyle name="Итог 1 11 4 2 2 3" xfId="0"/>
    <cellStyle name="Итог 1 11 4 2 3" xfId="0"/>
    <cellStyle name="Итог 1 11 4 2 4" xfId="0"/>
    <cellStyle name="Итог 1 11 4 3" xfId="0"/>
    <cellStyle name="Итог 1 11 4 3 2" xfId="0"/>
    <cellStyle name="Итог 1 11 4 3 3" xfId="0"/>
    <cellStyle name="Итог 1 11 4 4" xfId="0"/>
    <cellStyle name="Итог 1 11 4 5" xfId="0"/>
    <cellStyle name="Итог 1 11 5" xfId="0"/>
    <cellStyle name="Итог 1 11 5 2" xfId="0"/>
    <cellStyle name="Итог 1 11 5 3" xfId="0"/>
    <cellStyle name="Итог 1 11 6" xfId="0"/>
    <cellStyle name="Итог 1 11 7" xfId="0"/>
    <cellStyle name="Итог 1 12" xfId="0"/>
    <cellStyle name="Итог 1 12 2" xfId="0"/>
    <cellStyle name="Итог 1 12 2 2" xfId="0"/>
    <cellStyle name="Итог 1 12 2 2 2" xfId="0"/>
    <cellStyle name="Итог 1 12 2 2 2 2" xfId="0"/>
    <cellStyle name="Итог 1 12 2 2 2 3" xfId="0"/>
    <cellStyle name="Итог 1 12 2 2 3" xfId="0"/>
    <cellStyle name="Итог 1 12 2 2 4" xfId="0"/>
    <cellStyle name="Итог 1 12 2 3" xfId="0"/>
    <cellStyle name="Итог 1 12 2 3 2" xfId="0"/>
    <cellStyle name="Итог 1 12 2 3 2 2" xfId="0"/>
    <cellStyle name="Итог 1 12 2 3 2 3" xfId="0"/>
    <cellStyle name="Итог 1 12 2 3 3" xfId="0"/>
    <cellStyle name="Итог 1 12 2 3 4" xfId="0"/>
    <cellStyle name="Итог 1 12 2 4" xfId="0"/>
    <cellStyle name="Итог 1 12 2 4 2" xfId="0"/>
    <cellStyle name="Итог 1 12 2 4 3" xfId="0"/>
    <cellStyle name="Итог 1 12 2 5" xfId="0"/>
    <cellStyle name="Итог 1 12 2 6" xfId="0"/>
    <cellStyle name="Итог 1 12 3" xfId="0"/>
    <cellStyle name="Итог 1 12 3 2" xfId="0"/>
    <cellStyle name="Итог 1 12 3 2 2" xfId="0"/>
    <cellStyle name="Итог 1 12 3 2 2 2" xfId="0"/>
    <cellStyle name="Итог 1 12 3 2 2 3" xfId="0"/>
    <cellStyle name="Итог 1 12 3 2 3" xfId="0"/>
    <cellStyle name="Итог 1 12 3 2 4" xfId="0"/>
    <cellStyle name="Итог 1 12 3 3" xfId="0"/>
    <cellStyle name="Итог 1 12 3 3 2" xfId="0"/>
    <cellStyle name="Итог 1 12 3 3 3" xfId="0"/>
    <cellStyle name="Итог 1 12 3 4" xfId="0"/>
    <cellStyle name="Итог 1 12 3 5" xfId="0"/>
    <cellStyle name="Итог 1 12 4" xfId="0"/>
    <cellStyle name="Итог 1 12 4 2" xfId="0"/>
    <cellStyle name="Итог 1 12 4 2 2" xfId="0"/>
    <cellStyle name="Итог 1 12 4 2 2 2" xfId="0"/>
    <cellStyle name="Итог 1 12 4 2 2 3" xfId="0"/>
    <cellStyle name="Итог 1 12 4 2 3" xfId="0"/>
    <cellStyle name="Итог 1 12 4 2 4" xfId="0"/>
    <cellStyle name="Итог 1 12 4 3" xfId="0"/>
    <cellStyle name="Итог 1 12 4 3 2" xfId="0"/>
    <cellStyle name="Итог 1 12 4 3 3" xfId="0"/>
    <cellStyle name="Итог 1 12 4 4" xfId="0"/>
    <cellStyle name="Итог 1 12 4 5" xfId="0"/>
    <cellStyle name="Итог 1 12 5" xfId="0"/>
    <cellStyle name="Итог 1 12 5 2" xfId="0"/>
    <cellStyle name="Итог 1 12 5 3" xfId="0"/>
    <cellStyle name="Итог 1 12 6" xfId="0"/>
    <cellStyle name="Итог 1 12 7" xfId="0"/>
    <cellStyle name="Итог 1 13" xfId="0"/>
    <cellStyle name="Итог 1 13 2" xfId="0"/>
    <cellStyle name="Итог 1 13 2 2" xfId="0"/>
    <cellStyle name="Итог 1 13 2 2 2" xfId="0"/>
    <cellStyle name="Итог 1 13 2 2 2 2" xfId="0"/>
    <cellStyle name="Итог 1 13 2 2 2 3" xfId="0"/>
    <cellStyle name="Итог 1 13 2 2 3" xfId="0"/>
    <cellStyle name="Итог 1 13 2 2 4" xfId="0"/>
    <cellStyle name="Итог 1 13 2 3" xfId="0"/>
    <cellStyle name="Итог 1 13 2 3 2" xfId="0"/>
    <cellStyle name="Итог 1 13 2 3 2 2" xfId="0"/>
    <cellStyle name="Итог 1 13 2 3 2 3" xfId="0"/>
    <cellStyle name="Итог 1 13 2 3 3" xfId="0"/>
    <cellStyle name="Итог 1 13 2 3 4" xfId="0"/>
    <cellStyle name="Итог 1 13 2 4" xfId="0"/>
    <cellStyle name="Итог 1 13 2 4 2" xfId="0"/>
    <cellStyle name="Итог 1 13 2 4 3" xfId="0"/>
    <cellStyle name="Итог 1 13 2 5" xfId="0"/>
    <cellStyle name="Итог 1 13 2 6" xfId="0"/>
    <cellStyle name="Итог 1 13 3" xfId="0"/>
    <cellStyle name="Итог 1 13 3 2" xfId="0"/>
    <cellStyle name="Итог 1 13 3 2 2" xfId="0"/>
    <cellStyle name="Итог 1 13 3 2 2 2" xfId="0"/>
    <cellStyle name="Итог 1 13 3 2 2 3" xfId="0"/>
    <cellStyle name="Итог 1 13 3 2 3" xfId="0"/>
    <cellStyle name="Итог 1 13 3 2 4" xfId="0"/>
    <cellStyle name="Итог 1 13 3 3" xfId="0"/>
    <cellStyle name="Итог 1 13 3 3 2" xfId="0"/>
    <cellStyle name="Итог 1 13 3 3 3" xfId="0"/>
    <cellStyle name="Итог 1 13 3 4" xfId="0"/>
    <cellStyle name="Итог 1 13 3 5" xfId="0"/>
    <cellStyle name="Итог 1 13 4" xfId="0"/>
    <cellStyle name="Итог 1 13 4 2" xfId="0"/>
    <cellStyle name="Итог 1 13 4 2 2" xfId="0"/>
    <cellStyle name="Итог 1 13 4 2 2 2" xfId="0"/>
    <cellStyle name="Итог 1 13 4 2 2 3" xfId="0"/>
    <cellStyle name="Итог 1 13 4 2 3" xfId="0"/>
    <cellStyle name="Итог 1 13 4 2 4" xfId="0"/>
    <cellStyle name="Итог 1 13 4 3" xfId="0"/>
    <cellStyle name="Итог 1 13 4 3 2" xfId="0"/>
    <cellStyle name="Итог 1 13 4 3 3" xfId="0"/>
    <cellStyle name="Итог 1 13 4 4" xfId="0"/>
    <cellStyle name="Итог 1 13 4 5" xfId="0"/>
    <cellStyle name="Итог 1 13 5" xfId="0"/>
    <cellStyle name="Итог 1 13 5 2" xfId="0"/>
    <cellStyle name="Итог 1 13 5 3" xfId="0"/>
    <cellStyle name="Итог 1 13 6" xfId="0"/>
    <cellStyle name="Итог 1 13 7" xfId="0"/>
    <cellStyle name="Итог 1 14" xfId="0"/>
    <cellStyle name="Итог 1 14 2" xfId="0"/>
    <cellStyle name="Итог 1 14 2 2" xfId="0"/>
    <cellStyle name="Итог 1 14 2 2 2" xfId="0"/>
    <cellStyle name="Итог 1 14 2 2 2 2" xfId="0"/>
    <cellStyle name="Итог 1 14 2 2 2 3" xfId="0"/>
    <cellStyle name="Итог 1 14 2 2 3" xfId="0"/>
    <cellStyle name="Итог 1 14 2 2 4" xfId="0"/>
    <cellStyle name="Итог 1 14 2 3" xfId="0"/>
    <cellStyle name="Итог 1 14 2 3 2" xfId="0"/>
    <cellStyle name="Итог 1 14 2 3 2 2" xfId="0"/>
    <cellStyle name="Итог 1 14 2 3 2 3" xfId="0"/>
    <cellStyle name="Итог 1 14 2 3 3" xfId="0"/>
    <cellStyle name="Итог 1 14 2 3 4" xfId="0"/>
    <cellStyle name="Итог 1 14 2 4" xfId="0"/>
    <cellStyle name="Итог 1 14 2 4 2" xfId="0"/>
    <cellStyle name="Итог 1 14 2 4 3" xfId="0"/>
    <cellStyle name="Итог 1 14 2 5" xfId="0"/>
    <cellStyle name="Итог 1 14 2 6" xfId="0"/>
    <cellStyle name="Итог 1 14 3" xfId="0"/>
    <cellStyle name="Итог 1 14 3 2" xfId="0"/>
    <cellStyle name="Итог 1 14 3 2 2" xfId="0"/>
    <cellStyle name="Итог 1 14 3 2 2 2" xfId="0"/>
    <cellStyle name="Итог 1 14 3 2 2 3" xfId="0"/>
    <cellStyle name="Итог 1 14 3 2 3" xfId="0"/>
    <cellStyle name="Итог 1 14 3 2 4" xfId="0"/>
    <cellStyle name="Итог 1 14 3 3" xfId="0"/>
    <cellStyle name="Итог 1 14 3 3 2" xfId="0"/>
    <cellStyle name="Итог 1 14 3 3 3" xfId="0"/>
    <cellStyle name="Итог 1 14 3 4" xfId="0"/>
    <cellStyle name="Итог 1 14 3 5" xfId="0"/>
    <cellStyle name="Итог 1 14 4" xfId="0"/>
    <cellStyle name="Итог 1 14 4 2" xfId="0"/>
    <cellStyle name="Итог 1 14 4 2 2" xfId="0"/>
    <cellStyle name="Итог 1 14 4 2 2 2" xfId="0"/>
    <cellStyle name="Итог 1 14 4 2 2 3" xfId="0"/>
    <cellStyle name="Итог 1 14 4 2 3" xfId="0"/>
    <cellStyle name="Итог 1 14 4 2 4" xfId="0"/>
    <cellStyle name="Итог 1 14 4 3" xfId="0"/>
    <cellStyle name="Итог 1 14 4 3 2" xfId="0"/>
    <cellStyle name="Итог 1 14 4 3 3" xfId="0"/>
    <cellStyle name="Итог 1 14 4 4" xfId="0"/>
    <cellStyle name="Итог 1 14 4 5" xfId="0"/>
    <cellStyle name="Итог 1 14 5" xfId="0"/>
    <cellStyle name="Итог 1 14 5 2" xfId="0"/>
    <cellStyle name="Итог 1 14 5 3" xfId="0"/>
    <cellStyle name="Итог 1 14 6" xfId="0"/>
    <cellStyle name="Итог 1 14 7" xfId="0"/>
    <cellStyle name="Итог 1 15" xfId="0"/>
    <cellStyle name="Итог 1 15 2" xfId="0"/>
    <cellStyle name="Итог 1 15 2 2" xfId="0"/>
    <cellStyle name="Итог 1 15 2 2 2" xfId="0"/>
    <cellStyle name="Итог 1 15 2 2 2 2" xfId="0"/>
    <cellStyle name="Итог 1 15 2 2 2 3" xfId="0"/>
    <cellStyle name="Итог 1 15 2 2 3" xfId="0"/>
    <cellStyle name="Итог 1 15 2 2 4" xfId="0"/>
    <cellStyle name="Итог 1 15 2 3" xfId="0"/>
    <cellStyle name="Итог 1 15 2 3 2" xfId="0"/>
    <cellStyle name="Итог 1 15 2 3 2 2" xfId="0"/>
    <cellStyle name="Итог 1 15 2 3 2 3" xfId="0"/>
    <cellStyle name="Итог 1 15 2 3 3" xfId="0"/>
    <cellStyle name="Итог 1 15 2 3 4" xfId="0"/>
    <cellStyle name="Итог 1 15 2 4" xfId="0"/>
    <cellStyle name="Итог 1 15 2 4 2" xfId="0"/>
    <cellStyle name="Итог 1 15 2 4 3" xfId="0"/>
    <cellStyle name="Итог 1 15 2 5" xfId="0"/>
    <cellStyle name="Итог 1 15 2 6" xfId="0"/>
    <cellStyle name="Итог 1 15 3" xfId="0"/>
    <cellStyle name="Итог 1 15 3 2" xfId="0"/>
    <cellStyle name="Итог 1 15 3 2 2" xfId="0"/>
    <cellStyle name="Итог 1 15 3 2 2 2" xfId="0"/>
    <cellStyle name="Итог 1 15 3 2 2 3" xfId="0"/>
    <cellStyle name="Итог 1 15 3 2 3" xfId="0"/>
    <cellStyle name="Итог 1 15 3 2 4" xfId="0"/>
    <cellStyle name="Итог 1 15 3 3" xfId="0"/>
    <cellStyle name="Итог 1 15 3 3 2" xfId="0"/>
    <cellStyle name="Итог 1 15 3 3 3" xfId="0"/>
    <cellStyle name="Итог 1 15 3 4" xfId="0"/>
    <cellStyle name="Итог 1 15 3 5" xfId="0"/>
    <cellStyle name="Итог 1 15 4" xfId="0"/>
    <cellStyle name="Итог 1 15 4 2" xfId="0"/>
    <cellStyle name="Итог 1 15 4 2 2" xfId="0"/>
    <cellStyle name="Итог 1 15 4 2 2 2" xfId="0"/>
    <cellStyle name="Итог 1 15 4 2 2 3" xfId="0"/>
    <cellStyle name="Итог 1 15 4 2 3" xfId="0"/>
    <cellStyle name="Итог 1 15 4 2 4" xfId="0"/>
    <cellStyle name="Итог 1 15 4 3" xfId="0"/>
    <cellStyle name="Итог 1 15 4 3 2" xfId="0"/>
    <cellStyle name="Итог 1 15 4 3 3" xfId="0"/>
    <cellStyle name="Итог 1 15 4 4" xfId="0"/>
    <cellStyle name="Итог 1 15 4 5" xfId="0"/>
    <cellStyle name="Итог 1 15 5" xfId="0"/>
    <cellStyle name="Итог 1 15 5 2" xfId="0"/>
    <cellStyle name="Итог 1 15 5 3" xfId="0"/>
    <cellStyle name="Итог 1 15 6" xfId="0"/>
    <cellStyle name="Итог 1 15 7" xfId="0"/>
    <cellStyle name="Итог 1 16" xfId="0"/>
    <cellStyle name="Итог 1 16 2" xfId="0"/>
    <cellStyle name="Итог 1 16 2 2" xfId="0"/>
    <cellStyle name="Итог 1 16 2 2 2" xfId="0"/>
    <cellStyle name="Итог 1 16 2 2 2 2" xfId="0"/>
    <cellStyle name="Итог 1 16 2 2 2 3" xfId="0"/>
    <cellStyle name="Итог 1 16 2 2 3" xfId="0"/>
    <cellStyle name="Итог 1 16 2 2 4" xfId="0"/>
    <cellStyle name="Итог 1 16 2 3" xfId="0"/>
    <cellStyle name="Итог 1 16 2 3 2" xfId="0"/>
    <cellStyle name="Итог 1 16 2 3 2 2" xfId="0"/>
    <cellStyle name="Итог 1 16 2 3 2 3" xfId="0"/>
    <cellStyle name="Итог 1 16 2 3 3" xfId="0"/>
    <cellStyle name="Итог 1 16 2 3 4" xfId="0"/>
    <cellStyle name="Итог 1 16 2 4" xfId="0"/>
    <cellStyle name="Итог 1 16 2 4 2" xfId="0"/>
    <cellStyle name="Итог 1 16 2 4 3" xfId="0"/>
    <cellStyle name="Итог 1 16 2 5" xfId="0"/>
    <cellStyle name="Итог 1 16 2 6" xfId="0"/>
    <cellStyle name="Итог 1 16 3" xfId="0"/>
    <cellStyle name="Итог 1 16 3 2" xfId="0"/>
    <cellStyle name="Итог 1 16 3 2 2" xfId="0"/>
    <cellStyle name="Итог 1 16 3 2 2 2" xfId="0"/>
    <cellStyle name="Итог 1 16 3 2 2 3" xfId="0"/>
    <cellStyle name="Итог 1 16 3 2 3" xfId="0"/>
    <cellStyle name="Итог 1 16 3 2 4" xfId="0"/>
    <cellStyle name="Итог 1 16 3 3" xfId="0"/>
    <cellStyle name="Итог 1 16 3 3 2" xfId="0"/>
    <cellStyle name="Итог 1 16 3 3 3" xfId="0"/>
    <cellStyle name="Итог 1 16 3 4" xfId="0"/>
    <cellStyle name="Итог 1 16 3 5" xfId="0"/>
    <cellStyle name="Итог 1 16 4" xfId="0"/>
    <cellStyle name="Итог 1 16 4 2" xfId="0"/>
    <cellStyle name="Итог 1 16 4 2 2" xfId="0"/>
    <cellStyle name="Итог 1 16 4 2 2 2" xfId="0"/>
    <cellStyle name="Итог 1 16 4 2 2 3" xfId="0"/>
    <cellStyle name="Итог 1 16 4 2 3" xfId="0"/>
    <cellStyle name="Итог 1 16 4 2 4" xfId="0"/>
    <cellStyle name="Итог 1 16 4 3" xfId="0"/>
    <cellStyle name="Итог 1 16 4 3 2" xfId="0"/>
    <cellStyle name="Итог 1 16 4 3 3" xfId="0"/>
    <cellStyle name="Итог 1 16 4 4" xfId="0"/>
    <cellStyle name="Итог 1 16 4 5" xfId="0"/>
    <cellStyle name="Итог 1 16 5" xfId="0"/>
    <cellStyle name="Итог 1 16 5 2" xfId="0"/>
    <cellStyle name="Итог 1 16 5 3" xfId="0"/>
    <cellStyle name="Итог 1 16 6" xfId="0"/>
    <cellStyle name="Итог 1 16 7" xfId="0"/>
    <cellStyle name="Итог 1 17" xfId="0"/>
    <cellStyle name="Итог 1 17 2" xfId="0"/>
    <cellStyle name="Итог 1 17 2 2" xfId="0"/>
    <cellStyle name="Итог 1 17 2 2 2" xfId="0"/>
    <cellStyle name="Итог 1 17 2 2 2 2" xfId="0"/>
    <cellStyle name="Итог 1 17 2 2 2 3" xfId="0"/>
    <cellStyle name="Итог 1 17 2 2 3" xfId="0"/>
    <cellStyle name="Итог 1 17 2 2 4" xfId="0"/>
    <cellStyle name="Итог 1 17 2 3" xfId="0"/>
    <cellStyle name="Итог 1 17 2 3 2" xfId="0"/>
    <cellStyle name="Итог 1 17 2 3 2 2" xfId="0"/>
    <cellStyle name="Итог 1 17 2 3 2 3" xfId="0"/>
    <cellStyle name="Итог 1 17 2 3 3" xfId="0"/>
    <cellStyle name="Итог 1 17 2 3 4" xfId="0"/>
    <cellStyle name="Итог 1 17 2 4" xfId="0"/>
    <cellStyle name="Итог 1 17 2 4 2" xfId="0"/>
    <cellStyle name="Итог 1 17 2 4 3" xfId="0"/>
    <cellStyle name="Итог 1 17 2 5" xfId="0"/>
    <cellStyle name="Итог 1 17 2 6" xfId="0"/>
    <cellStyle name="Итог 1 17 3" xfId="0"/>
    <cellStyle name="Итог 1 17 3 2" xfId="0"/>
    <cellStyle name="Итог 1 17 3 2 2" xfId="0"/>
    <cellStyle name="Итог 1 17 3 2 2 2" xfId="0"/>
    <cellStyle name="Итог 1 17 3 2 2 3" xfId="0"/>
    <cellStyle name="Итог 1 17 3 2 3" xfId="0"/>
    <cellStyle name="Итог 1 17 3 2 4" xfId="0"/>
    <cellStyle name="Итог 1 17 3 3" xfId="0"/>
    <cellStyle name="Итог 1 17 3 3 2" xfId="0"/>
    <cellStyle name="Итог 1 17 3 3 3" xfId="0"/>
    <cellStyle name="Итог 1 17 3 4" xfId="0"/>
    <cellStyle name="Итог 1 17 3 5" xfId="0"/>
    <cellStyle name="Итог 1 17 4" xfId="0"/>
    <cellStyle name="Итог 1 17 4 2" xfId="0"/>
    <cellStyle name="Итог 1 17 4 2 2" xfId="0"/>
    <cellStyle name="Итог 1 17 4 2 2 2" xfId="0"/>
    <cellStyle name="Итог 1 17 4 2 2 3" xfId="0"/>
    <cellStyle name="Итог 1 17 4 2 3" xfId="0"/>
    <cellStyle name="Итог 1 17 4 2 4" xfId="0"/>
    <cellStyle name="Итог 1 17 4 3" xfId="0"/>
    <cellStyle name="Итог 1 17 4 3 2" xfId="0"/>
    <cellStyle name="Итог 1 17 4 3 3" xfId="0"/>
    <cellStyle name="Итог 1 17 4 4" xfId="0"/>
    <cellStyle name="Итог 1 17 4 5" xfId="0"/>
    <cellStyle name="Итог 1 17 5" xfId="0"/>
    <cellStyle name="Итог 1 17 5 2" xfId="0"/>
    <cellStyle name="Итог 1 17 5 3" xfId="0"/>
    <cellStyle name="Итог 1 17 6" xfId="0"/>
    <cellStyle name="Итог 1 17 7" xfId="0"/>
    <cellStyle name="Итог 1 18" xfId="0"/>
    <cellStyle name="Итог 1 18 2" xfId="0"/>
    <cellStyle name="Итог 1 18 2 2" xfId="0"/>
    <cellStyle name="Итог 1 18 2 2 2" xfId="0"/>
    <cellStyle name="Итог 1 18 2 2 2 2" xfId="0"/>
    <cellStyle name="Итог 1 18 2 2 2 3" xfId="0"/>
    <cellStyle name="Итог 1 18 2 2 3" xfId="0"/>
    <cellStyle name="Итог 1 18 2 2 4" xfId="0"/>
    <cellStyle name="Итог 1 18 2 3" xfId="0"/>
    <cellStyle name="Итог 1 18 2 3 2" xfId="0"/>
    <cellStyle name="Итог 1 18 2 3 2 2" xfId="0"/>
    <cellStyle name="Итог 1 18 2 3 2 3" xfId="0"/>
    <cellStyle name="Итог 1 18 2 3 3" xfId="0"/>
    <cellStyle name="Итог 1 18 2 3 4" xfId="0"/>
    <cellStyle name="Итог 1 18 2 4" xfId="0"/>
    <cellStyle name="Итог 1 18 2 4 2" xfId="0"/>
    <cellStyle name="Итог 1 18 2 4 3" xfId="0"/>
    <cellStyle name="Итог 1 18 2 5" xfId="0"/>
    <cellStyle name="Итог 1 18 2 6" xfId="0"/>
    <cellStyle name="Итог 1 18 3" xfId="0"/>
    <cellStyle name="Итог 1 18 3 2" xfId="0"/>
    <cellStyle name="Итог 1 18 3 2 2" xfId="0"/>
    <cellStyle name="Итог 1 18 3 2 2 2" xfId="0"/>
    <cellStyle name="Итог 1 18 3 2 2 3" xfId="0"/>
    <cellStyle name="Итог 1 18 3 2 3" xfId="0"/>
    <cellStyle name="Итог 1 18 3 2 4" xfId="0"/>
    <cellStyle name="Итог 1 18 3 3" xfId="0"/>
    <cellStyle name="Итог 1 18 3 3 2" xfId="0"/>
    <cellStyle name="Итог 1 18 3 3 3" xfId="0"/>
    <cellStyle name="Итог 1 18 3 4" xfId="0"/>
    <cellStyle name="Итог 1 18 3 5" xfId="0"/>
    <cellStyle name="Итог 1 18 4" xfId="0"/>
    <cellStyle name="Итог 1 18 4 2" xfId="0"/>
    <cellStyle name="Итог 1 18 4 2 2" xfId="0"/>
    <cellStyle name="Итог 1 18 4 2 2 2" xfId="0"/>
    <cellStyle name="Итог 1 18 4 2 2 3" xfId="0"/>
    <cellStyle name="Итог 1 18 4 2 3" xfId="0"/>
    <cellStyle name="Итог 1 18 4 2 4" xfId="0"/>
    <cellStyle name="Итог 1 18 4 3" xfId="0"/>
    <cellStyle name="Итог 1 18 4 3 2" xfId="0"/>
    <cellStyle name="Итог 1 18 4 3 3" xfId="0"/>
    <cellStyle name="Итог 1 18 4 4" xfId="0"/>
    <cellStyle name="Итог 1 18 4 5" xfId="0"/>
    <cellStyle name="Итог 1 18 5" xfId="0"/>
    <cellStyle name="Итог 1 18 5 2" xfId="0"/>
    <cellStyle name="Итог 1 18 5 3" xfId="0"/>
    <cellStyle name="Итог 1 18 6" xfId="0"/>
    <cellStyle name="Итог 1 18 7" xfId="0"/>
    <cellStyle name="Итог 1 19" xfId="0"/>
    <cellStyle name="Итог 1 19 2" xfId="0"/>
    <cellStyle name="Итог 1 19 2 2" xfId="0"/>
    <cellStyle name="Итог 1 19 2 2 2" xfId="0"/>
    <cellStyle name="Итог 1 19 2 2 2 2" xfId="0"/>
    <cellStyle name="Итог 1 19 2 2 2 3" xfId="0"/>
    <cellStyle name="Итог 1 19 2 2 3" xfId="0"/>
    <cellStyle name="Итог 1 19 2 2 4" xfId="0"/>
    <cellStyle name="Итог 1 19 2 3" xfId="0"/>
    <cellStyle name="Итог 1 19 2 3 2" xfId="0"/>
    <cellStyle name="Итог 1 19 2 3 2 2" xfId="0"/>
    <cellStyle name="Итог 1 19 2 3 2 3" xfId="0"/>
    <cellStyle name="Итог 1 19 2 3 3" xfId="0"/>
    <cellStyle name="Итог 1 19 2 3 4" xfId="0"/>
    <cellStyle name="Итог 1 19 2 4" xfId="0"/>
    <cellStyle name="Итог 1 19 2 4 2" xfId="0"/>
    <cellStyle name="Итог 1 19 2 4 3" xfId="0"/>
    <cellStyle name="Итог 1 19 2 5" xfId="0"/>
    <cellStyle name="Итог 1 19 2 6" xfId="0"/>
    <cellStyle name="Итог 1 19 3" xfId="0"/>
    <cellStyle name="Итог 1 19 3 2" xfId="0"/>
    <cellStyle name="Итог 1 19 3 2 2" xfId="0"/>
    <cellStyle name="Итог 1 19 3 2 2 2" xfId="0"/>
    <cellStyle name="Итог 1 19 3 2 2 3" xfId="0"/>
    <cellStyle name="Итог 1 19 3 2 3" xfId="0"/>
    <cellStyle name="Итог 1 19 3 2 4" xfId="0"/>
    <cellStyle name="Итог 1 19 3 3" xfId="0"/>
    <cellStyle name="Итог 1 19 3 3 2" xfId="0"/>
    <cellStyle name="Итог 1 19 3 3 3" xfId="0"/>
    <cellStyle name="Итог 1 19 3 4" xfId="0"/>
    <cellStyle name="Итог 1 19 3 5" xfId="0"/>
    <cellStyle name="Итог 1 19 4" xfId="0"/>
    <cellStyle name="Итог 1 19 4 2" xfId="0"/>
    <cellStyle name="Итог 1 19 4 2 2" xfId="0"/>
    <cellStyle name="Итог 1 19 4 2 2 2" xfId="0"/>
    <cellStyle name="Итог 1 19 4 2 2 3" xfId="0"/>
    <cellStyle name="Итог 1 19 4 2 3" xfId="0"/>
    <cellStyle name="Итог 1 19 4 2 4" xfId="0"/>
    <cellStyle name="Итог 1 19 4 3" xfId="0"/>
    <cellStyle name="Итог 1 19 4 3 2" xfId="0"/>
    <cellStyle name="Итог 1 19 4 3 3" xfId="0"/>
    <cellStyle name="Итог 1 19 4 4" xfId="0"/>
    <cellStyle name="Итог 1 19 4 5" xfId="0"/>
    <cellStyle name="Итог 1 19 5" xfId="0"/>
    <cellStyle name="Итог 1 19 5 2" xfId="0"/>
    <cellStyle name="Итог 1 19 5 3" xfId="0"/>
    <cellStyle name="Итог 1 19 6" xfId="0"/>
    <cellStyle name="Итог 1 19 7" xfId="0"/>
    <cellStyle name="Итог 1 2" xfId="0"/>
    <cellStyle name="Итог 1 2 10" xfId="0"/>
    <cellStyle name="Итог 1 2 10 2" xfId="0"/>
    <cellStyle name="Итог 1 2 10 3" xfId="0"/>
    <cellStyle name="Итог 1 2 11" xfId="0"/>
    <cellStyle name="Итог 1 2 12" xfId="0"/>
    <cellStyle name="Итог 1 2 2" xfId="0"/>
    <cellStyle name="Итог 1 2 2 2" xfId="0"/>
    <cellStyle name="Итог 1 2 2 2 2" xfId="0"/>
    <cellStyle name="Итог 1 2 2 2 2 2" xfId="0"/>
    <cellStyle name="Итог 1 2 2 2 2 2 2" xfId="0"/>
    <cellStyle name="Итог 1 2 2 2 2 2 3" xfId="0"/>
    <cellStyle name="Итог 1 2 2 2 2 3" xfId="0"/>
    <cellStyle name="Итог 1 2 2 2 2 4" xfId="0"/>
    <cellStyle name="Итог 1 2 2 2 3" xfId="0"/>
    <cellStyle name="Итог 1 2 2 2 3 2" xfId="0"/>
    <cellStyle name="Итог 1 2 2 2 3 3" xfId="0"/>
    <cellStyle name="Итог 1 2 2 2 4" xfId="0"/>
    <cellStyle name="Итог 1 2 2 2 5" xfId="0"/>
    <cellStyle name="Итог 1 2 2 3" xfId="0"/>
    <cellStyle name="Итог 1 2 2 3 2" xfId="0"/>
    <cellStyle name="Итог 1 2 2 3 2 2" xfId="0"/>
    <cellStyle name="Итог 1 2 2 3 2 3" xfId="0"/>
    <cellStyle name="Итог 1 2 2 3 3" xfId="0"/>
    <cellStyle name="Итог 1 2 2 3 4" xfId="0"/>
    <cellStyle name="Итог 1 2 2 4" xfId="0"/>
    <cellStyle name="Итог 1 2 2 4 2" xfId="0"/>
    <cellStyle name="Итог 1 2 2 4 3" xfId="0"/>
    <cellStyle name="Итог 1 2 2 5" xfId="0"/>
    <cellStyle name="Итог 1 2 2 6" xfId="0"/>
    <cellStyle name="Итог 1 2 3" xfId="0"/>
    <cellStyle name="Итог 1 2 3 2" xfId="0"/>
    <cellStyle name="Итог 1 2 3 2 2" xfId="0"/>
    <cellStyle name="Итог 1 2 3 2 2 2" xfId="0"/>
    <cellStyle name="Итог 1 2 3 2 2 2 2" xfId="0"/>
    <cellStyle name="Итог 1 2 3 2 2 2 3" xfId="0"/>
    <cellStyle name="Итог 1 2 3 2 2 3" xfId="0"/>
    <cellStyle name="Итог 1 2 3 2 2 4" xfId="0"/>
    <cellStyle name="Итог 1 2 3 2 3" xfId="0"/>
    <cellStyle name="Итог 1 2 3 2 3 2" xfId="0"/>
    <cellStyle name="Итог 1 2 3 2 3 3" xfId="0"/>
    <cellStyle name="Итог 1 2 3 2 4" xfId="0"/>
    <cellStyle name="Итог 1 2 3 2 5" xfId="0"/>
    <cellStyle name="Итог 1 2 3 3" xfId="0"/>
    <cellStyle name="Итог 1 2 3 3 2" xfId="0"/>
    <cellStyle name="Итог 1 2 3 3 2 2" xfId="0"/>
    <cellStyle name="Итог 1 2 3 3 2 3" xfId="0"/>
    <cellStyle name="Итог 1 2 3 3 3" xfId="0"/>
    <cellStyle name="Итог 1 2 3 3 4" xfId="0"/>
    <cellStyle name="Итог 1 2 3 4" xfId="0"/>
    <cellStyle name="Итог 1 2 3 4 2" xfId="0"/>
    <cellStyle name="Итог 1 2 3 4 3" xfId="0"/>
    <cellStyle name="Итог 1 2 3 5" xfId="0"/>
    <cellStyle name="Итог 1 2 3 6" xfId="0"/>
    <cellStyle name="Итог 1 2 4" xfId="0"/>
    <cellStyle name="Итог 1 2 4 2" xfId="0"/>
    <cellStyle name="Итог 1 2 4 2 2" xfId="0"/>
    <cellStyle name="Итог 1 2 4 2 2 2" xfId="0"/>
    <cellStyle name="Итог 1 2 4 2 2 2 2" xfId="0"/>
    <cellStyle name="Итог 1 2 4 2 2 2 3" xfId="0"/>
    <cellStyle name="Итог 1 2 4 2 2 3" xfId="0"/>
    <cellStyle name="Итог 1 2 4 2 2 4" xfId="0"/>
    <cellStyle name="Итог 1 2 4 2 3" xfId="0"/>
    <cellStyle name="Итог 1 2 4 2 3 2" xfId="0"/>
    <cellStyle name="Итог 1 2 4 2 3 3" xfId="0"/>
    <cellStyle name="Итог 1 2 4 2 4" xfId="0"/>
    <cellStyle name="Итог 1 2 4 2 5" xfId="0"/>
    <cellStyle name="Итог 1 2 4 3" xfId="0"/>
    <cellStyle name="Итог 1 2 4 3 2" xfId="0"/>
    <cellStyle name="Итог 1 2 4 3 2 2" xfId="0"/>
    <cellStyle name="Итог 1 2 4 3 2 3" xfId="0"/>
    <cellStyle name="Итог 1 2 4 3 3" xfId="0"/>
    <cellStyle name="Итог 1 2 4 3 4" xfId="0"/>
    <cellStyle name="Итог 1 2 4 4" xfId="0"/>
    <cellStyle name="Итог 1 2 4 4 2" xfId="0"/>
    <cellStyle name="Итог 1 2 4 4 3" xfId="0"/>
    <cellStyle name="Итог 1 2 4 5" xfId="0"/>
    <cellStyle name="Итог 1 2 4 6" xfId="0"/>
    <cellStyle name="Итог 1 2 5" xfId="0"/>
    <cellStyle name="Итог 1 2 5 2" xfId="0"/>
    <cellStyle name="Итог 1 2 5 2 2" xfId="0"/>
    <cellStyle name="Итог 1 2 5 2 2 2" xfId="0"/>
    <cellStyle name="Итог 1 2 5 2 2 2 2" xfId="0"/>
    <cellStyle name="Итог 1 2 5 2 2 2 3" xfId="0"/>
    <cellStyle name="Итог 1 2 5 2 2 3" xfId="0"/>
    <cellStyle name="Итог 1 2 5 2 2 4" xfId="0"/>
    <cellStyle name="Итог 1 2 5 2 3" xfId="0"/>
    <cellStyle name="Итог 1 2 5 2 3 2" xfId="0"/>
    <cellStyle name="Итог 1 2 5 2 3 3" xfId="0"/>
    <cellStyle name="Итог 1 2 5 2 4" xfId="0"/>
    <cellStyle name="Итог 1 2 5 2 5" xfId="0"/>
    <cellStyle name="Итог 1 2 5 3" xfId="0"/>
    <cellStyle name="Итог 1 2 5 3 2" xfId="0"/>
    <cellStyle name="Итог 1 2 5 3 2 2" xfId="0"/>
    <cellStyle name="Итог 1 2 5 3 2 3" xfId="0"/>
    <cellStyle name="Итог 1 2 5 3 3" xfId="0"/>
    <cellStyle name="Итог 1 2 5 3 4" xfId="0"/>
    <cellStyle name="Итог 1 2 5 4" xfId="0"/>
    <cellStyle name="Итог 1 2 5 4 2" xfId="0"/>
    <cellStyle name="Итог 1 2 5 4 3" xfId="0"/>
    <cellStyle name="Итог 1 2 5 5" xfId="0"/>
    <cellStyle name="Итог 1 2 5 6" xfId="0"/>
    <cellStyle name="Итог 1 2 6" xfId="0"/>
    <cellStyle name="Итог 1 2 6 2" xfId="0"/>
    <cellStyle name="Итог 1 2 6 2 2" xfId="0"/>
    <cellStyle name="Итог 1 2 6 2 2 2" xfId="0"/>
    <cellStyle name="Итог 1 2 6 2 2 3" xfId="0"/>
    <cellStyle name="Итог 1 2 6 2 3" xfId="0"/>
    <cellStyle name="Итог 1 2 6 2 4" xfId="0"/>
    <cellStyle name="Итог 1 2 6 3" xfId="0"/>
    <cellStyle name="Итог 1 2 6 3 2" xfId="0"/>
    <cellStyle name="Итог 1 2 6 3 3" xfId="0"/>
    <cellStyle name="Итог 1 2 6 4" xfId="0"/>
    <cellStyle name="Итог 1 2 6 5" xfId="0"/>
    <cellStyle name="Итог 1 2 7" xfId="0"/>
    <cellStyle name="Итог 1 2 7 2" xfId="0"/>
    <cellStyle name="Итог 1 2 7 2 2" xfId="0"/>
    <cellStyle name="Итог 1 2 7 2 2 2" xfId="0"/>
    <cellStyle name="Итог 1 2 7 2 2 3" xfId="0"/>
    <cellStyle name="Итог 1 2 7 2 3" xfId="0"/>
    <cellStyle name="Итог 1 2 7 2 4" xfId="0"/>
    <cellStyle name="Итог 1 2 7 3" xfId="0"/>
    <cellStyle name="Итог 1 2 7 3 2" xfId="0"/>
    <cellStyle name="Итог 1 2 7 3 3" xfId="0"/>
    <cellStyle name="Итог 1 2 7 4" xfId="0"/>
    <cellStyle name="Итог 1 2 7 5" xfId="0"/>
    <cellStyle name="Итог 1 2 8" xfId="0"/>
    <cellStyle name="Итог 1 2 8 2" xfId="0"/>
    <cellStyle name="Итог 1 2 8 2 2" xfId="0"/>
    <cellStyle name="Итог 1 2 8 2 2 2" xfId="0"/>
    <cellStyle name="Итог 1 2 8 2 2 3" xfId="0"/>
    <cellStyle name="Итог 1 2 8 2 3" xfId="0"/>
    <cellStyle name="Итог 1 2 8 2 4" xfId="0"/>
    <cellStyle name="Итог 1 2 8 3" xfId="0"/>
    <cellStyle name="Итог 1 2 8 3 2" xfId="0"/>
    <cellStyle name="Итог 1 2 8 3 3" xfId="0"/>
    <cellStyle name="Итог 1 2 8 4" xfId="0"/>
    <cellStyle name="Итог 1 2 8 5" xfId="0"/>
    <cellStyle name="Итог 1 2 9" xfId="0"/>
    <cellStyle name="Итог 1 2 9 2" xfId="0"/>
    <cellStyle name="Итог 1 2 9 3" xfId="0"/>
    <cellStyle name="Итог 1 20" xfId="0"/>
    <cellStyle name="Итог 1 20 2" xfId="0"/>
    <cellStyle name="Итог 1 20 2 2" xfId="0"/>
    <cellStyle name="Итог 1 20 2 2 2" xfId="0"/>
    <cellStyle name="Итог 1 20 2 2 2 2" xfId="0"/>
    <cellStyle name="Итог 1 20 2 2 2 3" xfId="0"/>
    <cellStyle name="Итог 1 20 2 2 3" xfId="0"/>
    <cellStyle name="Итог 1 20 2 2 4" xfId="0"/>
    <cellStyle name="Итог 1 20 2 3" xfId="0"/>
    <cellStyle name="Итог 1 20 2 3 2" xfId="0"/>
    <cellStyle name="Итог 1 20 2 3 2 2" xfId="0"/>
    <cellStyle name="Итог 1 20 2 3 2 3" xfId="0"/>
    <cellStyle name="Итог 1 20 2 3 3" xfId="0"/>
    <cellStyle name="Итог 1 20 2 3 4" xfId="0"/>
    <cellStyle name="Итог 1 20 2 4" xfId="0"/>
    <cellStyle name="Итог 1 20 2 4 2" xfId="0"/>
    <cellStyle name="Итог 1 20 2 4 3" xfId="0"/>
    <cellStyle name="Итог 1 20 2 5" xfId="0"/>
    <cellStyle name="Итог 1 20 2 6" xfId="0"/>
    <cellStyle name="Итог 1 20 3" xfId="0"/>
    <cellStyle name="Итог 1 20 3 2" xfId="0"/>
    <cellStyle name="Итог 1 20 3 2 2" xfId="0"/>
    <cellStyle name="Итог 1 20 3 2 2 2" xfId="0"/>
    <cellStyle name="Итог 1 20 3 2 2 3" xfId="0"/>
    <cellStyle name="Итог 1 20 3 2 3" xfId="0"/>
    <cellStyle name="Итог 1 20 3 2 4" xfId="0"/>
    <cellStyle name="Итог 1 20 3 3" xfId="0"/>
    <cellStyle name="Итог 1 20 3 3 2" xfId="0"/>
    <cellStyle name="Итог 1 20 3 3 3" xfId="0"/>
    <cellStyle name="Итог 1 20 3 4" xfId="0"/>
    <cellStyle name="Итог 1 20 3 5" xfId="0"/>
    <cellStyle name="Итог 1 20 4" xfId="0"/>
    <cellStyle name="Итог 1 20 4 2" xfId="0"/>
    <cellStyle name="Итог 1 20 4 2 2" xfId="0"/>
    <cellStyle name="Итог 1 20 4 2 2 2" xfId="0"/>
    <cellStyle name="Итог 1 20 4 2 2 3" xfId="0"/>
    <cellStyle name="Итог 1 20 4 2 3" xfId="0"/>
    <cellStyle name="Итог 1 20 4 2 4" xfId="0"/>
    <cellStyle name="Итог 1 20 4 3" xfId="0"/>
    <cellStyle name="Итог 1 20 4 3 2" xfId="0"/>
    <cellStyle name="Итог 1 20 4 3 3" xfId="0"/>
    <cellStyle name="Итог 1 20 4 4" xfId="0"/>
    <cellStyle name="Итог 1 20 4 5" xfId="0"/>
    <cellStyle name="Итог 1 20 5" xfId="0"/>
    <cellStyle name="Итог 1 20 5 2" xfId="0"/>
    <cellStyle name="Итог 1 20 5 2 2" xfId="0"/>
    <cellStyle name="Итог 1 20 5 2 3" xfId="0"/>
    <cellStyle name="Итог 1 20 5 3" xfId="0"/>
    <cellStyle name="Итог 1 20 5 4" xfId="0"/>
    <cellStyle name="Итог 1 20 6" xfId="0"/>
    <cellStyle name="Итог 1 20 6 2" xfId="0"/>
    <cellStyle name="Итог 1 20 6 3" xfId="0"/>
    <cellStyle name="Итог 1 20 7" xfId="0"/>
    <cellStyle name="Итог 1 20 8" xfId="0"/>
    <cellStyle name="Итог 1 21" xfId="0"/>
    <cellStyle name="Итог 1 21 2" xfId="0"/>
    <cellStyle name="Итог 1 21 2 2" xfId="0"/>
    <cellStyle name="Итог 1 21 2 2 2" xfId="0"/>
    <cellStyle name="Итог 1 21 2 2 3" xfId="0"/>
    <cellStyle name="Итог 1 21 2 3" xfId="0"/>
    <cellStyle name="Итог 1 21 2 4" xfId="0"/>
    <cellStyle name="Итог 1 21 3" xfId="0"/>
    <cellStyle name="Итог 1 21 3 2" xfId="0"/>
    <cellStyle name="Итог 1 21 3 2 2" xfId="0"/>
    <cellStyle name="Итог 1 21 3 2 3" xfId="0"/>
    <cellStyle name="Итог 1 21 3 3" xfId="0"/>
    <cellStyle name="Итог 1 21 3 4" xfId="0"/>
    <cellStyle name="Итог 1 21 4" xfId="0"/>
    <cellStyle name="Итог 1 21 4 2" xfId="0"/>
    <cellStyle name="Итог 1 21 4 3" xfId="0"/>
    <cellStyle name="Итог 1 21 5" xfId="0"/>
    <cellStyle name="Итог 1 21 6" xfId="0"/>
    <cellStyle name="Итог 1 22" xfId="0"/>
    <cellStyle name="Итог 1 22 2" xfId="0"/>
    <cellStyle name="Итог 1 22 2 2" xfId="0"/>
    <cellStyle name="Итог 1 22 2 2 2" xfId="0"/>
    <cellStyle name="Итог 1 22 2 2 3" xfId="0"/>
    <cellStyle name="Итог 1 22 2 3" xfId="0"/>
    <cellStyle name="Итог 1 22 2 4" xfId="0"/>
    <cellStyle name="Итог 1 22 3" xfId="0"/>
    <cellStyle name="Итог 1 22 3 2" xfId="0"/>
    <cellStyle name="Итог 1 22 3 2 2" xfId="0"/>
    <cellStyle name="Итог 1 22 3 2 3" xfId="0"/>
    <cellStyle name="Итог 1 22 3 3" xfId="0"/>
    <cellStyle name="Итог 1 22 3 4" xfId="0"/>
    <cellStyle name="Итог 1 22 4" xfId="0"/>
    <cellStyle name="Итог 1 22 4 2" xfId="0"/>
    <cellStyle name="Итог 1 22 4 3" xfId="0"/>
    <cellStyle name="Итог 1 22 5" xfId="0"/>
    <cellStyle name="Итог 1 22 6" xfId="0"/>
    <cellStyle name="Итог 1 23" xfId="0"/>
    <cellStyle name="Итог 1 23 2" xfId="0"/>
    <cellStyle name="Итог 1 23 2 2" xfId="0"/>
    <cellStyle name="Итог 1 23 2 2 2" xfId="0"/>
    <cellStyle name="Итог 1 23 2 2 3" xfId="0"/>
    <cellStyle name="Итог 1 23 2 3" xfId="0"/>
    <cellStyle name="Итог 1 23 2 4" xfId="0"/>
    <cellStyle name="Итог 1 23 3" xfId="0"/>
    <cellStyle name="Итог 1 23 3 2" xfId="0"/>
    <cellStyle name="Итог 1 23 3 2 2" xfId="0"/>
    <cellStyle name="Итог 1 23 3 2 3" xfId="0"/>
    <cellStyle name="Итог 1 23 3 3" xfId="0"/>
    <cellStyle name="Итог 1 23 3 4" xfId="0"/>
    <cellStyle name="Итог 1 23 4" xfId="0"/>
    <cellStyle name="Итог 1 23 4 2" xfId="0"/>
    <cellStyle name="Итог 1 23 4 3" xfId="0"/>
    <cellStyle name="Итог 1 23 5" xfId="0"/>
    <cellStyle name="Итог 1 23 6" xfId="0"/>
    <cellStyle name="Итог 1 24" xfId="0"/>
    <cellStyle name="Итог 1 24 2" xfId="0"/>
    <cellStyle name="Итог 1 24 2 2" xfId="0"/>
    <cellStyle name="Итог 1 24 2 2 2" xfId="0"/>
    <cellStyle name="Итог 1 24 2 2 3" xfId="0"/>
    <cellStyle name="Итог 1 24 2 3" xfId="0"/>
    <cellStyle name="Итог 1 24 2 4" xfId="0"/>
    <cellStyle name="Итог 1 24 3" xfId="0"/>
    <cellStyle name="Итог 1 24 3 2" xfId="0"/>
    <cellStyle name="Итог 1 24 3 2 2" xfId="0"/>
    <cellStyle name="Итог 1 24 3 2 3" xfId="0"/>
    <cellStyle name="Итог 1 24 3 3" xfId="0"/>
    <cellStyle name="Итог 1 24 3 4" xfId="0"/>
    <cellStyle name="Итог 1 24 4" xfId="0"/>
    <cellStyle name="Итог 1 24 4 2" xfId="0"/>
    <cellStyle name="Итог 1 24 4 3" xfId="0"/>
    <cellStyle name="Итог 1 24 5" xfId="0"/>
    <cellStyle name="Итог 1 24 6" xfId="0"/>
    <cellStyle name="Итог 1 25" xfId="0"/>
    <cellStyle name="Итог 1 25 2" xfId="0"/>
    <cellStyle name="Итог 1 25 2 2" xfId="0"/>
    <cellStyle name="Итог 1 25 2 2 2" xfId="0"/>
    <cellStyle name="Итог 1 25 2 2 3" xfId="0"/>
    <cellStyle name="Итог 1 25 2 3" xfId="0"/>
    <cellStyle name="Итог 1 25 2 4" xfId="0"/>
    <cellStyle name="Итог 1 25 3" xfId="0"/>
    <cellStyle name="Итог 1 25 3 2" xfId="0"/>
    <cellStyle name="Итог 1 25 3 2 2" xfId="0"/>
    <cellStyle name="Итог 1 25 3 2 3" xfId="0"/>
    <cellStyle name="Итог 1 25 3 3" xfId="0"/>
    <cellStyle name="Итог 1 25 3 4" xfId="0"/>
    <cellStyle name="Итог 1 25 4" xfId="0"/>
    <cellStyle name="Итог 1 25 4 2" xfId="0"/>
    <cellStyle name="Итог 1 25 4 3" xfId="0"/>
    <cellStyle name="Итог 1 25 5" xfId="0"/>
    <cellStyle name="Итог 1 25 6" xfId="0"/>
    <cellStyle name="Итог 1 26" xfId="0"/>
    <cellStyle name="Итог 1 26 2" xfId="0"/>
    <cellStyle name="Итог 1 26 2 2" xfId="0"/>
    <cellStyle name="Итог 1 26 2 2 2" xfId="0"/>
    <cellStyle name="Итог 1 26 2 2 3" xfId="0"/>
    <cellStyle name="Итог 1 26 2 3" xfId="0"/>
    <cellStyle name="Итог 1 26 2 4" xfId="0"/>
    <cellStyle name="Итог 1 26 3" xfId="0"/>
    <cellStyle name="Итог 1 26 3 2" xfId="0"/>
    <cellStyle name="Итог 1 26 3 3" xfId="0"/>
    <cellStyle name="Итог 1 26 4" xfId="0"/>
    <cellStyle name="Итог 1 26 5" xfId="0"/>
    <cellStyle name="Итог 1 27" xfId="0"/>
    <cellStyle name="Итог 1 27 2" xfId="0"/>
    <cellStyle name="Итог 1 27 2 2" xfId="0"/>
    <cellStyle name="Итог 1 27 2 2 2" xfId="0"/>
    <cellStyle name="Итог 1 27 2 2 3" xfId="0"/>
    <cellStyle name="Итог 1 27 2 3" xfId="0"/>
    <cellStyle name="Итог 1 27 2 4" xfId="0"/>
    <cellStyle name="Итог 1 27 3" xfId="0"/>
    <cellStyle name="Итог 1 27 3 2" xfId="0"/>
    <cellStyle name="Итог 1 27 3 3" xfId="0"/>
    <cellStyle name="Итог 1 27 4" xfId="0"/>
    <cellStyle name="Итог 1 27 5" xfId="0"/>
    <cellStyle name="Итог 1 28" xfId="0"/>
    <cellStyle name="Итог 1 28 2" xfId="0"/>
    <cellStyle name="Итог 1 28 2 2" xfId="0"/>
    <cellStyle name="Итог 1 28 2 2 2" xfId="0"/>
    <cellStyle name="Итог 1 28 2 2 3" xfId="0"/>
    <cellStyle name="Итог 1 28 2 3" xfId="0"/>
    <cellStyle name="Итог 1 28 2 4" xfId="0"/>
    <cellStyle name="Итог 1 28 3" xfId="0"/>
    <cellStyle name="Итог 1 28 3 2" xfId="0"/>
    <cellStyle name="Итог 1 28 3 3" xfId="0"/>
    <cellStyle name="Итог 1 28 4" xfId="0"/>
    <cellStyle name="Итог 1 28 5" xfId="0"/>
    <cellStyle name="Итог 1 29" xfId="0"/>
    <cellStyle name="Итог 1 29 2" xfId="0"/>
    <cellStyle name="Итог 1 29 2 2" xfId="0"/>
    <cellStyle name="Итог 1 29 2 3" xfId="0"/>
    <cellStyle name="Итог 1 29 3" xfId="0"/>
    <cellStyle name="Итог 1 29 4" xfId="0"/>
    <cellStyle name="Итог 1 3" xfId="0"/>
    <cellStyle name="Итог 1 3 10" xfId="0"/>
    <cellStyle name="Итог 1 3 2" xfId="0"/>
    <cellStyle name="Итог 1 3 2 2" xfId="0"/>
    <cellStyle name="Итог 1 3 2 2 2" xfId="0"/>
    <cellStyle name="Итог 1 3 2 2 2 2" xfId="0"/>
    <cellStyle name="Итог 1 3 2 2 2 3" xfId="0"/>
    <cellStyle name="Итог 1 3 2 2 3" xfId="0"/>
    <cellStyle name="Итог 1 3 2 2 4" xfId="0"/>
    <cellStyle name="Итог 1 3 2 3" xfId="0"/>
    <cellStyle name="Итог 1 3 2 3 2" xfId="0"/>
    <cellStyle name="Итог 1 3 2 3 2 2" xfId="0"/>
    <cellStyle name="Итог 1 3 2 3 2 3" xfId="0"/>
    <cellStyle name="Итог 1 3 2 3 3" xfId="0"/>
    <cellStyle name="Итог 1 3 2 3 4" xfId="0"/>
    <cellStyle name="Итог 1 3 2 4" xfId="0"/>
    <cellStyle name="Итог 1 3 2 4 2" xfId="0"/>
    <cellStyle name="Итог 1 3 2 4 3" xfId="0"/>
    <cellStyle name="Итог 1 3 2 5" xfId="0"/>
    <cellStyle name="Итог 1 3 2 6" xfId="0"/>
    <cellStyle name="Итог 1 3 3" xfId="0"/>
    <cellStyle name="Итог 1 3 3 2" xfId="0"/>
    <cellStyle name="Итог 1 3 3 2 2" xfId="0"/>
    <cellStyle name="Итог 1 3 3 2 2 2" xfId="0"/>
    <cellStyle name="Итог 1 3 3 2 2 3" xfId="0"/>
    <cellStyle name="Итог 1 3 3 2 3" xfId="0"/>
    <cellStyle name="Итог 1 3 3 2 4" xfId="0"/>
    <cellStyle name="Итог 1 3 3 3" xfId="0"/>
    <cellStyle name="Итог 1 3 3 3 2" xfId="0"/>
    <cellStyle name="Итог 1 3 3 3 2 2" xfId="0"/>
    <cellStyle name="Итог 1 3 3 3 2 3" xfId="0"/>
    <cellStyle name="Итог 1 3 3 3 3" xfId="0"/>
    <cellStyle name="Итог 1 3 3 3 4" xfId="0"/>
    <cellStyle name="Итог 1 3 3 4" xfId="0"/>
    <cellStyle name="Итог 1 3 3 4 2" xfId="0"/>
    <cellStyle name="Итог 1 3 3 4 3" xfId="0"/>
    <cellStyle name="Итог 1 3 3 5" xfId="0"/>
    <cellStyle name="Итог 1 3 3 6" xfId="0"/>
    <cellStyle name="Итог 1 3 4" xfId="0"/>
    <cellStyle name="Итог 1 3 4 2" xfId="0"/>
    <cellStyle name="Итог 1 3 4 2 2" xfId="0"/>
    <cellStyle name="Итог 1 3 4 2 2 2" xfId="0"/>
    <cellStyle name="Итог 1 3 4 2 2 3" xfId="0"/>
    <cellStyle name="Итог 1 3 4 2 3" xfId="0"/>
    <cellStyle name="Итог 1 3 4 2 4" xfId="0"/>
    <cellStyle name="Итог 1 3 4 3" xfId="0"/>
    <cellStyle name="Итог 1 3 4 3 2" xfId="0"/>
    <cellStyle name="Итог 1 3 4 3 2 2" xfId="0"/>
    <cellStyle name="Итог 1 3 4 3 2 3" xfId="0"/>
    <cellStyle name="Итог 1 3 4 3 3" xfId="0"/>
    <cellStyle name="Итог 1 3 4 3 4" xfId="0"/>
    <cellStyle name="Итог 1 3 4 4" xfId="0"/>
    <cellStyle name="Итог 1 3 4 4 2" xfId="0"/>
    <cellStyle name="Итог 1 3 4 4 3" xfId="0"/>
    <cellStyle name="Итог 1 3 4 5" xfId="0"/>
    <cellStyle name="Итог 1 3 4 6" xfId="0"/>
    <cellStyle name="Итог 1 3 5" xfId="0"/>
    <cellStyle name="Итог 1 3 5 2" xfId="0"/>
    <cellStyle name="Итог 1 3 5 2 2" xfId="0"/>
    <cellStyle name="Итог 1 3 5 2 2 2" xfId="0"/>
    <cellStyle name="Итог 1 3 5 2 2 3" xfId="0"/>
    <cellStyle name="Итог 1 3 5 2 3" xfId="0"/>
    <cellStyle name="Итог 1 3 5 2 4" xfId="0"/>
    <cellStyle name="Итог 1 3 5 3" xfId="0"/>
    <cellStyle name="Итог 1 3 5 3 2" xfId="0"/>
    <cellStyle name="Итог 1 3 5 3 2 2" xfId="0"/>
    <cellStyle name="Итог 1 3 5 3 2 3" xfId="0"/>
    <cellStyle name="Итог 1 3 5 3 3" xfId="0"/>
    <cellStyle name="Итог 1 3 5 3 4" xfId="0"/>
    <cellStyle name="Итог 1 3 5 4" xfId="0"/>
    <cellStyle name="Итог 1 3 5 4 2" xfId="0"/>
    <cellStyle name="Итог 1 3 5 4 3" xfId="0"/>
    <cellStyle name="Итог 1 3 5 5" xfId="0"/>
    <cellStyle name="Итог 1 3 5 6" xfId="0"/>
    <cellStyle name="Итог 1 3 6" xfId="0"/>
    <cellStyle name="Итог 1 3 6 2" xfId="0"/>
    <cellStyle name="Итог 1 3 6 2 2" xfId="0"/>
    <cellStyle name="Итог 1 3 6 2 2 2" xfId="0"/>
    <cellStyle name="Итог 1 3 6 2 2 3" xfId="0"/>
    <cellStyle name="Итог 1 3 6 2 3" xfId="0"/>
    <cellStyle name="Итог 1 3 6 2 4" xfId="0"/>
    <cellStyle name="Итог 1 3 6 3" xfId="0"/>
    <cellStyle name="Итог 1 3 6 3 2" xfId="0"/>
    <cellStyle name="Итог 1 3 6 3 3" xfId="0"/>
    <cellStyle name="Итог 1 3 6 4" xfId="0"/>
    <cellStyle name="Итог 1 3 6 5" xfId="0"/>
    <cellStyle name="Итог 1 3 7" xfId="0"/>
    <cellStyle name="Итог 1 3 7 2" xfId="0"/>
    <cellStyle name="Итог 1 3 7 2 2" xfId="0"/>
    <cellStyle name="Итог 1 3 7 2 2 2" xfId="0"/>
    <cellStyle name="Итог 1 3 7 2 2 3" xfId="0"/>
    <cellStyle name="Итог 1 3 7 2 3" xfId="0"/>
    <cellStyle name="Итог 1 3 7 2 4" xfId="0"/>
    <cellStyle name="Итог 1 3 7 3" xfId="0"/>
    <cellStyle name="Итог 1 3 7 3 2" xfId="0"/>
    <cellStyle name="Итог 1 3 7 3 3" xfId="0"/>
    <cellStyle name="Итог 1 3 7 4" xfId="0"/>
    <cellStyle name="Итог 1 3 7 5" xfId="0"/>
    <cellStyle name="Итог 1 3 8" xfId="0"/>
    <cellStyle name="Итог 1 3 8 2" xfId="0"/>
    <cellStyle name="Итог 1 3 8 3" xfId="0"/>
    <cellStyle name="Итог 1 3 9" xfId="0"/>
    <cellStyle name="Итог 1 30" xfId="0"/>
    <cellStyle name="Итог 1 30 2" xfId="0"/>
    <cellStyle name="Итог 1 30 3" xfId="0"/>
    <cellStyle name="Итог 1 31" xfId="0"/>
    <cellStyle name="Итог 1 31 2" xfId="0"/>
    <cellStyle name="Итог 1 31 3" xfId="0"/>
    <cellStyle name="Итог 1 32" xfId="0"/>
    <cellStyle name="Итог 1 32 2" xfId="0"/>
    <cellStyle name="Итог 1 32 3" xfId="0"/>
    <cellStyle name="Итог 1 33" xfId="0"/>
    <cellStyle name="Итог 1 33 2" xfId="0"/>
    <cellStyle name="Итог 1 33 3" xfId="0"/>
    <cellStyle name="Итог 1 34" xfId="0"/>
    <cellStyle name="Итог 1 4" xfId="0"/>
    <cellStyle name="Итог 1 4 10" xfId="0"/>
    <cellStyle name="Итог 1 4 2" xfId="0"/>
    <cellStyle name="Итог 1 4 2 2" xfId="0"/>
    <cellStyle name="Итог 1 4 2 2 2" xfId="0"/>
    <cellStyle name="Итог 1 4 2 2 2 2" xfId="0"/>
    <cellStyle name="Итог 1 4 2 2 2 3" xfId="0"/>
    <cellStyle name="Итог 1 4 2 2 3" xfId="0"/>
    <cellStyle name="Итог 1 4 2 2 4" xfId="0"/>
    <cellStyle name="Итог 1 4 2 3" xfId="0"/>
    <cellStyle name="Итог 1 4 2 3 2" xfId="0"/>
    <cellStyle name="Итог 1 4 2 3 2 2" xfId="0"/>
    <cellStyle name="Итог 1 4 2 3 2 3" xfId="0"/>
    <cellStyle name="Итог 1 4 2 3 3" xfId="0"/>
    <cellStyle name="Итог 1 4 2 3 4" xfId="0"/>
    <cellStyle name="Итог 1 4 2 4" xfId="0"/>
    <cellStyle name="Итог 1 4 2 4 2" xfId="0"/>
    <cellStyle name="Итог 1 4 2 4 3" xfId="0"/>
    <cellStyle name="Итог 1 4 2 5" xfId="0"/>
    <cellStyle name="Итог 1 4 2 6" xfId="0"/>
    <cellStyle name="Итог 1 4 3" xfId="0"/>
    <cellStyle name="Итог 1 4 3 2" xfId="0"/>
    <cellStyle name="Итог 1 4 3 2 2" xfId="0"/>
    <cellStyle name="Итог 1 4 3 2 2 2" xfId="0"/>
    <cellStyle name="Итог 1 4 3 2 2 3" xfId="0"/>
    <cellStyle name="Итог 1 4 3 2 3" xfId="0"/>
    <cellStyle name="Итог 1 4 3 2 4" xfId="0"/>
    <cellStyle name="Итог 1 4 3 3" xfId="0"/>
    <cellStyle name="Итог 1 4 3 3 2" xfId="0"/>
    <cellStyle name="Итог 1 4 3 3 2 2" xfId="0"/>
    <cellStyle name="Итог 1 4 3 3 2 3" xfId="0"/>
    <cellStyle name="Итог 1 4 3 3 3" xfId="0"/>
    <cellStyle name="Итог 1 4 3 3 4" xfId="0"/>
    <cellStyle name="Итог 1 4 3 4" xfId="0"/>
    <cellStyle name="Итог 1 4 3 4 2" xfId="0"/>
    <cellStyle name="Итог 1 4 3 4 3" xfId="0"/>
    <cellStyle name="Итог 1 4 3 5" xfId="0"/>
    <cellStyle name="Итог 1 4 3 6" xfId="0"/>
    <cellStyle name="Итог 1 4 4" xfId="0"/>
    <cellStyle name="Итог 1 4 4 2" xfId="0"/>
    <cellStyle name="Итог 1 4 4 2 2" xfId="0"/>
    <cellStyle name="Итог 1 4 4 2 2 2" xfId="0"/>
    <cellStyle name="Итог 1 4 4 2 2 3" xfId="0"/>
    <cellStyle name="Итог 1 4 4 2 3" xfId="0"/>
    <cellStyle name="Итог 1 4 4 2 4" xfId="0"/>
    <cellStyle name="Итог 1 4 4 3" xfId="0"/>
    <cellStyle name="Итог 1 4 4 3 2" xfId="0"/>
    <cellStyle name="Итог 1 4 4 3 2 2" xfId="0"/>
    <cellStyle name="Итог 1 4 4 3 2 3" xfId="0"/>
    <cellStyle name="Итог 1 4 4 3 3" xfId="0"/>
    <cellStyle name="Итог 1 4 4 3 4" xfId="0"/>
    <cellStyle name="Итог 1 4 4 4" xfId="0"/>
    <cellStyle name="Итог 1 4 4 4 2" xfId="0"/>
    <cellStyle name="Итог 1 4 4 4 3" xfId="0"/>
    <cellStyle name="Итог 1 4 4 5" xfId="0"/>
    <cellStyle name="Итог 1 4 4 6" xfId="0"/>
    <cellStyle name="Итог 1 4 5" xfId="0"/>
    <cellStyle name="Итог 1 4 5 2" xfId="0"/>
    <cellStyle name="Итог 1 4 5 2 2" xfId="0"/>
    <cellStyle name="Итог 1 4 5 2 2 2" xfId="0"/>
    <cellStyle name="Итог 1 4 5 2 2 3" xfId="0"/>
    <cellStyle name="Итог 1 4 5 2 3" xfId="0"/>
    <cellStyle name="Итог 1 4 5 2 4" xfId="0"/>
    <cellStyle name="Итог 1 4 5 3" xfId="0"/>
    <cellStyle name="Итог 1 4 5 3 2" xfId="0"/>
    <cellStyle name="Итог 1 4 5 3 2 2" xfId="0"/>
    <cellStyle name="Итог 1 4 5 3 2 3" xfId="0"/>
    <cellStyle name="Итог 1 4 5 3 3" xfId="0"/>
    <cellStyle name="Итог 1 4 5 3 4" xfId="0"/>
    <cellStyle name="Итог 1 4 5 4" xfId="0"/>
    <cellStyle name="Итог 1 4 5 4 2" xfId="0"/>
    <cellStyle name="Итог 1 4 5 4 3" xfId="0"/>
    <cellStyle name="Итог 1 4 5 5" xfId="0"/>
    <cellStyle name="Итог 1 4 5 6" xfId="0"/>
    <cellStyle name="Итог 1 4 6" xfId="0"/>
    <cellStyle name="Итог 1 4 6 2" xfId="0"/>
    <cellStyle name="Итог 1 4 6 2 2" xfId="0"/>
    <cellStyle name="Итог 1 4 6 2 2 2" xfId="0"/>
    <cellStyle name="Итог 1 4 6 2 2 3" xfId="0"/>
    <cellStyle name="Итог 1 4 6 2 3" xfId="0"/>
    <cellStyle name="Итог 1 4 6 2 4" xfId="0"/>
    <cellStyle name="Итог 1 4 6 3" xfId="0"/>
    <cellStyle name="Итог 1 4 6 3 2" xfId="0"/>
    <cellStyle name="Итог 1 4 6 3 3" xfId="0"/>
    <cellStyle name="Итог 1 4 6 4" xfId="0"/>
    <cellStyle name="Итог 1 4 6 5" xfId="0"/>
    <cellStyle name="Итог 1 4 7" xfId="0"/>
    <cellStyle name="Итог 1 4 7 2" xfId="0"/>
    <cellStyle name="Итог 1 4 7 2 2" xfId="0"/>
    <cellStyle name="Итог 1 4 7 2 2 2" xfId="0"/>
    <cellStyle name="Итог 1 4 7 2 2 3" xfId="0"/>
    <cellStyle name="Итог 1 4 7 2 3" xfId="0"/>
    <cellStyle name="Итог 1 4 7 2 4" xfId="0"/>
    <cellStyle name="Итог 1 4 7 3" xfId="0"/>
    <cellStyle name="Итог 1 4 7 3 2" xfId="0"/>
    <cellStyle name="Итог 1 4 7 3 3" xfId="0"/>
    <cellStyle name="Итог 1 4 7 4" xfId="0"/>
    <cellStyle name="Итог 1 4 7 5" xfId="0"/>
    <cellStyle name="Итог 1 4 8" xfId="0"/>
    <cellStyle name="Итог 1 4 8 2" xfId="0"/>
    <cellStyle name="Итог 1 4 8 3" xfId="0"/>
    <cellStyle name="Итог 1 4 9" xfId="0"/>
    <cellStyle name="Итог 1 5" xfId="0"/>
    <cellStyle name="Итог 1 5 2" xfId="0"/>
    <cellStyle name="Итог 1 5 2 2" xfId="0"/>
    <cellStyle name="Итог 1 5 2 2 2" xfId="0"/>
    <cellStyle name="Итог 1 5 2 2 2 2" xfId="0"/>
    <cellStyle name="Итог 1 5 2 2 2 3" xfId="0"/>
    <cellStyle name="Итог 1 5 2 2 3" xfId="0"/>
    <cellStyle name="Итог 1 5 2 2 4" xfId="0"/>
    <cellStyle name="Итог 1 5 2 3" xfId="0"/>
    <cellStyle name="Итог 1 5 2 3 2" xfId="0"/>
    <cellStyle name="Итог 1 5 2 3 2 2" xfId="0"/>
    <cellStyle name="Итог 1 5 2 3 2 3" xfId="0"/>
    <cellStyle name="Итог 1 5 2 3 3" xfId="0"/>
    <cellStyle name="Итог 1 5 2 3 4" xfId="0"/>
    <cellStyle name="Итог 1 5 2 4" xfId="0"/>
    <cellStyle name="Итог 1 5 2 4 2" xfId="0"/>
    <cellStyle name="Итог 1 5 2 4 3" xfId="0"/>
    <cellStyle name="Итог 1 5 2 5" xfId="0"/>
    <cellStyle name="Итог 1 5 2 6" xfId="0"/>
    <cellStyle name="Итог 1 5 3" xfId="0"/>
    <cellStyle name="Итог 1 5 3 2" xfId="0"/>
    <cellStyle name="Итог 1 5 3 2 2" xfId="0"/>
    <cellStyle name="Итог 1 5 3 2 2 2" xfId="0"/>
    <cellStyle name="Итог 1 5 3 2 2 3" xfId="0"/>
    <cellStyle name="Итог 1 5 3 2 3" xfId="0"/>
    <cellStyle name="Итог 1 5 3 2 4" xfId="0"/>
    <cellStyle name="Итог 1 5 3 3" xfId="0"/>
    <cellStyle name="Итог 1 5 3 3 2" xfId="0"/>
    <cellStyle name="Итог 1 5 3 3 3" xfId="0"/>
    <cellStyle name="Итог 1 5 3 4" xfId="0"/>
    <cellStyle name="Итог 1 5 3 5" xfId="0"/>
    <cellStyle name="Итог 1 5 4" xfId="0"/>
    <cellStyle name="Итог 1 5 4 2" xfId="0"/>
    <cellStyle name="Итог 1 5 4 2 2" xfId="0"/>
    <cellStyle name="Итог 1 5 4 2 2 2" xfId="0"/>
    <cellStyle name="Итог 1 5 4 2 2 3" xfId="0"/>
    <cellStyle name="Итог 1 5 4 2 3" xfId="0"/>
    <cellStyle name="Итог 1 5 4 2 4" xfId="0"/>
    <cellStyle name="Итог 1 5 4 3" xfId="0"/>
    <cellStyle name="Итог 1 5 4 3 2" xfId="0"/>
    <cellStyle name="Итог 1 5 4 3 3" xfId="0"/>
    <cellStyle name="Итог 1 5 4 4" xfId="0"/>
    <cellStyle name="Итог 1 5 4 5" xfId="0"/>
    <cellStyle name="Итог 1 5 5" xfId="0"/>
    <cellStyle name="Итог 1 5 5 2" xfId="0"/>
    <cellStyle name="Итог 1 5 5 3" xfId="0"/>
    <cellStyle name="Итог 1 5 6" xfId="0"/>
    <cellStyle name="Итог 1 5 7" xfId="0"/>
    <cellStyle name="Итог 1 6" xfId="0"/>
    <cellStyle name="Итог 1 6 2" xfId="0"/>
    <cellStyle name="Итог 1 6 2 2" xfId="0"/>
    <cellStyle name="Итог 1 6 2 2 2" xfId="0"/>
    <cellStyle name="Итог 1 6 2 2 2 2" xfId="0"/>
    <cellStyle name="Итог 1 6 2 2 2 3" xfId="0"/>
    <cellStyle name="Итог 1 6 2 2 3" xfId="0"/>
    <cellStyle name="Итог 1 6 2 2 4" xfId="0"/>
    <cellStyle name="Итог 1 6 2 3" xfId="0"/>
    <cellStyle name="Итог 1 6 2 3 2" xfId="0"/>
    <cellStyle name="Итог 1 6 2 3 2 2" xfId="0"/>
    <cellStyle name="Итог 1 6 2 3 2 3" xfId="0"/>
    <cellStyle name="Итог 1 6 2 3 3" xfId="0"/>
    <cellStyle name="Итог 1 6 2 3 4" xfId="0"/>
    <cellStyle name="Итог 1 6 2 4" xfId="0"/>
    <cellStyle name="Итог 1 6 2 4 2" xfId="0"/>
    <cellStyle name="Итог 1 6 2 4 3" xfId="0"/>
    <cellStyle name="Итог 1 6 2 5" xfId="0"/>
    <cellStyle name="Итог 1 6 2 6" xfId="0"/>
    <cellStyle name="Итог 1 6 3" xfId="0"/>
    <cellStyle name="Итог 1 6 3 2" xfId="0"/>
    <cellStyle name="Итог 1 6 3 2 2" xfId="0"/>
    <cellStyle name="Итог 1 6 3 2 2 2" xfId="0"/>
    <cellStyle name="Итог 1 6 3 2 2 3" xfId="0"/>
    <cellStyle name="Итог 1 6 3 2 3" xfId="0"/>
    <cellStyle name="Итог 1 6 3 2 4" xfId="0"/>
    <cellStyle name="Итог 1 6 3 3" xfId="0"/>
    <cellStyle name="Итог 1 6 3 3 2" xfId="0"/>
    <cellStyle name="Итог 1 6 3 3 3" xfId="0"/>
    <cellStyle name="Итог 1 6 3 4" xfId="0"/>
    <cellStyle name="Итог 1 6 3 5" xfId="0"/>
    <cellStyle name="Итог 1 6 4" xfId="0"/>
    <cellStyle name="Итог 1 6 4 2" xfId="0"/>
    <cellStyle name="Итог 1 6 4 2 2" xfId="0"/>
    <cellStyle name="Итог 1 6 4 2 2 2" xfId="0"/>
    <cellStyle name="Итог 1 6 4 2 2 3" xfId="0"/>
    <cellStyle name="Итог 1 6 4 2 3" xfId="0"/>
    <cellStyle name="Итог 1 6 4 2 4" xfId="0"/>
    <cellStyle name="Итог 1 6 4 3" xfId="0"/>
    <cellStyle name="Итог 1 6 4 3 2" xfId="0"/>
    <cellStyle name="Итог 1 6 4 3 3" xfId="0"/>
    <cellStyle name="Итог 1 6 4 4" xfId="0"/>
    <cellStyle name="Итог 1 6 4 5" xfId="0"/>
    <cellStyle name="Итог 1 6 5" xfId="0"/>
    <cellStyle name="Итог 1 6 5 2" xfId="0"/>
    <cellStyle name="Итог 1 6 5 3" xfId="0"/>
    <cellStyle name="Итог 1 6 6" xfId="0"/>
    <cellStyle name="Итог 1 6 7" xfId="0"/>
    <cellStyle name="Итог 1 7" xfId="0"/>
    <cellStyle name="Итог 1 7 2" xfId="0"/>
    <cellStyle name="Итог 1 7 2 2" xfId="0"/>
    <cellStyle name="Итог 1 7 2 2 2" xfId="0"/>
    <cellStyle name="Итог 1 7 2 2 2 2" xfId="0"/>
    <cellStyle name="Итог 1 7 2 2 2 3" xfId="0"/>
    <cellStyle name="Итог 1 7 2 2 3" xfId="0"/>
    <cellStyle name="Итог 1 7 2 2 4" xfId="0"/>
    <cellStyle name="Итог 1 7 2 3" xfId="0"/>
    <cellStyle name="Итог 1 7 2 3 2" xfId="0"/>
    <cellStyle name="Итог 1 7 2 3 2 2" xfId="0"/>
    <cellStyle name="Итог 1 7 2 3 2 3" xfId="0"/>
    <cellStyle name="Итог 1 7 2 3 3" xfId="0"/>
    <cellStyle name="Итог 1 7 2 3 4" xfId="0"/>
    <cellStyle name="Итог 1 7 2 4" xfId="0"/>
    <cellStyle name="Итог 1 7 2 4 2" xfId="0"/>
    <cellStyle name="Итог 1 7 2 4 3" xfId="0"/>
    <cellStyle name="Итог 1 7 2 5" xfId="0"/>
    <cellStyle name="Итог 1 7 2 6" xfId="0"/>
    <cellStyle name="Итог 1 7 3" xfId="0"/>
    <cellStyle name="Итог 1 7 3 2" xfId="0"/>
    <cellStyle name="Итог 1 7 3 2 2" xfId="0"/>
    <cellStyle name="Итог 1 7 3 2 2 2" xfId="0"/>
    <cellStyle name="Итог 1 7 3 2 2 3" xfId="0"/>
    <cellStyle name="Итог 1 7 3 2 3" xfId="0"/>
    <cellStyle name="Итог 1 7 3 2 4" xfId="0"/>
    <cellStyle name="Итог 1 7 3 3" xfId="0"/>
    <cellStyle name="Итог 1 7 3 3 2" xfId="0"/>
    <cellStyle name="Итог 1 7 3 3 3" xfId="0"/>
    <cellStyle name="Итог 1 7 3 4" xfId="0"/>
    <cellStyle name="Итог 1 7 3 5" xfId="0"/>
    <cellStyle name="Итог 1 7 4" xfId="0"/>
    <cellStyle name="Итог 1 7 4 2" xfId="0"/>
    <cellStyle name="Итог 1 7 4 2 2" xfId="0"/>
    <cellStyle name="Итог 1 7 4 2 2 2" xfId="0"/>
    <cellStyle name="Итог 1 7 4 2 2 3" xfId="0"/>
    <cellStyle name="Итог 1 7 4 2 3" xfId="0"/>
    <cellStyle name="Итог 1 7 4 2 4" xfId="0"/>
    <cellStyle name="Итог 1 7 4 3" xfId="0"/>
    <cellStyle name="Итог 1 7 4 3 2" xfId="0"/>
    <cellStyle name="Итог 1 7 4 3 3" xfId="0"/>
    <cellStyle name="Итог 1 7 4 4" xfId="0"/>
    <cellStyle name="Итог 1 7 4 5" xfId="0"/>
    <cellStyle name="Итог 1 7 5" xfId="0"/>
    <cellStyle name="Итог 1 7 5 2" xfId="0"/>
    <cellStyle name="Итог 1 7 5 3" xfId="0"/>
    <cellStyle name="Итог 1 7 6" xfId="0"/>
    <cellStyle name="Итог 1 7 7" xfId="0"/>
    <cellStyle name="Итог 1 8" xfId="0"/>
    <cellStyle name="Итог 1 8 2" xfId="0"/>
    <cellStyle name="Итог 1 8 2 2" xfId="0"/>
    <cellStyle name="Итог 1 8 2 2 2" xfId="0"/>
    <cellStyle name="Итог 1 8 2 2 2 2" xfId="0"/>
    <cellStyle name="Итог 1 8 2 2 2 3" xfId="0"/>
    <cellStyle name="Итог 1 8 2 2 3" xfId="0"/>
    <cellStyle name="Итог 1 8 2 2 4" xfId="0"/>
    <cellStyle name="Итог 1 8 2 3" xfId="0"/>
    <cellStyle name="Итог 1 8 2 3 2" xfId="0"/>
    <cellStyle name="Итог 1 8 2 3 2 2" xfId="0"/>
    <cellStyle name="Итог 1 8 2 3 2 3" xfId="0"/>
    <cellStyle name="Итог 1 8 2 3 3" xfId="0"/>
    <cellStyle name="Итог 1 8 2 3 4" xfId="0"/>
    <cellStyle name="Итог 1 8 2 4" xfId="0"/>
    <cellStyle name="Итог 1 8 2 4 2" xfId="0"/>
    <cellStyle name="Итог 1 8 2 4 3" xfId="0"/>
    <cellStyle name="Итог 1 8 2 5" xfId="0"/>
    <cellStyle name="Итог 1 8 2 6" xfId="0"/>
    <cellStyle name="Итог 1 8 3" xfId="0"/>
    <cellStyle name="Итог 1 8 3 2" xfId="0"/>
    <cellStyle name="Итог 1 8 3 2 2" xfId="0"/>
    <cellStyle name="Итог 1 8 3 2 2 2" xfId="0"/>
    <cellStyle name="Итог 1 8 3 2 2 3" xfId="0"/>
    <cellStyle name="Итог 1 8 3 2 3" xfId="0"/>
    <cellStyle name="Итог 1 8 3 2 4" xfId="0"/>
    <cellStyle name="Итог 1 8 3 3" xfId="0"/>
    <cellStyle name="Итог 1 8 3 3 2" xfId="0"/>
    <cellStyle name="Итог 1 8 3 3 3" xfId="0"/>
    <cellStyle name="Итог 1 8 3 4" xfId="0"/>
    <cellStyle name="Итог 1 8 3 5" xfId="0"/>
    <cellStyle name="Итог 1 8 4" xfId="0"/>
    <cellStyle name="Итог 1 8 4 2" xfId="0"/>
    <cellStyle name="Итог 1 8 4 2 2" xfId="0"/>
    <cellStyle name="Итог 1 8 4 2 2 2" xfId="0"/>
    <cellStyle name="Итог 1 8 4 2 2 3" xfId="0"/>
    <cellStyle name="Итог 1 8 4 2 3" xfId="0"/>
    <cellStyle name="Итог 1 8 4 2 4" xfId="0"/>
    <cellStyle name="Итог 1 8 4 3" xfId="0"/>
    <cellStyle name="Итог 1 8 4 3 2" xfId="0"/>
    <cellStyle name="Итог 1 8 4 3 3" xfId="0"/>
    <cellStyle name="Итог 1 8 4 4" xfId="0"/>
    <cellStyle name="Итог 1 8 4 5" xfId="0"/>
    <cellStyle name="Итог 1 8 5" xfId="0"/>
    <cellStyle name="Итог 1 8 5 2" xfId="0"/>
    <cellStyle name="Итог 1 8 5 3" xfId="0"/>
    <cellStyle name="Итог 1 8 6" xfId="0"/>
    <cellStyle name="Итог 1 8 7" xfId="0"/>
    <cellStyle name="Итог 1 9" xfId="0"/>
    <cellStyle name="Итог 1 9 2" xfId="0"/>
    <cellStyle name="Итог 1 9 2 2" xfId="0"/>
    <cellStyle name="Итог 1 9 2 2 2" xfId="0"/>
    <cellStyle name="Итог 1 9 2 2 2 2" xfId="0"/>
    <cellStyle name="Итог 1 9 2 2 2 3" xfId="0"/>
    <cellStyle name="Итог 1 9 2 2 3" xfId="0"/>
    <cellStyle name="Итог 1 9 2 2 4" xfId="0"/>
    <cellStyle name="Итог 1 9 2 3" xfId="0"/>
    <cellStyle name="Итог 1 9 2 3 2" xfId="0"/>
    <cellStyle name="Итог 1 9 2 3 2 2" xfId="0"/>
    <cellStyle name="Итог 1 9 2 3 2 3" xfId="0"/>
    <cellStyle name="Итог 1 9 2 3 3" xfId="0"/>
    <cellStyle name="Итог 1 9 2 3 4" xfId="0"/>
    <cellStyle name="Итог 1 9 2 4" xfId="0"/>
    <cellStyle name="Итог 1 9 2 4 2" xfId="0"/>
    <cellStyle name="Итог 1 9 2 4 3" xfId="0"/>
    <cellStyle name="Итог 1 9 2 5" xfId="0"/>
    <cellStyle name="Итог 1 9 2 6" xfId="0"/>
    <cellStyle name="Итог 1 9 3" xfId="0"/>
    <cellStyle name="Итог 1 9 3 2" xfId="0"/>
    <cellStyle name="Итог 1 9 3 2 2" xfId="0"/>
    <cellStyle name="Итог 1 9 3 2 2 2" xfId="0"/>
    <cellStyle name="Итог 1 9 3 2 2 3" xfId="0"/>
    <cellStyle name="Итог 1 9 3 2 3" xfId="0"/>
    <cellStyle name="Итог 1 9 3 2 4" xfId="0"/>
    <cellStyle name="Итог 1 9 3 3" xfId="0"/>
    <cellStyle name="Итог 1 9 3 3 2" xfId="0"/>
    <cellStyle name="Итог 1 9 3 3 3" xfId="0"/>
    <cellStyle name="Итог 1 9 3 4" xfId="0"/>
    <cellStyle name="Итог 1 9 3 5" xfId="0"/>
    <cellStyle name="Итог 1 9 4" xfId="0"/>
    <cellStyle name="Итог 1 9 4 2" xfId="0"/>
    <cellStyle name="Итог 1 9 4 2 2" xfId="0"/>
    <cellStyle name="Итог 1 9 4 2 2 2" xfId="0"/>
    <cellStyle name="Итог 1 9 4 2 2 3" xfId="0"/>
    <cellStyle name="Итог 1 9 4 2 3" xfId="0"/>
    <cellStyle name="Итог 1 9 4 2 4" xfId="0"/>
    <cellStyle name="Итог 1 9 4 3" xfId="0"/>
    <cellStyle name="Итог 1 9 4 3 2" xfId="0"/>
    <cellStyle name="Итог 1 9 4 3 3" xfId="0"/>
    <cellStyle name="Итог 1 9 4 4" xfId="0"/>
    <cellStyle name="Итог 1 9 4 5" xfId="0"/>
    <cellStyle name="Итог 1 9 5" xfId="0"/>
    <cellStyle name="Итог 1 9 5 2" xfId="0"/>
    <cellStyle name="Итог 1 9 5 3" xfId="0"/>
    <cellStyle name="Итог 1 9 6" xfId="0"/>
    <cellStyle name="Итог 1 9 7" xfId="0"/>
    <cellStyle name="Итог 2" xfId="0"/>
    <cellStyle name="Итог 2 10" xfId="0"/>
    <cellStyle name="Итог 2 10 2" xfId="0"/>
    <cellStyle name="Итог 2 10 2 2" xfId="0"/>
    <cellStyle name="Итог 2 10 2 2 2" xfId="0"/>
    <cellStyle name="Итог 2 10 2 2 2 2" xfId="0"/>
    <cellStyle name="Итог 2 10 2 2 2 3" xfId="0"/>
    <cellStyle name="Итог 2 10 2 2 3" xfId="0"/>
    <cellStyle name="Итог 2 10 2 2 4" xfId="0"/>
    <cellStyle name="Итог 2 10 2 3" xfId="0"/>
    <cellStyle name="Итог 2 10 2 3 2" xfId="0"/>
    <cellStyle name="Итог 2 10 2 3 2 2" xfId="0"/>
    <cellStyle name="Итог 2 10 2 3 2 3" xfId="0"/>
    <cellStyle name="Итог 2 10 2 3 3" xfId="0"/>
    <cellStyle name="Итог 2 10 2 3 4" xfId="0"/>
    <cellStyle name="Итог 2 10 2 4" xfId="0"/>
    <cellStyle name="Итог 2 10 2 4 2" xfId="0"/>
    <cellStyle name="Итог 2 10 2 4 3" xfId="0"/>
    <cellStyle name="Итог 2 10 2 5" xfId="0"/>
    <cellStyle name="Итог 2 10 2 6" xfId="0"/>
    <cellStyle name="Итог 2 10 3" xfId="0"/>
    <cellStyle name="Итог 2 10 3 2" xfId="0"/>
    <cellStyle name="Итог 2 10 3 2 2" xfId="0"/>
    <cellStyle name="Итог 2 10 3 2 2 2" xfId="0"/>
    <cellStyle name="Итог 2 10 3 2 2 3" xfId="0"/>
    <cellStyle name="Итог 2 10 3 2 3" xfId="0"/>
    <cellStyle name="Итог 2 10 3 2 4" xfId="0"/>
    <cellStyle name="Итог 2 10 3 3" xfId="0"/>
    <cellStyle name="Итог 2 10 3 3 2" xfId="0"/>
    <cellStyle name="Итог 2 10 3 3 3" xfId="0"/>
    <cellStyle name="Итог 2 10 3 4" xfId="0"/>
    <cellStyle name="Итог 2 10 3 5" xfId="0"/>
    <cellStyle name="Итог 2 10 4" xfId="0"/>
    <cellStyle name="Итог 2 10 4 2" xfId="0"/>
    <cellStyle name="Итог 2 10 4 2 2" xfId="0"/>
    <cellStyle name="Итог 2 10 4 2 2 2" xfId="0"/>
    <cellStyle name="Итог 2 10 4 2 2 3" xfId="0"/>
    <cellStyle name="Итог 2 10 4 2 3" xfId="0"/>
    <cellStyle name="Итог 2 10 4 2 4" xfId="0"/>
    <cellStyle name="Итог 2 10 4 3" xfId="0"/>
    <cellStyle name="Итог 2 10 4 3 2" xfId="0"/>
    <cellStyle name="Итог 2 10 4 3 3" xfId="0"/>
    <cellStyle name="Итог 2 10 4 4" xfId="0"/>
    <cellStyle name="Итог 2 10 4 5" xfId="0"/>
    <cellStyle name="Итог 2 10 5" xfId="0"/>
    <cellStyle name="Итог 2 10 5 2" xfId="0"/>
    <cellStyle name="Итог 2 10 5 3" xfId="0"/>
    <cellStyle name="Итог 2 10 6" xfId="0"/>
    <cellStyle name="Итог 2 10 7" xfId="0"/>
    <cellStyle name="Итог 2 11" xfId="0"/>
    <cellStyle name="Итог 2 11 2" xfId="0"/>
    <cellStyle name="Итог 2 11 2 2" xfId="0"/>
    <cellStyle name="Итог 2 11 2 2 2" xfId="0"/>
    <cellStyle name="Итог 2 11 2 2 2 2" xfId="0"/>
    <cellStyle name="Итог 2 11 2 2 2 3" xfId="0"/>
    <cellStyle name="Итог 2 11 2 2 3" xfId="0"/>
    <cellStyle name="Итог 2 11 2 2 4" xfId="0"/>
    <cellStyle name="Итог 2 11 2 3" xfId="0"/>
    <cellStyle name="Итог 2 11 2 3 2" xfId="0"/>
    <cellStyle name="Итог 2 11 2 3 2 2" xfId="0"/>
    <cellStyle name="Итог 2 11 2 3 2 3" xfId="0"/>
    <cellStyle name="Итог 2 11 2 3 3" xfId="0"/>
    <cellStyle name="Итог 2 11 2 3 4" xfId="0"/>
    <cellStyle name="Итог 2 11 2 4" xfId="0"/>
    <cellStyle name="Итог 2 11 2 4 2" xfId="0"/>
    <cellStyle name="Итог 2 11 2 4 3" xfId="0"/>
    <cellStyle name="Итог 2 11 2 5" xfId="0"/>
    <cellStyle name="Итог 2 11 2 6" xfId="0"/>
    <cellStyle name="Итог 2 11 3" xfId="0"/>
    <cellStyle name="Итог 2 11 3 2" xfId="0"/>
    <cellStyle name="Итог 2 11 3 2 2" xfId="0"/>
    <cellStyle name="Итог 2 11 3 2 2 2" xfId="0"/>
    <cellStyle name="Итог 2 11 3 2 2 3" xfId="0"/>
    <cellStyle name="Итог 2 11 3 2 3" xfId="0"/>
    <cellStyle name="Итог 2 11 3 2 4" xfId="0"/>
    <cellStyle name="Итог 2 11 3 3" xfId="0"/>
    <cellStyle name="Итог 2 11 3 3 2" xfId="0"/>
    <cellStyle name="Итог 2 11 3 3 3" xfId="0"/>
    <cellStyle name="Итог 2 11 3 4" xfId="0"/>
    <cellStyle name="Итог 2 11 3 5" xfId="0"/>
    <cellStyle name="Итог 2 11 4" xfId="0"/>
    <cellStyle name="Итог 2 11 4 2" xfId="0"/>
    <cellStyle name="Итог 2 11 4 2 2" xfId="0"/>
    <cellStyle name="Итог 2 11 4 2 2 2" xfId="0"/>
    <cellStyle name="Итог 2 11 4 2 2 3" xfId="0"/>
    <cellStyle name="Итог 2 11 4 2 3" xfId="0"/>
    <cellStyle name="Итог 2 11 4 2 4" xfId="0"/>
    <cellStyle name="Итог 2 11 4 3" xfId="0"/>
    <cellStyle name="Итог 2 11 4 3 2" xfId="0"/>
    <cellStyle name="Итог 2 11 4 3 3" xfId="0"/>
    <cellStyle name="Итог 2 11 4 4" xfId="0"/>
    <cellStyle name="Итог 2 11 4 5" xfId="0"/>
    <cellStyle name="Итог 2 11 5" xfId="0"/>
    <cellStyle name="Итог 2 11 5 2" xfId="0"/>
    <cellStyle name="Итог 2 11 5 3" xfId="0"/>
    <cellStyle name="Итог 2 11 6" xfId="0"/>
    <cellStyle name="Итог 2 11 7" xfId="0"/>
    <cellStyle name="Итог 2 12" xfId="0"/>
    <cellStyle name="Итог 2 12 2" xfId="0"/>
    <cellStyle name="Итог 2 12 2 2" xfId="0"/>
    <cellStyle name="Итог 2 12 2 2 2" xfId="0"/>
    <cellStyle name="Итог 2 12 2 2 2 2" xfId="0"/>
    <cellStyle name="Итог 2 12 2 2 2 3" xfId="0"/>
    <cellStyle name="Итог 2 12 2 2 3" xfId="0"/>
    <cellStyle name="Итог 2 12 2 2 4" xfId="0"/>
    <cellStyle name="Итог 2 12 2 3" xfId="0"/>
    <cellStyle name="Итог 2 12 2 3 2" xfId="0"/>
    <cellStyle name="Итог 2 12 2 3 2 2" xfId="0"/>
    <cellStyle name="Итог 2 12 2 3 2 3" xfId="0"/>
    <cellStyle name="Итог 2 12 2 3 3" xfId="0"/>
    <cellStyle name="Итог 2 12 2 3 4" xfId="0"/>
    <cellStyle name="Итог 2 12 2 4" xfId="0"/>
    <cellStyle name="Итог 2 12 2 4 2" xfId="0"/>
    <cellStyle name="Итог 2 12 2 4 3" xfId="0"/>
    <cellStyle name="Итог 2 12 2 5" xfId="0"/>
    <cellStyle name="Итог 2 12 2 6" xfId="0"/>
    <cellStyle name="Итог 2 12 3" xfId="0"/>
    <cellStyle name="Итог 2 12 3 2" xfId="0"/>
    <cellStyle name="Итог 2 12 3 2 2" xfId="0"/>
    <cellStyle name="Итог 2 12 3 2 2 2" xfId="0"/>
    <cellStyle name="Итог 2 12 3 2 2 3" xfId="0"/>
    <cellStyle name="Итог 2 12 3 2 3" xfId="0"/>
    <cellStyle name="Итог 2 12 3 2 4" xfId="0"/>
    <cellStyle name="Итог 2 12 3 3" xfId="0"/>
    <cellStyle name="Итог 2 12 3 3 2" xfId="0"/>
    <cellStyle name="Итог 2 12 3 3 3" xfId="0"/>
    <cellStyle name="Итог 2 12 3 4" xfId="0"/>
    <cellStyle name="Итог 2 12 3 5" xfId="0"/>
    <cellStyle name="Итог 2 12 4" xfId="0"/>
    <cellStyle name="Итог 2 12 4 2" xfId="0"/>
    <cellStyle name="Итог 2 12 4 2 2" xfId="0"/>
    <cellStyle name="Итог 2 12 4 2 2 2" xfId="0"/>
    <cellStyle name="Итог 2 12 4 2 2 3" xfId="0"/>
    <cellStyle name="Итог 2 12 4 2 3" xfId="0"/>
    <cellStyle name="Итог 2 12 4 2 4" xfId="0"/>
    <cellStyle name="Итог 2 12 4 3" xfId="0"/>
    <cellStyle name="Итог 2 12 4 3 2" xfId="0"/>
    <cellStyle name="Итог 2 12 4 3 3" xfId="0"/>
    <cellStyle name="Итог 2 12 4 4" xfId="0"/>
    <cellStyle name="Итог 2 12 4 5" xfId="0"/>
    <cellStyle name="Итог 2 12 5" xfId="0"/>
    <cellStyle name="Итог 2 12 5 2" xfId="0"/>
    <cellStyle name="Итог 2 12 5 3" xfId="0"/>
    <cellStyle name="Итог 2 12 6" xfId="0"/>
    <cellStyle name="Итог 2 12 7" xfId="0"/>
    <cellStyle name="Итог 2 13" xfId="0"/>
    <cellStyle name="Итог 2 13 2" xfId="0"/>
    <cellStyle name="Итог 2 13 2 2" xfId="0"/>
    <cellStyle name="Итог 2 13 2 2 2" xfId="0"/>
    <cellStyle name="Итог 2 13 2 2 2 2" xfId="0"/>
    <cellStyle name="Итог 2 13 2 2 2 3" xfId="0"/>
    <cellStyle name="Итог 2 13 2 2 3" xfId="0"/>
    <cellStyle name="Итог 2 13 2 2 4" xfId="0"/>
    <cellStyle name="Итог 2 13 2 3" xfId="0"/>
    <cellStyle name="Итог 2 13 2 3 2" xfId="0"/>
    <cellStyle name="Итог 2 13 2 3 2 2" xfId="0"/>
    <cellStyle name="Итог 2 13 2 3 2 3" xfId="0"/>
    <cellStyle name="Итог 2 13 2 3 3" xfId="0"/>
    <cellStyle name="Итог 2 13 2 3 4" xfId="0"/>
    <cellStyle name="Итог 2 13 2 4" xfId="0"/>
    <cellStyle name="Итог 2 13 2 4 2" xfId="0"/>
    <cellStyle name="Итог 2 13 2 4 3" xfId="0"/>
    <cellStyle name="Итог 2 13 2 5" xfId="0"/>
    <cellStyle name="Итог 2 13 2 6" xfId="0"/>
    <cellStyle name="Итог 2 13 3" xfId="0"/>
    <cellStyle name="Итог 2 13 3 2" xfId="0"/>
    <cellStyle name="Итог 2 13 3 2 2" xfId="0"/>
    <cellStyle name="Итог 2 13 3 2 2 2" xfId="0"/>
    <cellStyle name="Итог 2 13 3 2 2 3" xfId="0"/>
    <cellStyle name="Итог 2 13 3 2 3" xfId="0"/>
    <cellStyle name="Итог 2 13 3 2 4" xfId="0"/>
    <cellStyle name="Итог 2 13 3 3" xfId="0"/>
    <cellStyle name="Итог 2 13 3 3 2" xfId="0"/>
    <cellStyle name="Итог 2 13 3 3 3" xfId="0"/>
    <cellStyle name="Итог 2 13 3 4" xfId="0"/>
    <cellStyle name="Итог 2 13 3 5" xfId="0"/>
    <cellStyle name="Итог 2 13 4" xfId="0"/>
    <cellStyle name="Итог 2 13 4 2" xfId="0"/>
    <cellStyle name="Итог 2 13 4 2 2" xfId="0"/>
    <cellStyle name="Итог 2 13 4 2 2 2" xfId="0"/>
    <cellStyle name="Итог 2 13 4 2 2 3" xfId="0"/>
    <cellStyle name="Итог 2 13 4 2 3" xfId="0"/>
    <cellStyle name="Итог 2 13 4 2 4" xfId="0"/>
    <cellStyle name="Итог 2 13 4 3" xfId="0"/>
    <cellStyle name="Итог 2 13 4 3 2" xfId="0"/>
    <cellStyle name="Итог 2 13 4 3 3" xfId="0"/>
    <cellStyle name="Итог 2 13 4 4" xfId="0"/>
    <cellStyle name="Итог 2 13 4 5" xfId="0"/>
    <cellStyle name="Итог 2 13 5" xfId="0"/>
    <cellStyle name="Итог 2 13 5 2" xfId="0"/>
    <cellStyle name="Итог 2 13 5 3" xfId="0"/>
    <cellStyle name="Итог 2 13 6" xfId="0"/>
    <cellStyle name="Итог 2 13 7" xfId="0"/>
    <cellStyle name="Итог 2 14" xfId="0"/>
    <cellStyle name="Итог 2 14 2" xfId="0"/>
    <cellStyle name="Итог 2 14 2 2" xfId="0"/>
    <cellStyle name="Итог 2 14 2 2 2" xfId="0"/>
    <cellStyle name="Итог 2 14 2 2 2 2" xfId="0"/>
    <cellStyle name="Итог 2 14 2 2 2 3" xfId="0"/>
    <cellStyle name="Итог 2 14 2 2 3" xfId="0"/>
    <cellStyle name="Итог 2 14 2 2 4" xfId="0"/>
    <cellStyle name="Итог 2 14 2 3" xfId="0"/>
    <cellStyle name="Итог 2 14 2 3 2" xfId="0"/>
    <cellStyle name="Итог 2 14 2 3 2 2" xfId="0"/>
    <cellStyle name="Итог 2 14 2 3 2 3" xfId="0"/>
    <cellStyle name="Итог 2 14 2 3 3" xfId="0"/>
    <cellStyle name="Итог 2 14 2 3 4" xfId="0"/>
    <cellStyle name="Итог 2 14 2 4" xfId="0"/>
    <cellStyle name="Итог 2 14 2 4 2" xfId="0"/>
    <cellStyle name="Итог 2 14 2 4 3" xfId="0"/>
    <cellStyle name="Итог 2 14 2 5" xfId="0"/>
    <cellStyle name="Итог 2 14 2 6" xfId="0"/>
    <cellStyle name="Итог 2 14 3" xfId="0"/>
    <cellStyle name="Итог 2 14 3 2" xfId="0"/>
    <cellStyle name="Итог 2 14 3 2 2" xfId="0"/>
    <cellStyle name="Итог 2 14 3 2 2 2" xfId="0"/>
    <cellStyle name="Итог 2 14 3 2 2 3" xfId="0"/>
    <cellStyle name="Итог 2 14 3 2 3" xfId="0"/>
    <cellStyle name="Итог 2 14 3 2 4" xfId="0"/>
    <cellStyle name="Итог 2 14 3 3" xfId="0"/>
    <cellStyle name="Итог 2 14 3 3 2" xfId="0"/>
    <cellStyle name="Итог 2 14 3 3 3" xfId="0"/>
    <cellStyle name="Итог 2 14 3 4" xfId="0"/>
    <cellStyle name="Итог 2 14 3 5" xfId="0"/>
    <cellStyle name="Итог 2 14 4" xfId="0"/>
    <cellStyle name="Итог 2 14 4 2" xfId="0"/>
    <cellStyle name="Итог 2 14 4 2 2" xfId="0"/>
    <cellStyle name="Итог 2 14 4 2 2 2" xfId="0"/>
    <cellStyle name="Итог 2 14 4 2 2 3" xfId="0"/>
    <cellStyle name="Итог 2 14 4 2 3" xfId="0"/>
    <cellStyle name="Итог 2 14 4 2 4" xfId="0"/>
    <cellStyle name="Итог 2 14 4 3" xfId="0"/>
    <cellStyle name="Итог 2 14 4 3 2" xfId="0"/>
    <cellStyle name="Итог 2 14 4 3 3" xfId="0"/>
    <cellStyle name="Итог 2 14 4 4" xfId="0"/>
    <cellStyle name="Итог 2 14 4 5" xfId="0"/>
    <cellStyle name="Итог 2 14 5" xfId="0"/>
    <cellStyle name="Итог 2 14 5 2" xfId="0"/>
    <cellStyle name="Итог 2 14 5 3" xfId="0"/>
    <cellStyle name="Итог 2 14 6" xfId="0"/>
    <cellStyle name="Итог 2 14 7" xfId="0"/>
    <cellStyle name="Итог 2 15" xfId="0"/>
    <cellStyle name="Итог 2 15 2" xfId="0"/>
    <cellStyle name="Итог 2 15 2 2" xfId="0"/>
    <cellStyle name="Итог 2 15 2 2 2" xfId="0"/>
    <cellStyle name="Итог 2 15 2 2 2 2" xfId="0"/>
    <cellStyle name="Итог 2 15 2 2 2 3" xfId="0"/>
    <cellStyle name="Итог 2 15 2 2 3" xfId="0"/>
    <cellStyle name="Итог 2 15 2 2 4" xfId="0"/>
    <cellStyle name="Итог 2 15 2 3" xfId="0"/>
    <cellStyle name="Итог 2 15 2 3 2" xfId="0"/>
    <cellStyle name="Итог 2 15 2 3 2 2" xfId="0"/>
    <cellStyle name="Итог 2 15 2 3 2 3" xfId="0"/>
    <cellStyle name="Итог 2 15 2 3 3" xfId="0"/>
    <cellStyle name="Итог 2 15 2 3 4" xfId="0"/>
    <cellStyle name="Итог 2 15 2 4" xfId="0"/>
    <cellStyle name="Итог 2 15 2 4 2" xfId="0"/>
    <cellStyle name="Итог 2 15 2 4 3" xfId="0"/>
    <cellStyle name="Итог 2 15 2 5" xfId="0"/>
    <cellStyle name="Итог 2 15 2 6" xfId="0"/>
    <cellStyle name="Итог 2 15 3" xfId="0"/>
    <cellStyle name="Итог 2 15 3 2" xfId="0"/>
    <cellStyle name="Итог 2 15 3 2 2" xfId="0"/>
    <cellStyle name="Итог 2 15 3 2 2 2" xfId="0"/>
    <cellStyle name="Итог 2 15 3 2 2 3" xfId="0"/>
    <cellStyle name="Итог 2 15 3 2 3" xfId="0"/>
    <cellStyle name="Итог 2 15 3 2 4" xfId="0"/>
    <cellStyle name="Итог 2 15 3 3" xfId="0"/>
    <cellStyle name="Итог 2 15 3 3 2" xfId="0"/>
    <cellStyle name="Итог 2 15 3 3 3" xfId="0"/>
    <cellStyle name="Итог 2 15 3 4" xfId="0"/>
    <cellStyle name="Итог 2 15 3 5" xfId="0"/>
    <cellStyle name="Итог 2 15 4" xfId="0"/>
    <cellStyle name="Итог 2 15 4 2" xfId="0"/>
    <cellStyle name="Итог 2 15 4 2 2" xfId="0"/>
    <cellStyle name="Итог 2 15 4 2 2 2" xfId="0"/>
    <cellStyle name="Итог 2 15 4 2 2 3" xfId="0"/>
    <cellStyle name="Итог 2 15 4 2 3" xfId="0"/>
    <cellStyle name="Итог 2 15 4 2 4" xfId="0"/>
    <cellStyle name="Итог 2 15 4 3" xfId="0"/>
    <cellStyle name="Итог 2 15 4 3 2" xfId="0"/>
    <cellStyle name="Итог 2 15 4 3 3" xfId="0"/>
    <cellStyle name="Итог 2 15 4 4" xfId="0"/>
    <cellStyle name="Итог 2 15 4 5" xfId="0"/>
    <cellStyle name="Итог 2 15 5" xfId="0"/>
    <cellStyle name="Итог 2 15 5 2" xfId="0"/>
    <cellStyle name="Итог 2 15 5 3" xfId="0"/>
    <cellStyle name="Итог 2 15 6" xfId="0"/>
    <cellStyle name="Итог 2 15 7" xfId="0"/>
    <cellStyle name="Итог 2 16" xfId="0"/>
    <cellStyle name="Итог 2 16 2" xfId="0"/>
    <cellStyle name="Итог 2 16 2 2" xfId="0"/>
    <cellStyle name="Итог 2 16 2 2 2" xfId="0"/>
    <cellStyle name="Итог 2 16 2 2 2 2" xfId="0"/>
    <cellStyle name="Итог 2 16 2 2 2 3" xfId="0"/>
    <cellStyle name="Итог 2 16 2 2 3" xfId="0"/>
    <cellStyle name="Итог 2 16 2 2 4" xfId="0"/>
    <cellStyle name="Итог 2 16 2 3" xfId="0"/>
    <cellStyle name="Итог 2 16 2 3 2" xfId="0"/>
    <cellStyle name="Итог 2 16 2 3 2 2" xfId="0"/>
    <cellStyle name="Итог 2 16 2 3 2 3" xfId="0"/>
    <cellStyle name="Итог 2 16 2 3 3" xfId="0"/>
    <cellStyle name="Итог 2 16 2 3 4" xfId="0"/>
    <cellStyle name="Итог 2 16 2 4" xfId="0"/>
    <cellStyle name="Итог 2 16 2 4 2" xfId="0"/>
    <cellStyle name="Итог 2 16 2 4 3" xfId="0"/>
    <cellStyle name="Итог 2 16 2 5" xfId="0"/>
    <cellStyle name="Итог 2 16 2 6" xfId="0"/>
    <cellStyle name="Итог 2 16 3" xfId="0"/>
    <cellStyle name="Итог 2 16 3 2" xfId="0"/>
    <cellStyle name="Итог 2 16 3 2 2" xfId="0"/>
    <cellStyle name="Итог 2 16 3 2 2 2" xfId="0"/>
    <cellStyle name="Итог 2 16 3 2 2 3" xfId="0"/>
    <cellStyle name="Итог 2 16 3 2 3" xfId="0"/>
    <cellStyle name="Итог 2 16 3 2 4" xfId="0"/>
    <cellStyle name="Итог 2 16 3 3" xfId="0"/>
    <cellStyle name="Итог 2 16 3 3 2" xfId="0"/>
    <cellStyle name="Итог 2 16 3 3 3" xfId="0"/>
    <cellStyle name="Итог 2 16 3 4" xfId="0"/>
    <cellStyle name="Итог 2 16 3 5" xfId="0"/>
    <cellStyle name="Итог 2 16 4" xfId="0"/>
    <cellStyle name="Итог 2 16 4 2" xfId="0"/>
    <cellStyle name="Итог 2 16 4 2 2" xfId="0"/>
    <cellStyle name="Итог 2 16 4 2 2 2" xfId="0"/>
    <cellStyle name="Итог 2 16 4 2 2 3" xfId="0"/>
    <cellStyle name="Итог 2 16 4 2 3" xfId="0"/>
    <cellStyle name="Итог 2 16 4 2 4" xfId="0"/>
    <cellStyle name="Итог 2 16 4 3" xfId="0"/>
    <cellStyle name="Итог 2 16 4 3 2" xfId="0"/>
    <cellStyle name="Итог 2 16 4 3 3" xfId="0"/>
    <cellStyle name="Итог 2 16 4 4" xfId="0"/>
    <cellStyle name="Итог 2 16 4 5" xfId="0"/>
    <cellStyle name="Итог 2 16 5" xfId="0"/>
    <cellStyle name="Итог 2 16 5 2" xfId="0"/>
    <cellStyle name="Итог 2 16 5 3" xfId="0"/>
    <cellStyle name="Итог 2 16 6" xfId="0"/>
    <cellStyle name="Итог 2 16 7" xfId="0"/>
    <cellStyle name="Итог 2 17" xfId="0"/>
    <cellStyle name="Итог 2 17 2" xfId="0"/>
    <cellStyle name="Итог 2 17 2 2" xfId="0"/>
    <cellStyle name="Итог 2 17 2 2 2" xfId="0"/>
    <cellStyle name="Итог 2 17 2 2 2 2" xfId="0"/>
    <cellStyle name="Итог 2 17 2 2 2 3" xfId="0"/>
    <cellStyle name="Итог 2 17 2 2 3" xfId="0"/>
    <cellStyle name="Итог 2 17 2 2 4" xfId="0"/>
    <cellStyle name="Итог 2 17 2 3" xfId="0"/>
    <cellStyle name="Итог 2 17 2 3 2" xfId="0"/>
    <cellStyle name="Итог 2 17 2 3 2 2" xfId="0"/>
    <cellStyle name="Итог 2 17 2 3 2 3" xfId="0"/>
    <cellStyle name="Итог 2 17 2 3 3" xfId="0"/>
    <cellStyle name="Итог 2 17 2 3 4" xfId="0"/>
    <cellStyle name="Итог 2 17 2 4" xfId="0"/>
    <cellStyle name="Итог 2 17 2 4 2" xfId="0"/>
    <cellStyle name="Итог 2 17 2 4 3" xfId="0"/>
    <cellStyle name="Итог 2 17 2 5" xfId="0"/>
    <cellStyle name="Итог 2 17 2 6" xfId="0"/>
    <cellStyle name="Итог 2 17 3" xfId="0"/>
    <cellStyle name="Итог 2 17 3 2" xfId="0"/>
    <cellStyle name="Итог 2 17 3 2 2" xfId="0"/>
    <cellStyle name="Итог 2 17 3 2 2 2" xfId="0"/>
    <cellStyle name="Итог 2 17 3 2 2 3" xfId="0"/>
    <cellStyle name="Итог 2 17 3 2 3" xfId="0"/>
    <cellStyle name="Итог 2 17 3 2 4" xfId="0"/>
    <cellStyle name="Итог 2 17 3 3" xfId="0"/>
    <cellStyle name="Итог 2 17 3 3 2" xfId="0"/>
    <cellStyle name="Итог 2 17 3 3 3" xfId="0"/>
    <cellStyle name="Итог 2 17 3 4" xfId="0"/>
    <cellStyle name="Итог 2 17 3 5" xfId="0"/>
    <cellStyle name="Итог 2 17 4" xfId="0"/>
    <cellStyle name="Итог 2 17 4 2" xfId="0"/>
    <cellStyle name="Итог 2 17 4 2 2" xfId="0"/>
    <cellStyle name="Итог 2 17 4 2 2 2" xfId="0"/>
    <cellStyle name="Итог 2 17 4 2 2 3" xfId="0"/>
    <cellStyle name="Итог 2 17 4 2 3" xfId="0"/>
    <cellStyle name="Итог 2 17 4 2 4" xfId="0"/>
    <cellStyle name="Итог 2 17 4 3" xfId="0"/>
    <cellStyle name="Итог 2 17 4 3 2" xfId="0"/>
    <cellStyle name="Итог 2 17 4 3 3" xfId="0"/>
    <cellStyle name="Итог 2 17 4 4" xfId="0"/>
    <cellStyle name="Итог 2 17 4 5" xfId="0"/>
    <cellStyle name="Итог 2 17 5" xfId="0"/>
    <cellStyle name="Итог 2 17 5 2" xfId="0"/>
    <cellStyle name="Итог 2 17 5 3" xfId="0"/>
    <cellStyle name="Итог 2 17 6" xfId="0"/>
    <cellStyle name="Итог 2 17 7" xfId="0"/>
    <cellStyle name="Итог 2 18" xfId="0"/>
    <cellStyle name="Итог 2 18 2" xfId="0"/>
    <cellStyle name="Итог 2 18 2 2" xfId="0"/>
    <cellStyle name="Итог 2 18 2 2 2" xfId="0"/>
    <cellStyle name="Итог 2 18 2 2 2 2" xfId="0"/>
    <cellStyle name="Итог 2 18 2 2 2 3" xfId="0"/>
    <cellStyle name="Итог 2 18 2 2 3" xfId="0"/>
    <cellStyle name="Итог 2 18 2 2 4" xfId="0"/>
    <cellStyle name="Итог 2 18 2 3" xfId="0"/>
    <cellStyle name="Итог 2 18 2 3 2" xfId="0"/>
    <cellStyle name="Итог 2 18 2 3 2 2" xfId="0"/>
    <cellStyle name="Итог 2 18 2 3 2 3" xfId="0"/>
    <cellStyle name="Итог 2 18 2 3 3" xfId="0"/>
    <cellStyle name="Итог 2 18 2 3 4" xfId="0"/>
    <cellStyle name="Итог 2 18 2 4" xfId="0"/>
    <cellStyle name="Итог 2 18 2 4 2" xfId="0"/>
    <cellStyle name="Итог 2 18 2 4 3" xfId="0"/>
    <cellStyle name="Итог 2 18 2 5" xfId="0"/>
    <cellStyle name="Итог 2 18 2 6" xfId="0"/>
    <cellStyle name="Итог 2 18 3" xfId="0"/>
    <cellStyle name="Итог 2 18 3 2" xfId="0"/>
    <cellStyle name="Итог 2 18 3 2 2" xfId="0"/>
    <cellStyle name="Итог 2 18 3 2 2 2" xfId="0"/>
    <cellStyle name="Итог 2 18 3 2 2 3" xfId="0"/>
    <cellStyle name="Итог 2 18 3 2 3" xfId="0"/>
    <cellStyle name="Итог 2 18 3 2 4" xfId="0"/>
    <cellStyle name="Итог 2 18 3 3" xfId="0"/>
    <cellStyle name="Итог 2 18 3 3 2" xfId="0"/>
    <cellStyle name="Итог 2 18 3 3 3" xfId="0"/>
    <cellStyle name="Итог 2 18 3 4" xfId="0"/>
    <cellStyle name="Итог 2 18 3 5" xfId="0"/>
    <cellStyle name="Итог 2 18 4" xfId="0"/>
    <cellStyle name="Итог 2 18 4 2" xfId="0"/>
    <cellStyle name="Итог 2 18 4 2 2" xfId="0"/>
    <cellStyle name="Итог 2 18 4 2 2 2" xfId="0"/>
    <cellStyle name="Итог 2 18 4 2 2 3" xfId="0"/>
    <cellStyle name="Итог 2 18 4 2 3" xfId="0"/>
    <cellStyle name="Итог 2 18 4 2 4" xfId="0"/>
    <cellStyle name="Итог 2 18 4 3" xfId="0"/>
    <cellStyle name="Итог 2 18 4 3 2" xfId="0"/>
    <cellStyle name="Итог 2 18 4 3 3" xfId="0"/>
    <cellStyle name="Итог 2 18 4 4" xfId="0"/>
    <cellStyle name="Итог 2 18 4 5" xfId="0"/>
    <cellStyle name="Итог 2 18 5" xfId="0"/>
    <cellStyle name="Итог 2 18 5 2" xfId="0"/>
    <cellStyle name="Итог 2 18 5 3" xfId="0"/>
    <cellStyle name="Итог 2 18 6" xfId="0"/>
    <cellStyle name="Итог 2 18 7" xfId="0"/>
    <cellStyle name="Итог 2 19" xfId="0"/>
    <cellStyle name="Итог 2 19 2" xfId="0"/>
    <cellStyle name="Итог 2 19 2 2" xfId="0"/>
    <cellStyle name="Итог 2 19 2 2 2" xfId="0"/>
    <cellStyle name="Итог 2 19 2 2 2 2" xfId="0"/>
    <cellStyle name="Итог 2 19 2 2 2 3" xfId="0"/>
    <cellStyle name="Итог 2 19 2 2 3" xfId="0"/>
    <cellStyle name="Итог 2 19 2 2 4" xfId="0"/>
    <cellStyle name="Итог 2 19 2 3" xfId="0"/>
    <cellStyle name="Итог 2 19 2 3 2" xfId="0"/>
    <cellStyle name="Итог 2 19 2 3 2 2" xfId="0"/>
    <cellStyle name="Итог 2 19 2 3 2 3" xfId="0"/>
    <cellStyle name="Итог 2 19 2 3 3" xfId="0"/>
    <cellStyle name="Итог 2 19 2 3 4" xfId="0"/>
    <cellStyle name="Итог 2 19 2 4" xfId="0"/>
    <cellStyle name="Итог 2 19 2 4 2" xfId="0"/>
    <cellStyle name="Итог 2 19 2 4 3" xfId="0"/>
    <cellStyle name="Итог 2 19 2 5" xfId="0"/>
    <cellStyle name="Итог 2 19 2 6" xfId="0"/>
    <cellStyle name="Итог 2 19 3" xfId="0"/>
    <cellStyle name="Итог 2 19 3 2" xfId="0"/>
    <cellStyle name="Итог 2 19 3 2 2" xfId="0"/>
    <cellStyle name="Итог 2 19 3 2 2 2" xfId="0"/>
    <cellStyle name="Итог 2 19 3 2 2 3" xfId="0"/>
    <cellStyle name="Итог 2 19 3 2 3" xfId="0"/>
    <cellStyle name="Итог 2 19 3 2 4" xfId="0"/>
    <cellStyle name="Итог 2 19 3 3" xfId="0"/>
    <cellStyle name="Итог 2 19 3 3 2" xfId="0"/>
    <cellStyle name="Итог 2 19 3 3 3" xfId="0"/>
    <cellStyle name="Итог 2 19 3 4" xfId="0"/>
    <cellStyle name="Итог 2 19 3 5" xfId="0"/>
    <cellStyle name="Итог 2 19 4" xfId="0"/>
    <cellStyle name="Итог 2 19 4 2" xfId="0"/>
    <cellStyle name="Итог 2 19 4 2 2" xfId="0"/>
    <cellStyle name="Итог 2 19 4 2 2 2" xfId="0"/>
    <cellStyle name="Итог 2 19 4 2 2 3" xfId="0"/>
    <cellStyle name="Итог 2 19 4 2 3" xfId="0"/>
    <cellStyle name="Итог 2 19 4 2 4" xfId="0"/>
    <cellStyle name="Итог 2 19 4 3" xfId="0"/>
    <cellStyle name="Итог 2 19 4 3 2" xfId="0"/>
    <cellStyle name="Итог 2 19 4 3 3" xfId="0"/>
    <cellStyle name="Итог 2 19 4 4" xfId="0"/>
    <cellStyle name="Итог 2 19 4 5" xfId="0"/>
    <cellStyle name="Итог 2 19 5" xfId="0"/>
    <cellStyle name="Итог 2 19 5 2" xfId="0"/>
    <cellStyle name="Итог 2 19 5 3" xfId="0"/>
    <cellStyle name="Итог 2 19 6" xfId="0"/>
    <cellStyle name="Итог 2 19 7" xfId="0"/>
    <cellStyle name="Итог 2 2" xfId="0"/>
    <cellStyle name="Итог 2 2 10" xfId="0"/>
    <cellStyle name="Итог 2 2 10 2" xfId="0"/>
    <cellStyle name="Итог 2 2 10 3" xfId="0"/>
    <cellStyle name="Итог 2 2 11" xfId="0"/>
    <cellStyle name="Итог 2 2 12" xfId="0"/>
    <cellStyle name="Итог 2 2 2" xfId="0"/>
    <cellStyle name="Итог 2 2 2 2" xfId="0"/>
    <cellStyle name="Итог 2 2 2 2 2" xfId="0"/>
    <cellStyle name="Итог 2 2 2 2 2 2" xfId="0"/>
    <cellStyle name="Итог 2 2 2 2 2 2 2" xfId="0"/>
    <cellStyle name="Итог 2 2 2 2 2 2 3" xfId="0"/>
    <cellStyle name="Итог 2 2 2 2 2 3" xfId="0"/>
    <cellStyle name="Итог 2 2 2 2 2 4" xfId="0"/>
    <cellStyle name="Итог 2 2 2 2 3" xfId="0"/>
    <cellStyle name="Итог 2 2 2 2 3 2" xfId="0"/>
    <cellStyle name="Итог 2 2 2 2 3 3" xfId="0"/>
    <cellStyle name="Итог 2 2 2 2 4" xfId="0"/>
    <cellStyle name="Итог 2 2 2 2 5" xfId="0"/>
    <cellStyle name="Итог 2 2 2 3" xfId="0"/>
    <cellStyle name="Итог 2 2 2 3 2" xfId="0"/>
    <cellStyle name="Итог 2 2 2 3 2 2" xfId="0"/>
    <cellStyle name="Итог 2 2 2 3 2 3" xfId="0"/>
    <cellStyle name="Итог 2 2 2 3 3" xfId="0"/>
    <cellStyle name="Итог 2 2 2 3 4" xfId="0"/>
    <cellStyle name="Итог 2 2 2 4" xfId="0"/>
    <cellStyle name="Итог 2 2 2 4 2" xfId="0"/>
    <cellStyle name="Итог 2 2 2 4 3" xfId="0"/>
    <cellStyle name="Итог 2 2 2 5" xfId="0"/>
    <cellStyle name="Итог 2 2 2 6" xfId="0"/>
    <cellStyle name="Итог 2 2 3" xfId="0"/>
    <cellStyle name="Итог 2 2 3 2" xfId="0"/>
    <cellStyle name="Итог 2 2 3 2 2" xfId="0"/>
    <cellStyle name="Итог 2 2 3 2 2 2" xfId="0"/>
    <cellStyle name="Итог 2 2 3 2 2 2 2" xfId="0"/>
    <cellStyle name="Итог 2 2 3 2 2 2 3" xfId="0"/>
    <cellStyle name="Итог 2 2 3 2 2 3" xfId="0"/>
    <cellStyle name="Итог 2 2 3 2 2 4" xfId="0"/>
    <cellStyle name="Итог 2 2 3 2 3" xfId="0"/>
    <cellStyle name="Итог 2 2 3 2 3 2" xfId="0"/>
    <cellStyle name="Итог 2 2 3 2 3 3" xfId="0"/>
    <cellStyle name="Итог 2 2 3 2 4" xfId="0"/>
    <cellStyle name="Итог 2 2 3 2 5" xfId="0"/>
    <cellStyle name="Итог 2 2 3 3" xfId="0"/>
    <cellStyle name="Итог 2 2 3 3 2" xfId="0"/>
    <cellStyle name="Итог 2 2 3 3 2 2" xfId="0"/>
    <cellStyle name="Итог 2 2 3 3 2 3" xfId="0"/>
    <cellStyle name="Итог 2 2 3 3 3" xfId="0"/>
    <cellStyle name="Итог 2 2 3 3 4" xfId="0"/>
    <cellStyle name="Итог 2 2 3 4" xfId="0"/>
    <cellStyle name="Итог 2 2 3 4 2" xfId="0"/>
    <cellStyle name="Итог 2 2 3 4 3" xfId="0"/>
    <cellStyle name="Итог 2 2 3 5" xfId="0"/>
    <cellStyle name="Итог 2 2 3 6" xfId="0"/>
    <cellStyle name="Итог 2 2 4" xfId="0"/>
    <cellStyle name="Итог 2 2 4 2" xfId="0"/>
    <cellStyle name="Итог 2 2 4 2 2" xfId="0"/>
    <cellStyle name="Итог 2 2 4 2 2 2" xfId="0"/>
    <cellStyle name="Итог 2 2 4 2 2 2 2" xfId="0"/>
    <cellStyle name="Итог 2 2 4 2 2 2 3" xfId="0"/>
    <cellStyle name="Итог 2 2 4 2 2 3" xfId="0"/>
    <cellStyle name="Итог 2 2 4 2 2 4" xfId="0"/>
    <cellStyle name="Итог 2 2 4 2 3" xfId="0"/>
    <cellStyle name="Итог 2 2 4 2 3 2" xfId="0"/>
    <cellStyle name="Итог 2 2 4 2 3 3" xfId="0"/>
    <cellStyle name="Итог 2 2 4 2 4" xfId="0"/>
    <cellStyle name="Итог 2 2 4 2 5" xfId="0"/>
    <cellStyle name="Итог 2 2 4 3" xfId="0"/>
    <cellStyle name="Итог 2 2 4 3 2" xfId="0"/>
    <cellStyle name="Итог 2 2 4 3 2 2" xfId="0"/>
    <cellStyle name="Итог 2 2 4 3 2 3" xfId="0"/>
    <cellStyle name="Итог 2 2 4 3 3" xfId="0"/>
    <cellStyle name="Итог 2 2 4 3 4" xfId="0"/>
    <cellStyle name="Итог 2 2 4 4" xfId="0"/>
    <cellStyle name="Итог 2 2 4 4 2" xfId="0"/>
    <cellStyle name="Итог 2 2 4 4 3" xfId="0"/>
    <cellStyle name="Итог 2 2 4 5" xfId="0"/>
    <cellStyle name="Итог 2 2 4 6" xfId="0"/>
    <cellStyle name="Итог 2 2 5" xfId="0"/>
    <cellStyle name="Итог 2 2 5 2" xfId="0"/>
    <cellStyle name="Итог 2 2 5 2 2" xfId="0"/>
    <cellStyle name="Итог 2 2 5 2 2 2" xfId="0"/>
    <cellStyle name="Итог 2 2 5 2 2 2 2" xfId="0"/>
    <cellStyle name="Итог 2 2 5 2 2 2 3" xfId="0"/>
    <cellStyle name="Итог 2 2 5 2 2 3" xfId="0"/>
    <cellStyle name="Итог 2 2 5 2 2 4" xfId="0"/>
    <cellStyle name="Итог 2 2 5 2 3" xfId="0"/>
    <cellStyle name="Итог 2 2 5 2 3 2" xfId="0"/>
    <cellStyle name="Итог 2 2 5 2 3 3" xfId="0"/>
    <cellStyle name="Итог 2 2 5 2 4" xfId="0"/>
    <cellStyle name="Итог 2 2 5 2 5" xfId="0"/>
    <cellStyle name="Итог 2 2 5 3" xfId="0"/>
    <cellStyle name="Итог 2 2 5 3 2" xfId="0"/>
    <cellStyle name="Итог 2 2 5 3 2 2" xfId="0"/>
    <cellStyle name="Итог 2 2 5 3 2 3" xfId="0"/>
    <cellStyle name="Итог 2 2 5 3 3" xfId="0"/>
    <cellStyle name="Итог 2 2 5 3 4" xfId="0"/>
    <cellStyle name="Итог 2 2 5 4" xfId="0"/>
    <cellStyle name="Итог 2 2 5 4 2" xfId="0"/>
    <cellStyle name="Итог 2 2 5 4 3" xfId="0"/>
    <cellStyle name="Итог 2 2 5 5" xfId="0"/>
    <cellStyle name="Итог 2 2 5 6" xfId="0"/>
    <cellStyle name="Итог 2 2 6" xfId="0"/>
    <cellStyle name="Итог 2 2 6 2" xfId="0"/>
    <cellStyle name="Итог 2 2 6 2 2" xfId="0"/>
    <cellStyle name="Итог 2 2 6 2 2 2" xfId="0"/>
    <cellStyle name="Итог 2 2 6 2 2 3" xfId="0"/>
    <cellStyle name="Итог 2 2 6 2 3" xfId="0"/>
    <cellStyle name="Итог 2 2 6 2 4" xfId="0"/>
    <cellStyle name="Итог 2 2 6 3" xfId="0"/>
    <cellStyle name="Итог 2 2 6 3 2" xfId="0"/>
    <cellStyle name="Итог 2 2 6 3 3" xfId="0"/>
    <cellStyle name="Итог 2 2 6 4" xfId="0"/>
    <cellStyle name="Итог 2 2 6 5" xfId="0"/>
    <cellStyle name="Итог 2 2 7" xfId="0"/>
    <cellStyle name="Итог 2 2 7 2" xfId="0"/>
    <cellStyle name="Итог 2 2 7 2 2" xfId="0"/>
    <cellStyle name="Итог 2 2 7 2 2 2" xfId="0"/>
    <cellStyle name="Итог 2 2 7 2 2 3" xfId="0"/>
    <cellStyle name="Итог 2 2 7 2 3" xfId="0"/>
    <cellStyle name="Итог 2 2 7 2 4" xfId="0"/>
    <cellStyle name="Итог 2 2 7 3" xfId="0"/>
    <cellStyle name="Итог 2 2 7 3 2" xfId="0"/>
    <cellStyle name="Итог 2 2 7 3 3" xfId="0"/>
    <cellStyle name="Итог 2 2 7 4" xfId="0"/>
    <cellStyle name="Итог 2 2 7 5" xfId="0"/>
    <cellStyle name="Итог 2 2 8" xfId="0"/>
    <cellStyle name="Итог 2 2 8 2" xfId="0"/>
    <cellStyle name="Итог 2 2 8 2 2" xfId="0"/>
    <cellStyle name="Итог 2 2 8 2 2 2" xfId="0"/>
    <cellStyle name="Итог 2 2 8 2 2 3" xfId="0"/>
    <cellStyle name="Итог 2 2 8 2 3" xfId="0"/>
    <cellStyle name="Итог 2 2 8 2 4" xfId="0"/>
    <cellStyle name="Итог 2 2 8 3" xfId="0"/>
    <cellStyle name="Итог 2 2 8 3 2" xfId="0"/>
    <cellStyle name="Итог 2 2 8 3 3" xfId="0"/>
    <cellStyle name="Итог 2 2 8 4" xfId="0"/>
    <cellStyle name="Итог 2 2 8 5" xfId="0"/>
    <cellStyle name="Итог 2 2 9" xfId="0"/>
    <cellStyle name="Итог 2 2 9 2" xfId="0"/>
    <cellStyle name="Итог 2 2 9 3" xfId="0"/>
    <cellStyle name="Итог 2 20" xfId="0"/>
    <cellStyle name="Итог 2 20 2" xfId="0"/>
    <cellStyle name="Итог 2 20 2 2" xfId="0"/>
    <cellStyle name="Итог 2 20 2 2 2" xfId="0"/>
    <cellStyle name="Итог 2 20 2 2 2 2" xfId="0"/>
    <cellStyle name="Итог 2 20 2 2 2 3" xfId="0"/>
    <cellStyle name="Итог 2 20 2 2 3" xfId="0"/>
    <cellStyle name="Итог 2 20 2 2 4" xfId="0"/>
    <cellStyle name="Итог 2 20 2 3" xfId="0"/>
    <cellStyle name="Итог 2 20 2 3 2" xfId="0"/>
    <cellStyle name="Итог 2 20 2 3 2 2" xfId="0"/>
    <cellStyle name="Итог 2 20 2 3 2 3" xfId="0"/>
    <cellStyle name="Итог 2 20 2 3 3" xfId="0"/>
    <cellStyle name="Итог 2 20 2 3 4" xfId="0"/>
    <cellStyle name="Итог 2 20 2 4" xfId="0"/>
    <cellStyle name="Итог 2 20 2 4 2" xfId="0"/>
    <cellStyle name="Итог 2 20 2 4 3" xfId="0"/>
    <cellStyle name="Итог 2 20 2 5" xfId="0"/>
    <cellStyle name="Итог 2 20 2 6" xfId="0"/>
    <cellStyle name="Итог 2 20 3" xfId="0"/>
    <cellStyle name="Итог 2 20 3 2" xfId="0"/>
    <cellStyle name="Итог 2 20 3 2 2" xfId="0"/>
    <cellStyle name="Итог 2 20 3 2 2 2" xfId="0"/>
    <cellStyle name="Итог 2 20 3 2 2 3" xfId="0"/>
    <cellStyle name="Итог 2 20 3 2 3" xfId="0"/>
    <cellStyle name="Итог 2 20 3 2 4" xfId="0"/>
    <cellStyle name="Итог 2 20 3 3" xfId="0"/>
    <cellStyle name="Итог 2 20 3 3 2" xfId="0"/>
    <cellStyle name="Итог 2 20 3 3 3" xfId="0"/>
    <cellStyle name="Итог 2 20 3 4" xfId="0"/>
    <cellStyle name="Итог 2 20 3 5" xfId="0"/>
    <cellStyle name="Итог 2 20 4" xfId="0"/>
    <cellStyle name="Итог 2 20 4 2" xfId="0"/>
    <cellStyle name="Итог 2 20 4 2 2" xfId="0"/>
    <cellStyle name="Итог 2 20 4 2 2 2" xfId="0"/>
    <cellStyle name="Итог 2 20 4 2 2 3" xfId="0"/>
    <cellStyle name="Итог 2 20 4 2 3" xfId="0"/>
    <cellStyle name="Итог 2 20 4 2 4" xfId="0"/>
    <cellStyle name="Итог 2 20 4 3" xfId="0"/>
    <cellStyle name="Итог 2 20 4 3 2" xfId="0"/>
    <cellStyle name="Итог 2 20 4 3 3" xfId="0"/>
    <cellStyle name="Итог 2 20 4 4" xfId="0"/>
    <cellStyle name="Итог 2 20 4 5" xfId="0"/>
    <cellStyle name="Итог 2 20 5" xfId="0"/>
    <cellStyle name="Итог 2 20 5 2" xfId="0"/>
    <cellStyle name="Итог 2 20 5 2 2" xfId="0"/>
    <cellStyle name="Итог 2 20 5 2 3" xfId="0"/>
    <cellStyle name="Итог 2 20 5 3" xfId="0"/>
    <cellStyle name="Итог 2 20 5 4" xfId="0"/>
    <cellStyle name="Итог 2 20 6" xfId="0"/>
    <cellStyle name="Итог 2 20 6 2" xfId="0"/>
    <cellStyle name="Итог 2 20 6 3" xfId="0"/>
    <cellStyle name="Итог 2 20 7" xfId="0"/>
    <cellStyle name="Итог 2 20 8" xfId="0"/>
    <cellStyle name="Итог 2 21" xfId="0"/>
    <cellStyle name="Итог 2 21 2" xfId="0"/>
    <cellStyle name="Итог 2 21 2 2" xfId="0"/>
    <cellStyle name="Итог 2 21 2 2 2" xfId="0"/>
    <cellStyle name="Итог 2 21 2 2 3" xfId="0"/>
    <cellStyle name="Итог 2 21 2 3" xfId="0"/>
    <cellStyle name="Итог 2 21 2 4" xfId="0"/>
    <cellStyle name="Итог 2 21 3" xfId="0"/>
    <cellStyle name="Итог 2 21 3 2" xfId="0"/>
    <cellStyle name="Итог 2 21 3 2 2" xfId="0"/>
    <cellStyle name="Итог 2 21 3 2 3" xfId="0"/>
    <cellStyle name="Итог 2 21 3 3" xfId="0"/>
    <cellStyle name="Итог 2 21 3 4" xfId="0"/>
    <cellStyle name="Итог 2 21 4" xfId="0"/>
    <cellStyle name="Итог 2 21 4 2" xfId="0"/>
    <cellStyle name="Итог 2 21 4 3" xfId="0"/>
    <cellStyle name="Итог 2 21 5" xfId="0"/>
    <cellStyle name="Итог 2 21 6" xfId="0"/>
    <cellStyle name="Итог 2 22" xfId="0"/>
    <cellStyle name="Итог 2 22 2" xfId="0"/>
    <cellStyle name="Итог 2 22 2 2" xfId="0"/>
    <cellStyle name="Итог 2 22 2 2 2" xfId="0"/>
    <cellStyle name="Итог 2 22 2 2 3" xfId="0"/>
    <cellStyle name="Итог 2 22 2 3" xfId="0"/>
    <cellStyle name="Итог 2 22 2 4" xfId="0"/>
    <cellStyle name="Итог 2 22 3" xfId="0"/>
    <cellStyle name="Итог 2 22 3 2" xfId="0"/>
    <cellStyle name="Итог 2 22 3 2 2" xfId="0"/>
    <cellStyle name="Итог 2 22 3 2 3" xfId="0"/>
    <cellStyle name="Итог 2 22 3 3" xfId="0"/>
    <cellStyle name="Итог 2 22 3 4" xfId="0"/>
    <cellStyle name="Итог 2 22 4" xfId="0"/>
    <cellStyle name="Итог 2 22 4 2" xfId="0"/>
    <cellStyle name="Итог 2 22 4 3" xfId="0"/>
    <cellStyle name="Итог 2 22 5" xfId="0"/>
    <cellStyle name="Итог 2 22 6" xfId="0"/>
    <cellStyle name="Итог 2 23" xfId="0"/>
    <cellStyle name="Итог 2 23 2" xfId="0"/>
    <cellStyle name="Итог 2 23 2 2" xfId="0"/>
    <cellStyle name="Итог 2 23 2 2 2" xfId="0"/>
    <cellStyle name="Итог 2 23 2 2 3" xfId="0"/>
    <cellStyle name="Итог 2 23 2 3" xfId="0"/>
    <cellStyle name="Итог 2 23 2 4" xfId="0"/>
    <cellStyle name="Итог 2 23 3" xfId="0"/>
    <cellStyle name="Итог 2 23 3 2" xfId="0"/>
    <cellStyle name="Итог 2 23 3 2 2" xfId="0"/>
    <cellStyle name="Итог 2 23 3 2 3" xfId="0"/>
    <cellStyle name="Итог 2 23 3 3" xfId="0"/>
    <cellStyle name="Итог 2 23 3 4" xfId="0"/>
    <cellStyle name="Итог 2 23 4" xfId="0"/>
    <cellStyle name="Итог 2 23 4 2" xfId="0"/>
    <cellStyle name="Итог 2 23 4 3" xfId="0"/>
    <cellStyle name="Итог 2 23 5" xfId="0"/>
    <cellStyle name="Итог 2 23 6" xfId="0"/>
    <cellStyle name="Итог 2 24" xfId="0"/>
    <cellStyle name="Итог 2 24 2" xfId="0"/>
    <cellStyle name="Итог 2 24 2 2" xfId="0"/>
    <cellStyle name="Итог 2 24 2 2 2" xfId="0"/>
    <cellStyle name="Итог 2 24 2 2 3" xfId="0"/>
    <cellStyle name="Итог 2 24 2 3" xfId="0"/>
    <cellStyle name="Итог 2 24 2 4" xfId="0"/>
    <cellStyle name="Итог 2 24 3" xfId="0"/>
    <cellStyle name="Итог 2 24 3 2" xfId="0"/>
    <cellStyle name="Итог 2 24 3 2 2" xfId="0"/>
    <cellStyle name="Итог 2 24 3 2 3" xfId="0"/>
    <cellStyle name="Итог 2 24 3 3" xfId="0"/>
    <cellStyle name="Итог 2 24 3 4" xfId="0"/>
    <cellStyle name="Итог 2 24 4" xfId="0"/>
    <cellStyle name="Итог 2 24 4 2" xfId="0"/>
    <cellStyle name="Итог 2 24 4 3" xfId="0"/>
    <cellStyle name="Итог 2 24 5" xfId="0"/>
    <cellStyle name="Итог 2 24 6" xfId="0"/>
    <cellStyle name="Итог 2 25" xfId="0"/>
    <cellStyle name="Итог 2 25 2" xfId="0"/>
    <cellStyle name="Итог 2 25 2 2" xfId="0"/>
    <cellStyle name="Итог 2 25 2 2 2" xfId="0"/>
    <cellStyle name="Итог 2 25 2 2 3" xfId="0"/>
    <cellStyle name="Итог 2 25 2 3" xfId="0"/>
    <cellStyle name="Итог 2 25 2 4" xfId="0"/>
    <cellStyle name="Итог 2 25 3" xfId="0"/>
    <cellStyle name="Итог 2 25 3 2" xfId="0"/>
    <cellStyle name="Итог 2 25 3 2 2" xfId="0"/>
    <cellStyle name="Итог 2 25 3 2 3" xfId="0"/>
    <cellStyle name="Итог 2 25 3 3" xfId="0"/>
    <cellStyle name="Итог 2 25 3 4" xfId="0"/>
    <cellStyle name="Итог 2 25 4" xfId="0"/>
    <cellStyle name="Итог 2 25 4 2" xfId="0"/>
    <cellStyle name="Итог 2 25 4 3" xfId="0"/>
    <cellStyle name="Итог 2 25 5" xfId="0"/>
    <cellStyle name="Итог 2 25 6" xfId="0"/>
    <cellStyle name="Итог 2 26" xfId="0"/>
    <cellStyle name="Итог 2 26 2" xfId="0"/>
    <cellStyle name="Итог 2 26 2 2" xfId="0"/>
    <cellStyle name="Итог 2 26 2 2 2" xfId="0"/>
    <cellStyle name="Итог 2 26 2 2 3" xfId="0"/>
    <cellStyle name="Итог 2 26 2 3" xfId="0"/>
    <cellStyle name="Итог 2 26 2 4" xfId="0"/>
    <cellStyle name="Итог 2 26 3" xfId="0"/>
    <cellStyle name="Итог 2 26 3 2" xfId="0"/>
    <cellStyle name="Итог 2 26 3 3" xfId="0"/>
    <cellStyle name="Итог 2 26 4" xfId="0"/>
    <cellStyle name="Итог 2 26 5" xfId="0"/>
    <cellStyle name="Итог 2 27" xfId="0"/>
    <cellStyle name="Итог 2 27 2" xfId="0"/>
    <cellStyle name="Итог 2 27 2 2" xfId="0"/>
    <cellStyle name="Итог 2 27 2 2 2" xfId="0"/>
    <cellStyle name="Итог 2 27 2 2 3" xfId="0"/>
    <cellStyle name="Итог 2 27 2 3" xfId="0"/>
    <cellStyle name="Итог 2 27 2 4" xfId="0"/>
    <cellStyle name="Итог 2 27 3" xfId="0"/>
    <cellStyle name="Итог 2 27 3 2" xfId="0"/>
    <cellStyle name="Итог 2 27 3 3" xfId="0"/>
    <cellStyle name="Итог 2 27 4" xfId="0"/>
    <cellStyle name="Итог 2 27 5" xfId="0"/>
    <cellStyle name="Итог 2 28" xfId="0"/>
    <cellStyle name="Итог 2 28 2" xfId="0"/>
    <cellStyle name="Итог 2 28 2 2" xfId="0"/>
    <cellStyle name="Итог 2 28 2 2 2" xfId="0"/>
    <cellStyle name="Итог 2 28 2 2 3" xfId="0"/>
    <cellStyle name="Итог 2 28 2 3" xfId="0"/>
    <cellStyle name="Итог 2 28 2 4" xfId="0"/>
    <cellStyle name="Итог 2 28 3" xfId="0"/>
    <cellStyle name="Итог 2 28 3 2" xfId="0"/>
    <cellStyle name="Итог 2 28 3 3" xfId="0"/>
    <cellStyle name="Итог 2 28 4" xfId="0"/>
    <cellStyle name="Итог 2 28 5" xfId="0"/>
    <cellStyle name="Итог 2 29" xfId="0"/>
    <cellStyle name="Итог 2 29 2" xfId="0"/>
    <cellStyle name="Итог 2 29 2 2" xfId="0"/>
    <cellStyle name="Итог 2 29 2 3" xfId="0"/>
    <cellStyle name="Итог 2 29 3" xfId="0"/>
    <cellStyle name="Итог 2 29 4" xfId="0"/>
    <cellStyle name="Итог 2 3" xfId="0"/>
    <cellStyle name="Итог 2 3 10" xfId="0"/>
    <cellStyle name="Итог 2 3 2" xfId="0"/>
    <cellStyle name="Итог 2 3 2 2" xfId="0"/>
    <cellStyle name="Итог 2 3 2 2 2" xfId="0"/>
    <cellStyle name="Итог 2 3 2 2 2 2" xfId="0"/>
    <cellStyle name="Итог 2 3 2 2 2 3" xfId="0"/>
    <cellStyle name="Итог 2 3 2 2 3" xfId="0"/>
    <cellStyle name="Итог 2 3 2 2 4" xfId="0"/>
    <cellStyle name="Итог 2 3 2 3" xfId="0"/>
    <cellStyle name="Итог 2 3 2 3 2" xfId="0"/>
    <cellStyle name="Итог 2 3 2 3 2 2" xfId="0"/>
    <cellStyle name="Итог 2 3 2 3 2 3" xfId="0"/>
    <cellStyle name="Итог 2 3 2 3 3" xfId="0"/>
    <cellStyle name="Итог 2 3 2 3 4" xfId="0"/>
    <cellStyle name="Итог 2 3 2 4" xfId="0"/>
    <cellStyle name="Итог 2 3 2 4 2" xfId="0"/>
    <cellStyle name="Итог 2 3 2 4 3" xfId="0"/>
    <cellStyle name="Итог 2 3 2 5" xfId="0"/>
    <cellStyle name="Итог 2 3 2 6" xfId="0"/>
    <cellStyle name="Итог 2 3 3" xfId="0"/>
    <cellStyle name="Итог 2 3 3 2" xfId="0"/>
    <cellStyle name="Итог 2 3 3 2 2" xfId="0"/>
    <cellStyle name="Итог 2 3 3 2 2 2" xfId="0"/>
    <cellStyle name="Итог 2 3 3 2 2 3" xfId="0"/>
    <cellStyle name="Итог 2 3 3 2 3" xfId="0"/>
    <cellStyle name="Итог 2 3 3 2 4" xfId="0"/>
    <cellStyle name="Итог 2 3 3 3" xfId="0"/>
    <cellStyle name="Итог 2 3 3 3 2" xfId="0"/>
    <cellStyle name="Итог 2 3 3 3 2 2" xfId="0"/>
    <cellStyle name="Итог 2 3 3 3 2 3" xfId="0"/>
    <cellStyle name="Итог 2 3 3 3 3" xfId="0"/>
    <cellStyle name="Итог 2 3 3 3 4" xfId="0"/>
    <cellStyle name="Итог 2 3 3 4" xfId="0"/>
    <cellStyle name="Итог 2 3 3 4 2" xfId="0"/>
    <cellStyle name="Итог 2 3 3 4 3" xfId="0"/>
    <cellStyle name="Итог 2 3 3 5" xfId="0"/>
    <cellStyle name="Итог 2 3 3 6" xfId="0"/>
    <cellStyle name="Итог 2 3 4" xfId="0"/>
    <cellStyle name="Итог 2 3 4 2" xfId="0"/>
    <cellStyle name="Итог 2 3 4 2 2" xfId="0"/>
    <cellStyle name="Итог 2 3 4 2 2 2" xfId="0"/>
    <cellStyle name="Итог 2 3 4 2 2 3" xfId="0"/>
    <cellStyle name="Итог 2 3 4 2 3" xfId="0"/>
    <cellStyle name="Итог 2 3 4 2 4" xfId="0"/>
    <cellStyle name="Итог 2 3 4 3" xfId="0"/>
    <cellStyle name="Итог 2 3 4 3 2" xfId="0"/>
    <cellStyle name="Итог 2 3 4 3 2 2" xfId="0"/>
    <cellStyle name="Итог 2 3 4 3 2 3" xfId="0"/>
    <cellStyle name="Итог 2 3 4 3 3" xfId="0"/>
    <cellStyle name="Итог 2 3 4 3 4" xfId="0"/>
    <cellStyle name="Итог 2 3 4 4" xfId="0"/>
    <cellStyle name="Итог 2 3 4 4 2" xfId="0"/>
    <cellStyle name="Итог 2 3 4 4 3" xfId="0"/>
    <cellStyle name="Итог 2 3 4 5" xfId="0"/>
    <cellStyle name="Итог 2 3 4 6" xfId="0"/>
    <cellStyle name="Итог 2 3 5" xfId="0"/>
    <cellStyle name="Итог 2 3 5 2" xfId="0"/>
    <cellStyle name="Итог 2 3 5 2 2" xfId="0"/>
    <cellStyle name="Итог 2 3 5 2 2 2" xfId="0"/>
    <cellStyle name="Итог 2 3 5 2 2 3" xfId="0"/>
    <cellStyle name="Итог 2 3 5 2 3" xfId="0"/>
    <cellStyle name="Итог 2 3 5 2 4" xfId="0"/>
    <cellStyle name="Итог 2 3 5 3" xfId="0"/>
    <cellStyle name="Итог 2 3 5 3 2" xfId="0"/>
    <cellStyle name="Итог 2 3 5 3 2 2" xfId="0"/>
    <cellStyle name="Итог 2 3 5 3 2 3" xfId="0"/>
    <cellStyle name="Итог 2 3 5 3 3" xfId="0"/>
    <cellStyle name="Итог 2 3 5 3 4" xfId="0"/>
    <cellStyle name="Итог 2 3 5 4" xfId="0"/>
    <cellStyle name="Итог 2 3 5 4 2" xfId="0"/>
    <cellStyle name="Итог 2 3 5 4 3" xfId="0"/>
    <cellStyle name="Итог 2 3 5 5" xfId="0"/>
    <cellStyle name="Итог 2 3 5 6" xfId="0"/>
    <cellStyle name="Итог 2 3 6" xfId="0"/>
    <cellStyle name="Итог 2 3 6 2" xfId="0"/>
    <cellStyle name="Итог 2 3 6 2 2" xfId="0"/>
    <cellStyle name="Итог 2 3 6 2 2 2" xfId="0"/>
    <cellStyle name="Итог 2 3 6 2 2 3" xfId="0"/>
    <cellStyle name="Итог 2 3 6 2 3" xfId="0"/>
    <cellStyle name="Итог 2 3 6 2 4" xfId="0"/>
    <cellStyle name="Итог 2 3 6 3" xfId="0"/>
    <cellStyle name="Итог 2 3 6 3 2" xfId="0"/>
    <cellStyle name="Итог 2 3 6 3 3" xfId="0"/>
    <cellStyle name="Итог 2 3 6 4" xfId="0"/>
    <cellStyle name="Итог 2 3 6 5" xfId="0"/>
    <cellStyle name="Итог 2 3 7" xfId="0"/>
    <cellStyle name="Итог 2 3 7 2" xfId="0"/>
    <cellStyle name="Итог 2 3 7 2 2" xfId="0"/>
    <cellStyle name="Итог 2 3 7 2 2 2" xfId="0"/>
    <cellStyle name="Итог 2 3 7 2 2 3" xfId="0"/>
    <cellStyle name="Итог 2 3 7 2 3" xfId="0"/>
    <cellStyle name="Итог 2 3 7 2 4" xfId="0"/>
    <cellStyle name="Итог 2 3 7 3" xfId="0"/>
    <cellStyle name="Итог 2 3 7 3 2" xfId="0"/>
    <cellStyle name="Итог 2 3 7 3 3" xfId="0"/>
    <cellStyle name="Итог 2 3 7 4" xfId="0"/>
    <cellStyle name="Итог 2 3 7 5" xfId="0"/>
    <cellStyle name="Итог 2 3 8" xfId="0"/>
    <cellStyle name="Итог 2 3 8 2" xfId="0"/>
    <cellStyle name="Итог 2 3 8 3" xfId="0"/>
    <cellStyle name="Итог 2 3 9" xfId="0"/>
    <cellStyle name="Итог 2 30" xfId="0"/>
    <cellStyle name="Итог 2 30 2" xfId="0"/>
    <cellStyle name="Итог 2 30 3" xfId="0"/>
    <cellStyle name="Итог 2 31" xfId="0"/>
    <cellStyle name="Итог 2 31 2" xfId="0"/>
    <cellStyle name="Итог 2 31 3" xfId="0"/>
    <cellStyle name="Итог 2 32" xfId="0"/>
    <cellStyle name="Итог 2 32 2" xfId="0"/>
    <cellStyle name="Итог 2 32 3" xfId="0"/>
    <cellStyle name="Итог 2 33" xfId="0"/>
    <cellStyle name="Итог 2 33 2" xfId="0"/>
    <cellStyle name="Итог 2 33 3" xfId="0"/>
    <cellStyle name="Итог 2 34" xfId="0"/>
    <cellStyle name="Итог 2 4" xfId="0"/>
    <cellStyle name="Итог 2 4 10" xfId="0"/>
    <cellStyle name="Итог 2 4 2" xfId="0"/>
    <cellStyle name="Итог 2 4 2 2" xfId="0"/>
    <cellStyle name="Итог 2 4 2 2 2" xfId="0"/>
    <cellStyle name="Итог 2 4 2 2 2 2" xfId="0"/>
    <cellStyle name="Итог 2 4 2 2 2 3" xfId="0"/>
    <cellStyle name="Итог 2 4 2 2 3" xfId="0"/>
    <cellStyle name="Итог 2 4 2 2 4" xfId="0"/>
    <cellStyle name="Итог 2 4 2 3" xfId="0"/>
    <cellStyle name="Итог 2 4 2 3 2" xfId="0"/>
    <cellStyle name="Итог 2 4 2 3 2 2" xfId="0"/>
    <cellStyle name="Итог 2 4 2 3 2 3" xfId="0"/>
    <cellStyle name="Итог 2 4 2 3 3" xfId="0"/>
    <cellStyle name="Итог 2 4 2 3 4" xfId="0"/>
    <cellStyle name="Итог 2 4 2 4" xfId="0"/>
    <cellStyle name="Итог 2 4 2 4 2" xfId="0"/>
    <cellStyle name="Итог 2 4 2 4 3" xfId="0"/>
    <cellStyle name="Итог 2 4 2 5" xfId="0"/>
    <cellStyle name="Итог 2 4 2 6" xfId="0"/>
    <cellStyle name="Итог 2 4 3" xfId="0"/>
    <cellStyle name="Итог 2 4 3 2" xfId="0"/>
    <cellStyle name="Итог 2 4 3 2 2" xfId="0"/>
    <cellStyle name="Итог 2 4 3 2 2 2" xfId="0"/>
    <cellStyle name="Итог 2 4 3 2 2 3" xfId="0"/>
    <cellStyle name="Итог 2 4 3 2 3" xfId="0"/>
    <cellStyle name="Итог 2 4 3 2 4" xfId="0"/>
    <cellStyle name="Итог 2 4 3 3" xfId="0"/>
    <cellStyle name="Итог 2 4 3 3 2" xfId="0"/>
    <cellStyle name="Итог 2 4 3 3 2 2" xfId="0"/>
    <cellStyle name="Итог 2 4 3 3 2 3" xfId="0"/>
    <cellStyle name="Итог 2 4 3 3 3" xfId="0"/>
    <cellStyle name="Итог 2 4 3 3 4" xfId="0"/>
    <cellStyle name="Итог 2 4 3 4" xfId="0"/>
    <cellStyle name="Итог 2 4 3 4 2" xfId="0"/>
    <cellStyle name="Итог 2 4 3 4 3" xfId="0"/>
    <cellStyle name="Итог 2 4 3 5" xfId="0"/>
    <cellStyle name="Итог 2 4 3 6" xfId="0"/>
    <cellStyle name="Итог 2 4 4" xfId="0"/>
    <cellStyle name="Итог 2 4 4 2" xfId="0"/>
    <cellStyle name="Итог 2 4 4 2 2" xfId="0"/>
    <cellStyle name="Итог 2 4 4 2 2 2" xfId="0"/>
    <cellStyle name="Итог 2 4 4 2 2 3" xfId="0"/>
    <cellStyle name="Итог 2 4 4 2 3" xfId="0"/>
    <cellStyle name="Итог 2 4 4 2 4" xfId="0"/>
    <cellStyle name="Итог 2 4 4 3" xfId="0"/>
    <cellStyle name="Итог 2 4 4 3 2" xfId="0"/>
    <cellStyle name="Итог 2 4 4 3 2 2" xfId="0"/>
    <cellStyle name="Итог 2 4 4 3 2 3" xfId="0"/>
    <cellStyle name="Итог 2 4 4 3 3" xfId="0"/>
    <cellStyle name="Итог 2 4 4 3 4" xfId="0"/>
    <cellStyle name="Итог 2 4 4 4" xfId="0"/>
    <cellStyle name="Итог 2 4 4 4 2" xfId="0"/>
    <cellStyle name="Итог 2 4 4 4 3" xfId="0"/>
    <cellStyle name="Итог 2 4 4 5" xfId="0"/>
    <cellStyle name="Итог 2 4 4 6" xfId="0"/>
    <cellStyle name="Итог 2 4 5" xfId="0"/>
    <cellStyle name="Итог 2 4 5 2" xfId="0"/>
    <cellStyle name="Итог 2 4 5 2 2" xfId="0"/>
    <cellStyle name="Итог 2 4 5 2 2 2" xfId="0"/>
    <cellStyle name="Итог 2 4 5 2 2 3" xfId="0"/>
    <cellStyle name="Итог 2 4 5 2 3" xfId="0"/>
    <cellStyle name="Итог 2 4 5 2 4" xfId="0"/>
    <cellStyle name="Итог 2 4 5 3" xfId="0"/>
    <cellStyle name="Итог 2 4 5 3 2" xfId="0"/>
    <cellStyle name="Итог 2 4 5 3 2 2" xfId="0"/>
    <cellStyle name="Итог 2 4 5 3 2 3" xfId="0"/>
    <cellStyle name="Итог 2 4 5 3 3" xfId="0"/>
    <cellStyle name="Итог 2 4 5 3 4" xfId="0"/>
    <cellStyle name="Итог 2 4 5 4" xfId="0"/>
    <cellStyle name="Итог 2 4 5 4 2" xfId="0"/>
    <cellStyle name="Итог 2 4 5 4 3" xfId="0"/>
    <cellStyle name="Итог 2 4 5 5" xfId="0"/>
    <cellStyle name="Итог 2 4 5 6" xfId="0"/>
    <cellStyle name="Итог 2 4 6" xfId="0"/>
    <cellStyle name="Итог 2 4 6 2" xfId="0"/>
    <cellStyle name="Итог 2 4 6 2 2" xfId="0"/>
    <cellStyle name="Итог 2 4 6 2 2 2" xfId="0"/>
    <cellStyle name="Итог 2 4 6 2 2 3" xfId="0"/>
    <cellStyle name="Итог 2 4 6 2 3" xfId="0"/>
    <cellStyle name="Итог 2 4 6 2 4" xfId="0"/>
    <cellStyle name="Итог 2 4 6 3" xfId="0"/>
    <cellStyle name="Итог 2 4 6 3 2" xfId="0"/>
    <cellStyle name="Итог 2 4 6 3 3" xfId="0"/>
    <cellStyle name="Итог 2 4 6 4" xfId="0"/>
    <cellStyle name="Итог 2 4 6 5" xfId="0"/>
    <cellStyle name="Итог 2 4 7" xfId="0"/>
    <cellStyle name="Итог 2 4 7 2" xfId="0"/>
    <cellStyle name="Итог 2 4 7 2 2" xfId="0"/>
    <cellStyle name="Итог 2 4 7 2 2 2" xfId="0"/>
    <cellStyle name="Итог 2 4 7 2 2 3" xfId="0"/>
    <cellStyle name="Итог 2 4 7 2 3" xfId="0"/>
    <cellStyle name="Итог 2 4 7 2 4" xfId="0"/>
    <cellStyle name="Итог 2 4 7 3" xfId="0"/>
    <cellStyle name="Итог 2 4 7 3 2" xfId="0"/>
    <cellStyle name="Итог 2 4 7 3 3" xfId="0"/>
    <cellStyle name="Итог 2 4 7 4" xfId="0"/>
    <cellStyle name="Итог 2 4 7 5" xfId="0"/>
    <cellStyle name="Итог 2 4 8" xfId="0"/>
    <cellStyle name="Итог 2 4 8 2" xfId="0"/>
    <cellStyle name="Итог 2 4 8 3" xfId="0"/>
    <cellStyle name="Итог 2 4 9" xfId="0"/>
    <cellStyle name="Итог 2 5" xfId="0"/>
    <cellStyle name="Итог 2 5 2" xfId="0"/>
    <cellStyle name="Итог 2 5 2 2" xfId="0"/>
    <cellStyle name="Итог 2 5 2 2 2" xfId="0"/>
    <cellStyle name="Итог 2 5 2 2 2 2" xfId="0"/>
    <cellStyle name="Итог 2 5 2 2 2 3" xfId="0"/>
    <cellStyle name="Итог 2 5 2 2 3" xfId="0"/>
    <cellStyle name="Итог 2 5 2 2 4" xfId="0"/>
    <cellStyle name="Итог 2 5 2 3" xfId="0"/>
    <cellStyle name="Итог 2 5 2 3 2" xfId="0"/>
    <cellStyle name="Итог 2 5 2 3 2 2" xfId="0"/>
    <cellStyle name="Итог 2 5 2 3 2 3" xfId="0"/>
    <cellStyle name="Итог 2 5 2 3 3" xfId="0"/>
    <cellStyle name="Итог 2 5 2 3 4" xfId="0"/>
    <cellStyle name="Итог 2 5 2 4" xfId="0"/>
    <cellStyle name="Итог 2 5 2 4 2" xfId="0"/>
    <cellStyle name="Итог 2 5 2 4 3" xfId="0"/>
    <cellStyle name="Итог 2 5 2 5" xfId="0"/>
    <cellStyle name="Итог 2 5 2 6" xfId="0"/>
    <cellStyle name="Итог 2 5 3" xfId="0"/>
    <cellStyle name="Итог 2 5 3 2" xfId="0"/>
    <cellStyle name="Итог 2 5 3 2 2" xfId="0"/>
    <cellStyle name="Итог 2 5 3 2 2 2" xfId="0"/>
    <cellStyle name="Итог 2 5 3 2 2 3" xfId="0"/>
    <cellStyle name="Итог 2 5 3 2 3" xfId="0"/>
    <cellStyle name="Итог 2 5 3 2 4" xfId="0"/>
    <cellStyle name="Итог 2 5 3 3" xfId="0"/>
    <cellStyle name="Итог 2 5 3 3 2" xfId="0"/>
    <cellStyle name="Итог 2 5 3 3 3" xfId="0"/>
    <cellStyle name="Итог 2 5 3 4" xfId="0"/>
    <cellStyle name="Итог 2 5 3 5" xfId="0"/>
    <cellStyle name="Итог 2 5 4" xfId="0"/>
    <cellStyle name="Итог 2 5 4 2" xfId="0"/>
    <cellStyle name="Итог 2 5 4 2 2" xfId="0"/>
    <cellStyle name="Итог 2 5 4 2 2 2" xfId="0"/>
    <cellStyle name="Итог 2 5 4 2 2 3" xfId="0"/>
    <cellStyle name="Итог 2 5 4 2 3" xfId="0"/>
    <cellStyle name="Итог 2 5 4 2 4" xfId="0"/>
    <cellStyle name="Итог 2 5 4 3" xfId="0"/>
    <cellStyle name="Итог 2 5 4 3 2" xfId="0"/>
    <cellStyle name="Итог 2 5 4 3 3" xfId="0"/>
    <cellStyle name="Итог 2 5 4 4" xfId="0"/>
    <cellStyle name="Итог 2 5 4 5" xfId="0"/>
    <cellStyle name="Итог 2 5 5" xfId="0"/>
    <cellStyle name="Итог 2 5 5 2" xfId="0"/>
    <cellStyle name="Итог 2 5 5 3" xfId="0"/>
    <cellStyle name="Итог 2 5 6" xfId="0"/>
    <cellStyle name="Итог 2 5 7" xfId="0"/>
    <cellStyle name="Итог 2 6" xfId="0"/>
    <cellStyle name="Итог 2 6 2" xfId="0"/>
    <cellStyle name="Итог 2 6 2 2" xfId="0"/>
    <cellStyle name="Итог 2 6 2 2 2" xfId="0"/>
    <cellStyle name="Итог 2 6 2 2 2 2" xfId="0"/>
    <cellStyle name="Итог 2 6 2 2 2 3" xfId="0"/>
    <cellStyle name="Итог 2 6 2 2 3" xfId="0"/>
    <cellStyle name="Итог 2 6 2 2 4" xfId="0"/>
    <cellStyle name="Итог 2 6 2 3" xfId="0"/>
    <cellStyle name="Итог 2 6 2 3 2" xfId="0"/>
    <cellStyle name="Итог 2 6 2 3 2 2" xfId="0"/>
    <cellStyle name="Итог 2 6 2 3 2 3" xfId="0"/>
    <cellStyle name="Итог 2 6 2 3 3" xfId="0"/>
    <cellStyle name="Итог 2 6 2 3 4" xfId="0"/>
    <cellStyle name="Итог 2 6 2 4" xfId="0"/>
    <cellStyle name="Итог 2 6 2 4 2" xfId="0"/>
    <cellStyle name="Итог 2 6 2 4 3" xfId="0"/>
    <cellStyle name="Итог 2 6 2 5" xfId="0"/>
    <cellStyle name="Итог 2 6 2 6" xfId="0"/>
    <cellStyle name="Итог 2 6 3" xfId="0"/>
    <cellStyle name="Итог 2 6 3 2" xfId="0"/>
    <cellStyle name="Итог 2 6 3 2 2" xfId="0"/>
    <cellStyle name="Итог 2 6 3 2 2 2" xfId="0"/>
    <cellStyle name="Итог 2 6 3 2 2 3" xfId="0"/>
    <cellStyle name="Итог 2 6 3 2 3" xfId="0"/>
    <cellStyle name="Итог 2 6 3 2 4" xfId="0"/>
    <cellStyle name="Итог 2 6 3 3" xfId="0"/>
    <cellStyle name="Итог 2 6 3 3 2" xfId="0"/>
    <cellStyle name="Итог 2 6 3 3 3" xfId="0"/>
    <cellStyle name="Итог 2 6 3 4" xfId="0"/>
    <cellStyle name="Итог 2 6 3 5" xfId="0"/>
    <cellStyle name="Итог 2 6 4" xfId="0"/>
    <cellStyle name="Итог 2 6 4 2" xfId="0"/>
    <cellStyle name="Итог 2 6 4 2 2" xfId="0"/>
    <cellStyle name="Итог 2 6 4 2 2 2" xfId="0"/>
    <cellStyle name="Итог 2 6 4 2 2 3" xfId="0"/>
    <cellStyle name="Итог 2 6 4 2 3" xfId="0"/>
    <cellStyle name="Итог 2 6 4 2 4" xfId="0"/>
    <cellStyle name="Итог 2 6 4 3" xfId="0"/>
    <cellStyle name="Итог 2 6 4 3 2" xfId="0"/>
    <cellStyle name="Итог 2 6 4 3 3" xfId="0"/>
    <cellStyle name="Итог 2 6 4 4" xfId="0"/>
    <cellStyle name="Итог 2 6 4 5" xfId="0"/>
    <cellStyle name="Итог 2 6 5" xfId="0"/>
    <cellStyle name="Итог 2 6 5 2" xfId="0"/>
    <cellStyle name="Итог 2 6 5 3" xfId="0"/>
    <cellStyle name="Итог 2 6 6" xfId="0"/>
    <cellStyle name="Итог 2 6 7" xfId="0"/>
    <cellStyle name="Итог 2 7" xfId="0"/>
    <cellStyle name="Итог 2 7 2" xfId="0"/>
    <cellStyle name="Итог 2 7 2 2" xfId="0"/>
    <cellStyle name="Итог 2 7 2 2 2" xfId="0"/>
    <cellStyle name="Итог 2 7 2 2 2 2" xfId="0"/>
    <cellStyle name="Итог 2 7 2 2 2 3" xfId="0"/>
    <cellStyle name="Итог 2 7 2 2 3" xfId="0"/>
    <cellStyle name="Итог 2 7 2 2 4" xfId="0"/>
    <cellStyle name="Итог 2 7 2 3" xfId="0"/>
    <cellStyle name="Итог 2 7 2 3 2" xfId="0"/>
    <cellStyle name="Итог 2 7 2 3 2 2" xfId="0"/>
    <cellStyle name="Итог 2 7 2 3 2 3" xfId="0"/>
    <cellStyle name="Итог 2 7 2 3 3" xfId="0"/>
    <cellStyle name="Итог 2 7 2 3 4" xfId="0"/>
    <cellStyle name="Итог 2 7 2 4" xfId="0"/>
    <cellStyle name="Итог 2 7 2 4 2" xfId="0"/>
    <cellStyle name="Итог 2 7 2 4 3" xfId="0"/>
    <cellStyle name="Итог 2 7 2 5" xfId="0"/>
    <cellStyle name="Итог 2 7 2 6" xfId="0"/>
    <cellStyle name="Итог 2 7 3" xfId="0"/>
    <cellStyle name="Итог 2 7 3 2" xfId="0"/>
    <cellStyle name="Итог 2 7 3 2 2" xfId="0"/>
    <cellStyle name="Итог 2 7 3 2 2 2" xfId="0"/>
    <cellStyle name="Итог 2 7 3 2 2 3" xfId="0"/>
    <cellStyle name="Итог 2 7 3 2 3" xfId="0"/>
    <cellStyle name="Итог 2 7 3 2 4" xfId="0"/>
    <cellStyle name="Итог 2 7 3 3" xfId="0"/>
    <cellStyle name="Итог 2 7 3 3 2" xfId="0"/>
    <cellStyle name="Итог 2 7 3 3 3" xfId="0"/>
    <cellStyle name="Итог 2 7 3 4" xfId="0"/>
    <cellStyle name="Итог 2 7 3 5" xfId="0"/>
    <cellStyle name="Итог 2 7 4" xfId="0"/>
    <cellStyle name="Итог 2 7 4 2" xfId="0"/>
    <cellStyle name="Итог 2 7 4 2 2" xfId="0"/>
    <cellStyle name="Итог 2 7 4 2 2 2" xfId="0"/>
    <cellStyle name="Итог 2 7 4 2 2 3" xfId="0"/>
    <cellStyle name="Итог 2 7 4 2 3" xfId="0"/>
    <cellStyle name="Итог 2 7 4 2 4" xfId="0"/>
    <cellStyle name="Итог 2 7 4 3" xfId="0"/>
    <cellStyle name="Итог 2 7 4 3 2" xfId="0"/>
    <cellStyle name="Итог 2 7 4 3 3" xfId="0"/>
    <cellStyle name="Итог 2 7 4 4" xfId="0"/>
    <cellStyle name="Итог 2 7 4 5" xfId="0"/>
    <cellStyle name="Итог 2 7 5" xfId="0"/>
    <cellStyle name="Итог 2 7 5 2" xfId="0"/>
    <cellStyle name="Итог 2 7 5 3" xfId="0"/>
    <cellStyle name="Итог 2 7 6" xfId="0"/>
    <cellStyle name="Итог 2 7 7" xfId="0"/>
    <cellStyle name="Итог 2 8" xfId="0"/>
    <cellStyle name="Итог 2 8 2" xfId="0"/>
    <cellStyle name="Итог 2 8 2 2" xfId="0"/>
    <cellStyle name="Итог 2 8 2 2 2" xfId="0"/>
    <cellStyle name="Итог 2 8 2 2 2 2" xfId="0"/>
    <cellStyle name="Итог 2 8 2 2 2 3" xfId="0"/>
    <cellStyle name="Итог 2 8 2 2 3" xfId="0"/>
    <cellStyle name="Итог 2 8 2 2 4" xfId="0"/>
    <cellStyle name="Итог 2 8 2 3" xfId="0"/>
    <cellStyle name="Итог 2 8 2 3 2" xfId="0"/>
    <cellStyle name="Итог 2 8 2 3 2 2" xfId="0"/>
    <cellStyle name="Итог 2 8 2 3 2 3" xfId="0"/>
    <cellStyle name="Итог 2 8 2 3 3" xfId="0"/>
    <cellStyle name="Итог 2 8 2 3 4" xfId="0"/>
    <cellStyle name="Итог 2 8 2 4" xfId="0"/>
    <cellStyle name="Итог 2 8 2 4 2" xfId="0"/>
    <cellStyle name="Итог 2 8 2 4 3" xfId="0"/>
    <cellStyle name="Итог 2 8 2 5" xfId="0"/>
    <cellStyle name="Итог 2 8 2 6" xfId="0"/>
    <cellStyle name="Итог 2 8 3" xfId="0"/>
    <cellStyle name="Итог 2 8 3 2" xfId="0"/>
    <cellStyle name="Итог 2 8 3 2 2" xfId="0"/>
    <cellStyle name="Итог 2 8 3 2 2 2" xfId="0"/>
    <cellStyle name="Итог 2 8 3 2 2 3" xfId="0"/>
    <cellStyle name="Итог 2 8 3 2 3" xfId="0"/>
    <cellStyle name="Итог 2 8 3 2 4" xfId="0"/>
    <cellStyle name="Итог 2 8 3 3" xfId="0"/>
    <cellStyle name="Итог 2 8 3 3 2" xfId="0"/>
    <cellStyle name="Итог 2 8 3 3 3" xfId="0"/>
    <cellStyle name="Итог 2 8 3 4" xfId="0"/>
    <cellStyle name="Итог 2 8 3 5" xfId="0"/>
    <cellStyle name="Итог 2 8 4" xfId="0"/>
    <cellStyle name="Итог 2 8 4 2" xfId="0"/>
    <cellStyle name="Итог 2 8 4 2 2" xfId="0"/>
    <cellStyle name="Итог 2 8 4 2 2 2" xfId="0"/>
    <cellStyle name="Итог 2 8 4 2 2 3" xfId="0"/>
    <cellStyle name="Итог 2 8 4 2 3" xfId="0"/>
    <cellStyle name="Итог 2 8 4 2 4" xfId="0"/>
    <cellStyle name="Итог 2 8 4 3" xfId="0"/>
    <cellStyle name="Итог 2 8 4 3 2" xfId="0"/>
    <cellStyle name="Итог 2 8 4 3 3" xfId="0"/>
    <cellStyle name="Итог 2 8 4 4" xfId="0"/>
    <cellStyle name="Итог 2 8 4 5" xfId="0"/>
    <cellStyle name="Итог 2 8 5" xfId="0"/>
    <cellStyle name="Итог 2 8 5 2" xfId="0"/>
    <cellStyle name="Итог 2 8 5 3" xfId="0"/>
    <cellStyle name="Итог 2 8 6" xfId="0"/>
    <cellStyle name="Итог 2 8 7" xfId="0"/>
    <cellStyle name="Итог 2 9" xfId="0"/>
    <cellStyle name="Итог 2 9 2" xfId="0"/>
    <cellStyle name="Итог 2 9 2 2" xfId="0"/>
    <cellStyle name="Итог 2 9 2 2 2" xfId="0"/>
    <cellStyle name="Итог 2 9 2 2 2 2" xfId="0"/>
    <cellStyle name="Итог 2 9 2 2 2 3" xfId="0"/>
    <cellStyle name="Итог 2 9 2 2 3" xfId="0"/>
    <cellStyle name="Итог 2 9 2 2 4" xfId="0"/>
    <cellStyle name="Итог 2 9 2 3" xfId="0"/>
    <cellStyle name="Итог 2 9 2 3 2" xfId="0"/>
    <cellStyle name="Итог 2 9 2 3 2 2" xfId="0"/>
    <cellStyle name="Итог 2 9 2 3 2 3" xfId="0"/>
    <cellStyle name="Итог 2 9 2 3 3" xfId="0"/>
    <cellStyle name="Итог 2 9 2 3 4" xfId="0"/>
    <cellStyle name="Итог 2 9 2 4" xfId="0"/>
    <cellStyle name="Итог 2 9 2 4 2" xfId="0"/>
    <cellStyle name="Итог 2 9 2 4 3" xfId="0"/>
    <cellStyle name="Итог 2 9 2 5" xfId="0"/>
    <cellStyle name="Итог 2 9 2 6" xfId="0"/>
    <cellStyle name="Итог 2 9 3" xfId="0"/>
    <cellStyle name="Итог 2 9 3 2" xfId="0"/>
    <cellStyle name="Итог 2 9 3 2 2" xfId="0"/>
    <cellStyle name="Итог 2 9 3 2 2 2" xfId="0"/>
    <cellStyle name="Итог 2 9 3 2 2 3" xfId="0"/>
    <cellStyle name="Итог 2 9 3 2 3" xfId="0"/>
    <cellStyle name="Итог 2 9 3 2 4" xfId="0"/>
    <cellStyle name="Итог 2 9 3 3" xfId="0"/>
    <cellStyle name="Итог 2 9 3 3 2" xfId="0"/>
    <cellStyle name="Итог 2 9 3 3 3" xfId="0"/>
    <cellStyle name="Итог 2 9 3 4" xfId="0"/>
    <cellStyle name="Итог 2 9 3 5" xfId="0"/>
    <cellStyle name="Итог 2 9 4" xfId="0"/>
    <cellStyle name="Итог 2 9 4 2" xfId="0"/>
    <cellStyle name="Итог 2 9 4 2 2" xfId="0"/>
    <cellStyle name="Итог 2 9 4 2 2 2" xfId="0"/>
    <cellStyle name="Итог 2 9 4 2 2 3" xfId="0"/>
    <cellStyle name="Итог 2 9 4 2 3" xfId="0"/>
    <cellStyle name="Итог 2 9 4 2 4" xfId="0"/>
    <cellStyle name="Итог 2 9 4 3" xfId="0"/>
    <cellStyle name="Итог 2 9 4 3 2" xfId="0"/>
    <cellStyle name="Итог 2 9 4 3 3" xfId="0"/>
    <cellStyle name="Итог 2 9 4 4" xfId="0"/>
    <cellStyle name="Итог 2 9 4 5" xfId="0"/>
    <cellStyle name="Итог 2 9 5" xfId="0"/>
    <cellStyle name="Итог 2 9 5 2" xfId="0"/>
    <cellStyle name="Итог 2 9 5 3" xfId="0"/>
    <cellStyle name="Итог 2 9 6" xfId="0"/>
    <cellStyle name="Итог 2 9 7" xfId="0"/>
    <cellStyle name="Итог 3" xfId="0"/>
    <cellStyle name="Итог 3 10" xfId="0"/>
    <cellStyle name="Итог 3 10 2" xfId="0"/>
    <cellStyle name="Итог 3 10 2 2" xfId="0"/>
    <cellStyle name="Итог 3 10 2 2 2" xfId="0"/>
    <cellStyle name="Итог 3 10 2 2 2 2" xfId="0"/>
    <cellStyle name="Итог 3 10 2 2 2 3" xfId="0"/>
    <cellStyle name="Итог 3 10 2 2 3" xfId="0"/>
    <cellStyle name="Итог 3 10 2 2 4" xfId="0"/>
    <cellStyle name="Итог 3 10 2 3" xfId="0"/>
    <cellStyle name="Итог 3 10 2 3 2" xfId="0"/>
    <cellStyle name="Итог 3 10 2 3 2 2" xfId="0"/>
    <cellStyle name="Итог 3 10 2 3 2 3" xfId="0"/>
    <cellStyle name="Итог 3 10 2 3 3" xfId="0"/>
    <cellStyle name="Итог 3 10 2 3 4" xfId="0"/>
    <cellStyle name="Итог 3 10 2 4" xfId="0"/>
    <cellStyle name="Итог 3 10 2 4 2" xfId="0"/>
    <cellStyle name="Итог 3 10 2 4 3" xfId="0"/>
    <cellStyle name="Итог 3 10 2 5" xfId="0"/>
    <cellStyle name="Итог 3 10 2 6" xfId="0"/>
    <cellStyle name="Итог 3 10 3" xfId="0"/>
    <cellStyle name="Итог 3 10 3 2" xfId="0"/>
    <cellStyle name="Итог 3 10 3 2 2" xfId="0"/>
    <cellStyle name="Итог 3 10 3 2 2 2" xfId="0"/>
    <cellStyle name="Итог 3 10 3 2 2 3" xfId="0"/>
    <cellStyle name="Итог 3 10 3 2 3" xfId="0"/>
    <cellStyle name="Итог 3 10 3 2 4" xfId="0"/>
    <cellStyle name="Итог 3 10 3 3" xfId="0"/>
    <cellStyle name="Итог 3 10 3 3 2" xfId="0"/>
    <cellStyle name="Итог 3 10 3 3 3" xfId="0"/>
    <cellStyle name="Итог 3 10 3 4" xfId="0"/>
    <cellStyle name="Итог 3 10 3 5" xfId="0"/>
    <cellStyle name="Итог 3 10 4" xfId="0"/>
    <cellStyle name="Итог 3 10 4 2" xfId="0"/>
    <cellStyle name="Итог 3 10 4 2 2" xfId="0"/>
    <cellStyle name="Итог 3 10 4 2 2 2" xfId="0"/>
    <cellStyle name="Итог 3 10 4 2 2 3" xfId="0"/>
    <cellStyle name="Итог 3 10 4 2 3" xfId="0"/>
    <cellStyle name="Итог 3 10 4 2 4" xfId="0"/>
    <cellStyle name="Итог 3 10 4 3" xfId="0"/>
    <cellStyle name="Итог 3 10 4 3 2" xfId="0"/>
    <cellStyle name="Итог 3 10 4 3 3" xfId="0"/>
    <cellStyle name="Итог 3 10 4 4" xfId="0"/>
    <cellStyle name="Итог 3 10 4 5" xfId="0"/>
    <cellStyle name="Итог 3 10 5" xfId="0"/>
    <cellStyle name="Итог 3 10 5 2" xfId="0"/>
    <cellStyle name="Итог 3 10 5 3" xfId="0"/>
    <cellStyle name="Итог 3 10 6" xfId="0"/>
    <cellStyle name="Итог 3 10 7" xfId="0"/>
    <cellStyle name="Итог 3 11" xfId="0"/>
    <cellStyle name="Итог 3 11 2" xfId="0"/>
    <cellStyle name="Итог 3 11 2 2" xfId="0"/>
    <cellStyle name="Итог 3 11 2 2 2" xfId="0"/>
    <cellStyle name="Итог 3 11 2 2 2 2" xfId="0"/>
    <cellStyle name="Итог 3 11 2 2 2 3" xfId="0"/>
    <cellStyle name="Итог 3 11 2 2 3" xfId="0"/>
    <cellStyle name="Итог 3 11 2 2 4" xfId="0"/>
    <cellStyle name="Итог 3 11 2 3" xfId="0"/>
    <cellStyle name="Итог 3 11 2 3 2" xfId="0"/>
    <cellStyle name="Итог 3 11 2 3 2 2" xfId="0"/>
    <cellStyle name="Итог 3 11 2 3 2 3" xfId="0"/>
    <cellStyle name="Итог 3 11 2 3 3" xfId="0"/>
    <cellStyle name="Итог 3 11 2 3 4" xfId="0"/>
    <cellStyle name="Итог 3 11 2 4" xfId="0"/>
    <cellStyle name="Итог 3 11 2 4 2" xfId="0"/>
    <cellStyle name="Итог 3 11 2 4 3" xfId="0"/>
    <cellStyle name="Итог 3 11 2 5" xfId="0"/>
    <cellStyle name="Итог 3 11 2 6" xfId="0"/>
    <cellStyle name="Итог 3 11 3" xfId="0"/>
    <cellStyle name="Итог 3 11 3 2" xfId="0"/>
    <cellStyle name="Итог 3 11 3 2 2" xfId="0"/>
    <cellStyle name="Итог 3 11 3 2 2 2" xfId="0"/>
    <cellStyle name="Итог 3 11 3 2 2 3" xfId="0"/>
    <cellStyle name="Итог 3 11 3 2 3" xfId="0"/>
    <cellStyle name="Итог 3 11 3 2 4" xfId="0"/>
    <cellStyle name="Итог 3 11 3 3" xfId="0"/>
    <cellStyle name="Итог 3 11 3 3 2" xfId="0"/>
    <cellStyle name="Итог 3 11 3 3 3" xfId="0"/>
    <cellStyle name="Итог 3 11 3 4" xfId="0"/>
    <cellStyle name="Итог 3 11 3 5" xfId="0"/>
    <cellStyle name="Итог 3 11 4" xfId="0"/>
    <cellStyle name="Итог 3 11 4 2" xfId="0"/>
    <cellStyle name="Итог 3 11 4 2 2" xfId="0"/>
    <cellStyle name="Итог 3 11 4 2 2 2" xfId="0"/>
    <cellStyle name="Итог 3 11 4 2 2 3" xfId="0"/>
    <cellStyle name="Итог 3 11 4 2 3" xfId="0"/>
    <cellStyle name="Итог 3 11 4 2 4" xfId="0"/>
    <cellStyle name="Итог 3 11 4 3" xfId="0"/>
    <cellStyle name="Итог 3 11 4 3 2" xfId="0"/>
    <cellStyle name="Итог 3 11 4 3 3" xfId="0"/>
    <cellStyle name="Итог 3 11 4 4" xfId="0"/>
    <cellStyle name="Итог 3 11 4 5" xfId="0"/>
    <cellStyle name="Итог 3 11 5" xfId="0"/>
    <cellStyle name="Итог 3 11 5 2" xfId="0"/>
    <cellStyle name="Итог 3 11 5 3" xfId="0"/>
    <cellStyle name="Итог 3 11 6" xfId="0"/>
    <cellStyle name="Итог 3 11 7" xfId="0"/>
    <cellStyle name="Итог 3 12" xfId="0"/>
    <cellStyle name="Итог 3 12 2" xfId="0"/>
    <cellStyle name="Итог 3 12 2 2" xfId="0"/>
    <cellStyle name="Итог 3 12 2 2 2" xfId="0"/>
    <cellStyle name="Итог 3 12 2 2 2 2" xfId="0"/>
    <cellStyle name="Итог 3 12 2 2 2 3" xfId="0"/>
    <cellStyle name="Итог 3 12 2 2 3" xfId="0"/>
    <cellStyle name="Итог 3 12 2 2 4" xfId="0"/>
    <cellStyle name="Итог 3 12 2 3" xfId="0"/>
    <cellStyle name="Итог 3 12 2 3 2" xfId="0"/>
    <cellStyle name="Итог 3 12 2 3 2 2" xfId="0"/>
    <cellStyle name="Итог 3 12 2 3 2 3" xfId="0"/>
    <cellStyle name="Итог 3 12 2 3 3" xfId="0"/>
    <cellStyle name="Итог 3 12 2 3 4" xfId="0"/>
    <cellStyle name="Итог 3 12 2 4" xfId="0"/>
    <cellStyle name="Итог 3 12 2 4 2" xfId="0"/>
    <cellStyle name="Итог 3 12 2 4 3" xfId="0"/>
    <cellStyle name="Итог 3 12 2 5" xfId="0"/>
    <cellStyle name="Итог 3 12 2 6" xfId="0"/>
    <cellStyle name="Итог 3 12 3" xfId="0"/>
    <cellStyle name="Итог 3 12 3 2" xfId="0"/>
    <cellStyle name="Итог 3 12 3 2 2" xfId="0"/>
    <cellStyle name="Итог 3 12 3 2 2 2" xfId="0"/>
    <cellStyle name="Итог 3 12 3 2 2 3" xfId="0"/>
    <cellStyle name="Итог 3 12 3 2 3" xfId="0"/>
    <cellStyle name="Итог 3 12 3 2 4" xfId="0"/>
    <cellStyle name="Итог 3 12 3 3" xfId="0"/>
    <cellStyle name="Итог 3 12 3 3 2" xfId="0"/>
    <cellStyle name="Итог 3 12 3 3 3" xfId="0"/>
    <cellStyle name="Итог 3 12 3 4" xfId="0"/>
    <cellStyle name="Итог 3 12 3 5" xfId="0"/>
    <cellStyle name="Итог 3 12 4" xfId="0"/>
    <cellStyle name="Итог 3 12 4 2" xfId="0"/>
    <cellStyle name="Итог 3 12 4 2 2" xfId="0"/>
    <cellStyle name="Итог 3 12 4 2 2 2" xfId="0"/>
    <cellStyle name="Итог 3 12 4 2 2 3" xfId="0"/>
    <cellStyle name="Итог 3 12 4 2 3" xfId="0"/>
    <cellStyle name="Итог 3 12 4 2 4" xfId="0"/>
    <cellStyle name="Итог 3 12 4 3" xfId="0"/>
    <cellStyle name="Итог 3 12 4 3 2" xfId="0"/>
    <cellStyle name="Итог 3 12 4 3 3" xfId="0"/>
    <cellStyle name="Итог 3 12 4 4" xfId="0"/>
    <cellStyle name="Итог 3 12 4 5" xfId="0"/>
    <cellStyle name="Итог 3 12 5" xfId="0"/>
    <cellStyle name="Итог 3 12 5 2" xfId="0"/>
    <cellStyle name="Итог 3 12 5 3" xfId="0"/>
    <cellStyle name="Итог 3 12 6" xfId="0"/>
    <cellStyle name="Итог 3 12 7" xfId="0"/>
    <cellStyle name="Итог 3 13" xfId="0"/>
    <cellStyle name="Итог 3 13 2" xfId="0"/>
    <cellStyle name="Итог 3 13 2 2" xfId="0"/>
    <cellStyle name="Итог 3 13 2 2 2" xfId="0"/>
    <cellStyle name="Итог 3 13 2 2 2 2" xfId="0"/>
    <cellStyle name="Итог 3 13 2 2 2 3" xfId="0"/>
    <cellStyle name="Итог 3 13 2 2 3" xfId="0"/>
    <cellStyle name="Итог 3 13 2 2 4" xfId="0"/>
    <cellStyle name="Итог 3 13 2 3" xfId="0"/>
    <cellStyle name="Итог 3 13 2 3 2" xfId="0"/>
    <cellStyle name="Итог 3 13 2 3 2 2" xfId="0"/>
    <cellStyle name="Итог 3 13 2 3 2 3" xfId="0"/>
    <cellStyle name="Итог 3 13 2 3 3" xfId="0"/>
    <cellStyle name="Итог 3 13 2 3 4" xfId="0"/>
    <cellStyle name="Итог 3 13 2 4" xfId="0"/>
    <cellStyle name="Итог 3 13 2 4 2" xfId="0"/>
    <cellStyle name="Итог 3 13 2 4 3" xfId="0"/>
    <cellStyle name="Итог 3 13 2 5" xfId="0"/>
    <cellStyle name="Итог 3 13 2 6" xfId="0"/>
    <cellStyle name="Итог 3 13 3" xfId="0"/>
    <cellStyle name="Итог 3 13 3 2" xfId="0"/>
    <cellStyle name="Итог 3 13 3 2 2" xfId="0"/>
    <cellStyle name="Итог 3 13 3 2 2 2" xfId="0"/>
    <cellStyle name="Итог 3 13 3 2 2 3" xfId="0"/>
    <cellStyle name="Итог 3 13 3 2 3" xfId="0"/>
    <cellStyle name="Итог 3 13 3 2 4" xfId="0"/>
    <cellStyle name="Итог 3 13 3 3" xfId="0"/>
    <cellStyle name="Итог 3 13 3 3 2" xfId="0"/>
    <cellStyle name="Итог 3 13 3 3 3" xfId="0"/>
    <cellStyle name="Итог 3 13 3 4" xfId="0"/>
    <cellStyle name="Итог 3 13 3 5" xfId="0"/>
    <cellStyle name="Итог 3 13 4" xfId="0"/>
    <cellStyle name="Итог 3 13 4 2" xfId="0"/>
    <cellStyle name="Итог 3 13 4 2 2" xfId="0"/>
    <cellStyle name="Итог 3 13 4 2 2 2" xfId="0"/>
    <cellStyle name="Итог 3 13 4 2 2 3" xfId="0"/>
    <cellStyle name="Итог 3 13 4 2 3" xfId="0"/>
    <cellStyle name="Итог 3 13 4 2 4" xfId="0"/>
    <cellStyle name="Итог 3 13 4 3" xfId="0"/>
    <cellStyle name="Итог 3 13 4 3 2" xfId="0"/>
    <cellStyle name="Итог 3 13 4 3 3" xfId="0"/>
    <cellStyle name="Итог 3 13 4 4" xfId="0"/>
    <cellStyle name="Итог 3 13 4 5" xfId="0"/>
    <cellStyle name="Итог 3 13 5" xfId="0"/>
    <cellStyle name="Итог 3 13 5 2" xfId="0"/>
    <cellStyle name="Итог 3 13 5 3" xfId="0"/>
    <cellStyle name="Итог 3 13 6" xfId="0"/>
    <cellStyle name="Итог 3 13 7" xfId="0"/>
    <cellStyle name="Итог 3 14" xfId="0"/>
    <cellStyle name="Итог 3 14 2" xfId="0"/>
    <cellStyle name="Итог 3 14 2 2" xfId="0"/>
    <cellStyle name="Итог 3 14 2 2 2" xfId="0"/>
    <cellStyle name="Итог 3 14 2 2 2 2" xfId="0"/>
    <cellStyle name="Итог 3 14 2 2 2 3" xfId="0"/>
    <cellStyle name="Итог 3 14 2 2 3" xfId="0"/>
    <cellStyle name="Итог 3 14 2 2 4" xfId="0"/>
    <cellStyle name="Итог 3 14 2 3" xfId="0"/>
    <cellStyle name="Итог 3 14 2 3 2" xfId="0"/>
    <cellStyle name="Итог 3 14 2 3 2 2" xfId="0"/>
    <cellStyle name="Итог 3 14 2 3 2 3" xfId="0"/>
    <cellStyle name="Итог 3 14 2 3 3" xfId="0"/>
    <cellStyle name="Итог 3 14 2 3 4" xfId="0"/>
    <cellStyle name="Итог 3 14 2 4" xfId="0"/>
    <cellStyle name="Итог 3 14 2 4 2" xfId="0"/>
    <cellStyle name="Итог 3 14 2 4 3" xfId="0"/>
    <cellStyle name="Итог 3 14 2 5" xfId="0"/>
    <cellStyle name="Итог 3 14 2 6" xfId="0"/>
    <cellStyle name="Итог 3 14 3" xfId="0"/>
    <cellStyle name="Итог 3 14 3 2" xfId="0"/>
    <cellStyle name="Итог 3 14 3 2 2" xfId="0"/>
    <cellStyle name="Итог 3 14 3 2 2 2" xfId="0"/>
    <cellStyle name="Итог 3 14 3 2 2 3" xfId="0"/>
    <cellStyle name="Итог 3 14 3 2 3" xfId="0"/>
    <cellStyle name="Итог 3 14 3 2 4" xfId="0"/>
    <cellStyle name="Итог 3 14 3 3" xfId="0"/>
    <cellStyle name="Итог 3 14 3 3 2" xfId="0"/>
    <cellStyle name="Итог 3 14 3 3 3" xfId="0"/>
    <cellStyle name="Итог 3 14 3 4" xfId="0"/>
    <cellStyle name="Итог 3 14 3 5" xfId="0"/>
    <cellStyle name="Итог 3 14 4" xfId="0"/>
    <cellStyle name="Итог 3 14 4 2" xfId="0"/>
    <cellStyle name="Итог 3 14 4 2 2" xfId="0"/>
    <cellStyle name="Итог 3 14 4 2 2 2" xfId="0"/>
    <cellStyle name="Итог 3 14 4 2 2 3" xfId="0"/>
    <cellStyle name="Итог 3 14 4 2 3" xfId="0"/>
    <cellStyle name="Итог 3 14 4 2 4" xfId="0"/>
    <cellStyle name="Итог 3 14 4 3" xfId="0"/>
    <cellStyle name="Итог 3 14 4 3 2" xfId="0"/>
    <cellStyle name="Итог 3 14 4 3 3" xfId="0"/>
    <cellStyle name="Итог 3 14 4 4" xfId="0"/>
    <cellStyle name="Итог 3 14 4 5" xfId="0"/>
    <cellStyle name="Итог 3 14 5" xfId="0"/>
    <cellStyle name="Итог 3 14 5 2" xfId="0"/>
    <cellStyle name="Итог 3 14 5 3" xfId="0"/>
    <cellStyle name="Итог 3 14 6" xfId="0"/>
    <cellStyle name="Итог 3 14 7" xfId="0"/>
    <cellStyle name="Итог 3 15" xfId="0"/>
    <cellStyle name="Итог 3 15 2" xfId="0"/>
    <cellStyle name="Итог 3 15 2 2" xfId="0"/>
    <cellStyle name="Итог 3 15 2 2 2" xfId="0"/>
    <cellStyle name="Итог 3 15 2 2 2 2" xfId="0"/>
    <cellStyle name="Итог 3 15 2 2 2 3" xfId="0"/>
    <cellStyle name="Итог 3 15 2 2 3" xfId="0"/>
    <cellStyle name="Итог 3 15 2 2 4" xfId="0"/>
    <cellStyle name="Итог 3 15 2 3" xfId="0"/>
    <cellStyle name="Итог 3 15 2 3 2" xfId="0"/>
    <cellStyle name="Итог 3 15 2 3 2 2" xfId="0"/>
    <cellStyle name="Итог 3 15 2 3 2 3" xfId="0"/>
    <cellStyle name="Итог 3 15 2 3 3" xfId="0"/>
    <cellStyle name="Итог 3 15 2 3 4" xfId="0"/>
    <cellStyle name="Итог 3 15 2 4" xfId="0"/>
    <cellStyle name="Итог 3 15 2 4 2" xfId="0"/>
    <cellStyle name="Итог 3 15 2 4 3" xfId="0"/>
    <cellStyle name="Итог 3 15 2 5" xfId="0"/>
    <cellStyle name="Итог 3 15 2 6" xfId="0"/>
    <cellStyle name="Итог 3 15 3" xfId="0"/>
    <cellStyle name="Итог 3 15 3 2" xfId="0"/>
    <cellStyle name="Итог 3 15 3 2 2" xfId="0"/>
    <cellStyle name="Итог 3 15 3 2 2 2" xfId="0"/>
    <cellStyle name="Итог 3 15 3 2 2 3" xfId="0"/>
    <cellStyle name="Итог 3 15 3 2 3" xfId="0"/>
    <cellStyle name="Итог 3 15 3 2 4" xfId="0"/>
    <cellStyle name="Итог 3 15 3 3" xfId="0"/>
    <cellStyle name="Итог 3 15 3 3 2" xfId="0"/>
    <cellStyle name="Итог 3 15 3 3 3" xfId="0"/>
    <cellStyle name="Итог 3 15 3 4" xfId="0"/>
    <cellStyle name="Итог 3 15 3 5" xfId="0"/>
    <cellStyle name="Итог 3 15 4" xfId="0"/>
    <cellStyle name="Итог 3 15 4 2" xfId="0"/>
    <cellStyle name="Итог 3 15 4 2 2" xfId="0"/>
    <cellStyle name="Итог 3 15 4 2 2 2" xfId="0"/>
    <cellStyle name="Итог 3 15 4 2 2 3" xfId="0"/>
    <cellStyle name="Итог 3 15 4 2 3" xfId="0"/>
    <cellStyle name="Итог 3 15 4 2 4" xfId="0"/>
    <cellStyle name="Итог 3 15 4 3" xfId="0"/>
    <cellStyle name="Итог 3 15 4 3 2" xfId="0"/>
    <cellStyle name="Итог 3 15 4 3 3" xfId="0"/>
    <cellStyle name="Итог 3 15 4 4" xfId="0"/>
    <cellStyle name="Итог 3 15 4 5" xfId="0"/>
    <cellStyle name="Итог 3 15 5" xfId="0"/>
    <cellStyle name="Итог 3 15 5 2" xfId="0"/>
    <cellStyle name="Итог 3 15 5 3" xfId="0"/>
    <cellStyle name="Итог 3 15 6" xfId="0"/>
    <cellStyle name="Итог 3 15 7" xfId="0"/>
    <cellStyle name="Итог 3 16" xfId="0"/>
    <cellStyle name="Итог 3 16 2" xfId="0"/>
    <cellStyle name="Итог 3 16 2 2" xfId="0"/>
    <cellStyle name="Итог 3 16 2 2 2" xfId="0"/>
    <cellStyle name="Итог 3 16 2 2 2 2" xfId="0"/>
    <cellStyle name="Итог 3 16 2 2 2 3" xfId="0"/>
    <cellStyle name="Итог 3 16 2 2 3" xfId="0"/>
    <cellStyle name="Итог 3 16 2 2 4" xfId="0"/>
    <cellStyle name="Итог 3 16 2 3" xfId="0"/>
    <cellStyle name="Итог 3 16 2 3 2" xfId="0"/>
    <cellStyle name="Итог 3 16 2 3 2 2" xfId="0"/>
    <cellStyle name="Итог 3 16 2 3 2 3" xfId="0"/>
    <cellStyle name="Итог 3 16 2 3 3" xfId="0"/>
    <cellStyle name="Итог 3 16 2 3 4" xfId="0"/>
    <cellStyle name="Итог 3 16 2 4" xfId="0"/>
    <cellStyle name="Итог 3 16 2 4 2" xfId="0"/>
    <cellStyle name="Итог 3 16 2 4 3" xfId="0"/>
    <cellStyle name="Итог 3 16 2 5" xfId="0"/>
    <cellStyle name="Итог 3 16 2 6" xfId="0"/>
    <cellStyle name="Итог 3 16 3" xfId="0"/>
    <cellStyle name="Итог 3 16 3 2" xfId="0"/>
    <cellStyle name="Итог 3 16 3 2 2" xfId="0"/>
    <cellStyle name="Итог 3 16 3 2 2 2" xfId="0"/>
    <cellStyle name="Итог 3 16 3 2 2 3" xfId="0"/>
    <cellStyle name="Итог 3 16 3 2 3" xfId="0"/>
    <cellStyle name="Итог 3 16 3 2 4" xfId="0"/>
    <cellStyle name="Итог 3 16 3 3" xfId="0"/>
    <cellStyle name="Итог 3 16 3 3 2" xfId="0"/>
    <cellStyle name="Итог 3 16 3 3 3" xfId="0"/>
    <cellStyle name="Итог 3 16 3 4" xfId="0"/>
    <cellStyle name="Итог 3 16 3 5" xfId="0"/>
    <cellStyle name="Итог 3 16 4" xfId="0"/>
    <cellStyle name="Итог 3 16 4 2" xfId="0"/>
    <cellStyle name="Итог 3 16 4 2 2" xfId="0"/>
    <cellStyle name="Итог 3 16 4 2 2 2" xfId="0"/>
    <cellStyle name="Итог 3 16 4 2 2 3" xfId="0"/>
    <cellStyle name="Итог 3 16 4 2 3" xfId="0"/>
    <cellStyle name="Итог 3 16 4 2 4" xfId="0"/>
    <cellStyle name="Итог 3 16 4 3" xfId="0"/>
    <cellStyle name="Итог 3 16 4 3 2" xfId="0"/>
    <cellStyle name="Итог 3 16 4 3 3" xfId="0"/>
    <cellStyle name="Итог 3 16 4 4" xfId="0"/>
    <cellStyle name="Итог 3 16 4 5" xfId="0"/>
    <cellStyle name="Итог 3 16 5" xfId="0"/>
    <cellStyle name="Итог 3 16 5 2" xfId="0"/>
    <cellStyle name="Итог 3 16 5 3" xfId="0"/>
    <cellStyle name="Итог 3 16 6" xfId="0"/>
    <cellStyle name="Итог 3 16 7" xfId="0"/>
    <cellStyle name="Итог 3 17" xfId="0"/>
    <cellStyle name="Итог 3 17 2" xfId="0"/>
    <cellStyle name="Итог 3 17 2 2" xfId="0"/>
    <cellStyle name="Итог 3 17 2 2 2" xfId="0"/>
    <cellStyle name="Итог 3 17 2 2 2 2" xfId="0"/>
    <cellStyle name="Итог 3 17 2 2 2 3" xfId="0"/>
    <cellStyle name="Итог 3 17 2 2 3" xfId="0"/>
    <cellStyle name="Итог 3 17 2 2 4" xfId="0"/>
    <cellStyle name="Итог 3 17 2 3" xfId="0"/>
    <cellStyle name="Итог 3 17 2 3 2" xfId="0"/>
    <cellStyle name="Итог 3 17 2 3 2 2" xfId="0"/>
    <cellStyle name="Итог 3 17 2 3 2 3" xfId="0"/>
    <cellStyle name="Итог 3 17 2 3 3" xfId="0"/>
    <cellStyle name="Итог 3 17 2 3 4" xfId="0"/>
    <cellStyle name="Итог 3 17 2 4" xfId="0"/>
    <cellStyle name="Итог 3 17 2 4 2" xfId="0"/>
    <cellStyle name="Итог 3 17 2 4 3" xfId="0"/>
    <cellStyle name="Итог 3 17 2 5" xfId="0"/>
    <cellStyle name="Итог 3 17 2 6" xfId="0"/>
    <cellStyle name="Итог 3 17 3" xfId="0"/>
    <cellStyle name="Итог 3 17 3 2" xfId="0"/>
    <cellStyle name="Итог 3 17 3 2 2" xfId="0"/>
    <cellStyle name="Итог 3 17 3 2 2 2" xfId="0"/>
    <cellStyle name="Итог 3 17 3 2 2 3" xfId="0"/>
    <cellStyle name="Итог 3 17 3 2 3" xfId="0"/>
    <cellStyle name="Итог 3 17 3 2 4" xfId="0"/>
    <cellStyle name="Итог 3 17 3 3" xfId="0"/>
    <cellStyle name="Итог 3 17 3 3 2" xfId="0"/>
    <cellStyle name="Итог 3 17 3 3 3" xfId="0"/>
    <cellStyle name="Итог 3 17 3 4" xfId="0"/>
    <cellStyle name="Итог 3 17 3 5" xfId="0"/>
    <cellStyle name="Итог 3 17 4" xfId="0"/>
    <cellStyle name="Итог 3 17 4 2" xfId="0"/>
    <cellStyle name="Итог 3 17 4 2 2" xfId="0"/>
    <cellStyle name="Итог 3 17 4 2 2 2" xfId="0"/>
    <cellStyle name="Итог 3 17 4 2 2 3" xfId="0"/>
    <cellStyle name="Итог 3 17 4 2 3" xfId="0"/>
    <cellStyle name="Итог 3 17 4 2 4" xfId="0"/>
    <cellStyle name="Итог 3 17 4 3" xfId="0"/>
    <cellStyle name="Итог 3 17 4 3 2" xfId="0"/>
    <cellStyle name="Итог 3 17 4 3 3" xfId="0"/>
    <cellStyle name="Итог 3 17 4 4" xfId="0"/>
    <cellStyle name="Итог 3 17 4 5" xfId="0"/>
    <cellStyle name="Итог 3 17 5" xfId="0"/>
    <cellStyle name="Итог 3 17 5 2" xfId="0"/>
    <cellStyle name="Итог 3 17 5 3" xfId="0"/>
    <cellStyle name="Итог 3 17 6" xfId="0"/>
    <cellStyle name="Итог 3 17 7" xfId="0"/>
    <cellStyle name="Итог 3 18" xfId="0"/>
    <cellStyle name="Итог 3 18 2" xfId="0"/>
    <cellStyle name="Итог 3 18 2 2" xfId="0"/>
    <cellStyle name="Итог 3 18 2 2 2" xfId="0"/>
    <cellStyle name="Итог 3 18 2 2 2 2" xfId="0"/>
    <cellStyle name="Итог 3 18 2 2 2 3" xfId="0"/>
    <cellStyle name="Итог 3 18 2 2 3" xfId="0"/>
    <cellStyle name="Итог 3 18 2 2 4" xfId="0"/>
    <cellStyle name="Итог 3 18 2 3" xfId="0"/>
    <cellStyle name="Итог 3 18 2 3 2" xfId="0"/>
    <cellStyle name="Итог 3 18 2 3 2 2" xfId="0"/>
    <cellStyle name="Итог 3 18 2 3 2 3" xfId="0"/>
    <cellStyle name="Итог 3 18 2 3 3" xfId="0"/>
    <cellStyle name="Итог 3 18 2 3 4" xfId="0"/>
    <cellStyle name="Итог 3 18 2 4" xfId="0"/>
    <cellStyle name="Итог 3 18 2 4 2" xfId="0"/>
    <cellStyle name="Итог 3 18 2 4 3" xfId="0"/>
    <cellStyle name="Итог 3 18 2 5" xfId="0"/>
    <cellStyle name="Итог 3 18 2 6" xfId="0"/>
    <cellStyle name="Итог 3 18 3" xfId="0"/>
    <cellStyle name="Итог 3 18 3 2" xfId="0"/>
    <cellStyle name="Итог 3 18 3 2 2" xfId="0"/>
    <cellStyle name="Итог 3 18 3 2 2 2" xfId="0"/>
    <cellStyle name="Итог 3 18 3 2 2 3" xfId="0"/>
    <cellStyle name="Итог 3 18 3 2 3" xfId="0"/>
    <cellStyle name="Итог 3 18 3 2 4" xfId="0"/>
    <cellStyle name="Итог 3 18 3 3" xfId="0"/>
    <cellStyle name="Итог 3 18 3 3 2" xfId="0"/>
    <cellStyle name="Итог 3 18 3 3 3" xfId="0"/>
    <cellStyle name="Итог 3 18 3 4" xfId="0"/>
    <cellStyle name="Итог 3 18 3 5" xfId="0"/>
    <cellStyle name="Итог 3 18 4" xfId="0"/>
    <cellStyle name="Итог 3 18 4 2" xfId="0"/>
    <cellStyle name="Итог 3 18 4 2 2" xfId="0"/>
    <cellStyle name="Итог 3 18 4 2 2 2" xfId="0"/>
    <cellStyle name="Итог 3 18 4 2 2 3" xfId="0"/>
    <cellStyle name="Итог 3 18 4 2 3" xfId="0"/>
    <cellStyle name="Итог 3 18 4 2 4" xfId="0"/>
    <cellStyle name="Итог 3 18 4 3" xfId="0"/>
    <cellStyle name="Итог 3 18 4 3 2" xfId="0"/>
    <cellStyle name="Итог 3 18 4 3 3" xfId="0"/>
    <cellStyle name="Итог 3 18 4 4" xfId="0"/>
    <cellStyle name="Итог 3 18 4 5" xfId="0"/>
    <cellStyle name="Итог 3 18 5" xfId="0"/>
    <cellStyle name="Итог 3 18 5 2" xfId="0"/>
    <cellStyle name="Итог 3 18 5 3" xfId="0"/>
    <cellStyle name="Итог 3 18 6" xfId="0"/>
    <cellStyle name="Итог 3 18 7" xfId="0"/>
    <cellStyle name="Итог 3 19" xfId="0"/>
    <cellStyle name="Итог 3 19 2" xfId="0"/>
    <cellStyle name="Итог 3 19 2 2" xfId="0"/>
    <cellStyle name="Итог 3 19 2 2 2" xfId="0"/>
    <cellStyle name="Итог 3 19 2 2 2 2" xfId="0"/>
    <cellStyle name="Итог 3 19 2 2 2 3" xfId="0"/>
    <cellStyle name="Итог 3 19 2 2 3" xfId="0"/>
    <cellStyle name="Итог 3 19 2 2 4" xfId="0"/>
    <cellStyle name="Итог 3 19 2 3" xfId="0"/>
    <cellStyle name="Итог 3 19 2 3 2" xfId="0"/>
    <cellStyle name="Итог 3 19 2 3 2 2" xfId="0"/>
    <cellStyle name="Итог 3 19 2 3 2 3" xfId="0"/>
    <cellStyle name="Итог 3 19 2 3 3" xfId="0"/>
    <cellStyle name="Итог 3 19 2 3 4" xfId="0"/>
    <cellStyle name="Итог 3 19 2 4" xfId="0"/>
    <cellStyle name="Итог 3 19 2 4 2" xfId="0"/>
    <cellStyle name="Итог 3 19 2 4 3" xfId="0"/>
    <cellStyle name="Итог 3 19 2 5" xfId="0"/>
    <cellStyle name="Итог 3 19 2 6" xfId="0"/>
    <cellStyle name="Итог 3 19 3" xfId="0"/>
    <cellStyle name="Итог 3 19 3 2" xfId="0"/>
    <cellStyle name="Итог 3 19 3 2 2" xfId="0"/>
    <cellStyle name="Итог 3 19 3 2 2 2" xfId="0"/>
    <cellStyle name="Итог 3 19 3 2 2 3" xfId="0"/>
    <cellStyle name="Итог 3 19 3 2 3" xfId="0"/>
    <cellStyle name="Итог 3 19 3 2 4" xfId="0"/>
    <cellStyle name="Итог 3 19 3 3" xfId="0"/>
    <cellStyle name="Итог 3 19 3 3 2" xfId="0"/>
    <cellStyle name="Итог 3 19 3 3 3" xfId="0"/>
    <cellStyle name="Итог 3 19 3 4" xfId="0"/>
    <cellStyle name="Итог 3 19 3 5" xfId="0"/>
    <cellStyle name="Итог 3 19 4" xfId="0"/>
    <cellStyle name="Итог 3 19 4 2" xfId="0"/>
    <cellStyle name="Итог 3 19 4 2 2" xfId="0"/>
    <cellStyle name="Итог 3 19 4 2 2 2" xfId="0"/>
    <cellStyle name="Итог 3 19 4 2 2 3" xfId="0"/>
    <cellStyle name="Итог 3 19 4 2 3" xfId="0"/>
    <cellStyle name="Итог 3 19 4 2 4" xfId="0"/>
    <cellStyle name="Итог 3 19 4 3" xfId="0"/>
    <cellStyle name="Итог 3 19 4 3 2" xfId="0"/>
    <cellStyle name="Итог 3 19 4 3 3" xfId="0"/>
    <cellStyle name="Итог 3 19 4 4" xfId="0"/>
    <cellStyle name="Итог 3 19 4 5" xfId="0"/>
    <cellStyle name="Итог 3 19 5" xfId="0"/>
    <cellStyle name="Итог 3 19 5 2" xfId="0"/>
    <cellStyle name="Итог 3 19 5 3" xfId="0"/>
    <cellStyle name="Итог 3 19 6" xfId="0"/>
    <cellStyle name="Итог 3 19 7" xfId="0"/>
    <cellStyle name="Итог 3 2" xfId="0"/>
    <cellStyle name="Итог 3 2 10" xfId="0"/>
    <cellStyle name="Итог 3 2 10 2" xfId="0"/>
    <cellStyle name="Итог 3 2 10 3" xfId="0"/>
    <cellStyle name="Итог 3 2 11" xfId="0"/>
    <cellStyle name="Итог 3 2 12" xfId="0"/>
    <cellStyle name="Итог 3 2 2" xfId="0"/>
    <cellStyle name="Итог 3 2 2 2" xfId="0"/>
    <cellStyle name="Итог 3 2 2 2 2" xfId="0"/>
    <cellStyle name="Итог 3 2 2 2 2 2" xfId="0"/>
    <cellStyle name="Итог 3 2 2 2 2 2 2" xfId="0"/>
    <cellStyle name="Итог 3 2 2 2 2 2 3" xfId="0"/>
    <cellStyle name="Итог 3 2 2 2 2 3" xfId="0"/>
    <cellStyle name="Итог 3 2 2 2 2 4" xfId="0"/>
    <cellStyle name="Итог 3 2 2 2 3" xfId="0"/>
    <cellStyle name="Итог 3 2 2 2 3 2" xfId="0"/>
    <cellStyle name="Итог 3 2 2 2 3 3" xfId="0"/>
    <cellStyle name="Итог 3 2 2 2 4" xfId="0"/>
    <cellStyle name="Итог 3 2 2 2 5" xfId="0"/>
    <cellStyle name="Итог 3 2 2 3" xfId="0"/>
    <cellStyle name="Итог 3 2 2 3 2" xfId="0"/>
    <cellStyle name="Итог 3 2 2 3 2 2" xfId="0"/>
    <cellStyle name="Итог 3 2 2 3 2 3" xfId="0"/>
    <cellStyle name="Итог 3 2 2 3 3" xfId="0"/>
    <cellStyle name="Итог 3 2 2 3 4" xfId="0"/>
    <cellStyle name="Итог 3 2 2 4" xfId="0"/>
    <cellStyle name="Итог 3 2 2 4 2" xfId="0"/>
    <cellStyle name="Итог 3 2 2 4 3" xfId="0"/>
    <cellStyle name="Итог 3 2 2 5" xfId="0"/>
    <cellStyle name="Итог 3 2 2 6" xfId="0"/>
    <cellStyle name="Итог 3 2 3" xfId="0"/>
    <cellStyle name="Итог 3 2 3 2" xfId="0"/>
    <cellStyle name="Итог 3 2 3 2 2" xfId="0"/>
    <cellStyle name="Итог 3 2 3 2 2 2" xfId="0"/>
    <cellStyle name="Итог 3 2 3 2 2 2 2" xfId="0"/>
    <cellStyle name="Итог 3 2 3 2 2 2 3" xfId="0"/>
    <cellStyle name="Итог 3 2 3 2 2 3" xfId="0"/>
    <cellStyle name="Итог 3 2 3 2 2 4" xfId="0"/>
    <cellStyle name="Итог 3 2 3 2 3" xfId="0"/>
    <cellStyle name="Итог 3 2 3 2 3 2" xfId="0"/>
    <cellStyle name="Итог 3 2 3 2 3 3" xfId="0"/>
    <cellStyle name="Итог 3 2 3 2 4" xfId="0"/>
    <cellStyle name="Итог 3 2 3 2 5" xfId="0"/>
    <cellStyle name="Итог 3 2 3 3" xfId="0"/>
    <cellStyle name="Итог 3 2 3 3 2" xfId="0"/>
    <cellStyle name="Итог 3 2 3 3 2 2" xfId="0"/>
    <cellStyle name="Итог 3 2 3 3 2 3" xfId="0"/>
    <cellStyle name="Итог 3 2 3 3 3" xfId="0"/>
    <cellStyle name="Итог 3 2 3 3 4" xfId="0"/>
    <cellStyle name="Итог 3 2 3 4" xfId="0"/>
    <cellStyle name="Итог 3 2 3 4 2" xfId="0"/>
    <cellStyle name="Итог 3 2 3 4 3" xfId="0"/>
    <cellStyle name="Итог 3 2 3 5" xfId="0"/>
    <cellStyle name="Итог 3 2 3 6" xfId="0"/>
    <cellStyle name="Итог 3 2 4" xfId="0"/>
    <cellStyle name="Итог 3 2 4 2" xfId="0"/>
    <cellStyle name="Итог 3 2 4 2 2" xfId="0"/>
    <cellStyle name="Итог 3 2 4 2 2 2" xfId="0"/>
    <cellStyle name="Итог 3 2 4 2 2 2 2" xfId="0"/>
    <cellStyle name="Итог 3 2 4 2 2 2 3" xfId="0"/>
    <cellStyle name="Итог 3 2 4 2 2 3" xfId="0"/>
    <cellStyle name="Итог 3 2 4 2 2 4" xfId="0"/>
    <cellStyle name="Итог 3 2 4 2 3" xfId="0"/>
    <cellStyle name="Итог 3 2 4 2 3 2" xfId="0"/>
    <cellStyle name="Итог 3 2 4 2 3 3" xfId="0"/>
    <cellStyle name="Итог 3 2 4 2 4" xfId="0"/>
    <cellStyle name="Итог 3 2 4 2 5" xfId="0"/>
    <cellStyle name="Итог 3 2 4 3" xfId="0"/>
    <cellStyle name="Итог 3 2 4 3 2" xfId="0"/>
    <cellStyle name="Итог 3 2 4 3 2 2" xfId="0"/>
    <cellStyle name="Итог 3 2 4 3 2 3" xfId="0"/>
    <cellStyle name="Итог 3 2 4 3 3" xfId="0"/>
    <cellStyle name="Итог 3 2 4 3 4" xfId="0"/>
    <cellStyle name="Итог 3 2 4 4" xfId="0"/>
    <cellStyle name="Итог 3 2 4 4 2" xfId="0"/>
    <cellStyle name="Итог 3 2 4 4 3" xfId="0"/>
    <cellStyle name="Итог 3 2 4 5" xfId="0"/>
    <cellStyle name="Итог 3 2 4 6" xfId="0"/>
    <cellStyle name="Итог 3 2 5" xfId="0"/>
    <cellStyle name="Итог 3 2 5 2" xfId="0"/>
    <cellStyle name="Итог 3 2 5 2 2" xfId="0"/>
    <cellStyle name="Итог 3 2 5 2 2 2" xfId="0"/>
    <cellStyle name="Итог 3 2 5 2 2 2 2" xfId="0"/>
    <cellStyle name="Итог 3 2 5 2 2 2 3" xfId="0"/>
    <cellStyle name="Итог 3 2 5 2 2 3" xfId="0"/>
    <cellStyle name="Итог 3 2 5 2 2 4" xfId="0"/>
    <cellStyle name="Итог 3 2 5 2 3" xfId="0"/>
    <cellStyle name="Итог 3 2 5 2 3 2" xfId="0"/>
    <cellStyle name="Итог 3 2 5 2 3 3" xfId="0"/>
    <cellStyle name="Итог 3 2 5 2 4" xfId="0"/>
    <cellStyle name="Итог 3 2 5 2 5" xfId="0"/>
    <cellStyle name="Итог 3 2 5 3" xfId="0"/>
    <cellStyle name="Итог 3 2 5 3 2" xfId="0"/>
    <cellStyle name="Итог 3 2 5 3 2 2" xfId="0"/>
    <cellStyle name="Итог 3 2 5 3 2 3" xfId="0"/>
    <cellStyle name="Итог 3 2 5 3 3" xfId="0"/>
    <cellStyle name="Итог 3 2 5 3 4" xfId="0"/>
    <cellStyle name="Итог 3 2 5 4" xfId="0"/>
    <cellStyle name="Итог 3 2 5 4 2" xfId="0"/>
    <cellStyle name="Итог 3 2 5 4 3" xfId="0"/>
    <cellStyle name="Итог 3 2 5 5" xfId="0"/>
    <cellStyle name="Итог 3 2 5 6" xfId="0"/>
    <cellStyle name="Итог 3 2 6" xfId="0"/>
    <cellStyle name="Итог 3 2 6 2" xfId="0"/>
    <cellStyle name="Итог 3 2 6 2 2" xfId="0"/>
    <cellStyle name="Итог 3 2 6 2 2 2" xfId="0"/>
    <cellStyle name="Итог 3 2 6 2 2 3" xfId="0"/>
    <cellStyle name="Итог 3 2 6 2 3" xfId="0"/>
    <cellStyle name="Итог 3 2 6 2 4" xfId="0"/>
    <cellStyle name="Итог 3 2 6 3" xfId="0"/>
    <cellStyle name="Итог 3 2 6 3 2" xfId="0"/>
    <cellStyle name="Итог 3 2 6 3 3" xfId="0"/>
    <cellStyle name="Итог 3 2 6 4" xfId="0"/>
    <cellStyle name="Итог 3 2 6 5" xfId="0"/>
    <cellStyle name="Итог 3 2 7" xfId="0"/>
    <cellStyle name="Итог 3 2 7 2" xfId="0"/>
    <cellStyle name="Итог 3 2 7 2 2" xfId="0"/>
    <cellStyle name="Итог 3 2 7 2 2 2" xfId="0"/>
    <cellStyle name="Итог 3 2 7 2 2 3" xfId="0"/>
    <cellStyle name="Итог 3 2 7 2 3" xfId="0"/>
    <cellStyle name="Итог 3 2 7 2 4" xfId="0"/>
    <cellStyle name="Итог 3 2 7 3" xfId="0"/>
    <cellStyle name="Итог 3 2 7 3 2" xfId="0"/>
    <cellStyle name="Итог 3 2 7 3 3" xfId="0"/>
    <cellStyle name="Итог 3 2 7 4" xfId="0"/>
    <cellStyle name="Итог 3 2 7 5" xfId="0"/>
    <cellStyle name="Итог 3 2 8" xfId="0"/>
    <cellStyle name="Итог 3 2 8 2" xfId="0"/>
    <cellStyle name="Итог 3 2 8 2 2" xfId="0"/>
    <cellStyle name="Итог 3 2 8 2 2 2" xfId="0"/>
    <cellStyle name="Итог 3 2 8 2 2 3" xfId="0"/>
    <cellStyle name="Итог 3 2 8 2 3" xfId="0"/>
    <cellStyle name="Итог 3 2 8 2 4" xfId="0"/>
    <cellStyle name="Итог 3 2 8 3" xfId="0"/>
    <cellStyle name="Итог 3 2 8 3 2" xfId="0"/>
    <cellStyle name="Итог 3 2 8 3 3" xfId="0"/>
    <cellStyle name="Итог 3 2 8 4" xfId="0"/>
    <cellStyle name="Итог 3 2 8 5" xfId="0"/>
    <cellStyle name="Итог 3 2 9" xfId="0"/>
    <cellStyle name="Итог 3 2 9 2" xfId="0"/>
    <cellStyle name="Итог 3 2 9 3" xfId="0"/>
    <cellStyle name="Итог 3 20" xfId="0"/>
    <cellStyle name="Итог 3 20 2" xfId="0"/>
    <cellStyle name="Итог 3 20 2 2" xfId="0"/>
    <cellStyle name="Итог 3 20 2 2 2" xfId="0"/>
    <cellStyle name="Итог 3 20 2 2 2 2" xfId="0"/>
    <cellStyle name="Итог 3 20 2 2 2 3" xfId="0"/>
    <cellStyle name="Итог 3 20 2 2 3" xfId="0"/>
    <cellStyle name="Итог 3 20 2 2 4" xfId="0"/>
    <cellStyle name="Итог 3 20 2 3" xfId="0"/>
    <cellStyle name="Итог 3 20 2 3 2" xfId="0"/>
    <cellStyle name="Итог 3 20 2 3 2 2" xfId="0"/>
    <cellStyle name="Итог 3 20 2 3 2 3" xfId="0"/>
    <cellStyle name="Итог 3 20 2 3 3" xfId="0"/>
    <cellStyle name="Итог 3 20 2 3 4" xfId="0"/>
    <cellStyle name="Итог 3 20 2 4" xfId="0"/>
    <cellStyle name="Итог 3 20 2 4 2" xfId="0"/>
    <cellStyle name="Итог 3 20 2 4 3" xfId="0"/>
    <cellStyle name="Итог 3 20 2 5" xfId="0"/>
    <cellStyle name="Итог 3 20 2 6" xfId="0"/>
    <cellStyle name="Итог 3 20 3" xfId="0"/>
    <cellStyle name="Итог 3 20 3 2" xfId="0"/>
    <cellStyle name="Итог 3 20 3 2 2" xfId="0"/>
    <cellStyle name="Итог 3 20 3 2 2 2" xfId="0"/>
    <cellStyle name="Итог 3 20 3 2 2 3" xfId="0"/>
    <cellStyle name="Итог 3 20 3 2 3" xfId="0"/>
    <cellStyle name="Итог 3 20 3 2 4" xfId="0"/>
    <cellStyle name="Итог 3 20 3 3" xfId="0"/>
    <cellStyle name="Итог 3 20 3 3 2" xfId="0"/>
    <cellStyle name="Итог 3 20 3 3 3" xfId="0"/>
    <cellStyle name="Итог 3 20 3 4" xfId="0"/>
    <cellStyle name="Итог 3 20 3 5" xfId="0"/>
    <cellStyle name="Итог 3 20 4" xfId="0"/>
    <cellStyle name="Итог 3 20 4 2" xfId="0"/>
    <cellStyle name="Итог 3 20 4 2 2" xfId="0"/>
    <cellStyle name="Итог 3 20 4 2 2 2" xfId="0"/>
    <cellStyle name="Итог 3 20 4 2 2 3" xfId="0"/>
    <cellStyle name="Итог 3 20 4 2 3" xfId="0"/>
    <cellStyle name="Итог 3 20 4 2 4" xfId="0"/>
    <cellStyle name="Итог 3 20 4 3" xfId="0"/>
    <cellStyle name="Итог 3 20 4 3 2" xfId="0"/>
    <cellStyle name="Итог 3 20 4 3 3" xfId="0"/>
    <cellStyle name="Итог 3 20 4 4" xfId="0"/>
    <cellStyle name="Итог 3 20 4 5" xfId="0"/>
    <cellStyle name="Итог 3 20 5" xfId="0"/>
    <cellStyle name="Итог 3 20 5 2" xfId="0"/>
    <cellStyle name="Итог 3 20 5 2 2" xfId="0"/>
    <cellStyle name="Итог 3 20 5 2 3" xfId="0"/>
    <cellStyle name="Итог 3 20 5 3" xfId="0"/>
    <cellStyle name="Итог 3 20 5 4" xfId="0"/>
    <cellStyle name="Итог 3 20 6" xfId="0"/>
    <cellStyle name="Итог 3 20 6 2" xfId="0"/>
    <cellStyle name="Итог 3 20 6 3" xfId="0"/>
    <cellStyle name="Итог 3 20 7" xfId="0"/>
    <cellStyle name="Итог 3 20 8" xfId="0"/>
    <cellStyle name="Итог 3 21" xfId="0"/>
    <cellStyle name="Итог 3 21 2" xfId="0"/>
    <cellStyle name="Итог 3 21 2 2" xfId="0"/>
    <cellStyle name="Итог 3 21 2 2 2" xfId="0"/>
    <cellStyle name="Итог 3 21 2 2 3" xfId="0"/>
    <cellStyle name="Итог 3 21 2 3" xfId="0"/>
    <cellStyle name="Итог 3 21 2 4" xfId="0"/>
    <cellStyle name="Итог 3 21 3" xfId="0"/>
    <cellStyle name="Итог 3 21 3 2" xfId="0"/>
    <cellStyle name="Итог 3 21 3 2 2" xfId="0"/>
    <cellStyle name="Итог 3 21 3 2 3" xfId="0"/>
    <cellStyle name="Итог 3 21 3 3" xfId="0"/>
    <cellStyle name="Итог 3 21 3 4" xfId="0"/>
    <cellStyle name="Итог 3 21 4" xfId="0"/>
    <cellStyle name="Итог 3 21 4 2" xfId="0"/>
    <cellStyle name="Итог 3 21 4 3" xfId="0"/>
    <cellStyle name="Итог 3 21 5" xfId="0"/>
    <cellStyle name="Итог 3 21 6" xfId="0"/>
    <cellStyle name="Итог 3 22" xfId="0"/>
    <cellStyle name="Итог 3 22 2" xfId="0"/>
    <cellStyle name="Итог 3 22 2 2" xfId="0"/>
    <cellStyle name="Итог 3 22 2 2 2" xfId="0"/>
    <cellStyle name="Итог 3 22 2 2 3" xfId="0"/>
    <cellStyle name="Итог 3 22 2 3" xfId="0"/>
    <cellStyle name="Итог 3 22 2 4" xfId="0"/>
    <cellStyle name="Итог 3 22 3" xfId="0"/>
    <cellStyle name="Итог 3 22 3 2" xfId="0"/>
    <cellStyle name="Итог 3 22 3 2 2" xfId="0"/>
    <cellStyle name="Итог 3 22 3 2 3" xfId="0"/>
    <cellStyle name="Итог 3 22 3 3" xfId="0"/>
    <cellStyle name="Итог 3 22 3 4" xfId="0"/>
    <cellStyle name="Итог 3 22 4" xfId="0"/>
    <cellStyle name="Итог 3 22 4 2" xfId="0"/>
    <cellStyle name="Итог 3 22 4 3" xfId="0"/>
    <cellStyle name="Итог 3 22 5" xfId="0"/>
    <cellStyle name="Итог 3 22 6" xfId="0"/>
    <cellStyle name="Итог 3 23" xfId="0"/>
    <cellStyle name="Итог 3 23 2" xfId="0"/>
    <cellStyle name="Итог 3 23 2 2" xfId="0"/>
    <cellStyle name="Итог 3 23 2 2 2" xfId="0"/>
    <cellStyle name="Итог 3 23 2 2 3" xfId="0"/>
    <cellStyle name="Итог 3 23 2 3" xfId="0"/>
    <cellStyle name="Итог 3 23 2 4" xfId="0"/>
    <cellStyle name="Итог 3 23 3" xfId="0"/>
    <cellStyle name="Итог 3 23 3 2" xfId="0"/>
    <cellStyle name="Итог 3 23 3 2 2" xfId="0"/>
    <cellStyle name="Итог 3 23 3 2 3" xfId="0"/>
    <cellStyle name="Итог 3 23 3 3" xfId="0"/>
    <cellStyle name="Итог 3 23 3 4" xfId="0"/>
    <cellStyle name="Итог 3 23 4" xfId="0"/>
    <cellStyle name="Итог 3 23 4 2" xfId="0"/>
    <cellStyle name="Итог 3 23 4 3" xfId="0"/>
    <cellStyle name="Итог 3 23 5" xfId="0"/>
    <cellStyle name="Итог 3 23 6" xfId="0"/>
    <cellStyle name="Итог 3 24" xfId="0"/>
    <cellStyle name="Итог 3 24 2" xfId="0"/>
    <cellStyle name="Итог 3 24 2 2" xfId="0"/>
    <cellStyle name="Итог 3 24 2 2 2" xfId="0"/>
    <cellStyle name="Итог 3 24 2 2 3" xfId="0"/>
    <cellStyle name="Итог 3 24 2 3" xfId="0"/>
    <cellStyle name="Итог 3 24 2 4" xfId="0"/>
    <cellStyle name="Итог 3 24 3" xfId="0"/>
    <cellStyle name="Итог 3 24 3 2" xfId="0"/>
    <cellStyle name="Итог 3 24 3 2 2" xfId="0"/>
    <cellStyle name="Итог 3 24 3 2 3" xfId="0"/>
    <cellStyle name="Итог 3 24 3 3" xfId="0"/>
    <cellStyle name="Итог 3 24 3 4" xfId="0"/>
    <cellStyle name="Итог 3 24 4" xfId="0"/>
    <cellStyle name="Итог 3 24 4 2" xfId="0"/>
    <cellStyle name="Итог 3 24 4 3" xfId="0"/>
    <cellStyle name="Итог 3 24 5" xfId="0"/>
    <cellStyle name="Итог 3 24 6" xfId="0"/>
    <cellStyle name="Итог 3 25" xfId="0"/>
    <cellStyle name="Итог 3 25 2" xfId="0"/>
    <cellStyle name="Итог 3 25 2 2" xfId="0"/>
    <cellStyle name="Итог 3 25 2 2 2" xfId="0"/>
    <cellStyle name="Итог 3 25 2 2 3" xfId="0"/>
    <cellStyle name="Итог 3 25 2 3" xfId="0"/>
    <cellStyle name="Итог 3 25 2 4" xfId="0"/>
    <cellStyle name="Итог 3 25 3" xfId="0"/>
    <cellStyle name="Итог 3 25 3 2" xfId="0"/>
    <cellStyle name="Итог 3 25 3 2 2" xfId="0"/>
    <cellStyle name="Итог 3 25 3 2 3" xfId="0"/>
    <cellStyle name="Итог 3 25 3 3" xfId="0"/>
    <cellStyle name="Итог 3 25 3 4" xfId="0"/>
    <cellStyle name="Итог 3 25 4" xfId="0"/>
    <cellStyle name="Итог 3 25 4 2" xfId="0"/>
    <cellStyle name="Итог 3 25 4 3" xfId="0"/>
    <cellStyle name="Итог 3 25 5" xfId="0"/>
    <cellStyle name="Итог 3 25 6" xfId="0"/>
    <cellStyle name="Итог 3 26" xfId="0"/>
    <cellStyle name="Итог 3 26 2" xfId="0"/>
    <cellStyle name="Итог 3 26 2 2" xfId="0"/>
    <cellStyle name="Итог 3 26 2 2 2" xfId="0"/>
    <cellStyle name="Итог 3 26 2 2 3" xfId="0"/>
    <cellStyle name="Итог 3 26 2 3" xfId="0"/>
    <cellStyle name="Итог 3 26 2 4" xfId="0"/>
    <cellStyle name="Итог 3 26 3" xfId="0"/>
    <cellStyle name="Итог 3 26 3 2" xfId="0"/>
    <cellStyle name="Итог 3 26 3 3" xfId="0"/>
    <cellStyle name="Итог 3 26 4" xfId="0"/>
    <cellStyle name="Итог 3 26 5" xfId="0"/>
    <cellStyle name="Итог 3 27" xfId="0"/>
    <cellStyle name="Итог 3 27 2" xfId="0"/>
    <cellStyle name="Итог 3 27 2 2" xfId="0"/>
    <cellStyle name="Итог 3 27 2 2 2" xfId="0"/>
    <cellStyle name="Итог 3 27 2 2 3" xfId="0"/>
    <cellStyle name="Итог 3 27 2 3" xfId="0"/>
    <cellStyle name="Итог 3 27 2 4" xfId="0"/>
    <cellStyle name="Итог 3 27 3" xfId="0"/>
    <cellStyle name="Итог 3 27 3 2" xfId="0"/>
    <cellStyle name="Итог 3 27 3 3" xfId="0"/>
    <cellStyle name="Итог 3 27 4" xfId="0"/>
    <cellStyle name="Итог 3 27 5" xfId="0"/>
    <cellStyle name="Итог 3 28" xfId="0"/>
    <cellStyle name="Итог 3 28 2" xfId="0"/>
    <cellStyle name="Итог 3 28 2 2" xfId="0"/>
    <cellStyle name="Итог 3 28 2 2 2" xfId="0"/>
    <cellStyle name="Итог 3 28 2 2 3" xfId="0"/>
    <cellStyle name="Итог 3 28 2 3" xfId="0"/>
    <cellStyle name="Итог 3 28 2 4" xfId="0"/>
    <cellStyle name="Итог 3 28 3" xfId="0"/>
    <cellStyle name="Итог 3 28 3 2" xfId="0"/>
    <cellStyle name="Итог 3 28 3 3" xfId="0"/>
    <cellStyle name="Итог 3 28 4" xfId="0"/>
    <cellStyle name="Итог 3 28 5" xfId="0"/>
    <cellStyle name="Итог 3 29" xfId="0"/>
    <cellStyle name="Итог 3 29 2" xfId="0"/>
    <cellStyle name="Итог 3 29 2 2" xfId="0"/>
    <cellStyle name="Итог 3 29 2 3" xfId="0"/>
    <cellStyle name="Итог 3 29 3" xfId="0"/>
    <cellStyle name="Итог 3 29 4" xfId="0"/>
    <cellStyle name="Итог 3 3" xfId="0"/>
    <cellStyle name="Итог 3 3 10" xfId="0"/>
    <cellStyle name="Итог 3 3 2" xfId="0"/>
    <cellStyle name="Итог 3 3 2 2" xfId="0"/>
    <cellStyle name="Итог 3 3 2 2 2" xfId="0"/>
    <cellStyle name="Итог 3 3 2 2 2 2" xfId="0"/>
    <cellStyle name="Итог 3 3 2 2 2 3" xfId="0"/>
    <cellStyle name="Итог 3 3 2 2 3" xfId="0"/>
    <cellStyle name="Итог 3 3 2 2 4" xfId="0"/>
    <cellStyle name="Итог 3 3 2 3" xfId="0"/>
    <cellStyle name="Итог 3 3 2 3 2" xfId="0"/>
    <cellStyle name="Итог 3 3 2 3 2 2" xfId="0"/>
    <cellStyle name="Итог 3 3 2 3 2 3" xfId="0"/>
    <cellStyle name="Итог 3 3 2 3 3" xfId="0"/>
    <cellStyle name="Итог 3 3 2 3 4" xfId="0"/>
    <cellStyle name="Итог 3 3 2 4" xfId="0"/>
    <cellStyle name="Итог 3 3 2 4 2" xfId="0"/>
    <cellStyle name="Итог 3 3 2 4 3" xfId="0"/>
    <cellStyle name="Итог 3 3 2 5" xfId="0"/>
    <cellStyle name="Итог 3 3 2 6" xfId="0"/>
    <cellStyle name="Итог 3 3 3" xfId="0"/>
    <cellStyle name="Итог 3 3 3 2" xfId="0"/>
    <cellStyle name="Итог 3 3 3 2 2" xfId="0"/>
    <cellStyle name="Итог 3 3 3 2 2 2" xfId="0"/>
    <cellStyle name="Итог 3 3 3 2 2 3" xfId="0"/>
    <cellStyle name="Итог 3 3 3 2 3" xfId="0"/>
    <cellStyle name="Итог 3 3 3 2 4" xfId="0"/>
    <cellStyle name="Итог 3 3 3 3" xfId="0"/>
    <cellStyle name="Итог 3 3 3 3 2" xfId="0"/>
    <cellStyle name="Итог 3 3 3 3 2 2" xfId="0"/>
    <cellStyle name="Итог 3 3 3 3 2 3" xfId="0"/>
    <cellStyle name="Итог 3 3 3 3 3" xfId="0"/>
    <cellStyle name="Итог 3 3 3 3 4" xfId="0"/>
    <cellStyle name="Итог 3 3 3 4" xfId="0"/>
    <cellStyle name="Итог 3 3 3 4 2" xfId="0"/>
    <cellStyle name="Итог 3 3 3 4 3" xfId="0"/>
    <cellStyle name="Итог 3 3 3 5" xfId="0"/>
    <cellStyle name="Итог 3 3 3 6" xfId="0"/>
    <cellStyle name="Итог 3 3 4" xfId="0"/>
    <cellStyle name="Итог 3 3 4 2" xfId="0"/>
    <cellStyle name="Итог 3 3 4 2 2" xfId="0"/>
    <cellStyle name="Итог 3 3 4 2 2 2" xfId="0"/>
    <cellStyle name="Итог 3 3 4 2 2 3" xfId="0"/>
    <cellStyle name="Итог 3 3 4 2 3" xfId="0"/>
    <cellStyle name="Итог 3 3 4 2 4" xfId="0"/>
    <cellStyle name="Итог 3 3 4 3" xfId="0"/>
    <cellStyle name="Итог 3 3 4 3 2" xfId="0"/>
    <cellStyle name="Итог 3 3 4 3 2 2" xfId="0"/>
    <cellStyle name="Итог 3 3 4 3 2 3" xfId="0"/>
    <cellStyle name="Итог 3 3 4 3 3" xfId="0"/>
    <cellStyle name="Итог 3 3 4 3 4" xfId="0"/>
    <cellStyle name="Итог 3 3 4 4" xfId="0"/>
    <cellStyle name="Итог 3 3 4 4 2" xfId="0"/>
    <cellStyle name="Итог 3 3 4 4 3" xfId="0"/>
    <cellStyle name="Итог 3 3 4 5" xfId="0"/>
    <cellStyle name="Итог 3 3 4 6" xfId="0"/>
    <cellStyle name="Итог 3 3 5" xfId="0"/>
    <cellStyle name="Итог 3 3 5 2" xfId="0"/>
    <cellStyle name="Итог 3 3 5 2 2" xfId="0"/>
    <cellStyle name="Итог 3 3 5 2 2 2" xfId="0"/>
    <cellStyle name="Итог 3 3 5 2 2 3" xfId="0"/>
    <cellStyle name="Итог 3 3 5 2 3" xfId="0"/>
    <cellStyle name="Итог 3 3 5 2 4" xfId="0"/>
    <cellStyle name="Итог 3 3 5 3" xfId="0"/>
    <cellStyle name="Итог 3 3 5 3 2" xfId="0"/>
    <cellStyle name="Итог 3 3 5 3 2 2" xfId="0"/>
    <cellStyle name="Итог 3 3 5 3 2 3" xfId="0"/>
    <cellStyle name="Итог 3 3 5 3 3" xfId="0"/>
    <cellStyle name="Итог 3 3 5 3 4" xfId="0"/>
    <cellStyle name="Итог 3 3 5 4" xfId="0"/>
    <cellStyle name="Итог 3 3 5 4 2" xfId="0"/>
    <cellStyle name="Итог 3 3 5 4 3" xfId="0"/>
    <cellStyle name="Итог 3 3 5 5" xfId="0"/>
    <cellStyle name="Итог 3 3 5 6" xfId="0"/>
    <cellStyle name="Итог 3 3 6" xfId="0"/>
    <cellStyle name="Итог 3 3 6 2" xfId="0"/>
    <cellStyle name="Итог 3 3 6 2 2" xfId="0"/>
    <cellStyle name="Итог 3 3 6 2 2 2" xfId="0"/>
    <cellStyle name="Итог 3 3 6 2 2 3" xfId="0"/>
    <cellStyle name="Итог 3 3 6 2 3" xfId="0"/>
    <cellStyle name="Итог 3 3 6 2 4" xfId="0"/>
    <cellStyle name="Итог 3 3 6 3" xfId="0"/>
    <cellStyle name="Итог 3 3 6 3 2" xfId="0"/>
    <cellStyle name="Итог 3 3 6 3 3" xfId="0"/>
    <cellStyle name="Итог 3 3 6 4" xfId="0"/>
    <cellStyle name="Итог 3 3 6 5" xfId="0"/>
    <cellStyle name="Итог 3 3 7" xfId="0"/>
    <cellStyle name="Итог 3 3 7 2" xfId="0"/>
    <cellStyle name="Итог 3 3 7 2 2" xfId="0"/>
    <cellStyle name="Итог 3 3 7 2 2 2" xfId="0"/>
    <cellStyle name="Итог 3 3 7 2 2 3" xfId="0"/>
    <cellStyle name="Итог 3 3 7 2 3" xfId="0"/>
    <cellStyle name="Итог 3 3 7 2 4" xfId="0"/>
    <cellStyle name="Итог 3 3 7 3" xfId="0"/>
    <cellStyle name="Итог 3 3 7 3 2" xfId="0"/>
    <cellStyle name="Итог 3 3 7 3 3" xfId="0"/>
    <cellStyle name="Итог 3 3 7 4" xfId="0"/>
    <cellStyle name="Итог 3 3 7 5" xfId="0"/>
    <cellStyle name="Итог 3 3 8" xfId="0"/>
    <cellStyle name="Итог 3 3 8 2" xfId="0"/>
    <cellStyle name="Итог 3 3 8 3" xfId="0"/>
    <cellStyle name="Итог 3 3 9" xfId="0"/>
    <cellStyle name="Итог 3 30" xfId="0"/>
    <cellStyle name="Итог 3 30 2" xfId="0"/>
    <cellStyle name="Итог 3 30 3" xfId="0"/>
    <cellStyle name="Итог 3 31" xfId="0"/>
    <cellStyle name="Итог 3 31 2" xfId="0"/>
    <cellStyle name="Итог 3 31 3" xfId="0"/>
    <cellStyle name="Итог 3 32" xfId="0"/>
    <cellStyle name="Итог 3 32 2" xfId="0"/>
    <cellStyle name="Итог 3 32 3" xfId="0"/>
    <cellStyle name="Итог 3 33" xfId="0"/>
    <cellStyle name="Итог 3 33 2" xfId="0"/>
    <cellStyle name="Итог 3 33 3" xfId="0"/>
    <cellStyle name="Итог 3 34" xfId="0"/>
    <cellStyle name="Итог 3 4" xfId="0"/>
    <cellStyle name="Итог 3 4 10" xfId="0"/>
    <cellStyle name="Итог 3 4 2" xfId="0"/>
    <cellStyle name="Итог 3 4 2 2" xfId="0"/>
    <cellStyle name="Итог 3 4 2 2 2" xfId="0"/>
    <cellStyle name="Итог 3 4 2 2 2 2" xfId="0"/>
    <cellStyle name="Итог 3 4 2 2 2 3" xfId="0"/>
    <cellStyle name="Итог 3 4 2 2 3" xfId="0"/>
    <cellStyle name="Итог 3 4 2 2 4" xfId="0"/>
    <cellStyle name="Итог 3 4 2 3" xfId="0"/>
    <cellStyle name="Итог 3 4 2 3 2" xfId="0"/>
    <cellStyle name="Итог 3 4 2 3 2 2" xfId="0"/>
    <cellStyle name="Итог 3 4 2 3 2 3" xfId="0"/>
    <cellStyle name="Итог 3 4 2 3 3" xfId="0"/>
    <cellStyle name="Итог 3 4 2 3 4" xfId="0"/>
    <cellStyle name="Итог 3 4 2 4" xfId="0"/>
    <cellStyle name="Итог 3 4 2 4 2" xfId="0"/>
    <cellStyle name="Итог 3 4 2 4 3" xfId="0"/>
    <cellStyle name="Итог 3 4 2 5" xfId="0"/>
    <cellStyle name="Итог 3 4 2 6" xfId="0"/>
    <cellStyle name="Итог 3 4 3" xfId="0"/>
    <cellStyle name="Итог 3 4 3 2" xfId="0"/>
    <cellStyle name="Итог 3 4 3 2 2" xfId="0"/>
    <cellStyle name="Итог 3 4 3 2 2 2" xfId="0"/>
    <cellStyle name="Итог 3 4 3 2 2 3" xfId="0"/>
    <cellStyle name="Итог 3 4 3 2 3" xfId="0"/>
    <cellStyle name="Итог 3 4 3 2 4" xfId="0"/>
    <cellStyle name="Итог 3 4 3 3" xfId="0"/>
    <cellStyle name="Итог 3 4 3 3 2" xfId="0"/>
    <cellStyle name="Итог 3 4 3 3 2 2" xfId="0"/>
    <cellStyle name="Итог 3 4 3 3 2 3" xfId="0"/>
    <cellStyle name="Итог 3 4 3 3 3" xfId="0"/>
    <cellStyle name="Итог 3 4 3 3 4" xfId="0"/>
    <cellStyle name="Итог 3 4 3 4" xfId="0"/>
    <cellStyle name="Итог 3 4 3 4 2" xfId="0"/>
    <cellStyle name="Итог 3 4 3 4 3" xfId="0"/>
    <cellStyle name="Итог 3 4 3 5" xfId="0"/>
    <cellStyle name="Итог 3 4 3 6" xfId="0"/>
    <cellStyle name="Итог 3 4 4" xfId="0"/>
    <cellStyle name="Итог 3 4 4 2" xfId="0"/>
    <cellStyle name="Итог 3 4 4 2 2" xfId="0"/>
    <cellStyle name="Итог 3 4 4 2 2 2" xfId="0"/>
    <cellStyle name="Итог 3 4 4 2 2 3" xfId="0"/>
    <cellStyle name="Итог 3 4 4 2 3" xfId="0"/>
    <cellStyle name="Итог 3 4 4 2 4" xfId="0"/>
    <cellStyle name="Итог 3 4 4 3" xfId="0"/>
    <cellStyle name="Итог 3 4 4 3 2" xfId="0"/>
    <cellStyle name="Итог 3 4 4 3 2 2" xfId="0"/>
    <cellStyle name="Итог 3 4 4 3 2 3" xfId="0"/>
    <cellStyle name="Итог 3 4 4 3 3" xfId="0"/>
    <cellStyle name="Итог 3 4 4 3 4" xfId="0"/>
    <cellStyle name="Итог 3 4 4 4" xfId="0"/>
    <cellStyle name="Итог 3 4 4 4 2" xfId="0"/>
    <cellStyle name="Итог 3 4 4 4 3" xfId="0"/>
    <cellStyle name="Итог 3 4 4 5" xfId="0"/>
    <cellStyle name="Итог 3 4 4 6" xfId="0"/>
    <cellStyle name="Итог 3 4 5" xfId="0"/>
    <cellStyle name="Итог 3 4 5 2" xfId="0"/>
    <cellStyle name="Итог 3 4 5 2 2" xfId="0"/>
    <cellStyle name="Итог 3 4 5 2 2 2" xfId="0"/>
    <cellStyle name="Итог 3 4 5 2 2 3" xfId="0"/>
    <cellStyle name="Итог 3 4 5 2 3" xfId="0"/>
    <cellStyle name="Итог 3 4 5 2 4" xfId="0"/>
    <cellStyle name="Итог 3 4 5 3" xfId="0"/>
    <cellStyle name="Итог 3 4 5 3 2" xfId="0"/>
    <cellStyle name="Итог 3 4 5 3 2 2" xfId="0"/>
    <cellStyle name="Итог 3 4 5 3 2 3" xfId="0"/>
    <cellStyle name="Итог 3 4 5 3 3" xfId="0"/>
    <cellStyle name="Итог 3 4 5 3 4" xfId="0"/>
    <cellStyle name="Итог 3 4 5 4" xfId="0"/>
    <cellStyle name="Итог 3 4 5 4 2" xfId="0"/>
    <cellStyle name="Итог 3 4 5 4 3" xfId="0"/>
    <cellStyle name="Итог 3 4 5 5" xfId="0"/>
    <cellStyle name="Итог 3 4 5 6" xfId="0"/>
    <cellStyle name="Итог 3 4 6" xfId="0"/>
    <cellStyle name="Итог 3 4 6 2" xfId="0"/>
    <cellStyle name="Итог 3 4 6 2 2" xfId="0"/>
    <cellStyle name="Итог 3 4 6 2 2 2" xfId="0"/>
    <cellStyle name="Итог 3 4 6 2 2 3" xfId="0"/>
    <cellStyle name="Итог 3 4 6 2 3" xfId="0"/>
    <cellStyle name="Итог 3 4 6 2 4" xfId="0"/>
    <cellStyle name="Итог 3 4 6 3" xfId="0"/>
    <cellStyle name="Итог 3 4 6 3 2" xfId="0"/>
    <cellStyle name="Итог 3 4 6 3 3" xfId="0"/>
    <cellStyle name="Итог 3 4 6 4" xfId="0"/>
    <cellStyle name="Итог 3 4 6 5" xfId="0"/>
    <cellStyle name="Итог 3 4 7" xfId="0"/>
    <cellStyle name="Итог 3 4 7 2" xfId="0"/>
    <cellStyle name="Итог 3 4 7 2 2" xfId="0"/>
    <cellStyle name="Итог 3 4 7 2 2 2" xfId="0"/>
    <cellStyle name="Итог 3 4 7 2 2 3" xfId="0"/>
    <cellStyle name="Итог 3 4 7 2 3" xfId="0"/>
    <cellStyle name="Итог 3 4 7 2 4" xfId="0"/>
    <cellStyle name="Итог 3 4 7 3" xfId="0"/>
    <cellStyle name="Итог 3 4 7 3 2" xfId="0"/>
    <cellStyle name="Итог 3 4 7 3 3" xfId="0"/>
    <cellStyle name="Итог 3 4 7 4" xfId="0"/>
    <cellStyle name="Итог 3 4 7 5" xfId="0"/>
    <cellStyle name="Итог 3 4 8" xfId="0"/>
    <cellStyle name="Итог 3 4 8 2" xfId="0"/>
    <cellStyle name="Итог 3 4 8 3" xfId="0"/>
    <cellStyle name="Итог 3 4 9" xfId="0"/>
    <cellStyle name="Итог 3 5" xfId="0"/>
    <cellStyle name="Итог 3 5 2" xfId="0"/>
    <cellStyle name="Итог 3 5 2 2" xfId="0"/>
    <cellStyle name="Итог 3 5 2 2 2" xfId="0"/>
    <cellStyle name="Итог 3 5 2 2 2 2" xfId="0"/>
    <cellStyle name="Итог 3 5 2 2 2 3" xfId="0"/>
    <cellStyle name="Итог 3 5 2 2 3" xfId="0"/>
    <cellStyle name="Итог 3 5 2 2 4" xfId="0"/>
    <cellStyle name="Итог 3 5 2 3" xfId="0"/>
    <cellStyle name="Итог 3 5 2 3 2" xfId="0"/>
    <cellStyle name="Итог 3 5 2 3 2 2" xfId="0"/>
    <cellStyle name="Итог 3 5 2 3 2 3" xfId="0"/>
    <cellStyle name="Итог 3 5 2 3 3" xfId="0"/>
    <cellStyle name="Итог 3 5 2 3 4" xfId="0"/>
    <cellStyle name="Итог 3 5 2 4" xfId="0"/>
    <cellStyle name="Итог 3 5 2 4 2" xfId="0"/>
    <cellStyle name="Итог 3 5 2 4 3" xfId="0"/>
    <cellStyle name="Итог 3 5 2 5" xfId="0"/>
    <cellStyle name="Итог 3 5 2 6" xfId="0"/>
    <cellStyle name="Итог 3 5 3" xfId="0"/>
    <cellStyle name="Итог 3 5 3 2" xfId="0"/>
    <cellStyle name="Итог 3 5 3 2 2" xfId="0"/>
    <cellStyle name="Итог 3 5 3 2 2 2" xfId="0"/>
    <cellStyle name="Итог 3 5 3 2 2 3" xfId="0"/>
    <cellStyle name="Итог 3 5 3 2 3" xfId="0"/>
    <cellStyle name="Итог 3 5 3 2 4" xfId="0"/>
    <cellStyle name="Итог 3 5 3 3" xfId="0"/>
    <cellStyle name="Итог 3 5 3 3 2" xfId="0"/>
    <cellStyle name="Итог 3 5 3 3 3" xfId="0"/>
    <cellStyle name="Итог 3 5 3 4" xfId="0"/>
    <cellStyle name="Итог 3 5 3 5" xfId="0"/>
    <cellStyle name="Итог 3 5 4" xfId="0"/>
    <cellStyle name="Итог 3 5 4 2" xfId="0"/>
    <cellStyle name="Итог 3 5 4 2 2" xfId="0"/>
    <cellStyle name="Итог 3 5 4 2 2 2" xfId="0"/>
    <cellStyle name="Итог 3 5 4 2 2 3" xfId="0"/>
    <cellStyle name="Итог 3 5 4 2 3" xfId="0"/>
    <cellStyle name="Итог 3 5 4 2 4" xfId="0"/>
    <cellStyle name="Итог 3 5 4 3" xfId="0"/>
    <cellStyle name="Итог 3 5 4 3 2" xfId="0"/>
    <cellStyle name="Итог 3 5 4 3 3" xfId="0"/>
    <cellStyle name="Итог 3 5 4 4" xfId="0"/>
    <cellStyle name="Итог 3 5 4 5" xfId="0"/>
    <cellStyle name="Итог 3 5 5" xfId="0"/>
    <cellStyle name="Итог 3 5 5 2" xfId="0"/>
    <cellStyle name="Итог 3 5 5 3" xfId="0"/>
    <cellStyle name="Итог 3 5 6" xfId="0"/>
    <cellStyle name="Итог 3 5 7" xfId="0"/>
    <cellStyle name="Итог 3 6" xfId="0"/>
    <cellStyle name="Итог 3 6 2" xfId="0"/>
    <cellStyle name="Итог 3 6 2 2" xfId="0"/>
    <cellStyle name="Итог 3 6 2 2 2" xfId="0"/>
    <cellStyle name="Итог 3 6 2 2 2 2" xfId="0"/>
    <cellStyle name="Итог 3 6 2 2 2 3" xfId="0"/>
    <cellStyle name="Итог 3 6 2 2 3" xfId="0"/>
    <cellStyle name="Итог 3 6 2 2 4" xfId="0"/>
    <cellStyle name="Итог 3 6 2 3" xfId="0"/>
    <cellStyle name="Итог 3 6 2 3 2" xfId="0"/>
    <cellStyle name="Итог 3 6 2 3 2 2" xfId="0"/>
    <cellStyle name="Итог 3 6 2 3 2 3" xfId="0"/>
    <cellStyle name="Итог 3 6 2 3 3" xfId="0"/>
    <cellStyle name="Итог 3 6 2 3 4" xfId="0"/>
    <cellStyle name="Итог 3 6 2 4" xfId="0"/>
    <cellStyle name="Итог 3 6 2 4 2" xfId="0"/>
    <cellStyle name="Итог 3 6 2 4 3" xfId="0"/>
    <cellStyle name="Итог 3 6 2 5" xfId="0"/>
    <cellStyle name="Итог 3 6 2 6" xfId="0"/>
    <cellStyle name="Итог 3 6 3" xfId="0"/>
    <cellStyle name="Итог 3 6 3 2" xfId="0"/>
    <cellStyle name="Итог 3 6 3 2 2" xfId="0"/>
    <cellStyle name="Итог 3 6 3 2 2 2" xfId="0"/>
    <cellStyle name="Итог 3 6 3 2 2 3" xfId="0"/>
    <cellStyle name="Итог 3 6 3 2 3" xfId="0"/>
    <cellStyle name="Итог 3 6 3 2 4" xfId="0"/>
    <cellStyle name="Итог 3 6 3 3" xfId="0"/>
    <cellStyle name="Итог 3 6 3 3 2" xfId="0"/>
    <cellStyle name="Итог 3 6 3 3 3" xfId="0"/>
    <cellStyle name="Итог 3 6 3 4" xfId="0"/>
    <cellStyle name="Итог 3 6 3 5" xfId="0"/>
    <cellStyle name="Итог 3 6 4" xfId="0"/>
    <cellStyle name="Итог 3 6 4 2" xfId="0"/>
    <cellStyle name="Итог 3 6 4 2 2" xfId="0"/>
    <cellStyle name="Итог 3 6 4 2 2 2" xfId="0"/>
    <cellStyle name="Итог 3 6 4 2 2 3" xfId="0"/>
    <cellStyle name="Итог 3 6 4 2 3" xfId="0"/>
    <cellStyle name="Итог 3 6 4 2 4" xfId="0"/>
    <cellStyle name="Итог 3 6 4 3" xfId="0"/>
    <cellStyle name="Итог 3 6 4 3 2" xfId="0"/>
    <cellStyle name="Итог 3 6 4 3 3" xfId="0"/>
    <cellStyle name="Итог 3 6 4 4" xfId="0"/>
    <cellStyle name="Итог 3 6 4 5" xfId="0"/>
    <cellStyle name="Итог 3 6 5" xfId="0"/>
    <cellStyle name="Итог 3 6 5 2" xfId="0"/>
    <cellStyle name="Итог 3 6 5 3" xfId="0"/>
    <cellStyle name="Итог 3 6 6" xfId="0"/>
    <cellStyle name="Итог 3 6 7" xfId="0"/>
    <cellStyle name="Итог 3 7" xfId="0"/>
    <cellStyle name="Итог 3 7 2" xfId="0"/>
    <cellStyle name="Итог 3 7 2 2" xfId="0"/>
    <cellStyle name="Итог 3 7 2 2 2" xfId="0"/>
    <cellStyle name="Итог 3 7 2 2 2 2" xfId="0"/>
    <cellStyle name="Итог 3 7 2 2 2 3" xfId="0"/>
    <cellStyle name="Итог 3 7 2 2 3" xfId="0"/>
    <cellStyle name="Итог 3 7 2 2 4" xfId="0"/>
    <cellStyle name="Итог 3 7 2 3" xfId="0"/>
    <cellStyle name="Итог 3 7 2 3 2" xfId="0"/>
    <cellStyle name="Итог 3 7 2 3 2 2" xfId="0"/>
    <cellStyle name="Итог 3 7 2 3 2 3" xfId="0"/>
    <cellStyle name="Итог 3 7 2 3 3" xfId="0"/>
    <cellStyle name="Итог 3 7 2 3 4" xfId="0"/>
    <cellStyle name="Итог 3 7 2 4" xfId="0"/>
    <cellStyle name="Итог 3 7 2 4 2" xfId="0"/>
    <cellStyle name="Итог 3 7 2 4 3" xfId="0"/>
    <cellStyle name="Итог 3 7 2 5" xfId="0"/>
    <cellStyle name="Итог 3 7 2 6" xfId="0"/>
    <cellStyle name="Итог 3 7 3" xfId="0"/>
    <cellStyle name="Итог 3 7 3 2" xfId="0"/>
    <cellStyle name="Итог 3 7 3 2 2" xfId="0"/>
    <cellStyle name="Итог 3 7 3 2 2 2" xfId="0"/>
    <cellStyle name="Итог 3 7 3 2 2 3" xfId="0"/>
    <cellStyle name="Итог 3 7 3 2 3" xfId="0"/>
    <cellStyle name="Итог 3 7 3 2 4" xfId="0"/>
    <cellStyle name="Итог 3 7 3 3" xfId="0"/>
    <cellStyle name="Итог 3 7 3 3 2" xfId="0"/>
    <cellStyle name="Итог 3 7 3 3 3" xfId="0"/>
    <cellStyle name="Итог 3 7 3 4" xfId="0"/>
    <cellStyle name="Итог 3 7 3 5" xfId="0"/>
    <cellStyle name="Итог 3 7 4" xfId="0"/>
    <cellStyle name="Итог 3 7 4 2" xfId="0"/>
    <cellStyle name="Итог 3 7 4 2 2" xfId="0"/>
    <cellStyle name="Итог 3 7 4 2 2 2" xfId="0"/>
    <cellStyle name="Итог 3 7 4 2 2 3" xfId="0"/>
    <cellStyle name="Итог 3 7 4 2 3" xfId="0"/>
    <cellStyle name="Итог 3 7 4 2 4" xfId="0"/>
    <cellStyle name="Итог 3 7 4 3" xfId="0"/>
    <cellStyle name="Итог 3 7 4 3 2" xfId="0"/>
    <cellStyle name="Итог 3 7 4 3 3" xfId="0"/>
    <cellStyle name="Итог 3 7 4 4" xfId="0"/>
    <cellStyle name="Итог 3 7 4 5" xfId="0"/>
    <cellStyle name="Итог 3 7 5" xfId="0"/>
    <cellStyle name="Итог 3 7 5 2" xfId="0"/>
    <cellStyle name="Итог 3 7 5 3" xfId="0"/>
    <cellStyle name="Итог 3 7 6" xfId="0"/>
    <cellStyle name="Итог 3 7 7" xfId="0"/>
    <cellStyle name="Итог 3 8" xfId="0"/>
    <cellStyle name="Итог 3 8 2" xfId="0"/>
    <cellStyle name="Итог 3 8 2 2" xfId="0"/>
    <cellStyle name="Итог 3 8 2 2 2" xfId="0"/>
    <cellStyle name="Итог 3 8 2 2 2 2" xfId="0"/>
    <cellStyle name="Итог 3 8 2 2 2 3" xfId="0"/>
    <cellStyle name="Итог 3 8 2 2 3" xfId="0"/>
    <cellStyle name="Итог 3 8 2 2 4" xfId="0"/>
    <cellStyle name="Итог 3 8 2 3" xfId="0"/>
    <cellStyle name="Итог 3 8 2 3 2" xfId="0"/>
    <cellStyle name="Итог 3 8 2 3 2 2" xfId="0"/>
    <cellStyle name="Итог 3 8 2 3 2 3" xfId="0"/>
    <cellStyle name="Итог 3 8 2 3 3" xfId="0"/>
    <cellStyle name="Итог 3 8 2 3 4" xfId="0"/>
    <cellStyle name="Итог 3 8 2 4" xfId="0"/>
    <cellStyle name="Итог 3 8 2 4 2" xfId="0"/>
    <cellStyle name="Итог 3 8 2 4 3" xfId="0"/>
    <cellStyle name="Итог 3 8 2 5" xfId="0"/>
    <cellStyle name="Итог 3 8 2 6" xfId="0"/>
    <cellStyle name="Итог 3 8 3" xfId="0"/>
    <cellStyle name="Итог 3 8 3 2" xfId="0"/>
    <cellStyle name="Итог 3 8 3 2 2" xfId="0"/>
    <cellStyle name="Итог 3 8 3 2 2 2" xfId="0"/>
    <cellStyle name="Итог 3 8 3 2 2 3" xfId="0"/>
    <cellStyle name="Итог 3 8 3 2 3" xfId="0"/>
    <cellStyle name="Итог 3 8 3 2 4" xfId="0"/>
    <cellStyle name="Итог 3 8 3 3" xfId="0"/>
    <cellStyle name="Итог 3 8 3 3 2" xfId="0"/>
    <cellStyle name="Итог 3 8 3 3 3" xfId="0"/>
    <cellStyle name="Итог 3 8 3 4" xfId="0"/>
    <cellStyle name="Итог 3 8 3 5" xfId="0"/>
    <cellStyle name="Итог 3 8 4" xfId="0"/>
    <cellStyle name="Итог 3 8 4 2" xfId="0"/>
    <cellStyle name="Итог 3 8 4 2 2" xfId="0"/>
    <cellStyle name="Итог 3 8 4 2 2 2" xfId="0"/>
    <cellStyle name="Итог 3 8 4 2 2 3" xfId="0"/>
    <cellStyle name="Итог 3 8 4 2 3" xfId="0"/>
    <cellStyle name="Итог 3 8 4 2 4" xfId="0"/>
    <cellStyle name="Итог 3 8 4 3" xfId="0"/>
    <cellStyle name="Итог 3 8 4 3 2" xfId="0"/>
    <cellStyle name="Итог 3 8 4 3 3" xfId="0"/>
    <cellStyle name="Итог 3 8 4 4" xfId="0"/>
    <cellStyle name="Итог 3 8 4 5" xfId="0"/>
    <cellStyle name="Итог 3 8 5" xfId="0"/>
    <cellStyle name="Итог 3 8 5 2" xfId="0"/>
    <cellStyle name="Итог 3 8 5 3" xfId="0"/>
    <cellStyle name="Итог 3 8 6" xfId="0"/>
    <cellStyle name="Итог 3 8 7" xfId="0"/>
    <cellStyle name="Итог 3 9" xfId="0"/>
    <cellStyle name="Итог 3 9 2" xfId="0"/>
    <cellStyle name="Итог 3 9 2 2" xfId="0"/>
    <cellStyle name="Итог 3 9 2 2 2" xfId="0"/>
    <cellStyle name="Итог 3 9 2 2 2 2" xfId="0"/>
    <cellStyle name="Итог 3 9 2 2 2 3" xfId="0"/>
    <cellStyle name="Итог 3 9 2 2 3" xfId="0"/>
    <cellStyle name="Итог 3 9 2 2 4" xfId="0"/>
    <cellStyle name="Итог 3 9 2 3" xfId="0"/>
    <cellStyle name="Итог 3 9 2 3 2" xfId="0"/>
    <cellStyle name="Итог 3 9 2 3 2 2" xfId="0"/>
    <cellStyle name="Итог 3 9 2 3 2 3" xfId="0"/>
    <cellStyle name="Итог 3 9 2 3 3" xfId="0"/>
    <cellStyle name="Итог 3 9 2 3 4" xfId="0"/>
    <cellStyle name="Итог 3 9 2 4" xfId="0"/>
    <cellStyle name="Итог 3 9 2 4 2" xfId="0"/>
    <cellStyle name="Итог 3 9 2 4 3" xfId="0"/>
    <cellStyle name="Итог 3 9 2 5" xfId="0"/>
    <cellStyle name="Итог 3 9 2 6" xfId="0"/>
    <cellStyle name="Итог 3 9 3" xfId="0"/>
    <cellStyle name="Итог 3 9 3 2" xfId="0"/>
    <cellStyle name="Итог 3 9 3 2 2" xfId="0"/>
    <cellStyle name="Итог 3 9 3 2 2 2" xfId="0"/>
    <cellStyle name="Итог 3 9 3 2 2 3" xfId="0"/>
    <cellStyle name="Итог 3 9 3 2 3" xfId="0"/>
    <cellStyle name="Итог 3 9 3 2 4" xfId="0"/>
    <cellStyle name="Итог 3 9 3 3" xfId="0"/>
    <cellStyle name="Итог 3 9 3 3 2" xfId="0"/>
    <cellStyle name="Итог 3 9 3 3 3" xfId="0"/>
    <cellStyle name="Итог 3 9 3 4" xfId="0"/>
    <cellStyle name="Итог 3 9 3 5" xfId="0"/>
    <cellStyle name="Итог 3 9 4" xfId="0"/>
    <cellStyle name="Итог 3 9 4 2" xfId="0"/>
    <cellStyle name="Итог 3 9 4 2 2" xfId="0"/>
    <cellStyle name="Итог 3 9 4 2 2 2" xfId="0"/>
    <cellStyle name="Итог 3 9 4 2 2 3" xfId="0"/>
    <cellStyle name="Итог 3 9 4 2 3" xfId="0"/>
    <cellStyle name="Итог 3 9 4 2 4" xfId="0"/>
    <cellStyle name="Итог 3 9 4 3" xfId="0"/>
    <cellStyle name="Итог 3 9 4 3 2" xfId="0"/>
    <cellStyle name="Итог 3 9 4 3 3" xfId="0"/>
    <cellStyle name="Итог 3 9 4 4" xfId="0"/>
    <cellStyle name="Итог 3 9 4 5" xfId="0"/>
    <cellStyle name="Итог 3 9 5" xfId="0"/>
    <cellStyle name="Итог 3 9 5 2" xfId="0"/>
    <cellStyle name="Итог 3 9 5 3" xfId="0"/>
    <cellStyle name="Итог 3 9 6" xfId="0"/>
    <cellStyle name="Итог 3 9 7" xfId="0"/>
    <cellStyle name="Итог 4" xfId="0"/>
    <cellStyle name="Итог 4 10" xfId="0"/>
    <cellStyle name="Итог 4 10 2" xfId="0"/>
    <cellStyle name="Итог 4 10 2 2" xfId="0"/>
    <cellStyle name="Итог 4 10 2 2 2" xfId="0"/>
    <cellStyle name="Итог 4 10 2 2 2 2" xfId="0"/>
    <cellStyle name="Итог 4 10 2 2 2 3" xfId="0"/>
    <cellStyle name="Итог 4 10 2 2 3" xfId="0"/>
    <cellStyle name="Итог 4 10 2 2 4" xfId="0"/>
    <cellStyle name="Итог 4 10 2 3" xfId="0"/>
    <cellStyle name="Итог 4 10 2 3 2" xfId="0"/>
    <cellStyle name="Итог 4 10 2 3 2 2" xfId="0"/>
    <cellStyle name="Итог 4 10 2 3 2 3" xfId="0"/>
    <cellStyle name="Итог 4 10 2 3 3" xfId="0"/>
    <cellStyle name="Итог 4 10 2 3 4" xfId="0"/>
    <cellStyle name="Итог 4 10 2 4" xfId="0"/>
    <cellStyle name="Итог 4 10 2 4 2" xfId="0"/>
    <cellStyle name="Итог 4 10 2 4 3" xfId="0"/>
    <cellStyle name="Итог 4 10 2 5" xfId="0"/>
    <cellStyle name="Итог 4 10 2 6" xfId="0"/>
    <cellStyle name="Итог 4 10 3" xfId="0"/>
    <cellStyle name="Итог 4 10 3 2" xfId="0"/>
    <cellStyle name="Итог 4 10 3 2 2" xfId="0"/>
    <cellStyle name="Итог 4 10 3 2 2 2" xfId="0"/>
    <cellStyle name="Итог 4 10 3 2 2 3" xfId="0"/>
    <cellStyle name="Итог 4 10 3 2 3" xfId="0"/>
    <cellStyle name="Итог 4 10 3 2 4" xfId="0"/>
    <cellStyle name="Итог 4 10 3 3" xfId="0"/>
    <cellStyle name="Итог 4 10 3 3 2" xfId="0"/>
    <cellStyle name="Итог 4 10 3 3 3" xfId="0"/>
    <cellStyle name="Итог 4 10 3 4" xfId="0"/>
    <cellStyle name="Итог 4 10 3 5" xfId="0"/>
    <cellStyle name="Итог 4 10 4" xfId="0"/>
    <cellStyle name="Итог 4 10 4 2" xfId="0"/>
    <cellStyle name="Итог 4 10 4 2 2" xfId="0"/>
    <cellStyle name="Итог 4 10 4 2 2 2" xfId="0"/>
    <cellStyle name="Итог 4 10 4 2 2 3" xfId="0"/>
    <cellStyle name="Итог 4 10 4 2 3" xfId="0"/>
    <cellStyle name="Итог 4 10 4 2 4" xfId="0"/>
    <cellStyle name="Итог 4 10 4 3" xfId="0"/>
    <cellStyle name="Итог 4 10 4 3 2" xfId="0"/>
    <cellStyle name="Итог 4 10 4 3 3" xfId="0"/>
    <cellStyle name="Итог 4 10 4 4" xfId="0"/>
    <cellStyle name="Итог 4 10 4 5" xfId="0"/>
    <cellStyle name="Итог 4 10 5" xfId="0"/>
    <cellStyle name="Итог 4 10 5 2" xfId="0"/>
    <cellStyle name="Итог 4 10 5 3" xfId="0"/>
    <cellStyle name="Итог 4 10 6" xfId="0"/>
    <cellStyle name="Итог 4 10 7" xfId="0"/>
    <cellStyle name="Итог 4 11" xfId="0"/>
    <cellStyle name="Итог 4 11 2" xfId="0"/>
    <cellStyle name="Итог 4 11 2 2" xfId="0"/>
    <cellStyle name="Итог 4 11 2 2 2" xfId="0"/>
    <cellStyle name="Итог 4 11 2 2 2 2" xfId="0"/>
    <cellStyle name="Итог 4 11 2 2 2 3" xfId="0"/>
    <cellStyle name="Итог 4 11 2 2 3" xfId="0"/>
    <cellStyle name="Итог 4 11 2 2 4" xfId="0"/>
    <cellStyle name="Итог 4 11 2 3" xfId="0"/>
    <cellStyle name="Итог 4 11 2 3 2" xfId="0"/>
    <cellStyle name="Итог 4 11 2 3 2 2" xfId="0"/>
    <cellStyle name="Итог 4 11 2 3 2 3" xfId="0"/>
    <cellStyle name="Итог 4 11 2 3 3" xfId="0"/>
    <cellStyle name="Итог 4 11 2 3 4" xfId="0"/>
    <cellStyle name="Итог 4 11 2 4" xfId="0"/>
    <cellStyle name="Итог 4 11 2 4 2" xfId="0"/>
    <cellStyle name="Итог 4 11 2 4 3" xfId="0"/>
    <cellStyle name="Итог 4 11 2 5" xfId="0"/>
    <cellStyle name="Итог 4 11 2 6" xfId="0"/>
    <cellStyle name="Итог 4 11 3" xfId="0"/>
    <cellStyle name="Итог 4 11 3 2" xfId="0"/>
    <cellStyle name="Итог 4 11 3 2 2" xfId="0"/>
    <cellStyle name="Итог 4 11 3 2 2 2" xfId="0"/>
    <cellStyle name="Итог 4 11 3 2 2 3" xfId="0"/>
    <cellStyle name="Итог 4 11 3 2 3" xfId="0"/>
    <cellStyle name="Итог 4 11 3 2 4" xfId="0"/>
    <cellStyle name="Итог 4 11 3 3" xfId="0"/>
    <cellStyle name="Итог 4 11 3 3 2" xfId="0"/>
    <cellStyle name="Итог 4 11 3 3 3" xfId="0"/>
    <cellStyle name="Итог 4 11 3 4" xfId="0"/>
    <cellStyle name="Итог 4 11 3 5" xfId="0"/>
    <cellStyle name="Итог 4 11 4" xfId="0"/>
    <cellStyle name="Итог 4 11 4 2" xfId="0"/>
    <cellStyle name="Итог 4 11 4 2 2" xfId="0"/>
    <cellStyle name="Итог 4 11 4 2 2 2" xfId="0"/>
    <cellStyle name="Итог 4 11 4 2 2 3" xfId="0"/>
    <cellStyle name="Итог 4 11 4 2 3" xfId="0"/>
    <cellStyle name="Итог 4 11 4 2 4" xfId="0"/>
    <cellStyle name="Итог 4 11 4 3" xfId="0"/>
    <cellStyle name="Итог 4 11 4 3 2" xfId="0"/>
    <cellStyle name="Итог 4 11 4 3 3" xfId="0"/>
    <cellStyle name="Итог 4 11 4 4" xfId="0"/>
    <cellStyle name="Итог 4 11 4 5" xfId="0"/>
    <cellStyle name="Итог 4 11 5" xfId="0"/>
    <cellStyle name="Итог 4 11 5 2" xfId="0"/>
    <cellStyle name="Итог 4 11 5 3" xfId="0"/>
    <cellStyle name="Итог 4 11 6" xfId="0"/>
    <cellStyle name="Итог 4 11 7" xfId="0"/>
    <cellStyle name="Итог 4 12" xfId="0"/>
    <cellStyle name="Итог 4 12 2" xfId="0"/>
    <cellStyle name="Итог 4 12 2 2" xfId="0"/>
    <cellStyle name="Итог 4 12 2 2 2" xfId="0"/>
    <cellStyle name="Итог 4 12 2 2 2 2" xfId="0"/>
    <cellStyle name="Итог 4 12 2 2 2 3" xfId="0"/>
    <cellStyle name="Итог 4 12 2 2 3" xfId="0"/>
    <cellStyle name="Итог 4 12 2 2 4" xfId="0"/>
    <cellStyle name="Итог 4 12 2 3" xfId="0"/>
    <cellStyle name="Итог 4 12 2 3 2" xfId="0"/>
    <cellStyle name="Итог 4 12 2 3 2 2" xfId="0"/>
    <cellStyle name="Итог 4 12 2 3 2 3" xfId="0"/>
    <cellStyle name="Итог 4 12 2 3 3" xfId="0"/>
    <cellStyle name="Итог 4 12 2 3 4" xfId="0"/>
    <cellStyle name="Итог 4 12 2 4" xfId="0"/>
    <cellStyle name="Итог 4 12 2 4 2" xfId="0"/>
    <cellStyle name="Итог 4 12 2 4 3" xfId="0"/>
    <cellStyle name="Итог 4 12 2 5" xfId="0"/>
    <cellStyle name="Итог 4 12 2 6" xfId="0"/>
    <cellStyle name="Итог 4 12 3" xfId="0"/>
    <cellStyle name="Итог 4 12 3 2" xfId="0"/>
    <cellStyle name="Итог 4 12 3 2 2" xfId="0"/>
    <cellStyle name="Итог 4 12 3 2 2 2" xfId="0"/>
    <cellStyle name="Итог 4 12 3 2 2 3" xfId="0"/>
    <cellStyle name="Итог 4 12 3 2 3" xfId="0"/>
    <cellStyle name="Итог 4 12 3 2 4" xfId="0"/>
    <cellStyle name="Итог 4 12 3 3" xfId="0"/>
    <cellStyle name="Итог 4 12 3 3 2" xfId="0"/>
    <cellStyle name="Итог 4 12 3 3 3" xfId="0"/>
    <cellStyle name="Итог 4 12 3 4" xfId="0"/>
    <cellStyle name="Итог 4 12 3 5" xfId="0"/>
    <cellStyle name="Итог 4 12 4" xfId="0"/>
    <cellStyle name="Итог 4 12 4 2" xfId="0"/>
    <cellStyle name="Итог 4 12 4 2 2" xfId="0"/>
    <cellStyle name="Итог 4 12 4 2 2 2" xfId="0"/>
    <cellStyle name="Итог 4 12 4 2 2 3" xfId="0"/>
    <cellStyle name="Итог 4 12 4 2 3" xfId="0"/>
    <cellStyle name="Итог 4 12 4 2 4" xfId="0"/>
    <cellStyle name="Итог 4 12 4 3" xfId="0"/>
    <cellStyle name="Итог 4 12 4 3 2" xfId="0"/>
    <cellStyle name="Итог 4 12 4 3 3" xfId="0"/>
    <cellStyle name="Итог 4 12 4 4" xfId="0"/>
    <cellStyle name="Итог 4 12 4 5" xfId="0"/>
    <cellStyle name="Итог 4 12 5" xfId="0"/>
    <cellStyle name="Итог 4 12 5 2" xfId="0"/>
    <cellStyle name="Итог 4 12 5 3" xfId="0"/>
    <cellStyle name="Итог 4 12 6" xfId="0"/>
    <cellStyle name="Итог 4 12 7" xfId="0"/>
    <cellStyle name="Итог 4 13" xfId="0"/>
    <cellStyle name="Итог 4 13 2" xfId="0"/>
    <cellStyle name="Итог 4 13 2 2" xfId="0"/>
    <cellStyle name="Итог 4 13 2 2 2" xfId="0"/>
    <cellStyle name="Итог 4 13 2 2 2 2" xfId="0"/>
    <cellStyle name="Итог 4 13 2 2 2 3" xfId="0"/>
    <cellStyle name="Итог 4 13 2 2 3" xfId="0"/>
    <cellStyle name="Итог 4 13 2 2 4" xfId="0"/>
    <cellStyle name="Итог 4 13 2 3" xfId="0"/>
    <cellStyle name="Итог 4 13 2 3 2" xfId="0"/>
    <cellStyle name="Итог 4 13 2 3 2 2" xfId="0"/>
    <cellStyle name="Итог 4 13 2 3 2 3" xfId="0"/>
    <cellStyle name="Итог 4 13 2 3 3" xfId="0"/>
    <cellStyle name="Итог 4 13 2 3 4" xfId="0"/>
    <cellStyle name="Итог 4 13 2 4" xfId="0"/>
    <cellStyle name="Итог 4 13 2 4 2" xfId="0"/>
    <cellStyle name="Итог 4 13 2 4 3" xfId="0"/>
    <cellStyle name="Итог 4 13 2 5" xfId="0"/>
    <cellStyle name="Итог 4 13 2 6" xfId="0"/>
    <cellStyle name="Итог 4 13 3" xfId="0"/>
    <cellStyle name="Итог 4 13 3 2" xfId="0"/>
    <cellStyle name="Итог 4 13 3 2 2" xfId="0"/>
    <cellStyle name="Итог 4 13 3 2 2 2" xfId="0"/>
    <cellStyle name="Итог 4 13 3 2 2 3" xfId="0"/>
    <cellStyle name="Итог 4 13 3 2 3" xfId="0"/>
    <cellStyle name="Итог 4 13 3 2 4" xfId="0"/>
    <cellStyle name="Итог 4 13 3 3" xfId="0"/>
    <cellStyle name="Итог 4 13 3 3 2" xfId="0"/>
    <cellStyle name="Итог 4 13 3 3 3" xfId="0"/>
    <cellStyle name="Итог 4 13 3 4" xfId="0"/>
    <cellStyle name="Итог 4 13 3 5" xfId="0"/>
    <cellStyle name="Итог 4 13 4" xfId="0"/>
    <cellStyle name="Итог 4 13 4 2" xfId="0"/>
    <cellStyle name="Итог 4 13 4 2 2" xfId="0"/>
    <cellStyle name="Итог 4 13 4 2 2 2" xfId="0"/>
    <cellStyle name="Итог 4 13 4 2 2 3" xfId="0"/>
    <cellStyle name="Итог 4 13 4 2 3" xfId="0"/>
    <cellStyle name="Итог 4 13 4 2 4" xfId="0"/>
    <cellStyle name="Итог 4 13 4 3" xfId="0"/>
    <cellStyle name="Итог 4 13 4 3 2" xfId="0"/>
    <cellStyle name="Итог 4 13 4 3 3" xfId="0"/>
    <cellStyle name="Итог 4 13 4 4" xfId="0"/>
    <cellStyle name="Итог 4 13 4 5" xfId="0"/>
    <cellStyle name="Итог 4 13 5" xfId="0"/>
    <cellStyle name="Итог 4 13 5 2" xfId="0"/>
    <cellStyle name="Итог 4 13 5 3" xfId="0"/>
    <cellStyle name="Итог 4 13 6" xfId="0"/>
    <cellStyle name="Итог 4 13 7" xfId="0"/>
    <cellStyle name="Итог 4 14" xfId="0"/>
    <cellStyle name="Итог 4 14 2" xfId="0"/>
    <cellStyle name="Итог 4 14 2 2" xfId="0"/>
    <cellStyle name="Итог 4 14 2 2 2" xfId="0"/>
    <cellStyle name="Итог 4 14 2 2 2 2" xfId="0"/>
    <cellStyle name="Итог 4 14 2 2 2 3" xfId="0"/>
    <cellStyle name="Итог 4 14 2 2 3" xfId="0"/>
    <cellStyle name="Итог 4 14 2 2 4" xfId="0"/>
    <cellStyle name="Итог 4 14 2 3" xfId="0"/>
    <cellStyle name="Итог 4 14 2 3 2" xfId="0"/>
    <cellStyle name="Итог 4 14 2 3 2 2" xfId="0"/>
    <cellStyle name="Итог 4 14 2 3 2 3" xfId="0"/>
    <cellStyle name="Итог 4 14 2 3 3" xfId="0"/>
    <cellStyle name="Итог 4 14 2 3 4" xfId="0"/>
    <cellStyle name="Итог 4 14 2 4" xfId="0"/>
    <cellStyle name="Итог 4 14 2 4 2" xfId="0"/>
    <cellStyle name="Итог 4 14 2 4 3" xfId="0"/>
    <cellStyle name="Итог 4 14 2 5" xfId="0"/>
    <cellStyle name="Итог 4 14 2 6" xfId="0"/>
    <cellStyle name="Итог 4 14 3" xfId="0"/>
    <cellStyle name="Итог 4 14 3 2" xfId="0"/>
    <cellStyle name="Итог 4 14 3 2 2" xfId="0"/>
    <cellStyle name="Итог 4 14 3 2 2 2" xfId="0"/>
    <cellStyle name="Итог 4 14 3 2 2 3" xfId="0"/>
    <cellStyle name="Итог 4 14 3 2 3" xfId="0"/>
    <cellStyle name="Итог 4 14 3 2 4" xfId="0"/>
    <cellStyle name="Итог 4 14 3 3" xfId="0"/>
    <cellStyle name="Итог 4 14 3 3 2" xfId="0"/>
    <cellStyle name="Итог 4 14 3 3 3" xfId="0"/>
    <cellStyle name="Итог 4 14 3 4" xfId="0"/>
    <cellStyle name="Итог 4 14 3 5" xfId="0"/>
    <cellStyle name="Итог 4 14 4" xfId="0"/>
    <cellStyle name="Итог 4 14 4 2" xfId="0"/>
    <cellStyle name="Итог 4 14 4 2 2" xfId="0"/>
    <cellStyle name="Итог 4 14 4 2 2 2" xfId="0"/>
    <cellStyle name="Итог 4 14 4 2 2 3" xfId="0"/>
    <cellStyle name="Итог 4 14 4 2 3" xfId="0"/>
    <cellStyle name="Итог 4 14 4 2 4" xfId="0"/>
    <cellStyle name="Итог 4 14 4 3" xfId="0"/>
    <cellStyle name="Итог 4 14 4 3 2" xfId="0"/>
    <cellStyle name="Итог 4 14 4 3 3" xfId="0"/>
    <cellStyle name="Итог 4 14 4 4" xfId="0"/>
    <cellStyle name="Итог 4 14 4 5" xfId="0"/>
    <cellStyle name="Итог 4 14 5" xfId="0"/>
    <cellStyle name="Итог 4 14 5 2" xfId="0"/>
    <cellStyle name="Итог 4 14 5 3" xfId="0"/>
    <cellStyle name="Итог 4 14 6" xfId="0"/>
    <cellStyle name="Итог 4 14 7" xfId="0"/>
    <cellStyle name="Итог 4 15" xfId="0"/>
    <cellStyle name="Итог 4 15 2" xfId="0"/>
    <cellStyle name="Итог 4 15 2 2" xfId="0"/>
    <cellStyle name="Итог 4 15 2 2 2" xfId="0"/>
    <cellStyle name="Итог 4 15 2 2 2 2" xfId="0"/>
    <cellStyle name="Итог 4 15 2 2 2 3" xfId="0"/>
    <cellStyle name="Итог 4 15 2 2 3" xfId="0"/>
    <cellStyle name="Итог 4 15 2 2 4" xfId="0"/>
    <cellStyle name="Итог 4 15 2 3" xfId="0"/>
    <cellStyle name="Итог 4 15 2 3 2" xfId="0"/>
    <cellStyle name="Итог 4 15 2 3 2 2" xfId="0"/>
    <cellStyle name="Итог 4 15 2 3 2 3" xfId="0"/>
    <cellStyle name="Итог 4 15 2 3 3" xfId="0"/>
    <cellStyle name="Итог 4 15 2 3 4" xfId="0"/>
    <cellStyle name="Итог 4 15 2 4" xfId="0"/>
    <cellStyle name="Итог 4 15 2 4 2" xfId="0"/>
    <cellStyle name="Итог 4 15 2 4 3" xfId="0"/>
    <cellStyle name="Итог 4 15 2 5" xfId="0"/>
    <cellStyle name="Итог 4 15 2 6" xfId="0"/>
    <cellStyle name="Итог 4 15 3" xfId="0"/>
    <cellStyle name="Итог 4 15 3 2" xfId="0"/>
    <cellStyle name="Итог 4 15 3 2 2" xfId="0"/>
    <cellStyle name="Итог 4 15 3 2 2 2" xfId="0"/>
    <cellStyle name="Итог 4 15 3 2 2 3" xfId="0"/>
    <cellStyle name="Итог 4 15 3 2 3" xfId="0"/>
    <cellStyle name="Итог 4 15 3 2 4" xfId="0"/>
    <cellStyle name="Итог 4 15 3 3" xfId="0"/>
    <cellStyle name="Итог 4 15 3 3 2" xfId="0"/>
    <cellStyle name="Итог 4 15 3 3 3" xfId="0"/>
    <cellStyle name="Итог 4 15 3 4" xfId="0"/>
    <cellStyle name="Итог 4 15 3 5" xfId="0"/>
    <cellStyle name="Итог 4 15 4" xfId="0"/>
    <cellStyle name="Итог 4 15 4 2" xfId="0"/>
    <cellStyle name="Итог 4 15 4 2 2" xfId="0"/>
    <cellStyle name="Итог 4 15 4 2 2 2" xfId="0"/>
    <cellStyle name="Итог 4 15 4 2 2 3" xfId="0"/>
    <cellStyle name="Итог 4 15 4 2 3" xfId="0"/>
    <cellStyle name="Итог 4 15 4 2 4" xfId="0"/>
    <cellStyle name="Итог 4 15 4 3" xfId="0"/>
    <cellStyle name="Итог 4 15 4 3 2" xfId="0"/>
    <cellStyle name="Итог 4 15 4 3 3" xfId="0"/>
    <cellStyle name="Итог 4 15 4 4" xfId="0"/>
    <cellStyle name="Итог 4 15 4 5" xfId="0"/>
    <cellStyle name="Итог 4 15 5" xfId="0"/>
    <cellStyle name="Итог 4 15 5 2" xfId="0"/>
    <cellStyle name="Итог 4 15 5 3" xfId="0"/>
    <cellStyle name="Итог 4 15 6" xfId="0"/>
    <cellStyle name="Итог 4 15 7" xfId="0"/>
    <cellStyle name="Итог 4 16" xfId="0"/>
    <cellStyle name="Итог 4 16 2" xfId="0"/>
    <cellStyle name="Итог 4 16 2 2" xfId="0"/>
    <cellStyle name="Итог 4 16 2 2 2" xfId="0"/>
    <cellStyle name="Итог 4 16 2 2 2 2" xfId="0"/>
    <cellStyle name="Итог 4 16 2 2 2 3" xfId="0"/>
    <cellStyle name="Итог 4 16 2 2 3" xfId="0"/>
    <cellStyle name="Итог 4 16 2 2 4" xfId="0"/>
    <cellStyle name="Итог 4 16 2 3" xfId="0"/>
    <cellStyle name="Итог 4 16 2 3 2" xfId="0"/>
    <cellStyle name="Итог 4 16 2 3 2 2" xfId="0"/>
    <cellStyle name="Итог 4 16 2 3 2 3" xfId="0"/>
    <cellStyle name="Итог 4 16 2 3 3" xfId="0"/>
    <cellStyle name="Итог 4 16 2 3 4" xfId="0"/>
    <cellStyle name="Итог 4 16 2 4" xfId="0"/>
    <cellStyle name="Итог 4 16 2 4 2" xfId="0"/>
    <cellStyle name="Итог 4 16 2 4 3" xfId="0"/>
    <cellStyle name="Итог 4 16 2 5" xfId="0"/>
    <cellStyle name="Итог 4 16 2 6" xfId="0"/>
    <cellStyle name="Итог 4 16 3" xfId="0"/>
    <cellStyle name="Итог 4 16 3 2" xfId="0"/>
    <cellStyle name="Итог 4 16 3 2 2" xfId="0"/>
    <cellStyle name="Итог 4 16 3 2 2 2" xfId="0"/>
    <cellStyle name="Итог 4 16 3 2 2 3" xfId="0"/>
    <cellStyle name="Итог 4 16 3 2 3" xfId="0"/>
    <cellStyle name="Итог 4 16 3 2 4" xfId="0"/>
    <cellStyle name="Итог 4 16 3 3" xfId="0"/>
    <cellStyle name="Итог 4 16 3 3 2" xfId="0"/>
    <cellStyle name="Итог 4 16 3 3 3" xfId="0"/>
    <cellStyle name="Итог 4 16 3 4" xfId="0"/>
    <cellStyle name="Итог 4 16 3 5" xfId="0"/>
    <cellStyle name="Итог 4 16 4" xfId="0"/>
    <cellStyle name="Итог 4 16 4 2" xfId="0"/>
    <cellStyle name="Итог 4 16 4 2 2" xfId="0"/>
    <cellStyle name="Итог 4 16 4 2 2 2" xfId="0"/>
    <cellStyle name="Итог 4 16 4 2 2 3" xfId="0"/>
    <cellStyle name="Итог 4 16 4 2 3" xfId="0"/>
    <cellStyle name="Итог 4 16 4 2 4" xfId="0"/>
    <cellStyle name="Итог 4 16 4 3" xfId="0"/>
    <cellStyle name="Итог 4 16 4 3 2" xfId="0"/>
    <cellStyle name="Итог 4 16 4 3 3" xfId="0"/>
    <cellStyle name="Итог 4 16 4 4" xfId="0"/>
    <cellStyle name="Итог 4 16 4 5" xfId="0"/>
    <cellStyle name="Итог 4 16 5" xfId="0"/>
    <cellStyle name="Итог 4 16 5 2" xfId="0"/>
    <cellStyle name="Итог 4 16 5 3" xfId="0"/>
    <cellStyle name="Итог 4 16 6" xfId="0"/>
    <cellStyle name="Итог 4 16 7" xfId="0"/>
    <cellStyle name="Итог 4 17" xfId="0"/>
    <cellStyle name="Итог 4 17 2" xfId="0"/>
    <cellStyle name="Итог 4 17 2 2" xfId="0"/>
    <cellStyle name="Итог 4 17 2 2 2" xfId="0"/>
    <cellStyle name="Итог 4 17 2 2 2 2" xfId="0"/>
    <cellStyle name="Итог 4 17 2 2 2 3" xfId="0"/>
    <cellStyle name="Итог 4 17 2 2 3" xfId="0"/>
    <cellStyle name="Итог 4 17 2 2 4" xfId="0"/>
    <cellStyle name="Итог 4 17 2 3" xfId="0"/>
    <cellStyle name="Итог 4 17 2 3 2" xfId="0"/>
    <cellStyle name="Итог 4 17 2 3 2 2" xfId="0"/>
    <cellStyle name="Итог 4 17 2 3 2 3" xfId="0"/>
    <cellStyle name="Итог 4 17 2 3 3" xfId="0"/>
    <cellStyle name="Итог 4 17 2 3 4" xfId="0"/>
    <cellStyle name="Итог 4 17 2 4" xfId="0"/>
    <cellStyle name="Итог 4 17 2 4 2" xfId="0"/>
    <cellStyle name="Итог 4 17 2 4 3" xfId="0"/>
    <cellStyle name="Итог 4 17 2 5" xfId="0"/>
    <cellStyle name="Итог 4 17 2 6" xfId="0"/>
    <cellStyle name="Итог 4 17 3" xfId="0"/>
    <cellStyle name="Итог 4 17 3 2" xfId="0"/>
    <cellStyle name="Итог 4 17 3 2 2" xfId="0"/>
    <cellStyle name="Итог 4 17 3 2 2 2" xfId="0"/>
    <cellStyle name="Итог 4 17 3 2 2 3" xfId="0"/>
    <cellStyle name="Итог 4 17 3 2 3" xfId="0"/>
    <cellStyle name="Итог 4 17 3 2 4" xfId="0"/>
    <cellStyle name="Итог 4 17 3 3" xfId="0"/>
    <cellStyle name="Итог 4 17 3 3 2" xfId="0"/>
    <cellStyle name="Итог 4 17 3 3 3" xfId="0"/>
    <cellStyle name="Итог 4 17 3 4" xfId="0"/>
    <cellStyle name="Итог 4 17 3 5" xfId="0"/>
    <cellStyle name="Итог 4 17 4" xfId="0"/>
    <cellStyle name="Итог 4 17 4 2" xfId="0"/>
    <cellStyle name="Итог 4 17 4 2 2" xfId="0"/>
    <cellStyle name="Итог 4 17 4 2 2 2" xfId="0"/>
    <cellStyle name="Итог 4 17 4 2 2 3" xfId="0"/>
    <cellStyle name="Итог 4 17 4 2 3" xfId="0"/>
    <cellStyle name="Итог 4 17 4 2 4" xfId="0"/>
    <cellStyle name="Итог 4 17 4 3" xfId="0"/>
    <cellStyle name="Итог 4 17 4 3 2" xfId="0"/>
    <cellStyle name="Итог 4 17 4 3 3" xfId="0"/>
    <cellStyle name="Итог 4 17 4 4" xfId="0"/>
    <cellStyle name="Итог 4 17 4 5" xfId="0"/>
    <cellStyle name="Итог 4 17 5" xfId="0"/>
    <cellStyle name="Итог 4 17 5 2" xfId="0"/>
    <cellStyle name="Итог 4 17 5 3" xfId="0"/>
    <cellStyle name="Итог 4 17 6" xfId="0"/>
    <cellStyle name="Итог 4 17 7" xfId="0"/>
    <cellStyle name="Итог 4 18" xfId="0"/>
    <cellStyle name="Итог 4 18 2" xfId="0"/>
    <cellStyle name="Итог 4 18 2 2" xfId="0"/>
    <cellStyle name="Итог 4 18 2 2 2" xfId="0"/>
    <cellStyle name="Итог 4 18 2 2 2 2" xfId="0"/>
    <cellStyle name="Итог 4 18 2 2 2 3" xfId="0"/>
    <cellStyle name="Итог 4 18 2 2 3" xfId="0"/>
    <cellStyle name="Итог 4 18 2 2 4" xfId="0"/>
    <cellStyle name="Итог 4 18 2 3" xfId="0"/>
    <cellStyle name="Итог 4 18 2 3 2" xfId="0"/>
    <cellStyle name="Итог 4 18 2 3 2 2" xfId="0"/>
    <cellStyle name="Итог 4 18 2 3 2 3" xfId="0"/>
    <cellStyle name="Итог 4 18 2 3 3" xfId="0"/>
    <cellStyle name="Итог 4 18 2 3 4" xfId="0"/>
    <cellStyle name="Итог 4 18 2 4" xfId="0"/>
    <cellStyle name="Итог 4 18 2 4 2" xfId="0"/>
    <cellStyle name="Итог 4 18 2 4 3" xfId="0"/>
    <cellStyle name="Итог 4 18 2 5" xfId="0"/>
    <cellStyle name="Итог 4 18 2 6" xfId="0"/>
    <cellStyle name="Итог 4 18 3" xfId="0"/>
    <cellStyle name="Итог 4 18 3 2" xfId="0"/>
    <cellStyle name="Итог 4 18 3 2 2" xfId="0"/>
    <cellStyle name="Итог 4 18 3 2 2 2" xfId="0"/>
    <cellStyle name="Итог 4 18 3 2 2 3" xfId="0"/>
    <cellStyle name="Итог 4 18 3 2 3" xfId="0"/>
    <cellStyle name="Итог 4 18 3 2 4" xfId="0"/>
    <cellStyle name="Итог 4 18 3 3" xfId="0"/>
    <cellStyle name="Итог 4 18 3 3 2" xfId="0"/>
    <cellStyle name="Итог 4 18 3 3 3" xfId="0"/>
    <cellStyle name="Итог 4 18 3 4" xfId="0"/>
    <cellStyle name="Итог 4 18 3 5" xfId="0"/>
    <cellStyle name="Итог 4 18 4" xfId="0"/>
    <cellStyle name="Итог 4 18 4 2" xfId="0"/>
    <cellStyle name="Итог 4 18 4 2 2" xfId="0"/>
    <cellStyle name="Итог 4 18 4 2 2 2" xfId="0"/>
    <cellStyle name="Итог 4 18 4 2 2 3" xfId="0"/>
    <cellStyle name="Итог 4 18 4 2 3" xfId="0"/>
    <cellStyle name="Итог 4 18 4 2 4" xfId="0"/>
    <cellStyle name="Итог 4 18 4 3" xfId="0"/>
    <cellStyle name="Итог 4 18 4 3 2" xfId="0"/>
    <cellStyle name="Итог 4 18 4 3 3" xfId="0"/>
    <cellStyle name="Итог 4 18 4 4" xfId="0"/>
    <cellStyle name="Итог 4 18 4 5" xfId="0"/>
    <cellStyle name="Итог 4 18 5" xfId="0"/>
    <cellStyle name="Итог 4 18 5 2" xfId="0"/>
    <cellStyle name="Итог 4 18 5 3" xfId="0"/>
    <cellStyle name="Итог 4 18 6" xfId="0"/>
    <cellStyle name="Итог 4 18 7" xfId="0"/>
    <cellStyle name="Итог 4 19" xfId="0"/>
    <cellStyle name="Итог 4 19 2" xfId="0"/>
    <cellStyle name="Итог 4 19 2 2" xfId="0"/>
    <cellStyle name="Итог 4 19 2 2 2" xfId="0"/>
    <cellStyle name="Итог 4 19 2 2 2 2" xfId="0"/>
    <cellStyle name="Итог 4 19 2 2 2 3" xfId="0"/>
    <cellStyle name="Итог 4 19 2 2 3" xfId="0"/>
    <cellStyle name="Итог 4 19 2 2 4" xfId="0"/>
    <cellStyle name="Итог 4 19 2 3" xfId="0"/>
    <cellStyle name="Итог 4 19 2 3 2" xfId="0"/>
    <cellStyle name="Итог 4 19 2 3 2 2" xfId="0"/>
    <cellStyle name="Итог 4 19 2 3 2 3" xfId="0"/>
    <cellStyle name="Итог 4 19 2 3 3" xfId="0"/>
    <cellStyle name="Итог 4 19 2 3 4" xfId="0"/>
    <cellStyle name="Итог 4 19 2 4" xfId="0"/>
    <cellStyle name="Итог 4 19 2 4 2" xfId="0"/>
    <cellStyle name="Итог 4 19 2 4 3" xfId="0"/>
    <cellStyle name="Итог 4 19 2 5" xfId="0"/>
    <cellStyle name="Итог 4 19 2 6" xfId="0"/>
    <cellStyle name="Итог 4 19 3" xfId="0"/>
    <cellStyle name="Итог 4 19 3 2" xfId="0"/>
    <cellStyle name="Итог 4 19 3 2 2" xfId="0"/>
    <cellStyle name="Итог 4 19 3 2 2 2" xfId="0"/>
    <cellStyle name="Итог 4 19 3 2 2 3" xfId="0"/>
    <cellStyle name="Итог 4 19 3 2 3" xfId="0"/>
    <cellStyle name="Итог 4 19 3 2 4" xfId="0"/>
    <cellStyle name="Итог 4 19 3 3" xfId="0"/>
    <cellStyle name="Итог 4 19 3 3 2" xfId="0"/>
    <cellStyle name="Итог 4 19 3 3 3" xfId="0"/>
    <cellStyle name="Итог 4 19 3 4" xfId="0"/>
    <cellStyle name="Итог 4 19 3 5" xfId="0"/>
    <cellStyle name="Итог 4 19 4" xfId="0"/>
    <cellStyle name="Итог 4 19 4 2" xfId="0"/>
    <cellStyle name="Итог 4 19 4 2 2" xfId="0"/>
    <cellStyle name="Итог 4 19 4 2 2 2" xfId="0"/>
    <cellStyle name="Итог 4 19 4 2 2 3" xfId="0"/>
    <cellStyle name="Итог 4 19 4 2 3" xfId="0"/>
    <cellStyle name="Итог 4 19 4 2 4" xfId="0"/>
    <cellStyle name="Итог 4 19 4 3" xfId="0"/>
    <cellStyle name="Итог 4 19 4 3 2" xfId="0"/>
    <cellStyle name="Итог 4 19 4 3 3" xfId="0"/>
    <cellStyle name="Итог 4 19 4 4" xfId="0"/>
    <cellStyle name="Итог 4 19 4 5" xfId="0"/>
    <cellStyle name="Итог 4 19 5" xfId="0"/>
    <cellStyle name="Итог 4 19 5 2" xfId="0"/>
    <cellStyle name="Итог 4 19 5 3" xfId="0"/>
    <cellStyle name="Итог 4 19 6" xfId="0"/>
    <cellStyle name="Итог 4 19 7" xfId="0"/>
    <cellStyle name="Итог 4 2" xfId="0"/>
    <cellStyle name="Итог 4 2 10" xfId="0"/>
    <cellStyle name="Итог 4 2 10 2" xfId="0"/>
    <cellStyle name="Итог 4 2 10 3" xfId="0"/>
    <cellStyle name="Итог 4 2 11" xfId="0"/>
    <cellStyle name="Итог 4 2 12" xfId="0"/>
    <cellStyle name="Итог 4 2 2" xfId="0"/>
    <cellStyle name="Итог 4 2 2 2" xfId="0"/>
    <cellStyle name="Итог 4 2 2 2 2" xfId="0"/>
    <cellStyle name="Итог 4 2 2 2 2 2" xfId="0"/>
    <cellStyle name="Итог 4 2 2 2 2 2 2" xfId="0"/>
    <cellStyle name="Итог 4 2 2 2 2 2 3" xfId="0"/>
    <cellStyle name="Итог 4 2 2 2 2 3" xfId="0"/>
    <cellStyle name="Итог 4 2 2 2 2 4" xfId="0"/>
    <cellStyle name="Итог 4 2 2 2 3" xfId="0"/>
    <cellStyle name="Итог 4 2 2 2 3 2" xfId="0"/>
    <cellStyle name="Итог 4 2 2 2 3 3" xfId="0"/>
    <cellStyle name="Итог 4 2 2 2 4" xfId="0"/>
    <cellStyle name="Итог 4 2 2 2 5" xfId="0"/>
    <cellStyle name="Итог 4 2 2 3" xfId="0"/>
    <cellStyle name="Итог 4 2 2 3 2" xfId="0"/>
    <cellStyle name="Итог 4 2 2 3 2 2" xfId="0"/>
    <cellStyle name="Итог 4 2 2 3 2 3" xfId="0"/>
    <cellStyle name="Итог 4 2 2 3 3" xfId="0"/>
    <cellStyle name="Итог 4 2 2 3 4" xfId="0"/>
    <cellStyle name="Итог 4 2 2 4" xfId="0"/>
    <cellStyle name="Итог 4 2 2 4 2" xfId="0"/>
    <cellStyle name="Итог 4 2 2 4 3" xfId="0"/>
    <cellStyle name="Итог 4 2 2 5" xfId="0"/>
    <cellStyle name="Итог 4 2 2 6" xfId="0"/>
    <cellStyle name="Итог 4 2 3" xfId="0"/>
    <cellStyle name="Итог 4 2 3 2" xfId="0"/>
    <cellStyle name="Итог 4 2 3 2 2" xfId="0"/>
    <cellStyle name="Итог 4 2 3 2 2 2" xfId="0"/>
    <cellStyle name="Итог 4 2 3 2 2 2 2" xfId="0"/>
    <cellStyle name="Итог 4 2 3 2 2 2 3" xfId="0"/>
    <cellStyle name="Итог 4 2 3 2 2 3" xfId="0"/>
    <cellStyle name="Итог 4 2 3 2 2 4" xfId="0"/>
    <cellStyle name="Итог 4 2 3 2 3" xfId="0"/>
    <cellStyle name="Итог 4 2 3 2 3 2" xfId="0"/>
    <cellStyle name="Итог 4 2 3 2 3 3" xfId="0"/>
    <cellStyle name="Итог 4 2 3 2 4" xfId="0"/>
    <cellStyle name="Итог 4 2 3 2 5" xfId="0"/>
    <cellStyle name="Итог 4 2 3 3" xfId="0"/>
    <cellStyle name="Итог 4 2 3 3 2" xfId="0"/>
    <cellStyle name="Итог 4 2 3 3 2 2" xfId="0"/>
    <cellStyle name="Итог 4 2 3 3 2 3" xfId="0"/>
    <cellStyle name="Итог 4 2 3 3 3" xfId="0"/>
    <cellStyle name="Итог 4 2 3 3 4" xfId="0"/>
    <cellStyle name="Итог 4 2 3 4" xfId="0"/>
    <cellStyle name="Итог 4 2 3 4 2" xfId="0"/>
    <cellStyle name="Итог 4 2 3 4 3" xfId="0"/>
    <cellStyle name="Итог 4 2 3 5" xfId="0"/>
    <cellStyle name="Итог 4 2 3 6" xfId="0"/>
    <cellStyle name="Итог 4 2 4" xfId="0"/>
    <cellStyle name="Итог 4 2 4 2" xfId="0"/>
    <cellStyle name="Итог 4 2 4 2 2" xfId="0"/>
    <cellStyle name="Итог 4 2 4 2 2 2" xfId="0"/>
    <cellStyle name="Итог 4 2 4 2 2 2 2" xfId="0"/>
    <cellStyle name="Итог 4 2 4 2 2 2 3" xfId="0"/>
    <cellStyle name="Итог 4 2 4 2 2 3" xfId="0"/>
    <cellStyle name="Итог 4 2 4 2 2 4" xfId="0"/>
    <cellStyle name="Итог 4 2 4 2 3" xfId="0"/>
    <cellStyle name="Итог 4 2 4 2 3 2" xfId="0"/>
    <cellStyle name="Итог 4 2 4 2 3 3" xfId="0"/>
    <cellStyle name="Итог 4 2 4 2 4" xfId="0"/>
    <cellStyle name="Итог 4 2 4 2 5" xfId="0"/>
    <cellStyle name="Итог 4 2 4 3" xfId="0"/>
    <cellStyle name="Итог 4 2 4 3 2" xfId="0"/>
    <cellStyle name="Итог 4 2 4 3 2 2" xfId="0"/>
    <cellStyle name="Итог 4 2 4 3 2 3" xfId="0"/>
    <cellStyle name="Итог 4 2 4 3 3" xfId="0"/>
    <cellStyle name="Итог 4 2 4 3 4" xfId="0"/>
    <cellStyle name="Итог 4 2 4 4" xfId="0"/>
    <cellStyle name="Итог 4 2 4 4 2" xfId="0"/>
    <cellStyle name="Итог 4 2 4 4 3" xfId="0"/>
    <cellStyle name="Итог 4 2 4 5" xfId="0"/>
    <cellStyle name="Итог 4 2 4 6" xfId="0"/>
    <cellStyle name="Итог 4 2 5" xfId="0"/>
    <cellStyle name="Итог 4 2 5 2" xfId="0"/>
    <cellStyle name="Итог 4 2 5 2 2" xfId="0"/>
    <cellStyle name="Итог 4 2 5 2 2 2" xfId="0"/>
    <cellStyle name="Итог 4 2 5 2 2 2 2" xfId="0"/>
    <cellStyle name="Итог 4 2 5 2 2 2 3" xfId="0"/>
    <cellStyle name="Итог 4 2 5 2 2 3" xfId="0"/>
    <cellStyle name="Итог 4 2 5 2 2 4" xfId="0"/>
    <cellStyle name="Итог 4 2 5 2 3" xfId="0"/>
    <cellStyle name="Итог 4 2 5 2 3 2" xfId="0"/>
    <cellStyle name="Итог 4 2 5 2 3 3" xfId="0"/>
    <cellStyle name="Итог 4 2 5 2 4" xfId="0"/>
    <cellStyle name="Итог 4 2 5 2 5" xfId="0"/>
    <cellStyle name="Итог 4 2 5 3" xfId="0"/>
    <cellStyle name="Итог 4 2 5 3 2" xfId="0"/>
    <cellStyle name="Итог 4 2 5 3 2 2" xfId="0"/>
    <cellStyle name="Итог 4 2 5 3 2 3" xfId="0"/>
    <cellStyle name="Итог 4 2 5 3 3" xfId="0"/>
    <cellStyle name="Итог 4 2 5 3 4" xfId="0"/>
    <cellStyle name="Итог 4 2 5 4" xfId="0"/>
    <cellStyle name="Итог 4 2 5 4 2" xfId="0"/>
    <cellStyle name="Итог 4 2 5 4 3" xfId="0"/>
    <cellStyle name="Итог 4 2 5 5" xfId="0"/>
    <cellStyle name="Итог 4 2 5 6" xfId="0"/>
    <cellStyle name="Итог 4 2 6" xfId="0"/>
    <cellStyle name="Итог 4 2 6 2" xfId="0"/>
    <cellStyle name="Итог 4 2 6 2 2" xfId="0"/>
    <cellStyle name="Итог 4 2 6 2 2 2" xfId="0"/>
    <cellStyle name="Итог 4 2 6 2 2 3" xfId="0"/>
    <cellStyle name="Итог 4 2 6 2 3" xfId="0"/>
    <cellStyle name="Итог 4 2 6 2 4" xfId="0"/>
    <cellStyle name="Итог 4 2 6 3" xfId="0"/>
    <cellStyle name="Итог 4 2 6 3 2" xfId="0"/>
    <cellStyle name="Итог 4 2 6 3 3" xfId="0"/>
    <cellStyle name="Итог 4 2 6 4" xfId="0"/>
    <cellStyle name="Итог 4 2 6 5" xfId="0"/>
    <cellStyle name="Итог 4 2 7" xfId="0"/>
    <cellStyle name="Итог 4 2 7 2" xfId="0"/>
    <cellStyle name="Итог 4 2 7 2 2" xfId="0"/>
    <cellStyle name="Итог 4 2 7 2 2 2" xfId="0"/>
    <cellStyle name="Итог 4 2 7 2 2 3" xfId="0"/>
    <cellStyle name="Итог 4 2 7 2 3" xfId="0"/>
    <cellStyle name="Итог 4 2 7 2 4" xfId="0"/>
    <cellStyle name="Итог 4 2 7 3" xfId="0"/>
    <cellStyle name="Итог 4 2 7 3 2" xfId="0"/>
    <cellStyle name="Итог 4 2 7 3 3" xfId="0"/>
    <cellStyle name="Итог 4 2 7 4" xfId="0"/>
    <cellStyle name="Итог 4 2 7 5" xfId="0"/>
    <cellStyle name="Итог 4 2 8" xfId="0"/>
    <cellStyle name="Итог 4 2 8 2" xfId="0"/>
    <cellStyle name="Итог 4 2 8 2 2" xfId="0"/>
    <cellStyle name="Итог 4 2 8 2 2 2" xfId="0"/>
    <cellStyle name="Итог 4 2 8 2 2 3" xfId="0"/>
    <cellStyle name="Итог 4 2 8 2 3" xfId="0"/>
    <cellStyle name="Итог 4 2 8 2 4" xfId="0"/>
    <cellStyle name="Итог 4 2 8 3" xfId="0"/>
    <cellStyle name="Итог 4 2 8 3 2" xfId="0"/>
    <cellStyle name="Итог 4 2 8 3 3" xfId="0"/>
    <cellStyle name="Итог 4 2 8 4" xfId="0"/>
    <cellStyle name="Итог 4 2 8 5" xfId="0"/>
    <cellStyle name="Итог 4 2 9" xfId="0"/>
    <cellStyle name="Итог 4 2 9 2" xfId="0"/>
    <cellStyle name="Итог 4 2 9 3" xfId="0"/>
    <cellStyle name="Итог 4 20" xfId="0"/>
    <cellStyle name="Итог 4 20 2" xfId="0"/>
    <cellStyle name="Итог 4 20 2 2" xfId="0"/>
    <cellStyle name="Итог 4 20 2 2 2" xfId="0"/>
    <cellStyle name="Итог 4 20 2 2 2 2" xfId="0"/>
    <cellStyle name="Итог 4 20 2 2 2 3" xfId="0"/>
    <cellStyle name="Итог 4 20 2 2 3" xfId="0"/>
    <cellStyle name="Итог 4 20 2 2 4" xfId="0"/>
    <cellStyle name="Итог 4 20 2 3" xfId="0"/>
    <cellStyle name="Итог 4 20 2 3 2" xfId="0"/>
    <cellStyle name="Итог 4 20 2 3 2 2" xfId="0"/>
    <cellStyle name="Итог 4 20 2 3 2 3" xfId="0"/>
    <cellStyle name="Итог 4 20 2 3 3" xfId="0"/>
    <cellStyle name="Итог 4 20 2 3 4" xfId="0"/>
    <cellStyle name="Итог 4 20 2 4" xfId="0"/>
    <cellStyle name="Итог 4 20 2 4 2" xfId="0"/>
    <cellStyle name="Итог 4 20 2 4 3" xfId="0"/>
    <cellStyle name="Итог 4 20 2 5" xfId="0"/>
    <cellStyle name="Итог 4 20 2 6" xfId="0"/>
    <cellStyle name="Итог 4 20 3" xfId="0"/>
    <cellStyle name="Итог 4 20 3 2" xfId="0"/>
    <cellStyle name="Итог 4 20 3 2 2" xfId="0"/>
    <cellStyle name="Итог 4 20 3 2 2 2" xfId="0"/>
    <cellStyle name="Итог 4 20 3 2 2 3" xfId="0"/>
    <cellStyle name="Итог 4 20 3 2 3" xfId="0"/>
    <cellStyle name="Итог 4 20 3 2 4" xfId="0"/>
    <cellStyle name="Итог 4 20 3 3" xfId="0"/>
    <cellStyle name="Итог 4 20 3 3 2" xfId="0"/>
    <cellStyle name="Итог 4 20 3 3 3" xfId="0"/>
    <cellStyle name="Итог 4 20 3 4" xfId="0"/>
    <cellStyle name="Итог 4 20 3 5" xfId="0"/>
    <cellStyle name="Итог 4 20 4" xfId="0"/>
    <cellStyle name="Итог 4 20 4 2" xfId="0"/>
    <cellStyle name="Итог 4 20 4 2 2" xfId="0"/>
    <cellStyle name="Итог 4 20 4 2 2 2" xfId="0"/>
    <cellStyle name="Итог 4 20 4 2 2 3" xfId="0"/>
    <cellStyle name="Итог 4 20 4 2 3" xfId="0"/>
    <cellStyle name="Итог 4 20 4 2 4" xfId="0"/>
    <cellStyle name="Итог 4 20 4 3" xfId="0"/>
    <cellStyle name="Итог 4 20 4 3 2" xfId="0"/>
    <cellStyle name="Итог 4 20 4 3 3" xfId="0"/>
    <cellStyle name="Итог 4 20 4 4" xfId="0"/>
    <cellStyle name="Итог 4 20 4 5" xfId="0"/>
    <cellStyle name="Итог 4 20 5" xfId="0"/>
    <cellStyle name="Итог 4 20 5 2" xfId="0"/>
    <cellStyle name="Итог 4 20 5 2 2" xfId="0"/>
    <cellStyle name="Итог 4 20 5 2 3" xfId="0"/>
    <cellStyle name="Итог 4 20 5 3" xfId="0"/>
    <cellStyle name="Итог 4 20 5 4" xfId="0"/>
    <cellStyle name="Итог 4 20 6" xfId="0"/>
    <cellStyle name="Итог 4 20 6 2" xfId="0"/>
    <cellStyle name="Итог 4 20 6 3" xfId="0"/>
    <cellStyle name="Итог 4 20 7" xfId="0"/>
    <cellStyle name="Итог 4 20 8" xfId="0"/>
    <cellStyle name="Итог 4 21" xfId="0"/>
    <cellStyle name="Итог 4 21 2" xfId="0"/>
    <cellStyle name="Итог 4 21 2 2" xfId="0"/>
    <cellStyle name="Итог 4 21 2 2 2" xfId="0"/>
    <cellStyle name="Итог 4 21 2 2 3" xfId="0"/>
    <cellStyle name="Итог 4 21 2 3" xfId="0"/>
    <cellStyle name="Итог 4 21 2 4" xfId="0"/>
    <cellStyle name="Итог 4 21 3" xfId="0"/>
    <cellStyle name="Итог 4 21 3 2" xfId="0"/>
    <cellStyle name="Итог 4 21 3 2 2" xfId="0"/>
    <cellStyle name="Итог 4 21 3 2 3" xfId="0"/>
    <cellStyle name="Итог 4 21 3 3" xfId="0"/>
    <cellStyle name="Итог 4 21 3 4" xfId="0"/>
    <cellStyle name="Итог 4 21 4" xfId="0"/>
    <cellStyle name="Итог 4 21 4 2" xfId="0"/>
    <cellStyle name="Итог 4 21 4 3" xfId="0"/>
    <cellStyle name="Итог 4 21 5" xfId="0"/>
    <cellStyle name="Итог 4 21 6" xfId="0"/>
    <cellStyle name="Итог 4 22" xfId="0"/>
    <cellStyle name="Итог 4 22 2" xfId="0"/>
    <cellStyle name="Итог 4 22 2 2" xfId="0"/>
    <cellStyle name="Итог 4 22 2 2 2" xfId="0"/>
    <cellStyle name="Итог 4 22 2 2 3" xfId="0"/>
    <cellStyle name="Итог 4 22 2 3" xfId="0"/>
    <cellStyle name="Итог 4 22 2 4" xfId="0"/>
    <cellStyle name="Итог 4 22 3" xfId="0"/>
    <cellStyle name="Итог 4 22 3 2" xfId="0"/>
    <cellStyle name="Итог 4 22 3 2 2" xfId="0"/>
    <cellStyle name="Итог 4 22 3 2 3" xfId="0"/>
    <cellStyle name="Итог 4 22 3 3" xfId="0"/>
    <cellStyle name="Итог 4 22 3 4" xfId="0"/>
    <cellStyle name="Итог 4 22 4" xfId="0"/>
    <cellStyle name="Итог 4 22 4 2" xfId="0"/>
    <cellStyle name="Итог 4 22 4 3" xfId="0"/>
    <cellStyle name="Итог 4 22 5" xfId="0"/>
    <cellStyle name="Итог 4 22 6" xfId="0"/>
    <cellStyle name="Итог 4 23" xfId="0"/>
    <cellStyle name="Итог 4 23 2" xfId="0"/>
    <cellStyle name="Итог 4 23 2 2" xfId="0"/>
    <cellStyle name="Итог 4 23 2 2 2" xfId="0"/>
    <cellStyle name="Итог 4 23 2 2 3" xfId="0"/>
    <cellStyle name="Итог 4 23 2 3" xfId="0"/>
    <cellStyle name="Итог 4 23 2 4" xfId="0"/>
    <cellStyle name="Итог 4 23 3" xfId="0"/>
    <cellStyle name="Итог 4 23 3 2" xfId="0"/>
    <cellStyle name="Итог 4 23 3 2 2" xfId="0"/>
    <cellStyle name="Итог 4 23 3 2 3" xfId="0"/>
    <cellStyle name="Итог 4 23 3 3" xfId="0"/>
    <cellStyle name="Итог 4 23 3 4" xfId="0"/>
    <cellStyle name="Итог 4 23 4" xfId="0"/>
    <cellStyle name="Итог 4 23 4 2" xfId="0"/>
    <cellStyle name="Итог 4 23 4 3" xfId="0"/>
    <cellStyle name="Итог 4 23 5" xfId="0"/>
    <cellStyle name="Итог 4 23 6" xfId="0"/>
    <cellStyle name="Итог 4 24" xfId="0"/>
    <cellStyle name="Итог 4 24 2" xfId="0"/>
    <cellStyle name="Итог 4 24 2 2" xfId="0"/>
    <cellStyle name="Итог 4 24 2 2 2" xfId="0"/>
    <cellStyle name="Итог 4 24 2 2 3" xfId="0"/>
    <cellStyle name="Итог 4 24 2 3" xfId="0"/>
    <cellStyle name="Итог 4 24 2 4" xfId="0"/>
    <cellStyle name="Итог 4 24 3" xfId="0"/>
    <cellStyle name="Итог 4 24 3 2" xfId="0"/>
    <cellStyle name="Итог 4 24 3 2 2" xfId="0"/>
    <cellStyle name="Итог 4 24 3 2 3" xfId="0"/>
    <cellStyle name="Итог 4 24 3 3" xfId="0"/>
    <cellStyle name="Итог 4 24 3 4" xfId="0"/>
    <cellStyle name="Итог 4 24 4" xfId="0"/>
    <cellStyle name="Итог 4 24 4 2" xfId="0"/>
    <cellStyle name="Итог 4 24 4 3" xfId="0"/>
    <cellStyle name="Итог 4 24 5" xfId="0"/>
    <cellStyle name="Итог 4 24 6" xfId="0"/>
    <cellStyle name="Итог 4 25" xfId="0"/>
    <cellStyle name="Итог 4 25 2" xfId="0"/>
    <cellStyle name="Итог 4 25 2 2" xfId="0"/>
    <cellStyle name="Итог 4 25 2 2 2" xfId="0"/>
    <cellStyle name="Итог 4 25 2 2 3" xfId="0"/>
    <cellStyle name="Итог 4 25 2 3" xfId="0"/>
    <cellStyle name="Итог 4 25 2 4" xfId="0"/>
    <cellStyle name="Итог 4 25 3" xfId="0"/>
    <cellStyle name="Итог 4 25 3 2" xfId="0"/>
    <cellStyle name="Итог 4 25 3 2 2" xfId="0"/>
    <cellStyle name="Итог 4 25 3 2 3" xfId="0"/>
    <cellStyle name="Итог 4 25 3 3" xfId="0"/>
    <cellStyle name="Итог 4 25 3 4" xfId="0"/>
    <cellStyle name="Итог 4 25 4" xfId="0"/>
    <cellStyle name="Итог 4 25 4 2" xfId="0"/>
    <cellStyle name="Итог 4 25 4 3" xfId="0"/>
    <cellStyle name="Итог 4 25 5" xfId="0"/>
    <cellStyle name="Итог 4 25 6" xfId="0"/>
    <cellStyle name="Итог 4 26" xfId="0"/>
    <cellStyle name="Итог 4 26 2" xfId="0"/>
    <cellStyle name="Итог 4 26 2 2" xfId="0"/>
    <cellStyle name="Итог 4 26 2 2 2" xfId="0"/>
    <cellStyle name="Итог 4 26 2 2 3" xfId="0"/>
    <cellStyle name="Итог 4 26 2 3" xfId="0"/>
    <cellStyle name="Итог 4 26 2 4" xfId="0"/>
    <cellStyle name="Итог 4 26 3" xfId="0"/>
    <cellStyle name="Итог 4 26 3 2" xfId="0"/>
    <cellStyle name="Итог 4 26 3 3" xfId="0"/>
    <cellStyle name="Итог 4 26 4" xfId="0"/>
    <cellStyle name="Итог 4 26 5" xfId="0"/>
    <cellStyle name="Итог 4 27" xfId="0"/>
    <cellStyle name="Итог 4 27 2" xfId="0"/>
    <cellStyle name="Итог 4 27 2 2" xfId="0"/>
    <cellStyle name="Итог 4 27 2 2 2" xfId="0"/>
    <cellStyle name="Итог 4 27 2 2 3" xfId="0"/>
    <cellStyle name="Итог 4 27 2 3" xfId="0"/>
    <cellStyle name="Итог 4 27 2 4" xfId="0"/>
    <cellStyle name="Итог 4 27 3" xfId="0"/>
    <cellStyle name="Итог 4 27 3 2" xfId="0"/>
    <cellStyle name="Итог 4 27 3 3" xfId="0"/>
    <cellStyle name="Итог 4 27 4" xfId="0"/>
    <cellStyle name="Итог 4 27 5" xfId="0"/>
    <cellStyle name="Итог 4 28" xfId="0"/>
    <cellStyle name="Итог 4 28 2" xfId="0"/>
    <cellStyle name="Итог 4 28 2 2" xfId="0"/>
    <cellStyle name="Итог 4 28 2 2 2" xfId="0"/>
    <cellStyle name="Итог 4 28 2 2 3" xfId="0"/>
    <cellStyle name="Итог 4 28 2 3" xfId="0"/>
    <cellStyle name="Итог 4 28 2 4" xfId="0"/>
    <cellStyle name="Итог 4 28 3" xfId="0"/>
    <cellStyle name="Итог 4 28 3 2" xfId="0"/>
    <cellStyle name="Итог 4 28 3 3" xfId="0"/>
    <cellStyle name="Итог 4 28 4" xfId="0"/>
    <cellStyle name="Итог 4 28 5" xfId="0"/>
    <cellStyle name="Итог 4 29" xfId="0"/>
    <cellStyle name="Итог 4 29 2" xfId="0"/>
    <cellStyle name="Итог 4 29 2 2" xfId="0"/>
    <cellStyle name="Итог 4 29 2 3" xfId="0"/>
    <cellStyle name="Итог 4 29 3" xfId="0"/>
    <cellStyle name="Итог 4 29 4" xfId="0"/>
    <cellStyle name="Итог 4 3" xfId="0"/>
    <cellStyle name="Итог 4 3 10" xfId="0"/>
    <cellStyle name="Итог 4 3 2" xfId="0"/>
    <cellStyle name="Итог 4 3 2 2" xfId="0"/>
    <cellStyle name="Итог 4 3 2 2 2" xfId="0"/>
    <cellStyle name="Итог 4 3 2 2 2 2" xfId="0"/>
    <cellStyle name="Итог 4 3 2 2 2 3" xfId="0"/>
    <cellStyle name="Итог 4 3 2 2 3" xfId="0"/>
    <cellStyle name="Итог 4 3 2 2 4" xfId="0"/>
    <cellStyle name="Итог 4 3 2 3" xfId="0"/>
    <cellStyle name="Итог 4 3 2 3 2" xfId="0"/>
    <cellStyle name="Итог 4 3 2 3 2 2" xfId="0"/>
    <cellStyle name="Итог 4 3 2 3 2 3" xfId="0"/>
    <cellStyle name="Итог 4 3 2 3 3" xfId="0"/>
    <cellStyle name="Итог 4 3 2 3 4" xfId="0"/>
    <cellStyle name="Итог 4 3 2 4" xfId="0"/>
    <cellStyle name="Итог 4 3 2 4 2" xfId="0"/>
    <cellStyle name="Итог 4 3 2 4 3" xfId="0"/>
    <cellStyle name="Итог 4 3 2 5" xfId="0"/>
    <cellStyle name="Итог 4 3 2 6" xfId="0"/>
    <cellStyle name="Итог 4 3 3" xfId="0"/>
    <cellStyle name="Итог 4 3 3 2" xfId="0"/>
    <cellStyle name="Итог 4 3 3 2 2" xfId="0"/>
    <cellStyle name="Итог 4 3 3 2 2 2" xfId="0"/>
    <cellStyle name="Итог 4 3 3 2 2 3" xfId="0"/>
    <cellStyle name="Итог 4 3 3 2 3" xfId="0"/>
    <cellStyle name="Итог 4 3 3 2 4" xfId="0"/>
    <cellStyle name="Итог 4 3 3 3" xfId="0"/>
    <cellStyle name="Итог 4 3 3 3 2" xfId="0"/>
    <cellStyle name="Итог 4 3 3 3 2 2" xfId="0"/>
    <cellStyle name="Итог 4 3 3 3 2 3" xfId="0"/>
    <cellStyle name="Итог 4 3 3 3 3" xfId="0"/>
    <cellStyle name="Итог 4 3 3 3 4" xfId="0"/>
    <cellStyle name="Итог 4 3 3 4" xfId="0"/>
    <cellStyle name="Итог 4 3 3 4 2" xfId="0"/>
    <cellStyle name="Итог 4 3 3 4 3" xfId="0"/>
    <cellStyle name="Итог 4 3 3 5" xfId="0"/>
    <cellStyle name="Итог 4 3 3 6" xfId="0"/>
    <cellStyle name="Итог 4 3 4" xfId="0"/>
    <cellStyle name="Итог 4 3 4 2" xfId="0"/>
    <cellStyle name="Итог 4 3 4 2 2" xfId="0"/>
    <cellStyle name="Итог 4 3 4 2 2 2" xfId="0"/>
    <cellStyle name="Итог 4 3 4 2 2 3" xfId="0"/>
    <cellStyle name="Итог 4 3 4 2 3" xfId="0"/>
    <cellStyle name="Итог 4 3 4 2 4" xfId="0"/>
    <cellStyle name="Итог 4 3 4 3" xfId="0"/>
    <cellStyle name="Итог 4 3 4 3 2" xfId="0"/>
    <cellStyle name="Итог 4 3 4 3 2 2" xfId="0"/>
    <cellStyle name="Итог 4 3 4 3 2 3" xfId="0"/>
    <cellStyle name="Итог 4 3 4 3 3" xfId="0"/>
    <cellStyle name="Итог 4 3 4 3 4" xfId="0"/>
    <cellStyle name="Итог 4 3 4 4" xfId="0"/>
    <cellStyle name="Итог 4 3 4 4 2" xfId="0"/>
    <cellStyle name="Итог 4 3 4 4 3" xfId="0"/>
    <cellStyle name="Итог 4 3 4 5" xfId="0"/>
    <cellStyle name="Итог 4 3 4 6" xfId="0"/>
    <cellStyle name="Итог 4 3 5" xfId="0"/>
    <cellStyle name="Итог 4 3 5 2" xfId="0"/>
    <cellStyle name="Итог 4 3 5 2 2" xfId="0"/>
    <cellStyle name="Итог 4 3 5 2 2 2" xfId="0"/>
    <cellStyle name="Итог 4 3 5 2 2 3" xfId="0"/>
    <cellStyle name="Итог 4 3 5 2 3" xfId="0"/>
    <cellStyle name="Итог 4 3 5 2 4" xfId="0"/>
    <cellStyle name="Итог 4 3 5 3" xfId="0"/>
    <cellStyle name="Итог 4 3 5 3 2" xfId="0"/>
    <cellStyle name="Итог 4 3 5 3 2 2" xfId="0"/>
    <cellStyle name="Итог 4 3 5 3 2 3" xfId="0"/>
    <cellStyle name="Итог 4 3 5 3 3" xfId="0"/>
    <cellStyle name="Итог 4 3 5 3 4" xfId="0"/>
    <cellStyle name="Итог 4 3 5 4" xfId="0"/>
    <cellStyle name="Итог 4 3 5 4 2" xfId="0"/>
    <cellStyle name="Итог 4 3 5 4 3" xfId="0"/>
    <cellStyle name="Итог 4 3 5 5" xfId="0"/>
    <cellStyle name="Итог 4 3 5 6" xfId="0"/>
    <cellStyle name="Итог 4 3 6" xfId="0"/>
    <cellStyle name="Итог 4 3 6 2" xfId="0"/>
    <cellStyle name="Итог 4 3 6 2 2" xfId="0"/>
    <cellStyle name="Итог 4 3 6 2 2 2" xfId="0"/>
    <cellStyle name="Итог 4 3 6 2 2 3" xfId="0"/>
    <cellStyle name="Итог 4 3 6 2 3" xfId="0"/>
    <cellStyle name="Итог 4 3 6 2 4" xfId="0"/>
    <cellStyle name="Итог 4 3 6 3" xfId="0"/>
    <cellStyle name="Итог 4 3 6 3 2" xfId="0"/>
    <cellStyle name="Итог 4 3 6 3 3" xfId="0"/>
    <cellStyle name="Итог 4 3 6 4" xfId="0"/>
    <cellStyle name="Итог 4 3 6 5" xfId="0"/>
    <cellStyle name="Итог 4 3 7" xfId="0"/>
    <cellStyle name="Итог 4 3 7 2" xfId="0"/>
    <cellStyle name="Итог 4 3 7 2 2" xfId="0"/>
    <cellStyle name="Итог 4 3 7 2 2 2" xfId="0"/>
    <cellStyle name="Итог 4 3 7 2 2 3" xfId="0"/>
    <cellStyle name="Итог 4 3 7 2 3" xfId="0"/>
    <cellStyle name="Итог 4 3 7 2 4" xfId="0"/>
    <cellStyle name="Итог 4 3 7 3" xfId="0"/>
    <cellStyle name="Итог 4 3 7 3 2" xfId="0"/>
    <cellStyle name="Итог 4 3 7 3 3" xfId="0"/>
    <cellStyle name="Итог 4 3 7 4" xfId="0"/>
    <cellStyle name="Итог 4 3 7 5" xfId="0"/>
    <cellStyle name="Итог 4 3 8" xfId="0"/>
    <cellStyle name="Итог 4 3 8 2" xfId="0"/>
    <cellStyle name="Итог 4 3 8 3" xfId="0"/>
    <cellStyle name="Итог 4 3 9" xfId="0"/>
    <cellStyle name="Итог 4 30" xfId="0"/>
    <cellStyle name="Итог 4 30 2" xfId="0"/>
    <cellStyle name="Итог 4 30 3" xfId="0"/>
    <cellStyle name="Итог 4 31" xfId="0"/>
    <cellStyle name="Итог 4 31 2" xfId="0"/>
    <cellStyle name="Итог 4 31 3" xfId="0"/>
    <cellStyle name="Итог 4 32" xfId="0"/>
    <cellStyle name="Итог 4 32 2" xfId="0"/>
    <cellStyle name="Итог 4 32 3" xfId="0"/>
    <cellStyle name="Итог 4 33" xfId="0"/>
    <cellStyle name="Итог 4 33 2" xfId="0"/>
    <cellStyle name="Итог 4 33 3" xfId="0"/>
    <cellStyle name="Итог 4 34" xfId="0"/>
    <cellStyle name="Итог 4 4" xfId="0"/>
    <cellStyle name="Итог 4 4 10" xfId="0"/>
    <cellStyle name="Итог 4 4 2" xfId="0"/>
    <cellStyle name="Итог 4 4 2 2" xfId="0"/>
    <cellStyle name="Итог 4 4 2 2 2" xfId="0"/>
    <cellStyle name="Итог 4 4 2 2 2 2" xfId="0"/>
    <cellStyle name="Итог 4 4 2 2 2 3" xfId="0"/>
    <cellStyle name="Итог 4 4 2 2 3" xfId="0"/>
    <cellStyle name="Итог 4 4 2 2 4" xfId="0"/>
    <cellStyle name="Итог 4 4 2 3" xfId="0"/>
    <cellStyle name="Итог 4 4 2 3 2" xfId="0"/>
    <cellStyle name="Итог 4 4 2 3 2 2" xfId="0"/>
    <cellStyle name="Итог 4 4 2 3 2 3" xfId="0"/>
    <cellStyle name="Итог 4 4 2 3 3" xfId="0"/>
    <cellStyle name="Итог 4 4 2 3 4" xfId="0"/>
    <cellStyle name="Итог 4 4 2 4" xfId="0"/>
    <cellStyle name="Итог 4 4 2 4 2" xfId="0"/>
    <cellStyle name="Итог 4 4 2 4 3" xfId="0"/>
    <cellStyle name="Итог 4 4 2 5" xfId="0"/>
    <cellStyle name="Итог 4 4 2 6" xfId="0"/>
    <cellStyle name="Итог 4 4 3" xfId="0"/>
    <cellStyle name="Итог 4 4 3 2" xfId="0"/>
    <cellStyle name="Итог 4 4 3 2 2" xfId="0"/>
    <cellStyle name="Итог 4 4 3 2 2 2" xfId="0"/>
    <cellStyle name="Итог 4 4 3 2 2 3" xfId="0"/>
    <cellStyle name="Итог 4 4 3 2 3" xfId="0"/>
    <cellStyle name="Итог 4 4 3 2 4" xfId="0"/>
    <cellStyle name="Итог 4 4 3 3" xfId="0"/>
    <cellStyle name="Итог 4 4 3 3 2" xfId="0"/>
    <cellStyle name="Итог 4 4 3 3 2 2" xfId="0"/>
    <cellStyle name="Итог 4 4 3 3 2 3" xfId="0"/>
    <cellStyle name="Итог 4 4 3 3 3" xfId="0"/>
    <cellStyle name="Итог 4 4 3 3 4" xfId="0"/>
    <cellStyle name="Итог 4 4 3 4" xfId="0"/>
    <cellStyle name="Итог 4 4 3 4 2" xfId="0"/>
    <cellStyle name="Итог 4 4 3 4 3" xfId="0"/>
    <cellStyle name="Итог 4 4 3 5" xfId="0"/>
    <cellStyle name="Итог 4 4 3 6" xfId="0"/>
    <cellStyle name="Итог 4 4 4" xfId="0"/>
    <cellStyle name="Итог 4 4 4 2" xfId="0"/>
    <cellStyle name="Итог 4 4 4 2 2" xfId="0"/>
    <cellStyle name="Итог 4 4 4 2 2 2" xfId="0"/>
    <cellStyle name="Итог 4 4 4 2 2 3" xfId="0"/>
    <cellStyle name="Итог 4 4 4 2 3" xfId="0"/>
    <cellStyle name="Итог 4 4 4 2 4" xfId="0"/>
    <cellStyle name="Итог 4 4 4 3" xfId="0"/>
    <cellStyle name="Итог 4 4 4 3 2" xfId="0"/>
    <cellStyle name="Итог 4 4 4 3 2 2" xfId="0"/>
    <cellStyle name="Итог 4 4 4 3 2 3" xfId="0"/>
    <cellStyle name="Итог 4 4 4 3 3" xfId="0"/>
    <cellStyle name="Итог 4 4 4 3 4" xfId="0"/>
    <cellStyle name="Итог 4 4 4 4" xfId="0"/>
    <cellStyle name="Итог 4 4 4 4 2" xfId="0"/>
    <cellStyle name="Итог 4 4 4 4 3" xfId="0"/>
    <cellStyle name="Итог 4 4 4 5" xfId="0"/>
    <cellStyle name="Итог 4 4 4 6" xfId="0"/>
    <cellStyle name="Итог 4 4 5" xfId="0"/>
    <cellStyle name="Итог 4 4 5 2" xfId="0"/>
    <cellStyle name="Итог 4 4 5 2 2" xfId="0"/>
    <cellStyle name="Итог 4 4 5 2 2 2" xfId="0"/>
    <cellStyle name="Итог 4 4 5 2 2 3" xfId="0"/>
    <cellStyle name="Итог 4 4 5 2 3" xfId="0"/>
    <cellStyle name="Итог 4 4 5 2 4" xfId="0"/>
    <cellStyle name="Итог 4 4 5 3" xfId="0"/>
    <cellStyle name="Итог 4 4 5 3 2" xfId="0"/>
    <cellStyle name="Итог 4 4 5 3 2 2" xfId="0"/>
    <cellStyle name="Итог 4 4 5 3 2 3" xfId="0"/>
    <cellStyle name="Итог 4 4 5 3 3" xfId="0"/>
    <cellStyle name="Итог 4 4 5 3 4" xfId="0"/>
    <cellStyle name="Итог 4 4 5 4" xfId="0"/>
    <cellStyle name="Итог 4 4 5 4 2" xfId="0"/>
    <cellStyle name="Итог 4 4 5 4 3" xfId="0"/>
    <cellStyle name="Итог 4 4 5 5" xfId="0"/>
    <cellStyle name="Итог 4 4 5 6" xfId="0"/>
    <cellStyle name="Итог 4 4 6" xfId="0"/>
    <cellStyle name="Итог 4 4 6 2" xfId="0"/>
    <cellStyle name="Итог 4 4 6 2 2" xfId="0"/>
    <cellStyle name="Итог 4 4 6 2 2 2" xfId="0"/>
    <cellStyle name="Итог 4 4 6 2 2 3" xfId="0"/>
    <cellStyle name="Итог 4 4 6 2 3" xfId="0"/>
    <cellStyle name="Итог 4 4 6 2 4" xfId="0"/>
    <cellStyle name="Итог 4 4 6 3" xfId="0"/>
    <cellStyle name="Итог 4 4 6 3 2" xfId="0"/>
    <cellStyle name="Итог 4 4 6 3 3" xfId="0"/>
    <cellStyle name="Итог 4 4 6 4" xfId="0"/>
    <cellStyle name="Итог 4 4 6 5" xfId="0"/>
    <cellStyle name="Итог 4 4 7" xfId="0"/>
    <cellStyle name="Итог 4 4 7 2" xfId="0"/>
    <cellStyle name="Итог 4 4 7 2 2" xfId="0"/>
    <cellStyle name="Итог 4 4 7 2 2 2" xfId="0"/>
    <cellStyle name="Итог 4 4 7 2 2 3" xfId="0"/>
    <cellStyle name="Итог 4 4 7 2 3" xfId="0"/>
    <cellStyle name="Итог 4 4 7 2 4" xfId="0"/>
    <cellStyle name="Итог 4 4 7 3" xfId="0"/>
    <cellStyle name="Итог 4 4 7 3 2" xfId="0"/>
    <cellStyle name="Итог 4 4 7 3 3" xfId="0"/>
    <cellStyle name="Итог 4 4 7 4" xfId="0"/>
    <cellStyle name="Итог 4 4 7 5" xfId="0"/>
    <cellStyle name="Итог 4 4 8" xfId="0"/>
    <cellStyle name="Итог 4 4 8 2" xfId="0"/>
    <cellStyle name="Итог 4 4 8 3" xfId="0"/>
    <cellStyle name="Итог 4 4 9" xfId="0"/>
    <cellStyle name="Итог 4 5" xfId="0"/>
    <cellStyle name="Итог 4 5 2" xfId="0"/>
    <cellStyle name="Итог 4 5 2 2" xfId="0"/>
    <cellStyle name="Итог 4 5 2 2 2" xfId="0"/>
    <cellStyle name="Итог 4 5 2 2 2 2" xfId="0"/>
    <cellStyle name="Итог 4 5 2 2 2 3" xfId="0"/>
    <cellStyle name="Итог 4 5 2 2 3" xfId="0"/>
    <cellStyle name="Итог 4 5 2 2 4" xfId="0"/>
    <cellStyle name="Итог 4 5 2 3" xfId="0"/>
    <cellStyle name="Итог 4 5 2 3 2" xfId="0"/>
    <cellStyle name="Итог 4 5 2 3 2 2" xfId="0"/>
    <cellStyle name="Итог 4 5 2 3 2 3" xfId="0"/>
    <cellStyle name="Итог 4 5 2 3 3" xfId="0"/>
    <cellStyle name="Итог 4 5 2 3 4" xfId="0"/>
    <cellStyle name="Итог 4 5 2 4" xfId="0"/>
    <cellStyle name="Итог 4 5 2 4 2" xfId="0"/>
    <cellStyle name="Итог 4 5 2 4 3" xfId="0"/>
    <cellStyle name="Итог 4 5 2 5" xfId="0"/>
    <cellStyle name="Итог 4 5 2 6" xfId="0"/>
    <cellStyle name="Итог 4 5 3" xfId="0"/>
    <cellStyle name="Итог 4 5 3 2" xfId="0"/>
    <cellStyle name="Итог 4 5 3 2 2" xfId="0"/>
    <cellStyle name="Итог 4 5 3 2 2 2" xfId="0"/>
    <cellStyle name="Итог 4 5 3 2 2 3" xfId="0"/>
    <cellStyle name="Итог 4 5 3 2 3" xfId="0"/>
    <cellStyle name="Итог 4 5 3 2 4" xfId="0"/>
    <cellStyle name="Итог 4 5 3 3" xfId="0"/>
    <cellStyle name="Итог 4 5 3 3 2" xfId="0"/>
    <cellStyle name="Итог 4 5 3 3 3" xfId="0"/>
    <cellStyle name="Итог 4 5 3 4" xfId="0"/>
    <cellStyle name="Итог 4 5 3 5" xfId="0"/>
    <cellStyle name="Итог 4 5 4" xfId="0"/>
    <cellStyle name="Итог 4 5 4 2" xfId="0"/>
    <cellStyle name="Итог 4 5 4 2 2" xfId="0"/>
    <cellStyle name="Итог 4 5 4 2 2 2" xfId="0"/>
    <cellStyle name="Итог 4 5 4 2 2 3" xfId="0"/>
    <cellStyle name="Итог 4 5 4 2 3" xfId="0"/>
    <cellStyle name="Итог 4 5 4 2 4" xfId="0"/>
    <cellStyle name="Итог 4 5 4 3" xfId="0"/>
    <cellStyle name="Итог 4 5 4 3 2" xfId="0"/>
    <cellStyle name="Итог 4 5 4 3 3" xfId="0"/>
    <cellStyle name="Итог 4 5 4 4" xfId="0"/>
    <cellStyle name="Итог 4 5 4 5" xfId="0"/>
    <cellStyle name="Итог 4 5 5" xfId="0"/>
    <cellStyle name="Итог 4 5 5 2" xfId="0"/>
    <cellStyle name="Итог 4 5 5 3" xfId="0"/>
    <cellStyle name="Итог 4 5 6" xfId="0"/>
    <cellStyle name="Итог 4 5 7" xfId="0"/>
    <cellStyle name="Итог 4 6" xfId="0"/>
    <cellStyle name="Итог 4 6 2" xfId="0"/>
    <cellStyle name="Итог 4 6 2 2" xfId="0"/>
    <cellStyle name="Итог 4 6 2 2 2" xfId="0"/>
    <cellStyle name="Итог 4 6 2 2 2 2" xfId="0"/>
    <cellStyle name="Итог 4 6 2 2 2 3" xfId="0"/>
    <cellStyle name="Итог 4 6 2 2 3" xfId="0"/>
    <cellStyle name="Итог 4 6 2 2 4" xfId="0"/>
    <cellStyle name="Итог 4 6 2 3" xfId="0"/>
    <cellStyle name="Итог 4 6 2 3 2" xfId="0"/>
    <cellStyle name="Итог 4 6 2 3 2 2" xfId="0"/>
    <cellStyle name="Итог 4 6 2 3 2 3" xfId="0"/>
    <cellStyle name="Итог 4 6 2 3 3" xfId="0"/>
    <cellStyle name="Итог 4 6 2 3 4" xfId="0"/>
    <cellStyle name="Итог 4 6 2 4" xfId="0"/>
    <cellStyle name="Итог 4 6 2 4 2" xfId="0"/>
    <cellStyle name="Итог 4 6 2 4 3" xfId="0"/>
    <cellStyle name="Итог 4 6 2 5" xfId="0"/>
    <cellStyle name="Итог 4 6 2 6" xfId="0"/>
    <cellStyle name="Итог 4 6 3" xfId="0"/>
    <cellStyle name="Итог 4 6 3 2" xfId="0"/>
    <cellStyle name="Итог 4 6 3 2 2" xfId="0"/>
    <cellStyle name="Итог 4 6 3 2 2 2" xfId="0"/>
    <cellStyle name="Итог 4 6 3 2 2 3" xfId="0"/>
    <cellStyle name="Итог 4 6 3 2 3" xfId="0"/>
    <cellStyle name="Итог 4 6 3 2 4" xfId="0"/>
    <cellStyle name="Итог 4 6 3 3" xfId="0"/>
    <cellStyle name="Итог 4 6 3 3 2" xfId="0"/>
    <cellStyle name="Итог 4 6 3 3 3" xfId="0"/>
    <cellStyle name="Итог 4 6 3 4" xfId="0"/>
    <cellStyle name="Итог 4 6 3 5" xfId="0"/>
    <cellStyle name="Итог 4 6 4" xfId="0"/>
    <cellStyle name="Итог 4 6 4 2" xfId="0"/>
    <cellStyle name="Итог 4 6 4 2 2" xfId="0"/>
    <cellStyle name="Итог 4 6 4 2 2 2" xfId="0"/>
    <cellStyle name="Итог 4 6 4 2 2 3" xfId="0"/>
    <cellStyle name="Итог 4 6 4 2 3" xfId="0"/>
    <cellStyle name="Итог 4 6 4 2 4" xfId="0"/>
    <cellStyle name="Итог 4 6 4 3" xfId="0"/>
    <cellStyle name="Итог 4 6 4 3 2" xfId="0"/>
    <cellStyle name="Итог 4 6 4 3 3" xfId="0"/>
    <cellStyle name="Итог 4 6 4 4" xfId="0"/>
    <cellStyle name="Итог 4 6 4 5" xfId="0"/>
    <cellStyle name="Итог 4 6 5" xfId="0"/>
    <cellStyle name="Итог 4 6 5 2" xfId="0"/>
    <cellStyle name="Итог 4 6 5 3" xfId="0"/>
    <cellStyle name="Итог 4 6 6" xfId="0"/>
    <cellStyle name="Итог 4 6 7" xfId="0"/>
    <cellStyle name="Итог 4 7" xfId="0"/>
    <cellStyle name="Итог 4 7 2" xfId="0"/>
    <cellStyle name="Итог 4 7 2 2" xfId="0"/>
    <cellStyle name="Итог 4 7 2 2 2" xfId="0"/>
    <cellStyle name="Итог 4 7 2 2 2 2" xfId="0"/>
    <cellStyle name="Итог 4 7 2 2 2 3" xfId="0"/>
    <cellStyle name="Итог 4 7 2 2 3" xfId="0"/>
    <cellStyle name="Итог 4 7 2 2 4" xfId="0"/>
    <cellStyle name="Итог 4 7 2 3" xfId="0"/>
    <cellStyle name="Итог 4 7 2 3 2" xfId="0"/>
    <cellStyle name="Итог 4 7 2 3 2 2" xfId="0"/>
    <cellStyle name="Итог 4 7 2 3 2 3" xfId="0"/>
    <cellStyle name="Итог 4 7 2 3 3" xfId="0"/>
    <cellStyle name="Итог 4 7 2 3 4" xfId="0"/>
    <cellStyle name="Итог 4 7 2 4" xfId="0"/>
    <cellStyle name="Итог 4 7 2 4 2" xfId="0"/>
    <cellStyle name="Итог 4 7 2 4 3" xfId="0"/>
    <cellStyle name="Итог 4 7 2 5" xfId="0"/>
    <cellStyle name="Итог 4 7 2 6" xfId="0"/>
    <cellStyle name="Итог 4 7 3" xfId="0"/>
    <cellStyle name="Итог 4 7 3 2" xfId="0"/>
    <cellStyle name="Итог 4 7 3 2 2" xfId="0"/>
    <cellStyle name="Итог 4 7 3 2 2 2" xfId="0"/>
    <cellStyle name="Итог 4 7 3 2 2 3" xfId="0"/>
    <cellStyle name="Итог 4 7 3 2 3" xfId="0"/>
    <cellStyle name="Итог 4 7 3 2 4" xfId="0"/>
    <cellStyle name="Итог 4 7 3 3" xfId="0"/>
    <cellStyle name="Итог 4 7 3 3 2" xfId="0"/>
    <cellStyle name="Итог 4 7 3 3 3" xfId="0"/>
    <cellStyle name="Итог 4 7 3 4" xfId="0"/>
    <cellStyle name="Итог 4 7 3 5" xfId="0"/>
    <cellStyle name="Итог 4 7 4" xfId="0"/>
    <cellStyle name="Итог 4 7 4 2" xfId="0"/>
    <cellStyle name="Итог 4 7 4 2 2" xfId="0"/>
    <cellStyle name="Итог 4 7 4 2 2 2" xfId="0"/>
    <cellStyle name="Итог 4 7 4 2 2 3" xfId="0"/>
    <cellStyle name="Итог 4 7 4 2 3" xfId="0"/>
    <cellStyle name="Итог 4 7 4 2 4" xfId="0"/>
    <cellStyle name="Итог 4 7 4 3" xfId="0"/>
    <cellStyle name="Итог 4 7 4 3 2" xfId="0"/>
    <cellStyle name="Итог 4 7 4 3 3" xfId="0"/>
    <cellStyle name="Итог 4 7 4 4" xfId="0"/>
    <cellStyle name="Итог 4 7 4 5" xfId="0"/>
    <cellStyle name="Итог 4 7 5" xfId="0"/>
    <cellStyle name="Итог 4 7 5 2" xfId="0"/>
    <cellStyle name="Итог 4 7 5 3" xfId="0"/>
    <cellStyle name="Итог 4 7 6" xfId="0"/>
    <cellStyle name="Итог 4 7 7" xfId="0"/>
    <cellStyle name="Итог 4 8" xfId="0"/>
    <cellStyle name="Итог 4 8 2" xfId="0"/>
    <cellStyle name="Итог 4 8 2 2" xfId="0"/>
    <cellStyle name="Итог 4 8 2 2 2" xfId="0"/>
    <cellStyle name="Итог 4 8 2 2 2 2" xfId="0"/>
    <cellStyle name="Итог 4 8 2 2 2 3" xfId="0"/>
    <cellStyle name="Итог 4 8 2 2 3" xfId="0"/>
    <cellStyle name="Итог 4 8 2 2 4" xfId="0"/>
    <cellStyle name="Итог 4 8 2 3" xfId="0"/>
    <cellStyle name="Итог 4 8 2 3 2" xfId="0"/>
    <cellStyle name="Итог 4 8 2 3 2 2" xfId="0"/>
    <cellStyle name="Итог 4 8 2 3 2 3" xfId="0"/>
    <cellStyle name="Итог 4 8 2 3 3" xfId="0"/>
    <cellStyle name="Итог 4 8 2 3 4" xfId="0"/>
    <cellStyle name="Итог 4 8 2 4" xfId="0"/>
    <cellStyle name="Итог 4 8 2 4 2" xfId="0"/>
    <cellStyle name="Итог 4 8 2 4 3" xfId="0"/>
    <cellStyle name="Итог 4 8 2 5" xfId="0"/>
    <cellStyle name="Итог 4 8 2 6" xfId="0"/>
    <cellStyle name="Итог 4 8 3" xfId="0"/>
    <cellStyle name="Итог 4 8 3 2" xfId="0"/>
    <cellStyle name="Итог 4 8 3 2 2" xfId="0"/>
    <cellStyle name="Итог 4 8 3 2 2 2" xfId="0"/>
    <cellStyle name="Итог 4 8 3 2 2 3" xfId="0"/>
    <cellStyle name="Итог 4 8 3 2 3" xfId="0"/>
    <cellStyle name="Итог 4 8 3 2 4" xfId="0"/>
    <cellStyle name="Итог 4 8 3 3" xfId="0"/>
    <cellStyle name="Итог 4 8 3 3 2" xfId="0"/>
    <cellStyle name="Итог 4 8 3 3 3" xfId="0"/>
    <cellStyle name="Итог 4 8 3 4" xfId="0"/>
    <cellStyle name="Итог 4 8 3 5" xfId="0"/>
    <cellStyle name="Итог 4 8 4" xfId="0"/>
    <cellStyle name="Итог 4 8 4 2" xfId="0"/>
    <cellStyle name="Итог 4 8 4 2 2" xfId="0"/>
    <cellStyle name="Итог 4 8 4 2 2 2" xfId="0"/>
    <cellStyle name="Итог 4 8 4 2 2 3" xfId="0"/>
    <cellStyle name="Итог 4 8 4 2 3" xfId="0"/>
    <cellStyle name="Итог 4 8 4 2 4" xfId="0"/>
    <cellStyle name="Итог 4 8 4 3" xfId="0"/>
    <cellStyle name="Итог 4 8 4 3 2" xfId="0"/>
    <cellStyle name="Итог 4 8 4 3 3" xfId="0"/>
    <cellStyle name="Итог 4 8 4 4" xfId="0"/>
    <cellStyle name="Итог 4 8 4 5" xfId="0"/>
    <cellStyle name="Итог 4 8 5" xfId="0"/>
    <cellStyle name="Итог 4 8 5 2" xfId="0"/>
    <cellStyle name="Итог 4 8 5 3" xfId="0"/>
    <cellStyle name="Итог 4 8 6" xfId="0"/>
    <cellStyle name="Итог 4 8 7" xfId="0"/>
    <cellStyle name="Итог 4 9" xfId="0"/>
    <cellStyle name="Итог 4 9 2" xfId="0"/>
    <cellStyle name="Итог 4 9 2 2" xfId="0"/>
    <cellStyle name="Итог 4 9 2 2 2" xfId="0"/>
    <cellStyle name="Итог 4 9 2 2 2 2" xfId="0"/>
    <cellStyle name="Итог 4 9 2 2 2 3" xfId="0"/>
    <cellStyle name="Итог 4 9 2 2 3" xfId="0"/>
    <cellStyle name="Итог 4 9 2 2 4" xfId="0"/>
    <cellStyle name="Итог 4 9 2 3" xfId="0"/>
    <cellStyle name="Итог 4 9 2 3 2" xfId="0"/>
    <cellStyle name="Итог 4 9 2 3 2 2" xfId="0"/>
    <cellStyle name="Итог 4 9 2 3 2 3" xfId="0"/>
    <cellStyle name="Итог 4 9 2 3 3" xfId="0"/>
    <cellStyle name="Итог 4 9 2 3 4" xfId="0"/>
    <cellStyle name="Итог 4 9 2 4" xfId="0"/>
    <cellStyle name="Итог 4 9 2 4 2" xfId="0"/>
    <cellStyle name="Итог 4 9 2 4 3" xfId="0"/>
    <cellStyle name="Итог 4 9 2 5" xfId="0"/>
    <cellStyle name="Итог 4 9 2 6" xfId="0"/>
    <cellStyle name="Итог 4 9 3" xfId="0"/>
    <cellStyle name="Итог 4 9 3 2" xfId="0"/>
    <cellStyle name="Итог 4 9 3 2 2" xfId="0"/>
    <cellStyle name="Итог 4 9 3 2 2 2" xfId="0"/>
    <cellStyle name="Итог 4 9 3 2 2 3" xfId="0"/>
    <cellStyle name="Итог 4 9 3 2 3" xfId="0"/>
    <cellStyle name="Итог 4 9 3 2 4" xfId="0"/>
    <cellStyle name="Итог 4 9 3 3" xfId="0"/>
    <cellStyle name="Итог 4 9 3 3 2" xfId="0"/>
    <cellStyle name="Итог 4 9 3 3 3" xfId="0"/>
    <cellStyle name="Итог 4 9 3 4" xfId="0"/>
    <cellStyle name="Итог 4 9 3 5" xfId="0"/>
    <cellStyle name="Итог 4 9 4" xfId="0"/>
    <cellStyle name="Итог 4 9 4 2" xfId="0"/>
    <cellStyle name="Итог 4 9 4 2 2" xfId="0"/>
    <cellStyle name="Итог 4 9 4 2 2 2" xfId="0"/>
    <cellStyle name="Итог 4 9 4 2 2 3" xfId="0"/>
    <cellStyle name="Итог 4 9 4 2 3" xfId="0"/>
    <cellStyle name="Итог 4 9 4 2 4" xfId="0"/>
    <cellStyle name="Итог 4 9 4 3" xfId="0"/>
    <cellStyle name="Итог 4 9 4 3 2" xfId="0"/>
    <cellStyle name="Итог 4 9 4 3 3" xfId="0"/>
    <cellStyle name="Итог 4 9 4 4" xfId="0"/>
    <cellStyle name="Итог 4 9 4 5" xfId="0"/>
    <cellStyle name="Итог 4 9 5" xfId="0"/>
    <cellStyle name="Итог 4 9 5 2" xfId="0"/>
    <cellStyle name="Итог 4 9 5 3" xfId="0"/>
    <cellStyle name="Итог 4 9 6" xfId="0"/>
    <cellStyle name="Итог 4 9 7" xfId="0"/>
    <cellStyle name="Категория сводной таблицы" xfId="0"/>
    <cellStyle name="Категория сводной таблицы 2" xfId="0"/>
    <cellStyle name="Контрольная ячейка 1" xfId="0"/>
    <cellStyle name="Контрольная ячейка 2" xfId="0"/>
    <cellStyle name="Контрольная ячейка 2 2" xfId="0"/>
    <cellStyle name="Контрольная ячейка 3" xfId="0"/>
    <cellStyle name="Контрольная ячейка 4" xfId="0"/>
    <cellStyle name="Название 1" xfId="0"/>
    <cellStyle name="Название 1 2" xfId="0"/>
    <cellStyle name="Название 2" xfId="0"/>
    <cellStyle name="Название 2 2" xfId="0"/>
    <cellStyle name="Название 3" xfId="0"/>
    <cellStyle name="Название 3 2" xfId="0"/>
    <cellStyle name="Название 4" xfId="0"/>
    <cellStyle name="Название 4 2" xfId="0"/>
    <cellStyle name="Нейтральный 1" xfId="0"/>
    <cellStyle name="Нейтральный 2" xfId="0"/>
    <cellStyle name="Нейтральный 2 2" xfId="0"/>
    <cellStyle name="Нейтральный 3" xfId="0"/>
    <cellStyle name="Нейтральный 4" xfId="0"/>
    <cellStyle name="Обычный 10" xfId="0"/>
    <cellStyle name="Обычный 10 2" xfId="0"/>
    <cellStyle name="Обычный 10 2 2" xfId="0"/>
    <cellStyle name="Обычный 10 2 3" xfId="0"/>
    <cellStyle name="Обычный 10 3" xfId="0"/>
    <cellStyle name="Обычный 10 4" xfId="0"/>
    <cellStyle name="Обычный 11" xfId="0"/>
    <cellStyle name="Обычный 11 2" xfId="0"/>
    <cellStyle name="Обычный 12" xfId="0"/>
    <cellStyle name="Обычный 12 2" xfId="0"/>
    <cellStyle name="Обычный 13" xfId="0"/>
    <cellStyle name="Обычный 13 2" xfId="0"/>
    <cellStyle name="Обычный 14" xfId="0"/>
    <cellStyle name="Обычный 14 2" xfId="0"/>
    <cellStyle name="Обычный 14 3" xfId="0"/>
    <cellStyle name="Обычный 15" xfId="0"/>
    <cellStyle name="Обычный 15 2" xfId="0"/>
    <cellStyle name="Обычный 16" xfId="0"/>
    <cellStyle name="Обычный 16 2" xfId="0"/>
    <cellStyle name="Обычный 16 2 10" xfId="0"/>
    <cellStyle name="Обычный 16 2 10 2" xfId="0"/>
    <cellStyle name="Обычный 16 2 10 3" xfId="0"/>
    <cellStyle name="Обычный 16 2 10 4" xfId="0"/>
    <cellStyle name="Обычный 16 2 10 5" xfId="0"/>
    <cellStyle name="Обычный 16 2 11" xfId="0"/>
    <cellStyle name="Обычный 16 2 12" xfId="0"/>
    <cellStyle name="Обычный 16 2 13" xfId="0"/>
    <cellStyle name="Обычный 16 2 14" xfId="0"/>
    <cellStyle name="Обычный 16 2 15" xfId="0"/>
    <cellStyle name="Обычный 16 2 2" xfId="0"/>
    <cellStyle name="Обычный 16 2 2 10" xfId="0"/>
    <cellStyle name="Обычный 16 2 2 2" xfId="0"/>
    <cellStyle name="Обычный 16 2 2 2 2" xfId="0"/>
    <cellStyle name="Обычный 16 2 2 2 2 2" xfId="0"/>
    <cellStyle name="Обычный 16 2 2 2 2 3" xfId="0"/>
    <cellStyle name="Обычный 16 2 2 2 2 4" xfId="0"/>
    <cellStyle name="Обычный 16 2 2 2 2 5" xfId="0"/>
    <cellStyle name="Обычный 16 2 2 2 3" xfId="0"/>
    <cellStyle name="Обычный 16 2 2 2 4" xfId="0"/>
    <cellStyle name="Обычный 16 2 2 2 5" xfId="0"/>
    <cellStyle name="Обычный 16 2 2 2 6" xfId="0"/>
    <cellStyle name="Обычный 16 2 2 3" xfId="0"/>
    <cellStyle name="Обычный 16 2 2 3 2" xfId="0"/>
    <cellStyle name="Обычный 16 2 2 3 2 2" xfId="0"/>
    <cellStyle name="Обычный 16 2 2 3 2 3" xfId="0"/>
    <cellStyle name="Обычный 16 2 2 3 2 4" xfId="0"/>
    <cellStyle name="Обычный 16 2 2 3 2 5" xfId="0"/>
    <cellStyle name="Обычный 16 2 2 3 3" xfId="0"/>
    <cellStyle name="Обычный 16 2 2 3 4" xfId="0"/>
    <cellStyle name="Обычный 16 2 2 3 5" xfId="0"/>
    <cellStyle name="Обычный 16 2 2 3 6" xfId="0"/>
    <cellStyle name="Обычный 16 2 2 4" xfId="0"/>
    <cellStyle name="Обычный 16 2 2 4 2" xfId="0"/>
    <cellStyle name="Обычный 16 2 2 4 3" xfId="0"/>
    <cellStyle name="Обычный 16 2 2 4 4" xfId="0"/>
    <cellStyle name="Обычный 16 2 2 4 5" xfId="0"/>
    <cellStyle name="Обычный 16 2 2 5" xfId="0"/>
    <cellStyle name="Обычный 16 2 2 5 2" xfId="0"/>
    <cellStyle name="Обычный 16 2 2 5 3" xfId="0"/>
    <cellStyle name="Обычный 16 2 2 5 4" xfId="0"/>
    <cellStyle name="Обычный 16 2 2 5 5" xfId="0"/>
    <cellStyle name="Обычный 16 2 2 6" xfId="0"/>
    <cellStyle name="Обычный 16 2 2 7" xfId="0"/>
    <cellStyle name="Обычный 16 2 2 8" xfId="0"/>
    <cellStyle name="Обычный 16 2 2 9" xfId="0"/>
    <cellStyle name="Обычный 16 2 3" xfId="0"/>
    <cellStyle name="Обычный 16 2 3 2" xfId="0"/>
    <cellStyle name="Обычный 16 2 3 2 2" xfId="0"/>
    <cellStyle name="Обычный 16 2 3 2 3" xfId="0"/>
    <cellStyle name="Обычный 16 2 3 2 4" xfId="0"/>
    <cellStyle name="Обычный 16 2 3 2 5" xfId="0"/>
    <cellStyle name="Обычный 16 2 3 3" xfId="0"/>
    <cellStyle name="Обычный 16 2 3 4" xfId="0"/>
    <cellStyle name="Обычный 16 2 3 5" xfId="0"/>
    <cellStyle name="Обычный 16 2 3 6" xfId="0"/>
    <cellStyle name="Обычный 16 2 4" xfId="0"/>
    <cellStyle name="Обычный 16 2 4 2" xfId="0"/>
    <cellStyle name="Обычный 16 2 4 2 2" xfId="0"/>
    <cellStyle name="Обычный 16 2 4 2 3" xfId="0"/>
    <cellStyle name="Обычный 16 2 4 2 4" xfId="0"/>
    <cellStyle name="Обычный 16 2 4 2 5" xfId="0"/>
    <cellStyle name="Обычный 16 2 4 3" xfId="0"/>
    <cellStyle name="Обычный 16 2 4 4" xfId="0"/>
    <cellStyle name="Обычный 16 2 4 5" xfId="0"/>
    <cellStyle name="Обычный 16 2 4 6" xfId="0"/>
    <cellStyle name="Обычный 16 2 5" xfId="0"/>
    <cellStyle name="Обычный 16 2 5 2" xfId="0"/>
    <cellStyle name="Обычный 16 2 5 2 2" xfId="0"/>
    <cellStyle name="Обычный 16 2 5 2 3" xfId="0"/>
    <cellStyle name="Обычный 16 2 5 2 4" xfId="0"/>
    <cellStyle name="Обычный 16 2 5 2 5" xfId="0"/>
    <cellStyle name="Обычный 16 2 5 3" xfId="0"/>
    <cellStyle name="Обычный 16 2 5 4" xfId="0"/>
    <cellStyle name="Обычный 16 2 5 5" xfId="0"/>
    <cellStyle name="Обычный 16 2 5 6" xfId="0"/>
    <cellStyle name="Обычный 16 2 6" xfId="0"/>
    <cellStyle name="Обычный 16 2 6 2" xfId="0"/>
    <cellStyle name="Обычный 16 2 6 2 2" xfId="0"/>
    <cellStyle name="Обычный 16 2 6 2 3" xfId="0"/>
    <cellStyle name="Обычный 16 2 6 2 4" xfId="0"/>
    <cellStyle name="Обычный 16 2 6 2 5" xfId="0"/>
    <cellStyle name="Обычный 16 2 6 3" xfId="0"/>
    <cellStyle name="Обычный 16 2 6 4" xfId="0"/>
    <cellStyle name="Обычный 16 2 6 5" xfId="0"/>
    <cellStyle name="Обычный 16 2 6 6" xfId="0"/>
    <cellStyle name="Обычный 16 2 7" xfId="0"/>
    <cellStyle name="Обычный 16 2 7 2" xfId="0"/>
    <cellStyle name="Обычный 16 2 7 2 2" xfId="0"/>
    <cellStyle name="Обычный 16 2 7 2 3" xfId="0"/>
    <cellStyle name="Обычный 16 2 7 2 4" xfId="0"/>
    <cellStyle name="Обычный 16 2 7 2 5" xfId="0"/>
    <cellStyle name="Обычный 16 2 7 3" xfId="0"/>
    <cellStyle name="Обычный 16 2 7 4" xfId="0"/>
    <cellStyle name="Обычный 16 2 7 5" xfId="0"/>
    <cellStyle name="Обычный 16 2 7 6" xfId="0"/>
    <cellStyle name="Обычный 16 2 8" xfId="0"/>
    <cellStyle name="Обычный 16 2 8 2" xfId="0"/>
    <cellStyle name="Обычный 16 2 8 3" xfId="0"/>
    <cellStyle name="Обычный 16 2 8 4" xfId="0"/>
    <cellStyle name="Обычный 16 2 8 5" xfId="0"/>
    <cellStyle name="Обычный 16 2 9" xfId="0"/>
    <cellStyle name="Обычный 16 3" xfId="0"/>
    <cellStyle name="Обычный 16 4" xfId="0"/>
    <cellStyle name="Обычный 17" xfId="0"/>
    <cellStyle name="Обычный 17 2" xfId="0"/>
    <cellStyle name="Обычный 17 3" xfId="0"/>
    <cellStyle name="Обычный 18" xfId="0"/>
    <cellStyle name="Обычный 18 10" xfId="0"/>
    <cellStyle name="Обычный 18 11" xfId="0"/>
    <cellStyle name="Обычный 18 12" xfId="0"/>
    <cellStyle name="Обычный 18 13" xfId="0"/>
    <cellStyle name="Обычный 18 14" xfId="0"/>
    <cellStyle name="Обычный 18 2" xfId="0"/>
    <cellStyle name="Обычный 18 3" xfId="0"/>
    <cellStyle name="Обычный 18 3 2" xfId="0"/>
    <cellStyle name="Обычный 18 3 2 2" xfId="0"/>
    <cellStyle name="Обычный 18 3 2 2 2" xfId="0"/>
    <cellStyle name="Обычный 18 3 2 2 3" xfId="0"/>
    <cellStyle name="Обычный 18 3 2 2 4" xfId="0"/>
    <cellStyle name="Обычный 18 3 2 2 5" xfId="0"/>
    <cellStyle name="Обычный 18 3 2 3" xfId="0"/>
    <cellStyle name="Обычный 18 3 2 4" xfId="0"/>
    <cellStyle name="Обычный 18 3 2 5" xfId="0"/>
    <cellStyle name="Обычный 18 3 2 6" xfId="0"/>
    <cellStyle name="Обычный 18 3 3" xfId="0"/>
    <cellStyle name="Обычный 18 3 3 2" xfId="0"/>
    <cellStyle name="Обычный 18 3 3 3" xfId="0"/>
    <cellStyle name="Обычный 18 3 3 4" xfId="0"/>
    <cellStyle name="Обычный 18 3 3 5" xfId="0"/>
    <cellStyle name="Обычный 18 3 4" xfId="0"/>
    <cellStyle name="Обычный 18 3 5" xfId="0"/>
    <cellStyle name="Обычный 18 3 6" xfId="0"/>
    <cellStyle name="Обычный 18 3 7" xfId="0"/>
    <cellStyle name="Обычный 18 4" xfId="0"/>
    <cellStyle name="Обычный 18 4 2" xfId="0"/>
    <cellStyle name="Обычный 18 4 2 2" xfId="0"/>
    <cellStyle name="Обычный 18 4 2 3" xfId="0"/>
    <cellStyle name="Обычный 18 4 2 4" xfId="0"/>
    <cellStyle name="Обычный 18 4 2 5" xfId="0"/>
    <cellStyle name="Обычный 18 4 3" xfId="0"/>
    <cellStyle name="Обычный 18 4 4" xfId="0"/>
    <cellStyle name="Обычный 18 4 5" xfId="0"/>
    <cellStyle name="Обычный 18 4 6" xfId="0"/>
    <cellStyle name="Обычный 18 5" xfId="0"/>
    <cellStyle name="Обычный 18 5 2" xfId="0"/>
    <cellStyle name="Обычный 18 5 2 2" xfId="0"/>
    <cellStyle name="Обычный 18 5 2 3" xfId="0"/>
    <cellStyle name="Обычный 18 5 2 4" xfId="0"/>
    <cellStyle name="Обычный 18 5 2 5" xfId="0"/>
    <cellStyle name="Обычный 18 5 3" xfId="0"/>
    <cellStyle name="Обычный 18 5 4" xfId="0"/>
    <cellStyle name="Обычный 18 5 5" xfId="0"/>
    <cellStyle name="Обычный 18 5 6" xfId="0"/>
    <cellStyle name="Обычный 18 6" xfId="0"/>
    <cellStyle name="Обычный 18 6 2" xfId="0"/>
    <cellStyle name="Обычный 18 6 2 2" xfId="0"/>
    <cellStyle name="Обычный 18 6 2 3" xfId="0"/>
    <cellStyle name="Обычный 18 6 2 4" xfId="0"/>
    <cellStyle name="Обычный 18 6 2 5" xfId="0"/>
    <cellStyle name="Обычный 18 6 3" xfId="0"/>
    <cellStyle name="Обычный 18 6 4" xfId="0"/>
    <cellStyle name="Обычный 18 6 5" xfId="0"/>
    <cellStyle name="Обычный 18 6 6" xfId="0"/>
    <cellStyle name="Обычный 18 7" xfId="0"/>
    <cellStyle name="Обычный 18 7 2" xfId="0"/>
    <cellStyle name="Обычный 18 7 2 2" xfId="0"/>
    <cellStyle name="Обычный 18 7 2 3" xfId="0"/>
    <cellStyle name="Обычный 18 7 2 4" xfId="0"/>
    <cellStyle name="Обычный 18 7 2 5" xfId="0"/>
    <cellStyle name="Обычный 18 7 3" xfId="0"/>
    <cellStyle name="Обычный 18 7 4" xfId="0"/>
    <cellStyle name="Обычный 18 7 5" xfId="0"/>
    <cellStyle name="Обычный 18 7 6" xfId="0"/>
    <cellStyle name="Обычный 18 8" xfId="0"/>
    <cellStyle name="Обычный 18 8 2" xfId="0"/>
    <cellStyle name="Обычный 18 8 2 2" xfId="0"/>
    <cellStyle name="Обычный 18 8 2 3" xfId="0"/>
    <cellStyle name="Обычный 18 8 2 4" xfId="0"/>
    <cellStyle name="Обычный 18 8 2 5" xfId="0"/>
    <cellStyle name="Обычный 18 8 3" xfId="0"/>
    <cellStyle name="Обычный 18 8 4" xfId="0"/>
    <cellStyle name="Обычный 18 8 5" xfId="0"/>
    <cellStyle name="Обычный 18 8 6" xfId="0"/>
    <cellStyle name="Обычный 18 9" xfId="0"/>
    <cellStyle name="Обычный 18 9 2" xfId="0"/>
    <cellStyle name="Обычный 18 9 3" xfId="0"/>
    <cellStyle name="Обычный 18 9 4" xfId="0"/>
    <cellStyle name="Обычный 18 9 5" xfId="0"/>
    <cellStyle name="Обычный 19" xfId="0"/>
    <cellStyle name="Обычный 19 2" xfId="0"/>
    <cellStyle name="Обычный 19 3" xfId="0"/>
    <cellStyle name="Обычный 2" xfId="0"/>
    <cellStyle name="Обычный 2 2" xfId="0"/>
    <cellStyle name="Обычный 2 2 2" xfId="0"/>
    <cellStyle name="Обычный 2 2 2 2" xfId="0"/>
    <cellStyle name="Обычный 2 2 2 3" xfId="0"/>
    <cellStyle name="Обычный 2 2 2 4" xfId="0"/>
    <cellStyle name="Обычный 2 2 3" xfId="0"/>
    <cellStyle name="Обычный 2 2 4" xfId="0"/>
    <cellStyle name="Обычный 2 3" xfId="0"/>
    <cellStyle name="Обычный 2 3 2" xfId="0"/>
    <cellStyle name="Обычный 2 3 2 2" xfId="0"/>
    <cellStyle name="Обычный 2 3 2 3" xfId="0"/>
    <cellStyle name="Обычный 2 3 3" xfId="0"/>
    <cellStyle name="Обычный 2 3 4" xfId="0"/>
    <cellStyle name="Обычный 2 4" xfId="0"/>
    <cellStyle name="Обычный 2 4 2" xfId="0"/>
    <cellStyle name="Обычный 2 4 2 2" xfId="0"/>
    <cellStyle name="Обычный 2 4 2 2 2" xfId="0"/>
    <cellStyle name="Обычный 2 4 2 2 3" xfId="0"/>
    <cellStyle name="Обычный 2 4 2 2 4" xfId="0"/>
    <cellStyle name="Обычный 2 4 2 2 5" xfId="0"/>
    <cellStyle name="Обычный 2 4 2 2 6" xfId="0"/>
    <cellStyle name="Обычный 2 4 2 3" xfId="0"/>
    <cellStyle name="Обычный 2 4 2 4" xfId="0"/>
    <cellStyle name="Обычный 2 4 3" xfId="0"/>
    <cellStyle name="Обычный 2 5" xfId="0"/>
    <cellStyle name="Обычный 2 5 2" xfId="0"/>
    <cellStyle name="Обычный 2 5 2 10" xfId="0"/>
    <cellStyle name="Обычный 2 5 2 11" xfId="0"/>
    <cellStyle name="Обычный 2 5 2 12" xfId="0"/>
    <cellStyle name="Обычный 2 5 2 13" xfId="0"/>
    <cellStyle name="Обычный 2 5 2 2" xfId="0"/>
    <cellStyle name="Обычный 2 5 2 2 2" xfId="0"/>
    <cellStyle name="Обычный 2 5 2 2 2 2" xfId="0"/>
    <cellStyle name="Обычный 2 5 2 2 2 3" xfId="0"/>
    <cellStyle name="Обычный 2 5 2 2 2 4" xfId="0"/>
    <cellStyle name="Обычный 2 5 2 2 2 5" xfId="0"/>
    <cellStyle name="Обычный 2 5 2 2 3" xfId="0"/>
    <cellStyle name="Обычный 2 5 2 2 4" xfId="0"/>
    <cellStyle name="Обычный 2 5 2 2 5" xfId="0"/>
    <cellStyle name="Обычный 2 5 2 2 6" xfId="0"/>
    <cellStyle name="Обычный 2 5 2 3" xfId="0"/>
    <cellStyle name="Обычный 2 5 2 3 2" xfId="0"/>
    <cellStyle name="Обычный 2 5 2 3 2 2" xfId="0"/>
    <cellStyle name="Обычный 2 5 2 3 2 3" xfId="0"/>
    <cellStyle name="Обычный 2 5 2 3 2 4" xfId="0"/>
    <cellStyle name="Обычный 2 5 2 3 2 5" xfId="0"/>
    <cellStyle name="Обычный 2 5 2 3 3" xfId="0"/>
    <cellStyle name="Обычный 2 5 2 3 4" xfId="0"/>
    <cellStyle name="Обычный 2 5 2 3 5" xfId="0"/>
    <cellStyle name="Обычный 2 5 2 3 6" xfId="0"/>
    <cellStyle name="Обычный 2 5 2 4" xfId="0"/>
    <cellStyle name="Обычный 2 5 2 4 2" xfId="0"/>
    <cellStyle name="Обычный 2 5 2 4 2 2" xfId="0"/>
    <cellStyle name="Обычный 2 5 2 4 2 3" xfId="0"/>
    <cellStyle name="Обычный 2 5 2 4 2 4" xfId="0"/>
    <cellStyle name="Обычный 2 5 2 4 2 5" xfId="0"/>
    <cellStyle name="Обычный 2 5 2 4 3" xfId="0"/>
    <cellStyle name="Обычный 2 5 2 4 4" xfId="0"/>
    <cellStyle name="Обычный 2 5 2 4 5" xfId="0"/>
    <cellStyle name="Обычный 2 5 2 4 6" xfId="0"/>
    <cellStyle name="Обычный 2 5 2 5" xfId="0"/>
    <cellStyle name="Обычный 2 5 2 5 2" xfId="0"/>
    <cellStyle name="Обычный 2 5 2 5 2 2" xfId="0"/>
    <cellStyle name="Обычный 2 5 2 5 2 3" xfId="0"/>
    <cellStyle name="Обычный 2 5 2 5 2 4" xfId="0"/>
    <cellStyle name="Обычный 2 5 2 5 2 5" xfId="0"/>
    <cellStyle name="Обычный 2 5 2 5 3" xfId="0"/>
    <cellStyle name="Обычный 2 5 2 5 4" xfId="0"/>
    <cellStyle name="Обычный 2 5 2 5 5" xfId="0"/>
    <cellStyle name="Обычный 2 5 2 5 6" xfId="0"/>
    <cellStyle name="Обычный 2 5 2 6" xfId="0"/>
    <cellStyle name="Обычный 2 5 2 6 2" xfId="0"/>
    <cellStyle name="Обычный 2 5 2 6 2 2" xfId="0"/>
    <cellStyle name="Обычный 2 5 2 6 2 3" xfId="0"/>
    <cellStyle name="Обычный 2 5 2 6 2 4" xfId="0"/>
    <cellStyle name="Обычный 2 5 2 6 2 5" xfId="0"/>
    <cellStyle name="Обычный 2 5 2 6 3" xfId="0"/>
    <cellStyle name="Обычный 2 5 2 6 4" xfId="0"/>
    <cellStyle name="Обычный 2 5 2 6 5" xfId="0"/>
    <cellStyle name="Обычный 2 5 2 6 6" xfId="0"/>
    <cellStyle name="Обычный 2 5 2 7" xfId="0"/>
    <cellStyle name="Обычный 2 5 2 7 2" xfId="0"/>
    <cellStyle name="Обычный 2 5 2 7 3" xfId="0"/>
    <cellStyle name="Обычный 2 5 2 7 4" xfId="0"/>
    <cellStyle name="Обычный 2 5 2 7 5" xfId="0"/>
    <cellStyle name="Обычный 2 5 2 8" xfId="0"/>
    <cellStyle name="Обычный 2 5 2 8 2" xfId="0"/>
    <cellStyle name="Обычный 2 5 2 8 3" xfId="0"/>
    <cellStyle name="Обычный 2 5 2 8 4" xfId="0"/>
    <cellStyle name="Обычный 2 5 2 8 5" xfId="0"/>
    <cellStyle name="Обычный 2 5 2 9" xfId="0"/>
    <cellStyle name="Обычный 2 5 3" xfId="0"/>
    <cellStyle name="Обычный 2 5 4" xfId="0"/>
    <cellStyle name="Обычный 2 5 4 2" xfId="0"/>
    <cellStyle name="Обычный 2 5 4 3" xfId="0"/>
    <cellStyle name="Обычный 2 5 4 4" xfId="0"/>
    <cellStyle name="Обычный 2 5 4 5" xfId="0"/>
    <cellStyle name="Обычный 2 5 5" xfId="0"/>
    <cellStyle name="Обычный 2 6" xfId="0"/>
    <cellStyle name="Обычный 2 6 2" xfId="0"/>
    <cellStyle name="Обычный 2 6 3" xfId="0"/>
    <cellStyle name="Обычный 2 7" xfId="0"/>
    <cellStyle name="Обычный 2 7 2" xfId="0"/>
    <cellStyle name="Обычный 2 8" xfId="0"/>
    <cellStyle name="Обычный 20" xfId="0"/>
    <cellStyle name="Обычный 20 2" xfId="0"/>
    <cellStyle name="Обычный 20 3" xfId="0"/>
    <cellStyle name="Обычный 21" xfId="0"/>
    <cellStyle name="Обычный 21 2" xfId="0"/>
    <cellStyle name="Обычный 21 3" xfId="0"/>
    <cellStyle name="Обычный 22" xfId="0"/>
    <cellStyle name="Обычный 22 2" xfId="0"/>
    <cellStyle name="Обычный 22 3" xfId="0"/>
    <cellStyle name="Обычный 23" xfId="0"/>
    <cellStyle name="Обычный 23 2" xfId="0"/>
    <cellStyle name="Обычный 23 3" xfId="0"/>
    <cellStyle name="Обычный 24" xfId="0"/>
    <cellStyle name="Обычный 24 10" xfId="0"/>
    <cellStyle name="Обычный 24 11" xfId="0"/>
    <cellStyle name="Обычный 24 11 2" xfId="0"/>
    <cellStyle name="Обычный 24 11 3" xfId="0"/>
    <cellStyle name="Обычный 24 11 4" xfId="0"/>
    <cellStyle name="Обычный 24 11 5" xfId="0"/>
    <cellStyle name="Обычный 24 12" xfId="0"/>
    <cellStyle name="Обычный 24 13" xfId="0"/>
    <cellStyle name="Обычный 24 14" xfId="0"/>
    <cellStyle name="Обычный 24 15" xfId="0"/>
    <cellStyle name="Обычный 24 16" xfId="0"/>
    <cellStyle name="Обычный 24 2" xfId="0"/>
    <cellStyle name="Обычный 24 2 10" xfId="0"/>
    <cellStyle name="Обычный 24 2 11" xfId="0"/>
    <cellStyle name="Обычный 24 2 12" xfId="0"/>
    <cellStyle name="Обычный 24 2 13" xfId="0"/>
    <cellStyle name="Обычный 24 2 14" xfId="0"/>
    <cellStyle name="Обычный 24 2 2" xfId="0"/>
    <cellStyle name="Обычный 24 2 2 2" xfId="0"/>
    <cellStyle name="Обычный 24 2 2 2 2" xfId="0"/>
    <cellStyle name="Обычный 24 2 2 2 2 2" xfId="0"/>
    <cellStyle name="Обычный 24 2 2 2 2 3" xfId="0"/>
    <cellStyle name="Обычный 24 2 2 2 2 4" xfId="0"/>
    <cellStyle name="Обычный 24 2 2 2 2 5" xfId="0"/>
    <cellStyle name="Обычный 24 2 2 2 3" xfId="0"/>
    <cellStyle name="Обычный 24 2 2 2 4" xfId="0"/>
    <cellStyle name="Обычный 24 2 2 2 5" xfId="0"/>
    <cellStyle name="Обычный 24 2 2 2 6" xfId="0"/>
    <cellStyle name="Обычный 24 2 2 3" xfId="0"/>
    <cellStyle name="Обычный 24 2 2 3 2" xfId="0"/>
    <cellStyle name="Обычный 24 2 2 3 3" xfId="0"/>
    <cellStyle name="Обычный 24 2 2 3 4" xfId="0"/>
    <cellStyle name="Обычный 24 2 2 3 5" xfId="0"/>
    <cellStyle name="Обычный 24 2 2 4" xfId="0"/>
    <cellStyle name="Обычный 24 2 2 5" xfId="0"/>
    <cellStyle name="Обычный 24 2 2 6" xfId="0"/>
    <cellStyle name="Обычный 24 2 2 7" xfId="0"/>
    <cellStyle name="Обычный 24 2 3" xfId="0"/>
    <cellStyle name="Обычный 24 2 3 2" xfId="0"/>
    <cellStyle name="Обычный 24 2 3 2 2" xfId="0"/>
    <cellStyle name="Обычный 24 2 3 2 3" xfId="0"/>
    <cellStyle name="Обычный 24 2 3 2 4" xfId="0"/>
    <cellStyle name="Обычный 24 2 3 2 5" xfId="0"/>
    <cellStyle name="Обычный 24 2 3 3" xfId="0"/>
    <cellStyle name="Обычный 24 2 3 4" xfId="0"/>
    <cellStyle name="Обычный 24 2 3 5" xfId="0"/>
    <cellStyle name="Обычный 24 2 3 6" xfId="0"/>
    <cellStyle name="Обычный 24 2 4" xfId="0"/>
    <cellStyle name="Обычный 24 2 4 2" xfId="0"/>
    <cellStyle name="Обычный 24 2 4 2 2" xfId="0"/>
    <cellStyle name="Обычный 24 2 4 2 3" xfId="0"/>
    <cellStyle name="Обычный 24 2 4 2 4" xfId="0"/>
    <cellStyle name="Обычный 24 2 4 2 5" xfId="0"/>
    <cellStyle name="Обычный 24 2 4 3" xfId="0"/>
    <cellStyle name="Обычный 24 2 4 4" xfId="0"/>
    <cellStyle name="Обычный 24 2 4 5" xfId="0"/>
    <cellStyle name="Обычный 24 2 4 6" xfId="0"/>
    <cellStyle name="Обычный 24 2 5" xfId="0"/>
    <cellStyle name="Обычный 24 2 5 2" xfId="0"/>
    <cellStyle name="Обычный 24 2 5 2 2" xfId="0"/>
    <cellStyle name="Обычный 24 2 5 2 3" xfId="0"/>
    <cellStyle name="Обычный 24 2 5 2 4" xfId="0"/>
    <cellStyle name="Обычный 24 2 5 2 5" xfId="0"/>
    <cellStyle name="Обычный 24 2 5 3" xfId="0"/>
    <cellStyle name="Обычный 24 2 5 4" xfId="0"/>
    <cellStyle name="Обычный 24 2 5 5" xfId="0"/>
    <cellStyle name="Обычный 24 2 5 6" xfId="0"/>
    <cellStyle name="Обычный 24 2 6" xfId="0"/>
    <cellStyle name="Обычный 24 2 6 2" xfId="0"/>
    <cellStyle name="Обычный 24 2 6 2 2" xfId="0"/>
    <cellStyle name="Обычный 24 2 6 2 3" xfId="0"/>
    <cellStyle name="Обычный 24 2 6 2 4" xfId="0"/>
    <cellStyle name="Обычный 24 2 6 2 5" xfId="0"/>
    <cellStyle name="Обычный 24 2 6 3" xfId="0"/>
    <cellStyle name="Обычный 24 2 6 4" xfId="0"/>
    <cellStyle name="Обычный 24 2 6 5" xfId="0"/>
    <cellStyle name="Обычный 24 2 6 6" xfId="0"/>
    <cellStyle name="Обычный 24 2 7" xfId="0"/>
    <cellStyle name="Обычный 24 2 7 2" xfId="0"/>
    <cellStyle name="Обычный 24 2 7 2 2" xfId="0"/>
    <cellStyle name="Обычный 24 2 7 2 3" xfId="0"/>
    <cellStyle name="Обычный 24 2 7 2 4" xfId="0"/>
    <cellStyle name="Обычный 24 2 7 2 5" xfId="0"/>
    <cellStyle name="Обычный 24 2 7 3" xfId="0"/>
    <cellStyle name="Обычный 24 2 7 4" xfId="0"/>
    <cellStyle name="Обычный 24 2 7 5" xfId="0"/>
    <cellStyle name="Обычный 24 2 7 6" xfId="0"/>
    <cellStyle name="Обычный 24 2 8" xfId="0"/>
    <cellStyle name="Обычный 24 2 8 2" xfId="0"/>
    <cellStyle name="Обычный 24 2 8 3" xfId="0"/>
    <cellStyle name="Обычный 24 2 8 4" xfId="0"/>
    <cellStyle name="Обычный 24 2 8 5" xfId="0"/>
    <cellStyle name="Обычный 24 2 9" xfId="0"/>
    <cellStyle name="Обычный 24 2 9 2" xfId="0"/>
    <cellStyle name="Обычный 24 2 9 3" xfId="0"/>
    <cellStyle name="Обычный 24 2 9 4" xfId="0"/>
    <cellStyle name="Обычный 24 2 9 5" xfId="0"/>
    <cellStyle name="Обычный 24 3" xfId="0"/>
    <cellStyle name="Обычный 24 3 2" xfId="0"/>
    <cellStyle name="Обычный 24 3 2 2" xfId="0"/>
    <cellStyle name="Обычный 24 3 2 2 2" xfId="0"/>
    <cellStyle name="Обычный 24 3 2 2 3" xfId="0"/>
    <cellStyle name="Обычный 24 3 2 2 4" xfId="0"/>
    <cellStyle name="Обычный 24 3 2 2 5" xfId="0"/>
    <cellStyle name="Обычный 24 3 2 3" xfId="0"/>
    <cellStyle name="Обычный 24 3 2 4" xfId="0"/>
    <cellStyle name="Обычный 24 3 2 5" xfId="0"/>
    <cellStyle name="Обычный 24 3 2 6" xfId="0"/>
    <cellStyle name="Обычный 24 3 3" xfId="0"/>
    <cellStyle name="Обычный 24 3 3 2" xfId="0"/>
    <cellStyle name="Обычный 24 3 3 3" xfId="0"/>
    <cellStyle name="Обычный 24 3 3 4" xfId="0"/>
    <cellStyle name="Обычный 24 3 3 5" xfId="0"/>
    <cellStyle name="Обычный 24 3 4" xfId="0"/>
    <cellStyle name="Обычный 24 3 5" xfId="0"/>
    <cellStyle name="Обычный 24 3 6" xfId="0"/>
    <cellStyle name="Обычный 24 3 7" xfId="0"/>
    <cellStyle name="Обычный 24 4" xfId="0"/>
    <cellStyle name="Обычный 24 4 2" xfId="0"/>
    <cellStyle name="Обычный 24 4 2 2" xfId="0"/>
    <cellStyle name="Обычный 24 4 2 3" xfId="0"/>
    <cellStyle name="Обычный 24 4 2 4" xfId="0"/>
    <cellStyle name="Обычный 24 4 2 5" xfId="0"/>
    <cellStyle name="Обычный 24 4 3" xfId="0"/>
    <cellStyle name="Обычный 24 4 4" xfId="0"/>
    <cellStyle name="Обычный 24 4 5" xfId="0"/>
    <cellStyle name="Обычный 24 4 6" xfId="0"/>
    <cellStyle name="Обычный 24 5" xfId="0"/>
    <cellStyle name="Обычный 24 5 2" xfId="0"/>
    <cellStyle name="Обычный 24 5 2 2" xfId="0"/>
    <cellStyle name="Обычный 24 5 2 3" xfId="0"/>
    <cellStyle name="Обычный 24 5 2 4" xfId="0"/>
    <cellStyle name="Обычный 24 5 2 5" xfId="0"/>
    <cellStyle name="Обычный 24 5 3" xfId="0"/>
    <cellStyle name="Обычный 24 5 4" xfId="0"/>
    <cellStyle name="Обычный 24 5 5" xfId="0"/>
    <cellStyle name="Обычный 24 5 6" xfId="0"/>
    <cellStyle name="Обычный 24 6" xfId="0"/>
    <cellStyle name="Обычный 24 6 2" xfId="0"/>
    <cellStyle name="Обычный 24 6 2 2" xfId="0"/>
    <cellStyle name="Обычный 24 6 2 3" xfId="0"/>
    <cellStyle name="Обычный 24 6 2 4" xfId="0"/>
    <cellStyle name="Обычный 24 6 2 5" xfId="0"/>
    <cellStyle name="Обычный 24 6 3" xfId="0"/>
    <cellStyle name="Обычный 24 6 4" xfId="0"/>
    <cellStyle name="Обычный 24 6 5" xfId="0"/>
    <cellStyle name="Обычный 24 6 6" xfId="0"/>
    <cellStyle name="Обычный 24 7" xfId="0"/>
    <cellStyle name="Обычный 24 7 2" xfId="0"/>
    <cellStyle name="Обычный 24 7 2 2" xfId="0"/>
    <cellStyle name="Обычный 24 7 2 3" xfId="0"/>
    <cellStyle name="Обычный 24 7 2 4" xfId="0"/>
    <cellStyle name="Обычный 24 7 2 5" xfId="0"/>
    <cellStyle name="Обычный 24 7 3" xfId="0"/>
    <cellStyle name="Обычный 24 7 4" xfId="0"/>
    <cellStyle name="Обычный 24 7 5" xfId="0"/>
    <cellStyle name="Обычный 24 7 6" xfId="0"/>
    <cellStyle name="Обычный 24 8" xfId="0"/>
    <cellStyle name="Обычный 24 8 2" xfId="0"/>
    <cellStyle name="Обычный 24 8 2 2" xfId="0"/>
    <cellStyle name="Обычный 24 8 2 3" xfId="0"/>
    <cellStyle name="Обычный 24 8 2 4" xfId="0"/>
    <cellStyle name="Обычный 24 8 2 5" xfId="0"/>
    <cellStyle name="Обычный 24 8 3" xfId="0"/>
    <cellStyle name="Обычный 24 8 4" xfId="0"/>
    <cellStyle name="Обычный 24 8 5" xfId="0"/>
    <cellStyle name="Обычный 24 8 6" xfId="0"/>
    <cellStyle name="Обычный 24 9" xfId="0"/>
    <cellStyle name="Обычный 24 9 2" xfId="0"/>
    <cellStyle name="Обычный 24 9 3" xfId="0"/>
    <cellStyle name="Обычный 24 9 4" xfId="0"/>
    <cellStyle name="Обычный 24 9 5" xfId="0"/>
    <cellStyle name="Обычный 25" xfId="0"/>
    <cellStyle name="Обычный 25 2" xfId="0"/>
    <cellStyle name="Обычный 25 3" xfId="0"/>
    <cellStyle name="Обычный 26" xfId="0"/>
    <cellStyle name="Обычный 26 2" xfId="0"/>
    <cellStyle name="Обычный 26 3" xfId="0"/>
    <cellStyle name="Обычный 27" xfId="0"/>
    <cellStyle name="Обычный 27 2" xfId="0"/>
    <cellStyle name="Обычный 27 3" xfId="0"/>
    <cellStyle name="Обычный 28" xfId="0"/>
    <cellStyle name="Обычный 28 2" xfId="0"/>
    <cellStyle name="Обычный 28 3" xfId="0"/>
    <cellStyle name="Обычный 28 4" xfId="0"/>
    <cellStyle name="Обычный 29" xfId="0"/>
    <cellStyle name="Обычный 29 2" xfId="0"/>
    <cellStyle name="Обычный 29 3" xfId="0"/>
    <cellStyle name="Обычный 2_Форма_технологические карты" xfId="0"/>
    <cellStyle name="Обычный 3" xfId="0"/>
    <cellStyle name="Обычный 3 2" xfId="0"/>
    <cellStyle name="Обычный 3 2 2" xfId="0"/>
    <cellStyle name="Обычный 3 2 3" xfId="0"/>
    <cellStyle name="Обычный 3 2 3 2" xfId="0"/>
    <cellStyle name="Обычный 3 2 3 3" xfId="0"/>
    <cellStyle name="Обычный 3 2 3 4" xfId="0"/>
    <cellStyle name="Обычный 3 2 3 5" xfId="0"/>
    <cellStyle name="Обычный 3 2 3 6" xfId="0"/>
    <cellStyle name="Обычный 3 2 3 7" xfId="0"/>
    <cellStyle name="Обычный 3 3" xfId="0"/>
    <cellStyle name="Обычный 3 3 2" xfId="0"/>
    <cellStyle name="Обычный 3 4" xfId="0"/>
    <cellStyle name="Обычный 3 4 10" xfId="0"/>
    <cellStyle name="Обычный 3 4 11" xfId="0"/>
    <cellStyle name="Обычный 3 4 12" xfId="0"/>
    <cellStyle name="Обычный 3 4 2" xfId="0"/>
    <cellStyle name="Обычный 3 4 2 2" xfId="0"/>
    <cellStyle name="Обычный 3 4 2 2 2" xfId="0"/>
    <cellStyle name="Обычный 3 4 2 2 2 2" xfId="0"/>
    <cellStyle name="Обычный 3 4 2 2 2 3" xfId="0"/>
    <cellStyle name="Обычный 3 4 2 2 2 4" xfId="0"/>
    <cellStyle name="Обычный 3 4 2 2 2 5" xfId="0"/>
    <cellStyle name="Обычный 3 4 2 2 3" xfId="0"/>
    <cellStyle name="Обычный 3 4 2 2 4" xfId="0"/>
    <cellStyle name="Обычный 3 4 2 2 5" xfId="0"/>
    <cellStyle name="Обычный 3 4 2 2 6" xfId="0"/>
    <cellStyle name="Обычный 3 4 2 3" xfId="0"/>
    <cellStyle name="Обычный 3 4 2 3 2" xfId="0"/>
    <cellStyle name="Обычный 3 4 2 3 3" xfId="0"/>
    <cellStyle name="Обычный 3 4 2 3 4" xfId="0"/>
    <cellStyle name="Обычный 3 4 2 3 5" xfId="0"/>
    <cellStyle name="Обычный 3 4 2 4" xfId="0"/>
    <cellStyle name="Обычный 3 4 2 5" xfId="0"/>
    <cellStyle name="Обычный 3 4 2 6" xfId="0"/>
    <cellStyle name="Обычный 3 4 2 7" xfId="0"/>
    <cellStyle name="Обычный 3 4 3" xfId="0"/>
    <cellStyle name="Обычный 3 4 3 2" xfId="0"/>
    <cellStyle name="Обычный 3 4 3 2 2" xfId="0"/>
    <cellStyle name="Обычный 3 4 3 2 3" xfId="0"/>
    <cellStyle name="Обычный 3 4 3 2 4" xfId="0"/>
    <cellStyle name="Обычный 3 4 3 2 5" xfId="0"/>
    <cellStyle name="Обычный 3 4 3 3" xfId="0"/>
    <cellStyle name="Обычный 3 4 3 4" xfId="0"/>
    <cellStyle name="Обычный 3 4 3 5" xfId="0"/>
    <cellStyle name="Обычный 3 4 3 6" xfId="0"/>
    <cellStyle name="Обычный 3 4 4" xfId="0"/>
    <cellStyle name="Обычный 3 4 4 2" xfId="0"/>
    <cellStyle name="Обычный 3 4 4 2 2" xfId="0"/>
    <cellStyle name="Обычный 3 4 4 2 3" xfId="0"/>
    <cellStyle name="Обычный 3 4 4 2 4" xfId="0"/>
    <cellStyle name="Обычный 3 4 4 2 5" xfId="0"/>
    <cellStyle name="Обычный 3 4 4 3" xfId="0"/>
    <cellStyle name="Обычный 3 4 4 4" xfId="0"/>
    <cellStyle name="Обычный 3 4 4 5" xfId="0"/>
    <cellStyle name="Обычный 3 4 4 6" xfId="0"/>
    <cellStyle name="Обычный 3 4 5" xfId="0"/>
    <cellStyle name="Обычный 3 4 5 2" xfId="0"/>
    <cellStyle name="Обычный 3 4 5 2 2" xfId="0"/>
    <cellStyle name="Обычный 3 4 5 2 3" xfId="0"/>
    <cellStyle name="Обычный 3 4 5 2 4" xfId="0"/>
    <cellStyle name="Обычный 3 4 5 2 5" xfId="0"/>
    <cellStyle name="Обычный 3 4 5 3" xfId="0"/>
    <cellStyle name="Обычный 3 4 5 4" xfId="0"/>
    <cellStyle name="Обычный 3 4 5 5" xfId="0"/>
    <cellStyle name="Обычный 3 4 5 6" xfId="0"/>
    <cellStyle name="Обычный 3 4 6" xfId="0"/>
    <cellStyle name="Обычный 3 4 6 2" xfId="0"/>
    <cellStyle name="Обычный 3 4 6 2 2" xfId="0"/>
    <cellStyle name="Обычный 3 4 6 2 3" xfId="0"/>
    <cellStyle name="Обычный 3 4 6 2 4" xfId="0"/>
    <cellStyle name="Обычный 3 4 6 2 5" xfId="0"/>
    <cellStyle name="Обычный 3 4 6 3" xfId="0"/>
    <cellStyle name="Обычный 3 4 6 4" xfId="0"/>
    <cellStyle name="Обычный 3 4 6 5" xfId="0"/>
    <cellStyle name="Обычный 3 4 6 6" xfId="0"/>
    <cellStyle name="Обычный 3 4 7" xfId="0"/>
    <cellStyle name="Обычный 3 4 7 2" xfId="0"/>
    <cellStyle name="Обычный 3 4 7 2 2" xfId="0"/>
    <cellStyle name="Обычный 3 4 7 2 3" xfId="0"/>
    <cellStyle name="Обычный 3 4 7 2 4" xfId="0"/>
    <cellStyle name="Обычный 3 4 7 2 5" xfId="0"/>
    <cellStyle name="Обычный 3 4 7 3" xfId="0"/>
    <cellStyle name="Обычный 3 4 7 4" xfId="0"/>
    <cellStyle name="Обычный 3 4 7 5" xfId="0"/>
    <cellStyle name="Обычный 3 4 7 6" xfId="0"/>
    <cellStyle name="Обычный 3 4 8" xfId="0"/>
    <cellStyle name="Обычный 3 4 8 2" xfId="0"/>
    <cellStyle name="Обычный 3 4 8 3" xfId="0"/>
    <cellStyle name="Обычный 3 4 8 4" xfId="0"/>
    <cellStyle name="Обычный 3 4 8 5" xfId="0"/>
    <cellStyle name="Обычный 3 4 9" xfId="0"/>
    <cellStyle name="Обычный 3 5" xfId="0"/>
    <cellStyle name="Обычный 3 6" xfId="0"/>
    <cellStyle name="Обычный 3 7" xfId="0"/>
    <cellStyle name="Обычный 3 7 2" xfId="0"/>
    <cellStyle name="Обычный 3 7 3" xfId="0"/>
    <cellStyle name="Обычный 3 7 4" xfId="0"/>
    <cellStyle name="Обычный 3 7 5" xfId="0"/>
    <cellStyle name="Обычный 3 8" xfId="0"/>
    <cellStyle name="Обычный 3 9" xfId="0"/>
    <cellStyle name="Обычный 30" xfId="0"/>
    <cellStyle name="Обычный 30 2" xfId="0"/>
    <cellStyle name="Обычный 30 2 10" xfId="0"/>
    <cellStyle name="Обычный 30 2 11" xfId="0"/>
    <cellStyle name="Обычный 30 2 12" xfId="0"/>
    <cellStyle name="Обычный 30 2 13" xfId="0"/>
    <cellStyle name="Обычный 30 2 2" xfId="0"/>
    <cellStyle name="Обычный 30 2 2 2" xfId="0"/>
    <cellStyle name="Обычный 30 2 2 2 2" xfId="0"/>
    <cellStyle name="Обычный 30 2 2 2 3" xfId="0"/>
    <cellStyle name="Обычный 30 2 2 2 4" xfId="0"/>
    <cellStyle name="Обычный 30 2 2 2 5" xfId="0"/>
    <cellStyle name="Обычный 30 2 2 3" xfId="0"/>
    <cellStyle name="Обычный 30 2 2 4" xfId="0"/>
    <cellStyle name="Обычный 30 2 2 5" xfId="0"/>
    <cellStyle name="Обычный 30 2 2 6" xfId="0"/>
    <cellStyle name="Обычный 30 2 3" xfId="0"/>
    <cellStyle name="Обычный 30 2 3 2" xfId="0"/>
    <cellStyle name="Обычный 30 2 3 2 2" xfId="0"/>
    <cellStyle name="Обычный 30 2 3 2 3" xfId="0"/>
    <cellStyle name="Обычный 30 2 3 2 4" xfId="0"/>
    <cellStyle name="Обычный 30 2 3 2 5" xfId="0"/>
    <cellStyle name="Обычный 30 2 3 3" xfId="0"/>
    <cellStyle name="Обычный 30 2 3 4" xfId="0"/>
    <cellStyle name="Обычный 30 2 3 5" xfId="0"/>
    <cellStyle name="Обычный 30 2 3 6" xfId="0"/>
    <cellStyle name="Обычный 30 2 4" xfId="0"/>
    <cellStyle name="Обычный 30 2 4 2" xfId="0"/>
    <cellStyle name="Обычный 30 2 4 2 2" xfId="0"/>
    <cellStyle name="Обычный 30 2 4 2 3" xfId="0"/>
    <cellStyle name="Обычный 30 2 4 2 4" xfId="0"/>
    <cellStyle name="Обычный 30 2 4 2 5" xfId="0"/>
    <cellStyle name="Обычный 30 2 4 3" xfId="0"/>
    <cellStyle name="Обычный 30 2 4 4" xfId="0"/>
    <cellStyle name="Обычный 30 2 4 5" xfId="0"/>
    <cellStyle name="Обычный 30 2 4 6" xfId="0"/>
    <cellStyle name="Обычный 30 2 5" xfId="0"/>
    <cellStyle name="Обычный 30 2 5 2" xfId="0"/>
    <cellStyle name="Обычный 30 2 5 2 2" xfId="0"/>
    <cellStyle name="Обычный 30 2 5 2 3" xfId="0"/>
    <cellStyle name="Обычный 30 2 5 2 4" xfId="0"/>
    <cellStyle name="Обычный 30 2 5 2 5" xfId="0"/>
    <cellStyle name="Обычный 30 2 5 3" xfId="0"/>
    <cellStyle name="Обычный 30 2 5 4" xfId="0"/>
    <cellStyle name="Обычный 30 2 5 5" xfId="0"/>
    <cellStyle name="Обычный 30 2 5 6" xfId="0"/>
    <cellStyle name="Обычный 30 2 6" xfId="0"/>
    <cellStyle name="Обычный 30 2 6 2" xfId="0"/>
    <cellStyle name="Обычный 30 2 6 2 2" xfId="0"/>
    <cellStyle name="Обычный 30 2 6 2 3" xfId="0"/>
    <cellStyle name="Обычный 30 2 6 2 4" xfId="0"/>
    <cellStyle name="Обычный 30 2 6 2 5" xfId="0"/>
    <cellStyle name="Обычный 30 2 6 3" xfId="0"/>
    <cellStyle name="Обычный 30 2 6 4" xfId="0"/>
    <cellStyle name="Обычный 30 2 6 5" xfId="0"/>
    <cellStyle name="Обычный 30 2 6 6" xfId="0"/>
    <cellStyle name="Обычный 30 2 7" xfId="0"/>
    <cellStyle name="Обычный 30 2 7 2" xfId="0"/>
    <cellStyle name="Обычный 30 2 7 3" xfId="0"/>
    <cellStyle name="Обычный 30 2 7 4" xfId="0"/>
    <cellStyle name="Обычный 30 2 7 5" xfId="0"/>
    <cellStyle name="Обычный 30 2 8" xfId="0"/>
    <cellStyle name="Обычный 30 2 8 2" xfId="0"/>
    <cellStyle name="Обычный 30 2 8 3" xfId="0"/>
    <cellStyle name="Обычный 30 2 8 4" xfId="0"/>
    <cellStyle name="Обычный 30 2 8 5" xfId="0"/>
    <cellStyle name="Обычный 30 2 9" xfId="0"/>
    <cellStyle name="Обычный 30 3" xfId="0"/>
    <cellStyle name="Обычный 30 4" xfId="0"/>
    <cellStyle name="Обычный 30 5" xfId="0"/>
    <cellStyle name="Обычный 30 5 2" xfId="0"/>
    <cellStyle name="Обычный 30 5 3" xfId="0"/>
    <cellStyle name="Обычный 30 5 4" xfId="0"/>
    <cellStyle name="Обычный 30 5 5" xfId="0"/>
    <cellStyle name="Обычный 30 6" xfId="0"/>
    <cellStyle name="Обычный 31" xfId="0"/>
    <cellStyle name="Обычный 31 2" xfId="0"/>
    <cellStyle name="Обычный 31 3" xfId="0"/>
    <cellStyle name="Обычный 32" xfId="0"/>
    <cellStyle name="Обычный 32 10" xfId="0"/>
    <cellStyle name="Обычный 32 11" xfId="0"/>
    <cellStyle name="Обычный 32 12" xfId="0"/>
    <cellStyle name="Обычный 32 13" xfId="0"/>
    <cellStyle name="Обычный 32 14" xfId="0"/>
    <cellStyle name="Обычный 32 2" xfId="0"/>
    <cellStyle name="Обычный 32 3" xfId="0"/>
    <cellStyle name="Обычный 32 3 2" xfId="0"/>
    <cellStyle name="Обычный 32 3 2 2" xfId="0"/>
    <cellStyle name="Обычный 32 3 2 2 2" xfId="0"/>
    <cellStyle name="Обычный 32 3 2 2 3" xfId="0"/>
    <cellStyle name="Обычный 32 3 2 2 4" xfId="0"/>
    <cellStyle name="Обычный 32 3 2 2 5" xfId="0"/>
    <cellStyle name="Обычный 32 3 2 3" xfId="0"/>
    <cellStyle name="Обычный 32 3 2 4" xfId="0"/>
    <cellStyle name="Обычный 32 3 2 5" xfId="0"/>
    <cellStyle name="Обычный 32 3 2 6" xfId="0"/>
    <cellStyle name="Обычный 32 3 3" xfId="0"/>
    <cellStyle name="Обычный 32 3 3 2" xfId="0"/>
    <cellStyle name="Обычный 32 3 3 3" xfId="0"/>
    <cellStyle name="Обычный 32 3 3 4" xfId="0"/>
    <cellStyle name="Обычный 32 3 3 5" xfId="0"/>
    <cellStyle name="Обычный 32 3 4" xfId="0"/>
    <cellStyle name="Обычный 32 3 5" xfId="0"/>
    <cellStyle name="Обычный 32 3 6" xfId="0"/>
    <cellStyle name="Обычный 32 3 7" xfId="0"/>
    <cellStyle name="Обычный 32 4" xfId="0"/>
    <cellStyle name="Обычный 32 4 2" xfId="0"/>
    <cellStyle name="Обычный 32 4 2 2" xfId="0"/>
    <cellStyle name="Обычный 32 4 2 3" xfId="0"/>
    <cellStyle name="Обычный 32 4 2 4" xfId="0"/>
    <cellStyle name="Обычный 32 4 2 5" xfId="0"/>
    <cellStyle name="Обычный 32 4 3" xfId="0"/>
    <cellStyle name="Обычный 32 4 4" xfId="0"/>
    <cellStyle name="Обычный 32 4 5" xfId="0"/>
    <cellStyle name="Обычный 32 4 6" xfId="0"/>
    <cellStyle name="Обычный 32 5" xfId="0"/>
    <cellStyle name="Обычный 32 5 2" xfId="0"/>
    <cellStyle name="Обычный 32 5 2 2" xfId="0"/>
    <cellStyle name="Обычный 32 5 2 3" xfId="0"/>
    <cellStyle name="Обычный 32 5 2 4" xfId="0"/>
    <cellStyle name="Обычный 32 5 2 5" xfId="0"/>
    <cellStyle name="Обычный 32 5 3" xfId="0"/>
    <cellStyle name="Обычный 32 5 4" xfId="0"/>
    <cellStyle name="Обычный 32 5 5" xfId="0"/>
    <cellStyle name="Обычный 32 5 6" xfId="0"/>
    <cellStyle name="Обычный 32 6" xfId="0"/>
    <cellStyle name="Обычный 32 6 2" xfId="0"/>
    <cellStyle name="Обычный 32 6 2 2" xfId="0"/>
    <cellStyle name="Обычный 32 6 2 3" xfId="0"/>
    <cellStyle name="Обычный 32 6 2 4" xfId="0"/>
    <cellStyle name="Обычный 32 6 2 5" xfId="0"/>
    <cellStyle name="Обычный 32 6 3" xfId="0"/>
    <cellStyle name="Обычный 32 6 4" xfId="0"/>
    <cellStyle name="Обычный 32 6 5" xfId="0"/>
    <cellStyle name="Обычный 32 6 6" xfId="0"/>
    <cellStyle name="Обычный 32 7" xfId="0"/>
    <cellStyle name="Обычный 32 7 2" xfId="0"/>
    <cellStyle name="Обычный 32 7 2 2" xfId="0"/>
    <cellStyle name="Обычный 32 7 2 3" xfId="0"/>
    <cellStyle name="Обычный 32 7 2 4" xfId="0"/>
    <cellStyle name="Обычный 32 7 2 5" xfId="0"/>
    <cellStyle name="Обычный 32 7 3" xfId="0"/>
    <cellStyle name="Обычный 32 7 4" xfId="0"/>
    <cellStyle name="Обычный 32 7 5" xfId="0"/>
    <cellStyle name="Обычный 32 7 6" xfId="0"/>
    <cellStyle name="Обычный 32 8" xfId="0"/>
    <cellStyle name="Обычный 32 8 2" xfId="0"/>
    <cellStyle name="Обычный 32 8 2 2" xfId="0"/>
    <cellStyle name="Обычный 32 8 2 3" xfId="0"/>
    <cellStyle name="Обычный 32 8 2 4" xfId="0"/>
    <cellStyle name="Обычный 32 8 2 5" xfId="0"/>
    <cellStyle name="Обычный 32 8 3" xfId="0"/>
    <cellStyle name="Обычный 32 8 4" xfId="0"/>
    <cellStyle name="Обычный 32 8 5" xfId="0"/>
    <cellStyle name="Обычный 32 8 6" xfId="0"/>
    <cellStyle name="Обычный 32 9" xfId="0"/>
    <cellStyle name="Обычный 32 9 2" xfId="0"/>
    <cellStyle name="Обычный 32 9 3" xfId="0"/>
    <cellStyle name="Обычный 32 9 4" xfId="0"/>
    <cellStyle name="Обычный 32 9 5" xfId="0"/>
    <cellStyle name="Обычный 33" xfId="0"/>
    <cellStyle name="Обычный 33 2" xfId="0"/>
    <cellStyle name="Обычный 33 3" xfId="0"/>
    <cellStyle name="Обычный 34" xfId="0"/>
    <cellStyle name="Обычный 34 2" xfId="0"/>
    <cellStyle name="Обычный 34 3" xfId="0"/>
    <cellStyle name="Обычный 35" xfId="0"/>
    <cellStyle name="Обычный 35 2" xfId="0"/>
    <cellStyle name="Обычный 35 3" xfId="0"/>
    <cellStyle name="Обычный 35 4" xfId="0"/>
    <cellStyle name="Обычный 36" xfId="0"/>
    <cellStyle name="Обычный 36 2" xfId="0"/>
    <cellStyle name="Обычный 36 3" xfId="0"/>
    <cellStyle name="Обычный 37" xfId="0"/>
    <cellStyle name="Обычный 37 2" xfId="0"/>
    <cellStyle name="Обычный 37 3" xfId="0"/>
    <cellStyle name="Обычный 38" xfId="0"/>
    <cellStyle name="Обычный 38 2" xfId="0"/>
    <cellStyle name="Обычный 39" xfId="0"/>
    <cellStyle name="Обычный 39 2" xfId="0"/>
    <cellStyle name="Обычный 39 3" xfId="0"/>
    <cellStyle name="Обычный 4" xfId="0"/>
    <cellStyle name="Обычный 4 2" xfId="0"/>
    <cellStyle name="Обычный 4 2 2" xfId="0"/>
    <cellStyle name="Обычный 4 3" xfId="0"/>
    <cellStyle name="Обычный 40" xfId="0"/>
    <cellStyle name="Обычный 40 2" xfId="0"/>
    <cellStyle name="Обычный 40 3" xfId="0"/>
    <cellStyle name="Обычный 41" xfId="0"/>
    <cellStyle name="Обычный 41 2" xfId="0"/>
    <cellStyle name="Обычный 41 3" xfId="0"/>
    <cellStyle name="Обычный 42" xfId="0"/>
    <cellStyle name="Обычный 42 2" xfId="0"/>
    <cellStyle name="Обычный 42 3" xfId="0"/>
    <cellStyle name="Обычный 43" xfId="0"/>
    <cellStyle name="Обычный 43 2" xfId="0"/>
    <cellStyle name="Обычный 43 3" xfId="0"/>
    <cellStyle name="Обычный 44" xfId="0"/>
    <cellStyle name="Обычный 44 2" xfId="0"/>
    <cellStyle name="Обычный 44 3" xfId="0"/>
    <cellStyle name="Обычный 45" xfId="0"/>
    <cellStyle name="Обычный 45 2" xfId="0"/>
    <cellStyle name="Обычный 45 3" xfId="0"/>
    <cellStyle name="Обычный 45 4" xfId="0"/>
    <cellStyle name="Обычный 46" xfId="0"/>
    <cellStyle name="Обычный 46 2" xfId="0"/>
    <cellStyle name="Обычный 46 3" xfId="0"/>
    <cellStyle name="Обычный 47" xfId="0"/>
    <cellStyle name="Обычный 47 2" xfId="0"/>
    <cellStyle name="Обычный 47 3" xfId="0"/>
    <cellStyle name="Обычный 48" xfId="0"/>
    <cellStyle name="Обычный 48 2" xfId="0"/>
    <cellStyle name="Обычный 48 3" xfId="0"/>
    <cellStyle name="Обычный 49" xfId="0"/>
    <cellStyle name="Обычный 49 2" xfId="0"/>
    <cellStyle name="Обычный 49 3" xfId="0"/>
    <cellStyle name="Обычный 5" xfId="0"/>
    <cellStyle name="Обычный 5 2" xfId="0"/>
    <cellStyle name="Обычный 5 2 2" xfId="0"/>
    <cellStyle name="Обычный 5 3" xfId="0"/>
    <cellStyle name="Обычный 5 4" xfId="0"/>
    <cellStyle name="Обычный 50" xfId="0"/>
    <cellStyle name="Обычный 50 2" xfId="0"/>
    <cellStyle name="Обычный 50 3" xfId="0"/>
    <cellStyle name="Обычный 51" xfId="0"/>
    <cellStyle name="Обычный 51 2" xfId="0"/>
    <cellStyle name="Обычный 51 2 10" xfId="0"/>
    <cellStyle name="Обычный 51 2 11" xfId="0"/>
    <cellStyle name="Обычный 51 2 12" xfId="0"/>
    <cellStyle name="Обычный 51 2 13" xfId="0"/>
    <cellStyle name="Обычный 51 2 2" xfId="0"/>
    <cellStyle name="Обычный 51 2 2 2" xfId="0"/>
    <cellStyle name="Обычный 51 2 2 2 2" xfId="0"/>
    <cellStyle name="Обычный 51 2 2 2 3" xfId="0"/>
    <cellStyle name="Обычный 51 2 2 2 4" xfId="0"/>
    <cellStyle name="Обычный 51 2 2 2 5" xfId="0"/>
    <cellStyle name="Обычный 51 2 2 3" xfId="0"/>
    <cellStyle name="Обычный 51 2 2 4" xfId="0"/>
    <cellStyle name="Обычный 51 2 2 5" xfId="0"/>
    <cellStyle name="Обычный 51 2 2 6" xfId="0"/>
    <cellStyle name="Обычный 51 2 3" xfId="0"/>
    <cellStyle name="Обычный 51 2 3 2" xfId="0"/>
    <cellStyle name="Обычный 51 2 3 2 2" xfId="0"/>
    <cellStyle name="Обычный 51 2 3 2 3" xfId="0"/>
    <cellStyle name="Обычный 51 2 3 2 4" xfId="0"/>
    <cellStyle name="Обычный 51 2 3 2 5" xfId="0"/>
    <cellStyle name="Обычный 51 2 3 3" xfId="0"/>
    <cellStyle name="Обычный 51 2 3 4" xfId="0"/>
    <cellStyle name="Обычный 51 2 3 5" xfId="0"/>
    <cellStyle name="Обычный 51 2 3 6" xfId="0"/>
    <cellStyle name="Обычный 51 2 4" xfId="0"/>
    <cellStyle name="Обычный 51 2 4 2" xfId="0"/>
    <cellStyle name="Обычный 51 2 4 2 2" xfId="0"/>
    <cellStyle name="Обычный 51 2 4 2 3" xfId="0"/>
    <cellStyle name="Обычный 51 2 4 2 4" xfId="0"/>
    <cellStyle name="Обычный 51 2 4 2 5" xfId="0"/>
    <cellStyle name="Обычный 51 2 4 3" xfId="0"/>
    <cellStyle name="Обычный 51 2 4 4" xfId="0"/>
    <cellStyle name="Обычный 51 2 4 5" xfId="0"/>
    <cellStyle name="Обычный 51 2 4 6" xfId="0"/>
    <cellStyle name="Обычный 51 2 5" xfId="0"/>
    <cellStyle name="Обычный 51 2 5 2" xfId="0"/>
    <cellStyle name="Обычный 51 2 5 2 2" xfId="0"/>
    <cellStyle name="Обычный 51 2 5 2 3" xfId="0"/>
    <cellStyle name="Обычный 51 2 5 2 4" xfId="0"/>
    <cellStyle name="Обычный 51 2 5 2 5" xfId="0"/>
    <cellStyle name="Обычный 51 2 5 3" xfId="0"/>
    <cellStyle name="Обычный 51 2 5 4" xfId="0"/>
    <cellStyle name="Обычный 51 2 5 5" xfId="0"/>
    <cellStyle name="Обычный 51 2 5 6" xfId="0"/>
    <cellStyle name="Обычный 51 2 6" xfId="0"/>
    <cellStyle name="Обычный 51 2 6 2" xfId="0"/>
    <cellStyle name="Обычный 51 2 6 2 2" xfId="0"/>
    <cellStyle name="Обычный 51 2 6 2 3" xfId="0"/>
    <cellStyle name="Обычный 51 2 6 2 4" xfId="0"/>
    <cellStyle name="Обычный 51 2 6 2 5" xfId="0"/>
    <cellStyle name="Обычный 51 2 6 3" xfId="0"/>
    <cellStyle name="Обычный 51 2 6 4" xfId="0"/>
    <cellStyle name="Обычный 51 2 6 5" xfId="0"/>
    <cellStyle name="Обычный 51 2 6 6" xfId="0"/>
    <cellStyle name="Обычный 51 2 7" xfId="0"/>
    <cellStyle name="Обычный 51 2 7 2" xfId="0"/>
    <cellStyle name="Обычный 51 2 7 3" xfId="0"/>
    <cellStyle name="Обычный 51 2 7 4" xfId="0"/>
    <cellStyle name="Обычный 51 2 7 5" xfId="0"/>
    <cellStyle name="Обычный 51 2 8" xfId="0"/>
    <cellStyle name="Обычный 51 2 8 2" xfId="0"/>
    <cellStyle name="Обычный 51 2 8 3" xfId="0"/>
    <cellStyle name="Обычный 51 2 8 4" xfId="0"/>
    <cellStyle name="Обычный 51 2 8 5" xfId="0"/>
    <cellStyle name="Обычный 51 2 9" xfId="0"/>
    <cellStyle name="Обычный 51 3" xfId="0"/>
    <cellStyle name="Обычный 51 4" xfId="0"/>
    <cellStyle name="Обычный 51 4 2" xfId="0"/>
    <cellStyle name="Обычный 51 4 3" xfId="0"/>
    <cellStyle name="Обычный 51 4 4" xfId="0"/>
    <cellStyle name="Обычный 51 4 5" xfId="0"/>
    <cellStyle name="Обычный 51 5" xfId="0"/>
    <cellStyle name="Обычный 52" xfId="0"/>
    <cellStyle name="Обычный 52 2" xfId="0"/>
    <cellStyle name="Обычный 52 3" xfId="0"/>
    <cellStyle name="Обычный 53" xfId="0"/>
    <cellStyle name="Обычный 53 2" xfId="0"/>
    <cellStyle name="Обычный 53 3" xfId="0"/>
    <cellStyle name="Обычный 54" xfId="0"/>
    <cellStyle name="Обычный 54 2" xfId="0"/>
    <cellStyle name="Обычный 54 3" xfId="0"/>
    <cellStyle name="Обычный 55" xfId="0"/>
    <cellStyle name="Обычный 55 2" xfId="0"/>
    <cellStyle name="Обычный 55 2 10" xfId="0"/>
    <cellStyle name="Обычный 55 2 11" xfId="0"/>
    <cellStyle name="Обычный 55 2 12" xfId="0"/>
    <cellStyle name="Обычный 55 2 13" xfId="0"/>
    <cellStyle name="Обычный 55 2 2" xfId="0"/>
    <cellStyle name="Обычный 55 2 2 2" xfId="0"/>
    <cellStyle name="Обычный 55 2 2 2 2" xfId="0"/>
    <cellStyle name="Обычный 55 2 2 2 3" xfId="0"/>
    <cellStyle name="Обычный 55 2 2 2 4" xfId="0"/>
    <cellStyle name="Обычный 55 2 2 2 5" xfId="0"/>
    <cellStyle name="Обычный 55 2 2 3" xfId="0"/>
    <cellStyle name="Обычный 55 2 2 4" xfId="0"/>
    <cellStyle name="Обычный 55 2 2 5" xfId="0"/>
    <cellStyle name="Обычный 55 2 2 6" xfId="0"/>
    <cellStyle name="Обычный 55 2 3" xfId="0"/>
    <cellStyle name="Обычный 55 2 3 2" xfId="0"/>
    <cellStyle name="Обычный 55 2 3 2 2" xfId="0"/>
    <cellStyle name="Обычный 55 2 3 2 3" xfId="0"/>
    <cellStyle name="Обычный 55 2 3 2 4" xfId="0"/>
    <cellStyle name="Обычный 55 2 3 2 5" xfId="0"/>
    <cellStyle name="Обычный 55 2 3 3" xfId="0"/>
    <cellStyle name="Обычный 55 2 3 4" xfId="0"/>
    <cellStyle name="Обычный 55 2 3 5" xfId="0"/>
    <cellStyle name="Обычный 55 2 3 6" xfId="0"/>
    <cellStyle name="Обычный 55 2 4" xfId="0"/>
    <cellStyle name="Обычный 55 2 4 2" xfId="0"/>
    <cellStyle name="Обычный 55 2 4 2 2" xfId="0"/>
    <cellStyle name="Обычный 55 2 4 2 3" xfId="0"/>
    <cellStyle name="Обычный 55 2 4 2 4" xfId="0"/>
    <cellStyle name="Обычный 55 2 4 2 5" xfId="0"/>
    <cellStyle name="Обычный 55 2 4 3" xfId="0"/>
    <cellStyle name="Обычный 55 2 4 4" xfId="0"/>
    <cellStyle name="Обычный 55 2 4 5" xfId="0"/>
    <cellStyle name="Обычный 55 2 4 6" xfId="0"/>
    <cellStyle name="Обычный 55 2 5" xfId="0"/>
    <cellStyle name="Обычный 55 2 5 2" xfId="0"/>
    <cellStyle name="Обычный 55 2 5 2 2" xfId="0"/>
    <cellStyle name="Обычный 55 2 5 2 3" xfId="0"/>
    <cellStyle name="Обычный 55 2 5 2 4" xfId="0"/>
    <cellStyle name="Обычный 55 2 5 2 5" xfId="0"/>
    <cellStyle name="Обычный 55 2 5 3" xfId="0"/>
    <cellStyle name="Обычный 55 2 5 4" xfId="0"/>
    <cellStyle name="Обычный 55 2 5 5" xfId="0"/>
    <cellStyle name="Обычный 55 2 5 6" xfId="0"/>
    <cellStyle name="Обычный 55 2 6" xfId="0"/>
    <cellStyle name="Обычный 55 2 6 2" xfId="0"/>
    <cellStyle name="Обычный 55 2 6 2 2" xfId="0"/>
    <cellStyle name="Обычный 55 2 6 2 3" xfId="0"/>
    <cellStyle name="Обычный 55 2 6 2 4" xfId="0"/>
    <cellStyle name="Обычный 55 2 6 2 5" xfId="0"/>
    <cellStyle name="Обычный 55 2 6 3" xfId="0"/>
    <cellStyle name="Обычный 55 2 6 4" xfId="0"/>
    <cellStyle name="Обычный 55 2 6 5" xfId="0"/>
    <cellStyle name="Обычный 55 2 6 6" xfId="0"/>
    <cellStyle name="Обычный 55 2 7" xfId="0"/>
    <cellStyle name="Обычный 55 2 7 2" xfId="0"/>
    <cellStyle name="Обычный 55 2 7 3" xfId="0"/>
    <cellStyle name="Обычный 55 2 7 4" xfId="0"/>
    <cellStyle name="Обычный 55 2 7 5" xfId="0"/>
    <cellStyle name="Обычный 55 2 8" xfId="0"/>
    <cellStyle name="Обычный 55 2 8 2" xfId="0"/>
    <cellStyle name="Обычный 55 2 8 3" xfId="0"/>
    <cellStyle name="Обычный 55 2 8 4" xfId="0"/>
    <cellStyle name="Обычный 55 2 8 5" xfId="0"/>
    <cellStyle name="Обычный 55 2 9" xfId="0"/>
    <cellStyle name="Обычный 55 3" xfId="0"/>
    <cellStyle name="Обычный 55 4" xfId="0"/>
    <cellStyle name="Обычный 55 5" xfId="0"/>
    <cellStyle name="Обычный 55 5 2" xfId="0"/>
    <cellStyle name="Обычный 55 5 3" xfId="0"/>
    <cellStyle name="Обычный 55 5 4" xfId="0"/>
    <cellStyle name="Обычный 55 5 5" xfId="0"/>
    <cellStyle name="Обычный 55 6" xfId="0"/>
    <cellStyle name="Обычный 56" xfId="0"/>
    <cellStyle name="Обычный 56 10" xfId="0"/>
    <cellStyle name="Обычный 56 11" xfId="0"/>
    <cellStyle name="Обычный 56 12" xfId="0"/>
    <cellStyle name="Обычный 56 13" xfId="0"/>
    <cellStyle name="Обычный 56 14" xfId="0"/>
    <cellStyle name="Обычный 56 2" xfId="0"/>
    <cellStyle name="Обычный 56 3" xfId="0"/>
    <cellStyle name="Обычный 56 3 2" xfId="0"/>
    <cellStyle name="Обычный 56 3 2 2" xfId="0"/>
    <cellStyle name="Обычный 56 3 2 2 2" xfId="0"/>
    <cellStyle name="Обычный 56 3 2 2 3" xfId="0"/>
    <cellStyle name="Обычный 56 3 2 2 4" xfId="0"/>
    <cellStyle name="Обычный 56 3 2 2 5" xfId="0"/>
    <cellStyle name="Обычный 56 3 2 3" xfId="0"/>
    <cellStyle name="Обычный 56 3 2 4" xfId="0"/>
    <cellStyle name="Обычный 56 3 2 5" xfId="0"/>
    <cellStyle name="Обычный 56 3 2 6" xfId="0"/>
    <cellStyle name="Обычный 56 3 3" xfId="0"/>
    <cellStyle name="Обычный 56 3 3 2" xfId="0"/>
    <cellStyle name="Обычный 56 3 3 3" xfId="0"/>
    <cellStyle name="Обычный 56 3 3 4" xfId="0"/>
    <cellStyle name="Обычный 56 3 3 5" xfId="0"/>
    <cellStyle name="Обычный 56 3 4" xfId="0"/>
    <cellStyle name="Обычный 56 3 5" xfId="0"/>
    <cellStyle name="Обычный 56 3 6" xfId="0"/>
    <cellStyle name="Обычный 56 3 7" xfId="0"/>
    <cellStyle name="Обычный 56 4" xfId="0"/>
    <cellStyle name="Обычный 56 4 2" xfId="0"/>
    <cellStyle name="Обычный 56 4 2 2" xfId="0"/>
    <cellStyle name="Обычный 56 4 2 3" xfId="0"/>
    <cellStyle name="Обычный 56 4 2 4" xfId="0"/>
    <cellStyle name="Обычный 56 4 2 5" xfId="0"/>
    <cellStyle name="Обычный 56 4 3" xfId="0"/>
    <cellStyle name="Обычный 56 4 4" xfId="0"/>
    <cellStyle name="Обычный 56 4 5" xfId="0"/>
    <cellStyle name="Обычный 56 4 6" xfId="0"/>
    <cellStyle name="Обычный 56 5" xfId="0"/>
    <cellStyle name="Обычный 56 5 2" xfId="0"/>
    <cellStyle name="Обычный 56 5 2 2" xfId="0"/>
    <cellStyle name="Обычный 56 5 2 3" xfId="0"/>
    <cellStyle name="Обычный 56 5 2 4" xfId="0"/>
    <cellStyle name="Обычный 56 5 2 5" xfId="0"/>
    <cellStyle name="Обычный 56 5 3" xfId="0"/>
    <cellStyle name="Обычный 56 5 4" xfId="0"/>
    <cellStyle name="Обычный 56 5 5" xfId="0"/>
    <cellStyle name="Обычный 56 5 6" xfId="0"/>
    <cellStyle name="Обычный 56 6" xfId="0"/>
    <cellStyle name="Обычный 56 6 2" xfId="0"/>
    <cellStyle name="Обычный 56 6 2 2" xfId="0"/>
    <cellStyle name="Обычный 56 6 2 3" xfId="0"/>
    <cellStyle name="Обычный 56 6 2 4" xfId="0"/>
    <cellStyle name="Обычный 56 6 2 5" xfId="0"/>
    <cellStyle name="Обычный 56 6 3" xfId="0"/>
    <cellStyle name="Обычный 56 6 4" xfId="0"/>
    <cellStyle name="Обычный 56 6 5" xfId="0"/>
    <cellStyle name="Обычный 56 6 6" xfId="0"/>
    <cellStyle name="Обычный 56 7" xfId="0"/>
    <cellStyle name="Обычный 56 7 2" xfId="0"/>
    <cellStyle name="Обычный 56 7 2 2" xfId="0"/>
    <cellStyle name="Обычный 56 7 2 3" xfId="0"/>
    <cellStyle name="Обычный 56 7 2 4" xfId="0"/>
    <cellStyle name="Обычный 56 7 2 5" xfId="0"/>
    <cellStyle name="Обычный 56 7 3" xfId="0"/>
    <cellStyle name="Обычный 56 7 4" xfId="0"/>
    <cellStyle name="Обычный 56 7 5" xfId="0"/>
    <cellStyle name="Обычный 56 7 6" xfId="0"/>
    <cellStyle name="Обычный 56 8" xfId="0"/>
    <cellStyle name="Обычный 56 8 2" xfId="0"/>
    <cellStyle name="Обычный 56 8 2 2" xfId="0"/>
    <cellStyle name="Обычный 56 8 2 3" xfId="0"/>
    <cellStyle name="Обычный 56 8 2 4" xfId="0"/>
    <cellStyle name="Обычный 56 8 2 5" xfId="0"/>
    <cellStyle name="Обычный 56 8 3" xfId="0"/>
    <cellStyle name="Обычный 56 8 4" xfId="0"/>
    <cellStyle name="Обычный 56 8 5" xfId="0"/>
    <cellStyle name="Обычный 56 8 6" xfId="0"/>
    <cellStyle name="Обычный 56 9" xfId="0"/>
    <cellStyle name="Обычный 56 9 2" xfId="0"/>
    <cellStyle name="Обычный 56 9 3" xfId="0"/>
    <cellStyle name="Обычный 56 9 4" xfId="0"/>
    <cellStyle name="Обычный 56 9 5" xfId="0"/>
    <cellStyle name="Обычный 57" xfId="0"/>
    <cellStyle name="Обычный 57 2" xfId="0"/>
    <cellStyle name="Обычный 57 3" xfId="0"/>
    <cellStyle name="Обычный 58" xfId="0"/>
    <cellStyle name="Обычный 58 10" xfId="0"/>
    <cellStyle name="Обычный 58 10 2" xfId="0"/>
    <cellStyle name="Обычный 58 10 3" xfId="0"/>
    <cellStyle name="Обычный 58 10 4" xfId="0"/>
    <cellStyle name="Обычный 58 10 5" xfId="0"/>
    <cellStyle name="Обычный 58 11" xfId="0"/>
    <cellStyle name="Обычный 58 12" xfId="0"/>
    <cellStyle name="Обычный 58 13" xfId="0"/>
    <cellStyle name="Обычный 58 14" xfId="0"/>
    <cellStyle name="Обычный 58 15" xfId="0"/>
    <cellStyle name="Обычный 58 2" xfId="0"/>
    <cellStyle name="Обычный 58 2 10" xfId="0"/>
    <cellStyle name="Обычный 58 2 2" xfId="0"/>
    <cellStyle name="Обычный 58 2 2 2" xfId="0"/>
    <cellStyle name="Обычный 58 2 2 2 2" xfId="0"/>
    <cellStyle name="Обычный 58 2 2 2 3" xfId="0"/>
    <cellStyle name="Обычный 58 2 2 2 4" xfId="0"/>
    <cellStyle name="Обычный 58 2 2 2 5" xfId="0"/>
    <cellStyle name="Обычный 58 2 2 3" xfId="0"/>
    <cellStyle name="Обычный 58 2 2 4" xfId="0"/>
    <cellStyle name="Обычный 58 2 2 5" xfId="0"/>
    <cellStyle name="Обычный 58 2 2 6" xfId="0"/>
    <cellStyle name="Обычный 58 2 3" xfId="0"/>
    <cellStyle name="Обычный 58 2 3 2" xfId="0"/>
    <cellStyle name="Обычный 58 2 3 2 2" xfId="0"/>
    <cellStyle name="Обычный 58 2 3 2 3" xfId="0"/>
    <cellStyle name="Обычный 58 2 3 2 4" xfId="0"/>
    <cellStyle name="Обычный 58 2 3 2 5" xfId="0"/>
    <cellStyle name="Обычный 58 2 3 3" xfId="0"/>
    <cellStyle name="Обычный 58 2 3 4" xfId="0"/>
    <cellStyle name="Обычный 58 2 3 5" xfId="0"/>
    <cellStyle name="Обычный 58 2 3 6" xfId="0"/>
    <cellStyle name="Обычный 58 2 4" xfId="0"/>
    <cellStyle name="Обычный 58 2 4 2" xfId="0"/>
    <cellStyle name="Обычный 58 2 4 3" xfId="0"/>
    <cellStyle name="Обычный 58 2 4 4" xfId="0"/>
    <cellStyle name="Обычный 58 2 4 5" xfId="0"/>
    <cellStyle name="Обычный 58 2 5" xfId="0"/>
    <cellStyle name="Обычный 58 2 5 2" xfId="0"/>
    <cellStyle name="Обычный 58 2 5 3" xfId="0"/>
    <cellStyle name="Обычный 58 2 5 4" xfId="0"/>
    <cellStyle name="Обычный 58 2 5 5" xfId="0"/>
    <cellStyle name="Обычный 58 2 6" xfId="0"/>
    <cellStyle name="Обычный 58 2 7" xfId="0"/>
    <cellStyle name="Обычный 58 2 8" xfId="0"/>
    <cellStyle name="Обычный 58 2 9" xfId="0"/>
    <cellStyle name="Обычный 58 3" xfId="0"/>
    <cellStyle name="Обычный 58 3 2" xfId="0"/>
    <cellStyle name="Обычный 58 3 2 2" xfId="0"/>
    <cellStyle name="Обычный 58 3 2 3" xfId="0"/>
    <cellStyle name="Обычный 58 3 2 4" xfId="0"/>
    <cellStyle name="Обычный 58 3 2 5" xfId="0"/>
    <cellStyle name="Обычный 58 3 3" xfId="0"/>
    <cellStyle name="Обычный 58 3 4" xfId="0"/>
    <cellStyle name="Обычный 58 3 5" xfId="0"/>
    <cellStyle name="Обычный 58 3 6" xfId="0"/>
    <cellStyle name="Обычный 58 4" xfId="0"/>
    <cellStyle name="Обычный 58 4 2" xfId="0"/>
    <cellStyle name="Обычный 58 4 2 2" xfId="0"/>
    <cellStyle name="Обычный 58 4 2 3" xfId="0"/>
    <cellStyle name="Обычный 58 4 2 4" xfId="0"/>
    <cellStyle name="Обычный 58 4 2 5" xfId="0"/>
    <cellStyle name="Обычный 58 4 3" xfId="0"/>
    <cellStyle name="Обычный 58 4 4" xfId="0"/>
    <cellStyle name="Обычный 58 4 5" xfId="0"/>
    <cellStyle name="Обычный 58 4 6" xfId="0"/>
    <cellStyle name="Обычный 58 5" xfId="0"/>
    <cellStyle name="Обычный 58 5 2" xfId="0"/>
    <cellStyle name="Обычный 58 5 2 2" xfId="0"/>
    <cellStyle name="Обычный 58 5 2 3" xfId="0"/>
    <cellStyle name="Обычный 58 5 2 4" xfId="0"/>
    <cellStyle name="Обычный 58 5 2 5" xfId="0"/>
    <cellStyle name="Обычный 58 5 3" xfId="0"/>
    <cellStyle name="Обычный 58 5 4" xfId="0"/>
    <cellStyle name="Обычный 58 5 5" xfId="0"/>
    <cellStyle name="Обычный 58 5 6" xfId="0"/>
    <cellStyle name="Обычный 58 6" xfId="0"/>
    <cellStyle name="Обычный 58 6 2" xfId="0"/>
    <cellStyle name="Обычный 58 6 2 2" xfId="0"/>
    <cellStyle name="Обычный 58 6 2 3" xfId="0"/>
    <cellStyle name="Обычный 58 6 2 4" xfId="0"/>
    <cellStyle name="Обычный 58 6 2 5" xfId="0"/>
    <cellStyle name="Обычный 58 6 3" xfId="0"/>
    <cellStyle name="Обычный 58 6 4" xfId="0"/>
    <cellStyle name="Обычный 58 6 5" xfId="0"/>
    <cellStyle name="Обычный 58 6 6" xfId="0"/>
    <cellStyle name="Обычный 58 7" xfId="0"/>
    <cellStyle name="Обычный 58 7 2" xfId="0"/>
    <cellStyle name="Обычный 58 7 2 2" xfId="0"/>
    <cellStyle name="Обычный 58 7 2 3" xfId="0"/>
    <cellStyle name="Обычный 58 7 2 4" xfId="0"/>
    <cellStyle name="Обычный 58 7 2 5" xfId="0"/>
    <cellStyle name="Обычный 58 7 3" xfId="0"/>
    <cellStyle name="Обычный 58 7 4" xfId="0"/>
    <cellStyle name="Обычный 58 7 5" xfId="0"/>
    <cellStyle name="Обычный 58 7 6" xfId="0"/>
    <cellStyle name="Обычный 58 8" xfId="0"/>
    <cellStyle name="Обычный 58 8 2" xfId="0"/>
    <cellStyle name="Обычный 58 8 3" xfId="0"/>
    <cellStyle name="Обычный 58 8 4" xfId="0"/>
    <cellStyle name="Обычный 58 8 5" xfId="0"/>
    <cellStyle name="Обычный 58 9" xfId="0"/>
    <cellStyle name="Обычный 59" xfId="0"/>
    <cellStyle name="Обычный 59 10" xfId="0"/>
    <cellStyle name="Обычный 59 10 2" xfId="0"/>
    <cellStyle name="Обычный 59 10 3" xfId="0"/>
    <cellStyle name="Обычный 59 10 4" xfId="0"/>
    <cellStyle name="Обычный 59 10 5" xfId="0"/>
    <cellStyle name="Обычный 59 11" xfId="0"/>
    <cellStyle name="Обычный 59 12" xfId="0"/>
    <cellStyle name="Обычный 59 13" xfId="0"/>
    <cellStyle name="Обычный 59 14" xfId="0"/>
    <cellStyle name="Обычный 59 15" xfId="0"/>
    <cellStyle name="Обычный 59 2" xfId="0"/>
    <cellStyle name="Обычный 59 2 10" xfId="0"/>
    <cellStyle name="Обычный 59 2 2" xfId="0"/>
    <cellStyle name="Обычный 59 2 2 2" xfId="0"/>
    <cellStyle name="Обычный 59 2 2 2 2" xfId="0"/>
    <cellStyle name="Обычный 59 2 2 2 3" xfId="0"/>
    <cellStyle name="Обычный 59 2 2 2 4" xfId="0"/>
    <cellStyle name="Обычный 59 2 2 2 5" xfId="0"/>
    <cellStyle name="Обычный 59 2 2 3" xfId="0"/>
    <cellStyle name="Обычный 59 2 2 4" xfId="0"/>
    <cellStyle name="Обычный 59 2 2 5" xfId="0"/>
    <cellStyle name="Обычный 59 2 2 6" xfId="0"/>
    <cellStyle name="Обычный 59 2 3" xfId="0"/>
    <cellStyle name="Обычный 59 2 3 2" xfId="0"/>
    <cellStyle name="Обычный 59 2 3 2 2" xfId="0"/>
    <cellStyle name="Обычный 59 2 3 2 3" xfId="0"/>
    <cellStyle name="Обычный 59 2 3 2 4" xfId="0"/>
    <cellStyle name="Обычный 59 2 3 2 5" xfId="0"/>
    <cellStyle name="Обычный 59 2 3 3" xfId="0"/>
    <cellStyle name="Обычный 59 2 3 4" xfId="0"/>
    <cellStyle name="Обычный 59 2 3 5" xfId="0"/>
    <cellStyle name="Обычный 59 2 3 6" xfId="0"/>
    <cellStyle name="Обычный 59 2 4" xfId="0"/>
    <cellStyle name="Обычный 59 2 4 2" xfId="0"/>
    <cellStyle name="Обычный 59 2 4 3" xfId="0"/>
    <cellStyle name="Обычный 59 2 4 4" xfId="0"/>
    <cellStyle name="Обычный 59 2 4 5" xfId="0"/>
    <cellStyle name="Обычный 59 2 5" xfId="0"/>
    <cellStyle name="Обычный 59 2 5 2" xfId="0"/>
    <cellStyle name="Обычный 59 2 5 3" xfId="0"/>
    <cellStyle name="Обычный 59 2 5 4" xfId="0"/>
    <cellStyle name="Обычный 59 2 5 5" xfId="0"/>
    <cellStyle name="Обычный 59 2 6" xfId="0"/>
    <cellStyle name="Обычный 59 2 7" xfId="0"/>
    <cellStyle name="Обычный 59 2 8" xfId="0"/>
    <cellStyle name="Обычный 59 2 9" xfId="0"/>
    <cellStyle name="Обычный 59 3" xfId="0"/>
    <cellStyle name="Обычный 59 3 2" xfId="0"/>
    <cellStyle name="Обычный 59 3 2 2" xfId="0"/>
    <cellStyle name="Обычный 59 3 2 3" xfId="0"/>
    <cellStyle name="Обычный 59 3 2 4" xfId="0"/>
    <cellStyle name="Обычный 59 3 2 5" xfId="0"/>
    <cellStyle name="Обычный 59 3 3" xfId="0"/>
    <cellStyle name="Обычный 59 3 4" xfId="0"/>
    <cellStyle name="Обычный 59 3 5" xfId="0"/>
    <cellStyle name="Обычный 59 3 6" xfId="0"/>
    <cellStyle name="Обычный 59 4" xfId="0"/>
    <cellStyle name="Обычный 59 4 2" xfId="0"/>
    <cellStyle name="Обычный 59 4 2 2" xfId="0"/>
    <cellStyle name="Обычный 59 4 2 3" xfId="0"/>
    <cellStyle name="Обычный 59 4 2 4" xfId="0"/>
    <cellStyle name="Обычный 59 4 2 5" xfId="0"/>
    <cellStyle name="Обычный 59 4 3" xfId="0"/>
    <cellStyle name="Обычный 59 4 4" xfId="0"/>
    <cellStyle name="Обычный 59 4 5" xfId="0"/>
    <cellStyle name="Обычный 59 4 6" xfId="0"/>
    <cellStyle name="Обычный 59 5" xfId="0"/>
    <cellStyle name="Обычный 59 5 2" xfId="0"/>
    <cellStyle name="Обычный 59 5 2 2" xfId="0"/>
    <cellStyle name="Обычный 59 5 2 3" xfId="0"/>
    <cellStyle name="Обычный 59 5 2 4" xfId="0"/>
    <cellStyle name="Обычный 59 5 2 5" xfId="0"/>
    <cellStyle name="Обычный 59 5 3" xfId="0"/>
    <cellStyle name="Обычный 59 5 4" xfId="0"/>
    <cellStyle name="Обычный 59 5 5" xfId="0"/>
    <cellStyle name="Обычный 59 5 6" xfId="0"/>
    <cellStyle name="Обычный 59 6" xfId="0"/>
    <cellStyle name="Обычный 59 6 2" xfId="0"/>
    <cellStyle name="Обычный 59 6 2 2" xfId="0"/>
    <cellStyle name="Обычный 59 6 2 3" xfId="0"/>
    <cellStyle name="Обычный 59 6 2 4" xfId="0"/>
    <cellStyle name="Обычный 59 6 2 5" xfId="0"/>
    <cellStyle name="Обычный 59 6 3" xfId="0"/>
    <cellStyle name="Обычный 59 6 4" xfId="0"/>
    <cellStyle name="Обычный 59 6 5" xfId="0"/>
    <cellStyle name="Обычный 59 6 6" xfId="0"/>
    <cellStyle name="Обычный 59 7" xfId="0"/>
    <cellStyle name="Обычный 59 7 2" xfId="0"/>
    <cellStyle name="Обычный 59 7 2 2" xfId="0"/>
    <cellStyle name="Обычный 59 7 2 3" xfId="0"/>
    <cellStyle name="Обычный 59 7 2 4" xfId="0"/>
    <cellStyle name="Обычный 59 7 2 5" xfId="0"/>
    <cellStyle name="Обычный 59 7 3" xfId="0"/>
    <cellStyle name="Обычный 59 7 4" xfId="0"/>
    <cellStyle name="Обычный 59 7 5" xfId="0"/>
    <cellStyle name="Обычный 59 7 6" xfId="0"/>
    <cellStyle name="Обычный 59 8" xfId="0"/>
    <cellStyle name="Обычный 59 8 2" xfId="0"/>
    <cellStyle name="Обычный 59 8 3" xfId="0"/>
    <cellStyle name="Обычный 59 8 4" xfId="0"/>
    <cellStyle name="Обычный 59 8 5" xfId="0"/>
    <cellStyle name="Обычный 59 9" xfId="0"/>
    <cellStyle name="Обычный 6" xfId="0"/>
    <cellStyle name="Обычный 6 2" xfId="0"/>
    <cellStyle name="Обычный 6 2 10" xfId="0"/>
    <cellStyle name="Обычный 6 2 10 2" xfId="0"/>
    <cellStyle name="Обычный 6 2 10 3" xfId="0"/>
    <cellStyle name="Обычный 6 2 10 4" xfId="0"/>
    <cellStyle name="Обычный 6 2 10 5" xfId="0"/>
    <cellStyle name="Обычный 6 2 11" xfId="0"/>
    <cellStyle name="Обычный 6 2 12" xfId="0"/>
    <cellStyle name="Обычный 6 2 13" xfId="0"/>
    <cellStyle name="Обычный 6 2 14" xfId="0"/>
    <cellStyle name="Обычный 6 2 15" xfId="0"/>
    <cellStyle name="Обычный 6 2 2" xfId="0"/>
    <cellStyle name="Обычный 6 2 2 10" xfId="0"/>
    <cellStyle name="Обычный 6 2 2 2" xfId="0"/>
    <cellStyle name="Обычный 6 2 2 2 2" xfId="0"/>
    <cellStyle name="Обычный 6 2 2 2 2 2" xfId="0"/>
    <cellStyle name="Обычный 6 2 2 2 2 3" xfId="0"/>
    <cellStyle name="Обычный 6 2 2 2 2 4" xfId="0"/>
    <cellStyle name="Обычный 6 2 2 2 2 5" xfId="0"/>
    <cellStyle name="Обычный 6 2 2 2 3" xfId="0"/>
    <cellStyle name="Обычный 6 2 2 2 4" xfId="0"/>
    <cellStyle name="Обычный 6 2 2 2 5" xfId="0"/>
    <cellStyle name="Обычный 6 2 2 2 6" xfId="0"/>
    <cellStyle name="Обычный 6 2 2 3" xfId="0"/>
    <cellStyle name="Обычный 6 2 2 3 2" xfId="0"/>
    <cellStyle name="Обычный 6 2 2 3 2 2" xfId="0"/>
    <cellStyle name="Обычный 6 2 2 3 2 3" xfId="0"/>
    <cellStyle name="Обычный 6 2 2 3 2 4" xfId="0"/>
    <cellStyle name="Обычный 6 2 2 3 2 5" xfId="0"/>
    <cellStyle name="Обычный 6 2 2 3 3" xfId="0"/>
    <cellStyle name="Обычный 6 2 2 3 4" xfId="0"/>
    <cellStyle name="Обычный 6 2 2 3 5" xfId="0"/>
    <cellStyle name="Обычный 6 2 2 3 6" xfId="0"/>
    <cellStyle name="Обычный 6 2 2 4" xfId="0"/>
    <cellStyle name="Обычный 6 2 2 4 2" xfId="0"/>
    <cellStyle name="Обычный 6 2 2 4 3" xfId="0"/>
    <cellStyle name="Обычный 6 2 2 4 4" xfId="0"/>
    <cellStyle name="Обычный 6 2 2 4 5" xfId="0"/>
    <cellStyle name="Обычный 6 2 2 5" xfId="0"/>
    <cellStyle name="Обычный 6 2 2 5 2" xfId="0"/>
    <cellStyle name="Обычный 6 2 2 5 3" xfId="0"/>
    <cellStyle name="Обычный 6 2 2 5 4" xfId="0"/>
    <cellStyle name="Обычный 6 2 2 5 5" xfId="0"/>
    <cellStyle name="Обычный 6 2 2 6" xfId="0"/>
    <cellStyle name="Обычный 6 2 2 7" xfId="0"/>
    <cellStyle name="Обычный 6 2 2 8" xfId="0"/>
    <cellStyle name="Обычный 6 2 2 9" xfId="0"/>
    <cellStyle name="Обычный 6 2 3" xfId="0"/>
    <cellStyle name="Обычный 6 2 3 2" xfId="0"/>
    <cellStyle name="Обычный 6 2 3 2 2" xfId="0"/>
    <cellStyle name="Обычный 6 2 3 2 3" xfId="0"/>
    <cellStyle name="Обычный 6 2 3 2 4" xfId="0"/>
    <cellStyle name="Обычный 6 2 3 2 5" xfId="0"/>
    <cellStyle name="Обычный 6 2 3 3" xfId="0"/>
    <cellStyle name="Обычный 6 2 3 4" xfId="0"/>
    <cellStyle name="Обычный 6 2 3 5" xfId="0"/>
    <cellStyle name="Обычный 6 2 3 6" xfId="0"/>
    <cellStyle name="Обычный 6 2 4" xfId="0"/>
    <cellStyle name="Обычный 6 2 4 2" xfId="0"/>
    <cellStyle name="Обычный 6 2 4 2 2" xfId="0"/>
    <cellStyle name="Обычный 6 2 4 2 3" xfId="0"/>
    <cellStyle name="Обычный 6 2 4 2 4" xfId="0"/>
    <cellStyle name="Обычный 6 2 4 2 5" xfId="0"/>
    <cellStyle name="Обычный 6 2 4 3" xfId="0"/>
    <cellStyle name="Обычный 6 2 4 4" xfId="0"/>
    <cellStyle name="Обычный 6 2 4 5" xfId="0"/>
    <cellStyle name="Обычный 6 2 4 6" xfId="0"/>
    <cellStyle name="Обычный 6 2 5" xfId="0"/>
    <cellStyle name="Обычный 6 2 5 2" xfId="0"/>
    <cellStyle name="Обычный 6 2 5 2 2" xfId="0"/>
    <cellStyle name="Обычный 6 2 5 2 3" xfId="0"/>
    <cellStyle name="Обычный 6 2 5 2 4" xfId="0"/>
    <cellStyle name="Обычный 6 2 5 2 5" xfId="0"/>
    <cellStyle name="Обычный 6 2 5 3" xfId="0"/>
    <cellStyle name="Обычный 6 2 5 4" xfId="0"/>
    <cellStyle name="Обычный 6 2 5 5" xfId="0"/>
    <cellStyle name="Обычный 6 2 5 6" xfId="0"/>
    <cellStyle name="Обычный 6 2 6" xfId="0"/>
    <cellStyle name="Обычный 6 2 6 2" xfId="0"/>
    <cellStyle name="Обычный 6 2 6 2 2" xfId="0"/>
    <cellStyle name="Обычный 6 2 6 2 3" xfId="0"/>
    <cellStyle name="Обычный 6 2 6 2 4" xfId="0"/>
    <cellStyle name="Обычный 6 2 6 2 5" xfId="0"/>
    <cellStyle name="Обычный 6 2 6 3" xfId="0"/>
    <cellStyle name="Обычный 6 2 6 4" xfId="0"/>
    <cellStyle name="Обычный 6 2 6 5" xfId="0"/>
    <cellStyle name="Обычный 6 2 6 6" xfId="0"/>
    <cellStyle name="Обычный 6 2 7" xfId="0"/>
    <cellStyle name="Обычный 6 2 7 2" xfId="0"/>
    <cellStyle name="Обычный 6 2 7 2 2" xfId="0"/>
    <cellStyle name="Обычный 6 2 7 2 3" xfId="0"/>
    <cellStyle name="Обычный 6 2 7 2 4" xfId="0"/>
    <cellStyle name="Обычный 6 2 7 2 5" xfId="0"/>
    <cellStyle name="Обычный 6 2 7 3" xfId="0"/>
    <cellStyle name="Обычный 6 2 7 4" xfId="0"/>
    <cellStyle name="Обычный 6 2 7 5" xfId="0"/>
    <cellStyle name="Обычный 6 2 7 6" xfId="0"/>
    <cellStyle name="Обычный 6 2 8" xfId="0"/>
    <cellStyle name="Обычный 6 2 8 2" xfId="0"/>
    <cellStyle name="Обычный 6 2 8 3" xfId="0"/>
    <cellStyle name="Обычный 6 2 8 4" xfId="0"/>
    <cellStyle name="Обычный 6 2 8 5" xfId="0"/>
    <cellStyle name="Обычный 6 2 9" xfId="0"/>
    <cellStyle name="Обычный 6 3" xfId="0"/>
    <cellStyle name="Обычный 6 3 2" xfId="0"/>
    <cellStyle name="Обычный 6 3 2 10" xfId="0"/>
    <cellStyle name="Обычный 6 3 2 10 2" xfId="0"/>
    <cellStyle name="Обычный 6 3 2 10 3" xfId="0"/>
    <cellStyle name="Обычный 6 3 2 10 4" xfId="0"/>
    <cellStyle name="Обычный 6 3 2 10 5" xfId="0"/>
    <cellStyle name="Обычный 6 3 2 11" xfId="0"/>
    <cellStyle name="Обычный 6 3 2 12" xfId="0"/>
    <cellStyle name="Обычный 6 3 2 12 2" xfId="0"/>
    <cellStyle name="Обычный 6 3 2 12 3" xfId="0"/>
    <cellStyle name="Обычный 6 3 2 12 4" xfId="0"/>
    <cellStyle name="Обычный 6 3 2 12 5" xfId="0"/>
    <cellStyle name="Обычный 6 3 2 13" xfId="0"/>
    <cellStyle name="Обычный 6 3 2 14" xfId="0"/>
    <cellStyle name="Обычный 6 3 2 15" xfId="0"/>
    <cellStyle name="Обычный 6 3 2 16" xfId="0"/>
    <cellStyle name="Обычный 6 3 2 17" xfId="0"/>
    <cellStyle name="Обычный 6 3 2 2" xfId="0"/>
    <cellStyle name="Обычный 6 3 2 2 10" xfId="0"/>
    <cellStyle name="Обычный 6 3 2 2 10 2" xfId="0"/>
    <cellStyle name="Обычный 6 3 2 2 10 3" xfId="0"/>
    <cellStyle name="Обычный 6 3 2 2 10 4" xfId="0"/>
    <cellStyle name="Обычный 6 3 2 2 10 5" xfId="0"/>
    <cellStyle name="Обычный 6 3 2 2 11" xfId="0"/>
    <cellStyle name="Обычный 6 3 2 2 12" xfId="0"/>
    <cellStyle name="Обычный 6 3 2 2 13" xfId="0"/>
    <cellStyle name="Обычный 6 3 2 2 14" xfId="0"/>
    <cellStyle name="Обычный 6 3 2 2 15" xfId="0"/>
    <cellStyle name="Обычный 6 3 2 2 2" xfId="0"/>
    <cellStyle name="Обычный 6 3 2 2 2 10" xfId="0"/>
    <cellStyle name="Обычный 6 3 2 2 2 11" xfId="0"/>
    <cellStyle name="Обычный 6 3 2 2 2 12" xfId="0"/>
    <cellStyle name="Обычный 6 3 2 2 2 13" xfId="0"/>
    <cellStyle name="Обычный 6 3 2 2 2 14" xfId="0"/>
    <cellStyle name="Обычный 6 3 2 2 2 2" xfId="0"/>
    <cellStyle name="Обычный 6 3 2 2 2 2 2" xfId="0"/>
    <cellStyle name="Обычный 6 3 2 2 2 2 2 2" xfId="0"/>
    <cellStyle name="Обычный 6 3 2 2 2 2 2 3" xfId="0"/>
    <cellStyle name="Обычный 6 3 2 2 2 2 2 4" xfId="0"/>
    <cellStyle name="Обычный 6 3 2 2 2 2 2 5" xfId="0"/>
    <cellStyle name="Обычный 6 3 2 2 2 2 3" xfId="0"/>
    <cellStyle name="Обычный 6 3 2 2 2 2 3 2" xfId="0"/>
    <cellStyle name="Обычный 6 3 2 2 2 2 3 3" xfId="0"/>
    <cellStyle name="Обычный 6 3 2 2 2 2 3 4" xfId="0"/>
    <cellStyle name="Обычный 6 3 2 2 2 2 3 5" xfId="0"/>
    <cellStyle name="Обычный 6 3 2 2 2 2 4" xfId="0"/>
    <cellStyle name="Обычный 6 3 2 2 2 2 5" xfId="0"/>
    <cellStyle name="Обычный 6 3 2 2 2 2 6" xfId="0"/>
    <cellStyle name="Обычный 6 3 2 2 2 2 7" xfId="0"/>
    <cellStyle name="Обычный 6 3 2 2 2 2 8" xfId="0"/>
    <cellStyle name="Обычный 6 3 2 2 2 3" xfId="0"/>
    <cellStyle name="Обычный 6 3 2 2 2 3 2" xfId="0"/>
    <cellStyle name="Обычный 6 3 2 2 2 3 2 2" xfId="0"/>
    <cellStyle name="Обычный 6 3 2 2 2 3 2 3" xfId="0"/>
    <cellStyle name="Обычный 6 3 2 2 2 3 2 4" xfId="0"/>
    <cellStyle name="Обычный 6 3 2 2 2 3 2 5" xfId="0"/>
    <cellStyle name="Обычный 6 3 2 2 2 3 3" xfId="0"/>
    <cellStyle name="Обычный 6 3 2 2 2 3 4" xfId="0"/>
    <cellStyle name="Обычный 6 3 2 2 2 3 5" xfId="0"/>
    <cellStyle name="Обычный 6 3 2 2 2 3 6" xfId="0"/>
    <cellStyle name="Обычный 6 3 2 2 2 4" xfId="0"/>
    <cellStyle name="Обычный 6 3 2 2 2 4 2" xfId="0"/>
    <cellStyle name="Обычный 6 3 2 2 2 4 2 2" xfId="0"/>
    <cellStyle name="Обычный 6 3 2 2 2 4 2 3" xfId="0"/>
    <cellStyle name="Обычный 6 3 2 2 2 4 2 4" xfId="0"/>
    <cellStyle name="Обычный 6 3 2 2 2 4 2 5" xfId="0"/>
    <cellStyle name="Обычный 6 3 2 2 2 4 3" xfId="0"/>
    <cellStyle name="Обычный 6 3 2 2 2 4 4" xfId="0"/>
    <cellStyle name="Обычный 6 3 2 2 2 4 5" xfId="0"/>
    <cellStyle name="Обычный 6 3 2 2 2 4 6" xfId="0"/>
    <cellStyle name="Обычный 6 3 2 2 2 5" xfId="0"/>
    <cellStyle name="Обычный 6 3 2 2 2 5 2" xfId="0"/>
    <cellStyle name="Обычный 6 3 2 2 2 5 2 2" xfId="0"/>
    <cellStyle name="Обычный 6 3 2 2 2 5 2 3" xfId="0"/>
    <cellStyle name="Обычный 6 3 2 2 2 5 2 4" xfId="0"/>
    <cellStyle name="Обычный 6 3 2 2 2 5 2 5" xfId="0"/>
    <cellStyle name="Обычный 6 3 2 2 2 5 3" xfId="0"/>
    <cellStyle name="Обычный 6 3 2 2 2 5 4" xfId="0"/>
    <cellStyle name="Обычный 6 3 2 2 2 5 5" xfId="0"/>
    <cellStyle name="Обычный 6 3 2 2 2 5 6" xfId="0"/>
    <cellStyle name="Обычный 6 3 2 2 2 6" xfId="0"/>
    <cellStyle name="Обычный 6 3 2 2 2 6 2" xfId="0"/>
    <cellStyle name="Обычный 6 3 2 2 2 6 2 2" xfId="0"/>
    <cellStyle name="Обычный 6 3 2 2 2 6 2 3" xfId="0"/>
    <cellStyle name="Обычный 6 3 2 2 2 6 2 4" xfId="0"/>
    <cellStyle name="Обычный 6 3 2 2 2 6 2 5" xfId="0"/>
    <cellStyle name="Обычный 6 3 2 2 2 6 3" xfId="0"/>
    <cellStyle name="Обычный 6 3 2 2 2 6 4" xfId="0"/>
    <cellStyle name="Обычный 6 3 2 2 2 6 5" xfId="0"/>
    <cellStyle name="Обычный 6 3 2 2 2 6 6" xfId="0"/>
    <cellStyle name="Обычный 6 3 2 2 2 7" xfId="0"/>
    <cellStyle name="Обычный 6 3 2 2 2 7 2" xfId="0"/>
    <cellStyle name="Обычный 6 3 2 2 2 7 3" xfId="0"/>
    <cellStyle name="Обычный 6 3 2 2 2 7 4" xfId="0"/>
    <cellStyle name="Обычный 6 3 2 2 2 7 5" xfId="0"/>
    <cellStyle name="Обычный 6 3 2 2 2 8" xfId="0"/>
    <cellStyle name="Обычный 6 3 2 2 2 9" xfId="0"/>
    <cellStyle name="Обычный 6 3 2 2 2 9 2" xfId="0"/>
    <cellStyle name="Обычный 6 3 2 2 2 9 3" xfId="0"/>
    <cellStyle name="Обычный 6 3 2 2 2 9 4" xfId="0"/>
    <cellStyle name="Обычный 6 3 2 2 2 9 5" xfId="0"/>
    <cellStyle name="Обычный 6 3 2 2 3" xfId="0"/>
    <cellStyle name="Обычный 6 3 2 2 3 2" xfId="0"/>
    <cellStyle name="Обычный 6 3 2 2 3 2 2" xfId="0"/>
    <cellStyle name="Обычный 6 3 2 2 3 2 3" xfId="0"/>
    <cellStyle name="Обычный 6 3 2 2 3 2 4" xfId="0"/>
    <cellStyle name="Обычный 6 3 2 2 3 2 5" xfId="0"/>
    <cellStyle name="Обычный 6 3 2 2 3 3" xfId="0"/>
    <cellStyle name="Обычный 6 3 2 2 3 3 2" xfId="0"/>
    <cellStyle name="Обычный 6 3 2 2 3 3 3" xfId="0"/>
    <cellStyle name="Обычный 6 3 2 2 3 3 4" xfId="0"/>
    <cellStyle name="Обычный 6 3 2 2 3 3 5" xfId="0"/>
    <cellStyle name="Обычный 6 3 2 2 3 4" xfId="0"/>
    <cellStyle name="Обычный 6 3 2 2 3 5" xfId="0"/>
    <cellStyle name="Обычный 6 3 2 2 3 6" xfId="0"/>
    <cellStyle name="Обычный 6 3 2 2 3 7" xfId="0"/>
    <cellStyle name="Обычный 6 3 2 2 3 8" xfId="0"/>
    <cellStyle name="Обычный 6 3 2 2 4" xfId="0"/>
    <cellStyle name="Обычный 6 3 2 2 4 2" xfId="0"/>
    <cellStyle name="Обычный 6 3 2 2 4 2 2" xfId="0"/>
    <cellStyle name="Обычный 6 3 2 2 4 2 3" xfId="0"/>
    <cellStyle name="Обычный 6 3 2 2 4 2 4" xfId="0"/>
    <cellStyle name="Обычный 6 3 2 2 4 2 5" xfId="0"/>
    <cellStyle name="Обычный 6 3 2 2 4 3" xfId="0"/>
    <cellStyle name="Обычный 6 3 2 2 4 4" xfId="0"/>
    <cellStyle name="Обычный 6 3 2 2 4 5" xfId="0"/>
    <cellStyle name="Обычный 6 3 2 2 4 6" xfId="0"/>
    <cellStyle name="Обычный 6 3 2 2 5" xfId="0"/>
    <cellStyle name="Обычный 6 3 2 2 5 2" xfId="0"/>
    <cellStyle name="Обычный 6 3 2 2 5 2 2" xfId="0"/>
    <cellStyle name="Обычный 6 3 2 2 5 2 3" xfId="0"/>
    <cellStyle name="Обычный 6 3 2 2 5 2 4" xfId="0"/>
    <cellStyle name="Обычный 6 3 2 2 5 2 5" xfId="0"/>
    <cellStyle name="Обычный 6 3 2 2 5 3" xfId="0"/>
    <cellStyle name="Обычный 6 3 2 2 5 4" xfId="0"/>
    <cellStyle name="Обычный 6 3 2 2 5 5" xfId="0"/>
    <cellStyle name="Обычный 6 3 2 2 5 6" xfId="0"/>
    <cellStyle name="Обычный 6 3 2 2 6" xfId="0"/>
    <cellStyle name="Обычный 6 3 2 2 6 2" xfId="0"/>
    <cellStyle name="Обычный 6 3 2 2 6 2 2" xfId="0"/>
    <cellStyle name="Обычный 6 3 2 2 6 2 3" xfId="0"/>
    <cellStyle name="Обычный 6 3 2 2 6 2 4" xfId="0"/>
    <cellStyle name="Обычный 6 3 2 2 6 2 5" xfId="0"/>
    <cellStyle name="Обычный 6 3 2 2 6 3" xfId="0"/>
    <cellStyle name="Обычный 6 3 2 2 6 4" xfId="0"/>
    <cellStyle name="Обычный 6 3 2 2 6 5" xfId="0"/>
    <cellStyle name="Обычный 6 3 2 2 6 6" xfId="0"/>
    <cellStyle name="Обычный 6 3 2 2 7" xfId="0"/>
    <cellStyle name="Обычный 6 3 2 2 7 2" xfId="0"/>
    <cellStyle name="Обычный 6 3 2 2 7 2 2" xfId="0"/>
    <cellStyle name="Обычный 6 3 2 2 7 2 3" xfId="0"/>
    <cellStyle name="Обычный 6 3 2 2 7 2 4" xfId="0"/>
    <cellStyle name="Обычный 6 3 2 2 7 2 5" xfId="0"/>
    <cellStyle name="Обычный 6 3 2 2 7 3" xfId="0"/>
    <cellStyle name="Обычный 6 3 2 2 7 4" xfId="0"/>
    <cellStyle name="Обычный 6 3 2 2 7 5" xfId="0"/>
    <cellStyle name="Обычный 6 3 2 2 7 6" xfId="0"/>
    <cellStyle name="Обычный 6 3 2 2 8" xfId="0"/>
    <cellStyle name="Обычный 6 3 2 2 8 2" xfId="0"/>
    <cellStyle name="Обычный 6 3 2 2 8 3" xfId="0"/>
    <cellStyle name="Обычный 6 3 2 2 8 4" xfId="0"/>
    <cellStyle name="Обычный 6 3 2 2 8 5" xfId="0"/>
    <cellStyle name="Обычный 6 3 2 2 9" xfId="0"/>
    <cellStyle name="Обычный 6 3 2 3" xfId="0"/>
    <cellStyle name="Обычный 6 3 2 3 10" xfId="0"/>
    <cellStyle name="Обычный 6 3 2 3 11" xfId="0"/>
    <cellStyle name="Обычный 6 3 2 3 12" xfId="0"/>
    <cellStyle name="Обычный 6 3 2 3 13" xfId="0"/>
    <cellStyle name="Обычный 6 3 2 3 14" xfId="0"/>
    <cellStyle name="Обычный 6 3 2 3 2" xfId="0"/>
    <cellStyle name="Обычный 6 3 2 3 2 2" xfId="0"/>
    <cellStyle name="Обычный 6 3 2 3 2 2 2" xfId="0"/>
    <cellStyle name="Обычный 6 3 2 3 2 2 3" xfId="0"/>
    <cellStyle name="Обычный 6 3 2 3 2 2 4" xfId="0"/>
    <cellStyle name="Обычный 6 3 2 3 2 2 5" xfId="0"/>
    <cellStyle name="Обычный 6 3 2 3 2 3" xfId="0"/>
    <cellStyle name="Обычный 6 3 2 3 2 3 2" xfId="0"/>
    <cellStyle name="Обычный 6 3 2 3 2 3 3" xfId="0"/>
    <cellStyle name="Обычный 6 3 2 3 2 3 4" xfId="0"/>
    <cellStyle name="Обычный 6 3 2 3 2 3 5" xfId="0"/>
    <cellStyle name="Обычный 6 3 2 3 2 4" xfId="0"/>
    <cellStyle name="Обычный 6 3 2 3 2 5" xfId="0"/>
    <cellStyle name="Обычный 6 3 2 3 2 6" xfId="0"/>
    <cellStyle name="Обычный 6 3 2 3 2 7" xfId="0"/>
    <cellStyle name="Обычный 6 3 2 3 2 8" xfId="0"/>
    <cellStyle name="Обычный 6 3 2 3 3" xfId="0"/>
    <cellStyle name="Обычный 6 3 2 3 3 2" xfId="0"/>
    <cellStyle name="Обычный 6 3 2 3 3 2 2" xfId="0"/>
    <cellStyle name="Обычный 6 3 2 3 3 2 3" xfId="0"/>
    <cellStyle name="Обычный 6 3 2 3 3 2 4" xfId="0"/>
    <cellStyle name="Обычный 6 3 2 3 3 2 5" xfId="0"/>
    <cellStyle name="Обычный 6 3 2 3 3 3" xfId="0"/>
    <cellStyle name="Обычный 6 3 2 3 3 4" xfId="0"/>
    <cellStyle name="Обычный 6 3 2 3 3 5" xfId="0"/>
    <cellStyle name="Обычный 6 3 2 3 3 6" xfId="0"/>
    <cellStyle name="Обычный 6 3 2 3 4" xfId="0"/>
    <cellStyle name="Обычный 6 3 2 3 4 2" xfId="0"/>
    <cellStyle name="Обычный 6 3 2 3 4 2 2" xfId="0"/>
    <cellStyle name="Обычный 6 3 2 3 4 2 3" xfId="0"/>
    <cellStyle name="Обычный 6 3 2 3 4 2 4" xfId="0"/>
    <cellStyle name="Обычный 6 3 2 3 4 2 5" xfId="0"/>
    <cellStyle name="Обычный 6 3 2 3 4 3" xfId="0"/>
    <cellStyle name="Обычный 6 3 2 3 4 4" xfId="0"/>
    <cellStyle name="Обычный 6 3 2 3 4 5" xfId="0"/>
    <cellStyle name="Обычный 6 3 2 3 4 6" xfId="0"/>
    <cellStyle name="Обычный 6 3 2 3 5" xfId="0"/>
    <cellStyle name="Обычный 6 3 2 3 5 2" xfId="0"/>
    <cellStyle name="Обычный 6 3 2 3 5 2 2" xfId="0"/>
    <cellStyle name="Обычный 6 3 2 3 5 2 3" xfId="0"/>
    <cellStyle name="Обычный 6 3 2 3 5 2 4" xfId="0"/>
    <cellStyle name="Обычный 6 3 2 3 5 2 5" xfId="0"/>
    <cellStyle name="Обычный 6 3 2 3 5 3" xfId="0"/>
    <cellStyle name="Обычный 6 3 2 3 5 4" xfId="0"/>
    <cellStyle name="Обычный 6 3 2 3 5 5" xfId="0"/>
    <cellStyle name="Обычный 6 3 2 3 5 6" xfId="0"/>
    <cellStyle name="Обычный 6 3 2 3 6" xfId="0"/>
    <cellStyle name="Обычный 6 3 2 3 6 2" xfId="0"/>
    <cellStyle name="Обычный 6 3 2 3 6 2 2" xfId="0"/>
    <cellStyle name="Обычный 6 3 2 3 6 2 3" xfId="0"/>
    <cellStyle name="Обычный 6 3 2 3 6 2 4" xfId="0"/>
    <cellStyle name="Обычный 6 3 2 3 6 2 5" xfId="0"/>
    <cellStyle name="Обычный 6 3 2 3 6 3" xfId="0"/>
    <cellStyle name="Обычный 6 3 2 3 6 4" xfId="0"/>
    <cellStyle name="Обычный 6 3 2 3 6 5" xfId="0"/>
    <cellStyle name="Обычный 6 3 2 3 6 6" xfId="0"/>
    <cellStyle name="Обычный 6 3 2 3 7" xfId="0"/>
    <cellStyle name="Обычный 6 3 2 3 7 2" xfId="0"/>
    <cellStyle name="Обычный 6 3 2 3 7 3" xfId="0"/>
    <cellStyle name="Обычный 6 3 2 3 7 4" xfId="0"/>
    <cellStyle name="Обычный 6 3 2 3 7 5" xfId="0"/>
    <cellStyle name="Обычный 6 3 2 3 8" xfId="0"/>
    <cellStyle name="Обычный 6 3 2 3 9" xfId="0"/>
    <cellStyle name="Обычный 6 3 2 3 9 2" xfId="0"/>
    <cellStyle name="Обычный 6 3 2 3 9 3" xfId="0"/>
    <cellStyle name="Обычный 6 3 2 3 9 4" xfId="0"/>
    <cellStyle name="Обычный 6 3 2 3 9 5" xfId="0"/>
    <cellStyle name="Обычный 6 3 2 4" xfId="0"/>
    <cellStyle name="Обычный 6 3 2 4 10" xfId="0"/>
    <cellStyle name="Обычный 6 3 2 4 10 2" xfId="0"/>
    <cellStyle name="Обычный 6 3 2 4 10 3" xfId="0"/>
    <cellStyle name="Обычный 6 3 2 4 10 4" xfId="0"/>
    <cellStyle name="Обычный 6 3 2 4 10 5" xfId="0"/>
    <cellStyle name="Обычный 6 3 2 4 11" xfId="0"/>
    <cellStyle name="Обычный 6 3 2 4 12" xfId="0"/>
    <cellStyle name="Обычный 6 3 2 4 13" xfId="0"/>
    <cellStyle name="Обычный 6 3 2 4 14" xfId="0"/>
    <cellStyle name="Обычный 6 3 2 4 15" xfId="0"/>
    <cellStyle name="Обычный 6 3 2 4 2" xfId="0"/>
    <cellStyle name="Обычный 6 3 2 4 2 10" xfId="0"/>
    <cellStyle name="Обычный 6 3 2 4 2 11" xfId="0"/>
    <cellStyle name="Обычный 6 3 2 4 2 12" xfId="0"/>
    <cellStyle name="Обычный 6 3 2 4 2 13" xfId="0"/>
    <cellStyle name="Обычный 6 3 2 4 2 14" xfId="0"/>
    <cellStyle name="Обычный 6 3 2 4 2 2" xfId="0"/>
    <cellStyle name="Обычный 6 3 2 4 2 2 2" xfId="0"/>
    <cellStyle name="Обычный 6 3 2 4 2 2 2 2" xfId="0"/>
    <cellStyle name="Обычный 6 3 2 4 2 2 2 3" xfId="0"/>
    <cellStyle name="Обычный 6 3 2 4 2 2 2 4" xfId="0"/>
    <cellStyle name="Обычный 6 3 2 4 2 2 2 5" xfId="0"/>
    <cellStyle name="Обычный 6 3 2 4 2 2 3" xfId="0"/>
    <cellStyle name="Обычный 6 3 2 4 2 2 3 2" xfId="0"/>
    <cellStyle name="Обычный 6 3 2 4 2 2 3 3" xfId="0"/>
    <cellStyle name="Обычный 6 3 2 4 2 2 3 4" xfId="0"/>
    <cellStyle name="Обычный 6 3 2 4 2 2 3 5" xfId="0"/>
    <cellStyle name="Обычный 6 3 2 4 2 2 4" xfId="0"/>
    <cellStyle name="Обычный 6 3 2 4 2 2 5" xfId="0"/>
    <cellStyle name="Обычный 6 3 2 4 2 2 6" xfId="0"/>
    <cellStyle name="Обычный 6 3 2 4 2 2 7" xfId="0"/>
    <cellStyle name="Обычный 6 3 2 4 2 2 8" xfId="0"/>
    <cellStyle name="Обычный 6 3 2 4 2 3" xfId="0"/>
    <cellStyle name="Обычный 6 3 2 4 2 3 2" xfId="0"/>
    <cellStyle name="Обычный 6 3 2 4 2 3 2 2" xfId="0"/>
    <cellStyle name="Обычный 6 3 2 4 2 3 2 3" xfId="0"/>
    <cellStyle name="Обычный 6 3 2 4 2 3 2 4" xfId="0"/>
    <cellStyle name="Обычный 6 3 2 4 2 3 2 5" xfId="0"/>
    <cellStyle name="Обычный 6 3 2 4 2 3 3" xfId="0"/>
    <cellStyle name="Обычный 6 3 2 4 2 3 4" xfId="0"/>
    <cellStyle name="Обычный 6 3 2 4 2 3 5" xfId="0"/>
    <cellStyle name="Обычный 6 3 2 4 2 3 6" xfId="0"/>
    <cellStyle name="Обычный 6 3 2 4 2 4" xfId="0"/>
    <cellStyle name="Обычный 6 3 2 4 2 4 2" xfId="0"/>
    <cellStyle name="Обычный 6 3 2 4 2 4 2 2" xfId="0"/>
    <cellStyle name="Обычный 6 3 2 4 2 4 2 3" xfId="0"/>
    <cellStyle name="Обычный 6 3 2 4 2 4 2 4" xfId="0"/>
    <cellStyle name="Обычный 6 3 2 4 2 4 2 5" xfId="0"/>
    <cellStyle name="Обычный 6 3 2 4 2 4 3" xfId="0"/>
    <cellStyle name="Обычный 6 3 2 4 2 4 4" xfId="0"/>
    <cellStyle name="Обычный 6 3 2 4 2 4 5" xfId="0"/>
    <cellStyle name="Обычный 6 3 2 4 2 4 6" xfId="0"/>
    <cellStyle name="Обычный 6 3 2 4 2 5" xfId="0"/>
    <cellStyle name="Обычный 6 3 2 4 2 5 2" xfId="0"/>
    <cellStyle name="Обычный 6 3 2 4 2 5 2 2" xfId="0"/>
    <cellStyle name="Обычный 6 3 2 4 2 5 2 3" xfId="0"/>
    <cellStyle name="Обычный 6 3 2 4 2 5 2 4" xfId="0"/>
    <cellStyle name="Обычный 6 3 2 4 2 5 2 5" xfId="0"/>
    <cellStyle name="Обычный 6 3 2 4 2 5 3" xfId="0"/>
    <cellStyle name="Обычный 6 3 2 4 2 5 4" xfId="0"/>
    <cellStyle name="Обычный 6 3 2 4 2 5 5" xfId="0"/>
    <cellStyle name="Обычный 6 3 2 4 2 5 6" xfId="0"/>
    <cellStyle name="Обычный 6 3 2 4 2 6" xfId="0"/>
    <cellStyle name="Обычный 6 3 2 4 2 6 2" xfId="0"/>
    <cellStyle name="Обычный 6 3 2 4 2 6 2 2" xfId="0"/>
    <cellStyle name="Обычный 6 3 2 4 2 6 2 3" xfId="0"/>
    <cellStyle name="Обычный 6 3 2 4 2 6 2 4" xfId="0"/>
    <cellStyle name="Обычный 6 3 2 4 2 6 2 5" xfId="0"/>
    <cellStyle name="Обычный 6 3 2 4 2 6 3" xfId="0"/>
    <cellStyle name="Обычный 6 3 2 4 2 6 4" xfId="0"/>
    <cellStyle name="Обычный 6 3 2 4 2 6 5" xfId="0"/>
    <cellStyle name="Обычный 6 3 2 4 2 6 6" xfId="0"/>
    <cellStyle name="Обычный 6 3 2 4 2 7" xfId="0"/>
    <cellStyle name="Обычный 6 3 2 4 2 7 2" xfId="0"/>
    <cellStyle name="Обычный 6 3 2 4 2 7 3" xfId="0"/>
    <cellStyle name="Обычный 6 3 2 4 2 7 4" xfId="0"/>
    <cellStyle name="Обычный 6 3 2 4 2 7 5" xfId="0"/>
    <cellStyle name="Обычный 6 3 2 4 2 8" xfId="0"/>
    <cellStyle name="Обычный 6 3 2 4 2 9" xfId="0"/>
    <cellStyle name="Обычный 6 3 2 4 2 9 2" xfId="0"/>
    <cellStyle name="Обычный 6 3 2 4 2 9 3" xfId="0"/>
    <cellStyle name="Обычный 6 3 2 4 2 9 4" xfId="0"/>
    <cellStyle name="Обычный 6 3 2 4 2 9 5" xfId="0"/>
    <cellStyle name="Обычный 6 3 2 4 3" xfId="0"/>
    <cellStyle name="Обычный 6 3 2 4 3 2" xfId="0"/>
    <cellStyle name="Обычный 6 3 2 4 3 2 2" xfId="0"/>
    <cellStyle name="Обычный 6 3 2 4 3 2 3" xfId="0"/>
    <cellStyle name="Обычный 6 3 2 4 3 2 4" xfId="0"/>
    <cellStyle name="Обычный 6 3 2 4 3 2 5" xfId="0"/>
    <cellStyle name="Обычный 6 3 2 4 3 3" xfId="0"/>
    <cellStyle name="Обычный 6 3 2 4 3 3 2" xfId="0"/>
    <cellStyle name="Обычный 6 3 2 4 3 3 3" xfId="0"/>
    <cellStyle name="Обычный 6 3 2 4 3 3 4" xfId="0"/>
    <cellStyle name="Обычный 6 3 2 4 3 3 5" xfId="0"/>
    <cellStyle name="Обычный 6 3 2 4 3 4" xfId="0"/>
    <cellStyle name="Обычный 6 3 2 4 3 5" xfId="0"/>
    <cellStyle name="Обычный 6 3 2 4 3 6" xfId="0"/>
    <cellStyle name="Обычный 6 3 2 4 3 7" xfId="0"/>
    <cellStyle name="Обычный 6 3 2 4 3 8" xfId="0"/>
    <cellStyle name="Обычный 6 3 2 4 4" xfId="0"/>
    <cellStyle name="Обычный 6 3 2 4 4 2" xfId="0"/>
    <cellStyle name="Обычный 6 3 2 4 4 2 2" xfId="0"/>
    <cellStyle name="Обычный 6 3 2 4 4 2 3" xfId="0"/>
    <cellStyle name="Обычный 6 3 2 4 4 2 4" xfId="0"/>
    <cellStyle name="Обычный 6 3 2 4 4 2 5" xfId="0"/>
    <cellStyle name="Обычный 6 3 2 4 4 3" xfId="0"/>
    <cellStyle name="Обычный 6 3 2 4 4 4" xfId="0"/>
    <cellStyle name="Обычный 6 3 2 4 4 5" xfId="0"/>
    <cellStyle name="Обычный 6 3 2 4 4 6" xfId="0"/>
    <cellStyle name="Обычный 6 3 2 4 5" xfId="0"/>
    <cellStyle name="Обычный 6 3 2 4 5 2" xfId="0"/>
    <cellStyle name="Обычный 6 3 2 4 5 2 2" xfId="0"/>
    <cellStyle name="Обычный 6 3 2 4 5 2 3" xfId="0"/>
    <cellStyle name="Обычный 6 3 2 4 5 2 4" xfId="0"/>
    <cellStyle name="Обычный 6 3 2 4 5 2 5" xfId="0"/>
    <cellStyle name="Обычный 6 3 2 4 5 3" xfId="0"/>
    <cellStyle name="Обычный 6 3 2 4 5 4" xfId="0"/>
    <cellStyle name="Обычный 6 3 2 4 5 5" xfId="0"/>
    <cellStyle name="Обычный 6 3 2 4 5 6" xfId="0"/>
    <cellStyle name="Обычный 6 3 2 4 6" xfId="0"/>
    <cellStyle name="Обычный 6 3 2 4 6 2" xfId="0"/>
    <cellStyle name="Обычный 6 3 2 4 6 2 2" xfId="0"/>
    <cellStyle name="Обычный 6 3 2 4 6 2 3" xfId="0"/>
    <cellStyle name="Обычный 6 3 2 4 6 2 4" xfId="0"/>
    <cellStyle name="Обычный 6 3 2 4 6 2 5" xfId="0"/>
    <cellStyle name="Обычный 6 3 2 4 6 3" xfId="0"/>
    <cellStyle name="Обычный 6 3 2 4 6 4" xfId="0"/>
    <cellStyle name="Обычный 6 3 2 4 6 5" xfId="0"/>
    <cellStyle name="Обычный 6 3 2 4 6 6" xfId="0"/>
    <cellStyle name="Обычный 6 3 2 4 7" xfId="0"/>
    <cellStyle name="Обычный 6 3 2 4 7 2" xfId="0"/>
    <cellStyle name="Обычный 6 3 2 4 7 2 2" xfId="0"/>
    <cellStyle name="Обычный 6 3 2 4 7 2 3" xfId="0"/>
    <cellStyle name="Обычный 6 3 2 4 7 2 4" xfId="0"/>
    <cellStyle name="Обычный 6 3 2 4 7 2 5" xfId="0"/>
    <cellStyle name="Обычный 6 3 2 4 7 3" xfId="0"/>
    <cellStyle name="Обычный 6 3 2 4 7 4" xfId="0"/>
    <cellStyle name="Обычный 6 3 2 4 7 5" xfId="0"/>
    <cellStyle name="Обычный 6 3 2 4 7 6" xfId="0"/>
    <cellStyle name="Обычный 6 3 2 4 8" xfId="0"/>
    <cellStyle name="Обычный 6 3 2 4 8 2" xfId="0"/>
    <cellStyle name="Обычный 6 3 2 4 8 3" xfId="0"/>
    <cellStyle name="Обычный 6 3 2 4 8 4" xfId="0"/>
    <cellStyle name="Обычный 6 3 2 4 8 5" xfId="0"/>
    <cellStyle name="Обычный 6 3 2 4 9" xfId="0"/>
    <cellStyle name="Обычный 6 3 2 5" xfId="0"/>
    <cellStyle name="Обычный 6 3 2 5 2" xfId="0"/>
    <cellStyle name="Обычный 6 3 2 5 2 2" xfId="0"/>
    <cellStyle name="Обычный 6 3 2 5 2 3" xfId="0"/>
    <cellStyle name="Обычный 6 3 2 5 2 4" xfId="0"/>
    <cellStyle name="Обычный 6 3 2 5 2 5" xfId="0"/>
    <cellStyle name="Обычный 6 3 2 5 3" xfId="0"/>
    <cellStyle name="Обычный 6 3 2 5 3 2" xfId="0"/>
    <cellStyle name="Обычный 6 3 2 5 3 3" xfId="0"/>
    <cellStyle name="Обычный 6 3 2 5 3 4" xfId="0"/>
    <cellStyle name="Обычный 6 3 2 5 3 5" xfId="0"/>
    <cellStyle name="Обычный 6 3 2 5 4" xfId="0"/>
    <cellStyle name="Обычный 6 3 2 5 5" xfId="0"/>
    <cellStyle name="Обычный 6 3 2 5 6" xfId="0"/>
    <cellStyle name="Обычный 6 3 2 5 7" xfId="0"/>
    <cellStyle name="Обычный 6 3 2 5 8" xfId="0"/>
    <cellStyle name="Обычный 6 3 2 6" xfId="0"/>
    <cellStyle name="Обычный 6 3 2 6 2" xfId="0"/>
    <cellStyle name="Обычный 6 3 2 6 2 2" xfId="0"/>
    <cellStyle name="Обычный 6 3 2 6 2 3" xfId="0"/>
    <cellStyle name="Обычный 6 3 2 6 2 4" xfId="0"/>
    <cellStyle name="Обычный 6 3 2 6 2 5" xfId="0"/>
    <cellStyle name="Обычный 6 3 2 6 3" xfId="0"/>
    <cellStyle name="Обычный 6 3 2 6 4" xfId="0"/>
    <cellStyle name="Обычный 6 3 2 6 5" xfId="0"/>
    <cellStyle name="Обычный 6 3 2 6 6" xfId="0"/>
    <cellStyle name="Обычный 6 3 2 7" xfId="0"/>
    <cellStyle name="Обычный 6 3 2 7 2" xfId="0"/>
    <cellStyle name="Обычный 6 3 2 7 2 2" xfId="0"/>
    <cellStyle name="Обычный 6 3 2 7 2 3" xfId="0"/>
    <cellStyle name="Обычный 6 3 2 7 2 4" xfId="0"/>
    <cellStyle name="Обычный 6 3 2 7 2 5" xfId="0"/>
    <cellStyle name="Обычный 6 3 2 7 3" xfId="0"/>
    <cellStyle name="Обычный 6 3 2 7 4" xfId="0"/>
    <cellStyle name="Обычный 6 3 2 7 5" xfId="0"/>
    <cellStyle name="Обычный 6 3 2 7 6" xfId="0"/>
    <cellStyle name="Обычный 6 3 2 8" xfId="0"/>
    <cellStyle name="Обычный 6 3 2 8 2" xfId="0"/>
    <cellStyle name="Обычный 6 3 2 8 2 2" xfId="0"/>
    <cellStyle name="Обычный 6 3 2 8 2 3" xfId="0"/>
    <cellStyle name="Обычный 6 3 2 8 2 4" xfId="0"/>
    <cellStyle name="Обычный 6 3 2 8 2 5" xfId="0"/>
    <cellStyle name="Обычный 6 3 2 8 3" xfId="0"/>
    <cellStyle name="Обычный 6 3 2 8 4" xfId="0"/>
    <cellStyle name="Обычный 6 3 2 8 5" xfId="0"/>
    <cellStyle name="Обычный 6 3 2 8 6" xfId="0"/>
    <cellStyle name="Обычный 6 3 2 9" xfId="0"/>
    <cellStyle name="Обычный 6 3 2 9 2" xfId="0"/>
    <cellStyle name="Обычный 6 3 2 9 2 2" xfId="0"/>
    <cellStyle name="Обычный 6 3 2 9 2 3" xfId="0"/>
    <cellStyle name="Обычный 6 3 2 9 2 4" xfId="0"/>
    <cellStyle name="Обычный 6 3 2 9 2 5" xfId="0"/>
    <cellStyle name="Обычный 6 3 2 9 3" xfId="0"/>
    <cellStyle name="Обычный 6 3 2 9 4" xfId="0"/>
    <cellStyle name="Обычный 6 3 2 9 5" xfId="0"/>
    <cellStyle name="Обычный 6 3 2 9 6" xfId="0"/>
    <cellStyle name="Обычный 6 4" xfId="0"/>
    <cellStyle name="Обычный 6 4 2" xfId="0"/>
    <cellStyle name="Обычный 6 4 3" xfId="0"/>
    <cellStyle name="Обычный 6 4 4" xfId="0"/>
    <cellStyle name="Обычный 6 4 5" xfId="0"/>
    <cellStyle name="Обычный 6 4 6" xfId="0"/>
    <cellStyle name="Обычный 6 5" xfId="0"/>
    <cellStyle name="Обычный 6 5 2" xfId="0"/>
    <cellStyle name="Обычный 6 5 3" xfId="0"/>
    <cellStyle name="Обычный 6 5 4" xfId="0"/>
    <cellStyle name="Обычный 6 5 5" xfId="0"/>
    <cellStyle name="Обычный 6 6" xfId="0"/>
    <cellStyle name="Обычный 60" xfId="0"/>
    <cellStyle name="Обычный 60 2" xfId="0"/>
    <cellStyle name="Обычный 60 2 2" xfId="0"/>
    <cellStyle name="Обычный 60 3" xfId="0"/>
    <cellStyle name="Обычный 60 4" xfId="0"/>
    <cellStyle name="Обычный 61" xfId="0"/>
    <cellStyle name="Обычный 61 2" xfId="0"/>
    <cellStyle name="Обычный 61 3" xfId="0"/>
    <cellStyle name="Обычный 61 4" xfId="0"/>
    <cellStyle name="Обычный 62" xfId="0"/>
    <cellStyle name="Обычный 62 2" xfId="0"/>
    <cellStyle name="Обычный 63" xfId="0"/>
    <cellStyle name="Обычный 63 2" xfId="0"/>
    <cellStyle name="Обычный 64" xfId="0"/>
    <cellStyle name="Обычный 64 2" xfId="0"/>
    <cellStyle name="Обычный 65" xfId="0"/>
    <cellStyle name="Обычный 65 2" xfId="0"/>
    <cellStyle name="Обычный 66" xfId="0"/>
    <cellStyle name="Обычный 66 2" xfId="0"/>
    <cellStyle name="Обычный 67" xfId="0"/>
    <cellStyle name="Обычный 67 2" xfId="0"/>
    <cellStyle name="Обычный 68" xfId="0"/>
    <cellStyle name="Обычный 68 2" xfId="0"/>
    <cellStyle name="Обычный 68 2 2" xfId="0"/>
    <cellStyle name="Обычный 69" xfId="0"/>
    <cellStyle name="Обычный 69 10" xfId="0"/>
    <cellStyle name="Обычный 69 11" xfId="0"/>
    <cellStyle name="Обычный 69 12" xfId="0"/>
    <cellStyle name="Обычный 69 13" xfId="0"/>
    <cellStyle name="Обычный 69 2" xfId="0"/>
    <cellStyle name="Обычный 69 2 2" xfId="0"/>
    <cellStyle name="Обычный 69 2 3" xfId="0"/>
    <cellStyle name="Обычный 69 2 3 2" xfId="0"/>
    <cellStyle name="Обычный 69 2 3 3" xfId="0"/>
    <cellStyle name="Обычный 69 2 3 4" xfId="0"/>
    <cellStyle name="Обычный 69 2 3 5" xfId="0"/>
    <cellStyle name="Обычный 69 2 4" xfId="0"/>
    <cellStyle name="Обычный 69 2 4 2" xfId="0"/>
    <cellStyle name="Обычный 69 2 4 3" xfId="0"/>
    <cellStyle name="Обычный 69 2 4 4" xfId="0"/>
    <cellStyle name="Обычный 69 2 4 5" xfId="0"/>
    <cellStyle name="Обычный 69 2 5" xfId="0"/>
    <cellStyle name="Обычный 69 2 6" xfId="0"/>
    <cellStyle name="Обычный 69 2 7" xfId="0"/>
    <cellStyle name="Обычный 69 2 8" xfId="0"/>
    <cellStyle name="Обычный 69 2 9" xfId="0"/>
    <cellStyle name="Обычный 69 3" xfId="0"/>
    <cellStyle name="Обычный 69 3 2" xfId="0"/>
    <cellStyle name="Обычный 69 3 2 2" xfId="0"/>
    <cellStyle name="Обычный 69 3 2 3" xfId="0"/>
    <cellStyle name="Обычный 69 3 2 4" xfId="0"/>
    <cellStyle name="Обычный 69 3 2 5" xfId="0"/>
    <cellStyle name="Обычный 69 3 3" xfId="0"/>
    <cellStyle name="Обычный 69 3 4" xfId="0"/>
    <cellStyle name="Обычный 69 3 5" xfId="0"/>
    <cellStyle name="Обычный 69 3 6" xfId="0"/>
    <cellStyle name="Обычный 69 4" xfId="0"/>
    <cellStyle name="Обычный 69 4 2" xfId="0"/>
    <cellStyle name="Обычный 69 4 2 2" xfId="0"/>
    <cellStyle name="Обычный 69 4 2 3" xfId="0"/>
    <cellStyle name="Обычный 69 4 2 4" xfId="0"/>
    <cellStyle name="Обычный 69 4 2 5" xfId="0"/>
    <cellStyle name="Обычный 69 4 3" xfId="0"/>
    <cellStyle name="Обычный 69 4 4" xfId="0"/>
    <cellStyle name="Обычный 69 4 5" xfId="0"/>
    <cellStyle name="Обычный 69 4 6" xfId="0"/>
    <cellStyle name="Обычный 69 5" xfId="0"/>
    <cellStyle name="Обычный 69 5 2" xfId="0"/>
    <cellStyle name="Обычный 69 5 2 2" xfId="0"/>
    <cellStyle name="Обычный 69 5 2 3" xfId="0"/>
    <cellStyle name="Обычный 69 5 2 4" xfId="0"/>
    <cellStyle name="Обычный 69 5 2 5" xfId="0"/>
    <cellStyle name="Обычный 69 5 3" xfId="0"/>
    <cellStyle name="Обычный 69 5 4" xfId="0"/>
    <cellStyle name="Обычный 69 5 5" xfId="0"/>
    <cellStyle name="Обычный 69 5 6" xfId="0"/>
    <cellStyle name="Обычный 69 6" xfId="0"/>
    <cellStyle name="Обычный 69 6 2" xfId="0"/>
    <cellStyle name="Обычный 69 6 3" xfId="0"/>
    <cellStyle name="Обычный 69 6 4" xfId="0"/>
    <cellStyle name="Обычный 69 6 5" xfId="0"/>
    <cellStyle name="Обычный 69 7" xfId="0"/>
    <cellStyle name="Обычный 69 8" xfId="0"/>
    <cellStyle name="Обычный 69 8 2" xfId="0"/>
    <cellStyle name="Обычный 69 8 3" xfId="0"/>
    <cellStyle name="Обычный 69 8 4" xfId="0"/>
    <cellStyle name="Обычный 69 8 5" xfId="0"/>
    <cellStyle name="Обычный 69 9" xfId="0"/>
    <cellStyle name="Обычный 7" xfId="0"/>
    <cellStyle name="Обычный 7 2" xfId="0"/>
    <cellStyle name="Обычный 7 2 2" xfId="0"/>
    <cellStyle name="Обычный 7 2 2 10" xfId="0"/>
    <cellStyle name="Обычный 7 2 2 11" xfId="0"/>
    <cellStyle name="Обычный 7 2 2 12" xfId="0"/>
    <cellStyle name="Обычный 7 2 2 13" xfId="0"/>
    <cellStyle name="Обычный 7 2 2 2" xfId="0"/>
    <cellStyle name="Обычный 7 2 2 2 2" xfId="0"/>
    <cellStyle name="Обычный 7 2 2 2 2 2" xfId="0"/>
    <cellStyle name="Обычный 7 2 2 2 2 3" xfId="0"/>
    <cellStyle name="Обычный 7 2 2 2 2 4" xfId="0"/>
    <cellStyle name="Обычный 7 2 2 2 2 5" xfId="0"/>
    <cellStyle name="Обычный 7 2 2 2 3" xfId="0"/>
    <cellStyle name="Обычный 7 2 2 2 4" xfId="0"/>
    <cellStyle name="Обычный 7 2 2 2 5" xfId="0"/>
    <cellStyle name="Обычный 7 2 2 2 6" xfId="0"/>
    <cellStyle name="Обычный 7 2 2 3" xfId="0"/>
    <cellStyle name="Обычный 7 2 2 3 2" xfId="0"/>
    <cellStyle name="Обычный 7 2 2 3 2 2" xfId="0"/>
    <cellStyle name="Обычный 7 2 2 3 2 3" xfId="0"/>
    <cellStyle name="Обычный 7 2 2 3 2 4" xfId="0"/>
    <cellStyle name="Обычный 7 2 2 3 2 5" xfId="0"/>
    <cellStyle name="Обычный 7 2 2 3 3" xfId="0"/>
    <cellStyle name="Обычный 7 2 2 3 4" xfId="0"/>
    <cellStyle name="Обычный 7 2 2 3 5" xfId="0"/>
    <cellStyle name="Обычный 7 2 2 3 6" xfId="0"/>
    <cellStyle name="Обычный 7 2 2 4" xfId="0"/>
    <cellStyle name="Обычный 7 2 2 4 2" xfId="0"/>
    <cellStyle name="Обычный 7 2 2 4 2 2" xfId="0"/>
    <cellStyle name="Обычный 7 2 2 4 2 3" xfId="0"/>
    <cellStyle name="Обычный 7 2 2 4 2 4" xfId="0"/>
    <cellStyle name="Обычный 7 2 2 4 2 5" xfId="0"/>
    <cellStyle name="Обычный 7 2 2 4 3" xfId="0"/>
    <cellStyle name="Обычный 7 2 2 4 4" xfId="0"/>
    <cellStyle name="Обычный 7 2 2 4 5" xfId="0"/>
    <cellStyle name="Обычный 7 2 2 4 6" xfId="0"/>
    <cellStyle name="Обычный 7 2 2 5" xfId="0"/>
    <cellStyle name="Обычный 7 2 2 5 2" xfId="0"/>
    <cellStyle name="Обычный 7 2 2 5 2 2" xfId="0"/>
    <cellStyle name="Обычный 7 2 2 5 2 3" xfId="0"/>
    <cellStyle name="Обычный 7 2 2 5 2 4" xfId="0"/>
    <cellStyle name="Обычный 7 2 2 5 2 5" xfId="0"/>
    <cellStyle name="Обычный 7 2 2 5 3" xfId="0"/>
    <cellStyle name="Обычный 7 2 2 5 4" xfId="0"/>
    <cellStyle name="Обычный 7 2 2 5 5" xfId="0"/>
    <cellStyle name="Обычный 7 2 2 5 6" xfId="0"/>
    <cellStyle name="Обычный 7 2 2 6" xfId="0"/>
    <cellStyle name="Обычный 7 2 2 6 2" xfId="0"/>
    <cellStyle name="Обычный 7 2 2 6 2 2" xfId="0"/>
    <cellStyle name="Обычный 7 2 2 6 2 3" xfId="0"/>
    <cellStyle name="Обычный 7 2 2 6 2 4" xfId="0"/>
    <cellStyle name="Обычный 7 2 2 6 2 5" xfId="0"/>
    <cellStyle name="Обычный 7 2 2 6 3" xfId="0"/>
    <cellStyle name="Обычный 7 2 2 6 4" xfId="0"/>
    <cellStyle name="Обычный 7 2 2 6 5" xfId="0"/>
    <cellStyle name="Обычный 7 2 2 6 6" xfId="0"/>
    <cellStyle name="Обычный 7 2 2 7" xfId="0"/>
    <cellStyle name="Обычный 7 2 2 7 2" xfId="0"/>
    <cellStyle name="Обычный 7 2 2 7 3" xfId="0"/>
    <cellStyle name="Обычный 7 2 2 7 4" xfId="0"/>
    <cellStyle name="Обычный 7 2 2 7 5" xfId="0"/>
    <cellStyle name="Обычный 7 2 2 8" xfId="0"/>
    <cellStyle name="Обычный 7 2 2 8 2" xfId="0"/>
    <cellStyle name="Обычный 7 2 2 8 3" xfId="0"/>
    <cellStyle name="Обычный 7 2 2 8 4" xfId="0"/>
    <cellStyle name="Обычный 7 2 2 8 5" xfId="0"/>
    <cellStyle name="Обычный 7 2 2 9" xfId="0"/>
    <cellStyle name="Обычный 7 2 3" xfId="0"/>
    <cellStyle name="Обычный 7 2 4" xfId="0"/>
    <cellStyle name="Обычный 7 2 4 2" xfId="0"/>
    <cellStyle name="Обычный 7 2 4 3" xfId="0"/>
    <cellStyle name="Обычный 7 2 4 4" xfId="0"/>
    <cellStyle name="Обычный 7 2 4 5" xfId="0"/>
    <cellStyle name="Обычный 7 2 5" xfId="0"/>
    <cellStyle name="Обычный 7 3" xfId="0"/>
    <cellStyle name="Обычный 7 3 10" xfId="0"/>
    <cellStyle name="Обычный 7 3 11" xfId="0"/>
    <cellStyle name="Обычный 7 3 12" xfId="0"/>
    <cellStyle name="Обычный 7 3 13" xfId="0"/>
    <cellStyle name="Обычный 7 3 14" xfId="0"/>
    <cellStyle name="Обычный 7 3 2" xfId="0"/>
    <cellStyle name="Обычный 7 3 2 2" xfId="0"/>
    <cellStyle name="Обычный 7 3 2 2 2" xfId="0"/>
    <cellStyle name="Обычный 7 3 2 2 3" xfId="0"/>
    <cellStyle name="Обычный 7 3 2 2 4" xfId="0"/>
    <cellStyle name="Обычный 7 3 2 2 5" xfId="0"/>
    <cellStyle name="Обычный 7 3 2 3" xfId="0"/>
    <cellStyle name="Обычный 7 3 2 3 2" xfId="0"/>
    <cellStyle name="Обычный 7 3 2 3 3" xfId="0"/>
    <cellStyle name="Обычный 7 3 2 3 4" xfId="0"/>
    <cellStyle name="Обычный 7 3 2 3 5" xfId="0"/>
    <cellStyle name="Обычный 7 3 2 4" xfId="0"/>
    <cellStyle name="Обычный 7 3 2 5" xfId="0"/>
    <cellStyle name="Обычный 7 3 2 6" xfId="0"/>
    <cellStyle name="Обычный 7 3 2 7" xfId="0"/>
    <cellStyle name="Обычный 7 3 2 8" xfId="0"/>
    <cellStyle name="Обычный 7 3 3" xfId="0"/>
    <cellStyle name="Обычный 7 3 3 2" xfId="0"/>
    <cellStyle name="Обычный 7 3 3 2 2" xfId="0"/>
    <cellStyle name="Обычный 7 3 3 2 3" xfId="0"/>
    <cellStyle name="Обычный 7 3 3 2 4" xfId="0"/>
    <cellStyle name="Обычный 7 3 3 2 5" xfId="0"/>
    <cellStyle name="Обычный 7 3 3 3" xfId="0"/>
    <cellStyle name="Обычный 7 3 3 4" xfId="0"/>
    <cellStyle name="Обычный 7 3 3 5" xfId="0"/>
    <cellStyle name="Обычный 7 3 3 6" xfId="0"/>
    <cellStyle name="Обычный 7 3 4" xfId="0"/>
    <cellStyle name="Обычный 7 3 4 2" xfId="0"/>
    <cellStyle name="Обычный 7 3 4 2 2" xfId="0"/>
    <cellStyle name="Обычный 7 3 4 2 3" xfId="0"/>
    <cellStyle name="Обычный 7 3 4 2 4" xfId="0"/>
    <cellStyle name="Обычный 7 3 4 2 5" xfId="0"/>
    <cellStyle name="Обычный 7 3 4 3" xfId="0"/>
    <cellStyle name="Обычный 7 3 4 4" xfId="0"/>
    <cellStyle name="Обычный 7 3 4 5" xfId="0"/>
    <cellStyle name="Обычный 7 3 4 6" xfId="0"/>
    <cellStyle name="Обычный 7 3 5" xfId="0"/>
    <cellStyle name="Обычный 7 3 5 2" xfId="0"/>
    <cellStyle name="Обычный 7 3 5 2 2" xfId="0"/>
    <cellStyle name="Обычный 7 3 5 2 3" xfId="0"/>
    <cellStyle name="Обычный 7 3 5 2 4" xfId="0"/>
    <cellStyle name="Обычный 7 3 5 2 5" xfId="0"/>
    <cellStyle name="Обычный 7 3 5 3" xfId="0"/>
    <cellStyle name="Обычный 7 3 5 4" xfId="0"/>
    <cellStyle name="Обычный 7 3 5 5" xfId="0"/>
    <cellStyle name="Обычный 7 3 5 6" xfId="0"/>
    <cellStyle name="Обычный 7 3 6" xfId="0"/>
    <cellStyle name="Обычный 7 3 6 2" xfId="0"/>
    <cellStyle name="Обычный 7 3 6 2 2" xfId="0"/>
    <cellStyle name="Обычный 7 3 6 2 3" xfId="0"/>
    <cellStyle name="Обычный 7 3 6 2 4" xfId="0"/>
    <cellStyle name="Обычный 7 3 6 2 5" xfId="0"/>
    <cellStyle name="Обычный 7 3 6 3" xfId="0"/>
    <cellStyle name="Обычный 7 3 6 4" xfId="0"/>
    <cellStyle name="Обычный 7 3 6 5" xfId="0"/>
    <cellStyle name="Обычный 7 3 6 6" xfId="0"/>
    <cellStyle name="Обычный 7 3 7" xfId="0"/>
    <cellStyle name="Обычный 7 3 7 2" xfId="0"/>
    <cellStyle name="Обычный 7 3 7 3" xfId="0"/>
    <cellStyle name="Обычный 7 3 7 4" xfId="0"/>
    <cellStyle name="Обычный 7 3 7 5" xfId="0"/>
    <cellStyle name="Обычный 7 3 8" xfId="0"/>
    <cellStyle name="Обычный 7 3 9" xfId="0"/>
    <cellStyle name="Обычный 7 3 9 2" xfId="0"/>
    <cellStyle name="Обычный 7 3 9 3" xfId="0"/>
    <cellStyle name="Обычный 7 3 9 4" xfId="0"/>
    <cellStyle name="Обычный 7 3 9 5" xfId="0"/>
    <cellStyle name="Обычный 7 4" xfId="0"/>
    <cellStyle name="Обычный 7 4 10" xfId="0"/>
    <cellStyle name="Обычный 7 4 11" xfId="0"/>
    <cellStyle name="Обычный 7 4 12" xfId="0"/>
    <cellStyle name="Обычный 7 4 13" xfId="0"/>
    <cellStyle name="Обычный 7 4 14" xfId="0"/>
    <cellStyle name="Обычный 7 4 2" xfId="0"/>
    <cellStyle name="Обычный 7 4 2 2" xfId="0"/>
    <cellStyle name="Обычный 7 4 2 2 2" xfId="0"/>
    <cellStyle name="Обычный 7 4 2 2 3" xfId="0"/>
    <cellStyle name="Обычный 7 4 2 2 4" xfId="0"/>
    <cellStyle name="Обычный 7 4 2 2 5" xfId="0"/>
    <cellStyle name="Обычный 7 4 2 3" xfId="0"/>
    <cellStyle name="Обычный 7 4 2 3 2" xfId="0"/>
    <cellStyle name="Обычный 7 4 2 3 3" xfId="0"/>
    <cellStyle name="Обычный 7 4 2 3 4" xfId="0"/>
    <cellStyle name="Обычный 7 4 2 3 5" xfId="0"/>
    <cellStyle name="Обычный 7 4 2 4" xfId="0"/>
    <cellStyle name="Обычный 7 4 2 5" xfId="0"/>
    <cellStyle name="Обычный 7 4 2 6" xfId="0"/>
    <cellStyle name="Обычный 7 4 2 7" xfId="0"/>
    <cellStyle name="Обычный 7 4 2 8" xfId="0"/>
    <cellStyle name="Обычный 7 4 3" xfId="0"/>
    <cellStyle name="Обычный 7 4 3 2" xfId="0"/>
    <cellStyle name="Обычный 7 4 3 2 2" xfId="0"/>
    <cellStyle name="Обычный 7 4 3 2 3" xfId="0"/>
    <cellStyle name="Обычный 7 4 3 2 4" xfId="0"/>
    <cellStyle name="Обычный 7 4 3 2 5" xfId="0"/>
    <cellStyle name="Обычный 7 4 3 3" xfId="0"/>
    <cellStyle name="Обычный 7 4 3 4" xfId="0"/>
    <cellStyle name="Обычный 7 4 3 5" xfId="0"/>
    <cellStyle name="Обычный 7 4 3 6" xfId="0"/>
    <cellStyle name="Обычный 7 4 4" xfId="0"/>
    <cellStyle name="Обычный 7 4 4 2" xfId="0"/>
    <cellStyle name="Обычный 7 4 4 2 2" xfId="0"/>
    <cellStyle name="Обычный 7 4 4 2 3" xfId="0"/>
    <cellStyle name="Обычный 7 4 4 2 4" xfId="0"/>
    <cellStyle name="Обычный 7 4 4 2 5" xfId="0"/>
    <cellStyle name="Обычный 7 4 4 3" xfId="0"/>
    <cellStyle name="Обычный 7 4 4 4" xfId="0"/>
    <cellStyle name="Обычный 7 4 4 5" xfId="0"/>
    <cellStyle name="Обычный 7 4 4 6" xfId="0"/>
    <cellStyle name="Обычный 7 4 5" xfId="0"/>
    <cellStyle name="Обычный 7 4 5 2" xfId="0"/>
    <cellStyle name="Обычный 7 4 5 2 2" xfId="0"/>
    <cellStyle name="Обычный 7 4 5 2 3" xfId="0"/>
    <cellStyle name="Обычный 7 4 5 2 4" xfId="0"/>
    <cellStyle name="Обычный 7 4 5 2 5" xfId="0"/>
    <cellStyle name="Обычный 7 4 5 3" xfId="0"/>
    <cellStyle name="Обычный 7 4 5 4" xfId="0"/>
    <cellStyle name="Обычный 7 4 5 5" xfId="0"/>
    <cellStyle name="Обычный 7 4 5 6" xfId="0"/>
    <cellStyle name="Обычный 7 4 6" xfId="0"/>
    <cellStyle name="Обычный 7 4 6 2" xfId="0"/>
    <cellStyle name="Обычный 7 4 6 2 2" xfId="0"/>
    <cellStyle name="Обычный 7 4 6 2 3" xfId="0"/>
    <cellStyle name="Обычный 7 4 6 2 4" xfId="0"/>
    <cellStyle name="Обычный 7 4 6 2 5" xfId="0"/>
    <cellStyle name="Обычный 7 4 6 3" xfId="0"/>
    <cellStyle name="Обычный 7 4 6 4" xfId="0"/>
    <cellStyle name="Обычный 7 4 6 5" xfId="0"/>
    <cellStyle name="Обычный 7 4 6 6" xfId="0"/>
    <cellStyle name="Обычный 7 4 7" xfId="0"/>
    <cellStyle name="Обычный 7 4 7 2" xfId="0"/>
    <cellStyle name="Обычный 7 4 7 3" xfId="0"/>
    <cellStyle name="Обычный 7 4 7 4" xfId="0"/>
    <cellStyle name="Обычный 7 4 7 5" xfId="0"/>
    <cellStyle name="Обычный 7 4 8" xfId="0"/>
    <cellStyle name="Обычный 7 4 9" xfId="0"/>
    <cellStyle name="Обычный 7 4 9 2" xfId="0"/>
    <cellStyle name="Обычный 7 4 9 3" xfId="0"/>
    <cellStyle name="Обычный 7 4 9 4" xfId="0"/>
    <cellStyle name="Обычный 7 4 9 5" xfId="0"/>
    <cellStyle name="Обычный 7 5" xfId="0"/>
    <cellStyle name="Обычный 7 5 10" xfId="0"/>
    <cellStyle name="Обычный 7 5 11" xfId="0"/>
    <cellStyle name="Обычный 7 5 12" xfId="0"/>
    <cellStyle name="Обычный 7 5 13" xfId="0"/>
    <cellStyle name="Обычный 7 5 14" xfId="0"/>
    <cellStyle name="Обычный 7 5 2" xfId="0"/>
    <cellStyle name="Обычный 7 5 2 2" xfId="0"/>
    <cellStyle name="Обычный 7 5 2 2 2" xfId="0"/>
    <cellStyle name="Обычный 7 5 2 2 3" xfId="0"/>
    <cellStyle name="Обычный 7 5 2 2 4" xfId="0"/>
    <cellStyle name="Обычный 7 5 2 2 5" xfId="0"/>
    <cellStyle name="Обычный 7 5 2 3" xfId="0"/>
    <cellStyle name="Обычный 7 5 2 3 2" xfId="0"/>
    <cellStyle name="Обычный 7 5 2 3 3" xfId="0"/>
    <cellStyle name="Обычный 7 5 2 3 4" xfId="0"/>
    <cellStyle name="Обычный 7 5 2 3 5" xfId="0"/>
    <cellStyle name="Обычный 7 5 2 4" xfId="0"/>
    <cellStyle name="Обычный 7 5 2 5" xfId="0"/>
    <cellStyle name="Обычный 7 5 2 6" xfId="0"/>
    <cellStyle name="Обычный 7 5 2 7" xfId="0"/>
    <cellStyle name="Обычный 7 5 2 8" xfId="0"/>
    <cellStyle name="Обычный 7 5 3" xfId="0"/>
    <cellStyle name="Обычный 7 5 3 2" xfId="0"/>
    <cellStyle name="Обычный 7 5 3 2 2" xfId="0"/>
    <cellStyle name="Обычный 7 5 3 2 3" xfId="0"/>
    <cellStyle name="Обычный 7 5 3 2 4" xfId="0"/>
    <cellStyle name="Обычный 7 5 3 2 5" xfId="0"/>
    <cellStyle name="Обычный 7 5 3 3" xfId="0"/>
    <cellStyle name="Обычный 7 5 3 4" xfId="0"/>
    <cellStyle name="Обычный 7 5 3 5" xfId="0"/>
    <cellStyle name="Обычный 7 5 3 6" xfId="0"/>
    <cellStyle name="Обычный 7 5 4" xfId="0"/>
    <cellStyle name="Обычный 7 5 4 2" xfId="0"/>
    <cellStyle name="Обычный 7 5 4 2 2" xfId="0"/>
    <cellStyle name="Обычный 7 5 4 2 3" xfId="0"/>
    <cellStyle name="Обычный 7 5 4 2 4" xfId="0"/>
    <cellStyle name="Обычный 7 5 4 2 5" xfId="0"/>
    <cellStyle name="Обычный 7 5 4 3" xfId="0"/>
    <cellStyle name="Обычный 7 5 4 4" xfId="0"/>
    <cellStyle name="Обычный 7 5 4 5" xfId="0"/>
    <cellStyle name="Обычный 7 5 4 6" xfId="0"/>
    <cellStyle name="Обычный 7 5 5" xfId="0"/>
    <cellStyle name="Обычный 7 5 5 2" xfId="0"/>
    <cellStyle name="Обычный 7 5 5 2 2" xfId="0"/>
    <cellStyle name="Обычный 7 5 5 2 3" xfId="0"/>
    <cellStyle name="Обычный 7 5 5 2 4" xfId="0"/>
    <cellStyle name="Обычный 7 5 5 2 5" xfId="0"/>
    <cellStyle name="Обычный 7 5 5 3" xfId="0"/>
    <cellStyle name="Обычный 7 5 5 4" xfId="0"/>
    <cellStyle name="Обычный 7 5 5 5" xfId="0"/>
    <cellStyle name="Обычный 7 5 5 6" xfId="0"/>
    <cellStyle name="Обычный 7 5 6" xfId="0"/>
    <cellStyle name="Обычный 7 5 6 2" xfId="0"/>
    <cellStyle name="Обычный 7 5 6 2 2" xfId="0"/>
    <cellStyle name="Обычный 7 5 6 2 3" xfId="0"/>
    <cellStyle name="Обычный 7 5 6 2 4" xfId="0"/>
    <cellStyle name="Обычный 7 5 6 2 5" xfId="0"/>
    <cellStyle name="Обычный 7 5 6 3" xfId="0"/>
    <cellStyle name="Обычный 7 5 6 4" xfId="0"/>
    <cellStyle name="Обычный 7 5 6 5" xfId="0"/>
    <cellStyle name="Обычный 7 5 6 6" xfId="0"/>
    <cellStyle name="Обычный 7 5 7" xfId="0"/>
    <cellStyle name="Обычный 7 5 7 2" xfId="0"/>
    <cellStyle name="Обычный 7 5 7 3" xfId="0"/>
    <cellStyle name="Обычный 7 5 7 4" xfId="0"/>
    <cellStyle name="Обычный 7 5 7 5" xfId="0"/>
    <cellStyle name="Обычный 7 5 8" xfId="0"/>
    <cellStyle name="Обычный 7 5 9" xfId="0"/>
    <cellStyle name="Обычный 7 5 9 2" xfId="0"/>
    <cellStyle name="Обычный 7 5 9 3" xfId="0"/>
    <cellStyle name="Обычный 7 5 9 4" xfId="0"/>
    <cellStyle name="Обычный 7 5 9 5" xfId="0"/>
    <cellStyle name="Обычный 7 6" xfId="0"/>
    <cellStyle name="Обычный 7 7" xfId="0"/>
    <cellStyle name="Обычный 70" xfId="0"/>
    <cellStyle name="Обычный 70 2" xfId="0"/>
    <cellStyle name="Обычный 71" xfId="0"/>
    <cellStyle name="Обычный 71 2" xfId="0"/>
    <cellStyle name="Обычный 71 2 2" xfId="0"/>
    <cellStyle name="Обычный 71 2 2 2" xfId="0"/>
    <cellStyle name="Обычный 71 2 2 3" xfId="0"/>
    <cellStyle name="Обычный 71 2 2 4" xfId="0"/>
    <cellStyle name="Обычный 71 2 2 5" xfId="0"/>
    <cellStyle name="Обычный 71 2 3" xfId="0"/>
    <cellStyle name="Обычный 71 2 4" xfId="0"/>
    <cellStyle name="Обычный 71 2 5" xfId="0"/>
    <cellStyle name="Обычный 71 2 6" xfId="0"/>
    <cellStyle name="Обычный 71 3" xfId="0"/>
    <cellStyle name="Обычный 71 3 2" xfId="0"/>
    <cellStyle name="Обычный 71 3 3" xfId="0"/>
    <cellStyle name="Обычный 71 3 4" xfId="0"/>
    <cellStyle name="Обычный 71 3 5" xfId="0"/>
    <cellStyle name="Обычный 71 4" xfId="0"/>
    <cellStyle name="Обычный 71 5" xfId="0"/>
    <cellStyle name="Обычный 71 6" xfId="0"/>
    <cellStyle name="Обычный 71 7" xfId="0"/>
    <cellStyle name="Обычный 71 8" xfId="0"/>
    <cellStyle name="Обычный 72" xfId="0"/>
    <cellStyle name="Обычный 72 2" xfId="0"/>
    <cellStyle name="Обычный 72 2 2" xfId="0"/>
    <cellStyle name="Обычный 72 2 3" xfId="0"/>
    <cellStyle name="Обычный 72 2 4" xfId="0"/>
    <cellStyle name="Обычный 72 2 5" xfId="0"/>
    <cellStyle name="Обычный 72 3" xfId="0"/>
    <cellStyle name="Обычный 72 4" xfId="0"/>
    <cellStyle name="Обычный 72 5" xfId="0"/>
    <cellStyle name="Обычный 72 6" xfId="0"/>
    <cellStyle name="Обычный 72 7" xfId="0"/>
    <cellStyle name="Обычный 73" xfId="0"/>
    <cellStyle name="Обычный 73 2" xfId="0"/>
    <cellStyle name="Обычный 73 2 2" xfId="0"/>
    <cellStyle name="Обычный 73 2 3" xfId="0"/>
    <cellStyle name="Обычный 73 2 4" xfId="0"/>
    <cellStyle name="Обычный 73 2 5" xfId="0"/>
    <cellStyle name="Обычный 73 3" xfId="0"/>
    <cellStyle name="Обычный 73 3 2" xfId="0"/>
    <cellStyle name="Обычный 73 3 3" xfId="0"/>
    <cellStyle name="Обычный 73 3 4" xfId="0"/>
    <cellStyle name="Обычный 73 3 5" xfId="0"/>
    <cellStyle name="Обычный 73 4" xfId="0"/>
    <cellStyle name="Обычный 73 5" xfId="0"/>
    <cellStyle name="Обычный 73 6" xfId="0"/>
    <cellStyle name="Обычный 73 7" xfId="0"/>
    <cellStyle name="Обычный 74" xfId="0"/>
    <cellStyle name="Обычный 74 2" xfId="0"/>
    <cellStyle name="Обычный 74 2 2" xfId="0"/>
    <cellStyle name="Обычный 74 2 3" xfId="0"/>
    <cellStyle name="Обычный 74 2 4" xfId="0"/>
    <cellStyle name="Обычный 74 2 5" xfId="0"/>
    <cellStyle name="Обычный 74 3" xfId="0"/>
    <cellStyle name="Обычный 74 3 2" xfId="0"/>
    <cellStyle name="Обычный 74 3 3" xfId="0"/>
    <cellStyle name="Обычный 74 3 4" xfId="0"/>
    <cellStyle name="Обычный 74 3 5" xfId="0"/>
    <cellStyle name="Обычный 74 4" xfId="0"/>
    <cellStyle name="Обычный 74 5" xfId="0"/>
    <cellStyle name="Обычный 74 6" xfId="0"/>
    <cellStyle name="Обычный 74 7" xfId="0"/>
    <cellStyle name="Обычный 75" xfId="0"/>
    <cellStyle name="Обычный 75 2" xfId="0"/>
    <cellStyle name="Обычный 75 2 2" xfId="0"/>
    <cellStyle name="Обычный 75 2 3" xfId="0"/>
    <cellStyle name="Обычный 75 2 4" xfId="0"/>
    <cellStyle name="Обычный 75 2 5" xfId="0"/>
    <cellStyle name="Обычный 75 3" xfId="0"/>
    <cellStyle name="Обычный 75 4" xfId="0"/>
    <cellStyle name="Обычный 75 5" xfId="0"/>
    <cellStyle name="Обычный 75 6" xfId="0"/>
    <cellStyle name="Обычный 76" xfId="0"/>
    <cellStyle name="Обычный 76 2" xfId="0"/>
    <cellStyle name="Обычный 76 2 2" xfId="0"/>
    <cellStyle name="Обычный 76 2 3" xfId="0"/>
    <cellStyle name="Обычный 76 2 4" xfId="0"/>
    <cellStyle name="Обычный 76 2 5" xfId="0"/>
    <cellStyle name="Обычный 76 3" xfId="0"/>
    <cellStyle name="Обычный 76 4" xfId="0"/>
    <cellStyle name="Обычный 76 5" xfId="0"/>
    <cellStyle name="Обычный 76 6" xfId="0"/>
    <cellStyle name="Обычный 77" xfId="0"/>
    <cellStyle name="Обычный 78" xfId="0"/>
    <cellStyle name="Обычный 79" xfId="0"/>
    <cellStyle name="Обычный 8" xfId="0"/>
    <cellStyle name="Обычный 8 2" xfId="0"/>
    <cellStyle name="Обычный 8 3" xfId="0"/>
    <cellStyle name="Обычный 80" xfId="0"/>
    <cellStyle name="Обычный 81" xfId="0"/>
    <cellStyle name="Обычный 82" xfId="0"/>
    <cellStyle name="Обычный 83" xfId="0"/>
    <cellStyle name="Обычный 84" xfId="0"/>
    <cellStyle name="Обычный 85" xfId="0"/>
    <cellStyle name="Обычный 86" xfId="0"/>
    <cellStyle name="Обычный 87" xfId="0"/>
    <cellStyle name="Обычный 88" xfId="0"/>
    <cellStyle name="Обычный 89" xfId="0"/>
    <cellStyle name="Обычный 9" xfId="0"/>
    <cellStyle name="Обычный 90" xfId="0"/>
    <cellStyle name="Обычный 91" xfId="0"/>
    <cellStyle name="Обычный 92" xfId="0"/>
    <cellStyle name="Обычный 93" xfId="0"/>
    <cellStyle name="Плохой 1" xfId="0"/>
    <cellStyle name="Плохой 2" xfId="0"/>
    <cellStyle name="Плохой 2 2" xfId="0"/>
    <cellStyle name="Плохой 3" xfId="0"/>
    <cellStyle name="Плохой 4" xfId="0"/>
    <cellStyle name="Поле сводной таблицы" xfId="0"/>
    <cellStyle name="Поле сводной таблицы 2" xfId="0"/>
    <cellStyle name="Пояснение 1" xfId="0"/>
    <cellStyle name="Пояснение 2" xfId="0"/>
    <cellStyle name="Пояснение 3" xfId="0"/>
    <cellStyle name="Пояснение 4" xfId="0"/>
    <cellStyle name="Примечание 1" xfId="0"/>
    <cellStyle name="Примечание 1 10" xfId="0"/>
    <cellStyle name="Примечание 1 10 2" xfId="0"/>
    <cellStyle name="Примечание 1 10 2 2" xfId="0"/>
    <cellStyle name="Примечание 1 10 2 2 2" xfId="0"/>
    <cellStyle name="Примечание 1 10 2 2 2 2" xfId="0"/>
    <cellStyle name="Примечание 1 10 2 2 2 3" xfId="0"/>
    <cellStyle name="Примечание 1 10 2 2 3" xfId="0"/>
    <cellStyle name="Примечание 1 10 2 2 4" xfId="0"/>
    <cellStyle name="Примечание 1 10 2 3" xfId="0"/>
    <cellStyle name="Примечание 1 10 2 3 2" xfId="0"/>
    <cellStyle name="Примечание 1 10 2 3 2 2" xfId="0"/>
    <cellStyle name="Примечание 1 10 2 3 2 3" xfId="0"/>
    <cellStyle name="Примечание 1 10 2 3 3" xfId="0"/>
    <cellStyle name="Примечание 1 10 2 3 4" xfId="0"/>
    <cellStyle name="Примечание 1 10 2 4" xfId="0"/>
    <cellStyle name="Примечание 1 10 2 4 2" xfId="0"/>
    <cellStyle name="Примечание 1 10 2 4 3" xfId="0"/>
    <cellStyle name="Примечание 1 10 2 5" xfId="0"/>
    <cellStyle name="Примечание 1 10 2 6" xfId="0"/>
    <cellStyle name="Примечание 1 10 3" xfId="0"/>
    <cellStyle name="Примечание 1 10 3 2" xfId="0"/>
    <cellStyle name="Примечание 1 10 3 2 2" xfId="0"/>
    <cellStyle name="Примечание 1 10 3 2 2 2" xfId="0"/>
    <cellStyle name="Примечание 1 10 3 2 2 3" xfId="0"/>
    <cellStyle name="Примечание 1 10 3 2 3" xfId="0"/>
    <cellStyle name="Примечание 1 10 3 2 4" xfId="0"/>
    <cellStyle name="Примечание 1 10 3 3" xfId="0"/>
    <cellStyle name="Примечание 1 10 3 3 2" xfId="0"/>
    <cellStyle name="Примечание 1 10 3 3 3" xfId="0"/>
    <cellStyle name="Примечание 1 10 3 4" xfId="0"/>
    <cellStyle name="Примечание 1 10 3 5" xfId="0"/>
    <cellStyle name="Примечание 1 10 4" xfId="0"/>
    <cellStyle name="Примечание 1 10 4 2" xfId="0"/>
    <cellStyle name="Примечание 1 10 4 2 2" xfId="0"/>
    <cellStyle name="Примечание 1 10 4 2 2 2" xfId="0"/>
    <cellStyle name="Примечание 1 10 4 2 2 3" xfId="0"/>
    <cellStyle name="Примечание 1 10 4 2 3" xfId="0"/>
    <cellStyle name="Примечание 1 10 4 2 4" xfId="0"/>
    <cellStyle name="Примечание 1 10 4 3" xfId="0"/>
    <cellStyle name="Примечание 1 10 4 3 2" xfId="0"/>
    <cellStyle name="Примечание 1 10 4 3 3" xfId="0"/>
    <cellStyle name="Примечание 1 10 4 4" xfId="0"/>
    <cellStyle name="Примечание 1 10 4 5" xfId="0"/>
    <cellStyle name="Примечание 1 10 5" xfId="0"/>
    <cellStyle name="Примечание 1 10 5 2" xfId="0"/>
    <cellStyle name="Примечание 1 10 5 3" xfId="0"/>
    <cellStyle name="Примечание 1 10 6" xfId="0"/>
    <cellStyle name="Примечание 1 10 7" xfId="0"/>
    <cellStyle name="Примечание 1 11" xfId="0"/>
    <cellStyle name="Примечание 1 11 2" xfId="0"/>
    <cellStyle name="Примечание 1 11 2 2" xfId="0"/>
    <cellStyle name="Примечание 1 11 2 2 2" xfId="0"/>
    <cellStyle name="Примечание 1 11 2 2 2 2" xfId="0"/>
    <cellStyle name="Примечание 1 11 2 2 2 3" xfId="0"/>
    <cellStyle name="Примечание 1 11 2 2 3" xfId="0"/>
    <cellStyle name="Примечание 1 11 2 2 4" xfId="0"/>
    <cellStyle name="Примечание 1 11 2 3" xfId="0"/>
    <cellStyle name="Примечание 1 11 2 3 2" xfId="0"/>
    <cellStyle name="Примечание 1 11 2 3 2 2" xfId="0"/>
    <cellStyle name="Примечание 1 11 2 3 2 3" xfId="0"/>
    <cellStyle name="Примечание 1 11 2 3 3" xfId="0"/>
    <cellStyle name="Примечание 1 11 2 3 4" xfId="0"/>
    <cellStyle name="Примечание 1 11 2 4" xfId="0"/>
    <cellStyle name="Примечание 1 11 2 4 2" xfId="0"/>
    <cellStyle name="Примечание 1 11 2 4 3" xfId="0"/>
    <cellStyle name="Примечание 1 11 2 5" xfId="0"/>
    <cellStyle name="Примечание 1 11 2 6" xfId="0"/>
    <cellStyle name="Примечание 1 11 3" xfId="0"/>
    <cellStyle name="Примечание 1 11 3 2" xfId="0"/>
    <cellStyle name="Примечание 1 11 3 2 2" xfId="0"/>
    <cellStyle name="Примечание 1 11 3 2 2 2" xfId="0"/>
    <cellStyle name="Примечание 1 11 3 2 2 3" xfId="0"/>
    <cellStyle name="Примечание 1 11 3 2 3" xfId="0"/>
    <cellStyle name="Примечание 1 11 3 2 4" xfId="0"/>
    <cellStyle name="Примечание 1 11 3 3" xfId="0"/>
    <cellStyle name="Примечание 1 11 3 3 2" xfId="0"/>
    <cellStyle name="Примечание 1 11 3 3 3" xfId="0"/>
    <cellStyle name="Примечание 1 11 3 4" xfId="0"/>
    <cellStyle name="Примечание 1 11 3 5" xfId="0"/>
    <cellStyle name="Примечание 1 11 4" xfId="0"/>
    <cellStyle name="Примечание 1 11 4 2" xfId="0"/>
    <cellStyle name="Примечание 1 11 4 2 2" xfId="0"/>
    <cellStyle name="Примечание 1 11 4 2 2 2" xfId="0"/>
    <cellStyle name="Примечание 1 11 4 2 2 3" xfId="0"/>
    <cellStyle name="Примечание 1 11 4 2 3" xfId="0"/>
    <cellStyle name="Примечание 1 11 4 2 4" xfId="0"/>
    <cellStyle name="Примечание 1 11 4 3" xfId="0"/>
    <cellStyle name="Примечание 1 11 4 3 2" xfId="0"/>
    <cellStyle name="Примечание 1 11 4 3 3" xfId="0"/>
    <cellStyle name="Примечание 1 11 4 4" xfId="0"/>
    <cellStyle name="Примечание 1 11 4 5" xfId="0"/>
    <cellStyle name="Примечание 1 11 5" xfId="0"/>
    <cellStyle name="Примечание 1 11 5 2" xfId="0"/>
    <cellStyle name="Примечание 1 11 5 3" xfId="0"/>
    <cellStyle name="Примечание 1 11 6" xfId="0"/>
    <cellStyle name="Примечание 1 11 7" xfId="0"/>
    <cellStyle name="Примечание 1 12" xfId="0"/>
    <cellStyle name="Примечание 1 12 2" xfId="0"/>
    <cellStyle name="Примечание 1 12 2 2" xfId="0"/>
    <cellStyle name="Примечание 1 12 2 2 2" xfId="0"/>
    <cellStyle name="Примечание 1 12 2 2 2 2" xfId="0"/>
    <cellStyle name="Примечание 1 12 2 2 2 3" xfId="0"/>
    <cellStyle name="Примечание 1 12 2 2 3" xfId="0"/>
    <cellStyle name="Примечание 1 12 2 2 4" xfId="0"/>
    <cellStyle name="Примечание 1 12 2 3" xfId="0"/>
    <cellStyle name="Примечание 1 12 2 3 2" xfId="0"/>
    <cellStyle name="Примечание 1 12 2 3 2 2" xfId="0"/>
    <cellStyle name="Примечание 1 12 2 3 2 3" xfId="0"/>
    <cellStyle name="Примечание 1 12 2 3 3" xfId="0"/>
    <cellStyle name="Примечание 1 12 2 3 4" xfId="0"/>
    <cellStyle name="Примечание 1 12 2 4" xfId="0"/>
    <cellStyle name="Примечание 1 12 2 4 2" xfId="0"/>
    <cellStyle name="Примечание 1 12 2 4 3" xfId="0"/>
    <cellStyle name="Примечание 1 12 2 5" xfId="0"/>
    <cellStyle name="Примечание 1 12 2 6" xfId="0"/>
    <cellStyle name="Примечание 1 12 3" xfId="0"/>
    <cellStyle name="Примечание 1 12 3 2" xfId="0"/>
    <cellStyle name="Примечание 1 12 3 2 2" xfId="0"/>
    <cellStyle name="Примечание 1 12 3 2 2 2" xfId="0"/>
    <cellStyle name="Примечание 1 12 3 2 2 3" xfId="0"/>
    <cellStyle name="Примечание 1 12 3 2 3" xfId="0"/>
    <cellStyle name="Примечание 1 12 3 2 4" xfId="0"/>
    <cellStyle name="Примечание 1 12 3 3" xfId="0"/>
    <cellStyle name="Примечание 1 12 3 3 2" xfId="0"/>
    <cellStyle name="Примечание 1 12 3 3 3" xfId="0"/>
    <cellStyle name="Примечание 1 12 3 4" xfId="0"/>
    <cellStyle name="Примечание 1 12 3 5" xfId="0"/>
    <cellStyle name="Примечание 1 12 4" xfId="0"/>
    <cellStyle name="Примечание 1 12 4 2" xfId="0"/>
    <cellStyle name="Примечание 1 12 4 2 2" xfId="0"/>
    <cellStyle name="Примечание 1 12 4 2 2 2" xfId="0"/>
    <cellStyle name="Примечание 1 12 4 2 2 3" xfId="0"/>
    <cellStyle name="Примечание 1 12 4 2 3" xfId="0"/>
    <cellStyle name="Примечание 1 12 4 2 4" xfId="0"/>
    <cellStyle name="Примечание 1 12 4 3" xfId="0"/>
    <cellStyle name="Примечание 1 12 4 3 2" xfId="0"/>
    <cellStyle name="Примечание 1 12 4 3 3" xfId="0"/>
    <cellStyle name="Примечание 1 12 4 4" xfId="0"/>
    <cellStyle name="Примечание 1 12 4 5" xfId="0"/>
    <cellStyle name="Примечание 1 12 5" xfId="0"/>
    <cellStyle name="Примечание 1 12 5 2" xfId="0"/>
    <cellStyle name="Примечание 1 12 5 3" xfId="0"/>
    <cellStyle name="Примечание 1 12 6" xfId="0"/>
    <cellStyle name="Примечание 1 12 7" xfId="0"/>
    <cellStyle name="Примечание 1 13" xfId="0"/>
    <cellStyle name="Примечание 1 13 2" xfId="0"/>
    <cellStyle name="Примечание 1 13 2 2" xfId="0"/>
    <cellStyle name="Примечание 1 13 2 2 2" xfId="0"/>
    <cellStyle name="Примечание 1 13 2 2 2 2" xfId="0"/>
    <cellStyle name="Примечание 1 13 2 2 2 3" xfId="0"/>
    <cellStyle name="Примечание 1 13 2 2 3" xfId="0"/>
    <cellStyle name="Примечание 1 13 2 2 4" xfId="0"/>
    <cellStyle name="Примечание 1 13 2 3" xfId="0"/>
    <cellStyle name="Примечание 1 13 2 3 2" xfId="0"/>
    <cellStyle name="Примечание 1 13 2 3 2 2" xfId="0"/>
    <cellStyle name="Примечание 1 13 2 3 2 3" xfId="0"/>
    <cellStyle name="Примечание 1 13 2 3 3" xfId="0"/>
    <cellStyle name="Примечание 1 13 2 3 4" xfId="0"/>
    <cellStyle name="Примечание 1 13 2 4" xfId="0"/>
    <cellStyle name="Примечание 1 13 2 4 2" xfId="0"/>
    <cellStyle name="Примечание 1 13 2 4 3" xfId="0"/>
    <cellStyle name="Примечание 1 13 2 5" xfId="0"/>
    <cellStyle name="Примечание 1 13 2 6" xfId="0"/>
    <cellStyle name="Примечание 1 13 3" xfId="0"/>
    <cellStyle name="Примечание 1 13 3 2" xfId="0"/>
    <cellStyle name="Примечание 1 13 3 2 2" xfId="0"/>
    <cellStyle name="Примечание 1 13 3 2 2 2" xfId="0"/>
    <cellStyle name="Примечание 1 13 3 2 2 3" xfId="0"/>
    <cellStyle name="Примечание 1 13 3 2 3" xfId="0"/>
    <cellStyle name="Примечание 1 13 3 2 4" xfId="0"/>
    <cellStyle name="Примечание 1 13 3 3" xfId="0"/>
    <cellStyle name="Примечание 1 13 3 3 2" xfId="0"/>
    <cellStyle name="Примечание 1 13 3 3 3" xfId="0"/>
    <cellStyle name="Примечание 1 13 3 4" xfId="0"/>
    <cellStyle name="Примечание 1 13 3 5" xfId="0"/>
    <cellStyle name="Примечание 1 13 4" xfId="0"/>
    <cellStyle name="Примечание 1 13 4 2" xfId="0"/>
    <cellStyle name="Примечание 1 13 4 2 2" xfId="0"/>
    <cellStyle name="Примечание 1 13 4 2 2 2" xfId="0"/>
    <cellStyle name="Примечание 1 13 4 2 2 3" xfId="0"/>
    <cellStyle name="Примечание 1 13 4 2 3" xfId="0"/>
    <cellStyle name="Примечание 1 13 4 2 4" xfId="0"/>
    <cellStyle name="Примечание 1 13 4 3" xfId="0"/>
    <cellStyle name="Примечание 1 13 4 3 2" xfId="0"/>
    <cellStyle name="Примечание 1 13 4 3 3" xfId="0"/>
    <cellStyle name="Примечание 1 13 4 4" xfId="0"/>
    <cellStyle name="Примечание 1 13 4 5" xfId="0"/>
    <cellStyle name="Примечание 1 13 5" xfId="0"/>
    <cellStyle name="Примечание 1 13 5 2" xfId="0"/>
    <cellStyle name="Примечание 1 13 5 3" xfId="0"/>
    <cellStyle name="Примечание 1 13 6" xfId="0"/>
    <cellStyle name="Примечание 1 13 7" xfId="0"/>
    <cellStyle name="Примечание 1 14" xfId="0"/>
    <cellStyle name="Примечание 1 14 2" xfId="0"/>
    <cellStyle name="Примечание 1 14 2 2" xfId="0"/>
    <cellStyle name="Примечание 1 14 2 2 2" xfId="0"/>
    <cellStyle name="Примечание 1 14 2 2 2 2" xfId="0"/>
    <cellStyle name="Примечание 1 14 2 2 2 3" xfId="0"/>
    <cellStyle name="Примечание 1 14 2 2 3" xfId="0"/>
    <cellStyle name="Примечание 1 14 2 2 4" xfId="0"/>
    <cellStyle name="Примечание 1 14 2 3" xfId="0"/>
    <cellStyle name="Примечание 1 14 2 3 2" xfId="0"/>
    <cellStyle name="Примечание 1 14 2 3 2 2" xfId="0"/>
    <cellStyle name="Примечание 1 14 2 3 2 3" xfId="0"/>
    <cellStyle name="Примечание 1 14 2 3 3" xfId="0"/>
    <cellStyle name="Примечание 1 14 2 3 4" xfId="0"/>
    <cellStyle name="Примечание 1 14 2 4" xfId="0"/>
    <cellStyle name="Примечание 1 14 2 4 2" xfId="0"/>
    <cellStyle name="Примечание 1 14 2 4 3" xfId="0"/>
    <cellStyle name="Примечание 1 14 2 5" xfId="0"/>
    <cellStyle name="Примечание 1 14 2 6" xfId="0"/>
    <cellStyle name="Примечание 1 14 3" xfId="0"/>
    <cellStyle name="Примечание 1 14 3 2" xfId="0"/>
    <cellStyle name="Примечание 1 14 3 2 2" xfId="0"/>
    <cellStyle name="Примечание 1 14 3 2 2 2" xfId="0"/>
    <cellStyle name="Примечание 1 14 3 2 2 3" xfId="0"/>
    <cellStyle name="Примечание 1 14 3 2 3" xfId="0"/>
    <cellStyle name="Примечание 1 14 3 2 4" xfId="0"/>
    <cellStyle name="Примечание 1 14 3 3" xfId="0"/>
    <cellStyle name="Примечание 1 14 3 3 2" xfId="0"/>
    <cellStyle name="Примечание 1 14 3 3 3" xfId="0"/>
    <cellStyle name="Примечание 1 14 3 4" xfId="0"/>
    <cellStyle name="Примечание 1 14 3 5" xfId="0"/>
    <cellStyle name="Примечание 1 14 4" xfId="0"/>
    <cellStyle name="Примечание 1 14 4 2" xfId="0"/>
    <cellStyle name="Примечание 1 14 4 2 2" xfId="0"/>
    <cellStyle name="Примечание 1 14 4 2 2 2" xfId="0"/>
    <cellStyle name="Примечание 1 14 4 2 2 3" xfId="0"/>
    <cellStyle name="Примечание 1 14 4 2 3" xfId="0"/>
    <cellStyle name="Примечание 1 14 4 2 4" xfId="0"/>
    <cellStyle name="Примечание 1 14 4 3" xfId="0"/>
    <cellStyle name="Примечание 1 14 4 3 2" xfId="0"/>
    <cellStyle name="Примечание 1 14 4 3 3" xfId="0"/>
    <cellStyle name="Примечание 1 14 4 4" xfId="0"/>
    <cellStyle name="Примечание 1 14 4 5" xfId="0"/>
    <cellStyle name="Примечание 1 14 5" xfId="0"/>
    <cellStyle name="Примечание 1 14 5 2" xfId="0"/>
    <cellStyle name="Примечание 1 14 5 3" xfId="0"/>
    <cellStyle name="Примечание 1 14 6" xfId="0"/>
    <cellStyle name="Примечание 1 14 7" xfId="0"/>
    <cellStyle name="Примечание 1 15" xfId="0"/>
    <cellStyle name="Примечание 1 15 2" xfId="0"/>
    <cellStyle name="Примечание 1 15 2 2" xfId="0"/>
    <cellStyle name="Примечание 1 15 2 2 2" xfId="0"/>
    <cellStyle name="Примечание 1 15 2 2 2 2" xfId="0"/>
    <cellStyle name="Примечание 1 15 2 2 2 3" xfId="0"/>
    <cellStyle name="Примечание 1 15 2 2 3" xfId="0"/>
    <cellStyle name="Примечание 1 15 2 2 4" xfId="0"/>
    <cellStyle name="Примечание 1 15 2 3" xfId="0"/>
    <cellStyle name="Примечание 1 15 2 3 2" xfId="0"/>
    <cellStyle name="Примечание 1 15 2 3 2 2" xfId="0"/>
    <cellStyle name="Примечание 1 15 2 3 2 3" xfId="0"/>
    <cellStyle name="Примечание 1 15 2 3 3" xfId="0"/>
    <cellStyle name="Примечание 1 15 2 3 4" xfId="0"/>
    <cellStyle name="Примечание 1 15 2 4" xfId="0"/>
    <cellStyle name="Примечание 1 15 2 4 2" xfId="0"/>
    <cellStyle name="Примечание 1 15 2 4 3" xfId="0"/>
    <cellStyle name="Примечание 1 15 2 5" xfId="0"/>
    <cellStyle name="Примечание 1 15 2 6" xfId="0"/>
    <cellStyle name="Примечание 1 15 3" xfId="0"/>
    <cellStyle name="Примечание 1 15 3 2" xfId="0"/>
    <cellStyle name="Примечание 1 15 3 2 2" xfId="0"/>
    <cellStyle name="Примечание 1 15 3 2 2 2" xfId="0"/>
    <cellStyle name="Примечание 1 15 3 2 2 3" xfId="0"/>
    <cellStyle name="Примечание 1 15 3 2 3" xfId="0"/>
    <cellStyle name="Примечание 1 15 3 2 4" xfId="0"/>
    <cellStyle name="Примечание 1 15 3 3" xfId="0"/>
    <cellStyle name="Примечание 1 15 3 3 2" xfId="0"/>
    <cellStyle name="Примечание 1 15 3 3 3" xfId="0"/>
    <cellStyle name="Примечание 1 15 3 4" xfId="0"/>
    <cellStyle name="Примечание 1 15 3 5" xfId="0"/>
    <cellStyle name="Примечание 1 15 4" xfId="0"/>
    <cellStyle name="Примечание 1 15 4 2" xfId="0"/>
    <cellStyle name="Примечание 1 15 4 2 2" xfId="0"/>
    <cellStyle name="Примечание 1 15 4 2 2 2" xfId="0"/>
    <cellStyle name="Примечание 1 15 4 2 2 3" xfId="0"/>
    <cellStyle name="Примечание 1 15 4 2 3" xfId="0"/>
    <cellStyle name="Примечание 1 15 4 2 4" xfId="0"/>
    <cellStyle name="Примечание 1 15 4 3" xfId="0"/>
    <cellStyle name="Примечание 1 15 4 3 2" xfId="0"/>
    <cellStyle name="Примечание 1 15 4 3 3" xfId="0"/>
    <cellStyle name="Примечание 1 15 4 4" xfId="0"/>
    <cellStyle name="Примечание 1 15 4 5" xfId="0"/>
    <cellStyle name="Примечание 1 15 5" xfId="0"/>
    <cellStyle name="Примечание 1 15 5 2" xfId="0"/>
    <cellStyle name="Примечание 1 15 5 3" xfId="0"/>
    <cellStyle name="Примечание 1 15 6" xfId="0"/>
    <cellStyle name="Примечание 1 15 7" xfId="0"/>
    <cellStyle name="Примечание 1 16" xfId="0"/>
    <cellStyle name="Примечание 1 16 2" xfId="0"/>
    <cellStyle name="Примечание 1 16 2 2" xfId="0"/>
    <cellStyle name="Примечание 1 16 2 2 2" xfId="0"/>
    <cellStyle name="Примечание 1 16 2 2 2 2" xfId="0"/>
    <cellStyle name="Примечание 1 16 2 2 2 3" xfId="0"/>
    <cellStyle name="Примечание 1 16 2 2 3" xfId="0"/>
    <cellStyle name="Примечание 1 16 2 2 4" xfId="0"/>
    <cellStyle name="Примечание 1 16 2 3" xfId="0"/>
    <cellStyle name="Примечание 1 16 2 3 2" xfId="0"/>
    <cellStyle name="Примечание 1 16 2 3 2 2" xfId="0"/>
    <cellStyle name="Примечание 1 16 2 3 2 3" xfId="0"/>
    <cellStyle name="Примечание 1 16 2 3 3" xfId="0"/>
    <cellStyle name="Примечание 1 16 2 3 4" xfId="0"/>
    <cellStyle name="Примечание 1 16 2 4" xfId="0"/>
    <cellStyle name="Примечание 1 16 2 4 2" xfId="0"/>
    <cellStyle name="Примечание 1 16 2 4 3" xfId="0"/>
    <cellStyle name="Примечание 1 16 2 5" xfId="0"/>
    <cellStyle name="Примечание 1 16 2 6" xfId="0"/>
    <cellStyle name="Примечание 1 16 3" xfId="0"/>
    <cellStyle name="Примечание 1 16 3 2" xfId="0"/>
    <cellStyle name="Примечание 1 16 3 2 2" xfId="0"/>
    <cellStyle name="Примечание 1 16 3 2 2 2" xfId="0"/>
    <cellStyle name="Примечание 1 16 3 2 2 3" xfId="0"/>
    <cellStyle name="Примечание 1 16 3 2 3" xfId="0"/>
    <cellStyle name="Примечание 1 16 3 2 4" xfId="0"/>
    <cellStyle name="Примечание 1 16 3 3" xfId="0"/>
    <cellStyle name="Примечание 1 16 3 3 2" xfId="0"/>
    <cellStyle name="Примечание 1 16 3 3 3" xfId="0"/>
    <cellStyle name="Примечание 1 16 3 4" xfId="0"/>
    <cellStyle name="Примечание 1 16 3 5" xfId="0"/>
    <cellStyle name="Примечание 1 16 4" xfId="0"/>
    <cellStyle name="Примечание 1 16 4 2" xfId="0"/>
    <cellStyle name="Примечание 1 16 4 2 2" xfId="0"/>
    <cellStyle name="Примечание 1 16 4 2 2 2" xfId="0"/>
    <cellStyle name="Примечание 1 16 4 2 2 3" xfId="0"/>
    <cellStyle name="Примечание 1 16 4 2 3" xfId="0"/>
    <cellStyle name="Примечание 1 16 4 2 4" xfId="0"/>
    <cellStyle name="Примечание 1 16 4 3" xfId="0"/>
    <cellStyle name="Примечание 1 16 4 3 2" xfId="0"/>
    <cellStyle name="Примечание 1 16 4 3 3" xfId="0"/>
    <cellStyle name="Примечание 1 16 4 4" xfId="0"/>
    <cellStyle name="Примечание 1 16 4 5" xfId="0"/>
    <cellStyle name="Примечание 1 16 5" xfId="0"/>
    <cellStyle name="Примечание 1 16 5 2" xfId="0"/>
    <cellStyle name="Примечание 1 16 5 3" xfId="0"/>
    <cellStyle name="Примечание 1 16 6" xfId="0"/>
    <cellStyle name="Примечание 1 16 7" xfId="0"/>
    <cellStyle name="Примечание 1 17" xfId="0"/>
    <cellStyle name="Примечание 1 17 2" xfId="0"/>
    <cellStyle name="Примечание 1 17 2 2" xfId="0"/>
    <cellStyle name="Примечание 1 17 2 2 2" xfId="0"/>
    <cellStyle name="Примечание 1 17 2 2 2 2" xfId="0"/>
    <cellStyle name="Примечание 1 17 2 2 2 3" xfId="0"/>
    <cellStyle name="Примечание 1 17 2 2 3" xfId="0"/>
    <cellStyle name="Примечание 1 17 2 2 4" xfId="0"/>
    <cellStyle name="Примечание 1 17 2 3" xfId="0"/>
    <cellStyle name="Примечание 1 17 2 3 2" xfId="0"/>
    <cellStyle name="Примечание 1 17 2 3 2 2" xfId="0"/>
    <cellStyle name="Примечание 1 17 2 3 2 3" xfId="0"/>
    <cellStyle name="Примечание 1 17 2 3 3" xfId="0"/>
    <cellStyle name="Примечание 1 17 2 3 4" xfId="0"/>
    <cellStyle name="Примечание 1 17 2 4" xfId="0"/>
    <cellStyle name="Примечание 1 17 2 4 2" xfId="0"/>
    <cellStyle name="Примечание 1 17 2 4 3" xfId="0"/>
    <cellStyle name="Примечание 1 17 2 5" xfId="0"/>
    <cellStyle name="Примечание 1 17 2 6" xfId="0"/>
    <cellStyle name="Примечание 1 17 3" xfId="0"/>
    <cellStyle name="Примечание 1 17 3 2" xfId="0"/>
    <cellStyle name="Примечание 1 17 3 2 2" xfId="0"/>
    <cellStyle name="Примечание 1 17 3 2 2 2" xfId="0"/>
    <cellStyle name="Примечание 1 17 3 2 2 3" xfId="0"/>
    <cellStyle name="Примечание 1 17 3 2 3" xfId="0"/>
    <cellStyle name="Примечание 1 17 3 2 4" xfId="0"/>
    <cellStyle name="Примечание 1 17 3 3" xfId="0"/>
    <cellStyle name="Примечание 1 17 3 3 2" xfId="0"/>
    <cellStyle name="Примечание 1 17 3 3 3" xfId="0"/>
    <cellStyle name="Примечание 1 17 3 4" xfId="0"/>
    <cellStyle name="Примечание 1 17 3 5" xfId="0"/>
    <cellStyle name="Примечание 1 17 4" xfId="0"/>
    <cellStyle name="Примечание 1 17 4 2" xfId="0"/>
    <cellStyle name="Примечание 1 17 4 2 2" xfId="0"/>
    <cellStyle name="Примечание 1 17 4 2 2 2" xfId="0"/>
    <cellStyle name="Примечание 1 17 4 2 2 3" xfId="0"/>
    <cellStyle name="Примечание 1 17 4 2 3" xfId="0"/>
    <cellStyle name="Примечание 1 17 4 2 4" xfId="0"/>
    <cellStyle name="Примечание 1 17 4 3" xfId="0"/>
    <cellStyle name="Примечание 1 17 4 3 2" xfId="0"/>
    <cellStyle name="Примечание 1 17 4 3 3" xfId="0"/>
    <cellStyle name="Примечание 1 17 4 4" xfId="0"/>
    <cellStyle name="Примечание 1 17 4 5" xfId="0"/>
    <cellStyle name="Примечание 1 17 5" xfId="0"/>
    <cellStyle name="Примечание 1 17 5 2" xfId="0"/>
    <cellStyle name="Примечание 1 17 5 3" xfId="0"/>
    <cellStyle name="Примечание 1 17 6" xfId="0"/>
    <cellStyle name="Примечание 1 17 7" xfId="0"/>
    <cellStyle name="Примечание 1 18" xfId="0"/>
    <cellStyle name="Примечание 1 18 2" xfId="0"/>
    <cellStyle name="Примечание 1 18 2 2" xfId="0"/>
    <cellStyle name="Примечание 1 18 2 2 2" xfId="0"/>
    <cellStyle name="Примечание 1 18 2 2 2 2" xfId="0"/>
    <cellStyle name="Примечание 1 18 2 2 2 3" xfId="0"/>
    <cellStyle name="Примечание 1 18 2 2 3" xfId="0"/>
    <cellStyle name="Примечание 1 18 2 2 4" xfId="0"/>
    <cellStyle name="Примечание 1 18 2 3" xfId="0"/>
    <cellStyle name="Примечание 1 18 2 3 2" xfId="0"/>
    <cellStyle name="Примечание 1 18 2 3 2 2" xfId="0"/>
    <cellStyle name="Примечание 1 18 2 3 2 3" xfId="0"/>
    <cellStyle name="Примечание 1 18 2 3 3" xfId="0"/>
    <cellStyle name="Примечание 1 18 2 3 4" xfId="0"/>
    <cellStyle name="Примечание 1 18 2 4" xfId="0"/>
    <cellStyle name="Примечание 1 18 2 4 2" xfId="0"/>
    <cellStyle name="Примечание 1 18 2 4 3" xfId="0"/>
    <cellStyle name="Примечание 1 18 2 5" xfId="0"/>
    <cellStyle name="Примечание 1 18 2 6" xfId="0"/>
    <cellStyle name="Примечание 1 18 3" xfId="0"/>
    <cellStyle name="Примечание 1 18 3 2" xfId="0"/>
    <cellStyle name="Примечание 1 18 3 2 2" xfId="0"/>
    <cellStyle name="Примечание 1 18 3 2 2 2" xfId="0"/>
    <cellStyle name="Примечание 1 18 3 2 2 3" xfId="0"/>
    <cellStyle name="Примечание 1 18 3 2 3" xfId="0"/>
    <cellStyle name="Примечание 1 18 3 2 4" xfId="0"/>
    <cellStyle name="Примечание 1 18 3 3" xfId="0"/>
    <cellStyle name="Примечание 1 18 3 3 2" xfId="0"/>
    <cellStyle name="Примечание 1 18 3 3 3" xfId="0"/>
    <cellStyle name="Примечание 1 18 3 4" xfId="0"/>
    <cellStyle name="Примечание 1 18 3 5" xfId="0"/>
    <cellStyle name="Примечание 1 18 4" xfId="0"/>
    <cellStyle name="Примечание 1 18 4 2" xfId="0"/>
    <cellStyle name="Примечание 1 18 4 2 2" xfId="0"/>
    <cellStyle name="Примечание 1 18 4 2 2 2" xfId="0"/>
    <cellStyle name="Примечание 1 18 4 2 2 3" xfId="0"/>
    <cellStyle name="Примечание 1 18 4 2 3" xfId="0"/>
    <cellStyle name="Примечание 1 18 4 2 4" xfId="0"/>
    <cellStyle name="Примечание 1 18 4 3" xfId="0"/>
    <cellStyle name="Примечание 1 18 4 3 2" xfId="0"/>
    <cellStyle name="Примечание 1 18 4 3 3" xfId="0"/>
    <cellStyle name="Примечание 1 18 4 4" xfId="0"/>
    <cellStyle name="Примечание 1 18 4 5" xfId="0"/>
    <cellStyle name="Примечание 1 18 5" xfId="0"/>
    <cellStyle name="Примечание 1 18 5 2" xfId="0"/>
    <cellStyle name="Примечание 1 18 5 3" xfId="0"/>
    <cellStyle name="Примечание 1 18 6" xfId="0"/>
    <cellStyle name="Примечание 1 18 7" xfId="0"/>
    <cellStyle name="Примечание 1 19" xfId="0"/>
    <cellStyle name="Примечание 1 19 2" xfId="0"/>
    <cellStyle name="Примечание 1 19 2 2" xfId="0"/>
    <cellStyle name="Примечание 1 19 2 2 2" xfId="0"/>
    <cellStyle name="Примечание 1 19 2 2 2 2" xfId="0"/>
    <cellStyle name="Примечание 1 19 2 2 2 3" xfId="0"/>
    <cellStyle name="Примечание 1 19 2 2 3" xfId="0"/>
    <cellStyle name="Примечание 1 19 2 2 4" xfId="0"/>
    <cellStyle name="Примечание 1 19 2 3" xfId="0"/>
    <cellStyle name="Примечание 1 19 2 3 2" xfId="0"/>
    <cellStyle name="Примечание 1 19 2 3 2 2" xfId="0"/>
    <cellStyle name="Примечание 1 19 2 3 2 3" xfId="0"/>
    <cellStyle name="Примечание 1 19 2 3 3" xfId="0"/>
    <cellStyle name="Примечание 1 19 2 3 4" xfId="0"/>
    <cellStyle name="Примечание 1 19 2 4" xfId="0"/>
    <cellStyle name="Примечание 1 19 2 4 2" xfId="0"/>
    <cellStyle name="Примечание 1 19 2 4 3" xfId="0"/>
    <cellStyle name="Примечание 1 19 2 5" xfId="0"/>
    <cellStyle name="Примечание 1 19 2 6" xfId="0"/>
    <cellStyle name="Примечание 1 19 3" xfId="0"/>
    <cellStyle name="Примечание 1 19 3 2" xfId="0"/>
    <cellStyle name="Примечание 1 19 3 2 2" xfId="0"/>
    <cellStyle name="Примечание 1 19 3 2 2 2" xfId="0"/>
    <cellStyle name="Примечание 1 19 3 2 2 3" xfId="0"/>
    <cellStyle name="Примечание 1 19 3 2 3" xfId="0"/>
    <cellStyle name="Примечание 1 19 3 2 4" xfId="0"/>
    <cellStyle name="Примечание 1 19 3 3" xfId="0"/>
    <cellStyle name="Примечание 1 19 3 3 2" xfId="0"/>
    <cellStyle name="Примечание 1 19 3 3 3" xfId="0"/>
    <cellStyle name="Примечание 1 19 3 4" xfId="0"/>
    <cellStyle name="Примечание 1 19 3 5" xfId="0"/>
    <cellStyle name="Примечание 1 19 4" xfId="0"/>
    <cellStyle name="Примечание 1 19 4 2" xfId="0"/>
    <cellStyle name="Примечание 1 19 4 2 2" xfId="0"/>
    <cellStyle name="Примечание 1 19 4 2 2 2" xfId="0"/>
    <cellStyle name="Примечание 1 19 4 2 2 3" xfId="0"/>
    <cellStyle name="Примечание 1 19 4 2 3" xfId="0"/>
    <cellStyle name="Примечание 1 19 4 2 4" xfId="0"/>
    <cellStyle name="Примечание 1 19 4 3" xfId="0"/>
    <cellStyle name="Примечание 1 19 4 3 2" xfId="0"/>
    <cellStyle name="Примечание 1 19 4 3 3" xfId="0"/>
    <cellStyle name="Примечание 1 19 4 4" xfId="0"/>
    <cellStyle name="Примечание 1 19 4 5" xfId="0"/>
    <cellStyle name="Примечание 1 19 5" xfId="0"/>
    <cellStyle name="Примечание 1 19 5 2" xfId="0"/>
    <cellStyle name="Примечание 1 19 5 3" xfId="0"/>
    <cellStyle name="Примечание 1 19 6" xfId="0"/>
    <cellStyle name="Примечание 1 19 7" xfId="0"/>
    <cellStyle name="Примечание 1 2" xfId="0"/>
    <cellStyle name="Примечание 1 2 10" xfId="0"/>
    <cellStyle name="Примечание 1 2 11" xfId="0"/>
    <cellStyle name="Примечание 1 2 2" xfId="0"/>
    <cellStyle name="Примечание 1 2 2 2" xfId="0"/>
    <cellStyle name="Примечание 1 2 2 2 2" xfId="0"/>
    <cellStyle name="Примечание 1 2 2 2 2 2" xfId="0"/>
    <cellStyle name="Примечание 1 2 2 2 2 2 2" xfId="0"/>
    <cellStyle name="Примечание 1 2 2 2 2 2 3" xfId="0"/>
    <cellStyle name="Примечание 1 2 2 2 2 3" xfId="0"/>
    <cellStyle name="Примечание 1 2 2 2 2 4" xfId="0"/>
    <cellStyle name="Примечание 1 2 2 2 3" xfId="0"/>
    <cellStyle name="Примечание 1 2 2 2 3 2" xfId="0"/>
    <cellStyle name="Примечание 1 2 2 2 3 3" xfId="0"/>
    <cellStyle name="Примечание 1 2 2 2 4" xfId="0"/>
    <cellStyle name="Примечание 1 2 2 2 5" xfId="0"/>
    <cellStyle name="Примечание 1 2 2 3" xfId="0"/>
    <cellStyle name="Примечание 1 2 2 3 2" xfId="0"/>
    <cellStyle name="Примечание 1 2 2 3 2 2" xfId="0"/>
    <cellStyle name="Примечание 1 2 2 3 2 3" xfId="0"/>
    <cellStyle name="Примечание 1 2 2 3 3" xfId="0"/>
    <cellStyle name="Примечание 1 2 2 3 4" xfId="0"/>
    <cellStyle name="Примечание 1 2 2 4" xfId="0"/>
    <cellStyle name="Примечание 1 2 2 4 2" xfId="0"/>
    <cellStyle name="Примечание 1 2 2 4 3" xfId="0"/>
    <cellStyle name="Примечание 1 2 2 5" xfId="0"/>
    <cellStyle name="Примечание 1 2 2 6" xfId="0"/>
    <cellStyle name="Примечание 1 2 3" xfId="0"/>
    <cellStyle name="Примечание 1 2 3 2" xfId="0"/>
    <cellStyle name="Примечание 1 2 3 2 2" xfId="0"/>
    <cellStyle name="Примечание 1 2 3 2 2 2" xfId="0"/>
    <cellStyle name="Примечание 1 2 3 2 2 2 2" xfId="0"/>
    <cellStyle name="Примечание 1 2 3 2 2 2 3" xfId="0"/>
    <cellStyle name="Примечание 1 2 3 2 2 3" xfId="0"/>
    <cellStyle name="Примечание 1 2 3 2 2 4" xfId="0"/>
    <cellStyle name="Примечание 1 2 3 2 3" xfId="0"/>
    <cellStyle name="Примечание 1 2 3 2 3 2" xfId="0"/>
    <cellStyle name="Примечание 1 2 3 2 3 3" xfId="0"/>
    <cellStyle name="Примечание 1 2 3 2 4" xfId="0"/>
    <cellStyle name="Примечание 1 2 3 2 5" xfId="0"/>
    <cellStyle name="Примечание 1 2 3 3" xfId="0"/>
    <cellStyle name="Примечание 1 2 3 3 2" xfId="0"/>
    <cellStyle name="Примечание 1 2 3 3 2 2" xfId="0"/>
    <cellStyle name="Примечание 1 2 3 3 2 3" xfId="0"/>
    <cellStyle name="Примечание 1 2 3 3 3" xfId="0"/>
    <cellStyle name="Примечание 1 2 3 3 4" xfId="0"/>
    <cellStyle name="Примечание 1 2 3 4" xfId="0"/>
    <cellStyle name="Примечание 1 2 3 4 2" xfId="0"/>
    <cellStyle name="Примечание 1 2 3 4 3" xfId="0"/>
    <cellStyle name="Примечание 1 2 3 5" xfId="0"/>
    <cellStyle name="Примечание 1 2 3 6" xfId="0"/>
    <cellStyle name="Примечание 1 2 4" xfId="0"/>
    <cellStyle name="Примечание 1 2 4 2" xfId="0"/>
    <cellStyle name="Примечание 1 2 4 2 2" xfId="0"/>
    <cellStyle name="Примечание 1 2 4 2 2 2" xfId="0"/>
    <cellStyle name="Примечание 1 2 4 2 2 2 2" xfId="0"/>
    <cellStyle name="Примечание 1 2 4 2 2 2 3" xfId="0"/>
    <cellStyle name="Примечание 1 2 4 2 2 3" xfId="0"/>
    <cellStyle name="Примечание 1 2 4 2 2 4" xfId="0"/>
    <cellStyle name="Примечание 1 2 4 2 3" xfId="0"/>
    <cellStyle name="Примечание 1 2 4 2 3 2" xfId="0"/>
    <cellStyle name="Примечание 1 2 4 2 3 3" xfId="0"/>
    <cellStyle name="Примечание 1 2 4 2 4" xfId="0"/>
    <cellStyle name="Примечание 1 2 4 2 5" xfId="0"/>
    <cellStyle name="Примечание 1 2 4 3" xfId="0"/>
    <cellStyle name="Примечание 1 2 4 3 2" xfId="0"/>
    <cellStyle name="Примечание 1 2 4 3 2 2" xfId="0"/>
    <cellStyle name="Примечание 1 2 4 3 2 3" xfId="0"/>
    <cellStyle name="Примечание 1 2 4 3 3" xfId="0"/>
    <cellStyle name="Примечание 1 2 4 3 4" xfId="0"/>
    <cellStyle name="Примечание 1 2 4 4" xfId="0"/>
    <cellStyle name="Примечание 1 2 4 4 2" xfId="0"/>
    <cellStyle name="Примечание 1 2 4 4 3" xfId="0"/>
    <cellStyle name="Примечание 1 2 4 5" xfId="0"/>
    <cellStyle name="Примечание 1 2 4 6" xfId="0"/>
    <cellStyle name="Примечание 1 2 5" xfId="0"/>
    <cellStyle name="Примечание 1 2 5 2" xfId="0"/>
    <cellStyle name="Примечание 1 2 5 2 2" xfId="0"/>
    <cellStyle name="Примечание 1 2 5 2 2 2" xfId="0"/>
    <cellStyle name="Примечание 1 2 5 2 2 2 2" xfId="0"/>
    <cellStyle name="Примечание 1 2 5 2 2 2 3" xfId="0"/>
    <cellStyle name="Примечание 1 2 5 2 2 3" xfId="0"/>
    <cellStyle name="Примечание 1 2 5 2 2 4" xfId="0"/>
    <cellStyle name="Примечание 1 2 5 2 3" xfId="0"/>
    <cellStyle name="Примечание 1 2 5 2 3 2" xfId="0"/>
    <cellStyle name="Примечание 1 2 5 2 3 3" xfId="0"/>
    <cellStyle name="Примечание 1 2 5 2 4" xfId="0"/>
    <cellStyle name="Примечание 1 2 5 2 5" xfId="0"/>
    <cellStyle name="Примечание 1 2 5 3" xfId="0"/>
    <cellStyle name="Примечание 1 2 5 3 2" xfId="0"/>
    <cellStyle name="Примечание 1 2 5 3 2 2" xfId="0"/>
    <cellStyle name="Примечание 1 2 5 3 2 3" xfId="0"/>
    <cellStyle name="Примечание 1 2 5 3 3" xfId="0"/>
    <cellStyle name="Примечание 1 2 5 3 4" xfId="0"/>
    <cellStyle name="Примечание 1 2 5 4" xfId="0"/>
    <cellStyle name="Примечание 1 2 5 4 2" xfId="0"/>
    <cellStyle name="Примечание 1 2 5 4 3" xfId="0"/>
    <cellStyle name="Примечание 1 2 5 5" xfId="0"/>
    <cellStyle name="Примечание 1 2 5 6" xfId="0"/>
    <cellStyle name="Примечание 1 2 6" xfId="0"/>
    <cellStyle name="Примечание 1 2 6 2" xfId="0"/>
    <cellStyle name="Примечание 1 2 6 2 2" xfId="0"/>
    <cellStyle name="Примечание 1 2 6 2 2 2" xfId="0"/>
    <cellStyle name="Примечание 1 2 6 2 2 3" xfId="0"/>
    <cellStyle name="Примечание 1 2 6 2 3" xfId="0"/>
    <cellStyle name="Примечание 1 2 6 2 4" xfId="0"/>
    <cellStyle name="Примечание 1 2 6 3" xfId="0"/>
    <cellStyle name="Примечание 1 2 6 3 2" xfId="0"/>
    <cellStyle name="Примечание 1 2 6 3 3" xfId="0"/>
    <cellStyle name="Примечание 1 2 6 4" xfId="0"/>
    <cellStyle name="Примечание 1 2 6 5" xfId="0"/>
    <cellStyle name="Примечание 1 2 7" xfId="0"/>
    <cellStyle name="Примечание 1 2 7 2" xfId="0"/>
    <cellStyle name="Примечание 1 2 7 2 2" xfId="0"/>
    <cellStyle name="Примечание 1 2 7 2 2 2" xfId="0"/>
    <cellStyle name="Примечание 1 2 7 2 2 3" xfId="0"/>
    <cellStyle name="Примечание 1 2 7 2 3" xfId="0"/>
    <cellStyle name="Примечание 1 2 7 2 4" xfId="0"/>
    <cellStyle name="Примечание 1 2 7 3" xfId="0"/>
    <cellStyle name="Примечание 1 2 7 3 2" xfId="0"/>
    <cellStyle name="Примечание 1 2 7 3 3" xfId="0"/>
    <cellStyle name="Примечание 1 2 7 4" xfId="0"/>
    <cellStyle name="Примечание 1 2 7 5" xfId="0"/>
    <cellStyle name="Примечание 1 2 8" xfId="0"/>
    <cellStyle name="Примечание 1 2 8 2" xfId="0"/>
    <cellStyle name="Примечание 1 2 8 3" xfId="0"/>
    <cellStyle name="Примечание 1 2 9" xfId="0"/>
    <cellStyle name="Примечание 1 2 9 2" xfId="0"/>
    <cellStyle name="Примечание 1 2 9 3" xfId="0"/>
    <cellStyle name="Примечание 1 20" xfId="0"/>
    <cellStyle name="Примечание 1 20 2" xfId="0"/>
    <cellStyle name="Примечание 1 20 2 2" xfId="0"/>
    <cellStyle name="Примечание 1 20 2 2 2" xfId="0"/>
    <cellStyle name="Примечание 1 20 2 2 2 2" xfId="0"/>
    <cellStyle name="Примечание 1 20 2 2 2 3" xfId="0"/>
    <cellStyle name="Примечание 1 20 2 2 3" xfId="0"/>
    <cellStyle name="Примечание 1 20 2 2 4" xfId="0"/>
    <cellStyle name="Примечание 1 20 2 3" xfId="0"/>
    <cellStyle name="Примечание 1 20 2 3 2" xfId="0"/>
    <cellStyle name="Примечание 1 20 2 3 3" xfId="0"/>
    <cellStyle name="Примечание 1 20 2 4" xfId="0"/>
    <cellStyle name="Примечание 1 20 2 5" xfId="0"/>
    <cellStyle name="Примечание 1 20 3" xfId="0"/>
    <cellStyle name="Примечание 1 20 3 2" xfId="0"/>
    <cellStyle name="Примечание 1 20 3 2 2" xfId="0"/>
    <cellStyle name="Примечание 1 20 3 2 3" xfId="0"/>
    <cellStyle name="Примечание 1 20 3 3" xfId="0"/>
    <cellStyle name="Примечание 1 20 3 4" xfId="0"/>
    <cellStyle name="Примечание 1 20 4" xfId="0"/>
    <cellStyle name="Примечание 1 20 4 2" xfId="0"/>
    <cellStyle name="Примечание 1 20 4 3" xfId="0"/>
    <cellStyle name="Примечание 1 20 5" xfId="0"/>
    <cellStyle name="Примечание 1 20 6" xfId="0"/>
    <cellStyle name="Примечание 1 21" xfId="0"/>
    <cellStyle name="Примечание 1 21 2" xfId="0"/>
    <cellStyle name="Примечание 1 21 2 2" xfId="0"/>
    <cellStyle name="Примечание 1 21 2 2 2" xfId="0"/>
    <cellStyle name="Примечание 1 21 2 2 3" xfId="0"/>
    <cellStyle name="Примечание 1 21 2 3" xfId="0"/>
    <cellStyle name="Примечание 1 21 2 4" xfId="0"/>
    <cellStyle name="Примечание 1 21 3" xfId="0"/>
    <cellStyle name="Примечание 1 21 3 2" xfId="0"/>
    <cellStyle name="Примечание 1 21 3 2 2" xfId="0"/>
    <cellStyle name="Примечание 1 21 3 2 3" xfId="0"/>
    <cellStyle name="Примечание 1 21 3 3" xfId="0"/>
    <cellStyle name="Примечание 1 21 3 4" xfId="0"/>
    <cellStyle name="Примечание 1 21 4" xfId="0"/>
    <cellStyle name="Примечание 1 21 4 2" xfId="0"/>
    <cellStyle name="Примечание 1 21 4 3" xfId="0"/>
    <cellStyle name="Примечание 1 21 5" xfId="0"/>
    <cellStyle name="Примечание 1 21 6" xfId="0"/>
    <cellStyle name="Примечание 1 22" xfId="0"/>
    <cellStyle name="Примечание 1 22 2" xfId="0"/>
    <cellStyle name="Примечание 1 22 2 2" xfId="0"/>
    <cellStyle name="Примечание 1 22 2 2 2" xfId="0"/>
    <cellStyle name="Примечание 1 22 2 2 3" xfId="0"/>
    <cellStyle name="Примечание 1 22 2 3" xfId="0"/>
    <cellStyle name="Примечание 1 22 2 4" xfId="0"/>
    <cellStyle name="Примечание 1 22 3" xfId="0"/>
    <cellStyle name="Примечание 1 22 3 2" xfId="0"/>
    <cellStyle name="Примечание 1 22 3 2 2" xfId="0"/>
    <cellStyle name="Примечание 1 22 3 2 3" xfId="0"/>
    <cellStyle name="Примечание 1 22 3 3" xfId="0"/>
    <cellStyle name="Примечание 1 22 3 4" xfId="0"/>
    <cellStyle name="Примечание 1 22 4" xfId="0"/>
    <cellStyle name="Примечание 1 22 4 2" xfId="0"/>
    <cellStyle name="Примечание 1 22 4 3" xfId="0"/>
    <cellStyle name="Примечание 1 22 5" xfId="0"/>
    <cellStyle name="Примечание 1 22 6" xfId="0"/>
    <cellStyle name="Примечание 1 23" xfId="0"/>
    <cellStyle name="Примечание 1 23 2" xfId="0"/>
    <cellStyle name="Примечание 1 23 2 2" xfId="0"/>
    <cellStyle name="Примечание 1 23 2 2 2" xfId="0"/>
    <cellStyle name="Примечание 1 23 2 2 3" xfId="0"/>
    <cellStyle name="Примечание 1 23 2 3" xfId="0"/>
    <cellStyle name="Примечание 1 23 2 4" xfId="0"/>
    <cellStyle name="Примечание 1 23 3" xfId="0"/>
    <cellStyle name="Примечание 1 23 3 2" xfId="0"/>
    <cellStyle name="Примечание 1 23 3 2 2" xfId="0"/>
    <cellStyle name="Примечание 1 23 3 2 3" xfId="0"/>
    <cellStyle name="Примечание 1 23 3 3" xfId="0"/>
    <cellStyle name="Примечание 1 23 3 4" xfId="0"/>
    <cellStyle name="Примечание 1 23 4" xfId="0"/>
    <cellStyle name="Примечание 1 23 4 2" xfId="0"/>
    <cellStyle name="Примечание 1 23 4 3" xfId="0"/>
    <cellStyle name="Примечание 1 23 5" xfId="0"/>
    <cellStyle name="Примечание 1 23 6" xfId="0"/>
    <cellStyle name="Примечание 1 24" xfId="0"/>
    <cellStyle name="Примечание 1 24 2" xfId="0"/>
    <cellStyle name="Примечание 1 24 2 2" xfId="0"/>
    <cellStyle name="Примечание 1 24 2 2 2" xfId="0"/>
    <cellStyle name="Примечание 1 24 2 2 3" xfId="0"/>
    <cellStyle name="Примечание 1 24 2 3" xfId="0"/>
    <cellStyle name="Примечание 1 24 2 4" xfId="0"/>
    <cellStyle name="Примечание 1 24 3" xfId="0"/>
    <cellStyle name="Примечание 1 24 3 2" xfId="0"/>
    <cellStyle name="Примечание 1 24 3 2 2" xfId="0"/>
    <cellStyle name="Примечание 1 24 3 2 3" xfId="0"/>
    <cellStyle name="Примечание 1 24 3 3" xfId="0"/>
    <cellStyle name="Примечание 1 24 3 4" xfId="0"/>
    <cellStyle name="Примечание 1 24 4" xfId="0"/>
    <cellStyle name="Примечание 1 24 4 2" xfId="0"/>
    <cellStyle name="Примечание 1 24 4 3" xfId="0"/>
    <cellStyle name="Примечание 1 24 5" xfId="0"/>
    <cellStyle name="Примечание 1 24 6" xfId="0"/>
    <cellStyle name="Примечание 1 25" xfId="0"/>
    <cellStyle name="Примечание 1 25 2" xfId="0"/>
    <cellStyle name="Примечание 1 25 2 2" xfId="0"/>
    <cellStyle name="Примечание 1 25 2 2 2" xfId="0"/>
    <cellStyle name="Примечание 1 25 2 2 3" xfId="0"/>
    <cellStyle name="Примечание 1 25 2 3" xfId="0"/>
    <cellStyle name="Примечание 1 25 2 4" xfId="0"/>
    <cellStyle name="Примечание 1 25 3" xfId="0"/>
    <cellStyle name="Примечание 1 25 3 2" xfId="0"/>
    <cellStyle name="Примечание 1 25 3 3" xfId="0"/>
    <cellStyle name="Примечание 1 25 4" xfId="0"/>
    <cellStyle name="Примечание 1 25 5" xfId="0"/>
    <cellStyle name="Примечание 1 26" xfId="0"/>
    <cellStyle name="Примечание 1 26 2" xfId="0"/>
    <cellStyle name="Примечание 1 26 2 2" xfId="0"/>
    <cellStyle name="Примечание 1 26 2 2 2" xfId="0"/>
    <cellStyle name="Примечание 1 26 2 2 3" xfId="0"/>
    <cellStyle name="Примечание 1 26 2 3" xfId="0"/>
    <cellStyle name="Примечание 1 26 2 4" xfId="0"/>
    <cellStyle name="Примечание 1 26 3" xfId="0"/>
    <cellStyle name="Примечание 1 26 3 2" xfId="0"/>
    <cellStyle name="Примечание 1 26 3 3" xfId="0"/>
    <cellStyle name="Примечание 1 26 4" xfId="0"/>
    <cellStyle name="Примечание 1 26 5" xfId="0"/>
    <cellStyle name="Примечание 1 27" xfId="0"/>
    <cellStyle name="Примечание 1 27 2" xfId="0"/>
    <cellStyle name="Примечание 1 27 2 2" xfId="0"/>
    <cellStyle name="Примечание 1 27 2 2 2" xfId="0"/>
    <cellStyle name="Примечание 1 27 2 2 3" xfId="0"/>
    <cellStyle name="Примечание 1 27 2 3" xfId="0"/>
    <cellStyle name="Примечание 1 27 2 4" xfId="0"/>
    <cellStyle name="Примечание 1 27 3" xfId="0"/>
    <cellStyle name="Примечание 1 27 3 2" xfId="0"/>
    <cellStyle name="Примечание 1 27 3 3" xfId="0"/>
    <cellStyle name="Примечание 1 27 4" xfId="0"/>
    <cellStyle name="Примечание 1 27 5" xfId="0"/>
    <cellStyle name="Примечание 1 28" xfId="0"/>
    <cellStyle name="Примечание 1 28 2" xfId="0"/>
    <cellStyle name="Примечание 1 28 2 2" xfId="0"/>
    <cellStyle name="Примечание 1 28 2 3" xfId="0"/>
    <cellStyle name="Примечание 1 28 3" xfId="0"/>
    <cellStyle name="Примечание 1 28 4" xfId="0"/>
    <cellStyle name="Примечание 1 29" xfId="0"/>
    <cellStyle name="Примечание 1 29 2" xfId="0"/>
    <cellStyle name="Примечание 1 29 3" xfId="0"/>
    <cellStyle name="Примечание 1 3" xfId="0"/>
    <cellStyle name="Примечание 1 3 10" xfId="0"/>
    <cellStyle name="Примечание 1 3 2" xfId="0"/>
    <cellStyle name="Примечание 1 3 2 2" xfId="0"/>
    <cellStyle name="Примечание 1 3 2 2 2" xfId="0"/>
    <cellStyle name="Примечание 1 3 2 2 2 2" xfId="0"/>
    <cellStyle name="Примечание 1 3 2 2 2 3" xfId="0"/>
    <cellStyle name="Примечание 1 3 2 2 3" xfId="0"/>
    <cellStyle name="Примечание 1 3 2 2 4" xfId="0"/>
    <cellStyle name="Примечание 1 3 2 3" xfId="0"/>
    <cellStyle name="Примечание 1 3 2 3 2" xfId="0"/>
    <cellStyle name="Примечание 1 3 2 3 2 2" xfId="0"/>
    <cellStyle name="Примечание 1 3 2 3 2 3" xfId="0"/>
    <cellStyle name="Примечание 1 3 2 3 3" xfId="0"/>
    <cellStyle name="Примечание 1 3 2 3 4" xfId="0"/>
    <cellStyle name="Примечание 1 3 2 4" xfId="0"/>
    <cellStyle name="Примечание 1 3 2 4 2" xfId="0"/>
    <cellStyle name="Примечание 1 3 2 4 3" xfId="0"/>
    <cellStyle name="Примечание 1 3 2 5" xfId="0"/>
    <cellStyle name="Примечание 1 3 2 6" xfId="0"/>
    <cellStyle name="Примечание 1 3 3" xfId="0"/>
    <cellStyle name="Примечание 1 3 3 2" xfId="0"/>
    <cellStyle name="Примечание 1 3 3 2 2" xfId="0"/>
    <cellStyle name="Примечание 1 3 3 2 2 2" xfId="0"/>
    <cellStyle name="Примечание 1 3 3 2 2 3" xfId="0"/>
    <cellStyle name="Примечание 1 3 3 2 3" xfId="0"/>
    <cellStyle name="Примечание 1 3 3 2 4" xfId="0"/>
    <cellStyle name="Примечание 1 3 3 3" xfId="0"/>
    <cellStyle name="Примечание 1 3 3 3 2" xfId="0"/>
    <cellStyle name="Примечание 1 3 3 3 2 2" xfId="0"/>
    <cellStyle name="Примечание 1 3 3 3 2 3" xfId="0"/>
    <cellStyle name="Примечание 1 3 3 3 3" xfId="0"/>
    <cellStyle name="Примечание 1 3 3 3 4" xfId="0"/>
    <cellStyle name="Примечание 1 3 3 4" xfId="0"/>
    <cellStyle name="Примечание 1 3 3 4 2" xfId="0"/>
    <cellStyle name="Примечание 1 3 3 4 3" xfId="0"/>
    <cellStyle name="Примечание 1 3 3 5" xfId="0"/>
    <cellStyle name="Примечание 1 3 3 6" xfId="0"/>
    <cellStyle name="Примечание 1 3 4" xfId="0"/>
    <cellStyle name="Примечание 1 3 4 2" xfId="0"/>
    <cellStyle name="Примечание 1 3 4 2 2" xfId="0"/>
    <cellStyle name="Примечание 1 3 4 2 2 2" xfId="0"/>
    <cellStyle name="Примечание 1 3 4 2 2 3" xfId="0"/>
    <cellStyle name="Примечание 1 3 4 2 3" xfId="0"/>
    <cellStyle name="Примечание 1 3 4 2 4" xfId="0"/>
    <cellStyle name="Примечание 1 3 4 3" xfId="0"/>
    <cellStyle name="Примечание 1 3 4 3 2" xfId="0"/>
    <cellStyle name="Примечание 1 3 4 3 2 2" xfId="0"/>
    <cellStyle name="Примечание 1 3 4 3 2 3" xfId="0"/>
    <cellStyle name="Примечание 1 3 4 3 3" xfId="0"/>
    <cellStyle name="Примечание 1 3 4 3 4" xfId="0"/>
    <cellStyle name="Примечание 1 3 4 4" xfId="0"/>
    <cellStyle name="Примечание 1 3 4 4 2" xfId="0"/>
    <cellStyle name="Примечание 1 3 4 4 3" xfId="0"/>
    <cellStyle name="Примечание 1 3 4 5" xfId="0"/>
    <cellStyle name="Примечание 1 3 4 6" xfId="0"/>
    <cellStyle name="Примечание 1 3 5" xfId="0"/>
    <cellStyle name="Примечание 1 3 5 2" xfId="0"/>
    <cellStyle name="Примечание 1 3 5 2 2" xfId="0"/>
    <cellStyle name="Примечание 1 3 5 2 2 2" xfId="0"/>
    <cellStyle name="Примечание 1 3 5 2 2 3" xfId="0"/>
    <cellStyle name="Примечание 1 3 5 2 3" xfId="0"/>
    <cellStyle name="Примечание 1 3 5 2 4" xfId="0"/>
    <cellStyle name="Примечание 1 3 5 3" xfId="0"/>
    <cellStyle name="Примечание 1 3 5 3 2" xfId="0"/>
    <cellStyle name="Примечание 1 3 5 3 2 2" xfId="0"/>
    <cellStyle name="Примечание 1 3 5 3 2 3" xfId="0"/>
    <cellStyle name="Примечание 1 3 5 3 3" xfId="0"/>
    <cellStyle name="Примечание 1 3 5 3 4" xfId="0"/>
    <cellStyle name="Примечание 1 3 5 4" xfId="0"/>
    <cellStyle name="Примечание 1 3 5 4 2" xfId="0"/>
    <cellStyle name="Примечание 1 3 5 4 3" xfId="0"/>
    <cellStyle name="Примечание 1 3 5 5" xfId="0"/>
    <cellStyle name="Примечание 1 3 5 6" xfId="0"/>
    <cellStyle name="Примечание 1 3 6" xfId="0"/>
    <cellStyle name="Примечание 1 3 6 2" xfId="0"/>
    <cellStyle name="Примечание 1 3 6 2 2" xfId="0"/>
    <cellStyle name="Примечание 1 3 6 2 2 2" xfId="0"/>
    <cellStyle name="Примечание 1 3 6 2 2 3" xfId="0"/>
    <cellStyle name="Примечание 1 3 6 2 3" xfId="0"/>
    <cellStyle name="Примечание 1 3 6 2 4" xfId="0"/>
    <cellStyle name="Примечание 1 3 6 3" xfId="0"/>
    <cellStyle name="Примечание 1 3 6 3 2" xfId="0"/>
    <cellStyle name="Примечание 1 3 6 3 3" xfId="0"/>
    <cellStyle name="Примечание 1 3 6 4" xfId="0"/>
    <cellStyle name="Примечание 1 3 6 5" xfId="0"/>
    <cellStyle name="Примечание 1 3 7" xfId="0"/>
    <cellStyle name="Примечание 1 3 7 2" xfId="0"/>
    <cellStyle name="Примечание 1 3 7 2 2" xfId="0"/>
    <cellStyle name="Примечание 1 3 7 2 2 2" xfId="0"/>
    <cellStyle name="Примечание 1 3 7 2 2 3" xfId="0"/>
    <cellStyle name="Примечание 1 3 7 2 3" xfId="0"/>
    <cellStyle name="Примечание 1 3 7 2 4" xfId="0"/>
    <cellStyle name="Примечание 1 3 7 3" xfId="0"/>
    <cellStyle name="Примечание 1 3 7 3 2" xfId="0"/>
    <cellStyle name="Примечание 1 3 7 3 3" xfId="0"/>
    <cellStyle name="Примечание 1 3 7 4" xfId="0"/>
    <cellStyle name="Примечание 1 3 7 5" xfId="0"/>
    <cellStyle name="Примечание 1 3 8" xfId="0"/>
    <cellStyle name="Примечание 1 3 8 2" xfId="0"/>
    <cellStyle name="Примечание 1 3 8 3" xfId="0"/>
    <cellStyle name="Примечание 1 3 9" xfId="0"/>
    <cellStyle name="Примечание 1 30" xfId="0"/>
    <cellStyle name="Примечание 1 30 2" xfId="0"/>
    <cellStyle name="Примечание 1 30 3" xfId="0"/>
    <cellStyle name="Примечание 1 31" xfId="0"/>
    <cellStyle name="Примечание 1 31 2" xfId="0"/>
    <cellStyle name="Примечание 1 31 3" xfId="0"/>
    <cellStyle name="Примечание 1 32" xfId="0"/>
    <cellStyle name="Примечание 1 32 2" xfId="0"/>
    <cellStyle name="Примечание 1 32 3" xfId="0"/>
    <cellStyle name="Примечание 1 33" xfId="0"/>
    <cellStyle name="Примечание 1 4" xfId="0"/>
    <cellStyle name="Примечание 1 4 10" xfId="0"/>
    <cellStyle name="Примечание 1 4 2" xfId="0"/>
    <cellStyle name="Примечание 1 4 2 2" xfId="0"/>
    <cellStyle name="Примечание 1 4 2 2 2" xfId="0"/>
    <cellStyle name="Примечание 1 4 2 2 2 2" xfId="0"/>
    <cellStyle name="Примечание 1 4 2 2 2 3" xfId="0"/>
    <cellStyle name="Примечание 1 4 2 2 3" xfId="0"/>
    <cellStyle name="Примечание 1 4 2 2 4" xfId="0"/>
    <cellStyle name="Примечание 1 4 2 3" xfId="0"/>
    <cellStyle name="Примечание 1 4 2 3 2" xfId="0"/>
    <cellStyle name="Примечание 1 4 2 3 2 2" xfId="0"/>
    <cellStyle name="Примечание 1 4 2 3 2 3" xfId="0"/>
    <cellStyle name="Примечание 1 4 2 3 3" xfId="0"/>
    <cellStyle name="Примечание 1 4 2 3 4" xfId="0"/>
    <cellStyle name="Примечание 1 4 2 4" xfId="0"/>
    <cellStyle name="Примечание 1 4 2 4 2" xfId="0"/>
    <cellStyle name="Примечание 1 4 2 4 3" xfId="0"/>
    <cellStyle name="Примечание 1 4 2 5" xfId="0"/>
    <cellStyle name="Примечание 1 4 2 6" xfId="0"/>
    <cellStyle name="Примечание 1 4 3" xfId="0"/>
    <cellStyle name="Примечание 1 4 3 2" xfId="0"/>
    <cellStyle name="Примечание 1 4 3 2 2" xfId="0"/>
    <cellStyle name="Примечание 1 4 3 2 2 2" xfId="0"/>
    <cellStyle name="Примечание 1 4 3 2 2 3" xfId="0"/>
    <cellStyle name="Примечание 1 4 3 2 3" xfId="0"/>
    <cellStyle name="Примечание 1 4 3 2 4" xfId="0"/>
    <cellStyle name="Примечание 1 4 3 3" xfId="0"/>
    <cellStyle name="Примечание 1 4 3 3 2" xfId="0"/>
    <cellStyle name="Примечание 1 4 3 3 2 2" xfId="0"/>
    <cellStyle name="Примечание 1 4 3 3 2 3" xfId="0"/>
    <cellStyle name="Примечание 1 4 3 3 3" xfId="0"/>
    <cellStyle name="Примечание 1 4 3 3 4" xfId="0"/>
    <cellStyle name="Примечание 1 4 3 4" xfId="0"/>
    <cellStyle name="Примечание 1 4 3 4 2" xfId="0"/>
    <cellStyle name="Примечание 1 4 3 4 3" xfId="0"/>
    <cellStyle name="Примечание 1 4 3 5" xfId="0"/>
    <cellStyle name="Примечание 1 4 3 6" xfId="0"/>
    <cellStyle name="Примечание 1 4 4" xfId="0"/>
    <cellStyle name="Примечание 1 4 4 2" xfId="0"/>
    <cellStyle name="Примечание 1 4 4 2 2" xfId="0"/>
    <cellStyle name="Примечание 1 4 4 2 2 2" xfId="0"/>
    <cellStyle name="Примечание 1 4 4 2 2 3" xfId="0"/>
    <cellStyle name="Примечание 1 4 4 2 3" xfId="0"/>
    <cellStyle name="Примечание 1 4 4 2 4" xfId="0"/>
    <cellStyle name="Примечание 1 4 4 3" xfId="0"/>
    <cellStyle name="Примечание 1 4 4 3 2" xfId="0"/>
    <cellStyle name="Примечание 1 4 4 3 2 2" xfId="0"/>
    <cellStyle name="Примечание 1 4 4 3 2 3" xfId="0"/>
    <cellStyle name="Примечание 1 4 4 3 3" xfId="0"/>
    <cellStyle name="Примечание 1 4 4 3 4" xfId="0"/>
    <cellStyle name="Примечание 1 4 4 4" xfId="0"/>
    <cellStyle name="Примечание 1 4 4 4 2" xfId="0"/>
    <cellStyle name="Примечание 1 4 4 4 3" xfId="0"/>
    <cellStyle name="Примечание 1 4 4 5" xfId="0"/>
    <cellStyle name="Примечание 1 4 4 6" xfId="0"/>
    <cellStyle name="Примечание 1 4 5" xfId="0"/>
    <cellStyle name="Примечание 1 4 5 2" xfId="0"/>
    <cellStyle name="Примечание 1 4 5 2 2" xfId="0"/>
    <cellStyle name="Примечание 1 4 5 2 2 2" xfId="0"/>
    <cellStyle name="Примечание 1 4 5 2 2 3" xfId="0"/>
    <cellStyle name="Примечание 1 4 5 2 3" xfId="0"/>
    <cellStyle name="Примечание 1 4 5 2 4" xfId="0"/>
    <cellStyle name="Примечание 1 4 5 3" xfId="0"/>
    <cellStyle name="Примечание 1 4 5 3 2" xfId="0"/>
    <cellStyle name="Примечание 1 4 5 3 2 2" xfId="0"/>
    <cellStyle name="Примечание 1 4 5 3 2 3" xfId="0"/>
    <cellStyle name="Примечание 1 4 5 3 3" xfId="0"/>
    <cellStyle name="Примечание 1 4 5 3 4" xfId="0"/>
    <cellStyle name="Примечание 1 4 5 4" xfId="0"/>
    <cellStyle name="Примечание 1 4 5 4 2" xfId="0"/>
    <cellStyle name="Примечание 1 4 5 4 3" xfId="0"/>
    <cellStyle name="Примечание 1 4 5 5" xfId="0"/>
    <cellStyle name="Примечание 1 4 5 6" xfId="0"/>
    <cellStyle name="Примечание 1 4 6" xfId="0"/>
    <cellStyle name="Примечание 1 4 6 2" xfId="0"/>
    <cellStyle name="Примечание 1 4 6 2 2" xfId="0"/>
    <cellStyle name="Примечание 1 4 6 2 2 2" xfId="0"/>
    <cellStyle name="Примечание 1 4 6 2 2 3" xfId="0"/>
    <cellStyle name="Примечание 1 4 6 2 3" xfId="0"/>
    <cellStyle name="Примечание 1 4 6 2 4" xfId="0"/>
    <cellStyle name="Примечание 1 4 6 3" xfId="0"/>
    <cellStyle name="Примечание 1 4 6 3 2" xfId="0"/>
    <cellStyle name="Примечание 1 4 6 3 3" xfId="0"/>
    <cellStyle name="Примечание 1 4 6 4" xfId="0"/>
    <cellStyle name="Примечание 1 4 6 5" xfId="0"/>
    <cellStyle name="Примечание 1 4 7" xfId="0"/>
    <cellStyle name="Примечание 1 4 7 2" xfId="0"/>
    <cellStyle name="Примечание 1 4 7 2 2" xfId="0"/>
    <cellStyle name="Примечание 1 4 7 2 2 2" xfId="0"/>
    <cellStyle name="Примечание 1 4 7 2 2 3" xfId="0"/>
    <cellStyle name="Примечание 1 4 7 2 3" xfId="0"/>
    <cellStyle name="Примечание 1 4 7 2 4" xfId="0"/>
    <cellStyle name="Примечание 1 4 7 3" xfId="0"/>
    <cellStyle name="Примечание 1 4 7 3 2" xfId="0"/>
    <cellStyle name="Примечание 1 4 7 3 3" xfId="0"/>
    <cellStyle name="Примечание 1 4 7 4" xfId="0"/>
    <cellStyle name="Примечание 1 4 7 5" xfId="0"/>
    <cellStyle name="Примечание 1 4 8" xfId="0"/>
    <cellStyle name="Примечание 1 4 8 2" xfId="0"/>
    <cellStyle name="Примечание 1 4 8 3" xfId="0"/>
    <cellStyle name="Примечание 1 4 9" xfId="0"/>
    <cellStyle name="Примечание 1 5" xfId="0"/>
    <cellStyle name="Примечание 1 5 2" xfId="0"/>
    <cellStyle name="Примечание 1 5 2 2" xfId="0"/>
    <cellStyle name="Примечание 1 5 2 2 2" xfId="0"/>
    <cellStyle name="Примечание 1 5 2 2 2 2" xfId="0"/>
    <cellStyle name="Примечание 1 5 2 2 2 3" xfId="0"/>
    <cellStyle name="Примечание 1 5 2 2 3" xfId="0"/>
    <cellStyle name="Примечание 1 5 2 2 4" xfId="0"/>
    <cellStyle name="Примечание 1 5 2 3" xfId="0"/>
    <cellStyle name="Примечание 1 5 2 3 2" xfId="0"/>
    <cellStyle name="Примечание 1 5 2 3 2 2" xfId="0"/>
    <cellStyle name="Примечание 1 5 2 3 2 3" xfId="0"/>
    <cellStyle name="Примечание 1 5 2 3 3" xfId="0"/>
    <cellStyle name="Примечание 1 5 2 3 4" xfId="0"/>
    <cellStyle name="Примечание 1 5 2 4" xfId="0"/>
    <cellStyle name="Примечание 1 5 2 4 2" xfId="0"/>
    <cellStyle name="Примечание 1 5 2 4 3" xfId="0"/>
    <cellStyle name="Примечание 1 5 2 5" xfId="0"/>
    <cellStyle name="Примечание 1 5 2 6" xfId="0"/>
    <cellStyle name="Примечание 1 5 3" xfId="0"/>
    <cellStyle name="Примечание 1 5 3 2" xfId="0"/>
    <cellStyle name="Примечание 1 5 3 2 2" xfId="0"/>
    <cellStyle name="Примечание 1 5 3 2 2 2" xfId="0"/>
    <cellStyle name="Примечание 1 5 3 2 2 3" xfId="0"/>
    <cellStyle name="Примечание 1 5 3 2 3" xfId="0"/>
    <cellStyle name="Примечание 1 5 3 2 4" xfId="0"/>
    <cellStyle name="Примечание 1 5 3 3" xfId="0"/>
    <cellStyle name="Примечание 1 5 3 3 2" xfId="0"/>
    <cellStyle name="Примечание 1 5 3 3 3" xfId="0"/>
    <cellStyle name="Примечание 1 5 3 4" xfId="0"/>
    <cellStyle name="Примечание 1 5 3 5" xfId="0"/>
    <cellStyle name="Примечание 1 5 4" xfId="0"/>
    <cellStyle name="Примечание 1 5 4 2" xfId="0"/>
    <cellStyle name="Примечание 1 5 4 2 2" xfId="0"/>
    <cellStyle name="Примечание 1 5 4 2 2 2" xfId="0"/>
    <cellStyle name="Примечание 1 5 4 2 2 3" xfId="0"/>
    <cellStyle name="Примечание 1 5 4 2 3" xfId="0"/>
    <cellStyle name="Примечание 1 5 4 2 4" xfId="0"/>
    <cellStyle name="Примечание 1 5 4 3" xfId="0"/>
    <cellStyle name="Примечание 1 5 4 3 2" xfId="0"/>
    <cellStyle name="Примечание 1 5 4 3 3" xfId="0"/>
    <cellStyle name="Примечание 1 5 4 4" xfId="0"/>
    <cellStyle name="Примечание 1 5 4 5" xfId="0"/>
    <cellStyle name="Примечание 1 5 5" xfId="0"/>
    <cellStyle name="Примечание 1 5 5 2" xfId="0"/>
    <cellStyle name="Примечание 1 5 5 3" xfId="0"/>
    <cellStyle name="Примечание 1 5 6" xfId="0"/>
    <cellStyle name="Примечание 1 5 7" xfId="0"/>
    <cellStyle name="Примечание 1 6" xfId="0"/>
    <cellStyle name="Примечание 1 6 2" xfId="0"/>
    <cellStyle name="Примечание 1 6 2 2" xfId="0"/>
    <cellStyle name="Примечание 1 6 2 2 2" xfId="0"/>
    <cellStyle name="Примечание 1 6 2 2 2 2" xfId="0"/>
    <cellStyle name="Примечание 1 6 2 2 2 3" xfId="0"/>
    <cellStyle name="Примечание 1 6 2 2 3" xfId="0"/>
    <cellStyle name="Примечание 1 6 2 2 4" xfId="0"/>
    <cellStyle name="Примечание 1 6 2 3" xfId="0"/>
    <cellStyle name="Примечание 1 6 2 3 2" xfId="0"/>
    <cellStyle name="Примечание 1 6 2 3 2 2" xfId="0"/>
    <cellStyle name="Примечание 1 6 2 3 2 3" xfId="0"/>
    <cellStyle name="Примечание 1 6 2 3 3" xfId="0"/>
    <cellStyle name="Примечание 1 6 2 3 4" xfId="0"/>
    <cellStyle name="Примечание 1 6 2 4" xfId="0"/>
    <cellStyle name="Примечание 1 6 2 4 2" xfId="0"/>
    <cellStyle name="Примечание 1 6 2 4 3" xfId="0"/>
    <cellStyle name="Примечание 1 6 2 5" xfId="0"/>
    <cellStyle name="Примечание 1 6 2 6" xfId="0"/>
    <cellStyle name="Примечание 1 6 3" xfId="0"/>
    <cellStyle name="Примечание 1 6 3 2" xfId="0"/>
    <cellStyle name="Примечание 1 6 3 2 2" xfId="0"/>
    <cellStyle name="Примечание 1 6 3 2 2 2" xfId="0"/>
    <cellStyle name="Примечание 1 6 3 2 2 3" xfId="0"/>
    <cellStyle name="Примечание 1 6 3 2 3" xfId="0"/>
    <cellStyle name="Примечание 1 6 3 2 4" xfId="0"/>
    <cellStyle name="Примечание 1 6 3 3" xfId="0"/>
    <cellStyle name="Примечание 1 6 3 3 2" xfId="0"/>
    <cellStyle name="Примечание 1 6 3 3 3" xfId="0"/>
    <cellStyle name="Примечание 1 6 3 4" xfId="0"/>
    <cellStyle name="Примечание 1 6 3 5" xfId="0"/>
    <cellStyle name="Примечание 1 6 4" xfId="0"/>
    <cellStyle name="Примечание 1 6 4 2" xfId="0"/>
    <cellStyle name="Примечание 1 6 4 2 2" xfId="0"/>
    <cellStyle name="Примечание 1 6 4 2 2 2" xfId="0"/>
    <cellStyle name="Примечание 1 6 4 2 2 3" xfId="0"/>
    <cellStyle name="Примечание 1 6 4 2 3" xfId="0"/>
    <cellStyle name="Примечание 1 6 4 2 4" xfId="0"/>
    <cellStyle name="Примечание 1 6 4 3" xfId="0"/>
    <cellStyle name="Примечание 1 6 4 3 2" xfId="0"/>
    <cellStyle name="Примечание 1 6 4 3 3" xfId="0"/>
    <cellStyle name="Примечание 1 6 4 4" xfId="0"/>
    <cellStyle name="Примечание 1 6 4 5" xfId="0"/>
    <cellStyle name="Примечание 1 6 5" xfId="0"/>
    <cellStyle name="Примечание 1 6 5 2" xfId="0"/>
    <cellStyle name="Примечание 1 6 5 3" xfId="0"/>
    <cellStyle name="Примечание 1 6 6" xfId="0"/>
    <cellStyle name="Примечание 1 6 7" xfId="0"/>
    <cellStyle name="Примечание 1 7" xfId="0"/>
    <cellStyle name="Примечание 1 7 2" xfId="0"/>
    <cellStyle name="Примечание 1 7 2 2" xfId="0"/>
    <cellStyle name="Примечание 1 7 2 2 2" xfId="0"/>
    <cellStyle name="Примечание 1 7 2 2 2 2" xfId="0"/>
    <cellStyle name="Примечание 1 7 2 2 2 3" xfId="0"/>
    <cellStyle name="Примечание 1 7 2 2 3" xfId="0"/>
    <cellStyle name="Примечание 1 7 2 2 4" xfId="0"/>
    <cellStyle name="Примечание 1 7 2 3" xfId="0"/>
    <cellStyle name="Примечание 1 7 2 3 2" xfId="0"/>
    <cellStyle name="Примечание 1 7 2 3 2 2" xfId="0"/>
    <cellStyle name="Примечание 1 7 2 3 2 3" xfId="0"/>
    <cellStyle name="Примечание 1 7 2 3 3" xfId="0"/>
    <cellStyle name="Примечание 1 7 2 3 4" xfId="0"/>
    <cellStyle name="Примечание 1 7 2 4" xfId="0"/>
    <cellStyle name="Примечание 1 7 2 4 2" xfId="0"/>
    <cellStyle name="Примечание 1 7 2 4 3" xfId="0"/>
    <cellStyle name="Примечание 1 7 2 5" xfId="0"/>
    <cellStyle name="Примечание 1 7 2 6" xfId="0"/>
    <cellStyle name="Примечание 1 7 3" xfId="0"/>
    <cellStyle name="Примечание 1 7 3 2" xfId="0"/>
    <cellStyle name="Примечание 1 7 3 2 2" xfId="0"/>
    <cellStyle name="Примечание 1 7 3 2 2 2" xfId="0"/>
    <cellStyle name="Примечание 1 7 3 2 2 3" xfId="0"/>
    <cellStyle name="Примечание 1 7 3 2 3" xfId="0"/>
    <cellStyle name="Примечание 1 7 3 2 4" xfId="0"/>
    <cellStyle name="Примечание 1 7 3 3" xfId="0"/>
    <cellStyle name="Примечание 1 7 3 3 2" xfId="0"/>
    <cellStyle name="Примечание 1 7 3 3 3" xfId="0"/>
    <cellStyle name="Примечание 1 7 3 4" xfId="0"/>
    <cellStyle name="Примечание 1 7 3 5" xfId="0"/>
    <cellStyle name="Примечание 1 7 4" xfId="0"/>
    <cellStyle name="Примечание 1 7 4 2" xfId="0"/>
    <cellStyle name="Примечание 1 7 4 2 2" xfId="0"/>
    <cellStyle name="Примечание 1 7 4 2 2 2" xfId="0"/>
    <cellStyle name="Примечание 1 7 4 2 2 3" xfId="0"/>
    <cellStyle name="Примечание 1 7 4 2 3" xfId="0"/>
    <cellStyle name="Примечание 1 7 4 2 4" xfId="0"/>
    <cellStyle name="Примечание 1 7 4 3" xfId="0"/>
    <cellStyle name="Примечание 1 7 4 3 2" xfId="0"/>
    <cellStyle name="Примечание 1 7 4 3 3" xfId="0"/>
    <cellStyle name="Примечание 1 7 4 4" xfId="0"/>
    <cellStyle name="Примечание 1 7 4 5" xfId="0"/>
    <cellStyle name="Примечание 1 7 5" xfId="0"/>
    <cellStyle name="Примечание 1 7 5 2" xfId="0"/>
    <cellStyle name="Примечание 1 7 5 3" xfId="0"/>
    <cellStyle name="Примечание 1 7 6" xfId="0"/>
    <cellStyle name="Примечание 1 7 7" xfId="0"/>
    <cellStyle name="Примечание 1 8" xfId="0"/>
    <cellStyle name="Примечание 1 8 2" xfId="0"/>
    <cellStyle name="Примечание 1 8 2 2" xfId="0"/>
    <cellStyle name="Примечание 1 8 2 2 2" xfId="0"/>
    <cellStyle name="Примечание 1 8 2 2 2 2" xfId="0"/>
    <cellStyle name="Примечание 1 8 2 2 2 3" xfId="0"/>
    <cellStyle name="Примечание 1 8 2 2 3" xfId="0"/>
    <cellStyle name="Примечание 1 8 2 2 4" xfId="0"/>
    <cellStyle name="Примечание 1 8 2 3" xfId="0"/>
    <cellStyle name="Примечание 1 8 2 3 2" xfId="0"/>
    <cellStyle name="Примечание 1 8 2 3 2 2" xfId="0"/>
    <cellStyle name="Примечание 1 8 2 3 2 3" xfId="0"/>
    <cellStyle name="Примечание 1 8 2 3 3" xfId="0"/>
    <cellStyle name="Примечание 1 8 2 3 4" xfId="0"/>
    <cellStyle name="Примечание 1 8 2 4" xfId="0"/>
    <cellStyle name="Примечание 1 8 2 4 2" xfId="0"/>
    <cellStyle name="Примечание 1 8 2 4 3" xfId="0"/>
    <cellStyle name="Примечание 1 8 2 5" xfId="0"/>
    <cellStyle name="Примечание 1 8 2 6" xfId="0"/>
    <cellStyle name="Примечание 1 8 3" xfId="0"/>
    <cellStyle name="Примечание 1 8 3 2" xfId="0"/>
    <cellStyle name="Примечание 1 8 3 2 2" xfId="0"/>
    <cellStyle name="Примечание 1 8 3 2 2 2" xfId="0"/>
    <cellStyle name="Примечание 1 8 3 2 2 3" xfId="0"/>
    <cellStyle name="Примечание 1 8 3 2 3" xfId="0"/>
    <cellStyle name="Примечание 1 8 3 2 4" xfId="0"/>
    <cellStyle name="Примечание 1 8 3 3" xfId="0"/>
    <cellStyle name="Примечание 1 8 3 3 2" xfId="0"/>
    <cellStyle name="Примечание 1 8 3 3 3" xfId="0"/>
    <cellStyle name="Примечание 1 8 3 4" xfId="0"/>
    <cellStyle name="Примечание 1 8 3 5" xfId="0"/>
    <cellStyle name="Примечание 1 8 4" xfId="0"/>
    <cellStyle name="Примечание 1 8 4 2" xfId="0"/>
    <cellStyle name="Примечание 1 8 4 2 2" xfId="0"/>
    <cellStyle name="Примечание 1 8 4 2 2 2" xfId="0"/>
    <cellStyle name="Примечание 1 8 4 2 2 3" xfId="0"/>
    <cellStyle name="Примечание 1 8 4 2 3" xfId="0"/>
    <cellStyle name="Примечание 1 8 4 2 4" xfId="0"/>
    <cellStyle name="Примечание 1 8 4 3" xfId="0"/>
    <cellStyle name="Примечание 1 8 4 3 2" xfId="0"/>
    <cellStyle name="Примечание 1 8 4 3 3" xfId="0"/>
    <cellStyle name="Примечание 1 8 4 4" xfId="0"/>
    <cellStyle name="Примечание 1 8 4 5" xfId="0"/>
    <cellStyle name="Примечание 1 8 5" xfId="0"/>
    <cellStyle name="Примечание 1 8 5 2" xfId="0"/>
    <cellStyle name="Примечание 1 8 5 3" xfId="0"/>
    <cellStyle name="Примечание 1 8 6" xfId="0"/>
    <cellStyle name="Примечание 1 8 7" xfId="0"/>
    <cellStyle name="Примечание 1 9" xfId="0"/>
    <cellStyle name="Примечание 1 9 2" xfId="0"/>
    <cellStyle name="Примечание 1 9 2 2" xfId="0"/>
    <cellStyle name="Примечание 1 9 2 2 2" xfId="0"/>
    <cellStyle name="Примечание 1 9 2 2 2 2" xfId="0"/>
    <cellStyle name="Примечание 1 9 2 2 2 3" xfId="0"/>
    <cellStyle name="Примечание 1 9 2 2 3" xfId="0"/>
    <cellStyle name="Примечание 1 9 2 2 4" xfId="0"/>
    <cellStyle name="Примечание 1 9 2 3" xfId="0"/>
    <cellStyle name="Примечание 1 9 2 3 2" xfId="0"/>
    <cellStyle name="Примечание 1 9 2 3 2 2" xfId="0"/>
    <cellStyle name="Примечание 1 9 2 3 2 3" xfId="0"/>
    <cellStyle name="Примечание 1 9 2 3 3" xfId="0"/>
    <cellStyle name="Примечание 1 9 2 3 4" xfId="0"/>
    <cellStyle name="Примечание 1 9 2 4" xfId="0"/>
    <cellStyle name="Примечание 1 9 2 4 2" xfId="0"/>
    <cellStyle name="Примечание 1 9 2 4 3" xfId="0"/>
    <cellStyle name="Примечание 1 9 2 5" xfId="0"/>
    <cellStyle name="Примечание 1 9 2 6" xfId="0"/>
    <cellStyle name="Примечание 1 9 3" xfId="0"/>
    <cellStyle name="Примечание 1 9 3 2" xfId="0"/>
    <cellStyle name="Примечание 1 9 3 2 2" xfId="0"/>
    <cellStyle name="Примечание 1 9 3 2 2 2" xfId="0"/>
    <cellStyle name="Примечание 1 9 3 2 2 3" xfId="0"/>
    <cellStyle name="Примечание 1 9 3 2 3" xfId="0"/>
    <cellStyle name="Примечание 1 9 3 2 4" xfId="0"/>
    <cellStyle name="Примечание 1 9 3 3" xfId="0"/>
    <cellStyle name="Примечание 1 9 3 3 2" xfId="0"/>
    <cellStyle name="Примечание 1 9 3 3 3" xfId="0"/>
    <cellStyle name="Примечание 1 9 3 4" xfId="0"/>
    <cellStyle name="Примечание 1 9 3 5" xfId="0"/>
    <cellStyle name="Примечание 1 9 4" xfId="0"/>
    <cellStyle name="Примечание 1 9 4 2" xfId="0"/>
    <cellStyle name="Примечание 1 9 4 2 2" xfId="0"/>
    <cellStyle name="Примечание 1 9 4 2 2 2" xfId="0"/>
    <cellStyle name="Примечание 1 9 4 2 2 3" xfId="0"/>
    <cellStyle name="Примечание 1 9 4 2 3" xfId="0"/>
    <cellStyle name="Примечание 1 9 4 2 4" xfId="0"/>
    <cellStyle name="Примечание 1 9 4 3" xfId="0"/>
    <cellStyle name="Примечание 1 9 4 3 2" xfId="0"/>
    <cellStyle name="Примечание 1 9 4 3 3" xfId="0"/>
    <cellStyle name="Примечание 1 9 4 4" xfId="0"/>
    <cellStyle name="Примечание 1 9 4 5" xfId="0"/>
    <cellStyle name="Примечание 1 9 5" xfId="0"/>
    <cellStyle name="Примечание 1 9 5 2" xfId="0"/>
    <cellStyle name="Примечание 1 9 5 3" xfId="0"/>
    <cellStyle name="Примечание 1 9 6" xfId="0"/>
    <cellStyle name="Примечание 1 9 7" xfId="0"/>
    <cellStyle name="Примечание 2" xfId="0"/>
    <cellStyle name="Примечание 2 10" xfId="0"/>
    <cellStyle name="Примечание 2 10 2" xfId="0"/>
    <cellStyle name="Примечание 2 10 2 2" xfId="0"/>
    <cellStyle name="Примечание 2 10 2 2 2" xfId="0"/>
    <cellStyle name="Примечание 2 10 2 2 2 2" xfId="0"/>
    <cellStyle name="Примечание 2 10 2 2 2 3" xfId="0"/>
    <cellStyle name="Примечание 2 10 2 2 3" xfId="0"/>
    <cellStyle name="Примечание 2 10 2 2 4" xfId="0"/>
    <cellStyle name="Примечание 2 10 2 3" xfId="0"/>
    <cellStyle name="Примечание 2 10 2 3 2" xfId="0"/>
    <cellStyle name="Примечание 2 10 2 3 2 2" xfId="0"/>
    <cellStyle name="Примечание 2 10 2 3 2 3" xfId="0"/>
    <cellStyle name="Примечание 2 10 2 3 3" xfId="0"/>
    <cellStyle name="Примечание 2 10 2 3 4" xfId="0"/>
    <cellStyle name="Примечание 2 10 2 4" xfId="0"/>
    <cellStyle name="Примечание 2 10 2 4 2" xfId="0"/>
    <cellStyle name="Примечание 2 10 2 4 3" xfId="0"/>
    <cellStyle name="Примечание 2 10 2 5" xfId="0"/>
    <cellStyle name="Примечание 2 10 2 6" xfId="0"/>
    <cellStyle name="Примечание 2 10 3" xfId="0"/>
    <cellStyle name="Примечание 2 10 3 2" xfId="0"/>
    <cellStyle name="Примечание 2 10 3 2 2" xfId="0"/>
    <cellStyle name="Примечание 2 10 3 2 2 2" xfId="0"/>
    <cellStyle name="Примечание 2 10 3 2 2 3" xfId="0"/>
    <cellStyle name="Примечание 2 10 3 2 3" xfId="0"/>
    <cellStyle name="Примечание 2 10 3 2 4" xfId="0"/>
    <cellStyle name="Примечание 2 10 3 3" xfId="0"/>
    <cellStyle name="Примечание 2 10 3 3 2" xfId="0"/>
    <cellStyle name="Примечание 2 10 3 3 3" xfId="0"/>
    <cellStyle name="Примечание 2 10 3 4" xfId="0"/>
    <cellStyle name="Примечание 2 10 3 5" xfId="0"/>
    <cellStyle name="Примечание 2 10 4" xfId="0"/>
    <cellStyle name="Примечание 2 10 4 2" xfId="0"/>
    <cellStyle name="Примечание 2 10 4 2 2" xfId="0"/>
    <cellStyle name="Примечание 2 10 4 2 2 2" xfId="0"/>
    <cellStyle name="Примечание 2 10 4 2 2 3" xfId="0"/>
    <cellStyle name="Примечание 2 10 4 2 3" xfId="0"/>
    <cellStyle name="Примечание 2 10 4 2 4" xfId="0"/>
    <cellStyle name="Примечание 2 10 4 3" xfId="0"/>
    <cellStyle name="Примечание 2 10 4 3 2" xfId="0"/>
    <cellStyle name="Примечание 2 10 4 3 3" xfId="0"/>
    <cellStyle name="Примечание 2 10 4 4" xfId="0"/>
    <cellStyle name="Примечание 2 10 4 5" xfId="0"/>
    <cellStyle name="Примечание 2 10 5" xfId="0"/>
    <cellStyle name="Примечание 2 10 5 2" xfId="0"/>
    <cellStyle name="Примечание 2 10 5 3" xfId="0"/>
    <cellStyle name="Примечание 2 10 6" xfId="0"/>
    <cellStyle name="Примечание 2 10 7" xfId="0"/>
    <cellStyle name="Примечание 2 11" xfId="0"/>
    <cellStyle name="Примечание 2 11 2" xfId="0"/>
    <cellStyle name="Примечание 2 11 2 2" xfId="0"/>
    <cellStyle name="Примечание 2 11 2 2 2" xfId="0"/>
    <cellStyle name="Примечание 2 11 2 2 2 2" xfId="0"/>
    <cellStyle name="Примечание 2 11 2 2 2 3" xfId="0"/>
    <cellStyle name="Примечание 2 11 2 2 3" xfId="0"/>
    <cellStyle name="Примечание 2 11 2 2 4" xfId="0"/>
    <cellStyle name="Примечание 2 11 2 3" xfId="0"/>
    <cellStyle name="Примечание 2 11 2 3 2" xfId="0"/>
    <cellStyle name="Примечание 2 11 2 3 2 2" xfId="0"/>
    <cellStyle name="Примечание 2 11 2 3 2 3" xfId="0"/>
    <cellStyle name="Примечание 2 11 2 3 3" xfId="0"/>
    <cellStyle name="Примечание 2 11 2 3 4" xfId="0"/>
    <cellStyle name="Примечание 2 11 2 4" xfId="0"/>
    <cellStyle name="Примечание 2 11 2 4 2" xfId="0"/>
    <cellStyle name="Примечание 2 11 2 4 3" xfId="0"/>
    <cellStyle name="Примечание 2 11 2 5" xfId="0"/>
    <cellStyle name="Примечание 2 11 2 6" xfId="0"/>
    <cellStyle name="Примечание 2 11 3" xfId="0"/>
    <cellStyle name="Примечание 2 11 3 2" xfId="0"/>
    <cellStyle name="Примечание 2 11 3 2 2" xfId="0"/>
    <cellStyle name="Примечание 2 11 3 2 2 2" xfId="0"/>
    <cellStyle name="Примечание 2 11 3 2 2 3" xfId="0"/>
    <cellStyle name="Примечание 2 11 3 2 3" xfId="0"/>
    <cellStyle name="Примечание 2 11 3 2 4" xfId="0"/>
    <cellStyle name="Примечание 2 11 3 3" xfId="0"/>
    <cellStyle name="Примечание 2 11 3 3 2" xfId="0"/>
    <cellStyle name="Примечание 2 11 3 3 3" xfId="0"/>
    <cellStyle name="Примечание 2 11 3 4" xfId="0"/>
    <cellStyle name="Примечание 2 11 3 5" xfId="0"/>
    <cellStyle name="Примечание 2 11 4" xfId="0"/>
    <cellStyle name="Примечание 2 11 4 2" xfId="0"/>
    <cellStyle name="Примечание 2 11 4 2 2" xfId="0"/>
    <cellStyle name="Примечание 2 11 4 2 2 2" xfId="0"/>
    <cellStyle name="Примечание 2 11 4 2 2 3" xfId="0"/>
    <cellStyle name="Примечание 2 11 4 2 3" xfId="0"/>
    <cellStyle name="Примечание 2 11 4 2 4" xfId="0"/>
    <cellStyle name="Примечание 2 11 4 3" xfId="0"/>
    <cellStyle name="Примечание 2 11 4 3 2" xfId="0"/>
    <cellStyle name="Примечание 2 11 4 3 3" xfId="0"/>
    <cellStyle name="Примечание 2 11 4 4" xfId="0"/>
    <cellStyle name="Примечание 2 11 4 5" xfId="0"/>
    <cellStyle name="Примечание 2 11 5" xfId="0"/>
    <cellStyle name="Примечание 2 11 5 2" xfId="0"/>
    <cellStyle name="Примечание 2 11 5 3" xfId="0"/>
    <cellStyle name="Примечание 2 11 6" xfId="0"/>
    <cellStyle name="Примечание 2 11 7" xfId="0"/>
    <cellStyle name="Примечание 2 12" xfId="0"/>
    <cellStyle name="Примечание 2 12 2" xfId="0"/>
    <cellStyle name="Примечание 2 12 2 2" xfId="0"/>
    <cellStyle name="Примечание 2 12 2 2 2" xfId="0"/>
    <cellStyle name="Примечание 2 12 2 2 2 2" xfId="0"/>
    <cellStyle name="Примечание 2 12 2 2 2 3" xfId="0"/>
    <cellStyle name="Примечание 2 12 2 2 3" xfId="0"/>
    <cellStyle name="Примечание 2 12 2 2 4" xfId="0"/>
    <cellStyle name="Примечание 2 12 2 3" xfId="0"/>
    <cellStyle name="Примечание 2 12 2 3 2" xfId="0"/>
    <cellStyle name="Примечание 2 12 2 3 2 2" xfId="0"/>
    <cellStyle name="Примечание 2 12 2 3 2 3" xfId="0"/>
    <cellStyle name="Примечание 2 12 2 3 3" xfId="0"/>
    <cellStyle name="Примечание 2 12 2 3 4" xfId="0"/>
    <cellStyle name="Примечание 2 12 2 4" xfId="0"/>
    <cellStyle name="Примечание 2 12 2 4 2" xfId="0"/>
    <cellStyle name="Примечание 2 12 2 4 3" xfId="0"/>
    <cellStyle name="Примечание 2 12 2 5" xfId="0"/>
    <cellStyle name="Примечание 2 12 2 6" xfId="0"/>
    <cellStyle name="Примечание 2 12 3" xfId="0"/>
    <cellStyle name="Примечание 2 12 3 2" xfId="0"/>
    <cellStyle name="Примечание 2 12 3 2 2" xfId="0"/>
    <cellStyle name="Примечание 2 12 3 2 2 2" xfId="0"/>
    <cellStyle name="Примечание 2 12 3 2 2 3" xfId="0"/>
    <cellStyle name="Примечание 2 12 3 2 3" xfId="0"/>
    <cellStyle name="Примечание 2 12 3 2 4" xfId="0"/>
    <cellStyle name="Примечание 2 12 3 3" xfId="0"/>
    <cellStyle name="Примечание 2 12 3 3 2" xfId="0"/>
    <cellStyle name="Примечание 2 12 3 3 3" xfId="0"/>
    <cellStyle name="Примечание 2 12 3 4" xfId="0"/>
    <cellStyle name="Примечание 2 12 3 5" xfId="0"/>
    <cellStyle name="Примечание 2 12 4" xfId="0"/>
    <cellStyle name="Примечание 2 12 4 2" xfId="0"/>
    <cellStyle name="Примечание 2 12 4 2 2" xfId="0"/>
    <cellStyle name="Примечание 2 12 4 2 2 2" xfId="0"/>
    <cellStyle name="Примечание 2 12 4 2 2 3" xfId="0"/>
    <cellStyle name="Примечание 2 12 4 2 3" xfId="0"/>
    <cellStyle name="Примечание 2 12 4 2 4" xfId="0"/>
    <cellStyle name="Примечание 2 12 4 3" xfId="0"/>
    <cellStyle name="Примечание 2 12 4 3 2" xfId="0"/>
    <cellStyle name="Примечание 2 12 4 3 3" xfId="0"/>
    <cellStyle name="Примечание 2 12 4 4" xfId="0"/>
    <cellStyle name="Примечание 2 12 4 5" xfId="0"/>
    <cellStyle name="Примечание 2 12 5" xfId="0"/>
    <cellStyle name="Примечание 2 12 5 2" xfId="0"/>
    <cellStyle name="Примечание 2 12 5 3" xfId="0"/>
    <cellStyle name="Примечание 2 12 6" xfId="0"/>
    <cellStyle name="Примечание 2 12 7" xfId="0"/>
    <cellStyle name="Примечание 2 13" xfId="0"/>
    <cellStyle name="Примечание 2 13 2" xfId="0"/>
    <cellStyle name="Примечание 2 13 2 2" xfId="0"/>
    <cellStyle name="Примечание 2 13 2 2 2" xfId="0"/>
    <cellStyle name="Примечание 2 13 2 2 2 2" xfId="0"/>
    <cellStyle name="Примечание 2 13 2 2 2 3" xfId="0"/>
    <cellStyle name="Примечание 2 13 2 2 3" xfId="0"/>
    <cellStyle name="Примечание 2 13 2 2 4" xfId="0"/>
    <cellStyle name="Примечание 2 13 2 3" xfId="0"/>
    <cellStyle name="Примечание 2 13 2 3 2" xfId="0"/>
    <cellStyle name="Примечание 2 13 2 3 2 2" xfId="0"/>
    <cellStyle name="Примечание 2 13 2 3 2 3" xfId="0"/>
    <cellStyle name="Примечание 2 13 2 3 3" xfId="0"/>
    <cellStyle name="Примечание 2 13 2 3 4" xfId="0"/>
    <cellStyle name="Примечание 2 13 2 4" xfId="0"/>
    <cellStyle name="Примечание 2 13 2 4 2" xfId="0"/>
    <cellStyle name="Примечание 2 13 2 4 3" xfId="0"/>
    <cellStyle name="Примечание 2 13 2 5" xfId="0"/>
    <cellStyle name="Примечание 2 13 2 6" xfId="0"/>
    <cellStyle name="Примечание 2 13 3" xfId="0"/>
    <cellStyle name="Примечание 2 13 3 2" xfId="0"/>
    <cellStyle name="Примечание 2 13 3 2 2" xfId="0"/>
    <cellStyle name="Примечание 2 13 3 2 2 2" xfId="0"/>
    <cellStyle name="Примечание 2 13 3 2 2 3" xfId="0"/>
    <cellStyle name="Примечание 2 13 3 2 3" xfId="0"/>
    <cellStyle name="Примечание 2 13 3 2 4" xfId="0"/>
    <cellStyle name="Примечание 2 13 3 3" xfId="0"/>
    <cellStyle name="Примечание 2 13 3 3 2" xfId="0"/>
    <cellStyle name="Примечание 2 13 3 3 3" xfId="0"/>
    <cellStyle name="Примечание 2 13 3 4" xfId="0"/>
    <cellStyle name="Примечание 2 13 3 5" xfId="0"/>
    <cellStyle name="Примечание 2 13 4" xfId="0"/>
    <cellStyle name="Примечание 2 13 4 2" xfId="0"/>
    <cellStyle name="Примечание 2 13 4 2 2" xfId="0"/>
    <cellStyle name="Примечание 2 13 4 2 2 2" xfId="0"/>
    <cellStyle name="Примечание 2 13 4 2 2 3" xfId="0"/>
    <cellStyle name="Примечание 2 13 4 2 3" xfId="0"/>
    <cellStyle name="Примечание 2 13 4 2 4" xfId="0"/>
    <cellStyle name="Примечание 2 13 4 3" xfId="0"/>
    <cellStyle name="Примечание 2 13 4 3 2" xfId="0"/>
    <cellStyle name="Примечание 2 13 4 3 3" xfId="0"/>
    <cellStyle name="Примечание 2 13 4 4" xfId="0"/>
    <cellStyle name="Примечание 2 13 4 5" xfId="0"/>
    <cellStyle name="Примечание 2 13 5" xfId="0"/>
    <cellStyle name="Примечание 2 13 5 2" xfId="0"/>
    <cellStyle name="Примечание 2 13 5 3" xfId="0"/>
    <cellStyle name="Примечание 2 13 6" xfId="0"/>
    <cellStyle name="Примечание 2 13 7" xfId="0"/>
    <cellStyle name="Примечание 2 14" xfId="0"/>
    <cellStyle name="Примечание 2 14 2" xfId="0"/>
    <cellStyle name="Примечание 2 14 2 2" xfId="0"/>
    <cellStyle name="Примечание 2 14 2 2 2" xfId="0"/>
    <cellStyle name="Примечание 2 14 2 2 2 2" xfId="0"/>
    <cellStyle name="Примечание 2 14 2 2 2 3" xfId="0"/>
    <cellStyle name="Примечание 2 14 2 2 3" xfId="0"/>
    <cellStyle name="Примечание 2 14 2 2 4" xfId="0"/>
    <cellStyle name="Примечание 2 14 2 3" xfId="0"/>
    <cellStyle name="Примечание 2 14 2 3 2" xfId="0"/>
    <cellStyle name="Примечание 2 14 2 3 2 2" xfId="0"/>
    <cellStyle name="Примечание 2 14 2 3 2 3" xfId="0"/>
    <cellStyle name="Примечание 2 14 2 3 3" xfId="0"/>
    <cellStyle name="Примечание 2 14 2 3 4" xfId="0"/>
    <cellStyle name="Примечание 2 14 2 4" xfId="0"/>
    <cellStyle name="Примечание 2 14 2 4 2" xfId="0"/>
    <cellStyle name="Примечание 2 14 2 4 3" xfId="0"/>
    <cellStyle name="Примечание 2 14 2 5" xfId="0"/>
    <cellStyle name="Примечание 2 14 2 6" xfId="0"/>
    <cellStyle name="Примечание 2 14 3" xfId="0"/>
    <cellStyle name="Примечание 2 14 3 2" xfId="0"/>
    <cellStyle name="Примечание 2 14 3 2 2" xfId="0"/>
    <cellStyle name="Примечание 2 14 3 2 2 2" xfId="0"/>
    <cellStyle name="Примечание 2 14 3 2 2 3" xfId="0"/>
    <cellStyle name="Примечание 2 14 3 2 3" xfId="0"/>
    <cellStyle name="Примечание 2 14 3 2 4" xfId="0"/>
    <cellStyle name="Примечание 2 14 3 3" xfId="0"/>
    <cellStyle name="Примечание 2 14 3 3 2" xfId="0"/>
    <cellStyle name="Примечание 2 14 3 3 3" xfId="0"/>
    <cellStyle name="Примечание 2 14 3 4" xfId="0"/>
    <cellStyle name="Примечание 2 14 3 5" xfId="0"/>
    <cellStyle name="Примечание 2 14 4" xfId="0"/>
    <cellStyle name="Примечание 2 14 4 2" xfId="0"/>
    <cellStyle name="Примечание 2 14 4 2 2" xfId="0"/>
    <cellStyle name="Примечание 2 14 4 2 2 2" xfId="0"/>
    <cellStyle name="Примечание 2 14 4 2 2 3" xfId="0"/>
    <cellStyle name="Примечание 2 14 4 2 3" xfId="0"/>
    <cellStyle name="Примечание 2 14 4 2 4" xfId="0"/>
    <cellStyle name="Примечание 2 14 4 3" xfId="0"/>
    <cellStyle name="Примечание 2 14 4 3 2" xfId="0"/>
    <cellStyle name="Примечание 2 14 4 3 3" xfId="0"/>
    <cellStyle name="Примечание 2 14 4 4" xfId="0"/>
    <cellStyle name="Примечание 2 14 4 5" xfId="0"/>
    <cellStyle name="Примечание 2 14 5" xfId="0"/>
    <cellStyle name="Примечание 2 14 5 2" xfId="0"/>
    <cellStyle name="Примечание 2 14 5 3" xfId="0"/>
    <cellStyle name="Примечание 2 14 6" xfId="0"/>
    <cellStyle name="Примечание 2 14 7" xfId="0"/>
    <cellStyle name="Примечание 2 15" xfId="0"/>
    <cellStyle name="Примечание 2 15 2" xfId="0"/>
    <cellStyle name="Примечание 2 15 2 2" xfId="0"/>
    <cellStyle name="Примечание 2 15 2 2 2" xfId="0"/>
    <cellStyle name="Примечание 2 15 2 2 2 2" xfId="0"/>
    <cellStyle name="Примечание 2 15 2 2 2 3" xfId="0"/>
    <cellStyle name="Примечание 2 15 2 2 3" xfId="0"/>
    <cellStyle name="Примечание 2 15 2 2 4" xfId="0"/>
    <cellStyle name="Примечание 2 15 2 3" xfId="0"/>
    <cellStyle name="Примечание 2 15 2 3 2" xfId="0"/>
    <cellStyle name="Примечание 2 15 2 3 2 2" xfId="0"/>
    <cellStyle name="Примечание 2 15 2 3 2 3" xfId="0"/>
    <cellStyle name="Примечание 2 15 2 3 3" xfId="0"/>
    <cellStyle name="Примечание 2 15 2 3 4" xfId="0"/>
    <cellStyle name="Примечание 2 15 2 4" xfId="0"/>
    <cellStyle name="Примечание 2 15 2 4 2" xfId="0"/>
    <cellStyle name="Примечание 2 15 2 4 3" xfId="0"/>
    <cellStyle name="Примечание 2 15 2 5" xfId="0"/>
    <cellStyle name="Примечание 2 15 2 6" xfId="0"/>
    <cellStyle name="Примечание 2 15 3" xfId="0"/>
    <cellStyle name="Примечание 2 15 3 2" xfId="0"/>
    <cellStyle name="Примечание 2 15 3 2 2" xfId="0"/>
    <cellStyle name="Примечание 2 15 3 2 2 2" xfId="0"/>
    <cellStyle name="Примечание 2 15 3 2 2 3" xfId="0"/>
    <cellStyle name="Примечание 2 15 3 2 3" xfId="0"/>
    <cellStyle name="Примечание 2 15 3 2 4" xfId="0"/>
    <cellStyle name="Примечание 2 15 3 3" xfId="0"/>
    <cellStyle name="Примечание 2 15 3 3 2" xfId="0"/>
    <cellStyle name="Примечание 2 15 3 3 3" xfId="0"/>
    <cellStyle name="Примечание 2 15 3 4" xfId="0"/>
    <cellStyle name="Примечание 2 15 3 5" xfId="0"/>
    <cellStyle name="Примечание 2 15 4" xfId="0"/>
    <cellStyle name="Примечание 2 15 4 2" xfId="0"/>
    <cellStyle name="Примечание 2 15 4 2 2" xfId="0"/>
    <cellStyle name="Примечание 2 15 4 2 2 2" xfId="0"/>
    <cellStyle name="Примечание 2 15 4 2 2 3" xfId="0"/>
    <cellStyle name="Примечание 2 15 4 2 3" xfId="0"/>
    <cellStyle name="Примечание 2 15 4 2 4" xfId="0"/>
    <cellStyle name="Примечание 2 15 4 3" xfId="0"/>
    <cellStyle name="Примечание 2 15 4 3 2" xfId="0"/>
    <cellStyle name="Примечание 2 15 4 3 3" xfId="0"/>
    <cellStyle name="Примечание 2 15 4 4" xfId="0"/>
    <cellStyle name="Примечание 2 15 4 5" xfId="0"/>
    <cellStyle name="Примечание 2 15 5" xfId="0"/>
    <cellStyle name="Примечание 2 15 5 2" xfId="0"/>
    <cellStyle name="Примечание 2 15 5 3" xfId="0"/>
    <cellStyle name="Примечание 2 15 6" xfId="0"/>
    <cellStyle name="Примечание 2 15 7" xfId="0"/>
    <cellStyle name="Примечание 2 16" xfId="0"/>
    <cellStyle name="Примечание 2 16 2" xfId="0"/>
    <cellStyle name="Примечание 2 16 2 2" xfId="0"/>
    <cellStyle name="Примечание 2 16 2 2 2" xfId="0"/>
    <cellStyle name="Примечание 2 16 2 2 2 2" xfId="0"/>
    <cellStyle name="Примечание 2 16 2 2 2 3" xfId="0"/>
    <cellStyle name="Примечание 2 16 2 2 3" xfId="0"/>
    <cellStyle name="Примечание 2 16 2 2 4" xfId="0"/>
    <cellStyle name="Примечание 2 16 2 3" xfId="0"/>
    <cellStyle name="Примечание 2 16 2 3 2" xfId="0"/>
    <cellStyle name="Примечание 2 16 2 3 2 2" xfId="0"/>
    <cellStyle name="Примечание 2 16 2 3 2 3" xfId="0"/>
    <cellStyle name="Примечание 2 16 2 3 3" xfId="0"/>
    <cellStyle name="Примечание 2 16 2 3 4" xfId="0"/>
    <cellStyle name="Примечание 2 16 2 4" xfId="0"/>
    <cellStyle name="Примечание 2 16 2 4 2" xfId="0"/>
    <cellStyle name="Примечание 2 16 2 4 3" xfId="0"/>
    <cellStyle name="Примечание 2 16 2 5" xfId="0"/>
    <cellStyle name="Примечание 2 16 2 6" xfId="0"/>
    <cellStyle name="Примечание 2 16 3" xfId="0"/>
    <cellStyle name="Примечание 2 16 3 2" xfId="0"/>
    <cellStyle name="Примечание 2 16 3 2 2" xfId="0"/>
    <cellStyle name="Примечание 2 16 3 2 2 2" xfId="0"/>
    <cellStyle name="Примечание 2 16 3 2 2 3" xfId="0"/>
    <cellStyle name="Примечание 2 16 3 2 3" xfId="0"/>
    <cellStyle name="Примечание 2 16 3 2 4" xfId="0"/>
    <cellStyle name="Примечание 2 16 3 3" xfId="0"/>
    <cellStyle name="Примечание 2 16 3 3 2" xfId="0"/>
    <cellStyle name="Примечание 2 16 3 3 3" xfId="0"/>
    <cellStyle name="Примечание 2 16 3 4" xfId="0"/>
    <cellStyle name="Примечание 2 16 3 5" xfId="0"/>
    <cellStyle name="Примечание 2 16 4" xfId="0"/>
    <cellStyle name="Примечание 2 16 4 2" xfId="0"/>
    <cellStyle name="Примечание 2 16 4 2 2" xfId="0"/>
    <cellStyle name="Примечание 2 16 4 2 2 2" xfId="0"/>
    <cellStyle name="Примечание 2 16 4 2 2 3" xfId="0"/>
    <cellStyle name="Примечание 2 16 4 2 3" xfId="0"/>
    <cellStyle name="Примечание 2 16 4 2 4" xfId="0"/>
    <cellStyle name="Примечание 2 16 4 3" xfId="0"/>
    <cellStyle name="Примечание 2 16 4 3 2" xfId="0"/>
    <cellStyle name="Примечание 2 16 4 3 3" xfId="0"/>
    <cellStyle name="Примечание 2 16 4 4" xfId="0"/>
    <cellStyle name="Примечание 2 16 4 5" xfId="0"/>
    <cellStyle name="Примечание 2 16 5" xfId="0"/>
    <cellStyle name="Примечание 2 16 5 2" xfId="0"/>
    <cellStyle name="Примечание 2 16 5 3" xfId="0"/>
    <cellStyle name="Примечание 2 16 6" xfId="0"/>
    <cellStyle name="Примечание 2 16 7" xfId="0"/>
    <cellStyle name="Примечание 2 17" xfId="0"/>
    <cellStyle name="Примечание 2 17 2" xfId="0"/>
    <cellStyle name="Примечание 2 17 2 2" xfId="0"/>
    <cellStyle name="Примечание 2 17 2 2 2" xfId="0"/>
    <cellStyle name="Примечание 2 17 2 2 2 2" xfId="0"/>
    <cellStyle name="Примечание 2 17 2 2 2 3" xfId="0"/>
    <cellStyle name="Примечание 2 17 2 2 3" xfId="0"/>
    <cellStyle name="Примечание 2 17 2 2 4" xfId="0"/>
    <cellStyle name="Примечание 2 17 2 3" xfId="0"/>
    <cellStyle name="Примечание 2 17 2 3 2" xfId="0"/>
    <cellStyle name="Примечание 2 17 2 3 2 2" xfId="0"/>
    <cellStyle name="Примечание 2 17 2 3 2 3" xfId="0"/>
    <cellStyle name="Примечание 2 17 2 3 3" xfId="0"/>
    <cellStyle name="Примечание 2 17 2 3 4" xfId="0"/>
    <cellStyle name="Примечание 2 17 2 4" xfId="0"/>
    <cellStyle name="Примечание 2 17 2 4 2" xfId="0"/>
    <cellStyle name="Примечание 2 17 2 4 3" xfId="0"/>
    <cellStyle name="Примечание 2 17 2 5" xfId="0"/>
    <cellStyle name="Примечание 2 17 2 6" xfId="0"/>
    <cellStyle name="Примечание 2 17 3" xfId="0"/>
    <cellStyle name="Примечание 2 17 3 2" xfId="0"/>
    <cellStyle name="Примечание 2 17 3 2 2" xfId="0"/>
    <cellStyle name="Примечание 2 17 3 2 2 2" xfId="0"/>
    <cellStyle name="Примечание 2 17 3 2 2 3" xfId="0"/>
    <cellStyle name="Примечание 2 17 3 2 3" xfId="0"/>
    <cellStyle name="Примечание 2 17 3 2 4" xfId="0"/>
    <cellStyle name="Примечание 2 17 3 3" xfId="0"/>
    <cellStyle name="Примечание 2 17 3 3 2" xfId="0"/>
    <cellStyle name="Примечание 2 17 3 3 3" xfId="0"/>
    <cellStyle name="Примечание 2 17 3 4" xfId="0"/>
    <cellStyle name="Примечание 2 17 3 5" xfId="0"/>
    <cellStyle name="Примечание 2 17 4" xfId="0"/>
    <cellStyle name="Примечание 2 17 4 2" xfId="0"/>
    <cellStyle name="Примечание 2 17 4 2 2" xfId="0"/>
    <cellStyle name="Примечание 2 17 4 2 2 2" xfId="0"/>
    <cellStyle name="Примечание 2 17 4 2 2 3" xfId="0"/>
    <cellStyle name="Примечание 2 17 4 2 3" xfId="0"/>
    <cellStyle name="Примечание 2 17 4 2 4" xfId="0"/>
    <cellStyle name="Примечание 2 17 4 3" xfId="0"/>
    <cellStyle name="Примечание 2 17 4 3 2" xfId="0"/>
    <cellStyle name="Примечание 2 17 4 3 3" xfId="0"/>
    <cellStyle name="Примечание 2 17 4 4" xfId="0"/>
    <cellStyle name="Примечание 2 17 4 5" xfId="0"/>
    <cellStyle name="Примечание 2 17 5" xfId="0"/>
    <cellStyle name="Примечание 2 17 5 2" xfId="0"/>
    <cellStyle name="Примечание 2 17 5 3" xfId="0"/>
    <cellStyle name="Примечание 2 17 6" xfId="0"/>
    <cellStyle name="Примечание 2 17 7" xfId="0"/>
    <cellStyle name="Примечание 2 18" xfId="0"/>
    <cellStyle name="Примечание 2 18 2" xfId="0"/>
    <cellStyle name="Примечание 2 18 2 2" xfId="0"/>
    <cellStyle name="Примечание 2 18 2 2 2" xfId="0"/>
    <cellStyle name="Примечание 2 18 2 2 2 2" xfId="0"/>
    <cellStyle name="Примечание 2 18 2 2 2 3" xfId="0"/>
    <cellStyle name="Примечание 2 18 2 2 3" xfId="0"/>
    <cellStyle name="Примечание 2 18 2 2 4" xfId="0"/>
    <cellStyle name="Примечание 2 18 2 3" xfId="0"/>
    <cellStyle name="Примечание 2 18 2 3 2" xfId="0"/>
    <cellStyle name="Примечание 2 18 2 3 2 2" xfId="0"/>
    <cellStyle name="Примечание 2 18 2 3 2 3" xfId="0"/>
    <cellStyle name="Примечание 2 18 2 3 3" xfId="0"/>
    <cellStyle name="Примечание 2 18 2 3 4" xfId="0"/>
    <cellStyle name="Примечание 2 18 2 4" xfId="0"/>
    <cellStyle name="Примечание 2 18 2 4 2" xfId="0"/>
    <cellStyle name="Примечание 2 18 2 4 3" xfId="0"/>
    <cellStyle name="Примечание 2 18 2 5" xfId="0"/>
    <cellStyle name="Примечание 2 18 2 6" xfId="0"/>
    <cellStyle name="Примечание 2 18 3" xfId="0"/>
    <cellStyle name="Примечание 2 18 3 2" xfId="0"/>
    <cellStyle name="Примечание 2 18 3 2 2" xfId="0"/>
    <cellStyle name="Примечание 2 18 3 2 2 2" xfId="0"/>
    <cellStyle name="Примечание 2 18 3 2 2 3" xfId="0"/>
    <cellStyle name="Примечание 2 18 3 2 3" xfId="0"/>
    <cellStyle name="Примечание 2 18 3 2 4" xfId="0"/>
    <cellStyle name="Примечание 2 18 3 3" xfId="0"/>
    <cellStyle name="Примечание 2 18 3 3 2" xfId="0"/>
    <cellStyle name="Примечание 2 18 3 3 3" xfId="0"/>
    <cellStyle name="Примечание 2 18 3 4" xfId="0"/>
    <cellStyle name="Примечание 2 18 3 5" xfId="0"/>
    <cellStyle name="Примечание 2 18 4" xfId="0"/>
    <cellStyle name="Примечание 2 18 4 2" xfId="0"/>
    <cellStyle name="Примечание 2 18 4 2 2" xfId="0"/>
    <cellStyle name="Примечание 2 18 4 2 2 2" xfId="0"/>
    <cellStyle name="Примечание 2 18 4 2 2 3" xfId="0"/>
    <cellStyle name="Примечание 2 18 4 2 3" xfId="0"/>
    <cellStyle name="Примечание 2 18 4 2 4" xfId="0"/>
    <cellStyle name="Примечание 2 18 4 3" xfId="0"/>
    <cellStyle name="Примечание 2 18 4 3 2" xfId="0"/>
    <cellStyle name="Примечание 2 18 4 3 3" xfId="0"/>
    <cellStyle name="Примечание 2 18 4 4" xfId="0"/>
    <cellStyle name="Примечание 2 18 4 5" xfId="0"/>
    <cellStyle name="Примечание 2 18 5" xfId="0"/>
    <cellStyle name="Примечание 2 18 5 2" xfId="0"/>
    <cellStyle name="Примечание 2 18 5 3" xfId="0"/>
    <cellStyle name="Примечание 2 18 6" xfId="0"/>
    <cellStyle name="Примечание 2 18 7" xfId="0"/>
    <cellStyle name="Примечание 2 19" xfId="0"/>
    <cellStyle name="Примечание 2 19 2" xfId="0"/>
    <cellStyle name="Примечание 2 19 2 2" xfId="0"/>
    <cellStyle name="Примечание 2 19 2 2 2" xfId="0"/>
    <cellStyle name="Примечание 2 19 2 2 2 2" xfId="0"/>
    <cellStyle name="Примечание 2 19 2 2 2 3" xfId="0"/>
    <cellStyle name="Примечание 2 19 2 2 3" xfId="0"/>
    <cellStyle name="Примечание 2 19 2 2 4" xfId="0"/>
    <cellStyle name="Примечание 2 19 2 3" xfId="0"/>
    <cellStyle name="Примечание 2 19 2 3 2" xfId="0"/>
    <cellStyle name="Примечание 2 19 2 3 2 2" xfId="0"/>
    <cellStyle name="Примечание 2 19 2 3 2 3" xfId="0"/>
    <cellStyle name="Примечание 2 19 2 3 3" xfId="0"/>
    <cellStyle name="Примечание 2 19 2 3 4" xfId="0"/>
    <cellStyle name="Примечание 2 19 2 4" xfId="0"/>
    <cellStyle name="Примечание 2 19 2 4 2" xfId="0"/>
    <cellStyle name="Примечание 2 19 2 4 3" xfId="0"/>
    <cellStyle name="Примечание 2 19 2 5" xfId="0"/>
    <cellStyle name="Примечание 2 19 2 6" xfId="0"/>
    <cellStyle name="Примечание 2 19 3" xfId="0"/>
    <cellStyle name="Примечание 2 19 3 2" xfId="0"/>
    <cellStyle name="Примечание 2 19 3 2 2" xfId="0"/>
    <cellStyle name="Примечание 2 19 3 2 2 2" xfId="0"/>
    <cellStyle name="Примечание 2 19 3 2 2 3" xfId="0"/>
    <cellStyle name="Примечание 2 19 3 2 3" xfId="0"/>
    <cellStyle name="Примечание 2 19 3 2 4" xfId="0"/>
    <cellStyle name="Примечание 2 19 3 3" xfId="0"/>
    <cellStyle name="Примечание 2 19 3 3 2" xfId="0"/>
    <cellStyle name="Примечание 2 19 3 3 3" xfId="0"/>
    <cellStyle name="Примечание 2 19 3 4" xfId="0"/>
    <cellStyle name="Примечание 2 19 3 5" xfId="0"/>
    <cellStyle name="Примечание 2 19 4" xfId="0"/>
    <cellStyle name="Примечание 2 19 4 2" xfId="0"/>
    <cellStyle name="Примечание 2 19 4 2 2" xfId="0"/>
    <cellStyle name="Примечание 2 19 4 2 2 2" xfId="0"/>
    <cellStyle name="Примечание 2 19 4 2 2 3" xfId="0"/>
    <cellStyle name="Примечание 2 19 4 2 3" xfId="0"/>
    <cellStyle name="Примечание 2 19 4 2 4" xfId="0"/>
    <cellStyle name="Примечание 2 19 4 3" xfId="0"/>
    <cellStyle name="Примечание 2 19 4 3 2" xfId="0"/>
    <cellStyle name="Примечание 2 19 4 3 3" xfId="0"/>
    <cellStyle name="Примечание 2 19 4 4" xfId="0"/>
    <cellStyle name="Примечание 2 19 4 5" xfId="0"/>
    <cellStyle name="Примечание 2 19 5" xfId="0"/>
    <cellStyle name="Примечание 2 19 5 2" xfId="0"/>
    <cellStyle name="Примечание 2 19 5 3" xfId="0"/>
    <cellStyle name="Примечание 2 19 6" xfId="0"/>
    <cellStyle name="Примечание 2 19 7" xfId="0"/>
    <cellStyle name="Примечание 2 2" xfId="0"/>
    <cellStyle name="Примечание 2 2 10" xfId="0"/>
    <cellStyle name="Примечание 2 2 11" xfId="0"/>
    <cellStyle name="Примечание 2 2 2" xfId="0"/>
    <cellStyle name="Примечание 2 2 2 2" xfId="0"/>
    <cellStyle name="Примечание 2 2 2 2 2" xfId="0"/>
    <cellStyle name="Примечание 2 2 2 2 2 2" xfId="0"/>
    <cellStyle name="Примечание 2 2 2 2 2 2 2" xfId="0"/>
    <cellStyle name="Примечание 2 2 2 2 2 2 3" xfId="0"/>
    <cellStyle name="Примечание 2 2 2 2 2 3" xfId="0"/>
    <cellStyle name="Примечание 2 2 2 2 2 4" xfId="0"/>
    <cellStyle name="Примечание 2 2 2 2 3" xfId="0"/>
    <cellStyle name="Примечание 2 2 2 2 3 2" xfId="0"/>
    <cellStyle name="Примечание 2 2 2 2 3 3" xfId="0"/>
    <cellStyle name="Примечание 2 2 2 2 4" xfId="0"/>
    <cellStyle name="Примечание 2 2 2 2 5" xfId="0"/>
    <cellStyle name="Примечание 2 2 2 3" xfId="0"/>
    <cellStyle name="Примечание 2 2 2 3 2" xfId="0"/>
    <cellStyle name="Примечание 2 2 2 3 2 2" xfId="0"/>
    <cellStyle name="Примечание 2 2 2 3 2 3" xfId="0"/>
    <cellStyle name="Примечание 2 2 2 3 3" xfId="0"/>
    <cellStyle name="Примечание 2 2 2 3 4" xfId="0"/>
    <cellStyle name="Примечание 2 2 2 4" xfId="0"/>
    <cellStyle name="Примечание 2 2 2 4 2" xfId="0"/>
    <cellStyle name="Примечание 2 2 2 4 3" xfId="0"/>
    <cellStyle name="Примечание 2 2 2 5" xfId="0"/>
    <cellStyle name="Примечание 2 2 2 6" xfId="0"/>
    <cellStyle name="Примечание 2 2 3" xfId="0"/>
    <cellStyle name="Примечание 2 2 3 2" xfId="0"/>
    <cellStyle name="Примечание 2 2 3 2 2" xfId="0"/>
    <cellStyle name="Примечание 2 2 3 2 2 2" xfId="0"/>
    <cellStyle name="Примечание 2 2 3 2 2 2 2" xfId="0"/>
    <cellStyle name="Примечание 2 2 3 2 2 2 3" xfId="0"/>
    <cellStyle name="Примечание 2 2 3 2 2 3" xfId="0"/>
    <cellStyle name="Примечание 2 2 3 2 2 4" xfId="0"/>
    <cellStyle name="Примечание 2 2 3 2 3" xfId="0"/>
    <cellStyle name="Примечание 2 2 3 2 3 2" xfId="0"/>
    <cellStyle name="Примечание 2 2 3 2 3 3" xfId="0"/>
    <cellStyle name="Примечание 2 2 3 2 4" xfId="0"/>
    <cellStyle name="Примечание 2 2 3 2 5" xfId="0"/>
    <cellStyle name="Примечание 2 2 3 3" xfId="0"/>
    <cellStyle name="Примечание 2 2 3 3 2" xfId="0"/>
    <cellStyle name="Примечание 2 2 3 3 2 2" xfId="0"/>
    <cellStyle name="Примечание 2 2 3 3 2 3" xfId="0"/>
    <cellStyle name="Примечание 2 2 3 3 3" xfId="0"/>
    <cellStyle name="Примечание 2 2 3 3 4" xfId="0"/>
    <cellStyle name="Примечание 2 2 3 4" xfId="0"/>
    <cellStyle name="Примечание 2 2 3 4 2" xfId="0"/>
    <cellStyle name="Примечание 2 2 3 4 3" xfId="0"/>
    <cellStyle name="Примечание 2 2 3 5" xfId="0"/>
    <cellStyle name="Примечание 2 2 3 6" xfId="0"/>
    <cellStyle name="Примечание 2 2 4" xfId="0"/>
    <cellStyle name="Примечание 2 2 4 2" xfId="0"/>
    <cellStyle name="Примечание 2 2 4 2 2" xfId="0"/>
    <cellStyle name="Примечание 2 2 4 2 2 2" xfId="0"/>
    <cellStyle name="Примечание 2 2 4 2 2 2 2" xfId="0"/>
    <cellStyle name="Примечание 2 2 4 2 2 2 3" xfId="0"/>
    <cellStyle name="Примечание 2 2 4 2 2 3" xfId="0"/>
    <cellStyle name="Примечание 2 2 4 2 2 4" xfId="0"/>
    <cellStyle name="Примечание 2 2 4 2 3" xfId="0"/>
    <cellStyle name="Примечание 2 2 4 2 3 2" xfId="0"/>
    <cellStyle name="Примечание 2 2 4 2 3 3" xfId="0"/>
    <cellStyle name="Примечание 2 2 4 2 4" xfId="0"/>
    <cellStyle name="Примечание 2 2 4 2 5" xfId="0"/>
    <cellStyle name="Примечание 2 2 4 3" xfId="0"/>
    <cellStyle name="Примечание 2 2 4 3 2" xfId="0"/>
    <cellStyle name="Примечание 2 2 4 3 2 2" xfId="0"/>
    <cellStyle name="Примечание 2 2 4 3 2 3" xfId="0"/>
    <cellStyle name="Примечание 2 2 4 3 3" xfId="0"/>
    <cellStyle name="Примечание 2 2 4 3 4" xfId="0"/>
    <cellStyle name="Примечание 2 2 4 4" xfId="0"/>
    <cellStyle name="Примечание 2 2 4 4 2" xfId="0"/>
    <cellStyle name="Примечание 2 2 4 4 3" xfId="0"/>
    <cellStyle name="Примечание 2 2 4 5" xfId="0"/>
    <cellStyle name="Примечание 2 2 4 6" xfId="0"/>
    <cellStyle name="Примечание 2 2 5" xfId="0"/>
    <cellStyle name="Примечание 2 2 5 2" xfId="0"/>
    <cellStyle name="Примечание 2 2 5 2 2" xfId="0"/>
    <cellStyle name="Примечание 2 2 5 2 2 2" xfId="0"/>
    <cellStyle name="Примечание 2 2 5 2 2 2 2" xfId="0"/>
    <cellStyle name="Примечание 2 2 5 2 2 2 3" xfId="0"/>
    <cellStyle name="Примечание 2 2 5 2 2 3" xfId="0"/>
    <cellStyle name="Примечание 2 2 5 2 2 4" xfId="0"/>
    <cellStyle name="Примечание 2 2 5 2 3" xfId="0"/>
    <cellStyle name="Примечание 2 2 5 2 3 2" xfId="0"/>
    <cellStyle name="Примечание 2 2 5 2 3 3" xfId="0"/>
    <cellStyle name="Примечание 2 2 5 2 4" xfId="0"/>
    <cellStyle name="Примечание 2 2 5 2 5" xfId="0"/>
    <cellStyle name="Примечание 2 2 5 3" xfId="0"/>
    <cellStyle name="Примечание 2 2 5 3 2" xfId="0"/>
    <cellStyle name="Примечание 2 2 5 3 2 2" xfId="0"/>
    <cellStyle name="Примечание 2 2 5 3 2 3" xfId="0"/>
    <cellStyle name="Примечание 2 2 5 3 3" xfId="0"/>
    <cellStyle name="Примечание 2 2 5 3 4" xfId="0"/>
    <cellStyle name="Примечание 2 2 5 4" xfId="0"/>
    <cellStyle name="Примечание 2 2 5 4 2" xfId="0"/>
    <cellStyle name="Примечание 2 2 5 4 3" xfId="0"/>
    <cellStyle name="Примечание 2 2 5 5" xfId="0"/>
    <cellStyle name="Примечание 2 2 5 6" xfId="0"/>
    <cellStyle name="Примечание 2 2 6" xfId="0"/>
    <cellStyle name="Примечание 2 2 6 2" xfId="0"/>
    <cellStyle name="Примечание 2 2 6 2 2" xfId="0"/>
    <cellStyle name="Примечание 2 2 6 2 2 2" xfId="0"/>
    <cellStyle name="Примечание 2 2 6 2 2 3" xfId="0"/>
    <cellStyle name="Примечание 2 2 6 2 3" xfId="0"/>
    <cellStyle name="Примечание 2 2 6 2 4" xfId="0"/>
    <cellStyle name="Примечание 2 2 6 3" xfId="0"/>
    <cellStyle name="Примечание 2 2 6 3 2" xfId="0"/>
    <cellStyle name="Примечание 2 2 6 3 3" xfId="0"/>
    <cellStyle name="Примечание 2 2 6 4" xfId="0"/>
    <cellStyle name="Примечание 2 2 6 5" xfId="0"/>
    <cellStyle name="Примечание 2 2 7" xfId="0"/>
    <cellStyle name="Примечание 2 2 7 2" xfId="0"/>
    <cellStyle name="Примечание 2 2 7 2 2" xfId="0"/>
    <cellStyle name="Примечание 2 2 7 2 2 2" xfId="0"/>
    <cellStyle name="Примечание 2 2 7 2 2 3" xfId="0"/>
    <cellStyle name="Примечание 2 2 7 2 3" xfId="0"/>
    <cellStyle name="Примечание 2 2 7 2 4" xfId="0"/>
    <cellStyle name="Примечание 2 2 7 3" xfId="0"/>
    <cellStyle name="Примечание 2 2 7 3 2" xfId="0"/>
    <cellStyle name="Примечание 2 2 7 3 3" xfId="0"/>
    <cellStyle name="Примечание 2 2 7 4" xfId="0"/>
    <cellStyle name="Примечание 2 2 7 5" xfId="0"/>
    <cellStyle name="Примечание 2 2 8" xfId="0"/>
    <cellStyle name="Примечание 2 2 8 2" xfId="0"/>
    <cellStyle name="Примечание 2 2 8 3" xfId="0"/>
    <cellStyle name="Примечание 2 2 9" xfId="0"/>
    <cellStyle name="Примечание 2 2 9 2" xfId="0"/>
    <cellStyle name="Примечание 2 2 9 3" xfId="0"/>
    <cellStyle name="Примечание 2 20" xfId="0"/>
    <cellStyle name="Примечание 2 20 2" xfId="0"/>
    <cellStyle name="Примечание 2 20 2 2" xfId="0"/>
    <cellStyle name="Примечание 2 20 2 2 2" xfId="0"/>
    <cellStyle name="Примечание 2 20 2 2 2 2" xfId="0"/>
    <cellStyle name="Примечание 2 20 2 2 2 3" xfId="0"/>
    <cellStyle name="Примечание 2 20 2 2 3" xfId="0"/>
    <cellStyle name="Примечание 2 20 2 2 4" xfId="0"/>
    <cellStyle name="Примечание 2 20 2 3" xfId="0"/>
    <cellStyle name="Примечание 2 20 2 3 2" xfId="0"/>
    <cellStyle name="Примечание 2 20 2 3 3" xfId="0"/>
    <cellStyle name="Примечание 2 20 2 4" xfId="0"/>
    <cellStyle name="Примечание 2 20 2 5" xfId="0"/>
    <cellStyle name="Примечание 2 20 3" xfId="0"/>
    <cellStyle name="Примечание 2 20 3 2" xfId="0"/>
    <cellStyle name="Примечание 2 20 3 2 2" xfId="0"/>
    <cellStyle name="Примечание 2 20 3 2 3" xfId="0"/>
    <cellStyle name="Примечание 2 20 3 3" xfId="0"/>
    <cellStyle name="Примечание 2 20 3 4" xfId="0"/>
    <cellStyle name="Примечание 2 20 4" xfId="0"/>
    <cellStyle name="Примечание 2 20 4 2" xfId="0"/>
    <cellStyle name="Примечание 2 20 4 3" xfId="0"/>
    <cellStyle name="Примечание 2 20 5" xfId="0"/>
    <cellStyle name="Примечание 2 20 6" xfId="0"/>
    <cellStyle name="Примечание 2 21" xfId="0"/>
    <cellStyle name="Примечание 2 21 2" xfId="0"/>
    <cellStyle name="Примечание 2 21 2 2" xfId="0"/>
    <cellStyle name="Примечание 2 21 2 2 2" xfId="0"/>
    <cellStyle name="Примечание 2 21 2 2 3" xfId="0"/>
    <cellStyle name="Примечание 2 21 2 3" xfId="0"/>
    <cellStyle name="Примечание 2 21 2 4" xfId="0"/>
    <cellStyle name="Примечание 2 21 3" xfId="0"/>
    <cellStyle name="Примечание 2 21 3 2" xfId="0"/>
    <cellStyle name="Примечание 2 21 3 2 2" xfId="0"/>
    <cellStyle name="Примечание 2 21 3 2 3" xfId="0"/>
    <cellStyle name="Примечание 2 21 3 3" xfId="0"/>
    <cellStyle name="Примечание 2 21 3 4" xfId="0"/>
    <cellStyle name="Примечание 2 21 4" xfId="0"/>
    <cellStyle name="Примечание 2 21 4 2" xfId="0"/>
    <cellStyle name="Примечание 2 21 4 3" xfId="0"/>
    <cellStyle name="Примечание 2 21 5" xfId="0"/>
    <cellStyle name="Примечание 2 21 6" xfId="0"/>
    <cellStyle name="Примечание 2 22" xfId="0"/>
    <cellStyle name="Примечание 2 22 2" xfId="0"/>
    <cellStyle name="Примечание 2 22 2 2" xfId="0"/>
    <cellStyle name="Примечание 2 22 2 2 2" xfId="0"/>
    <cellStyle name="Примечание 2 22 2 2 3" xfId="0"/>
    <cellStyle name="Примечание 2 22 2 3" xfId="0"/>
    <cellStyle name="Примечание 2 22 2 4" xfId="0"/>
    <cellStyle name="Примечание 2 22 3" xfId="0"/>
    <cellStyle name="Примечание 2 22 3 2" xfId="0"/>
    <cellStyle name="Примечание 2 22 3 2 2" xfId="0"/>
    <cellStyle name="Примечание 2 22 3 2 3" xfId="0"/>
    <cellStyle name="Примечание 2 22 3 3" xfId="0"/>
    <cellStyle name="Примечание 2 22 3 4" xfId="0"/>
    <cellStyle name="Примечание 2 22 4" xfId="0"/>
    <cellStyle name="Примечание 2 22 4 2" xfId="0"/>
    <cellStyle name="Примечание 2 22 4 3" xfId="0"/>
    <cellStyle name="Примечание 2 22 5" xfId="0"/>
    <cellStyle name="Примечание 2 22 6" xfId="0"/>
    <cellStyle name="Примечание 2 23" xfId="0"/>
    <cellStyle name="Примечание 2 23 2" xfId="0"/>
    <cellStyle name="Примечание 2 23 2 2" xfId="0"/>
    <cellStyle name="Примечание 2 23 2 2 2" xfId="0"/>
    <cellStyle name="Примечание 2 23 2 2 3" xfId="0"/>
    <cellStyle name="Примечание 2 23 2 3" xfId="0"/>
    <cellStyle name="Примечание 2 23 2 4" xfId="0"/>
    <cellStyle name="Примечание 2 23 3" xfId="0"/>
    <cellStyle name="Примечание 2 23 3 2" xfId="0"/>
    <cellStyle name="Примечание 2 23 3 2 2" xfId="0"/>
    <cellStyle name="Примечание 2 23 3 2 3" xfId="0"/>
    <cellStyle name="Примечание 2 23 3 3" xfId="0"/>
    <cellStyle name="Примечание 2 23 3 4" xfId="0"/>
    <cellStyle name="Примечание 2 23 4" xfId="0"/>
    <cellStyle name="Примечание 2 23 4 2" xfId="0"/>
    <cellStyle name="Примечание 2 23 4 3" xfId="0"/>
    <cellStyle name="Примечание 2 23 5" xfId="0"/>
    <cellStyle name="Примечание 2 23 6" xfId="0"/>
    <cellStyle name="Примечание 2 24" xfId="0"/>
    <cellStyle name="Примечание 2 24 2" xfId="0"/>
    <cellStyle name="Примечание 2 24 2 2" xfId="0"/>
    <cellStyle name="Примечание 2 24 2 2 2" xfId="0"/>
    <cellStyle name="Примечание 2 24 2 2 3" xfId="0"/>
    <cellStyle name="Примечание 2 24 2 3" xfId="0"/>
    <cellStyle name="Примечание 2 24 2 4" xfId="0"/>
    <cellStyle name="Примечание 2 24 3" xfId="0"/>
    <cellStyle name="Примечание 2 24 3 2" xfId="0"/>
    <cellStyle name="Примечание 2 24 3 2 2" xfId="0"/>
    <cellStyle name="Примечание 2 24 3 2 3" xfId="0"/>
    <cellStyle name="Примечание 2 24 3 3" xfId="0"/>
    <cellStyle name="Примечание 2 24 3 4" xfId="0"/>
    <cellStyle name="Примечание 2 24 4" xfId="0"/>
    <cellStyle name="Примечание 2 24 4 2" xfId="0"/>
    <cellStyle name="Примечание 2 24 4 3" xfId="0"/>
    <cellStyle name="Примечание 2 24 5" xfId="0"/>
    <cellStyle name="Примечание 2 24 6" xfId="0"/>
    <cellStyle name="Примечание 2 25" xfId="0"/>
    <cellStyle name="Примечание 2 25 2" xfId="0"/>
    <cellStyle name="Примечание 2 25 2 2" xfId="0"/>
    <cellStyle name="Примечание 2 25 2 2 2" xfId="0"/>
    <cellStyle name="Примечание 2 25 2 2 3" xfId="0"/>
    <cellStyle name="Примечание 2 25 2 3" xfId="0"/>
    <cellStyle name="Примечание 2 25 2 4" xfId="0"/>
    <cellStyle name="Примечание 2 25 3" xfId="0"/>
    <cellStyle name="Примечание 2 25 3 2" xfId="0"/>
    <cellStyle name="Примечание 2 25 3 3" xfId="0"/>
    <cellStyle name="Примечание 2 25 4" xfId="0"/>
    <cellStyle name="Примечание 2 25 5" xfId="0"/>
    <cellStyle name="Примечание 2 26" xfId="0"/>
    <cellStyle name="Примечание 2 26 2" xfId="0"/>
    <cellStyle name="Примечание 2 26 2 2" xfId="0"/>
    <cellStyle name="Примечание 2 26 2 2 2" xfId="0"/>
    <cellStyle name="Примечание 2 26 2 2 3" xfId="0"/>
    <cellStyle name="Примечание 2 26 2 3" xfId="0"/>
    <cellStyle name="Примечание 2 26 2 4" xfId="0"/>
    <cellStyle name="Примечание 2 26 3" xfId="0"/>
    <cellStyle name="Примечание 2 26 3 2" xfId="0"/>
    <cellStyle name="Примечание 2 26 3 3" xfId="0"/>
    <cellStyle name="Примечание 2 26 4" xfId="0"/>
    <cellStyle name="Примечание 2 26 5" xfId="0"/>
    <cellStyle name="Примечание 2 27" xfId="0"/>
    <cellStyle name="Примечание 2 27 2" xfId="0"/>
    <cellStyle name="Примечание 2 27 2 2" xfId="0"/>
    <cellStyle name="Примечание 2 27 2 2 2" xfId="0"/>
    <cellStyle name="Примечание 2 27 2 2 3" xfId="0"/>
    <cellStyle name="Примечание 2 27 2 3" xfId="0"/>
    <cellStyle name="Примечание 2 27 2 4" xfId="0"/>
    <cellStyle name="Примечание 2 27 3" xfId="0"/>
    <cellStyle name="Примечание 2 27 3 2" xfId="0"/>
    <cellStyle name="Примечание 2 27 3 3" xfId="0"/>
    <cellStyle name="Примечание 2 27 4" xfId="0"/>
    <cellStyle name="Примечание 2 27 5" xfId="0"/>
    <cellStyle name="Примечание 2 28" xfId="0"/>
    <cellStyle name="Примечание 2 28 2" xfId="0"/>
    <cellStyle name="Примечание 2 28 2 2" xfId="0"/>
    <cellStyle name="Примечание 2 28 2 3" xfId="0"/>
    <cellStyle name="Примечание 2 28 3" xfId="0"/>
    <cellStyle name="Примечание 2 28 4" xfId="0"/>
    <cellStyle name="Примечание 2 29" xfId="0"/>
    <cellStyle name="Примечание 2 29 2" xfId="0"/>
    <cellStyle name="Примечание 2 29 2 2" xfId="0"/>
    <cellStyle name="Примечание 2 29 2 3" xfId="0"/>
    <cellStyle name="Примечание 2 29 3" xfId="0"/>
    <cellStyle name="Примечание 2 29 4" xfId="0"/>
    <cellStyle name="Примечание 2 3" xfId="0"/>
    <cellStyle name="Примечание 2 3 10" xfId="0"/>
    <cellStyle name="Примечание 2 3 2" xfId="0"/>
    <cellStyle name="Примечание 2 3 2 2" xfId="0"/>
    <cellStyle name="Примечание 2 3 2 2 2" xfId="0"/>
    <cellStyle name="Примечание 2 3 2 2 2 2" xfId="0"/>
    <cellStyle name="Примечание 2 3 2 2 2 3" xfId="0"/>
    <cellStyle name="Примечание 2 3 2 2 3" xfId="0"/>
    <cellStyle name="Примечание 2 3 2 2 4" xfId="0"/>
    <cellStyle name="Примечание 2 3 2 3" xfId="0"/>
    <cellStyle name="Примечание 2 3 2 3 2" xfId="0"/>
    <cellStyle name="Примечание 2 3 2 3 2 2" xfId="0"/>
    <cellStyle name="Примечание 2 3 2 3 2 3" xfId="0"/>
    <cellStyle name="Примечание 2 3 2 3 3" xfId="0"/>
    <cellStyle name="Примечание 2 3 2 3 4" xfId="0"/>
    <cellStyle name="Примечание 2 3 2 4" xfId="0"/>
    <cellStyle name="Примечание 2 3 2 4 2" xfId="0"/>
    <cellStyle name="Примечание 2 3 2 4 3" xfId="0"/>
    <cellStyle name="Примечание 2 3 2 5" xfId="0"/>
    <cellStyle name="Примечание 2 3 2 6" xfId="0"/>
    <cellStyle name="Примечание 2 3 3" xfId="0"/>
    <cellStyle name="Примечание 2 3 3 2" xfId="0"/>
    <cellStyle name="Примечание 2 3 3 2 2" xfId="0"/>
    <cellStyle name="Примечание 2 3 3 2 2 2" xfId="0"/>
    <cellStyle name="Примечание 2 3 3 2 2 3" xfId="0"/>
    <cellStyle name="Примечание 2 3 3 2 3" xfId="0"/>
    <cellStyle name="Примечание 2 3 3 2 4" xfId="0"/>
    <cellStyle name="Примечание 2 3 3 3" xfId="0"/>
    <cellStyle name="Примечание 2 3 3 3 2" xfId="0"/>
    <cellStyle name="Примечание 2 3 3 3 2 2" xfId="0"/>
    <cellStyle name="Примечание 2 3 3 3 2 3" xfId="0"/>
    <cellStyle name="Примечание 2 3 3 3 3" xfId="0"/>
    <cellStyle name="Примечание 2 3 3 3 4" xfId="0"/>
    <cellStyle name="Примечание 2 3 3 4" xfId="0"/>
    <cellStyle name="Примечание 2 3 3 4 2" xfId="0"/>
    <cellStyle name="Примечание 2 3 3 4 3" xfId="0"/>
    <cellStyle name="Примечание 2 3 3 5" xfId="0"/>
    <cellStyle name="Примечание 2 3 3 6" xfId="0"/>
    <cellStyle name="Примечание 2 3 4" xfId="0"/>
    <cellStyle name="Примечание 2 3 4 2" xfId="0"/>
    <cellStyle name="Примечание 2 3 4 2 2" xfId="0"/>
    <cellStyle name="Примечание 2 3 4 2 2 2" xfId="0"/>
    <cellStyle name="Примечание 2 3 4 2 2 3" xfId="0"/>
    <cellStyle name="Примечание 2 3 4 2 3" xfId="0"/>
    <cellStyle name="Примечание 2 3 4 2 4" xfId="0"/>
    <cellStyle name="Примечание 2 3 4 3" xfId="0"/>
    <cellStyle name="Примечание 2 3 4 3 2" xfId="0"/>
    <cellStyle name="Примечание 2 3 4 3 2 2" xfId="0"/>
    <cellStyle name="Примечание 2 3 4 3 2 3" xfId="0"/>
    <cellStyle name="Примечание 2 3 4 3 3" xfId="0"/>
    <cellStyle name="Примечание 2 3 4 3 4" xfId="0"/>
    <cellStyle name="Примечание 2 3 4 4" xfId="0"/>
    <cellStyle name="Примечание 2 3 4 4 2" xfId="0"/>
    <cellStyle name="Примечание 2 3 4 4 3" xfId="0"/>
    <cellStyle name="Примечание 2 3 4 5" xfId="0"/>
    <cellStyle name="Примечание 2 3 4 6" xfId="0"/>
    <cellStyle name="Примечание 2 3 5" xfId="0"/>
    <cellStyle name="Примечание 2 3 5 2" xfId="0"/>
    <cellStyle name="Примечание 2 3 5 2 2" xfId="0"/>
    <cellStyle name="Примечание 2 3 5 2 2 2" xfId="0"/>
    <cellStyle name="Примечание 2 3 5 2 2 3" xfId="0"/>
    <cellStyle name="Примечание 2 3 5 2 3" xfId="0"/>
    <cellStyle name="Примечание 2 3 5 2 4" xfId="0"/>
    <cellStyle name="Примечание 2 3 5 3" xfId="0"/>
    <cellStyle name="Примечание 2 3 5 3 2" xfId="0"/>
    <cellStyle name="Примечание 2 3 5 3 2 2" xfId="0"/>
    <cellStyle name="Примечание 2 3 5 3 2 3" xfId="0"/>
    <cellStyle name="Примечание 2 3 5 3 3" xfId="0"/>
    <cellStyle name="Примечание 2 3 5 3 4" xfId="0"/>
    <cellStyle name="Примечание 2 3 5 4" xfId="0"/>
    <cellStyle name="Примечание 2 3 5 4 2" xfId="0"/>
    <cellStyle name="Примечание 2 3 5 4 3" xfId="0"/>
    <cellStyle name="Примечание 2 3 5 5" xfId="0"/>
    <cellStyle name="Примечание 2 3 5 6" xfId="0"/>
    <cellStyle name="Примечание 2 3 6" xfId="0"/>
    <cellStyle name="Примечание 2 3 6 2" xfId="0"/>
    <cellStyle name="Примечание 2 3 6 2 2" xfId="0"/>
    <cellStyle name="Примечание 2 3 6 2 2 2" xfId="0"/>
    <cellStyle name="Примечание 2 3 6 2 2 3" xfId="0"/>
    <cellStyle name="Примечание 2 3 6 2 3" xfId="0"/>
    <cellStyle name="Примечание 2 3 6 2 4" xfId="0"/>
    <cellStyle name="Примечание 2 3 6 3" xfId="0"/>
    <cellStyle name="Примечание 2 3 6 3 2" xfId="0"/>
    <cellStyle name="Примечание 2 3 6 3 3" xfId="0"/>
    <cellStyle name="Примечание 2 3 6 4" xfId="0"/>
    <cellStyle name="Примечание 2 3 6 5" xfId="0"/>
    <cellStyle name="Примечание 2 3 7" xfId="0"/>
    <cellStyle name="Примечание 2 3 7 2" xfId="0"/>
    <cellStyle name="Примечание 2 3 7 2 2" xfId="0"/>
    <cellStyle name="Примечание 2 3 7 2 2 2" xfId="0"/>
    <cellStyle name="Примечание 2 3 7 2 2 3" xfId="0"/>
    <cellStyle name="Примечание 2 3 7 2 3" xfId="0"/>
    <cellStyle name="Примечание 2 3 7 2 4" xfId="0"/>
    <cellStyle name="Примечание 2 3 7 3" xfId="0"/>
    <cellStyle name="Примечание 2 3 7 3 2" xfId="0"/>
    <cellStyle name="Примечание 2 3 7 3 3" xfId="0"/>
    <cellStyle name="Примечание 2 3 7 4" xfId="0"/>
    <cellStyle name="Примечание 2 3 7 5" xfId="0"/>
    <cellStyle name="Примечание 2 3 8" xfId="0"/>
    <cellStyle name="Примечание 2 3 8 2" xfId="0"/>
    <cellStyle name="Примечание 2 3 8 3" xfId="0"/>
    <cellStyle name="Примечание 2 3 9" xfId="0"/>
    <cellStyle name="Примечание 2 30" xfId="0"/>
    <cellStyle name="Примечание 2 30 2" xfId="0"/>
    <cellStyle name="Примечание 2 30 3" xfId="0"/>
    <cellStyle name="Примечание 2 31" xfId="0"/>
    <cellStyle name="Примечание 2 31 2" xfId="0"/>
    <cellStyle name="Примечание 2 31 3" xfId="0"/>
    <cellStyle name="Примечание 2 32" xfId="0"/>
    <cellStyle name="Примечание 2 32 2" xfId="0"/>
    <cellStyle name="Примечание 2 32 3" xfId="0"/>
    <cellStyle name="Примечание 2 33" xfId="0"/>
    <cellStyle name="Примечание 2 33 2" xfId="0"/>
    <cellStyle name="Примечание 2 33 3" xfId="0"/>
    <cellStyle name="Примечание 2 34" xfId="0"/>
    <cellStyle name="Примечание 2 4" xfId="0"/>
    <cellStyle name="Примечание 2 4 10" xfId="0"/>
    <cellStyle name="Примечание 2 4 2" xfId="0"/>
    <cellStyle name="Примечание 2 4 2 2" xfId="0"/>
    <cellStyle name="Примечание 2 4 2 2 2" xfId="0"/>
    <cellStyle name="Примечание 2 4 2 2 2 2" xfId="0"/>
    <cellStyle name="Примечание 2 4 2 2 2 3" xfId="0"/>
    <cellStyle name="Примечание 2 4 2 2 3" xfId="0"/>
    <cellStyle name="Примечание 2 4 2 2 4" xfId="0"/>
    <cellStyle name="Примечание 2 4 2 3" xfId="0"/>
    <cellStyle name="Примечание 2 4 2 3 2" xfId="0"/>
    <cellStyle name="Примечание 2 4 2 3 2 2" xfId="0"/>
    <cellStyle name="Примечание 2 4 2 3 2 3" xfId="0"/>
    <cellStyle name="Примечание 2 4 2 3 3" xfId="0"/>
    <cellStyle name="Примечание 2 4 2 3 4" xfId="0"/>
    <cellStyle name="Примечание 2 4 2 4" xfId="0"/>
    <cellStyle name="Примечание 2 4 2 4 2" xfId="0"/>
    <cellStyle name="Примечание 2 4 2 4 3" xfId="0"/>
    <cellStyle name="Примечание 2 4 2 5" xfId="0"/>
    <cellStyle name="Примечание 2 4 2 6" xfId="0"/>
    <cellStyle name="Примечание 2 4 3" xfId="0"/>
    <cellStyle name="Примечание 2 4 3 2" xfId="0"/>
    <cellStyle name="Примечание 2 4 3 2 2" xfId="0"/>
    <cellStyle name="Примечание 2 4 3 2 2 2" xfId="0"/>
    <cellStyle name="Примечание 2 4 3 2 2 3" xfId="0"/>
    <cellStyle name="Примечание 2 4 3 2 3" xfId="0"/>
    <cellStyle name="Примечание 2 4 3 2 4" xfId="0"/>
    <cellStyle name="Примечание 2 4 3 3" xfId="0"/>
    <cellStyle name="Примечание 2 4 3 3 2" xfId="0"/>
    <cellStyle name="Примечание 2 4 3 3 2 2" xfId="0"/>
    <cellStyle name="Примечание 2 4 3 3 2 3" xfId="0"/>
    <cellStyle name="Примечание 2 4 3 3 3" xfId="0"/>
    <cellStyle name="Примечание 2 4 3 3 4" xfId="0"/>
    <cellStyle name="Примечание 2 4 3 4" xfId="0"/>
    <cellStyle name="Примечание 2 4 3 4 2" xfId="0"/>
    <cellStyle name="Примечание 2 4 3 4 3" xfId="0"/>
    <cellStyle name="Примечание 2 4 3 5" xfId="0"/>
    <cellStyle name="Примечание 2 4 3 6" xfId="0"/>
    <cellStyle name="Примечание 2 4 4" xfId="0"/>
    <cellStyle name="Примечание 2 4 4 2" xfId="0"/>
    <cellStyle name="Примечание 2 4 4 2 2" xfId="0"/>
    <cellStyle name="Примечание 2 4 4 2 2 2" xfId="0"/>
    <cellStyle name="Примечание 2 4 4 2 2 3" xfId="0"/>
    <cellStyle name="Примечание 2 4 4 2 3" xfId="0"/>
    <cellStyle name="Примечание 2 4 4 2 4" xfId="0"/>
    <cellStyle name="Примечание 2 4 4 3" xfId="0"/>
    <cellStyle name="Примечание 2 4 4 3 2" xfId="0"/>
    <cellStyle name="Примечание 2 4 4 3 2 2" xfId="0"/>
    <cellStyle name="Примечание 2 4 4 3 2 3" xfId="0"/>
    <cellStyle name="Примечание 2 4 4 3 3" xfId="0"/>
    <cellStyle name="Примечание 2 4 4 3 4" xfId="0"/>
    <cellStyle name="Примечание 2 4 4 4" xfId="0"/>
    <cellStyle name="Примечание 2 4 4 4 2" xfId="0"/>
    <cellStyle name="Примечание 2 4 4 4 3" xfId="0"/>
    <cellStyle name="Примечание 2 4 4 5" xfId="0"/>
    <cellStyle name="Примечание 2 4 4 6" xfId="0"/>
    <cellStyle name="Примечание 2 4 5" xfId="0"/>
    <cellStyle name="Примечание 2 4 5 2" xfId="0"/>
    <cellStyle name="Примечание 2 4 5 2 2" xfId="0"/>
    <cellStyle name="Примечание 2 4 5 2 2 2" xfId="0"/>
    <cellStyle name="Примечание 2 4 5 2 2 3" xfId="0"/>
    <cellStyle name="Примечание 2 4 5 2 3" xfId="0"/>
    <cellStyle name="Примечание 2 4 5 2 4" xfId="0"/>
    <cellStyle name="Примечание 2 4 5 3" xfId="0"/>
    <cellStyle name="Примечание 2 4 5 3 2" xfId="0"/>
    <cellStyle name="Примечание 2 4 5 3 2 2" xfId="0"/>
    <cellStyle name="Примечание 2 4 5 3 2 3" xfId="0"/>
    <cellStyle name="Примечание 2 4 5 3 3" xfId="0"/>
    <cellStyle name="Примечание 2 4 5 3 4" xfId="0"/>
    <cellStyle name="Примечание 2 4 5 4" xfId="0"/>
    <cellStyle name="Примечание 2 4 5 4 2" xfId="0"/>
    <cellStyle name="Примечание 2 4 5 4 3" xfId="0"/>
    <cellStyle name="Примечание 2 4 5 5" xfId="0"/>
    <cellStyle name="Примечание 2 4 5 6" xfId="0"/>
    <cellStyle name="Примечание 2 4 6" xfId="0"/>
    <cellStyle name="Примечание 2 4 6 2" xfId="0"/>
    <cellStyle name="Примечание 2 4 6 2 2" xfId="0"/>
    <cellStyle name="Примечание 2 4 6 2 2 2" xfId="0"/>
    <cellStyle name="Примечание 2 4 6 2 2 3" xfId="0"/>
    <cellStyle name="Примечание 2 4 6 2 3" xfId="0"/>
    <cellStyle name="Примечание 2 4 6 2 4" xfId="0"/>
    <cellStyle name="Примечание 2 4 6 3" xfId="0"/>
    <cellStyle name="Примечание 2 4 6 3 2" xfId="0"/>
    <cellStyle name="Примечание 2 4 6 3 3" xfId="0"/>
    <cellStyle name="Примечание 2 4 6 4" xfId="0"/>
    <cellStyle name="Примечание 2 4 6 5" xfId="0"/>
    <cellStyle name="Примечание 2 4 7" xfId="0"/>
    <cellStyle name="Примечание 2 4 7 2" xfId="0"/>
    <cellStyle name="Примечание 2 4 7 2 2" xfId="0"/>
    <cellStyle name="Примечание 2 4 7 2 2 2" xfId="0"/>
    <cellStyle name="Примечание 2 4 7 2 2 3" xfId="0"/>
    <cellStyle name="Примечание 2 4 7 2 3" xfId="0"/>
    <cellStyle name="Примечание 2 4 7 2 4" xfId="0"/>
    <cellStyle name="Примечание 2 4 7 3" xfId="0"/>
    <cellStyle name="Примечание 2 4 7 3 2" xfId="0"/>
    <cellStyle name="Примечание 2 4 7 3 3" xfId="0"/>
    <cellStyle name="Примечание 2 4 7 4" xfId="0"/>
    <cellStyle name="Примечание 2 4 7 5" xfId="0"/>
    <cellStyle name="Примечание 2 4 8" xfId="0"/>
    <cellStyle name="Примечание 2 4 8 2" xfId="0"/>
    <cellStyle name="Примечание 2 4 8 3" xfId="0"/>
    <cellStyle name="Примечание 2 4 9" xfId="0"/>
    <cellStyle name="Примечание 2 5" xfId="0"/>
    <cellStyle name="Примечание 2 5 2" xfId="0"/>
    <cellStyle name="Примечание 2 5 2 2" xfId="0"/>
    <cellStyle name="Примечание 2 5 2 2 2" xfId="0"/>
    <cellStyle name="Примечание 2 5 2 2 2 2" xfId="0"/>
    <cellStyle name="Примечание 2 5 2 2 2 3" xfId="0"/>
    <cellStyle name="Примечание 2 5 2 2 3" xfId="0"/>
    <cellStyle name="Примечание 2 5 2 2 4" xfId="0"/>
    <cellStyle name="Примечание 2 5 2 3" xfId="0"/>
    <cellStyle name="Примечание 2 5 2 3 2" xfId="0"/>
    <cellStyle name="Примечание 2 5 2 3 2 2" xfId="0"/>
    <cellStyle name="Примечание 2 5 2 3 2 3" xfId="0"/>
    <cellStyle name="Примечание 2 5 2 3 3" xfId="0"/>
    <cellStyle name="Примечание 2 5 2 3 4" xfId="0"/>
    <cellStyle name="Примечание 2 5 2 4" xfId="0"/>
    <cellStyle name="Примечание 2 5 2 4 2" xfId="0"/>
    <cellStyle name="Примечание 2 5 2 4 3" xfId="0"/>
    <cellStyle name="Примечание 2 5 2 5" xfId="0"/>
    <cellStyle name="Примечание 2 5 2 6" xfId="0"/>
    <cellStyle name="Примечание 2 5 3" xfId="0"/>
    <cellStyle name="Примечание 2 5 3 2" xfId="0"/>
    <cellStyle name="Примечание 2 5 3 2 2" xfId="0"/>
    <cellStyle name="Примечание 2 5 3 2 2 2" xfId="0"/>
    <cellStyle name="Примечание 2 5 3 2 2 3" xfId="0"/>
    <cellStyle name="Примечание 2 5 3 2 3" xfId="0"/>
    <cellStyle name="Примечание 2 5 3 2 4" xfId="0"/>
    <cellStyle name="Примечание 2 5 3 3" xfId="0"/>
    <cellStyle name="Примечание 2 5 3 3 2" xfId="0"/>
    <cellStyle name="Примечание 2 5 3 3 3" xfId="0"/>
    <cellStyle name="Примечание 2 5 3 4" xfId="0"/>
    <cellStyle name="Примечание 2 5 3 5" xfId="0"/>
    <cellStyle name="Примечание 2 5 4" xfId="0"/>
    <cellStyle name="Примечание 2 5 4 2" xfId="0"/>
    <cellStyle name="Примечание 2 5 4 2 2" xfId="0"/>
    <cellStyle name="Примечание 2 5 4 2 2 2" xfId="0"/>
    <cellStyle name="Примечание 2 5 4 2 2 3" xfId="0"/>
    <cellStyle name="Примечание 2 5 4 2 3" xfId="0"/>
    <cellStyle name="Примечание 2 5 4 2 4" xfId="0"/>
    <cellStyle name="Примечание 2 5 4 3" xfId="0"/>
    <cellStyle name="Примечание 2 5 4 3 2" xfId="0"/>
    <cellStyle name="Примечание 2 5 4 3 3" xfId="0"/>
    <cellStyle name="Примечание 2 5 4 4" xfId="0"/>
    <cellStyle name="Примечание 2 5 4 5" xfId="0"/>
    <cellStyle name="Примечание 2 5 5" xfId="0"/>
    <cellStyle name="Примечание 2 5 5 2" xfId="0"/>
    <cellStyle name="Примечание 2 5 5 3" xfId="0"/>
    <cellStyle name="Примечание 2 5 6" xfId="0"/>
    <cellStyle name="Примечание 2 5 7" xfId="0"/>
    <cellStyle name="Примечание 2 6" xfId="0"/>
    <cellStyle name="Примечание 2 6 2" xfId="0"/>
    <cellStyle name="Примечание 2 6 2 2" xfId="0"/>
    <cellStyle name="Примечание 2 6 2 2 2" xfId="0"/>
    <cellStyle name="Примечание 2 6 2 2 2 2" xfId="0"/>
    <cellStyle name="Примечание 2 6 2 2 2 3" xfId="0"/>
    <cellStyle name="Примечание 2 6 2 2 3" xfId="0"/>
    <cellStyle name="Примечание 2 6 2 2 4" xfId="0"/>
    <cellStyle name="Примечание 2 6 2 3" xfId="0"/>
    <cellStyle name="Примечание 2 6 2 3 2" xfId="0"/>
    <cellStyle name="Примечание 2 6 2 3 2 2" xfId="0"/>
    <cellStyle name="Примечание 2 6 2 3 2 3" xfId="0"/>
    <cellStyle name="Примечание 2 6 2 3 3" xfId="0"/>
    <cellStyle name="Примечание 2 6 2 3 4" xfId="0"/>
    <cellStyle name="Примечание 2 6 2 4" xfId="0"/>
    <cellStyle name="Примечание 2 6 2 4 2" xfId="0"/>
    <cellStyle name="Примечание 2 6 2 4 3" xfId="0"/>
    <cellStyle name="Примечание 2 6 2 5" xfId="0"/>
    <cellStyle name="Примечание 2 6 2 6" xfId="0"/>
    <cellStyle name="Примечание 2 6 3" xfId="0"/>
    <cellStyle name="Примечание 2 6 3 2" xfId="0"/>
    <cellStyle name="Примечание 2 6 3 2 2" xfId="0"/>
    <cellStyle name="Примечание 2 6 3 2 2 2" xfId="0"/>
    <cellStyle name="Примечание 2 6 3 2 2 3" xfId="0"/>
    <cellStyle name="Примечание 2 6 3 2 3" xfId="0"/>
    <cellStyle name="Примечание 2 6 3 2 4" xfId="0"/>
    <cellStyle name="Примечание 2 6 3 3" xfId="0"/>
    <cellStyle name="Примечание 2 6 3 3 2" xfId="0"/>
    <cellStyle name="Примечание 2 6 3 3 3" xfId="0"/>
    <cellStyle name="Примечание 2 6 3 4" xfId="0"/>
    <cellStyle name="Примечание 2 6 3 5" xfId="0"/>
    <cellStyle name="Примечание 2 6 4" xfId="0"/>
    <cellStyle name="Примечание 2 6 4 2" xfId="0"/>
    <cellStyle name="Примечание 2 6 4 2 2" xfId="0"/>
    <cellStyle name="Примечание 2 6 4 2 2 2" xfId="0"/>
    <cellStyle name="Примечание 2 6 4 2 2 3" xfId="0"/>
    <cellStyle name="Примечание 2 6 4 2 3" xfId="0"/>
    <cellStyle name="Примечание 2 6 4 2 4" xfId="0"/>
    <cellStyle name="Примечание 2 6 4 3" xfId="0"/>
    <cellStyle name="Примечание 2 6 4 3 2" xfId="0"/>
    <cellStyle name="Примечание 2 6 4 3 3" xfId="0"/>
    <cellStyle name="Примечание 2 6 4 4" xfId="0"/>
    <cellStyle name="Примечание 2 6 4 5" xfId="0"/>
    <cellStyle name="Примечание 2 6 5" xfId="0"/>
    <cellStyle name="Примечание 2 6 5 2" xfId="0"/>
    <cellStyle name="Примечание 2 6 5 3" xfId="0"/>
    <cellStyle name="Примечание 2 6 6" xfId="0"/>
    <cellStyle name="Примечание 2 6 7" xfId="0"/>
    <cellStyle name="Примечание 2 7" xfId="0"/>
    <cellStyle name="Примечание 2 7 2" xfId="0"/>
    <cellStyle name="Примечание 2 7 2 2" xfId="0"/>
    <cellStyle name="Примечание 2 7 2 2 2" xfId="0"/>
    <cellStyle name="Примечание 2 7 2 2 2 2" xfId="0"/>
    <cellStyle name="Примечание 2 7 2 2 2 3" xfId="0"/>
    <cellStyle name="Примечание 2 7 2 2 3" xfId="0"/>
    <cellStyle name="Примечание 2 7 2 2 4" xfId="0"/>
    <cellStyle name="Примечание 2 7 2 3" xfId="0"/>
    <cellStyle name="Примечание 2 7 2 3 2" xfId="0"/>
    <cellStyle name="Примечание 2 7 2 3 2 2" xfId="0"/>
    <cellStyle name="Примечание 2 7 2 3 2 3" xfId="0"/>
    <cellStyle name="Примечание 2 7 2 3 3" xfId="0"/>
    <cellStyle name="Примечание 2 7 2 3 4" xfId="0"/>
    <cellStyle name="Примечание 2 7 2 4" xfId="0"/>
    <cellStyle name="Примечание 2 7 2 4 2" xfId="0"/>
    <cellStyle name="Примечание 2 7 2 4 3" xfId="0"/>
    <cellStyle name="Примечание 2 7 2 5" xfId="0"/>
    <cellStyle name="Примечание 2 7 2 6" xfId="0"/>
    <cellStyle name="Примечание 2 7 3" xfId="0"/>
    <cellStyle name="Примечание 2 7 3 2" xfId="0"/>
    <cellStyle name="Примечание 2 7 3 2 2" xfId="0"/>
    <cellStyle name="Примечание 2 7 3 2 2 2" xfId="0"/>
    <cellStyle name="Примечание 2 7 3 2 2 3" xfId="0"/>
    <cellStyle name="Примечание 2 7 3 2 3" xfId="0"/>
    <cellStyle name="Примечание 2 7 3 2 4" xfId="0"/>
    <cellStyle name="Примечание 2 7 3 3" xfId="0"/>
    <cellStyle name="Примечание 2 7 3 3 2" xfId="0"/>
    <cellStyle name="Примечание 2 7 3 3 3" xfId="0"/>
    <cellStyle name="Примечание 2 7 3 4" xfId="0"/>
    <cellStyle name="Примечание 2 7 3 5" xfId="0"/>
    <cellStyle name="Примечание 2 7 4" xfId="0"/>
    <cellStyle name="Примечание 2 7 4 2" xfId="0"/>
    <cellStyle name="Примечание 2 7 4 2 2" xfId="0"/>
    <cellStyle name="Примечание 2 7 4 2 2 2" xfId="0"/>
    <cellStyle name="Примечание 2 7 4 2 2 3" xfId="0"/>
    <cellStyle name="Примечание 2 7 4 2 3" xfId="0"/>
    <cellStyle name="Примечание 2 7 4 2 4" xfId="0"/>
    <cellStyle name="Примечание 2 7 4 3" xfId="0"/>
    <cellStyle name="Примечание 2 7 4 3 2" xfId="0"/>
    <cellStyle name="Примечание 2 7 4 3 3" xfId="0"/>
    <cellStyle name="Примечание 2 7 4 4" xfId="0"/>
    <cellStyle name="Примечание 2 7 4 5" xfId="0"/>
    <cellStyle name="Примечание 2 7 5" xfId="0"/>
    <cellStyle name="Примечание 2 7 5 2" xfId="0"/>
    <cellStyle name="Примечание 2 7 5 3" xfId="0"/>
    <cellStyle name="Примечание 2 7 6" xfId="0"/>
    <cellStyle name="Примечание 2 7 7" xfId="0"/>
    <cellStyle name="Примечание 2 8" xfId="0"/>
    <cellStyle name="Примечание 2 8 2" xfId="0"/>
    <cellStyle name="Примечание 2 8 2 2" xfId="0"/>
    <cellStyle name="Примечание 2 8 2 2 2" xfId="0"/>
    <cellStyle name="Примечание 2 8 2 2 2 2" xfId="0"/>
    <cellStyle name="Примечание 2 8 2 2 2 3" xfId="0"/>
    <cellStyle name="Примечание 2 8 2 2 3" xfId="0"/>
    <cellStyle name="Примечание 2 8 2 2 4" xfId="0"/>
    <cellStyle name="Примечание 2 8 2 3" xfId="0"/>
    <cellStyle name="Примечание 2 8 2 3 2" xfId="0"/>
    <cellStyle name="Примечание 2 8 2 3 2 2" xfId="0"/>
    <cellStyle name="Примечание 2 8 2 3 2 3" xfId="0"/>
    <cellStyle name="Примечание 2 8 2 3 3" xfId="0"/>
    <cellStyle name="Примечание 2 8 2 3 4" xfId="0"/>
    <cellStyle name="Примечание 2 8 2 4" xfId="0"/>
    <cellStyle name="Примечание 2 8 2 4 2" xfId="0"/>
    <cellStyle name="Примечание 2 8 2 4 3" xfId="0"/>
    <cellStyle name="Примечание 2 8 2 5" xfId="0"/>
    <cellStyle name="Примечание 2 8 2 6" xfId="0"/>
    <cellStyle name="Примечание 2 8 3" xfId="0"/>
    <cellStyle name="Примечание 2 8 3 2" xfId="0"/>
    <cellStyle name="Примечание 2 8 3 2 2" xfId="0"/>
    <cellStyle name="Примечание 2 8 3 2 2 2" xfId="0"/>
    <cellStyle name="Примечание 2 8 3 2 2 3" xfId="0"/>
    <cellStyle name="Примечание 2 8 3 2 3" xfId="0"/>
    <cellStyle name="Примечание 2 8 3 2 4" xfId="0"/>
    <cellStyle name="Примечание 2 8 3 3" xfId="0"/>
    <cellStyle name="Примечание 2 8 3 3 2" xfId="0"/>
    <cellStyle name="Примечание 2 8 3 3 3" xfId="0"/>
    <cellStyle name="Примечание 2 8 3 4" xfId="0"/>
    <cellStyle name="Примечание 2 8 3 5" xfId="0"/>
    <cellStyle name="Примечание 2 8 4" xfId="0"/>
    <cellStyle name="Примечание 2 8 4 2" xfId="0"/>
    <cellStyle name="Примечание 2 8 4 2 2" xfId="0"/>
    <cellStyle name="Примечание 2 8 4 2 2 2" xfId="0"/>
    <cellStyle name="Примечание 2 8 4 2 2 3" xfId="0"/>
    <cellStyle name="Примечание 2 8 4 2 3" xfId="0"/>
    <cellStyle name="Примечание 2 8 4 2 4" xfId="0"/>
    <cellStyle name="Примечание 2 8 4 3" xfId="0"/>
    <cellStyle name="Примечание 2 8 4 3 2" xfId="0"/>
    <cellStyle name="Примечание 2 8 4 3 3" xfId="0"/>
    <cellStyle name="Примечание 2 8 4 4" xfId="0"/>
    <cellStyle name="Примечание 2 8 4 5" xfId="0"/>
    <cellStyle name="Примечание 2 8 5" xfId="0"/>
    <cellStyle name="Примечание 2 8 5 2" xfId="0"/>
    <cellStyle name="Примечание 2 8 5 3" xfId="0"/>
    <cellStyle name="Примечание 2 8 6" xfId="0"/>
    <cellStyle name="Примечание 2 8 7" xfId="0"/>
    <cellStyle name="Примечание 2 9" xfId="0"/>
    <cellStyle name="Примечание 2 9 2" xfId="0"/>
    <cellStyle name="Примечание 2 9 2 2" xfId="0"/>
    <cellStyle name="Примечание 2 9 2 2 2" xfId="0"/>
    <cellStyle name="Примечание 2 9 2 2 2 2" xfId="0"/>
    <cellStyle name="Примечание 2 9 2 2 2 3" xfId="0"/>
    <cellStyle name="Примечание 2 9 2 2 3" xfId="0"/>
    <cellStyle name="Примечание 2 9 2 2 4" xfId="0"/>
    <cellStyle name="Примечание 2 9 2 3" xfId="0"/>
    <cellStyle name="Примечание 2 9 2 3 2" xfId="0"/>
    <cellStyle name="Примечание 2 9 2 3 2 2" xfId="0"/>
    <cellStyle name="Примечание 2 9 2 3 2 3" xfId="0"/>
    <cellStyle name="Примечание 2 9 2 3 3" xfId="0"/>
    <cellStyle name="Примечание 2 9 2 3 4" xfId="0"/>
    <cellStyle name="Примечание 2 9 2 4" xfId="0"/>
    <cellStyle name="Примечание 2 9 2 4 2" xfId="0"/>
    <cellStyle name="Примечание 2 9 2 4 3" xfId="0"/>
    <cellStyle name="Примечание 2 9 2 5" xfId="0"/>
    <cellStyle name="Примечание 2 9 2 6" xfId="0"/>
    <cellStyle name="Примечание 2 9 3" xfId="0"/>
    <cellStyle name="Примечание 2 9 3 2" xfId="0"/>
    <cellStyle name="Примечание 2 9 3 2 2" xfId="0"/>
    <cellStyle name="Примечание 2 9 3 2 2 2" xfId="0"/>
    <cellStyle name="Примечание 2 9 3 2 2 3" xfId="0"/>
    <cellStyle name="Примечание 2 9 3 2 3" xfId="0"/>
    <cellStyle name="Примечание 2 9 3 2 4" xfId="0"/>
    <cellStyle name="Примечание 2 9 3 3" xfId="0"/>
    <cellStyle name="Примечание 2 9 3 3 2" xfId="0"/>
    <cellStyle name="Примечание 2 9 3 3 3" xfId="0"/>
    <cellStyle name="Примечание 2 9 3 4" xfId="0"/>
    <cellStyle name="Примечание 2 9 3 5" xfId="0"/>
    <cellStyle name="Примечание 2 9 4" xfId="0"/>
    <cellStyle name="Примечание 2 9 4 2" xfId="0"/>
    <cellStyle name="Примечание 2 9 4 2 2" xfId="0"/>
    <cellStyle name="Примечание 2 9 4 2 2 2" xfId="0"/>
    <cellStyle name="Примечание 2 9 4 2 2 3" xfId="0"/>
    <cellStyle name="Примечание 2 9 4 2 3" xfId="0"/>
    <cellStyle name="Примечание 2 9 4 2 4" xfId="0"/>
    <cellStyle name="Примечание 2 9 4 3" xfId="0"/>
    <cellStyle name="Примечание 2 9 4 3 2" xfId="0"/>
    <cellStyle name="Примечание 2 9 4 3 3" xfId="0"/>
    <cellStyle name="Примечание 2 9 4 4" xfId="0"/>
    <cellStyle name="Примечание 2 9 4 5" xfId="0"/>
    <cellStyle name="Примечание 2 9 5" xfId="0"/>
    <cellStyle name="Примечание 2 9 5 2" xfId="0"/>
    <cellStyle name="Примечание 2 9 5 3" xfId="0"/>
    <cellStyle name="Примечание 2 9 6" xfId="0"/>
    <cellStyle name="Примечание 2 9 7" xfId="0"/>
    <cellStyle name="Примечание 3" xfId="0"/>
    <cellStyle name="Примечание 3 10" xfId="0"/>
    <cellStyle name="Примечание 3 10 2" xfId="0"/>
    <cellStyle name="Примечание 3 10 2 2" xfId="0"/>
    <cellStyle name="Примечание 3 10 2 2 2" xfId="0"/>
    <cellStyle name="Примечание 3 10 2 2 2 2" xfId="0"/>
    <cellStyle name="Примечание 3 10 2 2 2 3" xfId="0"/>
    <cellStyle name="Примечание 3 10 2 2 3" xfId="0"/>
    <cellStyle name="Примечание 3 10 2 2 4" xfId="0"/>
    <cellStyle name="Примечание 3 10 2 3" xfId="0"/>
    <cellStyle name="Примечание 3 10 2 3 2" xfId="0"/>
    <cellStyle name="Примечание 3 10 2 3 2 2" xfId="0"/>
    <cellStyle name="Примечание 3 10 2 3 2 3" xfId="0"/>
    <cellStyle name="Примечание 3 10 2 3 3" xfId="0"/>
    <cellStyle name="Примечание 3 10 2 3 4" xfId="0"/>
    <cellStyle name="Примечание 3 10 2 4" xfId="0"/>
    <cellStyle name="Примечание 3 10 2 4 2" xfId="0"/>
    <cellStyle name="Примечание 3 10 2 4 3" xfId="0"/>
    <cellStyle name="Примечание 3 10 2 5" xfId="0"/>
    <cellStyle name="Примечание 3 10 2 6" xfId="0"/>
    <cellStyle name="Примечание 3 10 3" xfId="0"/>
    <cellStyle name="Примечание 3 10 3 2" xfId="0"/>
    <cellStyle name="Примечание 3 10 3 2 2" xfId="0"/>
    <cellStyle name="Примечание 3 10 3 2 2 2" xfId="0"/>
    <cellStyle name="Примечание 3 10 3 2 2 3" xfId="0"/>
    <cellStyle name="Примечание 3 10 3 2 3" xfId="0"/>
    <cellStyle name="Примечание 3 10 3 2 4" xfId="0"/>
    <cellStyle name="Примечание 3 10 3 3" xfId="0"/>
    <cellStyle name="Примечание 3 10 3 3 2" xfId="0"/>
    <cellStyle name="Примечание 3 10 3 3 3" xfId="0"/>
    <cellStyle name="Примечание 3 10 3 4" xfId="0"/>
    <cellStyle name="Примечание 3 10 3 5" xfId="0"/>
    <cellStyle name="Примечание 3 10 4" xfId="0"/>
    <cellStyle name="Примечание 3 10 4 2" xfId="0"/>
    <cellStyle name="Примечание 3 10 4 2 2" xfId="0"/>
    <cellStyle name="Примечание 3 10 4 2 2 2" xfId="0"/>
    <cellStyle name="Примечание 3 10 4 2 2 3" xfId="0"/>
    <cellStyle name="Примечание 3 10 4 2 3" xfId="0"/>
    <cellStyle name="Примечание 3 10 4 2 4" xfId="0"/>
    <cellStyle name="Примечание 3 10 4 3" xfId="0"/>
    <cellStyle name="Примечание 3 10 4 3 2" xfId="0"/>
    <cellStyle name="Примечание 3 10 4 3 3" xfId="0"/>
    <cellStyle name="Примечание 3 10 4 4" xfId="0"/>
    <cellStyle name="Примечание 3 10 4 5" xfId="0"/>
    <cellStyle name="Примечание 3 10 5" xfId="0"/>
    <cellStyle name="Примечание 3 10 5 2" xfId="0"/>
    <cellStyle name="Примечание 3 10 5 3" xfId="0"/>
    <cellStyle name="Примечание 3 10 6" xfId="0"/>
    <cellStyle name="Примечание 3 10 7" xfId="0"/>
    <cellStyle name="Примечание 3 11" xfId="0"/>
    <cellStyle name="Примечание 3 11 2" xfId="0"/>
    <cellStyle name="Примечание 3 11 2 2" xfId="0"/>
    <cellStyle name="Примечание 3 11 2 2 2" xfId="0"/>
    <cellStyle name="Примечание 3 11 2 2 2 2" xfId="0"/>
    <cellStyle name="Примечание 3 11 2 2 2 3" xfId="0"/>
    <cellStyle name="Примечание 3 11 2 2 3" xfId="0"/>
    <cellStyle name="Примечание 3 11 2 2 4" xfId="0"/>
    <cellStyle name="Примечание 3 11 2 3" xfId="0"/>
    <cellStyle name="Примечание 3 11 2 3 2" xfId="0"/>
    <cellStyle name="Примечание 3 11 2 3 2 2" xfId="0"/>
    <cellStyle name="Примечание 3 11 2 3 2 3" xfId="0"/>
    <cellStyle name="Примечание 3 11 2 3 3" xfId="0"/>
    <cellStyle name="Примечание 3 11 2 3 4" xfId="0"/>
    <cellStyle name="Примечание 3 11 2 4" xfId="0"/>
    <cellStyle name="Примечание 3 11 2 4 2" xfId="0"/>
    <cellStyle name="Примечание 3 11 2 4 3" xfId="0"/>
    <cellStyle name="Примечание 3 11 2 5" xfId="0"/>
    <cellStyle name="Примечание 3 11 2 6" xfId="0"/>
    <cellStyle name="Примечание 3 11 3" xfId="0"/>
    <cellStyle name="Примечание 3 11 3 2" xfId="0"/>
    <cellStyle name="Примечание 3 11 3 2 2" xfId="0"/>
    <cellStyle name="Примечание 3 11 3 2 2 2" xfId="0"/>
    <cellStyle name="Примечание 3 11 3 2 2 3" xfId="0"/>
    <cellStyle name="Примечание 3 11 3 2 3" xfId="0"/>
    <cellStyle name="Примечание 3 11 3 2 4" xfId="0"/>
    <cellStyle name="Примечание 3 11 3 3" xfId="0"/>
    <cellStyle name="Примечание 3 11 3 3 2" xfId="0"/>
    <cellStyle name="Примечание 3 11 3 3 3" xfId="0"/>
    <cellStyle name="Примечание 3 11 3 4" xfId="0"/>
    <cellStyle name="Примечание 3 11 3 5" xfId="0"/>
    <cellStyle name="Примечание 3 11 4" xfId="0"/>
    <cellStyle name="Примечание 3 11 4 2" xfId="0"/>
    <cellStyle name="Примечание 3 11 4 2 2" xfId="0"/>
    <cellStyle name="Примечание 3 11 4 2 2 2" xfId="0"/>
    <cellStyle name="Примечание 3 11 4 2 2 3" xfId="0"/>
    <cellStyle name="Примечание 3 11 4 2 3" xfId="0"/>
    <cellStyle name="Примечание 3 11 4 2 4" xfId="0"/>
    <cellStyle name="Примечание 3 11 4 3" xfId="0"/>
    <cellStyle name="Примечание 3 11 4 3 2" xfId="0"/>
    <cellStyle name="Примечание 3 11 4 3 3" xfId="0"/>
    <cellStyle name="Примечание 3 11 4 4" xfId="0"/>
    <cellStyle name="Примечание 3 11 4 5" xfId="0"/>
    <cellStyle name="Примечание 3 11 5" xfId="0"/>
    <cellStyle name="Примечание 3 11 5 2" xfId="0"/>
    <cellStyle name="Примечание 3 11 5 3" xfId="0"/>
    <cellStyle name="Примечание 3 11 6" xfId="0"/>
    <cellStyle name="Примечание 3 11 7" xfId="0"/>
    <cellStyle name="Примечание 3 12" xfId="0"/>
    <cellStyle name="Примечание 3 12 2" xfId="0"/>
    <cellStyle name="Примечание 3 12 2 2" xfId="0"/>
    <cellStyle name="Примечание 3 12 2 2 2" xfId="0"/>
    <cellStyle name="Примечание 3 12 2 2 2 2" xfId="0"/>
    <cellStyle name="Примечание 3 12 2 2 2 3" xfId="0"/>
    <cellStyle name="Примечание 3 12 2 2 3" xfId="0"/>
    <cellStyle name="Примечание 3 12 2 2 4" xfId="0"/>
    <cellStyle name="Примечание 3 12 2 3" xfId="0"/>
    <cellStyle name="Примечание 3 12 2 3 2" xfId="0"/>
    <cellStyle name="Примечание 3 12 2 3 2 2" xfId="0"/>
    <cellStyle name="Примечание 3 12 2 3 2 3" xfId="0"/>
    <cellStyle name="Примечание 3 12 2 3 3" xfId="0"/>
    <cellStyle name="Примечание 3 12 2 3 4" xfId="0"/>
    <cellStyle name="Примечание 3 12 2 4" xfId="0"/>
    <cellStyle name="Примечание 3 12 2 4 2" xfId="0"/>
    <cellStyle name="Примечание 3 12 2 4 3" xfId="0"/>
    <cellStyle name="Примечание 3 12 2 5" xfId="0"/>
    <cellStyle name="Примечание 3 12 2 6" xfId="0"/>
    <cellStyle name="Примечание 3 12 3" xfId="0"/>
    <cellStyle name="Примечание 3 12 3 2" xfId="0"/>
    <cellStyle name="Примечание 3 12 3 2 2" xfId="0"/>
    <cellStyle name="Примечание 3 12 3 2 2 2" xfId="0"/>
    <cellStyle name="Примечание 3 12 3 2 2 3" xfId="0"/>
    <cellStyle name="Примечание 3 12 3 2 3" xfId="0"/>
    <cellStyle name="Примечание 3 12 3 2 4" xfId="0"/>
    <cellStyle name="Примечание 3 12 3 3" xfId="0"/>
    <cellStyle name="Примечание 3 12 3 3 2" xfId="0"/>
    <cellStyle name="Примечание 3 12 3 3 3" xfId="0"/>
    <cellStyle name="Примечание 3 12 3 4" xfId="0"/>
    <cellStyle name="Примечание 3 12 3 5" xfId="0"/>
    <cellStyle name="Примечание 3 12 4" xfId="0"/>
    <cellStyle name="Примечание 3 12 4 2" xfId="0"/>
    <cellStyle name="Примечание 3 12 4 2 2" xfId="0"/>
    <cellStyle name="Примечание 3 12 4 2 2 2" xfId="0"/>
    <cellStyle name="Примечание 3 12 4 2 2 3" xfId="0"/>
    <cellStyle name="Примечание 3 12 4 2 3" xfId="0"/>
    <cellStyle name="Примечание 3 12 4 2 4" xfId="0"/>
    <cellStyle name="Примечание 3 12 4 3" xfId="0"/>
    <cellStyle name="Примечание 3 12 4 3 2" xfId="0"/>
    <cellStyle name="Примечание 3 12 4 3 3" xfId="0"/>
    <cellStyle name="Примечание 3 12 4 4" xfId="0"/>
    <cellStyle name="Примечание 3 12 4 5" xfId="0"/>
    <cellStyle name="Примечание 3 12 5" xfId="0"/>
    <cellStyle name="Примечание 3 12 5 2" xfId="0"/>
    <cellStyle name="Примечание 3 12 5 3" xfId="0"/>
    <cellStyle name="Примечание 3 12 6" xfId="0"/>
    <cellStyle name="Примечание 3 12 7" xfId="0"/>
    <cellStyle name="Примечание 3 13" xfId="0"/>
    <cellStyle name="Примечание 3 13 2" xfId="0"/>
    <cellStyle name="Примечание 3 13 2 2" xfId="0"/>
    <cellStyle name="Примечание 3 13 2 2 2" xfId="0"/>
    <cellStyle name="Примечание 3 13 2 2 2 2" xfId="0"/>
    <cellStyle name="Примечание 3 13 2 2 2 3" xfId="0"/>
    <cellStyle name="Примечание 3 13 2 2 3" xfId="0"/>
    <cellStyle name="Примечание 3 13 2 2 4" xfId="0"/>
    <cellStyle name="Примечание 3 13 2 3" xfId="0"/>
    <cellStyle name="Примечание 3 13 2 3 2" xfId="0"/>
    <cellStyle name="Примечание 3 13 2 3 2 2" xfId="0"/>
    <cellStyle name="Примечание 3 13 2 3 2 3" xfId="0"/>
    <cellStyle name="Примечание 3 13 2 3 3" xfId="0"/>
    <cellStyle name="Примечание 3 13 2 3 4" xfId="0"/>
    <cellStyle name="Примечание 3 13 2 4" xfId="0"/>
    <cellStyle name="Примечание 3 13 2 4 2" xfId="0"/>
    <cellStyle name="Примечание 3 13 2 4 3" xfId="0"/>
    <cellStyle name="Примечание 3 13 2 5" xfId="0"/>
    <cellStyle name="Примечание 3 13 2 6" xfId="0"/>
    <cellStyle name="Примечание 3 13 3" xfId="0"/>
    <cellStyle name="Примечание 3 13 3 2" xfId="0"/>
    <cellStyle name="Примечание 3 13 3 2 2" xfId="0"/>
    <cellStyle name="Примечание 3 13 3 2 2 2" xfId="0"/>
    <cellStyle name="Примечание 3 13 3 2 2 3" xfId="0"/>
    <cellStyle name="Примечание 3 13 3 2 3" xfId="0"/>
    <cellStyle name="Примечание 3 13 3 2 4" xfId="0"/>
    <cellStyle name="Примечание 3 13 3 3" xfId="0"/>
    <cellStyle name="Примечание 3 13 3 3 2" xfId="0"/>
    <cellStyle name="Примечание 3 13 3 3 3" xfId="0"/>
    <cellStyle name="Примечание 3 13 3 4" xfId="0"/>
    <cellStyle name="Примечание 3 13 3 5" xfId="0"/>
    <cellStyle name="Примечание 3 13 4" xfId="0"/>
    <cellStyle name="Примечание 3 13 4 2" xfId="0"/>
    <cellStyle name="Примечание 3 13 4 2 2" xfId="0"/>
    <cellStyle name="Примечание 3 13 4 2 2 2" xfId="0"/>
    <cellStyle name="Примечание 3 13 4 2 2 3" xfId="0"/>
    <cellStyle name="Примечание 3 13 4 2 3" xfId="0"/>
    <cellStyle name="Примечание 3 13 4 2 4" xfId="0"/>
    <cellStyle name="Примечание 3 13 4 3" xfId="0"/>
    <cellStyle name="Примечание 3 13 4 3 2" xfId="0"/>
    <cellStyle name="Примечание 3 13 4 3 3" xfId="0"/>
    <cellStyle name="Примечание 3 13 4 4" xfId="0"/>
    <cellStyle name="Примечание 3 13 4 5" xfId="0"/>
    <cellStyle name="Примечание 3 13 5" xfId="0"/>
    <cellStyle name="Примечание 3 13 5 2" xfId="0"/>
    <cellStyle name="Примечание 3 13 5 3" xfId="0"/>
    <cellStyle name="Примечание 3 13 6" xfId="0"/>
    <cellStyle name="Примечание 3 13 7" xfId="0"/>
    <cellStyle name="Примечание 3 14" xfId="0"/>
    <cellStyle name="Примечание 3 14 2" xfId="0"/>
    <cellStyle name="Примечание 3 14 2 2" xfId="0"/>
    <cellStyle name="Примечание 3 14 2 2 2" xfId="0"/>
    <cellStyle name="Примечание 3 14 2 2 2 2" xfId="0"/>
    <cellStyle name="Примечание 3 14 2 2 2 3" xfId="0"/>
    <cellStyle name="Примечание 3 14 2 2 3" xfId="0"/>
    <cellStyle name="Примечание 3 14 2 2 4" xfId="0"/>
    <cellStyle name="Примечание 3 14 2 3" xfId="0"/>
    <cellStyle name="Примечание 3 14 2 3 2" xfId="0"/>
    <cellStyle name="Примечание 3 14 2 3 2 2" xfId="0"/>
    <cellStyle name="Примечание 3 14 2 3 2 3" xfId="0"/>
    <cellStyle name="Примечание 3 14 2 3 3" xfId="0"/>
    <cellStyle name="Примечание 3 14 2 3 4" xfId="0"/>
    <cellStyle name="Примечание 3 14 2 4" xfId="0"/>
    <cellStyle name="Примечание 3 14 2 4 2" xfId="0"/>
    <cellStyle name="Примечание 3 14 2 4 3" xfId="0"/>
    <cellStyle name="Примечание 3 14 2 5" xfId="0"/>
    <cellStyle name="Примечание 3 14 2 6" xfId="0"/>
    <cellStyle name="Примечание 3 14 3" xfId="0"/>
    <cellStyle name="Примечание 3 14 3 2" xfId="0"/>
    <cellStyle name="Примечание 3 14 3 2 2" xfId="0"/>
    <cellStyle name="Примечание 3 14 3 2 2 2" xfId="0"/>
    <cellStyle name="Примечание 3 14 3 2 2 3" xfId="0"/>
    <cellStyle name="Примечание 3 14 3 2 3" xfId="0"/>
    <cellStyle name="Примечание 3 14 3 2 4" xfId="0"/>
    <cellStyle name="Примечание 3 14 3 3" xfId="0"/>
    <cellStyle name="Примечание 3 14 3 3 2" xfId="0"/>
    <cellStyle name="Примечание 3 14 3 3 3" xfId="0"/>
    <cellStyle name="Примечание 3 14 3 4" xfId="0"/>
    <cellStyle name="Примечание 3 14 3 5" xfId="0"/>
    <cellStyle name="Примечание 3 14 4" xfId="0"/>
    <cellStyle name="Примечание 3 14 4 2" xfId="0"/>
    <cellStyle name="Примечание 3 14 4 2 2" xfId="0"/>
    <cellStyle name="Примечание 3 14 4 2 2 2" xfId="0"/>
    <cellStyle name="Примечание 3 14 4 2 2 3" xfId="0"/>
    <cellStyle name="Примечание 3 14 4 2 3" xfId="0"/>
    <cellStyle name="Примечание 3 14 4 2 4" xfId="0"/>
    <cellStyle name="Примечание 3 14 4 3" xfId="0"/>
    <cellStyle name="Примечание 3 14 4 3 2" xfId="0"/>
    <cellStyle name="Примечание 3 14 4 3 3" xfId="0"/>
    <cellStyle name="Примечание 3 14 4 4" xfId="0"/>
    <cellStyle name="Примечание 3 14 4 5" xfId="0"/>
    <cellStyle name="Примечание 3 14 5" xfId="0"/>
    <cellStyle name="Примечание 3 14 5 2" xfId="0"/>
    <cellStyle name="Примечание 3 14 5 3" xfId="0"/>
    <cellStyle name="Примечание 3 14 6" xfId="0"/>
    <cellStyle name="Примечание 3 14 7" xfId="0"/>
    <cellStyle name="Примечание 3 15" xfId="0"/>
    <cellStyle name="Примечание 3 15 2" xfId="0"/>
    <cellStyle name="Примечание 3 15 2 2" xfId="0"/>
    <cellStyle name="Примечание 3 15 2 2 2" xfId="0"/>
    <cellStyle name="Примечание 3 15 2 2 2 2" xfId="0"/>
    <cellStyle name="Примечание 3 15 2 2 2 3" xfId="0"/>
    <cellStyle name="Примечание 3 15 2 2 3" xfId="0"/>
    <cellStyle name="Примечание 3 15 2 2 4" xfId="0"/>
    <cellStyle name="Примечание 3 15 2 3" xfId="0"/>
    <cellStyle name="Примечание 3 15 2 3 2" xfId="0"/>
    <cellStyle name="Примечание 3 15 2 3 2 2" xfId="0"/>
    <cellStyle name="Примечание 3 15 2 3 2 3" xfId="0"/>
    <cellStyle name="Примечание 3 15 2 3 3" xfId="0"/>
    <cellStyle name="Примечание 3 15 2 3 4" xfId="0"/>
    <cellStyle name="Примечание 3 15 2 4" xfId="0"/>
    <cellStyle name="Примечание 3 15 2 4 2" xfId="0"/>
    <cellStyle name="Примечание 3 15 2 4 3" xfId="0"/>
    <cellStyle name="Примечание 3 15 2 5" xfId="0"/>
    <cellStyle name="Примечание 3 15 2 6" xfId="0"/>
    <cellStyle name="Примечание 3 15 3" xfId="0"/>
    <cellStyle name="Примечание 3 15 3 2" xfId="0"/>
    <cellStyle name="Примечание 3 15 3 2 2" xfId="0"/>
    <cellStyle name="Примечание 3 15 3 2 2 2" xfId="0"/>
    <cellStyle name="Примечание 3 15 3 2 2 3" xfId="0"/>
    <cellStyle name="Примечание 3 15 3 2 3" xfId="0"/>
    <cellStyle name="Примечание 3 15 3 2 4" xfId="0"/>
    <cellStyle name="Примечание 3 15 3 3" xfId="0"/>
    <cellStyle name="Примечание 3 15 3 3 2" xfId="0"/>
    <cellStyle name="Примечание 3 15 3 3 3" xfId="0"/>
    <cellStyle name="Примечание 3 15 3 4" xfId="0"/>
    <cellStyle name="Примечание 3 15 3 5" xfId="0"/>
    <cellStyle name="Примечание 3 15 4" xfId="0"/>
    <cellStyle name="Примечание 3 15 4 2" xfId="0"/>
    <cellStyle name="Примечание 3 15 4 2 2" xfId="0"/>
    <cellStyle name="Примечание 3 15 4 2 2 2" xfId="0"/>
    <cellStyle name="Примечание 3 15 4 2 2 3" xfId="0"/>
    <cellStyle name="Примечание 3 15 4 2 3" xfId="0"/>
    <cellStyle name="Примечание 3 15 4 2 4" xfId="0"/>
    <cellStyle name="Примечание 3 15 4 3" xfId="0"/>
    <cellStyle name="Примечание 3 15 4 3 2" xfId="0"/>
    <cellStyle name="Примечание 3 15 4 3 3" xfId="0"/>
    <cellStyle name="Примечание 3 15 4 4" xfId="0"/>
    <cellStyle name="Примечание 3 15 4 5" xfId="0"/>
    <cellStyle name="Примечание 3 15 5" xfId="0"/>
    <cellStyle name="Примечание 3 15 5 2" xfId="0"/>
    <cellStyle name="Примечание 3 15 5 3" xfId="0"/>
    <cellStyle name="Примечание 3 15 6" xfId="0"/>
    <cellStyle name="Примечание 3 15 7" xfId="0"/>
    <cellStyle name="Примечание 3 16" xfId="0"/>
    <cellStyle name="Примечание 3 16 2" xfId="0"/>
    <cellStyle name="Примечание 3 16 2 2" xfId="0"/>
    <cellStyle name="Примечание 3 16 2 2 2" xfId="0"/>
    <cellStyle name="Примечание 3 16 2 2 2 2" xfId="0"/>
    <cellStyle name="Примечание 3 16 2 2 2 3" xfId="0"/>
    <cellStyle name="Примечание 3 16 2 2 3" xfId="0"/>
    <cellStyle name="Примечание 3 16 2 2 4" xfId="0"/>
    <cellStyle name="Примечание 3 16 2 3" xfId="0"/>
    <cellStyle name="Примечание 3 16 2 3 2" xfId="0"/>
    <cellStyle name="Примечание 3 16 2 3 2 2" xfId="0"/>
    <cellStyle name="Примечание 3 16 2 3 2 3" xfId="0"/>
    <cellStyle name="Примечание 3 16 2 3 3" xfId="0"/>
    <cellStyle name="Примечание 3 16 2 3 4" xfId="0"/>
    <cellStyle name="Примечание 3 16 2 4" xfId="0"/>
    <cellStyle name="Примечание 3 16 2 4 2" xfId="0"/>
    <cellStyle name="Примечание 3 16 2 4 3" xfId="0"/>
    <cellStyle name="Примечание 3 16 2 5" xfId="0"/>
    <cellStyle name="Примечание 3 16 2 6" xfId="0"/>
    <cellStyle name="Примечание 3 16 3" xfId="0"/>
    <cellStyle name="Примечание 3 16 3 2" xfId="0"/>
    <cellStyle name="Примечание 3 16 3 2 2" xfId="0"/>
    <cellStyle name="Примечание 3 16 3 2 2 2" xfId="0"/>
    <cellStyle name="Примечание 3 16 3 2 2 3" xfId="0"/>
    <cellStyle name="Примечание 3 16 3 2 3" xfId="0"/>
    <cellStyle name="Примечание 3 16 3 2 4" xfId="0"/>
    <cellStyle name="Примечание 3 16 3 3" xfId="0"/>
    <cellStyle name="Примечание 3 16 3 3 2" xfId="0"/>
    <cellStyle name="Примечание 3 16 3 3 3" xfId="0"/>
    <cellStyle name="Примечание 3 16 3 4" xfId="0"/>
    <cellStyle name="Примечание 3 16 3 5" xfId="0"/>
    <cellStyle name="Примечание 3 16 4" xfId="0"/>
    <cellStyle name="Примечание 3 16 4 2" xfId="0"/>
    <cellStyle name="Примечание 3 16 4 2 2" xfId="0"/>
    <cellStyle name="Примечание 3 16 4 2 2 2" xfId="0"/>
    <cellStyle name="Примечание 3 16 4 2 2 3" xfId="0"/>
    <cellStyle name="Примечание 3 16 4 2 3" xfId="0"/>
    <cellStyle name="Примечание 3 16 4 2 4" xfId="0"/>
    <cellStyle name="Примечание 3 16 4 3" xfId="0"/>
    <cellStyle name="Примечание 3 16 4 3 2" xfId="0"/>
    <cellStyle name="Примечание 3 16 4 3 3" xfId="0"/>
    <cellStyle name="Примечание 3 16 4 4" xfId="0"/>
    <cellStyle name="Примечание 3 16 4 5" xfId="0"/>
    <cellStyle name="Примечание 3 16 5" xfId="0"/>
    <cellStyle name="Примечание 3 16 5 2" xfId="0"/>
    <cellStyle name="Примечание 3 16 5 3" xfId="0"/>
    <cellStyle name="Примечание 3 16 6" xfId="0"/>
    <cellStyle name="Примечание 3 16 7" xfId="0"/>
    <cellStyle name="Примечание 3 17" xfId="0"/>
    <cellStyle name="Примечание 3 17 2" xfId="0"/>
    <cellStyle name="Примечание 3 17 2 2" xfId="0"/>
    <cellStyle name="Примечание 3 17 2 2 2" xfId="0"/>
    <cellStyle name="Примечание 3 17 2 2 2 2" xfId="0"/>
    <cellStyle name="Примечание 3 17 2 2 2 3" xfId="0"/>
    <cellStyle name="Примечание 3 17 2 2 3" xfId="0"/>
    <cellStyle name="Примечание 3 17 2 2 4" xfId="0"/>
    <cellStyle name="Примечание 3 17 2 3" xfId="0"/>
    <cellStyle name="Примечание 3 17 2 3 2" xfId="0"/>
    <cellStyle name="Примечание 3 17 2 3 2 2" xfId="0"/>
    <cellStyle name="Примечание 3 17 2 3 2 3" xfId="0"/>
    <cellStyle name="Примечание 3 17 2 3 3" xfId="0"/>
    <cellStyle name="Примечание 3 17 2 3 4" xfId="0"/>
    <cellStyle name="Примечание 3 17 2 4" xfId="0"/>
    <cellStyle name="Примечание 3 17 2 4 2" xfId="0"/>
    <cellStyle name="Примечание 3 17 2 4 3" xfId="0"/>
    <cellStyle name="Примечание 3 17 2 5" xfId="0"/>
    <cellStyle name="Примечание 3 17 2 6" xfId="0"/>
    <cellStyle name="Примечание 3 17 3" xfId="0"/>
    <cellStyle name="Примечание 3 17 3 2" xfId="0"/>
    <cellStyle name="Примечание 3 17 3 2 2" xfId="0"/>
    <cellStyle name="Примечание 3 17 3 2 2 2" xfId="0"/>
    <cellStyle name="Примечание 3 17 3 2 2 3" xfId="0"/>
    <cellStyle name="Примечание 3 17 3 2 3" xfId="0"/>
    <cellStyle name="Примечание 3 17 3 2 4" xfId="0"/>
    <cellStyle name="Примечание 3 17 3 3" xfId="0"/>
    <cellStyle name="Примечание 3 17 3 3 2" xfId="0"/>
    <cellStyle name="Примечание 3 17 3 3 3" xfId="0"/>
    <cellStyle name="Примечание 3 17 3 4" xfId="0"/>
    <cellStyle name="Примечание 3 17 3 5" xfId="0"/>
    <cellStyle name="Примечание 3 17 4" xfId="0"/>
    <cellStyle name="Примечание 3 17 4 2" xfId="0"/>
    <cellStyle name="Примечание 3 17 4 2 2" xfId="0"/>
    <cellStyle name="Примечание 3 17 4 2 2 2" xfId="0"/>
    <cellStyle name="Примечание 3 17 4 2 2 3" xfId="0"/>
    <cellStyle name="Примечание 3 17 4 2 3" xfId="0"/>
    <cellStyle name="Примечание 3 17 4 2 4" xfId="0"/>
    <cellStyle name="Примечание 3 17 4 3" xfId="0"/>
    <cellStyle name="Примечание 3 17 4 3 2" xfId="0"/>
    <cellStyle name="Примечание 3 17 4 3 3" xfId="0"/>
    <cellStyle name="Примечание 3 17 4 4" xfId="0"/>
    <cellStyle name="Примечание 3 17 4 5" xfId="0"/>
    <cellStyle name="Примечание 3 17 5" xfId="0"/>
    <cellStyle name="Примечание 3 17 5 2" xfId="0"/>
    <cellStyle name="Примечание 3 17 5 3" xfId="0"/>
    <cellStyle name="Примечание 3 17 6" xfId="0"/>
    <cellStyle name="Примечание 3 17 7" xfId="0"/>
    <cellStyle name="Примечание 3 18" xfId="0"/>
    <cellStyle name="Примечание 3 18 2" xfId="0"/>
    <cellStyle name="Примечание 3 18 2 2" xfId="0"/>
    <cellStyle name="Примечание 3 18 2 2 2" xfId="0"/>
    <cellStyle name="Примечание 3 18 2 2 2 2" xfId="0"/>
    <cellStyle name="Примечание 3 18 2 2 2 3" xfId="0"/>
    <cellStyle name="Примечание 3 18 2 2 3" xfId="0"/>
    <cellStyle name="Примечание 3 18 2 2 4" xfId="0"/>
    <cellStyle name="Примечание 3 18 2 3" xfId="0"/>
    <cellStyle name="Примечание 3 18 2 3 2" xfId="0"/>
    <cellStyle name="Примечание 3 18 2 3 2 2" xfId="0"/>
    <cellStyle name="Примечание 3 18 2 3 2 3" xfId="0"/>
    <cellStyle name="Примечание 3 18 2 3 3" xfId="0"/>
    <cellStyle name="Примечание 3 18 2 3 4" xfId="0"/>
    <cellStyle name="Примечание 3 18 2 4" xfId="0"/>
    <cellStyle name="Примечание 3 18 2 4 2" xfId="0"/>
    <cellStyle name="Примечание 3 18 2 4 3" xfId="0"/>
    <cellStyle name="Примечание 3 18 2 5" xfId="0"/>
    <cellStyle name="Примечание 3 18 2 6" xfId="0"/>
    <cellStyle name="Примечание 3 18 3" xfId="0"/>
    <cellStyle name="Примечание 3 18 3 2" xfId="0"/>
    <cellStyle name="Примечание 3 18 3 2 2" xfId="0"/>
    <cellStyle name="Примечание 3 18 3 2 2 2" xfId="0"/>
    <cellStyle name="Примечание 3 18 3 2 2 3" xfId="0"/>
    <cellStyle name="Примечание 3 18 3 2 3" xfId="0"/>
    <cellStyle name="Примечание 3 18 3 2 4" xfId="0"/>
    <cellStyle name="Примечание 3 18 3 3" xfId="0"/>
    <cellStyle name="Примечание 3 18 3 3 2" xfId="0"/>
    <cellStyle name="Примечание 3 18 3 3 3" xfId="0"/>
    <cellStyle name="Примечание 3 18 3 4" xfId="0"/>
    <cellStyle name="Примечание 3 18 3 5" xfId="0"/>
    <cellStyle name="Примечание 3 18 4" xfId="0"/>
    <cellStyle name="Примечание 3 18 4 2" xfId="0"/>
    <cellStyle name="Примечание 3 18 4 2 2" xfId="0"/>
    <cellStyle name="Примечание 3 18 4 2 2 2" xfId="0"/>
    <cellStyle name="Примечание 3 18 4 2 2 3" xfId="0"/>
    <cellStyle name="Примечание 3 18 4 2 3" xfId="0"/>
    <cellStyle name="Примечание 3 18 4 2 4" xfId="0"/>
    <cellStyle name="Примечание 3 18 4 3" xfId="0"/>
    <cellStyle name="Примечание 3 18 4 3 2" xfId="0"/>
    <cellStyle name="Примечание 3 18 4 3 3" xfId="0"/>
    <cellStyle name="Примечание 3 18 4 4" xfId="0"/>
    <cellStyle name="Примечание 3 18 4 5" xfId="0"/>
    <cellStyle name="Примечание 3 18 5" xfId="0"/>
    <cellStyle name="Примечание 3 18 5 2" xfId="0"/>
    <cellStyle name="Примечание 3 18 5 3" xfId="0"/>
    <cellStyle name="Примечание 3 18 6" xfId="0"/>
    <cellStyle name="Примечание 3 18 7" xfId="0"/>
    <cellStyle name="Примечание 3 19" xfId="0"/>
    <cellStyle name="Примечание 3 19 2" xfId="0"/>
    <cellStyle name="Примечание 3 19 2 2" xfId="0"/>
    <cellStyle name="Примечание 3 19 2 2 2" xfId="0"/>
    <cellStyle name="Примечание 3 19 2 2 2 2" xfId="0"/>
    <cellStyle name="Примечание 3 19 2 2 2 3" xfId="0"/>
    <cellStyle name="Примечание 3 19 2 2 3" xfId="0"/>
    <cellStyle name="Примечание 3 19 2 2 4" xfId="0"/>
    <cellStyle name="Примечание 3 19 2 3" xfId="0"/>
    <cellStyle name="Примечание 3 19 2 3 2" xfId="0"/>
    <cellStyle name="Примечание 3 19 2 3 2 2" xfId="0"/>
    <cellStyle name="Примечание 3 19 2 3 2 3" xfId="0"/>
    <cellStyle name="Примечание 3 19 2 3 3" xfId="0"/>
    <cellStyle name="Примечание 3 19 2 3 4" xfId="0"/>
    <cellStyle name="Примечание 3 19 2 4" xfId="0"/>
    <cellStyle name="Примечание 3 19 2 4 2" xfId="0"/>
    <cellStyle name="Примечание 3 19 2 4 3" xfId="0"/>
    <cellStyle name="Примечание 3 19 2 5" xfId="0"/>
    <cellStyle name="Примечание 3 19 2 6" xfId="0"/>
    <cellStyle name="Примечание 3 19 3" xfId="0"/>
    <cellStyle name="Примечание 3 19 3 2" xfId="0"/>
    <cellStyle name="Примечание 3 19 3 2 2" xfId="0"/>
    <cellStyle name="Примечание 3 19 3 2 2 2" xfId="0"/>
    <cellStyle name="Примечание 3 19 3 2 2 3" xfId="0"/>
    <cellStyle name="Примечание 3 19 3 2 3" xfId="0"/>
    <cellStyle name="Примечание 3 19 3 2 4" xfId="0"/>
    <cellStyle name="Примечание 3 19 3 3" xfId="0"/>
    <cellStyle name="Примечание 3 19 3 3 2" xfId="0"/>
    <cellStyle name="Примечание 3 19 3 3 3" xfId="0"/>
    <cellStyle name="Примечание 3 19 3 4" xfId="0"/>
    <cellStyle name="Примечание 3 19 3 5" xfId="0"/>
    <cellStyle name="Примечание 3 19 4" xfId="0"/>
    <cellStyle name="Примечание 3 19 4 2" xfId="0"/>
    <cellStyle name="Примечание 3 19 4 2 2" xfId="0"/>
    <cellStyle name="Примечание 3 19 4 2 2 2" xfId="0"/>
    <cellStyle name="Примечание 3 19 4 2 2 3" xfId="0"/>
    <cellStyle name="Примечание 3 19 4 2 3" xfId="0"/>
    <cellStyle name="Примечание 3 19 4 2 4" xfId="0"/>
    <cellStyle name="Примечание 3 19 4 3" xfId="0"/>
    <cellStyle name="Примечание 3 19 4 3 2" xfId="0"/>
    <cellStyle name="Примечание 3 19 4 3 3" xfId="0"/>
    <cellStyle name="Примечание 3 19 4 4" xfId="0"/>
    <cellStyle name="Примечание 3 19 4 5" xfId="0"/>
    <cellStyle name="Примечание 3 19 5" xfId="0"/>
    <cellStyle name="Примечание 3 19 5 2" xfId="0"/>
    <cellStyle name="Примечание 3 19 5 3" xfId="0"/>
    <cellStyle name="Примечание 3 19 6" xfId="0"/>
    <cellStyle name="Примечание 3 19 7" xfId="0"/>
    <cellStyle name="Примечание 3 2" xfId="0"/>
    <cellStyle name="Примечание 3 2 10" xfId="0"/>
    <cellStyle name="Примечание 3 2 11" xfId="0"/>
    <cellStyle name="Примечание 3 2 2" xfId="0"/>
    <cellStyle name="Примечание 3 2 2 2" xfId="0"/>
    <cellStyle name="Примечание 3 2 2 2 2" xfId="0"/>
    <cellStyle name="Примечание 3 2 2 2 2 2" xfId="0"/>
    <cellStyle name="Примечание 3 2 2 2 2 2 2" xfId="0"/>
    <cellStyle name="Примечание 3 2 2 2 2 2 3" xfId="0"/>
    <cellStyle name="Примечание 3 2 2 2 2 3" xfId="0"/>
    <cellStyle name="Примечание 3 2 2 2 2 4" xfId="0"/>
    <cellStyle name="Примечание 3 2 2 2 3" xfId="0"/>
    <cellStyle name="Примечание 3 2 2 2 3 2" xfId="0"/>
    <cellStyle name="Примечание 3 2 2 2 3 3" xfId="0"/>
    <cellStyle name="Примечание 3 2 2 2 4" xfId="0"/>
    <cellStyle name="Примечание 3 2 2 2 5" xfId="0"/>
    <cellStyle name="Примечание 3 2 2 3" xfId="0"/>
    <cellStyle name="Примечание 3 2 2 3 2" xfId="0"/>
    <cellStyle name="Примечание 3 2 2 3 2 2" xfId="0"/>
    <cellStyle name="Примечание 3 2 2 3 2 3" xfId="0"/>
    <cellStyle name="Примечание 3 2 2 3 3" xfId="0"/>
    <cellStyle name="Примечание 3 2 2 3 4" xfId="0"/>
    <cellStyle name="Примечание 3 2 2 4" xfId="0"/>
    <cellStyle name="Примечание 3 2 2 4 2" xfId="0"/>
    <cellStyle name="Примечание 3 2 2 4 3" xfId="0"/>
    <cellStyle name="Примечание 3 2 2 5" xfId="0"/>
    <cellStyle name="Примечание 3 2 2 6" xfId="0"/>
    <cellStyle name="Примечание 3 2 3" xfId="0"/>
    <cellStyle name="Примечание 3 2 3 2" xfId="0"/>
    <cellStyle name="Примечание 3 2 3 2 2" xfId="0"/>
    <cellStyle name="Примечание 3 2 3 2 2 2" xfId="0"/>
    <cellStyle name="Примечание 3 2 3 2 2 2 2" xfId="0"/>
    <cellStyle name="Примечание 3 2 3 2 2 2 3" xfId="0"/>
    <cellStyle name="Примечание 3 2 3 2 2 3" xfId="0"/>
    <cellStyle name="Примечание 3 2 3 2 2 4" xfId="0"/>
    <cellStyle name="Примечание 3 2 3 2 3" xfId="0"/>
    <cellStyle name="Примечание 3 2 3 2 3 2" xfId="0"/>
    <cellStyle name="Примечание 3 2 3 2 3 3" xfId="0"/>
    <cellStyle name="Примечание 3 2 3 2 4" xfId="0"/>
    <cellStyle name="Примечание 3 2 3 2 5" xfId="0"/>
    <cellStyle name="Примечание 3 2 3 3" xfId="0"/>
    <cellStyle name="Примечание 3 2 3 3 2" xfId="0"/>
    <cellStyle name="Примечание 3 2 3 3 2 2" xfId="0"/>
    <cellStyle name="Примечание 3 2 3 3 2 3" xfId="0"/>
    <cellStyle name="Примечание 3 2 3 3 3" xfId="0"/>
    <cellStyle name="Примечание 3 2 3 3 4" xfId="0"/>
    <cellStyle name="Примечание 3 2 3 4" xfId="0"/>
    <cellStyle name="Примечание 3 2 3 4 2" xfId="0"/>
    <cellStyle name="Примечание 3 2 3 4 3" xfId="0"/>
    <cellStyle name="Примечание 3 2 3 5" xfId="0"/>
    <cellStyle name="Примечание 3 2 3 6" xfId="0"/>
    <cellStyle name="Примечание 3 2 4" xfId="0"/>
    <cellStyle name="Примечание 3 2 4 2" xfId="0"/>
    <cellStyle name="Примечание 3 2 4 2 2" xfId="0"/>
    <cellStyle name="Примечание 3 2 4 2 2 2" xfId="0"/>
    <cellStyle name="Примечание 3 2 4 2 2 2 2" xfId="0"/>
    <cellStyle name="Примечание 3 2 4 2 2 2 3" xfId="0"/>
    <cellStyle name="Примечание 3 2 4 2 2 3" xfId="0"/>
    <cellStyle name="Примечание 3 2 4 2 2 4" xfId="0"/>
    <cellStyle name="Примечание 3 2 4 2 3" xfId="0"/>
    <cellStyle name="Примечание 3 2 4 2 3 2" xfId="0"/>
    <cellStyle name="Примечание 3 2 4 2 3 3" xfId="0"/>
    <cellStyle name="Примечание 3 2 4 2 4" xfId="0"/>
    <cellStyle name="Примечание 3 2 4 2 5" xfId="0"/>
    <cellStyle name="Примечание 3 2 4 3" xfId="0"/>
    <cellStyle name="Примечание 3 2 4 3 2" xfId="0"/>
    <cellStyle name="Примечание 3 2 4 3 2 2" xfId="0"/>
    <cellStyle name="Примечание 3 2 4 3 2 3" xfId="0"/>
    <cellStyle name="Примечание 3 2 4 3 3" xfId="0"/>
    <cellStyle name="Примечание 3 2 4 3 4" xfId="0"/>
    <cellStyle name="Примечание 3 2 4 4" xfId="0"/>
    <cellStyle name="Примечание 3 2 4 4 2" xfId="0"/>
    <cellStyle name="Примечание 3 2 4 4 3" xfId="0"/>
    <cellStyle name="Примечание 3 2 4 5" xfId="0"/>
    <cellStyle name="Примечание 3 2 4 6" xfId="0"/>
    <cellStyle name="Примечание 3 2 5" xfId="0"/>
    <cellStyle name="Примечание 3 2 5 2" xfId="0"/>
    <cellStyle name="Примечание 3 2 5 2 2" xfId="0"/>
    <cellStyle name="Примечание 3 2 5 2 2 2" xfId="0"/>
    <cellStyle name="Примечание 3 2 5 2 2 2 2" xfId="0"/>
    <cellStyle name="Примечание 3 2 5 2 2 2 3" xfId="0"/>
    <cellStyle name="Примечание 3 2 5 2 2 3" xfId="0"/>
    <cellStyle name="Примечание 3 2 5 2 2 4" xfId="0"/>
    <cellStyle name="Примечание 3 2 5 2 3" xfId="0"/>
    <cellStyle name="Примечание 3 2 5 2 3 2" xfId="0"/>
    <cellStyle name="Примечание 3 2 5 2 3 3" xfId="0"/>
    <cellStyle name="Примечание 3 2 5 2 4" xfId="0"/>
    <cellStyle name="Примечание 3 2 5 2 5" xfId="0"/>
    <cellStyle name="Примечание 3 2 5 3" xfId="0"/>
    <cellStyle name="Примечание 3 2 5 3 2" xfId="0"/>
    <cellStyle name="Примечание 3 2 5 3 2 2" xfId="0"/>
    <cellStyle name="Примечание 3 2 5 3 2 3" xfId="0"/>
    <cellStyle name="Примечание 3 2 5 3 3" xfId="0"/>
    <cellStyle name="Примечание 3 2 5 3 4" xfId="0"/>
    <cellStyle name="Примечание 3 2 5 4" xfId="0"/>
    <cellStyle name="Примечание 3 2 5 4 2" xfId="0"/>
    <cellStyle name="Примечание 3 2 5 4 3" xfId="0"/>
    <cellStyle name="Примечание 3 2 5 5" xfId="0"/>
    <cellStyle name="Примечание 3 2 5 6" xfId="0"/>
    <cellStyle name="Примечание 3 2 6" xfId="0"/>
    <cellStyle name="Примечание 3 2 6 2" xfId="0"/>
    <cellStyle name="Примечание 3 2 6 2 2" xfId="0"/>
    <cellStyle name="Примечание 3 2 6 2 2 2" xfId="0"/>
    <cellStyle name="Примечание 3 2 6 2 2 3" xfId="0"/>
    <cellStyle name="Примечание 3 2 6 2 3" xfId="0"/>
    <cellStyle name="Примечание 3 2 6 2 4" xfId="0"/>
    <cellStyle name="Примечание 3 2 6 3" xfId="0"/>
    <cellStyle name="Примечание 3 2 6 3 2" xfId="0"/>
    <cellStyle name="Примечание 3 2 6 3 3" xfId="0"/>
    <cellStyle name="Примечание 3 2 6 4" xfId="0"/>
    <cellStyle name="Примечание 3 2 6 5" xfId="0"/>
    <cellStyle name="Примечание 3 2 7" xfId="0"/>
    <cellStyle name="Примечание 3 2 7 2" xfId="0"/>
    <cellStyle name="Примечание 3 2 7 2 2" xfId="0"/>
    <cellStyle name="Примечание 3 2 7 2 2 2" xfId="0"/>
    <cellStyle name="Примечание 3 2 7 2 2 3" xfId="0"/>
    <cellStyle name="Примечание 3 2 7 2 3" xfId="0"/>
    <cellStyle name="Примечание 3 2 7 2 4" xfId="0"/>
    <cellStyle name="Примечание 3 2 7 3" xfId="0"/>
    <cellStyle name="Примечание 3 2 7 3 2" xfId="0"/>
    <cellStyle name="Примечание 3 2 7 3 3" xfId="0"/>
    <cellStyle name="Примечание 3 2 7 4" xfId="0"/>
    <cellStyle name="Примечание 3 2 7 5" xfId="0"/>
    <cellStyle name="Примечание 3 2 8" xfId="0"/>
    <cellStyle name="Примечание 3 2 8 2" xfId="0"/>
    <cellStyle name="Примечание 3 2 8 3" xfId="0"/>
    <cellStyle name="Примечание 3 2 9" xfId="0"/>
    <cellStyle name="Примечание 3 2 9 2" xfId="0"/>
    <cellStyle name="Примечание 3 2 9 3" xfId="0"/>
    <cellStyle name="Примечание 3 20" xfId="0"/>
    <cellStyle name="Примечание 3 20 2" xfId="0"/>
    <cellStyle name="Примечание 3 20 2 2" xfId="0"/>
    <cellStyle name="Примечание 3 20 2 2 2" xfId="0"/>
    <cellStyle name="Примечание 3 20 2 2 2 2" xfId="0"/>
    <cellStyle name="Примечание 3 20 2 2 2 3" xfId="0"/>
    <cellStyle name="Примечание 3 20 2 2 3" xfId="0"/>
    <cellStyle name="Примечание 3 20 2 2 4" xfId="0"/>
    <cellStyle name="Примечание 3 20 2 3" xfId="0"/>
    <cellStyle name="Примечание 3 20 2 3 2" xfId="0"/>
    <cellStyle name="Примечание 3 20 2 3 3" xfId="0"/>
    <cellStyle name="Примечание 3 20 2 4" xfId="0"/>
    <cellStyle name="Примечание 3 20 2 5" xfId="0"/>
    <cellStyle name="Примечание 3 20 3" xfId="0"/>
    <cellStyle name="Примечание 3 20 3 2" xfId="0"/>
    <cellStyle name="Примечание 3 20 3 2 2" xfId="0"/>
    <cellStyle name="Примечание 3 20 3 2 3" xfId="0"/>
    <cellStyle name="Примечание 3 20 3 3" xfId="0"/>
    <cellStyle name="Примечание 3 20 3 4" xfId="0"/>
    <cellStyle name="Примечание 3 20 4" xfId="0"/>
    <cellStyle name="Примечание 3 20 4 2" xfId="0"/>
    <cellStyle name="Примечание 3 20 4 3" xfId="0"/>
    <cellStyle name="Примечание 3 20 5" xfId="0"/>
    <cellStyle name="Примечание 3 20 6" xfId="0"/>
    <cellStyle name="Примечание 3 21" xfId="0"/>
    <cellStyle name="Примечание 3 21 2" xfId="0"/>
    <cellStyle name="Примечание 3 21 2 2" xfId="0"/>
    <cellStyle name="Примечание 3 21 2 2 2" xfId="0"/>
    <cellStyle name="Примечание 3 21 2 2 3" xfId="0"/>
    <cellStyle name="Примечание 3 21 2 3" xfId="0"/>
    <cellStyle name="Примечание 3 21 2 4" xfId="0"/>
    <cellStyle name="Примечание 3 21 3" xfId="0"/>
    <cellStyle name="Примечание 3 21 3 2" xfId="0"/>
    <cellStyle name="Примечание 3 21 3 2 2" xfId="0"/>
    <cellStyle name="Примечание 3 21 3 2 3" xfId="0"/>
    <cellStyle name="Примечание 3 21 3 3" xfId="0"/>
    <cellStyle name="Примечание 3 21 3 4" xfId="0"/>
    <cellStyle name="Примечание 3 21 4" xfId="0"/>
    <cellStyle name="Примечание 3 21 4 2" xfId="0"/>
    <cellStyle name="Примечание 3 21 4 3" xfId="0"/>
    <cellStyle name="Примечание 3 21 5" xfId="0"/>
    <cellStyle name="Примечание 3 21 6" xfId="0"/>
    <cellStyle name="Примечание 3 22" xfId="0"/>
    <cellStyle name="Примечание 3 22 2" xfId="0"/>
    <cellStyle name="Примечание 3 22 2 2" xfId="0"/>
    <cellStyle name="Примечание 3 22 2 2 2" xfId="0"/>
    <cellStyle name="Примечание 3 22 2 2 3" xfId="0"/>
    <cellStyle name="Примечание 3 22 2 3" xfId="0"/>
    <cellStyle name="Примечание 3 22 2 4" xfId="0"/>
    <cellStyle name="Примечание 3 22 3" xfId="0"/>
    <cellStyle name="Примечание 3 22 3 2" xfId="0"/>
    <cellStyle name="Примечание 3 22 3 2 2" xfId="0"/>
    <cellStyle name="Примечание 3 22 3 2 3" xfId="0"/>
    <cellStyle name="Примечание 3 22 3 3" xfId="0"/>
    <cellStyle name="Примечание 3 22 3 4" xfId="0"/>
    <cellStyle name="Примечание 3 22 4" xfId="0"/>
    <cellStyle name="Примечание 3 22 4 2" xfId="0"/>
    <cellStyle name="Примечание 3 22 4 3" xfId="0"/>
    <cellStyle name="Примечание 3 22 5" xfId="0"/>
    <cellStyle name="Примечание 3 22 6" xfId="0"/>
    <cellStyle name="Примечание 3 23" xfId="0"/>
    <cellStyle name="Примечание 3 23 2" xfId="0"/>
    <cellStyle name="Примечание 3 23 2 2" xfId="0"/>
    <cellStyle name="Примечание 3 23 2 2 2" xfId="0"/>
    <cellStyle name="Примечание 3 23 2 2 3" xfId="0"/>
    <cellStyle name="Примечание 3 23 2 3" xfId="0"/>
    <cellStyle name="Примечание 3 23 2 4" xfId="0"/>
    <cellStyle name="Примечание 3 23 3" xfId="0"/>
    <cellStyle name="Примечание 3 23 3 2" xfId="0"/>
    <cellStyle name="Примечание 3 23 3 2 2" xfId="0"/>
    <cellStyle name="Примечание 3 23 3 2 3" xfId="0"/>
    <cellStyle name="Примечание 3 23 3 3" xfId="0"/>
    <cellStyle name="Примечание 3 23 3 4" xfId="0"/>
    <cellStyle name="Примечание 3 23 4" xfId="0"/>
    <cellStyle name="Примечание 3 23 4 2" xfId="0"/>
    <cellStyle name="Примечание 3 23 4 3" xfId="0"/>
    <cellStyle name="Примечание 3 23 5" xfId="0"/>
    <cellStyle name="Примечание 3 23 6" xfId="0"/>
    <cellStyle name="Примечание 3 24" xfId="0"/>
    <cellStyle name="Примечание 3 24 2" xfId="0"/>
    <cellStyle name="Примечание 3 24 2 2" xfId="0"/>
    <cellStyle name="Примечание 3 24 2 2 2" xfId="0"/>
    <cellStyle name="Примечание 3 24 2 2 3" xfId="0"/>
    <cellStyle name="Примечание 3 24 2 3" xfId="0"/>
    <cellStyle name="Примечание 3 24 2 4" xfId="0"/>
    <cellStyle name="Примечание 3 24 3" xfId="0"/>
    <cellStyle name="Примечание 3 24 3 2" xfId="0"/>
    <cellStyle name="Примечание 3 24 3 2 2" xfId="0"/>
    <cellStyle name="Примечание 3 24 3 2 3" xfId="0"/>
    <cellStyle name="Примечание 3 24 3 3" xfId="0"/>
    <cellStyle name="Примечание 3 24 3 4" xfId="0"/>
    <cellStyle name="Примечание 3 24 4" xfId="0"/>
    <cellStyle name="Примечание 3 24 4 2" xfId="0"/>
    <cellStyle name="Примечание 3 24 4 3" xfId="0"/>
    <cellStyle name="Примечание 3 24 5" xfId="0"/>
    <cellStyle name="Примечание 3 24 6" xfId="0"/>
    <cellStyle name="Примечание 3 25" xfId="0"/>
    <cellStyle name="Примечание 3 25 2" xfId="0"/>
    <cellStyle name="Примечание 3 25 2 2" xfId="0"/>
    <cellStyle name="Примечание 3 25 2 2 2" xfId="0"/>
    <cellStyle name="Примечание 3 25 2 2 3" xfId="0"/>
    <cellStyle name="Примечание 3 25 2 3" xfId="0"/>
    <cellStyle name="Примечание 3 25 2 4" xfId="0"/>
    <cellStyle name="Примечание 3 25 3" xfId="0"/>
    <cellStyle name="Примечание 3 25 3 2" xfId="0"/>
    <cellStyle name="Примечание 3 25 3 3" xfId="0"/>
    <cellStyle name="Примечание 3 25 4" xfId="0"/>
    <cellStyle name="Примечание 3 25 5" xfId="0"/>
    <cellStyle name="Примечание 3 26" xfId="0"/>
    <cellStyle name="Примечание 3 26 2" xfId="0"/>
    <cellStyle name="Примечание 3 26 2 2" xfId="0"/>
    <cellStyle name="Примечание 3 26 2 2 2" xfId="0"/>
    <cellStyle name="Примечание 3 26 2 2 3" xfId="0"/>
    <cellStyle name="Примечание 3 26 2 3" xfId="0"/>
    <cellStyle name="Примечание 3 26 2 4" xfId="0"/>
    <cellStyle name="Примечание 3 26 3" xfId="0"/>
    <cellStyle name="Примечание 3 26 3 2" xfId="0"/>
    <cellStyle name="Примечание 3 26 3 3" xfId="0"/>
    <cellStyle name="Примечание 3 26 4" xfId="0"/>
    <cellStyle name="Примечание 3 26 5" xfId="0"/>
    <cellStyle name="Примечание 3 27" xfId="0"/>
    <cellStyle name="Примечание 3 27 2" xfId="0"/>
    <cellStyle name="Примечание 3 27 2 2" xfId="0"/>
    <cellStyle name="Примечание 3 27 2 2 2" xfId="0"/>
    <cellStyle name="Примечание 3 27 2 2 3" xfId="0"/>
    <cellStyle name="Примечание 3 27 2 3" xfId="0"/>
    <cellStyle name="Примечание 3 27 2 4" xfId="0"/>
    <cellStyle name="Примечание 3 27 3" xfId="0"/>
    <cellStyle name="Примечание 3 27 3 2" xfId="0"/>
    <cellStyle name="Примечание 3 27 3 3" xfId="0"/>
    <cellStyle name="Примечание 3 27 4" xfId="0"/>
    <cellStyle name="Примечание 3 27 5" xfId="0"/>
    <cellStyle name="Примечание 3 28" xfId="0"/>
    <cellStyle name="Примечание 3 28 2" xfId="0"/>
    <cellStyle name="Примечание 3 28 2 2" xfId="0"/>
    <cellStyle name="Примечание 3 28 2 3" xfId="0"/>
    <cellStyle name="Примечание 3 28 3" xfId="0"/>
    <cellStyle name="Примечание 3 28 4" xfId="0"/>
    <cellStyle name="Примечание 3 29" xfId="0"/>
    <cellStyle name="Примечание 3 29 2" xfId="0"/>
    <cellStyle name="Примечание 3 29 3" xfId="0"/>
    <cellStyle name="Примечание 3 3" xfId="0"/>
    <cellStyle name="Примечание 3 3 10" xfId="0"/>
    <cellStyle name="Примечание 3 3 2" xfId="0"/>
    <cellStyle name="Примечание 3 3 2 2" xfId="0"/>
    <cellStyle name="Примечание 3 3 2 2 2" xfId="0"/>
    <cellStyle name="Примечание 3 3 2 2 2 2" xfId="0"/>
    <cellStyle name="Примечание 3 3 2 2 2 3" xfId="0"/>
    <cellStyle name="Примечание 3 3 2 2 3" xfId="0"/>
    <cellStyle name="Примечание 3 3 2 2 4" xfId="0"/>
    <cellStyle name="Примечание 3 3 2 3" xfId="0"/>
    <cellStyle name="Примечание 3 3 2 3 2" xfId="0"/>
    <cellStyle name="Примечание 3 3 2 3 2 2" xfId="0"/>
    <cellStyle name="Примечание 3 3 2 3 2 3" xfId="0"/>
    <cellStyle name="Примечание 3 3 2 3 3" xfId="0"/>
    <cellStyle name="Примечание 3 3 2 3 4" xfId="0"/>
    <cellStyle name="Примечание 3 3 2 4" xfId="0"/>
    <cellStyle name="Примечание 3 3 2 4 2" xfId="0"/>
    <cellStyle name="Примечание 3 3 2 4 3" xfId="0"/>
    <cellStyle name="Примечание 3 3 2 5" xfId="0"/>
    <cellStyle name="Примечание 3 3 2 6" xfId="0"/>
    <cellStyle name="Примечание 3 3 3" xfId="0"/>
    <cellStyle name="Примечание 3 3 3 2" xfId="0"/>
    <cellStyle name="Примечание 3 3 3 2 2" xfId="0"/>
    <cellStyle name="Примечание 3 3 3 2 2 2" xfId="0"/>
    <cellStyle name="Примечание 3 3 3 2 2 3" xfId="0"/>
    <cellStyle name="Примечание 3 3 3 2 3" xfId="0"/>
    <cellStyle name="Примечание 3 3 3 2 4" xfId="0"/>
    <cellStyle name="Примечание 3 3 3 3" xfId="0"/>
    <cellStyle name="Примечание 3 3 3 3 2" xfId="0"/>
    <cellStyle name="Примечание 3 3 3 3 2 2" xfId="0"/>
    <cellStyle name="Примечание 3 3 3 3 2 3" xfId="0"/>
    <cellStyle name="Примечание 3 3 3 3 3" xfId="0"/>
    <cellStyle name="Примечание 3 3 3 3 4" xfId="0"/>
    <cellStyle name="Примечание 3 3 3 4" xfId="0"/>
    <cellStyle name="Примечание 3 3 3 4 2" xfId="0"/>
    <cellStyle name="Примечание 3 3 3 4 3" xfId="0"/>
    <cellStyle name="Примечание 3 3 3 5" xfId="0"/>
    <cellStyle name="Примечание 3 3 3 6" xfId="0"/>
    <cellStyle name="Примечание 3 3 4" xfId="0"/>
    <cellStyle name="Примечание 3 3 4 2" xfId="0"/>
    <cellStyle name="Примечание 3 3 4 2 2" xfId="0"/>
    <cellStyle name="Примечание 3 3 4 2 2 2" xfId="0"/>
    <cellStyle name="Примечание 3 3 4 2 2 3" xfId="0"/>
    <cellStyle name="Примечание 3 3 4 2 3" xfId="0"/>
    <cellStyle name="Примечание 3 3 4 2 4" xfId="0"/>
    <cellStyle name="Примечание 3 3 4 3" xfId="0"/>
    <cellStyle name="Примечание 3 3 4 3 2" xfId="0"/>
    <cellStyle name="Примечание 3 3 4 3 2 2" xfId="0"/>
    <cellStyle name="Примечание 3 3 4 3 2 3" xfId="0"/>
    <cellStyle name="Примечание 3 3 4 3 3" xfId="0"/>
    <cellStyle name="Примечание 3 3 4 3 4" xfId="0"/>
    <cellStyle name="Примечание 3 3 4 4" xfId="0"/>
    <cellStyle name="Примечание 3 3 4 4 2" xfId="0"/>
    <cellStyle name="Примечание 3 3 4 4 3" xfId="0"/>
    <cellStyle name="Примечание 3 3 4 5" xfId="0"/>
    <cellStyle name="Примечание 3 3 4 6" xfId="0"/>
    <cellStyle name="Примечание 3 3 5" xfId="0"/>
    <cellStyle name="Примечание 3 3 5 2" xfId="0"/>
    <cellStyle name="Примечание 3 3 5 2 2" xfId="0"/>
    <cellStyle name="Примечание 3 3 5 2 2 2" xfId="0"/>
    <cellStyle name="Примечание 3 3 5 2 2 3" xfId="0"/>
    <cellStyle name="Примечание 3 3 5 2 3" xfId="0"/>
    <cellStyle name="Примечание 3 3 5 2 4" xfId="0"/>
    <cellStyle name="Примечание 3 3 5 3" xfId="0"/>
    <cellStyle name="Примечание 3 3 5 3 2" xfId="0"/>
    <cellStyle name="Примечание 3 3 5 3 2 2" xfId="0"/>
    <cellStyle name="Примечание 3 3 5 3 2 3" xfId="0"/>
    <cellStyle name="Примечание 3 3 5 3 3" xfId="0"/>
    <cellStyle name="Примечание 3 3 5 3 4" xfId="0"/>
    <cellStyle name="Примечание 3 3 5 4" xfId="0"/>
    <cellStyle name="Примечание 3 3 5 4 2" xfId="0"/>
    <cellStyle name="Примечание 3 3 5 4 3" xfId="0"/>
    <cellStyle name="Примечание 3 3 5 5" xfId="0"/>
    <cellStyle name="Примечание 3 3 5 6" xfId="0"/>
    <cellStyle name="Примечание 3 3 6" xfId="0"/>
    <cellStyle name="Примечание 3 3 6 2" xfId="0"/>
    <cellStyle name="Примечание 3 3 6 2 2" xfId="0"/>
    <cellStyle name="Примечание 3 3 6 2 2 2" xfId="0"/>
    <cellStyle name="Примечание 3 3 6 2 2 3" xfId="0"/>
    <cellStyle name="Примечание 3 3 6 2 3" xfId="0"/>
    <cellStyle name="Примечание 3 3 6 2 4" xfId="0"/>
    <cellStyle name="Примечание 3 3 6 3" xfId="0"/>
    <cellStyle name="Примечание 3 3 6 3 2" xfId="0"/>
    <cellStyle name="Примечание 3 3 6 3 3" xfId="0"/>
    <cellStyle name="Примечание 3 3 6 4" xfId="0"/>
    <cellStyle name="Примечание 3 3 6 5" xfId="0"/>
    <cellStyle name="Примечание 3 3 7" xfId="0"/>
    <cellStyle name="Примечание 3 3 7 2" xfId="0"/>
    <cellStyle name="Примечание 3 3 7 2 2" xfId="0"/>
    <cellStyle name="Примечание 3 3 7 2 2 2" xfId="0"/>
    <cellStyle name="Примечание 3 3 7 2 2 3" xfId="0"/>
    <cellStyle name="Примечание 3 3 7 2 3" xfId="0"/>
    <cellStyle name="Примечание 3 3 7 2 4" xfId="0"/>
    <cellStyle name="Примечание 3 3 7 3" xfId="0"/>
    <cellStyle name="Примечание 3 3 7 3 2" xfId="0"/>
    <cellStyle name="Примечание 3 3 7 3 3" xfId="0"/>
    <cellStyle name="Примечание 3 3 7 4" xfId="0"/>
    <cellStyle name="Примечание 3 3 7 5" xfId="0"/>
    <cellStyle name="Примечание 3 3 8" xfId="0"/>
    <cellStyle name="Примечание 3 3 8 2" xfId="0"/>
    <cellStyle name="Примечание 3 3 8 3" xfId="0"/>
    <cellStyle name="Примечание 3 3 9" xfId="0"/>
    <cellStyle name="Примечание 3 30" xfId="0"/>
    <cellStyle name="Примечание 3 30 2" xfId="0"/>
    <cellStyle name="Примечание 3 30 3" xfId="0"/>
    <cellStyle name="Примечание 3 31" xfId="0"/>
    <cellStyle name="Примечание 3 31 2" xfId="0"/>
    <cellStyle name="Примечание 3 31 3" xfId="0"/>
    <cellStyle name="Примечание 3 32" xfId="0"/>
    <cellStyle name="Примечание 3 32 2" xfId="0"/>
    <cellStyle name="Примечание 3 32 3" xfId="0"/>
    <cellStyle name="Примечание 3 33" xfId="0"/>
    <cellStyle name="Примечание 3 4" xfId="0"/>
    <cellStyle name="Примечание 3 4 10" xfId="0"/>
    <cellStyle name="Примечание 3 4 2" xfId="0"/>
    <cellStyle name="Примечание 3 4 2 2" xfId="0"/>
    <cellStyle name="Примечание 3 4 2 2 2" xfId="0"/>
    <cellStyle name="Примечание 3 4 2 2 2 2" xfId="0"/>
    <cellStyle name="Примечание 3 4 2 2 2 3" xfId="0"/>
    <cellStyle name="Примечание 3 4 2 2 3" xfId="0"/>
    <cellStyle name="Примечание 3 4 2 2 4" xfId="0"/>
    <cellStyle name="Примечание 3 4 2 3" xfId="0"/>
    <cellStyle name="Примечание 3 4 2 3 2" xfId="0"/>
    <cellStyle name="Примечание 3 4 2 3 2 2" xfId="0"/>
    <cellStyle name="Примечание 3 4 2 3 2 3" xfId="0"/>
    <cellStyle name="Примечание 3 4 2 3 3" xfId="0"/>
    <cellStyle name="Примечание 3 4 2 3 4" xfId="0"/>
    <cellStyle name="Примечание 3 4 2 4" xfId="0"/>
    <cellStyle name="Примечание 3 4 2 4 2" xfId="0"/>
    <cellStyle name="Примечание 3 4 2 4 3" xfId="0"/>
    <cellStyle name="Примечание 3 4 2 5" xfId="0"/>
    <cellStyle name="Примечание 3 4 2 6" xfId="0"/>
    <cellStyle name="Примечание 3 4 3" xfId="0"/>
    <cellStyle name="Примечание 3 4 3 2" xfId="0"/>
    <cellStyle name="Примечание 3 4 3 2 2" xfId="0"/>
    <cellStyle name="Примечание 3 4 3 2 2 2" xfId="0"/>
    <cellStyle name="Примечание 3 4 3 2 2 3" xfId="0"/>
    <cellStyle name="Примечание 3 4 3 2 3" xfId="0"/>
    <cellStyle name="Примечание 3 4 3 2 4" xfId="0"/>
    <cellStyle name="Примечание 3 4 3 3" xfId="0"/>
    <cellStyle name="Примечание 3 4 3 3 2" xfId="0"/>
    <cellStyle name="Примечание 3 4 3 3 2 2" xfId="0"/>
    <cellStyle name="Примечание 3 4 3 3 2 3" xfId="0"/>
    <cellStyle name="Примечание 3 4 3 3 3" xfId="0"/>
    <cellStyle name="Примечание 3 4 3 3 4" xfId="0"/>
    <cellStyle name="Примечание 3 4 3 4" xfId="0"/>
    <cellStyle name="Примечание 3 4 3 4 2" xfId="0"/>
    <cellStyle name="Примечание 3 4 3 4 3" xfId="0"/>
    <cellStyle name="Примечание 3 4 3 5" xfId="0"/>
    <cellStyle name="Примечание 3 4 3 6" xfId="0"/>
    <cellStyle name="Примечание 3 4 4" xfId="0"/>
    <cellStyle name="Примечание 3 4 4 2" xfId="0"/>
    <cellStyle name="Примечание 3 4 4 2 2" xfId="0"/>
    <cellStyle name="Примечание 3 4 4 2 2 2" xfId="0"/>
    <cellStyle name="Примечание 3 4 4 2 2 3" xfId="0"/>
    <cellStyle name="Примечание 3 4 4 2 3" xfId="0"/>
    <cellStyle name="Примечание 3 4 4 2 4" xfId="0"/>
    <cellStyle name="Примечание 3 4 4 3" xfId="0"/>
    <cellStyle name="Примечание 3 4 4 3 2" xfId="0"/>
    <cellStyle name="Примечание 3 4 4 3 2 2" xfId="0"/>
    <cellStyle name="Примечание 3 4 4 3 2 3" xfId="0"/>
    <cellStyle name="Примечание 3 4 4 3 3" xfId="0"/>
    <cellStyle name="Примечание 3 4 4 3 4" xfId="0"/>
    <cellStyle name="Примечание 3 4 4 4" xfId="0"/>
    <cellStyle name="Примечание 3 4 4 4 2" xfId="0"/>
    <cellStyle name="Примечание 3 4 4 4 3" xfId="0"/>
    <cellStyle name="Примечание 3 4 4 5" xfId="0"/>
    <cellStyle name="Примечание 3 4 4 6" xfId="0"/>
    <cellStyle name="Примечание 3 4 5" xfId="0"/>
    <cellStyle name="Примечание 3 4 5 2" xfId="0"/>
    <cellStyle name="Примечание 3 4 5 2 2" xfId="0"/>
    <cellStyle name="Примечание 3 4 5 2 2 2" xfId="0"/>
    <cellStyle name="Примечание 3 4 5 2 2 3" xfId="0"/>
    <cellStyle name="Примечание 3 4 5 2 3" xfId="0"/>
    <cellStyle name="Примечание 3 4 5 2 4" xfId="0"/>
    <cellStyle name="Примечание 3 4 5 3" xfId="0"/>
    <cellStyle name="Примечание 3 4 5 3 2" xfId="0"/>
    <cellStyle name="Примечание 3 4 5 3 2 2" xfId="0"/>
    <cellStyle name="Примечание 3 4 5 3 2 3" xfId="0"/>
    <cellStyle name="Примечание 3 4 5 3 3" xfId="0"/>
    <cellStyle name="Примечание 3 4 5 3 4" xfId="0"/>
    <cellStyle name="Примечание 3 4 5 4" xfId="0"/>
    <cellStyle name="Примечание 3 4 5 4 2" xfId="0"/>
    <cellStyle name="Примечание 3 4 5 4 3" xfId="0"/>
    <cellStyle name="Примечание 3 4 5 5" xfId="0"/>
    <cellStyle name="Примечание 3 4 5 6" xfId="0"/>
    <cellStyle name="Примечание 3 4 6" xfId="0"/>
    <cellStyle name="Примечание 3 4 6 2" xfId="0"/>
    <cellStyle name="Примечание 3 4 6 2 2" xfId="0"/>
    <cellStyle name="Примечание 3 4 6 2 2 2" xfId="0"/>
    <cellStyle name="Примечание 3 4 6 2 2 3" xfId="0"/>
    <cellStyle name="Примечание 3 4 6 2 3" xfId="0"/>
    <cellStyle name="Примечание 3 4 6 2 4" xfId="0"/>
    <cellStyle name="Примечание 3 4 6 3" xfId="0"/>
    <cellStyle name="Примечание 3 4 6 3 2" xfId="0"/>
    <cellStyle name="Примечание 3 4 6 3 3" xfId="0"/>
    <cellStyle name="Примечание 3 4 6 4" xfId="0"/>
    <cellStyle name="Примечание 3 4 6 5" xfId="0"/>
    <cellStyle name="Примечание 3 4 7" xfId="0"/>
    <cellStyle name="Примечание 3 4 7 2" xfId="0"/>
    <cellStyle name="Примечание 3 4 7 2 2" xfId="0"/>
    <cellStyle name="Примечание 3 4 7 2 2 2" xfId="0"/>
    <cellStyle name="Примечание 3 4 7 2 2 3" xfId="0"/>
    <cellStyle name="Примечание 3 4 7 2 3" xfId="0"/>
    <cellStyle name="Примечание 3 4 7 2 4" xfId="0"/>
    <cellStyle name="Примечание 3 4 7 3" xfId="0"/>
    <cellStyle name="Примечание 3 4 7 3 2" xfId="0"/>
    <cellStyle name="Примечание 3 4 7 3 3" xfId="0"/>
    <cellStyle name="Примечание 3 4 7 4" xfId="0"/>
    <cellStyle name="Примечание 3 4 7 5" xfId="0"/>
    <cellStyle name="Примечание 3 4 8" xfId="0"/>
    <cellStyle name="Примечание 3 4 8 2" xfId="0"/>
    <cellStyle name="Примечание 3 4 8 3" xfId="0"/>
    <cellStyle name="Примечание 3 4 9" xfId="0"/>
    <cellStyle name="Примечание 3 5" xfId="0"/>
    <cellStyle name="Примечание 3 5 2" xfId="0"/>
    <cellStyle name="Примечание 3 5 2 2" xfId="0"/>
    <cellStyle name="Примечание 3 5 2 2 2" xfId="0"/>
    <cellStyle name="Примечание 3 5 2 2 2 2" xfId="0"/>
    <cellStyle name="Примечание 3 5 2 2 2 3" xfId="0"/>
    <cellStyle name="Примечание 3 5 2 2 3" xfId="0"/>
    <cellStyle name="Примечание 3 5 2 2 4" xfId="0"/>
    <cellStyle name="Примечание 3 5 2 3" xfId="0"/>
    <cellStyle name="Примечание 3 5 2 3 2" xfId="0"/>
    <cellStyle name="Примечание 3 5 2 3 2 2" xfId="0"/>
    <cellStyle name="Примечание 3 5 2 3 2 3" xfId="0"/>
    <cellStyle name="Примечание 3 5 2 3 3" xfId="0"/>
    <cellStyle name="Примечание 3 5 2 3 4" xfId="0"/>
    <cellStyle name="Примечание 3 5 2 4" xfId="0"/>
    <cellStyle name="Примечание 3 5 2 4 2" xfId="0"/>
    <cellStyle name="Примечание 3 5 2 4 3" xfId="0"/>
    <cellStyle name="Примечание 3 5 2 5" xfId="0"/>
    <cellStyle name="Примечание 3 5 2 6" xfId="0"/>
    <cellStyle name="Примечание 3 5 3" xfId="0"/>
    <cellStyle name="Примечание 3 5 3 2" xfId="0"/>
    <cellStyle name="Примечание 3 5 3 2 2" xfId="0"/>
    <cellStyle name="Примечание 3 5 3 2 2 2" xfId="0"/>
    <cellStyle name="Примечание 3 5 3 2 2 3" xfId="0"/>
    <cellStyle name="Примечание 3 5 3 2 3" xfId="0"/>
    <cellStyle name="Примечание 3 5 3 2 4" xfId="0"/>
    <cellStyle name="Примечание 3 5 3 3" xfId="0"/>
    <cellStyle name="Примечание 3 5 3 3 2" xfId="0"/>
    <cellStyle name="Примечание 3 5 3 3 3" xfId="0"/>
    <cellStyle name="Примечание 3 5 3 4" xfId="0"/>
    <cellStyle name="Примечание 3 5 3 5" xfId="0"/>
    <cellStyle name="Примечание 3 5 4" xfId="0"/>
    <cellStyle name="Примечание 3 5 4 2" xfId="0"/>
    <cellStyle name="Примечание 3 5 4 2 2" xfId="0"/>
    <cellStyle name="Примечание 3 5 4 2 2 2" xfId="0"/>
    <cellStyle name="Примечание 3 5 4 2 2 3" xfId="0"/>
    <cellStyle name="Примечание 3 5 4 2 3" xfId="0"/>
    <cellStyle name="Примечание 3 5 4 2 4" xfId="0"/>
    <cellStyle name="Примечание 3 5 4 3" xfId="0"/>
    <cellStyle name="Примечание 3 5 4 3 2" xfId="0"/>
    <cellStyle name="Примечание 3 5 4 3 3" xfId="0"/>
    <cellStyle name="Примечание 3 5 4 4" xfId="0"/>
    <cellStyle name="Примечание 3 5 4 5" xfId="0"/>
    <cellStyle name="Примечание 3 5 5" xfId="0"/>
    <cellStyle name="Примечание 3 5 5 2" xfId="0"/>
    <cellStyle name="Примечание 3 5 5 3" xfId="0"/>
    <cellStyle name="Примечание 3 5 6" xfId="0"/>
    <cellStyle name="Примечание 3 5 7" xfId="0"/>
    <cellStyle name="Примечание 3 6" xfId="0"/>
    <cellStyle name="Примечание 3 6 2" xfId="0"/>
    <cellStyle name="Примечание 3 6 2 2" xfId="0"/>
    <cellStyle name="Примечание 3 6 2 2 2" xfId="0"/>
    <cellStyle name="Примечание 3 6 2 2 2 2" xfId="0"/>
    <cellStyle name="Примечание 3 6 2 2 2 3" xfId="0"/>
    <cellStyle name="Примечание 3 6 2 2 3" xfId="0"/>
    <cellStyle name="Примечание 3 6 2 2 4" xfId="0"/>
    <cellStyle name="Примечание 3 6 2 3" xfId="0"/>
    <cellStyle name="Примечание 3 6 2 3 2" xfId="0"/>
    <cellStyle name="Примечание 3 6 2 3 2 2" xfId="0"/>
    <cellStyle name="Примечание 3 6 2 3 2 3" xfId="0"/>
    <cellStyle name="Примечание 3 6 2 3 3" xfId="0"/>
    <cellStyle name="Примечание 3 6 2 3 4" xfId="0"/>
    <cellStyle name="Примечание 3 6 2 4" xfId="0"/>
    <cellStyle name="Примечание 3 6 2 4 2" xfId="0"/>
    <cellStyle name="Примечание 3 6 2 4 3" xfId="0"/>
    <cellStyle name="Примечание 3 6 2 5" xfId="0"/>
    <cellStyle name="Примечание 3 6 2 6" xfId="0"/>
    <cellStyle name="Примечание 3 6 3" xfId="0"/>
    <cellStyle name="Примечание 3 6 3 2" xfId="0"/>
    <cellStyle name="Примечание 3 6 3 2 2" xfId="0"/>
    <cellStyle name="Примечание 3 6 3 2 2 2" xfId="0"/>
    <cellStyle name="Примечание 3 6 3 2 2 3" xfId="0"/>
    <cellStyle name="Примечание 3 6 3 2 3" xfId="0"/>
    <cellStyle name="Примечание 3 6 3 2 4" xfId="0"/>
    <cellStyle name="Примечание 3 6 3 3" xfId="0"/>
    <cellStyle name="Примечание 3 6 3 3 2" xfId="0"/>
    <cellStyle name="Примечание 3 6 3 3 3" xfId="0"/>
    <cellStyle name="Примечание 3 6 3 4" xfId="0"/>
    <cellStyle name="Примечание 3 6 3 5" xfId="0"/>
    <cellStyle name="Примечание 3 6 4" xfId="0"/>
    <cellStyle name="Примечание 3 6 4 2" xfId="0"/>
    <cellStyle name="Примечание 3 6 4 2 2" xfId="0"/>
    <cellStyle name="Примечание 3 6 4 2 2 2" xfId="0"/>
    <cellStyle name="Примечание 3 6 4 2 2 3" xfId="0"/>
    <cellStyle name="Примечание 3 6 4 2 3" xfId="0"/>
    <cellStyle name="Примечание 3 6 4 2 4" xfId="0"/>
    <cellStyle name="Примечание 3 6 4 3" xfId="0"/>
    <cellStyle name="Примечание 3 6 4 3 2" xfId="0"/>
    <cellStyle name="Примечание 3 6 4 3 3" xfId="0"/>
    <cellStyle name="Примечание 3 6 4 4" xfId="0"/>
    <cellStyle name="Примечание 3 6 4 5" xfId="0"/>
    <cellStyle name="Примечание 3 6 5" xfId="0"/>
    <cellStyle name="Примечание 3 6 5 2" xfId="0"/>
    <cellStyle name="Примечание 3 6 5 3" xfId="0"/>
    <cellStyle name="Примечание 3 6 6" xfId="0"/>
    <cellStyle name="Примечание 3 6 7" xfId="0"/>
    <cellStyle name="Примечание 3 7" xfId="0"/>
    <cellStyle name="Примечание 3 7 2" xfId="0"/>
    <cellStyle name="Примечание 3 7 2 2" xfId="0"/>
    <cellStyle name="Примечание 3 7 2 2 2" xfId="0"/>
    <cellStyle name="Примечание 3 7 2 2 2 2" xfId="0"/>
    <cellStyle name="Примечание 3 7 2 2 2 3" xfId="0"/>
    <cellStyle name="Примечание 3 7 2 2 3" xfId="0"/>
    <cellStyle name="Примечание 3 7 2 2 4" xfId="0"/>
    <cellStyle name="Примечание 3 7 2 3" xfId="0"/>
    <cellStyle name="Примечание 3 7 2 3 2" xfId="0"/>
    <cellStyle name="Примечание 3 7 2 3 2 2" xfId="0"/>
    <cellStyle name="Примечание 3 7 2 3 2 3" xfId="0"/>
    <cellStyle name="Примечание 3 7 2 3 3" xfId="0"/>
    <cellStyle name="Примечание 3 7 2 3 4" xfId="0"/>
    <cellStyle name="Примечание 3 7 2 4" xfId="0"/>
    <cellStyle name="Примечание 3 7 2 4 2" xfId="0"/>
    <cellStyle name="Примечание 3 7 2 4 3" xfId="0"/>
    <cellStyle name="Примечание 3 7 2 5" xfId="0"/>
    <cellStyle name="Примечание 3 7 2 6" xfId="0"/>
    <cellStyle name="Примечание 3 7 3" xfId="0"/>
    <cellStyle name="Примечание 3 7 3 2" xfId="0"/>
    <cellStyle name="Примечание 3 7 3 2 2" xfId="0"/>
    <cellStyle name="Примечание 3 7 3 2 2 2" xfId="0"/>
    <cellStyle name="Примечание 3 7 3 2 2 3" xfId="0"/>
    <cellStyle name="Примечание 3 7 3 2 3" xfId="0"/>
    <cellStyle name="Примечание 3 7 3 2 4" xfId="0"/>
    <cellStyle name="Примечание 3 7 3 3" xfId="0"/>
    <cellStyle name="Примечание 3 7 3 3 2" xfId="0"/>
    <cellStyle name="Примечание 3 7 3 3 3" xfId="0"/>
    <cellStyle name="Примечание 3 7 3 4" xfId="0"/>
    <cellStyle name="Примечание 3 7 3 5" xfId="0"/>
    <cellStyle name="Примечание 3 7 4" xfId="0"/>
    <cellStyle name="Примечание 3 7 4 2" xfId="0"/>
    <cellStyle name="Примечание 3 7 4 2 2" xfId="0"/>
    <cellStyle name="Примечание 3 7 4 2 2 2" xfId="0"/>
    <cellStyle name="Примечание 3 7 4 2 2 3" xfId="0"/>
    <cellStyle name="Примечание 3 7 4 2 3" xfId="0"/>
    <cellStyle name="Примечание 3 7 4 2 4" xfId="0"/>
    <cellStyle name="Примечание 3 7 4 3" xfId="0"/>
    <cellStyle name="Примечание 3 7 4 3 2" xfId="0"/>
    <cellStyle name="Примечание 3 7 4 3 3" xfId="0"/>
    <cellStyle name="Примечание 3 7 4 4" xfId="0"/>
    <cellStyle name="Примечание 3 7 4 5" xfId="0"/>
    <cellStyle name="Примечание 3 7 5" xfId="0"/>
    <cellStyle name="Примечание 3 7 5 2" xfId="0"/>
    <cellStyle name="Примечание 3 7 5 3" xfId="0"/>
    <cellStyle name="Примечание 3 7 6" xfId="0"/>
    <cellStyle name="Примечание 3 7 7" xfId="0"/>
    <cellStyle name="Примечание 3 8" xfId="0"/>
    <cellStyle name="Примечание 3 8 2" xfId="0"/>
    <cellStyle name="Примечание 3 8 2 2" xfId="0"/>
    <cellStyle name="Примечание 3 8 2 2 2" xfId="0"/>
    <cellStyle name="Примечание 3 8 2 2 2 2" xfId="0"/>
    <cellStyle name="Примечание 3 8 2 2 2 3" xfId="0"/>
    <cellStyle name="Примечание 3 8 2 2 3" xfId="0"/>
    <cellStyle name="Примечание 3 8 2 2 4" xfId="0"/>
    <cellStyle name="Примечание 3 8 2 3" xfId="0"/>
    <cellStyle name="Примечание 3 8 2 3 2" xfId="0"/>
    <cellStyle name="Примечание 3 8 2 3 2 2" xfId="0"/>
    <cellStyle name="Примечание 3 8 2 3 2 3" xfId="0"/>
    <cellStyle name="Примечание 3 8 2 3 3" xfId="0"/>
    <cellStyle name="Примечание 3 8 2 3 4" xfId="0"/>
    <cellStyle name="Примечание 3 8 2 4" xfId="0"/>
    <cellStyle name="Примечание 3 8 2 4 2" xfId="0"/>
    <cellStyle name="Примечание 3 8 2 4 3" xfId="0"/>
    <cellStyle name="Примечание 3 8 2 5" xfId="0"/>
    <cellStyle name="Примечание 3 8 2 6" xfId="0"/>
    <cellStyle name="Примечание 3 8 3" xfId="0"/>
    <cellStyle name="Примечание 3 8 3 2" xfId="0"/>
    <cellStyle name="Примечание 3 8 3 2 2" xfId="0"/>
    <cellStyle name="Примечание 3 8 3 2 2 2" xfId="0"/>
    <cellStyle name="Примечание 3 8 3 2 2 3" xfId="0"/>
    <cellStyle name="Примечание 3 8 3 2 3" xfId="0"/>
    <cellStyle name="Примечание 3 8 3 2 4" xfId="0"/>
    <cellStyle name="Примечание 3 8 3 3" xfId="0"/>
    <cellStyle name="Примечание 3 8 3 3 2" xfId="0"/>
    <cellStyle name="Примечание 3 8 3 3 3" xfId="0"/>
    <cellStyle name="Примечание 3 8 3 4" xfId="0"/>
    <cellStyle name="Примечание 3 8 3 5" xfId="0"/>
    <cellStyle name="Примечание 3 8 4" xfId="0"/>
    <cellStyle name="Примечание 3 8 4 2" xfId="0"/>
    <cellStyle name="Примечание 3 8 4 2 2" xfId="0"/>
    <cellStyle name="Примечание 3 8 4 2 2 2" xfId="0"/>
    <cellStyle name="Примечание 3 8 4 2 2 3" xfId="0"/>
    <cellStyle name="Примечание 3 8 4 2 3" xfId="0"/>
    <cellStyle name="Примечание 3 8 4 2 4" xfId="0"/>
    <cellStyle name="Примечание 3 8 4 3" xfId="0"/>
    <cellStyle name="Примечание 3 8 4 3 2" xfId="0"/>
    <cellStyle name="Примечание 3 8 4 3 3" xfId="0"/>
    <cellStyle name="Примечание 3 8 4 4" xfId="0"/>
    <cellStyle name="Примечание 3 8 4 5" xfId="0"/>
    <cellStyle name="Примечание 3 8 5" xfId="0"/>
    <cellStyle name="Примечание 3 8 5 2" xfId="0"/>
    <cellStyle name="Примечание 3 8 5 3" xfId="0"/>
    <cellStyle name="Примечание 3 8 6" xfId="0"/>
    <cellStyle name="Примечание 3 8 7" xfId="0"/>
    <cellStyle name="Примечание 3 9" xfId="0"/>
    <cellStyle name="Примечание 3 9 2" xfId="0"/>
    <cellStyle name="Примечание 3 9 2 2" xfId="0"/>
    <cellStyle name="Примечание 3 9 2 2 2" xfId="0"/>
    <cellStyle name="Примечание 3 9 2 2 2 2" xfId="0"/>
    <cellStyle name="Примечание 3 9 2 2 2 3" xfId="0"/>
    <cellStyle name="Примечание 3 9 2 2 3" xfId="0"/>
    <cellStyle name="Примечание 3 9 2 2 4" xfId="0"/>
    <cellStyle name="Примечание 3 9 2 3" xfId="0"/>
    <cellStyle name="Примечание 3 9 2 3 2" xfId="0"/>
    <cellStyle name="Примечание 3 9 2 3 2 2" xfId="0"/>
    <cellStyle name="Примечание 3 9 2 3 2 3" xfId="0"/>
    <cellStyle name="Примечание 3 9 2 3 3" xfId="0"/>
    <cellStyle name="Примечание 3 9 2 3 4" xfId="0"/>
    <cellStyle name="Примечание 3 9 2 4" xfId="0"/>
    <cellStyle name="Примечание 3 9 2 4 2" xfId="0"/>
    <cellStyle name="Примечание 3 9 2 4 3" xfId="0"/>
    <cellStyle name="Примечание 3 9 2 5" xfId="0"/>
    <cellStyle name="Примечание 3 9 2 6" xfId="0"/>
    <cellStyle name="Примечание 3 9 3" xfId="0"/>
    <cellStyle name="Примечание 3 9 3 2" xfId="0"/>
    <cellStyle name="Примечание 3 9 3 2 2" xfId="0"/>
    <cellStyle name="Примечание 3 9 3 2 2 2" xfId="0"/>
    <cellStyle name="Примечание 3 9 3 2 2 3" xfId="0"/>
    <cellStyle name="Примечание 3 9 3 2 3" xfId="0"/>
    <cellStyle name="Примечание 3 9 3 2 4" xfId="0"/>
    <cellStyle name="Примечание 3 9 3 3" xfId="0"/>
    <cellStyle name="Примечание 3 9 3 3 2" xfId="0"/>
    <cellStyle name="Примечание 3 9 3 3 3" xfId="0"/>
    <cellStyle name="Примечание 3 9 3 4" xfId="0"/>
    <cellStyle name="Примечание 3 9 3 5" xfId="0"/>
    <cellStyle name="Примечание 3 9 4" xfId="0"/>
    <cellStyle name="Примечание 3 9 4 2" xfId="0"/>
    <cellStyle name="Примечание 3 9 4 2 2" xfId="0"/>
    <cellStyle name="Примечание 3 9 4 2 2 2" xfId="0"/>
    <cellStyle name="Примечание 3 9 4 2 2 3" xfId="0"/>
    <cellStyle name="Примечание 3 9 4 2 3" xfId="0"/>
    <cellStyle name="Примечание 3 9 4 2 4" xfId="0"/>
    <cellStyle name="Примечание 3 9 4 3" xfId="0"/>
    <cellStyle name="Примечание 3 9 4 3 2" xfId="0"/>
    <cellStyle name="Примечание 3 9 4 3 3" xfId="0"/>
    <cellStyle name="Примечание 3 9 4 4" xfId="0"/>
    <cellStyle name="Примечание 3 9 4 5" xfId="0"/>
    <cellStyle name="Примечание 3 9 5" xfId="0"/>
    <cellStyle name="Примечание 3 9 5 2" xfId="0"/>
    <cellStyle name="Примечание 3 9 5 3" xfId="0"/>
    <cellStyle name="Примечание 3 9 6" xfId="0"/>
    <cellStyle name="Примечание 3 9 7" xfId="0"/>
    <cellStyle name="Примечание 4" xfId="0"/>
    <cellStyle name="Примечание 4 10" xfId="0"/>
    <cellStyle name="Примечание 4 10 2" xfId="0"/>
    <cellStyle name="Примечание 4 10 2 2" xfId="0"/>
    <cellStyle name="Примечание 4 10 2 2 2" xfId="0"/>
    <cellStyle name="Примечание 4 10 2 2 2 2" xfId="0"/>
    <cellStyle name="Примечание 4 10 2 2 2 3" xfId="0"/>
    <cellStyle name="Примечание 4 10 2 2 3" xfId="0"/>
    <cellStyle name="Примечание 4 10 2 2 4" xfId="0"/>
    <cellStyle name="Примечание 4 10 2 3" xfId="0"/>
    <cellStyle name="Примечание 4 10 2 3 2" xfId="0"/>
    <cellStyle name="Примечание 4 10 2 3 2 2" xfId="0"/>
    <cellStyle name="Примечание 4 10 2 3 2 3" xfId="0"/>
    <cellStyle name="Примечание 4 10 2 3 3" xfId="0"/>
    <cellStyle name="Примечание 4 10 2 3 4" xfId="0"/>
    <cellStyle name="Примечание 4 10 2 4" xfId="0"/>
    <cellStyle name="Примечание 4 10 2 4 2" xfId="0"/>
    <cellStyle name="Примечание 4 10 2 4 3" xfId="0"/>
    <cellStyle name="Примечание 4 10 2 5" xfId="0"/>
    <cellStyle name="Примечание 4 10 2 6" xfId="0"/>
    <cellStyle name="Примечание 4 10 3" xfId="0"/>
    <cellStyle name="Примечание 4 10 3 2" xfId="0"/>
    <cellStyle name="Примечание 4 10 3 2 2" xfId="0"/>
    <cellStyle name="Примечание 4 10 3 2 2 2" xfId="0"/>
    <cellStyle name="Примечание 4 10 3 2 2 3" xfId="0"/>
    <cellStyle name="Примечание 4 10 3 2 3" xfId="0"/>
    <cellStyle name="Примечание 4 10 3 2 4" xfId="0"/>
    <cellStyle name="Примечание 4 10 3 3" xfId="0"/>
    <cellStyle name="Примечание 4 10 3 3 2" xfId="0"/>
    <cellStyle name="Примечание 4 10 3 3 3" xfId="0"/>
    <cellStyle name="Примечание 4 10 3 4" xfId="0"/>
    <cellStyle name="Примечание 4 10 3 5" xfId="0"/>
    <cellStyle name="Примечание 4 10 4" xfId="0"/>
    <cellStyle name="Примечание 4 10 4 2" xfId="0"/>
    <cellStyle name="Примечание 4 10 4 2 2" xfId="0"/>
    <cellStyle name="Примечание 4 10 4 2 2 2" xfId="0"/>
    <cellStyle name="Примечание 4 10 4 2 2 3" xfId="0"/>
    <cellStyle name="Примечание 4 10 4 2 3" xfId="0"/>
    <cellStyle name="Примечание 4 10 4 2 4" xfId="0"/>
    <cellStyle name="Примечание 4 10 4 3" xfId="0"/>
    <cellStyle name="Примечание 4 10 4 3 2" xfId="0"/>
    <cellStyle name="Примечание 4 10 4 3 3" xfId="0"/>
    <cellStyle name="Примечание 4 10 4 4" xfId="0"/>
    <cellStyle name="Примечание 4 10 4 5" xfId="0"/>
    <cellStyle name="Примечание 4 10 5" xfId="0"/>
    <cellStyle name="Примечание 4 10 5 2" xfId="0"/>
    <cellStyle name="Примечание 4 10 5 3" xfId="0"/>
    <cellStyle name="Примечание 4 10 6" xfId="0"/>
    <cellStyle name="Примечание 4 10 7" xfId="0"/>
    <cellStyle name="Примечание 4 11" xfId="0"/>
    <cellStyle name="Примечание 4 11 2" xfId="0"/>
    <cellStyle name="Примечание 4 11 2 2" xfId="0"/>
    <cellStyle name="Примечание 4 11 2 2 2" xfId="0"/>
    <cellStyle name="Примечание 4 11 2 2 2 2" xfId="0"/>
    <cellStyle name="Примечание 4 11 2 2 2 3" xfId="0"/>
    <cellStyle name="Примечание 4 11 2 2 3" xfId="0"/>
    <cellStyle name="Примечание 4 11 2 2 4" xfId="0"/>
    <cellStyle name="Примечание 4 11 2 3" xfId="0"/>
    <cellStyle name="Примечание 4 11 2 3 2" xfId="0"/>
    <cellStyle name="Примечание 4 11 2 3 2 2" xfId="0"/>
    <cellStyle name="Примечание 4 11 2 3 2 3" xfId="0"/>
    <cellStyle name="Примечание 4 11 2 3 3" xfId="0"/>
    <cellStyle name="Примечание 4 11 2 3 4" xfId="0"/>
    <cellStyle name="Примечание 4 11 2 4" xfId="0"/>
    <cellStyle name="Примечание 4 11 2 4 2" xfId="0"/>
    <cellStyle name="Примечание 4 11 2 4 3" xfId="0"/>
    <cellStyle name="Примечание 4 11 2 5" xfId="0"/>
    <cellStyle name="Примечание 4 11 2 6" xfId="0"/>
    <cellStyle name="Примечание 4 11 3" xfId="0"/>
    <cellStyle name="Примечание 4 11 3 2" xfId="0"/>
    <cellStyle name="Примечание 4 11 3 2 2" xfId="0"/>
    <cellStyle name="Примечание 4 11 3 2 2 2" xfId="0"/>
    <cellStyle name="Примечание 4 11 3 2 2 3" xfId="0"/>
    <cellStyle name="Примечание 4 11 3 2 3" xfId="0"/>
    <cellStyle name="Примечание 4 11 3 2 4" xfId="0"/>
    <cellStyle name="Примечание 4 11 3 3" xfId="0"/>
    <cellStyle name="Примечание 4 11 3 3 2" xfId="0"/>
    <cellStyle name="Примечание 4 11 3 3 3" xfId="0"/>
    <cellStyle name="Примечание 4 11 3 4" xfId="0"/>
    <cellStyle name="Примечание 4 11 3 5" xfId="0"/>
    <cellStyle name="Примечание 4 11 4" xfId="0"/>
    <cellStyle name="Примечание 4 11 4 2" xfId="0"/>
    <cellStyle name="Примечание 4 11 4 2 2" xfId="0"/>
    <cellStyle name="Примечание 4 11 4 2 2 2" xfId="0"/>
    <cellStyle name="Примечание 4 11 4 2 2 3" xfId="0"/>
    <cellStyle name="Примечание 4 11 4 2 3" xfId="0"/>
    <cellStyle name="Примечание 4 11 4 2 4" xfId="0"/>
    <cellStyle name="Примечание 4 11 4 3" xfId="0"/>
    <cellStyle name="Примечание 4 11 4 3 2" xfId="0"/>
    <cellStyle name="Примечание 4 11 4 3 3" xfId="0"/>
    <cellStyle name="Примечание 4 11 4 4" xfId="0"/>
    <cellStyle name="Примечание 4 11 4 5" xfId="0"/>
    <cellStyle name="Примечание 4 11 5" xfId="0"/>
    <cellStyle name="Примечание 4 11 5 2" xfId="0"/>
    <cellStyle name="Примечание 4 11 5 3" xfId="0"/>
    <cellStyle name="Примечание 4 11 6" xfId="0"/>
    <cellStyle name="Примечание 4 11 7" xfId="0"/>
    <cellStyle name="Примечание 4 12" xfId="0"/>
    <cellStyle name="Примечание 4 12 2" xfId="0"/>
    <cellStyle name="Примечание 4 12 2 2" xfId="0"/>
    <cellStyle name="Примечание 4 12 2 2 2" xfId="0"/>
    <cellStyle name="Примечание 4 12 2 2 2 2" xfId="0"/>
    <cellStyle name="Примечание 4 12 2 2 2 3" xfId="0"/>
    <cellStyle name="Примечание 4 12 2 2 3" xfId="0"/>
    <cellStyle name="Примечание 4 12 2 2 4" xfId="0"/>
    <cellStyle name="Примечание 4 12 2 3" xfId="0"/>
    <cellStyle name="Примечание 4 12 2 3 2" xfId="0"/>
    <cellStyle name="Примечание 4 12 2 3 2 2" xfId="0"/>
    <cellStyle name="Примечание 4 12 2 3 2 3" xfId="0"/>
    <cellStyle name="Примечание 4 12 2 3 3" xfId="0"/>
    <cellStyle name="Примечание 4 12 2 3 4" xfId="0"/>
    <cellStyle name="Примечание 4 12 2 4" xfId="0"/>
    <cellStyle name="Примечание 4 12 2 4 2" xfId="0"/>
    <cellStyle name="Примечание 4 12 2 4 3" xfId="0"/>
    <cellStyle name="Примечание 4 12 2 5" xfId="0"/>
    <cellStyle name="Примечание 4 12 2 6" xfId="0"/>
    <cellStyle name="Примечание 4 12 3" xfId="0"/>
    <cellStyle name="Примечание 4 12 3 2" xfId="0"/>
    <cellStyle name="Примечание 4 12 3 2 2" xfId="0"/>
    <cellStyle name="Примечание 4 12 3 2 2 2" xfId="0"/>
    <cellStyle name="Примечание 4 12 3 2 2 3" xfId="0"/>
    <cellStyle name="Примечание 4 12 3 2 3" xfId="0"/>
    <cellStyle name="Примечание 4 12 3 2 4" xfId="0"/>
    <cellStyle name="Примечание 4 12 3 3" xfId="0"/>
    <cellStyle name="Примечание 4 12 3 3 2" xfId="0"/>
    <cellStyle name="Примечание 4 12 3 3 3" xfId="0"/>
    <cellStyle name="Примечание 4 12 3 4" xfId="0"/>
    <cellStyle name="Примечание 4 12 3 5" xfId="0"/>
    <cellStyle name="Примечание 4 12 4" xfId="0"/>
    <cellStyle name="Примечание 4 12 4 2" xfId="0"/>
    <cellStyle name="Примечание 4 12 4 2 2" xfId="0"/>
    <cellStyle name="Примечание 4 12 4 2 2 2" xfId="0"/>
    <cellStyle name="Примечание 4 12 4 2 2 3" xfId="0"/>
    <cellStyle name="Примечание 4 12 4 2 3" xfId="0"/>
    <cellStyle name="Примечание 4 12 4 2 4" xfId="0"/>
    <cellStyle name="Примечание 4 12 4 3" xfId="0"/>
    <cellStyle name="Примечание 4 12 4 3 2" xfId="0"/>
    <cellStyle name="Примечание 4 12 4 3 3" xfId="0"/>
    <cellStyle name="Примечание 4 12 4 4" xfId="0"/>
    <cellStyle name="Примечание 4 12 4 5" xfId="0"/>
    <cellStyle name="Примечание 4 12 5" xfId="0"/>
    <cellStyle name="Примечание 4 12 5 2" xfId="0"/>
    <cellStyle name="Примечание 4 12 5 3" xfId="0"/>
    <cellStyle name="Примечание 4 12 6" xfId="0"/>
    <cellStyle name="Примечание 4 12 7" xfId="0"/>
    <cellStyle name="Примечание 4 13" xfId="0"/>
    <cellStyle name="Примечание 4 13 2" xfId="0"/>
    <cellStyle name="Примечание 4 13 2 2" xfId="0"/>
    <cellStyle name="Примечание 4 13 2 2 2" xfId="0"/>
    <cellStyle name="Примечание 4 13 2 2 2 2" xfId="0"/>
    <cellStyle name="Примечание 4 13 2 2 2 3" xfId="0"/>
    <cellStyle name="Примечание 4 13 2 2 3" xfId="0"/>
    <cellStyle name="Примечание 4 13 2 2 4" xfId="0"/>
    <cellStyle name="Примечание 4 13 2 3" xfId="0"/>
    <cellStyle name="Примечание 4 13 2 3 2" xfId="0"/>
    <cellStyle name="Примечание 4 13 2 3 2 2" xfId="0"/>
    <cellStyle name="Примечание 4 13 2 3 2 3" xfId="0"/>
    <cellStyle name="Примечание 4 13 2 3 3" xfId="0"/>
    <cellStyle name="Примечание 4 13 2 3 4" xfId="0"/>
    <cellStyle name="Примечание 4 13 2 4" xfId="0"/>
    <cellStyle name="Примечание 4 13 2 4 2" xfId="0"/>
    <cellStyle name="Примечание 4 13 2 4 3" xfId="0"/>
    <cellStyle name="Примечание 4 13 2 5" xfId="0"/>
    <cellStyle name="Примечание 4 13 2 6" xfId="0"/>
    <cellStyle name="Примечание 4 13 3" xfId="0"/>
    <cellStyle name="Примечание 4 13 3 2" xfId="0"/>
    <cellStyle name="Примечание 4 13 3 2 2" xfId="0"/>
    <cellStyle name="Примечание 4 13 3 2 2 2" xfId="0"/>
    <cellStyle name="Примечание 4 13 3 2 2 3" xfId="0"/>
    <cellStyle name="Примечание 4 13 3 2 3" xfId="0"/>
    <cellStyle name="Примечание 4 13 3 2 4" xfId="0"/>
    <cellStyle name="Примечание 4 13 3 3" xfId="0"/>
    <cellStyle name="Примечание 4 13 3 3 2" xfId="0"/>
    <cellStyle name="Примечание 4 13 3 3 3" xfId="0"/>
    <cellStyle name="Примечание 4 13 3 4" xfId="0"/>
    <cellStyle name="Примечание 4 13 3 5" xfId="0"/>
    <cellStyle name="Примечание 4 13 4" xfId="0"/>
    <cellStyle name="Примечание 4 13 4 2" xfId="0"/>
    <cellStyle name="Примечание 4 13 4 2 2" xfId="0"/>
    <cellStyle name="Примечание 4 13 4 2 2 2" xfId="0"/>
    <cellStyle name="Примечание 4 13 4 2 2 3" xfId="0"/>
    <cellStyle name="Примечание 4 13 4 2 3" xfId="0"/>
    <cellStyle name="Примечание 4 13 4 2 4" xfId="0"/>
    <cellStyle name="Примечание 4 13 4 3" xfId="0"/>
    <cellStyle name="Примечание 4 13 4 3 2" xfId="0"/>
    <cellStyle name="Примечание 4 13 4 3 3" xfId="0"/>
    <cellStyle name="Примечание 4 13 4 4" xfId="0"/>
    <cellStyle name="Примечание 4 13 4 5" xfId="0"/>
    <cellStyle name="Примечание 4 13 5" xfId="0"/>
    <cellStyle name="Примечание 4 13 5 2" xfId="0"/>
    <cellStyle name="Примечание 4 13 5 3" xfId="0"/>
    <cellStyle name="Примечание 4 13 6" xfId="0"/>
    <cellStyle name="Примечание 4 13 7" xfId="0"/>
    <cellStyle name="Примечание 4 14" xfId="0"/>
    <cellStyle name="Примечание 4 14 2" xfId="0"/>
    <cellStyle name="Примечание 4 14 2 2" xfId="0"/>
    <cellStyle name="Примечание 4 14 2 2 2" xfId="0"/>
    <cellStyle name="Примечание 4 14 2 2 2 2" xfId="0"/>
    <cellStyle name="Примечание 4 14 2 2 2 3" xfId="0"/>
    <cellStyle name="Примечание 4 14 2 2 3" xfId="0"/>
    <cellStyle name="Примечание 4 14 2 2 4" xfId="0"/>
    <cellStyle name="Примечание 4 14 2 3" xfId="0"/>
    <cellStyle name="Примечание 4 14 2 3 2" xfId="0"/>
    <cellStyle name="Примечание 4 14 2 3 2 2" xfId="0"/>
    <cellStyle name="Примечание 4 14 2 3 2 3" xfId="0"/>
    <cellStyle name="Примечание 4 14 2 3 3" xfId="0"/>
    <cellStyle name="Примечание 4 14 2 3 4" xfId="0"/>
    <cellStyle name="Примечание 4 14 2 4" xfId="0"/>
    <cellStyle name="Примечание 4 14 2 4 2" xfId="0"/>
    <cellStyle name="Примечание 4 14 2 4 3" xfId="0"/>
    <cellStyle name="Примечание 4 14 2 5" xfId="0"/>
    <cellStyle name="Примечание 4 14 2 6" xfId="0"/>
    <cellStyle name="Примечание 4 14 3" xfId="0"/>
    <cellStyle name="Примечание 4 14 3 2" xfId="0"/>
    <cellStyle name="Примечание 4 14 3 2 2" xfId="0"/>
    <cellStyle name="Примечание 4 14 3 2 2 2" xfId="0"/>
    <cellStyle name="Примечание 4 14 3 2 2 3" xfId="0"/>
    <cellStyle name="Примечание 4 14 3 2 3" xfId="0"/>
    <cellStyle name="Примечание 4 14 3 2 4" xfId="0"/>
    <cellStyle name="Примечание 4 14 3 3" xfId="0"/>
    <cellStyle name="Примечание 4 14 3 3 2" xfId="0"/>
    <cellStyle name="Примечание 4 14 3 3 3" xfId="0"/>
    <cellStyle name="Примечание 4 14 3 4" xfId="0"/>
    <cellStyle name="Примечание 4 14 3 5" xfId="0"/>
    <cellStyle name="Примечание 4 14 4" xfId="0"/>
    <cellStyle name="Примечание 4 14 4 2" xfId="0"/>
    <cellStyle name="Примечание 4 14 4 2 2" xfId="0"/>
    <cellStyle name="Примечание 4 14 4 2 2 2" xfId="0"/>
    <cellStyle name="Примечание 4 14 4 2 2 3" xfId="0"/>
    <cellStyle name="Примечание 4 14 4 2 3" xfId="0"/>
    <cellStyle name="Примечание 4 14 4 2 4" xfId="0"/>
    <cellStyle name="Примечание 4 14 4 3" xfId="0"/>
    <cellStyle name="Примечание 4 14 4 3 2" xfId="0"/>
    <cellStyle name="Примечание 4 14 4 3 3" xfId="0"/>
    <cellStyle name="Примечание 4 14 4 4" xfId="0"/>
    <cellStyle name="Примечание 4 14 4 5" xfId="0"/>
    <cellStyle name="Примечание 4 14 5" xfId="0"/>
    <cellStyle name="Примечание 4 14 5 2" xfId="0"/>
    <cellStyle name="Примечание 4 14 5 3" xfId="0"/>
    <cellStyle name="Примечание 4 14 6" xfId="0"/>
    <cellStyle name="Примечание 4 14 7" xfId="0"/>
    <cellStyle name="Примечание 4 15" xfId="0"/>
    <cellStyle name="Примечание 4 15 2" xfId="0"/>
    <cellStyle name="Примечание 4 15 2 2" xfId="0"/>
    <cellStyle name="Примечание 4 15 2 2 2" xfId="0"/>
    <cellStyle name="Примечание 4 15 2 2 2 2" xfId="0"/>
    <cellStyle name="Примечание 4 15 2 2 2 3" xfId="0"/>
    <cellStyle name="Примечание 4 15 2 2 3" xfId="0"/>
    <cellStyle name="Примечание 4 15 2 2 4" xfId="0"/>
    <cellStyle name="Примечание 4 15 2 3" xfId="0"/>
    <cellStyle name="Примечание 4 15 2 3 2" xfId="0"/>
    <cellStyle name="Примечание 4 15 2 3 2 2" xfId="0"/>
    <cellStyle name="Примечание 4 15 2 3 2 3" xfId="0"/>
    <cellStyle name="Примечание 4 15 2 3 3" xfId="0"/>
    <cellStyle name="Примечание 4 15 2 3 4" xfId="0"/>
    <cellStyle name="Примечание 4 15 2 4" xfId="0"/>
    <cellStyle name="Примечание 4 15 2 4 2" xfId="0"/>
    <cellStyle name="Примечание 4 15 2 4 3" xfId="0"/>
    <cellStyle name="Примечание 4 15 2 5" xfId="0"/>
    <cellStyle name="Примечание 4 15 2 6" xfId="0"/>
    <cellStyle name="Примечание 4 15 3" xfId="0"/>
    <cellStyle name="Примечание 4 15 3 2" xfId="0"/>
    <cellStyle name="Примечание 4 15 3 2 2" xfId="0"/>
    <cellStyle name="Примечание 4 15 3 2 2 2" xfId="0"/>
    <cellStyle name="Примечание 4 15 3 2 2 3" xfId="0"/>
    <cellStyle name="Примечание 4 15 3 2 3" xfId="0"/>
    <cellStyle name="Примечание 4 15 3 2 4" xfId="0"/>
    <cellStyle name="Примечание 4 15 3 3" xfId="0"/>
    <cellStyle name="Примечание 4 15 3 3 2" xfId="0"/>
    <cellStyle name="Примечание 4 15 3 3 3" xfId="0"/>
    <cellStyle name="Примечание 4 15 3 4" xfId="0"/>
    <cellStyle name="Примечание 4 15 3 5" xfId="0"/>
    <cellStyle name="Примечание 4 15 4" xfId="0"/>
    <cellStyle name="Примечание 4 15 4 2" xfId="0"/>
    <cellStyle name="Примечание 4 15 4 2 2" xfId="0"/>
    <cellStyle name="Примечание 4 15 4 2 2 2" xfId="0"/>
    <cellStyle name="Примечание 4 15 4 2 2 3" xfId="0"/>
    <cellStyle name="Примечание 4 15 4 2 3" xfId="0"/>
    <cellStyle name="Примечание 4 15 4 2 4" xfId="0"/>
    <cellStyle name="Примечание 4 15 4 3" xfId="0"/>
    <cellStyle name="Примечание 4 15 4 3 2" xfId="0"/>
    <cellStyle name="Примечание 4 15 4 3 3" xfId="0"/>
    <cellStyle name="Примечание 4 15 4 4" xfId="0"/>
    <cellStyle name="Примечание 4 15 4 5" xfId="0"/>
    <cellStyle name="Примечание 4 15 5" xfId="0"/>
    <cellStyle name="Примечание 4 15 5 2" xfId="0"/>
    <cellStyle name="Примечание 4 15 5 3" xfId="0"/>
    <cellStyle name="Примечание 4 15 6" xfId="0"/>
    <cellStyle name="Примечание 4 15 7" xfId="0"/>
    <cellStyle name="Примечание 4 16" xfId="0"/>
    <cellStyle name="Примечание 4 16 2" xfId="0"/>
    <cellStyle name="Примечание 4 16 2 2" xfId="0"/>
    <cellStyle name="Примечание 4 16 2 2 2" xfId="0"/>
    <cellStyle name="Примечание 4 16 2 2 2 2" xfId="0"/>
    <cellStyle name="Примечание 4 16 2 2 2 3" xfId="0"/>
    <cellStyle name="Примечание 4 16 2 2 3" xfId="0"/>
    <cellStyle name="Примечание 4 16 2 2 4" xfId="0"/>
    <cellStyle name="Примечание 4 16 2 3" xfId="0"/>
    <cellStyle name="Примечание 4 16 2 3 2" xfId="0"/>
    <cellStyle name="Примечание 4 16 2 3 2 2" xfId="0"/>
    <cellStyle name="Примечание 4 16 2 3 2 3" xfId="0"/>
    <cellStyle name="Примечание 4 16 2 3 3" xfId="0"/>
    <cellStyle name="Примечание 4 16 2 3 4" xfId="0"/>
    <cellStyle name="Примечание 4 16 2 4" xfId="0"/>
    <cellStyle name="Примечание 4 16 2 4 2" xfId="0"/>
    <cellStyle name="Примечание 4 16 2 4 3" xfId="0"/>
    <cellStyle name="Примечание 4 16 2 5" xfId="0"/>
    <cellStyle name="Примечание 4 16 2 6" xfId="0"/>
    <cellStyle name="Примечание 4 16 3" xfId="0"/>
    <cellStyle name="Примечание 4 16 3 2" xfId="0"/>
    <cellStyle name="Примечание 4 16 3 2 2" xfId="0"/>
    <cellStyle name="Примечание 4 16 3 2 2 2" xfId="0"/>
    <cellStyle name="Примечание 4 16 3 2 2 3" xfId="0"/>
    <cellStyle name="Примечание 4 16 3 2 3" xfId="0"/>
    <cellStyle name="Примечание 4 16 3 2 4" xfId="0"/>
    <cellStyle name="Примечание 4 16 3 3" xfId="0"/>
    <cellStyle name="Примечание 4 16 3 3 2" xfId="0"/>
    <cellStyle name="Примечание 4 16 3 3 3" xfId="0"/>
    <cellStyle name="Примечание 4 16 3 4" xfId="0"/>
    <cellStyle name="Примечание 4 16 3 5" xfId="0"/>
    <cellStyle name="Примечание 4 16 4" xfId="0"/>
    <cellStyle name="Примечание 4 16 4 2" xfId="0"/>
    <cellStyle name="Примечание 4 16 4 2 2" xfId="0"/>
    <cellStyle name="Примечание 4 16 4 2 2 2" xfId="0"/>
    <cellStyle name="Примечание 4 16 4 2 2 3" xfId="0"/>
    <cellStyle name="Примечание 4 16 4 2 3" xfId="0"/>
    <cellStyle name="Примечание 4 16 4 2 4" xfId="0"/>
    <cellStyle name="Примечание 4 16 4 3" xfId="0"/>
    <cellStyle name="Примечание 4 16 4 3 2" xfId="0"/>
    <cellStyle name="Примечание 4 16 4 3 3" xfId="0"/>
    <cellStyle name="Примечание 4 16 4 4" xfId="0"/>
    <cellStyle name="Примечание 4 16 4 5" xfId="0"/>
    <cellStyle name="Примечание 4 16 5" xfId="0"/>
    <cellStyle name="Примечание 4 16 5 2" xfId="0"/>
    <cellStyle name="Примечание 4 16 5 3" xfId="0"/>
    <cellStyle name="Примечание 4 16 6" xfId="0"/>
    <cellStyle name="Примечание 4 16 7" xfId="0"/>
    <cellStyle name="Примечание 4 17" xfId="0"/>
    <cellStyle name="Примечание 4 17 2" xfId="0"/>
    <cellStyle name="Примечание 4 17 2 2" xfId="0"/>
    <cellStyle name="Примечание 4 17 2 2 2" xfId="0"/>
    <cellStyle name="Примечание 4 17 2 2 2 2" xfId="0"/>
    <cellStyle name="Примечание 4 17 2 2 2 3" xfId="0"/>
    <cellStyle name="Примечание 4 17 2 2 3" xfId="0"/>
    <cellStyle name="Примечание 4 17 2 2 4" xfId="0"/>
    <cellStyle name="Примечание 4 17 2 3" xfId="0"/>
    <cellStyle name="Примечание 4 17 2 3 2" xfId="0"/>
    <cellStyle name="Примечание 4 17 2 3 2 2" xfId="0"/>
    <cellStyle name="Примечание 4 17 2 3 2 3" xfId="0"/>
    <cellStyle name="Примечание 4 17 2 3 3" xfId="0"/>
    <cellStyle name="Примечание 4 17 2 3 4" xfId="0"/>
    <cellStyle name="Примечание 4 17 2 4" xfId="0"/>
    <cellStyle name="Примечание 4 17 2 4 2" xfId="0"/>
    <cellStyle name="Примечание 4 17 2 4 3" xfId="0"/>
    <cellStyle name="Примечание 4 17 2 5" xfId="0"/>
    <cellStyle name="Примечание 4 17 2 6" xfId="0"/>
    <cellStyle name="Примечание 4 17 3" xfId="0"/>
    <cellStyle name="Примечание 4 17 3 2" xfId="0"/>
    <cellStyle name="Примечание 4 17 3 2 2" xfId="0"/>
    <cellStyle name="Примечание 4 17 3 2 2 2" xfId="0"/>
    <cellStyle name="Примечание 4 17 3 2 2 3" xfId="0"/>
    <cellStyle name="Примечание 4 17 3 2 3" xfId="0"/>
    <cellStyle name="Примечание 4 17 3 2 4" xfId="0"/>
    <cellStyle name="Примечание 4 17 3 3" xfId="0"/>
    <cellStyle name="Примечание 4 17 3 3 2" xfId="0"/>
    <cellStyle name="Примечание 4 17 3 3 3" xfId="0"/>
    <cellStyle name="Примечание 4 17 3 4" xfId="0"/>
    <cellStyle name="Примечание 4 17 3 5" xfId="0"/>
    <cellStyle name="Примечание 4 17 4" xfId="0"/>
    <cellStyle name="Примечание 4 17 4 2" xfId="0"/>
    <cellStyle name="Примечание 4 17 4 2 2" xfId="0"/>
    <cellStyle name="Примечание 4 17 4 2 2 2" xfId="0"/>
    <cellStyle name="Примечание 4 17 4 2 2 3" xfId="0"/>
    <cellStyle name="Примечание 4 17 4 2 3" xfId="0"/>
    <cellStyle name="Примечание 4 17 4 2 4" xfId="0"/>
    <cellStyle name="Примечание 4 17 4 3" xfId="0"/>
    <cellStyle name="Примечание 4 17 4 3 2" xfId="0"/>
    <cellStyle name="Примечание 4 17 4 3 3" xfId="0"/>
    <cellStyle name="Примечание 4 17 4 4" xfId="0"/>
    <cellStyle name="Примечание 4 17 4 5" xfId="0"/>
    <cellStyle name="Примечание 4 17 5" xfId="0"/>
    <cellStyle name="Примечание 4 17 5 2" xfId="0"/>
    <cellStyle name="Примечание 4 17 5 3" xfId="0"/>
    <cellStyle name="Примечание 4 17 6" xfId="0"/>
    <cellStyle name="Примечание 4 17 7" xfId="0"/>
    <cellStyle name="Примечание 4 18" xfId="0"/>
    <cellStyle name="Примечание 4 18 2" xfId="0"/>
    <cellStyle name="Примечание 4 18 2 2" xfId="0"/>
    <cellStyle name="Примечание 4 18 2 2 2" xfId="0"/>
    <cellStyle name="Примечание 4 18 2 2 2 2" xfId="0"/>
    <cellStyle name="Примечание 4 18 2 2 2 3" xfId="0"/>
    <cellStyle name="Примечание 4 18 2 2 3" xfId="0"/>
    <cellStyle name="Примечание 4 18 2 2 4" xfId="0"/>
    <cellStyle name="Примечание 4 18 2 3" xfId="0"/>
    <cellStyle name="Примечание 4 18 2 3 2" xfId="0"/>
    <cellStyle name="Примечание 4 18 2 3 2 2" xfId="0"/>
    <cellStyle name="Примечание 4 18 2 3 2 3" xfId="0"/>
    <cellStyle name="Примечание 4 18 2 3 3" xfId="0"/>
    <cellStyle name="Примечание 4 18 2 3 4" xfId="0"/>
    <cellStyle name="Примечание 4 18 2 4" xfId="0"/>
    <cellStyle name="Примечание 4 18 2 4 2" xfId="0"/>
    <cellStyle name="Примечание 4 18 2 4 3" xfId="0"/>
    <cellStyle name="Примечание 4 18 2 5" xfId="0"/>
    <cellStyle name="Примечание 4 18 2 6" xfId="0"/>
    <cellStyle name="Примечание 4 18 3" xfId="0"/>
    <cellStyle name="Примечание 4 18 3 2" xfId="0"/>
    <cellStyle name="Примечание 4 18 3 2 2" xfId="0"/>
    <cellStyle name="Примечание 4 18 3 2 2 2" xfId="0"/>
    <cellStyle name="Примечание 4 18 3 2 2 3" xfId="0"/>
    <cellStyle name="Примечание 4 18 3 2 3" xfId="0"/>
    <cellStyle name="Примечание 4 18 3 2 4" xfId="0"/>
    <cellStyle name="Примечание 4 18 3 3" xfId="0"/>
    <cellStyle name="Примечание 4 18 3 3 2" xfId="0"/>
    <cellStyle name="Примечание 4 18 3 3 3" xfId="0"/>
    <cellStyle name="Примечание 4 18 3 4" xfId="0"/>
    <cellStyle name="Примечание 4 18 3 5" xfId="0"/>
    <cellStyle name="Примечание 4 18 4" xfId="0"/>
    <cellStyle name="Примечание 4 18 4 2" xfId="0"/>
    <cellStyle name="Примечание 4 18 4 2 2" xfId="0"/>
    <cellStyle name="Примечание 4 18 4 2 2 2" xfId="0"/>
    <cellStyle name="Примечание 4 18 4 2 2 3" xfId="0"/>
    <cellStyle name="Примечание 4 18 4 2 3" xfId="0"/>
    <cellStyle name="Примечание 4 18 4 2 4" xfId="0"/>
    <cellStyle name="Примечание 4 18 4 3" xfId="0"/>
    <cellStyle name="Примечание 4 18 4 3 2" xfId="0"/>
    <cellStyle name="Примечание 4 18 4 3 3" xfId="0"/>
    <cellStyle name="Примечание 4 18 4 4" xfId="0"/>
    <cellStyle name="Примечание 4 18 4 5" xfId="0"/>
    <cellStyle name="Примечание 4 18 5" xfId="0"/>
    <cellStyle name="Примечание 4 18 5 2" xfId="0"/>
    <cellStyle name="Примечание 4 18 5 3" xfId="0"/>
    <cellStyle name="Примечание 4 18 6" xfId="0"/>
    <cellStyle name="Примечание 4 18 7" xfId="0"/>
    <cellStyle name="Примечание 4 19" xfId="0"/>
    <cellStyle name="Примечание 4 19 2" xfId="0"/>
    <cellStyle name="Примечание 4 19 2 2" xfId="0"/>
    <cellStyle name="Примечание 4 19 2 2 2" xfId="0"/>
    <cellStyle name="Примечание 4 19 2 2 2 2" xfId="0"/>
    <cellStyle name="Примечание 4 19 2 2 2 3" xfId="0"/>
    <cellStyle name="Примечание 4 19 2 2 3" xfId="0"/>
    <cellStyle name="Примечание 4 19 2 2 4" xfId="0"/>
    <cellStyle name="Примечание 4 19 2 3" xfId="0"/>
    <cellStyle name="Примечание 4 19 2 3 2" xfId="0"/>
    <cellStyle name="Примечание 4 19 2 3 2 2" xfId="0"/>
    <cellStyle name="Примечание 4 19 2 3 2 3" xfId="0"/>
    <cellStyle name="Примечание 4 19 2 3 3" xfId="0"/>
    <cellStyle name="Примечание 4 19 2 3 4" xfId="0"/>
    <cellStyle name="Примечание 4 19 2 4" xfId="0"/>
    <cellStyle name="Примечание 4 19 2 4 2" xfId="0"/>
    <cellStyle name="Примечание 4 19 2 4 3" xfId="0"/>
    <cellStyle name="Примечание 4 19 2 5" xfId="0"/>
    <cellStyle name="Примечание 4 19 2 6" xfId="0"/>
    <cellStyle name="Примечание 4 19 3" xfId="0"/>
    <cellStyle name="Примечание 4 19 3 2" xfId="0"/>
    <cellStyle name="Примечание 4 19 3 2 2" xfId="0"/>
    <cellStyle name="Примечание 4 19 3 2 2 2" xfId="0"/>
    <cellStyle name="Примечание 4 19 3 2 2 3" xfId="0"/>
    <cellStyle name="Примечание 4 19 3 2 3" xfId="0"/>
    <cellStyle name="Примечание 4 19 3 2 4" xfId="0"/>
    <cellStyle name="Примечание 4 19 3 3" xfId="0"/>
    <cellStyle name="Примечание 4 19 3 3 2" xfId="0"/>
    <cellStyle name="Примечание 4 19 3 3 3" xfId="0"/>
    <cellStyle name="Примечание 4 19 3 4" xfId="0"/>
    <cellStyle name="Примечание 4 19 3 5" xfId="0"/>
    <cellStyle name="Примечание 4 19 4" xfId="0"/>
    <cellStyle name="Примечание 4 19 4 2" xfId="0"/>
    <cellStyle name="Примечание 4 19 4 2 2" xfId="0"/>
    <cellStyle name="Примечание 4 19 4 2 2 2" xfId="0"/>
    <cellStyle name="Примечание 4 19 4 2 2 3" xfId="0"/>
    <cellStyle name="Примечание 4 19 4 2 3" xfId="0"/>
    <cellStyle name="Примечание 4 19 4 2 4" xfId="0"/>
    <cellStyle name="Примечание 4 19 4 3" xfId="0"/>
    <cellStyle name="Примечание 4 19 4 3 2" xfId="0"/>
    <cellStyle name="Примечание 4 19 4 3 3" xfId="0"/>
    <cellStyle name="Примечание 4 19 4 4" xfId="0"/>
    <cellStyle name="Примечание 4 19 4 5" xfId="0"/>
    <cellStyle name="Примечание 4 19 5" xfId="0"/>
    <cellStyle name="Примечание 4 19 5 2" xfId="0"/>
    <cellStyle name="Примечание 4 19 5 3" xfId="0"/>
    <cellStyle name="Примечание 4 19 6" xfId="0"/>
    <cellStyle name="Примечание 4 19 7" xfId="0"/>
    <cellStyle name="Примечание 4 2" xfId="0"/>
    <cellStyle name="Примечание 4 2 10" xfId="0"/>
    <cellStyle name="Примечание 4 2 11" xfId="0"/>
    <cellStyle name="Примечание 4 2 2" xfId="0"/>
    <cellStyle name="Примечание 4 2 2 2" xfId="0"/>
    <cellStyle name="Примечание 4 2 2 2 2" xfId="0"/>
    <cellStyle name="Примечание 4 2 2 2 2 2" xfId="0"/>
    <cellStyle name="Примечание 4 2 2 2 2 2 2" xfId="0"/>
    <cellStyle name="Примечание 4 2 2 2 2 2 3" xfId="0"/>
    <cellStyle name="Примечание 4 2 2 2 2 3" xfId="0"/>
    <cellStyle name="Примечание 4 2 2 2 2 4" xfId="0"/>
    <cellStyle name="Примечание 4 2 2 2 3" xfId="0"/>
    <cellStyle name="Примечание 4 2 2 2 3 2" xfId="0"/>
    <cellStyle name="Примечание 4 2 2 2 3 3" xfId="0"/>
    <cellStyle name="Примечание 4 2 2 2 4" xfId="0"/>
    <cellStyle name="Примечание 4 2 2 2 5" xfId="0"/>
    <cellStyle name="Примечание 4 2 2 3" xfId="0"/>
    <cellStyle name="Примечание 4 2 2 3 2" xfId="0"/>
    <cellStyle name="Примечание 4 2 2 3 2 2" xfId="0"/>
    <cellStyle name="Примечание 4 2 2 3 2 3" xfId="0"/>
    <cellStyle name="Примечание 4 2 2 3 3" xfId="0"/>
    <cellStyle name="Примечание 4 2 2 3 4" xfId="0"/>
    <cellStyle name="Примечание 4 2 2 4" xfId="0"/>
    <cellStyle name="Примечание 4 2 2 4 2" xfId="0"/>
    <cellStyle name="Примечание 4 2 2 4 3" xfId="0"/>
    <cellStyle name="Примечание 4 2 2 5" xfId="0"/>
    <cellStyle name="Примечание 4 2 2 6" xfId="0"/>
    <cellStyle name="Примечание 4 2 3" xfId="0"/>
    <cellStyle name="Примечание 4 2 3 2" xfId="0"/>
    <cellStyle name="Примечание 4 2 3 2 2" xfId="0"/>
    <cellStyle name="Примечание 4 2 3 2 2 2" xfId="0"/>
    <cellStyle name="Примечание 4 2 3 2 2 2 2" xfId="0"/>
    <cellStyle name="Примечание 4 2 3 2 2 2 3" xfId="0"/>
    <cellStyle name="Примечание 4 2 3 2 2 3" xfId="0"/>
    <cellStyle name="Примечание 4 2 3 2 2 4" xfId="0"/>
    <cellStyle name="Примечание 4 2 3 2 3" xfId="0"/>
    <cellStyle name="Примечание 4 2 3 2 3 2" xfId="0"/>
    <cellStyle name="Примечание 4 2 3 2 3 3" xfId="0"/>
    <cellStyle name="Примечание 4 2 3 2 4" xfId="0"/>
    <cellStyle name="Примечание 4 2 3 2 5" xfId="0"/>
    <cellStyle name="Примечание 4 2 3 3" xfId="0"/>
    <cellStyle name="Примечание 4 2 3 3 2" xfId="0"/>
    <cellStyle name="Примечание 4 2 3 3 2 2" xfId="0"/>
    <cellStyle name="Примечание 4 2 3 3 2 3" xfId="0"/>
    <cellStyle name="Примечание 4 2 3 3 3" xfId="0"/>
    <cellStyle name="Примечание 4 2 3 3 4" xfId="0"/>
    <cellStyle name="Примечание 4 2 3 4" xfId="0"/>
    <cellStyle name="Примечание 4 2 3 4 2" xfId="0"/>
    <cellStyle name="Примечание 4 2 3 4 3" xfId="0"/>
    <cellStyle name="Примечание 4 2 3 5" xfId="0"/>
    <cellStyle name="Примечание 4 2 3 6" xfId="0"/>
    <cellStyle name="Примечание 4 2 4" xfId="0"/>
    <cellStyle name="Примечание 4 2 4 2" xfId="0"/>
    <cellStyle name="Примечание 4 2 4 2 2" xfId="0"/>
    <cellStyle name="Примечание 4 2 4 2 2 2" xfId="0"/>
    <cellStyle name="Примечание 4 2 4 2 2 2 2" xfId="0"/>
    <cellStyle name="Примечание 4 2 4 2 2 2 3" xfId="0"/>
    <cellStyle name="Примечание 4 2 4 2 2 3" xfId="0"/>
    <cellStyle name="Примечание 4 2 4 2 2 4" xfId="0"/>
    <cellStyle name="Примечание 4 2 4 2 3" xfId="0"/>
    <cellStyle name="Примечание 4 2 4 2 3 2" xfId="0"/>
    <cellStyle name="Примечание 4 2 4 2 3 3" xfId="0"/>
    <cellStyle name="Примечание 4 2 4 2 4" xfId="0"/>
    <cellStyle name="Примечание 4 2 4 2 5" xfId="0"/>
    <cellStyle name="Примечание 4 2 4 3" xfId="0"/>
    <cellStyle name="Примечание 4 2 4 3 2" xfId="0"/>
    <cellStyle name="Примечание 4 2 4 3 2 2" xfId="0"/>
    <cellStyle name="Примечание 4 2 4 3 2 3" xfId="0"/>
    <cellStyle name="Примечание 4 2 4 3 3" xfId="0"/>
    <cellStyle name="Примечание 4 2 4 3 4" xfId="0"/>
    <cellStyle name="Примечание 4 2 4 4" xfId="0"/>
    <cellStyle name="Примечание 4 2 4 4 2" xfId="0"/>
    <cellStyle name="Примечание 4 2 4 4 3" xfId="0"/>
    <cellStyle name="Примечание 4 2 4 5" xfId="0"/>
    <cellStyle name="Примечание 4 2 4 6" xfId="0"/>
    <cellStyle name="Примечание 4 2 5" xfId="0"/>
    <cellStyle name="Примечание 4 2 5 2" xfId="0"/>
    <cellStyle name="Примечание 4 2 5 2 2" xfId="0"/>
    <cellStyle name="Примечание 4 2 5 2 2 2" xfId="0"/>
    <cellStyle name="Примечание 4 2 5 2 2 2 2" xfId="0"/>
    <cellStyle name="Примечание 4 2 5 2 2 2 3" xfId="0"/>
    <cellStyle name="Примечание 4 2 5 2 2 3" xfId="0"/>
    <cellStyle name="Примечание 4 2 5 2 2 4" xfId="0"/>
    <cellStyle name="Примечание 4 2 5 2 3" xfId="0"/>
    <cellStyle name="Примечание 4 2 5 2 3 2" xfId="0"/>
    <cellStyle name="Примечание 4 2 5 2 3 3" xfId="0"/>
    <cellStyle name="Примечание 4 2 5 2 4" xfId="0"/>
    <cellStyle name="Примечание 4 2 5 2 5" xfId="0"/>
    <cellStyle name="Примечание 4 2 5 3" xfId="0"/>
    <cellStyle name="Примечание 4 2 5 3 2" xfId="0"/>
    <cellStyle name="Примечание 4 2 5 3 2 2" xfId="0"/>
    <cellStyle name="Примечание 4 2 5 3 2 3" xfId="0"/>
    <cellStyle name="Примечание 4 2 5 3 3" xfId="0"/>
    <cellStyle name="Примечание 4 2 5 3 4" xfId="0"/>
    <cellStyle name="Примечание 4 2 5 4" xfId="0"/>
    <cellStyle name="Примечание 4 2 5 4 2" xfId="0"/>
    <cellStyle name="Примечание 4 2 5 4 3" xfId="0"/>
    <cellStyle name="Примечание 4 2 5 5" xfId="0"/>
    <cellStyle name="Примечание 4 2 5 6" xfId="0"/>
    <cellStyle name="Примечание 4 2 6" xfId="0"/>
    <cellStyle name="Примечание 4 2 6 2" xfId="0"/>
    <cellStyle name="Примечание 4 2 6 2 2" xfId="0"/>
    <cellStyle name="Примечание 4 2 6 2 2 2" xfId="0"/>
    <cellStyle name="Примечание 4 2 6 2 2 3" xfId="0"/>
    <cellStyle name="Примечание 4 2 6 2 3" xfId="0"/>
    <cellStyle name="Примечание 4 2 6 2 4" xfId="0"/>
    <cellStyle name="Примечание 4 2 6 3" xfId="0"/>
    <cellStyle name="Примечание 4 2 6 3 2" xfId="0"/>
    <cellStyle name="Примечание 4 2 6 3 3" xfId="0"/>
    <cellStyle name="Примечание 4 2 6 4" xfId="0"/>
    <cellStyle name="Примечание 4 2 6 5" xfId="0"/>
    <cellStyle name="Примечание 4 2 7" xfId="0"/>
    <cellStyle name="Примечание 4 2 7 2" xfId="0"/>
    <cellStyle name="Примечание 4 2 7 2 2" xfId="0"/>
    <cellStyle name="Примечание 4 2 7 2 2 2" xfId="0"/>
    <cellStyle name="Примечание 4 2 7 2 2 3" xfId="0"/>
    <cellStyle name="Примечание 4 2 7 2 3" xfId="0"/>
    <cellStyle name="Примечание 4 2 7 2 4" xfId="0"/>
    <cellStyle name="Примечание 4 2 7 3" xfId="0"/>
    <cellStyle name="Примечание 4 2 7 3 2" xfId="0"/>
    <cellStyle name="Примечание 4 2 7 3 3" xfId="0"/>
    <cellStyle name="Примечание 4 2 7 4" xfId="0"/>
    <cellStyle name="Примечание 4 2 7 5" xfId="0"/>
    <cellStyle name="Примечание 4 2 8" xfId="0"/>
    <cellStyle name="Примечание 4 2 8 2" xfId="0"/>
    <cellStyle name="Примечание 4 2 8 3" xfId="0"/>
    <cellStyle name="Примечание 4 2 9" xfId="0"/>
    <cellStyle name="Примечание 4 2 9 2" xfId="0"/>
    <cellStyle name="Примечание 4 2 9 3" xfId="0"/>
    <cellStyle name="Примечание 4 20" xfId="0"/>
    <cellStyle name="Примечание 4 20 2" xfId="0"/>
    <cellStyle name="Примечание 4 20 2 2" xfId="0"/>
    <cellStyle name="Примечание 4 20 2 2 2" xfId="0"/>
    <cellStyle name="Примечание 4 20 2 2 2 2" xfId="0"/>
    <cellStyle name="Примечание 4 20 2 2 2 3" xfId="0"/>
    <cellStyle name="Примечание 4 20 2 2 3" xfId="0"/>
    <cellStyle name="Примечание 4 20 2 2 4" xfId="0"/>
    <cellStyle name="Примечание 4 20 2 3" xfId="0"/>
    <cellStyle name="Примечание 4 20 2 3 2" xfId="0"/>
    <cellStyle name="Примечание 4 20 2 3 3" xfId="0"/>
    <cellStyle name="Примечание 4 20 2 4" xfId="0"/>
    <cellStyle name="Примечание 4 20 2 5" xfId="0"/>
    <cellStyle name="Примечание 4 20 3" xfId="0"/>
    <cellStyle name="Примечание 4 20 3 2" xfId="0"/>
    <cellStyle name="Примечание 4 20 3 2 2" xfId="0"/>
    <cellStyle name="Примечание 4 20 3 2 3" xfId="0"/>
    <cellStyle name="Примечание 4 20 3 3" xfId="0"/>
    <cellStyle name="Примечание 4 20 3 4" xfId="0"/>
    <cellStyle name="Примечание 4 20 4" xfId="0"/>
    <cellStyle name="Примечание 4 20 4 2" xfId="0"/>
    <cellStyle name="Примечание 4 20 4 3" xfId="0"/>
    <cellStyle name="Примечание 4 20 5" xfId="0"/>
    <cellStyle name="Примечание 4 20 6" xfId="0"/>
    <cellStyle name="Примечание 4 21" xfId="0"/>
    <cellStyle name="Примечание 4 21 2" xfId="0"/>
    <cellStyle name="Примечание 4 21 2 2" xfId="0"/>
    <cellStyle name="Примечание 4 21 2 2 2" xfId="0"/>
    <cellStyle name="Примечание 4 21 2 2 3" xfId="0"/>
    <cellStyle name="Примечание 4 21 2 3" xfId="0"/>
    <cellStyle name="Примечание 4 21 2 4" xfId="0"/>
    <cellStyle name="Примечание 4 21 3" xfId="0"/>
    <cellStyle name="Примечание 4 21 3 2" xfId="0"/>
    <cellStyle name="Примечание 4 21 3 2 2" xfId="0"/>
    <cellStyle name="Примечание 4 21 3 2 3" xfId="0"/>
    <cellStyle name="Примечание 4 21 3 3" xfId="0"/>
    <cellStyle name="Примечание 4 21 3 4" xfId="0"/>
    <cellStyle name="Примечание 4 21 4" xfId="0"/>
    <cellStyle name="Примечание 4 21 4 2" xfId="0"/>
    <cellStyle name="Примечание 4 21 4 3" xfId="0"/>
    <cellStyle name="Примечание 4 21 5" xfId="0"/>
    <cellStyle name="Примечание 4 21 6" xfId="0"/>
    <cellStyle name="Примечание 4 22" xfId="0"/>
    <cellStyle name="Примечание 4 22 2" xfId="0"/>
    <cellStyle name="Примечание 4 22 2 2" xfId="0"/>
    <cellStyle name="Примечание 4 22 2 2 2" xfId="0"/>
    <cellStyle name="Примечание 4 22 2 2 3" xfId="0"/>
    <cellStyle name="Примечание 4 22 2 3" xfId="0"/>
    <cellStyle name="Примечание 4 22 2 4" xfId="0"/>
    <cellStyle name="Примечание 4 22 3" xfId="0"/>
    <cellStyle name="Примечание 4 22 3 2" xfId="0"/>
    <cellStyle name="Примечание 4 22 3 2 2" xfId="0"/>
    <cellStyle name="Примечание 4 22 3 2 3" xfId="0"/>
    <cellStyle name="Примечание 4 22 3 3" xfId="0"/>
    <cellStyle name="Примечание 4 22 3 4" xfId="0"/>
    <cellStyle name="Примечание 4 22 4" xfId="0"/>
    <cellStyle name="Примечание 4 22 4 2" xfId="0"/>
    <cellStyle name="Примечание 4 22 4 3" xfId="0"/>
    <cellStyle name="Примечание 4 22 5" xfId="0"/>
    <cellStyle name="Примечание 4 22 6" xfId="0"/>
    <cellStyle name="Примечание 4 23" xfId="0"/>
    <cellStyle name="Примечание 4 23 2" xfId="0"/>
    <cellStyle name="Примечание 4 23 2 2" xfId="0"/>
    <cellStyle name="Примечание 4 23 2 2 2" xfId="0"/>
    <cellStyle name="Примечание 4 23 2 2 3" xfId="0"/>
    <cellStyle name="Примечание 4 23 2 3" xfId="0"/>
    <cellStyle name="Примечание 4 23 2 4" xfId="0"/>
    <cellStyle name="Примечание 4 23 3" xfId="0"/>
    <cellStyle name="Примечание 4 23 3 2" xfId="0"/>
    <cellStyle name="Примечание 4 23 3 2 2" xfId="0"/>
    <cellStyle name="Примечание 4 23 3 2 3" xfId="0"/>
    <cellStyle name="Примечание 4 23 3 3" xfId="0"/>
    <cellStyle name="Примечание 4 23 3 4" xfId="0"/>
    <cellStyle name="Примечание 4 23 4" xfId="0"/>
    <cellStyle name="Примечание 4 23 4 2" xfId="0"/>
    <cellStyle name="Примечание 4 23 4 3" xfId="0"/>
    <cellStyle name="Примечание 4 23 5" xfId="0"/>
    <cellStyle name="Примечание 4 23 6" xfId="0"/>
    <cellStyle name="Примечание 4 24" xfId="0"/>
    <cellStyle name="Примечание 4 24 2" xfId="0"/>
    <cellStyle name="Примечание 4 24 2 2" xfId="0"/>
    <cellStyle name="Примечание 4 24 2 2 2" xfId="0"/>
    <cellStyle name="Примечание 4 24 2 2 3" xfId="0"/>
    <cellStyle name="Примечание 4 24 2 3" xfId="0"/>
    <cellStyle name="Примечание 4 24 2 4" xfId="0"/>
    <cellStyle name="Примечание 4 24 3" xfId="0"/>
    <cellStyle name="Примечание 4 24 3 2" xfId="0"/>
    <cellStyle name="Примечание 4 24 3 2 2" xfId="0"/>
    <cellStyle name="Примечание 4 24 3 2 3" xfId="0"/>
    <cellStyle name="Примечание 4 24 3 3" xfId="0"/>
    <cellStyle name="Примечание 4 24 3 4" xfId="0"/>
    <cellStyle name="Примечание 4 24 4" xfId="0"/>
    <cellStyle name="Примечание 4 24 4 2" xfId="0"/>
    <cellStyle name="Примечание 4 24 4 3" xfId="0"/>
    <cellStyle name="Примечание 4 24 5" xfId="0"/>
    <cellStyle name="Примечание 4 24 6" xfId="0"/>
    <cellStyle name="Примечание 4 25" xfId="0"/>
    <cellStyle name="Примечание 4 25 2" xfId="0"/>
    <cellStyle name="Примечание 4 25 2 2" xfId="0"/>
    <cellStyle name="Примечание 4 25 2 2 2" xfId="0"/>
    <cellStyle name="Примечание 4 25 2 2 3" xfId="0"/>
    <cellStyle name="Примечание 4 25 2 3" xfId="0"/>
    <cellStyle name="Примечание 4 25 2 4" xfId="0"/>
    <cellStyle name="Примечание 4 25 3" xfId="0"/>
    <cellStyle name="Примечание 4 25 3 2" xfId="0"/>
    <cellStyle name="Примечание 4 25 3 3" xfId="0"/>
    <cellStyle name="Примечание 4 25 4" xfId="0"/>
    <cellStyle name="Примечание 4 25 5" xfId="0"/>
    <cellStyle name="Примечание 4 26" xfId="0"/>
    <cellStyle name="Примечание 4 26 2" xfId="0"/>
    <cellStyle name="Примечание 4 26 2 2" xfId="0"/>
    <cellStyle name="Примечание 4 26 2 2 2" xfId="0"/>
    <cellStyle name="Примечание 4 26 2 2 3" xfId="0"/>
    <cellStyle name="Примечание 4 26 2 3" xfId="0"/>
    <cellStyle name="Примечание 4 26 2 4" xfId="0"/>
    <cellStyle name="Примечание 4 26 3" xfId="0"/>
    <cellStyle name="Примечание 4 26 3 2" xfId="0"/>
    <cellStyle name="Примечание 4 26 3 3" xfId="0"/>
    <cellStyle name="Примечание 4 26 4" xfId="0"/>
    <cellStyle name="Примечание 4 26 5" xfId="0"/>
    <cellStyle name="Примечание 4 27" xfId="0"/>
    <cellStyle name="Примечание 4 27 2" xfId="0"/>
    <cellStyle name="Примечание 4 27 2 2" xfId="0"/>
    <cellStyle name="Примечание 4 27 2 2 2" xfId="0"/>
    <cellStyle name="Примечание 4 27 2 2 3" xfId="0"/>
    <cellStyle name="Примечание 4 27 2 3" xfId="0"/>
    <cellStyle name="Примечание 4 27 2 4" xfId="0"/>
    <cellStyle name="Примечание 4 27 3" xfId="0"/>
    <cellStyle name="Примечание 4 27 3 2" xfId="0"/>
    <cellStyle name="Примечание 4 27 3 3" xfId="0"/>
    <cellStyle name="Примечание 4 27 4" xfId="0"/>
    <cellStyle name="Примечание 4 27 5" xfId="0"/>
    <cellStyle name="Примечание 4 28" xfId="0"/>
    <cellStyle name="Примечание 4 28 2" xfId="0"/>
    <cellStyle name="Примечание 4 28 2 2" xfId="0"/>
    <cellStyle name="Примечание 4 28 2 3" xfId="0"/>
    <cellStyle name="Примечание 4 28 3" xfId="0"/>
    <cellStyle name="Примечание 4 28 4" xfId="0"/>
    <cellStyle name="Примечание 4 29" xfId="0"/>
    <cellStyle name="Примечание 4 29 2" xfId="0"/>
    <cellStyle name="Примечание 4 29 3" xfId="0"/>
    <cellStyle name="Примечание 4 3" xfId="0"/>
    <cellStyle name="Примечание 4 3 10" xfId="0"/>
    <cellStyle name="Примечание 4 3 2" xfId="0"/>
    <cellStyle name="Примечание 4 3 2 2" xfId="0"/>
    <cellStyle name="Примечание 4 3 2 2 2" xfId="0"/>
    <cellStyle name="Примечание 4 3 2 2 2 2" xfId="0"/>
    <cellStyle name="Примечание 4 3 2 2 2 3" xfId="0"/>
    <cellStyle name="Примечание 4 3 2 2 3" xfId="0"/>
    <cellStyle name="Примечание 4 3 2 2 4" xfId="0"/>
    <cellStyle name="Примечание 4 3 2 3" xfId="0"/>
    <cellStyle name="Примечание 4 3 2 3 2" xfId="0"/>
    <cellStyle name="Примечание 4 3 2 3 2 2" xfId="0"/>
    <cellStyle name="Примечание 4 3 2 3 2 3" xfId="0"/>
    <cellStyle name="Примечание 4 3 2 3 3" xfId="0"/>
    <cellStyle name="Примечание 4 3 2 3 4" xfId="0"/>
    <cellStyle name="Примечание 4 3 2 4" xfId="0"/>
    <cellStyle name="Примечание 4 3 2 4 2" xfId="0"/>
    <cellStyle name="Примечание 4 3 2 4 3" xfId="0"/>
    <cellStyle name="Примечание 4 3 2 5" xfId="0"/>
    <cellStyle name="Примечание 4 3 2 6" xfId="0"/>
    <cellStyle name="Примечание 4 3 3" xfId="0"/>
    <cellStyle name="Примечание 4 3 3 2" xfId="0"/>
    <cellStyle name="Примечание 4 3 3 2 2" xfId="0"/>
    <cellStyle name="Примечание 4 3 3 2 2 2" xfId="0"/>
    <cellStyle name="Примечание 4 3 3 2 2 3" xfId="0"/>
    <cellStyle name="Примечание 4 3 3 2 3" xfId="0"/>
    <cellStyle name="Примечание 4 3 3 2 4" xfId="0"/>
    <cellStyle name="Примечание 4 3 3 3" xfId="0"/>
    <cellStyle name="Примечание 4 3 3 3 2" xfId="0"/>
    <cellStyle name="Примечание 4 3 3 3 2 2" xfId="0"/>
    <cellStyle name="Примечание 4 3 3 3 2 3" xfId="0"/>
    <cellStyle name="Примечание 4 3 3 3 3" xfId="0"/>
    <cellStyle name="Примечание 4 3 3 3 4" xfId="0"/>
    <cellStyle name="Примечание 4 3 3 4" xfId="0"/>
    <cellStyle name="Примечание 4 3 3 4 2" xfId="0"/>
    <cellStyle name="Примечание 4 3 3 4 3" xfId="0"/>
    <cellStyle name="Примечание 4 3 3 5" xfId="0"/>
    <cellStyle name="Примечание 4 3 3 6" xfId="0"/>
    <cellStyle name="Примечание 4 3 4" xfId="0"/>
    <cellStyle name="Примечание 4 3 4 2" xfId="0"/>
    <cellStyle name="Примечание 4 3 4 2 2" xfId="0"/>
    <cellStyle name="Примечание 4 3 4 2 2 2" xfId="0"/>
    <cellStyle name="Примечание 4 3 4 2 2 3" xfId="0"/>
    <cellStyle name="Примечание 4 3 4 2 3" xfId="0"/>
    <cellStyle name="Примечание 4 3 4 2 4" xfId="0"/>
    <cellStyle name="Примечание 4 3 4 3" xfId="0"/>
    <cellStyle name="Примечание 4 3 4 3 2" xfId="0"/>
    <cellStyle name="Примечание 4 3 4 3 2 2" xfId="0"/>
    <cellStyle name="Примечание 4 3 4 3 2 3" xfId="0"/>
    <cellStyle name="Примечание 4 3 4 3 3" xfId="0"/>
    <cellStyle name="Примечание 4 3 4 3 4" xfId="0"/>
    <cellStyle name="Примечание 4 3 4 4" xfId="0"/>
    <cellStyle name="Примечание 4 3 4 4 2" xfId="0"/>
    <cellStyle name="Примечание 4 3 4 4 3" xfId="0"/>
    <cellStyle name="Примечание 4 3 4 5" xfId="0"/>
    <cellStyle name="Примечание 4 3 4 6" xfId="0"/>
    <cellStyle name="Примечание 4 3 5" xfId="0"/>
    <cellStyle name="Примечание 4 3 5 2" xfId="0"/>
    <cellStyle name="Примечание 4 3 5 2 2" xfId="0"/>
    <cellStyle name="Примечание 4 3 5 2 2 2" xfId="0"/>
    <cellStyle name="Примечание 4 3 5 2 2 3" xfId="0"/>
    <cellStyle name="Примечание 4 3 5 2 3" xfId="0"/>
    <cellStyle name="Примечание 4 3 5 2 4" xfId="0"/>
    <cellStyle name="Примечание 4 3 5 3" xfId="0"/>
    <cellStyle name="Примечание 4 3 5 3 2" xfId="0"/>
    <cellStyle name="Примечание 4 3 5 3 2 2" xfId="0"/>
    <cellStyle name="Примечание 4 3 5 3 2 3" xfId="0"/>
    <cellStyle name="Примечание 4 3 5 3 3" xfId="0"/>
    <cellStyle name="Примечание 4 3 5 3 4" xfId="0"/>
    <cellStyle name="Примечание 4 3 5 4" xfId="0"/>
    <cellStyle name="Примечание 4 3 5 4 2" xfId="0"/>
    <cellStyle name="Примечание 4 3 5 4 3" xfId="0"/>
    <cellStyle name="Примечание 4 3 5 5" xfId="0"/>
    <cellStyle name="Примечание 4 3 5 6" xfId="0"/>
    <cellStyle name="Примечание 4 3 6" xfId="0"/>
    <cellStyle name="Примечание 4 3 6 2" xfId="0"/>
    <cellStyle name="Примечание 4 3 6 2 2" xfId="0"/>
    <cellStyle name="Примечание 4 3 6 2 2 2" xfId="0"/>
    <cellStyle name="Примечание 4 3 6 2 2 3" xfId="0"/>
    <cellStyle name="Примечание 4 3 6 2 3" xfId="0"/>
    <cellStyle name="Примечание 4 3 6 2 4" xfId="0"/>
    <cellStyle name="Примечание 4 3 6 3" xfId="0"/>
    <cellStyle name="Примечание 4 3 6 3 2" xfId="0"/>
    <cellStyle name="Примечание 4 3 6 3 3" xfId="0"/>
    <cellStyle name="Примечание 4 3 6 4" xfId="0"/>
    <cellStyle name="Примечание 4 3 6 5" xfId="0"/>
    <cellStyle name="Примечание 4 3 7" xfId="0"/>
    <cellStyle name="Примечание 4 3 7 2" xfId="0"/>
    <cellStyle name="Примечание 4 3 7 2 2" xfId="0"/>
    <cellStyle name="Примечание 4 3 7 2 2 2" xfId="0"/>
    <cellStyle name="Примечание 4 3 7 2 2 3" xfId="0"/>
    <cellStyle name="Примечание 4 3 7 2 3" xfId="0"/>
    <cellStyle name="Примечание 4 3 7 2 4" xfId="0"/>
    <cellStyle name="Примечание 4 3 7 3" xfId="0"/>
    <cellStyle name="Примечание 4 3 7 3 2" xfId="0"/>
    <cellStyle name="Примечание 4 3 7 3 3" xfId="0"/>
    <cellStyle name="Примечание 4 3 7 4" xfId="0"/>
    <cellStyle name="Примечание 4 3 7 5" xfId="0"/>
    <cellStyle name="Примечание 4 3 8" xfId="0"/>
    <cellStyle name="Примечание 4 3 8 2" xfId="0"/>
    <cellStyle name="Примечание 4 3 8 3" xfId="0"/>
    <cellStyle name="Примечание 4 3 9" xfId="0"/>
    <cellStyle name="Примечание 4 30" xfId="0"/>
    <cellStyle name="Примечание 4 30 2" xfId="0"/>
    <cellStyle name="Примечание 4 30 3" xfId="0"/>
    <cellStyle name="Примечание 4 31" xfId="0"/>
    <cellStyle name="Примечание 4 31 2" xfId="0"/>
    <cellStyle name="Примечание 4 31 3" xfId="0"/>
    <cellStyle name="Примечание 4 32" xfId="0"/>
    <cellStyle name="Примечание 4 32 2" xfId="0"/>
    <cellStyle name="Примечание 4 32 3" xfId="0"/>
    <cellStyle name="Примечание 4 33" xfId="0"/>
    <cellStyle name="Примечание 4 4" xfId="0"/>
    <cellStyle name="Примечание 4 4 10" xfId="0"/>
    <cellStyle name="Примечание 4 4 2" xfId="0"/>
    <cellStyle name="Примечание 4 4 2 2" xfId="0"/>
    <cellStyle name="Примечание 4 4 2 2 2" xfId="0"/>
    <cellStyle name="Примечание 4 4 2 2 2 2" xfId="0"/>
    <cellStyle name="Примечание 4 4 2 2 2 3" xfId="0"/>
    <cellStyle name="Примечание 4 4 2 2 3" xfId="0"/>
    <cellStyle name="Примечание 4 4 2 2 4" xfId="0"/>
    <cellStyle name="Примечание 4 4 2 3" xfId="0"/>
    <cellStyle name="Примечание 4 4 2 3 2" xfId="0"/>
    <cellStyle name="Примечание 4 4 2 3 2 2" xfId="0"/>
    <cellStyle name="Примечание 4 4 2 3 2 3" xfId="0"/>
    <cellStyle name="Примечание 4 4 2 3 3" xfId="0"/>
    <cellStyle name="Примечание 4 4 2 3 4" xfId="0"/>
    <cellStyle name="Примечание 4 4 2 4" xfId="0"/>
    <cellStyle name="Примечание 4 4 2 4 2" xfId="0"/>
    <cellStyle name="Примечание 4 4 2 4 3" xfId="0"/>
    <cellStyle name="Примечание 4 4 2 5" xfId="0"/>
    <cellStyle name="Примечание 4 4 2 6" xfId="0"/>
    <cellStyle name="Примечание 4 4 3" xfId="0"/>
    <cellStyle name="Примечание 4 4 3 2" xfId="0"/>
    <cellStyle name="Примечание 4 4 3 2 2" xfId="0"/>
    <cellStyle name="Примечание 4 4 3 2 2 2" xfId="0"/>
    <cellStyle name="Примечание 4 4 3 2 2 3" xfId="0"/>
    <cellStyle name="Примечание 4 4 3 2 3" xfId="0"/>
    <cellStyle name="Примечание 4 4 3 2 4" xfId="0"/>
    <cellStyle name="Примечание 4 4 3 3" xfId="0"/>
    <cellStyle name="Примечание 4 4 3 3 2" xfId="0"/>
    <cellStyle name="Примечание 4 4 3 3 2 2" xfId="0"/>
    <cellStyle name="Примечание 4 4 3 3 2 3" xfId="0"/>
    <cellStyle name="Примечание 4 4 3 3 3" xfId="0"/>
    <cellStyle name="Примечание 4 4 3 3 4" xfId="0"/>
    <cellStyle name="Примечание 4 4 3 4" xfId="0"/>
    <cellStyle name="Примечание 4 4 3 4 2" xfId="0"/>
    <cellStyle name="Примечание 4 4 3 4 3" xfId="0"/>
    <cellStyle name="Примечание 4 4 3 5" xfId="0"/>
    <cellStyle name="Примечание 4 4 3 6" xfId="0"/>
    <cellStyle name="Примечание 4 4 4" xfId="0"/>
    <cellStyle name="Примечание 4 4 4 2" xfId="0"/>
    <cellStyle name="Примечание 4 4 4 2 2" xfId="0"/>
    <cellStyle name="Примечание 4 4 4 2 2 2" xfId="0"/>
    <cellStyle name="Примечание 4 4 4 2 2 3" xfId="0"/>
    <cellStyle name="Примечание 4 4 4 2 3" xfId="0"/>
    <cellStyle name="Примечание 4 4 4 2 4" xfId="0"/>
    <cellStyle name="Примечание 4 4 4 3" xfId="0"/>
    <cellStyle name="Примечание 4 4 4 3 2" xfId="0"/>
    <cellStyle name="Примечание 4 4 4 3 2 2" xfId="0"/>
    <cellStyle name="Примечание 4 4 4 3 2 3" xfId="0"/>
    <cellStyle name="Примечание 4 4 4 3 3" xfId="0"/>
    <cellStyle name="Примечание 4 4 4 3 4" xfId="0"/>
    <cellStyle name="Примечание 4 4 4 4" xfId="0"/>
    <cellStyle name="Примечание 4 4 4 4 2" xfId="0"/>
    <cellStyle name="Примечание 4 4 4 4 3" xfId="0"/>
    <cellStyle name="Примечание 4 4 4 5" xfId="0"/>
    <cellStyle name="Примечание 4 4 4 6" xfId="0"/>
    <cellStyle name="Примечание 4 4 5" xfId="0"/>
    <cellStyle name="Примечание 4 4 5 2" xfId="0"/>
    <cellStyle name="Примечание 4 4 5 2 2" xfId="0"/>
    <cellStyle name="Примечание 4 4 5 2 2 2" xfId="0"/>
    <cellStyle name="Примечание 4 4 5 2 2 3" xfId="0"/>
    <cellStyle name="Примечание 4 4 5 2 3" xfId="0"/>
    <cellStyle name="Примечание 4 4 5 2 4" xfId="0"/>
    <cellStyle name="Примечание 4 4 5 3" xfId="0"/>
    <cellStyle name="Примечание 4 4 5 3 2" xfId="0"/>
    <cellStyle name="Примечание 4 4 5 3 2 2" xfId="0"/>
    <cellStyle name="Примечание 4 4 5 3 2 3" xfId="0"/>
    <cellStyle name="Примечание 4 4 5 3 3" xfId="0"/>
    <cellStyle name="Примечание 4 4 5 3 4" xfId="0"/>
    <cellStyle name="Примечание 4 4 5 4" xfId="0"/>
    <cellStyle name="Примечание 4 4 5 4 2" xfId="0"/>
    <cellStyle name="Примечание 4 4 5 4 3" xfId="0"/>
    <cellStyle name="Примечание 4 4 5 5" xfId="0"/>
    <cellStyle name="Примечание 4 4 5 6" xfId="0"/>
    <cellStyle name="Примечание 4 4 6" xfId="0"/>
    <cellStyle name="Примечание 4 4 6 2" xfId="0"/>
    <cellStyle name="Примечание 4 4 6 2 2" xfId="0"/>
    <cellStyle name="Примечание 4 4 6 2 2 2" xfId="0"/>
    <cellStyle name="Примечание 4 4 6 2 2 3" xfId="0"/>
    <cellStyle name="Примечание 4 4 6 2 3" xfId="0"/>
    <cellStyle name="Примечание 4 4 6 2 4" xfId="0"/>
    <cellStyle name="Примечание 4 4 6 3" xfId="0"/>
    <cellStyle name="Примечание 4 4 6 3 2" xfId="0"/>
    <cellStyle name="Примечание 4 4 6 3 3" xfId="0"/>
    <cellStyle name="Примечание 4 4 6 4" xfId="0"/>
    <cellStyle name="Примечание 4 4 6 5" xfId="0"/>
    <cellStyle name="Примечание 4 4 7" xfId="0"/>
    <cellStyle name="Примечание 4 4 7 2" xfId="0"/>
    <cellStyle name="Примечание 4 4 7 2 2" xfId="0"/>
    <cellStyle name="Примечание 4 4 7 2 2 2" xfId="0"/>
    <cellStyle name="Примечание 4 4 7 2 2 3" xfId="0"/>
    <cellStyle name="Примечание 4 4 7 2 3" xfId="0"/>
    <cellStyle name="Примечание 4 4 7 2 4" xfId="0"/>
    <cellStyle name="Примечание 4 4 7 3" xfId="0"/>
    <cellStyle name="Примечание 4 4 7 3 2" xfId="0"/>
    <cellStyle name="Примечание 4 4 7 3 3" xfId="0"/>
    <cellStyle name="Примечание 4 4 7 4" xfId="0"/>
    <cellStyle name="Примечание 4 4 7 5" xfId="0"/>
    <cellStyle name="Примечание 4 4 8" xfId="0"/>
    <cellStyle name="Примечание 4 4 8 2" xfId="0"/>
    <cellStyle name="Примечание 4 4 8 3" xfId="0"/>
    <cellStyle name="Примечание 4 4 9" xfId="0"/>
    <cellStyle name="Примечание 4 5" xfId="0"/>
    <cellStyle name="Примечание 4 5 2" xfId="0"/>
    <cellStyle name="Примечание 4 5 2 2" xfId="0"/>
    <cellStyle name="Примечание 4 5 2 2 2" xfId="0"/>
    <cellStyle name="Примечание 4 5 2 2 2 2" xfId="0"/>
    <cellStyle name="Примечание 4 5 2 2 2 3" xfId="0"/>
    <cellStyle name="Примечание 4 5 2 2 3" xfId="0"/>
    <cellStyle name="Примечание 4 5 2 2 4" xfId="0"/>
    <cellStyle name="Примечание 4 5 2 3" xfId="0"/>
    <cellStyle name="Примечание 4 5 2 3 2" xfId="0"/>
    <cellStyle name="Примечание 4 5 2 3 2 2" xfId="0"/>
    <cellStyle name="Примечание 4 5 2 3 2 3" xfId="0"/>
    <cellStyle name="Примечание 4 5 2 3 3" xfId="0"/>
    <cellStyle name="Примечание 4 5 2 3 4" xfId="0"/>
    <cellStyle name="Примечание 4 5 2 4" xfId="0"/>
    <cellStyle name="Примечание 4 5 2 4 2" xfId="0"/>
    <cellStyle name="Примечание 4 5 2 4 3" xfId="0"/>
    <cellStyle name="Примечание 4 5 2 5" xfId="0"/>
    <cellStyle name="Примечание 4 5 2 6" xfId="0"/>
    <cellStyle name="Примечание 4 5 3" xfId="0"/>
    <cellStyle name="Примечание 4 5 3 2" xfId="0"/>
    <cellStyle name="Примечание 4 5 3 2 2" xfId="0"/>
    <cellStyle name="Примечание 4 5 3 2 2 2" xfId="0"/>
    <cellStyle name="Примечание 4 5 3 2 2 3" xfId="0"/>
    <cellStyle name="Примечание 4 5 3 2 3" xfId="0"/>
    <cellStyle name="Примечание 4 5 3 2 4" xfId="0"/>
    <cellStyle name="Примечание 4 5 3 3" xfId="0"/>
    <cellStyle name="Примечание 4 5 3 3 2" xfId="0"/>
    <cellStyle name="Примечание 4 5 3 3 3" xfId="0"/>
    <cellStyle name="Примечание 4 5 3 4" xfId="0"/>
    <cellStyle name="Примечание 4 5 3 5" xfId="0"/>
    <cellStyle name="Примечание 4 5 4" xfId="0"/>
    <cellStyle name="Примечание 4 5 4 2" xfId="0"/>
    <cellStyle name="Примечание 4 5 4 2 2" xfId="0"/>
    <cellStyle name="Примечание 4 5 4 2 2 2" xfId="0"/>
    <cellStyle name="Примечание 4 5 4 2 2 3" xfId="0"/>
    <cellStyle name="Примечание 4 5 4 2 3" xfId="0"/>
    <cellStyle name="Примечание 4 5 4 2 4" xfId="0"/>
    <cellStyle name="Примечание 4 5 4 3" xfId="0"/>
    <cellStyle name="Примечание 4 5 4 3 2" xfId="0"/>
    <cellStyle name="Примечание 4 5 4 3 3" xfId="0"/>
    <cellStyle name="Примечание 4 5 4 4" xfId="0"/>
    <cellStyle name="Примечание 4 5 4 5" xfId="0"/>
    <cellStyle name="Примечание 4 5 5" xfId="0"/>
    <cellStyle name="Примечание 4 5 5 2" xfId="0"/>
    <cellStyle name="Примечание 4 5 5 3" xfId="0"/>
    <cellStyle name="Примечание 4 5 6" xfId="0"/>
    <cellStyle name="Примечание 4 5 7" xfId="0"/>
    <cellStyle name="Примечание 4 6" xfId="0"/>
    <cellStyle name="Примечание 4 6 2" xfId="0"/>
    <cellStyle name="Примечание 4 6 2 2" xfId="0"/>
    <cellStyle name="Примечание 4 6 2 2 2" xfId="0"/>
    <cellStyle name="Примечание 4 6 2 2 2 2" xfId="0"/>
    <cellStyle name="Примечание 4 6 2 2 2 3" xfId="0"/>
    <cellStyle name="Примечание 4 6 2 2 3" xfId="0"/>
    <cellStyle name="Примечание 4 6 2 2 4" xfId="0"/>
    <cellStyle name="Примечание 4 6 2 3" xfId="0"/>
    <cellStyle name="Примечание 4 6 2 3 2" xfId="0"/>
    <cellStyle name="Примечание 4 6 2 3 2 2" xfId="0"/>
    <cellStyle name="Примечание 4 6 2 3 2 3" xfId="0"/>
    <cellStyle name="Примечание 4 6 2 3 3" xfId="0"/>
    <cellStyle name="Примечание 4 6 2 3 4" xfId="0"/>
    <cellStyle name="Примечание 4 6 2 4" xfId="0"/>
    <cellStyle name="Примечание 4 6 2 4 2" xfId="0"/>
    <cellStyle name="Примечание 4 6 2 4 3" xfId="0"/>
    <cellStyle name="Примечание 4 6 2 5" xfId="0"/>
    <cellStyle name="Примечание 4 6 2 6" xfId="0"/>
    <cellStyle name="Примечание 4 6 3" xfId="0"/>
    <cellStyle name="Примечание 4 6 3 2" xfId="0"/>
    <cellStyle name="Примечание 4 6 3 2 2" xfId="0"/>
    <cellStyle name="Примечание 4 6 3 2 2 2" xfId="0"/>
    <cellStyle name="Примечание 4 6 3 2 2 3" xfId="0"/>
    <cellStyle name="Примечание 4 6 3 2 3" xfId="0"/>
    <cellStyle name="Примечание 4 6 3 2 4" xfId="0"/>
    <cellStyle name="Примечание 4 6 3 3" xfId="0"/>
    <cellStyle name="Примечание 4 6 3 3 2" xfId="0"/>
    <cellStyle name="Примечание 4 6 3 3 3" xfId="0"/>
    <cellStyle name="Примечание 4 6 3 4" xfId="0"/>
    <cellStyle name="Примечание 4 6 3 5" xfId="0"/>
    <cellStyle name="Примечание 4 6 4" xfId="0"/>
    <cellStyle name="Примечание 4 6 4 2" xfId="0"/>
    <cellStyle name="Примечание 4 6 4 2 2" xfId="0"/>
    <cellStyle name="Примечание 4 6 4 2 2 2" xfId="0"/>
    <cellStyle name="Примечание 4 6 4 2 2 3" xfId="0"/>
    <cellStyle name="Примечание 4 6 4 2 3" xfId="0"/>
    <cellStyle name="Примечание 4 6 4 2 4" xfId="0"/>
    <cellStyle name="Примечание 4 6 4 3" xfId="0"/>
    <cellStyle name="Примечание 4 6 4 3 2" xfId="0"/>
    <cellStyle name="Примечание 4 6 4 3 3" xfId="0"/>
    <cellStyle name="Примечание 4 6 4 4" xfId="0"/>
    <cellStyle name="Примечание 4 6 4 5" xfId="0"/>
    <cellStyle name="Примечание 4 6 5" xfId="0"/>
    <cellStyle name="Примечание 4 6 5 2" xfId="0"/>
    <cellStyle name="Примечание 4 6 5 3" xfId="0"/>
    <cellStyle name="Примечание 4 6 6" xfId="0"/>
    <cellStyle name="Примечание 4 6 7" xfId="0"/>
    <cellStyle name="Примечание 4 7" xfId="0"/>
    <cellStyle name="Примечание 4 7 2" xfId="0"/>
    <cellStyle name="Примечание 4 7 2 2" xfId="0"/>
    <cellStyle name="Примечание 4 7 2 2 2" xfId="0"/>
    <cellStyle name="Примечание 4 7 2 2 2 2" xfId="0"/>
    <cellStyle name="Примечание 4 7 2 2 2 3" xfId="0"/>
    <cellStyle name="Примечание 4 7 2 2 3" xfId="0"/>
    <cellStyle name="Примечание 4 7 2 2 4" xfId="0"/>
    <cellStyle name="Примечание 4 7 2 3" xfId="0"/>
    <cellStyle name="Примечание 4 7 2 3 2" xfId="0"/>
    <cellStyle name="Примечание 4 7 2 3 2 2" xfId="0"/>
    <cellStyle name="Примечание 4 7 2 3 2 3" xfId="0"/>
    <cellStyle name="Примечание 4 7 2 3 3" xfId="0"/>
    <cellStyle name="Примечание 4 7 2 3 4" xfId="0"/>
    <cellStyle name="Примечание 4 7 2 4" xfId="0"/>
    <cellStyle name="Примечание 4 7 2 4 2" xfId="0"/>
    <cellStyle name="Примечание 4 7 2 4 3" xfId="0"/>
    <cellStyle name="Примечание 4 7 2 5" xfId="0"/>
    <cellStyle name="Примечание 4 7 2 6" xfId="0"/>
    <cellStyle name="Примечание 4 7 3" xfId="0"/>
    <cellStyle name="Примечание 4 7 3 2" xfId="0"/>
    <cellStyle name="Примечание 4 7 3 2 2" xfId="0"/>
    <cellStyle name="Примечание 4 7 3 2 2 2" xfId="0"/>
    <cellStyle name="Примечание 4 7 3 2 2 3" xfId="0"/>
    <cellStyle name="Примечание 4 7 3 2 3" xfId="0"/>
    <cellStyle name="Примечание 4 7 3 2 4" xfId="0"/>
    <cellStyle name="Примечание 4 7 3 3" xfId="0"/>
    <cellStyle name="Примечание 4 7 3 3 2" xfId="0"/>
    <cellStyle name="Примечание 4 7 3 3 3" xfId="0"/>
    <cellStyle name="Примечание 4 7 3 4" xfId="0"/>
    <cellStyle name="Примечание 4 7 3 5" xfId="0"/>
    <cellStyle name="Примечание 4 7 4" xfId="0"/>
    <cellStyle name="Примечание 4 7 4 2" xfId="0"/>
    <cellStyle name="Примечание 4 7 4 2 2" xfId="0"/>
    <cellStyle name="Примечание 4 7 4 2 2 2" xfId="0"/>
    <cellStyle name="Примечание 4 7 4 2 2 3" xfId="0"/>
    <cellStyle name="Примечание 4 7 4 2 3" xfId="0"/>
    <cellStyle name="Примечание 4 7 4 2 4" xfId="0"/>
    <cellStyle name="Примечание 4 7 4 3" xfId="0"/>
    <cellStyle name="Примечание 4 7 4 3 2" xfId="0"/>
    <cellStyle name="Примечание 4 7 4 3 3" xfId="0"/>
    <cellStyle name="Примечание 4 7 4 4" xfId="0"/>
    <cellStyle name="Примечание 4 7 4 5" xfId="0"/>
    <cellStyle name="Примечание 4 7 5" xfId="0"/>
    <cellStyle name="Примечание 4 7 5 2" xfId="0"/>
    <cellStyle name="Примечание 4 7 5 3" xfId="0"/>
    <cellStyle name="Примечание 4 7 6" xfId="0"/>
    <cellStyle name="Примечание 4 7 7" xfId="0"/>
    <cellStyle name="Примечание 4 8" xfId="0"/>
    <cellStyle name="Примечание 4 8 2" xfId="0"/>
    <cellStyle name="Примечание 4 8 2 2" xfId="0"/>
    <cellStyle name="Примечание 4 8 2 2 2" xfId="0"/>
    <cellStyle name="Примечание 4 8 2 2 2 2" xfId="0"/>
    <cellStyle name="Примечание 4 8 2 2 2 3" xfId="0"/>
    <cellStyle name="Примечание 4 8 2 2 3" xfId="0"/>
    <cellStyle name="Примечание 4 8 2 2 4" xfId="0"/>
    <cellStyle name="Примечание 4 8 2 3" xfId="0"/>
    <cellStyle name="Примечание 4 8 2 3 2" xfId="0"/>
    <cellStyle name="Примечание 4 8 2 3 2 2" xfId="0"/>
    <cellStyle name="Примечание 4 8 2 3 2 3" xfId="0"/>
    <cellStyle name="Примечание 4 8 2 3 3" xfId="0"/>
    <cellStyle name="Примечание 4 8 2 3 4" xfId="0"/>
    <cellStyle name="Примечание 4 8 2 4" xfId="0"/>
    <cellStyle name="Примечание 4 8 2 4 2" xfId="0"/>
    <cellStyle name="Примечание 4 8 2 4 3" xfId="0"/>
    <cellStyle name="Примечание 4 8 2 5" xfId="0"/>
    <cellStyle name="Примечание 4 8 2 6" xfId="0"/>
    <cellStyle name="Примечание 4 8 3" xfId="0"/>
    <cellStyle name="Примечание 4 8 3 2" xfId="0"/>
    <cellStyle name="Примечание 4 8 3 2 2" xfId="0"/>
    <cellStyle name="Примечание 4 8 3 2 2 2" xfId="0"/>
    <cellStyle name="Примечание 4 8 3 2 2 3" xfId="0"/>
    <cellStyle name="Примечание 4 8 3 2 3" xfId="0"/>
    <cellStyle name="Примечание 4 8 3 2 4" xfId="0"/>
    <cellStyle name="Примечание 4 8 3 3" xfId="0"/>
    <cellStyle name="Примечание 4 8 3 3 2" xfId="0"/>
    <cellStyle name="Примечание 4 8 3 3 3" xfId="0"/>
    <cellStyle name="Примечание 4 8 3 4" xfId="0"/>
    <cellStyle name="Примечание 4 8 3 5" xfId="0"/>
    <cellStyle name="Примечание 4 8 4" xfId="0"/>
    <cellStyle name="Примечание 4 8 4 2" xfId="0"/>
    <cellStyle name="Примечание 4 8 4 2 2" xfId="0"/>
    <cellStyle name="Примечание 4 8 4 2 2 2" xfId="0"/>
    <cellStyle name="Примечание 4 8 4 2 2 3" xfId="0"/>
    <cellStyle name="Примечание 4 8 4 2 3" xfId="0"/>
    <cellStyle name="Примечание 4 8 4 2 4" xfId="0"/>
    <cellStyle name="Примечание 4 8 4 3" xfId="0"/>
    <cellStyle name="Примечание 4 8 4 3 2" xfId="0"/>
    <cellStyle name="Примечание 4 8 4 3 3" xfId="0"/>
    <cellStyle name="Примечание 4 8 4 4" xfId="0"/>
    <cellStyle name="Примечание 4 8 4 5" xfId="0"/>
    <cellStyle name="Примечание 4 8 5" xfId="0"/>
    <cellStyle name="Примечание 4 8 5 2" xfId="0"/>
    <cellStyle name="Примечание 4 8 5 3" xfId="0"/>
    <cellStyle name="Примечание 4 8 6" xfId="0"/>
    <cellStyle name="Примечание 4 8 7" xfId="0"/>
    <cellStyle name="Примечание 4 9" xfId="0"/>
    <cellStyle name="Примечание 4 9 2" xfId="0"/>
    <cellStyle name="Примечание 4 9 2 2" xfId="0"/>
    <cellStyle name="Примечание 4 9 2 2 2" xfId="0"/>
    <cellStyle name="Примечание 4 9 2 2 2 2" xfId="0"/>
    <cellStyle name="Примечание 4 9 2 2 2 3" xfId="0"/>
    <cellStyle name="Примечание 4 9 2 2 3" xfId="0"/>
    <cellStyle name="Примечание 4 9 2 2 4" xfId="0"/>
    <cellStyle name="Примечание 4 9 2 3" xfId="0"/>
    <cellStyle name="Примечание 4 9 2 3 2" xfId="0"/>
    <cellStyle name="Примечание 4 9 2 3 2 2" xfId="0"/>
    <cellStyle name="Примечание 4 9 2 3 2 3" xfId="0"/>
    <cellStyle name="Примечание 4 9 2 3 3" xfId="0"/>
    <cellStyle name="Примечание 4 9 2 3 4" xfId="0"/>
    <cellStyle name="Примечание 4 9 2 4" xfId="0"/>
    <cellStyle name="Примечание 4 9 2 4 2" xfId="0"/>
    <cellStyle name="Примечание 4 9 2 4 3" xfId="0"/>
    <cellStyle name="Примечание 4 9 2 5" xfId="0"/>
    <cellStyle name="Примечание 4 9 2 6" xfId="0"/>
    <cellStyle name="Примечание 4 9 3" xfId="0"/>
    <cellStyle name="Примечание 4 9 3 2" xfId="0"/>
    <cellStyle name="Примечание 4 9 3 2 2" xfId="0"/>
    <cellStyle name="Примечание 4 9 3 2 2 2" xfId="0"/>
    <cellStyle name="Примечание 4 9 3 2 2 3" xfId="0"/>
    <cellStyle name="Примечание 4 9 3 2 3" xfId="0"/>
    <cellStyle name="Примечание 4 9 3 2 4" xfId="0"/>
    <cellStyle name="Примечание 4 9 3 3" xfId="0"/>
    <cellStyle name="Примечание 4 9 3 3 2" xfId="0"/>
    <cellStyle name="Примечание 4 9 3 3 3" xfId="0"/>
    <cellStyle name="Примечание 4 9 3 4" xfId="0"/>
    <cellStyle name="Примечание 4 9 3 5" xfId="0"/>
    <cellStyle name="Примечание 4 9 4" xfId="0"/>
    <cellStyle name="Примечание 4 9 4 2" xfId="0"/>
    <cellStyle name="Примечание 4 9 4 2 2" xfId="0"/>
    <cellStyle name="Примечание 4 9 4 2 2 2" xfId="0"/>
    <cellStyle name="Примечание 4 9 4 2 2 3" xfId="0"/>
    <cellStyle name="Примечание 4 9 4 2 3" xfId="0"/>
    <cellStyle name="Примечание 4 9 4 2 4" xfId="0"/>
    <cellStyle name="Примечание 4 9 4 3" xfId="0"/>
    <cellStyle name="Примечание 4 9 4 3 2" xfId="0"/>
    <cellStyle name="Примечание 4 9 4 3 3" xfId="0"/>
    <cellStyle name="Примечание 4 9 4 4" xfId="0"/>
    <cellStyle name="Примечание 4 9 4 5" xfId="0"/>
    <cellStyle name="Примечание 4 9 5" xfId="0"/>
    <cellStyle name="Примечание 4 9 5 2" xfId="0"/>
    <cellStyle name="Примечание 4 9 5 3" xfId="0"/>
    <cellStyle name="Примечание 4 9 6" xfId="0"/>
    <cellStyle name="Примечание 4 9 7" xfId="0"/>
    <cellStyle name="Процентный 10" xfId="0"/>
    <cellStyle name="Процентный 10 2" xfId="0"/>
    <cellStyle name="Процентный 10 3" xfId="0"/>
    <cellStyle name="Процентный 11" xfId="0"/>
    <cellStyle name="Процентный 11 2" xfId="0"/>
    <cellStyle name="Процентный 11 2 2" xfId="0"/>
    <cellStyle name="Процентный 11 2 2 2" xfId="0"/>
    <cellStyle name="Процентный 11 2 2 3" xfId="0"/>
    <cellStyle name="Процентный 11 2 2 4" xfId="0"/>
    <cellStyle name="Процентный 11 2 2 5" xfId="0"/>
    <cellStyle name="Процентный 11 2 3" xfId="0"/>
    <cellStyle name="Процентный 11 2 4" xfId="0"/>
    <cellStyle name="Процентный 11 2 5" xfId="0"/>
    <cellStyle name="Процентный 11 2 6" xfId="0"/>
    <cellStyle name="Процентный 11 3" xfId="0"/>
    <cellStyle name="Процентный 11 3 2" xfId="0"/>
    <cellStyle name="Процентный 11 3 3" xfId="0"/>
    <cellStyle name="Процентный 11 3 4" xfId="0"/>
    <cellStyle name="Процентный 11 3 5" xfId="0"/>
    <cellStyle name="Процентный 11 4" xfId="0"/>
    <cellStyle name="Процентный 11 5" xfId="0"/>
    <cellStyle name="Процентный 11 6" xfId="0"/>
    <cellStyle name="Процентный 11 7" xfId="0"/>
    <cellStyle name="Процентный 12" xfId="0"/>
    <cellStyle name="Процентный 12 2" xfId="0"/>
    <cellStyle name="Процентный 12 2 2" xfId="0"/>
    <cellStyle name="Процентный 12 2 3" xfId="0"/>
    <cellStyle name="Процентный 12 2 4" xfId="0"/>
    <cellStyle name="Процентный 12 2 5" xfId="0"/>
    <cellStyle name="Процентный 12 3" xfId="0"/>
    <cellStyle name="Процентный 12 4" xfId="0"/>
    <cellStyle name="Процентный 12 5" xfId="0"/>
    <cellStyle name="Процентный 12 6" xfId="0"/>
    <cellStyle name="Процентный 13" xfId="0"/>
    <cellStyle name="Процентный 13 2" xfId="0"/>
    <cellStyle name="Процентный 13 2 2" xfId="0"/>
    <cellStyle name="Процентный 13 2 3" xfId="0"/>
    <cellStyle name="Процентный 13 2 4" xfId="0"/>
    <cellStyle name="Процентный 13 2 5" xfId="0"/>
    <cellStyle name="Процентный 13 3" xfId="0"/>
    <cellStyle name="Процентный 13 4" xfId="0"/>
    <cellStyle name="Процентный 13 5" xfId="0"/>
    <cellStyle name="Процентный 13 6" xfId="0"/>
    <cellStyle name="Процентный 14" xfId="0"/>
    <cellStyle name="Процентный 14 2" xfId="0"/>
    <cellStyle name="Процентный 14 2 2" xfId="0"/>
    <cellStyle name="Процентный 14 2 3" xfId="0"/>
    <cellStyle name="Процентный 14 2 4" xfId="0"/>
    <cellStyle name="Процентный 14 2 5" xfId="0"/>
    <cellStyle name="Процентный 14 3" xfId="0"/>
    <cellStyle name="Процентный 14 4" xfId="0"/>
    <cellStyle name="Процентный 14 5" xfId="0"/>
    <cellStyle name="Процентный 14 6" xfId="0"/>
    <cellStyle name="Процентный 15" xfId="0"/>
    <cellStyle name="Процентный 15 2" xfId="0"/>
    <cellStyle name="Процентный 15 2 2" xfId="0"/>
    <cellStyle name="Процентный 15 2 3" xfId="0"/>
    <cellStyle name="Процентный 15 2 4" xfId="0"/>
    <cellStyle name="Процентный 15 2 5" xfId="0"/>
    <cellStyle name="Процентный 15 3" xfId="0"/>
    <cellStyle name="Процентный 15 4" xfId="0"/>
    <cellStyle name="Процентный 15 5" xfId="0"/>
    <cellStyle name="Процентный 15 6" xfId="0"/>
    <cellStyle name="Процентный 16" xfId="0"/>
    <cellStyle name="Процентный 16 2" xfId="0"/>
    <cellStyle name="Процентный 16 2 2" xfId="0"/>
    <cellStyle name="Процентный 16 2 3" xfId="0"/>
    <cellStyle name="Процентный 16 2 4" xfId="0"/>
    <cellStyle name="Процентный 16 2 5" xfId="0"/>
    <cellStyle name="Процентный 16 3" xfId="0"/>
    <cellStyle name="Процентный 16 4" xfId="0"/>
    <cellStyle name="Процентный 16 5" xfId="0"/>
    <cellStyle name="Процентный 16 6" xfId="0"/>
    <cellStyle name="Процентный 17" xfId="0"/>
    <cellStyle name="Процентный 18" xfId="0"/>
    <cellStyle name="Процентный 19" xfId="0"/>
    <cellStyle name="Процентный 2" xfId="0"/>
    <cellStyle name="Процентный 2 2" xfId="0"/>
    <cellStyle name="Процентный 2 2 2" xfId="0"/>
    <cellStyle name="Процентный 2 2 3" xfId="0"/>
    <cellStyle name="Процентный 2 2 4" xfId="0"/>
    <cellStyle name="Процентный 2 3" xfId="0"/>
    <cellStyle name="Процентный 2 3 2" xfId="0"/>
    <cellStyle name="Процентный 2 3 3" xfId="0"/>
    <cellStyle name="Процентный 2 4" xfId="0"/>
    <cellStyle name="Процентный 2 5" xfId="0"/>
    <cellStyle name="Процентный 2 6" xfId="0"/>
    <cellStyle name="Процентный 2 6 2" xfId="0"/>
    <cellStyle name="Процентный 2 6 3" xfId="0"/>
    <cellStyle name="Процентный 2 6 4" xfId="0"/>
    <cellStyle name="Процентный 2 6 5" xfId="0"/>
    <cellStyle name="Процентный 2 7" xfId="0"/>
    <cellStyle name="Процентный 2 8" xfId="0"/>
    <cellStyle name="Процентный 3" xfId="0"/>
    <cellStyle name="Процентный 3 2" xfId="0"/>
    <cellStyle name="Процентный 3 3" xfId="0"/>
    <cellStyle name="Процентный 4" xfId="0"/>
    <cellStyle name="Процентный 4 2" xfId="0"/>
    <cellStyle name="Процентный 5" xfId="0"/>
    <cellStyle name="Процентный 5 2" xfId="0"/>
    <cellStyle name="Процентный 5 2 2" xfId="0"/>
    <cellStyle name="Процентный 5 3" xfId="0"/>
    <cellStyle name="Процентный 6" xfId="0"/>
    <cellStyle name="Процентный 6 2" xfId="0"/>
    <cellStyle name="Процентный 6 2 10" xfId="0"/>
    <cellStyle name="Процентный 6 2 11" xfId="0"/>
    <cellStyle name="Процентный 6 2 12" xfId="0"/>
    <cellStyle name="Процентный 6 2 13" xfId="0"/>
    <cellStyle name="Процентный 6 2 2" xfId="0"/>
    <cellStyle name="Процентный 6 2 2 2" xfId="0"/>
    <cellStyle name="Процентный 6 2 2 2 2" xfId="0"/>
    <cellStyle name="Процентный 6 2 2 2 3" xfId="0"/>
    <cellStyle name="Процентный 6 2 2 2 4" xfId="0"/>
    <cellStyle name="Процентный 6 2 2 2 5" xfId="0"/>
    <cellStyle name="Процентный 6 2 2 3" xfId="0"/>
    <cellStyle name="Процентный 6 2 2 4" xfId="0"/>
    <cellStyle name="Процентный 6 2 2 5" xfId="0"/>
    <cellStyle name="Процентный 6 2 2 6" xfId="0"/>
    <cellStyle name="Процентный 6 2 3" xfId="0"/>
    <cellStyle name="Процентный 6 2 3 2" xfId="0"/>
    <cellStyle name="Процентный 6 2 3 2 2" xfId="0"/>
    <cellStyle name="Процентный 6 2 3 2 3" xfId="0"/>
    <cellStyle name="Процентный 6 2 3 2 4" xfId="0"/>
    <cellStyle name="Процентный 6 2 3 2 5" xfId="0"/>
    <cellStyle name="Процентный 6 2 3 3" xfId="0"/>
    <cellStyle name="Процентный 6 2 3 4" xfId="0"/>
    <cellStyle name="Процентный 6 2 3 5" xfId="0"/>
    <cellStyle name="Процентный 6 2 3 6" xfId="0"/>
    <cellStyle name="Процентный 6 2 4" xfId="0"/>
    <cellStyle name="Процентный 6 2 4 2" xfId="0"/>
    <cellStyle name="Процентный 6 2 4 2 2" xfId="0"/>
    <cellStyle name="Процентный 6 2 4 2 3" xfId="0"/>
    <cellStyle name="Процентный 6 2 4 2 4" xfId="0"/>
    <cellStyle name="Процентный 6 2 4 2 5" xfId="0"/>
    <cellStyle name="Процентный 6 2 4 3" xfId="0"/>
    <cellStyle name="Процентный 6 2 4 4" xfId="0"/>
    <cellStyle name="Процентный 6 2 4 5" xfId="0"/>
    <cellStyle name="Процентный 6 2 4 6" xfId="0"/>
    <cellStyle name="Процентный 6 2 5" xfId="0"/>
    <cellStyle name="Процентный 6 2 5 2" xfId="0"/>
    <cellStyle name="Процентный 6 2 5 2 2" xfId="0"/>
    <cellStyle name="Процентный 6 2 5 2 3" xfId="0"/>
    <cellStyle name="Процентный 6 2 5 2 4" xfId="0"/>
    <cellStyle name="Процентный 6 2 5 2 5" xfId="0"/>
    <cellStyle name="Процентный 6 2 5 3" xfId="0"/>
    <cellStyle name="Процентный 6 2 5 4" xfId="0"/>
    <cellStyle name="Процентный 6 2 5 5" xfId="0"/>
    <cellStyle name="Процентный 6 2 5 6" xfId="0"/>
    <cellStyle name="Процентный 6 2 6" xfId="0"/>
    <cellStyle name="Процентный 6 2 6 2" xfId="0"/>
    <cellStyle name="Процентный 6 2 6 2 2" xfId="0"/>
    <cellStyle name="Процентный 6 2 6 2 3" xfId="0"/>
    <cellStyle name="Процентный 6 2 6 2 4" xfId="0"/>
    <cellStyle name="Процентный 6 2 6 2 5" xfId="0"/>
    <cellStyle name="Процентный 6 2 6 3" xfId="0"/>
    <cellStyle name="Процентный 6 2 6 4" xfId="0"/>
    <cellStyle name="Процентный 6 2 6 5" xfId="0"/>
    <cellStyle name="Процентный 6 2 6 6" xfId="0"/>
    <cellStyle name="Процентный 6 2 7" xfId="0"/>
    <cellStyle name="Процентный 6 2 7 2" xfId="0"/>
    <cellStyle name="Процентный 6 2 7 3" xfId="0"/>
    <cellStyle name="Процентный 6 2 7 4" xfId="0"/>
    <cellStyle name="Процентный 6 2 7 5" xfId="0"/>
    <cellStyle name="Процентный 6 2 8" xfId="0"/>
    <cellStyle name="Процентный 6 2 8 2" xfId="0"/>
    <cellStyle name="Процентный 6 2 8 3" xfId="0"/>
    <cellStyle name="Процентный 6 2 8 4" xfId="0"/>
    <cellStyle name="Процентный 6 2 8 5" xfId="0"/>
    <cellStyle name="Процентный 6 2 9" xfId="0"/>
    <cellStyle name="Процентный 6 3" xfId="0"/>
    <cellStyle name="Процентный 6 4" xfId="0"/>
    <cellStyle name="Процентный 6 4 2" xfId="0"/>
    <cellStyle name="Процентный 6 4 3" xfId="0"/>
    <cellStyle name="Процентный 6 4 4" xfId="0"/>
    <cellStyle name="Процентный 6 4 5" xfId="0"/>
    <cellStyle name="Процентный 6 5" xfId="0"/>
    <cellStyle name="Процентный 7" xfId="0"/>
    <cellStyle name="Процентный 7 2" xfId="0"/>
    <cellStyle name="Процентный 7 3" xfId="0"/>
    <cellStyle name="Процентный 8" xfId="0"/>
    <cellStyle name="Процентный 8 2" xfId="0"/>
    <cellStyle name="Процентный 8 2 10" xfId="0"/>
    <cellStyle name="Процентный 8 2 11" xfId="0"/>
    <cellStyle name="Процентный 8 2 12" xfId="0"/>
    <cellStyle name="Процентный 8 2 13" xfId="0"/>
    <cellStyle name="Процентный 8 2 2" xfId="0"/>
    <cellStyle name="Процентный 8 2 2 2" xfId="0"/>
    <cellStyle name="Процентный 8 2 2 2 2" xfId="0"/>
    <cellStyle name="Процентный 8 2 2 2 3" xfId="0"/>
    <cellStyle name="Процентный 8 2 2 2 4" xfId="0"/>
    <cellStyle name="Процентный 8 2 2 2 5" xfId="0"/>
    <cellStyle name="Процентный 8 2 2 3" xfId="0"/>
    <cellStyle name="Процентный 8 2 2 4" xfId="0"/>
    <cellStyle name="Процентный 8 2 2 5" xfId="0"/>
    <cellStyle name="Процентный 8 2 2 6" xfId="0"/>
    <cellStyle name="Процентный 8 2 3" xfId="0"/>
    <cellStyle name="Процентный 8 2 3 2" xfId="0"/>
    <cellStyle name="Процентный 8 2 3 2 2" xfId="0"/>
    <cellStyle name="Процентный 8 2 3 2 3" xfId="0"/>
    <cellStyle name="Процентный 8 2 3 2 4" xfId="0"/>
    <cellStyle name="Процентный 8 2 3 2 5" xfId="0"/>
    <cellStyle name="Процентный 8 2 3 3" xfId="0"/>
    <cellStyle name="Процентный 8 2 3 4" xfId="0"/>
    <cellStyle name="Процентный 8 2 3 5" xfId="0"/>
    <cellStyle name="Процентный 8 2 3 6" xfId="0"/>
    <cellStyle name="Процентный 8 2 4" xfId="0"/>
    <cellStyle name="Процентный 8 2 4 2" xfId="0"/>
    <cellStyle name="Процентный 8 2 4 2 2" xfId="0"/>
    <cellStyle name="Процентный 8 2 4 2 3" xfId="0"/>
    <cellStyle name="Процентный 8 2 4 2 4" xfId="0"/>
    <cellStyle name="Процентный 8 2 4 2 5" xfId="0"/>
    <cellStyle name="Процентный 8 2 4 3" xfId="0"/>
    <cellStyle name="Процентный 8 2 4 4" xfId="0"/>
    <cellStyle name="Процентный 8 2 4 5" xfId="0"/>
    <cellStyle name="Процентный 8 2 4 6" xfId="0"/>
    <cellStyle name="Процентный 8 2 5" xfId="0"/>
    <cellStyle name="Процентный 8 2 5 2" xfId="0"/>
    <cellStyle name="Процентный 8 2 5 2 2" xfId="0"/>
    <cellStyle name="Процентный 8 2 5 2 3" xfId="0"/>
    <cellStyle name="Процентный 8 2 5 2 4" xfId="0"/>
    <cellStyle name="Процентный 8 2 5 2 5" xfId="0"/>
    <cellStyle name="Процентный 8 2 5 3" xfId="0"/>
    <cellStyle name="Процентный 8 2 5 4" xfId="0"/>
    <cellStyle name="Процентный 8 2 5 5" xfId="0"/>
    <cellStyle name="Процентный 8 2 5 6" xfId="0"/>
    <cellStyle name="Процентный 8 2 6" xfId="0"/>
    <cellStyle name="Процентный 8 2 6 2" xfId="0"/>
    <cellStyle name="Процентный 8 2 6 2 2" xfId="0"/>
    <cellStyle name="Процентный 8 2 6 2 3" xfId="0"/>
    <cellStyle name="Процентный 8 2 6 2 4" xfId="0"/>
    <cellStyle name="Процентный 8 2 6 2 5" xfId="0"/>
    <cellStyle name="Процентный 8 2 6 3" xfId="0"/>
    <cellStyle name="Процентный 8 2 6 4" xfId="0"/>
    <cellStyle name="Процентный 8 2 6 5" xfId="0"/>
    <cellStyle name="Процентный 8 2 6 6" xfId="0"/>
    <cellStyle name="Процентный 8 2 7" xfId="0"/>
    <cellStyle name="Процентный 8 2 7 2" xfId="0"/>
    <cellStyle name="Процентный 8 2 7 3" xfId="0"/>
    <cellStyle name="Процентный 8 2 7 4" xfId="0"/>
    <cellStyle name="Процентный 8 2 7 5" xfId="0"/>
    <cellStyle name="Процентный 8 2 8" xfId="0"/>
    <cellStyle name="Процентный 8 2 8 2" xfId="0"/>
    <cellStyle name="Процентный 8 2 8 3" xfId="0"/>
    <cellStyle name="Процентный 8 2 8 4" xfId="0"/>
    <cellStyle name="Процентный 8 2 8 5" xfId="0"/>
    <cellStyle name="Процентный 8 2 9" xfId="0"/>
    <cellStyle name="Процентный 8 3" xfId="0"/>
    <cellStyle name="Процентный 8 4" xfId="0"/>
    <cellStyle name="Процентный 8 4 2" xfId="0"/>
    <cellStyle name="Процентный 8 4 3" xfId="0"/>
    <cellStyle name="Процентный 8 4 4" xfId="0"/>
    <cellStyle name="Процентный 8 4 5" xfId="0"/>
    <cellStyle name="Процентный 8 5" xfId="0"/>
    <cellStyle name="Процентный 9" xfId="0"/>
    <cellStyle name="Процентный 9 2" xfId="0"/>
    <cellStyle name="Процентный 9 3" xfId="0"/>
    <cellStyle name="Процентный 9 3 2" xfId="0"/>
    <cellStyle name="Процентный 9 3 3" xfId="0"/>
    <cellStyle name="Процентный 9 3 4" xfId="0"/>
    <cellStyle name="Процентный 9 3 5" xfId="0"/>
    <cellStyle name="Результат сводной таблицы" xfId="0"/>
    <cellStyle name="Результат сводной таблицы 2" xfId="0"/>
    <cellStyle name="Связанная ячейка 1" xfId="0"/>
    <cellStyle name="Связанная ячейка 2" xfId="0"/>
    <cellStyle name="Связанная ячейка 3" xfId="0"/>
    <cellStyle name="Связанная ячейка 4" xfId="0"/>
    <cellStyle name="Стиль 1" xfId="0"/>
    <cellStyle name="Стиль 1 1" xfId="0"/>
    <cellStyle name="Стиль 1 2" xfId="0"/>
    <cellStyle name="Стиль 1 3" xfId="0"/>
    <cellStyle name="Стиль 1_Копия Растениеводство форма(Акционеры)" xfId="0"/>
    <cellStyle name="Текст предупреждения 1" xfId="0"/>
    <cellStyle name="Текст предупреждения 2" xfId="0"/>
    <cellStyle name="Текст предупреждения 3" xfId="0"/>
    <cellStyle name="Текст предупреждения 4" xfId="0"/>
    <cellStyle name="Тысячи [0]_Cash_flows" xfId="0"/>
    <cellStyle name="Тысячи [а]" xfId="0"/>
    <cellStyle name="Тысячи [а] 1" xfId="0"/>
    <cellStyle name="Тысячи [а] 1 2" xfId="0"/>
    <cellStyle name="Тысячи [а] 2" xfId="0"/>
    <cellStyle name="Тысячи [а] 2 2" xfId="0"/>
    <cellStyle name="Тысячи [а] 3" xfId="0"/>
    <cellStyle name="Тысячи [а] 3 2" xfId="0"/>
    <cellStyle name="Тысячи [а] 4" xfId="0"/>
    <cellStyle name="Тысячи [а]_АГМ" xfId="0"/>
    <cellStyle name="Тысячи_Cash_flows" xfId="0"/>
    <cellStyle name="Угол сводной таблицы" xfId="0"/>
    <cellStyle name="Угол сводной таблицы 2" xfId="0"/>
    <cellStyle name="Финансовый 10" xfId="0"/>
    <cellStyle name="Финансовый 10 10" xfId="0"/>
    <cellStyle name="Финансовый 10 10 2" xfId="0"/>
    <cellStyle name="Финансовый 10 10 3" xfId="0"/>
    <cellStyle name="Финансовый 10 10 4" xfId="0"/>
    <cellStyle name="Финансовый 10 10 5" xfId="0"/>
    <cellStyle name="Финансовый 10 11" xfId="0"/>
    <cellStyle name="Финансовый 10 12" xfId="0"/>
    <cellStyle name="Финансовый 10 13" xfId="0"/>
    <cellStyle name="Финансовый 10 14" xfId="0"/>
    <cellStyle name="Финансовый 10 15" xfId="0"/>
    <cellStyle name="Финансовый 10 2" xfId="0"/>
    <cellStyle name="Финансовый 10 2 10" xfId="0"/>
    <cellStyle name="Финансовый 10 2 11" xfId="0"/>
    <cellStyle name="Финансовый 10 2 12" xfId="0"/>
    <cellStyle name="Финансовый 10 2 2" xfId="0"/>
    <cellStyle name="Финансовый 10 2 2 2" xfId="0"/>
    <cellStyle name="Финансовый 10 2 2 2 2" xfId="0"/>
    <cellStyle name="Финансовый 10 2 2 2 2 2" xfId="0"/>
    <cellStyle name="Финансовый 10 2 2 2 2 3" xfId="0"/>
    <cellStyle name="Финансовый 10 2 2 2 2 4" xfId="0"/>
    <cellStyle name="Финансовый 10 2 2 2 2 5" xfId="0"/>
    <cellStyle name="Финансовый 10 2 2 2 3" xfId="0"/>
    <cellStyle name="Финансовый 10 2 2 2 4" xfId="0"/>
    <cellStyle name="Финансовый 10 2 2 2 5" xfId="0"/>
    <cellStyle name="Финансовый 10 2 2 2 6" xfId="0"/>
    <cellStyle name="Финансовый 10 2 2 3" xfId="0"/>
    <cellStyle name="Финансовый 10 2 2 3 2" xfId="0"/>
    <cellStyle name="Финансовый 10 2 2 3 3" xfId="0"/>
    <cellStyle name="Финансовый 10 2 2 3 4" xfId="0"/>
    <cellStyle name="Финансовый 10 2 2 3 5" xfId="0"/>
    <cellStyle name="Финансовый 10 2 2 4" xfId="0"/>
    <cellStyle name="Финансовый 10 2 2 5" xfId="0"/>
    <cellStyle name="Финансовый 10 2 2 6" xfId="0"/>
    <cellStyle name="Финансовый 10 2 2 7" xfId="0"/>
    <cellStyle name="Финансовый 10 2 3" xfId="0"/>
    <cellStyle name="Финансовый 10 2 3 2" xfId="0"/>
    <cellStyle name="Финансовый 10 2 3 2 2" xfId="0"/>
    <cellStyle name="Финансовый 10 2 3 2 3" xfId="0"/>
    <cellStyle name="Финансовый 10 2 3 2 4" xfId="0"/>
    <cellStyle name="Финансовый 10 2 3 2 5" xfId="0"/>
    <cellStyle name="Финансовый 10 2 3 3" xfId="0"/>
    <cellStyle name="Финансовый 10 2 3 4" xfId="0"/>
    <cellStyle name="Финансовый 10 2 3 5" xfId="0"/>
    <cellStyle name="Финансовый 10 2 3 6" xfId="0"/>
    <cellStyle name="Финансовый 10 2 4" xfId="0"/>
    <cellStyle name="Финансовый 10 2 4 2" xfId="0"/>
    <cellStyle name="Финансовый 10 2 4 2 2" xfId="0"/>
    <cellStyle name="Финансовый 10 2 4 2 3" xfId="0"/>
    <cellStyle name="Финансовый 10 2 4 2 4" xfId="0"/>
    <cellStyle name="Финансовый 10 2 4 2 5" xfId="0"/>
    <cellStyle name="Финансовый 10 2 4 3" xfId="0"/>
    <cellStyle name="Финансовый 10 2 4 4" xfId="0"/>
    <cellStyle name="Финансовый 10 2 4 5" xfId="0"/>
    <cellStyle name="Финансовый 10 2 4 6" xfId="0"/>
    <cellStyle name="Финансовый 10 2 5" xfId="0"/>
    <cellStyle name="Финансовый 10 2 5 2" xfId="0"/>
    <cellStyle name="Финансовый 10 2 5 2 2" xfId="0"/>
    <cellStyle name="Финансовый 10 2 5 2 3" xfId="0"/>
    <cellStyle name="Финансовый 10 2 5 2 4" xfId="0"/>
    <cellStyle name="Финансовый 10 2 5 2 5" xfId="0"/>
    <cellStyle name="Финансовый 10 2 5 3" xfId="0"/>
    <cellStyle name="Финансовый 10 2 5 4" xfId="0"/>
    <cellStyle name="Финансовый 10 2 5 5" xfId="0"/>
    <cellStyle name="Финансовый 10 2 5 6" xfId="0"/>
    <cellStyle name="Финансовый 10 2 6" xfId="0"/>
    <cellStyle name="Финансовый 10 2 6 2" xfId="0"/>
    <cellStyle name="Финансовый 10 2 6 2 2" xfId="0"/>
    <cellStyle name="Финансовый 10 2 6 2 3" xfId="0"/>
    <cellStyle name="Финансовый 10 2 6 2 4" xfId="0"/>
    <cellStyle name="Финансовый 10 2 6 2 5" xfId="0"/>
    <cellStyle name="Финансовый 10 2 6 3" xfId="0"/>
    <cellStyle name="Финансовый 10 2 6 4" xfId="0"/>
    <cellStyle name="Финансовый 10 2 6 5" xfId="0"/>
    <cellStyle name="Финансовый 10 2 6 6" xfId="0"/>
    <cellStyle name="Финансовый 10 2 7" xfId="0"/>
    <cellStyle name="Финансовый 10 2 7 2" xfId="0"/>
    <cellStyle name="Финансовый 10 2 7 2 2" xfId="0"/>
    <cellStyle name="Финансовый 10 2 7 2 3" xfId="0"/>
    <cellStyle name="Финансовый 10 2 7 2 4" xfId="0"/>
    <cellStyle name="Финансовый 10 2 7 2 5" xfId="0"/>
    <cellStyle name="Финансовый 10 2 7 3" xfId="0"/>
    <cellStyle name="Финансовый 10 2 7 4" xfId="0"/>
    <cellStyle name="Финансовый 10 2 7 5" xfId="0"/>
    <cellStyle name="Финансовый 10 2 7 6" xfId="0"/>
    <cellStyle name="Финансовый 10 2 8" xfId="0"/>
    <cellStyle name="Финансовый 10 2 8 2" xfId="0"/>
    <cellStyle name="Финансовый 10 2 8 3" xfId="0"/>
    <cellStyle name="Финансовый 10 2 8 4" xfId="0"/>
    <cellStyle name="Финансовый 10 2 8 5" xfId="0"/>
    <cellStyle name="Финансовый 10 2 9" xfId="0"/>
    <cellStyle name="Финансовый 10 3" xfId="0"/>
    <cellStyle name="Финансовый 10 4" xfId="0"/>
    <cellStyle name="Финансовый 10 4 2" xfId="0"/>
    <cellStyle name="Финансовый 10 4 2 2" xfId="0"/>
    <cellStyle name="Финансовый 10 4 2 2 2" xfId="0"/>
    <cellStyle name="Финансовый 10 4 2 2 3" xfId="0"/>
    <cellStyle name="Финансовый 10 4 2 2 4" xfId="0"/>
    <cellStyle name="Финансовый 10 4 2 2 5" xfId="0"/>
    <cellStyle name="Финансовый 10 4 2 3" xfId="0"/>
    <cellStyle name="Финансовый 10 4 2 4" xfId="0"/>
    <cellStyle name="Финансовый 10 4 2 5" xfId="0"/>
    <cellStyle name="Финансовый 10 4 2 6" xfId="0"/>
    <cellStyle name="Финансовый 10 4 3" xfId="0"/>
    <cellStyle name="Финансовый 10 4 3 2" xfId="0"/>
    <cellStyle name="Финансовый 10 4 3 3" xfId="0"/>
    <cellStyle name="Финансовый 10 4 3 4" xfId="0"/>
    <cellStyle name="Финансовый 10 4 3 5" xfId="0"/>
    <cellStyle name="Финансовый 10 4 4" xfId="0"/>
    <cellStyle name="Финансовый 10 4 5" xfId="0"/>
    <cellStyle name="Финансовый 10 4 6" xfId="0"/>
    <cellStyle name="Финансовый 10 4 7" xfId="0"/>
    <cellStyle name="Финансовый 10 5" xfId="0"/>
    <cellStyle name="Финансовый 10 5 2" xfId="0"/>
    <cellStyle name="Финансовый 10 5 2 2" xfId="0"/>
    <cellStyle name="Финансовый 10 5 2 3" xfId="0"/>
    <cellStyle name="Финансовый 10 5 2 4" xfId="0"/>
    <cellStyle name="Финансовый 10 5 2 5" xfId="0"/>
    <cellStyle name="Финансовый 10 5 3" xfId="0"/>
    <cellStyle name="Финансовый 10 5 4" xfId="0"/>
    <cellStyle name="Финансовый 10 5 5" xfId="0"/>
    <cellStyle name="Финансовый 10 5 6" xfId="0"/>
    <cellStyle name="Финансовый 10 6" xfId="0"/>
    <cellStyle name="Финансовый 10 6 2" xfId="0"/>
    <cellStyle name="Финансовый 10 6 2 2" xfId="0"/>
    <cellStyle name="Финансовый 10 6 2 3" xfId="0"/>
    <cellStyle name="Финансовый 10 6 2 4" xfId="0"/>
    <cellStyle name="Финансовый 10 6 2 5" xfId="0"/>
    <cellStyle name="Финансовый 10 6 3" xfId="0"/>
    <cellStyle name="Финансовый 10 6 4" xfId="0"/>
    <cellStyle name="Финансовый 10 6 5" xfId="0"/>
    <cellStyle name="Финансовый 10 6 6" xfId="0"/>
    <cellStyle name="Финансовый 10 7" xfId="0"/>
    <cellStyle name="Финансовый 10 7 2" xfId="0"/>
    <cellStyle name="Финансовый 10 7 2 2" xfId="0"/>
    <cellStyle name="Финансовый 10 7 2 3" xfId="0"/>
    <cellStyle name="Финансовый 10 7 2 4" xfId="0"/>
    <cellStyle name="Финансовый 10 7 2 5" xfId="0"/>
    <cellStyle name="Финансовый 10 7 3" xfId="0"/>
    <cellStyle name="Финансовый 10 7 4" xfId="0"/>
    <cellStyle name="Финансовый 10 7 5" xfId="0"/>
    <cellStyle name="Финансовый 10 7 6" xfId="0"/>
    <cellStyle name="Финансовый 10 8" xfId="0"/>
    <cellStyle name="Финансовый 10 8 2" xfId="0"/>
    <cellStyle name="Финансовый 10 8 2 2" xfId="0"/>
    <cellStyle name="Финансовый 10 8 2 3" xfId="0"/>
    <cellStyle name="Финансовый 10 8 2 4" xfId="0"/>
    <cellStyle name="Финансовый 10 8 2 5" xfId="0"/>
    <cellStyle name="Финансовый 10 8 3" xfId="0"/>
    <cellStyle name="Финансовый 10 8 4" xfId="0"/>
    <cellStyle name="Финансовый 10 8 5" xfId="0"/>
    <cellStyle name="Финансовый 10 8 6" xfId="0"/>
    <cellStyle name="Финансовый 10 9" xfId="0"/>
    <cellStyle name="Финансовый 10 9 2" xfId="0"/>
    <cellStyle name="Финансовый 10 9 2 2" xfId="0"/>
    <cellStyle name="Финансовый 10 9 2 3" xfId="0"/>
    <cellStyle name="Финансовый 10 9 2 4" xfId="0"/>
    <cellStyle name="Финансовый 10 9 2 5" xfId="0"/>
    <cellStyle name="Финансовый 10 9 3" xfId="0"/>
    <cellStyle name="Финансовый 10 9 4" xfId="0"/>
    <cellStyle name="Финансовый 10 9 5" xfId="0"/>
    <cellStyle name="Финансовый 10 9 6" xfId="0"/>
    <cellStyle name="Финансовый 11" xfId="0"/>
    <cellStyle name="Финансовый 11 2" xfId="0"/>
    <cellStyle name="Финансовый 11 2 10" xfId="0"/>
    <cellStyle name="Финансовый 11 2 11" xfId="0"/>
    <cellStyle name="Финансовый 11 2 12" xfId="0"/>
    <cellStyle name="Финансовый 11 2 13" xfId="0"/>
    <cellStyle name="Финансовый 11 2 2" xfId="0"/>
    <cellStyle name="Финансовый 11 2 2 2" xfId="0"/>
    <cellStyle name="Финансовый 11 2 2 2 2" xfId="0"/>
    <cellStyle name="Финансовый 11 2 2 2 2 2" xfId="0"/>
    <cellStyle name="Финансовый 11 2 2 2 2 3" xfId="0"/>
    <cellStyle name="Финансовый 11 2 2 2 2 4" xfId="0"/>
    <cellStyle name="Финансовый 11 2 2 2 2 5" xfId="0"/>
    <cellStyle name="Финансовый 11 2 2 2 3" xfId="0"/>
    <cellStyle name="Финансовый 11 2 2 2 4" xfId="0"/>
    <cellStyle name="Финансовый 11 2 2 2 5" xfId="0"/>
    <cellStyle name="Финансовый 11 2 2 2 6" xfId="0"/>
    <cellStyle name="Финансовый 11 2 2 3" xfId="0"/>
    <cellStyle name="Финансовый 11 2 2 3 2" xfId="0"/>
    <cellStyle name="Финансовый 11 2 2 3 3" xfId="0"/>
    <cellStyle name="Финансовый 11 2 2 3 4" xfId="0"/>
    <cellStyle name="Финансовый 11 2 2 3 5" xfId="0"/>
    <cellStyle name="Финансовый 11 2 2 4" xfId="0"/>
    <cellStyle name="Финансовый 11 2 2 5" xfId="0"/>
    <cellStyle name="Финансовый 11 2 2 6" xfId="0"/>
    <cellStyle name="Финансовый 11 2 2 7" xfId="0"/>
    <cellStyle name="Финансовый 11 2 3" xfId="0"/>
    <cellStyle name="Финансовый 11 2 3 2" xfId="0"/>
    <cellStyle name="Финансовый 11 2 3 2 2" xfId="0"/>
    <cellStyle name="Финансовый 11 2 3 2 3" xfId="0"/>
    <cellStyle name="Финансовый 11 2 3 2 4" xfId="0"/>
    <cellStyle name="Финансовый 11 2 3 2 5" xfId="0"/>
    <cellStyle name="Финансовый 11 2 3 3" xfId="0"/>
    <cellStyle name="Финансовый 11 2 3 4" xfId="0"/>
    <cellStyle name="Финансовый 11 2 3 5" xfId="0"/>
    <cellStyle name="Финансовый 11 2 3 6" xfId="0"/>
    <cellStyle name="Финансовый 11 2 4" xfId="0"/>
    <cellStyle name="Финансовый 11 2 4 2" xfId="0"/>
    <cellStyle name="Финансовый 11 2 4 2 2" xfId="0"/>
    <cellStyle name="Финансовый 11 2 4 2 3" xfId="0"/>
    <cellStyle name="Финансовый 11 2 4 2 4" xfId="0"/>
    <cellStyle name="Финансовый 11 2 4 2 5" xfId="0"/>
    <cellStyle name="Финансовый 11 2 4 3" xfId="0"/>
    <cellStyle name="Финансовый 11 2 4 4" xfId="0"/>
    <cellStyle name="Финансовый 11 2 4 5" xfId="0"/>
    <cellStyle name="Финансовый 11 2 4 6" xfId="0"/>
    <cellStyle name="Финансовый 11 2 5" xfId="0"/>
    <cellStyle name="Финансовый 11 2 5 2" xfId="0"/>
    <cellStyle name="Финансовый 11 2 5 2 2" xfId="0"/>
    <cellStyle name="Финансовый 11 2 5 2 3" xfId="0"/>
    <cellStyle name="Финансовый 11 2 5 2 4" xfId="0"/>
    <cellStyle name="Финансовый 11 2 5 2 5" xfId="0"/>
    <cellStyle name="Финансовый 11 2 5 3" xfId="0"/>
    <cellStyle name="Финансовый 11 2 5 4" xfId="0"/>
    <cellStyle name="Финансовый 11 2 5 5" xfId="0"/>
    <cellStyle name="Финансовый 11 2 5 6" xfId="0"/>
    <cellStyle name="Финансовый 11 2 6" xfId="0"/>
    <cellStyle name="Финансовый 11 2 6 2" xfId="0"/>
    <cellStyle name="Финансовый 11 2 6 2 2" xfId="0"/>
    <cellStyle name="Финансовый 11 2 6 2 3" xfId="0"/>
    <cellStyle name="Финансовый 11 2 6 2 4" xfId="0"/>
    <cellStyle name="Финансовый 11 2 6 2 5" xfId="0"/>
    <cellStyle name="Финансовый 11 2 6 3" xfId="0"/>
    <cellStyle name="Финансовый 11 2 6 4" xfId="0"/>
    <cellStyle name="Финансовый 11 2 6 5" xfId="0"/>
    <cellStyle name="Финансовый 11 2 6 6" xfId="0"/>
    <cellStyle name="Финансовый 11 2 7" xfId="0"/>
    <cellStyle name="Финансовый 11 2 7 2" xfId="0"/>
    <cellStyle name="Финансовый 11 2 7 3" xfId="0"/>
    <cellStyle name="Финансовый 11 2 7 4" xfId="0"/>
    <cellStyle name="Финансовый 11 2 7 5" xfId="0"/>
    <cellStyle name="Финансовый 11 2 8" xfId="0"/>
    <cellStyle name="Финансовый 11 2 8 2" xfId="0"/>
    <cellStyle name="Финансовый 11 2 8 3" xfId="0"/>
    <cellStyle name="Финансовый 11 2 8 4" xfId="0"/>
    <cellStyle name="Финансовый 11 2 8 5" xfId="0"/>
    <cellStyle name="Финансовый 11 2 9" xfId="0"/>
    <cellStyle name="Финансовый 11 3" xfId="0"/>
    <cellStyle name="Финансовый 11 3 10" xfId="0"/>
    <cellStyle name="Финансовый 11 3 2" xfId="0"/>
    <cellStyle name="Финансовый 11 3 2 2" xfId="0"/>
    <cellStyle name="Финансовый 11 3 2 2 2" xfId="0"/>
    <cellStyle name="Финансовый 11 3 2 2 2 2" xfId="0"/>
    <cellStyle name="Финансовый 11 3 2 2 2 3" xfId="0"/>
    <cellStyle name="Финансовый 11 3 2 2 2 4" xfId="0"/>
    <cellStyle name="Финансовый 11 3 2 2 2 5" xfId="0"/>
    <cellStyle name="Финансовый 11 3 2 2 3" xfId="0"/>
    <cellStyle name="Финансовый 11 3 2 2 4" xfId="0"/>
    <cellStyle name="Финансовый 11 3 2 2 5" xfId="0"/>
    <cellStyle name="Финансовый 11 3 2 2 6" xfId="0"/>
    <cellStyle name="Финансовый 11 3 2 3" xfId="0"/>
    <cellStyle name="Финансовый 11 3 2 3 2" xfId="0"/>
    <cellStyle name="Финансовый 11 3 2 3 3" xfId="0"/>
    <cellStyle name="Финансовый 11 3 2 3 4" xfId="0"/>
    <cellStyle name="Финансовый 11 3 2 3 5" xfId="0"/>
    <cellStyle name="Финансовый 11 3 2 4" xfId="0"/>
    <cellStyle name="Финансовый 11 3 2 5" xfId="0"/>
    <cellStyle name="Финансовый 11 3 2 6" xfId="0"/>
    <cellStyle name="Финансовый 11 3 2 7" xfId="0"/>
    <cellStyle name="Финансовый 11 3 3" xfId="0"/>
    <cellStyle name="Финансовый 11 3 3 2" xfId="0"/>
    <cellStyle name="Финансовый 11 3 3 2 2" xfId="0"/>
    <cellStyle name="Финансовый 11 3 3 2 3" xfId="0"/>
    <cellStyle name="Финансовый 11 3 3 2 4" xfId="0"/>
    <cellStyle name="Финансовый 11 3 3 2 5" xfId="0"/>
    <cellStyle name="Финансовый 11 3 3 3" xfId="0"/>
    <cellStyle name="Финансовый 11 3 3 4" xfId="0"/>
    <cellStyle name="Финансовый 11 3 3 5" xfId="0"/>
    <cellStyle name="Финансовый 11 3 3 6" xfId="0"/>
    <cellStyle name="Финансовый 11 3 4" xfId="0"/>
    <cellStyle name="Финансовый 11 3 4 2" xfId="0"/>
    <cellStyle name="Финансовый 11 3 4 2 2" xfId="0"/>
    <cellStyle name="Финансовый 11 3 4 2 3" xfId="0"/>
    <cellStyle name="Финансовый 11 3 4 2 4" xfId="0"/>
    <cellStyle name="Финансовый 11 3 4 2 5" xfId="0"/>
    <cellStyle name="Финансовый 11 3 4 3" xfId="0"/>
    <cellStyle name="Финансовый 11 3 4 4" xfId="0"/>
    <cellStyle name="Финансовый 11 3 4 5" xfId="0"/>
    <cellStyle name="Финансовый 11 3 4 6" xfId="0"/>
    <cellStyle name="Финансовый 11 3 5" xfId="0"/>
    <cellStyle name="Финансовый 11 3 5 2" xfId="0"/>
    <cellStyle name="Финансовый 11 3 5 2 2" xfId="0"/>
    <cellStyle name="Финансовый 11 3 5 2 3" xfId="0"/>
    <cellStyle name="Финансовый 11 3 5 2 4" xfId="0"/>
    <cellStyle name="Финансовый 11 3 5 2 5" xfId="0"/>
    <cellStyle name="Финансовый 11 3 5 3" xfId="0"/>
    <cellStyle name="Финансовый 11 3 5 4" xfId="0"/>
    <cellStyle name="Финансовый 11 3 5 5" xfId="0"/>
    <cellStyle name="Финансовый 11 3 5 6" xfId="0"/>
    <cellStyle name="Финансовый 11 3 6" xfId="0"/>
    <cellStyle name="Финансовый 11 3 6 2" xfId="0"/>
    <cellStyle name="Финансовый 11 3 6 3" xfId="0"/>
    <cellStyle name="Финансовый 11 3 6 4" xfId="0"/>
    <cellStyle name="Финансовый 11 3 6 5" xfId="0"/>
    <cellStyle name="Финансовый 11 3 7" xfId="0"/>
    <cellStyle name="Финансовый 11 3 8" xfId="0"/>
    <cellStyle name="Финансовый 11 3 9" xfId="0"/>
    <cellStyle name="Финансовый 11 4" xfId="0"/>
    <cellStyle name="Финансовый 11 4 2" xfId="0"/>
    <cellStyle name="Финансовый 11 4 2 2" xfId="0"/>
    <cellStyle name="Финансовый 11 4 2 3" xfId="0"/>
    <cellStyle name="Финансовый 11 4 2 4" xfId="0"/>
    <cellStyle name="Финансовый 11 4 2 5" xfId="0"/>
    <cellStyle name="Финансовый 11 4 3" xfId="0"/>
    <cellStyle name="Финансовый 11 4 4" xfId="0"/>
    <cellStyle name="Финансовый 11 4 5" xfId="0"/>
    <cellStyle name="Финансовый 11 4 6" xfId="0"/>
    <cellStyle name="Финансовый 11 5" xfId="0"/>
    <cellStyle name="Финансовый 11 6" xfId="0"/>
    <cellStyle name="Финансовый 11 6 2" xfId="0"/>
    <cellStyle name="Финансовый 11 6 3" xfId="0"/>
    <cellStyle name="Финансовый 11 6 4" xfId="0"/>
    <cellStyle name="Финансовый 11 6 5" xfId="0"/>
    <cellStyle name="Финансовый 11 7" xfId="0"/>
    <cellStyle name="Финансовый 12" xfId="0"/>
    <cellStyle name="Финансовый 12 10" xfId="0"/>
    <cellStyle name="Финансовый 12 10 2" xfId="0"/>
    <cellStyle name="Финансовый 12 10 3" xfId="0"/>
    <cellStyle name="Финансовый 12 10 4" xfId="0"/>
    <cellStyle name="Финансовый 12 10 5" xfId="0"/>
    <cellStyle name="Финансовый 12 11" xfId="0"/>
    <cellStyle name="Финансовый 12 12" xfId="0"/>
    <cellStyle name="Финансовый 12 12 2" xfId="0"/>
    <cellStyle name="Финансовый 12 12 3" xfId="0"/>
    <cellStyle name="Финансовый 12 12 4" xfId="0"/>
    <cellStyle name="Финансовый 12 12 5" xfId="0"/>
    <cellStyle name="Финансовый 12 13" xfId="0"/>
    <cellStyle name="Финансовый 12 14" xfId="0"/>
    <cellStyle name="Финансовый 12 15" xfId="0"/>
    <cellStyle name="Финансовый 12 16" xfId="0"/>
    <cellStyle name="Финансовый 12 17" xfId="0"/>
    <cellStyle name="Финансовый 12 2" xfId="0"/>
    <cellStyle name="Финансовый 12 2 10" xfId="0"/>
    <cellStyle name="Финансовый 12 2 11" xfId="0"/>
    <cellStyle name="Финансовый 12 2 12" xfId="0"/>
    <cellStyle name="Финансовый 12 2 13" xfId="0"/>
    <cellStyle name="Финансовый 12 2 2" xfId="0"/>
    <cellStyle name="Финансовый 12 2 2 2" xfId="0"/>
    <cellStyle name="Финансовый 12 2 2 2 2" xfId="0"/>
    <cellStyle name="Финансовый 12 2 2 2 2 2" xfId="0"/>
    <cellStyle name="Финансовый 12 2 2 2 2 3" xfId="0"/>
    <cellStyle name="Финансовый 12 2 2 2 2 4" xfId="0"/>
    <cellStyle name="Финансовый 12 2 2 2 2 5" xfId="0"/>
    <cellStyle name="Финансовый 12 2 2 2 3" xfId="0"/>
    <cellStyle name="Финансовый 12 2 2 2 4" xfId="0"/>
    <cellStyle name="Финансовый 12 2 2 2 5" xfId="0"/>
    <cellStyle name="Финансовый 12 2 2 2 6" xfId="0"/>
    <cellStyle name="Финансовый 12 2 2 3" xfId="0"/>
    <cellStyle name="Финансовый 12 2 2 3 2" xfId="0"/>
    <cellStyle name="Финансовый 12 2 2 3 3" xfId="0"/>
    <cellStyle name="Финансовый 12 2 2 3 4" xfId="0"/>
    <cellStyle name="Финансовый 12 2 2 3 5" xfId="0"/>
    <cellStyle name="Финансовый 12 2 2 4" xfId="0"/>
    <cellStyle name="Финансовый 12 2 2 5" xfId="0"/>
    <cellStyle name="Финансовый 12 2 2 6" xfId="0"/>
    <cellStyle name="Финансовый 12 2 2 7" xfId="0"/>
    <cellStyle name="Финансовый 12 2 3" xfId="0"/>
    <cellStyle name="Финансовый 12 2 3 2" xfId="0"/>
    <cellStyle name="Финансовый 12 2 3 2 2" xfId="0"/>
    <cellStyle name="Финансовый 12 2 3 2 3" xfId="0"/>
    <cellStyle name="Финансовый 12 2 3 2 4" xfId="0"/>
    <cellStyle name="Финансовый 12 2 3 2 5" xfId="0"/>
    <cellStyle name="Финансовый 12 2 3 3" xfId="0"/>
    <cellStyle name="Финансовый 12 2 3 4" xfId="0"/>
    <cellStyle name="Финансовый 12 2 3 5" xfId="0"/>
    <cellStyle name="Финансовый 12 2 3 6" xfId="0"/>
    <cellStyle name="Финансовый 12 2 4" xfId="0"/>
    <cellStyle name="Финансовый 12 2 4 2" xfId="0"/>
    <cellStyle name="Финансовый 12 2 4 2 2" xfId="0"/>
    <cellStyle name="Финансовый 12 2 4 2 3" xfId="0"/>
    <cellStyle name="Финансовый 12 2 4 2 4" xfId="0"/>
    <cellStyle name="Финансовый 12 2 4 2 5" xfId="0"/>
    <cellStyle name="Финансовый 12 2 4 3" xfId="0"/>
    <cellStyle name="Финансовый 12 2 4 4" xfId="0"/>
    <cellStyle name="Финансовый 12 2 4 5" xfId="0"/>
    <cellStyle name="Финансовый 12 2 4 6" xfId="0"/>
    <cellStyle name="Финансовый 12 2 5" xfId="0"/>
    <cellStyle name="Финансовый 12 2 5 2" xfId="0"/>
    <cellStyle name="Финансовый 12 2 5 2 2" xfId="0"/>
    <cellStyle name="Финансовый 12 2 5 2 3" xfId="0"/>
    <cellStyle name="Финансовый 12 2 5 2 4" xfId="0"/>
    <cellStyle name="Финансовый 12 2 5 2 5" xfId="0"/>
    <cellStyle name="Финансовый 12 2 5 3" xfId="0"/>
    <cellStyle name="Финансовый 12 2 5 4" xfId="0"/>
    <cellStyle name="Финансовый 12 2 5 5" xfId="0"/>
    <cellStyle name="Финансовый 12 2 5 6" xfId="0"/>
    <cellStyle name="Финансовый 12 2 6" xfId="0"/>
    <cellStyle name="Финансовый 12 2 6 2" xfId="0"/>
    <cellStyle name="Финансовый 12 2 6 2 2" xfId="0"/>
    <cellStyle name="Финансовый 12 2 6 2 3" xfId="0"/>
    <cellStyle name="Финансовый 12 2 6 2 4" xfId="0"/>
    <cellStyle name="Финансовый 12 2 6 2 5" xfId="0"/>
    <cellStyle name="Финансовый 12 2 6 3" xfId="0"/>
    <cellStyle name="Финансовый 12 2 6 4" xfId="0"/>
    <cellStyle name="Финансовый 12 2 6 5" xfId="0"/>
    <cellStyle name="Финансовый 12 2 6 6" xfId="0"/>
    <cellStyle name="Финансовый 12 2 7" xfId="0"/>
    <cellStyle name="Финансовый 12 2 7 2" xfId="0"/>
    <cellStyle name="Финансовый 12 2 7 3" xfId="0"/>
    <cellStyle name="Финансовый 12 2 7 4" xfId="0"/>
    <cellStyle name="Финансовый 12 2 7 5" xfId="0"/>
    <cellStyle name="Финансовый 12 2 8" xfId="0"/>
    <cellStyle name="Финансовый 12 2 8 2" xfId="0"/>
    <cellStyle name="Финансовый 12 2 8 3" xfId="0"/>
    <cellStyle name="Финансовый 12 2 8 4" xfId="0"/>
    <cellStyle name="Финансовый 12 2 8 5" xfId="0"/>
    <cellStyle name="Финансовый 12 2 9" xfId="0"/>
    <cellStyle name="Финансовый 12 3" xfId="0"/>
    <cellStyle name="Финансовый 12 3 10" xfId="0"/>
    <cellStyle name="Финансовый 12 3 2" xfId="0"/>
    <cellStyle name="Финансовый 12 3 2 2" xfId="0"/>
    <cellStyle name="Финансовый 12 3 2 2 2" xfId="0"/>
    <cellStyle name="Финансовый 12 3 2 2 2 2" xfId="0"/>
    <cellStyle name="Финансовый 12 3 2 2 2 3" xfId="0"/>
    <cellStyle name="Финансовый 12 3 2 2 2 4" xfId="0"/>
    <cellStyle name="Финансовый 12 3 2 2 2 5" xfId="0"/>
    <cellStyle name="Финансовый 12 3 2 2 3" xfId="0"/>
    <cellStyle name="Финансовый 12 3 2 2 4" xfId="0"/>
    <cellStyle name="Финансовый 12 3 2 2 5" xfId="0"/>
    <cellStyle name="Финансовый 12 3 2 2 6" xfId="0"/>
    <cellStyle name="Финансовый 12 3 2 3" xfId="0"/>
    <cellStyle name="Финансовый 12 3 2 3 2" xfId="0"/>
    <cellStyle name="Финансовый 12 3 2 3 3" xfId="0"/>
    <cellStyle name="Финансовый 12 3 2 3 4" xfId="0"/>
    <cellStyle name="Финансовый 12 3 2 3 5" xfId="0"/>
    <cellStyle name="Финансовый 12 3 2 4" xfId="0"/>
    <cellStyle name="Финансовый 12 3 2 5" xfId="0"/>
    <cellStyle name="Финансовый 12 3 2 6" xfId="0"/>
    <cellStyle name="Финансовый 12 3 2 7" xfId="0"/>
    <cellStyle name="Финансовый 12 3 3" xfId="0"/>
    <cellStyle name="Финансовый 12 3 3 2" xfId="0"/>
    <cellStyle name="Финансовый 12 3 3 2 2" xfId="0"/>
    <cellStyle name="Финансовый 12 3 3 2 3" xfId="0"/>
    <cellStyle name="Финансовый 12 3 3 2 4" xfId="0"/>
    <cellStyle name="Финансовый 12 3 3 2 5" xfId="0"/>
    <cellStyle name="Финансовый 12 3 3 3" xfId="0"/>
    <cellStyle name="Финансовый 12 3 3 4" xfId="0"/>
    <cellStyle name="Финансовый 12 3 3 5" xfId="0"/>
    <cellStyle name="Финансовый 12 3 3 6" xfId="0"/>
    <cellStyle name="Финансовый 12 3 4" xfId="0"/>
    <cellStyle name="Финансовый 12 3 4 2" xfId="0"/>
    <cellStyle name="Финансовый 12 3 4 2 2" xfId="0"/>
    <cellStyle name="Финансовый 12 3 4 2 3" xfId="0"/>
    <cellStyle name="Финансовый 12 3 4 2 4" xfId="0"/>
    <cellStyle name="Финансовый 12 3 4 2 5" xfId="0"/>
    <cellStyle name="Финансовый 12 3 4 3" xfId="0"/>
    <cellStyle name="Финансовый 12 3 4 4" xfId="0"/>
    <cellStyle name="Финансовый 12 3 4 5" xfId="0"/>
    <cellStyle name="Финансовый 12 3 4 6" xfId="0"/>
    <cellStyle name="Финансовый 12 3 5" xfId="0"/>
    <cellStyle name="Финансовый 12 3 5 2" xfId="0"/>
    <cellStyle name="Финансовый 12 3 5 2 2" xfId="0"/>
    <cellStyle name="Финансовый 12 3 5 2 3" xfId="0"/>
    <cellStyle name="Финансовый 12 3 5 2 4" xfId="0"/>
    <cellStyle name="Финансовый 12 3 5 2 5" xfId="0"/>
    <cellStyle name="Финансовый 12 3 5 3" xfId="0"/>
    <cellStyle name="Финансовый 12 3 5 4" xfId="0"/>
    <cellStyle name="Финансовый 12 3 5 5" xfId="0"/>
    <cellStyle name="Финансовый 12 3 5 6" xfId="0"/>
    <cellStyle name="Финансовый 12 3 6" xfId="0"/>
    <cellStyle name="Финансовый 12 3 6 2" xfId="0"/>
    <cellStyle name="Финансовый 12 3 6 3" xfId="0"/>
    <cellStyle name="Финансовый 12 3 6 4" xfId="0"/>
    <cellStyle name="Финансовый 12 3 6 5" xfId="0"/>
    <cellStyle name="Финансовый 12 3 7" xfId="0"/>
    <cellStyle name="Финансовый 12 3 8" xfId="0"/>
    <cellStyle name="Финансовый 12 3 9" xfId="0"/>
    <cellStyle name="Финансовый 12 4" xfId="0"/>
    <cellStyle name="Финансовый 12 4 2" xfId="0"/>
    <cellStyle name="Финансовый 12 4 2 2" xfId="0"/>
    <cellStyle name="Финансовый 12 4 2 2 2" xfId="0"/>
    <cellStyle name="Финансовый 12 4 2 2 3" xfId="0"/>
    <cellStyle name="Финансовый 12 4 2 2 4" xfId="0"/>
    <cellStyle name="Финансовый 12 4 2 2 5" xfId="0"/>
    <cellStyle name="Финансовый 12 4 2 3" xfId="0"/>
    <cellStyle name="Финансовый 12 4 2 4" xfId="0"/>
    <cellStyle name="Финансовый 12 4 2 5" xfId="0"/>
    <cellStyle name="Финансовый 12 4 2 6" xfId="0"/>
    <cellStyle name="Финансовый 12 4 3" xfId="0"/>
    <cellStyle name="Финансовый 12 4 3 2" xfId="0"/>
    <cellStyle name="Финансовый 12 4 3 2 2" xfId="0"/>
    <cellStyle name="Финансовый 12 4 3 2 3" xfId="0"/>
    <cellStyle name="Финансовый 12 4 3 2 4" xfId="0"/>
    <cellStyle name="Финансовый 12 4 3 2 5" xfId="0"/>
    <cellStyle name="Финансовый 12 4 3 3" xfId="0"/>
    <cellStyle name="Финансовый 12 4 3 4" xfId="0"/>
    <cellStyle name="Финансовый 12 4 3 5" xfId="0"/>
    <cellStyle name="Финансовый 12 4 3 6" xfId="0"/>
    <cellStyle name="Финансовый 12 4 4" xfId="0"/>
    <cellStyle name="Финансовый 12 4 4 2" xfId="0"/>
    <cellStyle name="Финансовый 12 4 4 3" xfId="0"/>
    <cellStyle name="Финансовый 12 4 4 4" xfId="0"/>
    <cellStyle name="Финансовый 12 4 4 5" xfId="0"/>
    <cellStyle name="Финансовый 12 4 5" xfId="0"/>
    <cellStyle name="Финансовый 12 4 6" xfId="0"/>
    <cellStyle name="Финансовый 12 4 7" xfId="0"/>
    <cellStyle name="Финансовый 12 4 8" xfId="0"/>
    <cellStyle name="Финансовый 12 5" xfId="0"/>
    <cellStyle name="Финансовый 12 5 2" xfId="0"/>
    <cellStyle name="Финансовый 12 5 2 2" xfId="0"/>
    <cellStyle name="Финансовый 12 5 2 3" xfId="0"/>
    <cellStyle name="Финансовый 12 5 2 4" xfId="0"/>
    <cellStyle name="Финансовый 12 5 2 5" xfId="0"/>
    <cellStyle name="Финансовый 12 5 3" xfId="0"/>
    <cellStyle name="Финансовый 12 5 4" xfId="0"/>
    <cellStyle name="Финансовый 12 5 5" xfId="0"/>
    <cellStyle name="Финансовый 12 5 6" xfId="0"/>
    <cellStyle name="Финансовый 12 6" xfId="0"/>
    <cellStyle name="Финансовый 12 6 2" xfId="0"/>
    <cellStyle name="Финансовый 12 6 2 2" xfId="0"/>
    <cellStyle name="Финансовый 12 6 2 3" xfId="0"/>
    <cellStyle name="Финансовый 12 6 2 4" xfId="0"/>
    <cellStyle name="Финансовый 12 6 2 5" xfId="0"/>
    <cellStyle name="Финансовый 12 6 3" xfId="0"/>
    <cellStyle name="Финансовый 12 6 4" xfId="0"/>
    <cellStyle name="Финансовый 12 6 5" xfId="0"/>
    <cellStyle name="Финансовый 12 6 6" xfId="0"/>
    <cellStyle name="Финансовый 12 7" xfId="0"/>
    <cellStyle name="Финансовый 12 7 2" xfId="0"/>
    <cellStyle name="Финансовый 12 7 2 2" xfId="0"/>
    <cellStyle name="Финансовый 12 7 2 3" xfId="0"/>
    <cellStyle name="Финансовый 12 7 2 4" xfId="0"/>
    <cellStyle name="Финансовый 12 7 2 5" xfId="0"/>
    <cellStyle name="Финансовый 12 7 3" xfId="0"/>
    <cellStyle name="Финансовый 12 7 4" xfId="0"/>
    <cellStyle name="Финансовый 12 7 5" xfId="0"/>
    <cellStyle name="Финансовый 12 7 6" xfId="0"/>
    <cellStyle name="Финансовый 12 8" xfId="0"/>
    <cellStyle name="Финансовый 12 8 2" xfId="0"/>
    <cellStyle name="Финансовый 12 8 2 2" xfId="0"/>
    <cellStyle name="Финансовый 12 8 2 3" xfId="0"/>
    <cellStyle name="Финансовый 12 8 2 4" xfId="0"/>
    <cellStyle name="Финансовый 12 8 2 5" xfId="0"/>
    <cellStyle name="Финансовый 12 8 3" xfId="0"/>
    <cellStyle name="Финансовый 12 8 4" xfId="0"/>
    <cellStyle name="Финансовый 12 8 5" xfId="0"/>
    <cellStyle name="Финансовый 12 8 6" xfId="0"/>
    <cellStyle name="Финансовый 12 9" xfId="0"/>
    <cellStyle name="Финансовый 12 9 2" xfId="0"/>
    <cellStyle name="Финансовый 12 9 2 2" xfId="0"/>
    <cellStyle name="Финансовый 12 9 2 3" xfId="0"/>
    <cellStyle name="Финансовый 12 9 2 4" xfId="0"/>
    <cellStyle name="Финансовый 12 9 2 5" xfId="0"/>
    <cellStyle name="Финансовый 12 9 3" xfId="0"/>
    <cellStyle name="Финансовый 12 9 4" xfId="0"/>
    <cellStyle name="Финансовый 12 9 5" xfId="0"/>
    <cellStyle name="Финансовый 12 9 6" xfId="0"/>
    <cellStyle name="Финансовый 13" xfId="0"/>
    <cellStyle name="Финансовый 13 10" xfId="0"/>
    <cellStyle name="Финансовый 13 10 2" xfId="0"/>
    <cellStyle name="Финансовый 13 10 3" xfId="0"/>
    <cellStyle name="Финансовый 13 10 4" xfId="0"/>
    <cellStyle name="Финансовый 13 10 5" xfId="0"/>
    <cellStyle name="Финансовый 13 11" xfId="0"/>
    <cellStyle name="Финансовый 13 12" xfId="0"/>
    <cellStyle name="Финансовый 13 12 2" xfId="0"/>
    <cellStyle name="Финансовый 13 12 3" xfId="0"/>
    <cellStyle name="Финансовый 13 12 4" xfId="0"/>
    <cellStyle name="Финансовый 13 12 5" xfId="0"/>
    <cellStyle name="Финансовый 13 13" xfId="0"/>
    <cellStyle name="Финансовый 13 14" xfId="0"/>
    <cellStyle name="Финансовый 13 15" xfId="0"/>
    <cellStyle name="Финансовый 13 16" xfId="0"/>
    <cellStyle name="Финансовый 13 17" xfId="0"/>
    <cellStyle name="Финансовый 13 2" xfId="0"/>
    <cellStyle name="Финансовый 13 2 10" xfId="0"/>
    <cellStyle name="Финансовый 13 2 10 2" xfId="0"/>
    <cellStyle name="Финансовый 13 2 10 3" xfId="0"/>
    <cellStyle name="Финансовый 13 2 10 4" xfId="0"/>
    <cellStyle name="Финансовый 13 2 10 5" xfId="0"/>
    <cellStyle name="Финансовый 13 2 11" xfId="0"/>
    <cellStyle name="Финансовый 13 2 12" xfId="0"/>
    <cellStyle name="Финансовый 13 2 13" xfId="0"/>
    <cellStyle name="Финансовый 13 2 14" xfId="0"/>
    <cellStyle name="Финансовый 13 2 15" xfId="0"/>
    <cellStyle name="Финансовый 13 2 2" xfId="0"/>
    <cellStyle name="Финансовый 13 2 2 10" xfId="0"/>
    <cellStyle name="Финансовый 13 2 2 11" xfId="0"/>
    <cellStyle name="Финансовый 13 2 2 12" xfId="0"/>
    <cellStyle name="Финансовый 13 2 2 2" xfId="0"/>
    <cellStyle name="Финансовый 13 2 2 2 2" xfId="0"/>
    <cellStyle name="Финансовый 13 2 2 2 2 2" xfId="0"/>
    <cellStyle name="Финансовый 13 2 2 2 2 2 2" xfId="0"/>
    <cellStyle name="Финансовый 13 2 2 2 2 2 3" xfId="0"/>
    <cellStyle name="Финансовый 13 2 2 2 2 2 4" xfId="0"/>
    <cellStyle name="Финансовый 13 2 2 2 2 2 5" xfId="0"/>
    <cellStyle name="Финансовый 13 2 2 2 2 3" xfId="0"/>
    <cellStyle name="Финансовый 13 2 2 2 2 4" xfId="0"/>
    <cellStyle name="Финансовый 13 2 2 2 2 5" xfId="0"/>
    <cellStyle name="Финансовый 13 2 2 2 2 6" xfId="0"/>
    <cellStyle name="Финансовый 13 2 2 2 3" xfId="0"/>
    <cellStyle name="Финансовый 13 2 2 2 3 2" xfId="0"/>
    <cellStyle name="Финансовый 13 2 2 2 3 3" xfId="0"/>
    <cellStyle name="Финансовый 13 2 2 2 3 4" xfId="0"/>
    <cellStyle name="Финансовый 13 2 2 2 3 5" xfId="0"/>
    <cellStyle name="Финансовый 13 2 2 2 4" xfId="0"/>
    <cellStyle name="Финансовый 13 2 2 2 5" xfId="0"/>
    <cellStyle name="Финансовый 13 2 2 2 6" xfId="0"/>
    <cellStyle name="Финансовый 13 2 2 2 7" xfId="0"/>
    <cellStyle name="Финансовый 13 2 2 3" xfId="0"/>
    <cellStyle name="Финансовый 13 2 2 3 2" xfId="0"/>
    <cellStyle name="Финансовый 13 2 2 3 2 2" xfId="0"/>
    <cellStyle name="Финансовый 13 2 2 3 2 3" xfId="0"/>
    <cellStyle name="Финансовый 13 2 2 3 2 4" xfId="0"/>
    <cellStyle name="Финансовый 13 2 2 3 2 5" xfId="0"/>
    <cellStyle name="Финансовый 13 2 2 3 3" xfId="0"/>
    <cellStyle name="Финансовый 13 2 2 3 4" xfId="0"/>
    <cellStyle name="Финансовый 13 2 2 3 5" xfId="0"/>
    <cellStyle name="Финансовый 13 2 2 3 6" xfId="0"/>
    <cellStyle name="Финансовый 13 2 2 4" xfId="0"/>
    <cellStyle name="Финансовый 13 2 2 4 2" xfId="0"/>
    <cellStyle name="Финансовый 13 2 2 4 2 2" xfId="0"/>
    <cellStyle name="Финансовый 13 2 2 4 2 3" xfId="0"/>
    <cellStyle name="Финансовый 13 2 2 4 2 4" xfId="0"/>
    <cellStyle name="Финансовый 13 2 2 4 2 5" xfId="0"/>
    <cellStyle name="Финансовый 13 2 2 4 3" xfId="0"/>
    <cellStyle name="Финансовый 13 2 2 4 4" xfId="0"/>
    <cellStyle name="Финансовый 13 2 2 4 5" xfId="0"/>
    <cellStyle name="Финансовый 13 2 2 4 6" xfId="0"/>
    <cellStyle name="Финансовый 13 2 2 5" xfId="0"/>
    <cellStyle name="Финансовый 13 2 2 5 2" xfId="0"/>
    <cellStyle name="Финансовый 13 2 2 5 2 2" xfId="0"/>
    <cellStyle name="Финансовый 13 2 2 5 2 3" xfId="0"/>
    <cellStyle name="Финансовый 13 2 2 5 2 4" xfId="0"/>
    <cellStyle name="Финансовый 13 2 2 5 2 5" xfId="0"/>
    <cellStyle name="Финансовый 13 2 2 5 3" xfId="0"/>
    <cellStyle name="Финансовый 13 2 2 5 4" xfId="0"/>
    <cellStyle name="Финансовый 13 2 2 5 5" xfId="0"/>
    <cellStyle name="Финансовый 13 2 2 5 6" xfId="0"/>
    <cellStyle name="Финансовый 13 2 2 6" xfId="0"/>
    <cellStyle name="Финансовый 13 2 2 6 2" xfId="0"/>
    <cellStyle name="Финансовый 13 2 2 6 3" xfId="0"/>
    <cellStyle name="Финансовый 13 2 2 6 4" xfId="0"/>
    <cellStyle name="Финансовый 13 2 2 6 5" xfId="0"/>
    <cellStyle name="Финансовый 13 2 2 7" xfId="0"/>
    <cellStyle name="Финансовый 13 2 2 7 2" xfId="0"/>
    <cellStyle name="Финансовый 13 2 2 7 3" xfId="0"/>
    <cellStyle name="Финансовый 13 2 2 7 4" xfId="0"/>
    <cellStyle name="Финансовый 13 2 2 7 5" xfId="0"/>
    <cellStyle name="Финансовый 13 2 2 8" xfId="0"/>
    <cellStyle name="Финансовый 13 2 2 9" xfId="0"/>
    <cellStyle name="Финансовый 13 2 3" xfId="0"/>
    <cellStyle name="Финансовый 13 2 3 2" xfId="0"/>
    <cellStyle name="Финансовый 13 2 3 2 2" xfId="0"/>
    <cellStyle name="Финансовый 13 2 3 2 2 2" xfId="0"/>
    <cellStyle name="Финансовый 13 2 3 2 2 3" xfId="0"/>
    <cellStyle name="Финансовый 13 2 3 2 2 4" xfId="0"/>
    <cellStyle name="Финансовый 13 2 3 2 2 5" xfId="0"/>
    <cellStyle name="Финансовый 13 2 3 2 3" xfId="0"/>
    <cellStyle name="Финансовый 13 2 3 2 4" xfId="0"/>
    <cellStyle name="Финансовый 13 2 3 2 5" xfId="0"/>
    <cellStyle name="Финансовый 13 2 3 2 6" xfId="0"/>
    <cellStyle name="Финансовый 13 2 3 3" xfId="0"/>
    <cellStyle name="Финансовый 13 2 3 3 2" xfId="0"/>
    <cellStyle name="Финансовый 13 2 3 3 3" xfId="0"/>
    <cellStyle name="Финансовый 13 2 3 3 4" xfId="0"/>
    <cellStyle name="Финансовый 13 2 3 3 5" xfId="0"/>
    <cellStyle name="Финансовый 13 2 3 4" xfId="0"/>
    <cellStyle name="Финансовый 13 2 3 5" xfId="0"/>
    <cellStyle name="Финансовый 13 2 3 6" xfId="0"/>
    <cellStyle name="Финансовый 13 2 3 7" xfId="0"/>
    <cellStyle name="Финансовый 13 2 4" xfId="0"/>
    <cellStyle name="Финансовый 13 2 4 2" xfId="0"/>
    <cellStyle name="Финансовый 13 2 4 2 2" xfId="0"/>
    <cellStyle name="Финансовый 13 2 4 2 3" xfId="0"/>
    <cellStyle name="Финансовый 13 2 4 2 4" xfId="0"/>
    <cellStyle name="Финансовый 13 2 4 2 5" xfId="0"/>
    <cellStyle name="Финансовый 13 2 4 3" xfId="0"/>
    <cellStyle name="Финансовый 13 2 4 4" xfId="0"/>
    <cellStyle name="Финансовый 13 2 4 5" xfId="0"/>
    <cellStyle name="Финансовый 13 2 4 6" xfId="0"/>
    <cellStyle name="Финансовый 13 2 5" xfId="0"/>
    <cellStyle name="Финансовый 13 2 5 2" xfId="0"/>
    <cellStyle name="Финансовый 13 2 5 2 2" xfId="0"/>
    <cellStyle name="Финансовый 13 2 5 2 3" xfId="0"/>
    <cellStyle name="Финансовый 13 2 5 2 4" xfId="0"/>
    <cellStyle name="Финансовый 13 2 5 2 5" xfId="0"/>
    <cellStyle name="Финансовый 13 2 5 3" xfId="0"/>
    <cellStyle name="Финансовый 13 2 5 4" xfId="0"/>
    <cellStyle name="Финансовый 13 2 5 5" xfId="0"/>
    <cellStyle name="Финансовый 13 2 5 6" xfId="0"/>
    <cellStyle name="Финансовый 13 2 6" xfId="0"/>
    <cellStyle name="Финансовый 13 2 6 2" xfId="0"/>
    <cellStyle name="Финансовый 13 2 6 2 2" xfId="0"/>
    <cellStyle name="Финансовый 13 2 6 2 3" xfId="0"/>
    <cellStyle name="Финансовый 13 2 6 2 4" xfId="0"/>
    <cellStyle name="Финансовый 13 2 6 2 5" xfId="0"/>
    <cellStyle name="Финансовый 13 2 6 3" xfId="0"/>
    <cellStyle name="Финансовый 13 2 6 4" xfId="0"/>
    <cellStyle name="Финансовый 13 2 6 5" xfId="0"/>
    <cellStyle name="Финансовый 13 2 6 6" xfId="0"/>
    <cellStyle name="Финансовый 13 2 7" xfId="0"/>
    <cellStyle name="Финансовый 13 2 7 2" xfId="0"/>
    <cellStyle name="Финансовый 13 2 7 2 2" xfId="0"/>
    <cellStyle name="Финансовый 13 2 7 2 3" xfId="0"/>
    <cellStyle name="Финансовый 13 2 7 2 4" xfId="0"/>
    <cellStyle name="Финансовый 13 2 7 2 5" xfId="0"/>
    <cellStyle name="Финансовый 13 2 7 3" xfId="0"/>
    <cellStyle name="Финансовый 13 2 7 4" xfId="0"/>
    <cellStyle name="Финансовый 13 2 7 5" xfId="0"/>
    <cellStyle name="Финансовый 13 2 7 6" xfId="0"/>
    <cellStyle name="Финансовый 13 2 8" xfId="0"/>
    <cellStyle name="Финансовый 13 2 8 2" xfId="0"/>
    <cellStyle name="Финансовый 13 2 8 3" xfId="0"/>
    <cellStyle name="Финансовый 13 2 8 4" xfId="0"/>
    <cellStyle name="Финансовый 13 2 8 5" xfId="0"/>
    <cellStyle name="Финансовый 13 2 9" xfId="0"/>
    <cellStyle name="Финансовый 13 3" xfId="0"/>
    <cellStyle name="Финансовый 13 3 10" xfId="0"/>
    <cellStyle name="Финансовый 13 3 11" xfId="0"/>
    <cellStyle name="Финансовый 13 3 12" xfId="0"/>
    <cellStyle name="Финансовый 13 3 13" xfId="0"/>
    <cellStyle name="Финансовый 13 3 2" xfId="0"/>
    <cellStyle name="Финансовый 13 3 2 2" xfId="0"/>
    <cellStyle name="Финансовый 13 3 2 2 2" xfId="0"/>
    <cellStyle name="Финансовый 13 3 2 2 3" xfId="0"/>
    <cellStyle name="Финансовый 13 3 2 2 4" xfId="0"/>
    <cellStyle name="Финансовый 13 3 2 2 5" xfId="0"/>
    <cellStyle name="Финансовый 13 3 2 3" xfId="0"/>
    <cellStyle name="Финансовый 13 3 2 4" xfId="0"/>
    <cellStyle name="Финансовый 13 3 2 5" xfId="0"/>
    <cellStyle name="Финансовый 13 3 2 6" xfId="0"/>
    <cellStyle name="Финансовый 13 3 3" xfId="0"/>
    <cellStyle name="Финансовый 13 3 3 2" xfId="0"/>
    <cellStyle name="Финансовый 13 3 3 2 2" xfId="0"/>
    <cellStyle name="Финансовый 13 3 3 2 3" xfId="0"/>
    <cellStyle name="Финансовый 13 3 3 2 4" xfId="0"/>
    <cellStyle name="Финансовый 13 3 3 2 5" xfId="0"/>
    <cellStyle name="Финансовый 13 3 3 3" xfId="0"/>
    <cellStyle name="Финансовый 13 3 3 4" xfId="0"/>
    <cellStyle name="Финансовый 13 3 3 5" xfId="0"/>
    <cellStyle name="Финансовый 13 3 3 6" xfId="0"/>
    <cellStyle name="Финансовый 13 3 4" xfId="0"/>
    <cellStyle name="Финансовый 13 3 4 2" xfId="0"/>
    <cellStyle name="Финансовый 13 3 4 2 2" xfId="0"/>
    <cellStyle name="Финансовый 13 3 4 2 3" xfId="0"/>
    <cellStyle name="Финансовый 13 3 4 2 4" xfId="0"/>
    <cellStyle name="Финансовый 13 3 4 2 5" xfId="0"/>
    <cellStyle name="Финансовый 13 3 4 3" xfId="0"/>
    <cellStyle name="Финансовый 13 3 4 4" xfId="0"/>
    <cellStyle name="Финансовый 13 3 4 5" xfId="0"/>
    <cellStyle name="Финансовый 13 3 4 6" xfId="0"/>
    <cellStyle name="Финансовый 13 3 5" xfId="0"/>
    <cellStyle name="Финансовый 13 3 5 2" xfId="0"/>
    <cellStyle name="Финансовый 13 3 5 2 2" xfId="0"/>
    <cellStyle name="Финансовый 13 3 5 2 3" xfId="0"/>
    <cellStyle name="Финансовый 13 3 5 2 4" xfId="0"/>
    <cellStyle name="Финансовый 13 3 5 2 5" xfId="0"/>
    <cellStyle name="Финансовый 13 3 5 3" xfId="0"/>
    <cellStyle name="Финансовый 13 3 5 4" xfId="0"/>
    <cellStyle name="Финансовый 13 3 5 5" xfId="0"/>
    <cellStyle name="Финансовый 13 3 5 6" xfId="0"/>
    <cellStyle name="Финансовый 13 3 6" xfId="0"/>
    <cellStyle name="Финансовый 13 3 6 2" xfId="0"/>
    <cellStyle name="Финансовый 13 3 6 2 2" xfId="0"/>
    <cellStyle name="Финансовый 13 3 6 2 3" xfId="0"/>
    <cellStyle name="Финансовый 13 3 6 2 4" xfId="0"/>
    <cellStyle name="Финансовый 13 3 6 2 5" xfId="0"/>
    <cellStyle name="Финансовый 13 3 6 3" xfId="0"/>
    <cellStyle name="Финансовый 13 3 6 4" xfId="0"/>
    <cellStyle name="Финансовый 13 3 6 5" xfId="0"/>
    <cellStyle name="Финансовый 13 3 6 6" xfId="0"/>
    <cellStyle name="Финансовый 13 3 7" xfId="0"/>
    <cellStyle name="Финансовый 13 3 7 2" xfId="0"/>
    <cellStyle name="Финансовый 13 3 7 3" xfId="0"/>
    <cellStyle name="Финансовый 13 3 7 4" xfId="0"/>
    <cellStyle name="Финансовый 13 3 7 5" xfId="0"/>
    <cellStyle name="Финансовый 13 3 8" xfId="0"/>
    <cellStyle name="Финансовый 13 3 8 2" xfId="0"/>
    <cellStyle name="Финансовый 13 3 8 3" xfId="0"/>
    <cellStyle name="Финансовый 13 3 8 4" xfId="0"/>
    <cellStyle name="Финансовый 13 3 8 5" xfId="0"/>
    <cellStyle name="Финансовый 13 3 9" xfId="0"/>
    <cellStyle name="Финансовый 13 4" xfId="0"/>
    <cellStyle name="Финансовый 13 4 2" xfId="0"/>
    <cellStyle name="Финансовый 13 4 2 2" xfId="0"/>
    <cellStyle name="Финансовый 13 4 2 2 2" xfId="0"/>
    <cellStyle name="Финансовый 13 4 2 2 3" xfId="0"/>
    <cellStyle name="Финансовый 13 4 2 2 4" xfId="0"/>
    <cellStyle name="Финансовый 13 4 2 2 5" xfId="0"/>
    <cellStyle name="Финансовый 13 4 2 3" xfId="0"/>
    <cellStyle name="Финансовый 13 4 2 4" xfId="0"/>
    <cellStyle name="Финансовый 13 4 2 5" xfId="0"/>
    <cellStyle name="Финансовый 13 4 2 6" xfId="0"/>
    <cellStyle name="Финансовый 13 4 3" xfId="0"/>
    <cellStyle name="Финансовый 13 4 3 2" xfId="0"/>
    <cellStyle name="Финансовый 13 4 3 2 2" xfId="0"/>
    <cellStyle name="Финансовый 13 4 3 2 3" xfId="0"/>
    <cellStyle name="Финансовый 13 4 3 2 4" xfId="0"/>
    <cellStyle name="Финансовый 13 4 3 2 5" xfId="0"/>
    <cellStyle name="Финансовый 13 4 3 3" xfId="0"/>
    <cellStyle name="Финансовый 13 4 3 4" xfId="0"/>
    <cellStyle name="Финансовый 13 4 3 5" xfId="0"/>
    <cellStyle name="Финансовый 13 4 3 6" xfId="0"/>
    <cellStyle name="Финансовый 13 4 4" xfId="0"/>
    <cellStyle name="Финансовый 13 4 4 2" xfId="0"/>
    <cellStyle name="Финансовый 13 4 4 3" xfId="0"/>
    <cellStyle name="Финансовый 13 4 4 4" xfId="0"/>
    <cellStyle name="Финансовый 13 4 4 5" xfId="0"/>
    <cellStyle name="Финансовый 13 4 5" xfId="0"/>
    <cellStyle name="Финансовый 13 4 6" xfId="0"/>
    <cellStyle name="Финансовый 13 4 7" xfId="0"/>
    <cellStyle name="Финансовый 13 4 8" xfId="0"/>
    <cellStyle name="Финансовый 13 5" xfId="0"/>
    <cellStyle name="Финансовый 13 5 2" xfId="0"/>
    <cellStyle name="Финансовый 13 5 2 2" xfId="0"/>
    <cellStyle name="Финансовый 13 5 2 2 2" xfId="0"/>
    <cellStyle name="Финансовый 13 5 2 2 3" xfId="0"/>
    <cellStyle name="Финансовый 13 5 2 2 4" xfId="0"/>
    <cellStyle name="Финансовый 13 5 2 2 5" xfId="0"/>
    <cellStyle name="Финансовый 13 5 2 3" xfId="0"/>
    <cellStyle name="Финансовый 13 5 2 4" xfId="0"/>
    <cellStyle name="Финансовый 13 5 2 5" xfId="0"/>
    <cellStyle name="Финансовый 13 5 2 6" xfId="0"/>
    <cellStyle name="Финансовый 13 5 3" xfId="0"/>
    <cellStyle name="Финансовый 13 5 3 2" xfId="0"/>
    <cellStyle name="Финансовый 13 5 3 3" xfId="0"/>
    <cellStyle name="Финансовый 13 5 3 4" xfId="0"/>
    <cellStyle name="Финансовый 13 5 3 5" xfId="0"/>
    <cellStyle name="Финансовый 13 5 4" xfId="0"/>
    <cellStyle name="Финансовый 13 5 5" xfId="0"/>
    <cellStyle name="Финансовый 13 5 6" xfId="0"/>
    <cellStyle name="Финансовый 13 5 7" xfId="0"/>
    <cellStyle name="Финансовый 13 6" xfId="0"/>
    <cellStyle name="Финансовый 13 6 2" xfId="0"/>
    <cellStyle name="Финансовый 13 6 2 2" xfId="0"/>
    <cellStyle name="Финансовый 13 6 2 3" xfId="0"/>
    <cellStyle name="Финансовый 13 6 2 4" xfId="0"/>
    <cellStyle name="Финансовый 13 6 2 5" xfId="0"/>
    <cellStyle name="Финансовый 13 6 3" xfId="0"/>
    <cellStyle name="Финансовый 13 6 4" xfId="0"/>
    <cellStyle name="Финансовый 13 6 5" xfId="0"/>
    <cellStyle name="Финансовый 13 6 6" xfId="0"/>
    <cellStyle name="Финансовый 13 7" xfId="0"/>
    <cellStyle name="Финансовый 13 7 2" xfId="0"/>
    <cellStyle name="Финансовый 13 7 2 2" xfId="0"/>
    <cellStyle name="Финансовый 13 7 2 3" xfId="0"/>
    <cellStyle name="Финансовый 13 7 2 4" xfId="0"/>
    <cellStyle name="Финансовый 13 7 2 5" xfId="0"/>
    <cellStyle name="Финансовый 13 7 3" xfId="0"/>
    <cellStyle name="Финансовый 13 7 4" xfId="0"/>
    <cellStyle name="Финансовый 13 7 5" xfId="0"/>
    <cellStyle name="Финансовый 13 7 6" xfId="0"/>
    <cellStyle name="Финансовый 13 8" xfId="0"/>
    <cellStyle name="Финансовый 13 8 2" xfId="0"/>
    <cellStyle name="Финансовый 13 8 2 2" xfId="0"/>
    <cellStyle name="Финансовый 13 8 2 3" xfId="0"/>
    <cellStyle name="Финансовый 13 8 2 4" xfId="0"/>
    <cellStyle name="Финансовый 13 8 2 5" xfId="0"/>
    <cellStyle name="Финансовый 13 8 3" xfId="0"/>
    <cellStyle name="Финансовый 13 8 4" xfId="0"/>
    <cellStyle name="Финансовый 13 8 5" xfId="0"/>
    <cellStyle name="Финансовый 13 8 6" xfId="0"/>
    <cellStyle name="Финансовый 13 9" xfId="0"/>
    <cellStyle name="Финансовый 13 9 2" xfId="0"/>
    <cellStyle name="Финансовый 13 9 2 2" xfId="0"/>
    <cellStyle name="Финансовый 13 9 2 3" xfId="0"/>
    <cellStyle name="Финансовый 13 9 2 4" xfId="0"/>
    <cellStyle name="Финансовый 13 9 2 5" xfId="0"/>
    <cellStyle name="Финансовый 13 9 3" xfId="0"/>
    <cellStyle name="Финансовый 13 9 4" xfId="0"/>
    <cellStyle name="Финансовый 13 9 5" xfId="0"/>
    <cellStyle name="Финансовый 13 9 6" xfId="0"/>
    <cellStyle name="Финансовый 14" xfId="0"/>
    <cellStyle name="Финансовый 14 2" xfId="0"/>
    <cellStyle name="Финансовый 14 2 10" xfId="0"/>
    <cellStyle name="Финансовый 14 2 11" xfId="0"/>
    <cellStyle name="Финансовый 14 2 12" xfId="0"/>
    <cellStyle name="Финансовый 14 2 2" xfId="0"/>
    <cellStyle name="Финансовый 14 2 2 2" xfId="0"/>
    <cellStyle name="Финансовый 14 2 2 2 2" xfId="0"/>
    <cellStyle name="Финансовый 14 2 2 2 2 2" xfId="0"/>
    <cellStyle name="Финансовый 14 2 2 2 2 3" xfId="0"/>
    <cellStyle name="Финансовый 14 2 2 2 2 4" xfId="0"/>
    <cellStyle name="Финансовый 14 2 2 2 2 5" xfId="0"/>
    <cellStyle name="Финансовый 14 2 2 2 3" xfId="0"/>
    <cellStyle name="Финансовый 14 2 2 2 4" xfId="0"/>
    <cellStyle name="Финансовый 14 2 2 2 5" xfId="0"/>
    <cellStyle name="Финансовый 14 2 2 2 6" xfId="0"/>
    <cellStyle name="Финансовый 14 2 2 3" xfId="0"/>
    <cellStyle name="Финансовый 14 2 2 3 2" xfId="0"/>
    <cellStyle name="Финансовый 14 2 2 3 3" xfId="0"/>
    <cellStyle name="Финансовый 14 2 2 3 4" xfId="0"/>
    <cellStyle name="Финансовый 14 2 2 3 5" xfId="0"/>
    <cellStyle name="Финансовый 14 2 2 4" xfId="0"/>
    <cellStyle name="Финансовый 14 2 2 5" xfId="0"/>
    <cellStyle name="Финансовый 14 2 2 6" xfId="0"/>
    <cellStyle name="Финансовый 14 2 2 7" xfId="0"/>
    <cellStyle name="Финансовый 14 2 3" xfId="0"/>
    <cellStyle name="Финансовый 14 2 3 2" xfId="0"/>
    <cellStyle name="Финансовый 14 2 3 2 2" xfId="0"/>
    <cellStyle name="Финансовый 14 2 3 2 3" xfId="0"/>
    <cellStyle name="Финансовый 14 2 3 2 4" xfId="0"/>
    <cellStyle name="Финансовый 14 2 3 2 5" xfId="0"/>
    <cellStyle name="Финансовый 14 2 3 3" xfId="0"/>
    <cellStyle name="Финансовый 14 2 3 4" xfId="0"/>
    <cellStyle name="Финансовый 14 2 3 5" xfId="0"/>
    <cellStyle name="Финансовый 14 2 3 6" xfId="0"/>
    <cellStyle name="Финансовый 14 2 4" xfId="0"/>
    <cellStyle name="Финансовый 14 2 4 2" xfId="0"/>
    <cellStyle name="Финансовый 14 2 4 2 2" xfId="0"/>
    <cellStyle name="Финансовый 14 2 4 2 3" xfId="0"/>
    <cellStyle name="Финансовый 14 2 4 2 4" xfId="0"/>
    <cellStyle name="Финансовый 14 2 4 2 5" xfId="0"/>
    <cellStyle name="Финансовый 14 2 4 3" xfId="0"/>
    <cellStyle name="Финансовый 14 2 4 4" xfId="0"/>
    <cellStyle name="Финансовый 14 2 4 5" xfId="0"/>
    <cellStyle name="Финансовый 14 2 4 6" xfId="0"/>
    <cellStyle name="Финансовый 14 2 5" xfId="0"/>
    <cellStyle name="Финансовый 14 2 5 2" xfId="0"/>
    <cellStyle name="Финансовый 14 2 5 2 2" xfId="0"/>
    <cellStyle name="Финансовый 14 2 5 2 3" xfId="0"/>
    <cellStyle name="Финансовый 14 2 5 2 4" xfId="0"/>
    <cellStyle name="Финансовый 14 2 5 2 5" xfId="0"/>
    <cellStyle name="Финансовый 14 2 5 3" xfId="0"/>
    <cellStyle name="Финансовый 14 2 5 4" xfId="0"/>
    <cellStyle name="Финансовый 14 2 5 5" xfId="0"/>
    <cellStyle name="Финансовый 14 2 5 6" xfId="0"/>
    <cellStyle name="Финансовый 14 2 6" xfId="0"/>
    <cellStyle name="Финансовый 14 2 6 2" xfId="0"/>
    <cellStyle name="Финансовый 14 2 6 3" xfId="0"/>
    <cellStyle name="Финансовый 14 2 6 4" xfId="0"/>
    <cellStyle name="Финансовый 14 2 6 5" xfId="0"/>
    <cellStyle name="Финансовый 14 2 7" xfId="0"/>
    <cellStyle name="Финансовый 14 2 7 2" xfId="0"/>
    <cellStyle name="Финансовый 14 2 7 3" xfId="0"/>
    <cellStyle name="Финансовый 14 2 7 4" xfId="0"/>
    <cellStyle name="Финансовый 14 2 7 5" xfId="0"/>
    <cellStyle name="Финансовый 14 2 8" xfId="0"/>
    <cellStyle name="Финансовый 14 2 9" xfId="0"/>
    <cellStyle name="Финансовый 14 3" xfId="0"/>
    <cellStyle name="Финансовый 14 3 2" xfId="0"/>
    <cellStyle name="Финансовый 14 3 2 2" xfId="0"/>
    <cellStyle name="Финансовый 14 3 2 3" xfId="0"/>
    <cellStyle name="Финансовый 14 3 2 4" xfId="0"/>
    <cellStyle name="Финансовый 14 3 2 5" xfId="0"/>
    <cellStyle name="Финансовый 14 3 3" xfId="0"/>
    <cellStyle name="Финансовый 14 3 4" xfId="0"/>
    <cellStyle name="Финансовый 14 3 5" xfId="0"/>
    <cellStyle name="Финансовый 14 3 6" xfId="0"/>
    <cellStyle name="Финансовый 14 4" xfId="0"/>
    <cellStyle name="Финансовый 14 4 2" xfId="0"/>
    <cellStyle name="Финансовый 14 4 3" xfId="0"/>
    <cellStyle name="Финансовый 14 4 4" xfId="0"/>
    <cellStyle name="Финансовый 14 4 5" xfId="0"/>
    <cellStyle name="Финансовый 14 5" xfId="0"/>
    <cellStyle name="Финансовый 14 5 2" xfId="0"/>
    <cellStyle name="Финансовый 14 5 3" xfId="0"/>
    <cellStyle name="Финансовый 14 5 4" xfId="0"/>
    <cellStyle name="Финансовый 14 5 5" xfId="0"/>
    <cellStyle name="Финансовый 14 6" xfId="0"/>
    <cellStyle name="Финансовый 15" xfId="0"/>
    <cellStyle name="Финансовый 15 10" xfId="0"/>
    <cellStyle name="Финансовый 15 11" xfId="0"/>
    <cellStyle name="Финансовый 15 12" xfId="0"/>
    <cellStyle name="Финансовый 15 13" xfId="0"/>
    <cellStyle name="Финансовый 15 14" xfId="0"/>
    <cellStyle name="Финансовый 15 2" xfId="0"/>
    <cellStyle name="Финансовый 15 2 2" xfId="0"/>
    <cellStyle name="Финансовый 15 2 2 2" xfId="0"/>
    <cellStyle name="Финансовый 15 2 2 2 2" xfId="0"/>
    <cellStyle name="Финансовый 15 2 2 2 3" xfId="0"/>
    <cellStyle name="Финансовый 15 2 2 2 4" xfId="0"/>
    <cellStyle name="Финансовый 15 2 2 2 5" xfId="0"/>
    <cellStyle name="Финансовый 15 2 2 3" xfId="0"/>
    <cellStyle name="Финансовый 15 2 2 4" xfId="0"/>
    <cellStyle name="Финансовый 15 2 2 5" xfId="0"/>
    <cellStyle name="Финансовый 15 2 2 6" xfId="0"/>
    <cellStyle name="Финансовый 15 2 3" xfId="0"/>
    <cellStyle name="Финансовый 15 2 3 2" xfId="0"/>
    <cellStyle name="Финансовый 15 2 3 3" xfId="0"/>
    <cellStyle name="Финансовый 15 2 3 4" xfId="0"/>
    <cellStyle name="Финансовый 15 2 3 5" xfId="0"/>
    <cellStyle name="Финансовый 15 2 4" xfId="0"/>
    <cellStyle name="Финансовый 15 2 4 2" xfId="0"/>
    <cellStyle name="Финансовый 15 2 4 3" xfId="0"/>
    <cellStyle name="Финансовый 15 2 4 4" xfId="0"/>
    <cellStyle name="Финансовый 15 2 4 5" xfId="0"/>
    <cellStyle name="Финансовый 15 2 5" xfId="0"/>
    <cellStyle name="Финансовый 15 2 6" xfId="0"/>
    <cellStyle name="Финансовый 15 2 7" xfId="0"/>
    <cellStyle name="Финансовый 15 2 8" xfId="0"/>
    <cellStyle name="Финансовый 15 2 9" xfId="0"/>
    <cellStyle name="Финансовый 15 3" xfId="0"/>
    <cellStyle name="Финансовый 15 4" xfId="0"/>
    <cellStyle name="Финансовый 15 4 2" xfId="0"/>
    <cellStyle name="Финансовый 15 4 2 2" xfId="0"/>
    <cellStyle name="Финансовый 15 4 2 3" xfId="0"/>
    <cellStyle name="Финансовый 15 4 2 4" xfId="0"/>
    <cellStyle name="Финансовый 15 4 2 5" xfId="0"/>
    <cellStyle name="Финансовый 15 4 3" xfId="0"/>
    <cellStyle name="Финансовый 15 4 4" xfId="0"/>
    <cellStyle name="Финансовый 15 4 5" xfId="0"/>
    <cellStyle name="Финансовый 15 4 6" xfId="0"/>
    <cellStyle name="Финансовый 15 5" xfId="0"/>
    <cellStyle name="Финансовый 15 5 2" xfId="0"/>
    <cellStyle name="Финансовый 15 5 2 2" xfId="0"/>
    <cellStyle name="Финансовый 15 5 2 3" xfId="0"/>
    <cellStyle name="Финансовый 15 5 2 4" xfId="0"/>
    <cellStyle name="Финансовый 15 5 2 5" xfId="0"/>
    <cellStyle name="Финансовый 15 5 3" xfId="0"/>
    <cellStyle name="Финансовый 15 5 4" xfId="0"/>
    <cellStyle name="Финансовый 15 5 5" xfId="0"/>
    <cellStyle name="Финансовый 15 5 6" xfId="0"/>
    <cellStyle name="Финансовый 15 6" xfId="0"/>
    <cellStyle name="Финансовый 15 6 2" xfId="0"/>
    <cellStyle name="Финансовый 15 6 2 2" xfId="0"/>
    <cellStyle name="Финансовый 15 6 2 3" xfId="0"/>
    <cellStyle name="Финансовый 15 6 2 4" xfId="0"/>
    <cellStyle name="Финансовый 15 6 2 5" xfId="0"/>
    <cellStyle name="Финансовый 15 6 3" xfId="0"/>
    <cellStyle name="Финансовый 15 6 4" xfId="0"/>
    <cellStyle name="Финансовый 15 6 5" xfId="0"/>
    <cellStyle name="Финансовый 15 6 6" xfId="0"/>
    <cellStyle name="Финансовый 15 7" xfId="0"/>
    <cellStyle name="Финансовый 15 7 2" xfId="0"/>
    <cellStyle name="Финансовый 15 7 3" xfId="0"/>
    <cellStyle name="Финансовый 15 7 4" xfId="0"/>
    <cellStyle name="Финансовый 15 7 5" xfId="0"/>
    <cellStyle name="Финансовый 15 8" xfId="0"/>
    <cellStyle name="Финансовый 15 9" xfId="0"/>
    <cellStyle name="Финансовый 15 9 2" xfId="0"/>
    <cellStyle name="Финансовый 15 9 3" xfId="0"/>
    <cellStyle name="Финансовый 15 9 4" xfId="0"/>
    <cellStyle name="Финансовый 15 9 5" xfId="0"/>
    <cellStyle name="Финансовый 16" xfId="0"/>
    <cellStyle name="Финансовый 16 2" xfId="0"/>
    <cellStyle name="Финансовый 17" xfId="0"/>
    <cellStyle name="Финансовый 17 2" xfId="0"/>
    <cellStyle name="Финансовый 17 2 2" xfId="0"/>
    <cellStyle name="Финансовый 17 2 3" xfId="0"/>
    <cellStyle name="Финансовый 17 2 4" xfId="0"/>
    <cellStyle name="Финансовый 17 2 5" xfId="0"/>
    <cellStyle name="Финансовый 18" xfId="0"/>
    <cellStyle name="Финансовый 19" xfId="0"/>
    <cellStyle name="Финансовый 2" xfId="0"/>
    <cellStyle name="Финансовый 2 10" xfId="0"/>
    <cellStyle name="Финансовый 2 11" xfId="0"/>
    <cellStyle name="Финансовый 2 2" xfId="0"/>
    <cellStyle name="Финансовый 2 2 2" xfId="0"/>
    <cellStyle name="Финансовый 2 2 3" xfId="0"/>
    <cellStyle name="Финансовый 2 2 4" xfId="0"/>
    <cellStyle name="Финансовый 2 3" xfId="0"/>
    <cellStyle name="Финансовый 2 3 2" xfId="0"/>
    <cellStyle name="Финансовый 2 3 3" xfId="0"/>
    <cellStyle name="Финансовый 2 4" xfId="0"/>
    <cellStyle name="Финансовый 2 4 2" xfId="0"/>
    <cellStyle name="Финансовый 2 4 2 10" xfId="0"/>
    <cellStyle name="Финансовый 2 4 2 11" xfId="0"/>
    <cellStyle name="Финансовый 2 4 2 12" xfId="0"/>
    <cellStyle name="Финансовый 2 4 2 13" xfId="0"/>
    <cellStyle name="Финансовый 2 4 2 2" xfId="0"/>
    <cellStyle name="Финансовый 2 4 2 2 2" xfId="0"/>
    <cellStyle name="Финансовый 2 4 2 2 2 2" xfId="0"/>
    <cellStyle name="Финансовый 2 4 2 2 2 2 2" xfId="0"/>
    <cellStyle name="Финансовый 2 4 2 2 2 2 3" xfId="0"/>
    <cellStyle name="Финансовый 2 4 2 2 2 2 4" xfId="0"/>
    <cellStyle name="Финансовый 2 4 2 2 2 2 5" xfId="0"/>
    <cellStyle name="Финансовый 2 4 2 2 2 3" xfId="0"/>
    <cellStyle name="Финансовый 2 4 2 2 2 4" xfId="0"/>
    <cellStyle name="Финансовый 2 4 2 2 2 5" xfId="0"/>
    <cellStyle name="Финансовый 2 4 2 2 2 6" xfId="0"/>
    <cellStyle name="Финансовый 2 4 2 2 3" xfId="0"/>
    <cellStyle name="Финансовый 2 4 2 2 3 2" xfId="0"/>
    <cellStyle name="Финансовый 2 4 2 2 3 3" xfId="0"/>
    <cellStyle name="Финансовый 2 4 2 2 3 4" xfId="0"/>
    <cellStyle name="Финансовый 2 4 2 2 3 5" xfId="0"/>
    <cellStyle name="Финансовый 2 4 2 2 4" xfId="0"/>
    <cellStyle name="Финансовый 2 4 2 2 5" xfId="0"/>
    <cellStyle name="Финансовый 2 4 2 2 6" xfId="0"/>
    <cellStyle name="Финансовый 2 4 2 2 7" xfId="0"/>
    <cellStyle name="Финансовый 2 4 2 3" xfId="0"/>
    <cellStyle name="Финансовый 2 4 2 3 2" xfId="0"/>
    <cellStyle name="Финансовый 2 4 2 3 2 2" xfId="0"/>
    <cellStyle name="Финансовый 2 4 2 3 2 3" xfId="0"/>
    <cellStyle name="Финансовый 2 4 2 3 2 4" xfId="0"/>
    <cellStyle name="Финансовый 2 4 2 3 2 5" xfId="0"/>
    <cellStyle name="Финансовый 2 4 2 3 3" xfId="0"/>
    <cellStyle name="Финансовый 2 4 2 3 4" xfId="0"/>
    <cellStyle name="Финансовый 2 4 2 3 5" xfId="0"/>
    <cellStyle name="Финансовый 2 4 2 3 6" xfId="0"/>
    <cellStyle name="Финансовый 2 4 2 4" xfId="0"/>
    <cellStyle name="Финансовый 2 4 2 4 2" xfId="0"/>
    <cellStyle name="Финансовый 2 4 2 4 2 2" xfId="0"/>
    <cellStyle name="Финансовый 2 4 2 4 2 3" xfId="0"/>
    <cellStyle name="Финансовый 2 4 2 4 2 4" xfId="0"/>
    <cellStyle name="Финансовый 2 4 2 4 2 5" xfId="0"/>
    <cellStyle name="Финансовый 2 4 2 4 3" xfId="0"/>
    <cellStyle name="Финансовый 2 4 2 4 4" xfId="0"/>
    <cellStyle name="Финансовый 2 4 2 4 5" xfId="0"/>
    <cellStyle name="Финансовый 2 4 2 4 6" xfId="0"/>
    <cellStyle name="Финансовый 2 4 2 5" xfId="0"/>
    <cellStyle name="Финансовый 2 4 2 5 2" xfId="0"/>
    <cellStyle name="Финансовый 2 4 2 5 2 2" xfId="0"/>
    <cellStyle name="Финансовый 2 4 2 5 2 3" xfId="0"/>
    <cellStyle name="Финансовый 2 4 2 5 2 4" xfId="0"/>
    <cellStyle name="Финансовый 2 4 2 5 2 5" xfId="0"/>
    <cellStyle name="Финансовый 2 4 2 5 3" xfId="0"/>
    <cellStyle name="Финансовый 2 4 2 5 4" xfId="0"/>
    <cellStyle name="Финансовый 2 4 2 5 5" xfId="0"/>
    <cellStyle name="Финансовый 2 4 2 5 6" xfId="0"/>
    <cellStyle name="Финансовый 2 4 2 6" xfId="0"/>
    <cellStyle name="Финансовый 2 4 2 6 2" xfId="0"/>
    <cellStyle name="Финансовый 2 4 2 6 2 2" xfId="0"/>
    <cellStyle name="Финансовый 2 4 2 6 2 3" xfId="0"/>
    <cellStyle name="Финансовый 2 4 2 6 2 4" xfId="0"/>
    <cellStyle name="Финансовый 2 4 2 6 2 5" xfId="0"/>
    <cellStyle name="Финансовый 2 4 2 6 3" xfId="0"/>
    <cellStyle name="Финансовый 2 4 2 6 4" xfId="0"/>
    <cellStyle name="Финансовый 2 4 2 6 5" xfId="0"/>
    <cellStyle name="Финансовый 2 4 2 6 6" xfId="0"/>
    <cellStyle name="Финансовый 2 4 2 7" xfId="0"/>
    <cellStyle name="Финансовый 2 4 2 7 2" xfId="0"/>
    <cellStyle name="Финансовый 2 4 2 7 3" xfId="0"/>
    <cellStyle name="Финансовый 2 4 2 7 4" xfId="0"/>
    <cellStyle name="Финансовый 2 4 2 7 5" xfId="0"/>
    <cellStyle name="Финансовый 2 4 2 8" xfId="0"/>
    <cellStyle name="Финансовый 2 4 2 8 2" xfId="0"/>
    <cellStyle name="Финансовый 2 4 2 8 3" xfId="0"/>
    <cellStyle name="Финансовый 2 4 2 8 4" xfId="0"/>
    <cellStyle name="Финансовый 2 4 2 8 5" xfId="0"/>
    <cellStyle name="Финансовый 2 4 2 9" xfId="0"/>
    <cellStyle name="Финансовый 2 4 3" xfId="0"/>
    <cellStyle name="Финансовый 2 4 3 10" xfId="0"/>
    <cellStyle name="Финансовый 2 4 3 2" xfId="0"/>
    <cellStyle name="Финансовый 2 4 3 2 2" xfId="0"/>
    <cellStyle name="Финансовый 2 4 3 2 2 2" xfId="0"/>
    <cellStyle name="Финансовый 2 4 3 2 2 2 2" xfId="0"/>
    <cellStyle name="Финансовый 2 4 3 2 2 2 3" xfId="0"/>
    <cellStyle name="Финансовый 2 4 3 2 2 2 4" xfId="0"/>
    <cellStyle name="Финансовый 2 4 3 2 2 2 5" xfId="0"/>
    <cellStyle name="Финансовый 2 4 3 2 2 3" xfId="0"/>
    <cellStyle name="Финансовый 2 4 3 2 2 4" xfId="0"/>
    <cellStyle name="Финансовый 2 4 3 2 2 5" xfId="0"/>
    <cellStyle name="Финансовый 2 4 3 2 2 6" xfId="0"/>
    <cellStyle name="Финансовый 2 4 3 2 3" xfId="0"/>
    <cellStyle name="Финансовый 2 4 3 2 3 2" xfId="0"/>
    <cellStyle name="Финансовый 2 4 3 2 3 3" xfId="0"/>
    <cellStyle name="Финансовый 2 4 3 2 3 4" xfId="0"/>
    <cellStyle name="Финансовый 2 4 3 2 3 5" xfId="0"/>
    <cellStyle name="Финансовый 2 4 3 2 4" xfId="0"/>
    <cellStyle name="Финансовый 2 4 3 2 5" xfId="0"/>
    <cellStyle name="Финансовый 2 4 3 2 6" xfId="0"/>
    <cellStyle name="Финансовый 2 4 3 2 7" xfId="0"/>
    <cellStyle name="Финансовый 2 4 3 3" xfId="0"/>
    <cellStyle name="Финансовый 2 4 3 3 2" xfId="0"/>
    <cellStyle name="Финансовый 2 4 3 3 2 2" xfId="0"/>
    <cellStyle name="Финансовый 2 4 3 3 2 3" xfId="0"/>
    <cellStyle name="Финансовый 2 4 3 3 2 4" xfId="0"/>
    <cellStyle name="Финансовый 2 4 3 3 2 5" xfId="0"/>
    <cellStyle name="Финансовый 2 4 3 3 3" xfId="0"/>
    <cellStyle name="Финансовый 2 4 3 3 4" xfId="0"/>
    <cellStyle name="Финансовый 2 4 3 3 5" xfId="0"/>
    <cellStyle name="Финансовый 2 4 3 3 6" xfId="0"/>
    <cellStyle name="Финансовый 2 4 3 4" xfId="0"/>
    <cellStyle name="Финансовый 2 4 3 4 2" xfId="0"/>
    <cellStyle name="Финансовый 2 4 3 4 2 2" xfId="0"/>
    <cellStyle name="Финансовый 2 4 3 4 2 3" xfId="0"/>
    <cellStyle name="Финансовый 2 4 3 4 2 4" xfId="0"/>
    <cellStyle name="Финансовый 2 4 3 4 2 5" xfId="0"/>
    <cellStyle name="Финансовый 2 4 3 4 3" xfId="0"/>
    <cellStyle name="Финансовый 2 4 3 4 4" xfId="0"/>
    <cellStyle name="Финансовый 2 4 3 4 5" xfId="0"/>
    <cellStyle name="Финансовый 2 4 3 4 6" xfId="0"/>
    <cellStyle name="Финансовый 2 4 3 5" xfId="0"/>
    <cellStyle name="Финансовый 2 4 3 5 2" xfId="0"/>
    <cellStyle name="Финансовый 2 4 3 5 2 2" xfId="0"/>
    <cellStyle name="Финансовый 2 4 3 5 2 3" xfId="0"/>
    <cellStyle name="Финансовый 2 4 3 5 2 4" xfId="0"/>
    <cellStyle name="Финансовый 2 4 3 5 2 5" xfId="0"/>
    <cellStyle name="Финансовый 2 4 3 5 3" xfId="0"/>
    <cellStyle name="Финансовый 2 4 3 5 4" xfId="0"/>
    <cellStyle name="Финансовый 2 4 3 5 5" xfId="0"/>
    <cellStyle name="Финансовый 2 4 3 5 6" xfId="0"/>
    <cellStyle name="Финансовый 2 4 3 6" xfId="0"/>
    <cellStyle name="Финансовый 2 4 3 6 2" xfId="0"/>
    <cellStyle name="Финансовый 2 4 3 6 3" xfId="0"/>
    <cellStyle name="Финансовый 2 4 3 6 4" xfId="0"/>
    <cellStyle name="Финансовый 2 4 3 6 5" xfId="0"/>
    <cellStyle name="Финансовый 2 4 3 7" xfId="0"/>
    <cellStyle name="Финансовый 2 4 3 8" xfId="0"/>
    <cellStyle name="Финансовый 2 4 3 9" xfId="0"/>
    <cellStyle name="Финансовый 2 4 4" xfId="0"/>
    <cellStyle name="Финансовый 2 4 4 2" xfId="0"/>
    <cellStyle name="Финансовый 2 4 4 2 2" xfId="0"/>
    <cellStyle name="Финансовый 2 4 4 2 3" xfId="0"/>
    <cellStyle name="Финансовый 2 4 4 2 4" xfId="0"/>
    <cellStyle name="Финансовый 2 4 4 2 5" xfId="0"/>
    <cellStyle name="Финансовый 2 4 4 3" xfId="0"/>
    <cellStyle name="Финансовый 2 4 4 4" xfId="0"/>
    <cellStyle name="Финансовый 2 4 4 5" xfId="0"/>
    <cellStyle name="Финансовый 2 4 4 6" xfId="0"/>
    <cellStyle name="Финансовый 2 4 5" xfId="0"/>
    <cellStyle name="Финансовый 2 4 6" xfId="0"/>
    <cellStyle name="Финансовый 2 4 6 2" xfId="0"/>
    <cellStyle name="Финансовый 2 4 6 3" xfId="0"/>
    <cellStyle name="Финансовый 2 4 6 4" xfId="0"/>
    <cellStyle name="Финансовый 2 4 6 5" xfId="0"/>
    <cellStyle name="Финансовый 2 4 7" xfId="0"/>
    <cellStyle name="Финансовый 2 5" xfId="0"/>
    <cellStyle name="Финансовый 2 5 10" xfId="0"/>
    <cellStyle name="Финансовый 2 5 10 2" xfId="0"/>
    <cellStyle name="Финансовый 2 5 10 3" xfId="0"/>
    <cellStyle name="Финансовый 2 5 10 4" xfId="0"/>
    <cellStyle name="Финансовый 2 5 10 5" xfId="0"/>
    <cellStyle name="Финансовый 2 5 11" xfId="0"/>
    <cellStyle name="Финансовый 2 5 12" xfId="0"/>
    <cellStyle name="Финансовый 2 5 13" xfId="0"/>
    <cellStyle name="Финансовый 2 5 14" xfId="0"/>
    <cellStyle name="Финансовый 2 5 15" xfId="0"/>
    <cellStyle name="Финансовый 2 5 2" xfId="0"/>
    <cellStyle name="Финансовый 2 5 2 10" xfId="0"/>
    <cellStyle name="Финансовый 2 5 2 11" xfId="0"/>
    <cellStyle name="Финансовый 2 5 2 12" xfId="0"/>
    <cellStyle name="Финансовый 2 5 2 2" xfId="0"/>
    <cellStyle name="Финансовый 2 5 2 2 2" xfId="0"/>
    <cellStyle name="Финансовый 2 5 2 2 2 2" xfId="0"/>
    <cellStyle name="Финансовый 2 5 2 2 2 2 2" xfId="0"/>
    <cellStyle name="Финансовый 2 5 2 2 2 2 3" xfId="0"/>
    <cellStyle name="Финансовый 2 5 2 2 2 2 4" xfId="0"/>
    <cellStyle name="Финансовый 2 5 2 2 2 2 5" xfId="0"/>
    <cellStyle name="Финансовый 2 5 2 2 2 3" xfId="0"/>
    <cellStyle name="Финансовый 2 5 2 2 2 4" xfId="0"/>
    <cellStyle name="Финансовый 2 5 2 2 2 5" xfId="0"/>
    <cellStyle name="Финансовый 2 5 2 2 2 6" xfId="0"/>
    <cellStyle name="Финансовый 2 5 2 2 3" xfId="0"/>
    <cellStyle name="Финансовый 2 5 2 2 3 2" xfId="0"/>
    <cellStyle name="Финансовый 2 5 2 2 3 3" xfId="0"/>
    <cellStyle name="Финансовый 2 5 2 2 3 4" xfId="0"/>
    <cellStyle name="Финансовый 2 5 2 2 3 5" xfId="0"/>
    <cellStyle name="Финансовый 2 5 2 2 4" xfId="0"/>
    <cellStyle name="Финансовый 2 5 2 2 5" xfId="0"/>
    <cellStyle name="Финансовый 2 5 2 2 6" xfId="0"/>
    <cellStyle name="Финансовый 2 5 2 2 7" xfId="0"/>
    <cellStyle name="Финансовый 2 5 2 3" xfId="0"/>
    <cellStyle name="Финансовый 2 5 2 3 2" xfId="0"/>
    <cellStyle name="Финансовый 2 5 2 3 2 2" xfId="0"/>
    <cellStyle name="Финансовый 2 5 2 3 2 3" xfId="0"/>
    <cellStyle name="Финансовый 2 5 2 3 2 4" xfId="0"/>
    <cellStyle name="Финансовый 2 5 2 3 2 5" xfId="0"/>
    <cellStyle name="Финансовый 2 5 2 3 3" xfId="0"/>
    <cellStyle name="Финансовый 2 5 2 3 4" xfId="0"/>
    <cellStyle name="Финансовый 2 5 2 3 5" xfId="0"/>
    <cellStyle name="Финансовый 2 5 2 3 6" xfId="0"/>
    <cellStyle name="Финансовый 2 5 2 4" xfId="0"/>
    <cellStyle name="Финансовый 2 5 2 4 2" xfId="0"/>
    <cellStyle name="Финансовый 2 5 2 4 2 2" xfId="0"/>
    <cellStyle name="Финансовый 2 5 2 4 2 3" xfId="0"/>
    <cellStyle name="Финансовый 2 5 2 4 2 4" xfId="0"/>
    <cellStyle name="Финансовый 2 5 2 4 2 5" xfId="0"/>
    <cellStyle name="Финансовый 2 5 2 4 3" xfId="0"/>
    <cellStyle name="Финансовый 2 5 2 4 4" xfId="0"/>
    <cellStyle name="Финансовый 2 5 2 4 5" xfId="0"/>
    <cellStyle name="Финансовый 2 5 2 4 6" xfId="0"/>
    <cellStyle name="Финансовый 2 5 2 5" xfId="0"/>
    <cellStyle name="Финансовый 2 5 2 5 2" xfId="0"/>
    <cellStyle name="Финансовый 2 5 2 5 2 2" xfId="0"/>
    <cellStyle name="Финансовый 2 5 2 5 2 3" xfId="0"/>
    <cellStyle name="Финансовый 2 5 2 5 2 4" xfId="0"/>
    <cellStyle name="Финансовый 2 5 2 5 2 5" xfId="0"/>
    <cellStyle name="Финансовый 2 5 2 5 3" xfId="0"/>
    <cellStyle name="Финансовый 2 5 2 5 4" xfId="0"/>
    <cellStyle name="Финансовый 2 5 2 5 5" xfId="0"/>
    <cellStyle name="Финансовый 2 5 2 5 6" xfId="0"/>
    <cellStyle name="Финансовый 2 5 2 6" xfId="0"/>
    <cellStyle name="Финансовый 2 5 2 6 2" xfId="0"/>
    <cellStyle name="Финансовый 2 5 2 6 3" xfId="0"/>
    <cellStyle name="Финансовый 2 5 2 6 4" xfId="0"/>
    <cellStyle name="Финансовый 2 5 2 6 5" xfId="0"/>
    <cellStyle name="Финансовый 2 5 2 7" xfId="0"/>
    <cellStyle name="Финансовый 2 5 2 7 2" xfId="0"/>
    <cellStyle name="Финансовый 2 5 2 7 3" xfId="0"/>
    <cellStyle name="Финансовый 2 5 2 7 4" xfId="0"/>
    <cellStyle name="Финансовый 2 5 2 7 5" xfId="0"/>
    <cellStyle name="Финансовый 2 5 2 8" xfId="0"/>
    <cellStyle name="Финансовый 2 5 2 9" xfId="0"/>
    <cellStyle name="Финансовый 2 5 3" xfId="0"/>
    <cellStyle name="Финансовый 2 5 3 2" xfId="0"/>
    <cellStyle name="Финансовый 2 5 3 2 2" xfId="0"/>
    <cellStyle name="Финансовый 2 5 3 2 2 2" xfId="0"/>
    <cellStyle name="Финансовый 2 5 3 2 2 3" xfId="0"/>
    <cellStyle name="Финансовый 2 5 3 2 2 4" xfId="0"/>
    <cellStyle name="Финансовый 2 5 3 2 2 5" xfId="0"/>
    <cellStyle name="Финансовый 2 5 3 2 3" xfId="0"/>
    <cellStyle name="Финансовый 2 5 3 2 4" xfId="0"/>
    <cellStyle name="Финансовый 2 5 3 2 5" xfId="0"/>
    <cellStyle name="Финансовый 2 5 3 2 6" xfId="0"/>
    <cellStyle name="Финансовый 2 5 3 3" xfId="0"/>
    <cellStyle name="Финансовый 2 5 3 3 2" xfId="0"/>
    <cellStyle name="Финансовый 2 5 3 3 2 2" xfId="0"/>
    <cellStyle name="Финансовый 2 5 3 3 2 3" xfId="0"/>
    <cellStyle name="Финансовый 2 5 3 3 2 4" xfId="0"/>
    <cellStyle name="Финансовый 2 5 3 3 2 5" xfId="0"/>
    <cellStyle name="Финансовый 2 5 3 3 3" xfId="0"/>
    <cellStyle name="Финансовый 2 5 3 3 4" xfId="0"/>
    <cellStyle name="Финансовый 2 5 3 3 5" xfId="0"/>
    <cellStyle name="Финансовый 2 5 3 3 6" xfId="0"/>
    <cellStyle name="Финансовый 2 5 3 4" xfId="0"/>
    <cellStyle name="Финансовый 2 5 3 4 2" xfId="0"/>
    <cellStyle name="Финансовый 2 5 3 4 3" xfId="0"/>
    <cellStyle name="Финансовый 2 5 3 4 4" xfId="0"/>
    <cellStyle name="Финансовый 2 5 3 4 5" xfId="0"/>
    <cellStyle name="Финансовый 2 5 3 5" xfId="0"/>
    <cellStyle name="Финансовый 2 5 3 6" xfId="0"/>
    <cellStyle name="Финансовый 2 5 3 7" xfId="0"/>
    <cellStyle name="Финансовый 2 5 3 8" xfId="0"/>
    <cellStyle name="Финансовый 2 5 4" xfId="0"/>
    <cellStyle name="Финансовый 2 5 4 2" xfId="0"/>
    <cellStyle name="Финансовый 2 5 4 2 2" xfId="0"/>
    <cellStyle name="Финансовый 2 5 4 2 3" xfId="0"/>
    <cellStyle name="Финансовый 2 5 4 2 4" xfId="0"/>
    <cellStyle name="Финансовый 2 5 4 2 5" xfId="0"/>
    <cellStyle name="Финансовый 2 5 4 3" xfId="0"/>
    <cellStyle name="Финансовый 2 5 4 4" xfId="0"/>
    <cellStyle name="Финансовый 2 5 4 5" xfId="0"/>
    <cellStyle name="Финансовый 2 5 4 6" xfId="0"/>
    <cellStyle name="Финансовый 2 5 5" xfId="0"/>
    <cellStyle name="Финансовый 2 5 5 2" xfId="0"/>
    <cellStyle name="Финансовый 2 5 5 2 2" xfId="0"/>
    <cellStyle name="Финансовый 2 5 5 2 3" xfId="0"/>
    <cellStyle name="Финансовый 2 5 5 2 4" xfId="0"/>
    <cellStyle name="Финансовый 2 5 5 2 5" xfId="0"/>
    <cellStyle name="Финансовый 2 5 5 3" xfId="0"/>
    <cellStyle name="Финансовый 2 5 5 4" xfId="0"/>
    <cellStyle name="Финансовый 2 5 5 5" xfId="0"/>
    <cellStyle name="Финансовый 2 5 5 6" xfId="0"/>
    <cellStyle name="Финансовый 2 5 6" xfId="0"/>
    <cellStyle name="Финансовый 2 5 6 2" xfId="0"/>
    <cellStyle name="Финансовый 2 5 6 2 2" xfId="0"/>
    <cellStyle name="Финансовый 2 5 6 2 3" xfId="0"/>
    <cellStyle name="Финансовый 2 5 6 2 4" xfId="0"/>
    <cellStyle name="Финансовый 2 5 6 2 5" xfId="0"/>
    <cellStyle name="Финансовый 2 5 6 3" xfId="0"/>
    <cellStyle name="Финансовый 2 5 6 4" xfId="0"/>
    <cellStyle name="Финансовый 2 5 6 5" xfId="0"/>
    <cellStyle name="Финансовый 2 5 6 6" xfId="0"/>
    <cellStyle name="Финансовый 2 5 7" xfId="0"/>
    <cellStyle name="Финансовый 2 5 7 2" xfId="0"/>
    <cellStyle name="Финансовый 2 5 7 2 2" xfId="0"/>
    <cellStyle name="Финансовый 2 5 7 2 3" xfId="0"/>
    <cellStyle name="Финансовый 2 5 7 2 4" xfId="0"/>
    <cellStyle name="Финансовый 2 5 7 2 5" xfId="0"/>
    <cellStyle name="Финансовый 2 5 7 3" xfId="0"/>
    <cellStyle name="Финансовый 2 5 7 4" xfId="0"/>
    <cellStyle name="Финансовый 2 5 7 5" xfId="0"/>
    <cellStyle name="Финансовый 2 5 7 6" xfId="0"/>
    <cellStyle name="Финансовый 2 5 8" xfId="0"/>
    <cellStyle name="Финансовый 2 5 8 2" xfId="0"/>
    <cellStyle name="Финансовый 2 5 8 2 2" xfId="0"/>
    <cellStyle name="Финансовый 2 5 8 2 3" xfId="0"/>
    <cellStyle name="Финансовый 2 5 8 2 4" xfId="0"/>
    <cellStyle name="Финансовый 2 5 8 2 5" xfId="0"/>
    <cellStyle name="Финансовый 2 5 8 3" xfId="0"/>
    <cellStyle name="Финансовый 2 5 8 4" xfId="0"/>
    <cellStyle name="Финансовый 2 5 8 5" xfId="0"/>
    <cellStyle name="Финансовый 2 5 8 6" xfId="0"/>
    <cellStyle name="Финансовый 2 5 9" xfId="0"/>
    <cellStyle name="Финансовый 2 5 9 2" xfId="0"/>
    <cellStyle name="Финансовый 2 5 9 3" xfId="0"/>
    <cellStyle name="Финансовый 2 5 9 4" xfId="0"/>
    <cellStyle name="Финансовый 2 5 9 5" xfId="0"/>
    <cellStyle name="Финансовый 2 6" xfId="0"/>
    <cellStyle name="Финансовый 2 6 2" xfId="0"/>
    <cellStyle name="Финансовый 2 6 2 2" xfId="0"/>
    <cellStyle name="Финансовый 2 6 2 3" xfId="0"/>
    <cellStyle name="Финансовый 2 6 2 4" xfId="0"/>
    <cellStyle name="Финансовый 2 6 2 5" xfId="0"/>
    <cellStyle name="Финансовый 2 6 3" xfId="0"/>
    <cellStyle name="Финансовый 2 7" xfId="0"/>
    <cellStyle name="Финансовый 2 7 10" xfId="0"/>
    <cellStyle name="Финансовый 2 7 2" xfId="0"/>
    <cellStyle name="Финансовый 2 7 2 2" xfId="0"/>
    <cellStyle name="Финансовый 2 7 2 2 2" xfId="0"/>
    <cellStyle name="Финансовый 2 7 2 2 2 2" xfId="0"/>
    <cellStyle name="Финансовый 2 7 2 2 2 3" xfId="0"/>
    <cellStyle name="Финансовый 2 7 2 2 2 4" xfId="0"/>
    <cellStyle name="Финансовый 2 7 2 2 2 5" xfId="0"/>
    <cellStyle name="Финансовый 2 7 2 2 3" xfId="0"/>
    <cellStyle name="Финансовый 2 7 2 2 4" xfId="0"/>
    <cellStyle name="Финансовый 2 7 2 2 5" xfId="0"/>
    <cellStyle name="Финансовый 2 7 2 2 6" xfId="0"/>
    <cellStyle name="Финансовый 2 7 2 3" xfId="0"/>
    <cellStyle name="Финансовый 2 7 2 3 2" xfId="0"/>
    <cellStyle name="Финансовый 2 7 2 3 3" xfId="0"/>
    <cellStyle name="Финансовый 2 7 2 3 4" xfId="0"/>
    <cellStyle name="Финансовый 2 7 2 3 5" xfId="0"/>
    <cellStyle name="Финансовый 2 7 2 4" xfId="0"/>
    <cellStyle name="Финансовый 2 7 2 5" xfId="0"/>
    <cellStyle name="Финансовый 2 7 2 6" xfId="0"/>
    <cellStyle name="Финансовый 2 7 2 7" xfId="0"/>
    <cellStyle name="Финансовый 2 7 3" xfId="0"/>
    <cellStyle name="Финансовый 2 7 3 2" xfId="0"/>
    <cellStyle name="Финансовый 2 7 3 2 2" xfId="0"/>
    <cellStyle name="Финансовый 2 7 3 2 3" xfId="0"/>
    <cellStyle name="Финансовый 2 7 3 2 4" xfId="0"/>
    <cellStyle name="Финансовый 2 7 3 2 5" xfId="0"/>
    <cellStyle name="Финансовый 2 7 3 3" xfId="0"/>
    <cellStyle name="Финансовый 2 7 3 4" xfId="0"/>
    <cellStyle name="Финансовый 2 7 3 5" xfId="0"/>
    <cellStyle name="Финансовый 2 7 3 6" xfId="0"/>
    <cellStyle name="Финансовый 2 7 4" xfId="0"/>
    <cellStyle name="Финансовый 2 7 4 2" xfId="0"/>
    <cellStyle name="Финансовый 2 7 4 2 2" xfId="0"/>
    <cellStyle name="Финансовый 2 7 4 2 3" xfId="0"/>
    <cellStyle name="Финансовый 2 7 4 2 4" xfId="0"/>
    <cellStyle name="Финансовый 2 7 4 2 5" xfId="0"/>
    <cellStyle name="Финансовый 2 7 4 3" xfId="0"/>
    <cellStyle name="Финансовый 2 7 4 4" xfId="0"/>
    <cellStyle name="Финансовый 2 7 4 5" xfId="0"/>
    <cellStyle name="Финансовый 2 7 4 6" xfId="0"/>
    <cellStyle name="Финансовый 2 7 5" xfId="0"/>
    <cellStyle name="Финансовый 2 7 5 2" xfId="0"/>
    <cellStyle name="Финансовый 2 7 5 2 2" xfId="0"/>
    <cellStyle name="Финансовый 2 7 5 2 3" xfId="0"/>
    <cellStyle name="Финансовый 2 7 5 2 4" xfId="0"/>
    <cellStyle name="Финансовый 2 7 5 2 5" xfId="0"/>
    <cellStyle name="Финансовый 2 7 5 3" xfId="0"/>
    <cellStyle name="Финансовый 2 7 5 4" xfId="0"/>
    <cellStyle name="Финансовый 2 7 5 5" xfId="0"/>
    <cellStyle name="Финансовый 2 7 5 6" xfId="0"/>
    <cellStyle name="Финансовый 2 7 6" xfId="0"/>
    <cellStyle name="Финансовый 2 7 6 2" xfId="0"/>
    <cellStyle name="Финансовый 2 7 6 3" xfId="0"/>
    <cellStyle name="Финансовый 2 7 6 4" xfId="0"/>
    <cellStyle name="Финансовый 2 7 6 5" xfId="0"/>
    <cellStyle name="Финансовый 2 7 7" xfId="0"/>
    <cellStyle name="Финансовый 2 7 8" xfId="0"/>
    <cellStyle name="Финансовый 2 7 9" xfId="0"/>
    <cellStyle name="Финансовый 2 8" xfId="0"/>
    <cellStyle name="Финансовый 2 9" xfId="0"/>
    <cellStyle name="Финансовый 2 9 2" xfId="0"/>
    <cellStyle name="Финансовый 2 9 3" xfId="0"/>
    <cellStyle name="Финансовый 2 9 4" xfId="0"/>
    <cellStyle name="Финансовый 2 9 5" xfId="0"/>
    <cellStyle name="Финансовый 20" xfId="0"/>
    <cellStyle name="Финансовый 21" xfId="0"/>
    <cellStyle name="Финансовый 22" xfId="0"/>
    <cellStyle name="Финансовый 23" xfId="0"/>
    <cellStyle name="Финансовый 24" xfId="0"/>
    <cellStyle name="Финансовый 25" xfId="0"/>
    <cellStyle name="Финансовый 26" xfId="0"/>
    <cellStyle name="Финансовый 27" xfId="0"/>
    <cellStyle name="Финансовый 28" xfId="0"/>
    <cellStyle name="Финансовый 29" xfId="0"/>
    <cellStyle name="Финансовый 3" xfId="0"/>
    <cellStyle name="Финансовый 3 2" xfId="0"/>
    <cellStyle name="Финансовый 3 2 2" xfId="0"/>
    <cellStyle name="Финансовый 3 3" xfId="0"/>
    <cellStyle name="Финансовый 3 3 10" xfId="0"/>
    <cellStyle name="Финансовый 3 3 11" xfId="0"/>
    <cellStyle name="Финансовый 3 3 12" xfId="0"/>
    <cellStyle name="Финансовый 3 3 13" xfId="0"/>
    <cellStyle name="Финансовый 3 3 2" xfId="0"/>
    <cellStyle name="Финансовый 3 3 3" xfId="0"/>
    <cellStyle name="Финансовый 3 3 3 2" xfId="0"/>
    <cellStyle name="Финансовый 3 3 3 2 2" xfId="0"/>
    <cellStyle name="Финансовый 3 3 3 2 2 2" xfId="0"/>
    <cellStyle name="Финансовый 3 3 3 2 2 3" xfId="0"/>
    <cellStyle name="Финансовый 3 3 3 2 2 4" xfId="0"/>
    <cellStyle name="Финансовый 3 3 3 2 2 5" xfId="0"/>
    <cellStyle name="Финансовый 3 3 3 2 3" xfId="0"/>
    <cellStyle name="Финансовый 3 3 3 2 4" xfId="0"/>
    <cellStyle name="Финансовый 3 3 3 2 5" xfId="0"/>
    <cellStyle name="Финансовый 3 3 3 2 6" xfId="0"/>
    <cellStyle name="Финансовый 3 3 3 3" xfId="0"/>
    <cellStyle name="Финансовый 3 3 3 3 2" xfId="0"/>
    <cellStyle name="Финансовый 3 3 3 3 3" xfId="0"/>
    <cellStyle name="Финансовый 3 3 3 3 4" xfId="0"/>
    <cellStyle name="Финансовый 3 3 3 3 5" xfId="0"/>
    <cellStyle name="Финансовый 3 3 3 4" xfId="0"/>
    <cellStyle name="Финансовый 3 3 3 5" xfId="0"/>
    <cellStyle name="Финансовый 3 3 3 6" xfId="0"/>
    <cellStyle name="Финансовый 3 3 3 7" xfId="0"/>
    <cellStyle name="Финансовый 3 3 4" xfId="0"/>
    <cellStyle name="Финансовый 3 3 4 2" xfId="0"/>
    <cellStyle name="Финансовый 3 3 4 2 2" xfId="0"/>
    <cellStyle name="Финансовый 3 3 4 2 3" xfId="0"/>
    <cellStyle name="Финансовый 3 3 4 2 4" xfId="0"/>
    <cellStyle name="Финансовый 3 3 4 2 5" xfId="0"/>
    <cellStyle name="Финансовый 3 3 4 3" xfId="0"/>
    <cellStyle name="Финансовый 3 3 4 4" xfId="0"/>
    <cellStyle name="Финансовый 3 3 4 5" xfId="0"/>
    <cellStyle name="Финансовый 3 3 4 6" xfId="0"/>
    <cellStyle name="Финансовый 3 3 5" xfId="0"/>
    <cellStyle name="Финансовый 3 3 5 2" xfId="0"/>
    <cellStyle name="Финансовый 3 3 5 2 2" xfId="0"/>
    <cellStyle name="Финансовый 3 3 5 2 3" xfId="0"/>
    <cellStyle name="Финансовый 3 3 5 2 4" xfId="0"/>
    <cellStyle name="Финансовый 3 3 5 2 5" xfId="0"/>
    <cellStyle name="Финансовый 3 3 5 3" xfId="0"/>
    <cellStyle name="Финансовый 3 3 5 4" xfId="0"/>
    <cellStyle name="Финансовый 3 3 5 5" xfId="0"/>
    <cellStyle name="Финансовый 3 3 5 6" xfId="0"/>
    <cellStyle name="Финансовый 3 3 6" xfId="0"/>
    <cellStyle name="Финансовый 3 3 6 2" xfId="0"/>
    <cellStyle name="Финансовый 3 3 6 2 2" xfId="0"/>
    <cellStyle name="Финансовый 3 3 6 2 3" xfId="0"/>
    <cellStyle name="Финансовый 3 3 6 2 4" xfId="0"/>
    <cellStyle name="Финансовый 3 3 6 2 5" xfId="0"/>
    <cellStyle name="Финансовый 3 3 6 3" xfId="0"/>
    <cellStyle name="Финансовый 3 3 6 4" xfId="0"/>
    <cellStyle name="Финансовый 3 3 6 5" xfId="0"/>
    <cellStyle name="Финансовый 3 3 6 6" xfId="0"/>
    <cellStyle name="Финансовый 3 3 7" xfId="0"/>
    <cellStyle name="Финансовый 3 3 7 2" xfId="0"/>
    <cellStyle name="Финансовый 3 3 7 2 2" xfId="0"/>
    <cellStyle name="Финансовый 3 3 7 2 3" xfId="0"/>
    <cellStyle name="Финансовый 3 3 7 2 4" xfId="0"/>
    <cellStyle name="Финансовый 3 3 7 2 5" xfId="0"/>
    <cellStyle name="Финансовый 3 3 7 3" xfId="0"/>
    <cellStyle name="Финансовый 3 3 7 4" xfId="0"/>
    <cellStyle name="Финансовый 3 3 7 5" xfId="0"/>
    <cellStyle name="Финансовый 3 3 7 6" xfId="0"/>
    <cellStyle name="Финансовый 3 3 8" xfId="0"/>
    <cellStyle name="Финансовый 3 3 8 2" xfId="0"/>
    <cellStyle name="Финансовый 3 3 8 2 2" xfId="0"/>
    <cellStyle name="Финансовый 3 3 8 2 3" xfId="0"/>
    <cellStyle name="Финансовый 3 3 8 2 4" xfId="0"/>
    <cellStyle name="Финансовый 3 3 8 2 5" xfId="0"/>
    <cellStyle name="Финансовый 3 3 8 3" xfId="0"/>
    <cellStyle name="Финансовый 3 3 8 4" xfId="0"/>
    <cellStyle name="Финансовый 3 3 8 5" xfId="0"/>
    <cellStyle name="Финансовый 3 3 8 6" xfId="0"/>
    <cellStyle name="Финансовый 3 3 9" xfId="0"/>
    <cellStyle name="Финансовый 3 3 9 2" xfId="0"/>
    <cellStyle name="Финансовый 3 3 9 3" xfId="0"/>
    <cellStyle name="Финансовый 3 3 9 4" xfId="0"/>
    <cellStyle name="Финансовый 3 3 9 5" xfId="0"/>
    <cellStyle name="Финансовый 3 4" xfId="0"/>
    <cellStyle name="Финансовый 3 4 2" xfId="0"/>
    <cellStyle name="Финансовый 3 4 2 10" xfId="0"/>
    <cellStyle name="Финансовый 3 4 2 11" xfId="0"/>
    <cellStyle name="Финансовый 3 4 2 12" xfId="0"/>
    <cellStyle name="Финансовый 3 4 2 2" xfId="0"/>
    <cellStyle name="Финансовый 3 4 2 2 2" xfId="0"/>
    <cellStyle name="Финансовый 3 4 2 2 2 2" xfId="0"/>
    <cellStyle name="Финансовый 3 4 2 2 2 2 2" xfId="0"/>
    <cellStyle name="Финансовый 3 4 2 2 2 2 3" xfId="0"/>
    <cellStyle name="Финансовый 3 4 2 2 2 2 4" xfId="0"/>
    <cellStyle name="Финансовый 3 4 2 2 2 2 5" xfId="0"/>
    <cellStyle name="Финансовый 3 4 2 2 2 3" xfId="0"/>
    <cellStyle name="Финансовый 3 4 2 2 2 4" xfId="0"/>
    <cellStyle name="Финансовый 3 4 2 2 2 5" xfId="0"/>
    <cellStyle name="Финансовый 3 4 2 2 2 6" xfId="0"/>
    <cellStyle name="Финансовый 3 4 2 2 3" xfId="0"/>
    <cellStyle name="Финансовый 3 4 2 2 3 2" xfId="0"/>
    <cellStyle name="Финансовый 3 4 2 2 3 3" xfId="0"/>
    <cellStyle name="Финансовый 3 4 2 2 3 4" xfId="0"/>
    <cellStyle name="Финансовый 3 4 2 2 3 5" xfId="0"/>
    <cellStyle name="Финансовый 3 4 2 2 4" xfId="0"/>
    <cellStyle name="Финансовый 3 4 2 2 5" xfId="0"/>
    <cellStyle name="Финансовый 3 4 2 2 6" xfId="0"/>
    <cellStyle name="Финансовый 3 4 2 2 7" xfId="0"/>
    <cellStyle name="Финансовый 3 4 2 3" xfId="0"/>
    <cellStyle name="Финансовый 3 4 2 3 2" xfId="0"/>
    <cellStyle name="Финансовый 3 4 2 3 2 2" xfId="0"/>
    <cellStyle name="Финансовый 3 4 2 3 2 3" xfId="0"/>
    <cellStyle name="Финансовый 3 4 2 3 2 4" xfId="0"/>
    <cellStyle name="Финансовый 3 4 2 3 2 5" xfId="0"/>
    <cellStyle name="Финансовый 3 4 2 3 3" xfId="0"/>
    <cellStyle name="Финансовый 3 4 2 3 4" xfId="0"/>
    <cellStyle name="Финансовый 3 4 2 3 5" xfId="0"/>
    <cellStyle name="Финансовый 3 4 2 3 6" xfId="0"/>
    <cellStyle name="Финансовый 3 4 2 4" xfId="0"/>
    <cellStyle name="Финансовый 3 4 2 4 2" xfId="0"/>
    <cellStyle name="Финансовый 3 4 2 4 2 2" xfId="0"/>
    <cellStyle name="Финансовый 3 4 2 4 2 3" xfId="0"/>
    <cellStyle name="Финансовый 3 4 2 4 2 4" xfId="0"/>
    <cellStyle name="Финансовый 3 4 2 4 2 5" xfId="0"/>
    <cellStyle name="Финансовый 3 4 2 4 3" xfId="0"/>
    <cellStyle name="Финансовый 3 4 2 4 4" xfId="0"/>
    <cellStyle name="Финансовый 3 4 2 4 5" xfId="0"/>
    <cellStyle name="Финансовый 3 4 2 4 6" xfId="0"/>
    <cellStyle name="Финансовый 3 4 2 5" xfId="0"/>
    <cellStyle name="Финансовый 3 4 2 5 2" xfId="0"/>
    <cellStyle name="Финансовый 3 4 2 5 2 2" xfId="0"/>
    <cellStyle name="Финансовый 3 4 2 5 2 3" xfId="0"/>
    <cellStyle name="Финансовый 3 4 2 5 2 4" xfId="0"/>
    <cellStyle name="Финансовый 3 4 2 5 2 5" xfId="0"/>
    <cellStyle name="Финансовый 3 4 2 5 3" xfId="0"/>
    <cellStyle name="Финансовый 3 4 2 5 4" xfId="0"/>
    <cellStyle name="Финансовый 3 4 2 5 5" xfId="0"/>
    <cellStyle name="Финансовый 3 4 2 5 6" xfId="0"/>
    <cellStyle name="Финансовый 3 4 2 6" xfId="0"/>
    <cellStyle name="Финансовый 3 4 2 6 2" xfId="0"/>
    <cellStyle name="Финансовый 3 4 2 6 2 2" xfId="0"/>
    <cellStyle name="Финансовый 3 4 2 6 2 3" xfId="0"/>
    <cellStyle name="Финансовый 3 4 2 6 2 4" xfId="0"/>
    <cellStyle name="Финансовый 3 4 2 6 2 5" xfId="0"/>
    <cellStyle name="Финансовый 3 4 2 6 3" xfId="0"/>
    <cellStyle name="Финансовый 3 4 2 6 4" xfId="0"/>
    <cellStyle name="Финансовый 3 4 2 6 5" xfId="0"/>
    <cellStyle name="Финансовый 3 4 2 6 6" xfId="0"/>
    <cellStyle name="Финансовый 3 4 2 7" xfId="0"/>
    <cellStyle name="Финансовый 3 4 2 7 2" xfId="0"/>
    <cellStyle name="Финансовый 3 4 2 7 2 2" xfId="0"/>
    <cellStyle name="Финансовый 3 4 2 7 2 3" xfId="0"/>
    <cellStyle name="Финансовый 3 4 2 7 2 4" xfId="0"/>
    <cellStyle name="Финансовый 3 4 2 7 2 5" xfId="0"/>
    <cellStyle name="Финансовый 3 4 2 7 3" xfId="0"/>
    <cellStyle name="Финансовый 3 4 2 7 4" xfId="0"/>
    <cellStyle name="Финансовый 3 4 2 7 5" xfId="0"/>
    <cellStyle name="Финансовый 3 4 2 7 6" xfId="0"/>
    <cellStyle name="Финансовый 3 4 2 8" xfId="0"/>
    <cellStyle name="Финансовый 3 4 2 8 2" xfId="0"/>
    <cellStyle name="Финансовый 3 4 2 8 3" xfId="0"/>
    <cellStyle name="Финансовый 3 4 2 8 4" xfId="0"/>
    <cellStyle name="Финансовый 3 4 2 8 5" xfId="0"/>
    <cellStyle name="Финансовый 3 4 2 9" xfId="0"/>
    <cellStyle name="Финансовый 3 4 3" xfId="0"/>
    <cellStyle name="Финансовый 3 5" xfId="0"/>
    <cellStyle name="Финансовый 3 5 10" xfId="0"/>
    <cellStyle name="Финансовый 3 5 11" xfId="0"/>
    <cellStyle name="Финансовый 3 5 12" xfId="0"/>
    <cellStyle name="Финансовый 3 5 2" xfId="0"/>
    <cellStyle name="Финансовый 3 5 2 2" xfId="0"/>
    <cellStyle name="Финансовый 3 5 2 2 2" xfId="0"/>
    <cellStyle name="Финансовый 3 5 2 2 2 2" xfId="0"/>
    <cellStyle name="Финансовый 3 5 2 2 2 3" xfId="0"/>
    <cellStyle name="Финансовый 3 5 2 2 2 4" xfId="0"/>
    <cellStyle name="Финансовый 3 5 2 2 2 5" xfId="0"/>
    <cellStyle name="Финансовый 3 5 2 2 3" xfId="0"/>
    <cellStyle name="Финансовый 3 5 2 2 4" xfId="0"/>
    <cellStyle name="Финансовый 3 5 2 2 5" xfId="0"/>
    <cellStyle name="Финансовый 3 5 2 2 6" xfId="0"/>
    <cellStyle name="Финансовый 3 5 2 3" xfId="0"/>
    <cellStyle name="Финансовый 3 5 2 3 2" xfId="0"/>
    <cellStyle name="Финансовый 3 5 2 3 3" xfId="0"/>
    <cellStyle name="Финансовый 3 5 2 3 4" xfId="0"/>
    <cellStyle name="Финансовый 3 5 2 3 5" xfId="0"/>
    <cellStyle name="Финансовый 3 5 2 4" xfId="0"/>
    <cellStyle name="Финансовый 3 5 2 5" xfId="0"/>
    <cellStyle name="Финансовый 3 5 2 6" xfId="0"/>
    <cellStyle name="Финансовый 3 5 2 7" xfId="0"/>
    <cellStyle name="Финансовый 3 5 3" xfId="0"/>
    <cellStyle name="Финансовый 3 5 3 2" xfId="0"/>
    <cellStyle name="Финансовый 3 5 3 2 2" xfId="0"/>
    <cellStyle name="Финансовый 3 5 3 2 3" xfId="0"/>
    <cellStyle name="Финансовый 3 5 3 2 4" xfId="0"/>
    <cellStyle name="Финансовый 3 5 3 2 5" xfId="0"/>
    <cellStyle name="Финансовый 3 5 3 3" xfId="0"/>
    <cellStyle name="Финансовый 3 5 3 4" xfId="0"/>
    <cellStyle name="Финансовый 3 5 3 5" xfId="0"/>
    <cellStyle name="Финансовый 3 5 3 6" xfId="0"/>
    <cellStyle name="Финансовый 3 5 4" xfId="0"/>
    <cellStyle name="Финансовый 3 5 4 2" xfId="0"/>
    <cellStyle name="Финансовый 3 5 4 2 2" xfId="0"/>
    <cellStyle name="Финансовый 3 5 4 2 3" xfId="0"/>
    <cellStyle name="Финансовый 3 5 4 2 4" xfId="0"/>
    <cellStyle name="Финансовый 3 5 4 2 5" xfId="0"/>
    <cellStyle name="Финансовый 3 5 4 3" xfId="0"/>
    <cellStyle name="Финансовый 3 5 4 4" xfId="0"/>
    <cellStyle name="Финансовый 3 5 4 5" xfId="0"/>
    <cellStyle name="Финансовый 3 5 4 6" xfId="0"/>
    <cellStyle name="Финансовый 3 5 5" xfId="0"/>
    <cellStyle name="Финансовый 3 5 5 2" xfId="0"/>
    <cellStyle name="Финансовый 3 5 5 2 2" xfId="0"/>
    <cellStyle name="Финансовый 3 5 5 2 3" xfId="0"/>
    <cellStyle name="Финансовый 3 5 5 2 4" xfId="0"/>
    <cellStyle name="Финансовый 3 5 5 2 5" xfId="0"/>
    <cellStyle name="Финансовый 3 5 5 3" xfId="0"/>
    <cellStyle name="Финансовый 3 5 5 4" xfId="0"/>
    <cellStyle name="Финансовый 3 5 5 5" xfId="0"/>
    <cellStyle name="Финансовый 3 5 5 6" xfId="0"/>
    <cellStyle name="Финансовый 3 5 6" xfId="0"/>
    <cellStyle name="Финансовый 3 5 6 2" xfId="0"/>
    <cellStyle name="Финансовый 3 5 6 3" xfId="0"/>
    <cellStyle name="Финансовый 3 5 6 4" xfId="0"/>
    <cellStyle name="Финансовый 3 5 6 5" xfId="0"/>
    <cellStyle name="Финансовый 3 5 7" xfId="0"/>
    <cellStyle name="Финансовый 3 5 7 2" xfId="0"/>
    <cellStyle name="Финансовый 3 5 7 3" xfId="0"/>
    <cellStyle name="Финансовый 3 5 7 4" xfId="0"/>
    <cellStyle name="Финансовый 3 5 7 5" xfId="0"/>
    <cellStyle name="Финансовый 3 5 8" xfId="0"/>
    <cellStyle name="Финансовый 3 5 9" xfId="0"/>
    <cellStyle name="Финансовый 3 6" xfId="0"/>
    <cellStyle name="Финансовый 3 7" xfId="0"/>
    <cellStyle name="Финансовый 3 7 2" xfId="0"/>
    <cellStyle name="Финансовый 3 7 3" xfId="0"/>
    <cellStyle name="Финансовый 3 7 4" xfId="0"/>
    <cellStyle name="Финансовый 3 7 5" xfId="0"/>
    <cellStyle name="Финансовый 3 8" xfId="0"/>
    <cellStyle name="Финансовый 3 9" xfId="0"/>
    <cellStyle name="Финансовый 30" xfId="0"/>
    <cellStyle name="Финансовый 31" xfId="0"/>
    <cellStyle name="Финансовый 32" xfId="0"/>
    <cellStyle name="Финансовый 33" xfId="0"/>
    <cellStyle name="Финансовый 34" xfId="0"/>
    <cellStyle name="Финансовый 35" xfId="0"/>
    <cellStyle name="Финансовый 36" xfId="0"/>
    <cellStyle name="Финансовый 37" xfId="0"/>
    <cellStyle name="Финансовый 37 2" xfId="0"/>
    <cellStyle name="Финансовый 37 3" xfId="0"/>
    <cellStyle name="Финансовый 37 4" xfId="0"/>
    <cellStyle name="Финансовый 37 5" xfId="0"/>
    <cellStyle name="Финансовый 38" xfId="0"/>
    <cellStyle name="Финансовый 39" xfId="0"/>
    <cellStyle name="Финансовый 4" xfId="0"/>
    <cellStyle name="Финансовый 4 10" xfId="0"/>
    <cellStyle name="Финансовый 4 10 2" xfId="0"/>
    <cellStyle name="Финансовый 4 10 2 2" xfId="0"/>
    <cellStyle name="Финансовый 4 10 2 3" xfId="0"/>
    <cellStyle name="Финансовый 4 10 2 4" xfId="0"/>
    <cellStyle name="Финансовый 4 10 2 5" xfId="0"/>
    <cellStyle name="Финансовый 4 10 3" xfId="0"/>
    <cellStyle name="Финансовый 4 10 4" xfId="0"/>
    <cellStyle name="Финансовый 4 10 5" xfId="0"/>
    <cellStyle name="Финансовый 4 10 6" xfId="0"/>
    <cellStyle name="Финансовый 4 11" xfId="0"/>
    <cellStyle name="Финансовый 4 11 2" xfId="0"/>
    <cellStyle name="Финансовый 4 11 3" xfId="0"/>
    <cellStyle name="Финансовый 4 11 4" xfId="0"/>
    <cellStyle name="Финансовый 4 11 5" xfId="0"/>
    <cellStyle name="Финансовый 4 12" xfId="0"/>
    <cellStyle name="Финансовый 4 13" xfId="0"/>
    <cellStyle name="Финансовый 4 13 2" xfId="0"/>
    <cellStyle name="Финансовый 4 13 3" xfId="0"/>
    <cellStyle name="Финансовый 4 13 4" xfId="0"/>
    <cellStyle name="Финансовый 4 13 5" xfId="0"/>
    <cellStyle name="Финансовый 4 14" xfId="0"/>
    <cellStyle name="Финансовый 4 15" xfId="0"/>
    <cellStyle name="Финансовый 4 16" xfId="0"/>
    <cellStyle name="Финансовый 4 17" xfId="0"/>
    <cellStyle name="Финансовый 4 18" xfId="0"/>
    <cellStyle name="Финансовый 4 19" xfId="0"/>
    <cellStyle name="Финансовый 4 2" xfId="0"/>
    <cellStyle name="Финансовый 4 2 10" xfId="0"/>
    <cellStyle name="Финансовый 4 2 11" xfId="0"/>
    <cellStyle name="Финансовый 4 2 12" xfId="0"/>
    <cellStyle name="Финансовый 4 2 13" xfId="0"/>
    <cellStyle name="Финансовый 4 2 2" xfId="0"/>
    <cellStyle name="Финансовый 4 2 3" xfId="0"/>
    <cellStyle name="Финансовый 4 2 3 2" xfId="0"/>
    <cellStyle name="Финансовый 4 2 3 2 2" xfId="0"/>
    <cellStyle name="Финансовый 4 2 3 2 2 2" xfId="0"/>
    <cellStyle name="Финансовый 4 2 3 2 2 3" xfId="0"/>
    <cellStyle name="Финансовый 4 2 3 2 2 4" xfId="0"/>
    <cellStyle name="Финансовый 4 2 3 2 2 5" xfId="0"/>
    <cellStyle name="Финансовый 4 2 3 2 3" xfId="0"/>
    <cellStyle name="Финансовый 4 2 3 2 4" xfId="0"/>
    <cellStyle name="Финансовый 4 2 3 2 5" xfId="0"/>
    <cellStyle name="Финансовый 4 2 3 2 6" xfId="0"/>
    <cellStyle name="Финансовый 4 2 3 3" xfId="0"/>
    <cellStyle name="Финансовый 4 2 3 3 2" xfId="0"/>
    <cellStyle name="Финансовый 4 2 3 3 3" xfId="0"/>
    <cellStyle name="Финансовый 4 2 3 3 4" xfId="0"/>
    <cellStyle name="Финансовый 4 2 3 3 5" xfId="0"/>
    <cellStyle name="Финансовый 4 2 3 4" xfId="0"/>
    <cellStyle name="Финансовый 4 2 3 5" xfId="0"/>
    <cellStyle name="Финансовый 4 2 3 6" xfId="0"/>
    <cellStyle name="Финансовый 4 2 3 7" xfId="0"/>
    <cellStyle name="Финансовый 4 2 4" xfId="0"/>
    <cellStyle name="Финансовый 4 2 4 2" xfId="0"/>
    <cellStyle name="Финансовый 4 2 4 2 2" xfId="0"/>
    <cellStyle name="Финансовый 4 2 4 2 3" xfId="0"/>
    <cellStyle name="Финансовый 4 2 4 2 4" xfId="0"/>
    <cellStyle name="Финансовый 4 2 4 2 5" xfId="0"/>
    <cellStyle name="Финансовый 4 2 4 3" xfId="0"/>
    <cellStyle name="Финансовый 4 2 4 4" xfId="0"/>
    <cellStyle name="Финансовый 4 2 4 5" xfId="0"/>
    <cellStyle name="Финансовый 4 2 4 6" xfId="0"/>
    <cellStyle name="Финансовый 4 2 5" xfId="0"/>
    <cellStyle name="Финансовый 4 2 5 2" xfId="0"/>
    <cellStyle name="Финансовый 4 2 5 2 2" xfId="0"/>
    <cellStyle name="Финансовый 4 2 5 2 3" xfId="0"/>
    <cellStyle name="Финансовый 4 2 5 2 4" xfId="0"/>
    <cellStyle name="Финансовый 4 2 5 2 5" xfId="0"/>
    <cellStyle name="Финансовый 4 2 5 3" xfId="0"/>
    <cellStyle name="Финансовый 4 2 5 4" xfId="0"/>
    <cellStyle name="Финансовый 4 2 5 5" xfId="0"/>
    <cellStyle name="Финансовый 4 2 5 6" xfId="0"/>
    <cellStyle name="Финансовый 4 2 6" xfId="0"/>
    <cellStyle name="Финансовый 4 2 6 2" xfId="0"/>
    <cellStyle name="Финансовый 4 2 6 2 2" xfId="0"/>
    <cellStyle name="Финансовый 4 2 6 2 3" xfId="0"/>
    <cellStyle name="Финансовый 4 2 6 2 4" xfId="0"/>
    <cellStyle name="Финансовый 4 2 6 2 5" xfId="0"/>
    <cellStyle name="Финансовый 4 2 6 3" xfId="0"/>
    <cellStyle name="Финансовый 4 2 6 4" xfId="0"/>
    <cellStyle name="Финансовый 4 2 6 5" xfId="0"/>
    <cellStyle name="Финансовый 4 2 6 6" xfId="0"/>
    <cellStyle name="Финансовый 4 2 7" xfId="0"/>
    <cellStyle name="Финансовый 4 2 7 2" xfId="0"/>
    <cellStyle name="Финансовый 4 2 7 2 2" xfId="0"/>
    <cellStyle name="Финансовый 4 2 7 2 3" xfId="0"/>
    <cellStyle name="Финансовый 4 2 7 2 4" xfId="0"/>
    <cellStyle name="Финансовый 4 2 7 2 5" xfId="0"/>
    <cellStyle name="Финансовый 4 2 7 3" xfId="0"/>
    <cellStyle name="Финансовый 4 2 7 4" xfId="0"/>
    <cellStyle name="Финансовый 4 2 7 5" xfId="0"/>
    <cellStyle name="Финансовый 4 2 7 6" xfId="0"/>
    <cellStyle name="Финансовый 4 2 8" xfId="0"/>
    <cellStyle name="Финансовый 4 2 8 2" xfId="0"/>
    <cellStyle name="Финансовый 4 2 8 2 2" xfId="0"/>
    <cellStyle name="Финансовый 4 2 8 2 3" xfId="0"/>
    <cellStyle name="Финансовый 4 2 8 2 4" xfId="0"/>
    <cellStyle name="Финансовый 4 2 8 2 5" xfId="0"/>
    <cellStyle name="Финансовый 4 2 8 3" xfId="0"/>
    <cellStyle name="Финансовый 4 2 8 4" xfId="0"/>
    <cellStyle name="Финансовый 4 2 8 5" xfId="0"/>
    <cellStyle name="Финансовый 4 2 8 6" xfId="0"/>
    <cellStyle name="Финансовый 4 2 9" xfId="0"/>
    <cellStyle name="Финансовый 4 2 9 2" xfId="0"/>
    <cellStyle name="Финансовый 4 2 9 3" xfId="0"/>
    <cellStyle name="Финансовый 4 2 9 4" xfId="0"/>
    <cellStyle name="Финансовый 4 2 9 5" xfId="0"/>
    <cellStyle name="Финансовый 4 3" xfId="0"/>
    <cellStyle name="Финансовый 4 3 2" xfId="0"/>
    <cellStyle name="Финансовый 4 3 2 2" xfId="0"/>
    <cellStyle name="Финансовый 4 3 2 2 2" xfId="0"/>
    <cellStyle name="Финансовый 4 3 2 2 3" xfId="0"/>
    <cellStyle name="Финансовый 4 3 2 2 4" xfId="0"/>
    <cellStyle name="Финансовый 4 3 2 2 5" xfId="0"/>
    <cellStyle name="Финансовый 4 3 2 3" xfId="0"/>
    <cellStyle name="Финансовый 4 3 2 4" xfId="0"/>
    <cellStyle name="Финансовый 4 3 2 5" xfId="0"/>
    <cellStyle name="Финансовый 4 3 2 6" xfId="0"/>
    <cellStyle name="Финансовый 4 3 3" xfId="0"/>
    <cellStyle name="Финансовый 4 3 3 2" xfId="0"/>
    <cellStyle name="Финансовый 4 3 3 3" xfId="0"/>
    <cellStyle name="Финансовый 4 3 3 4" xfId="0"/>
    <cellStyle name="Финансовый 4 3 3 5" xfId="0"/>
    <cellStyle name="Финансовый 4 3 4" xfId="0"/>
    <cellStyle name="Финансовый 4 4" xfId="0"/>
    <cellStyle name="Финансовый 4 4 10" xfId="0"/>
    <cellStyle name="Финансовый 4 4 2" xfId="0"/>
    <cellStyle name="Финансовый 4 4 2 2" xfId="0"/>
    <cellStyle name="Финансовый 4 4 2 2 2" xfId="0"/>
    <cellStyle name="Финансовый 4 4 2 2 2 2" xfId="0"/>
    <cellStyle name="Финансовый 4 4 2 2 2 3" xfId="0"/>
    <cellStyle name="Финансовый 4 4 2 2 2 4" xfId="0"/>
    <cellStyle name="Финансовый 4 4 2 2 2 5" xfId="0"/>
    <cellStyle name="Финансовый 4 4 2 2 3" xfId="0"/>
    <cellStyle name="Финансовый 4 4 2 2 4" xfId="0"/>
    <cellStyle name="Финансовый 4 4 2 2 5" xfId="0"/>
    <cellStyle name="Финансовый 4 4 2 2 6" xfId="0"/>
    <cellStyle name="Финансовый 4 4 2 3" xfId="0"/>
    <cellStyle name="Финансовый 4 4 2 3 2" xfId="0"/>
    <cellStyle name="Финансовый 4 4 2 3 3" xfId="0"/>
    <cellStyle name="Финансовый 4 4 2 3 4" xfId="0"/>
    <cellStyle name="Финансовый 4 4 2 3 5" xfId="0"/>
    <cellStyle name="Финансовый 4 4 2 4" xfId="0"/>
    <cellStyle name="Финансовый 4 4 2 5" xfId="0"/>
    <cellStyle name="Финансовый 4 4 2 6" xfId="0"/>
    <cellStyle name="Финансовый 4 4 2 7" xfId="0"/>
    <cellStyle name="Финансовый 4 4 3" xfId="0"/>
    <cellStyle name="Финансовый 4 4 3 2" xfId="0"/>
    <cellStyle name="Финансовый 4 4 3 2 2" xfId="0"/>
    <cellStyle name="Финансовый 4 4 3 2 3" xfId="0"/>
    <cellStyle name="Финансовый 4 4 3 2 4" xfId="0"/>
    <cellStyle name="Финансовый 4 4 3 2 5" xfId="0"/>
    <cellStyle name="Финансовый 4 4 3 3" xfId="0"/>
    <cellStyle name="Финансовый 4 4 3 4" xfId="0"/>
    <cellStyle name="Финансовый 4 4 3 5" xfId="0"/>
    <cellStyle name="Финансовый 4 4 3 6" xfId="0"/>
    <cellStyle name="Финансовый 4 4 4" xfId="0"/>
    <cellStyle name="Финансовый 4 4 4 2" xfId="0"/>
    <cellStyle name="Финансовый 4 4 4 2 2" xfId="0"/>
    <cellStyle name="Финансовый 4 4 4 2 3" xfId="0"/>
    <cellStyle name="Финансовый 4 4 4 2 4" xfId="0"/>
    <cellStyle name="Финансовый 4 4 4 2 5" xfId="0"/>
    <cellStyle name="Финансовый 4 4 4 3" xfId="0"/>
    <cellStyle name="Финансовый 4 4 4 4" xfId="0"/>
    <cellStyle name="Финансовый 4 4 4 5" xfId="0"/>
    <cellStyle name="Финансовый 4 4 4 6" xfId="0"/>
    <cellStyle name="Финансовый 4 4 5" xfId="0"/>
    <cellStyle name="Финансовый 4 4 5 2" xfId="0"/>
    <cellStyle name="Финансовый 4 4 5 2 2" xfId="0"/>
    <cellStyle name="Финансовый 4 4 5 2 3" xfId="0"/>
    <cellStyle name="Финансовый 4 4 5 2 4" xfId="0"/>
    <cellStyle name="Финансовый 4 4 5 2 5" xfId="0"/>
    <cellStyle name="Финансовый 4 4 5 3" xfId="0"/>
    <cellStyle name="Финансовый 4 4 5 4" xfId="0"/>
    <cellStyle name="Финансовый 4 4 5 5" xfId="0"/>
    <cellStyle name="Финансовый 4 4 5 6" xfId="0"/>
    <cellStyle name="Финансовый 4 4 6" xfId="0"/>
    <cellStyle name="Финансовый 4 4 6 2" xfId="0"/>
    <cellStyle name="Финансовый 4 4 6 3" xfId="0"/>
    <cellStyle name="Финансовый 4 4 6 4" xfId="0"/>
    <cellStyle name="Финансовый 4 4 6 5" xfId="0"/>
    <cellStyle name="Финансовый 4 4 7" xfId="0"/>
    <cellStyle name="Финансовый 4 4 8" xfId="0"/>
    <cellStyle name="Финансовый 4 4 9" xfId="0"/>
    <cellStyle name="Финансовый 4 5" xfId="0"/>
    <cellStyle name="Финансовый 4 5 2" xfId="0"/>
    <cellStyle name="Финансовый 4 5 2 2" xfId="0"/>
    <cellStyle name="Финансовый 4 5 2 2 2" xfId="0"/>
    <cellStyle name="Финансовый 4 5 2 2 3" xfId="0"/>
    <cellStyle name="Финансовый 4 5 2 2 4" xfId="0"/>
    <cellStyle name="Финансовый 4 5 2 2 5" xfId="0"/>
    <cellStyle name="Финансовый 4 5 2 3" xfId="0"/>
    <cellStyle name="Финансовый 4 5 2 4" xfId="0"/>
    <cellStyle name="Финансовый 4 5 2 5" xfId="0"/>
    <cellStyle name="Финансовый 4 5 2 6" xfId="0"/>
    <cellStyle name="Финансовый 4 5 3" xfId="0"/>
    <cellStyle name="Финансовый 4 5 3 2" xfId="0"/>
    <cellStyle name="Финансовый 4 5 3 3" xfId="0"/>
    <cellStyle name="Финансовый 4 5 3 4" xfId="0"/>
    <cellStyle name="Финансовый 4 5 3 5" xfId="0"/>
    <cellStyle name="Финансовый 4 5 4" xfId="0"/>
    <cellStyle name="Финансовый 4 5 5" xfId="0"/>
    <cellStyle name="Финансовый 4 5 6" xfId="0"/>
    <cellStyle name="Финансовый 4 5 7" xfId="0"/>
    <cellStyle name="Финансовый 4 6" xfId="0"/>
    <cellStyle name="Финансовый 4 6 2" xfId="0"/>
    <cellStyle name="Финансовый 4 6 2 2" xfId="0"/>
    <cellStyle name="Финансовый 4 6 2 3" xfId="0"/>
    <cellStyle name="Финансовый 4 6 2 4" xfId="0"/>
    <cellStyle name="Финансовый 4 6 2 5" xfId="0"/>
    <cellStyle name="Финансовый 4 6 3" xfId="0"/>
    <cellStyle name="Финансовый 4 6 4" xfId="0"/>
    <cellStyle name="Финансовый 4 6 5" xfId="0"/>
    <cellStyle name="Финансовый 4 6 6" xfId="0"/>
    <cellStyle name="Финансовый 4 7" xfId="0"/>
    <cellStyle name="Финансовый 4 7 2" xfId="0"/>
    <cellStyle name="Финансовый 4 7 2 2" xfId="0"/>
    <cellStyle name="Финансовый 4 7 2 3" xfId="0"/>
    <cellStyle name="Финансовый 4 7 2 4" xfId="0"/>
    <cellStyle name="Финансовый 4 7 2 5" xfId="0"/>
    <cellStyle name="Финансовый 4 7 3" xfId="0"/>
    <cellStyle name="Финансовый 4 7 4" xfId="0"/>
    <cellStyle name="Финансовый 4 7 5" xfId="0"/>
    <cellStyle name="Финансовый 4 7 6" xfId="0"/>
    <cellStyle name="Финансовый 4 8" xfId="0"/>
    <cellStyle name="Финансовый 4 8 2" xfId="0"/>
    <cellStyle name="Финансовый 4 8 2 2" xfId="0"/>
    <cellStyle name="Финансовый 4 8 2 3" xfId="0"/>
    <cellStyle name="Финансовый 4 8 2 4" xfId="0"/>
    <cellStyle name="Финансовый 4 8 2 5" xfId="0"/>
    <cellStyle name="Финансовый 4 8 3" xfId="0"/>
    <cellStyle name="Финансовый 4 8 4" xfId="0"/>
    <cellStyle name="Финансовый 4 8 5" xfId="0"/>
    <cellStyle name="Финансовый 4 8 6" xfId="0"/>
    <cellStyle name="Финансовый 4 9" xfId="0"/>
    <cellStyle name="Финансовый 4 9 2" xfId="0"/>
    <cellStyle name="Финансовый 4 9 2 2" xfId="0"/>
    <cellStyle name="Финансовый 4 9 2 3" xfId="0"/>
    <cellStyle name="Финансовый 4 9 2 4" xfId="0"/>
    <cellStyle name="Финансовый 4 9 2 5" xfId="0"/>
    <cellStyle name="Финансовый 4 9 3" xfId="0"/>
    <cellStyle name="Финансовый 4 9 4" xfId="0"/>
    <cellStyle name="Финансовый 4 9 5" xfId="0"/>
    <cellStyle name="Финансовый 4 9 6" xfId="0"/>
    <cellStyle name="Финансовый 40" xfId="0"/>
    <cellStyle name="Финансовый 41" xfId="0"/>
    <cellStyle name="Финансовый 42" xfId="0"/>
    <cellStyle name="Финансовый 43" xfId="0"/>
    <cellStyle name="Финансовый 44" xfId="0"/>
    <cellStyle name="Финансовый 45" xfId="0"/>
    <cellStyle name="Финансовый 46" xfId="0"/>
    <cellStyle name="Финансовый 5" xfId="0"/>
    <cellStyle name="Финансовый 5 10" xfId="0"/>
    <cellStyle name="Финансовый 5 10 2" xfId="0"/>
    <cellStyle name="Финансовый 5 10 3" xfId="0"/>
    <cellStyle name="Финансовый 5 10 4" xfId="0"/>
    <cellStyle name="Финансовый 5 10 5" xfId="0"/>
    <cellStyle name="Финансовый 5 11" xfId="0"/>
    <cellStyle name="Финансовый 5 12" xfId="0"/>
    <cellStyle name="Финансовый 5 12 2" xfId="0"/>
    <cellStyle name="Финансовый 5 12 3" xfId="0"/>
    <cellStyle name="Финансовый 5 12 4" xfId="0"/>
    <cellStyle name="Финансовый 5 12 5" xfId="0"/>
    <cellStyle name="Финансовый 5 13" xfId="0"/>
    <cellStyle name="Финансовый 5 14" xfId="0"/>
    <cellStyle name="Финансовый 5 15" xfId="0"/>
    <cellStyle name="Финансовый 5 16" xfId="0"/>
    <cellStyle name="Финансовый 5 17" xfId="0"/>
    <cellStyle name="Финансовый 5 18" xfId="0"/>
    <cellStyle name="Финансовый 5 2" xfId="0"/>
    <cellStyle name="Финансовый 5 2 10" xfId="0"/>
    <cellStyle name="Финансовый 5 2 11" xfId="0"/>
    <cellStyle name="Финансовый 5 2 11 2" xfId="0"/>
    <cellStyle name="Финансовый 5 2 11 3" xfId="0"/>
    <cellStyle name="Финансовый 5 2 11 4" xfId="0"/>
    <cellStyle name="Финансовый 5 2 11 5" xfId="0"/>
    <cellStyle name="Финансовый 5 2 12" xfId="0"/>
    <cellStyle name="Финансовый 5 2 13" xfId="0"/>
    <cellStyle name="Финансовый 5 2 14" xfId="0"/>
    <cellStyle name="Финансовый 5 2 15" xfId="0"/>
    <cellStyle name="Финансовый 5 2 16" xfId="0"/>
    <cellStyle name="Финансовый 5 2 2" xfId="0"/>
    <cellStyle name="Финансовый 5 2 2 10" xfId="0"/>
    <cellStyle name="Финансовый 5 2 2 11" xfId="0"/>
    <cellStyle name="Финансовый 5 2 2 12" xfId="0"/>
    <cellStyle name="Финансовый 5 2 2 2" xfId="0"/>
    <cellStyle name="Финансовый 5 2 2 2 2" xfId="0"/>
    <cellStyle name="Финансовый 5 2 2 2 2 2" xfId="0"/>
    <cellStyle name="Финансовый 5 2 2 2 2 2 2" xfId="0"/>
    <cellStyle name="Финансовый 5 2 2 2 2 2 3" xfId="0"/>
    <cellStyle name="Финансовый 5 2 2 2 2 2 4" xfId="0"/>
    <cellStyle name="Финансовый 5 2 2 2 2 2 5" xfId="0"/>
    <cellStyle name="Финансовый 5 2 2 2 2 3" xfId="0"/>
    <cellStyle name="Финансовый 5 2 2 2 2 4" xfId="0"/>
    <cellStyle name="Финансовый 5 2 2 2 2 5" xfId="0"/>
    <cellStyle name="Финансовый 5 2 2 2 2 6" xfId="0"/>
    <cellStyle name="Финансовый 5 2 2 2 3" xfId="0"/>
    <cellStyle name="Финансовый 5 2 2 2 3 2" xfId="0"/>
    <cellStyle name="Финансовый 5 2 2 2 3 3" xfId="0"/>
    <cellStyle name="Финансовый 5 2 2 2 3 4" xfId="0"/>
    <cellStyle name="Финансовый 5 2 2 2 3 5" xfId="0"/>
    <cellStyle name="Финансовый 5 2 2 2 4" xfId="0"/>
    <cellStyle name="Финансовый 5 2 2 2 5" xfId="0"/>
    <cellStyle name="Финансовый 5 2 2 2 6" xfId="0"/>
    <cellStyle name="Финансовый 5 2 2 2 7" xfId="0"/>
    <cellStyle name="Финансовый 5 2 2 3" xfId="0"/>
    <cellStyle name="Финансовый 5 2 2 3 2" xfId="0"/>
    <cellStyle name="Финансовый 5 2 2 3 2 2" xfId="0"/>
    <cellStyle name="Финансовый 5 2 2 3 2 3" xfId="0"/>
    <cellStyle name="Финансовый 5 2 2 3 2 4" xfId="0"/>
    <cellStyle name="Финансовый 5 2 2 3 2 5" xfId="0"/>
    <cellStyle name="Финансовый 5 2 2 3 3" xfId="0"/>
    <cellStyle name="Финансовый 5 2 2 3 4" xfId="0"/>
    <cellStyle name="Финансовый 5 2 2 3 5" xfId="0"/>
    <cellStyle name="Финансовый 5 2 2 3 6" xfId="0"/>
    <cellStyle name="Финансовый 5 2 2 4" xfId="0"/>
    <cellStyle name="Финансовый 5 2 2 4 2" xfId="0"/>
    <cellStyle name="Финансовый 5 2 2 4 2 2" xfId="0"/>
    <cellStyle name="Финансовый 5 2 2 4 2 3" xfId="0"/>
    <cellStyle name="Финансовый 5 2 2 4 2 4" xfId="0"/>
    <cellStyle name="Финансовый 5 2 2 4 2 5" xfId="0"/>
    <cellStyle name="Финансовый 5 2 2 4 3" xfId="0"/>
    <cellStyle name="Финансовый 5 2 2 4 4" xfId="0"/>
    <cellStyle name="Финансовый 5 2 2 4 5" xfId="0"/>
    <cellStyle name="Финансовый 5 2 2 4 6" xfId="0"/>
    <cellStyle name="Финансовый 5 2 2 5" xfId="0"/>
    <cellStyle name="Финансовый 5 2 2 5 2" xfId="0"/>
    <cellStyle name="Финансовый 5 2 2 5 2 2" xfId="0"/>
    <cellStyle name="Финансовый 5 2 2 5 2 3" xfId="0"/>
    <cellStyle name="Финансовый 5 2 2 5 2 4" xfId="0"/>
    <cellStyle name="Финансовый 5 2 2 5 2 5" xfId="0"/>
    <cellStyle name="Финансовый 5 2 2 5 3" xfId="0"/>
    <cellStyle name="Финансовый 5 2 2 5 4" xfId="0"/>
    <cellStyle name="Финансовый 5 2 2 5 5" xfId="0"/>
    <cellStyle name="Финансовый 5 2 2 5 6" xfId="0"/>
    <cellStyle name="Финансовый 5 2 2 6" xfId="0"/>
    <cellStyle name="Финансовый 5 2 2 6 2" xfId="0"/>
    <cellStyle name="Финансовый 5 2 2 6 3" xfId="0"/>
    <cellStyle name="Финансовый 5 2 2 6 4" xfId="0"/>
    <cellStyle name="Финансовый 5 2 2 6 5" xfId="0"/>
    <cellStyle name="Финансовый 5 2 2 7" xfId="0"/>
    <cellStyle name="Финансовый 5 2 2 7 2" xfId="0"/>
    <cellStyle name="Финансовый 5 2 2 7 3" xfId="0"/>
    <cellStyle name="Финансовый 5 2 2 7 4" xfId="0"/>
    <cellStyle name="Финансовый 5 2 2 7 5" xfId="0"/>
    <cellStyle name="Финансовый 5 2 2 8" xfId="0"/>
    <cellStyle name="Финансовый 5 2 2 9" xfId="0"/>
    <cellStyle name="Финансовый 5 2 3" xfId="0"/>
    <cellStyle name="Финансовый 5 2 3 2" xfId="0"/>
    <cellStyle name="Финансовый 5 2 3 2 2" xfId="0"/>
    <cellStyle name="Финансовый 5 2 3 2 2 2" xfId="0"/>
    <cellStyle name="Финансовый 5 2 3 2 2 3" xfId="0"/>
    <cellStyle name="Финансовый 5 2 3 2 2 4" xfId="0"/>
    <cellStyle name="Финансовый 5 2 3 2 2 5" xfId="0"/>
    <cellStyle name="Финансовый 5 2 3 2 3" xfId="0"/>
    <cellStyle name="Финансовый 5 2 3 2 4" xfId="0"/>
    <cellStyle name="Финансовый 5 2 3 2 5" xfId="0"/>
    <cellStyle name="Финансовый 5 2 3 2 6" xfId="0"/>
    <cellStyle name="Финансовый 5 2 3 3" xfId="0"/>
    <cellStyle name="Финансовый 5 2 3 3 2" xfId="0"/>
    <cellStyle name="Финансовый 5 2 3 3 3" xfId="0"/>
    <cellStyle name="Финансовый 5 2 3 3 4" xfId="0"/>
    <cellStyle name="Финансовый 5 2 3 3 5" xfId="0"/>
    <cellStyle name="Финансовый 5 2 3 4" xfId="0"/>
    <cellStyle name="Финансовый 5 2 3 5" xfId="0"/>
    <cellStyle name="Финансовый 5 2 3 6" xfId="0"/>
    <cellStyle name="Финансовый 5 2 3 7" xfId="0"/>
    <cellStyle name="Финансовый 5 2 4" xfId="0"/>
    <cellStyle name="Финансовый 5 2 4 2" xfId="0"/>
    <cellStyle name="Финансовый 5 2 4 2 2" xfId="0"/>
    <cellStyle name="Финансовый 5 2 4 2 3" xfId="0"/>
    <cellStyle name="Финансовый 5 2 4 2 4" xfId="0"/>
    <cellStyle name="Финансовый 5 2 4 2 5" xfId="0"/>
    <cellStyle name="Финансовый 5 2 4 3" xfId="0"/>
    <cellStyle name="Финансовый 5 2 4 4" xfId="0"/>
    <cellStyle name="Финансовый 5 2 4 5" xfId="0"/>
    <cellStyle name="Финансовый 5 2 4 6" xfId="0"/>
    <cellStyle name="Финансовый 5 2 5" xfId="0"/>
    <cellStyle name="Финансовый 5 2 5 2" xfId="0"/>
    <cellStyle name="Финансовый 5 2 5 2 2" xfId="0"/>
    <cellStyle name="Финансовый 5 2 5 2 3" xfId="0"/>
    <cellStyle name="Финансовый 5 2 5 2 4" xfId="0"/>
    <cellStyle name="Финансовый 5 2 5 2 5" xfId="0"/>
    <cellStyle name="Финансовый 5 2 5 3" xfId="0"/>
    <cellStyle name="Финансовый 5 2 5 4" xfId="0"/>
    <cellStyle name="Финансовый 5 2 5 5" xfId="0"/>
    <cellStyle name="Финансовый 5 2 5 6" xfId="0"/>
    <cellStyle name="Финансовый 5 2 6" xfId="0"/>
    <cellStyle name="Финансовый 5 2 6 2" xfId="0"/>
    <cellStyle name="Финансовый 5 2 6 2 2" xfId="0"/>
    <cellStyle name="Финансовый 5 2 6 2 3" xfId="0"/>
    <cellStyle name="Финансовый 5 2 6 2 4" xfId="0"/>
    <cellStyle name="Финансовый 5 2 6 2 5" xfId="0"/>
    <cellStyle name="Финансовый 5 2 6 3" xfId="0"/>
    <cellStyle name="Финансовый 5 2 6 4" xfId="0"/>
    <cellStyle name="Финансовый 5 2 6 5" xfId="0"/>
    <cellStyle name="Финансовый 5 2 6 6" xfId="0"/>
    <cellStyle name="Финансовый 5 2 7" xfId="0"/>
    <cellStyle name="Финансовый 5 2 7 2" xfId="0"/>
    <cellStyle name="Финансовый 5 2 7 2 2" xfId="0"/>
    <cellStyle name="Финансовый 5 2 7 2 3" xfId="0"/>
    <cellStyle name="Финансовый 5 2 7 2 4" xfId="0"/>
    <cellStyle name="Финансовый 5 2 7 2 5" xfId="0"/>
    <cellStyle name="Финансовый 5 2 7 3" xfId="0"/>
    <cellStyle name="Финансовый 5 2 7 4" xfId="0"/>
    <cellStyle name="Финансовый 5 2 7 5" xfId="0"/>
    <cellStyle name="Финансовый 5 2 7 6" xfId="0"/>
    <cellStyle name="Финансовый 5 2 8" xfId="0"/>
    <cellStyle name="Финансовый 5 2 8 2" xfId="0"/>
    <cellStyle name="Финансовый 5 2 8 2 2" xfId="0"/>
    <cellStyle name="Финансовый 5 2 8 2 3" xfId="0"/>
    <cellStyle name="Финансовый 5 2 8 2 4" xfId="0"/>
    <cellStyle name="Финансовый 5 2 8 2 5" xfId="0"/>
    <cellStyle name="Финансовый 5 2 8 3" xfId="0"/>
    <cellStyle name="Финансовый 5 2 8 4" xfId="0"/>
    <cellStyle name="Финансовый 5 2 8 5" xfId="0"/>
    <cellStyle name="Финансовый 5 2 8 6" xfId="0"/>
    <cellStyle name="Финансовый 5 2 9" xfId="0"/>
    <cellStyle name="Финансовый 5 2 9 2" xfId="0"/>
    <cellStyle name="Финансовый 5 2 9 3" xfId="0"/>
    <cellStyle name="Финансовый 5 2 9 4" xfId="0"/>
    <cellStyle name="Финансовый 5 2 9 5" xfId="0"/>
    <cellStyle name="Финансовый 5 3" xfId="0"/>
    <cellStyle name="Финансовый 5 3 10" xfId="0"/>
    <cellStyle name="Финансовый 5 3 11" xfId="0"/>
    <cellStyle name="Финансовый 5 3 12" xfId="0"/>
    <cellStyle name="Финансовый 5 3 2" xfId="0"/>
    <cellStyle name="Финансовый 5 3 2 2" xfId="0"/>
    <cellStyle name="Финансовый 5 3 2 2 2" xfId="0"/>
    <cellStyle name="Финансовый 5 3 2 2 2 2" xfId="0"/>
    <cellStyle name="Финансовый 5 3 2 2 2 3" xfId="0"/>
    <cellStyle name="Финансовый 5 3 2 2 2 4" xfId="0"/>
    <cellStyle name="Финансовый 5 3 2 2 2 5" xfId="0"/>
    <cellStyle name="Финансовый 5 3 2 2 3" xfId="0"/>
    <cellStyle name="Финансовый 5 3 2 2 4" xfId="0"/>
    <cellStyle name="Финансовый 5 3 2 2 5" xfId="0"/>
    <cellStyle name="Финансовый 5 3 2 2 6" xfId="0"/>
    <cellStyle name="Финансовый 5 3 2 3" xfId="0"/>
    <cellStyle name="Финансовый 5 3 2 3 2" xfId="0"/>
    <cellStyle name="Финансовый 5 3 2 3 3" xfId="0"/>
    <cellStyle name="Финансовый 5 3 2 3 4" xfId="0"/>
    <cellStyle name="Финансовый 5 3 2 3 5" xfId="0"/>
    <cellStyle name="Финансовый 5 3 2 4" xfId="0"/>
    <cellStyle name="Финансовый 5 3 2 5" xfId="0"/>
    <cellStyle name="Финансовый 5 3 2 6" xfId="0"/>
    <cellStyle name="Финансовый 5 3 2 7" xfId="0"/>
    <cellStyle name="Финансовый 5 3 3" xfId="0"/>
    <cellStyle name="Финансовый 5 3 3 2" xfId="0"/>
    <cellStyle name="Финансовый 5 3 3 2 2" xfId="0"/>
    <cellStyle name="Финансовый 5 3 3 2 3" xfId="0"/>
    <cellStyle name="Финансовый 5 3 3 2 4" xfId="0"/>
    <cellStyle name="Финансовый 5 3 3 2 5" xfId="0"/>
    <cellStyle name="Финансовый 5 3 3 3" xfId="0"/>
    <cellStyle name="Финансовый 5 3 3 4" xfId="0"/>
    <cellStyle name="Финансовый 5 3 3 5" xfId="0"/>
    <cellStyle name="Финансовый 5 3 3 6" xfId="0"/>
    <cellStyle name="Финансовый 5 3 4" xfId="0"/>
    <cellStyle name="Финансовый 5 3 4 2" xfId="0"/>
    <cellStyle name="Финансовый 5 3 4 2 2" xfId="0"/>
    <cellStyle name="Финансовый 5 3 4 2 3" xfId="0"/>
    <cellStyle name="Финансовый 5 3 4 2 4" xfId="0"/>
    <cellStyle name="Финансовый 5 3 4 2 5" xfId="0"/>
    <cellStyle name="Финансовый 5 3 4 3" xfId="0"/>
    <cellStyle name="Финансовый 5 3 4 4" xfId="0"/>
    <cellStyle name="Финансовый 5 3 4 5" xfId="0"/>
    <cellStyle name="Финансовый 5 3 4 6" xfId="0"/>
    <cellStyle name="Финансовый 5 3 5" xfId="0"/>
    <cellStyle name="Финансовый 5 3 5 2" xfId="0"/>
    <cellStyle name="Финансовый 5 3 5 2 2" xfId="0"/>
    <cellStyle name="Финансовый 5 3 5 2 3" xfId="0"/>
    <cellStyle name="Финансовый 5 3 5 2 4" xfId="0"/>
    <cellStyle name="Финансовый 5 3 5 2 5" xfId="0"/>
    <cellStyle name="Финансовый 5 3 5 3" xfId="0"/>
    <cellStyle name="Финансовый 5 3 5 4" xfId="0"/>
    <cellStyle name="Финансовый 5 3 5 5" xfId="0"/>
    <cellStyle name="Финансовый 5 3 5 6" xfId="0"/>
    <cellStyle name="Финансовый 5 3 6" xfId="0"/>
    <cellStyle name="Финансовый 5 3 6 2" xfId="0"/>
    <cellStyle name="Финансовый 5 3 6 3" xfId="0"/>
    <cellStyle name="Финансовый 5 3 6 4" xfId="0"/>
    <cellStyle name="Финансовый 5 3 6 5" xfId="0"/>
    <cellStyle name="Финансовый 5 3 7" xfId="0"/>
    <cellStyle name="Финансовый 5 3 7 2" xfId="0"/>
    <cellStyle name="Финансовый 5 3 7 3" xfId="0"/>
    <cellStyle name="Финансовый 5 3 7 4" xfId="0"/>
    <cellStyle name="Финансовый 5 3 7 5" xfId="0"/>
    <cellStyle name="Финансовый 5 3 8" xfId="0"/>
    <cellStyle name="Финансовый 5 3 9" xfId="0"/>
    <cellStyle name="Финансовый 5 4" xfId="0"/>
    <cellStyle name="Финансовый 5 4 2" xfId="0"/>
    <cellStyle name="Финансовый 5 4 2 2" xfId="0"/>
    <cellStyle name="Финансовый 5 4 2 2 2" xfId="0"/>
    <cellStyle name="Финансовый 5 4 2 2 3" xfId="0"/>
    <cellStyle name="Финансовый 5 4 2 2 4" xfId="0"/>
    <cellStyle name="Финансовый 5 4 2 2 5" xfId="0"/>
    <cellStyle name="Финансовый 5 4 2 3" xfId="0"/>
    <cellStyle name="Финансовый 5 4 2 4" xfId="0"/>
    <cellStyle name="Финансовый 5 4 2 5" xfId="0"/>
    <cellStyle name="Финансовый 5 4 2 6" xfId="0"/>
    <cellStyle name="Финансовый 5 4 3" xfId="0"/>
    <cellStyle name="Финансовый 5 4 3 2" xfId="0"/>
    <cellStyle name="Финансовый 5 4 3 3" xfId="0"/>
    <cellStyle name="Финансовый 5 4 3 4" xfId="0"/>
    <cellStyle name="Финансовый 5 4 3 5" xfId="0"/>
    <cellStyle name="Финансовый 5 4 4" xfId="0"/>
    <cellStyle name="Финансовый 5 4 5" xfId="0"/>
    <cellStyle name="Финансовый 5 4 6" xfId="0"/>
    <cellStyle name="Финансовый 5 4 7" xfId="0"/>
    <cellStyle name="Финансовый 5 5" xfId="0"/>
    <cellStyle name="Финансовый 5 5 2" xfId="0"/>
    <cellStyle name="Финансовый 5 5 2 2" xfId="0"/>
    <cellStyle name="Финансовый 5 5 2 3" xfId="0"/>
    <cellStyle name="Финансовый 5 5 2 4" xfId="0"/>
    <cellStyle name="Финансовый 5 5 2 5" xfId="0"/>
    <cellStyle name="Финансовый 5 5 3" xfId="0"/>
    <cellStyle name="Финансовый 5 5 4" xfId="0"/>
    <cellStyle name="Финансовый 5 5 5" xfId="0"/>
    <cellStyle name="Финансовый 5 5 6" xfId="0"/>
    <cellStyle name="Финансовый 5 6" xfId="0"/>
    <cellStyle name="Финансовый 5 6 2" xfId="0"/>
    <cellStyle name="Финансовый 5 6 2 2" xfId="0"/>
    <cellStyle name="Финансовый 5 6 2 3" xfId="0"/>
    <cellStyle name="Финансовый 5 6 2 4" xfId="0"/>
    <cellStyle name="Финансовый 5 6 2 5" xfId="0"/>
    <cellStyle name="Финансовый 5 6 3" xfId="0"/>
    <cellStyle name="Финансовый 5 6 4" xfId="0"/>
    <cellStyle name="Финансовый 5 6 5" xfId="0"/>
    <cellStyle name="Финансовый 5 6 6" xfId="0"/>
    <cellStyle name="Финансовый 5 7" xfId="0"/>
    <cellStyle name="Финансовый 5 7 2" xfId="0"/>
    <cellStyle name="Финансовый 5 7 2 2" xfId="0"/>
    <cellStyle name="Финансовый 5 7 2 3" xfId="0"/>
    <cellStyle name="Финансовый 5 7 2 4" xfId="0"/>
    <cellStyle name="Финансовый 5 7 2 5" xfId="0"/>
    <cellStyle name="Финансовый 5 7 3" xfId="0"/>
    <cellStyle name="Финансовый 5 7 4" xfId="0"/>
    <cellStyle name="Финансовый 5 7 5" xfId="0"/>
    <cellStyle name="Финансовый 5 7 6" xfId="0"/>
    <cellStyle name="Финансовый 5 8" xfId="0"/>
    <cellStyle name="Финансовый 5 8 2" xfId="0"/>
    <cellStyle name="Финансовый 5 8 2 2" xfId="0"/>
    <cellStyle name="Финансовый 5 8 2 3" xfId="0"/>
    <cellStyle name="Финансовый 5 8 2 4" xfId="0"/>
    <cellStyle name="Финансовый 5 8 2 5" xfId="0"/>
    <cellStyle name="Финансовый 5 8 3" xfId="0"/>
    <cellStyle name="Финансовый 5 8 4" xfId="0"/>
    <cellStyle name="Финансовый 5 8 5" xfId="0"/>
    <cellStyle name="Финансовый 5 8 6" xfId="0"/>
    <cellStyle name="Финансовый 5 9" xfId="0"/>
    <cellStyle name="Финансовый 5 9 2" xfId="0"/>
    <cellStyle name="Финансовый 5 9 2 2" xfId="0"/>
    <cellStyle name="Финансовый 5 9 2 3" xfId="0"/>
    <cellStyle name="Финансовый 5 9 2 4" xfId="0"/>
    <cellStyle name="Финансовый 5 9 2 5" xfId="0"/>
    <cellStyle name="Финансовый 5 9 3" xfId="0"/>
    <cellStyle name="Финансовый 5 9 4" xfId="0"/>
    <cellStyle name="Финансовый 5 9 5" xfId="0"/>
    <cellStyle name="Финансовый 5 9 6" xfId="0"/>
    <cellStyle name="Финансовый 6" xfId="0"/>
    <cellStyle name="Финансовый 6 10" xfId="0"/>
    <cellStyle name="Финансовый 6 10 2" xfId="0"/>
    <cellStyle name="Финансовый 6 10 2 2" xfId="0"/>
    <cellStyle name="Финансовый 6 10 2 3" xfId="0"/>
    <cellStyle name="Финансовый 6 10 2 4" xfId="0"/>
    <cellStyle name="Финансовый 6 10 2 5" xfId="0"/>
    <cellStyle name="Финансовый 6 10 3" xfId="0"/>
    <cellStyle name="Финансовый 6 10 4" xfId="0"/>
    <cellStyle name="Финансовый 6 10 5" xfId="0"/>
    <cellStyle name="Финансовый 6 10 6" xfId="0"/>
    <cellStyle name="Финансовый 6 11" xfId="0"/>
    <cellStyle name="Финансовый 6 11 2" xfId="0"/>
    <cellStyle name="Финансовый 6 11 2 2" xfId="0"/>
    <cellStyle name="Финансовый 6 11 2 3" xfId="0"/>
    <cellStyle name="Финансовый 6 11 2 4" xfId="0"/>
    <cellStyle name="Финансовый 6 11 2 5" xfId="0"/>
    <cellStyle name="Финансовый 6 11 3" xfId="0"/>
    <cellStyle name="Финансовый 6 11 4" xfId="0"/>
    <cellStyle name="Финансовый 6 11 5" xfId="0"/>
    <cellStyle name="Финансовый 6 11 6" xfId="0"/>
    <cellStyle name="Финансовый 6 12" xfId="0"/>
    <cellStyle name="Финансовый 6 12 2" xfId="0"/>
    <cellStyle name="Финансовый 6 12 2 2" xfId="0"/>
    <cellStyle name="Финансовый 6 12 2 3" xfId="0"/>
    <cellStyle name="Финансовый 6 12 2 4" xfId="0"/>
    <cellStyle name="Финансовый 6 12 2 5" xfId="0"/>
    <cellStyle name="Финансовый 6 12 3" xfId="0"/>
    <cellStyle name="Финансовый 6 12 4" xfId="0"/>
    <cellStyle name="Финансовый 6 12 5" xfId="0"/>
    <cellStyle name="Финансовый 6 12 6" xfId="0"/>
    <cellStyle name="Финансовый 6 13" xfId="0"/>
    <cellStyle name="Финансовый 6 13 2" xfId="0"/>
    <cellStyle name="Финансовый 6 13 2 2" xfId="0"/>
    <cellStyle name="Финансовый 6 13 2 3" xfId="0"/>
    <cellStyle name="Финансовый 6 13 2 4" xfId="0"/>
    <cellStyle name="Финансовый 6 13 2 5" xfId="0"/>
    <cellStyle name="Финансовый 6 13 3" xfId="0"/>
    <cellStyle name="Финансовый 6 13 4" xfId="0"/>
    <cellStyle name="Финансовый 6 13 5" xfId="0"/>
    <cellStyle name="Финансовый 6 13 6" xfId="0"/>
    <cellStyle name="Финансовый 6 14" xfId="0"/>
    <cellStyle name="Финансовый 6 14 2" xfId="0"/>
    <cellStyle name="Финансовый 6 14 3" xfId="0"/>
    <cellStyle name="Финансовый 6 14 4" xfId="0"/>
    <cellStyle name="Финансовый 6 14 5" xfId="0"/>
    <cellStyle name="Финансовый 6 15" xfId="0"/>
    <cellStyle name="Финансовый 6 16" xfId="0"/>
    <cellStyle name="Финансовый 6 16 2" xfId="0"/>
    <cellStyle name="Финансовый 6 16 3" xfId="0"/>
    <cellStyle name="Финансовый 6 16 4" xfId="0"/>
    <cellStyle name="Финансовый 6 16 5" xfId="0"/>
    <cellStyle name="Финансовый 6 17" xfId="0"/>
    <cellStyle name="Финансовый 6 18" xfId="0"/>
    <cellStyle name="Финансовый 6 19" xfId="0"/>
    <cellStyle name="Финансовый 6 2" xfId="0"/>
    <cellStyle name="Финансовый 6 2 10" xfId="0"/>
    <cellStyle name="Финансовый 6 2 10 2" xfId="0"/>
    <cellStyle name="Финансовый 6 2 10 3" xfId="0"/>
    <cellStyle name="Финансовый 6 2 10 4" xfId="0"/>
    <cellStyle name="Финансовый 6 2 10 5" xfId="0"/>
    <cellStyle name="Финансовый 6 2 11" xfId="0"/>
    <cellStyle name="Финансовый 6 2 12" xfId="0"/>
    <cellStyle name="Финансовый 6 2 13" xfId="0"/>
    <cellStyle name="Финансовый 6 2 14" xfId="0"/>
    <cellStyle name="Финансовый 6 2 15" xfId="0"/>
    <cellStyle name="Финансовый 6 2 2" xfId="0"/>
    <cellStyle name="Финансовый 6 2 2 10" xfId="0"/>
    <cellStyle name="Финансовый 6 2 2 11" xfId="0"/>
    <cellStyle name="Финансовый 6 2 2 12" xfId="0"/>
    <cellStyle name="Финансовый 6 2 2 13" xfId="0"/>
    <cellStyle name="Финансовый 6 2 2 2" xfId="0"/>
    <cellStyle name="Финансовый 6 2 2 2 2" xfId="0"/>
    <cellStyle name="Финансовый 6 2 2 2 2 2" xfId="0"/>
    <cellStyle name="Финансовый 6 2 2 2 2 2 2" xfId="0"/>
    <cellStyle name="Финансовый 6 2 2 2 2 2 3" xfId="0"/>
    <cellStyle name="Финансовый 6 2 2 2 2 2 4" xfId="0"/>
    <cellStyle name="Финансовый 6 2 2 2 2 2 5" xfId="0"/>
    <cellStyle name="Финансовый 6 2 2 2 2 3" xfId="0"/>
    <cellStyle name="Финансовый 6 2 2 2 2 4" xfId="0"/>
    <cellStyle name="Финансовый 6 2 2 2 2 5" xfId="0"/>
    <cellStyle name="Финансовый 6 2 2 2 2 6" xfId="0"/>
    <cellStyle name="Финансовый 6 2 2 2 3" xfId="0"/>
    <cellStyle name="Финансовый 6 2 2 2 3 2" xfId="0"/>
    <cellStyle name="Финансовый 6 2 2 2 3 3" xfId="0"/>
    <cellStyle name="Финансовый 6 2 2 2 3 4" xfId="0"/>
    <cellStyle name="Финансовый 6 2 2 2 3 5" xfId="0"/>
    <cellStyle name="Финансовый 6 2 2 2 4" xfId="0"/>
    <cellStyle name="Финансовый 6 2 2 2 5" xfId="0"/>
    <cellStyle name="Финансовый 6 2 2 2 6" xfId="0"/>
    <cellStyle name="Финансовый 6 2 2 2 7" xfId="0"/>
    <cellStyle name="Финансовый 6 2 2 3" xfId="0"/>
    <cellStyle name="Финансовый 6 2 2 3 2" xfId="0"/>
    <cellStyle name="Финансовый 6 2 2 3 2 2" xfId="0"/>
    <cellStyle name="Финансовый 6 2 2 3 2 3" xfId="0"/>
    <cellStyle name="Финансовый 6 2 2 3 2 4" xfId="0"/>
    <cellStyle name="Финансовый 6 2 2 3 2 5" xfId="0"/>
    <cellStyle name="Финансовый 6 2 2 3 3" xfId="0"/>
    <cellStyle name="Финансовый 6 2 2 3 4" xfId="0"/>
    <cellStyle name="Финансовый 6 2 2 3 5" xfId="0"/>
    <cellStyle name="Финансовый 6 2 2 3 6" xfId="0"/>
    <cellStyle name="Финансовый 6 2 2 4" xfId="0"/>
    <cellStyle name="Финансовый 6 2 2 4 2" xfId="0"/>
    <cellStyle name="Финансовый 6 2 2 4 2 2" xfId="0"/>
    <cellStyle name="Финансовый 6 2 2 4 2 3" xfId="0"/>
    <cellStyle name="Финансовый 6 2 2 4 2 4" xfId="0"/>
    <cellStyle name="Финансовый 6 2 2 4 2 5" xfId="0"/>
    <cellStyle name="Финансовый 6 2 2 4 3" xfId="0"/>
    <cellStyle name="Финансовый 6 2 2 4 4" xfId="0"/>
    <cellStyle name="Финансовый 6 2 2 4 5" xfId="0"/>
    <cellStyle name="Финансовый 6 2 2 4 6" xfId="0"/>
    <cellStyle name="Финансовый 6 2 2 5" xfId="0"/>
    <cellStyle name="Финансовый 6 2 2 5 2" xfId="0"/>
    <cellStyle name="Финансовый 6 2 2 5 2 2" xfId="0"/>
    <cellStyle name="Финансовый 6 2 2 5 2 3" xfId="0"/>
    <cellStyle name="Финансовый 6 2 2 5 2 4" xfId="0"/>
    <cellStyle name="Финансовый 6 2 2 5 2 5" xfId="0"/>
    <cellStyle name="Финансовый 6 2 2 5 3" xfId="0"/>
    <cellStyle name="Финансовый 6 2 2 5 4" xfId="0"/>
    <cellStyle name="Финансовый 6 2 2 5 5" xfId="0"/>
    <cellStyle name="Финансовый 6 2 2 5 6" xfId="0"/>
    <cellStyle name="Финансовый 6 2 2 6" xfId="0"/>
    <cellStyle name="Финансовый 6 2 2 6 2" xfId="0"/>
    <cellStyle name="Финансовый 6 2 2 6 2 2" xfId="0"/>
    <cellStyle name="Финансовый 6 2 2 6 2 3" xfId="0"/>
    <cellStyle name="Финансовый 6 2 2 6 2 4" xfId="0"/>
    <cellStyle name="Финансовый 6 2 2 6 2 5" xfId="0"/>
    <cellStyle name="Финансовый 6 2 2 6 3" xfId="0"/>
    <cellStyle name="Финансовый 6 2 2 6 4" xfId="0"/>
    <cellStyle name="Финансовый 6 2 2 6 5" xfId="0"/>
    <cellStyle name="Финансовый 6 2 2 6 6" xfId="0"/>
    <cellStyle name="Финансовый 6 2 2 7" xfId="0"/>
    <cellStyle name="Финансовый 6 2 2 7 2" xfId="0"/>
    <cellStyle name="Финансовый 6 2 2 7 3" xfId="0"/>
    <cellStyle name="Финансовый 6 2 2 7 4" xfId="0"/>
    <cellStyle name="Финансовый 6 2 2 7 5" xfId="0"/>
    <cellStyle name="Финансовый 6 2 2 8" xfId="0"/>
    <cellStyle name="Финансовый 6 2 2 8 2" xfId="0"/>
    <cellStyle name="Финансовый 6 2 2 8 3" xfId="0"/>
    <cellStyle name="Финансовый 6 2 2 8 4" xfId="0"/>
    <cellStyle name="Финансовый 6 2 2 8 5" xfId="0"/>
    <cellStyle name="Финансовый 6 2 2 9" xfId="0"/>
    <cellStyle name="Финансовый 6 2 3" xfId="0"/>
    <cellStyle name="Финансовый 6 2 3 2" xfId="0"/>
    <cellStyle name="Финансовый 6 2 3 2 2" xfId="0"/>
    <cellStyle name="Финансовый 6 2 3 2 2 2" xfId="0"/>
    <cellStyle name="Финансовый 6 2 3 2 2 3" xfId="0"/>
    <cellStyle name="Финансовый 6 2 3 2 2 4" xfId="0"/>
    <cellStyle name="Финансовый 6 2 3 2 2 5" xfId="0"/>
    <cellStyle name="Финансовый 6 2 3 2 3" xfId="0"/>
    <cellStyle name="Финансовый 6 2 3 2 4" xfId="0"/>
    <cellStyle name="Финансовый 6 2 3 2 5" xfId="0"/>
    <cellStyle name="Финансовый 6 2 3 2 6" xfId="0"/>
    <cellStyle name="Финансовый 6 2 3 3" xfId="0"/>
    <cellStyle name="Финансовый 6 2 3 3 2" xfId="0"/>
    <cellStyle name="Финансовый 6 2 3 3 3" xfId="0"/>
    <cellStyle name="Финансовый 6 2 3 3 4" xfId="0"/>
    <cellStyle name="Финансовый 6 2 3 3 5" xfId="0"/>
    <cellStyle name="Финансовый 6 2 3 4" xfId="0"/>
    <cellStyle name="Финансовый 6 2 3 5" xfId="0"/>
    <cellStyle name="Финансовый 6 2 3 6" xfId="0"/>
    <cellStyle name="Финансовый 6 2 3 7" xfId="0"/>
    <cellStyle name="Финансовый 6 2 4" xfId="0"/>
    <cellStyle name="Финансовый 6 2 4 2" xfId="0"/>
    <cellStyle name="Финансовый 6 2 4 2 2" xfId="0"/>
    <cellStyle name="Финансовый 6 2 4 2 3" xfId="0"/>
    <cellStyle name="Финансовый 6 2 4 2 4" xfId="0"/>
    <cellStyle name="Финансовый 6 2 4 2 5" xfId="0"/>
    <cellStyle name="Финансовый 6 2 4 3" xfId="0"/>
    <cellStyle name="Финансовый 6 2 4 4" xfId="0"/>
    <cellStyle name="Финансовый 6 2 4 5" xfId="0"/>
    <cellStyle name="Финансовый 6 2 4 6" xfId="0"/>
    <cellStyle name="Финансовый 6 2 5" xfId="0"/>
    <cellStyle name="Финансовый 6 2 5 2" xfId="0"/>
    <cellStyle name="Финансовый 6 2 5 2 2" xfId="0"/>
    <cellStyle name="Финансовый 6 2 5 2 3" xfId="0"/>
    <cellStyle name="Финансовый 6 2 5 2 4" xfId="0"/>
    <cellStyle name="Финансовый 6 2 5 2 5" xfId="0"/>
    <cellStyle name="Финансовый 6 2 5 3" xfId="0"/>
    <cellStyle name="Финансовый 6 2 5 4" xfId="0"/>
    <cellStyle name="Финансовый 6 2 5 5" xfId="0"/>
    <cellStyle name="Финансовый 6 2 5 6" xfId="0"/>
    <cellStyle name="Финансовый 6 2 6" xfId="0"/>
    <cellStyle name="Финансовый 6 2 6 2" xfId="0"/>
    <cellStyle name="Финансовый 6 2 6 2 2" xfId="0"/>
    <cellStyle name="Финансовый 6 2 6 2 3" xfId="0"/>
    <cellStyle name="Финансовый 6 2 6 2 4" xfId="0"/>
    <cellStyle name="Финансовый 6 2 6 2 5" xfId="0"/>
    <cellStyle name="Финансовый 6 2 6 3" xfId="0"/>
    <cellStyle name="Финансовый 6 2 6 4" xfId="0"/>
    <cellStyle name="Финансовый 6 2 6 5" xfId="0"/>
    <cellStyle name="Финансовый 6 2 6 6" xfId="0"/>
    <cellStyle name="Финансовый 6 2 7" xfId="0"/>
    <cellStyle name="Финансовый 6 2 7 2" xfId="0"/>
    <cellStyle name="Финансовый 6 2 7 2 2" xfId="0"/>
    <cellStyle name="Финансовый 6 2 7 2 3" xfId="0"/>
    <cellStyle name="Финансовый 6 2 7 2 4" xfId="0"/>
    <cellStyle name="Финансовый 6 2 7 2 5" xfId="0"/>
    <cellStyle name="Финансовый 6 2 7 3" xfId="0"/>
    <cellStyle name="Финансовый 6 2 7 4" xfId="0"/>
    <cellStyle name="Финансовый 6 2 7 5" xfId="0"/>
    <cellStyle name="Финансовый 6 2 7 6" xfId="0"/>
    <cellStyle name="Финансовый 6 2 8" xfId="0"/>
    <cellStyle name="Финансовый 6 2 8 2" xfId="0"/>
    <cellStyle name="Финансовый 6 2 8 3" xfId="0"/>
    <cellStyle name="Финансовый 6 2 8 4" xfId="0"/>
    <cellStyle name="Финансовый 6 2 8 5" xfId="0"/>
    <cellStyle name="Финансовый 6 2 9" xfId="0"/>
    <cellStyle name="Финансовый 6 20" xfId="0"/>
    <cellStyle name="Финансовый 6 21" xfId="0"/>
    <cellStyle name="Финансовый 6 22" xfId="0"/>
    <cellStyle name="Финансовый 6 3" xfId="0"/>
    <cellStyle name="Финансовый 6 3 10" xfId="0"/>
    <cellStyle name="Финансовый 6 3 10 2" xfId="0"/>
    <cellStyle name="Финансовый 6 3 10 3" xfId="0"/>
    <cellStyle name="Финансовый 6 3 10 4" xfId="0"/>
    <cellStyle name="Финансовый 6 3 10 5" xfId="0"/>
    <cellStyle name="Финансовый 6 3 11" xfId="0"/>
    <cellStyle name="Финансовый 6 3 12" xfId="0"/>
    <cellStyle name="Финансовый 6 3 13" xfId="0"/>
    <cellStyle name="Финансовый 6 3 14" xfId="0"/>
    <cellStyle name="Финансовый 6 3 15" xfId="0"/>
    <cellStyle name="Финансовый 6 3 2" xfId="0"/>
    <cellStyle name="Финансовый 6 3 2 10" xfId="0"/>
    <cellStyle name="Финансовый 6 3 2 11" xfId="0"/>
    <cellStyle name="Финансовый 6 3 2 12" xfId="0"/>
    <cellStyle name="Финансовый 6 3 2 13" xfId="0"/>
    <cellStyle name="Финансовый 6 3 2 2" xfId="0"/>
    <cellStyle name="Финансовый 6 3 2 2 2" xfId="0"/>
    <cellStyle name="Финансовый 6 3 2 2 2 2" xfId="0"/>
    <cellStyle name="Финансовый 6 3 2 2 2 2 2" xfId="0"/>
    <cellStyle name="Финансовый 6 3 2 2 2 2 3" xfId="0"/>
    <cellStyle name="Финансовый 6 3 2 2 2 2 4" xfId="0"/>
    <cellStyle name="Финансовый 6 3 2 2 2 2 5" xfId="0"/>
    <cellStyle name="Финансовый 6 3 2 2 2 3" xfId="0"/>
    <cellStyle name="Финансовый 6 3 2 2 2 4" xfId="0"/>
    <cellStyle name="Финансовый 6 3 2 2 2 5" xfId="0"/>
    <cellStyle name="Финансовый 6 3 2 2 2 6" xfId="0"/>
    <cellStyle name="Финансовый 6 3 2 2 3" xfId="0"/>
    <cellStyle name="Финансовый 6 3 2 2 3 2" xfId="0"/>
    <cellStyle name="Финансовый 6 3 2 2 3 3" xfId="0"/>
    <cellStyle name="Финансовый 6 3 2 2 3 4" xfId="0"/>
    <cellStyle name="Финансовый 6 3 2 2 3 5" xfId="0"/>
    <cellStyle name="Финансовый 6 3 2 2 4" xfId="0"/>
    <cellStyle name="Финансовый 6 3 2 2 5" xfId="0"/>
    <cellStyle name="Финансовый 6 3 2 2 6" xfId="0"/>
    <cellStyle name="Финансовый 6 3 2 2 7" xfId="0"/>
    <cellStyle name="Финансовый 6 3 2 3" xfId="0"/>
    <cellStyle name="Финансовый 6 3 2 3 2" xfId="0"/>
    <cellStyle name="Финансовый 6 3 2 3 2 2" xfId="0"/>
    <cellStyle name="Финансовый 6 3 2 3 2 3" xfId="0"/>
    <cellStyle name="Финансовый 6 3 2 3 2 4" xfId="0"/>
    <cellStyle name="Финансовый 6 3 2 3 2 5" xfId="0"/>
    <cellStyle name="Финансовый 6 3 2 3 3" xfId="0"/>
    <cellStyle name="Финансовый 6 3 2 3 4" xfId="0"/>
    <cellStyle name="Финансовый 6 3 2 3 5" xfId="0"/>
    <cellStyle name="Финансовый 6 3 2 3 6" xfId="0"/>
    <cellStyle name="Финансовый 6 3 2 4" xfId="0"/>
    <cellStyle name="Финансовый 6 3 2 4 2" xfId="0"/>
    <cellStyle name="Финансовый 6 3 2 4 2 2" xfId="0"/>
    <cellStyle name="Финансовый 6 3 2 4 2 3" xfId="0"/>
    <cellStyle name="Финансовый 6 3 2 4 2 4" xfId="0"/>
    <cellStyle name="Финансовый 6 3 2 4 2 5" xfId="0"/>
    <cellStyle name="Финансовый 6 3 2 4 3" xfId="0"/>
    <cellStyle name="Финансовый 6 3 2 4 4" xfId="0"/>
    <cellStyle name="Финансовый 6 3 2 4 5" xfId="0"/>
    <cellStyle name="Финансовый 6 3 2 4 6" xfId="0"/>
    <cellStyle name="Финансовый 6 3 2 5" xfId="0"/>
    <cellStyle name="Финансовый 6 3 2 5 2" xfId="0"/>
    <cellStyle name="Финансовый 6 3 2 5 2 2" xfId="0"/>
    <cellStyle name="Финансовый 6 3 2 5 2 3" xfId="0"/>
    <cellStyle name="Финансовый 6 3 2 5 2 4" xfId="0"/>
    <cellStyle name="Финансовый 6 3 2 5 2 5" xfId="0"/>
    <cellStyle name="Финансовый 6 3 2 5 3" xfId="0"/>
    <cellStyle name="Финансовый 6 3 2 5 4" xfId="0"/>
    <cellStyle name="Финансовый 6 3 2 5 5" xfId="0"/>
    <cellStyle name="Финансовый 6 3 2 5 6" xfId="0"/>
    <cellStyle name="Финансовый 6 3 2 6" xfId="0"/>
    <cellStyle name="Финансовый 6 3 2 6 2" xfId="0"/>
    <cellStyle name="Финансовый 6 3 2 6 2 2" xfId="0"/>
    <cellStyle name="Финансовый 6 3 2 6 2 3" xfId="0"/>
    <cellStyle name="Финансовый 6 3 2 6 2 4" xfId="0"/>
    <cellStyle name="Финансовый 6 3 2 6 2 5" xfId="0"/>
    <cellStyle name="Финансовый 6 3 2 6 3" xfId="0"/>
    <cellStyle name="Финансовый 6 3 2 6 4" xfId="0"/>
    <cellStyle name="Финансовый 6 3 2 6 5" xfId="0"/>
    <cellStyle name="Финансовый 6 3 2 6 6" xfId="0"/>
    <cellStyle name="Финансовый 6 3 2 7" xfId="0"/>
    <cellStyle name="Финансовый 6 3 2 7 2" xfId="0"/>
    <cellStyle name="Финансовый 6 3 2 7 3" xfId="0"/>
    <cellStyle name="Финансовый 6 3 2 7 4" xfId="0"/>
    <cellStyle name="Финансовый 6 3 2 7 5" xfId="0"/>
    <cellStyle name="Финансовый 6 3 2 8" xfId="0"/>
    <cellStyle name="Финансовый 6 3 2 8 2" xfId="0"/>
    <cellStyle name="Финансовый 6 3 2 8 3" xfId="0"/>
    <cellStyle name="Финансовый 6 3 2 8 4" xfId="0"/>
    <cellStyle name="Финансовый 6 3 2 8 5" xfId="0"/>
    <cellStyle name="Финансовый 6 3 2 9" xfId="0"/>
    <cellStyle name="Финансовый 6 3 3" xfId="0"/>
    <cellStyle name="Финансовый 6 3 3 2" xfId="0"/>
    <cellStyle name="Финансовый 6 3 3 2 2" xfId="0"/>
    <cellStyle name="Финансовый 6 3 3 2 2 2" xfId="0"/>
    <cellStyle name="Финансовый 6 3 3 2 2 3" xfId="0"/>
    <cellStyle name="Финансовый 6 3 3 2 2 4" xfId="0"/>
    <cellStyle name="Финансовый 6 3 3 2 2 5" xfId="0"/>
    <cellStyle name="Финансовый 6 3 3 2 3" xfId="0"/>
    <cellStyle name="Финансовый 6 3 3 2 4" xfId="0"/>
    <cellStyle name="Финансовый 6 3 3 2 5" xfId="0"/>
    <cellStyle name="Финансовый 6 3 3 2 6" xfId="0"/>
    <cellStyle name="Финансовый 6 3 3 3" xfId="0"/>
    <cellStyle name="Финансовый 6 3 3 3 2" xfId="0"/>
    <cellStyle name="Финансовый 6 3 3 3 3" xfId="0"/>
    <cellStyle name="Финансовый 6 3 3 3 4" xfId="0"/>
    <cellStyle name="Финансовый 6 3 3 3 5" xfId="0"/>
    <cellStyle name="Финансовый 6 3 3 4" xfId="0"/>
    <cellStyle name="Финансовый 6 3 3 5" xfId="0"/>
    <cellStyle name="Финансовый 6 3 3 6" xfId="0"/>
    <cellStyle name="Финансовый 6 3 3 7" xfId="0"/>
    <cellStyle name="Финансовый 6 3 4" xfId="0"/>
    <cellStyle name="Финансовый 6 3 4 2" xfId="0"/>
    <cellStyle name="Финансовый 6 3 4 2 2" xfId="0"/>
    <cellStyle name="Финансовый 6 3 4 2 3" xfId="0"/>
    <cellStyle name="Финансовый 6 3 4 2 4" xfId="0"/>
    <cellStyle name="Финансовый 6 3 4 2 5" xfId="0"/>
    <cellStyle name="Финансовый 6 3 4 3" xfId="0"/>
    <cellStyle name="Финансовый 6 3 4 4" xfId="0"/>
    <cellStyle name="Финансовый 6 3 4 5" xfId="0"/>
    <cellStyle name="Финансовый 6 3 4 6" xfId="0"/>
    <cellStyle name="Финансовый 6 3 5" xfId="0"/>
    <cellStyle name="Финансовый 6 3 5 2" xfId="0"/>
    <cellStyle name="Финансовый 6 3 5 2 2" xfId="0"/>
    <cellStyle name="Финансовый 6 3 5 2 3" xfId="0"/>
    <cellStyle name="Финансовый 6 3 5 2 4" xfId="0"/>
    <cellStyle name="Финансовый 6 3 5 2 5" xfId="0"/>
    <cellStyle name="Финансовый 6 3 5 3" xfId="0"/>
    <cellStyle name="Финансовый 6 3 5 4" xfId="0"/>
    <cellStyle name="Финансовый 6 3 5 5" xfId="0"/>
    <cellStyle name="Финансовый 6 3 5 6" xfId="0"/>
    <cellStyle name="Финансовый 6 3 6" xfId="0"/>
    <cellStyle name="Финансовый 6 3 6 2" xfId="0"/>
    <cellStyle name="Финансовый 6 3 6 2 2" xfId="0"/>
    <cellStyle name="Финансовый 6 3 6 2 3" xfId="0"/>
    <cellStyle name="Финансовый 6 3 6 2 4" xfId="0"/>
    <cellStyle name="Финансовый 6 3 6 2 5" xfId="0"/>
    <cellStyle name="Финансовый 6 3 6 3" xfId="0"/>
    <cellStyle name="Финансовый 6 3 6 4" xfId="0"/>
    <cellStyle name="Финансовый 6 3 6 5" xfId="0"/>
    <cellStyle name="Финансовый 6 3 6 6" xfId="0"/>
    <cellStyle name="Финансовый 6 3 7" xfId="0"/>
    <cellStyle name="Финансовый 6 3 7 2" xfId="0"/>
    <cellStyle name="Финансовый 6 3 7 2 2" xfId="0"/>
    <cellStyle name="Финансовый 6 3 7 2 3" xfId="0"/>
    <cellStyle name="Финансовый 6 3 7 2 4" xfId="0"/>
    <cellStyle name="Финансовый 6 3 7 2 5" xfId="0"/>
    <cellStyle name="Финансовый 6 3 7 3" xfId="0"/>
    <cellStyle name="Финансовый 6 3 7 4" xfId="0"/>
    <cellStyle name="Финансовый 6 3 7 5" xfId="0"/>
    <cellStyle name="Финансовый 6 3 7 6" xfId="0"/>
    <cellStyle name="Финансовый 6 3 8" xfId="0"/>
    <cellStyle name="Финансовый 6 3 8 2" xfId="0"/>
    <cellStyle name="Финансовый 6 3 8 3" xfId="0"/>
    <cellStyle name="Финансовый 6 3 8 4" xfId="0"/>
    <cellStyle name="Финансовый 6 3 8 5" xfId="0"/>
    <cellStyle name="Финансовый 6 3 9" xfId="0"/>
    <cellStyle name="Финансовый 6 4" xfId="0"/>
    <cellStyle name="Финансовый 6 4 10" xfId="0"/>
    <cellStyle name="Финансовый 6 4 10 2" xfId="0"/>
    <cellStyle name="Финансовый 6 4 10 3" xfId="0"/>
    <cellStyle name="Финансовый 6 4 10 4" xfId="0"/>
    <cellStyle name="Финансовый 6 4 10 5" xfId="0"/>
    <cellStyle name="Финансовый 6 4 11" xfId="0"/>
    <cellStyle name="Финансовый 6 4 12" xfId="0"/>
    <cellStyle name="Финансовый 6 4 13" xfId="0"/>
    <cellStyle name="Финансовый 6 4 14" xfId="0"/>
    <cellStyle name="Финансовый 6 4 15" xfId="0"/>
    <cellStyle name="Финансовый 6 4 2" xfId="0"/>
    <cellStyle name="Финансовый 6 4 2 10" xfId="0"/>
    <cellStyle name="Финансовый 6 4 2 11" xfId="0"/>
    <cellStyle name="Финансовый 6 4 2 12" xfId="0"/>
    <cellStyle name="Финансовый 6 4 2 13" xfId="0"/>
    <cellStyle name="Финансовый 6 4 2 2" xfId="0"/>
    <cellStyle name="Финансовый 6 4 2 2 2" xfId="0"/>
    <cellStyle name="Финансовый 6 4 2 2 2 2" xfId="0"/>
    <cellStyle name="Финансовый 6 4 2 2 2 2 2" xfId="0"/>
    <cellStyle name="Финансовый 6 4 2 2 2 2 3" xfId="0"/>
    <cellStyle name="Финансовый 6 4 2 2 2 2 4" xfId="0"/>
    <cellStyle name="Финансовый 6 4 2 2 2 2 5" xfId="0"/>
    <cellStyle name="Финансовый 6 4 2 2 2 3" xfId="0"/>
    <cellStyle name="Финансовый 6 4 2 2 2 4" xfId="0"/>
    <cellStyle name="Финансовый 6 4 2 2 2 5" xfId="0"/>
    <cellStyle name="Финансовый 6 4 2 2 2 6" xfId="0"/>
    <cellStyle name="Финансовый 6 4 2 2 3" xfId="0"/>
    <cellStyle name="Финансовый 6 4 2 2 3 2" xfId="0"/>
    <cellStyle name="Финансовый 6 4 2 2 3 3" xfId="0"/>
    <cellStyle name="Финансовый 6 4 2 2 3 4" xfId="0"/>
    <cellStyle name="Финансовый 6 4 2 2 3 5" xfId="0"/>
    <cellStyle name="Финансовый 6 4 2 2 4" xfId="0"/>
    <cellStyle name="Финансовый 6 4 2 2 5" xfId="0"/>
    <cellStyle name="Финансовый 6 4 2 2 6" xfId="0"/>
    <cellStyle name="Финансовый 6 4 2 2 7" xfId="0"/>
    <cellStyle name="Финансовый 6 4 2 3" xfId="0"/>
    <cellStyle name="Финансовый 6 4 2 3 2" xfId="0"/>
    <cellStyle name="Финансовый 6 4 2 3 2 2" xfId="0"/>
    <cellStyle name="Финансовый 6 4 2 3 2 3" xfId="0"/>
    <cellStyle name="Финансовый 6 4 2 3 2 4" xfId="0"/>
    <cellStyle name="Финансовый 6 4 2 3 2 5" xfId="0"/>
    <cellStyle name="Финансовый 6 4 2 3 3" xfId="0"/>
    <cellStyle name="Финансовый 6 4 2 3 4" xfId="0"/>
    <cellStyle name="Финансовый 6 4 2 3 5" xfId="0"/>
    <cellStyle name="Финансовый 6 4 2 3 6" xfId="0"/>
    <cellStyle name="Финансовый 6 4 2 4" xfId="0"/>
    <cellStyle name="Финансовый 6 4 2 4 2" xfId="0"/>
    <cellStyle name="Финансовый 6 4 2 4 2 2" xfId="0"/>
    <cellStyle name="Финансовый 6 4 2 4 2 3" xfId="0"/>
    <cellStyle name="Финансовый 6 4 2 4 2 4" xfId="0"/>
    <cellStyle name="Финансовый 6 4 2 4 2 5" xfId="0"/>
    <cellStyle name="Финансовый 6 4 2 4 3" xfId="0"/>
    <cellStyle name="Финансовый 6 4 2 4 4" xfId="0"/>
    <cellStyle name="Финансовый 6 4 2 4 5" xfId="0"/>
    <cellStyle name="Финансовый 6 4 2 4 6" xfId="0"/>
    <cellStyle name="Финансовый 6 4 2 5" xfId="0"/>
    <cellStyle name="Финансовый 6 4 2 5 2" xfId="0"/>
    <cellStyle name="Финансовый 6 4 2 5 2 2" xfId="0"/>
    <cellStyle name="Финансовый 6 4 2 5 2 3" xfId="0"/>
    <cellStyle name="Финансовый 6 4 2 5 2 4" xfId="0"/>
    <cellStyle name="Финансовый 6 4 2 5 2 5" xfId="0"/>
    <cellStyle name="Финансовый 6 4 2 5 3" xfId="0"/>
    <cellStyle name="Финансовый 6 4 2 5 4" xfId="0"/>
    <cellStyle name="Финансовый 6 4 2 5 5" xfId="0"/>
    <cellStyle name="Финансовый 6 4 2 5 6" xfId="0"/>
    <cellStyle name="Финансовый 6 4 2 6" xfId="0"/>
    <cellStyle name="Финансовый 6 4 2 6 2" xfId="0"/>
    <cellStyle name="Финансовый 6 4 2 6 2 2" xfId="0"/>
    <cellStyle name="Финансовый 6 4 2 6 2 3" xfId="0"/>
    <cellStyle name="Финансовый 6 4 2 6 2 4" xfId="0"/>
    <cellStyle name="Финансовый 6 4 2 6 2 5" xfId="0"/>
    <cellStyle name="Финансовый 6 4 2 6 3" xfId="0"/>
    <cellStyle name="Финансовый 6 4 2 6 4" xfId="0"/>
    <cellStyle name="Финансовый 6 4 2 6 5" xfId="0"/>
    <cellStyle name="Финансовый 6 4 2 6 6" xfId="0"/>
    <cellStyle name="Финансовый 6 4 2 7" xfId="0"/>
    <cellStyle name="Финансовый 6 4 2 7 2" xfId="0"/>
    <cellStyle name="Финансовый 6 4 2 7 3" xfId="0"/>
    <cellStyle name="Финансовый 6 4 2 7 4" xfId="0"/>
    <cellStyle name="Финансовый 6 4 2 7 5" xfId="0"/>
    <cellStyle name="Финансовый 6 4 2 8" xfId="0"/>
    <cellStyle name="Финансовый 6 4 2 8 2" xfId="0"/>
    <cellStyle name="Финансовый 6 4 2 8 3" xfId="0"/>
    <cellStyle name="Финансовый 6 4 2 8 4" xfId="0"/>
    <cellStyle name="Финансовый 6 4 2 8 5" xfId="0"/>
    <cellStyle name="Финансовый 6 4 2 9" xfId="0"/>
    <cellStyle name="Финансовый 6 4 3" xfId="0"/>
    <cellStyle name="Финансовый 6 4 3 2" xfId="0"/>
    <cellStyle name="Финансовый 6 4 3 2 2" xfId="0"/>
    <cellStyle name="Финансовый 6 4 3 2 2 2" xfId="0"/>
    <cellStyle name="Финансовый 6 4 3 2 2 3" xfId="0"/>
    <cellStyle name="Финансовый 6 4 3 2 2 4" xfId="0"/>
    <cellStyle name="Финансовый 6 4 3 2 2 5" xfId="0"/>
    <cellStyle name="Финансовый 6 4 3 2 3" xfId="0"/>
    <cellStyle name="Финансовый 6 4 3 2 4" xfId="0"/>
    <cellStyle name="Финансовый 6 4 3 2 5" xfId="0"/>
    <cellStyle name="Финансовый 6 4 3 2 6" xfId="0"/>
    <cellStyle name="Финансовый 6 4 3 3" xfId="0"/>
    <cellStyle name="Финансовый 6 4 3 3 2" xfId="0"/>
    <cellStyle name="Финансовый 6 4 3 3 3" xfId="0"/>
    <cellStyle name="Финансовый 6 4 3 3 4" xfId="0"/>
    <cellStyle name="Финансовый 6 4 3 3 5" xfId="0"/>
    <cellStyle name="Финансовый 6 4 3 4" xfId="0"/>
    <cellStyle name="Финансовый 6 4 3 5" xfId="0"/>
    <cellStyle name="Финансовый 6 4 3 6" xfId="0"/>
    <cellStyle name="Финансовый 6 4 3 7" xfId="0"/>
    <cellStyle name="Финансовый 6 4 4" xfId="0"/>
    <cellStyle name="Финансовый 6 4 4 2" xfId="0"/>
    <cellStyle name="Финансовый 6 4 4 2 2" xfId="0"/>
    <cellStyle name="Финансовый 6 4 4 2 3" xfId="0"/>
    <cellStyle name="Финансовый 6 4 4 2 4" xfId="0"/>
    <cellStyle name="Финансовый 6 4 4 2 5" xfId="0"/>
    <cellStyle name="Финансовый 6 4 4 3" xfId="0"/>
    <cellStyle name="Финансовый 6 4 4 4" xfId="0"/>
    <cellStyle name="Финансовый 6 4 4 5" xfId="0"/>
    <cellStyle name="Финансовый 6 4 4 6" xfId="0"/>
    <cellStyle name="Финансовый 6 4 5" xfId="0"/>
    <cellStyle name="Финансовый 6 4 5 2" xfId="0"/>
    <cellStyle name="Финансовый 6 4 5 2 2" xfId="0"/>
    <cellStyle name="Финансовый 6 4 5 2 3" xfId="0"/>
    <cellStyle name="Финансовый 6 4 5 2 4" xfId="0"/>
    <cellStyle name="Финансовый 6 4 5 2 5" xfId="0"/>
    <cellStyle name="Финансовый 6 4 5 3" xfId="0"/>
    <cellStyle name="Финансовый 6 4 5 4" xfId="0"/>
    <cellStyle name="Финансовый 6 4 5 5" xfId="0"/>
    <cellStyle name="Финансовый 6 4 5 6" xfId="0"/>
    <cellStyle name="Финансовый 6 4 6" xfId="0"/>
    <cellStyle name="Финансовый 6 4 6 2" xfId="0"/>
    <cellStyle name="Финансовый 6 4 6 2 2" xfId="0"/>
    <cellStyle name="Финансовый 6 4 6 2 3" xfId="0"/>
    <cellStyle name="Финансовый 6 4 6 2 4" xfId="0"/>
    <cellStyle name="Финансовый 6 4 6 2 5" xfId="0"/>
    <cellStyle name="Финансовый 6 4 6 3" xfId="0"/>
    <cellStyle name="Финансовый 6 4 6 4" xfId="0"/>
    <cellStyle name="Финансовый 6 4 6 5" xfId="0"/>
    <cellStyle name="Финансовый 6 4 6 6" xfId="0"/>
    <cellStyle name="Финансовый 6 4 7" xfId="0"/>
    <cellStyle name="Финансовый 6 4 7 2" xfId="0"/>
    <cellStyle name="Финансовый 6 4 7 2 2" xfId="0"/>
    <cellStyle name="Финансовый 6 4 7 2 3" xfId="0"/>
    <cellStyle name="Финансовый 6 4 7 2 4" xfId="0"/>
    <cellStyle name="Финансовый 6 4 7 2 5" xfId="0"/>
    <cellStyle name="Финансовый 6 4 7 3" xfId="0"/>
    <cellStyle name="Финансовый 6 4 7 4" xfId="0"/>
    <cellStyle name="Финансовый 6 4 7 5" xfId="0"/>
    <cellStyle name="Финансовый 6 4 7 6" xfId="0"/>
    <cellStyle name="Финансовый 6 4 8" xfId="0"/>
    <cellStyle name="Финансовый 6 4 8 2" xfId="0"/>
    <cellStyle name="Финансовый 6 4 8 3" xfId="0"/>
    <cellStyle name="Финансовый 6 4 8 4" xfId="0"/>
    <cellStyle name="Финансовый 6 4 8 5" xfId="0"/>
    <cellStyle name="Финансовый 6 4 9" xfId="0"/>
    <cellStyle name="Финансовый 6 5" xfId="0"/>
    <cellStyle name="Финансовый 6 5 10" xfId="0"/>
    <cellStyle name="Финансовый 6 5 10 2" xfId="0"/>
    <cellStyle name="Финансовый 6 5 10 3" xfId="0"/>
    <cellStyle name="Финансовый 6 5 10 4" xfId="0"/>
    <cellStyle name="Финансовый 6 5 10 5" xfId="0"/>
    <cellStyle name="Финансовый 6 5 11" xfId="0"/>
    <cellStyle name="Финансовый 6 5 12" xfId="0"/>
    <cellStyle name="Финансовый 6 5 13" xfId="0"/>
    <cellStyle name="Финансовый 6 5 14" xfId="0"/>
    <cellStyle name="Финансовый 6 5 15" xfId="0"/>
    <cellStyle name="Финансовый 6 5 2" xfId="0"/>
    <cellStyle name="Финансовый 6 5 2 10" xfId="0"/>
    <cellStyle name="Финансовый 6 5 2 11" xfId="0"/>
    <cellStyle name="Финансовый 6 5 2 12" xfId="0"/>
    <cellStyle name="Финансовый 6 5 2 13" xfId="0"/>
    <cellStyle name="Финансовый 6 5 2 2" xfId="0"/>
    <cellStyle name="Финансовый 6 5 2 2 2" xfId="0"/>
    <cellStyle name="Финансовый 6 5 2 2 2 2" xfId="0"/>
    <cellStyle name="Финансовый 6 5 2 2 2 2 2" xfId="0"/>
    <cellStyle name="Финансовый 6 5 2 2 2 2 3" xfId="0"/>
    <cellStyle name="Финансовый 6 5 2 2 2 2 4" xfId="0"/>
    <cellStyle name="Финансовый 6 5 2 2 2 2 5" xfId="0"/>
    <cellStyle name="Финансовый 6 5 2 2 2 3" xfId="0"/>
    <cellStyle name="Финансовый 6 5 2 2 2 4" xfId="0"/>
    <cellStyle name="Финансовый 6 5 2 2 2 5" xfId="0"/>
    <cellStyle name="Финансовый 6 5 2 2 2 6" xfId="0"/>
    <cellStyle name="Финансовый 6 5 2 2 3" xfId="0"/>
    <cellStyle name="Финансовый 6 5 2 2 3 2" xfId="0"/>
    <cellStyle name="Финансовый 6 5 2 2 3 3" xfId="0"/>
    <cellStyle name="Финансовый 6 5 2 2 3 4" xfId="0"/>
    <cellStyle name="Финансовый 6 5 2 2 3 5" xfId="0"/>
    <cellStyle name="Финансовый 6 5 2 2 4" xfId="0"/>
    <cellStyle name="Финансовый 6 5 2 2 5" xfId="0"/>
    <cellStyle name="Финансовый 6 5 2 2 6" xfId="0"/>
    <cellStyle name="Финансовый 6 5 2 2 7" xfId="0"/>
    <cellStyle name="Финансовый 6 5 2 3" xfId="0"/>
    <cellStyle name="Финансовый 6 5 2 3 2" xfId="0"/>
    <cellStyle name="Финансовый 6 5 2 3 2 2" xfId="0"/>
    <cellStyle name="Финансовый 6 5 2 3 2 3" xfId="0"/>
    <cellStyle name="Финансовый 6 5 2 3 2 4" xfId="0"/>
    <cellStyle name="Финансовый 6 5 2 3 2 5" xfId="0"/>
    <cellStyle name="Финансовый 6 5 2 3 3" xfId="0"/>
    <cellStyle name="Финансовый 6 5 2 3 4" xfId="0"/>
    <cellStyle name="Финансовый 6 5 2 3 5" xfId="0"/>
    <cellStyle name="Финансовый 6 5 2 3 6" xfId="0"/>
    <cellStyle name="Финансовый 6 5 2 4" xfId="0"/>
    <cellStyle name="Финансовый 6 5 2 4 2" xfId="0"/>
    <cellStyle name="Финансовый 6 5 2 4 2 2" xfId="0"/>
    <cellStyle name="Финансовый 6 5 2 4 2 3" xfId="0"/>
    <cellStyle name="Финансовый 6 5 2 4 2 4" xfId="0"/>
    <cellStyle name="Финансовый 6 5 2 4 2 5" xfId="0"/>
    <cellStyle name="Финансовый 6 5 2 4 3" xfId="0"/>
    <cellStyle name="Финансовый 6 5 2 4 4" xfId="0"/>
    <cellStyle name="Финансовый 6 5 2 4 5" xfId="0"/>
    <cellStyle name="Финансовый 6 5 2 4 6" xfId="0"/>
    <cellStyle name="Финансовый 6 5 2 5" xfId="0"/>
    <cellStyle name="Финансовый 6 5 2 5 2" xfId="0"/>
    <cellStyle name="Финансовый 6 5 2 5 2 2" xfId="0"/>
    <cellStyle name="Финансовый 6 5 2 5 2 3" xfId="0"/>
    <cellStyle name="Финансовый 6 5 2 5 2 4" xfId="0"/>
    <cellStyle name="Финансовый 6 5 2 5 2 5" xfId="0"/>
    <cellStyle name="Финансовый 6 5 2 5 3" xfId="0"/>
    <cellStyle name="Финансовый 6 5 2 5 4" xfId="0"/>
    <cellStyle name="Финансовый 6 5 2 5 5" xfId="0"/>
    <cellStyle name="Финансовый 6 5 2 5 6" xfId="0"/>
    <cellStyle name="Финансовый 6 5 2 6" xfId="0"/>
    <cellStyle name="Финансовый 6 5 2 6 2" xfId="0"/>
    <cellStyle name="Финансовый 6 5 2 6 2 2" xfId="0"/>
    <cellStyle name="Финансовый 6 5 2 6 2 3" xfId="0"/>
    <cellStyle name="Финансовый 6 5 2 6 2 4" xfId="0"/>
    <cellStyle name="Финансовый 6 5 2 6 2 5" xfId="0"/>
    <cellStyle name="Финансовый 6 5 2 6 3" xfId="0"/>
    <cellStyle name="Финансовый 6 5 2 6 4" xfId="0"/>
    <cellStyle name="Финансовый 6 5 2 6 5" xfId="0"/>
    <cellStyle name="Финансовый 6 5 2 6 6" xfId="0"/>
    <cellStyle name="Финансовый 6 5 2 7" xfId="0"/>
    <cellStyle name="Финансовый 6 5 2 7 2" xfId="0"/>
    <cellStyle name="Финансовый 6 5 2 7 3" xfId="0"/>
    <cellStyle name="Финансовый 6 5 2 7 4" xfId="0"/>
    <cellStyle name="Финансовый 6 5 2 7 5" xfId="0"/>
    <cellStyle name="Финансовый 6 5 2 8" xfId="0"/>
    <cellStyle name="Финансовый 6 5 2 8 2" xfId="0"/>
    <cellStyle name="Финансовый 6 5 2 8 3" xfId="0"/>
    <cellStyle name="Финансовый 6 5 2 8 4" xfId="0"/>
    <cellStyle name="Финансовый 6 5 2 8 5" xfId="0"/>
    <cellStyle name="Финансовый 6 5 2 9" xfId="0"/>
    <cellStyle name="Финансовый 6 5 3" xfId="0"/>
    <cellStyle name="Финансовый 6 5 3 2" xfId="0"/>
    <cellStyle name="Финансовый 6 5 3 2 2" xfId="0"/>
    <cellStyle name="Финансовый 6 5 3 2 2 2" xfId="0"/>
    <cellStyle name="Финансовый 6 5 3 2 2 3" xfId="0"/>
    <cellStyle name="Финансовый 6 5 3 2 2 4" xfId="0"/>
    <cellStyle name="Финансовый 6 5 3 2 2 5" xfId="0"/>
    <cellStyle name="Финансовый 6 5 3 2 3" xfId="0"/>
    <cellStyle name="Финансовый 6 5 3 2 4" xfId="0"/>
    <cellStyle name="Финансовый 6 5 3 2 5" xfId="0"/>
    <cellStyle name="Финансовый 6 5 3 2 6" xfId="0"/>
    <cellStyle name="Финансовый 6 5 3 3" xfId="0"/>
    <cellStyle name="Финансовый 6 5 3 3 2" xfId="0"/>
    <cellStyle name="Финансовый 6 5 3 3 3" xfId="0"/>
    <cellStyle name="Финансовый 6 5 3 3 4" xfId="0"/>
    <cellStyle name="Финансовый 6 5 3 3 5" xfId="0"/>
    <cellStyle name="Финансовый 6 5 3 4" xfId="0"/>
    <cellStyle name="Финансовый 6 5 3 5" xfId="0"/>
    <cellStyle name="Финансовый 6 5 3 6" xfId="0"/>
    <cellStyle name="Финансовый 6 5 3 7" xfId="0"/>
    <cellStyle name="Финансовый 6 5 4" xfId="0"/>
    <cellStyle name="Финансовый 6 5 4 2" xfId="0"/>
    <cellStyle name="Финансовый 6 5 4 2 2" xfId="0"/>
    <cellStyle name="Финансовый 6 5 4 2 3" xfId="0"/>
    <cellStyle name="Финансовый 6 5 4 2 4" xfId="0"/>
    <cellStyle name="Финансовый 6 5 4 2 5" xfId="0"/>
    <cellStyle name="Финансовый 6 5 4 3" xfId="0"/>
    <cellStyle name="Финансовый 6 5 4 4" xfId="0"/>
    <cellStyle name="Финансовый 6 5 4 5" xfId="0"/>
    <cellStyle name="Финансовый 6 5 4 6" xfId="0"/>
    <cellStyle name="Финансовый 6 5 5" xfId="0"/>
    <cellStyle name="Финансовый 6 5 5 2" xfId="0"/>
    <cellStyle name="Финансовый 6 5 5 2 2" xfId="0"/>
    <cellStyle name="Финансовый 6 5 5 2 3" xfId="0"/>
    <cellStyle name="Финансовый 6 5 5 2 4" xfId="0"/>
    <cellStyle name="Финансовый 6 5 5 2 5" xfId="0"/>
    <cellStyle name="Финансовый 6 5 5 3" xfId="0"/>
    <cellStyle name="Финансовый 6 5 5 4" xfId="0"/>
    <cellStyle name="Финансовый 6 5 5 5" xfId="0"/>
    <cellStyle name="Финансовый 6 5 5 6" xfId="0"/>
    <cellStyle name="Финансовый 6 5 6" xfId="0"/>
    <cellStyle name="Финансовый 6 5 6 2" xfId="0"/>
    <cellStyle name="Финансовый 6 5 6 2 2" xfId="0"/>
    <cellStyle name="Финансовый 6 5 6 2 3" xfId="0"/>
    <cellStyle name="Финансовый 6 5 6 2 4" xfId="0"/>
    <cellStyle name="Финансовый 6 5 6 2 5" xfId="0"/>
    <cellStyle name="Финансовый 6 5 6 3" xfId="0"/>
    <cellStyle name="Финансовый 6 5 6 4" xfId="0"/>
    <cellStyle name="Финансовый 6 5 6 5" xfId="0"/>
    <cellStyle name="Финансовый 6 5 6 6" xfId="0"/>
    <cellStyle name="Финансовый 6 5 7" xfId="0"/>
    <cellStyle name="Финансовый 6 5 7 2" xfId="0"/>
    <cellStyle name="Финансовый 6 5 7 2 2" xfId="0"/>
    <cellStyle name="Финансовый 6 5 7 2 3" xfId="0"/>
    <cellStyle name="Финансовый 6 5 7 2 4" xfId="0"/>
    <cellStyle name="Финансовый 6 5 7 2 5" xfId="0"/>
    <cellStyle name="Финансовый 6 5 7 3" xfId="0"/>
    <cellStyle name="Финансовый 6 5 7 4" xfId="0"/>
    <cellStyle name="Финансовый 6 5 7 5" xfId="0"/>
    <cellStyle name="Финансовый 6 5 7 6" xfId="0"/>
    <cellStyle name="Финансовый 6 5 8" xfId="0"/>
    <cellStyle name="Финансовый 6 5 8 2" xfId="0"/>
    <cellStyle name="Финансовый 6 5 8 3" xfId="0"/>
    <cellStyle name="Финансовый 6 5 8 4" xfId="0"/>
    <cellStyle name="Финансовый 6 5 8 5" xfId="0"/>
    <cellStyle name="Финансовый 6 5 9" xfId="0"/>
    <cellStyle name="Финансовый 6 6" xfId="0"/>
    <cellStyle name="Финансовый 6 6 2" xfId="0"/>
    <cellStyle name="Финансовый 6 7" xfId="0"/>
    <cellStyle name="Финансовый 6 7 10" xfId="0"/>
    <cellStyle name="Финансовый 6 7 11" xfId="0"/>
    <cellStyle name="Финансовый 6 7 12" xfId="0"/>
    <cellStyle name="Финансовый 6 7 2" xfId="0"/>
    <cellStyle name="Финансовый 6 7 2 2" xfId="0"/>
    <cellStyle name="Финансовый 6 7 2 2 2" xfId="0"/>
    <cellStyle name="Финансовый 6 7 2 2 2 2" xfId="0"/>
    <cellStyle name="Финансовый 6 7 2 2 2 3" xfId="0"/>
    <cellStyle name="Финансовый 6 7 2 2 2 4" xfId="0"/>
    <cellStyle name="Финансовый 6 7 2 2 2 5" xfId="0"/>
    <cellStyle name="Финансовый 6 7 2 2 3" xfId="0"/>
    <cellStyle name="Финансовый 6 7 2 2 4" xfId="0"/>
    <cellStyle name="Финансовый 6 7 2 2 5" xfId="0"/>
    <cellStyle name="Финансовый 6 7 2 2 6" xfId="0"/>
    <cellStyle name="Финансовый 6 7 2 3" xfId="0"/>
    <cellStyle name="Финансовый 6 7 2 3 2" xfId="0"/>
    <cellStyle name="Финансовый 6 7 2 3 3" xfId="0"/>
    <cellStyle name="Финансовый 6 7 2 3 4" xfId="0"/>
    <cellStyle name="Финансовый 6 7 2 3 5" xfId="0"/>
    <cellStyle name="Финансовый 6 7 2 4" xfId="0"/>
    <cellStyle name="Финансовый 6 7 2 5" xfId="0"/>
    <cellStyle name="Финансовый 6 7 2 6" xfId="0"/>
    <cellStyle name="Финансовый 6 7 2 7" xfId="0"/>
    <cellStyle name="Финансовый 6 7 3" xfId="0"/>
    <cellStyle name="Финансовый 6 7 3 2" xfId="0"/>
    <cellStyle name="Финансовый 6 7 3 2 2" xfId="0"/>
    <cellStyle name="Финансовый 6 7 3 2 3" xfId="0"/>
    <cellStyle name="Финансовый 6 7 3 2 4" xfId="0"/>
    <cellStyle name="Финансовый 6 7 3 2 5" xfId="0"/>
    <cellStyle name="Финансовый 6 7 3 3" xfId="0"/>
    <cellStyle name="Финансовый 6 7 3 4" xfId="0"/>
    <cellStyle name="Финансовый 6 7 3 5" xfId="0"/>
    <cellStyle name="Финансовый 6 7 3 6" xfId="0"/>
    <cellStyle name="Финансовый 6 7 4" xfId="0"/>
    <cellStyle name="Финансовый 6 7 4 2" xfId="0"/>
    <cellStyle name="Финансовый 6 7 4 2 2" xfId="0"/>
    <cellStyle name="Финансовый 6 7 4 2 3" xfId="0"/>
    <cellStyle name="Финансовый 6 7 4 2 4" xfId="0"/>
    <cellStyle name="Финансовый 6 7 4 2 5" xfId="0"/>
    <cellStyle name="Финансовый 6 7 4 3" xfId="0"/>
    <cellStyle name="Финансовый 6 7 4 4" xfId="0"/>
    <cellStyle name="Финансовый 6 7 4 5" xfId="0"/>
    <cellStyle name="Финансовый 6 7 4 6" xfId="0"/>
    <cellStyle name="Финансовый 6 7 5" xfId="0"/>
    <cellStyle name="Финансовый 6 7 5 2" xfId="0"/>
    <cellStyle name="Финансовый 6 7 5 2 2" xfId="0"/>
    <cellStyle name="Финансовый 6 7 5 2 3" xfId="0"/>
    <cellStyle name="Финансовый 6 7 5 2 4" xfId="0"/>
    <cellStyle name="Финансовый 6 7 5 2 5" xfId="0"/>
    <cellStyle name="Финансовый 6 7 5 3" xfId="0"/>
    <cellStyle name="Финансовый 6 7 5 4" xfId="0"/>
    <cellStyle name="Финансовый 6 7 5 5" xfId="0"/>
    <cellStyle name="Финансовый 6 7 5 6" xfId="0"/>
    <cellStyle name="Финансовый 6 7 6" xfId="0"/>
    <cellStyle name="Финансовый 6 7 6 2" xfId="0"/>
    <cellStyle name="Финансовый 6 7 6 3" xfId="0"/>
    <cellStyle name="Финансовый 6 7 6 4" xfId="0"/>
    <cellStyle name="Финансовый 6 7 6 5" xfId="0"/>
    <cellStyle name="Финансовый 6 7 7" xfId="0"/>
    <cellStyle name="Финансовый 6 7 7 2" xfId="0"/>
    <cellStyle name="Финансовый 6 7 7 3" xfId="0"/>
    <cellStyle name="Финансовый 6 7 7 4" xfId="0"/>
    <cellStyle name="Финансовый 6 7 7 5" xfId="0"/>
    <cellStyle name="Финансовый 6 7 8" xfId="0"/>
    <cellStyle name="Финансовый 6 7 9" xfId="0"/>
    <cellStyle name="Финансовый 6 8" xfId="0"/>
    <cellStyle name="Финансовый 6 8 2" xfId="0"/>
    <cellStyle name="Финансовый 6 8 2 2" xfId="0"/>
    <cellStyle name="Финансовый 6 8 2 2 2" xfId="0"/>
    <cellStyle name="Финансовый 6 8 2 2 3" xfId="0"/>
    <cellStyle name="Финансовый 6 8 2 2 4" xfId="0"/>
    <cellStyle name="Финансовый 6 8 2 2 5" xfId="0"/>
    <cellStyle name="Финансовый 6 8 2 3" xfId="0"/>
    <cellStyle name="Финансовый 6 8 2 4" xfId="0"/>
    <cellStyle name="Финансовый 6 8 2 5" xfId="0"/>
    <cellStyle name="Финансовый 6 8 2 6" xfId="0"/>
    <cellStyle name="Финансовый 6 8 3" xfId="0"/>
    <cellStyle name="Финансовый 6 8 3 2" xfId="0"/>
    <cellStyle name="Финансовый 6 8 3 3" xfId="0"/>
    <cellStyle name="Финансовый 6 8 3 4" xfId="0"/>
    <cellStyle name="Финансовый 6 8 3 5" xfId="0"/>
    <cellStyle name="Финансовый 6 8 4" xfId="0"/>
    <cellStyle name="Финансовый 6 8 5" xfId="0"/>
    <cellStyle name="Финансовый 6 8 6" xfId="0"/>
    <cellStyle name="Финансовый 6 8 7" xfId="0"/>
    <cellStyle name="Финансовый 6 9" xfId="0"/>
    <cellStyle name="Финансовый 6 9 2" xfId="0"/>
    <cellStyle name="Финансовый 6 9 2 2" xfId="0"/>
    <cellStyle name="Финансовый 6 9 2 3" xfId="0"/>
    <cellStyle name="Финансовый 6 9 2 4" xfId="0"/>
    <cellStyle name="Финансовый 6 9 2 5" xfId="0"/>
    <cellStyle name="Финансовый 6 9 3" xfId="0"/>
    <cellStyle name="Финансовый 6 9 4" xfId="0"/>
    <cellStyle name="Финансовый 6 9 5" xfId="0"/>
    <cellStyle name="Финансовый 6 9 6" xfId="0"/>
    <cellStyle name="Финансовый 7" xfId="0"/>
    <cellStyle name="Финансовый 7 2" xfId="0"/>
    <cellStyle name="Финансовый 7 2 10" xfId="0"/>
    <cellStyle name="Финансовый 7 2 11" xfId="0"/>
    <cellStyle name="Финансовый 7 2 12" xfId="0"/>
    <cellStyle name="Финансовый 7 2 13" xfId="0"/>
    <cellStyle name="Финансовый 7 2 2" xfId="0"/>
    <cellStyle name="Финансовый 7 2 2 2" xfId="0"/>
    <cellStyle name="Финансовый 7 2 2 2 2" xfId="0"/>
    <cellStyle name="Финансовый 7 2 2 2 2 2" xfId="0"/>
    <cellStyle name="Финансовый 7 2 2 2 2 3" xfId="0"/>
    <cellStyle name="Финансовый 7 2 2 2 2 4" xfId="0"/>
    <cellStyle name="Финансовый 7 2 2 2 2 5" xfId="0"/>
    <cellStyle name="Финансовый 7 2 2 2 3" xfId="0"/>
    <cellStyle name="Финансовый 7 2 2 2 4" xfId="0"/>
    <cellStyle name="Финансовый 7 2 2 2 5" xfId="0"/>
    <cellStyle name="Финансовый 7 2 2 2 6" xfId="0"/>
    <cellStyle name="Финансовый 7 2 2 3" xfId="0"/>
    <cellStyle name="Финансовый 7 2 2 3 2" xfId="0"/>
    <cellStyle name="Финансовый 7 2 2 3 3" xfId="0"/>
    <cellStyle name="Финансовый 7 2 2 3 4" xfId="0"/>
    <cellStyle name="Финансовый 7 2 2 3 5" xfId="0"/>
    <cellStyle name="Финансовый 7 2 2 4" xfId="0"/>
    <cellStyle name="Финансовый 7 2 2 5" xfId="0"/>
    <cellStyle name="Финансовый 7 2 2 6" xfId="0"/>
    <cellStyle name="Финансовый 7 2 2 7" xfId="0"/>
    <cellStyle name="Финансовый 7 2 3" xfId="0"/>
    <cellStyle name="Финансовый 7 2 3 2" xfId="0"/>
    <cellStyle name="Финансовый 7 2 3 2 2" xfId="0"/>
    <cellStyle name="Финансовый 7 2 3 2 3" xfId="0"/>
    <cellStyle name="Финансовый 7 2 3 2 4" xfId="0"/>
    <cellStyle name="Финансовый 7 2 3 2 5" xfId="0"/>
    <cellStyle name="Финансовый 7 2 3 3" xfId="0"/>
    <cellStyle name="Финансовый 7 2 3 4" xfId="0"/>
    <cellStyle name="Финансовый 7 2 3 5" xfId="0"/>
    <cellStyle name="Финансовый 7 2 3 6" xfId="0"/>
    <cellStyle name="Финансовый 7 2 4" xfId="0"/>
    <cellStyle name="Финансовый 7 2 4 2" xfId="0"/>
    <cellStyle name="Финансовый 7 2 4 2 2" xfId="0"/>
    <cellStyle name="Финансовый 7 2 4 2 3" xfId="0"/>
    <cellStyle name="Финансовый 7 2 4 2 4" xfId="0"/>
    <cellStyle name="Финансовый 7 2 4 2 5" xfId="0"/>
    <cellStyle name="Финансовый 7 2 4 3" xfId="0"/>
    <cellStyle name="Финансовый 7 2 4 4" xfId="0"/>
    <cellStyle name="Финансовый 7 2 4 5" xfId="0"/>
    <cellStyle name="Финансовый 7 2 4 6" xfId="0"/>
    <cellStyle name="Финансовый 7 2 5" xfId="0"/>
    <cellStyle name="Финансовый 7 2 5 2" xfId="0"/>
    <cellStyle name="Финансовый 7 2 5 2 2" xfId="0"/>
    <cellStyle name="Финансовый 7 2 5 2 3" xfId="0"/>
    <cellStyle name="Финансовый 7 2 5 2 4" xfId="0"/>
    <cellStyle name="Финансовый 7 2 5 2 5" xfId="0"/>
    <cellStyle name="Финансовый 7 2 5 3" xfId="0"/>
    <cellStyle name="Финансовый 7 2 5 4" xfId="0"/>
    <cellStyle name="Финансовый 7 2 5 5" xfId="0"/>
    <cellStyle name="Финансовый 7 2 5 6" xfId="0"/>
    <cellStyle name="Финансовый 7 2 6" xfId="0"/>
    <cellStyle name="Финансовый 7 2 6 2" xfId="0"/>
    <cellStyle name="Финансовый 7 2 6 2 2" xfId="0"/>
    <cellStyle name="Финансовый 7 2 6 2 3" xfId="0"/>
    <cellStyle name="Финансовый 7 2 6 2 4" xfId="0"/>
    <cellStyle name="Финансовый 7 2 6 2 5" xfId="0"/>
    <cellStyle name="Финансовый 7 2 6 3" xfId="0"/>
    <cellStyle name="Финансовый 7 2 6 4" xfId="0"/>
    <cellStyle name="Финансовый 7 2 6 5" xfId="0"/>
    <cellStyle name="Финансовый 7 2 6 6" xfId="0"/>
    <cellStyle name="Финансовый 7 2 7" xfId="0"/>
    <cellStyle name="Финансовый 7 2 7 2" xfId="0"/>
    <cellStyle name="Финансовый 7 2 7 3" xfId="0"/>
    <cellStyle name="Финансовый 7 2 7 4" xfId="0"/>
    <cellStyle name="Финансовый 7 2 7 5" xfId="0"/>
    <cellStyle name="Финансовый 7 2 8" xfId="0"/>
    <cellStyle name="Финансовый 7 2 8 2" xfId="0"/>
    <cellStyle name="Финансовый 7 2 8 3" xfId="0"/>
    <cellStyle name="Финансовый 7 2 8 4" xfId="0"/>
    <cellStyle name="Финансовый 7 2 8 5" xfId="0"/>
    <cellStyle name="Финансовый 7 2 9" xfId="0"/>
    <cellStyle name="Финансовый 7 3" xfId="0"/>
    <cellStyle name="Финансовый 7 3 10" xfId="0"/>
    <cellStyle name="Финансовый 7 3 2" xfId="0"/>
    <cellStyle name="Финансовый 7 3 2 2" xfId="0"/>
    <cellStyle name="Финансовый 7 3 2 2 2" xfId="0"/>
    <cellStyle name="Финансовый 7 3 2 2 2 2" xfId="0"/>
    <cellStyle name="Финансовый 7 3 2 2 2 3" xfId="0"/>
    <cellStyle name="Финансовый 7 3 2 2 2 4" xfId="0"/>
    <cellStyle name="Финансовый 7 3 2 2 2 5" xfId="0"/>
    <cellStyle name="Финансовый 7 3 2 2 3" xfId="0"/>
    <cellStyle name="Финансовый 7 3 2 2 4" xfId="0"/>
    <cellStyle name="Финансовый 7 3 2 2 5" xfId="0"/>
    <cellStyle name="Финансовый 7 3 2 2 6" xfId="0"/>
    <cellStyle name="Финансовый 7 3 2 3" xfId="0"/>
    <cellStyle name="Финансовый 7 3 2 3 2" xfId="0"/>
    <cellStyle name="Финансовый 7 3 2 3 3" xfId="0"/>
    <cellStyle name="Финансовый 7 3 2 3 4" xfId="0"/>
    <cellStyle name="Финансовый 7 3 2 3 5" xfId="0"/>
    <cellStyle name="Финансовый 7 3 2 4" xfId="0"/>
    <cellStyle name="Финансовый 7 3 2 5" xfId="0"/>
    <cellStyle name="Финансовый 7 3 2 6" xfId="0"/>
    <cellStyle name="Финансовый 7 3 2 7" xfId="0"/>
    <cellStyle name="Финансовый 7 3 3" xfId="0"/>
    <cellStyle name="Финансовый 7 3 3 2" xfId="0"/>
    <cellStyle name="Финансовый 7 3 3 2 2" xfId="0"/>
    <cellStyle name="Финансовый 7 3 3 2 3" xfId="0"/>
    <cellStyle name="Финансовый 7 3 3 2 4" xfId="0"/>
    <cellStyle name="Финансовый 7 3 3 2 5" xfId="0"/>
    <cellStyle name="Финансовый 7 3 3 3" xfId="0"/>
    <cellStyle name="Финансовый 7 3 3 4" xfId="0"/>
    <cellStyle name="Финансовый 7 3 3 5" xfId="0"/>
    <cellStyle name="Финансовый 7 3 3 6" xfId="0"/>
    <cellStyle name="Финансовый 7 3 4" xfId="0"/>
    <cellStyle name="Финансовый 7 3 4 2" xfId="0"/>
    <cellStyle name="Финансовый 7 3 4 2 2" xfId="0"/>
    <cellStyle name="Финансовый 7 3 4 2 3" xfId="0"/>
    <cellStyle name="Финансовый 7 3 4 2 4" xfId="0"/>
    <cellStyle name="Финансовый 7 3 4 2 5" xfId="0"/>
    <cellStyle name="Финансовый 7 3 4 3" xfId="0"/>
    <cellStyle name="Финансовый 7 3 4 4" xfId="0"/>
    <cellStyle name="Финансовый 7 3 4 5" xfId="0"/>
    <cellStyle name="Финансовый 7 3 4 6" xfId="0"/>
    <cellStyle name="Финансовый 7 3 5" xfId="0"/>
    <cellStyle name="Финансовый 7 3 5 2" xfId="0"/>
    <cellStyle name="Финансовый 7 3 5 2 2" xfId="0"/>
    <cellStyle name="Финансовый 7 3 5 2 3" xfId="0"/>
    <cellStyle name="Финансовый 7 3 5 2 4" xfId="0"/>
    <cellStyle name="Финансовый 7 3 5 2 5" xfId="0"/>
    <cellStyle name="Финансовый 7 3 5 3" xfId="0"/>
    <cellStyle name="Финансовый 7 3 5 4" xfId="0"/>
    <cellStyle name="Финансовый 7 3 5 5" xfId="0"/>
    <cellStyle name="Финансовый 7 3 5 6" xfId="0"/>
    <cellStyle name="Финансовый 7 3 6" xfId="0"/>
    <cellStyle name="Финансовый 7 3 6 2" xfId="0"/>
    <cellStyle name="Финансовый 7 3 6 3" xfId="0"/>
    <cellStyle name="Финансовый 7 3 6 4" xfId="0"/>
    <cellStyle name="Финансовый 7 3 6 5" xfId="0"/>
    <cellStyle name="Финансовый 7 3 7" xfId="0"/>
    <cellStyle name="Финансовый 7 3 8" xfId="0"/>
    <cellStyle name="Финансовый 7 3 9" xfId="0"/>
    <cellStyle name="Финансовый 7 4" xfId="0"/>
    <cellStyle name="Финансовый 7 4 2" xfId="0"/>
    <cellStyle name="Финансовый 7 4 2 2" xfId="0"/>
    <cellStyle name="Финансовый 7 4 2 3" xfId="0"/>
    <cellStyle name="Финансовый 7 4 2 4" xfId="0"/>
    <cellStyle name="Финансовый 7 4 2 5" xfId="0"/>
    <cellStyle name="Финансовый 7 4 3" xfId="0"/>
    <cellStyle name="Финансовый 7 4 4" xfId="0"/>
    <cellStyle name="Финансовый 7 4 5" xfId="0"/>
    <cellStyle name="Финансовый 7 4 6" xfId="0"/>
    <cellStyle name="Финансовый 7 5" xfId="0"/>
    <cellStyle name="Финансовый 7 6" xfId="0"/>
    <cellStyle name="Финансовый 7 6 2" xfId="0"/>
    <cellStyle name="Финансовый 7 6 3" xfId="0"/>
    <cellStyle name="Финансовый 7 6 4" xfId="0"/>
    <cellStyle name="Финансовый 7 6 5" xfId="0"/>
    <cellStyle name="Финансовый 7 7" xfId="0"/>
    <cellStyle name="Финансовый 8" xfId="0"/>
    <cellStyle name="Финансовый 8 2" xfId="0"/>
    <cellStyle name="Финансовый 8 3" xfId="0"/>
    <cellStyle name="Финансовый 9" xfId="0"/>
    <cellStyle name="Финансовый 9 2" xfId="0"/>
    <cellStyle name="Финансовый 9 2 10" xfId="0"/>
    <cellStyle name="Финансовый 9 2 11" xfId="0"/>
    <cellStyle name="Финансовый 9 2 12" xfId="0"/>
    <cellStyle name="Финансовый 9 2 13" xfId="0"/>
    <cellStyle name="Финансовый 9 2 2" xfId="0"/>
    <cellStyle name="Финансовый 9 2 2 2" xfId="0"/>
    <cellStyle name="Финансовый 9 2 2 2 2" xfId="0"/>
    <cellStyle name="Финансовый 9 2 2 2 2 2" xfId="0"/>
    <cellStyle name="Финансовый 9 2 2 2 2 3" xfId="0"/>
    <cellStyle name="Финансовый 9 2 2 2 2 4" xfId="0"/>
    <cellStyle name="Финансовый 9 2 2 2 2 5" xfId="0"/>
    <cellStyle name="Финансовый 9 2 2 2 3" xfId="0"/>
    <cellStyle name="Финансовый 9 2 2 2 4" xfId="0"/>
    <cellStyle name="Финансовый 9 2 2 2 5" xfId="0"/>
    <cellStyle name="Финансовый 9 2 2 2 6" xfId="0"/>
    <cellStyle name="Финансовый 9 2 2 3" xfId="0"/>
    <cellStyle name="Финансовый 9 2 2 3 2" xfId="0"/>
    <cellStyle name="Финансовый 9 2 2 3 3" xfId="0"/>
    <cellStyle name="Финансовый 9 2 2 3 4" xfId="0"/>
    <cellStyle name="Финансовый 9 2 2 3 5" xfId="0"/>
    <cellStyle name="Финансовый 9 2 2 4" xfId="0"/>
    <cellStyle name="Финансовый 9 2 2 5" xfId="0"/>
    <cellStyle name="Финансовый 9 2 2 6" xfId="0"/>
    <cellStyle name="Финансовый 9 2 2 7" xfId="0"/>
    <cellStyle name="Финансовый 9 2 3" xfId="0"/>
    <cellStyle name="Финансовый 9 2 3 2" xfId="0"/>
    <cellStyle name="Финансовый 9 2 3 2 2" xfId="0"/>
    <cellStyle name="Финансовый 9 2 3 2 3" xfId="0"/>
    <cellStyle name="Финансовый 9 2 3 2 4" xfId="0"/>
    <cellStyle name="Финансовый 9 2 3 2 5" xfId="0"/>
    <cellStyle name="Финансовый 9 2 3 3" xfId="0"/>
    <cellStyle name="Финансовый 9 2 3 4" xfId="0"/>
    <cellStyle name="Финансовый 9 2 3 5" xfId="0"/>
    <cellStyle name="Финансовый 9 2 3 6" xfId="0"/>
    <cellStyle name="Финансовый 9 2 4" xfId="0"/>
    <cellStyle name="Финансовый 9 2 4 2" xfId="0"/>
    <cellStyle name="Финансовый 9 2 4 2 2" xfId="0"/>
    <cellStyle name="Финансовый 9 2 4 2 3" xfId="0"/>
    <cellStyle name="Финансовый 9 2 4 2 4" xfId="0"/>
    <cellStyle name="Финансовый 9 2 4 2 5" xfId="0"/>
    <cellStyle name="Финансовый 9 2 4 3" xfId="0"/>
    <cellStyle name="Финансовый 9 2 4 4" xfId="0"/>
    <cellStyle name="Финансовый 9 2 4 5" xfId="0"/>
    <cellStyle name="Финансовый 9 2 4 6" xfId="0"/>
    <cellStyle name="Финансовый 9 2 5" xfId="0"/>
    <cellStyle name="Финансовый 9 2 5 2" xfId="0"/>
    <cellStyle name="Финансовый 9 2 5 2 2" xfId="0"/>
    <cellStyle name="Финансовый 9 2 5 2 3" xfId="0"/>
    <cellStyle name="Финансовый 9 2 5 2 4" xfId="0"/>
    <cellStyle name="Финансовый 9 2 5 2 5" xfId="0"/>
    <cellStyle name="Финансовый 9 2 5 3" xfId="0"/>
    <cellStyle name="Финансовый 9 2 5 4" xfId="0"/>
    <cellStyle name="Финансовый 9 2 5 5" xfId="0"/>
    <cellStyle name="Финансовый 9 2 5 6" xfId="0"/>
    <cellStyle name="Финансовый 9 2 6" xfId="0"/>
    <cellStyle name="Финансовый 9 2 6 2" xfId="0"/>
    <cellStyle name="Финансовый 9 2 6 2 2" xfId="0"/>
    <cellStyle name="Финансовый 9 2 6 2 3" xfId="0"/>
    <cellStyle name="Финансовый 9 2 6 2 4" xfId="0"/>
    <cellStyle name="Финансовый 9 2 6 2 5" xfId="0"/>
    <cellStyle name="Финансовый 9 2 6 3" xfId="0"/>
    <cellStyle name="Финансовый 9 2 6 4" xfId="0"/>
    <cellStyle name="Финансовый 9 2 6 5" xfId="0"/>
    <cellStyle name="Финансовый 9 2 6 6" xfId="0"/>
    <cellStyle name="Финансовый 9 2 7" xfId="0"/>
    <cellStyle name="Финансовый 9 2 7 2" xfId="0"/>
    <cellStyle name="Финансовый 9 2 7 3" xfId="0"/>
    <cellStyle name="Финансовый 9 2 7 4" xfId="0"/>
    <cellStyle name="Финансовый 9 2 7 5" xfId="0"/>
    <cellStyle name="Финансовый 9 2 8" xfId="0"/>
    <cellStyle name="Финансовый 9 2 8 2" xfId="0"/>
    <cellStyle name="Финансовый 9 2 8 3" xfId="0"/>
    <cellStyle name="Финансовый 9 2 8 4" xfId="0"/>
    <cellStyle name="Финансовый 9 2 8 5" xfId="0"/>
    <cellStyle name="Финансовый 9 2 9" xfId="0"/>
    <cellStyle name="Финансовый 9 3" xfId="0"/>
    <cellStyle name="Финансовый 9 3 10" xfId="0"/>
    <cellStyle name="Финансовый 9 3 2" xfId="0"/>
    <cellStyle name="Финансовый 9 3 2 2" xfId="0"/>
    <cellStyle name="Финансовый 9 3 2 2 2" xfId="0"/>
    <cellStyle name="Финансовый 9 3 2 2 2 2" xfId="0"/>
    <cellStyle name="Финансовый 9 3 2 2 2 3" xfId="0"/>
    <cellStyle name="Финансовый 9 3 2 2 2 4" xfId="0"/>
    <cellStyle name="Финансовый 9 3 2 2 2 5" xfId="0"/>
    <cellStyle name="Финансовый 9 3 2 2 3" xfId="0"/>
    <cellStyle name="Финансовый 9 3 2 2 4" xfId="0"/>
    <cellStyle name="Финансовый 9 3 2 2 5" xfId="0"/>
    <cellStyle name="Финансовый 9 3 2 2 6" xfId="0"/>
    <cellStyle name="Финансовый 9 3 2 3" xfId="0"/>
    <cellStyle name="Финансовый 9 3 2 3 2" xfId="0"/>
    <cellStyle name="Финансовый 9 3 2 3 3" xfId="0"/>
    <cellStyle name="Финансовый 9 3 2 3 4" xfId="0"/>
    <cellStyle name="Финансовый 9 3 2 3 5" xfId="0"/>
    <cellStyle name="Финансовый 9 3 2 4" xfId="0"/>
    <cellStyle name="Финансовый 9 3 2 5" xfId="0"/>
    <cellStyle name="Финансовый 9 3 2 6" xfId="0"/>
    <cellStyle name="Финансовый 9 3 2 7" xfId="0"/>
    <cellStyle name="Финансовый 9 3 3" xfId="0"/>
    <cellStyle name="Финансовый 9 3 3 2" xfId="0"/>
    <cellStyle name="Финансовый 9 3 3 2 2" xfId="0"/>
    <cellStyle name="Финансовый 9 3 3 2 3" xfId="0"/>
    <cellStyle name="Финансовый 9 3 3 2 4" xfId="0"/>
    <cellStyle name="Финансовый 9 3 3 2 5" xfId="0"/>
    <cellStyle name="Финансовый 9 3 3 3" xfId="0"/>
    <cellStyle name="Финансовый 9 3 3 4" xfId="0"/>
    <cellStyle name="Финансовый 9 3 3 5" xfId="0"/>
    <cellStyle name="Финансовый 9 3 3 6" xfId="0"/>
    <cellStyle name="Финансовый 9 3 4" xfId="0"/>
    <cellStyle name="Финансовый 9 3 4 2" xfId="0"/>
    <cellStyle name="Финансовый 9 3 4 2 2" xfId="0"/>
    <cellStyle name="Финансовый 9 3 4 2 3" xfId="0"/>
    <cellStyle name="Финансовый 9 3 4 2 4" xfId="0"/>
    <cellStyle name="Финансовый 9 3 4 2 5" xfId="0"/>
    <cellStyle name="Финансовый 9 3 4 3" xfId="0"/>
    <cellStyle name="Финансовый 9 3 4 4" xfId="0"/>
    <cellStyle name="Финансовый 9 3 4 5" xfId="0"/>
    <cellStyle name="Финансовый 9 3 4 6" xfId="0"/>
    <cellStyle name="Финансовый 9 3 5" xfId="0"/>
    <cellStyle name="Финансовый 9 3 5 2" xfId="0"/>
    <cellStyle name="Финансовый 9 3 5 2 2" xfId="0"/>
    <cellStyle name="Финансовый 9 3 5 2 3" xfId="0"/>
    <cellStyle name="Финансовый 9 3 5 2 4" xfId="0"/>
    <cellStyle name="Финансовый 9 3 5 2 5" xfId="0"/>
    <cellStyle name="Финансовый 9 3 5 3" xfId="0"/>
    <cellStyle name="Финансовый 9 3 5 4" xfId="0"/>
    <cellStyle name="Финансовый 9 3 5 5" xfId="0"/>
    <cellStyle name="Финансовый 9 3 5 6" xfId="0"/>
    <cellStyle name="Финансовый 9 3 6" xfId="0"/>
    <cellStyle name="Финансовый 9 3 6 2" xfId="0"/>
    <cellStyle name="Финансовый 9 3 6 3" xfId="0"/>
    <cellStyle name="Финансовый 9 3 6 4" xfId="0"/>
    <cellStyle name="Финансовый 9 3 6 5" xfId="0"/>
    <cellStyle name="Финансовый 9 3 7" xfId="0"/>
    <cellStyle name="Финансовый 9 3 8" xfId="0"/>
    <cellStyle name="Финансовый 9 3 9" xfId="0"/>
    <cellStyle name="Финансовый 9 4" xfId="0"/>
    <cellStyle name="Финансовый 9 4 2" xfId="0"/>
    <cellStyle name="Финансовый 9 4 2 2" xfId="0"/>
    <cellStyle name="Финансовый 9 4 2 3" xfId="0"/>
    <cellStyle name="Финансовый 9 4 2 4" xfId="0"/>
    <cellStyle name="Финансовый 9 4 2 5" xfId="0"/>
    <cellStyle name="Финансовый 9 4 3" xfId="0"/>
    <cellStyle name="Финансовый 9 4 4" xfId="0"/>
    <cellStyle name="Финансовый 9 4 5" xfId="0"/>
    <cellStyle name="Финансовый 9 4 6" xfId="0"/>
    <cellStyle name="Финансовый 9 5" xfId="0"/>
    <cellStyle name="Финансовый 9 6" xfId="0"/>
    <cellStyle name="Финансовый 9 6 2" xfId="0"/>
    <cellStyle name="Финансовый 9 6 3" xfId="0"/>
    <cellStyle name="Финансовый 9 6 4" xfId="0"/>
    <cellStyle name="Финансовый 9 6 5" xfId="0"/>
    <cellStyle name="Финансовый 9 7" xfId="0"/>
    <cellStyle name="Хороший 1" xfId="0"/>
    <cellStyle name="Хороший 2" xfId="0"/>
    <cellStyle name="Хороший 2 2" xfId="0"/>
    <cellStyle name="Хороший 3" xfId="0"/>
    <cellStyle name="Хороший 4" xfId="0"/>
    <cellStyle name="вагоны" xfId="0"/>
    <cellStyle name="вагоны 1" xfId="0"/>
    <cellStyle name="вагоны 1 2" xfId="0"/>
    <cellStyle name="вагоны 1 3" xfId="0"/>
    <cellStyle name="вагоны 2" xfId="0"/>
    <cellStyle name="вагоны 2 2" xfId="0"/>
    <cellStyle name="вагоны 2 3" xfId="0"/>
    <cellStyle name="вагоны 3" xfId="0"/>
    <cellStyle name="вагоны 3 2" xfId="0"/>
    <cellStyle name="вагоны 3 3" xfId="0"/>
    <cellStyle name="вагоны 4" xfId="0"/>
    <cellStyle name="вагоны 5" xfId="0"/>
    <cellStyle name="вагоны_АГМ" xfId="0"/>
    <cellStyle name="мои_цифры" xfId="0"/>
    <cellStyle name="мой" xfId="0"/>
    <cellStyle name="мой 1" xfId="0"/>
    <cellStyle name="мой 1 2" xfId="0"/>
    <cellStyle name="мой 2" xfId="0"/>
    <cellStyle name="мой 2 2" xfId="0"/>
    <cellStyle name="мой 3" xfId="0"/>
    <cellStyle name="мой 3 2" xfId="0"/>
    <cellStyle name="мой 4" xfId="0"/>
    <cellStyle name="мой_Б затрат и себестоимости растениеводства  2010 " xfId="0"/>
    <cellStyle name="проба" xfId="0"/>
    <cellStyle name="проба 1" xfId="0"/>
    <cellStyle name="проба 2" xfId="0"/>
    <cellStyle name="проба 3" xfId="0"/>
    <cellStyle name="тонны" xfId="0"/>
    <cellStyle name="тонны 1" xfId="0"/>
    <cellStyle name="тонны 1 2" xfId="0"/>
    <cellStyle name="тонны 2" xfId="0"/>
    <cellStyle name="тонны 2 2" xfId="0"/>
    <cellStyle name="тонны 3" xfId="0"/>
    <cellStyle name="тонны 3 2" xfId="0"/>
    <cellStyle name="тонны 4" xfId="0"/>
    <cellStyle name="тонны_АГМ" xfId="0"/>
  </cellStyles>
  <dxfs count="32">
    <dxf>
      <fill>
        <patternFill patternType="solid">
          <fgColor rgb="FFA6A6A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D0CECE"/>
          <bgColor rgb="FF000000"/>
        </patternFill>
      </fill>
    </dxf>
    <dxf>
      <fill>
        <patternFill patternType="solid">
          <fgColor rgb="FF4B4B4B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/>
    <dxf/>
    <dxf>
      <numFmt numFmtId="164" formatCode="#,##0.0"/>
    </dxf>
    <dxf/>
    <dxf/>
    <dxf/>
    <dxf/>
    <dxf/>
    <dxf>
      <numFmt numFmtId="164" formatCode="#,##0.0"/>
    </dxf>
    <dxf/>
    <dxf/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65" formatCode="#,##0"/>
    </dxf>
    <dxf/>
    <dxf/>
    <dxf/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EFF0EF"/>
      <rgbColor rgb="FF009810"/>
      <rgbColor rgb="FFFFFFAE"/>
      <rgbColor rgb="FF7F7F7F"/>
      <rgbColor rgb="FF800080"/>
      <rgbColor rgb="FF0863BE"/>
      <rgbColor rgb="FFC0C0C0"/>
      <rgbColor rgb="FF808080"/>
      <rgbColor rgb="FF7A91B2"/>
      <rgbColor rgb="FF7030A0"/>
      <rgbColor rgb="FFFFFFCC"/>
      <rgbColor rgb="FFCCFFFF"/>
      <rgbColor rgb="FFF8EEC6"/>
      <rgbColor rgb="FFFF8080"/>
      <rgbColor rgb="FF0066CC"/>
      <rgbColor rgb="FFCCCCFF"/>
      <rgbColor rgb="FFFFFFE6"/>
      <rgbColor rgb="FFD9D9D9"/>
      <rgbColor rgb="FFFFC000"/>
      <rgbColor rgb="FFBFBFBF"/>
      <rgbColor rgb="FFFBE5D6"/>
      <rgbColor rgb="FFF2F2F2"/>
      <rgbColor rgb="FFAFABAB"/>
      <rgbColor rgb="FFF5FFFA"/>
      <rgbColor rgb="FFA6C5E7"/>
      <rgbColor rgb="FFDEEBF7"/>
      <rgbColor rgb="FFCCFFCC"/>
      <rgbColor rgb="FFFFFF99"/>
      <rgbColor rgb="FF99CCFF"/>
      <rgbColor rgb="FFFF99CC"/>
      <rgbColor rgb="FFCB98FF"/>
      <rgbColor rgb="FFFFCC99"/>
      <rgbColor rgb="FFA6A6A6"/>
      <rgbColor rgb="FF33CCCC"/>
      <rgbColor rgb="FFCBC084"/>
      <rgbColor rgb="FFFFCC00"/>
      <rgbColor rgb="FFFE9900"/>
      <rgbColor rgb="FFFF6600"/>
      <rgbColor rgb="FF767171"/>
      <rgbColor rgb="FF969696"/>
      <rgbColor rgb="FF003366"/>
      <rgbColor rgb="FF339966"/>
      <rgbColor rgb="FF4A4C4F"/>
      <rgbColor rgb="FF404040"/>
      <rgbColor rgb="FFD0D1CD"/>
      <rgbColor rgb="FF5F533E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<Relationship Id="rId28" Type="http://schemas.openxmlformats.org/officeDocument/2006/relationships/pivotCacheDefinition" Target="pivotCache/pivotCacheDefinition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ru-RU" sz="1800" strike="noStrike" u="none">
                <a:solidFill>
                  <a:srgbClr val="000000"/>
                </a:solidFill>
                <a:uFillTx/>
                <a:latin typeface="Bahnschrift"/>
              </a:rPr>
              <a:t>Статистика</a:t>
            </a:r>
            <a:r>
              <a:rPr b="0" lang="ru-RU" sz="1800" strike="noStrike" u="none">
                <a:solidFill>
                  <a:srgbClr val="000000"/>
                </a:solidFill>
                <a:uFillTx/>
                <a:latin typeface="Bahnschrift"/>
              </a:rPr>
              <a:t> уборки за 2022-2026 гг.</a:t>
            </a:r>
          </a:p>
        </c:rich>
      </c:tx>
      <c:layout>
        <c:manualLayout>
          <c:xMode val="edge"/>
          <c:yMode val="edge"/>
          <c:x val="0.0143508127593008"/>
          <c:y val="0.0588749890648237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'ОПЕРФАКТ 2026'!$B$81</c:f>
              <c:strCache>
                <c:ptCount val="1"/>
                <c:pt idx="0">
                  <c:v>Агролидер</c:v>
                </c:pt>
              </c:strCache>
            </c:strRef>
          </c:tx>
          <c:spPr>
            <a:solidFill>
              <a:srgbClr val="7030a0">
                <a:alpha val="50000"/>
              </a:srgbClr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7030a0">
                  <a:alpha val="50000"/>
                </a:srgbClr>
              </a:solidFill>
              <a:ln w="0">
                <a:noFill/>
              </a:ln>
            </c:spPr>
          </c:dPt>
          <c:dLbls>
            <c:numFmt formatCode="#,##0" sourceLinked="1"/>
            <c:dLbl>
              <c:idx val="4"/>
              <c:txPr>
                <a:bodyPr wrap="square"/>
                <a:lstStyle/>
                <a:p>
                  <a:pPr>
                    <a:defRPr b="0" sz="1200" strike="noStrike" u="none">
                      <a:solidFill>
                        <a:srgbClr val="404040"/>
                      </a:solidFill>
                      <a:uFillTx/>
                      <a:latin typeface="Bahnschrift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200" strike="noStrike" u="none">
                    <a:solidFill>
                      <a:srgbClr val="404040"/>
                    </a:solidFill>
                    <a:uFillTx/>
                    <a:latin typeface="Bahnschrift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2026'!$C$81:$G$81</c:f>
              <c:numCache>
                <c:formatCode>#,##0</c:formatCode>
                <c:ptCount val="5"/>
                <c:pt idx="3">
                  <c:v>1860.64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'ОПЕРФАКТ 2026'!$B$82</c:f>
              <c:strCache>
                <c:ptCount val="1"/>
                <c:pt idx="0">
                  <c:v>Грин Рэй Кубань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a5a5a5"/>
              </a:solidFill>
              <a:ln w="0">
                <a:noFill/>
              </a:ln>
            </c:spPr>
          </c:dPt>
          <c:dLbls>
            <c:numFmt formatCode="#,##0" sourceLinked="1"/>
            <c:dLbl>
              <c:idx val="4"/>
              <c:layout>
                <c:manualLayout>
                  <c:x val="0.0144404332129964"/>
                  <c:y val="0"/>
                </c:manualLayout>
              </c:layout>
              <c:numFmt formatCode="#,##0" sourceLinked="1"/>
              <c:txPr>
                <a:bodyPr wrap="square"/>
                <a:lstStyle/>
                <a:p>
                  <a:pPr>
                    <a:defRPr b="0" sz="1200" strike="noStrike" u="none">
                      <a:solidFill>
                        <a:srgbClr val="404040"/>
                      </a:solidFill>
                      <a:uFillTx/>
                      <a:latin typeface="Bahnschrift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200" strike="noStrike" u="none">
                    <a:solidFill>
                      <a:srgbClr val="404040"/>
                    </a:solidFill>
                    <a:uFillTx/>
                    <a:latin typeface="Bahnschrift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2026'!$C$82:$G$82</c:f>
              <c:numCache>
                <c:formatCode>#,##0</c:formatCode>
                <c:ptCount val="5"/>
                <c:pt idx="0">
                  <c:v>4513.01</c:v>
                </c:pt>
                <c:pt idx="1">
                  <c:v>4780.11</c:v>
                </c:pt>
                <c:pt idx="2">
                  <c:v>3886.01</c:v>
                </c:pt>
                <c:pt idx="3">
                  <c:v>2362.94</c:v>
                </c:pt>
                <c:pt idx="4">
                  <c:v>1827.89</c:v>
                </c:pt>
              </c:numCache>
            </c:numRef>
          </c:val>
        </c:ser>
        <c:ser>
          <c:idx val="2"/>
          <c:order val="2"/>
          <c:tx>
            <c:strRef>
              <c:f>'ОПЕРФАКТ 2026'!$B$83</c:f>
              <c:strCache>
                <c:ptCount val="1"/>
                <c:pt idx="0">
                  <c:v>Иррико-Холдинг</c:v>
                </c:pt>
              </c:strCache>
            </c:strRef>
          </c:tx>
          <c:spPr>
            <a:solidFill>
              <a:srgbClr val="b4c7e7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b4c7e7"/>
              </a:solidFill>
              <a:ln w="0">
                <a:noFill/>
              </a:ln>
            </c:spPr>
          </c:dPt>
          <c:dLbls>
            <c:numFmt formatCode="#,##0" sourceLinked="1"/>
            <c:dLbl>
              <c:idx val="4"/>
              <c:txPr>
                <a:bodyPr wrap="square"/>
                <a:lstStyle/>
                <a:p>
                  <a:pPr>
                    <a:defRPr b="0" sz="1200" strike="noStrike" u="none">
                      <a:solidFill>
                        <a:srgbClr val="404040"/>
                      </a:solidFill>
                      <a:uFillTx/>
                      <a:latin typeface="Bahnschrift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200" strike="noStrike" u="none">
                    <a:solidFill>
                      <a:srgbClr val="404040"/>
                    </a:solidFill>
                    <a:uFillTx/>
                    <a:latin typeface="Bahnschrift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2026'!$C$83:$G$83</c:f>
              <c:numCache>
                <c:formatCode>#,##0</c:formatCode>
                <c:ptCount val="5"/>
                <c:pt idx="0">
                  <c:v>3647.23</c:v>
                </c:pt>
                <c:pt idx="1">
                  <c:v>5885.83</c:v>
                </c:pt>
                <c:pt idx="2">
                  <c:v>6304.38</c:v>
                </c:pt>
                <c:pt idx="3">
                  <c:v>13741.16</c:v>
                </c:pt>
                <c:pt idx="4">
                  <c:v>0</c:v>
                </c:pt>
              </c:numCache>
            </c:numRef>
          </c:val>
        </c:ser>
        <c:ser>
          <c:idx val="3"/>
          <c:order val="3"/>
          <c:tx>
            <c:strRef>
              <c:f>'ОПЕРФАКТ 2026'!$B$84</c:f>
              <c:strCache>
                <c:ptCount val="1"/>
                <c:pt idx="0">
                  <c:v>им. Кирова</c:v>
                </c:pt>
              </c:strCache>
            </c:strRef>
          </c:tx>
          <c:spPr>
            <a:solidFill>
              <a:srgbClr val="fbe5d6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fbe5d6"/>
              </a:solidFill>
              <a:ln w="0">
                <a:noFill/>
              </a:ln>
            </c:spPr>
          </c:dPt>
          <c:dLbls>
            <c:numFmt formatCode="#,##0" sourceLinked="1"/>
            <c:dLbl>
              <c:idx val="4"/>
              <c:txPr>
                <a:bodyPr wrap="square"/>
                <a:lstStyle/>
                <a:p>
                  <a:pPr>
                    <a:defRPr b="0" sz="1200" strike="noStrike" u="none">
                      <a:solidFill>
                        <a:srgbClr val="404040"/>
                      </a:solidFill>
                      <a:uFillTx/>
                      <a:latin typeface="Bahnschrift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200" strike="noStrike" u="none">
                    <a:solidFill>
                      <a:srgbClr val="404040"/>
                    </a:solidFill>
                    <a:uFillTx/>
                    <a:latin typeface="Bahnschrift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2026'!$C$84:$G$84</c:f>
              <c:numCache>
                <c:formatCode>#,##0</c:formatCode>
                <c:ptCount val="5"/>
                <c:pt idx="0">
                  <c:v>1823.61</c:v>
                </c:pt>
                <c:pt idx="1">
                  <c:v>1986.55</c:v>
                </c:pt>
                <c:pt idx="2">
                  <c:v>3497.07</c:v>
                </c:pt>
                <c:pt idx="3">
                  <c:v>4688.0497</c:v>
                </c:pt>
                <c:pt idx="4">
                  <c:v>0</c:v>
                </c:pt>
              </c:numCache>
            </c:numRef>
          </c:val>
        </c:ser>
        <c:ser>
          <c:idx val="4"/>
          <c:order val="4"/>
          <c:tx>
            <c:strRef>
              <c:f>'ОПЕРФАКТ 2026'!$B$85</c:f>
              <c:strCache>
                <c:ptCount val="1"/>
                <c:pt idx="0">
                  <c:v>Колос</c:v>
                </c:pt>
              </c:strCache>
            </c:strRef>
          </c:tx>
          <c:spPr>
            <a:solidFill>
              <a:srgbClr val="fff2cc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fff2cc"/>
              </a:solidFill>
              <a:ln w="0">
                <a:noFill/>
              </a:ln>
            </c:spPr>
          </c:dPt>
          <c:dLbls>
            <c:numFmt formatCode="#,##0" sourceLinked="1"/>
            <c:dLbl>
              <c:idx val="4"/>
              <c:txPr>
                <a:bodyPr wrap="square"/>
                <a:lstStyle/>
                <a:p>
                  <a:pPr>
                    <a:defRPr b="0" sz="1200" strike="noStrike" u="none">
                      <a:solidFill>
                        <a:srgbClr val="404040"/>
                      </a:solidFill>
                      <a:uFillTx/>
                      <a:latin typeface="Bahnschrift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200" strike="noStrike" u="none">
                    <a:solidFill>
                      <a:srgbClr val="404040"/>
                    </a:solidFill>
                    <a:uFillTx/>
                    <a:latin typeface="Bahnschrift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2026'!$C$85:$G$85</c:f>
              <c:numCache>
                <c:formatCode>#,##0</c:formatCode>
                <c:ptCount val="5"/>
                <c:pt idx="0">
                  <c:v>9977.4</c:v>
                </c:pt>
                <c:pt idx="1">
                  <c:v>10250.58</c:v>
                </c:pt>
                <c:pt idx="2">
                  <c:v>7397.2</c:v>
                </c:pt>
                <c:pt idx="3">
                  <c:v>9223.7003</c:v>
                </c:pt>
                <c:pt idx="4">
                  <c:v>0</c:v>
                </c:pt>
              </c:numCache>
            </c:numRef>
          </c:val>
        </c:ser>
        <c:ser>
          <c:idx val="5"/>
          <c:order val="5"/>
          <c:tx>
            <c:strRef>
              <c:f>'ОПЕРФАКТ 2026'!$B$86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rgbClr val="d6dce5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d6dce5"/>
              </a:solidFill>
              <a:ln w="0">
                <a:noFill/>
              </a:ln>
            </c:spPr>
          </c:dPt>
          <c:dLbls>
            <c:numFmt formatCode="#,##0" sourceLinked="1"/>
            <c:dLbl>
              <c:idx val="4"/>
              <c:txPr>
                <a:bodyPr wrap="square"/>
                <a:lstStyle/>
                <a:p>
                  <a:pPr>
                    <a:defRPr b="0" sz="1200" strike="noStrike" u="none">
                      <a:solidFill>
                        <a:srgbClr val="404040"/>
                      </a:solidFill>
                      <a:uFillTx/>
                      <a:latin typeface="Bahnschrift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200" strike="noStrike" u="none">
                    <a:solidFill>
                      <a:srgbClr val="404040"/>
                    </a:solidFill>
                    <a:uFillTx/>
                    <a:latin typeface="Bahnschrift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2026'!$C$86:$G$86</c:f>
              <c:numCache>
                <c:formatCode>#,##0</c:formatCode>
                <c:ptCount val="5"/>
                <c:pt idx="0">
                  <c:v>11780.65</c:v>
                </c:pt>
                <c:pt idx="1">
                  <c:v>649.830000000002</c:v>
                </c:pt>
                <c:pt idx="2">
                  <c:v>2875.38</c:v>
                </c:pt>
                <c:pt idx="3">
                  <c:v>3223.16</c:v>
                </c:pt>
                <c:pt idx="4">
                  <c:v>0</c:v>
                </c:pt>
              </c:numCache>
            </c:numRef>
          </c:val>
        </c:ser>
        <c:ser>
          <c:idx val="6"/>
          <c:order val="6"/>
          <c:tx>
            <c:strRef>
              <c:f>'ОПЕРФАКТ 2026'!$B$87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rgbClr val="255e91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pattFill prst="ltDnDiag">
                <a:fgClr>
                  <a:srgbClr val="d0cece"/>
                </a:fgClr>
                <a:bgClr>
                  <a:srgbClr val="ffffff"/>
                </a:bgClr>
              </a:pattFill>
              <a:ln w="0">
                <a:noFill/>
              </a:ln>
            </c:spPr>
          </c:dPt>
          <c:dLbls>
            <c:dLbl>
              <c:idx val="4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2026'!$C$87:$G$87</c:f>
              <c:numCache>
                <c:formatCode>#,##0</c:formatCode>
                <c:ptCount val="5"/>
                <c:pt idx="4">
                  <c:v>35365.51</c:v>
                </c:pt>
              </c:numCache>
            </c:numRef>
          </c:val>
        </c:ser>
        <c:gapWidth val="150"/>
        <c:overlap val="100"/>
        <c:axId val="70029154"/>
        <c:axId val="70221527"/>
      </c:barChart>
      <c:catAx>
        <c:axId val="7002915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1200" strike="noStrike" u="none">
                <a:solidFill>
                  <a:srgbClr val="595959"/>
                </a:solidFill>
                <a:uFillTx/>
                <a:latin typeface="Bahnschrift"/>
              </a:defRPr>
            </a:pPr>
          </a:p>
        </c:txPr>
        <c:crossAx val="70221527"/>
        <c:crosses val="autoZero"/>
        <c:auto val="1"/>
        <c:lblAlgn val="ctr"/>
        <c:lblOffset val="100"/>
        <c:noMultiLvlLbl val="0"/>
      </c:catAx>
      <c:valAx>
        <c:axId val="70221527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029154"/>
        <c:crossBetween val="between"/>
      </c:valAx>
      <c:spPr>
        <a:noFill/>
        <a:ln w="0">
          <a:noFill/>
        </a:ln>
      </c:spPr>
    </c:plotArea>
    <c:legend>
      <c:legendPos val="b"/>
      <c:legendEntry>
        <c:idx val="6"/>
        <c:delete val="1"/>
      </c:legendEntry>
      <c:layout>
        <c:manualLayout>
          <c:xMode val="edge"/>
          <c:yMode val="edge"/>
          <c:x val="0.0115217482841383"/>
          <c:y val="0.786567454068242"/>
          <c:w val="0.841929765463809"/>
          <c:h val="0.19343254593175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200" strike="noStrike" u="none">
              <a:solidFill>
                <a:srgbClr val="595959"/>
              </a:solidFill>
              <a:uFillTx/>
              <a:latin typeface="Bahnschrift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ru-RU" sz="1600" strike="noStrike" u="none">
                <a:solidFill>
                  <a:srgbClr val="000000"/>
                </a:solidFill>
                <a:uFillTx/>
                <a:latin typeface="Bahnschrift"/>
              </a:rPr>
              <a:t>Структура площади уборки</a:t>
            </a:r>
          </a:p>
        </c:rich>
      </c:tx>
      <c:layout>
        <c:manualLayout>
          <c:xMode val="edge"/>
          <c:yMode val="edge"/>
          <c:x val="0.251063546929008"/>
          <c:y val="0"/>
        </c:manualLayout>
      </c:layout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pattFill prst="ltUpDiag">
              <a:fgClr>
                <a:srgbClr val="d9d9d9"/>
              </a:fgClr>
              <a:bgClr>
                <a:srgbClr val="ffffff"/>
              </a:bgClr>
            </a:pattFill>
            <a:ln w="0">
              <a:noFill/>
            </a:ln>
          </c:spPr>
          <c:explosion val="0"/>
          <c:dPt>
            <c:idx val="0"/>
            <c:spPr>
              <a:solidFill>
                <a:srgbClr val="a9d18e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"/>
            <c:spPr>
              <a:pattFill prst="ltUpDiag">
                <a:fgClr>
                  <a:srgbClr val="d9d9d9"/>
                </a:fgClr>
                <a:bgClr>
                  <a:srgbClr val="ffffff"/>
                </a:bgClr>
              </a:pattFill>
              <a:ln w="19080">
                <a:solidFill>
                  <a:srgbClr val="ffffff"/>
                </a:solidFill>
                <a:round/>
              </a:ln>
            </c:spPr>
          </c:dPt>
          <c:dPt>
            <c:idx val="2"/>
            <c:spPr>
              <a:pattFill prst="ltUpDiag">
                <a:fgClr>
                  <a:srgbClr val="d9d9d9"/>
                </a:fgClr>
                <a:bgClr>
                  <a:srgbClr val="ffffff"/>
                </a:bgClr>
              </a:pattFill>
              <a:ln w="19080">
                <a:solidFill>
                  <a:srgbClr val="ffffff"/>
                </a:solidFill>
                <a:round/>
              </a:ln>
            </c:spPr>
          </c:dPt>
          <c:dLbls>
            <c:numFmt formatCode="0" sourceLinked="1"/>
            <c:dLbl>
              <c:idx val="0"/>
              <c:layout>
                <c:manualLayout>
                  <c:x val="0.201099307031066"/>
                  <c:y val="0.0901778668256668"/>
                </c:manualLayout>
              </c:layout>
              <c:numFmt formatCode="0" sourceLinked="1"/>
              <c:txPr>
                <a:bodyPr wrap="square"/>
                <a:lstStyle/>
                <a:p>
                  <a:pPr>
                    <a:defRPr b="0" sz="1600" strike="noStrike" u="none">
                      <a:solidFill>
                        <a:srgbClr val="40404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1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600" strike="noStrike" u="none">
                      <a:solidFill>
                        <a:srgbClr val="40404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600" strike="noStrike" u="none">
                      <a:solidFill>
                        <a:srgbClr val="40404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
</c:separator>
            </c:dLbl>
            <c:txPr>
              <a:bodyPr wrap="square"/>
              <a:lstStyle/>
              <a:p>
                <a:pPr>
                  <a:defRPr b="0" sz="1600" strike="noStrike" u="none">
                    <a:solidFill>
                      <a:srgbClr val="404040"/>
                    </a:solidFill>
                    <a:uFillTx/>
                    <a:latin typeface="Calibri"/>
                  </a:defRPr>
                </a:pPr>
              </a:p>
            </c:txPr>
            <c:showLegendKey val="0"/>
            <c:showVal val="1"/>
            <c:showCatName val="1"/>
            <c:showSerName val="0"/>
            <c:showPercent val="1"/>
            <c:separator>
</c:separator>
            <c:showLeaderLines val="1"/>
            <c:leaderLines>
              <c:spPr>
                <a:ln w="9360">
                  <a:solidFill>
                    <a:srgbClr val="a6a6a6"/>
                  </a:solidFill>
                </a:ln>
              </c:spPr>
            </c:leaderLines>
          </c:dLbls>
          <c:cat>
            <c:strRef>
              <c:f>'ОПЕРФАКТ 2026'!$B$23:$B$25</c:f>
              <c:strCache>
                <c:ptCount val="3"/>
                <c:pt idx="0">
                  <c:v>Убрали</c:v>
                </c:pt>
                <c:pt idx="1">
                  <c:v>Бросили</c:v>
                </c:pt>
                <c:pt idx="2">
                  <c:v>Осталось</c:v>
                </c:pt>
              </c:strCache>
            </c:strRef>
          </c:cat>
          <c:val>
            <c:numRef>
              <c:f>'ОПЕРФАКТ 2026'!$C$23:$C$25</c:f>
              <c:numCache>
                <c:formatCode>0.0</c:formatCode>
                <c:ptCount val="3"/>
                <c:pt idx="0">
                  <c:v>94</c:v>
                </c:pt>
                <c:pt idx="1">
                  <c:v>0</c:v>
                </c:pt>
                <c:pt idx="2">
                  <c:v>2070.46</c:v>
                </c:pt>
              </c:numCache>
            </c:numRef>
          </c:val>
        </c:ser>
        <c:firstSliceAng val="139"/>
        <c:holeSize val="50"/>
      </c:doughnutChart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600" strike="noStrike" u="none">
                <a:solidFill>
                  <a:srgbClr val="000000"/>
                </a:solidFill>
                <a:uFillTx/>
                <a:latin typeface="Bahnschrift"/>
              </a:rPr>
              <a:t>Площадь уборки, га</a:t>
            </a:r>
          </a:p>
        </c:rich>
      </c:tx>
      <c:layout>
        <c:manualLayout>
          <c:xMode val="edge"/>
          <c:yMode val="edge"/>
          <c:x val="0.0713691352493119"/>
          <c:y val="0.024332578071126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762337579210139"/>
          <c:y val="0.118017929268052"/>
          <c:w val="0.612238366510913"/>
          <c:h val="0.78041572258890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d0cece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d0cec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d0cece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d0cece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d0cece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d0cece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600" strike="noStrike" u="none">
                      <a:solidFill>
                        <a:srgbClr val="000000"/>
                      </a:solidFill>
                      <a:uFillTx/>
                      <a:latin typeface="Bahnschrift"/>
                    </a:defRPr>
                  </a:pPr>
                </a:p>
              </c:txPr>
              <c:tx>
                <c:rich>
                  <a:bodyPr/>
                  <a:p>
                    <a:fld id="{9C8A30F1-C60E-41E8-94AD-59B5CB8A6648}" type="CELLRANGE">
                      <a:rPr b="0" lang="ru-RU" sz="1600" strike="noStrike" u="none">
                        <a:solidFill>
                          <a:srgbClr val="000000"/>
                        </a:solidFill>
                        <a:uFillTx/>
                        <a:latin typeface="Bahnschrift"/>
                      </a:rPr>
                      <a:t>[CELLRANGE]</a:t>
                    </a:fld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eparator>; </c:separator>
              <c:extLst>
                <c:ext xmlns:c15="http://schemas.microsoft.com/office/drawing/2012/chart" uri="{CE6537A1-D6FC-4f65-9D91-7224C49458BB}">
                  <c15:showDataLabelsRange val="1"/>
                </c:ext>
              </c:extLst>
            </c:dLbl>
            <c:dLbl>
              <c:idx val="1"/>
              <c:txPr>
                <a:bodyPr wrap="square"/>
                <a:lstStyle/>
                <a:p>
                  <a:pPr>
                    <a:defRPr b="0" sz="1600" strike="noStrike" u="none">
                      <a:solidFill>
                        <a:srgbClr val="000000"/>
                      </a:solidFill>
                      <a:uFillTx/>
                      <a:latin typeface="Bahnschrift"/>
                    </a:defRPr>
                  </a:pPr>
                </a:p>
              </c:txPr>
              <c:tx>
                <c:rich>
                  <a:bodyPr/>
                  <a:p>
                    <a:fld id="{36025520-2A36-4A39-BCA4-4CCC09735C11}" type="CELLRANGE">
                      <a:rPr b="0" lang="ru-RU" sz="1600" strike="noStrike" u="none">
                        <a:solidFill>
                          <a:srgbClr val="000000"/>
                        </a:solidFill>
                        <a:uFillTx/>
                        <a:latin typeface="Bahnschrift"/>
                      </a:rPr>
                      <a:t>[CELLRANGE]</a:t>
                    </a:fld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eparator>; </c:separator>
              <c:extLst>
                <c:ext xmlns:c15="http://schemas.microsoft.com/office/drawing/2012/chart" uri="{CE6537A1-D6FC-4f65-9D91-7224C49458BB}">
                  <c15:showDataLabelsRange val="1"/>
                </c:ext>
              </c:extLst>
            </c:dLbl>
            <c:dLbl>
              <c:idx val="2"/>
              <c:numFmt formatCode="00&quot; га&quot;" sourceLinked="1"/>
              <c:txPr>
                <a:bodyPr wrap="square"/>
                <a:lstStyle/>
                <a:p>
                  <a:pPr>
                    <a:defRPr b="0" sz="1600" strike="noStrike" u="none">
                      <a:solidFill>
                        <a:srgbClr val="000000"/>
                      </a:solidFill>
                      <a:uFillTx/>
                      <a:latin typeface="Bahnschrift"/>
                    </a:defRPr>
                  </a:pPr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600" strike="noStrike" u="none">
                      <a:solidFill>
                        <a:srgbClr val="000000"/>
                      </a:solidFill>
                      <a:uFillTx/>
                      <a:latin typeface="Bahnschrift"/>
                    </a:defRPr>
                  </a:pPr>
                </a:p>
              </c:txPr>
              <c:tx>
                <c:rich>
                  <a:bodyPr/>
                  <a:p>
                    <a:fld id="{65646D06-99A3-447F-83AC-C7CD0009D893}" type="CELLRANGE">
                      <a:rPr b="0" lang="ru-RU" sz="1600" strike="noStrike" u="none">
                        <a:solidFill>
                          <a:srgbClr val="000000"/>
                        </a:solidFill>
                        <a:uFillTx/>
                        <a:latin typeface="Bahnschrift"/>
                      </a:rPr>
                      <a:t>[CELLRANGE]</a:t>
                    </a:fld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eparator>; </c:separator>
              <c:extLst>
                <c:ext xmlns:c15="http://schemas.microsoft.com/office/drawing/2012/chart" uri="{CE6537A1-D6FC-4f65-9D91-7224C49458BB}">
                  <c15:showDataLabelsRange val="1"/>
                </c:ext>
              </c:extLst>
            </c:dLbl>
            <c:dLbl>
              <c:idx val="4"/>
              <c:txPr>
                <a:bodyPr wrap="square"/>
                <a:lstStyle/>
                <a:p>
                  <a:pPr>
                    <a:defRPr b="1" sz="1600" strike="noStrike" u="none">
                      <a:solidFill>
                        <a:srgbClr val="000000"/>
                      </a:solidFill>
                      <a:uFillTx/>
                      <a:latin typeface="Bahnschrift"/>
                    </a:defRPr>
                  </a:pPr>
                </a:p>
              </c:txPr>
              <c:tx>
                <c:rich>
                  <a:bodyPr/>
                  <a:p>
                    <a:fld id="{9AA00F63-B955-413E-983E-CE22B943323F}" type="CELLRANGE">
                      <a:rPr b="0" lang="ru-RU" sz="1600" strike="noStrike" u="none">
                        <a:solidFill>
                          <a:srgbClr val="000000"/>
                        </a:solidFill>
                        <a:uFillTx/>
                        <a:latin typeface="Bahnschrift"/>
                      </a:rPr>
                      <a:t>[CELLRANGE]</a:t>
                    </a:fld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eparator>; </c:separator>
              <c:extLst>
                <c:ext xmlns:c15="http://schemas.microsoft.com/office/drawing/2012/chart" uri="{CE6537A1-D6FC-4f65-9D91-7224C49458BB}">
                  <c15:showDataLabelsRange val="1"/>
                </c:ext>
              </c:extLst>
            </c:dLbl>
            <c:txPr>
              <a:bodyPr wrap="square"/>
              <a:lstStyle/>
              <a:p>
                <a:pPr>
                  <a:defRPr b="0" sz="1600" strike="noStrike" u="none">
                    <a:solidFill>
                      <a:srgbClr val="000000"/>
                    </a:solidFill>
                    <a:uFillTx/>
                    <a:latin typeface="Bahnschrift"/>
                  </a:defRPr>
                </a:pPr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'ОПЕРФАКТ 2026'!$O$51:$S$51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strCache>
            </c:strRef>
          </c:cat>
          <c:val>
            <c:numRef>
              <c:f>'ОПЕРФАКТ 2026'!$O$68:$S$68</c:f>
              <c:numCache>
                <c:formatCode>00" га"</c:formatCode>
                <c:ptCount val="5"/>
                <c:pt idx="0">
                  <c:v>2015.98</c:v>
                </c:pt>
                <c:pt idx="1">
                  <c:v>1590.2</c:v>
                </c:pt>
                <c:pt idx="2">
                  <c:v>1836.5</c:v>
                </c:pt>
                <c:pt idx="3">
                  <c:v>2197</c:v>
                </c:pt>
                <c:pt idx="4">
                  <c:v>94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2026'!$O$68:$S$68</c15:f>
                <c15:dlblRangeCache>
                  <c:ptCount val="4"/>
                  <c:pt idx="0">
                    <c:v>2016 га</c:v>
                  </c:pt>
                  <c:pt idx="1">
                    <c:v>1590 га</c:v>
                  </c:pt>
                  <c:pt idx="3">
                    <c:v>2197 га</c:v>
                  </c:pt>
                  <c:pt idx="4">
                    <c:v>94 га</c:v>
                  </c:pt>
                </c15:dlblRangeCache>
              </c15:datalabelsRange>
            </c:ext>
          </c:extLst>
        </c:ser>
        <c:gapWidth val="45"/>
        <c:overlap val="100"/>
        <c:axId val="63122585"/>
        <c:axId val="40550203"/>
      </c:barChart>
      <c:catAx>
        <c:axId val="6312258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0550203"/>
        <c:auto val="1"/>
        <c:lblAlgn val="ctr"/>
        <c:lblOffset val="100"/>
        <c:noMultiLvlLbl val="0"/>
      </c:catAx>
      <c:valAx>
        <c:axId val="40550203"/>
        <c:scaling>
          <c:orientation val="minMax"/>
        </c:scaling>
        <c:delete val="1"/>
        <c:axPos val="l"/>
        <c:numFmt formatCode="00&quot; га&quot;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122585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600" strike="noStrike" u="none">
                <a:solidFill>
                  <a:srgbClr val="000000"/>
                </a:solidFill>
                <a:uFillTx/>
                <a:latin typeface="Bahnschrift"/>
              </a:rPr>
              <a:t>Вал, т</a:t>
            </a:r>
          </a:p>
        </c:rich>
      </c:tx>
      <c:layout>
        <c:manualLayout>
          <c:xMode val="edge"/>
          <c:yMode val="edge"/>
          <c:x val="0.0620265151515152"/>
          <c:y val="0.027879026696877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667613636363636"/>
          <c:y val="0.118017929268052"/>
          <c:w val="0.483013731060606"/>
          <c:h val="0.78041572258890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d0cece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d0cec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d0cece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d0cece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d0cece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d0cece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400" strike="noStrike" u="none">
                      <a:solidFill>
                        <a:srgbClr val="000000"/>
                      </a:solidFill>
                      <a:uFillTx/>
                      <a:latin typeface="Bahnschrift"/>
                    </a:defRPr>
                  </a:pPr>
                </a:p>
              </c:txPr>
              <c:tx>
                <c:rich>
                  <a:bodyPr/>
                  <a:p>
                    <a:fld id="{A02BEC7A-4FD4-44DE-9EBC-55E08322A474}" type="CELLRANGE">
                      <a:rPr b="0" lang="ru-RU" sz="1400" strike="noStrike" u="none">
                        <a:solidFill>
                          <a:srgbClr val="000000"/>
                        </a:solidFill>
                        <a:uFillTx/>
                        <a:latin typeface="Bahnschrift"/>
                      </a:rPr>
                      <a:t>[CELLRANGE]</a:t>
                    </a:fld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eparator>; </c:separator>
              <c:extLst>
                <c:ext xmlns:c15="http://schemas.microsoft.com/office/drawing/2012/chart" uri="{CE6537A1-D6FC-4f65-9D91-7224C49458BB}">
                  <c15:showDataLabelsRange val="1"/>
                </c:ext>
              </c:extLst>
            </c:dLbl>
            <c:dLbl>
              <c:idx val="1"/>
              <c:txPr>
                <a:bodyPr wrap="square"/>
                <a:lstStyle/>
                <a:p>
                  <a:pPr>
                    <a:defRPr b="0" sz="1400" strike="noStrike" u="none">
                      <a:solidFill>
                        <a:srgbClr val="000000"/>
                      </a:solidFill>
                      <a:uFillTx/>
                      <a:latin typeface="Bahnschrift"/>
                    </a:defRPr>
                  </a:pPr>
                </a:p>
              </c:txPr>
              <c:tx>
                <c:rich>
                  <a:bodyPr/>
                  <a:p>
                    <a:fld id="{DC20348E-5A43-4502-A4DA-0C3FBD7DA1A8}" type="CELLRANGE">
                      <a:rPr b="0" lang="ru-RU" sz="1400" strike="noStrike" u="none">
                        <a:solidFill>
                          <a:srgbClr val="000000"/>
                        </a:solidFill>
                        <a:uFillTx/>
                        <a:latin typeface="Bahnschrift"/>
                      </a:rPr>
                      <a:t>[CELLRANGE]</a:t>
                    </a:fld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eparator>; </c:separator>
              <c:extLst>
                <c:ext xmlns:c15="http://schemas.microsoft.com/office/drawing/2012/chart" uri="{CE6537A1-D6FC-4f65-9D91-7224C49458BB}">
                  <c15:showDataLabelsRange val="1"/>
                </c:ext>
              </c:extLst>
            </c:dLbl>
            <c:dLbl>
              <c:idx val="2"/>
              <c:txPr>
                <a:bodyPr wrap="square"/>
                <a:lstStyle/>
                <a:p>
                  <a:pPr>
                    <a:defRPr b="0" sz="1400" strike="noStrike" u="none">
                      <a:solidFill>
                        <a:srgbClr val="000000"/>
                      </a:solidFill>
                      <a:uFillTx/>
                      <a:latin typeface="Bahnschrift"/>
                    </a:defRPr>
                  </a:pPr>
                </a:p>
              </c:txPr>
              <c:tx>
                <c:rich>
                  <a:bodyPr/>
                  <a:p>
                    <a:fld id="{F0FC9AB7-09A5-4C94-AB79-F3F19149234B}" type="CELLRANGE">
                      <a:rPr b="0" lang="ru-RU" sz="1400" strike="noStrike" u="none">
                        <a:solidFill>
                          <a:srgbClr val="000000"/>
                        </a:solidFill>
                        <a:uFillTx/>
                        <a:latin typeface="Bahnschrift"/>
                      </a:rPr>
                      <a:t>[CELLRANGE]</a:t>
                    </a:fld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eparator>; </c:separator>
              <c:extLst>
                <c:ext xmlns:c15="http://schemas.microsoft.com/office/drawing/2012/chart" uri="{CE6537A1-D6FC-4f65-9D91-7224C49458BB}">
                  <c15:showDataLabelsRange val="1"/>
                </c:ext>
              </c:extLst>
            </c:dLbl>
            <c:dLbl>
              <c:idx val="3"/>
              <c:txPr>
                <a:bodyPr wrap="square"/>
                <a:lstStyle/>
                <a:p>
                  <a:pPr>
                    <a:defRPr b="0" sz="1400" strike="noStrike" u="none">
                      <a:solidFill>
                        <a:srgbClr val="000000"/>
                      </a:solidFill>
                      <a:uFillTx/>
                      <a:latin typeface="Bahnschrift"/>
                    </a:defRPr>
                  </a:pPr>
                </a:p>
              </c:txPr>
              <c:tx>
                <c:rich>
                  <a:bodyPr/>
                  <a:p>
                    <a:fld id="{AAFC98D9-8246-4E16-9802-20A2798A1F6A}" type="CELLRANGE">
                      <a:rPr b="0" lang="ru-RU" sz="1400" strike="noStrike" u="none">
                        <a:solidFill>
                          <a:srgbClr val="000000"/>
                        </a:solidFill>
                        <a:uFillTx/>
                        <a:latin typeface="Bahnschrift"/>
                      </a:rPr>
                      <a:t>[CELLRANGE]</a:t>
                    </a:fld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eparator>; </c:separator>
              <c:extLst>
                <c:ext xmlns:c15="http://schemas.microsoft.com/office/drawing/2012/chart" uri="{CE6537A1-D6FC-4f65-9D91-7224C49458BB}">
                  <c15:showDataLabelsRange val="1"/>
                </c:ext>
              </c:extLst>
            </c:dLbl>
            <c:dLbl>
              <c:idx val="4"/>
              <c:txPr>
                <a:bodyPr wrap="square"/>
                <a:lstStyle/>
                <a:p>
                  <a:pPr>
                    <a:defRPr b="1" sz="1400" strike="noStrike" u="none">
                      <a:solidFill>
                        <a:srgbClr val="000000"/>
                      </a:solidFill>
                      <a:uFillTx/>
                      <a:latin typeface="Bahnschrift"/>
                    </a:defRPr>
                  </a:pPr>
                </a:p>
              </c:txPr>
              <c:tx>
                <c:rich>
                  <a:bodyPr/>
                  <a:p>
                    <a:fld id="{26B9BE16-7ACD-4163-88E1-2A867B837F51}" type="CELLRANGE">
                      <a:rPr b="0" lang="ru-RU" sz="1400" strike="noStrike" u="none">
                        <a:solidFill>
                          <a:srgbClr val="000000"/>
                        </a:solidFill>
                        <a:uFillTx/>
                        <a:latin typeface="Bahnschrift"/>
                      </a:rPr>
                      <a:t>[CELLRANGE]</a:t>
                    </a:fld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eparator>; </c:separator>
              <c:extLst>
                <c:ext xmlns:c15="http://schemas.microsoft.com/office/drawing/2012/chart" uri="{CE6537A1-D6FC-4f65-9D91-7224C49458BB}">
                  <c15:showDataLabelsRange val="1"/>
                </c:ext>
              </c:extLst>
            </c:dLbl>
            <c:txPr>
              <a:bodyPr wrap="square"/>
              <a:lstStyle/>
              <a:p>
                <a:pPr>
                  <a:defRPr b="0" sz="1400" strike="noStrike" u="none">
                    <a:solidFill>
                      <a:srgbClr val="000000"/>
                    </a:solidFill>
                    <a:uFillTx/>
                    <a:latin typeface="Bahnschrift"/>
                  </a:defRPr>
                </a:pPr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'ОПЕРФАКТ 2026'!$F$51:$J$51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strCache>
            </c:strRef>
          </c:cat>
          <c:val>
            <c:numRef>
              <c:f>'ОПЕРФАКТ 2026'!$F$68:$J$68</c:f>
              <c:numCache>
                <c:formatCode>##,###" т"</c:formatCode>
                <c:ptCount val="5"/>
                <c:pt idx="0">
                  <c:v>31741.9</c:v>
                </c:pt>
                <c:pt idx="1">
                  <c:v>23552.9</c:v>
                </c:pt>
                <c:pt idx="2">
                  <c:v>23960.04</c:v>
                </c:pt>
                <c:pt idx="3">
                  <c:v>35099.65</c:v>
                </c:pt>
                <c:pt idx="4">
                  <c:v>1827.89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2026'!$F$68:$J$68</c15:f>
                <c15:dlblRangeCache>
                  <c:ptCount val="5"/>
                  <c:pt idx="0">
                    <c:v>31 742 т</c:v>
                  </c:pt>
                  <c:pt idx="1">
                    <c:v>23 553 т</c:v>
                  </c:pt>
                  <c:pt idx="2">
                    <c:v>23 960 т</c:v>
                  </c:pt>
                  <c:pt idx="3">
                    <c:v>35 100 т</c:v>
                  </c:pt>
                  <c:pt idx="4">
                    <c:v>1 828 т</c:v>
                  </c:pt>
                </c15:dlblRangeCache>
              </c15:datalabelsRange>
            </c:ext>
          </c:extLst>
        </c:ser>
        <c:gapWidth val="45"/>
        <c:overlap val="100"/>
        <c:axId val="50981224"/>
        <c:axId val="82925529"/>
      </c:barChart>
      <c:catAx>
        <c:axId val="5098122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925529"/>
        <c:auto val="1"/>
        <c:lblAlgn val="ctr"/>
        <c:lblOffset val="100"/>
        <c:noMultiLvlLbl val="0"/>
      </c:catAx>
      <c:valAx>
        <c:axId val="82925529"/>
        <c:scaling>
          <c:orientation val="minMax"/>
        </c:scaling>
        <c:delete val="1"/>
        <c:axPos val="l"/>
        <c:numFmt formatCode="##,###&quot; т&quot;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0981224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600" strike="noStrike" u="none">
                <a:solidFill>
                  <a:srgbClr val="000000"/>
                </a:solidFill>
                <a:uFillTx/>
                <a:latin typeface="Bahnschrift"/>
              </a:rPr>
              <a:t>Урожайность, т/га</a:t>
            </a:r>
          </a:p>
        </c:rich>
      </c:tx>
      <c:layout>
        <c:manualLayout>
          <c:xMode val="edge"/>
          <c:yMode val="edge"/>
          <c:x val="0.0707865168539326"/>
          <c:y val="0.013890257117525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825280898876405"/>
          <c:y val="0.118017929268052"/>
          <c:w val="0.486179775280899"/>
          <c:h val="0.78041572258890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d9d9d9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d9d9d9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d9d9d9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d9d9d9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d9d9d9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d9d9d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600" strike="noStrike" u="none">
                      <a:solidFill>
                        <a:srgbClr val="000000"/>
                      </a:solidFill>
                      <a:uFillTx/>
                      <a:latin typeface="Bahnschrift"/>
                    </a:defRPr>
                  </a:pPr>
                </a:p>
              </c:txPr>
              <c:tx>
                <c:rich>
                  <a:bodyPr/>
                  <a:p>
                    <a:fld id="{B1718CF6-7CCF-4B83-8665-20F58729032E}" type="CELLRANGE">
                      <a:rPr b="0" lang="ru-RU" sz="1600" strike="noStrike" u="none">
                        <a:solidFill>
                          <a:srgbClr val="000000"/>
                        </a:solidFill>
                        <a:uFillTx/>
                        <a:latin typeface="Bahnschrift"/>
                      </a:rPr>
                      <a:t>[CELLRANGE]</a:t>
                    </a:fld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eparator>; </c:separator>
              <c:extLst>
                <c:ext xmlns:c15="http://schemas.microsoft.com/office/drawing/2012/chart" uri="{CE6537A1-D6FC-4f65-9D91-7224C49458BB}">
                  <c15:showDataLabelsRange val="1"/>
                </c:ext>
              </c:extLst>
            </c:dLbl>
            <c:dLbl>
              <c:idx val="1"/>
              <c:txPr>
                <a:bodyPr wrap="square"/>
                <a:lstStyle/>
                <a:p>
                  <a:pPr>
                    <a:defRPr b="0" sz="1600" strike="noStrike" u="none">
                      <a:solidFill>
                        <a:srgbClr val="000000"/>
                      </a:solidFill>
                      <a:uFillTx/>
                      <a:latin typeface="Bahnschrift"/>
                    </a:defRPr>
                  </a:pPr>
                </a:p>
              </c:txPr>
              <c:tx>
                <c:rich>
                  <a:bodyPr/>
                  <a:p>
                    <a:fld id="{5C79D5E6-AD41-4889-B432-304DCE802807}" type="CELLRANGE">
                      <a:rPr b="0" lang="ru-RU" sz="1600" strike="noStrike" u="none">
                        <a:solidFill>
                          <a:srgbClr val="000000"/>
                        </a:solidFill>
                        <a:uFillTx/>
                        <a:latin typeface="Bahnschrift"/>
                      </a:rPr>
                      <a:t>[CELLRANGE]</a:t>
                    </a:fld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eparator>; </c:separator>
              <c:extLst>
                <c:ext xmlns:c15="http://schemas.microsoft.com/office/drawing/2012/chart" uri="{CE6537A1-D6FC-4f65-9D91-7224C49458BB}">
                  <c15:showDataLabelsRange val="1"/>
                </c:ext>
              </c:extLst>
            </c:dLbl>
            <c:dLbl>
              <c:idx val="2"/>
              <c:txPr>
                <a:bodyPr wrap="square"/>
                <a:lstStyle/>
                <a:p>
                  <a:pPr>
                    <a:defRPr b="0" sz="1600" strike="noStrike" u="none">
                      <a:solidFill>
                        <a:srgbClr val="000000"/>
                      </a:solidFill>
                      <a:uFillTx/>
                      <a:latin typeface="Bahnschrift"/>
                    </a:defRPr>
                  </a:pPr>
                </a:p>
              </c:txPr>
              <c:tx>
                <c:rich>
                  <a:bodyPr/>
                  <a:p>
                    <a:fld id="{75EFACE9-B54A-4301-83EF-02AC1232D324}" type="CELLRANGE">
                      <a:rPr b="0" lang="ru-RU" sz="1600" strike="noStrike" u="none">
                        <a:solidFill>
                          <a:srgbClr val="000000"/>
                        </a:solidFill>
                        <a:uFillTx/>
                        <a:latin typeface="Bahnschrift"/>
                      </a:rPr>
                      <a:t>[CELLRANGE]</a:t>
                    </a:fld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eparator>; </c:separator>
              <c:extLst>
                <c:ext xmlns:c15="http://schemas.microsoft.com/office/drawing/2012/chart" uri="{CE6537A1-D6FC-4f65-9D91-7224C49458BB}">
                  <c15:showDataLabelsRange val="1"/>
                </c:ext>
              </c:extLst>
            </c:dLbl>
            <c:dLbl>
              <c:idx val="3"/>
              <c:txPr>
                <a:bodyPr wrap="square"/>
                <a:lstStyle/>
                <a:p>
                  <a:pPr>
                    <a:defRPr b="0" sz="1600" strike="noStrike" u="none">
                      <a:solidFill>
                        <a:srgbClr val="000000"/>
                      </a:solidFill>
                      <a:uFillTx/>
                      <a:latin typeface="Bahnschrift"/>
                    </a:defRPr>
                  </a:pPr>
                </a:p>
              </c:txPr>
              <c:tx>
                <c:rich>
                  <a:bodyPr/>
                  <a:p>
                    <a:fld id="{877D6A35-9975-4BFF-A7DA-AEB3F4E25DF5}" type="CELLRANGE">
                      <a:rPr b="0" lang="ru-RU" sz="1600" strike="noStrike" u="none">
                        <a:solidFill>
                          <a:srgbClr val="000000"/>
                        </a:solidFill>
                        <a:uFillTx/>
                        <a:latin typeface="Bahnschrift"/>
                      </a:rPr>
                      <a:t>[CELLRANGE]</a:t>
                    </a:fld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eparator>; </c:separator>
              <c:extLst>
                <c:ext xmlns:c15="http://schemas.microsoft.com/office/drawing/2012/chart" uri="{CE6537A1-D6FC-4f65-9D91-7224C49458BB}">
                  <c15:showDataLabelsRange val="1"/>
                </c:ext>
              </c:extLst>
            </c:dLbl>
            <c:dLbl>
              <c:idx val="4"/>
              <c:txPr>
                <a:bodyPr wrap="square"/>
                <a:lstStyle/>
                <a:p>
                  <a:pPr>
                    <a:defRPr b="1" sz="1600" strike="noStrike" u="none">
                      <a:solidFill>
                        <a:srgbClr val="000000"/>
                      </a:solidFill>
                      <a:uFillTx/>
                      <a:latin typeface="Bahnschrift"/>
                    </a:defRPr>
                  </a:pPr>
                </a:p>
              </c:txPr>
              <c:tx>
                <c:rich>
                  <a:bodyPr/>
                  <a:p>
                    <a:fld id="{601F6A63-6F2E-4A6B-BB08-B4EF6E32DA36}" type="CELLRANGE">
                      <a:rPr b="0" lang="ru-RU" sz="1600" strike="noStrike" u="none">
                        <a:solidFill>
                          <a:srgbClr val="000000"/>
                        </a:solidFill>
                        <a:uFillTx/>
                        <a:latin typeface="Bahnschrift"/>
                      </a:rPr>
                      <a:t>[CELLRANGE]</a:t>
                    </a:fld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eparator>; </c:separator>
              <c:extLst>
                <c:ext xmlns:c15="http://schemas.microsoft.com/office/drawing/2012/chart" uri="{CE6537A1-D6FC-4f65-9D91-7224C49458BB}">
                  <c15:showDataLabelsRange val="1"/>
                </c:ext>
              </c:extLst>
            </c:dLbl>
            <c:txPr>
              <a:bodyPr wrap="square"/>
              <a:lstStyle/>
              <a:p>
                <a:pPr>
                  <a:defRPr b="0" sz="1600" strike="noStrike" u="none">
                    <a:solidFill>
                      <a:srgbClr val="000000"/>
                    </a:solidFill>
                    <a:uFillTx/>
                    <a:latin typeface="Bahnschrift"/>
                  </a:defRPr>
                </a:pPr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'ОПЕРФАКТ 2026'!$X$51:$AB$51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strCache>
            </c:strRef>
          </c:cat>
          <c:val>
            <c:numRef>
              <c:f>'ОПЕРФАКТ 2026'!$X$68:$AB$68</c:f>
              <c:numCache>
                <c:formatCode>00.0" т/га"</c:formatCode>
                <c:ptCount val="5"/>
                <c:pt idx="0">
                  <c:v>15.7451462812131</c:v>
                </c:pt>
                <c:pt idx="1">
                  <c:v>14.8112815997988</c:v>
                </c:pt>
                <c:pt idx="2">
                  <c:v>13.0465777293765</c:v>
                </c:pt>
                <c:pt idx="3">
                  <c:v>15.9761720527993</c:v>
                </c:pt>
                <c:pt idx="4">
                  <c:v>19.4456382978723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2026'!$X$68:$AB$68</c15:f>
                <c15:dlblRangeCache>
                  <c:ptCount val="5"/>
                  <c:pt idx="0">
                    <c:v>15,7 т/га</c:v>
                  </c:pt>
                  <c:pt idx="1">
                    <c:v>14,8 т/га</c:v>
                  </c:pt>
                  <c:pt idx="2">
                    <c:v>13,0 т/га</c:v>
                  </c:pt>
                  <c:pt idx="3">
                    <c:v>16,0 т/га</c:v>
                  </c:pt>
                  <c:pt idx="4">
                    <c:v>19,4 т/га</c:v>
                  </c:pt>
                </c15:dlblRangeCache>
              </c15:datalabelsRange>
            </c:ext>
          </c:extLst>
        </c:ser>
        <c:gapWidth val="45"/>
        <c:overlap val="100"/>
        <c:axId val="45613923"/>
        <c:axId val="76093620"/>
      </c:barChart>
      <c:catAx>
        <c:axId val="4561392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093620"/>
        <c:auto val="1"/>
        <c:lblAlgn val="ctr"/>
        <c:lblOffset val="100"/>
        <c:noMultiLvlLbl val="0"/>
      </c:catAx>
      <c:valAx>
        <c:axId val="76093620"/>
        <c:scaling>
          <c:orientation val="minMax"/>
        </c:scaling>
        <c:delete val="1"/>
        <c:axPos val="l"/>
        <c:numFmt formatCode="00.0&quot; т/га&quot;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613923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ru-RU" sz="1800" strike="noStrike" u="none">
                <a:solidFill>
                  <a:srgbClr val="000000"/>
                </a:solidFill>
                <a:uFillTx/>
                <a:latin typeface="Bahnschrift"/>
              </a:rPr>
              <a:t>Валовый сбор в разрезе предприятий</a:t>
            </a:r>
          </a:p>
        </c:rich>
      </c:tx>
      <c:layout>
        <c:manualLayout>
          <c:xMode val="edge"/>
          <c:yMode val="edge"/>
          <c:x val="0.0427858421914886"/>
          <c:y val="0.0319610908459267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730750180973064"/>
          <c:y val="0.0422094841063054"/>
          <c:w val="0.911075551491599"/>
          <c:h val="0.7639395518499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'ОПЕРФАКТ 2026'!$J$3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rgbClr val="fbe5d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pattFill prst="openDmnd">
                <a:fgClr>
                  <a:srgbClr val="afabab"/>
                </a:fgClr>
                <a:bgClr>
                  <a:srgbClr val="ffffff"/>
                </a:bgClr>
              </a:pattFill>
              <a:ln w="0">
                <a:noFill/>
              </a:ln>
            </c:spPr>
          </c:dPt>
          <c:dPt>
            <c:idx val="1"/>
            <c:invertIfNegative val="0"/>
            <c:spPr>
              <a:pattFill prst="openDmnd">
                <a:fgClr>
                  <a:srgbClr val="fbe5d6"/>
                </a:fgClr>
                <a:bgClr>
                  <a:srgbClr val="ffffff"/>
                </a:bgClr>
              </a:pattFill>
              <a:ln w="0">
                <a:noFill/>
              </a:ln>
            </c:spPr>
          </c:dPt>
          <c:dPt>
            <c:idx val="2"/>
            <c:invertIfNegative val="0"/>
            <c:spPr>
              <a:pattFill prst="openDmnd">
                <a:fgClr>
                  <a:srgbClr val="b4c7e7"/>
                </a:fgClr>
                <a:bgClr>
                  <a:srgbClr val="ffffff"/>
                </a:bgClr>
              </a:pattFill>
              <a:ln w="0">
                <a:noFill/>
              </a:ln>
            </c:spPr>
          </c:dPt>
          <c:dPt>
            <c:idx val="3"/>
            <c:invertIfNegative val="0"/>
            <c:spPr>
              <a:pattFill prst="openDmnd">
                <a:fgClr>
                  <a:srgbClr val="7030a0"/>
                </a:fgClr>
                <a:bgClr>
                  <a:srgbClr val="ffffff"/>
                </a:bgClr>
              </a:pattFill>
              <a:ln w="0">
                <a:noFill/>
              </a:ln>
            </c:spPr>
          </c:dPt>
          <c:dPt>
            <c:idx val="4"/>
            <c:invertIfNegative val="0"/>
            <c:spPr>
              <a:pattFill prst="openDmnd">
                <a:fgClr>
                  <a:srgbClr val="ffe699"/>
                </a:fgClr>
                <a:bgClr>
                  <a:srgbClr val="ffffff"/>
                </a:bgClr>
              </a:patt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2026'!$I$4:$I$8</c:f>
              <c:strCache>
                <c:ptCount val="5"/>
                <c:pt idx="0">
                  <c:v>Грин Рэй Кубань</c:v>
                </c:pt>
                <c:pt idx="1">
                  <c:v>им. Кирова</c:v>
                </c:pt>
                <c:pt idx="2">
                  <c:v>Иррико-Холдинг</c:v>
                </c:pt>
                <c:pt idx="3">
                  <c:v>Агролидер</c:v>
                </c:pt>
                <c:pt idx="4">
                  <c:v>Колос</c:v>
                </c:pt>
              </c:strCache>
            </c:strRef>
          </c:cat>
          <c:val>
            <c:numRef>
              <c:f>'ОПЕРФАКТ 2026'!$J$4:$J$8</c:f>
              <c:numCache>
                <c:formatCode>#,##0</c:formatCode>
                <c:ptCount val="5"/>
                <c:pt idx="0">
                  <c:v>4362</c:v>
                </c:pt>
                <c:pt idx="1">
                  <c:v>13392</c:v>
                </c:pt>
                <c:pt idx="2">
                  <c:v>8432.4</c:v>
                </c:pt>
                <c:pt idx="3">
                  <c:v>3564</c:v>
                </c:pt>
                <c:pt idx="4">
                  <c:v>7443</c:v>
                </c:pt>
              </c:numCache>
            </c:numRef>
          </c:val>
        </c:ser>
        <c:ser>
          <c:idx val="1"/>
          <c:order val="1"/>
          <c:tx>
            <c:strRef>
              <c:f>'ОПЕРФАКТ 2026'!$K$3</c:f>
              <c:strCache>
                <c:ptCount val="1"/>
                <c:pt idx="0">
                  <c:v>Факт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afabab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be5d6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9dc3e6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966ff">
                  <a:alpha val="44000"/>
                </a:srgbClr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fff2cc"/>
              </a:solidFill>
              <a:ln w="0">
                <a:noFill/>
              </a:ln>
            </c:spPr>
          </c:dPt>
          <c:dLbls>
            <c:dLbl>
              <c:idx val="0"/>
              <c:layout>
                <c:manualLayout>
                  <c:x val="0.0068107528810021"/>
                  <c:y val="-0.00988294546014838"/>
                </c:manualLayout>
              </c:layout>
              <c:txPr>
                <a:bodyPr wrap="square"/>
                <a:lstStyle/>
                <a:p>
                  <a:pPr>
                    <a:defRPr b="1" sz="2400" strike="noStrike" u="none">
                      <a:solidFill>
                        <a:srgbClr val="404040"/>
                      </a:solidFill>
                      <a:uFillTx/>
                      <a:latin typeface="Bahnschrift"/>
                    </a:defRPr>
                  </a:pPr>
                </a:p>
              </c:txPr>
              <c:tx>
                <c:rich>
                  <a:bodyPr/>
                  <a:p>
                    <a:fld id="{6074ACA7-D845-41CA-9C2A-10EB7C7DBCBE}" type="CELLRANGE">
                      <a:rPr b="0" lang="en-US" sz="2400" strike="noStrike" u="none">
                        <a:solidFill>
                          <a:srgbClr val="404040"/>
                        </a:solidFill>
                        <a:uFillTx/>
                        <a:latin typeface="Bahnschrift"/>
                      </a:rPr>
                      <a:t>[CELLRANGE]</a:t>
                    </a:fld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  <c:extLst>
                <c:ext xmlns:c15="http://schemas.microsoft.com/office/drawing/2012/chart" uri="{CE6537A1-D6FC-4f65-9D91-7224C49458BB}">
                  <c15:showDataLabelsRange val="1"/>
                </c:ext>
              </c:extLst>
            </c:dLbl>
            <c:dLbl>
              <c:idx val="1"/>
              <c:layout>
                <c:manualLayout>
                  <c:x val="0.00811290820323742"/>
                  <c:y val="-0.0101576456666798"/>
                </c:manualLayout>
              </c:layout>
              <c:txPr>
                <a:bodyPr wrap="square"/>
                <a:lstStyle/>
                <a:p>
                  <a:pPr>
                    <a:defRPr b="1" sz="2400" strike="noStrike" u="none">
                      <a:solidFill>
                        <a:srgbClr val="404040"/>
                      </a:solidFill>
                      <a:uFillTx/>
                      <a:latin typeface="Bahnschrift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1" sz="2400" strike="noStrike" u="none">
                      <a:solidFill>
                        <a:srgbClr val="40404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layout>
                <c:manualLayout>
                  <c:x val="0.00953115917121576"/>
                  <c:y val="-0.00299823599847397"/>
                </c:manualLayout>
              </c:layout>
              <c:txPr>
                <a:bodyPr wrap="square"/>
                <a:lstStyle/>
                <a:p>
                  <a:pPr>
                    <a:defRPr b="1" sz="2400" strike="noStrike" u="none">
                      <a:solidFill>
                        <a:srgbClr val="40404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layout>
                <c:manualLayout>
                  <c:x val="0.0053924109458724"/>
                  <c:y val="0"/>
                </c:manualLayout>
              </c:layout>
              <c:txPr>
                <a:bodyPr wrap="square"/>
                <a:lstStyle/>
                <a:p>
                  <a:pPr>
                    <a:defRPr b="1" sz="2400" strike="noStrike" u="none">
                      <a:solidFill>
                        <a:srgbClr val="404040"/>
                      </a:solidFill>
                      <a:uFillTx/>
                      <a:latin typeface="Bahnschrift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2400" strike="noStrike" u="none">
                    <a:solidFill>
                      <a:srgbClr val="40404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'ОПЕРФАКТ 2026'!$I$4:$I$8</c:f>
              <c:strCache>
                <c:ptCount val="5"/>
                <c:pt idx="0">
                  <c:v>Грин Рэй Кубань</c:v>
                </c:pt>
                <c:pt idx="1">
                  <c:v>им. Кирова</c:v>
                </c:pt>
                <c:pt idx="2">
                  <c:v>Иррико-Холдинг</c:v>
                </c:pt>
                <c:pt idx="3">
                  <c:v>Агролидер</c:v>
                </c:pt>
                <c:pt idx="4">
                  <c:v>Колос</c:v>
                </c:pt>
              </c:strCache>
            </c:strRef>
          </c:cat>
          <c:val>
            <c:numRef>
              <c:f>'ОПЕРФАКТ 2026'!$K$4:$K$8</c:f>
              <c:numCache>
                <c:formatCode>#,##0</c:formatCode>
                <c:ptCount val="5"/>
                <c:pt idx="0">
                  <c:v>1827.89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2026'!$L$4:$L$8</c15:f>
                <c15:dlblRangeCache>
                  <c:ptCount val="1"/>
                  <c:pt idx="0">
                    <c:v>42%</c:v>
                  </c:pt>
                </c15:dlblRangeCache>
              </c15:datalabelsRange>
            </c:ext>
          </c:extLst>
        </c:ser>
        <c:gapWidth val="95"/>
        <c:overlap val="0"/>
        <c:axId val="34616902"/>
        <c:axId val="88094430"/>
      </c:barChart>
      <c:catAx>
        <c:axId val="3461690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8094430"/>
        <c:crosses val="autoZero"/>
        <c:auto val="1"/>
        <c:lblAlgn val="ctr"/>
        <c:lblOffset val="100"/>
        <c:noMultiLvlLbl val="0"/>
      </c:catAx>
      <c:valAx>
        <c:axId val="88094430"/>
        <c:scaling>
          <c:orientation val="minMax"/>
        </c:scaling>
        <c:delete val="1"/>
        <c:axPos val="l"/>
        <c:numFmt formatCode="#,##0" sourceLinked="1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616902"/>
        <c:crossBetween val="between"/>
      </c:valAx>
      <c:dTable>
        <c:spPr>
          <a:noFill/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1" sz="1400" strike="noStrike" u="none">
                <a:solidFill>
                  <a:srgbClr val="595959"/>
                </a:solidFill>
                <a:uFillTx/>
                <a:latin typeface="Bahnschrift"/>
              </a:defRPr>
            </a:pPr>
          </a:p>
        </c:txPr>
      </c:dTable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331994425772604"/>
          <c:y val="0.18197484059969"/>
          <c:w val="0.9334371669809"/>
          <c:h val="0.70101671549198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'ОПЕРФАКТ 2026'!$C$35</c:f>
              <c:strCache>
                <c:ptCount val="1"/>
                <c:pt idx="0">
                  <c:v>факт</c:v>
                </c:pt>
              </c:strCache>
            </c:strRef>
          </c:tx>
          <c:spPr>
            <a:gradFill>
              <a:gsLst>
                <a:gs pos="0">
                  <a:srgbClr val="ffffae"/>
                </a:gs>
                <a:gs pos="50000">
                  <a:srgbClr val="ffffcd"/>
                </a:gs>
                <a:gs pos="100000">
                  <a:srgbClr val="ffffe6"/>
                </a:gs>
              </a:gsLst>
              <a:lin ang="2700000"/>
            </a:gradFill>
            <a:ln w="0">
              <a:noFill/>
            </a:ln>
          </c:spPr>
          <c:invertIfNegative val="0"/>
          <c:dPt>
            <c:idx val="0"/>
            <c:invertIfNegative val="0"/>
            <c:spPr>
              <a:gradFill>
                <a:gsLst>
                  <a:gs pos="0">
                    <a:srgbClr val="ffffae"/>
                  </a:gs>
                  <a:gs pos="50000">
                    <a:srgbClr val="ffffcd"/>
                  </a:gs>
                  <a:gs pos="100000">
                    <a:srgbClr val="ffffe6"/>
                  </a:gs>
                </a:gsLst>
                <a:lin ang="2700000"/>
              </a:gradFill>
              <a:ln w="0">
                <a:noFill/>
              </a:ln>
            </c:spPr>
          </c:dPt>
          <c:dLbls>
            <c:numFmt formatCode="#,##0" sourceLinked="1"/>
            <c:dLbl>
              <c:idx val="0"/>
              <c:txPr>
                <a:bodyPr wrap="square"/>
                <a:lstStyle/>
                <a:p>
                  <a:pPr>
                    <a:defRPr b="0" sz="1500" strike="noStrike" u="none">
                      <a:solidFill>
                        <a:srgbClr val="404040"/>
                      </a:solidFill>
                      <a:uFillTx/>
                      <a:latin typeface="Bahnschrift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500" strike="noStrike" u="none">
                    <a:solidFill>
                      <a:srgbClr val="404040"/>
                    </a:solidFill>
                    <a:uFillTx/>
                    <a:latin typeface="Bahnschrift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2026'!$B$36:$B$37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2026'!$C$36:$C$37</c:f>
              <c:numCache>
                <c:formatCode>#,##0</c:formatCode>
                <c:ptCount val="2"/>
                <c:pt idx="0">
                  <c:v>0</c:v>
                </c:pt>
                <c:pt idx="1">
                  <c:v>1827.89</c:v>
                </c:pt>
              </c:numCache>
            </c:numRef>
          </c:val>
        </c:ser>
        <c:ser>
          <c:idx val="1"/>
          <c:order val="1"/>
          <c:tx>
            <c:strRef>
              <c:f>'ОПЕРФАКТ 2026'!$E$35</c:f>
              <c:strCache>
                <c:ptCount val="1"/>
                <c:pt idx="0">
                  <c:v>остаток по плану</c:v>
                </c:pt>
              </c:strCache>
            </c:strRef>
          </c:tx>
          <c:spPr>
            <a:pattFill prst="openDmnd">
              <a:fgClr>
                <a:srgbClr val="f2f2f2"/>
              </a:fgClr>
              <a:bgClr>
                <a:srgbClr val="ffffff"/>
              </a:bgClr>
            </a:pattFill>
            <a:ln w="0">
              <a:noFill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500" strike="noStrike" u="none">
                    <a:solidFill>
                      <a:srgbClr val="404040"/>
                    </a:solidFill>
                    <a:uFillTx/>
                    <a:latin typeface="Bahnschrift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2026'!$B$36:$B$37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2026'!$E$36:$E$37</c:f>
              <c:numCache>
                <c:formatCode>#,##0</c:formatCode>
                <c:ptCount val="2"/>
                <c:pt idx="0">
                  <c:v>28359</c:v>
                </c:pt>
                <c:pt idx="1">
                  <c:v>7006.51</c:v>
                </c:pt>
              </c:numCache>
            </c:numRef>
          </c:val>
        </c:ser>
        <c:gapWidth val="75"/>
        <c:overlap val="100"/>
        <c:axId val="88658505"/>
        <c:axId val="42721458"/>
      </c:barChart>
      <c:catAx>
        <c:axId val="8865850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1500" strike="noStrike" u="none">
                <a:solidFill>
                  <a:srgbClr val="595959"/>
                </a:solidFill>
                <a:uFillTx/>
                <a:latin typeface="Bahnschrift"/>
              </a:defRPr>
            </a:pPr>
          </a:p>
        </c:txPr>
        <c:crossAx val="42721458"/>
        <c:crosses val="autoZero"/>
        <c:auto val="1"/>
        <c:lblAlgn val="ctr"/>
        <c:lblOffset val="100"/>
        <c:noMultiLvlLbl val="0"/>
      </c:catAx>
      <c:valAx>
        <c:axId val="4272145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500" strike="noStrike" u="none">
                <a:solidFill>
                  <a:srgbClr val="000000"/>
                </a:solidFill>
                <a:uFillTx/>
                <a:latin typeface="Bahnschrift"/>
              </a:defRPr>
            </a:pPr>
          </a:p>
        </c:txPr>
        <c:crossAx val="88658505"/>
        <c:crossBetween val="between"/>
      </c:valAx>
      <c:spPr>
        <a:noFill/>
        <a:ln w="0">
          <a:noFill/>
        </a:ln>
      </c:spPr>
    </c:plotArea>
    <c:legend>
      <c:legendPos val="t"/>
      <c:layout>
        <c:manualLayout>
          <c:xMode val="edge"/>
          <c:yMode val="edge"/>
          <c:x val="0.222873541409733"/>
          <c:y val="0.0581395348837209"/>
          <c:w val="0.668295228156721"/>
          <c:h val="0.092325581395348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500" strike="noStrike" u="none">
              <a:solidFill>
                <a:srgbClr val="595959"/>
              </a:solidFill>
              <a:uFillTx/>
              <a:latin typeface="Bahnschrift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ru-RU" sz="1600" strike="noStrike" u="none">
                <a:solidFill>
                  <a:srgbClr val="000000"/>
                </a:solidFill>
                <a:uFillTx/>
                <a:latin typeface="Bahnschrift"/>
              </a:rPr>
              <a:t>Структура площади уборки</a:t>
            </a:r>
          </a:p>
        </c:rich>
      </c:tx>
      <c:layout>
        <c:manualLayout>
          <c:xMode val="edge"/>
          <c:yMode val="edge"/>
          <c:x val="0.251063546929008"/>
          <c:y val="0"/>
        </c:manualLayout>
      </c:layout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c5e0b4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"/>
            <c:spPr>
              <a:solidFill>
                <a:srgbClr val="d9d9d9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"/>
            <c:spPr>
              <a:solidFill>
                <a:srgbClr val="a5a5a5"/>
              </a:solidFill>
              <a:ln w="19080">
                <a:solidFill>
                  <a:srgbClr val="ffffff"/>
                </a:solidFill>
                <a:round/>
              </a:ln>
            </c:spPr>
          </c:dPt>
          <c:dLbls>
            <c:numFmt formatCode="0" sourceLinked="1"/>
            <c:dLbl>
              <c:idx val="0"/>
              <c:layout>
                <c:manualLayout>
                  <c:x val="-0.182204631828429"/>
                  <c:y val="-0.0796439594549568"/>
                </c:manualLayout>
              </c:layout>
              <c:numFmt formatCode="0" sourceLinked="1"/>
              <c:txPr>
                <a:bodyPr wrap="square"/>
                <a:lstStyle/>
                <a:p>
                  <a:pPr>
                    <a:defRPr b="0" sz="1600" strike="noStrike" u="none">
                      <a:solidFill>
                        <a:srgbClr val="40404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1"/>
              <c:showSerName val="0"/>
              <c:showPercent val="1"/>
              <c:separator>
</c:separator>
            </c:dLbl>
            <c:dLbl>
              <c:idx val="1"/>
              <c:layout>
                <c:manualLayout>
                  <c:x val="0.207871793803552"/>
                  <c:y val="0.130546446170843"/>
                </c:manualLayout>
              </c:layout>
              <c:numFmt formatCode="0" sourceLinked="1"/>
              <c:txPr>
                <a:bodyPr wrap="square"/>
                <a:lstStyle/>
                <a:p>
                  <a:pPr>
                    <a:defRPr b="0" sz="1600" strike="noStrike" u="none">
                      <a:solidFill>
                        <a:srgbClr val="40404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1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600" strike="noStrike" u="none">
                      <a:solidFill>
                        <a:srgbClr val="40404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
</c:separator>
            </c:dLbl>
            <c:txPr>
              <a:bodyPr wrap="square"/>
              <a:lstStyle/>
              <a:p>
                <a:pPr>
                  <a:defRPr b="0" sz="1600" strike="noStrike" u="none">
                    <a:solidFill>
                      <a:srgbClr val="404040"/>
                    </a:solidFill>
                    <a:uFillTx/>
                    <a:latin typeface="Calibri"/>
                  </a:defRPr>
                </a:pPr>
              </a:p>
            </c:txPr>
            <c:showLegendKey val="0"/>
            <c:showVal val="1"/>
            <c:showCatName val="1"/>
            <c:showSerName val="0"/>
            <c:showPercent val="1"/>
            <c:separator>
</c:separator>
            <c:showLeaderLines val="1"/>
            <c:leaderLines>
              <c:spPr>
                <a:ln w="9360">
                  <a:solidFill>
                    <a:srgbClr val="a6a6a6"/>
                  </a:solidFill>
                </a:ln>
              </c:spPr>
            </c:leaderLines>
          </c:dLbls>
          <c:cat>
            <c:strRef>
              <c:f>'ОПЕРФАКТ 2025'!$B$23:$B$25</c:f>
              <c:strCache>
                <c:ptCount val="3"/>
                <c:pt idx="0">
                  <c:v>Убрали</c:v>
                </c:pt>
                <c:pt idx="1">
                  <c:v>Бросили</c:v>
                </c:pt>
                <c:pt idx="2">
                  <c:v>Осталось</c:v>
                </c:pt>
              </c:strCache>
            </c:strRef>
          </c:cat>
          <c:val>
            <c:numRef>
              <c:f>'ОПЕРФАКТ 2025'!$C$23:$C$25</c:f>
              <c:numCache>
                <c:formatCode>0</c:formatCode>
                <c:ptCount val="3"/>
                <c:pt idx="0">
                  <c:v>2197.02948004837</c:v>
                </c:pt>
                <c:pt idx="1">
                  <c:v>72</c:v>
                </c:pt>
                <c:pt idx="2">
                  <c:v>-0.0294800483675317</c:v>
                </c:pt>
              </c:numCache>
            </c:numRef>
          </c:val>
        </c:ser>
        <c:firstSliceAng val="139"/>
        <c:holeSize val="50"/>
      </c:doughnutChart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ru-RU" sz="1600" strike="noStrike" u="none">
                <a:solidFill>
                  <a:srgbClr val="000000"/>
                </a:solidFill>
                <a:uFillTx/>
                <a:latin typeface="Bahnschrift"/>
              </a:rPr>
              <a:t>Валовый сбор в разрезе предприятий</a:t>
            </a:r>
          </a:p>
        </c:rich>
      </c:tx>
      <c:layout>
        <c:manualLayout>
          <c:xMode val="edge"/>
          <c:yMode val="edge"/>
          <c:x val="0.269287918619271"/>
          <c:y val="0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730750180973064"/>
          <c:y val="0.0422851640856937"/>
          <c:w val="0.911075551491599"/>
          <c:h val="0.7639412661477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'ОПЕРФАКТ 2025'!$J$3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rgbClr val="fbe5d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pattFill prst="openDmnd">
                <a:fgClr>
                  <a:srgbClr val="afabab"/>
                </a:fgClr>
                <a:bgClr>
                  <a:srgbClr val="ffffff"/>
                </a:bgClr>
              </a:pattFill>
              <a:ln w="0">
                <a:noFill/>
              </a:ln>
            </c:spPr>
          </c:dPt>
          <c:dPt>
            <c:idx val="1"/>
            <c:invertIfNegative val="0"/>
            <c:spPr>
              <a:pattFill prst="openDmnd">
                <a:fgClr>
                  <a:srgbClr val="fbe5d6"/>
                </a:fgClr>
                <a:bgClr>
                  <a:srgbClr val="ffffff"/>
                </a:bgClr>
              </a:pattFill>
              <a:ln w="0">
                <a:noFill/>
              </a:ln>
            </c:spPr>
          </c:dPt>
          <c:dPt>
            <c:idx val="2"/>
            <c:invertIfNegative val="0"/>
            <c:spPr>
              <a:pattFill prst="openDmnd">
                <a:fgClr>
                  <a:srgbClr val="b4c7e7"/>
                </a:fgClr>
                <a:bgClr>
                  <a:srgbClr val="ffffff"/>
                </a:bgClr>
              </a:pattFill>
              <a:ln w="0">
                <a:noFill/>
              </a:ln>
            </c:spPr>
          </c:dPt>
          <c:dPt>
            <c:idx val="3"/>
            <c:invertIfNegative val="0"/>
            <c:spPr>
              <a:pattFill prst="openDmnd">
                <a:fgClr>
                  <a:srgbClr val="7030a0"/>
                </a:fgClr>
                <a:bgClr>
                  <a:srgbClr val="ffffff"/>
                </a:bgClr>
              </a:pattFill>
              <a:ln w="0">
                <a:noFill/>
              </a:ln>
            </c:spPr>
          </c:dPt>
          <c:dPt>
            <c:idx val="4"/>
            <c:invertIfNegative val="0"/>
            <c:spPr>
              <a:pattFill prst="openDmnd">
                <a:fgClr>
                  <a:srgbClr val="ffe699"/>
                </a:fgClr>
                <a:bgClr>
                  <a:srgbClr val="ffffff"/>
                </a:bgClr>
              </a:pattFill>
              <a:ln w="0">
                <a:noFill/>
              </a:ln>
            </c:spPr>
          </c:dPt>
          <c:dPt>
            <c:idx val="5"/>
            <c:invertIfNegative val="0"/>
            <c:spPr>
              <a:pattFill prst="openDmnd">
                <a:fgClr>
                  <a:srgbClr val="a9d18e"/>
                </a:fgClr>
                <a:bgClr>
                  <a:srgbClr val="ffffff"/>
                </a:bgClr>
              </a:patt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2025'!$I$4:$I$9</c:f>
              <c:strCache>
                <c:ptCount val="6"/>
                <c:pt idx="0">
                  <c:v>Иррико-Холдинг</c:v>
                </c:pt>
                <c:pt idx="1">
                  <c:v>Грин Рэй Кубань</c:v>
                </c:pt>
                <c:pt idx="2">
                  <c:v>Агролидер</c:v>
                </c:pt>
                <c:pt idx="3">
                  <c:v>Братковский</c:v>
                </c:pt>
                <c:pt idx="4">
                  <c:v>им. Кирова</c:v>
                </c:pt>
                <c:pt idx="5">
                  <c:v>Колос</c:v>
                </c:pt>
              </c:strCache>
            </c:strRef>
          </c:cat>
          <c:val>
            <c:numRef>
              <c:f>'ОПЕРФАКТ 2025'!$J$4:$J$9</c:f>
              <c:numCache>
                <c:formatCode>#,##0</c:formatCode>
                <c:ptCount val="6"/>
                <c:pt idx="0">
                  <c:v>14784</c:v>
                </c:pt>
                <c:pt idx="1">
                  <c:v>3690</c:v>
                </c:pt>
                <c:pt idx="2">
                  <c:v>2250</c:v>
                </c:pt>
                <c:pt idx="3">
                  <c:v>4824</c:v>
                </c:pt>
                <c:pt idx="4">
                  <c:v>5049</c:v>
                </c:pt>
                <c:pt idx="5">
                  <c:v>8569</c:v>
                </c:pt>
              </c:numCache>
            </c:numRef>
          </c:val>
        </c:ser>
        <c:ser>
          <c:idx val="1"/>
          <c:order val="1"/>
          <c:tx>
            <c:strRef>
              <c:f>'ОПЕРФАКТ 2025'!$K$3</c:f>
              <c:strCache>
                <c:ptCount val="1"/>
                <c:pt idx="0">
                  <c:v>Факт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afabab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be5d6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9dc3e6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966ff">
                  <a:alpha val="44000"/>
                </a:srgbClr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fff2cc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e2f0d9"/>
              </a:solidFill>
              <a:ln w="0">
                <a:noFill/>
              </a:ln>
            </c:spPr>
          </c:dPt>
          <c:dLbls>
            <c:dLbl>
              <c:idx val="0"/>
              <c:layout>
                <c:manualLayout>
                  <c:x val="0.0068107528810021"/>
                  <c:y val="-0.00988294546014838"/>
                </c:manualLayout>
              </c:layout>
              <c:txPr>
                <a:bodyPr wrap="square"/>
                <a:lstStyle/>
                <a:p>
                  <a:pPr>
                    <a:defRPr b="1" sz="2400" strike="noStrike" u="none">
                      <a:solidFill>
                        <a:srgbClr val="404040"/>
                      </a:solidFill>
                      <a:uFillTx/>
                      <a:latin typeface="Bahnschrift"/>
                    </a:defRPr>
                  </a:pPr>
                </a:p>
              </c:txPr>
              <c:tx>
                <c:rich>
                  <a:bodyPr/>
                  <a:p>
                    <a:fld id="{77BDFFFB-1150-411A-84E3-3179D87EA085}" type="CELLRANGE">
                      <a:rPr b="0" lang="en-US" sz="2400" strike="noStrike" u="none">
                        <a:solidFill>
                          <a:srgbClr val="404040"/>
                        </a:solidFill>
                        <a:uFillTx/>
                        <a:latin typeface="Bahnschrift"/>
                      </a:rPr>
                      <a:t>[CELLRANGE]</a:t>
                    </a:fld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  <c:extLst>
                <c:ext xmlns:c15="http://schemas.microsoft.com/office/drawing/2012/chart" uri="{CE6537A1-D6FC-4f65-9D91-7224C49458BB}">
                  <c15:showDataLabelsRange val="1"/>
                </c:ext>
              </c:extLst>
            </c:dLbl>
            <c:dLbl>
              <c:idx val="1"/>
              <c:layout>
                <c:manualLayout>
                  <c:x val="0.00811290820323742"/>
                  <c:y val="-0.0101576456666798"/>
                </c:manualLayout>
              </c:layout>
              <c:txPr>
                <a:bodyPr wrap="square"/>
                <a:lstStyle/>
                <a:p>
                  <a:pPr>
                    <a:defRPr b="1" sz="2400" strike="noStrike" u="none">
                      <a:solidFill>
                        <a:srgbClr val="404040"/>
                      </a:solidFill>
                      <a:uFillTx/>
                      <a:latin typeface="Bahnschrift"/>
                    </a:defRPr>
                  </a:pPr>
                </a:p>
              </c:txPr>
              <c:tx>
                <c:rich>
                  <a:bodyPr/>
                  <a:p>
                    <a:fld id="{5517A142-D062-4A8C-9853-AD17249D3DDE}" type="CELLRANGE">
                      <a:rPr b="0" lang="en-US" sz="2400" strike="noStrike" u="none">
                        <a:solidFill>
                          <a:srgbClr val="404040"/>
                        </a:solidFill>
                        <a:uFillTx/>
                        <a:latin typeface="Bahnschrift"/>
                      </a:rPr>
                      <a:t>[CELLRANGE]</a:t>
                    </a:fld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  <c:extLst>
                <c:ext xmlns:c15="http://schemas.microsoft.com/office/drawing/2012/chart" uri="{CE6537A1-D6FC-4f65-9D91-7224C49458BB}">
                  <c15:showDataLabelsRange val="1"/>
                </c:ext>
              </c:extLst>
            </c:dLbl>
            <c:dLbl>
              <c:idx val="2"/>
              <c:txPr>
                <a:bodyPr wrap="square"/>
                <a:lstStyle/>
                <a:p>
                  <a:pPr>
                    <a:defRPr b="1" sz="2400" strike="noStrike" u="none">
                      <a:solidFill>
                        <a:srgbClr val="404040"/>
                      </a:solidFill>
                      <a:uFillTx/>
                      <a:latin typeface="Calibri"/>
                    </a:defRPr>
                  </a:pPr>
                </a:p>
              </c:txPr>
              <c:tx>
                <c:rich>
                  <a:bodyPr/>
                  <a:p>
                    <a:fld id="{10F2228C-35A1-43B3-B286-3C1598136186}" type="CELLRANGE">
                      <a:rPr b="0" lang="ru-RU" sz="2400" strike="noStrike" u="none">
                        <a:solidFill>
                          <a:srgbClr val="404040"/>
                        </a:solidFill>
                        <a:uFillTx/>
                        <a:latin typeface="Calibri"/>
                      </a:rPr>
                      <a:t>[CELLRANGE]</a:t>
                    </a:fld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  <c:extLst>
                <c:ext xmlns:c15="http://schemas.microsoft.com/office/drawing/2012/chart" uri="{CE6537A1-D6FC-4f65-9D91-7224C49458BB}">
                  <c15:showDataLabelsRange val="1"/>
                </c:ext>
              </c:extLst>
            </c:dLbl>
            <c:dLbl>
              <c:idx val="3"/>
              <c:layout>
                <c:manualLayout>
                  <c:x val="0.00953115917121576"/>
                  <c:y val="-0.00299823599847397"/>
                </c:manualLayout>
              </c:layout>
              <c:txPr>
                <a:bodyPr wrap="square"/>
                <a:lstStyle/>
                <a:p>
                  <a:pPr>
                    <a:defRPr b="1" sz="2400" strike="noStrike" u="none">
                      <a:solidFill>
                        <a:srgbClr val="404040"/>
                      </a:solidFill>
                      <a:uFillTx/>
                      <a:latin typeface="Calibri"/>
                    </a:defRPr>
                  </a:pPr>
                </a:p>
              </c:txPr>
              <c:tx>
                <c:rich>
                  <a:bodyPr/>
                  <a:p>
                    <a:fld id="{71A22931-4875-4B03-9E45-BCAF1103A845}" type="CELLRANGE">
                      <a:rPr b="0" lang="en-US" sz="2400" strike="noStrike" u="none">
                        <a:solidFill>
                          <a:srgbClr val="404040"/>
                        </a:solidFill>
                        <a:uFillTx/>
                        <a:latin typeface="Calibri"/>
                      </a:rPr>
                      <a:t>[CELLRANGE]</a:t>
                    </a:fld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  <c:extLst>
                <c:ext xmlns:c15="http://schemas.microsoft.com/office/drawing/2012/chart" uri="{CE6537A1-D6FC-4f65-9D91-7224C49458BB}">
                  <c15:showDataLabelsRange val="1"/>
                </c:ext>
              </c:extLst>
            </c:dLbl>
            <c:dLbl>
              <c:idx val="4"/>
              <c:layout>
                <c:manualLayout>
                  <c:x val="0.0053924109458724"/>
                  <c:y val="0"/>
                </c:manualLayout>
              </c:layout>
              <c:txPr>
                <a:bodyPr wrap="square"/>
                <a:lstStyle/>
                <a:p>
                  <a:pPr>
                    <a:defRPr b="1" sz="2400" strike="noStrike" u="none">
                      <a:solidFill>
                        <a:srgbClr val="404040"/>
                      </a:solidFill>
                      <a:uFillTx/>
                      <a:latin typeface="Bahnschrift"/>
                    </a:defRPr>
                  </a:pPr>
                </a:p>
              </c:txPr>
              <c:tx>
                <c:rich>
                  <a:bodyPr/>
                  <a:p>
                    <a:fld id="{8D5C2816-F233-43F0-AEE1-783CC14295CF}" type="CELLRANGE">
                      <a:rPr b="0" lang="en-US" sz="2400" strike="noStrike" u="none">
                        <a:solidFill>
                          <a:srgbClr val="404040"/>
                        </a:solidFill>
                        <a:uFillTx/>
                        <a:latin typeface="Bahnschrift"/>
                      </a:rPr>
                      <a:t>[CELLRANGE]</a:t>
                    </a:fld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  <c:extLst>
                <c:ext xmlns:c15="http://schemas.microsoft.com/office/drawing/2012/chart" uri="{CE6537A1-D6FC-4f65-9D91-7224C49458BB}">
                  <c15:showDataLabelsRange val="1"/>
                </c:ext>
              </c:extLst>
            </c:dLbl>
            <c:dLbl>
              <c:idx val="5"/>
              <c:layout>
                <c:manualLayout>
                  <c:x val="0.0094367191552767"/>
                  <c:y val="0.00294161723630197"/>
                </c:manualLayout>
              </c:layout>
              <c:txPr>
                <a:bodyPr wrap="square"/>
                <a:lstStyle/>
                <a:p>
                  <a:pPr>
                    <a:defRPr b="1" sz="2400" strike="noStrike" u="none">
                      <a:solidFill>
                        <a:srgbClr val="404040"/>
                      </a:solidFill>
                      <a:uFillTx/>
                      <a:latin typeface="Bahnschrift"/>
                    </a:defRPr>
                  </a:pPr>
                </a:p>
              </c:txPr>
              <c:tx>
                <c:rich>
                  <a:bodyPr/>
                  <a:p>
                    <a:fld id="{BEC5DAEF-1291-4682-BFD2-A033014F0C09}" type="CELLRANGE">
                      <a:rPr b="0" lang="en-US" sz="2400" strike="noStrike" u="none">
                        <a:solidFill>
                          <a:srgbClr val="404040"/>
                        </a:solidFill>
                        <a:uFillTx/>
                        <a:latin typeface="Bahnschrift"/>
                      </a:rPr>
                      <a:t>[CELLRANGE]</a:t>
                    </a:fld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  <c:extLst>
                <c:ext xmlns:c15="http://schemas.microsoft.com/office/drawing/2012/chart" uri="{CE6537A1-D6FC-4f65-9D91-7224C49458BB}">
                  <c15:showDataLabelsRange val="1"/>
                </c:ext>
              </c:extLst>
            </c:dLbl>
            <c:txPr>
              <a:bodyPr wrap="square"/>
              <a:lstStyle/>
              <a:p>
                <a:pPr>
                  <a:defRPr b="1" sz="2400" strike="noStrike" u="none">
                    <a:solidFill>
                      <a:srgbClr val="40404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'ОПЕРФАКТ 2025'!$I$4:$I$9</c:f>
              <c:strCache>
                <c:ptCount val="6"/>
                <c:pt idx="0">
                  <c:v>Иррико-Холдинг</c:v>
                </c:pt>
                <c:pt idx="1">
                  <c:v>Грин Рэй Кубань</c:v>
                </c:pt>
                <c:pt idx="2">
                  <c:v>Агролидер</c:v>
                </c:pt>
                <c:pt idx="3">
                  <c:v>Братковский</c:v>
                </c:pt>
                <c:pt idx="4">
                  <c:v>им. Кирова</c:v>
                </c:pt>
                <c:pt idx="5">
                  <c:v>Колос</c:v>
                </c:pt>
              </c:strCache>
            </c:strRef>
          </c:cat>
          <c:val>
            <c:numRef>
              <c:f>'ОПЕРФАКТ 2025'!$K$4:$K$9</c:f>
              <c:numCache>
                <c:formatCode>#,##0</c:formatCode>
                <c:ptCount val="6"/>
                <c:pt idx="0">
                  <c:v>13741.16</c:v>
                </c:pt>
                <c:pt idx="1">
                  <c:v>2362.94</c:v>
                </c:pt>
                <c:pt idx="2">
                  <c:v>1860.64</c:v>
                </c:pt>
                <c:pt idx="3">
                  <c:v>3223.16</c:v>
                </c:pt>
                <c:pt idx="4">
                  <c:v>4688.0497</c:v>
                </c:pt>
                <c:pt idx="5">
                  <c:v>9223.7003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2025'!$L$4:$L$9</c15:f>
                <c15:dlblRangeCache>
                  <c:ptCount val="6"/>
                  <c:pt idx="0">
                    <c:v>93%</c:v>
                  </c:pt>
                  <c:pt idx="1">
                    <c:v>64%</c:v>
                  </c:pt>
                  <c:pt idx="2">
                    <c:v>83%</c:v>
                  </c:pt>
                  <c:pt idx="3">
                    <c:v>67%</c:v>
                  </c:pt>
                  <c:pt idx="4">
                    <c:v>93%</c:v>
                  </c:pt>
                  <c:pt idx="5">
                    <c:v>108%</c:v>
                  </c:pt>
                </c15:dlblRangeCache>
              </c15:datalabelsRange>
            </c:ext>
          </c:extLst>
        </c:ser>
        <c:gapWidth val="95"/>
        <c:overlap val="0"/>
        <c:axId val="47872846"/>
        <c:axId val="95842598"/>
      </c:barChart>
      <c:catAx>
        <c:axId val="4787284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5842598"/>
        <c:crosses val="autoZero"/>
        <c:auto val="1"/>
        <c:lblAlgn val="ctr"/>
        <c:lblOffset val="100"/>
        <c:noMultiLvlLbl val="0"/>
      </c:catAx>
      <c:valAx>
        <c:axId val="95842598"/>
        <c:scaling>
          <c:orientation val="minMax"/>
        </c:scaling>
        <c:delete val="1"/>
        <c:axPos val="l"/>
        <c:numFmt formatCode="#,##0" sourceLinked="1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872846"/>
        <c:crossBetween val="between"/>
      </c:valAx>
      <c:dTable>
        <c:spPr>
          <a:noFill/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1" sz="1400" strike="noStrike" u="none">
                <a:solidFill>
                  <a:srgbClr val="595959"/>
                </a:solidFill>
                <a:uFillTx/>
                <a:latin typeface="Bahnschrift"/>
              </a:defRPr>
            </a:pPr>
          </a:p>
        </c:txPr>
      </c:dTable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ru-RU" sz="1600" strike="noStrike" u="none">
                <a:solidFill>
                  <a:srgbClr val="000000"/>
                </a:solidFill>
                <a:uFillTx/>
                <a:latin typeface="Bahnschrift"/>
              </a:rPr>
              <a:t>Статистика уборки за 2023-2025</a:t>
            </a:r>
            <a:r>
              <a:rPr b="0" lang="ru-RU" sz="1600" strike="noStrike" u="none">
                <a:solidFill>
                  <a:srgbClr val="000000"/>
                </a:solidFill>
                <a:uFillTx/>
                <a:latin typeface="Bahnschrift"/>
              </a:rPr>
              <a:t> </a:t>
            </a:r>
            <a:r>
              <a:rPr b="0" lang="ru-RU" sz="1600" strike="noStrike" u="none">
                <a:solidFill>
                  <a:srgbClr val="000000"/>
                </a:solidFill>
                <a:uFillTx/>
                <a:latin typeface="Bahnschrift"/>
              </a:rPr>
              <a:t>гг.</a:t>
            </a:r>
          </a:p>
        </c:rich>
      </c:tx>
      <c:layout>
        <c:manualLayout>
          <c:xMode val="edge"/>
          <c:yMode val="edge"/>
          <c:x val="0.0374808720364077"/>
          <c:y val="0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565194061885173"/>
          <c:y val="0.0867977528089888"/>
          <c:w val="0.510443371291162"/>
          <c:h val="0.78043071161048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'ОПЕРФАКТ 2025'!$B$83</c:f>
              <c:strCache>
                <c:ptCount val="1"/>
                <c:pt idx="0">
                  <c:v>Иррико-Холдинг</c:v>
                </c:pt>
              </c:strCache>
            </c:strRef>
          </c:tx>
          <c:spPr>
            <a:solidFill>
              <a:srgbClr val="afabab"/>
            </a:solidFill>
            <a:ln w="0">
              <a:noFill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600" strike="noStrike" u="none">
                    <a:solidFill>
                      <a:srgbClr val="000000"/>
                    </a:solidFill>
                    <a:uFillTx/>
                    <a:latin typeface="Bahnschrift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2025'!$C$83:$F$83</c:f>
              <c:numCache>
                <c:formatCode>#,##0</c:formatCode>
                <c:ptCount val="4"/>
                <c:pt idx="0">
                  <c:v>3647.23</c:v>
                </c:pt>
                <c:pt idx="1">
                  <c:v>5885.83</c:v>
                </c:pt>
                <c:pt idx="2">
                  <c:v>6304.38</c:v>
                </c:pt>
                <c:pt idx="3">
                  <c:v>13741.16</c:v>
                </c:pt>
              </c:numCache>
            </c:numRef>
          </c:val>
        </c:ser>
        <c:ser>
          <c:idx val="1"/>
          <c:order val="1"/>
          <c:tx>
            <c:strRef>
              <c:f>'ОПЕРФАКТ 2025'!$B$82</c:f>
              <c:strCache>
                <c:ptCount val="1"/>
                <c:pt idx="0">
                  <c:v>Грин Рэй Кубань</c:v>
                </c:pt>
              </c:strCache>
            </c:strRef>
          </c:tx>
          <c:spPr>
            <a:solidFill>
              <a:srgbClr val="fbe5d6"/>
            </a:solidFill>
            <a:ln w="0">
              <a:noFill/>
            </a:ln>
          </c:spPr>
          <c:invertIfNegative val="0"/>
          <c:dPt>
            <c:idx val="3"/>
            <c:invertIfNegative val="0"/>
            <c:spPr>
              <a:solidFill>
                <a:srgbClr val="fbe5d6"/>
              </a:solidFill>
              <a:ln w="0">
                <a:noFill/>
              </a:ln>
            </c:spPr>
          </c:dPt>
          <c:dLbls>
            <c:numFmt formatCode="#,##0" sourceLinked="1"/>
            <c:dLbl>
              <c:idx val="3"/>
              <c:layout>
                <c:manualLayout>
                  <c:x val="-0.00348309344897759"/>
                  <c:y val="-0.00330313264418372"/>
                </c:manualLayout>
              </c:layout>
              <c:numFmt formatCode="#,##0" sourceLinked="1"/>
              <c:txPr>
                <a:bodyPr wrap="square"/>
                <a:lstStyle/>
                <a:p>
                  <a:pPr>
                    <a:defRPr b="1" sz="1200" strike="noStrike" u="none">
                      <a:solidFill>
                        <a:srgbClr val="000000"/>
                      </a:solidFill>
                      <a:uFillTx/>
                      <a:latin typeface="Bahnschrift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600" strike="noStrike" u="none">
                    <a:solidFill>
                      <a:srgbClr val="000000"/>
                    </a:solidFill>
                    <a:uFillTx/>
                    <a:latin typeface="Bahnschrift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2025'!$C$82:$F$82</c:f>
              <c:numCache>
                <c:formatCode>#,##0</c:formatCode>
                <c:ptCount val="4"/>
                <c:pt idx="0">
                  <c:v>4513.01</c:v>
                </c:pt>
                <c:pt idx="1">
                  <c:v>4780.11</c:v>
                </c:pt>
                <c:pt idx="2">
                  <c:v>3886.01</c:v>
                </c:pt>
                <c:pt idx="3">
                  <c:v>2362.94</c:v>
                </c:pt>
              </c:numCache>
            </c:numRef>
          </c:val>
        </c:ser>
        <c:ser>
          <c:idx val="2"/>
          <c:order val="2"/>
          <c:tx>
            <c:strRef>
              <c:f>'ОПЕРФАКТ 2025'!$B$80</c:f>
              <c:strCache>
                <c:ptCount val="1"/>
                <c:pt idx="0">
                  <c:v>Агролидер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Pt>
            <c:idx val="3"/>
            <c:invertIfNegative val="0"/>
            <c:spPr>
              <a:solidFill>
                <a:srgbClr val="9dc3e6"/>
              </a:solidFill>
              <a:ln w="0">
                <a:noFill/>
              </a:ln>
            </c:spPr>
          </c:dPt>
          <c:dLbls>
            <c:numFmt formatCode="#,##0" sourceLinked="1"/>
            <c:dLbl>
              <c:idx val="3"/>
              <c:layout>
                <c:manualLayout>
                  <c:x val="0.00021258130026887"/>
                  <c:y val="0.0015836830449161"/>
                </c:manualLayout>
              </c:layout>
              <c:numFmt formatCode="#,##0" sourceLinked="1"/>
              <c:txPr>
                <a:bodyPr wrap="square"/>
                <a:lstStyle/>
                <a:p>
                  <a:pPr>
                    <a:defRPr b="1" sz="1200" strike="noStrike" u="none">
                      <a:solidFill>
                        <a:srgbClr val="000000"/>
                      </a:solidFill>
                      <a:uFillTx/>
                      <a:latin typeface="Bahnschrift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200" strike="noStrike" u="none">
                    <a:solidFill>
                      <a:srgbClr val="000000"/>
                    </a:solidFill>
                    <a:uFillTx/>
                    <a:latin typeface="Bahnschrift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2025'!$C$80:$F$80</c:f>
              <c:numCache>
                <c:formatCode>#,##0</c:formatCode>
                <c:ptCount val="4"/>
                <c:pt idx="3">
                  <c:v>1860.64</c:v>
                </c:pt>
              </c:numCache>
            </c:numRef>
          </c:val>
        </c:ser>
        <c:ser>
          <c:idx val="3"/>
          <c:order val="3"/>
          <c:tx>
            <c:strRef>
              <c:f>'ОПЕРФАКТ 2025'!$B$81</c:f>
              <c:strCache>
                <c:ptCount val="1"/>
                <c:pt idx="0">
                  <c:v>Братковский</c:v>
                </c:pt>
              </c:strCache>
            </c:strRef>
          </c:tx>
          <c:spPr>
            <a:solidFill>
              <a:srgbClr val="7030a0">
                <a:alpha val="38000"/>
              </a:srgbClr>
            </a:solidFill>
            <a:ln w="0">
              <a:noFill/>
            </a:ln>
          </c:spPr>
          <c:invertIfNegative val="0"/>
          <c:dPt>
            <c:idx val="3"/>
            <c:invertIfNegative val="0"/>
            <c:spPr>
              <a:solidFill>
                <a:srgbClr val="7030a0">
                  <a:alpha val="38000"/>
                </a:srgbClr>
              </a:solidFill>
              <a:ln w="0">
                <a:noFill/>
              </a:ln>
            </c:spPr>
          </c:dPt>
          <c:dLbls>
            <c:numFmt formatCode="#,##0" sourceLinked="1"/>
            <c:dLbl>
              <c:idx val="3"/>
              <c:layout>
                <c:manualLayout>
                  <c:x val="0.00283767615899012"/>
                  <c:y val="0.000303263989221904"/>
                </c:manualLayout>
              </c:layout>
              <c:numFmt formatCode="#,##0" sourceLinked="1"/>
              <c:txPr>
                <a:bodyPr wrap="square"/>
                <a:lstStyle/>
                <a:p>
                  <a:pPr>
                    <a:defRPr b="1" sz="14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4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2025'!$C$81:$F$81</c:f>
              <c:numCache>
                <c:formatCode>#,##0</c:formatCode>
                <c:ptCount val="4"/>
                <c:pt idx="3">
                  <c:v>3223.16</c:v>
                </c:pt>
              </c:numCache>
            </c:numRef>
          </c:val>
        </c:ser>
        <c:ser>
          <c:idx val="4"/>
          <c:order val="4"/>
          <c:tx>
            <c:strRef>
              <c:f>'ОПЕРФАКТ 2025'!$B$84</c:f>
              <c:strCache>
                <c:ptCount val="1"/>
                <c:pt idx="0">
                  <c:v>им. Кирова</c:v>
                </c:pt>
              </c:strCache>
            </c:strRef>
          </c:tx>
          <c:spPr>
            <a:solidFill>
              <a:srgbClr val="fff2cc"/>
            </a:solidFill>
            <a:ln w="0">
              <a:noFill/>
            </a:ln>
          </c:spPr>
          <c:invertIfNegative val="0"/>
          <c:dPt>
            <c:idx val="3"/>
            <c:invertIfNegative val="0"/>
            <c:spPr>
              <a:solidFill>
                <a:srgbClr val="fff2cc"/>
              </a:solidFill>
              <a:ln w="0">
                <a:noFill/>
              </a:ln>
            </c:spPr>
          </c:dPt>
          <c:dLbls>
            <c:numFmt formatCode="#,##0" sourceLinked="1"/>
            <c:dLbl>
              <c:idx val="3"/>
              <c:layout>
                <c:manualLayout>
                  <c:x val="0.0013579056854073"/>
                  <c:y val="5.98205124537204E-006"/>
                </c:manualLayout>
              </c:layout>
              <c:numFmt formatCode="#,##0" sourceLinked="1"/>
              <c:txPr>
                <a:bodyPr wrap="square"/>
                <a:lstStyle/>
                <a:p>
                  <a:pPr>
                    <a:defRPr b="1" sz="1400" strike="noStrike" u="none">
                      <a:solidFill>
                        <a:srgbClr val="404040"/>
                      </a:solidFill>
                      <a:uFillTx/>
                      <a:latin typeface="Bahnschrift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1400" strike="noStrike" u="none">
                    <a:solidFill>
                      <a:srgbClr val="404040"/>
                    </a:solidFill>
                    <a:uFillTx/>
                    <a:latin typeface="Bahnschrift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2025'!$C$84:$F$84</c:f>
              <c:numCache>
                <c:formatCode>#,##0</c:formatCode>
                <c:ptCount val="4"/>
                <c:pt idx="0">
                  <c:v>1823.61</c:v>
                </c:pt>
                <c:pt idx="1">
                  <c:v>1986.55</c:v>
                </c:pt>
                <c:pt idx="2">
                  <c:v>3497.07</c:v>
                </c:pt>
                <c:pt idx="3">
                  <c:v>4688.0497</c:v>
                </c:pt>
              </c:numCache>
            </c:numRef>
          </c:val>
        </c:ser>
        <c:ser>
          <c:idx val="5"/>
          <c:order val="5"/>
          <c:tx>
            <c:strRef>
              <c:f>'ОПЕРФАКТ 2025'!$B$85</c:f>
              <c:strCache>
                <c:ptCount val="1"/>
                <c:pt idx="0">
                  <c:v>Колос</c:v>
                </c:pt>
              </c:strCache>
            </c:strRef>
          </c:tx>
          <c:spPr>
            <a:solidFill>
              <a:srgbClr val="c5e0b4"/>
            </a:solidFill>
            <a:ln w="0">
              <a:noFill/>
            </a:ln>
          </c:spPr>
          <c:invertIfNegative val="0"/>
          <c:dPt>
            <c:idx val="3"/>
            <c:invertIfNegative val="0"/>
            <c:spPr>
              <a:solidFill>
                <a:srgbClr val="c5e0b4"/>
              </a:solidFill>
              <a:ln w="0">
                <a:noFill/>
              </a:ln>
            </c:spPr>
          </c:dPt>
          <c:dLbls>
            <c:numFmt formatCode="#,##0" sourceLinked="1"/>
            <c:dLbl>
              <c:idx val="3"/>
              <c:layout>
                <c:manualLayout>
                  <c:x val="0.00428496357359214"/>
                  <c:y val="-0.00330313264418369"/>
                </c:manualLayout>
              </c:layout>
              <c:numFmt formatCode="#,##0" sourceLinked="1"/>
              <c:txPr>
                <a:bodyPr wrap="square"/>
                <a:lstStyle/>
                <a:p>
                  <a:pPr>
                    <a:defRPr b="1" sz="1400" strike="noStrike" u="none">
                      <a:solidFill>
                        <a:srgbClr val="404040"/>
                      </a:solidFill>
                      <a:uFillTx/>
                      <a:latin typeface="Bahnschrift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1400" strike="noStrike" u="none">
                    <a:solidFill>
                      <a:srgbClr val="404040"/>
                    </a:solidFill>
                    <a:uFillTx/>
                    <a:latin typeface="Bahnschrift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2025'!$C$85:$F$85</c:f>
              <c:numCache>
                <c:formatCode>#,##0</c:formatCode>
                <c:ptCount val="4"/>
                <c:pt idx="0">
                  <c:v>9977.4</c:v>
                </c:pt>
                <c:pt idx="1">
                  <c:v>10250.58</c:v>
                </c:pt>
                <c:pt idx="2">
                  <c:v>7397.2</c:v>
                </c:pt>
                <c:pt idx="3">
                  <c:v>9223.7003</c:v>
                </c:pt>
              </c:numCache>
            </c:numRef>
          </c:val>
        </c:ser>
        <c:ser>
          <c:idx val="6"/>
          <c:order val="6"/>
          <c:tx>
            <c:strRef>
              <c:f>'ОПЕРФАКТ 2025'!$B$86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rgbClr val="b4c7e7"/>
            </a:solidFill>
            <a:ln w="0">
              <a:noFill/>
            </a:ln>
          </c:spPr>
          <c:invertIfNegative val="0"/>
          <c:dPt>
            <c:idx val="3"/>
            <c:invertIfNegative val="0"/>
            <c:spPr>
              <a:solidFill>
                <a:srgbClr val="b4c7e7"/>
              </a:solidFill>
              <a:ln w="0">
                <a:noFill/>
              </a:ln>
            </c:spPr>
          </c:dPt>
          <c:dLbls>
            <c:numFmt formatCode="#,##0" sourceLinked="1"/>
            <c:dLbl>
              <c:idx val="3"/>
              <c:txPr>
                <a:bodyPr wrap="square"/>
                <a:lstStyle/>
                <a:p>
                  <a:pPr>
                    <a:defRPr b="0" sz="1400" strike="noStrike" u="none">
                      <a:solidFill>
                        <a:srgbClr val="000000"/>
                      </a:solidFill>
                      <a:uFillTx/>
                      <a:latin typeface="Bahnschrift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400" strike="noStrike" u="none">
                    <a:solidFill>
                      <a:srgbClr val="000000"/>
                    </a:solidFill>
                    <a:uFillTx/>
                    <a:latin typeface="Bahnschrift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2025'!$C$86:$F$86</c:f>
              <c:numCache>
                <c:formatCode>#,##0</c:formatCode>
                <c:ptCount val="4"/>
                <c:pt idx="0">
                  <c:v>11780.65</c:v>
                </c:pt>
                <c:pt idx="1">
                  <c:v>649.830000000002</c:v>
                </c:pt>
                <c:pt idx="2">
                  <c:v>2875.38</c:v>
                </c:pt>
                <c:pt idx="3">
                  <c:v>0</c:v>
                </c:pt>
              </c:numCache>
            </c:numRef>
          </c:val>
        </c:ser>
        <c:ser>
          <c:idx val="7"/>
          <c:order val="7"/>
          <c:tx>
            <c:strRef>
              <c:f>'ОПЕРФАКТ 2025'!$B$87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rgbClr val="9e480e"/>
            </a:solidFill>
            <a:ln w="0">
              <a:noFill/>
            </a:ln>
          </c:spPr>
          <c:invertIfNegative val="0"/>
          <c:dPt>
            <c:idx val="3"/>
            <c:invertIfNegative val="0"/>
            <c:spPr>
              <a:pattFill prst="ltVert">
                <a:fgClr>
                  <a:srgbClr val="e7e6e6"/>
                </a:fgClr>
                <a:bgClr>
                  <a:srgbClr val="ffffff"/>
                </a:bgClr>
              </a:pattFill>
              <a:ln w="0">
                <a:noFill/>
              </a:ln>
            </c:spPr>
          </c:dPt>
          <c:dLbls>
            <c:numFmt formatCode="#,##0" sourceLinked="1"/>
            <c:dLbl>
              <c:idx val="3"/>
              <c:numFmt formatCode="#,##0" sourceLinked="1"/>
              <c:txPr>
                <a:bodyPr wrap="square"/>
                <a:lstStyle/>
                <a:p>
                  <a:pPr>
                    <a:defRPr b="1" sz="1600" strike="noStrike" u="none">
                      <a:solidFill>
                        <a:srgbClr val="404040"/>
                      </a:solidFill>
                      <a:uFillTx/>
                      <a:latin typeface="Bahnschrift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1600" strike="noStrike" u="none">
                    <a:solidFill>
                      <a:srgbClr val="404040"/>
                    </a:solidFill>
                    <a:uFillTx/>
                    <a:latin typeface="Bahnschrift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2025'!$C$87:$F$87</c:f>
              <c:numCache>
                <c:formatCode>#,##0</c:formatCode>
                <c:ptCount val="4"/>
                <c:pt idx="3">
                  <c:v>4066.35</c:v>
                </c:pt>
              </c:numCache>
            </c:numRef>
          </c:val>
        </c:ser>
        <c:gapWidth val="45"/>
        <c:overlap val="100"/>
        <c:axId val="59081507"/>
        <c:axId val="1285093"/>
      </c:barChart>
      <c:catAx>
        <c:axId val="5908150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1" sz="1200" strike="noStrike" u="none">
                <a:solidFill>
                  <a:srgbClr val="000000"/>
                </a:solidFill>
                <a:uFillTx/>
                <a:latin typeface="Bahnschrift"/>
              </a:defRPr>
            </a:pPr>
          </a:p>
        </c:txPr>
        <c:crossAx val="1285093"/>
        <c:crosses val="autoZero"/>
        <c:auto val="1"/>
        <c:lblAlgn val="ctr"/>
        <c:lblOffset val="100"/>
        <c:noMultiLvlLbl val="0"/>
      </c:catAx>
      <c:valAx>
        <c:axId val="1285093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081507"/>
        <c:crossBetween val="between"/>
      </c:valAx>
      <c:spPr>
        <a:noFill/>
        <a:ln w="0">
          <a:noFill/>
        </a:ln>
      </c:spPr>
    </c:plotArea>
    <c:legend>
      <c:legendPos val="b"/>
      <c:legendEntry>
        <c:idx val="7"/>
        <c:delete val="1"/>
      </c:legendEntry>
      <c:layout>
        <c:manualLayout>
          <c:xMode val="edge"/>
          <c:yMode val="edge"/>
          <c:x val="0.0142743080463864"/>
          <c:y val="0.86529637220005"/>
          <c:w val="0.644881018590257"/>
          <c:h val="0.088635764250819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600" strike="noStrike" u="none">
              <a:solidFill>
                <a:srgbClr val="000000"/>
              </a:solidFill>
              <a:uFillTx/>
              <a:latin typeface="Bahnschrift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600" strike="noStrike" u="none">
                <a:solidFill>
                  <a:srgbClr val="000000"/>
                </a:solidFill>
                <a:uFillTx/>
                <a:latin typeface="Bahnschrift"/>
              </a:rPr>
              <a:t>Площадь уборки, га</a:t>
            </a:r>
          </a:p>
        </c:rich>
      </c:tx>
      <c:layout>
        <c:manualLayout>
          <c:xMode val="edge"/>
          <c:yMode val="edge"/>
          <c:x val="0.0713825952626159"/>
          <c:y val="0.0243134166748696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762100926879506"/>
          <c:y val="0.118023427502707"/>
          <c:w val="0.612255406797116"/>
          <c:h val="0.78049020572891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'ОПЕРФАКТ 2025'!$B$86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rgbClr val="d0cece"/>
            </a:solidFill>
            <a:ln w="0">
              <a:noFill/>
            </a:ln>
          </c:spPr>
          <c:invertIfNegative val="0"/>
          <c:dPt>
            <c:idx val="3"/>
            <c:invertIfNegative val="0"/>
            <c:spPr>
              <a:solidFill>
                <a:srgbClr val="d0cece"/>
              </a:solidFill>
              <a:ln w="0">
                <a:noFill/>
              </a:ln>
            </c:spPr>
          </c:dPt>
          <c:dLbls>
            <c:numFmt formatCode="00&quot; га&quot;" sourceLinked="1"/>
            <c:dLbl>
              <c:idx val="3"/>
              <c:numFmt formatCode="00&quot; га&quot;" sourceLinked="1"/>
              <c:txPr>
                <a:bodyPr wrap="square"/>
                <a:lstStyle/>
                <a:p>
                  <a:pPr>
                    <a:defRPr b="1" sz="1600" strike="noStrike" u="none">
                      <a:solidFill>
                        <a:srgbClr val="000000"/>
                      </a:solidFill>
                      <a:uFillTx/>
                      <a:latin typeface="Bahnschrift"/>
                    </a:defRPr>
                  </a:pPr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600" strike="noStrike" u="none">
                    <a:solidFill>
                      <a:srgbClr val="000000"/>
                    </a:solidFill>
                    <a:uFillTx/>
                    <a:latin typeface="Bahnschrift"/>
                  </a:defRPr>
                </a:pPr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2025'!$N$68:$Q$68</c:f>
              <c:numCache>
                <c:formatCode>00" га"</c:formatCode>
                <c:ptCount val="4"/>
                <c:pt idx="0">
                  <c:v>2015.98</c:v>
                </c:pt>
                <c:pt idx="1">
                  <c:v>1590.2</c:v>
                </c:pt>
                <c:pt idx="2">
                  <c:v>1836.5</c:v>
                </c:pt>
                <c:pt idx="3">
                  <c:v>2197.02948004837</c:v>
                </c:pt>
              </c:numCache>
            </c:numRef>
          </c:val>
        </c:ser>
        <c:gapWidth val="45"/>
        <c:overlap val="100"/>
        <c:axId val="46862232"/>
        <c:axId val="31668663"/>
      </c:barChart>
      <c:catAx>
        <c:axId val="4686223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1668663"/>
        <c:auto val="1"/>
        <c:lblAlgn val="ctr"/>
        <c:lblOffset val="100"/>
        <c:noMultiLvlLbl val="0"/>
      </c:catAx>
      <c:valAx>
        <c:axId val="31668663"/>
        <c:scaling>
          <c:orientation val="minMax"/>
        </c:scaling>
        <c:delete val="1"/>
        <c:axPos val="l"/>
        <c:numFmt formatCode="00&quot; га&quot;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862232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600" strike="noStrike" u="none">
                <a:solidFill>
                  <a:srgbClr val="000000"/>
                </a:solidFill>
                <a:uFillTx/>
                <a:latin typeface="Bahnschrift"/>
              </a:rPr>
              <a:t>Вал, т</a:t>
            </a:r>
          </a:p>
        </c:rich>
      </c:tx>
      <c:layout>
        <c:manualLayout>
          <c:xMode val="edge"/>
          <c:yMode val="edge"/>
          <c:x val="0.0620164266158791"/>
          <c:y val="0.0278570725465105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667777645518391"/>
          <c:y val="0.118023427502707"/>
          <c:w val="0.483037733603143"/>
          <c:h val="0.78049020572891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'ОПЕРФАКТ 2025'!$F$68:$I$68</c:f>
              <c:strCache>
                <c:ptCount val="1"/>
                <c:pt idx="0">
                  <c:v>31 742 т 23 553 т 23 960 т 35 100 т</c:v>
                </c:pt>
              </c:strCache>
            </c:strRef>
          </c:tx>
          <c:spPr>
            <a:solidFill>
              <a:srgbClr val="d0cece"/>
            </a:solidFill>
            <a:ln w="0">
              <a:noFill/>
            </a:ln>
          </c:spPr>
          <c:invertIfNegative val="0"/>
          <c:dPt>
            <c:idx val="3"/>
            <c:invertIfNegative val="0"/>
            <c:spPr>
              <a:solidFill>
                <a:srgbClr val="d0cece"/>
              </a:solidFill>
              <a:ln w="0">
                <a:noFill/>
              </a:ln>
            </c:spPr>
          </c:dPt>
          <c:dLbls>
            <c:numFmt formatCode="##\ ###&quot; т&quot;" sourceLinked="1"/>
            <c:dLbl>
              <c:idx val="3"/>
              <c:numFmt formatCode="##\ ###&quot; т&quot;" sourceLinked="1"/>
              <c:txPr>
                <a:bodyPr wrap="square"/>
                <a:lstStyle/>
                <a:p>
                  <a:pPr>
                    <a:defRPr b="1" sz="1400" strike="noStrike" u="none">
                      <a:solidFill>
                        <a:srgbClr val="000000"/>
                      </a:solidFill>
                      <a:uFillTx/>
                      <a:latin typeface="Bahnschrift"/>
                    </a:defRPr>
                  </a:pPr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400" strike="noStrike" u="none">
                    <a:solidFill>
                      <a:srgbClr val="000000"/>
                    </a:solidFill>
                    <a:uFillTx/>
                    <a:latin typeface="Bahnschrift"/>
                  </a:defRPr>
                </a:pPr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2025'!$F$68:$I$68</c:f>
              <c:numCache>
                <c:formatCode>##,###" т"</c:formatCode>
                <c:ptCount val="4"/>
                <c:pt idx="0">
                  <c:v>31741.9</c:v>
                </c:pt>
                <c:pt idx="1">
                  <c:v>23552.9</c:v>
                </c:pt>
                <c:pt idx="2">
                  <c:v>23960.04</c:v>
                </c:pt>
                <c:pt idx="3">
                  <c:v>35099.65</c:v>
                </c:pt>
              </c:numCache>
            </c:numRef>
          </c:val>
        </c:ser>
        <c:gapWidth val="45"/>
        <c:overlap val="100"/>
        <c:axId val="57182648"/>
        <c:axId val="75068801"/>
      </c:barChart>
      <c:catAx>
        <c:axId val="571826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5068801"/>
        <c:auto val="1"/>
        <c:lblAlgn val="ctr"/>
        <c:lblOffset val="100"/>
        <c:noMultiLvlLbl val="0"/>
      </c:catAx>
      <c:valAx>
        <c:axId val="75068801"/>
        <c:scaling>
          <c:orientation val="minMax"/>
        </c:scaling>
        <c:delete val="1"/>
        <c:axPos val="l"/>
        <c:numFmt formatCode="##,###&quot; т&quot;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182648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600" strike="noStrike" u="none">
                <a:solidFill>
                  <a:srgbClr val="000000"/>
                </a:solidFill>
                <a:uFillTx/>
                <a:latin typeface="Bahnschrift"/>
              </a:rPr>
              <a:t>Урожайность, т/га</a:t>
            </a:r>
          </a:p>
        </c:rich>
      </c:tx>
      <c:layout>
        <c:manualLayout>
          <c:xMode val="edge"/>
          <c:yMode val="edge"/>
          <c:x val="0.0707869611886334"/>
          <c:y val="0.0138793188305936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825377097339133"/>
          <c:y val="0.118023427502707"/>
          <c:w val="0.486187221060957"/>
          <c:h val="0.78049020572891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'ОПЕРФАКТ 2025'!$B$86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rgbClr val="d9d9d9"/>
            </a:solidFill>
            <a:ln w="0">
              <a:noFill/>
            </a:ln>
          </c:spPr>
          <c:invertIfNegative val="0"/>
          <c:dPt>
            <c:idx val="3"/>
            <c:invertIfNegative val="0"/>
            <c:spPr>
              <a:solidFill>
                <a:srgbClr val="d9d9d9"/>
              </a:solidFill>
              <a:ln w="0">
                <a:noFill/>
              </a:ln>
            </c:spPr>
          </c:dPt>
          <c:dLbls>
            <c:numFmt formatCode="00.0&quot; т/га&quot;" sourceLinked="1"/>
            <c:dLbl>
              <c:idx val="3"/>
              <c:numFmt formatCode="00.0&quot; т/га&quot;" sourceLinked="1"/>
              <c:txPr>
                <a:bodyPr wrap="square"/>
                <a:lstStyle/>
                <a:p>
                  <a:pPr>
                    <a:defRPr b="1" sz="1600" strike="noStrike" u="none">
                      <a:solidFill>
                        <a:srgbClr val="000000"/>
                      </a:solidFill>
                      <a:uFillTx/>
                      <a:latin typeface="Bahnschrift"/>
                    </a:defRPr>
                  </a:pPr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600" strike="noStrike" u="none">
                    <a:solidFill>
                      <a:srgbClr val="000000"/>
                    </a:solidFill>
                    <a:uFillTx/>
                    <a:latin typeface="Bahnschrift"/>
                  </a:defRPr>
                </a:pPr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2025'!$V$68:$Y$68</c:f>
              <c:numCache>
                <c:formatCode>00.0" т/га"</c:formatCode>
                <c:ptCount val="4"/>
                <c:pt idx="0">
                  <c:v>15.7451462812131</c:v>
                </c:pt>
                <c:pt idx="1">
                  <c:v>14.8112815997988</c:v>
                </c:pt>
                <c:pt idx="2">
                  <c:v>13.0465777293765</c:v>
                </c:pt>
                <c:pt idx="3">
                  <c:v>15.9759576822917</c:v>
                </c:pt>
              </c:numCache>
            </c:numRef>
          </c:val>
        </c:ser>
        <c:gapWidth val="45"/>
        <c:overlap val="100"/>
        <c:axId val="33034680"/>
        <c:axId val="20467403"/>
      </c:barChart>
      <c:catAx>
        <c:axId val="3303468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467403"/>
        <c:auto val="1"/>
        <c:lblAlgn val="ctr"/>
        <c:lblOffset val="100"/>
        <c:noMultiLvlLbl val="0"/>
      </c:catAx>
      <c:valAx>
        <c:axId val="20467403"/>
        <c:scaling>
          <c:orientation val="minMax"/>
        </c:scaling>
        <c:delete val="1"/>
        <c:axPos val="l"/>
        <c:numFmt formatCode="00.0&quot; т/га&quot;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3034680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'ОПЕРФАКТ 2025'!$C$35</c:f>
              <c:strCache>
                <c:ptCount val="1"/>
                <c:pt idx="0">
                  <c:v>факт</c:v>
                </c:pt>
              </c:strCache>
            </c:strRef>
          </c:tx>
          <c:spPr>
            <a:gradFill>
              <a:gsLst>
                <a:gs pos="0">
                  <a:srgbClr val="ffffae"/>
                </a:gs>
                <a:gs pos="50000">
                  <a:srgbClr val="ffffcd"/>
                </a:gs>
                <a:gs pos="100000">
                  <a:srgbClr val="ffffe6"/>
                </a:gs>
              </a:gsLst>
              <a:lin ang="2700000"/>
            </a:gradFill>
            <a:ln w="0">
              <a:noFill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500" strike="noStrike" u="none">
                    <a:solidFill>
                      <a:srgbClr val="404040"/>
                    </a:solidFill>
                    <a:uFillTx/>
                    <a:latin typeface="Bahnschrift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2025'!$C$36:$C$37</c:f>
              <c:numCache>
                <c:formatCode>#,##0</c:formatCode>
                <c:ptCount val="2"/>
                <c:pt idx="0">
                  <c:v>26253.32</c:v>
                </c:pt>
                <c:pt idx="1">
                  <c:v>8846.33</c:v>
                </c:pt>
              </c:numCache>
            </c:numRef>
          </c:val>
        </c:ser>
        <c:ser>
          <c:idx val="1"/>
          <c:order val="1"/>
          <c:tx>
            <c:strRef>
              <c:f>'ОПЕРФАКТ 2025'!$E$35</c:f>
              <c:strCache>
                <c:ptCount val="1"/>
                <c:pt idx="0">
                  <c:v>остаток по плану</c:v>
                </c:pt>
              </c:strCache>
            </c:strRef>
          </c:tx>
          <c:spPr>
            <a:pattFill prst="openDmnd">
              <a:fgClr>
                <a:srgbClr val="f2f2f2"/>
              </a:fgClr>
              <a:bgClr>
                <a:srgbClr val="ffffff"/>
              </a:bgClr>
            </a:pattFill>
            <a:ln w="0">
              <a:noFill/>
            </a:ln>
          </c:spPr>
          <c:invertIfNegative val="0"/>
          <c:dPt>
            <c:idx val="1"/>
            <c:invertIfNegative val="0"/>
            <c:spPr>
              <a:pattFill prst="openDmnd">
                <a:fgClr>
                  <a:srgbClr val="f2f2f2"/>
                </a:fgClr>
                <a:bgClr>
                  <a:srgbClr val="ffffff"/>
                </a:bgClr>
              </a:pattFill>
              <a:ln w="0">
                <a:noFill/>
              </a:ln>
            </c:spPr>
          </c:dPt>
          <c:dLbls>
            <c:numFmt formatCode="#,##0" sourceLinked="1"/>
            <c:dLbl>
              <c:idx val="1"/>
              <c:txPr>
                <a:bodyPr wrap="square"/>
                <a:lstStyle/>
                <a:p>
                  <a:pPr>
                    <a:defRPr b="0" sz="1500" strike="noStrike" u="none">
                      <a:solidFill>
                        <a:srgbClr val="404040"/>
                      </a:solidFill>
                      <a:uFillTx/>
                      <a:latin typeface="Bahnschrift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500" strike="noStrike" u="none">
                    <a:solidFill>
                      <a:srgbClr val="404040"/>
                    </a:solidFill>
                    <a:uFillTx/>
                    <a:latin typeface="Bahnschrift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2025'!$E$36:$E$37</c:f>
              <c:numCache>
                <c:formatCode>#,##0</c:formatCode>
                <c:ptCount val="2"/>
                <c:pt idx="0">
                  <c:v>4106.68</c:v>
                </c:pt>
                <c:pt idx="1">
                  <c:v>-40.3299999999999</c:v>
                </c:pt>
              </c:numCache>
            </c:numRef>
          </c:val>
        </c:ser>
        <c:gapWidth val="75"/>
        <c:overlap val="100"/>
        <c:axId val="90692073"/>
        <c:axId val="90747976"/>
      </c:barChart>
      <c:catAx>
        <c:axId val="9069207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1500" strike="noStrike" u="none">
                <a:solidFill>
                  <a:srgbClr val="595959"/>
                </a:solidFill>
                <a:uFillTx/>
                <a:latin typeface="Bahnschrift"/>
              </a:defRPr>
            </a:pPr>
          </a:p>
        </c:txPr>
        <c:crossAx val="90747976"/>
        <c:crosses val="autoZero"/>
        <c:auto val="1"/>
        <c:lblAlgn val="ctr"/>
        <c:lblOffset val="100"/>
        <c:noMultiLvlLbl val="0"/>
      </c:catAx>
      <c:valAx>
        <c:axId val="90747976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500" strike="noStrike" u="none">
                <a:solidFill>
                  <a:srgbClr val="000000"/>
                </a:solidFill>
                <a:uFillTx/>
                <a:latin typeface="Bahnschrift"/>
              </a:defRPr>
            </a:pPr>
          </a:p>
        </c:txPr>
        <c:crossAx val="90692073"/>
        <c:crossBetween val="between"/>
      </c:valAx>
      <c:spPr>
        <a:noFill/>
        <a:ln w="0">
          <a:noFill/>
        </a:ln>
      </c:spPr>
    </c:plotArea>
    <c:legend>
      <c:legendPos val="t"/>
      <c:layout>
        <c:manualLayout>
          <c:xMode val="edge"/>
          <c:yMode val="edge"/>
          <c:x val="0.222873541409733"/>
          <c:y val="0.0581395348837209"/>
          <c:w val="0.668295228156721"/>
          <c:h val="0.092325581395348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500" strike="noStrike" u="none">
              <a:solidFill>
                <a:srgbClr val="595959"/>
              </a:solidFill>
              <a:uFillTx/>
              <a:latin typeface="Bahnschrift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ru-RU" sz="1800" strike="noStrike" u="none">
                <a:solidFill>
                  <a:srgbClr val="000000"/>
                </a:solidFill>
                <a:uFillTx/>
                <a:latin typeface="Bahnschrift"/>
              </a:rPr>
              <a:t>Валовый сбор в разрезе предприятий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'ОПЕРФАКТ 2026'!$J$3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2026'!$I$4:$I$8</c:f>
              <c:strCache>
                <c:ptCount val="5"/>
                <c:pt idx="0">
                  <c:v>Грин Рэй Кубань</c:v>
                </c:pt>
                <c:pt idx="1">
                  <c:v>им. Кирова</c:v>
                </c:pt>
                <c:pt idx="2">
                  <c:v>Иррико-Холдинг</c:v>
                </c:pt>
                <c:pt idx="3">
                  <c:v>Агролидер</c:v>
                </c:pt>
                <c:pt idx="4">
                  <c:v>Колос</c:v>
                </c:pt>
              </c:strCache>
            </c:strRef>
          </c:cat>
          <c:val>
            <c:numRef>
              <c:f>'ОПЕРФАКТ 2026'!$J$4:$J$8</c:f>
              <c:numCache>
                <c:formatCode>#,##0</c:formatCode>
                <c:ptCount val="5"/>
                <c:pt idx="0">
                  <c:v>4362</c:v>
                </c:pt>
                <c:pt idx="1">
                  <c:v>13392</c:v>
                </c:pt>
                <c:pt idx="2">
                  <c:v>8432.4</c:v>
                </c:pt>
                <c:pt idx="3">
                  <c:v>3564</c:v>
                </c:pt>
                <c:pt idx="4">
                  <c:v>7443</c:v>
                </c:pt>
              </c:numCache>
            </c:numRef>
          </c:val>
        </c:ser>
        <c:ser>
          <c:idx val="1"/>
          <c:order val="1"/>
          <c:tx>
            <c:strRef>
              <c:f>'ОПЕРФАКТ 2026'!$K$3</c:f>
              <c:strCache>
                <c:ptCount val="1"/>
                <c:pt idx="0">
                  <c:v>Факт</c:v>
                </c:pt>
              </c:strCache>
            </c:strRef>
          </c:tx>
          <c:spPr>
            <a:solidFill>
              <a:srgbClr val="92d05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2026'!$I$4:$I$8</c:f>
              <c:strCache>
                <c:ptCount val="5"/>
                <c:pt idx="0">
                  <c:v>Грин Рэй Кубань</c:v>
                </c:pt>
                <c:pt idx="1">
                  <c:v>им. Кирова</c:v>
                </c:pt>
                <c:pt idx="2">
                  <c:v>Иррико-Холдинг</c:v>
                </c:pt>
                <c:pt idx="3">
                  <c:v>Агролидер</c:v>
                </c:pt>
                <c:pt idx="4">
                  <c:v>Колос</c:v>
                </c:pt>
              </c:strCache>
            </c:strRef>
          </c:cat>
          <c:val>
            <c:numRef>
              <c:f>'ОПЕРФАКТ 2026'!$K$4:$K$8</c:f>
              <c:numCache>
                <c:formatCode>#,##0</c:formatCode>
                <c:ptCount val="5"/>
                <c:pt idx="0">
                  <c:v>1827.89</c:v>
                </c:pt>
              </c:numCache>
            </c:numRef>
          </c:val>
        </c:ser>
        <c:gapWidth val="150"/>
        <c:overlap val="0"/>
        <c:axId val="2401923"/>
        <c:axId val="66843713"/>
      </c:barChart>
      <c:catAx>
        <c:axId val="24019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6843713"/>
        <c:crosses val="autoZero"/>
        <c:auto val="1"/>
        <c:lblAlgn val="ctr"/>
        <c:lblOffset val="100"/>
        <c:noMultiLvlLbl val="0"/>
      </c:catAx>
      <c:valAx>
        <c:axId val="6684371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40192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</c:dTable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776878284334612"/>
          <c:y val="0.00439529278321282"/>
          <c:w val="0.885953699758557"/>
          <c:h val="0.71444775272933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'ОПЕРФАКТ 2026'!$C$35</c:f>
              <c:strCache>
                <c:ptCount val="1"/>
                <c:pt idx="0">
                  <c:v>факт</c:v>
                </c:pt>
              </c:strCache>
            </c:strRef>
          </c:tx>
          <c:spPr>
            <a:gradFill>
              <a:gsLst>
                <a:gs pos="0">
                  <a:srgbClr val="ffffae"/>
                </a:gs>
                <a:gs pos="50000">
                  <a:srgbClr val="ffffcd"/>
                </a:gs>
                <a:gs pos="100000">
                  <a:srgbClr val="ffffe6"/>
                </a:gs>
              </a:gsLst>
              <a:lin ang="2700000"/>
            </a:gradFill>
            <a:ln w="0">
              <a:noFill/>
            </a:ln>
          </c:spPr>
          <c:invertIfNegative val="0"/>
          <c:dPt>
            <c:idx val="0"/>
            <c:invertIfNegative val="0"/>
            <c:spPr>
              <a:gradFill>
                <a:gsLst>
                  <a:gs pos="0">
                    <a:srgbClr val="ffffae"/>
                  </a:gs>
                  <a:gs pos="50000">
                    <a:srgbClr val="ffffcd"/>
                  </a:gs>
                  <a:gs pos="100000">
                    <a:srgbClr val="ffffe6"/>
                  </a:gs>
                </a:gsLst>
                <a:lin ang="2700000"/>
              </a:gradFill>
              <a:ln w="0">
                <a:noFill/>
              </a:ln>
            </c:spPr>
          </c:dPt>
          <c:dLbls>
            <c:numFmt formatCode="#,##0" sourceLinked="1"/>
            <c:dLbl>
              <c:idx val="0"/>
              <c:numFmt formatCode="#,##0" sourceLinked="1"/>
              <c:txPr>
                <a:bodyPr wrap="square"/>
                <a:lstStyle/>
                <a:p>
                  <a:pPr>
                    <a:defRPr b="0" sz="900" strike="noStrike" u="none">
                      <a:solidFill>
                        <a:srgbClr val="404040"/>
                      </a:solidFill>
                      <a:uFillTx/>
                      <a:latin typeface="Calibri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eparator>
</c:separator>
            </c:dLbl>
            <c:txPr>
              <a:bodyPr wrap="square"/>
              <a:lstStyle/>
              <a:p>
                <a:pPr>
                  <a:defRPr b="0" sz="900" strike="noStrike" u="none">
                    <a:solidFill>
                      <a:srgbClr val="40404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
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2026'!$B$36:$B$37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2026'!$C$36:$C$37</c:f>
              <c:numCache>
                <c:formatCode>#,##0</c:formatCode>
                <c:ptCount val="2"/>
                <c:pt idx="0">
                  <c:v>0</c:v>
                </c:pt>
                <c:pt idx="1">
                  <c:v>1827.89</c:v>
                </c:pt>
              </c:numCache>
            </c:numRef>
          </c:val>
        </c:ser>
        <c:ser>
          <c:idx val="1"/>
          <c:order val="1"/>
          <c:tx>
            <c:strRef>
              <c:f>'ОПЕРФАКТ 2026'!$E$35</c:f>
              <c:strCache>
                <c:ptCount val="1"/>
                <c:pt idx="0">
                  <c:v>остаток по плану</c:v>
                </c:pt>
              </c:strCache>
            </c:strRef>
          </c:tx>
          <c:spPr>
            <a:solidFill>
              <a:srgbClr val="f2f2f2"/>
            </a:solidFill>
            <a:ln w="0">
              <a:noFill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900" strike="noStrike" u="none">
                    <a:solidFill>
                      <a:srgbClr val="40404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2026'!$B$36:$B$37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2026'!$E$36:$E$37</c:f>
              <c:numCache>
                <c:formatCode>#,##0</c:formatCode>
                <c:ptCount val="2"/>
                <c:pt idx="0">
                  <c:v>28359</c:v>
                </c:pt>
                <c:pt idx="1">
                  <c:v>7006.51</c:v>
                </c:pt>
              </c:numCache>
            </c:numRef>
          </c:val>
        </c:ser>
        <c:gapWidth val="75"/>
        <c:overlap val="100"/>
        <c:axId val="13687037"/>
        <c:axId val="8809787"/>
      </c:barChart>
      <c:catAx>
        <c:axId val="1368703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1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809787"/>
        <c:crosses val="autoZero"/>
        <c:auto val="1"/>
        <c:lblAlgn val="ctr"/>
        <c:lblOffset val="100"/>
        <c:noMultiLvlLbl val="0"/>
      </c:catAx>
      <c:valAx>
        <c:axId val="8809787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687037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'ОПЕРФАКТ 2026'!$B$81</c:f>
              <c:strCache>
                <c:ptCount val="1"/>
                <c:pt idx="0">
                  <c:v>Агролидер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2026'!$C$81:$G$81</c:f>
              <c:numCache>
                <c:formatCode>#,##0</c:formatCode>
                <c:ptCount val="5"/>
                <c:pt idx="3">
                  <c:v>1860.64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'ОПЕРФАКТ 2026'!$B$82</c:f>
              <c:strCache>
                <c:ptCount val="1"/>
                <c:pt idx="0">
                  <c:v>Грин Рэй Кубань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2026'!$C$82:$G$82</c:f>
              <c:numCache>
                <c:formatCode>#,##0</c:formatCode>
                <c:ptCount val="5"/>
                <c:pt idx="0">
                  <c:v>4513.01</c:v>
                </c:pt>
                <c:pt idx="1">
                  <c:v>4780.11</c:v>
                </c:pt>
                <c:pt idx="2">
                  <c:v>3886.01</c:v>
                </c:pt>
                <c:pt idx="3">
                  <c:v>2362.94</c:v>
                </c:pt>
                <c:pt idx="4">
                  <c:v>1827.89</c:v>
                </c:pt>
              </c:numCache>
            </c:numRef>
          </c:val>
        </c:ser>
        <c:ser>
          <c:idx val="2"/>
          <c:order val="2"/>
          <c:tx>
            <c:strRef>
              <c:f>'ОПЕРФАКТ 2026'!$B$83</c:f>
              <c:strCache>
                <c:ptCount val="1"/>
                <c:pt idx="0">
                  <c:v>Иррико-Холдинг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2026'!$C$83:$G$83</c:f>
              <c:numCache>
                <c:formatCode>#,##0</c:formatCode>
                <c:ptCount val="5"/>
                <c:pt idx="0">
                  <c:v>3647.23</c:v>
                </c:pt>
                <c:pt idx="1">
                  <c:v>5885.83</c:v>
                </c:pt>
                <c:pt idx="2">
                  <c:v>6304.38</c:v>
                </c:pt>
                <c:pt idx="3">
                  <c:v>13741.16</c:v>
                </c:pt>
                <c:pt idx="4">
                  <c:v>0</c:v>
                </c:pt>
              </c:numCache>
            </c:numRef>
          </c:val>
        </c:ser>
        <c:ser>
          <c:idx val="3"/>
          <c:order val="3"/>
          <c:tx>
            <c:strRef>
              <c:f>'ОПЕРФАКТ 2026'!$B$84</c:f>
              <c:strCache>
                <c:ptCount val="1"/>
                <c:pt idx="0">
                  <c:v>им. Кирова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2026'!$C$84:$G$84</c:f>
              <c:numCache>
                <c:formatCode>#,##0</c:formatCode>
                <c:ptCount val="5"/>
                <c:pt idx="0">
                  <c:v>1823.61</c:v>
                </c:pt>
                <c:pt idx="1">
                  <c:v>1986.55</c:v>
                </c:pt>
                <c:pt idx="2">
                  <c:v>3497.07</c:v>
                </c:pt>
                <c:pt idx="3">
                  <c:v>4688.0497</c:v>
                </c:pt>
                <c:pt idx="4">
                  <c:v>0</c:v>
                </c:pt>
              </c:numCache>
            </c:numRef>
          </c:val>
        </c:ser>
        <c:ser>
          <c:idx val="4"/>
          <c:order val="4"/>
          <c:tx>
            <c:strRef>
              <c:f>'ОПЕРФАКТ 2026'!$B$85</c:f>
              <c:strCache>
                <c:ptCount val="1"/>
                <c:pt idx="0">
                  <c:v>Колос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2026'!$C$85:$G$85</c:f>
              <c:numCache>
                <c:formatCode>#,##0</c:formatCode>
                <c:ptCount val="5"/>
                <c:pt idx="0">
                  <c:v>9977.4</c:v>
                </c:pt>
                <c:pt idx="1">
                  <c:v>10250.58</c:v>
                </c:pt>
                <c:pt idx="2">
                  <c:v>7397.2</c:v>
                </c:pt>
                <c:pt idx="3">
                  <c:v>9223.7003</c:v>
                </c:pt>
                <c:pt idx="4">
                  <c:v>0</c:v>
                </c:pt>
              </c:numCache>
            </c:numRef>
          </c:val>
        </c:ser>
        <c:ser>
          <c:idx val="5"/>
          <c:order val="5"/>
          <c:tx>
            <c:strRef>
              <c:f>'ОПЕРФАКТ 2026'!$B$86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rgbClr val="70ad47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2026'!$C$86:$G$86</c:f>
              <c:numCache>
                <c:formatCode>#,##0</c:formatCode>
                <c:ptCount val="5"/>
                <c:pt idx="0">
                  <c:v>11780.65</c:v>
                </c:pt>
                <c:pt idx="1">
                  <c:v>649.830000000002</c:v>
                </c:pt>
                <c:pt idx="2">
                  <c:v>2875.38</c:v>
                </c:pt>
                <c:pt idx="3">
                  <c:v>3223.16</c:v>
                </c:pt>
                <c:pt idx="4">
                  <c:v>0</c:v>
                </c:pt>
              </c:numCache>
            </c:numRef>
          </c:val>
        </c:ser>
        <c:ser>
          <c:idx val="6"/>
          <c:order val="6"/>
          <c:tx>
            <c:strRef>
              <c:f>'ОПЕРФАКТ 2026'!$B$87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rgbClr val="255e9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2026'!$C$87:$G$87</c:f>
              <c:numCache>
                <c:formatCode>#,##0</c:formatCode>
                <c:ptCount val="5"/>
                <c:pt idx="4">
                  <c:v>35365.51</c:v>
                </c:pt>
              </c:numCache>
            </c:numRef>
          </c:val>
        </c:ser>
        <c:gapWidth val="150"/>
        <c:overlap val="100"/>
        <c:axId val="19527509"/>
        <c:axId val="7269663"/>
      </c:barChart>
      <c:catAx>
        <c:axId val="195275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269663"/>
        <c:crosses val="autoZero"/>
        <c:auto val="1"/>
        <c:lblAlgn val="ctr"/>
        <c:lblOffset val="100"/>
        <c:noMultiLvlLbl val="0"/>
      </c:catAx>
      <c:valAx>
        <c:axId val="726966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9527509"/>
        <c:crosses val="autoZero"/>
        <c:crossBetween val="between"/>
      </c:valAx>
      <c:spPr>
        <a:noFill/>
        <a:ln w="0">
          <a:noFill/>
        </a:ln>
      </c:spPr>
    </c:plotArea>
    <c:legend>
      <c:legendPos val="b"/>
      <c:legendEntry>
        <c:idx val="6"/>
        <c:delete val="1"/>
      </c:legendEntry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ru-RU" sz="1800" strike="noStrike" u="none">
                <a:solidFill>
                  <a:srgbClr val="000000"/>
                </a:solidFill>
                <a:uFillTx/>
                <a:latin typeface="Bahnschrift"/>
              </a:rPr>
              <a:t>Валовый сбор в разрезе предприятий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'ОПЕРФАКТ 2025'!$J$3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2025'!$I$4:$I$9</c:f>
              <c:strCache>
                <c:ptCount val="6"/>
                <c:pt idx="0">
                  <c:v>Иррико-Холдинг</c:v>
                </c:pt>
                <c:pt idx="1">
                  <c:v>Грин Рэй Кубань</c:v>
                </c:pt>
                <c:pt idx="2">
                  <c:v>Агролидер</c:v>
                </c:pt>
                <c:pt idx="3">
                  <c:v>Братковский</c:v>
                </c:pt>
                <c:pt idx="4">
                  <c:v>им. Кирова</c:v>
                </c:pt>
                <c:pt idx="5">
                  <c:v>Колос</c:v>
                </c:pt>
              </c:strCache>
            </c:strRef>
          </c:cat>
          <c:val>
            <c:numRef>
              <c:f>'ОПЕРФАКТ 2025'!$J$4:$J$9</c:f>
              <c:numCache>
                <c:formatCode>#,##0</c:formatCode>
                <c:ptCount val="6"/>
                <c:pt idx="0">
                  <c:v>14784</c:v>
                </c:pt>
                <c:pt idx="1">
                  <c:v>3690</c:v>
                </c:pt>
                <c:pt idx="2">
                  <c:v>2250</c:v>
                </c:pt>
                <c:pt idx="3">
                  <c:v>4824</c:v>
                </c:pt>
                <c:pt idx="4">
                  <c:v>5049</c:v>
                </c:pt>
                <c:pt idx="5">
                  <c:v>8569</c:v>
                </c:pt>
              </c:numCache>
            </c:numRef>
          </c:val>
        </c:ser>
        <c:ser>
          <c:idx val="1"/>
          <c:order val="1"/>
          <c:tx>
            <c:strRef>
              <c:f>'ОПЕРФАКТ 2025'!$K$3</c:f>
              <c:strCache>
                <c:ptCount val="1"/>
                <c:pt idx="0">
                  <c:v>Факт</c:v>
                </c:pt>
              </c:strCache>
            </c:strRef>
          </c:tx>
          <c:spPr>
            <a:solidFill>
              <a:srgbClr val="92d05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2025'!$I$4:$I$9</c:f>
              <c:strCache>
                <c:ptCount val="6"/>
                <c:pt idx="0">
                  <c:v>Иррико-Холдинг</c:v>
                </c:pt>
                <c:pt idx="1">
                  <c:v>Грин Рэй Кубань</c:v>
                </c:pt>
                <c:pt idx="2">
                  <c:v>Агролидер</c:v>
                </c:pt>
                <c:pt idx="3">
                  <c:v>Братковский</c:v>
                </c:pt>
                <c:pt idx="4">
                  <c:v>им. Кирова</c:v>
                </c:pt>
                <c:pt idx="5">
                  <c:v>Колос</c:v>
                </c:pt>
              </c:strCache>
            </c:strRef>
          </c:cat>
          <c:val>
            <c:numRef>
              <c:f>'ОПЕРФАКТ 2025'!$K$4:$K$9</c:f>
              <c:numCache>
                <c:formatCode>#,##0</c:formatCode>
                <c:ptCount val="6"/>
                <c:pt idx="0">
                  <c:v>13741.16</c:v>
                </c:pt>
                <c:pt idx="1">
                  <c:v>2362.94</c:v>
                </c:pt>
                <c:pt idx="2">
                  <c:v>1860.64</c:v>
                </c:pt>
                <c:pt idx="3">
                  <c:v>3223.16</c:v>
                </c:pt>
                <c:pt idx="4">
                  <c:v>4688.0497</c:v>
                </c:pt>
                <c:pt idx="5">
                  <c:v>9223.7003</c:v>
                </c:pt>
              </c:numCache>
            </c:numRef>
          </c:val>
        </c:ser>
        <c:gapWidth val="150"/>
        <c:overlap val="0"/>
        <c:axId val="61889387"/>
        <c:axId val="53104054"/>
      </c:barChart>
      <c:catAx>
        <c:axId val="618893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3104054"/>
        <c:crosses val="autoZero"/>
        <c:auto val="1"/>
        <c:lblAlgn val="ctr"/>
        <c:lblOffset val="100"/>
        <c:noMultiLvlLbl val="0"/>
      </c:catAx>
      <c:valAx>
        <c:axId val="5310405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188938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</c:dTable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ru-RU" sz="1800" spc="150" strike="noStrike" u="none">
                <a:solidFill>
                  <a:srgbClr val="808080"/>
                </a:solidFill>
                <a:uFillTx/>
                <a:latin typeface="Calibri"/>
              </a:rPr>
              <a:t>Статистика уборки кукурузы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'ОПЕРФАКТ 2025'!$B$86</c:f>
              <c:strCache>
                <c:ptCount val="1"/>
                <c:pt idx="0">
                  <c:v>Прочие</c:v>
                </c:pt>
              </c:strCache>
            </c:strRef>
          </c:tx>
          <c:spPr>
            <a:pattFill prst="ltHorz">
              <a:fgClr>
                <a:srgbClr val="255e91"/>
              </a:fgClr>
              <a:bgClr>
                <a:srgbClr val="cbdff2"/>
              </a:bgClr>
            </a:patt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2025'!$D$86:$F$86</c:f>
              <c:numCache>
                <c:formatCode>#,##0</c:formatCode>
                <c:ptCount val="3"/>
                <c:pt idx="0">
                  <c:v>649.830000000002</c:v>
                </c:pt>
                <c:pt idx="1">
                  <c:v>2875.38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'ОПЕРФАКТ 2025'!$B$85</c:f>
              <c:strCache>
                <c:ptCount val="1"/>
                <c:pt idx="0">
                  <c:v>Колос</c:v>
                </c:pt>
              </c:strCache>
            </c:strRef>
          </c:tx>
          <c:spPr>
            <a:pattFill prst="ltHorz">
              <a:fgClr>
                <a:srgbClr val="70ad47"/>
              </a:fgClr>
              <a:bgClr>
                <a:srgbClr val="e2f0d9"/>
              </a:bgClr>
            </a:patt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2025'!$D$85:$F$85</c:f>
              <c:numCache>
                <c:formatCode>#,##0</c:formatCode>
                <c:ptCount val="3"/>
                <c:pt idx="0">
                  <c:v>10250.58</c:v>
                </c:pt>
                <c:pt idx="1">
                  <c:v>7397.2</c:v>
                </c:pt>
                <c:pt idx="2">
                  <c:v>9223.7003</c:v>
                </c:pt>
              </c:numCache>
            </c:numRef>
          </c:val>
        </c:ser>
        <c:ser>
          <c:idx val="2"/>
          <c:order val="2"/>
          <c:tx>
            <c:strRef>
              <c:f>'ОПЕРФАКТ 2025'!$B$84</c:f>
              <c:strCache>
                <c:ptCount val="1"/>
                <c:pt idx="0">
                  <c:v>им. Кирова</c:v>
                </c:pt>
              </c:strCache>
            </c:strRef>
          </c:tx>
          <c:spPr>
            <a:pattFill prst="ltHorz">
              <a:fgClr>
                <a:srgbClr val="ffc000"/>
              </a:fgClr>
              <a:bgClr>
                <a:srgbClr val="fff2cc"/>
              </a:bgClr>
            </a:patt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2025'!$D$84:$F$84</c:f>
              <c:numCache>
                <c:formatCode>#,##0</c:formatCode>
                <c:ptCount val="3"/>
                <c:pt idx="0">
                  <c:v>1986.55</c:v>
                </c:pt>
                <c:pt idx="1">
                  <c:v>3497.07</c:v>
                </c:pt>
                <c:pt idx="2">
                  <c:v>4688.0497</c:v>
                </c:pt>
              </c:numCache>
            </c:numRef>
          </c:val>
        </c:ser>
        <c:ser>
          <c:idx val="3"/>
          <c:order val="3"/>
          <c:tx>
            <c:strRef>
              <c:f>'ОПЕРФАКТ 2025'!$B$83</c:f>
              <c:strCache>
                <c:ptCount val="1"/>
                <c:pt idx="0">
                  <c:v>Иррико-Холдинг</c:v>
                </c:pt>
              </c:strCache>
            </c:strRef>
          </c:tx>
          <c:spPr>
            <a:pattFill prst="ltHorz">
              <a:fgClr>
                <a:srgbClr val="a5a5a5"/>
              </a:fgClr>
              <a:bgClr>
                <a:srgbClr val="ededed"/>
              </a:bgClr>
            </a:patt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2025'!$D$83:$F$83</c:f>
              <c:numCache>
                <c:formatCode>#,##0</c:formatCode>
                <c:ptCount val="3"/>
                <c:pt idx="0">
                  <c:v>5885.83</c:v>
                </c:pt>
                <c:pt idx="1">
                  <c:v>6304.38</c:v>
                </c:pt>
                <c:pt idx="2">
                  <c:v>13741.16</c:v>
                </c:pt>
              </c:numCache>
            </c:numRef>
          </c:val>
        </c:ser>
        <c:ser>
          <c:idx val="4"/>
          <c:order val="4"/>
          <c:tx>
            <c:strRef>
              <c:f>'ОПЕРФАКТ 2025'!$B$82</c:f>
              <c:strCache>
                <c:ptCount val="1"/>
                <c:pt idx="0">
                  <c:v>Грин Рэй Кубань</c:v>
                </c:pt>
              </c:strCache>
            </c:strRef>
          </c:tx>
          <c:spPr>
            <a:pattFill prst="ltHorz">
              <a:fgClr>
                <a:srgbClr val="ed7d31"/>
              </a:fgClr>
              <a:bgClr>
                <a:srgbClr val="fbe5d6"/>
              </a:bgClr>
            </a:patt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2025'!$D$82:$F$82</c:f>
              <c:numCache>
                <c:formatCode>#,##0</c:formatCode>
                <c:ptCount val="3"/>
                <c:pt idx="0">
                  <c:v>4780.11</c:v>
                </c:pt>
                <c:pt idx="1">
                  <c:v>3886.01</c:v>
                </c:pt>
                <c:pt idx="2">
                  <c:v>2362.94</c:v>
                </c:pt>
              </c:numCache>
            </c:numRef>
          </c:val>
        </c:ser>
        <c:ser>
          <c:idx val="5"/>
          <c:order val="5"/>
          <c:tx>
            <c:strRef>
              <c:f>'ОПЕРФАКТ 2025'!$B$81</c:f>
              <c:strCache>
                <c:ptCount val="1"/>
                <c:pt idx="0">
                  <c:v>Братковский</c:v>
                </c:pt>
              </c:strCache>
            </c:strRef>
          </c:tx>
          <c:spPr>
            <a:pattFill prst="ltHorz">
              <a:fgClr>
                <a:srgbClr val="4472c4"/>
              </a:fgClr>
              <a:bgClr>
                <a:srgbClr val="dae3f3"/>
              </a:bgClr>
            </a:patt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2025'!$D$81:$F$81</c:f>
              <c:numCache>
                <c:formatCode>#,##0</c:formatCode>
                <c:ptCount val="3"/>
                <c:pt idx="2">
                  <c:v>3223.16</c:v>
                </c:pt>
              </c:numCache>
            </c:numRef>
          </c:val>
        </c:ser>
        <c:ser>
          <c:idx val="6"/>
          <c:order val="6"/>
          <c:tx>
            <c:strRef>
              <c:f>'ОПЕРФАКТ 2025'!$B$80</c:f>
              <c:strCache>
                <c:ptCount val="1"/>
                <c:pt idx="0">
                  <c:v>Агролидер</c:v>
                </c:pt>
              </c:strCache>
            </c:strRef>
          </c:tx>
          <c:spPr>
            <a:pattFill prst="ltHorz">
              <a:fgClr>
                <a:srgbClr val="5b9bd5"/>
              </a:fgClr>
              <a:bgClr>
                <a:srgbClr val="deebf7"/>
              </a:bgClr>
            </a:pattFill>
            <a:ln w="0">
              <a:noFill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900" strike="noStrike" u="none">
                    <a:solidFill>
                      <a:srgbClr val="40404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2025'!$D$80:$F$80</c:f>
              <c:numCache>
                <c:formatCode>#,##0</c:formatCode>
                <c:ptCount val="3"/>
                <c:pt idx="2">
                  <c:v>1860.64</c:v>
                </c:pt>
              </c:numCache>
            </c:numRef>
          </c:val>
        </c:ser>
        <c:gapWidth val="150"/>
        <c:overlap val="100"/>
        <c:axId val="43425235"/>
        <c:axId val="40230492"/>
      </c:barChart>
      <c:catAx>
        <c:axId val="4342523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908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0230492"/>
        <c:crosses val="autoZero"/>
        <c:auto val="1"/>
        <c:lblAlgn val="ctr"/>
        <c:lblOffset val="100"/>
        <c:noMultiLvlLbl val="0"/>
      </c:catAx>
      <c:valAx>
        <c:axId val="4023049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3425235"/>
        <c:crossBetween val="between"/>
      </c:valAx>
      <c:dTable>
        <c:showHorzBorder val="1"/>
        <c:showVertBorder val="1"/>
        <c:showOutline val="1"/>
        <c:showKeys val="1"/>
        <c:spPr>
          <a:noFill/>
          <a:ln w="936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</c:dTable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776878284334612"/>
          <c:y val="0.00439529278321282"/>
          <c:w val="0.885953699758557"/>
          <c:h val="0.71444775272933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'ОПЕРФАКТ 2025'!$C$35</c:f>
              <c:strCache>
                <c:ptCount val="1"/>
                <c:pt idx="0">
                  <c:v>факт</c:v>
                </c:pt>
              </c:strCache>
            </c:strRef>
          </c:tx>
          <c:spPr>
            <a:gradFill>
              <a:gsLst>
                <a:gs pos="0">
                  <a:srgbClr val="ffffae"/>
                </a:gs>
                <a:gs pos="50000">
                  <a:srgbClr val="ffffcd"/>
                </a:gs>
                <a:gs pos="100000">
                  <a:srgbClr val="ffffe6"/>
                </a:gs>
              </a:gsLst>
              <a:lin ang="2700000"/>
            </a:gradFill>
            <a:ln w="0">
              <a:noFill/>
            </a:ln>
          </c:spPr>
          <c:invertIfNegative val="0"/>
          <c:dPt>
            <c:idx val="0"/>
            <c:invertIfNegative val="0"/>
            <c:spPr>
              <a:gradFill>
                <a:gsLst>
                  <a:gs pos="0">
                    <a:srgbClr val="ffffae"/>
                  </a:gs>
                  <a:gs pos="50000">
                    <a:srgbClr val="ffffcd"/>
                  </a:gs>
                  <a:gs pos="100000">
                    <a:srgbClr val="ffffe6"/>
                  </a:gs>
                </a:gsLst>
                <a:lin ang="2700000"/>
              </a:gradFill>
              <a:ln w="0">
                <a:noFill/>
              </a:ln>
            </c:spPr>
          </c:dPt>
          <c:dLbls>
            <c:numFmt formatCode="#,##0" sourceLinked="1"/>
            <c:dLbl>
              <c:idx val="0"/>
              <c:numFmt formatCode="#,##0" sourceLinked="1"/>
              <c:txPr>
                <a:bodyPr wrap="square"/>
                <a:lstStyle/>
                <a:p>
                  <a:pPr>
                    <a:defRPr b="0" sz="900" strike="noStrike" u="none">
                      <a:solidFill>
                        <a:srgbClr val="404040"/>
                      </a:solidFill>
                      <a:uFillTx/>
                      <a:latin typeface="Calibri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eparator>
</c:separator>
            </c:dLbl>
            <c:txPr>
              <a:bodyPr wrap="square"/>
              <a:lstStyle/>
              <a:p>
                <a:pPr>
                  <a:defRPr b="0" sz="900" strike="noStrike" u="none">
                    <a:solidFill>
                      <a:srgbClr val="40404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
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2025'!$C$36:$C$37</c:f>
              <c:numCache>
                <c:formatCode>#,##0</c:formatCode>
                <c:ptCount val="2"/>
                <c:pt idx="0">
                  <c:v>26253.32</c:v>
                </c:pt>
                <c:pt idx="1">
                  <c:v>8846.33</c:v>
                </c:pt>
              </c:numCache>
            </c:numRef>
          </c:val>
        </c:ser>
        <c:ser>
          <c:idx val="1"/>
          <c:order val="1"/>
          <c:tx>
            <c:strRef>
              <c:f>'ОПЕРФАКТ 2025'!$E$35</c:f>
              <c:strCache>
                <c:ptCount val="1"/>
                <c:pt idx="0">
                  <c:v>остаток по плану</c:v>
                </c:pt>
              </c:strCache>
            </c:strRef>
          </c:tx>
          <c:spPr>
            <a:solidFill>
              <a:srgbClr val="f2f2f2"/>
            </a:solidFill>
            <a:ln w="0">
              <a:noFill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900" strike="noStrike" u="none">
                    <a:solidFill>
                      <a:srgbClr val="404040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2025'!$E$36:$E$37</c:f>
              <c:numCache>
                <c:formatCode>#,##0</c:formatCode>
                <c:ptCount val="2"/>
                <c:pt idx="0">
                  <c:v>4106.68</c:v>
                </c:pt>
                <c:pt idx="1">
                  <c:v>-40.3299999999999</c:v>
                </c:pt>
              </c:numCache>
            </c:numRef>
          </c:val>
        </c:ser>
        <c:gapWidth val="75"/>
        <c:overlap val="100"/>
        <c:axId val="6411128"/>
        <c:axId val="20747170"/>
      </c:barChart>
      <c:catAx>
        <c:axId val="641112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1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0747170"/>
        <c:crosses val="autoZero"/>
        <c:auto val="1"/>
        <c:lblAlgn val="ctr"/>
        <c:lblOffset val="100"/>
        <c:noMultiLvlLbl val="0"/>
      </c:catAx>
      <c:valAx>
        <c:axId val="20747170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11128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image" Target="../media/image1.jpeg"/><Relationship Id="rId4" Type="http://schemas.openxmlformats.org/officeDocument/2006/relationships/image" Target="../media/image2.png"/><Relationship Id="rId5" Type="http://schemas.openxmlformats.org/officeDocument/2006/relationships/image" Target="../media/image3.svg"/><Relationship Id="rId6" Type="http://schemas.openxmlformats.org/officeDocument/2006/relationships/image" Target="../media/image4.png"/><Relationship Id="rId7" Type="http://schemas.openxmlformats.org/officeDocument/2006/relationships/image" Target="../media/image5.svg"/><Relationship Id="rId8" Type="http://schemas.openxmlformats.org/officeDocument/2006/relationships/image" Target="../media/image6.png"/><Relationship Id="rId9" Type="http://schemas.openxmlformats.org/officeDocument/2006/relationships/image" Target="../media/image7.svg"/><Relationship Id="rId10" Type="http://schemas.openxmlformats.org/officeDocument/2006/relationships/chart" Target="../charts/chart3.xml"/><Relationship Id="rId11" Type="http://schemas.openxmlformats.org/officeDocument/2006/relationships/chart" Target="../charts/chart4.xml"/><Relationship Id="rId12" Type="http://schemas.openxmlformats.org/officeDocument/2006/relationships/chart" Target="../charts/chart5.xml"/><Relationship Id="rId13" Type="http://schemas.openxmlformats.org/officeDocument/2006/relationships/chart" Target="../charts/chart6.xml"/><Relationship Id="rId14" Type="http://schemas.openxmlformats.org/officeDocument/2006/relationships/chart" Target="../charts/chart7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image" Target="../media/image1.jpeg"/><Relationship Id="rId3" Type="http://schemas.openxmlformats.org/officeDocument/2006/relationships/chart" Target="../charts/chart9.xml"/><Relationship Id="rId4" Type="http://schemas.openxmlformats.org/officeDocument/2006/relationships/image" Target="../media/image2.png"/><Relationship Id="rId5" Type="http://schemas.openxmlformats.org/officeDocument/2006/relationships/image" Target="../media/image3.svg"/><Relationship Id="rId6" Type="http://schemas.openxmlformats.org/officeDocument/2006/relationships/image" Target="../media/image4.png"/><Relationship Id="rId7" Type="http://schemas.openxmlformats.org/officeDocument/2006/relationships/image" Target="../media/image5.svg"/><Relationship Id="rId8" Type="http://schemas.openxmlformats.org/officeDocument/2006/relationships/image" Target="../media/image6.png"/><Relationship Id="rId9" Type="http://schemas.openxmlformats.org/officeDocument/2006/relationships/image" Target="../media/image7.svg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Relationship Id="rId3" Type="http://schemas.openxmlformats.org/officeDocument/2006/relationships/chart" Target="../charts/chart20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hyperlink" Target="#&#1048;&#1053;&#1060;&#1054;!A1"/><Relationship Id="rId2" Type="http://schemas.openxmlformats.org/officeDocument/2006/relationships/image" Target="../media/image8.png"/><Relationship Id="rId3" Type="http://schemas.openxmlformats.org/officeDocument/2006/relationships/image" Target="../media/image9.sv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hyperlink" Target="#&#1048;&#1053;&#1060;&#1054;!A1"/><Relationship Id="rId2" Type="http://schemas.openxmlformats.org/officeDocument/2006/relationships/image" Target="../media/image8.png"/><Relationship Id="rId3" Type="http://schemas.openxmlformats.org/officeDocument/2006/relationships/image" Target="../media/image9.sv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hyperlink" Target="#&#1048;&#1053;&#1060;&#1054;!A1"/><Relationship Id="rId2" Type="http://schemas.openxmlformats.org/officeDocument/2006/relationships/image" Target="../media/image8.png"/><Relationship Id="rId3" Type="http://schemas.openxmlformats.org/officeDocument/2006/relationships/image" Target="../media/image9.sv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hyperlink" Target="#&#1048;&#1053;&#1060;&#1054;!A1"/><Relationship Id="rId2" Type="http://schemas.openxmlformats.org/officeDocument/2006/relationships/image" Target="../media/image8.png"/><Relationship Id="rId3" Type="http://schemas.openxmlformats.org/officeDocument/2006/relationships/image" Target="../media/image9.svg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hyperlink" Target="#&#1048;&#1053;&#1060;&#1054;!A1"/><Relationship Id="rId2" Type="http://schemas.openxmlformats.org/officeDocument/2006/relationships/image" Target="../media/image8.png"/><Relationship Id="rId3" Type="http://schemas.openxmlformats.org/officeDocument/2006/relationships/image" Target="../media/image9.svg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hyperlink" Target="#&#1048;&#1053;&#1060;&#1054;!A1"/><Relationship Id="rId2" Type="http://schemas.openxmlformats.org/officeDocument/2006/relationships/image" Target="../media/image8.png"/><Relationship Id="rId3" Type="http://schemas.openxmlformats.org/officeDocument/2006/relationships/image" Target="../media/image9.svg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hyperlink" Target="#&#1048;&#1053;&#1060;&#1054;!A1"/><Relationship Id="rId2" Type="http://schemas.openxmlformats.org/officeDocument/2006/relationships/image" Target="../media/image8.png"/><Relationship Id="rId3" Type="http://schemas.openxmlformats.org/officeDocument/2006/relationships/image" Target="../media/image9.svg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hyperlink" Target="#&#1048;&#1053;&#1060;&#1054;!A1"/><Relationship Id="rId2" Type="http://schemas.openxmlformats.org/officeDocument/2006/relationships/image" Target="../media/image8.png"/><Relationship Id="rId3" Type="http://schemas.openxmlformats.org/officeDocument/2006/relationships/image" Target="../media/image9.svg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hyperlink" Target="#&#1048;&#1053;&#1060;&#1054;!A1"/><Relationship Id="rId2" Type="http://schemas.openxmlformats.org/officeDocument/2006/relationships/image" Target="../media/image8.png"/><Relationship Id="rId3" Type="http://schemas.openxmlformats.org/officeDocument/2006/relationships/image" Target="../media/image9.svg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hyperlink" Target="#&#1048;&#1053;&#1060;&#1054;!A1"/><Relationship Id="rId2" Type="http://schemas.openxmlformats.org/officeDocument/2006/relationships/image" Target="../media/image8.png"/><Relationship Id="rId3" Type="http://schemas.openxmlformats.org/officeDocument/2006/relationships/image" Target="../media/image9.sv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190440</xdr:colOff>
      <xdr:row>36</xdr:row>
      <xdr:rowOff>32760</xdr:rowOff>
    </xdr:from>
    <xdr:to>
      <xdr:col>17</xdr:col>
      <xdr:colOff>380520</xdr:colOff>
      <xdr:row>57</xdr:row>
      <xdr:rowOff>147240</xdr:rowOff>
    </xdr:to>
    <xdr:graphicFrame>
      <xdr:nvGraphicFramePr>
        <xdr:cNvPr id="0" name="Диаграмма 57"/>
        <xdr:cNvGraphicFramePr/>
      </xdr:nvGraphicFramePr>
      <xdr:xfrm>
        <a:off x="190440" y="7356240"/>
        <a:ext cx="10585800" cy="4114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15</xdr:col>
      <xdr:colOff>63360</xdr:colOff>
      <xdr:row>12</xdr:row>
      <xdr:rowOff>6480</xdr:rowOff>
    </xdr:from>
    <xdr:to>
      <xdr:col>23</xdr:col>
      <xdr:colOff>586800</xdr:colOff>
      <xdr:row>35</xdr:row>
      <xdr:rowOff>51840</xdr:rowOff>
    </xdr:to>
    <xdr:grpSp>
      <xdr:nvGrpSpPr>
        <xdr:cNvPr id="1" name="Группа 1"/>
        <xdr:cNvGrpSpPr/>
      </xdr:nvGrpSpPr>
      <xdr:grpSpPr>
        <a:xfrm>
          <a:off x="9235800" y="2442240"/>
          <a:ext cx="5415480" cy="4742640"/>
          <a:chOff x="9235800" y="2442240"/>
          <a:chExt cx="5415480" cy="4742640"/>
        </a:xfrm>
      </xdr:grpSpPr>
      <xdr:graphicFrame>
        <xdr:nvGraphicFramePr>
          <xdr:cNvPr id="2" name="Диаграмма 2"/>
          <xdr:cNvGraphicFramePr/>
        </xdr:nvGraphicFramePr>
        <xdr:xfrm>
          <a:off x="9235800" y="2442240"/>
          <a:ext cx="5415480" cy="47426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textlink="'ОПЕРФАКТ 2026'!C27">
        <xdr:nvSpPr>
          <xdr:cNvPr id="3" name="Прямоугольник 3"/>
          <xdr:cNvSpPr/>
        </xdr:nvSpPr>
        <xdr:spPr>
          <a:xfrm>
            <a:off x="11352240" y="4808160"/>
            <a:ext cx="1169640" cy="426600"/>
          </a:xfrm>
          <a:prstGeom prst="rect">
            <a:avLst/>
          </a:prstGeom>
          <a:solidFill>
            <a:srgbClr val="ffffff"/>
          </a:solidFill>
          <a:ln w="12700"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/>
        </xdr:style>
        <xdr:txBody>
          <a:bodyPr horzOverflow="clip" vertOverflow="clip" lIns="90000" rIns="90000" tIns="45000" bIns="45000" anchor="ctr">
            <a:noAutofit/>
          </a:bodyPr>
          <a:p>
            <a:pPr algn="ctr">
              <a:lnSpc>
                <a:spcPct val="100000"/>
              </a:lnSpc>
              <a:tabLst>
                <a:tab algn="l" pos="0"/>
              </a:tabLst>
            </a:pPr>
            <a:r>
              <a:rPr b="1" lang="en-US" sz="2000" strike="noStrike" u="none">
                <a:solidFill>
                  <a:srgbClr val="000000"/>
                </a:solidFill>
                <a:effectLst/>
                <a:uFillTx/>
                <a:latin typeface="Calibri"/>
              </a:rPr>
              <a:t>2164,5</a:t>
            </a:r>
            <a:endParaRPr b="0" lang="ru-RU" sz="2000" strike="noStrike" u="none">
              <a:effectLst/>
              <a:uFillTx/>
              <a:latin typeface="Times New Roman"/>
            </a:endParaRPr>
          </a:p>
        </xdr:txBody>
      </xdr:sp>
    </xdr:grpSp>
    <xdr:clientData/>
  </xdr:twoCellAnchor>
  <xdr:twoCellAnchor editAs="twoCell">
    <xdr:from>
      <xdr:col>0</xdr:col>
      <xdr:colOff>560160</xdr:colOff>
      <xdr:row>1</xdr:row>
      <xdr:rowOff>57600</xdr:rowOff>
    </xdr:from>
    <xdr:to>
      <xdr:col>5</xdr:col>
      <xdr:colOff>3240</xdr:colOff>
      <xdr:row>10</xdr:row>
      <xdr:rowOff>81720</xdr:rowOff>
    </xdr:to>
    <xdr:grpSp>
      <xdr:nvGrpSpPr>
        <xdr:cNvPr id="4" name="Группа 4"/>
        <xdr:cNvGrpSpPr/>
      </xdr:nvGrpSpPr>
      <xdr:grpSpPr>
        <a:xfrm>
          <a:off x="560160" y="397800"/>
          <a:ext cx="2500560" cy="1738800"/>
          <a:chOff x="560160" y="397800"/>
          <a:chExt cx="2500560" cy="1738800"/>
        </a:xfrm>
      </xdr:grpSpPr>
      <xdr:sp>
        <xdr:nvSpPr>
          <xdr:cNvPr id="5" name="Прямоугольник 5"/>
          <xdr:cNvSpPr/>
        </xdr:nvSpPr>
        <xdr:spPr>
          <a:xfrm>
            <a:off x="560160" y="397800"/>
            <a:ext cx="2500560" cy="1738800"/>
          </a:xfrm>
          <a:prstGeom prst="rect">
            <a:avLst/>
          </a:prstGeom>
          <a:solidFill>
            <a:srgbClr val="ffffff"/>
          </a:solidFill>
          <a:ln w="12700">
            <a:solidFill>
              <a:srgbClr val="000000">
                <a:lumMod val="50000"/>
                <a:lumOff val="50000"/>
              </a:srgbClr>
            </a:solidFill>
            <a:miter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/>
        </xdr:style>
        <xdr:txBody>
          <a:bodyPr horzOverflow="clip" vertOverflow="clip" lIns="90000" rIns="90000" tIns="45000" bIns="45000" anchor="t">
            <a:noAutofit/>
          </a:bodyPr>
          <a:p>
            <a:pPr>
              <a:lnSpc>
                <a:spcPct val="100000"/>
              </a:lnSpc>
            </a:pPr>
            <a:r>
              <a:rPr b="1" lang="ru-RU" sz="1400" strike="noStrike" u="none">
                <a:solidFill>
                  <a:schemeClr val="dk1"/>
                </a:solidFill>
                <a:effectLst/>
                <a:uFillTx/>
                <a:latin typeface="Bahnschrift"/>
              </a:rPr>
              <a:t>ЗАКРЫТИЕ ПЕРИОДА</a:t>
            </a:r>
            <a:endParaRPr b="0" lang="ru-RU" sz="1400" strike="noStrike" u="none">
              <a:effectLst/>
              <a:uFillTx/>
              <a:latin typeface="Times New Roman"/>
            </a:endParaRPr>
          </a:p>
          <a:p>
            <a:pPr>
              <a:lnSpc>
                <a:spcPct val="100000"/>
              </a:lnSpc>
            </a:pPr>
            <a:endParaRPr b="0" lang="ru-RU" sz="1100" strike="noStrike" u="none">
              <a:effectLst/>
              <a:uFillTx/>
              <a:latin typeface="Times New Roman"/>
            </a:endParaRPr>
          </a:p>
          <a:p>
            <a:pPr>
              <a:lnSpc>
                <a:spcPct val="100000"/>
              </a:lnSpc>
              <a:spcBef>
                <a:spcPts val="601"/>
              </a:spcBef>
            </a:pPr>
            <a:r>
              <a:rPr b="0" lang="ru-RU" sz="1200" strike="noStrike" u="none">
                <a:solidFill>
                  <a:schemeClr val="dk1"/>
                </a:solidFill>
                <a:effectLst/>
                <a:uFillTx/>
                <a:latin typeface="Bahnschrift"/>
              </a:rPr>
              <a:t>Начало:</a:t>
            </a:r>
            <a:endParaRPr b="0" lang="ru-RU" sz="1200" strike="noStrike" u="none">
              <a:effectLst/>
              <a:uFillTx/>
              <a:latin typeface="Times New Roman"/>
            </a:endParaRPr>
          </a:p>
          <a:p>
            <a:pPr>
              <a:lnSpc>
                <a:spcPct val="100000"/>
              </a:lnSpc>
              <a:spcBef>
                <a:spcPts val="601"/>
              </a:spcBef>
            </a:pPr>
            <a:r>
              <a:rPr b="0" lang="ru-RU" sz="1200" strike="noStrike" u="none">
                <a:solidFill>
                  <a:schemeClr val="dk1"/>
                </a:solidFill>
                <a:effectLst/>
                <a:uFillTx/>
                <a:latin typeface="Bahnschrift"/>
              </a:rPr>
              <a:t>День уборки:</a:t>
            </a:r>
            <a:endParaRPr b="0" lang="ru-RU" sz="1200" strike="noStrike" u="none">
              <a:effectLst/>
              <a:uFillTx/>
              <a:latin typeface="Times New Roman"/>
            </a:endParaRPr>
          </a:p>
          <a:p>
            <a:pPr>
              <a:lnSpc>
                <a:spcPct val="100000"/>
              </a:lnSpc>
              <a:spcBef>
                <a:spcPts val="601"/>
              </a:spcBef>
            </a:pPr>
            <a:r>
              <a:rPr b="0" lang="ru-RU" sz="1200" strike="noStrike" u="none">
                <a:solidFill>
                  <a:schemeClr val="dk1"/>
                </a:solidFill>
                <a:effectLst/>
                <a:uFillTx/>
                <a:latin typeface="Bahnschrift"/>
              </a:rPr>
              <a:t>Окончание:</a:t>
            </a:r>
            <a:endParaRPr b="0" lang="ru-RU" sz="1200" strike="noStrike" u="none">
              <a:effectLst/>
              <a:uFillTx/>
              <a:latin typeface="Times New Roman"/>
            </a:endParaRPr>
          </a:p>
          <a:p>
            <a:pPr>
              <a:lnSpc>
                <a:spcPct val="100000"/>
              </a:lnSpc>
            </a:pPr>
            <a:endParaRPr b="0" lang="ru-RU" sz="1200" strike="noStrike" u="none">
              <a:effectLst/>
              <a:uFillTx/>
              <a:latin typeface="Times New Roman"/>
            </a:endParaRPr>
          </a:p>
          <a:p>
            <a:pPr>
              <a:lnSpc>
                <a:spcPct val="100000"/>
              </a:lnSpc>
            </a:pPr>
            <a:r>
              <a:rPr b="0" lang="ru-RU" sz="1200" strike="noStrike" u="none">
                <a:solidFill>
                  <a:schemeClr val="dk1"/>
                </a:solidFill>
                <a:effectLst/>
                <a:uFillTx/>
                <a:latin typeface="Bahnschrift"/>
              </a:rPr>
              <a:t>Закрытие:</a:t>
            </a:r>
            <a:endParaRPr b="0" lang="ru-RU" sz="1200" strike="noStrike" u="none">
              <a:effectLst/>
              <a:uFillTx/>
              <a:latin typeface="Times New Roman"/>
            </a:endParaRPr>
          </a:p>
          <a:p>
            <a:pPr>
              <a:lnSpc>
                <a:spcPct val="100000"/>
              </a:lnSpc>
            </a:pPr>
            <a:endParaRPr b="0" lang="ru-RU" sz="1100" strike="noStrike" u="none">
              <a:effectLst/>
              <a:uFillTx/>
              <a:latin typeface="Times New Roman"/>
            </a:endParaRPr>
          </a:p>
        </xdr:txBody>
      </xdr:sp>
      <xdr:grpSp>
        <xdr:nvGrpSpPr>
          <xdr:cNvPr id="6" name="Группа 6"/>
          <xdr:cNvGrpSpPr/>
        </xdr:nvGrpSpPr>
        <xdr:grpSpPr>
          <a:xfrm>
            <a:off x="684000" y="736920"/>
            <a:ext cx="2340720" cy="1315440"/>
            <a:chOff x="684000" y="736920"/>
            <a:chExt cx="2340720" cy="1315440"/>
          </a:xfrm>
        </xdr:grpSpPr>
        <xdr:sp textlink="'ОПЕРФАКТ 2026'!C8">
          <xdr:nvSpPr>
            <xdr:cNvPr id="7" name="Прямоугольник 7"/>
            <xdr:cNvSpPr/>
          </xdr:nvSpPr>
          <xdr:spPr>
            <a:xfrm>
              <a:off x="1785240" y="1770840"/>
              <a:ext cx="1105560" cy="281520"/>
            </a:xfrm>
            <a:prstGeom prst="rect">
              <a:avLst/>
            </a:prstGeom>
            <a:solidFill>
              <a:srgbClr val="ffffff"/>
            </a:solidFill>
            <a:ln w="12700"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 algn="r">
                <a:lnSpc>
                  <a:spcPct val="100000"/>
                </a:lnSpc>
              </a:pPr>
              <a:r>
                <a:rPr b="0" lang="en-US" sz="1800" strike="noStrike" u="none">
                  <a:solidFill>
                    <a:srgbClr val="000000"/>
                  </a:solidFill>
                  <a:effectLst/>
                  <a:uFillTx/>
                  <a:latin typeface="Bahnschrift"/>
                </a:rPr>
                <a:t>4,8%</a:t>
              </a:r>
              <a:endParaRPr b="0" lang="ru-RU" sz="1800" strike="noStrike" u="none">
                <a:effectLst/>
                <a:uFillTx/>
                <a:latin typeface="Times New Roman"/>
              </a:endParaRPr>
            </a:p>
          </xdr:txBody>
        </xdr:sp>
        <xdr:sp textlink="'ОПЕРФАКТ 2026'!C3">
          <xdr:nvSpPr>
            <xdr:cNvPr id="8" name="Прямоугольник 8"/>
            <xdr:cNvSpPr/>
          </xdr:nvSpPr>
          <xdr:spPr>
            <a:xfrm>
              <a:off x="1574280" y="838440"/>
              <a:ext cx="1344240" cy="282600"/>
            </a:xfrm>
            <a:prstGeom prst="rect">
              <a:avLst/>
            </a:prstGeom>
            <a:solidFill>
              <a:srgbClr val="ffffff"/>
            </a:solidFill>
            <a:ln w="12700"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 algn="r">
                <a:lnSpc>
                  <a:spcPct val="100000"/>
                </a:lnSpc>
                <a:tabLst>
                  <a:tab algn="l" pos="0"/>
                </a:tabLst>
              </a:pPr>
              <a:r>
                <a:rPr b="0" lang="en-US" sz="1400" strike="noStrike" u="none">
                  <a:solidFill>
                    <a:srgbClr val="000000"/>
                  </a:solidFill>
                  <a:effectLst/>
                  <a:uFillTx/>
                  <a:latin typeface="Bahnschrift"/>
                </a:rPr>
                <a:t>03.08.2026</a:t>
              </a:r>
              <a:endParaRPr b="0" lang="ru-RU" sz="1400" strike="noStrike" u="none">
                <a:effectLst/>
                <a:uFillTx/>
                <a:latin typeface="Times New Roman"/>
              </a:endParaRPr>
            </a:p>
          </xdr:txBody>
        </xdr:sp>
        <xdr:sp textlink="'ОПЕРФАКТ 2026'!C4">
          <xdr:nvSpPr>
            <xdr:cNvPr id="9" name="Прямоугольник 9"/>
            <xdr:cNvSpPr/>
          </xdr:nvSpPr>
          <xdr:spPr>
            <a:xfrm>
              <a:off x="2185200" y="1464480"/>
              <a:ext cx="839520" cy="249480"/>
            </a:xfrm>
            <a:prstGeom prst="rect">
              <a:avLst/>
            </a:prstGeom>
            <a:solidFill>
              <a:srgbClr val="ffffff"/>
            </a:solidFill>
            <a:ln w="12700"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 algn="r">
                <a:lnSpc>
                  <a:spcPct val="100000"/>
                </a:lnSpc>
              </a:pPr>
              <a:r>
                <a:rPr b="0" lang="en-US" sz="1100" strike="noStrike" u="none">
                  <a:solidFill>
                    <a:srgbClr val="000000"/>
                  </a:solidFill>
                  <a:effectLst/>
                  <a:uFillTx/>
                  <a:latin typeface="Calibri"/>
                </a:rPr>
                <a:t> </a:t>
              </a:r>
              <a:endParaRPr b="0" lang="ru-RU" sz="1100" strike="noStrike" u="none">
                <a:effectLst/>
                <a:uFillTx/>
                <a:latin typeface="Times New Roman"/>
              </a:endParaRPr>
            </a:p>
          </xdr:txBody>
        </xdr:sp>
        <xdr:cxnSp>
          <xdr:nvCxnSpPr>
            <xdr:cNvPr id="10" name="Прямая соединительная линия 10"/>
            <xdr:cNvCxnSpPr/>
          </xdr:nvCxnSpPr>
          <xdr:spPr>
            <a:xfrm>
              <a:off x="684000" y="736920"/>
              <a:ext cx="2176920" cy="2880"/>
            </a:xfrm>
            <a:prstGeom prst="straightConnector1">
              <a:avLst/>
            </a:prstGeom>
            <a:ln w="12700">
              <a:solidFill>
                <a:srgbClr val="e7e6e6">
                  <a:lumMod val="50000"/>
                </a:srgbClr>
              </a:solidFill>
              <a:miter/>
            </a:ln>
          </xdr:spPr>
        </xdr:cxnSp>
      </xdr:grpSp>
    </xdr:grpSp>
    <xdr:clientData/>
  </xdr:twoCellAnchor>
  <xdr:twoCellAnchor editAs="oneCell">
    <xdr:from>
      <xdr:col>10</xdr:col>
      <xdr:colOff>279360</xdr:colOff>
      <xdr:row>13</xdr:row>
      <xdr:rowOff>7560</xdr:rowOff>
    </xdr:from>
    <xdr:to>
      <xdr:col>14</xdr:col>
      <xdr:colOff>149760</xdr:colOff>
      <xdr:row>21</xdr:row>
      <xdr:rowOff>162360</xdr:rowOff>
    </xdr:to>
    <xdr:pic>
      <xdr:nvPicPr>
        <xdr:cNvPr id="11" name="Рисунок 11" descr="кукуруза на белом фоне: 2 тыс изображений найдено в Яндекс Картинках"/>
        <xdr:cNvPicPr/>
      </xdr:nvPicPr>
      <xdr:blipFill>
        <a:blip r:embed="rId3"/>
        <a:stretch/>
      </xdr:blipFill>
      <xdr:spPr>
        <a:xfrm>
          <a:off x="6394320" y="2633760"/>
          <a:ext cx="2316600" cy="167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12</xdr:col>
      <xdr:colOff>117720</xdr:colOff>
      <xdr:row>1</xdr:row>
      <xdr:rowOff>57600</xdr:rowOff>
    </xdr:from>
    <xdr:to>
      <xdr:col>16</xdr:col>
      <xdr:colOff>265320</xdr:colOff>
      <xdr:row>10</xdr:row>
      <xdr:rowOff>102600</xdr:rowOff>
    </xdr:to>
    <xdr:grpSp>
      <xdr:nvGrpSpPr>
        <xdr:cNvPr id="12" name="Группа 15"/>
        <xdr:cNvGrpSpPr/>
      </xdr:nvGrpSpPr>
      <xdr:grpSpPr>
        <a:xfrm>
          <a:off x="7455960" y="397800"/>
          <a:ext cx="2593440" cy="1759680"/>
          <a:chOff x="7455960" y="397800"/>
          <a:chExt cx="2593440" cy="1759680"/>
        </a:xfrm>
      </xdr:grpSpPr>
      <xdr:grpSp>
        <xdr:nvGrpSpPr>
          <xdr:cNvPr id="13" name="Группа 16"/>
          <xdr:cNvGrpSpPr/>
        </xdr:nvGrpSpPr>
        <xdr:grpSpPr>
          <a:xfrm>
            <a:off x="7455960" y="397800"/>
            <a:ext cx="2593440" cy="1738800"/>
            <a:chOff x="7455960" y="397800"/>
            <a:chExt cx="2593440" cy="1738800"/>
          </a:xfrm>
        </xdr:grpSpPr>
        <xdr:sp>
          <xdr:nvSpPr>
            <xdr:cNvPr id="14" name="Прямоугольник 18"/>
            <xdr:cNvSpPr/>
          </xdr:nvSpPr>
          <xdr:spPr>
            <a:xfrm>
              <a:off x="7455960" y="397800"/>
              <a:ext cx="2593440" cy="1738800"/>
            </a:xfrm>
            <a:prstGeom prst="rect">
              <a:avLst/>
            </a:prstGeom>
            <a:solidFill>
              <a:srgbClr val="ffffff"/>
            </a:solidFill>
            <a:ln w="12700">
              <a:solidFill>
                <a:srgbClr val="ffc000"/>
              </a:solidFill>
              <a:miter/>
            </a:ln>
          </xdr:spPr>
          <xdr:style>
            <a:lnRef idx="2">
              <a:schemeClr val="accent4"/>
            </a:lnRef>
            <a:fillRef idx="1">
              <a:schemeClr val="lt1"/>
            </a:fillRef>
            <a:effectRef idx="0">
              <a:schemeClr val="accent4"/>
            </a:effectRef>
            <a:fontRef idx="minor"/>
          </xdr:style>
          <xdr:txBody>
            <a:bodyPr horzOverflow="clip" vertOverflow="clip" lIns="90000" rIns="90000" tIns="45000" bIns="45000" anchor="t">
              <a:noAutofit/>
            </a:bodyPr>
            <a:p>
              <a:pPr>
                <a:lnSpc>
                  <a:spcPct val="100000"/>
                </a:lnSpc>
              </a:pPr>
              <a:r>
                <a:rPr b="1" lang="ru-RU" sz="1400" strike="noStrike" u="none">
                  <a:solidFill>
                    <a:schemeClr val="dk1"/>
                  </a:solidFill>
                  <a:effectLst/>
                  <a:uFillTx/>
                  <a:latin typeface="Bahnschrift"/>
                </a:rPr>
                <a:t>ВАЛОВЫЙ СБОР, тонны</a:t>
              </a:r>
              <a:endParaRPr b="0" lang="ru-RU" sz="14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100000"/>
                </a:lnSpc>
              </a:pPr>
              <a:endParaRPr b="0" lang="ru-RU" sz="6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100000"/>
                </a:lnSpc>
              </a:pPr>
              <a:endParaRPr b="0" lang="ru-RU" sz="11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85000"/>
                </a:lnSpc>
              </a:pPr>
              <a:r>
                <a:rPr b="0" lang="ru-RU" sz="1200" strike="noStrike" u="none">
                  <a:solidFill>
                    <a:schemeClr val="dk1">
                      <a:lumMod val="75000"/>
                      <a:lumOff val="25000"/>
                    </a:schemeClr>
                  </a:solidFill>
                  <a:effectLst/>
                  <a:uFillTx/>
                  <a:latin typeface="Bahnschrift"/>
                </a:rPr>
                <a:t>План:</a:t>
              </a: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85000"/>
                </a:lnSpc>
              </a:pP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85000"/>
                </a:lnSpc>
              </a:pPr>
              <a:r>
                <a:rPr b="0" lang="ru-RU" sz="1200" strike="noStrike" u="none">
                  <a:solidFill>
                    <a:schemeClr val="dk1"/>
                  </a:solidFill>
                  <a:effectLst/>
                  <a:uFillTx/>
                  <a:latin typeface="Bahnschrift"/>
                </a:rPr>
                <a:t>Факт:</a:t>
              </a: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100000"/>
                </a:lnSpc>
              </a:pP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100000"/>
                </a:lnSpc>
              </a:pPr>
              <a:endParaRPr b="0" lang="ru-RU" sz="1100" strike="noStrike" u="none">
                <a:effectLst/>
                <a:uFillTx/>
                <a:latin typeface="Times New Roman"/>
              </a:endParaRPr>
            </a:p>
          </xdr:txBody>
        </xdr:sp>
        <xdr:grpSp>
          <xdr:nvGrpSpPr>
            <xdr:cNvPr id="15" name="Группа 19"/>
            <xdr:cNvGrpSpPr/>
          </xdr:nvGrpSpPr>
          <xdr:grpSpPr>
            <a:xfrm>
              <a:off x="7584480" y="736920"/>
              <a:ext cx="2413080" cy="1318320"/>
              <a:chOff x="7584480" y="736920"/>
              <a:chExt cx="2413080" cy="1318320"/>
            </a:xfrm>
          </xdr:grpSpPr>
          <xdr:sp textlink="'ОПЕРФАКТ 2026'!C34">
            <xdr:nvSpPr>
              <xdr:cNvPr id="16" name="Прямоугольник 20"/>
              <xdr:cNvSpPr/>
            </xdr:nvSpPr>
            <xdr:spPr>
              <a:xfrm>
                <a:off x="9148320" y="1816200"/>
                <a:ext cx="849240" cy="239040"/>
              </a:xfrm>
              <a:prstGeom prst="rect">
                <a:avLst/>
              </a:prstGeom>
              <a:solidFill>
                <a:srgbClr val="ffffff"/>
              </a:solidFill>
              <a:ln w="12700">
                <a:noFill/>
              </a:ln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 algn="r">
                  <a:lnSpc>
                    <a:spcPct val="100000"/>
                  </a:lnSpc>
                </a:pPr>
                <a:r>
                  <a:rPr b="0" lang="en-US" sz="2000" strike="noStrike" u="none">
                    <a:solidFill>
                      <a:srgbClr val="000000"/>
                    </a:solidFill>
                    <a:effectLst/>
                    <a:uFillTx/>
                    <a:latin typeface="Bahnschrift"/>
                  </a:rPr>
                  <a:t>4,9%</a:t>
                </a:r>
                <a:endParaRPr b="0" lang="ru-RU" sz="2000" strike="noStrike" u="none">
                  <a:effectLst/>
                  <a:uFillTx/>
                  <a:latin typeface="Times New Roman"/>
                </a:endParaRPr>
              </a:p>
            </xdr:txBody>
          </xdr:sp>
          <xdr:sp textlink="'ОПЕРФАКТ 2026'!C33">
            <xdr:nvSpPr>
              <xdr:cNvPr id="17" name="Прямоугольник 21"/>
              <xdr:cNvSpPr/>
            </xdr:nvSpPr>
            <xdr:spPr>
              <a:xfrm>
                <a:off x="8503920" y="1155600"/>
                <a:ext cx="1492200" cy="221760"/>
              </a:xfrm>
              <a:prstGeom prst="rect">
                <a:avLst/>
              </a:prstGeom>
              <a:solidFill>
                <a:srgbClr val="ffffff"/>
              </a:solidFill>
              <a:ln w="12700">
                <a:noFill/>
              </a:ln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 algn="r">
                  <a:lnSpc>
                    <a:spcPct val="100000"/>
                  </a:lnSpc>
                </a:pPr>
                <a:r>
                  <a:rPr b="0" lang="en-US" sz="2000" strike="noStrike" u="none">
                    <a:solidFill>
                      <a:srgbClr val="000000"/>
                    </a:solidFill>
                    <a:effectLst/>
                    <a:uFillTx/>
                    <a:latin typeface="Bahnschrift"/>
                  </a:rPr>
                  <a:t>1 828</a:t>
                </a:r>
                <a:endParaRPr b="0" lang="ru-RU" sz="2000" strike="noStrike" u="none">
                  <a:effectLst/>
                  <a:uFillTx/>
                  <a:latin typeface="Times New Roman"/>
                </a:endParaRPr>
              </a:p>
            </xdr:txBody>
          </xdr:sp>
          <xdr:cxnSp>
            <xdr:nvCxnSpPr>
              <xdr:cNvPr id="18" name="Прямая соединительная линия 22"/>
              <xdr:cNvCxnSpPr/>
            </xdr:nvCxnSpPr>
            <xdr:spPr>
              <a:xfrm>
                <a:off x="7584480" y="736920"/>
                <a:ext cx="2257560" cy="2520"/>
              </a:xfrm>
              <a:prstGeom prst="straightConnector1">
                <a:avLst/>
              </a:prstGeom>
              <a:ln w="12700">
                <a:solidFill>
                  <a:srgbClr val="ffc000"/>
                </a:solidFill>
                <a:miter/>
              </a:ln>
            </xdr:spPr>
          </xdr:cxnSp>
        </xdr:grpSp>
      </xdr:grpSp>
      <xdr:pic>
        <xdr:nvPicPr>
          <xdr:cNvPr id="19" name="Рисунок 17" descr="Самосвал"/>
          <xdr:cNvPicPr/>
        </xdr:nvPicPr>
        <xdr:blipFill>
          <a:blip r:embed="rId4">
            <a:extLst>
              <a:ext uri="{96DAC541-7B7A-43D3-8B79-37D633B846F1}">
                <asvg:svgBlip xmlns:asvg="http://schemas.microsoft.com/office/drawing/2016/SVG/main" r:embed="rId5"/>
              </a:ext>
            </a:extLst>
          </a:blip>
          <a:stretch/>
        </xdr:blipFill>
        <xdr:spPr>
          <a:xfrm>
            <a:off x="7995240" y="1540440"/>
            <a:ext cx="694800" cy="617040"/>
          </a:xfrm>
          <a:prstGeom prst="rect">
            <a:avLst/>
          </a:prstGeom>
          <a:noFill/>
          <a:ln w="0">
            <a:noFill/>
          </a:ln>
        </xdr:spPr>
      </xdr:pic>
    </xdr:grpSp>
    <xdr:clientData/>
  </xdr:twoCellAnchor>
  <xdr:twoCellAnchor editAs="twoCell">
    <xdr:from>
      <xdr:col>6</xdr:col>
      <xdr:colOff>358920</xdr:colOff>
      <xdr:row>1</xdr:row>
      <xdr:rowOff>61560</xdr:rowOff>
    </xdr:from>
    <xdr:to>
      <xdr:col>10</xdr:col>
      <xdr:colOff>365400</xdr:colOff>
      <xdr:row>10</xdr:row>
      <xdr:rowOff>117000</xdr:rowOff>
    </xdr:to>
    <xdr:grpSp>
      <xdr:nvGrpSpPr>
        <xdr:cNvPr id="20" name="Группа 23"/>
        <xdr:cNvGrpSpPr/>
      </xdr:nvGrpSpPr>
      <xdr:grpSpPr>
        <a:xfrm>
          <a:off x="4028040" y="401760"/>
          <a:ext cx="2452320" cy="1770120"/>
          <a:chOff x="4028040" y="401760"/>
          <a:chExt cx="2452320" cy="1770120"/>
        </a:xfrm>
      </xdr:grpSpPr>
      <xdr:grpSp>
        <xdr:nvGrpSpPr>
          <xdr:cNvPr id="21" name="Группа 24"/>
          <xdr:cNvGrpSpPr/>
        </xdr:nvGrpSpPr>
        <xdr:grpSpPr>
          <a:xfrm>
            <a:off x="4028040" y="401760"/>
            <a:ext cx="2452320" cy="1734480"/>
            <a:chOff x="4028040" y="401760"/>
            <a:chExt cx="2452320" cy="1734480"/>
          </a:xfrm>
        </xdr:grpSpPr>
        <xdr:sp>
          <xdr:nvSpPr>
            <xdr:cNvPr id="22" name="Прямоугольник 26"/>
            <xdr:cNvSpPr/>
          </xdr:nvSpPr>
          <xdr:spPr>
            <a:xfrm>
              <a:off x="4028040" y="401760"/>
              <a:ext cx="2452320" cy="1734480"/>
            </a:xfrm>
            <a:prstGeom prst="rect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/>
            </a:ln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/>
          </xdr:style>
          <xdr:txBody>
            <a:bodyPr horzOverflow="clip" vertOverflow="clip" lIns="90000" rIns="90000" tIns="45000" bIns="45000" anchor="t">
              <a:noAutofit/>
            </a:bodyPr>
            <a:p>
              <a:pPr>
                <a:lnSpc>
                  <a:spcPct val="100000"/>
                </a:lnSpc>
              </a:pPr>
              <a:r>
                <a:rPr b="1" lang="ru-RU" sz="1400" strike="noStrike" u="none">
                  <a:solidFill>
                    <a:schemeClr val="dk1"/>
                  </a:solidFill>
                  <a:effectLst/>
                  <a:uFillTx/>
                  <a:latin typeface="Bahnschrift"/>
                </a:rPr>
                <a:t>ПЛОЩАДЬ УБОРКИ, га</a:t>
              </a:r>
              <a:endParaRPr b="0" lang="ru-RU" sz="14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100000"/>
                </a:lnSpc>
              </a:pPr>
              <a:endParaRPr b="0" lang="ru-RU" sz="6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85000"/>
                </a:lnSpc>
              </a:pP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85000"/>
                </a:lnSpc>
              </a:pPr>
              <a:r>
                <a:rPr b="0" lang="ru-RU" sz="1200" strike="noStrike" u="none">
                  <a:solidFill>
                    <a:schemeClr val="dk1"/>
                  </a:solidFill>
                  <a:effectLst/>
                  <a:uFillTx/>
                  <a:latin typeface="Bahnschrift"/>
                </a:rPr>
                <a:t>План:</a:t>
              </a: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85000"/>
                </a:lnSpc>
              </a:pP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85000"/>
                </a:lnSpc>
              </a:pPr>
              <a:r>
                <a:rPr b="0" lang="ru-RU" sz="1200" strike="noStrike" u="none">
                  <a:solidFill>
                    <a:schemeClr val="dk1"/>
                  </a:solidFill>
                  <a:effectLst/>
                  <a:uFillTx/>
                  <a:latin typeface="Bahnschrift"/>
                </a:rPr>
                <a:t>Факт:</a:t>
              </a: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100000"/>
                </a:lnSpc>
              </a:pP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100000"/>
                </a:lnSpc>
              </a:pPr>
              <a:endParaRPr b="0" lang="ru-RU" sz="1100" strike="noStrike" u="none">
                <a:effectLst/>
                <a:uFillTx/>
                <a:latin typeface="Times New Roman"/>
              </a:endParaRPr>
            </a:p>
          </xdr:txBody>
        </xdr:sp>
        <xdr:grpSp>
          <xdr:nvGrpSpPr>
            <xdr:cNvPr id="23" name="Группа 27"/>
            <xdr:cNvGrpSpPr/>
          </xdr:nvGrpSpPr>
          <xdr:grpSpPr>
            <a:xfrm>
              <a:off x="4149360" y="740160"/>
              <a:ext cx="2228760" cy="1349640"/>
              <a:chOff x="4149360" y="740160"/>
              <a:chExt cx="2228760" cy="1349640"/>
            </a:xfrm>
          </xdr:grpSpPr>
          <xdr:sp textlink="'ОПЕРФАКТ 2026'!C16">
            <xdr:nvSpPr>
              <xdr:cNvPr id="24" name="Прямоугольник 28"/>
              <xdr:cNvSpPr/>
            </xdr:nvSpPr>
            <xdr:spPr>
              <a:xfrm>
                <a:off x="5502240" y="1764360"/>
                <a:ext cx="875880" cy="325440"/>
              </a:xfrm>
              <a:prstGeom prst="rect">
                <a:avLst/>
              </a:prstGeom>
              <a:solidFill>
                <a:srgbClr val="ffffff"/>
              </a:solidFill>
              <a:ln w="12700"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 algn="r">
                  <a:lnSpc>
                    <a:spcPct val="100000"/>
                  </a:lnSpc>
                </a:pPr>
                <a:r>
                  <a:rPr b="0" lang="en-US" sz="2000" strike="noStrike" u="none">
                    <a:solidFill>
                      <a:srgbClr val="000000"/>
                    </a:solidFill>
                    <a:effectLst/>
                    <a:uFillTx/>
                    <a:latin typeface="Bahnschrift"/>
                  </a:rPr>
                  <a:t>4,3%</a:t>
                </a:r>
                <a:endParaRPr b="0" lang="ru-RU" sz="2000" strike="noStrike" u="none">
                  <a:effectLst/>
                  <a:uFillTx/>
                  <a:latin typeface="Times New Roman"/>
                </a:endParaRPr>
              </a:p>
            </xdr:txBody>
          </xdr:sp>
          <xdr:sp textlink="'ОПЕРФАКТ 2026'!C13">
            <xdr:nvSpPr>
              <xdr:cNvPr id="25" name="Прямоугольник 29"/>
              <xdr:cNvSpPr/>
            </xdr:nvSpPr>
            <xdr:spPr>
              <a:xfrm>
                <a:off x="5149080" y="875520"/>
                <a:ext cx="1087920" cy="281880"/>
              </a:xfrm>
              <a:prstGeom prst="rect">
                <a:avLst/>
              </a:prstGeom>
              <a:solidFill>
                <a:srgbClr val="ffffff"/>
              </a:solidFill>
              <a:ln w="12700"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 algn="r">
                  <a:lnSpc>
                    <a:spcPct val="100000"/>
                  </a:lnSpc>
                </a:pPr>
                <a:r>
                  <a:rPr b="0" lang="en-US" sz="2000" strike="noStrike" u="none">
                    <a:solidFill>
                      <a:schemeClr val="lt2">
                        <a:lumMod val="50000"/>
                      </a:schemeClr>
                    </a:solidFill>
                    <a:effectLst/>
                    <a:uFillTx/>
                    <a:latin typeface="Bahnschrift"/>
                  </a:rPr>
                  <a:t>2 164,5</a:t>
                </a:r>
                <a:endParaRPr b="0" lang="ru-RU" sz="2000" strike="noStrike" u="none">
                  <a:effectLst/>
                  <a:uFillTx/>
                  <a:latin typeface="Times New Roman"/>
                </a:endParaRPr>
              </a:p>
            </xdr:txBody>
          </xdr:sp>
          <xdr:sp textlink="'ОПЕРФАКТ 2026'!C15">
            <xdr:nvSpPr>
              <xdr:cNvPr id="26" name="Прямоугольник 30"/>
              <xdr:cNvSpPr/>
            </xdr:nvSpPr>
            <xdr:spPr>
              <a:xfrm>
                <a:off x="5162400" y="1187280"/>
                <a:ext cx="1086480" cy="281880"/>
              </a:xfrm>
              <a:prstGeom prst="rect">
                <a:avLst/>
              </a:prstGeom>
              <a:solidFill>
                <a:srgbClr val="ffffff"/>
              </a:solidFill>
              <a:ln w="12700"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 algn="r">
                  <a:lnSpc>
                    <a:spcPct val="100000"/>
                  </a:lnSpc>
                </a:pPr>
                <a:r>
                  <a:rPr b="0" lang="en-US" sz="2000" strike="noStrike" u="none">
                    <a:solidFill>
                      <a:srgbClr val="000000"/>
                    </a:solidFill>
                    <a:effectLst/>
                    <a:uFillTx/>
                    <a:latin typeface="Bahnschrift"/>
                  </a:rPr>
                  <a:t>94,0</a:t>
                </a:r>
                <a:endParaRPr b="0" lang="ru-RU" sz="2000" strike="noStrike" u="none">
                  <a:effectLst/>
                  <a:uFillTx/>
                  <a:latin typeface="Times New Roman"/>
                </a:endParaRPr>
              </a:p>
            </xdr:txBody>
          </xdr:sp>
          <xdr:cxnSp>
            <xdr:nvCxnSpPr>
              <xdr:cNvPr id="27" name="Прямая соединительная линия 31"/>
              <xdr:cNvCxnSpPr/>
            </xdr:nvCxnSpPr>
            <xdr:spPr>
              <a:xfrm>
                <a:off x="4149360" y="740160"/>
                <a:ext cx="2134800" cy="2520"/>
              </a:xfrm>
              <a:prstGeom prst="straightConnector1">
                <a:avLst/>
              </a:prstGeom>
              <a:ln w="12700">
                <a:solidFill>
                  <a:srgbClr val="70ad47"/>
                </a:solidFill>
                <a:miter/>
              </a:ln>
            </xdr:spPr>
          </xdr:cxnSp>
        </xdr:grpSp>
      </xdr:grpSp>
      <xdr:pic>
        <xdr:nvPicPr>
          <xdr:cNvPr id="28" name="Рисунок 25" descr="Карта с кнопкой"/>
          <xdr:cNvPicPr/>
        </xdr:nvPicPr>
        <xdr:blipFill>
          <a:blip r:embed="rId6">
            <a:extLst>
              <a:ext uri="{96DAC541-7B7A-43D3-8B79-37D633B846F1}">
                <asvg:svgBlip xmlns:asvg="http://schemas.microsoft.com/office/drawing/2016/SVG/main" r:embed="rId7"/>
              </a:ext>
            </a:extLst>
          </a:blip>
          <a:stretch/>
        </xdr:blipFill>
        <xdr:spPr>
          <a:xfrm>
            <a:off x="4492800" y="1482120"/>
            <a:ext cx="718200" cy="689760"/>
          </a:xfrm>
          <a:prstGeom prst="rect">
            <a:avLst/>
          </a:prstGeom>
          <a:noFill/>
          <a:ln w="0">
            <a:noFill/>
          </a:ln>
        </xdr:spPr>
      </xdr:pic>
    </xdr:grpSp>
    <xdr:clientData/>
  </xdr:twoCellAnchor>
  <xdr:twoCellAnchor editAs="twoCell">
    <xdr:from>
      <xdr:col>18</xdr:col>
      <xdr:colOff>21240</xdr:colOff>
      <xdr:row>1</xdr:row>
      <xdr:rowOff>57600</xdr:rowOff>
    </xdr:from>
    <xdr:to>
      <xdr:col>22</xdr:col>
      <xdr:colOff>168840</xdr:colOff>
      <xdr:row>10</xdr:row>
      <xdr:rowOff>84240</xdr:rowOff>
    </xdr:to>
    <xdr:grpSp>
      <xdr:nvGrpSpPr>
        <xdr:cNvPr id="29" name="Группа 32"/>
        <xdr:cNvGrpSpPr/>
      </xdr:nvGrpSpPr>
      <xdr:grpSpPr>
        <a:xfrm>
          <a:off x="11028240" y="397800"/>
          <a:ext cx="2593800" cy="1741320"/>
          <a:chOff x="11028240" y="397800"/>
          <a:chExt cx="2593800" cy="1741320"/>
        </a:xfrm>
      </xdr:grpSpPr>
      <xdr:grpSp>
        <xdr:nvGrpSpPr>
          <xdr:cNvPr id="30" name="Группа 33"/>
          <xdr:cNvGrpSpPr/>
        </xdr:nvGrpSpPr>
        <xdr:grpSpPr>
          <a:xfrm>
            <a:off x="11028240" y="397800"/>
            <a:ext cx="2593800" cy="1738800"/>
            <a:chOff x="11028240" y="397800"/>
            <a:chExt cx="2593800" cy="1738800"/>
          </a:xfrm>
        </xdr:grpSpPr>
        <xdr:sp>
          <xdr:nvSpPr>
            <xdr:cNvPr id="31" name="Прямоугольник 35"/>
            <xdr:cNvSpPr/>
          </xdr:nvSpPr>
          <xdr:spPr>
            <a:xfrm>
              <a:off x="11028240" y="397800"/>
              <a:ext cx="2593800" cy="1738800"/>
            </a:xfrm>
            <a:prstGeom prst="rect">
              <a:avLst/>
            </a:prstGeom>
            <a:solidFill>
              <a:srgbClr val="ffffff"/>
            </a:solidFill>
            <a:ln w="12700">
              <a:solidFill>
                <a:srgbClr val="4472c4"/>
              </a:solidFill>
              <a:miter/>
            </a:ln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/>
          </xdr:style>
          <xdr:txBody>
            <a:bodyPr horzOverflow="clip" vertOverflow="clip" lIns="90000" rIns="90000" tIns="45000" bIns="45000" anchor="t">
              <a:noAutofit/>
            </a:bodyPr>
            <a:p>
              <a:pPr>
                <a:lnSpc>
                  <a:spcPct val="100000"/>
                </a:lnSpc>
              </a:pPr>
              <a:r>
                <a:rPr b="1" lang="ru-RU" sz="1400" strike="noStrike" u="none">
                  <a:solidFill>
                    <a:schemeClr val="dk1"/>
                  </a:solidFill>
                  <a:effectLst/>
                  <a:uFillTx/>
                  <a:latin typeface="Bahnschrift"/>
                </a:rPr>
                <a:t>УРОЖАЙНОСТЬ, т/га</a:t>
              </a:r>
              <a:endParaRPr b="0" lang="ru-RU" sz="14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100000"/>
                </a:lnSpc>
              </a:pPr>
              <a:endParaRPr b="0" lang="ru-RU" sz="6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85000"/>
                </a:lnSpc>
              </a:pPr>
              <a:endParaRPr b="0" lang="ru-RU" sz="11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85000"/>
                </a:lnSpc>
              </a:pPr>
              <a:r>
                <a:rPr b="0" lang="ru-RU" sz="1200" strike="noStrike" u="none">
                  <a:solidFill>
                    <a:schemeClr val="dk1">
                      <a:lumMod val="75000"/>
                      <a:lumOff val="25000"/>
                    </a:schemeClr>
                  </a:solidFill>
                  <a:effectLst/>
                  <a:uFillTx/>
                  <a:latin typeface="Bahnschrift"/>
                </a:rPr>
                <a:t>План:</a:t>
              </a: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85000"/>
                </a:lnSpc>
              </a:pP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85000"/>
                </a:lnSpc>
              </a:pPr>
              <a:r>
                <a:rPr b="0" lang="ru-RU" sz="1200" strike="noStrike" u="none">
                  <a:solidFill>
                    <a:schemeClr val="dk1"/>
                  </a:solidFill>
                  <a:effectLst/>
                  <a:uFillTx/>
                  <a:latin typeface="Bahnschrift"/>
                </a:rPr>
                <a:t>Факт:</a:t>
              </a: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100000"/>
                </a:lnSpc>
              </a:pP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100000"/>
                </a:lnSpc>
              </a:pPr>
              <a:endParaRPr b="0" lang="ru-RU" sz="1100" strike="noStrike" u="none">
                <a:effectLst/>
                <a:uFillTx/>
                <a:latin typeface="Times New Roman"/>
              </a:endParaRPr>
            </a:p>
          </xdr:txBody>
        </xdr:sp>
        <xdr:grpSp>
          <xdr:nvGrpSpPr>
            <xdr:cNvPr id="32" name="Группа 36"/>
            <xdr:cNvGrpSpPr/>
          </xdr:nvGrpSpPr>
          <xdr:grpSpPr>
            <a:xfrm>
              <a:off x="11156760" y="736920"/>
              <a:ext cx="2278440" cy="657360"/>
              <a:chOff x="11156760" y="736920"/>
              <a:chExt cx="2278440" cy="657360"/>
            </a:xfrm>
          </xdr:grpSpPr>
          <xdr:sp textlink="'ОПЕРФАКТ 2026'!C44">
            <xdr:nvSpPr>
              <xdr:cNvPr id="33" name="Прямоугольник 37"/>
              <xdr:cNvSpPr/>
            </xdr:nvSpPr>
            <xdr:spPr>
              <a:xfrm>
                <a:off x="12284640" y="1112040"/>
                <a:ext cx="1150560" cy="282240"/>
              </a:xfrm>
              <a:prstGeom prst="rect">
                <a:avLst/>
              </a:prstGeom>
              <a:solidFill>
                <a:srgbClr val="ffffff"/>
              </a:solidFill>
              <a:ln w="12700">
                <a:noFill/>
              </a:ln>
            </xdr:spPr>
            <xdr:style>
              <a:lnRef idx="2">
                <a:schemeClr val="accent5"/>
              </a:lnRef>
              <a:fillRef idx="1">
                <a:schemeClr val="lt1"/>
              </a:fillRef>
              <a:effectRef idx="0">
                <a:schemeClr val="accent5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 algn="r">
                  <a:lnSpc>
                    <a:spcPct val="100000"/>
                  </a:lnSpc>
                </a:pPr>
                <a:r>
                  <a:rPr b="0" lang="en-US" sz="2000" strike="noStrike" u="none">
                    <a:solidFill>
                      <a:srgbClr val="000000"/>
                    </a:solidFill>
                    <a:effectLst/>
                    <a:uFillTx/>
                    <a:latin typeface="Bahnschrift"/>
                  </a:rPr>
                  <a:t>19,4</a:t>
                </a:r>
                <a:endParaRPr b="0" lang="ru-RU" sz="2000" strike="noStrike" u="none">
                  <a:effectLst/>
                  <a:uFillTx/>
                  <a:latin typeface="Times New Roman"/>
                </a:endParaRPr>
              </a:p>
            </xdr:txBody>
          </xdr:sp>
          <xdr:cxnSp>
            <xdr:nvCxnSpPr>
              <xdr:cNvPr id="34" name="Прямая соединительная линия 38"/>
              <xdr:cNvCxnSpPr/>
            </xdr:nvCxnSpPr>
            <xdr:spPr>
              <a:xfrm>
                <a:off x="11156760" y="736920"/>
                <a:ext cx="2258280" cy="2880"/>
              </a:xfrm>
              <a:prstGeom prst="straightConnector1">
                <a:avLst/>
              </a:prstGeom>
              <a:ln w="12700">
                <a:solidFill>
                  <a:srgbClr val="4472c4"/>
                </a:solidFill>
                <a:miter/>
              </a:ln>
            </xdr:spPr>
          </xdr:cxnSp>
        </xdr:grpSp>
      </xdr:grpSp>
      <xdr:pic>
        <xdr:nvPicPr>
          <xdr:cNvPr id="35" name="Рисунок 34" descr="Открытая ладонь с растением"/>
          <xdr:cNvPicPr/>
        </xdr:nvPicPr>
        <xdr:blipFill>
          <a:blip r:embed="rId8">
            <a:extLst>
              <a:ext uri="{96DAC541-7B7A-43D3-8B79-37D633B846F1}">
                <asvg:svgBlip xmlns:asvg="http://schemas.microsoft.com/office/drawing/2016/SVG/main" r:embed="rId9"/>
              </a:ext>
            </a:extLst>
          </a:blip>
          <a:stretch/>
        </xdr:blipFill>
        <xdr:spPr>
          <a:xfrm>
            <a:off x="11458080" y="1531080"/>
            <a:ext cx="650160" cy="608040"/>
          </a:xfrm>
          <a:prstGeom prst="rect">
            <a:avLst/>
          </a:prstGeom>
          <a:noFill/>
          <a:ln w="0">
            <a:noFill/>
          </a:ln>
        </xdr:spPr>
      </xdr:pic>
    </xdr:grpSp>
    <xdr:clientData/>
  </xdr:twoCellAnchor>
  <xdr:twoCellAnchor editAs="twoCell">
    <xdr:from>
      <xdr:col>16</xdr:col>
      <xdr:colOff>10080</xdr:colOff>
      <xdr:row>37</xdr:row>
      <xdr:rowOff>96480</xdr:rowOff>
    </xdr:from>
    <xdr:to>
      <xdr:col>35</xdr:col>
      <xdr:colOff>301320</xdr:colOff>
      <xdr:row>56</xdr:row>
      <xdr:rowOff>173520</xdr:rowOff>
    </xdr:to>
    <xdr:grpSp>
      <xdr:nvGrpSpPr>
        <xdr:cNvPr id="36" name="Группа 39"/>
        <xdr:cNvGrpSpPr/>
      </xdr:nvGrpSpPr>
      <xdr:grpSpPr>
        <a:xfrm>
          <a:off x="9794160" y="7610400"/>
          <a:ext cx="13268160" cy="3696480"/>
          <a:chOff x="9794160" y="7610400"/>
          <a:chExt cx="13268160" cy="3696480"/>
        </a:xfrm>
      </xdr:grpSpPr>
      <xdr:graphicFrame>
        <xdr:nvGraphicFramePr>
          <xdr:cNvPr id="37" name="Диаграмма 41"/>
          <xdr:cNvGraphicFramePr/>
        </xdr:nvGraphicFramePr>
        <xdr:xfrm>
          <a:off x="9794160" y="7611840"/>
          <a:ext cx="5623920" cy="3654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graphicFrame>
        <xdr:nvGraphicFramePr>
          <xdr:cNvPr id="38" name="Диаграмма 42"/>
          <xdr:cNvGraphicFramePr/>
        </xdr:nvGraphicFramePr>
        <xdr:xfrm>
          <a:off x="13389840" y="7610400"/>
          <a:ext cx="6082200" cy="3654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  <xdr:graphicFrame>
        <xdr:nvGraphicFramePr>
          <xdr:cNvPr id="39" name="Диаграмма 43"/>
          <xdr:cNvGraphicFramePr/>
        </xdr:nvGraphicFramePr>
        <xdr:xfrm>
          <a:off x="16654680" y="7652880"/>
          <a:ext cx="6407640" cy="3654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</xdr:grpSp>
    <xdr:clientData/>
  </xdr:twoCellAnchor>
  <xdr:twoCellAnchor editAs="twoCell">
    <xdr:from>
      <xdr:col>2</xdr:col>
      <xdr:colOff>581040</xdr:colOff>
      <xdr:row>5</xdr:row>
      <xdr:rowOff>2520</xdr:rowOff>
    </xdr:from>
    <xdr:to>
      <xdr:col>4</xdr:col>
      <xdr:colOff>471600</xdr:colOff>
      <xdr:row>6</xdr:row>
      <xdr:rowOff>116640</xdr:rowOff>
    </xdr:to>
    <xdr:sp textlink="'ОПЕРФАКТ 2026'!C7">
      <xdr:nvSpPr>
        <xdr:cNvPr id="40" name="Прямоугольник 44"/>
        <xdr:cNvSpPr/>
      </xdr:nvSpPr>
      <xdr:spPr>
        <a:xfrm>
          <a:off x="1803960" y="1104840"/>
          <a:ext cx="1113840" cy="304560"/>
        </a:xfrm>
        <a:prstGeom prst="rect">
          <a:avLst/>
        </a:prstGeom>
        <a:solidFill>
          <a:srgbClr val="ffffff"/>
        </a:solidFill>
        <a:ln w="12700"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/>
      </xdr:style>
      <xdr:txBody>
        <a:bodyPr horzOverflow="clip" vertOverflow="clip" lIns="90000" rIns="90000" tIns="45000" bIns="45000" anchor="ctr">
          <a:noAutofit/>
        </a:bodyPr>
        <a:p>
          <a:pPr algn="r">
            <a:lnSpc>
              <a:spcPct val="100000"/>
            </a:lnSpc>
            <a:tabLst>
              <a:tab algn="l" pos="0"/>
            </a:tabLst>
          </a:pPr>
          <a:r>
            <a:rPr b="0" lang="en-US" sz="1400" strike="noStrike" u="none">
              <a:solidFill>
                <a:srgbClr val="000000"/>
              </a:solidFill>
              <a:effectLst/>
              <a:uFillTx/>
              <a:latin typeface="Bahnschrift"/>
            </a:rPr>
            <a:t>4 дн</a:t>
          </a:r>
          <a:endParaRPr b="0" lang="ru-RU" sz="14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0</xdr:col>
      <xdr:colOff>0</xdr:colOff>
      <xdr:row>12</xdr:row>
      <xdr:rowOff>85680</xdr:rowOff>
    </xdr:from>
    <xdr:to>
      <xdr:col>15</xdr:col>
      <xdr:colOff>276120</xdr:colOff>
      <xdr:row>34</xdr:row>
      <xdr:rowOff>57960</xdr:rowOff>
    </xdr:to>
    <xdr:grpSp>
      <xdr:nvGrpSpPr>
        <xdr:cNvPr id="41" name="Группа 55"/>
        <xdr:cNvGrpSpPr/>
      </xdr:nvGrpSpPr>
      <xdr:grpSpPr>
        <a:xfrm>
          <a:off x="0" y="2521440"/>
          <a:ext cx="9448560" cy="4479120"/>
          <a:chOff x="0" y="2521440"/>
          <a:chExt cx="9448560" cy="4479120"/>
        </a:xfrm>
      </xdr:grpSpPr>
      <xdr:grpSp>
        <xdr:nvGrpSpPr>
          <xdr:cNvPr id="42" name="Группа 12"/>
          <xdr:cNvGrpSpPr/>
        </xdr:nvGrpSpPr>
        <xdr:grpSpPr>
          <a:xfrm>
            <a:off x="0" y="2521440"/>
            <a:ext cx="9448560" cy="4460760"/>
            <a:chOff x="0" y="2521440"/>
            <a:chExt cx="9448560" cy="4460760"/>
          </a:xfrm>
        </xdr:grpSpPr>
        <xdr:graphicFrame>
          <xdr:nvGraphicFramePr>
            <xdr:cNvPr id="43" name="Диаграмма 13"/>
            <xdr:cNvGraphicFramePr/>
          </xdr:nvGraphicFramePr>
          <xdr:xfrm>
            <a:off x="0" y="2521440"/>
            <a:ext cx="9448560" cy="414468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3"/>
            </a:graphicData>
          </a:graphic>
        </xdr:graphicFrame>
        <xdr:sp textlink="'ОПЕРФАКТ 2026'!$N$4">
          <xdr:nvSpPr>
            <xdr:cNvPr id="44" name="Прямоугольник 14"/>
            <xdr:cNvSpPr/>
          </xdr:nvSpPr>
          <xdr:spPr>
            <a:xfrm>
              <a:off x="897120" y="6643800"/>
              <a:ext cx="970200" cy="338400"/>
            </a:xfrm>
            <a:prstGeom prst="rect">
              <a:avLst/>
            </a:prstGeom>
            <a:solidFill>
              <a:srgbClr val="ffffff"/>
            </a:solidFill>
            <a:ln w="12700"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 algn="ctr">
                <a:lnSpc>
                  <a:spcPct val="100000"/>
                </a:lnSpc>
                <a:tabLst>
                  <a:tab algn="l" pos="0"/>
                </a:tabLst>
              </a:pPr>
              <a:r>
                <a:rPr b="0" lang="en-US" sz="1400" strike="noStrike" u="none">
                  <a:solidFill>
                    <a:schemeClr val="dk1">
                      <a:lumMod val="65000"/>
                      <a:lumOff val="35000"/>
                    </a:schemeClr>
                  </a:solidFill>
                  <a:effectLst/>
                  <a:uFillTx/>
                  <a:latin typeface="Bahnschrift SemiCondensed"/>
                </a:rPr>
                <a:t>19,4 т/га</a:t>
              </a:r>
              <a:endParaRPr b="0" lang="ru-RU" sz="1400" strike="noStrike" u="none">
                <a:effectLst/>
                <a:uFillTx/>
                <a:latin typeface="Times New Roman"/>
              </a:endParaRPr>
            </a:p>
          </xdr:txBody>
        </xdr:sp>
      </xdr:grpSp>
      <xdr:sp textlink="'ОПЕРФАКТ 2026'!$N$5">
        <xdr:nvSpPr>
          <xdr:cNvPr id="45" name="Прямоугольник 45"/>
          <xdr:cNvSpPr/>
        </xdr:nvSpPr>
        <xdr:spPr>
          <a:xfrm>
            <a:off x="2526480" y="6655680"/>
            <a:ext cx="970560" cy="308880"/>
          </a:xfrm>
          <a:prstGeom prst="rect">
            <a:avLst/>
          </a:prstGeom>
          <a:solidFill>
            <a:srgbClr val="ffffff"/>
          </a:solidFill>
          <a:ln w="12700"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/>
        </xdr:style>
        <xdr:txBody>
          <a:bodyPr horzOverflow="clip" vertOverflow="clip" lIns="90000" rIns="90000" tIns="45000" bIns="45000" anchor="ctr">
            <a:noAutofit/>
          </a:bodyPr>
          <a:p>
            <a:pPr algn="ctr">
              <a:lnSpc>
                <a:spcPct val="100000"/>
              </a:lnSpc>
            </a:pPr>
            <a:r>
              <a:rPr b="0" lang="en-US" sz="1100" strike="noStrike" u="none">
                <a:solidFill>
                  <a:srgbClr val="000000"/>
                </a:solidFill>
                <a:effectLst/>
                <a:uFillTx/>
                <a:latin typeface="Calibri"/>
              </a:rPr>
              <a:t>-</a:t>
            </a:r>
            <a:endParaRPr b="0" lang="ru-RU" sz="1100" strike="noStrike" u="none">
              <a:effectLst/>
              <a:uFillTx/>
              <a:latin typeface="Times New Roman"/>
            </a:endParaRPr>
          </a:p>
        </xdr:txBody>
      </xdr:sp>
      <xdr:sp textlink="'ОПЕРФАКТ 2026'!$N$6">
        <xdr:nvSpPr>
          <xdr:cNvPr id="46" name="Прямоугольник 46"/>
          <xdr:cNvSpPr/>
        </xdr:nvSpPr>
        <xdr:spPr>
          <a:xfrm>
            <a:off x="4238280" y="6695280"/>
            <a:ext cx="965880" cy="305280"/>
          </a:xfrm>
          <a:prstGeom prst="rect">
            <a:avLst/>
          </a:prstGeom>
          <a:solidFill>
            <a:srgbClr val="ffffff"/>
          </a:solidFill>
          <a:ln w="12700"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/>
        </xdr:style>
        <xdr:txBody>
          <a:bodyPr horzOverflow="clip" vertOverflow="clip" lIns="90000" rIns="90000" tIns="45000" bIns="45000" anchor="ctr">
            <a:noAutofit/>
          </a:bodyPr>
          <a:p>
            <a:pPr algn="ctr">
              <a:lnSpc>
                <a:spcPct val="100000"/>
              </a:lnSpc>
            </a:pPr>
            <a:r>
              <a:rPr b="0" lang="en-US" sz="1100" strike="noStrike" u="none">
                <a:solidFill>
                  <a:srgbClr val="000000"/>
                </a:solidFill>
                <a:effectLst/>
                <a:uFillTx/>
                <a:latin typeface="Calibri"/>
              </a:rPr>
              <a:t>-</a:t>
            </a:r>
            <a:endParaRPr b="0" lang="ru-RU" sz="1100" strike="noStrike" u="none">
              <a:effectLst/>
              <a:uFillTx/>
              <a:latin typeface="Times New Roman"/>
            </a:endParaRPr>
          </a:p>
        </xdr:txBody>
      </xdr:sp>
      <xdr:sp textlink="'ОПЕРФАКТ 2026'!$N$7">
        <xdr:nvSpPr>
          <xdr:cNvPr id="47" name="Прямоугольник 47"/>
          <xdr:cNvSpPr/>
        </xdr:nvSpPr>
        <xdr:spPr>
          <a:xfrm>
            <a:off x="5875920" y="6684120"/>
            <a:ext cx="968040" cy="305280"/>
          </a:xfrm>
          <a:prstGeom prst="rect">
            <a:avLst/>
          </a:prstGeom>
          <a:solidFill>
            <a:srgbClr val="ffffff"/>
          </a:solidFill>
          <a:ln w="12700"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/>
        </xdr:style>
        <xdr:txBody>
          <a:bodyPr horzOverflow="clip" vertOverflow="clip" lIns="90000" rIns="90000" tIns="45000" bIns="45000" anchor="ctr">
            <a:noAutofit/>
          </a:bodyPr>
          <a:p>
            <a:pPr algn="ctr">
              <a:lnSpc>
                <a:spcPct val="100000"/>
              </a:lnSpc>
            </a:pPr>
            <a:r>
              <a:rPr b="0" lang="en-US" sz="1100" strike="noStrike" u="none">
                <a:solidFill>
                  <a:srgbClr val="000000"/>
                </a:solidFill>
                <a:effectLst/>
                <a:uFillTx/>
                <a:latin typeface="Calibri"/>
              </a:rPr>
              <a:t>-</a:t>
            </a:r>
            <a:endParaRPr b="0" lang="ru-RU" sz="1100" strike="noStrike" u="none">
              <a:effectLst/>
              <a:uFillTx/>
              <a:latin typeface="Times New Roman"/>
            </a:endParaRPr>
          </a:p>
        </xdr:txBody>
      </xdr:sp>
      <xdr:sp textlink="'ОПЕРФАКТ 2026'!$N$8">
        <xdr:nvSpPr>
          <xdr:cNvPr id="48" name="Прямоугольник 49"/>
          <xdr:cNvSpPr/>
        </xdr:nvSpPr>
        <xdr:spPr>
          <a:xfrm>
            <a:off x="7713000" y="6675120"/>
            <a:ext cx="969840" cy="305280"/>
          </a:xfrm>
          <a:prstGeom prst="rect">
            <a:avLst/>
          </a:prstGeom>
          <a:solidFill>
            <a:srgbClr val="ffffff"/>
          </a:solidFill>
          <a:ln w="12700"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/>
        </xdr:style>
        <xdr:txBody>
          <a:bodyPr horzOverflow="clip" vertOverflow="clip" lIns="90000" rIns="90000" tIns="45000" bIns="45000" anchor="ctr">
            <a:noAutofit/>
          </a:bodyPr>
          <a:p>
            <a:pPr algn="ctr">
              <a:lnSpc>
                <a:spcPct val="100000"/>
              </a:lnSpc>
            </a:pPr>
            <a:r>
              <a:rPr b="0" lang="en-US" sz="1100" strike="noStrike" u="none">
                <a:solidFill>
                  <a:srgbClr val="000000"/>
                </a:solidFill>
                <a:effectLst/>
                <a:uFillTx/>
                <a:latin typeface="Calibri"/>
              </a:rPr>
              <a:t>-</a:t>
            </a:r>
            <a:endParaRPr b="0" lang="ru-RU" sz="1100" strike="noStrike" u="none">
              <a:effectLst/>
              <a:uFillTx/>
              <a:latin typeface="Times New Roman"/>
            </a:endParaRPr>
          </a:p>
        </xdr:txBody>
      </xdr:sp>
    </xdr:grpSp>
    <xdr:clientData/>
  </xdr:twoCellAnchor>
  <xdr:twoCellAnchor editAs="twoCell">
    <xdr:from>
      <xdr:col>20</xdr:col>
      <xdr:colOff>56520</xdr:colOff>
      <xdr:row>3</xdr:row>
      <xdr:rowOff>69120</xdr:rowOff>
    </xdr:from>
    <xdr:to>
      <xdr:col>21</xdr:col>
      <xdr:colOff>594360</xdr:colOff>
      <xdr:row>4</xdr:row>
      <xdr:rowOff>159840</xdr:rowOff>
    </xdr:to>
    <xdr:sp textlink="'ОПЕРФАКТ 2026'!C42">
      <xdr:nvSpPr>
        <xdr:cNvPr id="49" name="Прямоугольник 50"/>
        <xdr:cNvSpPr/>
      </xdr:nvSpPr>
      <xdr:spPr>
        <a:xfrm>
          <a:off x="12286800" y="790560"/>
          <a:ext cx="1149120" cy="281160"/>
        </a:xfrm>
        <a:prstGeom prst="rect">
          <a:avLst/>
        </a:prstGeom>
        <a:solidFill>
          <a:srgbClr val="ffffff"/>
        </a:solidFill>
        <a:ln w="12700">
          <a:noFill/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/>
      </xdr:style>
      <xdr:txBody>
        <a:bodyPr horzOverflow="clip" vertOverflow="clip" lIns="90000" rIns="90000" tIns="45000" bIns="45000" anchor="ctr">
          <a:noAutofit/>
        </a:bodyPr>
        <a:p>
          <a:pPr algn="r">
            <a:lnSpc>
              <a:spcPct val="100000"/>
            </a:lnSpc>
          </a:pPr>
          <a:r>
            <a:rPr b="0" lang="en-US" sz="2000" strike="noStrike" u="none">
              <a:solidFill>
                <a:schemeClr val="lt2">
                  <a:lumMod val="50000"/>
                </a:schemeClr>
              </a:solidFill>
              <a:effectLst/>
              <a:uFillTx/>
              <a:latin typeface="Bahnschrift"/>
            </a:rPr>
            <a:t>17,2</a:t>
          </a:r>
          <a:endParaRPr b="0" lang="ru-RU" sz="2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13</xdr:col>
      <xdr:colOff>316800</xdr:colOff>
      <xdr:row>3</xdr:row>
      <xdr:rowOff>57240</xdr:rowOff>
    </xdr:from>
    <xdr:to>
      <xdr:col>16</xdr:col>
      <xdr:colOff>203400</xdr:colOff>
      <xdr:row>5</xdr:row>
      <xdr:rowOff>37800</xdr:rowOff>
    </xdr:to>
    <xdr:sp textlink="'ОПЕРФАКТ 2026'!C31">
      <xdr:nvSpPr>
        <xdr:cNvPr id="50" name="Прямоугольник 51"/>
        <xdr:cNvSpPr/>
      </xdr:nvSpPr>
      <xdr:spPr>
        <a:xfrm>
          <a:off x="8266320" y="778680"/>
          <a:ext cx="1721160" cy="361440"/>
        </a:xfrm>
        <a:prstGeom prst="rect">
          <a:avLst/>
        </a:prstGeom>
        <a:solidFill>
          <a:srgbClr val="ffffff"/>
        </a:solidFill>
        <a:ln w="12700">
          <a:noFill/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/>
      </xdr:style>
      <xdr:txBody>
        <a:bodyPr horzOverflow="clip" vertOverflow="clip" lIns="90000" rIns="90000" tIns="45000" bIns="45000" anchor="ctr">
          <a:noAutofit/>
        </a:bodyPr>
        <a:p>
          <a:pPr algn="r">
            <a:lnSpc>
              <a:spcPct val="100000"/>
            </a:lnSpc>
          </a:pPr>
          <a:r>
            <a:rPr b="0" lang="en-US" sz="2000" strike="noStrike" u="none">
              <a:solidFill>
                <a:schemeClr val="lt2">
                  <a:lumMod val="50000"/>
                </a:schemeClr>
              </a:solidFill>
              <a:effectLst/>
              <a:uFillTx/>
              <a:latin typeface="Bahnschrift"/>
            </a:rPr>
            <a:t>37 193</a:t>
          </a:r>
          <a:endParaRPr b="0" lang="ru-RU" sz="2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23</xdr:col>
      <xdr:colOff>127080</xdr:colOff>
      <xdr:row>2</xdr:row>
      <xdr:rowOff>78840</xdr:rowOff>
    </xdr:from>
    <xdr:to>
      <xdr:col>30</xdr:col>
      <xdr:colOff>101160</xdr:colOff>
      <xdr:row>26</xdr:row>
      <xdr:rowOff>60840</xdr:rowOff>
    </xdr:to>
    <xdr:grpSp>
      <xdr:nvGrpSpPr>
        <xdr:cNvPr id="51" name="Группа 56"/>
        <xdr:cNvGrpSpPr/>
      </xdr:nvGrpSpPr>
      <xdr:grpSpPr>
        <a:xfrm>
          <a:off x="14191560" y="609840"/>
          <a:ext cx="4391280" cy="4689000"/>
          <a:chOff x="14191560" y="609840"/>
          <a:chExt cx="4391280" cy="4689000"/>
        </a:xfrm>
      </xdr:grpSpPr>
      <xdr:graphicFrame>
        <xdr:nvGraphicFramePr>
          <xdr:cNvPr id="52" name="Диаграмма 52"/>
          <xdr:cNvGraphicFramePr/>
        </xdr:nvGraphicFramePr>
        <xdr:xfrm>
          <a:off x="14191560" y="609840"/>
          <a:ext cx="4391280" cy="4177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4"/>
          </a:graphicData>
        </a:graphic>
      </xdr:graphicFrame>
      <xdr:sp textlink="'ОПЕРФАКТ 2026'!C47">
        <xdr:nvSpPr>
          <xdr:cNvPr id="53" name="Прямоугольник 53"/>
          <xdr:cNvSpPr/>
        </xdr:nvSpPr>
        <xdr:spPr>
          <a:xfrm>
            <a:off x="16964640" y="4858200"/>
            <a:ext cx="997200" cy="440640"/>
          </a:xfrm>
          <a:prstGeom prst="rect">
            <a:avLst/>
          </a:prstGeom>
          <a:solidFill>
            <a:srgbClr val="ffffff"/>
          </a:solidFill>
          <a:ln w="12700"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/>
        </xdr:style>
        <xdr:txBody>
          <a:bodyPr horzOverflow="clip" vertOverflow="clip" lIns="90000" rIns="90000" tIns="45000" bIns="45000" anchor="ctr">
            <a:noAutofit/>
          </a:bodyPr>
          <a:p>
            <a:pPr algn="ctr">
              <a:lnSpc>
                <a:spcPct val="100000"/>
              </a:lnSpc>
            </a:pPr>
            <a:r>
              <a:rPr b="0" lang="en-US" sz="1500" strike="noStrike" u="none">
                <a:solidFill>
                  <a:srgbClr val="000000"/>
                </a:solidFill>
                <a:effectLst/>
                <a:uFillTx/>
                <a:latin typeface="Calibri"/>
              </a:rPr>
              <a:t>19,4 т/га</a:t>
            </a:r>
            <a:endParaRPr b="0" lang="ru-RU" sz="1500" strike="noStrike" u="none">
              <a:effectLst/>
              <a:uFillTx/>
              <a:latin typeface="Times New Roman"/>
            </a:endParaRPr>
          </a:p>
        </xdr:txBody>
      </xdr:sp>
      <xdr:sp textlink="'ОПЕРФАКТ 2026'!C46">
        <xdr:nvSpPr>
          <xdr:cNvPr id="54" name="Прямоугольник 54"/>
          <xdr:cNvSpPr/>
        </xdr:nvSpPr>
        <xdr:spPr>
          <a:xfrm>
            <a:off x="14851440" y="4870800"/>
            <a:ext cx="1022400" cy="402480"/>
          </a:xfrm>
          <a:prstGeom prst="rect">
            <a:avLst/>
          </a:prstGeom>
          <a:solidFill>
            <a:srgbClr val="ffffff"/>
          </a:solidFill>
          <a:ln w="12700"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/>
        </xdr:style>
        <xdr:txBody>
          <a:bodyPr horzOverflow="clip" vertOverflow="clip" lIns="90000" rIns="90000" tIns="45000" bIns="45000" anchor="ctr">
            <a:noAutofit/>
          </a:bodyPr>
          <a:p>
            <a:pPr algn="ctr">
              <a:lnSpc>
                <a:spcPct val="100000"/>
              </a:lnSpc>
            </a:pPr>
            <a:r>
              <a:rPr b="0" lang="en-US" sz="1500" strike="noStrike" u="none">
                <a:solidFill>
                  <a:srgbClr val="000000"/>
                </a:solidFill>
                <a:effectLst/>
                <a:uFillTx/>
                <a:latin typeface="Bahnschrift"/>
              </a:rPr>
              <a:t>-</a:t>
            </a:r>
            <a:endParaRPr b="0" lang="ru-RU" sz="1500" strike="noStrike" u="none">
              <a:effectLst/>
              <a:uFillTx/>
              <a:latin typeface="Times New Roman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15</xdr:col>
      <xdr:colOff>63360</xdr:colOff>
      <xdr:row>12</xdr:row>
      <xdr:rowOff>6480</xdr:rowOff>
    </xdr:from>
    <xdr:to>
      <xdr:col>23</xdr:col>
      <xdr:colOff>586800</xdr:colOff>
      <xdr:row>35</xdr:row>
      <xdr:rowOff>51840</xdr:rowOff>
    </xdr:to>
    <xdr:grpSp>
      <xdr:nvGrpSpPr>
        <xdr:cNvPr id="55" name="Группа 38"/>
        <xdr:cNvGrpSpPr/>
      </xdr:nvGrpSpPr>
      <xdr:grpSpPr>
        <a:xfrm>
          <a:off x="9235800" y="2442240"/>
          <a:ext cx="5415480" cy="4742640"/>
          <a:chOff x="9235800" y="2442240"/>
          <a:chExt cx="5415480" cy="4742640"/>
        </a:xfrm>
      </xdr:grpSpPr>
      <xdr:graphicFrame>
        <xdr:nvGraphicFramePr>
          <xdr:cNvPr id="56" name="Диаграмма 31"/>
          <xdr:cNvGraphicFramePr/>
        </xdr:nvGraphicFramePr>
        <xdr:xfrm>
          <a:off x="9235800" y="2442240"/>
          <a:ext cx="5415480" cy="47426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textlink="'ОПЕРФАКТ 2025'!C27">
        <xdr:nvSpPr>
          <xdr:cNvPr id="57" name="Прямоугольник 37"/>
          <xdr:cNvSpPr/>
        </xdr:nvSpPr>
        <xdr:spPr>
          <a:xfrm>
            <a:off x="11352240" y="4808160"/>
            <a:ext cx="1169640" cy="426600"/>
          </a:xfrm>
          <a:prstGeom prst="rect">
            <a:avLst/>
          </a:prstGeom>
          <a:solidFill>
            <a:srgbClr val="ffffff"/>
          </a:solidFill>
          <a:ln w="12700"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/>
        </xdr:style>
        <xdr:txBody>
          <a:bodyPr horzOverflow="clip" vertOverflow="clip" lIns="90000" rIns="90000" tIns="45000" bIns="45000" anchor="ctr">
            <a:noAutofit/>
          </a:bodyPr>
          <a:p>
            <a:pPr algn="ctr">
              <a:lnSpc>
                <a:spcPct val="100000"/>
              </a:lnSpc>
              <a:tabLst>
                <a:tab algn="l" pos="0"/>
              </a:tabLst>
            </a:pPr>
            <a:r>
              <a:rPr b="0" lang="en-US" sz="2000" strike="noStrike" u="none">
                <a:solidFill>
                  <a:srgbClr val="000000"/>
                </a:solidFill>
                <a:effectLst/>
                <a:uFillTx/>
                <a:latin typeface="Bahnschrift"/>
              </a:rPr>
              <a:t>2 269</a:t>
            </a:r>
            <a:endParaRPr b="0" lang="ru-RU" sz="2000" strike="noStrike" u="none">
              <a:effectLst/>
              <a:uFillTx/>
              <a:latin typeface="Times New Roman"/>
            </a:endParaRPr>
          </a:p>
        </xdr:txBody>
      </xdr:sp>
    </xdr:grpSp>
    <xdr:clientData/>
  </xdr:twoCellAnchor>
  <xdr:twoCellAnchor editAs="twoCell">
    <xdr:from>
      <xdr:col>0</xdr:col>
      <xdr:colOff>560160</xdr:colOff>
      <xdr:row>1</xdr:row>
      <xdr:rowOff>57600</xdr:rowOff>
    </xdr:from>
    <xdr:to>
      <xdr:col>5</xdr:col>
      <xdr:colOff>3240</xdr:colOff>
      <xdr:row>10</xdr:row>
      <xdr:rowOff>81720</xdr:rowOff>
    </xdr:to>
    <xdr:grpSp>
      <xdr:nvGrpSpPr>
        <xdr:cNvPr id="58" name="Группа 45"/>
        <xdr:cNvGrpSpPr/>
      </xdr:nvGrpSpPr>
      <xdr:grpSpPr>
        <a:xfrm>
          <a:off x="560160" y="397800"/>
          <a:ext cx="2500560" cy="1738800"/>
          <a:chOff x="560160" y="397800"/>
          <a:chExt cx="2500560" cy="1738800"/>
        </a:xfrm>
      </xdr:grpSpPr>
      <xdr:sp>
        <xdr:nvSpPr>
          <xdr:cNvPr id="59" name="Прямоугольник 9"/>
          <xdr:cNvSpPr/>
        </xdr:nvSpPr>
        <xdr:spPr>
          <a:xfrm>
            <a:off x="560160" y="397800"/>
            <a:ext cx="2500560" cy="1738800"/>
          </a:xfrm>
          <a:prstGeom prst="rect">
            <a:avLst/>
          </a:prstGeom>
          <a:solidFill>
            <a:srgbClr val="ffffff"/>
          </a:solidFill>
          <a:ln w="12700">
            <a:solidFill>
              <a:srgbClr val="000000">
                <a:lumMod val="50000"/>
                <a:lumOff val="50000"/>
              </a:srgbClr>
            </a:solidFill>
            <a:miter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/>
        </xdr:style>
        <xdr:txBody>
          <a:bodyPr horzOverflow="clip" vertOverflow="clip" lIns="90000" rIns="90000" tIns="45000" bIns="45000" anchor="t">
            <a:noAutofit/>
          </a:bodyPr>
          <a:p>
            <a:pPr>
              <a:lnSpc>
                <a:spcPct val="100000"/>
              </a:lnSpc>
            </a:pPr>
            <a:r>
              <a:rPr b="1" lang="ru-RU" sz="1400" strike="noStrike" u="none">
                <a:solidFill>
                  <a:schemeClr val="dk1"/>
                </a:solidFill>
                <a:effectLst/>
                <a:uFillTx/>
                <a:latin typeface="Bahnschrift"/>
              </a:rPr>
              <a:t>ЗАКРЫТИЕ ПЕРИОДА</a:t>
            </a:r>
            <a:endParaRPr b="0" lang="ru-RU" sz="1400" strike="noStrike" u="none">
              <a:effectLst/>
              <a:uFillTx/>
              <a:latin typeface="Times New Roman"/>
            </a:endParaRPr>
          </a:p>
          <a:p>
            <a:pPr>
              <a:lnSpc>
                <a:spcPct val="100000"/>
              </a:lnSpc>
            </a:pPr>
            <a:endParaRPr b="0" lang="ru-RU" sz="1100" strike="noStrike" u="none">
              <a:effectLst/>
              <a:uFillTx/>
              <a:latin typeface="Times New Roman"/>
            </a:endParaRPr>
          </a:p>
          <a:p>
            <a:pPr>
              <a:lnSpc>
                <a:spcPct val="100000"/>
              </a:lnSpc>
              <a:spcBef>
                <a:spcPts val="601"/>
              </a:spcBef>
            </a:pPr>
            <a:r>
              <a:rPr b="0" lang="ru-RU" sz="1200" strike="noStrike" u="none">
                <a:solidFill>
                  <a:schemeClr val="dk1"/>
                </a:solidFill>
                <a:effectLst/>
                <a:uFillTx/>
                <a:latin typeface="Bahnschrift"/>
              </a:rPr>
              <a:t>Начало:</a:t>
            </a:r>
            <a:endParaRPr b="0" lang="ru-RU" sz="1200" strike="noStrike" u="none">
              <a:effectLst/>
              <a:uFillTx/>
              <a:latin typeface="Times New Roman"/>
            </a:endParaRPr>
          </a:p>
          <a:p>
            <a:pPr>
              <a:lnSpc>
                <a:spcPct val="100000"/>
              </a:lnSpc>
              <a:spcBef>
                <a:spcPts val="601"/>
              </a:spcBef>
            </a:pPr>
            <a:r>
              <a:rPr b="0" lang="ru-RU" sz="1200" strike="noStrike" u="none">
                <a:solidFill>
                  <a:schemeClr val="dk1"/>
                </a:solidFill>
                <a:effectLst/>
                <a:uFillTx/>
                <a:latin typeface="Bahnschrift"/>
              </a:rPr>
              <a:t>День уборки:</a:t>
            </a:r>
            <a:endParaRPr b="0" lang="ru-RU" sz="1200" strike="noStrike" u="none">
              <a:effectLst/>
              <a:uFillTx/>
              <a:latin typeface="Times New Roman"/>
            </a:endParaRPr>
          </a:p>
          <a:p>
            <a:pPr>
              <a:lnSpc>
                <a:spcPct val="100000"/>
              </a:lnSpc>
              <a:spcBef>
                <a:spcPts val="601"/>
              </a:spcBef>
            </a:pPr>
            <a:r>
              <a:rPr b="0" lang="ru-RU" sz="1200" strike="noStrike" u="none">
                <a:solidFill>
                  <a:schemeClr val="dk1"/>
                </a:solidFill>
                <a:effectLst/>
                <a:uFillTx/>
                <a:latin typeface="Bahnschrift"/>
              </a:rPr>
              <a:t>Окончание:</a:t>
            </a:r>
            <a:endParaRPr b="0" lang="ru-RU" sz="1200" strike="noStrike" u="none">
              <a:effectLst/>
              <a:uFillTx/>
              <a:latin typeface="Times New Roman"/>
            </a:endParaRPr>
          </a:p>
          <a:p>
            <a:pPr>
              <a:lnSpc>
                <a:spcPct val="100000"/>
              </a:lnSpc>
            </a:pPr>
            <a:endParaRPr b="0" lang="ru-RU" sz="1200" strike="noStrike" u="none">
              <a:effectLst/>
              <a:uFillTx/>
              <a:latin typeface="Times New Roman"/>
            </a:endParaRPr>
          </a:p>
          <a:p>
            <a:pPr>
              <a:lnSpc>
                <a:spcPct val="100000"/>
              </a:lnSpc>
            </a:pPr>
            <a:r>
              <a:rPr b="0" lang="ru-RU" sz="1200" strike="noStrike" u="none">
                <a:solidFill>
                  <a:schemeClr val="dk1"/>
                </a:solidFill>
                <a:effectLst/>
                <a:uFillTx/>
                <a:latin typeface="Bahnschrift"/>
              </a:rPr>
              <a:t>Закрытие:</a:t>
            </a:r>
            <a:endParaRPr b="0" lang="ru-RU" sz="1200" strike="noStrike" u="none">
              <a:effectLst/>
              <a:uFillTx/>
              <a:latin typeface="Times New Roman"/>
            </a:endParaRPr>
          </a:p>
          <a:p>
            <a:pPr>
              <a:lnSpc>
                <a:spcPct val="100000"/>
              </a:lnSpc>
            </a:pPr>
            <a:endParaRPr b="0" lang="ru-RU" sz="1100" strike="noStrike" u="none">
              <a:effectLst/>
              <a:uFillTx/>
              <a:latin typeface="Times New Roman"/>
            </a:endParaRPr>
          </a:p>
        </xdr:txBody>
      </xdr:sp>
      <xdr:grpSp>
        <xdr:nvGrpSpPr>
          <xdr:cNvPr id="60" name="Группа 10"/>
          <xdr:cNvGrpSpPr/>
        </xdr:nvGrpSpPr>
        <xdr:grpSpPr>
          <a:xfrm>
            <a:off x="684000" y="736920"/>
            <a:ext cx="2340720" cy="1315440"/>
            <a:chOff x="684000" y="736920"/>
            <a:chExt cx="2340720" cy="1315440"/>
          </a:xfrm>
        </xdr:grpSpPr>
        <xdr:sp textlink="'ОПЕРФАКТ 2025'!C8">
          <xdr:nvSpPr>
            <xdr:cNvPr id="61" name="Прямоугольник 11"/>
            <xdr:cNvSpPr/>
          </xdr:nvSpPr>
          <xdr:spPr>
            <a:xfrm>
              <a:off x="1785240" y="1770840"/>
              <a:ext cx="1105560" cy="281520"/>
            </a:xfrm>
            <a:prstGeom prst="rect">
              <a:avLst/>
            </a:prstGeom>
            <a:solidFill>
              <a:srgbClr val="ffffff"/>
            </a:solidFill>
            <a:ln w="12700"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 algn="r">
                <a:lnSpc>
                  <a:spcPct val="100000"/>
                </a:lnSpc>
              </a:pPr>
              <a:r>
                <a:rPr b="0" lang="en-US" sz="1800" strike="noStrike" u="none">
                  <a:solidFill>
                    <a:srgbClr val="000000"/>
                  </a:solidFill>
                  <a:effectLst/>
                  <a:uFillTx/>
                  <a:latin typeface="Bahnschrift"/>
                </a:rPr>
                <a:t>100,0%</a:t>
              </a:r>
              <a:endParaRPr b="0" lang="ru-RU" sz="1800" strike="noStrike" u="none">
                <a:effectLst/>
                <a:uFillTx/>
                <a:latin typeface="Times New Roman"/>
              </a:endParaRPr>
            </a:p>
          </xdr:txBody>
        </xdr:sp>
        <xdr:sp textlink="'ОПЕРФАКТ 2025'!C3">
          <xdr:nvSpPr>
            <xdr:cNvPr id="62" name="Прямоугольник 12"/>
            <xdr:cNvSpPr/>
          </xdr:nvSpPr>
          <xdr:spPr>
            <a:xfrm>
              <a:off x="1574280" y="838440"/>
              <a:ext cx="1344240" cy="282600"/>
            </a:xfrm>
            <a:prstGeom prst="rect">
              <a:avLst/>
            </a:prstGeom>
            <a:solidFill>
              <a:srgbClr val="ffffff"/>
            </a:solidFill>
            <a:ln w="12700"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 algn="r">
                <a:lnSpc>
                  <a:spcPct val="100000"/>
                </a:lnSpc>
                <a:tabLst>
                  <a:tab algn="l" pos="0"/>
                </a:tabLst>
              </a:pPr>
              <a:r>
                <a:rPr b="0" lang="en-US" sz="1600" strike="noStrike" u="none">
                  <a:solidFill>
                    <a:srgbClr val="000000"/>
                  </a:solidFill>
                  <a:effectLst/>
                  <a:uFillTx/>
                  <a:latin typeface="Bahnschrift"/>
                </a:rPr>
                <a:t>08.08.2025</a:t>
              </a:r>
              <a:endParaRPr b="0" lang="ru-RU" sz="1600" strike="noStrike" u="none">
                <a:effectLst/>
                <a:uFillTx/>
                <a:latin typeface="Times New Roman"/>
              </a:endParaRPr>
            </a:p>
          </xdr:txBody>
        </xdr:sp>
        <xdr:sp textlink="'ОПЕРФАКТ 2025'!C4">
          <xdr:nvSpPr>
            <xdr:cNvPr id="63" name="Прямоугольник 13"/>
            <xdr:cNvSpPr/>
          </xdr:nvSpPr>
          <xdr:spPr>
            <a:xfrm>
              <a:off x="2185200" y="1464480"/>
              <a:ext cx="839520" cy="249480"/>
            </a:xfrm>
            <a:prstGeom prst="rect">
              <a:avLst/>
            </a:prstGeom>
            <a:solidFill>
              <a:srgbClr val="ffffff"/>
            </a:solidFill>
            <a:ln w="12700"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 algn="r">
                <a:lnSpc>
                  <a:spcPct val="100000"/>
                </a:lnSpc>
              </a:pPr>
              <a:r>
                <a:rPr b="0" lang="en-US" sz="1100" strike="noStrike" u="none">
                  <a:solidFill>
                    <a:srgbClr val="000000"/>
                  </a:solidFill>
                  <a:effectLst/>
                  <a:uFillTx/>
                  <a:latin typeface="Calibri"/>
                </a:rPr>
                <a:t>09.11.2025</a:t>
              </a:r>
              <a:endParaRPr b="0" lang="ru-RU" sz="1100" strike="noStrike" u="none">
                <a:effectLst/>
                <a:uFillTx/>
                <a:latin typeface="Times New Roman"/>
              </a:endParaRPr>
            </a:p>
          </xdr:txBody>
        </xdr:sp>
        <xdr:cxnSp>
          <xdr:nvCxnSpPr>
            <xdr:cNvPr id="64" name="Прямая соединительная линия 14"/>
            <xdr:cNvCxnSpPr/>
          </xdr:nvCxnSpPr>
          <xdr:spPr>
            <a:xfrm>
              <a:off x="684000" y="736920"/>
              <a:ext cx="2176920" cy="2880"/>
            </a:xfrm>
            <a:prstGeom prst="straightConnector1">
              <a:avLst/>
            </a:prstGeom>
            <a:ln w="12700">
              <a:solidFill>
                <a:srgbClr val="e7e6e6">
                  <a:lumMod val="50000"/>
                </a:srgbClr>
              </a:solidFill>
              <a:miter/>
            </a:ln>
          </xdr:spPr>
        </xdr:cxnSp>
      </xdr:grpSp>
    </xdr:grpSp>
    <xdr:clientData/>
  </xdr:twoCellAnchor>
  <xdr:twoCellAnchor editAs="oneCell">
    <xdr:from>
      <xdr:col>10</xdr:col>
      <xdr:colOff>139680</xdr:colOff>
      <xdr:row>10</xdr:row>
      <xdr:rowOff>146880</xdr:rowOff>
    </xdr:from>
    <xdr:to>
      <xdr:col>14</xdr:col>
      <xdr:colOff>10080</xdr:colOff>
      <xdr:row>19</xdr:row>
      <xdr:rowOff>124560</xdr:rowOff>
    </xdr:to>
    <xdr:pic>
      <xdr:nvPicPr>
        <xdr:cNvPr id="65" name="Рисунок 30" descr="кукуруза на белом фоне: 2 тыс изображений найдено в Яндекс Картинках"/>
        <xdr:cNvPicPr/>
      </xdr:nvPicPr>
      <xdr:blipFill>
        <a:blip r:embed="rId2"/>
        <a:stretch/>
      </xdr:blipFill>
      <xdr:spPr>
        <a:xfrm>
          <a:off x="6254640" y="2201760"/>
          <a:ext cx="2316600" cy="1692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0</xdr:colOff>
      <xdr:row>12</xdr:row>
      <xdr:rowOff>85680</xdr:rowOff>
    </xdr:from>
    <xdr:to>
      <xdr:col>15</xdr:col>
      <xdr:colOff>276120</xdr:colOff>
      <xdr:row>36</xdr:row>
      <xdr:rowOff>25920</xdr:rowOff>
    </xdr:to>
    <xdr:grpSp>
      <xdr:nvGrpSpPr>
        <xdr:cNvPr id="66" name="Группа 29"/>
        <xdr:cNvGrpSpPr/>
      </xdr:nvGrpSpPr>
      <xdr:grpSpPr>
        <a:xfrm>
          <a:off x="0" y="2521440"/>
          <a:ext cx="9448560" cy="4827960"/>
          <a:chOff x="0" y="2521440"/>
          <a:chExt cx="9448560" cy="4827960"/>
        </a:xfrm>
      </xdr:grpSpPr>
      <xdr:graphicFrame>
        <xdr:nvGraphicFramePr>
          <xdr:cNvPr id="67" name="Диаграмма 39"/>
          <xdr:cNvGraphicFramePr/>
        </xdr:nvGraphicFramePr>
        <xdr:xfrm>
          <a:off x="0" y="2521440"/>
          <a:ext cx="9448560" cy="44863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textlink="'ОПЕРФАКТ 2025'!$N$4">
        <xdr:nvSpPr>
          <xdr:cNvPr id="68" name="Прямоугольник 40"/>
          <xdr:cNvSpPr/>
        </xdr:nvSpPr>
        <xdr:spPr>
          <a:xfrm>
            <a:off x="897120" y="6983280"/>
            <a:ext cx="970200" cy="366120"/>
          </a:xfrm>
          <a:prstGeom prst="rect">
            <a:avLst/>
          </a:prstGeom>
          <a:solidFill>
            <a:srgbClr val="ffffff"/>
          </a:solidFill>
          <a:ln w="12700"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/>
        </xdr:style>
        <xdr:txBody>
          <a:bodyPr horzOverflow="clip" vertOverflow="clip" lIns="90000" rIns="90000" tIns="45000" bIns="45000" anchor="ctr">
            <a:noAutofit/>
          </a:bodyPr>
          <a:p>
            <a:pPr algn="ctr">
              <a:lnSpc>
                <a:spcPct val="100000"/>
              </a:lnSpc>
            </a:pPr>
            <a:r>
              <a:rPr b="0" lang="en-US" sz="1400" strike="noStrike" u="none">
                <a:solidFill>
                  <a:schemeClr val="dk1">
                    <a:lumMod val="65000"/>
                    <a:lumOff val="35000"/>
                  </a:schemeClr>
                </a:solidFill>
                <a:effectLst/>
                <a:uFillTx/>
                <a:latin typeface="Bahnschrift SemiCondensed"/>
              </a:rPr>
              <a:t>16,4 т/га</a:t>
            </a:r>
            <a:endParaRPr b="0" lang="ru-RU" sz="1400" strike="noStrike" u="none">
              <a:effectLst/>
              <a:uFillTx/>
              <a:latin typeface="Times New Roman"/>
            </a:endParaRPr>
          </a:p>
        </xdr:txBody>
      </xdr:sp>
    </xdr:grpSp>
    <xdr:clientData/>
  </xdr:twoCellAnchor>
  <xdr:twoCellAnchor editAs="twoCell">
    <xdr:from>
      <xdr:col>12</xdr:col>
      <xdr:colOff>117720</xdr:colOff>
      <xdr:row>1</xdr:row>
      <xdr:rowOff>57600</xdr:rowOff>
    </xdr:from>
    <xdr:to>
      <xdr:col>16</xdr:col>
      <xdr:colOff>265320</xdr:colOff>
      <xdr:row>10</xdr:row>
      <xdr:rowOff>102600</xdr:rowOff>
    </xdr:to>
    <xdr:grpSp>
      <xdr:nvGrpSpPr>
        <xdr:cNvPr id="69" name="Группа 49"/>
        <xdr:cNvGrpSpPr/>
      </xdr:nvGrpSpPr>
      <xdr:grpSpPr>
        <a:xfrm>
          <a:off x="7455960" y="397800"/>
          <a:ext cx="2593440" cy="1759680"/>
          <a:chOff x="7455960" y="397800"/>
          <a:chExt cx="2593440" cy="1759680"/>
        </a:xfrm>
      </xdr:grpSpPr>
      <xdr:grpSp>
        <xdr:nvGrpSpPr>
          <xdr:cNvPr id="70" name="Группа 15"/>
          <xdr:cNvGrpSpPr/>
        </xdr:nvGrpSpPr>
        <xdr:grpSpPr>
          <a:xfrm>
            <a:off x="7455960" y="397800"/>
            <a:ext cx="2593440" cy="1738800"/>
            <a:chOff x="7455960" y="397800"/>
            <a:chExt cx="2593440" cy="1738800"/>
          </a:xfrm>
        </xdr:grpSpPr>
        <xdr:sp>
          <xdr:nvSpPr>
            <xdr:cNvPr id="71" name="Прямоугольник 16"/>
            <xdr:cNvSpPr/>
          </xdr:nvSpPr>
          <xdr:spPr>
            <a:xfrm>
              <a:off x="7455960" y="397800"/>
              <a:ext cx="2593440" cy="1738800"/>
            </a:xfrm>
            <a:prstGeom prst="rect">
              <a:avLst/>
            </a:prstGeom>
            <a:solidFill>
              <a:srgbClr val="ffffff"/>
            </a:solidFill>
            <a:ln w="12700">
              <a:solidFill>
                <a:srgbClr val="ffc000"/>
              </a:solidFill>
              <a:miter/>
            </a:ln>
          </xdr:spPr>
          <xdr:style>
            <a:lnRef idx="2">
              <a:schemeClr val="accent4"/>
            </a:lnRef>
            <a:fillRef idx="1">
              <a:schemeClr val="lt1"/>
            </a:fillRef>
            <a:effectRef idx="0">
              <a:schemeClr val="accent4"/>
            </a:effectRef>
            <a:fontRef idx="minor"/>
          </xdr:style>
          <xdr:txBody>
            <a:bodyPr horzOverflow="clip" vertOverflow="clip" lIns="90000" rIns="90000" tIns="45000" bIns="45000" anchor="t">
              <a:noAutofit/>
            </a:bodyPr>
            <a:p>
              <a:pPr>
                <a:lnSpc>
                  <a:spcPct val="100000"/>
                </a:lnSpc>
              </a:pPr>
              <a:r>
                <a:rPr b="1" lang="ru-RU" sz="1400" strike="noStrike" u="none">
                  <a:solidFill>
                    <a:schemeClr val="dk1"/>
                  </a:solidFill>
                  <a:effectLst/>
                  <a:uFillTx/>
                  <a:latin typeface="Bahnschrift"/>
                </a:rPr>
                <a:t>ВАЛОВЫЙ СБОР, тонны</a:t>
              </a:r>
              <a:endParaRPr b="0" lang="ru-RU" sz="14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100000"/>
                </a:lnSpc>
              </a:pPr>
              <a:endParaRPr b="0" lang="ru-RU" sz="6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100000"/>
                </a:lnSpc>
              </a:pPr>
              <a:endParaRPr b="0" lang="ru-RU" sz="11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85000"/>
                </a:lnSpc>
              </a:pPr>
              <a:r>
                <a:rPr b="0" lang="ru-RU" sz="1200" strike="noStrike" u="none">
                  <a:solidFill>
                    <a:schemeClr val="dk1">
                      <a:lumMod val="75000"/>
                      <a:lumOff val="25000"/>
                    </a:schemeClr>
                  </a:solidFill>
                  <a:effectLst/>
                  <a:uFillTx/>
                  <a:latin typeface="Bahnschrift"/>
                </a:rPr>
                <a:t>План:</a:t>
              </a: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85000"/>
                </a:lnSpc>
              </a:pP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85000"/>
                </a:lnSpc>
              </a:pPr>
              <a:r>
                <a:rPr b="0" lang="ru-RU" sz="1200" strike="noStrike" u="none">
                  <a:solidFill>
                    <a:schemeClr val="dk1"/>
                  </a:solidFill>
                  <a:effectLst/>
                  <a:uFillTx/>
                  <a:latin typeface="Bahnschrift"/>
                </a:rPr>
                <a:t>Факт:</a:t>
              </a: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100000"/>
                </a:lnSpc>
              </a:pP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100000"/>
                </a:lnSpc>
              </a:pPr>
              <a:endParaRPr b="0" lang="ru-RU" sz="1100" strike="noStrike" u="none">
                <a:effectLst/>
                <a:uFillTx/>
                <a:latin typeface="Times New Roman"/>
              </a:endParaRPr>
            </a:p>
          </xdr:txBody>
        </xdr:sp>
        <xdr:grpSp>
          <xdr:nvGrpSpPr>
            <xdr:cNvPr id="72" name="Группа 17"/>
            <xdr:cNvGrpSpPr/>
          </xdr:nvGrpSpPr>
          <xdr:grpSpPr>
            <a:xfrm>
              <a:off x="7584480" y="736920"/>
              <a:ext cx="2413080" cy="1318320"/>
              <a:chOff x="7584480" y="736920"/>
              <a:chExt cx="2413080" cy="1318320"/>
            </a:xfrm>
          </xdr:grpSpPr>
          <xdr:sp textlink="'ОПЕРФАКТ 2025'!C34">
            <xdr:nvSpPr>
              <xdr:cNvPr id="73" name="Прямоугольник 18"/>
              <xdr:cNvSpPr/>
            </xdr:nvSpPr>
            <xdr:spPr>
              <a:xfrm>
                <a:off x="9148320" y="1816200"/>
                <a:ext cx="849240" cy="239040"/>
              </a:xfrm>
              <a:prstGeom prst="rect">
                <a:avLst/>
              </a:prstGeom>
              <a:solidFill>
                <a:srgbClr val="ffffff"/>
              </a:solidFill>
              <a:ln w="12700">
                <a:noFill/>
              </a:ln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 algn="r">
                  <a:lnSpc>
                    <a:spcPct val="100000"/>
                  </a:lnSpc>
                </a:pPr>
                <a:r>
                  <a:rPr b="0" lang="en-US" sz="1800" strike="noStrike" u="none">
                    <a:solidFill>
                      <a:srgbClr val="000000"/>
                    </a:solidFill>
                    <a:effectLst/>
                    <a:uFillTx/>
                    <a:latin typeface="Bahnschrift"/>
                  </a:rPr>
                  <a:t>89,6%</a:t>
                </a:r>
                <a:endParaRPr b="0" lang="ru-RU" sz="1800" strike="noStrike" u="none">
                  <a:effectLst/>
                  <a:uFillTx/>
                  <a:latin typeface="Times New Roman"/>
                </a:endParaRPr>
              </a:p>
            </xdr:txBody>
          </xdr:sp>
          <xdr:sp textlink="'ОПЕРФАКТ 2025'!C33">
            <xdr:nvSpPr>
              <xdr:cNvPr id="74" name="Прямоугольник 20"/>
              <xdr:cNvSpPr/>
            </xdr:nvSpPr>
            <xdr:spPr>
              <a:xfrm>
                <a:off x="8503920" y="1155600"/>
                <a:ext cx="1492200" cy="221760"/>
              </a:xfrm>
              <a:prstGeom prst="rect">
                <a:avLst/>
              </a:prstGeom>
              <a:solidFill>
                <a:srgbClr val="ffffff"/>
              </a:solidFill>
              <a:ln w="12700">
                <a:noFill/>
              </a:ln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 algn="r">
                  <a:lnSpc>
                    <a:spcPct val="100000"/>
                  </a:lnSpc>
                </a:pPr>
                <a:r>
                  <a:rPr b="0" lang="en-US" sz="2000" strike="noStrike" u="none">
                    <a:solidFill>
                      <a:srgbClr val="000000"/>
                    </a:solidFill>
                    <a:effectLst/>
                    <a:uFillTx/>
                    <a:latin typeface="Bahnschrift"/>
                  </a:rPr>
                  <a:t>35 100</a:t>
                </a:r>
                <a:endParaRPr b="0" lang="ru-RU" sz="2000" strike="noStrike" u="none">
                  <a:effectLst/>
                  <a:uFillTx/>
                  <a:latin typeface="Times New Roman"/>
                </a:endParaRPr>
              </a:p>
            </xdr:txBody>
          </xdr:sp>
          <xdr:cxnSp>
            <xdr:nvCxnSpPr>
              <xdr:cNvPr id="75" name="Прямая соединительная линия 21"/>
              <xdr:cNvCxnSpPr/>
            </xdr:nvCxnSpPr>
            <xdr:spPr>
              <a:xfrm>
                <a:off x="7584480" y="736920"/>
                <a:ext cx="2257560" cy="2520"/>
              </a:xfrm>
              <a:prstGeom prst="straightConnector1">
                <a:avLst/>
              </a:prstGeom>
              <a:ln w="12700">
                <a:solidFill>
                  <a:srgbClr val="ffc000"/>
                </a:solidFill>
                <a:miter/>
              </a:ln>
            </xdr:spPr>
          </xdr:cxnSp>
        </xdr:grpSp>
      </xdr:grpSp>
      <xdr:pic>
        <xdr:nvPicPr>
          <xdr:cNvPr id="76" name="Рисунок 1" descr="Самосвал"/>
          <xdr:cNvPicPr/>
        </xdr:nvPicPr>
        <xdr:blipFill>
          <a:blip r:embed="rId4">
            <a:extLst>
              <a:ext uri="{96DAC541-7B7A-43D3-8B79-37D633B846F1}">
                <asvg:svgBlip xmlns:asvg="http://schemas.microsoft.com/office/drawing/2016/SVG/main" r:embed="rId5"/>
              </a:ext>
            </a:extLst>
          </a:blip>
          <a:stretch/>
        </xdr:blipFill>
        <xdr:spPr>
          <a:xfrm>
            <a:off x="7995240" y="1540440"/>
            <a:ext cx="694800" cy="617040"/>
          </a:xfrm>
          <a:prstGeom prst="rect">
            <a:avLst/>
          </a:prstGeom>
          <a:noFill/>
          <a:ln w="0">
            <a:noFill/>
          </a:ln>
        </xdr:spPr>
      </xdr:pic>
    </xdr:grpSp>
    <xdr:clientData/>
  </xdr:twoCellAnchor>
  <xdr:twoCellAnchor editAs="twoCell">
    <xdr:from>
      <xdr:col>6</xdr:col>
      <xdr:colOff>358920</xdr:colOff>
      <xdr:row>1</xdr:row>
      <xdr:rowOff>61560</xdr:rowOff>
    </xdr:from>
    <xdr:to>
      <xdr:col>10</xdr:col>
      <xdr:colOff>365400</xdr:colOff>
      <xdr:row>10</xdr:row>
      <xdr:rowOff>117000</xdr:rowOff>
    </xdr:to>
    <xdr:grpSp>
      <xdr:nvGrpSpPr>
        <xdr:cNvPr id="77" name="Группа 48"/>
        <xdr:cNvGrpSpPr/>
      </xdr:nvGrpSpPr>
      <xdr:grpSpPr>
        <a:xfrm>
          <a:off x="4028040" y="401760"/>
          <a:ext cx="2452320" cy="1770120"/>
          <a:chOff x="4028040" y="401760"/>
          <a:chExt cx="2452320" cy="1770120"/>
        </a:xfrm>
      </xdr:grpSpPr>
      <xdr:grpSp>
        <xdr:nvGrpSpPr>
          <xdr:cNvPr id="78" name="Группа 22"/>
          <xdr:cNvGrpSpPr/>
        </xdr:nvGrpSpPr>
        <xdr:grpSpPr>
          <a:xfrm>
            <a:off x="4028040" y="401760"/>
            <a:ext cx="2452320" cy="1734480"/>
            <a:chOff x="4028040" y="401760"/>
            <a:chExt cx="2452320" cy="1734480"/>
          </a:xfrm>
        </xdr:grpSpPr>
        <xdr:sp>
          <xdr:nvSpPr>
            <xdr:cNvPr id="79" name="Прямоугольник 23"/>
            <xdr:cNvSpPr/>
          </xdr:nvSpPr>
          <xdr:spPr>
            <a:xfrm>
              <a:off x="4028040" y="401760"/>
              <a:ext cx="2452320" cy="1734480"/>
            </a:xfrm>
            <a:prstGeom prst="rect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/>
            </a:ln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/>
          </xdr:style>
          <xdr:txBody>
            <a:bodyPr horzOverflow="clip" vertOverflow="clip" lIns="90000" rIns="90000" tIns="45000" bIns="45000" anchor="t">
              <a:noAutofit/>
            </a:bodyPr>
            <a:p>
              <a:pPr>
                <a:lnSpc>
                  <a:spcPct val="100000"/>
                </a:lnSpc>
              </a:pPr>
              <a:r>
                <a:rPr b="1" lang="ru-RU" sz="1400" strike="noStrike" u="none">
                  <a:solidFill>
                    <a:schemeClr val="dk1"/>
                  </a:solidFill>
                  <a:effectLst/>
                  <a:uFillTx/>
                  <a:latin typeface="Bahnschrift"/>
                </a:rPr>
                <a:t>ПЛОЩАДЬ УБОРКИ, га</a:t>
              </a:r>
              <a:endParaRPr b="0" lang="ru-RU" sz="14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100000"/>
                </a:lnSpc>
              </a:pPr>
              <a:endParaRPr b="0" lang="ru-RU" sz="6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85000"/>
                </a:lnSpc>
              </a:pP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85000"/>
                </a:lnSpc>
              </a:pPr>
              <a:r>
                <a:rPr b="0" lang="ru-RU" sz="1200" strike="noStrike" u="none">
                  <a:solidFill>
                    <a:schemeClr val="dk1"/>
                  </a:solidFill>
                  <a:effectLst/>
                  <a:uFillTx/>
                  <a:latin typeface="Bahnschrift"/>
                </a:rPr>
                <a:t>План:</a:t>
              </a: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85000"/>
                </a:lnSpc>
              </a:pP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85000"/>
                </a:lnSpc>
              </a:pPr>
              <a:r>
                <a:rPr b="0" lang="ru-RU" sz="1200" strike="noStrike" u="none">
                  <a:solidFill>
                    <a:schemeClr val="dk1"/>
                  </a:solidFill>
                  <a:effectLst/>
                  <a:uFillTx/>
                  <a:latin typeface="Bahnschrift"/>
                </a:rPr>
                <a:t>Факт:</a:t>
              </a: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100000"/>
                </a:lnSpc>
              </a:pP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100000"/>
                </a:lnSpc>
              </a:pPr>
              <a:endParaRPr b="0" lang="ru-RU" sz="1100" strike="noStrike" u="none">
                <a:effectLst/>
                <a:uFillTx/>
                <a:latin typeface="Times New Roman"/>
              </a:endParaRPr>
            </a:p>
          </xdr:txBody>
        </xdr:sp>
        <xdr:grpSp>
          <xdr:nvGrpSpPr>
            <xdr:cNvPr id="80" name="Группа 24"/>
            <xdr:cNvGrpSpPr/>
          </xdr:nvGrpSpPr>
          <xdr:grpSpPr>
            <a:xfrm>
              <a:off x="4149360" y="740160"/>
              <a:ext cx="2228760" cy="1349640"/>
              <a:chOff x="4149360" y="740160"/>
              <a:chExt cx="2228760" cy="1349640"/>
            </a:xfrm>
          </xdr:grpSpPr>
          <xdr:sp textlink="'ОПЕРФАКТ 2025'!C16">
            <xdr:nvSpPr>
              <xdr:cNvPr id="81" name="Прямоугольник 25"/>
              <xdr:cNvSpPr/>
            </xdr:nvSpPr>
            <xdr:spPr>
              <a:xfrm>
                <a:off x="5502240" y="1764360"/>
                <a:ext cx="875880" cy="325440"/>
              </a:xfrm>
              <a:prstGeom prst="rect">
                <a:avLst/>
              </a:prstGeom>
              <a:solidFill>
                <a:srgbClr val="ffffff"/>
              </a:solidFill>
              <a:ln w="12700"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 algn="r">
                  <a:lnSpc>
                    <a:spcPct val="100000"/>
                  </a:lnSpc>
                </a:pPr>
                <a:r>
                  <a:rPr b="0" lang="en-US" sz="1800" strike="noStrike" u="none">
                    <a:solidFill>
                      <a:srgbClr val="000000"/>
                    </a:solidFill>
                    <a:effectLst/>
                    <a:uFillTx/>
                    <a:latin typeface="Bahnschrift"/>
                  </a:rPr>
                  <a:t>96,8%</a:t>
                </a:r>
                <a:endParaRPr b="0" lang="ru-RU" sz="1800" strike="noStrike" u="none">
                  <a:effectLst/>
                  <a:uFillTx/>
                  <a:latin typeface="Times New Roman"/>
                </a:endParaRPr>
              </a:p>
            </xdr:txBody>
          </xdr:sp>
          <xdr:sp textlink="'ОПЕРФАКТ 2025'!C13">
            <xdr:nvSpPr>
              <xdr:cNvPr id="82" name="Прямоугольник 26"/>
              <xdr:cNvSpPr/>
            </xdr:nvSpPr>
            <xdr:spPr>
              <a:xfrm>
                <a:off x="5149080" y="875520"/>
                <a:ext cx="1087920" cy="281880"/>
              </a:xfrm>
              <a:prstGeom prst="rect">
                <a:avLst/>
              </a:prstGeom>
              <a:solidFill>
                <a:srgbClr val="ffffff"/>
              </a:solidFill>
              <a:ln w="12700"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 algn="r">
                  <a:lnSpc>
                    <a:spcPct val="100000"/>
                  </a:lnSpc>
                </a:pPr>
                <a:r>
                  <a:rPr b="0" lang="en-US" sz="2000" strike="noStrike" u="none">
                    <a:solidFill>
                      <a:schemeClr val="dk1">
                        <a:lumMod val="50000"/>
                        <a:lumOff val="50000"/>
                      </a:schemeClr>
                    </a:solidFill>
                    <a:effectLst/>
                    <a:uFillTx/>
                    <a:latin typeface="Bahnschrift"/>
                  </a:rPr>
                  <a:t>2 269</a:t>
                </a:r>
                <a:endParaRPr b="0" lang="ru-RU" sz="2000" strike="noStrike" u="none">
                  <a:effectLst/>
                  <a:uFillTx/>
                  <a:latin typeface="Times New Roman"/>
                </a:endParaRPr>
              </a:p>
            </xdr:txBody>
          </xdr:sp>
          <xdr:sp textlink="'ОПЕРФАКТ 2025'!C15">
            <xdr:nvSpPr>
              <xdr:cNvPr id="83" name="Прямоугольник 27"/>
              <xdr:cNvSpPr/>
            </xdr:nvSpPr>
            <xdr:spPr>
              <a:xfrm>
                <a:off x="5162400" y="1187280"/>
                <a:ext cx="1086480" cy="281880"/>
              </a:xfrm>
              <a:prstGeom prst="rect">
                <a:avLst/>
              </a:prstGeom>
              <a:solidFill>
                <a:srgbClr val="ffffff"/>
              </a:solidFill>
              <a:ln w="12700"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 algn="r">
                  <a:lnSpc>
                    <a:spcPct val="100000"/>
                  </a:lnSpc>
                </a:pPr>
                <a:r>
                  <a:rPr b="0" lang="en-US" sz="2000" strike="noStrike" u="none">
                    <a:solidFill>
                      <a:srgbClr val="000000"/>
                    </a:solidFill>
                    <a:effectLst/>
                    <a:uFillTx/>
                    <a:latin typeface="Bahnschrift"/>
                  </a:rPr>
                  <a:t>2 197</a:t>
                </a:r>
                <a:endParaRPr b="0" lang="ru-RU" sz="2000" strike="noStrike" u="none">
                  <a:effectLst/>
                  <a:uFillTx/>
                  <a:latin typeface="Times New Roman"/>
                </a:endParaRPr>
              </a:p>
            </xdr:txBody>
          </xdr:sp>
          <xdr:cxnSp>
            <xdr:nvCxnSpPr>
              <xdr:cNvPr id="84" name="Прямая соединительная линия 28"/>
              <xdr:cNvCxnSpPr/>
            </xdr:nvCxnSpPr>
            <xdr:spPr>
              <a:xfrm>
                <a:off x="4149360" y="740160"/>
                <a:ext cx="2134800" cy="2520"/>
              </a:xfrm>
              <a:prstGeom prst="straightConnector1">
                <a:avLst/>
              </a:prstGeom>
              <a:ln w="12700">
                <a:solidFill>
                  <a:srgbClr val="70ad47"/>
                </a:solidFill>
                <a:miter/>
              </a:ln>
            </xdr:spPr>
          </xdr:cxnSp>
        </xdr:grpSp>
      </xdr:grpSp>
      <xdr:pic>
        <xdr:nvPicPr>
          <xdr:cNvPr id="85" name="Рисунок 3" descr="Карта с кнопкой"/>
          <xdr:cNvPicPr/>
        </xdr:nvPicPr>
        <xdr:blipFill>
          <a:blip r:embed="rId6">
            <a:extLst>
              <a:ext uri="{96DAC541-7B7A-43D3-8B79-37D633B846F1}">
                <asvg:svgBlip xmlns:asvg="http://schemas.microsoft.com/office/drawing/2016/SVG/main" r:embed="rId7"/>
              </a:ext>
            </a:extLst>
          </a:blip>
          <a:stretch/>
        </xdr:blipFill>
        <xdr:spPr>
          <a:xfrm>
            <a:off x="4492800" y="1482120"/>
            <a:ext cx="718200" cy="689760"/>
          </a:xfrm>
          <a:prstGeom prst="rect">
            <a:avLst/>
          </a:prstGeom>
          <a:noFill/>
          <a:ln w="0">
            <a:noFill/>
          </a:ln>
        </xdr:spPr>
      </xdr:pic>
    </xdr:grpSp>
    <xdr:clientData/>
  </xdr:twoCellAnchor>
  <xdr:twoCellAnchor editAs="twoCell">
    <xdr:from>
      <xdr:col>18</xdr:col>
      <xdr:colOff>21240</xdr:colOff>
      <xdr:row>1</xdr:row>
      <xdr:rowOff>57600</xdr:rowOff>
    </xdr:from>
    <xdr:to>
      <xdr:col>22</xdr:col>
      <xdr:colOff>168840</xdr:colOff>
      <xdr:row>10</xdr:row>
      <xdr:rowOff>84240</xdr:rowOff>
    </xdr:to>
    <xdr:grpSp>
      <xdr:nvGrpSpPr>
        <xdr:cNvPr id="86" name="Группа 50"/>
        <xdr:cNvGrpSpPr/>
      </xdr:nvGrpSpPr>
      <xdr:grpSpPr>
        <a:xfrm>
          <a:off x="11028240" y="397800"/>
          <a:ext cx="2593800" cy="1741320"/>
          <a:chOff x="11028240" y="397800"/>
          <a:chExt cx="2593800" cy="1741320"/>
        </a:xfrm>
      </xdr:grpSpPr>
      <xdr:grpSp>
        <xdr:nvGrpSpPr>
          <xdr:cNvPr id="87" name="Группа 36"/>
          <xdr:cNvGrpSpPr/>
        </xdr:nvGrpSpPr>
        <xdr:grpSpPr>
          <a:xfrm>
            <a:off x="11028240" y="397800"/>
            <a:ext cx="2593800" cy="1738800"/>
            <a:chOff x="11028240" y="397800"/>
            <a:chExt cx="2593800" cy="1738800"/>
          </a:xfrm>
        </xdr:grpSpPr>
        <xdr:sp>
          <xdr:nvSpPr>
            <xdr:cNvPr id="88" name="Прямоугольник 41"/>
            <xdr:cNvSpPr/>
          </xdr:nvSpPr>
          <xdr:spPr>
            <a:xfrm>
              <a:off x="11028240" y="397800"/>
              <a:ext cx="2593800" cy="1738800"/>
            </a:xfrm>
            <a:prstGeom prst="rect">
              <a:avLst/>
            </a:prstGeom>
            <a:solidFill>
              <a:srgbClr val="ffffff"/>
            </a:solidFill>
            <a:ln w="12700">
              <a:solidFill>
                <a:srgbClr val="4472c4"/>
              </a:solidFill>
              <a:miter/>
            </a:ln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/>
          </xdr:style>
          <xdr:txBody>
            <a:bodyPr horzOverflow="clip" vertOverflow="clip" lIns="90000" rIns="90000" tIns="45000" bIns="45000" anchor="t">
              <a:noAutofit/>
            </a:bodyPr>
            <a:p>
              <a:pPr>
                <a:lnSpc>
                  <a:spcPct val="100000"/>
                </a:lnSpc>
              </a:pPr>
              <a:r>
                <a:rPr b="1" lang="ru-RU" sz="1400" strike="noStrike" u="none">
                  <a:solidFill>
                    <a:schemeClr val="dk1"/>
                  </a:solidFill>
                  <a:effectLst/>
                  <a:uFillTx/>
                  <a:latin typeface="Bahnschrift"/>
                </a:rPr>
                <a:t>УРОЖАЙНОСТЬ, т/га</a:t>
              </a:r>
              <a:endParaRPr b="0" lang="ru-RU" sz="14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100000"/>
                </a:lnSpc>
              </a:pPr>
              <a:endParaRPr b="0" lang="ru-RU" sz="6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85000"/>
                </a:lnSpc>
              </a:pPr>
              <a:endParaRPr b="0" lang="ru-RU" sz="11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85000"/>
                </a:lnSpc>
              </a:pPr>
              <a:r>
                <a:rPr b="0" lang="ru-RU" sz="1200" strike="noStrike" u="none">
                  <a:solidFill>
                    <a:schemeClr val="dk1">
                      <a:lumMod val="75000"/>
                      <a:lumOff val="25000"/>
                    </a:schemeClr>
                  </a:solidFill>
                  <a:effectLst/>
                  <a:uFillTx/>
                  <a:latin typeface="Bahnschrift"/>
                </a:rPr>
                <a:t>План:</a:t>
              </a: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85000"/>
                </a:lnSpc>
              </a:pP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85000"/>
                </a:lnSpc>
              </a:pPr>
              <a:r>
                <a:rPr b="0" lang="ru-RU" sz="1200" strike="noStrike" u="none">
                  <a:solidFill>
                    <a:schemeClr val="dk1"/>
                  </a:solidFill>
                  <a:effectLst/>
                  <a:uFillTx/>
                  <a:latin typeface="Bahnschrift"/>
                </a:rPr>
                <a:t>Факт:</a:t>
              </a: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100000"/>
                </a:lnSpc>
              </a:pPr>
              <a:endParaRPr b="0" lang="ru-RU" sz="1200" strike="noStrike" u="none">
                <a:effectLst/>
                <a:uFillTx/>
                <a:latin typeface="Times New Roman"/>
              </a:endParaRPr>
            </a:p>
            <a:p>
              <a:pPr>
                <a:lnSpc>
                  <a:spcPct val="100000"/>
                </a:lnSpc>
              </a:pPr>
              <a:endParaRPr b="0" lang="ru-RU" sz="1100" strike="noStrike" u="none">
                <a:effectLst/>
                <a:uFillTx/>
                <a:latin typeface="Times New Roman"/>
              </a:endParaRPr>
            </a:p>
          </xdr:txBody>
        </xdr:sp>
        <xdr:grpSp>
          <xdr:nvGrpSpPr>
            <xdr:cNvPr id="89" name="Группа 42"/>
            <xdr:cNvGrpSpPr/>
          </xdr:nvGrpSpPr>
          <xdr:grpSpPr>
            <a:xfrm>
              <a:off x="11156760" y="736920"/>
              <a:ext cx="2278440" cy="657360"/>
              <a:chOff x="11156760" y="736920"/>
              <a:chExt cx="2278440" cy="657360"/>
            </a:xfrm>
          </xdr:grpSpPr>
          <xdr:sp textlink="'ОПЕРФАКТ 2025'!C44">
            <xdr:nvSpPr>
              <xdr:cNvPr id="90" name="Прямоугольник 44"/>
              <xdr:cNvSpPr/>
            </xdr:nvSpPr>
            <xdr:spPr>
              <a:xfrm>
                <a:off x="12284640" y="1112040"/>
                <a:ext cx="1150560" cy="282240"/>
              </a:xfrm>
              <a:prstGeom prst="rect">
                <a:avLst/>
              </a:prstGeom>
              <a:solidFill>
                <a:srgbClr val="ffffff"/>
              </a:solidFill>
              <a:ln w="12700">
                <a:noFill/>
              </a:ln>
            </xdr:spPr>
            <xdr:style>
              <a:lnRef idx="2">
                <a:schemeClr val="accent5"/>
              </a:lnRef>
              <a:fillRef idx="1">
                <a:schemeClr val="lt1"/>
              </a:fillRef>
              <a:effectRef idx="0">
                <a:schemeClr val="accent5"/>
              </a:effectRef>
              <a:fontRef idx="minor"/>
            </xdr:style>
            <xdr:txBody>
              <a:bodyPr horzOverflow="clip" vertOverflow="clip" lIns="90000" rIns="90000" tIns="45000" bIns="45000" anchor="ctr">
                <a:noAutofit/>
              </a:bodyPr>
              <a:p>
                <a:pPr algn="r">
                  <a:lnSpc>
                    <a:spcPct val="100000"/>
                  </a:lnSpc>
                </a:pPr>
                <a:r>
                  <a:rPr b="0" lang="en-US" sz="2000" strike="noStrike" u="none">
                    <a:solidFill>
                      <a:srgbClr val="000000"/>
                    </a:solidFill>
                    <a:effectLst/>
                    <a:uFillTx/>
                    <a:latin typeface="Bahnschrift"/>
                  </a:rPr>
                  <a:t>16,0</a:t>
                </a:r>
                <a:endParaRPr b="0" lang="ru-RU" sz="2000" strike="noStrike" u="none">
                  <a:effectLst/>
                  <a:uFillTx/>
                  <a:latin typeface="Times New Roman"/>
                </a:endParaRPr>
              </a:p>
            </xdr:txBody>
          </xdr:sp>
          <xdr:cxnSp>
            <xdr:nvCxnSpPr>
              <xdr:cNvPr id="91" name="Прямая соединительная линия 46"/>
              <xdr:cNvCxnSpPr/>
            </xdr:nvCxnSpPr>
            <xdr:spPr>
              <a:xfrm>
                <a:off x="11156760" y="736920"/>
                <a:ext cx="2258280" cy="2880"/>
              </a:xfrm>
              <a:prstGeom prst="straightConnector1">
                <a:avLst/>
              </a:prstGeom>
              <a:ln w="12700">
                <a:solidFill>
                  <a:srgbClr val="4472c4"/>
                </a:solidFill>
                <a:miter/>
              </a:ln>
            </xdr:spPr>
          </xdr:cxnSp>
        </xdr:grpSp>
      </xdr:grpSp>
      <xdr:pic>
        <xdr:nvPicPr>
          <xdr:cNvPr id="92" name="Рисунок 47" descr="Открытая ладонь с растением"/>
          <xdr:cNvPicPr/>
        </xdr:nvPicPr>
        <xdr:blipFill>
          <a:blip r:embed="rId8">
            <a:extLst>
              <a:ext uri="{96DAC541-7B7A-43D3-8B79-37D633B846F1}">
                <asvg:svgBlip xmlns:asvg="http://schemas.microsoft.com/office/drawing/2016/SVG/main" r:embed="rId9"/>
              </a:ext>
            </a:extLst>
          </a:blip>
          <a:stretch/>
        </xdr:blipFill>
        <xdr:spPr>
          <a:xfrm>
            <a:off x="11458080" y="1531080"/>
            <a:ext cx="650160" cy="608040"/>
          </a:xfrm>
          <a:prstGeom prst="rect">
            <a:avLst/>
          </a:prstGeom>
          <a:noFill/>
          <a:ln w="0">
            <a:noFill/>
          </a:ln>
        </xdr:spPr>
      </xdr:pic>
    </xdr:grpSp>
    <xdr:clientData/>
  </xdr:twoCellAnchor>
  <xdr:twoCellAnchor editAs="twoCell">
    <xdr:from>
      <xdr:col>0</xdr:col>
      <xdr:colOff>38160</xdr:colOff>
      <xdr:row>37</xdr:row>
      <xdr:rowOff>71280</xdr:rowOff>
    </xdr:from>
    <xdr:to>
      <xdr:col>35</xdr:col>
      <xdr:colOff>301320</xdr:colOff>
      <xdr:row>57</xdr:row>
      <xdr:rowOff>105840</xdr:rowOff>
    </xdr:to>
    <xdr:grpSp>
      <xdr:nvGrpSpPr>
        <xdr:cNvPr id="93" name="Группа 7"/>
        <xdr:cNvGrpSpPr/>
      </xdr:nvGrpSpPr>
      <xdr:grpSpPr>
        <a:xfrm>
          <a:off x="38160" y="7585200"/>
          <a:ext cx="23024160" cy="3844440"/>
          <a:chOff x="38160" y="7585200"/>
          <a:chExt cx="23024160" cy="3844440"/>
        </a:xfrm>
      </xdr:grpSpPr>
      <xdr:graphicFrame>
        <xdr:nvGraphicFramePr>
          <xdr:cNvPr id="94" name="Диаграмма 52"/>
          <xdr:cNvGraphicFramePr/>
        </xdr:nvGraphicFramePr>
        <xdr:xfrm>
          <a:off x="38160" y="7585200"/>
          <a:ext cx="18114480" cy="38444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graphicFrame>
        <xdr:nvGraphicFramePr>
          <xdr:cNvPr id="95" name="Диаграмма 4"/>
          <xdr:cNvGraphicFramePr/>
        </xdr:nvGraphicFramePr>
        <xdr:xfrm>
          <a:off x="9867600" y="7613640"/>
          <a:ext cx="5592600" cy="36568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  <xdr:graphicFrame>
        <xdr:nvGraphicFramePr>
          <xdr:cNvPr id="96" name="Диаграмма 5"/>
          <xdr:cNvGraphicFramePr/>
        </xdr:nvGraphicFramePr>
        <xdr:xfrm>
          <a:off x="13443480" y="7612200"/>
          <a:ext cx="6048360" cy="36568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  <xdr:graphicFrame>
        <xdr:nvGraphicFramePr>
          <xdr:cNvPr id="97" name="Диаграмма 6"/>
          <xdr:cNvGraphicFramePr/>
        </xdr:nvGraphicFramePr>
        <xdr:xfrm>
          <a:off x="16690320" y="7654680"/>
          <a:ext cx="6372000" cy="36568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3"/>
          </a:graphicData>
        </a:graphic>
      </xdr:graphicFrame>
    </xdr:grpSp>
    <xdr:clientData/>
  </xdr:twoCellAnchor>
  <xdr:twoCellAnchor editAs="twoCell">
    <xdr:from>
      <xdr:col>2</xdr:col>
      <xdr:colOff>581040</xdr:colOff>
      <xdr:row>5</xdr:row>
      <xdr:rowOff>2520</xdr:rowOff>
    </xdr:from>
    <xdr:to>
      <xdr:col>4</xdr:col>
      <xdr:colOff>471600</xdr:colOff>
      <xdr:row>6</xdr:row>
      <xdr:rowOff>116640</xdr:rowOff>
    </xdr:to>
    <xdr:sp textlink="'ОПЕРФАКТ 2025'!C7">
      <xdr:nvSpPr>
        <xdr:cNvPr id="98" name="Прямоугольник 2"/>
        <xdr:cNvSpPr/>
      </xdr:nvSpPr>
      <xdr:spPr>
        <a:xfrm>
          <a:off x="1803960" y="1104840"/>
          <a:ext cx="1113840" cy="304560"/>
        </a:xfrm>
        <a:prstGeom prst="rect">
          <a:avLst/>
        </a:prstGeom>
        <a:solidFill>
          <a:srgbClr val="ffffff"/>
        </a:solidFill>
        <a:ln w="12700"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/>
      </xdr:style>
      <xdr:txBody>
        <a:bodyPr horzOverflow="clip" vertOverflow="clip" lIns="90000" rIns="90000" tIns="45000" bIns="45000" anchor="ctr">
          <a:noAutofit/>
        </a:bodyPr>
        <a:p>
          <a:pPr algn="r">
            <a:lnSpc>
              <a:spcPct val="100000"/>
            </a:lnSpc>
            <a:tabLst>
              <a:tab algn="l" pos="0"/>
            </a:tabLst>
          </a:pPr>
          <a:r>
            <a:rPr b="0" lang="en-US" sz="1100" strike="noStrike" u="none">
              <a:solidFill>
                <a:srgbClr val="000000"/>
              </a:solidFill>
              <a:effectLst/>
              <a:uFillTx/>
              <a:latin typeface="Calibri"/>
            </a:rPr>
            <a:t>94 дн</a:t>
          </a:r>
          <a:endParaRPr b="0" lang="ru-RU" sz="11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474120</xdr:colOff>
      <xdr:row>34</xdr:row>
      <xdr:rowOff>67680</xdr:rowOff>
    </xdr:from>
    <xdr:to>
      <xdr:col>5</xdr:col>
      <xdr:colOff>222480</xdr:colOff>
      <xdr:row>36</xdr:row>
      <xdr:rowOff>33120</xdr:rowOff>
    </xdr:to>
    <xdr:sp textlink="'ОПЕРФАКТ 2025'!$N$5">
      <xdr:nvSpPr>
        <xdr:cNvPr id="99" name="Прямоугольник 32"/>
        <xdr:cNvSpPr/>
      </xdr:nvSpPr>
      <xdr:spPr>
        <a:xfrm>
          <a:off x="2308680" y="7010280"/>
          <a:ext cx="971280" cy="346320"/>
        </a:xfrm>
        <a:prstGeom prst="rect">
          <a:avLst/>
        </a:prstGeom>
        <a:solidFill>
          <a:srgbClr val="ffffff"/>
        </a:solidFill>
        <a:ln w="12700"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n-US" sz="1400" strike="noStrike" u="none">
              <a:solidFill>
                <a:schemeClr val="dk1">
                  <a:lumMod val="65000"/>
                  <a:lumOff val="35000"/>
                </a:schemeClr>
              </a:solidFill>
              <a:effectLst/>
              <a:uFillTx/>
              <a:latin typeface="Bahnschrift SemiCondensed"/>
            </a:rPr>
            <a:t>10,8 т/га</a:t>
          </a:r>
          <a:endParaRPr b="0" lang="ru-RU" sz="14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6</xdr:col>
      <xdr:colOff>60120</xdr:colOff>
      <xdr:row>34</xdr:row>
      <xdr:rowOff>83520</xdr:rowOff>
    </xdr:from>
    <xdr:to>
      <xdr:col>7</xdr:col>
      <xdr:colOff>413640</xdr:colOff>
      <xdr:row>36</xdr:row>
      <xdr:rowOff>45000</xdr:rowOff>
    </xdr:to>
    <xdr:sp textlink="'ОПЕРФАКТ 2025'!$N$6">
      <xdr:nvSpPr>
        <xdr:cNvPr id="100" name="Прямоугольник 33"/>
        <xdr:cNvSpPr/>
      </xdr:nvSpPr>
      <xdr:spPr>
        <a:xfrm>
          <a:off x="3729240" y="7026120"/>
          <a:ext cx="964800" cy="342360"/>
        </a:xfrm>
        <a:prstGeom prst="rect">
          <a:avLst/>
        </a:prstGeom>
        <a:solidFill>
          <a:srgbClr val="ffffff"/>
        </a:solidFill>
        <a:ln w="12700"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n-US" sz="1400" strike="noStrike" u="none">
              <a:solidFill>
                <a:schemeClr val="dk1">
                  <a:lumMod val="65000"/>
                  <a:lumOff val="35000"/>
                </a:schemeClr>
              </a:solidFill>
              <a:effectLst/>
              <a:uFillTx/>
              <a:latin typeface="Bahnschrift SemiBold SemiConden"/>
            </a:rPr>
            <a:t>14,9 т/га</a:t>
          </a:r>
          <a:endParaRPr b="0" lang="ru-RU" sz="14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181080</xdr:colOff>
      <xdr:row>34</xdr:row>
      <xdr:rowOff>84960</xdr:rowOff>
    </xdr:from>
    <xdr:to>
      <xdr:col>9</xdr:col>
      <xdr:colOff>536400</xdr:colOff>
      <xdr:row>36</xdr:row>
      <xdr:rowOff>46440</xdr:rowOff>
    </xdr:to>
    <xdr:sp textlink="'ОПЕРФАКТ 2025'!$N$7">
      <xdr:nvSpPr>
        <xdr:cNvPr id="101" name="Прямоугольник 34"/>
        <xdr:cNvSpPr/>
      </xdr:nvSpPr>
      <xdr:spPr>
        <a:xfrm>
          <a:off x="5073120" y="7027560"/>
          <a:ext cx="966960" cy="342360"/>
        </a:xfrm>
        <a:prstGeom prst="rect">
          <a:avLst/>
        </a:prstGeom>
        <a:solidFill>
          <a:srgbClr val="ffffff"/>
        </a:solidFill>
        <a:ln w="12700"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n-US" sz="1400" strike="noStrike" u="none">
              <a:solidFill>
                <a:schemeClr val="dk1">
                  <a:lumMod val="65000"/>
                  <a:lumOff val="35000"/>
                </a:schemeClr>
              </a:solidFill>
              <a:effectLst/>
              <a:uFillTx/>
              <a:latin typeface="Bahnschrift SemiBold SemiConden"/>
            </a:rPr>
            <a:t>12,0 т/га</a:t>
          </a:r>
          <a:endParaRPr b="0" lang="ru-RU" sz="14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13</xdr:col>
      <xdr:colOff>64440</xdr:colOff>
      <xdr:row>34</xdr:row>
      <xdr:rowOff>77400</xdr:rowOff>
    </xdr:from>
    <xdr:to>
      <xdr:col>14</xdr:col>
      <xdr:colOff>412200</xdr:colOff>
      <xdr:row>36</xdr:row>
      <xdr:rowOff>50760</xdr:rowOff>
    </xdr:to>
    <xdr:sp textlink="'ОПЕРФАКТ 2025'!$N$9">
      <xdr:nvSpPr>
        <xdr:cNvPr id="102" name="Прямоугольник 35"/>
        <xdr:cNvSpPr/>
      </xdr:nvSpPr>
      <xdr:spPr>
        <a:xfrm>
          <a:off x="8013960" y="7020000"/>
          <a:ext cx="959400" cy="354240"/>
        </a:xfrm>
        <a:prstGeom prst="rect">
          <a:avLst/>
        </a:prstGeom>
        <a:solidFill>
          <a:srgbClr val="ffffff"/>
        </a:solidFill>
        <a:ln w="12700"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n-US" sz="1400" strike="noStrike" u="none">
              <a:solidFill>
                <a:schemeClr val="dk1">
                  <a:lumMod val="65000"/>
                  <a:lumOff val="35000"/>
                </a:schemeClr>
              </a:solidFill>
              <a:effectLst/>
              <a:uFillTx/>
              <a:latin typeface="Bahnschrift SemiBold"/>
            </a:rPr>
            <a:t>20,5 т/га</a:t>
          </a:r>
          <a:endParaRPr b="0" lang="ru-RU" sz="14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450720</xdr:colOff>
      <xdr:row>34</xdr:row>
      <xdr:rowOff>100800</xdr:rowOff>
    </xdr:from>
    <xdr:to>
      <xdr:col>12</xdr:col>
      <xdr:colOff>198360</xdr:colOff>
      <xdr:row>36</xdr:row>
      <xdr:rowOff>62280</xdr:rowOff>
    </xdr:to>
    <xdr:sp textlink="'ОПЕРФАКТ 2025'!$N$8">
      <xdr:nvSpPr>
        <xdr:cNvPr id="103" name="Прямоугольник 43"/>
        <xdr:cNvSpPr/>
      </xdr:nvSpPr>
      <xdr:spPr>
        <a:xfrm>
          <a:off x="6565680" y="7043400"/>
          <a:ext cx="970920" cy="342360"/>
        </a:xfrm>
        <a:prstGeom prst="rect">
          <a:avLst/>
        </a:prstGeom>
        <a:solidFill>
          <a:srgbClr val="ffffff"/>
        </a:solidFill>
        <a:ln w="12700"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n-US" sz="1400" strike="noStrike" u="none">
              <a:solidFill>
                <a:schemeClr val="dk1">
                  <a:lumMod val="65000"/>
                  <a:lumOff val="35000"/>
                </a:schemeClr>
              </a:solidFill>
              <a:effectLst/>
              <a:uFillTx/>
              <a:latin typeface="Bahnschrift SemiBold SemiConden"/>
            </a:rPr>
            <a:t>15,8 т/га</a:t>
          </a:r>
          <a:endParaRPr b="0" lang="ru-RU" sz="14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20</xdr:col>
      <xdr:colOff>56520</xdr:colOff>
      <xdr:row>3</xdr:row>
      <xdr:rowOff>69120</xdr:rowOff>
    </xdr:from>
    <xdr:to>
      <xdr:col>21</xdr:col>
      <xdr:colOff>594360</xdr:colOff>
      <xdr:row>4</xdr:row>
      <xdr:rowOff>159840</xdr:rowOff>
    </xdr:to>
    <xdr:sp textlink="'ОПЕРФАКТ 2025'!C42">
      <xdr:nvSpPr>
        <xdr:cNvPr id="104" name="Прямоугольник 51"/>
        <xdr:cNvSpPr/>
      </xdr:nvSpPr>
      <xdr:spPr>
        <a:xfrm>
          <a:off x="12286800" y="790560"/>
          <a:ext cx="1149120" cy="281160"/>
        </a:xfrm>
        <a:prstGeom prst="rect">
          <a:avLst/>
        </a:prstGeom>
        <a:solidFill>
          <a:srgbClr val="ffffff"/>
        </a:solidFill>
        <a:ln w="12700">
          <a:noFill/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/>
      </xdr:style>
      <xdr:txBody>
        <a:bodyPr horzOverflow="clip" vertOverflow="clip" lIns="90000" rIns="90000" tIns="45000" bIns="45000" anchor="ctr">
          <a:noAutofit/>
        </a:bodyPr>
        <a:p>
          <a:pPr algn="r">
            <a:lnSpc>
              <a:spcPct val="100000"/>
            </a:lnSpc>
          </a:pPr>
          <a:r>
            <a:rPr b="0" lang="en-US" sz="2000" strike="noStrike" u="none">
              <a:solidFill>
                <a:schemeClr val="dk1">
                  <a:lumMod val="50000"/>
                  <a:lumOff val="50000"/>
                </a:schemeClr>
              </a:solidFill>
              <a:effectLst/>
              <a:uFillTx/>
              <a:latin typeface="Bahnschrift"/>
            </a:rPr>
            <a:t>17,3</a:t>
          </a:r>
          <a:endParaRPr b="0" lang="ru-RU" sz="2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13</xdr:col>
      <xdr:colOff>316800</xdr:colOff>
      <xdr:row>3</xdr:row>
      <xdr:rowOff>57240</xdr:rowOff>
    </xdr:from>
    <xdr:to>
      <xdr:col>16</xdr:col>
      <xdr:colOff>203400</xdr:colOff>
      <xdr:row>5</xdr:row>
      <xdr:rowOff>37800</xdr:rowOff>
    </xdr:to>
    <xdr:sp textlink="'ОПЕРФАКТ 2025'!C31">
      <xdr:nvSpPr>
        <xdr:cNvPr id="105" name="Прямоугольник 53"/>
        <xdr:cNvSpPr/>
      </xdr:nvSpPr>
      <xdr:spPr>
        <a:xfrm>
          <a:off x="8266320" y="778680"/>
          <a:ext cx="1721160" cy="361440"/>
        </a:xfrm>
        <a:prstGeom prst="rect">
          <a:avLst/>
        </a:prstGeom>
        <a:solidFill>
          <a:srgbClr val="ffffff"/>
        </a:solidFill>
        <a:ln w="12700">
          <a:noFill/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/>
      </xdr:style>
      <xdr:txBody>
        <a:bodyPr horzOverflow="clip" vertOverflow="clip" lIns="90000" rIns="90000" tIns="45000" bIns="45000" anchor="ctr">
          <a:noAutofit/>
        </a:bodyPr>
        <a:p>
          <a:pPr algn="r">
            <a:lnSpc>
              <a:spcPct val="100000"/>
            </a:lnSpc>
          </a:pPr>
          <a:r>
            <a:rPr b="0" lang="en-US" sz="2000" strike="noStrike" u="none">
              <a:solidFill>
                <a:schemeClr val="dk1">
                  <a:lumMod val="50000"/>
                  <a:lumOff val="50000"/>
                </a:schemeClr>
              </a:solidFill>
              <a:effectLst/>
              <a:uFillTx/>
              <a:latin typeface="Bahnschrift"/>
            </a:rPr>
            <a:t>39 166</a:t>
          </a:r>
          <a:endParaRPr b="0" lang="ru-RU" sz="2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23</xdr:col>
      <xdr:colOff>343080</xdr:colOff>
      <xdr:row>0</xdr:row>
      <xdr:rowOff>114120</xdr:rowOff>
    </xdr:from>
    <xdr:to>
      <xdr:col>30</xdr:col>
      <xdr:colOff>228600</xdr:colOff>
      <xdr:row>17</xdr:row>
      <xdr:rowOff>113040</xdr:rowOff>
    </xdr:to>
    <xdr:graphicFrame>
      <xdr:nvGraphicFramePr>
        <xdr:cNvPr id="106" name="Диаграмма 55"/>
        <xdr:cNvGraphicFramePr/>
      </xdr:nvGraphicFramePr>
      <xdr:xfrm>
        <a:off x="14407560" y="114120"/>
        <a:ext cx="4302720" cy="3387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twoCell">
    <xdr:from>
      <xdr:col>27</xdr:col>
      <xdr:colOff>558720</xdr:colOff>
      <xdr:row>17</xdr:row>
      <xdr:rowOff>167760</xdr:rowOff>
    </xdr:from>
    <xdr:to>
      <xdr:col>29</xdr:col>
      <xdr:colOff>243360</xdr:colOff>
      <xdr:row>19</xdr:row>
      <xdr:rowOff>149400</xdr:rowOff>
    </xdr:to>
    <xdr:sp textlink="'ОПЕРФАКТ 2025'!C47">
      <xdr:nvSpPr>
        <xdr:cNvPr id="107" name="Прямоугольник 56"/>
        <xdr:cNvSpPr/>
      </xdr:nvSpPr>
      <xdr:spPr>
        <a:xfrm>
          <a:off x="17107560" y="3556080"/>
          <a:ext cx="993240" cy="362520"/>
        </a:xfrm>
        <a:prstGeom prst="rect">
          <a:avLst/>
        </a:prstGeom>
        <a:solidFill>
          <a:srgbClr val="ffffff"/>
        </a:solidFill>
        <a:ln w="12700"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n-US" sz="1500" strike="noStrike" u="none">
              <a:solidFill>
                <a:srgbClr val="000000"/>
              </a:solidFill>
              <a:effectLst/>
              <a:uFillTx/>
              <a:latin typeface="Calibri"/>
            </a:rPr>
            <a:t>15,9 т/га</a:t>
          </a:r>
          <a:endParaRPr b="0" lang="ru-RU" sz="15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24</xdr:col>
      <xdr:colOff>365040</xdr:colOff>
      <xdr:row>17</xdr:row>
      <xdr:rowOff>177120</xdr:rowOff>
    </xdr:from>
    <xdr:to>
      <xdr:col>26</xdr:col>
      <xdr:colOff>124560</xdr:colOff>
      <xdr:row>19</xdr:row>
      <xdr:rowOff>129600</xdr:rowOff>
    </xdr:to>
    <xdr:sp textlink="'ОПЕРФАКТ 2025'!C46">
      <xdr:nvSpPr>
        <xdr:cNvPr id="108" name="Прямоугольник 19"/>
        <xdr:cNvSpPr/>
      </xdr:nvSpPr>
      <xdr:spPr>
        <a:xfrm>
          <a:off x="15041160" y="3565440"/>
          <a:ext cx="1008000" cy="333360"/>
        </a:xfrm>
        <a:prstGeom prst="rect">
          <a:avLst/>
        </a:prstGeom>
        <a:solidFill>
          <a:srgbClr val="ffffff"/>
        </a:solidFill>
        <a:ln w="12700"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n-US" sz="1500" strike="noStrike" u="none">
              <a:solidFill>
                <a:srgbClr val="000000"/>
              </a:solidFill>
              <a:effectLst/>
              <a:uFillTx/>
              <a:latin typeface="Calibri"/>
            </a:rPr>
            <a:t>16,0 т/га</a:t>
          </a:r>
          <a:endParaRPr b="0" lang="ru-RU" sz="1500" strike="noStrike" u="none">
            <a:effectLst/>
            <a:uFillTx/>
            <a:latin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320040</xdr:colOff>
      <xdr:row>16</xdr:row>
      <xdr:rowOff>177120</xdr:rowOff>
    </xdr:from>
    <xdr:to>
      <xdr:col>18</xdr:col>
      <xdr:colOff>62640</xdr:colOff>
      <xdr:row>33</xdr:row>
      <xdr:rowOff>182160</xdr:rowOff>
    </xdr:to>
    <xdr:graphicFrame>
      <xdr:nvGraphicFramePr>
        <xdr:cNvPr id="109" name="Диаграмма 1"/>
        <xdr:cNvGraphicFramePr/>
      </xdr:nvGraphicFramePr>
      <xdr:xfrm>
        <a:off x="7749000" y="3225240"/>
        <a:ext cx="8115480" cy="32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544680</xdr:colOff>
      <xdr:row>34</xdr:row>
      <xdr:rowOff>184680</xdr:rowOff>
    </xdr:from>
    <xdr:to>
      <xdr:col>8</xdr:col>
      <xdr:colOff>957600</xdr:colOff>
      <xdr:row>48</xdr:row>
      <xdr:rowOff>56520</xdr:rowOff>
    </xdr:to>
    <xdr:graphicFrame>
      <xdr:nvGraphicFramePr>
        <xdr:cNvPr id="110" name="Диаграмма 3"/>
        <xdr:cNvGraphicFramePr/>
      </xdr:nvGraphicFramePr>
      <xdr:xfrm>
        <a:off x="6607080" y="6661800"/>
        <a:ext cx="2534400" cy="2538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60840</xdr:colOff>
      <xdr:row>77</xdr:row>
      <xdr:rowOff>87840</xdr:rowOff>
    </xdr:from>
    <xdr:to>
      <xdr:col>13</xdr:col>
      <xdr:colOff>258480</xdr:colOff>
      <xdr:row>92</xdr:row>
      <xdr:rowOff>87480</xdr:rowOff>
    </xdr:to>
    <xdr:graphicFrame>
      <xdr:nvGraphicFramePr>
        <xdr:cNvPr id="111" name="Диаграмма 4"/>
        <xdr:cNvGraphicFramePr/>
      </xdr:nvGraphicFramePr>
      <xdr:xfrm>
        <a:off x="8244720" y="14756400"/>
        <a:ext cx="4685040" cy="2856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320040</xdr:colOff>
      <xdr:row>16</xdr:row>
      <xdr:rowOff>177120</xdr:rowOff>
    </xdr:from>
    <xdr:to>
      <xdr:col>18</xdr:col>
      <xdr:colOff>62640</xdr:colOff>
      <xdr:row>33</xdr:row>
      <xdr:rowOff>182160</xdr:rowOff>
    </xdr:to>
    <xdr:graphicFrame>
      <xdr:nvGraphicFramePr>
        <xdr:cNvPr id="112" name="Диаграмма 4"/>
        <xdr:cNvGraphicFramePr/>
      </xdr:nvGraphicFramePr>
      <xdr:xfrm>
        <a:off x="7305840" y="3225240"/>
        <a:ext cx="8256600" cy="32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295200</xdr:colOff>
      <xdr:row>88</xdr:row>
      <xdr:rowOff>66600</xdr:rowOff>
    </xdr:from>
    <xdr:to>
      <xdr:col>19</xdr:col>
      <xdr:colOff>241560</xdr:colOff>
      <xdr:row>112</xdr:row>
      <xdr:rowOff>132840</xdr:rowOff>
    </xdr:to>
    <xdr:graphicFrame>
      <xdr:nvGraphicFramePr>
        <xdr:cNvPr id="113" name="Диаграмма 2"/>
        <xdr:cNvGraphicFramePr/>
      </xdr:nvGraphicFramePr>
      <xdr:xfrm>
        <a:off x="8035920" y="16830720"/>
        <a:ext cx="8316720" cy="4638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544680</xdr:colOff>
      <xdr:row>34</xdr:row>
      <xdr:rowOff>184680</xdr:rowOff>
    </xdr:from>
    <xdr:to>
      <xdr:col>8</xdr:col>
      <xdr:colOff>957600</xdr:colOff>
      <xdr:row>48</xdr:row>
      <xdr:rowOff>56520</xdr:rowOff>
    </xdr:to>
    <xdr:graphicFrame>
      <xdr:nvGraphicFramePr>
        <xdr:cNvPr id="114" name="Диаграмма 5"/>
        <xdr:cNvGraphicFramePr/>
      </xdr:nvGraphicFramePr>
      <xdr:xfrm>
        <a:off x="6163920" y="6661800"/>
        <a:ext cx="2534400" cy="2538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207000</xdr:colOff>
      <xdr:row>0</xdr:row>
      <xdr:rowOff>0</xdr:rowOff>
    </xdr:from>
    <xdr:to>
      <xdr:col>1</xdr:col>
      <xdr:colOff>910800</xdr:colOff>
      <xdr:row>2</xdr:row>
      <xdr:rowOff>72720</xdr:rowOff>
    </xdr:to>
    <xdr:pic>
      <xdr:nvPicPr>
        <xdr:cNvPr id="115" name="Рисунок 2" descr="Презентация с линейчатой диаграммой">
          <a:hlinkClick r:id="rId1"/>
        </xdr:cNvPr>
        <xdr:cNvPicPr/>
      </xdr:nvPicPr>
      <xdr:blipFill>
        <a:blip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/>
      </xdr:blipFill>
      <xdr:spPr>
        <a:xfrm>
          <a:off x="207000" y="0"/>
          <a:ext cx="935640" cy="10155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50400</xdr:colOff>
      <xdr:row>0</xdr:row>
      <xdr:rowOff>110520</xdr:rowOff>
    </xdr:from>
    <xdr:to>
      <xdr:col>17</xdr:col>
      <xdr:colOff>294480</xdr:colOff>
      <xdr:row>2</xdr:row>
      <xdr:rowOff>370440</xdr:rowOff>
    </xdr:to>
    <xdr:sp>
      <xdr:nvSpPr>
        <xdr:cNvPr id="116" name=""/>
        <xdr:cNvSpPr/>
      </xdr:nvSpPr>
      <xdr:spPr>
        <a:xfrm>
          <a:off x="573480" y="110520"/>
          <a:ext cx="18494280" cy="670680"/>
        </a:xfrm>
        <a:prstGeom prst="rect">
          <a:avLst/>
        </a:prstGeom>
        <a:solidFill>
          <a:srgbClr val="ffffff"/>
        </a:solidFill>
        <a:ln w="1">
          <a:solidFill>
            <a:srgbClr val="008000"/>
          </a:solidFill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r>
            <a:rPr b="0" lang="ru-RU" sz="1100" strike="noStrike" u="none">
              <a:effectLst/>
              <a:uFillTx/>
              <a:latin typeface="Times New Roman"/>
            </a:rPr>
            <a:t>Эта фигура представляет срез. Срезы поддерживаются только в Excel 2010 и более поздних версиях.</a:t>
          </a:r>
          <a:endParaRPr b="0" lang="ru-RU" sz="1100" strike="noStrike" u="none">
            <a:effectLst/>
            <a:uFillTx/>
            <a:latin typeface="Times New Roman"/>
          </a:endParaRPr>
        </a:p>
        <a:p>
          <a:endParaRPr b="0" lang="ru-RU" sz="1100" strike="noStrike" u="non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b="0" lang="ru-RU" sz="1100" strike="noStrike" u="none">
              <a:effectLst/>
              <a:uFillTx/>
              <a:latin typeface="Times New Roman"/>
            </a:rPr>
            <a:t>Если фигура была изменена в более ранней версии Excel или книга была сохранена в Excel 2003 или более ранней версии, использование среза невозможно.</a:t>
          </a:r>
          <a:endParaRPr b="0" lang="ru-RU" sz="1100" strike="noStrike" u="none">
            <a:effectLst/>
            <a:uFillTx/>
            <a:latin typeface="Times New Roman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207000</xdr:colOff>
      <xdr:row>0</xdr:row>
      <xdr:rowOff>0</xdr:rowOff>
    </xdr:from>
    <xdr:to>
      <xdr:col>1</xdr:col>
      <xdr:colOff>891360</xdr:colOff>
      <xdr:row>2</xdr:row>
      <xdr:rowOff>2880</xdr:rowOff>
    </xdr:to>
    <xdr:pic>
      <xdr:nvPicPr>
        <xdr:cNvPr id="117" name="Рисунок 2" descr="Презентация с линейчатой диаграммой">
          <a:hlinkClick r:id="rId1"/>
        </xdr:cNvPr>
        <xdr:cNvPicPr/>
      </xdr:nvPicPr>
      <xdr:blipFill>
        <a:blip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/>
      </xdr:blipFill>
      <xdr:spPr>
        <a:xfrm>
          <a:off x="207000" y="0"/>
          <a:ext cx="916200" cy="945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207000</xdr:colOff>
      <xdr:row>0</xdr:row>
      <xdr:rowOff>0</xdr:rowOff>
    </xdr:from>
    <xdr:to>
      <xdr:col>1</xdr:col>
      <xdr:colOff>910440</xdr:colOff>
      <xdr:row>2</xdr:row>
      <xdr:rowOff>2880</xdr:rowOff>
    </xdr:to>
    <xdr:pic>
      <xdr:nvPicPr>
        <xdr:cNvPr id="118" name="Рисунок 1" descr="Презентация с линейчатой диаграммой">
          <a:hlinkClick r:id="rId1"/>
        </xdr:cNvPr>
        <xdr:cNvPicPr/>
      </xdr:nvPicPr>
      <xdr:blipFill>
        <a:blip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/>
      </xdr:blipFill>
      <xdr:spPr>
        <a:xfrm>
          <a:off x="207000" y="0"/>
          <a:ext cx="935280" cy="945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207000</xdr:colOff>
      <xdr:row>0</xdr:row>
      <xdr:rowOff>0</xdr:rowOff>
    </xdr:from>
    <xdr:to>
      <xdr:col>1</xdr:col>
      <xdr:colOff>910440</xdr:colOff>
      <xdr:row>2</xdr:row>
      <xdr:rowOff>2880</xdr:rowOff>
    </xdr:to>
    <xdr:pic>
      <xdr:nvPicPr>
        <xdr:cNvPr id="119" name="Рисунок 1" descr="Презентация с линейчатой диаграммой">
          <a:hlinkClick r:id="rId1"/>
        </xdr:cNvPr>
        <xdr:cNvPicPr/>
      </xdr:nvPicPr>
      <xdr:blipFill>
        <a:blip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/>
      </xdr:blipFill>
      <xdr:spPr>
        <a:xfrm>
          <a:off x="207000" y="0"/>
          <a:ext cx="935280" cy="945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207000</xdr:colOff>
      <xdr:row>0</xdr:row>
      <xdr:rowOff>0</xdr:rowOff>
    </xdr:from>
    <xdr:to>
      <xdr:col>1</xdr:col>
      <xdr:colOff>910440</xdr:colOff>
      <xdr:row>2</xdr:row>
      <xdr:rowOff>2880</xdr:rowOff>
    </xdr:to>
    <xdr:pic>
      <xdr:nvPicPr>
        <xdr:cNvPr id="120" name="Рисунок 1" descr="Презентация с линейчатой диаграммой">
          <a:hlinkClick r:id="rId1"/>
        </xdr:cNvPr>
        <xdr:cNvPicPr/>
      </xdr:nvPicPr>
      <xdr:blipFill>
        <a:blip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/>
      </xdr:blipFill>
      <xdr:spPr>
        <a:xfrm>
          <a:off x="207000" y="0"/>
          <a:ext cx="935280" cy="945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207000</xdr:colOff>
      <xdr:row>0</xdr:row>
      <xdr:rowOff>0</xdr:rowOff>
    </xdr:from>
    <xdr:to>
      <xdr:col>1</xdr:col>
      <xdr:colOff>910440</xdr:colOff>
      <xdr:row>2</xdr:row>
      <xdr:rowOff>2880</xdr:rowOff>
    </xdr:to>
    <xdr:pic>
      <xdr:nvPicPr>
        <xdr:cNvPr id="121" name="Рисунок 1" descr="Презентация с линейчатой диаграммой">
          <a:hlinkClick r:id="rId1"/>
        </xdr:cNvPr>
        <xdr:cNvPicPr/>
      </xdr:nvPicPr>
      <xdr:blipFill>
        <a:blip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/>
      </xdr:blipFill>
      <xdr:spPr>
        <a:xfrm>
          <a:off x="207000" y="0"/>
          <a:ext cx="935280" cy="945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207000</xdr:colOff>
      <xdr:row>0</xdr:row>
      <xdr:rowOff>0</xdr:rowOff>
    </xdr:from>
    <xdr:to>
      <xdr:col>1</xdr:col>
      <xdr:colOff>883800</xdr:colOff>
      <xdr:row>2</xdr:row>
      <xdr:rowOff>2880</xdr:rowOff>
    </xdr:to>
    <xdr:pic>
      <xdr:nvPicPr>
        <xdr:cNvPr id="122" name="Рисунок 1" descr="Презентация с линейчатой диаграммой">
          <a:hlinkClick r:id="rId1"/>
        </xdr:cNvPr>
        <xdr:cNvPicPr/>
      </xdr:nvPicPr>
      <xdr:blipFill>
        <a:blip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/>
      </xdr:blipFill>
      <xdr:spPr>
        <a:xfrm>
          <a:off x="207000" y="0"/>
          <a:ext cx="908640" cy="945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207000</xdr:colOff>
      <xdr:row>0</xdr:row>
      <xdr:rowOff>0</xdr:rowOff>
    </xdr:from>
    <xdr:to>
      <xdr:col>1</xdr:col>
      <xdr:colOff>895320</xdr:colOff>
      <xdr:row>2</xdr:row>
      <xdr:rowOff>2880</xdr:rowOff>
    </xdr:to>
    <xdr:pic>
      <xdr:nvPicPr>
        <xdr:cNvPr id="123" name="Рисунок 1" descr="Презентация с линейчатой диаграммой">
          <a:hlinkClick r:id="rId1"/>
        </xdr:cNvPr>
        <xdr:cNvPicPr/>
      </xdr:nvPicPr>
      <xdr:blipFill>
        <a:blip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/>
      </xdr:blipFill>
      <xdr:spPr>
        <a:xfrm>
          <a:off x="207000" y="0"/>
          <a:ext cx="920160" cy="945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207000</xdr:colOff>
      <xdr:row>0</xdr:row>
      <xdr:rowOff>0</xdr:rowOff>
    </xdr:from>
    <xdr:to>
      <xdr:col>1</xdr:col>
      <xdr:colOff>910440</xdr:colOff>
      <xdr:row>2</xdr:row>
      <xdr:rowOff>2880</xdr:rowOff>
    </xdr:to>
    <xdr:pic>
      <xdr:nvPicPr>
        <xdr:cNvPr id="124" name="Рисунок 1" descr="Презентация с линейчатой диаграммой">
          <a:hlinkClick r:id="rId1"/>
        </xdr:cNvPr>
        <xdr:cNvPicPr/>
      </xdr:nvPicPr>
      <xdr:blipFill>
        <a:blip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/>
      </xdr:blipFill>
      <xdr:spPr>
        <a:xfrm>
          <a:off x="207000" y="0"/>
          <a:ext cx="935280" cy="945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207000</xdr:colOff>
      <xdr:row>0</xdr:row>
      <xdr:rowOff>0</xdr:rowOff>
    </xdr:from>
    <xdr:to>
      <xdr:col>1</xdr:col>
      <xdr:colOff>910440</xdr:colOff>
      <xdr:row>2</xdr:row>
      <xdr:rowOff>2880</xdr:rowOff>
    </xdr:to>
    <xdr:pic>
      <xdr:nvPicPr>
        <xdr:cNvPr id="125" name="Рисунок 1" descr="Презентация с линейчатой диаграммой">
          <a:hlinkClick r:id="rId1"/>
        </xdr:cNvPr>
        <xdr:cNvPicPr/>
      </xdr:nvPicPr>
      <xdr:blipFill>
        <a:blip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/>
      </xdr:blipFill>
      <xdr:spPr>
        <a:xfrm>
          <a:off x="207000" y="0"/>
          <a:ext cx="935280" cy="945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459" createdVersion="3">
  <cacheSource type="worksheet">
    <worksheetSource ref="A1:T1460" sheet="Реестр уборки 2025"/>
  </cacheSource>
  <cacheFields count="20">
    <cacheField name="Документ" numFmtId="0">
      <sharedItems count="1459">
        <s v="Акт входного контроля грин00378 от 04.08.2025 22:18:48"/>
        <s v="Акт входного контроля грин00379 от 04.08.2025 22:27:59"/>
        <s v="Акт входного контроля грин00380 от 06.08.2025 7:01:36"/>
        <s v="Акт входного контроля грин00381 от 06.08.2025 8:07:43"/>
        <s v="Акт входного контроля грин00382 от 06.08.2025 20:23:18"/>
        <s v="Акт входного контроля грин00383 от 06.08.2025 21:42:54"/>
        <s v="Акт входного контроля грин00384 от 06.08.2025 22:58:36"/>
        <s v="Акт входного контроля грин00386 от 06.08.2025 23:58:43"/>
        <s v="Акт входного контроля грин00387 от 07.08.2025 1:23:56"/>
        <s v="Акт входного контроля грин00388 от 07.08.2025 1:53:17"/>
        <s v="Акт входного контроля грин00389 от 07.08.2025 11:36:49"/>
        <s v="Акт входного контроля грин00390 от 07.08.2025 11:44:02"/>
        <s v="Акт входного контроля грин00391 от 07.08.2025 12:04:12"/>
        <s v="Акт входного контроля грин00392 от 07.08.2025 15:44:29"/>
        <s v="Акт входного контроля грин00393 от 07.08.2025 17:44:38"/>
        <s v="Акт входного контроля грин00403 от 07.08.2025 13:56:29"/>
        <s v="Акт входного контроля грин00408 от 07.08.2025 8:49:49"/>
        <s v="Акт входного контроля грин00410 от 07.08.2025 18:42:33"/>
        <s v="Акт входного контроля грин00414 от 07.08.2025 15:57:19"/>
        <s v="Акт входного контроля грин00415 от 09.08.2025 2:46:36"/>
        <s v="Акт входного контроля грин00416 от 09.08.2025 3:15:05"/>
        <s v="Акт входного контроля грин00417 от 09.08.2025 5:06:02"/>
        <s v="Акт входного контроля грин00418 от 09.08.2025 5:12:29"/>
        <s v="Акт входного контроля грин00419 от 09.08.2025 6:03:04"/>
        <s v="Акт входного контроля грин00420 от 09.08.2025 7:46:16"/>
        <s v="Акт входного контроля грин00421 от 09.08.2025 9:40:15"/>
        <s v="Акт входного контроля грин00422 от 09.08.2025 12:04:58"/>
        <s v="Акт входного контроля грин00423 от 09.08.2025 12:10:08"/>
        <s v="Акт входного контроля грин00424 от 09.08.2025 22:58:46"/>
        <s v="Акт входного контроля грин00425 от 10.08.2025 0:42:08"/>
        <s v="Акт входного контроля грин00426 от 10.08.2025 1:15:28"/>
        <s v="Акт входного контроля грин00427 от 10.08.2025 1:48:02"/>
        <s v="Акт входного контроля грин00428 от 10.08.2025 2:36:55"/>
        <s v="Акт входного контроля грин00429 от 10.08.2025 3:04:21"/>
        <s v="Акт входного контроля грин00430 от 10.08.2025 4:45:27"/>
        <s v="Акт входного контроля грин00431 от 10.08.2025 7:22:41"/>
        <s v="Акт входного контроля грин00432 от 10.08.2025 8:14:27"/>
        <s v="Акт входного контроля грин00433 от 10.08.2025 8:23:23"/>
        <s v="Акт входного контроля грин00434 от 10.08.2025 9:36:56"/>
        <s v="Акт входного контроля грин00435 от 10.08.2025 10:24:17"/>
        <s v="Акт входного контроля грин00436 от 10.08.2025 11:13:43"/>
        <s v="Акт входного контроля грин00437 от 10.08.2025 14:44:22"/>
        <s v="Акт входного контроля грин00438 от 10.08.2025 15:31:15"/>
        <s v="Акт входного контроля грин00439 от 10.08.2025 19:19:50"/>
        <s v="Акт входного контроля грин00440 от 10.08.2025 19:27:42"/>
        <s v="Акт входного контроля грин00441 от 10.08.2025 21:28:02"/>
        <s v="Акт входного контроля грин00442 от 10.08.2025 21:32:08"/>
        <s v="Акт входного контроля грин00443 от 10.08.2025 22:19:30"/>
        <s v="Акт входного контроля грин00444 от 10.08.2025 23:59:44"/>
        <s v="Акт входного контроля грин00458 от 11.08.2025 0:05:24"/>
        <s v="Акт входного контроля грин00459 от 11.08.2025 13:46:41"/>
        <s v="Акт входного контроля грин00464 от 11.08.2025 15:00:00"/>
        <s v="Акт входного контроля грин00465 от 11.08.2025 16:45:30"/>
        <s v="Акт входного контроля грин00466 от 11.08.2025 17:20:39"/>
        <s v="Акт входного контроля грин00467 от 11.08.2025 21:41:55"/>
        <s v="Акт входного контроля грин00468 от 11.08.2025 21:42:45"/>
        <s v="Акт входного контроля грин00469 от 11.08.2025 6:39:34"/>
        <s v="Акт входного контроля грин00470 от 11.08.2025 9:18:42"/>
        <s v="Акт входного контроля грин00471 от 11.08.2025 9:38:43"/>
        <s v="Акт входного контроля грин00472 от 11.08.2025 12:01:58"/>
        <s v="Акт входного контроля грин00473 от 11.08.2025 22:12:42"/>
        <s v="Акт входного контроля грин00474 от 11.08.2025 22:21:40"/>
        <s v="Акт входного контроля грин00475 от 11.08.2025 23:38:08"/>
        <s v="Акт входного контроля грин00476 от 12.08.2025 8:01:27"/>
        <s v="Акт входного контроля грин00477 от 12.08.2025 8:50:59"/>
        <s v="Акт входного контроля грин00478 от 12.08.2025 10:29:46"/>
        <s v="Акт входного контроля грин00479 от 12.08.2025 13:36:25"/>
        <s v="Акт входного контроля грин00480 от 12.08.2025 15:19:54"/>
        <s v="Акт входного контроля грин00481 от 12.08.2025 15:28:31"/>
        <s v="Акт входного контроля грин00482 от 12.08.2025 17:11:05"/>
        <s v="Акт входного контроля грин00483 от 12.08.2025 17:23:55"/>
        <s v="Акт входного контроля грин00484 от 12.08.2025 19:43:10"/>
        <s v="Акт входного контроля грин00485 от 12.08.2025 21:06:26"/>
        <s v="Акт входного контроля грин00486 от 12.08.2025 18:26:42"/>
        <s v="Акт входного контроля грин00487 от 13.08.2025 9:26:46"/>
        <s v="Акт входного контроля грин00488 от 13.08.2025 9:40:22"/>
        <s v="Акт входного контроля грин00489 от 12.08.2025 18:34:46"/>
        <s v="Акт входного контроля грин00490 от 13.08.2025 9:35:31"/>
        <s v="Акт входного контроля грин00491 от 13.08.2025 9:39:40"/>
        <s v="Акт входного контроля грин00492 от 12.08.2025 22:19:00"/>
        <s v="Акт входного контроля грин00493 от 12.08.2025 22:13:38"/>
        <s v="Акт входного контроля грин00494 от 13.08.2025 13:29:34"/>
        <s v="Акт входного контроля грин00495 от 13.08.2025 14:56:34"/>
        <s v="Акт входного контроля грин00496 от 13.08.2025 15:42:46"/>
        <s v="Акт входного контроля грин00497 от 13.08.2025 15:58:21"/>
        <s v="Акт входного контроля грин00498 от 13.08.2025 16:12:41"/>
        <s v="Акт входного контроля грин00499 от 13.08.2025 16:26:39"/>
        <s v="Акт входного контроля грин00500 от 13.08.2025 17:17:38"/>
        <s v="Акт входного контроля грин00501 от 13.08.2025 18:32:20"/>
        <s v="Акт входного контроля грин00502 от 13.08.2025 19:00:49"/>
        <s v="Акт входного контроля грин00503 от 13.08.2025 21:13:02"/>
        <s v="Акт входного контроля грин00504 от 13.08.2025 21:35:13"/>
        <s v="Акт входного контроля грин00505 от 13.08.2025 19:27:06"/>
        <s v="Акт входного контроля грин00506 от 14.08.2025 0:18:30"/>
        <s v="Акт входного контроля грин00507 от 14.08.2025 0:25:58"/>
        <s v="Акт входного контроля грин00508 от 14.08.2025 9:10:58"/>
        <s v="Акт входного контроля грин00509 от 14.08.2025 9:17:18"/>
        <s v="Акт входного контроля грин00510 от 14.08.2025 7:27:51"/>
        <s v="Акт входного контроля грин00511 от 14.08.2025 7:59:14"/>
        <s v="Акт входного контроля грин00512 от 14.08.2025 8:03:32"/>
        <s v="Акт входного контроля грин00513 от 14.08.2025 8:28:20"/>
        <s v="Акт входного контроля грин00514 от 14.08.2025 8:40:39"/>
        <s v="Акт входного контроля грин00515 от 14.08.2025 10:03:35"/>
        <s v="Акт входного контроля грин00516 от 14.08.2025 11:12:38"/>
        <s v="Акт входного контроля грин00517 от 14.08.2025 12:15:56"/>
        <s v="Акт входного контроля грин00518 от 14.08.2025 15:49:32"/>
        <s v="Акт входного контроля грин00519 от 14.08.2025 15:56:26"/>
        <s v="Акт входного контроля грин00520 от 14.08.2025 16:50:06"/>
        <s v="Акт входного контроля грин00521 от 14.08.2025 20:43:47"/>
        <s v="Акт входного контроля грин00522 от 14.08.2025 23:32:47"/>
        <s v="Акт входного контроля грин00523 от 15.08.2025 1:27:24"/>
        <s v="Акт входного контроля грин00524 от 14.08.2025 22:02:43"/>
        <s v="Акт входного контроля грин00525 от 15.08.2025 4:31:46"/>
        <s v="Акт входного контроля грин00526 от 15.08.2025 5:18:26"/>
        <s v="Акт входного контроля грин00527 от 15.08.2025 13:40:57"/>
        <s v="Акт входного контроля грин00528 от 15.08.2025 13:57:45"/>
        <s v="Акт входного контроля грин00529 от 15.08.2025 14:09:13"/>
        <s v="Акт входного контроля грин00530 от 15.08.2025 6:27:33"/>
        <s v="Акт входного контроля грин00531 от 15.08.2025 17:22:11"/>
        <s v="Акт входного контроля грин00532 от 15.08.2025 7:23:47"/>
        <s v="Акт входного контроля грин00533 от 15.08.2025 6:13:19"/>
        <s v="Акт входного контроля грин00534 от 15.08.2025 7:37:06"/>
        <s v="Акт входного контроля грин00535 от 15.08.2025 7:45:10"/>
        <s v="Акт входного контроля грин00536 от 15.08.2025 17:33:17"/>
        <s v="Акт входного контроля грин00537 от 15.08.2025 17:55:37"/>
        <s v="Акт входного контроля грин00538 от 15.08.2025 18:05:41"/>
        <s v="Акт входного контроля грин00539 от 15.08.2025 18:01:08"/>
        <s v="Акт входного контроля грин00540 от 15.08.2025 20:31:52"/>
        <s v="Акт входного контроля грин00541 от 15.08.2025 22:23:59"/>
        <s v="Акт входного контроля грин00542 от 18.08.2025 9:03:32"/>
        <s v="Акт входного контроля грин00543 от 18.08.2025 11:17:35"/>
        <s v="Акт входного контроля грин00544 от 18.08.2025 13:32:09"/>
        <s v="Акт входного контроля грин00545 от 18.08.2025 14:33:05"/>
        <s v="Акт входного контроля грин00546 от 18.08.2025 15:43:26"/>
        <s v="Акт входного контроля грин00547 от 18.08.2025 15:54:51"/>
        <s v="Акт входного контроля грин00548 от 18.08.2025 17:32:38"/>
        <s v="Акт входного контроля грин00549 от 18.08.2025 17:46:22"/>
        <s v="Акт входного контроля грин00550 от 18.08.2025 18:56:16"/>
        <s v="Акт входного контроля грин00551 от 18.08.2025 19:14:18"/>
        <s v="Акт входного контроля грин00552 от 19.08.2025 16:43:50"/>
        <s v="Акт входного контроля грин00553 от 19.08.2025 10:18:09"/>
        <s v="Акт входного контроля грин00554 от 19.08.2025 11:31:10"/>
        <s v="Акт входного контроля грин00555 от 19.08.2025 16:46:13"/>
        <s v="Акт входного контроля грин00556 от 19.08.2025 16:46:32"/>
        <s v="Акт входного контроля грин00557 от 19.08.2025 16:46:59"/>
        <s v="Акт входного контроля грин00558 от 19.08.2025 16:50:57"/>
        <s v="Акт входного контроля грин00559 от 19.08.2025 18:05:42"/>
        <s v="Акт входного контроля грин00560 от 19.08.2025 19:42:02"/>
        <s v="Акт входного контроля грин00561 от 19.08.2025 19:51:57"/>
        <s v="Акт входного контроля грин00562 от 19.08.2025 21:01:39"/>
        <s v="Акт входного контроля грин00563 от 19.08.2025 22:09:05"/>
        <s v="Акт входного контроля грин00564 от 19.08.2025 23:05:02"/>
        <s v="Акт входного контроля грин00565 от 19.08.2025 23:09:45"/>
        <s v="Акт входного контроля грин00566 от 19.08.2025 23:53:18"/>
        <s v="Акт входного контроля грин00567 от 19.08.2025 21:31:42"/>
        <s v="Акт входного контроля грин00568 от 19.08.2025 21:36:46"/>
        <s v="Акт входного контроля грин00569 от 19.08.2025 22:28:29"/>
        <s v="Акт входного контроля грин00570 от 19.08.2025 22:33:02"/>
        <s v="Акт входного контроля грин00571 от 20.08.2025 6:01:59"/>
        <s v="Акт входного контроля грин00572 от 20.08.2025 7:56:41"/>
        <s v="Акт входного контроля грин00573 от 20.08.2025 9:14:53"/>
        <s v="Акт входного контроля грин00574 от 20.08.2025 12:20:45"/>
        <s v="Акт входного контроля грин00575 от 20.08.2025 12:35:28"/>
        <s v="Акт входного контроля грин00576 от 20.08.2025 12:46:45"/>
        <s v="Акт входного контроля грин00577 от 20.08.2025 12:57:55"/>
        <s v="Акт входного контроля грин00578 от 20.08.2025 14:48:17"/>
        <s v="Акт входного контроля грин00579 от 20.08.2025 15:02:45"/>
        <s v="Акт входного контроля грин00580 от 20.08.2025 15:18:12"/>
        <s v="Акт входного контроля грин00581 от 20.08.2025 16:14:23"/>
        <s v="Акт входного контроля грин00582 от 20.08.2025 18:46:13"/>
        <s v="Акт входного контроля грин00583 от 20.08.2025 18:56:30"/>
        <s v="Акт входного контроля грин00584 от 20.08.2025 20:29:57"/>
        <s v="Акт входного контроля грин00585 от 20.08.2025 21:05:16"/>
        <s v="Акт входного контроля грин00586 от 20.08.2025 22:31:13"/>
        <s v="Акт входного контроля грин00587 от 20.08.2025 23:51:22"/>
        <s v="Акт входного контроля грин00588 от 20.08.2025 19:17:27"/>
        <s v="Акт входного контроля грин00589 от 20.08.2025 21:58:30"/>
        <s v="Акт входного контроля грин00590 от 20.08.2025 22:06:09"/>
        <s v="Акт входного контроля грин00591 от 20.08.2025 22:35:17"/>
        <s v="Акт входного контроля грин00592 от 21.08.2025 5:09:04"/>
        <s v="Акт входного контроля грин00593 от 21.08.2025 5:44:11"/>
        <s v="Акт входного контроля грин00594 от 21.08.2025 8:23:07"/>
        <s v="Акт входного контроля грин00595 от 21.08.2025 10:52:35"/>
        <s v="Акт входного контроля грин00596 от 21.08.2025 11:04:26"/>
        <s v="Акт входного контроля грин00597 от 21.08.2025 11:16:49"/>
        <s v="Акт входного контроля грин00598 от 21.08.2025 11:49:03"/>
        <s v="Акт входного контроля грин00599 от 21.08.2025 12:31:10"/>
        <s v="Акт входного контроля грин00600 от 21.08.2025 13:16:07"/>
        <s v="Акт входного контроля грин00601 от 21.08.2025 14:04:36"/>
        <s v="Акт входного контроля грин00602 от 21.08.2025 15:25:00"/>
        <s v="Акт входного контроля грин00603 от 21.08.2025 15:54:22"/>
        <s v="Акт входного контроля грин00604 от 21.08.2025 17:06:17"/>
        <s v="Акт входного контроля грин00605 от 21.08.2025 17:51:39"/>
        <s v="Акт входного контроля грин00606 от 21.08.2025 18:42:25"/>
        <s v="Акт входного контроля грин00607 от 21.08.2025 21:52:33"/>
        <s v="Акт входного контроля грин00608 от 21.08.2025 22:10:39"/>
        <s v="Акт входного контроля грин00609 от 21.08.2025 22:21:59"/>
        <s v="Акт входного контроля грин00610 от 21.08.2025 22:32:47"/>
        <s v="Акт входного контроля грин00611 от 22.08.2025 21:12:22"/>
        <s v="Акт входного контроля грин00612 от 22.08.2025 21:29:03"/>
        <s v="Акт входного контроля грин00613 от 22.08.2025 23:02:10"/>
        <s v="Акт входного контроля грин00614 от 22.08.2025 23:05:07"/>
        <s v="Акт входного контроля грин00615 от 22.08.2025 23:38:19"/>
        <s v="Акт входного контроля грин00616 от 22.08.2025 22:13:02"/>
        <s v="Акт входного контроля грин00617 от 22.08.2025 22:17:17"/>
        <s v="Акт входного контроля грин00618 от 23.08.2025 2:16:04"/>
        <s v="Акт входного контроля грин00619 от 23.08.2025 2:59:54"/>
        <s v="Акт входного контроля грин00620 от 23.08.2025 3:52:05"/>
        <s v="Акт входного контроля грин00621 от 23.08.2025 5:32:17"/>
        <s v="Акт входного контроля грин00622 от 23.08.2025 5:35:18"/>
        <s v="Акт входного контроля грин00623 от 23.08.2025 6:12:45"/>
        <s v="Акт входного контроля грин00624 от 23.08.2025 9:35:13"/>
        <s v="Акт входного контроля грин00625 от 23.08.2025 11:26:19"/>
        <s v="Акт входного контроля грин00626 от 23.08.2025 13:33:56"/>
        <s v="Акт входного контроля грин00627 от 23.08.2025 13:55:58"/>
        <s v="Акт входного контроля грин00628 от 23.08.2025 14:05:06"/>
        <s v="Акт входного контроля грин00629 от 23.08.2025 16:19:59"/>
        <s v="Акт входного контроля грин00630 от 23.08.2025 16:51:49"/>
        <s v="Акт входного контроля грин00631 от 23.08.2025 17:27:25"/>
        <s v="Акт входного контроля грин00632 от 23.08.2025 19:36:02"/>
        <s v="Акт входного контроля грин00633 от 23.08.2025 15:40:14"/>
        <s v="Акт входного контроля грин00634 от 23.08.2025 23:50:49"/>
        <s v="Акт входного контроля грин00635 от 23.08.2025 18:50:14"/>
        <s v="Акт входного контроля грин00636 от 23.08.2025 18:53:44"/>
        <s v="Акт входного контроля грин00637 от 23.08.2025 18:58:00"/>
        <s v="Акт входного контроля грин00638 от 23.08.2025 19:02:01"/>
        <s v="Акт входного контроля грин00639 от 23.08.2025 21:04:59"/>
        <s v="Акт входного контроля грин00640 от 23.08.2025 21:11:18"/>
        <s v="Акт входного контроля грин00641 от 23.08.2025 21:36:03"/>
        <s v="Акт входного контроля грин00642 от 23.08.2025 22:02:24"/>
        <s v="Акт входного контроля грин00643 от 23.08.2025 22:33:01"/>
        <s v="Акт входного контроля грин00644 от 23.08.2025 23:57:16"/>
        <s v="Акт входного контроля грин00645 от 24.08.2025 12:12:54"/>
        <s v="Акт входного контроля грин00646 от 24.08.2025 12:49:38"/>
        <s v="Акт входного контроля грин00647 от 24.08.2025 13:03:07"/>
        <s v="Акт входного контроля грин00648 от 24.08.2025 13:27:55"/>
        <s v="Акт входного контроля грин00649 от 24.08.2025 14:47:55"/>
        <s v="Акт входного контроля грин00650 от 24.08.2025 15:44:25"/>
        <s v="Акт входного контроля грин00651 от 24.08.2025 16:41:17"/>
        <s v="Акт входного контроля грин00652 от 24.08.2025 18:25:01"/>
        <s v="Акт входного контроля грин00653 от 24.08.2025 21:34:26"/>
        <s v="Акт входного контроля грин00654 от 24.08.2025 22:02:36"/>
        <s v="Акт входного контроля грин00655 от 24.08.2025 20:24:53"/>
        <s v="Акт входного контроля грин00656 от 24.08.2025 20:31:59"/>
        <s v="Акт входного контроля грин00657 от 24.08.2025 20:36:15"/>
        <s v="Акт входного контроля грин00658 от 24.08.2025 22:31:36"/>
        <s v="Акт входного контроля грин00659 от 24.08.2025 22:36:38"/>
        <s v="Акт входного контроля грин00660 от 25.08.2025 11:34:16"/>
        <s v="Акт входного контроля грин00661 от 25.08.2025 11:34:21"/>
        <s v="Акт входного контроля грин00662 от 25.08.2025 11:34:26"/>
        <s v="Акт входного контроля грин00663 от 25.08.2025 11:34:29"/>
        <s v="Акт входного контроля грин00664 от 25.08.2025 11:34:33"/>
        <s v="Акт входного контроля грин00665 от 25.08.2025 11:34:40"/>
        <s v="Акт входного контроля грин00667 от 25.08.2025 19:28:45"/>
        <s v="Акт входного контроля грин00668 от 25.08.2025 20:52:41"/>
        <s v="Акт входного контроля грин00669 от 25.08.2025 21:41:49"/>
        <s v="Акт входного контроля грин00670 от 25.08.2025 22:49:14"/>
        <s v="Акт входного контроля грин00671 от 25.08.2025 22:55:45"/>
        <s v="Акт входного контроля грин00672 от 26.08.2025 11:13:37"/>
        <s v="Акт входного контроля грин00673 от 26.08.2025 11:13:40"/>
        <s v="Акт входного контроля грин00674 от 26.08.2025 11:13:43"/>
        <s v="Акт входного контроля грин00675 от 26.08.2025 3:21:23"/>
        <s v="Акт входного контроля грин00676 от 26.08.2025 3:25:15"/>
        <s v="Акт входного контроля грин00677 от 26.08.2025 4:47:32"/>
        <s v="Акт входного контроля грин00678 от 26.08.2025 5:15:04"/>
        <s v="Акт входного контроля грин00679 от 26.08.2025 5:53:07"/>
        <s v="Акт входного контроля грин00680 от 26.08.2025 7:23:49"/>
        <s v="Акт входного контроля грин00681 от 26.08.2025 8:50:39"/>
        <s v="Акт входного контроля грин00682 от 26.08.2025 8:56:24"/>
        <s v="Акт входного контроля грин00683 от 26.08.2025 9:07:16"/>
        <s v="Акт входного контроля грин00684 от 26.08.2025 10:35:10"/>
        <s v="Акт входного контроля грин00685 от 26.08.2025 10:47:40"/>
        <s v="Акт входного контроля грин00686 от 26.08.2025 13:06:15"/>
        <s v="Акт входного контроля грин00687 от 26.08.2025 15:49:25"/>
        <s v="Акт входного контроля грин00688 от 26.08.2025 16:02:12"/>
        <s v="Акт входного контроля грин00689 от 26.08.2025 17:46:20"/>
        <s v="Акт входного контроля грин00690 от 26.08.2025 17:50:48"/>
        <s v="Акт входного контроля грин00691 от 26.08.2025 18:55:18"/>
        <s v="Акт входного контроля грин00692 от 26.08.2025 20:54:31"/>
        <s v="Акт входного контроля грин00693 от 26.08.2025 21:05:42"/>
        <s v="Акт входного контроля грин00694 от 26.08.2025 22:06:33"/>
        <s v="Акт входного контроля грин00695 от 26.08.2025 22:11:31"/>
        <s v="Акт входного контроля грин00696 от 26.08.2025 22:42:57"/>
        <s v="Акт входного контроля грин00697 от 26.08.2025 23:06:49"/>
        <s v="Акт входного контроля грин00698 от 26.08.2025 23:25:46"/>
        <s v="Акт входного контроля грин00699 от 27.08.2025 11:10:28"/>
        <s v="Акт входного контроля грин00700 от 27.08.2025 11:14:55"/>
        <s v="Акт входного контроля грин00701 от 27.08.2025 11:44:17"/>
        <s v="Акт входного контроля грин00702 от 27.08.2025 13:22:04"/>
        <s v="Акт входного контроля грин00703 от 27.08.2025 13:57:37"/>
        <s v="Акт входного контроля грин00704 от 27.08.2025 15:33:52"/>
        <s v="Акт входного контроля грин00705 от 27.08.2025 15:55:46"/>
        <s v="Акт входного контроля грин00706 от 27.08.2025 18:35:19"/>
        <s v="Акт входного контроля грин00707 от 27.08.2025 18:44:08"/>
        <s v="Акт входного контроля грин00708 от 27.08.2025 18:47:06"/>
        <s v="Акт входного контроля грин00709 от 27.08.2025 19:01:25"/>
        <s v="Акт входного контроля грин00710 от 27.08.2025 16:29:20"/>
        <s v="Акт входного контроля грин00711 от 27.08.2025 16:32:49"/>
        <s v="Акт входного контроля грин00712 от 27.08.2025 17:26:06"/>
        <s v="Акт входного контроля грин00713 от 27.08.2025 19:15:31"/>
        <s v="Акт входного контроля грин00714 от 27.08.2025 20:03:47"/>
        <s v="Акт входного контроля грин00715 от 27.08.2025 20:09:56"/>
        <s v="Акт входного контроля грин00716 от 27.08.2025 20:45:29"/>
        <s v="Акт входного контроля грин00717 от 27.08.2025 20:48:31"/>
        <s v="Акт входного контроля грин00718 от 27.08.2025 22:03:08"/>
        <s v="Акт входного контроля грин00719 от 27.08.2025 22:08:23"/>
        <s v="Акт входного контроля грин00720 от 27.08.2025 22:57:38"/>
        <s v="Акт входного контроля грин00721 от 27.08.2025 23:12:55"/>
        <s v="Акт входного контроля грин00722 от 27.08.2025 23:30:39"/>
        <s v="Акт входного контроля грин00723 от 28.08.2025 9:32:43"/>
        <s v="Акт входного контроля грин00724 от 28.08.2025 9:44:48"/>
        <s v="Акт входного контроля грин00725 от 28.08.2025 11:02:43"/>
        <s v="Акт входного контроля грин00726 от 28.08.2025 11:21:14"/>
        <s v="Акт входного контроля грин00727 от 28.08.2025 11:41:25"/>
        <s v="Акт входного контроля грин00728 от 28.08.2025 13:10:54"/>
        <s v="Акт входного контроля грин00729 от 28.08.2025 13:27:59"/>
        <s v="Акт входного контроля грин00730 от 28.08.2025 13:39:23"/>
        <s v="Акт входного контроля грин00731 от 28.08.2025 15:08:13"/>
        <s v="Акт входного контроля грин00732 от 28.08.2025 15:20:42"/>
        <s v="Акт входного контроля грин00733 от 28.08.2025 17:26:29"/>
        <s v="Акт входного контроля грин00734 от 28.08.2025 17:34:51"/>
        <s v="Акт входного контроля грин00735 от 28.08.2025 19:52:49"/>
        <s v="Акт входного контроля грин00736 от 28.08.2025 21:13:09"/>
        <s v="Акт входного контроля грин00737 от 28.08.2025 21:17:14"/>
        <s v="Акт входного контроля грин00738 от 28.08.2025 22:34:56"/>
        <s v="Акт входного контроля грин00739 от 28.08.2025 23:35:33"/>
        <s v="Акт входного контроля грин00740 от 28.08.2025 20:23:38"/>
        <s v="Акт входного контроля грин00741 от 28.08.2025 20:51:29"/>
        <s v="Акт входного контроля грин00742 от 28.08.2025 21:08:01"/>
        <s v="Акт входного контроля грин00743 от 28.08.2025 21:17:05"/>
        <s v="Акт входного контроля грин00744 от 28.08.2025 21:53:38"/>
        <s v="Акт входного контроля грин00745 от 28.08.2025 22:44:32"/>
        <s v="Акт входного контроля грин00746 от 29.08.2025 8:06:45"/>
        <s v="Акт входного контроля грин00747 от 29.08.2025 9:24:57"/>
        <s v="Акт входного контроля грин00748 от 29.08.2025 11:03:03"/>
        <s v="Акт входного контроля грин00749 от 29.08.2025 11:15:52"/>
        <s v="Акт входного контроля грин00750 от 29.08.2025 11:26:40"/>
        <s v="Акт входного контроля грин00751 от 29.08.2025 11:38:52"/>
        <s v="Акт входного контроля грин00752 от 29.08.2025 12:31:33"/>
        <s v="Акт входного контроля грин00753 от 29.08.2025 14:13:54"/>
        <s v="Акт входного контроля грин00754 от 29.08.2025 14:28:42"/>
        <s v="Акт входного контроля грин00755 от 29.08.2025 15:55:47"/>
        <s v="Акт входного контроля грин00756 от 29.08.2025 16:04:24"/>
        <s v="Акт входного контроля грин00757 от 29.08.2025 19:28:55"/>
        <s v="Акт входного контроля грин00758 от 29.08.2025 19:47:32"/>
        <s v="Акт входного контроля грин00759 от 29.08.2025 22:01:41"/>
        <s v="Акт входного контроля грин00760 от 29.08.2025 23:09:54"/>
        <s v="Акт входного контроля грин00761 от 29.08.2025 23:37:47"/>
        <s v="Акт входного контроля грин00762 от 29.08.2025 20:38:29"/>
        <s v="Акт входного контроля грин00763 от 29.08.2025 22:25:02"/>
        <s v="Акт входного контроля грин00764 от 29.08.2025 22:29:59"/>
        <s v="Акт входного контроля грин00765 от 30.08.2025 1:53:01"/>
        <s v="Акт входного контроля грин00766 от 30.08.2025 2:44:40"/>
        <s v="Акт входного контроля грин00767 от 30.08.2025 2:58:09"/>
        <s v="Акт входного контроля грин00768 от 30.08.2025 5:20:19"/>
        <s v="Акт входного контроля грин00769 от 30.08.2025 6:29:05"/>
        <s v="Акт входного контроля грин00770 от 30.08.2025 7:07:15"/>
        <s v="Акт входного контроля грин00771 от 30.08.2025 9:15:46"/>
        <s v="Акт входного контроля грин00772 от 30.08.2025 9:15:15"/>
        <s v="Акт входного контроля грин00773 от 30.08.2025 10:06:15"/>
        <s v="Акт входного контроля грин00774 от 30.08.2025 10:52:59"/>
        <s v="Акт входного контроля грин00775 от 30.08.2025 11:58:56"/>
        <s v="Акт входного контроля грин00776 от 30.08.2025 12:40:43"/>
        <s v="Акт входного контроля грин00777 от 30.08.2025 16:50:48"/>
        <s v="Акт входного контроля грин00778 от 30.08.2025 17:39:30"/>
        <s v="Акт входного контроля грин00779 от 30.08.2025 19:04:33"/>
        <s v="Акт входного контроля грин00780 от 30.08.2025 21:32:32"/>
        <s v="Акт входного контроля грин00781 от 30.08.2025 21:57:24"/>
        <s v="Акт входного контроля грин00782 от 31.08.2025 1:06:05"/>
        <s v="Акт входного контроля грин00783 от 30.08.2025 23:59:07"/>
        <s v="Акт входного контроля грин00784 от 31.08.2025 2:32:39"/>
        <s v="Акт входного контроля грин00785 от 31.08.2025 4:38:32"/>
        <s v="Акт входного контроля грин00786 от 31.08.2025 5:48:45"/>
        <s v="Акт входного контроля грин00787 от 31.08.2025 7:58:52"/>
        <s v="Акт входного контроля грин00788 от 31.08.2025 8:12:31"/>
        <s v="Акт входного контроля грин00789 от 31.08.2025 10:20:39"/>
        <s v="Акт входного контроля грин00790 от 31.08.2025 10:25:22"/>
        <s v="Акт входного контроля грин00791 от 31.08.2025 11:59:09"/>
        <s v="Акт входного контроля грин00792 от 31.08.2025 12:02:30"/>
        <s v="Акт входного контроля грин00793 от 31.08.2025 12:44:03"/>
        <s v="Акт входного контроля грин00794 от 31.08.2025 13:38:02"/>
        <s v="Акт входного контроля грин00795 от 31.08.2025 16:04:55"/>
        <s v="Акт входного контроля грин00796 от 31.08.2025 16:09:55"/>
        <s v="Акт входного контроля грин00797 от 31.08.2025 17:55:02"/>
        <s v="Акт входного контроля грин00798 от 31.08.2025 17:57:34"/>
        <s v="Акт входного контроля грин00799 от 31.08.2025 19:48:40"/>
        <s v="Акт входного контроля грин00800 от 31.08.2025 19:56:33"/>
        <s v="Акт входного контроля грин00801 от 31.08.2025 22:05:17"/>
        <s v="Акт входного контроля грин00802 от 31.08.2025 22:21:44"/>
        <s v="Акт входного контроля грин00803 от 31.08.2025 23:02:32"/>
        <s v="Акт входного контроля грин00804 от 31.08.2025 22:45:34"/>
        <s v="Акт входного контроля грин00805 от 31.08.2025 23:42:10"/>
        <s v="Акт входного контроля грин00806 от 01.09.2025 1:54:18"/>
        <s v="Акт входного контроля грин00807 от 01.09.2025 3:29:16"/>
        <s v="Акт входного контроля грин00808 от 01.09.2025 4:16:48"/>
        <s v="Акт входного контроля грин00809 от 01.09.2025 4:58:06"/>
        <s v="Акт входного контроля грин00810 от 01.09.2025 5:53:17"/>
        <s v="Акт входного контроля грин00811 от 01.09.2025 5:55:45"/>
        <s v="Акт входного контроля грин00812 от 01.09.2025 6:35:49"/>
        <s v="Акт входного контроля грин00836 от 05.09.2025 12:05:31"/>
        <s v="Акт входного контроля грин00837 от 05.09.2025 12:08:14"/>
        <s v="Акт входного контроля грин00838 от 05.09.2025 13:14:15"/>
        <s v="Акт входного контроля грин00839 от 05.09.2025 13:16:00"/>
        <s v="Акт входного контроля грин00840 от 05.09.2025 13:17:54"/>
        <s v="Акт входного контроля грин00841 от 05.09.2025 13:19:55"/>
        <s v="Акт входного контроля грин00842 от 05.09.2025 10:44:56"/>
        <s v="Акт входного контроля грин00843 от 05.09.2025 10:57:55"/>
        <s v="Акт входного контроля грин00844 от 05.09.2025 11:08:43"/>
        <s v="Акт входного контроля грин00845 от 03.09.2025 14:11:55"/>
        <s v="Акт входного контроля грин00846 от 05.09.2025 13:31:41"/>
        <s v="Акт входного контроля грин00847 от 03.09.2025 15:49:19"/>
        <s v="Акт входного контроля грин00848 от 03.09.2025 18:09:21"/>
        <s v="Акт входного контроля грин00849 от 03.09.2025 19:29:01"/>
        <s v="Акт входного контроля грин00850 от 03.09.2025 19:40:00"/>
        <s v="Акт входного контроля грин00851 от 03.09.2025 21:03:02"/>
        <s v="Акт входного контроля грин00852 от 03.09.2025 21:24:37"/>
        <s v="Акт входного контроля грин00853 от 04.09.2025 13:14:00"/>
        <s v="Акт входного контроля грин00854 от 03.09.2025 23:57:43"/>
        <s v="Акт входного контроля грин00855 от 04.09.2025 13:05:04"/>
        <s v="Акт входного контроля грин00856 от 04.09.2025 12:45:56"/>
        <s v="Акт входного контроля грин00857 от 04.09.2025 0:05:15"/>
        <s v="Акт входного контроля грин00858 от 04.09.2025 3:03:01"/>
        <s v="Акт входного контроля грин00859 от 04.09.2025 2:01:22"/>
        <s v="Акт входного контроля грин00860 от 04.09.2025 1:08:02"/>
        <s v="Акт входного контроля грин00861 от 05.09.2025 15:34:38"/>
        <s v="Акт входного контроля грин00862 от 05.09.2025 15:47:46"/>
        <s v="Акт входного контроля грин00863 от 05.09.2025 16:27:00"/>
        <s v="Акт входного контроля грин00864 от 05.09.2025 16:34:37"/>
        <s v="Акт входного контроля грин00865 от 05.09.2025 19:24:39"/>
        <s v="Акт входного контроля грин00866 от 05.09.2025 19:53:31"/>
        <s v="Акт входного контроля грин00867 от 05.09.2025 20:52:11"/>
        <s v="Акт входного контроля грин00868 от 05.09.2025 20:55:19"/>
        <s v="Акт входного контроля грин00869 от 05.09.2025 22:20:20"/>
        <s v="Акт входного контроля грин00870 от 05.09.2025 22:23:37"/>
        <s v="Акт входного контроля грин00871 от 05.09.2025 18:40:57"/>
        <s v="Акт входного контроля грин00872 от 05.09.2025 21:14:27"/>
        <s v="Акт входного контроля грин00873 от 05.09.2025 22:43:00"/>
        <s v="Акт входного контроля грин00874 от 05.09.2025 17:07:03"/>
        <s v="Акт входного контроля грин00875 от 05.09.2025 22:51:52"/>
        <s v="Акт входного контроля грин00877 от 07.09.2025 23:35:20"/>
        <s v="Акт входного контроля грин00878 от 07.09.2025 22:46:16"/>
        <s v="Акт входного контроля грин00879 от 07.09.2025 23:45:10"/>
        <s v="Акт входного контроля грин00880 от 08.09.2025 13:40:07"/>
        <s v="Акт входного контроля грин00881 от 08.09.2025 13:42:28"/>
        <s v="Акт входного контроля грин00882 от 08.09.2025 13:44:48"/>
        <s v="Акт входного контроля грин00883 от 08.09.2025 13:47:58"/>
        <s v="Акт входного контроля грин00884 от 08.09.2025 13:51:51"/>
        <s v="Акт входного контроля грин00885 от 08.09.2025 13:54:02"/>
        <s v="Акт входного контроля грин00886 от 08.09.2025 13:56:44"/>
        <s v="Акт входного контроля грин00887 от 08.09.2025 13:59:35"/>
        <s v="Акт входного контроля грин00888 от 08.09.2025 8:39:56"/>
        <s v="Акт входного контроля грин00890 от 08.09.2025 14:20:49"/>
        <s v="Акт входного контроля грин00891 от 08.09.2025 14:30:13"/>
        <s v="Акт входного контроля грин00892 от 08.09.2025 14:33:07"/>
        <s v="Акт входного контроля грин00893 от 08.09.2025 16:42:28"/>
        <s v="Акт входного контроля грин00894 от 08.09.2025 16:46:29"/>
        <s v="Акт входного контроля грин00895 от 08.09.2025 18:18:47"/>
        <s v="Акт входного контроля грин00896 от 08.09.2025 18:21:17"/>
        <s v="Акт входного контроля грин00897 от 08.09.2025 19:53:32"/>
        <s v="Акт входного контроля грин00898 от 08.09.2025 20:58:20"/>
        <s v="Акт входного контроля грин00899 от 08.09.2025 21:19:25"/>
        <s v="Акт входного контроля грин00900 от 08.09.2025 21:40:14"/>
        <s v="Акт входного контроля грин00901 от 08.09.2025 22:46:42"/>
        <s v="Акт входного контроля грин00902 от 08.09.2025 20:00:20"/>
        <s v="Акт входного контроля грин00903 от 08.09.2025 20:04:48"/>
        <s v="Акт входного контроля грин00904 от 08.09.2025 20:10:24"/>
        <s v="Акт входного контроля грин00905 от 08.09.2025 22:28:46"/>
        <s v="Акт входного контроля грин00906 от 08.09.2025 22:56:24"/>
        <s v="Акт входного контроля грин00907 от 08.09.2025 23:01:17"/>
        <s v="Акт входного контроля грин00908 от 08.09.2025 23:06:31"/>
        <s v="Акт входного контроля грин00909 от 09.09.2025 7:01:55"/>
        <s v="Акт входного контроля грин00910 от 09.09.2025 9:55:46"/>
        <s v="Акт входного контроля грин00911 от 09.09.2025 10:10:12"/>
        <s v="Акт входного контроля грин00912 от 09.09.2025 10:19:45"/>
        <s v="Акт входного контроля грин00913 от 09.09.2025 11:28:28"/>
        <s v="Акт входного контроля грин00914 от 09.09.2025 13:34:02"/>
        <s v="Акт входного контроля грин00915 от 09.09.2025 14:12:32"/>
        <s v="Акт входного контроля грин00916 от 09.09.2025 15:45:11"/>
        <s v="Акт входного контроля грин00917 от 09.09.2025 17:00:45"/>
        <s v="Акт входного контроля грин00918 от 09.09.2025 19:55:21"/>
        <s v="Акт входного контроля грин00919 от 09.09.2025 20:00:39"/>
        <s v="Акт входного контроля грин00920 от 09.09.2025 20:36:58"/>
        <s v="Акт входного контроля грин00921 от 09.09.2025 21:16:09"/>
        <s v="Акт входного контроля грин00922 от 09.09.2025 12:20:34"/>
        <s v="Акт входного контроля грин00923 от 09.09.2025 12:28:33"/>
        <s v="Акт входного контроля грин00924 от 09.09.2025 18:15:14"/>
        <s v="Акт входного контроля грин00925 от 09.09.2025 18:45:33"/>
        <s v="Акт входного контроля грин00926 от 09.09.2025 18:49:44"/>
        <s v="Акт входного контроля грин00927 от 09.09.2025 20:05:03"/>
        <s v="Акт входного контроля грин00928 от 09.09.2025 20:39:39"/>
        <s v="Акт входного контроля грин00929 от 09.09.2025 20:44:23"/>
        <s v="Акт входного контроля грин00930 от 09.09.2025 23:28:56"/>
        <s v="Акт входного контроля грин00931 от 12.09.2025 2:08:38"/>
        <s v="Акт входного контроля грин00932 от 12.09.2025 5:51:17"/>
        <s v="Акт входного контроля грин00933 от 12.09.2025 6:14:02"/>
        <s v="Акт входного контроля грин00934 от 12.09.2025 6:38:27"/>
        <s v="Акт входного контроля грин00935 от 12.09.2025 13:21:37"/>
        <s v="Акт входного контроля грин00936 от 12.09.2025 13:50:20"/>
        <s v="Акт входного контроля грин00937 от 12.09.2025 13:59:49"/>
        <s v="Акт входного контроля грин00938 от 12.09.2025 14:35:23"/>
        <s v="Акт входного контроля грин00939 от 12.09.2025 14:53:35"/>
        <s v="Акт входного контроля грин00940 от 12.09.2025 19:29:06"/>
        <s v="Акт входного контроля грин00941 от 12.09.2025 19:36:48"/>
        <s v="Акт входного контроля грин00942 от 12.09.2025 21:28:30"/>
        <s v="Акт входного контроля грин00943 от 12.09.2025 22:14:07"/>
        <s v="Акт входного контроля грин00944 от 12.09.2025 22:55:30"/>
        <s v="Акт входного контроля грин00945 от 12.09.2025 23:36:16"/>
        <s v="Акт входного контроля грин00946 от 12.09.2025 8:29:00"/>
        <s v="Акт входного контроля грин00947 от 12.09.2025 16:24:39"/>
        <s v="Акт входного контроля грин00948 от 12.09.2025 17:18:27"/>
        <s v="Акт входного контроля грин00949 от 12.09.2025 18:08:22"/>
        <s v="Акт входного контроля грин00950 от 12.09.2025 18:12:17"/>
        <s v="Акт входного контроля грин00951 от 12.09.2025 18:49:05"/>
        <s v="Акт входного контроля грин00952 от 12.09.2025 19:48:32"/>
        <s v="Акт входного контроля грин00953 от 12.09.2025 20:48:31"/>
        <s v="Акт входного контроля грин00956 от 12.09.2025 23:11:27"/>
        <s v="Акт входного контроля грин00969 от 13.09.2025 0:41:21"/>
        <s v="Акт входного контроля грин00971 от 13.09.2025 16:09:09"/>
        <s v="Акт входного контроля грин00972 от 13.09.2025 16:14:06"/>
        <s v="Акт входного контроля грин00986 от 13.09.2025 16:42:31"/>
        <s v="Акт входного контроля грин01014 от 13.09.2025 17:20:59"/>
        <s v="Акт входного контроля грин01017 от 13.09.2025 19:47:38"/>
        <s v="Акт входного контроля грин01018 от 13.09.2025 21:42:26"/>
        <s v="Акт входного контроля грин01019 от 13.09.2025 21:46:43"/>
        <s v="Акт входного контроля грин01020 от 13.09.2025 21:49:13"/>
        <s v="Акт входного контроля грин01021 от 13.09.2025 13:25:44"/>
        <s v="Акт входного контроля грин01022 от 13.09.2025 13:44:15"/>
        <s v="Акт входного контроля грин01023 от 13.09.2025 13:53:25"/>
        <s v="Акт входного контроля грин01024 от 13.09.2025 16:21:20"/>
        <s v="Акт входного контроля грин01025 от 13.09.2025 16:26:10"/>
        <s v="Акт входного контроля грин01026 от 14.09.2025 4:42:19"/>
        <s v="Акт входного контроля грин01027 от 13.09.2025 17:49:42"/>
        <s v="Акт входного контроля грин01028 от 13.09.2025 18:39:22"/>
        <s v="Акт входного контроля грин01029 от 13.09.2025 21:00:48"/>
        <s v="Акт входного контроля грин01030 от 14.09.2025 11:28:34"/>
        <s v="Акт входного контроля грин01031 от 14.09.2025 13:54:12"/>
        <s v="Акт входного контроля грин01032 от 14.09.2025 14:06:53"/>
        <s v="Акт входного контроля грин01033 от 14.09.2025 15:06:51"/>
        <s v="Акт входного контроля грин01034 от 14.09.2025 17:59:10"/>
        <s v="Акт входного контроля грин01035 от 14.09.2025 18:14:50"/>
        <s v="Акт входного контроля грин01036 от 14.09.2025 18:59:16"/>
        <s v="Акт входного контроля грин01037 от 14.09.2025 21:05:13"/>
        <s v="Акт входного контроля грин01038 от 14.09.2025 21:14:12"/>
        <s v="Акт входного контроля грин01039 от 14.09.2025 7:32:33"/>
        <s v="Акт входного контроля грин01040 от 14.09.2025 6:42:16"/>
        <s v="Акт входного контроля грин01041 от 14.09.2025 10:02:51"/>
        <s v="Акт входного контроля грин01042 от 14.09.2025 10:08:58"/>
        <s v="Акт входного контроля грин01043 от 14.09.2025 12:18:54"/>
        <s v="Акт входного контроля грин01044 от 14.09.2025 12:49:25"/>
        <s v="Акт входного контроля грин01045 от 14.09.2025 12:53:29"/>
        <s v="Акт входного контроля грин01046 от 14.09.2025 15:55:33"/>
        <s v="Акт входного контроля грин01047 от 14.09.2025 19:09:14"/>
        <s v="Акт входного контроля грин01048 от 14.09.2025 19:14:57"/>
        <s v="Акт входного контроля грин01049 от 14.09.2025 22:45:19"/>
        <s v="Акт входного контроля грин01050 от 14.09.2025 23:40:53"/>
        <s v="Акт входного контроля грин01051 от 15.09.2025 19:04:08"/>
        <s v="Акт входного контроля грин01052 от 15.09.2025 20:30:01"/>
        <s v="Акт входного контроля грин01053 от 15.09.2025 22:43:46"/>
        <s v="Акт входного контроля грин01054 от 15.09.2025 22:56:15"/>
        <s v="Акт входного контроля грин01055 от 15.09.2025 22:02:22"/>
        <s v="Акт входного контроля грин01056 от 15.09.2025 5:20:13"/>
        <s v="Акт входного контроля грин01057 от 15.09.2025 5:24:33"/>
        <s v="Акт входного контроля грин01058 от 15.09.2025 5:50:55"/>
        <s v="Акт входного контроля грин01059 от 15.09.2025 7:52:55"/>
        <s v="Акт входного контроля грин01060 от 15.09.2025 8:46:39"/>
        <s v="Акт входного контроля грин01061 от 15.09.2025 10:17:24"/>
        <s v="Акт входного контроля грин01062 от 15.09.2025 10:21:18"/>
        <s v="Акт входного контроля грин01063 от 15.09.2025 12:00:35"/>
        <s v="Акт входного контроля грин01064 от 15.09.2025 12:40:25"/>
        <s v="Акт входного контроля грин01065 от 15.09.2025 14:52:17"/>
        <s v="Акт входного контроля грин01066 от 15.09.2025 20:44:50"/>
        <s v="Акт входного контроля грин01067 от 16.09.2025 15:02:36"/>
        <s v="Акт входного контроля грин01068 от 16.09.2025 20:03:02"/>
        <s v="Акт входного контроля грин01069 от 16.09.2025 22:37:50"/>
        <s v="Акт входного контроля грин01070 от 17.09.2025 3:26:23"/>
        <s v="Акт входного контроля грин01071 от 17.09.2025 5:27:19"/>
        <s v="Акт входного контроля грин01072 от 17.09.2025 6:51:28"/>
        <s v="Акт входного контроля грин01073 от 17.09.2025 11:25:09"/>
        <s v="Акт входного контроля грин01074 от 17.09.2025 13:23:36"/>
        <s v="Акт входного контроля грин01075 от 17.09.2025 15:31:56"/>
        <s v="Акт входного контроля грин01076 от 17.09.2025 15:57:28"/>
        <s v="Акт входного контроля грин01077 от 17.09.2025 16:42:14"/>
        <s v="Акт входного контроля грин01078 от 17.09.2025 18:33:27"/>
        <s v="Акт входного контроля грин01079 от 17.09.2025 22:25:50"/>
        <s v="Акт входного контроля грин01080 от 17.09.2025 22:30:06"/>
        <s v="Акт входного контроля грин01081 от 17.09.2025 23:28:55"/>
        <s v="Акт входного контроля грин01082 от 18.09.2025 1:18:19"/>
        <s v="Акт входного контроля грин01083 от 18.09.2025 4:30:01"/>
        <s v="Акт входного контроля грин01084 от 18.09.2025 6:22:14"/>
        <s v="Акт входного контроля грин01085 от 18.09.2025 6:26:37"/>
        <s v="Акт входного контроля грин01086 от 18.09.2025 10:47:19"/>
        <s v="Акт входного контроля грин01087 от 18.09.2025 10:58:07"/>
        <s v="Акт входного контроля грин01088 от 18.09.2025 11:09:54"/>
        <s v="Акт входного контроля грин01089 от 18.09.2025 14:15:07"/>
        <s v="Акт входного контроля грин01090 от 18.09.2025 14:35:56"/>
        <s v="Акт входного контроля грин01091 от 18.09.2025 14:42:17"/>
        <s v="Акт входного контроля грин01092 от 18.09.2025 14:50:52"/>
        <s v="Акт входного контроля грин01093 от 18.09.2025 15:20:48"/>
        <s v="Акт входного контроля грин01094 от 18.09.2025 17:37:30"/>
        <s v="Акт входного контроля грин01095 от 18.09.2025 18:07:25"/>
        <s v="Акт входного контроля грин01096 от 18.09.2025 20:48:26"/>
        <s v="Акт входного контроля грин01097 от 18.09.2025 21:00:33"/>
        <s v="Акт входного контроля грин01098 от 18.09.2025 23:10:36"/>
        <s v="Акт входного контроля грин01099 от 18.09.2025 23:19:24"/>
        <s v="Акт входного контроля грин01100 от 18.09.2025 23:34:44"/>
        <s v="Акт входного контроля грин01101 от 18.09.2025 22:18:23"/>
        <s v="Акт входного контроля грин01102 от 18.09.2025 23:45:26"/>
        <s v="Акт входного контроля грин01103 от 18.09.2025 23:50:19"/>
        <s v="Акт входного контроля грин01104 от 18.09.2025 23:59:24"/>
        <s v="Акт входного контроля грин01105 от 19.09.2025 4:35:35"/>
        <s v="Акт входного контроля грин01106 от 19.09.2025 5:44:03"/>
        <s v="Акт входного контроля грин01107 от 19.09.2025 7:31:44"/>
        <s v="Акт входного контроля грин01108 от 19.09.2025 8:43:27"/>
        <s v="Акт входного контроля грин01109 от 19.09.2025 10:29:07"/>
        <s v="Акт входного контроля грин01110 от 19.09.2025 11:21:25"/>
        <s v="Акт входного контроля грин01111 от 19.09.2025 12:11:28"/>
        <s v="Акт входного контроля грин01112 от 19.09.2025 13:34:25"/>
        <s v="Акт входного контроля грин01113 от 19.09.2025 14:04:51"/>
        <s v="Акт входного контроля грин01114 от 19.09.2025 15:16:50"/>
        <s v="Акт входного контроля грин01115 от 19.09.2025 16:23:41"/>
        <s v="Акт входного контроля грин01116 от 19.09.2025 17:49:00"/>
        <s v="Акт входного контроля грин01117 от 19.09.2025 18:19:40"/>
        <s v="Акт входного контроля грин01118 от 19.09.2025 19:17:39"/>
        <s v="Акт входного контроля грин01119 от 19.09.2025 22:10:53"/>
        <s v="Акт входного контроля грин01120 от 19.09.2025 22:58:41"/>
        <s v="Акт входного контроля грин01121 от 19.09.2025 23:15:41"/>
        <s v="Акт входного контроля грин01122 от 19.09.2025 23:37:23"/>
        <s v="Акт входного контроля грин01123 от 19.09.2025 22:19:34"/>
        <s v="Акт входного контроля грин01125 от 20.09.2025 2:45:21"/>
        <s v="Акт входного контроля грин01126 от 20.09.2025 3:50:19"/>
        <s v="Акт входного контроля грин01127 от 20.09.2025 4:19:30"/>
        <s v="Акт входного контроля грин01128 от 20.09.2025 6:38:23"/>
        <s v="Акт входного контроля грин01129 от 20.09.2025 8:42:19"/>
        <s v="Акт входного контроля грин01130 от 20.09.2025 10:50:10"/>
        <s v="Акт входного контроля грин01131 от 20.09.2025 10:52:49"/>
        <s v="Акт входного контроля грин01132 от 20.09.2025 14:25:26"/>
        <s v="Акт входного контроля грин01133 от 20.09.2025 14:28:22"/>
        <s v="Акт входного контроля грин01134 от 20.09.2025 16:43:00"/>
        <s v="Акт входного контроля грин01135 от 20.09.2025 17:24:32"/>
        <s v="Акт входного контроля грин01136 от 20.09.2025 19:31:56"/>
        <s v="Акт входного контроля грин01137 от 20.09.2025 19:37:51"/>
        <s v="Акт входного контроля грин01138 от 20.09.2025 21:07:15"/>
        <s v="Акт входного контроля грин01139 от 20.09.2025 22:23:42"/>
        <s v="Акт входного контроля грин01140 от 20.09.2025 23:01:31"/>
        <s v="Акт входного контроля грин01141 от 20.09.2025 20:26:20"/>
        <s v="Акт входного контроля грин01142 от 21.09.2025 17:57:38"/>
        <s v="Акт входного контроля грин01143 от 21.09.2025 18:05:20"/>
        <s v="Акт входного контроля грин01144 от 21.09.2025 19:33:31"/>
        <s v="Акт входного контроля грин01145 от 21.09.2025 18:12:15"/>
        <s v="Акт входного контроля грин01146 от 21.09.2025 18:20:52"/>
        <s v="Акт входного контроля грин01147 от 25.09.2025 12:08:39"/>
        <s v="Акт входного контроля грин01148 от 25.09.2025 13:35:02"/>
        <s v="Акт входного контроля грин01149 от 25.09.2025 14:01:17"/>
        <s v="Акт входного контроля грин01150 от 25.09.2025 14:15:19"/>
        <s v="Акт входного контроля грин01151 от 25.09.2025 14:37:47"/>
        <s v="Акт входного контроля грин01152 от 25.09.2025 14:53:18"/>
        <s v="Акт входного контроля грин01153 от 25.09.2025 15:25:08"/>
        <s v="Акт входного контроля грин01154 от 25.09.2025 16:35:29"/>
        <s v="Акт входного контроля грин01155 от 25.09.2025 17:35:19"/>
        <s v="Акт входного контроля грин01156 от 25.09.2025 18:02:37"/>
        <s v="Акт входного контроля грин01157 от 25.09.2025 18:34:58"/>
        <s v="Акт входного контроля грин01158 от 25.09.2025 20:09:10"/>
        <s v="Акт входного контроля грин01159 от 25.09.2025 21:11:34"/>
        <s v="Акт входного контроля грин01160 от 25.09.2025 22:12:11"/>
        <s v="Акт входного контроля грин01161 от 25.09.2025 22:32:09"/>
        <s v="Акт входного контроля грин01162 от 25.09.2025 23:47:12"/>
        <s v="Акт входного контроля грин01163 от 25.09.2025 22:39:16"/>
        <s v="Акт входного контроля грин01164 от 25.09.2025 23:18:37"/>
        <s v="Акт входного контроля грин01165 от 25.09.2025 23:58:01"/>
        <s v="Акт входного контроля грин01166 от 26.09.2025 5:28:16"/>
        <s v="Акт входного контроля грин01167 от 26.09.2025 5:54:57"/>
        <s v="Акт входного контроля грин01168 от 26.09.2025 11:39:26"/>
        <s v="Акт входного контроля грин01169 от 26.09.2025 12:28:58"/>
        <s v="Акт входного контроля грин01170 от 26.09.2025 13:28:58"/>
        <s v="Акт входного контроля грин01171 от 26.09.2025 14:31:52"/>
        <s v="Акт входного контроля грин01172 от 26.09.2025 14:36:20"/>
        <s v="Акт входного контроля грин01173 от 26.09.2025 15:56:28"/>
        <s v="Акт входного контроля грин01174 от 26.09.2025 16:23:16"/>
        <s v="Акт входного контроля грин01175 от 26.09.2025 17:15:05"/>
        <s v="Акт входного контроля грин01176 от 26.09.2025 17:55:06"/>
        <s v="Акт входного контроля грин01177 от 26.09.2025 18:30:12"/>
        <s v="Акт входного контроля грин01178 от 26.09.2025 17:51:16"/>
        <s v="Акт входного контроля грин01179 от 26.09.2025 18:31:22"/>
        <s v="Акт входного контроля грин01180 от 26.09.2025 19:07:51"/>
        <s v="Акт входного контроля грин01181 от 26.09.2025 19:55:12"/>
        <s v="Акт входного контроля грин01182 от 26.09.2025 21:28:24"/>
        <s v="Акт входного контроля грин01183 от 26.09.2025 22:08:35"/>
        <s v="Акт входного контроля грин01184 от 26.09.2025 22:54:46"/>
        <s v="Акт входного контроля грин01185 от 27.09.2025 12:04:01"/>
        <s v="Акт входного контроля грин01186 от 27.09.2025 13:16:51"/>
        <s v="Акт входного контроля грин01187 от 27.09.2025 13:21:04"/>
        <s v="Акт входного контроля грин01188 от 27.09.2025 13:24:01"/>
        <s v="Акт входного контроля грин01189 от 27.09.2025 13:26:36"/>
        <s v="Акт входного контроля грин01190 от 27.09.2025 13:30:14"/>
        <s v="Акт входного контроля грин01191 от 27.09.2025 13:32:31"/>
        <s v="Акт входного контроля грин01192 от 27.09.2025 13:43:30"/>
        <s v="Акт входного контроля грин01193 от 27.09.2025 13:46:43"/>
        <s v="Акт входного контроля грин01194 от 27.09.2025 13:51:10"/>
        <s v="Акт входного контроля грин01195 от 27.09.2025 13:54:52"/>
        <s v="Акт входного контроля грин01196 от 27.09.2025 13:57:42"/>
        <s v="Акт входного контроля грин01197 от 27.09.2025 15:11:42"/>
        <s v="Акт входного контроля грин01198 от 27.09.2025 16:47:46"/>
        <s v="Акт входного контроля грин01199 от 27.09.2025 16:50:16"/>
        <s v="Акт входного контроля грин01200 от 27.09.2025 17:00:32"/>
        <s v="Акт входного контроля грин01201 от 27.09.2025 19:20:05"/>
        <s v="Акт входного контроля грин01202 от 27.09.2025 19:23:02"/>
        <s v="Акт входного контроля грин01203 от 27.09.2025 19:53:02"/>
        <s v="Акт входного контроля грин01204 от 27.09.2025 20:48:44"/>
        <s v="Акт входного контроля грин01205 от 27.09.2025 22:21:58"/>
        <s v="Акт входного контроля грин01206 от 27.09.2025 23:51:07"/>
        <s v="Акт входного контроля грин01207 от 27.09.2025 21:45:29"/>
        <s v="Акт входного контроля грин01208 от 27.09.2025 22:27:09"/>
        <s v="Акт входного контроля грин01209 от 27.09.2025 23:23:00"/>
        <s v="Акт входного контроля грин01210 от 28.09.2025 2:31:37"/>
        <s v="Акт входного контроля грин01211 от 28.09.2025 3:24:14"/>
        <s v="Акт входного контроля грин01212 от 27.09.2025 19:57:36"/>
        <s v="Акт входного контроля грин01213 от 29.09.2025 9:54:24"/>
        <s v="Акт входного контроля грин01214 от 29.09.2025 12:48:48"/>
        <s v="Акт входного контроля грин01215 от 29.09.2025 13:02:32"/>
        <s v="Акт входного контроля грин01216 от 29.09.2025 14:24:26"/>
        <s v="Акт входного контроля грин01217 от 28.09.2025 2:46:17"/>
        <s v="Акт входного контроля грин01218 от 28.09.2025 3:30:52"/>
        <s v="Акт входного контроля грин01219 от 29.09.2025 16:15:53"/>
        <s v="Акт входного контроля грин01220 от 28.09.2025 4:16:43"/>
        <s v="Акт входного контроля грин01221 от 28.09.2025 4:41:17"/>
        <s v="Акт входного контроля грин01222 от 28.09.2025 5:56:01"/>
        <s v="Акт входного контроля грин01223 от 28.09.2025 22:53:42"/>
        <s v="Акт входного контроля грин01224 от 28.09.2025 6:47:49"/>
        <s v="Акт входного контроля грин01225 от 28.09.2025 8:30:02"/>
        <s v="Акт входного контроля грин01226 от 28.09.2025 21:57:58"/>
        <s v="Акт входного контроля грин01227 от 28.09.2025 9:39:55"/>
        <s v="Акт входного контроля грин01228 от 28.09.2025 20:48:20"/>
        <s v="Акт входного контроля грин01229 от 28.09.2025 10:58:59"/>
        <s v="Акт входного контроля грин01230 от 28.09.2025 11:41:19"/>
        <s v="Акт входного контроля грин01231 от 28.09.2025 19:42:20"/>
        <s v="Акт входного контроля грин01232 от 28.09.2025 12:56:16"/>
        <s v="Акт входного контроля грин01233 от 28.09.2025 18:45:04"/>
        <s v="Акт входного контроля грин01234 от 28.09.2025 14:16:13"/>
        <s v="Акт входного контроля грин01235 от 28.09.2025 15:00:53"/>
        <s v="Акт входного контроля грин01236 от 28.09.2025 17:26:37"/>
        <s v="Акт входного контроля грин01237 от 28.09.2025 15:50:02"/>
        <s v="Акт входного контроля грин01238 от 28.09.2025 16:40:34"/>
        <s v="Акт входного контроля грин01239 от 29.09.2025 18:39:52"/>
        <s v="Акт входного контроля грин01240 от 29.09.2025 18:50:40"/>
        <s v="Акт входного контроля грин01241 от 29.09.2025 23:27:18"/>
        <s v="Акт входного контроля грин01242 от 29.09.2025 23:30:25"/>
        <s v="Акт входного контроля грин01243 от 29.09.2025 19:06:10"/>
        <s v="Акт входного контроля грин01244 от 29.09.2025 20:26:40"/>
        <s v="Акт входного контроля грин01245 от 29.09.2025 21:11:51"/>
        <s v="Акт входного контроля грин01246 от 29.09.2025 21:17:06"/>
        <s v="Акт входного контроля грин01247 от 01.10.2025 11:14:49"/>
        <s v="Акт входного контроля грин01248 от 01.10.2025 11:53:06"/>
        <s v="Акт входного контроля грин01249 от 01.10.2025 14:54:49"/>
        <s v="Акт входного контроля грин01250 от 01.10.2025 15:25:15"/>
        <s v="Акт входного контроля грин01251 от 01.10.2025 16:30:29"/>
        <s v="Акт входного контроля грин01252 от 01.10.2025 18:01:14"/>
        <s v="Акт входного контроля грин01253 от 01.10.2025 19:34:44"/>
        <s v="Акт входного контроля грин01254 от 01.10.2025 19:39:47"/>
        <s v="Акт входного контроля грин01255 от 01.10.2025 20:45:18"/>
        <s v="Акт входного контроля грин01256 от 01.10.2025 21:51:04"/>
        <s v="Акт входного контроля грин01257 от 01.10.2025 23:23:32"/>
        <s v="Акт входного контроля грин01258 от 01.10.2025 21:32:04"/>
        <s v="Акт входного контроля грин01259 от 01.10.2025 22:47:35"/>
        <s v="Акт входного контроля грин01260 от 01.10.2025 23:45:52"/>
        <s v="Акт входного контроля грин01261 от 01.10.2025 23:49:37"/>
        <s v="Акт входного контроля грин01262 от 02.10.2025 4:24:57"/>
        <s v="Акт входного контроля грин01263 от 02.10.2025 5:21:45"/>
        <s v="Акт входного контроля грин01264 от 02.10.2025 6:17:09"/>
        <s v="Акт входного контроля грин01265 от 02.10.2025 8:10:34"/>
        <s v="Акт входного контроля грин01266 от 02.10.2025 9:07:48"/>
        <s v="Акт входного контроля грин01267 от 01.10.2025 22:35:07"/>
        <s v="Акт входного контроля грин01268 от 02.10.2025 10:26:47"/>
        <s v="Акт входного контроля грин01269 от 02.10.2025 13:00:34"/>
        <s v="Акт входного контроля грин01270 от 02.10.2025 13:03:29"/>
        <s v="Акт входного контроля грин01271 от 02.10.2025 16:57:38"/>
        <s v="Акт входного контроля грин01272 от 02.10.2025 17:00:40"/>
        <s v="Акт входного контроля грин01273 от 02.10.2025 17:07:38"/>
        <s v="Акт входного контроля грин01274 от 02.10.2025 19:40:43"/>
        <s v="Акт входного контроля грин01275 от 02.10.2025 19:47:44"/>
        <s v="Акт входного контроля грин01276 от 02.10.2025 20:36:51"/>
        <s v="Акт входного контроля грин01277 от 02.10.2025 21:46:10"/>
        <s v="Акт входного контроля грин01278 от 02.10.2025 22:35:27"/>
        <s v="Акт входного контроля грин01279 от 02.10.2025 23:50:02"/>
        <s v="Акт входного контроля грин01280 от 02.10.2025 18:30:45"/>
        <s v="Акт входного контроля грин01281 от 02.10.2025 18:34:17"/>
        <s v="Акт входного контроля грин01282 от 02.10.2025 19:23:51"/>
        <s v="Акт входного контроля грин01283 от 02.10.2025 20:01:07"/>
        <s v="Акт входного контроля грин01284 от 02.10.2025 21:01:36"/>
        <s v="Акт входного контроля грин01285 от 02.10.2025 21:05:59"/>
        <s v="Акт входного контроля грин01286 от 02.10.2025 22:50:02"/>
        <s v="Акт входного контроля грин01287 от 02.10.2025 23:14:13"/>
        <s v="Акт входного контроля грин01288 от 02.10.2025 23:30:41"/>
        <s v="Акт входного контроля грин01289 от 03.10.2025 12:42:02"/>
        <s v="Акт входного контроля грин01290 от 03.10.2025 13:45:42"/>
        <s v="Акт входного контроля грин01291 от 03.10.2025 14:25:43"/>
        <s v="Акт входного контроля грин01292 от 03.10.2025 15:08:31"/>
        <s v="Акт входного контроля грин01293 от 03.10.2025 16:35:57"/>
        <s v="Акт входного контроля грин01294 от 03.10.2025 16:56:37"/>
        <s v="Акт входного контроля грин01295 от 03.10.2025 18:07:21"/>
        <s v="Акт входного контроля грин01296 от 03.10.2025 23:13:19"/>
        <s v="Акт входного контроля грин01297 от 03.10.2025 23:16:30"/>
        <s v="Акт входного контроля грин01298 от 03.10.2025 23:19:06"/>
        <s v="Акт входного контроля грин01299 от 03.10.2025 23:32:57"/>
        <s v="Акт входного контроля грин01300 от 03.10.2025 18:36:37"/>
        <s v="Акт входного контроля грин01301 от 03.10.2025 19:13:56"/>
        <s v="Акт входного контроля грин01302 от 03.10.2025 20:16:05"/>
        <s v="Акт входного контроля грин01303 от 03.10.2025 21:09:37"/>
        <s v="Акт входного контроля грин01304 от 03.10.2025 22:43:00"/>
        <s v="Акт входного контроля грин01305 от 03.10.2025 21:36:57"/>
        <s v="Акт входного контроля грин01306 от 04.10.2025 8:13:44"/>
        <s v="Акт входного контроля грин01307 от 04.10.2025 4:09:19"/>
        <s v="Акт входного контроля грин01308 от 04.10.2025 4:15:21"/>
        <s v="Акт входного контроля грин01309 от 04.10.2025 4:37:07"/>
        <s v="Акт входного контроля грин01310 от 04.10.2025 4:41:37"/>
        <s v="Акт входного контроля грин01311 от 04.10.2025 5:25:32"/>
        <s v="Акт входного контроля грин01312 от 04.10.2025 8:42:04"/>
        <s v="Акт входного контроля грин01313 от 04.10.2025 8:45:54"/>
        <s v="Акт входного контроля грин01314 от 04.10.2025 9:53:17"/>
        <s v="Акт входного контроля грин01315 от 04.10.2025 9:42:27"/>
        <s v="Акт входного контроля грин01316 от 04.10.2025 14:58:27"/>
        <s v="Акт входного контроля грин01317 от 04.10.2025 16:28:34"/>
        <s v="Акт входного контроля грин01318 от 04.10.2025 16:55:55"/>
        <s v="Акт входного контроля грин01319 от 04.10.2025 17:13:29"/>
        <s v="Акт входного контроля грин01320 от 04.10.2025 19:19:10"/>
        <s v="Акт входного контроля грин01321 от 04.10.2025 19:24:05"/>
        <s v="Акт входного контроля грин01322 от 04.10.2025 20:40:52"/>
        <s v="Акт входного контроля грин01323 от 04.10.2025 21:49:17"/>
        <s v="Акт входного контроля грин01324 от 04.10.2025 21:59:13"/>
        <s v="Акт входного контроля грин01325 от 05.10.2025 0:35:37"/>
        <s v="Акт входного контроля грин01326 от 05.10.2025 0:40:34"/>
        <s v="Акт входного контроля грин01327 от 05.10.2025 2:12:46"/>
        <s v="Акт входного контроля грин01328 от 05.10.2025 2:17:13"/>
        <s v="Акт входного контроля грин01329 от 05.10.2025 3:47:28"/>
        <s v="Акт входного контроля грин01330 от 05.10.2025 12:02:53"/>
        <s v="Акт входного контроля грин01331 от 05.10.2025 7:00:03"/>
        <s v="Акт входного контроля грин01332 от 05.10.2025 8:39:04"/>
        <s v="Акт входного контроля грин01333 от 05.10.2025 8:34:05"/>
        <s v="Акт входного контроля грин01334 от 05.10.2025 8:51:12"/>
        <s v="Акт входного контроля грин01335 от 05.10.2025 9:20:30"/>
        <s v="Акт входного контроля грин01336 от 05.10.2025 13:31:49"/>
        <s v="Акт входного контроля грин01337 от 05.10.2025 14:38:05"/>
        <s v="Акт входного контроля грин01338 от 05.10.2025 16:01:15"/>
        <s v="Акт входного контроля грин01339 от 05.10.2025 20:21:34"/>
        <s v="Акт входного контроля грин01340 от 05.10.2025 16:45:18"/>
        <s v="Акт входного контроля грин01341 от 05.10.2025 18:44:48"/>
        <s v="Акт входного контроля грин01342 от 05.10.2025 18:51:35"/>
        <s v="Акт входного контроля грин01343 от 05.10.2025 19:24:10"/>
        <s v="Акт входного контроля грин01344 от 05.10.2025 20:11:46"/>
        <s v="Акт входного контроля грин01345 от 05.10.2025 20:16:43"/>
        <s v="Акт входного контроля грин01346 от 06.10.2025 11:36:57"/>
        <s v="Акт входного контроля грин01347 от 05.10.2025 23:24:29"/>
        <s v="Акт входного контроля грин01348 от 05.10.2025 22:04:06"/>
        <s v="Акт входного контроля грин01349 от 06.10.2025 13:27:02"/>
        <s v="Акт входного контроля грин01350 от 06.10.2025 14:30:46"/>
        <s v="Акт входного контроля грин01351 от 06.10.2025 14:51:55"/>
        <s v="Акт входного контроля грин01352 от 06.10.2025 15:57:16"/>
        <s v="Акт входного контроля грин01353 от 06.10.2025 18:10:13"/>
        <s v="Акт входного контроля грин01354 от 06.10.2025 18:13:30"/>
        <s v="Акт входного контроля грин01355 от 06.10.2025 19:14:05"/>
        <s v="Акт входного контроля грин01356 от 06.10.2025 20:29:30"/>
        <s v="Акт входного контроля грин01357 от 06.10.2025 21:15:07"/>
        <s v="Акт входного контроля грин01358 от 06.10.2025 22:39:23"/>
        <s v="Акт входного контроля грин01359 от 06.10.2025 23:46:15"/>
        <s v="Акт входного контроля грин01360 от 06.10.2025 17:25:25"/>
        <s v="Акт входного контроля грин01361 от 06.10.2025 18:27:31"/>
        <s v="Акт входного контроля грин01362 от 06.10.2025 19:43:47"/>
        <s v="Акт входного контроля грин01363 от 06.10.2025 23:09:37"/>
        <s v="Акт входного контроля грин01364 от 06.10.2025 23:13:08"/>
        <s v="Акт входного контроля грин01365 от 07.10.2025 4:16:14"/>
        <s v="Акт входного контроля грин01366 от 07.10.2025 5:08:23"/>
        <s v="Акт входного контроля грин01367 от 07.10.2025 6:41:28"/>
        <s v="Акт входного контроля грин01368 от 07.10.2025 6:52:30"/>
        <s v="Акт входного контроля грин01369 от 07.10.2025 9:29:45"/>
        <s v="Акт входного контроля грин01370 от 07.10.2025 9:52:54"/>
        <s v="Акт входного контроля грин01371 от 07.10.2025 14:35:19"/>
        <s v="Акт входного контроля грин01372 от 07.10.2025 14:45:19"/>
        <s v="Акт входного контроля грин01373 от 07.10.2025 15:33:10"/>
        <s v="Акт входного контроля грин01374 от 07.10.2025 17:50:09"/>
        <s v="Акт входного контроля грин01375 от 07.10.2025 17:55:49"/>
        <s v="Акт входного контроля грин01376 от 07.10.2025 18:29:24"/>
        <s v="Акт входного контроля грин01377 от 07.10.2025 19:26:08"/>
        <s v="Акт входного контроля грин01378 от 07.10.2025 21:16:58"/>
        <s v="Акт входного контроля грин01379 от 07.10.2025 21:20:37"/>
        <s v="Акт входного контроля грин01380 от 07.10.2025 21:31:07"/>
        <s v="Акт входного контроля грин01381 от 07.10.2025 19:37:43"/>
        <s v="Акт входного контроля грин01382 от 07.10.2025 19:44:53"/>
        <s v="Акт входного контроля грин01383 от 07.10.2025 20:30:53"/>
        <s v="Акт входного контроля грин01384 от 07.10.2025 22:37:49"/>
        <s v="Акт входного контроля грин01385 от 07.10.2025 23:36:27"/>
        <s v="Акт входного контроля грин01386 от 08.10.2025 3:22:19"/>
        <s v="Акт входного контроля грин01387 от 08.10.2025 4:11:08"/>
        <s v="Акт входного контроля грин01388 от 08.10.2025 7:36:28"/>
        <s v="Акт входного контроля грин01389 от 08.10.2025 9:59:03"/>
        <s v="Акт входного контроля грин01390 от 08.10.2025 10:27:38"/>
        <s v="Акт входного контроля грин01391 от 08.10.2025 10:58:04"/>
        <s v="Акт входного контроля грин01392 от 08.10.2025 11:51:19"/>
        <s v="Акт входного контроля грин01393 от 08.10.2025 12:47:02"/>
        <s v="Акт входного контроля грин01394 от 08.10.2025 14:40:29"/>
        <s v="Акт входного контроля грин01395 от 08.10.2025 15:29:42"/>
        <s v="Акт входного контроля грин01396 от 08.10.2025 16:00:59"/>
        <s v="Акт входного контроля грин01405 от 08.10.2025 17:05:44"/>
        <s v="Акт входного контроля грин01410 от 08.10.2025 19:14:07"/>
        <s v="Акт входного контроля грин01411 от 08.10.2025 19:42:20"/>
        <s v="Акт входного контроля грин01412 от 08.10.2025 20:27:33"/>
        <s v="Акт входного контроля грин01413 от 08.10.2025 21:43:58"/>
        <s v="Акт входного контроля грин01414 от 08.10.2025 16:32:49"/>
        <s v="Акт входного контроля грин01415 от 08.10.2025 17:28:26"/>
        <s v="Акт входного контроля грин01416 от 08.10.2025 18:16:13"/>
        <s v="Акт входного контроля грин01417 от 08.10.2025 19:23:07"/>
        <s v="Акт входного контроля грин01418 от 08.10.2025 19:29:37"/>
        <s v="Акт входного контроля грин01419 от 08.10.2025 19:47:42"/>
        <s v="Акт входного контроля грин01420 от 08.10.2025 21:19:21"/>
        <s v="Акт входного контроля грин01421 от 08.10.2025 22:36:34"/>
        <s v="Акт входного контроля грин01422 от 08.10.2025 22:48:35"/>
        <s v="Акт входного контроля грин01423 от 08.10.2025 22:53:19"/>
        <s v="Акт входного контроля грин01424 от 08.10.2025 22:56:17"/>
        <s v="Акт входного контроля грин01425 от 08.10.2025 22:59:03"/>
        <s v="Акт входного контроля грин01434 от 09.10.2025 9:10:33"/>
        <s v="Акт входного контроля грин01435 от 09.10.2025 9:56:01"/>
        <s v="Акт входного контроля грин01440 от 09.10.2025 11:03:32"/>
        <s v="Акт входного контроля грин01441 от 09.10.2025 11:38:03"/>
        <s v="Акт входного контроля грин01442 от 09.10.2025 13:12:04"/>
        <s v="Акт входного контроля грин01443 от 09.10.2025 14:10:19"/>
        <s v="Акт входного контроля грин01444 от 09.10.2025 14:55:20"/>
        <s v="Акт входного контроля грин01445 от 09.10.2025 16:10:16"/>
        <s v="Акт входного контроля грин01446 от 09.10.2025 16:37:14"/>
        <s v="Акт входного контроля грин01447 от 09.10.2025 17:32:21"/>
        <s v="Акт входного контроля грин01448 от 09.10.2025 18:17:25"/>
        <s v="Акт входного контроля грин01449 от 09.10.2025 21:40:32"/>
        <s v="Акт входного контроля грин01450 от 09.10.2025 21:49:49"/>
        <s v="Акт входного контроля грин01451 от 09.10.2025 22:57:47"/>
        <s v="Акт входного контроля грин01452 от 09.10.2025 23:05:56"/>
        <s v="Акт входного контроля грин01453 от 09.10.2025 23:21:19"/>
        <s v="Акт входного контроля грин01454 от 09.10.2025 23:33:07"/>
        <s v="Акт входного контроля грин01455 от 10.10.2025 3:52:14"/>
        <s v="Акт входного контроля грин01456 от 10.10.2025 4:31:15"/>
        <s v="Акт входного контроля грин01457 от 10.10.2025 5:27:49"/>
        <s v="Акт входного контроля грин01458 от 10.10.2025 7:32:29"/>
        <s v="Акт входного контроля грин01459 от 10.10.2025 9:05:22"/>
        <s v="Акт входного контроля грин01460 от 10.10.2025 10:16:49"/>
        <s v="Акт входного контроля грин01461 от 10.10.2025 11:00:57"/>
        <s v="Акт входного контроля грин01462 от 10.10.2025 11:42:01"/>
        <s v="Акт входного контроля грин01463 от 10.10.2025 13:37:36"/>
        <s v="Акт входного контроля грин01464 от 10.10.2025 13:45:45"/>
        <s v="Акт входного контроля грин01465 от 10.10.2025 14:58:57"/>
        <s v="Акт входного контроля грин01466 от 10.10.2025 15:10:26"/>
        <s v="Акт входного контроля грин01467 от 10.10.2025 16:52:07"/>
        <s v="Акт входного контроля грин01468 от 10.10.2025 17:48:37"/>
        <s v="Акт входного контроля грин01469 от 10.10.2025 19:46:13"/>
        <s v="Акт входного контроля грин01470 от 10.10.2025 19:54:05"/>
        <s v="Акт входного контроля грин01471 от 10.10.2025 20:35:52"/>
        <s v="Акт входного контроля грин01472 от 10.10.2025 22:17:12"/>
        <s v="Акт входного контроля грин01473 от 10.10.2025 23:06:45"/>
        <s v="Акт входного контроля грин01474 от 10.10.2025 23:35:47"/>
        <s v="Акт входного контроля грин01475 от 11.10.2025 2:32:39"/>
        <s v="Акт входного контроля грин01476 от 11.10.2025 3:03:45"/>
        <s v="Акт входного контроля грин01477 от 11.10.2025 4:10:57"/>
        <s v="Акт входного контроля грин01478 от 11.10.2025 10:23:13"/>
        <s v="Акт входного контроля грин01479 от 11.10.2025 10:52:36"/>
        <s v="Акт входного контроля грин01480 от 11.10.2025 11:13:41"/>
        <s v="Акт входного контроля грин01481 от 11.10.2025 13:30:48"/>
        <s v="Акт входного контроля грин01482 от 11.10.2025 13:40:43"/>
        <s v="Акт входного контроля грин01483 от 11.10.2025 14:40:21"/>
        <s v="Акт входного контроля грин01484 от 11.10.2025 15:55:32"/>
        <s v="Акт входного контроля грин01485 от 11.10.2025 16:26:24"/>
        <s v="Акт входного контроля грин01486 от 11.10.2025 21:27:56"/>
        <s v="Акт входного контроля грин01487 от 11.10.2025 21:38:43"/>
        <s v="Акт входного контроля грин01488 от 11.10.2025 22:13:51"/>
        <s v="Акт входного контроля грин01489 от 11.10.2025 22:36:09"/>
        <s v="Акт входного контроля грин01490 от 11.10.2025 23:08:43"/>
        <s v="Акт входного контроля грин01491 от 11.10.2025 19:39:18"/>
        <s v="Акт входного контроля грин01492 от 11.10.2025 20:36:39"/>
        <s v="Акт входного контроля грин01493 от 12.10.2025 1:42:37"/>
        <s v="Акт входного контроля грин01494 от 11.10.2025 21:49:08"/>
        <s v="Акт входного контроля грин01495 от 11.10.2025 22:00:56"/>
        <s v="Акт входного контроля грин01496 от 11.10.2025 23:54:42"/>
        <s v="Акт входного контроля грин01497 от 12.10.2025 5:05:23"/>
        <s v="Акт входного контроля грин01498 от 12.10.2025 7:39:05"/>
        <s v="Акт входного контроля грин01499 от 11.10.2025 20:59:18"/>
        <s v="Акт входного контроля грин01500 от 12.10.2025 8:46:00"/>
        <s v="Акт входного контроля грин01501 от 12.10.2025 10:03:40"/>
        <s v="Акт входного контроля грин01502 от 12.10.2025 10:47:32"/>
        <s v="Акт входного контроля грин01503 от 12.10.2025 11:29:42"/>
        <s v="Акт входного контроля грин01504 от 12.10.2025 12:11:34"/>
        <s v="Акт входного контроля грин01505 от 12.10.2025 13:17:48"/>
        <s v="Акт входного контроля грин01506 от 12.10.2025 13:54:43"/>
        <s v="Акт входного контроля грин01507 от 12.10.2025 15:23:07"/>
        <s v="Акт входного контроля грин01508 от 12.10.2025 15:53:44"/>
        <s v="Акт входного контроля грин01509 от 12.10.2025 16:49:11"/>
        <s v="Акт входного контроля грин01510 от 12.10.2025 17:30:00"/>
        <s v="Акт входного контроля грин01511 от 12.10.2025 15:28:35"/>
        <s v="Акт входного контроля грин01512 от 12.10.2025 21:50:15"/>
        <s v="Акт входного контроля грин01513 от 12.10.2025 22:02:04"/>
        <s v="Акт входного контроля грин01514 от 12.10.2025 22:54:00"/>
        <s v="Акт входного контроля грин01515 от 12.10.2025 23:27:20"/>
        <s v="Акт входного контроля грин01516 от 12.10.2025 20:37:59"/>
        <s v="Акт входного контроля грин01517 от 12.10.2025 21:21:31"/>
        <s v="Акт входного контроля грин01518 от 12.10.2025 22:20:30"/>
        <s v="Акт входного контроля грин01519 от 13.10.2025 4:53:07"/>
        <s v="Акт входного контроля грин01520 от 13.10.2025 6:12:47"/>
        <s v="Акт входного контроля грин01521 от 13.10.2025 8:00:42"/>
        <s v="Акт входного контроля грин01522 от 13.10.2025 22:09:35"/>
        <s v="Акт входного контроля грин01523 от 13.10.2025 14:18:30"/>
        <s v="Акт входного контроля грин01524 от 13.10.2025 17:21:50"/>
        <s v="Акт входного контроля грин01525 от 13.10.2025 19:19:16"/>
        <s v="Акт входного контроля грин01526 от 15.10.2025 22:54:22"/>
        <s v="Акт входного контроля грин01527 от 15.10.2025 22:57:08"/>
        <s v="Акт входного контроля грин01528 от 15.10.2025 23:18:58"/>
        <s v="Акт входного контроля грин01529 от 15.10.2025 23:24:17"/>
        <s v="Акт входного контроля грин01530 от 16.10.2025 6:19:50"/>
        <s v="Акт входного контроля грин01531 от 16.10.2025 6:22:45"/>
        <s v="Акт входного контроля грин01532 от 16.10.2025 6:26:22"/>
        <s v="Акт входного контроля грин01533 от 16.10.2025 7:39:38"/>
        <s v="Акт входного контроля грин01534 от 16.10.2025 10:26:48"/>
        <s v="Акт входного контроля грин01535 от 16.10.2025 10:23:55"/>
        <s v="Акт входного контроля грин01536 от 16.10.2025 6:28:16"/>
        <s v="Акт входного контроля грин01537 от 16.10.2025 12:09:47"/>
        <s v="Акт входного контроля грин01538 от 16.10.2025 14:19:30"/>
        <s v="Акт входного контроля грин01539 от 16.10.2025 16:34:55"/>
        <s v="Акт входного контроля грин01540 от 16.10.2025 16:40:20"/>
        <s v="Акт входного контроля грин01541 от 16.10.2025 16:55:06"/>
        <s v="Акт входного контроля грин01542 от 16.10.2025 17:16:12"/>
        <s v="Акт входного контроля грин01543 от 16.10.2025 19:19:59"/>
        <s v="Акт входного контроля грин01544 от 16.10.2025 21:43:34"/>
        <s v="Акт входного контроля грин01545 от 16.10.2025 23:35:30"/>
        <s v="Акт входного контроля грин01546 от 16.10.2025 19:03:04"/>
        <s v="Акт входного контроля грин01547 от 16.10.2025 19:46:30"/>
        <s v="Акт входного контроля грин01548 от 16.10.2025 21:11:18"/>
        <s v="Акт входного контроля грин01549 от 16.10.2025 21:21:28"/>
        <s v="Акт входного контроля грин01550 от 16.10.2025 22:40:19"/>
        <s v="Акт входного контроля грин01551 от 16.10.2025 22:58:09"/>
        <s v="Акт входного контроля грин01552 от 16.10.2025 23:45:42"/>
        <s v="Акт входного контроля грин01553 от 17.10.2025 10:57:20"/>
        <s v="Акт входного контроля грин01554 от 17.10.2025 12:04:55"/>
        <s v="Акт входного контроля грин01555 от 17.10.2025 13:46:22"/>
        <s v="Акт входного контроля грин01556 от 17.10.2025 15:20:56"/>
        <s v="Акт входного контроля грин01557 от 17.10.2025 16:11:42"/>
        <s v="Акт входного контроля грин01558 от 17.10.2025 17:27:31"/>
        <s v="Акт входного контроля грин01559 от 17.10.2025 18:36:39"/>
        <s v="Акт входного контроля грин01560 от 17.10.2025 22:40:27"/>
        <s v="Акт входного контроля грин01561 от 17.10.2025 22:43:05"/>
        <s v="Акт входного контроля грин01562 от 17.10.2025 22:45:10"/>
        <s v="Акт входного контроля грин01563 от 17.10.2025 23:11:48"/>
        <s v="Акт входного контроля грин01564 от 17.10.2025 20:04:02"/>
        <s v="Акт входного контроля грин01565 от 17.10.2025 20:54:22"/>
        <s v="Акт входного контроля грин01566 от 17.10.2025 21:13:41"/>
        <s v="Акт входного контроля грин01567 от 17.10.2025 21:48:12"/>
        <s v="Акт входного контроля грин01568 от 17.10.2025 22:47:50"/>
        <s v="Акт входного контроля грин01569 от 18.10.2025 7:20:07"/>
        <s v="Акт входного контроля грин01570 от 18.10.2025 7:22:28"/>
        <s v="Акт входного контроля грин01571 от 18.10.2025 8:22:05"/>
        <s v="Акт входного контроля грин01572 от 18.10.2025 10:07:17"/>
        <s v="Акт входного контроля грин01573 от 18.10.2025 11:52:50"/>
        <s v="Акт входного контроля грин01574 от 18.10.2025 14:01:57"/>
        <s v="Акт входного контроля грин01575 от 18.10.2025 17:17:11"/>
        <s v="Акт входного контроля грин01576 от 18.10.2025 17:30:04"/>
        <s v="Акт входного контроля грин01577 от 18.10.2025 20:15:08"/>
        <s v="Акт входного контроля грин01578 от 18.10.2025 21:13:23"/>
        <s v="Акт входного контроля грин01579 от 18.10.2025 23:32:45"/>
        <s v="Акт входного контроля грин01580 от 18.10.2025 23:38:53"/>
        <s v="Акт входного контроля грин01581 от 18.10.2025 16:43:52"/>
        <s v="Акт входного контроля грин01582 от 18.10.2025 18:33:44"/>
        <s v="Акт входного контроля грин01583 от 18.10.2025 19:12:16"/>
        <s v="Акт входного контроля грин01584 от 18.10.2025 19:37:08"/>
        <s v="Акт входного контроля грин01585 от 18.10.2025 21:27:12"/>
        <s v="Акт входного контроля грин01586 от 18.10.2025 23:57:37"/>
        <s v="Акт входного контроля грин01587 от 19.10.2025 10:52:28"/>
        <s v="Акт входного контроля грин01588 от 19.10.2025 11:00:50"/>
        <s v="Акт входного контроля грин01589 от 18.10.2025 21:49:58"/>
        <s v="Акт входного контроля грин01590 от 19.10.2025 11:18:31"/>
        <s v="Акт входного контроля грин01591 от 18.10.2025 19:45:47"/>
        <s v="Акт входного контроля грин01592 от 19.10.2025 13:52:44"/>
        <s v="Акт входного контроля грин01593 от 18.10.2025 23:19:04"/>
        <s v="Акт входного контроля грин01594 от 19.10.2025 3:31:52"/>
        <s v="Акт входного контроля грин01595 от 19.10.2025 15:53:39"/>
        <s v="Акт входного контроля грин01596 от 19.10.2025 4:36:10"/>
        <s v="Акт входного контроля грин01597 от 19.10.2025 17:09:52"/>
        <s v="Акт входного контроля грин01598 от 19.10.2025 19:27:24"/>
        <s v="Акт входного контроля грин01599 от 19.10.2025 20:45:47"/>
        <s v="Акт входного контроля грин01600 от 19.10.2025 20:48:04"/>
        <s v="Акт входного контроля грин01601 от 20.10.2025 18:49:39"/>
        <s v="Акт входного контроля грин01602 от 20.10.2025 19:15:27"/>
        <s v="Акт входного контроля грин01603 от 20.10.2025 17:37:27"/>
        <s v="Акт входного контроля грин01604 от 20.10.2025 17:39:34"/>
        <s v="Акт входного контроля грин01605 от 20.10.2025 19:45:21"/>
        <s v="Акт входного контроля грин01606 от 20.10.2025 19:52:29"/>
        <s v="Акт входного контроля грин01607 от 20.10.2025 20:12:56"/>
        <s v="Акт входного контроля грин01608 от 20.10.2025 20:58:00"/>
        <s v="Акт входного контроля грин01609 от 20.10.2025 21:34:12"/>
        <s v="Акт входного контроля грин01610 от 20.10.2025 21:40:31"/>
        <s v="Акт входного контроля грин01611 от 20.10.2025 21:44:10"/>
        <s v="Акт входного контроля грин01612 от 20.10.2025 23:20:05"/>
        <s v="Акт входного контроля грин01613 от 20.10.2025 23:29:47"/>
        <s v="Акт входного контроля грин01614 от 21.10.2025 8:08:42"/>
        <s v="Акт входного контроля грин01615 от 21.10.2025 8:50:59"/>
        <s v="Акт входного контроля грин01616 от 21.10.2025 9:38:56"/>
        <s v="Акт входного контроля грин01617 от 21.10.2025 10:34:49"/>
        <s v="Акт входного контроля грин01618 от 21.10.2025 11:08:24"/>
        <s v="Акт входного контроля грин01619 от 21.10.2025 12:16:18"/>
        <s v="Акт входного контроля грин01620 от 21.10.2025 13:12:49"/>
        <s v="Акт входного контроля грин01621 от 21.10.2025 14:17:35"/>
        <s v="Акт входного контроля грин01622 от 21.10.2025 15:07:21"/>
        <s v="Акт входного контроля грин01623 от 21.10.2025 15:55:59"/>
        <s v="Акт входного контроля грин01624 от 21.10.2025 17:06:09"/>
        <s v="Акт входного контроля грин01625 от 21.10.2025 18:36:37"/>
        <s v="Акт входного контроля грин01626 от 21.10.2025 19:53:37"/>
        <s v="Акт входного контроля грин01627 от 21.10.2025 21:17:55"/>
        <s v="Акт входного контроля грин01628 от 21.10.2025 18:46:20"/>
        <s v="Акт входного контроля грин01629 от 21.10.2025 18:51:08"/>
        <s v="Акт входного контроля грин01630 от 21.10.2025 20:26:42"/>
        <s v="Акт входного контроля грин01631 от 21.10.2025 20:31:05"/>
        <s v="Акт входного контроля грин01632 от 21.10.2025 21:19:23"/>
        <s v="Акт входного контроля грин01633 от 21.10.2025 21:30:26"/>
        <s v="Акт входного контроля грин01634 от 21.10.2025 22:53:36"/>
        <s v="Акт входного контроля грин01635 от 21.10.2025 22:58:32"/>
        <s v="Акт входного контроля грин01636 от 21.10.2025 23:54:02"/>
        <s v="Акт входного контроля грин01637 от 22.10.2025 6:47:38"/>
        <s v="Акт входного контроля грин01638 от 22.10.2025 8:03:41"/>
        <s v="Акт входного контроля грин01639 от 22.10.2025 8:48:55"/>
        <s v="Акт входного контроля грин01640 от 22.10.2025 10:12:59"/>
        <s v="Акт входного контроля грин01642 от 22.10.2025 13:03:38"/>
        <s v="Акт входного контроля грин01643 от 22.10.2025 13:09:42"/>
        <s v="Акт входного контроля грин01644 от 22.10.2025 14:56:33"/>
        <s v="Акт входного контроля грин01645 от 22.10.2025 15:08:41"/>
        <s v="Акт входного контроля грин01646 от 21.10.2025 22:08:55"/>
        <s v="Акт входного контроля грин01647 от 22.10.2025 16:46:48"/>
        <s v="Акт входного контроля грин01648 от 22.10.2025 19:18:25"/>
        <s v="Акт входного контроля грин01649 от 22.10.2025 19:21:22"/>
        <s v="Акт входного контроля грин01650 от 22.10.2025 19:40:47"/>
        <s v="Акт входного контроля грин01651 от 22.10.2025 20:46:04"/>
        <s v="Акт входного контроля грин01652 от 22.10.2025 21:29:34"/>
        <s v="Акт входного контроля грин01653 от 22.10.2025 22:41:07"/>
        <s v="Акт входного контроля грин01654 от 22.10.2025 23:29:33"/>
        <s v="Акт входного контроля грин01655 от 22.10.2025 21:31:48"/>
        <s v="Акт входного контроля грин01656 от 22.10.2025 22:21:45"/>
        <s v="Акт входного контроля грин01657 от 22.10.2025 22:23:43"/>
        <s v="Акт входного контроля грин01658 от 22.10.2025 22:53:16"/>
        <s v="Акт входного контроля грин01659 от 23.10.2025 7:28:01"/>
        <s v="Акт входного контроля грин01660 от 23.10.2025 8:15:35"/>
        <s v="Акт входного контроля грин01661 от 23.10.2025 9:29:13"/>
        <s v="Акт входного контроля грин01662 от 23.10.2025 11:17:12"/>
        <s v="Акт входного контроля грин01663 от 23.10.2025 11:27:34"/>
        <s v="Акт входного контроля грин01664 от 23.10.2025 12:59:17"/>
        <s v="Акт входного контроля грин01665 от 23.10.2025 13:21:48"/>
        <s v="Акт входного контроля грин01666 от 23.10.2025 16:03:16"/>
        <s v="Акт входного контроля грин01667 от 23.10.2025 16:12:01"/>
        <s v="Акт входного контроля грин01668 от 23.10.2025 16:18:59"/>
        <s v="Акт входного контроля грин01669 от 23.10.2025 17:31:40"/>
        <s v="Акт входного контроля грин01670 от 23.10.2025 17:40:01"/>
        <s v="Акт входного контроля грин01671 от 23.10.2025 23:23:57"/>
        <s v="Акт входного контроля грин01672 от 23.10.2025 23:27:09"/>
        <s v="Акт входного контроля грин01673 от 23.10.2025 23:31:28"/>
        <s v="Акт входного контроля грин01674 от 23.10.2025 23:43:08"/>
        <s v="Акт входного контроля грин01675 от 23.10.2025 14:46:06"/>
        <s v="Акт входного контроля грин01676 от 23.10.2025 16:30:56"/>
        <s v="Акт входного контроля грин01677 от 23.10.2025 16:35:27"/>
        <s v="Акт входного контроля грин01678 от 23.10.2025 18:28:51"/>
        <s v="Акт входного контроля грин01679 от 23.10.2025 19:15:43"/>
        <s v="Акт входного контроля грин01680 от 23.10.2025 19:44:34"/>
        <s v="Акт входного контроля грин01681 от 23.10.2025 20:24:21"/>
        <s v="Акт входного контроля грин01682 от 23.10.2025 14:09:54"/>
        <s v="Акт входного контроля грин01683 от 23.10.2025 20:38:25"/>
        <s v="Акт входного контроля грин01684 от 23.10.2025 20:42:38"/>
        <s v="Акт входного контроля грин01685 от 23.10.2025 21:15:37"/>
        <s v="Акт входного контроля грин01686 от 23.10.2025 21:36:33"/>
        <s v="Акт входного контроля грин01687 от 23.10.2025 21:47:00"/>
        <s v="Акт входного контроля грин01688 от 24.10.2025 14:47:32"/>
        <s v="Акт входного контроля грин01689 от 24.10.2025 15:05:34"/>
        <s v="Акт входного контроля грин01691 от 24.10.2025 15:14:39"/>
        <s v="Акт входного контроля грин01692 от 24.10.2025 16:38:08"/>
        <s v="Акт входного контроля грин01693 от 24.10.2025 17:04:46"/>
        <s v="Акт входного контроля грин01694 от 24.10.2025 18:05:17"/>
        <s v="Акт входного контроля грин01695 от 24.10.2025 18:14:29"/>
        <s v="Акт входного контроля грин01696 от 24.10.2025 19:29:36"/>
        <s v="Акт входного контроля грин01697 от 24.10.2025 21:22:04"/>
        <s v="Акт входного контроля грин01698 от 24.10.2025 18:56:48"/>
        <s v="Акт входного контроля грин01699 от 24.10.2025 20:18:17"/>
        <s v="Акт входного контроля грин01700 от 24.10.2025 20:59:34"/>
        <s v="Акт входного контроля грин01701 от 24.10.2025 21:44:56"/>
        <s v="Акт входного контроля грин01702 от 25.10.2025 2:14:46"/>
        <s v="Акт входного контроля грин01703 от 25.10.2025 2:57:51"/>
        <s v="Акт входного контроля грин01704 от 25.10.2025 5:03:46"/>
        <s v="Акт входного контроля грин01705 от 25.10.2025 7:46:18"/>
        <s v="Акт входного контроля грин01706 от 25.10.2025 7:51:26"/>
        <s v="Акт входного контроля грин01707 от 25.10.2025 8:50:48"/>
        <s v="Акт входного контроля грин01708 от 25.10.2025 9:36:11"/>
        <s v="Акт входного контроля грин01709 от 25.10.2025 10:13:28"/>
        <s v="Акт входного контроля грин01710 от 25.10.2025 11:26:40"/>
        <s v="Акт входного контроля грин01711 от 25.10.2025 12:16:24"/>
        <s v="Акт входного контроля грин01712 от 25.10.2025 13:31:22"/>
        <s v="Акт входного контроля грин01713 от 25.10.2025 14:39:57"/>
        <s v="Акт входного контроля грин01714 от 25.10.2025 15:40:29"/>
        <s v="Акт входного контроля грин01715 от 25.10.2025 16:16:50"/>
        <s v="Акт входного контроля грин01716 от 25.10.2025 17:55:41"/>
        <s v="Акт входного контроля грин01717 от 25.10.2025 19:12:35"/>
        <s v="Акт входного контроля грин01718 от 25.10.2025 19:37:47"/>
        <s v="Акт входного контроля грин01719 от 25.10.2025 21:50:52"/>
        <s v="Акт входного контроля грин01720 от 25.10.2025 23:57:18"/>
        <s v="Акт входного контроля грин01721 от 25.10.2025 23:23:24"/>
        <s v="Акт входного контроля грин01722 от 26.10.2025 1:24:49"/>
        <s v="Акт входного контроля грин01723 от 26.10.2025 2:22:45"/>
        <s v="Акт входного контроля грин01724 от 26.10.2025 3:32:00"/>
        <s v="Акт входного контроля грин01725 от 26.10.2025 4:07:40"/>
        <s v="Акт входного контроля грин01726 от 26.10.2025 5:06:44"/>
        <s v="Акт входного контроля грин01727 от 26.10.2025 6:12:27"/>
        <s v="Акт входного контроля грин01728 от 26.10.2025 6:33:50"/>
        <s v="Акт входного контроля грин01729 от 26.10.2025 10:13:05"/>
        <s v="Акт входного контроля грин01730 от 26.10.2025 11:14:52"/>
        <s v="Акт входного контроля грин01731 от 26.10.2025 12:59:42"/>
        <s v="Акт входного контроля грин01732 от 26.10.2025 14:42:46"/>
        <s v="Акт входного контроля грин01733 от 26.10.2025 16:50:27"/>
        <s v="Акт входного контроля грин01734 от 26.10.2025 19:42:59"/>
        <s v="Акт входного контроля грин01735 от 26.10.2025 21:34:00"/>
        <s v="Акт входного контроля грин01737 от 26.10.2025 22:49:14"/>
        <s v="Акт входного контроля грин01739 от 26.10.2025 9:37:45"/>
        <s v="Акт входного контроля грин01740 от 26.10.2025 12:28:57"/>
        <s v="Акт входного контроля грин01741 от 26.10.2025 13:06:34"/>
        <s v="Акт входного контроля грин01742 от 26.10.2025 13:34:42"/>
        <s v="Акт входного контроля грин01743 от 26.10.2025 15:01:00"/>
        <s v="Акт входного контроля грин01744 от 26.10.2025 17:46:10"/>
        <s v="Акт входного контроля грин01745 от 26.10.2025 18:33:00"/>
        <s v="Акт входного контроля грин01746 от 26.10.2025 19:01:23"/>
        <s v="Акт входного контроля грин01747 от 26.10.2025 19:43:30"/>
        <s v="Акт входного контроля грин01748 от 26.10.2025 20:48:20"/>
        <s v="Акт входного контроля грин01749 от 26.10.2025 21:51:09"/>
        <s v="Акт входного контроля грин01751 от 27.10.2025 16:01:44"/>
        <s v="Акт входного контроля грин01755 от 27.10.2025 16:59:17"/>
        <s v="Акт входного контроля грин01757 от 27.10.2025 18:02:59"/>
        <s v="Акт входного контроля грин01758 от 27.10.2025 19:59:26"/>
        <s v="Акт входного контроля грин01759 от 27.10.2025 21:09:37"/>
        <s v="Акт входного контроля грин01760 от 27.10.2025 21:21:38"/>
        <s v="Акт входного контроля грин01761 от 27.10.2025 13:34:37"/>
        <s v="Акт входного контроля грин01762 от 27.10.2025 15:16:48"/>
        <s v="Акт входного контроля грин01763 от 27.10.2025 15:25:38"/>
        <s v="Акт входного контроля грин01764 от 27.10.2025 17:12:44"/>
        <s v="Акт входного контроля грин01765 от 27.10.2025 18:13:14"/>
        <s v="Акт входного контроля грин01766 от 27.10.2025 19:33:34"/>
        <s v="Акт входного контроля грин01767 от 27.10.2025 19:41:50"/>
        <s v="Акт входного контроля грин01768 от 27.10.2025 21:31:42"/>
        <s v="Акт входного контроля грин01769 от 27.10.2025 22:25:20"/>
        <s v="Акт входного контроля грин01770 от 27.10.2025 23:31:59"/>
        <s v="Акт входного контроля грин01771 от 27.10.2025 20:47:29"/>
        <s v="Акт входного контроля грин01772 от 27.10.2025 23:45:28"/>
        <s v="Акт входного контроля грин01773 от 28.10.2025 11:25:33"/>
        <s v="Акт входного контроля грин01774 от 28.10.2025 13:37:47"/>
        <s v="Акт входного контроля грин01775 от 28.10.2025 13:50:52"/>
        <s v="Акт входного контроля грин01776 от 28.10.2025 14:02:10"/>
        <s v="Акт входного контроля грин01777 от 28.10.2025 14:47:02"/>
        <s v="Акт входного контроля грин01778 от 28.10.2025 16:34:47"/>
        <s v="Акт входного контроля грин01779 от 28.10.2025 16:48:57"/>
        <s v="Акт входного контроля грин01780 от 28.10.2025 18:21:34"/>
        <s v="Акт входного контроля грин01781 от 28.10.2025 18:05:02"/>
        <s v="Акт входного контроля грин01782 от 28.10.2025 19:08:47"/>
        <s v="Акт входного контроля грин01783 от 28.10.2025 20:08:12"/>
        <s v="Акт входного контроля грин01784 от 28.10.2025 22:57:01"/>
        <s v="Акт входного контроля грин01785 от 28.10.2025 9:53:50"/>
        <s v="Акт входного контроля грин01786 от 28.10.2025 23:25:33"/>
        <s v="Акт входного контроля грин01787 от 28.10.2025 12:09:28"/>
        <s v="Акт входного контроля грин01788 от 28.10.2025 12:42:24"/>
        <s v="Акт входного контроля грин01789 от 28.10.2025 22:27:39"/>
        <s v="Акт входного контроля грин01790 от 28.10.2025 23:41:09"/>
        <s v="Акт входного контроля грин01791 от 29.10.2025 5:00:55"/>
        <s v="Акт входного контроля грин01792 от 29.10.2025 5:43:30"/>
        <s v="Акт входного контроля грин01793 от 29.10.2025 6:40:15"/>
        <s v="Акт входного контроля грин01794 от 29.10.2025 7:53:30"/>
        <s v="Акт входного контроля грин01795 от 29.10.2025 8:46:54"/>
        <s v="Акт входного контроля грин01801 от 29.10.2025 20:10:46"/>
        <s v="Акт входного контроля грин01802 от 29.10.2025 21:18:21"/>
        <s v="Акт входного контроля грин01803 от 29.10.2025 22:57:27"/>
        <s v="Акт входного контроля грин01804 от 29.10.2025 23:21:11"/>
        <s v="Акт входного контроля грин01805 от 29.10.2025 19:13:59"/>
        <s v="Акт входного контроля грин01806 от 29.10.2025 20:43:52"/>
        <s v="Акт входного контроля грин01807 от 29.10.2025 21:40:56"/>
        <s v="Акт входного контроля грин01808 от 29.10.2025 22:21:04"/>
        <s v="Акт входного контроля грин01809 от 29.10.2025 23:00:55"/>
        <s v="Акт входного контроля грин01810 от 30.10.2025 5:39:59"/>
        <s v="Акт входного контроля грин01811 от 30.10.2025 6:23:27"/>
        <s v="Акт входного контроля грин01812 от 30.10.2025 7:49:36"/>
        <s v="Акт входного контроля грин01813 от 30.10.2025 8:44:55"/>
        <s v="Акт входного контроля грин01814 от 30.10.2025 10:29:59"/>
        <s v="Акт входного контроля грин01815 от 30.10.2025 12:46:12"/>
        <s v="Акт входного контроля грин01816 от 30.10.2025 12:48:55"/>
        <s v="Акт входного контроля грин01817 от 30.10.2025 14:22:47"/>
        <s v="Акт входного контроля грин01818 от 30.10.2025 14:56:57"/>
        <s v="Акт входного контроля грин01819 от 30.10.2025 16:20:04"/>
        <s v="Акт входного контроля грин01820 от 30.10.2025 17:31:11"/>
        <s v="Акт входного контроля грин01821 от 30.10.2025 19:09:18"/>
        <s v="Акт входного контроля грин01822 от 30.10.2025 21:27:34"/>
        <s v="Акт входного контроля грин01823 от 30.10.2025 21:33:16"/>
        <s v="Акт входного контроля грин01824 от 30.10.2025 22:34:22"/>
        <s v="Акт входного контроля грин01825 от 30.10.2025 23:30:12"/>
        <s v="Акт входного контроля грин01826 от 30.10.2025 20:29:09"/>
        <s v="Акт входного контроля грин01827 от 30.10.2025 20:34:18"/>
        <s v="Акт входного контроля грин01828 от 30.10.2025 20:40:50"/>
        <s v="Акт входного контроля грин01829 от 30.10.2025 22:21:02"/>
        <s v="Акт входного контроля грин01830 от 30.10.2025 22:41:47"/>
        <s v="Акт входного контроля грин01831 от 31.10.2025 9:08:21"/>
        <s v="Акт входного контроля грин01832 от 31.10.2025 9:33:59"/>
        <s v="Акт входного контроля грин01833 от 31.10.2025 10:56:34"/>
        <s v="Акт входного контроля грин01834 от 31.10.2025 11:05:21"/>
        <s v="Акт входного контроля грин01835 от 31.10.2025 12:49:58"/>
        <s v="Акт входного контроля грин01837 от 31.10.2025 14:00:29"/>
        <s v="Акт входного контроля грин01838 от 31.10.2025 14:33:45"/>
        <s v="Акт входного контроля грин01839 от 31.10.2025 14:41:43"/>
        <s v="Акт входного контроля грин01840 от 31.10.2025 15:44:54"/>
        <s v="Акт входного контроля грин01841 от 31.10.2025 16:17:54"/>
        <s v="Акт входного контроля грин01842 от 31.10.2025 17:34:13"/>
        <s v="Акт входного контроля грин01843 от 31.10.2025 18:37:22"/>
        <s v="Акт входного контроля грин01844 от 31.10.2025 21:54:19"/>
        <s v="Акт входного контроля грин01845 от 31.10.2025 21:57:05"/>
        <s v="Акт входного контроля грин01846 от 31.10.2025 19:26:05"/>
        <s v="Акт входного контроля грин01847 от 31.10.2025 20:07:02"/>
        <s v="Акт входного контроля грин01848 от 31.10.2025 20:33:15"/>
        <s v="Акт входного контроля грин01849 от 31.10.2025 21:07:48"/>
        <s v="Акт входного контроля грин01850 от 31.10.2025 23:16:37"/>
        <s v="Акт входного контроля грин01851 от 31.10.2025 22:29:02"/>
        <s v="Акт входного контроля грин01852 от 31.10.2025 23:47:16"/>
        <s v="Акт входного контроля грин01853 от 01.11.2025 8:52:46"/>
        <s v="Акт входного контроля грин01854 от 01.11.2025 9:34:03"/>
        <s v="Акт входного контроля грин01855 от 01.11.2025 10:09:23"/>
        <s v="Акт входного контроля грин01856 от 01.11.2025 11:10:36"/>
        <s v="Акт входного контроля грин01857 от 01.11.2025 11:37:55"/>
        <s v="Акт входного контроля грин01858 от 01.11.2025 14:21:33"/>
        <s v="Акт входного контроля грин01859 от 01.11.2025 15:13:59"/>
        <s v="Акт входного контроля грин01860 от 01.11.2025 16:07:09"/>
        <s v="Акт входного контроля грин01861 от 01.11.2025 19:20:56"/>
        <s v="Акт входного контроля грин01862 от 01.11.2025 19:30:37"/>
        <s v="Акт входного контроля грин01863 от 01.11.2025 20:26:51"/>
        <s v="Акт входного контроля грин01864 от 01.11.2025 20:33:45"/>
        <s v="Акт входного контроля грин01865 от 01.11.2025 22:49:27"/>
        <s v="Акт входного контроля грин01866 от 01.11.2025 23:03:10"/>
        <s v="Акт входного контроля грин01867 от 01.11.2025 16:39:28"/>
        <s v="Акт входного контроля грин01868 от 01.11.2025 17:02:24"/>
        <s v="Акт входного контроля грин01869 от 01.11.2025 17:32:40"/>
        <s v="Акт входного контроля грин01870 от 01.11.2025 17:37:47"/>
        <s v="Акт входного контроля грин01871 от 01.11.2025 18:39:03"/>
        <s v="Акт входного контроля грин01872 от 01.11.2025 18:51:43"/>
        <s v="Акт входного контроля грин01873 от 01.11.2025 4:40:28"/>
        <s v="Акт входного контроля грин01874 от 01.11.2025 19:37:31"/>
        <s v="Акт входного контроля грин01875 от 01.11.2025 19:46:20"/>
        <s v="Акт входного контроля грин01876 от 01.11.2025 21:06:29"/>
        <s v="Акт входного контроля грин01877 от 01.11.2025 21:18:06"/>
        <s v="Акт входного контроля грин01878 от 01.11.2025 21:32:55"/>
        <s v="Акт входного контроля грин01879 от 01.11.2025 22:29:29"/>
        <s v="Акт входного контроля грин01880 от 01.11.2025 23:04:26"/>
        <s v="Акт входного контроля грин01881 от 01.11.2025 23:53:49"/>
        <s v="Акт входного контроля грин01882 от 02.11.2025 20:13:07"/>
        <s v="Акт входного контроля грин01883 от 02.11.2025 22:14:22"/>
        <s v="Акт входного контроля грин01884 от 02.11.2025 22:23:10"/>
        <s v="Акт входного контроля грин01885 от 02.11.2025 23:04:54"/>
        <s v="Акт входного контроля грин01886 от 02.11.2025 23:54:59"/>
        <s v="Акт входного контроля грин01887 от 02.11.2025 3:14:00"/>
        <s v="Акт входного контроля грин01888 от 02.11.2025 17:07:25"/>
        <s v="Акт входного контроля грин01889 от 02.11.2025 17:02:43"/>
        <s v="Акт входного контроля грин01890 от 02.11.2025 17:29:56"/>
        <s v="Акт входного контроля грин01891 от 02.11.2025 21:26:47"/>
        <s v="Акт входного контроля грин01892 от 02.11.2025 15:58:04"/>
        <s v="Акт входного контроля грин01893 от 02.11.2025 16:04:05"/>
        <s v="Акт входного контроля грин01894 от 02.11.2025 18:26:51"/>
        <s v="Акт входного контроля грин01895 от 02.11.2025 20:18:08"/>
        <s v="Акт входного контроля грин01896 от 02.11.2025 20:23:26"/>
        <s v="Акт входного контроля грин01897 от 02.11.2025 20:54:03"/>
        <s v="Акт входного контроля грин01898 от 02.11.2025 20:59:13"/>
        <s v="Акт входного контроля грин01899 от 02.11.2025 18:48:22"/>
        <s v="Акт входного контроля грин01900 от 02.11.2025 23:56:05"/>
        <s v="Акт входного контроля грин01901 от 03.11.2025 19:25:31"/>
        <s v="Акт входного контроля грин01904 от 03.11.2025 19:58:30"/>
        <s v="Акт входного контроля грин01905 от 03.11.2025 20:57:45"/>
        <s v="Акт входного контроля грин01906 от 03.11.2025 22:12:47"/>
        <s v="Акт входного контроля грин01907 от 03.11.2025 23:07:20"/>
        <s v="Акт входного контроля грин01908 от 03.11.2025 15:50:13"/>
        <s v="Акт входного контроля грин01909 от 03.11.2025 17:13:47"/>
        <s v="Акт входного контроля грин01910 от 03.11.2025 18:13:10"/>
        <s v="Акт входного контроля грин01911 от 03.11.2025 20:25:32"/>
        <s v="Акт входного контроля грин01912 от 03.11.2025 18:55:55"/>
        <s v="Акт входного контроля грин01913 от 03.11.2025 21:04:39"/>
        <s v="Акт входного контроля грин01914 от 03.11.2025 22:14:41"/>
        <s v="Акт входного контроля грин01915 от 03.11.2025 22:51:32"/>
        <s v="Акт входного контроля грин01916 от 03.11.2025 23:18:09"/>
        <s v="Акт входного контроля грин01917 от 04.11.2025 15:12:44"/>
        <s v="Акт входного контроля грин01918 от 04.11.2025 16:21:38"/>
        <s v="Акт входного контроля грин01919 от 04.11.2025 16:43:50"/>
        <s v="Акт входного контроля грин01920 от 04.11.2025 18:49:22"/>
        <s v="Акт входного контроля грин01921 от 04.11.2025 19:18:35"/>
        <s v="Акт входного контроля грин01922 от 04.11.2025 21:38:02"/>
        <s v="Акт входного контроля грин01923 от 04.11.2025 23:42:40"/>
        <s v="Акт входного контроля грин01924 от 04.11.2025 23:46:02"/>
        <s v="Акт входного контроля грин01925 от 04.11.2025 13:36:01"/>
        <s v="Акт входного контроля грин01926 от 04.11.2025 14:10:06"/>
        <s v="Акт входного контроля грин01927 от 04.11.2025 16:30:15"/>
        <s v="Акт входного контроля грин01928 от 04.11.2025 17:37:23"/>
        <s v="Акт входного контроля грин01929 от 04.11.2025 19:33:27"/>
        <s v="Акт входного контроля грин01930 от 04.11.2025 20:22:56"/>
        <s v="Акт входного контроля грин01931 от 04.11.2025 20:18:29"/>
        <s v="Акт входного контроля грин01932 от 05.11.2025 17:23:54"/>
        <s v="Акт входного контроля грин01933 от 05.11.2025 17:24:22"/>
        <s v="Акт входного контроля грин01934 от 05.11.2025 17:24:53"/>
        <s v="Акт входного контроля грин01935 от 05.11.2025 17:26:23"/>
        <s v="Акт входного контроля грин01936 от 05.11.2025 17:54:47"/>
        <s v="Акт входного контроля грин01937 от 05.11.2025 19:00:27"/>
        <s v="Акт входного контроля грин01938 от 05.11.2025 21:43:48"/>
        <s v="Акт входного контроля грин01939 от 05.11.2025 22:03:11"/>
        <s v="Акт входного контроля грин01940 от 05.11.2025 23:50:15"/>
        <s v="Акт входного контроля грин01941 от 05.11.2025 16:30:16"/>
        <s v="Акт входного контроля грин01942 от 05.11.2025 16:37:21"/>
        <s v="Акт входного контроля грин01943 от 05.11.2025 18:03:23"/>
        <s v="Акт входного контроля грин01944 от 05.11.2025 20:17:39"/>
        <s v="Акт входного контроля грин01945 от 05.11.2025 20:32:34"/>
        <s v="Акт входного контроля грин01946 от 05.11.2025 22:57:09"/>
        <s v="Акт входного контроля грин01947 от 05.11.2025 23:02:08"/>
        <s v="Акт входного контроля грин01948 от 06.11.2025 12:11:44"/>
        <s v="Акт входного контроля грин01949 от 06.11.2025 14:59:31"/>
        <s v="Акт входного контроля грин01950 от 06.11.2025 16:34:17"/>
        <s v="Акт входного контроля грин01951 от 06.11.2025 18:41:09"/>
        <s v="Акт входного контроля грин01952 от 06.11.2025 20:57:14"/>
        <s v="Акт входного контроля грин01953 от 06.11.2025 22:27:21"/>
        <s v="Акт входного контроля грин01954 от 06.11.2025 23:35:20"/>
        <s v="Акт входного контроля грин01955 от 06.11.2025 9:51:46"/>
        <s v="Акт входного контроля грин01956 от 06.11.2025 11:38:02"/>
        <s v="Акт входного контроля грин01957 от 06.11.2025 13:36:24"/>
        <s v="Акт входного контроля грин01958 от 06.11.2025 16:34:36"/>
        <s v="Акт входного контроля грин01959 от 06.11.2025 17:35:10"/>
        <s v="Акт входного контроля грин01960 от 06.11.2025 17:38:56"/>
        <s v="Акт входного контроля грин01961 от 08.11.2025 18:01:42"/>
        <s v="Акт входного контроля грин01962 от 08.11.2025 22:02:13"/>
        <s v="Акт входного контроля грин01963 от 08.11.2025 22:39:16"/>
        <s v="Акт входного контроля грин01964 от 08.11.2025 19:49:02"/>
        <s v="Акт входного контроля грин01965 от 08.11.2025 20:34:54"/>
        <s v="Акт входного контроля грин01966 от 08.11.2025 21:17:15"/>
        <s v="Акт входного контроля грин01967 от 08.11.2025 22:15:51"/>
        <s v="Акт входного контроля грин01968 от 08.11.2025 23:22:28"/>
        <s v="Акт входного контроля грин01969 от 09.11.2025 7:49:36"/>
        <s v="Акт входного контроля грин01970 от 09.11.2025 8:16:25"/>
        <s v="Акт входного контроля грин01971 от 09.11.2025 9:48:03"/>
        <s v="Акт входного контроля грин01972 от 09.11.2025 11:01:14"/>
        <s v="Акт входного контроля грин01973 от 09.11.2025 12:18:32"/>
        <s v="Акт входного контроля грин01974 от 09.11.2025 13:42:53"/>
        <s v="Акт входного контроля грин01975 от 09.11.2025 14:24:27"/>
        <s v="Акт входного контроля грин01976 от 09.11.2025 15:36:20"/>
        <s v="Акт входного контроля грин01977 от 09.11.2025 20:31:05"/>
        <s v="Акт входного контроля грин01978 от 09.11.2025 22:03:34"/>
        <s v="Акт входного контроля грин01979 от 09.11.2025 23:37:50"/>
        <s v="Акт входного контроля грин01980 от 09.11.2025 23:48:25"/>
        <s v="Акт входного контроля грин01981 от 09.11.2025 13:07:39"/>
        <s v="Акт входного контроля грин01982 от 09.11.2025 15:07:21"/>
        <s v="Акт входного контроля грин01983 от 09.11.2025 15:18:05"/>
        <s v="Акт входного контроля грин01984 от 09.11.2025 15:47:17"/>
        <s v="Акт входного контроля грин01985 от 09.11.2025 18:34:09"/>
        <s v="Акт входного контроля грин01986 от 05.11.2025 5:05:10"/>
        <s v="Акт входного контроля грин01987 от 09.11.2025 18:50:38"/>
        <s v="Акт входного контроля грин01988 от 09.11.2025 19:08:30"/>
        <s v="Акт входного контроля грин01989 от 09.11.2025 19:14:35"/>
        <s v="Акт входного контроля грин01990 от 09.11.2025 19:17:41"/>
        <s v="Акт входного контроля грин01991 от 09.11.2025 20:36:28"/>
        <s v="Акт входного контроля грин01992 от 09.11.2025 20:41:16"/>
        <s v="Акт входного контроля грин01993 от 09.11.2025 22:25:29"/>
        <s v="Акт входного контроля грин01994 от 09.11.2025 22:58:02"/>
        <s v="Акт входного контроля грин01995 от 09.11.2025 23:06:59"/>
        <s v="Акт входного контроля грин01996 от 05.11.2025 5:05:10"/>
      </sharedItems>
    </cacheField>
    <cacheField name="Номер взвешивания" numFmtId="0">
      <sharedItems containsSemiMixedTypes="0" containsString="0" containsNumber="1" containsInteger="1" minValue="819" maxValue="3020" count="1458">
        <n v="819"/>
        <n v="820"/>
        <n v="823"/>
        <n v="824"/>
        <n v="829"/>
        <n v="834"/>
        <n v="836"/>
        <n v="837"/>
        <n v="838"/>
        <n v="839"/>
        <n v="847"/>
        <n v="848"/>
        <n v="849"/>
        <n v="850"/>
        <n v="851"/>
        <n v="853"/>
        <n v="854"/>
        <n v="855"/>
        <n v="856"/>
        <n v="861"/>
        <n v="862"/>
        <n v="863"/>
        <n v="864"/>
        <n v="865"/>
        <n v="866"/>
        <n v="867"/>
        <n v="868"/>
        <n v="869"/>
        <n v="870"/>
        <n v="872"/>
        <n v="874"/>
        <n v="875"/>
        <n v="876"/>
        <n v="877"/>
        <n v="878"/>
        <n v="879"/>
        <n v="880"/>
        <n v="881"/>
        <n v="883"/>
        <n v="884"/>
        <n v="885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3"/>
        <n v="904"/>
        <n v="905"/>
        <n v="906"/>
        <n v="909"/>
        <n v="910"/>
        <n v="911"/>
        <n v="912"/>
        <n v="913"/>
        <n v="914"/>
        <n v="915"/>
        <n v="916"/>
        <n v="917"/>
        <n v="920"/>
        <n v="921"/>
        <n v="924"/>
        <n v="925"/>
        <n v="926"/>
        <n v="927"/>
        <n v="930"/>
        <n v="931"/>
        <n v="932"/>
        <n v="933"/>
        <n v="934"/>
        <n v="935"/>
        <n v="936"/>
        <n v="937"/>
        <n v="939"/>
        <n v="940"/>
        <n v="941"/>
        <n v="942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8"/>
        <n v="959"/>
        <n v="961"/>
        <n v="962"/>
        <n v="964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90"/>
        <n v="991"/>
        <n v="992"/>
        <n v="993"/>
        <n v="995"/>
        <n v="996"/>
        <n v="999"/>
        <n v="1000"/>
        <n v="1001"/>
        <n v="1002"/>
        <n v="1006"/>
        <n v="1008"/>
        <n v="1009"/>
        <n v="1011"/>
        <n v="1012"/>
        <n v="1013"/>
        <n v="1016"/>
        <n v="1017"/>
        <n v="1018"/>
        <n v="1019"/>
        <n v="1020"/>
        <n v="1023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3"/>
        <n v="1054"/>
        <n v="1055"/>
        <n v="1059"/>
        <n v="1060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80"/>
        <n v="1081"/>
        <n v="1083"/>
        <n v="1084"/>
        <n v="1086"/>
        <n v="1089"/>
        <n v="1090"/>
        <n v="1093"/>
        <n v="1094"/>
        <n v="1095"/>
        <n v="1096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3"/>
        <n v="1114"/>
        <n v="1115"/>
        <n v="1116"/>
        <n v="1117"/>
        <n v="1119"/>
        <n v="1120"/>
        <n v="1121"/>
        <n v="1122"/>
        <n v="1123"/>
        <n v="1124"/>
        <n v="1125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8"/>
        <n v="1190"/>
        <n v="1191"/>
        <n v="1192"/>
        <n v="1193"/>
        <n v="1194"/>
        <n v="1195"/>
        <n v="1196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20"/>
        <n v="1221"/>
        <n v="1222"/>
        <n v="1224"/>
        <n v="1225"/>
        <n v="1238"/>
        <n v="1241"/>
        <n v="1242"/>
        <n v="1243"/>
        <n v="1244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2"/>
        <n v="1263"/>
        <n v="1266"/>
        <n v="1267"/>
        <n v="1268"/>
        <n v="1284"/>
        <n v="1286"/>
        <n v="1288"/>
        <n v="1289"/>
        <n v="1291"/>
        <n v="1292"/>
        <n v="1293"/>
        <n v="1294"/>
        <n v="1295"/>
        <n v="1296"/>
        <n v="1297"/>
        <n v="1298"/>
        <n v="1300"/>
        <n v="1302"/>
        <n v="1303"/>
        <n v="1304"/>
        <n v="1305"/>
        <n v="1306"/>
        <n v="1307"/>
        <n v="1311"/>
        <n v="1312"/>
        <n v="1314"/>
        <n v="1315"/>
        <n v="1332"/>
        <n v="1333"/>
        <n v="1335"/>
        <n v="1336"/>
        <n v="1337"/>
        <n v="1338"/>
        <n v="1339"/>
        <n v="1340"/>
        <n v="1341"/>
        <n v="1342"/>
        <n v="1343"/>
        <n v="1345"/>
        <n v="1346"/>
        <n v="1347"/>
        <n v="1348"/>
        <n v="1349"/>
        <n v="1350"/>
        <n v="1356"/>
        <n v="1357"/>
        <n v="1358"/>
        <n v="1360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8"/>
        <n v="1379"/>
        <n v="1383"/>
        <n v="1384"/>
        <n v="1385"/>
        <n v="1386"/>
        <n v="1387"/>
        <n v="1388"/>
        <n v="1389"/>
        <n v="1391"/>
        <n v="1392"/>
        <n v="1393"/>
        <n v="1394"/>
        <n v="1395"/>
        <n v="1397"/>
        <n v="1398"/>
        <n v="1399"/>
        <n v="1400"/>
        <n v="1401"/>
        <n v="1402"/>
        <n v="1403"/>
        <n v="1412"/>
        <n v="1414"/>
        <n v="1416"/>
        <n v="1417"/>
        <n v="1418"/>
        <n v="1420"/>
        <n v="1421"/>
        <n v="1422"/>
        <n v="1423"/>
        <n v="1424"/>
        <n v="1425"/>
        <n v="1426"/>
        <n v="1429"/>
        <n v="1431"/>
        <n v="1432"/>
        <n v="1434"/>
        <n v="1435"/>
        <n v="1436"/>
        <n v="1437"/>
        <n v="1438"/>
        <n v="1439"/>
        <n v="1441"/>
        <n v="1442"/>
        <n v="1443"/>
        <n v="1445"/>
        <n v="1446"/>
        <n v="1447"/>
        <n v="1448"/>
        <n v="1449"/>
        <n v="1452"/>
        <n v="1454"/>
        <n v="1455"/>
        <n v="1456"/>
        <n v="1457"/>
        <n v="1458"/>
        <n v="1459"/>
        <n v="1460"/>
        <n v="1462"/>
        <n v="1463"/>
        <n v="1464"/>
        <n v="1468"/>
        <n v="1469"/>
        <n v="1470"/>
        <n v="1471"/>
        <n v="1472"/>
        <n v="1473"/>
        <n v="1474"/>
        <n v="1475"/>
        <n v="1476"/>
        <n v="1477"/>
        <n v="1479"/>
        <n v="1482"/>
        <n v="1483"/>
        <n v="1487"/>
        <n v="1488"/>
        <n v="1489"/>
        <n v="1491"/>
        <n v="1494"/>
        <n v="1495"/>
        <n v="1496"/>
        <n v="1500"/>
        <n v="1501"/>
        <n v="1503"/>
        <n v="1504"/>
        <n v="1506"/>
        <n v="1507"/>
        <n v="1508"/>
        <n v="1509"/>
        <n v="1510"/>
        <n v="1511"/>
        <n v="1512"/>
        <n v="1513"/>
        <n v="1514"/>
        <n v="1515"/>
        <n v="1516"/>
        <n v="1518"/>
        <n v="1519"/>
        <n v="1520"/>
        <n v="1521"/>
        <n v="1522"/>
        <n v="1523"/>
        <n v="1524"/>
        <n v="1527"/>
        <n v="1528"/>
        <n v="1531"/>
        <n v="1532"/>
        <n v="1541"/>
        <n v="1542"/>
        <n v="1543"/>
        <n v="1544"/>
        <n v="1545"/>
        <n v="1546"/>
        <n v="1549"/>
        <n v="1556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6"/>
        <n v="1577"/>
        <n v="1578"/>
        <n v="1579"/>
        <n v="1580"/>
        <n v="1583"/>
        <n v="1584"/>
        <n v="1585"/>
        <n v="1587"/>
        <n v="1588"/>
        <n v="1594"/>
        <n v="1599"/>
        <n v="1600"/>
        <n v="1603"/>
        <n v="1604"/>
        <n v="1606"/>
        <n v="1607"/>
        <n v="1608"/>
        <n v="1609"/>
        <n v="1612"/>
        <n v="1613"/>
        <n v="1614"/>
        <n v="1615"/>
        <n v="1616"/>
        <n v="1618"/>
        <n v="1619"/>
        <n v="1620"/>
        <n v="1621"/>
        <n v="1622"/>
        <n v="1625"/>
        <n v="1626"/>
        <n v="1627"/>
        <n v="1629"/>
        <n v="1630"/>
        <n v="1631"/>
        <n v="1632"/>
        <n v="1633"/>
        <n v="1637"/>
        <n v="1639"/>
        <n v="1640"/>
        <n v="1641"/>
        <n v="1642"/>
        <n v="1644"/>
        <n v="1646"/>
        <n v="1647"/>
        <n v="1649"/>
        <n v="1651"/>
        <n v="1652"/>
        <n v="1653"/>
        <n v="1654"/>
        <n v="1655"/>
        <n v="1656"/>
        <n v="1657"/>
        <n v="1658"/>
        <n v="1660"/>
        <n v="1662"/>
        <n v="1663"/>
        <n v="1666"/>
        <n v="1667"/>
        <n v="1671"/>
        <n v="1674"/>
        <n v="1675"/>
        <n v="1676"/>
        <n v="1682"/>
        <n v="1684"/>
        <n v="1685"/>
        <n v="1686"/>
        <n v="1687"/>
        <n v="1688"/>
        <n v="1691"/>
        <n v="1692"/>
        <n v="1694"/>
        <n v="1697"/>
        <n v="1698"/>
        <n v="1699"/>
        <n v="1700"/>
        <n v="1701"/>
        <n v="1702"/>
        <n v="1704"/>
        <n v="1705"/>
        <n v="1706"/>
        <n v="1707"/>
        <n v="1708"/>
        <n v="1710"/>
        <n v="1711"/>
        <n v="1712"/>
        <n v="1713"/>
        <n v="1714"/>
        <n v="1715"/>
        <n v="1716"/>
        <n v="1718"/>
        <n v="1719"/>
        <n v="1720"/>
        <n v="1721"/>
        <n v="1722"/>
        <n v="1723"/>
        <n v="1724"/>
        <n v="1725"/>
        <n v="1726"/>
        <n v="1727"/>
        <n v="1728"/>
        <n v="1730"/>
        <n v="1731"/>
        <n v="1732"/>
        <n v="1733"/>
        <n v="1734"/>
        <n v="1735"/>
        <n v="1737"/>
        <n v="1738"/>
        <n v="1739"/>
        <n v="1740"/>
        <n v="1743"/>
        <n v="1745"/>
        <n v="1746"/>
        <n v="1747"/>
        <n v="1748"/>
        <n v="1749"/>
        <n v="1751"/>
        <n v="1752"/>
        <n v="1753"/>
        <n v="1754"/>
        <n v="1755"/>
        <n v="1756"/>
        <n v="1757"/>
        <n v="1758"/>
        <n v="1759"/>
        <n v="1761"/>
        <n v="1764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9"/>
        <n v="1790"/>
        <n v="1791"/>
        <n v="1792"/>
        <n v="1793"/>
        <n v="1794"/>
        <n v="1795"/>
        <n v="1797"/>
        <n v="1799"/>
        <n v="1801"/>
        <n v="1802"/>
        <n v="1803"/>
        <n v="1804"/>
        <n v="1806"/>
        <n v="1808"/>
        <n v="1809"/>
        <n v="1811"/>
        <n v="1812"/>
        <n v="1813"/>
        <n v="1814"/>
        <n v="1815"/>
        <n v="1819"/>
        <n v="1823"/>
        <n v="1824"/>
        <n v="1825"/>
        <n v="1827"/>
        <n v="1829"/>
        <n v="1830"/>
        <n v="1831"/>
        <n v="1832"/>
        <n v="1833"/>
        <n v="1834"/>
        <n v="1835"/>
        <n v="1837"/>
        <n v="1839"/>
        <n v="1840"/>
        <n v="1841"/>
        <n v="1842"/>
        <n v="1843"/>
        <n v="1846"/>
        <n v="1847"/>
        <n v="1848"/>
        <n v="1849"/>
        <n v="1850"/>
        <n v="1852"/>
        <n v="1854"/>
        <n v="1856"/>
        <n v="1857"/>
        <n v="1858"/>
        <n v="1861"/>
        <n v="1862"/>
        <n v="1863"/>
        <n v="1864"/>
        <n v="1865"/>
        <n v="1867"/>
        <n v="1868"/>
        <n v="1869"/>
        <n v="1870"/>
        <n v="1871"/>
        <n v="1874"/>
        <n v="1875"/>
        <n v="1876"/>
        <n v="1877"/>
        <n v="1878"/>
        <n v="1879"/>
        <n v="1881"/>
        <n v="1882"/>
        <n v="1883"/>
        <n v="1884"/>
        <n v="1885"/>
        <n v="1886"/>
        <n v="1888"/>
        <n v="1890"/>
        <n v="1892"/>
        <n v="1896"/>
        <n v="1897"/>
        <n v="1900"/>
        <n v="1901"/>
        <n v="1902"/>
        <n v="1903"/>
        <n v="1904"/>
        <n v="1907"/>
        <n v="1908"/>
        <n v="1911"/>
        <n v="1913"/>
        <n v="1914"/>
        <n v="1915"/>
        <n v="1917"/>
        <n v="1921"/>
        <n v="1922"/>
        <n v="1923"/>
        <n v="1924"/>
        <n v="1927"/>
        <n v="1928"/>
        <n v="1929"/>
        <n v="1930"/>
        <n v="1932"/>
        <n v="1933"/>
        <n v="1934"/>
        <n v="1935"/>
        <n v="1955"/>
        <n v="1956"/>
        <n v="1957"/>
        <n v="1958"/>
        <n v="1959"/>
        <n v="1961"/>
        <n v="1962"/>
        <n v="1963"/>
        <n v="1964"/>
        <n v="1966"/>
        <n v="1969"/>
        <n v="1970"/>
        <n v="1972"/>
        <n v="1973"/>
        <n v="1974"/>
        <n v="1975"/>
        <n v="1976"/>
        <n v="1978"/>
        <n v="1979"/>
        <n v="1980"/>
        <n v="1981"/>
        <n v="1983"/>
        <n v="1984"/>
        <n v="1987"/>
        <n v="1992"/>
        <n v="1993"/>
        <n v="1994"/>
        <n v="1995"/>
        <n v="1996"/>
        <n v="1998"/>
        <n v="2000"/>
        <n v="2001"/>
        <n v="2003"/>
        <n v="2004"/>
        <n v="2005"/>
        <n v="2006"/>
        <n v="2007"/>
        <n v="2008"/>
        <n v="2009"/>
        <n v="2010"/>
        <n v="2011"/>
        <n v="2012"/>
        <n v="2013"/>
        <n v="2017"/>
        <n v="2018"/>
        <n v="2019"/>
        <n v="2026"/>
        <n v="2027"/>
        <n v="2028"/>
        <n v="2030"/>
        <n v="2031"/>
        <n v="2032"/>
        <n v="2035"/>
        <n v="2036"/>
        <n v="2037"/>
        <n v="2039"/>
        <n v="2042"/>
        <n v="2043"/>
        <n v="2044"/>
        <n v="2045"/>
        <n v="2047"/>
        <n v="2048"/>
        <n v="2049"/>
        <n v="2050"/>
        <n v="2051"/>
        <n v="2056"/>
        <n v="2057"/>
        <n v="2060"/>
        <n v="2061"/>
        <n v="2064"/>
        <n v="2066"/>
        <n v="2067"/>
        <n v="2068"/>
        <n v="2069"/>
        <n v="2070"/>
        <n v="2071"/>
        <n v="2072"/>
        <n v="2073"/>
        <n v="2074"/>
        <n v="2075"/>
        <n v="2077"/>
        <n v="2078"/>
        <n v="2079"/>
        <n v="2080"/>
        <n v="2082"/>
        <n v="2084"/>
        <n v="2085"/>
        <n v="2086"/>
        <n v="2087"/>
        <n v="2092"/>
        <n v="2094"/>
        <n v="2095"/>
        <n v="2096"/>
        <n v="2097"/>
        <n v="2098"/>
        <n v="2099"/>
        <n v="2100"/>
        <n v="2101"/>
        <n v="2102"/>
        <n v="2104"/>
        <n v="2105"/>
        <n v="2107"/>
        <n v="2108"/>
        <n v="2109"/>
        <n v="2110"/>
        <n v="2111"/>
        <n v="2113"/>
        <n v="2114"/>
        <n v="2115"/>
        <n v="2116"/>
        <n v="2120"/>
        <n v="2131"/>
        <n v="2132"/>
        <n v="2133"/>
        <n v="2135"/>
        <n v="2136"/>
        <n v="2139"/>
        <n v="2140"/>
        <n v="2142"/>
        <n v="2143"/>
        <n v="2144"/>
        <n v="2145"/>
        <n v="2147"/>
        <n v="2148"/>
        <n v="2156"/>
        <n v="2157"/>
        <n v="2159"/>
        <n v="2164"/>
        <n v="2165"/>
        <n v="2166"/>
        <n v="2169"/>
        <n v="2170"/>
        <n v="2172"/>
        <n v="2174"/>
        <n v="2175"/>
        <n v="2176"/>
        <n v="2177"/>
        <n v="2179"/>
        <n v="2180"/>
        <n v="2181"/>
        <n v="2182"/>
        <n v="2184"/>
        <n v="2185"/>
        <n v="2186"/>
        <n v="2187"/>
        <n v="2188"/>
        <n v="2189"/>
        <n v="2191"/>
        <n v="2192"/>
        <n v="2198"/>
        <n v="2200"/>
        <n v="2201"/>
        <n v="2205"/>
        <n v="2206"/>
        <n v="2207"/>
        <n v="2209"/>
        <n v="2210"/>
        <n v="2212"/>
        <n v="2213"/>
        <n v="2214"/>
        <n v="2215"/>
        <n v="2216"/>
        <n v="2217"/>
        <n v="2218"/>
        <n v="2220"/>
        <n v="2221"/>
        <n v="2222"/>
        <n v="2224"/>
        <n v="2225"/>
        <n v="2227"/>
        <n v="2231"/>
        <n v="2232"/>
        <n v="2234"/>
        <n v="2236"/>
        <n v="2237"/>
        <n v="2238"/>
        <n v="2240"/>
        <n v="2241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9"/>
        <n v="2262"/>
        <n v="2265"/>
        <n v="2266"/>
        <n v="2267"/>
        <n v="2269"/>
        <n v="2270"/>
        <n v="2272"/>
        <n v="2273"/>
        <n v="2276"/>
        <n v="2277"/>
        <n v="2278"/>
        <n v="2279"/>
        <n v="2280"/>
        <n v="2281"/>
        <n v="2282"/>
        <n v="2283"/>
        <n v="2285"/>
        <n v="2286"/>
        <n v="2289"/>
        <n v="2291"/>
        <n v="2294"/>
        <n v="2296"/>
        <n v="2297"/>
        <n v="2298"/>
        <n v="2299"/>
        <n v="2300"/>
        <n v="2301"/>
        <n v="2302"/>
        <n v="2303"/>
        <n v="2305"/>
        <n v="2306"/>
        <n v="2307"/>
        <n v="2309"/>
        <n v="2312"/>
        <n v="2313"/>
        <n v="2314"/>
        <n v="2315"/>
        <n v="2317"/>
        <n v="2318"/>
        <n v="2320"/>
        <n v="2321"/>
        <n v="2323"/>
        <n v="2326"/>
        <n v="2327"/>
        <n v="2328"/>
        <n v="2333"/>
        <n v="2334"/>
        <n v="2335"/>
        <n v="2336"/>
        <n v="2338"/>
        <n v="2341"/>
        <n v="2342"/>
        <n v="2343"/>
        <n v="2344"/>
        <n v="2346"/>
        <n v="2347"/>
        <n v="2348"/>
        <n v="2350"/>
        <n v="2351"/>
        <n v="2353"/>
        <n v="2355"/>
        <n v="2363"/>
        <n v="2364"/>
        <n v="2365"/>
        <n v="2366"/>
        <n v="2367"/>
        <n v="2368"/>
        <n v="2369"/>
        <n v="2370"/>
        <n v="2371"/>
        <n v="2372"/>
        <n v="2373"/>
        <n v="2378"/>
        <n v="2380"/>
        <n v="2385"/>
        <n v="2387"/>
        <n v="2388"/>
        <n v="2389"/>
        <n v="2390"/>
        <n v="2393"/>
        <n v="2394"/>
        <n v="2395"/>
        <n v="2396"/>
        <n v="2398"/>
        <n v="2399"/>
        <n v="2401"/>
        <n v="2402"/>
        <n v="2403"/>
        <n v="2405"/>
        <n v="2406"/>
        <n v="2407"/>
        <n v="2408"/>
        <n v="2409"/>
        <n v="2410"/>
        <n v="2412"/>
        <n v="2420"/>
        <n v="2422"/>
        <n v="2423"/>
        <n v="2425"/>
        <n v="2426"/>
        <n v="2428"/>
        <n v="2429"/>
        <n v="2430"/>
        <n v="2432"/>
        <n v="2434"/>
        <n v="2435"/>
        <n v="2436"/>
        <n v="2437"/>
        <n v="2439"/>
        <n v="2445"/>
        <n v="2446"/>
        <n v="2448"/>
        <n v="2449"/>
        <n v="2450"/>
        <n v="2451"/>
        <n v="2453"/>
        <n v="2454"/>
        <n v="2455"/>
        <n v="2456"/>
        <n v="2457"/>
        <n v="2458"/>
        <n v="2460"/>
        <n v="2461"/>
        <n v="2463"/>
        <n v="2464"/>
        <n v="2465"/>
        <n v="2466"/>
        <n v="2467"/>
        <n v="2468"/>
        <n v="2469"/>
        <n v="2470"/>
        <n v="2471"/>
        <n v="2472"/>
        <n v="2480"/>
        <n v="2481"/>
        <n v="2483"/>
        <n v="2486"/>
        <n v="2487"/>
        <n v="2488"/>
        <n v="2489"/>
        <n v="2490"/>
        <n v="2491"/>
        <n v="2493"/>
        <n v="2495"/>
        <n v="2497"/>
        <n v="2498"/>
        <n v="2499"/>
        <n v="2501"/>
        <n v="2502"/>
        <n v="2503"/>
        <n v="2504"/>
        <n v="2505"/>
        <n v="2507"/>
        <n v="2508"/>
        <n v="2509"/>
        <n v="2511"/>
        <n v="2513"/>
        <n v="2518"/>
        <n v="2521"/>
        <n v="2523"/>
        <n v="2524"/>
        <n v="2525"/>
        <n v="2526"/>
        <n v="2527"/>
        <n v="2528"/>
        <n v="2530"/>
        <n v="2531"/>
        <n v="2532"/>
        <n v="2533"/>
        <n v="2534"/>
        <n v="2535"/>
        <n v="2536"/>
        <n v="2537"/>
        <n v="2540"/>
        <n v="2541"/>
        <n v="2542"/>
        <n v="2544"/>
        <n v="2545"/>
        <n v="2546"/>
        <n v="2548"/>
        <n v="2550"/>
        <n v="2551"/>
        <n v="2554"/>
        <n v="2555"/>
        <n v="2556"/>
        <n v="2557"/>
        <n v="2558"/>
        <n v="2559"/>
        <n v="2560"/>
        <n v="2562"/>
        <n v="2563"/>
        <n v="2564"/>
        <n v="2565"/>
        <n v="2566"/>
        <n v="2567"/>
        <n v="2568"/>
        <n v="2569"/>
        <n v="2570"/>
        <n v="2571"/>
        <n v="2572"/>
        <n v="2573"/>
        <n v="2575"/>
        <n v="2576"/>
        <n v="2580"/>
        <n v="2581"/>
        <n v="2584"/>
        <n v="2587"/>
        <n v="2589"/>
        <n v="2590"/>
        <n v="2591"/>
        <n v="2592"/>
        <n v="2593"/>
        <n v="2594"/>
        <n v="2595"/>
        <n v="2596"/>
        <n v="2597"/>
        <n v="2599"/>
        <n v="2600"/>
        <n v="2601"/>
        <n v="2603"/>
        <n v="2604"/>
        <n v="2605"/>
        <n v="2606"/>
        <n v="2607"/>
        <n v="2613"/>
        <n v="2614"/>
        <n v="2615"/>
        <n v="2617"/>
        <n v="2618"/>
        <n v="2620"/>
        <n v="2621"/>
        <n v="2623"/>
        <n v="2624"/>
        <n v="2625"/>
        <n v="2626"/>
        <n v="2629"/>
        <n v="2630"/>
        <n v="2631"/>
        <n v="2632"/>
        <n v="2633"/>
        <n v="2634"/>
        <n v="2635"/>
        <n v="2636"/>
        <n v="2637"/>
        <n v="2638"/>
        <n v="2639"/>
        <n v="2642"/>
        <n v="2644"/>
        <n v="2645"/>
        <n v="2646"/>
        <n v="2648"/>
        <n v="2650"/>
        <n v="2652"/>
        <n v="2654"/>
        <n v="2655"/>
        <n v="2656"/>
        <n v="2657"/>
        <n v="2659"/>
        <n v="2660"/>
        <n v="2661"/>
        <n v="2662"/>
        <n v="2663"/>
        <n v="2664"/>
        <n v="2665"/>
        <n v="2666"/>
        <n v="2668"/>
        <n v="2669"/>
        <n v="2670"/>
        <n v="2671"/>
        <n v="2672"/>
        <n v="2674"/>
        <n v="2676"/>
        <n v="2679"/>
        <n v="2681"/>
        <n v="2682"/>
        <n v="2683"/>
        <n v="2685"/>
        <n v="2686"/>
        <n v="2688"/>
        <n v="2689"/>
        <n v="2691"/>
        <n v="2692"/>
        <n v="2694"/>
        <n v="2695"/>
        <n v="2697"/>
        <n v="2698"/>
        <n v="2703"/>
        <n v="2707"/>
        <n v="2712"/>
        <n v="2713"/>
        <n v="2715"/>
        <n v="2716"/>
        <n v="2718"/>
        <n v="2719"/>
        <n v="2720"/>
        <n v="2721"/>
        <n v="2722"/>
        <n v="2724"/>
        <n v="2725"/>
        <n v="2727"/>
        <n v="2728"/>
        <n v="2730"/>
        <n v="2733"/>
        <n v="2734"/>
        <n v="2735"/>
        <n v="2736"/>
        <n v="2737"/>
        <n v="2738"/>
        <n v="2739"/>
        <n v="2740"/>
        <n v="2743"/>
        <n v="2746"/>
        <n v="2747"/>
        <n v="2748"/>
        <n v="2755"/>
        <n v="2758"/>
        <n v="2761"/>
        <n v="2762"/>
        <n v="2763"/>
        <n v="2764"/>
        <n v="2765"/>
        <n v="2766"/>
        <n v="2772"/>
        <n v="2773"/>
        <n v="2774"/>
        <n v="2775"/>
        <n v="2776"/>
        <n v="2777"/>
        <n v="2778"/>
        <n v="2779"/>
        <n v="2780"/>
        <n v="2781"/>
        <n v="2782"/>
        <n v="2783"/>
        <n v="2784"/>
        <n v="2785"/>
        <n v="2786"/>
        <n v="2787"/>
        <n v="2788"/>
        <n v="2790"/>
        <n v="2793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7"/>
        <n v="2808"/>
        <n v="2809"/>
        <n v="2810"/>
        <n v="2811"/>
        <n v="2812"/>
        <n v="2813"/>
        <n v="2816"/>
        <n v="2817"/>
        <n v="2818"/>
        <n v="2820"/>
        <n v="2821"/>
        <n v="2822"/>
        <n v="2823"/>
        <n v="2824"/>
        <n v="2825"/>
        <n v="2826"/>
        <n v="2827"/>
        <n v="2828"/>
        <n v="2829"/>
        <n v="2830"/>
        <n v="2831"/>
        <n v="2832"/>
        <n v="2833"/>
        <n v="2834"/>
        <n v="2835"/>
        <n v="2836"/>
        <n v="2837"/>
        <n v="2842"/>
        <n v="2844"/>
        <n v="2846"/>
        <n v="2849"/>
        <n v="2852"/>
        <n v="2853"/>
        <n v="2854"/>
        <n v="2855"/>
        <n v="2856"/>
        <n v="2857"/>
        <n v="2858"/>
        <n v="2859"/>
        <n v="2860"/>
        <n v="2861"/>
        <n v="2862"/>
        <n v="2864"/>
        <n v="2865"/>
        <n v="2866"/>
        <n v="2867"/>
        <n v="2868"/>
        <n v="2869"/>
        <n v="2870"/>
        <n v="2871"/>
        <n v="2872"/>
        <n v="2873"/>
        <n v="2874"/>
        <n v="2875"/>
        <n v="2878"/>
        <n v="2879"/>
        <n v="2880"/>
        <n v="2881"/>
        <n v="2882"/>
        <n v="2883"/>
        <n v="2884"/>
        <n v="2885"/>
        <n v="2886"/>
        <n v="2887"/>
        <n v="2888"/>
        <n v="2889"/>
        <n v="2890"/>
        <n v="2891"/>
        <n v="2896"/>
        <n v="2897"/>
        <n v="2898"/>
        <n v="2899"/>
        <n v="2900"/>
        <n v="2902"/>
        <n v="2903"/>
        <n v="2904"/>
        <n v="2905"/>
        <n v="2907"/>
        <n v="2908"/>
        <n v="2909"/>
        <n v="2910"/>
        <n v="2911"/>
        <n v="2913"/>
        <n v="2914"/>
        <n v="2915"/>
        <n v="2916"/>
        <n v="2917"/>
        <n v="2918"/>
        <n v="2919"/>
        <n v="2921"/>
        <n v="2922"/>
        <n v="2923"/>
        <n v="2924"/>
        <n v="2926"/>
        <n v="2927"/>
        <n v="2928"/>
        <n v="2929"/>
        <n v="2930"/>
        <n v="2931"/>
        <n v="2932"/>
        <n v="2933"/>
        <n v="2934"/>
        <n v="2935"/>
        <n v="2938"/>
        <n v="2941"/>
        <n v="2947"/>
        <n v="2948"/>
        <n v="2951"/>
        <n v="2952"/>
        <n v="2953"/>
        <n v="2954"/>
        <n v="2956"/>
        <n v="2957"/>
        <n v="2958"/>
        <n v="2959"/>
        <n v="2960"/>
        <n v="2961"/>
        <n v="2962"/>
        <n v="2963"/>
        <n v="2964"/>
        <n v="2967"/>
        <n v="2969"/>
        <n v="2970"/>
        <n v="2971"/>
        <n v="2972"/>
        <n v="2973"/>
        <n v="2984"/>
        <n v="2986"/>
        <n v="2987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</sharedItems>
    </cacheField>
    <cacheField name="Номер вх.  док." numFmtId="0">
      <sharedItems containsBlank="1" containsMixedTypes="1" containsNumber="1" containsInteger="1" minValue="1" maxValue="582311" count="109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8"/>
        <n v="49"/>
        <n v="50"/>
        <n v="51"/>
        <n v="52"/>
        <n v="53"/>
        <n v="54"/>
        <n v="55"/>
        <n v="56"/>
        <n v="57"/>
        <n v="58"/>
        <n v="60"/>
        <n v="61"/>
        <n v="62"/>
        <n v="63"/>
        <n v="64"/>
        <n v="65"/>
        <n v="66"/>
        <n v="67"/>
        <n v="68"/>
        <n v="69"/>
        <n v="70"/>
        <n v="71"/>
        <n v="72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7776"/>
        <n v="7810"/>
        <n v="7811"/>
        <n v="7812"/>
        <n v="7814"/>
        <n v="7815"/>
        <n v="7823"/>
        <n v="7824"/>
        <n v="7828"/>
        <n v="7829"/>
        <n v="7843"/>
        <n v="7847"/>
        <n v="7848"/>
        <n v="7853"/>
        <n v="7951"/>
        <n v="7952"/>
        <n v="7954"/>
        <n v="7955"/>
        <n v="7958"/>
        <n v="7959"/>
        <n v="7960"/>
        <n v="7961"/>
        <n v="7962"/>
        <n v="7963"/>
        <n v="7974"/>
        <n v="7975"/>
        <n v="7977"/>
        <n v="7978"/>
        <n v="7982"/>
        <n v="7987"/>
        <n v="7993"/>
        <n v="7994"/>
        <n v="7995"/>
        <n v="7998"/>
        <n v="7999"/>
        <n v="8000"/>
        <n v="8005"/>
        <n v="8006"/>
        <n v="8007"/>
        <n v="8010"/>
        <n v="8012"/>
        <n v="8017"/>
        <n v="8019"/>
        <n v="8028"/>
        <n v="8029"/>
        <n v="8030"/>
        <n v="8035"/>
        <n v="8036"/>
        <n v="8037"/>
        <n v="8041"/>
        <n v="8043"/>
        <n v="8044"/>
        <n v="8046"/>
        <n v="8054"/>
        <n v="8055"/>
        <n v="8059"/>
        <n v="8069"/>
        <n v="8072"/>
        <n v="8073"/>
        <n v="8076"/>
        <n v="8083"/>
        <n v="8085"/>
        <n v="8086"/>
        <n v="8091"/>
        <n v="8093"/>
        <n v="8206"/>
        <n v="8319"/>
        <n v="8320"/>
        <n v="8321"/>
        <n v="8322"/>
        <n v="8323"/>
        <n v="8324"/>
        <n v="8325"/>
        <n v="8326"/>
        <n v="8327"/>
        <n v="8328"/>
        <n v="8329"/>
        <n v="8330"/>
        <n v="8333"/>
        <n v="8334"/>
        <n v="8335"/>
        <n v="8336"/>
        <n v="8337"/>
        <n v="8339"/>
        <n v="8340"/>
        <n v="8341"/>
        <n v="8342"/>
        <n v="8344"/>
        <n v="8345"/>
        <n v="8348"/>
        <n v="8353"/>
        <n v="8354"/>
        <n v="8355"/>
        <n v="8387"/>
        <n v="9410"/>
        <n v="9411"/>
        <n v="9412"/>
        <n v="9413"/>
        <n v="9415"/>
        <n v="9416"/>
        <n v="9417"/>
        <n v="9419"/>
        <n v="9430"/>
        <n v="9444"/>
        <n v="9445"/>
        <n v="9449"/>
        <n v="9450"/>
        <n v="9453"/>
        <n v="9455"/>
        <n v="9456"/>
        <n v="9458"/>
        <n v="9459"/>
        <n v="9460"/>
        <n v="9462"/>
        <n v="9464"/>
        <n v="9466"/>
        <n v="9468"/>
        <n v="9470"/>
        <n v="9472"/>
        <n v="9476"/>
        <n v="9478"/>
        <n v="9480"/>
        <n v="9482"/>
        <n v="9484"/>
        <n v="9486"/>
        <n v="9488"/>
        <n v="9490"/>
        <n v="9492"/>
        <n v="9494"/>
        <n v="9496"/>
        <n v="9498"/>
        <n v="9500"/>
        <n v="9502"/>
        <n v="9504"/>
        <n v="9505"/>
        <n v="9506"/>
        <n v="9507"/>
        <n v="9508"/>
        <n v="9510"/>
        <n v="9512"/>
        <n v="9514"/>
        <n v="9516"/>
        <n v="9518"/>
        <n v="9520"/>
        <n v="9522"/>
        <n v="9524"/>
        <n v="9526"/>
        <n v="9528"/>
        <n v="9530"/>
        <n v="9532"/>
        <n v="9534"/>
        <n v="9536"/>
        <n v="9538"/>
        <n v="9540"/>
        <n v="9542"/>
        <n v="9559"/>
        <n v="10008"/>
        <n v="10324"/>
        <n v="10325"/>
        <n v="10326"/>
        <n v="10327"/>
        <n v="10328"/>
        <n v="10329"/>
        <n v="10335"/>
        <n v="10338"/>
        <n v="10343"/>
        <n v="10348"/>
        <n v="10350"/>
        <n v="10351"/>
        <n v="10361"/>
        <n v="10364"/>
        <n v="10371"/>
        <n v="10384"/>
        <n v="10386"/>
        <n v="10387"/>
        <n v="10388"/>
        <n v="10389"/>
        <n v="10390"/>
        <n v="10391"/>
        <n v="10392"/>
        <n v="10393"/>
        <n v="10394"/>
        <n v="10395"/>
        <n v="10396"/>
        <n v="10397"/>
        <n v="10398"/>
        <n v="10399"/>
        <n v="10400"/>
        <n v="10401"/>
        <n v="10402"/>
        <n v="10404"/>
        <n v="10405"/>
        <n v="10406"/>
        <n v="10422"/>
        <n v="10424"/>
        <n v="10429"/>
        <n v="10592"/>
        <n v="10630"/>
        <n v="10643"/>
        <n v="10653"/>
        <n v="11284"/>
        <n v="11285"/>
        <n v="11294"/>
        <n v="11480"/>
        <n v="11482"/>
        <n v="11499"/>
        <n v="11576"/>
        <n v="11577"/>
        <n v="11579"/>
        <n v="11601"/>
        <n v="11602"/>
        <n v="28289"/>
        <n v="29985"/>
        <n v="29987"/>
        <n v="29991"/>
        <n v="29993"/>
        <n v="29995"/>
        <n v="29997"/>
        <n v="29999"/>
        <n v="30001"/>
        <n v="30004"/>
        <n v="30006"/>
        <n v="30017"/>
        <n v="30043"/>
        <n v="30045"/>
        <n v="30089"/>
        <n v="30091"/>
        <n v="30093"/>
        <n v="30095"/>
        <n v="30097"/>
        <n v="30099"/>
        <n v="30101"/>
        <n v="30103"/>
        <n v="30105"/>
        <n v="30107"/>
        <n v="30109"/>
        <n v="30111"/>
        <n v="30113"/>
        <n v="30115"/>
        <n v="30119"/>
        <n v="30121"/>
        <n v="30123"/>
        <n v="30125"/>
        <n v="30127"/>
        <n v="30129"/>
        <n v="30131"/>
        <n v="30133"/>
        <n v="30137"/>
        <n v="30142"/>
        <n v="30196"/>
        <n v="30198"/>
        <n v="30200"/>
        <n v="30202"/>
        <n v="30204"/>
        <n v="30206"/>
        <n v="30208"/>
        <n v="30210"/>
        <n v="30212"/>
        <n v="30214"/>
        <n v="30216"/>
        <n v="30218"/>
        <n v="30220"/>
        <n v="30222"/>
        <n v="30224"/>
        <n v="30226"/>
        <n v="30228"/>
        <n v="30230"/>
        <n v="30232"/>
        <n v="30234"/>
        <n v="30238"/>
        <n v="30240"/>
        <n v="30252"/>
        <n v="30254"/>
        <n v="30268"/>
        <n v="30288"/>
        <n v="30290"/>
        <n v="30293"/>
        <n v="30300"/>
        <n v="30302"/>
        <n v="30304"/>
        <n v="30306"/>
        <n v="30314"/>
        <n v="30320"/>
        <n v="30322"/>
        <n v="30324"/>
        <n v="30334"/>
        <n v="30336"/>
        <n v="30339"/>
        <n v="30342"/>
        <n v="30344"/>
        <n v="30346"/>
        <n v="30348"/>
        <n v="30350"/>
        <n v="30352"/>
        <n v="30356"/>
        <n v="30358"/>
        <n v="30360"/>
        <n v="30362"/>
        <n v="30364"/>
        <n v="30366"/>
        <n v="30368"/>
        <n v="30371"/>
        <n v="30373"/>
        <n v="30381"/>
        <n v="30387"/>
        <n v="30393"/>
        <n v="30395"/>
        <n v="30397"/>
        <n v="30402"/>
        <n v="30404"/>
        <n v="30406"/>
        <n v="30408"/>
        <n v="30410"/>
        <n v="30412"/>
        <n v="30414"/>
        <n v="30416"/>
        <n v="30418"/>
        <n v="30420"/>
        <n v="30422"/>
        <n v="30424"/>
        <n v="30435"/>
        <n v="30437"/>
        <n v="30439"/>
        <n v="30445"/>
        <n v="30447"/>
        <n v="30450"/>
        <n v="30452"/>
        <n v="30454"/>
        <n v="30456"/>
        <n v="30458"/>
        <n v="30460"/>
        <n v="30463"/>
        <n v="30466"/>
        <n v="30468"/>
        <n v="30470"/>
        <n v="30472"/>
        <n v="30474"/>
        <n v="30476"/>
        <n v="30478"/>
        <n v="30482"/>
        <n v="30484"/>
        <n v="30486"/>
        <n v="30488"/>
        <n v="30490"/>
        <n v="30492"/>
        <n v="30493"/>
        <n v="30495"/>
        <n v="30497"/>
        <n v="30499"/>
        <n v="30501"/>
        <n v="30503"/>
        <n v="30505"/>
        <n v="30507"/>
        <n v="30509"/>
        <n v="30511"/>
        <n v="30513"/>
        <n v="30515"/>
        <n v="30517"/>
        <n v="36939"/>
        <n v="36946"/>
        <n v="36948"/>
        <n v="36952"/>
        <n v="36955"/>
        <n v="36957"/>
        <n v="36959"/>
        <n v="36961"/>
        <n v="36963"/>
        <n v="36965"/>
        <n v="36967"/>
        <n v="36969"/>
        <n v="36971"/>
        <n v="36973"/>
        <n v="36975"/>
        <n v="36983"/>
        <n v="36985"/>
        <n v="36987"/>
        <n v="36989"/>
        <n v="36991"/>
        <n v="36993"/>
        <n v="36995"/>
        <n v="37137"/>
        <n v="37139"/>
        <n v="37141"/>
        <n v="37143"/>
        <n v="37145"/>
        <n v="37147"/>
        <n v="37149"/>
        <n v="37151"/>
        <n v="37153"/>
        <n v="37155"/>
        <n v="37157"/>
        <n v="37159"/>
        <n v="37161"/>
        <n v="37163"/>
        <n v="37165"/>
        <n v="37167"/>
        <n v="37169"/>
        <n v="37171"/>
        <n v="37173"/>
        <n v="37175"/>
        <n v="37177"/>
        <n v="37179"/>
        <n v="37181"/>
        <n v="37183"/>
        <n v="37185"/>
        <n v="37187"/>
        <n v="37189"/>
        <n v="37191"/>
        <n v="37193"/>
        <n v="37195"/>
        <n v="37197"/>
        <n v="37199"/>
        <n v="37204"/>
        <n v="37224"/>
        <n v="37247"/>
        <n v="37251"/>
        <n v="37253"/>
        <n v="37255"/>
        <n v="37257"/>
        <n v="37259"/>
        <n v="37261"/>
        <n v="37263"/>
        <n v="37265"/>
        <n v="37267"/>
        <n v="37269"/>
        <n v="37271"/>
        <n v="37273"/>
        <n v="37275"/>
        <n v="37277"/>
        <n v="37279"/>
        <n v="37281"/>
        <n v="37288"/>
        <n v="37290"/>
        <n v="37300"/>
        <n v="37302"/>
        <n v="37304"/>
        <n v="37306"/>
        <n v="37308"/>
        <n v="37310"/>
        <n v="37312"/>
        <n v="37314"/>
        <n v="37316"/>
        <n v="37318"/>
        <n v="37320"/>
        <n v="37322"/>
        <n v="37324"/>
        <n v="37326"/>
        <n v="37330"/>
        <n v="37332"/>
        <n v="37334"/>
        <n v="37336"/>
        <n v="37338"/>
        <n v="37340"/>
        <n v="37342"/>
        <n v="37344"/>
        <n v="37346"/>
        <n v="37348"/>
        <n v="37350"/>
        <n v="37352"/>
        <n v="37359"/>
        <n v="37361"/>
        <n v="37363"/>
        <n v="37365"/>
        <n v="37367"/>
        <n v="37369"/>
        <n v="37372"/>
        <n v="37380"/>
        <n v="37382"/>
        <n v="37384"/>
        <n v="37399"/>
        <n v="37421"/>
        <n v="37423"/>
        <n v="37426"/>
        <n v="37428"/>
        <n v="37430"/>
        <n v="37432"/>
        <n v="37434"/>
        <n v="37436"/>
        <n v="37456"/>
        <n v="37458"/>
        <n v="37460"/>
        <n v="37462"/>
        <n v="37464"/>
        <n v="37480"/>
        <n v="37486"/>
        <n v="37492"/>
        <n v="37494"/>
        <n v="37499"/>
        <n v="37501"/>
        <n v="37503"/>
        <n v="37515"/>
        <n v="37517"/>
        <n v="37521"/>
        <n v="37523"/>
        <n v="37527"/>
        <n v="37529"/>
        <n v="37533"/>
        <n v="37535"/>
        <n v="37537"/>
        <n v="37539"/>
        <n v="37541"/>
        <n v="37543"/>
        <n v="37545"/>
        <n v="37547"/>
        <n v="37549"/>
        <n v="37551"/>
        <n v="37553"/>
        <n v="37555"/>
        <n v="37557"/>
        <n v="37559"/>
        <n v="37561"/>
        <n v="37563"/>
        <n v="37565"/>
        <n v="37567"/>
        <n v="37569"/>
        <n v="37571"/>
        <n v="37573"/>
        <n v="37575"/>
        <n v="37577"/>
        <n v="37579"/>
        <n v="37581"/>
        <n v="37590"/>
        <n v="37593"/>
        <n v="37595"/>
        <n v="37602"/>
        <n v="37616"/>
        <n v="37618"/>
        <n v="37622"/>
        <n v="37624"/>
        <n v="37626"/>
        <n v="37628"/>
        <n v="37683"/>
        <n v="37689"/>
        <n v="37693"/>
        <n v="37695"/>
        <n v="37697"/>
        <n v="37699"/>
        <n v="37701"/>
        <n v="37703"/>
        <n v="37705"/>
        <n v="37709"/>
        <n v="37711"/>
        <n v="37715"/>
        <n v="37719"/>
        <n v="37724"/>
        <n v="37726"/>
        <n v="37728"/>
        <n v="37730"/>
        <n v="37736"/>
        <n v="37738"/>
        <n v="37740"/>
        <n v="37742"/>
        <n v="37744"/>
        <n v="37747"/>
        <n v="37749"/>
        <n v="37751"/>
        <n v="37753"/>
        <n v="37755"/>
        <n v="54984"/>
        <n v="54990"/>
        <n v="54991"/>
        <n v="54992"/>
        <n v="54993"/>
        <n v="54994"/>
        <n v="54995"/>
        <n v="54996"/>
        <n v="57726"/>
        <n v="57727"/>
        <n v="57728"/>
        <n v="57729"/>
        <n v="57730"/>
        <n v="57731"/>
        <n v="57732"/>
        <n v="58106"/>
        <n v="58108"/>
        <n v="58110"/>
        <n v="58112"/>
        <n v="58114"/>
        <n v="58116"/>
        <n v="58118"/>
        <n v="58120"/>
        <n v="58122"/>
        <n v="58124"/>
        <n v="58126"/>
        <n v="58128"/>
        <n v="58154"/>
        <n v="58156"/>
        <n v="58162"/>
        <n v="58167"/>
        <n v="58171"/>
        <n v="58180"/>
        <n v="58182"/>
        <n v="58184"/>
        <n v="58186"/>
        <n v="58188"/>
        <n v="58190"/>
        <n v="58192"/>
        <n v="58194"/>
        <n v="58196"/>
        <n v="58208"/>
        <n v="58210"/>
        <n v="58213"/>
        <n v="58215"/>
        <n v="58217"/>
        <n v="58219"/>
        <n v="58221"/>
        <n v="58223"/>
        <n v="58225"/>
        <n v="58227"/>
        <n v="58229"/>
        <n v="58233"/>
        <n v="58235"/>
        <n v="58237"/>
        <n v="58239"/>
        <n v="58241"/>
        <n v="58243"/>
        <n v="58245"/>
        <n v="58247"/>
        <n v="58257"/>
        <n v="58259"/>
        <n v="58269"/>
        <n v="58283"/>
        <n v="58285"/>
        <n v="58287"/>
        <n v="58291"/>
        <n v="58293"/>
        <n v="58295"/>
        <n v="58297"/>
        <n v="58299"/>
        <n v="58301"/>
        <n v="58313"/>
        <n v="58315"/>
        <n v="58326"/>
        <n v="58328"/>
        <n v="58330"/>
        <n v="58332"/>
        <n v="58334"/>
        <n v="58336"/>
        <n v="58338"/>
        <n v="58346"/>
        <n v="58354"/>
        <n v="58366"/>
        <n v="58368"/>
        <n v="58370"/>
        <n v="58373"/>
        <n v="58380"/>
        <n v="58382"/>
        <n v="58389"/>
        <n v="58391"/>
        <n v="58397"/>
        <n v="58407"/>
        <n v="58411"/>
        <n v="58413"/>
        <n v="58416"/>
        <n v="58418"/>
        <n v="58420"/>
        <n v="58425"/>
        <n v="58427"/>
        <n v="58432"/>
        <n v="58437"/>
        <n v="58440"/>
        <n v="58445"/>
        <n v="58448"/>
        <n v="58450"/>
        <n v="58452"/>
        <n v="58462"/>
        <n v="58492"/>
        <n v="58509"/>
        <n v="58511"/>
        <n v="58513"/>
        <n v="58523"/>
        <n v="58525"/>
        <n v="58535"/>
        <n v="58537"/>
        <n v="58539"/>
        <n v="58542"/>
        <n v="58544"/>
        <n v="58546"/>
        <n v="58548"/>
        <n v="58550"/>
        <n v="58552"/>
        <n v="58554"/>
        <n v="58556"/>
        <n v="58558"/>
        <n v="58560"/>
        <n v="58562"/>
        <n v="58573"/>
        <n v="58579"/>
        <n v="58581"/>
        <n v="58600"/>
        <n v="58604"/>
        <n v="58606"/>
        <n v="58616"/>
        <n v="58618"/>
        <n v="58620"/>
        <n v="58624"/>
        <n v="58626"/>
        <n v="58628"/>
        <n v="58630"/>
        <n v="58632"/>
        <n v="58634"/>
        <n v="58636"/>
        <n v="58638"/>
        <n v="58640"/>
        <n v="58642"/>
        <n v="58644"/>
        <n v="58648"/>
        <n v="58655"/>
        <n v="58664"/>
        <n v="58666"/>
        <n v="58668"/>
        <n v="58670"/>
        <n v="58673"/>
        <n v="58677"/>
        <n v="58679"/>
        <n v="58681"/>
        <n v="58683"/>
        <n v="58685"/>
        <n v="58687"/>
        <n v="58689"/>
        <n v="58691"/>
        <n v="58693"/>
        <n v="58695"/>
        <n v="58697"/>
        <n v="58699"/>
        <n v="58701"/>
        <n v="58703"/>
        <n v="58705"/>
        <n v="58707"/>
        <n v="59158"/>
        <n v="77183"/>
        <n v="77185"/>
        <n v="77187"/>
        <n v="77189"/>
        <n v="77191"/>
        <n v="77193"/>
        <n v="77195"/>
        <n v="77197"/>
        <n v="77199"/>
        <n v="77201"/>
        <n v="77235"/>
        <n v="77237"/>
        <n v="77245"/>
        <n v="77247"/>
        <n v="77262"/>
        <n v="300194"/>
        <n v="582311"/>
        <s v="37722/1"/>
        <s v="8(б)"/>
        <s v="б/н"/>
        <s v="Д1-009474"/>
        <m/>
      </sharedItems>
    </cacheField>
    <cacheField name="Контрагент" numFmtId="0">
      <sharedItems count="10">
        <s v="АГРОЛИДЕР ООО"/>
        <s v="ГРИН РЭЙ КУБАНЬ ООО"/>
        <s v="ГУДНЕСС ФУДС ГОФИЦКОЕ ООО"/>
        <s v="ГУДНЕСС ФУДС ДЖАЛГА ООО"/>
        <s v="ГУДНЕСС ФУДС ИПАТОВСКИЙ ООО"/>
        <s v="КОЛОС ООО"/>
        <s v="КОЛХОЗ ЛЕНИНСКИЙ ПУТЬ ООО"/>
        <s v="МОК БРАТКОВСКИЙ АО"/>
        <s v="СОВХОЗ ИМЕНИ КИРОВА АО"/>
        <s v="СОЮЗ-АГРО ООО"/>
      </sharedItems>
    </cacheField>
    <cacheField name="Водитель" numFmtId="0">
      <sharedItems count="49">
        <s v="Аладин Василий Сергеевич"/>
        <s v="Бербеницкий Сергей Николаевич"/>
        <s v="Блажко Алексей Николаевич"/>
        <s v="Богучарский А. И."/>
        <s v="Бондаренко Николай Николаевич"/>
        <s v="Веревкин Андрей Александрович"/>
        <s v="Глушенко Александр Иванович"/>
        <s v="Грищенко Александр Александрович"/>
        <s v="Гужва А М."/>
        <s v="Давыденко Юрий Викторович"/>
        <s v="Данильченко Ю.А."/>
        <s v="Демченко Анатолий Григорьевич"/>
        <s v="Дик Илья Александрович"/>
        <s v="Долгих Николай Петрович"/>
        <s v="Егоян Артем Владимирович"/>
        <s v="Емец Р.А."/>
        <s v="Жданов Андрей Иванович"/>
        <s v="Затонский Сергей Анатольевич"/>
        <s v="Игольницын Сергей Владимирович"/>
        <s v="Извеков Владимир Владимирович"/>
        <s v="Ковырев Владислав Анатольевич"/>
        <s v="Кудря Евгений"/>
        <s v="Кулик О В"/>
        <s v="Кулинич Евгений Владимирович"/>
        <s v="Лазаренко Вячеслав Владимирович"/>
        <s v="Магадиев Александр Сайлаувич"/>
        <s v="Майстровский В.Н."/>
        <s v="Мудрак Вадим Васильевич"/>
        <s v="Мудрак Игорь Вадимович"/>
        <s v="Никитась Сергей Анатольевич"/>
        <s v="Огнев Максим Викторович"/>
        <s v="Пищев Александр Васильевич "/>
        <s v="Погуляй А.Б.       "/>
        <s v="Пугачев Сергей Викторович"/>
        <s v="Ревенко Андрей Вячеславович"/>
        <s v="Рудик Александр Иванович"/>
        <s v="Рыбалкин АН"/>
        <s v="Сайко Василий Викторович"/>
        <s v="Сероштан Станислав Викторович"/>
        <s v="Сотников Сергей Кириллович"/>
        <s v="Титаренко Максим Сергеевич"/>
        <s v="Ушаков С Е."/>
        <s v="Фомин Николай Григорьевич"/>
        <s v="Ховятский АМ"/>
        <s v="Черевко А В"/>
        <s v="Черевко Александр Владимирович"/>
        <s v="Чернецов Александр Михайлович"/>
        <s v="Чернышов Александр Павлович"/>
        <s v="Чигрин Н.А."/>
      </sharedItems>
    </cacheField>
    <cacheField name="Автомобиль" numFmtId="0">
      <sharedItems count="47">
        <s v="А114МК"/>
        <s v="А309АТ"/>
        <s v="А315МК"/>
        <s v="А701СН"/>
        <s v="А719ОО"/>
        <s v="А731ВА"/>
        <s v="А781РР"/>
        <s v="А816ЕВ"/>
        <s v="А819ЕВ"/>
        <s v="В780ТТ"/>
        <s v="Е404УС"/>
        <s v="Е647РМ"/>
        <s v="Е758РЕ"/>
        <s v="К403ЕМ"/>
        <s v="К416ТН"/>
        <s v="К570ЕО"/>
        <s v="М057АО"/>
        <s v="М556ХВ"/>
        <s v="М676КО"/>
        <s v="М704ТС"/>
        <s v="Н234ВК"/>
        <s v="Н378ХЕ"/>
        <s v="Н735ВК"/>
        <s v="О212РТ"/>
        <s v="О398ХО"/>
        <s v="О824ТХ"/>
        <s v="Р258УХ"/>
        <s v="Р347КА"/>
        <s v="Р684ОХ"/>
        <s v="Р687УК"/>
        <s v="Р755НН"/>
        <s v="Р818СЕ"/>
        <s v="Р866РМ"/>
        <s v="С198УЕ"/>
        <s v="С400РР"/>
        <s v="С707ОУ"/>
        <s v="Т110ТМ"/>
        <s v="Т239УС"/>
        <s v="Т285ВЕ"/>
        <s v="Т443МВ"/>
        <s v="Т522ОН"/>
        <s v="У094СР"/>
        <s v="У184НО"/>
        <s v="У315НХ"/>
        <s v="У726ЕР"/>
        <s v="У801СТ"/>
        <s v="Х514ОК"/>
      </sharedItems>
    </cacheField>
    <cacheField name="Номер поля" numFmtId="0">
      <sharedItems containsBlank="1" count="36">
        <s v="1 (1) им. Кирова ЗАО"/>
        <s v="1 (2) им. Кирова ЗАО"/>
        <s v="1 (3) им. Кирова ЗАО"/>
        <s v="1 (4) им. Кирова ЗАО"/>
        <s v="1102 Иррико (Джалга)"/>
        <s v="1103 Иррико (Джалга)"/>
        <s v="1107 Иррико (Джалга)"/>
        <s v="1111 Иррико (Джалга)"/>
        <s v="1113 Иррико (Джалга)"/>
        <s v="14/1 Агролидер"/>
        <s v="15/1 Агролидер"/>
        <s v="16/1 Агролидер"/>
        <s v="2.11 Иррико-Холдинг (Гофицкое)"/>
        <s v="2.12 Иррико-Холдинг (Гофицкое)"/>
        <s v="2.2 Колос"/>
        <s v="2.2.1 Иррико-Холдинг (Гофицкое)"/>
        <s v="2.3 Колос"/>
        <s v="2.3.1 Иррико-Холдинг (Гофицкое)"/>
        <s v="3.2 Иррико-Холдинг (Гофицкое)"/>
        <s v="3.29 Иррико-Холдинг (Гофицкое)"/>
        <s v="3.31 Иррико-Холдинг (Гофицкое)"/>
        <s v="3.6 Колос"/>
        <s v="4.1 Колос"/>
        <s v="4.2 Колос"/>
        <s v="4.3 Колос"/>
        <s v="40/1 Братковский"/>
        <s v="41/1 Братковский"/>
        <s v="411 Иррико-Холдинг (Винодельненский)"/>
        <s v="50/1 Братковский"/>
        <s v="505 Иррико-Холдинг (Винодельненский)"/>
        <s v="605 Иррико-Холдинг (Винодельненский)"/>
        <s v="А-108/7"/>
        <s v="А-113/1"/>
        <s v="А-113/2"/>
        <s v="А-79"/>
        <m/>
      </sharedItems>
    </cacheField>
    <cacheField name="Хар-ка" numFmtId="0">
      <sharedItems count="16">
        <s v="Вероника"/>
        <s v="Генератор"/>
        <s v="ЗУИ 7469"/>
        <s v="Импресс"/>
        <s v="Карамелло"/>
        <s v="Киара"/>
        <s v="Лендкрузер"/>
        <s v="Мирза"/>
        <s v="Оватонна"/>
        <s v="Роялти"/>
        <s v="Сентинель"/>
        <s v="Хан"/>
        <s v="Харди"/>
        <s v="Шайнрок"/>
        <s v="Щербет"/>
        <s v="Энтерпрайз"/>
      </sharedItems>
    </cacheField>
    <cacheField name="Исх. номенклатура" numFmtId="0">
      <sharedItems count="8">
        <s v="Кукуруза сахарная (из суперсладких сортов) 2025"/>
        <s v="Кукуруза сахарная (из суперсладких сортов) 2025 Иррико-Холдинг"/>
        <s v="Кукуруза сахарная 2025"/>
        <s v="Кукуруза сахарная 2025 Агролидер"/>
        <s v="Кукуруза сахарная 2025 АО совхоз им.Кирова"/>
        <s v="Кукуруза сахарная 2025 Братковский"/>
        <s v="Кукуруза сахарная 2025 Иррико-Холдинг"/>
        <s v="Кукуруза сахарная 2025 Колос ООО"/>
      </sharedItems>
    </cacheField>
    <cacheField name="Вес нетто ЗАКУПКА" numFmtId="0">
      <sharedItems containsString="0" containsBlank="1" containsNumber="1" containsInteger="1" minValue="6050" maxValue="42190" count="89">
        <n v="6050"/>
        <n v="7120"/>
        <n v="9080"/>
        <n v="9620"/>
        <n v="14610"/>
        <n v="16210"/>
        <n v="16830"/>
        <n v="19230"/>
        <n v="19900"/>
        <n v="20720"/>
        <n v="20910"/>
        <n v="21190"/>
        <n v="21420"/>
        <n v="21540"/>
        <n v="21610"/>
        <n v="21770"/>
        <n v="21900"/>
        <n v="22180"/>
        <n v="22230"/>
        <n v="22390"/>
        <n v="22430"/>
        <n v="22500"/>
        <n v="22510"/>
        <n v="22560"/>
        <n v="22570"/>
        <n v="22690"/>
        <n v="22760"/>
        <n v="22800"/>
        <n v="22950"/>
        <n v="22990"/>
        <n v="23280"/>
        <n v="23420"/>
        <n v="23580"/>
        <n v="23660"/>
        <n v="23670"/>
        <n v="23820"/>
        <n v="24170"/>
        <n v="24190"/>
        <n v="24200"/>
        <n v="24230"/>
        <n v="24270"/>
        <n v="24300"/>
        <n v="24350"/>
        <n v="24380"/>
        <n v="24480"/>
        <n v="24770"/>
        <n v="24830"/>
        <n v="24970"/>
        <n v="24990"/>
        <n v="25000"/>
        <n v="25020"/>
        <n v="25530"/>
        <n v="25580"/>
        <n v="25680"/>
        <n v="26040"/>
        <n v="26220"/>
        <n v="26240"/>
        <n v="26420"/>
        <n v="26530"/>
        <n v="26740"/>
        <n v="26780"/>
        <n v="26930"/>
        <n v="27120"/>
        <n v="27180"/>
        <n v="27290"/>
        <n v="27460"/>
        <n v="27540"/>
        <n v="27830"/>
        <n v="27840"/>
        <n v="27940"/>
        <n v="28380"/>
        <n v="28850"/>
        <n v="28900"/>
        <n v="28930"/>
        <n v="29060"/>
        <n v="29270"/>
        <n v="29910"/>
        <n v="30390"/>
        <n v="30960"/>
        <n v="31170"/>
        <n v="32190"/>
        <n v="32200"/>
        <n v="32910"/>
        <n v="35050"/>
        <n v="35310"/>
        <n v="39440"/>
        <n v="41190"/>
        <n v="42190"/>
        <m/>
      </sharedItems>
    </cacheField>
    <cacheField name="Дата уборки" numFmtId="0">
      <sharedItems containsNonDate="0" containsDate="1" containsString="0" containsBlank="1" minDate="2025-08-08T00:00:00" maxDate="2025-11-09T00:00:00" count="82">
        <d v="2025-08-08T00:00:00"/>
        <d v="2025-08-09T00:00:00"/>
        <d v="2025-08-10T00:00:00"/>
        <d v="2025-08-11T00:00:00"/>
        <d v="2025-08-13T00:00:00"/>
        <d v="2025-08-14T00:00:00"/>
        <d v="2025-08-15T00:00:00"/>
        <d v="2025-08-17T00:00:00"/>
        <d v="2025-08-18T00:00:00"/>
        <d v="2025-08-19T00:00:00"/>
        <d v="2025-08-20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3T00:00:00"/>
        <d v="2025-09-04T00:00:00"/>
        <d v="2025-09-05T00:00:00"/>
        <d v="2025-09-07T00:00:00"/>
        <d v="2025-09-08T00:00:00"/>
        <d v="2025-09-09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5T00:00:00"/>
        <d v="2025-09-26T00:00:00"/>
        <d v="2025-09-27T00:00:00"/>
        <d v="2025-09-28T00:00:00"/>
        <d v="2025-09-29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8T00:00:00"/>
        <d v="2025-11-09T00:00:00"/>
        <m/>
      </sharedItems>
    </cacheField>
    <cacheField name="Площадь уборки, га" numFmtId="0">
      <sharedItems containsSemiMixedTypes="0" containsString="0" containsNumber="1" minValue="0" maxValue="6.2" count="43">
        <n v="0"/>
        <n v="0.1"/>
        <n v="0.3"/>
        <n v="0.4"/>
        <n v="0.5"/>
        <n v="0.6"/>
        <n v="0.7"/>
        <n v="0.8"/>
        <n v="0.9"/>
        <n v="1"/>
        <n v="1.1"/>
        <n v="1.2"/>
        <n v="1.3"/>
        <n v="1.4"/>
        <n v="1.5"/>
        <n v="1.6"/>
        <n v="1.7"/>
        <n v="1.8"/>
        <n v="1.9"/>
        <n v="2"/>
        <n v="2.1"/>
        <n v="2.2"/>
        <n v="2.3"/>
        <n v="2.4"/>
        <n v="2.5"/>
        <n v="2.6"/>
        <n v="2.7"/>
        <n v="2.8"/>
        <n v="2.9"/>
        <n v="3"/>
        <n v="3.1"/>
        <n v="3.2"/>
        <n v="3.3"/>
        <n v="3.4"/>
        <n v="3.5"/>
        <n v="3.6"/>
        <n v="3.7"/>
        <n v="3.9"/>
        <n v="4"/>
        <n v="4.1"/>
        <n v="4.2"/>
        <n v="4.9"/>
        <n v="6.2"/>
      </sharedItems>
    </cacheField>
    <cacheField name="Поле уточн" numFmtId="0">
      <sharedItems containsMixedTypes="1" containsNumber="1" containsInteger="1" minValue="0" maxValue="0" count="38">
        <n v="0"/>
        <s v="1 (1) им. Кирова ЗАО"/>
        <s v="1 (2) им. Кирова ЗАО"/>
        <s v="1 (3) им. Кирова ЗАО"/>
        <s v="1 (4) им. Кирова ЗАО"/>
        <s v="1102 Иррико (Джалга)"/>
        <s v="1103 Иррико (Джалга)"/>
        <s v="1107 Иррико (Джалга)"/>
        <s v="1111 Иррико (Джалга)"/>
        <s v="1113 Иррико (Джалга)"/>
        <s v="14/1 Агролидер"/>
        <s v="15/1 Агролидер"/>
        <s v="16/1 Агролидер"/>
        <s v="2.11 Иррико-Холдинг (Гофицкое)"/>
        <s v="2.12 Иррико-Холдинг (Гофицкое)"/>
        <s v="2.2 Колос"/>
        <s v="2.2.1 Иррико-Холдинг (Гофицкое)"/>
        <s v="2.3 Колос"/>
        <s v="2.3.1 Иррико-Холдинг (Гофицкое)"/>
        <s v="3.2 Иррико-Холдинг (Гофицкое)"/>
        <s v="3.29 Иррико-Холдинг (Гофицкое)"/>
        <s v="3.31 Иррико-Холдинг (Гофицкое)"/>
        <s v="3.6 Колос"/>
        <s v="4.1 Колос"/>
        <s v="4.2 Колос"/>
        <s v="4.3 Колос"/>
        <s v="40/1 Братковский"/>
        <s v="41/1 Братковский"/>
        <s v="411 Иррико-Холдинг (Винодельненский)"/>
        <s v="50/1 Братковский"/>
        <s v="505 Иррико-Холдинг (Винодельненский)"/>
        <s v="605 Иррико-Холдинг (Винодельненский)"/>
        <s v="А-108/7"/>
        <s v="А-113/1"/>
        <s v="А-113/2"/>
        <s v="А-113/2, А-113/1"/>
        <s v="А-79"/>
        <s v="Закупка Братковский"/>
      </sharedItems>
    </cacheField>
    <cacheField name="Вес брутто" numFmtId="0">
      <sharedItems containsSemiMixedTypes="0" containsString="0" containsNumber="1" containsInteger="1" minValue="15790" maxValue="68260" count="934">
        <n v="15790"/>
        <n v="19190"/>
        <n v="21410"/>
        <n v="21960"/>
        <n v="22380"/>
        <n v="23210"/>
        <n v="24020"/>
        <n v="24080"/>
        <n v="24510"/>
        <n v="25200"/>
        <n v="25480"/>
        <n v="25770"/>
        <n v="26720"/>
        <n v="26840"/>
        <n v="27380"/>
        <n v="27540"/>
        <n v="27570"/>
        <n v="27770"/>
        <n v="27900"/>
        <n v="28110"/>
        <n v="28250"/>
        <n v="28290"/>
        <n v="28410"/>
        <n v="28680"/>
        <n v="28690"/>
        <n v="28750"/>
        <n v="28770"/>
        <n v="29340"/>
        <n v="29430"/>
        <n v="29600"/>
        <n v="29610"/>
        <n v="29670"/>
        <n v="30390"/>
        <n v="30660"/>
        <n v="30940"/>
        <n v="30970"/>
        <n v="31230"/>
        <n v="31590"/>
        <n v="32100"/>
        <n v="32120"/>
        <n v="32270"/>
        <n v="32320"/>
        <n v="32420"/>
        <n v="32550"/>
        <n v="32690"/>
        <n v="33080"/>
        <n v="33100"/>
        <n v="33150"/>
        <n v="33220"/>
        <n v="33330"/>
        <n v="33340"/>
        <n v="33450"/>
        <n v="33520"/>
        <n v="33650"/>
        <n v="33680"/>
        <n v="33750"/>
        <n v="33760"/>
        <n v="33770"/>
        <n v="33910"/>
        <n v="33930"/>
        <n v="33960"/>
        <n v="33980"/>
        <n v="34000"/>
        <n v="34010"/>
        <n v="34030"/>
        <n v="34070"/>
        <n v="34090"/>
        <n v="34150"/>
        <n v="34160"/>
        <n v="34200"/>
        <n v="34280"/>
        <n v="34290"/>
        <n v="34330"/>
        <n v="34350"/>
        <n v="34360"/>
        <n v="34370"/>
        <n v="34410"/>
        <n v="34460"/>
        <n v="34500"/>
        <n v="34530"/>
        <n v="34560"/>
        <n v="34630"/>
        <n v="34720"/>
        <n v="34770"/>
        <n v="34810"/>
        <n v="34820"/>
        <n v="34830"/>
        <n v="34840"/>
        <n v="34850"/>
        <n v="34860"/>
        <n v="34870"/>
        <n v="34900"/>
        <n v="34920"/>
        <n v="34930"/>
        <n v="34960"/>
        <n v="34970"/>
        <n v="34980"/>
        <n v="34990"/>
        <n v="35000"/>
        <n v="35020"/>
        <n v="35040"/>
        <n v="35060"/>
        <n v="35090"/>
        <n v="35120"/>
        <n v="35140"/>
        <n v="35150"/>
        <n v="35190"/>
        <n v="35210"/>
        <n v="35220"/>
        <n v="35230"/>
        <n v="35240"/>
        <n v="35250"/>
        <n v="35300"/>
        <n v="35310"/>
        <n v="35330"/>
        <n v="35360"/>
        <n v="35380"/>
        <n v="35390"/>
        <n v="35440"/>
        <n v="35450"/>
        <n v="35460"/>
        <n v="35480"/>
        <n v="35510"/>
        <n v="35520"/>
        <n v="35530"/>
        <n v="35540"/>
        <n v="35590"/>
        <n v="35620"/>
        <n v="35640"/>
        <n v="35650"/>
        <n v="35660"/>
        <n v="35670"/>
        <n v="35690"/>
        <n v="35730"/>
        <n v="35740"/>
        <n v="35760"/>
        <n v="35770"/>
        <n v="35810"/>
        <n v="35840"/>
        <n v="35850"/>
        <n v="35870"/>
        <n v="35880"/>
        <n v="35900"/>
        <n v="35910"/>
        <n v="35950"/>
        <n v="35970"/>
        <n v="35980"/>
        <n v="36000"/>
        <n v="36020"/>
        <n v="36030"/>
        <n v="36040"/>
        <n v="36050"/>
        <n v="36060"/>
        <n v="36080"/>
        <n v="36090"/>
        <n v="36100"/>
        <n v="36110"/>
        <n v="36130"/>
        <n v="36160"/>
        <n v="36170"/>
        <n v="36180"/>
        <n v="36190"/>
        <n v="36200"/>
        <n v="36210"/>
        <n v="36220"/>
        <n v="36230"/>
        <n v="36240"/>
        <n v="36250"/>
        <n v="36260"/>
        <n v="36270"/>
        <n v="36290"/>
        <n v="36300"/>
        <n v="36320"/>
        <n v="36340"/>
        <n v="36350"/>
        <n v="36360"/>
        <n v="36370"/>
        <n v="36380"/>
        <n v="36390"/>
        <n v="36400"/>
        <n v="36410"/>
        <n v="36440"/>
        <n v="36500"/>
        <n v="36510"/>
        <n v="36520"/>
        <n v="36530"/>
        <n v="36560"/>
        <n v="36570"/>
        <n v="36580"/>
        <n v="36590"/>
        <n v="36600"/>
        <n v="36610"/>
        <n v="36620"/>
        <n v="36630"/>
        <n v="36660"/>
        <n v="36670"/>
        <n v="36680"/>
        <n v="36690"/>
        <n v="36720"/>
        <n v="36730"/>
        <n v="36750"/>
        <n v="36760"/>
        <n v="36800"/>
        <n v="36810"/>
        <n v="36840"/>
        <n v="36860"/>
        <n v="36870"/>
        <n v="36890"/>
        <n v="36920"/>
        <n v="36930"/>
        <n v="36940"/>
        <n v="36950"/>
        <n v="36960"/>
        <n v="36970"/>
        <n v="36980"/>
        <n v="36990"/>
        <n v="37000"/>
        <n v="37010"/>
        <n v="37050"/>
        <n v="37060"/>
        <n v="37070"/>
        <n v="37080"/>
        <n v="37090"/>
        <n v="37100"/>
        <n v="37120"/>
        <n v="37130"/>
        <n v="37140"/>
        <n v="37150"/>
        <n v="37170"/>
        <n v="37180"/>
        <n v="37190"/>
        <n v="37200"/>
        <n v="37210"/>
        <n v="37220"/>
        <n v="37250"/>
        <n v="37270"/>
        <n v="37280"/>
        <n v="37300"/>
        <n v="37310"/>
        <n v="37320"/>
        <n v="37340"/>
        <n v="37350"/>
        <n v="37360"/>
        <n v="37380"/>
        <n v="37420"/>
        <n v="37430"/>
        <n v="37440"/>
        <n v="37450"/>
        <n v="37460"/>
        <n v="37480"/>
        <n v="37490"/>
        <n v="37500"/>
        <n v="37510"/>
        <n v="37520"/>
        <n v="37530"/>
        <n v="37540"/>
        <n v="37550"/>
        <n v="37560"/>
        <n v="37570"/>
        <n v="37590"/>
        <n v="37600"/>
        <n v="37610"/>
        <n v="37630"/>
        <n v="37640"/>
        <n v="37650"/>
        <n v="37660"/>
        <n v="37670"/>
        <n v="37680"/>
        <n v="37700"/>
        <n v="37710"/>
        <n v="37730"/>
        <n v="37740"/>
        <n v="37750"/>
        <n v="37790"/>
        <n v="37800"/>
        <n v="37810"/>
        <n v="37820"/>
        <n v="37830"/>
        <n v="37840"/>
        <n v="37870"/>
        <n v="37880"/>
        <n v="37890"/>
        <n v="37910"/>
        <n v="37920"/>
        <n v="37930"/>
        <n v="37950"/>
        <n v="37960"/>
        <n v="37970"/>
        <n v="37980"/>
        <n v="37990"/>
        <n v="38000"/>
        <n v="38010"/>
        <n v="38020"/>
        <n v="38030"/>
        <n v="38040"/>
        <n v="38050"/>
        <n v="38060"/>
        <n v="38070"/>
        <n v="38080"/>
        <n v="38090"/>
        <n v="38100"/>
        <n v="38110"/>
        <n v="38130"/>
        <n v="38140"/>
        <n v="38150"/>
        <n v="38160"/>
        <n v="38170"/>
        <n v="38190"/>
        <n v="38200"/>
        <n v="38220"/>
        <n v="38230"/>
        <n v="38240"/>
        <n v="38250"/>
        <n v="38260"/>
        <n v="38270"/>
        <n v="38280"/>
        <n v="38290"/>
        <n v="38320"/>
        <n v="38330"/>
        <n v="38340"/>
        <n v="38350"/>
        <n v="38360"/>
        <n v="38380"/>
        <n v="38390"/>
        <n v="38400"/>
        <n v="38410"/>
        <n v="38420"/>
        <n v="38430"/>
        <n v="38440"/>
        <n v="38450"/>
        <n v="38460"/>
        <n v="38470"/>
        <n v="38480"/>
        <n v="38490"/>
        <n v="38510"/>
        <n v="38520"/>
        <n v="38530"/>
        <n v="38540"/>
        <n v="38550"/>
        <n v="38560"/>
        <n v="38570"/>
        <n v="38580"/>
        <n v="38590"/>
        <n v="38600"/>
        <n v="38610"/>
        <n v="38620"/>
        <n v="38630"/>
        <n v="38650"/>
        <n v="38660"/>
        <n v="38670"/>
        <n v="38680"/>
        <n v="38690"/>
        <n v="38700"/>
        <n v="38710"/>
        <n v="38730"/>
        <n v="38740"/>
        <n v="38750"/>
        <n v="38760"/>
        <n v="38770"/>
        <n v="38780"/>
        <n v="38790"/>
        <n v="38800"/>
        <n v="38810"/>
        <n v="38820"/>
        <n v="38830"/>
        <n v="38850"/>
        <n v="38860"/>
        <n v="38870"/>
        <n v="38880"/>
        <n v="38890"/>
        <n v="38900"/>
        <n v="38920"/>
        <n v="38940"/>
        <n v="38960"/>
        <n v="38970"/>
        <n v="38980"/>
        <n v="38990"/>
        <n v="39000"/>
        <n v="39010"/>
        <n v="39020"/>
        <n v="39030"/>
        <n v="39040"/>
        <n v="39050"/>
        <n v="39060"/>
        <n v="39070"/>
        <n v="39090"/>
        <n v="39100"/>
        <n v="39110"/>
        <n v="39120"/>
        <n v="39130"/>
        <n v="39140"/>
        <n v="39150"/>
        <n v="39160"/>
        <n v="39170"/>
        <n v="39180"/>
        <n v="39190"/>
        <n v="39200"/>
        <n v="39210"/>
        <n v="39220"/>
        <n v="39230"/>
        <n v="39240"/>
        <n v="39250"/>
        <n v="39260"/>
        <n v="39270"/>
        <n v="39280"/>
        <n v="39290"/>
        <n v="39300"/>
        <n v="39310"/>
        <n v="39320"/>
        <n v="39330"/>
        <n v="39340"/>
        <n v="39350"/>
        <n v="39360"/>
        <n v="39370"/>
        <n v="39380"/>
        <n v="39390"/>
        <n v="39400"/>
        <n v="39410"/>
        <n v="39420"/>
        <n v="39440"/>
        <n v="39450"/>
        <n v="39460"/>
        <n v="39470"/>
        <n v="39480"/>
        <n v="39490"/>
        <n v="39500"/>
        <n v="39510"/>
        <n v="39520"/>
        <n v="39530"/>
        <n v="39540"/>
        <n v="39560"/>
        <n v="39570"/>
        <n v="39580"/>
        <n v="39590"/>
        <n v="39610"/>
        <n v="39630"/>
        <n v="39640"/>
        <n v="39650"/>
        <n v="39660"/>
        <n v="39670"/>
        <n v="39680"/>
        <n v="39690"/>
        <n v="39700"/>
        <n v="39710"/>
        <n v="39720"/>
        <n v="39730"/>
        <n v="39740"/>
        <n v="39750"/>
        <n v="39760"/>
        <n v="39770"/>
        <n v="39780"/>
        <n v="39790"/>
        <n v="39800"/>
        <n v="39810"/>
        <n v="39820"/>
        <n v="39830"/>
        <n v="39840"/>
        <n v="39850"/>
        <n v="39860"/>
        <n v="39870"/>
        <n v="39880"/>
        <n v="39890"/>
        <n v="39900"/>
        <n v="39910"/>
        <n v="39920"/>
        <n v="39930"/>
        <n v="39940"/>
        <n v="39950"/>
        <n v="39960"/>
        <n v="39970"/>
        <n v="39980"/>
        <n v="39990"/>
        <n v="40000"/>
        <n v="40010"/>
        <n v="40020"/>
        <n v="40030"/>
        <n v="40040"/>
        <n v="40060"/>
        <n v="40070"/>
        <n v="40080"/>
        <n v="40090"/>
        <n v="40100"/>
        <n v="40110"/>
        <n v="40120"/>
        <n v="40130"/>
        <n v="40140"/>
        <n v="40150"/>
        <n v="40160"/>
        <n v="40170"/>
        <n v="40180"/>
        <n v="40190"/>
        <n v="40200"/>
        <n v="40210"/>
        <n v="40220"/>
        <n v="40230"/>
        <n v="40240"/>
        <n v="40250"/>
        <n v="40260"/>
        <n v="40270"/>
        <n v="40280"/>
        <n v="40290"/>
        <n v="40300"/>
        <n v="40310"/>
        <n v="40330"/>
        <n v="40340"/>
        <n v="40350"/>
        <n v="40370"/>
        <n v="40380"/>
        <n v="40390"/>
        <n v="40400"/>
        <n v="40410"/>
        <n v="40420"/>
        <n v="40430"/>
        <n v="40440"/>
        <n v="40450"/>
        <n v="40460"/>
        <n v="40480"/>
        <n v="40490"/>
        <n v="40500"/>
        <n v="40510"/>
        <n v="40520"/>
        <n v="40530"/>
        <n v="40550"/>
        <n v="40560"/>
        <n v="40570"/>
        <n v="40580"/>
        <n v="40590"/>
        <n v="40600"/>
        <n v="40610"/>
        <n v="40620"/>
        <n v="40640"/>
        <n v="40650"/>
        <n v="40660"/>
        <n v="40670"/>
        <n v="40680"/>
        <n v="40740"/>
        <n v="40750"/>
        <n v="40760"/>
        <n v="40770"/>
        <n v="40780"/>
        <n v="40790"/>
        <n v="40810"/>
        <n v="40820"/>
        <n v="40840"/>
        <n v="40860"/>
        <n v="40870"/>
        <n v="40890"/>
        <n v="40910"/>
        <n v="40920"/>
        <n v="40930"/>
        <n v="40940"/>
        <n v="40950"/>
        <n v="40960"/>
        <n v="40980"/>
        <n v="41000"/>
        <n v="41010"/>
        <n v="41020"/>
        <n v="41040"/>
        <n v="41050"/>
        <n v="41060"/>
        <n v="41080"/>
        <n v="41090"/>
        <n v="41100"/>
        <n v="41110"/>
        <n v="41120"/>
        <n v="41130"/>
        <n v="41140"/>
        <n v="41150"/>
        <n v="41170"/>
        <n v="41180"/>
        <n v="41190"/>
        <n v="41210"/>
        <n v="41220"/>
        <n v="41230"/>
        <n v="41240"/>
        <n v="41260"/>
        <n v="41270"/>
        <n v="41280"/>
        <n v="41290"/>
        <n v="41340"/>
        <n v="41350"/>
        <n v="41370"/>
        <n v="41390"/>
        <n v="41400"/>
        <n v="41410"/>
        <n v="41440"/>
        <n v="41450"/>
        <n v="41470"/>
        <n v="41480"/>
        <n v="41510"/>
        <n v="41540"/>
        <n v="41550"/>
        <n v="41560"/>
        <n v="41570"/>
        <n v="41580"/>
        <n v="41590"/>
        <n v="41600"/>
        <n v="41610"/>
        <n v="41630"/>
        <n v="41640"/>
        <n v="41660"/>
        <n v="41670"/>
        <n v="41680"/>
        <n v="41690"/>
        <n v="41710"/>
        <n v="41720"/>
        <n v="41750"/>
        <n v="41760"/>
        <n v="41780"/>
        <n v="41800"/>
        <n v="41820"/>
        <n v="41830"/>
        <n v="41850"/>
        <n v="41870"/>
        <n v="41880"/>
        <n v="41890"/>
        <n v="41930"/>
        <n v="41950"/>
        <n v="41980"/>
        <n v="42010"/>
        <n v="42020"/>
        <n v="42030"/>
        <n v="42050"/>
        <n v="42070"/>
        <n v="42080"/>
        <n v="42090"/>
        <n v="42130"/>
        <n v="42140"/>
        <n v="42150"/>
        <n v="42160"/>
        <n v="42170"/>
        <n v="42180"/>
        <n v="42220"/>
        <n v="42230"/>
        <n v="42240"/>
        <n v="42250"/>
        <n v="42270"/>
        <n v="42290"/>
        <n v="42310"/>
        <n v="42320"/>
        <n v="42350"/>
        <n v="42400"/>
        <n v="42410"/>
        <n v="42420"/>
        <n v="42430"/>
        <n v="42440"/>
        <n v="42450"/>
        <n v="42460"/>
        <n v="42490"/>
        <n v="42500"/>
        <n v="42510"/>
        <n v="42540"/>
        <n v="42550"/>
        <n v="42560"/>
        <n v="42640"/>
        <n v="42650"/>
        <n v="42660"/>
        <n v="42670"/>
        <n v="42720"/>
        <n v="42740"/>
        <n v="42760"/>
        <n v="42770"/>
        <n v="42790"/>
        <n v="42810"/>
        <n v="42840"/>
        <n v="42850"/>
        <n v="42860"/>
        <n v="42870"/>
        <n v="42910"/>
        <n v="42930"/>
        <n v="42950"/>
        <n v="42960"/>
        <n v="42970"/>
        <n v="42980"/>
        <n v="43010"/>
        <n v="43020"/>
        <n v="43030"/>
        <n v="43040"/>
        <n v="43070"/>
        <n v="43090"/>
        <n v="43100"/>
        <n v="43110"/>
        <n v="43120"/>
        <n v="43140"/>
        <n v="43170"/>
        <n v="43180"/>
        <n v="43210"/>
        <n v="43230"/>
        <n v="43250"/>
        <n v="43260"/>
        <n v="43270"/>
        <n v="43310"/>
        <n v="43320"/>
        <n v="43350"/>
        <n v="43360"/>
        <n v="43410"/>
        <n v="43460"/>
        <n v="43480"/>
        <n v="43490"/>
        <n v="43500"/>
        <n v="43510"/>
        <n v="43530"/>
        <n v="43540"/>
        <n v="43550"/>
        <n v="43570"/>
        <n v="43580"/>
        <n v="43680"/>
        <n v="43700"/>
        <n v="43730"/>
        <n v="43740"/>
        <n v="43750"/>
        <n v="43770"/>
        <n v="43790"/>
        <n v="43820"/>
        <n v="43880"/>
        <n v="43900"/>
        <n v="43910"/>
        <n v="43920"/>
        <n v="43940"/>
        <n v="43960"/>
        <n v="43980"/>
        <n v="44000"/>
        <n v="44030"/>
        <n v="44060"/>
        <n v="44150"/>
        <n v="44190"/>
        <n v="44210"/>
        <n v="44230"/>
        <n v="44250"/>
        <n v="44290"/>
        <n v="44360"/>
        <n v="44390"/>
        <n v="44420"/>
        <n v="44540"/>
        <n v="44560"/>
        <n v="44620"/>
        <n v="44670"/>
        <n v="44690"/>
        <n v="44800"/>
        <n v="44900"/>
        <n v="44940"/>
        <n v="44970"/>
        <n v="44980"/>
        <n v="45060"/>
        <n v="45070"/>
        <n v="45080"/>
        <n v="45100"/>
        <n v="45120"/>
        <n v="45140"/>
        <n v="45150"/>
        <n v="45160"/>
        <n v="45180"/>
        <n v="45250"/>
        <n v="45260"/>
        <n v="45360"/>
        <n v="45370"/>
        <n v="45390"/>
        <n v="45520"/>
        <n v="45580"/>
        <n v="45590"/>
        <n v="45650"/>
        <n v="45660"/>
        <n v="45680"/>
        <n v="45950"/>
        <n v="45980"/>
        <n v="46070"/>
        <n v="46130"/>
        <n v="46150"/>
        <n v="46180"/>
        <n v="46220"/>
        <n v="46390"/>
        <n v="46400"/>
        <n v="46470"/>
        <n v="46500"/>
        <n v="46560"/>
        <n v="46570"/>
        <n v="46580"/>
        <n v="46680"/>
        <n v="46750"/>
        <n v="46950"/>
        <n v="46960"/>
        <n v="46980"/>
        <n v="47000"/>
        <n v="47070"/>
        <n v="47140"/>
        <n v="47150"/>
        <n v="47160"/>
        <n v="47210"/>
        <n v="47260"/>
        <n v="47350"/>
        <n v="47420"/>
        <n v="47450"/>
        <n v="47460"/>
        <n v="47500"/>
        <n v="47570"/>
        <n v="47720"/>
        <n v="47860"/>
        <n v="47920"/>
        <n v="47940"/>
        <n v="47990"/>
        <n v="48070"/>
        <n v="48210"/>
        <n v="48220"/>
        <n v="48340"/>
        <n v="48380"/>
        <n v="48470"/>
        <n v="48500"/>
        <n v="48510"/>
        <n v="48850"/>
        <n v="49030"/>
        <n v="49130"/>
        <n v="49390"/>
        <n v="49570"/>
        <n v="49720"/>
        <n v="49850"/>
        <n v="49870"/>
        <n v="49950"/>
        <n v="49980"/>
        <n v="50040"/>
        <n v="50150"/>
        <n v="50270"/>
        <n v="50440"/>
        <n v="50510"/>
        <n v="50600"/>
        <n v="50670"/>
        <n v="50680"/>
        <n v="50770"/>
        <n v="50820"/>
        <n v="50900"/>
        <n v="50930"/>
        <n v="50980"/>
        <n v="51070"/>
        <n v="51140"/>
        <n v="51190"/>
        <n v="51520"/>
        <n v="51650"/>
        <n v="51660"/>
        <n v="51680"/>
        <n v="51770"/>
        <n v="51930"/>
        <n v="52000"/>
        <n v="52090"/>
        <n v="52150"/>
        <n v="52350"/>
        <n v="52560"/>
        <n v="52590"/>
        <n v="52710"/>
        <n v="52800"/>
        <n v="52810"/>
        <n v="52910"/>
        <n v="53280"/>
        <n v="53310"/>
        <n v="53330"/>
        <n v="53440"/>
        <n v="53680"/>
        <n v="53780"/>
        <n v="53920"/>
        <n v="54310"/>
        <n v="54350"/>
        <n v="54420"/>
        <n v="54440"/>
        <n v="54770"/>
        <n v="54820"/>
        <n v="54940"/>
        <n v="55380"/>
        <n v="55580"/>
        <n v="55660"/>
        <n v="55700"/>
        <n v="56030"/>
        <n v="56080"/>
        <n v="56270"/>
        <n v="56280"/>
        <n v="56660"/>
        <n v="57060"/>
        <n v="57650"/>
        <n v="57850"/>
        <n v="57980"/>
        <n v="58110"/>
        <n v="58480"/>
        <n v="58870"/>
        <n v="59720"/>
        <n v="59920"/>
        <n v="60070"/>
        <n v="60510"/>
        <n v="60950"/>
        <n v="61810"/>
        <n v="61960"/>
        <n v="62070"/>
        <n v="62190"/>
        <n v="62530"/>
        <n v="62600"/>
        <n v="62730"/>
        <n v="62760"/>
        <n v="62830"/>
        <n v="62860"/>
        <n v="62880"/>
        <n v="63210"/>
        <n v="63510"/>
        <n v="63600"/>
        <n v="63670"/>
        <n v="63830"/>
        <n v="63840"/>
        <n v="63860"/>
        <n v="63940"/>
        <n v="64040"/>
        <n v="64080"/>
        <n v="64100"/>
        <n v="64150"/>
        <n v="64250"/>
        <n v="64280"/>
        <n v="64490"/>
        <n v="64590"/>
        <n v="64650"/>
        <n v="64690"/>
        <n v="64730"/>
        <n v="64850"/>
        <n v="65020"/>
        <n v="65120"/>
        <n v="65180"/>
        <n v="65320"/>
        <n v="65330"/>
        <n v="65350"/>
        <n v="65370"/>
        <n v="65510"/>
        <n v="65660"/>
        <n v="65670"/>
        <n v="65700"/>
        <n v="66000"/>
        <n v="66060"/>
        <n v="66280"/>
        <n v="66540"/>
        <n v="66710"/>
        <n v="68020"/>
        <n v="68260"/>
      </sharedItems>
    </cacheField>
    <cacheField name="Вес тары" numFmtId="0">
      <sharedItems containsSemiMixedTypes="0" containsString="0" containsNumber="1" containsInteger="1" minValue="9570" maxValue="24970" count="390">
        <n v="9570"/>
        <n v="10120"/>
        <n v="10720"/>
        <n v="13800"/>
        <n v="13850"/>
        <n v="13860"/>
        <n v="13880"/>
        <n v="13890"/>
        <n v="13900"/>
        <n v="13910"/>
        <n v="13920"/>
        <n v="13930"/>
        <n v="13940"/>
        <n v="13950"/>
        <n v="13970"/>
        <n v="13980"/>
        <n v="13990"/>
        <n v="14000"/>
        <n v="14010"/>
        <n v="14020"/>
        <n v="14030"/>
        <n v="14040"/>
        <n v="14050"/>
        <n v="14090"/>
        <n v="14100"/>
        <n v="14110"/>
        <n v="14120"/>
        <n v="14150"/>
        <n v="14160"/>
        <n v="14170"/>
        <n v="14180"/>
        <n v="14190"/>
        <n v="14200"/>
        <n v="14210"/>
        <n v="14220"/>
        <n v="14230"/>
        <n v="14240"/>
        <n v="14250"/>
        <n v="14290"/>
        <n v="14320"/>
        <n v="14330"/>
        <n v="14360"/>
        <n v="14380"/>
        <n v="14400"/>
        <n v="14410"/>
        <n v="14420"/>
        <n v="14430"/>
        <n v="14440"/>
        <n v="14450"/>
        <n v="14460"/>
        <n v="14470"/>
        <n v="14480"/>
        <n v="14490"/>
        <n v="14500"/>
        <n v="14510"/>
        <n v="14520"/>
        <n v="14530"/>
        <n v="14540"/>
        <n v="14550"/>
        <n v="14560"/>
        <n v="14570"/>
        <n v="14580"/>
        <n v="14590"/>
        <n v="14600"/>
        <n v="14610"/>
        <n v="14620"/>
        <n v="14630"/>
        <n v="14640"/>
        <n v="14650"/>
        <n v="14660"/>
        <n v="14670"/>
        <n v="14680"/>
        <n v="14690"/>
        <n v="14700"/>
        <n v="14710"/>
        <n v="14720"/>
        <n v="14730"/>
        <n v="14740"/>
        <n v="14750"/>
        <n v="14760"/>
        <n v="14770"/>
        <n v="14780"/>
        <n v="14790"/>
        <n v="14800"/>
        <n v="14810"/>
        <n v="14820"/>
        <n v="14830"/>
        <n v="14840"/>
        <n v="14850"/>
        <n v="14860"/>
        <n v="14870"/>
        <n v="14880"/>
        <n v="14890"/>
        <n v="14900"/>
        <n v="14910"/>
        <n v="14920"/>
        <n v="14930"/>
        <n v="14940"/>
        <n v="14950"/>
        <n v="14960"/>
        <n v="14970"/>
        <n v="14980"/>
        <n v="14990"/>
        <n v="15000"/>
        <n v="15010"/>
        <n v="15020"/>
        <n v="15030"/>
        <n v="15040"/>
        <n v="15050"/>
        <n v="15060"/>
        <n v="15070"/>
        <n v="15080"/>
        <n v="15090"/>
        <n v="15100"/>
        <n v="15110"/>
        <n v="15120"/>
        <n v="15130"/>
        <n v="15140"/>
        <n v="15150"/>
        <n v="15160"/>
        <n v="15170"/>
        <n v="15180"/>
        <n v="15190"/>
        <n v="15200"/>
        <n v="15210"/>
        <n v="15220"/>
        <n v="15230"/>
        <n v="15240"/>
        <n v="15250"/>
        <n v="15260"/>
        <n v="15270"/>
        <n v="15280"/>
        <n v="15290"/>
        <n v="15300"/>
        <n v="15310"/>
        <n v="15320"/>
        <n v="15350"/>
        <n v="15360"/>
        <n v="15370"/>
        <n v="15380"/>
        <n v="15390"/>
        <n v="15400"/>
        <n v="15410"/>
        <n v="15420"/>
        <n v="15430"/>
        <n v="15440"/>
        <n v="15450"/>
        <n v="15460"/>
        <n v="15470"/>
        <n v="15480"/>
        <n v="15500"/>
        <n v="15510"/>
        <n v="15520"/>
        <n v="15530"/>
        <n v="15540"/>
        <n v="15550"/>
        <n v="15560"/>
        <n v="15570"/>
        <n v="15580"/>
        <n v="15590"/>
        <n v="15600"/>
        <n v="15610"/>
        <n v="15620"/>
        <n v="15630"/>
        <n v="15640"/>
        <n v="15650"/>
        <n v="15670"/>
        <n v="15680"/>
        <n v="15700"/>
        <n v="15710"/>
        <n v="15720"/>
        <n v="15730"/>
        <n v="15740"/>
        <n v="15750"/>
        <n v="15760"/>
        <n v="15780"/>
        <n v="15790"/>
        <n v="15800"/>
        <n v="15810"/>
        <n v="15820"/>
        <n v="15830"/>
        <n v="15840"/>
        <n v="15850"/>
        <n v="15860"/>
        <n v="15870"/>
        <n v="15890"/>
        <n v="15900"/>
        <n v="15910"/>
        <n v="15920"/>
        <n v="15930"/>
        <n v="15940"/>
        <n v="15960"/>
        <n v="15970"/>
        <n v="15990"/>
        <n v="16000"/>
        <n v="16010"/>
        <n v="16020"/>
        <n v="16030"/>
        <n v="16040"/>
        <n v="16050"/>
        <n v="16080"/>
        <n v="16090"/>
        <n v="16100"/>
        <n v="16110"/>
        <n v="16120"/>
        <n v="16130"/>
        <n v="16140"/>
        <n v="16150"/>
        <n v="16200"/>
        <n v="16210"/>
        <n v="16220"/>
        <n v="16240"/>
        <n v="16250"/>
        <n v="16260"/>
        <n v="16270"/>
        <n v="16280"/>
        <n v="16290"/>
        <n v="16300"/>
        <n v="16310"/>
        <n v="16320"/>
        <n v="16330"/>
        <n v="16350"/>
        <n v="16370"/>
        <n v="16380"/>
        <n v="16390"/>
        <n v="16400"/>
        <n v="16410"/>
        <n v="16440"/>
        <n v="16450"/>
        <n v="16460"/>
        <n v="16470"/>
        <n v="16480"/>
        <n v="16490"/>
        <n v="16500"/>
        <n v="16520"/>
        <n v="16530"/>
        <n v="16540"/>
        <n v="16550"/>
        <n v="16560"/>
        <n v="16570"/>
        <n v="16580"/>
        <n v="16620"/>
        <n v="16630"/>
        <n v="16640"/>
        <n v="16650"/>
        <n v="16660"/>
        <n v="16670"/>
        <n v="16740"/>
        <n v="16860"/>
        <n v="16990"/>
        <n v="17000"/>
        <n v="17020"/>
        <n v="17030"/>
        <n v="17080"/>
        <n v="17090"/>
        <n v="17120"/>
        <n v="17130"/>
        <n v="17160"/>
        <n v="17170"/>
        <n v="17250"/>
        <n v="17490"/>
        <n v="17540"/>
        <n v="17550"/>
        <n v="17560"/>
        <n v="17590"/>
        <n v="17640"/>
        <n v="17650"/>
        <n v="17670"/>
        <n v="17730"/>
        <n v="18590"/>
        <n v="18610"/>
        <n v="18700"/>
        <n v="18710"/>
        <n v="18760"/>
        <n v="18770"/>
        <n v="18780"/>
        <n v="18800"/>
        <n v="18860"/>
        <n v="18870"/>
        <n v="18900"/>
        <n v="18920"/>
        <n v="18960"/>
        <n v="18970"/>
        <n v="19180"/>
        <n v="19220"/>
        <n v="19250"/>
        <n v="19260"/>
        <n v="19270"/>
        <n v="19280"/>
        <n v="19290"/>
        <n v="19310"/>
        <n v="19330"/>
        <n v="19350"/>
        <n v="19360"/>
        <n v="19370"/>
        <n v="19380"/>
        <n v="19410"/>
        <n v="19420"/>
        <n v="19430"/>
        <n v="19460"/>
        <n v="19490"/>
        <n v="19530"/>
        <n v="19540"/>
        <n v="19560"/>
        <n v="19570"/>
        <n v="19580"/>
        <n v="19590"/>
        <n v="19660"/>
        <n v="19680"/>
        <n v="19690"/>
        <n v="19730"/>
        <n v="19870"/>
        <n v="19890"/>
        <n v="20830"/>
        <n v="20860"/>
        <n v="20890"/>
        <n v="20900"/>
        <n v="20910"/>
        <n v="20920"/>
        <n v="20930"/>
        <n v="20940"/>
        <n v="20960"/>
        <n v="20970"/>
        <n v="20980"/>
        <n v="21000"/>
        <n v="21030"/>
        <n v="21120"/>
        <n v="21170"/>
        <n v="21240"/>
        <n v="21250"/>
        <n v="21280"/>
        <n v="21300"/>
        <n v="21320"/>
        <n v="21330"/>
        <n v="21340"/>
        <n v="21360"/>
        <n v="21380"/>
        <n v="21410"/>
        <n v="21510"/>
        <n v="21520"/>
        <n v="21550"/>
        <n v="23430"/>
        <n v="23450"/>
        <n v="23560"/>
        <n v="23920"/>
        <n v="23990"/>
        <n v="24020"/>
        <n v="24040"/>
        <n v="24050"/>
        <n v="24060"/>
        <n v="24070"/>
        <n v="24080"/>
        <n v="24090"/>
        <n v="24100"/>
        <n v="24110"/>
        <n v="24120"/>
        <n v="24130"/>
        <n v="24140"/>
        <n v="24150"/>
        <n v="24160"/>
        <n v="24180"/>
        <n v="24190"/>
        <n v="24200"/>
        <n v="24220"/>
        <n v="24240"/>
        <n v="24250"/>
        <n v="24260"/>
        <n v="24270"/>
        <n v="24280"/>
        <n v="24290"/>
        <n v="24320"/>
        <n v="24380"/>
        <n v="24430"/>
        <n v="24450"/>
        <n v="24510"/>
        <n v="24530"/>
        <n v="24550"/>
        <n v="24560"/>
        <n v="24580"/>
        <n v="24610"/>
        <n v="24700"/>
        <n v="24710"/>
        <n v="24720"/>
        <n v="24740"/>
        <n v="24790"/>
        <n v="24820"/>
        <n v="24870"/>
        <n v="24880"/>
        <n v="24950"/>
        <n v="24970"/>
      </sharedItems>
    </cacheField>
    <cacheField name="% отходов сверх допуска" numFmtId="0">
      <sharedItems containsSemiMixedTypes="0" containsString="0" containsNumber="1" minValue="1" maxValue="57" count="52">
        <n v="1"/>
        <n v="3"/>
        <n v="4"/>
        <n v="5"/>
        <n v="6"/>
        <n v="6.9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2"/>
        <n v="43"/>
        <n v="44"/>
        <n v="45"/>
        <n v="46"/>
        <n v="47"/>
        <n v="48"/>
        <n v="49"/>
        <n v="50"/>
        <n v="51"/>
        <n v="53"/>
        <n v="57"/>
      </sharedItems>
    </cacheField>
    <cacheField name="Вес нетто" numFmtId="0">
      <sharedItems containsSemiMixedTypes="0" containsString="0" containsNumber="1" containsInteger="1" minValue="5040" maxValue="44170" count="853">
        <n v="5040"/>
        <n v="5670"/>
        <n v="6050"/>
        <n v="7120"/>
        <n v="8190"/>
        <n v="9080"/>
        <n v="9100"/>
        <n v="9620"/>
        <n v="9750"/>
        <n v="9850"/>
        <n v="10340"/>
        <n v="10470"/>
        <n v="10690"/>
        <n v="10880"/>
        <n v="11520"/>
        <n v="11860"/>
        <n v="12680"/>
        <n v="13410"/>
        <n v="13490"/>
        <n v="13500"/>
        <n v="13710"/>
        <n v="13880"/>
        <n v="13970"/>
        <n v="14000"/>
        <n v="14120"/>
        <n v="14330"/>
        <n v="14500"/>
        <n v="14610"/>
        <n v="14780"/>
        <n v="15180"/>
        <n v="15350"/>
        <n v="15530"/>
        <n v="15600"/>
        <n v="15630"/>
        <n v="15950"/>
        <n v="15960"/>
        <n v="16020"/>
        <n v="16210"/>
        <n v="16250"/>
        <n v="16830"/>
        <n v="17220"/>
        <n v="17260"/>
        <n v="17350"/>
        <n v="17590"/>
        <n v="17850"/>
        <n v="18110"/>
        <n v="18120"/>
        <n v="18230"/>
        <n v="18570"/>
        <n v="18630"/>
        <n v="18720"/>
        <n v="18730"/>
        <n v="18750"/>
        <n v="18790"/>
        <n v="18810"/>
        <n v="18870"/>
        <n v="18930"/>
        <n v="19010"/>
        <n v="19080"/>
        <n v="19110"/>
        <n v="19140"/>
        <n v="19160"/>
        <n v="19170"/>
        <n v="19230"/>
        <n v="19330"/>
        <n v="19360"/>
        <n v="19400"/>
        <n v="19410"/>
        <n v="19420"/>
        <n v="19440"/>
        <n v="19450"/>
        <n v="19490"/>
        <n v="19510"/>
        <n v="19530"/>
        <n v="19550"/>
        <n v="19610"/>
        <n v="19620"/>
        <n v="19670"/>
        <n v="19700"/>
        <n v="19760"/>
        <n v="19770"/>
        <n v="19780"/>
        <n v="19810"/>
        <n v="19820"/>
        <n v="19870"/>
        <n v="19900"/>
        <n v="19930"/>
        <n v="19950"/>
        <n v="19960"/>
        <n v="20140"/>
        <n v="20160"/>
        <n v="20180"/>
        <n v="20190"/>
        <n v="20200"/>
        <n v="20230"/>
        <n v="20240"/>
        <n v="20270"/>
        <n v="20290"/>
        <n v="20320"/>
        <n v="20380"/>
        <n v="20430"/>
        <n v="20450"/>
        <n v="20470"/>
        <n v="20500"/>
        <n v="20530"/>
        <n v="20550"/>
        <n v="20560"/>
        <n v="20660"/>
        <n v="20680"/>
        <n v="20710"/>
        <n v="20720"/>
        <n v="20760"/>
        <n v="20780"/>
        <n v="20790"/>
        <n v="20860"/>
        <n v="20870"/>
        <n v="20900"/>
        <n v="20910"/>
        <n v="20920"/>
        <n v="20950"/>
        <n v="20960"/>
        <n v="20980"/>
        <n v="20990"/>
        <n v="21010"/>
        <n v="21020"/>
        <n v="21030"/>
        <n v="21040"/>
        <n v="21050"/>
        <n v="21060"/>
        <n v="21070"/>
        <n v="21080"/>
        <n v="21090"/>
        <n v="21120"/>
        <n v="21130"/>
        <n v="21140"/>
        <n v="21150"/>
        <n v="21180"/>
        <n v="21190"/>
        <n v="21200"/>
        <n v="21210"/>
        <n v="21220"/>
        <n v="21230"/>
        <n v="21250"/>
        <n v="21260"/>
        <n v="21270"/>
        <n v="21300"/>
        <n v="21310"/>
        <n v="21350"/>
        <n v="21360"/>
        <n v="21370"/>
        <n v="21390"/>
        <n v="21400"/>
        <n v="21410"/>
        <n v="21420"/>
        <n v="21430"/>
        <n v="21480"/>
        <n v="21490"/>
        <n v="21510"/>
        <n v="21520"/>
        <n v="21530"/>
        <n v="21540"/>
        <n v="21550"/>
        <n v="21560"/>
        <n v="21580"/>
        <n v="21610"/>
        <n v="21620"/>
        <n v="21640"/>
        <n v="21680"/>
        <n v="21690"/>
        <n v="21710"/>
        <n v="21720"/>
        <n v="21730"/>
        <n v="21750"/>
        <n v="21760"/>
        <n v="21770"/>
        <n v="21790"/>
        <n v="21810"/>
        <n v="21820"/>
        <n v="21840"/>
        <n v="21850"/>
        <n v="21860"/>
        <n v="21870"/>
        <n v="21890"/>
        <n v="21900"/>
        <n v="21920"/>
        <n v="21930"/>
        <n v="21960"/>
        <n v="21970"/>
        <n v="21990"/>
        <n v="22010"/>
        <n v="22020"/>
        <n v="22030"/>
        <n v="22040"/>
        <n v="22050"/>
        <n v="22060"/>
        <n v="22070"/>
        <n v="22090"/>
        <n v="22100"/>
        <n v="22110"/>
        <n v="22130"/>
        <n v="22140"/>
        <n v="22170"/>
        <n v="22180"/>
        <n v="22190"/>
        <n v="22200"/>
        <n v="22210"/>
        <n v="22220"/>
        <n v="22230"/>
        <n v="22240"/>
        <n v="22260"/>
        <n v="22270"/>
        <n v="22290"/>
        <n v="22300"/>
        <n v="22310"/>
        <n v="22320"/>
        <n v="22330"/>
        <n v="22340"/>
        <n v="22350"/>
        <n v="22360"/>
        <n v="22370"/>
        <n v="22380"/>
        <n v="22390"/>
        <n v="22400"/>
        <n v="22410"/>
        <n v="22420"/>
        <n v="22430"/>
        <n v="22440"/>
        <n v="22450"/>
        <n v="22460"/>
        <n v="22470"/>
        <n v="22480"/>
        <n v="22500"/>
        <n v="22510"/>
        <n v="22540"/>
        <n v="22550"/>
        <n v="22560"/>
        <n v="22570"/>
        <n v="22580"/>
        <n v="22590"/>
        <n v="22600"/>
        <n v="22610"/>
        <n v="22620"/>
        <n v="22640"/>
        <n v="22650"/>
        <n v="22660"/>
        <n v="22680"/>
        <n v="22690"/>
        <n v="22700"/>
        <n v="22710"/>
        <n v="22730"/>
        <n v="22740"/>
        <n v="22750"/>
        <n v="22760"/>
        <n v="22770"/>
        <n v="22790"/>
        <n v="22800"/>
        <n v="22810"/>
        <n v="22820"/>
        <n v="22830"/>
        <n v="22840"/>
        <n v="22850"/>
        <n v="22860"/>
        <n v="22870"/>
        <n v="22890"/>
        <n v="22900"/>
        <n v="22910"/>
        <n v="22930"/>
        <n v="22940"/>
        <n v="22950"/>
        <n v="22960"/>
        <n v="22970"/>
        <n v="22980"/>
        <n v="22990"/>
        <n v="23000"/>
        <n v="23010"/>
        <n v="23020"/>
        <n v="23030"/>
        <n v="23040"/>
        <n v="23050"/>
        <n v="23060"/>
        <n v="23070"/>
        <n v="23080"/>
        <n v="23090"/>
        <n v="23100"/>
        <n v="23110"/>
        <n v="23120"/>
        <n v="23130"/>
        <n v="23140"/>
        <n v="23150"/>
        <n v="23170"/>
        <n v="23190"/>
        <n v="23220"/>
        <n v="23230"/>
        <n v="23240"/>
        <n v="23250"/>
        <n v="23260"/>
        <n v="23270"/>
        <n v="23280"/>
        <n v="23290"/>
        <n v="23310"/>
        <n v="23320"/>
        <n v="23330"/>
        <n v="23340"/>
        <n v="23350"/>
        <n v="23360"/>
        <n v="23370"/>
        <n v="23380"/>
        <n v="23390"/>
        <n v="23400"/>
        <n v="23410"/>
        <n v="23420"/>
        <n v="23430"/>
        <n v="23440"/>
        <n v="23450"/>
        <n v="23460"/>
        <n v="23470"/>
        <n v="23480"/>
        <n v="23490"/>
        <n v="23510"/>
        <n v="23520"/>
        <n v="23530"/>
        <n v="23540"/>
        <n v="23550"/>
        <n v="23560"/>
        <n v="23570"/>
        <n v="23580"/>
        <n v="23590"/>
        <n v="23600"/>
        <n v="23610"/>
        <n v="23620"/>
        <n v="23630"/>
        <n v="23640"/>
        <n v="23650"/>
        <n v="23660"/>
        <n v="23670"/>
        <n v="23680"/>
        <n v="23690"/>
        <n v="23710"/>
        <n v="23730"/>
        <n v="23740"/>
        <n v="23750"/>
        <n v="23760"/>
        <n v="23770"/>
        <n v="23780"/>
        <n v="23790"/>
        <n v="23800"/>
        <n v="23810"/>
        <n v="23820"/>
        <n v="23830"/>
        <n v="23840"/>
        <n v="23860"/>
        <n v="23870"/>
        <n v="23880"/>
        <n v="23890"/>
        <n v="23900"/>
        <n v="23910"/>
        <n v="23920"/>
        <n v="23930"/>
        <n v="23950"/>
        <n v="23960"/>
        <n v="23970"/>
        <n v="23980"/>
        <n v="23990"/>
        <n v="24010"/>
        <n v="24030"/>
        <n v="24040"/>
        <n v="24060"/>
        <n v="24070"/>
        <n v="24080"/>
        <n v="24090"/>
        <n v="24100"/>
        <n v="24110"/>
        <n v="24130"/>
        <n v="24140"/>
        <n v="24150"/>
        <n v="24160"/>
        <n v="24170"/>
        <n v="24180"/>
        <n v="24190"/>
        <n v="24200"/>
        <n v="24220"/>
        <n v="24230"/>
        <n v="24250"/>
        <n v="24260"/>
        <n v="24270"/>
        <n v="24280"/>
        <n v="24290"/>
        <n v="24300"/>
        <n v="24310"/>
        <n v="24320"/>
        <n v="24330"/>
        <n v="24340"/>
        <n v="24350"/>
        <n v="24360"/>
        <n v="24370"/>
        <n v="24380"/>
        <n v="24390"/>
        <n v="24400"/>
        <n v="24410"/>
        <n v="24420"/>
        <n v="24430"/>
        <n v="24440"/>
        <n v="24450"/>
        <n v="24460"/>
        <n v="24470"/>
        <n v="24480"/>
        <n v="24490"/>
        <n v="24500"/>
        <n v="24510"/>
        <n v="24520"/>
        <n v="24540"/>
        <n v="24550"/>
        <n v="24560"/>
        <n v="24570"/>
        <n v="24580"/>
        <n v="24590"/>
        <n v="24600"/>
        <n v="24610"/>
        <n v="24620"/>
        <n v="24630"/>
        <n v="24640"/>
        <n v="24650"/>
        <n v="24670"/>
        <n v="24680"/>
        <n v="24690"/>
        <n v="24700"/>
        <n v="24710"/>
        <n v="24730"/>
        <n v="24750"/>
        <n v="24760"/>
        <n v="24770"/>
        <n v="24780"/>
        <n v="24790"/>
        <n v="24800"/>
        <n v="24810"/>
        <n v="24820"/>
        <n v="24830"/>
        <n v="24850"/>
        <n v="24860"/>
        <n v="24870"/>
        <n v="24880"/>
        <n v="24890"/>
        <n v="24910"/>
        <n v="24920"/>
        <n v="24930"/>
        <n v="24940"/>
        <n v="24960"/>
        <n v="24970"/>
        <n v="24980"/>
        <n v="24990"/>
        <n v="25000"/>
        <n v="25010"/>
        <n v="25020"/>
        <n v="25030"/>
        <n v="25040"/>
        <n v="25050"/>
        <n v="25060"/>
        <n v="25070"/>
        <n v="25080"/>
        <n v="25090"/>
        <n v="25100"/>
        <n v="25120"/>
        <n v="25140"/>
        <n v="25150"/>
        <n v="25160"/>
        <n v="25170"/>
        <n v="25180"/>
        <n v="25190"/>
        <n v="25200"/>
        <n v="25210"/>
        <n v="25220"/>
        <n v="25230"/>
        <n v="25240"/>
        <n v="25250"/>
        <n v="25260"/>
        <n v="25270"/>
        <n v="25280"/>
        <n v="25290"/>
        <n v="25300"/>
        <n v="25310"/>
        <n v="25330"/>
        <n v="25340"/>
        <n v="25350"/>
        <n v="25370"/>
        <n v="25380"/>
        <n v="25390"/>
        <n v="25400"/>
        <n v="25410"/>
        <n v="25420"/>
        <n v="25430"/>
        <n v="25450"/>
        <n v="25460"/>
        <n v="25470"/>
        <n v="25490"/>
        <n v="25500"/>
        <n v="25510"/>
        <n v="25520"/>
        <n v="25530"/>
        <n v="25550"/>
        <n v="25560"/>
        <n v="25570"/>
        <n v="25580"/>
        <n v="25590"/>
        <n v="25600"/>
        <n v="25610"/>
        <n v="25620"/>
        <n v="25630"/>
        <n v="25640"/>
        <n v="25650"/>
        <n v="25660"/>
        <n v="25680"/>
        <n v="25690"/>
        <n v="25700"/>
        <n v="25710"/>
        <n v="25720"/>
        <n v="25730"/>
        <n v="25740"/>
        <n v="25750"/>
        <n v="25760"/>
        <n v="25770"/>
        <n v="25780"/>
        <n v="25790"/>
        <n v="25800"/>
        <n v="25810"/>
        <n v="25830"/>
        <n v="25840"/>
        <n v="25850"/>
        <n v="25860"/>
        <n v="25870"/>
        <n v="25880"/>
        <n v="25900"/>
        <n v="25920"/>
        <n v="25930"/>
        <n v="25940"/>
        <n v="25950"/>
        <n v="25960"/>
        <n v="25970"/>
        <n v="25980"/>
        <n v="25990"/>
        <n v="26000"/>
        <n v="26020"/>
        <n v="26030"/>
        <n v="26040"/>
        <n v="26050"/>
        <n v="26060"/>
        <n v="26080"/>
        <n v="26100"/>
        <n v="26110"/>
        <n v="26120"/>
        <n v="26140"/>
        <n v="26150"/>
        <n v="26160"/>
        <n v="26170"/>
        <n v="26180"/>
        <n v="26190"/>
        <n v="26200"/>
        <n v="26220"/>
        <n v="26230"/>
        <n v="26240"/>
        <n v="26250"/>
        <n v="26260"/>
        <n v="26270"/>
        <n v="26280"/>
        <n v="26290"/>
        <n v="26310"/>
        <n v="26320"/>
        <n v="26330"/>
        <n v="26340"/>
        <n v="26350"/>
        <n v="26370"/>
        <n v="26380"/>
        <n v="26390"/>
        <n v="26400"/>
        <n v="26410"/>
        <n v="26420"/>
        <n v="26430"/>
        <n v="26440"/>
        <n v="26460"/>
        <n v="26480"/>
        <n v="26490"/>
        <n v="26500"/>
        <n v="26510"/>
        <n v="26520"/>
        <n v="26530"/>
        <n v="26540"/>
        <n v="26550"/>
        <n v="26570"/>
        <n v="26580"/>
        <n v="26600"/>
        <n v="26610"/>
        <n v="26620"/>
        <n v="26630"/>
        <n v="26640"/>
        <n v="26660"/>
        <n v="26670"/>
        <n v="26700"/>
        <n v="26730"/>
        <n v="26740"/>
        <n v="26750"/>
        <n v="26760"/>
        <n v="26770"/>
        <n v="26780"/>
        <n v="26790"/>
        <n v="26800"/>
        <n v="26810"/>
        <n v="26860"/>
        <n v="26880"/>
        <n v="26890"/>
        <n v="26900"/>
        <n v="26930"/>
        <n v="26940"/>
        <n v="26960"/>
        <n v="26970"/>
        <n v="27020"/>
        <n v="27030"/>
        <n v="27040"/>
        <n v="27080"/>
        <n v="27120"/>
        <n v="27130"/>
        <n v="27140"/>
        <n v="27160"/>
        <n v="27170"/>
        <n v="27180"/>
        <n v="27190"/>
        <n v="27200"/>
        <n v="27220"/>
        <n v="27240"/>
        <n v="27290"/>
        <n v="27310"/>
        <n v="27320"/>
        <n v="27330"/>
        <n v="27360"/>
        <n v="27370"/>
        <n v="27380"/>
        <n v="27390"/>
        <n v="27400"/>
        <n v="27430"/>
        <n v="27450"/>
        <n v="27460"/>
        <n v="27470"/>
        <n v="27500"/>
        <n v="27530"/>
        <n v="27540"/>
        <n v="27570"/>
        <n v="27580"/>
        <n v="27590"/>
        <n v="27600"/>
        <n v="27610"/>
        <n v="27620"/>
        <n v="27630"/>
        <n v="27640"/>
        <n v="27650"/>
        <n v="27680"/>
        <n v="27760"/>
        <n v="27830"/>
        <n v="27840"/>
        <n v="27850"/>
        <n v="27860"/>
        <n v="27910"/>
        <n v="27920"/>
        <n v="27940"/>
        <n v="27960"/>
        <n v="27970"/>
        <n v="28000"/>
        <n v="28070"/>
        <n v="28080"/>
        <n v="28100"/>
        <n v="28130"/>
        <n v="28150"/>
        <n v="28170"/>
        <n v="28190"/>
        <n v="28210"/>
        <n v="28220"/>
        <n v="28230"/>
        <n v="28250"/>
        <n v="28260"/>
        <n v="28310"/>
        <n v="28360"/>
        <n v="28370"/>
        <n v="28380"/>
        <n v="28390"/>
        <n v="28400"/>
        <n v="28490"/>
        <n v="28500"/>
        <n v="28510"/>
        <n v="28550"/>
        <n v="28580"/>
        <n v="28590"/>
        <n v="28610"/>
        <n v="28660"/>
        <n v="28710"/>
        <n v="28720"/>
        <n v="28760"/>
        <n v="28780"/>
        <n v="28800"/>
        <n v="28810"/>
        <n v="28850"/>
        <n v="28880"/>
        <n v="28900"/>
        <n v="28910"/>
        <n v="28930"/>
        <n v="28940"/>
        <n v="28950"/>
        <n v="28960"/>
        <n v="28980"/>
        <n v="29020"/>
        <n v="29060"/>
        <n v="29180"/>
        <n v="29220"/>
        <n v="29230"/>
        <n v="29240"/>
        <n v="29260"/>
        <n v="29270"/>
        <n v="29280"/>
        <n v="29300"/>
        <n v="29340"/>
        <n v="29480"/>
        <n v="29610"/>
        <n v="29620"/>
        <n v="29670"/>
        <n v="29690"/>
        <n v="29770"/>
        <n v="29900"/>
        <n v="29910"/>
        <n v="30180"/>
        <n v="30230"/>
        <n v="30250"/>
        <n v="30310"/>
        <n v="30390"/>
        <n v="30450"/>
        <n v="30490"/>
        <n v="30500"/>
        <n v="30510"/>
        <n v="30570"/>
        <n v="30610"/>
        <n v="30620"/>
        <n v="30650"/>
        <n v="30690"/>
        <n v="30780"/>
        <n v="30820"/>
        <n v="30860"/>
        <n v="30890"/>
        <n v="30960"/>
        <n v="30980"/>
        <n v="31020"/>
        <n v="31050"/>
        <n v="31130"/>
        <n v="31140"/>
        <n v="31170"/>
        <n v="31350"/>
        <n v="31390"/>
        <n v="31470"/>
        <n v="31500"/>
        <n v="31630"/>
        <n v="31740"/>
        <n v="31810"/>
        <n v="31870"/>
        <n v="31890"/>
        <n v="31900"/>
        <n v="32020"/>
        <n v="32090"/>
        <n v="32130"/>
        <n v="32190"/>
        <n v="32200"/>
        <n v="32280"/>
        <n v="32360"/>
        <n v="32380"/>
        <n v="32410"/>
        <n v="32450"/>
        <n v="32640"/>
        <n v="32820"/>
        <n v="32840"/>
        <n v="32860"/>
        <n v="32870"/>
        <n v="32900"/>
        <n v="32910"/>
        <n v="33020"/>
        <n v="33210"/>
        <n v="33260"/>
        <n v="33510"/>
        <n v="33550"/>
        <n v="33590"/>
        <n v="33760"/>
        <n v="33870"/>
        <n v="33890"/>
        <n v="34020"/>
        <n v="34110"/>
        <n v="34380"/>
        <n v="34460"/>
        <n v="34490"/>
        <n v="34670"/>
        <n v="34700"/>
        <n v="34790"/>
        <n v="34900"/>
        <n v="34930"/>
        <n v="35050"/>
        <n v="35090"/>
        <n v="35190"/>
        <n v="35310"/>
        <n v="35700"/>
        <n v="36100"/>
        <n v="36710"/>
        <n v="37700"/>
        <n v="37870"/>
        <n v="38350"/>
        <n v="38590"/>
        <n v="38970"/>
        <n v="39230"/>
        <n v="39360"/>
        <n v="39440"/>
        <n v="39540"/>
        <n v="39590"/>
        <n v="39700"/>
        <n v="39950"/>
        <n v="39960"/>
        <n v="40020"/>
        <n v="40140"/>
        <n v="40240"/>
        <n v="40260"/>
        <n v="40400"/>
        <n v="40410"/>
        <n v="40480"/>
        <n v="40500"/>
        <n v="40600"/>
        <n v="40650"/>
        <n v="40710"/>
        <n v="40730"/>
        <n v="40840"/>
        <n v="40860"/>
        <n v="40960"/>
        <n v="41090"/>
        <n v="41150"/>
        <n v="41180"/>
        <n v="41190"/>
        <n v="41280"/>
        <n v="41400"/>
        <n v="41420"/>
        <n v="41470"/>
        <n v="41560"/>
        <n v="41610"/>
        <n v="41740"/>
        <n v="41780"/>
        <n v="41850"/>
        <n v="41990"/>
        <n v="42190"/>
        <n v="42210"/>
        <n v="42260"/>
        <n v="42350"/>
        <n v="42700"/>
        <n v="43230"/>
        <n v="43390"/>
        <n v="44010"/>
        <n v="44170"/>
      </sharedItems>
    </cacheField>
    <cacheField name="Зачетный вес" numFmtId="0">
      <sharedItems containsSemiMixedTypes="0" containsString="0" containsNumber="1" minValue="4082.4" maxValue="42249.6" count="1407">
        <n v="4082.4"/>
        <n v="5273.1"/>
        <n v="5324"/>
        <n v="5624.8"/>
        <n v="6825"/>
        <n v="7371"/>
        <n v="7462"/>
        <n v="7471.8"/>
        <n v="7651.6"/>
        <n v="7893.6"/>
        <n v="7942.4"/>
        <n v="8626"/>
        <n v="8658"/>
        <n v="8724.7"/>
        <n v="8755.2"/>
        <n v="8794.8"/>
        <n v="9048.6"/>
        <n v="9456"/>
        <n v="9510"/>
        <n v="9712.8"/>
        <n v="9844.2"/>
        <n v="9887.7"/>
        <n v="10048.6"/>
        <n v="10166.4"/>
        <n v="10170.8"/>
        <n v="10440"/>
        <n v="10459.8"/>
        <n v="10500"/>
        <n v="10617.2"/>
        <n v="10628.4"/>
        <n v="10665"/>
        <n v="10670"/>
        <n v="10721.7"/>
        <n v="10801.8"/>
        <n v="11086.5"/>
        <n v="11232.8"/>
        <n v="11327.1"/>
        <n v="11381.6"/>
        <n v="11495.4"/>
        <n v="11612.6"/>
        <n v="11652.2"/>
        <n v="11700"/>
        <n v="11891"/>
        <n v="11909.4"/>
        <n v="11951.5"/>
        <n v="11958.1"/>
        <n v="11991.2"/>
        <n v="12077.1"/>
        <n v="12169.5"/>
        <n v="12211.2"/>
        <n v="12213.6"/>
        <n v="12237.7"/>
        <n v="12398.4"/>
        <n v="12606"/>
        <n v="12675.8"/>
        <n v="12682.8"/>
        <n v="12944.2"/>
        <n v="13125"/>
        <n v="13186"/>
        <n v="13239.4"/>
        <n v="13246.8"/>
        <n v="13295.1"/>
        <n v="13397.7"/>
        <n v="13398"/>
        <n v="13419"/>
        <n v="13431.6"/>
        <n v="13496.6"/>
        <n v="13530"/>
        <n v="13590"/>
        <n v="13614"/>
        <n v="13656.5"/>
        <n v="13708.5"/>
        <n v="13775"/>
        <n v="13815"/>
        <n v="13937.4"/>
        <n v="13960.4"/>
        <n v="13965.7"/>
        <n v="13990.4"/>
        <n v="13998.6"/>
        <n v="14126.4"/>
        <n v="14130.9"/>
        <n v="14264.8"/>
        <n v="14345.1"/>
        <n v="14351.4"/>
        <n v="14386.8"/>
        <n v="14511.4"/>
        <n v="14545.7"/>
        <n v="14561.6"/>
        <n v="14570.8"/>
        <n v="14581.2"/>
        <n v="14592.5"/>
        <n v="14606.4"/>
        <n v="14617.6"/>
        <n v="14662.5"/>
        <n v="14668.6"/>
        <n v="14671.8"/>
        <n v="14677.5"/>
        <n v="14731.2"/>
        <n v="14827.8"/>
        <n v="14830.8"/>
        <n v="14846.1"/>
        <n v="14853.9"/>
        <n v="14869.5"/>
        <n v="14885"/>
        <n v="14904"/>
        <n v="14945"/>
        <n v="14948"/>
        <n v="14950"/>
        <n v="14968.8"/>
        <n v="15059.1"/>
        <n v="15065.6"/>
        <n v="15083.4"/>
        <n v="15096"/>
        <n v="15106"/>
        <n v="15107.4"/>
        <n v="15108.5"/>
        <n v="15118.2"/>
        <n v="15171.3"/>
        <n v="15172.5"/>
        <n v="15208.2"/>
        <n v="15232"/>
        <n v="15253"/>
        <n v="15253.7"/>
        <n v="15286.3"/>
        <n v="15288"/>
        <n v="15306.8"/>
        <n v="15311.1"/>
        <n v="15312"/>
        <n v="15321.6"/>
        <n v="15393.5"/>
        <n v="15420.6"/>
        <n v="15457.2"/>
        <n v="15496.8"/>
        <n v="15524.4"/>
        <n v="15557.2"/>
        <n v="15559.2"/>
        <n v="15563"/>
        <n v="15565.2"/>
        <n v="15570.3"/>
        <n v="15591.6"/>
        <n v="15600.1"/>
        <n v="15608"/>
        <n v="15651.9"/>
        <n v="15701.4"/>
        <n v="15714"/>
        <n v="15724.8"/>
        <n v="15748.2"/>
        <n v="15760.8"/>
        <n v="15884"/>
        <n v="15888.6"/>
        <n v="15896"/>
        <n v="15902.8"/>
        <n v="15921.3"/>
        <n v="15960.8"/>
        <n v="15981"/>
        <n v="15987.3"/>
        <n v="15990"/>
        <n v="15991.4"/>
        <n v="16052.4"/>
        <n v="16054.2"/>
        <n v="16072.8"/>
        <n v="16088.4"/>
        <n v="16092"/>
        <n v="16112"/>
        <n v="16117.5"/>
        <n v="16182.8"/>
        <n v="16185.4"/>
        <n v="16285.5"/>
        <n v="16304.4"/>
        <n v="16305.3"/>
        <n v="16332.3"/>
        <n v="16332.4"/>
        <n v="16342.6"/>
        <n v="16344.2"/>
        <n v="16348.5"/>
        <n v="16361.4"/>
        <n v="16371.2"/>
        <n v="16422"/>
        <n v="16431.2"/>
        <n v="16437.6"/>
        <n v="16442.3"/>
        <n v="16514.8"/>
        <n v="16517"/>
        <n v="16535.2"/>
        <n v="16543.8"/>
        <n v="16547.6"/>
        <n v="16566.5"/>
        <n v="16600.5"/>
        <n v="16621.8"/>
        <n v="16635.2"/>
        <n v="16644"/>
        <n v="16697.2"/>
        <n v="16701.2"/>
        <n v="16718.4"/>
        <n v="16738.9"/>
        <n v="16758"/>
        <n v="16778.3"/>
        <n v="16795.4"/>
        <n v="16797.3"/>
        <n v="16815"/>
        <n v="16849.8"/>
        <n v="16898.4"/>
        <n v="16915"/>
        <n v="16967.1"/>
        <n v="16982.2"/>
        <n v="16992"/>
        <n v="16993.6"/>
        <n v="17001.6"/>
        <n v="17016.6"/>
        <n v="17025.8"/>
        <n v="17068.4"/>
        <n v="17068.8"/>
        <n v="17082"/>
        <n v="17086.3"/>
        <n v="17096.8"/>
        <n v="17137.5"/>
        <n v="17154.4"/>
        <n v="17182.5"/>
        <n v="17190.4"/>
        <n v="17203.6"/>
        <n v="17208.6"/>
        <n v="17255.7"/>
        <n v="17261.5"/>
        <n v="17264.5"/>
        <n v="17270.4"/>
        <n v="17283.8"/>
        <n v="17293.7"/>
        <n v="17293.8"/>
        <n v="17308.6"/>
        <n v="17323.8"/>
        <n v="17372.1"/>
        <n v="17386.6"/>
        <n v="17388"/>
        <n v="17396.4"/>
        <n v="17396.8"/>
        <n v="17404.8"/>
        <n v="17419.5"/>
        <n v="17422.5"/>
        <n v="17423"/>
        <n v="17424"/>
        <n v="17438.4"/>
        <n v="17440.8"/>
        <n v="17448.2"/>
        <n v="17455.8"/>
        <n v="17480"/>
        <n v="17503.2"/>
        <n v="17505.3"/>
        <n v="17519.1"/>
        <n v="17523.2"/>
        <n v="17527.3"/>
        <n v="17532.9"/>
        <n v="17536"/>
        <n v="17560.5"/>
        <n v="17561"/>
        <n v="17604.3"/>
        <n v="17656.1"/>
        <n v="17666"/>
        <n v="17681.4"/>
        <n v="17693.4"/>
        <n v="17693.6"/>
        <n v="17694.6"/>
        <n v="17711.8"/>
        <n v="17730.8"/>
        <n v="17730.9"/>
        <n v="17731"/>
        <n v="17745"/>
        <n v="17767.4"/>
        <n v="17777.6"/>
        <n v="17804.4"/>
        <n v="17823"/>
        <n v="17841.4"/>
        <n v="17858.4"/>
        <n v="17863.2"/>
        <n v="17868.6"/>
        <n v="17875.2"/>
        <n v="17876.7"/>
        <n v="17892.9"/>
        <n v="17927.5"/>
        <n v="17944"/>
        <n v="17945"/>
        <n v="17948.7"/>
        <n v="17950.8"/>
        <n v="17972.5"/>
        <n v="17977.5"/>
        <n v="17979.5"/>
        <n v="17982"/>
        <n v="18019"/>
        <n v="18026.4"/>
        <n v="18051.6"/>
        <n v="18059.4"/>
        <n v="18071.9"/>
        <n v="18080"/>
        <n v="18080.4"/>
        <n v="18084"/>
        <n v="18086.4"/>
        <n v="18110.4"/>
        <n v="18127.2"/>
        <n v="18135"/>
        <n v="18144"/>
        <n v="18187.6"/>
        <n v="18188.4"/>
        <n v="18192.6"/>
        <n v="18200.5"/>
        <n v="18200.7"/>
        <n v="18207"/>
        <n v="18244.8"/>
        <n v="18249.2"/>
        <n v="18268.5"/>
        <n v="18292.2"/>
        <n v="18301.1"/>
        <n v="18316"/>
        <n v="18323"/>
        <n v="18330.9"/>
        <n v="18345.6"/>
        <n v="18352.8"/>
        <n v="18355"/>
        <n v="18368"/>
        <n v="18368.5"/>
        <n v="18370.8"/>
        <n v="18372"/>
        <n v="18374.4"/>
        <n v="18390"/>
        <n v="18396"/>
        <n v="18455.2"/>
        <n v="18468"/>
        <n v="18481.4"/>
        <n v="18482.8"/>
        <n v="18487.7"/>
        <n v="18496"/>
        <n v="18520"/>
        <n v="18532.8"/>
        <n v="18540.2"/>
        <n v="18541.6"/>
        <n v="18542.2"/>
        <n v="18553.5"/>
        <n v="18556.8"/>
        <n v="18572.9"/>
        <n v="18576"/>
        <n v="18588.8"/>
        <n v="18589.2"/>
        <n v="18605.8"/>
        <n v="18608.6"/>
        <n v="18612"/>
        <n v="18614"/>
        <n v="18618"/>
        <n v="18620.8"/>
        <n v="18629.6"/>
        <n v="18650.1"/>
        <n v="18653.4"/>
        <n v="18667.7"/>
        <n v="18672.5"/>
        <n v="18680.7"/>
        <n v="18681.1"/>
        <n v="18681.6"/>
        <n v="18688"/>
        <n v="18695.6"/>
        <n v="18716.7"/>
        <n v="18720.6"/>
        <n v="18733.1"/>
        <n v="18749.6"/>
        <n v="18778.3"/>
        <n v="18793.5"/>
        <n v="18802"/>
        <n v="18826.8"/>
        <n v="18848.7"/>
        <n v="18851.1"/>
        <n v="18860"/>
        <n v="18864"/>
        <n v="18872.7"/>
        <n v="18876.4"/>
        <n v="18882.5"/>
        <n v="18884.6"/>
        <n v="18888"/>
        <n v="18892.8"/>
        <n v="18940.6"/>
        <n v="18945"/>
        <n v="18946.4"/>
        <n v="18957"/>
        <n v="18961.8"/>
        <n v="18989"/>
        <n v="18991.7"/>
        <n v="19007.2"/>
        <n v="19016.8"/>
        <n v="19026"/>
        <n v="19057"/>
        <n v="19072.6"/>
        <n v="19091.7"/>
        <n v="19101.6"/>
        <n v="19104"/>
        <n v="19114.9"/>
        <n v="19118"/>
        <n v="19126.8"/>
        <n v="19128"/>
        <n v="19137.3"/>
        <n v="19167.5"/>
        <n v="19173.6"/>
        <n v="19173.7"/>
        <n v="19176"/>
        <n v="19178"/>
        <n v="19182.4"/>
        <n v="19182.8"/>
        <n v="19194"/>
        <n v="19210.8"/>
        <n v="19241.8"/>
        <n v="19269.6"/>
        <n v="19272"/>
        <n v="19273.8"/>
        <n v="19284.4"/>
        <n v="19291.8"/>
        <n v="19294.6"/>
        <n v="19298.4"/>
        <n v="19310.8"/>
        <n v="19314"/>
        <n v="19331.4"/>
        <n v="19355.6"/>
        <n v="19359"/>
        <n v="19368"/>
        <n v="19368.8"/>
        <n v="19375.2"/>
        <n v="19375.3"/>
        <n v="19380"/>
        <n v="19409.7"/>
        <n v="19435.8"/>
        <n v="19449"/>
        <n v="19449.8"/>
        <n v="19457.7"/>
        <n v="19464"/>
        <n v="19470.4"/>
        <n v="19483.2"/>
        <n v="19483.5"/>
        <n v="19488.4"/>
        <n v="19531.6"/>
        <n v="19540.2"/>
        <n v="19546.5"/>
        <n v="19562.4"/>
        <n v="19563.6"/>
        <n v="19570"/>
        <n v="19573.4"/>
        <n v="19575"/>
        <n v="19578"/>
        <n v="19592.5"/>
        <n v="19597.2"/>
        <n v="19604.6"/>
        <n v="19615.6"/>
        <n v="19621.2"/>
        <n v="19626.5"/>
        <n v="19627.2"/>
        <n v="19635"/>
        <n v="19660.2"/>
        <n v="19672"/>
        <n v="19694"/>
        <n v="19698"/>
        <n v="19704.6"/>
        <n v="19706.8"/>
        <n v="19716"/>
        <n v="19717.5"/>
        <n v="19728"/>
        <n v="19731.6"/>
        <n v="19740"/>
        <n v="19752.4"/>
        <n v="19754.2"/>
        <n v="19758"/>
        <n v="19768"/>
        <n v="19777.6"/>
        <n v="19808.8"/>
        <n v="19809.9"/>
        <n v="19810.7"/>
        <n v="19811.4"/>
        <n v="19816.8"/>
        <n v="19819.4"/>
        <n v="19828.7"/>
        <n v="19839"/>
        <n v="19844.7"/>
        <n v="19847.1"/>
        <n v="19852.8"/>
        <n v="19856.2"/>
        <n v="19862.2"/>
        <n v="19864.8"/>
        <n v="19866"/>
        <n v="19873.7"/>
        <n v="19883.2"/>
        <n v="19892.7"/>
        <n v="19900.4"/>
        <n v="19905.6"/>
        <n v="19918.2"/>
        <n v="19923"/>
        <n v="19932.5"/>
        <n v="19934.1"/>
        <n v="19939.6"/>
        <n v="19943.4"/>
        <n v="19946.8"/>
        <n v="19953"/>
        <n v="19957.8"/>
        <n v="19958"/>
        <n v="19963.3"/>
        <n v="19976"/>
        <n v="19979.1"/>
        <n v="19985"/>
        <n v="19992"/>
        <n v="20000.4"/>
        <n v="20003.6"/>
        <n v="20004.3"/>
        <n v="20019.2"/>
        <n v="20038.2"/>
        <n v="20050.8"/>
        <n v="20055.2"/>
        <n v="20060"/>
        <n v="20061"/>
        <n v="20070"/>
        <n v="20079"/>
        <n v="20087.3"/>
        <n v="20101.9"/>
        <n v="20105.1"/>
        <n v="20105.7"/>
        <n v="20111"/>
        <n v="20115.4"/>
        <n v="20120.4"/>
        <n v="20130.5"/>
        <n v="20132.4"/>
        <n v="20142"/>
        <n v="20144.1"/>
        <n v="20144.2"/>
        <n v="20158.5"/>
        <n v="20170.8"/>
        <n v="20178"/>
        <n v="20184.2"/>
        <n v="20185.2"/>
        <n v="20191.2"/>
        <n v="20192.8"/>
        <n v="20204.8"/>
        <n v="20208.9"/>
        <n v="20218.6"/>
        <n v="20219.4"/>
        <n v="20223"/>
        <n v="20227.5"/>
        <n v="20235.6"/>
        <n v="20235.8"/>
        <n v="20238.5"/>
        <n v="20240"/>
        <n v="20246.1"/>
        <n v="20252"/>
        <n v="20253"/>
        <n v="20261.2"/>
        <n v="20261.6"/>
        <n v="20266.4"/>
        <n v="20270.2"/>
        <n v="20276.8"/>
        <n v="20295"/>
        <n v="20311.2"/>
        <n v="20313.2"/>
        <n v="20339.5"/>
        <n v="20341.2"/>
        <n v="20347.6"/>
        <n v="20366.2"/>
        <n v="20368.2"/>
        <n v="20372"/>
        <n v="20374.9"/>
        <n v="20389.9"/>
        <n v="20401.6"/>
        <n v="20405.6"/>
        <n v="20407.7"/>
        <n v="20409.7"/>
        <n v="20411.3"/>
        <n v="20412"/>
        <n v="20418.9"/>
        <n v="20420.4"/>
        <n v="20421"/>
        <n v="20424"/>
        <n v="20433.6"/>
        <n v="20438.6"/>
        <n v="20445"/>
        <n v="20451.2"/>
        <n v="20460"/>
        <n v="20463.8"/>
        <n v="20468"/>
        <n v="20477.6"/>
        <n v="20478.6"/>
        <n v="20479.8"/>
        <n v="20488.4"/>
        <n v="20491.8"/>
        <n v="20493.8"/>
        <n v="20512.8"/>
        <n v="20523.4"/>
        <n v="20525.2"/>
        <n v="20529.6"/>
        <n v="20534.4"/>
        <n v="20553"/>
        <n v="20557.8"/>
        <n v="20590.2"/>
        <n v="20592.9"/>
        <n v="20595.5"/>
        <n v="20598.8"/>
        <n v="20600.8"/>
        <n v="20601"/>
        <n v="20605.6"/>
        <n v="20615.4"/>
        <n v="20617.2"/>
        <n v="20618.4"/>
        <n v="20621"/>
        <n v="20627.2"/>
        <n v="20627.4"/>
        <n v="20642.4"/>
        <n v="20645.1"/>
        <n v="20657"/>
        <n v="20662.5"/>
        <n v="20664"/>
        <n v="20666.1"/>
        <n v="20672"/>
        <n v="20672.4"/>
        <n v="20674.3"/>
        <n v="20683.6"/>
        <n v="20689"/>
        <n v="20689.2"/>
        <n v="20706.4"/>
        <n v="20708.2"/>
        <n v="20708.8"/>
        <n v="20714.5"/>
        <n v="20715.2"/>
        <n v="20724.6"/>
        <n v="20729.6"/>
        <n v="20731.2"/>
        <n v="20734.6"/>
        <n v="20736.4"/>
        <n v="20745.6"/>
        <n v="20745.8"/>
        <n v="20745.9"/>
        <n v="20755.2"/>
        <n v="20760.4"/>
        <n v="20765.5"/>
        <n v="20772"/>
        <n v="20776.5"/>
        <n v="20778.8"/>
        <n v="20785.6"/>
        <n v="20792"/>
        <n v="20799.5"/>
        <n v="20808"/>
        <n v="20808.9"/>
        <n v="20834.9"/>
        <n v="20848.8"/>
        <n v="20863.9"/>
        <n v="20887.5"/>
        <n v="20887.8"/>
        <n v="20891.2"/>
        <n v="20893.6"/>
        <n v="20906.1"/>
        <n v="20911.6"/>
        <n v="20914.8"/>
        <n v="20923.8"/>
        <n v="20925"/>
        <n v="20944"/>
        <n v="20952.5"/>
        <n v="20971.5"/>
        <n v="20974.1"/>
        <n v="20993.1"/>
        <n v="20993.7"/>
        <n v="20995.1"/>
        <n v="21004.5"/>
        <n v="21011.9"/>
        <n v="21016.6"/>
        <n v="21023.9"/>
        <n v="21035.6"/>
        <n v="21039.2"/>
        <n v="21042"/>
        <n v="21045.3"/>
        <n v="21049.6"/>
        <n v="21051"/>
        <n v="21060"/>
        <n v="21068"/>
        <n v="21069"/>
        <n v="21071"/>
        <n v="21080.1"/>
        <n v="21084.7"/>
        <n v="21097"/>
        <n v="21097.5"/>
        <n v="21102.9"/>
        <n v="21114"/>
        <n v="21139.3"/>
        <n v="21141"/>
        <n v="21147.4"/>
        <n v="21150.8"/>
        <n v="21155.3"/>
        <n v="21166.8"/>
        <n v="21175.8"/>
        <n v="21184.5"/>
        <n v="21186"/>
        <n v="21191"/>
        <n v="21195.6"/>
        <n v="21196.8"/>
        <n v="21199.2"/>
        <n v="21199.8"/>
        <n v="21201.6"/>
        <n v="21204"/>
        <n v="21206"/>
        <n v="21208"/>
        <n v="21223"/>
        <n v="21233.4"/>
        <n v="21233.6"/>
        <n v="21235.4"/>
        <n v="21236.6"/>
        <n v="21241.5"/>
        <n v="21242"/>
        <n v="21245.4"/>
        <n v="21251.5"/>
        <n v="21256"/>
        <n v="21266.7"/>
        <n v="21280.2"/>
        <n v="21284"/>
        <n v="21286.8"/>
        <n v="21287.2"/>
        <n v="21303.1"/>
        <n v="21318"/>
        <n v="21321.3"/>
        <n v="21322.4"/>
        <n v="21328.6"/>
        <n v="21334.8"/>
        <n v="21336.6"/>
        <n v="21339.5"/>
        <n v="21345.2"/>
        <n v="21352.8"/>
        <n v="21357.6"/>
        <n v="21361.2"/>
        <n v="21366.4"/>
        <n v="21367.2"/>
        <n v="21368.9"/>
        <n v="21384"/>
        <n v="21386"/>
        <n v="21394.4"/>
        <n v="21402"/>
        <n v="21405.4"/>
        <n v="21412.3"/>
        <n v="21419.2"/>
        <n v="21422.3"/>
        <n v="21426.8"/>
        <n v="21427.2"/>
        <n v="21428"/>
        <n v="21431.2"/>
        <n v="21456"/>
        <n v="21462.9"/>
        <n v="21469.6"/>
        <n v="21470"/>
        <n v="21471.6"/>
        <n v="21475.7"/>
        <n v="21480.8"/>
        <n v="21491.2"/>
        <n v="21500.4"/>
        <n v="21502.4"/>
        <n v="21508.6"/>
        <n v="21516"/>
        <n v="21521.9"/>
        <n v="21528"/>
        <n v="21529.1"/>
        <n v="21530.6"/>
        <n v="21534.4"/>
        <n v="21546.4"/>
        <n v="21549.9"/>
        <n v="21560"/>
        <n v="21576.1"/>
        <n v="21601.2"/>
        <n v="21602.1"/>
        <n v="21603.9"/>
        <n v="21609.2"/>
        <n v="21618.1"/>
        <n v="21619.5"/>
        <n v="21620"/>
        <n v="21622.5"/>
        <n v="21624"/>
        <n v="21631"/>
        <n v="21636.9"/>
        <n v="21637.6"/>
        <n v="21639.2"/>
        <n v="21639.8"/>
        <n v="21644.8"/>
        <n v="21648"/>
        <n v="21649.5"/>
        <n v="21657.6"/>
        <n v="21660"/>
        <n v="21662.6"/>
        <n v="21667.2"/>
        <n v="21671.7"/>
        <n v="21672"/>
        <n v="21675.2"/>
        <n v="21680.8"/>
        <n v="21689.3"/>
        <n v="21692"/>
        <n v="21697.2"/>
        <n v="21705.6"/>
        <n v="21709.6"/>
        <n v="21714"/>
        <n v="21715"/>
        <n v="21717"/>
        <n v="21735"/>
        <n v="21738.2"/>
        <n v="21742.2"/>
        <n v="21758.1"/>
        <n v="21762"/>
        <n v="21762.8"/>
        <n v="21771"/>
        <n v="21776.1"/>
        <n v="21780"/>
        <n v="21793.2"/>
        <n v="21793.5"/>
        <n v="21797.6"/>
        <n v="21801.6"/>
        <n v="21802.5"/>
        <n v="21813.2"/>
        <n v="21819.6"/>
        <n v="21830.9"/>
        <n v="21834"/>
        <n v="21840.5"/>
        <n v="21843"/>
        <n v="21844"/>
        <n v="21849.1"/>
        <n v="21873.8"/>
        <n v="21877.6"/>
        <n v="21880.5"/>
        <n v="21883.2"/>
        <n v="21894.6"/>
        <n v="21896"/>
        <n v="21903.7"/>
        <n v="21904.5"/>
        <n v="21905.2"/>
        <n v="21906"/>
        <n v="21911.4"/>
        <n v="21912.8"/>
        <n v="21915"/>
        <n v="21916.8"/>
        <n v="21920.1"/>
        <n v="21921.4"/>
        <n v="21921.9"/>
        <n v="21929.4"/>
        <n v="21938.7"/>
        <n v="21942"/>
        <n v="21945"/>
        <n v="21947.2"/>
        <n v="21951.2"/>
        <n v="21967.8"/>
        <n v="21969.6"/>
        <n v="21975.9"/>
        <n v="21986.6"/>
        <n v="21988.2"/>
        <n v="21991.2"/>
        <n v="21992.5"/>
        <n v="21994.7"/>
        <n v="22003.8"/>
        <n v="22013.1"/>
        <n v="22014.8"/>
        <n v="22032"/>
        <n v="22034"/>
        <n v="22040.2"/>
        <n v="22045.3"/>
        <n v="22049.3"/>
        <n v="22067.5"/>
        <n v="22087.5"/>
        <n v="22089.2"/>
        <n v="22108.8"/>
        <n v="22116"/>
        <n v="22121.1"/>
        <n v="22122.1"/>
        <n v="22124.7"/>
        <n v="22129.2"/>
        <n v="22134.3"/>
        <n v="22136.4"/>
        <n v="22143.3"/>
        <n v="22147.2"/>
        <n v="22149.4"/>
        <n v="22167"/>
        <n v="22167.6"/>
        <n v="22171.2"/>
        <n v="22176.3"/>
        <n v="22184.8"/>
        <n v="22185.8"/>
        <n v="22192"/>
        <n v="22194.9"/>
        <n v="22199"/>
        <n v="22202.8"/>
        <n v="22212"/>
        <n v="22220.5"/>
        <n v="22221"/>
        <n v="22227"/>
        <n v="22234.5"/>
        <n v="22236.4"/>
        <n v="22250"/>
        <n v="22257"/>
        <n v="22259.2"/>
        <n v="22272"/>
        <n v="22272.8"/>
        <n v="22280.7"/>
        <n v="22285.9"/>
        <n v="22287"/>
        <n v="22287.4"/>
        <n v="22291.2"/>
        <n v="22310"/>
        <n v="22311"/>
        <n v="22319.2"/>
        <n v="22320"/>
        <n v="22324.2"/>
        <n v="22339.8"/>
        <n v="22343.2"/>
        <n v="22346.5"/>
        <n v="22356"/>
        <n v="22357.2"/>
        <n v="22360.8"/>
        <n v="22363.5"/>
        <n v="22372.5"/>
        <n v="22377.6"/>
        <n v="22383.5"/>
        <n v="22385.1"/>
        <n v="22404.8"/>
        <n v="22428.8"/>
        <n v="22431.2"/>
        <n v="22437"/>
        <n v="22443.2"/>
        <n v="22444.8"/>
        <n v="22446"/>
        <n v="22448.5"/>
        <n v="22457"/>
        <n v="22476.4"/>
        <n v="22481.4"/>
        <n v="22496.7"/>
        <n v="22498.6"/>
        <n v="22501.6"/>
        <n v="22503.2"/>
        <n v="22504.3"/>
        <n v="22506"/>
        <n v="22508"/>
        <n v="22509"/>
        <n v="22521.6"/>
        <n v="22522.5"/>
        <n v="22524.5"/>
        <n v="22536"/>
        <n v="22540.7"/>
        <n v="22568"/>
        <n v="22571.1"/>
        <n v="22581"/>
        <n v="22586"/>
        <n v="22589.7"/>
        <n v="22595.3"/>
        <n v="22599"/>
        <n v="22608.3"/>
        <n v="22609.4"/>
        <n v="22613.5"/>
        <n v="22614.9"/>
        <n v="22619.5"/>
        <n v="22621.2"/>
        <n v="22622.6"/>
        <n v="22623.8"/>
        <n v="22629"/>
        <n v="22635"/>
        <n v="22635.2"/>
        <n v="22641.2"/>
        <n v="22642.4"/>
        <n v="22646.1"/>
        <n v="22648"/>
        <n v="22649.9"/>
        <n v="22659.6"/>
        <n v="22682.7"/>
        <n v="22695.4"/>
        <n v="22697.6"/>
        <n v="22698"/>
        <n v="22703.9"/>
        <n v="22705.6"/>
        <n v="22729.2"/>
        <n v="22730.4"/>
        <n v="22733.5"/>
        <n v="22739.5"/>
        <n v="22743"/>
        <n v="22744.8"/>
        <n v="22748"/>
        <n v="22752"/>
        <n v="22757.3"/>
        <n v="22768.2"/>
        <n v="22770"/>
        <n v="22771.5"/>
        <n v="22785.3"/>
        <n v="22800.1"/>
        <n v="22804.6"/>
        <n v="22815"/>
        <n v="22816"/>
        <n v="22843.6"/>
        <n v="22844.8"/>
        <n v="22853.6"/>
        <n v="22854.9"/>
        <n v="22855.2"/>
        <n v="22857"/>
        <n v="22858.6"/>
        <n v="22859.4"/>
        <n v="22864.1"/>
        <n v="22872.3"/>
        <n v="22895"/>
        <n v="22898.4"/>
        <n v="22898.8"/>
        <n v="22915.2"/>
        <n v="22943.1"/>
        <n v="22957.2"/>
        <n v="22967"/>
        <n v="22983"/>
        <n v="22985.6"/>
        <n v="22990"/>
        <n v="22990.8"/>
        <n v="23000"/>
        <n v="23011.2"/>
        <n v="23022"/>
        <n v="23042"/>
        <n v="23045.4"/>
        <n v="23058"/>
        <n v="23066"/>
        <n v="23068.8"/>
        <n v="23077"/>
        <n v="23082.6"/>
        <n v="23091.9"/>
        <n v="23092"/>
        <n v="23094.5"/>
        <n v="23113.5"/>
        <n v="23114.6"/>
        <n v="23126.4"/>
        <n v="23147.7"/>
        <n v="23152.2"/>
        <n v="23177.7"/>
        <n v="23189.5"/>
        <n v="23194.2"/>
        <n v="23200.8"/>
        <n v="23203.2"/>
        <n v="23208.6"/>
        <n v="23212.8"/>
        <n v="23214.1"/>
        <n v="23223.2"/>
        <n v="23229"/>
        <n v="23230"/>
        <n v="23246.8"/>
        <n v="23256"/>
        <n v="23257.6"/>
        <n v="23273.5"/>
        <n v="23274.4"/>
        <n v="23323.2"/>
        <n v="23332.4"/>
        <n v="23341"/>
        <n v="23341.5"/>
        <n v="23343"/>
        <n v="23368.2"/>
        <n v="23389.5"/>
        <n v="23403"/>
        <n v="23409.2"/>
        <n v="23416"/>
        <n v="23425.6"/>
        <n v="23434.2"/>
        <n v="23441.6"/>
        <n v="23443.2"/>
        <n v="23454.9"/>
        <n v="23468.9"/>
        <n v="23478.2"/>
        <n v="23487.1"/>
        <n v="23503.8"/>
        <n v="23505.3"/>
        <n v="23512.5"/>
        <n v="23515.2"/>
        <n v="23528"/>
        <n v="23529.6"/>
        <n v="23532.6"/>
        <n v="23550.8"/>
        <n v="23557.6"/>
        <n v="23569"/>
        <n v="23584"/>
        <n v="23585"/>
        <n v="23605.4"/>
        <n v="23607"/>
        <n v="23620.6"/>
        <n v="23625.6"/>
        <n v="23626.5"/>
        <n v="23629.5"/>
        <n v="23636.8"/>
        <n v="23652"/>
        <n v="23653.2"/>
        <n v="23655.5"/>
        <n v="23659.8"/>
        <n v="23662.4"/>
        <n v="23669.2"/>
        <n v="23671.6"/>
        <n v="23688"/>
        <n v="23696.4"/>
        <n v="23697.4"/>
        <n v="23705.5"/>
        <n v="23715"/>
        <n v="23716.2"/>
        <n v="23725.6"/>
        <n v="23732"/>
        <n v="23736"/>
        <n v="23761.8"/>
        <n v="23763.2"/>
        <n v="23769.6"/>
        <n v="23770.8"/>
        <n v="23772.8"/>
        <n v="23778"/>
        <n v="23796.5"/>
        <n v="23816.4"/>
        <n v="23822.4"/>
        <n v="23835.9"/>
        <n v="23836.8"/>
        <n v="23857.2"/>
        <n v="23860.9"/>
        <n v="23891.7"/>
        <n v="23913"/>
        <n v="23922"/>
        <n v="23923.2"/>
        <n v="23940"/>
        <n v="23944.5"/>
        <n v="23947.5"/>
        <n v="23953.6"/>
        <n v="23956.8"/>
        <n v="23961.6"/>
        <n v="23966.1"/>
        <n v="23970"/>
        <n v="23994"/>
        <n v="23996.7"/>
        <n v="24012.5"/>
        <n v="24024"/>
        <n v="24026.4"/>
        <n v="24033.1"/>
        <n v="24035.8"/>
        <n v="24048.8"/>
        <n v="24050.4"/>
        <n v="24067.2"/>
        <n v="24078.6"/>
        <n v="24101.6"/>
        <n v="24119.8"/>
        <n v="24122.4"/>
        <n v="24133.5"/>
        <n v="24142.3"/>
        <n v="24151.2"/>
        <n v="24159.2"/>
        <n v="24180"/>
        <n v="24181.3"/>
        <n v="24182.4"/>
        <n v="24195.6"/>
        <n v="24201"/>
        <n v="24214.4"/>
        <n v="24215.1"/>
        <n v="24215.5"/>
        <n v="24260.6"/>
        <n v="24261.6"/>
        <n v="24282.3"/>
        <n v="24288.1"/>
        <n v="24290.4"/>
        <n v="24316.8"/>
        <n v="24324.3"/>
        <n v="24332"/>
        <n v="24336"/>
        <n v="24384.6"/>
        <n v="24412.5"/>
        <n v="24415"/>
        <n v="24434"/>
        <n v="24462.5"/>
        <n v="24472"/>
        <n v="24490.4"/>
        <n v="24496.2"/>
        <n v="24511.2"/>
        <n v="24515.4"/>
        <n v="24516"/>
        <n v="24526.2"/>
        <n v="24536.4"/>
        <n v="24542.7"/>
        <n v="24564"/>
        <n v="24579.9"/>
        <n v="24586"/>
        <n v="24590.4"/>
        <n v="24591.6"/>
        <n v="24609.2"/>
        <n v="24610"/>
        <n v="24637.6"/>
        <n v="24640"/>
        <n v="24660"/>
        <n v="24681"/>
        <n v="24682.5"/>
        <n v="24688.3"/>
        <n v="24699.3"/>
        <n v="24724.7"/>
        <n v="24738"/>
        <n v="24738.8"/>
        <n v="24740.8"/>
        <n v="24747.3"/>
        <n v="24748"/>
        <n v="24750"/>
        <n v="24750.2"/>
        <n v="24757"/>
        <n v="24803.2"/>
        <n v="24803.7"/>
        <n v="24811"/>
        <n v="24812.4"/>
        <n v="24824.8"/>
        <n v="24835.2"/>
        <n v="24839.9"/>
        <n v="24868.2"/>
        <n v="24890"/>
        <n v="24890.7"/>
        <n v="24913.6"/>
        <n v="24928"/>
        <n v="24961.3"/>
        <n v="24965.6"/>
        <n v="24982.3"/>
        <n v="24994.5"/>
        <n v="25074"/>
        <n v="25089.5"/>
        <n v="25116"/>
        <n v="25125.2"/>
        <n v="25143.6"/>
        <n v="25145"/>
        <n v="25154.4"/>
        <n v="25208"/>
        <n v="25212.6"/>
        <n v="25221.6"/>
        <n v="25279.5"/>
        <n v="25286.7"/>
        <n v="25304.5"/>
        <n v="25305.2"/>
        <n v="25334.4"/>
        <n v="25389"/>
        <n v="25401.2"/>
        <n v="25428.8"/>
        <n v="25440.8"/>
        <n v="25443.6"/>
        <n v="25456.2"/>
        <n v="25473.2"/>
        <n v="25484.8"/>
        <n v="25507.2"/>
        <n v="25516.2"/>
        <n v="25549.2"/>
        <n v="25560.8"/>
        <n v="25602.9"/>
        <n v="25628.4"/>
        <n v="25632"/>
        <n v="25689.3"/>
        <n v="25714.5"/>
        <n v="25732.4"/>
        <n v="25784"/>
        <n v="25802"/>
        <n v="25811.5"/>
        <n v="25827.8"/>
        <n v="25846.2"/>
        <n v="25852"/>
        <n v="25925.9"/>
        <n v="25937.8"/>
        <n v="25939.2"/>
        <n v="25953.4"/>
        <n v="25965.6"/>
        <n v="25971.6"/>
        <n v="26010"/>
        <n v="26013"/>
        <n v="26016.9"/>
        <n v="26019.2"/>
        <n v="26020.5"/>
        <n v="26035.2"/>
        <n v="26040"/>
        <n v="26220"/>
        <n v="26230"/>
        <n v="26253.5"/>
        <n v="26253.9"/>
        <n v="26298"/>
        <n v="26352"/>
        <n v="26374.8"/>
        <n v="26384"/>
        <n v="26428.8"/>
        <n v="26438.4"/>
        <n v="26459.2"/>
        <n v="26461"/>
        <n v="26486.4"/>
        <n v="26526.3"/>
        <n v="26611.4"/>
        <n v="26634"/>
        <n v="26726.4"/>
        <n v="26757.3"/>
        <n v="26847"/>
        <n v="26865.2"/>
        <n v="26904.9"/>
        <n v="26914.2"/>
        <n v="26922.5"/>
        <n v="26932.8"/>
        <n v="26940.4"/>
        <n v="26980"/>
        <n v="27053.2"/>
        <n v="27081.4"/>
        <n v="27091.2"/>
        <n v="27121.6"/>
        <n v="27218.1"/>
        <n v="27278.5"/>
        <n v="27537.3"/>
        <n v="27572.2"/>
        <n v="27582.1"/>
        <n v="27594.7"/>
        <n v="27611.7"/>
        <n v="27613.8"/>
        <n v="27654.9"/>
        <n v="27693.6"/>
        <n v="27724.8"/>
        <n v="27811.6"/>
        <n v="27834.4"/>
        <n v="27873"/>
        <n v="27918"/>
        <n v="27931"/>
        <n v="28017"/>
        <n v="28060.8"/>
        <n v="28063.2"/>
        <n v="28070.4"/>
        <n v="28072"/>
        <n v="28124.4"/>
        <n v="28236.6"/>
        <n v="28317.6"/>
        <n v="28365"/>
        <n v="28369.2"/>
        <n v="28430.1"/>
        <n v="28467.3"/>
        <n v="28494.4"/>
        <n v="28503.9"/>
        <n v="28528.5"/>
        <n v="28551.5"/>
        <n v="28570.8"/>
        <n v="28601.1"/>
        <n v="28629"/>
        <n v="28723.2"/>
        <n v="28792.8"/>
        <n v="28842"/>
        <n v="28980"/>
        <n v="29124.7"/>
        <n v="29138.2"/>
        <n v="29155.5"/>
        <n v="29159.9"/>
        <n v="29192.7"/>
        <n v="29200.8"/>
        <n v="29295"/>
        <n v="29316"/>
        <n v="29328.4"/>
        <n v="29387.8"/>
        <n v="29447.6"/>
        <n v="29522.8"/>
        <n v="29529.5"/>
        <n v="29708.8"/>
        <n v="29817.2"/>
        <n v="29859.5"/>
        <n v="29911.7"/>
        <n v="30254.4"/>
        <n v="30276.5"/>
        <n v="30378.4"/>
        <n v="30553.2"/>
        <n v="30615.2"/>
        <n v="30666"/>
        <n v="30817.5"/>
        <n v="30829.2"/>
        <n v="30850.8"/>
        <n v="30902.4"/>
        <n v="31040.1"/>
        <n v="31169.6"/>
        <n v="31425.9"/>
        <n v="31447"/>
        <n v="31517.7"/>
        <n v="31549.7"/>
        <n v="31577"/>
        <n v="31597"/>
        <n v="31730.8"/>
        <n v="31768"/>
        <n v="32047.8"/>
        <n v="32328"/>
        <n v="32345.1"/>
        <n v="32610.6"/>
        <n v="32859.7"/>
        <n v="32920"/>
        <n v="32947"/>
        <n v="33004.8"/>
        <n v="33592"/>
        <n v="33698"/>
        <n v="33745"/>
        <n v="34130.1"/>
        <n v="34307"/>
        <n v="34417.2"/>
        <n v="34599.6"/>
        <n v="34792.8"/>
        <n v="35496"/>
        <n v="35572.5"/>
        <n v="35604"/>
        <n v="35772"/>
        <n v="35896.4"/>
        <n v="35955"/>
        <n v="35956.8"/>
        <n v="35981.4"/>
        <n v="36126"/>
        <n v="36283.4"/>
        <n v="36604.8"/>
        <n v="36756"/>
        <n v="36763.2"/>
        <n v="37062"/>
        <n v="37423.2"/>
        <n v="37737.7"/>
        <n v="37825.6"/>
        <n v="37860.3"/>
        <n v="37977.6"/>
        <n v="37989"/>
        <n v="38034"/>
        <n v="38115"/>
        <n v="38235.2"/>
        <n v="38286.2"/>
        <n v="38380"/>
        <n v="38502.4"/>
        <n v="38855.4"/>
        <n v="38880"/>
        <n v="38907"/>
        <n v="39711"/>
        <n v="40194.7"/>
        <n v="40786.6"/>
        <n v="41193.9"/>
        <n v="42249.6"/>
      </sharedItems>
    </cacheField>
    <cacheField name="Номер акта" numFmtId="0">
      <sharedItems count="1459">
        <s v="грин00378"/>
        <s v="грин00379"/>
        <s v="грин00380"/>
        <s v="грин00381"/>
        <s v="грин00382"/>
        <s v="грин00383"/>
        <s v="грин00384"/>
        <s v="грин00386"/>
        <s v="грин00387"/>
        <s v="грин00388"/>
        <s v="грин00389"/>
        <s v="грин00390"/>
        <s v="грин00391"/>
        <s v="грин00392"/>
        <s v="грин00393"/>
        <s v="грин00403"/>
        <s v="грин00408"/>
        <s v="грин00410"/>
        <s v="грин00414"/>
        <s v="грин00415"/>
        <s v="грин00416"/>
        <s v="грин00417"/>
        <s v="грин00418"/>
        <s v="грин00419"/>
        <s v="грин00420"/>
        <s v="грин00421"/>
        <s v="грин00422"/>
        <s v="грин00423"/>
        <s v="грин00424"/>
        <s v="грин00425"/>
        <s v="грин00426"/>
        <s v="грин00427"/>
        <s v="грин00428"/>
        <s v="грин00429"/>
        <s v="грин00430"/>
        <s v="грин00431"/>
        <s v="грин00432"/>
        <s v="грин00433"/>
        <s v="грин00434"/>
        <s v="грин00435"/>
        <s v="грин00436"/>
        <s v="грин00437"/>
        <s v="грин00438"/>
        <s v="грин00439"/>
        <s v="грин00440"/>
        <s v="грин00441"/>
        <s v="грин00442"/>
        <s v="грин00443"/>
        <s v="грин00444"/>
        <s v="грин00458"/>
        <s v="грин00459"/>
        <s v="грин00464"/>
        <s v="грин00465"/>
        <s v="грин00466"/>
        <s v="грин00467"/>
        <s v="грин00468"/>
        <s v="грин00469"/>
        <s v="грин00470"/>
        <s v="грин00471"/>
        <s v="грин00472"/>
        <s v="грин00473"/>
        <s v="грин00474"/>
        <s v="грин00475"/>
        <s v="грин00476"/>
        <s v="грин00477"/>
        <s v="грин00478"/>
        <s v="грин00479"/>
        <s v="грин00480"/>
        <s v="грин00481"/>
        <s v="грин00482"/>
        <s v="грин00483"/>
        <s v="грин00484"/>
        <s v="грин00485"/>
        <s v="грин00486"/>
        <s v="грин00487"/>
        <s v="грин00488"/>
        <s v="грин00489"/>
        <s v="грин00490"/>
        <s v="грин00491"/>
        <s v="грин00492"/>
        <s v="грин00493"/>
        <s v="грин00494"/>
        <s v="грин00495"/>
        <s v="грин00496"/>
        <s v="грин00497"/>
        <s v="грин00498"/>
        <s v="грин00499"/>
        <s v="грин00500"/>
        <s v="грин00501"/>
        <s v="грин00502"/>
        <s v="грин00503"/>
        <s v="грин00504"/>
        <s v="грин00505"/>
        <s v="грин00506"/>
        <s v="грин00507"/>
        <s v="грин00508"/>
        <s v="грин00509"/>
        <s v="грин00510"/>
        <s v="грин00511"/>
        <s v="грин00512"/>
        <s v="грин00513"/>
        <s v="грин00514"/>
        <s v="грин00515"/>
        <s v="грин00516"/>
        <s v="грин00517"/>
        <s v="грин00518"/>
        <s v="грин00519"/>
        <s v="грин00520"/>
        <s v="грин00521"/>
        <s v="грин00522"/>
        <s v="грин00523"/>
        <s v="грин00524"/>
        <s v="грин00525"/>
        <s v="грин00526"/>
        <s v="грин00527"/>
        <s v="грин00528"/>
        <s v="грин00529"/>
        <s v="грин00530"/>
        <s v="грин00531"/>
        <s v="грин00532"/>
        <s v="грин00533"/>
        <s v="грин00534"/>
        <s v="грин00535"/>
        <s v="грин00536"/>
        <s v="грин00537"/>
        <s v="грин00538"/>
        <s v="грин00539"/>
        <s v="грин00540"/>
        <s v="грин00541"/>
        <s v="грин00542"/>
        <s v="грин00543"/>
        <s v="грин00544"/>
        <s v="грин00545"/>
        <s v="грин00546"/>
        <s v="грин00547"/>
        <s v="грин00548"/>
        <s v="грин00549"/>
        <s v="грин00550"/>
        <s v="грин00551"/>
        <s v="грин00552"/>
        <s v="грин00553"/>
        <s v="грин00554"/>
        <s v="грин00555"/>
        <s v="грин00556"/>
        <s v="грин00557"/>
        <s v="грин00558"/>
        <s v="грин00559"/>
        <s v="грин00560"/>
        <s v="грин00561"/>
        <s v="грин00562"/>
        <s v="грин00563"/>
        <s v="грин00564"/>
        <s v="грин00565"/>
        <s v="грин00566"/>
        <s v="грин00567"/>
        <s v="грин00568"/>
        <s v="грин00569"/>
        <s v="грин00570"/>
        <s v="грин00571"/>
        <s v="грин00572"/>
        <s v="грин00573"/>
        <s v="грин00574"/>
        <s v="грин00575"/>
        <s v="грин00576"/>
        <s v="грин00577"/>
        <s v="грин00578"/>
        <s v="грин00579"/>
        <s v="грин00580"/>
        <s v="грин00581"/>
        <s v="грин00582"/>
        <s v="грин00583"/>
        <s v="грин00584"/>
        <s v="грин00585"/>
        <s v="грин00586"/>
        <s v="грин00587"/>
        <s v="грин00588"/>
        <s v="грин00589"/>
        <s v="грин00590"/>
        <s v="грин00591"/>
        <s v="грин00592"/>
        <s v="грин00593"/>
        <s v="грин00594"/>
        <s v="грин00595"/>
        <s v="грин00596"/>
        <s v="грин00597"/>
        <s v="грин00598"/>
        <s v="грин00599"/>
        <s v="грин00600"/>
        <s v="грин00601"/>
        <s v="грин00602"/>
        <s v="грин00603"/>
        <s v="грин00604"/>
        <s v="грин00605"/>
        <s v="грин00606"/>
        <s v="грин00607"/>
        <s v="грин00608"/>
        <s v="грин00609"/>
        <s v="грин00610"/>
        <s v="грин00611"/>
        <s v="грин00612"/>
        <s v="грин00613"/>
        <s v="грин00614"/>
        <s v="грин00615"/>
        <s v="грин00616"/>
        <s v="грин00617"/>
        <s v="грин00618"/>
        <s v="грин00619"/>
        <s v="грин00620"/>
        <s v="грин00621"/>
        <s v="грин00622"/>
        <s v="грин00623"/>
        <s v="грин00624"/>
        <s v="грин00625"/>
        <s v="грин00626"/>
        <s v="грин00627"/>
        <s v="грин00628"/>
        <s v="грин00629"/>
        <s v="грин00630"/>
        <s v="грин00631"/>
        <s v="грин00632"/>
        <s v="грин00633"/>
        <s v="грин00634"/>
        <s v="грин00635"/>
        <s v="грин00636"/>
        <s v="грин00637"/>
        <s v="грин00638"/>
        <s v="грин00639"/>
        <s v="грин00640"/>
        <s v="грин00641"/>
        <s v="грин00642"/>
        <s v="грин00643"/>
        <s v="грин00644"/>
        <s v="грин00645"/>
        <s v="грин00646"/>
        <s v="грин00647"/>
        <s v="грин00648"/>
        <s v="грин00649"/>
        <s v="грин00650"/>
        <s v="грин00651"/>
        <s v="грин00652"/>
        <s v="грин00653"/>
        <s v="грин00654"/>
        <s v="грин00655"/>
        <s v="грин00656"/>
        <s v="грин00657"/>
        <s v="грин00658"/>
        <s v="грин00659"/>
        <s v="грин00660"/>
        <s v="грин00661"/>
        <s v="грин00662"/>
        <s v="грин00663"/>
        <s v="грин00664"/>
        <s v="грин00665"/>
        <s v="грин00667"/>
        <s v="грин00668"/>
        <s v="грин00669"/>
        <s v="грин00670"/>
        <s v="грин00671"/>
        <s v="грин00672"/>
        <s v="грин00673"/>
        <s v="грин00674"/>
        <s v="грин00675"/>
        <s v="грин00676"/>
        <s v="грин00677"/>
        <s v="грин00678"/>
        <s v="грин00679"/>
        <s v="грин00680"/>
        <s v="грин00681"/>
        <s v="грин00682"/>
        <s v="грин00683"/>
        <s v="грин00684"/>
        <s v="грин00685"/>
        <s v="грин00686"/>
        <s v="грин00687"/>
        <s v="грин00688"/>
        <s v="грин00689"/>
        <s v="грин00690"/>
        <s v="грин00691"/>
        <s v="грин00692"/>
        <s v="грин00693"/>
        <s v="грин00694"/>
        <s v="грин00695"/>
        <s v="грин00696"/>
        <s v="грин00697"/>
        <s v="грин00698"/>
        <s v="грин00699"/>
        <s v="грин00700"/>
        <s v="грин00701"/>
        <s v="грин00702"/>
        <s v="грин00703"/>
        <s v="грин00704"/>
        <s v="грин00705"/>
        <s v="грин00706"/>
        <s v="грин00707"/>
        <s v="грин00708"/>
        <s v="грин00709"/>
        <s v="грин00710"/>
        <s v="грин00711"/>
        <s v="грин00712"/>
        <s v="грин00713"/>
        <s v="грин00714"/>
        <s v="грин00715"/>
        <s v="грин00716"/>
        <s v="грин00717"/>
        <s v="грин00718"/>
        <s v="грин00719"/>
        <s v="грин00720"/>
        <s v="грин00721"/>
        <s v="грин00722"/>
        <s v="грин00723"/>
        <s v="грин00724"/>
        <s v="грин00725"/>
        <s v="грин00726"/>
        <s v="грин00727"/>
        <s v="грин00728"/>
        <s v="грин00729"/>
        <s v="грин00730"/>
        <s v="грин00731"/>
        <s v="грин00732"/>
        <s v="грин00733"/>
        <s v="грин00734"/>
        <s v="грин00735"/>
        <s v="грин00736"/>
        <s v="грин00737"/>
        <s v="грин00738"/>
        <s v="грин00739"/>
        <s v="грин00740"/>
        <s v="грин00741"/>
        <s v="грин00742"/>
        <s v="грин00743"/>
        <s v="грин00744"/>
        <s v="грин00745"/>
        <s v="грин00746"/>
        <s v="грин00747"/>
        <s v="грин00748"/>
        <s v="грин00749"/>
        <s v="грин00750"/>
        <s v="грин00751"/>
        <s v="грин00752"/>
        <s v="грин00753"/>
        <s v="грин00754"/>
        <s v="грин00755"/>
        <s v="грин00756"/>
        <s v="грин00757"/>
        <s v="грин00758"/>
        <s v="грин00759"/>
        <s v="грин00760"/>
        <s v="грин00761"/>
        <s v="грин00762"/>
        <s v="грин00763"/>
        <s v="грин00764"/>
        <s v="грин00765"/>
        <s v="грин00766"/>
        <s v="грин00767"/>
        <s v="грин00768"/>
        <s v="грин00769"/>
        <s v="грин00770"/>
        <s v="грин00771"/>
        <s v="грин00772"/>
        <s v="грин00773"/>
        <s v="грин00774"/>
        <s v="грин00775"/>
        <s v="грин00776"/>
        <s v="грин00777"/>
        <s v="грин00778"/>
        <s v="грин00779"/>
        <s v="грин00780"/>
        <s v="грин00781"/>
        <s v="грин00782"/>
        <s v="грин00783"/>
        <s v="грин00784"/>
        <s v="грин00785"/>
        <s v="грин00786"/>
        <s v="грин00787"/>
        <s v="грин00788"/>
        <s v="грин00789"/>
        <s v="грин00790"/>
        <s v="грин00791"/>
        <s v="грин00792"/>
        <s v="грин00793"/>
        <s v="грин00794"/>
        <s v="грин00795"/>
        <s v="грин00796"/>
        <s v="грин00797"/>
        <s v="грин00798"/>
        <s v="грин00799"/>
        <s v="грин00800"/>
        <s v="грин00801"/>
        <s v="грин00802"/>
        <s v="грин00803"/>
        <s v="грин00804"/>
        <s v="грин00805"/>
        <s v="грин00806"/>
        <s v="грин00807"/>
        <s v="грин00808"/>
        <s v="грин00809"/>
        <s v="грин00810"/>
        <s v="грин00811"/>
        <s v="грин00812"/>
        <s v="грин00836"/>
        <s v="грин00837"/>
        <s v="грин00838"/>
        <s v="грин00839"/>
        <s v="грин00840"/>
        <s v="грин00841"/>
        <s v="грин00842"/>
        <s v="грин00843"/>
        <s v="грин00844"/>
        <s v="грин00845"/>
        <s v="грин00846"/>
        <s v="грин00847"/>
        <s v="грин00848"/>
        <s v="грин00849"/>
        <s v="грин00850"/>
        <s v="грин00851"/>
        <s v="грин00852"/>
        <s v="грин00853"/>
        <s v="грин00854"/>
        <s v="грин00855"/>
        <s v="грин00856"/>
        <s v="грин00857"/>
        <s v="грин00858"/>
        <s v="грин00859"/>
        <s v="грин00860"/>
        <s v="грин00861"/>
        <s v="грин00862"/>
        <s v="грин00863"/>
        <s v="грин00864"/>
        <s v="грин00865"/>
        <s v="грин00866"/>
        <s v="грин00867"/>
        <s v="грин00868"/>
        <s v="грин00869"/>
        <s v="грин00870"/>
        <s v="грин00871"/>
        <s v="грин00872"/>
        <s v="грин00873"/>
        <s v="грин00874"/>
        <s v="грин00875"/>
        <s v="грин00877"/>
        <s v="грин00878"/>
        <s v="грин00879"/>
        <s v="грин00880"/>
        <s v="грин00881"/>
        <s v="грин00882"/>
        <s v="грин00883"/>
        <s v="грин00884"/>
        <s v="грин00885"/>
        <s v="грин00886"/>
        <s v="грин00887"/>
        <s v="грин00888"/>
        <s v="грин00890"/>
        <s v="грин00891"/>
        <s v="грин00892"/>
        <s v="грин00893"/>
        <s v="грин00894"/>
        <s v="грин00895"/>
        <s v="грин00896"/>
        <s v="грин00897"/>
        <s v="грин00898"/>
        <s v="грин00899"/>
        <s v="грин00900"/>
        <s v="грин00901"/>
        <s v="грин00902"/>
        <s v="грин00903"/>
        <s v="грин00904"/>
        <s v="грин00905"/>
        <s v="грин00906"/>
        <s v="грин00907"/>
        <s v="грин00908"/>
        <s v="грин00909"/>
        <s v="грин00910"/>
        <s v="грин00911"/>
        <s v="грин00912"/>
        <s v="грин00913"/>
        <s v="грин00914"/>
        <s v="грин00915"/>
        <s v="грин00916"/>
        <s v="грин00917"/>
        <s v="грин00918"/>
        <s v="грин00919"/>
        <s v="грин00920"/>
        <s v="грин00921"/>
        <s v="грин00922"/>
        <s v="грин00923"/>
        <s v="грин00924"/>
        <s v="грин00925"/>
        <s v="грин00926"/>
        <s v="грин00927"/>
        <s v="грин00928"/>
        <s v="грин00929"/>
        <s v="грин00930"/>
        <s v="грин00931"/>
        <s v="грин00932"/>
        <s v="грин00933"/>
        <s v="грин00934"/>
        <s v="грин00935"/>
        <s v="грин00936"/>
        <s v="грин00937"/>
        <s v="грин00938"/>
        <s v="грин00939"/>
        <s v="грин00940"/>
        <s v="грин00941"/>
        <s v="грин00942"/>
        <s v="грин00943"/>
        <s v="грин00944"/>
        <s v="грин00945"/>
        <s v="грин00946"/>
        <s v="грин00947"/>
        <s v="грин00948"/>
        <s v="грин00949"/>
        <s v="грин00950"/>
        <s v="грин00951"/>
        <s v="грин00952"/>
        <s v="грин00953"/>
        <s v="грин00956"/>
        <s v="грин00969"/>
        <s v="грин00971"/>
        <s v="грин00972"/>
        <s v="грин00986"/>
        <s v="грин01014"/>
        <s v="грин01017"/>
        <s v="грин01018"/>
        <s v="грин01019"/>
        <s v="грин01020"/>
        <s v="грин01021"/>
        <s v="грин01022"/>
        <s v="грин01023"/>
        <s v="грин01024"/>
        <s v="грин01025"/>
        <s v="грин01026"/>
        <s v="грин01027"/>
        <s v="грин01028"/>
        <s v="грин01029"/>
        <s v="грин01030"/>
        <s v="грин01031"/>
        <s v="грин01032"/>
        <s v="грин01033"/>
        <s v="грин01034"/>
        <s v="грин01035"/>
        <s v="грин01036"/>
        <s v="грин01037"/>
        <s v="грин01038"/>
        <s v="грин01039"/>
        <s v="грин01040"/>
        <s v="грин01041"/>
        <s v="грин01042"/>
        <s v="грин01043"/>
        <s v="грин01044"/>
        <s v="грин01045"/>
        <s v="грин01046"/>
        <s v="грин01047"/>
        <s v="грин01048"/>
        <s v="грин01049"/>
        <s v="грин01050"/>
        <s v="грин01051"/>
        <s v="грин01052"/>
        <s v="грин01053"/>
        <s v="грин01054"/>
        <s v="грин01055"/>
        <s v="грин01056"/>
        <s v="грин01057"/>
        <s v="грин01058"/>
        <s v="грин01059"/>
        <s v="грин01060"/>
        <s v="грин01061"/>
        <s v="грин01062"/>
        <s v="грин01063"/>
        <s v="грин01064"/>
        <s v="грин01065"/>
        <s v="грин01066"/>
        <s v="грин01067"/>
        <s v="грин01068"/>
        <s v="грин01069"/>
        <s v="грин01070"/>
        <s v="грин01071"/>
        <s v="грин01072"/>
        <s v="грин01073"/>
        <s v="грин01074"/>
        <s v="грин01075"/>
        <s v="грин01076"/>
        <s v="грин01077"/>
        <s v="грин01078"/>
        <s v="грин01079"/>
        <s v="грин01080"/>
        <s v="грин01081"/>
        <s v="грин01082"/>
        <s v="грин01083"/>
        <s v="грин01084"/>
        <s v="грин01085"/>
        <s v="грин01086"/>
        <s v="грин01087"/>
        <s v="грин01088"/>
        <s v="грин01089"/>
        <s v="грин01090"/>
        <s v="грин01091"/>
        <s v="грин01092"/>
        <s v="грин01093"/>
        <s v="грин01094"/>
        <s v="грин01095"/>
        <s v="грин01096"/>
        <s v="грин01097"/>
        <s v="грин01098"/>
        <s v="грин01099"/>
        <s v="грин01100"/>
        <s v="грин01101"/>
        <s v="грин01102"/>
        <s v="грин01103"/>
        <s v="грин01104"/>
        <s v="грин01105"/>
        <s v="грин01106"/>
        <s v="грин01107"/>
        <s v="грин01108"/>
        <s v="грин01109"/>
        <s v="грин01110"/>
        <s v="грин01111"/>
        <s v="грин01112"/>
        <s v="грин01113"/>
        <s v="грин01114"/>
        <s v="грин01115"/>
        <s v="грин01116"/>
        <s v="грин01117"/>
        <s v="грин01118"/>
        <s v="грин01119"/>
        <s v="грин01120"/>
        <s v="грин01121"/>
        <s v="грин01122"/>
        <s v="грин01123"/>
        <s v="грин01125"/>
        <s v="грин01126"/>
        <s v="грин01127"/>
        <s v="грин01128"/>
        <s v="грин01129"/>
        <s v="грин01130"/>
        <s v="грин01131"/>
        <s v="грин01132"/>
        <s v="грин01133"/>
        <s v="грин01134"/>
        <s v="грин01135"/>
        <s v="грин01136"/>
        <s v="грин01137"/>
        <s v="грин01138"/>
        <s v="грин01139"/>
        <s v="грин01140"/>
        <s v="грин01141"/>
        <s v="грин01142"/>
        <s v="грин01143"/>
        <s v="грин01144"/>
        <s v="грин01145"/>
        <s v="грин01146"/>
        <s v="грин01147"/>
        <s v="грин01148"/>
        <s v="грин01149"/>
        <s v="грин01150"/>
        <s v="грин01151"/>
        <s v="грин01152"/>
        <s v="грин01153"/>
        <s v="грин01154"/>
        <s v="грин01155"/>
        <s v="грин01156"/>
        <s v="грин01157"/>
        <s v="грин01158"/>
        <s v="грин01159"/>
        <s v="грин01160"/>
        <s v="грин01161"/>
        <s v="грин01162"/>
        <s v="грин01163"/>
        <s v="грин01164"/>
        <s v="грин01165"/>
        <s v="грин01166"/>
        <s v="грин01167"/>
        <s v="грин01168"/>
        <s v="грин01169"/>
        <s v="грин01170"/>
        <s v="грин01171"/>
        <s v="грин01172"/>
        <s v="грин01173"/>
        <s v="грин01174"/>
        <s v="грин01175"/>
        <s v="грин01176"/>
        <s v="грин01177"/>
        <s v="грин01178"/>
        <s v="грин01179"/>
        <s v="грин01180"/>
        <s v="грин01181"/>
        <s v="грин01182"/>
        <s v="грин01183"/>
        <s v="грин01184"/>
        <s v="грин01185"/>
        <s v="грин01186"/>
        <s v="грин01187"/>
        <s v="грин01188"/>
        <s v="грин01189"/>
        <s v="грин01190"/>
        <s v="грин01191"/>
        <s v="грин01192"/>
        <s v="грин01193"/>
        <s v="грин01194"/>
        <s v="грин01195"/>
        <s v="грин01196"/>
        <s v="грин01197"/>
        <s v="грин01198"/>
        <s v="грин01199"/>
        <s v="грин01200"/>
        <s v="грин01201"/>
        <s v="грин01202"/>
        <s v="грин01203"/>
        <s v="грин01204"/>
        <s v="грин01205"/>
        <s v="грин01206"/>
        <s v="грин01207"/>
        <s v="грин01208"/>
        <s v="грин01209"/>
        <s v="грин01210"/>
        <s v="грин01211"/>
        <s v="грин01212"/>
        <s v="грин01213"/>
        <s v="грин01214"/>
        <s v="грин01215"/>
        <s v="грин01216"/>
        <s v="грин01217"/>
        <s v="грин01218"/>
        <s v="грин01219"/>
        <s v="грин01220"/>
        <s v="грин01221"/>
        <s v="грин01222"/>
        <s v="грин01223"/>
        <s v="грин01224"/>
        <s v="грин01225"/>
        <s v="грин01226"/>
        <s v="грин01227"/>
        <s v="грин01228"/>
        <s v="грин01229"/>
        <s v="грин01230"/>
        <s v="грин01231"/>
        <s v="грин01232"/>
        <s v="грин01233"/>
        <s v="грин01234"/>
        <s v="грин01235"/>
        <s v="грин01236"/>
        <s v="грин01237"/>
        <s v="грин01238"/>
        <s v="грин01239"/>
        <s v="грин01240"/>
        <s v="грин01241"/>
        <s v="грин01242"/>
        <s v="грин01243"/>
        <s v="грин01244"/>
        <s v="грин01245"/>
        <s v="грин01246"/>
        <s v="грин01247"/>
        <s v="грин01248"/>
        <s v="грин01249"/>
        <s v="грин01250"/>
        <s v="грин01251"/>
        <s v="грин01252"/>
        <s v="грин01253"/>
        <s v="грин01254"/>
        <s v="грин01255"/>
        <s v="грин01256"/>
        <s v="грин01257"/>
        <s v="грин01258"/>
        <s v="грин01259"/>
        <s v="грин01260"/>
        <s v="грин01261"/>
        <s v="грин01262"/>
        <s v="грин01263"/>
        <s v="грин01264"/>
        <s v="грин01265"/>
        <s v="грин01266"/>
        <s v="грин01267"/>
        <s v="грин01268"/>
        <s v="грин01269"/>
        <s v="грин01270"/>
        <s v="грин01271"/>
        <s v="грин01272"/>
        <s v="грин01273"/>
        <s v="грин01274"/>
        <s v="грин01275"/>
        <s v="грин01276"/>
        <s v="грин01277"/>
        <s v="грин01278"/>
        <s v="грин01279"/>
        <s v="грин01280"/>
        <s v="грин01281"/>
        <s v="грин01282"/>
        <s v="грин01283"/>
        <s v="грин01284"/>
        <s v="грин01285"/>
        <s v="грин01286"/>
        <s v="грин01287"/>
        <s v="грин01288"/>
        <s v="грин01289"/>
        <s v="грин01290"/>
        <s v="грин01291"/>
        <s v="грин01292"/>
        <s v="грин01293"/>
        <s v="грин01294"/>
        <s v="грин01295"/>
        <s v="грин01296"/>
        <s v="грин01297"/>
        <s v="грин01298"/>
        <s v="грин01299"/>
        <s v="грин01300"/>
        <s v="грин01301"/>
        <s v="грин01302"/>
        <s v="грин01303"/>
        <s v="грин01304"/>
        <s v="грин01305"/>
        <s v="грин01306"/>
        <s v="грин01307"/>
        <s v="грин01308"/>
        <s v="грин01309"/>
        <s v="грин01310"/>
        <s v="грин01311"/>
        <s v="грин01312"/>
        <s v="грин01313"/>
        <s v="грин01314"/>
        <s v="грин01315"/>
        <s v="грин01316"/>
        <s v="грин01317"/>
        <s v="грин01318"/>
        <s v="грин01319"/>
        <s v="грин01320"/>
        <s v="грин01321"/>
        <s v="грин01322"/>
        <s v="грин01323"/>
        <s v="грин01324"/>
        <s v="грин01325"/>
        <s v="грин01326"/>
        <s v="грин01327"/>
        <s v="грин01328"/>
        <s v="грин01329"/>
        <s v="грин01330"/>
        <s v="грин01331"/>
        <s v="грин01332"/>
        <s v="грин01333"/>
        <s v="грин01334"/>
        <s v="грин01335"/>
        <s v="грин01336"/>
        <s v="грин01337"/>
        <s v="грин01338"/>
        <s v="грин01339"/>
        <s v="грин01340"/>
        <s v="грин01341"/>
        <s v="грин01342"/>
        <s v="грин01343"/>
        <s v="грин01344"/>
        <s v="грин01345"/>
        <s v="грин01346"/>
        <s v="грин01347"/>
        <s v="грин01348"/>
        <s v="грин01349"/>
        <s v="грин01350"/>
        <s v="грин01351"/>
        <s v="грин01352"/>
        <s v="грин01353"/>
        <s v="грин01354"/>
        <s v="грин01355"/>
        <s v="грин01356"/>
        <s v="грин01357"/>
        <s v="грин01358"/>
        <s v="грин01359"/>
        <s v="грин01360"/>
        <s v="грин01361"/>
        <s v="грин01362"/>
        <s v="грин01363"/>
        <s v="грин01364"/>
        <s v="грин01365"/>
        <s v="грин01366"/>
        <s v="грин01367"/>
        <s v="грин01368"/>
        <s v="грин01369"/>
        <s v="грин01370"/>
        <s v="грин01371"/>
        <s v="грин01372"/>
        <s v="грин01373"/>
        <s v="грин01374"/>
        <s v="грин01375"/>
        <s v="грин01376"/>
        <s v="грин01377"/>
        <s v="грин01378"/>
        <s v="грин01379"/>
        <s v="грин01380"/>
        <s v="грин01381"/>
        <s v="грин01382"/>
        <s v="грин01383"/>
        <s v="грин01384"/>
        <s v="грин01385"/>
        <s v="грин01386"/>
        <s v="грин01387"/>
        <s v="грин01388"/>
        <s v="грин01389"/>
        <s v="грин01390"/>
        <s v="грин01391"/>
        <s v="грин01392"/>
        <s v="грин01393"/>
        <s v="грин01394"/>
        <s v="грин01395"/>
        <s v="грин01396"/>
        <s v="грин01405"/>
        <s v="грин01410"/>
        <s v="грин01411"/>
        <s v="грин01412"/>
        <s v="грин01413"/>
        <s v="грин01414"/>
        <s v="грин01415"/>
        <s v="грин01416"/>
        <s v="грин01417"/>
        <s v="грин01418"/>
        <s v="грин01419"/>
        <s v="грин01420"/>
        <s v="грин01421"/>
        <s v="грин01422"/>
        <s v="грин01423"/>
        <s v="грин01424"/>
        <s v="грин01425"/>
        <s v="грин01434"/>
        <s v="грин01435"/>
        <s v="грин01440"/>
        <s v="грин01441"/>
        <s v="грин01442"/>
        <s v="грин01443"/>
        <s v="грин01444"/>
        <s v="грин01445"/>
        <s v="грин01446"/>
        <s v="грин01447"/>
        <s v="грин01448"/>
        <s v="грин01449"/>
        <s v="грин01450"/>
        <s v="грин01451"/>
        <s v="грин01452"/>
        <s v="грин01453"/>
        <s v="грин01454"/>
        <s v="грин01455"/>
        <s v="грин01456"/>
        <s v="грин01457"/>
        <s v="грин01458"/>
        <s v="грин01459"/>
        <s v="грин01460"/>
        <s v="грин01461"/>
        <s v="грин01462"/>
        <s v="грин01463"/>
        <s v="грин01464"/>
        <s v="грин01465"/>
        <s v="грин01466"/>
        <s v="грин01467"/>
        <s v="грин01468"/>
        <s v="грин01469"/>
        <s v="грин01470"/>
        <s v="грин01471"/>
        <s v="грин01472"/>
        <s v="грин01473"/>
        <s v="грин01474"/>
        <s v="грин01475"/>
        <s v="грин01476"/>
        <s v="грин01477"/>
        <s v="грин01478"/>
        <s v="грин01479"/>
        <s v="грин01480"/>
        <s v="грин01481"/>
        <s v="грин01482"/>
        <s v="грин01483"/>
        <s v="грин01484"/>
        <s v="грин01485"/>
        <s v="грин01486"/>
        <s v="грин01487"/>
        <s v="грин01488"/>
        <s v="грин01489"/>
        <s v="грин01490"/>
        <s v="грин01491"/>
        <s v="грин01492"/>
        <s v="грин01493"/>
        <s v="грин01494"/>
        <s v="грин01495"/>
        <s v="грин01496"/>
        <s v="грин01497"/>
        <s v="грин01498"/>
        <s v="грин01499"/>
        <s v="грин01500"/>
        <s v="грин01501"/>
        <s v="грин01502"/>
        <s v="грин01503"/>
        <s v="грин01504"/>
        <s v="грин01505"/>
        <s v="грин01506"/>
        <s v="грин01507"/>
        <s v="грин01508"/>
        <s v="грин01509"/>
        <s v="грин01510"/>
        <s v="грин01511"/>
        <s v="грин01512"/>
        <s v="грин01513"/>
        <s v="грин01514"/>
        <s v="грин01515"/>
        <s v="грин01516"/>
        <s v="грин01517"/>
        <s v="грин01518"/>
        <s v="грин01519"/>
        <s v="грин01520"/>
        <s v="грин01521"/>
        <s v="грин01522"/>
        <s v="грин01523"/>
        <s v="грин01524"/>
        <s v="грин01525"/>
        <s v="грин01526"/>
        <s v="грин01527"/>
        <s v="грин01528"/>
        <s v="грин01529"/>
        <s v="грин01530"/>
        <s v="грин01531"/>
        <s v="грин01532"/>
        <s v="грин01533"/>
        <s v="грин01534"/>
        <s v="грин01535"/>
        <s v="грин01536"/>
        <s v="грин01537"/>
        <s v="грин01538"/>
        <s v="грин01539"/>
        <s v="грин01540"/>
        <s v="грин01541"/>
        <s v="грин01542"/>
        <s v="грин01543"/>
        <s v="грин01544"/>
        <s v="грин01545"/>
        <s v="грин01546"/>
        <s v="грин01547"/>
        <s v="грин01548"/>
        <s v="грин01549"/>
        <s v="грин01550"/>
        <s v="грин01551"/>
        <s v="грин01552"/>
        <s v="грин01553"/>
        <s v="грин01554"/>
        <s v="грин01555"/>
        <s v="грин01556"/>
        <s v="грин01557"/>
        <s v="грин01558"/>
        <s v="грин01559"/>
        <s v="грин01560"/>
        <s v="грин01561"/>
        <s v="грин01562"/>
        <s v="грин01563"/>
        <s v="грин01564"/>
        <s v="грин01565"/>
        <s v="грин01566"/>
        <s v="грин01567"/>
        <s v="грин01568"/>
        <s v="грин01569"/>
        <s v="грин01570"/>
        <s v="грин01571"/>
        <s v="грин01572"/>
        <s v="грин01573"/>
        <s v="грин01574"/>
        <s v="грин01575"/>
        <s v="грин01576"/>
        <s v="грин01577"/>
        <s v="грин01578"/>
        <s v="грин01579"/>
        <s v="грин01580"/>
        <s v="грин01581"/>
        <s v="грин01582"/>
        <s v="грин01583"/>
        <s v="грин01584"/>
        <s v="грин01585"/>
        <s v="грин01586"/>
        <s v="грин01587"/>
        <s v="грин01588"/>
        <s v="грин01589"/>
        <s v="грин01590"/>
        <s v="грин01591"/>
        <s v="грин01592"/>
        <s v="грин01593"/>
        <s v="грин01594"/>
        <s v="грин01595"/>
        <s v="грин01596"/>
        <s v="грин01597"/>
        <s v="грин01598"/>
        <s v="грин01599"/>
        <s v="грин01600"/>
        <s v="грин01601"/>
        <s v="грин01602"/>
        <s v="грин01603"/>
        <s v="грин01604"/>
        <s v="грин01605"/>
        <s v="грин01606"/>
        <s v="грин01607"/>
        <s v="грин01608"/>
        <s v="грин01609"/>
        <s v="грин01610"/>
        <s v="грин01611"/>
        <s v="грин01612"/>
        <s v="грин01613"/>
        <s v="грин01614"/>
        <s v="грин01615"/>
        <s v="грин01616"/>
        <s v="грин01617"/>
        <s v="грин01618"/>
        <s v="грин01619"/>
        <s v="грин01620"/>
        <s v="грин01621"/>
        <s v="грин01622"/>
        <s v="грин01623"/>
        <s v="грин01624"/>
        <s v="грин01625"/>
        <s v="грин01626"/>
        <s v="грин01627"/>
        <s v="грин01628"/>
        <s v="грин01629"/>
        <s v="грин01630"/>
        <s v="грин01631"/>
        <s v="грин01632"/>
        <s v="грин01633"/>
        <s v="грин01634"/>
        <s v="грин01635"/>
        <s v="грин01636"/>
        <s v="грин01637"/>
        <s v="грин01638"/>
        <s v="грин01639"/>
        <s v="грин01640"/>
        <s v="грин01642"/>
        <s v="грин01643"/>
        <s v="грин01644"/>
        <s v="грин01645"/>
        <s v="грин01646"/>
        <s v="грин01647"/>
        <s v="грин01648"/>
        <s v="грин01649"/>
        <s v="грин01650"/>
        <s v="грин01651"/>
        <s v="грин01652"/>
        <s v="грин01653"/>
        <s v="грин01654"/>
        <s v="грин01655"/>
        <s v="грин01656"/>
        <s v="грин01657"/>
        <s v="грин01658"/>
        <s v="грин01659"/>
        <s v="грин01660"/>
        <s v="грин01661"/>
        <s v="грин01662"/>
        <s v="грин01663"/>
        <s v="грин01664"/>
        <s v="грин01665"/>
        <s v="грин01666"/>
        <s v="грин01667"/>
        <s v="грин01668"/>
        <s v="грин01669"/>
        <s v="грин01670"/>
        <s v="грин01671"/>
        <s v="грин01672"/>
        <s v="грин01673"/>
        <s v="грин01674"/>
        <s v="грин01675"/>
        <s v="грин01676"/>
        <s v="грин01677"/>
        <s v="грин01678"/>
        <s v="грин01679"/>
        <s v="грин01680"/>
        <s v="грин01681"/>
        <s v="грин01682"/>
        <s v="грин01683"/>
        <s v="грин01684"/>
        <s v="грин01685"/>
        <s v="грин01686"/>
        <s v="грин01687"/>
        <s v="грин01688"/>
        <s v="грин01689"/>
        <s v="грин01691"/>
        <s v="грин01692"/>
        <s v="грин01693"/>
        <s v="грин01694"/>
        <s v="грин01695"/>
        <s v="грин01696"/>
        <s v="грин01697"/>
        <s v="грин01698"/>
        <s v="грин01699"/>
        <s v="грин01700"/>
        <s v="грин01701"/>
        <s v="грин01702"/>
        <s v="грин01703"/>
        <s v="грин01704"/>
        <s v="грин01705"/>
        <s v="грин01706"/>
        <s v="грин01707"/>
        <s v="грин01708"/>
        <s v="грин01709"/>
        <s v="грин01710"/>
        <s v="грин01711"/>
        <s v="грин01712"/>
        <s v="грин01713"/>
        <s v="грин01714"/>
        <s v="грин01715"/>
        <s v="грин01716"/>
        <s v="грин01717"/>
        <s v="грин01718"/>
        <s v="грин01719"/>
        <s v="грин01720"/>
        <s v="грин01721"/>
        <s v="грин01722"/>
        <s v="грин01723"/>
        <s v="грин01724"/>
        <s v="грин01725"/>
        <s v="грин01726"/>
        <s v="грин01727"/>
        <s v="грин01728"/>
        <s v="грин01729"/>
        <s v="грин01730"/>
        <s v="грин01731"/>
        <s v="грин01732"/>
        <s v="грин01733"/>
        <s v="грин01734"/>
        <s v="грин01735"/>
        <s v="грин01737"/>
        <s v="грин01739"/>
        <s v="грин01740"/>
        <s v="грин01741"/>
        <s v="грин01742"/>
        <s v="грин01743"/>
        <s v="грин01744"/>
        <s v="грин01745"/>
        <s v="грин01746"/>
        <s v="грин01747"/>
        <s v="грин01748"/>
        <s v="грин01749"/>
        <s v="грин01751"/>
        <s v="грин01755"/>
        <s v="грин01757"/>
        <s v="грин01758"/>
        <s v="грин01759"/>
        <s v="грин01760"/>
        <s v="грин01761"/>
        <s v="грин01762"/>
        <s v="грин01763"/>
        <s v="грин01764"/>
        <s v="грин01765"/>
        <s v="грин01766"/>
        <s v="грин01767"/>
        <s v="грин01768"/>
        <s v="грин01769"/>
        <s v="грин01770"/>
        <s v="грин01771"/>
        <s v="грин01772"/>
        <s v="грин01773"/>
        <s v="грин01774"/>
        <s v="грин01775"/>
        <s v="грин01776"/>
        <s v="грин01777"/>
        <s v="грин01778"/>
        <s v="грин01779"/>
        <s v="грин01780"/>
        <s v="грин01781"/>
        <s v="грин01782"/>
        <s v="грин01783"/>
        <s v="грин01784"/>
        <s v="грин01785"/>
        <s v="грин01786"/>
        <s v="грин01787"/>
        <s v="грин01788"/>
        <s v="грин01789"/>
        <s v="грин01790"/>
        <s v="грин01791"/>
        <s v="грин01792"/>
        <s v="грин01793"/>
        <s v="грин01794"/>
        <s v="грин01795"/>
        <s v="грин01801"/>
        <s v="грин01802"/>
        <s v="грин01803"/>
        <s v="грин01804"/>
        <s v="грин01805"/>
        <s v="грин01806"/>
        <s v="грин01807"/>
        <s v="грин01808"/>
        <s v="грин01809"/>
        <s v="грин01810"/>
        <s v="грин01811"/>
        <s v="грин01812"/>
        <s v="грин01813"/>
        <s v="грин01814"/>
        <s v="грин01815"/>
        <s v="грин01816"/>
        <s v="грин01817"/>
        <s v="грин01818"/>
        <s v="грин01819"/>
        <s v="грин01820"/>
        <s v="грин01821"/>
        <s v="грин01822"/>
        <s v="грин01823"/>
        <s v="грин01824"/>
        <s v="грин01825"/>
        <s v="грин01826"/>
        <s v="грин01827"/>
        <s v="грин01828"/>
        <s v="грин01829"/>
        <s v="грин01830"/>
        <s v="грин01831"/>
        <s v="грин01832"/>
        <s v="грин01833"/>
        <s v="грин01834"/>
        <s v="грин01835"/>
        <s v="грин01837"/>
        <s v="грин01838"/>
        <s v="грин01839"/>
        <s v="грин01840"/>
        <s v="грин01841"/>
        <s v="грин01842"/>
        <s v="грин01843"/>
        <s v="грин01844"/>
        <s v="грин01845"/>
        <s v="грин01846"/>
        <s v="грин01847"/>
        <s v="грин01848"/>
        <s v="грин01849"/>
        <s v="грин01850"/>
        <s v="грин01851"/>
        <s v="грин01852"/>
        <s v="грин01853"/>
        <s v="грин01854"/>
        <s v="грин01855"/>
        <s v="грин01856"/>
        <s v="грин01857"/>
        <s v="грин01858"/>
        <s v="грин01859"/>
        <s v="грин01860"/>
        <s v="грин01861"/>
        <s v="грин01862"/>
        <s v="грин01863"/>
        <s v="грин01864"/>
        <s v="грин01865"/>
        <s v="грин01866"/>
        <s v="грин01867"/>
        <s v="грин01868"/>
        <s v="грин01869"/>
        <s v="грин01870"/>
        <s v="грин01871"/>
        <s v="грин01872"/>
        <s v="грин01873"/>
        <s v="грин01874"/>
        <s v="грин01875"/>
        <s v="грин01876"/>
        <s v="грин01877"/>
        <s v="грин01878"/>
        <s v="грин01879"/>
        <s v="грин01880"/>
        <s v="грин01881"/>
        <s v="грин01882"/>
        <s v="грин01883"/>
        <s v="грин01884"/>
        <s v="грин01885"/>
        <s v="грин01886"/>
        <s v="грин01887"/>
        <s v="грин01888"/>
        <s v="грин01889"/>
        <s v="грин01890"/>
        <s v="грин01891"/>
        <s v="грин01892"/>
        <s v="грин01893"/>
        <s v="грин01894"/>
        <s v="грин01895"/>
        <s v="грин01896"/>
        <s v="грин01897"/>
        <s v="грин01898"/>
        <s v="грин01899"/>
        <s v="грин01900"/>
        <s v="грин01901"/>
        <s v="грин01904"/>
        <s v="грин01905"/>
        <s v="грин01906"/>
        <s v="грин01907"/>
        <s v="грин01908"/>
        <s v="грин01909"/>
        <s v="грин01910"/>
        <s v="грин01911"/>
        <s v="грин01912"/>
        <s v="грин01913"/>
        <s v="грин01914"/>
        <s v="грин01915"/>
        <s v="грин01916"/>
        <s v="грин01917"/>
        <s v="грин01918"/>
        <s v="грин01919"/>
        <s v="грин01920"/>
        <s v="грин01921"/>
        <s v="грин01922"/>
        <s v="грин01923"/>
        <s v="грин01924"/>
        <s v="грин01925"/>
        <s v="грин01926"/>
        <s v="грин01927"/>
        <s v="грин01928"/>
        <s v="грин01929"/>
        <s v="грин01930"/>
        <s v="грин01931"/>
        <s v="грин01932"/>
        <s v="грин01933"/>
        <s v="грин01934"/>
        <s v="грин01935"/>
        <s v="грин01936"/>
        <s v="грин01937"/>
        <s v="грин01938"/>
        <s v="грин01939"/>
        <s v="грин01940"/>
        <s v="грин01941"/>
        <s v="грин01942"/>
        <s v="грин01943"/>
        <s v="грин01944"/>
        <s v="грин01945"/>
        <s v="грин01946"/>
        <s v="грин01947"/>
        <s v="грин01948"/>
        <s v="грин01949"/>
        <s v="грин01950"/>
        <s v="грин01951"/>
        <s v="грин01952"/>
        <s v="грин01953"/>
        <s v="грин01954"/>
        <s v="грин01955"/>
        <s v="грин01956"/>
        <s v="грин01957"/>
        <s v="грин01958"/>
        <s v="грин01959"/>
        <s v="грин01960"/>
        <s v="грин01961"/>
        <s v="грин01962"/>
        <s v="грин01963"/>
        <s v="грин01964"/>
        <s v="грин01965"/>
        <s v="грин01966"/>
        <s v="грин01967"/>
        <s v="грин01968"/>
        <s v="грин01969"/>
        <s v="грин01970"/>
        <s v="грин01971"/>
        <s v="грин01972"/>
        <s v="грин01973"/>
        <s v="грин01974"/>
        <s v="грин01975"/>
        <s v="грин01976"/>
        <s v="грин01977"/>
        <s v="грин01978"/>
        <s v="грин01979"/>
        <s v="грин01980"/>
        <s v="грин01981"/>
        <s v="грин01982"/>
        <s v="грин01983"/>
        <s v="грин01984"/>
        <s v="грин01985"/>
        <s v="грин01986"/>
        <s v="грин01987"/>
        <s v="грин01988"/>
        <s v="грин01989"/>
        <s v="грин01990"/>
        <s v="грин01991"/>
        <s v="грин01992"/>
        <s v="грин01993"/>
        <s v="грин01994"/>
        <s v="грин01995"/>
        <s v="грин01996"/>
      </sharedItems>
    </cacheField>
    <cacheField name="Дата акта" numFmtId="0">
      <sharedItems containsSemiMixedTypes="0" containsNonDate="0" containsDate="1" containsString="0" minDate="2025-08-04T00:00:00" maxDate="2025-11-09T00:00:00" count="84">
        <d v="2025-08-04T00:00:00"/>
        <d v="2025-08-06T00:00:00"/>
        <d v="2025-08-07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3T00:00:00"/>
        <d v="2025-09-04T00:00:00"/>
        <d v="2025-09-05T00:00:00"/>
        <d v="2025-09-07T00:00:00"/>
        <d v="2025-09-08T00:00:00"/>
        <d v="2025-09-09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5T00:00:00"/>
        <d v="2025-09-26T00:00:00"/>
        <d v="2025-09-27T00:00:00"/>
        <d v="2025-09-28T00:00:00"/>
        <d v="2025-09-29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8T00:00:00"/>
        <d v="2025-11-09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59">
  <r>
    <x v="0"/>
    <x v="0"/>
    <x v="14"/>
    <x v="6"/>
    <x v="34"/>
    <x v="6"/>
    <x v="35"/>
    <x v="5"/>
    <x v="0"/>
    <x v="11"/>
    <x v="81"/>
    <x v="0"/>
    <x v="0"/>
    <x v="165"/>
    <x v="107"/>
    <x v="3"/>
    <x v="137"/>
    <x v="517"/>
    <x v="0"/>
    <x v="0"/>
  </r>
  <r>
    <x v="1"/>
    <x v="1"/>
    <x v="13"/>
    <x v="6"/>
    <x v="42"/>
    <x v="5"/>
    <x v="35"/>
    <x v="5"/>
    <x v="0"/>
    <x v="17"/>
    <x v="81"/>
    <x v="0"/>
    <x v="0"/>
    <x v="222"/>
    <x v="94"/>
    <x v="6"/>
    <x v="202"/>
    <x v="600"/>
    <x v="1"/>
    <x v="0"/>
  </r>
  <r>
    <x v="2"/>
    <x v="2"/>
    <x v="28"/>
    <x v="6"/>
    <x v="34"/>
    <x v="6"/>
    <x v="35"/>
    <x v="5"/>
    <x v="0"/>
    <x v="27"/>
    <x v="81"/>
    <x v="0"/>
    <x v="0"/>
    <x v="281"/>
    <x v="112"/>
    <x v="3"/>
    <x v="255"/>
    <x v="775"/>
    <x v="2"/>
    <x v="1"/>
  </r>
  <r>
    <x v="3"/>
    <x v="3"/>
    <x v="29"/>
    <x v="6"/>
    <x v="15"/>
    <x v="43"/>
    <x v="35"/>
    <x v="5"/>
    <x v="0"/>
    <x v="15"/>
    <x v="81"/>
    <x v="0"/>
    <x v="0"/>
    <x v="231"/>
    <x v="144"/>
    <x v="4"/>
    <x v="174"/>
    <x v="573"/>
    <x v="3"/>
    <x v="1"/>
  </r>
  <r>
    <x v="4"/>
    <x v="4"/>
    <x v="78"/>
    <x v="9"/>
    <x v="1"/>
    <x v="34"/>
    <x v="35"/>
    <x v="9"/>
    <x v="2"/>
    <x v="60"/>
    <x v="81"/>
    <x v="0"/>
    <x v="0"/>
    <x v="613"/>
    <x v="112"/>
    <x v="7"/>
    <x v="601"/>
    <x v="1167"/>
    <x v="4"/>
    <x v="1"/>
  </r>
  <r>
    <x v="5"/>
    <x v="5"/>
    <x v="79"/>
    <x v="9"/>
    <x v="23"/>
    <x v="45"/>
    <x v="35"/>
    <x v="9"/>
    <x v="2"/>
    <x v="21"/>
    <x v="81"/>
    <x v="0"/>
    <x v="0"/>
    <x v="259"/>
    <x v="112"/>
    <x v="6"/>
    <x v="231"/>
    <x v="648"/>
    <x v="5"/>
    <x v="1"/>
  </r>
  <r>
    <x v="6"/>
    <x v="6"/>
    <x v="80"/>
    <x v="9"/>
    <x v="42"/>
    <x v="5"/>
    <x v="35"/>
    <x v="9"/>
    <x v="2"/>
    <x v="35"/>
    <x v="81"/>
    <x v="0"/>
    <x v="0"/>
    <x v="362"/>
    <x v="102"/>
    <x v="3"/>
    <x v="347"/>
    <x v="946"/>
    <x v="6"/>
    <x v="1"/>
  </r>
  <r>
    <x v="7"/>
    <x v="7"/>
    <x v="81"/>
    <x v="9"/>
    <x v="45"/>
    <x v="0"/>
    <x v="35"/>
    <x v="9"/>
    <x v="2"/>
    <x v="25"/>
    <x v="81"/>
    <x v="0"/>
    <x v="0"/>
    <x v="239"/>
    <x v="66"/>
    <x v="4"/>
    <x v="246"/>
    <x v="713"/>
    <x v="7"/>
    <x v="1"/>
  </r>
  <r>
    <x v="8"/>
    <x v="8"/>
    <x v="38"/>
    <x v="6"/>
    <x v="3"/>
    <x v="10"/>
    <x v="35"/>
    <x v="5"/>
    <x v="0"/>
    <x v="33"/>
    <x v="81"/>
    <x v="0"/>
    <x v="0"/>
    <x v="257"/>
    <x v="8"/>
    <x v="6"/>
    <x v="333"/>
    <x v="843"/>
    <x v="8"/>
    <x v="2"/>
  </r>
  <r>
    <x v="9"/>
    <x v="9"/>
    <x v="40"/>
    <x v="6"/>
    <x v="19"/>
    <x v="21"/>
    <x v="35"/>
    <x v="5"/>
    <x v="0"/>
    <x v="55"/>
    <x v="81"/>
    <x v="0"/>
    <x v="0"/>
    <x v="590"/>
    <x v="135"/>
    <x v="6"/>
    <x v="556"/>
    <x v="1146"/>
    <x v="9"/>
    <x v="2"/>
  </r>
  <r>
    <x v="10"/>
    <x v="11"/>
    <x v="85"/>
    <x v="9"/>
    <x v="14"/>
    <x v="3"/>
    <x v="35"/>
    <x v="9"/>
    <x v="2"/>
    <x v="43"/>
    <x v="81"/>
    <x v="0"/>
    <x v="0"/>
    <x v="412"/>
    <x v="101"/>
    <x v="9"/>
    <x v="395"/>
    <x v="831"/>
    <x v="10"/>
    <x v="2"/>
  </r>
  <r>
    <x v="11"/>
    <x v="12"/>
    <x v="83"/>
    <x v="9"/>
    <x v="28"/>
    <x v="33"/>
    <x v="35"/>
    <x v="9"/>
    <x v="2"/>
    <x v="87"/>
    <x v="81"/>
    <x v="0"/>
    <x v="0"/>
    <x v="929"/>
    <x v="352"/>
    <x v="13"/>
    <x v="844"/>
    <x v="1382"/>
    <x v="11"/>
    <x v="2"/>
  </r>
  <r>
    <x v="12"/>
    <x v="13"/>
    <x v="86"/>
    <x v="9"/>
    <x v="1"/>
    <x v="34"/>
    <x v="35"/>
    <x v="9"/>
    <x v="2"/>
    <x v="64"/>
    <x v="81"/>
    <x v="0"/>
    <x v="0"/>
    <x v="641"/>
    <x v="114"/>
    <x v="10"/>
    <x v="627"/>
    <x v="1140"/>
    <x v="12"/>
    <x v="2"/>
  </r>
  <r>
    <x v="13"/>
    <x v="15"/>
    <x v="87"/>
    <x v="9"/>
    <x v="23"/>
    <x v="45"/>
    <x v="35"/>
    <x v="0"/>
    <x v="2"/>
    <x v="30"/>
    <x v="81"/>
    <x v="0"/>
    <x v="0"/>
    <x v="321"/>
    <x v="111"/>
    <x v="4"/>
    <x v="297"/>
    <x v="815"/>
    <x v="13"/>
    <x v="2"/>
  </r>
  <r>
    <x v="14"/>
    <x v="17"/>
    <x v="88"/>
    <x v="9"/>
    <x v="42"/>
    <x v="5"/>
    <x v="35"/>
    <x v="0"/>
    <x v="2"/>
    <x v="36"/>
    <x v="81"/>
    <x v="0"/>
    <x v="0"/>
    <x v="405"/>
    <x v="115"/>
    <x v="7"/>
    <x v="376"/>
    <x v="880"/>
    <x v="14"/>
    <x v="2"/>
  </r>
  <r>
    <x v="15"/>
    <x v="14"/>
    <x v="44"/>
    <x v="6"/>
    <x v="34"/>
    <x v="6"/>
    <x v="35"/>
    <x v="5"/>
    <x v="0"/>
    <x v="29"/>
    <x v="81"/>
    <x v="0"/>
    <x v="0"/>
    <x v="296"/>
    <x v="110"/>
    <x v="3"/>
    <x v="272"/>
    <x v="808"/>
    <x v="15"/>
    <x v="2"/>
  </r>
  <r>
    <x v="16"/>
    <x v="10"/>
    <x v="84"/>
    <x v="9"/>
    <x v="27"/>
    <x v="46"/>
    <x v="35"/>
    <x v="9"/>
    <x v="2"/>
    <x v="83"/>
    <x v="81"/>
    <x v="0"/>
    <x v="0"/>
    <x v="868"/>
    <x v="323"/>
    <x v="4"/>
    <x v="795"/>
    <x v="1363"/>
    <x v="16"/>
    <x v="2"/>
  </r>
  <r>
    <x v="17"/>
    <x v="18"/>
    <x v="90"/>
    <x v="9"/>
    <x v="44"/>
    <x v="0"/>
    <x v="35"/>
    <x v="0"/>
    <x v="2"/>
    <x v="40"/>
    <x v="81"/>
    <x v="0"/>
    <x v="0"/>
    <x v="371"/>
    <x v="68"/>
    <x v="6"/>
    <x v="384"/>
    <x v="932"/>
    <x v="17"/>
    <x v="2"/>
  </r>
  <r>
    <x v="18"/>
    <x v="16"/>
    <x v="43"/>
    <x v="6"/>
    <x v="15"/>
    <x v="43"/>
    <x v="35"/>
    <x v="5"/>
    <x v="0"/>
    <x v="16"/>
    <x v="81"/>
    <x v="0"/>
    <x v="0"/>
    <x v="242"/>
    <x v="147"/>
    <x v="11"/>
    <x v="183"/>
    <x v="405"/>
    <x v="18"/>
    <x v="2"/>
  </r>
  <r>
    <x v="19"/>
    <x v="19"/>
    <x v="454"/>
    <x v="3"/>
    <x v="3"/>
    <x v="10"/>
    <x v="5"/>
    <x v="4"/>
    <x v="1"/>
    <x v="88"/>
    <x v="0"/>
    <x v="9"/>
    <x v="6"/>
    <x v="76"/>
    <x v="9"/>
    <x v="33"/>
    <x v="103"/>
    <x v="67"/>
    <x v="19"/>
    <x v="3"/>
  </r>
  <r>
    <x v="20"/>
    <x v="20"/>
    <x v="455"/>
    <x v="3"/>
    <x v="1"/>
    <x v="34"/>
    <x v="5"/>
    <x v="4"/>
    <x v="1"/>
    <x v="88"/>
    <x v="0"/>
    <x v="10"/>
    <x v="6"/>
    <x v="194"/>
    <x v="108"/>
    <x v="25"/>
    <x v="164"/>
    <x v="157"/>
    <x v="20"/>
    <x v="3"/>
  </r>
  <r>
    <x v="21"/>
    <x v="21"/>
    <x v="457"/>
    <x v="3"/>
    <x v="38"/>
    <x v="12"/>
    <x v="5"/>
    <x v="4"/>
    <x v="1"/>
    <x v="88"/>
    <x v="0"/>
    <x v="10"/>
    <x v="6"/>
    <x v="172"/>
    <x v="74"/>
    <x v="27"/>
    <x v="164"/>
    <x v="135"/>
    <x v="21"/>
    <x v="3"/>
  </r>
  <r>
    <x v="22"/>
    <x v="22"/>
    <x v="458"/>
    <x v="3"/>
    <x v="26"/>
    <x v="16"/>
    <x v="5"/>
    <x v="4"/>
    <x v="1"/>
    <x v="88"/>
    <x v="0"/>
    <x v="8"/>
    <x v="6"/>
    <x v="48"/>
    <x v="52"/>
    <x v="37"/>
    <x v="51"/>
    <x v="39"/>
    <x v="22"/>
    <x v="3"/>
  </r>
  <r>
    <x v="23"/>
    <x v="23"/>
    <x v="459"/>
    <x v="3"/>
    <x v="13"/>
    <x v="44"/>
    <x v="5"/>
    <x v="4"/>
    <x v="1"/>
    <x v="88"/>
    <x v="0"/>
    <x v="9"/>
    <x v="6"/>
    <x v="151"/>
    <x v="107"/>
    <x v="34"/>
    <x v="123"/>
    <x v="70"/>
    <x v="23"/>
    <x v="3"/>
  </r>
  <r>
    <x v="24"/>
    <x v="24"/>
    <x v="460"/>
    <x v="3"/>
    <x v="23"/>
    <x v="45"/>
    <x v="5"/>
    <x v="4"/>
    <x v="1"/>
    <x v="88"/>
    <x v="0"/>
    <x v="9"/>
    <x v="6"/>
    <x v="174"/>
    <x v="107"/>
    <x v="21"/>
    <x v="146"/>
    <x v="188"/>
    <x v="24"/>
    <x v="3"/>
  </r>
  <r>
    <x v="25"/>
    <x v="25"/>
    <x v="461"/>
    <x v="3"/>
    <x v="21"/>
    <x v="4"/>
    <x v="5"/>
    <x v="4"/>
    <x v="1"/>
    <x v="88"/>
    <x v="0"/>
    <x v="8"/>
    <x v="6"/>
    <x v="55"/>
    <x v="103"/>
    <x v="29"/>
    <x v="52"/>
    <x v="57"/>
    <x v="25"/>
    <x v="3"/>
  </r>
  <r>
    <x v="26"/>
    <x v="26"/>
    <x v="462"/>
    <x v="3"/>
    <x v="46"/>
    <x v="32"/>
    <x v="5"/>
    <x v="4"/>
    <x v="1"/>
    <x v="88"/>
    <x v="0"/>
    <x v="9"/>
    <x v="6"/>
    <x v="90"/>
    <x v="95"/>
    <x v="38"/>
    <x v="87"/>
    <x v="48"/>
    <x v="26"/>
    <x v="3"/>
  </r>
  <r>
    <x v="27"/>
    <x v="27"/>
    <x v="463"/>
    <x v="3"/>
    <x v="30"/>
    <x v="30"/>
    <x v="5"/>
    <x v="4"/>
    <x v="1"/>
    <x v="88"/>
    <x v="0"/>
    <x v="9"/>
    <x v="6"/>
    <x v="104"/>
    <x v="74"/>
    <x v="25"/>
    <x v="100"/>
    <x v="116"/>
    <x v="27"/>
    <x v="3"/>
  </r>
  <r>
    <x v="28"/>
    <x v="28"/>
    <x v="1095"/>
    <x v="3"/>
    <x v="0"/>
    <x v="36"/>
    <x v="5"/>
    <x v="4"/>
    <x v="1"/>
    <x v="88"/>
    <x v="1"/>
    <x v="15"/>
    <x v="6"/>
    <x v="54"/>
    <x v="90"/>
    <x v="41"/>
    <x v="54"/>
    <x v="32"/>
    <x v="28"/>
    <x v="3"/>
  </r>
  <r>
    <x v="29"/>
    <x v="29"/>
    <x v="465"/>
    <x v="3"/>
    <x v="14"/>
    <x v="3"/>
    <x v="5"/>
    <x v="4"/>
    <x v="1"/>
    <x v="88"/>
    <x v="1"/>
    <x v="18"/>
    <x v="6"/>
    <x v="201"/>
    <x v="98"/>
    <x v="42"/>
    <x v="176"/>
    <x v="50"/>
    <x v="29"/>
    <x v="4"/>
  </r>
  <r>
    <x v="30"/>
    <x v="30"/>
    <x v="464"/>
    <x v="3"/>
    <x v="27"/>
    <x v="46"/>
    <x v="5"/>
    <x v="4"/>
    <x v="1"/>
    <x v="88"/>
    <x v="1"/>
    <x v="21"/>
    <x v="6"/>
    <x v="768"/>
    <x v="320"/>
    <x v="20"/>
    <x v="472"/>
    <x v="488"/>
    <x v="30"/>
    <x v="4"/>
  </r>
  <r>
    <x v="31"/>
    <x v="31"/>
    <x v="466"/>
    <x v="3"/>
    <x v="32"/>
    <x v="25"/>
    <x v="5"/>
    <x v="4"/>
    <x v="1"/>
    <x v="88"/>
    <x v="1"/>
    <x v="22"/>
    <x v="6"/>
    <x v="746"/>
    <x v="270"/>
    <x v="23"/>
    <x v="579"/>
    <x v="518"/>
    <x v="31"/>
    <x v="4"/>
  </r>
  <r>
    <x v="32"/>
    <x v="32"/>
    <x v="467"/>
    <x v="3"/>
    <x v="45"/>
    <x v="0"/>
    <x v="5"/>
    <x v="4"/>
    <x v="1"/>
    <x v="88"/>
    <x v="1"/>
    <x v="15"/>
    <x v="6"/>
    <x v="56"/>
    <x v="63"/>
    <x v="16"/>
    <x v="61"/>
    <x v="151"/>
    <x v="32"/>
    <x v="4"/>
  </r>
  <r>
    <x v="33"/>
    <x v="33"/>
    <x v="468"/>
    <x v="3"/>
    <x v="41"/>
    <x v="23"/>
    <x v="5"/>
    <x v="4"/>
    <x v="1"/>
    <x v="88"/>
    <x v="1"/>
    <x v="18"/>
    <x v="6"/>
    <x v="209"/>
    <x v="36"/>
    <x v="39"/>
    <x v="246"/>
    <x v="69"/>
    <x v="33"/>
    <x v="4"/>
  </r>
  <r>
    <x v="34"/>
    <x v="34"/>
    <x v="469"/>
    <x v="3"/>
    <x v="33"/>
    <x v="26"/>
    <x v="5"/>
    <x v="4"/>
    <x v="1"/>
    <x v="88"/>
    <x v="1"/>
    <x v="19"/>
    <x v="6"/>
    <x v="358"/>
    <x v="160"/>
    <x v="30"/>
    <x v="289"/>
    <x v="155"/>
    <x v="34"/>
    <x v="4"/>
  </r>
  <r>
    <x v="35"/>
    <x v="35"/>
    <x v="472"/>
    <x v="3"/>
    <x v="1"/>
    <x v="34"/>
    <x v="5"/>
    <x v="4"/>
    <x v="1"/>
    <x v="88"/>
    <x v="1"/>
    <x v="18"/>
    <x v="6"/>
    <x v="236"/>
    <x v="110"/>
    <x v="47"/>
    <x v="205"/>
    <x v="36"/>
    <x v="35"/>
    <x v="4"/>
  </r>
  <r>
    <x v="36"/>
    <x v="36"/>
    <x v="470"/>
    <x v="3"/>
    <x v="24"/>
    <x v="37"/>
    <x v="5"/>
    <x v="4"/>
    <x v="1"/>
    <x v="88"/>
    <x v="1"/>
    <x v="19"/>
    <x v="6"/>
    <x v="286"/>
    <x v="93"/>
    <x v="46"/>
    <x v="279"/>
    <x v="46"/>
    <x v="36"/>
    <x v="4"/>
  </r>
  <r>
    <x v="37"/>
    <x v="37"/>
    <x v="471"/>
    <x v="3"/>
    <x v="29"/>
    <x v="15"/>
    <x v="5"/>
    <x v="4"/>
    <x v="1"/>
    <x v="88"/>
    <x v="1"/>
    <x v="17"/>
    <x v="6"/>
    <x v="156"/>
    <x v="96"/>
    <x v="47"/>
    <x v="136"/>
    <x v="33"/>
    <x v="37"/>
    <x v="4"/>
  </r>
  <r>
    <x v="38"/>
    <x v="38"/>
    <x v="473"/>
    <x v="3"/>
    <x v="16"/>
    <x v="35"/>
    <x v="5"/>
    <x v="4"/>
    <x v="1"/>
    <x v="88"/>
    <x v="1"/>
    <x v="15"/>
    <x v="6"/>
    <x v="44"/>
    <x v="49"/>
    <x v="44"/>
    <x v="47"/>
    <x v="20"/>
    <x v="38"/>
    <x v="4"/>
  </r>
  <r>
    <x v="39"/>
    <x v="39"/>
    <x v="475"/>
    <x v="3"/>
    <x v="23"/>
    <x v="45"/>
    <x v="5"/>
    <x v="4"/>
    <x v="1"/>
    <x v="88"/>
    <x v="1"/>
    <x v="16"/>
    <x v="6"/>
    <x v="77"/>
    <x v="109"/>
    <x v="43"/>
    <x v="66"/>
    <x v="31"/>
    <x v="39"/>
    <x v="4"/>
  </r>
  <r>
    <x v="40"/>
    <x v="40"/>
    <x v="476"/>
    <x v="3"/>
    <x v="21"/>
    <x v="4"/>
    <x v="5"/>
    <x v="4"/>
    <x v="1"/>
    <x v="88"/>
    <x v="1"/>
    <x v="15"/>
    <x v="6"/>
    <x v="63"/>
    <x v="87"/>
    <x v="36"/>
    <x v="62"/>
    <x v="47"/>
    <x v="40"/>
    <x v="4"/>
  </r>
  <r>
    <x v="41"/>
    <x v="41"/>
    <x v="477"/>
    <x v="3"/>
    <x v="31"/>
    <x v="40"/>
    <x v="5"/>
    <x v="4"/>
    <x v="1"/>
    <x v="88"/>
    <x v="2"/>
    <x v="12"/>
    <x v="6"/>
    <x v="237"/>
    <x v="167"/>
    <x v="43"/>
    <x v="165"/>
    <x v="42"/>
    <x v="41"/>
    <x v="4"/>
  </r>
  <r>
    <x v="42"/>
    <x v="42"/>
    <x v="474"/>
    <x v="3"/>
    <x v="28"/>
    <x v="33"/>
    <x v="5"/>
    <x v="4"/>
    <x v="1"/>
    <x v="88"/>
    <x v="2"/>
    <x v="21"/>
    <x v="6"/>
    <x v="880"/>
    <x v="346"/>
    <x v="42"/>
    <x v="799"/>
    <x v="498"/>
    <x v="42"/>
    <x v="4"/>
  </r>
  <r>
    <x v="43"/>
    <x v="43"/>
    <x v="478"/>
    <x v="3"/>
    <x v="46"/>
    <x v="32"/>
    <x v="5"/>
    <x v="4"/>
    <x v="1"/>
    <x v="88"/>
    <x v="2"/>
    <x v="14"/>
    <x v="6"/>
    <x v="478"/>
    <x v="96"/>
    <x v="40"/>
    <x v="462"/>
    <x v="89"/>
    <x v="43"/>
    <x v="4"/>
  </r>
  <r>
    <x v="44"/>
    <x v="44"/>
    <x v="480"/>
    <x v="3"/>
    <x v="30"/>
    <x v="30"/>
    <x v="5"/>
    <x v="4"/>
    <x v="1"/>
    <x v="88"/>
    <x v="2"/>
    <x v="13"/>
    <x v="6"/>
    <x v="266"/>
    <x v="74"/>
    <x v="44"/>
    <x v="269"/>
    <x v="52"/>
    <x v="44"/>
    <x v="4"/>
  </r>
  <r>
    <x v="45"/>
    <x v="45"/>
    <x v="482"/>
    <x v="3"/>
    <x v="2"/>
    <x v="18"/>
    <x v="5"/>
    <x v="4"/>
    <x v="1"/>
    <x v="88"/>
    <x v="2"/>
    <x v="15"/>
    <x v="6"/>
    <x v="813"/>
    <x v="343"/>
    <x v="44"/>
    <x v="551"/>
    <x v="79"/>
    <x v="45"/>
    <x v="4"/>
  </r>
  <r>
    <x v="46"/>
    <x v="46"/>
    <x v="483"/>
    <x v="3"/>
    <x v="12"/>
    <x v="17"/>
    <x v="5"/>
    <x v="4"/>
    <x v="1"/>
    <x v="88"/>
    <x v="2"/>
    <x v="14"/>
    <x v="6"/>
    <x v="521"/>
    <x v="155"/>
    <x v="45"/>
    <x v="448"/>
    <x v="59"/>
    <x v="46"/>
    <x v="4"/>
  </r>
  <r>
    <x v="47"/>
    <x v="47"/>
    <x v="484"/>
    <x v="3"/>
    <x v="0"/>
    <x v="36"/>
    <x v="5"/>
    <x v="4"/>
    <x v="1"/>
    <x v="88"/>
    <x v="2"/>
    <x v="12"/>
    <x v="6"/>
    <x v="143"/>
    <x v="91"/>
    <x v="10"/>
    <x v="125"/>
    <x v="356"/>
    <x v="47"/>
    <x v="4"/>
  </r>
  <r>
    <x v="48"/>
    <x v="48"/>
    <x v="485"/>
    <x v="3"/>
    <x v="42"/>
    <x v="5"/>
    <x v="5"/>
    <x v="4"/>
    <x v="1"/>
    <x v="88"/>
    <x v="2"/>
    <x v="13"/>
    <x v="6"/>
    <x v="304"/>
    <x v="94"/>
    <x v="41"/>
    <x v="293"/>
    <x v="60"/>
    <x v="48"/>
    <x v="4"/>
  </r>
  <r>
    <x v="49"/>
    <x v="49"/>
    <x v="486"/>
    <x v="3"/>
    <x v="19"/>
    <x v="21"/>
    <x v="5"/>
    <x v="4"/>
    <x v="1"/>
    <x v="88"/>
    <x v="2"/>
    <x v="14"/>
    <x v="6"/>
    <x v="449"/>
    <x v="142"/>
    <x v="25"/>
    <x v="393"/>
    <x v="287"/>
    <x v="49"/>
    <x v="5"/>
  </r>
  <r>
    <x v="50"/>
    <x v="50"/>
    <x v="487"/>
    <x v="3"/>
    <x v="34"/>
    <x v="6"/>
    <x v="5"/>
    <x v="4"/>
    <x v="1"/>
    <x v="88"/>
    <x v="2"/>
    <x v="12"/>
    <x v="6"/>
    <x v="235"/>
    <x v="111"/>
    <x v="30"/>
    <x v="203"/>
    <x v="126"/>
    <x v="50"/>
    <x v="5"/>
  </r>
  <r>
    <x v="51"/>
    <x v="51"/>
    <x v="488"/>
    <x v="3"/>
    <x v="26"/>
    <x v="16"/>
    <x v="5"/>
    <x v="4"/>
    <x v="1"/>
    <x v="88"/>
    <x v="2"/>
    <x v="13"/>
    <x v="6"/>
    <x v="259"/>
    <x v="53"/>
    <x v="45"/>
    <x v="282"/>
    <x v="51"/>
    <x v="51"/>
    <x v="5"/>
  </r>
  <r>
    <x v="52"/>
    <x v="52"/>
    <x v="489"/>
    <x v="3"/>
    <x v="13"/>
    <x v="44"/>
    <x v="5"/>
    <x v="4"/>
    <x v="1"/>
    <x v="88"/>
    <x v="2"/>
    <x v="13"/>
    <x v="6"/>
    <x v="247"/>
    <x v="108"/>
    <x v="31"/>
    <x v="222"/>
    <x v="120"/>
    <x v="52"/>
    <x v="5"/>
  </r>
  <r>
    <x v="53"/>
    <x v="53"/>
    <x v="490"/>
    <x v="3"/>
    <x v="38"/>
    <x v="12"/>
    <x v="5"/>
    <x v="4"/>
    <x v="1"/>
    <x v="88"/>
    <x v="2"/>
    <x v="13"/>
    <x v="6"/>
    <x v="217"/>
    <x v="69"/>
    <x v="27"/>
    <x v="217"/>
    <x v="162"/>
    <x v="53"/>
    <x v="5"/>
  </r>
  <r>
    <x v="54"/>
    <x v="54"/>
    <x v="491"/>
    <x v="3"/>
    <x v="6"/>
    <x v="22"/>
    <x v="5"/>
    <x v="4"/>
    <x v="1"/>
    <x v="88"/>
    <x v="2"/>
    <x v="13"/>
    <x v="6"/>
    <x v="408"/>
    <x v="243"/>
    <x v="33"/>
    <x v="245"/>
    <x v="108"/>
    <x v="54"/>
    <x v="5"/>
  </r>
  <r>
    <x v="55"/>
    <x v="55"/>
    <x v="492"/>
    <x v="3"/>
    <x v="5"/>
    <x v="20"/>
    <x v="5"/>
    <x v="4"/>
    <x v="1"/>
    <x v="88"/>
    <x v="2"/>
    <x v="12"/>
    <x v="6"/>
    <x v="244"/>
    <x v="220"/>
    <x v="34"/>
    <x v="131"/>
    <x v="71"/>
    <x v="55"/>
    <x v="5"/>
  </r>
  <r>
    <x v="56"/>
    <x v="56"/>
    <x v="493"/>
    <x v="3"/>
    <x v="47"/>
    <x v="19"/>
    <x v="5"/>
    <x v="4"/>
    <x v="1"/>
    <x v="88"/>
    <x v="2"/>
    <x v="12"/>
    <x v="6"/>
    <x v="273"/>
    <x v="232"/>
    <x v="36"/>
    <x v="145"/>
    <x v="64"/>
    <x v="56"/>
    <x v="5"/>
  </r>
  <r>
    <x v="57"/>
    <x v="57"/>
    <x v="494"/>
    <x v="3"/>
    <x v="1"/>
    <x v="34"/>
    <x v="5"/>
    <x v="4"/>
    <x v="1"/>
    <x v="88"/>
    <x v="2"/>
    <x v="14"/>
    <x v="6"/>
    <x v="383"/>
    <x v="111"/>
    <x v="28"/>
    <x v="361"/>
    <x v="209"/>
    <x v="57"/>
    <x v="5"/>
  </r>
  <r>
    <x v="58"/>
    <x v="58"/>
    <x v="495"/>
    <x v="3"/>
    <x v="32"/>
    <x v="25"/>
    <x v="5"/>
    <x v="4"/>
    <x v="1"/>
    <x v="88"/>
    <x v="2"/>
    <x v="15"/>
    <x v="6"/>
    <x v="733"/>
    <x v="269"/>
    <x v="36"/>
    <x v="534"/>
    <x v="174"/>
    <x v="58"/>
    <x v="5"/>
  </r>
  <r>
    <x v="59"/>
    <x v="59"/>
    <x v="496"/>
    <x v="3"/>
    <x v="27"/>
    <x v="46"/>
    <x v="5"/>
    <x v="4"/>
    <x v="1"/>
    <x v="88"/>
    <x v="2"/>
    <x v="18"/>
    <x v="6"/>
    <x v="834"/>
    <x v="316"/>
    <x v="39"/>
    <x v="735"/>
    <x v="319"/>
    <x v="59"/>
    <x v="5"/>
  </r>
  <r>
    <x v="60"/>
    <x v="60"/>
    <x v="498"/>
    <x v="3"/>
    <x v="3"/>
    <x v="10"/>
    <x v="5"/>
    <x v="4"/>
    <x v="1"/>
    <x v="88"/>
    <x v="3"/>
    <x v="11"/>
    <x v="6"/>
    <x v="198"/>
    <x v="7"/>
    <x v="29"/>
    <x v="258"/>
    <x v="154"/>
    <x v="60"/>
    <x v="5"/>
  </r>
  <r>
    <x v="61"/>
    <x v="61"/>
    <x v="497"/>
    <x v="3"/>
    <x v="33"/>
    <x v="26"/>
    <x v="5"/>
    <x v="4"/>
    <x v="1"/>
    <x v="88"/>
    <x v="3"/>
    <x v="12"/>
    <x v="6"/>
    <x v="410"/>
    <x v="157"/>
    <x v="20"/>
    <x v="342"/>
    <x v="360"/>
    <x v="61"/>
    <x v="5"/>
  </r>
  <r>
    <x v="62"/>
    <x v="62"/>
    <x v="499"/>
    <x v="3"/>
    <x v="31"/>
    <x v="40"/>
    <x v="5"/>
    <x v="4"/>
    <x v="1"/>
    <x v="88"/>
    <x v="3"/>
    <x v="11"/>
    <x v="6"/>
    <x v="256"/>
    <x v="156"/>
    <x v="20"/>
    <x v="188"/>
    <x v="230"/>
    <x v="62"/>
    <x v="5"/>
  </r>
  <r>
    <x v="63"/>
    <x v="63"/>
    <x v="557"/>
    <x v="3"/>
    <x v="28"/>
    <x v="33"/>
    <x v="5"/>
    <x v="4"/>
    <x v="1"/>
    <x v="88"/>
    <x v="3"/>
    <x v="12"/>
    <x v="6"/>
    <x v="807"/>
    <x v="344"/>
    <x v="30"/>
    <x v="415"/>
    <x v="203"/>
    <x v="63"/>
    <x v="6"/>
  </r>
  <r>
    <x v="64"/>
    <x v="64"/>
    <x v="558"/>
    <x v="3"/>
    <x v="14"/>
    <x v="3"/>
    <x v="5"/>
    <x v="4"/>
    <x v="1"/>
    <x v="88"/>
    <x v="3"/>
    <x v="10"/>
    <x v="6"/>
    <x v="148"/>
    <x v="90"/>
    <x v="22"/>
    <x v="135"/>
    <x v="167"/>
    <x v="64"/>
    <x v="6"/>
  </r>
  <r>
    <x v="65"/>
    <x v="65"/>
    <x v="559"/>
    <x v="3"/>
    <x v="46"/>
    <x v="32"/>
    <x v="5"/>
    <x v="4"/>
    <x v="1"/>
    <x v="88"/>
    <x v="3"/>
    <x v="13"/>
    <x v="6"/>
    <x v="507"/>
    <x v="96"/>
    <x v="30"/>
    <x v="490"/>
    <x v="252"/>
    <x v="65"/>
    <x v="6"/>
  </r>
  <r>
    <x v="66"/>
    <x v="66"/>
    <x v="560"/>
    <x v="3"/>
    <x v="30"/>
    <x v="30"/>
    <x v="5"/>
    <x v="4"/>
    <x v="1"/>
    <x v="88"/>
    <x v="3"/>
    <x v="11"/>
    <x v="6"/>
    <x v="258"/>
    <x v="71"/>
    <x v="31"/>
    <x v="263"/>
    <x v="137"/>
    <x v="66"/>
    <x v="6"/>
  </r>
  <r>
    <x v="67"/>
    <x v="67"/>
    <x v="562"/>
    <x v="3"/>
    <x v="12"/>
    <x v="17"/>
    <x v="5"/>
    <x v="4"/>
    <x v="1"/>
    <x v="88"/>
    <x v="3"/>
    <x v="13"/>
    <x v="6"/>
    <x v="598"/>
    <x v="145"/>
    <x v="39"/>
    <x v="554"/>
    <x v="144"/>
    <x v="67"/>
    <x v="6"/>
  </r>
  <r>
    <x v="68"/>
    <x v="68"/>
    <x v="561"/>
    <x v="3"/>
    <x v="2"/>
    <x v="18"/>
    <x v="5"/>
    <x v="4"/>
    <x v="1"/>
    <x v="88"/>
    <x v="3"/>
    <x v="12"/>
    <x v="6"/>
    <x v="802"/>
    <x v="341"/>
    <x v="33"/>
    <x v="432"/>
    <x v="175"/>
    <x v="68"/>
    <x v="6"/>
  </r>
  <r>
    <x v="69"/>
    <x v="69"/>
    <x v="563"/>
    <x v="3"/>
    <x v="24"/>
    <x v="37"/>
    <x v="5"/>
    <x v="4"/>
    <x v="1"/>
    <x v="88"/>
    <x v="3"/>
    <x v="12"/>
    <x v="6"/>
    <x v="336"/>
    <x v="89"/>
    <x v="30"/>
    <x v="334"/>
    <x v="170"/>
    <x v="69"/>
    <x v="6"/>
  </r>
  <r>
    <x v="70"/>
    <x v="70"/>
    <x v="564"/>
    <x v="3"/>
    <x v="29"/>
    <x v="15"/>
    <x v="5"/>
    <x v="4"/>
    <x v="1"/>
    <x v="88"/>
    <x v="3"/>
    <x v="9"/>
    <x v="6"/>
    <x v="210"/>
    <x v="104"/>
    <x v="28"/>
    <x v="185"/>
    <x v="138"/>
    <x v="70"/>
    <x v="6"/>
  </r>
  <r>
    <x v="71"/>
    <x v="71"/>
    <x v="105"/>
    <x v="9"/>
    <x v="42"/>
    <x v="5"/>
    <x v="35"/>
    <x v="13"/>
    <x v="0"/>
    <x v="66"/>
    <x v="81"/>
    <x v="0"/>
    <x v="0"/>
    <x v="479"/>
    <x v="114"/>
    <x v="19"/>
    <x v="447"/>
    <x v="495"/>
    <x v="71"/>
    <x v="6"/>
  </r>
  <r>
    <x v="72"/>
    <x v="72"/>
    <x v="106"/>
    <x v="9"/>
    <x v="34"/>
    <x v="6"/>
    <x v="35"/>
    <x v="13"/>
    <x v="0"/>
    <x v="59"/>
    <x v="81"/>
    <x v="0"/>
    <x v="0"/>
    <x v="466"/>
    <x v="114"/>
    <x v="2"/>
    <x v="436"/>
    <x v="1096"/>
    <x v="72"/>
    <x v="6"/>
  </r>
  <r>
    <x v="73"/>
    <x v="73"/>
    <x v="107"/>
    <x v="9"/>
    <x v="26"/>
    <x v="16"/>
    <x v="35"/>
    <x v="13"/>
    <x v="0"/>
    <x v="47"/>
    <x v="81"/>
    <x v="0"/>
    <x v="0"/>
    <x v="624"/>
    <x v="57"/>
    <x v="2"/>
    <x v="642"/>
    <x v="1260"/>
    <x v="73"/>
    <x v="6"/>
  </r>
  <r>
    <x v="74"/>
    <x v="80"/>
    <x v="114"/>
    <x v="9"/>
    <x v="27"/>
    <x v="46"/>
    <x v="35"/>
    <x v="13"/>
    <x v="0"/>
    <x v="51"/>
    <x v="81"/>
    <x v="0"/>
    <x v="0"/>
    <x v="870"/>
    <x v="321"/>
    <x v="18"/>
    <x v="798"/>
    <x v="1314"/>
    <x v="74"/>
    <x v="7"/>
  </r>
  <r>
    <x v="75"/>
    <x v="79"/>
    <x v="113"/>
    <x v="9"/>
    <x v="38"/>
    <x v="12"/>
    <x v="35"/>
    <x v="13"/>
    <x v="0"/>
    <x v="75"/>
    <x v="81"/>
    <x v="0"/>
    <x v="0"/>
    <x v="500"/>
    <x v="79"/>
    <x v="33"/>
    <x v="497"/>
    <x v="200"/>
    <x v="75"/>
    <x v="7"/>
  </r>
  <r>
    <x v="76"/>
    <x v="74"/>
    <x v="108"/>
    <x v="9"/>
    <x v="13"/>
    <x v="44"/>
    <x v="35"/>
    <x v="13"/>
    <x v="0"/>
    <x v="46"/>
    <x v="81"/>
    <x v="0"/>
    <x v="0"/>
    <x v="611"/>
    <x v="112"/>
    <x v="1"/>
    <x v="597"/>
    <x v="1239"/>
    <x v="76"/>
    <x v="6"/>
  </r>
  <r>
    <x v="77"/>
    <x v="78"/>
    <x v="112"/>
    <x v="9"/>
    <x v="46"/>
    <x v="32"/>
    <x v="35"/>
    <x v="13"/>
    <x v="0"/>
    <x v="69"/>
    <x v="81"/>
    <x v="0"/>
    <x v="0"/>
    <x v="670"/>
    <x v="104"/>
    <x v="21"/>
    <x v="660"/>
    <x v="799"/>
    <x v="77"/>
    <x v="7"/>
  </r>
  <r>
    <x v="78"/>
    <x v="77"/>
    <x v="111"/>
    <x v="9"/>
    <x v="33"/>
    <x v="26"/>
    <x v="35"/>
    <x v="13"/>
    <x v="0"/>
    <x v="84"/>
    <x v="81"/>
    <x v="0"/>
    <x v="0"/>
    <x v="740"/>
    <x v="166"/>
    <x v="19"/>
    <x v="712"/>
    <x v="1042"/>
    <x v="78"/>
    <x v="7"/>
  </r>
  <r>
    <x v="79"/>
    <x v="76"/>
    <x v="110"/>
    <x v="9"/>
    <x v="32"/>
    <x v="25"/>
    <x v="35"/>
    <x v="13"/>
    <x v="0"/>
    <x v="79"/>
    <x v="81"/>
    <x v="0"/>
    <x v="0"/>
    <x v="815"/>
    <x v="271"/>
    <x v="31"/>
    <x v="748"/>
    <x v="686"/>
    <x v="79"/>
    <x v="6"/>
  </r>
  <r>
    <x v="80"/>
    <x v="75"/>
    <x v="109"/>
    <x v="9"/>
    <x v="1"/>
    <x v="34"/>
    <x v="35"/>
    <x v="13"/>
    <x v="0"/>
    <x v="70"/>
    <x v="81"/>
    <x v="0"/>
    <x v="0"/>
    <x v="700"/>
    <x v="116"/>
    <x v="21"/>
    <x v="679"/>
    <x v="861"/>
    <x v="80"/>
    <x v="6"/>
  </r>
  <r>
    <x v="81"/>
    <x v="82"/>
    <x v="115"/>
    <x v="9"/>
    <x v="14"/>
    <x v="3"/>
    <x v="35"/>
    <x v="13"/>
    <x v="0"/>
    <x v="72"/>
    <x v="81"/>
    <x v="0"/>
    <x v="0"/>
    <x v="406"/>
    <x v="98"/>
    <x v="12"/>
    <x v="392"/>
    <x v="683"/>
    <x v="81"/>
    <x v="7"/>
  </r>
  <r>
    <x v="82"/>
    <x v="83"/>
    <x v="117"/>
    <x v="9"/>
    <x v="2"/>
    <x v="18"/>
    <x v="35"/>
    <x v="13"/>
    <x v="0"/>
    <x v="65"/>
    <x v="81"/>
    <x v="0"/>
    <x v="0"/>
    <x v="843"/>
    <x v="342"/>
    <x v="9"/>
    <x v="698"/>
    <x v="1244"/>
    <x v="82"/>
    <x v="7"/>
  </r>
  <r>
    <x v="83"/>
    <x v="84"/>
    <x v="118"/>
    <x v="9"/>
    <x v="12"/>
    <x v="17"/>
    <x v="35"/>
    <x v="13"/>
    <x v="0"/>
    <x v="85"/>
    <x v="81"/>
    <x v="0"/>
    <x v="0"/>
    <x v="680"/>
    <x v="164"/>
    <x v="14"/>
    <x v="638"/>
    <x v="1035"/>
    <x v="83"/>
    <x v="7"/>
  </r>
  <r>
    <x v="84"/>
    <x v="81"/>
    <x v="116"/>
    <x v="9"/>
    <x v="28"/>
    <x v="33"/>
    <x v="35"/>
    <x v="13"/>
    <x v="0"/>
    <x v="42"/>
    <x v="81"/>
    <x v="0"/>
    <x v="0"/>
    <x v="898"/>
    <x v="359"/>
    <x v="9"/>
    <x v="809"/>
    <x v="1373"/>
    <x v="84"/>
    <x v="7"/>
  </r>
  <r>
    <x v="85"/>
    <x v="85"/>
    <x v="119"/>
    <x v="9"/>
    <x v="24"/>
    <x v="37"/>
    <x v="35"/>
    <x v="13"/>
    <x v="0"/>
    <x v="58"/>
    <x v="81"/>
    <x v="0"/>
    <x v="0"/>
    <x v="585"/>
    <x v="94"/>
    <x v="8"/>
    <x v="583"/>
    <x v="1126"/>
    <x v="85"/>
    <x v="7"/>
  </r>
  <r>
    <x v="86"/>
    <x v="86"/>
    <x v="120"/>
    <x v="9"/>
    <x v="29"/>
    <x v="15"/>
    <x v="35"/>
    <x v="13"/>
    <x v="0"/>
    <x v="50"/>
    <x v="81"/>
    <x v="0"/>
    <x v="0"/>
    <x v="486"/>
    <x v="116"/>
    <x v="8"/>
    <x v="452"/>
    <x v="970"/>
    <x v="86"/>
    <x v="7"/>
  </r>
  <r>
    <x v="87"/>
    <x v="87"/>
    <x v="122"/>
    <x v="9"/>
    <x v="45"/>
    <x v="0"/>
    <x v="35"/>
    <x v="13"/>
    <x v="0"/>
    <x v="45"/>
    <x v="81"/>
    <x v="0"/>
    <x v="0"/>
    <x v="411"/>
    <x v="61"/>
    <x v="12"/>
    <x v="430"/>
    <x v="754"/>
    <x v="87"/>
    <x v="7"/>
  </r>
  <r>
    <x v="88"/>
    <x v="88"/>
    <x v="121"/>
    <x v="9"/>
    <x v="31"/>
    <x v="40"/>
    <x v="35"/>
    <x v="13"/>
    <x v="0"/>
    <x v="80"/>
    <x v="81"/>
    <x v="0"/>
    <x v="0"/>
    <x v="837"/>
    <x v="300"/>
    <x v="2"/>
    <x v="762"/>
    <x v="1346"/>
    <x v="88"/>
    <x v="7"/>
  </r>
  <r>
    <x v="89"/>
    <x v="89"/>
    <x v="124"/>
    <x v="9"/>
    <x v="3"/>
    <x v="10"/>
    <x v="35"/>
    <x v="13"/>
    <x v="0"/>
    <x v="44"/>
    <x v="81"/>
    <x v="0"/>
    <x v="0"/>
    <x v="330"/>
    <x v="15"/>
    <x v="3"/>
    <x v="405"/>
    <x v="1029"/>
    <x v="89"/>
    <x v="7"/>
  </r>
  <r>
    <x v="90"/>
    <x v="90"/>
    <x v="126"/>
    <x v="9"/>
    <x v="19"/>
    <x v="21"/>
    <x v="35"/>
    <x v="13"/>
    <x v="0"/>
    <x v="54"/>
    <x v="81"/>
    <x v="0"/>
    <x v="0"/>
    <x v="687"/>
    <x v="140"/>
    <x v="2"/>
    <x v="655"/>
    <x v="1267"/>
    <x v="90"/>
    <x v="7"/>
  </r>
  <r>
    <x v="91"/>
    <x v="91"/>
    <x v="105"/>
    <x v="9"/>
    <x v="42"/>
    <x v="5"/>
    <x v="35"/>
    <x v="13"/>
    <x v="0"/>
    <x v="68"/>
    <x v="81"/>
    <x v="0"/>
    <x v="0"/>
    <x v="591"/>
    <x v="116"/>
    <x v="9"/>
    <x v="574"/>
    <x v="1091"/>
    <x v="91"/>
    <x v="7"/>
  </r>
  <r>
    <x v="92"/>
    <x v="92"/>
    <x v="127"/>
    <x v="9"/>
    <x v="1"/>
    <x v="34"/>
    <x v="35"/>
    <x v="13"/>
    <x v="0"/>
    <x v="57"/>
    <x v="81"/>
    <x v="0"/>
    <x v="0"/>
    <x v="570"/>
    <x v="118"/>
    <x v="17"/>
    <x v="542"/>
    <x v="718"/>
    <x v="92"/>
    <x v="7"/>
  </r>
  <r>
    <x v="93"/>
    <x v="93"/>
    <x v="130"/>
    <x v="9"/>
    <x v="26"/>
    <x v="16"/>
    <x v="35"/>
    <x v="13"/>
    <x v="0"/>
    <x v="74"/>
    <x v="81"/>
    <x v="0"/>
    <x v="0"/>
    <x v="705"/>
    <x v="55"/>
    <x v="16"/>
    <x v="706"/>
    <x v="1123"/>
    <x v="93"/>
    <x v="8"/>
  </r>
  <r>
    <x v="94"/>
    <x v="94"/>
    <x v="131"/>
    <x v="9"/>
    <x v="13"/>
    <x v="44"/>
    <x v="35"/>
    <x v="13"/>
    <x v="0"/>
    <x v="62"/>
    <x v="81"/>
    <x v="0"/>
    <x v="0"/>
    <x v="635"/>
    <x v="116"/>
    <x v="2"/>
    <x v="617"/>
    <x v="1249"/>
    <x v="94"/>
    <x v="8"/>
  </r>
  <r>
    <x v="95"/>
    <x v="95"/>
    <x v="565"/>
    <x v="3"/>
    <x v="23"/>
    <x v="45"/>
    <x v="4"/>
    <x v="3"/>
    <x v="1"/>
    <x v="88"/>
    <x v="4"/>
    <x v="13"/>
    <x v="5"/>
    <x v="124"/>
    <x v="109"/>
    <x v="4"/>
    <x v="102"/>
    <x v="403"/>
    <x v="95"/>
    <x v="8"/>
  </r>
  <r>
    <x v="96"/>
    <x v="96"/>
    <x v="566"/>
    <x v="3"/>
    <x v="21"/>
    <x v="4"/>
    <x v="4"/>
    <x v="3"/>
    <x v="1"/>
    <x v="88"/>
    <x v="4"/>
    <x v="13"/>
    <x v="5"/>
    <x v="166"/>
    <x v="101"/>
    <x v="15"/>
    <x v="143"/>
    <x v="271"/>
    <x v="96"/>
    <x v="8"/>
  </r>
  <r>
    <x v="97"/>
    <x v="97"/>
    <x v="567"/>
    <x v="3"/>
    <x v="0"/>
    <x v="36"/>
    <x v="4"/>
    <x v="3"/>
    <x v="1"/>
    <x v="88"/>
    <x v="4"/>
    <x v="12"/>
    <x v="5"/>
    <x v="70"/>
    <x v="90"/>
    <x v="15"/>
    <x v="67"/>
    <x v="168"/>
    <x v="97"/>
    <x v="8"/>
  </r>
  <r>
    <x v="98"/>
    <x v="98"/>
    <x v="568"/>
    <x v="3"/>
    <x v="16"/>
    <x v="35"/>
    <x v="4"/>
    <x v="3"/>
    <x v="1"/>
    <x v="88"/>
    <x v="4"/>
    <x v="12"/>
    <x v="5"/>
    <x v="50"/>
    <x v="50"/>
    <x v="28"/>
    <x v="55"/>
    <x v="62"/>
    <x v="98"/>
    <x v="8"/>
  </r>
  <r>
    <x v="99"/>
    <x v="99"/>
    <x v="569"/>
    <x v="3"/>
    <x v="8"/>
    <x v="38"/>
    <x v="4"/>
    <x v="3"/>
    <x v="1"/>
    <x v="88"/>
    <x v="4"/>
    <x v="12"/>
    <x v="5"/>
    <x v="54"/>
    <x v="92"/>
    <x v="11"/>
    <x v="53"/>
    <x v="183"/>
    <x v="99"/>
    <x v="8"/>
  </r>
  <r>
    <x v="100"/>
    <x v="100"/>
    <x v="571"/>
    <x v="3"/>
    <x v="43"/>
    <x v="28"/>
    <x v="4"/>
    <x v="3"/>
    <x v="1"/>
    <x v="88"/>
    <x v="4"/>
    <x v="14"/>
    <x v="5"/>
    <x v="222"/>
    <x v="69"/>
    <x v="19"/>
    <x v="225"/>
    <x v="278"/>
    <x v="100"/>
    <x v="8"/>
  </r>
  <r>
    <x v="101"/>
    <x v="101"/>
    <x v="570"/>
    <x v="3"/>
    <x v="4"/>
    <x v="2"/>
    <x v="4"/>
    <x v="3"/>
    <x v="1"/>
    <x v="88"/>
    <x v="4"/>
    <x v="12"/>
    <x v="5"/>
    <x v="47"/>
    <x v="18"/>
    <x v="19"/>
    <x v="60"/>
    <x v="127"/>
    <x v="101"/>
    <x v="8"/>
  </r>
  <r>
    <x v="102"/>
    <x v="102"/>
    <x v="572"/>
    <x v="3"/>
    <x v="10"/>
    <x v="27"/>
    <x v="4"/>
    <x v="3"/>
    <x v="1"/>
    <x v="88"/>
    <x v="4"/>
    <x v="13"/>
    <x v="5"/>
    <x v="184"/>
    <x v="101"/>
    <x v="20"/>
    <x v="160"/>
    <x v="208"/>
    <x v="102"/>
    <x v="8"/>
  </r>
  <r>
    <x v="103"/>
    <x v="103"/>
    <x v="573"/>
    <x v="3"/>
    <x v="36"/>
    <x v="29"/>
    <x v="4"/>
    <x v="3"/>
    <x v="1"/>
    <x v="88"/>
    <x v="4"/>
    <x v="15"/>
    <x v="5"/>
    <x v="436"/>
    <x v="202"/>
    <x v="12"/>
    <x v="321"/>
    <x v="577"/>
    <x v="103"/>
    <x v="8"/>
  </r>
  <r>
    <x v="104"/>
    <x v="104"/>
    <x v="574"/>
    <x v="3"/>
    <x v="39"/>
    <x v="39"/>
    <x v="4"/>
    <x v="3"/>
    <x v="1"/>
    <x v="88"/>
    <x v="4"/>
    <x v="15"/>
    <x v="5"/>
    <x v="421"/>
    <x v="188"/>
    <x v="11"/>
    <x v="321"/>
    <x v="617"/>
    <x v="104"/>
    <x v="8"/>
  </r>
  <r>
    <x v="105"/>
    <x v="105"/>
    <x v="575"/>
    <x v="3"/>
    <x v="46"/>
    <x v="32"/>
    <x v="4"/>
    <x v="3"/>
    <x v="1"/>
    <x v="88"/>
    <x v="5"/>
    <x v="23"/>
    <x v="5"/>
    <x v="485"/>
    <x v="95"/>
    <x v="36"/>
    <x v="470"/>
    <x v="149"/>
    <x v="105"/>
    <x v="8"/>
  </r>
  <r>
    <x v="106"/>
    <x v="106"/>
    <x v="576"/>
    <x v="3"/>
    <x v="33"/>
    <x v="26"/>
    <x v="4"/>
    <x v="3"/>
    <x v="1"/>
    <x v="88"/>
    <x v="5"/>
    <x v="23"/>
    <x v="5"/>
    <x v="574"/>
    <x v="159"/>
    <x v="18"/>
    <x v="508"/>
    <x v="630"/>
    <x v="106"/>
    <x v="8"/>
  </r>
  <r>
    <x v="107"/>
    <x v="107"/>
    <x v="577"/>
    <x v="3"/>
    <x v="47"/>
    <x v="19"/>
    <x v="4"/>
    <x v="3"/>
    <x v="1"/>
    <x v="88"/>
    <x v="5"/>
    <x v="20"/>
    <x v="5"/>
    <x v="331"/>
    <x v="225"/>
    <x v="4"/>
    <x v="195"/>
    <x v="624"/>
    <x v="107"/>
    <x v="8"/>
  </r>
  <r>
    <x v="108"/>
    <x v="108"/>
    <x v="578"/>
    <x v="3"/>
    <x v="31"/>
    <x v="40"/>
    <x v="4"/>
    <x v="3"/>
    <x v="1"/>
    <x v="88"/>
    <x v="5"/>
    <x v="22"/>
    <x v="5"/>
    <x v="717"/>
    <x v="290"/>
    <x v="18"/>
    <x v="417"/>
    <x v="487"/>
    <x v="108"/>
    <x v="8"/>
  </r>
  <r>
    <x v="109"/>
    <x v="109"/>
    <x v="583"/>
    <x v="3"/>
    <x v="12"/>
    <x v="17"/>
    <x v="4"/>
    <x v="3"/>
    <x v="1"/>
    <x v="88"/>
    <x v="5"/>
    <x v="24"/>
    <x v="5"/>
    <x v="610"/>
    <x v="154"/>
    <x v="9"/>
    <x v="562"/>
    <x v="1070"/>
    <x v="109"/>
    <x v="8"/>
  </r>
  <r>
    <x v="110"/>
    <x v="111"/>
    <x v="579"/>
    <x v="3"/>
    <x v="28"/>
    <x v="33"/>
    <x v="4"/>
    <x v="3"/>
    <x v="1"/>
    <x v="88"/>
    <x v="5"/>
    <x v="21"/>
    <x v="5"/>
    <x v="794"/>
    <x v="348"/>
    <x v="22"/>
    <x v="319"/>
    <x v="295"/>
    <x v="110"/>
    <x v="9"/>
  </r>
  <r>
    <x v="111"/>
    <x v="110"/>
    <x v="582"/>
    <x v="3"/>
    <x v="2"/>
    <x v="18"/>
    <x v="4"/>
    <x v="3"/>
    <x v="1"/>
    <x v="88"/>
    <x v="5"/>
    <x v="24"/>
    <x v="5"/>
    <x v="821"/>
    <x v="356"/>
    <x v="14"/>
    <x v="564"/>
    <x v="902"/>
    <x v="111"/>
    <x v="8"/>
  </r>
  <r>
    <x v="112"/>
    <x v="112"/>
    <x v="580"/>
    <x v="3"/>
    <x v="14"/>
    <x v="3"/>
    <x v="4"/>
    <x v="3"/>
    <x v="1"/>
    <x v="88"/>
    <x v="5"/>
    <x v="20"/>
    <x v="5"/>
    <x v="210"/>
    <x v="86"/>
    <x v="14"/>
    <x v="198"/>
    <x v="361"/>
    <x v="112"/>
    <x v="9"/>
  </r>
  <r>
    <x v="113"/>
    <x v="113"/>
    <x v="581"/>
    <x v="3"/>
    <x v="27"/>
    <x v="46"/>
    <x v="4"/>
    <x v="3"/>
    <x v="1"/>
    <x v="88"/>
    <x v="5"/>
    <x v="23"/>
    <x v="5"/>
    <x v="803"/>
    <x v="315"/>
    <x v="18"/>
    <x v="637"/>
    <x v="879"/>
    <x v="113"/>
    <x v="9"/>
  </r>
  <r>
    <x v="114"/>
    <x v="114"/>
    <x v="585"/>
    <x v="3"/>
    <x v="24"/>
    <x v="37"/>
    <x v="4"/>
    <x v="10"/>
    <x v="1"/>
    <x v="88"/>
    <x v="5"/>
    <x v="18"/>
    <x v="5"/>
    <x v="307"/>
    <x v="90"/>
    <x v="16"/>
    <x v="300"/>
    <x v="414"/>
    <x v="114"/>
    <x v="9"/>
  </r>
  <r>
    <x v="115"/>
    <x v="115"/>
    <x v="586"/>
    <x v="3"/>
    <x v="29"/>
    <x v="15"/>
    <x v="4"/>
    <x v="10"/>
    <x v="1"/>
    <x v="88"/>
    <x v="5"/>
    <x v="17"/>
    <x v="5"/>
    <x v="230"/>
    <x v="91"/>
    <x v="7"/>
    <x v="213"/>
    <x v="583"/>
    <x v="115"/>
    <x v="9"/>
  </r>
  <r>
    <x v="116"/>
    <x v="116"/>
    <x v="584"/>
    <x v="3"/>
    <x v="25"/>
    <x v="42"/>
    <x v="4"/>
    <x v="10"/>
    <x v="1"/>
    <x v="88"/>
    <x v="5"/>
    <x v="17"/>
    <x v="5"/>
    <x v="224"/>
    <x v="49"/>
    <x v="22"/>
    <x v="244"/>
    <x v="242"/>
    <x v="116"/>
    <x v="9"/>
  </r>
  <r>
    <x v="117"/>
    <x v="118"/>
    <x v="589"/>
    <x v="3"/>
    <x v="35"/>
    <x v="1"/>
    <x v="4"/>
    <x v="10"/>
    <x v="1"/>
    <x v="88"/>
    <x v="5"/>
    <x v="14"/>
    <x v="5"/>
    <x v="62"/>
    <x v="61"/>
    <x v="10"/>
    <x v="68"/>
    <x v="225"/>
    <x v="117"/>
    <x v="9"/>
  </r>
  <r>
    <x v="118"/>
    <x v="119"/>
    <x v="587"/>
    <x v="3"/>
    <x v="42"/>
    <x v="5"/>
    <x v="6"/>
    <x v="6"/>
    <x v="1"/>
    <x v="88"/>
    <x v="5"/>
    <x v="9"/>
    <x v="7"/>
    <x v="108"/>
    <x v="96"/>
    <x v="51"/>
    <x v="97"/>
    <x v="13"/>
    <x v="118"/>
    <x v="9"/>
  </r>
  <r>
    <x v="119"/>
    <x v="120"/>
    <x v="588"/>
    <x v="3"/>
    <x v="34"/>
    <x v="6"/>
    <x v="5"/>
    <x v="10"/>
    <x v="1"/>
    <x v="88"/>
    <x v="5"/>
    <x v="2"/>
    <x v="6"/>
    <x v="257"/>
    <x v="112"/>
    <x v="9"/>
    <x v="229"/>
    <x v="533"/>
    <x v="119"/>
    <x v="9"/>
  </r>
  <r>
    <x v="120"/>
    <x v="117"/>
    <x v="590"/>
    <x v="3"/>
    <x v="38"/>
    <x v="12"/>
    <x v="6"/>
    <x v="4"/>
    <x v="1"/>
    <x v="88"/>
    <x v="5"/>
    <x v="9"/>
    <x v="7"/>
    <x v="173"/>
    <x v="73"/>
    <x v="50"/>
    <x v="166"/>
    <x v="24"/>
    <x v="120"/>
    <x v="9"/>
  </r>
  <r>
    <x v="121"/>
    <x v="121"/>
    <x v="591"/>
    <x v="3"/>
    <x v="1"/>
    <x v="34"/>
    <x v="5"/>
    <x v="10"/>
    <x v="1"/>
    <x v="88"/>
    <x v="5"/>
    <x v="2"/>
    <x v="6"/>
    <x v="250"/>
    <x v="110"/>
    <x v="24"/>
    <x v="224"/>
    <x v="199"/>
    <x v="121"/>
    <x v="9"/>
  </r>
  <r>
    <x v="122"/>
    <x v="122"/>
    <x v="577"/>
    <x v="3"/>
    <x v="47"/>
    <x v="19"/>
    <x v="5"/>
    <x v="10"/>
    <x v="1"/>
    <x v="88"/>
    <x v="5"/>
    <x v="2"/>
    <x v="6"/>
    <x v="406"/>
    <x v="225"/>
    <x v="34"/>
    <x v="264"/>
    <x v="103"/>
    <x v="122"/>
    <x v="9"/>
  </r>
  <r>
    <x v="123"/>
    <x v="123"/>
    <x v="592"/>
    <x v="3"/>
    <x v="36"/>
    <x v="29"/>
    <x v="5"/>
    <x v="10"/>
    <x v="1"/>
    <x v="88"/>
    <x v="6"/>
    <x v="9"/>
    <x v="6"/>
    <x v="588"/>
    <x v="201"/>
    <x v="30"/>
    <x v="485"/>
    <x v="247"/>
    <x v="123"/>
    <x v="9"/>
  </r>
  <r>
    <x v="124"/>
    <x v="124"/>
    <x v="123"/>
    <x v="6"/>
    <x v="26"/>
    <x v="16"/>
    <x v="35"/>
    <x v="5"/>
    <x v="0"/>
    <x v="19"/>
    <x v="81"/>
    <x v="0"/>
    <x v="0"/>
    <x v="207"/>
    <x v="53"/>
    <x v="7"/>
    <x v="221"/>
    <x v="591"/>
    <x v="124"/>
    <x v="9"/>
  </r>
  <r>
    <x v="125"/>
    <x v="126"/>
    <x v="593"/>
    <x v="3"/>
    <x v="39"/>
    <x v="39"/>
    <x v="5"/>
    <x v="10"/>
    <x v="1"/>
    <x v="88"/>
    <x v="6"/>
    <x v="10"/>
    <x v="6"/>
    <x v="602"/>
    <x v="189"/>
    <x v="41"/>
    <x v="517"/>
    <x v="96"/>
    <x v="125"/>
    <x v="9"/>
  </r>
  <r>
    <x v="126"/>
    <x v="125"/>
    <x v="124"/>
    <x v="6"/>
    <x v="13"/>
    <x v="44"/>
    <x v="35"/>
    <x v="5"/>
    <x v="0"/>
    <x v="28"/>
    <x v="81"/>
    <x v="0"/>
    <x v="0"/>
    <x v="293"/>
    <x v="111"/>
    <x v="3"/>
    <x v="268"/>
    <x v="803"/>
    <x v="126"/>
    <x v="9"/>
  </r>
  <r>
    <x v="127"/>
    <x v="127"/>
    <x v="127"/>
    <x v="6"/>
    <x v="23"/>
    <x v="45"/>
    <x v="35"/>
    <x v="5"/>
    <x v="0"/>
    <x v="37"/>
    <x v="81"/>
    <x v="0"/>
    <x v="0"/>
    <x v="399"/>
    <x v="107"/>
    <x v="10"/>
    <x v="378"/>
    <x v="750"/>
    <x v="127"/>
    <x v="9"/>
  </r>
  <r>
    <x v="128"/>
    <x v="128"/>
    <x v="128"/>
    <x v="6"/>
    <x v="19"/>
    <x v="21"/>
    <x v="35"/>
    <x v="5"/>
    <x v="0"/>
    <x v="24"/>
    <x v="81"/>
    <x v="0"/>
    <x v="0"/>
    <x v="301"/>
    <x v="154"/>
    <x v="10"/>
    <x v="236"/>
    <x v="510"/>
    <x v="128"/>
    <x v="9"/>
  </r>
  <r>
    <x v="129"/>
    <x v="129"/>
    <x v="1090"/>
    <x v="3"/>
    <x v="43"/>
    <x v="28"/>
    <x v="7"/>
    <x v="11"/>
    <x v="1"/>
    <x v="88"/>
    <x v="7"/>
    <x v="18"/>
    <x v="8"/>
    <x v="549"/>
    <x v="67"/>
    <x v="24"/>
    <x v="563"/>
    <x v="455"/>
    <x v="129"/>
    <x v="10"/>
  </r>
  <r>
    <x v="130"/>
    <x v="130"/>
    <x v="594"/>
    <x v="3"/>
    <x v="4"/>
    <x v="2"/>
    <x v="7"/>
    <x v="11"/>
    <x v="1"/>
    <x v="88"/>
    <x v="7"/>
    <x v="14"/>
    <x v="8"/>
    <x v="122"/>
    <x v="19"/>
    <x v="15"/>
    <x v="156"/>
    <x v="288"/>
    <x v="130"/>
    <x v="10"/>
  </r>
  <r>
    <x v="131"/>
    <x v="132"/>
    <x v="597"/>
    <x v="3"/>
    <x v="36"/>
    <x v="29"/>
    <x v="7"/>
    <x v="11"/>
    <x v="1"/>
    <x v="88"/>
    <x v="7"/>
    <x v="17"/>
    <x v="8"/>
    <x v="580"/>
    <x v="203"/>
    <x v="23"/>
    <x v="472"/>
    <x v="399"/>
    <x v="131"/>
    <x v="10"/>
  </r>
  <r>
    <x v="132"/>
    <x v="133"/>
    <x v="598"/>
    <x v="3"/>
    <x v="1"/>
    <x v="34"/>
    <x v="7"/>
    <x v="11"/>
    <x v="1"/>
    <x v="88"/>
    <x v="7"/>
    <x v="17"/>
    <x v="8"/>
    <x v="556"/>
    <x v="112"/>
    <x v="23"/>
    <x v="532"/>
    <x v="453"/>
    <x v="132"/>
    <x v="10"/>
  </r>
  <r>
    <x v="133"/>
    <x v="134"/>
    <x v="599"/>
    <x v="3"/>
    <x v="47"/>
    <x v="19"/>
    <x v="7"/>
    <x v="11"/>
    <x v="1"/>
    <x v="88"/>
    <x v="7"/>
    <x v="15"/>
    <x v="8"/>
    <x v="439"/>
    <x v="225"/>
    <x v="40"/>
    <x v="296"/>
    <x v="66"/>
    <x v="133"/>
    <x v="10"/>
  </r>
  <r>
    <x v="134"/>
    <x v="131"/>
    <x v="596"/>
    <x v="3"/>
    <x v="39"/>
    <x v="39"/>
    <x v="7"/>
    <x v="11"/>
    <x v="1"/>
    <x v="88"/>
    <x v="7"/>
    <x v="17"/>
    <x v="8"/>
    <x v="577"/>
    <x v="189"/>
    <x v="29"/>
    <x v="482"/>
    <x v="265"/>
    <x v="134"/>
    <x v="10"/>
  </r>
  <r>
    <x v="135"/>
    <x v="135"/>
    <x v="600"/>
    <x v="3"/>
    <x v="6"/>
    <x v="22"/>
    <x v="7"/>
    <x v="11"/>
    <x v="1"/>
    <x v="88"/>
    <x v="7"/>
    <x v="15"/>
    <x v="8"/>
    <x v="335"/>
    <x v="242"/>
    <x v="27"/>
    <x v="182"/>
    <x v="147"/>
    <x v="135"/>
    <x v="10"/>
  </r>
  <r>
    <x v="136"/>
    <x v="136"/>
    <x v="595"/>
    <x v="3"/>
    <x v="10"/>
    <x v="27"/>
    <x v="7"/>
    <x v="11"/>
    <x v="1"/>
    <x v="88"/>
    <x v="8"/>
    <x v="19"/>
    <x v="8"/>
    <x v="515"/>
    <x v="100"/>
    <x v="27"/>
    <x v="493"/>
    <x v="314"/>
    <x v="136"/>
    <x v="10"/>
  </r>
  <r>
    <x v="137"/>
    <x v="137"/>
    <x v="601"/>
    <x v="3"/>
    <x v="5"/>
    <x v="20"/>
    <x v="8"/>
    <x v="6"/>
    <x v="1"/>
    <x v="88"/>
    <x v="8"/>
    <x v="19"/>
    <x v="9"/>
    <x v="418"/>
    <x v="239"/>
    <x v="24"/>
    <x v="260"/>
    <x v="215"/>
    <x v="137"/>
    <x v="10"/>
  </r>
  <r>
    <x v="138"/>
    <x v="138"/>
    <x v="602"/>
    <x v="3"/>
    <x v="46"/>
    <x v="32"/>
    <x v="8"/>
    <x v="7"/>
    <x v="1"/>
    <x v="88"/>
    <x v="8"/>
    <x v="19"/>
    <x v="9"/>
    <x v="617"/>
    <x v="101"/>
    <x v="16"/>
    <x v="612"/>
    <x v="906"/>
    <x v="138"/>
    <x v="10"/>
  </r>
  <r>
    <x v="139"/>
    <x v="139"/>
    <x v="606"/>
    <x v="3"/>
    <x v="31"/>
    <x v="40"/>
    <x v="7"/>
    <x v="7"/>
    <x v="1"/>
    <x v="88"/>
    <x v="8"/>
    <x v="19"/>
    <x v="8"/>
    <x v="777"/>
    <x v="294"/>
    <x v="18"/>
    <x v="628"/>
    <x v="856"/>
    <x v="139"/>
    <x v="11"/>
  </r>
  <r>
    <x v="140"/>
    <x v="140"/>
    <x v="607"/>
    <x v="3"/>
    <x v="2"/>
    <x v="18"/>
    <x v="7"/>
    <x v="7"/>
    <x v="1"/>
    <x v="88"/>
    <x v="8"/>
    <x v="15"/>
    <x v="8"/>
    <x v="767"/>
    <x v="360"/>
    <x v="23"/>
    <x v="187"/>
    <x v="191"/>
    <x v="140"/>
    <x v="11"/>
  </r>
  <r>
    <x v="141"/>
    <x v="141"/>
    <x v="608"/>
    <x v="3"/>
    <x v="12"/>
    <x v="17"/>
    <x v="7"/>
    <x v="7"/>
    <x v="1"/>
    <x v="88"/>
    <x v="8"/>
    <x v="19"/>
    <x v="8"/>
    <x v="671"/>
    <x v="158"/>
    <x v="25"/>
    <x v="633"/>
    <x v="542"/>
    <x v="141"/>
    <x v="11"/>
  </r>
  <r>
    <x v="142"/>
    <x v="142"/>
    <x v="604"/>
    <x v="3"/>
    <x v="30"/>
    <x v="30"/>
    <x v="7"/>
    <x v="7"/>
    <x v="1"/>
    <x v="88"/>
    <x v="8"/>
    <x v="17"/>
    <x v="8"/>
    <x v="395"/>
    <x v="75"/>
    <x v="14"/>
    <x v="404"/>
    <x v="634"/>
    <x v="142"/>
    <x v="11"/>
  </r>
  <r>
    <x v="143"/>
    <x v="143"/>
    <x v="603"/>
    <x v="3"/>
    <x v="0"/>
    <x v="36"/>
    <x v="7"/>
    <x v="7"/>
    <x v="1"/>
    <x v="88"/>
    <x v="8"/>
    <x v="15"/>
    <x v="8"/>
    <x v="188"/>
    <x v="82"/>
    <x v="22"/>
    <x v="175"/>
    <x v="196"/>
    <x v="143"/>
    <x v="11"/>
  </r>
  <r>
    <x v="144"/>
    <x v="144"/>
    <x v="605"/>
    <x v="3"/>
    <x v="33"/>
    <x v="26"/>
    <x v="7"/>
    <x v="7"/>
    <x v="1"/>
    <x v="88"/>
    <x v="8"/>
    <x v="18"/>
    <x v="8"/>
    <x v="627"/>
    <x v="157"/>
    <x v="21"/>
    <x v="586"/>
    <x v="618"/>
    <x v="144"/>
    <x v="11"/>
  </r>
  <r>
    <x v="145"/>
    <x v="145"/>
    <x v="614"/>
    <x v="3"/>
    <x v="25"/>
    <x v="42"/>
    <x v="7"/>
    <x v="7"/>
    <x v="1"/>
    <x v="88"/>
    <x v="8"/>
    <x v="17"/>
    <x v="8"/>
    <x v="326"/>
    <x v="44"/>
    <x v="10"/>
    <x v="363"/>
    <x v="723"/>
    <x v="145"/>
    <x v="11"/>
  </r>
  <r>
    <x v="146"/>
    <x v="147"/>
    <x v="610"/>
    <x v="3"/>
    <x v="29"/>
    <x v="15"/>
    <x v="7"/>
    <x v="7"/>
    <x v="1"/>
    <x v="88"/>
    <x v="8"/>
    <x v="18"/>
    <x v="8"/>
    <x v="502"/>
    <x v="100"/>
    <x v="17"/>
    <x v="481"/>
    <x v="631"/>
    <x v="146"/>
    <x v="11"/>
  </r>
  <r>
    <x v="147"/>
    <x v="146"/>
    <x v="609"/>
    <x v="3"/>
    <x v="24"/>
    <x v="37"/>
    <x v="7"/>
    <x v="7"/>
    <x v="1"/>
    <x v="88"/>
    <x v="8"/>
    <x v="17"/>
    <x v="8"/>
    <x v="415"/>
    <x v="86"/>
    <x v="12"/>
    <x v="412"/>
    <x v="722"/>
    <x v="147"/>
    <x v="11"/>
  </r>
  <r>
    <x v="148"/>
    <x v="148"/>
    <x v="612"/>
    <x v="3"/>
    <x v="34"/>
    <x v="6"/>
    <x v="7"/>
    <x v="7"/>
    <x v="1"/>
    <x v="88"/>
    <x v="8"/>
    <x v="15"/>
    <x v="8"/>
    <x v="296"/>
    <x v="109"/>
    <x v="17"/>
    <x v="273"/>
    <x v="366"/>
    <x v="148"/>
    <x v="11"/>
  </r>
  <r>
    <x v="149"/>
    <x v="149"/>
    <x v="611"/>
    <x v="3"/>
    <x v="42"/>
    <x v="5"/>
    <x v="8"/>
    <x v="6"/>
    <x v="1"/>
    <x v="88"/>
    <x v="9"/>
    <x v="16"/>
    <x v="9"/>
    <x v="291"/>
    <x v="93"/>
    <x v="12"/>
    <x v="284"/>
    <x v="513"/>
    <x v="149"/>
    <x v="11"/>
  </r>
  <r>
    <x v="150"/>
    <x v="150"/>
    <x v="613"/>
    <x v="3"/>
    <x v="15"/>
    <x v="43"/>
    <x v="8"/>
    <x v="6"/>
    <x v="1"/>
    <x v="88"/>
    <x v="9"/>
    <x v="15"/>
    <x v="9"/>
    <x v="280"/>
    <x v="155"/>
    <x v="10"/>
    <x v="215"/>
    <x v="479"/>
    <x v="150"/>
    <x v="11"/>
  </r>
  <r>
    <x v="151"/>
    <x v="151"/>
    <x v="615"/>
    <x v="3"/>
    <x v="35"/>
    <x v="1"/>
    <x v="8"/>
    <x v="6"/>
    <x v="1"/>
    <x v="88"/>
    <x v="9"/>
    <x v="16"/>
    <x v="9"/>
    <x v="296"/>
    <x v="71"/>
    <x v="2"/>
    <x v="306"/>
    <x v="912"/>
    <x v="151"/>
    <x v="11"/>
  </r>
  <r>
    <x v="152"/>
    <x v="152"/>
    <x v="616"/>
    <x v="3"/>
    <x v="26"/>
    <x v="16"/>
    <x v="8"/>
    <x v="6"/>
    <x v="1"/>
    <x v="88"/>
    <x v="9"/>
    <x v="15"/>
    <x v="9"/>
    <x v="235"/>
    <x v="47"/>
    <x v="27"/>
    <x v="258"/>
    <x v="179"/>
    <x v="152"/>
    <x v="11"/>
  </r>
  <r>
    <x v="153"/>
    <x v="153"/>
    <x v="617"/>
    <x v="3"/>
    <x v="13"/>
    <x v="44"/>
    <x v="8"/>
    <x v="6"/>
    <x v="1"/>
    <x v="88"/>
    <x v="9"/>
    <x v="16"/>
    <x v="9"/>
    <x v="321"/>
    <x v="106"/>
    <x v="23"/>
    <x v="301"/>
    <x v="262"/>
    <x v="153"/>
    <x v="11"/>
  </r>
  <r>
    <x v="154"/>
    <x v="154"/>
    <x v="618"/>
    <x v="3"/>
    <x v="39"/>
    <x v="39"/>
    <x v="8"/>
    <x v="6"/>
    <x v="1"/>
    <x v="88"/>
    <x v="9"/>
    <x v="18"/>
    <x v="9"/>
    <x v="628"/>
    <x v="169"/>
    <x v="17"/>
    <x v="576"/>
    <x v="781"/>
    <x v="154"/>
    <x v="11"/>
  </r>
  <r>
    <x v="155"/>
    <x v="155"/>
    <x v="619"/>
    <x v="3"/>
    <x v="36"/>
    <x v="29"/>
    <x v="8"/>
    <x v="6"/>
    <x v="1"/>
    <x v="88"/>
    <x v="9"/>
    <x v="18"/>
    <x v="9"/>
    <x v="640"/>
    <x v="203"/>
    <x v="20"/>
    <x v="558"/>
    <x v="619"/>
    <x v="155"/>
    <x v="11"/>
  </r>
  <r>
    <x v="156"/>
    <x v="156"/>
    <x v="620"/>
    <x v="3"/>
    <x v="43"/>
    <x v="28"/>
    <x v="8"/>
    <x v="6"/>
    <x v="1"/>
    <x v="88"/>
    <x v="9"/>
    <x v="17"/>
    <x v="9"/>
    <x v="466"/>
    <x v="69"/>
    <x v="31"/>
    <x v="476"/>
    <x v="218"/>
    <x v="156"/>
    <x v="11"/>
  </r>
  <r>
    <x v="157"/>
    <x v="157"/>
    <x v="621"/>
    <x v="3"/>
    <x v="10"/>
    <x v="27"/>
    <x v="8"/>
    <x v="6"/>
    <x v="1"/>
    <x v="88"/>
    <x v="9"/>
    <x v="17"/>
    <x v="9"/>
    <x v="489"/>
    <x v="101"/>
    <x v="30"/>
    <x v="468"/>
    <x v="232"/>
    <x v="157"/>
    <x v="11"/>
  </r>
  <r>
    <x v="158"/>
    <x v="158"/>
    <x v="622"/>
    <x v="3"/>
    <x v="5"/>
    <x v="20"/>
    <x v="8"/>
    <x v="6"/>
    <x v="1"/>
    <x v="88"/>
    <x v="9"/>
    <x v="15"/>
    <x v="9"/>
    <x v="348"/>
    <x v="219"/>
    <x v="14"/>
    <x v="216"/>
    <x v="379"/>
    <x v="158"/>
    <x v="12"/>
  </r>
  <r>
    <x v="159"/>
    <x v="159"/>
    <x v="623"/>
    <x v="3"/>
    <x v="6"/>
    <x v="22"/>
    <x v="8"/>
    <x v="6"/>
    <x v="1"/>
    <x v="88"/>
    <x v="9"/>
    <x v="15"/>
    <x v="9"/>
    <x v="378"/>
    <x v="244"/>
    <x v="21"/>
    <x v="218"/>
    <x v="241"/>
    <x v="159"/>
    <x v="12"/>
  </r>
  <r>
    <x v="160"/>
    <x v="160"/>
    <x v="624"/>
    <x v="3"/>
    <x v="47"/>
    <x v="19"/>
    <x v="8"/>
    <x v="6"/>
    <x v="1"/>
    <x v="88"/>
    <x v="9"/>
    <x v="15"/>
    <x v="9"/>
    <x v="375"/>
    <x v="222"/>
    <x v="17"/>
    <x v="240"/>
    <x v="331"/>
    <x v="160"/>
    <x v="12"/>
  </r>
  <r>
    <x v="161"/>
    <x v="161"/>
    <x v="625"/>
    <x v="3"/>
    <x v="4"/>
    <x v="2"/>
    <x v="8"/>
    <x v="6"/>
    <x v="1"/>
    <x v="88"/>
    <x v="9"/>
    <x v="15"/>
    <x v="9"/>
    <x v="134"/>
    <x v="19"/>
    <x v="25"/>
    <x v="170"/>
    <x v="160"/>
    <x v="161"/>
    <x v="12"/>
  </r>
  <r>
    <x v="162"/>
    <x v="162"/>
    <x v="626"/>
    <x v="3"/>
    <x v="23"/>
    <x v="45"/>
    <x v="8"/>
    <x v="6"/>
    <x v="1"/>
    <x v="88"/>
    <x v="9"/>
    <x v="15"/>
    <x v="9"/>
    <x v="258"/>
    <x v="106"/>
    <x v="17"/>
    <x v="233"/>
    <x v="326"/>
    <x v="162"/>
    <x v="12"/>
  </r>
  <r>
    <x v="163"/>
    <x v="163"/>
    <x v="627"/>
    <x v="3"/>
    <x v="3"/>
    <x v="10"/>
    <x v="8"/>
    <x v="6"/>
    <x v="1"/>
    <x v="88"/>
    <x v="9"/>
    <x v="15"/>
    <x v="9"/>
    <x v="121"/>
    <x v="8"/>
    <x v="29"/>
    <x v="163"/>
    <x v="113"/>
    <x v="163"/>
    <x v="12"/>
  </r>
  <r>
    <x v="164"/>
    <x v="164"/>
    <x v="628"/>
    <x v="3"/>
    <x v="38"/>
    <x v="12"/>
    <x v="8"/>
    <x v="6"/>
    <x v="1"/>
    <x v="88"/>
    <x v="9"/>
    <x v="16"/>
    <x v="9"/>
    <x v="267"/>
    <x v="70"/>
    <x v="26"/>
    <x v="274"/>
    <x v="198"/>
    <x v="164"/>
    <x v="12"/>
  </r>
  <r>
    <x v="165"/>
    <x v="165"/>
    <x v="629"/>
    <x v="3"/>
    <x v="1"/>
    <x v="34"/>
    <x v="8"/>
    <x v="6"/>
    <x v="1"/>
    <x v="88"/>
    <x v="9"/>
    <x v="16"/>
    <x v="9"/>
    <x v="384"/>
    <x v="109"/>
    <x v="22"/>
    <x v="363"/>
    <x v="327"/>
    <x v="165"/>
    <x v="12"/>
  </r>
  <r>
    <x v="166"/>
    <x v="166"/>
    <x v="630"/>
    <x v="3"/>
    <x v="8"/>
    <x v="38"/>
    <x v="8"/>
    <x v="6"/>
    <x v="1"/>
    <x v="88"/>
    <x v="9"/>
    <x v="14"/>
    <x v="9"/>
    <x v="135"/>
    <x v="87"/>
    <x v="17"/>
    <x v="118"/>
    <x v="216"/>
    <x v="166"/>
    <x v="12"/>
  </r>
  <r>
    <x v="167"/>
    <x v="167"/>
    <x v="631"/>
    <x v="3"/>
    <x v="16"/>
    <x v="35"/>
    <x v="8"/>
    <x v="6"/>
    <x v="1"/>
    <x v="88"/>
    <x v="9"/>
    <x v="14"/>
    <x v="9"/>
    <x v="99"/>
    <x v="52"/>
    <x v="31"/>
    <x v="104"/>
    <x v="75"/>
    <x v="167"/>
    <x v="12"/>
  </r>
  <r>
    <x v="168"/>
    <x v="168"/>
    <x v="633"/>
    <x v="3"/>
    <x v="41"/>
    <x v="23"/>
    <x v="8"/>
    <x v="6"/>
    <x v="1"/>
    <x v="88"/>
    <x v="9"/>
    <x v="14"/>
    <x v="9"/>
    <x v="111"/>
    <x v="34"/>
    <x v="8"/>
    <x v="125"/>
    <x v="393"/>
    <x v="168"/>
    <x v="12"/>
  </r>
  <r>
    <x v="169"/>
    <x v="169"/>
    <x v="632"/>
    <x v="3"/>
    <x v="45"/>
    <x v="0"/>
    <x v="8"/>
    <x v="6"/>
    <x v="1"/>
    <x v="88"/>
    <x v="9"/>
    <x v="15"/>
    <x v="9"/>
    <x v="153"/>
    <x v="56"/>
    <x v="30"/>
    <x v="161"/>
    <x v="102"/>
    <x v="169"/>
    <x v="12"/>
  </r>
  <r>
    <x v="170"/>
    <x v="170"/>
    <x v="634"/>
    <x v="3"/>
    <x v="30"/>
    <x v="30"/>
    <x v="8"/>
    <x v="6"/>
    <x v="1"/>
    <x v="88"/>
    <x v="9"/>
    <x v="15"/>
    <x v="9"/>
    <x v="252"/>
    <x v="79"/>
    <x v="20"/>
    <x v="251"/>
    <x v="282"/>
    <x v="170"/>
    <x v="12"/>
  </r>
  <r>
    <x v="171"/>
    <x v="171"/>
    <x v="635"/>
    <x v="3"/>
    <x v="0"/>
    <x v="36"/>
    <x v="8"/>
    <x v="6"/>
    <x v="1"/>
    <x v="88"/>
    <x v="9"/>
    <x v="14"/>
    <x v="9"/>
    <x v="135"/>
    <x v="89"/>
    <x v="23"/>
    <x v="116"/>
    <x v="148"/>
    <x v="171"/>
    <x v="12"/>
  </r>
  <r>
    <x v="172"/>
    <x v="172"/>
    <x v="581"/>
    <x v="3"/>
    <x v="27"/>
    <x v="46"/>
    <x v="8"/>
    <x v="7"/>
    <x v="1"/>
    <x v="88"/>
    <x v="10"/>
    <x v="8"/>
    <x v="9"/>
    <x v="472"/>
    <x v="318"/>
    <x v="35"/>
    <x v="58"/>
    <x v="49"/>
    <x v="172"/>
    <x v="12"/>
  </r>
  <r>
    <x v="173"/>
    <x v="173"/>
    <x v="636"/>
    <x v="3"/>
    <x v="33"/>
    <x v="26"/>
    <x v="8"/>
    <x v="6"/>
    <x v="1"/>
    <x v="88"/>
    <x v="10"/>
    <x v="26"/>
    <x v="9"/>
    <x v="523"/>
    <x v="166"/>
    <x v="13"/>
    <x v="441"/>
    <x v="728"/>
    <x v="173"/>
    <x v="12"/>
  </r>
  <r>
    <x v="174"/>
    <x v="174"/>
    <x v="637"/>
    <x v="3"/>
    <x v="28"/>
    <x v="33"/>
    <x v="8"/>
    <x v="6"/>
    <x v="1"/>
    <x v="88"/>
    <x v="10"/>
    <x v="23"/>
    <x v="9"/>
    <x v="752"/>
    <x v="347"/>
    <x v="16"/>
    <x v="139"/>
    <x v="254"/>
    <x v="174"/>
    <x v="12"/>
  </r>
  <r>
    <x v="175"/>
    <x v="175"/>
    <x v="638"/>
    <x v="3"/>
    <x v="14"/>
    <x v="3"/>
    <x v="8"/>
    <x v="7"/>
    <x v="1"/>
    <x v="88"/>
    <x v="10"/>
    <x v="10"/>
    <x v="9"/>
    <x v="272"/>
    <x v="88"/>
    <x v="13"/>
    <x v="264"/>
    <x v="450"/>
    <x v="175"/>
    <x v="12"/>
  </r>
  <r>
    <x v="176"/>
    <x v="176"/>
    <x v="639"/>
    <x v="3"/>
    <x v="24"/>
    <x v="37"/>
    <x v="8"/>
    <x v="7"/>
    <x v="1"/>
    <x v="88"/>
    <x v="10"/>
    <x v="10"/>
    <x v="9"/>
    <x v="391"/>
    <x v="87"/>
    <x v="21"/>
    <x v="388"/>
    <x v="378"/>
    <x v="176"/>
    <x v="12"/>
  </r>
  <r>
    <x v="177"/>
    <x v="177"/>
    <x v="640"/>
    <x v="3"/>
    <x v="29"/>
    <x v="15"/>
    <x v="8"/>
    <x v="7"/>
    <x v="1"/>
    <x v="88"/>
    <x v="10"/>
    <x v="11"/>
    <x v="9"/>
    <x v="534"/>
    <x v="93"/>
    <x v="20"/>
    <x v="520"/>
    <x v="553"/>
    <x v="177"/>
    <x v="12"/>
  </r>
  <r>
    <x v="178"/>
    <x v="178"/>
    <x v="641"/>
    <x v="3"/>
    <x v="31"/>
    <x v="40"/>
    <x v="8"/>
    <x v="7"/>
    <x v="1"/>
    <x v="88"/>
    <x v="10"/>
    <x v="11"/>
    <x v="9"/>
    <x v="755"/>
    <x v="292"/>
    <x v="31"/>
    <x v="540"/>
    <x v="259"/>
    <x v="178"/>
    <x v="12"/>
  </r>
  <r>
    <x v="179"/>
    <x v="179"/>
    <x v="642"/>
    <x v="3"/>
    <x v="26"/>
    <x v="16"/>
    <x v="8"/>
    <x v="7"/>
    <x v="1"/>
    <x v="88"/>
    <x v="10"/>
    <x v="10"/>
    <x v="9"/>
    <x v="311"/>
    <x v="52"/>
    <x v="40"/>
    <x v="340"/>
    <x v="72"/>
    <x v="179"/>
    <x v="13"/>
  </r>
  <r>
    <x v="180"/>
    <x v="180"/>
    <x v="643"/>
    <x v="3"/>
    <x v="13"/>
    <x v="44"/>
    <x v="8"/>
    <x v="7"/>
    <x v="1"/>
    <x v="88"/>
    <x v="10"/>
    <x v="10"/>
    <x v="9"/>
    <x v="352"/>
    <x v="110"/>
    <x v="20"/>
    <x v="330"/>
    <x v="349"/>
    <x v="180"/>
    <x v="13"/>
  </r>
  <r>
    <x v="181"/>
    <x v="181"/>
    <x v="645"/>
    <x v="3"/>
    <x v="2"/>
    <x v="18"/>
    <x v="8"/>
    <x v="7"/>
    <x v="1"/>
    <x v="88"/>
    <x v="10"/>
    <x v="10"/>
    <x v="9"/>
    <x v="774"/>
    <x v="351"/>
    <x v="28"/>
    <x v="230"/>
    <x v="153"/>
    <x v="181"/>
    <x v="13"/>
  </r>
  <r>
    <x v="182"/>
    <x v="182"/>
    <x v="644"/>
    <x v="3"/>
    <x v="12"/>
    <x v="17"/>
    <x v="8"/>
    <x v="7"/>
    <x v="1"/>
    <x v="88"/>
    <x v="10"/>
    <x v="11"/>
    <x v="9"/>
    <x v="528"/>
    <x v="151"/>
    <x v="21"/>
    <x v="460"/>
    <x v="439"/>
    <x v="182"/>
    <x v="13"/>
  </r>
  <r>
    <x v="183"/>
    <x v="183"/>
    <x v="646"/>
    <x v="3"/>
    <x v="42"/>
    <x v="5"/>
    <x v="8"/>
    <x v="7"/>
    <x v="1"/>
    <x v="88"/>
    <x v="10"/>
    <x v="10"/>
    <x v="9"/>
    <x v="409"/>
    <x v="97"/>
    <x v="46"/>
    <x v="396"/>
    <x v="55"/>
    <x v="183"/>
    <x v="13"/>
  </r>
  <r>
    <x v="184"/>
    <x v="184"/>
    <x v="647"/>
    <x v="3"/>
    <x v="34"/>
    <x v="6"/>
    <x v="8"/>
    <x v="7"/>
    <x v="1"/>
    <x v="88"/>
    <x v="10"/>
    <x v="10"/>
    <x v="9"/>
    <x v="297"/>
    <x v="110"/>
    <x v="23"/>
    <x v="273"/>
    <x v="244"/>
    <x v="184"/>
    <x v="13"/>
  </r>
  <r>
    <x v="185"/>
    <x v="185"/>
    <x v="649"/>
    <x v="3"/>
    <x v="43"/>
    <x v="28"/>
    <x v="8"/>
    <x v="7"/>
    <x v="1"/>
    <x v="88"/>
    <x v="10"/>
    <x v="11"/>
    <x v="9"/>
    <x v="481"/>
    <x v="73"/>
    <x v="13"/>
    <x v="486"/>
    <x v="810"/>
    <x v="185"/>
    <x v="13"/>
  </r>
  <r>
    <x v="186"/>
    <x v="186"/>
    <x v="648"/>
    <x v="3"/>
    <x v="15"/>
    <x v="43"/>
    <x v="8"/>
    <x v="7"/>
    <x v="1"/>
    <x v="88"/>
    <x v="10"/>
    <x v="10"/>
    <x v="9"/>
    <x v="404"/>
    <x v="160"/>
    <x v="25"/>
    <x v="335"/>
    <x v="248"/>
    <x v="186"/>
    <x v="13"/>
  </r>
  <r>
    <x v="187"/>
    <x v="187"/>
    <x v="653"/>
    <x v="3"/>
    <x v="47"/>
    <x v="19"/>
    <x v="8"/>
    <x v="7"/>
    <x v="1"/>
    <x v="88"/>
    <x v="10"/>
    <x v="11"/>
    <x v="9"/>
    <x v="583"/>
    <x v="226"/>
    <x v="17"/>
    <x v="449"/>
    <x v="579"/>
    <x v="187"/>
    <x v="13"/>
  </r>
  <r>
    <x v="188"/>
    <x v="188"/>
    <x v="651"/>
    <x v="3"/>
    <x v="5"/>
    <x v="20"/>
    <x v="8"/>
    <x v="7"/>
    <x v="1"/>
    <x v="88"/>
    <x v="10"/>
    <x v="10"/>
    <x v="9"/>
    <x v="425"/>
    <x v="230"/>
    <x v="16"/>
    <x v="276"/>
    <x v="389"/>
    <x v="188"/>
    <x v="13"/>
  </r>
  <r>
    <x v="189"/>
    <x v="189"/>
    <x v="652"/>
    <x v="3"/>
    <x v="6"/>
    <x v="22"/>
    <x v="8"/>
    <x v="7"/>
    <x v="1"/>
    <x v="88"/>
    <x v="10"/>
    <x v="10"/>
    <x v="9"/>
    <x v="378"/>
    <x v="237"/>
    <x v="12"/>
    <x v="228"/>
    <x v="432"/>
    <x v="189"/>
    <x v="13"/>
  </r>
  <r>
    <x v="190"/>
    <x v="190"/>
    <x v="650"/>
    <x v="3"/>
    <x v="36"/>
    <x v="29"/>
    <x v="8"/>
    <x v="7"/>
    <x v="1"/>
    <x v="88"/>
    <x v="10"/>
    <x v="12"/>
    <x v="9"/>
    <x v="698"/>
    <x v="204"/>
    <x v="19"/>
    <x v="632"/>
    <x v="817"/>
    <x v="190"/>
    <x v="13"/>
  </r>
  <r>
    <x v="191"/>
    <x v="191"/>
    <x v="654"/>
    <x v="3"/>
    <x v="39"/>
    <x v="39"/>
    <x v="8"/>
    <x v="7"/>
    <x v="1"/>
    <x v="88"/>
    <x v="10"/>
    <x v="11"/>
    <x v="9"/>
    <x v="560"/>
    <x v="191"/>
    <x v="27"/>
    <x v="461"/>
    <x v="294"/>
    <x v="191"/>
    <x v="13"/>
  </r>
  <r>
    <x v="192"/>
    <x v="192"/>
    <x v="655"/>
    <x v="3"/>
    <x v="10"/>
    <x v="27"/>
    <x v="8"/>
    <x v="7"/>
    <x v="1"/>
    <x v="88"/>
    <x v="10"/>
    <x v="11"/>
    <x v="9"/>
    <x v="577"/>
    <x v="103"/>
    <x v="18"/>
    <x v="562"/>
    <x v="707"/>
    <x v="192"/>
    <x v="13"/>
  </r>
  <r>
    <x v="193"/>
    <x v="193"/>
    <x v="657"/>
    <x v="3"/>
    <x v="23"/>
    <x v="45"/>
    <x v="8"/>
    <x v="7"/>
    <x v="1"/>
    <x v="88"/>
    <x v="10"/>
    <x v="10"/>
    <x v="9"/>
    <x v="365"/>
    <x v="107"/>
    <x v="15"/>
    <x v="346"/>
    <x v="499"/>
    <x v="193"/>
    <x v="13"/>
  </r>
  <r>
    <x v="194"/>
    <x v="194"/>
    <x v="656"/>
    <x v="3"/>
    <x v="4"/>
    <x v="2"/>
    <x v="8"/>
    <x v="7"/>
    <x v="1"/>
    <x v="88"/>
    <x v="10"/>
    <x v="9"/>
    <x v="9"/>
    <x v="144"/>
    <x v="16"/>
    <x v="28"/>
    <x v="186"/>
    <x v="139"/>
    <x v="194"/>
    <x v="13"/>
  </r>
  <r>
    <x v="195"/>
    <x v="195"/>
    <x v="659"/>
    <x v="3"/>
    <x v="46"/>
    <x v="32"/>
    <x v="8"/>
    <x v="7"/>
    <x v="1"/>
    <x v="88"/>
    <x v="10"/>
    <x v="10"/>
    <x v="9"/>
    <x v="350"/>
    <x v="98"/>
    <x v="12"/>
    <x v="338"/>
    <x v="602"/>
    <x v="195"/>
    <x v="13"/>
  </r>
  <r>
    <x v="196"/>
    <x v="196"/>
    <x v="658"/>
    <x v="3"/>
    <x v="1"/>
    <x v="34"/>
    <x v="8"/>
    <x v="7"/>
    <x v="1"/>
    <x v="88"/>
    <x v="10"/>
    <x v="11"/>
    <x v="9"/>
    <x v="581"/>
    <x v="123"/>
    <x v="20"/>
    <x v="552"/>
    <x v="609"/>
    <x v="196"/>
    <x v="13"/>
  </r>
  <r>
    <x v="197"/>
    <x v="197"/>
    <x v="660"/>
    <x v="3"/>
    <x v="21"/>
    <x v="4"/>
    <x v="8"/>
    <x v="7"/>
    <x v="1"/>
    <x v="88"/>
    <x v="10"/>
    <x v="9"/>
    <x v="9"/>
    <x v="252"/>
    <x v="112"/>
    <x v="14"/>
    <x v="224"/>
    <x v="384"/>
    <x v="197"/>
    <x v="13"/>
  </r>
  <r>
    <x v="198"/>
    <x v="198"/>
    <x v="661"/>
    <x v="3"/>
    <x v="3"/>
    <x v="10"/>
    <x v="8"/>
    <x v="7"/>
    <x v="1"/>
    <x v="88"/>
    <x v="11"/>
    <x v="9"/>
    <x v="9"/>
    <x v="251"/>
    <x v="8"/>
    <x v="27"/>
    <x v="327"/>
    <x v="205"/>
    <x v="198"/>
    <x v="14"/>
  </r>
  <r>
    <x v="199"/>
    <x v="199"/>
    <x v="662"/>
    <x v="3"/>
    <x v="38"/>
    <x v="12"/>
    <x v="8"/>
    <x v="7"/>
    <x v="1"/>
    <x v="88"/>
    <x v="11"/>
    <x v="9"/>
    <x v="9"/>
    <x v="352"/>
    <x v="72"/>
    <x v="25"/>
    <x v="363"/>
    <x v="266"/>
    <x v="199"/>
    <x v="14"/>
  </r>
  <r>
    <x v="200"/>
    <x v="200"/>
    <x v="664"/>
    <x v="3"/>
    <x v="35"/>
    <x v="1"/>
    <x v="8"/>
    <x v="7"/>
    <x v="1"/>
    <x v="88"/>
    <x v="11"/>
    <x v="9"/>
    <x v="9"/>
    <x v="335"/>
    <x v="73"/>
    <x v="10"/>
    <x v="347"/>
    <x v="689"/>
    <x v="200"/>
    <x v="14"/>
  </r>
  <r>
    <x v="201"/>
    <x v="201"/>
    <x v="663"/>
    <x v="3"/>
    <x v="41"/>
    <x v="23"/>
    <x v="8"/>
    <x v="7"/>
    <x v="1"/>
    <x v="88"/>
    <x v="11"/>
    <x v="9"/>
    <x v="9"/>
    <x v="299"/>
    <x v="30"/>
    <x v="25"/>
    <x v="355"/>
    <x v="258"/>
    <x v="201"/>
    <x v="14"/>
  </r>
  <r>
    <x v="202"/>
    <x v="202"/>
    <x v="665"/>
    <x v="3"/>
    <x v="34"/>
    <x v="6"/>
    <x v="7"/>
    <x v="11"/>
    <x v="1"/>
    <x v="88"/>
    <x v="11"/>
    <x v="10"/>
    <x v="8"/>
    <x v="351"/>
    <x v="109"/>
    <x v="3"/>
    <x v="330"/>
    <x v="914"/>
    <x v="202"/>
    <x v="14"/>
  </r>
  <r>
    <x v="203"/>
    <x v="203"/>
    <x v="666"/>
    <x v="3"/>
    <x v="15"/>
    <x v="43"/>
    <x v="7"/>
    <x v="11"/>
    <x v="1"/>
    <x v="88"/>
    <x v="11"/>
    <x v="10"/>
    <x v="8"/>
    <x v="395"/>
    <x v="162"/>
    <x v="18"/>
    <x v="324"/>
    <x v="386"/>
    <x v="203"/>
    <x v="14"/>
  </r>
  <r>
    <x v="204"/>
    <x v="204"/>
    <x v="667"/>
    <x v="3"/>
    <x v="19"/>
    <x v="21"/>
    <x v="7"/>
    <x v="11"/>
    <x v="1"/>
    <x v="88"/>
    <x v="11"/>
    <x v="9"/>
    <x v="8"/>
    <x v="299"/>
    <x v="142"/>
    <x v="10"/>
    <x v="245"/>
    <x v="526"/>
    <x v="204"/>
    <x v="14"/>
  </r>
  <r>
    <x v="205"/>
    <x v="205"/>
    <x v="668"/>
    <x v="3"/>
    <x v="43"/>
    <x v="28"/>
    <x v="7"/>
    <x v="11"/>
    <x v="1"/>
    <x v="88"/>
    <x v="11"/>
    <x v="11"/>
    <x v="8"/>
    <x v="572"/>
    <x v="73"/>
    <x v="33"/>
    <x v="582"/>
    <x v="245"/>
    <x v="205"/>
    <x v="15"/>
  </r>
  <r>
    <x v="206"/>
    <x v="207"/>
    <x v="671"/>
    <x v="3"/>
    <x v="4"/>
    <x v="2"/>
    <x v="7"/>
    <x v="11"/>
    <x v="1"/>
    <x v="88"/>
    <x v="11"/>
    <x v="9"/>
    <x v="8"/>
    <x v="173"/>
    <x v="11"/>
    <x v="7"/>
    <x v="223"/>
    <x v="596"/>
    <x v="206"/>
    <x v="15"/>
  </r>
  <r>
    <x v="207"/>
    <x v="208"/>
    <x v="669"/>
    <x v="3"/>
    <x v="10"/>
    <x v="27"/>
    <x v="7"/>
    <x v="11"/>
    <x v="1"/>
    <x v="88"/>
    <x v="11"/>
    <x v="11"/>
    <x v="8"/>
    <x v="551"/>
    <x v="101"/>
    <x v="11"/>
    <x v="536"/>
    <x v="980"/>
    <x v="207"/>
    <x v="15"/>
  </r>
  <r>
    <x v="208"/>
    <x v="206"/>
    <x v="670"/>
    <x v="3"/>
    <x v="39"/>
    <x v="39"/>
    <x v="7"/>
    <x v="11"/>
    <x v="1"/>
    <x v="88"/>
    <x v="11"/>
    <x v="11"/>
    <x v="8"/>
    <x v="649"/>
    <x v="189"/>
    <x v="9"/>
    <x v="586"/>
    <x v="1100"/>
    <x v="208"/>
    <x v="15"/>
  </r>
  <r>
    <x v="209"/>
    <x v="209"/>
    <x v="672"/>
    <x v="3"/>
    <x v="36"/>
    <x v="29"/>
    <x v="7"/>
    <x v="11"/>
    <x v="1"/>
    <x v="88"/>
    <x v="11"/>
    <x v="11"/>
    <x v="8"/>
    <x v="658"/>
    <x v="202"/>
    <x v="7"/>
    <x v="590"/>
    <x v="1152"/>
    <x v="209"/>
    <x v="15"/>
  </r>
  <r>
    <x v="210"/>
    <x v="210"/>
    <x v="673"/>
    <x v="3"/>
    <x v="23"/>
    <x v="45"/>
    <x v="7"/>
    <x v="11"/>
    <x v="1"/>
    <x v="88"/>
    <x v="11"/>
    <x v="10"/>
    <x v="8"/>
    <x v="440"/>
    <x v="107"/>
    <x v="30"/>
    <x v="420"/>
    <x v="207"/>
    <x v="210"/>
    <x v="15"/>
  </r>
  <r>
    <x v="211"/>
    <x v="211"/>
    <x v="674"/>
    <x v="3"/>
    <x v="46"/>
    <x v="32"/>
    <x v="7"/>
    <x v="11"/>
    <x v="1"/>
    <x v="88"/>
    <x v="11"/>
    <x v="12"/>
    <x v="8"/>
    <x v="666"/>
    <x v="97"/>
    <x v="14"/>
    <x v="659"/>
    <x v="1084"/>
    <x v="211"/>
    <x v="15"/>
  </r>
  <r>
    <x v="212"/>
    <x v="212"/>
    <x v="675"/>
    <x v="3"/>
    <x v="33"/>
    <x v="26"/>
    <x v="7"/>
    <x v="11"/>
    <x v="1"/>
    <x v="88"/>
    <x v="11"/>
    <x v="11"/>
    <x v="8"/>
    <x v="611"/>
    <x v="157"/>
    <x v="7"/>
    <x v="560"/>
    <x v="1128"/>
    <x v="212"/>
    <x v="15"/>
  </r>
  <r>
    <x v="213"/>
    <x v="213"/>
    <x v="676"/>
    <x v="3"/>
    <x v="31"/>
    <x v="40"/>
    <x v="7"/>
    <x v="11"/>
    <x v="1"/>
    <x v="88"/>
    <x v="11"/>
    <x v="11"/>
    <x v="8"/>
    <x v="762"/>
    <x v="296"/>
    <x v="12"/>
    <x v="561"/>
    <x v="981"/>
    <x v="213"/>
    <x v="15"/>
  </r>
  <r>
    <x v="214"/>
    <x v="214"/>
    <x v="677"/>
    <x v="3"/>
    <x v="16"/>
    <x v="35"/>
    <x v="7"/>
    <x v="11"/>
    <x v="1"/>
    <x v="88"/>
    <x v="11"/>
    <x v="8"/>
    <x v="8"/>
    <x v="106"/>
    <x v="51"/>
    <x v="15"/>
    <x v="109"/>
    <x v="233"/>
    <x v="214"/>
    <x v="15"/>
  </r>
  <r>
    <x v="215"/>
    <x v="215"/>
    <x v="678"/>
    <x v="3"/>
    <x v="8"/>
    <x v="38"/>
    <x v="7"/>
    <x v="11"/>
    <x v="1"/>
    <x v="88"/>
    <x v="11"/>
    <x v="9"/>
    <x v="8"/>
    <x v="140"/>
    <x v="84"/>
    <x v="11"/>
    <x v="128"/>
    <x v="330"/>
    <x v="215"/>
    <x v="15"/>
  </r>
  <r>
    <x v="216"/>
    <x v="216"/>
    <x v="679"/>
    <x v="3"/>
    <x v="30"/>
    <x v="30"/>
    <x v="7"/>
    <x v="11"/>
    <x v="1"/>
    <x v="88"/>
    <x v="11"/>
    <x v="10"/>
    <x v="8"/>
    <x v="400"/>
    <x v="77"/>
    <x v="11"/>
    <x v="407"/>
    <x v="755"/>
    <x v="216"/>
    <x v="15"/>
  </r>
  <r>
    <x v="217"/>
    <x v="217"/>
    <x v="680"/>
    <x v="3"/>
    <x v="0"/>
    <x v="36"/>
    <x v="7"/>
    <x v="11"/>
    <x v="1"/>
    <x v="88"/>
    <x v="11"/>
    <x v="9"/>
    <x v="8"/>
    <x v="217"/>
    <x v="91"/>
    <x v="15"/>
    <x v="199"/>
    <x v="339"/>
    <x v="217"/>
    <x v="15"/>
  </r>
  <r>
    <x v="218"/>
    <x v="218"/>
    <x v="681"/>
    <x v="3"/>
    <x v="1"/>
    <x v="34"/>
    <x v="7"/>
    <x v="11"/>
    <x v="1"/>
    <x v="88"/>
    <x v="11"/>
    <x v="10"/>
    <x v="8"/>
    <x v="515"/>
    <x v="119"/>
    <x v="9"/>
    <x v="478"/>
    <x v="971"/>
    <x v="218"/>
    <x v="15"/>
  </r>
  <r>
    <x v="219"/>
    <x v="219"/>
    <x v="682"/>
    <x v="3"/>
    <x v="26"/>
    <x v="16"/>
    <x v="7"/>
    <x v="11"/>
    <x v="1"/>
    <x v="88"/>
    <x v="11"/>
    <x v="10"/>
    <x v="8"/>
    <x v="385"/>
    <x v="50"/>
    <x v="20"/>
    <x v="418"/>
    <x v="424"/>
    <x v="219"/>
    <x v="15"/>
  </r>
  <r>
    <x v="220"/>
    <x v="220"/>
    <x v="683"/>
    <x v="3"/>
    <x v="13"/>
    <x v="44"/>
    <x v="7"/>
    <x v="11"/>
    <x v="1"/>
    <x v="88"/>
    <x v="12"/>
    <x v="12"/>
    <x v="8"/>
    <x v="427"/>
    <x v="104"/>
    <x v="22"/>
    <x v="408"/>
    <x v="368"/>
    <x v="220"/>
    <x v="15"/>
  </r>
  <r>
    <x v="221"/>
    <x v="221"/>
    <x v="690"/>
    <x v="3"/>
    <x v="45"/>
    <x v="0"/>
    <x v="7"/>
    <x v="11"/>
    <x v="1"/>
    <x v="88"/>
    <x v="12"/>
    <x v="12"/>
    <x v="8"/>
    <x v="368"/>
    <x v="57"/>
    <x v="12"/>
    <x v="391"/>
    <x v="682"/>
    <x v="221"/>
    <x v="15"/>
  </r>
  <r>
    <x v="222"/>
    <x v="222"/>
    <x v="684"/>
    <x v="3"/>
    <x v="2"/>
    <x v="18"/>
    <x v="7"/>
    <x v="11"/>
    <x v="1"/>
    <x v="88"/>
    <x v="12"/>
    <x v="11"/>
    <x v="8"/>
    <x v="780"/>
    <x v="361"/>
    <x v="15"/>
    <x v="253"/>
    <x v="391"/>
    <x v="222"/>
    <x v="15"/>
  </r>
  <r>
    <x v="223"/>
    <x v="223"/>
    <x v="686"/>
    <x v="3"/>
    <x v="21"/>
    <x v="4"/>
    <x v="7"/>
    <x v="11"/>
    <x v="1"/>
    <x v="88"/>
    <x v="12"/>
    <x v="12"/>
    <x v="8"/>
    <x v="367"/>
    <x v="110"/>
    <x v="13"/>
    <x v="345"/>
    <x v="574"/>
    <x v="223"/>
    <x v="15"/>
  </r>
  <r>
    <x v="224"/>
    <x v="224"/>
    <x v="685"/>
    <x v="3"/>
    <x v="12"/>
    <x v="17"/>
    <x v="7"/>
    <x v="11"/>
    <x v="1"/>
    <x v="88"/>
    <x v="12"/>
    <x v="14"/>
    <x v="8"/>
    <x v="679"/>
    <x v="162"/>
    <x v="16"/>
    <x v="639"/>
    <x v="974"/>
    <x v="224"/>
    <x v="15"/>
  </r>
  <r>
    <x v="225"/>
    <x v="225"/>
    <x v="687"/>
    <x v="3"/>
    <x v="47"/>
    <x v="19"/>
    <x v="7"/>
    <x v="11"/>
    <x v="1"/>
    <x v="88"/>
    <x v="12"/>
    <x v="12"/>
    <x v="8"/>
    <x v="561"/>
    <x v="226"/>
    <x v="12"/>
    <x v="423"/>
    <x v="740"/>
    <x v="225"/>
    <x v="15"/>
  </r>
  <r>
    <x v="226"/>
    <x v="226"/>
    <x v="688"/>
    <x v="3"/>
    <x v="6"/>
    <x v="22"/>
    <x v="7"/>
    <x v="11"/>
    <x v="1"/>
    <x v="88"/>
    <x v="12"/>
    <x v="12"/>
    <x v="8"/>
    <x v="567"/>
    <x v="236"/>
    <x v="7"/>
    <x v="417"/>
    <x v="949"/>
    <x v="226"/>
    <x v="15"/>
  </r>
  <r>
    <x v="227"/>
    <x v="227"/>
    <x v="689"/>
    <x v="3"/>
    <x v="5"/>
    <x v="20"/>
    <x v="7"/>
    <x v="11"/>
    <x v="1"/>
    <x v="88"/>
    <x v="12"/>
    <x v="12"/>
    <x v="8"/>
    <x v="489"/>
    <x v="227"/>
    <x v="11"/>
    <x v="339"/>
    <x v="642"/>
    <x v="227"/>
    <x v="15"/>
  </r>
  <r>
    <x v="228"/>
    <x v="228"/>
    <x v="691"/>
    <x v="3"/>
    <x v="23"/>
    <x v="45"/>
    <x v="7"/>
    <x v="11"/>
    <x v="1"/>
    <x v="88"/>
    <x v="12"/>
    <x v="12"/>
    <x v="8"/>
    <x v="370"/>
    <x v="105"/>
    <x v="19"/>
    <x v="352"/>
    <x v="388"/>
    <x v="228"/>
    <x v="15"/>
  </r>
  <r>
    <x v="229"/>
    <x v="229"/>
    <x v="692"/>
    <x v="3"/>
    <x v="41"/>
    <x v="23"/>
    <x v="7"/>
    <x v="11"/>
    <x v="1"/>
    <x v="88"/>
    <x v="12"/>
    <x v="11"/>
    <x v="8"/>
    <x v="264"/>
    <x v="30"/>
    <x v="27"/>
    <x v="315"/>
    <x v="201"/>
    <x v="229"/>
    <x v="15"/>
  </r>
  <r>
    <x v="230"/>
    <x v="230"/>
    <x v="693"/>
    <x v="3"/>
    <x v="19"/>
    <x v="21"/>
    <x v="7"/>
    <x v="11"/>
    <x v="1"/>
    <x v="88"/>
    <x v="12"/>
    <x v="11"/>
    <x v="8"/>
    <x v="278"/>
    <x v="145"/>
    <x v="17"/>
    <x v="222"/>
    <x v="316"/>
    <x v="230"/>
    <x v="15"/>
  </r>
  <r>
    <x v="231"/>
    <x v="231"/>
    <x v="694"/>
    <x v="3"/>
    <x v="34"/>
    <x v="6"/>
    <x v="7"/>
    <x v="11"/>
    <x v="1"/>
    <x v="88"/>
    <x v="12"/>
    <x v="11"/>
    <x v="8"/>
    <x v="316"/>
    <x v="110"/>
    <x v="19"/>
    <x v="291"/>
    <x v="337"/>
    <x v="231"/>
    <x v="15"/>
  </r>
  <r>
    <x v="232"/>
    <x v="232"/>
    <x v="695"/>
    <x v="3"/>
    <x v="46"/>
    <x v="32"/>
    <x v="7"/>
    <x v="11"/>
    <x v="1"/>
    <x v="88"/>
    <x v="12"/>
    <x v="14"/>
    <x v="8"/>
    <x v="678"/>
    <x v="102"/>
    <x v="18"/>
    <x v="665"/>
    <x v="966"/>
    <x v="232"/>
    <x v="16"/>
  </r>
  <r>
    <x v="233"/>
    <x v="233"/>
    <x v="696"/>
    <x v="3"/>
    <x v="33"/>
    <x v="26"/>
    <x v="7"/>
    <x v="11"/>
    <x v="1"/>
    <x v="88"/>
    <x v="12"/>
    <x v="13"/>
    <x v="8"/>
    <x v="626"/>
    <x v="162"/>
    <x v="17"/>
    <x v="581"/>
    <x v="791"/>
    <x v="233"/>
    <x v="16"/>
  </r>
  <r>
    <x v="234"/>
    <x v="234"/>
    <x v="697"/>
    <x v="3"/>
    <x v="29"/>
    <x v="15"/>
    <x v="7"/>
    <x v="11"/>
    <x v="1"/>
    <x v="88"/>
    <x v="12"/>
    <x v="13"/>
    <x v="8"/>
    <x v="584"/>
    <x v="98"/>
    <x v="17"/>
    <x v="577"/>
    <x v="784"/>
    <x v="234"/>
    <x v="16"/>
  </r>
  <r>
    <x v="235"/>
    <x v="235"/>
    <x v="699"/>
    <x v="3"/>
    <x v="4"/>
    <x v="2"/>
    <x v="7"/>
    <x v="11"/>
    <x v="1"/>
    <x v="88"/>
    <x v="12"/>
    <x v="10"/>
    <x v="8"/>
    <x v="79"/>
    <x v="14"/>
    <x v="15"/>
    <x v="106"/>
    <x v="224"/>
    <x v="235"/>
    <x v="16"/>
  </r>
  <r>
    <x v="236"/>
    <x v="236"/>
    <x v="698"/>
    <x v="3"/>
    <x v="15"/>
    <x v="43"/>
    <x v="7"/>
    <x v="11"/>
    <x v="1"/>
    <x v="88"/>
    <x v="12"/>
    <x v="11"/>
    <x v="8"/>
    <x v="305"/>
    <x v="162"/>
    <x v="47"/>
    <x v="233"/>
    <x v="38"/>
    <x v="236"/>
    <x v="16"/>
  </r>
  <r>
    <x v="237"/>
    <x v="237"/>
    <x v="701"/>
    <x v="3"/>
    <x v="43"/>
    <x v="28"/>
    <x v="7"/>
    <x v="11"/>
    <x v="1"/>
    <x v="88"/>
    <x v="12"/>
    <x v="13"/>
    <x v="8"/>
    <x v="536"/>
    <x v="72"/>
    <x v="25"/>
    <x v="544"/>
    <x v="407"/>
    <x v="237"/>
    <x v="16"/>
  </r>
  <r>
    <x v="238"/>
    <x v="238"/>
    <x v="702"/>
    <x v="3"/>
    <x v="10"/>
    <x v="27"/>
    <x v="7"/>
    <x v="11"/>
    <x v="1"/>
    <x v="88"/>
    <x v="12"/>
    <x v="12"/>
    <x v="8"/>
    <x v="350"/>
    <x v="106"/>
    <x v="26"/>
    <x v="332"/>
    <x v="223"/>
    <x v="238"/>
    <x v="16"/>
  </r>
  <r>
    <x v="239"/>
    <x v="239"/>
    <x v="700"/>
    <x v="3"/>
    <x v="31"/>
    <x v="40"/>
    <x v="7"/>
    <x v="11"/>
    <x v="1"/>
    <x v="88"/>
    <x v="12"/>
    <x v="12"/>
    <x v="8"/>
    <x v="775"/>
    <x v="298"/>
    <x v="31"/>
    <x v="619"/>
    <x v="323"/>
    <x v="239"/>
    <x v="16"/>
  </r>
  <r>
    <x v="240"/>
    <x v="240"/>
    <x v="928"/>
    <x v="4"/>
    <x v="39"/>
    <x v="39"/>
    <x v="29"/>
    <x v="12"/>
    <x v="1"/>
    <x v="88"/>
    <x v="13"/>
    <x v="14"/>
    <x v="30"/>
    <x v="631"/>
    <x v="185"/>
    <x v="12"/>
    <x v="563"/>
    <x v="987"/>
    <x v="240"/>
    <x v="16"/>
  </r>
  <r>
    <x v="241"/>
    <x v="241"/>
    <x v="929"/>
    <x v="4"/>
    <x v="36"/>
    <x v="29"/>
    <x v="29"/>
    <x v="3"/>
    <x v="1"/>
    <x v="88"/>
    <x v="13"/>
    <x v="14"/>
    <x v="30"/>
    <x v="577"/>
    <x v="200"/>
    <x v="13"/>
    <x v="468"/>
    <x v="779"/>
    <x v="241"/>
    <x v="16"/>
  </r>
  <r>
    <x v="242"/>
    <x v="242"/>
    <x v="918"/>
    <x v="4"/>
    <x v="1"/>
    <x v="34"/>
    <x v="30"/>
    <x v="12"/>
    <x v="1"/>
    <x v="88"/>
    <x v="13"/>
    <x v="14"/>
    <x v="31"/>
    <x v="596"/>
    <x v="122"/>
    <x v="20"/>
    <x v="573"/>
    <x v="639"/>
    <x v="242"/>
    <x v="16"/>
  </r>
  <r>
    <x v="243"/>
    <x v="243"/>
    <x v="920"/>
    <x v="4"/>
    <x v="30"/>
    <x v="30"/>
    <x v="30"/>
    <x v="12"/>
    <x v="1"/>
    <x v="88"/>
    <x v="13"/>
    <x v="12"/>
    <x v="31"/>
    <x v="304"/>
    <x v="73"/>
    <x v="15"/>
    <x v="313"/>
    <x v="451"/>
    <x v="243"/>
    <x v="16"/>
  </r>
  <r>
    <x v="244"/>
    <x v="244"/>
    <x v="919"/>
    <x v="4"/>
    <x v="0"/>
    <x v="36"/>
    <x v="30"/>
    <x v="12"/>
    <x v="1"/>
    <x v="88"/>
    <x v="13"/>
    <x v="12"/>
    <x v="31"/>
    <x v="258"/>
    <x v="90"/>
    <x v="17"/>
    <x v="247"/>
    <x v="343"/>
    <x v="244"/>
    <x v="16"/>
  </r>
  <r>
    <x v="245"/>
    <x v="245"/>
    <x v="921"/>
    <x v="4"/>
    <x v="2"/>
    <x v="18"/>
    <x v="30"/>
    <x v="12"/>
    <x v="1"/>
    <x v="88"/>
    <x v="13"/>
    <x v="12"/>
    <x v="31"/>
    <x v="776"/>
    <x v="353"/>
    <x v="25"/>
    <x v="230"/>
    <x v="189"/>
    <x v="245"/>
    <x v="16"/>
  </r>
  <r>
    <x v="246"/>
    <x v="246"/>
    <x v="922"/>
    <x v="4"/>
    <x v="12"/>
    <x v="17"/>
    <x v="30"/>
    <x v="12"/>
    <x v="1"/>
    <x v="88"/>
    <x v="13"/>
    <x v="14"/>
    <x v="31"/>
    <x v="638"/>
    <x v="152"/>
    <x v="33"/>
    <x v="602"/>
    <x v="257"/>
    <x v="246"/>
    <x v="16"/>
  </r>
  <r>
    <x v="247"/>
    <x v="247"/>
    <x v="923"/>
    <x v="4"/>
    <x v="26"/>
    <x v="16"/>
    <x v="30"/>
    <x v="12"/>
    <x v="1"/>
    <x v="88"/>
    <x v="13"/>
    <x v="13"/>
    <x v="31"/>
    <x v="340"/>
    <x v="50"/>
    <x v="23"/>
    <x v="370"/>
    <x v="310"/>
    <x v="247"/>
    <x v="17"/>
  </r>
  <r>
    <x v="248"/>
    <x v="248"/>
    <x v="924"/>
    <x v="4"/>
    <x v="13"/>
    <x v="44"/>
    <x v="30"/>
    <x v="12"/>
    <x v="1"/>
    <x v="88"/>
    <x v="13"/>
    <x v="13"/>
    <x v="31"/>
    <x v="408"/>
    <x v="110"/>
    <x v="25"/>
    <x v="382"/>
    <x v="279"/>
    <x v="248"/>
    <x v="17"/>
  </r>
  <r>
    <x v="249"/>
    <x v="249"/>
    <x v="925"/>
    <x v="4"/>
    <x v="47"/>
    <x v="19"/>
    <x v="30"/>
    <x v="12"/>
    <x v="1"/>
    <x v="88"/>
    <x v="13"/>
    <x v="13"/>
    <x v="31"/>
    <x v="512"/>
    <x v="224"/>
    <x v="28"/>
    <x v="365"/>
    <x v="210"/>
    <x v="249"/>
    <x v="17"/>
  </r>
  <r>
    <x v="250"/>
    <x v="250"/>
    <x v="926"/>
    <x v="4"/>
    <x v="6"/>
    <x v="22"/>
    <x v="30"/>
    <x v="12"/>
    <x v="1"/>
    <x v="88"/>
    <x v="13"/>
    <x v="12"/>
    <x v="31"/>
    <x v="356"/>
    <x v="240"/>
    <x v="32"/>
    <x v="201"/>
    <x v="101"/>
    <x v="250"/>
    <x v="17"/>
  </r>
  <r>
    <x v="251"/>
    <x v="251"/>
    <x v="927"/>
    <x v="4"/>
    <x v="5"/>
    <x v="20"/>
    <x v="30"/>
    <x v="12"/>
    <x v="1"/>
    <x v="88"/>
    <x v="13"/>
    <x v="12"/>
    <x v="31"/>
    <x v="464"/>
    <x v="223"/>
    <x v="35"/>
    <x v="321"/>
    <x v="110"/>
    <x v="251"/>
    <x v="17"/>
  </r>
  <r>
    <x v="252"/>
    <x v="252"/>
    <x v="930"/>
    <x v="4"/>
    <x v="28"/>
    <x v="33"/>
    <x v="30"/>
    <x v="12"/>
    <x v="1"/>
    <x v="88"/>
    <x v="13"/>
    <x v="11"/>
    <x v="31"/>
    <x v="748"/>
    <x v="356"/>
    <x v="39"/>
    <x v="123"/>
    <x v="53"/>
    <x v="252"/>
    <x v="17"/>
  </r>
  <r>
    <x v="253"/>
    <x v="253"/>
    <x v="931"/>
    <x v="4"/>
    <x v="33"/>
    <x v="26"/>
    <x v="30"/>
    <x v="12"/>
    <x v="1"/>
    <x v="88"/>
    <x v="14"/>
    <x v="9"/>
    <x v="31"/>
    <x v="121"/>
    <x v="161"/>
    <x v="19"/>
    <x v="84"/>
    <x v="150"/>
    <x v="253"/>
    <x v="17"/>
  </r>
  <r>
    <x v="254"/>
    <x v="254"/>
    <x v="1074"/>
    <x v="4"/>
    <x v="45"/>
    <x v="0"/>
    <x v="30"/>
    <x v="12"/>
    <x v="1"/>
    <x v="88"/>
    <x v="14"/>
    <x v="10"/>
    <x v="31"/>
    <x v="153"/>
    <x v="62"/>
    <x v="24"/>
    <x v="156"/>
    <x v="164"/>
    <x v="254"/>
    <x v="17"/>
  </r>
  <r>
    <x v="255"/>
    <x v="255"/>
    <x v="932"/>
    <x v="4"/>
    <x v="41"/>
    <x v="23"/>
    <x v="30"/>
    <x v="12"/>
    <x v="1"/>
    <x v="88"/>
    <x v="14"/>
    <x v="12"/>
    <x v="31"/>
    <x v="425"/>
    <x v="46"/>
    <x v="26"/>
    <x v="457"/>
    <x v="309"/>
    <x v="255"/>
    <x v="17"/>
  </r>
  <r>
    <x v="256"/>
    <x v="256"/>
    <x v="933"/>
    <x v="4"/>
    <x v="29"/>
    <x v="15"/>
    <x v="30"/>
    <x v="12"/>
    <x v="1"/>
    <x v="88"/>
    <x v="14"/>
    <x v="12"/>
    <x v="31"/>
    <x v="380"/>
    <x v="100"/>
    <x v="25"/>
    <x v="366"/>
    <x v="268"/>
    <x v="256"/>
    <x v="17"/>
  </r>
  <r>
    <x v="257"/>
    <x v="257"/>
    <x v="934"/>
    <x v="4"/>
    <x v="27"/>
    <x v="46"/>
    <x v="30"/>
    <x v="12"/>
    <x v="1"/>
    <x v="88"/>
    <x v="14"/>
    <x v="12"/>
    <x v="31"/>
    <x v="778"/>
    <x v="322"/>
    <x v="20"/>
    <x v="520"/>
    <x v="553"/>
    <x v="257"/>
    <x v="17"/>
  </r>
  <r>
    <x v="258"/>
    <x v="258"/>
    <x v="935"/>
    <x v="4"/>
    <x v="10"/>
    <x v="27"/>
    <x v="30"/>
    <x v="12"/>
    <x v="1"/>
    <x v="88"/>
    <x v="14"/>
    <x v="11"/>
    <x v="31"/>
    <x v="292"/>
    <x v="103"/>
    <x v="17"/>
    <x v="275"/>
    <x v="369"/>
    <x v="258"/>
    <x v="18"/>
  </r>
  <r>
    <x v="259"/>
    <x v="259"/>
    <x v="938"/>
    <x v="4"/>
    <x v="38"/>
    <x v="12"/>
    <x v="30"/>
    <x v="12"/>
    <x v="1"/>
    <x v="88"/>
    <x v="14"/>
    <x v="10"/>
    <x v="31"/>
    <x v="141"/>
    <x v="76"/>
    <x v="14"/>
    <x v="135"/>
    <x v="283"/>
    <x v="259"/>
    <x v="18"/>
  </r>
  <r>
    <x v="260"/>
    <x v="260"/>
    <x v="939"/>
    <x v="4"/>
    <x v="43"/>
    <x v="28"/>
    <x v="30"/>
    <x v="12"/>
    <x v="1"/>
    <x v="88"/>
    <x v="14"/>
    <x v="12"/>
    <x v="31"/>
    <x v="401"/>
    <x v="69"/>
    <x v="11"/>
    <x v="415"/>
    <x v="769"/>
    <x v="260"/>
    <x v="18"/>
  </r>
  <r>
    <x v="261"/>
    <x v="261"/>
    <x v="936"/>
    <x v="4"/>
    <x v="30"/>
    <x v="30"/>
    <x v="30"/>
    <x v="12"/>
    <x v="1"/>
    <x v="88"/>
    <x v="14"/>
    <x v="11"/>
    <x v="31"/>
    <x v="287"/>
    <x v="73"/>
    <x v="11"/>
    <x v="296"/>
    <x v="575"/>
    <x v="261"/>
    <x v="18"/>
  </r>
  <r>
    <x v="262"/>
    <x v="262"/>
    <x v="937"/>
    <x v="4"/>
    <x v="0"/>
    <x v="36"/>
    <x v="30"/>
    <x v="12"/>
    <x v="1"/>
    <x v="88"/>
    <x v="14"/>
    <x v="10"/>
    <x v="31"/>
    <x v="130"/>
    <x v="93"/>
    <x v="15"/>
    <x v="111"/>
    <x v="240"/>
    <x v="262"/>
    <x v="18"/>
  </r>
  <r>
    <x v="263"/>
    <x v="263"/>
    <x v="941"/>
    <x v="4"/>
    <x v="36"/>
    <x v="29"/>
    <x v="30"/>
    <x v="12"/>
    <x v="1"/>
    <x v="88"/>
    <x v="14"/>
    <x v="12"/>
    <x v="31"/>
    <x v="606"/>
    <x v="207"/>
    <x v="12"/>
    <x v="503"/>
    <x v="884"/>
    <x v="263"/>
    <x v="18"/>
  </r>
  <r>
    <x v="264"/>
    <x v="264"/>
    <x v="940"/>
    <x v="4"/>
    <x v="4"/>
    <x v="2"/>
    <x v="30"/>
    <x v="12"/>
    <x v="1"/>
    <x v="88"/>
    <x v="14"/>
    <x v="10"/>
    <x v="31"/>
    <x v="126"/>
    <x v="15"/>
    <x v="11"/>
    <x v="164"/>
    <x v="382"/>
    <x v="264"/>
    <x v="18"/>
  </r>
  <r>
    <x v="265"/>
    <x v="265"/>
    <x v="942"/>
    <x v="4"/>
    <x v="39"/>
    <x v="39"/>
    <x v="30"/>
    <x v="12"/>
    <x v="1"/>
    <x v="88"/>
    <x v="14"/>
    <x v="12"/>
    <x v="31"/>
    <x v="574"/>
    <x v="189"/>
    <x v="11"/>
    <x v="479"/>
    <x v="885"/>
    <x v="265"/>
    <x v="18"/>
  </r>
  <r>
    <x v="266"/>
    <x v="266"/>
    <x v="943"/>
    <x v="4"/>
    <x v="21"/>
    <x v="4"/>
    <x v="30"/>
    <x v="12"/>
    <x v="1"/>
    <x v="88"/>
    <x v="14"/>
    <x v="11"/>
    <x v="31"/>
    <x v="259"/>
    <x v="97"/>
    <x v="15"/>
    <x v="243"/>
    <x v="383"/>
    <x v="266"/>
    <x v="18"/>
  </r>
  <r>
    <x v="267"/>
    <x v="267"/>
    <x v="944"/>
    <x v="4"/>
    <x v="8"/>
    <x v="38"/>
    <x v="30"/>
    <x v="12"/>
    <x v="1"/>
    <x v="88"/>
    <x v="14"/>
    <x v="10"/>
    <x v="31"/>
    <x v="166"/>
    <x v="86"/>
    <x v="3"/>
    <x v="152"/>
    <x v="550"/>
    <x v="267"/>
    <x v="18"/>
  </r>
  <r>
    <x v="268"/>
    <x v="268"/>
    <x v="945"/>
    <x v="4"/>
    <x v="16"/>
    <x v="35"/>
    <x v="30"/>
    <x v="12"/>
    <x v="1"/>
    <x v="88"/>
    <x v="14"/>
    <x v="10"/>
    <x v="31"/>
    <x v="83"/>
    <x v="51"/>
    <x v="4"/>
    <x v="97"/>
    <x v="385"/>
    <x v="268"/>
    <x v="18"/>
  </r>
  <r>
    <x v="269"/>
    <x v="269"/>
    <x v="946"/>
    <x v="4"/>
    <x v="1"/>
    <x v="34"/>
    <x v="30"/>
    <x v="12"/>
    <x v="1"/>
    <x v="88"/>
    <x v="14"/>
    <x v="13"/>
    <x v="31"/>
    <x v="573"/>
    <x v="122"/>
    <x v="3"/>
    <x v="542"/>
    <x v="1175"/>
    <x v="269"/>
    <x v="18"/>
  </r>
  <r>
    <x v="270"/>
    <x v="270"/>
    <x v="948"/>
    <x v="4"/>
    <x v="28"/>
    <x v="33"/>
    <x v="30"/>
    <x v="12"/>
    <x v="1"/>
    <x v="88"/>
    <x v="14"/>
    <x v="10"/>
    <x v="31"/>
    <x v="759"/>
    <x v="351"/>
    <x v="4"/>
    <x v="157"/>
    <x v="532"/>
    <x v="270"/>
    <x v="18"/>
  </r>
  <r>
    <x v="271"/>
    <x v="271"/>
    <x v="947"/>
    <x v="4"/>
    <x v="3"/>
    <x v="10"/>
    <x v="30"/>
    <x v="12"/>
    <x v="1"/>
    <x v="88"/>
    <x v="14"/>
    <x v="11"/>
    <x v="31"/>
    <x v="171"/>
    <x v="11"/>
    <x v="3"/>
    <x v="219"/>
    <x v="702"/>
    <x v="271"/>
    <x v="18"/>
  </r>
  <r>
    <x v="272"/>
    <x v="272"/>
    <x v="949"/>
    <x v="4"/>
    <x v="31"/>
    <x v="40"/>
    <x v="30"/>
    <x v="12"/>
    <x v="1"/>
    <x v="88"/>
    <x v="14"/>
    <x v="12"/>
    <x v="31"/>
    <x v="721"/>
    <x v="293"/>
    <x v="6"/>
    <x v="420"/>
    <x v="991"/>
    <x v="272"/>
    <x v="18"/>
  </r>
  <r>
    <x v="273"/>
    <x v="273"/>
    <x v="950"/>
    <x v="4"/>
    <x v="25"/>
    <x v="42"/>
    <x v="30"/>
    <x v="12"/>
    <x v="1"/>
    <x v="88"/>
    <x v="15"/>
    <x v="10"/>
    <x v="31"/>
    <x v="234"/>
    <x v="49"/>
    <x v="11"/>
    <x v="254"/>
    <x v="505"/>
    <x v="273"/>
    <x v="18"/>
  </r>
  <r>
    <x v="274"/>
    <x v="274"/>
    <x v="954"/>
    <x v="4"/>
    <x v="40"/>
    <x v="24"/>
    <x v="30"/>
    <x v="12"/>
    <x v="1"/>
    <x v="88"/>
    <x v="15"/>
    <x v="10"/>
    <x v="31"/>
    <x v="232"/>
    <x v="68"/>
    <x v="8"/>
    <x v="235"/>
    <x v="584"/>
    <x v="274"/>
    <x v="18"/>
  </r>
  <r>
    <x v="275"/>
    <x v="275"/>
    <x v="951"/>
    <x v="4"/>
    <x v="34"/>
    <x v="6"/>
    <x v="30"/>
    <x v="12"/>
    <x v="1"/>
    <x v="88"/>
    <x v="15"/>
    <x v="11"/>
    <x v="31"/>
    <x v="332"/>
    <x v="112"/>
    <x v="9"/>
    <x v="307"/>
    <x v="665"/>
    <x v="275"/>
    <x v="18"/>
  </r>
  <r>
    <x v="276"/>
    <x v="276"/>
    <x v="952"/>
    <x v="4"/>
    <x v="15"/>
    <x v="43"/>
    <x v="30"/>
    <x v="12"/>
    <x v="1"/>
    <x v="88"/>
    <x v="15"/>
    <x v="11"/>
    <x v="31"/>
    <x v="442"/>
    <x v="159"/>
    <x v="13"/>
    <x v="371"/>
    <x v="621"/>
    <x v="276"/>
    <x v="18"/>
  </r>
  <r>
    <x v="277"/>
    <x v="277"/>
    <x v="953"/>
    <x v="4"/>
    <x v="19"/>
    <x v="21"/>
    <x v="30"/>
    <x v="12"/>
    <x v="1"/>
    <x v="88"/>
    <x v="15"/>
    <x v="11"/>
    <x v="31"/>
    <x v="458"/>
    <x v="141"/>
    <x v="12"/>
    <x v="403"/>
    <x v="705"/>
    <x v="277"/>
    <x v="18"/>
  </r>
  <r>
    <x v="278"/>
    <x v="278"/>
    <x v="955"/>
    <x v="4"/>
    <x v="33"/>
    <x v="26"/>
    <x v="30"/>
    <x v="12"/>
    <x v="1"/>
    <x v="88"/>
    <x v="15"/>
    <x v="12"/>
    <x v="31"/>
    <x v="578"/>
    <x v="160"/>
    <x v="6"/>
    <x v="511"/>
    <x v="1099"/>
    <x v="278"/>
    <x v="18"/>
  </r>
  <r>
    <x v="279"/>
    <x v="279"/>
    <x v="1091"/>
    <x v="4"/>
    <x v="24"/>
    <x v="37"/>
    <x v="30"/>
    <x v="12"/>
    <x v="1"/>
    <x v="88"/>
    <x v="15"/>
    <x v="11"/>
    <x v="31"/>
    <x v="427"/>
    <x v="87"/>
    <x v="7"/>
    <x v="423"/>
    <x v="960"/>
    <x v="279"/>
    <x v="18"/>
  </r>
  <r>
    <x v="280"/>
    <x v="280"/>
    <x v="956"/>
    <x v="4"/>
    <x v="2"/>
    <x v="18"/>
    <x v="30"/>
    <x v="12"/>
    <x v="1"/>
    <x v="88"/>
    <x v="15"/>
    <x v="10"/>
    <x v="31"/>
    <x v="779"/>
    <x v="362"/>
    <x v="5"/>
    <x v="251"/>
    <x v="685"/>
    <x v="280"/>
    <x v="18"/>
  </r>
  <r>
    <x v="281"/>
    <x v="281"/>
    <x v="957"/>
    <x v="4"/>
    <x v="12"/>
    <x v="17"/>
    <x v="30"/>
    <x v="12"/>
    <x v="1"/>
    <x v="88"/>
    <x v="15"/>
    <x v="13"/>
    <x v="31"/>
    <x v="688"/>
    <x v="162"/>
    <x v="13"/>
    <x v="649"/>
    <x v="1086"/>
    <x v="281"/>
    <x v="18"/>
  </r>
  <r>
    <x v="282"/>
    <x v="282"/>
    <x v="959"/>
    <x v="4"/>
    <x v="41"/>
    <x v="23"/>
    <x v="30"/>
    <x v="12"/>
    <x v="1"/>
    <x v="88"/>
    <x v="15"/>
    <x v="11"/>
    <x v="31"/>
    <x v="267"/>
    <x v="32"/>
    <x v="13"/>
    <x v="316"/>
    <x v="528"/>
    <x v="282"/>
    <x v="18"/>
  </r>
  <r>
    <x v="283"/>
    <x v="283"/>
    <x v="958"/>
    <x v="4"/>
    <x v="35"/>
    <x v="1"/>
    <x v="30"/>
    <x v="12"/>
    <x v="1"/>
    <x v="88"/>
    <x v="15"/>
    <x v="11"/>
    <x v="31"/>
    <x v="316"/>
    <x v="79"/>
    <x v="11"/>
    <x v="320"/>
    <x v="613"/>
    <x v="283"/>
    <x v="18"/>
  </r>
  <r>
    <x v="284"/>
    <x v="284"/>
    <x v="960"/>
    <x v="4"/>
    <x v="47"/>
    <x v="19"/>
    <x v="30"/>
    <x v="12"/>
    <x v="1"/>
    <x v="88"/>
    <x v="15"/>
    <x v="11"/>
    <x v="31"/>
    <x v="449"/>
    <x v="219"/>
    <x v="14"/>
    <x v="313"/>
    <x v="486"/>
    <x v="284"/>
    <x v="18"/>
  </r>
  <r>
    <x v="285"/>
    <x v="285"/>
    <x v="962"/>
    <x v="4"/>
    <x v="6"/>
    <x v="22"/>
    <x v="30"/>
    <x v="12"/>
    <x v="1"/>
    <x v="88"/>
    <x v="15"/>
    <x v="11"/>
    <x v="31"/>
    <x v="453"/>
    <x v="245"/>
    <x v="11"/>
    <x v="288"/>
    <x v="555"/>
    <x v="285"/>
    <x v="19"/>
  </r>
  <r>
    <x v="286"/>
    <x v="286"/>
    <x v="961"/>
    <x v="4"/>
    <x v="5"/>
    <x v="20"/>
    <x v="30"/>
    <x v="12"/>
    <x v="1"/>
    <x v="88"/>
    <x v="15"/>
    <x v="11"/>
    <x v="31"/>
    <x v="474"/>
    <x v="229"/>
    <x v="9"/>
    <x v="323"/>
    <x v="691"/>
    <x v="286"/>
    <x v="19"/>
  </r>
  <r>
    <x v="287"/>
    <x v="287"/>
    <x v="963"/>
    <x v="4"/>
    <x v="26"/>
    <x v="16"/>
    <x v="30"/>
    <x v="12"/>
    <x v="1"/>
    <x v="88"/>
    <x v="15"/>
    <x v="11"/>
    <x v="31"/>
    <x v="337"/>
    <x v="50"/>
    <x v="8"/>
    <x v="367"/>
    <x v="818"/>
    <x v="287"/>
    <x v="19"/>
  </r>
  <r>
    <x v="288"/>
    <x v="288"/>
    <x v="964"/>
    <x v="4"/>
    <x v="13"/>
    <x v="44"/>
    <x v="30"/>
    <x v="12"/>
    <x v="1"/>
    <x v="88"/>
    <x v="15"/>
    <x v="11"/>
    <x v="31"/>
    <x v="444"/>
    <x v="107"/>
    <x v="9"/>
    <x v="423"/>
    <x v="875"/>
    <x v="288"/>
    <x v="19"/>
  </r>
  <r>
    <x v="289"/>
    <x v="289"/>
    <x v="965"/>
    <x v="4"/>
    <x v="29"/>
    <x v="15"/>
    <x v="30"/>
    <x v="12"/>
    <x v="1"/>
    <x v="88"/>
    <x v="15"/>
    <x v="12"/>
    <x v="31"/>
    <x v="448"/>
    <x v="99"/>
    <x v="8"/>
    <x v="433"/>
    <x v="931"/>
    <x v="289"/>
    <x v="19"/>
  </r>
  <r>
    <x v="290"/>
    <x v="290"/>
    <x v="969"/>
    <x v="4"/>
    <x v="28"/>
    <x v="33"/>
    <x v="30"/>
    <x v="12"/>
    <x v="1"/>
    <x v="88"/>
    <x v="15"/>
    <x v="10"/>
    <x v="31"/>
    <x v="766"/>
    <x v="350"/>
    <x v="4"/>
    <x v="194"/>
    <x v="622"/>
    <x v="290"/>
    <x v="19"/>
  </r>
  <r>
    <x v="291"/>
    <x v="291"/>
    <x v="556"/>
    <x v="4"/>
    <x v="1"/>
    <x v="34"/>
    <x v="30"/>
    <x v="12"/>
    <x v="1"/>
    <x v="88"/>
    <x v="15"/>
    <x v="13"/>
    <x v="31"/>
    <x v="625"/>
    <x v="118"/>
    <x v="8"/>
    <x v="610"/>
    <x v="1155"/>
    <x v="291"/>
    <x v="19"/>
  </r>
  <r>
    <x v="292"/>
    <x v="292"/>
    <x v="967"/>
    <x v="4"/>
    <x v="21"/>
    <x v="4"/>
    <x v="30"/>
    <x v="12"/>
    <x v="1"/>
    <x v="88"/>
    <x v="16"/>
    <x v="11"/>
    <x v="31"/>
    <x v="398"/>
    <x v="97"/>
    <x v="3"/>
    <x v="385"/>
    <x v="1005"/>
    <x v="292"/>
    <x v="19"/>
  </r>
  <r>
    <x v="293"/>
    <x v="293"/>
    <x v="966"/>
    <x v="4"/>
    <x v="27"/>
    <x v="46"/>
    <x v="30"/>
    <x v="12"/>
    <x v="1"/>
    <x v="88"/>
    <x v="16"/>
    <x v="12"/>
    <x v="31"/>
    <x v="787"/>
    <x v="314"/>
    <x v="9"/>
    <x v="568"/>
    <x v="1081"/>
    <x v="293"/>
    <x v="19"/>
  </r>
  <r>
    <x v="294"/>
    <x v="294"/>
    <x v="968"/>
    <x v="4"/>
    <x v="45"/>
    <x v="0"/>
    <x v="30"/>
    <x v="12"/>
    <x v="1"/>
    <x v="88"/>
    <x v="16"/>
    <x v="9"/>
    <x v="31"/>
    <x v="155"/>
    <x v="62"/>
    <x v="6"/>
    <x v="157"/>
    <x v="501"/>
    <x v="294"/>
    <x v="19"/>
  </r>
  <r>
    <x v="295"/>
    <x v="295"/>
    <x v="970"/>
    <x v="4"/>
    <x v="10"/>
    <x v="27"/>
    <x v="30"/>
    <x v="12"/>
    <x v="1"/>
    <x v="88"/>
    <x v="15"/>
    <x v="12"/>
    <x v="31"/>
    <x v="458"/>
    <x v="100"/>
    <x v="6"/>
    <x v="441"/>
    <x v="1015"/>
    <x v="295"/>
    <x v="19"/>
  </r>
  <r>
    <x v="296"/>
    <x v="296"/>
    <x v="971"/>
    <x v="4"/>
    <x v="31"/>
    <x v="40"/>
    <x v="30"/>
    <x v="12"/>
    <x v="1"/>
    <x v="88"/>
    <x v="15"/>
    <x v="12"/>
    <x v="31"/>
    <x v="750"/>
    <x v="286"/>
    <x v="8"/>
    <x v="530"/>
    <x v="1060"/>
    <x v="296"/>
    <x v="19"/>
  </r>
  <r>
    <x v="297"/>
    <x v="297"/>
    <x v="972"/>
    <x v="4"/>
    <x v="36"/>
    <x v="29"/>
    <x v="30"/>
    <x v="12"/>
    <x v="1"/>
    <x v="88"/>
    <x v="15"/>
    <x v="12"/>
    <x v="31"/>
    <x v="658"/>
    <x v="203"/>
    <x v="3"/>
    <x v="589"/>
    <x v="1209"/>
    <x v="297"/>
    <x v="19"/>
  </r>
  <r>
    <x v="298"/>
    <x v="298"/>
    <x v="973"/>
    <x v="4"/>
    <x v="39"/>
    <x v="39"/>
    <x v="30"/>
    <x v="12"/>
    <x v="1"/>
    <x v="88"/>
    <x v="16"/>
    <x v="12"/>
    <x v="31"/>
    <x v="629"/>
    <x v="187"/>
    <x v="6"/>
    <x v="559"/>
    <x v="1147"/>
    <x v="298"/>
    <x v="19"/>
  </r>
  <r>
    <x v="299"/>
    <x v="299"/>
    <x v="974"/>
    <x v="4"/>
    <x v="43"/>
    <x v="28"/>
    <x v="30"/>
    <x v="12"/>
    <x v="1"/>
    <x v="88"/>
    <x v="16"/>
    <x v="11"/>
    <x v="31"/>
    <x v="484"/>
    <x v="66"/>
    <x v="4"/>
    <x v="494"/>
    <x v="1110"/>
    <x v="299"/>
    <x v="19"/>
  </r>
  <r>
    <x v="300"/>
    <x v="300"/>
    <x v="977"/>
    <x v="4"/>
    <x v="23"/>
    <x v="45"/>
    <x v="30"/>
    <x v="12"/>
    <x v="1"/>
    <x v="88"/>
    <x v="16"/>
    <x v="10"/>
    <x v="31"/>
    <x v="343"/>
    <x v="109"/>
    <x v="9"/>
    <x v="321"/>
    <x v="684"/>
    <x v="300"/>
    <x v="19"/>
  </r>
  <r>
    <x v="301"/>
    <x v="301"/>
    <x v="978"/>
    <x v="4"/>
    <x v="38"/>
    <x v="12"/>
    <x v="30"/>
    <x v="12"/>
    <x v="1"/>
    <x v="88"/>
    <x v="16"/>
    <x v="10"/>
    <x v="31"/>
    <x v="313"/>
    <x v="74"/>
    <x v="13"/>
    <x v="322"/>
    <x v="541"/>
    <x v="301"/>
    <x v="19"/>
  </r>
  <r>
    <x v="302"/>
    <x v="302"/>
    <x v="975"/>
    <x v="4"/>
    <x v="2"/>
    <x v="18"/>
    <x v="30"/>
    <x v="12"/>
    <x v="1"/>
    <x v="88"/>
    <x v="16"/>
    <x v="10"/>
    <x v="31"/>
    <x v="785"/>
    <x v="354"/>
    <x v="7"/>
    <x v="277"/>
    <x v="687"/>
    <x v="302"/>
    <x v="19"/>
  </r>
  <r>
    <x v="303"/>
    <x v="303"/>
    <x v="976"/>
    <x v="4"/>
    <x v="12"/>
    <x v="17"/>
    <x v="30"/>
    <x v="12"/>
    <x v="1"/>
    <x v="88"/>
    <x v="16"/>
    <x v="12"/>
    <x v="31"/>
    <x v="637"/>
    <x v="152"/>
    <x v="11"/>
    <x v="600"/>
    <x v="1059"/>
    <x v="303"/>
    <x v="19"/>
  </r>
  <r>
    <x v="304"/>
    <x v="304"/>
    <x v="979"/>
    <x v="4"/>
    <x v="33"/>
    <x v="26"/>
    <x v="30"/>
    <x v="12"/>
    <x v="1"/>
    <x v="88"/>
    <x v="16"/>
    <x v="11"/>
    <x v="31"/>
    <x v="466"/>
    <x v="159"/>
    <x v="11"/>
    <x v="392"/>
    <x v="734"/>
    <x v="304"/>
    <x v="19"/>
  </r>
  <r>
    <x v="305"/>
    <x v="305"/>
    <x v="980"/>
    <x v="4"/>
    <x v="24"/>
    <x v="37"/>
    <x v="30"/>
    <x v="12"/>
    <x v="1"/>
    <x v="88"/>
    <x v="16"/>
    <x v="11"/>
    <x v="31"/>
    <x v="457"/>
    <x v="84"/>
    <x v="9"/>
    <x v="454"/>
    <x v="929"/>
    <x v="305"/>
    <x v="19"/>
  </r>
  <r>
    <x v="306"/>
    <x v="306"/>
    <x v="981"/>
    <x v="4"/>
    <x v="25"/>
    <x v="42"/>
    <x v="30"/>
    <x v="12"/>
    <x v="1"/>
    <x v="88"/>
    <x v="16"/>
    <x v="11"/>
    <x v="31"/>
    <x v="369"/>
    <x v="46"/>
    <x v="13"/>
    <x v="403"/>
    <x v="660"/>
    <x v="306"/>
    <x v="19"/>
  </r>
  <r>
    <x v="307"/>
    <x v="307"/>
    <x v="982"/>
    <x v="4"/>
    <x v="34"/>
    <x v="6"/>
    <x v="30"/>
    <x v="12"/>
    <x v="1"/>
    <x v="88"/>
    <x v="16"/>
    <x v="10"/>
    <x v="31"/>
    <x v="333"/>
    <x v="105"/>
    <x v="12"/>
    <x v="315"/>
    <x v="564"/>
    <x v="307"/>
    <x v="19"/>
  </r>
  <r>
    <x v="308"/>
    <x v="308"/>
    <x v="983"/>
    <x v="4"/>
    <x v="4"/>
    <x v="2"/>
    <x v="30"/>
    <x v="12"/>
    <x v="1"/>
    <x v="88"/>
    <x v="16"/>
    <x v="10"/>
    <x v="31"/>
    <x v="180"/>
    <x v="13"/>
    <x v="8"/>
    <x v="228"/>
    <x v="569"/>
    <x v="308"/>
    <x v="19"/>
  </r>
  <r>
    <x v="309"/>
    <x v="311"/>
    <x v="986"/>
    <x v="4"/>
    <x v="15"/>
    <x v="43"/>
    <x v="30"/>
    <x v="12"/>
    <x v="1"/>
    <x v="88"/>
    <x v="16"/>
    <x v="10"/>
    <x v="31"/>
    <x v="294"/>
    <x v="160"/>
    <x v="8"/>
    <x v="226"/>
    <x v="565"/>
    <x v="309"/>
    <x v="20"/>
  </r>
  <r>
    <x v="310"/>
    <x v="309"/>
    <x v="984"/>
    <x v="4"/>
    <x v="3"/>
    <x v="10"/>
    <x v="30"/>
    <x v="12"/>
    <x v="1"/>
    <x v="88"/>
    <x v="16"/>
    <x v="10"/>
    <x v="31"/>
    <x v="203"/>
    <x v="9"/>
    <x v="12"/>
    <x v="264"/>
    <x v="485"/>
    <x v="310"/>
    <x v="20"/>
  </r>
  <r>
    <x v="311"/>
    <x v="310"/>
    <x v="985"/>
    <x v="4"/>
    <x v="47"/>
    <x v="19"/>
    <x v="30"/>
    <x v="12"/>
    <x v="1"/>
    <x v="88"/>
    <x v="16"/>
    <x v="10"/>
    <x v="31"/>
    <x v="431"/>
    <x v="205"/>
    <x v="11"/>
    <x v="312"/>
    <x v="599"/>
    <x v="311"/>
    <x v="20"/>
  </r>
  <r>
    <x v="312"/>
    <x v="312"/>
    <x v="987"/>
    <x v="4"/>
    <x v="35"/>
    <x v="1"/>
    <x v="30"/>
    <x v="12"/>
    <x v="1"/>
    <x v="88"/>
    <x v="16"/>
    <x v="10"/>
    <x v="31"/>
    <x v="204"/>
    <x v="77"/>
    <x v="8"/>
    <x v="197"/>
    <x v="514"/>
    <x v="312"/>
    <x v="20"/>
  </r>
  <r>
    <x v="313"/>
    <x v="313"/>
    <x v="988"/>
    <x v="4"/>
    <x v="6"/>
    <x v="22"/>
    <x v="30"/>
    <x v="12"/>
    <x v="1"/>
    <x v="88"/>
    <x v="16"/>
    <x v="11"/>
    <x v="31"/>
    <x v="516"/>
    <x v="246"/>
    <x v="3"/>
    <x v="346"/>
    <x v="942"/>
    <x v="313"/>
    <x v="20"/>
  </r>
  <r>
    <x v="314"/>
    <x v="314"/>
    <x v="989"/>
    <x v="4"/>
    <x v="5"/>
    <x v="20"/>
    <x v="30"/>
    <x v="12"/>
    <x v="1"/>
    <x v="88"/>
    <x v="16"/>
    <x v="10"/>
    <x v="31"/>
    <x v="445"/>
    <x v="236"/>
    <x v="8"/>
    <x v="290"/>
    <x v="674"/>
    <x v="314"/>
    <x v="20"/>
  </r>
  <r>
    <x v="315"/>
    <x v="315"/>
    <x v="990"/>
    <x v="4"/>
    <x v="26"/>
    <x v="16"/>
    <x v="30"/>
    <x v="12"/>
    <x v="1"/>
    <x v="88"/>
    <x v="16"/>
    <x v="10"/>
    <x v="31"/>
    <x v="286"/>
    <x v="51"/>
    <x v="16"/>
    <x v="316"/>
    <x v="430"/>
    <x v="315"/>
    <x v="20"/>
  </r>
  <r>
    <x v="316"/>
    <x v="316"/>
    <x v="991"/>
    <x v="4"/>
    <x v="13"/>
    <x v="44"/>
    <x v="30"/>
    <x v="12"/>
    <x v="1"/>
    <x v="88"/>
    <x v="16"/>
    <x v="10"/>
    <x v="31"/>
    <x v="328"/>
    <x v="110"/>
    <x v="7"/>
    <x v="305"/>
    <x v="744"/>
    <x v="316"/>
    <x v="20"/>
  </r>
  <r>
    <x v="317"/>
    <x v="318"/>
    <x v="992"/>
    <x v="4"/>
    <x v="16"/>
    <x v="35"/>
    <x v="30"/>
    <x v="12"/>
    <x v="1"/>
    <x v="88"/>
    <x v="16"/>
    <x v="9"/>
    <x v="31"/>
    <x v="92"/>
    <x v="50"/>
    <x v="10"/>
    <x v="101"/>
    <x v="302"/>
    <x v="317"/>
    <x v="20"/>
  </r>
  <r>
    <x v="318"/>
    <x v="319"/>
    <x v="993"/>
    <x v="4"/>
    <x v="8"/>
    <x v="38"/>
    <x v="30"/>
    <x v="12"/>
    <x v="1"/>
    <x v="88"/>
    <x v="16"/>
    <x v="9"/>
    <x v="31"/>
    <x v="173"/>
    <x v="86"/>
    <x v="9"/>
    <x v="157"/>
    <x v="415"/>
    <x v="318"/>
    <x v="20"/>
  </r>
  <r>
    <x v="319"/>
    <x v="317"/>
    <x v="994"/>
    <x v="4"/>
    <x v="1"/>
    <x v="34"/>
    <x v="30"/>
    <x v="12"/>
    <x v="1"/>
    <x v="88"/>
    <x v="16"/>
    <x v="11"/>
    <x v="31"/>
    <x v="523"/>
    <x v="121"/>
    <x v="4"/>
    <x v="484"/>
    <x v="1097"/>
    <x v="319"/>
    <x v="20"/>
  </r>
  <r>
    <x v="320"/>
    <x v="320"/>
    <x v="995"/>
    <x v="4"/>
    <x v="28"/>
    <x v="33"/>
    <x v="30"/>
    <x v="12"/>
    <x v="1"/>
    <x v="88"/>
    <x v="16"/>
    <x v="10"/>
    <x v="31"/>
    <x v="781"/>
    <x v="350"/>
    <x v="10"/>
    <x v="265"/>
    <x v="557"/>
    <x v="320"/>
    <x v="20"/>
  </r>
  <r>
    <x v="321"/>
    <x v="321"/>
    <x v="997"/>
    <x v="4"/>
    <x v="46"/>
    <x v="32"/>
    <x v="30"/>
    <x v="12"/>
    <x v="1"/>
    <x v="88"/>
    <x v="16"/>
    <x v="11"/>
    <x v="31"/>
    <x v="399"/>
    <x v="98"/>
    <x v="11"/>
    <x v="385"/>
    <x v="721"/>
    <x v="321"/>
    <x v="20"/>
  </r>
  <r>
    <x v="322"/>
    <x v="322"/>
    <x v="996"/>
    <x v="4"/>
    <x v="41"/>
    <x v="23"/>
    <x v="30"/>
    <x v="12"/>
    <x v="1"/>
    <x v="88"/>
    <x v="17"/>
    <x v="19"/>
    <x v="31"/>
    <x v="282"/>
    <x v="32"/>
    <x v="7"/>
    <x v="337"/>
    <x v="804"/>
    <x v="322"/>
    <x v="20"/>
  </r>
  <r>
    <x v="323"/>
    <x v="323"/>
    <x v="998"/>
    <x v="4"/>
    <x v="10"/>
    <x v="27"/>
    <x v="30"/>
    <x v="12"/>
    <x v="1"/>
    <x v="88"/>
    <x v="17"/>
    <x v="21"/>
    <x v="31"/>
    <x v="517"/>
    <x v="100"/>
    <x v="14"/>
    <x v="496"/>
    <x v="783"/>
    <x v="323"/>
    <x v="20"/>
  </r>
  <r>
    <x v="324"/>
    <x v="324"/>
    <x v="999"/>
    <x v="4"/>
    <x v="45"/>
    <x v="0"/>
    <x v="30"/>
    <x v="12"/>
    <x v="1"/>
    <x v="88"/>
    <x v="17"/>
    <x v="19"/>
    <x v="31"/>
    <x v="342"/>
    <x v="59"/>
    <x v="12"/>
    <x v="364"/>
    <x v="644"/>
    <x v="324"/>
    <x v="20"/>
  </r>
  <r>
    <x v="325"/>
    <x v="325"/>
    <x v="1000"/>
    <x v="4"/>
    <x v="31"/>
    <x v="40"/>
    <x v="30"/>
    <x v="12"/>
    <x v="1"/>
    <x v="88"/>
    <x v="17"/>
    <x v="22"/>
    <x v="31"/>
    <x v="780"/>
    <x v="292"/>
    <x v="4"/>
    <x v="647"/>
    <x v="1241"/>
    <x v="325"/>
    <x v="20"/>
  </r>
  <r>
    <x v="326"/>
    <x v="326"/>
    <x v="1003"/>
    <x v="4"/>
    <x v="23"/>
    <x v="45"/>
    <x v="30"/>
    <x v="12"/>
    <x v="1"/>
    <x v="88"/>
    <x v="17"/>
    <x v="19"/>
    <x v="31"/>
    <x v="398"/>
    <x v="107"/>
    <x v="4"/>
    <x v="377"/>
    <x v="961"/>
    <x v="326"/>
    <x v="20"/>
  </r>
  <r>
    <x v="327"/>
    <x v="327"/>
    <x v="1002"/>
    <x v="4"/>
    <x v="29"/>
    <x v="15"/>
    <x v="30"/>
    <x v="12"/>
    <x v="1"/>
    <x v="88"/>
    <x v="17"/>
    <x v="19"/>
    <x v="31"/>
    <x v="392"/>
    <x v="100"/>
    <x v="6"/>
    <x v="378"/>
    <x v="918"/>
    <x v="327"/>
    <x v="20"/>
  </r>
  <r>
    <x v="328"/>
    <x v="328"/>
    <x v="1004"/>
    <x v="4"/>
    <x v="43"/>
    <x v="28"/>
    <x v="30"/>
    <x v="12"/>
    <x v="1"/>
    <x v="88"/>
    <x v="17"/>
    <x v="21"/>
    <x v="31"/>
    <x v="552"/>
    <x v="65"/>
    <x v="6"/>
    <x v="567"/>
    <x v="1153"/>
    <x v="328"/>
    <x v="20"/>
  </r>
  <r>
    <x v="329"/>
    <x v="329"/>
    <x v="1001"/>
    <x v="4"/>
    <x v="39"/>
    <x v="39"/>
    <x v="30"/>
    <x v="12"/>
    <x v="1"/>
    <x v="88"/>
    <x v="17"/>
    <x v="21"/>
    <x v="31"/>
    <x v="569"/>
    <x v="166"/>
    <x v="8"/>
    <x v="495"/>
    <x v="1024"/>
    <x v="329"/>
    <x v="20"/>
  </r>
  <r>
    <x v="330"/>
    <x v="330"/>
    <x v="1005"/>
    <x v="4"/>
    <x v="33"/>
    <x v="26"/>
    <x v="30"/>
    <x v="12"/>
    <x v="1"/>
    <x v="88"/>
    <x v="17"/>
    <x v="21"/>
    <x v="31"/>
    <x v="450"/>
    <x v="158"/>
    <x v="4"/>
    <x v="379"/>
    <x v="967"/>
    <x v="330"/>
    <x v="20"/>
  </r>
  <r>
    <x v="331"/>
    <x v="331"/>
    <x v="1007"/>
    <x v="4"/>
    <x v="36"/>
    <x v="29"/>
    <x v="30"/>
    <x v="12"/>
    <x v="1"/>
    <x v="88"/>
    <x v="17"/>
    <x v="22"/>
    <x v="31"/>
    <x v="645"/>
    <x v="204"/>
    <x v="4"/>
    <x v="565"/>
    <x v="1177"/>
    <x v="331"/>
    <x v="20"/>
  </r>
  <r>
    <x v="332"/>
    <x v="332"/>
    <x v="1006"/>
    <x v="4"/>
    <x v="9"/>
    <x v="41"/>
    <x v="29"/>
    <x v="3"/>
    <x v="1"/>
    <x v="88"/>
    <x v="17"/>
    <x v="13"/>
    <x v="30"/>
    <x v="720"/>
    <x v="253"/>
    <x v="12"/>
    <x v="608"/>
    <x v="1040"/>
    <x v="332"/>
    <x v="21"/>
  </r>
  <r>
    <x v="333"/>
    <x v="333"/>
    <x v="1008"/>
    <x v="4"/>
    <x v="17"/>
    <x v="11"/>
    <x v="29"/>
    <x v="3"/>
    <x v="1"/>
    <x v="88"/>
    <x v="17"/>
    <x v="10"/>
    <x v="30"/>
    <x v="103"/>
    <x v="77"/>
    <x v="7"/>
    <x v="99"/>
    <x v="359"/>
    <x v="333"/>
    <x v="21"/>
  </r>
  <r>
    <x v="334"/>
    <x v="334"/>
    <x v="1009"/>
    <x v="4"/>
    <x v="11"/>
    <x v="31"/>
    <x v="29"/>
    <x v="3"/>
    <x v="1"/>
    <x v="88"/>
    <x v="17"/>
    <x v="11"/>
    <x v="30"/>
    <x v="270"/>
    <x v="100"/>
    <x v="4"/>
    <x v="252"/>
    <x v="726"/>
    <x v="334"/>
    <x v="21"/>
  </r>
  <r>
    <x v="335"/>
    <x v="335"/>
    <x v="1015"/>
    <x v="4"/>
    <x v="3"/>
    <x v="10"/>
    <x v="29"/>
    <x v="3"/>
    <x v="1"/>
    <x v="88"/>
    <x v="17"/>
    <x v="11"/>
    <x v="30"/>
    <x v="177"/>
    <x v="10"/>
    <x v="6"/>
    <x v="228"/>
    <x v="641"/>
    <x v="335"/>
    <x v="21"/>
  </r>
  <r>
    <x v="336"/>
    <x v="336"/>
    <x v="1011"/>
    <x v="4"/>
    <x v="27"/>
    <x v="46"/>
    <x v="29"/>
    <x v="3"/>
    <x v="1"/>
    <x v="88"/>
    <x v="17"/>
    <x v="12"/>
    <x v="30"/>
    <x v="747"/>
    <x v="314"/>
    <x v="7"/>
    <x v="383"/>
    <x v="893"/>
    <x v="336"/>
    <x v="21"/>
  </r>
  <r>
    <x v="337"/>
    <x v="337"/>
    <x v="1010"/>
    <x v="4"/>
    <x v="4"/>
    <x v="2"/>
    <x v="29"/>
    <x v="3"/>
    <x v="1"/>
    <x v="88"/>
    <x v="17"/>
    <x v="11"/>
    <x v="30"/>
    <x v="139"/>
    <x v="15"/>
    <x v="7"/>
    <x v="181"/>
    <x v="516"/>
    <x v="337"/>
    <x v="21"/>
  </r>
  <r>
    <x v="338"/>
    <x v="338"/>
    <x v="1016"/>
    <x v="4"/>
    <x v="21"/>
    <x v="4"/>
    <x v="29"/>
    <x v="3"/>
    <x v="1"/>
    <x v="88"/>
    <x v="17"/>
    <x v="11"/>
    <x v="30"/>
    <x v="271"/>
    <x v="106"/>
    <x v="2"/>
    <x v="248"/>
    <x v="802"/>
    <x v="338"/>
    <x v="21"/>
  </r>
  <r>
    <x v="339"/>
    <x v="339"/>
    <x v="1017"/>
    <x v="4"/>
    <x v="2"/>
    <x v="18"/>
    <x v="29"/>
    <x v="3"/>
    <x v="1"/>
    <x v="88"/>
    <x v="17"/>
    <x v="11"/>
    <x v="30"/>
    <x v="782"/>
    <x v="359"/>
    <x v="4"/>
    <x v="259"/>
    <x v="738"/>
    <x v="339"/>
    <x v="21"/>
  </r>
  <r>
    <x v="340"/>
    <x v="340"/>
    <x v="1014"/>
    <x v="4"/>
    <x v="12"/>
    <x v="17"/>
    <x v="29"/>
    <x v="3"/>
    <x v="1"/>
    <x v="88"/>
    <x v="17"/>
    <x v="13"/>
    <x v="30"/>
    <x v="640"/>
    <x v="159"/>
    <x v="4"/>
    <x v="599"/>
    <x v="1205"/>
    <x v="340"/>
    <x v="21"/>
  </r>
  <r>
    <x v="341"/>
    <x v="341"/>
    <x v="1018"/>
    <x v="4"/>
    <x v="30"/>
    <x v="30"/>
    <x v="29"/>
    <x v="3"/>
    <x v="1"/>
    <x v="88"/>
    <x v="17"/>
    <x v="11"/>
    <x v="30"/>
    <x v="191"/>
    <x v="77"/>
    <x v="4"/>
    <x v="181"/>
    <x v="587"/>
    <x v="341"/>
    <x v="21"/>
  </r>
  <r>
    <x v="342"/>
    <x v="342"/>
    <x v="1019"/>
    <x v="4"/>
    <x v="0"/>
    <x v="36"/>
    <x v="29"/>
    <x v="3"/>
    <x v="1"/>
    <x v="88"/>
    <x v="17"/>
    <x v="11"/>
    <x v="30"/>
    <x v="252"/>
    <x v="94"/>
    <x v="7"/>
    <x v="239"/>
    <x v="633"/>
    <x v="342"/>
    <x v="21"/>
  </r>
  <r>
    <x v="343"/>
    <x v="343"/>
    <x v="1020"/>
    <x v="4"/>
    <x v="25"/>
    <x v="42"/>
    <x v="29"/>
    <x v="3"/>
    <x v="1"/>
    <x v="88"/>
    <x v="18"/>
    <x v="13"/>
    <x v="30"/>
    <x v="303"/>
    <x v="46"/>
    <x v="4"/>
    <x v="337"/>
    <x v="889"/>
    <x v="343"/>
    <x v="21"/>
  </r>
  <r>
    <x v="344"/>
    <x v="344"/>
    <x v="1021"/>
    <x v="4"/>
    <x v="34"/>
    <x v="6"/>
    <x v="29"/>
    <x v="3"/>
    <x v="1"/>
    <x v="88"/>
    <x v="18"/>
    <x v="13"/>
    <x v="30"/>
    <x v="303"/>
    <x v="107"/>
    <x v="3"/>
    <x v="283"/>
    <x v="832"/>
    <x v="344"/>
    <x v="21"/>
  </r>
  <r>
    <x v="345"/>
    <x v="345"/>
    <x v="1012"/>
    <x v="4"/>
    <x v="13"/>
    <x v="44"/>
    <x v="29"/>
    <x v="3"/>
    <x v="1"/>
    <x v="88"/>
    <x v="18"/>
    <x v="13"/>
    <x v="30"/>
    <x v="319"/>
    <x v="106"/>
    <x v="4"/>
    <x v="299"/>
    <x v="822"/>
    <x v="345"/>
    <x v="21"/>
  </r>
  <r>
    <x v="346"/>
    <x v="346"/>
    <x v="1013"/>
    <x v="4"/>
    <x v="20"/>
    <x v="16"/>
    <x v="29"/>
    <x v="3"/>
    <x v="1"/>
    <x v="88"/>
    <x v="18"/>
    <x v="13"/>
    <x v="30"/>
    <x v="251"/>
    <x v="48"/>
    <x v="7"/>
    <x v="278"/>
    <x v="692"/>
    <x v="346"/>
    <x v="21"/>
  </r>
  <r>
    <x v="347"/>
    <x v="347"/>
    <x v="1022"/>
    <x v="4"/>
    <x v="19"/>
    <x v="21"/>
    <x v="29"/>
    <x v="3"/>
    <x v="1"/>
    <x v="88"/>
    <x v="18"/>
    <x v="13"/>
    <x v="30"/>
    <x v="353"/>
    <x v="141"/>
    <x v="2"/>
    <x v="299"/>
    <x v="904"/>
    <x v="347"/>
    <x v="21"/>
  </r>
  <r>
    <x v="348"/>
    <x v="348"/>
    <x v="1023"/>
    <x v="4"/>
    <x v="42"/>
    <x v="5"/>
    <x v="29"/>
    <x v="3"/>
    <x v="1"/>
    <x v="88"/>
    <x v="18"/>
    <x v="14"/>
    <x v="30"/>
    <x v="426"/>
    <x v="96"/>
    <x v="6"/>
    <x v="414"/>
    <x v="985"/>
    <x v="348"/>
    <x v="21"/>
  </r>
  <r>
    <x v="349"/>
    <x v="349"/>
    <x v="1025"/>
    <x v="4"/>
    <x v="46"/>
    <x v="32"/>
    <x v="29"/>
    <x v="3"/>
    <x v="1"/>
    <x v="88"/>
    <x v="18"/>
    <x v="14"/>
    <x v="30"/>
    <x v="464"/>
    <x v="101"/>
    <x v="8"/>
    <x v="445"/>
    <x v="956"/>
    <x v="349"/>
    <x v="21"/>
  </r>
  <r>
    <x v="350"/>
    <x v="350"/>
    <x v="1024"/>
    <x v="4"/>
    <x v="41"/>
    <x v="23"/>
    <x v="29"/>
    <x v="3"/>
    <x v="1"/>
    <x v="88"/>
    <x v="18"/>
    <x v="13"/>
    <x v="30"/>
    <x v="251"/>
    <x v="35"/>
    <x v="4"/>
    <x v="296"/>
    <x v="812"/>
    <x v="350"/>
    <x v="21"/>
  </r>
  <r>
    <x v="351"/>
    <x v="351"/>
    <x v="1026"/>
    <x v="4"/>
    <x v="15"/>
    <x v="43"/>
    <x v="29"/>
    <x v="3"/>
    <x v="1"/>
    <x v="88"/>
    <x v="18"/>
    <x v="13"/>
    <x v="30"/>
    <x v="349"/>
    <x v="159"/>
    <x v="7"/>
    <x v="281"/>
    <x v="696"/>
    <x v="351"/>
    <x v="22"/>
  </r>
  <r>
    <x v="352"/>
    <x v="352"/>
    <x v="1027"/>
    <x v="4"/>
    <x v="35"/>
    <x v="1"/>
    <x v="29"/>
    <x v="3"/>
    <x v="1"/>
    <x v="88"/>
    <x v="18"/>
    <x v="13"/>
    <x v="30"/>
    <x v="217"/>
    <x v="74"/>
    <x v="1"/>
    <x v="212"/>
    <x v="766"/>
    <x v="352"/>
    <x v="22"/>
  </r>
  <r>
    <x v="353"/>
    <x v="353"/>
    <x v="1028"/>
    <x v="4"/>
    <x v="47"/>
    <x v="19"/>
    <x v="29"/>
    <x v="3"/>
    <x v="1"/>
    <x v="88"/>
    <x v="18"/>
    <x v="14"/>
    <x v="30"/>
    <x v="524"/>
    <x v="222"/>
    <x v="3"/>
    <x v="379"/>
    <x v="997"/>
    <x v="353"/>
    <x v="22"/>
  </r>
  <r>
    <x v="354"/>
    <x v="354"/>
    <x v="1029"/>
    <x v="4"/>
    <x v="31"/>
    <x v="40"/>
    <x v="29"/>
    <x v="3"/>
    <x v="1"/>
    <x v="88"/>
    <x v="18"/>
    <x v="15"/>
    <x v="30"/>
    <x v="745"/>
    <x v="285"/>
    <x v="8"/>
    <x v="524"/>
    <x v="1052"/>
    <x v="354"/>
    <x v="22"/>
  </r>
  <r>
    <x v="355"/>
    <x v="355"/>
    <x v="1030"/>
    <x v="4"/>
    <x v="6"/>
    <x v="22"/>
    <x v="29"/>
    <x v="3"/>
    <x v="1"/>
    <x v="88"/>
    <x v="18"/>
    <x v="13"/>
    <x v="30"/>
    <x v="475"/>
    <x v="242"/>
    <x v="6"/>
    <x v="308"/>
    <x v="794"/>
    <x v="355"/>
    <x v="22"/>
  </r>
  <r>
    <x v="356"/>
    <x v="356"/>
    <x v="1032"/>
    <x v="4"/>
    <x v="23"/>
    <x v="45"/>
    <x v="29"/>
    <x v="3"/>
    <x v="1"/>
    <x v="88"/>
    <x v="18"/>
    <x v="13"/>
    <x v="30"/>
    <x v="318"/>
    <x v="108"/>
    <x v="3"/>
    <x v="297"/>
    <x v="855"/>
    <x v="356"/>
    <x v="22"/>
  </r>
  <r>
    <x v="357"/>
    <x v="357"/>
    <x v="1031"/>
    <x v="4"/>
    <x v="5"/>
    <x v="20"/>
    <x v="29"/>
    <x v="3"/>
    <x v="1"/>
    <x v="88"/>
    <x v="18"/>
    <x v="13"/>
    <x v="30"/>
    <x v="461"/>
    <x v="235"/>
    <x v="3"/>
    <x v="304"/>
    <x v="871"/>
    <x v="357"/>
    <x v="22"/>
  </r>
  <r>
    <x v="358"/>
    <x v="358"/>
    <x v="1034"/>
    <x v="4"/>
    <x v="38"/>
    <x v="12"/>
    <x v="29"/>
    <x v="3"/>
    <x v="1"/>
    <x v="88"/>
    <x v="18"/>
    <x v="13"/>
    <x v="30"/>
    <x v="237"/>
    <x v="73"/>
    <x v="3"/>
    <x v="239"/>
    <x v="739"/>
    <x v="358"/>
    <x v="22"/>
  </r>
  <r>
    <x v="359"/>
    <x v="359"/>
    <x v="1033"/>
    <x v="4"/>
    <x v="29"/>
    <x v="15"/>
    <x v="29"/>
    <x v="3"/>
    <x v="1"/>
    <x v="88"/>
    <x v="18"/>
    <x v="13"/>
    <x v="30"/>
    <x v="332"/>
    <x v="99"/>
    <x v="4"/>
    <x v="319"/>
    <x v="854"/>
    <x v="359"/>
    <x v="22"/>
  </r>
  <r>
    <x v="360"/>
    <x v="360"/>
    <x v="1035"/>
    <x v="4"/>
    <x v="36"/>
    <x v="29"/>
    <x v="29"/>
    <x v="3"/>
    <x v="1"/>
    <x v="88"/>
    <x v="18"/>
    <x v="14"/>
    <x v="30"/>
    <x v="586"/>
    <x v="202"/>
    <x v="9"/>
    <x v="482"/>
    <x v="976"/>
    <x v="360"/>
    <x v="22"/>
  </r>
  <r>
    <x v="361"/>
    <x v="361"/>
    <x v="1036"/>
    <x v="4"/>
    <x v="33"/>
    <x v="26"/>
    <x v="29"/>
    <x v="3"/>
    <x v="1"/>
    <x v="88"/>
    <x v="18"/>
    <x v="14"/>
    <x v="30"/>
    <x v="414"/>
    <x v="157"/>
    <x v="6"/>
    <x v="346"/>
    <x v="862"/>
    <x v="361"/>
    <x v="22"/>
  </r>
  <r>
    <x v="362"/>
    <x v="362"/>
    <x v="1037"/>
    <x v="4"/>
    <x v="39"/>
    <x v="39"/>
    <x v="29"/>
    <x v="3"/>
    <x v="1"/>
    <x v="88"/>
    <x v="18"/>
    <x v="14"/>
    <x v="30"/>
    <x v="542"/>
    <x v="189"/>
    <x v="7"/>
    <x v="441"/>
    <x v="990"/>
    <x v="362"/>
    <x v="22"/>
  </r>
  <r>
    <x v="363"/>
    <x v="363"/>
    <x v="1038"/>
    <x v="4"/>
    <x v="1"/>
    <x v="34"/>
    <x v="29"/>
    <x v="3"/>
    <x v="1"/>
    <x v="88"/>
    <x v="19"/>
    <x v="6"/>
    <x v="30"/>
    <x v="614"/>
    <x v="117"/>
    <x v="6"/>
    <x v="597"/>
    <x v="1190"/>
    <x v="363"/>
    <x v="22"/>
  </r>
  <r>
    <x v="364"/>
    <x v="364"/>
    <x v="1039"/>
    <x v="4"/>
    <x v="43"/>
    <x v="28"/>
    <x v="29"/>
    <x v="3"/>
    <x v="1"/>
    <x v="88"/>
    <x v="19"/>
    <x v="6"/>
    <x v="30"/>
    <x v="455"/>
    <x v="63"/>
    <x v="4"/>
    <x v="471"/>
    <x v="1082"/>
    <x v="364"/>
    <x v="22"/>
  </r>
  <r>
    <x v="365"/>
    <x v="365"/>
    <x v="1040"/>
    <x v="4"/>
    <x v="27"/>
    <x v="46"/>
    <x v="29"/>
    <x v="3"/>
    <x v="1"/>
    <x v="88"/>
    <x v="19"/>
    <x v="6"/>
    <x v="30"/>
    <x v="743"/>
    <x v="319"/>
    <x v="10"/>
    <x v="372"/>
    <x v="741"/>
    <x v="365"/>
    <x v="22"/>
  </r>
  <r>
    <x v="366"/>
    <x v="366"/>
    <x v="1041"/>
    <x v="4"/>
    <x v="10"/>
    <x v="27"/>
    <x v="29"/>
    <x v="12"/>
    <x v="1"/>
    <x v="88"/>
    <x v="19"/>
    <x v="12"/>
    <x v="30"/>
    <x v="538"/>
    <x v="97"/>
    <x v="11"/>
    <x v="524"/>
    <x v="962"/>
    <x v="366"/>
    <x v="22"/>
  </r>
  <r>
    <x v="367"/>
    <x v="367"/>
    <x v="1042"/>
    <x v="4"/>
    <x v="45"/>
    <x v="0"/>
    <x v="29"/>
    <x v="12"/>
    <x v="1"/>
    <x v="88"/>
    <x v="19"/>
    <x v="10"/>
    <x v="30"/>
    <x v="249"/>
    <x v="57"/>
    <x v="12"/>
    <x v="267"/>
    <x v="492"/>
    <x v="367"/>
    <x v="22"/>
  </r>
  <r>
    <x v="368"/>
    <x v="369"/>
    <x v="1044"/>
    <x v="4"/>
    <x v="11"/>
    <x v="31"/>
    <x v="29"/>
    <x v="12"/>
    <x v="1"/>
    <x v="88"/>
    <x v="19"/>
    <x v="11"/>
    <x v="30"/>
    <x v="362"/>
    <x v="83"/>
    <x v="8"/>
    <x v="363"/>
    <x v="811"/>
    <x v="368"/>
    <x v="23"/>
  </r>
  <r>
    <x v="369"/>
    <x v="368"/>
    <x v="1043"/>
    <x v="4"/>
    <x v="9"/>
    <x v="41"/>
    <x v="29"/>
    <x v="12"/>
    <x v="1"/>
    <x v="88"/>
    <x v="19"/>
    <x v="11"/>
    <x v="30"/>
    <x v="612"/>
    <x v="251"/>
    <x v="7"/>
    <x v="436"/>
    <x v="978"/>
    <x v="369"/>
    <x v="22"/>
  </r>
  <r>
    <x v="370"/>
    <x v="370"/>
    <x v="1045"/>
    <x v="4"/>
    <x v="17"/>
    <x v="11"/>
    <x v="29"/>
    <x v="12"/>
    <x v="1"/>
    <x v="88"/>
    <x v="19"/>
    <x v="10"/>
    <x v="30"/>
    <x v="205"/>
    <x v="80"/>
    <x v="8"/>
    <x v="196"/>
    <x v="511"/>
    <x v="370"/>
    <x v="23"/>
  </r>
  <r>
    <x v="371"/>
    <x v="371"/>
    <x v="1046"/>
    <x v="4"/>
    <x v="2"/>
    <x v="18"/>
    <x v="29"/>
    <x v="12"/>
    <x v="1"/>
    <x v="88"/>
    <x v="19"/>
    <x v="11"/>
    <x v="30"/>
    <x v="784"/>
    <x v="346"/>
    <x v="8"/>
    <x v="285"/>
    <x v="661"/>
    <x v="371"/>
    <x v="23"/>
  </r>
  <r>
    <x v="372"/>
    <x v="372"/>
    <x v="1047"/>
    <x v="4"/>
    <x v="12"/>
    <x v="17"/>
    <x v="29"/>
    <x v="12"/>
    <x v="1"/>
    <x v="88"/>
    <x v="19"/>
    <x v="13"/>
    <x v="30"/>
    <x v="684"/>
    <x v="152"/>
    <x v="11"/>
    <x v="651"/>
    <x v="1144"/>
    <x v="372"/>
    <x v="23"/>
  </r>
  <r>
    <x v="373"/>
    <x v="373"/>
    <x v="1048"/>
    <x v="4"/>
    <x v="30"/>
    <x v="30"/>
    <x v="27"/>
    <x v="6"/>
    <x v="1"/>
    <x v="88"/>
    <x v="19"/>
    <x v="14"/>
    <x v="28"/>
    <x v="262"/>
    <x v="76"/>
    <x v="7"/>
    <x v="264"/>
    <x v="667"/>
    <x v="373"/>
    <x v="23"/>
  </r>
  <r>
    <x v="374"/>
    <x v="374"/>
    <x v="1049"/>
    <x v="4"/>
    <x v="0"/>
    <x v="36"/>
    <x v="27"/>
    <x v="6"/>
    <x v="1"/>
    <x v="88"/>
    <x v="19"/>
    <x v="14"/>
    <x v="28"/>
    <x v="208"/>
    <x v="89"/>
    <x v="18"/>
    <x v="194"/>
    <x v="273"/>
    <x v="374"/>
    <x v="23"/>
  </r>
  <r>
    <x v="375"/>
    <x v="375"/>
    <x v="1051"/>
    <x v="4"/>
    <x v="4"/>
    <x v="2"/>
    <x v="27"/>
    <x v="6"/>
    <x v="1"/>
    <x v="88"/>
    <x v="19"/>
    <x v="13"/>
    <x v="28"/>
    <x v="100"/>
    <x v="14"/>
    <x v="8"/>
    <x v="129"/>
    <x v="396"/>
    <x v="375"/>
    <x v="23"/>
  </r>
  <r>
    <x v="376"/>
    <x v="376"/>
    <x v="1050"/>
    <x v="4"/>
    <x v="46"/>
    <x v="32"/>
    <x v="27"/>
    <x v="6"/>
    <x v="1"/>
    <x v="88"/>
    <x v="19"/>
    <x v="16"/>
    <x v="28"/>
    <x v="520"/>
    <x v="99"/>
    <x v="6"/>
    <x v="499"/>
    <x v="1089"/>
    <x v="376"/>
    <x v="23"/>
  </r>
  <r>
    <x v="377"/>
    <x v="377"/>
    <x v="1052"/>
    <x v="4"/>
    <x v="47"/>
    <x v="19"/>
    <x v="27"/>
    <x v="6"/>
    <x v="1"/>
    <x v="88"/>
    <x v="19"/>
    <x v="14"/>
    <x v="28"/>
    <x v="378"/>
    <x v="214"/>
    <x v="15"/>
    <x v="250"/>
    <x v="387"/>
    <x v="377"/>
    <x v="23"/>
  </r>
  <r>
    <x v="378"/>
    <x v="378"/>
    <x v="1053"/>
    <x v="4"/>
    <x v="13"/>
    <x v="44"/>
    <x v="27"/>
    <x v="6"/>
    <x v="1"/>
    <x v="88"/>
    <x v="19"/>
    <x v="15"/>
    <x v="28"/>
    <x v="311"/>
    <x v="104"/>
    <x v="8"/>
    <x v="292"/>
    <x v="676"/>
    <x v="378"/>
    <x v="23"/>
  </r>
  <r>
    <x v="379"/>
    <x v="379"/>
    <x v="1054"/>
    <x v="4"/>
    <x v="20"/>
    <x v="16"/>
    <x v="27"/>
    <x v="6"/>
    <x v="1"/>
    <x v="88"/>
    <x v="19"/>
    <x v="14"/>
    <x v="28"/>
    <x v="179"/>
    <x v="47"/>
    <x v="4"/>
    <x v="186"/>
    <x v="601"/>
    <x v="379"/>
    <x v="23"/>
  </r>
  <r>
    <x v="380"/>
    <x v="380"/>
    <x v="1055"/>
    <x v="4"/>
    <x v="25"/>
    <x v="42"/>
    <x v="27"/>
    <x v="6"/>
    <x v="1"/>
    <x v="88"/>
    <x v="19"/>
    <x v="14"/>
    <x v="28"/>
    <x v="182"/>
    <x v="43"/>
    <x v="6"/>
    <x v="197"/>
    <x v="586"/>
    <x v="380"/>
    <x v="23"/>
  </r>
  <r>
    <x v="381"/>
    <x v="381"/>
    <x v="1056"/>
    <x v="4"/>
    <x v="34"/>
    <x v="6"/>
    <x v="27"/>
    <x v="6"/>
    <x v="1"/>
    <x v="88"/>
    <x v="19"/>
    <x v="14"/>
    <x v="28"/>
    <x v="235"/>
    <x v="104"/>
    <x v="10"/>
    <x v="209"/>
    <x v="467"/>
    <x v="381"/>
    <x v="23"/>
  </r>
  <r>
    <x v="382"/>
    <x v="382"/>
    <x v="1057"/>
    <x v="4"/>
    <x v="19"/>
    <x v="21"/>
    <x v="27"/>
    <x v="6"/>
    <x v="1"/>
    <x v="88"/>
    <x v="20"/>
    <x v="18"/>
    <x v="28"/>
    <x v="261"/>
    <x v="140"/>
    <x v="12"/>
    <x v="206"/>
    <x v="413"/>
    <x v="382"/>
    <x v="23"/>
  </r>
  <r>
    <x v="383"/>
    <x v="383"/>
    <x v="1059"/>
    <x v="4"/>
    <x v="15"/>
    <x v="43"/>
    <x v="27"/>
    <x v="6"/>
    <x v="1"/>
    <x v="88"/>
    <x v="20"/>
    <x v="17"/>
    <x v="28"/>
    <x v="230"/>
    <x v="155"/>
    <x v="12"/>
    <x v="166"/>
    <x v="363"/>
    <x v="383"/>
    <x v="23"/>
  </r>
  <r>
    <x v="384"/>
    <x v="384"/>
    <x v="1060"/>
    <x v="4"/>
    <x v="6"/>
    <x v="22"/>
    <x v="27"/>
    <x v="6"/>
    <x v="1"/>
    <x v="88"/>
    <x v="20"/>
    <x v="18"/>
    <x v="28"/>
    <x v="403"/>
    <x v="240"/>
    <x v="17"/>
    <x v="246"/>
    <x v="340"/>
    <x v="384"/>
    <x v="23"/>
  </r>
  <r>
    <x v="385"/>
    <x v="385"/>
    <x v="1058"/>
    <x v="4"/>
    <x v="35"/>
    <x v="1"/>
    <x v="27"/>
    <x v="6"/>
    <x v="1"/>
    <x v="88"/>
    <x v="20"/>
    <x v="18"/>
    <x v="28"/>
    <x v="270"/>
    <x v="66"/>
    <x v="14"/>
    <x v="283"/>
    <x v="447"/>
    <x v="385"/>
    <x v="23"/>
  </r>
  <r>
    <x v="386"/>
    <x v="386"/>
    <x v="1061"/>
    <x v="4"/>
    <x v="5"/>
    <x v="20"/>
    <x v="27"/>
    <x v="6"/>
    <x v="1"/>
    <x v="88"/>
    <x v="20"/>
    <x v="17"/>
    <x v="28"/>
    <x v="362"/>
    <x v="241"/>
    <x v="22"/>
    <x v="203"/>
    <x v="213"/>
    <x v="386"/>
    <x v="23"/>
  </r>
  <r>
    <x v="387"/>
    <x v="387"/>
    <x v="1062"/>
    <x v="4"/>
    <x v="16"/>
    <x v="35"/>
    <x v="27"/>
    <x v="6"/>
    <x v="1"/>
    <x v="88"/>
    <x v="20"/>
    <x v="16"/>
    <x v="28"/>
    <x v="82"/>
    <x v="48"/>
    <x v="6"/>
    <x v="96"/>
    <x v="365"/>
    <x v="387"/>
    <x v="23"/>
  </r>
  <r>
    <x v="388"/>
    <x v="388"/>
    <x v="1063"/>
    <x v="4"/>
    <x v="29"/>
    <x v="15"/>
    <x v="27"/>
    <x v="6"/>
    <x v="1"/>
    <x v="88"/>
    <x v="20"/>
    <x v="19"/>
    <x v="28"/>
    <x v="395"/>
    <x v="95"/>
    <x v="6"/>
    <x v="384"/>
    <x v="932"/>
    <x v="388"/>
    <x v="23"/>
  </r>
  <r>
    <x v="389"/>
    <x v="389"/>
    <x v="1064"/>
    <x v="4"/>
    <x v="33"/>
    <x v="26"/>
    <x v="27"/>
    <x v="6"/>
    <x v="1"/>
    <x v="88"/>
    <x v="20"/>
    <x v="20"/>
    <x v="28"/>
    <x v="494"/>
    <x v="160"/>
    <x v="9"/>
    <x v="419"/>
    <x v="865"/>
    <x v="389"/>
    <x v="23"/>
  </r>
  <r>
    <x v="390"/>
    <x v="390"/>
    <x v="1065"/>
    <x v="4"/>
    <x v="42"/>
    <x v="5"/>
    <x v="27"/>
    <x v="6"/>
    <x v="1"/>
    <x v="88"/>
    <x v="20"/>
    <x v="18"/>
    <x v="28"/>
    <x v="288"/>
    <x v="91"/>
    <x v="13"/>
    <x v="283"/>
    <x v="478"/>
    <x v="390"/>
    <x v="23"/>
  </r>
  <r>
    <x v="391"/>
    <x v="391"/>
    <x v="1066"/>
    <x v="4"/>
    <x v="38"/>
    <x v="12"/>
    <x v="27"/>
    <x v="12"/>
    <x v="1"/>
    <x v="88"/>
    <x v="20"/>
    <x v="14"/>
    <x v="28"/>
    <x v="274"/>
    <x v="71"/>
    <x v="9"/>
    <x v="285"/>
    <x v="635"/>
    <x v="391"/>
    <x v="23"/>
  </r>
  <r>
    <x v="392"/>
    <x v="392"/>
    <x v="1068"/>
    <x v="4"/>
    <x v="10"/>
    <x v="27"/>
    <x v="27"/>
    <x v="12"/>
    <x v="1"/>
    <x v="88"/>
    <x v="20"/>
    <x v="15"/>
    <x v="28"/>
    <x v="451"/>
    <x v="100"/>
    <x v="14"/>
    <x v="435"/>
    <x v="672"/>
    <x v="392"/>
    <x v="24"/>
  </r>
  <r>
    <x v="393"/>
    <x v="393"/>
    <x v="1067"/>
    <x v="4"/>
    <x v="31"/>
    <x v="40"/>
    <x v="27"/>
    <x v="12"/>
    <x v="1"/>
    <x v="88"/>
    <x v="20"/>
    <x v="16"/>
    <x v="28"/>
    <x v="769"/>
    <x v="291"/>
    <x v="9"/>
    <x v="607"/>
    <x v="1133"/>
    <x v="393"/>
    <x v="24"/>
  </r>
  <r>
    <x v="394"/>
    <x v="394"/>
    <x v="1069"/>
    <x v="4"/>
    <x v="39"/>
    <x v="39"/>
    <x v="27"/>
    <x v="12"/>
    <x v="1"/>
    <x v="88"/>
    <x v="20"/>
    <x v="15"/>
    <x v="28"/>
    <x v="603"/>
    <x v="165"/>
    <x v="7"/>
    <x v="542"/>
    <x v="1107"/>
    <x v="394"/>
    <x v="24"/>
  </r>
  <r>
    <x v="395"/>
    <x v="395"/>
    <x v="1070"/>
    <x v="4"/>
    <x v="23"/>
    <x v="45"/>
    <x v="27"/>
    <x v="12"/>
    <x v="1"/>
    <x v="88"/>
    <x v="20"/>
    <x v="14"/>
    <x v="28"/>
    <x v="302"/>
    <x v="108"/>
    <x v="9"/>
    <x v="281"/>
    <x v="629"/>
    <x v="395"/>
    <x v="24"/>
  </r>
  <r>
    <x v="396"/>
    <x v="397"/>
    <x v="1073"/>
    <x v="4"/>
    <x v="11"/>
    <x v="31"/>
    <x v="27"/>
    <x v="12"/>
    <x v="1"/>
    <x v="88"/>
    <x v="20"/>
    <x v="3"/>
    <x v="28"/>
    <x v="0"/>
    <x v="1"/>
    <x v="6"/>
    <x v="1"/>
    <x v="1"/>
    <x v="396"/>
    <x v="24"/>
  </r>
  <r>
    <x v="397"/>
    <x v="396"/>
    <x v="1071"/>
    <x v="4"/>
    <x v="43"/>
    <x v="28"/>
    <x v="27"/>
    <x v="12"/>
    <x v="1"/>
    <x v="88"/>
    <x v="20"/>
    <x v="14"/>
    <x v="28"/>
    <x v="378"/>
    <x v="65"/>
    <x v="8"/>
    <x v="396"/>
    <x v="872"/>
    <x v="397"/>
    <x v="24"/>
  </r>
  <r>
    <x v="398"/>
    <x v="398"/>
    <x v="1072"/>
    <x v="4"/>
    <x v="36"/>
    <x v="29"/>
    <x v="27"/>
    <x v="12"/>
    <x v="1"/>
    <x v="88"/>
    <x v="20"/>
    <x v="14"/>
    <x v="28"/>
    <x v="555"/>
    <x v="202"/>
    <x v="12"/>
    <x v="442"/>
    <x v="778"/>
    <x v="398"/>
    <x v="24"/>
  </r>
  <r>
    <x v="399"/>
    <x v="414"/>
    <x v="706"/>
    <x v="2"/>
    <x v="3"/>
    <x v="10"/>
    <x v="19"/>
    <x v="9"/>
    <x v="6"/>
    <x v="88"/>
    <x v="22"/>
    <x v="15"/>
    <x v="20"/>
    <x v="103"/>
    <x v="7"/>
    <x v="7"/>
    <x v="141"/>
    <x v="431"/>
    <x v="399"/>
    <x v="27"/>
  </r>
  <r>
    <x v="400"/>
    <x v="415"/>
    <x v="703"/>
    <x v="2"/>
    <x v="9"/>
    <x v="41"/>
    <x v="19"/>
    <x v="9"/>
    <x v="6"/>
    <x v="88"/>
    <x v="22"/>
    <x v="18"/>
    <x v="20"/>
    <x v="654"/>
    <x v="253"/>
    <x v="7"/>
    <x v="499"/>
    <x v="1054"/>
    <x v="400"/>
    <x v="27"/>
  </r>
  <r>
    <x v="401"/>
    <x v="416"/>
    <x v="704"/>
    <x v="2"/>
    <x v="17"/>
    <x v="11"/>
    <x v="19"/>
    <x v="9"/>
    <x v="6"/>
    <x v="88"/>
    <x v="22"/>
    <x v="15"/>
    <x v="20"/>
    <x v="173"/>
    <x v="76"/>
    <x v="2"/>
    <x v="164"/>
    <x v="623"/>
    <x v="401"/>
    <x v="27"/>
  </r>
  <r>
    <x v="402"/>
    <x v="417"/>
    <x v="705"/>
    <x v="2"/>
    <x v="11"/>
    <x v="31"/>
    <x v="19"/>
    <x v="9"/>
    <x v="6"/>
    <x v="88"/>
    <x v="22"/>
    <x v="16"/>
    <x v="20"/>
    <x v="277"/>
    <x v="100"/>
    <x v="3"/>
    <x v="261"/>
    <x v="789"/>
    <x v="402"/>
    <x v="27"/>
  </r>
  <r>
    <x v="403"/>
    <x v="418"/>
    <x v="709"/>
    <x v="2"/>
    <x v="1"/>
    <x v="34"/>
    <x v="19"/>
    <x v="9"/>
    <x v="6"/>
    <x v="88"/>
    <x v="22"/>
    <x v="19"/>
    <x v="20"/>
    <x v="599"/>
    <x v="110"/>
    <x v="2"/>
    <x v="586"/>
    <x v="1222"/>
    <x v="403"/>
    <x v="27"/>
  </r>
  <r>
    <x v="404"/>
    <x v="419"/>
    <x v="707"/>
    <x v="2"/>
    <x v="6"/>
    <x v="22"/>
    <x v="19"/>
    <x v="9"/>
    <x v="6"/>
    <x v="88"/>
    <x v="22"/>
    <x v="16"/>
    <x v="20"/>
    <x v="463"/>
    <x v="234"/>
    <x v="3"/>
    <x v="307"/>
    <x v="876"/>
    <x v="404"/>
    <x v="27"/>
  </r>
  <r>
    <x v="405"/>
    <x v="420"/>
    <x v="710"/>
    <x v="2"/>
    <x v="46"/>
    <x v="32"/>
    <x v="19"/>
    <x v="9"/>
    <x v="6"/>
    <x v="88"/>
    <x v="22"/>
    <x v="19"/>
    <x v="20"/>
    <x v="615"/>
    <x v="90"/>
    <x v="2"/>
    <x v="613"/>
    <x v="1240"/>
    <x v="405"/>
    <x v="27"/>
  </r>
  <r>
    <x v="406"/>
    <x v="421"/>
    <x v="711"/>
    <x v="2"/>
    <x v="41"/>
    <x v="23"/>
    <x v="19"/>
    <x v="9"/>
    <x v="6"/>
    <x v="88"/>
    <x v="22"/>
    <x v="16"/>
    <x v="20"/>
    <x v="242"/>
    <x v="35"/>
    <x v="4"/>
    <x v="286"/>
    <x v="792"/>
    <x v="406"/>
    <x v="27"/>
  </r>
  <r>
    <x v="407"/>
    <x v="422"/>
    <x v="712"/>
    <x v="2"/>
    <x v="33"/>
    <x v="26"/>
    <x v="19"/>
    <x v="9"/>
    <x v="6"/>
    <x v="88"/>
    <x v="22"/>
    <x v="18"/>
    <x v="20"/>
    <x v="562"/>
    <x v="153"/>
    <x v="4"/>
    <x v="500"/>
    <x v="1117"/>
    <x v="407"/>
    <x v="27"/>
  </r>
  <r>
    <x v="408"/>
    <x v="399"/>
    <x v="1075"/>
    <x v="4"/>
    <x v="23"/>
    <x v="45"/>
    <x v="27"/>
    <x v="9"/>
    <x v="6"/>
    <x v="88"/>
    <x v="21"/>
    <x v="16"/>
    <x v="28"/>
    <x v="274"/>
    <x v="106"/>
    <x v="22"/>
    <x v="253"/>
    <x v="250"/>
    <x v="408"/>
    <x v="25"/>
  </r>
  <r>
    <x v="409"/>
    <x v="423"/>
    <x v="714"/>
    <x v="2"/>
    <x v="38"/>
    <x v="12"/>
    <x v="19"/>
    <x v="9"/>
    <x v="6"/>
    <x v="88"/>
    <x v="22"/>
    <x v="16"/>
    <x v="20"/>
    <x v="303"/>
    <x v="72"/>
    <x v="8"/>
    <x v="313"/>
    <x v="716"/>
    <x v="409"/>
    <x v="27"/>
  </r>
  <r>
    <x v="410"/>
    <x v="400"/>
    <x v="1076"/>
    <x v="4"/>
    <x v="1"/>
    <x v="34"/>
    <x v="27"/>
    <x v="9"/>
    <x v="6"/>
    <x v="88"/>
    <x v="21"/>
    <x v="18"/>
    <x v="28"/>
    <x v="593"/>
    <x v="112"/>
    <x v="14"/>
    <x v="578"/>
    <x v="924"/>
    <x v="410"/>
    <x v="25"/>
  </r>
  <r>
    <x v="411"/>
    <x v="401"/>
    <x v="1077"/>
    <x v="4"/>
    <x v="27"/>
    <x v="46"/>
    <x v="27"/>
    <x v="9"/>
    <x v="6"/>
    <x v="88"/>
    <x v="21"/>
    <x v="17"/>
    <x v="28"/>
    <x v="744"/>
    <x v="323"/>
    <x v="15"/>
    <x v="369"/>
    <x v="535"/>
    <x v="411"/>
    <x v="25"/>
  </r>
  <r>
    <x v="412"/>
    <x v="402"/>
    <x v="1079"/>
    <x v="4"/>
    <x v="28"/>
    <x v="33"/>
    <x v="27"/>
    <x v="9"/>
    <x v="6"/>
    <x v="88"/>
    <x v="21"/>
    <x v="16"/>
    <x v="28"/>
    <x v="772"/>
    <x v="348"/>
    <x v="20"/>
    <x v="224"/>
    <x v="261"/>
    <x v="412"/>
    <x v="25"/>
  </r>
  <r>
    <x v="413"/>
    <x v="403"/>
    <x v="1078"/>
    <x v="4"/>
    <x v="14"/>
    <x v="3"/>
    <x v="27"/>
    <x v="9"/>
    <x v="6"/>
    <x v="88"/>
    <x v="21"/>
    <x v="16"/>
    <x v="28"/>
    <x v="325"/>
    <x v="88"/>
    <x v="13"/>
    <x v="323"/>
    <x v="543"/>
    <x v="413"/>
    <x v="25"/>
  </r>
  <r>
    <x v="414"/>
    <x v="404"/>
    <x v="1080"/>
    <x v="4"/>
    <x v="36"/>
    <x v="29"/>
    <x v="27"/>
    <x v="9"/>
    <x v="6"/>
    <x v="88"/>
    <x v="21"/>
    <x v="19"/>
    <x v="28"/>
    <x v="654"/>
    <x v="202"/>
    <x v="10"/>
    <x v="584"/>
    <x v="1065"/>
    <x v="414"/>
    <x v="25"/>
  </r>
  <r>
    <x v="415"/>
    <x v="405"/>
    <x v="1081"/>
    <x v="4"/>
    <x v="4"/>
    <x v="2"/>
    <x v="27"/>
    <x v="9"/>
    <x v="6"/>
    <x v="88"/>
    <x v="21"/>
    <x v="15"/>
    <x v="28"/>
    <x v="168"/>
    <x v="14"/>
    <x v="9"/>
    <x v="211"/>
    <x v="507"/>
    <x v="415"/>
    <x v="25"/>
  </r>
  <r>
    <x v="416"/>
    <x v="413"/>
    <x v="1089"/>
    <x v="4"/>
    <x v="47"/>
    <x v="19"/>
    <x v="27"/>
    <x v="9"/>
    <x v="6"/>
    <x v="88"/>
    <x v="21"/>
    <x v="7"/>
    <x v="28"/>
    <x v="2"/>
    <x v="2"/>
    <x v="4"/>
    <x v="12"/>
    <x v="22"/>
    <x v="416"/>
    <x v="26"/>
  </r>
  <r>
    <x v="417"/>
    <x v="406"/>
    <x v="1083"/>
    <x v="4"/>
    <x v="43"/>
    <x v="28"/>
    <x v="27"/>
    <x v="9"/>
    <x v="6"/>
    <x v="88"/>
    <x v="21"/>
    <x v="18"/>
    <x v="28"/>
    <x v="466"/>
    <x v="64"/>
    <x v="16"/>
    <x v="480"/>
    <x v="659"/>
    <x v="417"/>
    <x v="25"/>
  </r>
  <r>
    <x v="418"/>
    <x v="412"/>
    <x v="1088"/>
    <x v="4"/>
    <x v="35"/>
    <x v="1"/>
    <x v="27"/>
    <x v="9"/>
    <x v="6"/>
    <x v="88"/>
    <x v="21"/>
    <x v="16"/>
    <x v="28"/>
    <x v="281"/>
    <x v="69"/>
    <x v="6"/>
    <x v="292"/>
    <x v="759"/>
    <x v="418"/>
    <x v="26"/>
  </r>
  <r>
    <x v="419"/>
    <x v="411"/>
    <x v="1087"/>
    <x v="4"/>
    <x v="15"/>
    <x v="43"/>
    <x v="27"/>
    <x v="9"/>
    <x v="6"/>
    <x v="88"/>
    <x v="21"/>
    <x v="16"/>
    <x v="28"/>
    <x v="403"/>
    <x v="158"/>
    <x v="3"/>
    <x v="336"/>
    <x v="923"/>
    <x v="419"/>
    <x v="26"/>
  </r>
  <r>
    <x v="420"/>
    <x v="407"/>
    <x v="1082"/>
    <x v="4"/>
    <x v="39"/>
    <x v="39"/>
    <x v="27"/>
    <x v="9"/>
    <x v="6"/>
    <x v="88"/>
    <x v="21"/>
    <x v="19"/>
    <x v="28"/>
    <x v="672"/>
    <x v="185"/>
    <x v="16"/>
    <x v="616"/>
    <x v="916"/>
    <x v="420"/>
    <x v="26"/>
  </r>
  <r>
    <x v="421"/>
    <x v="410"/>
    <x v="1086"/>
    <x v="4"/>
    <x v="19"/>
    <x v="21"/>
    <x v="27"/>
    <x v="9"/>
    <x v="6"/>
    <x v="88"/>
    <x v="21"/>
    <x v="17"/>
    <x v="28"/>
    <x v="480"/>
    <x v="137"/>
    <x v="8"/>
    <x v="427"/>
    <x v="922"/>
    <x v="421"/>
    <x v="26"/>
  </r>
  <r>
    <x v="422"/>
    <x v="409"/>
    <x v="1085"/>
    <x v="4"/>
    <x v="42"/>
    <x v="5"/>
    <x v="27"/>
    <x v="9"/>
    <x v="6"/>
    <x v="88"/>
    <x v="21"/>
    <x v="17"/>
    <x v="28"/>
    <x v="397"/>
    <x v="90"/>
    <x v="14"/>
    <x v="391"/>
    <x v="611"/>
    <x v="422"/>
    <x v="26"/>
  </r>
  <r>
    <x v="423"/>
    <x v="408"/>
    <x v="1084"/>
    <x v="4"/>
    <x v="10"/>
    <x v="27"/>
    <x v="27"/>
    <x v="9"/>
    <x v="6"/>
    <x v="88"/>
    <x v="21"/>
    <x v="18"/>
    <x v="28"/>
    <x v="539"/>
    <x v="96"/>
    <x v="15"/>
    <x v="526"/>
    <x v="787"/>
    <x v="423"/>
    <x v="26"/>
  </r>
  <r>
    <x v="424"/>
    <x v="424"/>
    <x v="715"/>
    <x v="2"/>
    <x v="45"/>
    <x v="0"/>
    <x v="19"/>
    <x v="9"/>
    <x v="6"/>
    <x v="88"/>
    <x v="22"/>
    <x v="16"/>
    <x v="20"/>
    <x v="269"/>
    <x v="59"/>
    <x v="3"/>
    <x v="288"/>
    <x v="841"/>
    <x v="424"/>
    <x v="27"/>
  </r>
  <r>
    <x v="425"/>
    <x v="425"/>
    <x v="716"/>
    <x v="2"/>
    <x v="2"/>
    <x v="18"/>
    <x v="19"/>
    <x v="9"/>
    <x v="6"/>
    <x v="88"/>
    <x v="22"/>
    <x v="21"/>
    <x v="20"/>
    <x v="857"/>
    <x v="351"/>
    <x v="7"/>
    <x v="725"/>
    <x v="1292"/>
    <x v="425"/>
    <x v="27"/>
  </r>
  <r>
    <x v="426"/>
    <x v="426"/>
    <x v="717"/>
    <x v="2"/>
    <x v="12"/>
    <x v="17"/>
    <x v="19"/>
    <x v="9"/>
    <x v="6"/>
    <x v="88"/>
    <x v="22"/>
    <x v="20"/>
    <x v="20"/>
    <x v="710"/>
    <x v="154"/>
    <x v="9"/>
    <x v="671"/>
    <x v="1214"/>
    <x v="426"/>
    <x v="27"/>
  </r>
  <r>
    <x v="427"/>
    <x v="427"/>
    <x v="713"/>
    <x v="2"/>
    <x v="4"/>
    <x v="2"/>
    <x v="19"/>
    <x v="9"/>
    <x v="6"/>
    <x v="88"/>
    <x v="22"/>
    <x v="15"/>
    <x v="20"/>
    <x v="107"/>
    <x v="9"/>
    <x v="10"/>
    <x v="145"/>
    <x v="377"/>
    <x v="427"/>
    <x v="27"/>
  </r>
  <r>
    <x v="428"/>
    <x v="428"/>
    <x v="708"/>
    <x v="2"/>
    <x v="5"/>
    <x v="20"/>
    <x v="19"/>
    <x v="9"/>
    <x v="6"/>
    <x v="88"/>
    <x v="23"/>
    <x v="4"/>
    <x v="20"/>
    <x v="325"/>
    <x v="214"/>
    <x v="11"/>
    <x v="200"/>
    <x v="428"/>
    <x v="428"/>
    <x v="27"/>
  </r>
  <r>
    <x v="429"/>
    <x v="429"/>
    <x v="1067"/>
    <x v="2"/>
    <x v="31"/>
    <x v="40"/>
    <x v="19"/>
    <x v="9"/>
    <x v="6"/>
    <x v="88"/>
    <x v="23"/>
    <x v="6"/>
    <x v="20"/>
    <x v="818"/>
    <x v="286"/>
    <x v="7"/>
    <x v="738"/>
    <x v="1304"/>
    <x v="429"/>
    <x v="27"/>
  </r>
  <r>
    <x v="430"/>
    <x v="430"/>
    <x v="1048"/>
    <x v="2"/>
    <x v="30"/>
    <x v="30"/>
    <x v="19"/>
    <x v="9"/>
    <x v="6"/>
    <x v="88"/>
    <x v="22"/>
    <x v="16"/>
    <x v="20"/>
    <x v="317"/>
    <x v="69"/>
    <x v="13"/>
    <x v="333"/>
    <x v="552"/>
    <x v="430"/>
    <x v="27"/>
  </r>
  <r>
    <x v="431"/>
    <x v="431"/>
    <x v="1049"/>
    <x v="2"/>
    <x v="0"/>
    <x v="36"/>
    <x v="19"/>
    <x v="9"/>
    <x v="6"/>
    <x v="88"/>
    <x v="22"/>
    <x v="15"/>
    <x v="20"/>
    <x v="204"/>
    <x v="85"/>
    <x v="6"/>
    <x v="190"/>
    <x v="576"/>
    <x v="431"/>
    <x v="27"/>
  </r>
  <r>
    <x v="432"/>
    <x v="433"/>
    <x v="719"/>
    <x v="2"/>
    <x v="20"/>
    <x v="16"/>
    <x v="19"/>
    <x v="9"/>
    <x v="6"/>
    <x v="88"/>
    <x v="22"/>
    <x v="15"/>
    <x v="20"/>
    <x v="150"/>
    <x v="51"/>
    <x v="13"/>
    <x v="162"/>
    <x v="332"/>
    <x v="432"/>
    <x v="27"/>
  </r>
  <r>
    <x v="433"/>
    <x v="434"/>
    <x v="720"/>
    <x v="2"/>
    <x v="28"/>
    <x v="33"/>
    <x v="19"/>
    <x v="9"/>
    <x v="6"/>
    <x v="88"/>
    <x v="23"/>
    <x v="4"/>
    <x v="20"/>
    <x v="788"/>
    <x v="345"/>
    <x v="18"/>
    <x v="296"/>
    <x v="364"/>
    <x v="433"/>
    <x v="27"/>
  </r>
  <r>
    <x v="434"/>
    <x v="435"/>
    <x v="721"/>
    <x v="2"/>
    <x v="14"/>
    <x v="3"/>
    <x v="19"/>
    <x v="9"/>
    <x v="6"/>
    <x v="88"/>
    <x v="23"/>
    <x v="4"/>
    <x v="20"/>
    <x v="245"/>
    <x v="87"/>
    <x v="10"/>
    <x v="238"/>
    <x v="512"/>
    <x v="434"/>
    <x v="27"/>
  </r>
  <r>
    <x v="435"/>
    <x v="436"/>
    <x v="722"/>
    <x v="2"/>
    <x v="27"/>
    <x v="46"/>
    <x v="19"/>
    <x v="9"/>
    <x v="6"/>
    <x v="88"/>
    <x v="23"/>
    <x v="6"/>
    <x v="20"/>
    <x v="835"/>
    <x v="321"/>
    <x v="3"/>
    <x v="737"/>
    <x v="1322"/>
    <x v="435"/>
    <x v="27"/>
  </r>
  <r>
    <x v="436"/>
    <x v="437"/>
    <x v="723"/>
    <x v="2"/>
    <x v="24"/>
    <x v="37"/>
    <x v="19"/>
    <x v="9"/>
    <x v="6"/>
    <x v="88"/>
    <x v="23"/>
    <x v="4"/>
    <x v="20"/>
    <x v="430"/>
    <x v="84"/>
    <x v="7"/>
    <x v="428"/>
    <x v="971"/>
    <x v="436"/>
    <x v="27"/>
  </r>
  <r>
    <x v="437"/>
    <x v="432"/>
    <x v="718"/>
    <x v="2"/>
    <x v="13"/>
    <x v="44"/>
    <x v="19"/>
    <x v="9"/>
    <x v="6"/>
    <x v="88"/>
    <x v="22"/>
    <x v="17"/>
    <x v="20"/>
    <x v="380"/>
    <x v="102"/>
    <x v="6"/>
    <x v="365"/>
    <x v="900"/>
    <x v="437"/>
    <x v="27"/>
  </r>
  <r>
    <x v="438"/>
    <x v="438"/>
    <x v="724"/>
    <x v="2"/>
    <x v="29"/>
    <x v="15"/>
    <x v="19"/>
    <x v="9"/>
    <x v="6"/>
    <x v="88"/>
    <x v="23"/>
    <x v="4"/>
    <x v="20"/>
    <x v="597"/>
    <x v="98"/>
    <x v="8"/>
    <x v="593"/>
    <x v="1137"/>
    <x v="438"/>
    <x v="27"/>
  </r>
  <r>
    <x v="439"/>
    <x v="439"/>
    <x v="725"/>
    <x v="2"/>
    <x v="36"/>
    <x v="29"/>
    <x v="13"/>
    <x v="9"/>
    <x v="6"/>
    <x v="88"/>
    <x v="24"/>
    <x v="19"/>
    <x v="14"/>
    <x v="643"/>
    <x v="198"/>
    <x v="10"/>
    <x v="570"/>
    <x v="1049"/>
    <x v="439"/>
    <x v="28"/>
  </r>
  <r>
    <x v="440"/>
    <x v="440"/>
    <x v="726"/>
    <x v="2"/>
    <x v="39"/>
    <x v="39"/>
    <x v="13"/>
    <x v="9"/>
    <x v="6"/>
    <x v="88"/>
    <x v="24"/>
    <x v="19"/>
    <x v="14"/>
    <x v="597"/>
    <x v="183"/>
    <x v="23"/>
    <x v="517"/>
    <x v="436"/>
    <x v="440"/>
    <x v="28"/>
  </r>
  <r>
    <x v="441"/>
    <x v="441"/>
    <x v="727"/>
    <x v="2"/>
    <x v="43"/>
    <x v="28"/>
    <x v="13"/>
    <x v="9"/>
    <x v="6"/>
    <x v="88"/>
    <x v="24"/>
    <x v="18"/>
    <x v="14"/>
    <x v="434"/>
    <x v="56"/>
    <x v="14"/>
    <x v="458"/>
    <x v="710"/>
    <x v="441"/>
    <x v="28"/>
  </r>
  <r>
    <x v="442"/>
    <x v="442"/>
    <x v="728"/>
    <x v="2"/>
    <x v="10"/>
    <x v="27"/>
    <x v="13"/>
    <x v="9"/>
    <x v="6"/>
    <x v="88"/>
    <x v="24"/>
    <x v="18"/>
    <x v="14"/>
    <x v="432"/>
    <x v="91"/>
    <x v="13"/>
    <x v="425"/>
    <x v="700"/>
    <x v="442"/>
    <x v="29"/>
  </r>
  <r>
    <x v="443"/>
    <x v="443"/>
    <x v="731"/>
    <x v="2"/>
    <x v="11"/>
    <x v="31"/>
    <x v="13"/>
    <x v="9"/>
    <x v="6"/>
    <x v="88"/>
    <x v="24"/>
    <x v="17"/>
    <x v="14"/>
    <x v="365"/>
    <x v="97"/>
    <x v="19"/>
    <x v="355"/>
    <x v="392"/>
    <x v="443"/>
    <x v="29"/>
  </r>
  <r>
    <x v="444"/>
    <x v="444"/>
    <x v="729"/>
    <x v="2"/>
    <x v="9"/>
    <x v="41"/>
    <x v="13"/>
    <x v="9"/>
    <x v="6"/>
    <x v="88"/>
    <x v="24"/>
    <x v="19"/>
    <x v="14"/>
    <x v="669"/>
    <x v="254"/>
    <x v="15"/>
    <x v="525"/>
    <x v="785"/>
    <x v="444"/>
    <x v="29"/>
  </r>
  <r>
    <x v="445"/>
    <x v="445"/>
    <x v="730"/>
    <x v="2"/>
    <x v="17"/>
    <x v="11"/>
    <x v="13"/>
    <x v="9"/>
    <x v="6"/>
    <x v="88"/>
    <x v="24"/>
    <x v="15"/>
    <x v="14"/>
    <x v="187"/>
    <x v="83"/>
    <x v="8"/>
    <x v="174"/>
    <x v="466"/>
    <x v="445"/>
    <x v="29"/>
  </r>
  <r>
    <x v="446"/>
    <x v="446"/>
    <x v="733"/>
    <x v="2"/>
    <x v="47"/>
    <x v="19"/>
    <x v="13"/>
    <x v="9"/>
    <x v="6"/>
    <x v="88"/>
    <x v="24"/>
    <x v="16"/>
    <x v="14"/>
    <x v="402"/>
    <x v="213"/>
    <x v="4"/>
    <x v="273"/>
    <x v="763"/>
    <x v="446"/>
    <x v="29"/>
  </r>
  <r>
    <x v="447"/>
    <x v="447"/>
    <x v="734"/>
    <x v="2"/>
    <x v="3"/>
    <x v="10"/>
    <x v="13"/>
    <x v="9"/>
    <x v="6"/>
    <x v="88"/>
    <x v="24"/>
    <x v="16"/>
    <x v="14"/>
    <x v="133"/>
    <x v="6"/>
    <x v="20"/>
    <x v="179"/>
    <x v="222"/>
    <x v="447"/>
    <x v="29"/>
  </r>
  <r>
    <x v="448"/>
    <x v="448"/>
    <x v="732"/>
    <x v="2"/>
    <x v="4"/>
    <x v="2"/>
    <x v="13"/>
    <x v="9"/>
    <x v="6"/>
    <x v="88"/>
    <x v="24"/>
    <x v="15"/>
    <x v="14"/>
    <x v="132"/>
    <x v="11"/>
    <x v="14"/>
    <x v="173"/>
    <x v="328"/>
    <x v="448"/>
    <x v="29"/>
  </r>
  <r>
    <x v="449"/>
    <x v="449"/>
    <x v="735"/>
    <x v="2"/>
    <x v="1"/>
    <x v="34"/>
    <x v="13"/>
    <x v="9"/>
    <x v="6"/>
    <x v="88"/>
    <x v="24"/>
    <x v="19"/>
    <x v="14"/>
    <x v="603"/>
    <x v="110"/>
    <x v="15"/>
    <x v="590"/>
    <x v="901"/>
    <x v="449"/>
    <x v="29"/>
  </r>
  <r>
    <x v="450"/>
    <x v="450"/>
    <x v="736"/>
    <x v="2"/>
    <x v="6"/>
    <x v="22"/>
    <x v="13"/>
    <x v="9"/>
    <x v="6"/>
    <x v="88"/>
    <x v="24"/>
    <x v="17"/>
    <x v="14"/>
    <x v="511"/>
    <x v="233"/>
    <x v="11"/>
    <x v="356"/>
    <x v="664"/>
    <x v="450"/>
    <x v="29"/>
  </r>
  <r>
    <x v="451"/>
    <x v="451"/>
    <x v="737"/>
    <x v="2"/>
    <x v="5"/>
    <x v="20"/>
    <x v="13"/>
    <x v="9"/>
    <x v="6"/>
    <x v="88"/>
    <x v="24"/>
    <x v="16"/>
    <x v="14"/>
    <x v="353"/>
    <x v="218"/>
    <x v="18"/>
    <x v="222"/>
    <x v="298"/>
    <x v="451"/>
    <x v="29"/>
  </r>
  <r>
    <x v="452"/>
    <x v="452"/>
    <x v="738"/>
    <x v="2"/>
    <x v="34"/>
    <x v="6"/>
    <x v="13"/>
    <x v="9"/>
    <x v="6"/>
    <x v="88"/>
    <x v="24"/>
    <x v="17"/>
    <x v="14"/>
    <x v="319"/>
    <x v="106"/>
    <x v="10"/>
    <x v="299"/>
    <x v="625"/>
    <x v="452"/>
    <x v="29"/>
  </r>
  <r>
    <x v="453"/>
    <x v="453"/>
    <x v="740"/>
    <x v="2"/>
    <x v="15"/>
    <x v="43"/>
    <x v="13"/>
    <x v="9"/>
    <x v="6"/>
    <x v="88"/>
    <x v="24"/>
    <x v="16"/>
    <x v="14"/>
    <x v="319"/>
    <x v="154"/>
    <x v="14"/>
    <x v="255"/>
    <x v="420"/>
    <x v="453"/>
    <x v="29"/>
  </r>
  <r>
    <x v="454"/>
    <x v="454"/>
    <x v="739"/>
    <x v="2"/>
    <x v="23"/>
    <x v="45"/>
    <x v="13"/>
    <x v="9"/>
    <x v="6"/>
    <x v="88"/>
    <x v="24"/>
    <x v="18"/>
    <x v="14"/>
    <x v="456"/>
    <x v="106"/>
    <x v="13"/>
    <x v="434"/>
    <x v="715"/>
    <x v="454"/>
    <x v="29"/>
  </r>
  <r>
    <x v="455"/>
    <x v="455"/>
    <x v="741"/>
    <x v="2"/>
    <x v="35"/>
    <x v="1"/>
    <x v="13"/>
    <x v="9"/>
    <x v="6"/>
    <x v="88"/>
    <x v="24"/>
    <x v="17"/>
    <x v="14"/>
    <x v="299"/>
    <x v="71"/>
    <x v="8"/>
    <x v="309"/>
    <x v="709"/>
    <x v="455"/>
    <x v="29"/>
  </r>
  <r>
    <x v="456"/>
    <x v="456"/>
    <x v="742"/>
    <x v="2"/>
    <x v="38"/>
    <x v="12"/>
    <x v="13"/>
    <x v="9"/>
    <x v="6"/>
    <x v="88"/>
    <x v="24"/>
    <x v="16"/>
    <x v="14"/>
    <x v="266"/>
    <x v="71"/>
    <x v="7"/>
    <x v="272"/>
    <x v="679"/>
    <x v="456"/>
    <x v="29"/>
  </r>
  <r>
    <x v="457"/>
    <x v="457"/>
    <x v="743"/>
    <x v="2"/>
    <x v="42"/>
    <x v="5"/>
    <x v="13"/>
    <x v="9"/>
    <x v="6"/>
    <x v="88"/>
    <x v="24"/>
    <x v="18"/>
    <x v="14"/>
    <x v="408"/>
    <x v="86"/>
    <x v="8"/>
    <x v="406"/>
    <x v="887"/>
    <x v="457"/>
    <x v="29"/>
  </r>
  <r>
    <x v="458"/>
    <x v="458"/>
    <x v="744"/>
    <x v="2"/>
    <x v="40"/>
    <x v="24"/>
    <x v="13"/>
    <x v="9"/>
    <x v="6"/>
    <x v="88"/>
    <x v="24"/>
    <x v="15"/>
    <x v="14"/>
    <x v="109"/>
    <x v="71"/>
    <x v="11"/>
    <x v="105"/>
    <x v="293"/>
    <x v="458"/>
    <x v="29"/>
  </r>
  <r>
    <x v="459"/>
    <x v="459"/>
    <x v="745"/>
    <x v="2"/>
    <x v="26"/>
    <x v="16"/>
    <x v="13"/>
    <x v="9"/>
    <x v="6"/>
    <x v="88"/>
    <x v="25"/>
    <x v="15"/>
    <x v="14"/>
    <x v="420"/>
    <x v="55"/>
    <x v="4"/>
    <x v="444"/>
    <x v="1044"/>
    <x v="459"/>
    <x v="29"/>
  </r>
  <r>
    <x v="460"/>
    <x v="460"/>
    <x v="746"/>
    <x v="2"/>
    <x v="13"/>
    <x v="44"/>
    <x v="13"/>
    <x v="9"/>
    <x v="6"/>
    <x v="88"/>
    <x v="25"/>
    <x v="15"/>
    <x v="14"/>
    <x v="483"/>
    <x v="100"/>
    <x v="6"/>
    <x v="463"/>
    <x v="1039"/>
    <x v="460"/>
    <x v="29"/>
  </r>
  <r>
    <x v="461"/>
    <x v="461"/>
    <x v="747"/>
    <x v="2"/>
    <x v="8"/>
    <x v="38"/>
    <x v="13"/>
    <x v="9"/>
    <x v="6"/>
    <x v="88"/>
    <x v="25"/>
    <x v="12"/>
    <x v="14"/>
    <x v="147"/>
    <x v="81"/>
    <x v="4"/>
    <x v="140"/>
    <x v="490"/>
    <x v="461"/>
    <x v="29"/>
  </r>
  <r>
    <x v="462"/>
    <x v="462"/>
    <x v="748"/>
    <x v="2"/>
    <x v="21"/>
    <x v="4"/>
    <x v="13"/>
    <x v="9"/>
    <x v="6"/>
    <x v="88"/>
    <x v="25"/>
    <x v="14"/>
    <x v="14"/>
    <x v="289"/>
    <x v="97"/>
    <x v="14"/>
    <x v="278"/>
    <x v="440"/>
    <x v="462"/>
    <x v="29"/>
  </r>
  <r>
    <x v="463"/>
    <x v="463"/>
    <x v="751"/>
    <x v="2"/>
    <x v="7"/>
    <x v="14"/>
    <x v="13"/>
    <x v="9"/>
    <x v="6"/>
    <x v="88"/>
    <x v="25"/>
    <x v="14"/>
    <x v="14"/>
    <x v="379"/>
    <x v="163"/>
    <x v="13"/>
    <x v="307"/>
    <x v="515"/>
    <x v="463"/>
    <x v="29"/>
  </r>
  <r>
    <x v="464"/>
    <x v="464"/>
    <x v="750"/>
    <x v="2"/>
    <x v="46"/>
    <x v="32"/>
    <x v="13"/>
    <x v="9"/>
    <x v="6"/>
    <x v="88"/>
    <x v="25"/>
    <x v="17"/>
    <x v="14"/>
    <x v="682"/>
    <x v="92"/>
    <x v="6"/>
    <x v="673"/>
    <x v="1254"/>
    <x v="464"/>
    <x v="29"/>
  </r>
  <r>
    <x v="465"/>
    <x v="465"/>
    <x v="749"/>
    <x v="2"/>
    <x v="33"/>
    <x v="26"/>
    <x v="13"/>
    <x v="9"/>
    <x v="6"/>
    <x v="88"/>
    <x v="25"/>
    <x v="16"/>
    <x v="14"/>
    <x v="594"/>
    <x v="150"/>
    <x v="13"/>
    <x v="545"/>
    <x v="908"/>
    <x v="465"/>
    <x v="29"/>
  </r>
  <r>
    <x v="466"/>
    <x v="466"/>
    <x v="754"/>
    <x v="2"/>
    <x v="31"/>
    <x v="40"/>
    <x v="13"/>
    <x v="9"/>
    <x v="6"/>
    <x v="88"/>
    <x v="25"/>
    <x v="20"/>
    <x v="14"/>
    <x v="842"/>
    <x v="288"/>
    <x v="8"/>
    <x v="773"/>
    <x v="1336"/>
    <x v="466"/>
    <x v="29"/>
  </r>
  <r>
    <x v="467"/>
    <x v="467"/>
    <x v="755"/>
    <x v="2"/>
    <x v="41"/>
    <x v="23"/>
    <x v="13"/>
    <x v="9"/>
    <x v="6"/>
    <x v="88"/>
    <x v="25"/>
    <x v="14"/>
    <x v="14"/>
    <x v="332"/>
    <x v="31"/>
    <x v="10"/>
    <x v="386"/>
    <x v="761"/>
    <x v="467"/>
    <x v="29"/>
  </r>
  <r>
    <x v="468"/>
    <x v="468"/>
    <x v="752"/>
    <x v="2"/>
    <x v="24"/>
    <x v="37"/>
    <x v="13"/>
    <x v="9"/>
    <x v="6"/>
    <x v="88"/>
    <x v="25"/>
    <x v="15"/>
    <x v="14"/>
    <x v="517"/>
    <x v="82"/>
    <x v="3"/>
    <x v="512"/>
    <x v="1148"/>
    <x v="468"/>
    <x v="29"/>
  </r>
  <r>
    <x v="469"/>
    <x v="469"/>
    <x v="753"/>
    <x v="2"/>
    <x v="29"/>
    <x v="15"/>
    <x v="13"/>
    <x v="9"/>
    <x v="6"/>
    <x v="88"/>
    <x v="25"/>
    <x v="14"/>
    <x v="14"/>
    <x v="376"/>
    <x v="92"/>
    <x v="11"/>
    <x v="370"/>
    <x v="693"/>
    <x v="469"/>
    <x v="29"/>
  </r>
  <r>
    <x v="470"/>
    <x v="470"/>
    <x v="756"/>
    <x v="2"/>
    <x v="30"/>
    <x v="30"/>
    <x v="13"/>
    <x v="9"/>
    <x v="6"/>
    <x v="88"/>
    <x v="25"/>
    <x v="14"/>
    <x v="14"/>
    <x v="258"/>
    <x v="71"/>
    <x v="9"/>
    <x v="263"/>
    <x v="593"/>
    <x v="470"/>
    <x v="30"/>
  </r>
  <r>
    <x v="471"/>
    <x v="471"/>
    <x v="757"/>
    <x v="2"/>
    <x v="0"/>
    <x v="36"/>
    <x v="13"/>
    <x v="9"/>
    <x v="6"/>
    <x v="88"/>
    <x v="25"/>
    <x v="13"/>
    <x v="14"/>
    <x v="158"/>
    <x v="83"/>
    <x v="6"/>
    <x v="148"/>
    <x v="477"/>
    <x v="471"/>
    <x v="30"/>
  </r>
  <r>
    <x v="472"/>
    <x v="472"/>
    <x v="758"/>
    <x v="2"/>
    <x v="18"/>
    <x v="9"/>
    <x v="13"/>
    <x v="9"/>
    <x v="6"/>
    <x v="88"/>
    <x v="25"/>
    <x v="14"/>
    <x v="14"/>
    <x v="390"/>
    <x v="149"/>
    <x v="8"/>
    <x v="333"/>
    <x v="751"/>
    <x v="472"/>
    <x v="30"/>
  </r>
  <r>
    <x v="473"/>
    <x v="473"/>
    <x v="763"/>
    <x v="2"/>
    <x v="36"/>
    <x v="29"/>
    <x v="13"/>
    <x v="9"/>
    <x v="6"/>
    <x v="88"/>
    <x v="25"/>
    <x v="16"/>
    <x v="14"/>
    <x v="670"/>
    <x v="199"/>
    <x v="7"/>
    <x v="608"/>
    <x v="1179"/>
    <x v="473"/>
    <x v="30"/>
  </r>
  <r>
    <x v="474"/>
    <x v="474"/>
    <x v="759"/>
    <x v="2"/>
    <x v="45"/>
    <x v="0"/>
    <x v="13"/>
    <x v="9"/>
    <x v="6"/>
    <x v="88"/>
    <x v="25"/>
    <x v="13"/>
    <x v="14"/>
    <x v="170"/>
    <x v="57"/>
    <x v="6"/>
    <x v="172"/>
    <x v="534"/>
    <x v="474"/>
    <x v="30"/>
  </r>
  <r>
    <x v="475"/>
    <x v="475"/>
    <x v="766"/>
    <x v="2"/>
    <x v="47"/>
    <x v="19"/>
    <x v="13"/>
    <x v="9"/>
    <x v="6"/>
    <x v="88"/>
    <x v="25"/>
    <x v="14"/>
    <x v="14"/>
    <x v="530"/>
    <x v="217"/>
    <x v="9"/>
    <x v="391"/>
    <x v="821"/>
    <x v="475"/>
    <x v="30"/>
  </r>
  <r>
    <x v="476"/>
    <x v="476"/>
    <x v="764"/>
    <x v="2"/>
    <x v="10"/>
    <x v="27"/>
    <x v="13"/>
    <x v="9"/>
    <x v="6"/>
    <x v="88"/>
    <x v="25"/>
    <x v="15"/>
    <x v="14"/>
    <x v="501"/>
    <x v="94"/>
    <x v="11"/>
    <x v="485"/>
    <x v="897"/>
    <x v="476"/>
    <x v="30"/>
  </r>
  <r>
    <x v="477"/>
    <x v="477"/>
    <x v="765"/>
    <x v="2"/>
    <x v="39"/>
    <x v="39"/>
    <x v="13"/>
    <x v="9"/>
    <x v="6"/>
    <x v="88"/>
    <x v="25"/>
    <x v="17"/>
    <x v="14"/>
    <x v="703"/>
    <x v="187"/>
    <x v="7"/>
    <x v="650"/>
    <x v="1216"/>
    <x v="477"/>
    <x v="30"/>
  </r>
  <r>
    <x v="478"/>
    <x v="482"/>
    <x v="768"/>
    <x v="2"/>
    <x v="5"/>
    <x v="20"/>
    <x v="20"/>
    <x v="9"/>
    <x v="6"/>
    <x v="88"/>
    <x v="25"/>
    <x v="17"/>
    <x v="21"/>
    <x v="529"/>
    <x v="219"/>
    <x v="6"/>
    <x v="387"/>
    <x v="937"/>
    <x v="478"/>
    <x v="30"/>
  </r>
  <r>
    <x v="479"/>
    <x v="478"/>
    <x v="760"/>
    <x v="2"/>
    <x v="9"/>
    <x v="41"/>
    <x v="13"/>
    <x v="9"/>
    <x v="6"/>
    <x v="88"/>
    <x v="25"/>
    <x v="16"/>
    <x v="14"/>
    <x v="674"/>
    <x v="248"/>
    <x v="8"/>
    <x v="550"/>
    <x v="1092"/>
    <x v="479"/>
    <x v="30"/>
  </r>
  <r>
    <x v="480"/>
    <x v="479"/>
    <x v="761"/>
    <x v="2"/>
    <x v="11"/>
    <x v="31"/>
    <x v="13"/>
    <x v="9"/>
    <x v="6"/>
    <x v="88"/>
    <x v="25"/>
    <x v="14"/>
    <x v="14"/>
    <x v="342"/>
    <x v="102"/>
    <x v="14"/>
    <x v="327"/>
    <x v="506"/>
    <x v="480"/>
    <x v="30"/>
  </r>
  <r>
    <x v="481"/>
    <x v="480"/>
    <x v="762"/>
    <x v="2"/>
    <x v="17"/>
    <x v="11"/>
    <x v="13"/>
    <x v="9"/>
    <x v="6"/>
    <x v="88"/>
    <x v="25"/>
    <x v="13"/>
    <x v="14"/>
    <x v="195"/>
    <x v="78"/>
    <x v="9"/>
    <x v="184"/>
    <x v="456"/>
    <x v="481"/>
    <x v="30"/>
  </r>
  <r>
    <x v="482"/>
    <x v="481"/>
    <x v="767"/>
    <x v="2"/>
    <x v="6"/>
    <x v="22"/>
    <x v="13"/>
    <x v="9"/>
    <x v="6"/>
    <x v="88"/>
    <x v="25"/>
    <x v="11"/>
    <x v="14"/>
    <x v="406"/>
    <x v="232"/>
    <x v="12"/>
    <x v="256"/>
    <x v="472"/>
    <x v="482"/>
    <x v="30"/>
  </r>
  <r>
    <x v="483"/>
    <x v="483"/>
    <x v="769"/>
    <x v="2"/>
    <x v="2"/>
    <x v="18"/>
    <x v="20"/>
    <x v="9"/>
    <x v="6"/>
    <x v="88"/>
    <x v="25"/>
    <x v="20"/>
    <x v="21"/>
    <x v="848"/>
    <x v="352"/>
    <x v="10"/>
    <x v="691"/>
    <x v="1225"/>
    <x v="483"/>
    <x v="30"/>
  </r>
  <r>
    <x v="484"/>
    <x v="484"/>
    <x v="770"/>
    <x v="2"/>
    <x v="12"/>
    <x v="17"/>
    <x v="20"/>
    <x v="9"/>
    <x v="6"/>
    <x v="88"/>
    <x v="25"/>
    <x v="20"/>
    <x v="21"/>
    <x v="731"/>
    <x v="151"/>
    <x v="2"/>
    <x v="697"/>
    <x v="1291"/>
    <x v="484"/>
    <x v="30"/>
  </r>
  <r>
    <x v="485"/>
    <x v="485"/>
    <x v="772"/>
    <x v="2"/>
    <x v="14"/>
    <x v="3"/>
    <x v="20"/>
    <x v="9"/>
    <x v="6"/>
    <x v="88"/>
    <x v="26"/>
    <x v="12"/>
    <x v="21"/>
    <x v="455"/>
    <x v="109"/>
    <x v="8"/>
    <x v="430"/>
    <x v="930"/>
    <x v="485"/>
    <x v="30"/>
  </r>
  <r>
    <x v="486"/>
    <x v="486"/>
    <x v="773"/>
    <x v="2"/>
    <x v="1"/>
    <x v="34"/>
    <x v="20"/>
    <x v="9"/>
    <x v="6"/>
    <x v="88"/>
    <x v="26"/>
    <x v="13"/>
    <x v="21"/>
    <x v="606"/>
    <x v="114"/>
    <x v="11"/>
    <x v="592"/>
    <x v="1046"/>
    <x v="486"/>
    <x v="30"/>
  </r>
  <r>
    <x v="487"/>
    <x v="487"/>
    <x v="771"/>
    <x v="2"/>
    <x v="28"/>
    <x v="33"/>
    <x v="20"/>
    <x v="9"/>
    <x v="6"/>
    <x v="88"/>
    <x v="26"/>
    <x v="17"/>
    <x v="21"/>
    <x v="878"/>
    <x v="353"/>
    <x v="11"/>
    <x v="787"/>
    <x v="1337"/>
    <x v="487"/>
    <x v="30"/>
  </r>
  <r>
    <x v="488"/>
    <x v="488"/>
    <x v="774"/>
    <x v="2"/>
    <x v="27"/>
    <x v="46"/>
    <x v="20"/>
    <x v="9"/>
    <x v="6"/>
    <x v="88"/>
    <x v="26"/>
    <x v="16"/>
    <x v="21"/>
    <x v="849"/>
    <x v="315"/>
    <x v="8"/>
    <x v="759"/>
    <x v="1321"/>
    <x v="488"/>
    <x v="30"/>
  </r>
  <r>
    <x v="489"/>
    <x v="489"/>
    <x v="776"/>
    <x v="2"/>
    <x v="25"/>
    <x v="42"/>
    <x v="20"/>
    <x v="9"/>
    <x v="6"/>
    <x v="88"/>
    <x v="26"/>
    <x v="12"/>
    <x v="21"/>
    <x v="385"/>
    <x v="49"/>
    <x v="7"/>
    <x v="419"/>
    <x v="954"/>
    <x v="489"/>
    <x v="30"/>
  </r>
  <r>
    <x v="490"/>
    <x v="490"/>
    <x v="775"/>
    <x v="2"/>
    <x v="23"/>
    <x v="45"/>
    <x v="20"/>
    <x v="9"/>
    <x v="6"/>
    <x v="88"/>
    <x v="26"/>
    <x v="11"/>
    <x v="21"/>
    <x v="328"/>
    <x v="111"/>
    <x v="7"/>
    <x v="304"/>
    <x v="743"/>
    <x v="490"/>
    <x v="30"/>
  </r>
  <r>
    <x v="491"/>
    <x v="491"/>
    <x v="777"/>
    <x v="2"/>
    <x v="15"/>
    <x v="43"/>
    <x v="20"/>
    <x v="9"/>
    <x v="6"/>
    <x v="88"/>
    <x v="26"/>
    <x v="12"/>
    <x v="21"/>
    <x v="472"/>
    <x v="156"/>
    <x v="6"/>
    <x v="401"/>
    <x v="961"/>
    <x v="491"/>
    <x v="30"/>
  </r>
  <r>
    <x v="492"/>
    <x v="492"/>
    <x v="778"/>
    <x v="2"/>
    <x v="43"/>
    <x v="28"/>
    <x v="20"/>
    <x v="9"/>
    <x v="6"/>
    <x v="88"/>
    <x v="27"/>
    <x v="12"/>
    <x v="21"/>
    <x v="547"/>
    <x v="55"/>
    <x v="11"/>
    <x v="571"/>
    <x v="1025"/>
    <x v="492"/>
    <x v="31"/>
  </r>
  <r>
    <x v="493"/>
    <x v="493"/>
    <x v="781"/>
    <x v="2"/>
    <x v="7"/>
    <x v="14"/>
    <x v="20"/>
    <x v="9"/>
    <x v="6"/>
    <x v="88"/>
    <x v="27"/>
    <x v="12"/>
    <x v="21"/>
    <x v="527"/>
    <x v="169"/>
    <x v="8"/>
    <x v="441"/>
    <x v="953"/>
    <x v="493"/>
    <x v="31"/>
  </r>
  <r>
    <x v="494"/>
    <x v="495"/>
    <x v="779"/>
    <x v="2"/>
    <x v="18"/>
    <x v="9"/>
    <x v="20"/>
    <x v="9"/>
    <x v="6"/>
    <x v="88"/>
    <x v="27"/>
    <x v="11"/>
    <x v="21"/>
    <x v="442"/>
    <x v="155"/>
    <x v="9"/>
    <x v="374"/>
    <x v="790"/>
    <x v="494"/>
    <x v="31"/>
  </r>
  <r>
    <x v="495"/>
    <x v="494"/>
    <x v="780"/>
    <x v="2"/>
    <x v="40"/>
    <x v="24"/>
    <x v="20"/>
    <x v="9"/>
    <x v="6"/>
    <x v="88"/>
    <x v="27"/>
    <x v="11"/>
    <x v="21"/>
    <x v="245"/>
    <x v="76"/>
    <x v="8"/>
    <x v="247"/>
    <x v="603"/>
    <x v="495"/>
    <x v="31"/>
  </r>
  <r>
    <x v="496"/>
    <x v="496"/>
    <x v="783"/>
    <x v="2"/>
    <x v="46"/>
    <x v="32"/>
    <x v="20"/>
    <x v="9"/>
    <x v="6"/>
    <x v="88"/>
    <x v="27"/>
    <x v="13"/>
    <x v="21"/>
    <x v="644"/>
    <x v="93"/>
    <x v="6"/>
    <x v="641"/>
    <x v="1226"/>
    <x v="496"/>
    <x v="31"/>
  </r>
  <r>
    <x v="497"/>
    <x v="497"/>
    <x v="784"/>
    <x v="2"/>
    <x v="41"/>
    <x v="23"/>
    <x v="20"/>
    <x v="9"/>
    <x v="6"/>
    <x v="88"/>
    <x v="27"/>
    <x v="11"/>
    <x v="21"/>
    <x v="336"/>
    <x v="29"/>
    <x v="4"/>
    <x v="393"/>
    <x v="989"/>
    <x v="497"/>
    <x v="31"/>
  </r>
  <r>
    <x v="498"/>
    <x v="498"/>
    <x v="782"/>
    <x v="2"/>
    <x v="33"/>
    <x v="26"/>
    <x v="20"/>
    <x v="9"/>
    <x v="6"/>
    <x v="88"/>
    <x v="27"/>
    <x v="13"/>
    <x v="21"/>
    <x v="632"/>
    <x v="155"/>
    <x v="7"/>
    <x v="594"/>
    <x v="1158"/>
    <x v="498"/>
    <x v="31"/>
  </r>
  <r>
    <x v="499"/>
    <x v="499"/>
    <x v="785"/>
    <x v="2"/>
    <x v="30"/>
    <x v="30"/>
    <x v="20"/>
    <x v="9"/>
    <x v="6"/>
    <x v="88"/>
    <x v="27"/>
    <x v="10"/>
    <x v="21"/>
    <x v="220"/>
    <x v="71"/>
    <x v="7"/>
    <x v="221"/>
    <x v="591"/>
    <x v="499"/>
    <x v="31"/>
  </r>
  <r>
    <x v="500"/>
    <x v="500"/>
    <x v="786"/>
    <x v="2"/>
    <x v="3"/>
    <x v="10"/>
    <x v="20"/>
    <x v="9"/>
    <x v="6"/>
    <x v="88"/>
    <x v="27"/>
    <x v="10"/>
    <x v="21"/>
    <x v="147"/>
    <x v="5"/>
    <x v="10"/>
    <x v="200"/>
    <x v="452"/>
    <x v="500"/>
    <x v="31"/>
  </r>
  <r>
    <x v="501"/>
    <x v="501"/>
    <x v="788"/>
    <x v="2"/>
    <x v="42"/>
    <x v="5"/>
    <x v="20"/>
    <x v="9"/>
    <x v="6"/>
    <x v="88"/>
    <x v="27"/>
    <x v="11"/>
    <x v="21"/>
    <x v="335"/>
    <x v="88"/>
    <x v="6"/>
    <x v="334"/>
    <x v="844"/>
    <x v="501"/>
    <x v="31"/>
  </r>
  <r>
    <x v="502"/>
    <x v="502"/>
    <x v="789"/>
    <x v="2"/>
    <x v="34"/>
    <x v="6"/>
    <x v="20"/>
    <x v="9"/>
    <x v="6"/>
    <x v="88"/>
    <x v="27"/>
    <x v="11"/>
    <x v="21"/>
    <x v="343"/>
    <x v="110"/>
    <x v="13"/>
    <x v="320"/>
    <x v="536"/>
    <x v="502"/>
    <x v="31"/>
  </r>
  <r>
    <x v="503"/>
    <x v="503"/>
    <x v="790"/>
    <x v="2"/>
    <x v="19"/>
    <x v="21"/>
    <x v="20"/>
    <x v="9"/>
    <x v="6"/>
    <x v="88"/>
    <x v="27"/>
    <x v="11"/>
    <x v="21"/>
    <x v="451"/>
    <x v="143"/>
    <x v="10"/>
    <x v="394"/>
    <x v="782"/>
    <x v="503"/>
    <x v="31"/>
  </r>
  <r>
    <x v="504"/>
    <x v="505"/>
    <x v="799"/>
    <x v="2"/>
    <x v="9"/>
    <x v="41"/>
    <x v="20"/>
    <x v="9"/>
    <x v="6"/>
    <x v="88"/>
    <x v="27"/>
    <x v="12"/>
    <x v="21"/>
    <x v="609"/>
    <x v="247"/>
    <x v="8"/>
    <x v="456"/>
    <x v="975"/>
    <x v="504"/>
    <x v="31"/>
  </r>
  <r>
    <x v="505"/>
    <x v="504"/>
    <x v="800"/>
    <x v="2"/>
    <x v="11"/>
    <x v="31"/>
    <x v="20"/>
    <x v="9"/>
    <x v="6"/>
    <x v="88"/>
    <x v="27"/>
    <x v="11"/>
    <x v="21"/>
    <x v="325"/>
    <x v="98"/>
    <x v="3"/>
    <x v="314"/>
    <x v="888"/>
    <x v="505"/>
    <x v="31"/>
  </r>
  <r>
    <x v="506"/>
    <x v="506"/>
    <x v="801"/>
    <x v="2"/>
    <x v="17"/>
    <x v="11"/>
    <x v="20"/>
    <x v="9"/>
    <x v="6"/>
    <x v="88"/>
    <x v="27"/>
    <x v="10"/>
    <x v="21"/>
    <x v="210"/>
    <x v="77"/>
    <x v="12"/>
    <x v="204"/>
    <x v="412"/>
    <x v="506"/>
    <x v="31"/>
  </r>
  <r>
    <x v="507"/>
    <x v="507"/>
    <x v="787"/>
    <x v="2"/>
    <x v="2"/>
    <x v="18"/>
    <x v="20"/>
    <x v="9"/>
    <x v="6"/>
    <x v="88"/>
    <x v="27"/>
    <x v="15"/>
    <x v="21"/>
    <x v="863"/>
    <x v="351"/>
    <x v="17"/>
    <x v="740"/>
    <x v="1212"/>
    <x v="507"/>
    <x v="31"/>
  </r>
  <r>
    <x v="508"/>
    <x v="508"/>
    <x v="791"/>
    <x v="2"/>
    <x v="12"/>
    <x v="17"/>
    <x v="12"/>
    <x v="9"/>
    <x v="6"/>
    <x v="88"/>
    <x v="28"/>
    <x v="19"/>
    <x v="13"/>
    <x v="731"/>
    <x v="159"/>
    <x v="10"/>
    <x v="694"/>
    <x v="1228"/>
    <x v="508"/>
    <x v="31"/>
  </r>
  <r>
    <x v="509"/>
    <x v="509"/>
    <x v="763"/>
    <x v="2"/>
    <x v="36"/>
    <x v="29"/>
    <x v="12"/>
    <x v="9"/>
    <x v="6"/>
    <x v="88"/>
    <x v="28"/>
    <x v="17"/>
    <x v="13"/>
    <x v="630"/>
    <x v="199"/>
    <x v="11"/>
    <x v="548"/>
    <x v="996"/>
    <x v="509"/>
    <x v="31"/>
  </r>
  <r>
    <x v="510"/>
    <x v="510"/>
    <x v="792"/>
    <x v="2"/>
    <x v="26"/>
    <x v="16"/>
    <x v="12"/>
    <x v="9"/>
    <x v="6"/>
    <x v="88"/>
    <x v="28"/>
    <x v="17"/>
    <x v="13"/>
    <x v="472"/>
    <x v="54"/>
    <x v="13"/>
    <x v="493"/>
    <x v="827"/>
    <x v="510"/>
    <x v="31"/>
  </r>
  <r>
    <x v="511"/>
    <x v="511"/>
    <x v="793"/>
    <x v="2"/>
    <x v="13"/>
    <x v="44"/>
    <x v="12"/>
    <x v="9"/>
    <x v="6"/>
    <x v="88"/>
    <x v="28"/>
    <x v="16"/>
    <x v="13"/>
    <x v="440"/>
    <x v="100"/>
    <x v="19"/>
    <x v="426"/>
    <x v="462"/>
    <x v="511"/>
    <x v="31"/>
  </r>
  <r>
    <x v="512"/>
    <x v="512"/>
    <x v="794"/>
    <x v="2"/>
    <x v="28"/>
    <x v="33"/>
    <x v="12"/>
    <x v="9"/>
    <x v="6"/>
    <x v="88"/>
    <x v="28"/>
    <x v="27"/>
    <x v="13"/>
    <x v="908"/>
    <x v="345"/>
    <x v="18"/>
    <x v="818"/>
    <x v="1360"/>
    <x v="512"/>
    <x v="31"/>
  </r>
  <r>
    <x v="513"/>
    <x v="513"/>
    <x v="796"/>
    <x v="2"/>
    <x v="10"/>
    <x v="27"/>
    <x v="12"/>
    <x v="9"/>
    <x v="6"/>
    <x v="88"/>
    <x v="28"/>
    <x v="15"/>
    <x v="13"/>
    <x v="260"/>
    <x v="92"/>
    <x v="8"/>
    <x v="248"/>
    <x v="606"/>
    <x v="513"/>
    <x v="31"/>
  </r>
  <r>
    <x v="514"/>
    <x v="514"/>
    <x v="795"/>
    <x v="2"/>
    <x v="39"/>
    <x v="39"/>
    <x v="12"/>
    <x v="9"/>
    <x v="6"/>
    <x v="88"/>
    <x v="28"/>
    <x v="17"/>
    <x v="13"/>
    <x v="592"/>
    <x v="181"/>
    <x v="7"/>
    <x v="514"/>
    <x v="1074"/>
    <x v="514"/>
    <x v="31"/>
  </r>
  <r>
    <x v="515"/>
    <x v="515"/>
    <x v="802"/>
    <x v="2"/>
    <x v="47"/>
    <x v="19"/>
    <x v="12"/>
    <x v="9"/>
    <x v="6"/>
    <x v="88"/>
    <x v="28"/>
    <x v="16"/>
    <x v="13"/>
    <x v="496"/>
    <x v="213"/>
    <x v="8"/>
    <x v="362"/>
    <x v="806"/>
    <x v="515"/>
    <x v="31"/>
  </r>
  <r>
    <x v="516"/>
    <x v="516"/>
    <x v="798"/>
    <x v="2"/>
    <x v="29"/>
    <x v="15"/>
    <x v="12"/>
    <x v="9"/>
    <x v="6"/>
    <x v="88"/>
    <x v="28"/>
    <x v="17"/>
    <x v="13"/>
    <x v="474"/>
    <x v="96"/>
    <x v="9"/>
    <x v="459"/>
    <x v="933"/>
    <x v="516"/>
    <x v="32"/>
  </r>
  <r>
    <x v="517"/>
    <x v="517"/>
    <x v="797"/>
    <x v="2"/>
    <x v="24"/>
    <x v="37"/>
    <x v="12"/>
    <x v="9"/>
    <x v="6"/>
    <x v="88"/>
    <x v="28"/>
    <x v="16"/>
    <x v="13"/>
    <x v="434"/>
    <x v="78"/>
    <x v="8"/>
    <x v="438"/>
    <x v="944"/>
    <x v="517"/>
    <x v="32"/>
  </r>
  <r>
    <x v="518"/>
    <x v="518"/>
    <x v="803"/>
    <x v="2"/>
    <x v="6"/>
    <x v="22"/>
    <x v="12"/>
    <x v="9"/>
    <x v="6"/>
    <x v="88"/>
    <x v="28"/>
    <x v="15"/>
    <x v="13"/>
    <x v="440"/>
    <x v="224"/>
    <x v="7"/>
    <x v="298"/>
    <x v="732"/>
    <x v="518"/>
    <x v="32"/>
  </r>
  <r>
    <x v="519"/>
    <x v="519"/>
    <x v="804"/>
    <x v="2"/>
    <x v="8"/>
    <x v="38"/>
    <x v="12"/>
    <x v="9"/>
    <x v="6"/>
    <x v="88"/>
    <x v="28"/>
    <x v="14"/>
    <x v="13"/>
    <x v="182"/>
    <x v="84"/>
    <x v="13"/>
    <x v="168"/>
    <x v="348"/>
    <x v="519"/>
    <x v="32"/>
  </r>
  <r>
    <x v="520"/>
    <x v="520"/>
    <x v="805"/>
    <x v="2"/>
    <x v="16"/>
    <x v="35"/>
    <x v="12"/>
    <x v="9"/>
    <x v="6"/>
    <x v="88"/>
    <x v="28"/>
    <x v="14"/>
    <x v="13"/>
    <x v="192"/>
    <x v="47"/>
    <x v="17"/>
    <x v="202"/>
    <x v="299"/>
    <x v="520"/>
    <x v="32"/>
  </r>
  <r>
    <x v="521"/>
    <x v="521"/>
    <x v="807"/>
    <x v="2"/>
    <x v="25"/>
    <x v="42"/>
    <x v="12"/>
    <x v="9"/>
    <x v="6"/>
    <x v="88"/>
    <x v="28"/>
    <x v="15"/>
    <x v="13"/>
    <x v="275"/>
    <x v="46"/>
    <x v="9"/>
    <x v="306"/>
    <x v="662"/>
    <x v="521"/>
    <x v="32"/>
  </r>
  <r>
    <x v="522"/>
    <x v="522"/>
    <x v="806"/>
    <x v="2"/>
    <x v="23"/>
    <x v="45"/>
    <x v="12"/>
    <x v="9"/>
    <x v="6"/>
    <x v="88"/>
    <x v="29"/>
    <x v="14"/>
    <x v="13"/>
    <x v="508"/>
    <x v="104"/>
    <x v="18"/>
    <x v="484"/>
    <x v="587"/>
    <x v="522"/>
    <x v="32"/>
  </r>
  <r>
    <x v="523"/>
    <x v="531"/>
    <x v="820"/>
    <x v="2"/>
    <x v="21"/>
    <x v="4"/>
    <x v="17"/>
    <x v="9"/>
    <x v="6"/>
    <x v="88"/>
    <x v="29"/>
    <x v="14"/>
    <x v="18"/>
    <x v="325"/>
    <x v="105"/>
    <x v="4"/>
    <x v="307"/>
    <x v="838"/>
    <x v="523"/>
    <x v="32"/>
  </r>
  <r>
    <x v="524"/>
    <x v="523"/>
    <x v="808"/>
    <x v="2"/>
    <x v="15"/>
    <x v="43"/>
    <x v="12"/>
    <x v="9"/>
    <x v="6"/>
    <x v="88"/>
    <x v="29"/>
    <x v="12"/>
    <x v="13"/>
    <x v="288"/>
    <x v="152"/>
    <x v="18"/>
    <x v="228"/>
    <x v="301"/>
    <x v="524"/>
    <x v="32"/>
  </r>
  <r>
    <x v="525"/>
    <x v="524"/>
    <x v="809"/>
    <x v="2"/>
    <x v="27"/>
    <x v="46"/>
    <x v="12"/>
    <x v="9"/>
    <x v="6"/>
    <x v="88"/>
    <x v="28"/>
    <x v="22"/>
    <x v="13"/>
    <x v="855"/>
    <x v="318"/>
    <x v="14"/>
    <x v="772"/>
    <x v="1296"/>
    <x v="525"/>
    <x v="32"/>
  </r>
  <r>
    <x v="526"/>
    <x v="525"/>
    <x v="811"/>
    <x v="2"/>
    <x v="5"/>
    <x v="20"/>
    <x v="12"/>
    <x v="9"/>
    <x v="6"/>
    <x v="88"/>
    <x v="28"/>
    <x v="15"/>
    <x v="13"/>
    <x v="394"/>
    <x v="218"/>
    <x v="15"/>
    <x v="262"/>
    <x v="402"/>
    <x v="526"/>
    <x v="32"/>
  </r>
  <r>
    <x v="527"/>
    <x v="526"/>
    <x v="810"/>
    <x v="2"/>
    <x v="0"/>
    <x v="36"/>
    <x v="12"/>
    <x v="9"/>
    <x v="6"/>
    <x v="88"/>
    <x v="29"/>
    <x v="12"/>
    <x v="13"/>
    <x v="196"/>
    <x v="82"/>
    <x v="18"/>
    <x v="182"/>
    <x v="263"/>
    <x v="527"/>
    <x v="32"/>
  </r>
  <r>
    <x v="528"/>
    <x v="527"/>
    <x v="812"/>
    <x v="2"/>
    <x v="38"/>
    <x v="12"/>
    <x v="12"/>
    <x v="9"/>
    <x v="6"/>
    <x v="88"/>
    <x v="29"/>
    <x v="13"/>
    <x v="13"/>
    <x v="329"/>
    <x v="71"/>
    <x v="10"/>
    <x v="342"/>
    <x v="680"/>
    <x v="528"/>
    <x v="32"/>
  </r>
  <r>
    <x v="529"/>
    <x v="528"/>
    <x v="813"/>
    <x v="2"/>
    <x v="45"/>
    <x v="0"/>
    <x v="12"/>
    <x v="9"/>
    <x v="6"/>
    <x v="88"/>
    <x v="28"/>
    <x v="15"/>
    <x v="13"/>
    <x v="302"/>
    <x v="57"/>
    <x v="10"/>
    <x v="326"/>
    <x v="655"/>
    <x v="529"/>
    <x v="32"/>
  </r>
  <r>
    <x v="530"/>
    <x v="536"/>
    <x v="824"/>
    <x v="2"/>
    <x v="34"/>
    <x v="6"/>
    <x v="15"/>
    <x v="9"/>
    <x v="6"/>
    <x v="88"/>
    <x v="29"/>
    <x v="14"/>
    <x v="16"/>
    <x v="320"/>
    <x v="109"/>
    <x v="15"/>
    <x v="298"/>
    <x v="435"/>
    <x v="530"/>
    <x v="33"/>
  </r>
  <r>
    <x v="531"/>
    <x v="529"/>
    <x v="815"/>
    <x v="2"/>
    <x v="43"/>
    <x v="28"/>
    <x v="12"/>
    <x v="9"/>
    <x v="6"/>
    <x v="88"/>
    <x v="29"/>
    <x v="14"/>
    <x v="13"/>
    <x v="450"/>
    <x v="54"/>
    <x v="20"/>
    <x v="475"/>
    <x v="494"/>
    <x v="531"/>
    <x v="32"/>
  </r>
  <r>
    <x v="532"/>
    <x v="530"/>
    <x v="814"/>
    <x v="2"/>
    <x v="4"/>
    <x v="2"/>
    <x v="12"/>
    <x v="9"/>
    <x v="6"/>
    <x v="88"/>
    <x v="28"/>
    <x v="14"/>
    <x v="13"/>
    <x v="128"/>
    <x v="7"/>
    <x v="20"/>
    <x v="172"/>
    <x v="217"/>
    <x v="532"/>
    <x v="32"/>
  </r>
  <r>
    <x v="533"/>
    <x v="532"/>
    <x v="816"/>
    <x v="2"/>
    <x v="1"/>
    <x v="34"/>
    <x v="12"/>
    <x v="9"/>
    <x v="6"/>
    <x v="88"/>
    <x v="28"/>
    <x v="18"/>
    <x v="13"/>
    <x v="636"/>
    <x v="108"/>
    <x v="13"/>
    <x v="625"/>
    <x v="1041"/>
    <x v="533"/>
    <x v="32"/>
  </r>
  <r>
    <x v="534"/>
    <x v="533"/>
    <x v="818"/>
    <x v="2"/>
    <x v="40"/>
    <x v="24"/>
    <x v="12"/>
    <x v="9"/>
    <x v="6"/>
    <x v="88"/>
    <x v="29"/>
    <x v="13"/>
    <x v="13"/>
    <x v="337"/>
    <x v="81"/>
    <x v="13"/>
    <x v="341"/>
    <x v="568"/>
    <x v="534"/>
    <x v="33"/>
  </r>
  <r>
    <x v="535"/>
    <x v="534"/>
    <x v="817"/>
    <x v="2"/>
    <x v="7"/>
    <x v="14"/>
    <x v="12"/>
    <x v="9"/>
    <x v="6"/>
    <x v="88"/>
    <x v="29"/>
    <x v="14"/>
    <x v="13"/>
    <x v="505"/>
    <x v="174"/>
    <x v="16"/>
    <x v="415"/>
    <x v="561"/>
    <x v="535"/>
    <x v="33"/>
  </r>
  <r>
    <x v="536"/>
    <x v="535"/>
    <x v="819"/>
    <x v="2"/>
    <x v="18"/>
    <x v="9"/>
    <x v="12"/>
    <x v="9"/>
    <x v="6"/>
    <x v="88"/>
    <x v="29"/>
    <x v="13"/>
    <x v="13"/>
    <x v="424"/>
    <x v="153"/>
    <x v="13"/>
    <x v="359"/>
    <x v="594"/>
    <x v="536"/>
    <x v="33"/>
  </r>
  <r>
    <x v="537"/>
    <x v="537"/>
    <x v="821"/>
    <x v="2"/>
    <x v="35"/>
    <x v="1"/>
    <x v="12"/>
    <x v="9"/>
    <x v="6"/>
    <x v="88"/>
    <x v="29"/>
    <x v="13"/>
    <x v="13"/>
    <x v="366"/>
    <x v="73"/>
    <x v="10"/>
    <x v="375"/>
    <x v="745"/>
    <x v="537"/>
    <x v="33"/>
  </r>
  <r>
    <x v="538"/>
    <x v="538"/>
    <x v="823"/>
    <x v="2"/>
    <x v="41"/>
    <x v="23"/>
    <x v="12"/>
    <x v="9"/>
    <x v="6"/>
    <x v="88"/>
    <x v="29"/>
    <x v="14"/>
    <x v="13"/>
    <x v="385"/>
    <x v="29"/>
    <x v="16"/>
    <x v="443"/>
    <x v="610"/>
    <x v="538"/>
    <x v="33"/>
  </r>
  <r>
    <x v="539"/>
    <x v="539"/>
    <x v="822"/>
    <x v="2"/>
    <x v="31"/>
    <x v="40"/>
    <x v="12"/>
    <x v="9"/>
    <x v="6"/>
    <x v="88"/>
    <x v="29"/>
    <x v="14"/>
    <x v="13"/>
    <x v="738"/>
    <x v="288"/>
    <x v="14"/>
    <x v="496"/>
    <x v="783"/>
    <x v="539"/>
    <x v="33"/>
  </r>
  <r>
    <x v="540"/>
    <x v="540"/>
    <x v="825"/>
    <x v="2"/>
    <x v="9"/>
    <x v="41"/>
    <x v="12"/>
    <x v="9"/>
    <x v="6"/>
    <x v="88"/>
    <x v="29"/>
    <x v="14"/>
    <x v="13"/>
    <x v="630"/>
    <x v="251"/>
    <x v="10"/>
    <x v="463"/>
    <x v="905"/>
    <x v="540"/>
    <x v="33"/>
  </r>
  <r>
    <x v="541"/>
    <x v="541"/>
    <x v="826"/>
    <x v="2"/>
    <x v="17"/>
    <x v="11"/>
    <x v="12"/>
    <x v="9"/>
    <x v="6"/>
    <x v="88"/>
    <x v="29"/>
    <x v="12"/>
    <x v="13"/>
    <x v="149"/>
    <x v="84"/>
    <x v="13"/>
    <x v="140"/>
    <x v="306"/>
    <x v="541"/>
    <x v="33"/>
  </r>
  <r>
    <x v="542"/>
    <x v="542"/>
    <x v="827"/>
    <x v="2"/>
    <x v="11"/>
    <x v="31"/>
    <x v="12"/>
    <x v="9"/>
    <x v="6"/>
    <x v="88"/>
    <x v="29"/>
    <x v="13"/>
    <x v="13"/>
    <x v="336"/>
    <x v="95"/>
    <x v="19"/>
    <x v="328"/>
    <x v="372"/>
    <x v="542"/>
    <x v="33"/>
  </r>
  <r>
    <x v="543"/>
    <x v="544"/>
    <x v="828"/>
    <x v="2"/>
    <x v="2"/>
    <x v="18"/>
    <x v="12"/>
    <x v="9"/>
    <x v="6"/>
    <x v="88"/>
    <x v="29"/>
    <x v="15"/>
    <x v="13"/>
    <x v="830"/>
    <x v="355"/>
    <x v="11"/>
    <x v="605"/>
    <x v="1069"/>
    <x v="543"/>
    <x v="33"/>
  </r>
  <r>
    <x v="544"/>
    <x v="543"/>
    <x v="829"/>
    <x v="2"/>
    <x v="12"/>
    <x v="17"/>
    <x v="12"/>
    <x v="9"/>
    <x v="6"/>
    <x v="88"/>
    <x v="29"/>
    <x v="15"/>
    <x v="13"/>
    <x v="685"/>
    <x v="161"/>
    <x v="11"/>
    <x v="643"/>
    <x v="1138"/>
    <x v="544"/>
    <x v="33"/>
  </r>
  <r>
    <x v="545"/>
    <x v="545"/>
    <x v="831"/>
    <x v="2"/>
    <x v="19"/>
    <x v="21"/>
    <x v="12"/>
    <x v="9"/>
    <x v="6"/>
    <x v="88"/>
    <x v="29"/>
    <x v="14"/>
    <x v="13"/>
    <x v="463"/>
    <x v="134"/>
    <x v="11"/>
    <x v="416"/>
    <x v="772"/>
    <x v="545"/>
    <x v="33"/>
  </r>
  <r>
    <x v="546"/>
    <x v="546"/>
    <x v="830"/>
    <x v="2"/>
    <x v="42"/>
    <x v="5"/>
    <x v="12"/>
    <x v="9"/>
    <x v="6"/>
    <x v="88"/>
    <x v="29"/>
    <x v="14"/>
    <x v="13"/>
    <x v="443"/>
    <x v="87"/>
    <x v="12"/>
    <x v="439"/>
    <x v="767"/>
    <x v="546"/>
    <x v="33"/>
  </r>
  <r>
    <x v="547"/>
    <x v="547"/>
    <x v="832"/>
    <x v="2"/>
    <x v="46"/>
    <x v="32"/>
    <x v="12"/>
    <x v="9"/>
    <x v="6"/>
    <x v="88"/>
    <x v="29"/>
    <x v="16"/>
    <x v="13"/>
    <x v="661"/>
    <x v="88"/>
    <x v="6"/>
    <x v="659"/>
    <x v="1242"/>
    <x v="547"/>
    <x v="33"/>
  </r>
  <r>
    <x v="548"/>
    <x v="548"/>
    <x v="833"/>
    <x v="2"/>
    <x v="26"/>
    <x v="16"/>
    <x v="12"/>
    <x v="9"/>
    <x v="6"/>
    <x v="88"/>
    <x v="29"/>
    <x v="14"/>
    <x v="13"/>
    <x v="423"/>
    <x v="52"/>
    <x v="7"/>
    <x v="449"/>
    <x v="998"/>
    <x v="548"/>
    <x v="33"/>
  </r>
  <r>
    <x v="549"/>
    <x v="549"/>
    <x v="834"/>
    <x v="2"/>
    <x v="13"/>
    <x v="44"/>
    <x v="12"/>
    <x v="9"/>
    <x v="6"/>
    <x v="88"/>
    <x v="29"/>
    <x v="13"/>
    <x v="13"/>
    <x v="416"/>
    <x v="112"/>
    <x v="6"/>
    <x v="388"/>
    <x v="938"/>
    <x v="549"/>
    <x v="33"/>
  </r>
  <r>
    <x v="550"/>
    <x v="550"/>
    <x v="837"/>
    <x v="2"/>
    <x v="30"/>
    <x v="30"/>
    <x v="12"/>
    <x v="9"/>
    <x v="6"/>
    <x v="88"/>
    <x v="29"/>
    <x v="13"/>
    <x v="13"/>
    <x v="260"/>
    <x v="70"/>
    <x v="10"/>
    <x v="266"/>
    <x v="560"/>
    <x v="550"/>
    <x v="33"/>
  </r>
  <r>
    <x v="551"/>
    <x v="551"/>
    <x v="836"/>
    <x v="2"/>
    <x v="14"/>
    <x v="3"/>
    <x v="12"/>
    <x v="9"/>
    <x v="6"/>
    <x v="88"/>
    <x v="30"/>
    <x v="8"/>
    <x v="13"/>
    <x v="491"/>
    <x v="102"/>
    <x v="11"/>
    <x v="469"/>
    <x v="869"/>
    <x v="551"/>
    <x v="33"/>
  </r>
  <r>
    <x v="552"/>
    <x v="552"/>
    <x v="835"/>
    <x v="2"/>
    <x v="28"/>
    <x v="33"/>
    <x v="12"/>
    <x v="9"/>
    <x v="6"/>
    <x v="88"/>
    <x v="30"/>
    <x v="11"/>
    <x v="13"/>
    <x v="873"/>
    <x v="347"/>
    <x v="10"/>
    <x v="776"/>
    <x v="1329"/>
    <x v="552"/>
    <x v="33"/>
  </r>
  <r>
    <x v="553"/>
    <x v="553"/>
    <x v="838"/>
    <x v="2"/>
    <x v="10"/>
    <x v="27"/>
    <x v="12"/>
    <x v="9"/>
    <x v="6"/>
    <x v="88"/>
    <x v="30"/>
    <x v="8"/>
    <x v="13"/>
    <x v="361"/>
    <x v="91"/>
    <x v="18"/>
    <x v="356"/>
    <x v="418"/>
    <x v="553"/>
    <x v="33"/>
  </r>
  <r>
    <x v="554"/>
    <x v="554"/>
    <x v="839"/>
    <x v="2"/>
    <x v="47"/>
    <x v="19"/>
    <x v="12"/>
    <x v="9"/>
    <x v="6"/>
    <x v="88"/>
    <x v="30"/>
    <x v="8"/>
    <x v="13"/>
    <x v="553"/>
    <x v="212"/>
    <x v="9"/>
    <x v="427"/>
    <x v="882"/>
    <x v="554"/>
    <x v="33"/>
  </r>
  <r>
    <x v="555"/>
    <x v="555"/>
    <x v="840"/>
    <x v="2"/>
    <x v="36"/>
    <x v="29"/>
    <x v="12"/>
    <x v="9"/>
    <x v="6"/>
    <x v="88"/>
    <x v="30"/>
    <x v="9"/>
    <x v="13"/>
    <x v="594"/>
    <x v="199"/>
    <x v="19"/>
    <x v="497"/>
    <x v="567"/>
    <x v="555"/>
    <x v="34"/>
  </r>
  <r>
    <x v="556"/>
    <x v="556"/>
    <x v="841"/>
    <x v="2"/>
    <x v="33"/>
    <x v="26"/>
    <x v="12"/>
    <x v="9"/>
    <x v="6"/>
    <x v="88"/>
    <x v="30"/>
    <x v="11"/>
    <x v="13"/>
    <x v="656"/>
    <x v="158"/>
    <x v="7"/>
    <x v="616"/>
    <x v="1193"/>
    <x v="556"/>
    <x v="34"/>
  </r>
  <r>
    <x v="557"/>
    <x v="557"/>
    <x v="842"/>
    <x v="2"/>
    <x v="29"/>
    <x v="15"/>
    <x v="15"/>
    <x v="9"/>
    <x v="6"/>
    <x v="88"/>
    <x v="30"/>
    <x v="13"/>
    <x v="16"/>
    <x v="382"/>
    <x v="90"/>
    <x v="15"/>
    <x v="377"/>
    <x v="548"/>
    <x v="557"/>
    <x v="34"/>
  </r>
  <r>
    <x v="558"/>
    <x v="569"/>
    <x v="854"/>
    <x v="2"/>
    <x v="3"/>
    <x v="10"/>
    <x v="17"/>
    <x v="9"/>
    <x v="6"/>
    <x v="88"/>
    <x v="31"/>
    <x v="14"/>
    <x v="18"/>
    <x v="175"/>
    <x v="4"/>
    <x v="11"/>
    <x v="232"/>
    <x v="464"/>
    <x v="558"/>
    <x v="34"/>
  </r>
  <r>
    <x v="559"/>
    <x v="570"/>
    <x v="855"/>
    <x v="2"/>
    <x v="34"/>
    <x v="6"/>
    <x v="18"/>
    <x v="9"/>
    <x v="6"/>
    <x v="88"/>
    <x v="31"/>
    <x v="14"/>
    <x v="19"/>
    <x v="295"/>
    <x v="103"/>
    <x v="7"/>
    <x v="278"/>
    <x v="692"/>
    <x v="559"/>
    <x v="34"/>
  </r>
  <r>
    <x v="560"/>
    <x v="558"/>
    <x v="843"/>
    <x v="2"/>
    <x v="6"/>
    <x v="22"/>
    <x v="15"/>
    <x v="9"/>
    <x v="6"/>
    <x v="88"/>
    <x v="30"/>
    <x v="12"/>
    <x v="16"/>
    <x v="422"/>
    <x v="220"/>
    <x v="13"/>
    <x v="287"/>
    <x v="482"/>
    <x v="560"/>
    <x v="34"/>
  </r>
  <r>
    <x v="561"/>
    <x v="559"/>
    <x v="844"/>
    <x v="2"/>
    <x v="5"/>
    <x v="20"/>
    <x v="15"/>
    <x v="9"/>
    <x v="6"/>
    <x v="88"/>
    <x v="30"/>
    <x v="12"/>
    <x v="16"/>
    <x v="401"/>
    <x v="219"/>
    <x v="22"/>
    <x v="266"/>
    <x v="255"/>
    <x v="561"/>
    <x v="34"/>
  </r>
  <r>
    <x v="562"/>
    <x v="560"/>
    <x v="845"/>
    <x v="2"/>
    <x v="39"/>
    <x v="39"/>
    <x v="15"/>
    <x v="9"/>
    <x v="6"/>
    <x v="88"/>
    <x v="30"/>
    <x v="15"/>
    <x v="16"/>
    <x v="667"/>
    <x v="180"/>
    <x v="16"/>
    <x v="615"/>
    <x v="911"/>
    <x v="562"/>
    <x v="34"/>
  </r>
  <r>
    <x v="563"/>
    <x v="561"/>
    <x v="846"/>
    <x v="2"/>
    <x v="25"/>
    <x v="42"/>
    <x v="15"/>
    <x v="9"/>
    <x v="6"/>
    <x v="88"/>
    <x v="30"/>
    <x v="13"/>
    <x v="16"/>
    <x v="393"/>
    <x v="45"/>
    <x v="3"/>
    <x v="428"/>
    <x v="1053"/>
    <x v="563"/>
    <x v="34"/>
  </r>
  <r>
    <x v="564"/>
    <x v="562"/>
    <x v="847"/>
    <x v="2"/>
    <x v="27"/>
    <x v="46"/>
    <x v="15"/>
    <x v="9"/>
    <x v="6"/>
    <x v="88"/>
    <x v="30"/>
    <x v="18"/>
    <x v="16"/>
    <x v="850"/>
    <x v="313"/>
    <x v="8"/>
    <x v="768"/>
    <x v="1332"/>
    <x v="564"/>
    <x v="34"/>
  </r>
  <r>
    <x v="565"/>
    <x v="563"/>
    <x v="848"/>
    <x v="2"/>
    <x v="38"/>
    <x v="12"/>
    <x v="15"/>
    <x v="9"/>
    <x v="6"/>
    <x v="88"/>
    <x v="30"/>
    <x v="13"/>
    <x v="16"/>
    <x v="305"/>
    <x v="72"/>
    <x v="13"/>
    <x v="315"/>
    <x v="525"/>
    <x v="565"/>
    <x v="34"/>
  </r>
  <r>
    <x v="566"/>
    <x v="564"/>
    <x v="849"/>
    <x v="2"/>
    <x v="45"/>
    <x v="0"/>
    <x v="15"/>
    <x v="9"/>
    <x v="6"/>
    <x v="88"/>
    <x v="30"/>
    <x v="12"/>
    <x v="16"/>
    <x v="216"/>
    <x v="57"/>
    <x v="18"/>
    <x v="228"/>
    <x v="301"/>
    <x v="566"/>
    <x v="34"/>
  </r>
  <r>
    <x v="567"/>
    <x v="565"/>
    <x v="850"/>
    <x v="2"/>
    <x v="15"/>
    <x v="43"/>
    <x v="15"/>
    <x v="9"/>
    <x v="6"/>
    <x v="88"/>
    <x v="30"/>
    <x v="12"/>
    <x v="16"/>
    <x v="349"/>
    <x v="150"/>
    <x v="8"/>
    <x v="289"/>
    <x v="671"/>
    <x v="567"/>
    <x v="34"/>
  </r>
  <r>
    <x v="568"/>
    <x v="566"/>
    <x v="851"/>
    <x v="2"/>
    <x v="1"/>
    <x v="34"/>
    <x v="15"/>
    <x v="9"/>
    <x v="6"/>
    <x v="88"/>
    <x v="30"/>
    <x v="14"/>
    <x v="16"/>
    <x v="604"/>
    <x v="116"/>
    <x v="9"/>
    <x v="587"/>
    <x v="1101"/>
    <x v="568"/>
    <x v="34"/>
  </r>
  <r>
    <x v="569"/>
    <x v="567"/>
    <x v="852"/>
    <x v="2"/>
    <x v="16"/>
    <x v="35"/>
    <x v="15"/>
    <x v="9"/>
    <x v="6"/>
    <x v="88"/>
    <x v="30"/>
    <x v="11"/>
    <x v="16"/>
    <x v="104"/>
    <x v="46"/>
    <x v="17"/>
    <x v="109"/>
    <x v="204"/>
    <x v="569"/>
    <x v="34"/>
  </r>
  <r>
    <x v="570"/>
    <x v="568"/>
    <x v="853"/>
    <x v="2"/>
    <x v="8"/>
    <x v="38"/>
    <x v="15"/>
    <x v="9"/>
    <x v="6"/>
    <x v="88"/>
    <x v="31"/>
    <x v="14"/>
    <x v="16"/>
    <x v="161"/>
    <x v="82"/>
    <x v="12"/>
    <x v="151"/>
    <x v="344"/>
    <x v="570"/>
    <x v="34"/>
  </r>
  <r>
    <x v="571"/>
    <x v="571"/>
    <x v="131"/>
    <x v="1"/>
    <x v="37"/>
    <x v="7"/>
    <x v="32"/>
    <x v="8"/>
    <x v="0"/>
    <x v="88"/>
    <x v="32"/>
    <x v="7"/>
    <x v="33"/>
    <x v="5"/>
    <x v="25"/>
    <x v="17"/>
    <x v="6"/>
    <x v="6"/>
    <x v="571"/>
    <x v="35"/>
  </r>
  <r>
    <x v="572"/>
    <x v="572"/>
    <x v="132"/>
    <x v="1"/>
    <x v="1"/>
    <x v="34"/>
    <x v="32"/>
    <x v="8"/>
    <x v="0"/>
    <x v="88"/>
    <x v="32"/>
    <x v="19"/>
    <x v="33"/>
    <x v="339"/>
    <x v="112"/>
    <x v="22"/>
    <x v="315"/>
    <x v="290"/>
    <x v="572"/>
    <x v="35"/>
  </r>
  <r>
    <x v="573"/>
    <x v="573"/>
    <x v="133"/>
    <x v="1"/>
    <x v="38"/>
    <x v="12"/>
    <x v="32"/>
    <x v="8"/>
    <x v="0"/>
    <x v="88"/>
    <x v="32"/>
    <x v="14"/>
    <x v="33"/>
    <x v="38"/>
    <x v="91"/>
    <x v="21"/>
    <x v="40"/>
    <x v="65"/>
    <x v="573"/>
    <x v="35"/>
  </r>
  <r>
    <x v="574"/>
    <x v="574"/>
    <x v="134"/>
    <x v="1"/>
    <x v="37"/>
    <x v="7"/>
    <x v="32"/>
    <x v="8"/>
    <x v="0"/>
    <x v="88"/>
    <x v="32"/>
    <x v="12"/>
    <x v="33"/>
    <x v="23"/>
    <x v="30"/>
    <x v="27"/>
    <x v="26"/>
    <x v="25"/>
    <x v="574"/>
    <x v="36"/>
  </r>
  <r>
    <x v="575"/>
    <x v="575"/>
    <x v="135"/>
    <x v="1"/>
    <x v="1"/>
    <x v="34"/>
    <x v="32"/>
    <x v="8"/>
    <x v="0"/>
    <x v="88"/>
    <x v="32"/>
    <x v="14"/>
    <x v="33"/>
    <x v="42"/>
    <x v="110"/>
    <x v="23"/>
    <x v="42"/>
    <x v="58"/>
    <x v="575"/>
    <x v="36"/>
  </r>
  <r>
    <x v="576"/>
    <x v="576"/>
    <x v="136"/>
    <x v="1"/>
    <x v="37"/>
    <x v="7"/>
    <x v="32"/>
    <x v="8"/>
    <x v="0"/>
    <x v="88"/>
    <x v="32"/>
    <x v="8"/>
    <x v="33"/>
    <x v="8"/>
    <x v="29"/>
    <x v="25"/>
    <x v="10"/>
    <x v="8"/>
    <x v="576"/>
    <x v="36"/>
  </r>
  <r>
    <x v="577"/>
    <x v="577"/>
    <x v="137"/>
    <x v="1"/>
    <x v="45"/>
    <x v="0"/>
    <x v="32"/>
    <x v="8"/>
    <x v="0"/>
    <x v="88"/>
    <x v="33"/>
    <x v="12"/>
    <x v="33"/>
    <x v="20"/>
    <x v="78"/>
    <x v="20"/>
    <x v="19"/>
    <x v="30"/>
    <x v="577"/>
    <x v="36"/>
  </r>
  <r>
    <x v="578"/>
    <x v="578"/>
    <x v="138"/>
    <x v="1"/>
    <x v="3"/>
    <x v="10"/>
    <x v="32"/>
    <x v="8"/>
    <x v="0"/>
    <x v="88"/>
    <x v="33"/>
    <x v="12"/>
    <x v="33"/>
    <x v="18"/>
    <x v="19"/>
    <x v="17"/>
    <x v="21"/>
    <x v="37"/>
    <x v="578"/>
    <x v="36"/>
  </r>
  <r>
    <x v="579"/>
    <x v="579"/>
    <x v="139"/>
    <x v="1"/>
    <x v="45"/>
    <x v="0"/>
    <x v="32"/>
    <x v="8"/>
    <x v="0"/>
    <x v="88"/>
    <x v="33"/>
    <x v="9"/>
    <x v="33"/>
    <x v="9"/>
    <x v="76"/>
    <x v="15"/>
    <x v="11"/>
    <x v="15"/>
    <x v="579"/>
    <x v="36"/>
  </r>
  <r>
    <x v="580"/>
    <x v="580"/>
    <x v="140"/>
    <x v="1"/>
    <x v="3"/>
    <x v="10"/>
    <x v="32"/>
    <x v="8"/>
    <x v="0"/>
    <x v="88"/>
    <x v="33"/>
    <x v="14"/>
    <x v="33"/>
    <x v="30"/>
    <x v="18"/>
    <x v="24"/>
    <x v="32"/>
    <x v="41"/>
    <x v="580"/>
    <x v="36"/>
  </r>
  <r>
    <x v="581"/>
    <x v="581"/>
    <x v="141"/>
    <x v="1"/>
    <x v="45"/>
    <x v="0"/>
    <x v="32"/>
    <x v="8"/>
    <x v="0"/>
    <x v="88"/>
    <x v="33"/>
    <x v="12"/>
    <x v="33"/>
    <x v="24"/>
    <x v="75"/>
    <x v="23"/>
    <x v="22"/>
    <x v="28"/>
    <x v="581"/>
    <x v="36"/>
  </r>
  <r>
    <x v="582"/>
    <x v="582"/>
    <x v="142"/>
    <x v="1"/>
    <x v="3"/>
    <x v="10"/>
    <x v="32"/>
    <x v="8"/>
    <x v="0"/>
    <x v="88"/>
    <x v="33"/>
    <x v="16"/>
    <x v="33"/>
    <x v="39"/>
    <x v="17"/>
    <x v="24"/>
    <x v="46"/>
    <x v="68"/>
    <x v="582"/>
    <x v="36"/>
  </r>
  <r>
    <x v="583"/>
    <x v="583"/>
    <x v="143"/>
    <x v="1"/>
    <x v="45"/>
    <x v="0"/>
    <x v="32"/>
    <x v="8"/>
    <x v="0"/>
    <x v="88"/>
    <x v="33"/>
    <x v="17"/>
    <x v="33"/>
    <x v="51"/>
    <x v="75"/>
    <x v="18"/>
    <x v="51"/>
    <x v="117"/>
    <x v="583"/>
    <x v="36"/>
  </r>
  <r>
    <x v="584"/>
    <x v="584"/>
    <x v="144"/>
    <x v="1"/>
    <x v="34"/>
    <x v="6"/>
    <x v="32"/>
    <x v="8"/>
    <x v="0"/>
    <x v="88"/>
    <x v="33"/>
    <x v="14"/>
    <x v="33"/>
    <x v="33"/>
    <x v="116"/>
    <x v="22"/>
    <x v="31"/>
    <x v="45"/>
    <x v="584"/>
    <x v="36"/>
  </r>
  <r>
    <x v="585"/>
    <x v="585"/>
    <x v="145"/>
    <x v="1"/>
    <x v="3"/>
    <x v="10"/>
    <x v="32"/>
    <x v="8"/>
    <x v="0"/>
    <x v="88"/>
    <x v="33"/>
    <x v="13"/>
    <x v="33"/>
    <x v="26"/>
    <x v="16"/>
    <x v="23"/>
    <x v="28"/>
    <x v="35"/>
    <x v="585"/>
    <x v="36"/>
  </r>
  <r>
    <x v="586"/>
    <x v="586"/>
    <x v="146"/>
    <x v="1"/>
    <x v="45"/>
    <x v="0"/>
    <x v="32"/>
    <x v="8"/>
    <x v="0"/>
    <x v="88"/>
    <x v="33"/>
    <x v="11"/>
    <x v="33"/>
    <x v="14"/>
    <x v="73"/>
    <x v="24"/>
    <x v="16"/>
    <x v="18"/>
    <x v="586"/>
    <x v="37"/>
  </r>
  <r>
    <x v="587"/>
    <x v="587"/>
    <x v="147"/>
    <x v="1"/>
    <x v="3"/>
    <x v="10"/>
    <x v="32"/>
    <x v="8"/>
    <x v="0"/>
    <x v="88"/>
    <x v="33"/>
    <x v="12"/>
    <x v="33"/>
    <x v="19"/>
    <x v="16"/>
    <x v="27"/>
    <x v="24"/>
    <x v="23"/>
    <x v="587"/>
    <x v="37"/>
  </r>
  <r>
    <x v="588"/>
    <x v="588"/>
    <x v="148"/>
    <x v="1"/>
    <x v="45"/>
    <x v="0"/>
    <x v="32"/>
    <x v="8"/>
    <x v="0"/>
    <x v="88"/>
    <x v="33"/>
    <x v="12"/>
    <x v="33"/>
    <x v="22"/>
    <x v="73"/>
    <x v="33"/>
    <x v="20"/>
    <x v="16"/>
    <x v="588"/>
    <x v="37"/>
  </r>
  <r>
    <x v="589"/>
    <x v="589"/>
    <x v="149"/>
    <x v="1"/>
    <x v="3"/>
    <x v="10"/>
    <x v="32"/>
    <x v="8"/>
    <x v="0"/>
    <x v="88"/>
    <x v="33"/>
    <x v="14"/>
    <x v="33"/>
    <x v="29"/>
    <x v="14"/>
    <x v="31"/>
    <x v="33"/>
    <x v="29"/>
    <x v="589"/>
    <x v="37"/>
  </r>
  <r>
    <x v="590"/>
    <x v="590"/>
    <x v="856"/>
    <x v="2"/>
    <x v="18"/>
    <x v="9"/>
    <x v="18"/>
    <x v="9"/>
    <x v="6"/>
    <x v="88"/>
    <x v="33"/>
    <x v="14"/>
    <x v="19"/>
    <x v="403"/>
    <x v="149"/>
    <x v="23"/>
    <x v="344"/>
    <x v="292"/>
    <x v="590"/>
    <x v="37"/>
  </r>
  <r>
    <x v="591"/>
    <x v="591"/>
    <x v="857"/>
    <x v="2"/>
    <x v="40"/>
    <x v="24"/>
    <x v="18"/>
    <x v="9"/>
    <x v="6"/>
    <x v="88"/>
    <x v="33"/>
    <x v="14"/>
    <x v="19"/>
    <x v="284"/>
    <x v="77"/>
    <x v="13"/>
    <x v="290"/>
    <x v="489"/>
    <x v="591"/>
    <x v="37"/>
  </r>
  <r>
    <x v="592"/>
    <x v="592"/>
    <x v="858"/>
    <x v="2"/>
    <x v="7"/>
    <x v="14"/>
    <x v="18"/>
    <x v="9"/>
    <x v="6"/>
    <x v="88"/>
    <x v="33"/>
    <x v="13"/>
    <x v="19"/>
    <x v="327"/>
    <x v="168"/>
    <x v="7"/>
    <x v="249"/>
    <x v="645"/>
    <x v="592"/>
    <x v="37"/>
  </r>
  <r>
    <x v="593"/>
    <x v="593"/>
    <x v="859"/>
    <x v="2"/>
    <x v="41"/>
    <x v="23"/>
    <x v="18"/>
    <x v="9"/>
    <x v="6"/>
    <x v="88"/>
    <x v="33"/>
    <x v="13"/>
    <x v="19"/>
    <x v="149"/>
    <x v="28"/>
    <x v="7"/>
    <x v="181"/>
    <x v="516"/>
    <x v="593"/>
    <x v="37"/>
  </r>
  <r>
    <x v="594"/>
    <x v="594"/>
    <x v="860"/>
    <x v="2"/>
    <x v="31"/>
    <x v="40"/>
    <x v="18"/>
    <x v="9"/>
    <x v="6"/>
    <x v="88"/>
    <x v="33"/>
    <x v="16"/>
    <x v="19"/>
    <x v="771"/>
    <x v="283"/>
    <x v="11"/>
    <x v="625"/>
    <x v="1106"/>
    <x v="594"/>
    <x v="37"/>
  </r>
  <r>
    <x v="595"/>
    <x v="595"/>
    <x v="861"/>
    <x v="2"/>
    <x v="9"/>
    <x v="41"/>
    <x v="18"/>
    <x v="9"/>
    <x v="6"/>
    <x v="88"/>
    <x v="33"/>
    <x v="15"/>
    <x v="19"/>
    <x v="635"/>
    <x v="250"/>
    <x v="7"/>
    <x v="473"/>
    <x v="1027"/>
    <x v="595"/>
    <x v="37"/>
  </r>
  <r>
    <x v="596"/>
    <x v="596"/>
    <x v="863"/>
    <x v="2"/>
    <x v="11"/>
    <x v="31"/>
    <x v="18"/>
    <x v="9"/>
    <x v="6"/>
    <x v="88"/>
    <x v="33"/>
    <x v="13"/>
    <x v="19"/>
    <x v="212"/>
    <x v="95"/>
    <x v="7"/>
    <x v="192"/>
    <x v="546"/>
    <x v="596"/>
    <x v="37"/>
  </r>
  <r>
    <x v="597"/>
    <x v="597"/>
    <x v="862"/>
    <x v="2"/>
    <x v="17"/>
    <x v="11"/>
    <x v="18"/>
    <x v="9"/>
    <x v="6"/>
    <x v="88"/>
    <x v="33"/>
    <x v="12"/>
    <x v="19"/>
    <x v="121"/>
    <x v="85"/>
    <x v="7"/>
    <x v="107"/>
    <x v="381"/>
    <x v="597"/>
    <x v="37"/>
  </r>
  <r>
    <x v="598"/>
    <x v="598"/>
    <x v="865"/>
    <x v="2"/>
    <x v="0"/>
    <x v="36"/>
    <x v="18"/>
    <x v="9"/>
    <x v="6"/>
    <x v="88"/>
    <x v="34"/>
    <x v="11"/>
    <x v="19"/>
    <x v="97"/>
    <x v="83"/>
    <x v="21"/>
    <x v="92"/>
    <x v="146"/>
    <x v="598"/>
    <x v="37"/>
  </r>
  <r>
    <x v="599"/>
    <x v="599"/>
    <x v="864"/>
    <x v="2"/>
    <x v="35"/>
    <x v="1"/>
    <x v="18"/>
    <x v="9"/>
    <x v="6"/>
    <x v="88"/>
    <x v="34"/>
    <x v="12"/>
    <x v="19"/>
    <x v="182"/>
    <x v="74"/>
    <x v="29"/>
    <x v="175"/>
    <x v="121"/>
    <x v="599"/>
    <x v="37"/>
  </r>
  <r>
    <x v="600"/>
    <x v="600"/>
    <x v="866"/>
    <x v="2"/>
    <x v="42"/>
    <x v="5"/>
    <x v="18"/>
    <x v="9"/>
    <x v="6"/>
    <x v="88"/>
    <x v="34"/>
    <x v="13"/>
    <x v="19"/>
    <x v="337"/>
    <x v="93"/>
    <x v="16"/>
    <x v="331"/>
    <x v="444"/>
    <x v="600"/>
    <x v="37"/>
  </r>
  <r>
    <x v="601"/>
    <x v="601"/>
    <x v="867"/>
    <x v="2"/>
    <x v="19"/>
    <x v="21"/>
    <x v="18"/>
    <x v="9"/>
    <x v="6"/>
    <x v="88"/>
    <x v="34"/>
    <x v="13"/>
    <x v="19"/>
    <x v="275"/>
    <x v="139"/>
    <x v="8"/>
    <x v="225"/>
    <x v="562"/>
    <x v="601"/>
    <x v="37"/>
  </r>
  <r>
    <x v="602"/>
    <x v="602"/>
    <x v="868"/>
    <x v="2"/>
    <x v="2"/>
    <x v="18"/>
    <x v="18"/>
    <x v="9"/>
    <x v="6"/>
    <x v="88"/>
    <x v="34"/>
    <x v="16"/>
    <x v="19"/>
    <x v="839"/>
    <x v="352"/>
    <x v="8"/>
    <x v="655"/>
    <x v="1213"/>
    <x v="602"/>
    <x v="37"/>
  </r>
  <r>
    <x v="603"/>
    <x v="603"/>
    <x v="869"/>
    <x v="2"/>
    <x v="46"/>
    <x v="32"/>
    <x v="18"/>
    <x v="9"/>
    <x v="6"/>
    <x v="88"/>
    <x v="34"/>
    <x v="15"/>
    <x v="19"/>
    <x v="544"/>
    <x v="94"/>
    <x v="6"/>
    <x v="534"/>
    <x v="1125"/>
    <x v="603"/>
    <x v="37"/>
  </r>
  <r>
    <x v="604"/>
    <x v="604"/>
    <x v="870"/>
    <x v="2"/>
    <x v="23"/>
    <x v="45"/>
    <x v="18"/>
    <x v="9"/>
    <x v="6"/>
    <x v="88"/>
    <x v="34"/>
    <x v="14"/>
    <x v="19"/>
    <x v="403"/>
    <x v="107"/>
    <x v="11"/>
    <x v="381"/>
    <x v="712"/>
    <x v="604"/>
    <x v="37"/>
  </r>
  <r>
    <x v="605"/>
    <x v="605"/>
    <x v="871"/>
    <x v="2"/>
    <x v="4"/>
    <x v="2"/>
    <x v="18"/>
    <x v="9"/>
    <x v="6"/>
    <x v="88"/>
    <x v="34"/>
    <x v="12"/>
    <x v="19"/>
    <x v="102"/>
    <x v="14"/>
    <x v="12"/>
    <x v="132"/>
    <x v="320"/>
    <x v="605"/>
    <x v="37"/>
  </r>
  <r>
    <x v="606"/>
    <x v="606"/>
    <x v="873"/>
    <x v="2"/>
    <x v="26"/>
    <x v="16"/>
    <x v="18"/>
    <x v="9"/>
    <x v="6"/>
    <x v="88"/>
    <x v="34"/>
    <x v="14"/>
    <x v="19"/>
    <x v="404"/>
    <x v="56"/>
    <x v="7"/>
    <x v="428"/>
    <x v="971"/>
    <x v="606"/>
    <x v="37"/>
  </r>
  <r>
    <x v="607"/>
    <x v="607"/>
    <x v="874"/>
    <x v="2"/>
    <x v="13"/>
    <x v="44"/>
    <x v="18"/>
    <x v="9"/>
    <x v="6"/>
    <x v="88"/>
    <x v="34"/>
    <x v="14"/>
    <x v="19"/>
    <x v="441"/>
    <x v="115"/>
    <x v="3"/>
    <x v="413"/>
    <x v="1036"/>
    <x v="607"/>
    <x v="37"/>
  </r>
  <r>
    <x v="608"/>
    <x v="608"/>
    <x v="872"/>
    <x v="2"/>
    <x v="21"/>
    <x v="4"/>
    <x v="18"/>
    <x v="9"/>
    <x v="6"/>
    <x v="88"/>
    <x v="34"/>
    <x v="12"/>
    <x v="19"/>
    <x v="368"/>
    <x v="101"/>
    <x v="6"/>
    <x v="354"/>
    <x v="878"/>
    <x v="608"/>
    <x v="37"/>
  </r>
  <r>
    <x v="609"/>
    <x v="609"/>
    <x v="878"/>
    <x v="2"/>
    <x v="28"/>
    <x v="33"/>
    <x v="15"/>
    <x v="9"/>
    <x v="6"/>
    <x v="88"/>
    <x v="34"/>
    <x v="26"/>
    <x v="16"/>
    <x v="872"/>
    <x v="346"/>
    <x v="11"/>
    <x v="769"/>
    <x v="1316"/>
    <x v="609"/>
    <x v="38"/>
  </r>
  <r>
    <x v="610"/>
    <x v="610"/>
    <x v="879"/>
    <x v="2"/>
    <x v="14"/>
    <x v="3"/>
    <x v="15"/>
    <x v="9"/>
    <x v="6"/>
    <x v="88"/>
    <x v="34"/>
    <x v="19"/>
    <x v="16"/>
    <x v="429"/>
    <x v="109"/>
    <x v="7"/>
    <x v="405"/>
    <x v="926"/>
    <x v="610"/>
    <x v="38"/>
  </r>
  <r>
    <x v="611"/>
    <x v="611"/>
    <x v="875"/>
    <x v="2"/>
    <x v="43"/>
    <x v="28"/>
    <x v="15"/>
    <x v="9"/>
    <x v="6"/>
    <x v="88"/>
    <x v="34"/>
    <x v="20"/>
    <x v="16"/>
    <x v="439"/>
    <x v="60"/>
    <x v="6"/>
    <x v="460"/>
    <x v="1037"/>
    <x v="611"/>
    <x v="38"/>
  </r>
  <r>
    <x v="612"/>
    <x v="612"/>
    <x v="876"/>
    <x v="2"/>
    <x v="33"/>
    <x v="26"/>
    <x v="15"/>
    <x v="9"/>
    <x v="6"/>
    <x v="88"/>
    <x v="34"/>
    <x v="21"/>
    <x v="16"/>
    <x v="587"/>
    <x v="155"/>
    <x v="10"/>
    <x v="531"/>
    <x v="1006"/>
    <x v="612"/>
    <x v="38"/>
  </r>
  <r>
    <x v="613"/>
    <x v="613"/>
    <x v="877"/>
    <x v="2"/>
    <x v="12"/>
    <x v="17"/>
    <x v="15"/>
    <x v="9"/>
    <x v="6"/>
    <x v="88"/>
    <x v="34"/>
    <x v="22"/>
    <x v="16"/>
    <x v="665"/>
    <x v="152"/>
    <x v="13"/>
    <x v="630"/>
    <x v="1051"/>
    <x v="613"/>
    <x v="38"/>
  </r>
  <r>
    <x v="614"/>
    <x v="614"/>
    <x v="880"/>
    <x v="2"/>
    <x v="47"/>
    <x v="19"/>
    <x v="15"/>
    <x v="9"/>
    <x v="6"/>
    <x v="88"/>
    <x v="34"/>
    <x v="20"/>
    <x v="16"/>
    <x v="576"/>
    <x v="218"/>
    <x v="2"/>
    <x v="446"/>
    <x v="1108"/>
    <x v="614"/>
    <x v="38"/>
  </r>
  <r>
    <x v="615"/>
    <x v="615"/>
    <x v="881"/>
    <x v="2"/>
    <x v="6"/>
    <x v="22"/>
    <x v="15"/>
    <x v="9"/>
    <x v="6"/>
    <x v="88"/>
    <x v="34"/>
    <x v="18"/>
    <x v="16"/>
    <x v="455"/>
    <x v="226"/>
    <x v="7"/>
    <x v="310"/>
    <x v="753"/>
    <x v="615"/>
    <x v="38"/>
  </r>
  <r>
    <x v="616"/>
    <x v="616"/>
    <x v="882"/>
    <x v="2"/>
    <x v="5"/>
    <x v="20"/>
    <x v="17"/>
    <x v="9"/>
    <x v="6"/>
    <x v="88"/>
    <x v="34"/>
    <x v="19"/>
    <x v="18"/>
    <x v="509"/>
    <x v="218"/>
    <x v="2"/>
    <x v="369"/>
    <x v="1014"/>
    <x v="616"/>
    <x v="38"/>
  </r>
  <r>
    <x v="617"/>
    <x v="617"/>
    <x v="883"/>
    <x v="2"/>
    <x v="39"/>
    <x v="39"/>
    <x v="17"/>
    <x v="9"/>
    <x v="6"/>
    <x v="88"/>
    <x v="34"/>
    <x v="19"/>
    <x v="18"/>
    <x v="534"/>
    <x v="182"/>
    <x v="8"/>
    <x v="436"/>
    <x v="936"/>
    <x v="617"/>
    <x v="38"/>
  </r>
  <r>
    <x v="618"/>
    <x v="618"/>
    <x v="884"/>
    <x v="2"/>
    <x v="10"/>
    <x v="27"/>
    <x v="17"/>
    <x v="9"/>
    <x v="6"/>
    <x v="88"/>
    <x v="34"/>
    <x v="20"/>
    <x v="18"/>
    <x v="469"/>
    <x v="96"/>
    <x v="9"/>
    <x v="454"/>
    <x v="929"/>
    <x v="618"/>
    <x v="38"/>
  </r>
  <r>
    <x v="619"/>
    <x v="619"/>
    <x v="885"/>
    <x v="2"/>
    <x v="30"/>
    <x v="30"/>
    <x v="17"/>
    <x v="9"/>
    <x v="6"/>
    <x v="88"/>
    <x v="34"/>
    <x v="18"/>
    <x v="18"/>
    <x v="271"/>
    <x v="70"/>
    <x v="2"/>
    <x v="280"/>
    <x v="863"/>
    <x v="619"/>
    <x v="38"/>
  </r>
  <r>
    <x v="620"/>
    <x v="620"/>
    <x v="886"/>
    <x v="2"/>
    <x v="24"/>
    <x v="37"/>
    <x v="15"/>
    <x v="9"/>
    <x v="6"/>
    <x v="88"/>
    <x v="34"/>
    <x v="20"/>
    <x v="16"/>
    <x v="363"/>
    <x v="79"/>
    <x v="3"/>
    <x v="366"/>
    <x v="983"/>
    <x v="620"/>
    <x v="38"/>
  </r>
  <r>
    <x v="621"/>
    <x v="621"/>
    <x v="887"/>
    <x v="2"/>
    <x v="15"/>
    <x v="43"/>
    <x v="17"/>
    <x v="9"/>
    <x v="6"/>
    <x v="88"/>
    <x v="35"/>
    <x v="12"/>
    <x v="18"/>
    <x v="345"/>
    <x v="155"/>
    <x v="8"/>
    <x v="280"/>
    <x v="654"/>
    <x v="621"/>
    <x v="38"/>
  </r>
  <r>
    <x v="622"/>
    <x v="622"/>
    <x v="888"/>
    <x v="2"/>
    <x v="1"/>
    <x v="34"/>
    <x v="17"/>
    <x v="9"/>
    <x v="6"/>
    <x v="88"/>
    <x v="35"/>
    <x v="14"/>
    <x v="18"/>
    <x v="657"/>
    <x v="111"/>
    <x v="2"/>
    <x v="645"/>
    <x v="1263"/>
    <x v="622"/>
    <x v="38"/>
  </r>
  <r>
    <x v="623"/>
    <x v="623"/>
    <x v="889"/>
    <x v="2"/>
    <x v="31"/>
    <x v="40"/>
    <x v="17"/>
    <x v="9"/>
    <x v="6"/>
    <x v="88"/>
    <x v="35"/>
    <x v="18"/>
    <x v="18"/>
    <x v="852"/>
    <x v="284"/>
    <x v="8"/>
    <x v="786"/>
    <x v="1347"/>
    <x v="623"/>
    <x v="38"/>
  </r>
  <r>
    <x v="624"/>
    <x v="624"/>
    <x v="1092"/>
    <x v="2"/>
    <x v="27"/>
    <x v="46"/>
    <x v="17"/>
    <x v="9"/>
    <x v="6"/>
    <x v="88"/>
    <x v="35"/>
    <x v="18"/>
    <x v="18"/>
    <x v="864"/>
    <x v="315"/>
    <x v="7"/>
    <x v="789"/>
    <x v="1355"/>
    <x v="624"/>
    <x v="38"/>
  </r>
  <r>
    <x v="625"/>
    <x v="625"/>
    <x v="891"/>
    <x v="2"/>
    <x v="9"/>
    <x v="41"/>
    <x v="17"/>
    <x v="9"/>
    <x v="6"/>
    <x v="88"/>
    <x v="35"/>
    <x v="14"/>
    <x v="18"/>
    <x v="732"/>
    <x v="252"/>
    <x v="3"/>
    <x v="634"/>
    <x v="1248"/>
    <x v="625"/>
    <x v="38"/>
  </r>
  <r>
    <x v="626"/>
    <x v="626"/>
    <x v="890"/>
    <x v="2"/>
    <x v="11"/>
    <x v="31"/>
    <x v="17"/>
    <x v="9"/>
    <x v="6"/>
    <x v="88"/>
    <x v="35"/>
    <x v="13"/>
    <x v="18"/>
    <x v="411"/>
    <x v="97"/>
    <x v="3"/>
    <x v="398"/>
    <x v="1018"/>
    <x v="626"/>
    <x v="38"/>
  </r>
  <r>
    <x v="627"/>
    <x v="627"/>
    <x v="892"/>
    <x v="2"/>
    <x v="17"/>
    <x v="11"/>
    <x v="17"/>
    <x v="9"/>
    <x v="6"/>
    <x v="88"/>
    <x v="35"/>
    <x v="11"/>
    <x v="18"/>
    <x v="207"/>
    <x v="75"/>
    <x v="9"/>
    <x v="201"/>
    <x v="491"/>
    <x v="627"/>
    <x v="38"/>
  </r>
  <r>
    <x v="628"/>
    <x v="628"/>
    <x v="893"/>
    <x v="2"/>
    <x v="2"/>
    <x v="18"/>
    <x v="17"/>
    <x v="9"/>
    <x v="6"/>
    <x v="88"/>
    <x v="35"/>
    <x v="19"/>
    <x v="18"/>
    <x v="879"/>
    <x v="351"/>
    <x v="11"/>
    <x v="792"/>
    <x v="1341"/>
    <x v="628"/>
    <x v="39"/>
  </r>
  <r>
    <x v="629"/>
    <x v="629"/>
    <x v="894"/>
    <x v="2"/>
    <x v="29"/>
    <x v="15"/>
    <x v="17"/>
    <x v="9"/>
    <x v="6"/>
    <x v="88"/>
    <x v="35"/>
    <x v="14"/>
    <x v="18"/>
    <x v="644"/>
    <x v="96"/>
    <x v="9"/>
    <x v="640"/>
    <x v="1180"/>
    <x v="629"/>
    <x v="39"/>
  </r>
  <r>
    <x v="630"/>
    <x v="630"/>
    <x v="896"/>
    <x v="2"/>
    <x v="41"/>
    <x v="23"/>
    <x v="17"/>
    <x v="9"/>
    <x v="6"/>
    <x v="88"/>
    <x v="35"/>
    <x v="13"/>
    <x v="18"/>
    <x v="435"/>
    <x v="29"/>
    <x v="11"/>
    <x v="491"/>
    <x v="907"/>
    <x v="630"/>
    <x v="39"/>
  </r>
  <r>
    <x v="631"/>
    <x v="631"/>
    <x v="897"/>
    <x v="2"/>
    <x v="0"/>
    <x v="36"/>
    <x v="17"/>
    <x v="9"/>
    <x v="6"/>
    <x v="88"/>
    <x v="35"/>
    <x v="12"/>
    <x v="18"/>
    <x v="301"/>
    <x v="89"/>
    <x v="3"/>
    <x v="294"/>
    <x v="852"/>
    <x v="631"/>
    <x v="39"/>
  </r>
  <r>
    <x v="632"/>
    <x v="632"/>
    <x v="898"/>
    <x v="2"/>
    <x v="12"/>
    <x v="17"/>
    <x v="17"/>
    <x v="9"/>
    <x v="6"/>
    <x v="88"/>
    <x v="35"/>
    <x v="15"/>
    <x v="18"/>
    <x v="734"/>
    <x v="173"/>
    <x v="4"/>
    <x v="695"/>
    <x v="1278"/>
    <x v="632"/>
    <x v="39"/>
  </r>
  <r>
    <x v="633"/>
    <x v="633"/>
    <x v="899"/>
    <x v="2"/>
    <x v="4"/>
    <x v="2"/>
    <x v="17"/>
    <x v="9"/>
    <x v="6"/>
    <x v="88"/>
    <x v="35"/>
    <x v="11"/>
    <x v="18"/>
    <x v="159"/>
    <x v="16"/>
    <x v="7"/>
    <x v="202"/>
    <x v="559"/>
    <x v="633"/>
    <x v="39"/>
  </r>
  <r>
    <x v="634"/>
    <x v="634"/>
    <x v="902"/>
    <x v="2"/>
    <x v="47"/>
    <x v="19"/>
    <x v="17"/>
    <x v="9"/>
    <x v="6"/>
    <x v="88"/>
    <x v="35"/>
    <x v="13"/>
    <x v="18"/>
    <x v="603"/>
    <x v="218"/>
    <x v="4"/>
    <x v="484"/>
    <x v="1097"/>
    <x v="634"/>
    <x v="39"/>
  </r>
  <r>
    <x v="635"/>
    <x v="635"/>
    <x v="901"/>
    <x v="2"/>
    <x v="10"/>
    <x v="27"/>
    <x v="17"/>
    <x v="9"/>
    <x v="6"/>
    <x v="88"/>
    <x v="36"/>
    <x v="13"/>
    <x v="18"/>
    <x v="540"/>
    <x v="98"/>
    <x v="7"/>
    <x v="525"/>
    <x v="1090"/>
    <x v="635"/>
    <x v="39"/>
  </r>
  <r>
    <x v="636"/>
    <x v="636"/>
    <x v="150"/>
    <x v="1"/>
    <x v="48"/>
    <x v="8"/>
    <x v="32"/>
    <x v="8"/>
    <x v="0"/>
    <x v="88"/>
    <x v="36"/>
    <x v="14"/>
    <x v="33"/>
    <x v="7"/>
    <x v="40"/>
    <x v="29"/>
    <x v="8"/>
    <x v="4"/>
    <x v="636"/>
    <x v="39"/>
  </r>
  <r>
    <x v="637"/>
    <x v="637"/>
    <x v="151"/>
    <x v="1"/>
    <x v="34"/>
    <x v="6"/>
    <x v="32"/>
    <x v="8"/>
    <x v="0"/>
    <x v="88"/>
    <x v="36"/>
    <x v="30"/>
    <x v="33"/>
    <x v="87"/>
    <x v="117"/>
    <x v="20"/>
    <x v="78"/>
    <x v="136"/>
    <x v="637"/>
    <x v="39"/>
  </r>
  <r>
    <x v="638"/>
    <x v="639"/>
    <x v="152"/>
    <x v="1"/>
    <x v="19"/>
    <x v="21"/>
    <x v="32"/>
    <x v="8"/>
    <x v="0"/>
    <x v="88"/>
    <x v="36"/>
    <x v="34"/>
    <x v="33"/>
    <x v="268"/>
    <x v="150"/>
    <x v="31"/>
    <x v="204"/>
    <x v="112"/>
    <x v="638"/>
    <x v="39"/>
  </r>
  <r>
    <x v="639"/>
    <x v="640"/>
    <x v="153"/>
    <x v="1"/>
    <x v="25"/>
    <x v="42"/>
    <x v="32"/>
    <x v="8"/>
    <x v="0"/>
    <x v="88"/>
    <x v="36"/>
    <x v="34"/>
    <x v="33"/>
    <x v="228"/>
    <x v="65"/>
    <x v="32"/>
    <x v="234"/>
    <x v="115"/>
    <x v="639"/>
    <x v="39"/>
  </r>
  <r>
    <x v="640"/>
    <x v="641"/>
    <x v="154"/>
    <x v="1"/>
    <x v="48"/>
    <x v="8"/>
    <x v="32"/>
    <x v="8"/>
    <x v="0"/>
    <x v="88"/>
    <x v="36"/>
    <x v="16"/>
    <x v="33"/>
    <x v="10"/>
    <x v="63"/>
    <x v="26"/>
    <x v="13"/>
    <x v="10"/>
    <x v="640"/>
    <x v="39"/>
  </r>
  <r>
    <x v="641"/>
    <x v="642"/>
    <x v="155"/>
    <x v="1"/>
    <x v="34"/>
    <x v="6"/>
    <x v="32"/>
    <x v="8"/>
    <x v="0"/>
    <x v="88"/>
    <x v="36"/>
    <x v="34"/>
    <x v="33"/>
    <x v="259"/>
    <x v="139"/>
    <x v="21"/>
    <x v="205"/>
    <x v="229"/>
    <x v="641"/>
    <x v="39"/>
  </r>
  <r>
    <x v="642"/>
    <x v="644"/>
    <x v="156"/>
    <x v="1"/>
    <x v="19"/>
    <x v="21"/>
    <x v="32"/>
    <x v="8"/>
    <x v="0"/>
    <x v="88"/>
    <x v="36"/>
    <x v="26"/>
    <x v="33"/>
    <x v="45"/>
    <x v="179"/>
    <x v="30"/>
    <x v="41"/>
    <x v="43"/>
    <x v="642"/>
    <x v="39"/>
  </r>
  <r>
    <x v="643"/>
    <x v="638"/>
    <x v="900"/>
    <x v="2"/>
    <x v="37"/>
    <x v="7"/>
    <x v="17"/>
    <x v="9"/>
    <x v="6"/>
    <x v="88"/>
    <x v="36"/>
    <x v="5"/>
    <x v="18"/>
    <x v="6"/>
    <x v="29"/>
    <x v="2"/>
    <x v="9"/>
    <x v="17"/>
    <x v="643"/>
    <x v="39"/>
  </r>
  <r>
    <x v="644"/>
    <x v="643"/>
    <x v="895"/>
    <x v="2"/>
    <x v="31"/>
    <x v="40"/>
    <x v="17"/>
    <x v="9"/>
    <x v="6"/>
    <x v="88"/>
    <x v="35"/>
    <x v="18"/>
    <x v="18"/>
    <x v="806"/>
    <x v="287"/>
    <x v="2"/>
    <x v="709"/>
    <x v="1298"/>
    <x v="644"/>
    <x v="39"/>
  </r>
  <r>
    <x v="645"/>
    <x v="645"/>
    <x v="157"/>
    <x v="1"/>
    <x v="25"/>
    <x v="42"/>
    <x v="32"/>
    <x v="8"/>
    <x v="0"/>
    <x v="88"/>
    <x v="37"/>
    <x v="15"/>
    <x v="33"/>
    <x v="264"/>
    <x v="74"/>
    <x v="15"/>
    <x v="267"/>
    <x v="404"/>
    <x v="645"/>
    <x v="40"/>
  </r>
  <r>
    <x v="646"/>
    <x v="646"/>
    <x v="158"/>
    <x v="1"/>
    <x v="37"/>
    <x v="7"/>
    <x v="32"/>
    <x v="8"/>
    <x v="0"/>
    <x v="88"/>
    <x v="37"/>
    <x v="12"/>
    <x v="33"/>
    <x v="41"/>
    <x v="33"/>
    <x v="14"/>
    <x v="45"/>
    <x v="129"/>
    <x v="646"/>
    <x v="40"/>
  </r>
  <r>
    <x v="647"/>
    <x v="647"/>
    <x v="159"/>
    <x v="1"/>
    <x v="34"/>
    <x v="6"/>
    <x v="32"/>
    <x v="8"/>
    <x v="0"/>
    <x v="88"/>
    <x v="37"/>
    <x v="14"/>
    <x v="33"/>
    <x v="300"/>
    <x v="118"/>
    <x v="7"/>
    <x v="268"/>
    <x v="675"/>
    <x v="647"/>
    <x v="40"/>
  </r>
  <r>
    <x v="648"/>
    <x v="648"/>
    <x v="160"/>
    <x v="1"/>
    <x v="25"/>
    <x v="42"/>
    <x v="33"/>
    <x v="14"/>
    <x v="0"/>
    <x v="88"/>
    <x v="37"/>
    <x v="42"/>
    <x v="34"/>
    <x v="252"/>
    <x v="71"/>
    <x v="2"/>
    <x v="258"/>
    <x v="825"/>
    <x v="648"/>
    <x v="40"/>
  </r>
  <r>
    <x v="649"/>
    <x v="649"/>
    <x v="161"/>
    <x v="1"/>
    <x v="37"/>
    <x v="7"/>
    <x v="33"/>
    <x v="14"/>
    <x v="0"/>
    <x v="88"/>
    <x v="37"/>
    <x v="22"/>
    <x v="35"/>
    <x v="4"/>
    <x v="31"/>
    <x v="9"/>
    <x v="4"/>
    <x v="5"/>
    <x v="649"/>
    <x v="40"/>
  </r>
  <r>
    <x v="650"/>
    <x v="650"/>
    <x v="162"/>
    <x v="1"/>
    <x v="38"/>
    <x v="12"/>
    <x v="31"/>
    <x v="15"/>
    <x v="2"/>
    <x v="88"/>
    <x v="38"/>
    <x v="17"/>
    <x v="32"/>
    <x v="240"/>
    <x v="90"/>
    <x v="16"/>
    <x v="229"/>
    <x v="347"/>
    <x v="650"/>
    <x v="41"/>
  </r>
  <r>
    <x v="651"/>
    <x v="651"/>
    <x v="163"/>
    <x v="1"/>
    <x v="3"/>
    <x v="10"/>
    <x v="31"/>
    <x v="15"/>
    <x v="2"/>
    <x v="88"/>
    <x v="38"/>
    <x v="15"/>
    <x v="32"/>
    <x v="67"/>
    <x v="13"/>
    <x v="25"/>
    <x v="93"/>
    <x v="106"/>
    <x v="651"/>
    <x v="41"/>
  </r>
  <r>
    <x v="652"/>
    <x v="652"/>
    <x v="164"/>
    <x v="1"/>
    <x v="45"/>
    <x v="0"/>
    <x v="31"/>
    <x v="15"/>
    <x v="2"/>
    <x v="88"/>
    <x v="38"/>
    <x v="15"/>
    <x v="32"/>
    <x v="65"/>
    <x v="74"/>
    <x v="9"/>
    <x v="65"/>
    <x v="239"/>
    <x v="652"/>
    <x v="41"/>
  </r>
  <r>
    <x v="653"/>
    <x v="653"/>
    <x v="165"/>
    <x v="1"/>
    <x v="38"/>
    <x v="12"/>
    <x v="31"/>
    <x v="15"/>
    <x v="2"/>
    <x v="88"/>
    <x v="38"/>
    <x v="17"/>
    <x v="32"/>
    <x v="229"/>
    <x v="89"/>
    <x v="7"/>
    <x v="214"/>
    <x v="585"/>
    <x v="653"/>
    <x v="41"/>
  </r>
  <r>
    <x v="654"/>
    <x v="654"/>
    <x v="903"/>
    <x v="0"/>
    <x v="23"/>
    <x v="45"/>
    <x v="11"/>
    <x v="9"/>
    <x v="3"/>
    <x v="88"/>
    <x v="38"/>
    <x v="12"/>
    <x v="12"/>
    <x v="418"/>
    <x v="114"/>
    <x v="3"/>
    <x v="388"/>
    <x v="1011"/>
    <x v="654"/>
    <x v="41"/>
  </r>
  <r>
    <x v="655"/>
    <x v="655"/>
    <x v="166"/>
    <x v="1"/>
    <x v="3"/>
    <x v="10"/>
    <x v="31"/>
    <x v="15"/>
    <x v="2"/>
    <x v="88"/>
    <x v="38"/>
    <x v="16"/>
    <x v="32"/>
    <x v="93"/>
    <x v="12"/>
    <x v="7"/>
    <x v="122"/>
    <x v="411"/>
    <x v="655"/>
    <x v="41"/>
  </r>
  <r>
    <x v="656"/>
    <x v="656"/>
    <x v="167"/>
    <x v="1"/>
    <x v="45"/>
    <x v="0"/>
    <x v="31"/>
    <x v="15"/>
    <x v="2"/>
    <x v="88"/>
    <x v="38"/>
    <x v="14"/>
    <x v="32"/>
    <x v="43"/>
    <x v="73"/>
    <x v="6"/>
    <x v="44"/>
    <x v="187"/>
    <x v="656"/>
    <x v="41"/>
  </r>
  <r>
    <x v="657"/>
    <x v="657"/>
    <x v="168"/>
    <x v="1"/>
    <x v="38"/>
    <x v="12"/>
    <x v="31"/>
    <x v="15"/>
    <x v="2"/>
    <x v="88"/>
    <x v="38"/>
    <x v="16"/>
    <x v="32"/>
    <x v="156"/>
    <x v="87"/>
    <x v="13"/>
    <x v="144"/>
    <x v="308"/>
    <x v="657"/>
    <x v="41"/>
  </r>
  <r>
    <x v="658"/>
    <x v="658"/>
    <x v="169"/>
    <x v="1"/>
    <x v="23"/>
    <x v="45"/>
    <x v="31"/>
    <x v="15"/>
    <x v="2"/>
    <x v="88"/>
    <x v="38"/>
    <x v="17"/>
    <x v="32"/>
    <x v="250"/>
    <x v="114"/>
    <x v="10"/>
    <x v="220"/>
    <x v="484"/>
    <x v="658"/>
    <x v="41"/>
  </r>
  <r>
    <x v="659"/>
    <x v="659"/>
    <x v="170"/>
    <x v="1"/>
    <x v="3"/>
    <x v="10"/>
    <x v="31"/>
    <x v="15"/>
    <x v="2"/>
    <x v="88"/>
    <x v="38"/>
    <x v="17"/>
    <x v="32"/>
    <x v="139"/>
    <x v="11"/>
    <x v="19"/>
    <x v="184"/>
    <x v="251"/>
    <x v="659"/>
    <x v="41"/>
  </r>
  <r>
    <x v="660"/>
    <x v="660"/>
    <x v="171"/>
    <x v="1"/>
    <x v="45"/>
    <x v="0"/>
    <x v="31"/>
    <x v="15"/>
    <x v="2"/>
    <x v="88"/>
    <x v="38"/>
    <x v="12"/>
    <x v="32"/>
    <x v="34"/>
    <x v="72"/>
    <x v="7"/>
    <x v="38"/>
    <x v="107"/>
    <x v="660"/>
    <x v="41"/>
  </r>
  <r>
    <x v="661"/>
    <x v="661"/>
    <x v="172"/>
    <x v="1"/>
    <x v="38"/>
    <x v="12"/>
    <x v="31"/>
    <x v="15"/>
    <x v="2"/>
    <x v="88"/>
    <x v="38"/>
    <x v="17"/>
    <x v="32"/>
    <x v="226"/>
    <x v="86"/>
    <x v="12"/>
    <x v="213"/>
    <x v="421"/>
    <x v="661"/>
    <x v="41"/>
  </r>
  <r>
    <x v="662"/>
    <x v="662"/>
    <x v="173"/>
    <x v="1"/>
    <x v="23"/>
    <x v="45"/>
    <x v="31"/>
    <x v="15"/>
    <x v="2"/>
    <x v="88"/>
    <x v="38"/>
    <x v="18"/>
    <x v="32"/>
    <x v="353"/>
    <x v="112"/>
    <x v="4"/>
    <x v="329"/>
    <x v="874"/>
    <x v="662"/>
    <x v="41"/>
  </r>
  <r>
    <x v="663"/>
    <x v="663"/>
    <x v="174"/>
    <x v="1"/>
    <x v="3"/>
    <x v="10"/>
    <x v="31"/>
    <x v="15"/>
    <x v="2"/>
    <x v="88"/>
    <x v="38"/>
    <x v="15"/>
    <x v="32"/>
    <x v="68"/>
    <x v="10"/>
    <x v="7"/>
    <x v="95"/>
    <x v="345"/>
    <x v="663"/>
    <x v="41"/>
  </r>
  <r>
    <x v="664"/>
    <x v="664"/>
    <x v="175"/>
    <x v="1"/>
    <x v="45"/>
    <x v="0"/>
    <x v="31"/>
    <x v="15"/>
    <x v="2"/>
    <x v="88"/>
    <x v="38"/>
    <x v="13"/>
    <x v="32"/>
    <x v="40"/>
    <x v="71"/>
    <x v="7"/>
    <x v="43"/>
    <x v="165"/>
    <x v="664"/>
    <x v="41"/>
  </r>
  <r>
    <x v="665"/>
    <x v="665"/>
    <x v="176"/>
    <x v="1"/>
    <x v="38"/>
    <x v="12"/>
    <x v="31"/>
    <x v="15"/>
    <x v="2"/>
    <x v="88"/>
    <x v="38"/>
    <x v="18"/>
    <x v="32"/>
    <x v="278"/>
    <x v="85"/>
    <x v="28"/>
    <x v="275"/>
    <x v="173"/>
    <x v="665"/>
    <x v="41"/>
  </r>
  <r>
    <x v="666"/>
    <x v="666"/>
    <x v="177"/>
    <x v="1"/>
    <x v="23"/>
    <x v="45"/>
    <x v="31"/>
    <x v="15"/>
    <x v="2"/>
    <x v="88"/>
    <x v="38"/>
    <x v="17"/>
    <x v="32"/>
    <x v="227"/>
    <x v="111"/>
    <x v="18"/>
    <x v="195"/>
    <x v="275"/>
    <x v="666"/>
    <x v="41"/>
  </r>
  <r>
    <x v="667"/>
    <x v="667"/>
    <x v="178"/>
    <x v="1"/>
    <x v="3"/>
    <x v="10"/>
    <x v="31"/>
    <x v="15"/>
    <x v="2"/>
    <x v="88"/>
    <x v="38"/>
    <x v="16"/>
    <x v="32"/>
    <x v="91"/>
    <x v="10"/>
    <x v="17"/>
    <x v="121"/>
    <x v="219"/>
    <x v="667"/>
    <x v="41"/>
  </r>
  <r>
    <x v="668"/>
    <x v="668"/>
    <x v="179"/>
    <x v="1"/>
    <x v="45"/>
    <x v="0"/>
    <x v="31"/>
    <x v="15"/>
    <x v="2"/>
    <x v="88"/>
    <x v="38"/>
    <x v="14"/>
    <x v="32"/>
    <x v="49"/>
    <x v="73"/>
    <x v="19"/>
    <x v="49"/>
    <x v="104"/>
    <x v="668"/>
    <x v="41"/>
  </r>
  <r>
    <x v="669"/>
    <x v="669"/>
    <x v="180"/>
    <x v="1"/>
    <x v="38"/>
    <x v="12"/>
    <x v="31"/>
    <x v="15"/>
    <x v="2"/>
    <x v="88"/>
    <x v="38"/>
    <x v="16"/>
    <x v="32"/>
    <x v="163"/>
    <x v="89"/>
    <x v="29"/>
    <x v="147"/>
    <x v="105"/>
    <x v="669"/>
    <x v="42"/>
  </r>
  <r>
    <x v="670"/>
    <x v="670"/>
    <x v="181"/>
    <x v="1"/>
    <x v="23"/>
    <x v="45"/>
    <x v="31"/>
    <x v="15"/>
    <x v="2"/>
    <x v="88"/>
    <x v="38"/>
    <x v="18"/>
    <x v="32"/>
    <x v="307"/>
    <x v="119"/>
    <x v="17"/>
    <x v="276"/>
    <x v="371"/>
    <x v="670"/>
    <x v="42"/>
  </r>
  <r>
    <x v="671"/>
    <x v="671"/>
    <x v="182"/>
    <x v="1"/>
    <x v="34"/>
    <x v="6"/>
    <x v="31"/>
    <x v="15"/>
    <x v="2"/>
    <x v="88"/>
    <x v="39"/>
    <x v="15"/>
    <x v="32"/>
    <x v="185"/>
    <x v="114"/>
    <x v="14"/>
    <x v="153"/>
    <x v="304"/>
    <x v="671"/>
    <x v="42"/>
  </r>
  <r>
    <x v="672"/>
    <x v="672"/>
    <x v="183"/>
    <x v="1"/>
    <x v="1"/>
    <x v="34"/>
    <x v="31"/>
    <x v="15"/>
    <x v="2"/>
    <x v="88"/>
    <x v="39"/>
    <x v="16"/>
    <x v="32"/>
    <x v="269"/>
    <x v="117"/>
    <x v="16"/>
    <x v="236"/>
    <x v="358"/>
    <x v="672"/>
    <x v="42"/>
  </r>
  <r>
    <x v="673"/>
    <x v="673"/>
    <x v="184"/>
    <x v="1"/>
    <x v="15"/>
    <x v="43"/>
    <x v="31"/>
    <x v="15"/>
    <x v="2"/>
    <x v="88"/>
    <x v="39"/>
    <x v="18"/>
    <x v="32"/>
    <x v="290"/>
    <x v="174"/>
    <x v="15"/>
    <x v="208"/>
    <x v="353"/>
    <x v="673"/>
    <x v="42"/>
  </r>
  <r>
    <x v="674"/>
    <x v="674"/>
    <x v="185"/>
    <x v="1"/>
    <x v="25"/>
    <x v="42"/>
    <x v="31"/>
    <x v="9"/>
    <x v="2"/>
    <x v="88"/>
    <x v="39"/>
    <x v="13"/>
    <x v="32"/>
    <x v="77"/>
    <x v="59"/>
    <x v="14"/>
    <x v="85"/>
    <x v="202"/>
    <x v="674"/>
    <x v="42"/>
  </r>
  <r>
    <x v="675"/>
    <x v="675"/>
    <x v="186"/>
    <x v="1"/>
    <x v="34"/>
    <x v="6"/>
    <x v="31"/>
    <x v="9"/>
    <x v="2"/>
    <x v="88"/>
    <x v="39"/>
    <x v="13"/>
    <x v="32"/>
    <x v="80"/>
    <x v="110"/>
    <x v="14"/>
    <x v="71"/>
    <x v="186"/>
    <x v="675"/>
    <x v="42"/>
  </r>
  <r>
    <x v="676"/>
    <x v="676"/>
    <x v="187"/>
    <x v="1"/>
    <x v="1"/>
    <x v="34"/>
    <x v="31"/>
    <x v="9"/>
    <x v="2"/>
    <x v="88"/>
    <x v="39"/>
    <x v="17"/>
    <x v="32"/>
    <x v="402"/>
    <x v="116"/>
    <x v="12"/>
    <x v="372"/>
    <x v="653"/>
    <x v="676"/>
    <x v="42"/>
  </r>
  <r>
    <x v="677"/>
    <x v="677"/>
    <x v="188"/>
    <x v="1"/>
    <x v="15"/>
    <x v="43"/>
    <x v="31"/>
    <x v="9"/>
    <x v="2"/>
    <x v="88"/>
    <x v="39"/>
    <x v="13"/>
    <x v="32"/>
    <x v="115"/>
    <x v="173"/>
    <x v="25"/>
    <x v="75"/>
    <x v="85"/>
    <x v="677"/>
    <x v="42"/>
  </r>
  <r>
    <x v="678"/>
    <x v="678"/>
    <x v="189"/>
    <x v="1"/>
    <x v="25"/>
    <x v="42"/>
    <x v="31"/>
    <x v="9"/>
    <x v="2"/>
    <x v="88"/>
    <x v="39"/>
    <x v="15"/>
    <x v="32"/>
    <x v="233"/>
    <x v="57"/>
    <x v="18"/>
    <x v="245"/>
    <x v="318"/>
    <x v="678"/>
    <x v="42"/>
  </r>
  <r>
    <x v="679"/>
    <x v="679"/>
    <x v="190"/>
    <x v="1"/>
    <x v="34"/>
    <x v="6"/>
    <x v="31"/>
    <x v="9"/>
    <x v="2"/>
    <x v="88"/>
    <x v="39"/>
    <x v="14"/>
    <x v="32"/>
    <x v="116"/>
    <x v="109"/>
    <x v="15"/>
    <x v="98"/>
    <x v="211"/>
    <x v="679"/>
    <x v="42"/>
  </r>
  <r>
    <x v="680"/>
    <x v="680"/>
    <x v="191"/>
    <x v="1"/>
    <x v="1"/>
    <x v="34"/>
    <x v="31"/>
    <x v="9"/>
    <x v="2"/>
    <x v="88"/>
    <x v="39"/>
    <x v="16"/>
    <x v="32"/>
    <x v="363"/>
    <x v="114"/>
    <x v="8"/>
    <x v="337"/>
    <x v="756"/>
    <x v="680"/>
    <x v="42"/>
  </r>
  <r>
    <x v="681"/>
    <x v="681"/>
    <x v="192"/>
    <x v="1"/>
    <x v="15"/>
    <x v="43"/>
    <x v="31"/>
    <x v="9"/>
    <x v="2"/>
    <x v="88"/>
    <x v="39"/>
    <x v="16"/>
    <x v="32"/>
    <x v="389"/>
    <x v="171"/>
    <x v="9"/>
    <x v="308"/>
    <x v="666"/>
    <x v="681"/>
    <x v="42"/>
  </r>
  <r>
    <x v="682"/>
    <x v="682"/>
    <x v="193"/>
    <x v="1"/>
    <x v="25"/>
    <x v="42"/>
    <x v="31"/>
    <x v="9"/>
    <x v="2"/>
    <x v="88"/>
    <x v="39"/>
    <x v="15"/>
    <x v="32"/>
    <x v="186"/>
    <x v="56"/>
    <x v="4"/>
    <x v="191"/>
    <x v="614"/>
    <x v="682"/>
    <x v="42"/>
  </r>
  <r>
    <x v="683"/>
    <x v="683"/>
    <x v="194"/>
    <x v="1"/>
    <x v="34"/>
    <x v="6"/>
    <x v="31"/>
    <x v="9"/>
    <x v="2"/>
    <x v="88"/>
    <x v="39"/>
    <x v="13"/>
    <x v="32"/>
    <x v="88"/>
    <x v="107"/>
    <x v="16"/>
    <x v="82"/>
    <x v="180"/>
    <x v="683"/>
    <x v="42"/>
  </r>
  <r>
    <x v="684"/>
    <x v="684"/>
    <x v="195"/>
    <x v="1"/>
    <x v="1"/>
    <x v="34"/>
    <x v="31"/>
    <x v="9"/>
    <x v="2"/>
    <x v="88"/>
    <x v="39"/>
    <x v="16"/>
    <x v="32"/>
    <x v="326"/>
    <x v="121"/>
    <x v="11"/>
    <x v="293"/>
    <x v="571"/>
    <x v="684"/>
    <x v="42"/>
  </r>
  <r>
    <x v="685"/>
    <x v="685"/>
    <x v="196"/>
    <x v="1"/>
    <x v="15"/>
    <x v="43"/>
    <x v="31"/>
    <x v="9"/>
    <x v="2"/>
    <x v="88"/>
    <x v="39"/>
    <x v="16"/>
    <x v="32"/>
    <x v="360"/>
    <x v="173"/>
    <x v="4"/>
    <x v="277"/>
    <x v="774"/>
    <x v="685"/>
    <x v="42"/>
  </r>
  <r>
    <x v="686"/>
    <x v="686"/>
    <x v="197"/>
    <x v="1"/>
    <x v="25"/>
    <x v="42"/>
    <x v="31"/>
    <x v="9"/>
    <x v="2"/>
    <x v="88"/>
    <x v="39"/>
    <x v="15"/>
    <x v="32"/>
    <x v="150"/>
    <x v="54"/>
    <x v="11"/>
    <x v="159"/>
    <x v="376"/>
    <x v="686"/>
    <x v="42"/>
  </r>
  <r>
    <x v="687"/>
    <x v="687"/>
    <x v="198"/>
    <x v="1"/>
    <x v="34"/>
    <x v="6"/>
    <x v="31"/>
    <x v="9"/>
    <x v="2"/>
    <x v="88"/>
    <x v="39"/>
    <x v="15"/>
    <x v="32"/>
    <x v="202"/>
    <x v="110"/>
    <x v="6"/>
    <x v="171"/>
    <x v="530"/>
    <x v="687"/>
    <x v="42"/>
  </r>
  <r>
    <x v="688"/>
    <x v="688"/>
    <x v="199"/>
    <x v="1"/>
    <x v="1"/>
    <x v="34"/>
    <x v="31"/>
    <x v="9"/>
    <x v="2"/>
    <x v="88"/>
    <x v="39"/>
    <x v="16"/>
    <x v="32"/>
    <x v="386"/>
    <x v="112"/>
    <x v="7"/>
    <x v="363"/>
    <x v="853"/>
    <x v="688"/>
    <x v="43"/>
  </r>
  <r>
    <x v="689"/>
    <x v="689"/>
    <x v="200"/>
    <x v="1"/>
    <x v="15"/>
    <x v="43"/>
    <x v="31"/>
    <x v="9"/>
    <x v="2"/>
    <x v="88"/>
    <x v="39"/>
    <x v="15"/>
    <x v="32"/>
    <x v="283"/>
    <x v="170"/>
    <x v="10"/>
    <x v="204"/>
    <x v="461"/>
    <x v="689"/>
    <x v="43"/>
  </r>
  <r>
    <x v="690"/>
    <x v="690"/>
    <x v="201"/>
    <x v="1"/>
    <x v="25"/>
    <x v="42"/>
    <x v="31"/>
    <x v="9"/>
    <x v="2"/>
    <x v="88"/>
    <x v="39"/>
    <x v="15"/>
    <x v="32"/>
    <x v="220"/>
    <x v="54"/>
    <x v="7"/>
    <x v="235"/>
    <x v="626"/>
    <x v="690"/>
    <x v="43"/>
  </r>
  <r>
    <x v="691"/>
    <x v="691"/>
    <x v="202"/>
    <x v="1"/>
    <x v="34"/>
    <x v="6"/>
    <x v="31"/>
    <x v="9"/>
    <x v="2"/>
    <x v="88"/>
    <x v="39"/>
    <x v="15"/>
    <x v="32"/>
    <x v="187"/>
    <x v="108"/>
    <x v="9"/>
    <x v="158"/>
    <x v="416"/>
    <x v="691"/>
    <x v="43"/>
  </r>
  <r>
    <x v="692"/>
    <x v="692"/>
    <x v="203"/>
    <x v="1"/>
    <x v="15"/>
    <x v="43"/>
    <x v="31"/>
    <x v="9"/>
    <x v="2"/>
    <x v="88"/>
    <x v="39"/>
    <x v="16"/>
    <x v="32"/>
    <x v="391"/>
    <x v="170"/>
    <x v="8"/>
    <x v="311"/>
    <x v="711"/>
    <x v="692"/>
    <x v="43"/>
  </r>
  <r>
    <x v="693"/>
    <x v="693"/>
    <x v="204"/>
    <x v="1"/>
    <x v="25"/>
    <x v="42"/>
    <x v="31"/>
    <x v="9"/>
    <x v="2"/>
    <x v="88"/>
    <x v="39"/>
    <x v="15"/>
    <x v="32"/>
    <x v="169"/>
    <x v="54"/>
    <x v="7"/>
    <x v="173"/>
    <x v="502"/>
    <x v="693"/>
    <x v="43"/>
  </r>
  <r>
    <x v="694"/>
    <x v="694"/>
    <x v="205"/>
    <x v="1"/>
    <x v="16"/>
    <x v="35"/>
    <x v="31"/>
    <x v="9"/>
    <x v="2"/>
    <x v="88"/>
    <x v="40"/>
    <x v="12"/>
    <x v="32"/>
    <x v="61"/>
    <x v="59"/>
    <x v="13"/>
    <x v="68"/>
    <x v="192"/>
    <x v="694"/>
    <x v="43"/>
  </r>
  <r>
    <x v="695"/>
    <x v="695"/>
    <x v="206"/>
    <x v="1"/>
    <x v="8"/>
    <x v="38"/>
    <x v="31"/>
    <x v="9"/>
    <x v="2"/>
    <x v="88"/>
    <x v="40"/>
    <x v="13"/>
    <x v="32"/>
    <x v="85"/>
    <x v="92"/>
    <x v="17"/>
    <x v="86"/>
    <x v="172"/>
    <x v="695"/>
    <x v="43"/>
  </r>
  <r>
    <x v="696"/>
    <x v="696"/>
    <x v="207"/>
    <x v="1"/>
    <x v="21"/>
    <x v="4"/>
    <x v="31"/>
    <x v="9"/>
    <x v="2"/>
    <x v="88"/>
    <x v="40"/>
    <x v="14"/>
    <x v="32"/>
    <x v="183"/>
    <x v="128"/>
    <x v="20"/>
    <x v="143"/>
    <x v="197"/>
    <x v="696"/>
    <x v="43"/>
  </r>
  <r>
    <x v="697"/>
    <x v="697"/>
    <x v="208"/>
    <x v="1"/>
    <x v="42"/>
    <x v="5"/>
    <x v="31"/>
    <x v="9"/>
    <x v="2"/>
    <x v="88"/>
    <x v="40"/>
    <x v="14"/>
    <x v="32"/>
    <x v="156"/>
    <x v="112"/>
    <x v="22"/>
    <x v="124"/>
    <x v="166"/>
    <x v="697"/>
    <x v="43"/>
  </r>
  <r>
    <x v="698"/>
    <x v="698"/>
    <x v="209"/>
    <x v="1"/>
    <x v="16"/>
    <x v="35"/>
    <x v="31"/>
    <x v="9"/>
    <x v="2"/>
    <x v="88"/>
    <x v="40"/>
    <x v="13"/>
    <x v="32"/>
    <x v="74"/>
    <x v="58"/>
    <x v="22"/>
    <x v="82"/>
    <x v="122"/>
    <x v="698"/>
    <x v="43"/>
  </r>
  <r>
    <x v="699"/>
    <x v="699"/>
    <x v="210"/>
    <x v="1"/>
    <x v="8"/>
    <x v="38"/>
    <x v="31"/>
    <x v="9"/>
    <x v="2"/>
    <x v="88"/>
    <x v="40"/>
    <x v="13"/>
    <x v="32"/>
    <x v="86"/>
    <x v="91"/>
    <x v="15"/>
    <x v="87"/>
    <x v="195"/>
    <x v="699"/>
    <x v="43"/>
  </r>
  <r>
    <x v="700"/>
    <x v="700"/>
    <x v="211"/>
    <x v="1"/>
    <x v="21"/>
    <x v="4"/>
    <x v="31"/>
    <x v="9"/>
    <x v="2"/>
    <x v="88"/>
    <x v="40"/>
    <x v="14"/>
    <x v="32"/>
    <x v="254"/>
    <x v="126"/>
    <x v="13"/>
    <x v="212"/>
    <x v="398"/>
    <x v="700"/>
    <x v="43"/>
  </r>
  <r>
    <x v="701"/>
    <x v="701"/>
    <x v="212"/>
    <x v="1"/>
    <x v="42"/>
    <x v="5"/>
    <x v="31"/>
    <x v="9"/>
    <x v="2"/>
    <x v="88"/>
    <x v="40"/>
    <x v="13"/>
    <x v="32"/>
    <x v="87"/>
    <x v="110"/>
    <x v="21"/>
    <x v="80"/>
    <x v="130"/>
    <x v="701"/>
    <x v="43"/>
  </r>
  <r>
    <x v="702"/>
    <x v="702"/>
    <x v="213"/>
    <x v="1"/>
    <x v="16"/>
    <x v="35"/>
    <x v="31"/>
    <x v="9"/>
    <x v="2"/>
    <x v="88"/>
    <x v="40"/>
    <x v="13"/>
    <x v="32"/>
    <x v="75"/>
    <x v="58"/>
    <x v="18"/>
    <x v="83"/>
    <x v="159"/>
    <x v="702"/>
    <x v="43"/>
  </r>
  <r>
    <x v="703"/>
    <x v="703"/>
    <x v="214"/>
    <x v="1"/>
    <x v="8"/>
    <x v="38"/>
    <x v="31"/>
    <x v="9"/>
    <x v="2"/>
    <x v="88"/>
    <x v="40"/>
    <x v="13"/>
    <x v="32"/>
    <x v="101"/>
    <x v="91"/>
    <x v="17"/>
    <x v="91"/>
    <x v="185"/>
    <x v="703"/>
    <x v="43"/>
  </r>
  <r>
    <x v="704"/>
    <x v="704"/>
    <x v="215"/>
    <x v="1"/>
    <x v="21"/>
    <x v="4"/>
    <x v="31"/>
    <x v="9"/>
    <x v="2"/>
    <x v="88"/>
    <x v="40"/>
    <x v="15"/>
    <x v="32"/>
    <x v="277"/>
    <x v="126"/>
    <x v="19"/>
    <x v="239"/>
    <x v="291"/>
    <x v="704"/>
    <x v="43"/>
  </r>
  <r>
    <x v="705"/>
    <x v="705"/>
    <x v="216"/>
    <x v="1"/>
    <x v="42"/>
    <x v="5"/>
    <x v="31"/>
    <x v="9"/>
    <x v="2"/>
    <x v="88"/>
    <x v="40"/>
    <x v="14"/>
    <x v="32"/>
    <x v="181"/>
    <x v="110"/>
    <x v="15"/>
    <x v="149"/>
    <x v="281"/>
    <x v="705"/>
    <x v="43"/>
  </r>
  <r>
    <x v="706"/>
    <x v="706"/>
    <x v="217"/>
    <x v="1"/>
    <x v="16"/>
    <x v="35"/>
    <x v="31"/>
    <x v="9"/>
    <x v="2"/>
    <x v="88"/>
    <x v="40"/>
    <x v="13"/>
    <x v="32"/>
    <x v="64"/>
    <x v="55"/>
    <x v="19"/>
    <x v="72"/>
    <x v="141"/>
    <x v="706"/>
    <x v="43"/>
  </r>
  <r>
    <x v="707"/>
    <x v="707"/>
    <x v="218"/>
    <x v="1"/>
    <x v="8"/>
    <x v="38"/>
    <x v="31"/>
    <x v="9"/>
    <x v="2"/>
    <x v="88"/>
    <x v="40"/>
    <x v="13"/>
    <x v="32"/>
    <x v="76"/>
    <x v="89"/>
    <x v="15"/>
    <x v="74"/>
    <x v="177"/>
    <x v="707"/>
    <x v="43"/>
  </r>
  <r>
    <x v="708"/>
    <x v="708"/>
    <x v="219"/>
    <x v="1"/>
    <x v="21"/>
    <x v="4"/>
    <x v="31"/>
    <x v="9"/>
    <x v="2"/>
    <x v="88"/>
    <x v="40"/>
    <x v="12"/>
    <x v="32"/>
    <x v="59"/>
    <x v="124"/>
    <x v="15"/>
    <x v="50"/>
    <x v="145"/>
    <x v="708"/>
    <x v="43"/>
  </r>
  <r>
    <x v="709"/>
    <x v="710"/>
    <x v="221"/>
    <x v="1"/>
    <x v="16"/>
    <x v="35"/>
    <x v="31"/>
    <x v="9"/>
    <x v="2"/>
    <x v="88"/>
    <x v="40"/>
    <x v="12"/>
    <x v="32"/>
    <x v="46"/>
    <x v="56"/>
    <x v="4"/>
    <x v="48"/>
    <x v="243"/>
    <x v="709"/>
    <x v="43"/>
  </r>
  <r>
    <x v="710"/>
    <x v="711"/>
    <x v="222"/>
    <x v="1"/>
    <x v="8"/>
    <x v="38"/>
    <x v="31"/>
    <x v="9"/>
    <x v="2"/>
    <x v="88"/>
    <x v="40"/>
    <x v="13"/>
    <x v="32"/>
    <x v="81"/>
    <x v="89"/>
    <x v="7"/>
    <x v="80"/>
    <x v="300"/>
    <x v="710"/>
    <x v="43"/>
  </r>
  <r>
    <x v="711"/>
    <x v="712"/>
    <x v="223"/>
    <x v="1"/>
    <x v="21"/>
    <x v="4"/>
    <x v="31"/>
    <x v="9"/>
    <x v="2"/>
    <x v="88"/>
    <x v="40"/>
    <x v="13"/>
    <x v="32"/>
    <x v="117"/>
    <x v="126"/>
    <x v="9"/>
    <x v="90"/>
    <x v="298"/>
    <x v="711"/>
    <x v="43"/>
  </r>
  <r>
    <x v="712"/>
    <x v="713"/>
    <x v="224"/>
    <x v="1"/>
    <x v="42"/>
    <x v="5"/>
    <x v="31"/>
    <x v="9"/>
    <x v="2"/>
    <x v="88"/>
    <x v="40"/>
    <x v="14"/>
    <x v="32"/>
    <x v="160"/>
    <x v="108"/>
    <x v="4"/>
    <x v="133"/>
    <x v="476"/>
    <x v="712"/>
    <x v="43"/>
  </r>
  <r>
    <x v="713"/>
    <x v="714"/>
    <x v="225"/>
    <x v="1"/>
    <x v="16"/>
    <x v="35"/>
    <x v="31"/>
    <x v="9"/>
    <x v="2"/>
    <x v="88"/>
    <x v="40"/>
    <x v="12"/>
    <x v="32"/>
    <x v="52"/>
    <x v="54"/>
    <x v="21"/>
    <x v="57"/>
    <x v="98"/>
    <x v="713"/>
    <x v="44"/>
  </r>
  <r>
    <x v="714"/>
    <x v="715"/>
    <x v="226"/>
    <x v="1"/>
    <x v="8"/>
    <x v="38"/>
    <x v="31"/>
    <x v="9"/>
    <x v="2"/>
    <x v="88"/>
    <x v="40"/>
    <x v="13"/>
    <x v="32"/>
    <x v="71"/>
    <x v="88"/>
    <x v="13"/>
    <x v="69"/>
    <x v="193"/>
    <x v="714"/>
    <x v="44"/>
  </r>
  <r>
    <x v="715"/>
    <x v="709"/>
    <x v="220"/>
    <x v="1"/>
    <x v="42"/>
    <x v="5"/>
    <x v="31"/>
    <x v="9"/>
    <x v="2"/>
    <x v="88"/>
    <x v="40"/>
    <x v="13"/>
    <x v="32"/>
    <x v="282"/>
    <x v="108"/>
    <x v="20"/>
    <x v="261"/>
    <x v="289"/>
    <x v="715"/>
    <x v="43"/>
  </r>
  <r>
    <x v="716"/>
    <x v="737"/>
    <x v="248"/>
    <x v="1"/>
    <x v="34"/>
    <x v="6"/>
    <x v="33"/>
    <x v="0"/>
    <x v="0"/>
    <x v="88"/>
    <x v="42"/>
    <x v="14"/>
    <x v="34"/>
    <x v="69"/>
    <x v="112"/>
    <x v="15"/>
    <x v="59"/>
    <x v="158"/>
    <x v="716"/>
    <x v="45"/>
  </r>
  <r>
    <x v="717"/>
    <x v="738"/>
    <x v="904"/>
    <x v="0"/>
    <x v="25"/>
    <x v="42"/>
    <x v="11"/>
    <x v="9"/>
    <x v="3"/>
    <x v="88"/>
    <x v="42"/>
    <x v="13"/>
    <x v="12"/>
    <x v="334"/>
    <x v="61"/>
    <x v="3"/>
    <x v="357"/>
    <x v="963"/>
    <x v="717"/>
    <x v="45"/>
  </r>
  <r>
    <x v="718"/>
    <x v="739"/>
    <x v="905"/>
    <x v="0"/>
    <x v="42"/>
    <x v="5"/>
    <x v="11"/>
    <x v="9"/>
    <x v="3"/>
    <x v="88"/>
    <x v="42"/>
    <x v="12"/>
    <x v="12"/>
    <x v="323"/>
    <x v="100"/>
    <x v="4"/>
    <x v="310"/>
    <x v="845"/>
    <x v="718"/>
    <x v="45"/>
  </r>
  <r>
    <x v="719"/>
    <x v="740"/>
    <x v="906"/>
    <x v="0"/>
    <x v="15"/>
    <x v="43"/>
    <x v="11"/>
    <x v="9"/>
    <x v="3"/>
    <x v="88"/>
    <x v="42"/>
    <x v="13"/>
    <x v="12"/>
    <x v="550"/>
    <x v="171"/>
    <x v="4"/>
    <x v="469"/>
    <x v="1079"/>
    <x v="719"/>
    <x v="45"/>
  </r>
  <r>
    <x v="720"/>
    <x v="716"/>
    <x v="227"/>
    <x v="1"/>
    <x v="21"/>
    <x v="4"/>
    <x v="34"/>
    <x v="15"/>
    <x v="2"/>
    <x v="88"/>
    <x v="40"/>
    <x v="24"/>
    <x v="36"/>
    <x v="202"/>
    <x v="121"/>
    <x v="23"/>
    <x v="165"/>
    <x v="178"/>
    <x v="720"/>
    <x v="44"/>
  </r>
  <r>
    <x v="721"/>
    <x v="717"/>
    <x v="228"/>
    <x v="1"/>
    <x v="42"/>
    <x v="5"/>
    <x v="34"/>
    <x v="15"/>
    <x v="2"/>
    <x v="88"/>
    <x v="40"/>
    <x v="24"/>
    <x v="36"/>
    <x v="193"/>
    <x v="105"/>
    <x v="14"/>
    <x v="164"/>
    <x v="317"/>
    <x v="721"/>
    <x v="44"/>
  </r>
  <r>
    <x v="722"/>
    <x v="741"/>
    <x v="906"/>
    <x v="0"/>
    <x v="45"/>
    <x v="0"/>
    <x v="11"/>
    <x v="9"/>
    <x v="3"/>
    <x v="88"/>
    <x v="42"/>
    <x v="13"/>
    <x v="12"/>
    <x v="459"/>
    <x v="73"/>
    <x v="4"/>
    <x v="465"/>
    <x v="1073"/>
    <x v="722"/>
    <x v="45"/>
  </r>
  <r>
    <x v="723"/>
    <x v="718"/>
    <x v="229"/>
    <x v="1"/>
    <x v="16"/>
    <x v="35"/>
    <x v="34"/>
    <x v="15"/>
    <x v="2"/>
    <x v="88"/>
    <x v="40"/>
    <x v="21"/>
    <x v="36"/>
    <x v="53"/>
    <x v="52"/>
    <x v="23"/>
    <x v="61"/>
    <x v="87"/>
    <x v="723"/>
    <x v="44"/>
  </r>
  <r>
    <x v="724"/>
    <x v="719"/>
    <x v="230"/>
    <x v="1"/>
    <x v="8"/>
    <x v="38"/>
    <x v="34"/>
    <x v="15"/>
    <x v="2"/>
    <x v="88"/>
    <x v="40"/>
    <x v="21"/>
    <x v="36"/>
    <x v="57"/>
    <x v="87"/>
    <x v="23"/>
    <x v="56"/>
    <x v="84"/>
    <x v="724"/>
    <x v="44"/>
  </r>
  <r>
    <x v="725"/>
    <x v="720"/>
    <x v="231"/>
    <x v="1"/>
    <x v="21"/>
    <x v="4"/>
    <x v="34"/>
    <x v="15"/>
    <x v="2"/>
    <x v="88"/>
    <x v="40"/>
    <x v="25"/>
    <x v="36"/>
    <x v="304"/>
    <x v="120"/>
    <x v="22"/>
    <x v="271"/>
    <x v="260"/>
    <x v="725"/>
    <x v="44"/>
  </r>
  <r>
    <x v="726"/>
    <x v="736"/>
    <x v="247"/>
    <x v="1"/>
    <x v="3"/>
    <x v="10"/>
    <x v="34"/>
    <x v="15"/>
    <x v="2"/>
    <x v="88"/>
    <x v="41"/>
    <x v="16"/>
    <x v="36"/>
    <x v="15"/>
    <x v="22"/>
    <x v="27"/>
    <x v="18"/>
    <x v="19"/>
    <x v="726"/>
    <x v="44"/>
  </r>
  <r>
    <x v="727"/>
    <x v="721"/>
    <x v="232"/>
    <x v="1"/>
    <x v="42"/>
    <x v="5"/>
    <x v="34"/>
    <x v="15"/>
    <x v="2"/>
    <x v="88"/>
    <x v="41"/>
    <x v="25"/>
    <x v="36"/>
    <x v="164"/>
    <x v="104"/>
    <x v="33"/>
    <x v="139"/>
    <x v="78"/>
    <x v="727"/>
    <x v="44"/>
  </r>
  <r>
    <x v="728"/>
    <x v="722"/>
    <x v="233"/>
    <x v="1"/>
    <x v="38"/>
    <x v="12"/>
    <x v="34"/>
    <x v="15"/>
    <x v="2"/>
    <x v="88"/>
    <x v="41"/>
    <x v="26"/>
    <x v="36"/>
    <x v="160"/>
    <x v="84"/>
    <x v="26"/>
    <x v="149"/>
    <x v="140"/>
    <x v="728"/>
    <x v="44"/>
  </r>
  <r>
    <x v="729"/>
    <x v="735"/>
    <x v="246"/>
    <x v="1"/>
    <x v="23"/>
    <x v="45"/>
    <x v="34"/>
    <x v="15"/>
    <x v="2"/>
    <x v="88"/>
    <x v="41"/>
    <x v="27"/>
    <x v="36"/>
    <x v="264"/>
    <x v="117"/>
    <x v="31"/>
    <x v="232"/>
    <x v="125"/>
    <x v="729"/>
    <x v="44"/>
  </r>
  <r>
    <x v="730"/>
    <x v="723"/>
    <x v="234"/>
    <x v="1"/>
    <x v="23"/>
    <x v="45"/>
    <x v="34"/>
    <x v="15"/>
    <x v="2"/>
    <x v="88"/>
    <x v="41"/>
    <x v="26"/>
    <x v="36"/>
    <x v="207"/>
    <x v="108"/>
    <x v="29"/>
    <x v="178"/>
    <x v="124"/>
    <x v="730"/>
    <x v="44"/>
  </r>
  <r>
    <x v="731"/>
    <x v="734"/>
    <x v="245"/>
    <x v="1"/>
    <x v="38"/>
    <x v="12"/>
    <x v="34"/>
    <x v="15"/>
    <x v="2"/>
    <x v="88"/>
    <x v="41"/>
    <x v="25"/>
    <x v="36"/>
    <x v="123"/>
    <x v="76"/>
    <x v="30"/>
    <x v="113"/>
    <x v="82"/>
    <x v="731"/>
    <x v="44"/>
  </r>
  <r>
    <x v="732"/>
    <x v="724"/>
    <x v="235"/>
    <x v="1"/>
    <x v="3"/>
    <x v="10"/>
    <x v="34"/>
    <x v="15"/>
    <x v="2"/>
    <x v="88"/>
    <x v="41"/>
    <x v="24"/>
    <x v="36"/>
    <x v="60"/>
    <x v="17"/>
    <x v="26"/>
    <x v="88"/>
    <x v="88"/>
    <x v="732"/>
    <x v="44"/>
  </r>
  <r>
    <x v="733"/>
    <x v="725"/>
    <x v="236"/>
    <x v="1"/>
    <x v="34"/>
    <x v="6"/>
    <x v="34"/>
    <x v="15"/>
    <x v="2"/>
    <x v="88"/>
    <x v="41"/>
    <x v="25"/>
    <x v="36"/>
    <x v="176"/>
    <x v="115"/>
    <x v="30"/>
    <x v="142"/>
    <x v="93"/>
    <x v="733"/>
    <x v="44"/>
  </r>
  <r>
    <x v="734"/>
    <x v="733"/>
    <x v="244"/>
    <x v="1"/>
    <x v="34"/>
    <x v="6"/>
    <x v="34"/>
    <x v="15"/>
    <x v="2"/>
    <x v="88"/>
    <x v="41"/>
    <x v="24"/>
    <x v="36"/>
    <x v="114"/>
    <x v="113"/>
    <x v="24"/>
    <x v="94"/>
    <x v="118"/>
    <x v="734"/>
    <x v="44"/>
  </r>
  <r>
    <x v="735"/>
    <x v="726"/>
    <x v="237"/>
    <x v="1"/>
    <x v="38"/>
    <x v="12"/>
    <x v="34"/>
    <x v="15"/>
    <x v="2"/>
    <x v="88"/>
    <x v="41"/>
    <x v="27"/>
    <x v="36"/>
    <x v="262"/>
    <x v="81"/>
    <x v="21"/>
    <x v="260"/>
    <x v="269"/>
    <x v="735"/>
    <x v="44"/>
  </r>
  <r>
    <x v="736"/>
    <x v="732"/>
    <x v="243"/>
    <x v="1"/>
    <x v="3"/>
    <x v="10"/>
    <x v="34"/>
    <x v="15"/>
    <x v="2"/>
    <x v="88"/>
    <x v="41"/>
    <x v="26"/>
    <x v="36"/>
    <x v="119"/>
    <x v="14"/>
    <x v="31"/>
    <x v="155"/>
    <x v="91"/>
    <x v="736"/>
    <x v="44"/>
  </r>
  <r>
    <x v="737"/>
    <x v="727"/>
    <x v="238"/>
    <x v="1"/>
    <x v="23"/>
    <x v="45"/>
    <x v="34"/>
    <x v="15"/>
    <x v="2"/>
    <x v="88"/>
    <x v="41"/>
    <x v="29"/>
    <x v="36"/>
    <x v="401"/>
    <x v="120"/>
    <x v="28"/>
    <x v="368"/>
    <x v="214"/>
    <x v="737"/>
    <x v="44"/>
  </r>
  <r>
    <x v="738"/>
    <x v="728"/>
    <x v="239"/>
    <x v="1"/>
    <x v="3"/>
    <x v="10"/>
    <x v="34"/>
    <x v="15"/>
    <x v="2"/>
    <x v="88"/>
    <x v="41"/>
    <x v="25"/>
    <x v="36"/>
    <x v="106"/>
    <x v="15"/>
    <x v="28"/>
    <x v="139"/>
    <x v="109"/>
    <x v="738"/>
    <x v="44"/>
  </r>
  <r>
    <x v="739"/>
    <x v="731"/>
    <x v="242"/>
    <x v="1"/>
    <x v="23"/>
    <x v="45"/>
    <x v="34"/>
    <x v="15"/>
    <x v="2"/>
    <x v="88"/>
    <x v="41"/>
    <x v="26"/>
    <x v="36"/>
    <x v="205"/>
    <x v="118"/>
    <x v="32"/>
    <x v="169"/>
    <x v="86"/>
    <x v="739"/>
    <x v="44"/>
  </r>
  <r>
    <x v="740"/>
    <x v="729"/>
    <x v="240"/>
    <x v="1"/>
    <x v="34"/>
    <x v="6"/>
    <x v="34"/>
    <x v="15"/>
    <x v="2"/>
    <x v="88"/>
    <x v="41"/>
    <x v="26"/>
    <x v="36"/>
    <x v="196"/>
    <x v="113"/>
    <x v="15"/>
    <x v="163"/>
    <x v="296"/>
    <x v="740"/>
    <x v="44"/>
  </r>
  <r>
    <x v="741"/>
    <x v="730"/>
    <x v="241"/>
    <x v="1"/>
    <x v="38"/>
    <x v="12"/>
    <x v="34"/>
    <x v="15"/>
    <x v="2"/>
    <x v="88"/>
    <x v="41"/>
    <x v="27"/>
    <x v="36"/>
    <x v="193"/>
    <x v="80"/>
    <x v="30"/>
    <x v="180"/>
    <x v="111"/>
    <x v="741"/>
    <x v="44"/>
  </r>
  <r>
    <x v="742"/>
    <x v="742"/>
    <x v="907"/>
    <x v="0"/>
    <x v="26"/>
    <x v="16"/>
    <x v="11"/>
    <x v="9"/>
    <x v="3"/>
    <x v="88"/>
    <x v="42"/>
    <x v="14"/>
    <x v="12"/>
    <x v="563"/>
    <x v="73"/>
    <x v="3"/>
    <x v="573"/>
    <x v="1200"/>
    <x v="742"/>
    <x v="45"/>
  </r>
  <r>
    <x v="743"/>
    <x v="743"/>
    <x v="907"/>
    <x v="0"/>
    <x v="13"/>
    <x v="44"/>
    <x v="11"/>
    <x v="9"/>
    <x v="3"/>
    <x v="88"/>
    <x v="42"/>
    <x v="14"/>
    <x v="12"/>
    <x v="539"/>
    <x v="106"/>
    <x v="3"/>
    <x v="517"/>
    <x v="1150"/>
    <x v="743"/>
    <x v="45"/>
  </r>
  <r>
    <x v="744"/>
    <x v="744"/>
    <x v="908"/>
    <x v="0"/>
    <x v="28"/>
    <x v="33"/>
    <x v="11"/>
    <x v="9"/>
    <x v="3"/>
    <x v="88"/>
    <x v="42"/>
    <x v="23"/>
    <x v="12"/>
    <x v="928"/>
    <x v="368"/>
    <x v="6"/>
    <x v="841"/>
    <x v="1399"/>
    <x v="744"/>
    <x v="45"/>
  </r>
  <r>
    <x v="745"/>
    <x v="745"/>
    <x v="909"/>
    <x v="0"/>
    <x v="14"/>
    <x v="3"/>
    <x v="11"/>
    <x v="9"/>
    <x v="3"/>
    <x v="88"/>
    <x v="42"/>
    <x v="14"/>
    <x v="12"/>
    <x v="579"/>
    <x v="121"/>
    <x v="7"/>
    <x v="551"/>
    <x v="1120"/>
    <x v="745"/>
    <x v="45"/>
  </r>
  <r>
    <x v="746"/>
    <x v="746"/>
    <x v="910"/>
    <x v="0"/>
    <x v="27"/>
    <x v="46"/>
    <x v="11"/>
    <x v="9"/>
    <x v="3"/>
    <x v="88"/>
    <x v="42"/>
    <x v="19"/>
    <x v="12"/>
    <x v="865"/>
    <x v="326"/>
    <x v="6"/>
    <x v="788"/>
    <x v="1357"/>
    <x v="746"/>
    <x v="45"/>
  </r>
  <r>
    <x v="747"/>
    <x v="747"/>
    <x v="1096"/>
    <x v="0"/>
    <x v="38"/>
    <x v="12"/>
    <x v="11"/>
    <x v="9"/>
    <x v="3"/>
    <x v="88"/>
    <x v="42"/>
    <x v="13"/>
    <x v="12"/>
    <x v="412"/>
    <x v="100"/>
    <x v="6"/>
    <x v="396"/>
    <x v="955"/>
    <x v="747"/>
    <x v="45"/>
  </r>
  <r>
    <x v="748"/>
    <x v="748"/>
    <x v="1096"/>
    <x v="0"/>
    <x v="35"/>
    <x v="1"/>
    <x v="11"/>
    <x v="9"/>
    <x v="3"/>
    <x v="88"/>
    <x v="42"/>
    <x v="14"/>
    <x v="12"/>
    <x v="561"/>
    <x v="112"/>
    <x v="6"/>
    <x v="539"/>
    <x v="1129"/>
    <x v="748"/>
    <x v="45"/>
  </r>
  <r>
    <x v="749"/>
    <x v="749"/>
    <x v="1096"/>
    <x v="0"/>
    <x v="21"/>
    <x v="4"/>
    <x v="11"/>
    <x v="9"/>
    <x v="3"/>
    <x v="88"/>
    <x v="42"/>
    <x v="14"/>
    <x v="12"/>
    <x v="552"/>
    <x v="124"/>
    <x v="6"/>
    <x v="517"/>
    <x v="1105"/>
    <x v="749"/>
    <x v="45"/>
  </r>
  <r>
    <x v="750"/>
    <x v="750"/>
    <x v="249"/>
    <x v="1"/>
    <x v="48"/>
    <x v="8"/>
    <x v="33"/>
    <x v="0"/>
    <x v="0"/>
    <x v="88"/>
    <x v="43"/>
    <x v="14"/>
    <x v="34"/>
    <x v="25"/>
    <x v="45"/>
    <x v="30"/>
    <x v="25"/>
    <x v="21"/>
    <x v="750"/>
    <x v="46"/>
  </r>
  <r>
    <x v="751"/>
    <x v="751"/>
    <x v="250"/>
    <x v="1"/>
    <x v="37"/>
    <x v="7"/>
    <x v="33"/>
    <x v="0"/>
    <x v="0"/>
    <x v="88"/>
    <x v="43"/>
    <x v="14"/>
    <x v="34"/>
    <x v="28"/>
    <x v="37"/>
    <x v="46"/>
    <x v="29"/>
    <x v="9"/>
    <x v="751"/>
    <x v="46"/>
  </r>
  <r>
    <x v="752"/>
    <x v="752"/>
    <x v="1094"/>
    <x v="0"/>
    <x v="23"/>
    <x v="45"/>
    <x v="11"/>
    <x v="9"/>
    <x v="3"/>
    <x v="88"/>
    <x v="43"/>
    <x v="7"/>
    <x v="12"/>
    <x v="441"/>
    <x v="113"/>
    <x v="19"/>
    <x v="415"/>
    <x v="449"/>
    <x v="752"/>
    <x v="46"/>
  </r>
  <r>
    <x v="753"/>
    <x v="753"/>
    <x v="1094"/>
    <x v="0"/>
    <x v="25"/>
    <x v="42"/>
    <x v="11"/>
    <x v="9"/>
    <x v="3"/>
    <x v="88"/>
    <x v="43"/>
    <x v="8"/>
    <x v="12"/>
    <x v="421"/>
    <x v="62"/>
    <x v="10"/>
    <x v="439"/>
    <x v="860"/>
    <x v="753"/>
    <x v="46"/>
  </r>
  <r>
    <x v="754"/>
    <x v="754"/>
    <x v="1094"/>
    <x v="0"/>
    <x v="35"/>
    <x v="1"/>
    <x v="11"/>
    <x v="9"/>
    <x v="3"/>
    <x v="88"/>
    <x v="43"/>
    <x v="8"/>
    <x v="12"/>
    <x v="565"/>
    <x v="101"/>
    <x v="10"/>
    <x v="550"/>
    <x v="1031"/>
    <x v="754"/>
    <x v="46"/>
  </r>
  <r>
    <x v="755"/>
    <x v="755"/>
    <x v="1094"/>
    <x v="0"/>
    <x v="42"/>
    <x v="5"/>
    <x v="11"/>
    <x v="9"/>
    <x v="3"/>
    <x v="88"/>
    <x v="43"/>
    <x v="7"/>
    <x v="12"/>
    <x v="417"/>
    <x v="89"/>
    <x v="4"/>
    <x v="411"/>
    <x v="1007"/>
    <x v="755"/>
    <x v="46"/>
  </r>
  <r>
    <x v="756"/>
    <x v="756"/>
    <x v="1094"/>
    <x v="0"/>
    <x v="3"/>
    <x v="10"/>
    <x v="11"/>
    <x v="9"/>
    <x v="3"/>
    <x v="88"/>
    <x v="43"/>
    <x v="7"/>
    <x v="12"/>
    <x v="208"/>
    <x v="10"/>
    <x v="11"/>
    <x v="273"/>
    <x v="538"/>
    <x v="756"/>
    <x v="46"/>
  </r>
  <r>
    <x v="757"/>
    <x v="757"/>
    <x v="1094"/>
    <x v="0"/>
    <x v="15"/>
    <x v="43"/>
    <x v="11"/>
    <x v="9"/>
    <x v="3"/>
    <x v="88"/>
    <x v="43"/>
    <x v="8"/>
    <x v="12"/>
    <x v="579"/>
    <x v="165"/>
    <x v="18"/>
    <x v="511"/>
    <x v="636"/>
    <x v="757"/>
    <x v="46"/>
  </r>
  <r>
    <x v="758"/>
    <x v="758"/>
    <x v="1094"/>
    <x v="0"/>
    <x v="45"/>
    <x v="0"/>
    <x v="11"/>
    <x v="9"/>
    <x v="3"/>
    <x v="88"/>
    <x v="43"/>
    <x v="7"/>
    <x v="12"/>
    <x v="465"/>
    <x v="69"/>
    <x v="16"/>
    <x v="475"/>
    <x v="652"/>
    <x v="758"/>
    <x v="46"/>
  </r>
  <r>
    <x v="759"/>
    <x v="759"/>
    <x v="911"/>
    <x v="0"/>
    <x v="38"/>
    <x v="12"/>
    <x v="9"/>
    <x v="9"/>
    <x v="3"/>
    <x v="88"/>
    <x v="43"/>
    <x v="17"/>
    <x v="10"/>
    <x v="504"/>
    <x v="85"/>
    <x v="26"/>
    <x v="496"/>
    <x v="346"/>
    <x v="759"/>
    <x v="46"/>
  </r>
  <r>
    <x v="760"/>
    <x v="760"/>
    <x v="1094"/>
    <x v="0"/>
    <x v="14"/>
    <x v="3"/>
    <x v="9"/>
    <x v="9"/>
    <x v="3"/>
    <x v="88"/>
    <x v="43"/>
    <x v="18"/>
    <x v="10"/>
    <x v="603"/>
    <x v="111"/>
    <x v="8"/>
    <x v="589"/>
    <x v="1135"/>
    <x v="760"/>
    <x v="46"/>
  </r>
  <r>
    <x v="761"/>
    <x v="761"/>
    <x v="1094"/>
    <x v="0"/>
    <x v="28"/>
    <x v="33"/>
    <x v="9"/>
    <x v="9"/>
    <x v="3"/>
    <x v="88"/>
    <x v="43"/>
    <x v="28"/>
    <x v="10"/>
    <x v="927"/>
    <x v="358"/>
    <x v="14"/>
    <x v="842"/>
    <x v="1374"/>
    <x v="761"/>
    <x v="46"/>
  </r>
  <r>
    <x v="762"/>
    <x v="763"/>
    <x v="1094"/>
    <x v="0"/>
    <x v="26"/>
    <x v="16"/>
    <x v="9"/>
    <x v="9"/>
    <x v="3"/>
    <x v="88"/>
    <x v="43"/>
    <x v="17"/>
    <x v="10"/>
    <x v="491"/>
    <x v="65"/>
    <x v="9"/>
    <x v="501"/>
    <x v="1001"/>
    <x v="762"/>
    <x v="46"/>
  </r>
  <r>
    <x v="763"/>
    <x v="764"/>
    <x v="1094"/>
    <x v="0"/>
    <x v="8"/>
    <x v="38"/>
    <x v="9"/>
    <x v="9"/>
    <x v="3"/>
    <x v="88"/>
    <x v="43"/>
    <x v="15"/>
    <x v="10"/>
    <x v="261"/>
    <x v="96"/>
    <x v="9"/>
    <x v="245"/>
    <x v="563"/>
    <x v="763"/>
    <x v="46"/>
  </r>
  <r>
    <x v="764"/>
    <x v="765"/>
    <x v="1094"/>
    <x v="0"/>
    <x v="16"/>
    <x v="35"/>
    <x v="9"/>
    <x v="9"/>
    <x v="3"/>
    <x v="88"/>
    <x v="43"/>
    <x v="14"/>
    <x v="10"/>
    <x v="127"/>
    <x v="58"/>
    <x v="12"/>
    <x v="129"/>
    <x v="312"/>
    <x v="764"/>
    <x v="46"/>
  </r>
  <r>
    <x v="765"/>
    <x v="766"/>
    <x v="1094"/>
    <x v="0"/>
    <x v="23"/>
    <x v="45"/>
    <x v="9"/>
    <x v="9"/>
    <x v="3"/>
    <x v="88"/>
    <x v="43"/>
    <x v="17"/>
    <x v="10"/>
    <x v="539"/>
    <x v="119"/>
    <x v="9"/>
    <x v="505"/>
    <x v="1004"/>
    <x v="765"/>
    <x v="47"/>
  </r>
  <r>
    <x v="766"/>
    <x v="767"/>
    <x v="1094"/>
    <x v="0"/>
    <x v="25"/>
    <x v="42"/>
    <x v="9"/>
    <x v="9"/>
    <x v="3"/>
    <x v="88"/>
    <x v="43"/>
    <x v="16"/>
    <x v="10"/>
    <x v="366"/>
    <x v="63"/>
    <x v="9"/>
    <x v="383"/>
    <x v="807"/>
    <x v="766"/>
    <x v="47"/>
  </r>
  <r>
    <x v="767"/>
    <x v="768"/>
    <x v="1094"/>
    <x v="0"/>
    <x v="21"/>
    <x v="4"/>
    <x v="9"/>
    <x v="9"/>
    <x v="3"/>
    <x v="88"/>
    <x v="43"/>
    <x v="16"/>
    <x v="10"/>
    <x v="467"/>
    <x v="129"/>
    <x v="9"/>
    <x v="424"/>
    <x v="877"/>
    <x v="767"/>
    <x v="47"/>
  </r>
  <r>
    <x v="768"/>
    <x v="769"/>
    <x v="1094"/>
    <x v="0"/>
    <x v="27"/>
    <x v="46"/>
    <x v="9"/>
    <x v="9"/>
    <x v="3"/>
    <x v="88"/>
    <x v="43"/>
    <x v="23"/>
    <x v="10"/>
    <x v="867"/>
    <x v="325"/>
    <x v="8"/>
    <x v="790"/>
    <x v="1352"/>
    <x v="768"/>
    <x v="47"/>
  </r>
  <r>
    <x v="769"/>
    <x v="770"/>
    <x v="912"/>
    <x v="0"/>
    <x v="35"/>
    <x v="1"/>
    <x v="9"/>
    <x v="9"/>
    <x v="3"/>
    <x v="88"/>
    <x v="43"/>
    <x v="16"/>
    <x v="10"/>
    <x v="385"/>
    <x v="93"/>
    <x v="9"/>
    <x v="378"/>
    <x v="796"/>
    <x v="769"/>
    <x v="47"/>
  </r>
  <r>
    <x v="770"/>
    <x v="762"/>
    <x v="1094"/>
    <x v="0"/>
    <x v="13"/>
    <x v="44"/>
    <x v="9"/>
    <x v="9"/>
    <x v="3"/>
    <x v="88"/>
    <x v="43"/>
    <x v="16"/>
    <x v="10"/>
    <x v="485"/>
    <x v="124"/>
    <x v="9"/>
    <x v="444"/>
    <x v="910"/>
    <x v="770"/>
    <x v="46"/>
  </r>
  <r>
    <x v="771"/>
    <x v="771"/>
    <x v="913"/>
    <x v="0"/>
    <x v="42"/>
    <x v="5"/>
    <x v="9"/>
    <x v="9"/>
    <x v="3"/>
    <x v="88"/>
    <x v="43"/>
    <x v="15"/>
    <x v="10"/>
    <x v="291"/>
    <x v="85"/>
    <x v="7"/>
    <x v="290"/>
    <x v="714"/>
    <x v="771"/>
    <x v="47"/>
  </r>
  <r>
    <x v="772"/>
    <x v="772"/>
    <x v="914"/>
    <x v="0"/>
    <x v="1"/>
    <x v="34"/>
    <x v="9"/>
    <x v="9"/>
    <x v="3"/>
    <x v="88"/>
    <x v="43"/>
    <x v="18"/>
    <x v="10"/>
    <x v="610"/>
    <x v="115"/>
    <x v="7"/>
    <x v="595"/>
    <x v="1160"/>
    <x v="772"/>
    <x v="47"/>
  </r>
  <r>
    <x v="773"/>
    <x v="773"/>
    <x v="915"/>
    <x v="0"/>
    <x v="45"/>
    <x v="0"/>
    <x v="9"/>
    <x v="9"/>
    <x v="3"/>
    <x v="88"/>
    <x v="43"/>
    <x v="16"/>
    <x v="10"/>
    <x v="326"/>
    <x v="61"/>
    <x v="6"/>
    <x v="349"/>
    <x v="867"/>
    <x v="773"/>
    <x v="47"/>
  </r>
  <r>
    <x v="774"/>
    <x v="774"/>
    <x v="915"/>
    <x v="0"/>
    <x v="38"/>
    <x v="12"/>
    <x v="10"/>
    <x v="9"/>
    <x v="3"/>
    <x v="88"/>
    <x v="44"/>
    <x v="19"/>
    <x v="11"/>
    <x v="462"/>
    <x v="77"/>
    <x v="13"/>
    <x v="464"/>
    <x v="768"/>
    <x v="774"/>
    <x v="47"/>
  </r>
  <r>
    <x v="775"/>
    <x v="775"/>
    <x v="916"/>
    <x v="0"/>
    <x v="26"/>
    <x v="16"/>
    <x v="10"/>
    <x v="9"/>
    <x v="3"/>
    <x v="88"/>
    <x v="44"/>
    <x v="20"/>
    <x v="11"/>
    <x v="455"/>
    <x v="58"/>
    <x v="4"/>
    <x v="476"/>
    <x v="1087"/>
    <x v="775"/>
    <x v="47"/>
  </r>
  <r>
    <x v="776"/>
    <x v="776"/>
    <x v="1094"/>
    <x v="0"/>
    <x v="14"/>
    <x v="3"/>
    <x v="10"/>
    <x v="9"/>
    <x v="3"/>
    <x v="88"/>
    <x v="44"/>
    <x v="20"/>
    <x v="11"/>
    <x v="539"/>
    <x v="118"/>
    <x v="6"/>
    <x v="506"/>
    <x v="1095"/>
    <x v="776"/>
    <x v="47"/>
  </r>
  <r>
    <x v="777"/>
    <x v="777"/>
    <x v="1094"/>
    <x v="0"/>
    <x v="28"/>
    <x v="33"/>
    <x v="10"/>
    <x v="9"/>
    <x v="3"/>
    <x v="88"/>
    <x v="44"/>
    <x v="32"/>
    <x v="11"/>
    <x v="918"/>
    <x v="363"/>
    <x v="4"/>
    <x v="829"/>
    <x v="1398"/>
    <x v="777"/>
    <x v="47"/>
  </r>
  <r>
    <x v="778"/>
    <x v="778"/>
    <x v="1094"/>
    <x v="0"/>
    <x v="15"/>
    <x v="43"/>
    <x v="10"/>
    <x v="9"/>
    <x v="3"/>
    <x v="88"/>
    <x v="44"/>
    <x v="20"/>
    <x v="11"/>
    <x v="565"/>
    <x v="169"/>
    <x v="10"/>
    <x v="488"/>
    <x v="945"/>
    <x v="778"/>
    <x v="47"/>
  </r>
  <r>
    <x v="779"/>
    <x v="779"/>
    <x v="1094"/>
    <x v="0"/>
    <x v="25"/>
    <x v="42"/>
    <x v="10"/>
    <x v="9"/>
    <x v="3"/>
    <x v="88"/>
    <x v="44"/>
    <x v="19"/>
    <x v="11"/>
    <x v="410"/>
    <x v="61"/>
    <x v="4"/>
    <x v="429"/>
    <x v="1032"/>
    <x v="779"/>
    <x v="47"/>
  </r>
  <r>
    <x v="780"/>
    <x v="780"/>
    <x v="1094"/>
    <x v="0"/>
    <x v="23"/>
    <x v="45"/>
    <x v="10"/>
    <x v="9"/>
    <x v="3"/>
    <x v="88"/>
    <x v="44"/>
    <x v="20"/>
    <x v="11"/>
    <x v="530"/>
    <x v="112"/>
    <x v="10"/>
    <x v="498"/>
    <x v="964"/>
    <x v="780"/>
    <x v="47"/>
  </r>
  <r>
    <x v="781"/>
    <x v="781"/>
    <x v="1094"/>
    <x v="0"/>
    <x v="27"/>
    <x v="46"/>
    <x v="10"/>
    <x v="9"/>
    <x v="3"/>
    <x v="88"/>
    <x v="44"/>
    <x v="28"/>
    <x v="11"/>
    <x v="871"/>
    <x v="322"/>
    <x v="10"/>
    <x v="798"/>
    <x v="1349"/>
    <x v="781"/>
    <x v="47"/>
  </r>
  <r>
    <x v="782"/>
    <x v="782"/>
    <x v="1094"/>
    <x v="0"/>
    <x v="16"/>
    <x v="35"/>
    <x v="10"/>
    <x v="9"/>
    <x v="3"/>
    <x v="88"/>
    <x v="44"/>
    <x v="16"/>
    <x v="11"/>
    <x v="145"/>
    <x v="52"/>
    <x v="4"/>
    <x v="155"/>
    <x v="527"/>
    <x v="782"/>
    <x v="47"/>
  </r>
  <r>
    <x v="783"/>
    <x v="783"/>
    <x v="1094"/>
    <x v="0"/>
    <x v="8"/>
    <x v="38"/>
    <x v="10"/>
    <x v="9"/>
    <x v="3"/>
    <x v="88"/>
    <x v="44"/>
    <x v="15"/>
    <x v="11"/>
    <x v="81"/>
    <x v="90"/>
    <x v="13"/>
    <x v="79"/>
    <x v="206"/>
    <x v="783"/>
    <x v="47"/>
  </r>
  <r>
    <x v="784"/>
    <x v="784"/>
    <x v="1094"/>
    <x v="0"/>
    <x v="42"/>
    <x v="5"/>
    <x v="10"/>
    <x v="9"/>
    <x v="3"/>
    <x v="88"/>
    <x v="44"/>
    <x v="18"/>
    <x v="11"/>
    <x v="329"/>
    <x v="97"/>
    <x v="20"/>
    <x v="318"/>
    <x v="336"/>
    <x v="784"/>
    <x v="47"/>
  </r>
  <r>
    <x v="785"/>
    <x v="785"/>
    <x v="1094"/>
    <x v="0"/>
    <x v="35"/>
    <x v="1"/>
    <x v="10"/>
    <x v="9"/>
    <x v="3"/>
    <x v="88"/>
    <x v="44"/>
    <x v="19"/>
    <x v="11"/>
    <x v="381"/>
    <x v="82"/>
    <x v="8"/>
    <x v="382"/>
    <x v="851"/>
    <x v="785"/>
    <x v="47"/>
  </r>
  <r>
    <x v="786"/>
    <x v="786"/>
    <x v="1094"/>
    <x v="0"/>
    <x v="1"/>
    <x v="34"/>
    <x v="10"/>
    <x v="9"/>
    <x v="3"/>
    <x v="88"/>
    <x v="44"/>
    <x v="22"/>
    <x v="11"/>
    <x v="704"/>
    <x v="123"/>
    <x v="11"/>
    <x v="678"/>
    <x v="1196"/>
    <x v="786"/>
    <x v="47"/>
  </r>
  <r>
    <x v="787"/>
    <x v="787"/>
    <x v="1094"/>
    <x v="0"/>
    <x v="21"/>
    <x v="4"/>
    <x v="10"/>
    <x v="9"/>
    <x v="3"/>
    <x v="88"/>
    <x v="44"/>
    <x v="19"/>
    <x v="11"/>
    <x v="451"/>
    <x v="122"/>
    <x v="12"/>
    <x v="416"/>
    <x v="727"/>
    <x v="787"/>
    <x v="47"/>
  </r>
  <r>
    <x v="788"/>
    <x v="788"/>
    <x v="1094"/>
    <x v="0"/>
    <x v="3"/>
    <x v="10"/>
    <x v="10"/>
    <x v="9"/>
    <x v="3"/>
    <x v="88"/>
    <x v="44"/>
    <x v="17"/>
    <x v="11"/>
    <x v="190"/>
    <x v="15"/>
    <x v="11"/>
    <x v="241"/>
    <x v="483"/>
    <x v="788"/>
    <x v="47"/>
  </r>
  <r>
    <x v="789"/>
    <x v="789"/>
    <x v="1094"/>
    <x v="0"/>
    <x v="26"/>
    <x v="16"/>
    <x v="10"/>
    <x v="9"/>
    <x v="3"/>
    <x v="88"/>
    <x v="44"/>
    <x v="19"/>
    <x v="11"/>
    <x v="339"/>
    <x v="52"/>
    <x v="10"/>
    <x v="367"/>
    <x v="731"/>
    <x v="789"/>
    <x v="47"/>
  </r>
  <r>
    <x v="790"/>
    <x v="790"/>
    <x v="1094"/>
    <x v="0"/>
    <x v="38"/>
    <x v="12"/>
    <x v="10"/>
    <x v="9"/>
    <x v="3"/>
    <x v="88"/>
    <x v="44"/>
    <x v="18"/>
    <x v="11"/>
    <x v="354"/>
    <x v="87"/>
    <x v="16"/>
    <x v="353"/>
    <x v="470"/>
    <x v="790"/>
    <x v="47"/>
  </r>
  <r>
    <x v="791"/>
    <x v="791"/>
    <x v="1094"/>
    <x v="0"/>
    <x v="45"/>
    <x v="0"/>
    <x v="10"/>
    <x v="9"/>
    <x v="3"/>
    <x v="88"/>
    <x v="44"/>
    <x v="18"/>
    <x v="11"/>
    <x v="336"/>
    <x v="69"/>
    <x v="15"/>
    <x v="351"/>
    <x v="504"/>
    <x v="791"/>
    <x v="47"/>
  </r>
  <r>
    <x v="792"/>
    <x v="792"/>
    <x v="1094"/>
    <x v="0"/>
    <x v="28"/>
    <x v="33"/>
    <x v="10"/>
    <x v="9"/>
    <x v="3"/>
    <x v="88"/>
    <x v="44"/>
    <x v="32"/>
    <x v="11"/>
    <x v="901"/>
    <x v="357"/>
    <x v="14"/>
    <x v="812"/>
    <x v="1367"/>
    <x v="792"/>
    <x v="48"/>
  </r>
  <r>
    <x v="793"/>
    <x v="793"/>
    <x v="1094"/>
    <x v="0"/>
    <x v="14"/>
    <x v="3"/>
    <x v="9"/>
    <x v="9"/>
    <x v="3"/>
    <x v="88"/>
    <x v="44"/>
    <x v="15"/>
    <x v="10"/>
    <x v="343"/>
    <x v="110"/>
    <x v="17"/>
    <x v="320"/>
    <x v="409"/>
    <x v="793"/>
    <x v="48"/>
  </r>
  <r>
    <x v="794"/>
    <x v="794"/>
    <x v="1094"/>
    <x v="0"/>
    <x v="15"/>
    <x v="43"/>
    <x v="9"/>
    <x v="9"/>
    <x v="3"/>
    <x v="88"/>
    <x v="44"/>
    <x v="16"/>
    <x v="10"/>
    <x v="530"/>
    <x v="165"/>
    <x v="11"/>
    <x v="449"/>
    <x v="840"/>
    <x v="794"/>
    <x v="48"/>
  </r>
  <r>
    <x v="795"/>
    <x v="795"/>
    <x v="1094"/>
    <x v="0"/>
    <x v="25"/>
    <x v="42"/>
    <x v="9"/>
    <x v="9"/>
    <x v="3"/>
    <x v="88"/>
    <x v="44"/>
    <x v="16"/>
    <x v="10"/>
    <x v="358"/>
    <x v="61"/>
    <x v="12"/>
    <x v="378"/>
    <x v="663"/>
    <x v="795"/>
    <x v="48"/>
  </r>
  <r>
    <x v="796"/>
    <x v="796"/>
    <x v="1094"/>
    <x v="0"/>
    <x v="23"/>
    <x v="45"/>
    <x v="9"/>
    <x v="9"/>
    <x v="3"/>
    <x v="88"/>
    <x v="45"/>
    <x v="16"/>
    <x v="10"/>
    <x v="456"/>
    <x v="108"/>
    <x v="9"/>
    <x v="432"/>
    <x v="892"/>
    <x v="796"/>
    <x v="48"/>
  </r>
  <r>
    <x v="797"/>
    <x v="797"/>
    <x v="1094"/>
    <x v="0"/>
    <x v="42"/>
    <x v="5"/>
    <x v="9"/>
    <x v="9"/>
    <x v="3"/>
    <x v="88"/>
    <x v="45"/>
    <x v="16"/>
    <x v="10"/>
    <x v="390"/>
    <x v="90"/>
    <x v="6"/>
    <x v="384"/>
    <x v="932"/>
    <x v="797"/>
    <x v="48"/>
  </r>
  <r>
    <x v="798"/>
    <x v="798"/>
    <x v="1094"/>
    <x v="0"/>
    <x v="27"/>
    <x v="46"/>
    <x v="9"/>
    <x v="9"/>
    <x v="3"/>
    <x v="88"/>
    <x v="45"/>
    <x v="22"/>
    <x v="10"/>
    <x v="859"/>
    <x v="317"/>
    <x v="7"/>
    <x v="779"/>
    <x v="1344"/>
    <x v="798"/>
    <x v="48"/>
  </r>
  <r>
    <x v="799"/>
    <x v="799"/>
    <x v="1094"/>
    <x v="0"/>
    <x v="1"/>
    <x v="34"/>
    <x v="9"/>
    <x v="9"/>
    <x v="3"/>
    <x v="88"/>
    <x v="45"/>
    <x v="18"/>
    <x v="10"/>
    <x v="639"/>
    <x v="116"/>
    <x v="6"/>
    <x v="623"/>
    <x v="1210"/>
    <x v="799"/>
    <x v="48"/>
  </r>
  <r>
    <x v="800"/>
    <x v="800"/>
    <x v="1094"/>
    <x v="0"/>
    <x v="35"/>
    <x v="1"/>
    <x v="9"/>
    <x v="9"/>
    <x v="3"/>
    <x v="88"/>
    <x v="45"/>
    <x v="17"/>
    <x v="10"/>
    <x v="521"/>
    <x v="75"/>
    <x v="9"/>
    <x v="523"/>
    <x v="1026"/>
    <x v="800"/>
    <x v="48"/>
  </r>
  <r>
    <x v="801"/>
    <x v="801"/>
    <x v="1094"/>
    <x v="0"/>
    <x v="26"/>
    <x v="16"/>
    <x v="9"/>
    <x v="9"/>
    <x v="3"/>
    <x v="88"/>
    <x v="45"/>
    <x v="17"/>
    <x v="10"/>
    <x v="473"/>
    <x v="55"/>
    <x v="11"/>
    <x v="493"/>
    <x v="909"/>
    <x v="801"/>
    <x v="48"/>
  </r>
  <r>
    <x v="802"/>
    <x v="802"/>
    <x v="1094"/>
    <x v="0"/>
    <x v="21"/>
    <x v="4"/>
    <x v="9"/>
    <x v="9"/>
    <x v="3"/>
    <x v="88"/>
    <x v="45"/>
    <x v="17"/>
    <x v="10"/>
    <x v="506"/>
    <x v="115"/>
    <x v="13"/>
    <x v="473"/>
    <x v="788"/>
    <x v="802"/>
    <x v="48"/>
  </r>
  <r>
    <x v="803"/>
    <x v="803"/>
    <x v="1094"/>
    <x v="0"/>
    <x v="45"/>
    <x v="0"/>
    <x v="9"/>
    <x v="9"/>
    <x v="3"/>
    <x v="88"/>
    <x v="45"/>
    <x v="15"/>
    <x v="10"/>
    <x v="312"/>
    <x v="79"/>
    <x v="15"/>
    <x v="317"/>
    <x v="457"/>
    <x v="803"/>
    <x v="48"/>
  </r>
  <r>
    <x v="804"/>
    <x v="804"/>
    <x v="1094"/>
    <x v="0"/>
    <x v="3"/>
    <x v="10"/>
    <x v="9"/>
    <x v="9"/>
    <x v="3"/>
    <x v="88"/>
    <x v="45"/>
    <x v="15"/>
    <x v="10"/>
    <x v="236"/>
    <x v="9"/>
    <x v="8"/>
    <x v="305"/>
    <x v="704"/>
    <x v="804"/>
    <x v="48"/>
  </r>
  <r>
    <x v="805"/>
    <x v="805"/>
    <x v="1094"/>
    <x v="0"/>
    <x v="16"/>
    <x v="35"/>
    <x v="9"/>
    <x v="9"/>
    <x v="3"/>
    <x v="88"/>
    <x v="45"/>
    <x v="13"/>
    <x v="10"/>
    <x v="105"/>
    <x v="52"/>
    <x v="14"/>
    <x v="107"/>
    <x v="253"/>
    <x v="805"/>
    <x v="48"/>
  </r>
  <r>
    <x v="806"/>
    <x v="806"/>
    <x v="1094"/>
    <x v="0"/>
    <x v="13"/>
    <x v="44"/>
    <x v="9"/>
    <x v="9"/>
    <x v="3"/>
    <x v="88"/>
    <x v="45"/>
    <x v="17"/>
    <x v="10"/>
    <x v="488"/>
    <x v="115"/>
    <x v="12"/>
    <x v="455"/>
    <x v="800"/>
    <x v="806"/>
    <x v="48"/>
  </r>
  <r>
    <x v="807"/>
    <x v="808"/>
    <x v="1094"/>
    <x v="0"/>
    <x v="28"/>
    <x v="33"/>
    <x v="9"/>
    <x v="9"/>
    <x v="3"/>
    <x v="88"/>
    <x v="45"/>
    <x v="27"/>
    <x v="10"/>
    <x v="914"/>
    <x v="351"/>
    <x v="11"/>
    <x v="824"/>
    <x v="1376"/>
    <x v="807"/>
    <x v="48"/>
  </r>
  <r>
    <x v="808"/>
    <x v="807"/>
    <x v="1094"/>
    <x v="0"/>
    <x v="14"/>
    <x v="3"/>
    <x v="9"/>
    <x v="9"/>
    <x v="3"/>
    <x v="88"/>
    <x v="45"/>
    <x v="17"/>
    <x v="10"/>
    <x v="551"/>
    <x v="105"/>
    <x v="16"/>
    <x v="532"/>
    <x v="748"/>
    <x v="808"/>
    <x v="48"/>
  </r>
  <r>
    <x v="809"/>
    <x v="809"/>
    <x v="917"/>
    <x v="0"/>
    <x v="15"/>
    <x v="43"/>
    <x v="9"/>
    <x v="9"/>
    <x v="3"/>
    <x v="88"/>
    <x v="45"/>
    <x v="12"/>
    <x v="10"/>
    <x v="37"/>
    <x v="157"/>
    <x v="12"/>
    <x v="36"/>
    <x v="74"/>
    <x v="809"/>
    <x v="49"/>
  </r>
  <r>
    <x v="810"/>
    <x v="810"/>
    <x v="0"/>
    <x v="7"/>
    <x v="24"/>
    <x v="37"/>
    <x v="25"/>
    <x v="9"/>
    <x v="5"/>
    <x v="88"/>
    <x v="46"/>
    <x v="22"/>
    <x v="26"/>
    <x v="524"/>
    <x v="101"/>
    <x v="26"/>
    <x v="502"/>
    <x v="351"/>
    <x v="810"/>
    <x v="49"/>
  </r>
  <r>
    <x v="811"/>
    <x v="811"/>
    <x v="1"/>
    <x v="7"/>
    <x v="29"/>
    <x v="15"/>
    <x v="25"/>
    <x v="9"/>
    <x v="5"/>
    <x v="88"/>
    <x v="46"/>
    <x v="24"/>
    <x v="26"/>
    <x v="667"/>
    <x v="122"/>
    <x v="14"/>
    <x v="652"/>
    <x v="1055"/>
    <x v="811"/>
    <x v="49"/>
  </r>
  <r>
    <x v="812"/>
    <x v="812"/>
    <x v="2"/>
    <x v="7"/>
    <x v="46"/>
    <x v="32"/>
    <x v="25"/>
    <x v="9"/>
    <x v="5"/>
    <x v="88"/>
    <x v="46"/>
    <x v="24"/>
    <x v="26"/>
    <x v="692"/>
    <x v="110"/>
    <x v="14"/>
    <x v="674"/>
    <x v="1113"/>
    <x v="812"/>
    <x v="49"/>
  </r>
  <r>
    <x v="813"/>
    <x v="813"/>
    <x v="3"/>
    <x v="7"/>
    <x v="33"/>
    <x v="26"/>
    <x v="25"/>
    <x v="9"/>
    <x v="5"/>
    <x v="88"/>
    <x v="46"/>
    <x v="23"/>
    <x v="26"/>
    <x v="681"/>
    <x v="173"/>
    <x v="13"/>
    <x v="631"/>
    <x v="1056"/>
    <x v="813"/>
    <x v="49"/>
  </r>
  <r>
    <x v="814"/>
    <x v="814"/>
    <x v="4"/>
    <x v="7"/>
    <x v="31"/>
    <x v="40"/>
    <x v="25"/>
    <x v="9"/>
    <x v="5"/>
    <x v="88"/>
    <x v="46"/>
    <x v="26"/>
    <x v="26"/>
    <x v="817"/>
    <x v="301"/>
    <x v="28"/>
    <x v="729"/>
    <x v="762"/>
    <x v="814"/>
    <x v="49"/>
  </r>
  <r>
    <x v="815"/>
    <x v="815"/>
    <x v="5"/>
    <x v="7"/>
    <x v="2"/>
    <x v="18"/>
    <x v="25"/>
    <x v="9"/>
    <x v="5"/>
    <x v="88"/>
    <x v="46"/>
    <x v="29"/>
    <x v="26"/>
    <x v="875"/>
    <x v="366"/>
    <x v="14"/>
    <x v="781"/>
    <x v="1312"/>
    <x v="815"/>
    <x v="49"/>
  </r>
  <r>
    <x v="816"/>
    <x v="816"/>
    <x v="6"/>
    <x v="7"/>
    <x v="12"/>
    <x v="17"/>
    <x v="25"/>
    <x v="9"/>
    <x v="5"/>
    <x v="88"/>
    <x v="46"/>
    <x v="24"/>
    <x v="26"/>
    <x v="716"/>
    <x v="170"/>
    <x v="21"/>
    <x v="670"/>
    <x v="839"/>
    <x v="816"/>
    <x v="49"/>
  </r>
  <r>
    <x v="817"/>
    <x v="818"/>
    <x v="8"/>
    <x v="7"/>
    <x v="30"/>
    <x v="30"/>
    <x v="25"/>
    <x v="9"/>
    <x v="5"/>
    <x v="88"/>
    <x v="46"/>
    <x v="19"/>
    <x v="26"/>
    <x v="243"/>
    <x v="83"/>
    <x v="22"/>
    <x v="237"/>
    <x v="231"/>
    <x v="817"/>
    <x v="49"/>
  </r>
  <r>
    <x v="818"/>
    <x v="817"/>
    <x v="7"/>
    <x v="7"/>
    <x v="13"/>
    <x v="44"/>
    <x v="25"/>
    <x v="9"/>
    <x v="5"/>
    <x v="88"/>
    <x v="46"/>
    <x v="22"/>
    <x v="26"/>
    <x v="513"/>
    <x v="105"/>
    <x v="18"/>
    <x v="488"/>
    <x v="588"/>
    <x v="818"/>
    <x v="49"/>
  </r>
  <r>
    <x v="819"/>
    <x v="819"/>
    <x v="1"/>
    <x v="7"/>
    <x v="42"/>
    <x v="5"/>
    <x v="25"/>
    <x v="9"/>
    <x v="5"/>
    <x v="88"/>
    <x v="46"/>
    <x v="21"/>
    <x v="26"/>
    <x v="411"/>
    <x v="104"/>
    <x v="11"/>
    <x v="391"/>
    <x v="730"/>
    <x v="819"/>
    <x v="49"/>
  </r>
  <r>
    <x v="820"/>
    <x v="820"/>
    <x v="0"/>
    <x v="7"/>
    <x v="27"/>
    <x v="46"/>
    <x v="25"/>
    <x v="9"/>
    <x v="5"/>
    <x v="88"/>
    <x v="46"/>
    <x v="30"/>
    <x v="26"/>
    <x v="867"/>
    <x v="324"/>
    <x v="8"/>
    <x v="791"/>
    <x v="1353"/>
    <x v="820"/>
    <x v="49"/>
  </r>
  <r>
    <x v="821"/>
    <x v="821"/>
    <x v="2"/>
    <x v="7"/>
    <x v="35"/>
    <x v="1"/>
    <x v="25"/>
    <x v="9"/>
    <x v="5"/>
    <x v="88"/>
    <x v="46"/>
    <x v="22"/>
    <x v="26"/>
    <x v="558"/>
    <x v="97"/>
    <x v="6"/>
    <x v="547"/>
    <x v="1139"/>
    <x v="821"/>
    <x v="49"/>
  </r>
  <r>
    <x v="822"/>
    <x v="822"/>
    <x v="3"/>
    <x v="7"/>
    <x v="38"/>
    <x v="12"/>
    <x v="25"/>
    <x v="9"/>
    <x v="5"/>
    <x v="88"/>
    <x v="46"/>
    <x v="21"/>
    <x v="26"/>
    <x v="421"/>
    <x v="84"/>
    <x v="11"/>
    <x v="421"/>
    <x v="783"/>
    <x v="822"/>
    <x v="49"/>
  </r>
  <r>
    <x v="823"/>
    <x v="823"/>
    <x v="7"/>
    <x v="7"/>
    <x v="25"/>
    <x v="42"/>
    <x v="25"/>
    <x v="9"/>
    <x v="5"/>
    <x v="88"/>
    <x v="46"/>
    <x v="21"/>
    <x v="26"/>
    <x v="361"/>
    <x v="58"/>
    <x v="7"/>
    <x v="382"/>
    <x v="891"/>
    <x v="823"/>
    <x v="49"/>
  </r>
  <r>
    <x v="824"/>
    <x v="824"/>
    <x v="8"/>
    <x v="7"/>
    <x v="23"/>
    <x v="45"/>
    <x v="25"/>
    <x v="9"/>
    <x v="5"/>
    <x v="88"/>
    <x v="46"/>
    <x v="22"/>
    <x v="26"/>
    <x v="552"/>
    <x v="116"/>
    <x v="11"/>
    <x v="524"/>
    <x v="962"/>
    <x v="824"/>
    <x v="49"/>
  </r>
  <r>
    <x v="825"/>
    <x v="825"/>
    <x v="4"/>
    <x v="7"/>
    <x v="28"/>
    <x v="33"/>
    <x v="25"/>
    <x v="9"/>
    <x v="5"/>
    <x v="88"/>
    <x v="46"/>
    <x v="35"/>
    <x v="26"/>
    <x v="916"/>
    <x v="359"/>
    <x v="11"/>
    <x v="828"/>
    <x v="1379"/>
    <x v="825"/>
    <x v="49"/>
  </r>
  <r>
    <x v="826"/>
    <x v="826"/>
    <x v="5"/>
    <x v="7"/>
    <x v="15"/>
    <x v="43"/>
    <x v="25"/>
    <x v="9"/>
    <x v="5"/>
    <x v="88"/>
    <x v="46"/>
    <x v="21"/>
    <x v="26"/>
    <x v="503"/>
    <x v="168"/>
    <x v="4"/>
    <x v="419"/>
    <x v="1016"/>
    <x v="826"/>
    <x v="49"/>
  </r>
  <r>
    <x v="827"/>
    <x v="827"/>
    <x v="6"/>
    <x v="7"/>
    <x v="3"/>
    <x v="10"/>
    <x v="25"/>
    <x v="9"/>
    <x v="5"/>
    <x v="88"/>
    <x v="46"/>
    <x v="20"/>
    <x v="26"/>
    <x v="237"/>
    <x v="7"/>
    <x v="10"/>
    <x v="309"/>
    <x v="637"/>
    <x v="827"/>
    <x v="49"/>
  </r>
  <r>
    <x v="828"/>
    <x v="828"/>
    <x v="12"/>
    <x v="7"/>
    <x v="24"/>
    <x v="37"/>
    <x v="25"/>
    <x v="9"/>
    <x v="5"/>
    <x v="88"/>
    <x v="46"/>
    <x v="21"/>
    <x v="26"/>
    <x v="507"/>
    <x v="92"/>
    <x v="3"/>
    <x v="493"/>
    <x v="1136"/>
    <x v="828"/>
    <x v="50"/>
  </r>
  <r>
    <x v="829"/>
    <x v="829"/>
    <x v="14"/>
    <x v="7"/>
    <x v="29"/>
    <x v="15"/>
    <x v="25"/>
    <x v="9"/>
    <x v="5"/>
    <x v="88"/>
    <x v="46"/>
    <x v="23"/>
    <x v="26"/>
    <x v="686"/>
    <x v="114"/>
    <x v="17"/>
    <x v="666"/>
    <x v="1002"/>
    <x v="829"/>
    <x v="50"/>
  </r>
  <r>
    <x v="830"/>
    <x v="830"/>
    <x v="9"/>
    <x v="7"/>
    <x v="33"/>
    <x v="26"/>
    <x v="25"/>
    <x v="9"/>
    <x v="5"/>
    <x v="88"/>
    <x v="46"/>
    <x v="23"/>
    <x v="26"/>
    <x v="708"/>
    <x v="174"/>
    <x v="7"/>
    <x v="662"/>
    <x v="1231"/>
    <x v="830"/>
    <x v="50"/>
  </r>
  <r>
    <x v="831"/>
    <x v="831"/>
    <x v="10"/>
    <x v="7"/>
    <x v="1"/>
    <x v="34"/>
    <x v="26"/>
    <x v="9"/>
    <x v="5"/>
    <x v="88"/>
    <x v="46"/>
    <x v="17"/>
    <x v="27"/>
    <x v="659"/>
    <x v="115"/>
    <x v="15"/>
    <x v="648"/>
    <x v="1020"/>
    <x v="831"/>
    <x v="50"/>
  </r>
  <r>
    <x v="832"/>
    <x v="832"/>
    <x v="11"/>
    <x v="7"/>
    <x v="31"/>
    <x v="40"/>
    <x v="26"/>
    <x v="9"/>
    <x v="5"/>
    <x v="88"/>
    <x v="46"/>
    <x v="22"/>
    <x v="27"/>
    <x v="858"/>
    <x v="297"/>
    <x v="20"/>
    <x v="794"/>
    <x v="1286"/>
    <x v="832"/>
    <x v="50"/>
  </r>
  <r>
    <x v="833"/>
    <x v="833"/>
    <x v="13"/>
    <x v="7"/>
    <x v="21"/>
    <x v="4"/>
    <x v="26"/>
    <x v="9"/>
    <x v="5"/>
    <x v="88"/>
    <x v="46"/>
    <x v="14"/>
    <x v="27"/>
    <x v="346"/>
    <x v="127"/>
    <x v="25"/>
    <x v="307"/>
    <x v="228"/>
    <x v="833"/>
    <x v="50"/>
  </r>
  <r>
    <x v="834"/>
    <x v="834"/>
    <x v="17"/>
    <x v="7"/>
    <x v="30"/>
    <x v="30"/>
    <x v="26"/>
    <x v="9"/>
    <x v="5"/>
    <x v="88"/>
    <x v="46"/>
    <x v="14"/>
    <x v="27"/>
    <x v="335"/>
    <x v="77"/>
    <x v="49"/>
    <x v="343"/>
    <x v="40"/>
    <x v="834"/>
    <x v="50"/>
  </r>
  <r>
    <x v="835"/>
    <x v="836"/>
    <x v="15"/>
    <x v="7"/>
    <x v="2"/>
    <x v="18"/>
    <x v="26"/>
    <x v="9"/>
    <x v="5"/>
    <x v="88"/>
    <x v="46"/>
    <x v="21"/>
    <x v="27"/>
    <x v="877"/>
    <x v="364"/>
    <x v="20"/>
    <x v="783"/>
    <x v="1268"/>
    <x v="835"/>
    <x v="50"/>
  </r>
  <r>
    <x v="836"/>
    <x v="835"/>
    <x v="16"/>
    <x v="7"/>
    <x v="12"/>
    <x v="17"/>
    <x v="26"/>
    <x v="9"/>
    <x v="5"/>
    <x v="88"/>
    <x v="46"/>
    <x v="17"/>
    <x v="27"/>
    <x v="727"/>
    <x v="167"/>
    <x v="29"/>
    <x v="685"/>
    <x v="497"/>
    <x v="836"/>
    <x v="50"/>
  </r>
  <r>
    <x v="837"/>
    <x v="837"/>
    <x v="18"/>
    <x v="7"/>
    <x v="26"/>
    <x v="16"/>
    <x v="26"/>
    <x v="9"/>
    <x v="5"/>
    <x v="88"/>
    <x v="46"/>
    <x v="15"/>
    <x v="27"/>
    <x v="471"/>
    <x v="68"/>
    <x v="27"/>
    <x v="481"/>
    <x v="305"/>
    <x v="837"/>
    <x v="50"/>
  </r>
  <r>
    <x v="838"/>
    <x v="838"/>
    <x v="19"/>
    <x v="7"/>
    <x v="13"/>
    <x v="44"/>
    <x v="26"/>
    <x v="9"/>
    <x v="5"/>
    <x v="88"/>
    <x v="46"/>
    <x v="15"/>
    <x v="27"/>
    <x v="447"/>
    <x v="101"/>
    <x v="11"/>
    <x v="430"/>
    <x v="801"/>
    <x v="838"/>
    <x v="50"/>
  </r>
  <r>
    <x v="839"/>
    <x v="839"/>
    <x v="0"/>
    <x v="7"/>
    <x v="45"/>
    <x v="0"/>
    <x v="28"/>
    <x v="2"/>
    <x v="5"/>
    <x v="88"/>
    <x v="47"/>
    <x v="14"/>
    <x v="29"/>
    <x v="373"/>
    <x v="67"/>
    <x v="10"/>
    <x v="389"/>
    <x v="771"/>
    <x v="839"/>
    <x v="50"/>
  </r>
  <r>
    <x v="840"/>
    <x v="840"/>
    <x v="7"/>
    <x v="7"/>
    <x v="35"/>
    <x v="1"/>
    <x v="28"/>
    <x v="2"/>
    <x v="5"/>
    <x v="88"/>
    <x v="47"/>
    <x v="15"/>
    <x v="29"/>
    <x v="525"/>
    <x v="93"/>
    <x v="10"/>
    <x v="510"/>
    <x v="982"/>
    <x v="840"/>
    <x v="50"/>
  </r>
  <r>
    <x v="841"/>
    <x v="841"/>
    <x v="8"/>
    <x v="7"/>
    <x v="27"/>
    <x v="46"/>
    <x v="28"/>
    <x v="2"/>
    <x v="5"/>
    <x v="88"/>
    <x v="47"/>
    <x v="26"/>
    <x v="29"/>
    <x v="897"/>
    <x v="331"/>
    <x v="9"/>
    <x v="845"/>
    <x v="1392"/>
    <x v="841"/>
    <x v="50"/>
  </r>
  <r>
    <x v="842"/>
    <x v="848"/>
    <x v="345"/>
    <x v="8"/>
    <x v="43"/>
    <x v="28"/>
    <x v="2"/>
    <x v="9"/>
    <x v="4"/>
    <x v="88"/>
    <x v="47"/>
    <x v="14"/>
    <x v="3"/>
    <x v="502"/>
    <x v="65"/>
    <x v="10"/>
    <x v="511"/>
    <x v="986"/>
    <x v="842"/>
    <x v="50"/>
  </r>
  <r>
    <x v="843"/>
    <x v="842"/>
    <x v="1"/>
    <x v="7"/>
    <x v="38"/>
    <x v="12"/>
    <x v="28"/>
    <x v="2"/>
    <x v="5"/>
    <x v="88"/>
    <x v="47"/>
    <x v="15"/>
    <x v="29"/>
    <x v="429"/>
    <x v="93"/>
    <x v="17"/>
    <x v="420"/>
    <x v="529"/>
    <x v="843"/>
    <x v="50"/>
  </r>
  <r>
    <x v="844"/>
    <x v="843"/>
    <x v="2"/>
    <x v="7"/>
    <x v="14"/>
    <x v="3"/>
    <x v="28"/>
    <x v="2"/>
    <x v="5"/>
    <x v="88"/>
    <x v="47"/>
    <x v="16"/>
    <x v="29"/>
    <x v="590"/>
    <x v="118"/>
    <x v="6"/>
    <x v="571"/>
    <x v="1159"/>
    <x v="844"/>
    <x v="50"/>
  </r>
  <r>
    <x v="845"/>
    <x v="844"/>
    <x v="3"/>
    <x v="7"/>
    <x v="33"/>
    <x v="26"/>
    <x v="28"/>
    <x v="2"/>
    <x v="5"/>
    <x v="88"/>
    <x v="47"/>
    <x v="16"/>
    <x v="29"/>
    <x v="656"/>
    <x v="177"/>
    <x v="12"/>
    <x v="605"/>
    <x v="1038"/>
    <x v="845"/>
    <x v="50"/>
  </r>
  <r>
    <x v="846"/>
    <x v="845"/>
    <x v="6"/>
    <x v="7"/>
    <x v="42"/>
    <x v="5"/>
    <x v="28"/>
    <x v="2"/>
    <x v="5"/>
    <x v="88"/>
    <x v="47"/>
    <x v="14"/>
    <x v="29"/>
    <x v="420"/>
    <x v="104"/>
    <x v="15"/>
    <x v="401"/>
    <x v="584"/>
    <x v="846"/>
    <x v="50"/>
  </r>
  <r>
    <x v="847"/>
    <x v="846"/>
    <x v="4"/>
    <x v="7"/>
    <x v="24"/>
    <x v="37"/>
    <x v="28"/>
    <x v="2"/>
    <x v="5"/>
    <x v="88"/>
    <x v="47"/>
    <x v="15"/>
    <x v="29"/>
    <x v="541"/>
    <x v="104"/>
    <x v="7"/>
    <x v="522"/>
    <x v="1085"/>
    <x v="847"/>
    <x v="50"/>
  </r>
  <r>
    <x v="848"/>
    <x v="847"/>
    <x v="5"/>
    <x v="7"/>
    <x v="29"/>
    <x v="15"/>
    <x v="28"/>
    <x v="2"/>
    <x v="5"/>
    <x v="88"/>
    <x v="47"/>
    <x v="16"/>
    <x v="29"/>
    <x v="619"/>
    <x v="129"/>
    <x v="7"/>
    <x v="598"/>
    <x v="1166"/>
    <x v="848"/>
    <x v="50"/>
  </r>
  <r>
    <x v="849"/>
    <x v="851"/>
    <x v="11"/>
    <x v="7"/>
    <x v="21"/>
    <x v="4"/>
    <x v="28"/>
    <x v="2"/>
    <x v="5"/>
    <x v="88"/>
    <x v="47"/>
    <x v="15"/>
    <x v="29"/>
    <x v="472"/>
    <x v="132"/>
    <x v="21"/>
    <x v="426"/>
    <x v="406"/>
    <x v="849"/>
    <x v="51"/>
  </r>
  <r>
    <x v="850"/>
    <x v="850"/>
    <x v="10"/>
    <x v="7"/>
    <x v="1"/>
    <x v="34"/>
    <x v="28"/>
    <x v="2"/>
    <x v="5"/>
    <x v="88"/>
    <x v="47"/>
    <x v="16"/>
    <x v="29"/>
    <x v="662"/>
    <x v="122"/>
    <x v="8"/>
    <x v="646"/>
    <x v="1201"/>
    <x v="850"/>
    <x v="50"/>
  </r>
  <r>
    <x v="851"/>
    <x v="849"/>
    <x v="9"/>
    <x v="7"/>
    <x v="28"/>
    <x v="33"/>
    <x v="28"/>
    <x v="2"/>
    <x v="5"/>
    <x v="88"/>
    <x v="47"/>
    <x v="25"/>
    <x v="29"/>
    <x v="921"/>
    <x v="350"/>
    <x v="7"/>
    <x v="834"/>
    <x v="1391"/>
    <x v="851"/>
    <x v="50"/>
  </r>
  <r>
    <x v="852"/>
    <x v="852"/>
    <x v="12"/>
    <x v="7"/>
    <x v="31"/>
    <x v="40"/>
    <x v="28"/>
    <x v="2"/>
    <x v="5"/>
    <x v="88"/>
    <x v="47"/>
    <x v="20"/>
    <x v="29"/>
    <x v="851"/>
    <x v="297"/>
    <x v="6"/>
    <x v="784"/>
    <x v="1351"/>
    <x v="852"/>
    <x v="51"/>
  </r>
  <r>
    <x v="853"/>
    <x v="853"/>
    <x v="13"/>
    <x v="7"/>
    <x v="2"/>
    <x v="18"/>
    <x v="28"/>
    <x v="2"/>
    <x v="5"/>
    <x v="88"/>
    <x v="47"/>
    <x v="20"/>
    <x v="29"/>
    <x v="876"/>
    <x v="363"/>
    <x v="11"/>
    <x v="782"/>
    <x v="1333"/>
    <x v="853"/>
    <x v="51"/>
  </r>
  <r>
    <x v="854"/>
    <x v="854"/>
    <x v="14"/>
    <x v="7"/>
    <x v="12"/>
    <x v="17"/>
    <x v="28"/>
    <x v="2"/>
    <x v="5"/>
    <x v="88"/>
    <x v="47"/>
    <x v="17"/>
    <x v="29"/>
    <x v="737"/>
    <x v="166"/>
    <x v="10"/>
    <x v="705"/>
    <x v="1235"/>
    <x v="854"/>
    <x v="51"/>
  </r>
  <r>
    <x v="855"/>
    <x v="855"/>
    <x v="15"/>
    <x v="7"/>
    <x v="30"/>
    <x v="30"/>
    <x v="28"/>
    <x v="2"/>
    <x v="5"/>
    <x v="88"/>
    <x v="47"/>
    <x v="14"/>
    <x v="29"/>
    <x v="388"/>
    <x v="74"/>
    <x v="11"/>
    <x v="398"/>
    <x v="742"/>
    <x v="855"/>
    <x v="51"/>
  </r>
  <r>
    <x v="856"/>
    <x v="856"/>
    <x v="16"/>
    <x v="7"/>
    <x v="26"/>
    <x v="16"/>
    <x v="28"/>
    <x v="2"/>
    <x v="5"/>
    <x v="88"/>
    <x v="47"/>
    <x v="15"/>
    <x v="29"/>
    <x v="452"/>
    <x v="67"/>
    <x v="14"/>
    <x v="464"/>
    <x v="725"/>
    <x v="856"/>
    <x v="51"/>
  </r>
  <r>
    <x v="857"/>
    <x v="857"/>
    <x v="17"/>
    <x v="7"/>
    <x v="13"/>
    <x v="44"/>
    <x v="28"/>
    <x v="2"/>
    <x v="5"/>
    <x v="88"/>
    <x v="47"/>
    <x v="16"/>
    <x v="29"/>
    <x v="470"/>
    <x v="126"/>
    <x v="8"/>
    <x v="428"/>
    <x v="927"/>
    <x v="857"/>
    <x v="51"/>
  </r>
  <r>
    <x v="858"/>
    <x v="858"/>
    <x v="18"/>
    <x v="7"/>
    <x v="8"/>
    <x v="38"/>
    <x v="28"/>
    <x v="1"/>
    <x v="5"/>
    <x v="88"/>
    <x v="47"/>
    <x v="33"/>
    <x v="29"/>
    <x v="255"/>
    <x v="101"/>
    <x v="14"/>
    <x v="235"/>
    <x v="397"/>
    <x v="858"/>
    <x v="51"/>
  </r>
  <r>
    <x v="859"/>
    <x v="859"/>
    <x v="19"/>
    <x v="7"/>
    <x v="16"/>
    <x v="35"/>
    <x v="28"/>
    <x v="1"/>
    <x v="5"/>
    <x v="88"/>
    <x v="47"/>
    <x v="31"/>
    <x v="29"/>
    <x v="128"/>
    <x v="59"/>
    <x v="8"/>
    <x v="130"/>
    <x v="400"/>
    <x v="859"/>
    <x v="51"/>
  </r>
  <r>
    <x v="860"/>
    <x v="860"/>
    <x v="20"/>
    <x v="7"/>
    <x v="15"/>
    <x v="43"/>
    <x v="28"/>
    <x v="1"/>
    <x v="5"/>
    <x v="88"/>
    <x v="47"/>
    <x v="38"/>
    <x v="29"/>
    <x v="631"/>
    <x v="157"/>
    <x v="6"/>
    <x v="589"/>
    <x v="1178"/>
    <x v="860"/>
    <x v="51"/>
  </r>
  <r>
    <x v="861"/>
    <x v="861"/>
    <x v="346"/>
    <x v="8"/>
    <x v="27"/>
    <x v="46"/>
    <x v="2"/>
    <x v="9"/>
    <x v="4"/>
    <x v="88"/>
    <x v="48"/>
    <x v="24"/>
    <x v="3"/>
    <x v="894"/>
    <x v="329"/>
    <x v="0"/>
    <x v="839"/>
    <x v="1405"/>
    <x v="861"/>
    <x v="51"/>
  </r>
  <r>
    <x v="862"/>
    <x v="862"/>
    <x v="347"/>
    <x v="8"/>
    <x v="39"/>
    <x v="39"/>
    <x v="2"/>
    <x v="9"/>
    <x v="4"/>
    <x v="88"/>
    <x v="48"/>
    <x v="16"/>
    <x v="3"/>
    <x v="697"/>
    <x v="185"/>
    <x v="2"/>
    <x v="645"/>
    <x v="1263"/>
    <x v="862"/>
    <x v="51"/>
  </r>
  <r>
    <x v="863"/>
    <x v="863"/>
    <x v="348"/>
    <x v="8"/>
    <x v="36"/>
    <x v="29"/>
    <x v="2"/>
    <x v="9"/>
    <x v="4"/>
    <x v="88"/>
    <x v="48"/>
    <x v="15"/>
    <x v="3"/>
    <x v="631"/>
    <x v="204"/>
    <x v="3"/>
    <x v="544"/>
    <x v="1182"/>
    <x v="863"/>
    <x v="51"/>
  </r>
  <r>
    <x v="864"/>
    <x v="864"/>
    <x v="349"/>
    <x v="8"/>
    <x v="10"/>
    <x v="27"/>
    <x v="2"/>
    <x v="9"/>
    <x v="4"/>
    <x v="88"/>
    <x v="48"/>
    <x v="15"/>
    <x v="3"/>
    <x v="576"/>
    <x v="99"/>
    <x v="3"/>
    <x v="564"/>
    <x v="1198"/>
    <x v="864"/>
    <x v="51"/>
  </r>
  <r>
    <x v="865"/>
    <x v="865"/>
    <x v="350"/>
    <x v="8"/>
    <x v="4"/>
    <x v="2"/>
    <x v="2"/>
    <x v="9"/>
    <x v="4"/>
    <x v="88"/>
    <x v="48"/>
    <x v="13"/>
    <x v="3"/>
    <x v="154"/>
    <x v="15"/>
    <x v="3"/>
    <x v="198"/>
    <x v="656"/>
    <x v="865"/>
    <x v="51"/>
  </r>
  <r>
    <x v="866"/>
    <x v="866"/>
    <x v="351"/>
    <x v="8"/>
    <x v="38"/>
    <x v="12"/>
    <x v="2"/>
    <x v="9"/>
    <x v="4"/>
    <x v="88"/>
    <x v="48"/>
    <x v="13"/>
    <x v="3"/>
    <x v="287"/>
    <x v="75"/>
    <x v="2"/>
    <x v="294"/>
    <x v="894"/>
    <x v="866"/>
    <x v="51"/>
  </r>
  <r>
    <x v="867"/>
    <x v="867"/>
    <x v="352"/>
    <x v="8"/>
    <x v="45"/>
    <x v="0"/>
    <x v="2"/>
    <x v="9"/>
    <x v="4"/>
    <x v="88"/>
    <x v="48"/>
    <x v="13"/>
    <x v="3"/>
    <x v="225"/>
    <x v="59"/>
    <x v="2"/>
    <x v="236"/>
    <x v="777"/>
    <x v="867"/>
    <x v="51"/>
  </r>
  <r>
    <x v="868"/>
    <x v="868"/>
    <x v="354"/>
    <x v="8"/>
    <x v="47"/>
    <x v="19"/>
    <x v="2"/>
    <x v="9"/>
    <x v="4"/>
    <x v="88"/>
    <x v="48"/>
    <x v="14"/>
    <x v="3"/>
    <x v="539"/>
    <x v="220"/>
    <x v="4"/>
    <x v="402"/>
    <x v="995"/>
    <x v="868"/>
    <x v="52"/>
  </r>
  <r>
    <x v="869"/>
    <x v="869"/>
    <x v="353"/>
    <x v="8"/>
    <x v="33"/>
    <x v="26"/>
    <x v="2"/>
    <x v="9"/>
    <x v="4"/>
    <x v="88"/>
    <x v="48"/>
    <x v="16"/>
    <x v="3"/>
    <x v="667"/>
    <x v="168"/>
    <x v="3"/>
    <x v="621"/>
    <x v="1234"/>
    <x v="869"/>
    <x v="52"/>
  </r>
  <r>
    <x v="870"/>
    <x v="870"/>
    <x v="345"/>
    <x v="8"/>
    <x v="43"/>
    <x v="28"/>
    <x v="2"/>
    <x v="9"/>
    <x v="4"/>
    <x v="88"/>
    <x v="48"/>
    <x v="14"/>
    <x v="3"/>
    <x v="396"/>
    <x v="42"/>
    <x v="6"/>
    <x v="435"/>
    <x v="1008"/>
    <x v="870"/>
    <x v="52"/>
  </r>
  <r>
    <x v="871"/>
    <x v="871"/>
    <x v="355"/>
    <x v="8"/>
    <x v="1"/>
    <x v="34"/>
    <x v="2"/>
    <x v="9"/>
    <x v="4"/>
    <x v="88"/>
    <x v="48"/>
    <x v="16"/>
    <x v="3"/>
    <x v="660"/>
    <x v="111"/>
    <x v="4"/>
    <x v="652"/>
    <x v="1247"/>
    <x v="871"/>
    <x v="52"/>
  </r>
  <r>
    <x v="872"/>
    <x v="872"/>
    <x v="356"/>
    <x v="8"/>
    <x v="6"/>
    <x v="22"/>
    <x v="2"/>
    <x v="9"/>
    <x v="4"/>
    <x v="88"/>
    <x v="48"/>
    <x v="14"/>
    <x v="3"/>
    <x v="568"/>
    <x v="231"/>
    <x v="4"/>
    <x v="424"/>
    <x v="1022"/>
    <x v="872"/>
    <x v="52"/>
  </r>
  <r>
    <x v="873"/>
    <x v="873"/>
    <x v="357"/>
    <x v="8"/>
    <x v="5"/>
    <x v="20"/>
    <x v="2"/>
    <x v="9"/>
    <x v="4"/>
    <x v="88"/>
    <x v="48"/>
    <x v="14"/>
    <x v="3"/>
    <x v="565"/>
    <x v="222"/>
    <x v="2"/>
    <x v="429"/>
    <x v="1088"/>
    <x v="873"/>
    <x v="52"/>
  </r>
  <r>
    <x v="874"/>
    <x v="874"/>
    <x v="0"/>
    <x v="7"/>
    <x v="28"/>
    <x v="33"/>
    <x v="26"/>
    <x v="9"/>
    <x v="5"/>
    <x v="88"/>
    <x v="49"/>
    <x v="25"/>
    <x v="27"/>
    <x v="912"/>
    <x v="358"/>
    <x v="2"/>
    <x v="822"/>
    <x v="1400"/>
    <x v="874"/>
    <x v="52"/>
  </r>
  <r>
    <x v="875"/>
    <x v="875"/>
    <x v="1"/>
    <x v="7"/>
    <x v="14"/>
    <x v="3"/>
    <x v="26"/>
    <x v="9"/>
    <x v="5"/>
    <x v="88"/>
    <x v="49"/>
    <x v="16"/>
    <x v="27"/>
    <x v="545"/>
    <x v="116"/>
    <x v="4"/>
    <x v="516"/>
    <x v="1132"/>
    <x v="875"/>
    <x v="52"/>
  </r>
  <r>
    <x v="876"/>
    <x v="876"/>
    <x v="2"/>
    <x v="7"/>
    <x v="35"/>
    <x v="1"/>
    <x v="26"/>
    <x v="9"/>
    <x v="5"/>
    <x v="88"/>
    <x v="49"/>
    <x v="16"/>
    <x v="27"/>
    <x v="527"/>
    <x v="99"/>
    <x v="8"/>
    <x v="507"/>
    <x v="1034"/>
    <x v="876"/>
    <x v="52"/>
  </r>
  <r>
    <x v="877"/>
    <x v="877"/>
    <x v="3"/>
    <x v="7"/>
    <x v="12"/>
    <x v="17"/>
    <x v="26"/>
    <x v="9"/>
    <x v="5"/>
    <x v="88"/>
    <x v="49"/>
    <x v="18"/>
    <x v="27"/>
    <x v="751"/>
    <x v="181"/>
    <x v="3"/>
    <x v="715"/>
    <x v="1294"/>
    <x v="877"/>
    <x v="52"/>
  </r>
  <r>
    <x v="878"/>
    <x v="878"/>
    <x v="4"/>
    <x v="7"/>
    <x v="46"/>
    <x v="32"/>
    <x v="26"/>
    <x v="9"/>
    <x v="5"/>
    <x v="88"/>
    <x v="49"/>
    <x v="18"/>
    <x v="27"/>
    <x v="730"/>
    <x v="111"/>
    <x v="9"/>
    <x v="713"/>
    <x v="1256"/>
    <x v="878"/>
    <x v="52"/>
  </r>
  <r>
    <x v="879"/>
    <x v="879"/>
    <x v="5"/>
    <x v="7"/>
    <x v="41"/>
    <x v="23"/>
    <x v="26"/>
    <x v="9"/>
    <x v="5"/>
    <x v="88"/>
    <x v="49"/>
    <x v="15"/>
    <x v="27"/>
    <x v="438"/>
    <x v="44"/>
    <x v="13"/>
    <x v="473"/>
    <x v="788"/>
    <x v="879"/>
    <x v="52"/>
  </r>
  <r>
    <x v="880"/>
    <x v="880"/>
    <x v="6"/>
    <x v="7"/>
    <x v="31"/>
    <x v="40"/>
    <x v="26"/>
    <x v="9"/>
    <x v="5"/>
    <x v="88"/>
    <x v="49"/>
    <x v="20"/>
    <x v="27"/>
    <x v="836"/>
    <x v="304"/>
    <x v="7"/>
    <x v="760"/>
    <x v="1331"/>
    <x v="880"/>
    <x v="52"/>
  </r>
  <r>
    <x v="881"/>
    <x v="881"/>
    <x v="7"/>
    <x v="7"/>
    <x v="30"/>
    <x v="30"/>
    <x v="26"/>
    <x v="9"/>
    <x v="5"/>
    <x v="88"/>
    <x v="49"/>
    <x v="15"/>
    <x v="27"/>
    <x v="498"/>
    <x v="83"/>
    <x v="14"/>
    <x v="492"/>
    <x v="773"/>
    <x v="881"/>
    <x v="52"/>
  </r>
  <r>
    <x v="882"/>
    <x v="882"/>
    <x v="8"/>
    <x v="7"/>
    <x v="0"/>
    <x v="36"/>
    <x v="26"/>
    <x v="9"/>
    <x v="5"/>
    <x v="88"/>
    <x v="49"/>
    <x v="14"/>
    <x v="27"/>
    <x v="336"/>
    <x v="97"/>
    <x v="6"/>
    <x v="326"/>
    <x v="830"/>
    <x v="882"/>
    <x v="52"/>
  </r>
  <r>
    <x v="883"/>
    <x v="883"/>
    <x v="9"/>
    <x v="7"/>
    <x v="26"/>
    <x v="16"/>
    <x v="26"/>
    <x v="9"/>
    <x v="5"/>
    <x v="88"/>
    <x v="49"/>
    <x v="16"/>
    <x v="27"/>
    <x v="519"/>
    <x v="58"/>
    <x v="11"/>
    <x v="535"/>
    <x v="979"/>
    <x v="883"/>
    <x v="52"/>
  </r>
  <r>
    <x v="884"/>
    <x v="884"/>
    <x v="11"/>
    <x v="7"/>
    <x v="25"/>
    <x v="42"/>
    <x v="26"/>
    <x v="9"/>
    <x v="5"/>
    <x v="88"/>
    <x v="49"/>
    <x v="14"/>
    <x v="27"/>
    <x v="228"/>
    <x v="60"/>
    <x v="7"/>
    <x v="239"/>
    <x v="633"/>
    <x v="884"/>
    <x v="52"/>
  </r>
  <r>
    <x v="885"/>
    <x v="885"/>
    <x v="10"/>
    <x v="7"/>
    <x v="13"/>
    <x v="44"/>
    <x v="26"/>
    <x v="9"/>
    <x v="5"/>
    <x v="88"/>
    <x v="49"/>
    <x v="15"/>
    <x v="27"/>
    <x v="444"/>
    <x v="115"/>
    <x v="15"/>
    <x v="416"/>
    <x v="605"/>
    <x v="885"/>
    <x v="52"/>
  </r>
  <r>
    <x v="886"/>
    <x v="886"/>
    <x v="12"/>
    <x v="7"/>
    <x v="23"/>
    <x v="45"/>
    <x v="26"/>
    <x v="9"/>
    <x v="5"/>
    <x v="88"/>
    <x v="49"/>
    <x v="15"/>
    <x v="27"/>
    <x v="424"/>
    <x v="115"/>
    <x v="14"/>
    <x v="394"/>
    <x v="616"/>
    <x v="886"/>
    <x v="52"/>
  </r>
  <r>
    <x v="887"/>
    <x v="887"/>
    <x v="13"/>
    <x v="7"/>
    <x v="2"/>
    <x v="18"/>
    <x v="26"/>
    <x v="9"/>
    <x v="5"/>
    <x v="88"/>
    <x v="49"/>
    <x v="25"/>
    <x v="27"/>
    <x v="907"/>
    <x v="377"/>
    <x v="16"/>
    <x v="811"/>
    <x v="1361"/>
    <x v="887"/>
    <x v="52"/>
  </r>
  <r>
    <x v="888"/>
    <x v="888"/>
    <x v="14"/>
    <x v="7"/>
    <x v="27"/>
    <x v="46"/>
    <x v="26"/>
    <x v="9"/>
    <x v="5"/>
    <x v="88"/>
    <x v="49"/>
    <x v="26"/>
    <x v="27"/>
    <x v="889"/>
    <x v="336"/>
    <x v="19"/>
    <x v="831"/>
    <x v="1362"/>
    <x v="888"/>
    <x v="52"/>
  </r>
  <r>
    <x v="889"/>
    <x v="889"/>
    <x v="15"/>
    <x v="7"/>
    <x v="40"/>
    <x v="24"/>
    <x v="26"/>
    <x v="9"/>
    <x v="5"/>
    <x v="88"/>
    <x v="49"/>
    <x v="13"/>
    <x v="27"/>
    <x v="206"/>
    <x v="81"/>
    <x v="18"/>
    <x v="196"/>
    <x v="276"/>
    <x v="889"/>
    <x v="53"/>
  </r>
  <r>
    <x v="890"/>
    <x v="890"/>
    <x v="16"/>
    <x v="7"/>
    <x v="33"/>
    <x v="26"/>
    <x v="26"/>
    <x v="9"/>
    <x v="5"/>
    <x v="88"/>
    <x v="49"/>
    <x v="16"/>
    <x v="27"/>
    <x v="603"/>
    <x v="178"/>
    <x v="8"/>
    <x v="529"/>
    <x v="1058"/>
    <x v="890"/>
    <x v="53"/>
  </r>
  <r>
    <x v="891"/>
    <x v="891"/>
    <x v="17"/>
    <x v="7"/>
    <x v="1"/>
    <x v="34"/>
    <x v="26"/>
    <x v="9"/>
    <x v="5"/>
    <x v="88"/>
    <x v="49"/>
    <x v="16"/>
    <x v="27"/>
    <x v="601"/>
    <x v="127"/>
    <x v="21"/>
    <x v="575"/>
    <x v="595"/>
    <x v="891"/>
    <x v="53"/>
  </r>
  <r>
    <x v="892"/>
    <x v="892"/>
    <x v="18"/>
    <x v="7"/>
    <x v="38"/>
    <x v="12"/>
    <x v="26"/>
    <x v="9"/>
    <x v="5"/>
    <x v="88"/>
    <x v="49"/>
    <x v="15"/>
    <x v="27"/>
    <x v="437"/>
    <x v="86"/>
    <x v="15"/>
    <x v="435"/>
    <x v="638"/>
    <x v="892"/>
    <x v="53"/>
  </r>
  <r>
    <x v="893"/>
    <x v="893"/>
    <x v="20"/>
    <x v="7"/>
    <x v="16"/>
    <x v="35"/>
    <x v="26"/>
    <x v="9"/>
    <x v="5"/>
    <x v="88"/>
    <x v="49"/>
    <x v="12"/>
    <x v="27"/>
    <x v="94"/>
    <x v="52"/>
    <x v="23"/>
    <x v="102"/>
    <x v="134"/>
    <x v="893"/>
    <x v="53"/>
  </r>
  <r>
    <x v="894"/>
    <x v="895"/>
    <x v="19"/>
    <x v="7"/>
    <x v="45"/>
    <x v="0"/>
    <x v="26"/>
    <x v="9"/>
    <x v="5"/>
    <x v="88"/>
    <x v="49"/>
    <x v="11"/>
    <x v="27"/>
    <x v="197"/>
    <x v="71"/>
    <x v="11"/>
    <x v="189"/>
    <x v="417"/>
    <x v="894"/>
    <x v="53"/>
  </r>
  <r>
    <x v="895"/>
    <x v="894"/>
    <x v="21"/>
    <x v="7"/>
    <x v="8"/>
    <x v="38"/>
    <x v="28"/>
    <x v="1"/>
    <x v="5"/>
    <x v="88"/>
    <x v="49"/>
    <x v="33"/>
    <x v="29"/>
    <x v="238"/>
    <x v="100"/>
    <x v="12"/>
    <x v="216"/>
    <x v="422"/>
    <x v="895"/>
    <x v="53"/>
  </r>
  <r>
    <x v="896"/>
    <x v="896"/>
    <x v="22"/>
    <x v="7"/>
    <x v="3"/>
    <x v="10"/>
    <x v="28"/>
    <x v="1"/>
    <x v="5"/>
    <x v="88"/>
    <x v="49"/>
    <x v="34"/>
    <x v="29"/>
    <x v="213"/>
    <x v="11"/>
    <x v="17"/>
    <x v="277"/>
    <x v="373"/>
    <x v="896"/>
    <x v="53"/>
  </r>
  <r>
    <x v="897"/>
    <x v="897"/>
    <x v="23"/>
    <x v="7"/>
    <x v="42"/>
    <x v="5"/>
    <x v="28"/>
    <x v="1"/>
    <x v="5"/>
    <x v="88"/>
    <x v="49"/>
    <x v="36"/>
    <x v="29"/>
    <x v="395"/>
    <x v="114"/>
    <x v="8"/>
    <x v="368"/>
    <x v="823"/>
    <x v="897"/>
    <x v="53"/>
  </r>
  <r>
    <x v="898"/>
    <x v="898"/>
    <x v="24"/>
    <x v="7"/>
    <x v="35"/>
    <x v="1"/>
    <x v="28"/>
    <x v="1"/>
    <x v="5"/>
    <x v="88"/>
    <x v="49"/>
    <x v="39"/>
    <x v="29"/>
    <x v="623"/>
    <x v="93"/>
    <x v="8"/>
    <x v="621"/>
    <x v="1174"/>
    <x v="898"/>
    <x v="53"/>
  </r>
  <r>
    <x v="899"/>
    <x v="899"/>
    <x v="26"/>
    <x v="7"/>
    <x v="21"/>
    <x v="4"/>
    <x v="28"/>
    <x v="1"/>
    <x v="5"/>
    <x v="88"/>
    <x v="50"/>
    <x v="40"/>
    <x v="29"/>
    <x v="655"/>
    <x v="128"/>
    <x v="9"/>
    <x v="635"/>
    <x v="1169"/>
    <x v="899"/>
    <x v="53"/>
  </r>
  <r>
    <x v="900"/>
    <x v="900"/>
    <x v="25"/>
    <x v="7"/>
    <x v="15"/>
    <x v="43"/>
    <x v="28"/>
    <x v="1"/>
    <x v="5"/>
    <x v="88"/>
    <x v="50"/>
    <x v="36"/>
    <x v="29"/>
    <x v="481"/>
    <x v="170"/>
    <x v="8"/>
    <x v="395"/>
    <x v="870"/>
    <x v="900"/>
    <x v="53"/>
  </r>
  <r>
    <x v="901"/>
    <x v="901"/>
    <x v="27"/>
    <x v="7"/>
    <x v="12"/>
    <x v="17"/>
    <x v="28"/>
    <x v="1"/>
    <x v="5"/>
    <x v="76"/>
    <x v="50"/>
    <x v="6"/>
    <x v="37"/>
    <x v="760"/>
    <x v="172"/>
    <x v="8"/>
    <x v="723"/>
    <x v="1281"/>
    <x v="901"/>
    <x v="53"/>
  </r>
  <r>
    <x v="902"/>
    <x v="902"/>
    <x v="28"/>
    <x v="7"/>
    <x v="24"/>
    <x v="37"/>
    <x v="28"/>
    <x v="1"/>
    <x v="5"/>
    <x v="63"/>
    <x v="50"/>
    <x v="6"/>
    <x v="37"/>
    <x v="634"/>
    <x v="109"/>
    <x v="4"/>
    <x v="622"/>
    <x v="1224"/>
    <x v="902"/>
    <x v="53"/>
  </r>
  <r>
    <x v="903"/>
    <x v="903"/>
    <x v="0"/>
    <x v="7"/>
    <x v="29"/>
    <x v="15"/>
    <x v="28"/>
    <x v="1"/>
    <x v="5"/>
    <x v="71"/>
    <x v="50"/>
    <x v="6"/>
    <x v="37"/>
    <x v="723"/>
    <x v="124"/>
    <x v="8"/>
    <x v="696"/>
    <x v="1253"/>
    <x v="903"/>
    <x v="53"/>
  </r>
  <r>
    <x v="904"/>
    <x v="904"/>
    <x v="1"/>
    <x v="7"/>
    <x v="46"/>
    <x v="32"/>
    <x v="28"/>
    <x v="1"/>
    <x v="5"/>
    <x v="73"/>
    <x v="50"/>
    <x v="6"/>
    <x v="37"/>
    <x v="716"/>
    <x v="101"/>
    <x v="6"/>
    <x v="700"/>
    <x v="1271"/>
    <x v="904"/>
    <x v="53"/>
  </r>
  <r>
    <x v="905"/>
    <x v="905"/>
    <x v="3"/>
    <x v="7"/>
    <x v="31"/>
    <x v="40"/>
    <x v="28"/>
    <x v="1"/>
    <x v="5"/>
    <x v="88"/>
    <x v="50"/>
    <x v="35"/>
    <x v="29"/>
    <x v="675"/>
    <x v="299"/>
    <x v="7"/>
    <x v="323"/>
    <x v="780"/>
    <x v="905"/>
    <x v="53"/>
  </r>
  <r>
    <x v="906"/>
    <x v="906"/>
    <x v="2"/>
    <x v="7"/>
    <x v="41"/>
    <x v="23"/>
    <x v="28"/>
    <x v="1"/>
    <x v="5"/>
    <x v="88"/>
    <x v="50"/>
    <x v="39"/>
    <x v="29"/>
    <x v="560"/>
    <x v="39"/>
    <x v="10"/>
    <x v="599"/>
    <x v="1093"/>
    <x v="906"/>
    <x v="53"/>
  </r>
  <r>
    <x v="907"/>
    <x v="907"/>
    <x v="4"/>
    <x v="7"/>
    <x v="28"/>
    <x v="33"/>
    <x v="28"/>
    <x v="1"/>
    <x v="5"/>
    <x v="88"/>
    <x v="50"/>
    <x v="37"/>
    <x v="29"/>
    <x v="812"/>
    <x v="349"/>
    <x v="10"/>
    <x v="495"/>
    <x v="959"/>
    <x v="907"/>
    <x v="53"/>
  </r>
  <r>
    <x v="908"/>
    <x v="908"/>
    <x v="5"/>
    <x v="7"/>
    <x v="30"/>
    <x v="30"/>
    <x v="28"/>
    <x v="1"/>
    <x v="5"/>
    <x v="53"/>
    <x v="50"/>
    <x v="5"/>
    <x v="37"/>
    <x v="508"/>
    <x v="74"/>
    <x v="7"/>
    <x v="510"/>
    <x v="1066"/>
    <x v="908"/>
    <x v="53"/>
  </r>
  <r>
    <x v="909"/>
    <x v="909"/>
    <x v="6"/>
    <x v="7"/>
    <x v="0"/>
    <x v="36"/>
    <x v="28"/>
    <x v="1"/>
    <x v="5"/>
    <x v="23"/>
    <x v="50"/>
    <x v="5"/>
    <x v="37"/>
    <x v="247"/>
    <x v="92"/>
    <x v="12"/>
    <x v="235"/>
    <x v="446"/>
    <x v="909"/>
    <x v="53"/>
  </r>
  <r>
    <x v="910"/>
    <x v="910"/>
    <x v="7"/>
    <x v="7"/>
    <x v="2"/>
    <x v="18"/>
    <x v="28"/>
    <x v="1"/>
    <x v="5"/>
    <x v="77"/>
    <x v="50"/>
    <x v="6"/>
    <x v="37"/>
    <x v="862"/>
    <x v="372"/>
    <x v="8"/>
    <x v="728"/>
    <x v="1289"/>
    <x v="910"/>
    <x v="53"/>
  </r>
  <r>
    <x v="911"/>
    <x v="911"/>
    <x v="1093"/>
    <x v="7"/>
    <x v="26"/>
    <x v="16"/>
    <x v="28"/>
    <x v="1"/>
    <x v="5"/>
    <x v="14"/>
    <x v="50"/>
    <x v="4"/>
    <x v="37"/>
    <x v="166"/>
    <x v="66"/>
    <x v="9"/>
    <x v="164"/>
    <x v="423"/>
    <x v="911"/>
    <x v="53"/>
  </r>
  <r>
    <x v="912"/>
    <x v="912"/>
    <x v="10"/>
    <x v="7"/>
    <x v="33"/>
    <x v="26"/>
    <x v="28"/>
    <x v="1"/>
    <x v="5"/>
    <x v="9"/>
    <x v="50"/>
    <x v="4"/>
    <x v="37"/>
    <x v="192"/>
    <x v="186"/>
    <x v="15"/>
    <x v="110"/>
    <x v="235"/>
    <x v="912"/>
    <x v="53"/>
  </r>
  <r>
    <x v="913"/>
    <x v="913"/>
    <x v="9"/>
    <x v="7"/>
    <x v="13"/>
    <x v="44"/>
    <x v="28"/>
    <x v="1"/>
    <x v="5"/>
    <x v="13"/>
    <x v="50"/>
    <x v="4"/>
    <x v="37"/>
    <x v="190"/>
    <x v="109"/>
    <x v="7"/>
    <x v="160"/>
    <x v="468"/>
    <x v="913"/>
    <x v="53"/>
  </r>
  <r>
    <x v="914"/>
    <x v="914"/>
    <x v="11"/>
    <x v="7"/>
    <x v="40"/>
    <x v="24"/>
    <x v="28"/>
    <x v="1"/>
    <x v="5"/>
    <x v="7"/>
    <x v="50"/>
    <x v="4"/>
    <x v="37"/>
    <x v="58"/>
    <x v="71"/>
    <x v="3"/>
    <x v="63"/>
    <x v="307"/>
    <x v="914"/>
    <x v="53"/>
  </r>
  <r>
    <x v="915"/>
    <x v="915"/>
    <x v="18"/>
    <x v="7"/>
    <x v="38"/>
    <x v="12"/>
    <x v="28"/>
    <x v="1"/>
    <x v="5"/>
    <x v="5"/>
    <x v="50"/>
    <x v="3"/>
    <x v="37"/>
    <x v="35"/>
    <x v="79"/>
    <x v="11"/>
    <x v="37"/>
    <x v="81"/>
    <x v="915"/>
    <x v="53"/>
  </r>
  <r>
    <x v="916"/>
    <x v="916"/>
    <x v="17"/>
    <x v="7"/>
    <x v="1"/>
    <x v="34"/>
    <x v="28"/>
    <x v="1"/>
    <x v="5"/>
    <x v="8"/>
    <x v="50"/>
    <x v="4"/>
    <x v="37"/>
    <x v="101"/>
    <x v="119"/>
    <x v="16"/>
    <x v="85"/>
    <x v="182"/>
    <x v="916"/>
    <x v="53"/>
  </r>
  <r>
    <x v="917"/>
    <x v="917"/>
    <x v="359"/>
    <x v="8"/>
    <x v="36"/>
    <x v="29"/>
    <x v="2"/>
    <x v="9"/>
    <x v="4"/>
    <x v="88"/>
    <x v="50"/>
    <x v="15"/>
    <x v="3"/>
    <x v="691"/>
    <x v="207"/>
    <x v="3"/>
    <x v="620"/>
    <x v="1233"/>
    <x v="917"/>
    <x v="54"/>
  </r>
  <r>
    <x v="918"/>
    <x v="918"/>
    <x v="360"/>
    <x v="8"/>
    <x v="39"/>
    <x v="39"/>
    <x v="2"/>
    <x v="9"/>
    <x v="4"/>
    <x v="88"/>
    <x v="50"/>
    <x v="15"/>
    <x v="3"/>
    <x v="681"/>
    <x v="190"/>
    <x v="3"/>
    <x v="621"/>
    <x v="1234"/>
    <x v="918"/>
    <x v="54"/>
  </r>
  <r>
    <x v="919"/>
    <x v="919"/>
    <x v="358"/>
    <x v="8"/>
    <x v="4"/>
    <x v="2"/>
    <x v="2"/>
    <x v="9"/>
    <x v="4"/>
    <x v="88"/>
    <x v="50"/>
    <x v="12"/>
    <x v="3"/>
    <x v="173"/>
    <x v="20"/>
    <x v="9"/>
    <x v="213"/>
    <x v="509"/>
    <x v="919"/>
    <x v="54"/>
  </r>
  <r>
    <x v="920"/>
    <x v="920"/>
    <x v="362"/>
    <x v="8"/>
    <x v="43"/>
    <x v="28"/>
    <x v="2"/>
    <x v="9"/>
    <x v="4"/>
    <x v="88"/>
    <x v="50"/>
    <x v="14"/>
    <x v="3"/>
    <x v="464"/>
    <x v="73"/>
    <x v="9"/>
    <x v="470"/>
    <x v="958"/>
    <x v="920"/>
    <x v="54"/>
  </r>
  <r>
    <x v="921"/>
    <x v="921"/>
    <x v="361"/>
    <x v="8"/>
    <x v="10"/>
    <x v="27"/>
    <x v="2"/>
    <x v="9"/>
    <x v="4"/>
    <x v="88"/>
    <x v="50"/>
    <x v="14"/>
    <x v="3"/>
    <x v="562"/>
    <x v="109"/>
    <x v="3"/>
    <x v="542"/>
    <x v="1175"/>
    <x v="921"/>
    <x v="54"/>
  </r>
  <r>
    <x v="922"/>
    <x v="922"/>
    <x v="363"/>
    <x v="8"/>
    <x v="9"/>
    <x v="41"/>
    <x v="2"/>
    <x v="9"/>
    <x v="4"/>
    <x v="88"/>
    <x v="50"/>
    <x v="14"/>
    <x v="3"/>
    <x v="642"/>
    <x v="256"/>
    <x v="9"/>
    <x v="476"/>
    <x v="968"/>
    <x v="922"/>
    <x v="54"/>
  </r>
  <r>
    <x v="923"/>
    <x v="923"/>
    <x v="364"/>
    <x v="8"/>
    <x v="11"/>
    <x v="31"/>
    <x v="2"/>
    <x v="9"/>
    <x v="4"/>
    <x v="88"/>
    <x v="50"/>
    <x v="14"/>
    <x v="3"/>
    <x v="455"/>
    <x v="101"/>
    <x v="8"/>
    <x v="437"/>
    <x v="940"/>
    <x v="923"/>
    <x v="54"/>
  </r>
  <r>
    <x v="924"/>
    <x v="924"/>
    <x v="365"/>
    <x v="8"/>
    <x v="17"/>
    <x v="11"/>
    <x v="2"/>
    <x v="9"/>
    <x v="4"/>
    <x v="88"/>
    <x v="51"/>
    <x v="13"/>
    <x v="3"/>
    <x v="223"/>
    <x v="79"/>
    <x v="3"/>
    <x v="216"/>
    <x v="694"/>
    <x v="924"/>
    <x v="54"/>
  </r>
  <r>
    <x v="925"/>
    <x v="925"/>
    <x v="366"/>
    <x v="8"/>
    <x v="47"/>
    <x v="19"/>
    <x v="2"/>
    <x v="9"/>
    <x v="4"/>
    <x v="88"/>
    <x v="51"/>
    <x v="14"/>
    <x v="3"/>
    <x v="533"/>
    <x v="220"/>
    <x v="10"/>
    <x v="391"/>
    <x v="776"/>
    <x v="925"/>
    <x v="54"/>
  </r>
  <r>
    <x v="926"/>
    <x v="926"/>
    <x v="367"/>
    <x v="8"/>
    <x v="6"/>
    <x v="22"/>
    <x v="2"/>
    <x v="9"/>
    <x v="4"/>
    <x v="88"/>
    <x v="51"/>
    <x v="13"/>
    <x v="3"/>
    <x v="383"/>
    <x v="238"/>
    <x v="12"/>
    <x v="231"/>
    <x v="438"/>
    <x v="926"/>
    <x v="54"/>
  </r>
  <r>
    <x v="927"/>
    <x v="927"/>
    <x v="368"/>
    <x v="8"/>
    <x v="5"/>
    <x v="20"/>
    <x v="2"/>
    <x v="9"/>
    <x v="4"/>
    <x v="88"/>
    <x v="51"/>
    <x v="13"/>
    <x v="3"/>
    <x v="462"/>
    <x v="230"/>
    <x v="11"/>
    <x v="311"/>
    <x v="597"/>
    <x v="927"/>
    <x v="54"/>
  </r>
  <r>
    <x v="928"/>
    <x v="928"/>
    <x v="369"/>
    <x v="8"/>
    <x v="27"/>
    <x v="46"/>
    <x v="2"/>
    <x v="9"/>
    <x v="4"/>
    <x v="88"/>
    <x v="51"/>
    <x v="23"/>
    <x v="3"/>
    <x v="883"/>
    <x v="330"/>
    <x v="12"/>
    <x v="807"/>
    <x v="1368"/>
    <x v="928"/>
    <x v="54"/>
  </r>
  <r>
    <x v="929"/>
    <x v="929"/>
    <x v="370"/>
    <x v="8"/>
    <x v="46"/>
    <x v="32"/>
    <x v="2"/>
    <x v="9"/>
    <x v="4"/>
    <x v="88"/>
    <x v="51"/>
    <x v="17"/>
    <x v="3"/>
    <x v="718"/>
    <x v="102"/>
    <x v="7"/>
    <x v="702"/>
    <x v="1266"/>
    <x v="929"/>
    <x v="54"/>
  </r>
  <r>
    <x v="930"/>
    <x v="930"/>
    <x v="371"/>
    <x v="8"/>
    <x v="24"/>
    <x v="37"/>
    <x v="2"/>
    <x v="9"/>
    <x v="4"/>
    <x v="88"/>
    <x v="51"/>
    <x v="15"/>
    <x v="3"/>
    <x v="581"/>
    <x v="94"/>
    <x v="8"/>
    <x v="577"/>
    <x v="1121"/>
    <x v="930"/>
    <x v="54"/>
  </r>
  <r>
    <x v="931"/>
    <x v="931"/>
    <x v="372"/>
    <x v="8"/>
    <x v="29"/>
    <x v="15"/>
    <x v="2"/>
    <x v="9"/>
    <x v="4"/>
    <x v="88"/>
    <x v="51"/>
    <x v="17"/>
    <x v="3"/>
    <x v="715"/>
    <x v="108"/>
    <x v="13"/>
    <x v="696"/>
    <x v="1185"/>
    <x v="931"/>
    <x v="54"/>
  </r>
  <r>
    <x v="932"/>
    <x v="932"/>
    <x v="373"/>
    <x v="8"/>
    <x v="28"/>
    <x v="33"/>
    <x v="2"/>
    <x v="9"/>
    <x v="4"/>
    <x v="88"/>
    <x v="51"/>
    <x v="24"/>
    <x v="3"/>
    <x v="904"/>
    <x v="346"/>
    <x v="13"/>
    <x v="815"/>
    <x v="1370"/>
    <x v="932"/>
    <x v="54"/>
  </r>
  <r>
    <x v="933"/>
    <x v="933"/>
    <x v="374"/>
    <x v="8"/>
    <x v="31"/>
    <x v="40"/>
    <x v="2"/>
    <x v="9"/>
    <x v="4"/>
    <x v="88"/>
    <x v="51"/>
    <x v="18"/>
    <x v="3"/>
    <x v="828"/>
    <x v="298"/>
    <x v="11"/>
    <x v="751"/>
    <x v="1290"/>
    <x v="933"/>
    <x v="54"/>
  </r>
  <r>
    <x v="934"/>
    <x v="934"/>
    <x v="375"/>
    <x v="8"/>
    <x v="15"/>
    <x v="43"/>
    <x v="2"/>
    <x v="9"/>
    <x v="4"/>
    <x v="88"/>
    <x v="51"/>
    <x v="14"/>
    <x v="3"/>
    <x v="492"/>
    <x v="161"/>
    <x v="11"/>
    <x v="416"/>
    <x v="772"/>
    <x v="934"/>
    <x v="55"/>
  </r>
  <r>
    <x v="935"/>
    <x v="935"/>
    <x v="376"/>
    <x v="8"/>
    <x v="35"/>
    <x v="1"/>
    <x v="2"/>
    <x v="9"/>
    <x v="4"/>
    <x v="88"/>
    <x v="51"/>
    <x v="14"/>
    <x v="3"/>
    <x v="466"/>
    <x v="94"/>
    <x v="12"/>
    <x v="453"/>
    <x v="797"/>
    <x v="935"/>
    <x v="55"/>
  </r>
  <r>
    <x v="936"/>
    <x v="936"/>
    <x v="377"/>
    <x v="8"/>
    <x v="42"/>
    <x v="5"/>
    <x v="2"/>
    <x v="9"/>
    <x v="4"/>
    <x v="88"/>
    <x v="51"/>
    <x v="12"/>
    <x v="3"/>
    <x v="203"/>
    <x v="94"/>
    <x v="15"/>
    <x v="183"/>
    <x v="322"/>
    <x v="936"/>
    <x v="55"/>
  </r>
  <r>
    <x v="937"/>
    <x v="937"/>
    <x v="378"/>
    <x v="8"/>
    <x v="2"/>
    <x v="18"/>
    <x v="2"/>
    <x v="9"/>
    <x v="4"/>
    <x v="88"/>
    <x v="51"/>
    <x v="24"/>
    <x v="3"/>
    <x v="913"/>
    <x v="373"/>
    <x v="6"/>
    <x v="817"/>
    <x v="1387"/>
    <x v="937"/>
    <x v="55"/>
  </r>
  <r>
    <x v="938"/>
    <x v="938"/>
    <x v="379"/>
    <x v="8"/>
    <x v="12"/>
    <x v="17"/>
    <x v="2"/>
    <x v="9"/>
    <x v="4"/>
    <x v="88"/>
    <x v="51"/>
    <x v="17"/>
    <x v="3"/>
    <x v="739"/>
    <x v="170"/>
    <x v="15"/>
    <x v="707"/>
    <x v="1154"/>
    <x v="938"/>
    <x v="55"/>
  </r>
  <r>
    <x v="939"/>
    <x v="939"/>
    <x v="380"/>
    <x v="8"/>
    <x v="33"/>
    <x v="26"/>
    <x v="2"/>
    <x v="9"/>
    <x v="4"/>
    <x v="88"/>
    <x v="51"/>
    <x v="15"/>
    <x v="3"/>
    <x v="595"/>
    <x v="166"/>
    <x v="13"/>
    <x v="531"/>
    <x v="890"/>
    <x v="939"/>
    <x v="55"/>
  </r>
  <r>
    <x v="940"/>
    <x v="940"/>
    <x v="381"/>
    <x v="8"/>
    <x v="1"/>
    <x v="34"/>
    <x v="2"/>
    <x v="9"/>
    <x v="4"/>
    <x v="88"/>
    <x v="51"/>
    <x v="16"/>
    <x v="3"/>
    <x v="685"/>
    <x v="111"/>
    <x v="7"/>
    <x v="666"/>
    <x v="1237"/>
    <x v="940"/>
    <x v="55"/>
  </r>
  <r>
    <x v="941"/>
    <x v="941"/>
    <x v="382"/>
    <x v="8"/>
    <x v="21"/>
    <x v="4"/>
    <x v="2"/>
    <x v="9"/>
    <x v="4"/>
    <x v="88"/>
    <x v="51"/>
    <x v="15"/>
    <x v="3"/>
    <x v="542"/>
    <x v="108"/>
    <x v="6"/>
    <x v="519"/>
    <x v="1109"/>
    <x v="941"/>
    <x v="55"/>
  </r>
  <r>
    <x v="942"/>
    <x v="942"/>
    <x v="383"/>
    <x v="8"/>
    <x v="36"/>
    <x v="29"/>
    <x v="2"/>
    <x v="9"/>
    <x v="4"/>
    <x v="88"/>
    <x v="51"/>
    <x v="16"/>
    <x v="3"/>
    <x v="683"/>
    <x v="190"/>
    <x v="22"/>
    <x v="624"/>
    <x v="649"/>
    <x v="942"/>
    <x v="55"/>
  </r>
  <r>
    <x v="943"/>
    <x v="943"/>
    <x v="384"/>
    <x v="8"/>
    <x v="39"/>
    <x v="39"/>
    <x v="2"/>
    <x v="9"/>
    <x v="4"/>
    <x v="88"/>
    <x v="51"/>
    <x v="15"/>
    <x v="3"/>
    <x v="646"/>
    <x v="170"/>
    <x v="8"/>
    <x v="596"/>
    <x v="1143"/>
    <x v="943"/>
    <x v="55"/>
  </r>
  <r>
    <x v="944"/>
    <x v="944"/>
    <x v="385"/>
    <x v="8"/>
    <x v="4"/>
    <x v="2"/>
    <x v="2"/>
    <x v="9"/>
    <x v="4"/>
    <x v="88"/>
    <x v="51"/>
    <x v="13"/>
    <x v="3"/>
    <x v="155"/>
    <x v="3"/>
    <x v="9"/>
    <x v="212"/>
    <x v="508"/>
    <x v="944"/>
    <x v="55"/>
  </r>
  <r>
    <x v="945"/>
    <x v="945"/>
    <x v="386"/>
    <x v="8"/>
    <x v="43"/>
    <x v="28"/>
    <x v="2"/>
    <x v="9"/>
    <x v="4"/>
    <x v="88"/>
    <x v="52"/>
    <x v="15"/>
    <x v="3"/>
    <x v="428"/>
    <x v="48"/>
    <x v="12"/>
    <x v="458"/>
    <x v="805"/>
    <x v="945"/>
    <x v="55"/>
  </r>
  <r>
    <x v="946"/>
    <x v="946"/>
    <x v="387"/>
    <x v="8"/>
    <x v="10"/>
    <x v="27"/>
    <x v="2"/>
    <x v="9"/>
    <x v="4"/>
    <x v="88"/>
    <x v="52"/>
    <x v="15"/>
    <x v="3"/>
    <x v="506"/>
    <x v="84"/>
    <x v="4"/>
    <x v="499"/>
    <x v="1115"/>
    <x v="946"/>
    <x v="55"/>
  </r>
  <r>
    <x v="947"/>
    <x v="947"/>
    <x v="388"/>
    <x v="8"/>
    <x v="9"/>
    <x v="41"/>
    <x v="2"/>
    <x v="9"/>
    <x v="4"/>
    <x v="88"/>
    <x v="52"/>
    <x v="16"/>
    <x v="3"/>
    <x v="735"/>
    <x v="254"/>
    <x v="2"/>
    <x v="641"/>
    <x v="1259"/>
    <x v="947"/>
    <x v="55"/>
  </r>
  <r>
    <x v="948"/>
    <x v="948"/>
    <x v="389"/>
    <x v="8"/>
    <x v="11"/>
    <x v="31"/>
    <x v="2"/>
    <x v="9"/>
    <x v="4"/>
    <x v="88"/>
    <x v="52"/>
    <x v="15"/>
    <x v="3"/>
    <x v="402"/>
    <x v="103"/>
    <x v="14"/>
    <x v="383"/>
    <x v="598"/>
    <x v="948"/>
    <x v="55"/>
  </r>
  <r>
    <x v="949"/>
    <x v="949"/>
    <x v="390"/>
    <x v="8"/>
    <x v="17"/>
    <x v="11"/>
    <x v="0"/>
    <x v="9"/>
    <x v="4"/>
    <x v="88"/>
    <x v="52"/>
    <x v="12"/>
    <x v="1"/>
    <x v="216"/>
    <x v="80"/>
    <x v="11"/>
    <x v="207"/>
    <x v="434"/>
    <x v="949"/>
    <x v="55"/>
  </r>
  <r>
    <x v="950"/>
    <x v="950"/>
    <x v="391"/>
    <x v="8"/>
    <x v="47"/>
    <x v="19"/>
    <x v="0"/>
    <x v="9"/>
    <x v="4"/>
    <x v="88"/>
    <x v="52"/>
    <x v="13"/>
    <x v="1"/>
    <x v="497"/>
    <x v="224"/>
    <x v="2"/>
    <x v="351"/>
    <x v="991"/>
    <x v="950"/>
    <x v="55"/>
  </r>
  <r>
    <x v="951"/>
    <x v="951"/>
    <x v="392"/>
    <x v="8"/>
    <x v="6"/>
    <x v="22"/>
    <x v="0"/>
    <x v="9"/>
    <x v="4"/>
    <x v="88"/>
    <x v="52"/>
    <x v="13"/>
    <x v="1"/>
    <x v="582"/>
    <x v="233"/>
    <x v="6"/>
    <x v="441"/>
    <x v="1015"/>
    <x v="951"/>
    <x v="55"/>
  </r>
  <r>
    <x v="952"/>
    <x v="952"/>
    <x v="393"/>
    <x v="8"/>
    <x v="5"/>
    <x v="20"/>
    <x v="0"/>
    <x v="9"/>
    <x v="4"/>
    <x v="88"/>
    <x v="52"/>
    <x v="13"/>
    <x v="1"/>
    <x v="502"/>
    <x v="228"/>
    <x v="7"/>
    <x v="350"/>
    <x v="834"/>
    <x v="952"/>
    <x v="55"/>
  </r>
  <r>
    <x v="953"/>
    <x v="953"/>
    <x v="394"/>
    <x v="8"/>
    <x v="41"/>
    <x v="23"/>
    <x v="0"/>
    <x v="9"/>
    <x v="4"/>
    <x v="88"/>
    <x v="52"/>
    <x v="14"/>
    <x v="1"/>
    <x v="537"/>
    <x v="41"/>
    <x v="8"/>
    <x v="572"/>
    <x v="1114"/>
    <x v="953"/>
    <x v="55"/>
  </r>
  <r>
    <x v="954"/>
    <x v="954"/>
    <x v="396"/>
    <x v="8"/>
    <x v="0"/>
    <x v="36"/>
    <x v="0"/>
    <x v="9"/>
    <x v="4"/>
    <x v="88"/>
    <x v="52"/>
    <x v="12"/>
    <x v="1"/>
    <x v="221"/>
    <x v="100"/>
    <x v="7"/>
    <x v="198"/>
    <x v="551"/>
    <x v="954"/>
    <x v="56"/>
  </r>
  <r>
    <x v="955"/>
    <x v="955"/>
    <x v="395"/>
    <x v="8"/>
    <x v="30"/>
    <x v="30"/>
    <x v="0"/>
    <x v="9"/>
    <x v="4"/>
    <x v="88"/>
    <x v="52"/>
    <x v="13"/>
    <x v="1"/>
    <x v="353"/>
    <x v="83"/>
    <x v="8"/>
    <x v="355"/>
    <x v="793"/>
    <x v="955"/>
    <x v="56"/>
  </r>
  <r>
    <x v="956"/>
    <x v="956"/>
    <x v="397"/>
    <x v="8"/>
    <x v="46"/>
    <x v="32"/>
    <x v="0"/>
    <x v="9"/>
    <x v="4"/>
    <x v="88"/>
    <x v="52"/>
    <x v="15"/>
    <x v="1"/>
    <x v="683"/>
    <x v="102"/>
    <x v="4"/>
    <x v="668"/>
    <x v="1262"/>
    <x v="956"/>
    <x v="56"/>
  </r>
  <r>
    <x v="957"/>
    <x v="957"/>
    <x v="399"/>
    <x v="8"/>
    <x v="24"/>
    <x v="37"/>
    <x v="0"/>
    <x v="9"/>
    <x v="4"/>
    <x v="88"/>
    <x v="52"/>
    <x v="14"/>
    <x v="1"/>
    <x v="557"/>
    <x v="87"/>
    <x v="3"/>
    <x v="555"/>
    <x v="1191"/>
    <x v="957"/>
    <x v="56"/>
  </r>
  <r>
    <x v="958"/>
    <x v="958"/>
    <x v="398"/>
    <x v="8"/>
    <x v="29"/>
    <x v="15"/>
    <x v="0"/>
    <x v="9"/>
    <x v="4"/>
    <x v="88"/>
    <x v="52"/>
    <x v="16"/>
    <x v="1"/>
    <x v="713"/>
    <x v="109"/>
    <x v="7"/>
    <x v="692"/>
    <x v="1261"/>
    <x v="958"/>
    <x v="56"/>
  </r>
  <r>
    <x v="959"/>
    <x v="959"/>
    <x v="401"/>
    <x v="8"/>
    <x v="13"/>
    <x v="44"/>
    <x v="0"/>
    <x v="9"/>
    <x v="4"/>
    <x v="88"/>
    <x v="52"/>
    <x v="13"/>
    <x v="1"/>
    <x v="397"/>
    <x v="116"/>
    <x v="10"/>
    <x v="368"/>
    <x v="735"/>
    <x v="959"/>
    <x v="56"/>
  </r>
  <r>
    <x v="960"/>
    <x v="960"/>
    <x v="400"/>
    <x v="8"/>
    <x v="27"/>
    <x v="46"/>
    <x v="0"/>
    <x v="9"/>
    <x v="4"/>
    <x v="88"/>
    <x v="52"/>
    <x v="23"/>
    <x v="1"/>
    <x v="891"/>
    <x v="327"/>
    <x v="7"/>
    <x v="838"/>
    <x v="1395"/>
    <x v="960"/>
    <x v="56"/>
  </r>
  <r>
    <x v="961"/>
    <x v="961"/>
    <x v="402"/>
    <x v="8"/>
    <x v="42"/>
    <x v="5"/>
    <x v="0"/>
    <x v="9"/>
    <x v="4"/>
    <x v="88"/>
    <x v="52"/>
    <x v="13"/>
    <x v="1"/>
    <x v="354"/>
    <x v="98"/>
    <x v="8"/>
    <x v="343"/>
    <x v="770"/>
    <x v="961"/>
    <x v="56"/>
  </r>
  <r>
    <x v="962"/>
    <x v="962"/>
    <x v="403"/>
    <x v="8"/>
    <x v="35"/>
    <x v="1"/>
    <x v="0"/>
    <x v="9"/>
    <x v="4"/>
    <x v="88"/>
    <x v="53"/>
    <x v="16"/>
    <x v="1"/>
    <x v="451"/>
    <x v="88"/>
    <x v="6"/>
    <x v="445"/>
    <x v="1019"/>
    <x v="962"/>
    <x v="56"/>
  </r>
  <r>
    <x v="963"/>
    <x v="963"/>
    <x v="404"/>
    <x v="8"/>
    <x v="31"/>
    <x v="40"/>
    <x v="0"/>
    <x v="9"/>
    <x v="4"/>
    <x v="88"/>
    <x v="53"/>
    <x v="21"/>
    <x v="1"/>
    <x v="825"/>
    <x v="289"/>
    <x v="6"/>
    <x v="750"/>
    <x v="1324"/>
    <x v="963"/>
    <x v="56"/>
  </r>
  <r>
    <x v="964"/>
    <x v="964"/>
    <x v="405"/>
    <x v="8"/>
    <x v="33"/>
    <x v="26"/>
    <x v="0"/>
    <x v="9"/>
    <x v="4"/>
    <x v="88"/>
    <x v="53"/>
    <x v="19"/>
    <x v="1"/>
    <x v="714"/>
    <x v="165"/>
    <x v="7"/>
    <x v="673"/>
    <x v="1243"/>
    <x v="964"/>
    <x v="56"/>
  </r>
  <r>
    <x v="965"/>
    <x v="965"/>
    <x v="406"/>
    <x v="8"/>
    <x v="2"/>
    <x v="18"/>
    <x v="0"/>
    <x v="9"/>
    <x v="4"/>
    <x v="88"/>
    <x v="53"/>
    <x v="28"/>
    <x v="1"/>
    <x v="918"/>
    <x v="373"/>
    <x v="4"/>
    <x v="826"/>
    <x v="1396"/>
    <x v="965"/>
    <x v="56"/>
  </r>
  <r>
    <x v="966"/>
    <x v="966"/>
    <x v="407"/>
    <x v="8"/>
    <x v="12"/>
    <x v="17"/>
    <x v="0"/>
    <x v="9"/>
    <x v="4"/>
    <x v="88"/>
    <x v="53"/>
    <x v="20"/>
    <x v="1"/>
    <x v="753"/>
    <x v="165"/>
    <x v="6"/>
    <x v="717"/>
    <x v="1283"/>
    <x v="966"/>
    <x v="56"/>
  </r>
  <r>
    <x v="967"/>
    <x v="968"/>
    <x v="3"/>
    <x v="7"/>
    <x v="3"/>
    <x v="10"/>
    <x v="26"/>
    <x v="9"/>
    <x v="5"/>
    <x v="26"/>
    <x v="53"/>
    <x v="26"/>
    <x v="37"/>
    <x v="200"/>
    <x v="16"/>
    <x v="6"/>
    <x v="252"/>
    <x v="681"/>
    <x v="967"/>
    <x v="56"/>
  </r>
  <r>
    <x v="968"/>
    <x v="967"/>
    <x v="1"/>
    <x v="7"/>
    <x v="13"/>
    <x v="44"/>
    <x v="26"/>
    <x v="9"/>
    <x v="5"/>
    <x v="39"/>
    <x v="53"/>
    <x v="28"/>
    <x v="37"/>
    <x v="401"/>
    <x v="105"/>
    <x v="8"/>
    <x v="381"/>
    <x v="850"/>
    <x v="968"/>
    <x v="56"/>
  </r>
  <r>
    <x v="969"/>
    <x v="969"/>
    <x v="2"/>
    <x v="7"/>
    <x v="21"/>
    <x v="4"/>
    <x v="26"/>
    <x v="9"/>
    <x v="5"/>
    <x v="49"/>
    <x v="53"/>
    <x v="29"/>
    <x v="37"/>
    <x v="494"/>
    <x v="126"/>
    <x v="7"/>
    <x v="450"/>
    <x v="999"/>
    <x v="969"/>
    <x v="56"/>
  </r>
  <r>
    <x v="970"/>
    <x v="970"/>
    <x v="409"/>
    <x v="8"/>
    <x v="15"/>
    <x v="43"/>
    <x v="0"/>
    <x v="9"/>
    <x v="4"/>
    <x v="88"/>
    <x v="53"/>
    <x v="16"/>
    <x v="1"/>
    <x v="484"/>
    <x v="158"/>
    <x v="7"/>
    <x v="411"/>
    <x v="934"/>
    <x v="970"/>
    <x v="56"/>
  </r>
  <r>
    <x v="971"/>
    <x v="971"/>
    <x v="0"/>
    <x v="7"/>
    <x v="42"/>
    <x v="5"/>
    <x v="26"/>
    <x v="9"/>
    <x v="5"/>
    <x v="32"/>
    <x v="53"/>
    <x v="27"/>
    <x v="37"/>
    <x v="352"/>
    <x v="115"/>
    <x v="6"/>
    <x v="325"/>
    <x v="829"/>
    <x v="971"/>
    <x v="56"/>
  </r>
  <r>
    <x v="972"/>
    <x v="978"/>
    <x v="6"/>
    <x v="7"/>
    <x v="35"/>
    <x v="1"/>
    <x v="35"/>
    <x v="9"/>
    <x v="5"/>
    <x v="1"/>
    <x v="53"/>
    <x v="8"/>
    <x v="37"/>
    <x v="3"/>
    <x v="87"/>
    <x v="20"/>
    <x v="3"/>
    <x v="3"/>
    <x v="972"/>
    <x v="57"/>
  </r>
  <r>
    <x v="973"/>
    <x v="973"/>
    <x v="2"/>
    <x v="7"/>
    <x v="48"/>
    <x v="8"/>
    <x v="26"/>
    <x v="9"/>
    <x v="5"/>
    <x v="6"/>
    <x v="53"/>
    <x v="19"/>
    <x v="37"/>
    <x v="36"/>
    <x v="43"/>
    <x v="6"/>
    <x v="39"/>
    <x v="142"/>
    <x v="973"/>
    <x v="56"/>
  </r>
  <r>
    <x v="974"/>
    <x v="974"/>
    <x v="1"/>
    <x v="7"/>
    <x v="37"/>
    <x v="7"/>
    <x v="26"/>
    <x v="9"/>
    <x v="5"/>
    <x v="3"/>
    <x v="53"/>
    <x v="11"/>
    <x v="37"/>
    <x v="1"/>
    <x v="0"/>
    <x v="9"/>
    <x v="7"/>
    <x v="12"/>
    <x v="974"/>
    <x v="56"/>
  </r>
  <r>
    <x v="975"/>
    <x v="975"/>
    <x v="408"/>
    <x v="8"/>
    <x v="26"/>
    <x v="16"/>
    <x v="0"/>
    <x v="9"/>
    <x v="4"/>
    <x v="88"/>
    <x v="53"/>
    <x v="16"/>
    <x v="1"/>
    <x v="320"/>
    <x v="55"/>
    <x v="13"/>
    <x v="348"/>
    <x v="580"/>
    <x v="975"/>
    <x v="56"/>
  </r>
  <r>
    <x v="976"/>
    <x v="976"/>
    <x v="448"/>
    <x v="8"/>
    <x v="32"/>
    <x v="25"/>
    <x v="0"/>
    <x v="9"/>
    <x v="4"/>
    <x v="88"/>
    <x v="53"/>
    <x v="21"/>
    <x v="1"/>
    <x v="823"/>
    <x v="272"/>
    <x v="11"/>
    <x v="757"/>
    <x v="1299"/>
    <x v="976"/>
    <x v="57"/>
  </r>
  <r>
    <x v="977"/>
    <x v="977"/>
    <x v="449"/>
    <x v="8"/>
    <x v="22"/>
    <x v="13"/>
    <x v="0"/>
    <x v="9"/>
    <x v="4"/>
    <x v="88"/>
    <x v="53"/>
    <x v="20"/>
    <x v="1"/>
    <x v="799"/>
    <x v="260"/>
    <x v="6"/>
    <x v="731"/>
    <x v="1305"/>
    <x v="977"/>
    <x v="57"/>
  </r>
  <r>
    <x v="978"/>
    <x v="972"/>
    <x v="447"/>
    <x v="8"/>
    <x v="36"/>
    <x v="29"/>
    <x v="0"/>
    <x v="9"/>
    <x v="4"/>
    <x v="88"/>
    <x v="53"/>
    <x v="17"/>
    <x v="1"/>
    <x v="631"/>
    <x v="194"/>
    <x v="4"/>
    <x v="553"/>
    <x v="1165"/>
    <x v="978"/>
    <x v="56"/>
  </r>
  <r>
    <x v="979"/>
    <x v="980"/>
    <x v="450"/>
    <x v="8"/>
    <x v="14"/>
    <x v="3"/>
    <x v="0"/>
    <x v="9"/>
    <x v="4"/>
    <x v="88"/>
    <x v="53"/>
    <x v="17"/>
    <x v="1"/>
    <x v="568"/>
    <x v="106"/>
    <x v="7"/>
    <x v="549"/>
    <x v="1118"/>
    <x v="979"/>
    <x v="57"/>
  </r>
  <r>
    <x v="980"/>
    <x v="979"/>
    <x v="451"/>
    <x v="8"/>
    <x v="28"/>
    <x v="33"/>
    <x v="0"/>
    <x v="9"/>
    <x v="4"/>
    <x v="88"/>
    <x v="53"/>
    <x v="27"/>
    <x v="1"/>
    <x v="905"/>
    <x v="356"/>
    <x v="9"/>
    <x v="813"/>
    <x v="1378"/>
    <x v="980"/>
    <x v="57"/>
  </r>
  <r>
    <x v="981"/>
    <x v="981"/>
    <x v="452"/>
    <x v="8"/>
    <x v="38"/>
    <x v="12"/>
    <x v="0"/>
    <x v="9"/>
    <x v="4"/>
    <x v="88"/>
    <x v="53"/>
    <x v="16"/>
    <x v="1"/>
    <x v="415"/>
    <x v="81"/>
    <x v="15"/>
    <x v="417"/>
    <x v="608"/>
    <x v="981"/>
    <x v="57"/>
  </r>
  <r>
    <x v="982"/>
    <x v="982"/>
    <x v="453"/>
    <x v="8"/>
    <x v="45"/>
    <x v="0"/>
    <x v="0"/>
    <x v="9"/>
    <x v="4"/>
    <x v="88"/>
    <x v="53"/>
    <x v="15"/>
    <x v="1"/>
    <x v="243"/>
    <x v="64"/>
    <x v="12"/>
    <x v="253"/>
    <x v="465"/>
    <x v="982"/>
    <x v="57"/>
  </r>
  <r>
    <x v="983"/>
    <x v="983"/>
    <x v="456"/>
    <x v="8"/>
    <x v="43"/>
    <x v="28"/>
    <x v="0"/>
    <x v="9"/>
    <x v="4"/>
    <x v="88"/>
    <x v="53"/>
    <x v="16"/>
    <x v="1"/>
    <x v="341"/>
    <x v="52"/>
    <x v="11"/>
    <x v="369"/>
    <x v="688"/>
    <x v="983"/>
    <x v="57"/>
  </r>
  <r>
    <x v="984"/>
    <x v="984"/>
    <x v="458"/>
    <x v="8"/>
    <x v="40"/>
    <x v="24"/>
    <x v="0"/>
    <x v="9"/>
    <x v="4"/>
    <x v="88"/>
    <x v="53"/>
    <x v="14"/>
    <x v="1"/>
    <x v="146"/>
    <x v="81"/>
    <x v="6"/>
    <x v="138"/>
    <x v="454"/>
    <x v="984"/>
    <x v="57"/>
  </r>
  <r>
    <x v="985"/>
    <x v="985"/>
    <x v="439"/>
    <x v="8"/>
    <x v="4"/>
    <x v="2"/>
    <x v="0"/>
    <x v="9"/>
    <x v="4"/>
    <x v="88"/>
    <x v="53"/>
    <x v="14"/>
    <x v="1"/>
    <x v="140"/>
    <x v="4"/>
    <x v="8"/>
    <x v="190"/>
    <x v="503"/>
    <x v="985"/>
    <x v="57"/>
  </r>
  <r>
    <x v="986"/>
    <x v="986"/>
    <x v="440"/>
    <x v="8"/>
    <x v="8"/>
    <x v="38"/>
    <x v="0"/>
    <x v="9"/>
    <x v="4"/>
    <x v="88"/>
    <x v="53"/>
    <x v="15"/>
    <x v="1"/>
    <x v="239"/>
    <x v="97"/>
    <x v="9"/>
    <x v="220"/>
    <x v="519"/>
    <x v="986"/>
    <x v="57"/>
  </r>
  <r>
    <x v="987"/>
    <x v="987"/>
    <x v="441"/>
    <x v="8"/>
    <x v="16"/>
    <x v="35"/>
    <x v="0"/>
    <x v="9"/>
    <x v="4"/>
    <x v="88"/>
    <x v="53"/>
    <x v="14"/>
    <x v="1"/>
    <x v="123"/>
    <x v="50"/>
    <x v="9"/>
    <x v="127"/>
    <x v="375"/>
    <x v="987"/>
    <x v="57"/>
  </r>
  <r>
    <x v="988"/>
    <x v="988"/>
    <x v="442"/>
    <x v="8"/>
    <x v="39"/>
    <x v="39"/>
    <x v="0"/>
    <x v="9"/>
    <x v="4"/>
    <x v="88"/>
    <x v="53"/>
    <x v="18"/>
    <x v="1"/>
    <x v="651"/>
    <x v="190"/>
    <x v="7"/>
    <x v="588"/>
    <x v="1151"/>
    <x v="988"/>
    <x v="57"/>
  </r>
  <r>
    <x v="989"/>
    <x v="989"/>
    <x v="444"/>
    <x v="8"/>
    <x v="11"/>
    <x v="31"/>
    <x v="0"/>
    <x v="9"/>
    <x v="4"/>
    <x v="88"/>
    <x v="54"/>
    <x v="13"/>
    <x v="1"/>
    <x v="366"/>
    <x v="99"/>
    <x v="6"/>
    <x v="354"/>
    <x v="878"/>
    <x v="989"/>
    <x v="57"/>
  </r>
  <r>
    <x v="990"/>
    <x v="990"/>
    <x v="445"/>
    <x v="8"/>
    <x v="17"/>
    <x v="11"/>
    <x v="0"/>
    <x v="9"/>
    <x v="4"/>
    <x v="88"/>
    <x v="54"/>
    <x v="12"/>
    <x v="1"/>
    <x v="159"/>
    <x v="77"/>
    <x v="4"/>
    <x v="154"/>
    <x v="521"/>
    <x v="990"/>
    <x v="57"/>
  </r>
  <r>
    <x v="991"/>
    <x v="991"/>
    <x v="443"/>
    <x v="8"/>
    <x v="9"/>
    <x v="41"/>
    <x v="0"/>
    <x v="9"/>
    <x v="4"/>
    <x v="88"/>
    <x v="54"/>
    <x v="14"/>
    <x v="1"/>
    <x v="695"/>
    <x v="253"/>
    <x v="4"/>
    <x v="566"/>
    <x v="1181"/>
    <x v="991"/>
    <x v="57"/>
  </r>
  <r>
    <x v="992"/>
    <x v="992"/>
    <x v="446"/>
    <x v="8"/>
    <x v="10"/>
    <x v="27"/>
    <x v="0"/>
    <x v="9"/>
    <x v="4"/>
    <x v="88"/>
    <x v="54"/>
    <x v="14"/>
    <x v="1"/>
    <x v="492"/>
    <x v="91"/>
    <x v="2"/>
    <x v="480"/>
    <x v="1142"/>
    <x v="992"/>
    <x v="57"/>
  </r>
  <r>
    <x v="993"/>
    <x v="993"/>
    <x v="462"/>
    <x v="8"/>
    <x v="46"/>
    <x v="32"/>
    <x v="0"/>
    <x v="9"/>
    <x v="4"/>
    <x v="88"/>
    <x v="54"/>
    <x v="15"/>
    <x v="1"/>
    <x v="672"/>
    <x v="100"/>
    <x v="6"/>
    <x v="663"/>
    <x v="1250"/>
    <x v="993"/>
    <x v="57"/>
  </r>
  <r>
    <x v="994"/>
    <x v="994"/>
    <x v="394"/>
    <x v="8"/>
    <x v="41"/>
    <x v="23"/>
    <x v="0"/>
    <x v="9"/>
    <x v="4"/>
    <x v="88"/>
    <x v="54"/>
    <x v="14"/>
    <x v="1"/>
    <x v="469"/>
    <x v="43"/>
    <x v="11"/>
    <x v="500"/>
    <x v="920"/>
    <x v="994"/>
    <x v="57"/>
  </r>
  <r>
    <x v="995"/>
    <x v="995"/>
    <x v="464"/>
    <x v="8"/>
    <x v="23"/>
    <x v="45"/>
    <x v="0"/>
    <x v="9"/>
    <x v="4"/>
    <x v="88"/>
    <x v="54"/>
    <x v="13"/>
    <x v="1"/>
    <x v="405"/>
    <x v="113"/>
    <x v="11"/>
    <x v="378"/>
    <x v="708"/>
    <x v="995"/>
    <x v="57"/>
  </r>
  <r>
    <x v="996"/>
    <x v="996"/>
    <x v="478"/>
    <x v="8"/>
    <x v="47"/>
    <x v="19"/>
    <x v="0"/>
    <x v="9"/>
    <x v="4"/>
    <x v="88"/>
    <x v="54"/>
    <x v="13"/>
    <x v="1"/>
    <x v="464"/>
    <x v="221"/>
    <x v="6"/>
    <x v="324"/>
    <x v="826"/>
    <x v="996"/>
    <x v="57"/>
  </r>
  <r>
    <x v="997"/>
    <x v="997"/>
    <x v="479"/>
    <x v="8"/>
    <x v="36"/>
    <x v="29"/>
    <x v="0"/>
    <x v="9"/>
    <x v="4"/>
    <x v="88"/>
    <x v="54"/>
    <x v="14"/>
    <x v="1"/>
    <x v="647"/>
    <x v="197"/>
    <x v="6"/>
    <x v="575"/>
    <x v="1161"/>
    <x v="997"/>
    <x v="57"/>
  </r>
  <r>
    <x v="998"/>
    <x v="998"/>
    <x v="480"/>
    <x v="8"/>
    <x v="6"/>
    <x v="22"/>
    <x v="0"/>
    <x v="9"/>
    <x v="4"/>
    <x v="88"/>
    <x v="54"/>
    <x v="13"/>
    <x v="1"/>
    <x v="535"/>
    <x v="228"/>
    <x v="6"/>
    <x v="386"/>
    <x v="935"/>
    <x v="998"/>
    <x v="58"/>
  </r>
  <r>
    <x v="999"/>
    <x v="999"/>
    <x v="481"/>
    <x v="8"/>
    <x v="5"/>
    <x v="20"/>
    <x v="0"/>
    <x v="9"/>
    <x v="4"/>
    <x v="88"/>
    <x v="54"/>
    <x v="14"/>
    <x v="1"/>
    <x v="517"/>
    <x v="225"/>
    <x v="8"/>
    <x v="369"/>
    <x v="828"/>
    <x v="999"/>
    <x v="58"/>
  </r>
  <r>
    <x v="1000"/>
    <x v="1000"/>
    <x v="500"/>
    <x v="8"/>
    <x v="39"/>
    <x v="39"/>
    <x v="1"/>
    <x v="9"/>
    <x v="4"/>
    <x v="88"/>
    <x v="54"/>
    <x v="13"/>
    <x v="2"/>
    <x v="253"/>
    <x v="167"/>
    <x v="15"/>
    <x v="178"/>
    <x v="313"/>
    <x v="1000"/>
    <x v="58"/>
  </r>
  <r>
    <x v="1001"/>
    <x v="1001"/>
    <x v="0"/>
    <x v="7"/>
    <x v="40"/>
    <x v="24"/>
    <x v="26"/>
    <x v="9"/>
    <x v="5"/>
    <x v="10"/>
    <x v="55"/>
    <x v="24"/>
    <x v="37"/>
    <x v="129"/>
    <x v="77"/>
    <x v="28"/>
    <x v="117"/>
    <x v="100"/>
    <x v="1001"/>
    <x v="58"/>
  </r>
  <r>
    <x v="1002"/>
    <x v="1002"/>
    <x v="0"/>
    <x v="5"/>
    <x v="29"/>
    <x v="15"/>
    <x v="14"/>
    <x v="9"/>
    <x v="7"/>
    <x v="88"/>
    <x v="55"/>
    <x v="11"/>
    <x v="15"/>
    <x v="475"/>
    <x v="119"/>
    <x v="3"/>
    <x v="439"/>
    <x v="1067"/>
    <x v="1002"/>
    <x v="58"/>
  </r>
  <r>
    <x v="1003"/>
    <x v="1003"/>
    <x v="1"/>
    <x v="5"/>
    <x v="33"/>
    <x v="26"/>
    <x v="24"/>
    <x v="1"/>
    <x v="7"/>
    <x v="88"/>
    <x v="55"/>
    <x v="10"/>
    <x v="25"/>
    <x v="589"/>
    <x v="176"/>
    <x v="3"/>
    <x v="514"/>
    <x v="1149"/>
    <x v="1003"/>
    <x v="58"/>
  </r>
  <r>
    <x v="1004"/>
    <x v="1004"/>
    <x v="2"/>
    <x v="5"/>
    <x v="24"/>
    <x v="37"/>
    <x v="23"/>
    <x v="9"/>
    <x v="7"/>
    <x v="88"/>
    <x v="55"/>
    <x v="14"/>
    <x v="24"/>
    <x v="381"/>
    <x v="110"/>
    <x v="3"/>
    <x v="360"/>
    <x v="972"/>
    <x v="1004"/>
    <x v="58"/>
  </r>
  <r>
    <x v="1005"/>
    <x v="1005"/>
    <x v="3"/>
    <x v="5"/>
    <x v="3"/>
    <x v="10"/>
    <x v="24"/>
    <x v="1"/>
    <x v="7"/>
    <x v="88"/>
    <x v="56"/>
    <x v="9"/>
    <x v="25"/>
    <x v="182"/>
    <x v="13"/>
    <x v="14"/>
    <x v="234"/>
    <x v="394"/>
    <x v="1005"/>
    <x v="59"/>
  </r>
  <r>
    <x v="1006"/>
    <x v="1006"/>
    <x v="4"/>
    <x v="5"/>
    <x v="25"/>
    <x v="42"/>
    <x v="24"/>
    <x v="1"/>
    <x v="7"/>
    <x v="88"/>
    <x v="56"/>
    <x v="10"/>
    <x v="25"/>
    <x v="385"/>
    <x v="67"/>
    <x v="11"/>
    <x v="402"/>
    <x v="747"/>
    <x v="1006"/>
    <x v="59"/>
  </r>
  <r>
    <x v="1007"/>
    <x v="1007"/>
    <x v="5"/>
    <x v="5"/>
    <x v="34"/>
    <x v="6"/>
    <x v="24"/>
    <x v="1"/>
    <x v="7"/>
    <x v="88"/>
    <x v="56"/>
    <x v="9"/>
    <x v="25"/>
    <x v="359"/>
    <x v="128"/>
    <x v="8"/>
    <x v="320"/>
    <x v="729"/>
    <x v="1007"/>
    <x v="59"/>
  </r>
  <r>
    <x v="1008"/>
    <x v="1008"/>
    <x v="6"/>
    <x v="5"/>
    <x v="23"/>
    <x v="45"/>
    <x v="24"/>
    <x v="1"/>
    <x v="7"/>
    <x v="88"/>
    <x v="56"/>
    <x v="11"/>
    <x v="25"/>
    <x v="580"/>
    <x v="122"/>
    <x v="4"/>
    <x v="551"/>
    <x v="1163"/>
    <x v="1008"/>
    <x v="59"/>
  </r>
  <r>
    <x v="1009"/>
    <x v="1009"/>
    <x v="7"/>
    <x v="5"/>
    <x v="15"/>
    <x v="43"/>
    <x v="24"/>
    <x v="1"/>
    <x v="7"/>
    <x v="88"/>
    <x v="56"/>
    <x v="10"/>
    <x v="25"/>
    <x v="607"/>
    <x v="171"/>
    <x v="12"/>
    <x v="541"/>
    <x v="951"/>
    <x v="1009"/>
    <x v="60"/>
  </r>
  <r>
    <x v="1010"/>
    <x v="1010"/>
    <x v="8"/>
    <x v="5"/>
    <x v="35"/>
    <x v="1"/>
    <x v="24"/>
    <x v="1"/>
    <x v="7"/>
    <x v="88"/>
    <x v="56"/>
    <x v="11"/>
    <x v="25"/>
    <x v="653"/>
    <x v="98"/>
    <x v="7"/>
    <x v="647"/>
    <x v="1215"/>
    <x v="1010"/>
    <x v="60"/>
  </r>
  <r>
    <x v="1011"/>
    <x v="1011"/>
    <x v="9"/>
    <x v="5"/>
    <x v="40"/>
    <x v="24"/>
    <x v="24"/>
    <x v="1"/>
    <x v="7"/>
    <x v="88"/>
    <x v="56"/>
    <x v="9"/>
    <x v="25"/>
    <x v="326"/>
    <x v="83"/>
    <x v="16"/>
    <x v="329"/>
    <x v="442"/>
    <x v="1011"/>
    <x v="60"/>
  </r>
  <r>
    <x v="1012"/>
    <x v="1012"/>
    <x v="10"/>
    <x v="5"/>
    <x v="42"/>
    <x v="5"/>
    <x v="24"/>
    <x v="1"/>
    <x v="7"/>
    <x v="88"/>
    <x v="56"/>
    <x v="10"/>
    <x v="25"/>
    <x v="490"/>
    <x v="107"/>
    <x v="9"/>
    <x v="463"/>
    <x v="947"/>
    <x v="1012"/>
    <x v="60"/>
  </r>
  <r>
    <x v="1013"/>
    <x v="1013"/>
    <x v="11"/>
    <x v="5"/>
    <x v="1"/>
    <x v="34"/>
    <x v="24"/>
    <x v="1"/>
    <x v="7"/>
    <x v="88"/>
    <x v="56"/>
    <x v="12"/>
    <x v="25"/>
    <x v="708"/>
    <x v="127"/>
    <x v="8"/>
    <x v="682"/>
    <x v="1238"/>
    <x v="1013"/>
    <x v="60"/>
  </r>
  <r>
    <x v="1014"/>
    <x v="1014"/>
    <x v="12"/>
    <x v="5"/>
    <x v="21"/>
    <x v="4"/>
    <x v="24"/>
    <x v="1"/>
    <x v="7"/>
    <x v="88"/>
    <x v="56"/>
    <x v="10"/>
    <x v="25"/>
    <x v="540"/>
    <x v="133"/>
    <x v="12"/>
    <x v="493"/>
    <x v="868"/>
    <x v="1014"/>
    <x v="60"/>
  </r>
  <r>
    <x v="1015"/>
    <x v="1015"/>
    <x v="13"/>
    <x v="5"/>
    <x v="38"/>
    <x v="12"/>
    <x v="24"/>
    <x v="1"/>
    <x v="7"/>
    <x v="88"/>
    <x v="56"/>
    <x v="10"/>
    <x v="25"/>
    <x v="433"/>
    <x v="94"/>
    <x v="15"/>
    <x v="423"/>
    <x v="620"/>
    <x v="1015"/>
    <x v="60"/>
  </r>
  <r>
    <x v="1016"/>
    <x v="1016"/>
    <x v="14"/>
    <x v="5"/>
    <x v="32"/>
    <x v="25"/>
    <x v="24"/>
    <x v="1"/>
    <x v="7"/>
    <x v="88"/>
    <x v="56"/>
    <x v="13"/>
    <x v="25"/>
    <x v="827"/>
    <x v="280"/>
    <x v="11"/>
    <x v="758"/>
    <x v="1301"/>
    <x v="1016"/>
    <x v="60"/>
  </r>
  <r>
    <x v="1017"/>
    <x v="1017"/>
    <x v="15"/>
    <x v="5"/>
    <x v="22"/>
    <x v="13"/>
    <x v="24"/>
    <x v="1"/>
    <x v="7"/>
    <x v="88"/>
    <x v="56"/>
    <x v="13"/>
    <x v="25"/>
    <x v="811"/>
    <x v="266"/>
    <x v="12"/>
    <x v="754"/>
    <x v="1288"/>
    <x v="1017"/>
    <x v="60"/>
  </r>
  <r>
    <x v="1018"/>
    <x v="1018"/>
    <x v="16"/>
    <x v="5"/>
    <x v="27"/>
    <x v="46"/>
    <x v="24"/>
    <x v="1"/>
    <x v="7"/>
    <x v="88"/>
    <x v="56"/>
    <x v="18"/>
    <x v="25"/>
    <x v="899"/>
    <x v="337"/>
    <x v="9"/>
    <x v="846"/>
    <x v="1393"/>
    <x v="1018"/>
    <x v="60"/>
  </r>
  <r>
    <x v="1019"/>
    <x v="1019"/>
    <x v="17"/>
    <x v="5"/>
    <x v="30"/>
    <x v="30"/>
    <x v="24"/>
    <x v="1"/>
    <x v="7"/>
    <x v="88"/>
    <x v="57"/>
    <x v="10"/>
    <x v="25"/>
    <x v="522"/>
    <x v="97"/>
    <x v="12"/>
    <x v="504"/>
    <x v="886"/>
    <x v="1019"/>
    <x v="60"/>
  </r>
  <r>
    <x v="1020"/>
    <x v="1020"/>
    <x v="19"/>
    <x v="5"/>
    <x v="0"/>
    <x v="36"/>
    <x v="24"/>
    <x v="1"/>
    <x v="7"/>
    <x v="88"/>
    <x v="57"/>
    <x v="8"/>
    <x v="25"/>
    <x v="145"/>
    <x v="114"/>
    <x v="14"/>
    <x v="114"/>
    <x v="264"/>
    <x v="1020"/>
    <x v="60"/>
  </r>
  <r>
    <x v="1021"/>
    <x v="1021"/>
    <x v="18"/>
    <x v="5"/>
    <x v="12"/>
    <x v="17"/>
    <x v="24"/>
    <x v="1"/>
    <x v="7"/>
    <x v="88"/>
    <x v="57"/>
    <x v="13"/>
    <x v="25"/>
    <x v="783"/>
    <x v="189"/>
    <x v="16"/>
    <x v="747"/>
    <x v="1236"/>
    <x v="1021"/>
    <x v="60"/>
  </r>
  <r>
    <x v="1022"/>
    <x v="1022"/>
    <x v="21"/>
    <x v="5"/>
    <x v="31"/>
    <x v="40"/>
    <x v="24"/>
    <x v="1"/>
    <x v="7"/>
    <x v="88"/>
    <x v="57"/>
    <x v="14"/>
    <x v="25"/>
    <x v="854"/>
    <x v="307"/>
    <x v="16"/>
    <x v="785"/>
    <x v="1303"/>
    <x v="1022"/>
    <x v="60"/>
  </r>
  <r>
    <x v="1023"/>
    <x v="1023"/>
    <x v="20"/>
    <x v="5"/>
    <x v="2"/>
    <x v="18"/>
    <x v="24"/>
    <x v="1"/>
    <x v="7"/>
    <x v="88"/>
    <x v="57"/>
    <x v="17"/>
    <x v="25"/>
    <x v="915"/>
    <x v="379"/>
    <x v="4"/>
    <x v="817"/>
    <x v="1389"/>
    <x v="1023"/>
    <x v="60"/>
  </r>
  <r>
    <x v="1024"/>
    <x v="1024"/>
    <x v="22"/>
    <x v="5"/>
    <x v="28"/>
    <x v="33"/>
    <x v="24"/>
    <x v="1"/>
    <x v="7"/>
    <x v="88"/>
    <x v="57"/>
    <x v="16"/>
    <x v="25"/>
    <x v="896"/>
    <x v="364"/>
    <x v="16"/>
    <x v="806"/>
    <x v="1359"/>
    <x v="1024"/>
    <x v="60"/>
  </r>
  <r>
    <x v="1025"/>
    <x v="1025"/>
    <x v="24"/>
    <x v="5"/>
    <x v="46"/>
    <x v="32"/>
    <x v="24"/>
    <x v="1"/>
    <x v="7"/>
    <x v="88"/>
    <x v="57"/>
    <x v="12"/>
    <x v="25"/>
    <x v="713"/>
    <x v="127"/>
    <x v="4"/>
    <x v="686"/>
    <x v="1270"/>
    <x v="1025"/>
    <x v="60"/>
  </r>
  <r>
    <x v="1026"/>
    <x v="1026"/>
    <x v="23"/>
    <x v="5"/>
    <x v="14"/>
    <x v="3"/>
    <x v="24"/>
    <x v="1"/>
    <x v="7"/>
    <x v="88"/>
    <x v="57"/>
    <x v="10"/>
    <x v="25"/>
    <x v="420"/>
    <x v="121"/>
    <x v="9"/>
    <x v="384"/>
    <x v="809"/>
    <x v="1026"/>
    <x v="60"/>
  </r>
  <r>
    <x v="1027"/>
    <x v="1027"/>
    <x v="26"/>
    <x v="5"/>
    <x v="41"/>
    <x v="23"/>
    <x v="24"/>
    <x v="1"/>
    <x v="7"/>
    <x v="88"/>
    <x v="57"/>
    <x v="11"/>
    <x v="25"/>
    <x v="663"/>
    <x v="63"/>
    <x v="11"/>
    <x v="671"/>
    <x v="1187"/>
    <x v="1027"/>
    <x v="60"/>
  </r>
  <r>
    <x v="1028"/>
    <x v="1028"/>
    <x v="25"/>
    <x v="5"/>
    <x v="24"/>
    <x v="37"/>
    <x v="24"/>
    <x v="1"/>
    <x v="7"/>
    <x v="88"/>
    <x v="57"/>
    <x v="11"/>
    <x v="25"/>
    <x v="653"/>
    <x v="116"/>
    <x v="8"/>
    <x v="636"/>
    <x v="1195"/>
    <x v="1028"/>
    <x v="60"/>
  </r>
  <r>
    <x v="1029"/>
    <x v="1029"/>
    <x v="27"/>
    <x v="5"/>
    <x v="29"/>
    <x v="15"/>
    <x v="24"/>
    <x v="1"/>
    <x v="7"/>
    <x v="88"/>
    <x v="57"/>
    <x v="11"/>
    <x v="25"/>
    <x v="691"/>
    <x v="134"/>
    <x v="11"/>
    <x v="663"/>
    <x v="1168"/>
    <x v="1029"/>
    <x v="60"/>
  </r>
  <r>
    <x v="1030"/>
    <x v="1030"/>
    <x v="28"/>
    <x v="5"/>
    <x v="45"/>
    <x v="0"/>
    <x v="24"/>
    <x v="1"/>
    <x v="7"/>
    <x v="88"/>
    <x v="57"/>
    <x v="9"/>
    <x v="25"/>
    <x v="254"/>
    <x v="71"/>
    <x v="15"/>
    <x v="260"/>
    <x v="401"/>
    <x v="1030"/>
    <x v="60"/>
  </r>
  <r>
    <x v="1031"/>
    <x v="1031"/>
    <x v="29"/>
    <x v="5"/>
    <x v="3"/>
    <x v="10"/>
    <x v="24"/>
    <x v="1"/>
    <x v="7"/>
    <x v="88"/>
    <x v="57"/>
    <x v="9"/>
    <x v="25"/>
    <x v="202"/>
    <x v="15"/>
    <x v="16"/>
    <x v="257"/>
    <x v="374"/>
    <x v="1031"/>
    <x v="60"/>
  </r>
  <r>
    <x v="1032"/>
    <x v="1032"/>
    <x v="30"/>
    <x v="5"/>
    <x v="21"/>
    <x v="4"/>
    <x v="24"/>
    <x v="1"/>
    <x v="7"/>
    <x v="88"/>
    <x v="57"/>
    <x v="9"/>
    <x v="25"/>
    <x v="279"/>
    <x v="126"/>
    <x v="13"/>
    <x v="242"/>
    <x v="427"/>
    <x v="1032"/>
    <x v="61"/>
  </r>
  <r>
    <x v="1033"/>
    <x v="1033"/>
    <x v="31"/>
    <x v="5"/>
    <x v="40"/>
    <x v="24"/>
    <x v="24"/>
    <x v="1"/>
    <x v="7"/>
    <x v="88"/>
    <x v="57"/>
    <x v="9"/>
    <x v="25"/>
    <x v="276"/>
    <x v="89"/>
    <x v="8"/>
    <x v="269"/>
    <x v="643"/>
    <x v="1033"/>
    <x v="61"/>
  </r>
  <r>
    <x v="1034"/>
    <x v="1034"/>
    <x v="32"/>
    <x v="5"/>
    <x v="35"/>
    <x v="1"/>
    <x v="24"/>
    <x v="1"/>
    <x v="7"/>
    <x v="88"/>
    <x v="57"/>
    <x v="11"/>
    <x v="25"/>
    <x v="576"/>
    <x v="88"/>
    <x v="14"/>
    <x v="574"/>
    <x v="915"/>
    <x v="1034"/>
    <x v="61"/>
  </r>
  <r>
    <x v="1035"/>
    <x v="1035"/>
    <x v="33"/>
    <x v="5"/>
    <x v="26"/>
    <x v="16"/>
    <x v="24"/>
    <x v="1"/>
    <x v="7"/>
    <x v="88"/>
    <x v="57"/>
    <x v="10"/>
    <x v="25"/>
    <x v="407"/>
    <x v="69"/>
    <x v="14"/>
    <x v="421"/>
    <x v="650"/>
    <x v="1035"/>
    <x v="61"/>
  </r>
  <r>
    <x v="1036"/>
    <x v="1036"/>
    <x v="34"/>
    <x v="5"/>
    <x v="13"/>
    <x v="44"/>
    <x v="24"/>
    <x v="1"/>
    <x v="7"/>
    <x v="88"/>
    <x v="57"/>
    <x v="10"/>
    <x v="25"/>
    <x v="441"/>
    <x v="129"/>
    <x v="14"/>
    <x v="400"/>
    <x v="628"/>
    <x v="1036"/>
    <x v="61"/>
  </r>
  <r>
    <x v="1037"/>
    <x v="1037"/>
    <x v="35"/>
    <x v="5"/>
    <x v="23"/>
    <x v="45"/>
    <x v="24"/>
    <x v="1"/>
    <x v="7"/>
    <x v="88"/>
    <x v="57"/>
    <x v="10"/>
    <x v="25"/>
    <x v="423"/>
    <x v="124"/>
    <x v="11"/>
    <x v="384"/>
    <x v="719"/>
    <x v="1037"/>
    <x v="61"/>
  </r>
  <r>
    <x v="1038"/>
    <x v="1038"/>
    <x v="38"/>
    <x v="5"/>
    <x v="38"/>
    <x v="12"/>
    <x v="24"/>
    <x v="1"/>
    <x v="7"/>
    <x v="88"/>
    <x v="57"/>
    <x v="10"/>
    <x v="25"/>
    <x v="384"/>
    <x v="85"/>
    <x v="12"/>
    <x v="382"/>
    <x v="673"/>
    <x v="1038"/>
    <x v="61"/>
  </r>
  <r>
    <x v="1039"/>
    <x v="1039"/>
    <x v="36"/>
    <x v="5"/>
    <x v="16"/>
    <x v="35"/>
    <x v="24"/>
    <x v="1"/>
    <x v="7"/>
    <x v="88"/>
    <x v="58"/>
    <x v="8"/>
    <x v="25"/>
    <x v="120"/>
    <x v="50"/>
    <x v="10"/>
    <x v="122"/>
    <x v="352"/>
    <x v="1039"/>
    <x v="61"/>
  </r>
  <r>
    <x v="1040"/>
    <x v="1040"/>
    <x v="37"/>
    <x v="5"/>
    <x v="8"/>
    <x v="38"/>
    <x v="24"/>
    <x v="1"/>
    <x v="7"/>
    <x v="88"/>
    <x v="58"/>
    <x v="9"/>
    <x v="25"/>
    <x v="294"/>
    <x v="98"/>
    <x v="8"/>
    <x v="282"/>
    <x v="657"/>
    <x v="1040"/>
    <x v="61"/>
  </r>
  <r>
    <x v="1041"/>
    <x v="1041"/>
    <x v="39"/>
    <x v="5"/>
    <x v="1"/>
    <x v="34"/>
    <x v="24"/>
    <x v="1"/>
    <x v="7"/>
    <x v="88"/>
    <x v="58"/>
    <x v="11"/>
    <x v="25"/>
    <x v="701"/>
    <x v="120"/>
    <x v="6"/>
    <x v="677"/>
    <x v="1257"/>
    <x v="1041"/>
    <x v="61"/>
  </r>
  <r>
    <x v="1042"/>
    <x v="1042"/>
    <x v="40"/>
    <x v="5"/>
    <x v="42"/>
    <x v="5"/>
    <x v="24"/>
    <x v="1"/>
    <x v="7"/>
    <x v="88"/>
    <x v="58"/>
    <x v="10"/>
    <x v="25"/>
    <x v="546"/>
    <x v="113"/>
    <x v="8"/>
    <x v="521"/>
    <x v="1048"/>
    <x v="1042"/>
    <x v="61"/>
  </r>
  <r>
    <x v="1043"/>
    <x v="1043"/>
    <x v="0"/>
    <x v="7"/>
    <x v="45"/>
    <x v="0"/>
    <x v="26"/>
    <x v="9"/>
    <x v="5"/>
    <x v="31"/>
    <x v="58"/>
    <x v="27"/>
    <x v="37"/>
    <x v="314"/>
    <x v="88"/>
    <x v="33"/>
    <x v="310"/>
    <x v="131"/>
    <x v="1043"/>
    <x v="61"/>
  </r>
  <r>
    <x v="1044"/>
    <x v="1044"/>
    <x v="501"/>
    <x v="8"/>
    <x v="47"/>
    <x v="19"/>
    <x v="1"/>
    <x v="9"/>
    <x v="4"/>
    <x v="88"/>
    <x v="58"/>
    <x v="15"/>
    <x v="2"/>
    <x v="571"/>
    <x v="220"/>
    <x v="17"/>
    <x v="440"/>
    <x v="558"/>
    <x v="1044"/>
    <x v="61"/>
  </r>
  <r>
    <x v="1045"/>
    <x v="1045"/>
    <x v="41"/>
    <x v="5"/>
    <x v="15"/>
    <x v="43"/>
    <x v="24"/>
    <x v="1"/>
    <x v="7"/>
    <x v="88"/>
    <x v="58"/>
    <x v="10"/>
    <x v="25"/>
    <x v="620"/>
    <x v="168"/>
    <x v="9"/>
    <x v="565"/>
    <x v="1077"/>
    <x v="1045"/>
    <x v="61"/>
  </r>
  <r>
    <x v="1046"/>
    <x v="1046"/>
    <x v="42"/>
    <x v="5"/>
    <x v="25"/>
    <x v="42"/>
    <x v="24"/>
    <x v="1"/>
    <x v="7"/>
    <x v="88"/>
    <x v="58"/>
    <x v="9"/>
    <x v="25"/>
    <x v="336"/>
    <x v="61"/>
    <x v="7"/>
    <x v="358"/>
    <x v="847"/>
    <x v="1046"/>
    <x v="61"/>
  </r>
  <r>
    <x v="1047"/>
    <x v="1047"/>
    <x v="43"/>
    <x v="5"/>
    <x v="34"/>
    <x v="6"/>
    <x v="24"/>
    <x v="1"/>
    <x v="7"/>
    <x v="88"/>
    <x v="58"/>
    <x v="8"/>
    <x v="25"/>
    <x v="265"/>
    <x v="127"/>
    <x v="9"/>
    <x v="224"/>
    <x v="524"/>
    <x v="1047"/>
    <x v="61"/>
  </r>
  <r>
    <x v="1048"/>
    <x v="1048"/>
    <x v="44"/>
    <x v="5"/>
    <x v="32"/>
    <x v="25"/>
    <x v="24"/>
    <x v="1"/>
    <x v="7"/>
    <x v="88"/>
    <x v="58"/>
    <x v="12"/>
    <x v="25"/>
    <x v="822"/>
    <x v="274"/>
    <x v="7"/>
    <x v="754"/>
    <x v="1325"/>
    <x v="1048"/>
    <x v="62"/>
  </r>
  <r>
    <x v="1049"/>
    <x v="1049"/>
    <x v="45"/>
    <x v="5"/>
    <x v="22"/>
    <x v="13"/>
    <x v="24"/>
    <x v="1"/>
    <x v="7"/>
    <x v="88"/>
    <x v="58"/>
    <x v="12"/>
    <x v="25"/>
    <x v="796"/>
    <x v="262"/>
    <x v="8"/>
    <x v="727"/>
    <x v="1285"/>
    <x v="1049"/>
    <x v="62"/>
  </r>
  <r>
    <x v="1050"/>
    <x v="1050"/>
    <x v="1"/>
    <x v="5"/>
    <x v="33"/>
    <x v="26"/>
    <x v="24"/>
    <x v="1"/>
    <x v="7"/>
    <x v="88"/>
    <x v="58"/>
    <x v="11"/>
    <x v="25"/>
    <x v="709"/>
    <x v="179"/>
    <x v="12"/>
    <x v="659"/>
    <x v="1141"/>
    <x v="1050"/>
    <x v="62"/>
  </r>
  <r>
    <x v="1051"/>
    <x v="1051"/>
    <x v="46"/>
    <x v="5"/>
    <x v="27"/>
    <x v="46"/>
    <x v="23"/>
    <x v="1"/>
    <x v="7"/>
    <x v="88"/>
    <x v="58"/>
    <x v="16"/>
    <x v="24"/>
    <x v="892"/>
    <x v="335"/>
    <x v="13"/>
    <x v="835"/>
    <x v="1375"/>
    <x v="1051"/>
    <x v="62"/>
  </r>
  <r>
    <x v="1052"/>
    <x v="1052"/>
    <x v="47"/>
    <x v="5"/>
    <x v="12"/>
    <x v="17"/>
    <x v="23"/>
    <x v="1"/>
    <x v="7"/>
    <x v="88"/>
    <x v="58"/>
    <x v="12"/>
    <x v="24"/>
    <x v="773"/>
    <x v="182"/>
    <x v="10"/>
    <x v="736"/>
    <x v="1282"/>
    <x v="1052"/>
    <x v="62"/>
  </r>
  <r>
    <x v="1053"/>
    <x v="1053"/>
    <x v="48"/>
    <x v="5"/>
    <x v="31"/>
    <x v="40"/>
    <x v="23"/>
    <x v="1"/>
    <x v="7"/>
    <x v="88"/>
    <x v="58"/>
    <x v="14"/>
    <x v="24"/>
    <x v="860"/>
    <x v="302"/>
    <x v="15"/>
    <x v="793"/>
    <x v="1327"/>
    <x v="1053"/>
    <x v="62"/>
  </r>
  <r>
    <x v="1054"/>
    <x v="1054"/>
    <x v="49"/>
    <x v="5"/>
    <x v="2"/>
    <x v="18"/>
    <x v="23"/>
    <x v="1"/>
    <x v="7"/>
    <x v="88"/>
    <x v="58"/>
    <x v="16"/>
    <x v="24"/>
    <x v="910"/>
    <x v="375"/>
    <x v="7"/>
    <x v="814"/>
    <x v="1385"/>
    <x v="1054"/>
    <x v="62"/>
  </r>
  <r>
    <x v="1055"/>
    <x v="1055"/>
    <x v="51"/>
    <x v="5"/>
    <x v="46"/>
    <x v="32"/>
    <x v="23"/>
    <x v="1"/>
    <x v="7"/>
    <x v="88"/>
    <x v="59"/>
    <x v="11"/>
    <x v="24"/>
    <x v="696"/>
    <x v="110"/>
    <x v="12"/>
    <x v="680"/>
    <x v="1173"/>
    <x v="1055"/>
    <x v="62"/>
  </r>
  <r>
    <x v="1056"/>
    <x v="1056"/>
    <x v="50"/>
    <x v="5"/>
    <x v="28"/>
    <x v="33"/>
    <x v="23"/>
    <x v="1"/>
    <x v="7"/>
    <x v="88"/>
    <x v="59"/>
    <x v="14"/>
    <x v="24"/>
    <x v="884"/>
    <x v="364"/>
    <x v="48"/>
    <x v="801"/>
    <x v="315"/>
    <x v="1056"/>
    <x v="62"/>
  </r>
  <r>
    <x v="1057"/>
    <x v="1057"/>
    <x v="52"/>
    <x v="5"/>
    <x v="41"/>
    <x v="23"/>
    <x v="23"/>
    <x v="1"/>
    <x v="7"/>
    <x v="88"/>
    <x v="59"/>
    <x v="10"/>
    <x v="24"/>
    <x v="562"/>
    <x v="47"/>
    <x v="9"/>
    <x v="593"/>
    <x v="1111"/>
    <x v="1057"/>
    <x v="62"/>
  </r>
  <r>
    <x v="1058"/>
    <x v="1058"/>
    <x v="53"/>
    <x v="5"/>
    <x v="24"/>
    <x v="37"/>
    <x v="23"/>
    <x v="1"/>
    <x v="7"/>
    <x v="88"/>
    <x v="59"/>
    <x v="10"/>
    <x v="24"/>
    <x v="525"/>
    <x v="104"/>
    <x v="10"/>
    <x v="500"/>
    <x v="969"/>
    <x v="1058"/>
    <x v="62"/>
  </r>
  <r>
    <x v="1059"/>
    <x v="1059"/>
    <x v="54"/>
    <x v="5"/>
    <x v="29"/>
    <x v="15"/>
    <x v="23"/>
    <x v="1"/>
    <x v="7"/>
    <x v="88"/>
    <x v="59"/>
    <x v="10"/>
    <x v="24"/>
    <x v="618"/>
    <x v="128"/>
    <x v="38"/>
    <x v="596"/>
    <x v="169"/>
    <x v="1059"/>
    <x v="62"/>
  </r>
  <r>
    <x v="1060"/>
    <x v="1060"/>
    <x v="55"/>
    <x v="5"/>
    <x v="40"/>
    <x v="24"/>
    <x v="23"/>
    <x v="1"/>
    <x v="7"/>
    <x v="88"/>
    <x v="59"/>
    <x v="8"/>
    <x v="24"/>
    <x v="153"/>
    <x v="91"/>
    <x v="23"/>
    <x v="138"/>
    <x v="163"/>
    <x v="1060"/>
    <x v="62"/>
  </r>
  <r>
    <x v="1061"/>
    <x v="1061"/>
    <x v="54"/>
    <x v="5"/>
    <x v="13"/>
    <x v="44"/>
    <x v="23"/>
    <x v="1"/>
    <x v="7"/>
    <x v="88"/>
    <x v="59"/>
    <x v="9"/>
    <x v="24"/>
    <x v="495"/>
    <x v="117"/>
    <x v="26"/>
    <x v="460"/>
    <x v="311"/>
    <x v="1061"/>
    <x v="62"/>
  </r>
  <r>
    <x v="1062"/>
    <x v="1062"/>
    <x v="56"/>
    <x v="5"/>
    <x v="26"/>
    <x v="16"/>
    <x v="23"/>
    <x v="1"/>
    <x v="7"/>
    <x v="88"/>
    <x v="59"/>
    <x v="9"/>
    <x v="24"/>
    <x v="430"/>
    <x v="67"/>
    <x v="16"/>
    <x v="443"/>
    <x v="610"/>
    <x v="1062"/>
    <x v="62"/>
  </r>
  <r>
    <x v="1063"/>
    <x v="1063"/>
    <x v="57"/>
    <x v="5"/>
    <x v="23"/>
    <x v="45"/>
    <x v="23"/>
    <x v="1"/>
    <x v="7"/>
    <x v="88"/>
    <x v="59"/>
    <x v="9"/>
    <x v="24"/>
    <x v="510"/>
    <x v="125"/>
    <x v="2"/>
    <x v="467"/>
    <x v="1131"/>
    <x v="1063"/>
    <x v="62"/>
  </r>
  <r>
    <x v="1064"/>
    <x v="1065"/>
    <x v="58"/>
    <x v="5"/>
    <x v="1"/>
    <x v="34"/>
    <x v="23"/>
    <x v="1"/>
    <x v="7"/>
    <x v="88"/>
    <x v="59"/>
    <x v="10"/>
    <x v="24"/>
    <x v="652"/>
    <x v="134"/>
    <x v="9"/>
    <x v="626"/>
    <x v="1156"/>
    <x v="1064"/>
    <x v="62"/>
  </r>
  <r>
    <x v="1065"/>
    <x v="1068"/>
    <x v="60"/>
    <x v="5"/>
    <x v="8"/>
    <x v="38"/>
    <x v="23"/>
    <x v="1"/>
    <x v="7"/>
    <x v="88"/>
    <x v="59"/>
    <x v="8"/>
    <x v="24"/>
    <x v="174"/>
    <x v="99"/>
    <x v="6"/>
    <x v="150"/>
    <x v="481"/>
    <x v="1065"/>
    <x v="62"/>
  </r>
  <r>
    <x v="1066"/>
    <x v="1069"/>
    <x v="61"/>
    <x v="5"/>
    <x v="16"/>
    <x v="35"/>
    <x v="23"/>
    <x v="1"/>
    <x v="7"/>
    <x v="88"/>
    <x v="59"/>
    <x v="8"/>
    <x v="24"/>
    <x v="112"/>
    <x v="55"/>
    <x v="38"/>
    <x v="112"/>
    <x v="54"/>
    <x v="1066"/>
    <x v="63"/>
  </r>
  <r>
    <x v="1067"/>
    <x v="1070"/>
    <x v="67"/>
    <x v="5"/>
    <x v="15"/>
    <x v="43"/>
    <x v="23"/>
    <x v="1"/>
    <x v="7"/>
    <x v="88"/>
    <x v="59"/>
    <x v="9"/>
    <x v="24"/>
    <x v="416"/>
    <x v="161"/>
    <x v="6"/>
    <x v="344"/>
    <x v="858"/>
    <x v="1067"/>
    <x v="63"/>
  </r>
  <r>
    <x v="1068"/>
    <x v="1066"/>
    <x v="59"/>
    <x v="5"/>
    <x v="42"/>
    <x v="5"/>
    <x v="23"/>
    <x v="1"/>
    <x v="7"/>
    <x v="88"/>
    <x v="59"/>
    <x v="8"/>
    <x v="24"/>
    <x v="245"/>
    <x v="104"/>
    <x v="16"/>
    <x v="224"/>
    <x v="341"/>
    <x v="1068"/>
    <x v="62"/>
  </r>
  <r>
    <x v="1069"/>
    <x v="1072"/>
    <x v="63"/>
    <x v="5"/>
    <x v="38"/>
    <x v="12"/>
    <x v="23"/>
    <x v="1"/>
    <x v="7"/>
    <x v="88"/>
    <x v="59"/>
    <x v="10"/>
    <x v="24"/>
    <x v="479"/>
    <x v="87"/>
    <x v="4"/>
    <x v="472"/>
    <x v="1083"/>
    <x v="1069"/>
    <x v="63"/>
  </r>
  <r>
    <x v="1070"/>
    <x v="1064"/>
    <x v="0"/>
    <x v="7"/>
    <x v="3"/>
    <x v="10"/>
    <x v="28"/>
    <x v="9"/>
    <x v="5"/>
    <x v="18"/>
    <x v="59"/>
    <x v="26"/>
    <x v="37"/>
    <x v="167"/>
    <x v="19"/>
    <x v="33"/>
    <x v="207"/>
    <x v="95"/>
    <x v="1070"/>
    <x v="62"/>
  </r>
  <r>
    <x v="1071"/>
    <x v="1071"/>
    <x v="2"/>
    <x v="7"/>
    <x v="22"/>
    <x v="13"/>
    <x v="28"/>
    <x v="9"/>
    <x v="5"/>
    <x v="2"/>
    <x v="59"/>
    <x v="10"/>
    <x v="37"/>
    <x v="12"/>
    <x v="265"/>
    <x v="3"/>
    <x v="5"/>
    <x v="11"/>
    <x v="1071"/>
    <x v="63"/>
  </r>
  <r>
    <x v="1072"/>
    <x v="1067"/>
    <x v="1"/>
    <x v="7"/>
    <x v="32"/>
    <x v="25"/>
    <x v="28"/>
    <x v="9"/>
    <x v="5"/>
    <x v="82"/>
    <x v="59"/>
    <x v="37"/>
    <x v="37"/>
    <x v="838"/>
    <x v="277"/>
    <x v="24"/>
    <x v="775"/>
    <x v="1171"/>
    <x v="1072"/>
    <x v="62"/>
  </r>
  <r>
    <x v="1073"/>
    <x v="1073"/>
    <x v="62"/>
    <x v="5"/>
    <x v="33"/>
    <x v="26"/>
    <x v="23"/>
    <x v="9"/>
    <x v="7"/>
    <x v="88"/>
    <x v="59"/>
    <x v="17"/>
    <x v="24"/>
    <x v="726"/>
    <x v="186"/>
    <x v="4"/>
    <x v="676"/>
    <x v="1265"/>
    <x v="1073"/>
    <x v="63"/>
  </r>
  <r>
    <x v="1074"/>
    <x v="1074"/>
    <x v="64"/>
    <x v="5"/>
    <x v="45"/>
    <x v="0"/>
    <x v="23"/>
    <x v="9"/>
    <x v="7"/>
    <x v="88"/>
    <x v="59"/>
    <x v="12"/>
    <x v="24"/>
    <x v="118"/>
    <x v="79"/>
    <x v="9"/>
    <x v="108"/>
    <x v="342"/>
    <x v="1074"/>
    <x v="63"/>
  </r>
  <r>
    <x v="1075"/>
    <x v="1075"/>
    <x v="66"/>
    <x v="5"/>
    <x v="30"/>
    <x v="30"/>
    <x v="23"/>
    <x v="9"/>
    <x v="7"/>
    <x v="88"/>
    <x v="59"/>
    <x v="14"/>
    <x v="24"/>
    <x v="387"/>
    <x v="83"/>
    <x v="8"/>
    <x v="388"/>
    <x v="857"/>
    <x v="1075"/>
    <x v="63"/>
  </r>
  <r>
    <x v="1076"/>
    <x v="1076"/>
    <x v="65"/>
    <x v="5"/>
    <x v="0"/>
    <x v="36"/>
    <x v="23"/>
    <x v="9"/>
    <x v="7"/>
    <x v="88"/>
    <x v="59"/>
    <x v="13"/>
    <x v="24"/>
    <x v="256"/>
    <x v="101"/>
    <x v="10"/>
    <x v="236"/>
    <x v="510"/>
    <x v="1076"/>
    <x v="63"/>
  </r>
  <r>
    <x v="1077"/>
    <x v="1077"/>
    <x v="0"/>
    <x v="7"/>
    <x v="12"/>
    <x v="17"/>
    <x v="28"/>
    <x v="9"/>
    <x v="5"/>
    <x v="81"/>
    <x v="60"/>
    <x v="37"/>
    <x v="37"/>
    <x v="798"/>
    <x v="172"/>
    <x v="21"/>
    <x v="763"/>
    <x v="1201"/>
    <x v="1077"/>
    <x v="63"/>
  </r>
  <r>
    <x v="1078"/>
    <x v="1078"/>
    <x v="1"/>
    <x v="7"/>
    <x v="25"/>
    <x v="42"/>
    <x v="28"/>
    <x v="9"/>
    <x v="5"/>
    <x v="42"/>
    <x v="60"/>
    <x v="28"/>
    <x v="37"/>
    <x v="374"/>
    <x v="65"/>
    <x v="25"/>
    <x v="392"/>
    <x v="286"/>
    <x v="1078"/>
    <x v="63"/>
  </r>
  <r>
    <x v="1079"/>
    <x v="1079"/>
    <x v="2"/>
    <x v="7"/>
    <x v="34"/>
    <x v="6"/>
    <x v="28"/>
    <x v="9"/>
    <x v="5"/>
    <x v="42"/>
    <x v="60"/>
    <x v="28"/>
    <x v="37"/>
    <x v="402"/>
    <x v="131"/>
    <x v="36"/>
    <x v="361"/>
    <x v="114"/>
    <x v="1079"/>
    <x v="63"/>
  </r>
  <r>
    <x v="1080"/>
    <x v="1080"/>
    <x v="3"/>
    <x v="7"/>
    <x v="35"/>
    <x v="1"/>
    <x v="26"/>
    <x v="9"/>
    <x v="5"/>
    <x v="61"/>
    <x v="61"/>
    <x v="31"/>
    <x v="37"/>
    <x v="647"/>
    <x v="153"/>
    <x v="15"/>
    <x v="609"/>
    <x v="943"/>
    <x v="1080"/>
    <x v="64"/>
  </r>
  <r>
    <x v="1081"/>
    <x v="1081"/>
    <x v="68"/>
    <x v="5"/>
    <x v="31"/>
    <x v="40"/>
    <x v="14"/>
    <x v="9"/>
    <x v="7"/>
    <x v="88"/>
    <x v="61"/>
    <x v="10"/>
    <x v="15"/>
    <x v="403"/>
    <x v="196"/>
    <x v="6"/>
    <x v="294"/>
    <x v="764"/>
    <x v="1081"/>
    <x v="64"/>
  </r>
  <r>
    <x v="1082"/>
    <x v="1082"/>
    <x v="4"/>
    <x v="7"/>
    <x v="2"/>
    <x v="18"/>
    <x v="26"/>
    <x v="9"/>
    <x v="5"/>
    <x v="78"/>
    <x v="61"/>
    <x v="36"/>
    <x v="37"/>
    <x v="866"/>
    <x v="380"/>
    <x v="6"/>
    <x v="742"/>
    <x v="1317"/>
    <x v="1082"/>
    <x v="64"/>
  </r>
  <r>
    <x v="1083"/>
    <x v="1083"/>
    <x v="69"/>
    <x v="5"/>
    <x v="41"/>
    <x v="23"/>
    <x v="14"/>
    <x v="9"/>
    <x v="7"/>
    <x v="88"/>
    <x v="61"/>
    <x v="11"/>
    <x v="15"/>
    <x v="460"/>
    <x v="64"/>
    <x v="9"/>
    <x v="475"/>
    <x v="965"/>
    <x v="1083"/>
    <x v="64"/>
  </r>
  <r>
    <x v="1084"/>
    <x v="1084"/>
    <x v="70"/>
    <x v="5"/>
    <x v="24"/>
    <x v="37"/>
    <x v="14"/>
    <x v="9"/>
    <x v="7"/>
    <x v="88"/>
    <x v="61"/>
    <x v="11"/>
    <x v="15"/>
    <x v="514"/>
    <x v="120"/>
    <x v="7"/>
    <x v="476"/>
    <x v="1030"/>
    <x v="1084"/>
    <x v="64"/>
  </r>
  <r>
    <x v="1085"/>
    <x v="1085"/>
    <x v="71"/>
    <x v="5"/>
    <x v="29"/>
    <x v="15"/>
    <x v="14"/>
    <x v="9"/>
    <x v="7"/>
    <x v="88"/>
    <x v="61"/>
    <x v="12"/>
    <x v="15"/>
    <x v="702"/>
    <x v="138"/>
    <x v="14"/>
    <x v="669"/>
    <x v="1104"/>
    <x v="1085"/>
    <x v="64"/>
  </r>
  <r>
    <x v="1086"/>
    <x v="1086"/>
    <x v="5"/>
    <x v="7"/>
    <x v="46"/>
    <x v="32"/>
    <x v="28"/>
    <x v="9"/>
    <x v="5"/>
    <x v="67"/>
    <x v="61"/>
    <x v="32"/>
    <x v="37"/>
    <x v="673"/>
    <x v="118"/>
    <x v="14"/>
    <x v="654"/>
    <x v="1072"/>
    <x v="1086"/>
    <x v="64"/>
  </r>
  <r>
    <x v="1087"/>
    <x v="1087"/>
    <x v="6"/>
    <x v="7"/>
    <x v="28"/>
    <x v="33"/>
    <x v="28"/>
    <x v="9"/>
    <x v="5"/>
    <x v="52"/>
    <x v="61"/>
    <x v="30"/>
    <x v="37"/>
    <x v="814"/>
    <x v="367"/>
    <x v="35"/>
    <x v="501"/>
    <x v="176"/>
    <x v="1087"/>
    <x v="64"/>
  </r>
  <r>
    <x v="1088"/>
    <x v="1088"/>
    <x v="7"/>
    <x v="7"/>
    <x v="23"/>
    <x v="45"/>
    <x v="28"/>
    <x v="9"/>
    <x v="5"/>
    <x v="20"/>
    <x v="61"/>
    <x v="26"/>
    <x v="37"/>
    <x v="274"/>
    <x v="138"/>
    <x v="36"/>
    <x v="225"/>
    <x v="80"/>
    <x v="1088"/>
    <x v="64"/>
  </r>
  <r>
    <x v="1089"/>
    <x v="1089"/>
    <x v="72"/>
    <x v="5"/>
    <x v="30"/>
    <x v="30"/>
    <x v="14"/>
    <x v="9"/>
    <x v="7"/>
    <x v="88"/>
    <x v="61"/>
    <x v="10"/>
    <x v="15"/>
    <x v="315"/>
    <x v="106"/>
    <x v="21"/>
    <x v="294"/>
    <x v="297"/>
    <x v="1089"/>
    <x v="64"/>
  </r>
  <r>
    <x v="1090"/>
    <x v="1090"/>
    <x v="73"/>
    <x v="5"/>
    <x v="0"/>
    <x v="36"/>
    <x v="14"/>
    <x v="9"/>
    <x v="7"/>
    <x v="88"/>
    <x v="61"/>
    <x v="9"/>
    <x v="15"/>
    <x v="213"/>
    <x v="123"/>
    <x v="10"/>
    <x v="174"/>
    <x v="419"/>
    <x v="1090"/>
    <x v="64"/>
  </r>
  <r>
    <x v="1091"/>
    <x v="1091"/>
    <x v="74"/>
    <x v="5"/>
    <x v="12"/>
    <x v="17"/>
    <x v="14"/>
    <x v="9"/>
    <x v="7"/>
    <x v="88"/>
    <x v="61"/>
    <x v="12"/>
    <x v="15"/>
    <x v="751"/>
    <x v="210"/>
    <x v="11"/>
    <x v="703"/>
    <x v="1221"/>
    <x v="1091"/>
    <x v="64"/>
  </r>
  <r>
    <x v="1092"/>
    <x v="1092"/>
    <x v="75"/>
    <x v="5"/>
    <x v="1"/>
    <x v="34"/>
    <x v="14"/>
    <x v="9"/>
    <x v="7"/>
    <x v="88"/>
    <x v="61"/>
    <x v="10"/>
    <x v="15"/>
    <x v="477"/>
    <x v="132"/>
    <x v="10"/>
    <x v="430"/>
    <x v="849"/>
    <x v="1092"/>
    <x v="64"/>
  </r>
  <r>
    <x v="1093"/>
    <x v="1093"/>
    <x v="76"/>
    <x v="5"/>
    <x v="3"/>
    <x v="10"/>
    <x v="14"/>
    <x v="9"/>
    <x v="7"/>
    <x v="88"/>
    <x v="61"/>
    <x v="9"/>
    <x v="15"/>
    <x v="98"/>
    <x v="21"/>
    <x v="16"/>
    <x v="120"/>
    <x v="234"/>
    <x v="1093"/>
    <x v="65"/>
  </r>
  <r>
    <x v="1094"/>
    <x v="1094"/>
    <x v="77"/>
    <x v="5"/>
    <x v="38"/>
    <x v="12"/>
    <x v="14"/>
    <x v="9"/>
    <x v="7"/>
    <x v="88"/>
    <x v="61"/>
    <x v="9"/>
    <x v="15"/>
    <x v="241"/>
    <x v="91"/>
    <x v="18"/>
    <x v="229"/>
    <x v="303"/>
    <x v="1094"/>
    <x v="65"/>
  </r>
  <r>
    <x v="1095"/>
    <x v="1095"/>
    <x v="78"/>
    <x v="5"/>
    <x v="25"/>
    <x v="42"/>
    <x v="14"/>
    <x v="9"/>
    <x v="7"/>
    <x v="88"/>
    <x v="61"/>
    <x v="10"/>
    <x v="15"/>
    <x v="295"/>
    <x v="67"/>
    <x v="11"/>
    <x v="309"/>
    <x v="592"/>
    <x v="1095"/>
    <x v="65"/>
  </r>
  <r>
    <x v="1096"/>
    <x v="1096"/>
    <x v="79"/>
    <x v="5"/>
    <x v="34"/>
    <x v="6"/>
    <x v="14"/>
    <x v="9"/>
    <x v="7"/>
    <x v="88"/>
    <x v="61"/>
    <x v="9"/>
    <x v="15"/>
    <x v="253"/>
    <x v="135"/>
    <x v="18"/>
    <x v="204"/>
    <x v="285"/>
    <x v="1096"/>
    <x v="65"/>
  </r>
  <r>
    <x v="1097"/>
    <x v="1097"/>
    <x v="80"/>
    <x v="5"/>
    <x v="31"/>
    <x v="40"/>
    <x v="14"/>
    <x v="9"/>
    <x v="7"/>
    <x v="88"/>
    <x v="61"/>
    <x v="10"/>
    <x v="15"/>
    <x v="485"/>
    <x v="187"/>
    <x v="14"/>
    <x v="381"/>
    <x v="590"/>
    <x v="1097"/>
    <x v="65"/>
  </r>
  <r>
    <x v="1098"/>
    <x v="1098"/>
    <x v="81"/>
    <x v="5"/>
    <x v="35"/>
    <x v="1"/>
    <x v="14"/>
    <x v="9"/>
    <x v="7"/>
    <x v="88"/>
    <x v="61"/>
    <x v="11"/>
    <x v="15"/>
    <x v="509"/>
    <x v="131"/>
    <x v="25"/>
    <x v="461"/>
    <x v="338"/>
    <x v="1098"/>
    <x v="65"/>
  </r>
  <r>
    <x v="1099"/>
    <x v="1099"/>
    <x v="82"/>
    <x v="5"/>
    <x v="41"/>
    <x v="23"/>
    <x v="14"/>
    <x v="9"/>
    <x v="7"/>
    <x v="88"/>
    <x v="61"/>
    <x v="11"/>
    <x v="15"/>
    <x v="545"/>
    <x v="51"/>
    <x v="15"/>
    <x v="571"/>
    <x v="866"/>
    <x v="1099"/>
    <x v="65"/>
  </r>
  <r>
    <x v="1100"/>
    <x v="1100"/>
    <x v="83"/>
    <x v="5"/>
    <x v="16"/>
    <x v="35"/>
    <x v="14"/>
    <x v="9"/>
    <x v="7"/>
    <x v="88"/>
    <x v="61"/>
    <x v="8"/>
    <x v="15"/>
    <x v="72"/>
    <x v="74"/>
    <x v="17"/>
    <x v="76"/>
    <x v="161"/>
    <x v="1100"/>
    <x v="65"/>
  </r>
  <r>
    <x v="1101"/>
    <x v="1101"/>
    <x v="84"/>
    <x v="5"/>
    <x v="8"/>
    <x v="38"/>
    <x v="14"/>
    <x v="9"/>
    <x v="7"/>
    <x v="88"/>
    <x v="62"/>
    <x v="8"/>
    <x v="15"/>
    <x v="91"/>
    <x v="115"/>
    <x v="12"/>
    <x v="81"/>
    <x v="220"/>
    <x v="1101"/>
    <x v="65"/>
  </r>
  <r>
    <x v="1102"/>
    <x v="1102"/>
    <x v="0"/>
    <x v="7"/>
    <x v="14"/>
    <x v="3"/>
    <x v="26"/>
    <x v="9"/>
    <x v="5"/>
    <x v="38"/>
    <x v="61"/>
    <x v="28"/>
    <x v="37"/>
    <x v="405"/>
    <x v="112"/>
    <x v="26"/>
    <x v="379"/>
    <x v="256"/>
    <x v="1102"/>
    <x v="65"/>
  </r>
  <r>
    <x v="1103"/>
    <x v="1103"/>
    <x v="87"/>
    <x v="5"/>
    <x v="15"/>
    <x v="43"/>
    <x v="14"/>
    <x v="9"/>
    <x v="7"/>
    <x v="88"/>
    <x v="62"/>
    <x v="10"/>
    <x v="15"/>
    <x v="426"/>
    <x v="177"/>
    <x v="3"/>
    <x v="337"/>
    <x v="928"/>
    <x v="1103"/>
    <x v="65"/>
  </r>
  <r>
    <x v="1104"/>
    <x v="1104"/>
    <x v="85"/>
    <x v="5"/>
    <x v="24"/>
    <x v="37"/>
    <x v="14"/>
    <x v="9"/>
    <x v="7"/>
    <x v="88"/>
    <x v="62"/>
    <x v="10"/>
    <x v="15"/>
    <x v="471"/>
    <x v="124"/>
    <x v="6"/>
    <x v="431"/>
    <x v="1003"/>
    <x v="1104"/>
    <x v="65"/>
  </r>
  <r>
    <x v="1105"/>
    <x v="1105"/>
    <x v="86"/>
    <x v="5"/>
    <x v="29"/>
    <x v="15"/>
    <x v="14"/>
    <x v="9"/>
    <x v="7"/>
    <x v="88"/>
    <x v="62"/>
    <x v="11"/>
    <x v="15"/>
    <x v="622"/>
    <x v="143"/>
    <x v="27"/>
    <x v="591"/>
    <x v="395"/>
    <x v="1105"/>
    <x v="65"/>
  </r>
  <r>
    <x v="1106"/>
    <x v="1106"/>
    <x v="88"/>
    <x v="5"/>
    <x v="46"/>
    <x v="32"/>
    <x v="14"/>
    <x v="9"/>
    <x v="7"/>
    <x v="88"/>
    <x v="62"/>
    <x v="12"/>
    <x v="15"/>
    <x v="668"/>
    <x v="129"/>
    <x v="6"/>
    <x v="651"/>
    <x v="1230"/>
    <x v="1106"/>
    <x v="65"/>
  </r>
  <r>
    <x v="1107"/>
    <x v="1107"/>
    <x v="89"/>
    <x v="5"/>
    <x v="30"/>
    <x v="30"/>
    <x v="14"/>
    <x v="9"/>
    <x v="7"/>
    <x v="88"/>
    <x v="62"/>
    <x v="10"/>
    <x v="15"/>
    <x v="400"/>
    <x v="104"/>
    <x v="12"/>
    <x v="381"/>
    <x v="670"/>
    <x v="1107"/>
    <x v="65"/>
  </r>
  <r>
    <x v="1108"/>
    <x v="1108"/>
    <x v="90"/>
    <x v="5"/>
    <x v="0"/>
    <x v="36"/>
    <x v="14"/>
    <x v="9"/>
    <x v="7"/>
    <x v="88"/>
    <x v="62"/>
    <x v="9"/>
    <x v="15"/>
    <x v="220"/>
    <x v="105"/>
    <x v="20"/>
    <x v="193"/>
    <x v="236"/>
    <x v="1108"/>
    <x v="65"/>
  </r>
  <r>
    <x v="1109"/>
    <x v="1109"/>
    <x v="92"/>
    <x v="5"/>
    <x v="1"/>
    <x v="34"/>
    <x v="14"/>
    <x v="9"/>
    <x v="7"/>
    <x v="88"/>
    <x v="62"/>
    <x v="12"/>
    <x v="15"/>
    <x v="644"/>
    <x v="134"/>
    <x v="6"/>
    <x v="617"/>
    <x v="1208"/>
    <x v="1109"/>
    <x v="65"/>
  </r>
  <r>
    <x v="1110"/>
    <x v="1110"/>
    <x v="502"/>
    <x v="8"/>
    <x v="47"/>
    <x v="19"/>
    <x v="1"/>
    <x v="9"/>
    <x v="4"/>
    <x v="88"/>
    <x v="62"/>
    <x v="14"/>
    <x v="2"/>
    <x v="419"/>
    <x v="221"/>
    <x v="14"/>
    <x v="282"/>
    <x v="445"/>
    <x v="1110"/>
    <x v="65"/>
  </r>
  <r>
    <x v="1111"/>
    <x v="1111"/>
    <x v="503"/>
    <x v="8"/>
    <x v="6"/>
    <x v="22"/>
    <x v="1"/>
    <x v="9"/>
    <x v="4"/>
    <x v="88"/>
    <x v="62"/>
    <x v="14"/>
    <x v="2"/>
    <x v="535"/>
    <x v="229"/>
    <x v="10"/>
    <x v="385"/>
    <x v="760"/>
    <x v="1111"/>
    <x v="65"/>
  </r>
  <r>
    <x v="1112"/>
    <x v="1112"/>
    <x v="91"/>
    <x v="5"/>
    <x v="12"/>
    <x v="17"/>
    <x v="14"/>
    <x v="9"/>
    <x v="7"/>
    <x v="88"/>
    <x v="62"/>
    <x v="13"/>
    <x v="15"/>
    <x v="756"/>
    <x v="201"/>
    <x v="11"/>
    <x v="714"/>
    <x v="1232"/>
    <x v="1112"/>
    <x v="65"/>
  </r>
  <r>
    <x v="1113"/>
    <x v="1114"/>
    <x v="505"/>
    <x v="8"/>
    <x v="39"/>
    <x v="39"/>
    <x v="1"/>
    <x v="9"/>
    <x v="4"/>
    <x v="88"/>
    <x v="62"/>
    <x v="15"/>
    <x v="2"/>
    <x v="612"/>
    <x v="187"/>
    <x v="8"/>
    <x v="533"/>
    <x v="1063"/>
    <x v="1113"/>
    <x v="65"/>
  </r>
  <r>
    <x v="1114"/>
    <x v="1115"/>
    <x v="504"/>
    <x v="8"/>
    <x v="10"/>
    <x v="27"/>
    <x v="1"/>
    <x v="9"/>
    <x v="4"/>
    <x v="88"/>
    <x v="62"/>
    <x v="15"/>
    <x v="2"/>
    <x v="470"/>
    <x v="100"/>
    <x v="13"/>
    <x v="451"/>
    <x v="746"/>
    <x v="1114"/>
    <x v="65"/>
  </r>
  <r>
    <x v="1115"/>
    <x v="1116"/>
    <x v="506"/>
    <x v="8"/>
    <x v="36"/>
    <x v="29"/>
    <x v="1"/>
    <x v="9"/>
    <x v="4"/>
    <x v="88"/>
    <x v="62"/>
    <x v="14"/>
    <x v="2"/>
    <x v="527"/>
    <x v="206"/>
    <x v="7"/>
    <x v="403"/>
    <x v="921"/>
    <x v="1115"/>
    <x v="65"/>
  </r>
  <r>
    <x v="1116"/>
    <x v="1117"/>
    <x v="507"/>
    <x v="8"/>
    <x v="4"/>
    <x v="2"/>
    <x v="1"/>
    <x v="9"/>
    <x v="4"/>
    <x v="88"/>
    <x v="62"/>
    <x v="13"/>
    <x v="2"/>
    <x v="137"/>
    <x v="16"/>
    <x v="8"/>
    <x v="177"/>
    <x v="475"/>
    <x v="1116"/>
    <x v="66"/>
  </r>
  <r>
    <x v="1117"/>
    <x v="1118"/>
    <x v="510"/>
    <x v="8"/>
    <x v="43"/>
    <x v="28"/>
    <x v="1"/>
    <x v="9"/>
    <x v="4"/>
    <x v="88"/>
    <x v="62"/>
    <x v="14"/>
    <x v="2"/>
    <x v="324"/>
    <x v="67"/>
    <x v="9"/>
    <x v="341"/>
    <x v="724"/>
    <x v="1117"/>
    <x v="66"/>
  </r>
  <r>
    <x v="1118"/>
    <x v="1119"/>
    <x v="508"/>
    <x v="8"/>
    <x v="23"/>
    <x v="45"/>
    <x v="1"/>
    <x v="9"/>
    <x v="4"/>
    <x v="88"/>
    <x v="62"/>
    <x v="14"/>
    <x v="2"/>
    <x v="423"/>
    <x v="124"/>
    <x v="16"/>
    <x v="384"/>
    <x v="520"/>
    <x v="1118"/>
    <x v="66"/>
  </r>
  <r>
    <x v="1119"/>
    <x v="1120"/>
    <x v="509"/>
    <x v="8"/>
    <x v="9"/>
    <x v="41"/>
    <x v="1"/>
    <x v="9"/>
    <x v="4"/>
    <x v="88"/>
    <x v="62"/>
    <x v="15"/>
    <x v="2"/>
    <x v="641"/>
    <x v="257"/>
    <x v="15"/>
    <x v="472"/>
    <x v="690"/>
    <x v="1119"/>
    <x v="66"/>
  </r>
  <r>
    <x v="1120"/>
    <x v="1121"/>
    <x v="511"/>
    <x v="8"/>
    <x v="17"/>
    <x v="11"/>
    <x v="1"/>
    <x v="9"/>
    <x v="4"/>
    <x v="88"/>
    <x v="62"/>
    <x v="13"/>
    <x v="2"/>
    <x v="182"/>
    <x v="78"/>
    <x v="4"/>
    <x v="172"/>
    <x v="570"/>
    <x v="1120"/>
    <x v="66"/>
  </r>
  <r>
    <x v="1121"/>
    <x v="1122"/>
    <x v="512"/>
    <x v="8"/>
    <x v="11"/>
    <x v="31"/>
    <x v="1"/>
    <x v="9"/>
    <x v="4"/>
    <x v="88"/>
    <x v="62"/>
    <x v="14"/>
    <x v="2"/>
    <x v="344"/>
    <x v="107"/>
    <x v="13"/>
    <x v="324"/>
    <x v="545"/>
    <x v="1121"/>
    <x v="66"/>
  </r>
  <r>
    <x v="1122"/>
    <x v="1123"/>
    <x v="513"/>
    <x v="8"/>
    <x v="2"/>
    <x v="18"/>
    <x v="1"/>
    <x v="9"/>
    <x v="4"/>
    <x v="88"/>
    <x v="62"/>
    <x v="25"/>
    <x v="2"/>
    <x v="925"/>
    <x v="378"/>
    <x v="24"/>
    <x v="830"/>
    <x v="1343"/>
    <x v="1122"/>
    <x v="66"/>
  </r>
  <r>
    <x v="1123"/>
    <x v="1124"/>
    <x v="515"/>
    <x v="8"/>
    <x v="22"/>
    <x v="13"/>
    <x v="1"/>
    <x v="9"/>
    <x v="4"/>
    <x v="88"/>
    <x v="62"/>
    <x v="18"/>
    <x v="2"/>
    <x v="791"/>
    <x v="261"/>
    <x v="17"/>
    <x v="723"/>
    <x v="1157"/>
    <x v="1123"/>
    <x v="66"/>
  </r>
  <r>
    <x v="1124"/>
    <x v="1113"/>
    <x v="1"/>
    <x v="7"/>
    <x v="27"/>
    <x v="46"/>
    <x v="26"/>
    <x v="1"/>
    <x v="5"/>
    <x v="0"/>
    <x v="64"/>
    <x v="1"/>
    <x v="37"/>
    <x v="16"/>
    <x v="339"/>
    <x v="11"/>
    <x v="2"/>
    <x v="2"/>
    <x v="1124"/>
    <x v="65"/>
  </r>
  <r>
    <x v="1125"/>
    <x v="1125"/>
    <x v="514"/>
    <x v="8"/>
    <x v="32"/>
    <x v="25"/>
    <x v="1"/>
    <x v="9"/>
    <x v="4"/>
    <x v="88"/>
    <x v="62"/>
    <x v="19"/>
    <x v="2"/>
    <x v="832"/>
    <x v="273"/>
    <x v="11"/>
    <x v="766"/>
    <x v="1309"/>
    <x v="1125"/>
    <x v="66"/>
  </r>
  <r>
    <x v="1126"/>
    <x v="1126"/>
    <x v="533"/>
    <x v="8"/>
    <x v="27"/>
    <x v="46"/>
    <x v="1"/>
    <x v="9"/>
    <x v="4"/>
    <x v="88"/>
    <x v="63"/>
    <x v="25"/>
    <x v="2"/>
    <x v="887"/>
    <x v="335"/>
    <x v="6"/>
    <x v="825"/>
    <x v="1390"/>
    <x v="1126"/>
    <x v="66"/>
  </r>
  <r>
    <x v="1127"/>
    <x v="1127"/>
    <x v="517"/>
    <x v="8"/>
    <x v="41"/>
    <x v="23"/>
    <x v="1"/>
    <x v="9"/>
    <x v="4"/>
    <x v="88"/>
    <x v="63"/>
    <x v="16"/>
    <x v="2"/>
    <x v="621"/>
    <x v="48"/>
    <x v="18"/>
    <x v="644"/>
    <x v="896"/>
    <x v="1127"/>
    <x v="66"/>
  </r>
  <r>
    <x v="1128"/>
    <x v="1128"/>
    <x v="0"/>
    <x v="7"/>
    <x v="45"/>
    <x v="0"/>
    <x v="26"/>
    <x v="9"/>
    <x v="5"/>
    <x v="34"/>
    <x v="63"/>
    <x v="27"/>
    <x v="37"/>
    <x v="326"/>
    <x v="78"/>
    <x v="12"/>
    <x v="334"/>
    <x v="589"/>
    <x v="1128"/>
    <x v="66"/>
  </r>
  <r>
    <x v="1129"/>
    <x v="1129"/>
    <x v="516"/>
    <x v="8"/>
    <x v="5"/>
    <x v="20"/>
    <x v="1"/>
    <x v="9"/>
    <x v="4"/>
    <x v="88"/>
    <x v="63"/>
    <x v="14"/>
    <x v="2"/>
    <x v="522"/>
    <x v="209"/>
    <x v="10"/>
    <x v="391"/>
    <x v="776"/>
    <x v="1129"/>
    <x v="66"/>
  </r>
  <r>
    <x v="1130"/>
    <x v="1130"/>
    <x v="1"/>
    <x v="7"/>
    <x v="38"/>
    <x v="12"/>
    <x v="25"/>
    <x v="9"/>
    <x v="5"/>
    <x v="48"/>
    <x v="63"/>
    <x v="29"/>
    <x v="37"/>
    <x v="458"/>
    <x v="90"/>
    <x v="14"/>
    <x v="449"/>
    <x v="699"/>
    <x v="1130"/>
    <x v="66"/>
  </r>
  <r>
    <x v="1131"/>
    <x v="1131"/>
    <x v="2"/>
    <x v="7"/>
    <x v="3"/>
    <x v="10"/>
    <x v="25"/>
    <x v="9"/>
    <x v="5"/>
    <x v="22"/>
    <x v="63"/>
    <x v="26"/>
    <x v="37"/>
    <x v="182"/>
    <x v="16"/>
    <x v="11"/>
    <x v="232"/>
    <x v="464"/>
    <x v="1131"/>
    <x v="66"/>
  </r>
  <r>
    <x v="1132"/>
    <x v="1132"/>
    <x v="519"/>
    <x v="8"/>
    <x v="35"/>
    <x v="1"/>
    <x v="1"/>
    <x v="9"/>
    <x v="4"/>
    <x v="88"/>
    <x v="63"/>
    <x v="17"/>
    <x v="2"/>
    <x v="693"/>
    <x v="102"/>
    <x v="15"/>
    <x v="677"/>
    <x v="1094"/>
    <x v="1132"/>
    <x v="66"/>
  </r>
  <r>
    <x v="1133"/>
    <x v="1133"/>
    <x v="518"/>
    <x v="8"/>
    <x v="31"/>
    <x v="40"/>
    <x v="1"/>
    <x v="9"/>
    <x v="4"/>
    <x v="88"/>
    <x v="63"/>
    <x v="20"/>
    <x v="2"/>
    <x v="847"/>
    <x v="302"/>
    <x v="3"/>
    <x v="778"/>
    <x v="1354"/>
    <x v="1133"/>
    <x v="66"/>
  </r>
  <r>
    <x v="1134"/>
    <x v="1134"/>
    <x v="520"/>
    <x v="8"/>
    <x v="28"/>
    <x v="33"/>
    <x v="1"/>
    <x v="9"/>
    <x v="4"/>
    <x v="88"/>
    <x v="63"/>
    <x v="24"/>
    <x v="2"/>
    <x v="911"/>
    <x v="361"/>
    <x v="3"/>
    <x v="819"/>
    <x v="1397"/>
    <x v="1134"/>
    <x v="66"/>
  </r>
  <r>
    <x v="1135"/>
    <x v="1135"/>
    <x v="521"/>
    <x v="8"/>
    <x v="14"/>
    <x v="3"/>
    <x v="1"/>
    <x v="9"/>
    <x v="4"/>
    <x v="88"/>
    <x v="63"/>
    <x v="14"/>
    <x v="2"/>
    <x v="359"/>
    <x v="106"/>
    <x v="12"/>
    <x v="340"/>
    <x v="604"/>
    <x v="1135"/>
    <x v="66"/>
  </r>
  <r>
    <x v="1136"/>
    <x v="1136"/>
    <x v="3"/>
    <x v="7"/>
    <x v="8"/>
    <x v="38"/>
    <x v="25"/>
    <x v="9"/>
    <x v="5"/>
    <x v="16"/>
    <x v="63"/>
    <x v="25"/>
    <x v="37"/>
    <x v="211"/>
    <x v="108"/>
    <x v="21"/>
    <x v="183"/>
    <x v="212"/>
    <x v="1136"/>
    <x v="66"/>
  </r>
  <r>
    <x v="1137"/>
    <x v="1137"/>
    <x v="4"/>
    <x v="7"/>
    <x v="16"/>
    <x v="35"/>
    <x v="25"/>
    <x v="9"/>
    <x v="5"/>
    <x v="12"/>
    <x v="63"/>
    <x v="25"/>
    <x v="37"/>
    <x v="152"/>
    <x v="67"/>
    <x v="28"/>
    <x v="153"/>
    <x v="119"/>
    <x v="1137"/>
    <x v="67"/>
  </r>
  <r>
    <x v="1138"/>
    <x v="1138"/>
    <x v="522"/>
    <x v="8"/>
    <x v="25"/>
    <x v="42"/>
    <x v="1"/>
    <x v="9"/>
    <x v="4"/>
    <x v="88"/>
    <x v="63"/>
    <x v="14"/>
    <x v="2"/>
    <x v="308"/>
    <x v="55"/>
    <x v="4"/>
    <x v="335"/>
    <x v="883"/>
    <x v="1138"/>
    <x v="67"/>
  </r>
  <r>
    <x v="1139"/>
    <x v="1139"/>
    <x v="523"/>
    <x v="8"/>
    <x v="34"/>
    <x v="6"/>
    <x v="1"/>
    <x v="9"/>
    <x v="4"/>
    <x v="88"/>
    <x v="63"/>
    <x v="14"/>
    <x v="2"/>
    <x v="349"/>
    <x v="119"/>
    <x v="13"/>
    <x v="318"/>
    <x v="531"/>
    <x v="1139"/>
    <x v="67"/>
  </r>
  <r>
    <x v="1140"/>
    <x v="1140"/>
    <x v="5"/>
    <x v="7"/>
    <x v="2"/>
    <x v="18"/>
    <x v="28"/>
    <x v="9"/>
    <x v="5"/>
    <x v="86"/>
    <x v="63"/>
    <x v="41"/>
    <x v="37"/>
    <x v="926"/>
    <x v="374"/>
    <x v="15"/>
    <x v="833"/>
    <x v="1371"/>
    <x v="1140"/>
    <x v="67"/>
  </r>
  <r>
    <x v="1141"/>
    <x v="1141"/>
    <x v="524"/>
    <x v="8"/>
    <x v="24"/>
    <x v="37"/>
    <x v="1"/>
    <x v="9"/>
    <x v="4"/>
    <x v="88"/>
    <x v="63"/>
    <x v="15"/>
    <x v="2"/>
    <x v="546"/>
    <x v="94"/>
    <x v="3"/>
    <x v="537"/>
    <x v="1170"/>
    <x v="1141"/>
    <x v="67"/>
  </r>
  <r>
    <x v="1142"/>
    <x v="1142"/>
    <x v="525"/>
    <x v="8"/>
    <x v="29"/>
    <x v="15"/>
    <x v="1"/>
    <x v="9"/>
    <x v="4"/>
    <x v="88"/>
    <x v="63"/>
    <x v="17"/>
    <x v="2"/>
    <x v="707"/>
    <x v="114"/>
    <x v="8"/>
    <x v="687"/>
    <x v="1246"/>
    <x v="1142"/>
    <x v="67"/>
  </r>
  <r>
    <x v="1143"/>
    <x v="1143"/>
    <x v="526"/>
    <x v="8"/>
    <x v="46"/>
    <x v="32"/>
    <x v="1"/>
    <x v="9"/>
    <x v="4"/>
    <x v="88"/>
    <x v="63"/>
    <x v="17"/>
    <x v="2"/>
    <x v="729"/>
    <x v="110"/>
    <x v="9"/>
    <x v="708"/>
    <x v="1255"/>
    <x v="1143"/>
    <x v="67"/>
  </r>
  <r>
    <x v="1144"/>
    <x v="1144"/>
    <x v="527"/>
    <x v="8"/>
    <x v="21"/>
    <x v="4"/>
    <x v="1"/>
    <x v="9"/>
    <x v="4"/>
    <x v="88"/>
    <x v="63"/>
    <x v="15"/>
    <x v="2"/>
    <x v="452"/>
    <x v="108"/>
    <x v="11"/>
    <x v="428"/>
    <x v="798"/>
    <x v="1144"/>
    <x v="67"/>
  </r>
  <r>
    <x v="1145"/>
    <x v="1145"/>
    <x v="10"/>
    <x v="7"/>
    <x v="45"/>
    <x v="0"/>
    <x v="28"/>
    <x v="1"/>
    <x v="5"/>
    <x v="4"/>
    <x v="64"/>
    <x v="3"/>
    <x v="37"/>
    <x v="27"/>
    <x v="76"/>
    <x v="8"/>
    <x v="27"/>
    <x v="61"/>
    <x v="1145"/>
    <x v="67"/>
  </r>
  <r>
    <x v="1146"/>
    <x v="1146"/>
    <x v="528"/>
    <x v="8"/>
    <x v="33"/>
    <x v="26"/>
    <x v="1"/>
    <x v="9"/>
    <x v="4"/>
    <x v="88"/>
    <x v="63"/>
    <x v="17"/>
    <x v="2"/>
    <x v="737"/>
    <x v="175"/>
    <x v="11"/>
    <x v="699"/>
    <x v="1217"/>
    <x v="1146"/>
    <x v="67"/>
  </r>
  <r>
    <x v="1147"/>
    <x v="1147"/>
    <x v="529"/>
    <x v="8"/>
    <x v="26"/>
    <x v="16"/>
    <x v="1"/>
    <x v="9"/>
    <x v="4"/>
    <x v="88"/>
    <x v="64"/>
    <x v="15"/>
    <x v="2"/>
    <x v="415"/>
    <x v="61"/>
    <x v="27"/>
    <x v="434"/>
    <x v="272"/>
    <x v="1147"/>
    <x v="67"/>
  </r>
  <r>
    <x v="1148"/>
    <x v="1148"/>
    <x v="530"/>
    <x v="8"/>
    <x v="13"/>
    <x v="44"/>
    <x v="1"/>
    <x v="9"/>
    <x v="4"/>
    <x v="88"/>
    <x v="64"/>
    <x v="14"/>
    <x v="2"/>
    <x v="429"/>
    <x v="115"/>
    <x v="20"/>
    <x v="399"/>
    <x v="408"/>
    <x v="1148"/>
    <x v="67"/>
  </r>
  <r>
    <x v="1149"/>
    <x v="1149"/>
    <x v="531"/>
    <x v="8"/>
    <x v="30"/>
    <x v="30"/>
    <x v="1"/>
    <x v="9"/>
    <x v="4"/>
    <x v="88"/>
    <x v="64"/>
    <x v="14"/>
    <x v="2"/>
    <x v="372"/>
    <x v="80"/>
    <x v="2"/>
    <x v="376"/>
    <x v="1021"/>
    <x v="1149"/>
    <x v="67"/>
  </r>
  <r>
    <x v="1150"/>
    <x v="1150"/>
    <x v="532"/>
    <x v="8"/>
    <x v="0"/>
    <x v="36"/>
    <x v="1"/>
    <x v="9"/>
    <x v="4"/>
    <x v="88"/>
    <x v="64"/>
    <x v="14"/>
    <x v="2"/>
    <x v="297"/>
    <x v="106"/>
    <x v="6"/>
    <x v="277"/>
    <x v="733"/>
    <x v="1150"/>
    <x v="67"/>
  </r>
  <r>
    <x v="1151"/>
    <x v="1152"/>
    <x v="8"/>
    <x v="7"/>
    <x v="11"/>
    <x v="31"/>
    <x v="26"/>
    <x v="1"/>
    <x v="5"/>
    <x v="41"/>
    <x v="64"/>
    <x v="5"/>
    <x v="37"/>
    <x v="413"/>
    <x v="110"/>
    <x v="23"/>
    <x v="387"/>
    <x v="324"/>
    <x v="1151"/>
    <x v="67"/>
  </r>
  <r>
    <x v="1152"/>
    <x v="1153"/>
    <x v="7"/>
    <x v="7"/>
    <x v="17"/>
    <x v="11"/>
    <x v="26"/>
    <x v="1"/>
    <x v="5"/>
    <x v="25"/>
    <x v="64"/>
    <x v="5"/>
    <x v="37"/>
    <x v="264"/>
    <x v="99"/>
    <x v="9"/>
    <x v="246"/>
    <x v="566"/>
    <x v="1152"/>
    <x v="67"/>
  </r>
  <r>
    <x v="1153"/>
    <x v="1154"/>
    <x v="534"/>
    <x v="8"/>
    <x v="1"/>
    <x v="34"/>
    <x v="1"/>
    <x v="9"/>
    <x v="4"/>
    <x v="88"/>
    <x v="63"/>
    <x v="17"/>
    <x v="2"/>
    <x v="695"/>
    <x v="134"/>
    <x v="20"/>
    <x v="666"/>
    <x v="873"/>
    <x v="1153"/>
    <x v="67"/>
  </r>
  <r>
    <x v="1154"/>
    <x v="1155"/>
    <x v="535"/>
    <x v="8"/>
    <x v="47"/>
    <x v="19"/>
    <x v="1"/>
    <x v="9"/>
    <x v="4"/>
    <x v="88"/>
    <x v="63"/>
    <x v="14"/>
    <x v="2"/>
    <x v="478"/>
    <x v="234"/>
    <x v="16"/>
    <x v="322"/>
    <x v="433"/>
    <x v="1154"/>
    <x v="67"/>
  </r>
  <r>
    <x v="1155"/>
    <x v="1156"/>
    <x v="536"/>
    <x v="8"/>
    <x v="6"/>
    <x v="22"/>
    <x v="1"/>
    <x v="9"/>
    <x v="4"/>
    <x v="88"/>
    <x v="63"/>
    <x v="14"/>
    <x v="2"/>
    <x v="461"/>
    <x v="240"/>
    <x v="22"/>
    <x v="299"/>
    <x v="280"/>
    <x v="1155"/>
    <x v="67"/>
  </r>
  <r>
    <x v="1156"/>
    <x v="1157"/>
    <x v="93"/>
    <x v="5"/>
    <x v="5"/>
    <x v="20"/>
    <x v="23"/>
    <x v="9"/>
    <x v="7"/>
    <x v="88"/>
    <x v="64"/>
    <x v="15"/>
    <x v="24"/>
    <x v="645"/>
    <x v="240"/>
    <x v="8"/>
    <x v="527"/>
    <x v="1057"/>
    <x v="1156"/>
    <x v="67"/>
  </r>
  <r>
    <x v="1157"/>
    <x v="1158"/>
    <x v="96"/>
    <x v="5"/>
    <x v="41"/>
    <x v="23"/>
    <x v="22"/>
    <x v="9"/>
    <x v="7"/>
    <x v="88"/>
    <x v="64"/>
    <x v="10"/>
    <x v="23"/>
    <x v="605"/>
    <x v="72"/>
    <x v="19"/>
    <x v="614"/>
    <x v="765"/>
    <x v="1157"/>
    <x v="67"/>
  </r>
  <r>
    <x v="1158"/>
    <x v="1159"/>
    <x v="537"/>
    <x v="8"/>
    <x v="12"/>
    <x v="17"/>
    <x v="1"/>
    <x v="9"/>
    <x v="4"/>
    <x v="88"/>
    <x v="64"/>
    <x v="19"/>
    <x v="2"/>
    <x v="793"/>
    <x v="184"/>
    <x v="11"/>
    <x v="753"/>
    <x v="1293"/>
    <x v="1158"/>
    <x v="67"/>
  </r>
  <r>
    <x v="1159"/>
    <x v="1160"/>
    <x v="538"/>
    <x v="8"/>
    <x v="39"/>
    <x v="39"/>
    <x v="1"/>
    <x v="9"/>
    <x v="4"/>
    <x v="88"/>
    <x v="64"/>
    <x v="16"/>
    <x v="2"/>
    <x v="650"/>
    <x v="174"/>
    <x v="4"/>
    <x v="598"/>
    <x v="1204"/>
    <x v="1159"/>
    <x v="67"/>
  </r>
  <r>
    <x v="1160"/>
    <x v="1151"/>
    <x v="6"/>
    <x v="7"/>
    <x v="9"/>
    <x v="41"/>
    <x v="26"/>
    <x v="9"/>
    <x v="5"/>
    <x v="56"/>
    <x v="63"/>
    <x v="29"/>
    <x v="37"/>
    <x v="698"/>
    <x v="259"/>
    <x v="3"/>
    <x v="558"/>
    <x v="1194"/>
    <x v="1160"/>
    <x v="67"/>
  </r>
  <r>
    <x v="1161"/>
    <x v="1161"/>
    <x v="94"/>
    <x v="5"/>
    <x v="43"/>
    <x v="28"/>
    <x v="14"/>
    <x v="9"/>
    <x v="7"/>
    <x v="88"/>
    <x v="64"/>
    <x v="10"/>
    <x v="15"/>
    <x v="407"/>
    <x v="67"/>
    <x v="12"/>
    <x v="422"/>
    <x v="737"/>
    <x v="1161"/>
    <x v="67"/>
  </r>
  <r>
    <x v="1162"/>
    <x v="1162"/>
    <x v="540"/>
    <x v="8"/>
    <x v="36"/>
    <x v="29"/>
    <x v="1"/>
    <x v="9"/>
    <x v="4"/>
    <x v="88"/>
    <x v="64"/>
    <x v="16"/>
    <x v="2"/>
    <x v="648"/>
    <x v="200"/>
    <x v="8"/>
    <x v="573"/>
    <x v="1116"/>
    <x v="1162"/>
    <x v="67"/>
  </r>
  <r>
    <x v="1163"/>
    <x v="1163"/>
    <x v="539"/>
    <x v="8"/>
    <x v="10"/>
    <x v="27"/>
    <x v="1"/>
    <x v="9"/>
    <x v="4"/>
    <x v="88"/>
    <x v="64"/>
    <x v="15"/>
    <x v="2"/>
    <x v="538"/>
    <x v="94"/>
    <x v="21"/>
    <x v="527"/>
    <x v="523"/>
    <x v="1163"/>
    <x v="67"/>
  </r>
  <r>
    <x v="1164"/>
    <x v="1164"/>
    <x v="95"/>
    <x v="5"/>
    <x v="4"/>
    <x v="2"/>
    <x v="16"/>
    <x v="9"/>
    <x v="7"/>
    <x v="88"/>
    <x v="64"/>
    <x v="9"/>
    <x v="17"/>
    <x v="125"/>
    <x v="5"/>
    <x v="17"/>
    <x v="167"/>
    <x v="267"/>
    <x v="1164"/>
    <x v="67"/>
  </r>
  <r>
    <x v="1165"/>
    <x v="1165"/>
    <x v="541"/>
    <x v="8"/>
    <x v="23"/>
    <x v="45"/>
    <x v="1"/>
    <x v="9"/>
    <x v="4"/>
    <x v="88"/>
    <x v="64"/>
    <x v="15"/>
    <x v="2"/>
    <x v="476"/>
    <x v="113"/>
    <x v="11"/>
    <x v="445"/>
    <x v="833"/>
    <x v="1165"/>
    <x v="67"/>
  </r>
  <r>
    <x v="1166"/>
    <x v="1166"/>
    <x v="543"/>
    <x v="8"/>
    <x v="42"/>
    <x v="5"/>
    <x v="1"/>
    <x v="9"/>
    <x v="4"/>
    <x v="88"/>
    <x v="64"/>
    <x v="14"/>
    <x v="2"/>
    <x v="395"/>
    <x v="111"/>
    <x v="25"/>
    <x v="371"/>
    <x v="270"/>
    <x v="1166"/>
    <x v="68"/>
  </r>
  <r>
    <x v="1167"/>
    <x v="1167"/>
    <x v="544"/>
    <x v="8"/>
    <x v="31"/>
    <x v="40"/>
    <x v="1"/>
    <x v="9"/>
    <x v="4"/>
    <x v="88"/>
    <x v="64"/>
    <x v="8"/>
    <x v="2"/>
    <x v="122"/>
    <x v="303"/>
    <x v="15"/>
    <x v="34"/>
    <x v="63"/>
    <x v="1167"/>
    <x v="68"/>
  </r>
  <r>
    <x v="1168"/>
    <x v="1168"/>
    <x v="542"/>
    <x v="8"/>
    <x v="37"/>
    <x v="7"/>
    <x v="3"/>
    <x v="1"/>
    <x v="4"/>
    <x v="88"/>
    <x v="64"/>
    <x v="9"/>
    <x v="4"/>
    <x v="11"/>
    <x v="37"/>
    <x v="23"/>
    <x v="14"/>
    <x v="14"/>
    <x v="1168"/>
    <x v="68"/>
  </r>
  <r>
    <x v="1169"/>
    <x v="1169"/>
    <x v="99"/>
    <x v="5"/>
    <x v="34"/>
    <x v="6"/>
    <x v="23"/>
    <x v="9"/>
    <x v="7"/>
    <x v="88"/>
    <x v="65"/>
    <x v="14"/>
    <x v="24"/>
    <x v="412"/>
    <x v="131"/>
    <x v="4"/>
    <x v="368"/>
    <x v="948"/>
    <x v="1169"/>
    <x v="68"/>
  </r>
  <r>
    <x v="1170"/>
    <x v="1170"/>
    <x v="102"/>
    <x v="5"/>
    <x v="14"/>
    <x v="3"/>
    <x v="23"/>
    <x v="9"/>
    <x v="7"/>
    <x v="88"/>
    <x v="65"/>
    <x v="14"/>
    <x v="24"/>
    <x v="458"/>
    <x v="122"/>
    <x v="6"/>
    <x v="422"/>
    <x v="992"/>
    <x v="1170"/>
    <x v="68"/>
  </r>
  <r>
    <x v="1171"/>
    <x v="1171"/>
    <x v="100"/>
    <x v="5"/>
    <x v="16"/>
    <x v="35"/>
    <x v="23"/>
    <x v="9"/>
    <x v="7"/>
    <x v="88"/>
    <x v="65"/>
    <x v="12"/>
    <x v="24"/>
    <x v="136"/>
    <x v="66"/>
    <x v="6"/>
    <x v="134"/>
    <x v="448"/>
    <x v="1171"/>
    <x v="68"/>
  </r>
  <r>
    <x v="1172"/>
    <x v="1172"/>
    <x v="97"/>
    <x v="5"/>
    <x v="33"/>
    <x v="26"/>
    <x v="23"/>
    <x v="9"/>
    <x v="7"/>
    <x v="88"/>
    <x v="65"/>
    <x v="19"/>
    <x v="24"/>
    <x v="790"/>
    <x v="188"/>
    <x v="6"/>
    <x v="752"/>
    <x v="1326"/>
    <x v="1172"/>
    <x v="68"/>
  </r>
  <r>
    <x v="1173"/>
    <x v="1173"/>
    <x v="104"/>
    <x v="5"/>
    <x v="24"/>
    <x v="37"/>
    <x v="23"/>
    <x v="9"/>
    <x v="7"/>
    <x v="88"/>
    <x v="65"/>
    <x v="16"/>
    <x v="24"/>
    <x v="646"/>
    <x v="115"/>
    <x v="7"/>
    <x v="630"/>
    <x v="1203"/>
    <x v="1173"/>
    <x v="68"/>
  </r>
  <r>
    <x v="1174"/>
    <x v="1174"/>
    <x v="103"/>
    <x v="5"/>
    <x v="5"/>
    <x v="20"/>
    <x v="23"/>
    <x v="9"/>
    <x v="7"/>
    <x v="88"/>
    <x v="65"/>
    <x v="15"/>
    <x v="24"/>
    <x v="669"/>
    <x v="238"/>
    <x v="8"/>
    <x v="569"/>
    <x v="1112"/>
    <x v="1174"/>
    <x v="68"/>
  </r>
  <r>
    <x v="1175"/>
    <x v="1175"/>
    <x v="105"/>
    <x v="5"/>
    <x v="29"/>
    <x v="15"/>
    <x v="23"/>
    <x v="9"/>
    <x v="7"/>
    <x v="88"/>
    <x v="65"/>
    <x v="17"/>
    <x v="24"/>
    <x v="705"/>
    <x v="135"/>
    <x v="3"/>
    <x v="675"/>
    <x v="1269"/>
    <x v="1175"/>
    <x v="68"/>
  </r>
  <r>
    <x v="1176"/>
    <x v="1176"/>
    <x v="106"/>
    <x v="5"/>
    <x v="46"/>
    <x v="32"/>
    <x v="23"/>
    <x v="9"/>
    <x v="7"/>
    <x v="88"/>
    <x v="65"/>
    <x v="18"/>
    <x v="24"/>
    <x v="754"/>
    <x v="121"/>
    <x v="4"/>
    <x v="724"/>
    <x v="1306"/>
    <x v="1176"/>
    <x v="68"/>
  </r>
  <r>
    <x v="1177"/>
    <x v="1177"/>
    <x v="101"/>
    <x v="5"/>
    <x v="28"/>
    <x v="33"/>
    <x v="23"/>
    <x v="9"/>
    <x v="7"/>
    <x v="88"/>
    <x v="65"/>
    <x v="25"/>
    <x v="24"/>
    <x v="922"/>
    <x v="361"/>
    <x v="9"/>
    <x v="832"/>
    <x v="1386"/>
    <x v="1177"/>
    <x v="68"/>
  </r>
  <r>
    <x v="1178"/>
    <x v="1178"/>
    <x v="107"/>
    <x v="5"/>
    <x v="41"/>
    <x v="23"/>
    <x v="23"/>
    <x v="9"/>
    <x v="7"/>
    <x v="88"/>
    <x v="65"/>
    <x v="17"/>
    <x v="24"/>
    <x v="676"/>
    <x v="55"/>
    <x v="12"/>
    <x v="684"/>
    <x v="1184"/>
    <x v="1178"/>
    <x v="68"/>
  </r>
  <r>
    <x v="1179"/>
    <x v="1179"/>
    <x v="110"/>
    <x v="5"/>
    <x v="30"/>
    <x v="30"/>
    <x v="23"/>
    <x v="9"/>
    <x v="7"/>
    <x v="88"/>
    <x v="65"/>
    <x v="14"/>
    <x v="24"/>
    <x v="448"/>
    <x v="99"/>
    <x v="7"/>
    <x v="433"/>
    <x v="977"/>
    <x v="1179"/>
    <x v="69"/>
  </r>
  <r>
    <x v="1180"/>
    <x v="1180"/>
    <x v="109"/>
    <x v="5"/>
    <x v="12"/>
    <x v="17"/>
    <x v="23"/>
    <x v="9"/>
    <x v="7"/>
    <x v="88"/>
    <x v="65"/>
    <x v="19"/>
    <x v="24"/>
    <x v="804"/>
    <x v="202"/>
    <x v="3"/>
    <x v="764"/>
    <x v="1342"/>
    <x v="1180"/>
    <x v="69"/>
  </r>
  <r>
    <x v="1181"/>
    <x v="1181"/>
    <x v="98"/>
    <x v="5"/>
    <x v="27"/>
    <x v="46"/>
    <x v="23"/>
    <x v="9"/>
    <x v="7"/>
    <x v="88"/>
    <x v="65"/>
    <x v="26"/>
    <x v="24"/>
    <x v="923"/>
    <x v="334"/>
    <x v="8"/>
    <x v="852"/>
    <x v="1403"/>
    <x v="1181"/>
    <x v="69"/>
  </r>
  <r>
    <x v="1182"/>
    <x v="1182"/>
    <x v="111"/>
    <x v="5"/>
    <x v="0"/>
    <x v="36"/>
    <x v="14"/>
    <x v="9"/>
    <x v="7"/>
    <x v="88"/>
    <x v="65"/>
    <x v="9"/>
    <x v="15"/>
    <x v="212"/>
    <x v="113"/>
    <x v="35"/>
    <x v="180"/>
    <x v="77"/>
    <x v="1182"/>
    <x v="69"/>
  </r>
  <r>
    <x v="1183"/>
    <x v="1183"/>
    <x v="108"/>
    <x v="5"/>
    <x v="2"/>
    <x v="18"/>
    <x v="14"/>
    <x v="9"/>
    <x v="7"/>
    <x v="88"/>
    <x v="65"/>
    <x v="18"/>
    <x v="15"/>
    <x v="917"/>
    <x v="381"/>
    <x v="19"/>
    <x v="820"/>
    <x v="1358"/>
    <x v="1183"/>
    <x v="69"/>
  </r>
  <r>
    <x v="1184"/>
    <x v="1184"/>
    <x v="112"/>
    <x v="5"/>
    <x v="38"/>
    <x v="12"/>
    <x v="14"/>
    <x v="9"/>
    <x v="7"/>
    <x v="88"/>
    <x v="65"/>
    <x v="11"/>
    <x v="15"/>
    <x v="512"/>
    <x v="94"/>
    <x v="14"/>
    <x v="496"/>
    <x v="783"/>
    <x v="1184"/>
    <x v="69"/>
  </r>
  <r>
    <x v="1185"/>
    <x v="1185"/>
    <x v="113"/>
    <x v="5"/>
    <x v="45"/>
    <x v="0"/>
    <x v="14"/>
    <x v="9"/>
    <x v="7"/>
    <x v="88"/>
    <x v="65"/>
    <x v="9"/>
    <x v="15"/>
    <x v="195"/>
    <x v="89"/>
    <x v="26"/>
    <x v="176"/>
    <x v="152"/>
    <x v="1185"/>
    <x v="69"/>
  </r>
  <r>
    <x v="1186"/>
    <x v="1186"/>
    <x v="114"/>
    <x v="5"/>
    <x v="39"/>
    <x v="39"/>
    <x v="14"/>
    <x v="9"/>
    <x v="7"/>
    <x v="88"/>
    <x v="65"/>
    <x v="11"/>
    <x v="15"/>
    <x v="600"/>
    <x v="186"/>
    <x v="8"/>
    <x v="518"/>
    <x v="1045"/>
    <x v="1186"/>
    <x v="69"/>
  </r>
  <r>
    <x v="1187"/>
    <x v="1187"/>
    <x v="115"/>
    <x v="5"/>
    <x v="32"/>
    <x v="25"/>
    <x v="14"/>
    <x v="9"/>
    <x v="7"/>
    <x v="88"/>
    <x v="65"/>
    <x v="12"/>
    <x v="15"/>
    <x v="794"/>
    <x v="281"/>
    <x v="12"/>
    <x v="688"/>
    <x v="1192"/>
    <x v="1187"/>
    <x v="69"/>
  </r>
  <r>
    <x v="1188"/>
    <x v="1188"/>
    <x v="117"/>
    <x v="5"/>
    <x v="3"/>
    <x v="10"/>
    <x v="14"/>
    <x v="9"/>
    <x v="7"/>
    <x v="88"/>
    <x v="65"/>
    <x v="9"/>
    <x v="15"/>
    <x v="142"/>
    <x v="23"/>
    <x v="8"/>
    <x v="176"/>
    <x v="473"/>
    <x v="1188"/>
    <x v="69"/>
  </r>
  <r>
    <x v="1189"/>
    <x v="1189"/>
    <x v="116"/>
    <x v="5"/>
    <x v="22"/>
    <x v="13"/>
    <x v="14"/>
    <x v="9"/>
    <x v="7"/>
    <x v="88"/>
    <x v="65"/>
    <x v="13"/>
    <x v="15"/>
    <x v="789"/>
    <x v="268"/>
    <x v="13"/>
    <x v="718"/>
    <x v="1220"/>
    <x v="1189"/>
    <x v="69"/>
  </r>
  <r>
    <x v="1190"/>
    <x v="1190"/>
    <x v="118"/>
    <x v="5"/>
    <x v="43"/>
    <x v="28"/>
    <x v="14"/>
    <x v="9"/>
    <x v="7"/>
    <x v="88"/>
    <x v="66"/>
    <x v="11"/>
    <x v="15"/>
    <x v="433"/>
    <x v="66"/>
    <x v="6"/>
    <x v="446"/>
    <x v="1023"/>
    <x v="1190"/>
    <x v="69"/>
  </r>
  <r>
    <x v="1191"/>
    <x v="1191"/>
    <x v="119"/>
    <x v="5"/>
    <x v="26"/>
    <x v="16"/>
    <x v="14"/>
    <x v="9"/>
    <x v="7"/>
    <x v="88"/>
    <x v="66"/>
    <x v="11"/>
    <x v="15"/>
    <x v="493"/>
    <x v="74"/>
    <x v="10"/>
    <x v="495"/>
    <x v="959"/>
    <x v="1191"/>
    <x v="69"/>
  </r>
  <r>
    <x v="1192"/>
    <x v="1192"/>
    <x v="120"/>
    <x v="5"/>
    <x v="13"/>
    <x v="44"/>
    <x v="14"/>
    <x v="9"/>
    <x v="7"/>
    <x v="88"/>
    <x v="66"/>
    <x v="10"/>
    <x v="15"/>
    <x v="420"/>
    <x v="131"/>
    <x v="8"/>
    <x v="376"/>
    <x v="842"/>
    <x v="1192"/>
    <x v="69"/>
  </r>
  <r>
    <x v="1193"/>
    <x v="1193"/>
    <x v="121"/>
    <x v="5"/>
    <x v="36"/>
    <x v="29"/>
    <x v="14"/>
    <x v="9"/>
    <x v="7"/>
    <x v="88"/>
    <x v="66"/>
    <x v="11"/>
    <x v="15"/>
    <x v="662"/>
    <x v="211"/>
    <x v="10"/>
    <x v="585"/>
    <x v="1068"/>
    <x v="1193"/>
    <x v="69"/>
  </r>
  <r>
    <x v="1194"/>
    <x v="1194"/>
    <x v="122"/>
    <x v="5"/>
    <x v="10"/>
    <x v="27"/>
    <x v="14"/>
    <x v="9"/>
    <x v="7"/>
    <x v="88"/>
    <x v="67"/>
    <x v="11"/>
    <x v="15"/>
    <x v="490"/>
    <x v="112"/>
    <x v="7"/>
    <x v="460"/>
    <x v="1010"/>
    <x v="1194"/>
    <x v="69"/>
  </r>
  <r>
    <x v="1195"/>
    <x v="1195"/>
    <x v="123"/>
    <x v="5"/>
    <x v="4"/>
    <x v="2"/>
    <x v="14"/>
    <x v="9"/>
    <x v="7"/>
    <x v="88"/>
    <x v="67"/>
    <x v="9"/>
    <x v="15"/>
    <x v="89"/>
    <x v="16"/>
    <x v="8"/>
    <x v="115"/>
    <x v="380"/>
    <x v="1195"/>
    <x v="69"/>
  </r>
  <r>
    <x v="1196"/>
    <x v="1196"/>
    <x v="124"/>
    <x v="5"/>
    <x v="23"/>
    <x v="45"/>
    <x v="14"/>
    <x v="9"/>
    <x v="7"/>
    <x v="88"/>
    <x v="66"/>
    <x v="10"/>
    <x v="15"/>
    <x v="384"/>
    <x v="129"/>
    <x v="14"/>
    <x v="346"/>
    <x v="537"/>
    <x v="1196"/>
    <x v="69"/>
  </r>
  <r>
    <x v="1197"/>
    <x v="1197"/>
    <x v="125"/>
    <x v="5"/>
    <x v="31"/>
    <x v="40"/>
    <x v="14"/>
    <x v="9"/>
    <x v="7"/>
    <x v="88"/>
    <x v="66"/>
    <x v="12"/>
    <x v="15"/>
    <x v="795"/>
    <x v="311"/>
    <x v="24"/>
    <x v="656"/>
    <x v="640"/>
    <x v="1197"/>
    <x v="69"/>
  </r>
  <r>
    <x v="1198"/>
    <x v="1198"/>
    <x v="126"/>
    <x v="5"/>
    <x v="42"/>
    <x v="5"/>
    <x v="14"/>
    <x v="9"/>
    <x v="7"/>
    <x v="88"/>
    <x v="66"/>
    <x v="9"/>
    <x v="15"/>
    <x v="278"/>
    <x v="122"/>
    <x v="10"/>
    <x v="243"/>
    <x v="522"/>
    <x v="1198"/>
    <x v="69"/>
  </r>
  <r>
    <x v="1199"/>
    <x v="1199"/>
    <x v="127"/>
    <x v="5"/>
    <x v="34"/>
    <x v="6"/>
    <x v="14"/>
    <x v="9"/>
    <x v="7"/>
    <x v="88"/>
    <x v="66"/>
    <x v="10"/>
    <x v="15"/>
    <x v="303"/>
    <x v="134"/>
    <x v="17"/>
    <x v="258"/>
    <x v="357"/>
    <x v="1199"/>
    <x v="70"/>
  </r>
  <r>
    <x v="1200"/>
    <x v="1200"/>
    <x v="128"/>
    <x v="5"/>
    <x v="33"/>
    <x v="26"/>
    <x v="14"/>
    <x v="9"/>
    <x v="7"/>
    <x v="88"/>
    <x v="67"/>
    <x v="11"/>
    <x v="15"/>
    <x v="664"/>
    <x v="210"/>
    <x v="11"/>
    <x v="590"/>
    <x v="1043"/>
    <x v="1200"/>
    <x v="70"/>
  </r>
  <r>
    <x v="1201"/>
    <x v="1201"/>
    <x v="129"/>
    <x v="5"/>
    <x v="24"/>
    <x v="37"/>
    <x v="14"/>
    <x v="9"/>
    <x v="7"/>
    <x v="88"/>
    <x v="66"/>
    <x v="11"/>
    <x v="15"/>
    <x v="537"/>
    <x v="122"/>
    <x v="4"/>
    <x v="500"/>
    <x v="1117"/>
    <x v="1201"/>
    <x v="70"/>
  </r>
  <r>
    <x v="1202"/>
    <x v="1202"/>
    <x v="130"/>
    <x v="5"/>
    <x v="29"/>
    <x v="15"/>
    <x v="14"/>
    <x v="9"/>
    <x v="7"/>
    <x v="88"/>
    <x v="66"/>
    <x v="11"/>
    <x v="15"/>
    <x v="633"/>
    <x v="136"/>
    <x v="10"/>
    <x v="606"/>
    <x v="1102"/>
    <x v="1202"/>
    <x v="70"/>
  </r>
  <r>
    <x v="1203"/>
    <x v="1203"/>
    <x v="131"/>
    <x v="5"/>
    <x v="46"/>
    <x v="32"/>
    <x v="14"/>
    <x v="9"/>
    <x v="7"/>
    <x v="88"/>
    <x v="66"/>
    <x v="12"/>
    <x v="15"/>
    <x v="654"/>
    <x v="134"/>
    <x v="15"/>
    <x v="630"/>
    <x v="993"/>
    <x v="1203"/>
    <x v="70"/>
  </r>
  <r>
    <x v="1204"/>
    <x v="1204"/>
    <x v="132"/>
    <x v="5"/>
    <x v="41"/>
    <x v="23"/>
    <x v="14"/>
    <x v="9"/>
    <x v="7"/>
    <x v="88"/>
    <x v="66"/>
    <x v="12"/>
    <x v="15"/>
    <x v="611"/>
    <x v="69"/>
    <x v="3"/>
    <x v="621"/>
    <x v="1234"/>
    <x v="1204"/>
    <x v="70"/>
  </r>
  <r>
    <x v="1205"/>
    <x v="1205"/>
    <x v="133"/>
    <x v="5"/>
    <x v="30"/>
    <x v="30"/>
    <x v="14"/>
    <x v="9"/>
    <x v="7"/>
    <x v="88"/>
    <x v="66"/>
    <x v="10"/>
    <x v="15"/>
    <x v="425"/>
    <x v="99"/>
    <x v="16"/>
    <x v="410"/>
    <x v="554"/>
    <x v="1205"/>
    <x v="70"/>
  </r>
  <r>
    <x v="1206"/>
    <x v="1206"/>
    <x v="134"/>
    <x v="5"/>
    <x v="12"/>
    <x v="17"/>
    <x v="14"/>
    <x v="9"/>
    <x v="7"/>
    <x v="88"/>
    <x v="66"/>
    <x v="13"/>
    <x v="15"/>
    <x v="786"/>
    <x v="206"/>
    <x v="9"/>
    <x v="744"/>
    <x v="1295"/>
    <x v="1206"/>
    <x v="70"/>
  </r>
  <r>
    <x v="1207"/>
    <x v="1207"/>
    <x v="136"/>
    <x v="5"/>
    <x v="0"/>
    <x v="36"/>
    <x v="14"/>
    <x v="9"/>
    <x v="7"/>
    <x v="88"/>
    <x v="66"/>
    <x v="9"/>
    <x v="15"/>
    <x v="248"/>
    <x v="110"/>
    <x v="8"/>
    <x v="221"/>
    <x v="556"/>
    <x v="1207"/>
    <x v="70"/>
  </r>
  <r>
    <x v="1208"/>
    <x v="1208"/>
    <x v="138"/>
    <x v="5"/>
    <x v="39"/>
    <x v="39"/>
    <x v="14"/>
    <x v="9"/>
    <x v="7"/>
    <x v="88"/>
    <x v="66"/>
    <x v="10"/>
    <x v="15"/>
    <x v="432"/>
    <x v="191"/>
    <x v="13"/>
    <x v="329"/>
    <x v="549"/>
    <x v="1208"/>
    <x v="70"/>
  </r>
  <r>
    <x v="1209"/>
    <x v="1209"/>
    <x v="137"/>
    <x v="5"/>
    <x v="2"/>
    <x v="18"/>
    <x v="14"/>
    <x v="9"/>
    <x v="7"/>
    <x v="88"/>
    <x v="66"/>
    <x v="15"/>
    <x v="15"/>
    <x v="882"/>
    <x v="387"/>
    <x v="18"/>
    <x v="797"/>
    <x v="1310"/>
    <x v="1209"/>
    <x v="70"/>
  </r>
  <r>
    <x v="1210"/>
    <x v="1210"/>
    <x v="135"/>
    <x v="5"/>
    <x v="27"/>
    <x v="46"/>
    <x v="14"/>
    <x v="9"/>
    <x v="7"/>
    <x v="88"/>
    <x v="66"/>
    <x v="16"/>
    <x v="15"/>
    <x v="874"/>
    <x v="340"/>
    <x v="11"/>
    <x v="800"/>
    <x v="1356"/>
    <x v="1210"/>
    <x v="70"/>
  </r>
  <r>
    <x v="1211"/>
    <x v="1211"/>
    <x v="139"/>
    <x v="5"/>
    <x v="35"/>
    <x v="1"/>
    <x v="14"/>
    <x v="9"/>
    <x v="7"/>
    <x v="88"/>
    <x v="66"/>
    <x v="11"/>
    <x v="15"/>
    <x v="581"/>
    <x v="111"/>
    <x v="13"/>
    <x v="563"/>
    <x v="939"/>
    <x v="1211"/>
    <x v="70"/>
  </r>
  <r>
    <x v="1212"/>
    <x v="1212"/>
    <x v="140"/>
    <x v="5"/>
    <x v="38"/>
    <x v="12"/>
    <x v="14"/>
    <x v="9"/>
    <x v="7"/>
    <x v="88"/>
    <x v="66"/>
    <x v="10"/>
    <x v="15"/>
    <x v="433"/>
    <x v="99"/>
    <x v="15"/>
    <x v="419"/>
    <x v="612"/>
    <x v="1212"/>
    <x v="70"/>
  </r>
  <r>
    <x v="1213"/>
    <x v="1213"/>
    <x v="141"/>
    <x v="5"/>
    <x v="21"/>
    <x v="4"/>
    <x v="14"/>
    <x v="9"/>
    <x v="7"/>
    <x v="88"/>
    <x v="66"/>
    <x v="10"/>
    <x v="15"/>
    <x v="459"/>
    <x v="148"/>
    <x v="16"/>
    <x v="397"/>
    <x v="540"/>
    <x v="1213"/>
    <x v="70"/>
  </r>
  <r>
    <x v="1214"/>
    <x v="1214"/>
    <x v="142"/>
    <x v="5"/>
    <x v="45"/>
    <x v="0"/>
    <x v="14"/>
    <x v="9"/>
    <x v="7"/>
    <x v="88"/>
    <x v="66"/>
    <x v="10"/>
    <x v="15"/>
    <x v="285"/>
    <x v="95"/>
    <x v="11"/>
    <x v="276"/>
    <x v="544"/>
    <x v="1214"/>
    <x v="70"/>
  </r>
  <r>
    <x v="1215"/>
    <x v="1215"/>
    <x v="143"/>
    <x v="5"/>
    <x v="14"/>
    <x v="3"/>
    <x v="14"/>
    <x v="9"/>
    <x v="7"/>
    <x v="88"/>
    <x v="67"/>
    <x v="10"/>
    <x v="15"/>
    <x v="347"/>
    <x v="120"/>
    <x v="14"/>
    <x v="316"/>
    <x v="493"/>
    <x v="1215"/>
    <x v="70"/>
  </r>
  <r>
    <x v="1216"/>
    <x v="1216"/>
    <x v="145"/>
    <x v="5"/>
    <x v="43"/>
    <x v="28"/>
    <x v="14"/>
    <x v="9"/>
    <x v="7"/>
    <x v="88"/>
    <x v="67"/>
    <x v="10"/>
    <x v="15"/>
    <x v="322"/>
    <x v="83"/>
    <x v="19"/>
    <x v="325"/>
    <x v="367"/>
    <x v="1216"/>
    <x v="70"/>
  </r>
  <r>
    <x v="1217"/>
    <x v="1217"/>
    <x v="146"/>
    <x v="5"/>
    <x v="36"/>
    <x v="29"/>
    <x v="14"/>
    <x v="9"/>
    <x v="7"/>
    <x v="88"/>
    <x v="67"/>
    <x v="10"/>
    <x v="15"/>
    <x v="483"/>
    <x v="215"/>
    <x v="9"/>
    <x v="349"/>
    <x v="736"/>
    <x v="1217"/>
    <x v="70"/>
  </r>
  <r>
    <x v="1218"/>
    <x v="1218"/>
    <x v="147"/>
    <x v="5"/>
    <x v="26"/>
    <x v="16"/>
    <x v="14"/>
    <x v="9"/>
    <x v="7"/>
    <x v="88"/>
    <x v="67"/>
    <x v="11"/>
    <x v="15"/>
    <x v="374"/>
    <x v="80"/>
    <x v="20"/>
    <x v="379"/>
    <x v="390"/>
    <x v="1218"/>
    <x v="70"/>
  </r>
  <r>
    <x v="1219"/>
    <x v="1219"/>
    <x v="144"/>
    <x v="5"/>
    <x v="28"/>
    <x v="33"/>
    <x v="16"/>
    <x v="9"/>
    <x v="7"/>
    <x v="88"/>
    <x v="66"/>
    <x v="17"/>
    <x v="17"/>
    <x v="890"/>
    <x v="365"/>
    <x v="17"/>
    <x v="804"/>
    <x v="1350"/>
    <x v="1219"/>
    <x v="70"/>
  </r>
  <r>
    <x v="1220"/>
    <x v="1220"/>
    <x v="149"/>
    <x v="5"/>
    <x v="16"/>
    <x v="35"/>
    <x v="16"/>
    <x v="9"/>
    <x v="7"/>
    <x v="88"/>
    <x v="66"/>
    <x v="8"/>
    <x v="17"/>
    <x v="96"/>
    <x v="87"/>
    <x v="17"/>
    <x v="89"/>
    <x v="181"/>
    <x v="1220"/>
    <x v="70"/>
  </r>
  <r>
    <x v="1221"/>
    <x v="1221"/>
    <x v="150"/>
    <x v="5"/>
    <x v="4"/>
    <x v="2"/>
    <x v="16"/>
    <x v="9"/>
    <x v="7"/>
    <x v="88"/>
    <x v="66"/>
    <x v="9"/>
    <x v="17"/>
    <x v="178"/>
    <x v="33"/>
    <x v="3"/>
    <x v="202"/>
    <x v="669"/>
    <x v="1221"/>
    <x v="70"/>
  </r>
  <r>
    <x v="1222"/>
    <x v="1222"/>
    <x v="148"/>
    <x v="5"/>
    <x v="10"/>
    <x v="27"/>
    <x v="16"/>
    <x v="9"/>
    <x v="7"/>
    <x v="88"/>
    <x v="67"/>
    <x v="10"/>
    <x v="17"/>
    <x v="402"/>
    <x v="119"/>
    <x v="3"/>
    <x v="370"/>
    <x v="988"/>
    <x v="1222"/>
    <x v="70"/>
  </r>
  <r>
    <x v="1223"/>
    <x v="1223"/>
    <x v="152"/>
    <x v="5"/>
    <x v="42"/>
    <x v="5"/>
    <x v="16"/>
    <x v="9"/>
    <x v="7"/>
    <x v="88"/>
    <x v="67"/>
    <x v="10"/>
    <x v="17"/>
    <x v="404"/>
    <x v="137"/>
    <x v="9"/>
    <x v="356"/>
    <x v="749"/>
    <x v="1223"/>
    <x v="70"/>
  </r>
  <r>
    <x v="1224"/>
    <x v="1224"/>
    <x v="151"/>
    <x v="5"/>
    <x v="31"/>
    <x v="40"/>
    <x v="16"/>
    <x v="9"/>
    <x v="7"/>
    <x v="88"/>
    <x v="67"/>
    <x v="15"/>
    <x v="17"/>
    <x v="853"/>
    <x v="312"/>
    <x v="10"/>
    <x v="780"/>
    <x v="1335"/>
    <x v="1224"/>
    <x v="70"/>
  </r>
  <r>
    <x v="1225"/>
    <x v="1225"/>
    <x v="154"/>
    <x v="5"/>
    <x v="24"/>
    <x v="37"/>
    <x v="16"/>
    <x v="9"/>
    <x v="7"/>
    <x v="88"/>
    <x v="67"/>
    <x v="11"/>
    <x v="17"/>
    <x v="568"/>
    <x v="145"/>
    <x v="7"/>
    <x v="515"/>
    <x v="1076"/>
    <x v="1225"/>
    <x v="71"/>
  </r>
  <r>
    <x v="1226"/>
    <x v="1227"/>
    <x v="155"/>
    <x v="5"/>
    <x v="29"/>
    <x v="15"/>
    <x v="16"/>
    <x v="9"/>
    <x v="7"/>
    <x v="88"/>
    <x v="67"/>
    <x v="12"/>
    <x v="17"/>
    <x v="695"/>
    <x v="146"/>
    <x v="8"/>
    <x v="661"/>
    <x v="1218"/>
    <x v="1226"/>
    <x v="71"/>
  </r>
  <r>
    <x v="1227"/>
    <x v="1226"/>
    <x v="153"/>
    <x v="5"/>
    <x v="33"/>
    <x v="26"/>
    <x v="16"/>
    <x v="9"/>
    <x v="7"/>
    <x v="88"/>
    <x v="68"/>
    <x v="12"/>
    <x v="17"/>
    <x v="691"/>
    <x v="187"/>
    <x v="7"/>
    <x v="635"/>
    <x v="1206"/>
    <x v="1227"/>
    <x v="71"/>
  </r>
  <r>
    <x v="1228"/>
    <x v="1228"/>
    <x v="156"/>
    <x v="5"/>
    <x v="46"/>
    <x v="32"/>
    <x v="16"/>
    <x v="9"/>
    <x v="7"/>
    <x v="88"/>
    <x v="68"/>
    <x v="12"/>
    <x v="17"/>
    <x v="696"/>
    <x v="126"/>
    <x v="8"/>
    <x v="673"/>
    <x v="1229"/>
    <x v="1228"/>
    <x v="71"/>
  </r>
  <r>
    <x v="1229"/>
    <x v="1229"/>
    <x v="157"/>
    <x v="5"/>
    <x v="41"/>
    <x v="23"/>
    <x v="16"/>
    <x v="9"/>
    <x v="7"/>
    <x v="88"/>
    <x v="68"/>
    <x v="11"/>
    <x v="17"/>
    <x v="531"/>
    <x v="56"/>
    <x v="10"/>
    <x v="548"/>
    <x v="1028"/>
    <x v="1229"/>
    <x v="71"/>
  </r>
  <r>
    <x v="1230"/>
    <x v="1230"/>
    <x v="158"/>
    <x v="5"/>
    <x v="34"/>
    <x v="6"/>
    <x v="16"/>
    <x v="9"/>
    <x v="7"/>
    <x v="88"/>
    <x v="68"/>
    <x v="10"/>
    <x v="17"/>
    <x v="310"/>
    <x v="167"/>
    <x v="6"/>
    <x v="234"/>
    <x v="651"/>
    <x v="1230"/>
    <x v="71"/>
  </r>
  <r>
    <x v="1231"/>
    <x v="1231"/>
    <x v="159"/>
    <x v="5"/>
    <x v="32"/>
    <x v="25"/>
    <x v="16"/>
    <x v="9"/>
    <x v="7"/>
    <x v="88"/>
    <x v="67"/>
    <x v="14"/>
    <x v="17"/>
    <x v="826"/>
    <x v="279"/>
    <x v="3"/>
    <x v="756"/>
    <x v="1338"/>
    <x v="1231"/>
    <x v="71"/>
  </r>
  <r>
    <x v="1232"/>
    <x v="1232"/>
    <x v="160"/>
    <x v="5"/>
    <x v="30"/>
    <x v="30"/>
    <x v="16"/>
    <x v="9"/>
    <x v="7"/>
    <x v="88"/>
    <x v="67"/>
    <x v="11"/>
    <x v="17"/>
    <x v="468"/>
    <x v="116"/>
    <x v="6"/>
    <x v="436"/>
    <x v="1009"/>
    <x v="1232"/>
    <x v="71"/>
  </r>
  <r>
    <x v="1233"/>
    <x v="1233"/>
    <x v="161"/>
    <x v="5"/>
    <x v="0"/>
    <x v="36"/>
    <x v="16"/>
    <x v="9"/>
    <x v="7"/>
    <x v="88"/>
    <x v="67"/>
    <x v="10"/>
    <x v="17"/>
    <x v="314"/>
    <x v="123"/>
    <x v="8"/>
    <x v="280"/>
    <x v="654"/>
    <x v="1233"/>
    <x v="71"/>
  </r>
  <r>
    <x v="1234"/>
    <x v="1234"/>
    <x v="162"/>
    <x v="5"/>
    <x v="12"/>
    <x v="17"/>
    <x v="16"/>
    <x v="9"/>
    <x v="7"/>
    <x v="88"/>
    <x v="67"/>
    <x v="14"/>
    <x v="17"/>
    <x v="798"/>
    <x v="205"/>
    <x v="9"/>
    <x v="755"/>
    <x v="1315"/>
    <x v="1234"/>
    <x v="71"/>
  </r>
  <r>
    <x v="1235"/>
    <x v="1235"/>
    <x v="163"/>
    <x v="5"/>
    <x v="1"/>
    <x v="34"/>
    <x v="16"/>
    <x v="9"/>
    <x v="7"/>
    <x v="88"/>
    <x v="68"/>
    <x v="12"/>
    <x v="17"/>
    <x v="694"/>
    <x v="146"/>
    <x v="10"/>
    <x v="658"/>
    <x v="1189"/>
    <x v="1235"/>
    <x v="71"/>
  </r>
  <r>
    <x v="1236"/>
    <x v="1236"/>
    <x v="164"/>
    <x v="5"/>
    <x v="39"/>
    <x v="39"/>
    <x v="16"/>
    <x v="9"/>
    <x v="7"/>
    <x v="88"/>
    <x v="68"/>
    <x v="11"/>
    <x v="17"/>
    <x v="615"/>
    <x v="200"/>
    <x v="8"/>
    <x v="523"/>
    <x v="1050"/>
    <x v="1236"/>
    <x v="71"/>
  </r>
  <r>
    <x v="1237"/>
    <x v="1237"/>
    <x v="165"/>
    <x v="5"/>
    <x v="2"/>
    <x v="18"/>
    <x v="16"/>
    <x v="9"/>
    <x v="7"/>
    <x v="88"/>
    <x v="68"/>
    <x v="19"/>
    <x v="17"/>
    <x v="931"/>
    <x v="389"/>
    <x v="13"/>
    <x v="840"/>
    <x v="1377"/>
    <x v="1237"/>
    <x v="71"/>
  </r>
  <r>
    <x v="1238"/>
    <x v="1239"/>
    <x v="169"/>
    <x v="5"/>
    <x v="38"/>
    <x v="12"/>
    <x v="16"/>
    <x v="9"/>
    <x v="7"/>
    <x v="88"/>
    <x v="68"/>
    <x v="10"/>
    <x v="17"/>
    <x v="284"/>
    <x v="98"/>
    <x v="4"/>
    <x v="271"/>
    <x v="757"/>
    <x v="1238"/>
    <x v="71"/>
  </r>
  <r>
    <x v="1239"/>
    <x v="1240"/>
    <x v="167"/>
    <x v="5"/>
    <x v="27"/>
    <x v="46"/>
    <x v="16"/>
    <x v="9"/>
    <x v="7"/>
    <x v="88"/>
    <x v="68"/>
    <x v="18"/>
    <x v="17"/>
    <x v="893"/>
    <x v="337"/>
    <x v="15"/>
    <x v="836"/>
    <x v="1372"/>
    <x v="1239"/>
    <x v="71"/>
  </r>
  <r>
    <x v="1240"/>
    <x v="1241"/>
    <x v="170"/>
    <x v="5"/>
    <x v="45"/>
    <x v="0"/>
    <x v="16"/>
    <x v="9"/>
    <x v="7"/>
    <x v="88"/>
    <x v="68"/>
    <x v="9"/>
    <x v="17"/>
    <x v="214"/>
    <x v="98"/>
    <x v="4"/>
    <x v="191"/>
    <x v="614"/>
    <x v="1240"/>
    <x v="71"/>
  </r>
  <r>
    <x v="1241"/>
    <x v="1238"/>
    <x v="168"/>
    <x v="5"/>
    <x v="35"/>
    <x v="1"/>
    <x v="16"/>
    <x v="9"/>
    <x v="7"/>
    <x v="88"/>
    <x v="68"/>
    <x v="11"/>
    <x v="17"/>
    <x v="518"/>
    <x v="125"/>
    <x v="7"/>
    <x v="476"/>
    <x v="1030"/>
    <x v="1241"/>
    <x v="71"/>
  </r>
  <r>
    <x v="1242"/>
    <x v="1242"/>
    <x v="171"/>
    <x v="5"/>
    <x v="43"/>
    <x v="28"/>
    <x v="16"/>
    <x v="9"/>
    <x v="7"/>
    <x v="88"/>
    <x v="68"/>
    <x v="10"/>
    <x v="17"/>
    <x v="393"/>
    <x v="87"/>
    <x v="3"/>
    <x v="390"/>
    <x v="1012"/>
    <x v="1242"/>
    <x v="71"/>
  </r>
  <r>
    <x v="1243"/>
    <x v="1243"/>
    <x v="172"/>
    <x v="5"/>
    <x v="36"/>
    <x v="29"/>
    <x v="16"/>
    <x v="9"/>
    <x v="7"/>
    <x v="88"/>
    <x v="68"/>
    <x v="10"/>
    <x v="17"/>
    <x v="465"/>
    <x v="207"/>
    <x v="7"/>
    <x v="343"/>
    <x v="813"/>
    <x v="1243"/>
    <x v="72"/>
  </r>
  <r>
    <x v="1244"/>
    <x v="1244"/>
    <x v="173"/>
    <x v="5"/>
    <x v="26"/>
    <x v="16"/>
    <x v="16"/>
    <x v="9"/>
    <x v="7"/>
    <x v="88"/>
    <x v="68"/>
    <x v="10"/>
    <x v="17"/>
    <x v="397"/>
    <x v="76"/>
    <x v="9"/>
    <x v="405"/>
    <x v="846"/>
    <x v="1244"/>
    <x v="72"/>
  </r>
  <r>
    <x v="1245"/>
    <x v="1245"/>
    <x v="174"/>
    <x v="5"/>
    <x v="3"/>
    <x v="10"/>
    <x v="16"/>
    <x v="9"/>
    <x v="7"/>
    <x v="88"/>
    <x v="68"/>
    <x v="9"/>
    <x v="17"/>
    <x v="138"/>
    <x v="20"/>
    <x v="31"/>
    <x v="176"/>
    <x v="99"/>
    <x v="1245"/>
    <x v="72"/>
  </r>
  <r>
    <x v="1246"/>
    <x v="1246"/>
    <x v="175"/>
    <x v="5"/>
    <x v="14"/>
    <x v="3"/>
    <x v="16"/>
    <x v="9"/>
    <x v="7"/>
    <x v="88"/>
    <x v="68"/>
    <x v="10"/>
    <x v="17"/>
    <x v="380"/>
    <x v="125"/>
    <x v="7"/>
    <x v="346"/>
    <x v="820"/>
    <x v="1246"/>
    <x v="72"/>
  </r>
  <r>
    <x v="1247"/>
    <x v="1247"/>
    <x v="177"/>
    <x v="5"/>
    <x v="4"/>
    <x v="2"/>
    <x v="16"/>
    <x v="9"/>
    <x v="7"/>
    <x v="88"/>
    <x v="68"/>
    <x v="9"/>
    <x v="17"/>
    <x v="110"/>
    <x v="27"/>
    <x v="17"/>
    <x v="131"/>
    <x v="227"/>
    <x v="1247"/>
    <x v="72"/>
  </r>
  <r>
    <x v="1248"/>
    <x v="1248"/>
    <x v="178"/>
    <x v="5"/>
    <x v="23"/>
    <x v="45"/>
    <x v="16"/>
    <x v="9"/>
    <x v="7"/>
    <x v="88"/>
    <x v="68"/>
    <x v="10"/>
    <x v="17"/>
    <x v="428"/>
    <x v="123"/>
    <x v="19"/>
    <x v="390"/>
    <x v="426"/>
    <x v="1248"/>
    <x v="72"/>
  </r>
  <r>
    <x v="1249"/>
    <x v="1249"/>
    <x v="166"/>
    <x v="5"/>
    <x v="13"/>
    <x v="44"/>
    <x v="16"/>
    <x v="9"/>
    <x v="7"/>
    <x v="88"/>
    <x v="68"/>
    <x v="10"/>
    <x v="17"/>
    <x v="405"/>
    <x v="131"/>
    <x v="26"/>
    <x v="363"/>
    <x v="249"/>
    <x v="1249"/>
    <x v="72"/>
  </r>
  <r>
    <x v="1250"/>
    <x v="1250"/>
    <x v="179"/>
    <x v="5"/>
    <x v="10"/>
    <x v="27"/>
    <x v="16"/>
    <x v="9"/>
    <x v="7"/>
    <x v="88"/>
    <x v="68"/>
    <x v="11"/>
    <x v="17"/>
    <x v="482"/>
    <x v="110"/>
    <x v="13"/>
    <x v="454"/>
    <x v="752"/>
    <x v="1250"/>
    <x v="72"/>
  </r>
  <r>
    <x v="1251"/>
    <x v="1258"/>
    <x v="410"/>
    <x v="8"/>
    <x v="48"/>
    <x v="8"/>
    <x v="3"/>
    <x v="1"/>
    <x v="4"/>
    <x v="88"/>
    <x v="69"/>
    <x v="9"/>
    <x v="4"/>
    <x v="32"/>
    <x v="46"/>
    <x v="16"/>
    <x v="35"/>
    <x v="60"/>
    <x v="1251"/>
    <x v="72"/>
  </r>
  <r>
    <x v="1252"/>
    <x v="1251"/>
    <x v="180"/>
    <x v="5"/>
    <x v="22"/>
    <x v="13"/>
    <x v="16"/>
    <x v="9"/>
    <x v="7"/>
    <x v="88"/>
    <x v="68"/>
    <x v="13"/>
    <x v="17"/>
    <x v="797"/>
    <x v="267"/>
    <x v="10"/>
    <x v="726"/>
    <x v="1273"/>
    <x v="1252"/>
    <x v="72"/>
  </r>
  <r>
    <x v="1253"/>
    <x v="1252"/>
    <x v="181"/>
    <x v="5"/>
    <x v="21"/>
    <x v="4"/>
    <x v="16"/>
    <x v="9"/>
    <x v="7"/>
    <x v="88"/>
    <x v="68"/>
    <x v="10"/>
    <x v="17"/>
    <x v="338"/>
    <x v="133"/>
    <x v="11"/>
    <x v="294"/>
    <x v="572"/>
    <x v="1253"/>
    <x v="72"/>
  </r>
  <r>
    <x v="1254"/>
    <x v="1253"/>
    <x v="182"/>
    <x v="5"/>
    <x v="31"/>
    <x v="40"/>
    <x v="16"/>
    <x v="9"/>
    <x v="7"/>
    <x v="88"/>
    <x v="68"/>
    <x v="14"/>
    <x v="17"/>
    <x v="841"/>
    <x v="310"/>
    <x v="8"/>
    <x v="765"/>
    <x v="1330"/>
    <x v="1254"/>
    <x v="72"/>
  </r>
  <r>
    <x v="1255"/>
    <x v="1254"/>
    <x v="183"/>
    <x v="5"/>
    <x v="25"/>
    <x v="42"/>
    <x v="16"/>
    <x v="9"/>
    <x v="7"/>
    <x v="88"/>
    <x v="68"/>
    <x v="10"/>
    <x v="17"/>
    <x v="375"/>
    <x v="66"/>
    <x v="9"/>
    <x v="392"/>
    <x v="824"/>
    <x v="1255"/>
    <x v="72"/>
  </r>
  <r>
    <x v="1256"/>
    <x v="1255"/>
    <x v="184"/>
    <x v="5"/>
    <x v="42"/>
    <x v="5"/>
    <x v="16"/>
    <x v="9"/>
    <x v="7"/>
    <x v="88"/>
    <x v="68"/>
    <x v="10"/>
    <x v="17"/>
    <x v="340"/>
    <x v="119"/>
    <x v="9"/>
    <x v="309"/>
    <x v="668"/>
    <x v="1256"/>
    <x v="72"/>
  </r>
  <r>
    <x v="1257"/>
    <x v="1256"/>
    <x v="185"/>
    <x v="5"/>
    <x v="24"/>
    <x v="37"/>
    <x v="16"/>
    <x v="9"/>
    <x v="7"/>
    <x v="88"/>
    <x v="69"/>
    <x v="11"/>
    <x v="17"/>
    <x v="543"/>
    <x v="112"/>
    <x v="6"/>
    <x v="517"/>
    <x v="1105"/>
    <x v="1257"/>
    <x v="72"/>
  </r>
  <r>
    <x v="1258"/>
    <x v="1257"/>
    <x v="186"/>
    <x v="5"/>
    <x v="33"/>
    <x v="26"/>
    <x v="16"/>
    <x v="9"/>
    <x v="7"/>
    <x v="88"/>
    <x v="69"/>
    <x v="12"/>
    <x v="17"/>
    <x v="676"/>
    <x v="187"/>
    <x v="13"/>
    <x v="617"/>
    <x v="1033"/>
    <x v="1258"/>
    <x v="72"/>
  </r>
  <r>
    <x v="1259"/>
    <x v="1259"/>
    <x v="198"/>
    <x v="5"/>
    <x v="45"/>
    <x v="0"/>
    <x v="22"/>
    <x v="9"/>
    <x v="7"/>
    <x v="88"/>
    <x v="69"/>
    <x v="11"/>
    <x v="17"/>
    <x v="78"/>
    <x v="100"/>
    <x v="3"/>
    <x v="73"/>
    <x v="334"/>
    <x v="1259"/>
    <x v="72"/>
  </r>
  <r>
    <x v="1260"/>
    <x v="1260"/>
    <x v="191"/>
    <x v="5"/>
    <x v="12"/>
    <x v="17"/>
    <x v="22"/>
    <x v="9"/>
    <x v="7"/>
    <x v="88"/>
    <x v="68"/>
    <x v="12"/>
    <x v="23"/>
    <x v="706"/>
    <x v="221"/>
    <x v="11"/>
    <x v="630"/>
    <x v="1119"/>
    <x v="1260"/>
    <x v="72"/>
  </r>
  <r>
    <x v="1261"/>
    <x v="1261"/>
    <x v="188"/>
    <x v="5"/>
    <x v="46"/>
    <x v="32"/>
    <x v="22"/>
    <x v="9"/>
    <x v="7"/>
    <x v="88"/>
    <x v="69"/>
    <x v="13"/>
    <x v="23"/>
    <x v="377"/>
    <x v="127"/>
    <x v="13"/>
    <x v="341"/>
    <x v="568"/>
    <x v="1261"/>
    <x v="73"/>
  </r>
  <r>
    <x v="1262"/>
    <x v="1262"/>
    <x v="187"/>
    <x v="5"/>
    <x v="29"/>
    <x v="15"/>
    <x v="22"/>
    <x v="9"/>
    <x v="7"/>
    <x v="88"/>
    <x v="69"/>
    <x v="14"/>
    <x v="23"/>
    <x v="463"/>
    <x v="131"/>
    <x v="20"/>
    <x v="419"/>
    <x v="425"/>
    <x v="1262"/>
    <x v="73"/>
  </r>
  <r>
    <x v="1263"/>
    <x v="1263"/>
    <x v="189"/>
    <x v="5"/>
    <x v="41"/>
    <x v="23"/>
    <x v="22"/>
    <x v="9"/>
    <x v="7"/>
    <x v="88"/>
    <x v="69"/>
    <x v="13"/>
    <x v="23"/>
    <x v="262"/>
    <x v="54"/>
    <x v="19"/>
    <x v="285"/>
    <x v="328"/>
    <x v="1263"/>
    <x v="73"/>
  </r>
  <r>
    <x v="1264"/>
    <x v="1264"/>
    <x v="176"/>
    <x v="5"/>
    <x v="28"/>
    <x v="33"/>
    <x v="22"/>
    <x v="9"/>
    <x v="7"/>
    <x v="88"/>
    <x v="69"/>
    <x v="11"/>
    <x v="23"/>
    <x v="700"/>
    <x v="360"/>
    <x v="2"/>
    <x v="64"/>
    <x v="335"/>
    <x v="1264"/>
    <x v="73"/>
  </r>
  <r>
    <x v="1265"/>
    <x v="1265"/>
    <x v="190"/>
    <x v="5"/>
    <x v="34"/>
    <x v="6"/>
    <x v="22"/>
    <x v="9"/>
    <x v="7"/>
    <x v="88"/>
    <x v="69"/>
    <x v="12"/>
    <x v="23"/>
    <x v="182"/>
    <x v="139"/>
    <x v="4"/>
    <x v="132"/>
    <x v="474"/>
    <x v="1265"/>
    <x v="73"/>
  </r>
  <r>
    <x v="1266"/>
    <x v="1266"/>
    <x v="192"/>
    <x v="5"/>
    <x v="1"/>
    <x v="34"/>
    <x v="22"/>
    <x v="9"/>
    <x v="7"/>
    <x v="88"/>
    <x v="70"/>
    <x v="12"/>
    <x v="23"/>
    <x v="355"/>
    <x v="144"/>
    <x v="11"/>
    <x v="299"/>
    <x v="581"/>
    <x v="1266"/>
    <x v="73"/>
  </r>
  <r>
    <x v="1267"/>
    <x v="1267"/>
    <x v="193"/>
    <x v="5"/>
    <x v="39"/>
    <x v="39"/>
    <x v="22"/>
    <x v="9"/>
    <x v="7"/>
    <x v="88"/>
    <x v="70"/>
    <x v="12"/>
    <x v="23"/>
    <x v="397"/>
    <x v="181"/>
    <x v="4"/>
    <x v="305"/>
    <x v="835"/>
    <x v="1267"/>
    <x v="73"/>
  </r>
  <r>
    <x v="1268"/>
    <x v="1268"/>
    <x v="195"/>
    <x v="5"/>
    <x v="35"/>
    <x v="1"/>
    <x v="22"/>
    <x v="9"/>
    <x v="7"/>
    <x v="88"/>
    <x v="70"/>
    <x v="13"/>
    <x v="23"/>
    <x v="446"/>
    <x v="118"/>
    <x v="13"/>
    <x v="415"/>
    <x v="678"/>
    <x v="1268"/>
    <x v="73"/>
  </r>
  <r>
    <x v="1269"/>
    <x v="1269"/>
    <x v="196"/>
    <x v="5"/>
    <x v="38"/>
    <x v="12"/>
    <x v="22"/>
    <x v="9"/>
    <x v="7"/>
    <x v="88"/>
    <x v="70"/>
    <x v="12"/>
    <x v="23"/>
    <x v="289"/>
    <x v="105"/>
    <x v="13"/>
    <x v="270"/>
    <x v="460"/>
    <x v="1269"/>
    <x v="73"/>
  </r>
  <r>
    <x v="1270"/>
    <x v="1270"/>
    <x v="194"/>
    <x v="5"/>
    <x v="2"/>
    <x v="18"/>
    <x v="22"/>
    <x v="9"/>
    <x v="7"/>
    <x v="88"/>
    <x v="70"/>
    <x v="21"/>
    <x v="23"/>
    <x v="906"/>
    <x v="383"/>
    <x v="6"/>
    <x v="808"/>
    <x v="1383"/>
    <x v="1270"/>
    <x v="73"/>
  </r>
  <r>
    <x v="1271"/>
    <x v="1271"/>
    <x v="197"/>
    <x v="5"/>
    <x v="32"/>
    <x v="25"/>
    <x v="22"/>
    <x v="9"/>
    <x v="7"/>
    <x v="88"/>
    <x v="70"/>
    <x v="16"/>
    <x v="23"/>
    <x v="820"/>
    <x v="280"/>
    <x v="8"/>
    <x v="749"/>
    <x v="1311"/>
    <x v="1271"/>
    <x v="73"/>
  </r>
  <r>
    <x v="1272"/>
    <x v="1272"/>
    <x v="200"/>
    <x v="5"/>
    <x v="43"/>
    <x v="28"/>
    <x v="22"/>
    <x v="9"/>
    <x v="7"/>
    <x v="88"/>
    <x v="70"/>
    <x v="12"/>
    <x v="23"/>
    <x v="302"/>
    <x v="91"/>
    <x v="6"/>
    <x v="294"/>
    <x v="764"/>
    <x v="1272"/>
    <x v="73"/>
  </r>
  <r>
    <x v="1273"/>
    <x v="1273"/>
    <x v="201"/>
    <x v="5"/>
    <x v="36"/>
    <x v="29"/>
    <x v="22"/>
    <x v="9"/>
    <x v="7"/>
    <x v="88"/>
    <x v="70"/>
    <x v="13"/>
    <x v="23"/>
    <x v="562"/>
    <x v="215"/>
    <x v="13"/>
    <x v="435"/>
    <x v="717"/>
    <x v="1273"/>
    <x v="73"/>
  </r>
  <r>
    <x v="1274"/>
    <x v="1274"/>
    <x v="199"/>
    <x v="5"/>
    <x v="4"/>
    <x v="2"/>
    <x v="22"/>
    <x v="9"/>
    <x v="7"/>
    <x v="88"/>
    <x v="70"/>
    <x v="11"/>
    <x v="23"/>
    <x v="113"/>
    <x v="24"/>
    <x v="21"/>
    <x v="139"/>
    <x v="184"/>
    <x v="1274"/>
    <x v="73"/>
  </r>
  <r>
    <x v="1275"/>
    <x v="1275"/>
    <x v="202"/>
    <x v="5"/>
    <x v="30"/>
    <x v="30"/>
    <x v="22"/>
    <x v="9"/>
    <x v="7"/>
    <x v="88"/>
    <x v="70"/>
    <x v="13"/>
    <x v="23"/>
    <x v="405"/>
    <x v="99"/>
    <x v="13"/>
    <x v="390"/>
    <x v="647"/>
    <x v="1275"/>
    <x v="74"/>
  </r>
  <r>
    <x v="1276"/>
    <x v="1276"/>
    <x v="203"/>
    <x v="5"/>
    <x v="0"/>
    <x v="36"/>
    <x v="22"/>
    <x v="9"/>
    <x v="7"/>
    <x v="88"/>
    <x v="70"/>
    <x v="11"/>
    <x v="23"/>
    <x v="189"/>
    <x v="113"/>
    <x v="23"/>
    <x v="156"/>
    <x v="171"/>
    <x v="1276"/>
    <x v="74"/>
  </r>
  <r>
    <x v="1277"/>
    <x v="1277"/>
    <x v="204"/>
    <x v="5"/>
    <x v="10"/>
    <x v="27"/>
    <x v="22"/>
    <x v="9"/>
    <x v="7"/>
    <x v="88"/>
    <x v="70"/>
    <x v="12"/>
    <x v="23"/>
    <x v="378"/>
    <x v="124"/>
    <x v="20"/>
    <x v="345"/>
    <x v="362"/>
    <x v="1277"/>
    <x v="74"/>
  </r>
  <r>
    <x v="1278"/>
    <x v="1278"/>
    <x v="206"/>
    <x v="5"/>
    <x v="14"/>
    <x v="3"/>
    <x v="22"/>
    <x v="9"/>
    <x v="7"/>
    <x v="88"/>
    <x v="70"/>
    <x v="12"/>
    <x v="23"/>
    <x v="362"/>
    <x v="122"/>
    <x v="11"/>
    <x v="329"/>
    <x v="632"/>
    <x v="1278"/>
    <x v="74"/>
  </r>
  <r>
    <x v="1279"/>
    <x v="1279"/>
    <x v="205"/>
    <x v="5"/>
    <x v="27"/>
    <x v="46"/>
    <x v="22"/>
    <x v="9"/>
    <x v="7"/>
    <x v="88"/>
    <x v="70"/>
    <x v="21"/>
    <x v="23"/>
    <x v="881"/>
    <x v="333"/>
    <x v="23"/>
    <x v="805"/>
    <x v="1328"/>
    <x v="1279"/>
    <x v="74"/>
  </r>
  <r>
    <x v="1280"/>
    <x v="1280"/>
    <x v="207"/>
    <x v="5"/>
    <x v="31"/>
    <x v="40"/>
    <x v="22"/>
    <x v="9"/>
    <x v="7"/>
    <x v="88"/>
    <x v="70"/>
    <x v="17"/>
    <x v="23"/>
    <x v="840"/>
    <x v="306"/>
    <x v="7"/>
    <x v="767"/>
    <x v="1334"/>
    <x v="1280"/>
    <x v="74"/>
  </r>
  <r>
    <x v="1281"/>
    <x v="1281"/>
    <x v="208"/>
    <x v="5"/>
    <x v="42"/>
    <x v="5"/>
    <x v="22"/>
    <x v="9"/>
    <x v="7"/>
    <x v="88"/>
    <x v="70"/>
    <x v="12"/>
    <x v="23"/>
    <x v="303"/>
    <x v="111"/>
    <x v="10"/>
    <x v="279"/>
    <x v="582"/>
    <x v="1281"/>
    <x v="74"/>
  </r>
  <r>
    <x v="1282"/>
    <x v="1282"/>
    <x v="210"/>
    <x v="5"/>
    <x v="33"/>
    <x v="26"/>
    <x v="22"/>
    <x v="9"/>
    <x v="7"/>
    <x v="88"/>
    <x v="70"/>
    <x v="14"/>
    <x v="23"/>
    <x v="677"/>
    <x v="196"/>
    <x v="14"/>
    <x v="613"/>
    <x v="994"/>
    <x v="1282"/>
    <x v="74"/>
  </r>
  <r>
    <x v="1283"/>
    <x v="1283"/>
    <x v="209"/>
    <x v="5"/>
    <x v="46"/>
    <x v="32"/>
    <x v="22"/>
    <x v="9"/>
    <x v="7"/>
    <x v="88"/>
    <x v="70"/>
    <x v="13"/>
    <x v="23"/>
    <x v="523"/>
    <x v="116"/>
    <x v="15"/>
    <x v="489"/>
    <x v="720"/>
    <x v="1283"/>
    <x v="74"/>
  </r>
  <r>
    <x v="1284"/>
    <x v="1284"/>
    <x v="211"/>
    <x v="5"/>
    <x v="29"/>
    <x v="15"/>
    <x v="22"/>
    <x v="9"/>
    <x v="7"/>
    <x v="88"/>
    <x v="70"/>
    <x v="14"/>
    <x v="23"/>
    <x v="672"/>
    <x v="132"/>
    <x v="17"/>
    <x v="652"/>
    <x v="957"/>
    <x v="1284"/>
    <x v="74"/>
  </r>
  <r>
    <x v="1285"/>
    <x v="1285"/>
    <x v="212"/>
    <x v="5"/>
    <x v="41"/>
    <x v="23"/>
    <x v="22"/>
    <x v="9"/>
    <x v="7"/>
    <x v="88"/>
    <x v="71"/>
    <x v="12"/>
    <x v="23"/>
    <x v="331"/>
    <x v="70"/>
    <x v="7"/>
    <x v="345"/>
    <x v="817"/>
    <x v="1285"/>
    <x v="74"/>
  </r>
  <r>
    <x v="1286"/>
    <x v="1286"/>
    <x v="213"/>
    <x v="5"/>
    <x v="12"/>
    <x v="17"/>
    <x v="22"/>
    <x v="9"/>
    <x v="7"/>
    <x v="88"/>
    <x v="71"/>
    <x v="13"/>
    <x v="23"/>
    <x v="590"/>
    <x v="216"/>
    <x v="28"/>
    <x v="473"/>
    <x v="277"/>
    <x v="1286"/>
    <x v="74"/>
  </r>
  <r>
    <x v="1287"/>
    <x v="1287"/>
    <x v="214"/>
    <x v="5"/>
    <x v="24"/>
    <x v="37"/>
    <x v="22"/>
    <x v="9"/>
    <x v="7"/>
    <x v="88"/>
    <x v="71"/>
    <x v="12"/>
    <x v="23"/>
    <x v="333"/>
    <x v="126"/>
    <x v="13"/>
    <x v="295"/>
    <x v="500"/>
    <x v="1287"/>
    <x v="74"/>
  </r>
  <r>
    <x v="1288"/>
    <x v="1288"/>
    <x v="215"/>
    <x v="5"/>
    <x v="28"/>
    <x v="33"/>
    <x v="16"/>
    <x v="9"/>
    <x v="7"/>
    <x v="88"/>
    <x v="71"/>
    <x v="10"/>
    <x v="17"/>
    <x v="824"/>
    <x v="371"/>
    <x v="14"/>
    <x v="563"/>
    <x v="898"/>
    <x v="1288"/>
    <x v="74"/>
  </r>
  <r>
    <x v="1289"/>
    <x v="1289"/>
    <x v="545"/>
    <x v="8"/>
    <x v="25"/>
    <x v="42"/>
    <x v="3"/>
    <x v="1"/>
    <x v="4"/>
    <x v="88"/>
    <x v="71"/>
    <x v="16"/>
    <x v="4"/>
    <x v="498"/>
    <x v="66"/>
    <x v="4"/>
    <x v="507"/>
    <x v="1122"/>
    <x v="1289"/>
    <x v="74"/>
  </r>
  <r>
    <x v="1290"/>
    <x v="1290"/>
    <x v="546"/>
    <x v="8"/>
    <x v="34"/>
    <x v="6"/>
    <x v="3"/>
    <x v="1"/>
    <x v="4"/>
    <x v="88"/>
    <x v="71"/>
    <x v="15"/>
    <x v="4"/>
    <x v="502"/>
    <x v="134"/>
    <x v="10"/>
    <x v="450"/>
    <x v="881"/>
    <x v="1290"/>
    <x v="74"/>
  </r>
  <r>
    <x v="1291"/>
    <x v="1291"/>
    <x v="547"/>
    <x v="8"/>
    <x v="23"/>
    <x v="45"/>
    <x v="3"/>
    <x v="1"/>
    <x v="4"/>
    <x v="88"/>
    <x v="71"/>
    <x v="16"/>
    <x v="4"/>
    <x v="501"/>
    <x v="115"/>
    <x v="4"/>
    <x v="466"/>
    <x v="1075"/>
    <x v="1291"/>
    <x v="74"/>
  </r>
  <r>
    <x v="1292"/>
    <x v="1292"/>
    <x v="216"/>
    <x v="5"/>
    <x v="39"/>
    <x v="39"/>
    <x v="16"/>
    <x v="9"/>
    <x v="7"/>
    <x v="88"/>
    <x v="71"/>
    <x v="8"/>
    <x v="17"/>
    <x v="306"/>
    <x v="203"/>
    <x v="4"/>
    <x v="194"/>
    <x v="622"/>
    <x v="1292"/>
    <x v="74"/>
  </r>
  <r>
    <x v="1293"/>
    <x v="1293"/>
    <x v="217"/>
    <x v="5"/>
    <x v="2"/>
    <x v="18"/>
    <x v="16"/>
    <x v="9"/>
    <x v="7"/>
    <x v="88"/>
    <x v="71"/>
    <x v="12"/>
    <x v="17"/>
    <x v="869"/>
    <x v="388"/>
    <x v="9"/>
    <x v="746"/>
    <x v="1297"/>
    <x v="1293"/>
    <x v="74"/>
  </r>
  <r>
    <x v="1294"/>
    <x v="1294"/>
    <x v="218"/>
    <x v="5"/>
    <x v="32"/>
    <x v="25"/>
    <x v="16"/>
    <x v="9"/>
    <x v="7"/>
    <x v="88"/>
    <x v="71"/>
    <x v="11"/>
    <x v="17"/>
    <x v="801"/>
    <x v="282"/>
    <x v="2"/>
    <x v="710"/>
    <x v="1300"/>
    <x v="1294"/>
    <x v="74"/>
  </r>
  <r>
    <x v="1295"/>
    <x v="1295"/>
    <x v="219"/>
    <x v="5"/>
    <x v="43"/>
    <x v="28"/>
    <x v="16"/>
    <x v="9"/>
    <x v="7"/>
    <x v="88"/>
    <x v="71"/>
    <x v="9"/>
    <x v="17"/>
    <x v="309"/>
    <x v="91"/>
    <x v="14"/>
    <x v="302"/>
    <x v="471"/>
    <x v="1295"/>
    <x v="74"/>
  </r>
  <r>
    <x v="1296"/>
    <x v="1296"/>
    <x v="220"/>
    <x v="5"/>
    <x v="36"/>
    <x v="29"/>
    <x v="16"/>
    <x v="9"/>
    <x v="7"/>
    <x v="88"/>
    <x v="71"/>
    <x v="9"/>
    <x v="17"/>
    <x v="532"/>
    <x v="227"/>
    <x v="8"/>
    <x v="380"/>
    <x v="848"/>
    <x v="1296"/>
    <x v="75"/>
  </r>
  <r>
    <x v="1297"/>
    <x v="1297"/>
    <x v="221"/>
    <x v="5"/>
    <x v="4"/>
    <x v="2"/>
    <x v="16"/>
    <x v="9"/>
    <x v="7"/>
    <x v="88"/>
    <x v="71"/>
    <x v="8"/>
    <x v="17"/>
    <x v="95"/>
    <x v="19"/>
    <x v="6"/>
    <x v="119"/>
    <x v="429"/>
    <x v="1297"/>
    <x v="75"/>
  </r>
  <r>
    <x v="1298"/>
    <x v="1298"/>
    <x v="222"/>
    <x v="5"/>
    <x v="30"/>
    <x v="30"/>
    <x v="16"/>
    <x v="9"/>
    <x v="7"/>
    <x v="88"/>
    <x v="71"/>
    <x v="9"/>
    <x v="17"/>
    <x v="351"/>
    <x v="109"/>
    <x v="6"/>
    <x v="330"/>
    <x v="837"/>
    <x v="1298"/>
    <x v="75"/>
  </r>
  <r>
    <x v="1299"/>
    <x v="1299"/>
    <x v="223"/>
    <x v="5"/>
    <x v="0"/>
    <x v="36"/>
    <x v="16"/>
    <x v="9"/>
    <x v="7"/>
    <x v="88"/>
    <x v="71"/>
    <x v="8"/>
    <x v="17"/>
    <x v="215"/>
    <x v="125"/>
    <x v="6"/>
    <x v="174"/>
    <x v="539"/>
    <x v="1299"/>
    <x v="75"/>
  </r>
  <r>
    <x v="1300"/>
    <x v="1300"/>
    <x v="224"/>
    <x v="5"/>
    <x v="10"/>
    <x v="27"/>
    <x v="16"/>
    <x v="9"/>
    <x v="7"/>
    <x v="88"/>
    <x v="71"/>
    <x v="9"/>
    <x v="17"/>
    <x v="350"/>
    <x v="116"/>
    <x v="3"/>
    <x v="322"/>
    <x v="903"/>
    <x v="1300"/>
    <x v="75"/>
  </r>
  <r>
    <x v="1301"/>
    <x v="1301"/>
    <x v="225"/>
    <x v="5"/>
    <x v="45"/>
    <x v="0"/>
    <x v="16"/>
    <x v="9"/>
    <x v="7"/>
    <x v="88"/>
    <x v="71"/>
    <x v="8"/>
    <x v="17"/>
    <x v="154"/>
    <x v="108"/>
    <x v="4"/>
    <x v="126"/>
    <x v="463"/>
    <x v="1301"/>
    <x v="75"/>
  </r>
  <r>
    <x v="1302"/>
    <x v="1302"/>
    <x v="226"/>
    <x v="5"/>
    <x v="38"/>
    <x v="12"/>
    <x v="16"/>
    <x v="9"/>
    <x v="7"/>
    <x v="88"/>
    <x v="71"/>
    <x v="9"/>
    <x v="17"/>
    <x v="379"/>
    <x v="117"/>
    <x v="7"/>
    <x v="352"/>
    <x v="836"/>
    <x v="1302"/>
    <x v="75"/>
  </r>
  <r>
    <x v="1303"/>
    <x v="1303"/>
    <x v="227"/>
    <x v="5"/>
    <x v="26"/>
    <x v="16"/>
    <x v="16"/>
    <x v="9"/>
    <x v="7"/>
    <x v="88"/>
    <x v="71"/>
    <x v="9"/>
    <x v="17"/>
    <x v="369"/>
    <x v="78"/>
    <x v="13"/>
    <x v="373"/>
    <x v="627"/>
    <x v="1303"/>
    <x v="75"/>
  </r>
  <r>
    <x v="1304"/>
    <x v="1304"/>
    <x v="228"/>
    <x v="5"/>
    <x v="13"/>
    <x v="44"/>
    <x v="16"/>
    <x v="9"/>
    <x v="7"/>
    <x v="88"/>
    <x v="71"/>
    <x v="8"/>
    <x v="17"/>
    <x v="254"/>
    <x v="122"/>
    <x v="16"/>
    <x v="216"/>
    <x v="333"/>
    <x v="1304"/>
    <x v="75"/>
  </r>
  <r>
    <x v="1305"/>
    <x v="1305"/>
    <x v="229"/>
    <x v="5"/>
    <x v="16"/>
    <x v="35"/>
    <x v="16"/>
    <x v="9"/>
    <x v="7"/>
    <x v="88"/>
    <x v="72"/>
    <x v="8"/>
    <x v="17"/>
    <x v="73"/>
    <x v="71"/>
    <x v="28"/>
    <x v="77"/>
    <x v="76"/>
    <x v="1305"/>
    <x v="75"/>
  </r>
  <r>
    <x v="1306"/>
    <x v="1306"/>
    <x v="230"/>
    <x v="5"/>
    <x v="15"/>
    <x v="43"/>
    <x v="16"/>
    <x v="9"/>
    <x v="7"/>
    <x v="88"/>
    <x v="72"/>
    <x v="10"/>
    <x v="17"/>
    <x v="364"/>
    <x v="171"/>
    <x v="3"/>
    <x v="283"/>
    <x v="832"/>
    <x v="1306"/>
    <x v="75"/>
  </r>
  <r>
    <x v="1307"/>
    <x v="1307"/>
    <x v="231"/>
    <x v="5"/>
    <x v="31"/>
    <x v="40"/>
    <x v="16"/>
    <x v="9"/>
    <x v="7"/>
    <x v="88"/>
    <x v="72"/>
    <x v="14"/>
    <x v="17"/>
    <x v="819"/>
    <x v="305"/>
    <x v="7"/>
    <x v="733"/>
    <x v="1302"/>
    <x v="1307"/>
    <x v="75"/>
  </r>
  <r>
    <x v="1308"/>
    <x v="1308"/>
    <x v="233"/>
    <x v="5"/>
    <x v="1"/>
    <x v="34"/>
    <x v="16"/>
    <x v="9"/>
    <x v="7"/>
    <x v="88"/>
    <x v="72"/>
    <x v="12"/>
    <x v="17"/>
    <x v="624"/>
    <x v="136"/>
    <x v="7"/>
    <x v="596"/>
    <x v="1164"/>
    <x v="1308"/>
    <x v="75"/>
  </r>
  <r>
    <x v="1309"/>
    <x v="1309"/>
    <x v="232"/>
    <x v="5"/>
    <x v="27"/>
    <x v="46"/>
    <x v="16"/>
    <x v="9"/>
    <x v="7"/>
    <x v="88"/>
    <x v="72"/>
    <x v="20"/>
    <x v="17"/>
    <x v="895"/>
    <x v="337"/>
    <x v="8"/>
    <x v="837"/>
    <x v="1388"/>
    <x v="1309"/>
    <x v="75"/>
  </r>
  <r>
    <x v="1310"/>
    <x v="1310"/>
    <x v="234"/>
    <x v="5"/>
    <x v="33"/>
    <x v="26"/>
    <x v="16"/>
    <x v="9"/>
    <x v="7"/>
    <x v="88"/>
    <x v="72"/>
    <x v="12"/>
    <x v="17"/>
    <x v="741"/>
    <x v="193"/>
    <x v="12"/>
    <x v="704"/>
    <x v="1207"/>
    <x v="1310"/>
    <x v="75"/>
  </r>
  <r>
    <x v="1311"/>
    <x v="1311"/>
    <x v="235"/>
    <x v="5"/>
    <x v="46"/>
    <x v="32"/>
    <x v="16"/>
    <x v="9"/>
    <x v="7"/>
    <x v="88"/>
    <x v="72"/>
    <x v="12"/>
    <x v="17"/>
    <x v="728"/>
    <x v="134"/>
    <x v="6"/>
    <x v="701"/>
    <x v="1272"/>
    <x v="1311"/>
    <x v="75"/>
  </r>
  <r>
    <x v="1312"/>
    <x v="1312"/>
    <x v="236"/>
    <x v="5"/>
    <x v="41"/>
    <x v="23"/>
    <x v="16"/>
    <x v="9"/>
    <x v="7"/>
    <x v="88"/>
    <x v="72"/>
    <x v="12"/>
    <x v="17"/>
    <x v="663"/>
    <x v="62"/>
    <x v="2"/>
    <x v="672"/>
    <x v="1279"/>
    <x v="1312"/>
    <x v="75"/>
  </r>
  <r>
    <x v="1313"/>
    <x v="1313"/>
    <x v="237"/>
    <x v="5"/>
    <x v="29"/>
    <x v="15"/>
    <x v="16"/>
    <x v="9"/>
    <x v="7"/>
    <x v="88"/>
    <x v="72"/>
    <x v="13"/>
    <x v="17"/>
    <x v="736"/>
    <x v="142"/>
    <x v="12"/>
    <x v="711"/>
    <x v="1219"/>
    <x v="1313"/>
    <x v="75"/>
  </r>
  <r>
    <x v="1314"/>
    <x v="1315"/>
    <x v="239"/>
    <x v="5"/>
    <x v="24"/>
    <x v="37"/>
    <x v="16"/>
    <x v="9"/>
    <x v="7"/>
    <x v="88"/>
    <x v="72"/>
    <x v="10"/>
    <x v="17"/>
    <x v="633"/>
    <x v="113"/>
    <x v="8"/>
    <x v="618"/>
    <x v="1172"/>
    <x v="1314"/>
    <x v="75"/>
  </r>
  <r>
    <x v="1315"/>
    <x v="1314"/>
    <x v="238"/>
    <x v="5"/>
    <x v="12"/>
    <x v="17"/>
    <x v="16"/>
    <x v="9"/>
    <x v="7"/>
    <x v="88"/>
    <x v="72"/>
    <x v="11"/>
    <x v="17"/>
    <x v="792"/>
    <x v="203"/>
    <x v="7"/>
    <x v="749"/>
    <x v="1318"/>
    <x v="1315"/>
    <x v="75"/>
  </r>
  <r>
    <x v="1316"/>
    <x v="1316"/>
    <x v="241"/>
    <x v="5"/>
    <x v="2"/>
    <x v="18"/>
    <x v="16"/>
    <x v="9"/>
    <x v="7"/>
    <x v="88"/>
    <x v="72"/>
    <x v="10"/>
    <x v="17"/>
    <x v="924"/>
    <x v="385"/>
    <x v="9"/>
    <x v="827"/>
    <x v="1384"/>
    <x v="1316"/>
    <x v="75"/>
  </r>
  <r>
    <x v="1317"/>
    <x v="1317"/>
    <x v="240"/>
    <x v="5"/>
    <x v="39"/>
    <x v="39"/>
    <x v="16"/>
    <x v="9"/>
    <x v="7"/>
    <x v="88"/>
    <x v="72"/>
    <x v="10"/>
    <x v="17"/>
    <x v="680"/>
    <x v="189"/>
    <x v="10"/>
    <x v="621"/>
    <x v="1130"/>
    <x v="1317"/>
    <x v="76"/>
  </r>
  <r>
    <x v="1318"/>
    <x v="1318"/>
    <x v="242"/>
    <x v="5"/>
    <x v="43"/>
    <x v="28"/>
    <x v="16"/>
    <x v="9"/>
    <x v="7"/>
    <x v="88"/>
    <x v="72"/>
    <x v="7"/>
    <x v="17"/>
    <x v="388"/>
    <x v="87"/>
    <x v="22"/>
    <x v="385"/>
    <x v="355"/>
    <x v="1318"/>
    <x v="76"/>
  </r>
  <r>
    <x v="1319"/>
    <x v="1319"/>
    <x v="243"/>
    <x v="5"/>
    <x v="4"/>
    <x v="2"/>
    <x v="16"/>
    <x v="9"/>
    <x v="7"/>
    <x v="88"/>
    <x v="72"/>
    <x v="7"/>
    <x v="17"/>
    <x v="145"/>
    <x v="21"/>
    <x v="11"/>
    <x v="185"/>
    <x v="410"/>
    <x v="1319"/>
    <x v="76"/>
  </r>
  <r>
    <x v="1320"/>
    <x v="1320"/>
    <x v="245"/>
    <x v="5"/>
    <x v="42"/>
    <x v="5"/>
    <x v="22"/>
    <x v="9"/>
    <x v="7"/>
    <x v="88"/>
    <x v="72"/>
    <x v="7"/>
    <x v="23"/>
    <x v="252"/>
    <x v="127"/>
    <x v="7"/>
    <x v="210"/>
    <x v="578"/>
    <x v="1320"/>
    <x v="76"/>
  </r>
  <r>
    <x v="1321"/>
    <x v="1321"/>
    <x v="244"/>
    <x v="5"/>
    <x v="23"/>
    <x v="45"/>
    <x v="22"/>
    <x v="9"/>
    <x v="7"/>
    <x v="88"/>
    <x v="72"/>
    <x v="7"/>
    <x v="23"/>
    <x v="415"/>
    <x v="125"/>
    <x v="17"/>
    <x v="376"/>
    <x v="469"/>
    <x v="1321"/>
    <x v="76"/>
  </r>
  <r>
    <x v="1322"/>
    <x v="1323"/>
    <x v="247"/>
    <x v="5"/>
    <x v="34"/>
    <x v="6"/>
    <x v="22"/>
    <x v="9"/>
    <x v="7"/>
    <x v="88"/>
    <x v="72"/>
    <x v="8"/>
    <x v="23"/>
    <x v="470"/>
    <x v="134"/>
    <x v="11"/>
    <x v="422"/>
    <x v="786"/>
    <x v="1322"/>
    <x v="76"/>
  </r>
  <r>
    <x v="1323"/>
    <x v="1324"/>
    <x v="248"/>
    <x v="5"/>
    <x v="30"/>
    <x v="30"/>
    <x v="22"/>
    <x v="9"/>
    <x v="7"/>
    <x v="88"/>
    <x v="72"/>
    <x v="8"/>
    <x v="23"/>
    <x v="434"/>
    <x v="95"/>
    <x v="13"/>
    <x v="424"/>
    <x v="695"/>
    <x v="1323"/>
    <x v="76"/>
  </r>
  <r>
    <x v="1324"/>
    <x v="1326"/>
    <x v="249"/>
    <x v="5"/>
    <x v="10"/>
    <x v="27"/>
    <x v="22"/>
    <x v="9"/>
    <x v="7"/>
    <x v="88"/>
    <x v="72"/>
    <x v="8"/>
    <x v="23"/>
    <x v="454"/>
    <x v="122"/>
    <x v="4"/>
    <x v="419"/>
    <x v="1016"/>
    <x v="1324"/>
    <x v="76"/>
  </r>
  <r>
    <x v="1325"/>
    <x v="1325"/>
    <x v="250"/>
    <x v="5"/>
    <x v="32"/>
    <x v="25"/>
    <x v="22"/>
    <x v="9"/>
    <x v="7"/>
    <x v="88"/>
    <x v="73"/>
    <x v="15"/>
    <x v="23"/>
    <x v="831"/>
    <x v="278"/>
    <x v="9"/>
    <x v="763"/>
    <x v="1319"/>
    <x v="1325"/>
    <x v="76"/>
  </r>
  <r>
    <x v="1326"/>
    <x v="1327"/>
    <x v="251"/>
    <x v="5"/>
    <x v="38"/>
    <x v="12"/>
    <x v="22"/>
    <x v="9"/>
    <x v="7"/>
    <x v="88"/>
    <x v="73"/>
    <x v="12"/>
    <x v="23"/>
    <x v="493"/>
    <x v="110"/>
    <x v="12"/>
    <x v="463"/>
    <x v="814"/>
    <x v="1326"/>
    <x v="76"/>
  </r>
  <r>
    <x v="1327"/>
    <x v="1329"/>
    <x v="253"/>
    <x v="5"/>
    <x v="14"/>
    <x v="3"/>
    <x v="22"/>
    <x v="9"/>
    <x v="7"/>
    <x v="88"/>
    <x v="73"/>
    <x v="12"/>
    <x v="23"/>
    <x v="544"/>
    <x v="118"/>
    <x v="7"/>
    <x v="513"/>
    <x v="1071"/>
    <x v="1327"/>
    <x v="76"/>
  </r>
  <r>
    <x v="1328"/>
    <x v="1335"/>
    <x v="266"/>
    <x v="5"/>
    <x v="48"/>
    <x v="8"/>
    <x v="22"/>
    <x v="9"/>
    <x v="7"/>
    <x v="88"/>
    <x v="73"/>
    <x v="7"/>
    <x v="23"/>
    <x v="31"/>
    <x v="39"/>
    <x v="9"/>
    <x v="30"/>
    <x v="73"/>
    <x v="1328"/>
    <x v="76"/>
  </r>
  <r>
    <x v="1329"/>
    <x v="1328"/>
    <x v="252"/>
    <x v="5"/>
    <x v="28"/>
    <x v="33"/>
    <x v="22"/>
    <x v="9"/>
    <x v="7"/>
    <x v="88"/>
    <x v="73"/>
    <x v="18"/>
    <x v="23"/>
    <x v="886"/>
    <x v="366"/>
    <x v="8"/>
    <x v="802"/>
    <x v="1369"/>
    <x v="1329"/>
    <x v="76"/>
  </r>
  <r>
    <x v="1330"/>
    <x v="1330"/>
    <x v="254"/>
    <x v="5"/>
    <x v="31"/>
    <x v="40"/>
    <x v="22"/>
    <x v="9"/>
    <x v="7"/>
    <x v="88"/>
    <x v="73"/>
    <x v="16"/>
    <x v="23"/>
    <x v="846"/>
    <x v="309"/>
    <x v="7"/>
    <x v="776"/>
    <x v="1339"/>
    <x v="1330"/>
    <x v="76"/>
  </r>
  <r>
    <x v="1331"/>
    <x v="1331"/>
    <x v="255"/>
    <x v="5"/>
    <x v="35"/>
    <x v="1"/>
    <x v="22"/>
    <x v="9"/>
    <x v="7"/>
    <x v="88"/>
    <x v="73"/>
    <x v="13"/>
    <x v="23"/>
    <x v="630"/>
    <x v="123"/>
    <x v="7"/>
    <x v="612"/>
    <x v="1186"/>
    <x v="1331"/>
    <x v="76"/>
  </r>
  <r>
    <x v="1332"/>
    <x v="1332"/>
    <x v="256"/>
    <x v="5"/>
    <x v="33"/>
    <x v="26"/>
    <x v="22"/>
    <x v="9"/>
    <x v="7"/>
    <x v="88"/>
    <x v="73"/>
    <x v="13"/>
    <x v="23"/>
    <x v="684"/>
    <x v="183"/>
    <x v="7"/>
    <x v="628"/>
    <x v="1202"/>
    <x v="1332"/>
    <x v="76"/>
  </r>
  <r>
    <x v="1333"/>
    <x v="1333"/>
    <x v="548"/>
    <x v="8"/>
    <x v="26"/>
    <x v="16"/>
    <x v="3"/>
    <x v="1"/>
    <x v="4"/>
    <x v="88"/>
    <x v="73"/>
    <x v="15"/>
    <x v="4"/>
    <x v="509"/>
    <x v="66"/>
    <x v="14"/>
    <x v="519"/>
    <x v="819"/>
    <x v="1333"/>
    <x v="76"/>
  </r>
  <r>
    <x v="1334"/>
    <x v="1334"/>
    <x v="549"/>
    <x v="8"/>
    <x v="13"/>
    <x v="44"/>
    <x v="3"/>
    <x v="1"/>
    <x v="4"/>
    <x v="88"/>
    <x v="73"/>
    <x v="15"/>
    <x v="4"/>
    <x v="580"/>
    <x v="116"/>
    <x v="7"/>
    <x v="556"/>
    <x v="1124"/>
    <x v="1334"/>
    <x v="76"/>
  </r>
  <r>
    <x v="1335"/>
    <x v="1336"/>
    <x v="550"/>
    <x v="8"/>
    <x v="1"/>
    <x v="34"/>
    <x v="3"/>
    <x v="1"/>
    <x v="4"/>
    <x v="88"/>
    <x v="73"/>
    <x v="17"/>
    <x v="4"/>
    <x v="711"/>
    <x v="130"/>
    <x v="7"/>
    <x v="683"/>
    <x v="1251"/>
    <x v="1335"/>
    <x v="76"/>
  </r>
  <r>
    <x v="1336"/>
    <x v="1337"/>
    <x v="258"/>
    <x v="5"/>
    <x v="46"/>
    <x v="32"/>
    <x v="22"/>
    <x v="9"/>
    <x v="7"/>
    <x v="88"/>
    <x v="73"/>
    <x v="14"/>
    <x v="23"/>
    <x v="739"/>
    <x v="116"/>
    <x v="14"/>
    <x v="721"/>
    <x v="1211"/>
    <x v="1336"/>
    <x v="76"/>
  </r>
  <r>
    <x v="1337"/>
    <x v="1322"/>
    <x v="246"/>
    <x v="5"/>
    <x v="25"/>
    <x v="42"/>
    <x v="22"/>
    <x v="9"/>
    <x v="7"/>
    <x v="88"/>
    <x v="72"/>
    <x v="7"/>
    <x v="23"/>
    <x v="289"/>
    <x v="69"/>
    <x v="15"/>
    <x v="301"/>
    <x v="441"/>
    <x v="1337"/>
    <x v="76"/>
  </r>
  <r>
    <x v="1338"/>
    <x v="1338"/>
    <x v="257"/>
    <x v="5"/>
    <x v="27"/>
    <x v="46"/>
    <x v="22"/>
    <x v="9"/>
    <x v="7"/>
    <x v="88"/>
    <x v="73"/>
    <x v="20"/>
    <x v="23"/>
    <x v="902"/>
    <x v="338"/>
    <x v="9"/>
    <x v="847"/>
    <x v="1394"/>
    <x v="1338"/>
    <x v="76"/>
  </r>
  <r>
    <x v="1339"/>
    <x v="1339"/>
    <x v="260"/>
    <x v="5"/>
    <x v="29"/>
    <x v="15"/>
    <x v="22"/>
    <x v="9"/>
    <x v="7"/>
    <x v="88"/>
    <x v="73"/>
    <x v="14"/>
    <x v="23"/>
    <x v="763"/>
    <x v="139"/>
    <x v="6"/>
    <x v="733"/>
    <x v="1307"/>
    <x v="1339"/>
    <x v="76"/>
  </r>
  <r>
    <x v="1340"/>
    <x v="1340"/>
    <x v="259"/>
    <x v="5"/>
    <x v="45"/>
    <x v="0"/>
    <x v="22"/>
    <x v="9"/>
    <x v="7"/>
    <x v="88"/>
    <x v="73"/>
    <x v="11"/>
    <x v="23"/>
    <x v="364"/>
    <x v="100"/>
    <x v="10"/>
    <x v="350"/>
    <x v="697"/>
    <x v="1340"/>
    <x v="76"/>
  </r>
  <r>
    <x v="1341"/>
    <x v="1341"/>
    <x v="261"/>
    <x v="5"/>
    <x v="12"/>
    <x v="17"/>
    <x v="22"/>
    <x v="9"/>
    <x v="7"/>
    <x v="88"/>
    <x v="73"/>
    <x v="15"/>
    <x v="23"/>
    <x v="809"/>
    <x v="209"/>
    <x v="4"/>
    <x v="770"/>
    <x v="1345"/>
    <x v="1341"/>
    <x v="76"/>
  </r>
  <r>
    <x v="1342"/>
    <x v="1342"/>
    <x v="262"/>
    <x v="5"/>
    <x v="24"/>
    <x v="37"/>
    <x v="22"/>
    <x v="9"/>
    <x v="7"/>
    <x v="88"/>
    <x v="73"/>
    <x v="12"/>
    <x v="23"/>
    <x v="597"/>
    <x v="104"/>
    <x v="9"/>
    <x v="588"/>
    <x v="1103"/>
    <x v="1342"/>
    <x v="76"/>
  </r>
  <r>
    <x v="1343"/>
    <x v="1343"/>
    <x v="264"/>
    <x v="5"/>
    <x v="39"/>
    <x v="39"/>
    <x v="22"/>
    <x v="9"/>
    <x v="7"/>
    <x v="88"/>
    <x v="73"/>
    <x v="13"/>
    <x v="23"/>
    <x v="738"/>
    <x v="196"/>
    <x v="4"/>
    <x v="693"/>
    <x v="1277"/>
    <x v="1343"/>
    <x v="76"/>
  </r>
  <r>
    <x v="1344"/>
    <x v="1344"/>
    <x v="265"/>
    <x v="5"/>
    <x v="43"/>
    <x v="28"/>
    <x v="22"/>
    <x v="9"/>
    <x v="7"/>
    <x v="88"/>
    <x v="73"/>
    <x v="12"/>
    <x v="23"/>
    <x v="494"/>
    <x v="79"/>
    <x v="8"/>
    <x v="492"/>
    <x v="1017"/>
    <x v="1344"/>
    <x v="76"/>
  </r>
  <r>
    <x v="1345"/>
    <x v="1345"/>
    <x v="269"/>
    <x v="5"/>
    <x v="42"/>
    <x v="5"/>
    <x v="22"/>
    <x v="9"/>
    <x v="7"/>
    <x v="88"/>
    <x v="73"/>
    <x v="12"/>
    <x v="23"/>
    <x v="514"/>
    <x v="111"/>
    <x v="30"/>
    <x v="483"/>
    <x v="246"/>
    <x v="1345"/>
    <x v="76"/>
  </r>
  <r>
    <x v="1346"/>
    <x v="1346"/>
    <x v="263"/>
    <x v="5"/>
    <x v="2"/>
    <x v="18"/>
    <x v="22"/>
    <x v="9"/>
    <x v="7"/>
    <x v="88"/>
    <x v="74"/>
    <x v="22"/>
    <x v="23"/>
    <x v="933"/>
    <x v="386"/>
    <x v="4"/>
    <x v="850"/>
    <x v="1404"/>
    <x v="1346"/>
    <x v="77"/>
  </r>
  <r>
    <x v="1347"/>
    <x v="1347"/>
    <x v="268"/>
    <x v="5"/>
    <x v="23"/>
    <x v="45"/>
    <x v="22"/>
    <x v="9"/>
    <x v="7"/>
    <x v="88"/>
    <x v="74"/>
    <x v="13"/>
    <x v="23"/>
    <x v="577"/>
    <x v="131"/>
    <x v="6"/>
    <x v="539"/>
    <x v="1129"/>
    <x v="1347"/>
    <x v="77"/>
  </r>
  <r>
    <x v="1348"/>
    <x v="1348"/>
    <x v="267"/>
    <x v="5"/>
    <x v="4"/>
    <x v="2"/>
    <x v="22"/>
    <x v="9"/>
    <x v="7"/>
    <x v="88"/>
    <x v="74"/>
    <x v="12"/>
    <x v="23"/>
    <x v="326"/>
    <x v="26"/>
    <x v="12"/>
    <x v="387"/>
    <x v="677"/>
    <x v="1348"/>
    <x v="77"/>
  </r>
  <r>
    <x v="1349"/>
    <x v="1350"/>
    <x v="271"/>
    <x v="5"/>
    <x v="0"/>
    <x v="36"/>
    <x v="22"/>
    <x v="9"/>
    <x v="7"/>
    <x v="88"/>
    <x v="74"/>
    <x v="11"/>
    <x v="23"/>
    <x v="341"/>
    <x v="109"/>
    <x v="23"/>
    <x v="319"/>
    <x v="274"/>
    <x v="1349"/>
    <x v="77"/>
  </r>
  <r>
    <x v="1350"/>
    <x v="1351"/>
    <x v="270"/>
    <x v="5"/>
    <x v="30"/>
    <x v="30"/>
    <x v="22"/>
    <x v="9"/>
    <x v="7"/>
    <x v="88"/>
    <x v="74"/>
    <x v="13"/>
    <x v="23"/>
    <x v="559"/>
    <x v="104"/>
    <x v="8"/>
    <x v="543"/>
    <x v="1080"/>
    <x v="1350"/>
    <x v="77"/>
  </r>
  <r>
    <x v="1351"/>
    <x v="1349"/>
    <x v="274"/>
    <x v="5"/>
    <x v="38"/>
    <x v="12"/>
    <x v="22"/>
    <x v="9"/>
    <x v="7"/>
    <x v="88"/>
    <x v="73"/>
    <x v="12"/>
    <x v="23"/>
    <x v="513"/>
    <x v="105"/>
    <x v="22"/>
    <x v="488"/>
    <x v="437"/>
    <x v="1351"/>
    <x v="77"/>
  </r>
  <r>
    <x v="1352"/>
    <x v="1355"/>
    <x v="272"/>
    <x v="5"/>
    <x v="32"/>
    <x v="25"/>
    <x v="22"/>
    <x v="9"/>
    <x v="7"/>
    <x v="88"/>
    <x v="73"/>
    <x v="15"/>
    <x v="23"/>
    <x v="833"/>
    <x v="275"/>
    <x v="7"/>
    <x v="767"/>
    <x v="1334"/>
    <x v="1352"/>
    <x v="77"/>
  </r>
  <r>
    <x v="1353"/>
    <x v="1354"/>
    <x v="273"/>
    <x v="5"/>
    <x v="22"/>
    <x v="13"/>
    <x v="22"/>
    <x v="9"/>
    <x v="7"/>
    <x v="88"/>
    <x v="73"/>
    <x v="15"/>
    <x v="23"/>
    <x v="805"/>
    <x v="260"/>
    <x v="10"/>
    <x v="743"/>
    <x v="1284"/>
    <x v="1353"/>
    <x v="77"/>
  </r>
  <r>
    <x v="1354"/>
    <x v="1356"/>
    <x v="275"/>
    <x v="5"/>
    <x v="31"/>
    <x v="40"/>
    <x v="22"/>
    <x v="9"/>
    <x v="7"/>
    <x v="88"/>
    <x v="73"/>
    <x v="16"/>
    <x v="23"/>
    <x v="856"/>
    <x v="302"/>
    <x v="2"/>
    <x v="787"/>
    <x v="1364"/>
    <x v="1354"/>
    <x v="77"/>
  </r>
  <r>
    <x v="1355"/>
    <x v="1363"/>
    <x v="276"/>
    <x v="5"/>
    <x v="28"/>
    <x v="33"/>
    <x v="22"/>
    <x v="9"/>
    <x v="7"/>
    <x v="88"/>
    <x v="74"/>
    <x v="20"/>
    <x v="23"/>
    <x v="900"/>
    <x v="369"/>
    <x v="8"/>
    <x v="810"/>
    <x v="1380"/>
    <x v="1355"/>
    <x v="77"/>
  </r>
  <r>
    <x v="1356"/>
    <x v="1352"/>
    <x v="551"/>
    <x v="8"/>
    <x v="25"/>
    <x v="42"/>
    <x v="3"/>
    <x v="1"/>
    <x v="4"/>
    <x v="88"/>
    <x v="74"/>
    <x v="15"/>
    <x v="4"/>
    <x v="341"/>
    <x v="57"/>
    <x v="12"/>
    <x v="365"/>
    <x v="646"/>
    <x v="1356"/>
    <x v="77"/>
  </r>
  <r>
    <x v="1357"/>
    <x v="1353"/>
    <x v="552"/>
    <x v="8"/>
    <x v="34"/>
    <x v="6"/>
    <x v="3"/>
    <x v="1"/>
    <x v="4"/>
    <x v="88"/>
    <x v="74"/>
    <x v="16"/>
    <x v="4"/>
    <x v="430"/>
    <x v="125"/>
    <x v="8"/>
    <x v="391"/>
    <x v="864"/>
    <x v="1357"/>
    <x v="77"/>
  </r>
  <r>
    <x v="1358"/>
    <x v="1357"/>
    <x v="553"/>
    <x v="8"/>
    <x v="10"/>
    <x v="27"/>
    <x v="3"/>
    <x v="1"/>
    <x v="4"/>
    <x v="88"/>
    <x v="74"/>
    <x v="17"/>
    <x v="4"/>
    <x v="612"/>
    <x v="108"/>
    <x v="11"/>
    <x v="603"/>
    <x v="1061"/>
    <x v="1358"/>
    <x v="77"/>
  </r>
  <r>
    <x v="1359"/>
    <x v="1359"/>
    <x v="555"/>
    <x v="8"/>
    <x v="9"/>
    <x v="41"/>
    <x v="3"/>
    <x v="1"/>
    <x v="4"/>
    <x v="88"/>
    <x v="74"/>
    <x v="17"/>
    <x v="4"/>
    <x v="698"/>
    <x v="258"/>
    <x v="7"/>
    <x v="565"/>
    <x v="1134"/>
    <x v="1359"/>
    <x v="77"/>
  </r>
  <r>
    <x v="1360"/>
    <x v="1360"/>
    <x v="554"/>
    <x v="8"/>
    <x v="11"/>
    <x v="31"/>
    <x v="3"/>
    <x v="1"/>
    <x v="4"/>
    <x v="88"/>
    <x v="74"/>
    <x v="16"/>
    <x v="4"/>
    <x v="497"/>
    <x v="103"/>
    <x v="10"/>
    <x v="474"/>
    <x v="917"/>
    <x v="1360"/>
    <x v="77"/>
  </r>
  <r>
    <x v="1361"/>
    <x v="1361"/>
    <x v="278"/>
    <x v="5"/>
    <x v="35"/>
    <x v="1"/>
    <x v="22"/>
    <x v="9"/>
    <x v="7"/>
    <x v="88"/>
    <x v="74"/>
    <x v="14"/>
    <x v="23"/>
    <x v="665"/>
    <x v="102"/>
    <x v="9"/>
    <x v="657"/>
    <x v="1199"/>
    <x v="1361"/>
    <x v="77"/>
  </r>
  <r>
    <x v="1362"/>
    <x v="1362"/>
    <x v="279"/>
    <x v="5"/>
    <x v="33"/>
    <x v="26"/>
    <x v="22"/>
    <x v="9"/>
    <x v="7"/>
    <x v="88"/>
    <x v="74"/>
    <x v="15"/>
    <x v="23"/>
    <x v="761"/>
    <x v="192"/>
    <x v="6"/>
    <x v="720"/>
    <x v="1287"/>
    <x v="1362"/>
    <x v="77"/>
  </r>
  <r>
    <x v="1363"/>
    <x v="1358"/>
    <x v="277"/>
    <x v="5"/>
    <x v="14"/>
    <x v="3"/>
    <x v="22"/>
    <x v="9"/>
    <x v="7"/>
    <x v="88"/>
    <x v="73"/>
    <x v="12"/>
    <x v="23"/>
    <x v="580"/>
    <x v="115"/>
    <x v="9"/>
    <x v="557"/>
    <x v="1064"/>
    <x v="1363"/>
    <x v="77"/>
  </r>
  <r>
    <x v="1364"/>
    <x v="1364"/>
    <x v="281"/>
    <x v="5"/>
    <x v="13"/>
    <x v="44"/>
    <x v="22"/>
    <x v="9"/>
    <x v="7"/>
    <x v="88"/>
    <x v="74"/>
    <x v="13"/>
    <x v="23"/>
    <x v="566"/>
    <x v="129"/>
    <x v="3"/>
    <x v="529"/>
    <x v="1162"/>
    <x v="1364"/>
    <x v="77"/>
  </r>
  <r>
    <x v="1365"/>
    <x v="1365"/>
    <x v="280"/>
    <x v="5"/>
    <x v="26"/>
    <x v="16"/>
    <x v="22"/>
    <x v="9"/>
    <x v="7"/>
    <x v="88"/>
    <x v="75"/>
    <x v="15"/>
    <x v="23"/>
    <x v="505"/>
    <x v="65"/>
    <x v="11"/>
    <x v="515"/>
    <x v="950"/>
    <x v="1365"/>
    <x v="78"/>
  </r>
  <r>
    <x v="1366"/>
    <x v="1366"/>
    <x v="282"/>
    <x v="5"/>
    <x v="1"/>
    <x v="34"/>
    <x v="22"/>
    <x v="9"/>
    <x v="7"/>
    <x v="88"/>
    <x v="75"/>
    <x v="16"/>
    <x v="23"/>
    <x v="650"/>
    <x v="134"/>
    <x v="1"/>
    <x v="624"/>
    <x v="1258"/>
    <x v="1366"/>
    <x v="78"/>
  </r>
  <r>
    <x v="1367"/>
    <x v="1367"/>
    <x v="283"/>
    <x v="5"/>
    <x v="46"/>
    <x v="32"/>
    <x v="22"/>
    <x v="9"/>
    <x v="7"/>
    <x v="88"/>
    <x v="75"/>
    <x v="17"/>
    <x v="23"/>
    <x v="725"/>
    <x v="126"/>
    <x v="6"/>
    <x v="703"/>
    <x v="1274"/>
    <x v="1367"/>
    <x v="78"/>
  </r>
  <r>
    <x v="1368"/>
    <x v="1368"/>
    <x v="285"/>
    <x v="5"/>
    <x v="29"/>
    <x v="15"/>
    <x v="22"/>
    <x v="9"/>
    <x v="7"/>
    <x v="88"/>
    <x v="75"/>
    <x v="17"/>
    <x v="23"/>
    <x v="748"/>
    <x v="127"/>
    <x v="12"/>
    <x v="722"/>
    <x v="1245"/>
    <x v="1368"/>
    <x v="78"/>
  </r>
  <r>
    <x v="1369"/>
    <x v="1369"/>
    <x v="284"/>
    <x v="5"/>
    <x v="3"/>
    <x v="10"/>
    <x v="22"/>
    <x v="9"/>
    <x v="7"/>
    <x v="88"/>
    <x v="75"/>
    <x v="13"/>
    <x v="23"/>
    <x v="219"/>
    <x v="12"/>
    <x v="13"/>
    <x v="285"/>
    <x v="480"/>
    <x v="1369"/>
    <x v="78"/>
  </r>
  <r>
    <x v="1370"/>
    <x v="1370"/>
    <x v="286"/>
    <x v="5"/>
    <x v="15"/>
    <x v="43"/>
    <x v="22"/>
    <x v="9"/>
    <x v="7"/>
    <x v="88"/>
    <x v="75"/>
    <x v="14"/>
    <x v="23"/>
    <x v="535"/>
    <x v="168"/>
    <x v="14"/>
    <x v="454"/>
    <x v="706"/>
    <x v="1370"/>
    <x v="78"/>
  </r>
  <r>
    <x v="1371"/>
    <x v="1371"/>
    <x v="288"/>
    <x v="5"/>
    <x v="12"/>
    <x v="17"/>
    <x v="22"/>
    <x v="9"/>
    <x v="7"/>
    <x v="88"/>
    <x v="75"/>
    <x v="19"/>
    <x v="23"/>
    <x v="808"/>
    <x v="195"/>
    <x v="12"/>
    <x v="771"/>
    <x v="1313"/>
    <x v="1371"/>
    <x v="78"/>
  </r>
  <r>
    <x v="1372"/>
    <x v="1372"/>
    <x v="289"/>
    <x v="5"/>
    <x v="45"/>
    <x v="0"/>
    <x v="22"/>
    <x v="9"/>
    <x v="7"/>
    <x v="88"/>
    <x v="75"/>
    <x v="15"/>
    <x v="23"/>
    <x v="525"/>
    <x v="95"/>
    <x v="12"/>
    <x v="509"/>
    <x v="895"/>
    <x v="1372"/>
    <x v="78"/>
  </r>
  <r>
    <x v="1373"/>
    <x v="1374"/>
    <x v="287"/>
    <x v="5"/>
    <x v="27"/>
    <x v="46"/>
    <x v="22"/>
    <x v="9"/>
    <x v="7"/>
    <x v="88"/>
    <x v="75"/>
    <x v="26"/>
    <x v="23"/>
    <x v="920"/>
    <x v="332"/>
    <x v="2"/>
    <x v="851"/>
    <x v="1406"/>
    <x v="1373"/>
    <x v="78"/>
  </r>
  <r>
    <x v="1374"/>
    <x v="1373"/>
    <x v="290"/>
    <x v="5"/>
    <x v="41"/>
    <x v="23"/>
    <x v="22"/>
    <x v="9"/>
    <x v="7"/>
    <x v="88"/>
    <x v="75"/>
    <x v="18"/>
    <x v="23"/>
    <x v="749"/>
    <x v="69"/>
    <x v="12"/>
    <x v="730"/>
    <x v="1264"/>
    <x v="1374"/>
    <x v="78"/>
  </r>
  <r>
    <x v="1375"/>
    <x v="1375"/>
    <x v="291"/>
    <x v="5"/>
    <x v="24"/>
    <x v="37"/>
    <x v="22"/>
    <x v="9"/>
    <x v="7"/>
    <x v="88"/>
    <x v="75"/>
    <x v="17"/>
    <x v="23"/>
    <x v="712"/>
    <x v="116"/>
    <x v="4"/>
    <x v="689"/>
    <x v="1275"/>
    <x v="1375"/>
    <x v="78"/>
  </r>
  <r>
    <x v="1376"/>
    <x v="1376"/>
    <x v="293"/>
    <x v="5"/>
    <x v="43"/>
    <x v="28"/>
    <x v="22"/>
    <x v="9"/>
    <x v="7"/>
    <x v="88"/>
    <x v="75"/>
    <x v="14"/>
    <x v="23"/>
    <x v="405"/>
    <x v="84"/>
    <x v="4"/>
    <x v="405"/>
    <x v="1000"/>
    <x v="1376"/>
    <x v="78"/>
  </r>
  <r>
    <x v="1377"/>
    <x v="1377"/>
    <x v="292"/>
    <x v="5"/>
    <x v="39"/>
    <x v="39"/>
    <x v="22"/>
    <x v="9"/>
    <x v="7"/>
    <x v="88"/>
    <x v="75"/>
    <x v="16"/>
    <x v="23"/>
    <x v="719"/>
    <x v="185"/>
    <x v="10"/>
    <x v="664"/>
    <x v="1197"/>
    <x v="1377"/>
    <x v="78"/>
  </r>
  <r>
    <x v="1378"/>
    <x v="1378"/>
    <x v="294"/>
    <x v="5"/>
    <x v="16"/>
    <x v="35"/>
    <x v="22"/>
    <x v="9"/>
    <x v="7"/>
    <x v="88"/>
    <x v="75"/>
    <x v="12"/>
    <x v="23"/>
    <x v="157"/>
    <x v="67"/>
    <x v="13"/>
    <x v="156"/>
    <x v="325"/>
    <x v="1378"/>
    <x v="78"/>
  </r>
  <r>
    <x v="1379"/>
    <x v="1379"/>
    <x v="296"/>
    <x v="5"/>
    <x v="23"/>
    <x v="45"/>
    <x v="22"/>
    <x v="9"/>
    <x v="7"/>
    <x v="88"/>
    <x v="75"/>
    <x v="15"/>
    <x v="23"/>
    <x v="575"/>
    <x v="125"/>
    <x v="8"/>
    <x v="542"/>
    <x v="1078"/>
    <x v="1379"/>
    <x v="79"/>
  </r>
  <r>
    <x v="1380"/>
    <x v="1380"/>
    <x v="297"/>
    <x v="5"/>
    <x v="4"/>
    <x v="2"/>
    <x v="22"/>
    <x v="9"/>
    <x v="7"/>
    <x v="88"/>
    <x v="75"/>
    <x v="13"/>
    <x v="23"/>
    <x v="199"/>
    <x v="15"/>
    <x v="16"/>
    <x v="251"/>
    <x v="370"/>
    <x v="1380"/>
    <x v="79"/>
  </r>
  <r>
    <x v="1381"/>
    <x v="1381"/>
    <x v="298"/>
    <x v="5"/>
    <x v="30"/>
    <x v="30"/>
    <x v="22"/>
    <x v="9"/>
    <x v="7"/>
    <x v="88"/>
    <x v="75"/>
    <x v="14"/>
    <x v="23"/>
    <x v="420"/>
    <x v="89"/>
    <x v="4"/>
    <x v="415"/>
    <x v="1013"/>
    <x v="1381"/>
    <x v="79"/>
  </r>
  <r>
    <x v="1382"/>
    <x v="1382"/>
    <x v="295"/>
    <x v="5"/>
    <x v="2"/>
    <x v="18"/>
    <x v="22"/>
    <x v="9"/>
    <x v="7"/>
    <x v="88"/>
    <x v="76"/>
    <x v="17"/>
    <x v="23"/>
    <x v="932"/>
    <x v="384"/>
    <x v="9"/>
    <x v="849"/>
    <x v="1401"/>
    <x v="1382"/>
    <x v="79"/>
  </r>
  <r>
    <x v="1383"/>
    <x v="1383"/>
    <x v="299"/>
    <x v="5"/>
    <x v="0"/>
    <x v="36"/>
    <x v="22"/>
    <x v="9"/>
    <x v="7"/>
    <x v="88"/>
    <x v="76"/>
    <x v="12"/>
    <x v="23"/>
    <x v="466"/>
    <x v="114"/>
    <x v="12"/>
    <x v="436"/>
    <x v="758"/>
    <x v="1383"/>
    <x v="79"/>
  </r>
  <r>
    <x v="1384"/>
    <x v="1384"/>
    <x v="301"/>
    <x v="5"/>
    <x v="36"/>
    <x v="29"/>
    <x v="22"/>
    <x v="9"/>
    <x v="7"/>
    <x v="88"/>
    <x v="76"/>
    <x v="12"/>
    <x v="23"/>
    <x v="689"/>
    <x v="217"/>
    <x v="7"/>
    <x v="611"/>
    <x v="1183"/>
    <x v="1384"/>
    <x v="79"/>
  </r>
  <r>
    <x v="1385"/>
    <x v="1385"/>
    <x v="302"/>
    <x v="5"/>
    <x v="25"/>
    <x v="42"/>
    <x v="22"/>
    <x v="9"/>
    <x v="7"/>
    <x v="88"/>
    <x v="76"/>
    <x v="12"/>
    <x v="23"/>
    <x v="433"/>
    <x v="61"/>
    <x v="13"/>
    <x v="451"/>
    <x v="746"/>
    <x v="1385"/>
    <x v="79"/>
  </r>
  <r>
    <x v="1386"/>
    <x v="1386"/>
    <x v="303"/>
    <x v="5"/>
    <x v="34"/>
    <x v="6"/>
    <x v="22"/>
    <x v="9"/>
    <x v="7"/>
    <x v="88"/>
    <x v="76"/>
    <x v="11"/>
    <x v="23"/>
    <x v="499"/>
    <x v="130"/>
    <x v="9"/>
    <x v="451"/>
    <x v="925"/>
    <x v="1386"/>
    <x v="79"/>
  </r>
  <r>
    <x v="1387"/>
    <x v="1387"/>
    <x v="300"/>
    <x v="5"/>
    <x v="31"/>
    <x v="40"/>
    <x v="22"/>
    <x v="9"/>
    <x v="7"/>
    <x v="88"/>
    <x v="75"/>
    <x v="22"/>
    <x v="23"/>
    <x v="861"/>
    <x v="308"/>
    <x v="16"/>
    <x v="796"/>
    <x v="1320"/>
    <x v="1387"/>
    <x v="79"/>
  </r>
  <r>
    <x v="1388"/>
    <x v="1388"/>
    <x v="304"/>
    <x v="5"/>
    <x v="10"/>
    <x v="27"/>
    <x v="22"/>
    <x v="9"/>
    <x v="7"/>
    <x v="88"/>
    <x v="75"/>
    <x v="16"/>
    <x v="23"/>
    <x v="554"/>
    <x v="116"/>
    <x v="2"/>
    <x v="528"/>
    <x v="1188"/>
    <x v="1388"/>
    <x v="79"/>
  </r>
  <r>
    <x v="1389"/>
    <x v="1389"/>
    <x v="306"/>
    <x v="5"/>
    <x v="38"/>
    <x v="12"/>
    <x v="22"/>
    <x v="9"/>
    <x v="7"/>
    <x v="88"/>
    <x v="75"/>
    <x v="16"/>
    <x v="23"/>
    <x v="505"/>
    <x v="97"/>
    <x v="10"/>
    <x v="487"/>
    <x v="941"/>
    <x v="1389"/>
    <x v="79"/>
  </r>
  <r>
    <x v="1390"/>
    <x v="1390"/>
    <x v="305"/>
    <x v="5"/>
    <x v="22"/>
    <x v="13"/>
    <x v="22"/>
    <x v="9"/>
    <x v="7"/>
    <x v="88"/>
    <x v="76"/>
    <x v="14"/>
    <x v="23"/>
    <x v="800"/>
    <x v="263"/>
    <x v="15"/>
    <x v="732"/>
    <x v="1227"/>
    <x v="1390"/>
    <x v="79"/>
  </r>
  <r>
    <x v="1391"/>
    <x v="1391"/>
    <x v="307"/>
    <x v="5"/>
    <x v="42"/>
    <x v="5"/>
    <x v="22"/>
    <x v="9"/>
    <x v="7"/>
    <x v="88"/>
    <x v="76"/>
    <x v="12"/>
    <x v="23"/>
    <x v="599"/>
    <x v="117"/>
    <x v="10"/>
    <x v="580"/>
    <x v="1062"/>
    <x v="1391"/>
    <x v="79"/>
  </r>
  <r>
    <x v="1392"/>
    <x v="1393"/>
    <x v="308"/>
    <x v="5"/>
    <x v="9"/>
    <x v="41"/>
    <x v="22"/>
    <x v="9"/>
    <x v="7"/>
    <x v="88"/>
    <x v="76"/>
    <x v="13"/>
    <x v="23"/>
    <x v="772"/>
    <x v="249"/>
    <x v="7"/>
    <x v="716"/>
    <x v="1280"/>
    <x v="1392"/>
    <x v="79"/>
  </r>
  <r>
    <x v="1393"/>
    <x v="1392"/>
    <x v="309"/>
    <x v="5"/>
    <x v="11"/>
    <x v="31"/>
    <x v="22"/>
    <x v="9"/>
    <x v="7"/>
    <x v="88"/>
    <x v="76"/>
    <x v="12"/>
    <x v="23"/>
    <x v="487"/>
    <x v="84"/>
    <x v="2"/>
    <x v="482"/>
    <x v="1145"/>
    <x v="1393"/>
    <x v="79"/>
  </r>
  <r>
    <x v="1394"/>
    <x v="1394"/>
    <x v="411"/>
    <x v="8"/>
    <x v="1"/>
    <x v="34"/>
    <x v="3"/>
    <x v="1"/>
    <x v="4"/>
    <x v="88"/>
    <x v="76"/>
    <x v="17"/>
    <x v="4"/>
    <x v="690"/>
    <x v="123"/>
    <x v="21"/>
    <x v="664"/>
    <x v="816"/>
    <x v="1394"/>
    <x v="80"/>
  </r>
  <r>
    <x v="1395"/>
    <x v="1395"/>
    <x v="412"/>
    <x v="8"/>
    <x v="46"/>
    <x v="32"/>
    <x v="3"/>
    <x v="1"/>
    <x v="4"/>
    <x v="88"/>
    <x v="76"/>
    <x v="18"/>
    <x v="4"/>
    <x v="758"/>
    <x v="111"/>
    <x v="13"/>
    <x v="731"/>
    <x v="1252"/>
    <x v="1395"/>
    <x v="80"/>
  </r>
  <r>
    <x v="1396"/>
    <x v="1396"/>
    <x v="414"/>
    <x v="8"/>
    <x v="3"/>
    <x v="10"/>
    <x v="3"/>
    <x v="1"/>
    <x v="4"/>
    <x v="88"/>
    <x v="76"/>
    <x v="14"/>
    <x v="4"/>
    <x v="221"/>
    <x v="11"/>
    <x v="19"/>
    <x v="288"/>
    <x v="329"/>
    <x v="1396"/>
    <x v="80"/>
  </r>
  <r>
    <x v="1397"/>
    <x v="1398"/>
    <x v="415"/>
    <x v="8"/>
    <x v="33"/>
    <x v="26"/>
    <x v="3"/>
    <x v="1"/>
    <x v="4"/>
    <x v="88"/>
    <x v="76"/>
    <x v="18"/>
    <x v="4"/>
    <x v="770"/>
    <x v="175"/>
    <x v="6"/>
    <x v="734"/>
    <x v="1308"/>
    <x v="1397"/>
    <x v="80"/>
  </r>
  <r>
    <x v="1398"/>
    <x v="1399"/>
    <x v="413"/>
    <x v="8"/>
    <x v="28"/>
    <x v="33"/>
    <x v="3"/>
    <x v="1"/>
    <x v="4"/>
    <x v="88"/>
    <x v="76"/>
    <x v="24"/>
    <x v="4"/>
    <x v="909"/>
    <x v="357"/>
    <x v="9"/>
    <x v="816"/>
    <x v="1381"/>
    <x v="1398"/>
    <x v="80"/>
  </r>
  <r>
    <x v="1399"/>
    <x v="1400"/>
    <x v="416"/>
    <x v="8"/>
    <x v="14"/>
    <x v="3"/>
    <x v="3"/>
    <x v="1"/>
    <x v="4"/>
    <x v="88"/>
    <x v="76"/>
    <x v="16"/>
    <x v="4"/>
    <x v="596"/>
    <x v="106"/>
    <x v="19"/>
    <x v="586"/>
    <x v="703"/>
    <x v="1399"/>
    <x v="80"/>
  </r>
  <r>
    <x v="1400"/>
    <x v="1401"/>
    <x v="417"/>
    <x v="8"/>
    <x v="27"/>
    <x v="46"/>
    <x v="3"/>
    <x v="1"/>
    <x v="4"/>
    <x v="88"/>
    <x v="76"/>
    <x v="26"/>
    <x v="4"/>
    <x v="903"/>
    <x v="328"/>
    <x v="6"/>
    <x v="848"/>
    <x v="1402"/>
    <x v="1400"/>
    <x v="80"/>
  </r>
  <r>
    <x v="1401"/>
    <x v="1406"/>
    <x v="310"/>
    <x v="5"/>
    <x v="48"/>
    <x v="8"/>
    <x v="21"/>
    <x v="9"/>
    <x v="7"/>
    <x v="88"/>
    <x v="77"/>
    <x v="7"/>
    <x v="22"/>
    <x v="17"/>
    <x v="41"/>
    <x v="21"/>
    <x v="17"/>
    <x v="26"/>
    <x v="1401"/>
    <x v="80"/>
  </r>
  <r>
    <x v="1402"/>
    <x v="1402"/>
    <x v="418"/>
    <x v="8"/>
    <x v="41"/>
    <x v="23"/>
    <x v="3"/>
    <x v="1"/>
    <x v="4"/>
    <x v="88"/>
    <x v="76"/>
    <x v="18"/>
    <x v="4"/>
    <x v="724"/>
    <x v="51"/>
    <x v="13"/>
    <x v="719"/>
    <x v="1223"/>
    <x v="1402"/>
    <x v="80"/>
  </r>
  <r>
    <x v="1403"/>
    <x v="1403"/>
    <x v="419"/>
    <x v="8"/>
    <x v="24"/>
    <x v="37"/>
    <x v="3"/>
    <x v="1"/>
    <x v="4"/>
    <x v="88"/>
    <x v="77"/>
    <x v="18"/>
    <x v="4"/>
    <x v="631"/>
    <x v="101"/>
    <x v="23"/>
    <x v="624"/>
    <x v="607"/>
    <x v="1403"/>
    <x v="80"/>
  </r>
  <r>
    <x v="1404"/>
    <x v="1404"/>
    <x v="420"/>
    <x v="8"/>
    <x v="29"/>
    <x v="15"/>
    <x v="3"/>
    <x v="1"/>
    <x v="4"/>
    <x v="88"/>
    <x v="77"/>
    <x v="20"/>
    <x v="4"/>
    <x v="765"/>
    <x v="128"/>
    <x v="26"/>
    <x v="739"/>
    <x v="919"/>
    <x v="1404"/>
    <x v="80"/>
  </r>
  <r>
    <x v="1405"/>
    <x v="1405"/>
    <x v="421"/>
    <x v="8"/>
    <x v="35"/>
    <x v="1"/>
    <x v="3"/>
    <x v="1"/>
    <x v="4"/>
    <x v="88"/>
    <x v="77"/>
    <x v="19"/>
    <x v="4"/>
    <x v="692"/>
    <x v="104"/>
    <x v="19"/>
    <x v="676"/>
    <x v="952"/>
    <x v="1405"/>
    <x v="80"/>
  </r>
  <r>
    <x v="1406"/>
    <x v="1407"/>
    <x v="422"/>
    <x v="8"/>
    <x v="15"/>
    <x v="43"/>
    <x v="3"/>
    <x v="1"/>
    <x v="4"/>
    <x v="88"/>
    <x v="77"/>
    <x v="16"/>
    <x v="4"/>
    <x v="508"/>
    <x v="164"/>
    <x v="17"/>
    <x v="428"/>
    <x v="547"/>
    <x v="1406"/>
    <x v="80"/>
  </r>
  <r>
    <x v="1407"/>
    <x v="1408"/>
    <x v="423"/>
    <x v="8"/>
    <x v="23"/>
    <x v="45"/>
    <x v="3"/>
    <x v="1"/>
    <x v="4"/>
    <x v="88"/>
    <x v="77"/>
    <x v="17"/>
    <x v="4"/>
    <x v="548"/>
    <x v="114"/>
    <x v="23"/>
    <x v="523"/>
    <x v="443"/>
    <x v="1407"/>
    <x v="80"/>
  </r>
  <r>
    <x v="1408"/>
    <x v="1409"/>
    <x v="424"/>
    <x v="8"/>
    <x v="26"/>
    <x v="16"/>
    <x v="3"/>
    <x v="1"/>
    <x v="4"/>
    <x v="88"/>
    <x v="77"/>
    <x v="17"/>
    <x v="4"/>
    <x v="495"/>
    <x v="64"/>
    <x v="17"/>
    <x v="506"/>
    <x v="658"/>
    <x v="1408"/>
    <x v="80"/>
  </r>
  <r>
    <x v="1409"/>
    <x v="1410"/>
    <x v="425"/>
    <x v="8"/>
    <x v="13"/>
    <x v="44"/>
    <x v="3"/>
    <x v="1"/>
    <x v="4"/>
    <x v="88"/>
    <x v="77"/>
    <x v="18"/>
    <x v="4"/>
    <x v="617"/>
    <x v="117"/>
    <x v="10"/>
    <x v="604"/>
    <x v="1098"/>
    <x v="1409"/>
    <x v="80"/>
  </r>
  <r>
    <x v="1410"/>
    <x v="1411"/>
    <x v="427"/>
    <x v="8"/>
    <x v="45"/>
    <x v="0"/>
    <x v="3"/>
    <x v="1"/>
    <x v="4"/>
    <x v="88"/>
    <x v="77"/>
    <x v="16"/>
    <x v="4"/>
    <x v="405"/>
    <x v="80"/>
    <x v="24"/>
    <x v="409"/>
    <x v="321"/>
    <x v="1410"/>
    <x v="81"/>
  </r>
  <r>
    <x v="1411"/>
    <x v="1412"/>
    <x v="428"/>
    <x v="8"/>
    <x v="2"/>
    <x v="18"/>
    <x v="3"/>
    <x v="1"/>
    <x v="4"/>
    <x v="88"/>
    <x v="77"/>
    <x v="28"/>
    <x v="4"/>
    <x v="930"/>
    <x v="376"/>
    <x v="19"/>
    <x v="843"/>
    <x v="1365"/>
    <x v="1411"/>
    <x v="81"/>
  </r>
  <r>
    <x v="1412"/>
    <x v="1413"/>
    <x v="431"/>
    <x v="8"/>
    <x v="36"/>
    <x v="29"/>
    <x v="3"/>
    <x v="1"/>
    <x v="4"/>
    <x v="88"/>
    <x v="77"/>
    <x v="18"/>
    <x v="4"/>
    <x v="679"/>
    <x v="208"/>
    <x v="7"/>
    <x v="607"/>
    <x v="1176"/>
    <x v="1412"/>
    <x v="81"/>
  </r>
  <r>
    <x v="1413"/>
    <x v="1414"/>
    <x v="429"/>
    <x v="8"/>
    <x v="30"/>
    <x v="30"/>
    <x v="3"/>
    <x v="1"/>
    <x v="4"/>
    <x v="88"/>
    <x v="77"/>
    <x v="17"/>
    <x v="4"/>
    <x v="510"/>
    <x v="84"/>
    <x v="26"/>
    <x v="503"/>
    <x v="354"/>
    <x v="1413"/>
    <x v="81"/>
  </r>
  <r>
    <x v="1414"/>
    <x v="1415"/>
    <x v="430"/>
    <x v="8"/>
    <x v="0"/>
    <x v="36"/>
    <x v="3"/>
    <x v="1"/>
    <x v="4"/>
    <x v="88"/>
    <x v="77"/>
    <x v="15"/>
    <x v="4"/>
    <x v="349"/>
    <x v="101"/>
    <x v="26"/>
    <x v="336"/>
    <x v="226"/>
    <x v="1414"/>
    <x v="81"/>
  </r>
  <r>
    <x v="1415"/>
    <x v="1416"/>
    <x v="432"/>
    <x v="8"/>
    <x v="25"/>
    <x v="42"/>
    <x v="3"/>
    <x v="1"/>
    <x v="4"/>
    <x v="88"/>
    <x v="77"/>
    <x v="16"/>
    <x v="4"/>
    <x v="419"/>
    <x v="58"/>
    <x v="29"/>
    <x v="441"/>
    <x v="238"/>
    <x v="1415"/>
    <x v="81"/>
  </r>
  <r>
    <x v="1416"/>
    <x v="1417"/>
    <x v="433"/>
    <x v="8"/>
    <x v="34"/>
    <x v="6"/>
    <x v="3"/>
    <x v="1"/>
    <x v="4"/>
    <x v="88"/>
    <x v="77"/>
    <x v="16"/>
    <x v="4"/>
    <x v="407"/>
    <x v="126"/>
    <x v="13"/>
    <x v="368"/>
    <x v="615"/>
    <x v="1416"/>
    <x v="81"/>
  </r>
  <r>
    <x v="1417"/>
    <x v="1418"/>
    <x v="434"/>
    <x v="8"/>
    <x v="10"/>
    <x v="27"/>
    <x v="3"/>
    <x v="1"/>
    <x v="4"/>
    <x v="88"/>
    <x v="77"/>
    <x v="17"/>
    <x v="4"/>
    <x v="564"/>
    <x v="105"/>
    <x v="13"/>
    <x v="546"/>
    <x v="913"/>
    <x v="1417"/>
    <x v="81"/>
  </r>
  <r>
    <x v="1418"/>
    <x v="1419"/>
    <x v="435"/>
    <x v="8"/>
    <x v="43"/>
    <x v="28"/>
    <x v="3"/>
    <x v="1"/>
    <x v="4"/>
    <x v="88"/>
    <x v="77"/>
    <x v="17"/>
    <x v="4"/>
    <x v="526"/>
    <x v="82"/>
    <x v="12"/>
    <x v="522"/>
    <x v="913"/>
    <x v="1418"/>
    <x v="81"/>
  </r>
  <r>
    <x v="1419"/>
    <x v="1420"/>
    <x v="436"/>
    <x v="8"/>
    <x v="4"/>
    <x v="2"/>
    <x v="3"/>
    <x v="1"/>
    <x v="4"/>
    <x v="88"/>
    <x v="78"/>
    <x v="11"/>
    <x v="4"/>
    <x v="218"/>
    <x v="26"/>
    <x v="26"/>
    <x v="266"/>
    <x v="194"/>
    <x v="1419"/>
    <x v="81"/>
  </r>
  <r>
    <x v="1420"/>
    <x v="1421"/>
    <x v="384"/>
    <x v="8"/>
    <x v="39"/>
    <x v="39"/>
    <x v="3"/>
    <x v="1"/>
    <x v="4"/>
    <x v="88"/>
    <x v="78"/>
    <x v="14"/>
    <x v="4"/>
    <x v="719"/>
    <x v="208"/>
    <x v="12"/>
    <x v="653"/>
    <x v="1127"/>
    <x v="1420"/>
    <x v="81"/>
  </r>
  <r>
    <x v="1421"/>
    <x v="1422"/>
    <x v="437"/>
    <x v="8"/>
    <x v="31"/>
    <x v="40"/>
    <x v="3"/>
    <x v="1"/>
    <x v="4"/>
    <x v="88"/>
    <x v="78"/>
    <x v="17"/>
    <x v="4"/>
    <x v="845"/>
    <x v="295"/>
    <x v="7"/>
    <x v="777"/>
    <x v="1340"/>
    <x v="1421"/>
    <x v="81"/>
  </r>
  <r>
    <x v="1422"/>
    <x v="1423"/>
    <x v="438"/>
    <x v="8"/>
    <x v="9"/>
    <x v="41"/>
    <x v="3"/>
    <x v="1"/>
    <x v="4"/>
    <x v="88"/>
    <x v="78"/>
    <x v="14"/>
    <x v="4"/>
    <x v="757"/>
    <x v="255"/>
    <x v="3"/>
    <x v="681"/>
    <x v="1276"/>
    <x v="1422"/>
    <x v="81"/>
  </r>
  <r>
    <x v="1423"/>
    <x v="1424"/>
    <x v="319"/>
    <x v="5"/>
    <x v="48"/>
    <x v="8"/>
    <x v="21"/>
    <x v="9"/>
    <x v="7"/>
    <x v="88"/>
    <x v="79"/>
    <x v="6"/>
    <x v="22"/>
    <x v="21"/>
    <x v="38"/>
    <x v="24"/>
    <x v="23"/>
    <x v="27"/>
    <x v="1423"/>
    <x v="82"/>
  </r>
  <r>
    <x v="1424"/>
    <x v="1425"/>
    <x v="311"/>
    <x v="5"/>
    <x v="16"/>
    <x v="35"/>
    <x v="21"/>
    <x v="9"/>
    <x v="7"/>
    <x v="88"/>
    <x v="79"/>
    <x v="9"/>
    <x v="22"/>
    <x v="84"/>
    <x v="68"/>
    <x v="23"/>
    <x v="90"/>
    <x v="128"/>
    <x v="1424"/>
    <x v="82"/>
  </r>
  <r>
    <x v="1425"/>
    <x v="1426"/>
    <x v="312"/>
    <x v="5"/>
    <x v="8"/>
    <x v="38"/>
    <x v="21"/>
    <x v="9"/>
    <x v="7"/>
    <x v="88"/>
    <x v="79"/>
    <x v="10"/>
    <x v="22"/>
    <x v="131"/>
    <x v="104"/>
    <x v="28"/>
    <x v="107"/>
    <x v="94"/>
    <x v="1425"/>
    <x v="82"/>
  </r>
  <r>
    <x v="1426"/>
    <x v="1427"/>
    <x v="313"/>
    <x v="5"/>
    <x v="3"/>
    <x v="10"/>
    <x v="21"/>
    <x v="9"/>
    <x v="7"/>
    <x v="88"/>
    <x v="79"/>
    <x v="10"/>
    <x v="22"/>
    <x v="119"/>
    <x v="10"/>
    <x v="28"/>
    <x v="159"/>
    <x v="123"/>
    <x v="1426"/>
    <x v="82"/>
  </r>
  <r>
    <x v="1427"/>
    <x v="1428"/>
    <x v="314"/>
    <x v="5"/>
    <x v="42"/>
    <x v="5"/>
    <x v="21"/>
    <x v="9"/>
    <x v="7"/>
    <x v="88"/>
    <x v="79"/>
    <x v="11"/>
    <x v="22"/>
    <x v="311"/>
    <x v="104"/>
    <x v="24"/>
    <x v="292"/>
    <x v="237"/>
    <x v="1427"/>
    <x v="82"/>
  </r>
  <r>
    <x v="1428"/>
    <x v="1429"/>
    <x v="315"/>
    <x v="5"/>
    <x v="25"/>
    <x v="42"/>
    <x v="21"/>
    <x v="9"/>
    <x v="7"/>
    <x v="88"/>
    <x v="79"/>
    <x v="11"/>
    <x v="22"/>
    <x v="246"/>
    <x v="64"/>
    <x v="31"/>
    <x v="258"/>
    <x v="133"/>
    <x v="1428"/>
    <x v="82"/>
  </r>
  <r>
    <x v="1429"/>
    <x v="1430"/>
    <x v="316"/>
    <x v="5"/>
    <x v="34"/>
    <x v="6"/>
    <x v="21"/>
    <x v="9"/>
    <x v="7"/>
    <x v="88"/>
    <x v="79"/>
    <x v="11"/>
    <x v="22"/>
    <x v="268"/>
    <x v="128"/>
    <x v="34"/>
    <x v="227"/>
    <x v="90"/>
    <x v="1429"/>
    <x v="82"/>
  </r>
  <r>
    <x v="1430"/>
    <x v="1431"/>
    <x v="317"/>
    <x v="5"/>
    <x v="23"/>
    <x v="45"/>
    <x v="21"/>
    <x v="9"/>
    <x v="7"/>
    <x v="88"/>
    <x v="79"/>
    <x v="11"/>
    <x v="22"/>
    <x v="336"/>
    <x v="121"/>
    <x v="22"/>
    <x v="303"/>
    <x v="284"/>
    <x v="1430"/>
    <x v="82"/>
  </r>
  <r>
    <x v="1431"/>
    <x v="1432"/>
    <x v="318"/>
    <x v="5"/>
    <x v="38"/>
    <x v="12"/>
    <x v="21"/>
    <x v="9"/>
    <x v="7"/>
    <x v="88"/>
    <x v="79"/>
    <x v="11"/>
    <x v="22"/>
    <x v="357"/>
    <x v="103"/>
    <x v="37"/>
    <x v="341"/>
    <x v="97"/>
    <x v="1431"/>
    <x v="83"/>
  </r>
  <r>
    <x v="1432"/>
    <x v="1433"/>
    <x v="320"/>
    <x v="5"/>
    <x v="35"/>
    <x v="1"/>
    <x v="21"/>
    <x v="9"/>
    <x v="7"/>
    <x v="88"/>
    <x v="79"/>
    <x v="12"/>
    <x v="22"/>
    <x v="548"/>
    <x v="96"/>
    <x v="23"/>
    <x v="538"/>
    <x v="459"/>
    <x v="1432"/>
    <x v="83"/>
  </r>
  <r>
    <x v="1433"/>
    <x v="1434"/>
    <x v="321"/>
    <x v="5"/>
    <x v="15"/>
    <x v="43"/>
    <x v="21"/>
    <x v="9"/>
    <x v="7"/>
    <x v="88"/>
    <x v="79"/>
    <x v="12"/>
    <x v="22"/>
    <x v="470"/>
    <x v="171"/>
    <x v="22"/>
    <x v="382"/>
    <x v="350"/>
    <x v="1433"/>
    <x v="83"/>
  </r>
  <r>
    <x v="1434"/>
    <x v="1435"/>
    <x v="323"/>
    <x v="5"/>
    <x v="32"/>
    <x v="25"/>
    <x v="21"/>
    <x v="9"/>
    <x v="7"/>
    <x v="88"/>
    <x v="79"/>
    <x v="15"/>
    <x v="22"/>
    <x v="816"/>
    <x v="279"/>
    <x v="27"/>
    <x v="745"/>
    <x v="899"/>
    <x v="1434"/>
    <x v="83"/>
  </r>
  <r>
    <x v="1435"/>
    <x v="1436"/>
    <x v="322"/>
    <x v="5"/>
    <x v="27"/>
    <x v="46"/>
    <x v="21"/>
    <x v="9"/>
    <x v="7"/>
    <x v="88"/>
    <x v="79"/>
    <x v="20"/>
    <x v="22"/>
    <x v="885"/>
    <x v="333"/>
    <x v="22"/>
    <x v="821"/>
    <x v="1348"/>
    <x v="1435"/>
    <x v="83"/>
  </r>
  <r>
    <x v="1436"/>
    <x v="1437"/>
    <x v="324"/>
    <x v="5"/>
    <x v="22"/>
    <x v="13"/>
    <x v="21"/>
    <x v="9"/>
    <x v="7"/>
    <x v="88"/>
    <x v="79"/>
    <x v="13"/>
    <x v="22"/>
    <x v="742"/>
    <x v="264"/>
    <x v="36"/>
    <x v="634"/>
    <x v="221"/>
    <x v="1436"/>
    <x v="83"/>
  </r>
  <r>
    <x v="1437"/>
    <x v="1438"/>
    <x v="325"/>
    <x v="5"/>
    <x v="1"/>
    <x v="34"/>
    <x v="21"/>
    <x v="9"/>
    <x v="7"/>
    <x v="88"/>
    <x v="79"/>
    <x v="12"/>
    <x v="22"/>
    <x v="550"/>
    <x v="123"/>
    <x v="38"/>
    <x v="516"/>
    <x v="143"/>
    <x v="1437"/>
    <x v="83"/>
  </r>
  <r>
    <x v="1438"/>
    <x v="1439"/>
    <x v="326"/>
    <x v="5"/>
    <x v="26"/>
    <x v="16"/>
    <x v="21"/>
    <x v="9"/>
    <x v="7"/>
    <x v="88"/>
    <x v="79"/>
    <x v="11"/>
    <x v="22"/>
    <x v="298"/>
    <x v="63"/>
    <x v="33"/>
    <x v="316"/>
    <x v="132"/>
    <x v="1438"/>
    <x v="83"/>
  </r>
  <r>
    <x v="1439"/>
    <x v="1440"/>
    <x v="327"/>
    <x v="5"/>
    <x v="13"/>
    <x v="44"/>
    <x v="21"/>
    <x v="9"/>
    <x v="7"/>
    <x v="88"/>
    <x v="79"/>
    <x v="11"/>
    <x v="22"/>
    <x v="293"/>
    <x v="126"/>
    <x v="26"/>
    <x v="255"/>
    <x v="190"/>
    <x v="1439"/>
    <x v="83"/>
  </r>
  <r>
    <x v="1440"/>
    <x v="1441"/>
    <x v="328"/>
    <x v="5"/>
    <x v="28"/>
    <x v="33"/>
    <x v="21"/>
    <x v="9"/>
    <x v="7"/>
    <x v="88"/>
    <x v="79"/>
    <x v="19"/>
    <x v="22"/>
    <x v="888"/>
    <x v="370"/>
    <x v="22"/>
    <x v="803"/>
    <x v="1323"/>
    <x v="1440"/>
    <x v="83"/>
  </r>
  <r>
    <x v="1441"/>
    <x v="1442"/>
    <x v="329"/>
    <x v="5"/>
    <x v="46"/>
    <x v="32"/>
    <x v="21"/>
    <x v="9"/>
    <x v="7"/>
    <x v="88"/>
    <x v="80"/>
    <x v="12"/>
    <x v="22"/>
    <x v="608"/>
    <x v="127"/>
    <x v="17"/>
    <x v="584"/>
    <x v="795"/>
    <x v="1441"/>
    <x v="83"/>
  </r>
  <r>
    <x v="1442"/>
    <x v="1443"/>
    <x v="330"/>
    <x v="5"/>
    <x v="33"/>
    <x v="26"/>
    <x v="21"/>
    <x v="9"/>
    <x v="7"/>
    <x v="88"/>
    <x v="80"/>
    <x v="13"/>
    <x v="22"/>
    <x v="699"/>
    <x v="188"/>
    <x v="22"/>
    <x v="644"/>
    <x v="698"/>
    <x v="1442"/>
    <x v="83"/>
  </r>
  <r>
    <x v="1443"/>
    <x v="1444"/>
    <x v="331"/>
    <x v="5"/>
    <x v="41"/>
    <x v="23"/>
    <x v="21"/>
    <x v="9"/>
    <x v="7"/>
    <x v="88"/>
    <x v="80"/>
    <x v="13"/>
    <x v="22"/>
    <x v="616"/>
    <x v="64"/>
    <x v="18"/>
    <x v="629"/>
    <x v="859"/>
    <x v="1443"/>
    <x v="83"/>
  </r>
  <r>
    <x v="1444"/>
    <x v="1445"/>
    <x v="332"/>
    <x v="5"/>
    <x v="24"/>
    <x v="37"/>
    <x v="21"/>
    <x v="9"/>
    <x v="7"/>
    <x v="88"/>
    <x v="80"/>
    <x v="12"/>
    <x v="22"/>
    <x v="510"/>
    <x v="115"/>
    <x v="20"/>
    <x v="477"/>
    <x v="496"/>
    <x v="1444"/>
    <x v="83"/>
  </r>
  <r>
    <x v="1445"/>
    <x v="1446"/>
    <x v="333"/>
    <x v="5"/>
    <x v="29"/>
    <x v="15"/>
    <x v="21"/>
    <x v="9"/>
    <x v="7"/>
    <x v="88"/>
    <x v="80"/>
    <x v="13"/>
    <x v="22"/>
    <x v="722"/>
    <x v="135"/>
    <x v="25"/>
    <x v="690"/>
    <x v="701"/>
    <x v="1445"/>
    <x v="83"/>
  </r>
  <r>
    <x v="1446"/>
    <x v="1447"/>
    <x v="334"/>
    <x v="5"/>
    <x v="31"/>
    <x v="40"/>
    <x v="21"/>
    <x v="9"/>
    <x v="7"/>
    <x v="88"/>
    <x v="80"/>
    <x v="16"/>
    <x v="22"/>
    <x v="844"/>
    <x v="307"/>
    <x v="39"/>
    <x v="774"/>
    <x v="458"/>
    <x v="1446"/>
    <x v="83"/>
  </r>
  <r>
    <x v="1447"/>
    <x v="1448"/>
    <x v="335"/>
    <x v="5"/>
    <x v="2"/>
    <x v="18"/>
    <x v="21"/>
    <x v="9"/>
    <x v="7"/>
    <x v="88"/>
    <x v="80"/>
    <x v="20"/>
    <x v="22"/>
    <x v="919"/>
    <x v="382"/>
    <x v="16"/>
    <x v="823"/>
    <x v="1366"/>
    <x v="1447"/>
    <x v="83"/>
  </r>
  <r>
    <x v="1448"/>
    <x v="1397"/>
    <x v="426"/>
    <x v="8"/>
    <x v="12"/>
    <x v="17"/>
    <x v="3"/>
    <x v="1"/>
    <x v="4"/>
    <x v="88"/>
    <x v="76"/>
    <x v="19"/>
    <x v="4"/>
    <x v="810"/>
    <x v="191"/>
    <x v="18"/>
    <x v="667"/>
    <x v="973"/>
    <x v="1448"/>
    <x v="80"/>
  </r>
  <r>
    <x v="1449"/>
    <x v="1449"/>
    <x v="336"/>
    <x v="5"/>
    <x v="12"/>
    <x v="17"/>
    <x v="21"/>
    <x v="9"/>
    <x v="7"/>
    <x v="88"/>
    <x v="80"/>
    <x v="15"/>
    <x v="22"/>
    <x v="781"/>
    <x v="201"/>
    <x v="25"/>
    <x v="741"/>
    <x v="984"/>
    <x v="1449"/>
    <x v="83"/>
  </r>
  <r>
    <x v="1450"/>
    <x v="1450"/>
    <x v="339"/>
    <x v="5"/>
    <x v="3"/>
    <x v="10"/>
    <x v="21"/>
    <x v="9"/>
    <x v="7"/>
    <x v="88"/>
    <x v="80"/>
    <x v="10"/>
    <x v="22"/>
    <x v="115"/>
    <x v="12"/>
    <x v="32"/>
    <x v="153"/>
    <x v="83"/>
    <x v="1450"/>
    <x v="83"/>
  </r>
  <r>
    <x v="1451"/>
    <x v="1451"/>
    <x v="338"/>
    <x v="5"/>
    <x v="0"/>
    <x v="36"/>
    <x v="21"/>
    <x v="9"/>
    <x v="7"/>
    <x v="88"/>
    <x v="80"/>
    <x v="10"/>
    <x v="22"/>
    <x v="263"/>
    <x v="112"/>
    <x v="45"/>
    <x v="234"/>
    <x v="44"/>
    <x v="1451"/>
    <x v="83"/>
  </r>
  <r>
    <x v="1452"/>
    <x v="1452"/>
    <x v="337"/>
    <x v="5"/>
    <x v="30"/>
    <x v="30"/>
    <x v="21"/>
    <x v="9"/>
    <x v="7"/>
    <x v="88"/>
    <x v="80"/>
    <x v="11"/>
    <x v="22"/>
    <x v="275"/>
    <x v="100"/>
    <x v="35"/>
    <x v="259"/>
    <x v="92"/>
    <x v="1452"/>
    <x v="83"/>
  </r>
  <r>
    <x v="1453"/>
    <x v="1453"/>
    <x v="340"/>
    <x v="5"/>
    <x v="8"/>
    <x v="38"/>
    <x v="21"/>
    <x v="9"/>
    <x v="7"/>
    <x v="88"/>
    <x v="80"/>
    <x v="10"/>
    <x v="22"/>
    <x v="162"/>
    <x v="101"/>
    <x v="38"/>
    <x v="140"/>
    <x v="56"/>
    <x v="1453"/>
    <x v="83"/>
  </r>
  <r>
    <x v="1454"/>
    <x v="1454"/>
    <x v="341"/>
    <x v="5"/>
    <x v="16"/>
    <x v="35"/>
    <x v="21"/>
    <x v="9"/>
    <x v="7"/>
    <x v="88"/>
    <x v="80"/>
    <x v="9"/>
    <x v="22"/>
    <x v="66"/>
    <x v="67"/>
    <x v="41"/>
    <x v="70"/>
    <x v="34"/>
    <x v="1454"/>
    <x v="83"/>
  </r>
  <r>
    <x v="1455"/>
    <x v="1455"/>
    <x v="342"/>
    <x v="5"/>
    <x v="32"/>
    <x v="25"/>
    <x v="21"/>
    <x v="9"/>
    <x v="7"/>
    <x v="88"/>
    <x v="80"/>
    <x v="15"/>
    <x v="22"/>
    <x v="829"/>
    <x v="276"/>
    <x v="26"/>
    <x v="761"/>
    <x v="1047"/>
    <x v="1455"/>
    <x v="83"/>
  </r>
  <r>
    <x v="1456"/>
    <x v="1456"/>
    <x v="344"/>
    <x v="5"/>
    <x v="42"/>
    <x v="5"/>
    <x v="21"/>
    <x v="9"/>
    <x v="7"/>
    <x v="88"/>
    <x v="80"/>
    <x v="5"/>
    <x v="22"/>
    <x v="13"/>
    <x v="101"/>
    <x v="36"/>
    <x v="15"/>
    <x v="7"/>
    <x v="1456"/>
    <x v="83"/>
  </r>
  <r>
    <x v="1457"/>
    <x v="1457"/>
    <x v="343"/>
    <x v="5"/>
    <x v="27"/>
    <x v="46"/>
    <x v="21"/>
    <x v="9"/>
    <x v="7"/>
    <x v="88"/>
    <x v="80"/>
    <x v="9"/>
    <x v="22"/>
    <x v="764"/>
    <x v="336"/>
    <x v="34"/>
    <x v="416"/>
    <x v="156"/>
    <x v="1457"/>
    <x v="83"/>
  </r>
  <r>
    <x v="1458"/>
    <x v="1397"/>
    <x v="426"/>
    <x v="5"/>
    <x v="12"/>
    <x v="17"/>
    <x v="22"/>
    <x v="1"/>
    <x v="7"/>
    <x v="88"/>
    <x v="76"/>
    <x v="4"/>
    <x v="23"/>
    <x v="810"/>
    <x v="191"/>
    <x v="18"/>
    <x v="0"/>
    <x v="0"/>
    <x v="1458"/>
    <x v="8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Сводная таблица6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B7:F32" firstHeaderRow="0" firstDataRow="1" firstDataCol="1" rowPageCount="2" colPageCount="1"/>
  <pivotFields count="20">
    <pivotField showAll="0"/>
    <pivotField showAll="0"/>
    <pivotField showAll="0"/>
    <pivotField axis="axisPage" showAll="0">
      <items count="11">
        <item h="1" x="6"/>
        <item h="1" x="9"/>
        <item x="1"/>
        <item x="0"/>
        <item x="7"/>
        <item x="8"/>
        <item x="3"/>
        <item x="4"/>
        <item x="2"/>
        <item x="5"/>
        <item t="default"/>
      </items>
    </pivotField>
    <pivotField showAll="0"/>
    <pivotField showAll="0"/>
    <pivotField showAll="0"/>
    <pivotField axis="axisRow" showAll="0">
      <items count="17">
        <item x="0"/>
        <item x="4"/>
        <item x="5"/>
        <item x="9"/>
        <item x="13"/>
        <item x="3"/>
        <item x="10"/>
        <item x="6"/>
        <item x="11"/>
        <item x="7"/>
        <item x="12"/>
        <item x="8"/>
        <item x="14"/>
        <item x="15"/>
        <item x="2"/>
        <item x="1"/>
        <item t="default"/>
      </items>
    </pivotField>
    <pivotField axis="axisRow" showAll="0">
      <items count="9">
        <item x="1"/>
        <item x="2"/>
        <item x="6"/>
        <item x="0"/>
        <item x="3"/>
        <item x="5"/>
        <item x="4"/>
        <item x="7"/>
        <item t="default"/>
      </items>
    </pivotField>
    <pivotField showAll="0"/>
    <pivotField axis="axisRow" showAll="0">
      <items count="83">
        <item x="0"/>
        <item x="1"/>
        <item x="2"/>
        <item x="3"/>
        <item x="81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7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t="default"/>
      </items>
    </pivotField>
    <pivotField dataField="1" showAll="0"/>
    <pivotField axis="axisRow" showAll="0">
      <items count="39">
        <item x="0"/>
        <item x="5"/>
        <item x="6"/>
        <item x="7"/>
        <item x="8"/>
        <item x="9"/>
        <item x="13"/>
        <item x="14"/>
        <item x="16"/>
        <item x="18"/>
        <item x="19"/>
        <item x="20"/>
        <item x="21"/>
        <item x="28"/>
        <item x="30"/>
        <item x="31"/>
        <item x="33"/>
        <item x="34"/>
        <item x="35"/>
        <item x="32"/>
        <item x="12"/>
        <item x="36"/>
        <item x="10"/>
        <item x="11"/>
        <item x="26"/>
        <item x="27"/>
        <item x="3"/>
        <item x="29"/>
        <item x="1"/>
        <item x="37"/>
        <item x="15"/>
        <item x="25"/>
        <item x="24"/>
        <item x="23"/>
        <item x="17"/>
        <item x="4"/>
        <item x="2"/>
        <item x="2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axis="axisPage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</pivotFields>
  <rowFields count="4">
    <field x="8"/>
    <field x="12"/>
    <field x="7"/>
    <field x="10"/>
  </rowFields>
  <rowItems count="25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 v="24"/>
    </i>
  </rowItems>
  <colFields count="1">
    <field x="-2"/>
  </colFields>
  <colItems count="1">
    <i t="grand">
      <x v="0"/>
    </i>
  </colItems>
  <pageFields count="2">
    <pageField fld="3" hier="-1"/>
    <pageField fld="19" hier="-1"/>
  </pageFields>
  <dataFields count="4">
    <dataField name="Количество  рейсов" fld="16" subtotal="count" numFmtId="166"/>
    <dataField name=" Площадь уборки, га" fld="11" subtotal="sum" numFmtId="164"/>
    <dataField name="Физ. вес, кг" fld="16" subtotal="sum" numFmtId="164"/>
    <dataField name=" Зачетный вес, кг" fld="17" subtotal="sum" numFmtId="164"/>
  </dataFields>
  <formats count="22">
    <format dxfId="10">
      <pivotArea dataOnly="0" labelOnly="1" outline="0"/>
    </format>
    <format dxfId="11">
      <pivotArea dataOnly="0" labelOnly="1" outline="0" fieldPosition="0">
        <references count="1">
          <reference field="4294967294" count="1">
            <x v="1"/>
            <x v="2"/>
            <x v="3"/>
            <x v="4"/>
          </reference>
        </references>
      </pivotArea>
    </format>
    <format dxfId="12">
      <pivotArea outline="0" fieldPosition="0">
        <references count="1">
          <reference field="4294967294" count="1">
            <x v="5"/>
          </reference>
        </references>
      </pivotArea>
    </format>
    <format dxfId="1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4">
      <pivotArea dataOnly="0" labelOnly="1" outline="0"/>
    </format>
    <format dxfId="15">
      <pivotArea dataOnly="0" labelOnly="1" outline="0" fieldPosition="0">
        <references count="1">
          <reference field="4294967294" count="1">
            <x v="1"/>
            <x v="2"/>
            <x v="3"/>
            <x v="4"/>
            <x v="5"/>
          </reference>
        </references>
      </pivotArea>
    </format>
    <format dxfId="16">
      <pivotArea dataOnly="0" labelOnly="1" outline="0"/>
    </format>
    <format dxfId="17">
      <pivotArea dataOnly="0" labelOnly="1" outline="0" fieldPosition="0">
        <references count="1">
          <reference field="4294967294" count="1">
            <x v="1"/>
            <x v="2"/>
            <x v="3"/>
            <x v="4"/>
            <x v="5"/>
          </reference>
        </references>
      </pivotArea>
    </format>
    <format dxfId="18">
      <pivotArea outline="0" fieldPosition="0">
        <references count="1">
          <reference field="4294967294" count="1">
            <x v="1"/>
          </reference>
        </references>
      </pivotArea>
    </format>
    <format dxfId="19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1">
      <pivotArea dataOnly="0" outline="0" fieldPosition="0"/>
    </format>
    <format dxfId="22">
      <pivotArea outline="0" fieldPosition="0"/>
    </format>
    <format dxfId="23">
      <pivotArea dataOnly="0" labelOnly="1" outline="0" fieldPosition="0"/>
    </format>
    <format dxfId="24">
      <pivotArea dataOnly="0" labelOnly="1" fieldPosition="0">
        <references count="1">
          <reference field="8" count="1">
            <x v="9"/>
          </reference>
        </references>
      </pivotArea>
    </format>
    <format dxfId="25">
      <pivotArea dataOnly="0" labelOnly="1" outline="0" fieldPosition="0"/>
    </format>
    <format dxfId="26">
      <pivotArea dataOnly="0" labelOnly="1" fieldPosition="0">
        <references count="2">
          <reference field="8" count="1" selected="0">
            <x v="9"/>
          </reference>
          <reference field="12" count="1">
            <x v="24"/>
            <x v="25"/>
            <x v="27"/>
            <x v="29"/>
          </reference>
        </references>
      </pivotArea>
    </format>
    <format dxfId="27">
      <pivotArea dataOnly="0" labelOnly="1" outline="0" fieldPosition="0">
        <references count="1">
          <reference field="4294967294" count="1">
            <x v="1"/>
            <x v="2"/>
            <x v="3"/>
            <x v="4"/>
            <x v="5"/>
          </reference>
        </references>
      </pivotArea>
    </format>
    <format dxfId="28">
      <pivotArea outline="0" fieldPosition="0">
        <references count="1">
          <reference field="4294967294" count="1">
            <x v="0"/>
          </reference>
        </references>
      </pivotArea>
    </format>
    <format dxfId="2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1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Таблица1" displayName="Таблица1" ref="A1:V68" headerRowCount="1" totalsRowCount="1" totalsRowShown="1">
  <autoFilter ref="A1:V68">
    <filterColumn colId="0">
      <filters>
        <filter val="Колос"/>
        <filter val="ООО ГРК"/>
      </filters>
    </filterColumn>
    <filterColumn colId="8">
      <filters>
        <filter val="сахарная"/>
      </filters>
    </filterColumn>
  </autoFilter>
  <tableColumns count="22">
    <tableColumn id="1" name="Контрагент"/>
    <tableColumn id="2" name="Номер поля агро исх"/>
    <tableColumn id="3" name="Номер поля агро уточн"/>
    <tableColumn id="4" name="Номер поля справочник"/>
    <tableColumn id="5" name="Дата сева агро"/>
    <tableColumn id="6" name="Дата уборки план"/>
    <tableColumn id="7" name="Дата уборки план_откорр"/>
    <tableColumn id="8" name="Дата уборки факт"/>
    <tableColumn id="9" name="Вид"/>
    <tableColumn id="10" name="Сорт агро"/>
    <tableColumn id="11" name="Сорт акт ERP"/>
    <tableColumn id="12" name="Площадь сева, га" totalsRowFunction="sum"/>
    <tableColumn id="13" name="Площадь сева по акту, га" totalsRowFunction="sum"/>
    <tableColumn id="14" name="Площадь уборки, га" totalsRowFunction="sum"/>
    <tableColumn id="15" name="Остаток площади" totalsRowFunction="sum"/>
    <tableColumn id="16" name="Закрытие, %"/>
    <tableColumn id="17" name="Урожайность плановая, т/га"/>
    <tableColumn id="18" name="Урожайность фактическая, т/га" totalsRowFunction="custom"/>
    <tableColumn id="19" name="Валовый сбор плановый, т" totalsRowFunction="sum"/>
    <tableColumn id="20" name="Валовый сбор фактический, т" totalsRowFunction="sum"/>
    <tableColumn id="21" name="Выполнение плана, %" totalsRowFunction="custom"/>
    <tableColumn id="22" name="Примечание"/>
  </tableColumns>
</table>
</file>

<file path=xl/tables/table2.xml><?xml version="1.0" encoding="utf-8"?>
<table xmlns="http://schemas.openxmlformats.org/spreadsheetml/2006/main" id="2" name="Таблица16" displayName="Таблица16" ref="A1:P1461" headerRowCount="1" totalsRowCount="1" totalsRowShown="1">
  <autoFilter ref="A1:P1461"/>
  <tableColumns count="16">
    <tableColumn id="1" name="Документ"/>
    <tableColumn id="2" name="Номер взвешивания"/>
    <tableColumn id="3" name="Номер вх.  док."/>
    <tableColumn id="4" name="Контрагент"/>
    <tableColumn id="5" name="Водитель"/>
    <tableColumn id="6" name="Автомобиль"/>
    <tableColumn id="7" name="Номер поля"/>
    <tableColumn id="8" name="Хар-ка"/>
    <tableColumn id="9" name="Исх. номенклатура"/>
    <tableColumn id="10" name="Вес брутто"/>
    <tableColumn id="11" name="Вес тары"/>
    <tableColumn id="12" name="% отходов сверх допуска"/>
    <tableColumn id="13" name="Вес нетто" totalsRowFunction="sum"/>
    <tableColumn id="14" name="Зачетный вес"/>
    <tableColumn id="15" name="№ акта"/>
    <tableColumn id="16" name="Дата акта"/>
  </tableColumns>
</table>
</file>

<file path=xl/tables/table3.xml><?xml version="1.0" encoding="utf-8"?>
<table xmlns="http://schemas.openxmlformats.org/spreadsheetml/2006/main" id="3" name="Таблица2" displayName="Таблица2" ref="A1:Q1466" headerRowCount="1" totalsRowCount="1" totalsRowShown="1">
  <autoFilter ref="A1:Q1466"/>
  <tableColumns count="17">
    <tableColumn id="1" name="Документ"/>
    <tableColumn id="2" name="Номер взвешивания"/>
    <tableColumn id="3" name="Номер вх.  док."/>
    <tableColumn id="4" name="Контрагент"/>
    <tableColumn id="5" name="Водитель"/>
    <tableColumn id="6" name="Автомобиль"/>
    <tableColumn id="7" name="Номер поля"/>
    <tableColumn id="8" name="Хар-ка"/>
    <tableColumn id="9" name="Исх. номенклатура"/>
    <tableColumn id="10" name="Вес брутто"/>
    <tableColumn id="11" name="Вес тары"/>
    <tableColumn id="12" name="% отходов сверх допуска"/>
    <tableColumn id="13" name="Вес нетто" totalsRowFunction="sum"/>
    <tableColumn id="14" name="Зачетный вес"/>
    <tableColumn id="15" name="Номер акта"/>
    <tableColumn id="16" name="Дата акта"/>
    <tableColumn id="17" name="Время акта"/>
  </tableColumns>
</table>
</file>

<file path=xl/tables/table4.xml><?xml version="1.0" encoding="utf-8"?>
<table xmlns="http://schemas.openxmlformats.org/spreadsheetml/2006/main" id="4" name="Таблица24" displayName="Таблица24" ref="A1:T1461" headerRowCount="1" totalsRowCount="1" totalsRowShown="1">
  <autoFilter ref="A1:T1461">
    <filterColumn colId="3">
      <filters>
        <filter val="КОЛОС ООО"/>
      </filters>
    </filterColumn>
    <filterColumn colId="7">
      <filters>
        <filter val="Генератор"/>
      </filters>
    </filterColumn>
    <filterColumn colId="12">
      <filters>
        <filter val="4.2 Колос"/>
      </filters>
    </filterColumn>
  </autoFilter>
  <tableColumns count="20">
    <tableColumn id="1" name="Документ"/>
    <tableColumn id="2" name="Номер взвешивания"/>
    <tableColumn id="3" name="Номер вх.  док."/>
    <tableColumn id="4" name="Контрагент"/>
    <tableColumn id="5" name="Водитель"/>
    <tableColumn id="6" name="Автомобиль"/>
    <tableColumn id="7" name="Номер поля"/>
    <tableColumn id="8" name="Хар-ка"/>
    <tableColumn id="9" name="Исх. номенклатура"/>
    <tableColumn id="10" name="Вес нетто ЗАКУПКА" totalsRowFunction="sum"/>
    <tableColumn id="11" name="Дата уборки"/>
    <tableColumn id="12" name="Площадь уборки, га" totalsRowFunction="sum"/>
    <tableColumn id="13" name="Поле уточн"/>
    <tableColumn id="14" name="Вес брутто"/>
    <tableColumn id="15" name="Вес тары"/>
    <tableColumn id="16" name="% отходов сверх допуска"/>
    <tableColumn id="17" name="Вес нетто" totalsRowFunction="sum"/>
    <tableColumn id="18" name="Зачетный вес" totalsRowFunction="sum"/>
    <tableColumn id="19" name="Номер акта"/>
    <tableColumn id="20" name="Дата акта"/>
  </tableColumns>
</table>
</file>

<file path=xl/tables/table5.xml><?xml version="1.0" encoding="utf-8"?>
<table xmlns="http://schemas.openxmlformats.org/spreadsheetml/2006/main" id="5" name="Таблица247" displayName="Таблица247" ref="A1:U99" headerRowCount="1" totalsRowCount="1" totalsRowShown="1">
  <autoFilter ref="A1:U99"/>
  <tableColumns count="21">
    <tableColumn id="1" name="Документ"/>
    <tableColumn id="2" name="Номер взвешивания"/>
    <tableColumn id="3" name="Номер вх.  док."/>
    <tableColumn id="4" name="Контрагент"/>
    <tableColumn id="5" name="Водитель"/>
    <tableColumn id="6" name="Автомобиль"/>
    <tableColumn id="7" name="Номер поля"/>
    <tableColumn id="8" name="Хар-ка"/>
    <tableColumn id="9" name="Исх. номенклатура"/>
    <tableColumn id="10" name="Закупка"/>
    <tableColumn id="11" name="Дата уборки"/>
    <tableColumn id="12" name="Площадь уборки, га" totalsRowFunction="sum"/>
    <tableColumn id="13" name="Смена"/>
    <tableColumn id="14" name="Вес брутто"/>
    <tableColumn id="15" name="Вес тары"/>
    <tableColumn id="16" name="% отходов сверх допуска"/>
    <tableColumn id="17" name="Вес нетто" totalsRowFunction="sum"/>
    <tableColumn id="18" name="Зачетный вес" totalsRowFunction="sum"/>
    <tableColumn id="19" name="Номер акта"/>
    <tableColumn id="20" name="Дата акта"/>
    <tableColumn id="21" name="Примечание"/>
  </tableColumns>
</table>
</file>

<file path=xl/tables/table6.xml><?xml version="1.0" encoding="utf-8"?>
<table xmlns="http://schemas.openxmlformats.org/spreadsheetml/2006/main" id="6" name="Таблица4" displayName="Таблица4" ref="A1:W58" headerRowCount="1" totalsRowCount="1" totalsRowShown="1">
  <autoFilter ref="A1:W58">
    <filterColumn colId="4">
      <customFilters and="true">
        <customFilter operator="**none**" val=""/>
      </customFilters>
    </filterColumn>
  </autoFilter>
  <tableColumns count="23">
    <tableColumn id="1" name="Культура"/>
    <tableColumn id="2" name="Поле"/>
    <tableColumn id="3" name="Сорт семян (полное название)&#10;акт"/>
    <tableColumn id="4" name="Сорт семян&#10;акт"/>
    <tableColumn id="5" name="Сорт семян&#10;агро"/>
    <tableColumn id="6" name="Сроки сева"/>
    <tableColumn id="7" name="Сроки уборки"/>
    <tableColumn id="8" name="Площадь поля, га"/>
    <tableColumn id="9" name="Площадь внесения, га" totalsRowFunction="sum"/>
    <tableColumn id="10" name="Количество внесения, п.е." totalsRowFunction="sum"/>
    <tableColumn id="11" name="Норма высева факт, п.е./га" totalsRowFunction="custom"/>
    <tableColumn id="12" name="Урожайность план, т/га" totalsRowFunction="custom"/>
    <tableColumn id="13" name="Валовый сбор план, т" totalsRowFunction="sum"/>
    <tableColumn id="14" name="Рефакция план, %" totalsRowFunction="custom"/>
    <tableColumn id="15" name="Зачетный вес план, т" totalsRowFunction="sum"/>
    <tableColumn id="16" name="Площадь уборки, га" totalsRowFunction="sum"/>
    <tableColumn id="17" name="Остаток, га" totalsRowFunction="sum"/>
    <tableColumn id="18" name="в т.ч. Бросили, га" totalsRowFunction="sum"/>
    <tableColumn id="19" name="Урожайность факт, т/га" totalsRowFunction="custom"/>
    <tableColumn id="20" name="Валовый сбор факт, т" totalsRowFunction="sum"/>
    <tableColumn id="21" name="Рефакция факт, %" totalsRowFunction="custom"/>
    <tableColumn id="22" name="Зачетный вес факт, т" totalsRowFunction="sum"/>
    <tableColumn id="23" name="Примечание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ivotTable" Target="../pivotTables/pivotTable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30"/>
  <sheetViews>
    <sheetView showFormulas="false" showGridLines="false" showRowColHeaders="true" showZeros="true" rightToLeft="false" tabSelected="false" showOutlineSymbols="true" defaultGridColor="true" view="normal" topLeftCell="A1" colorId="64" zoomScale="60" zoomScaleNormal="60" zoomScalePageLayoutView="70" workbookViewId="0">
      <selection pane="topLeft" activeCell="AL33" activeCellId="0" sqref="AL33"/>
    </sheetView>
  </sheetViews>
  <sheetFormatPr defaultColWidth="8.6796875" defaultRowHeight="15" customHeight="true" zeroHeight="false" outlineLevelRow="0" outlineLevelCol="0"/>
  <cols>
    <col collapsed="false" customWidth="true" hidden="false" outlineLevel="0" max="28" min="25" style="0" width="8.86"/>
    <col collapsed="false" customWidth="true" hidden="false" outlineLevel="0" max="29" min="29" style="0" width="9.71"/>
    <col collapsed="false" customWidth="true" hidden="false" outlineLevel="0" max="30" min="30" style="0" width="8.86"/>
    <col collapsed="false" customWidth="true" hidden="false" outlineLevel="0" max="31" min="31" style="0" width="25.29"/>
    <col collapsed="false" customWidth="true" hidden="false" outlineLevel="0" max="35" min="32" style="0" width="8.86"/>
  </cols>
  <sheetData>
    <row r="1" customFormat="false" ht="26.8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18" customFormat="false" ht="15" hidden="false" customHeight="false" outlineLevel="0" collapsed="false">
      <c r="AD18" s="2"/>
    </row>
    <row r="24" customFormat="false" ht="18.55" hidden="false" customHeight="false" outlineLevel="0" collapsed="false">
      <c r="Z24" s="3"/>
      <c r="AA24" s="4"/>
      <c r="AB24" s="4"/>
      <c r="AC24" s="4"/>
      <c r="AD24" s="4"/>
      <c r="AE24" s="5"/>
    </row>
    <row r="25" customFormat="false" ht="18.55" hidden="false" customHeight="false" outlineLevel="0" collapsed="false">
      <c r="Z25" s="4"/>
      <c r="AA25" s="4"/>
      <c r="AB25" s="4"/>
      <c r="AC25" s="4"/>
      <c r="AD25" s="4"/>
      <c r="AE25" s="6"/>
    </row>
    <row r="26" customFormat="false" ht="18.55" hidden="false" customHeight="false" outlineLevel="0" collapsed="false">
      <c r="Z26" s="3"/>
      <c r="AA26" s="4"/>
      <c r="AB26" s="4"/>
      <c r="AC26" s="4"/>
      <c r="AD26" s="4"/>
      <c r="AE26" s="6"/>
    </row>
    <row r="27" customFormat="false" ht="18.55" hidden="false" customHeight="false" outlineLevel="0" collapsed="false">
      <c r="Z27" s="3"/>
      <c r="AA27" s="4"/>
      <c r="AB27" s="4"/>
      <c r="AC27" s="4"/>
      <c r="AD27" s="4"/>
      <c r="AE27" s="6"/>
    </row>
    <row r="28" customFormat="false" ht="18.55" hidden="false" customHeight="false" outlineLevel="0" collapsed="false">
      <c r="Z28" s="3"/>
      <c r="AA28" s="4"/>
      <c r="AB28" s="4"/>
      <c r="AC28" s="4"/>
      <c r="AD28" s="4"/>
      <c r="AE28" s="6"/>
    </row>
    <row r="29" customFormat="false" ht="18.55" hidden="false" customHeight="false" outlineLevel="0" collapsed="false">
      <c r="Z29" s="7"/>
      <c r="AA29" s="4"/>
      <c r="AB29" s="4"/>
      <c r="AC29" s="4"/>
      <c r="AD29" s="4"/>
      <c r="AE29" s="8"/>
    </row>
    <row r="30" customFormat="false" ht="18.55" hidden="false" customHeight="false" outlineLevel="0" collapsed="false">
      <c r="Z30" s="7"/>
      <c r="AA30" s="4"/>
      <c r="AB30" s="4"/>
      <c r="AC30" s="4"/>
      <c r="AD30" s="4"/>
      <c r="AE30" s="8"/>
    </row>
  </sheetData>
  <mergeCells count="1">
    <mergeCell ref="A1:X1"/>
  </mergeCells>
  <printOptions headings="false" gridLines="false" gridLinesSet="true" horizontalCentered="false" verticalCentered="false"/>
  <pageMargins left="0.35" right="0.240277777777778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30"/>
  <sheetViews>
    <sheetView showFormulas="false" showGridLines="false" showRowColHeaders="true" showZeros="true" rightToLeft="false" tabSelected="false" showOutlineSymbols="true" defaultGridColor="true" view="normal" topLeftCell="A1" colorId="64" zoomScale="60" zoomScaleNormal="60" zoomScalePageLayoutView="70" workbookViewId="0">
      <selection pane="topLeft" activeCell="E62" activeCellId="0" sqref="E62"/>
    </sheetView>
  </sheetViews>
  <sheetFormatPr defaultColWidth="8.6796875" defaultRowHeight="15" customHeight="true" zeroHeight="false" outlineLevelRow="0" outlineLevelCol="0"/>
  <cols>
    <col collapsed="false" customWidth="true" hidden="false" outlineLevel="0" max="28" min="25" style="0" width="8.86"/>
    <col collapsed="false" customWidth="true" hidden="false" outlineLevel="0" max="29" min="29" style="0" width="9.71"/>
    <col collapsed="false" customWidth="true" hidden="false" outlineLevel="0" max="30" min="30" style="0" width="8.86"/>
    <col collapsed="false" customWidth="true" hidden="false" outlineLevel="0" max="31" min="31" style="0" width="25.29"/>
    <col collapsed="false" customWidth="true" hidden="false" outlineLevel="0" max="35" min="32" style="0" width="8.86"/>
  </cols>
  <sheetData>
    <row r="1" customFormat="false" ht="26.8" hidden="false" customHeight="false" outlineLevel="0" collapsed="false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18" customFormat="false" ht="15" hidden="false" customHeight="false" outlineLevel="0" collapsed="false">
      <c r="AD18" s="2"/>
    </row>
    <row r="24" customFormat="false" ht="18.55" hidden="false" customHeight="false" outlineLevel="0" collapsed="false">
      <c r="Z24" s="3" t="s">
        <v>2</v>
      </c>
      <c r="AA24" s="4"/>
      <c r="AB24" s="4"/>
      <c r="AC24" s="4"/>
      <c r="AD24" s="4"/>
      <c r="AE24" s="5" t="n">
        <f aca="false">'ОПЕРФАКТ 2025'!C93</f>
        <v>36342.18</v>
      </c>
    </row>
    <row r="25" customFormat="false" ht="18.55" hidden="false" customHeight="false" outlineLevel="0" collapsed="false">
      <c r="Z25" s="4"/>
      <c r="AA25" s="4"/>
      <c r="AB25" s="4"/>
      <c r="AC25" s="4"/>
      <c r="AD25" s="4"/>
      <c r="AE25" s="6"/>
    </row>
    <row r="26" customFormat="false" ht="18.55" hidden="false" customHeight="false" outlineLevel="0" collapsed="false">
      <c r="Z26" s="3" t="s">
        <v>3</v>
      </c>
      <c r="AA26" s="4"/>
      <c r="AB26" s="4"/>
      <c r="AC26" s="4"/>
      <c r="AD26" s="4"/>
      <c r="AE26" s="6" t="n">
        <f aca="false">'ОПЕРФАКТ 2025'!C95</f>
        <v>34061.22</v>
      </c>
    </row>
    <row r="27" customFormat="false" ht="18.55" hidden="false" customHeight="false" outlineLevel="0" collapsed="false">
      <c r="Z27" s="3" t="s">
        <v>4</v>
      </c>
      <c r="AA27" s="4"/>
      <c r="AB27" s="4"/>
      <c r="AC27" s="4"/>
      <c r="AD27" s="4"/>
      <c r="AE27" s="6" t="n">
        <f aca="false">'ОПЕРФАКТ 2025'!C96</f>
        <v>1038.43</v>
      </c>
    </row>
    <row r="28" customFormat="false" ht="18.55" hidden="false" customHeight="false" outlineLevel="0" collapsed="false">
      <c r="Z28" s="3" t="s">
        <v>5</v>
      </c>
      <c r="AA28" s="4"/>
      <c r="AB28" s="4"/>
      <c r="AC28" s="4"/>
      <c r="AD28" s="4"/>
      <c r="AE28" s="6" t="n">
        <f aca="false">'ОПЕРФАКТ 2025'!C97</f>
        <v>1242.53</v>
      </c>
    </row>
    <row r="29" customFormat="false" ht="18.55" hidden="false" customHeight="false" outlineLevel="0" collapsed="false">
      <c r="Z29" s="7" t="s">
        <v>6</v>
      </c>
      <c r="AA29" s="4"/>
      <c r="AB29" s="4"/>
      <c r="AC29" s="4"/>
      <c r="AD29" s="4"/>
      <c r="AE29" s="8" t="n">
        <f aca="false">'ОПЕРФАКТ 2025'!C98</f>
        <v>967.72</v>
      </c>
    </row>
    <row r="30" customFormat="false" ht="18.55" hidden="false" customHeight="false" outlineLevel="0" collapsed="false">
      <c r="Z30" s="7" t="s">
        <v>7</v>
      </c>
      <c r="AA30" s="4"/>
      <c r="AB30" s="4"/>
      <c r="AC30" s="4"/>
      <c r="AD30" s="4"/>
      <c r="AE30" s="8" t="n">
        <f aca="false">'ОПЕРФАКТ 2025'!C99</f>
        <v>274.81</v>
      </c>
    </row>
  </sheetData>
  <mergeCells count="1">
    <mergeCell ref="A1:X1"/>
  </mergeCells>
  <printOptions headings="false" gridLines="false" gridLinesSet="true" horizontalCentered="false" verticalCentered="false"/>
  <pageMargins left="0.35" right="0.240277777777778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C27" activeCellId="0" sqref="C27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0.14"/>
    <col collapsed="false" customWidth="true" hidden="false" outlineLevel="0" max="2" min="2" style="0" width="29.14"/>
    <col collapsed="false" customWidth="true" hidden="false" outlineLevel="0" max="3" min="3" style="0" width="12.29"/>
    <col collapsed="false" customWidth="true" hidden="false" outlineLevel="0" max="4" min="4" style="0" width="10.14"/>
    <col collapsed="false" customWidth="true" hidden="false" outlineLevel="0" max="5" min="5" style="0" width="14.29"/>
    <col collapsed="false" customWidth="true" hidden="false" outlineLevel="0" max="8" min="7" style="0" width="10.71"/>
    <col collapsed="false" customWidth="true" hidden="false" outlineLevel="0" max="9" min="9" style="0" width="21.85"/>
    <col collapsed="false" customWidth="true" hidden="false" outlineLevel="0" max="10" min="10" style="0" width="9.71"/>
    <col collapsed="false" customWidth="true" hidden="false" outlineLevel="0" max="11" min="11" style="0" width="11.71"/>
    <col collapsed="false" customWidth="true" hidden="false" outlineLevel="0" max="13" min="13" style="0" width="11.71"/>
    <col collapsed="false" customWidth="true" hidden="false" outlineLevel="0" max="14" min="14" style="0" width="9.71"/>
  </cols>
  <sheetData>
    <row r="1" customFormat="false" ht="15" hidden="false" customHeight="false" outlineLevel="0" collapsed="false">
      <c r="A1" s="0" t="s">
        <v>8</v>
      </c>
      <c r="B1" s="0" t="s">
        <v>9</v>
      </c>
      <c r="C1" s="9" t="n">
        <v>46240</v>
      </c>
      <c r="F1" s="0" t="n">
        <v>150</v>
      </c>
      <c r="G1" s="10"/>
      <c r="H1" s="11"/>
      <c r="I1" s="0" t="s">
        <v>7</v>
      </c>
    </row>
    <row r="2" customFormat="false" ht="15" hidden="false" customHeight="false" outlineLevel="0" collapsed="false">
      <c r="B2" s="2" t="s">
        <v>10</v>
      </c>
      <c r="I2" s="2" t="s">
        <v>11</v>
      </c>
    </row>
    <row r="3" s="12" customFormat="true" ht="15" hidden="false" customHeight="false" outlineLevel="0" collapsed="false">
      <c r="B3" s="12" t="s">
        <v>12</v>
      </c>
      <c r="C3" s="13" t="n">
        <v>46237</v>
      </c>
      <c r="F3" s="14" t="s">
        <v>13</v>
      </c>
      <c r="G3" s="14" t="s">
        <v>14</v>
      </c>
      <c r="H3" s="14" t="s">
        <v>15</v>
      </c>
      <c r="J3" s="14" t="s">
        <v>16</v>
      </c>
      <c r="K3" s="14" t="s">
        <v>17</v>
      </c>
      <c r="L3" s="14"/>
      <c r="M3" s="14" t="s">
        <v>18</v>
      </c>
      <c r="N3" s="14" t="s">
        <v>19</v>
      </c>
    </row>
    <row r="4" customFormat="false" ht="15" hidden="false" customHeight="false" outlineLevel="0" collapsed="false">
      <c r="B4" s="0" t="s">
        <v>20</v>
      </c>
      <c r="C4" s="15"/>
      <c r="F4" s="0" t="n">
        <f aca="false">F13+F14</f>
        <v>345</v>
      </c>
      <c r="G4" s="10" t="n">
        <f aca="false">G13+G14</f>
        <v>265</v>
      </c>
      <c r="H4" s="11"/>
      <c r="I4" s="0" t="s">
        <v>21</v>
      </c>
      <c r="J4" s="16" t="n">
        <f aca="false">J13+J14</f>
        <v>4362</v>
      </c>
      <c r="K4" s="17" t="n">
        <f aca="false">K13+K14</f>
        <v>1827.89</v>
      </c>
      <c r="L4" s="18" t="n">
        <f aca="false">IFERROR(K4/J4,)</f>
        <v>0.419048601558918</v>
      </c>
      <c r="M4" s="19" t="n">
        <f aca="false">M13+M14</f>
        <v>94</v>
      </c>
      <c r="N4" s="20" t="n">
        <f aca="false">IFERROR(K4/M4, "-" )</f>
        <v>19.4456382978723</v>
      </c>
    </row>
    <row r="5" customFormat="false" ht="15" hidden="false" customHeight="false" outlineLevel="0" collapsed="false">
      <c r="B5" s="0" t="s">
        <v>22</v>
      </c>
      <c r="C5" s="15" t="n">
        <v>46320</v>
      </c>
      <c r="D5" s="15"/>
      <c r="F5" s="0" t="n">
        <v>750</v>
      </c>
      <c r="G5" s="10" t="n">
        <f aca="false">297+447</f>
        <v>744</v>
      </c>
      <c r="H5" s="11" t="n">
        <v>18</v>
      </c>
      <c r="I5" s="0" t="s">
        <v>23</v>
      </c>
      <c r="J5" s="16" t="n">
        <f aca="false">G5*H5</f>
        <v>13392</v>
      </c>
      <c r="K5" s="17"/>
      <c r="L5" s="18" t="n">
        <f aca="false">IFERROR(K5/J5,)</f>
        <v>0</v>
      </c>
      <c r="M5" s="19"/>
      <c r="N5" s="20" t="str">
        <f aca="false">IFERROR(K5/M5, "-" )</f>
        <v>-</v>
      </c>
    </row>
    <row r="6" customFormat="false" ht="15" hidden="false" customHeight="false" outlineLevel="0" collapsed="false">
      <c r="B6" s="0" t="s">
        <v>24</v>
      </c>
      <c r="C6" s="21" t="n">
        <f aca="false">C5-C3+1</f>
        <v>84</v>
      </c>
      <c r="F6" s="0" t="n">
        <f aca="false">F11+F12</f>
        <v>341</v>
      </c>
      <c r="G6" s="10" t="n">
        <f aca="false">G11+G12</f>
        <v>543.96</v>
      </c>
      <c r="H6" s="11"/>
      <c r="I6" s="0" t="s">
        <v>25</v>
      </c>
      <c r="J6" s="16" t="n">
        <f aca="false">J11+J12</f>
        <v>8432.4</v>
      </c>
      <c r="K6" s="17"/>
      <c r="L6" s="18" t="n">
        <f aca="false">IFERROR(K6/J6,)</f>
        <v>0</v>
      </c>
      <c r="M6" s="19" t="n">
        <f aca="false">M11+M12</f>
        <v>0</v>
      </c>
      <c r="N6" s="20" t="str">
        <f aca="false">IFERROR(K6/M6, "-" )</f>
        <v>-</v>
      </c>
    </row>
    <row r="7" customFormat="false" ht="15" hidden="false" customHeight="false" outlineLevel="0" collapsed="false">
      <c r="B7" s="0" t="s">
        <v>26</v>
      </c>
      <c r="C7" s="22" t="n">
        <f aca="false">C1-C3+1</f>
        <v>4</v>
      </c>
      <c r="F7" s="0" t="n">
        <v>210</v>
      </c>
      <c r="G7" s="10" t="n">
        <v>198</v>
      </c>
      <c r="H7" s="11" t="n">
        <v>18</v>
      </c>
      <c r="I7" s="0" t="s">
        <v>27</v>
      </c>
      <c r="J7" s="0" t="n">
        <f aca="false">G7*H7</f>
        <v>3564</v>
      </c>
      <c r="K7" s="17"/>
      <c r="L7" s="18" t="n">
        <f aca="false">IFERROR(K7/J7,)</f>
        <v>0</v>
      </c>
      <c r="M7" s="19"/>
      <c r="N7" s="20" t="str">
        <f aca="false">IFERROR(K7/M7, "-" )</f>
        <v>-</v>
      </c>
    </row>
    <row r="8" customFormat="false" ht="15" hidden="false" customHeight="false" outlineLevel="0" collapsed="false">
      <c r="B8" s="0" t="s">
        <v>10</v>
      </c>
      <c r="C8" s="23" t="n">
        <f aca="false">C7/C6</f>
        <v>0.0476190476190476</v>
      </c>
      <c r="F8" s="0" t="n">
        <v>565</v>
      </c>
      <c r="G8" s="10" t="n">
        <v>413.5</v>
      </c>
      <c r="H8" s="11" t="n">
        <v>18</v>
      </c>
      <c r="I8" s="0" t="s">
        <v>28</v>
      </c>
      <c r="J8" s="16" t="n">
        <f aca="false">G8*H8</f>
        <v>7443</v>
      </c>
      <c r="K8" s="17"/>
      <c r="L8" s="18" t="n">
        <f aca="false">IFERROR(K8/J8,)</f>
        <v>0</v>
      </c>
      <c r="M8" s="19"/>
      <c r="N8" s="20" t="str">
        <f aca="false">IFERROR(K8/M8, "-" )</f>
        <v>-</v>
      </c>
    </row>
    <row r="9" customFormat="false" ht="15" hidden="false" customHeight="false" outlineLevel="0" collapsed="false">
      <c r="F9" s="2" t="n">
        <f aca="false">SUM(F4:F8)+F1</f>
        <v>2361</v>
      </c>
      <c r="G9" s="24" t="n">
        <f aca="false">SUM(G4:G8)</f>
        <v>2164.46</v>
      </c>
      <c r="J9" s="25" t="n">
        <f aca="false">SUM(J4:J8)</f>
        <v>37193.4</v>
      </c>
      <c r="K9" s="25" t="n">
        <f aca="false">SUM(K4:K8)</f>
        <v>1827.89</v>
      </c>
      <c r="L9" s="25"/>
      <c r="M9" s="25" t="n">
        <f aca="false">SUM(M4:M8)</f>
        <v>94</v>
      </c>
      <c r="N9" s="2"/>
    </row>
    <row r="10" customFormat="false" ht="15" hidden="false" customHeight="false" outlineLevel="0" collapsed="false">
      <c r="K10" s="16"/>
      <c r="L10" s="16"/>
      <c r="M10" s="26"/>
    </row>
    <row r="11" customFormat="false" ht="15" hidden="false" customHeight="false" outlineLevel="0" collapsed="false">
      <c r="B11" s="2" t="s">
        <v>18</v>
      </c>
      <c r="F11" s="0" t="n">
        <v>0</v>
      </c>
      <c r="G11" s="0" t="n">
        <v>91</v>
      </c>
      <c r="H11" s="0" t="n">
        <v>18</v>
      </c>
      <c r="I11" s="0" t="s">
        <v>29</v>
      </c>
      <c r="J11" s="16" t="n">
        <f aca="false">G11*H11</f>
        <v>1638</v>
      </c>
      <c r="K11" s="16"/>
      <c r="L11" s="16"/>
    </row>
    <row r="12" customFormat="false" ht="15" hidden="false" customHeight="false" outlineLevel="0" collapsed="false">
      <c r="B12" s="27" t="s">
        <v>30</v>
      </c>
      <c r="C12" s="16" t="n">
        <v>2361</v>
      </c>
      <c r="F12" s="0" t="n">
        <v>341</v>
      </c>
      <c r="G12" s="0" t="n">
        <v>452.96</v>
      </c>
      <c r="H12" s="0" t="n">
        <v>15</v>
      </c>
      <c r="I12" s="0" t="s">
        <v>31</v>
      </c>
      <c r="J12" s="16" t="n">
        <f aca="false">G12*H12</f>
        <v>6794.4</v>
      </c>
      <c r="K12" s="16"/>
      <c r="L12" s="16"/>
    </row>
    <row r="13" customFormat="false" ht="15" hidden="false" customHeight="false" outlineLevel="0" collapsed="false">
      <c r="B13" s="27" t="s">
        <v>16</v>
      </c>
      <c r="C13" s="28" t="n">
        <f aca="false">G9</f>
        <v>2164.46</v>
      </c>
      <c r="F13" s="0" t="n">
        <v>144</v>
      </c>
      <c r="G13" s="0" t="n">
        <v>129</v>
      </c>
      <c r="H13" s="0" t="n">
        <v>18</v>
      </c>
      <c r="I13" s="0" t="s">
        <v>32</v>
      </c>
      <c r="J13" s="16" t="n">
        <f aca="false">G13*H13</f>
        <v>2322</v>
      </c>
      <c r="K13" s="16"/>
    </row>
    <row r="14" customFormat="false" ht="15" hidden="false" customHeight="false" outlineLevel="0" collapsed="false">
      <c r="B14" s="0" t="s">
        <v>33</v>
      </c>
      <c r="C14" s="16"/>
      <c r="F14" s="0" t="n">
        <v>201</v>
      </c>
      <c r="G14" s="0" t="n">
        <v>136</v>
      </c>
      <c r="H14" s="0" t="n">
        <v>15</v>
      </c>
      <c r="I14" s="0" t="s">
        <v>34</v>
      </c>
      <c r="J14" s="16" t="n">
        <f aca="false">G14*H14</f>
        <v>2040</v>
      </c>
      <c r="K14" s="16" t="n">
        <f aca="false">'Кукуруза суперсл ГРК'!C18</f>
        <v>1827.89</v>
      </c>
      <c r="M14" s="0" t="n">
        <f aca="false">'Кукуруза суперсл ГРК'!E18</f>
        <v>94</v>
      </c>
    </row>
    <row r="15" customFormat="false" ht="15" hidden="false" customHeight="false" outlineLevel="0" collapsed="false">
      <c r="B15" s="0" t="s">
        <v>17</v>
      </c>
      <c r="C15" s="28" t="n">
        <f aca="false">M9</f>
        <v>94</v>
      </c>
      <c r="D15" s="29"/>
      <c r="J15" s="16"/>
      <c r="K15" s="16"/>
    </row>
    <row r="16" customFormat="false" ht="15" hidden="false" customHeight="false" outlineLevel="0" collapsed="false">
      <c r="B16" s="0" t="s">
        <v>35</v>
      </c>
      <c r="C16" s="23" t="n">
        <f aca="false">C15/C13</f>
        <v>0.04342884599392</v>
      </c>
      <c r="E16" s="23"/>
    </row>
    <row r="17" customFormat="false" ht="15" hidden="false" customHeight="false" outlineLevel="0" collapsed="false">
      <c r="C17" s="16"/>
    </row>
    <row r="19" customFormat="false" ht="15" hidden="false" customHeight="false" outlineLevel="0" collapsed="false">
      <c r="B19" s="0" t="s">
        <v>36</v>
      </c>
      <c r="C19" s="29" t="n">
        <f aca="false">M9-C20</f>
        <v>0</v>
      </c>
      <c r="E19" s="0" t="s">
        <v>37</v>
      </c>
    </row>
    <row r="20" customFormat="false" ht="15" hidden="false" customHeight="false" outlineLevel="0" collapsed="false">
      <c r="B20" s="0" t="s">
        <v>38</v>
      </c>
      <c r="C20" s="0" t="n">
        <f aca="false">M12+M14</f>
        <v>94</v>
      </c>
      <c r="E20" s="0" t="s">
        <v>37</v>
      </c>
    </row>
    <row r="22" customFormat="false" ht="15" hidden="false" customHeight="false" outlineLevel="0" collapsed="false">
      <c r="B22" s="2" t="s">
        <v>39</v>
      </c>
    </row>
    <row r="23" customFormat="false" ht="15" hidden="false" customHeight="false" outlineLevel="0" collapsed="false">
      <c r="B23" s="0" t="s">
        <v>40</v>
      </c>
      <c r="C23" s="30" t="n">
        <f aca="false">M9</f>
        <v>94</v>
      </c>
    </row>
    <row r="24" customFormat="false" ht="15" hidden="false" customHeight="false" outlineLevel="0" collapsed="false">
      <c r="B24" s="0" t="s">
        <v>41</v>
      </c>
      <c r="C24" s="31" t="n">
        <v>0</v>
      </c>
    </row>
    <row r="25" customFormat="false" ht="15" hidden="false" customHeight="false" outlineLevel="0" collapsed="false">
      <c r="B25" s="0" t="s">
        <v>42</v>
      </c>
      <c r="C25" s="29" t="n">
        <f aca="false">C27-C23-C24</f>
        <v>2070.46</v>
      </c>
    </row>
    <row r="26" customFormat="false" ht="15" hidden="false" customHeight="false" outlineLevel="0" collapsed="false">
      <c r="C26" s="31"/>
    </row>
    <row r="27" customFormat="false" ht="15" hidden="false" customHeight="false" outlineLevel="0" collapsed="false">
      <c r="B27" s="0" t="s">
        <v>16</v>
      </c>
      <c r="C27" s="29" t="n">
        <f aca="false">C13</f>
        <v>2164.46</v>
      </c>
    </row>
    <row r="28" customFormat="false" ht="15" hidden="false" customHeight="false" outlineLevel="0" collapsed="false">
      <c r="C28" s="26"/>
    </row>
    <row r="29" customFormat="false" ht="15" hidden="false" customHeight="false" outlineLevel="0" collapsed="false">
      <c r="B29" s="2" t="s">
        <v>43</v>
      </c>
    </row>
    <row r="30" customFormat="false" ht="15" hidden="false" customHeight="false" outlineLevel="0" collapsed="false">
      <c r="B30" s="27" t="s">
        <v>30</v>
      </c>
      <c r="C30" s="16" t="n">
        <v>40671</v>
      </c>
      <c r="D30" s="0" t="s">
        <v>44</v>
      </c>
    </row>
    <row r="31" customFormat="false" ht="15" hidden="false" customHeight="false" outlineLevel="0" collapsed="false">
      <c r="B31" s="0" t="s">
        <v>16</v>
      </c>
      <c r="C31" s="17" t="n">
        <f aca="false">J9</f>
        <v>37193.4</v>
      </c>
      <c r="D31" s="0" t="s">
        <v>44</v>
      </c>
      <c r="E31" s="32" t="n">
        <f aca="false">C31/C30-1</f>
        <v>-0.0855056428413366</v>
      </c>
      <c r="F31" s="16" t="n">
        <f aca="false">C31-C30</f>
        <v>-3477.6</v>
      </c>
    </row>
    <row r="32" customFormat="false" ht="15" hidden="false" customHeight="false" outlineLevel="0" collapsed="false">
      <c r="B32" s="0" t="s">
        <v>33</v>
      </c>
      <c r="C32" s="16"/>
    </row>
    <row r="33" customFormat="false" ht="15" hidden="false" customHeight="false" outlineLevel="0" collapsed="false">
      <c r="B33" s="0" t="s">
        <v>17</v>
      </c>
      <c r="C33" s="17" t="n">
        <f aca="false">K9</f>
        <v>1827.89</v>
      </c>
      <c r="D33" s="33" t="s">
        <v>44</v>
      </c>
    </row>
    <row r="34" customFormat="false" ht="15" hidden="false" customHeight="false" outlineLevel="0" collapsed="false">
      <c r="B34" s="0" t="s">
        <v>35</v>
      </c>
      <c r="C34" s="23" t="n">
        <f aca="false">C33/C31</f>
        <v>0.0491455473282894</v>
      </c>
      <c r="E34" s="23"/>
    </row>
    <row r="35" customFormat="false" ht="15" hidden="false" customHeight="false" outlineLevel="0" collapsed="false">
      <c r="C35" s="34" t="s">
        <v>37</v>
      </c>
      <c r="D35" s="0" t="s">
        <v>45</v>
      </c>
      <c r="E35" s="34" t="s">
        <v>46</v>
      </c>
    </row>
    <row r="36" customFormat="false" ht="15" hidden="false" customHeight="false" outlineLevel="0" collapsed="false">
      <c r="B36" s="0" t="s">
        <v>36</v>
      </c>
      <c r="C36" s="16" t="n">
        <f aca="false">K9-C37</f>
        <v>0</v>
      </c>
      <c r="D36" s="16" t="n">
        <f aca="false">J9-D37</f>
        <v>28359</v>
      </c>
      <c r="E36" s="16" t="n">
        <f aca="false">D36-C36</f>
        <v>28359</v>
      </c>
    </row>
    <row r="37" customFormat="false" ht="15" hidden="false" customHeight="false" outlineLevel="0" collapsed="false">
      <c r="B37" s="0" t="s">
        <v>38</v>
      </c>
      <c r="C37" s="16" t="n">
        <f aca="false">K12+K14</f>
        <v>1827.89</v>
      </c>
      <c r="D37" s="16" t="n">
        <f aca="false">J12+J14</f>
        <v>8834.4</v>
      </c>
      <c r="E37" s="16" t="n">
        <f aca="false">D37-C37</f>
        <v>7006.51</v>
      </c>
    </row>
    <row r="39" customFormat="false" ht="15" hidden="false" customHeight="false" outlineLevel="0" collapsed="false">
      <c r="C39" s="26"/>
    </row>
    <row r="40" customFormat="false" ht="15" hidden="false" customHeight="false" outlineLevel="0" collapsed="false">
      <c r="B40" s="2" t="s">
        <v>47</v>
      </c>
    </row>
    <row r="41" customFormat="false" ht="15" hidden="false" customHeight="false" outlineLevel="0" collapsed="false">
      <c r="B41" s="27" t="s">
        <v>30</v>
      </c>
      <c r="C41" s="26" t="n">
        <v>17.2261753494282</v>
      </c>
    </row>
    <row r="42" customFormat="false" ht="15" hidden="false" customHeight="false" outlineLevel="0" collapsed="false">
      <c r="B42" s="0" t="s">
        <v>16</v>
      </c>
      <c r="C42" s="26" t="n">
        <f aca="false">C31/C13</f>
        <v>17.1836855381943</v>
      </c>
    </row>
    <row r="43" customFormat="false" ht="15" hidden="false" customHeight="false" outlineLevel="0" collapsed="false">
      <c r="B43" s="0" t="s">
        <v>33</v>
      </c>
      <c r="C43" s="26"/>
    </row>
    <row r="44" customFormat="false" ht="15" hidden="false" customHeight="false" outlineLevel="0" collapsed="false">
      <c r="B44" s="0" t="s">
        <v>17</v>
      </c>
      <c r="C44" s="26" t="n">
        <f aca="false">C33/C15</f>
        <v>19.4456382978723</v>
      </c>
      <c r="D44" s="35" t="n">
        <f aca="false">C44</f>
        <v>19.4456382978723</v>
      </c>
    </row>
    <row r="46" customFormat="false" ht="15" hidden="false" customHeight="false" outlineLevel="0" collapsed="false">
      <c r="B46" s="0" t="s">
        <v>36</v>
      </c>
      <c r="C46" s="35" t="str">
        <f aca="false">IFERROR(C36/C19, "-")</f>
        <v>-</v>
      </c>
      <c r="E46" s="0" t="s">
        <v>37</v>
      </c>
    </row>
    <row r="47" customFormat="false" ht="15" hidden="false" customHeight="false" outlineLevel="0" collapsed="false">
      <c r="B47" s="0" t="s">
        <v>38</v>
      </c>
      <c r="C47" s="35" t="n">
        <f aca="false">IFERROR(C37/C20, "-")</f>
        <v>19.4456382978723</v>
      </c>
      <c r="E47" s="0" t="s">
        <v>37</v>
      </c>
    </row>
    <row r="49" customFormat="false" ht="15" hidden="false" customHeight="false" outlineLevel="0" collapsed="false">
      <c r="C49" s="2" t="s">
        <v>48</v>
      </c>
      <c r="L49" s="2" t="s">
        <v>49</v>
      </c>
      <c r="U49" s="2" t="s">
        <v>47</v>
      </c>
    </row>
    <row r="50" customFormat="false" ht="15" hidden="false" customHeight="false" outlineLevel="0" collapsed="false">
      <c r="B50" s="2" t="s">
        <v>50</v>
      </c>
    </row>
    <row r="51" customFormat="false" ht="15" hidden="false" customHeight="false" outlineLevel="0" collapsed="false">
      <c r="C51" s="2" t="n">
        <v>2019</v>
      </c>
      <c r="D51" s="2" t="n">
        <v>2020</v>
      </c>
      <c r="E51" s="2" t="n">
        <v>2021</v>
      </c>
      <c r="F51" s="2" t="n">
        <v>2022</v>
      </c>
      <c r="G51" s="2" t="n">
        <v>2023</v>
      </c>
      <c r="H51" s="2" t="n">
        <v>2024</v>
      </c>
      <c r="I51" s="2" t="n">
        <v>2025</v>
      </c>
      <c r="J51" s="2" t="n">
        <v>2026</v>
      </c>
      <c r="L51" s="2" t="n">
        <v>2019</v>
      </c>
      <c r="M51" s="2" t="n">
        <v>2020</v>
      </c>
      <c r="N51" s="2" t="n">
        <v>2021</v>
      </c>
      <c r="O51" s="2" t="n">
        <v>2022</v>
      </c>
      <c r="P51" s="2" t="n">
        <v>2023</v>
      </c>
      <c r="Q51" s="2" t="n">
        <v>2024</v>
      </c>
      <c r="R51" s="2" t="n">
        <v>2025</v>
      </c>
      <c r="S51" s="2" t="n">
        <v>2026</v>
      </c>
      <c r="U51" s="2" t="n">
        <v>2019</v>
      </c>
      <c r="V51" s="2" t="n">
        <v>2020</v>
      </c>
      <c r="W51" s="2" t="n">
        <v>2021</v>
      </c>
      <c r="X51" s="2" t="n">
        <v>2022</v>
      </c>
      <c r="Y51" s="2" t="n">
        <v>2023</v>
      </c>
      <c r="Z51" s="2" t="n">
        <v>2024</v>
      </c>
      <c r="AA51" s="2" t="n">
        <v>2025</v>
      </c>
      <c r="AB51" s="2" t="n">
        <v>2026</v>
      </c>
    </row>
    <row r="52" customFormat="false" ht="15" hidden="false" customHeight="false" outlineLevel="0" collapsed="false">
      <c r="B52" s="0" t="s">
        <v>51</v>
      </c>
      <c r="C52" s="16"/>
      <c r="D52" s="16" t="n">
        <v>15589.84</v>
      </c>
      <c r="E52" s="16" t="n">
        <v>8061.38</v>
      </c>
      <c r="F52" s="16" t="n">
        <v>4279.68</v>
      </c>
      <c r="G52" s="16"/>
      <c r="H52" s="16"/>
      <c r="I52" s="16"/>
      <c r="J52" s="17"/>
      <c r="L52" s="16"/>
      <c r="M52" s="16" t="n">
        <v>791</v>
      </c>
      <c r="N52" s="16" t="n">
        <v>411.65</v>
      </c>
      <c r="O52" s="16" t="n">
        <v>270.82</v>
      </c>
      <c r="P52" s="16" t="n">
        <v>0</v>
      </c>
      <c r="S52" s="19"/>
      <c r="U52" s="16"/>
      <c r="V52" s="26" t="n">
        <f aca="false">D52/M52</f>
        <v>19.7090265486726</v>
      </c>
      <c r="W52" s="26" t="n">
        <f aca="false">E52/N52</f>
        <v>19.583092432892</v>
      </c>
      <c r="X52" s="26" t="n">
        <f aca="false">F52/O52</f>
        <v>15.8026733623809</v>
      </c>
      <c r="Y52" s="26"/>
      <c r="Z52" s="26"/>
      <c r="AA52" s="26"/>
      <c r="AB52" s="28" t="n">
        <f aca="false">IFERROR(J52/S52,)</f>
        <v>0</v>
      </c>
    </row>
    <row r="53" customFormat="false" ht="15" hidden="false" customHeight="false" outlineLevel="0" collapsed="false">
      <c r="B53" s="36" t="s">
        <v>52</v>
      </c>
      <c r="C53" s="37"/>
      <c r="D53" s="37"/>
      <c r="E53" s="37"/>
      <c r="F53" s="37"/>
      <c r="G53" s="37"/>
      <c r="H53" s="37"/>
      <c r="I53" s="37" t="n">
        <v>1860.64</v>
      </c>
      <c r="J53" s="37"/>
      <c r="K53" s="36"/>
      <c r="L53" s="37"/>
      <c r="M53" s="37"/>
      <c r="N53" s="37"/>
      <c r="O53" s="37"/>
      <c r="P53" s="37"/>
      <c r="Q53" s="36"/>
      <c r="R53" s="36" t="n">
        <v>125</v>
      </c>
      <c r="S53" s="36"/>
      <c r="T53" s="36"/>
      <c r="U53" s="37"/>
      <c r="V53" s="38"/>
      <c r="W53" s="38"/>
      <c r="X53" s="38"/>
      <c r="Y53" s="38"/>
      <c r="Z53" s="38"/>
      <c r="AA53" s="38" t="n">
        <f aca="false">I53/R53</f>
        <v>14.88512</v>
      </c>
      <c r="AB53" s="38" t="n">
        <f aca="false">IFERROR(J53/S53,)</f>
        <v>0</v>
      </c>
    </row>
    <row r="54" customFormat="false" ht="15" hidden="false" customHeight="false" outlineLevel="0" collapsed="false">
      <c r="B54" s="0" t="s">
        <v>53</v>
      </c>
      <c r="C54" s="16"/>
      <c r="D54" s="16"/>
      <c r="E54" s="16"/>
      <c r="F54" s="16"/>
      <c r="G54" s="16"/>
      <c r="H54" s="16"/>
      <c r="I54" s="16" t="n">
        <v>3223.16</v>
      </c>
      <c r="J54" s="17"/>
      <c r="L54" s="16"/>
      <c r="M54" s="16"/>
      <c r="N54" s="16"/>
      <c r="O54" s="16"/>
      <c r="P54" s="16"/>
      <c r="R54" s="0" t="n">
        <v>268</v>
      </c>
      <c r="S54" s="19"/>
      <c r="U54" s="16"/>
      <c r="V54" s="26"/>
      <c r="W54" s="26"/>
      <c r="X54" s="26"/>
      <c r="Y54" s="26"/>
      <c r="Z54" s="26"/>
      <c r="AA54" s="26" t="n">
        <f aca="false">I54/R54</f>
        <v>12.0267164179104</v>
      </c>
      <c r="AB54" s="28" t="n">
        <f aca="false">IFERROR(J54/S54,)</f>
        <v>0</v>
      </c>
    </row>
    <row r="55" customFormat="false" ht="15" hidden="false" customHeight="false" outlineLevel="0" collapsed="false">
      <c r="B55" s="36" t="s">
        <v>32</v>
      </c>
      <c r="C55" s="37"/>
      <c r="D55" s="37"/>
      <c r="E55" s="37"/>
      <c r="F55" s="37"/>
      <c r="G55" s="37" t="n">
        <v>2829.55</v>
      </c>
      <c r="H55" s="37" t="n">
        <v>178.65</v>
      </c>
      <c r="I55" s="37" t="n">
        <v>1812.05</v>
      </c>
      <c r="J55" s="37"/>
      <c r="K55" s="36"/>
      <c r="L55" s="37"/>
      <c r="M55" s="37"/>
      <c r="N55" s="37"/>
      <c r="O55" s="37"/>
      <c r="P55" s="37" t="n">
        <v>197.6</v>
      </c>
      <c r="Q55" s="36" t="n">
        <v>23</v>
      </c>
      <c r="R55" s="36" t="n">
        <v>156</v>
      </c>
      <c r="S55" s="36"/>
      <c r="T55" s="36"/>
      <c r="U55" s="37"/>
      <c r="V55" s="38"/>
      <c r="W55" s="38"/>
      <c r="X55" s="38"/>
      <c r="Y55" s="38" t="n">
        <f aca="false">G55/P55</f>
        <v>14.3195850202429</v>
      </c>
      <c r="Z55" s="38" t="n">
        <f aca="false">H55/Q55</f>
        <v>7.76739130434783</v>
      </c>
      <c r="AA55" s="38" t="n">
        <f aca="false">I55/R55</f>
        <v>11.6157051282051</v>
      </c>
      <c r="AB55" s="38" t="n">
        <f aca="false">IFERROR(J55/S55,)</f>
        <v>0</v>
      </c>
    </row>
    <row r="56" customFormat="false" ht="15" hidden="false" customHeight="false" outlineLevel="0" collapsed="false">
      <c r="B56" s="36" t="s">
        <v>34</v>
      </c>
      <c r="C56" s="37"/>
      <c r="D56" s="37" t="n">
        <v>6271.2</v>
      </c>
      <c r="E56" s="37" t="n">
        <v>4487.5</v>
      </c>
      <c r="F56" s="37" t="n">
        <v>4513.01</v>
      </c>
      <c r="G56" s="37" t="n">
        <v>1950.56</v>
      </c>
      <c r="H56" s="37" t="n">
        <v>3707.36</v>
      </c>
      <c r="I56" s="37" t="n">
        <v>550.89</v>
      </c>
      <c r="J56" s="37" t="n">
        <f aca="false">K14</f>
        <v>1827.89</v>
      </c>
      <c r="K56" s="36"/>
      <c r="L56" s="37"/>
      <c r="M56" s="37" t="n">
        <v>411</v>
      </c>
      <c r="N56" s="37" t="n">
        <v>315</v>
      </c>
      <c r="O56" s="37" t="n">
        <v>400</v>
      </c>
      <c r="P56" s="37" t="n">
        <v>142.7</v>
      </c>
      <c r="Q56" s="36" t="n">
        <v>459</v>
      </c>
      <c r="R56" s="36" t="n">
        <v>63</v>
      </c>
      <c r="S56" s="36" t="n">
        <f aca="false">M14</f>
        <v>94</v>
      </c>
      <c r="T56" s="36"/>
      <c r="U56" s="37"/>
      <c r="V56" s="38" t="n">
        <f aca="false">D56/M56</f>
        <v>15.2583941605839</v>
      </c>
      <c r="W56" s="38" t="n">
        <f aca="false">E56/N56</f>
        <v>14.2460317460317</v>
      </c>
      <c r="X56" s="38" t="n">
        <f aca="false">F56/O56</f>
        <v>11.282525</v>
      </c>
      <c r="Y56" s="38" t="n">
        <f aca="false">G56/P56</f>
        <v>13.6689558514366</v>
      </c>
      <c r="Z56" s="38" t="n">
        <f aca="false">H56/Q56</f>
        <v>8.07703703703704</v>
      </c>
      <c r="AA56" s="38" t="n">
        <f aca="false">I56/R56</f>
        <v>8.74428571428572</v>
      </c>
      <c r="AB56" s="38" t="n">
        <f aca="false">IFERROR(J56/S56,)</f>
        <v>19.4456382978723</v>
      </c>
    </row>
    <row r="57" customFormat="false" ht="15" hidden="false" customHeight="false" outlineLevel="0" collapsed="false">
      <c r="B57" s="0" t="s">
        <v>54</v>
      </c>
      <c r="C57" s="16"/>
      <c r="D57" s="16" t="n">
        <v>7230.23</v>
      </c>
      <c r="E57" s="16" t="n">
        <v>7910.36</v>
      </c>
      <c r="F57" s="16" t="n">
        <v>2840.27</v>
      </c>
      <c r="G57" s="16"/>
      <c r="H57" s="16"/>
      <c r="I57" s="16"/>
      <c r="J57" s="17"/>
      <c r="L57" s="16"/>
      <c r="M57" s="16" t="n">
        <v>415</v>
      </c>
      <c r="N57" s="16" t="n">
        <v>482.2</v>
      </c>
      <c r="O57" s="16" t="n">
        <v>155.12</v>
      </c>
      <c r="P57" s="16"/>
      <c r="S57" s="19"/>
      <c r="U57" s="16"/>
      <c r="V57" s="26" t="n">
        <f aca="false">D57/M57</f>
        <v>17.4222409638554</v>
      </c>
      <c r="W57" s="26" t="n">
        <f aca="false">E57/N57</f>
        <v>16.4047283284944</v>
      </c>
      <c r="X57" s="26" t="n">
        <f aca="false">F57/O57</f>
        <v>18.3101469829809</v>
      </c>
      <c r="Y57" s="26"/>
      <c r="Z57" s="26"/>
      <c r="AA57" s="26"/>
      <c r="AB57" s="28" t="n">
        <f aca="false">IFERROR(J57/S57,)</f>
        <v>0</v>
      </c>
    </row>
    <row r="58" customFormat="false" ht="15" hidden="false" customHeight="false" outlineLevel="0" collapsed="false">
      <c r="B58" s="0" t="s">
        <v>55</v>
      </c>
      <c r="C58" s="16"/>
      <c r="D58" s="16" t="n">
        <v>2466.02</v>
      </c>
      <c r="E58" s="16" t="n">
        <v>4706.84</v>
      </c>
      <c r="F58" s="16" t="n">
        <v>3078.48</v>
      </c>
      <c r="G58" s="16"/>
      <c r="H58" s="16"/>
      <c r="I58" s="16"/>
      <c r="J58" s="17"/>
      <c r="L58" s="16"/>
      <c r="M58" s="16" t="n">
        <v>200</v>
      </c>
      <c r="N58" s="16" t="n">
        <v>257</v>
      </c>
      <c r="O58" s="16" t="n">
        <v>186</v>
      </c>
      <c r="P58" s="16"/>
      <c r="S58" s="19"/>
      <c r="U58" s="16"/>
      <c r="V58" s="26" t="n">
        <f aca="false">D58/M58</f>
        <v>12.3301</v>
      </c>
      <c r="W58" s="26" t="n">
        <f aca="false">E58/N58</f>
        <v>18.3145525291829</v>
      </c>
      <c r="X58" s="26" t="n">
        <f aca="false">F58/O58</f>
        <v>16.5509677419355</v>
      </c>
      <c r="Y58" s="26"/>
      <c r="Z58" s="26"/>
      <c r="AA58" s="26"/>
      <c r="AB58" s="28" t="n">
        <f aca="false">IFERROR(J58/S58,)</f>
        <v>0</v>
      </c>
    </row>
    <row r="59" customFormat="false" ht="15" hidden="false" customHeight="false" outlineLevel="0" collapsed="false">
      <c r="B59" s="36" t="s">
        <v>29</v>
      </c>
      <c r="C59" s="37"/>
      <c r="D59" s="37"/>
      <c r="E59" s="37"/>
      <c r="F59" s="37" t="n">
        <v>3647.23</v>
      </c>
      <c r="G59" s="37" t="n">
        <v>5885.83</v>
      </c>
      <c r="H59" s="37" t="n">
        <v>6304.38</v>
      </c>
      <c r="I59" s="37" t="n">
        <v>5445.72</v>
      </c>
      <c r="J59" s="37"/>
      <c r="K59" s="36"/>
      <c r="L59" s="37"/>
      <c r="M59" s="37"/>
      <c r="N59" s="37"/>
      <c r="O59" s="37" t="n">
        <v>274.04</v>
      </c>
      <c r="P59" s="37" t="n">
        <v>304.9</v>
      </c>
      <c r="Q59" s="36" t="n">
        <v>305</v>
      </c>
      <c r="R59" s="36" t="n">
        <v>343</v>
      </c>
      <c r="S59" s="36"/>
      <c r="T59" s="36"/>
      <c r="U59" s="37"/>
      <c r="V59" s="38"/>
      <c r="W59" s="38"/>
      <c r="X59" s="38" t="n">
        <f aca="false">F59/O59</f>
        <v>13.3091154575974</v>
      </c>
      <c r="Y59" s="38" t="n">
        <f aca="false">G59/P59</f>
        <v>19.3041325024598</v>
      </c>
      <c r="Z59" s="38" t="n">
        <f aca="false">H59/Q59</f>
        <v>20.6700983606557</v>
      </c>
      <c r="AA59" s="38" t="n">
        <f aca="false">I59/R59</f>
        <v>15.8767346938776</v>
      </c>
      <c r="AB59" s="38" t="n">
        <f aca="false">IFERROR(J59/S59,)</f>
        <v>0</v>
      </c>
    </row>
    <row r="60" customFormat="false" ht="15" hidden="false" customHeight="false" outlineLevel="0" collapsed="false">
      <c r="B60" s="36" t="s">
        <v>31</v>
      </c>
      <c r="C60" s="37"/>
      <c r="D60" s="37"/>
      <c r="E60" s="37"/>
      <c r="F60" s="37"/>
      <c r="G60" s="37"/>
      <c r="H60" s="37"/>
      <c r="I60" s="37" t="n">
        <v>8295.44</v>
      </c>
      <c r="J60" s="37"/>
      <c r="K60" s="36"/>
      <c r="L60" s="37"/>
      <c r="M60" s="37"/>
      <c r="N60" s="37"/>
      <c r="O60" s="37"/>
      <c r="P60" s="37"/>
      <c r="Q60" s="36"/>
      <c r="R60" s="36" t="n">
        <v>494</v>
      </c>
      <c r="S60" s="36"/>
      <c r="T60" s="36"/>
      <c r="U60" s="37"/>
      <c r="V60" s="38"/>
      <c r="W60" s="38"/>
      <c r="X60" s="38"/>
      <c r="Y60" s="38"/>
      <c r="Z60" s="38"/>
      <c r="AA60" s="38" t="n">
        <f aca="false">I60/R60</f>
        <v>16.7923886639676</v>
      </c>
      <c r="AB60" s="38" t="n">
        <f aca="false">IFERROR(J60/S60,)</f>
        <v>0</v>
      </c>
    </row>
    <row r="61" customFormat="false" ht="15" hidden="false" customHeight="false" outlineLevel="0" collapsed="false">
      <c r="B61" s="36" t="s">
        <v>56</v>
      </c>
      <c r="C61" s="37"/>
      <c r="D61" s="37"/>
      <c r="E61" s="37"/>
      <c r="F61" s="37" t="n">
        <v>1823.61</v>
      </c>
      <c r="G61" s="37" t="n">
        <v>1986.55</v>
      </c>
      <c r="H61" s="37" t="n">
        <v>3497.07</v>
      </c>
      <c r="I61" s="37" t="n">
        <v>4688.0497</v>
      </c>
      <c r="J61" s="37"/>
      <c r="K61" s="36"/>
      <c r="L61" s="37"/>
      <c r="M61" s="37"/>
      <c r="N61" s="37"/>
      <c r="O61" s="37" t="n">
        <v>110</v>
      </c>
      <c r="P61" s="37" t="n">
        <v>136</v>
      </c>
      <c r="Q61" s="36" t="n">
        <v>302</v>
      </c>
      <c r="R61" s="36" t="n">
        <v>297</v>
      </c>
      <c r="S61" s="36"/>
      <c r="T61" s="36"/>
      <c r="U61" s="37"/>
      <c r="V61" s="38"/>
      <c r="W61" s="38"/>
      <c r="X61" s="38" t="n">
        <f aca="false">F61/O61</f>
        <v>16.5782727272727</v>
      </c>
      <c r="Y61" s="38" t="n">
        <f aca="false">G61/P61</f>
        <v>14.6069852941177</v>
      </c>
      <c r="Z61" s="38" t="n">
        <f aca="false">H61/Q61</f>
        <v>11.579701986755</v>
      </c>
      <c r="AA61" s="38" t="n">
        <f aca="false">I61/R61</f>
        <v>15.7846791245791</v>
      </c>
      <c r="AB61" s="38" t="n">
        <f aca="false">IFERROR(J61/S61,)</f>
        <v>0</v>
      </c>
    </row>
    <row r="62" customFormat="false" ht="15" hidden="false" customHeight="false" outlineLevel="0" collapsed="false">
      <c r="B62" s="36" t="s">
        <v>57</v>
      </c>
      <c r="C62" s="37"/>
      <c r="D62" s="37" t="n">
        <v>9394.42</v>
      </c>
      <c r="E62" s="37" t="n">
        <v>7409.64</v>
      </c>
      <c r="F62" s="37" t="n">
        <v>9977.4</v>
      </c>
      <c r="G62" s="37" t="n">
        <v>10250.58</v>
      </c>
      <c r="H62" s="37" t="n">
        <v>7397.2</v>
      </c>
      <c r="I62" s="37" t="n">
        <v>9223.7003</v>
      </c>
      <c r="J62" s="37"/>
      <c r="K62" s="36"/>
      <c r="L62" s="37"/>
      <c r="M62" s="37" t="n">
        <v>459</v>
      </c>
      <c r="N62" s="37" t="n">
        <v>448.5</v>
      </c>
      <c r="O62" s="37" t="n">
        <v>510</v>
      </c>
      <c r="P62" s="37" t="n">
        <v>552.6</v>
      </c>
      <c r="Q62" s="36" t="n">
        <v>460.5</v>
      </c>
      <c r="R62" s="36" t="n">
        <v>451</v>
      </c>
      <c r="S62" s="36"/>
      <c r="T62" s="36"/>
      <c r="U62" s="37"/>
      <c r="V62" s="38" t="n">
        <f aca="false">D62/M62</f>
        <v>20.4671459694989</v>
      </c>
      <c r="W62" s="38" t="n">
        <f aca="false">E62/N62</f>
        <v>16.5209364548495</v>
      </c>
      <c r="X62" s="38" t="n">
        <f aca="false">F62/O62</f>
        <v>19.5635294117647</v>
      </c>
      <c r="Y62" s="38" t="n">
        <f aca="false">G62/P62</f>
        <v>18.5497285559175</v>
      </c>
      <c r="Z62" s="38" t="n">
        <f aca="false">H62/Q62</f>
        <v>16.0634093376764</v>
      </c>
      <c r="AA62" s="38" t="n">
        <f aca="false">I62/R62</f>
        <v>20.4516636363636</v>
      </c>
      <c r="AB62" s="38" t="n">
        <f aca="false">IFERROR(J62/S62,)</f>
        <v>0</v>
      </c>
    </row>
    <row r="63" customFormat="false" ht="15" hidden="false" customHeight="false" outlineLevel="0" collapsed="false">
      <c r="B63" s="0" t="s">
        <v>58</v>
      </c>
      <c r="C63" s="16"/>
      <c r="D63" s="16"/>
      <c r="E63" s="16"/>
      <c r="F63" s="16"/>
      <c r="G63" s="16" t="n">
        <v>649.83</v>
      </c>
      <c r="H63" s="16"/>
      <c r="I63" s="16"/>
      <c r="J63" s="17"/>
      <c r="L63" s="16"/>
      <c r="M63" s="16"/>
      <c r="N63" s="16"/>
      <c r="O63" s="16"/>
      <c r="P63" s="16" t="n">
        <v>256.4</v>
      </c>
      <c r="S63" s="19"/>
      <c r="U63" s="16"/>
      <c r="V63" s="26"/>
      <c r="W63" s="26"/>
      <c r="X63" s="26"/>
      <c r="Y63" s="26" t="n">
        <f aca="false">G63/P63</f>
        <v>2.5344383775351</v>
      </c>
      <c r="Z63" s="26"/>
      <c r="AA63" s="26"/>
      <c r="AB63" s="28" t="n">
        <f aca="false">IFERROR(J63/S63,)</f>
        <v>0</v>
      </c>
    </row>
    <row r="64" customFormat="false" ht="15" hidden="false" customHeight="false" outlineLevel="0" collapsed="false">
      <c r="B64" s="0" t="s">
        <v>59</v>
      </c>
      <c r="C64" s="16"/>
      <c r="D64" s="16"/>
      <c r="E64" s="16"/>
      <c r="F64" s="16" t="n">
        <v>1582.22</v>
      </c>
      <c r="G64" s="16"/>
      <c r="H64" s="16"/>
      <c r="I64" s="16"/>
      <c r="J64" s="17"/>
      <c r="L64" s="16"/>
      <c r="M64" s="16"/>
      <c r="N64" s="16"/>
      <c r="O64" s="16" t="n">
        <v>110</v>
      </c>
      <c r="P64" s="16"/>
      <c r="S64" s="19"/>
      <c r="U64" s="16"/>
      <c r="V64" s="26"/>
      <c r="W64" s="26"/>
      <c r="X64" s="26" t="n">
        <f aca="false">F64/O64</f>
        <v>14.3838181818182</v>
      </c>
      <c r="Y64" s="26"/>
      <c r="Z64" s="26"/>
      <c r="AA64" s="26"/>
      <c r="AB64" s="28" t="n">
        <f aca="false">IFERROR(J64/S64,)</f>
        <v>0</v>
      </c>
    </row>
    <row r="65" customFormat="false" ht="15" hidden="false" customHeight="false" outlineLevel="0" collapsed="false">
      <c r="B65" s="0" t="s">
        <v>60</v>
      </c>
      <c r="C65" s="16"/>
      <c r="D65" s="16"/>
      <c r="E65" s="16"/>
      <c r="F65" s="16"/>
      <c r="G65" s="16"/>
      <c r="H65" s="16" t="n">
        <v>499.75</v>
      </c>
      <c r="I65" s="16"/>
      <c r="J65" s="17"/>
      <c r="L65" s="16"/>
      <c r="M65" s="16"/>
      <c r="N65" s="16"/>
      <c r="O65" s="16"/>
      <c r="P65" s="16"/>
      <c r="Q65" s="0" t="n">
        <v>112</v>
      </c>
      <c r="S65" s="19"/>
      <c r="U65" s="16"/>
      <c r="V65" s="26"/>
      <c r="W65" s="26"/>
      <c r="X65" s="26"/>
      <c r="Y65" s="26"/>
      <c r="Z65" s="26" t="n">
        <f aca="false">H65/Q65</f>
        <v>4.46205357142857</v>
      </c>
      <c r="AA65" s="26"/>
      <c r="AB65" s="28" t="n">
        <f aca="false">IFERROR(J65/S65,)</f>
        <v>0</v>
      </c>
    </row>
    <row r="66" customFormat="false" ht="15" hidden="false" customHeight="false" outlineLevel="0" collapsed="false">
      <c r="B66" s="0" t="s">
        <v>61</v>
      </c>
      <c r="C66" s="16"/>
      <c r="D66" s="16"/>
      <c r="E66" s="16"/>
      <c r="F66" s="16"/>
      <c r="G66" s="16"/>
      <c r="H66" s="16" t="n">
        <v>2375.63</v>
      </c>
      <c r="I66" s="16"/>
      <c r="J66" s="17"/>
      <c r="L66" s="16"/>
      <c r="M66" s="16"/>
      <c r="N66" s="16"/>
      <c r="O66" s="16"/>
      <c r="P66" s="16"/>
      <c r="Q66" s="0" t="n">
        <v>175</v>
      </c>
      <c r="S66" s="19"/>
      <c r="U66" s="16"/>
      <c r="V66" s="26"/>
      <c r="W66" s="26"/>
      <c r="X66" s="26"/>
      <c r="Y66" s="26"/>
      <c r="Z66" s="26" t="n">
        <f aca="false">H66/Q66</f>
        <v>13.5750285714286</v>
      </c>
      <c r="AA66" s="26"/>
      <c r="AB66" s="28" t="n">
        <f aca="false">IFERROR(J66/S66,)</f>
        <v>0</v>
      </c>
    </row>
    <row r="67" customFormat="false" ht="15" hidden="false" customHeight="false" outlineLevel="0" collapsed="false">
      <c r="C67" s="25" t="n">
        <f aca="false">SUM(C52:C66)</f>
        <v>0</v>
      </c>
      <c r="D67" s="25" t="n">
        <f aca="false">SUM(D52:D66)</f>
        <v>40951.71</v>
      </c>
      <c r="E67" s="25" t="n">
        <f aca="false">SUM(E52:E66)</f>
        <v>32575.72</v>
      </c>
      <c r="F67" s="25" t="n">
        <f aca="false">SUM(F52:F66)</f>
        <v>31741.9</v>
      </c>
      <c r="G67" s="25" t="n">
        <f aca="false">SUM(G52:G66)</f>
        <v>23552.9</v>
      </c>
      <c r="H67" s="25" t="n">
        <f aca="false">SUM(H52:H66)</f>
        <v>23960.04</v>
      </c>
      <c r="I67" s="25" t="n">
        <f aca="false">SUM(I52:I66)</f>
        <v>35099.65</v>
      </c>
      <c r="J67" s="25" t="n">
        <f aca="false">SUM(J52:J66)</f>
        <v>1827.89</v>
      </c>
      <c r="L67" s="25" t="n">
        <f aca="false">SUM(L52:L66)</f>
        <v>0</v>
      </c>
      <c r="M67" s="25" t="n">
        <f aca="false">SUM(M52:M66)</f>
        <v>2276</v>
      </c>
      <c r="N67" s="25" t="n">
        <f aca="false">SUM(N52:N66)</f>
        <v>1914.35</v>
      </c>
      <c r="O67" s="25" t="n">
        <f aca="false">SUM(O52:O66)</f>
        <v>2015.98</v>
      </c>
      <c r="P67" s="25" t="n">
        <f aca="false">SUM(P52:P66)</f>
        <v>1590.2</v>
      </c>
      <c r="Q67" s="25" t="n">
        <f aca="false">SUM(Q52:Q66)</f>
        <v>1836.5</v>
      </c>
      <c r="R67" s="25" t="n">
        <f aca="false">SUM(R52:R66)</f>
        <v>2197</v>
      </c>
      <c r="S67" s="25" t="n">
        <f aca="false">SUM(S52:S66)</f>
        <v>94</v>
      </c>
      <c r="V67" s="26" t="n">
        <f aca="false">D67/M67</f>
        <v>17.9928427065026</v>
      </c>
      <c r="W67" s="26" t="n">
        <f aca="false">E67/N67</f>
        <v>17.0165957113381</v>
      </c>
      <c r="X67" s="26" t="n">
        <f aca="false">F67/O67</f>
        <v>15.7451462812131</v>
      </c>
      <c r="Y67" s="26" t="n">
        <f aca="false">G67/P67</f>
        <v>14.8112815997988</v>
      </c>
      <c r="Z67" s="26" t="n">
        <f aca="false">H67/Q67</f>
        <v>13.0465777293765</v>
      </c>
      <c r="AA67" s="26" t="n">
        <f aca="false">I67/R67</f>
        <v>15.9761720527993</v>
      </c>
      <c r="AB67" s="26" t="n">
        <f aca="false">J67/S67</f>
        <v>19.4456382978723</v>
      </c>
    </row>
    <row r="68" customFormat="false" ht="15" hidden="false" customHeight="false" outlineLevel="0" collapsed="false">
      <c r="F68" s="33" t="n">
        <f aca="false">F67</f>
        <v>31741.9</v>
      </c>
      <c r="G68" s="33" t="n">
        <f aca="false">G67</f>
        <v>23552.9</v>
      </c>
      <c r="H68" s="33" t="n">
        <f aca="false">H67</f>
        <v>23960.04</v>
      </c>
      <c r="I68" s="33" t="n">
        <f aca="false">I67</f>
        <v>35099.65</v>
      </c>
      <c r="J68" s="33" t="n">
        <f aca="false">J67</f>
        <v>1827.89</v>
      </c>
      <c r="O68" s="39" t="n">
        <f aca="false">O67</f>
        <v>2015.98</v>
      </c>
      <c r="P68" s="39" t="n">
        <f aca="false">P67</f>
        <v>1590.2</v>
      </c>
      <c r="Q68" s="39" t="n">
        <f aca="false">Q67</f>
        <v>1836.5</v>
      </c>
      <c r="R68" s="39" t="n">
        <f aca="false">R67</f>
        <v>2197</v>
      </c>
      <c r="S68" s="39" t="n">
        <f aca="false">S67</f>
        <v>94</v>
      </c>
      <c r="X68" s="40" t="n">
        <f aca="false">X67</f>
        <v>15.7451462812131</v>
      </c>
      <c r="Y68" s="40" t="n">
        <f aca="false">Y67</f>
        <v>14.8112815997988</v>
      </c>
      <c r="Z68" s="40" t="n">
        <f aca="false">Z67</f>
        <v>13.0465777293765</v>
      </c>
      <c r="AA68" s="40" t="n">
        <f aca="false">AA67</f>
        <v>15.9761720527993</v>
      </c>
      <c r="AB68" s="40" t="n">
        <f aca="false">AB67</f>
        <v>19.4456382978723</v>
      </c>
    </row>
    <row r="70" customFormat="false" ht="15" hidden="false" customHeight="false" outlineLevel="0" collapsed="false">
      <c r="C70" s="0" t="s">
        <v>48</v>
      </c>
      <c r="D70" s="0" t="s">
        <v>47</v>
      </c>
    </row>
    <row r="71" customFormat="false" ht="15" hidden="false" customHeight="false" outlineLevel="0" collapsed="false">
      <c r="B71" s="2" t="n">
        <v>2020</v>
      </c>
      <c r="C71" s="16" t="n">
        <f aca="false">D67</f>
        <v>40951.71</v>
      </c>
      <c r="D71" s="26" t="n">
        <f aca="false">V67</f>
        <v>17.9928427065026</v>
      </c>
    </row>
    <row r="72" customFormat="false" ht="15" hidden="false" customHeight="false" outlineLevel="0" collapsed="false">
      <c r="B72" s="2" t="n">
        <v>2021</v>
      </c>
      <c r="C72" s="16" t="n">
        <f aca="false">E67</f>
        <v>32575.72</v>
      </c>
      <c r="D72" s="26" t="n">
        <f aca="false">W67</f>
        <v>17.0165957113381</v>
      </c>
    </row>
    <row r="73" customFormat="false" ht="15" hidden="false" customHeight="false" outlineLevel="0" collapsed="false">
      <c r="B73" s="2" t="n">
        <v>2022</v>
      </c>
      <c r="C73" s="16" t="n">
        <f aca="false">F67</f>
        <v>31741.9</v>
      </c>
      <c r="D73" s="26" t="n">
        <f aca="false">X67</f>
        <v>15.7451462812131</v>
      </c>
    </row>
    <row r="74" customFormat="false" ht="15" hidden="false" customHeight="false" outlineLevel="0" collapsed="false">
      <c r="B74" s="2" t="n">
        <v>2023</v>
      </c>
      <c r="C74" s="16" t="n">
        <f aca="false">G67</f>
        <v>23552.9</v>
      </c>
      <c r="D74" s="26" t="n">
        <f aca="false">Y67</f>
        <v>14.8112815997988</v>
      </c>
    </row>
    <row r="75" customFormat="false" ht="15" hidden="false" customHeight="false" outlineLevel="0" collapsed="false">
      <c r="B75" s="2" t="n">
        <v>2024</v>
      </c>
      <c r="C75" s="16" t="n">
        <f aca="false">H67</f>
        <v>23960.04</v>
      </c>
      <c r="D75" s="26" t="n">
        <f aca="false">Z67</f>
        <v>13.0465777293765</v>
      </c>
    </row>
    <row r="76" customFormat="false" ht="15" hidden="false" customHeight="false" outlineLevel="0" collapsed="false">
      <c r="B76" s="2" t="n">
        <v>2025</v>
      </c>
      <c r="C76" s="16" t="n">
        <f aca="false">I67</f>
        <v>35099.65</v>
      </c>
      <c r="D76" s="26" t="n">
        <f aca="false">AA68</f>
        <v>15.9761720527993</v>
      </c>
    </row>
    <row r="77" customFormat="false" ht="15" hidden="false" customHeight="false" outlineLevel="0" collapsed="false">
      <c r="B77" s="2" t="n">
        <v>2026</v>
      </c>
      <c r="C77" s="16" t="n">
        <f aca="false">J68</f>
        <v>1827.89</v>
      </c>
      <c r="D77" s="26" t="n">
        <f aca="false">AB67</f>
        <v>19.4456382978723</v>
      </c>
    </row>
    <row r="78" customFormat="false" ht="15" hidden="false" customHeight="false" outlineLevel="0" collapsed="false">
      <c r="B78" s="2"/>
      <c r="C78" s="16"/>
      <c r="D78" s="26"/>
    </row>
    <row r="79" customFormat="false" ht="15" hidden="false" customHeight="false" outlineLevel="0" collapsed="false">
      <c r="C79" s="2" t="s">
        <v>48</v>
      </c>
    </row>
    <row r="80" customFormat="false" ht="15" hidden="false" customHeight="false" outlineLevel="0" collapsed="false">
      <c r="C80" s="2" t="s">
        <v>62</v>
      </c>
      <c r="D80" s="2" t="s">
        <v>63</v>
      </c>
      <c r="E80" s="2" t="s">
        <v>64</v>
      </c>
      <c r="F80" s="2" t="s">
        <v>65</v>
      </c>
      <c r="G80" s="2" t="s">
        <v>66</v>
      </c>
    </row>
    <row r="81" customFormat="false" ht="15" hidden="false" customHeight="false" outlineLevel="0" collapsed="false">
      <c r="B81" s="0" t="s">
        <v>27</v>
      </c>
      <c r="C81" s="16"/>
      <c r="D81" s="16"/>
      <c r="E81" s="16"/>
      <c r="F81" s="16" t="n">
        <f aca="false">$I$53</f>
        <v>1860.64</v>
      </c>
      <c r="G81" s="16" t="n">
        <f aca="false">$J$53</f>
        <v>0</v>
      </c>
    </row>
    <row r="82" customFormat="false" ht="15" hidden="false" customHeight="false" outlineLevel="0" collapsed="false">
      <c r="B82" s="0" t="s">
        <v>21</v>
      </c>
      <c r="C82" s="16" t="n">
        <v>4513.01</v>
      </c>
      <c r="D82" s="16" t="n">
        <f aca="false">$G$55+$G$56</f>
        <v>4780.11</v>
      </c>
      <c r="E82" s="16" t="n">
        <f aca="false">$H$56+$H$55</f>
        <v>3886.01</v>
      </c>
      <c r="F82" s="16" t="n">
        <f aca="false">$I$56+$I$55</f>
        <v>2362.94</v>
      </c>
      <c r="G82" s="16" t="n">
        <f aca="false">$J$56+$J$55</f>
        <v>1827.89</v>
      </c>
    </row>
    <row r="83" customFormat="false" ht="15" hidden="false" customHeight="false" outlineLevel="0" collapsed="false">
      <c r="B83" s="0" t="s">
        <v>25</v>
      </c>
      <c r="C83" s="16" t="n">
        <v>3647.23</v>
      </c>
      <c r="D83" s="16" t="n">
        <f aca="false">$G$59</f>
        <v>5885.83</v>
      </c>
      <c r="E83" s="16" t="n">
        <f aca="false">$H$59</f>
        <v>6304.38</v>
      </c>
      <c r="F83" s="16" t="n">
        <f aca="false">$I$59+$I$60</f>
        <v>13741.16</v>
      </c>
      <c r="G83" s="16" t="n">
        <f aca="false">$J$59+$J$60</f>
        <v>0</v>
      </c>
    </row>
    <row r="84" customFormat="false" ht="15" hidden="false" customHeight="false" outlineLevel="0" collapsed="false">
      <c r="B84" s="0" t="s">
        <v>23</v>
      </c>
      <c r="C84" s="16" t="n">
        <v>1823.61</v>
      </c>
      <c r="D84" s="16" t="n">
        <f aca="false">$G$61</f>
        <v>1986.55</v>
      </c>
      <c r="E84" s="16" t="n">
        <f aca="false">$H$61</f>
        <v>3497.07</v>
      </c>
      <c r="F84" s="16" t="n">
        <f aca="false">$I$61</f>
        <v>4688.0497</v>
      </c>
      <c r="G84" s="16" t="n">
        <f aca="false">$J$61</f>
        <v>0</v>
      </c>
    </row>
    <row r="85" customFormat="false" ht="15" hidden="false" customHeight="false" outlineLevel="0" collapsed="false">
      <c r="B85" s="0" t="s">
        <v>28</v>
      </c>
      <c r="C85" s="16" t="n">
        <v>9977.4</v>
      </c>
      <c r="D85" s="16" t="n">
        <f aca="false">$G$62</f>
        <v>10250.58</v>
      </c>
      <c r="E85" s="16" t="n">
        <f aca="false">$H$62</f>
        <v>7397.2</v>
      </c>
      <c r="F85" s="16" t="n">
        <f aca="false">$I$62</f>
        <v>9223.7003</v>
      </c>
      <c r="G85" s="16" t="n">
        <f aca="false">$J$62</f>
        <v>0</v>
      </c>
    </row>
    <row r="86" customFormat="false" ht="15" hidden="false" customHeight="false" outlineLevel="0" collapsed="false">
      <c r="B86" s="0" t="s">
        <v>67</v>
      </c>
      <c r="C86" s="16" t="n">
        <v>11780.65</v>
      </c>
      <c r="D86" s="16" t="n">
        <f aca="false">$G$67-SUM(D81:D85)</f>
        <v>649.830000000002</v>
      </c>
      <c r="E86" s="16" t="n">
        <f aca="false">$H67-SUM(E81:E85)</f>
        <v>2875.38</v>
      </c>
      <c r="F86" s="16" t="n">
        <f aca="false">$I$54</f>
        <v>3223.16</v>
      </c>
      <c r="G86" s="16" t="n">
        <f aca="false">$J67-SUM(G81:G85)</f>
        <v>0</v>
      </c>
    </row>
    <row r="87" customFormat="false" ht="15" hidden="false" customHeight="false" outlineLevel="0" collapsed="false">
      <c r="B87" s="0" t="s">
        <v>16</v>
      </c>
      <c r="C87" s="16"/>
      <c r="D87" s="16"/>
      <c r="E87" s="16"/>
      <c r="F87" s="16"/>
      <c r="G87" s="16" t="n">
        <f aca="false">$C$31-SUM(G81:G86)</f>
        <v>35365.51</v>
      </c>
    </row>
    <row r="88" customFormat="false" ht="15" hidden="false" customHeight="false" outlineLevel="0" collapsed="false">
      <c r="C88" s="25" t="n">
        <v>31741.9</v>
      </c>
      <c r="D88" s="25" t="n">
        <f aca="false">SUM(D81:D86)</f>
        <v>23552.9</v>
      </c>
      <c r="E88" s="25" t="n">
        <f aca="false">SUM(E81:E87)</f>
        <v>23960.04</v>
      </c>
      <c r="F88" s="25" t="n">
        <f aca="false">SUM(F81:F87)</f>
        <v>35099.65</v>
      </c>
      <c r="G88" s="25" t="n">
        <f aca="false">SUM(G81:G87)</f>
        <v>37193.4</v>
      </c>
    </row>
    <row r="93" customFormat="false" ht="15" hidden="false" customHeight="false" outlineLevel="0" collapsed="false">
      <c r="B93" s="0" t="s">
        <v>2</v>
      </c>
      <c r="C93" s="41" t="n">
        <f aca="false">C95+C97+C96</f>
        <v>1827.89</v>
      </c>
    </row>
    <row r="94" customFormat="false" ht="15" hidden="false" customHeight="false" outlineLevel="0" collapsed="false">
      <c r="C94" s="35"/>
    </row>
    <row r="95" customFormat="false" ht="15" hidden="false" customHeight="false" outlineLevel="0" collapsed="false">
      <c r="B95" s="0" t="s">
        <v>68</v>
      </c>
      <c r="C95" s="41" t="n">
        <f aca="false">K9-C96</f>
        <v>1827.89</v>
      </c>
    </row>
    <row r="96" customFormat="false" ht="15" hidden="false" customHeight="false" outlineLevel="0" collapsed="false">
      <c r="B96" s="0" t="s">
        <v>69</v>
      </c>
      <c r="C96" s="41"/>
    </row>
    <row r="97" customFormat="false" ht="15" hidden="false" customHeight="false" outlineLevel="0" collapsed="false">
      <c r="C97" s="41"/>
    </row>
    <row r="98" customFormat="false" ht="15" hidden="false" customHeight="false" outlineLevel="0" collapsed="false">
      <c r="B98" s="42" t="s">
        <v>70</v>
      </c>
      <c r="C98" s="17"/>
    </row>
    <row r="99" customFormat="false" ht="15" hidden="false" customHeight="false" outlineLevel="0" collapsed="false">
      <c r="B99" s="42"/>
      <c r="C99" s="1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"/>
  <sheetViews>
    <sheetView showFormulas="false" showGridLines="false" showRowColHeaders="true" showZeros="true" rightToLeft="false" tabSelected="false" showOutlineSymbols="true" defaultGridColor="true" view="normal" topLeftCell="A79" colorId="64" zoomScale="100" zoomScaleNormal="100" zoomScalePageLayoutView="100" workbookViewId="0">
      <pane xSplit="2" ySplit="0" topLeftCell="C79" activePane="topRight" state="frozen"/>
      <selection pane="topLeft" activeCell="A79" activeCellId="0" sqref="A79"/>
      <selection pane="topRight" activeCell="F111" activeCellId="0" sqref="F11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3.86"/>
    <col collapsed="false" customWidth="true" hidden="false" outlineLevel="0" max="2" min="2" style="0" width="29.14"/>
    <col collapsed="false" customWidth="true" hidden="false" outlineLevel="0" max="3" min="3" style="0" width="12.29"/>
    <col collapsed="false" customWidth="true" hidden="false" outlineLevel="0" max="4" min="4" style="0" width="10.14"/>
    <col collapsed="false" customWidth="true" hidden="false" outlineLevel="0" max="5" min="5" style="0" width="14.29"/>
    <col collapsed="false" customWidth="true" hidden="false" outlineLevel="0" max="8" min="7" style="0" width="10.71"/>
    <col collapsed="false" customWidth="true" hidden="false" outlineLevel="0" max="9" min="9" style="0" width="21.14"/>
    <col collapsed="false" customWidth="true" hidden="false" outlineLevel="0" max="10" min="10" style="0" width="12.42"/>
    <col collapsed="false" customWidth="true" hidden="false" outlineLevel="0" max="11" min="11" style="0" width="11.71"/>
    <col collapsed="false" customWidth="true" hidden="false" outlineLevel="0" max="13" min="13" style="0" width="11.71"/>
    <col collapsed="false" customWidth="true" hidden="false" outlineLevel="0" max="14" min="14" style="0" width="9.71"/>
  </cols>
  <sheetData>
    <row r="1" customFormat="false" ht="15" hidden="false" customHeight="false" outlineLevel="0" collapsed="false">
      <c r="A1" s="0" t="s">
        <v>8</v>
      </c>
      <c r="B1" s="0" t="s">
        <v>9</v>
      </c>
      <c r="C1" s="9" t="n">
        <v>45970</v>
      </c>
    </row>
    <row r="2" customFormat="false" ht="15" hidden="false" customHeight="false" outlineLevel="0" collapsed="false">
      <c r="B2" s="2" t="s">
        <v>10</v>
      </c>
      <c r="I2" s="2" t="s">
        <v>11</v>
      </c>
    </row>
    <row r="3" s="12" customFormat="true" ht="15" hidden="false" customHeight="false" outlineLevel="0" collapsed="false">
      <c r="B3" s="12" t="s">
        <v>12</v>
      </c>
      <c r="C3" s="13" t="n">
        <v>45877</v>
      </c>
      <c r="F3" s="14" t="s">
        <v>13</v>
      </c>
      <c r="G3" s="14" t="s">
        <v>14</v>
      </c>
      <c r="H3" s="14" t="s">
        <v>15</v>
      </c>
      <c r="J3" s="14" t="s">
        <v>16</v>
      </c>
      <c r="K3" s="14" t="s">
        <v>17</v>
      </c>
      <c r="L3" s="14"/>
      <c r="M3" s="14" t="s">
        <v>18</v>
      </c>
      <c r="N3" s="14" t="s">
        <v>19</v>
      </c>
    </row>
    <row r="4" customFormat="false" ht="15" hidden="false" customHeight="false" outlineLevel="0" collapsed="false">
      <c r="B4" s="0" t="s">
        <v>20</v>
      </c>
      <c r="C4" s="15" t="n">
        <v>45970</v>
      </c>
      <c r="D4" s="0" t="s">
        <v>71</v>
      </c>
      <c r="F4" s="0" t="n">
        <f aca="false">F12+F13</f>
        <v>909</v>
      </c>
      <c r="G4" s="10" t="n">
        <f aca="false">G12+G13</f>
        <v>909</v>
      </c>
      <c r="H4" s="11"/>
      <c r="I4" s="0" t="s">
        <v>25</v>
      </c>
      <c r="J4" s="16" t="n">
        <f aca="false">J12+J13</f>
        <v>14784</v>
      </c>
      <c r="K4" s="17" t="n">
        <f aca="false">K12+K13</f>
        <v>13741.16</v>
      </c>
      <c r="L4" s="18" t="n">
        <f aca="false">K4/J4</f>
        <v>0.92946158008658</v>
      </c>
      <c r="M4" s="19" t="n">
        <f aca="false">M12+M13</f>
        <v>837</v>
      </c>
      <c r="N4" s="20" t="n">
        <f aca="false">IFERROR(K4/M4, "-" )</f>
        <v>16.4171565113501</v>
      </c>
    </row>
    <row r="5" customFormat="false" ht="15" hidden="false" customHeight="false" outlineLevel="0" collapsed="false">
      <c r="B5" s="0" t="s">
        <v>22</v>
      </c>
      <c r="C5" s="15" t="n">
        <f aca="false">C4</f>
        <v>45970</v>
      </c>
      <c r="D5" s="15" t="n">
        <v>45950</v>
      </c>
      <c r="F5" s="0" t="n">
        <f aca="false">F14+F15</f>
        <v>211</v>
      </c>
      <c r="G5" s="10" t="n">
        <f aca="false">G14+G15</f>
        <v>219</v>
      </c>
      <c r="H5" s="11"/>
      <c r="I5" s="0" t="s">
        <v>21</v>
      </c>
      <c r="J5" s="16" t="n">
        <f aca="false">J14+J15</f>
        <v>3690</v>
      </c>
      <c r="K5" s="17" t="n">
        <f aca="false">K14+K15</f>
        <v>2362.94</v>
      </c>
      <c r="L5" s="18" t="n">
        <f aca="false">K5/J5</f>
        <v>0.640363143631436</v>
      </c>
      <c r="M5" s="19" t="n">
        <f aca="false">M14+M15</f>
        <v>219</v>
      </c>
      <c r="N5" s="20" t="n">
        <f aca="false">IFERROR(K5/M5, "-" )</f>
        <v>10.7896803652968</v>
      </c>
    </row>
    <row r="6" customFormat="false" ht="15" hidden="false" customHeight="false" outlineLevel="0" collapsed="false">
      <c r="B6" s="0" t="s">
        <v>24</v>
      </c>
      <c r="C6" s="21" t="n">
        <f aca="false">C5-C3+1</f>
        <v>94</v>
      </c>
      <c r="F6" s="0" t="n">
        <v>125</v>
      </c>
      <c r="G6" s="10" t="n">
        <v>125</v>
      </c>
      <c r="H6" s="11" t="n">
        <v>18</v>
      </c>
      <c r="I6" s="0" t="s">
        <v>27</v>
      </c>
      <c r="J6" s="0" t="n">
        <f aca="false">G6*H6</f>
        <v>2250</v>
      </c>
      <c r="K6" s="17" t="n">
        <f aca="false">'Кукуруза Агролидер'!C18</f>
        <v>1860.64</v>
      </c>
      <c r="L6" s="18" t="n">
        <f aca="false">K6/J6</f>
        <v>0.826951111111111</v>
      </c>
      <c r="M6" s="19" t="n">
        <f aca="false">'Кукуруза Агролидер'!E18</f>
        <v>125</v>
      </c>
      <c r="N6" s="20" t="n">
        <f aca="false">IFERROR(K6/M6, "-" )</f>
        <v>14.88512</v>
      </c>
    </row>
    <row r="7" customFormat="false" ht="15" hidden="false" customHeight="false" outlineLevel="0" collapsed="false">
      <c r="B7" s="0" t="s">
        <v>26</v>
      </c>
      <c r="C7" s="22" t="n">
        <f aca="false">C1-C3+1</f>
        <v>94</v>
      </c>
      <c r="F7" s="0" t="n">
        <v>300</v>
      </c>
      <c r="G7" s="43" t="n">
        <f aca="false">180+88</f>
        <v>268</v>
      </c>
      <c r="H7" s="11" t="n">
        <v>18</v>
      </c>
      <c r="I7" s="0" t="s">
        <v>72</v>
      </c>
      <c r="J7" s="0" t="n">
        <f aca="false">G7*H7</f>
        <v>4824</v>
      </c>
      <c r="K7" s="17" t="n">
        <f aca="false">'Кукуруза Братковский'!C18</f>
        <v>3223.16</v>
      </c>
      <c r="L7" s="18" t="n">
        <f aca="false">K7/J7</f>
        <v>0.668150912106136</v>
      </c>
      <c r="M7" s="19" t="n">
        <f aca="false">'Кукуруза Братковский'!E18</f>
        <v>268</v>
      </c>
      <c r="N7" s="20" t="n">
        <f aca="false">IFERROR(K7/M7, "-" )</f>
        <v>12.0267164179104</v>
      </c>
    </row>
    <row r="8" customFormat="false" ht="15" hidden="false" customHeight="false" outlineLevel="0" collapsed="false">
      <c r="B8" s="0" t="s">
        <v>10</v>
      </c>
      <c r="C8" s="23" t="n">
        <f aca="false">C7/C6</f>
        <v>1</v>
      </c>
      <c r="F8" s="0" t="n">
        <v>285</v>
      </c>
      <c r="G8" s="10" t="n">
        <v>297</v>
      </c>
      <c r="H8" s="11" t="n">
        <v>17</v>
      </c>
      <c r="I8" s="0" t="s">
        <v>23</v>
      </c>
      <c r="J8" s="16" t="n">
        <f aca="false">G8*H8</f>
        <v>5049</v>
      </c>
      <c r="K8" s="17" t="n">
        <f aca="false">'Кукуруза Кирова'!C18</f>
        <v>4688.0497</v>
      </c>
      <c r="L8" s="18" t="n">
        <f aca="false">K8/J8</f>
        <v>0.928510536739949</v>
      </c>
      <c r="M8" s="19" t="n">
        <f aca="false">'Кукуруза Кирова'!E18</f>
        <v>297</v>
      </c>
      <c r="N8" s="20" t="n">
        <f aca="false">IFERROR(K8/M8, "-" )</f>
        <v>15.7846791245791</v>
      </c>
    </row>
    <row r="9" customFormat="false" ht="15" hidden="false" customHeight="false" outlineLevel="0" collapsed="false">
      <c r="F9" s="0" t="n">
        <v>436</v>
      </c>
      <c r="G9" s="10" t="n">
        <v>451</v>
      </c>
      <c r="H9" s="44" t="n">
        <v>19</v>
      </c>
      <c r="I9" s="0" t="s">
        <v>28</v>
      </c>
      <c r="J9" s="16" t="n">
        <f aca="false">G9*H9</f>
        <v>8569</v>
      </c>
      <c r="K9" s="17" t="n">
        <f aca="false">'Кукуруза Колос'!C17</f>
        <v>9223.7003</v>
      </c>
      <c r="L9" s="18" t="n">
        <f aca="false">K9/J9</f>
        <v>1.0764033492823</v>
      </c>
      <c r="M9" s="45" t="n">
        <f aca="false">'Кукуруза Колос'!E17</f>
        <v>451.029480048368</v>
      </c>
      <c r="N9" s="20" t="n">
        <f aca="false">IFERROR(K9/M9, "-" )</f>
        <v>20.4503268810963</v>
      </c>
    </row>
    <row r="10" customFormat="false" ht="15" hidden="false" customHeight="false" outlineLevel="0" collapsed="false">
      <c r="F10" s="2" t="n">
        <f aca="false">SUM(F4:F9)</f>
        <v>2266</v>
      </c>
      <c r="G10" s="24" t="n">
        <f aca="false">SUM(G4:G9)</f>
        <v>2269</v>
      </c>
      <c r="J10" s="25" t="n">
        <f aca="false">SUM(J4:J9)</f>
        <v>39166</v>
      </c>
      <c r="K10" s="25" t="n">
        <f aca="false">SUM(K4:K9)</f>
        <v>35099.65</v>
      </c>
      <c r="L10" s="25"/>
      <c r="M10" s="46" t="n">
        <f aca="false">SUM(M4:M9)</f>
        <v>2197.02948004837</v>
      </c>
      <c r="N10" s="2"/>
    </row>
    <row r="11" customFormat="false" ht="15" hidden="false" customHeight="false" outlineLevel="0" collapsed="false">
      <c r="B11" s="2" t="s">
        <v>18</v>
      </c>
      <c r="K11" s="16"/>
      <c r="L11" s="16"/>
      <c r="M11" s="26"/>
    </row>
    <row r="12" customFormat="false" ht="15" hidden="false" customHeight="false" outlineLevel="0" collapsed="false">
      <c r="B12" s="27" t="s">
        <v>30</v>
      </c>
      <c r="C12" s="16" t="n">
        <v>2266</v>
      </c>
      <c r="F12" s="0" t="n">
        <v>343</v>
      </c>
      <c r="G12" s="0" t="n">
        <v>343</v>
      </c>
      <c r="H12" s="0" t="n">
        <v>20</v>
      </c>
      <c r="I12" s="0" t="s">
        <v>29</v>
      </c>
      <c r="J12" s="16" t="n">
        <f aca="false">G12*H12</f>
        <v>6860</v>
      </c>
      <c r="K12" s="16" t="n">
        <f aca="false">'Кукуруза Иррико сахар'!C19</f>
        <v>5445.72</v>
      </c>
      <c r="L12" s="16"/>
      <c r="M12" s="0" t="n">
        <f aca="false">'Кукуруза Иррико сахар'!E19</f>
        <v>343</v>
      </c>
    </row>
    <row r="13" customFormat="false" ht="15" hidden="false" customHeight="false" outlineLevel="0" collapsed="false">
      <c r="A13" s="0" t="s">
        <v>73</v>
      </c>
      <c r="B13" s="27" t="s">
        <v>16</v>
      </c>
      <c r="C13" s="17" t="n">
        <f aca="false">G10</f>
        <v>2269</v>
      </c>
      <c r="F13" s="0" t="n">
        <v>566</v>
      </c>
      <c r="G13" s="0" t="n">
        <v>566</v>
      </c>
      <c r="H13" s="0" t="n">
        <v>14</v>
      </c>
      <c r="I13" s="0" t="s">
        <v>31</v>
      </c>
      <c r="J13" s="16" t="n">
        <f aca="false">G13*H13</f>
        <v>7924</v>
      </c>
      <c r="K13" s="16" t="n">
        <f aca="false">'Кукуруза Иррико суперсл'!C18</f>
        <v>8295.44</v>
      </c>
      <c r="L13" s="16"/>
      <c r="M13" s="0" t="n">
        <f aca="false">'Кукуруза Иррико суперсл'!E18</f>
        <v>494</v>
      </c>
    </row>
    <row r="14" customFormat="false" ht="15" hidden="false" customHeight="false" outlineLevel="0" collapsed="false">
      <c r="B14" s="0" t="s">
        <v>33</v>
      </c>
      <c r="C14" s="16"/>
      <c r="F14" s="0" t="n">
        <v>75</v>
      </c>
      <c r="G14" s="0" t="n">
        <v>156</v>
      </c>
      <c r="H14" s="0" t="n">
        <v>18</v>
      </c>
      <c r="I14" s="0" t="s">
        <v>32</v>
      </c>
      <c r="J14" s="16" t="n">
        <f aca="false">G14*H14</f>
        <v>2808</v>
      </c>
      <c r="K14" s="16" t="n">
        <f aca="false">'Кукуруза сахарная ГРК'!C21</f>
        <v>1812.05</v>
      </c>
      <c r="M14" s="0" t="n">
        <f aca="false">'Кукуруза сахарная ГРК'!E21</f>
        <v>156</v>
      </c>
    </row>
    <row r="15" customFormat="false" ht="15" hidden="false" customHeight="false" outlineLevel="0" collapsed="false">
      <c r="B15" s="0" t="s">
        <v>17</v>
      </c>
      <c r="C15" s="17" t="n">
        <f aca="false">M10</f>
        <v>2197.02948004837</v>
      </c>
      <c r="D15" s="29"/>
      <c r="F15" s="0" t="n">
        <v>136</v>
      </c>
      <c r="G15" s="0" t="n">
        <v>63</v>
      </c>
      <c r="H15" s="0" t="n">
        <v>14</v>
      </c>
      <c r="I15" s="0" t="s">
        <v>34</v>
      </c>
      <c r="J15" s="16" t="n">
        <f aca="false">G15*H15</f>
        <v>882</v>
      </c>
      <c r="K15" s="16" t="n">
        <f aca="false">'Кукуруза суперсл ГРК'!H10</f>
        <v>550.89</v>
      </c>
      <c r="M15" s="0" t="n">
        <f aca="false">'Кукуруза суперсл ГРК'!H12</f>
        <v>63</v>
      </c>
    </row>
    <row r="16" customFormat="false" ht="15" hidden="false" customHeight="false" outlineLevel="0" collapsed="false">
      <c r="B16" s="0" t="s">
        <v>35</v>
      </c>
      <c r="C16" s="23" t="n">
        <f aca="false">C15/C13</f>
        <v>0.968280951982533</v>
      </c>
      <c r="E16" s="23"/>
    </row>
    <row r="17" customFormat="false" ht="15" hidden="false" customHeight="false" outlineLevel="0" collapsed="false">
      <c r="C17" s="16"/>
    </row>
    <row r="19" customFormat="false" ht="15" hidden="false" customHeight="false" outlineLevel="0" collapsed="false">
      <c r="B19" s="0" t="s">
        <v>36</v>
      </c>
      <c r="C19" s="29" t="n">
        <f aca="false">M10-C20</f>
        <v>1640.02948004837</v>
      </c>
      <c r="E19" s="0" t="s">
        <v>37</v>
      </c>
    </row>
    <row r="20" customFormat="false" ht="15" hidden="false" customHeight="false" outlineLevel="0" collapsed="false">
      <c r="B20" s="0" t="s">
        <v>38</v>
      </c>
      <c r="C20" s="0" t="n">
        <f aca="false">M13+M15</f>
        <v>557</v>
      </c>
      <c r="E20" s="0" t="s">
        <v>37</v>
      </c>
    </row>
    <row r="22" customFormat="false" ht="15" hidden="false" customHeight="false" outlineLevel="0" collapsed="false">
      <c r="B22" s="2" t="s">
        <v>39</v>
      </c>
    </row>
    <row r="23" customFormat="false" ht="15" hidden="false" customHeight="false" outlineLevel="0" collapsed="false">
      <c r="B23" s="0" t="s">
        <v>40</v>
      </c>
      <c r="C23" s="45" t="n">
        <f aca="false">M10</f>
        <v>2197.02948004837</v>
      </c>
    </row>
    <row r="24" customFormat="false" ht="15" hidden="false" customHeight="false" outlineLevel="0" collapsed="false">
      <c r="B24" s="0" t="s">
        <v>41</v>
      </c>
      <c r="C24" s="31" t="n">
        <v>72</v>
      </c>
    </row>
    <row r="25" customFormat="false" ht="15" hidden="false" customHeight="false" outlineLevel="0" collapsed="false">
      <c r="B25" s="0" t="s">
        <v>42</v>
      </c>
      <c r="C25" s="31" t="n">
        <f aca="false">C27-C23-C24</f>
        <v>-0.0294800483675317</v>
      </c>
    </row>
    <row r="27" customFormat="false" ht="15" hidden="false" customHeight="false" outlineLevel="0" collapsed="false">
      <c r="B27" s="0" t="s">
        <v>16</v>
      </c>
      <c r="C27" s="16" t="n">
        <f aca="false">C13</f>
        <v>2269</v>
      </c>
    </row>
    <row r="28" customFormat="false" ht="15" hidden="false" customHeight="false" outlineLevel="0" collapsed="false">
      <c r="C28" s="26"/>
    </row>
    <row r="29" customFormat="false" ht="15" hidden="false" customHeight="false" outlineLevel="0" collapsed="false">
      <c r="B29" s="2" t="s">
        <v>43</v>
      </c>
    </row>
    <row r="30" customFormat="false" ht="15" hidden="false" customHeight="false" outlineLevel="0" collapsed="false">
      <c r="B30" s="27" t="s">
        <v>30</v>
      </c>
      <c r="C30" s="16" t="n">
        <v>38817</v>
      </c>
      <c r="D30" s="0" t="s">
        <v>44</v>
      </c>
    </row>
    <row r="31" customFormat="false" ht="15" hidden="false" customHeight="false" outlineLevel="0" collapsed="false">
      <c r="B31" s="0" t="s">
        <v>16</v>
      </c>
      <c r="C31" s="17" t="n">
        <f aca="false">J10</f>
        <v>39166</v>
      </c>
      <c r="D31" s="0" t="s">
        <v>44</v>
      </c>
      <c r="E31" s="32" t="n">
        <f aca="false">C31/C30-1</f>
        <v>0.0089909060463198</v>
      </c>
      <c r="F31" s="16" t="n">
        <f aca="false">C31-C30</f>
        <v>349</v>
      </c>
    </row>
    <row r="32" customFormat="false" ht="15" hidden="false" customHeight="false" outlineLevel="0" collapsed="false">
      <c r="B32" s="0" t="s">
        <v>33</v>
      </c>
      <c r="C32" s="16"/>
    </row>
    <row r="33" customFormat="false" ht="15" hidden="false" customHeight="false" outlineLevel="0" collapsed="false">
      <c r="B33" s="0" t="s">
        <v>17</v>
      </c>
      <c r="C33" s="17" t="n">
        <f aca="false">K10</f>
        <v>35099.65</v>
      </c>
      <c r="D33" s="33" t="s">
        <v>44</v>
      </c>
    </row>
    <row r="34" customFormat="false" ht="15" hidden="false" customHeight="false" outlineLevel="0" collapsed="false">
      <c r="B34" s="0" t="s">
        <v>35</v>
      </c>
      <c r="C34" s="23" t="n">
        <f aca="false">C33/C31</f>
        <v>0.896176530664352</v>
      </c>
      <c r="E34" s="23"/>
    </row>
    <row r="35" customFormat="false" ht="15" hidden="false" customHeight="false" outlineLevel="0" collapsed="false">
      <c r="C35" s="34" t="s">
        <v>37</v>
      </c>
      <c r="D35" s="0" t="s">
        <v>45</v>
      </c>
      <c r="E35" s="34" t="s">
        <v>46</v>
      </c>
    </row>
    <row r="36" customFormat="false" ht="15" hidden="false" customHeight="false" outlineLevel="0" collapsed="false">
      <c r="B36" s="0" t="s">
        <v>36</v>
      </c>
      <c r="C36" s="16" t="n">
        <f aca="false">K10-C37</f>
        <v>26253.32</v>
      </c>
      <c r="D36" s="16" t="n">
        <f aca="false">J10-D37</f>
        <v>30360</v>
      </c>
      <c r="E36" s="16" t="n">
        <f aca="false">D36-C36</f>
        <v>4106.68</v>
      </c>
    </row>
    <row r="37" customFormat="false" ht="15" hidden="false" customHeight="false" outlineLevel="0" collapsed="false">
      <c r="B37" s="0" t="s">
        <v>38</v>
      </c>
      <c r="C37" s="16" t="n">
        <f aca="false">K13+K15</f>
        <v>8846.33</v>
      </c>
      <c r="D37" s="16" t="n">
        <f aca="false">J13+J15</f>
        <v>8806</v>
      </c>
      <c r="E37" s="16" t="n">
        <f aca="false">D37-C37</f>
        <v>-40.3299999999999</v>
      </c>
    </row>
    <row r="39" customFormat="false" ht="15" hidden="false" customHeight="false" outlineLevel="0" collapsed="false">
      <c r="C39" s="26"/>
    </row>
    <row r="40" customFormat="false" ht="15" hidden="false" customHeight="false" outlineLevel="0" collapsed="false">
      <c r="B40" s="2" t="s">
        <v>47</v>
      </c>
    </row>
    <row r="41" customFormat="false" ht="15" hidden="false" customHeight="false" outlineLevel="0" collapsed="false">
      <c r="B41" s="27" t="s">
        <v>30</v>
      </c>
    </row>
    <row r="42" customFormat="false" ht="15" hidden="false" customHeight="false" outlineLevel="0" collapsed="false">
      <c r="B42" s="0" t="s">
        <v>16</v>
      </c>
      <c r="C42" s="26" t="n">
        <f aca="false">C31/C13</f>
        <v>17.2613486117232</v>
      </c>
    </row>
    <row r="43" customFormat="false" ht="15" hidden="false" customHeight="false" outlineLevel="0" collapsed="false">
      <c r="B43" s="0" t="s">
        <v>33</v>
      </c>
      <c r="C43" s="26"/>
    </row>
    <row r="44" customFormat="false" ht="15" hidden="false" customHeight="false" outlineLevel="0" collapsed="false">
      <c r="B44" s="0" t="s">
        <v>17</v>
      </c>
      <c r="C44" s="26" t="n">
        <f aca="false">C33/C15</f>
        <v>15.9759576822917</v>
      </c>
      <c r="D44" s="35" t="n">
        <f aca="false">C44</f>
        <v>15.9759576822917</v>
      </c>
    </row>
    <row r="46" customFormat="false" ht="15" hidden="false" customHeight="false" outlineLevel="0" collapsed="false">
      <c r="B46" s="0" t="s">
        <v>36</v>
      </c>
      <c r="C46" s="35" t="n">
        <f aca="false">IFERROR(C36/C19, "-")</f>
        <v>16.0078342001668</v>
      </c>
      <c r="E46" s="0" t="s">
        <v>37</v>
      </c>
    </row>
    <row r="47" customFormat="false" ht="15" hidden="false" customHeight="false" outlineLevel="0" collapsed="false">
      <c r="B47" s="0" t="s">
        <v>38</v>
      </c>
      <c r="C47" s="35" t="n">
        <f aca="false">IFERROR(C37/C20, "-")</f>
        <v>15.8821005385996</v>
      </c>
      <c r="E47" s="0" t="s">
        <v>37</v>
      </c>
    </row>
    <row r="49" customFormat="false" ht="15" hidden="false" customHeight="false" outlineLevel="0" collapsed="false">
      <c r="C49" s="2" t="s">
        <v>48</v>
      </c>
      <c r="K49" s="2" t="s">
        <v>49</v>
      </c>
      <c r="S49" s="2" t="s">
        <v>47</v>
      </c>
    </row>
    <row r="50" customFormat="false" ht="15" hidden="false" customHeight="false" outlineLevel="0" collapsed="false">
      <c r="B50" s="2" t="s">
        <v>50</v>
      </c>
    </row>
    <row r="51" customFormat="false" ht="15" hidden="false" customHeight="false" outlineLevel="0" collapsed="false">
      <c r="C51" s="2" t="n">
        <v>2019</v>
      </c>
      <c r="D51" s="2" t="n">
        <v>2020</v>
      </c>
      <c r="E51" s="2" t="n">
        <v>2021</v>
      </c>
      <c r="F51" s="2" t="n">
        <v>2022</v>
      </c>
      <c r="G51" s="2" t="n">
        <v>2023</v>
      </c>
      <c r="H51" s="2" t="n">
        <v>2024</v>
      </c>
      <c r="I51" s="2" t="n">
        <v>2025</v>
      </c>
      <c r="K51" s="2" t="n">
        <v>2019</v>
      </c>
      <c r="L51" s="2" t="n">
        <v>2020</v>
      </c>
      <c r="M51" s="2" t="n">
        <v>2021</v>
      </c>
      <c r="N51" s="2" t="n">
        <v>2022</v>
      </c>
      <c r="O51" s="2" t="n">
        <v>2023</v>
      </c>
      <c r="P51" s="2" t="n">
        <v>2024</v>
      </c>
      <c r="Q51" s="2" t="n">
        <v>2025</v>
      </c>
      <c r="S51" s="2" t="n">
        <v>2019</v>
      </c>
      <c r="T51" s="2" t="n">
        <v>2020</v>
      </c>
      <c r="U51" s="2" t="n">
        <v>2021</v>
      </c>
      <c r="V51" s="2" t="n">
        <v>2022</v>
      </c>
      <c r="W51" s="2" t="n">
        <v>2023</v>
      </c>
      <c r="X51" s="2" t="n">
        <v>2024</v>
      </c>
      <c r="Y51" s="2" t="n">
        <v>2025</v>
      </c>
    </row>
    <row r="52" customFormat="false" ht="15" hidden="false" customHeight="false" outlineLevel="0" collapsed="false">
      <c r="B52" s="0" t="s">
        <v>51</v>
      </c>
      <c r="C52" s="16"/>
      <c r="D52" s="16" t="n">
        <v>15589.84</v>
      </c>
      <c r="E52" s="16" t="n">
        <v>8061.38</v>
      </c>
      <c r="F52" s="16" t="n">
        <v>4279.68</v>
      </c>
      <c r="G52" s="16"/>
      <c r="H52" s="16"/>
      <c r="I52" s="17"/>
      <c r="K52" s="16"/>
      <c r="L52" s="16" t="n">
        <v>791</v>
      </c>
      <c r="M52" s="16" t="n">
        <v>411.65</v>
      </c>
      <c r="N52" s="16" t="n">
        <v>270.82</v>
      </c>
      <c r="O52" s="16" t="n">
        <v>0</v>
      </c>
      <c r="Q52" s="19"/>
      <c r="S52" s="16"/>
      <c r="T52" s="26" t="n">
        <f aca="false">D52/L52</f>
        <v>19.7090265486726</v>
      </c>
      <c r="U52" s="26" t="n">
        <f aca="false">E52/M52</f>
        <v>19.583092432892</v>
      </c>
      <c r="V52" s="26" t="n">
        <f aca="false">F52/N52</f>
        <v>15.8026733623809</v>
      </c>
      <c r="W52" s="26"/>
      <c r="X52" s="28"/>
      <c r="Y52" s="28"/>
    </row>
    <row r="53" customFormat="false" ht="15" hidden="false" customHeight="false" outlineLevel="0" collapsed="false">
      <c r="B53" s="36" t="s">
        <v>52</v>
      </c>
      <c r="C53" s="37"/>
      <c r="D53" s="37"/>
      <c r="E53" s="37"/>
      <c r="F53" s="37"/>
      <c r="G53" s="37"/>
      <c r="H53" s="37"/>
      <c r="I53" s="37" t="n">
        <f aca="false">'Кукуруза Агролидер'!C18</f>
        <v>1860.64</v>
      </c>
      <c r="J53" s="36"/>
      <c r="K53" s="37"/>
      <c r="L53" s="37"/>
      <c r="M53" s="37"/>
      <c r="N53" s="37"/>
      <c r="O53" s="37"/>
      <c r="P53" s="36"/>
      <c r="Q53" s="36" t="n">
        <f aca="false">'Кукуруза Агролидер'!E18</f>
        <v>125</v>
      </c>
      <c r="R53" s="36"/>
      <c r="S53" s="37"/>
      <c r="T53" s="38"/>
      <c r="U53" s="38"/>
      <c r="V53" s="38"/>
      <c r="W53" s="38"/>
      <c r="X53" s="38"/>
      <c r="Y53" s="38" t="n">
        <f aca="false">I53/Q53</f>
        <v>14.88512</v>
      </c>
    </row>
    <row r="54" customFormat="false" ht="15" hidden="false" customHeight="false" outlineLevel="0" collapsed="false">
      <c r="B54" s="36" t="s">
        <v>53</v>
      </c>
      <c r="C54" s="37"/>
      <c r="D54" s="37"/>
      <c r="E54" s="37"/>
      <c r="F54" s="37"/>
      <c r="G54" s="37"/>
      <c r="H54" s="37"/>
      <c r="I54" s="37" t="n">
        <f aca="false">'Кукуруза Братковский'!C18</f>
        <v>3223.16</v>
      </c>
      <c r="J54" s="36"/>
      <c r="K54" s="37"/>
      <c r="L54" s="37"/>
      <c r="M54" s="37"/>
      <c r="N54" s="37"/>
      <c r="O54" s="37"/>
      <c r="P54" s="36"/>
      <c r="Q54" s="36" t="n">
        <f aca="false">'Кукуруза Братковский'!E18</f>
        <v>268</v>
      </c>
      <c r="R54" s="36"/>
      <c r="S54" s="37"/>
      <c r="T54" s="38"/>
      <c r="U54" s="38"/>
      <c r="V54" s="38"/>
      <c r="W54" s="38"/>
      <c r="X54" s="38"/>
      <c r="Y54" s="38" t="n">
        <f aca="false">I54/Q54</f>
        <v>12.0267164179104</v>
      </c>
    </row>
    <row r="55" customFormat="false" ht="15" hidden="false" customHeight="false" outlineLevel="0" collapsed="false">
      <c r="B55" s="36" t="s">
        <v>32</v>
      </c>
      <c r="C55" s="37"/>
      <c r="D55" s="37"/>
      <c r="E55" s="37"/>
      <c r="F55" s="37"/>
      <c r="G55" s="37" t="n">
        <v>2829.55</v>
      </c>
      <c r="H55" s="37" t="n">
        <v>178.65</v>
      </c>
      <c r="I55" s="37" t="n">
        <f aca="false">'Кукуруза сахарная ГРК'!C21</f>
        <v>1812.05</v>
      </c>
      <c r="J55" s="36"/>
      <c r="K55" s="37"/>
      <c r="L55" s="37"/>
      <c r="M55" s="37"/>
      <c r="N55" s="37"/>
      <c r="O55" s="37" t="n">
        <v>197.6</v>
      </c>
      <c r="P55" s="36" t="n">
        <v>23</v>
      </c>
      <c r="Q55" s="36" t="n">
        <f aca="false">'Кукуруза сахарная ГРК'!E21</f>
        <v>156</v>
      </c>
      <c r="R55" s="36"/>
      <c r="S55" s="37"/>
      <c r="T55" s="38"/>
      <c r="U55" s="38"/>
      <c r="V55" s="38"/>
      <c r="W55" s="38" t="n">
        <f aca="false">G55/O55</f>
        <v>14.3195850202429</v>
      </c>
      <c r="X55" s="38" t="n">
        <f aca="false">H55/P55</f>
        <v>7.76739130434783</v>
      </c>
      <c r="Y55" s="38" t="n">
        <f aca="false">I55/Q55</f>
        <v>11.6157051282051</v>
      </c>
    </row>
    <row r="56" customFormat="false" ht="15" hidden="false" customHeight="false" outlineLevel="0" collapsed="false">
      <c r="B56" s="36" t="s">
        <v>34</v>
      </c>
      <c r="C56" s="37"/>
      <c r="D56" s="37" t="n">
        <v>6271.2</v>
      </c>
      <c r="E56" s="37" t="n">
        <v>4487.5</v>
      </c>
      <c r="F56" s="37" t="n">
        <v>4513.01</v>
      </c>
      <c r="G56" s="37" t="n">
        <v>1950.56</v>
      </c>
      <c r="H56" s="37" t="n">
        <v>3707.36</v>
      </c>
      <c r="I56" s="37" t="n">
        <f aca="false">'Кукуруза суперсл ГРК'!H10</f>
        <v>550.89</v>
      </c>
      <c r="J56" s="36"/>
      <c r="K56" s="37"/>
      <c r="L56" s="37" t="n">
        <v>411</v>
      </c>
      <c r="M56" s="37" t="n">
        <v>315</v>
      </c>
      <c r="N56" s="37" t="n">
        <v>400</v>
      </c>
      <c r="O56" s="37" t="n">
        <v>142.7</v>
      </c>
      <c r="P56" s="36" t="n">
        <v>459</v>
      </c>
      <c r="Q56" s="36" t="n">
        <f aca="false">'Кукуруза суперсл ГРК'!H12</f>
        <v>63</v>
      </c>
      <c r="R56" s="36"/>
      <c r="S56" s="37"/>
      <c r="T56" s="38" t="n">
        <f aca="false">D56/L56</f>
        <v>15.2583941605839</v>
      </c>
      <c r="U56" s="38" t="n">
        <f aca="false">E56/M56</f>
        <v>14.2460317460317</v>
      </c>
      <c r="V56" s="38" t="n">
        <f aca="false">F56/N56</f>
        <v>11.282525</v>
      </c>
      <c r="W56" s="38" t="n">
        <f aca="false">G56/O56</f>
        <v>13.6689558514366</v>
      </c>
      <c r="X56" s="38" t="n">
        <f aca="false">H56/P56</f>
        <v>8.07703703703704</v>
      </c>
      <c r="Y56" s="38" t="n">
        <f aca="false">I56/Q56</f>
        <v>8.74428571428572</v>
      </c>
    </row>
    <row r="57" customFormat="false" ht="15" hidden="false" customHeight="false" outlineLevel="0" collapsed="false">
      <c r="B57" s="0" t="s">
        <v>54</v>
      </c>
      <c r="C57" s="16"/>
      <c r="D57" s="16" t="n">
        <v>7230.23</v>
      </c>
      <c r="E57" s="16" t="n">
        <v>7910.36</v>
      </c>
      <c r="F57" s="16" t="n">
        <v>2840.27</v>
      </c>
      <c r="G57" s="16"/>
      <c r="H57" s="16"/>
      <c r="I57" s="17"/>
      <c r="K57" s="16"/>
      <c r="L57" s="16" t="n">
        <v>415</v>
      </c>
      <c r="M57" s="16" t="n">
        <v>482.2</v>
      </c>
      <c r="N57" s="16" t="n">
        <v>155.12</v>
      </c>
      <c r="O57" s="16"/>
      <c r="Q57" s="19"/>
      <c r="S57" s="16"/>
      <c r="T57" s="26" t="n">
        <f aca="false">D57/L57</f>
        <v>17.4222409638554</v>
      </c>
      <c r="U57" s="26" t="n">
        <f aca="false">E57/M57</f>
        <v>16.4047283284944</v>
      </c>
      <c r="V57" s="26" t="n">
        <f aca="false">F57/N57</f>
        <v>18.3101469829809</v>
      </c>
      <c r="W57" s="26"/>
      <c r="X57" s="28"/>
      <c r="Y57" s="28"/>
    </row>
    <row r="58" customFormat="false" ht="15" hidden="false" customHeight="false" outlineLevel="0" collapsed="false">
      <c r="B58" s="0" t="s">
        <v>55</v>
      </c>
      <c r="C58" s="16"/>
      <c r="D58" s="16" t="n">
        <v>2466.02</v>
      </c>
      <c r="E58" s="16" t="n">
        <v>4706.84</v>
      </c>
      <c r="F58" s="16" t="n">
        <v>3078.48</v>
      </c>
      <c r="G58" s="16"/>
      <c r="H58" s="16"/>
      <c r="I58" s="17"/>
      <c r="K58" s="16"/>
      <c r="L58" s="16" t="n">
        <v>200</v>
      </c>
      <c r="M58" s="16" t="n">
        <v>257</v>
      </c>
      <c r="N58" s="16" t="n">
        <v>186</v>
      </c>
      <c r="O58" s="16"/>
      <c r="Q58" s="19"/>
      <c r="S58" s="16"/>
      <c r="T58" s="26" t="n">
        <f aca="false">D58/L58</f>
        <v>12.3301</v>
      </c>
      <c r="U58" s="26" t="n">
        <f aca="false">E58/M58</f>
        <v>18.3145525291829</v>
      </c>
      <c r="V58" s="26" t="n">
        <f aca="false">F58/N58</f>
        <v>16.5509677419355</v>
      </c>
      <c r="W58" s="26"/>
      <c r="X58" s="28"/>
      <c r="Y58" s="28"/>
    </row>
    <row r="59" customFormat="false" ht="15" hidden="false" customHeight="false" outlineLevel="0" collapsed="false">
      <c r="B59" s="36" t="s">
        <v>29</v>
      </c>
      <c r="C59" s="37"/>
      <c r="D59" s="37"/>
      <c r="E59" s="37"/>
      <c r="F59" s="37" t="n">
        <v>3647.23</v>
      </c>
      <c r="G59" s="37" t="n">
        <v>5885.83</v>
      </c>
      <c r="H59" s="37" t="n">
        <v>6304.38</v>
      </c>
      <c r="I59" s="37" t="n">
        <f aca="false">'Кукуруза Иррико сахар'!C19</f>
        <v>5445.72</v>
      </c>
      <c r="J59" s="36"/>
      <c r="K59" s="37"/>
      <c r="L59" s="37"/>
      <c r="M59" s="37"/>
      <c r="N59" s="37" t="n">
        <v>274.04</v>
      </c>
      <c r="O59" s="37" t="n">
        <v>304.9</v>
      </c>
      <c r="P59" s="36" t="n">
        <v>305</v>
      </c>
      <c r="Q59" s="36" t="n">
        <f aca="false">'Кукуруза Иррико сахар'!E19</f>
        <v>343</v>
      </c>
      <c r="R59" s="36"/>
      <c r="S59" s="37"/>
      <c r="T59" s="38"/>
      <c r="U59" s="38"/>
      <c r="V59" s="38" t="n">
        <f aca="false">F59/N59</f>
        <v>13.3091154575974</v>
      </c>
      <c r="W59" s="38" t="n">
        <f aca="false">G59/O59</f>
        <v>19.3041325024598</v>
      </c>
      <c r="X59" s="38" t="n">
        <f aca="false">H59/P59</f>
        <v>20.6700983606557</v>
      </c>
      <c r="Y59" s="38" t="n">
        <f aca="false">I59/Q59</f>
        <v>15.8767346938776</v>
      </c>
    </row>
    <row r="60" customFormat="false" ht="15" hidden="false" customHeight="false" outlineLevel="0" collapsed="false">
      <c r="B60" s="36" t="s">
        <v>31</v>
      </c>
      <c r="C60" s="37"/>
      <c r="D60" s="37"/>
      <c r="E60" s="37"/>
      <c r="F60" s="37"/>
      <c r="G60" s="37"/>
      <c r="H60" s="37"/>
      <c r="I60" s="37" t="n">
        <f aca="false">'Кукуруза Иррико суперсл'!C18</f>
        <v>8295.44</v>
      </c>
      <c r="J60" s="36"/>
      <c r="K60" s="37"/>
      <c r="L60" s="37"/>
      <c r="M60" s="37"/>
      <c r="N60" s="37"/>
      <c r="O60" s="37"/>
      <c r="P60" s="36"/>
      <c r="Q60" s="36" t="n">
        <f aca="false">'Кукуруза Иррико суперсл'!H12</f>
        <v>494</v>
      </c>
      <c r="R60" s="36"/>
      <c r="S60" s="37"/>
      <c r="T60" s="38"/>
      <c r="U60" s="38"/>
      <c r="V60" s="38"/>
      <c r="W60" s="38"/>
      <c r="X60" s="38"/>
      <c r="Y60" s="38" t="n">
        <f aca="false">I60/Q60</f>
        <v>16.7923886639676</v>
      </c>
    </row>
    <row r="61" customFormat="false" ht="15" hidden="false" customHeight="false" outlineLevel="0" collapsed="false">
      <c r="B61" s="36" t="s">
        <v>56</v>
      </c>
      <c r="C61" s="37"/>
      <c r="D61" s="37"/>
      <c r="E61" s="37"/>
      <c r="F61" s="37" t="n">
        <v>1823.61</v>
      </c>
      <c r="G61" s="37" t="n">
        <v>1986.55</v>
      </c>
      <c r="H61" s="37" t="n">
        <v>3497.07</v>
      </c>
      <c r="I61" s="37" t="n">
        <f aca="false">'Кукуруза Кирова'!C18</f>
        <v>4688.0497</v>
      </c>
      <c r="J61" s="36"/>
      <c r="K61" s="37"/>
      <c r="L61" s="37"/>
      <c r="M61" s="37"/>
      <c r="N61" s="37" t="n">
        <v>110</v>
      </c>
      <c r="O61" s="37" t="n">
        <v>136</v>
      </c>
      <c r="P61" s="36" t="n">
        <v>302</v>
      </c>
      <c r="Q61" s="36" t="n">
        <f aca="false">'Кукуруза Кирова'!E18</f>
        <v>297</v>
      </c>
      <c r="R61" s="36"/>
      <c r="S61" s="37"/>
      <c r="T61" s="38"/>
      <c r="U61" s="38"/>
      <c r="V61" s="38" t="n">
        <f aca="false">F61/N61</f>
        <v>16.5782727272727</v>
      </c>
      <c r="W61" s="38" t="n">
        <f aca="false">G61/O61</f>
        <v>14.6069852941177</v>
      </c>
      <c r="X61" s="38" t="n">
        <f aca="false">H61/P61</f>
        <v>11.579701986755</v>
      </c>
      <c r="Y61" s="38" t="n">
        <f aca="false">I61/Q61</f>
        <v>15.7846791245791</v>
      </c>
    </row>
    <row r="62" customFormat="false" ht="15" hidden="false" customHeight="false" outlineLevel="0" collapsed="false">
      <c r="B62" s="36" t="s">
        <v>57</v>
      </c>
      <c r="C62" s="37"/>
      <c r="D62" s="37" t="n">
        <v>9394.42</v>
      </c>
      <c r="E62" s="37" t="n">
        <v>7409.64</v>
      </c>
      <c r="F62" s="37" t="n">
        <v>9977.4</v>
      </c>
      <c r="G62" s="37" t="n">
        <v>10250.58</v>
      </c>
      <c r="H62" s="37" t="n">
        <v>7397.2</v>
      </c>
      <c r="I62" s="37" t="n">
        <f aca="false">'Кукуруза Колос'!C17</f>
        <v>9223.7003</v>
      </c>
      <c r="J62" s="36"/>
      <c r="K62" s="37"/>
      <c r="L62" s="37" t="n">
        <v>459</v>
      </c>
      <c r="M62" s="37" t="n">
        <v>448.5</v>
      </c>
      <c r="N62" s="37" t="n">
        <v>510</v>
      </c>
      <c r="O62" s="37" t="n">
        <v>552.6</v>
      </c>
      <c r="P62" s="36" t="n">
        <v>460.5</v>
      </c>
      <c r="Q62" s="36" t="n">
        <f aca="false">'Кукуруза Колос'!E17</f>
        <v>451.029480048368</v>
      </c>
      <c r="R62" s="36"/>
      <c r="S62" s="37"/>
      <c r="T62" s="38" t="n">
        <f aca="false">D62/L62</f>
        <v>20.4671459694989</v>
      </c>
      <c r="U62" s="38" t="n">
        <f aca="false">E62/M62</f>
        <v>16.5209364548495</v>
      </c>
      <c r="V62" s="38" t="n">
        <f aca="false">F62/N62</f>
        <v>19.5635294117647</v>
      </c>
      <c r="W62" s="38" t="n">
        <f aca="false">G62/O62</f>
        <v>18.5497285559175</v>
      </c>
      <c r="X62" s="38" t="n">
        <f aca="false">H62/P62</f>
        <v>16.0634093376764</v>
      </c>
      <c r="Y62" s="38" t="n">
        <f aca="false">I62/Q62</f>
        <v>20.4503268810963</v>
      </c>
    </row>
    <row r="63" customFormat="false" ht="15" hidden="false" customHeight="false" outlineLevel="0" collapsed="false">
      <c r="B63" s="0" t="s">
        <v>58</v>
      </c>
      <c r="C63" s="16"/>
      <c r="D63" s="16"/>
      <c r="E63" s="16"/>
      <c r="F63" s="16"/>
      <c r="G63" s="16" t="n">
        <v>649.83</v>
      </c>
      <c r="H63" s="16"/>
      <c r="I63" s="17"/>
      <c r="K63" s="16"/>
      <c r="L63" s="16"/>
      <c r="M63" s="16"/>
      <c r="N63" s="16"/>
      <c r="O63" s="16" t="n">
        <v>256.4</v>
      </c>
      <c r="Q63" s="19"/>
      <c r="S63" s="16"/>
      <c r="T63" s="26"/>
      <c r="U63" s="26"/>
      <c r="V63" s="26"/>
      <c r="W63" s="26" t="n">
        <f aca="false">G63/O63</f>
        <v>2.5344383775351</v>
      </c>
      <c r="X63" s="28"/>
      <c r="Y63" s="28"/>
    </row>
    <row r="64" customFormat="false" ht="15" hidden="false" customHeight="false" outlineLevel="0" collapsed="false">
      <c r="B64" s="0" t="s">
        <v>59</v>
      </c>
      <c r="C64" s="16"/>
      <c r="D64" s="16"/>
      <c r="E64" s="16"/>
      <c r="F64" s="16" t="n">
        <v>1582.22</v>
      </c>
      <c r="G64" s="16"/>
      <c r="H64" s="16"/>
      <c r="I64" s="17"/>
      <c r="K64" s="16"/>
      <c r="L64" s="16"/>
      <c r="M64" s="16"/>
      <c r="N64" s="16" t="n">
        <v>110</v>
      </c>
      <c r="O64" s="16"/>
      <c r="Q64" s="19"/>
      <c r="S64" s="16"/>
      <c r="T64" s="26"/>
      <c r="U64" s="26"/>
      <c r="V64" s="26" t="n">
        <f aca="false">F64/N64</f>
        <v>14.3838181818182</v>
      </c>
      <c r="W64" s="26"/>
      <c r="X64" s="28"/>
      <c r="Y64" s="28"/>
    </row>
    <row r="65" customFormat="false" ht="15" hidden="false" customHeight="false" outlineLevel="0" collapsed="false">
      <c r="B65" s="0" t="s">
        <v>60</v>
      </c>
      <c r="C65" s="16"/>
      <c r="D65" s="16"/>
      <c r="E65" s="16"/>
      <c r="F65" s="16"/>
      <c r="G65" s="16"/>
      <c r="H65" s="16" t="n">
        <v>499.75</v>
      </c>
      <c r="I65" s="17"/>
      <c r="K65" s="16"/>
      <c r="L65" s="16"/>
      <c r="M65" s="16"/>
      <c r="N65" s="16"/>
      <c r="O65" s="16"/>
      <c r="P65" s="0" t="n">
        <v>112</v>
      </c>
      <c r="Q65" s="19"/>
      <c r="S65" s="16"/>
      <c r="T65" s="26"/>
      <c r="U65" s="26"/>
      <c r="V65" s="26"/>
      <c r="W65" s="26"/>
      <c r="X65" s="28" t="n">
        <f aca="false">H65/P65</f>
        <v>4.46205357142857</v>
      </c>
      <c r="Y65" s="28"/>
    </row>
    <row r="66" customFormat="false" ht="15" hidden="false" customHeight="false" outlineLevel="0" collapsed="false">
      <c r="B66" s="0" t="s">
        <v>61</v>
      </c>
      <c r="C66" s="16"/>
      <c r="D66" s="16"/>
      <c r="E66" s="16"/>
      <c r="F66" s="16"/>
      <c r="G66" s="16"/>
      <c r="H66" s="16" t="n">
        <v>2375.63</v>
      </c>
      <c r="I66" s="17"/>
      <c r="K66" s="16"/>
      <c r="L66" s="16"/>
      <c r="M66" s="16"/>
      <c r="N66" s="16"/>
      <c r="O66" s="16"/>
      <c r="P66" s="0" t="n">
        <v>175</v>
      </c>
      <c r="Q66" s="19"/>
      <c r="S66" s="16"/>
      <c r="T66" s="26"/>
      <c r="U66" s="26"/>
      <c r="V66" s="26"/>
      <c r="W66" s="26"/>
      <c r="X66" s="28" t="n">
        <f aca="false">H66/P66</f>
        <v>13.5750285714286</v>
      </c>
      <c r="Y66" s="28"/>
    </row>
    <row r="67" customFormat="false" ht="15" hidden="false" customHeight="false" outlineLevel="0" collapsed="false">
      <c r="C67" s="25" t="n">
        <f aca="false">SUM(C52:C66)</f>
        <v>0</v>
      </c>
      <c r="D67" s="25" t="n">
        <f aca="false">SUM(D52:D66)</f>
        <v>40951.71</v>
      </c>
      <c r="E67" s="25" t="n">
        <f aca="false">SUM(E52:E66)</f>
        <v>32575.72</v>
      </c>
      <c r="F67" s="25" t="n">
        <f aca="false">SUM(F52:F66)</f>
        <v>31741.9</v>
      </c>
      <c r="G67" s="25" t="n">
        <f aca="false">SUM(G52:G66)</f>
        <v>23552.9</v>
      </c>
      <c r="H67" s="25" t="n">
        <f aca="false">SUM(H52:H66)</f>
        <v>23960.04</v>
      </c>
      <c r="I67" s="25" t="n">
        <f aca="false">SUM(I52:I66)</f>
        <v>35099.65</v>
      </c>
      <c r="K67" s="25" t="n">
        <f aca="false">SUM(K52:K66)</f>
        <v>0</v>
      </c>
      <c r="L67" s="25" t="n">
        <f aca="false">SUM(L52:L66)</f>
        <v>2276</v>
      </c>
      <c r="M67" s="25" t="n">
        <f aca="false">SUM(M52:M66)</f>
        <v>1914.35</v>
      </c>
      <c r="N67" s="25" t="n">
        <f aca="false">SUM(N52:N66)</f>
        <v>2015.98</v>
      </c>
      <c r="O67" s="25" t="n">
        <f aca="false">SUM(O52:O66)</f>
        <v>1590.2</v>
      </c>
      <c r="P67" s="25" t="n">
        <f aca="false">SUM(P52:P66)</f>
        <v>1836.5</v>
      </c>
      <c r="Q67" s="25" t="n">
        <f aca="false">SUM(Q52:Q66)</f>
        <v>2197.02948004837</v>
      </c>
      <c r="T67" s="26" t="n">
        <f aca="false">D67/L67</f>
        <v>17.9928427065026</v>
      </c>
      <c r="U67" s="26" t="n">
        <f aca="false">E67/M67</f>
        <v>17.0165957113381</v>
      </c>
      <c r="V67" s="26" t="n">
        <f aca="false">F67/N67</f>
        <v>15.7451462812131</v>
      </c>
      <c r="W67" s="26" t="n">
        <f aca="false">G67/O67</f>
        <v>14.8112815997988</v>
      </c>
      <c r="X67" s="26" t="n">
        <f aca="false">H67/P67</f>
        <v>13.0465777293765</v>
      </c>
      <c r="Y67" s="26" t="n">
        <f aca="false">I67/Q67</f>
        <v>15.9759576822917</v>
      </c>
    </row>
    <row r="68" customFormat="false" ht="15" hidden="false" customHeight="false" outlineLevel="0" collapsed="false">
      <c r="F68" s="33" t="n">
        <f aca="false">F67</f>
        <v>31741.9</v>
      </c>
      <c r="G68" s="33" t="n">
        <f aca="false">G67</f>
        <v>23552.9</v>
      </c>
      <c r="H68" s="33" t="n">
        <f aca="false">H67</f>
        <v>23960.04</v>
      </c>
      <c r="I68" s="33" t="n">
        <f aca="false">I67</f>
        <v>35099.65</v>
      </c>
      <c r="N68" s="39" t="n">
        <f aca="false">N67</f>
        <v>2015.98</v>
      </c>
      <c r="O68" s="39" t="n">
        <f aca="false">O67</f>
        <v>1590.2</v>
      </c>
      <c r="P68" s="39" t="n">
        <f aca="false">P67</f>
        <v>1836.5</v>
      </c>
      <c r="Q68" s="39" t="n">
        <f aca="false">Q67</f>
        <v>2197.02948004837</v>
      </c>
      <c r="V68" s="40" t="n">
        <f aca="false">V67</f>
        <v>15.7451462812131</v>
      </c>
      <c r="W68" s="40" t="n">
        <f aca="false">W67</f>
        <v>14.8112815997988</v>
      </c>
      <c r="X68" s="40" t="n">
        <f aca="false">X67</f>
        <v>13.0465777293765</v>
      </c>
      <c r="Y68" s="40" t="n">
        <f aca="false">Y67</f>
        <v>15.9759576822917</v>
      </c>
      <c r="Z68" s="40"/>
    </row>
    <row r="70" customFormat="false" ht="15" hidden="false" customHeight="false" outlineLevel="0" collapsed="false">
      <c r="C70" s="0" t="s">
        <v>48</v>
      </c>
      <c r="D70" s="0" t="s">
        <v>47</v>
      </c>
    </row>
    <row r="71" customFormat="false" ht="15" hidden="false" customHeight="false" outlineLevel="0" collapsed="false">
      <c r="B71" s="2" t="n">
        <v>2020</v>
      </c>
      <c r="C71" s="16" t="n">
        <f aca="false">D67</f>
        <v>40951.71</v>
      </c>
      <c r="D71" s="26" t="n">
        <f aca="false">T67</f>
        <v>17.9928427065026</v>
      </c>
    </row>
    <row r="72" customFormat="false" ht="15" hidden="false" customHeight="false" outlineLevel="0" collapsed="false">
      <c r="B72" s="2" t="n">
        <v>2021</v>
      </c>
      <c r="C72" s="16" t="n">
        <f aca="false">E67</f>
        <v>32575.72</v>
      </c>
      <c r="D72" s="26" t="n">
        <f aca="false">U67</f>
        <v>17.0165957113381</v>
      </c>
    </row>
    <row r="73" customFormat="false" ht="15" hidden="false" customHeight="false" outlineLevel="0" collapsed="false">
      <c r="B73" s="2" t="n">
        <v>2022</v>
      </c>
      <c r="C73" s="16" t="n">
        <f aca="false">F67</f>
        <v>31741.9</v>
      </c>
      <c r="D73" s="26" t="n">
        <f aca="false">V67</f>
        <v>15.7451462812131</v>
      </c>
    </row>
    <row r="74" customFormat="false" ht="15" hidden="false" customHeight="false" outlineLevel="0" collapsed="false">
      <c r="B74" s="2" t="n">
        <v>2023</v>
      </c>
      <c r="C74" s="16" t="n">
        <f aca="false">G67</f>
        <v>23552.9</v>
      </c>
      <c r="D74" s="26" t="n">
        <f aca="false">W67</f>
        <v>14.8112815997988</v>
      </c>
    </row>
    <row r="75" customFormat="false" ht="15" hidden="false" customHeight="false" outlineLevel="0" collapsed="false">
      <c r="B75" s="2" t="n">
        <v>2024</v>
      </c>
      <c r="C75" s="16" t="n">
        <f aca="false">H67</f>
        <v>23960.04</v>
      </c>
      <c r="D75" s="26" t="n">
        <f aca="false">X67</f>
        <v>13.0465777293765</v>
      </c>
    </row>
    <row r="76" customFormat="false" ht="15" hidden="false" customHeight="false" outlineLevel="0" collapsed="false">
      <c r="B76" s="2" t="n">
        <v>2025</v>
      </c>
      <c r="C76" s="16" t="n">
        <f aca="false">I67</f>
        <v>35099.65</v>
      </c>
      <c r="D76" s="26" t="n">
        <f aca="false">Y68</f>
        <v>15.9759576822917</v>
      </c>
    </row>
    <row r="78" customFormat="false" ht="15" hidden="false" customHeight="false" outlineLevel="0" collapsed="false">
      <c r="C78" s="2" t="s">
        <v>48</v>
      </c>
    </row>
    <row r="79" customFormat="false" ht="15" hidden="false" customHeight="false" outlineLevel="0" collapsed="false">
      <c r="C79" s="2" t="s">
        <v>62</v>
      </c>
      <c r="D79" s="2" t="s">
        <v>63</v>
      </c>
      <c r="E79" s="2" t="s">
        <v>64</v>
      </c>
      <c r="F79" s="2" t="s">
        <v>65</v>
      </c>
    </row>
    <row r="80" customFormat="false" ht="15" hidden="false" customHeight="false" outlineLevel="0" collapsed="false">
      <c r="B80" s="0" t="s">
        <v>27</v>
      </c>
      <c r="C80" s="16"/>
      <c r="D80" s="16"/>
      <c r="E80" s="16"/>
      <c r="F80" s="16" t="n">
        <f aca="false">$I$53</f>
        <v>1860.64</v>
      </c>
    </row>
    <row r="81" customFormat="false" ht="15" hidden="false" customHeight="false" outlineLevel="0" collapsed="false">
      <c r="B81" s="0" t="s">
        <v>72</v>
      </c>
      <c r="C81" s="16"/>
      <c r="D81" s="16"/>
      <c r="E81" s="16"/>
      <c r="F81" s="16" t="n">
        <f aca="false">$I$54</f>
        <v>3223.16</v>
      </c>
    </row>
    <row r="82" customFormat="false" ht="15" hidden="false" customHeight="false" outlineLevel="0" collapsed="false">
      <c r="B82" s="0" t="s">
        <v>21</v>
      </c>
      <c r="C82" s="16" t="n">
        <v>4513.01</v>
      </c>
      <c r="D82" s="16" t="n">
        <f aca="false">$G$55+$G$56</f>
        <v>4780.11</v>
      </c>
      <c r="E82" s="16" t="n">
        <f aca="false">$H$56+$H$55</f>
        <v>3886.01</v>
      </c>
      <c r="F82" s="16" t="n">
        <f aca="false">$I$56+$I$55</f>
        <v>2362.94</v>
      </c>
    </row>
    <row r="83" customFormat="false" ht="15" hidden="false" customHeight="false" outlineLevel="0" collapsed="false">
      <c r="B83" s="0" t="s">
        <v>25</v>
      </c>
      <c r="C83" s="16" t="n">
        <v>3647.23</v>
      </c>
      <c r="D83" s="16" t="n">
        <f aca="false">$G$59</f>
        <v>5885.83</v>
      </c>
      <c r="E83" s="16" t="n">
        <f aca="false">$H$59</f>
        <v>6304.38</v>
      </c>
      <c r="F83" s="16" t="n">
        <f aca="false">$I$59+$I$60</f>
        <v>13741.16</v>
      </c>
    </row>
    <row r="84" customFormat="false" ht="15" hidden="false" customHeight="false" outlineLevel="0" collapsed="false">
      <c r="B84" s="0" t="s">
        <v>23</v>
      </c>
      <c r="C84" s="16" t="n">
        <v>1823.61</v>
      </c>
      <c r="D84" s="16" t="n">
        <f aca="false">$G$61</f>
        <v>1986.55</v>
      </c>
      <c r="E84" s="16" t="n">
        <f aca="false">$H$61</f>
        <v>3497.07</v>
      </c>
      <c r="F84" s="16" t="n">
        <f aca="false">$I$61</f>
        <v>4688.0497</v>
      </c>
    </row>
    <row r="85" customFormat="false" ht="15" hidden="false" customHeight="false" outlineLevel="0" collapsed="false">
      <c r="B85" s="0" t="s">
        <v>28</v>
      </c>
      <c r="C85" s="16" t="n">
        <v>9977.4</v>
      </c>
      <c r="D85" s="16" t="n">
        <f aca="false">$G$62</f>
        <v>10250.58</v>
      </c>
      <c r="E85" s="16" t="n">
        <f aca="false">$H$62</f>
        <v>7397.2</v>
      </c>
      <c r="F85" s="16" t="n">
        <f aca="false">$I$62</f>
        <v>9223.7003</v>
      </c>
    </row>
    <row r="86" customFormat="false" ht="15" hidden="false" customHeight="false" outlineLevel="0" collapsed="false">
      <c r="B86" s="0" t="s">
        <v>67</v>
      </c>
      <c r="C86" s="16" t="n">
        <v>11780.65</v>
      </c>
      <c r="D86" s="16" t="n">
        <f aca="false">$G$67-SUM(D80:D85)</f>
        <v>649.830000000002</v>
      </c>
      <c r="E86" s="16" t="n">
        <f aca="false">$H67-SUM(E80:E85)</f>
        <v>2875.38</v>
      </c>
      <c r="F86" s="16" t="n">
        <f aca="false">$I67-SUM(F80:F85)</f>
        <v>0</v>
      </c>
    </row>
    <row r="87" customFormat="false" ht="15" hidden="false" customHeight="false" outlineLevel="0" collapsed="false">
      <c r="B87" s="0" t="s">
        <v>16</v>
      </c>
      <c r="C87" s="16"/>
      <c r="D87" s="16"/>
      <c r="E87" s="16"/>
      <c r="F87" s="16" t="n">
        <f aca="false">$C$31-SUM(F80:F86)</f>
        <v>4066.35</v>
      </c>
    </row>
    <row r="88" customFormat="false" ht="15" hidden="false" customHeight="false" outlineLevel="0" collapsed="false">
      <c r="C88" s="25" t="n">
        <v>31741.9</v>
      </c>
      <c r="D88" s="25" t="n">
        <f aca="false">SUM(D80:D86)</f>
        <v>23552.9</v>
      </c>
      <c r="E88" s="25" t="n">
        <f aca="false">SUM(E80:E87)</f>
        <v>23960.04</v>
      </c>
      <c r="F88" s="25" t="n">
        <f aca="false">SUM(F80:F87)</f>
        <v>39166</v>
      </c>
    </row>
    <row r="93" customFormat="false" ht="15" hidden="false" customHeight="false" outlineLevel="0" collapsed="false">
      <c r="B93" s="0" t="s">
        <v>2</v>
      </c>
      <c r="C93" s="41" t="n">
        <f aca="false">C95+C97+C96</f>
        <v>36342.18</v>
      </c>
    </row>
    <row r="94" customFormat="false" ht="15" hidden="false" customHeight="false" outlineLevel="0" collapsed="false">
      <c r="C94" s="35"/>
    </row>
    <row r="95" customFormat="false" ht="15" hidden="false" customHeight="false" outlineLevel="0" collapsed="false">
      <c r="B95" s="0" t="s">
        <v>68</v>
      </c>
      <c r="C95" s="41" t="n">
        <f aca="false">K10-C96</f>
        <v>34061.22</v>
      </c>
    </row>
    <row r="96" customFormat="false" ht="15" hidden="false" customHeight="false" outlineLevel="0" collapsed="false">
      <c r="B96" s="0" t="s">
        <v>4</v>
      </c>
      <c r="C96" s="41" t="n">
        <f aca="false">'Кукуруза Братковский'!C32</f>
        <v>1038.43</v>
      </c>
    </row>
    <row r="97" customFormat="false" ht="15" hidden="false" customHeight="false" outlineLevel="0" collapsed="false">
      <c r="B97" s="0" t="s">
        <v>5</v>
      </c>
      <c r="C97" s="41" t="n">
        <f aca="false">C98+C99</f>
        <v>1242.53</v>
      </c>
    </row>
    <row r="98" customFormat="false" ht="15" hidden="false" customHeight="false" outlineLevel="0" collapsed="false">
      <c r="B98" s="42" t="s">
        <v>6</v>
      </c>
      <c r="C98" s="17" t="n">
        <f aca="false">967720/1000</f>
        <v>967.72</v>
      </c>
    </row>
    <row r="99" customFormat="false" ht="15" hidden="false" customHeight="false" outlineLevel="0" collapsed="false">
      <c r="B99" s="42" t="s">
        <v>7</v>
      </c>
      <c r="C99" s="17" t="n">
        <f aca="false">274810/1000</f>
        <v>274.81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false" showOutlineSymbols="true" defaultGridColor="true" view="normal" topLeftCell="A4" colorId="64" zoomScale="80" zoomScaleNormal="80" zoomScalePageLayoutView="100" workbookViewId="0">
      <selection pane="topLeft" activeCell="G27" activeCellId="0" sqref="G27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0.42"/>
    <col collapsed="false" customWidth="true" hidden="false" outlineLevel="0" max="3" min="3" style="0" width="29"/>
    <col collapsed="false" customWidth="true" hidden="false" outlineLevel="0" max="5" min="4" style="0" width="20.85"/>
    <col collapsed="false" customWidth="true" hidden="false" outlineLevel="0" max="6" min="6" style="47" width="20.85"/>
    <col collapsed="false" customWidth="true" hidden="false" outlineLevel="0" max="7" min="7" style="0" width="27.15"/>
    <col collapsed="false" customWidth="true" hidden="false" outlineLevel="0" max="8" min="8" style="0" width="35.57"/>
  </cols>
  <sheetData>
    <row r="1" customFormat="false" ht="15" hidden="false" customHeight="false" outlineLevel="0" collapsed="false">
      <c r="A1" s="48" t="s">
        <v>74</v>
      </c>
      <c r="B1" s="49" t="s">
        <v>75</v>
      </c>
      <c r="C1" s="49" t="s">
        <v>76</v>
      </c>
      <c r="D1" s="49" t="s">
        <v>77</v>
      </c>
      <c r="E1" s="49" t="s">
        <v>78</v>
      </c>
      <c r="F1" s="50" t="s">
        <v>79</v>
      </c>
      <c r="I1" s="0" t="s">
        <v>80</v>
      </c>
    </row>
    <row r="2" customFormat="false" ht="15" hidden="false" customHeight="false" outlineLevel="0" collapsed="false">
      <c r="A2" s="51" t="s">
        <v>81</v>
      </c>
      <c r="B2" s="51" t="s">
        <v>82</v>
      </c>
      <c r="C2" s="51" t="s">
        <v>83</v>
      </c>
      <c r="D2" s="52" t="n">
        <v>14.6</v>
      </c>
      <c r="E2" s="51" t="n">
        <v>19</v>
      </c>
      <c r="F2" s="53" t="n">
        <f aca="false">D2+D3+D4</f>
        <v>190</v>
      </c>
      <c r="H2" s="0" t="s">
        <v>84</v>
      </c>
      <c r="I2" s="26" t="n">
        <f aca="false">D5+D6-53</f>
        <v>-3.8</v>
      </c>
    </row>
    <row r="3" customFormat="false" ht="15" hidden="false" customHeight="false" outlineLevel="0" collapsed="false">
      <c r="A3" s="51"/>
      <c r="B3" s="51"/>
      <c r="C3" s="51" t="s">
        <v>85</v>
      </c>
      <c r="D3" s="52" t="n">
        <v>98.4</v>
      </c>
      <c r="E3" s="51" t="n">
        <v>64</v>
      </c>
      <c r="F3" s="53"/>
      <c r="H3" s="0" t="s">
        <v>86</v>
      </c>
      <c r="I3" s="26" t="n">
        <f aca="false">D3+D7-111</f>
        <v>-1.8</v>
      </c>
    </row>
    <row r="4" customFormat="false" ht="15" hidden="false" customHeight="false" outlineLevel="0" collapsed="false">
      <c r="A4" s="51"/>
      <c r="B4" s="51"/>
      <c r="C4" s="51" t="s">
        <v>87</v>
      </c>
      <c r="D4" s="52" t="n">
        <v>77</v>
      </c>
      <c r="E4" s="51" t="n">
        <v>50</v>
      </c>
      <c r="F4" s="53"/>
      <c r="G4" s="0" t="s">
        <v>88</v>
      </c>
      <c r="H4" s="0" t="s">
        <v>89</v>
      </c>
      <c r="I4" s="26" t="n">
        <f aca="false">D4-42</f>
        <v>35</v>
      </c>
    </row>
    <row r="5" customFormat="false" ht="15" hidden="false" customHeight="false" outlineLevel="0" collapsed="false">
      <c r="A5" s="51"/>
      <c r="B5" s="51" t="s">
        <v>90</v>
      </c>
      <c r="C5" s="51" t="s">
        <v>91</v>
      </c>
      <c r="D5" s="52" t="n">
        <v>30</v>
      </c>
      <c r="E5" s="51" t="n">
        <v>19.5</v>
      </c>
      <c r="F5" s="53" t="n">
        <f aca="false">D5</f>
        <v>30</v>
      </c>
      <c r="H5" s="0" t="s">
        <v>92</v>
      </c>
      <c r="I5" s="26" t="n">
        <f aca="false">D2-11</f>
        <v>3.6</v>
      </c>
    </row>
    <row r="6" customFormat="false" ht="15" hidden="false" customHeight="false" outlineLevel="0" collapsed="false">
      <c r="A6" s="51"/>
      <c r="B6" s="51" t="s">
        <v>93</v>
      </c>
      <c r="C6" s="51" t="s">
        <v>91</v>
      </c>
      <c r="D6" s="52" t="n">
        <v>19.2</v>
      </c>
      <c r="E6" s="51" t="n">
        <v>12.5</v>
      </c>
      <c r="F6" s="53" t="n">
        <f aca="false">D6+D7</f>
        <v>30</v>
      </c>
      <c r="I6" s="47" t="n">
        <f aca="false">SUM(I2:I3,I5)</f>
        <v>-1.99999999999999</v>
      </c>
    </row>
    <row r="7" customFormat="false" ht="15" hidden="false" customHeight="false" outlineLevel="0" collapsed="false">
      <c r="A7" s="51"/>
      <c r="B7" s="51"/>
      <c r="C7" s="51" t="s">
        <v>85</v>
      </c>
      <c r="D7" s="52" t="n">
        <v>10.8</v>
      </c>
      <c r="E7" s="51" t="n">
        <v>7</v>
      </c>
      <c r="F7" s="53"/>
    </row>
    <row r="8" s="2" customFormat="true" ht="15" hidden="false" customHeight="false" outlineLevel="0" collapsed="false">
      <c r="A8" s="54" t="s">
        <v>94</v>
      </c>
      <c r="B8" s="54"/>
      <c r="C8" s="54"/>
      <c r="D8" s="55" t="n">
        <v>250</v>
      </c>
      <c r="E8" s="54" t="n">
        <v>172</v>
      </c>
      <c r="F8" s="55" t="n">
        <f aca="false">SUM(F2:F7)</f>
        <v>250</v>
      </c>
    </row>
    <row r="9" customFormat="false" ht="15" hidden="false" customHeight="false" outlineLevel="0" collapsed="false">
      <c r="A9" s="51" t="s">
        <v>95</v>
      </c>
      <c r="B9" s="51" t="s">
        <v>96</v>
      </c>
      <c r="C9" s="51" t="s">
        <v>97</v>
      </c>
      <c r="D9" s="52" t="n">
        <v>60</v>
      </c>
      <c r="E9" s="51" t="n">
        <v>39</v>
      </c>
      <c r="F9" s="53" t="n">
        <f aca="false">D9</f>
        <v>60</v>
      </c>
    </row>
    <row r="10" customFormat="false" ht="15" hidden="false" customHeight="false" outlineLevel="0" collapsed="false">
      <c r="A10" s="51"/>
      <c r="B10" s="51" t="s">
        <v>98</v>
      </c>
      <c r="C10" s="51" t="s">
        <v>99</v>
      </c>
      <c r="D10" s="52" t="n">
        <v>29.5</v>
      </c>
      <c r="E10" s="51" t="n">
        <v>19.15</v>
      </c>
      <c r="F10" s="53" t="n">
        <f aca="false">D10+D11+D12</f>
        <v>58</v>
      </c>
      <c r="G10" s="0" t="s">
        <v>100</v>
      </c>
      <c r="I10" s="0" t="n">
        <v>11</v>
      </c>
    </row>
    <row r="11" customFormat="false" ht="15" hidden="false" customHeight="false" outlineLevel="0" collapsed="false">
      <c r="A11" s="51"/>
      <c r="B11" s="51"/>
      <c r="C11" s="51" t="s">
        <v>101</v>
      </c>
      <c r="D11" s="52" t="n">
        <v>16.5</v>
      </c>
      <c r="E11" s="51" t="n">
        <v>10.7</v>
      </c>
      <c r="F11" s="53"/>
    </row>
    <row r="12" customFormat="false" ht="15" hidden="false" customHeight="false" outlineLevel="0" collapsed="false">
      <c r="A12" s="51"/>
      <c r="B12" s="51"/>
      <c r="C12" s="51" t="s">
        <v>97</v>
      </c>
      <c r="D12" s="52" t="n">
        <v>12</v>
      </c>
      <c r="E12" s="51" t="n">
        <v>7.7</v>
      </c>
      <c r="F12" s="53"/>
      <c r="G12" s="0" t="s">
        <v>102</v>
      </c>
      <c r="I12" s="0" t="n">
        <v>12</v>
      </c>
    </row>
    <row r="13" customFormat="false" ht="15" hidden="false" customHeight="false" outlineLevel="0" collapsed="false">
      <c r="A13" s="51"/>
      <c r="B13" s="51" t="s">
        <v>103</v>
      </c>
      <c r="C13" s="51" t="s">
        <v>104</v>
      </c>
      <c r="D13" s="52" t="n">
        <v>32.9</v>
      </c>
      <c r="E13" s="51" t="n">
        <v>42.8</v>
      </c>
      <c r="F13" s="53" t="n">
        <f aca="false">D13+D14+D15</f>
        <v>101</v>
      </c>
    </row>
    <row r="14" customFormat="false" ht="15" hidden="false" customHeight="false" outlineLevel="0" collapsed="false">
      <c r="A14" s="51"/>
      <c r="B14" s="51"/>
      <c r="C14" s="51" t="s">
        <v>101</v>
      </c>
      <c r="D14" s="52" t="n">
        <v>45.1</v>
      </c>
      <c r="E14" s="51" t="n">
        <v>29.3</v>
      </c>
      <c r="F14" s="53"/>
    </row>
    <row r="15" customFormat="false" ht="15" hidden="false" customHeight="false" outlineLevel="0" collapsed="false">
      <c r="A15" s="51"/>
      <c r="B15" s="51"/>
      <c r="C15" s="51" t="s">
        <v>105</v>
      </c>
      <c r="D15" s="52" t="n">
        <v>23</v>
      </c>
      <c r="E15" s="51" t="n">
        <v>15</v>
      </c>
      <c r="F15" s="53"/>
    </row>
    <row r="16" customFormat="false" ht="15" hidden="false" customHeight="false" outlineLevel="0" collapsed="false">
      <c r="A16" s="51"/>
      <c r="B16" s="51" t="s">
        <v>106</v>
      </c>
      <c r="C16" s="51" t="s">
        <v>104</v>
      </c>
      <c r="D16" s="52" t="n">
        <v>44</v>
      </c>
      <c r="E16" s="51" t="n">
        <v>57.2</v>
      </c>
      <c r="F16" s="53" t="n">
        <f aca="false">D16</f>
        <v>44</v>
      </c>
    </row>
    <row r="17" customFormat="false" ht="15" hidden="false" customHeight="false" outlineLevel="0" collapsed="false">
      <c r="A17" s="51"/>
      <c r="B17" s="51" t="s">
        <v>107</v>
      </c>
      <c r="C17" s="51" t="s">
        <v>99</v>
      </c>
      <c r="D17" s="52" t="n">
        <v>0.8</v>
      </c>
      <c r="E17" s="51" t="n">
        <v>1.1</v>
      </c>
      <c r="F17" s="53" t="n">
        <f aca="false">D17+D18</f>
        <v>87</v>
      </c>
    </row>
    <row r="18" customFormat="false" ht="15" hidden="false" customHeight="false" outlineLevel="0" collapsed="false">
      <c r="A18" s="51"/>
      <c r="B18" s="51"/>
      <c r="C18" s="51" t="s">
        <v>108</v>
      </c>
      <c r="D18" s="52" t="n">
        <v>86.2</v>
      </c>
      <c r="E18" s="51" t="n">
        <v>56</v>
      </c>
      <c r="F18" s="53"/>
    </row>
    <row r="19" customFormat="false" ht="15" hidden="false" customHeight="false" outlineLevel="0" collapsed="false">
      <c r="A19" s="51"/>
      <c r="B19" s="51" t="s">
        <v>109</v>
      </c>
      <c r="C19" s="51" t="s">
        <v>99</v>
      </c>
      <c r="D19" s="52" t="n">
        <v>72</v>
      </c>
      <c r="E19" s="51" t="n">
        <v>93.6</v>
      </c>
      <c r="F19" s="53" t="n">
        <f aca="false">D19</f>
        <v>72</v>
      </c>
    </row>
    <row r="20" customFormat="false" ht="15" hidden="false" customHeight="false" outlineLevel="0" collapsed="false">
      <c r="A20" s="51"/>
      <c r="B20" s="51" t="s">
        <v>110</v>
      </c>
      <c r="C20" s="51" t="s">
        <v>99</v>
      </c>
      <c r="D20" s="52" t="n">
        <v>41</v>
      </c>
      <c r="E20" s="51" t="n">
        <v>46.45</v>
      </c>
      <c r="F20" s="53" t="n">
        <f aca="false">D20</f>
        <v>41</v>
      </c>
    </row>
    <row r="21" customFormat="false" ht="15" hidden="false" customHeight="false" outlineLevel="0" collapsed="false">
      <c r="A21" s="51"/>
      <c r="B21" s="51" t="s">
        <v>111</v>
      </c>
      <c r="C21" s="51" t="s">
        <v>99</v>
      </c>
      <c r="D21" s="52" t="n">
        <v>19</v>
      </c>
      <c r="E21" s="51" t="n">
        <v>24.7</v>
      </c>
      <c r="F21" s="53" t="n">
        <f aca="false">D21</f>
        <v>19</v>
      </c>
    </row>
    <row r="22" s="2" customFormat="true" ht="15" hidden="false" customHeight="false" outlineLevel="0" collapsed="false">
      <c r="A22" s="54" t="s">
        <v>112</v>
      </c>
      <c r="B22" s="54"/>
      <c r="C22" s="54"/>
      <c r="D22" s="55" t="n">
        <v>482</v>
      </c>
      <c r="E22" s="54" t="n">
        <v>442.7</v>
      </c>
      <c r="F22" s="55" t="n">
        <f aca="false">SUM(F9:F21)</f>
        <v>482</v>
      </c>
    </row>
    <row r="23" customFormat="false" ht="15" hidden="false" customHeight="false" outlineLevel="0" collapsed="false">
      <c r="A23" s="51" t="s">
        <v>113</v>
      </c>
      <c r="B23" s="51" t="s">
        <v>114</v>
      </c>
      <c r="C23" s="51" t="s">
        <v>115</v>
      </c>
      <c r="D23" s="52" t="n">
        <v>42</v>
      </c>
      <c r="E23" s="51" t="n">
        <v>27</v>
      </c>
      <c r="F23" s="53" t="n">
        <f aca="false">D23</f>
        <v>42</v>
      </c>
    </row>
    <row r="24" customFormat="false" ht="15" hidden="false" customHeight="false" outlineLevel="0" collapsed="false">
      <c r="A24" s="51"/>
      <c r="B24" s="51" t="s">
        <v>116</v>
      </c>
      <c r="C24" s="51" t="s">
        <v>115</v>
      </c>
      <c r="D24" s="52" t="n">
        <v>33</v>
      </c>
      <c r="E24" s="51" t="n">
        <v>22</v>
      </c>
      <c r="F24" s="53" t="n">
        <f aca="false">D24</f>
        <v>33</v>
      </c>
    </row>
    <row r="25" customFormat="false" ht="15" hidden="false" customHeight="false" outlineLevel="0" collapsed="false">
      <c r="A25" s="51"/>
      <c r="B25" s="51" t="s">
        <v>117</v>
      </c>
      <c r="C25" s="51" t="s">
        <v>115</v>
      </c>
      <c r="D25" s="52" t="n">
        <v>36</v>
      </c>
      <c r="E25" s="51" t="n">
        <v>23</v>
      </c>
      <c r="F25" s="53" t="n">
        <f aca="false">D25</f>
        <v>36</v>
      </c>
    </row>
    <row r="26" customFormat="false" ht="15" hidden="false" customHeight="false" outlineLevel="0" collapsed="false">
      <c r="A26" s="51"/>
      <c r="B26" s="51" t="s">
        <v>118</v>
      </c>
      <c r="C26" s="51" t="s">
        <v>115</v>
      </c>
      <c r="D26" s="52" t="n">
        <v>37</v>
      </c>
      <c r="E26" s="51" t="n">
        <v>24</v>
      </c>
      <c r="F26" s="53" t="n">
        <f aca="false">D26</f>
        <v>37</v>
      </c>
    </row>
    <row r="27" customFormat="false" ht="15" hidden="false" customHeight="false" outlineLevel="0" collapsed="false">
      <c r="A27" s="51"/>
      <c r="B27" s="51" t="s">
        <v>119</v>
      </c>
      <c r="C27" s="51" t="s">
        <v>115</v>
      </c>
      <c r="D27" s="52" t="n">
        <v>36</v>
      </c>
      <c r="E27" s="51" t="n">
        <v>24</v>
      </c>
      <c r="F27" s="53" t="n">
        <f aca="false">D27</f>
        <v>36</v>
      </c>
    </row>
    <row r="28" customFormat="false" ht="15" hidden="false" customHeight="false" outlineLevel="0" collapsed="false">
      <c r="A28" s="51"/>
      <c r="B28" s="51" t="s">
        <v>120</v>
      </c>
      <c r="C28" s="51" t="s">
        <v>115</v>
      </c>
      <c r="D28" s="52" t="n">
        <v>32</v>
      </c>
      <c r="E28" s="51" t="n">
        <v>21</v>
      </c>
      <c r="F28" s="53" t="n">
        <f aca="false">D28</f>
        <v>32</v>
      </c>
    </row>
    <row r="29" customFormat="false" ht="15" hidden="false" customHeight="false" outlineLevel="0" collapsed="false">
      <c r="A29" s="51"/>
      <c r="B29" s="51" t="s">
        <v>121</v>
      </c>
      <c r="C29" s="51" t="s">
        <v>115</v>
      </c>
      <c r="D29" s="52" t="n">
        <v>32</v>
      </c>
      <c r="E29" s="51" t="n">
        <v>20</v>
      </c>
      <c r="F29" s="53" t="n">
        <f aca="false">D29</f>
        <v>32</v>
      </c>
    </row>
    <row r="30" customFormat="false" ht="15" hidden="false" customHeight="false" outlineLevel="0" collapsed="false">
      <c r="A30" s="51"/>
      <c r="B30" s="51" t="s">
        <v>122</v>
      </c>
      <c r="C30" s="51" t="s">
        <v>115</v>
      </c>
      <c r="D30" s="52" t="n">
        <v>37</v>
      </c>
      <c r="E30" s="51" t="n">
        <v>24</v>
      </c>
      <c r="F30" s="53" t="n">
        <f aca="false">D30</f>
        <v>37</v>
      </c>
    </row>
    <row r="31" customFormat="false" ht="15" hidden="false" customHeight="false" outlineLevel="0" collapsed="false">
      <c r="A31" s="51"/>
      <c r="B31" s="51" t="s">
        <v>123</v>
      </c>
      <c r="C31" s="51" t="s">
        <v>115</v>
      </c>
      <c r="D31" s="52" t="n">
        <v>20</v>
      </c>
      <c r="E31" s="51" t="n">
        <v>13</v>
      </c>
      <c r="F31" s="53" t="n">
        <f aca="false">D31</f>
        <v>20</v>
      </c>
    </row>
    <row r="32" s="2" customFormat="true" ht="15" hidden="false" customHeight="false" outlineLevel="0" collapsed="false">
      <c r="A32" s="54" t="s">
        <v>124</v>
      </c>
      <c r="B32" s="54"/>
      <c r="C32" s="54"/>
      <c r="D32" s="55" t="n">
        <v>305</v>
      </c>
      <c r="E32" s="54" t="n">
        <v>198</v>
      </c>
      <c r="F32" s="55" t="n">
        <f aca="false">SUM(F23:F31)</f>
        <v>305</v>
      </c>
    </row>
    <row r="33" customFormat="false" ht="15" hidden="false" customHeight="false" outlineLevel="0" collapsed="false">
      <c r="A33" s="51" t="s">
        <v>125</v>
      </c>
      <c r="B33" s="56" t="s">
        <v>126</v>
      </c>
      <c r="C33" s="56" t="s">
        <v>83</v>
      </c>
      <c r="D33" s="57" t="n">
        <v>130</v>
      </c>
      <c r="E33" s="56" t="n">
        <v>168</v>
      </c>
      <c r="F33" s="58" t="n">
        <f aca="false">D33</f>
        <v>130</v>
      </c>
    </row>
    <row r="34" customFormat="false" ht="15" hidden="false" customHeight="false" outlineLevel="0" collapsed="false">
      <c r="A34" s="51"/>
      <c r="B34" s="56"/>
      <c r="C34" s="56" t="s">
        <v>115</v>
      </c>
      <c r="D34" s="57" t="n">
        <v>80</v>
      </c>
      <c r="E34" s="56" t="n">
        <v>52</v>
      </c>
      <c r="F34" s="58" t="n">
        <f aca="false">D34</f>
        <v>80</v>
      </c>
    </row>
    <row r="35" customFormat="false" ht="15" hidden="false" customHeight="false" outlineLevel="0" collapsed="false">
      <c r="A35" s="51"/>
      <c r="B35" s="56"/>
      <c r="C35" s="56" t="s">
        <v>127</v>
      </c>
      <c r="D35" s="57" t="n">
        <v>92</v>
      </c>
      <c r="E35" s="56" t="n">
        <v>60</v>
      </c>
      <c r="F35" s="58" t="n">
        <f aca="false">D35</f>
        <v>92</v>
      </c>
    </row>
    <row r="36" s="2" customFormat="true" ht="15" hidden="false" customHeight="false" outlineLevel="0" collapsed="false">
      <c r="A36" s="54" t="s">
        <v>128</v>
      </c>
      <c r="B36" s="54"/>
      <c r="C36" s="54"/>
      <c r="D36" s="55" t="n">
        <v>302</v>
      </c>
      <c r="E36" s="54" t="n">
        <v>280</v>
      </c>
      <c r="F36" s="55" t="n">
        <f aca="false">SUM(F33:F35)</f>
        <v>302</v>
      </c>
    </row>
    <row r="37" customFormat="false" ht="15" hidden="false" customHeight="false" outlineLevel="0" collapsed="false">
      <c r="A37" s="51" t="s">
        <v>129</v>
      </c>
      <c r="B37" s="56" t="s">
        <v>130</v>
      </c>
      <c r="C37" s="56" t="s">
        <v>115</v>
      </c>
      <c r="D37" s="57" t="n">
        <v>37</v>
      </c>
      <c r="E37" s="56" t="n">
        <v>24</v>
      </c>
      <c r="F37" s="58" t="n">
        <f aca="false">D37+D38</f>
        <v>72</v>
      </c>
    </row>
    <row r="38" customFormat="false" ht="15" hidden="false" customHeight="false" outlineLevel="0" collapsed="false">
      <c r="A38" s="51"/>
      <c r="B38" s="56"/>
      <c r="C38" s="56" t="s">
        <v>131</v>
      </c>
      <c r="D38" s="57" t="n">
        <v>35</v>
      </c>
      <c r="E38" s="56" t="n">
        <v>23</v>
      </c>
      <c r="F38" s="58"/>
    </row>
    <row r="39" customFormat="false" ht="15" hidden="false" customHeight="false" outlineLevel="0" collapsed="false">
      <c r="A39" s="51"/>
      <c r="B39" s="56" t="s">
        <v>132</v>
      </c>
      <c r="C39" s="56" t="s">
        <v>127</v>
      </c>
      <c r="D39" s="57" t="n">
        <v>16.5</v>
      </c>
      <c r="E39" s="56" t="n">
        <v>11</v>
      </c>
      <c r="F39" s="58" t="n">
        <f aca="false">D39+D40</f>
        <v>52</v>
      </c>
    </row>
    <row r="40" customFormat="false" ht="15" hidden="false" customHeight="false" outlineLevel="0" collapsed="false">
      <c r="A40" s="51"/>
      <c r="B40" s="56"/>
      <c r="C40" s="56" t="s">
        <v>131</v>
      </c>
      <c r="D40" s="57" t="n">
        <v>35.5</v>
      </c>
      <c r="E40" s="56" t="n">
        <v>23</v>
      </c>
      <c r="F40" s="58"/>
    </row>
    <row r="41" customFormat="false" ht="15" hidden="false" customHeight="false" outlineLevel="0" collapsed="false">
      <c r="A41" s="51"/>
      <c r="B41" s="56" t="s">
        <v>133</v>
      </c>
      <c r="C41" s="56" t="s">
        <v>127</v>
      </c>
      <c r="D41" s="57" t="n">
        <v>45</v>
      </c>
      <c r="E41" s="56" t="n">
        <v>29</v>
      </c>
      <c r="F41" s="58" t="n">
        <f aca="false">D41</f>
        <v>45</v>
      </c>
    </row>
    <row r="42" s="2" customFormat="true" ht="15" hidden="false" customHeight="false" outlineLevel="0" collapsed="false">
      <c r="A42" s="54" t="s">
        <v>134</v>
      </c>
      <c r="B42" s="54"/>
      <c r="C42" s="54"/>
      <c r="D42" s="55" t="n">
        <v>169</v>
      </c>
      <c r="E42" s="54" t="n">
        <v>110</v>
      </c>
      <c r="F42" s="55" t="n">
        <f aca="false">SUM(F37:F41)</f>
        <v>169</v>
      </c>
    </row>
    <row r="43" customFormat="false" ht="15" hidden="false" customHeight="false" outlineLevel="0" collapsed="false">
      <c r="A43" s="51" t="s">
        <v>135</v>
      </c>
      <c r="B43" s="56" t="s">
        <v>136</v>
      </c>
      <c r="C43" s="56" t="s">
        <v>137</v>
      </c>
      <c r="D43" s="57" t="n">
        <v>32.9</v>
      </c>
      <c r="E43" s="56" t="n">
        <v>21</v>
      </c>
      <c r="F43" s="58" t="n">
        <f aca="false">D43</f>
        <v>32.9</v>
      </c>
    </row>
    <row r="44" customFormat="false" ht="15" hidden="false" customHeight="false" outlineLevel="0" collapsed="false">
      <c r="A44" s="51"/>
      <c r="B44" s="56" t="s">
        <v>138</v>
      </c>
      <c r="C44" s="56" t="s">
        <v>137</v>
      </c>
      <c r="D44" s="57" t="n">
        <v>70.6</v>
      </c>
      <c r="E44" s="56" t="n">
        <v>43</v>
      </c>
      <c r="F44" s="58" t="n">
        <f aca="false">D44</f>
        <v>70.6</v>
      </c>
    </row>
    <row r="45" customFormat="false" ht="15" hidden="false" customHeight="false" outlineLevel="0" collapsed="false">
      <c r="A45" s="51"/>
      <c r="B45" s="56" t="s">
        <v>139</v>
      </c>
      <c r="C45" s="56" t="s">
        <v>115</v>
      </c>
      <c r="D45" s="57" t="n">
        <v>2</v>
      </c>
      <c r="E45" s="56" t="n">
        <v>2</v>
      </c>
      <c r="F45" s="58" t="n">
        <f aca="false">D45+D46</f>
        <v>71</v>
      </c>
    </row>
    <row r="46" customFormat="false" ht="15" hidden="false" customHeight="false" outlineLevel="0" collapsed="false">
      <c r="A46" s="51"/>
      <c r="B46" s="56"/>
      <c r="C46" s="56" t="s">
        <v>85</v>
      </c>
      <c r="D46" s="57" t="n">
        <v>69</v>
      </c>
      <c r="E46" s="56" t="n">
        <v>45</v>
      </c>
      <c r="F46" s="58"/>
    </row>
    <row r="47" customFormat="false" ht="15" hidden="false" customHeight="false" outlineLevel="0" collapsed="false">
      <c r="A47" s="51"/>
      <c r="B47" s="56" t="s">
        <v>140</v>
      </c>
      <c r="C47" s="56" t="s">
        <v>137</v>
      </c>
      <c r="D47" s="57" t="n">
        <v>69</v>
      </c>
      <c r="E47" s="56" t="n">
        <v>45</v>
      </c>
      <c r="F47" s="58" t="n">
        <f aca="false">D47</f>
        <v>69</v>
      </c>
    </row>
    <row r="48" customFormat="false" ht="15" hidden="false" customHeight="false" outlineLevel="0" collapsed="false">
      <c r="A48" s="51"/>
      <c r="B48" s="56" t="s">
        <v>141</v>
      </c>
      <c r="C48" s="56" t="s">
        <v>85</v>
      </c>
      <c r="D48" s="57" t="n">
        <v>42</v>
      </c>
      <c r="E48" s="56" t="n">
        <v>27</v>
      </c>
      <c r="F48" s="58" t="n">
        <f aca="false">D48+D49</f>
        <v>71</v>
      </c>
    </row>
    <row r="49" customFormat="false" ht="15" hidden="false" customHeight="false" outlineLevel="0" collapsed="false">
      <c r="A49" s="51"/>
      <c r="B49" s="56"/>
      <c r="C49" s="56" t="s">
        <v>137</v>
      </c>
      <c r="D49" s="57" t="n">
        <v>29</v>
      </c>
      <c r="E49" s="56" t="n">
        <v>19</v>
      </c>
      <c r="F49" s="58"/>
    </row>
    <row r="50" customFormat="false" ht="15" hidden="false" customHeight="false" outlineLevel="0" collapsed="false">
      <c r="A50" s="51"/>
      <c r="B50" s="56" t="s">
        <v>142</v>
      </c>
      <c r="C50" s="56" t="s">
        <v>115</v>
      </c>
      <c r="D50" s="57" t="n">
        <v>47</v>
      </c>
      <c r="E50" s="56" t="n">
        <v>31</v>
      </c>
      <c r="F50" s="58" t="n">
        <f aca="false">D50</f>
        <v>47</v>
      </c>
    </row>
    <row r="51" customFormat="false" ht="15" hidden="false" customHeight="false" outlineLevel="0" collapsed="false">
      <c r="A51" s="51"/>
      <c r="B51" s="56" t="s">
        <v>143</v>
      </c>
      <c r="C51" s="56" t="s">
        <v>115</v>
      </c>
      <c r="D51" s="57" t="n">
        <v>49</v>
      </c>
      <c r="E51" s="56" t="n">
        <v>33</v>
      </c>
      <c r="F51" s="58" t="n">
        <f aca="false">D51</f>
        <v>49</v>
      </c>
    </row>
    <row r="52" customFormat="false" ht="15" hidden="false" customHeight="false" outlineLevel="0" collapsed="false">
      <c r="A52" s="51"/>
      <c r="B52" s="56" t="s">
        <v>144</v>
      </c>
      <c r="C52" s="56" t="s">
        <v>145</v>
      </c>
      <c r="D52" s="57" t="n">
        <v>4.6</v>
      </c>
      <c r="E52" s="56" t="n">
        <v>5</v>
      </c>
      <c r="F52" s="58" t="n">
        <f aca="false">D52+D53</f>
        <v>50</v>
      </c>
    </row>
    <row r="53" customFormat="false" ht="15" hidden="false" customHeight="false" outlineLevel="0" collapsed="false">
      <c r="A53" s="51"/>
      <c r="B53" s="56"/>
      <c r="C53" s="56" t="s">
        <v>115</v>
      </c>
      <c r="D53" s="57" t="n">
        <v>45.4</v>
      </c>
      <c r="E53" s="56" t="n">
        <v>30</v>
      </c>
      <c r="F53" s="58"/>
    </row>
    <row r="54" s="2" customFormat="true" ht="15" hidden="false" customHeight="false" outlineLevel="0" collapsed="false">
      <c r="A54" s="54" t="s">
        <v>146</v>
      </c>
      <c r="B54" s="54"/>
      <c r="C54" s="54"/>
      <c r="D54" s="55" t="n">
        <v>460.5</v>
      </c>
      <c r="E54" s="54" t="n">
        <v>301</v>
      </c>
      <c r="F54" s="55" t="n">
        <f aca="false">SUM(F43:F53)</f>
        <v>460.5</v>
      </c>
    </row>
    <row r="55" customFormat="false" ht="15" hidden="false" customHeight="false" outlineLevel="0" collapsed="false">
      <c r="A55" s="51" t="s">
        <v>147</v>
      </c>
      <c r="B55" s="51" t="s">
        <v>98</v>
      </c>
      <c r="C55" s="51"/>
      <c r="D55" s="52"/>
      <c r="E55" s="51"/>
      <c r="F55" s="53"/>
    </row>
    <row r="56" customFormat="false" ht="15" hidden="false" customHeight="false" outlineLevel="0" collapsed="false">
      <c r="A56" s="51"/>
      <c r="B56" s="51"/>
      <c r="C56" s="51"/>
      <c r="D56" s="52"/>
      <c r="E56" s="51"/>
      <c r="F56" s="53"/>
    </row>
    <row r="57" s="2" customFormat="true" ht="15" hidden="false" customHeight="false" outlineLevel="0" collapsed="false">
      <c r="A57" s="54" t="s">
        <v>148</v>
      </c>
      <c r="B57" s="54"/>
      <c r="C57" s="54"/>
      <c r="D57" s="55"/>
      <c r="E57" s="54"/>
      <c r="F57" s="55"/>
    </row>
    <row r="58" s="2" customFormat="true" ht="15" hidden="false" customHeight="false" outlineLevel="0" collapsed="false">
      <c r="A58" s="59" t="s">
        <v>149</v>
      </c>
      <c r="B58" s="59"/>
      <c r="C58" s="59"/>
      <c r="D58" s="53" t="n">
        <v>1968.5</v>
      </c>
      <c r="E58" s="59" t="n">
        <v>1503.7</v>
      </c>
      <c r="F58" s="53" t="n">
        <f aca="false">F8+F22+F36+F32+F54+F42+F57</f>
        <v>1968.5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5" activeCellId="0" sqref="G25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.29"/>
    <col collapsed="false" customWidth="true" hidden="false" outlineLevel="0" max="2" min="2" style="0" width="23"/>
    <col collapsed="false" customWidth="true" hidden="false" outlineLevel="0" max="3" min="3" style="0" width="9"/>
    <col collapsed="false" customWidth="true" hidden="false" outlineLevel="0" max="4" min="4" style="0" width="22.57"/>
    <col collapsed="false" customWidth="true" hidden="false" outlineLevel="0" max="5" min="5" style="0" width="10.29"/>
    <col collapsed="false" customWidth="true" hidden="false" outlineLevel="0" max="6" min="6" style="0" width="12.71"/>
    <col collapsed="false" customWidth="true" hidden="false" outlineLevel="0" max="7" min="7" style="0" width="22.15"/>
    <col collapsed="false" customWidth="true" hidden="false" outlineLevel="0" max="8" min="8" style="0" width="9.29"/>
    <col collapsed="false" customWidth="true" hidden="false" outlineLevel="0" max="9" min="9" style="0" width="12.29"/>
    <col collapsed="false" customWidth="true" hidden="false" outlineLevel="0" max="10" min="10" style="0" width="9.71"/>
    <col collapsed="false" customWidth="true" hidden="false" outlineLevel="0" max="11" min="11" style="0" width="15.85"/>
    <col collapsed="false" customWidth="true" hidden="false" outlineLevel="0" max="12" min="12" style="26" width="15.85"/>
  </cols>
  <sheetData>
    <row r="2" s="12" customFormat="true" ht="14.25" hidden="false" customHeight="true" outlineLevel="0" collapsed="false">
      <c r="B2" s="60" t="s">
        <v>75</v>
      </c>
      <c r="C2" s="61" t="s">
        <v>79</v>
      </c>
      <c r="D2" s="62" t="s">
        <v>150</v>
      </c>
      <c r="E2" s="62"/>
      <c r="F2" s="62"/>
      <c r="G2" s="62" t="s">
        <v>151</v>
      </c>
      <c r="H2" s="62"/>
      <c r="I2" s="62"/>
      <c r="J2" s="62"/>
      <c r="K2" s="62"/>
      <c r="L2" s="62"/>
    </row>
    <row r="3" s="12" customFormat="true" ht="23.85" hidden="false" customHeight="false" outlineLevel="0" collapsed="false">
      <c r="B3" s="60"/>
      <c r="C3" s="61"/>
      <c r="D3" s="63" t="s">
        <v>76</v>
      </c>
      <c r="E3" s="48" t="s">
        <v>152</v>
      </c>
      <c r="F3" s="64" t="s">
        <v>153</v>
      </c>
      <c r="G3" s="63" t="s">
        <v>154</v>
      </c>
      <c r="H3" s="48" t="s">
        <v>75</v>
      </c>
      <c r="I3" s="48" t="s">
        <v>76</v>
      </c>
      <c r="J3" s="48" t="s">
        <v>155</v>
      </c>
      <c r="K3" s="64" t="s">
        <v>156</v>
      </c>
      <c r="L3" s="65" t="s">
        <v>47</v>
      </c>
    </row>
    <row r="4" s="66" customFormat="true" ht="22.5" hidden="false" customHeight="true" outlineLevel="0" collapsed="false">
      <c r="B4" s="67" t="s">
        <v>82</v>
      </c>
      <c r="C4" s="68" t="n">
        <f aca="false">E4+E5+E6</f>
        <v>190</v>
      </c>
      <c r="D4" s="69" t="s">
        <v>83</v>
      </c>
      <c r="E4" s="70" t="n">
        <v>14.6</v>
      </c>
      <c r="F4" s="71" t="n">
        <v>19</v>
      </c>
      <c r="G4" s="72" t="n">
        <v>45515</v>
      </c>
      <c r="H4" s="73" t="s">
        <v>157</v>
      </c>
      <c r="I4" s="74" t="s">
        <v>158</v>
      </c>
      <c r="J4" s="75" t="n">
        <v>11</v>
      </c>
      <c r="K4" s="76" t="n">
        <v>202900</v>
      </c>
      <c r="L4" s="77" t="n">
        <f aca="false">K4/J4/1000</f>
        <v>18.4454545454545</v>
      </c>
    </row>
    <row r="5" s="66" customFormat="true" ht="22.5" hidden="false" customHeight="true" outlineLevel="0" collapsed="false">
      <c r="B5" s="67"/>
      <c r="C5" s="68"/>
      <c r="D5" s="69" t="s">
        <v>85</v>
      </c>
      <c r="E5" s="70" t="n">
        <v>98.4</v>
      </c>
      <c r="F5" s="71" t="n">
        <v>64</v>
      </c>
      <c r="G5" s="67" t="s">
        <v>159</v>
      </c>
      <c r="H5" s="74" t="s">
        <v>160</v>
      </c>
      <c r="I5" s="74" t="s">
        <v>161</v>
      </c>
      <c r="J5" s="75" t="n">
        <v>111</v>
      </c>
      <c r="K5" s="76" t="n">
        <v>1478580</v>
      </c>
      <c r="L5" s="77" t="n">
        <f aca="false">K5/J5/1000</f>
        <v>13.3205405405405</v>
      </c>
    </row>
    <row r="6" s="66" customFormat="true" ht="16.5" hidden="false" customHeight="true" outlineLevel="0" collapsed="false">
      <c r="B6" s="67"/>
      <c r="C6" s="68"/>
      <c r="D6" s="69" t="s">
        <v>87</v>
      </c>
      <c r="E6" s="70" t="n">
        <v>77</v>
      </c>
      <c r="F6" s="71" t="n">
        <v>50</v>
      </c>
      <c r="G6" s="67"/>
      <c r="H6" s="74"/>
      <c r="I6" s="74"/>
      <c r="J6" s="75"/>
      <c r="K6" s="76"/>
      <c r="L6" s="77"/>
      <c r="M6" s="66" t="s">
        <v>162</v>
      </c>
    </row>
    <row r="7" s="66" customFormat="true" ht="22.5" hidden="false" customHeight="true" outlineLevel="0" collapsed="false">
      <c r="B7" s="67" t="s">
        <v>90</v>
      </c>
      <c r="C7" s="68" t="n">
        <f aca="false">E7</f>
        <v>30</v>
      </c>
      <c r="D7" s="69" t="s">
        <v>91</v>
      </c>
      <c r="E7" s="70" t="n">
        <v>30</v>
      </c>
      <c r="F7" s="71" t="n">
        <v>19.5</v>
      </c>
      <c r="G7" s="78" t="s">
        <v>163</v>
      </c>
      <c r="H7" s="73" t="s">
        <v>160</v>
      </c>
      <c r="I7" s="74" t="s">
        <v>164</v>
      </c>
      <c r="J7" s="75" t="n">
        <v>28</v>
      </c>
      <c r="K7" s="76" t="n">
        <v>338790</v>
      </c>
      <c r="L7" s="77" t="n">
        <f aca="false">K7/J7/1000</f>
        <v>12.0996428571429</v>
      </c>
    </row>
    <row r="8" s="66" customFormat="true" ht="30" hidden="false" customHeight="true" outlineLevel="0" collapsed="false">
      <c r="B8" s="79" t="s">
        <v>93</v>
      </c>
      <c r="C8" s="80" t="n">
        <f aca="false">E8+E9</f>
        <v>30</v>
      </c>
      <c r="D8" s="69" t="s">
        <v>91</v>
      </c>
      <c r="E8" s="70" t="n">
        <v>19.2</v>
      </c>
      <c r="F8" s="71" t="n">
        <v>12.5</v>
      </c>
      <c r="G8" s="78" t="s">
        <v>165</v>
      </c>
      <c r="H8" s="73" t="s">
        <v>160</v>
      </c>
      <c r="I8" s="74" t="s">
        <v>164</v>
      </c>
      <c r="J8" s="75" t="n">
        <f aca="false">22+3</f>
        <v>25</v>
      </c>
      <c r="K8" s="76" t="n">
        <f aca="false">316040+39320</f>
        <v>355360</v>
      </c>
      <c r="L8" s="77" t="n">
        <f aca="false">K8/J8/1000</f>
        <v>14.2144</v>
      </c>
    </row>
    <row r="9" s="66" customFormat="true" ht="22.5" hidden="false" customHeight="true" outlineLevel="0" collapsed="false">
      <c r="B9" s="79"/>
      <c r="C9" s="80"/>
      <c r="D9" s="81" t="s">
        <v>85</v>
      </c>
      <c r="E9" s="82" t="n">
        <v>10.8</v>
      </c>
      <c r="F9" s="83" t="n">
        <v>7</v>
      </c>
      <c r="G9" s="84"/>
      <c r="H9" s="85"/>
      <c r="I9" s="85"/>
      <c r="J9" s="86"/>
      <c r="K9" s="87"/>
      <c r="L9" s="88"/>
    </row>
    <row r="10" customFormat="false" ht="15" hidden="false" customHeight="false" outlineLevel="0" collapsed="false">
      <c r="C10" s="2" t="n">
        <f aca="false">SUM(C4:C9)</f>
        <v>250</v>
      </c>
      <c r="E10" s="2" t="n">
        <f aca="false">SUM(E4:E9)</f>
        <v>250</v>
      </c>
      <c r="J10" s="25" t="n">
        <f aca="false">SUM(J4:J9)</f>
        <v>175</v>
      </c>
      <c r="K10" s="25" t="n">
        <f aca="false">SUM(K4:K9)</f>
        <v>2375630</v>
      </c>
      <c r="L10" s="47" t="n">
        <f aca="false">K10/J10/1000</f>
        <v>13.5750285714286</v>
      </c>
    </row>
    <row r="14" customFormat="false" ht="15" hidden="false" customHeight="false" outlineLevel="0" collapsed="false">
      <c r="K14" s="16"/>
    </row>
  </sheetData>
  <mergeCells count="8">
    <mergeCell ref="B2:B3"/>
    <mergeCell ref="C2:C3"/>
    <mergeCell ref="D2:F2"/>
    <mergeCell ref="G2:L2"/>
    <mergeCell ref="B4:B6"/>
    <mergeCell ref="C4:C6"/>
    <mergeCell ref="B8:B9"/>
    <mergeCell ref="C8:C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AC39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G22" activeCellId="0" sqref="G22"/>
    </sheetView>
  </sheetViews>
  <sheetFormatPr defaultColWidth="9.1484375" defaultRowHeight="14.25" customHeight="true" zeroHeight="false" outlineLevelRow="0" outlineLevelCol="1"/>
  <cols>
    <col collapsed="false" customWidth="true" hidden="false" outlineLevel="0" max="1" min="1" style="89" width="3.29"/>
    <col collapsed="false" customWidth="true" hidden="false" outlineLevel="0" max="2" min="2" style="89" width="36.29"/>
    <col collapsed="false" customWidth="true" hidden="false" outlineLevel="0" max="6" min="3" style="89" width="11.57"/>
    <col collapsed="false" customWidth="true" hidden="false" outlineLevel="0" max="7" min="7" style="89" width="14"/>
    <col collapsed="false" customWidth="true" hidden="false" outlineLevel="0" max="8" min="8" style="89" width="18.57"/>
    <col collapsed="false" customWidth="true" hidden="false" outlineLevel="0" max="9" min="9" style="89" width="10.85"/>
    <col collapsed="false" customWidth="true" hidden="false" outlineLevel="0" max="10" min="10" style="89" width="15.29"/>
    <col collapsed="false" customWidth="true" hidden="false" outlineLevel="1" max="11" min="11" style="89" width="24.57"/>
    <col collapsed="false" customWidth="true" hidden="false" outlineLevel="1" max="12" min="12" style="89" width="12.15"/>
    <col collapsed="false" customWidth="true" hidden="false" outlineLevel="1" max="13" min="13" style="89" width="43.42"/>
    <col collapsed="false" customWidth="false" hidden="false" outlineLevel="1" max="14" min="14" style="90" width="9.14"/>
    <col collapsed="false" customWidth="true" hidden="false" outlineLevel="0" max="15" min="15" style="89" width="12.29"/>
    <col collapsed="false" customWidth="true" hidden="false" outlineLevel="0" max="16" min="16" style="89" width="16.71"/>
    <col collapsed="false" customWidth="true" hidden="false" outlineLevel="0" max="17" min="17" style="89" width="17.57"/>
    <col collapsed="false" customWidth="true" hidden="false" outlineLevel="0" max="18" min="18" style="89" width="18.86"/>
    <col collapsed="false" customWidth="true" hidden="false" outlineLevel="0" max="19" min="19" style="89" width="17.57"/>
    <col collapsed="false" customWidth="true" hidden="true" outlineLevel="1" max="20" min="20" style="89" width="15.71"/>
    <col collapsed="false" customWidth="false" hidden="true" outlineLevel="1" max="25" min="21" style="89" width="9.14"/>
    <col collapsed="false" customWidth="true" hidden="false" outlineLevel="0" max="26" min="26" style="89" width="11.71"/>
    <col collapsed="false" customWidth="true" hidden="false" outlineLevel="0" max="27" min="27" style="89" width="17.15"/>
    <col collapsed="false" customWidth="true" hidden="false" outlineLevel="0" max="29" min="28" style="89" width="12.71"/>
    <col collapsed="false" customWidth="false" hidden="false" outlineLevel="0" max="16384" min="30" style="89" width="9.14"/>
  </cols>
  <sheetData>
    <row r="2" customFormat="false" ht="60" hidden="false" customHeight="true" outlineLevel="0" collapsed="false">
      <c r="B2" s="91" t="s">
        <v>166</v>
      </c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2"/>
      <c r="T2" s="93"/>
      <c r="U2" s="93"/>
    </row>
    <row r="3" customFormat="false" ht="39.55" hidden="false" customHeight="false" outlineLevel="0" collapsed="false">
      <c r="H3" s="94"/>
      <c r="I3" s="94"/>
      <c r="J3" s="95" t="s">
        <v>167</v>
      </c>
      <c r="K3" s="95" t="s">
        <v>75</v>
      </c>
      <c r="L3" s="95" t="s">
        <v>168</v>
      </c>
      <c r="M3" s="95" t="s">
        <v>76</v>
      </c>
      <c r="N3" s="95" t="s">
        <v>169</v>
      </c>
      <c r="O3" s="95" t="s">
        <v>18</v>
      </c>
      <c r="P3" s="95" t="s">
        <v>170</v>
      </c>
      <c r="Q3" s="95" t="s">
        <v>171</v>
      </c>
      <c r="R3" s="96" t="s">
        <v>172</v>
      </c>
      <c r="S3" s="95" t="s">
        <v>173</v>
      </c>
    </row>
    <row r="4" customFormat="false" ht="20.25" hidden="false" customHeight="true" outlineLevel="0" collapsed="false">
      <c r="B4" s="97" t="s">
        <v>174</v>
      </c>
      <c r="C4" s="98" t="s">
        <v>175</v>
      </c>
      <c r="D4" s="98" t="s">
        <v>176</v>
      </c>
      <c r="E4" s="98" t="s">
        <v>62</v>
      </c>
      <c r="F4" s="98" t="s">
        <v>63</v>
      </c>
      <c r="G4" s="98" t="s">
        <v>64</v>
      </c>
      <c r="J4" s="99" t="n">
        <v>45502</v>
      </c>
      <c r="K4" s="99" t="s">
        <v>82</v>
      </c>
      <c r="L4" s="100" t="n">
        <v>190</v>
      </c>
      <c r="M4" s="100" t="s">
        <v>164</v>
      </c>
      <c r="N4" s="101" t="n">
        <v>3</v>
      </c>
      <c r="O4" s="100" t="n">
        <v>6</v>
      </c>
      <c r="P4" s="102" t="n">
        <v>76300</v>
      </c>
      <c r="Q4" s="103" t="n">
        <f aca="false">P4/100/O4</f>
        <v>127.166666666667</v>
      </c>
      <c r="R4" s="104"/>
      <c r="S4" s="103"/>
    </row>
    <row r="5" s="90" customFormat="true" ht="20.25" hidden="false" customHeight="true" outlineLevel="0" collapsed="false">
      <c r="B5" s="105" t="s">
        <v>12</v>
      </c>
      <c r="C5" s="106"/>
      <c r="D5" s="106"/>
      <c r="E5" s="106"/>
      <c r="F5" s="106"/>
      <c r="G5" s="106" t="n">
        <v>45502</v>
      </c>
      <c r="J5" s="99" t="n">
        <v>45503</v>
      </c>
      <c r="K5" s="99" t="s">
        <v>82</v>
      </c>
      <c r="L5" s="100" t="n">
        <v>190</v>
      </c>
      <c r="M5" s="100" t="s">
        <v>164</v>
      </c>
      <c r="N5" s="101" t="n">
        <v>12</v>
      </c>
      <c r="O5" s="100" t="n">
        <f aca="false">14+8</f>
        <v>22</v>
      </c>
      <c r="P5" s="102" t="n">
        <v>266340</v>
      </c>
      <c r="Q5" s="103" t="n">
        <f aca="false">P5/100/O5</f>
        <v>121.063636363636</v>
      </c>
      <c r="R5" s="107" t="n">
        <v>246070</v>
      </c>
      <c r="S5" s="103"/>
      <c r="T5" s="108" t="s">
        <v>177</v>
      </c>
      <c r="U5" s="108"/>
      <c r="V5" s="108"/>
      <c r="W5" s="108"/>
      <c r="X5" s="108"/>
    </row>
    <row r="6" customFormat="false" ht="20.25" hidden="false" customHeight="true" outlineLevel="0" collapsed="false">
      <c r="B6" s="105" t="s">
        <v>20</v>
      </c>
      <c r="C6" s="106"/>
      <c r="D6" s="106"/>
      <c r="E6" s="106"/>
      <c r="F6" s="106"/>
      <c r="G6" s="106" t="n">
        <v>45515</v>
      </c>
      <c r="H6" s="109"/>
      <c r="J6" s="99" t="n">
        <v>45504</v>
      </c>
      <c r="K6" s="99"/>
      <c r="L6" s="100"/>
      <c r="M6" s="100"/>
      <c r="N6" s="101"/>
      <c r="O6" s="100"/>
      <c r="P6" s="102"/>
      <c r="Q6" s="103"/>
      <c r="R6" s="107" t="n">
        <v>92720</v>
      </c>
      <c r="S6" s="103" t="n">
        <f aca="false">(R5+R6)/100/(O4+O5)</f>
        <v>120.996428571429</v>
      </c>
      <c r="T6" s="109"/>
      <c r="AC6" s="110"/>
    </row>
    <row r="7" customFormat="false" ht="20.25" hidden="false" customHeight="true" outlineLevel="0" collapsed="false">
      <c r="B7" s="105" t="s">
        <v>178</v>
      </c>
      <c r="C7" s="111"/>
      <c r="D7" s="111"/>
      <c r="E7" s="111"/>
      <c r="F7" s="111"/>
      <c r="G7" s="111" t="n">
        <f aca="false">IF(G6=0,"-",G6-G5+1)</f>
        <v>14</v>
      </c>
      <c r="J7" s="99" t="n">
        <v>45505</v>
      </c>
      <c r="K7" s="99" t="s">
        <v>82</v>
      </c>
      <c r="L7" s="100" t="n">
        <v>190</v>
      </c>
      <c r="M7" s="100" t="s">
        <v>164</v>
      </c>
      <c r="N7" s="101" t="n">
        <v>13</v>
      </c>
      <c r="O7" s="100" t="n">
        <v>22</v>
      </c>
      <c r="P7" s="102" t="n">
        <v>319060</v>
      </c>
      <c r="Q7" s="103" t="n">
        <f aca="false">P7/100/O7</f>
        <v>145.027272727273</v>
      </c>
      <c r="R7" s="107" t="n">
        <v>158890</v>
      </c>
      <c r="S7" s="103"/>
    </row>
    <row r="8" customFormat="false" ht="20.25" hidden="false" customHeight="true" outlineLevel="0" collapsed="false">
      <c r="B8" s="105" t="s">
        <v>179</v>
      </c>
      <c r="C8" s="111"/>
      <c r="D8" s="111"/>
      <c r="E8" s="111"/>
      <c r="F8" s="111"/>
      <c r="G8" s="111" t="n">
        <f aca="false">G7-3</f>
        <v>11</v>
      </c>
      <c r="H8" s="109" t="s">
        <v>180</v>
      </c>
      <c r="J8" s="99" t="n">
        <v>45506</v>
      </c>
      <c r="K8" s="99"/>
      <c r="L8" s="100"/>
      <c r="M8" s="100"/>
      <c r="N8" s="101"/>
      <c r="O8" s="100"/>
      <c r="P8" s="102"/>
      <c r="Q8" s="103"/>
      <c r="R8" s="107" t="n">
        <v>157150</v>
      </c>
      <c r="S8" s="103" t="n">
        <f aca="false">(R7+R8)/100/O7</f>
        <v>143.654545454545</v>
      </c>
    </row>
    <row r="9" customFormat="false" ht="20.25" hidden="false" customHeight="true" outlineLevel="0" collapsed="false">
      <c r="B9" s="105" t="s">
        <v>181</v>
      </c>
      <c r="C9" s="112"/>
      <c r="D9" s="112"/>
      <c r="E9" s="112"/>
      <c r="F9" s="112"/>
      <c r="G9" s="112" t="s">
        <v>182</v>
      </c>
      <c r="J9" s="99" t="n">
        <v>45507</v>
      </c>
      <c r="K9" s="99" t="s">
        <v>183</v>
      </c>
      <c r="L9" s="100" t="n">
        <v>77</v>
      </c>
      <c r="M9" s="113" t="s">
        <v>184</v>
      </c>
      <c r="N9" s="101" t="n">
        <v>8</v>
      </c>
      <c r="O9" s="114" t="n">
        <v>12</v>
      </c>
      <c r="P9" s="102" t="n">
        <f aca="false">(25840+38460+34900+25440)+(26760+22660+22920+22300)</f>
        <v>219280</v>
      </c>
      <c r="Q9" s="103" t="n">
        <f aca="false">P9/100/O9</f>
        <v>182.733333333333</v>
      </c>
      <c r="R9" s="107" t="n">
        <f aca="false">(25480+38030+34490+25060)+(26590+22260+22440+22140)</f>
        <v>216490</v>
      </c>
      <c r="S9" s="103" t="n">
        <f aca="false">R9/100/O9</f>
        <v>180.408333333333</v>
      </c>
      <c r="T9" s="108" t="s">
        <v>185</v>
      </c>
      <c r="U9" s="108"/>
      <c r="V9" s="108"/>
      <c r="W9" s="108"/>
      <c r="X9" s="108"/>
      <c r="Y9" s="108"/>
      <c r="Z9" s="115" t="s">
        <v>186</v>
      </c>
      <c r="AA9" s="115"/>
      <c r="AB9" s="115"/>
      <c r="AC9" s="115"/>
    </row>
    <row r="10" customFormat="false" ht="20.25" hidden="false" customHeight="true" outlineLevel="0" collapsed="false">
      <c r="B10" s="105" t="s">
        <v>187</v>
      </c>
      <c r="C10" s="116"/>
      <c r="D10" s="116"/>
      <c r="E10" s="116"/>
      <c r="F10" s="116"/>
      <c r="G10" s="117" t="n">
        <f aca="false">R18/1000</f>
        <v>3052.95</v>
      </c>
      <c r="H10" s="109" t="s">
        <v>188</v>
      </c>
      <c r="J10" s="99" t="n">
        <v>45508</v>
      </c>
      <c r="K10" s="99" t="s">
        <v>183</v>
      </c>
      <c r="L10" s="100" t="n">
        <v>77</v>
      </c>
      <c r="M10" s="100" t="s">
        <v>189</v>
      </c>
      <c r="N10" s="101" t="n">
        <v>6</v>
      </c>
      <c r="O10" s="114" t="n">
        <v>11</v>
      </c>
      <c r="P10" s="102" t="n">
        <f aca="false">44060+23320+23640+25500+25280+25340</f>
        <v>167140</v>
      </c>
      <c r="Q10" s="103" t="n">
        <f aca="false">P10/100/O10</f>
        <v>151.945454545455</v>
      </c>
      <c r="R10" s="107" t="n">
        <f aca="false">43390+23150+23360+25180+24780+24810</f>
        <v>164670</v>
      </c>
      <c r="S10" s="103" t="n">
        <f aca="false">R10/100/O10</f>
        <v>149.7</v>
      </c>
      <c r="T10" s="108" t="s">
        <v>185</v>
      </c>
      <c r="U10" s="108"/>
      <c r="V10" s="108"/>
      <c r="W10" s="108"/>
      <c r="X10" s="108"/>
      <c r="Y10" s="108"/>
      <c r="Z10" s="118" t="s">
        <v>190</v>
      </c>
    </row>
    <row r="11" customFormat="false" ht="20.25" hidden="false" customHeight="true" outlineLevel="0" collapsed="false">
      <c r="B11" s="105" t="s">
        <v>191</v>
      </c>
      <c r="C11" s="119"/>
      <c r="D11" s="119"/>
      <c r="E11" s="119"/>
      <c r="F11" s="119"/>
      <c r="G11" s="119" t="n">
        <v>250</v>
      </c>
      <c r="J11" s="99" t="n">
        <v>45509</v>
      </c>
      <c r="K11" s="99" t="s">
        <v>82</v>
      </c>
      <c r="L11" s="100" t="n">
        <v>190</v>
      </c>
      <c r="M11" s="100" t="s">
        <v>161</v>
      </c>
      <c r="N11" s="101" t="n">
        <v>12</v>
      </c>
      <c r="O11" s="100" t="n">
        <v>25</v>
      </c>
      <c r="P11" s="102" t="n">
        <v>342860</v>
      </c>
      <c r="Q11" s="103" t="n">
        <f aca="false">P11/100/O11</f>
        <v>137.144</v>
      </c>
      <c r="R11" s="107" t="n">
        <v>339680</v>
      </c>
      <c r="S11" s="103" t="n">
        <f aca="false">R11/100/O11</f>
        <v>135.872</v>
      </c>
      <c r="T11" s="108"/>
      <c r="U11" s="108"/>
      <c r="V11" s="108"/>
      <c r="W11" s="108"/>
    </row>
    <row r="12" customFormat="false" ht="20.25" hidden="false" customHeight="true" outlineLevel="0" collapsed="false">
      <c r="B12" s="105" t="s">
        <v>18</v>
      </c>
      <c r="C12" s="119"/>
      <c r="D12" s="119"/>
      <c r="E12" s="119"/>
      <c r="F12" s="119"/>
      <c r="G12" s="119" t="n">
        <f aca="false">O18</f>
        <v>217</v>
      </c>
      <c r="H12" s="109" t="s">
        <v>192</v>
      </c>
      <c r="J12" s="99" t="n">
        <v>45510</v>
      </c>
      <c r="K12" s="99" t="s">
        <v>82</v>
      </c>
      <c r="L12" s="100" t="n">
        <v>190</v>
      </c>
      <c r="M12" s="113" t="s">
        <v>193</v>
      </c>
      <c r="N12" s="101" t="n">
        <v>3</v>
      </c>
      <c r="O12" s="100" t="n">
        <v>9</v>
      </c>
      <c r="P12" s="102" t="n">
        <v>118940</v>
      </c>
      <c r="Q12" s="103" t="n">
        <f aca="false">P12/100/O12</f>
        <v>132.155555555556</v>
      </c>
      <c r="R12" s="107" t="n">
        <v>118400</v>
      </c>
      <c r="S12" s="103" t="n">
        <f aca="false">R12/100/O12</f>
        <v>131.555555555556</v>
      </c>
      <c r="T12" s="108" t="s">
        <v>194</v>
      </c>
      <c r="U12" s="108"/>
      <c r="V12" s="108"/>
      <c r="W12" s="108"/>
      <c r="X12" s="108"/>
      <c r="AB12" s="110"/>
    </row>
    <row r="13" customFormat="false" ht="20.25" hidden="false" customHeight="true" outlineLevel="0" collapsed="false">
      <c r="B13" s="105" t="s">
        <v>195</v>
      </c>
      <c r="C13" s="120"/>
      <c r="D13" s="120"/>
      <c r="E13" s="120"/>
      <c r="F13" s="120"/>
      <c r="G13" s="120" t="n">
        <f aca="false">IFERROR(G10/O18*10,0)</f>
        <v>140.688940092166</v>
      </c>
      <c r="J13" s="99" t="n">
        <v>45511</v>
      </c>
      <c r="K13" s="99" t="s">
        <v>183</v>
      </c>
      <c r="L13" s="100" t="n">
        <v>77</v>
      </c>
      <c r="M13" s="100" t="s">
        <v>196</v>
      </c>
      <c r="N13" s="101" t="n">
        <v>12</v>
      </c>
      <c r="O13" s="100" t="n">
        <v>19</v>
      </c>
      <c r="P13" s="102" t="n">
        <v>297740</v>
      </c>
      <c r="Q13" s="103" t="n">
        <f aca="false">P13/100/O13</f>
        <v>156.705263157895</v>
      </c>
      <c r="R13" s="107" t="n">
        <v>296160</v>
      </c>
      <c r="S13" s="103" t="n">
        <f aca="false">R13/100/O13</f>
        <v>155.873684210526</v>
      </c>
      <c r="T13" s="108" t="s">
        <v>197</v>
      </c>
      <c r="U13" s="108"/>
      <c r="V13" s="108"/>
      <c r="W13" s="108"/>
      <c r="X13" s="108"/>
      <c r="Z13" s="118" t="s">
        <v>190</v>
      </c>
    </row>
    <row r="14" customFormat="false" ht="20.25" hidden="false" customHeight="true" outlineLevel="0" collapsed="false">
      <c r="B14" s="105"/>
      <c r="C14" s="121"/>
      <c r="D14" s="121"/>
      <c r="E14" s="121"/>
      <c r="F14" s="121"/>
      <c r="G14" s="121"/>
      <c r="J14" s="99" t="n">
        <v>45512</v>
      </c>
      <c r="K14" s="99" t="s">
        <v>82</v>
      </c>
      <c r="L14" s="100" t="n">
        <v>190</v>
      </c>
      <c r="M14" s="113" t="s">
        <v>198</v>
      </c>
      <c r="N14" s="101" t="n">
        <v>15</v>
      </c>
      <c r="O14" s="100" t="n">
        <v>34</v>
      </c>
      <c r="P14" s="102" t="n">
        <f aca="false">237860+205680</f>
        <v>443540</v>
      </c>
      <c r="Q14" s="103" t="n">
        <f aca="false">P14/100/O14</f>
        <v>130.452941176471</v>
      </c>
      <c r="R14" s="107" t="n">
        <f aca="false">234890+203910</f>
        <v>438800</v>
      </c>
      <c r="S14" s="103" t="n">
        <f aca="false">R14/100/O14</f>
        <v>129.058823529412</v>
      </c>
      <c r="T14" s="108" t="s">
        <v>199</v>
      </c>
      <c r="U14" s="108"/>
      <c r="V14" s="108"/>
      <c r="W14" s="108"/>
      <c r="X14" s="108"/>
    </row>
    <row r="15" customFormat="false" ht="20.25" hidden="false" customHeight="true" outlineLevel="0" collapsed="false">
      <c r="J15" s="99" t="n">
        <v>45513</v>
      </c>
      <c r="K15" s="99" t="s">
        <v>82</v>
      </c>
      <c r="L15" s="100" t="n">
        <v>190</v>
      </c>
      <c r="M15" s="100" t="s">
        <v>161</v>
      </c>
      <c r="N15" s="101" t="n">
        <v>23</v>
      </c>
      <c r="O15" s="100" t="n">
        <v>46</v>
      </c>
      <c r="P15" s="102" t="n">
        <f aca="false">259940+200780+167080</f>
        <v>627800</v>
      </c>
      <c r="Q15" s="103" t="n">
        <f aca="false">P15/100/O15</f>
        <v>136.478260869565</v>
      </c>
      <c r="R15" s="102" t="n">
        <f aca="false">256190+135970+37540+25880+165440</f>
        <v>621020</v>
      </c>
      <c r="S15" s="103" t="n">
        <f aca="false">R15/100/O15</f>
        <v>135.004347826087</v>
      </c>
      <c r="T15" s="108" t="s">
        <v>200</v>
      </c>
      <c r="U15" s="108"/>
      <c r="V15" s="108"/>
      <c r="W15" s="108"/>
      <c r="X15" s="108"/>
    </row>
    <row r="16" s="122" customFormat="true" ht="17.35" hidden="false" customHeight="false" outlineLevel="0" collapsed="false">
      <c r="B16" s="123" t="s">
        <v>201</v>
      </c>
      <c r="C16" s="124"/>
      <c r="D16" s="94"/>
      <c r="E16" s="94"/>
      <c r="F16" s="94"/>
      <c r="G16" s="94"/>
      <c r="J16" s="99" t="n">
        <v>45514</v>
      </c>
      <c r="K16" s="99"/>
      <c r="L16" s="100"/>
      <c r="M16" s="100"/>
      <c r="N16" s="101"/>
      <c r="O16" s="100"/>
      <c r="P16" s="102"/>
      <c r="Q16" s="103"/>
      <c r="R16" s="102"/>
      <c r="S16" s="103"/>
    </row>
    <row r="17" customFormat="false" ht="17.25" hidden="false" customHeight="true" outlineLevel="0" collapsed="false">
      <c r="B17" s="105" t="s">
        <v>16</v>
      </c>
      <c r="C17" s="117" t="n">
        <f aca="false">4500</f>
        <v>4500</v>
      </c>
      <c r="D17" s="120" t="n">
        <f aca="false">C17/G11*10</f>
        <v>180</v>
      </c>
      <c r="J17" s="99" t="n">
        <v>45515</v>
      </c>
      <c r="K17" s="99" t="s">
        <v>183</v>
      </c>
      <c r="L17" s="100" t="n">
        <v>30</v>
      </c>
      <c r="M17" s="100" t="s">
        <v>158</v>
      </c>
      <c r="N17" s="101" t="n">
        <v>8</v>
      </c>
      <c r="O17" s="100" t="n">
        <v>11</v>
      </c>
      <c r="P17" s="102" t="n">
        <v>204840</v>
      </c>
      <c r="Q17" s="103" t="n">
        <f aca="false">P17/100/O17</f>
        <v>186.218181818182</v>
      </c>
      <c r="R17" s="102" t="n">
        <v>202900</v>
      </c>
      <c r="S17" s="103" t="n">
        <f aca="false">R17/100/O17</f>
        <v>184.454545454545</v>
      </c>
      <c r="AB17" s="110"/>
    </row>
    <row r="18" customFormat="false" ht="17.25" hidden="false" customHeight="true" outlineLevel="0" collapsed="false">
      <c r="B18" s="125" t="s">
        <v>202</v>
      </c>
      <c r="C18" s="126" t="n">
        <f aca="false">3114</f>
        <v>3114</v>
      </c>
      <c r="D18" s="127" t="n">
        <f aca="false">C18/G12*10</f>
        <v>143.502304147465</v>
      </c>
      <c r="E18" s="128" t="s">
        <v>203</v>
      </c>
      <c r="F18" s="128"/>
      <c r="J18" s="95" t="s">
        <v>149</v>
      </c>
      <c r="K18" s="95"/>
      <c r="L18" s="95"/>
      <c r="M18" s="95"/>
      <c r="N18" s="95" t="n">
        <f aca="false">SUM(N4:N17)</f>
        <v>115</v>
      </c>
      <c r="O18" s="129" t="n">
        <f aca="false">SUM(O4:O17)</f>
        <v>217</v>
      </c>
      <c r="P18" s="130" t="n">
        <f aca="false">SUM(P4:P17)</f>
        <v>3083840</v>
      </c>
      <c r="Q18" s="131" t="n">
        <f aca="false">P18/O18/100</f>
        <v>142.112442396313</v>
      </c>
      <c r="R18" s="130" t="n">
        <f aca="false">SUM(R4:R17)</f>
        <v>3052950</v>
      </c>
      <c r="S18" s="131" t="n">
        <f aca="false">R18/O18/100</f>
        <v>140.688940092166</v>
      </c>
      <c r="AB18" s="110"/>
    </row>
    <row r="19" customFormat="false" ht="17.25" hidden="false" customHeight="true" outlineLevel="0" collapsed="false">
      <c r="B19" s="105" t="s">
        <v>17</v>
      </c>
      <c r="C19" s="117" t="n">
        <f aca="false">R18/1000</f>
        <v>3052.95</v>
      </c>
      <c r="D19" s="120" t="n">
        <f aca="false">C19/O18*10</f>
        <v>140.688940092166</v>
      </c>
      <c r="E19" s="132" t="n">
        <f aca="false">O18</f>
        <v>217</v>
      </c>
      <c r="H19" s="94"/>
      <c r="I19" s="94"/>
    </row>
    <row r="20" customFormat="false" ht="17.25" hidden="false" customHeight="true" outlineLevel="0" collapsed="false">
      <c r="B20" s="105" t="s">
        <v>204</v>
      </c>
      <c r="C20" s="133" t="n">
        <f aca="false">IFERROR(C19/C18,0)</f>
        <v>0.980394990366089</v>
      </c>
      <c r="D20" s="134"/>
      <c r="G20" s="135"/>
      <c r="J20" s="95" t="s">
        <v>69</v>
      </c>
      <c r="K20" s="95"/>
      <c r="L20" s="95"/>
      <c r="M20" s="95"/>
      <c r="N20" s="95"/>
      <c r="O20" s="129" t="n">
        <f aca="false">6+6+11+19</f>
        <v>42</v>
      </c>
      <c r="P20" s="130" t="n">
        <f aca="false">P9+P10+P13</f>
        <v>684160</v>
      </c>
      <c r="Q20" s="131" t="n">
        <f aca="false">P20/O20/100</f>
        <v>162.895238095238</v>
      </c>
      <c r="R20" s="130" t="n">
        <f aca="false">R9+R10+R13</f>
        <v>677320</v>
      </c>
      <c r="S20" s="131" t="n">
        <f aca="false">R20/O20/100</f>
        <v>161.266666666667</v>
      </c>
    </row>
    <row r="21" customFormat="false" ht="17.25" hidden="false" customHeight="true" outlineLevel="0" collapsed="false">
      <c r="B21" s="105" t="s">
        <v>205</v>
      </c>
      <c r="C21" s="133" t="n">
        <f aca="false">O18/250</f>
        <v>0.868</v>
      </c>
      <c r="G21" s="135"/>
      <c r="AB21" s="110"/>
    </row>
    <row r="22" customFormat="false" ht="17.25" hidden="false" customHeight="true" outlineLevel="0" collapsed="false">
      <c r="G22" s="136"/>
      <c r="J22" s="137" t="s">
        <v>206</v>
      </c>
      <c r="K22" s="137"/>
      <c r="L22" s="137"/>
      <c r="M22" s="137"/>
      <c r="N22" s="137"/>
      <c r="O22" s="138" t="n">
        <f aca="false">O18-O20</f>
        <v>175</v>
      </c>
      <c r="P22" s="139" t="n">
        <f aca="false">P18-P20</f>
        <v>2399680</v>
      </c>
      <c r="Q22" s="140" t="n">
        <f aca="false">P22/O22/100</f>
        <v>137.124571428571</v>
      </c>
      <c r="R22" s="139" t="n">
        <f aca="false">R18-R20</f>
        <v>2375630</v>
      </c>
      <c r="S22" s="140" t="n">
        <f aca="false">R22/O22/100</f>
        <v>135.750285714286</v>
      </c>
    </row>
    <row r="23" s="89" customFormat="true" ht="27" hidden="false" customHeight="true" outlineLevel="0" collapsed="false">
      <c r="B23" s="141" t="s">
        <v>207</v>
      </c>
      <c r="C23" s="141"/>
      <c r="D23" s="141"/>
      <c r="E23" s="141"/>
      <c r="M23" s="90"/>
      <c r="Q23" s="110"/>
      <c r="AB23" s="110"/>
    </row>
    <row r="24" s="89" customFormat="true" ht="17.25" hidden="false" customHeight="true" outlineLevel="0" collapsed="false">
      <c r="B24" s="89" t="s">
        <v>208</v>
      </c>
      <c r="C24" s="117" t="n">
        <f aca="false">(93430+164670+296160)/1000</f>
        <v>554.26</v>
      </c>
      <c r="D24" s="120" t="n">
        <f aca="false">C24/(6+11+19)*10</f>
        <v>153.961111111111</v>
      </c>
      <c r="E24" s="132" t="n">
        <f aca="false">6+11+19</f>
        <v>36</v>
      </c>
      <c r="M24" s="90"/>
      <c r="Q24" s="110"/>
      <c r="R24" s="110"/>
    </row>
    <row r="25" s="89" customFormat="true" ht="17.25" hidden="false" customHeight="true" outlineLevel="0" collapsed="false">
      <c r="B25" s="89" t="s">
        <v>38</v>
      </c>
      <c r="C25" s="117" t="n">
        <f aca="false">123060/1000</f>
        <v>123.06</v>
      </c>
      <c r="D25" s="120" t="n">
        <f aca="false">C25/6*10</f>
        <v>205.1</v>
      </c>
      <c r="E25" s="132" t="n">
        <f aca="false">6</f>
        <v>6</v>
      </c>
      <c r="G25" s="142"/>
      <c r="M25" s="90"/>
      <c r="Q25" s="110"/>
      <c r="R25" s="110"/>
    </row>
    <row r="26" s="89" customFormat="true" ht="17.25" hidden="false" customHeight="true" outlineLevel="0" collapsed="false">
      <c r="C26" s="143" t="n">
        <f aca="false">SUM(C24:C25)</f>
        <v>677.32</v>
      </c>
      <c r="D26" s="144" t="n">
        <f aca="false">C26/E26*10</f>
        <v>161.266666666667</v>
      </c>
      <c r="E26" s="145" t="n">
        <f aca="false">SUM(E24:E25)</f>
        <v>42</v>
      </c>
      <c r="G26" s="135"/>
      <c r="M26" s="90"/>
      <c r="Q26" s="110"/>
    </row>
    <row r="27" customFormat="false" ht="17.25" hidden="false" customHeight="true" outlineLevel="0" collapsed="false">
      <c r="R27" s="110"/>
    </row>
    <row r="28" customFormat="false" ht="17.25" hidden="false" customHeight="true" outlineLevel="0" collapsed="false">
      <c r="B28" s="146" t="s">
        <v>209</v>
      </c>
      <c r="R28" s="110"/>
    </row>
    <row r="29" customFormat="false" ht="17.25" hidden="true" customHeight="true" outlineLevel="0" collapsed="false">
      <c r="B29" s="89" t="s">
        <v>208</v>
      </c>
      <c r="C29" s="117" t="n">
        <f aca="false">R18/1000-C26</f>
        <v>2375.63</v>
      </c>
      <c r="D29" s="120" t="n">
        <f aca="false">D30</f>
        <v>135.750285714286</v>
      </c>
      <c r="E29" s="132" t="n">
        <f aca="false">O18-E26</f>
        <v>175</v>
      </c>
    </row>
    <row r="30" customFormat="false" ht="17.25" hidden="false" customHeight="true" outlineLevel="0" collapsed="false">
      <c r="B30" s="89" t="s">
        <v>208</v>
      </c>
      <c r="C30" s="143" t="n">
        <f aca="false">SUM(C29)</f>
        <v>2375.63</v>
      </c>
      <c r="D30" s="144" t="n">
        <f aca="false">C30/E30*10</f>
        <v>135.750285714286</v>
      </c>
      <c r="E30" s="145" t="n">
        <f aca="false">SUM(E29)</f>
        <v>175</v>
      </c>
    </row>
    <row r="31" customFormat="false" ht="17.25" hidden="true" customHeight="true" outlineLevel="0" collapsed="false"/>
    <row r="32" customFormat="false" ht="14.25" hidden="true" customHeight="false" outlineLevel="0" collapsed="false">
      <c r="B32" s="146" t="s">
        <v>210</v>
      </c>
      <c r="C32" s="143" t="n">
        <f aca="false">C24+C30</f>
        <v>2929.89</v>
      </c>
      <c r="D32" s="144" t="n">
        <f aca="false">C32/E32*10</f>
        <v>138.857345971564</v>
      </c>
      <c r="E32" s="145" t="n">
        <f aca="false">E24+E30</f>
        <v>211</v>
      </c>
    </row>
    <row r="33" customFormat="false" ht="14.25" hidden="false" customHeight="false" outlineLevel="0" collapsed="false">
      <c r="B33" s="147" t="s">
        <v>204</v>
      </c>
      <c r="C33" s="148" t="n">
        <f aca="false">C30/(C18/250*(250-77))</f>
        <v>1.10243780651245</v>
      </c>
    </row>
    <row r="34" customFormat="false" ht="14.25" hidden="false" customHeight="false" outlineLevel="0" collapsed="false">
      <c r="B34" s="147" t="s">
        <v>205</v>
      </c>
      <c r="C34" s="148" t="n">
        <f aca="false">E30/(250-77)</f>
        <v>1.01156069364162</v>
      </c>
    </row>
    <row r="35" customFormat="false" ht="14.25" hidden="false" customHeight="false" outlineLevel="0" collapsed="false">
      <c r="C35" s="149"/>
    </row>
    <row r="37" customFormat="false" ht="14.25" hidden="false" customHeight="false" outlineLevel="0" collapsed="false">
      <c r="C37" s="149"/>
    </row>
    <row r="39" customFormat="false" ht="14.25" hidden="false" customHeight="false" outlineLevel="0" collapsed="false">
      <c r="C39" s="149"/>
    </row>
  </sheetData>
  <mergeCells count="12">
    <mergeCell ref="B2:R2"/>
    <mergeCell ref="T5:X5"/>
    <mergeCell ref="T9:Y9"/>
    <mergeCell ref="Z9:AC9"/>
    <mergeCell ref="T10:Y10"/>
    <mergeCell ref="T11:W11"/>
    <mergeCell ref="T12:X12"/>
    <mergeCell ref="T13:X13"/>
    <mergeCell ref="T14:X14"/>
    <mergeCell ref="T15:X15"/>
    <mergeCell ref="E18:F18"/>
    <mergeCell ref="B23:E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32"/>
  <sheetViews>
    <sheetView showFormulas="false" showGridLines="fals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L27" activeCellId="0" sqref="L27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7.42"/>
    <col collapsed="false" customWidth="true" hidden="false" outlineLevel="0" max="2" min="2" style="0" width="80.15"/>
    <col collapsed="false" customWidth="true" hidden="false" outlineLevel="0" max="3" min="3" style="0" width="17.71"/>
    <col collapsed="false" customWidth="true" hidden="false" outlineLevel="0" max="7" min="4" style="0" width="16.57"/>
    <col collapsed="false" customWidth="true" hidden="false" outlineLevel="0" max="8" min="8" style="0" width="16.71"/>
  </cols>
  <sheetData>
    <row r="1" customFormat="false" ht="15" hidden="false" customHeight="false" outlineLevel="0" collapsed="false">
      <c r="A1" s="150"/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</row>
    <row r="2" customFormat="false" ht="17.35" hidden="false" customHeight="false" outlineLevel="0" collapsed="false">
      <c r="A2" s="150"/>
      <c r="B2" s="151"/>
      <c r="C2" s="151"/>
      <c r="D2" s="151"/>
      <c r="E2" s="151"/>
      <c r="F2" s="151"/>
      <c r="G2" s="151"/>
      <c r="H2" s="151"/>
      <c r="I2" s="151"/>
      <c r="J2" s="151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</row>
    <row r="3" customFormat="false" ht="42" hidden="false" customHeight="true" outlineLevel="0" collapsed="false">
      <c r="A3" s="150"/>
      <c r="B3" s="151"/>
      <c r="C3" s="151"/>
      <c r="D3" s="151"/>
      <c r="E3" s="151"/>
      <c r="F3" s="151"/>
      <c r="G3" s="151"/>
      <c r="H3" s="151"/>
      <c r="I3" s="151"/>
      <c r="J3" s="151"/>
      <c r="K3" s="150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</row>
    <row r="4" customFormat="false" ht="17.35" hidden="true" customHeight="false" outlineLevel="0" collapsed="false">
      <c r="A4" s="150"/>
      <c r="B4" s="152" t="s">
        <v>211</v>
      </c>
      <c r="C4" s="51" t="s">
        <v>212</v>
      </c>
      <c r="G4" s="151"/>
      <c r="H4" s="151"/>
      <c r="I4" s="151"/>
      <c r="J4" s="151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</row>
    <row r="5" customFormat="false" ht="17.35" hidden="false" customHeight="false" outlineLevel="0" collapsed="false">
      <c r="A5" s="150"/>
      <c r="B5" s="152" t="s">
        <v>213</v>
      </c>
      <c r="C5" s="51" t="s">
        <v>214</v>
      </c>
      <c r="G5" s="151"/>
      <c r="H5" s="151"/>
      <c r="I5" s="151"/>
      <c r="J5" s="151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</row>
    <row r="6" s="12" customFormat="true" ht="16.5" hidden="false" customHeight="true" outlineLevel="0" collapsed="false">
      <c r="A6" s="153"/>
      <c r="B6" s="0"/>
      <c r="C6" s="0"/>
      <c r="D6" s="0"/>
      <c r="E6" s="0"/>
      <c r="F6" s="0"/>
      <c r="G6" s="151"/>
      <c r="H6" s="151"/>
      <c r="I6" s="154"/>
      <c r="J6" s="154"/>
      <c r="K6" s="153"/>
      <c r="L6" s="153"/>
      <c r="M6" s="153"/>
      <c r="N6" s="153"/>
      <c r="O6" s="153"/>
      <c r="P6" s="153"/>
      <c r="Q6" s="153"/>
      <c r="R6" s="153"/>
      <c r="S6" s="153"/>
      <c r="T6" s="153"/>
      <c r="U6" s="153"/>
      <c r="V6" s="153"/>
      <c r="W6" s="153"/>
      <c r="X6" s="153"/>
    </row>
    <row r="7" s="161" customFormat="true" ht="17.35" hidden="false" customHeight="false" outlineLevel="0" collapsed="false">
      <c r="A7" s="155"/>
      <c r="B7" s="156" t="s">
        <v>215</v>
      </c>
      <c r="C7" s="157" t="s">
        <v>216</v>
      </c>
      <c r="D7" s="158" t="s">
        <v>217</v>
      </c>
      <c r="E7" s="158" t="s">
        <v>218</v>
      </c>
      <c r="F7" s="159" t="s">
        <v>219</v>
      </c>
      <c r="G7" s="0"/>
      <c r="H7" s="0"/>
      <c r="I7" s="160"/>
      <c r="J7" s="160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</row>
    <row r="8" customFormat="false" ht="17.35" hidden="false" customHeight="false" outlineLevel="0" collapsed="false">
      <c r="A8" s="150"/>
      <c r="B8" s="162" t="s">
        <v>220</v>
      </c>
      <c r="C8" s="163" t="n">
        <v>352</v>
      </c>
      <c r="D8" s="164" t="n">
        <v>494</v>
      </c>
      <c r="E8" s="164" t="n">
        <v>8295440</v>
      </c>
      <c r="F8" s="165" t="n">
        <v>6767760.2</v>
      </c>
      <c r="I8" s="151"/>
      <c r="J8" s="151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</row>
    <row r="9" customFormat="false" ht="17.35" hidden="false" customHeight="false" outlineLevel="0" collapsed="false">
      <c r="A9" s="150"/>
      <c r="B9" s="166" t="s">
        <v>221</v>
      </c>
      <c r="C9" s="163" t="n">
        <v>23</v>
      </c>
      <c r="D9" s="164" t="n">
        <v>42</v>
      </c>
      <c r="E9" s="164" t="n">
        <v>519920</v>
      </c>
      <c r="F9" s="165" t="n">
        <v>431916.8</v>
      </c>
      <c r="I9" s="151"/>
      <c r="J9" s="151"/>
      <c r="K9" s="150"/>
      <c r="L9" s="150"/>
      <c r="M9" s="150"/>
      <c r="N9" s="150"/>
      <c r="O9" s="150"/>
      <c r="P9" s="150"/>
      <c r="Q9" s="150"/>
      <c r="R9" s="150"/>
      <c r="S9" s="150"/>
      <c r="T9" s="150"/>
      <c r="U9" s="150"/>
      <c r="V9" s="150"/>
      <c r="W9" s="150"/>
      <c r="X9" s="150"/>
    </row>
    <row r="10" customFormat="false" ht="17.35" hidden="false" customHeight="false" outlineLevel="0" collapsed="false">
      <c r="A10" s="150"/>
      <c r="B10" s="166" t="s">
        <v>222</v>
      </c>
      <c r="C10" s="163" t="n">
        <v>57</v>
      </c>
      <c r="D10" s="164" t="n">
        <v>78</v>
      </c>
      <c r="E10" s="164" t="n">
        <v>1303540</v>
      </c>
      <c r="F10" s="165" t="n">
        <v>858148</v>
      </c>
      <c r="I10" s="151"/>
      <c r="J10" s="151"/>
      <c r="K10" s="150"/>
      <c r="L10" s="150"/>
      <c r="M10" s="150"/>
      <c r="N10" s="150"/>
      <c r="O10" s="150"/>
      <c r="P10" s="150"/>
      <c r="Q10" s="150"/>
      <c r="R10" s="150"/>
      <c r="S10" s="150"/>
      <c r="T10" s="150"/>
      <c r="U10" s="150"/>
      <c r="V10" s="150"/>
      <c r="W10" s="150"/>
      <c r="X10" s="150"/>
    </row>
    <row r="11" customFormat="false" ht="17.35" hidden="false" customHeight="false" outlineLevel="0" collapsed="false">
      <c r="A11" s="150"/>
      <c r="B11" s="166" t="s">
        <v>223</v>
      </c>
      <c r="C11" s="163" t="n">
        <v>2</v>
      </c>
      <c r="D11" s="164" t="n">
        <v>2</v>
      </c>
      <c r="E11" s="164" t="n">
        <v>41930</v>
      </c>
      <c r="F11" s="165" t="n">
        <v>18895.5</v>
      </c>
      <c r="I11" s="151"/>
      <c r="J11" s="151"/>
      <c r="K11" s="150"/>
      <c r="L11" s="150"/>
      <c r="M11" s="150"/>
      <c r="N11" s="150"/>
      <c r="O11" s="150"/>
      <c r="P11" s="150"/>
      <c r="Q11" s="150"/>
      <c r="R11" s="150"/>
      <c r="S11" s="150"/>
      <c r="T11" s="150"/>
      <c r="U11" s="150"/>
      <c r="V11" s="150"/>
      <c r="W11" s="150"/>
      <c r="X11" s="150"/>
    </row>
    <row r="12" customFormat="false" ht="17.35" hidden="false" customHeight="false" outlineLevel="0" collapsed="false">
      <c r="A12" s="150"/>
      <c r="B12" s="166" t="s">
        <v>224</v>
      </c>
      <c r="C12" s="163" t="n">
        <v>56</v>
      </c>
      <c r="D12" s="164" t="n">
        <v>78</v>
      </c>
      <c r="E12" s="164" t="n">
        <v>1372620</v>
      </c>
      <c r="F12" s="165" t="n">
        <v>1109262.9</v>
      </c>
      <c r="I12" s="151"/>
      <c r="J12" s="151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</row>
    <row r="13" customFormat="false" ht="17.35" hidden="false" customHeight="false" outlineLevel="0" collapsed="false">
      <c r="A13" s="150"/>
      <c r="B13" s="166" t="s">
        <v>225</v>
      </c>
      <c r="C13" s="163" t="n">
        <v>55</v>
      </c>
      <c r="D13" s="164" t="n">
        <v>78</v>
      </c>
      <c r="E13" s="164" t="n">
        <v>1294110</v>
      </c>
      <c r="F13" s="165" t="n">
        <v>1007483.8</v>
      </c>
      <c r="I13" s="151"/>
      <c r="J13" s="151"/>
      <c r="K13" s="150"/>
      <c r="L13" s="150"/>
      <c r="M13" s="150"/>
      <c r="N13" s="150"/>
      <c r="O13" s="150"/>
      <c r="P13" s="150"/>
      <c r="Q13" s="150"/>
      <c r="R13" s="150"/>
      <c r="S13" s="150"/>
      <c r="T13" s="150"/>
      <c r="U13" s="150"/>
      <c r="V13" s="150"/>
      <c r="W13" s="150"/>
      <c r="X13" s="150"/>
    </row>
    <row r="14" customFormat="false" ht="17.35" hidden="false" customHeight="false" outlineLevel="0" collapsed="false">
      <c r="A14" s="150"/>
      <c r="B14" s="166" t="s">
        <v>226</v>
      </c>
      <c r="C14" s="163" t="n">
        <v>26</v>
      </c>
      <c r="D14" s="164" t="n">
        <v>42</v>
      </c>
      <c r="E14" s="164" t="n">
        <v>586910</v>
      </c>
      <c r="F14" s="165" t="n">
        <v>520043.8</v>
      </c>
      <c r="I14" s="151"/>
      <c r="J14" s="151"/>
      <c r="K14" s="150"/>
      <c r="L14" s="150"/>
      <c r="M14" s="150"/>
      <c r="N14" s="150"/>
      <c r="O14" s="150"/>
      <c r="P14" s="150"/>
      <c r="Q14" s="150"/>
      <c r="R14" s="150"/>
      <c r="S14" s="150"/>
      <c r="T14" s="150"/>
      <c r="U14" s="150"/>
      <c r="V14" s="150"/>
      <c r="W14" s="150"/>
      <c r="X14" s="150"/>
    </row>
    <row r="15" customFormat="false" ht="17.35" hidden="false" customHeight="false" outlineLevel="0" collapsed="false">
      <c r="A15" s="150"/>
      <c r="B15" s="166" t="s">
        <v>227</v>
      </c>
      <c r="C15" s="163" t="n">
        <v>43</v>
      </c>
      <c r="D15" s="164" t="n">
        <v>56</v>
      </c>
      <c r="E15" s="164" t="n">
        <v>1028360</v>
      </c>
      <c r="F15" s="165" t="n">
        <v>948130</v>
      </c>
      <c r="I15" s="151"/>
      <c r="J15" s="151"/>
      <c r="K15" s="150"/>
      <c r="L15" s="150"/>
      <c r="M15" s="150"/>
      <c r="N15" s="150"/>
      <c r="O15" s="150"/>
      <c r="P15" s="150"/>
      <c r="Q15" s="150"/>
      <c r="R15" s="150"/>
      <c r="S15" s="150"/>
      <c r="T15" s="150"/>
      <c r="U15" s="150"/>
      <c r="V15" s="150"/>
      <c r="W15" s="150"/>
      <c r="X15" s="150"/>
    </row>
    <row r="16" customFormat="false" ht="17.35" hidden="false" customHeight="false" outlineLevel="0" collapsed="false">
      <c r="A16" s="150"/>
      <c r="B16" s="166" t="s">
        <v>228</v>
      </c>
      <c r="C16" s="163" t="n">
        <v>90</v>
      </c>
      <c r="D16" s="164" t="n">
        <v>118</v>
      </c>
      <c r="E16" s="164" t="n">
        <v>2148050</v>
      </c>
      <c r="F16" s="165" t="n">
        <v>1873879.4</v>
      </c>
      <c r="I16" s="151"/>
      <c r="J16" s="151"/>
      <c r="K16" s="150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</row>
    <row r="17" customFormat="false" ht="17.35" hidden="false" customHeight="false" outlineLevel="0" collapsed="false">
      <c r="A17" s="150"/>
      <c r="B17" s="167" t="s">
        <v>229</v>
      </c>
      <c r="C17" s="163" t="n">
        <v>86</v>
      </c>
      <c r="D17" s="164" t="n">
        <v>156</v>
      </c>
      <c r="E17" s="164" t="n">
        <v>1812050</v>
      </c>
      <c r="F17" s="165" t="n">
        <v>1493867.1</v>
      </c>
      <c r="I17" s="151"/>
      <c r="J17" s="151"/>
      <c r="K17" s="150"/>
      <c r="L17" s="150"/>
      <c r="M17" s="150"/>
      <c r="N17" s="150"/>
      <c r="O17" s="150"/>
      <c r="P17" s="150"/>
      <c r="Q17" s="150"/>
      <c r="R17" s="150"/>
      <c r="S17" s="150"/>
      <c r="T17" s="150"/>
      <c r="U17" s="150"/>
      <c r="V17" s="150"/>
      <c r="W17" s="150"/>
      <c r="X17" s="150"/>
    </row>
    <row r="18" customFormat="false" ht="17.35" hidden="false" customHeight="false" outlineLevel="0" collapsed="false">
      <c r="A18" s="150"/>
      <c r="B18" s="162" t="s">
        <v>230</v>
      </c>
      <c r="C18" s="163" t="n">
        <v>220</v>
      </c>
      <c r="D18" s="164" t="n">
        <v>343</v>
      </c>
      <c r="E18" s="164" t="n">
        <v>5445720</v>
      </c>
      <c r="F18" s="165" t="n">
        <v>4842129.3</v>
      </c>
      <c r="I18" s="151"/>
      <c r="J18" s="151"/>
      <c r="K18" s="150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</row>
    <row r="19" customFormat="false" ht="17.35" hidden="false" customHeight="false" outlineLevel="0" collapsed="false">
      <c r="A19" s="150"/>
      <c r="B19" s="166" t="s">
        <v>231</v>
      </c>
      <c r="C19" s="163" t="n">
        <v>47</v>
      </c>
      <c r="D19" s="164" t="n">
        <v>72</v>
      </c>
      <c r="E19" s="164" t="n">
        <v>1185780</v>
      </c>
      <c r="F19" s="165" t="n">
        <v>1026464.6</v>
      </c>
      <c r="I19" s="151"/>
      <c r="J19" s="151"/>
      <c r="K19" s="150"/>
      <c r="L19" s="150"/>
      <c r="M19" s="150"/>
      <c r="N19" s="150"/>
      <c r="O19" s="150"/>
      <c r="P19" s="150"/>
      <c r="Q19" s="150"/>
      <c r="R19" s="150"/>
      <c r="S19" s="150"/>
      <c r="T19" s="150"/>
      <c r="U19" s="150"/>
      <c r="V19" s="150"/>
      <c r="W19" s="150"/>
      <c r="X19" s="150"/>
    </row>
    <row r="20" customFormat="false" ht="17.35" hidden="false" customHeight="false" outlineLevel="0" collapsed="false">
      <c r="A20" s="150"/>
      <c r="B20" s="166" t="s">
        <v>232</v>
      </c>
      <c r="C20" s="163" t="n">
        <v>43</v>
      </c>
      <c r="D20" s="164" t="n">
        <v>72</v>
      </c>
      <c r="E20" s="164" t="n">
        <v>1042760</v>
      </c>
      <c r="F20" s="165" t="n">
        <v>921863.7</v>
      </c>
      <c r="I20" s="151"/>
      <c r="J20" s="151"/>
      <c r="K20" s="150"/>
      <c r="L20" s="150"/>
      <c r="M20" s="150"/>
      <c r="N20" s="150"/>
      <c r="O20" s="150"/>
      <c r="P20" s="150"/>
      <c r="Q20" s="150"/>
      <c r="R20" s="150"/>
      <c r="S20" s="150"/>
      <c r="T20" s="150"/>
      <c r="U20" s="150"/>
      <c r="V20" s="150"/>
      <c r="W20" s="150"/>
      <c r="X20" s="150"/>
    </row>
    <row r="21" customFormat="false" ht="17.35" hidden="false" customHeight="false" outlineLevel="0" collapsed="false">
      <c r="A21" s="150"/>
      <c r="B21" s="166" t="s">
        <v>233</v>
      </c>
      <c r="C21" s="163" t="n">
        <v>21</v>
      </c>
      <c r="D21" s="164" t="n">
        <v>36</v>
      </c>
      <c r="E21" s="164" t="n">
        <v>523480</v>
      </c>
      <c r="F21" s="165" t="n">
        <v>461425.6</v>
      </c>
      <c r="I21" s="151"/>
      <c r="J21" s="151"/>
      <c r="K21" s="150"/>
      <c r="L21" s="150"/>
      <c r="M21" s="150"/>
      <c r="N21" s="150"/>
      <c r="O21" s="150"/>
      <c r="P21" s="150"/>
      <c r="Q21" s="150"/>
      <c r="R21" s="150"/>
      <c r="S21" s="150"/>
      <c r="T21" s="150"/>
      <c r="U21" s="150"/>
      <c r="V21" s="150"/>
      <c r="W21" s="150"/>
      <c r="X21" s="150"/>
    </row>
    <row r="22" customFormat="false" ht="17.35" hidden="false" customHeight="false" outlineLevel="0" collapsed="false">
      <c r="A22" s="150"/>
      <c r="B22" s="166" t="s">
        <v>234</v>
      </c>
      <c r="C22" s="163" t="n">
        <v>23</v>
      </c>
      <c r="D22" s="164" t="n">
        <v>36</v>
      </c>
      <c r="E22" s="164" t="n">
        <v>588450</v>
      </c>
      <c r="F22" s="165" t="n">
        <v>544105.6</v>
      </c>
      <c r="I22" s="151"/>
      <c r="J22" s="151"/>
      <c r="K22" s="150"/>
      <c r="L22" s="150"/>
      <c r="M22" s="150"/>
      <c r="N22" s="150"/>
      <c r="O22" s="150"/>
      <c r="P22" s="150"/>
      <c r="Q22" s="150"/>
      <c r="R22" s="150"/>
      <c r="S22" s="150"/>
      <c r="T22" s="150"/>
      <c r="U22" s="150"/>
      <c r="V22" s="150"/>
      <c r="W22" s="150"/>
      <c r="X22" s="150"/>
    </row>
    <row r="23" customFormat="false" ht="17.35" hidden="false" customHeight="false" outlineLevel="0" collapsed="false">
      <c r="A23" s="150"/>
      <c r="B23" s="166" t="s">
        <v>235</v>
      </c>
      <c r="C23" s="163" t="n">
        <v>20</v>
      </c>
      <c r="D23" s="164" t="n">
        <v>29</v>
      </c>
      <c r="E23" s="164" t="n">
        <v>470210</v>
      </c>
      <c r="F23" s="165" t="n">
        <v>415266.3</v>
      </c>
      <c r="I23" s="151"/>
      <c r="J23" s="151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</row>
    <row r="24" customFormat="false" ht="17.35" hidden="false" customHeight="false" outlineLevel="0" collapsed="false">
      <c r="A24" s="150"/>
      <c r="B24" s="166" t="s">
        <v>236</v>
      </c>
      <c r="C24" s="163" t="n">
        <v>25</v>
      </c>
      <c r="D24" s="164" t="n">
        <v>36</v>
      </c>
      <c r="E24" s="164" t="n">
        <v>615440</v>
      </c>
      <c r="F24" s="165" t="n">
        <v>565109.6</v>
      </c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</row>
    <row r="25" customFormat="false" ht="17.35" hidden="false" customHeight="false" outlineLevel="0" collapsed="false">
      <c r="A25" s="150"/>
      <c r="B25" s="166" t="s">
        <v>237</v>
      </c>
      <c r="C25" s="163" t="n">
        <v>26</v>
      </c>
      <c r="D25" s="164" t="n">
        <v>36</v>
      </c>
      <c r="E25" s="164" t="n">
        <v>666510</v>
      </c>
      <c r="F25" s="165" t="n">
        <v>603396.3</v>
      </c>
      <c r="I25" s="150"/>
      <c r="J25" s="150"/>
      <c r="K25" s="150"/>
      <c r="L25" s="150"/>
      <c r="M25" s="150"/>
      <c r="N25" s="150"/>
      <c r="O25" s="150"/>
      <c r="P25" s="150"/>
      <c r="Q25" s="150"/>
      <c r="R25" s="150"/>
      <c r="S25" s="150"/>
      <c r="T25" s="150"/>
      <c r="U25" s="150"/>
      <c r="V25" s="150"/>
      <c r="W25" s="150"/>
      <c r="X25" s="150"/>
    </row>
    <row r="26" customFormat="false" ht="17.35" hidden="false" customHeight="false" outlineLevel="0" collapsed="false">
      <c r="A26" s="150"/>
      <c r="B26" s="166" t="s">
        <v>226</v>
      </c>
      <c r="C26" s="163" t="n">
        <v>15</v>
      </c>
      <c r="D26" s="164" t="n">
        <v>26</v>
      </c>
      <c r="E26" s="164" t="n">
        <v>353090</v>
      </c>
      <c r="F26" s="165" t="n">
        <v>304497.6</v>
      </c>
      <c r="I26" s="150"/>
      <c r="J26" s="150"/>
      <c r="K26" s="150"/>
      <c r="L26" s="150"/>
      <c r="M26" s="150"/>
      <c r="N26" s="150"/>
      <c r="O26" s="150"/>
      <c r="P26" s="150"/>
      <c r="Q26" s="150"/>
      <c r="R26" s="150"/>
      <c r="S26" s="150"/>
      <c r="T26" s="150"/>
      <c r="U26" s="150"/>
      <c r="V26" s="150"/>
      <c r="W26" s="150"/>
      <c r="X26" s="150"/>
    </row>
    <row r="27" customFormat="false" ht="17.35" hidden="false" customHeight="false" outlineLevel="0" collapsed="false">
      <c r="A27" s="150"/>
      <c r="B27" s="167" t="s">
        <v>238</v>
      </c>
      <c r="C27" s="163" t="n">
        <v>34</v>
      </c>
      <c r="D27" s="164" t="n">
        <v>63</v>
      </c>
      <c r="E27" s="164" t="n">
        <v>550890</v>
      </c>
      <c r="F27" s="165" t="n">
        <v>423374</v>
      </c>
      <c r="I27" s="150"/>
      <c r="J27" s="150"/>
      <c r="K27" s="150"/>
      <c r="L27" s="150"/>
      <c r="M27" s="150"/>
      <c r="N27" s="150"/>
      <c r="O27" s="150"/>
      <c r="P27" s="150"/>
      <c r="Q27" s="150"/>
      <c r="R27" s="150"/>
      <c r="S27" s="150"/>
      <c r="T27" s="150"/>
      <c r="U27" s="150"/>
      <c r="V27" s="150"/>
      <c r="W27" s="150"/>
      <c r="X27" s="150"/>
    </row>
    <row r="28" customFormat="false" ht="17.35" hidden="false" customHeight="false" outlineLevel="0" collapsed="false">
      <c r="A28" s="150"/>
      <c r="B28" s="167" t="s">
        <v>239</v>
      </c>
      <c r="C28" s="163" t="n">
        <v>71</v>
      </c>
      <c r="D28" s="164" t="n">
        <v>125</v>
      </c>
      <c r="E28" s="164" t="n">
        <v>1860640</v>
      </c>
      <c r="F28" s="165" t="n">
        <v>1661071.5</v>
      </c>
      <c r="I28" s="150"/>
      <c r="J28" s="150"/>
      <c r="K28" s="150"/>
      <c r="L28" s="150"/>
      <c r="M28" s="150"/>
      <c r="N28" s="150"/>
      <c r="O28" s="150"/>
      <c r="P28" s="150"/>
      <c r="Q28" s="150"/>
      <c r="R28" s="150"/>
      <c r="S28" s="150"/>
      <c r="T28" s="150"/>
      <c r="U28" s="150"/>
      <c r="V28" s="150"/>
      <c r="W28" s="150"/>
      <c r="X28" s="150"/>
    </row>
    <row r="29" customFormat="false" ht="17.35" hidden="false" customHeight="false" outlineLevel="0" collapsed="false">
      <c r="A29" s="150"/>
      <c r="B29" s="167" t="s">
        <v>240</v>
      </c>
      <c r="C29" s="163" t="n">
        <v>125</v>
      </c>
      <c r="D29" s="164" t="n">
        <v>268</v>
      </c>
      <c r="E29" s="164" t="n">
        <v>3223160</v>
      </c>
      <c r="F29" s="165" t="n">
        <v>2756232.4</v>
      </c>
      <c r="I29" s="150"/>
      <c r="J29" s="150"/>
      <c r="K29" s="150"/>
      <c r="L29" s="150"/>
      <c r="M29" s="150"/>
      <c r="N29" s="150"/>
      <c r="O29" s="150"/>
      <c r="P29" s="150"/>
      <c r="Q29" s="150"/>
      <c r="R29" s="150"/>
      <c r="S29" s="150"/>
      <c r="T29" s="150"/>
      <c r="U29" s="150"/>
      <c r="V29" s="150"/>
      <c r="W29" s="150"/>
      <c r="X29" s="150"/>
    </row>
    <row r="30" customFormat="false" ht="17.35" hidden="false" customHeight="false" outlineLevel="0" collapsed="false">
      <c r="A30" s="150"/>
      <c r="B30" s="167" t="s">
        <v>241</v>
      </c>
      <c r="C30" s="163" t="n">
        <v>176</v>
      </c>
      <c r="D30" s="164" t="n">
        <v>297</v>
      </c>
      <c r="E30" s="164" t="n">
        <v>4688030</v>
      </c>
      <c r="F30" s="165" t="n">
        <v>4154474.3</v>
      </c>
      <c r="I30" s="150"/>
      <c r="J30" s="150"/>
      <c r="K30" s="150"/>
      <c r="L30" s="150"/>
      <c r="M30" s="150"/>
      <c r="N30" s="150"/>
      <c r="O30" s="150"/>
      <c r="P30" s="150"/>
      <c r="Q30" s="150"/>
      <c r="R30" s="150"/>
      <c r="S30" s="150"/>
      <c r="T30" s="150"/>
      <c r="U30" s="150"/>
      <c r="V30" s="150"/>
      <c r="W30" s="150"/>
      <c r="X30" s="150"/>
    </row>
    <row r="31" customFormat="false" ht="17.35" hidden="false" customHeight="false" outlineLevel="0" collapsed="false">
      <c r="A31" s="150"/>
      <c r="B31" s="167" t="s">
        <v>242</v>
      </c>
      <c r="C31" s="163" t="n">
        <v>348</v>
      </c>
      <c r="D31" s="164" t="n">
        <v>451</v>
      </c>
      <c r="E31" s="164" t="n">
        <v>9223720</v>
      </c>
      <c r="F31" s="165" t="n">
        <v>7971926.90000001</v>
      </c>
      <c r="I31" s="150"/>
      <c r="J31" s="150"/>
      <c r="K31" s="150"/>
      <c r="L31" s="150"/>
      <c r="M31" s="150"/>
      <c r="N31" s="150"/>
      <c r="O31" s="150"/>
      <c r="P31" s="150"/>
      <c r="Q31" s="150"/>
      <c r="R31" s="150"/>
      <c r="S31" s="150"/>
      <c r="T31" s="150"/>
      <c r="U31" s="150"/>
      <c r="V31" s="150"/>
      <c r="W31" s="150"/>
      <c r="X31" s="150"/>
    </row>
    <row r="32" customFormat="false" ht="17.35" hidden="false" customHeight="false" outlineLevel="0" collapsed="false">
      <c r="A32" s="150"/>
      <c r="B32" s="168" t="s">
        <v>243</v>
      </c>
      <c r="C32" s="169" t="n">
        <v>1412</v>
      </c>
      <c r="D32" s="170" t="n">
        <v>2197</v>
      </c>
      <c r="E32" s="170" t="n">
        <v>35099650</v>
      </c>
      <c r="F32" s="171" t="n">
        <v>30070835.7</v>
      </c>
      <c r="I32" s="150"/>
      <c r="J32" s="150"/>
      <c r="K32" s="150"/>
      <c r="L32" s="150"/>
      <c r="M32" s="150"/>
      <c r="N32" s="150"/>
      <c r="O32" s="150"/>
      <c r="P32" s="150"/>
      <c r="Q32" s="150"/>
      <c r="R32" s="150"/>
      <c r="S32" s="150"/>
      <c r="T32" s="150"/>
      <c r="U32" s="150"/>
      <c r="V32" s="150"/>
      <c r="W32" s="150"/>
      <c r="X32" s="15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66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1" topLeftCell="A2" activePane="bottomLeft" state="frozen"/>
      <selection pane="topLeft" activeCell="A1" activeCellId="0" sqref="A1"/>
      <selection pane="bottomLeft" activeCell="I14" activeCellId="0" sqref="I14"/>
    </sheetView>
  </sheetViews>
  <sheetFormatPr defaultColWidth="8.00390625" defaultRowHeight="15" customHeight="true" zeroHeight="false" outlineLevelRow="0" outlineLevelCol="0"/>
  <cols>
    <col collapsed="false" customWidth="true" hidden="false" outlineLevel="0" max="1" min="1" style="172" width="28.86"/>
    <col collapsed="false" customWidth="true" hidden="false" outlineLevel="0" max="2" min="2" style="172" width="15.85"/>
    <col collapsed="false" customWidth="true" hidden="false" outlineLevel="0" max="3" min="3" style="172" width="9.42"/>
    <col collapsed="false" customWidth="true" hidden="false" outlineLevel="0" max="4" min="4" style="172" width="14"/>
    <col collapsed="false" customWidth="true" hidden="false" outlineLevel="0" max="5" min="5" style="172" width="14.29"/>
    <col collapsed="false" customWidth="true" hidden="false" outlineLevel="0" max="7" min="6" style="172" width="14.42"/>
    <col collapsed="false" customWidth="true" hidden="false" outlineLevel="0" max="8" min="8" style="172" width="10.71"/>
    <col collapsed="false" customWidth="true" hidden="false" outlineLevel="0" max="9" min="9" style="172" width="15.42"/>
    <col collapsed="false" customWidth="true" hidden="false" outlineLevel="0" max="10" min="10" style="172" width="13"/>
    <col collapsed="false" customWidth="true" hidden="false" outlineLevel="0" max="11" min="11" style="172" width="11.71"/>
    <col collapsed="false" customWidth="true" hidden="false" outlineLevel="0" max="12" min="12" style="172" width="18.29"/>
    <col collapsed="false" customWidth="true" hidden="false" outlineLevel="0" max="13" min="13" style="173" width="14"/>
    <col collapsed="false" customWidth="true" hidden="false" outlineLevel="0" max="14" min="14" style="172" width="15.85"/>
    <col collapsed="false" customWidth="true" hidden="false" outlineLevel="0" max="15" min="15" style="0" width="13.29"/>
    <col collapsed="false" customWidth="true" hidden="false" outlineLevel="0" max="16" min="16" style="15" width="12.29"/>
    <col collapsed="false" customWidth="true" hidden="false" outlineLevel="0" max="17" min="17" style="174" width="11.71"/>
    <col collapsed="false" customWidth="false" hidden="false" outlineLevel="0" max="136" min="18" style="172" width="8"/>
    <col collapsed="false" customWidth="true" hidden="false" outlineLevel="0" max="137" min="137" style="172" width="1.57"/>
    <col collapsed="false" customWidth="true" hidden="false" outlineLevel="0" max="138" min="138" style="172" width="48.29"/>
    <col collapsed="false" customWidth="true" hidden="false" outlineLevel="0" max="139" min="139" style="172" width="13.29"/>
    <col collapsed="false" customWidth="true" hidden="false" outlineLevel="0" max="140" min="140" style="172" width="18.29"/>
    <col collapsed="false" customWidth="true" hidden="false" outlineLevel="0" max="141" min="141" style="172" width="18.57"/>
    <col collapsed="false" customWidth="true" hidden="false" outlineLevel="0" max="142" min="142" style="172" width="12.71"/>
    <col collapsed="false" customWidth="true" hidden="false" outlineLevel="0" max="143" min="143" style="172" width="10.85"/>
    <col collapsed="false" customWidth="true" hidden="false" outlineLevel="0" max="144" min="144" style="172" width="16.29"/>
    <col collapsed="false" customWidth="true" hidden="false" outlineLevel="0" max="145" min="145" style="172" width="8.15"/>
    <col collapsed="false" customWidth="true" hidden="false" outlineLevel="0" max="150" min="146" style="172" width="11.71"/>
    <col collapsed="false" customWidth="true" hidden="false" outlineLevel="0" max="151" min="151" style="172" width="15.85"/>
    <col collapsed="false" customWidth="false" hidden="false" outlineLevel="0" max="392" min="152" style="172" width="8"/>
    <col collapsed="false" customWidth="true" hidden="false" outlineLevel="0" max="393" min="393" style="172" width="1.57"/>
    <col collapsed="false" customWidth="true" hidden="false" outlineLevel="0" max="394" min="394" style="172" width="48.29"/>
    <col collapsed="false" customWidth="true" hidden="false" outlineLevel="0" max="395" min="395" style="172" width="13.29"/>
    <col collapsed="false" customWidth="true" hidden="false" outlineLevel="0" max="396" min="396" style="172" width="18.29"/>
    <col collapsed="false" customWidth="true" hidden="false" outlineLevel="0" max="397" min="397" style="172" width="18.57"/>
    <col collapsed="false" customWidth="true" hidden="false" outlineLevel="0" max="398" min="398" style="172" width="12.71"/>
    <col collapsed="false" customWidth="true" hidden="false" outlineLevel="0" max="399" min="399" style="172" width="10.85"/>
    <col collapsed="false" customWidth="true" hidden="false" outlineLevel="0" max="400" min="400" style="172" width="16.29"/>
    <col collapsed="false" customWidth="true" hidden="false" outlineLevel="0" max="401" min="401" style="172" width="8.15"/>
    <col collapsed="false" customWidth="true" hidden="false" outlineLevel="0" max="406" min="402" style="172" width="11.71"/>
    <col collapsed="false" customWidth="true" hidden="false" outlineLevel="0" max="407" min="407" style="172" width="15.85"/>
    <col collapsed="false" customWidth="false" hidden="false" outlineLevel="0" max="648" min="408" style="172" width="8"/>
    <col collapsed="false" customWidth="true" hidden="false" outlineLevel="0" max="649" min="649" style="172" width="1.57"/>
    <col collapsed="false" customWidth="true" hidden="false" outlineLevel="0" max="650" min="650" style="172" width="48.29"/>
    <col collapsed="false" customWidth="true" hidden="false" outlineLevel="0" max="651" min="651" style="172" width="13.29"/>
    <col collapsed="false" customWidth="true" hidden="false" outlineLevel="0" max="652" min="652" style="172" width="18.29"/>
    <col collapsed="false" customWidth="true" hidden="false" outlineLevel="0" max="653" min="653" style="172" width="18.57"/>
    <col collapsed="false" customWidth="true" hidden="false" outlineLevel="0" max="654" min="654" style="172" width="12.71"/>
    <col collapsed="false" customWidth="true" hidden="false" outlineLevel="0" max="655" min="655" style="172" width="10.85"/>
    <col collapsed="false" customWidth="true" hidden="false" outlineLevel="0" max="656" min="656" style="172" width="16.29"/>
    <col collapsed="false" customWidth="true" hidden="false" outlineLevel="0" max="657" min="657" style="172" width="8.15"/>
    <col collapsed="false" customWidth="true" hidden="false" outlineLevel="0" max="662" min="658" style="172" width="11.71"/>
    <col collapsed="false" customWidth="true" hidden="false" outlineLevel="0" max="663" min="663" style="172" width="15.85"/>
    <col collapsed="false" customWidth="false" hidden="false" outlineLevel="0" max="904" min="664" style="172" width="8"/>
    <col collapsed="false" customWidth="true" hidden="false" outlineLevel="0" max="905" min="905" style="172" width="1.57"/>
    <col collapsed="false" customWidth="true" hidden="false" outlineLevel="0" max="906" min="906" style="172" width="48.29"/>
    <col collapsed="false" customWidth="true" hidden="false" outlineLevel="0" max="907" min="907" style="172" width="13.29"/>
    <col collapsed="false" customWidth="true" hidden="false" outlineLevel="0" max="908" min="908" style="172" width="18.29"/>
    <col collapsed="false" customWidth="true" hidden="false" outlineLevel="0" max="909" min="909" style="172" width="18.57"/>
    <col collapsed="false" customWidth="true" hidden="false" outlineLevel="0" max="910" min="910" style="172" width="12.71"/>
    <col collapsed="false" customWidth="true" hidden="false" outlineLevel="0" max="911" min="911" style="172" width="10.85"/>
    <col collapsed="false" customWidth="true" hidden="false" outlineLevel="0" max="912" min="912" style="172" width="16.29"/>
    <col collapsed="false" customWidth="true" hidden="false" outlineLevel="0" max="913" min="913" style="172" width="8.15"/>
    <col collapsed="false" customWidth="true" hidden="false" outlineLevel="0" max="918" min="914" style="172" width="11.71"/>
    <col collapsed="false" customWidth="true" hidden="false" outlineLevel="0" max="919" min="919" style="172" width="15.85"/>
    <col collapsed="false" customWidth="false" hidden="false" outlineLevel="0" max="1160" min="920" style="172" width="8"/>
    <col collapsed="false" customWidth="true" hidden="false" outlineLevel="0" max="1161" min="1161" style="172" width="1.57"/>
    <col collapsed="false" customWidth="true" hidden="false" outlineLevel="0" max="1162" min="1162" style="172" width="48.29"/>
    <col collapsed="false" customWidth="true" hidden="false" outlineLevel="0" max="1163" min="1163" style="172" width="13.29"/>
    <col collapsed="false" customWidth="true" hidden="false" outlineLevel="0" max="1164" min="1164" style="172" width="18.29"/>
    <col collapsed="false" customWidth="true" hidden="false" outlineLevel="0" max="1165" min="1165" style="172" width="18.57"/>
    <col collapsed="false" customWidth="true" hidden="false" outlineLevel="0" max="1166" min="1166" style="172" width="12.71"/>
    <col collapsed="false" customWidth="true" hidden="false" outlineLevel="0" max="1167" min="1167" style="172" width="10.85"/>
    <col collapsed="false" customWidth="true" hidden="false" outlineLevel="0" max="1168" min="1168" style="172" width="16.29"/>
    <col collapsed="false" customWidth="true" hidden="false" outlineLevel="0" max="1169" min="1169" style="172" width="8.15"/>
    <col collapsed="false" customWidth="true" hidden="false" outlineLevel="0" max="1174" min="1170" style="172" width="11.71"/>
    <col collapsed="false" customWidth="true" hidden="false" outlineLevel="0" max="1175" min="1175" style="172" width="15.85"/>
    <col collapsed="false" customWidth="false" hidden="false" outlineLevel="0" max="1416" min="1176" style="172" width="8"/>
    <col collapsed="false" customWidth="true" hidden="false" outlineLevel="0" max="1417" min="1417" style="172" width="1.57"/>
    <col collapsed="false" customWidth="true" hidden="false" outlineLevel="0" max="1418" min="1418" style="172" width="48.29"/>
    <col collapsed="false" customWidth="true" hidden="false" outlineLevel="0" max="1419" min="1419" style="172" width="13.29"/>
    <col collapsed="false" customWidth="true" hidden="false" outlineLevel="0" max="1420" min="1420" style="172" width="18.29"/>
    <col collapsed="false" customWidth="true" hidden="false" outlineLevel="0" max="1421" min="1421" style="172" width="18.57"/>
    <col collapsed="false" customWidth="true" hidden="false" outlineLevel="0" max="1422" min="1422" style="172" width="12.71"/>
    <col collapsed="false" customWidth="true" hidden="false" outlineLevel="0" max="1423" min="1423" style="172" width="10.85"/>
    <col collapsed="false" customWidth="true" hidden="false" outlineLevel="0" max="1424" min="1424" style="172" width="16.29"/>
    <col collapsed="false" customWidth="true" hidden="false" outlineLevel="0" max="1425" min="1425" style="172" width="8.15"/>
    <col collapsed="false" customWidth="true" hidden="false" outlineLevel="0" max="1430" min="1426" style="172" width="11.71"/>
    <col collapsed="false" customWidth="true" hidden="false" outlineLevel="0" max="1431" min="1431" style="172" width="15.85"/>
    <col collapsed="false" customWidth="false" hidden="false" outlineLevel="0" max="1672" min="1432" style="172" width="8"/>
    <col collapsed="false" customWidth="true" hidden="false" outlineLevel="0" max="1673" min="1673" style="172" width="1.57"/>
    <col collapsed="false" customWidth="true" hidden="false" outlineLevel="0" max="1674" min="1674" style="172" width="48.29"/>
    <col collapsed="false" customWidth="true" hidden="false" outlineLevel="0" max="1675" min="1675" style="172" width="13.29"/>
    <col collapsed="false" customWidth="true" hidden="false" outlineLevel="0" max="1676" min="1676" style="172" width="18.29"/>
    <col collapsed="false" customWidth="true" hidden="false" outlineLevel="0" max="1677" min="1677" style="172" width="18.57"/>
    <col collapsed="false" customWidth="true" hidden="false" outlineLevel="0" max="1678" min="1678" style="172" width="12.71"/>
    <col collapsed="false" customWidth="true" hidden="false" outlineLevel="0" max="1679" min="1679" style="172" width="10.85"/>
    <col collapsed="false" customWidth="true" hidden="false" outlineLevel="0" max="1680" min="1680" style="172" width="16.29"/>
    <col collapsed="false" customWidth="true" hidden="false" outlineLevel="0" max="1681" min="1681" style="172" width="8.15"/>
    <col collapsed="false" customWidth="true" hidden="false" outlineLevel="0" max="1686" min="1682" style="172" width="11.71"/>
    <col collapsed="false" customWidth="true" hidden="false" outlineLevel="0" max="1687" min="1687" style="172" width="15.85"/>
    <col collapsed="false" customWidth="false" hidden="false" outlineLevel="0" max="1928" min="1688" style="172" width="8"/>
    <col collapsed="false" customWidth="true" hidden="false" outlineLevel="0" max="1929" min="1929" style="172" width="1.57"/>
    <col collapsed="false" customWidth="true" hidden="false" outlineLevel="0" max="1930" min="1930" style="172" width="48.29"/>
    <col collapsed="false" customWidth="true" hidden="false" outlineLevel="0" max="1931" min="1931" style="172" width="13.29"/>
    <col collapsed="false" customWidth="true" hidden="false" outlineLevel="0" max="1932" min="1932" style="172" width="18.29"/>
    <col collapsed="false" customWidth="true" hidden="false" outlineLevel="0" max="1933" min="1933" style="172" width="18.57"/>
    <col collapsed="false" customWidth="true" hidden="false" outlineLevel="0" max="1934" min="1934" style="172" width="12.71"/>
    <col collapsed="false" customWidth="true" hidden="false" outlineLevel="0" max="1935" min="1935" style="172" width="10.85"/>
    <col collapsed="false" customWidth="true" hidden="false" outlineLevel="0" max="1936" min="1936" style="172" width="16.29"/>
    <col collapsed="false" customWidth="true" hidden="false" outlineLevel="0" max="1937" min="1937" style="172" width="8.15"/>
    <col collapsed="false" customWidth="true" hidden="false" outlineLevel="0" max="1942" min="1938" style="172" width="11.71"/>
    <col collapsed="false" customWidth="true" hidden="false" outlineLevel="0" max="1943" min="1943" style="172" width="15.85"/>
    <col collapsed="false" customWidth="false" hidden="false" outlineLevel="0" max="2184" min="1944" style="172" width="8"/>
    <col collapsed="false" customWidth="true" hidden="false" outlineLevel="0" max="2185" min="2185" style="172" width="1.57"/>
    <col collapsed="false" customWidth="true" hidden="false" outlineLevel="0" max="2186" min="2186" style="172" width="48.29"/>
    <col collapsed="false" customWidth="true" hidden="false" outlineLevel="0" max="2187" min="2187" style="172" width="13.29"/>
    <col collapsed="false" customWidth="true" hidden="false" outlineLevel="0" max="2188" min="2188" style="172" width="18.29"/>
    <col collapsed="false" customWidth="true" hidden="false" outlineLevel="0" max="2189" min="2189" style="172" width="18.57"/>
    <col collapsed="false" customWidth="true" hidden="false" outlineLevel="0" max="2190" min="2190" style="172" width="12.71"/>
    <col collapsed="false" customWidth="true" hidden="false" outlineLevel="0" max="2191" min="2191" style="172" width="10.85"/>
    <col collapsed="false" customWidth="true" hidden="false" outlineLevel="0" max="2192" min="2192" style="172" width="16.29"/>
    <col collapsed="false" customWidth="true" hidden="false" outlineLevel="0" max="2193" min="2193" style="172" width="8.15"/>
    <col collapsed="false" customWidth="true" hidden="false" outlineLevel="0" max="2198" min="2194" style="172" width="11.71"/>
    <col collapsed="false" customWidth="true" hidden="false" outlineLevel="0" max="2199" min="2199" style="172" width="15.85"/>
    <col collapsed="false" customWidth="false" hidden="false" outlineLevel="0" max="2440" min="2200" style="172" width="8"/>
    <col collapsed="false" customWidth="true" hidden="false" outlineLevel="0" max="2441" min="2441" style="172" width="1.57"/>
    <col collapsed="false" customWidth="true" hidden="false" outlineLevel="0" max="2442" min="2442" style="172" width="48.29"/>
    <col collapsed="false" customWidth="true" hidden="false" outlineLevel="0" max="2443" min="2443" style="172" width="13.29"/>
    <col collapsed="false" customWidth="true" hidden="false" outlineLevel="0" max="2444" min="2444" style="172" width="18.29"/>
    <col collapsed="false" customWidth="true" hidden="false" outlineLevel="0" max="2445" min="2445" style="172" width="18.57"/>
    <col collapsed="false" customWidth="true" hidden="false" outlineLevel="0" max="2446" min="2446" style="172" width="12.71"/>
    <col collapsed="false" customWidth="true" hidden="false" outlineLevel="0" max="2447" min="2447" style="172" width="10.85"/>
    <col collapsed="false" customWidth="true" hidden="false" outlineLevel="0" max="2448" min="2448" style="172" width="16.29"/>
    <col collapsed="false" customWidth="true" hidden="false" outlineLevel="0" max="2449" min="2449" style="172" width="8.15"/>
    <col collapsed="false" customWidth="true" hidden="false" outlineLevel="0" max="2454" min="2450" style="172" width="11.71"/>
    <col collapsed="false" customWidth="true" hidden="false" outlineLevel="0" max="2455" min="2455" style="172" width="15.85"/>
    <col collapsed="false" customWidth="false" hidden="false" outlineLevel="0" max="2696" min="2456" style="172" width="8"/>
    <col collapsed="false" customWidth="true" hidden="false" outlineLevel="0" max="2697" min="2697" style="172" width="1.57"/>
    <col collapsed="false" customWidth="true" hidden="false" outlineLevel="0" max="2698" min="2698" style="172" width="48.29"/>
    <col collapsed="false" customWidth="true" hidden="false" outlineLevel="0" max="2699" min="2699" style="172" width="13.29"/>
    <col collapsed="false" customWidth="true" hidden="false" outlineLevel="0" max="2700" min="2700" style="172" width="18.29"/>
    <col collapsed="false" customWidth="true" hidden="false" outlineLevel="0" max="2701" min="2701" style="172" width="18.57"/>
    <col collapsed="false" customWidth="true" hidden="false" outlineLevel="0" max="2702" min="2702" style="172" width="12.71"/>
    <col collapsed="false" customWidth="true" hidden="false" outlineLevel="0" max="2703" min="2703" style="172" width="10.85"/>
    <col collapsed="false" customWidth="true" hidden="false" outlineLevel="0" max="2704" min="2704" style="172" width="16.29"/>
    <col collapsed="false" customWidth="true" hidden="false" outlineLevel="0" max="2705" min="2705" style="172" width="8.15"/>
    <col collapsed="false" customWidth="true" hidden="false" outlineLevel="0" max="2710" min="2706" style="172" width="11.71"/>
    <col collapsed="false" customWidth="true" hidden="false" outlineLevel="0" max="2711" min="2711" style="172" width="15.85"/>
    <col collapsed="false" customWidth="false" hidden="false" outlineLevel="0" max="2952" min="2712" style="172" width="8"/>
    <col collapsed="false" customWidth="true" hidden="false" outlineLevel="0" max="2953" min="2953" style="172" width="1.57"/>
    <col collapsed="false" customWidth="true" hidden="false" outlineLevel="0" max="2954" min="2954" style="172" width="48.29"/>
    <col collapsed="false" customWidth="true" hidden="false" outlineLevel="0" max="2955" min="2955" style="172" width="13.29"/>
    <col collapsed="false" customWidth="true" hidden="false" outlineLevel="0" max="2956" min="2956" style="172" width="18.29"/>
    <col collapsed="false" customWidth="true" hidden="false" outlineLevel="0" max="2957" min="2957" style="172" width="18.57"/>
    <col collapsed="false" customWidth="true" hidden="false" outlineLevel="0" max="2958" min="2958" style="172" width="12.71"/>
    <col collapsed="false" customWidth="true" hidden="false" outlineLevel="0" max="2959" min="2959" style="172" width="10.85"/>
    <col collapsed="false" customWidth="true" hidden="false" outlineLevel="0" max="2960" min="2960" style="172" width="16.29"/>
    <col collapsed="false" customWidth="true" hidden="false" outlineLevel="0" max="2961" min="2961" style="172" width="8.15"/>
    <col collapsed="false" customWidth="true" hidden="false" outlineLevel="0" max="2966" min="2962" style="172" width="11.71"/>
    <col collapsed="false" customWidth="true" hidden="false" outlineLevel="0" max="2967" min="2967" style="172" width="15.85"/>
    <col collapsed="false" customWidth="false" hidden="false" outlineLevel="0" max="3208" min="2968" style="172" width="8"/>
    <col collapsed="false" customWidth="true" hidden="false" outlineLevel="0" max="3209" min="3209" style="172" width="1.57"/>
    <col collapsed="false" customWidth="true" hidden="false" outlineLevel="0" max="3210" min="3210" style="172" width="48.29"/>
    <col collapsed="false" customWidth="true" hidden="false" outlineLevel="0" max="3211" min="3211" style="172" width="13.29"/>
    <col collapsed="false" customWidth="true" hidden="false" outlineLevel="0" max="3212" min="3212" style="172" width="18.29"/>
    <col collapsed="false" customWidth="true" hidden="false" outlineLevel="0" max="3213" min="3213" style="172" width="18.57"/>
    <col collapsed="false" customWidth="true" hidden="false" outlineLevel="0" max="3214" min="3214" style="172" width="12.71"/>
    <col collapsed="false" customWidth="true" hidden="false" outlineLevel="0" max="3215" min="3215" style="172" width="10.85"/>
    <col collapsed="false" customWidth="true" hidden="false" outlineLevel="0" max="3216" min="3216" style="172" width="16.29"/>
    <col collapsed="false" customWidth="true" hidden="false" outlineLevel="0" max="3217" min="3217" style="172" width="8.15"/>
    <col collapsed="false" customWidth="true" hidden="false" outlineLevel="0" max="3222" min="3218" style="172" width="11.71"/>
    <col collapsed="false" customWidth="true" hidden="false" outlineLevel="0" max="3223" min="3223" style="172" width="15.85"/>
    <col collapsed="false" customWidth="false" hidden="false" outlineLevel="0" max="3464" min="3224" style="172" width="8"/>
    <col collapsed="false" customWidth="true" hidden="false" outlineLevel="0" max="3465" min="3465" style="172" width="1.57"/>
    <col collapsed="false" customWidth="true" hidden="false" outlineLevel="0" max="3466" min="3466" style="172" width="48.29"/>
    <col collapsed="false" customWidth="true" hidden="false" outlineLevel="0" max="3467" min="3467" style="172" width="13.29"/>
    <col collapsed="false" customWidth="true" hidden="false" outlineLevel="0" max="3468" min="3468" style="172" width="18.29"/>
    <col collapsed="false" customWidth="true" hidden="false" outlineLevel="0" max="3469" min="3469" style="172" width="18.57"/>
    <col collapsed="false" customWidth="true" hidden="false" outlineLevel="0" max="3470" min="3470" style="172" width="12.71"/>
    <col collapsed="false" customWidth="true" hidden="false" outlineLevel="0" max="3471" min="3471" style="172" width="10.85"/>
    <col collapsed="false" customWidth="true" hidden="false" outlineLevel="0" max="3472" min="3472" style="172" width="16.29"/>
    <col collapsed="false" customWidth="true" hidden="false" outlineLevel="0" max="3473" min="3473" style="172" width="8.15"/>
    <col collapsed="false" customWidth="true" hidden="false" outlineLevel="0" max="3478" min="3474" style="172" width="11.71"/>
    <col collapsed="false" customWidth="true" hidden="false" outlineLevel="0" max="3479" min="3479" style="172" width="15.85"/>
    <col collapsed="false" customWidth="false" hidden="false" outlineLevel="0" max="3720" min="3480" style="172" width="8"/>
    <col collapsed="false" customWidth="true" hidden="false" outlineLevel="0" max="3721" min="3721" style="172" width="1.57"/>
    <col collapsed="false" customWidth="true" hidden="false" outlineLevel="0" max="3722" min="3722" style="172" width="48.29"/>
    <col collapsed="false" customWidth="true" hidden="false" outlineLevel="0" max="3723" min="3723" style="172" width="13.29"/>
    <col collapsed="false" customWidth="true" hidden="false" outlineLevel="0" max="3724" min="3724" style="172" width="18.29"/>
    <col collapsed="false" customWidth="true" hidden="false" outlineLevel="0" max="3725" min="3725" style="172" width="18.57"/>
    <col collapsed="false" customWidth="true" hidden="false" outlineLevel="0" max="3726" min="3726" style="172" width="12.71"/>
    <col collapsed="false" customWidth="true" hidden="false" outlineLevel="0" max="3727" min="3727" style="172" width="10.85"/>
    <col collapsed="false" customWidth="true" hidden="false" outlineLevel="0" max="3728" min="3728" style="172" width="16.29"/>
    <col collapsed="false" customWidth="true" hidden="false" outlineLevel="0" max="3729" min="3729" style="172" width="8.15"/>
    <col collapsed="false" customWidth="true" hidden="false" outlineLevel="0" max="3734" min="3730" style="172" width="11.71"/>
    <col collapsed="false" customWidth="true" hidden="false" outlineLevel="0" max="3735" min="3735" style="172" width="15.85"/>
    <col collapsed="false" customWidth="false" hidden="false" outlineLevel="0" max="3976" min="3736" style="172" width="8"/>
    <col collapsed="false" customWidth="true" hidden="false" outlineLevel="0" max="3977" min="3977" style="172" width="1.57"/>
    <col collapsed="false" customWidth="true" hidden="false" outlineLevel="0" max="3978" min="3978" style="172" width="48.29"/>
    <col collapsed="false" customWidth="true" hidden="false" outlineLevel="0" max="3979" min="3979" style="172" width="13.29"/>
    <col collapsed="false" customWidth="true" hidden="false" outlineLevel="0" max="3980" min="3980" style="172" width="18.29"/>
    <col collapsed="false" customWidth="true" hidden="false" outlineLevel="0" max="3981" min="3981" style="172" width="18.57"/>
    <col collapsed="false" customWidth="true" hidden="false" outlineLevel="0" max="3982" min="3982" style="172" width="12.71"/>
    <col collapsed="false" customWidth="true" hidden="false" outlineLevel="0" max="3983" min="3983" style="172" width="10.85"/>
    <col collapsed="false" customWidth="true" hidden="false" outlineLevel="0" max="3984" min="3984" style="172" width="16.29"/>
    <col collapsed="false" customWidth="true" hidden="false" outlineLevel="0" max="3985" min="3985" style="172" width="8.15"/>
    <col collapsed="false" customWidth="true" hidden="false" outlineLevel="0" max="3990" min="3986" style="172" width="11.71"/>
    <col collapsed="false" customWidth="true" hidden="false" outlineLevel="0" max="3991" min="3991" style="172" width="15.85"/>
    <col collapsed="false" customWidth="false" hidden="false" outlineLevel="0" max="4232" min="3992" style="172" width="8"/>
    <col collapsed="false" customWidth="true" hidden="false" outlineLevel="0" max="4233" min="4233" style="172" width="1.57"/>
    <col collapsed="false" customWidth="true" hidden="false" outlineLevel="0" max="4234" min="4234" style="172" width="48.29"/>
    <col collapsed="false" customWidth="true" hidden="false" outlineLevel="0" max="4235" min="4235" style="172" width="13.29"/>
    <col collapsed="false" customWidth="true" hidden="false" outlineLevel="0" max="4236" min="4236" style="172" width="18.29"/>
    <col collapsed="false" customWidth="true" hidden="false" outlineLevel="0" max="4237" min="4237" style="172" width="18.57"/>
    <col collapsed="false" customWidth="true" hidden="false" outlineLevel="0" max="4238" min="4238" style="172" width="12.71"/>
    <col collapsed="false" customWidth="true" hidden="false" outlineLevel="0" max="4239" min="4239" style="172" width="10.85"/>
    <col collapsed="false" customWidth="true" hidden="false" outlineLevel="0" max="4240" min="4240" style="172" width="16.29"/>
    <col collapsed="false" customWidth="true" hidden="false" outlineLevel="0" max="4241" min="4241" style="172" width="8.15"/>
    <col collapsed="false" customWidth="true" hidden="false" outlineLevel="0" max="4246" min="4242" style="172" width="11.71"/>
    <col collapsed="false" customWidth="true" hidden="false" outlineLevel="0" max="4247" min="4247" style="172" width="15.85"/>
    <col collapsed="false" customWidth="false" hidden="false" outlineLevel="0" max="4488" min="4248" style="172" width="8"/>
    <col collapsed="false" customWidth="true" hidden="false" outlineLevel="0" max="4489" min="4489" style="172" width="1.57"/>
    <col collapsed="false" customWidth="true" hidden="false" outlineLevel="0" max="4490" min="4490" style="172" width="48.29"/>
    <col collapsed="false" customWidth="true" hidden="false" outlineLevel="0" max="4491" min="4491" style="172" width="13.29"/>
    <col collapsed="false" customWidth="true" hidden="false" outlineLevel="0" max="4492" min="4492" style="172" width="18.29"/>
    <col collapsed="false" customWidth="true" hidden="false" outlineLevel="0" max="4493" min="4493" style="172" width="18.57"/>
    <col collapsed="false" customWidth="true" hidden="false" outlineLevel="0" max="4494" min="4494" style="172" width="12.71"/>
    <col collapsed="false" customWidth="true" hidden="false" outlineLevel="0" max="4495" min="4495" style="172" width="10.85"/>
    <col collapsed="false" customWidth="true" hidden="false" outlineLevel="0" max="4496" min="4496" style="172" width="16.29"/>
    <col collapsed="false" customWidth="true" hidden="false" outlineLevel="0" max="4497" min="4497" style="172" width="8.15"/>
    <col collapsed="false" customWidth="true" hidden="false" outlineLevel="0" max="4502" min="4498" style="172" width="11.71"/>
    <col collapsed="false" customWidth="true" hidden="false" outlineLevel="0" max="4503" min="4503" style="172" width="15.85"/>
    <col collapsed="false" customWidth="false" hidden="false" outlineLevel="0" max="4744" min="4504" style="172" width="8"/>
    <col collapsed="false" customWidth="true" hidden="false" outlineLevel="0" max="4745" min="4745" style="172" width="1.57"/>
    <col collapsed="false" customWidth="true" hidden="false" outlineLevel="0" max="4746" min="4746" style="172" width="48.29"/>
    <col collapsed="false" customWidth="true" hidden="false" outlineLevel="0" max="4747" min="4747" style="172" width="13.29"/>
    <col collapsed="false" customWidth="true" hidden="false" outlineLevel="0" max="4748" min="4748" style="172" width="18.29"/>
    <col collapsed="false" customWidth="true" hidden="false" outlineLevel="0" max="4749" min="4749" style="172" width="18.57"/>
    <col collapsed="false" customWidth="true" hidden="false" outlineLevel="0" max="4750" min="4750" style="172" width="12.71"/>
    <col collapsed="false" customWidth="true" hidden="false" outlineLevel="0" max="4751" min="4751" style="172" width="10.85"/>
    <col collapsed="false" customWidth="true" hidden="false" outlineLevel="0" max="4752" min="4752" style="172" width="16.29"/>
    <col collapsed="false" customWidth="true" hidden="false" outlineLevel="0" max="4753" min="4753" style="172" width="8.15"/>
    <col collapsed="false" customWidth="true" hidden="false" outlineLevel="0" max="4758" min="4754" style="172" width="11.71"/>
    <col collapsed="false" customWidth="true" hidden="false" outlineLevel="0" max="4759" min="4759" style="172" width="15.85"/>
    <col collapsed="false" customWidth="false" hidden="false" outlineLevel="0" max="5000" min="4760" style="172" width="8"/>
    <col collapsed="false" customWidth="true" hidden="false" outlineLevel="0" max="5001" min="5001" style="172" width="1.57"/>
    <col collapsed="false" customWidth="true" hidden="false" outlineLevel="0" max="5002" min="5002" style="172" width="48.29"/>
    <col collapsed="false" customWidth="true" hidden="false" outlineLevel="0" max="5003" min="5003" style="172" width="13.29"/>
    <col collapsed="false" customWidth="true" hidden="false" outlineLevel="0" max="5004" min="5004" style="172" width="18.29"/>
    <col collapsed="false" customWidth="true" hidden="false" outlineLevel="0" max="5005" min="5005" style="172" width="18.57"/>
    <col collapsed="false" customWidth="true" hidden="false" outlineLevel="0" max="5006" min="5006" style="172" width="12.71"/>
    <col collapsed="false" customWidth="true" hidden="false" outlineLevel="0" max="5007" min="5007" style="172" width="10.85"/>
    <col collapsed="false" customWidth="true" hidden="false" outlineLevel="0" max="5008" min="5008" style="172" width="16.29"/>
    <col collapsed="false" customWidth="true" hidden="false" outlineLevel="0" max="5009" min="5009" style="172" width="8.15"/>
    <col collapsed="false" customWidth="true" hidden="false" outlineLevel="0" max="5014" min="5010" style="172" width="11.71"/>
    <col collapsed="false" customWidth="true" hidden="false" outlineLevel="0" max="5015" min="5015" style="172" width="15.85"/>
    <col collapsed="false" customWidth="false" hidden="false" outlineLevel="0" max="5256" min="5016" style="172" width="8"/>
    <col collapsed="false" customWidth="true" hidden="false" outlineLevel="0" max="5257" min="5257" style="172" width="1.57"/>
    <col collapsed="false" customWidth="true" hidden="false" outlineLevel="0" max="5258" min="5258" style="172" width="48.29"/>
    <col collapsed="false" customWidth="true" hidden="false" outlineLevel="0" max="5259" min="5259" style="172" width="13.29"/>
    <col collapsed="false" customWidth="true" hidden="false" outlineLevel="0" max="5260" min="5260" style="172" width="18.29"/>
    <col collapsed="false" customWidth="true" hidden="false" outlineLevel="0" max="5261" min="5261" style="172" width="18.57"/>
    <col collapsed="false" customWidth="true" hidden="false" outlineLevel="0" max="5262" min="5262" style="172" width="12.71"/>
    <col collapsed="false" customWidth="true" hidden="false" outlineLevel="0" max="5263" min="5263" style="172" width="10.85"/>
    <col collapsed="false" customWidth="true" hidden="false" outlineLevel="0" max="5264" min="5264" style="172" width="16.29"/>
    <col collapsed="false" customWidth="true" hidden="false" outlineLevel="0" max="5265" min="5265" style="172" width="8.15"/>
    <col collapsed="false" customWidth="true" hidden="false" outlineLevel="0" max="5270" min="5266" style="172" width="11.71"/>
    <col collapsed="false" customWidth="true" hidden="false" outlineLevel="0" max="5271" min="5271" style="172" width="15.85"/>
    <col collapsed="false" customWidth="false" hidden="false" outlineLevel="0" max="5512" min="5272" style="172" width="8"/>
    <col collapsed="false" customWidth="true" hidden="false" outlineLevel="0" max="5513" min="5513" style="172" width="1.57"/>
    <col collapsed="false" customWidth="true" hidden="false" outlineLevel="0" max="5514" min="5514" style="172" width="48.29"/>
    <col collapsed="false" customWidth="true" hidden="false" outlineLevel="0" max="5515" min="5515" style="172" width="13.29"/>
    <col collapsed="false" customWidth="true" hidden="false" outlineLevel="0" max="5516" min="5516" style="172" width="18.29"/>
    <col collapsed="false" customWidth="true" hidden="false" outlineLevel="0" max="5517" min="5517" style="172" width="18.57"/>
    <col collapsed="false" customWidth="true" hidden="false" outlineLevel="0" max="5518" min="5518" style="172" width="12.71"/>
    <col collapsed="false" customWidth="true" hidden="false" outlineLevel="0" max="5519" min="5519" style="172" width="10.85"/>
    <col collapsed="false" customWidth="true" hidden="false" outlineLevel="0" max="5520" min="5520" style="172" width="16.29"/>
    <col collapsed="false" customWidth="true" hidden="false" outlineLevel="0" max="5521" min="5521" style="172" width="8.15"/>
    <col collapsed="false" customWidth="true" hidden="false" outlineLevel="0" max="5526" min="5522" style="172" width="11.71"/>
    <col collapsed="false" customWidth="true" hidden="false" outlineLevel="0" max="5527" min="5527" style="172" width="15.85"/>
    <col collapsed="false" customWidth="false" hidden="false" outlineLevel="0" max="5768" min="5528" style="172" width="8"/>
    <col collapsed="false" customWidth="true" hidden="false" outlineLevel="0" max="5769" min="5769" style="172" width="1.57"/>
    <col collapsed="false" customWidth="true" hidden="false" outlineLevel="0" max="5770" min="5770" style="172" width="48.29"/>
    <col collapsed="false" customWidth="true" hidden="false" outlineLevel="0" max="5771" min="5771" style="172" width="13.29"/>
    <col collapsed="false" customWidth="true" hidden="false" outlineLevel="0" max="5772" min="5772" style="172" width="18.29"/>
    <col collapsed="false" customWidth="true" hidden="false" outlineLevel="0" max="5773" min="5773" style="172" width="18.57"/>
    <col collapsed="false" customWidth="true" hidden="false" outlineLevel="0" max="5774" min="5774" style="172" width="12.71"/>
    <col collapsed="false" customWidth="true" hidden="false" outlineLevel="0" max="5775" min="5775" style="172" width="10.85"/>
    <col collapsed="false" customWidth="true" hidden="false" outlineLevel="0" max="5776" min="5776" style="172" width="16.29"/>
    <col collapsed="false" customWidth="true" hidden="false" outlineLevel="0" max="5777" min="5777" style="172" width="8.15"/>
    <col collapsed="false" customWidth="true" hidden="false" outlineLevel="0" max="5782" min="5778" style="172" width="11.71"/>
    <col collapsed="false" customWidth="true" hidden="false" outlineLevel="0" max="5783" min="5783" style="172" width="15.85"/>
    <col collapsed="false" customWidth="false" hidden="false" outlineLevel="0" max="6024" min="5784" style="172" width="8"/>
    <col collapsed="false" customWidth="true" hidden="false" outlineLevel="0" max="6025" min="6025" style="172" width="1.57"/>
    <col collapsed="false" customWidth="true" hidden="false" outlineLevel="0" max="6026" min="6026" style="172" width="48.29"/>
    <col collapsed="false" customWidth="true" hidden="false" outlineLevel="0" max="6027" min="6027" style="172" width="13.29"/>
    <col collapsed="false" customWidth="true" hidden="false" outlineLevel="0" max="6028" min="6028" style="172" width="18.29"/>
    <col collapsed="false" customWidth="true" hidden="false" outlineLevel="0" max="6029" min="6029" style="172" width="18.57"/>
    <col collapsed="false" customWidth="true" hidden="false" outlineLevel="0" max="6030" min="6030" style="172" width="12.71"/>
    <col collapsed="false" customWidth="true" hidden="false" outlineLevel="0" max="6031" min="6031" style="172" width="10.85"/>
    <col collapsed="false" customWidth="true" hidden="false" outlineLevel="0" max="6032" min="6032" style="172" width="16.29"/>
    <col collapsed="false" customWidth="true" hidden="false" outlineLevel="0" max="6033" min="6033" style="172" width="8.15"/>
    <col collapsed="false" customWidth="true" hidden="false" outlineLevel="0" max="6038" min="6034" style="172" width="11.71"/>
    <col collapsed="false" customWidth="true" hidden="false" outlineLevel="0" max="6039" min="6039" style="172" width="15.85"/>
    <col collapsed="false" customWidth="false" hidden="false" outlineLevel="0" max="6280" min="6040" style="172" width="8"/>
    <col collapsed="false" customWidth="true" hidden="false" outlineLevel="0" max="6281" min="6281" style="172" width="1.57"/>
    <col collapsed="false" customWidth="true" hidden="false" outlineLevel="0" max="6282" min="6282" style="172" width="48.29"/>
    <col collapsed="false" customWidth="true" hidden="false" outlineLevel="0" max="6283" min="6283" style="172" width="13.29"/>
    <col collapsed="false" customWidth="true" hidden="false" outlineLevel="0" max="6284" min="6284" style="172" width="18.29"/>
    <col collapsed="false" customWidth="true" hidden="false" outlineLevel="0" max="6285" min="6285" style="172" width="18.57"/>
    <col collapsed="false" customWidth="true" hidden="false" outlineLevel="0" max="6286" min="6286" style="172" width="12.71"/>
    <col collapsed="false" customWidth="true" hidden="false" outlineLevel="0" max="6287" min="6287" style="172" width="10.85"/>
    <col collapsed="false" customWidth="true" hidden="false" outlineLevel="0" max="6288" min="6288" style="172" width="16.29"/>
    <col collapsed="false" customWidth="true" hidden="false" outlineLevel="0" max="6289" min="6289" style="172" width="8.15"/>
    <col collapsed="false" customWidth="true" hidden="false" outlineLevel="0" max="6294" min="6290" style="172" width="11.71"/>
    <col collapsed="false" customWidth="true" hidden="false" outlineLevel="0" max="6295" min="6295" style="172" width="15.85"/>
    <col collapsed="false" customWidth="false" hidden="false" outlineLevel="0" max="6536" min="6296" style="172" width="8"/>
    <col collapsed="false" customWidth="true" hidden="false" outlineLevel="0" max="6537" min="6537" style="172" width="1.57"/>
    <col collapsed="false" customWidth="true" hidden="false" outlineLevel="0" max="6538" min="6538" style="172" width="48.29"/>
    <col collapsed="false" customWidth="true" hidden="false" outlineLevel="0" max="6539" min="6539" style="172" width="13.29"/>
    <col collapsed="false" customWidth="true" hidden="false" outlineLevel="0" max="6540" min="6540" style="172" width="18.29"/>
    <col collapsed="false" customWidth="true" hidden="false" outlineLevel="0" max="6541" min="6541" style="172" width="18.57"/>
    <col collapsed="false" customWidth="true" hidden="false" outlineLevel="0" max="6542" min="6542" style="172" width="12.71"/>
    <col collapsed="false" customWidth="true" hidden="false" outlineLevel="0" max="6543" min="6543" style="172" width="10.85"/>
    <col collapsed="false" customWidth="true" hidden="false" outlineLevel="0" max="6544" min="6544" style="172" width="16.29"/>
    <col collapsed="false" customWidth="true" hidden="false" outlineLevel="0" max="6545" min="6545" style="172" width="8.15"/>
    <col collapsed="false" customWidth="true" hidden="false" outlineLevel="0" max="6550" min="6546" style="172" width="11.71"/>
    <col collapsed="false" customWidth="true" hidden="false" outlineLevel="0" max="6551" min="6551" style="172" width="15.85"/>
    <col collapsed="false" customWidth="false" hidden="false" outlineLevel="0" max="6792" min="6552" style="172" width="8"/>
    <col collapsed="false" customWidth="true" hidden="false" outlineLevel="0" max="6793" min="6793" style="172" width="1.57"/>
    <col collapsed="false" customWidth="true" hidden="false" outlineLevel="0" max="6794" min="6794" style="172" width="48.29"/>
    <col collapsed="false" customWidth="true" hidden="false" outlineLevel="0" max="6795" min="6795" style="172" width="13.29"/>
    <col collapsed="false" customWidth="true" hidden="false" outlineLevel="0" max="6796" min="6796" style="172" width="18.29"/>
    <col collapsed="false" customWidth="true" hidden="false" outlineLevel="0" max="6797" min="6797" style="172" width="18.57"/>
    <col collapsed="false" customWidth="true" hidden="false" outlineLevel="0" max="6798" min="6798" style="172" width="12.71"/>
    <col collapsed="false" customWidth="true" hidden="false" outlineLevel="0" max="6799" min="6799" style="172" width="10.85"/>
    <col collapsed="false" customWidth="true" hidden="false" outlineLevel="0" max="6800" min="6800" style="172" width="16.29"/>
    <col collapsed="false" customWidth="true" hidden="false" outlineLevel="0" max="6801" min="6801" style="172" width="8.15"/>
    <col collapsed="false" customWidth="true" hidden="false" outlineLevel="0" max="6806" min="6802" style="172" width="11.71"/>
    <col collapsed="false" customWidth="true" hidden="false" outlineLevel="0" max="6807" min="6807" style="172" width="15.85"/>
    <col collapsed="false" customWidth="false" hidden="false" outlineLevel="0" max="7048" min="6808" style="172" width="8"/>
    <col collapsed="false" customWidth="true" hidden="false" outlineLevel="0" max="7049" min="7049" style="172" width="1.57"/>
    <col collapsed="false" customWidth="true" hidden="false" outlineLevel="0" max="7050" min="7050" style="172" width="48.29"/>
    <col collapsed="false" customWidth="true" hidden="false" outlineLevel="0" max="7051" min="7051" style="172" width="13.29"/>
    <col collapsed="false" customWidth="true" hidden="false" outlineLevel="0" max="7052" min="7052" style="172" width="18.29"/>
    <col collapsed="false" customWidth="true" hidden="false" outlineLevel="0" max="7053" min="7053" style="172" width="18.57"/>
    <col collapsed="false" customWidth="true" hidden="false" outlineLevel="0" max="7054" min="7054" style="172" width="12.71"/>
    <col collapsed="false" customWidth="true" hidden="false" outlineLevel="0" max="7055" min="7055" style="172" width="10.85"/>
    <col collapsed="false" customWidth="true" hidden="false" outlineLevel="0" max="7056" min="7056" style="172" width="16.29"/>
    <col collapsed="false" customWidth="true" hidden="false" outlineLevel="0" max="7057" min="7057" style="172" width="8.15"/>
    <col collapsed="false" customWidth="true" hidden="false" outlineLevel="0" max="7062" min="7058" style="172" width="11.71"/>
    <col collapsed="false" customWidth="true" hidden="false" outlineLevel="0" max="7063" min="7063" style="172" width="15.85"/>
    <col collapsed="false" customWidth="false" hidden="false" outlineLevel="0" max="7304" min="7064" style="172" width="8"/>
    <col collapsed="false" customWidth="true" hidden="false" outlineLevel="0" max="7305" min="7305" style="172" width="1.57"/>
    <col collapsed="false" customWidth="true" hidden="false" outlineLevel="0" max="7306" min="7306" style="172" width="48.29"/>
    <col collapsed="false" customWidth="true" hidden="false" outlineLevel="0" max="7307" min="7307" style="172" width="13.29"/>
    <col collapsed="false" customWidth="true" hidden="false" outlineLevel="0" max="7308" min="7308" style="172" width="18.29"/>
    <col collapsed="false" customWidth="true" hidden="false" outlineLevel="0" max="7309" min="7309" style="172" width="18.57"/>
    <col collapsed="false" customWidth="true" hidden="false" outlineLevel="0" max="7310" min="7310" style="172" width="12.71"/>
    <col collapsed="false" customWidth="true" hidden="false" outlineLevel="0" max="7311" min="7311" style="172" width="10.85"/>
    <col collapsed="false" customWidth="true" hidden="false" outlineLevel="0" max="7312" min="7312" style="172" width="16.29"/>
    <col collapsed="false" customWidth="true" hidden="false" outlineLevel="0" max="7313" min="7313" style="172" width="8.15"/>
    <col collapsed="false" customWidth="true" hidden="false" outlineLevel="0" max="7318" min="7314" style="172" width="11.71"/>
    <col collapsed="false" customWidth="true" hidden="false" outlineLevel="0" max="7319" min="7319" style="172" width="15.85"/>
    <col collapsed="false" customWidth="false" hidden="false" outlineLevel="0" max="7560" min="7320" style="172" width="8"/>
    <col collapsed="false" customWidth="true" hidden="false" outlineLevel="0" max="7561" min="7561" style="172" width="1.57"/>
    <col collapsed="false" customWidth="true" hidden="false" outlineLevel="0" max="7562" min="7562" style="172" width="48.29"/>
    <col collapsed="false" customWidth="true" hidden="false" outlineLevel="0" max="7563" min="7563" style="172" width="13.29"/>
    <col collapsed="false" customWidth="true" hidden="false" outlineLevel="0" max="7564" min="7564" style="172" width="18.29"/>
    <col collapsed="false" customWidth="true" hidden="false" outlineLevel="0" max="7565" min="7565" style="172" width="18.57"/>
    <col collapsed="false" customWidth="true" hidden="false" outlineLevel="0" max="7566" min="7566" style="172" width="12.71"/>
    <col collapsed="false" customWidth="true" hidden="false" outlineLevel="0" max="7567" min="7567" style="172" width="10.85"/>
    <col collapsed="false" customWidth="true" hidden="false" outlineLevel="0" max="7568" min="7568" style="172" width="16.29"/>
    <col collapsed="false" customWidth="true" hidden="false" outlineLevel="0" max="7569" min="7569" style="172" width="8.15"/>
    <col collapsed="false" customWidth="true" hidden="false" outlineLevel="0" max="7574" min="7570" style="172" width="11.71"/>
    <col collapsed="false" customWidth="true" hidden="false" outlineLevel="0" max="7575" min="7575" style="172" width="15.85"/>
    <col collapsed="false" customWidth="false" hidden="false" outlineLevel="0" max="7816" min="7576" style="172" width="8"/>
    <col collapsed="false" customWidth="true" hidden="false" outlineLevel="0" max="7817" min="7817" style="172" width="1.57"/>
    <col collapsed="false" customWidth="true" hidden="false" outlineLevel="0" max="7818" min="7818" style="172" width="48.29"/>
    <col collapsed="false" customWidth="true" hidden="false" outlineLevel="0" max="7819" min="7819" style="172" width="13.29"/>
    <col collapsed="false" customWidth="true" hidden="false" outlineLevel="0" max="7820" min="7820" style="172" width="18.29"/>
    <col collapsed="false" customWidth="true" hidden="false" outlineLevel="0" max="7821" min="7821" style="172" width="18.57"/>
    <col collapsed="false" customWidth="true" hidden="false" outlineLevel="0" max="7822" min="7822" style="172" width="12.71"/>
    <col collapsed="false" customWidth="true" hidden="false" outlineLevel="0" max="7823" min="7823" style="172" width="10.85"/>
    <col collapsed="false" customWidth="true" hidden="false" outlineLevel="0" max="7824" min="7824" style="172" width="16.29"/>
    <col collapsed="false" customWidth="true" hidden="false" outlineLevel="0" max="7825" min="7825" style="172" width="8.15"/>
    <col collapsed="false" customWidth="true" hidden="false" outlineLevel="0" max="7830" min="7826" style="172" width="11.71"/>
    <col collapsed="false" customWidth="true" hidden="false" outlineLevel="0" max="7831" min="7831" style="172" width="15.85"/>
    <col collapsed="false" customWidth="false" hidden="false" outlineLevel="0" max="8072" min="7832" style="172" width="8"/>
    <col collapsed="false" customWidth="true" hidden="false" outlineLevel="0" max="8073" min="8073" style="172" width="1.57"/>
    <col collapsed="false" customWidth="true" hidden="false" outlineLevel="0" max="8074" min="8074" style="172" width="48.29"/>
    <col collapsed="false" customWidth="true" hidden="false" outlineLevel="0" max="8075" min="8075" style="172" width="13.29"/>
    <col collapsed="false" customWidth="true" hidden="false" outlineLevel="0" max="8076" min="8076" style="172" width="18.29"/>
    <col collapsed="false" customWidth="true" hidden="false" outlineLevel="0" max="8077" min="8077" style="172" width="18.57"/>
    <col collapsed="false" customWidth="true" hidden="false" outlineLevel="0" max="8078" min="8078" style="172" width="12.71"/>
    <col collapsed="false" customWidth="true" hidden="false" outlineLevel="0" max="8079" min="8079" style="172" width="10.85"/>
    <col collapsed="false" customWidth="true" hidden="false" outlineLevel="0" max="8080" min="8080" style="172" width="16.29"/>
    <col collapsed="false" customWidth="true" hidden="false" outlineLevel="0" max="8081" min="8081" style="172" width="8.15"/>
    <col collapsed="false" customWidth="true" hidden="false" outlineLevel="0" max="8086" min="8082" style="172" width="11.71"/>
    <col collapsed="false" customWidth="true" hidden="false" outlineLevel="0" max="8087" min="8087" style="172" width="15.85"/>
    <col collapsed="false" customWidth="false" hidden="false" outlineLevel="0" max="8328" min="8088" style="172" width="8"/>
    <col collapsed="false" customWidth="true" hidden="false" outlineLevel="0" max="8329" min="8329" style="172" width="1.57"/>
    <col collapsed="false" customWidth="true" hidden="false" outlineLevel="0" max="8330" min="8330" style="172" width="48.29"/>
    <col collapsed="false" customWidth="true" hidden="false" outlineLevel="0" max="8331" min="8331" style="172" width="13.29"/>
    <col collapsed="false" customWidth="true" hidden="false" outlineLevel="0" max="8332" min="8332" style="172" width="18.29"/>
    <col collapsed="false" customWidth="true" hidden="false" outlineLevel="0" max="8333" min="8333" style="172" width="18.57"/>
    <col collapsed="false" customWidth="true" hidden="false" outlineLevel="0" max="8334" min="8334" style="172" width="12.71"/>
    <col collapsed="false" customWidth="true" hidden="false" outlineLevel="0" max="8335" min="8335" style="172" width="10.85"/>
    <col collapsed="false" customWidth="true" hidden="false" outlineLevel="0" max="8336" min="8336" style="172" width="16.29"/>
    <col collapsed="false" customWidth="true" hidden="false" outlineLevel="0" max="8337" min="8337" style="172" width="8.15"/>
    <col collapsed="false" customWidth="true" hidden="false" outlineLevel="0" max="8342" min="8338" style="172" width="11.71"/>
    <col collapsed="false" customWidth="true" hidden="false" outlineLevel="0" max="8343" min="8343" style="172" width="15.85"/>
    <col collapsed="false" customWidth="false" hidden="false" outlineLevel="0" max="8584" min="8344" style="172" width="8"/>
    <col collapsed="false" customWidth="true" hidden="false" outlineLevel="0" max="8585" min="8585" style="172" width="1.57"/>
    <col collapsed="false" customWidth="true" hidden="false" outlineLevel="0" max="8586" min="8586" style="172" width="48.29"/>
    <col collapsed="false" customWidth="true" hidden="false" outlineLevel="0" max="8587" min="8587" style="172" width="13.29"/>
    <col collapsed="false" customWidth="true" hidden="false" outlineLevel="0" max="8588" min="8588" style="172" width="18.29"/>
    <col collapsed="false" customWidth="true" hidden="false" outlineLevel="0" max="8589" min="8589" style="172" width="18.57"/>
    <col collapsed="false" customWidth="true" hidden="false" outlineLevel="0" max="8590" min="8590" style="172" width="12.71"/>
    <col collapsed="false" customWidth="true" hidden="false" outlineLevel="0" max="8591" min="8591" style="172" width="10.85"/>
    <col collapsed="false" customWidth="true" hidden="false" outlineLevel="0" max="8592" min="8592" style="172" width="16.29"/>
    <col collapsed="false" customWidth="true" hidden="false" outlineLevel="0" max="8593" min="8593" style="172" width="8.15"/>
    <col collapsed="false" customWidth="true" hidden="false" outlineLevel="0" max="8598" min="8594" style="172" width="11.71"/>
    <col collapsed="false" customWidth="true" hidden="false" outlineLevel="0" max="8599" min="8599" style="172" width="15.85"/>
    <col collapsed="false" customWidth="false" hidden="false" outlineLevel="0" max="8840" min="8600" style="172" width="8"/>
    <col collapsed="false" customWidth="true" hidden="false" outlineLevel="0" max="8841" min="8841" style="172" width="1.57"/>
    <col collapsed="false" customWidth="true" hidden="false" outlineLevel="0" max="8842" min="8842" style="172" width="48.29"/>
    <col collapsed="false" customWidth="true" hidden="false" outlineLevel="0" max="8843" min="8843" style="172" width="13.29"/>
    <col collapsed="false" customWidth="true" hidden="false" outlineLevel="0" max="8844" min="8844" style="172" width="18.29"/>
    <col collapsed="false" customWidth="true" hidden="false" outlineLevel="0" max="8845" min="8845" style="172" width="18.57"/>
    <col collapsed="false" customWidth="true" hidden="false" outlineLevel="0" max="8846" min="8846" style="172" width="12.71"/>
    <col collapsed="false" customWidth="true" hidden="false" outlineLevel="0" max="8847" min="8847" style="172" width="10.85"/>
    <col collapsed="false" customWidth="true" hidden="false" outlineLevel="0" max="8848" min="8848" style="172" width="16.29"/>
    <col collapsed="false" customWidth="true" hidden="false" outlineLevel="0" max="8849" min="8849" style="172" width="8.15"/>
    <col collapsed="false" customWidth="true" hidden="false" outlineLevel="0" max="8854" min="8850" style="172" width="11.71"/>
    <col collapsed="false" customWidth="true" hidden="false" outlineLevel="0" max="8855" min="8855" style="172" width="15.85"/>
    <col collapsed="false" customWidth="false" hidden="false" outlineLevel="0" max="9096" min="8856" style="172" width="8"/>
    <col collapsed="false" customWidth="true" hidden="false" outlineLevel="0" max="9097" min="9097" style="172" width="1.57"/>
    <col collapsed="false" customWidth="true" hidden="false" outlineLevel="0" max="9098" min="9098" style="172" width="48.29"/>
    <col collapsed="false" customWidth="true" hidden="false" outlineLevel="0" max="9099" min="9099" style="172" width="13.29"/>
    <col collapsed="false" customWidth="true" hidden="false" outlineLevel="0" max="9100" min="9100" style="172" width="18.29"/>
    <col collapsed="false" customWidth="true" hidden="false" outlineLevel="0" max="9101" min="9101" style="172" width="18.57"/>
    <col collapsed="false" customWidth="true" hidden="false" outlineLevel="0" max="9102" min="9102" style="172" width="12.71"/>
    <col collapsed="false" customWidth="true" hidden="false" outlineLevel="0" max="9103" min="9103" style="172" width="10.85"/>
    <col collapsed="false" customWidth="true" hidden="false" outlineLevel="0" max="9104" min="9104" style="172" width="16.29"/>
    <col collapsed="false" customWidth="true" hidden="false" outlineLevel="0" max="9105" min="9105" style="172" width="8.15"/>
    <col collapsed="false" customWidth="true" hidden="false" outlineLevel="0" max="9110" min="9106" style="172" width="11.71"/>
    <col collapsed="false" customWidth="true" hidden="false" outlineLevel="0" max="9111" min="9111" style="172" width="15.85"/>
    <col collapsed="false" customWidth="false" hidden="false" outlineLevel="0" max="9352" min="9112" style="172" width="8"/>
    <col collapsed="false" customWidth="true" hidden="false" outlineLevel="0" max="9353" min="9353" style="172" width="1.57"/>
    <col collapsed="false" customWidth="true" hidden="false" outlineLevel="0" max="9354" min="9354" style="172" width="48.29"/>
    <col collapsed="false" customWidth="true" hidden="false" outlineLevel="0" max="9355" min="9355" style="172" width="13.29"/>
    <col collapsed="false" customWidth="true" hidden="false" outlineLevel="0" max="9356" min="9356" style="172" width="18.29"/>
    <col collapsed="false" customWidth="true" hidden="false" outlineLevel="0" max="9357" min="9357" style="172" width="18.57"/>
    <col collapsed="false" customWidth="true" hidden="false" outlineLevel="0" max="9358" min="9358" style="172" width="12.71"/>
    <col collapsed="false" customWidth="true" hidden="false" outlineLevel="0" max="9359" min="9359" style="172" width="10.85"/>
    <col collapsed="false" customWidth="true" hidden="false" outlineLevel="0" max="9360" min="9360" style="172" width="16.29"/>
    <col collapsed="false" customWidth="true" hidden="false" outlineLevel="0" max="9361" min="9361" style="172" width="8.15"/>
    <col collapsed="false" customWidth="true" hidden="false" outlineLevel="0" max="9366" min="9362" style="172" width="11.71"/>
    <col collapsed="false" customWidth="true" hidden="false" outlineLevel="0" max="9367" min="9367" style="172" width="15.85"/>
    <col collapsed="false" customWidth="false" hidden="false" outlineLevel="0" max="9608" min="9368" style="172" width="8"/>
    <col collapsed="false" customWidth="true" hidden="false" outlineLevel="0" max="9609" min="9609" style="172" width="1.57"/>
    <col collapsed="false" customWidth="true" hidden="false" outlineLevel="0" max="9610" min="9610" style="172" width="48.29"/>
    <col collapsed="false" customWidth="true" hidden="false" outlineLevel="0" max="9611" min="9611" style="172" width="13.29"/>
    <col collapsed="false" customWidth="true" hidden="false" outlineLevel="0" max="9612" min="9612" style="172" width="18.29"/>
    <col collapsed="false" customWidth="true" hidden="false" outlineLevel="0" max="9613" min="9613" style="172" width="18.57"/>
    <col collapsed="false" customWidth="true" hidden="false" outlineLevel="0" max="9614" min="9614" style="172" width="12.71"/>
    <col collapsed="false" customWidth="true" hidden="false" outlineLevel="0" max="9615" min="9615" style="172" width="10.85"/>
    <col collapsed="false" customWidth="true" hidden="false" outlineLevel="0" max="9616" min="9616" style="172" width="16.29"/>
    <col collapsed="false" customWidth="true" hidden="false" outlineLevel="0" max="9617" min="9617" style="172" width="8.15"/>
    <col collapsed="false" customWidth="true" hidden="false" outlineLevel="0" max="9622" min="9618" style="172" width="11.71"/>
    <col collapsed="false" customWidth="true" hidden="false" outlineLevel="0" max="9623" min="9623" style="172" width="15.85"/>
    <col collapsed="false" customWidth="false" hidden="false" outlineLevel="0" max="9864" min="9624" style="172" width="8"/>
    <col collapsed="false" customWidth="true" hidden="false" outlineLevel="0" max="9865" min="9865" style="172" width="1.57"/>
    <col collapsed="false" customWidth="true" hidden="false" outlineLevel="0" max="9866" min="9866" style="172" width="48.29"/>
    <col collapsed="false" customWidth="true" hidden="false" outlineLevel="0" max="9867" min="9867" style="172" width="13.29"/>
    <col collapsed="false" customWidth="true" hidden="false" outlineLevel="0" max="9868" min="9868" style="172" width="18.29"/>
    <col collapsed="false" customWidth="true" hidden="false" outlineLevel="0" max="9869" min="9869" style="172" width="18.57"/>
    <col collapsed="false" customWidth="true" hidden="false" outlineLevel="0" max="9870" min="9870" style="172" width="12.71"/>
    <col collapsed="false" customWidth="true" hidden="false" outlineLevel="0" max="9871" min="9871" style="172" width="10.85"/>
    <col collapsed="false" customWidth="true" hidden="false" outlineLevel="0" max="9872" min="9872" style="172" width="16.29"/>
    <col collapsed="false" customWidth="true" hidden="false" outlineLevel="0" max="9873" min="9873" style="172" width="8.15"/>
    <col collapsed="false" customWidth="true" hidden="false" outlineLevel="0" max="9878" min="9874" style="172" width="11.71"/>
    <col collapsed="false" customWidth="true" hidden="false" outlineLevel="0" max="9879" min="9879" style="172" width="15.85"/>
    <col collapsed="false" customWidth="false" hidden="false" outlineLevel="0" max="10120" min="9880" style="172" width="8"/>
    <col collapsed="false" customWidth="true" hidden="false" outlineLevel="0" max="10121" min="10121" style="172" width="1.57"/>
    <col collapsed="false" customWidth="true" hidden="false" outlineLevel="0" max="10122" min="10122" style="172" width="48.29"/>
    <col collapsed="false" customWidth="true" hidden="false" outlineLevel="0" max="10123" min="10123" style="172" width="13.29"/>
    <col collapsed="false" customWidth="true" hidden="false" outlineLevel="0" max="10124" min="10124" style="172" width="18.29"/>
    <col collapsed="false" customWidth="true" hidden="false" outlineLevel="0" max="10125" min="10125" style="172" width="18.57"/>
    <col collapsed="false" customWidth="true" hidden="false" outlineLevel="0" max="10126" min="10126" style="172" width="12.71"/>
    <col collapsed="false" customWidth="true" hidden="false" outlineLevel="0" max="10127" min="10127" style="172" width="10.85"/>
    <col collapsed="false" customWidth="true" hidden="false" outlineLevel="0" max="10128" min="10128" style="172" width="16.29"/>
    <col collapsed="false" customWidth="true" hidden="false" outlineLevel="0" max="10129" min="10129" style="172" width="8.15"/>
    <col collapsed="false" customWidth="true" hidden="false" outlineLevel="0" max="10134" min="10130" style="172" width="11.71"/>
    <col collapsed="false" customWidth="true" hidden="false" outlineLevel="0" max="10135" min="10135" style="172" width="15.85"/>
    <col collapsed="false" customWidth="false" hidden="false" outlineLevel="0" max="10376" min="10136" style="172" width="8"/>
    <col collapsed="false" customWidth="true" hidden="false" outlineLevel="0" max="10377" min="10377" style="172" width="1.57"/>
    <col collapsed="false" customWidth="true" hidden="false" outlineLevel="0" max="10378" min="10378" style="172" width="48.29"/>
    <col collapsed="false" customWidth="true" hidden="false" outlineLevel="0" max="10379" min="10379" style="172" width="13.29"/>
    <col collapsed="false" customWidth="true" hidden="false" outlineLevel="0" max="10380" min="10380" style="172" width="18.29"/>
    <col collapsed="false" customWidth="true" hidden="false" outlineLevel="0" max="10381" min="10381" style="172" width="18.57"/>
    <col collapsed="false" customWidth="true" hidden="false" outlineLevel="0" max="10382" min="10382" style="172" width="12.71"/>
    <col collapsed="false" customWidth="true" hidden="false" outlineLevel="0" max="10383" min="10383" style="172" width="10.85"/>
    <col collapsed="false" customWidth="true" hidden="false" outlineLevel="0" max="10384" min="10384" style="172" width="16.29"/>
    <col collapsed="false" customWidth="true" hidden="false" outlineLevel="0" max="10385" min="10385" style="172" width="8.15"/>
    <col collapsed="false" customWidth="true" hidden="false" outlineLevel="0" max="10390" min="10386" style="172" width="11.71"/>
    <col collapsed="false" customWidth="true" hidden="false" outlineLevel="0" max="10391" min="10391" style="172" width="15.85"/>
    <col collapsed="false" customWidth="false" hidden="false" outlineLevel="0" max="10632" min="10392" style="172" width="8"/>
    <col collapsed="false" customWidth="true" hidden="false" outlineLevel="0" max="10633" min="10633" style="172" width="1.57"/>
    <col collapsed="false" customWidth="true" hidden="false" outlineLevel="0" max="10634" min="10634" style="172" width="48.29"/>
    <col collapsed="false" customWidth="true" hidden="false" outlineLevel="0" max="10635" min="10635" style="172" width="13.29"/>
    <col collapsed="false" customWidth="true" hidden="false" outlineLevel="0" max="10636" min="10636" style="172" width="18.29"/>
    <col collapsed="false" customWidth="true" hidden="false" outlineLevel="0" max="10637" min="10637" style="172" width="18.57"/>
    <col collapsed="false" customWidth="true" hidden="false" outlineLevel="0" max="10638" min="10638" style="172" width="12.71"/>
    <col collapsed="false" customWidth="true" hidden="false" outlineLevel="0" max="10639" min="10639" style="172" width="10.85"/>
    <col collapsed="false" customWidth="true" hidden="false" outlineLevel="0" max="10640" min="10640" style="172" width="16.29"/>
    <col collapsed="false" customWidth="true" hidden="false" outlineLevel="0" max="10641" min="10641" style="172" width="8.15"/>
    <col collapsed="false" customWidth="true" hidden="false" outlineLevel="0" max="10646" min="10642" style="172" width="11.71"/>
    <col collapsed="false" customWidth="true" hidden="false" outlineLevel="0" max="10647" min="10647" style="172" width="15.85"/>
    <col collapsed="false" customWidth="false" hidden="false" outlineLevel="0" max="10888" min="10648" style="172" width="8"/>
    <col collapsed="false" customWidth="true" hidden="false" outlineLevel="0" max="10889" min="10889" style="172" width="1.57"/>
    <col collapsed="false" customWidth="true" hidden="false" outlineLevel="0" max="10890" min="10890" style="172" width="48.29"/>
    <col collapsed="false" customWidth="true" hidden="false" outlineLevel="0" max="10891" min="10891" style="172" width="13.29"/>
    <col collapsed="false" customWidth="true" hidden="false" outlineLevel="0" max="10892" min="10892" style="172" width="18.29"/>
    <col collapsed="false" customWidth="true" hidden="false" outlineLevel="0" max="10893" min="10893" style="172" width="18.57"/>
    <col collapsed="false" customWidth="true" hidden="false" outlineLevel="0" max="10894" min="10894" style="172" width="12.71"/>
    <col collapsed="false" customWidth="true" hidden="false" outlineLevel="0" max="10895" min="10895" style="172" width="10.85"/>
    <col collapsed="false" customWidth="true" hidden="false" outlineLevel="0" max="10896" min="10896" style="172" width="16.29"/>
    <col collapsed="false" customWidth="true" hidden="false" outlineLevel="0" max="10897" min="10897" style="172" width="8.15"/>
    <col collapsed="false" customWidth="true" hidden="false" outlineLevel="0" max="10902" min="10898" style="172" width="11.71"/>
    <col collapsed="false" customWidth="true" hidden="false" outlineLevel="0" max="10903" min="10903" style="172" width="15.85"/>
    <col collapsed="false" customWidth="false" hidden="false" outlineLevel="0" max="11144" min="10904" style="172" width="8"/>
    <col collapsed="false" customWidth="true" hidden="false" outlineLevel="0" max="11145" min="11145" style="172" width="1.57"/>
    <col collapsed="false" customWidth="true" hidden="false" outlineLevel="0" max="11146" min="11146" style="172" width="48.29"/>
    <col collapsed="false" customWidth="true" hidden="false" outlineLevel="0" max="11147" min="11147" style="172" width="13.29"/>
    <col collapsed="false" customWidth="true" hidden="false" outlineLevel="0" max="11148" min="11148" style="172" width="18.29"/>
    <col collapsed="false" customWidth="true" hidden="false" outlineLevel="0" max="11149" min="11149" style="172" width="18.57"/>
    <col collapsed="false" customWidth="true" hidden="false" outlineLevel="0" max="11150" min="11150" style="172" width="12.71"/>
    <col collapsed="false" customWidth="true" hidden="false" outlineLevel="0" max="11151" min="11151" style="172" width="10.85"/>
    <col collapsed="false" customWidth="true" hidden="false" outlineLevel="0" max="11152" min="11152" style="172" width="16.29"/>
    <col collapsed="false" customWidth="true" hidden="false" outlineLevel="0" max="11153" min="11153" style="172" width="8.15"/>
    <col collapsed="false" customWidth="true" hidden="false" outlineLevel="0" max="11158" min="11154" style="172" width="11.71"/>
    <col collapsed="false" customWidth="true" hidden="false" outlineLevel="0" max="11159" min="11159" style="172" width="15.85"/>
    <col collapsed="false" customWidth="false" hidden="false" outlineLevel="0" max="11400" min="11160" style="172" width="8"/>
    <col collapsed="false" customWidth="true" hidden="false" outlineLevel="0" max="11401" min="11401" style="172" width="1.57"/>
    <col collapsed="false" customWidth="true" hidden="false" outlineLevel="0" max="11402" min="11402" style="172" width="48.29"/>
    <col collapsed="false" customWidth="true" hidden="false" outlineLevel="0" max="11403" min="11403" style="172" width="13.29"/>
    <col collapsed="false" customWidth="true" hidden="false" outlineLevel="0" max="11404" min="11404" style="172" width="18.29"/>
    <col collapsed="false" customWidth="true" hidden="false" outlineLevel="0" max="11405" min="11405" style="172" width="18.57"/>
    <col collapsed="false" customWidth="true" hidden="false" outlineLevel="0" max="11406" min="11406" style="172" width="12.71"/>
    <col collapsed="false" customWidth="true" hidden="false" outlineLevel="0" max="11407" min="11407" style="172" width="10.85"/>
    <col collapsed="false" customWidth="true" hidden="false" outlineLevel="0" max="11408" min="11408" style="172" width="16.29"/>
    <col collapsed="false" customWidth="true" hidden="false" outlineLevel="0" max="11409" min="11409" style="172" width="8.15"/>
    <col collapsed="false" customWidth="true" hidden="false" outlineLevel="0" max="11414" min="11410" style="172" width="11.71"/>
    <col collapsed="false" customWidth="true" hidden="false" outlineLevel="0" max="11415" min="11415" style="172" width="15.85"/>
    <col collapsed="false" customWidth="false" hidden="false" outlineLevel="0" max="11656" min="11416" style="172" width="8"/>
    <col collapsed="false" customWidth="true" hidden="false" outlineLevel="0" max="11657" min="11657" style="172" width="1.57"/>
    <col collapsed="false" customWidth="true" hidden="false" outlineLevel="0" max="11658" min="11658" style="172" width="48.29"/>
    <col collapsed="false" customWidth="true" hidden="false" outlineLevel="0" max="11659" min="11659" style="172" width="13.29"/>
    <col collapsed="false" customWidth="true" hidden="false" outlineLevel="0" max="11660" min="11660" style="172" width="18.29"/>
    <col collapsed="false" customWidth="true" hidden="false" outlineLevel="0" max="11661" min="11661" style="172" width="18.57"/>
    <col collapsed="false" customWidth="true" hidden="false" outlineLevel="0" max="11662" min="11662" style="172" width="12.71"/>
    <col collapsed="false" customWidth="true" hidden="false" outlineLevel="0" max="11663" min="11663" style="172" width="10.85"/>
    <col collapsed="false" customWidth="true" hidden="false" outlineLevel="0" max="11664" min="11664" style="172" width="16.29"/>
    <col collapsed="false" customWidth="true" hidden="false" outlineLevel="0" max="11665" min="11665" style="172" width="8.15"/>
    <col collapsed="false" customWidth="true" hidden="false" outlineLevel="0" max="11670" min="11666" style="172" width="11.71"/>
    <col collapsed="false" customWidth="true" hidden="false" outlineLevel="0" max="11671" min="11671" style="172" width="15.85"/>
    <col collapsed="false" customWidth="false" hidden="false" outlineLevel="0" max="11912" min="11672" style="172" width="8"/>
    <col collapsed="false" customWidth="true" hidden="false" outlineLevel="0" max="11913" min="11913" style="172" width="1.57"/>
    <col collapsed="false" customWidth="true" hidden="false" outlineLevel="0" max="11914" min="11914" style="172" width="48.29"/>
    <col collapsed="false" customWidth="true" hidden="false" outlineLevel="0" max="11915" min="11915" style="172" width="13.29"/>
    <col collapsed="false" customWidth="true" hidden="false" outlineLevel="0" max="11916" min="11916" style="172" width="18.29"/>
    <col collapsed="false" customWidth="true" hidden="false" outlineLevel="0" max="11917" min="11917" style="172" width="18.57"/>
    <col collapsed="false" customWidth="true" hidden="false" outlineLevel="0" max="11918" min="11918" style="172" width="12.71"/>
    <col collapsed="false" customWidth="true" hidden="false" outlineLevel="0" max="11919" min="11919" style="172" width="10.85"/>
    <col collapsed="false" customWidth="true" hidden="false" outlineLevel="0" max="11920" min="11920" style="172" width="16.29"/>
    <col collapsed="false" customWidth="true" hidden="false" outlineLevel="0" max="11921" min="11921" style="172" width="8.15"/>
    <col collapsed="false" customWidth="true" hidden="false" outlineLevel="0" max="11926" min="11922" style="172" width="11.71"/>
    <col collapsed="false" customWidth="true" hidden="false" outlineLevel="0" max="11927" min="11927" style="172" width="15.85"/>
    <col collapsed="false" customWidth="false" hidden="false" outlineLevel="0" max="12168" min="11928" style="172" width="8"/>
    <col collapsed="false" customWidth="true" hidden="false" outlineLevel="0" max="12169" min="12169" style="172" width="1.57"/>
    <col collapsed="false" customWidth="true" hidden="false" outlineLevel="0" max="12170" min="12170" style="172" width="48.29"/>
    <col collapsed="false" customWidth="true" hidden="false" outlineLevel="0" max="12171" min="12171" style="172" width="13.29"/>
    <col collapsed="false" customWidth="true" hidden="false" outlineLevel="0" max="12172" min="12172" style="172" width="18.29"/>
    <col collapsed="false" customWidth="true" hidden="false" outlineLevel="0" max="12173" min="12173" style="172" width="18.57"/>
    <col collapsed="false" customWidth="true" hidden="false" outlineLevel="0" max="12174" min="12174" style="172" width="12.71"/>
    <col collapsed="false" customWidth="true" hidden="false" outlineLevel="0" max="12175" min="12175" style="172" width="10.85"/>
    <col collapsed="false" customWidth="true" hidden="false" outlineLevel="0" max="12176" min="12176" style="172" width="16.29"/>
    <col collapsed="false" customWidth="true" hidden="false" outlineLevel="0" max="12177" min="12177" style="172" width="8.15"/>
    <col collapsed="false" customWidth="true" hidden="false" outlineLevel="0" max="12182" min="12178" style="172" width="11.71"/>
    <col collapsed="false" customWidth="true" hidden="false" outlineLevel="0" max="12183" min="12183" style="172" width="15.85"/>
    <col collapsed="false" customWidth="false" hidden="false" outlineLevel="0" max="12424" min="12184" style="172" width="8"/>
    <col collapsed="false" customWidth="true" hidden="false" outlineLevel="0" max="12425" min="12425" style="172" width="1.57"/>
    <col collapsed="false" customWidth="true" hidden="false" outlineLevel="0" max="12426" min="12426" style="172" width="48.29"/>
    <col collapsed="false" customWidth="true" hidden="false" outlineLevel="0" max="12427" min="12427" style="172" width="13.29"/>
    <col collapsed="false" customWidth="true" hidden="false" outlineLevel="0" max="12428" min="12428" style="172" width="18.29"/>
    <col collapsed="false" customWidth="true" hidden="false" outlineLevel="0" max="12429" min="12429" style="172" width="18.57"/>
    <col collapsed="false" customWidth="true" hidden="false" outlineLevel="0" max="12430" min="12430" style="172" width="12.71"/>
    <col collapsed="false" customWidth="true" hidden="false" outlineLevel="0" max="12431" min="12431" style="172" width="10.85"/>
    <col collapsed="false" customWidth="true" hidden="false" outlineLevel="0" max="12432" min="12432" style="172" width="16.29"/>
    <col collapsed="false" customWidth="true" hidden="false" outlineLevel="0" max="12433" min="12433" style="172" width="8.15"/>
    <col collapsed="false" customWidth="true" hidden="false" outlineLevel="0" max="12438" min="12434" style="172" width="11.71"/>
    <col collapsed="false" customWidth="true" hidden="false" outlineLevel="0" max="12439" min="12439" style="172" width="15.85"/>
    <col collapsed="false" customWidth="false" hidden="false" outlineLevel="0" max="12680" min="12440" style="172" width="8"/>
    <col collapsed="false" customWidth="true" hidden="false" outlineLevel="0" max="12681" min="12681" style="172" width="1.57"/>
    <col collapsed="false" customWidth="true" hidden="false" outlineLevel="0" max="12682" min="12682" style="172" width="48.29"/>
    <col collapsed="false" customWidth="true" hidden="false" outlineLevel="0" max="12683" min="12683" style="172" width="13.29"/>
    <col collapsed="false" customWidth="true" hidden="false" outlineLevel="0" max="12684" min="12684" style="172" width="18.29"/>
    <col collapsed="false" customWidth="true" hidden="false" outlineLevel="0" max="12685" min="12685" style="172" width="18.57"/>
    <col collapsed="false" customWidth="true" hidden="false" outlineLevel="0" max="12686" min="12686" style="172" width="12.71"/>
    <col collapsed="false" customWidth="true" hidden="false" outlineLevel="0" max="12687" min="12687" style="172" width="10.85"/>
    <col collapsed="false" customWidth="true" hidden="false" outlineLevel="0" max="12688" min="12688" style="172" width="16.29"/>
    <col collapsed="false" customWidth="true" hidden="false" outlineLevel="0" max="12689" min="12689" style="172" width="8.15"/>
    <col collapsed="false" customWidth="true" hidden="false" outlineLevel="0" max="12694" min="12690" style="172" width="11.71"/>
    <col collapsed="false" customWidth="true" hidden="false" outlineLevel="0" max="12695" min="12695" style="172" width="15.85"/>
    <col collapsed="false" customWidth="false" hidden="false" outlineLevel="0" max="12936" min="12696" style="172" width="8"/>
    <col collapsed="false" customWidth="true" hidden="false" outlineLevel="0" max="12937" min="12937" style="172" width="1.57"/>
    <col collapsed="false" customWidth="true" hidden="false" outlineLevel="0" max="12938" min="12938" style="172" width="48.29"/>
    <col collapsed="false" customWidth="true" hidden="false" outlineLevel="0" max="12939" min="12939" style="172" width="13.29"/>
    <col collapsed="false" customWidth="true" hidden="false" outlineLevel="0" max="12940" min="12940" style="172" width="18.29"/>
    <col collapsed="false" customWidth="true" hidden="false" outlineLevel="0" max="12941" min="12941" style="172" width="18.57"/>
    <col collapsed="false" customWidth="true" hidden="false" outlineLevel="0" max="12942" min="12942" style="172" width="12.71"/>
    <col collapsed="false" customWidth="true" hidden="false" outlineLevel="0" max="12943" min="12943" style="172" width="10.85"/>
    <col collapsed="false" customWidth="true" hidden="false" outlineLevel="0" max="12944" min="12944" style="172" width="16.29"/>
    <col collapsed="false" customWidth="true" hidden="false" outlineLevel="0" max="12945" min="12945" style="172" width="8.15"/>
    <col collapsed="false" customWidth="true" hidden="false" outlineLevel="0" max="12950" min="12946" style="172" width="11.71"/>
    <col collapsed="false" customWidth="true" hidden="false" outlineLevel="0" max="12951" min="12951" style="172" width="15.85"/>
    <col collapsed="false" customWidth="false" hidden="false" outlineLevel="0" max="13192" min="12952" style="172" width="8"/>
    <col collapsed="false" customWidth="true" hidden="false" outlineLevel="0" max="13193" min="13193" style="172" width="1.57"/>
    <col collapsed="false" customWidth="true" hidden="false" outlineLevel="0" max="13194" min="13194" style="172" width="48.29"/>
    <col collapsed="false" customWidth="true" hidden="false" outlineLevel="0" max="13195" min="13195" style="172" width="13.29"/>
    <col collapsed="false" customWidth="true" hidden="false" outlineLevel="0" max="13196" min="13196" style="172" width="18.29"/>
    <col collapsed="false" customWidth="true" hidden="false" outlineLevel="0" max="13197" min="13197" style="172" width="18.57"/>
    <col collapsed="false" customWidth="true" hidden="false" outlineLevel="0" max="13198" min="13198" style="172" width="12.71"/>
    <col collapsed="false" customWidth="true" hidden="false" outlineLevel="0" max="13199" min="13199" style="172" width="10.85"/>
    <col collapsed="false" customWidth="true" hidden="false" outlineLevel="0" max="13200" min="13200" style="172" width="16.29"/>
    <col collapsed="false" customWidth="true" hidden="false" outlineLevel="0" max="13201" min="13201" style="172" width="8.15"/>
    <col collapsed="false" customWidth="true" hidden="false" outlineLevel="0" max="13206" min="13202" style="172" width="11.71"/>
    <col collapsed="false" customWidth="true" hidden="false" outlineLevel="0" max="13207" min="13207" style="172" width="15.85"/>
    <col collapsed="false" customWidth="false" hidden="false" outlineLevel="0" max="13448" min="13208" style="172" width="8"/>
    <col collapsed="false" customWidth="true" hidden="false" outlineLevel="0" max="13449" min="13449" style="172" width="1.57"/>
    <col collapsed="false" customWidth="true" hidden="false" outlineLevel="0" max="13450" min="13450" style="172" width="48.29"/>
    <col collapsed="false" customWidth="true" hidden="false" outlineLevel="0" max="13451" min="13451" style="172" width="13.29"/>
    <col collapsed="false" customWidth="true" hidden="false" outlineLevel="0" max="13452" min="13452" style="172" width="18.29"/>
    <col collapsed="false" customWidth="true" hidden="false" outlineLevel="0" max="13453" min="13453" style="172" width="18.57"/>
    <col collapsed="false" customWidth="true" hidden="false" outlineLevel="0" max="13454" min="13454" style="172" width="12.71"/>
    <col collapsed="false" customWidth="true" hidden="false" outlineLevel="0" max="13455" min="13455" style="172" width="10.85"/>
    <col collapsed="false" customWidth="true" hidden="false" outlineLevel="0" max="13456" min="13456" style="172" width="16.29"/>
    <col collapsed="false" customWidth="true" hidden="false" outlineLevel="0" max="13457" min="13457" style="172" width="8.15"/>
    <col collapsed="false" customWidth="true" hidden="false" outlineLevel="0" max="13462" min="13458" style="172" width="11.71"/>
    <col collapsed="false" customWidth="true" hidden="false" outlineLevel="0" max="13463" min="13463" style="172" width="15.85"/>
    <col collapsed="false" customWidth="false" hidden="false" outlineLevel="0" max="13704" min="13464" style="172" width="8"/>
    <col collapsed="false" customWidth="true" hidden="false" outlineLevel="0" max="13705" min="13705" style="172" width="1.57"/>
    <col collapsed="false" customWidth="true" hidden="false" outlineLevel="0" max="13706" min="13706" style="172" width="48.29"/>
    <col collapsed="false" customWidth="true" hidden="false" outlineLevel="0" max="13707" min="13707" style="172" width="13.29"/>
    <col collapsed="false" customWidth="true" hidden="false" outlineLevel="0" max="13708" min="13708" style="172" width="18.29"/>
    <col collapsed="false" customWidth="true" hidden="false" outlineLevel="0" max="13709" min="13709" style="172" width="18.57"/>
    <col collapsed="false" customWidth="true" hidden="false" outlineLevel="0" max="13710" min="13710" style="172" width="12.71"/>
    <col collapsed="false" customWidth="true" hidden="false" outlineLevel="0" max="13711" min="13711" style="172" width="10.85"/>
    <col collapsed="false" customWidth="true" hidden="false" outlineLevel="0" max="13712" min="13712" style="172" width="16.29"/>
    <col collapsed="false" customWidth="true" hidden="false" outlineLevel="0" max="13713" min="13713" style="172" width="8.15"/>
    <col collapsed="false" customWidth="true" hidden="false" outlineLevel="0" max="13718" min="13714" style="172" width="11.71"/>
    <col collapsed="false" customWidth="true" hidden="false" outlineLevel="0" max="13719" min="13719" style="172" width="15.85"/>
    <col collapsed="false" customWidth="false" hidden="false" outlineLevel="0" max="13960" min="13720" style="172" width="8"/>
    <col collapsed="false" customWidth="true" hidden="false" outlineLevel="0" max="13961" min="13961" style="172" width="1.57"/>
    <col collapsed="false" customWidth="true" hidden="false" outlineLevel="0" max="13962" min="13962" style="172" width="48.29"/>
    <col collapsed="false" customWidth="true" hidden="false" outlineLevel="0" max="13963" min="13963" style="172" width="13.29"/>
    <col collapsed="false" customWidth="true" hidden="false" outlineLevel="0" max="13964" min="13964" style="172" width="18.29"/>
    <col collapsed="false" customWidth="true" hidden="false" outlineLevel="0" max="13965" min="13965" style="172" width="18.57"/>
    <col collapsed="false" customWidth="true" hidden="false" outlineLevel="0" max="13966" min="13966" style="172" width="12.71"/>
    <col collapsed="false" customWidth="true" hidden="false" outlineLevel="0" max="13967" min="13967" style="172" width="10.85"/>
    <col collapsed="false" customWidth="true" hidden="false" outlineLevel="0" max="13968" min="13968" style="172" width="16.29"/>
    <col collapsed="false" customWidth="true" hidden="false" outlineLevel="0" max="13969" min="13969" style="172" width="8.15"/>
    <col collapsed="false" customWidth="true" hidden="false" outlineLevel="0" max="13974" min="13970" style="172" width="11.71"/>
    <col collapsed="false" customWidth="true" hidden="false" outlineLevel="0" max="13975" min="13975" style="172" width="15.85"/>
    <col collapsed="false" customWidth="false" hidden="false" outlineLevel="0" max="14216" min="13976" style="172" width="8"/>
    <col collapsed="false" customWidth="true" hidden="false" outlineLevel="0" max="14217" min="14217" style="172" width="1.57"/>
    <col collapsed="false" customWidth="true" hidden="false" outlineLevel="0" max="14218" min="14218" style="172" width="48.29"/>
    <col collapsed="false" customWidth="true" hidden="false" outlineLevel="0" max="14219" min="14219" style="172" width="13.29"/>
    <col collapsed="false" customWidth="true" hidden="false" outlineLevel="0" max="14220" min="14220" style="172" width="18.29"/>
    <col collapsed="false" customWidth="true" hidden="false" outlineLevel="0" max="14221" min="14221" style="172" width="18.57"/>
    <col collapsed="false" customWidth="true" hidden="false" outlineLevel="0" max="14222" min="14222" style="172" width="12.71"/>
    <col collapsed="false" customWidth="true" hidden="false" outlineLevel="0" max="14223" min="14223" style="172" width="10.85"/>
    <col collapsed="false" customWidth="true" hidden="false" outlineLevel="0" max="14224" min="14224" style="172" width="16.29"/>
    <col collapsed="false" customWidth="true" hidden="false" outlineLevel="0" max="14225" min="14225" style="172" width="8.15"/>
    <col collapsed="false" customWidth="true" hidden="false" outlineLevel="0" max="14230" min="14226" style="172" width="11.71"/>
    <col collapsed="false" customWidth="true" hidden="false" outlineLevel="0" max="14231" min="14231" style="172" width="15.85"/>
    <col collapsed="false" customWidth="false" hidden="false" outlineLevel="0" max="14472" min="14232" style="172" width="8"/>
    <col collapsed="false" customWidth="true" hidden="false" outlineLevel="0" max="14473" min="14473" style="172" width="1.57"/>
    <col collapsed="false" customWidth="true" hidden="false" outlineLevel="0" max="14474" min="14474" style="172" width="48.29"/>
    <col collapsed="false" customWidth="true" hidden="false" outlineLevel="0" max="14475" min="14475" style="172" width="13.29"/>
    <col collapsed="false" customWidth="true" hidden="false" outlineLevel="0" max="14476" min="14476" style="172" width="18.29"/>
    <col collapsed="false" customWidth="true" hidden="false" outlineLevel="0" max="14477" min="14477" style="172" width="18.57"/>
    <col collapsed="false" customWidth="true" hidden="false" outlineLevel="0" max="14478" min="14478" style="172" width="12.71"/>
    <col collapsed="false" customWidth="true" hidden="false" outlineLevel="0" max="14479" min="14479" style="172" width="10.85"/>
    <col collapsed="false" customWidth="true" hidden="false" outlineLevel="0" max="14480" min="14480" style="172" width="16.29"/>
    <col collapsed="false" customWidth="true" hidden="false" outlineLevel="0" max="14481" min="14481" style="172" width="8.15"/>
    <col collapsed="false" customWidth="true" hidden="false" outlineLevel="0" max="14486" min="14482" style="172" width="11.71"/>
    <col collapsed="false" customWidth="true" hidden="false" outlineLevel="0" max="14487" min="14487" style="172" width="15.85"/>
    <col collapsed="false" customWidth="false" hidden="false" outlineLevel="0" max="14728" min="14488" style="172" width="8"/>
    <col collapsed="false" customWidth="true" hidden="false" outlineLevel="0" max="14729" min="14729" style="172" width="1.57"/>
    <col collapsed="false" customWidth="true" hidden="false" outlineLevel="0" max="14730" min="14730" style="172" width="48.29"/>
    <col collapsed="false" customWidth="true" hidden="false" outlineLevel="0" max="14731" min="14731" style="172" width="13.29"/>
    <col collapsed="false" customWidth="true" hidden="false" outlineLevel="0" max="14732" min="14732" style="172" width="18.29"/>
    <col collapsed="false" customWidth="true" hidden="false" outlineLevel="0" max="14733" min="14733" style="172" width="18.57"/>
    <col collapsed="false" customWidth="true" hidden="false" outlineLevel="0" max="14734" min="14734" style="172" width="12.71"/>
    <col collapsed="false" customWidth="true" hidden="false" outlineLevel="0" max="14735" min="14735" style="172" width="10.85"/>
    <col collapsed="false" customWidth="true" hidden="false" outlineLevel="0" max="14736" min="14736" style="172" width="16.29"/>
    <col collapsed="false" customWidth="true" hidden="false" outlineLevel="0" max="14737" min="14737" style="172" width="8.15"/>
    <col collapsed="false" customWidth="true" hidden="false" outlineLevel="0" max="14742" min="14738" style="172" width="11.71"/>
    <col collapsed="false" customWidth="true" hidden="false" outlineLevel="0" max="14743" min="14743" style="172" width="15.85"/>
    <col collapsed="false" customWidth="false" hidden="false" outlineLevel="0" max="14984" min="14744" style="172" width="8"/>
    <col collapsed="false" customWidth="true" hidden="false" outlineLevel="0" max="14985" min="14985" style="172" width="1.57"/>
    <col collapsed="false" customWidth="true" hidden="false" outlineLevel="0" max="14986" min="14986" style="172" width="48.29"/>
    <col collapsed="false" customWidth="true" hidden="false" outlineLevel="0" max="14987" min="14987" style="172" width="13.29"/>
    <col collapsed="false" customWidth="true" hidden="false" outlineLevel="0" max="14988" min="14988" style="172" width="18.29"/>
    <col collapsed="false" customWidth="true" hidden="false" outlineLevel="0" max="14989" min="14989" style="172" width="18.57"/>
    <col collapsed="false" customWidth="true" hidden="false" outlineLevel="0" max="14990" min="14990" style="172" width="12.71"/>
    <col collapsed="false" customWidth="true" hidden="false" outlineLevel="0" max="14991" min="14991" style="172" width="10.85"/>
    <col collapsed="false" customWidth="true" hidden="false" outlineLevel="0" max="14992" min="14992" style="172" width="16.29"/>
    <col collapsed="false" customWidth="true" hidden="false" outlineLevel="0" max="14993" min="14993" style="172" width="8.15"/>
    <col collapsed="false" customWidth="true" hidden="false" outlineLevel="0" max="14998" min="14994" style="172" width="11.71"/>
    <col collapsed="false" customWidth="true" hidden="false" outlineLevel="0" max="14999" min="14999" style="172" width="15.85"/>
    <col collapsed="false" customWidth="false" hidden="false" outlineLevel="0" max="15240" min="15000" style="172" width="8"/>
    <col collapsed="false" customWidth="true" hidden="false" outlineLevel="0" max="15241" min="15241" style="172" width="1.57"/>
    <col collapsed="false" customWidth="true" hidden="false" outlineLevel="0" max="15242" min="15242" style="172" width="48.29"/>
    <col collapsed="false" customWidth="true" hidden="false" outlineLevel="0" max="15243" min="15243" style="172" width="13.29"/>
    <col collapsed="false" customWidth="true" hidden="false" outlineLevel="0" max="15244" min="15244" style="172" width="18.29"/>
    <col collapsed="false" customWidth="true" hidden="false" outlineLevel="0" max="15245" min="15245" style="172" width="18.57"/>
    <col collapsed="false" customWidth="true" hidden="false" outlineLevel="0" max="15246" min="15246" style="172" width="12.71"/>
    <col collapsed="false" customWidth="true" hidden="false" outlineLevel="0" max="15247" min="15247" style="172" width="10.85"/>
    <col collapsed="false" customWidth="true" hidden="false" outlineLevel="0" max="15248" min="15248" style="172" width="16.29"/>
    <col collapsed="false" customWidth="true" hidden="false" outlineLevel="0" max="15249" min="15249" style="172" width="8.15"/>
    <col collapsed="false" customWidth="true" hidden="false" outlineLevel="0" max="15254" min="15250" style="172" width="11.71"/>
    <col collapsed="false" customWidth="true" hidden="false" outlineLevel="0" max="15255" min="15255" style="172" width="15.85"/>
    <col collapsed="false" customWidth="false" hidden="false" outlineLevel="0" max="15496" min="15256" style="172" width="8"/>
    <col collapsed="false" customWidth="true" hidden="false" outlineLevel="0" max="15497" min="15497" style="172" width="1.57"/>
    <col collapsed="false" customWidth="true" hidden="false" outlineLevel="0" max="15498" min="15498" style="172" width="48.29"/>
    <col collapsed="false" customWidth="true" hidden="false" outlineLevel="0" max="15499" min="15499" style="172" width="13.29"/>
    <col collapsed="false" customWidth="true" hidden="false" outlineLevel="0" max="15500" min="15500" style="172" width="18.29"/>
    <col collapsed="false" customWidth="true" hidden="false" outlineLevel="0" max="15501" min="15501" style="172" width="18.57"/>
    <col collapsed="false" customWidth="true" hidden="false" outlineLevel="0" max="15502" min="15502" style="172" width="12.71"/>
    <col collapsed="false" customWidth="true" hidden="false" outlineLevel="0" max="15503" min="15503" style="172" width="10.85"/>
    <col collapsed="false" customWidth="true" hidden="false" outlineLevel="0" max="15504" min="15504" style="172" width="16.29"/>
    <col collapsed="false" customWidth="true" hidden="false" outlineLevel="0" max="15505" min="15505" style="172" width="8.15"/>
    <col collapsed="false" customWidth="true" hidden="false" outlineLevel="0" max="15510" min="15506" style="172" width="11.71"/>
    <col collapsed="false" customWidth="true" hidden="false" outlineLevel="0" max="15511" min="15511" style="172" width="15.85"/>
    <col collapsed="false" customWidth="false" hidden="false" outlineLevel="0" max="15752" min="15512" style="172" width="8"/>
    <col collapsed="false" customWidth="true" hidden="false" outlineLevel="0" max="15753" min="15753" style="172" width="1.57"/>
    <col collapsed="false" customWidth="true" hidden="false" outlineLevel="0" max="15754" min="15754" style="172" width="48.29"/>
    <col collapsed="false" customWidth="true" hidden="false" outlineLevel="0" max="15755" min="15755" style="172" width="13.29"/>
    <col collapsed="false" customWidth="true" hidden="false" outlineLevel="0" max="15756" min="15756" style="172" width="18.29"/>
    <col collapsed="false" customWidth="true" hidden="false" outlineLevel="0" max="15757" min="15757" style="172" width="18.57"/>
    <col collapsed="false" customWidth="true" hidden="false" outlineLevel="0" max="15758" min="15758" style="172" width="12.71"/>
    <col collapsed="false" customWidth="true" hidden="false" outlineLevel="0" max="15759" min="15759" style="172" width="10.85"/>
    <col collapsed="false" customWidth="true" hidden="false" outlineLevel="0" max="15760" min="15760" style="172" width="16.29"/>
    <col collapsed="false" customWidth="true" hidden="false" outlineLevel="0" max="15761" min="15761" style="172" width="8.15"/>
    <col collapsed="false" customWidth="true" hidden="false" outlineLevel="0" max="15766" min="15762" style="172" width="11.71"/>
    <col collapsed="false" customWidth="true" hidden="false" outlineLevel="0" max="15767" min="15767" style="172" width="15.85"/>
    <col collapsed="false" customWidth="false" hidden="false" outlineLevel="0" max="16384" min="15768" style="172" width="8"/>
  </cols>
  <sheetData>
    <row r="1" s="180" customFormat="true" ht="29.25" hidden="false" customHeight="true" outlineLevel="0" collapsed="false">
      <c r="A1" s="175" t="s">
        <v>244</v>
      </c>
      <c r="B1" s="175" t="s">
        <v>245</v>
      </c>
      <c r="C1" s="175" t="s">
        <v>246</v>
      </c>
      <c r="D1" s="175" t="s">
        <v>211</v>
      </c>
      <c r="E1" s="175" t="s">
        <v>247</v>
      </c>
      <c r="F1" s="175" t="s">
        <v>248</v>
      </c>
      <c r="G1" s="175" t="s">
        <v>249</v>
      </c>
      <c r="H1" s="175" t="s">
        <v>250</v>
      </c>
      <c r="I1" s="175" t="s">
        <v>251</v>
      </c>
      <c r="J1" s="175" t="s">
        <v>252</v>
      </c>
      <c r="K1" s="175" t="s">
        <v>253</v>
      </c>
      <c r="L1" s="175" t="s">
        <v>254</v>
      </c>
      <c r="M1" s="176" t="s">
        <v>255</v>
      </c>
      <c r="N1" s="175" t="s">
        <v>256</v>
      </c>
      <c r="O1" s="177" t="s">
        <v>257</v>
      </c>
      <c r="P1" s="178" t="s">
        <v>213</v>
      </c>
      <c r="Q1" s="179" t="s">
        <v>258</v>
      </c>
    </row>
    <row r="2" customFormat="false" ht="30" hidden="false" customHeight="true" outlineLevel="0" collapsed="false">
      <c r="A2" s="181" t="s">
        <v>259</v>
      </c>
      <c r="B2" s="182" t="n">
        <v>819</v>
      </c>
      <c r="C2" s="183" t="n">
        <v>15</v>
      </c>
      <c r="D2" s="181" t="s">
        <v>260</v>
      </c>
      <c r="E2" s="181" t="s">
        <v>261</v>
      </c>
      <c r="F2" s="181" t="s">
        <v>262</v>
      </c>
      <c r="G2" s="181"/>
      <c r="H2" s="181" t="s">
        <v>263</v>
      </c>
      <c r="I2" s="181" t="s">
        <v>238</v>
      </c>
      <c r="J2" s="184" t="n">
        <v>36230</v>
      </c>
      <c r="K2" s="184" t="n">
        <v>15040</v>
      </c>
      <c r="L2" s="185" t="n">
        <v>5</v>
      </c>
      <c r="M2" s="173" t="n">
        <v>21190</v>
      </c>
      <c r="N2" s="184" t="n">
        <v>20130.5</v>
      </c>
      <c r="O2" s="186" t="s">
        <v>264</v>
      </c>
      <c r="P2" s="187" t="n">
        <v>45873</v>
      </c>
      <c r="Q2" s="188" t="n">
        <v>0.929722222222222</v>
      </c>
    </row>
    <row r="3" customFormat="false" ht="30" hidden="false" customHeight="true" outlineLevel="0" collapsed="false">
      <c r="A3" s="181" t="s">
        <v>265</v>
      </c>
      <c r="B3" s="182" t="n">
        <v>820</v>
      </c>
      <c r="C3" s="183" t="n">
        <v>14</v>
      </c>
      <c r="D3" s="181" t="s">
        <v>260</v>
      </c>
      <c r="E3" s="181" t="s">
        <v>266</v>
      </c>
      <c r="F3" s="181" t="s">
        <v>267</v>
      </c>
      <c r="G3" s="181"/>
      <c r="H3" s="181" t="s">
        <v>263</v>
      </c>
      <c r="I3" s="181" t="s">
        <v>238</v>
      </c>
      <c r="J3" s="184" t="n">
        <v>37090</v>
      </c>
      <c r="K3" s="184" t="n">
        <v>14910</v>
      </c>
      <c r="L3" s="185" t="n">
        <v>7</v>
      </c>
      <c r="M3" s="173" t="n">
        <v>22180</v>
      </c>
      <c r="N3" s="184" t="n">
        <v>20627.4</v>
      </c>
      <c r="O3" s="186" t="s">
        <v>268</v>
      </c>
      <c r="P3" s="187" t="n">
        <v>45873</v>
      </c>
      <c r="Q3" s="188" t="n">
        <v>0.936099537037037</v>
      </c>
    </row>
    <row r="4" customFormat="false" ht="30" hidden="false" customHeight="true" outlineLevel="0" collapsed="false">
      <c r="A4" s="181" t="s">
        <v>269</v>
      </c>
      <c r="B4" s="182" t="n">
        <v>823</v>
      </c>
      <c r="C4" s="183" t="n">
        <v>29</v>
      </c>
      <c r="D4" s="181" t="s">
        <v>260</v>
      </c>
      <c r="E4" s="181" t="s">
        <v>261</v>
      </c>
      <c r="F4" s="181" t="s">
        <v>262</v>
      </c>
      <c r="G4" s="181"/>
      <c r="H4" s="181" t="s">
        <v>263</v>
      </c>
      <c r="I4" s="181" t="s">
        <v>238</v>
      </c>
      <c r="J4" s="184" t="n">
        <v>37890</v>
      </c>
      <c r="K4" s="184" t="n">
        <v>15090</v>
      </c>
      <c r="L4" s="185" t="n">
        <v>5</v>
      </c>
      <c r="M4" s="173" t="n">
        <v>22800</v>
      </c>
      <c r="N4" s="184" t="n">
        <v>21660</v>
      </c>
      <c r="O4" s="186" t="s">
        <v>270</v>
      </c>
      <c r="P4" s="187" t="n">
        <v>45875</v>
      </c>
      <c r="Q4" s="188" t="n">
        <v>0.292777777777778</v>
      </c>
    </row>
    <row r="5" customFormat="false" ht="30" hidden="false" customHeight="true" outlineLevel="0" collapsed="false">
      <c r="A5" s="181" t="s">
        <v>271</v>
      </c>
      <c r="B5" s="182" t="n">
        <v>824</v>
      </c>
      <c r="C5" s="183" t="n">
        <v>30</v>
      </c>
      <c r="D5" s="181" t="s">
        <v>260</v>
      </c>
      <c r="E5" s="181" t="s">
        <v>272</v>
      </c>
      <c r="F5" s="181" t="s">
        <v>273</v>
      </c>
      <c r="G5" s="181"/>
      <c r="H5" s="181" t="s">
        <v>263</v>
      </c>
      <c r="I5" s="181" t="s">
        <v>238</v>
      </c>
      <c r="J5" s="184" t="n">
        <v>37200</v>
      </c>
      <c r="K5" s="184" t="n">
        <v>15430</v>
      </c>
      <c r="L5" s="185" t="n">
        <v>6</v>
      </c>
      <c r="M5" s="173" t="n">
        <v>21770</v>
      </c>
      <c r="N5" s="184" t="n">
        <v>20463.8</v>
      </c>
      <c r="O5" s="186" t="s">
        <v>274</v>
      </c>
      <c r="P5" s="187" t="n">
        <v>45875</v>
      </c>
      <c r="Q5" s="188" t="n">
        <v>0.33869212962963</v>
      </c>
    </row>
    <row r="6" customFormat="false" ht="30" hidden="false" customHeight="true" outlineLevel="0" collapsed="false">
      <c r="A6" s="181" t="s">
        <v>275</v>
      </c>
      <c r="B6" s="182" t="n">
        <v>829</v>
      </c>
      <c r="C6" s="183" t="n">
        <v>83</v>
      </c>
      <c r="D6" s="181" t="s">
        <v>276</v>
      </c>
      <c r="E6" s="181" t="s">
        <v>277</v>
      </c>
      <c r="F6" s="181" t="s">
        <v>278</v>
      </c>
      <c r="G6" s="181"/>
      <c r="H6" s="181" t="s">
        <v>279</v>
      </c>
      <c r="I6" s="181" t="s">
        <v>229</v>
      </c>
      <c r="J6" s="184" t="n">
        <v>41870</v>
      </c>
      <c r="K6" s="184" t="n">
        <v>15090</v>
      </c>
      <c r="L6" s="185" t="n">
        <v>8</v>
      </c>
      <c r="M6" s="173" t="n">
        <v>26780</v>
      </c>
      <c r="N6" s="184" t="n">
        <v>24637.6</v>
      </c>
      <c r="O6" s="186" t="s">
        <v>280</v>
      </c>
      <c r="P6" s="187" t="n">
        <v>45875</v>
      </c>
      <c r="Q6" s="188" t="n">
        <v>0.849513888888889</v>
      </c>
    </row>
    <row r="7" customFormat="false" ht="30" hidden="false" customHeight="true" outlineLevel="0" collapsed="false">
      <c r="A7" s="181" t="s">
        <v>281</v>
      </c>
      <c r="B7" s="182" t="n">
        <v>834</v>
      </c>
      <c r="C7" s="183" t="n">
        <v>84</v>
      </c>
      <c r="D7" s="181" t="s">
        <v>276</v>
      </c>
      <c r="E7" s="181" t="s">
        <v>282</v>
      </c>
      <c r="F7" s="181" t="s">
        <v>283</v>
      </c>
      <c r="G7" s="181"/>
      <c r="H7" s="181" t="s">
        <v>279</v>
      </c>
      <c r="I7" s="181" t="s">
        <v>229</v>
      </c>
      <c r="J7" s="184" t="n">
        <v>37590</v>
      </c>
      <c r="K7" s="184" t="n">
        <v>15090</v>
      </c>
      <c r="L7" s="185" t="n">
        <v>7</v>
      </c>
      <c r="M7" s="173" t="n">
        <v>22500</v>
      </c>
      <c r="N7" s="184" t="n">
        <v>20925</v>
      </c>
      <c r="O7" s="186" t="s">
        <v>284</v>
      </c>
      <c r="P7" s="187" t="n">
        <v>45875</v>
      </c>
      <c r="Q7" s="188" t="n">
        <v>0.904791666666667</v>
      </c>
    </row>
    <row r="8" customFormat="false" ht="30" hidden="false" customHeight="true" outlineLevel="0" collapsed="false">
      <c r="A8" s="181" t="s">
        <v>285</v>
      </c>
      <c r="B8" s="182" t="n">
        <v>836</v>
      </c>
      <c r="C8" s="183" t="n">
        <v>85</v>
      </c>
      <c r="D8" s="181" t="s">
        <v>276</v>
      </c>
      <c r="E8" s="181" t="s">
        <v>266</v>
      </c>
      <c r="F8" s="181" t="s">
        <v>267</v>
      </c>
      <c r="G8" s="181"/>
      <c r="H8" s="181" t="s">
        <v>279</v>
      </c>
      <c r="I8" s="181" t="s">
        <v>229</v>
      </c>
      <c r="J8" s="184" t="n">
        <v>38810</v>
      </c>
      <c r="K8" s="184" t="n">
        <v>14990</v>
      </c>
      <c r="L8" s="185" t="n">
        <v>5</v>
      </c>
      <c r="M8" s="173" t="n">
        <v>23820</v>
      </c>
      <c r="N8" s="184" t="n">
        <v>22629</v>
      </c>
      <c r="O8" s="186" t="s">
        <v>286</v>
      </c>
      <c r="P8" s="187" t="n">
        <v>45875</v>
      </c>
      <c r="Q8" s="188" t="n">
        <v>0.957361111111111</v>
      </c>
    </row>
    <row r="9" customFormat="false" ht="30" hidden="false" customHeight="true" outlineLevel="0" collapsed="false">
      <c r="A9" s="181" t="s">
        <v>287</v>
      </c>
      <c r="B9" s="182" t="n">
        <v>837</v>
      </c>
      <c r="C9" s="183" t="n">
        <v>86</v>
      </c>
      <c r="D9" s="181" t="s">
        <v>276</v>
      </c>
      <c r="E9" s="181" t="s">
        <v>288</v>
      </c>
      <c r="F9" s="181" t="s">
        <v>289</v>
      </c>
      <c r="G9" s="181"/>
      <c r="H9" s="181" t="s">
        <v>279</v>
      </c>
      <c r="I9" s="181" t="s">
        <v>229</v>
      </c>
      <c r="J9" s="184" t="n">
        <v>37320</v>
      </c>
      <c r="K9" s="184" t="n">
        <v>14630</v>
      </c>
      <c r="L9" s="185" t="n">
        <v>6</v>
      </c>
      <c r="M9" s="173" t="n">
        <v>22690</v>
      </c>
      <c r="N9" s="184" t="n">
        <v>21328.6</v>
      </c>
      <c r="O9" s="186" t="s">
        <v>290</v>
      </c>
      <c r="P9" s="187" t="n">
        <v>45875</v>
      </c>
      <c r="Q9" s="188" t="n">
        <v>0.999108796296296</v>
      </c>
    </row>
    <row r="10" customFormat="false" ht="30" hidden="false" customHeight="true" outlineLevel="0" collapsed="false">
      <c r="A10" s="181" t="s">
        <v>291</v>
      </c>
      <c r="B10" s="182" t="n">
        <v>838</v>
      </c>
      <c r="C10" s="183" t="n">
        <v>39</v>
      </c>
      <c r="D10" s="181" t="s">
        <v>260</v>
      </c>
      <c r="E10" s="181" t="s">
        <v>292</v>
      </c>
      <c r="F10" s="181" t="s">
        <v>293</v>
      </c>
      <c r="G10" s="181"/>
      <c r="H10" s="181" t="s">
        <v>263</v>
      </c>
      <c r="I10" s="181" t="s">
        <v>238</v>
      </c>
      <c r="J10" s="184" t="n">
        <v>37560</v>
      </c>
      <c r="K10" s="184" t="n">
        <v>13900</v>
      </c>
      <c r="L10" s="185" t="n">
        <v>7</v>
      </c>
      <c r="M10" s="173" t="n">
        <v>23660</v>
      </c>
      <c r="N10" s="184" t="n">
        <v>22003.8</v>
      </c>
      <c r="O10" s="186" t="s">
        <v>294</v>
      </c>
      <c r="P10" s="187" t="n">
        <v>45876</v>
      </c>
      <c r="Q10" s="188" t="n">
        <v>0.058287037037037</v>
      </c>
    </row>
    <row r="11" customFormat="false" ht="30" hidden="false" customHeight="true" outlineLevel="0" collapsed="false">
      <c r="A11" s="181" t="s">
        <v>295</v>
      </c>
      <c r="B11" s="182" t="n">
        <v>839</v>
      </c>
      <c r="C11" s="183" t="n">
        <v>41</v>
      </c>
      <c r="D11" s="181" t="s">
        <v>260</v>
      </c>
      <c r="E11" s="181" t="s">
        <v>296</v>
      </c>
      <c r="F11" s="181" t="s">
        <v>297</v>
      </c>
      <c r="G11" s="181"/>
      <c r="H11" s="181" t="s">
        <v>263</v>
      </c>
      <c r="I11" s="181" t="s">
        <v>238</v>
      </c>
      <c r="J11" s="184" t="n">
        <v>41540</v>
      </c>
      <c r="K11" s="184" t="n">
        <v>15320</v>
      </c>
      <c r="L11" s="185" t="n">
        <v>7</v>
      </c>
      <c r="M11" s="173" t="n">
        <v>26220</v>
      </c>
      <c r="N11" s="184" t="n">
        <v>24384.6</v>
      </c>
      <c r="O11" s="186" t="s">
        <v>298</v>
      </c>
      <c r="P11" s="187" t="n">
        <v>45876</v>
      </c>
      <c r="Q11" s="188" t="n">
        <v>0.0786689814814815</v>
      </c>
    </row>
    <row r="12" customFormat="false" ht="30" hidden="false" customHeight="true" outlineLevel="0" collapsed="false">
      <c r="A12" s="181" t="s">
        <v>299</v>
      </c>
      <c r="B12" s="182" t="n">
        <v>847</v>
      </c>
      <c r="C12" s="183" t="n">
        <v>89</v>
      </c>
      <c r="D12" s="181" t="s">
        <v>276</v>
      </c>
      <c r="E12" s="181" t="s">
        <v>300</v>
      </c>
      <c r="F12" s="181" t="s">
        <v>301</v>
      </c>
      <c r="G12" s="181"/>
      <c r="H12" s="181" t="s">
        <v>279</v>
      </c>
      <c r="I12" s="181" t="s">
        <v>229</v>
      </c>
      <c r="J12" s="184" t="n">
        <v>56030</v>
      </c>
      <c r="K12" s="184" t="n">
        <v>20980</v>
      </c>
      <c r="L12" s="185" t="n">
        <v>6</v>
      </c>
      <c r="M12" s="173" t="n">
        <v>35050</v>
      </c>
      <c r="N12" s="184" t="n">
        <v>32947</v>
      </c>
      <c r="O12" s="186" t="s">
        <v>302</v>
      </c>
      <c r="P12" s="187" t="n">
        <v>45876</v>
      </c>
      <c r="Q12" s="188" t="n">
        <v>0.367928240740741</v>
      </c>
    </row>
    <row r="13" customFormat="false" ht="30" hidden="false" customHeight="true" outlineLevel="0" collapsed="false">
      <c r="A13" s="181" t="s">
        <v>303</v>
      </c>
      <c r="B13" s="182" t="n">
        <v>848</v>
      </c>
      <c r="C13" s="183" t="n">
        <v>90</v>
      </c>
      <c r="D13" s="181" t="s">
        <v>276</v>
      </c>
      <c r="E13" s="181" t="s">
        <v>304</v>
      </c>
      <c r="F13" s="181" t="s">
        <v>305</v>
      </c>
      <c r="G13" s="181"/>
      <c r="H13" s="181" t="s">
        <v>279</v>
      </c>
      <c r="I13" s="181" t="s">
        <v>229</v>
      </c>
      <c r="J13" s="184" t="n">
        <v>39360</v>
      </c>
      <c r="K13" s="184" t="n">
        <v>14980</v>
      </c>
      <c r="L13" s="185" t="n">
        <v>10</v>
      </c>
      <c r="M13" s="173" t="n">
        <v>24380</v>
      </c>
      <c r="N13" s="184" t="n">
        <v>21942</v>
      </c>
      <c r="O13" s="186" t="s">
        <v>306</v>
      </c>
      <c r="P13" s="187" t="n">
        <v>45876</v>
      </c>
      <c r="Q13" s="188" t="n">
        <v>0.483900462962963</v>
      </c>
    </row>
    <row r="14" customFormat="false" ht="30" hidden="false" customHeight="true" outlineLevel="0" collapsed="false">
      <c r="A14" s="181" t="s">
        <v>307</v>
      </c>
      <c r="B14" s="182" t="n">
        <v>849</v>
      </c>
      <c r="C14" s="183" t="n">
        <v>88</v>
      </c>
      <c r="D14" s="181" t="s">
        <v>276</v>
      </c>
      <c r="E14" s="181" t="s">
        <v>308</v>
      </c>
      <c r="F14" s="181" t="s">
        <v>309</v>
      </c>
      <c r="G14" s="181"/>
      <c r="H14" s="181" t="s">
        <v>279</v>
      </c>
      <c r="I14" s="181" t="s">
        <v>229</v>
      </c>
      <c r="J14" s="184" t="n">
        <v>66280</v>
      </c>
      <c r="K14" s="184" t="n">
        <v>24090</v>
      </c>
      <c r="L14" s="185" t="n">
        <v>14</v>
      </c>
      <c r="M14" s="173" t="n">
        <v>42190</v>
      </c>
      <c r="N14" s="184" t="n">
        <v>36283.4</v>
      </c>
      <c r="O14" s="186" t="s">
        <v>310</v>
      </c>
      <c r="P14" s="187" t="n">
        <v>45876</v>
      </c>
      <c r="Q14" s="188" t="n">
        <v>0.488912037037037</v>
      </c>
    </row>
    <row r="15" customFormat="false" ht="30" hidden="false" customHeight="true" outlineLevel="0" collapsed="false">
      <c r="A15" s="181" t="s">
        <v>311</v>
      </c>
      <c r="B15" s="182" t="n">
        <v>850</v>
      </c>
      <c r="C15" s="183" t="n">
        <v>91</v>
      </c>
      <c r="D15" s="181" t="s">
        <v>276</v>
      </c>
      <c r="E15" s="181" t="s">
        <v>277</v>
      </c>
      <c r="F15" s="181" t="s">
        <v>278</v>
      </c>
      <c r="G15" s="181"/>
      <c r="H15" s="181" t="s">
        <v>279</v>
      </c>
      <c r="I15" s="181" t="s">
        <v>229</v>
      </c>
      <c r="J15" s="184" t="n">
        <v>42400</v>
      </c>
      <c r="K15" s="184" t="n">
        <v>15110</v>
      </c>
      <c r="L15" s="185" t="n">
        <v>11</v>
      </c>
      <c r="M15" s="173" t="n">
        <v>27290</v>
      </c>
      <c r="N15" s="184" t="n">
        <v>24288.1</v>
      </c>
      <c r="O15" s="186" t="s">
        <v>312</v>
      </c>
      <c r="P15" s="187" t="n">
        <v>45876</v>
      </c>
      <c r="Q15" s="188" t="n">
        <v>0.502916666666667</v>
      </c>
    </row>
    <row r="16" customFormat="false" ht="30" hidden="false" customHeight="true" outlineLevel="0" collapsed="false">
      <c r="A16" s="181" t="s">
        <v>313</v>
      </c>
      <c r="B16" s="182" t="n">
        <v>851</v>
      </c>
      <c r="C16" s="183" t="n">
        <v>45</v>
      </c>
      <c r="D16" s="181" t="s">
        <v>260</v>
      </c>
      <c r="E16" s="181" t="s">
        <v>261</v>
      </c>
      <c r="F16" s="181" t="s">
        <v>262</v>
      </c>
      <c r="G16" s="181"/>
      <c r="H16" s="181" t="s">
        <v>263</v>
      </c>
      <c r="I16" s="181" t="s">
        <v>238</v>
      </c>
      <c r="J16" s="184" t="n">
        <v>38060</v>
      </c>
      <c r="K16" s="184" t="n">
        <v>15070</v>
      </c>
      <c r="L16" s="185" t="n">
        <v>5</v>
      </c>
      <c r="M16" s="173" t="n">
        <v>22990</v>
      </c>
      <c r="N16" s="184" t="n">
        <v>21840.5</v>
      </c>
      <c r="O16" s="186" t="s">
        <v>314</v>
      </c>
      <c r="P16" s="187" t="n">
        <v>45876</v>
      </c>
      <c r="Q16" s="188" t="n">
        <v>0.580891203703704</v>
      </c>
    </row>
    <row r="17" customFormat="false" ht="30" hidden="false" customHeight="true" outlineLevel="0" collapsed="false">
      <c r="A17" s="181" t="s">
        <v>315</v>
      </c>
      <c r="B17" s="182" t="n">
        <v>853</v>
      </c>
      <c r="C17" s="183" t="n">
        <v>92</v>
      </c>
      <c r="D17" s="181" t="s">
        <v>276</v>
      </c>
      <c r="E17" s="181" t="s">
        <v>282</v>
      </c>
      <c r="F17" s="181" t="s">
        <v>283</v>
      </c>
      <c r="G17" s="181"/>
      <c r="H17" s="181" t="s">
        <v>316</v>
      </c>
      <c r="I17" s="181" t="s">
        <v>229</v>
      </c>
      <c r="J17" s="184" t="n">
        <v>38360</v>
      </c>
      <c r="K17" s="184" t="n">
        <v>15080</v>
      </c>
      <c r="L17" s="185" t="n">
        <v>6</v>
      </c>
      <c r="M17" s="173" t="n">
        <v>23280</v>
      </c>
      <c r="N17" s="184" t="n">
        <v>21883.2</v>
      </c>
      <c r="O17" s="186" t="s">
        <v>317</v>
      </c>
      <c r="P17" s="187" t="n">
        <v>45876</v>
      </c>
      <c r="Q17" s="188" t="n">
        <v>0.655891203703704</v>
      </c>
    </row>
    <row r="18" customFormat="false" ht="30" hidden="false" customHeight="true" outlineLevel="0" collapsed="false">
      <c r="A18" s="181" t="s">
        <v>318</v>
      </c>
      <c r="B18" s="182" t="n">
        <v>854</v>
      </c>
      <c r="C18" s="183" t="n">
        <v>44</v>
      </c>
      <c r="D18" s="181" t="s">
        <v>260</v>
      </c>
      <c r="E18" s="181" t="s">
        <v>272</v>
      </c>
      <c r="F18" s="181" t="s">
        <v>273</v>
      </c>
      <c r="G18" s="181"/>
      <c r="H18" s="181" t="s">
        <v>263</v>
      </c>
      <c r="I18" s="181" t="s">
        <v>238</v>
      </c>
      <c r="J18" s="184" t="n">
        <v>37360</v>
      </c>
      <c r="K18" s="184" t="n">
        <v>15460</v>
      </c>
      <c r="L18" s="185" t="n">
        <v>12</v>
      </c>
      <c r="M18" s="173" t="n">
        <v>21900</v>
      </c>
      <c r="N18" s="184" t="n">
        <v>19272</v>
      </c>
      <c r="O18" s="186" t="s">
        <v>319</v>
      </c>
      <c r="P18" s="187" t="n">
        <v>45876</v>
      </c>
      <c r="Q18" s="188" t="n">
        <v>0.664803240740741</v>
      </c>
    </row>
    <row r="19" customFormat="false" ht="30" hidden="false" customHeight="true" outlineLevel="0" collapsed="false">
      <c r="A19" s="181" t="s">
        <v>320</v>
      </c>
      <c r="B19" s="182" t="n">
        <v>855</v>
      </c>
      <c r="C19" s="183" t="n">
        <v>93</v>
      </c>
      <c r="D19" s="181" t="s">
        <v>276</v>
      </c>
      <c r="E19" s="181" t="s">
        <v>266</v>
      </c>
      <c r="F19" s="181" t="s">
        <v>267</v>
      </c>
      <c r="G19" s="181"/>
      <c r="H19" s="181" t="s">
        <v>316</v>
      </c>
      <c r="I19" s="181" t="s">
        <v>229</v>
      </c>
      <c r="J19" s="184" t="n">
        <v>39290</v>
      </c>
      <c r="K19" s="184" t="n">
        <v>15120</v>
      </c>
      <c r="L19" s="185" t="n">
        <v>8</v>
      </c>
      <c r="M19" s="173" t="n">
        <v>24170</v>
      </c>
      <c r="N19" s="184" t="n">
        <v>22236.4</v>
      </c>
      <c r="O19" s="186" t="s">
        <v>321</v>
      </c>
      <c r="P19" s="187" t="n">
        <v>45876</v>
      </c>
      <c r="Q19" s="188" t="n">
        <v>0.739328703703704</v>
      </c>
    </row>
    <row r="20" customFormat="false" ht="30" hidden="false" customHeight="true" outlineLevel="0" collapsed="false">
      <c r="A20" s="181" t="s">
        <v>322</v>
      </c>
      <c r="B20" s="182" t="n">
        <v>856</v>
      </c>
      <c r="C20" s="183" t="n">
        <v>95</v>
      </c>
      <c r="D20" s="181" t="s">
        <v>276</v>
      </c>
      <c r="E20" s="181" t="s">
        <v>323</v>
      </c>
      <c r="F20" s="181" t="s">
        <v>289</v>
      </c>
      <c r="G20" s="181"/>
      <c r="H20" s="181" t="s">
        <v>316</v>
      </c>
      <c r="I20" s="181" t="s">
        <v>229</v>
      </c>
      <c r="J20" s="184" t="n">
        <v>38920</v>
      </c>
      <c r="K20" s="184" t="n">
        <v>14650</v>
      </c>
      <c r="L20" s="185" t="n">
        <v>7</v>
      </c>
      <c r="M20" s="173" t="n">
        <v>24270</v>
      </c>
      <c r="N20" s="184" t="n">
        <v>22571.1</v>
      </c>
      <c r="O20" s="186" t="s">
        <v>324</v>
      </c>
      <c r="P20" s="187" t="n">
        <v>45876</v>
      </c>
      <c r="Q20" s="188" t="n">
        <v>0.779548611111111</v>
      </c>
    </row>
    <row r="21" customFormat="false" ht="30" hidden="false" customHeight="true" outlineLevel="0" collapsed="false">
      <c r="A21" s="181" t="s">
        <v>325</v>
      </c>
      <c r="B21" s="182" t="n">
        <v>861</v>
      </c>
      <c r="C21" s="183" t="n">
        <v>9456</v>
      </c>
      <c r="D21" s="181" t="s">
        <v>326</v>
      </c>
      <c r="E21" s="181" t="s">
        <v>292</v>
      </c>
      <c r="F21" s="181" t="s">
        <v>293</v>
      </c>
      <c r="G21" s="181" t="s">
        <v>222</v>
      </c>
      <c r="H21" s="181" t="s">
        <v>327</v>
      </c>
      <c r="I21" s="181" t="s">
        <v>220</v>
      </c>
      <c r="J21" s="184" t="n">
        <v>34410</v>
      </c>
      <c r="K21" s="184" t="n">
        <v>13910</v>
      </c>
      <c r="L21" s="185" t="n">
        <v>34</v>
      </c>
      <c r="M21" s="173" t="n">
        <v>20500</v>
      </c>
      <c r="N21" s="184" t="n">
        <v>13530</v>
      </c>
      <c r="O21" s="186" t="s">
        <v>328</v>
      </c>
      <c r="P21" s="187" t="n">
        <v>45878</v>
      </c>
      <c r="Q21" s="188" t="n">
        <v>0.115694444444444</v>
      </c>
    </row>
    <row r="22" customFormat="false" ht="30" hidden="false" customHeight="true" outlineLevel="0" collapsed="false">
      <c r="A22" s="181" t="s">
        <v>329</v>
      </c>
      <c r="B22" s="182" t="n">
        <v>862</v>
      </c>
      <c r="C22" s="183" t="n">
        <v>9458</v>
      </c>
      <c r="D22" s="181" t="s">
        <v>326</v>
      </c>
      <c r="E22" s="181" t="s">
        <v>277</v>
      </c>
      <c r="F22" s="181" t="s">
        <v>278</v>
      </c>
      <c r="G22" s="181" t="s">
        <v>222</v>
      </c>
      <c r="H22" s="181" t="s">
        <v>327</v>
      </c>
      <c r="I22" s="181" t="s">
        <v>220</v>
      </c>
      <c r="J22" s="184" t="n">
        <v>36660</v>
      </c>
      <c r="K22" s="184" t="n">
        <v>15050</v>
      </c>
      <c r="L22" s="185" t="n">
        <v>26</v>
      </c>
      <c r="M22" s="173" t="n">
        <v>21610</v>
      </c>
      <c r="N22" s="184" t="n">
        <v>15991.4</v>
      </c>
      <c r="O22" s="186" t="s">
        <v>330</v>
      </c>
      <c r="P22" s="187" t="n">
        <v>45878</v>
      </c>
      <c r="Q22" s="188" t="n">
        <v>0.135474537037037</v>
      </c>
    </row>
    <row r="23" customFormat="false" ht="30" hidden="false" customHeight="true" outlineLevel="0" collapsed="false">
      <c r="A23" s="181" t="s">
        <v>331</v>
      </c>
      <c r="B23" s="182" t="n">
        <v>863</v>
      </c>
      <c r="C23" s="183" t="n">
        <v>9460</v>
      </c>
      <c r="D23" s="181" t="s">
        <v>326</v>
      </c>
      <c r="E23" s="181" t="s">
        <v>332</v>
      </c>
      <c r="F23" s="181" t="s">
        <v>333</v>
      </c>
      <c r="G23" s="181" t="s">
        <v>222</v>
      </c>
      <c r="H23" s="181" t="s">
        <v>327</v>
      </c>
      <c r="I23" s="181" t="s">
        <v>220</v>
      </c>
      <c r="J23" s="184" t="n">
        <v>36320</v>
      </c>
      <c r="K23" s="184" t="n">
        <v>14710</v>
      </c>
      <c r="L23" s="185" t="n">
        <v>28</v>
      </c>
      <c r="M23" s="173" t="n">
        <v>21610</v>
      </c>
      <c r="N23" s="184" t="n">
        <v>15559.2</v>
      </c>
      <c r="O23" s="186" t="s">
        <v>334</v>
      </c>
      <c r="P23" s="187" t="n">
        <v>45878</v>
      </c>
      <c r="Q23" s="188" t="n">
        <v>0.212523148148148</v>
      </c>
    </row>
    <row r="24" customFormat="false" ht="30" hidden="false" customHeight="true" outlineLevel="0" collapsed="false">
      <c r="A24" s="181" t="s">
        <v>335</v>
      </c>
      <c r="B24" s="182" t="n">
        <v>864</v>
      </c>
      <c r="C24" s="183" t="n">
        <v>9462</v>
      </c>
      <c r="D24" s="181" t="s">
        <v>326</v>
      </c>
      <c r="E24" s="181" t="s">
        <v>336</v>
      </c>
      <c r="F24" s="181" t="s">
        <v>337</v>
      </c>
      <c r="G24" s="181" t="s">
        <v>222</v>
      </c>
      <c r="H24" s="181" t="s">
        <v>327</v>
      </c>
      <c r="I24" s="181" t="s">
        <v>220</v>
      </c>
      <c r="J24" s="184" t="n">
        <v>33220</v>
      </c>
      <c r="K24" s="184" t="n">
        <v>14490</v>
      </c>
      <c r="L24" s="185" t="n">
        <v>38</v>
      </c>
      <c r="M24" s="173" t="n">
        <v>18730</v>
      </c>
      <c r="N24" s="184" t="n">
        <v>11612.6</v>
      </c>
      <c r="O24" s="186" t="s">
        <v>338</v>
      </c>
      <c r="P24" s="187" t="n">
        <v>45878</v>
      </c>
      <c r="Q24" s="188" t="n">
        <v>0.217002314814815</v>
      </c>
    </row>
    <row r="25" customFormat="false" ht="30" hidden="false" customHeight="true" outlineLevel="0" collapsed="false">
      <c r="A25" s="181" t="s">
        <v>339</v>
      </c>
      <c r="B25" s="182" t="n">
        <v>865</v>
      </c>
      <c r="C25" s="183" t="n">
        <v>9464</v>
      </c>
      <c r="D25" s="181" t="s">
        <v>326</v>
      </c>
      <c r="E25" s="181" t="s">
        <v>340</v>
      </c>
      <c r="F25" s="181" t="s">
        <v>341</v>
      </c>
      <c r="G25" s="181" t="s">
        <v>222</v>
      </c>
      <c r="H25" s="181" t="s">
        <v>327</v>
      </c>
      <c r="I25" s="181" t="s">
        <v>220</v>
      </c>
      <c r="J25" s="184" t="n">
        <v>36050</v>
      </c>
      <c r="K25" s="184" t="n">
        <v>15040</v>
      </c>
      <c r="L25" s="185" t="n">
        <v>35</v>
      </c>
      <c r="M25" s="173" t="n">
        <v>21010</v>
      </c>
      <c r="N25" s="184" t="n">
        <v>13656.5</v>
      </c>
      <c r="O25" s="186" t="s">
        <v>342</v>
      </c>
      <c r="P25" s="187" t="n">
        <v>45878</v>
      </c>
      <c r="Q25" s="188" t="n">
        <v>0.25212962962963</v>
      </c>
    </row>
    <row r="26" customFormat="false" ht="30" hidden="false" customHeight="true" outlineLevel="0" collapsed="false">
      <c r="A26" s="181" t="s">
        <v>343</v>
      </c>
      <c r="B26" s="182" t="n">
        <v>866</v>
      </c>
      <c r="C26" s="183" t="n">
        <v>9466</v>
      </c>
      <c r="D26" s="181" t="s">
        <v>326</v>
      </c>
      <c r="E26" s="181" t="s">
        <v>282</v>
      </c>
      <c r="F26" s="181" t="s">
        <v>283</v>
      </c>
      <c r="G26" s="181" t="s">
        <v>222</v>
      </c>
      <c r="H26" s="181" t="s">
        <v>327</v>
      </c>
      <c r="I26" s="181" t="s">
        <v>220</v>
      </c>
      <c r="J26" s="184" t="n">
        <v>36350</v>
      </c>
      <c r="K26" s="184" t="n">
        <v>15040</v>
      </c>
      <c r="L26" s="185" t="n">
        <v>22</v>
      </c>
      <c r="M26" s="173" t="n">
        <v>21310</v>
      </c>
      <c r="N26" s="184" t="n">
        <v>16621.8</v>
      </c>
      <c r="O26" s="186" t="s">
        <v>344</v>
      </c>
      <c r="P26" s="187" t="n">
        <v>45878</v>
      </c>
      <c r="Q26" s="188" t="n">
        <v>0.323796296296296</v>
      </c>
    </row>
    <row r="27" customFormat="false" ht="30" hidden="false" customHeight="true" outlineLevel="0" collapsed="false">
      <c r="A27" s="181" t="s">
        <v>345</v>
      </c>
      <c r="B27" s="182" t="n">
        <v>867</v>
      </c>
      <c r="C27" s="183" t="n">
        <v>9468</v>
      </c>
      <c r="D27" s="181" t="s">
        <v>326</v>
      </c>
      <c r="E27" s="181" t="s">
        <v>346</v>
      </c>
      <c r="F27" s="181" t="s">
        <v>347</v>
      </c>
      <c r="G27" s="181" t="s">
        <v>222</v>
      </c>
      <c r="H27" s="181" t="s">
        <v>327</v>
      </c>
      <c r="I27" s="181" t="s">
        <v>220</v>
      </c>
      <c r="J27" s="184" t="n">
        <v>33750</v>
      </c>
      <c r="K27" s="184" t="n">
        <v>15000</v>
      </c>
      <c r="L27" s="185" t="n">
        <v>30</v>
      </c>
      <c r="M27" s="173" t="n">
        <v>18750</v>
      </c>
      <c r="N27" s="184" t="n">
        <v>13125</v>
      </c>
      <c r="O27" s="186" t="s">
        <v>348</v>
      </c>
      <c r="P27" s="187" t="n">
        <v>45878</v>
      </c>
      <c r="Q27" s="188" t="n">
        <v>0.402951388888889</v>
      </c>
    </row>
    <row r="28" customFormat="false" ht="30" hidden="false" customHeight="true" outlineLevel="0" collapsed="false">
      <c r="A28" s="181" t="s">
        <v>349</v>
      </c>
      <c r="B28" s="182" t="n">
        <v>868</v>
      </c>
      <c r="C28" s="183" t="n">
        <v>9470</v>
      </c>
      <c r="D28" s="181" t="s">
        <v>326</v>
      </c>
      <c r="E28" s="181" t="s">
        <v>350</v>
      </c>
      <c r="F28" s="181" t="s">
        <v>351</v>
      </c>
      <c r="G28" s="181" t="s">
        <v>222</v>
      </c>
      <c r="H28" s="181" t="s">
        <v>327</v>
      </c>
      <c r="I28" s="181" t="s">
        <v>220</v>
      </c>
      <c r="J28" s="184" t="n">
        <v>34870</v>
      </c>
      <c r="K28" s="184" t="n">
        <v>14920</v>
      </c>
      <c r="L28" s="185" t="n">
        <v>39</v>
      </c>
      <c r="M28" s="173" t="n">
        <v>19950</v>
      </c>
      <c r="N28" s="184" t="n">
        <v>12169.5</v>
      </c>
      <c r="O28" s="186" t="s">
        <v>352</v>
      </c>
      <c r="P28" s="187" t="n">
        <v>45878</v>
      </c>
      <c r="Q28" s="188" t="n">
        <v>0.503449074074074</v>
      </c>
    </row>
    <row r="29" customFormat="false" ht="30" hidden="false" customHeight="true" outlineLevel="0" collapsed="false">
      <c r="A29" s="181" t="s">
        <v>353</v>
      </c>
      <c r="B29" s="182" t="n">
        <v>869</v>
      </c>
      <c r="C29" s="183" t="n">
        <v>9472</v>
      </c>
      <c r="D29" s="181" t="s">
        <v>326</v>
      </c>
      <c r="E29" s="181" t="s">
        <v>354</v>
      </c>
      <c r="F29" s="181" t="s">
        <v>355</v>
      </c>
      <c r="G29" s="181" t="s">
        <v>222</v>
      </c>
      <c r="H29" s="181" t="s">
        <v>327</v>
      </c>
      <c r="I29" s="181" t="s">
        <v>220</v>
      </c>
      <c r="J29" s="184" t="n">
        <v>35140</v>
      </c>
      <c r="K29" s="184" t="n">
        <v>14710</v>
      </c>
      <c r="L29" s="185" t="n">
        <v>26</v>
      </c>
      <c r="M29" s="173" t="n">
        <v>20430</v>
      </c>
      <c r="N29" s="184" t="n">
        <v>15118.2</v>
      </c>
      <c r="O29" s="186" t="s">
        <v>356</v>
      </c>
      <c r="P29" s="187" t="n">
        <v>45878</v>
      </c>
      <c r="Q29" s="188" t="n">
        <v>0.507037037037037</v>
      </c>
    </row>
    <row r="30" customFormat="false" ht="30" hidden="false" customHeight="true" outlineLevel="0" collapsed="false">
      <c r="A30" s="181" t="s">
        <v>357</v>
      </c>
      <c r="B30" s="182" t="n">
        <v>870</v>
      </c>
      <c r="C30" s="181" t="s">
        <v>358</v>
      </c>
      <c r="D30" s="181" t="s">
        <v>326</v>
      </c>
      <c r="E30" s="181" t="s">
        <v>359</v>
      </c>
      <c r="F30" s="181" t="s">
        <v>360</v>
      </c>
      <c r="G30" s="181" t="s">
        <v>222</v>
      </c>
      <c r="H30" s="181" t="s">
        <v>327</v>
      </c>
      <c r="I30" s="181" t="s">
        <v>220</v>
      </c>
      <c r="J30" s="184" t="n">
        <v>33680</v>
      </c>
      <c r="K30" s="184" t="n">
        <v>14870</v>
      </c>
      <c r="L30" s="185" t="n">
        <v>43</v>
      </c>
      <c r="M30" s="173" t="n">
        <v>18810</v>
      </c>
      <c r="N30" s="184" t="n">
        <v>10721.7</v>
      </c>
      <c r="O30" s="186" t="s">
        <v>361</v>
      </c>
      <c r="P30" s="187" t="n">
        <v>45878</v>
      </c>
      <c r="Q30" s="188" t="n">
        <v>0.957476851851852</v>
      </c>
    </row>
    <row r="31" customFormat="false" ht="30" hidden="false" customHeight="true" outlineLevel="0" collapsed="false">
      <c r="A31" s="181" t="s">
        <v>362</v>
      </c>
      <c r="B31" s="182" t="n">
        <v>872</v>
      </c>
      <c r="C31" s="183" t="n">
        <v>9478</v>
      </c>
      <c r="D31" s="181" t="s">
        <v>326</v>
      </c>
      <c r="E31" s="181" t="s">
        <v>304</v>
      </c>
      <c r="F31" s="181" t="s">
        <v>305</v>
      </c>
      <c r="G31" s="181" t="s">
        <v>222</v>
      </c>
      <c r="H31" s="181" t="s">
        <v>327</v>
      </c>
      <c r="I31" s="181" t="s">
        <v>220</v>
      </c>
      <c r="J31" s="184" t="n">
        <v>36760</v>
      </c>
      <c r="K31" s="184" t="n">
        <v>14950</v>
      </c>
      <c r="L31" s="185" t="n">
        <v>44</v>
      </c>
      <c r="M31" s="173" t="n">
        <v>21810</v>
      </c>
      <c r="N31" s="184" t="n">
        <v>12213.6</v>
      </c>
      <c r="O31" s="186" t="s">
        <v>363</v>
      </c>
      <c r="P31" s="187" t="n">
        <v>45879</v>
      </c>
      <c r="Q31" s="188" t="n">
        <v>0.0292592592592593</v>
      </c>
    </row>
    <row r="32" customFormat="false" ht="30" hidden="false" customHeight="true" outlineLevel="0" collapsed="false">
      <c r="A32" s="181" t="s">
        <v>364</v>
      </c>
      <c r="B32" s="182" t="n">
        <v>874</v>
      </c>
      <c r="C32" s="183" t="n">
        <v>9476</v>
      </c>
      <c r="D32" s="181" t="s">
        <v>326</v>
      </c>
      <c r="E32" s="181" t="s">
        <v>300</v>
      </c>
      <c r="F32" s="181" t="s">
        <v>301</v>
      </c>
      <c r="G32" s="181" t="s">
        <v>222</v>
      </c>
      <c r="H32" s="181" t="s">
        <v>327</v>
      </c>
      <c r="I32" s="181" t="s">
        <v>220</v>
      </c>
      <c r="J32" s="184" t="n">
        <v>46180</v>
      </c>
      <c r="K32" s="184" t="n">
        <v>20940</v>
      </c>
      <c r="L32" s="185" t="n">
        <v>21</v>
      </c>
      <c r="M32" s="173" t="n">
        <v>25240</v>
      </c>
      <c r="N32" s="184" t="n">
        <v>19939.6</v>
      </c>
      <c r="O32" s="186" t="s">
        <v>365</v>
      </c>
      <c r="P32" s="187" t="n">
        <v>45879</v>
      </c>
      <c r="Q32" s="188" t="n">
        <v>0.0524074074074074</v>
      </c>
    </row>
    <row r="33" customFormat="false" ht="30" hidden="false" customHeight="true" outlineLevel="0" collapsed="false">
      <c r="A33" s="181" t="s">
        <v>366</v>
      </c>
      <c r="B33" s="182" t="n">
        <v>875</v>
      </c>
      <c r="C33" s="183" t="n">
        <v>9480</v>
      </c>
      <c r="D33" s="181" t="s">
        <v>326</v>
      </c>
      <c r="E33" s="181" t="s">
        <v>367</v>
      </c>
      <c r="F33" s="181" t="s">
        <v>368</v>
      </c>
      <c r="G33" s="181" t="s">
        <v>222</v>
      </c>
      <c r="H33" s="181" t="s">
        <v>327</v>
      </c>
      <c r="I33" s="181" t="s">
        <v>220</v>
      </c>
      <c r="J33" s="184" t="n">
        <v>45100</v>
      </c>
      <c r="K33" s="184" t="n">
        <v>18610</v>
      </c>
      <c r="L33" s="185" t="n">
        <v>24</v>
      </c>
      <c r="M33" s="173" t="n">
        <v>26490</v>
      </c>
      <c r="N33" s="184" t="n">
        <v>20132.4</v>
      </c>
      <c r="O33" s="186" t="s">
        <v>369</v>
      </c>
      <c r="P33" s="187" t="n">
        <v>45879</v>
      </c>
      <c r="Q33" s="188" t="n">
        <v>0.0750231481481481</v>
      </c>
    </row>
    <row r="34" customFormat="false" ht="30" hidden="false" customHeight="true" outlineLevel="0" collapsed="false">
      <c r="A34" s="181" t="s">
        <v>370</v>
      </c>
      <c r="B34" s="182" t="n">
        <v>876</v>
      </c>
      <c r="C34" s="183" t="n">
        <v>9482</v>
      </c>
      <c r="D34" s="181" t="s">
        <v>326</v>
      </c>
      <c r="E34" s="181" t="s">
        <v>288</v>
      </c>
      <c r="F34" s="181" t="s">
        <v>289</v>
      </c>
      <c r="G34" s="181" t="s">
        <v>222</v>
      </c>
      <c r="H34" s="181" t="s">
        <v>327</v>
      </c>
      <c r="I34" s="181" t="s">
        <v>220</v>
      </c>
      <c r="J34" s="184" t="n">
        <v>33760</v>
      </c>
      <c r="K34" s="184" t="n">
        <v>14600</v>
      </c>
      <c r="L34" s="185" t="n">
        <v>17</v>
      </c>
      <c r="M34" s="173" t="n">
        <v>19160</v>
      </c>
      <c r="N34" s="184" t="n">
        <v>15902.8</v>
      </c>
      <c r="O34" s="186" t="s">
        <v>371</v>
      </c>
      <c r="P34" s="187" t="n">
        <v>45879</v>
      </c>
      <c r="Q34" s="188" t="n">
        <v>0.108969907407407</v>
      </c>
    </row>
    <row r="35" customFormat="false" ht="30" hidden="false" customHeight="true" outlineLevel="0" collapsed="false">
      <c r="A35" s="181" t="s">
        <v>372</v>
      </c>
      <c r="B35" s="182" t="n">
        <v>877</v>
      </c>
      <c r="C35" s="183" t="n">
        <v>9484</v>
      </c>
      <c r="D35" s="181" t="s">
        <v>326</v>
      </c>
      <c r="E35" s="181" t="s">
        <v>373</v>
      </c>
      <c r="F35" s="181" t="s">
        <v>374</v>
      </c>
      <c r="G35" s="181" t="s">
        <v>222</v>
      </c>
      <c r="H35" s="181" t="s">
        <v>327</v>
      </c>
      <c r="I35" s="181" t="s">
        <v>220</v>
      </c>
      <c r="J35" s="184" t="n">
        <v>36930</v>
      </c>
      <c r="K35" s="184" t="n">
        <v>14240</v>
      </c>
      <c r="L35" s="185" t="n">
        <v>40</v>
      </c>
      <c r="M35" s="173" t="n">
        <v>22690</v>
      </c>
      <c r="N35" s="184" t="n">
        <v>13614</v>
      </c>
      <c r="O35" s="186" t="s">
        <v>375</v>
      </c>
      <c r="P35" s="187" t="n">
        <v>45879</v>
      </c>
      <c r="Q35" s="188" t="n">
        <v>0.128020833333333</v>
      </c>
    </row>
    <row r="36" customFormat="false" ht="30" hidden="false" customHeight="true" outlineLevel="0" collapsed="false">
      <c r="A36" s="181" t="s">
        <v>376</v>
      </c>
      <c r="B36" s="182" t="n">
        <v>878</v>
      </c>
      <c r="C36" s="183" t="n">
        <v>9486</v>
      </c>
      <c r="D36" s="181" t="s">
        <v>326</v>
      </c>
      <c r="E36" s="181" t="s">
        <v>377</v>
      </c>
      <c r="F36" s="181" t="s">
        <v>378</v>
      </c>
      <c r="G36" s="181" t="s">
        <v>222</v>
      </c>
      <c r="H36" s="181" t="s">
        <v>327</v>
      </c>
      <c r="I36" s="181" t="s">
        <v>220</v>
      </c>
      <c r="J36" s="184" t="n">
        <v>38770</v>
      </c>
      <c r="K36" s="184" t="n">
        <v>15600</v>
      </c>
      <c r="L36" s="185" t="n">
        <v>31</v>
      </c>
      <c r="M36" s="173" t="n">
        <v>23170</v>
      </c>
      <c r="N36" s="184" t="n">
        <v>15987.3</v>
      </c>
      <c r="O36" s="186" t="s">
        <v>379</v>
      </c>
      <c r="P36" s="187" t="n">
        <v>45879</v>
      </c>
      <c r="Q36" s="188" t="n">
        <v>0.198229166666667</v>
      </c>
    </row>
    <row r="37" customFormat="false" ht="30" hidden="false" customHeight="true" outlineLevel="0" collapsed="false">
      <c r="A37" s="181" t="s">
        <v>380</v>
      </c>
      <c r="B37" s="182" t="n">
        <v>879</v>
      </c>
      <c r="C37" s="183" t="n">
        <v>9492</v>
      </c>
      <c r="D37" s="181" t="s">
        <v>326</v>
      </c>
      <c r="E37" s="181" t="s">
        <v>277</v>
      </c>
      <c r="F37" s="181" t="s">
        <v>278</v>
      </c>
      <c r="G37" s="181" t="s">
        <v>222</v>
      </c>
      <c r="H37" s="181" t="s">
        <v>327</v>
      </c>
      <c r="I37" s="181" t="s">
        <v>220</v>
      </c>
      <c r="J37" s="184" t="n">
        <v>37280</v>
      </c>
      <c r="K37" s="184" t="n">
        <v>15070</v>
      </c>
      <c r="L37" s="185" t="n">
        <v>49</v>
      </c>
      <c r="M37" s="173" t="n">
        <v>22210</v>
      </c>
      <c r="N37" s="184" t="n">
        <v>11327.1</v>
      </c>
      <c r="O37" s="186" t="s">
        <v>381</v>
      </c>
      <c r="P37" s="187" t="n">
        <v>45879</v>
      </c>
      <c r="Q37" s="188" t="n">
        <v>0.307418981481482</v>
      </c>
    </row>
    <row r="38" customFormat="false" ht="30" hidden="false" customHeight="true" outlineLevel="0" collapsed="false">
      <c r="A38" s="181" t="s">
        <v>382</v>
      </c>
      <c r="B38" s="182" t="n">
        <v>880</v>
      </c>
      <c r="C38" s="183" t="n">
        <v>9488</v>
      </c>
      <c r="D38" s="181" t="s">
        <v>326</v>
      </c>
      <c r="E38" s="181" t="s">
        <v>383</v>
      </c>
      <c r="F38" s="181" t="s">
        <v>384</v>
      </c>
      <c r="G38" s="181" t="s">
        <v>222</v>
      </c>
      <c r="H38" s="181" t="s">
        <v>327</v>
      </c>
      <c r="I38" s="181" t="s">
        <v>220</v>
      </c>
      <c r="J38" s="184" t="n">
        <v>37960</v>
      </c>
      <c r="K38" s="184" t="n">
        <v>14900</v>
      </c>
      <c r="L38" s="185" t="n">
        <v>48</v>
      </c>
      <c r="M38" s="173" t="n">
        <v>23060</v>
      </c>
      <c r="N38" s="184" t="n">
        <v>11991.2</v>
      </c>
      <c r="O38" s="186" t="s">
        <v>385</v>
      </c>
      <c r="P38" s="187" t="n">
        <v>45879</v>
      </c>
      <c r="Q38" s="188" t="n">
        <v>0.343368055555556</v>
      </c>
    </row>
    <row r="39" customFormat="false" ht="30" hidden="false" customHeight="true" outlineLevel="0" collapsed="false">
      <c r="A39" s="181" t="s">
        <v>386</v>
      </c>
      <c r="B39" s="182" t="n">
        <v>881</v>
      </c>
      <c r="C39" s="183" t="n">
        <v>9490</v>
      </c>
      <c r="D39" s="181" t="s">
        <v>326</v>
      </c>
      <c r="E39" s="181" t="s">
        <v>387</v>
      </c>
      <c r="F39" s="181" t="s">
        <v>388</v>
      </c>
      <c r="G39" s="181" t="s">
        <v>222</v>
      </c>
      <c r="H39" s="181" t="s">
        <v>327</v>
      </c>
      <c r="I39" s="181" t="s">
        <v>220</v>
      </c>
      <c r="J39" s="184" t="n">
        <v>36110</v>
      </c>
      <c r="K39" s="184" t="n">
        <v>14930</v>
      </c>
      <c r="L39" s="185" t="n">
        <v>49</v>
      </c>
      <c r="M39" s="173" t="n">
        <v>21180</v>
      </c>
      <c r="N39" s="184" t="n">
        <v>10801.8</v>
      </c>
      <c r="O39" s="186" t="s">
        <v>389</v>
      </c>
      <c r="P39" s="187" t="n">
        <v>45879</v>
      </c>
      <c r="Q39" s="188" t="n">
        <v>0.349571759259259</v>
      </c>
    </row>
    <row r="40" customFormat="false" ht="30" hidden="false" customHeight="true" outlineLevel="0" collapsed="false">
      <c r="A40" s="181" t="s">
        <v>390</v>
      </c>
      <c r="B40" s="182" t="n">
        <v>883</v>
      </c>
      <c r="C40" s="183" t="n">
        <v>9494</v>
      </c>
      <c r="D40" s="181" t="s">
        <v>326</v>
      </c>
      <c r="E40" s="181" t="s">
        <v>391</v>
      </c>
      <c r="F40" s="181" t="s">
        <v>392</v>
      </c>
      <c r="G40" s="181" t="s">
        <v>222</v>
      </c>
      <c r="H40" s="181" t="s">
        <v>327</v>
      </c>
      <c r="I40" s="181" t="s">
        <v>220</v>
      </c>
      <c r="J40" s="184" t="n">
        <v>32690</v>
      </c>
      <c r="K40" s="184" t="n">
        <v>14460</v>
      </c>
      <c r="L40" s="185" t="n">
        <v>46</v>
      </c>
      <c r="M40" s="173" t="n">
        <v>18230</v>
      </c>
      <c r="N40" s="184" t="n">
        <v>9844.2</v>
      </c>
      <c r="O40" s="186" t="s">
        <v>393</v>
      </c>
      <c r="P40" s="187" t="n">
        <v>45879</v>
      </c>
      <c r="Q40" s="188" t="n">
        <v>0.400648148148148</v>
      </c>
    </row>
    <row r="41" customFormat="false" ht="30" hidden="false" customHeight="true" outlineLevel="0" collapsed="false">
      <c r="A41" s="181" t="s">
        <v>394</v>
      </c>
      <c r="B41" s="182" t="n">
        <v>884</v>
      </c>
      <c r="C41" s="183" t="n">
        <v>9498</v>
      </c>
      <c r="D41" s="181" t="s">
        <v>326</v>
      </c>
      <c r="E41" s="181" t="s">
        <v>282</v>
      </c>
      <c r="F41" s="181" t="s">
        <v>283</v>
      </c>
      <c r="G41" s="181" t="s">
        <v>222</v>
      </c>
      <c r="H41" s="181" t="s">
        <v>327</v>
      </c>
      <c r="I41" s="181" t="s">
        <v>220</v>
      </c>
      <c r="J41" s="184" t="n">
        <v>34460</v>
      </c>
      <c r="K41" s="184" t="n">
        <v>15060</v>
      </c>
      <c r="L41" s="185" t="n">
        <v>45</v>
      </c>
      <c r="M41" s="173" t="n">
        <v>19400</v>
      </c>
      <c r="N41" s="184" t="n">
        <v>10670</v>
      </c>
      <c r="O41" s="186" t="s">
        <v>395</v>
      </c>
      <c r="P41" s="187" t="n">
        <v>45879</v>
      </c>
      <c r="Q41" s="188" t="n">
        <v>0.433530092592593</v>
      </c>
    </row>
    <row r="42" customFormat="false" ht="30" hidden="false" customHeight="true" outlineLevel="0" collapsed="false">
      <c r="A42" s="181" t="s">
        <v>396</v>
      </c>
      <c r="B42" s="182" t="n">
        <v>885</v>
      </c>
      <c r="C42" s="183" t="n">
        <v>9500</v>
      </c>
      <c r="D42" s="181" t="s">
        <v>326</v>
      </c>
      <c r="E42" s="181" t="s">
        <v>346</v>
      </c>
      <c r="F42" s="181" t="s">
        <v>347</v>
      </c>
      <c r="G42" s="181" t="s">
        <v>222</v>
      </c>
      <c r="H42" s="181" t="s">
        <v>327</v>
      </c>
      <c r="I42" s="181" t="s">
        <v>220</v>
      </c>
      <c r="J42" s="184" t="n">
        <v>34010</v>
      </c>
      <c r="K42" s="184" t="n">
        <v>14840</v>
      </c>
      <c r="L42" s="185" t="n">
        <v>37</v>
      </c>
      <c r="M42" s="173" t="n">
        <v>19170</v>
      </c>
      <c r="N42" s="184" t="n">
        <v>12077.1</v>
      </c>
      <c r="O42" s="186" t="s">
        <v>397</v>
      </c>
      <c r="P42" s="187" t="n">
        <v>45879</v>
      </c>
      <c r="Q42" s="188" t="n">
        <v>0.467858796296296</v>
      </c>
    </row>
    <row r="43" customFormat="false" ht="30" hidden="false" customHeight="true" outlineLevel="0" collapsed="false">
      <c r="A43" s="181" t="s">
        <v>398</v>
      </c>
      <c r="B43" s="182" t="n">
        <v>887</v>
      </c>
      <c r="C43" s="183" t="n">
        <v>9502</v>
      </c>
      <c r="D43" s="181" t="s">
        <v>326</v>
      </c>
      <c r="E43" s="181" t="s">
        <v>399</v>
      </c>
      <c r="F43" s="181" t="s">
        <v>400</v>
      </c>
      <c r="G43" s="181" t="s">
        <v>222</v>
      </c>
      <c r="H43" s="181" t="s">
        <v>327</v>
      </c>
      <c r="I43" s="181" t="s">
        <v>220</v>
      </c>
      <c r="J43" s="184" t="n">
        <v>37300</v>
      </c>
      <c r="K43" s="184" t="n">
        <v>15680</v>
      </c>
      <c r="L43" s="185" t="n">
        <v>45</v>
      </c>
      <c r="M43" s="173" t="n">
        <v>21620</v>
      </c>
      <c r="N43" s="184" t="n">
        <v>11891</v>
      </c>
      <c r="O43" s="186" t="s">
        <v>401</v>
      </c>
      <c r="P43" s="187" t="n">
        <v>45879</v>
      </c>
      <c r="Q43" s="188" t="n">
        <v>0.614143518518519</v>
      </c>
    </row>
    <row r="44" customFormat="false" ht="30" hidden="false" customHeight="true" outlineLevel="0" collapsed="false">
      <c r="A44" s="181" t="s">
        <v>402</v>
      </c>
      <c r="B44" s="182" t="n">
        <v>888</v>
      </c>
      <c r="C44" s="183" t="n">
        <v>9496</v>
      </c>
      <c r="D44" s="181" t="s">
        <v>326</v>
      </c>
      <c r="E44" s="181" t="s">
        <v>308</v>
      </c>
      <c r="F44" s="181" t="s">
        <v>309</v>
      </c>
      <c r="G44" s="181" t="s">
        <v>222</v>
      </c>
      <c r="H44" s="181" t="s">
        <v>327</v>
      </c>
      <c r="I44" s="181" t="s">
        <v>220</v>
      </c>
      <c r="J44" s="184" t="n">
        <v>59720</v>
      </c>
      <c r="K44" s="184" t="n">
        <v>24020</v>
      </c>
      <c r="L44" s="185" t="n">
        <v>44</v>
      </c>
      <c r="M44" s="173" t="n">
        <v>35700</v>
      </c>
      <c r="N44" s="184" t="n">
        <v>19992</v>
      </c>
      <c r="O44" s="186" t="s">
        <v>403</v>
      </c>
      <c r="P44" s="187" t="n">
        <v>45879</v>
      </c>
      <c r="Q44" s="188" t="n">
        <v>0.646701388888889</v>
      </c>
    </row>
    <row r="45" customFormat="false" ht="30" hidden="false" customHeight="true" outlineLevel="0" collapsed="false">
      <c r="A45" s="181" t="s">
        <v>404</v>
      </c>
      <c r="B45" s="182" t="n">
        <v>889</v>
      </c>
      <c r="C45" s="183" t="n">
        <v>9504</v>
      </c>
      <c r="D45" s="181" t="s">
        <v>326</v>
      </c>
      <c r="E45" s="181" t="s">
        <v>350</v>
      </c>
      <c r="F45" s="181" t="s">
        <v>351</v>
      </c>
      <c r="G45" s="181" t="s">
        <v>222</v>
      </c>
      <c r="H45" s="181" t="s">
        <v>327</v>
      </c>
      <c r="I45" s="181" t="s">
        <v>220</v>
      </c>
      <c r="J45" s="184" t="n">
        <v>40070</v>
      </c>
      <c r="K45" s="184" t="n">
        <v>14930</v>
      </c>
      <c r="L45" s="185" t="n">
        <v>42</v>
      </c>
      <c r="M45" s="173" t="n">
        <v>25140</v>
      </c>
      <c r="N45" s="184" t="n">
        <v>14581.2</v>
      </c>
      <c r="O45" s="186" t="s">
        <v>405</v>
      </c>
      <c r="P45" s="187" t="n">
        <v>45879</v>
      </c>
      <c r="Q45" s="188" t="n">
        <v>0.805439814814815</v>
      </c>
    </row>
    <row r="46" customFormat="false" ht="30" hidden="false" customHeight="true" outlineLevel="0" collapsed="false">
      <c r="A46" s="181" t="s">
        <v>406</v>
      </c>
      <c r="B46" s="182" t="n">
        <v>890</v>
      </c>
      <c r="C46" s="183" t="n">
        <v>9506</v>
      </c>
      <c r="D46" s="181" t="s">
        <v>326</v>
      </c>
      <c r="E46" s="181" t="s">
        <v>354</v>
      </c>
      <c r="F46" s="181" t="s">
        <v>355</v>
      </c>
      <c r="G46" s="181" t="s">
        <v>222</v>
      </c>
      <c r="H46" s="181" t="s">
        <v>327</v>
      </c>
      <c r="I46" s="181" t="s">
        <v>220</v>
      </c>
      <c r="J46" s="184" t="n">
        <v>37670</v>
      </c>
      <c r="K46" s="184" t="n">
        <v>14710</v>
      </c>
      <c r="L46" s="185" t="n">
        <v>46</v>
      </c>
      <c r="M46" s="173" t="n">
        <v>22960</v>
      </c>
      <c r="N46" s="184" t="n">
        <v>12398.4</v>
      </c>
      <c r="O46" s="186" t="s">
        <v>407</v>
      </c>
      <c r="P46" s="187" t="n">
        <v>45879</v>
      </c>
      <c r="Q46" s="188" t="n">
        <v>0.810902777777778</v>
      </c>
    </row>
    <row r="47" customFormat="false" ht="30" hidden="false" customHeight="true" outlineLevel="0" collapsed="false">
      <c r="A47" s="181" t="s">
        <v>408</v>
      </c>
      <c r="B47" s="182" t="n">
        <v>891</v>
      </c>
      <c r="C47" s="183" t="n">
        <v>9508</v>
      </c>
      <c r="D47" s="181" t="s">
        <v>326</v>
      </c>
      <c r="E47" s="181" t="s">
        <v>409</v>
      </c>
      <c r="F47" s="181" t="s">
        <v>410</v>
      </c>
      <c r="G47" s="181" t="s">
        <v>222</v>
      </c>
      <c r="H47" s="181" t="s">
        <v>327</v>
      </c>
      <c r="I47" s="181" t="s">
        <v>220</v>
      </c>
      <c r="J47" s="184" t="n">
        <v>49720</v>
      </c>
      <c r="K47" s="184" t="n">
        <v>23560</v>
      </c>
      <c r="L47" s="185" t="n">
        <v>46</v>
      </c>
      <c r="M47" s="173" t="n">
        <v>26160</v>
      </c>
      <c r="N47" s="184" t="n">
        <v>14126.4</v>
      </c>
      <c r="O47" s="186" t="s">
        <v>411</v>
      </c>
      <c r="P47" s="187" t="n">
        <v>45879</v>
      </c>
      <c r="Q47" s="188" t="n">
        <v>0.894467592592593</v>
      </c>
    </row>
    <row r="48" customFormat="false" ht="30" hidden="false" customHeight="true" outlineLevel="0" collapsed="false">
      <c r="A48" s="181" t="s">
        <v>412</v>
      </c>
      <c r="B48" s="182" t="n">
        <v>892</v>
      </c>
      <c r="C48" s="183" t="n">
        <v>9510</v>
      </c>
      <c r="D48" s="181" t="s">
        <v>326</v>
      </c>
      <c r="E48" s="181" t="s">
        <v>413</v>
      </c>
      <c r="F48" s="181" t="s">
        <v>414</v>
      </c>
      <c r="G48" s="181" t="s">
        <v>222</v>
      </c>
      <c r="H48" s="181" t="s">
        <v>327</v>
      </c>
      <c r="I48" s="181" t="s">
        <v>220</v>
      </c>
      <c r="J48" s="184" t="n">
        <v>40530</v>
      </c>
      <c r="K48" s="184" t="n">
        <v>15550</v>
      </c>
      <c r="L48" s="185" t="n">
        <v>47</v>
      </c>
      <c r="M48" s="173" t="n">
        <v>24980</v>
      </c>
      <c r="N48" s="184" t="n">
        <v>13239.4</v>
      </c>
      <c r="O48" s="186" t="s">
        <v>415</v>
      </c>
      <c r="P48" s="187" t="n">
        <v>45879</v>
      </c>
      <c r="Q48" s="188" t="n">
        <v>0.897314814814815</v>
      </c>
    </row>
    <row r="49" customFormat="false" ht="30" hidden="false" customHeight="true" outlineLevel="0" collapsed="false">
      <c r="A49" s="181" t="s">
        <v>416</v>
      </c>
      <c r="B49" s="182" t="n">
        <v>893</v>
      </c>
      <c r="C49" s="183" t="n">
        <v>9512</v>
      </c>
      <c r="D49" s="181" t="s">
        <v>326</v>
      </c>
      <c r="E49" s="181" t="s">
        <v>359</v>
      </c>
      <c r="F49" s="181" t="s">
        <v>360</v>
      </c>
      <c r="G49" s="181" t="s">
        <v>222</v>
      </c>
      <c r="H49" s="181" t="s">
        <v>327</v>
      </c>
      <c r="I49" s="181" t="s">
        <v>220</v>
      </c>
      <c r="J49" s="184" t="n">
        <v>35910</v>
      </c>
      <c r="K49" s="184" t="n">
        <v>14880</v>
      </c>
      <c r="L49" s="185" t="n">
        <v>11</v>
      </c>
      <c r="M49" s="173" t="n">
        <v>21030</v>
      </c>
      <c r="N49" s="184" t="n">
        <v>18716.7</v>
      </c>
      <c r="O49" s="186" t="s">
        <v>417</v>
      </c>
      <c r="P49" s="187" t="n">
        <v>45879</v>
      </c>
      <c r="Q49" s="188" t="n">
        <v>0.930208333333333</v>
      </c>
    </row>
    <row r="50" customFormat="false" ht="30" hidden="false" customHeight="true" outlineLevel="0" collapsed="false">
      <c r="A50" s="181" t="s">
        <v>418</v>
      </c>
      <c r="B50" s="182" t="n">
        <v>894</v>
      </c>
      <c r="C50" s="183" t="n">
        <v>9514</v>
      </c>
      <c r="D50" s="181" t="s">
        <v>326</v>
      </c>
      <c r="E50" s="181" t="s">
        <v>266</v>
      </c>
      <c r="F50" s="181" t="s">
        <v>267</v>
      </c>
      <c r="G50" s="181" t="s">
        <v>222</v>
      </c>
      <c r="H50" s="181" t="s">
        <v>327</v>
      </c>
      <c r="I50" s="181" t="s">
        <v>220</v>
      </c>
      <c r="J50" s="184" t="n">
        <v>38150</v>
      </c>
      <c r="K50" s="184" t="n">
        <v>14910</v>
      </c>
      <c r="L50" s="185" t="n">
        <v>43</v>
      </c>
      <c r="M50" s="173" t="n">
        <v>23240</v>
      </c>
      <c r="N50" s="184" t="n">
        <v>13246.8</v>
      </c>
      <c r="O50" s="186" t="s">
        <v>419</v>
      </c>
      <c r="P50" s="187" t="n">
        <v>45879</v>
      </c>
      <c r="Q50" s="188" t="n">
        <v>0.999814814814815</v>
      </c>
    </row>
    <row r="51" customFormat="false" ht="30" hidden="false" customHeight="true" outlineLevel="0" collapsed="false">
      <c r="A51" s="181" t="s">
        <v>420</v>
      </c>
      <c r="B51" s="182" t="n">
        <v>895</v>
      </c>
      <c r="C51" s="183" t="n">
        <v>9516</v>
      </c>
      <c r="D51" s="181" t="s">
        <v>326</v>
      </c>
      <c r="E51" s="181" t="s">
        <v>296</v>
      </c>
      <c r="F51" s="181" t="s">
        <v>297</v>
      </c>
      <c r="G51" s="181" t="s">
        <v>222</v>
      </c>
      <c r="H51" s="181" t="s">
        <v>327</v>
      </c>
      <c r="I51" s="181" t="s">
        <v>220</v>
      </c>
      <c r="J51" s="184" t="n">
        <v>39770</v>
      </c>
      <c r="K51" s="184" t="n">
        <v>15410</v>
      </c>
      <c r="L51" s="185" t="n">
        <v>26</v>
      </c>
      <c r="M51" s="173" t="n">
        <v>24360</v>
      </c>
      <c r="N51" s="184" t="n">
        <v>18026.4</v>
      </c>
      <c r="O51" s="186" t="s">
        <v>421</v>
      </c>
      <c r="P51" s="187" t="n">
        <v>45880</v>
      </c>
      <c r="Q51" s="188" t="n">
        <v>0.00375</v>
      </c>
    </row>
    <row r="52" customFormat="false" ht="30" hidden="false" customHeight="true" outlineLevel="0" collapsed="false">
      <c r="A52" s="181" t="s">
        <v>422</v>
      </c>
      <c r="B52" s="182" t="n">
        <v>896</v>
      </c>
      <c r="C52" s="183" t="n">
        <v>9518</v>
      </c>
      <c r="D52" s="181" t="s">
        <v>326</v>
      </c>
      <c r="E52" s="181" t="s">
        <v>261</v>
      </c>
      <c r="F52" s="181" t="s">
        <v>262</v>
      </c>
      <c r="G52" s="181" t="s">
        <v>222</v>
      </c>
      <c r="H52" s="181" t="s">
        <v>327</v>
      </c>
      <c r="I52" s="181" t="s">
        <v>220</v>
      </c>
      <c r="J52" s="184" t="n">
        <v>37270</v>
      </c>
      <c r="K52" s="184" t="n">
        <v>15080</v>
      </c>
      <c r="L52" s="185" t="n">
        <v>31</v>
      </c>
      <c r="M52" s="173" t="n">
        <v>22190</v>
      </c>
      <c r="N52" s="184" t="n">
        <v>15311.1</v>
      </c>
      <c r="O52" s="186" t="s">
        <v>423</v>
      </c>
      <c r="P52" s="187" t="n">
        <v>45880</v>
      </c>
      <c r="Q52" s="188" t="n">
        <v>0.574085648148148</v>
      </c>
    </row>
    <row r="53" customFormat="false" ht="30" hidden="false" customHeight="true" outlineLevel="0" collapsed="false">
      <c r="A53" s="181" t="s">
        <v>424</v>
      </c>
      <c r="B53" s="182" t="n">
        <v>897</v>
      </c>
      <c r="C53" s="183" t="n">
        <v>9520</v>
      </c>
      <c r="D53" s="181" t="s">
        <v>326</v>
      </c>
      <c r="E53" s="181" t="s">
        <v>336</v>
      </c>
      <c r="F53" s="181" t="s">
        <v>337</v>
      </c>
      <c r="G53" s="181" t="s">
        <v>222</v>
      </c>
      <c r="H53" s="181" t="s">
        <v>327</v>
      </c>
      <c r="I53" s="181" t="s">
        <v>220</v>
      </c>
      <c r="J53" s="184" t="n">
        <v>37590</v>
      </c>
      <c r="K53" s="184" t="n">
        <v>14500</v>
      </c>
      <c r="L53" s="185" t="n">
        <v>47</v>
      </c>
      <c r="M53" s="173" t="n">
        <v>23090</v>
      </c>
      <c r="N53" s="184" t="n">
        <v>12237.7</v>
      </c>
      <c r="O53" s="186" t="s">
        <v>425</v>
      </c>
      <c r="P53" s="187" t="n">
        <v>45880</v>
      </c>
      <c r="Q53" s="188" t="n">
        <v>0.625</v>
      </c>
    </row>
    <row r="54" customFormat="false" ht="30" hidden="false" customHeight="true" outlineLevel="0" collapsed="false">
      <c r="A54" s="181" t="s">
        <v>426</v>
      </c>
      <c r="B54" s="182" t="n">
        <v>898</v>
      </c>
      <c r="C54" s="183" t="n">
        <v>9522</v>
      </c>
      <c r="D54" s="181" t="s">
        <v>326</v>
      </c>
      <c r="E54" s="181" t="s">
        <v>340</v>
      </c>
      <c r="F54" s="181" t="s">
        <v>341</v>
      </c>
      <c r="G54" s="181" t="s">
        <v>222</v>
      </c>
      <c r="H54" s="181" t="s">
        <v>327</v>
      </c>
      <c r="I54" s="181" t="s">
        <v>220</v>
      </c>
      <c r="J54" s="184" t="n">
        <v>37450</v>
      </c>
      <c r="K54" s="184" t="n">
        <v>15050</v>
      </c>
      <c r="L54" s="185" t="n">
        <v>32</v>
      </c>
      <c r="M54" s="173" t="n">
        <v>22400</v>
      </c>
      <c r="N54" s="184" t="n">
        <v>15232</v>
      </c>
      <c r="O54" s="186" t="s">
        <v>427</v>
      </c>
      <c r="P54" s="187" t="n">
        <v>45880</v>
      </c>
      <c r="Q54" s="188" t="n">
        <v>0.698263888888889</v>
      </c>
    </row>
    <row r="55" customFormat="false" ht="30" hidden="false" customHeight="true" outlineLevel="0" collapsed="false">
      <c r="A55" s="181" t="s">
        <v>428</v>
      </c>
      <c r="B55" s="182" t="n">
        <v>899</v>
      </c>
      <c r="C55" s="183" t="n">
        <v>9524</v>
      </c>
      <c r="D55" s="181" t="s">
        <v>326</v>
      </c>
      <c r="E55" s="181" t="s">
        <v>332</v>
      </c>
      <c r="F55" s="181" t="s">
        <v>333</v>
      </c>
      <c r="G55" s="181" t="s">
        <v>222</v>
      </c>
      <c r="H55" s="181" t="s">
        <v>327</v>
      </c>
      <c r="I55" s="181" t="s">
        <v>220</v>
      </c>
      <c r="J55" s="184" t="n">
        <v>37010</v>
      </c>
      <c r="K55" s="184" t="n">
        <v>14660</v>
      </c>
      <c r="L55" s="185" t="n">
        <v>28</v>
      </c>
      <c r="M55" s="173" t="n">
        <v>22350</v>
      </c>
      <c r="N55" s="184" t="n">
        <v>16092</v>
      </c>
      <c r="O55" s="186" t="s">
        <v>429</v>
      </c>
      <c r="P55" s="187" t="n">
        <v>45880</v>
      </c>
      <c r="Q55" s="188" t="n">
        <v>0.722673611111111</v>
      </c>
    </row>
    <row r="56" customFormat="false" ht="30" hidden="false" customHeight="true" outlineLevel="0" collapsed="false">
      <c r="A56" s="181" t="s">
        <v>430</v>
      </c>
      <c r="B56" s="182" t="n">
        <v>900</v>
      </c>
      <c r="C56" s="183" t="n">
        <v>9526</v>
      </c>
      <c r="D56" s="181" t="s">
        <v>326</v>
      </c>
      <c r="E56" s="181" t="s">
        <v>431</v>
      </c>
      <c r="F56" s="181" t="s">
        <v>432</v>
      </c>
      <c r="G56" s="181" t="s">
        <v>222</v>
      </c>
      <c r="H56" s="181" t="s">
        <v>327</v>
      </c>
      <c r="I56" s="181" t="s">
        <v>220</v>
      </c>
      <c r="J56" s="184" t="n">
        <v>39320</v>
      </c>
      <c r="K56" s="184" t="n">
        <v>16640</v>
      </c>
      <c r="L56" s="185" t="n">
        <v>34</v>
      </c>
      <c r="M56" s="173" t="n">
        <v>22680</v>
      </c>
      <c r="N56" s="184" t="n">
        <v>14968.8</v>
      </c>
      <c r="O56" s="186" t="s">
        <v>433</v>
      </c>
      <c r="P56" s="187" t="n">
        <v>45880</v>
      </c>
      <c r="Q56" s="188" t="n">
        <v>0.904108796296296</v>
      </c>
    </row>
    <row r="57" customFormat="false" ht="30" hidden="false" customHeight="true" outlineLevel="0" collapsed="false">
      <c r="A57" s="181" t="s">
        <v>434</v>
      </c>
      <c r="B57" s="182" t="n">
        <v>901</v>
      </c>
      <c r="C57" s="183" t="n">
        <v>9528</v>
      </c>
      <c r="D57" s="181" t="s">
        <v>326</v>
      </c>
      <c r="E57" s="181" t="s">
        <v>435</v>
      </c>
      <c r="F57" s="181" t="s">
        <v>436</v>
      </c>
      <c r="G57" s="181" t="s">
        <v>222</v>
      </c>
      <c r="H57" s="181" t="s">
        <v>327</v>
      </c>
      <c r="I57" s="181" t="s">
        <v>220</v>
      </c>
      <c r="J57" s="184" t="n">
        <v>37420</v>
      </c>
      <c r="K57" s="184" t="n">
        <v>16330</v>
      </c>
      <c r="L57" s="185" t="n">
        <v>35</v>
      </c>
      <c r="M57" s="173" t="n">
        <v>21090</v>
      </c>
      <c r="N57" s="184" t="n">
        <v>13708.5</v>
      </c>
      <c r="O57" s="186" t="s">
        <v>437</v>
      </c>
      <c r="P57" s="187" t="n">
        <v>45880</v>
      </c>
      <c r="Q57" s="188" t="n">
        <v>0.9046875</v>
      </c>
    </row>
    <row r="58" customFormat="false" ht="30" hidden="false" customHeight="true" outlineLevel="0" collapsed="false">
      <c r="A58" s="181" t="s">
        <v>438</v>
      </c>
      <c r="B58" s="182" t="n">
        <v>903</v>
      </c>
      <c r="C58" s="183" t="n">
        <v>9530</v>
      </c>
      <c r="D58" s="181" t="s">
        <v>326</v>
      </c>
      <c r="E58" s="181" t="s">
        <v>439</v>
      </c>
      <c r="F58" s="181" t="s">
        <v>440</v>
      </c>
      <c r="G58" s="181" t="s">
        <v>222</v>
      </c>
      <c r="H58" s="181" t="s">
        <v>327</v>
      </c>
      <c r="I58" s="181" t="s">
        <v>220</v>
      </c>
      <c r="J58" s="184" t="n">
        <v>37790</v>
      </c>
      <c r="K58" s="184" t="n">
        <v>16490</v>
      </c>
      <c r="L58" s="185" t="n">
        <v>37</v>
      </c>
      <c r="M58" s="173" t="n">
        <v>21300</v>
      </c>
      <c r="N58" s="184" t="n">
        <v>13419</v>
      </c>
      <c r="O58" s="186" t="s">
        <v>441</v>
      </c>
      <c r="P58" s="187" t="n">
        <v>45880</v>
      </c>
      <c r="Q58" s="188" t="n">
        <v>0.277476851851852</v>
      </c>
    </row>
    <row r="59" customFormat="false" ht="30" hidden="false" customHeight="true" outlineLevel="0" collapsed="false">
      <c r="A59" s="181" t="s">
        <v>442</v>
      </c>
      <c r="B59" s="182" t="n">
        <v>904</v>
      </c>
      <c r="C59" s="183" t="n">
        <v>9532</v>
      </c>
      <c r="D59" s="181" t="s">
        <v>326</v>
      </c>
      <c r="E59" s="181" t="s">
        <v>277</v>
      </c>
      <c r="F59" s="181" t="s">
        <v>278</v>
      </c>
      <c r="G59" s="181" t="s">
        <v>222</v>
      </c>
      <c r="H59" s="181" t="s">
        <v>327</v>
      </c>
      <c r="I59" s="181" t="s">
        <v>220</v>
      </c>
      <c r="J59" s="184" t="n">
        <v>39060</v>
      </c>
      <c r="K59" s="184" t="n">
        <v>15080</v>
      </c>
      <c r="L59" s="185" t="n">
        <v>29</v>
      </c>
      <c r="M59" s="173" t="n">
        <v>23980</v>
      </c>
      <c r="N59" s="184" t="n">
        <v>17025.8</v>
      </c>
      <c r="O59" s="186" t="s">
        <v>443</v>
      </c>
      <c r="P59" s="187" t="n">
        <v>45880</v>
      </c>
      <c r="Q59" s="188" t="n">
        <v>0.387986111111111</v>
      </c>
    </row>
    <row r="60" customFormat="false" ht="30" hidden="false" customHeight="true" outlineLevel="0" collapsed="false">
      <c r="A60" s="181" t="s">
        <v>444</v>
      </c>
      <c r="B60" s="182" t="n">
        <v>905</v>
      </c>
      <c r="C60" s="183" t="n">
        <v>9534</v>
      </c>
      <c r="D60" s="181" t="s">
        <v>326</v>
      </c>
      <c r="E60" s="181" t="s">
        <v>367</v>
      </c>
      <c r="F60" s="181" t="s">
        <v>368</v>
      </c>
      <c r="G60" s="181" t="s">
        <v>222</v>
      </c>
      <c r="H60" s="181" t="s">
        <v>327</v>
      </c>
      <c r="I60" s="181" t="s">
        <v>220</v>
      </c>
      <c r="J60" s="184" t="n">
        <v>44540</v>
      </c>
      <c r="K60" s="184" t="n">
        <v>18590</v>
      </c>
      <c r="L60" s="185" t="n">
        <v>37</v>
      </c>
      <c r="M60" s="173" t="n">
        <v>25950</v>
      </c>
      <c r="N60" s="184" t="n">
        <v>16348.5</v>
      </c>
      <c r="O60" s="186" t="s">
        <v>445</v>
      </c>
      <c r="P60" s="187" t="n">
        <v>45880</v>
      </c>
      <c r="Q60" s="188" t="n">
        <v>0.401886574074074</v>
      </c>
    </row>
    <row r="61" customFormat="false" ht="30" hidden="false" customHeight="true" outlineLevel="0" collapsed="false">
      <c r="A61" s="181" t="s">
        <v>446</v>
      </c>
      <c r="B61" s="182" t="n">
        <v>906</v>
      </c>
      <c r="C61" s="183" t="n">
        <v>9536</v>
      </c>
      <c r="D61" s="181" t="s">
        <v>326</v>
      </c>
      <c r="E61" s="181" t="s">
        <v>300</v>
      </c>
      <c r="F61" s="181" t="s">
        <v>301</v>
      </c>
      <c r="G61" s="181" t="s">
        <v>222</v>
      </c>
      <c r="H61" s="181" t="s">
        <v>327</v>
      </c>
      <c r="I61" s="181" t="s">
        <v>220</v>
      </c>
      <c r="J61" s="184" t="n">
        <v>51520</v>
      </c>
      <c r="K61" s="184" t="n">
        <v>20900</v>
      </c>
      <c r="L61" s="185" t="n">
        <v>40</v>
      </c>
      <c r="M61" s="173" t="n">
        <v>30620</v>
      </c>
      <c r="N61" s="184" t="n">
        <v>18372</v>
      </c>
      <c r="O61" s="186" t="s">
        <v>447</v>
      </c>
      <c r="P61" s="187" t="n">
        <v>45880</v>
      </c>
      <c r="Q61" s="188" t="n">
        <v>0.501365740740741</v>
      </c>
    </row>
    <row r="62" customFormat="false" ht="30" hidden="false" customHeight="true" outlineLevel="0" collapsed="false">
      <c r="A62" s="181" t="s">
        <v>448</v>
      </c>
      <c r="B62" s="182" t="n">
        <v>909</v>
      </c>
      <c r="C62" s="183" t="n">
        <v>9540</v>
      </c>
      <c r="D62" s="181" t="s">
        <v>326</v>
      </c>
      <c r="E62" s="181" t="s">
        <v>292</v>
      </c>
      <c r="F62" s="181" t="s">
        <v>293</v>
      </c>
      <c r="G62" s="181" t="s">
        <v>222</v>
      </c>
      <c r="H62" s="181" t="s">
        <v>327</v>
      </c>
      <c r="I62" s="181" t="s">
        <v>220</v>
      </c>
      <c r="J62" s="184" t="n">
        <v>36720</v>
      </c>
      <c r="K62" s="184" t="n">
        <v>13890</v>
      </c>
      <c r="L62" s="185" t="n">
        <v>30</v>
      </c>
      <c r="M62" s="173" t="n">
        <v>22830</v>
      </c>
      <c r="N62" s="184" t="n">
        <v>15981</v>
      </c>
      <c r="O62" s="186" t="s">
        <v>449</v>
      </c>
      <c r="P62" s="187" t="n">
        <v>45880</v>
      </c>
      <c r="Q62" s="188" t="n">
        <v>0.925486111111111</v>
      </c>
    </row>
    <row r="63" customFormat="false" ht="30" hidden="false" customHeight="true" outlineLevel="0" collapsed="false">
      <c r="A63" s="181" t="s">
        <v>450</v>
      </c>
      <c r="B63" s="182" t="n">
        <v>910</v>
      </c>
      <c r="C63" s="183" t="n">
        <v>9538</v>
      </c>
      <c r="D63" s="181" t="s">
        <v>326</v>
      </c>
      <c r="E63" s="181" t="s">
        <v>377</v>
      </c>
      <c r="F63" s="181" t="s">
        <v>378</v>
      </c>
      <c r="G63" s="181" t="s">
        <v>222</v>
      </c>
      <c r="H63" s="181" t="s">
        <v>327</v>
      </c>
      <c r="I63" s="181" t="s">
        <v>220</v>
      </c>
      <c r="J63" s="184" t="n">
        <v>39340</v>
      </c>
      <c r="K63" s="184" t="n">
        <v>15570</v>
      </c>
      <c r="L63" s="185" t="n">
        <v>21</v>
      </c>
      <c r="M63" s="173" t="n">
        <v>23770</v>
      </c>
      <c r="N63" s="184" t="n">
        <v>18778.3</v>
      </c>
      <c r="O63" s="186" t="s">
        <v>451</v>
      </c>
      <c r="P63" s="187" t="n">
        <v>45880</v>
      </c>
      <c r="Q63" s="188" t="n">
        <v>0.931712962962963</v>
      </c>
    </row>
    <row r="64" customFormat="false" ht="30" hidden="false" customHeight="true" outlineLevel="0" collapsed="false">
      <c r="A64" s="181" t="s">
        <v>452</v>
      </c>
      <c r="B64" s="182" t="n">
        <v>911</v>
      </c>
      <c r="C64" s="183" t="n">
        <v>9542</v>
      </c>
      <c r="D64" s="181" t="s">
        <v>326</v>
      </c>
      <c r="E64" s="181" t="s">
        <v>399</v>
      </c>
      <c r="F64" s="181" t="s">
        <v>400</v>
      </c>
      <c r="G64" s="181" t="s">
        <v>222</v>
      </c>
      <c r="H64" s="181" t="s">
        <v>327</v>
      </c>
      <c r="I64" s="181" t="s">
        <v>220</v>
      </c>
      <c r="J64" s="184" t="n">
        <v>37550</v>
      </c>
      <c r="K64" s="184" t="n">
        <v>15560</v>
      </c>
      <c r="L64" s="185" t="n">
        <v>21</v>
      </c>
      <c r="M64" s="173" t="n">
        <v>21990</v>
      </c>
      <c r="N64" s="184" t="n">
        <v>17372.1</v>
      </c>
      <c r="O64" s="186" t="s">
        <v>453</v>
      </c>
      <c r="P64" s="187" t="n">
        <v>45880</v>
      </c>
      <c r="Q64" s="188" t="n">
        <v>0.984814814814815</v>
      </c>
    </row>
    <row r="65" customFormat="false" ht="30" hidden="false" customHeight="true" outlineLevel="0" collapsed="false">
      <c r="A65" s="181" t="s">
        <v>454</v>
      </c>
      <c r="B65" s="182" t="n">
        <v>912</v>
      </c>
      <c r="C65" s="183" t="n">
        <v>29985</v>
      </c>
      <c r="D65" s="181" t="s">
        <v>326</v>
      </c>
      <c r="E65" s="181" t="s">
        <v>308</v>
      </c>
      <c r="F65" s="181" t="s">
        <v>309</v>
      </c>
      <c r="G65" s="181" t="s">
        <v>222</v>
      </c>
      <c r="H65" s="181" t="s">
        <v>327</v>
      </c>
      <c r="I65" s="181" t="s">
        <v>220</v>
      </c>
      <c r="J65" s="184" t="n">
        <v>48510</v>
      </c>
      <c r="K65" s="184" t="n">
        <v>23920</v>
      </c>
      <c r="L65" s="185" t="n">
        <v>31</v>
      </c>
      <c r="M65" s="173" t="n">
        <v>24590</v>
      </c>
      <c r="N65" s="184" t="n">
        <v>16967.1</v>
      </c>
      <c r="O65" s="186" t="s">
        <v>455</v>
      </c>
      <c r="P65" s="187" t="n">
        <v>45881</v>
      </c>
      <c r="Q65" s="188" t="n">
        <v>0.334340277777778</v>
      </c>
    </row>
    <row r="66" customFormat="false" ht="30" hidden="false" customHeight="true" outlineLevel="0" collapsed="false">
      <c r="A66" s="181" t="s">
        <v>456</v>
      </c>
      <c r="B66" s="182" t="n">
        <v>913</v>
      </c>
      <c r="C66" s="183" t="n">
        <v>29987</v>
      </c>
      <c r="D66" s="181" t="s">
        <v>326</v>
      </c>
      <c r="E66" s="181" t="s">
        <v>304</v>
      </c>
      <c r="F66" s="181" t="s">
        <v>305</v>
      </c>
      <c r="G66" s="181" t="s">
        <v>222</v>
      </c>
      <c r="H66" s="181" t="s">
        <v>327</v>
      </c>
      <c r="I66" s="181" t="s">
        <v>220</v>
      </c>
      <c r="J66" s="184" t="n">
        <v>36020</v>
      </c>
      <c r="K66" s="184" t="n">
        <v>14870</v>
      </c>
      <c r="L66" s="185" t="n">
        <v>23</v>
      </c>
      <c r="M66" s="173" t="n">
        <v>21150</v>
      </c>
      <c r="N66" s="184" t="n">
        <v>16285.5</v>
      </c>
      <c r="O66" s="186" t="s">
        <v>457</v>
      </c>
      <c r="P66" s="187" t="n">
        <v>45881</v>
      </c>
      <c r="Q66" s="188" t="n">
        <v>0.368738425925926</v>
      </c>
    </row>
    <row r="67" customFormat="false" ht="30" hidden="false" customHeight="true" outlineLevel="0" collapsed="false">
      <c r="A67" s="181" t="s">
        <v>458</v>
      </c>
      <c r="B67" s="182" t="n">
        <v>914</v>
      </c>
      <c r="C67" s="183" t="n">
        <v>29991</v>
      </c>
      <c r="D67" s="181" t="s">
        <v>326</v>
      </c>
      <c r="E67" s="181" t="s">
        <v>350</v>
      </c>
      <c r="F67" s="181" t="s">
        <v>351</v>
      </c>
      <c r="G67" s="181" t="s">
        <v>222</v>
      </c>
      <c r="H67" s="181" t="s">
        <v>327</v>
      </c>
      <c r="I67" s="181" t="s">
        <v>220</v>
      </c>
      <c r="J67" s="184" t="n">
        <v>40380</v>
      </c>
      <c r="K67" s="184" t="n">
        <v>14930</v>
      </c>
      <c r="L67" s="185" t="n">
        <v>31</v>
      </c>
      <c r="M67" s="173" t="n">
        <v>25450</v>
      </c>
      <c r="N67" s="184" t="n">
        <v>17560.5</v>
      </c>
      <c r="O67" s="186" t="s">
        <v>459</v>
      </c>
      <c r="P67" s="187" t="n">
        <v>45881</v>
      </c>
      <c r="Q67" s="188" t="n">
        <v>0.437337962962963</v>
      </c>
    </row>
    <row r="68" customFormat="false" ht="30" hidden="false" customHeight="true" outlineLevel="0" collapsed="false">
      <c r="A68" s="181" t="s">
        <v>460</v>
      </c>
      <c r="B68" s="182" t="n">
        <v>915</v>
      </c>
      <c r="C68" s="183" t="n">
        <v>29993</v>
      </c>
      <c r="D68" s="181" t="s">
        <v>326</v>
      </c>
      <c r="E68" s="181" t="s">
        <v>354</v>
      </c>
      <c r="F68" s="181" t="s">
        <v>355</v>
      </c>
      <c r="G68" s="181" t="s">
        <v>222</v>
      </c>
      <c r="H68" s="181" t="s">
        <v>327</v>
      </c>
      <c r="I68" s="181" t="s">
        <v>220</v>
      </c>
      <c r="J68" s="184" t="n">
        <v>37570</v>
      </c>
      <c r="K68" s="184" t="n">
        <v>14680</v>
      </c>
      <c r="L68" s="185" t="n">
        <v>32</v>
      </c>
      <c r="M68" s="173" t="n">
        <v>22890</v>
      </c>
      <c r="N68" s="184" t="n">
        <v>15565.2</v>
      </c>
      <c r="O68" s="186" t="s">
        <v>461</v>
      </c>
      <c r="P68" s="187" t="n">
        <v>45881</v>
      </c>
      <c r="Q68" s="188" t="n">
        <v>0.566956018518519</v>
      </c>
    </row>
    <row r="69" customFormat="false" ht="30" hidden="false" customHeight="true" outlineLevel="0" collapsed="false">
      <c r="A69" s="181" t="s">
        <v>462</v>
      </c>
      <c r="B69" s="182" t="n">
        <v>916</v>
      </c>
      <c r="C69" s="183" t="n">
        <v>29997</v>
      </c>
      <c r="D69" s="181" t="s">
        <v>326</v>
      </c>
      <c r="E69" s="181" t="s">
        <v>413</v>
      </c>
      <c r="F69" s="181" t="s">
        <v>414</v>
      </c>
      <c r="G69" s="181" t="s">
        <v>222</v>
      </c>
      <c r="H69" s="181" t="s">
        <v>327</v>
      </c>
      <c r="I69" s="181" t="s">
        <v>220</v>
      </c>
      <c r="J69" s="184" t="n">
        <v>41630</v>
      </c>
      <c r="K69" s="184" t="n">
        <v>15440</v>
      </c>
      <c r="L69" s="185" t="n">
        <v>40</v>
      </c>
      <c r="M69" s="173" t="n">
        <v>26190</v>
      </c>
      <c r="N69" s="184" t="n">
        <v>15714</v>
      </c>
      <c r="O69" s="186" t="s">
        <v>463</v>
      </c>
      <c r="P69" s="187" t="n">
        <v>45881</v>
      </c>
      <c r="Q69" s="188" t="n">
        <v>0.638819444444445</v>
      </c>
    </row>
    <row r="70" customFormat="false" ht="30" hidden="false" customHeight="true" outlineLevel="0" collapsed="false">
      <c r="A70" s="181" t="s">
        <v>464</v>
      </c>
      <c r="B70" s="182" t="n">
        <v>917</v>
      </c>
      <c r="C70" s="183" t="n">
        <v>29995</v>
      </c>
      <c r="D70" s="181" t="s">
        <v>326</v>
      </c>
      <c r="E70" s="181" t="s">
        <v>409</v>
      </c>
      <c r="F70" s="181" t="s">
        <v>410</v>
      </c>
      <c r="G70" s="181" t="s">
        <v>222</v>
      </c>
      <c r="H70" s="181" t="s">
        <v>327</v>
      </c>
      <c r="I70" s="181" t="s">
        <v>220</v>
      </c>
      <c r="J70" s="184" t="n">
        <v>48220</v>
      </c>
      <c r="K70" s="184" t="n">
        <v>23430</v>
      </c>
      <c r="L70" s="185" t="n">
        <v>34</v>
      </c>
      <c r="M70" s="173" t="n">
        <v>24790</v>
      </c>
      <c r="N70" s="184" t="n">
        <v>16361.4</v>
      </c>
      <c r="O70" s="186" t="s">
        <v>465</v>
      </c>
      <c r="P70" s="187" t="n">
        <v>45881</v>
      </c>
      <c r="Q70" s="188" t="n">
        <v>0.644803240740741</v>
      </c>
    </row>
    <row r="71" customFormat="false" ht="30" hidden="false" customHeight="true" outlineLevel="0" collapsed="false">
      <c r="A71" s="181" t="s">
        <v>466</v>
      </c>
      <c r="B71" s="182" t="n">
        <v>920</v>
      </c>
      <c r="C71" s="183" t="n">
        <v>29999</v>
      </c>
      <c r="D71" s="181" t="s">
        <v>326</v>
      </c>
      <c r="E71" s="181" t="s">
        <v>383</v>
      </c>
      <c r="F71" s="181" t="s">
        <v>384</v>
      </c>
      <c r="G71" s="181" t="s">
        <v>222</v>
      </c>
      <c r="H71" s="181" t="s">
        <v>327</v>
      </c>
      <c r="I71" s="181" t="s">
        <v>220</v>
      </c>
      <c r="J71" s="184" t="n">
        <v>38530</v>
      </c>
      <c r="K71" s="184" t="n">
        <v>14860</v>
      </c>
      <c r="L71" s="185" t="n">
        <v>31</v>
      </c>
      <c r="M71" s="173" t="n">
        <v>23670</v>
      </c>
      <c r="N71" s="184" t="n">
        <v>16332.3</v>
      </c>
      <c r="O71" s="186" t="s">
        <v>467</v>
      </c>
      <c r="P71" s="187" t="n">
        <v>45881</v>
      </c>
      <c r="Q71" s="188" t="n">
        <v>0.716030092592593</v>
      </c>
    </row>
    <row r="72" customFormat="false" ht="30" hidden="false" customHeight="true" outlineLevel="0" collapsed="false">
      <c r="A72" s="181" t="s">
        <v>468</v>
      </c>
      <c r="B72" s="182" t="n">
        <v>921</v>
      </c>
      <c r="C72" s="189" t="n">
        <v>30001</v>
      </c>
      <c r="D72" s="181" t="s">
        <v>326</v>
      </c>
      <c r="E72" s="181" t="s">
        <v>387</v>
      </c>
      <c r="F72" s="181" t="s">
        <v>388</v>
      </c>
      <c r="G72" s="181" t="s">
        <v>222</v>
      </c>
      <c r="H72" s="181" t="s">
        <v>327</v>
      </c>
      <c r="I72" s="181" t="s">
        <v>220</v>
      </c>
      <c r="J72" s="184" t="n">
        <v>36940</v>
      </c>
      <c r="K72" s="184" t="n">
        <v>15010</v>
      </c>
      <c r="L72" s="185" t="n">
        <v>29</v>
      </c>
      <c r="M72" s="173" t="n">
        <v>21930</v>
      </c>
      <c r="N72" s="184" t="n">
        <v>15570.3</v>
      </c>
      <c r="O72" s="186" t="s">
        <v>469</v>
      </c>
      <c r="P72" s="187" t="n">
        <v>45881</v>
      </c>
      <c r="Q72" s="188" t="n">
        <v>0.72494212962963</v>
      </c>
    </row>
    <row r="73" customFormat="false" ht="30" hidden="false" customHeight="true" outlineLevel="0" collapsed="false">
      <c r="A73" s="181" t="s">
        <v>470</v>
      </c>
      <c r="B73" s="182" t="n">
        <v>924</v>
      </c>
      <c r="C73" s="183" t="n">
        <v>110</v>
      </c>
      <c r="D73" s="181" t="s">
        <v>276</v>
      </c>
      <c r="E73" s="181" t="s">
        <v>266</v>
      </c>
      <c r="F73" s="181" t="s">
        <v>267</v>
      </c>
      <c r="G73" s="181"/>
      <c r="H73" s="181" t="s">
        <v>471</v>
      </c>
      <c r="I73" s="181" t="s">
        <v>238</v>
      </c>
      <c r="J73" s="184" t="n">
        <v>40080</v>
      </c>
      <c r="K73" s="184" t="n">
        <v>15110</v>
      </c>
      <c r="L73" s="185" t="n">
        <v>20</v>
      </c>
      <c r="M73" s="173" t="n">
        <v>24970</v>
      </c>
      <c r="N73" s="184" t="n">
        <v>19976</v>
      </c>
      <c r="O73" s="186" t="s">
        <v>472</v>
      </c>
      <c r="P73" s="187" t="n">
        <v>45881</v>
      </c>
      <c r="Q73" s="188" t="n">
        <v>0.821643518518519</v>
      </c>
    </row>
    <row r="74" customFormat="false" ht="30" hidden="false" customHeight="true" outlineLevel="0" collapsed="false">
      <c r="A74" s="181" t="s">
        <v>473</v>
      </c>
      <c r="B74" s="182" t="n">
        <v>925</v>
      </c>
      <c r="C74" s="183" t="n">
        <v>111</v>
      </c>
      <c r="D74" s="181" t="s">
        <v>276</v>
      </c>
      <c r="E74" s="181" t="s">
        <v>261</v>
      </c>
      <c r="F74" s="181" t="s">
        <v>262</v>
      </c>
      <c r="G74" s="181"/>
      <c r="H74" s="181" t="s">
        <v>471</v>
      </c>
      <c r="I74" s="181" t="s">
        <v>238</v>
      </c>
      <c r="J74" s="184" t="n">
        <v>39940</v>
      </c>
      <c r="K74" s="184" t="n">
        <v>15110</v>
      </c>
      <c r="L74" s="185" t="n">
        <v>4</v>
      </c>
      <c r="M74" s="173" t="n">
        <v>24830</v>
      </c>
      <c r="N74" s="184" t="n">
        <v>23836.8</v>
      </c>
      <c r="O74" s="186" t="s">
        <v>474</v>
      </c>
      <c r="P74" s="187" t="n">
        <v>45881</v>
      </c>
      <c r="Q74" s="188" t="n">
        <v>0.879467592592593</v>
      </c>
    </row>
    <row r="75" customFormat="false" ht="30" hidden="false" customHeight="true" outlineLevel="0" collapsed="false">
      <c r="A75" s="181" t="s">
        <v>475</v>
      </c>
      <c r="B75" s="182" t="n">
        <v>926</v>
      </c>
      <c r="C75" s="183" t="n">
        <v>112</v>
      </c>
      <c r="D75" s="181" t="s">
        <v>276</v>
      </c>
      <c r="E75" s="181" t="s">
        <v>336</v>
      </c>
      <c r="F75" s="181" t="s">
        <v>337</v>
      </c>
      <c r="G75" s="181"/>
      <c r="H75" s="181" t="s">
        <v>471</v>
      </c>
      <c r="I75" s="181" t="s">
        <v>238</v>
      </c>
      <c r="J75" s="184" t="n">
        <v>42080</v>
      </c>
      <c r="K75" s="184" t="n">
        <v>14540</v>
      </c>
      <c r="L75" s="185" t="n">
        <v>4</v>
      </c>
      <c r="M75" s="173" t="n">
        <v>27540</v>
      </c>
      <c r="N75" s="184" t="n">
        <v>26438.4</v>
      </c>
      <c r="O75" s="186" t="s">
        <v>476</v>
      </c>
      <c r="P75" s="187" t="n">
        <v>45881</v>
      </c>
      <c r="Q75" s="188" t="n">
        <v>0.768541666666667</v>
      </c>
    </row>
    <row r="76" customFormat="false" ht="30" hidden="false" customHeight="true" outlineLevel="0" collapsed="false">
      <c r="A76" s="181" t="s">
        <v>477</v>
      </c>
      <c r="B76" s="182" t="n">
        <v>927</v>
      </c>
      <c r="C76" s="183" t="n">
        <v>113</v>
      </c>
      <c r="D76" s="181" t="s">
        <v>276</v>
      </c>
      <c r="E76" s="181" t="s">
        <v>340</v>
      </c>
      <c r="F76" s="181" t="s">
        <v>341</v>
      </c>
      <c r="G76" s="181"/>
      <c r="H76" s="181" t="s">
        <v>471</v>
      </c>
      <c r="I76" s="181" t="s">
        <v>238</v>
      </c>
      <c r="J76" s="184" t="n">
        <v>41830</v>
      </c>
      <c r="K76" s="184" t="n">
        <v>15090</v>
      </c>
      <c r="L76" s="185" t="n">
        <v>3</v>
      </c>
      <c r="M76" s="173" t="n">
        <v>26740</v>
      </c>
      <c r="N76" s="184" t="n">
        <v>25937.8</v>
      </c>
      <c r="O76" s="186" t="s">
        <v>478</v>
      </c>
      <c r="P76" s="187" t="n">
        <v>45881</v>
      </c>
      <c r="Q76" s="188" t="n">
        <v>0.774143518518519</v>
      </c>
    </row>
    <row r="77" customFormat="false" ht="30" hidden="false" customHeight="true" outlineLevel="0" collapsed="false">
      <c r="A77" s="181" t="s">
        <v>479</v>
      </c>
      <c r="B77" s="182" t="n">
        <v>930</v>
      </c>
      <c r="C77" s="183" t="n">
        <v>114</v>
      </c>
      <c r="D77" s="181" t="s">
        <v>276</v>
      </c>
      <c r="E77" s="181" t="s">
        <v>277</v>
      </c>
      <c r="F77" s="181" t="s">
        <v>278</v>
      </c>
      <c r="G77" s="181"/>
      <c r="H77" s="181" t="s">
        <v>471</v>
      </c>
      <c r="I77" s="181" t="s">
        <v>238</v>
      </c>
      <c r="J77" s="184" t="n">
        <v>43510</v>
      </c>
      <c r="K77" s="184" t="n">
        <v>15130</v>
      </c>
      <c r="L77" s="185" t="n">
        <v>22</v>
      </c>
      <c r="M77" s="173" t="n">
        <v>28380</v>
      </c>
      <c r="N77" s="184" t="n">
        <v>22136.4</v>
      </c>
      <c r="O77" s="186" t="s">
        <v>480</v>
      </c>
      <c r="P77" s="187" t="n">
        <v>45881</v>
      </c>
      <c r="Q77" s="188" t="n">
        <v>0.926134259259259</v>
      </c>
    </row>
    <row r="78" customFormat="false" ht="30" hidden="false" customHeight="true" outlineLevel="0" collapsed="false">
      <c r="A78" s="181" t="s">
        <v>481</v>
      </c>
      <c r="B78" s="182" t="n">
        <v>931</v>
      </c>
      <c r="C78" s="183" t="n">
        <v>115</v>
      </c>
      <c r="D78" s="181" t="s">
        <v>276</v>
      </c>
      <c r="E78" s="181" t="s">
        <v>367</v>
      </c>
      <c r="F78" s="181" t="s">
        <v>368</v>
      </c>
      <c r="G78" s="181"/>
      <c r="H78" s="181" t="s">
        <v>471</v>
      </c>
      <c r="I78" s="181" t="s">
        <v>238</v>
      </c>
      <c r="J78" s="184" t="n">
        <v>49870</v>
      </c>
      <c r="K78" s="184" t="n">
        <v>18700</v>
      </c>
      <c r="L78" s="185" t="n">
        <v>32</v>
      </c>
      <c r="M78" s="173" t="n">
        <v>31170</v>
      </c>
      <c r="N78" s="184" t="n">
        <v>21195.6</v>
      </c>
      <c r="O78" s="186" t="s">
        <v>482</v>
      </c>
      <c r="P78" s="187" t="n">
        <v>45881</v>
      </c>
      <c r="Q78" s="188" t="n">
        <v>0.929861111111111</v>
      </c>
    </row>
    <row r="79" customFormat="false" ht="30" hidden="false" customHeight="true" outlineLevel="0" collapsed="false">
      <c r="A79" s="181" t="s">
        <v>483</v>
      </c>
      <c r="B79" s="182" t="n">
        <v>932</v>
      </c>
      <c r="C79" s="183" t="n">
        <v>116</v>
      </c>
      <c r="D79" s="181" t="s">
        <v>276</v>
      </c>
      <c r="E79" s="181" t="s">
        <v>377</v>
      </c>
      <c r="F79" s="181" t="s">
        <v>378</v>
      </c>
      <c r="G79" s="181"/>
      <c r="H79" s="181" t="s">
        <v>471</v>
      </c>
      <c r="I79" s="181" t="s">
        <v>238</v>
      </c>
      <c r="J79" s="184" t="n">
        <v>44940</v>
      </c>
      <c r="K79" s="184" t="n">
        <v>15670</v>
      </c>
      <c r="L79" s="185" t="n">
        <v>20</v>
      </c>
      <c r="M79" s="173" t="n">
        <v>29270</v>
      </c>
      <c r="N79" s="184" t="n">
        <v>23416</v>
      </c>
      <c r="O79" s="186" t="s">
        <v>484</v>
      </c>
      <c r="P79" s="187" t="n">
        <v>45882</v>
      </c>
      <c r="Q79" s="188" t="n">
        <v>0.402546296296296</v>
      </c>
    </row>
    <row r="80" customFormat="false" ht="30" hidden="false" customHeight="true" outlineLevel="0" collapsed="false">
      <c r="A80" s="181" t="s">
        <v>485</v>
      </c>
      <c r="B80" s="182" t="n">
        <v>933</v>
      </c>
      <c r="C80" s="183" t="n">
        <v>117</v>
      </c>
      <c r="D80" s="181" t="s">
        <v>276</v>
      </c>
      <c r="E80" s="181" t="s">
        <v>350</v>
      </c>
      <c r="F80" s="181" t="s">
        <v>351</v>
      </c>
      <c r="G80" s="181"/>
      <c r="H80" s="181" t="s">
        <v>471</v>
      </c>
      <c r="I80" s="181" t="s">
        <v>238</v>
      </c>
      <c r="J80" s="184" t="n">
        <v>42950</v>
      </c>
      <c r="K80" s="184" t="n">
        <v>15010</v>
      </c>
      <c r="L80" s="185" t="n">
        <v>22</v>
      </c>
      <c r="M80" s="173" t="n">
        <v>27940</v>
      </c>
      <c r="N80" s="184" t="n">
        <v>21793.2</v>
      </c>
      <c r="O80" s="186" t="s">
        <v>486</v>
      </c>
      <c r="P80" s="187" t="n">
        <v>45882</v>
      </c>
      <c r="Q80" s="188" t="n">
        <v>0.399664351851852</v>
      </c>
    </row>
    <row r="81" customFormat="false" ht="30" hidden="false" customHeight="true" outlineLevel="0" collapsed="false">
      <c r="A81" s="181" t="s">
        <v>487</v>
      </c>
      <c r="B81" s="182" t="n">
        <v>934</v>
      </c>
      <c r="C81" s="183" t="n">
        <v>118</v>
      </c>
      <c r="D81" s="181" t="s">
        <v>276</v>
      </c>
      <c r="E81" s="181" t="s">
        <v>332</v>
      </c>
      <c r="F81" s="181" t="s">
        <v>333</v>
      </c>
      <c r="G81" s="181"/>
      <c r="H81" s="181" t="s">
        <v>471</v>
      </c>
      <c r="I81" s="181" t="s">
        <v>238</v>
      </c>
      <c r="J81" s="184" t="n">
        <v>40290</v>
      </c>
      <c r="K81" s="184" t="n">
        <v>14760</v>
      </c>
      <c r="L81" s="185" t="n">
        <v>34</v>
      </c>
      <c r="M81" s="173" t="n">
        <v>25530</v>
      </c>
      <c r="N81" s="184" t="n">
        <v>16849.8</v>
      </c>
      <c r="O81" s="186" t="s">
        <v>488</v>
      </c>
      <c r="P81" s="187" t="n">
        <v>45882</v>
      </c>
      <c r="Q81" s="188" t="n">
        <v>0.403032407407407</v>
      </c>
    </row>
    <row r="82" customFormat="false" ht="30" hidden="false" customHeight="true" outlineLevel="0" collapsed="false">
      <c r="A82" s="181" t="s">
        <v>489</v>
      </c>
      <c r="B82" s="182" t="n">
        <v>935</v>
      </c>
      <c r="C82" s="183" t="n">
        <v>119</v>
      </c>
      <c r="D82" s="181" t="s">
        <v>276</v>
      </c>
      <c r="E82" s="181" t="s">
        <v>300</v>
      </c>
      <c r="F82" s="181" t="s">
        <v>301</v>
      </c>
      <c r="G82" s="181"/>
      <c r="H82" s="181" t="s">
        <v>471</v>
      </c>
      <c r="I82" s="181" t="s">
        <v>238</v>
      </c>
      <c r="J82" s="184" t="n">
        <v>56270</v>
      </c>
      <c r="K82" s="184" t="n">
        <v>20960</v>
      </c>
      <c r="L82" s="185" t="n">
        <v>19</v>
      </c>
      <c r="M82" s="173" t="n">
        <v>35310</v>
      </c>
      <c r="N82" s="184" t="n">
        <v>28601.1</v>
      </c>
      <c r="O82" s="186" t="s">
        <v>490</v>
      </c>
      <c r="P82" s="187" t="n">
        <v>45882</v>
      </c>
      <c r="Q82" s="188" t="n">
        <v>0.393587962962963</v>
      </c>
    </row>
    <row r="83" customFormat="false" ht="30" hidden="false" customHeight="true" outlineLevel="0" collapsed="false">
      <c r="A83" s="181" t="s">
        <v>491</v>
      </c>
      <c r="B83" s="182" t="n">
        <v>936</v>
      </c>
      <c r="C83" s="183" t="n">
        <v>121</v>
      </c>
      <c r="D83" s="181" t="s">
        <v>276</v>
      </c>
      <c r="E83" s="181" t="s">
        <v>308</v>
      </c>
      <c r="F83" s="181" t="s">
        <v>309</v>
      </c>
      <c r="G83" s="181"/>
      <c r="H83" s="181" t="s">
        <v>471</v>
      </c>
      <c r="I83" s="181" t="s">
        <v>238</v>
      </c>
      <c r="J83" s="184" t="n">
        <v>63600</v>
      </c>
      <c r="K83" s="184" t="n">
        <v>24160</v>
      </c>
      <c r="L83" s="185" t="n">
        <v>10</v>
      </c>
      <c r="M83" s="173" t="n">
        <v>39440</v>
      </c>
      <c r="N83" s="184" t="n">
        <v>35496</v>
      </c>
      <c r="O83" s="186" t="s">
        <v>492</v>
      </c>
      <c r="P83" s="187" t="n">
        <v>45882</v>
      </c>
      <c r="Q83" s="188" t="n">
        <v>0.665520833333333</v>
      </c>
    </row>
    <row r="84" customFormat="false" ht="30" hidden="false" customHeight="true" outlineLevel="0" collapsed="false">
      <c r="A84" s="181" t="s">
        <v>493</v>
      </c>
      <c r="B84" s="182" t="n">
        <v>937</v>
      </c>
      <c r="C84" s="183" t="n">
        <v>120</v>
      </c>
      <c r="D84" s="181" t="s">
        <v>276</v>
      </c>
      <c r="E84" s="181" t="s">
        <v>304</v>
      </c>
      <c r="F84" s="181" t="s">
        <v>305</v>
      </c>
      <c r="G84" s="181"/>
      <c r="H84" s="181" t="s">
        <v>471</v>
      </c>
      <c r="I84" s="181" t="s">
        <v>238</v>
      </c>
      <c r="J84" s="184" t="n">
        <v>39300</v>
      </c>
      <c r="K84" s="184" t="n">
        <v>14950</v>
      </c>
      <c r="L84" s="185" t="n">
        <v>13</v>
      </c>
      <c r="M84" s="173" t="n">
        <v>24350</v>
      </c>
      <c r="N84" s="184" t="n">
        <v>21184.5</v>
      </c>
      <c r="O84" s="186" t="s">
        <v>494</v>
      </c>
      <c r="P84" s="187" t="n">
        <v>45882</v>
      </c>
      <c r="Q84" s="188" t="n">
        <v>0.562199074074074</v>
      </c>
    </row>
    <row r="85" customFormat="false" ht="30" hidden="false" customHeight="true" outlineLevel="0" collapsed="false">
      <c r="A85" s="181" t="s">
        <v>495</v>
      </c>
      <c r="B85" s="182" t="n">
        <v>939</v>
      </c>
      <c r="C85" s="183" t="n">
        <v>122</v>
      </c>
      <c r="D85" s="181" t="s">
        <v>276</v>
      </c>
      <c r="E85" s="181" t="s">
        <v>409</v>
      </c>
      <c r="F85" s="181" t="s">
        <v>410</v>
      </c>
      <c r="G85" s="181"/>
      <c r="H85" s="181" t="s">
        <v>471</v>
      </c>
      <c r="I85" s="181" t="s">
        <v>238</v>
      </c>
      <c r="J85" s="184" t="n">
        <v>52350</v>
      </c>
      <c r="K85" s="184" t="n">
        <v>23450</v>
      </c>
      <c r="L85" s="185" t="n">
        <v>10</v>
      </c>
      <c r="M85" s="173" t="n">
        <v>28900</v>
      </c>
      <c r="N85" s="184" t="n">
        <v>26010</v>
      </c>
      <c r="O85" s="186" t="s">
        <v>496</v>
      </c>
      <c r="P85" s="187" t="n">
        <v>45882</v>
      </c>
      <c r="Q85" s="188" t="n">
        <v>0.622615740740741</v>
      </c>
    </row>
    <row r="86" customFormat="false" ht="30" hidden="false" customHeight="true" outlineLevel="0" collapsed="false">
      <c r="A86" s="181" t="s">
        <v>497</v>
      </c>
      <c r="B86" s="182" t="n">
        <v>940</v>
      </c>
      <c r="C86" s="183" t="n">
        <v>123</v>
      </c>
      <c r="D86" s="181" t="s">
        <v>276</v>
      </c>
      <c r="E86" s="181" t="s">
        <v>413</v>
      </c>
      <c r="F86" s="181" t="s">
        <v>414</v>
      </c>
      <c r="G86" s="181"/>
      <c r="H86" s="181" t="s">
        <v>471</v>
      </c>
      <c r="I86" s="181" t="s">
        <v>238</v>
      </c>
      <c r="J86" s="184" t="n">
        <v>43100</v>
      </c>
      <c r="K86" s="184" t="n">
        <v>15640</v>
      </c>
      <c r="L86" s="185" t="n">
        <v>15</v>
      </c>
      <c r="M86" s="173" t="n">
        <v>27460</v>
      </c>
      <c r="N86" s="184" t="n">
        <v>23341</v>
      </c>
      <c r="O86" s="186" t="s">
        <v>498</v>
      </c>
      <c r="P86" s="187" t="n">
        <v>45882</v>
      </c>
      <c r="Q86" s="188" t="n">
        <v>0.654699074074074</v>
      </c>
    </row>
    <row r="87" customFormat="false" ht="30" hidden="false" customHeight="true" outlineLevel="0" collapsed="false">
      <c r="A87" s="181" t="s">
        <v>499</v>
      </c>
      <c r="B87" s="182" t="n">
        <v>941</v>
      </c>
      <c r="C87" s="183" t="n">
        <v>124</v>
      </c>
      <c r="D87" s="181" t="s">
        <v>276</v>
      </c>
      <c r="E87" s="181" t="s">
        <v>383</v>
      </c>
      <c r="F87" s="181" t="s">
        <v>384</v>
      </c>
      <c r="G87" s="181"/>
      <c r="H87" s="181" t="s">
        <v>471</v>
      </c>
      <c r="I87" s="181" t="s">
        <v>238</v>
      </c>
      <c r="J87" s="184" t="n">
        <v>41440</v>
      </c>
      <c r="K87" s="184" t="n">
        <v>14910</v>
      </c>
      <c r="L87" s="185" t="n">
        <v>9</v>
      </c>
      <c r="M87" s="173" t="n">
        <v>26530</v>
      </c>
      <c r="N87" s="184" t="n">
        <v>24142.3</v>
      </c>
      <c r="O87" s="186" t="s">
        <v>500</v>
      </c>
      <c r="P87" s="187" t="n">
        <v>45882</v>
      </c>
      <c r="Q87" s="188" t="n">
        <v>0.675474537037037</v>
      </c>
    </row>
    <row r="88" customFormat="false" ht="30" hidden="false" customHeight="true" outlineLevel="0" collapsed="false">
      <c r="A88" s="181" t="s">
        <v>501</v>
      </c>
      <c r="B88" s="182" t="n">
        <v>942</v>
      </c>
      <c r="C88" s="183" t="n">
        <v>125</v>
      </c>
      <c r="D88" s="181" t="s">
        <v>276</v>
      </c>
      <c r="E88" s="181" t="s">
        <v>387</v>
      </c>
      <c r="F88" s="181" t="s">
        <v>388</v>
      </c>
      <c r="G88" s="181"/>
      <c r="H88" s="181" t="s">
        <v>471</v>
      </c>
      <c r="I88" s="181" t="s">
        <v>238</v>
      </c>
      <c r="J88" s="184" t="n">
        <v>40150</v>
      </c>
      <c r="K88" s="184" t="n">
        <v>15130</v>
      </c>
      <c r="L88" s="185" t="n">
        <v>9</v>
      </c>
      <c r="M88" s="173" t="n">
        <v>25020</v>
      </c>
      <c r="N88" s="184" t="n">
        <v>22768.2</v>
      </c>
      <c r="O88" s="186" t="s">
        <v>502</v>
      </c>
      <c r="P88" s="187" t="n">
        <v>45882</v>
      </c>
      <c r="Q88" s="188" t="n">
        <v>0.685173611111111</v>
      </c>
    </row>
    <row r="89" customFormat="false" ht="30" hidden="false" customHeight="true" outlineLevel="0" collapsed="false">
      <c r="A89" s="181" t="s">
        <v>503</v>
      </c>
      <c r="B89" s="182" t="n">
        <v>944</v>
      </c>
      <c r="C89" s="183" t="n">
        <v>127</v>
      </c>
      <c r="D89" s="181" t="s">
        <v>276</v>
      </c>
      <c r="E89" s="181" t="s">
        <v>288</v>
      </c>
      <c r="F89" s="181" t="s">
        <v>289</v>
      </c>
      <c r="G89" s="181"/>
      <c r="H89" s="181" t="s">
        <v>471</v>
      </c>
      <c r="I89" s="181" t="s">
        <v>238</v>
      </c>
      <c r="J89" s="184" t="n">
        <v>39350</v>
      </c>
      <c r="K89" s="184" t="n">
        <v>14580</v>
      </c>
      <c r="L89" s="185" t="n">
        <v>13</v>
      </c>
      <c r="M89" s="173" t="n">
        <v>24770</v>
      </c>
      <c r="N89" s="184" t="n">
        <v>21549.9</v>
      </c>
      <c r="O89" s="186" t="s">
        <v>504</v>
      </c>
      <c r="P89" s="187" t="n">
        <v>45882</v>
      </c>
      <c r="Q89" s="188" t="n">
        <v>0.720578703703704</v>
      </c>
    </row>
    <row r="90" customFormat="false" ht="30" hidden="false" customHeight="true" outlineLevel="0" collapsed="false">
      <c r="A90" s="181" t="s">
        <v>505</v>
      </c>
      <c r="B90" s="182" t="n">
        <v>945</v>
      </c>
      <c r="C90" s="183" t="n">
        <v>126</v>
      </c>
      <c r="D90" s="181" t="s">
        <v>276</v>
      </c>
      <c r="E90" s="181" t="s">
        <v>399</v>
      </c>
      <c r="F90" s="181" t="s">
        <v>400</v>
      </c>
      <c r="G90" s="181"/>
      <c r="H90" s="181" t="s">
        <v>471</v>
      </c>
      <c r="I90" s="181" t="s">
        <v>238</v>
      </c>
      <c r="J90" s="184" t="n">
        <v>51680</v>
      </c>
      <c r="K90" s="184" t="n">
        <v>19490</v>
      </c>
      <c r="L90" s="185" t="n">
        <v>4</v>
      </c>
      <c r="M90" s="173" t="n">
        <v>32190</v>
      </c>
      <c r="N90" s="184" t="n">
        <v>30902.4</v>
      </c>
      <c r="O90" s="186" t="s">
        <v>506</v>
      </c>
      <c r="P90" s="187" t="n">
        <v>45882</v>
      </c>
      <c r="Q90" s="188" t="n">
        <v>0.772453703703704</v>
      </c>
    </row>
    <row r="91" customFormat="false" ht="30" hidden="false" customHeight="true" outlineLevel="0" collapsed="false">
      <c r="A91" s="181" t="s">
        <v>507</v>
      </c>
      <c r="B91" s="182" t="n">
        <v>946</v>
      </c>
      <c r="C91" s="183" t="n">
        <v>129</v>
      </c>
      <c r="D91" s="181" t="s">
        <v>276</v>
      </c>
      <c r="E91" s="181" t="s">
        <v>292</v>
      </c>
      <c r="F91" s="181" t="s">
        <v>293</v>
      </c>
      <c r="G91" s="181"/>
      <c r="H91" s="181" t="s">
        <v>471</v>
      </c>
      <c r="I91" s="181" t="s">
        <v>238</v>
      </c>
      <c r="J91" s="184" t="n">
        <v>38460</v>
      </c>
      <c r="K91" s="184" t="n">
        <v>13980</v>
      </c>
      <c r="L91" s="185" t="n">
        <v>5</v>
      </c>
      <c r="M91" s="173" t="n">
        <v>24480</v>
      </c>
      <c r="N91" s="184" t="n">
        <v>23256</v>
      </c>
      <c r="O91" s="186" t="s">
        <v>508</v>
      </c>
      <c r="P91" s="187" t="n">
        <v>45882</v>
      </c>
      <c r="Q91" s="188" t="n">
        <v>0.792233796296296</v>
      </c>
    </row>
    <row r="92" customFormat="false" ht="30" hidden="false" customHeight="true" outlineLevel="0" collapsed="false">
      <c r="A92" s="181" t="s">
        <v>509</v>
      </c>
      <c r="B92" s="182" t="n">
        <v>947</v>
      </c>
      <c r="C92" s="183" t="n">
        <v>131</v>
      </c>
      <c r="D92" s="181" t="s">
        <v>276</v>
      </c>
      <c r="E92" s="181" t="s">
        <v>296</v>
      </c>
      <c r="F92" s="181" t="s">
        <v>297</v>
      </c>
      <c r="G92" s="181"/>
      <c r="H92" s="181" t="s">
        <v>471</v>
      </c>
      <c r="I92" s="181" t="s">
        <v>238</v>
      </c>
      <c r="J92" s="184" t="n">
        <v>43230</v>
      </c>
      <c r="K92" s="184" t="n">
        <v>15390</v>
      </c>
      <c r="L92" s="185" t="n">
        <v>4</v>
      </c>
      <c r="M92" s="173" t="n">
        <v>27840</v>
      </c>
      <c r="N92" s="184" t="n">
        <v>26726.4</v>
      </c>
      <c r="O92" s="186" t="s">
        <v>510</v>
      </c>
      <c r="P92" s="187" t="n">
        <v>45882</v>
      </c>
      <c r="Q92" s="188" t="n">
        <v>0.884050925925926</v>
      </c>
    </row>
    <row r="93" customFormat="false" ht="30" hidden="false" customHeight="true" outlineLevel="0" collapsed="false">
      <c r="A93" s="181" t="s">
        <v>511</v>
      </c>
      <c r="B93" s="182" t="n">
        <v>948</v>
      </c>
      <c r="C93" s="183" t="n">
        <v>110</v>
      </c>
      <c r="D93" s="181" t="s">
        <v>276</v>
      </c>
      <c r="E93" s="181" t="s">
        <v>266</v>
      </c>
      <c r="F93" s="181" t="s">
        <v>267</v>
      </c>
      <c r="G93" s="181"/>
      <c r="H93" s="181" t="s">
        <v>471</v>
      </c>
      <c r="I93" s="181" t="s">
        <v>238</v>
      </c>
      <c r="J93" s="184" t="n">
        <v>41550</v>
      </c>
      <c r="K93" s="184" t="n">
        <v>15130</v>
      </c>
      <c r="L93" s="185" t="n">
        <v>10</v>
      </c>
      <c r="M93" s="173" t="n">
        <v>26420</v>
      </c>
      <c r="N93" s="184" t="n">
        <v>23778</v>
      </c>
      <c r="O93" s="186" t="s">
        <v>512</v>
      </c>
      <c r="P93" s="187" t="n">
        <v>45882</v>
      </c>
      <c r="Q93" s="188" t="n">
        <v>0.899456018518519</v>
      </c>
    </row>
    <row r="94" customFormat="false" ht="30" hidden="false" customHeight="true" outlineLevel="0" collapsed="false">
      <c r="A94" s="181" t="s">
        <v>513</v>
      </c>
      <c r="B94" s="182" t="n">
        <v>949</v>
      </c>
      <c r="C94" s="183" t="n">
        <v>132</v>
      </c>
      <c r="D94" s="181" t="s">
        <v>276</v>
      </c>
      <c r="E94" s="181" t="s">
        <v>277</v>
      </c>
      <c r="F94" s="181" t="s">
        <v>278</v>
      </c>
      <c r="G94" s="181"/>
      <c r="H94" s="181" t="s">
        <v>471</v>
      </c>
      <c r="I94" s="181" t="s">
        <v>238</v>
      </c>
      <c r="J94" s="184" t="n">
        <v>41190</v>
      </c>
      <c r="K94" s="184" t="n">
        <v>15150</v>
      </c>
      <c r="L94" s="185" t="n">
        <v>18</v>
      </c>
      <c r="M94" s="173" t="n">
        <v>26040</v>
      </c>
      <c r="N94" s="184" t="n">
        <v>21352.8</v>
      </c>
      <c r="O94" s="186" t="s">
        <v>514</v>
      </c>
      <c r="P94" s="187" t="n">
        <v>45882</v>
      </c>
      <c r="Q94" s="188" t="n">
        <v>0.810486111111111</v>
      </c>
    </row>
    <row r="95" customFormat="false" ht="30" hidden="false" customHeight="true" outlineLevel="0" collapsed="false">
      <c r="A95" s="181" t="s">
        <v>515</v>
      </c>
      <c r="B95" s="182" t="n">
        <v>950</v>
      </c>
      <c r="C95" s="183" t="n">
        <v>135</v>
      </c>
      <c r="D95" s="181" t="s">
        <v>276</v>
      </c>
      <c r="E95" s="181" t="s">
        <v>336</v>
      </c>
      <c r="F95" s="181" t="s">
        <v>337</v>
      </c>
      <c r="G95" s="181"/>
      <c r="H95" s="181" t="s">
        <v>471</v>
      </c>
      <c r="I95" s="181" t="s">
        <v>238</v>
      </c>
      <c r="J95" s="184" t="n">
        <v>43580</v>
      </c>
      <c r="K95" s="184" t="n">
        <v>14520</v>
      </c>
      <c r="L95" s="185" t="n">
        <v>17</v>
      </c>
      <c r="M95" s="173" t="n">
        <v>29060</v>
      </c>
      <c r="N95" s="184" t="n">
        <v>24119.8</v>
      </c>
      <c r="O95" s="186" t="s">
        <v>516</v>
      </c>
      <c r="P95" s="187" t="n">
        <v>45883</v>
      </c>
      <c r="Q95" s="188" t="n">
        <v>0.0128472222222222</v>
      </c>
    </row>
    <row r="96" customFormat="false" ht="30" hidden="false" customHeight="true" outlineLevel="0" collapsed="false">
      <c r="A96" s="181" t="s">
        <v>517</v>
      </c>
      <c r="B96" s="182" t="n">
        <v>951</v>
      </c>
      <c r="C96" s="183" t="n">
        <v>136</v>
      </c>
      <c r="D96" s="181" t="s">
        <v>276</v>
      </c>
      <c r="E96" s="181" t="s">
        <v>340</v>
      </c>
      <c r="F96" s="181" t="s">
        <v>341</v>
      </c>
      <c r="G96" s="181"/>
      <c r="H96" s="181" t="s">
        <v>471</v>
      </c>
      <c r="I96" s="181" t="s">
        <v>238</v>
      </c>
      <c r="J96" s="184" t="n">
        <v>42250</v>
      </c>
      <c r="K96" s="184" t="n">
        <v>15130</v>
      </c>
      <c r="L96" s="185" t="n">
        <v>4</v>
      </c>
      <c r="M96" s="173" t="n">
        <v>27120</v>
      </c>
      <c r="N96" s="184" t="n">
        <v>26035.2</v>
      </c>
      <c r="O96" s="186" t="s">
        <v>518</v>
      </c>
      <c r="P96" s="187" t="n">
        <v>45883</v>
      </c>
      <c r="Q96" s="188" t="n">
        <v>0.0180324074074074</v>
      </c>
    </row>
    <row r="97" customFormat="false" ht="30" hidden="false" customHeight="true" outlineLevel="0" collapsed="false">
      <c r="A97" s="181" t="s">
        <v>519</v>
      </c>
      <c r="B97" s="182" t="n">
        <v>952</v>
      </c>
      <c r="C97" s="183" t="n">
        <v>30004</v>
      </c>
      <c r="D97" s="181" t="s">
        <v>326</v>
      </c>
      <c r="E97" s="181" t="s">
        <v>282</v>
      </c>
      <c r="F97" s="181" t="s">
        <v>283</v>
      </c>
      <c r="G97" s="181" t="s">
        <v>221</v>
      </c>
      <c r="H97" s="181" t="s">
        <v>520</v>
      </c>
      <c r="I97" s="181" t="s">
        <v>220</v>
      </c>
      <c r="J97" s="184" t="n">
        <v>35530</v>
      </c>
      <c r="K97" s="184" t="n">
        <v>15060</v>
      </c>
      <c r="L97" s="185" t="n">
        <v>6</v>
      </c>
      <c r="M97" s="173" t="n">
        <v>20470</v>
      </c>
      <c r="N97" s="184" t="n">
        <v>19241.8</v>
      </c>
      <c r="O97" s="186" t="s">
        <v>521</v>
      </c>
      <c r="P97" s="187" t="n">
        <v>45883</v>
      </c>
      <c r="Q97" s="188" t="n">
        <v>0.382615740740741</v>
      </c>
    </row>
    <row r="98" customFormat="false" ht="30" hidden="false" customHeight="true" outlineLevel="0" collapsed="false">
      <c r="A98" s="181" t="s">
        <v>522</v>
      </c>
      <c r="B98" s="182" t="n">
        <v>953</v>
      </c>
      <c r="C98" s="183" t="n">
        <v>30006</v>
      </c>
      <c r="D98" s="181" t="s">
        <v>326</v>
      </c>
      <c r="E98" s="181" t="s">
        <v>346</v>
      </c>
      <c r="F98" s="181" t="s">
        <v>347</v>
      </c>
      <c r="G98" s="181" t="s">
        <v>221</v>
      </c>
      <c r="H98" s="181" t="s">
        <v>520</v>
      </c>
      <c r="I98" s="181" t="s">
        <v>220</v>
      </c>
      <c r="J98" s="184" t="n">
        <v>36240</v>
      </c>
      <c r="K98" s="184" t="n">
        <v>14980</v>
      </c>
      <c r="L98" s="185" t="n">
        <v>16</v>
      </c>
      <c r="M98" s="173" t="n">
        <v>21260</v>
      </c>
      <c r="N98" s="184" t="n">
        <v>17858.4</v>
      </c>
      <c r="O98" s="186" t="s">
        <v>523</v>
      </c>
      <c r="P98" s="187" t="n">
        <v>45883</v>
      </c>
      <c r="Q98" s="188" t="n">
        <v>0.387013888888889</v>
      </c>
    </row>
    <row r="99" customFormat="false" ht="30" hidden="false" customHeight="true" outlineLevel="0" collapsed="false">
      <c r="A99" s="181" t="s">
        <v>524</v>
      </c>
      <c r="B99" s="182" t="n">
        <v>954</v>
      </c>
      <c r="C99" s="183" t="n">
        <v>30017</v>
      </c>
      <c r="D99" s="181" t="s">
        <v>326</v>
      </c>
      <c r="E99" s="181" t="s">
        <v>359</v>
      </c>
      <c r="F99" s="181" t="s">
        <v>360</v>
      </c>
      <c r="G99" s="181" t="s">
        <v>221</v>
      </c>
      <c r="H99" s="181" t="s">
        <v>520</v>
      </c>
      <c r="I99" s="181" t="s">
        <v>220</v>
      </c>
      <c r="J99" s="184" t="n">
        <v>34280</v>
      </c>
      <c r="K99" s="184" t="n">
        <v>14870</v>
      </c>
      <c r="L99" s="185" t="n">
        <v>16</v>
      </c>
      <c r="M99" s="173" t="n">
        <v>19410</v>
      </c>
      <c r="N99" s="184" t="n">
        <v>16304.4</v>
      </c>
      <c r="O99" s="186" t="s">
        <v>525</v>
      </c>
      <c r="P99" s="187" t="n">
        <v>45883</v>
      </c>
      <c r="Q99" s="188" t="n">
        <v>0.311006944444444</v>
      </c>
    </row>
    <row r="100" customFormat="false" ht="57.45" hidden="false" customHeight="false" outlineLevel="0" collapsed="false">
      <c r="A100" s="181" t="s">
        <v>526</v>
      </c>
      <c r="B100" s="182" t="n">
        <v>955</v>
      </c>
      <c r="C100" s="183" t="n">
        <v>30043</v>
      </c>
      <c r="D100" s="181" t="s">
        <v>326</v>
      </c>
      <c r="E100" s="181" t="s">
        <v>391</v>
      </c>
      <c r="F100" s="181" t="s">
        <v>392</v>
      </c>
      <c r="G100" s="181" t="s">
        <v>221</v>
      </c>
      <c r="H100" s="181" t="s">
        <v>520</v>
      </c>
      <c r="I100" s="181" t="s">
        <v>220</v>
      </c>
      <c r="J100" s="184" t="n">
        <v>33340</v>
      </c>
      <c r="K100" s="184" t="n">
        <v>14470</v>
      </c>
      <c r="L100" s="185" t="n">
        <v>29</v>
      </c>
      <c r="M100" s="173" t="n">
        <v>18870</v>
      </c>
      <c r="N100" s="184" t="n">
        <v>13397.7</v>
      </c>
      <c r="O100" s="186" t="s">
        <v>527</v>
      </c>
      <c r="P100" s="187" t="n">
        <v>45883</v>
      </c>
      <c r="Q100" s="188" t="n">
        <v>0.332800925925926</v>
      </c>
    </row>
    <row r="101" customFormat="false" ht="57.45" hidden="false" customHeight="false" outlineLevel="0" collapsed="false">
      <c r="A101" s="181" t="s">
        <v>528</v>
      </c>
      <c r="B101" s="182" t="n">
        <v>956</v>
      </c>
      <c r="C101" s="183" t="n">
        <v>30045</v>
      </c>
      <c r="D101" s="181" t="s">
        <v>326</v>
      </c>
      <c r="E101" s="181" t="s">
        <v>529</v>
      </c>
      <c r="F101" s="181" t="s">
        <v>530</v>
      </c>
      <c r="G101" s="181" t="s">
        <v>221</v>
      </c>
      <c r="H101" s="181" t="s">
        <v>520</v>
      </c>
      <c r="I101" s="181" t="s">
        <v>220</v>
      </c>
      <c r="J101" s="184" t="n">
        <v>33680</v>
      </c>
      <c r="K101" s="184" t="n">
        <v>14890</v>
      </c>
      <c r="L101" s="185" t="n">
        <v>12</v>
      </c>
      <c r="M101" s="173" t="n">
        <v>18790</v>
      </c>
      <c r="N101" s="184" t="n">
        <v>16535.2</v>
      </c>
      <c r="O101" s="186" t="s">
        <v>531</v>
      </c>
      <c r="P101" s="187" t="n">
        <v>45883</v>
      </c>
      <c r="Q101" s="188" t="n">
        <v>0.335787037037037</v>
      </c>
    </row>
    <row r="102" customFormat="false" ht="57.45" hidden="false" customHeight="false" outlineLevel="0" collapsed="false">
      <c r="A102" s="181" t="s">
        <v>532</v>
      </c>
      <c r="B102" s="182" t="n">
        <v>958</v>
      </c>
      <c r="C102" s="183" t="n">
        <v>30091</v>
      </c>
      <c r="D102" s="181" t="s">
        <v>326</v>
      </c>
      <c r="E102" s="181" t="s">
        <v>533</v>
      </c>
      <c r="F102" s="181" t="s">
        <v>534</v>
      </c>
      <c r="G102" s="181" t="s">
        <v>221</v>
      </c>
      <c r="H102" s="181" t="s">
        <v>520</v>
      </c>
      <c r="I102" s="181" t="s">
        <v>220</v>
      </c>
      <c r="J102" s="184" t="n">
        <v>37090</v>
      </c>
      <c r="K102" s="184" t="n">
        <v>14660</v>
      </c>
      <c r="L102" s="185" t="n">
        <v>20</v>
      </c>
      <c r="M102" s="173" t="n">
        <v>22430</v>
      </c>
      <c r="N102" s="184" t="n">
        <v>17944</v>
      </c>
      <c r="O102" s="186" t="s">
        <v>535</v>
      </c>
      <c r="P102" s="187" t="n">
        <v>45883</v>
      </c>
      <c r="Q102" s="188" t="n">
        <v>0.353009259259259</v>
      </c>
    </row>
    <row r="103" customFormat="false" ht="57.45" hidden="false" customHeight="false" outlineLevel="0" collapsed="false">
      <c r="A103" s="181" t="s">
        <v>536</v>
      </c>
      <c r="B103" s="182" t="n">
        <v>959</v>
      </c>
      <c r="C103" s="183" t="n">
        <v>30089</v>
      </c>
      <c r="D103" s="181" t="s">
        <v>326</v>
      </c>
      <c r="E103" s="181" t="s">
        <v>537</v>
      </c>
      <c r="F103" s="181" t="s">
        <v>538</v>
      </c>
      <c r="G103" s="181" t="s">
        <v>221</v>
      </c>
      <c r="H103" s="181" t="s">
        <v>520</v>
      </c>
      <c r="I103" s="181" t="s">
        <v>220</v>
      </c>
      <c r="J103" s="184" t="n">
        <v>33150</v>
      </c>
      <c r="K103" s="184" t="n">
        <v>14010</v>
      </c>
      <c r="L103" s="185" t="n">
        <v>20</v>
      </c>
      <c r="M103" s="173" t="n">
        <v>19140</v>
      </c>
      <c r="N103" s="184" t="n">
        <v>15312</v>
      </c>
      <c r="O103" s="186" t="s">
        <v>539</v>
      </c>
      <c r="P103" s="187" t="n">
        <v>45883</v>
      </c>
      <c r="Q103" s="188" t="n">
        <v>0.3615625</v>
      </c>
    </row>
    <row r="104" customFormat="false" ht="57.45" hidden="false" customHeight="false" outlineLevel="0" collapsed="false">
      <c r="A104" s="181" t="s">
        <v>540</v>
      </c>
      <c r="B104" s="182" t="n">
        <v>961</v>
      </c>
      <c r="C104" s="183" t="n">
        <v>30093</v>
      </c>
      <c r="D104" s="181" t="s">
        <v>326</v>
      </c>
      <c r="E104" s="181" t="s">
        <v>541</v>
      </c>
      <c r="F104" s="181" t="s">
        <v>542</v>
      </c>
      <c r="G104" s="181" t="s">
        <v>221</v>
      </c>
      <c r="H104" s="181" t="s">
        <v>520</v>
      </c>
      <c r="I104" s="181" t="s">
        <v>220</v>
      </c>
      <c r="J104" s="184" t="n">
        <v>36520</v>
      </c>
      <c r="K104" s="184" t="n">
        <v>14980</v>
      </c>
      <c r="L104" s="185" t="n">
        <v>21</v>
      </c>
      <c r="M104" s="173" t="n">
        <v>21540</v>
      </c>
      <c r="N104" s="184" t="n">
        <v>17016.6</v>
      </c>
      <c r="O104" s="186" t="s">
        <v>543</v>
      </c>
      <c r="P104" s="187" t="n">
        <v>45883</v>
      </c>
      <c r="Q104" s="188" t="n">
        <v>0.419155092592593</v>
      </c>
    </row>
    <row r="105" customFormat="false" ht="57.45" hidden="false" customHeight="false" outlineLevel="0" collapsed="false">
      <c r="A105" s="181" t="s">
        <v>544</v>
      </c>
      <c r="B105" s="182" t="n">
        <v>962</v>
      </c>
      <c r="C105" s="183" t="n">
        <v>30095</v>
      </c>
      <c r="D105" s="181" t="s">
        <v>326</v>
      </c>
      <c r="E105" s="181" t="s">
        <v>545</v>
      </c>
      <c r="F105" s="181" t="s">
        <v>546</v>
      </c>
      <c r="G105" s="181" t="s">
        <v>221</v>
      </c>
      <c r="H105" s="181" t="s">
        <v>520</v>
      </c>
      <c r="I105" s="181" t="s">
        <v>220</v>
      </c>
      <c r="J105" s="184" t="n">
        <v>39640</v>
      </c>
      <c r="K105" s="184" t="n">
        <v>16100</v>
      </c>
      <c r="L105" s="185" t="n">
        <v>13</v>
      </c>
      <c r="M105" s="173" t="n">
        <v>23540</v>
      </c>
      <c r="N105" s="184" t="n">
        <v>20479.8</v>
      </c>
      <c r="O105" s="186" t="s">
        <v>547</v>
      </c>
      <c r="P105" s="187" t="n">
        <v>45883</v>
      </c>
      <c r="Q105" s="188" t="n">
        <v>0.467106481481482</v>
      </c>
    </row>
    <row r="106" customFormat="false" ht="57.45" hidden="false" customHeight="false" outlineLevel="0" collapsed="false">
      <c r="A106" s="181" t="s">
        <v>548</v>
      </c>
      <c r="B106" s="182" t="n">
        <v>964</v>
      </c>
      <c r="C106" s="183" t="n">
        <v>30097</v>
      </c>
      <c r="D106" s="181" t="s">
        <v>326</v>
      </c>
      <c r="E106" s="181" t="s">
        <v>549</v>
      </c>
      <c r="F106" s="181" t="s">
        <v>550</v>
      </c>
      <c r="G106" s="181" t="s">
        <v>221</v>
      </c>
      <c r="H106" s="181" t="s">
        <v>520</v>
      </c>
      <c r="I106" s="181" t="s">
        <v>220</v>
      </c>
      <c r="J106" s="184" t="n">
        <v>39460</v>
      </c>
      <c r="K106" s="184" t="n">
        <v>15920</v>
      </c>
      <c r="L106" s="185" t="n">
        <v>12</v>
      </c>
      <c r="M106" s="173" t="n">
        <v>23540</v>
      </c>
      <c r="N106" s="184" t="n">
        <v>20715.2</v>
      </c>
      <c r="O106" s="186" t="s">
        <v>551</v>
      </c>
      <c r="P106" s="187" t="n">
        <v>45883</v>
      </c>
      <c r="Q106" s="188" t="n">
        <v>0.511064814814815</v>
      </c>
    </row>
    <row r="107" customFormat="false" ht="57.45" hidden="false" customHeight="false" outlineLevel="0" collapsed="false">
      <c r="A107" s="181" t="s">
        <v>552</v>
      </c>
      <c r="B107" s="182" t="n">
        <v>967</v>
      </c>
      <c r="C107" s="183" t="n">
        <v>30099</v>
      </c>
      <c r="D107" s="181" t="s">
        <v>326</v>
      </c>
      <c r="E107" s="181" t="s">
        <v>350</v>
      </c>
      <c r="F107" s="181" t="s">
        <v>351</v>
      </c>
      <c r="G107" s="181" t="s">
        <v>221</v>
      </c>
      <c r="H107" s="181" t="s">
        <v>520</v>
      </c>
      <c r="I107" s="181" t="s">
        <v>220</v>
      </c>
      <c r="J107" s="184" t="n">
        <v>40140</v>
      </c>
      <c r="K107" s="184" t="n">
        <v>14920</v>
      </c>
      <c r="L107" s="185" t="n">
        <v>37</v>
      </c>
      <c r="M107" s="173" t="n">
        <v>25220</v>
      </c>
      <c r="N107" s="184" t="n">
        <v>15888.6</v>
      </c>
      <c r="O107" s="186" t="s">
        <v>553</v>
      </c>
      <c r="P107" s="187" t="n">
        <v>45883</v>
      </c>
      <c r="Q107" s="188" t="n">
        <v>0.659398148148148</v>
      </c>
    </row>
    <row r="108" customFormat="false" ht="57.45" hidden="false" customHeight="false" outlineLevel="0" collapsed="false">
      <c r="A108" s="181" t="s">
        <v>554</v>
      </c>
      <c r="B108" s="182" t="n">
        <v>968</v>
      </c>
      <c r="C108" s="183" t="n">
        <v>30101</v>
      </c>
      <c r="D108" s="181" t="s">
        <v>326</v>
      </c>
      <c r="E108" s="181" t="s">
        <v>377</v>
      </c>
      <c r="F108" s="181" t="s">
        <v>378</v>
      </c>
      <c r="G108" s="181" t="s">
        <v>221</v>
      </c>
      <c r="H108" s="181" t="s">
        <v>520</v>
      </c>
      <c r="I108" s="181" t="s">
        <v>220</v>
      </c>
      <c r="J108" s="184" t="n">
        <v>41240</v>
      </c>
      <c r="K108" s="184" t="n">
        <v>15590</v>
      </c>
      <c r="L108" s="185" t="n">
        <v>19</v>
      </c>
      <c r="M108" s="173" t="n">
        <v>25650</v>
      </c>
      <c r="N108" s="184" t="n">
        <v>20776.5</v>
      </c>
      <c r="O108" s="186" t="s">
        <v>555</v>
      </c>
      <c r="P108" s="187" t="n">
        <v>45883</v>
      </c>
      <c r="Q108" s="188" t="n">
        <v>0.664189814814815</v>
      </c>
    </row>
    <row r="109" customFormat="false" ht="57.45" hidden="false" customHeight="false" outlineLevel="0" collapsed="false">
      <c r="A109" s="181" t="s">
        <v>556</v>
      </c>
      <c r="B109" s="182" t="n">
        <v>969</v>
      </c>
      <c r="C109" s="183" t="n">
        <v>30103</v>
      </c>
      <c r="D109" s="181" t="s">
        <v>326</v>
      </c>
      <c r="E109" s="181" t="s">
        <v>439</v>
      </c>
      <c r="F109" s="181" t="s">
        <v>440</v>
      </c>
      <c r="G109" s="181" t="s">
        <v>221</v>
      </c>
      <c r="H109" s="181" t="s">
        <v>520</v>
      </c>
      <c r="I109" s="181" t="s">
        <v>220</v>
      </c>
      <c r="J109" s="184" t="n">
        <v>38470</v>
      </c>
      <c r="K109" s="184" t="n">
        <v>16400</v>
      </c>
      <c r="L109" s="185" t="n">
        <v>6</v>
      </c>
      <c r="M109" s="173" t="n">
        <v>22070</v>
      </c>
      <c r="N109" s="184" t="n">
        <v>20745.8</v>
      </c>
      <c r="O109" s="186" t="s">
        <v>557</v>
      </c>
      <c r="P109" s="187" t="n">
        <v>45883</v>
      </c>
      <c r="Q109" s="188" t="n">
        <v>0.701458333333333</v>
      </c>
    </row>
    <row r="110" customFormat="false" ht="57.45" hidden="false" customHeight="false" outlineLevel="0" collapsed="false">
      <c r="A110" s="181" t="s">
        <v>558</v>
      </c>
      <c r="B110" s="182" t="n">
        <v>970</v>
      </c>
      <c r="C110" s="183" t="n">
        <v>30105</v>
      </c>
      <c r="D110" s="181" t="s">
        <v>326</v>
      </c>
      <c r="E110" s="181" t="s">
        <v>399</v>
      </c>
      <c r="F110" s="181" t="s">
        <v>400</v>
      </c>
      <c r="G110" s="181" t="s">
        <v>221</v>
      </c>
      <c r="H110" s="181" t="s">
        <v>520</v>
      </c>
      <c r="I110" s="181" t="s">
        <v>220</v>
      </c>
      <c r="J110" s="184" t="n">
        <v>43920</v>
      </c>
      <c r="K110" s="184" t="n">
        <v>19310</v>
      </c>
      <c r="L110" s="185" t="n">
        <v>19</v>
      </c>
      <c r="M110" s="173" t="n">
        <v>24610</v>
      </c>
      <c r="N110" s="184" t="n">
        <v>19934.1</v>
      </c>
      <c r="O110" s="186" t="s">
        <v>559</v>
      </c>
      <c r="P110" s="187" t="n">
        <v>45883</v>
      </c>
      <c r="Q110" s="188" t="n">
        <v>0.863738425925926</v>
      </c>
    </row>
    <row r="111" customFormat="false" ht="57.45" hidden="false" customHeight="false" outlineLevel="0" collapsed="false">
      <c r="A111" s="181" t="s">
        <v>560</v>
      </c>
      <c r="B111" s="182" t="n">
        <v>971</v>
      </c>
      <c r="C111" s="183" t="n">
        <v>30115</v>
      </c>
      <c r="D111" s="181" t="s">
        <v>326</v>
      </c>
      <c r="E111" s="181" t="s">
        <v>413</v>
      </c>
      <c r="F111" s="181" t="s">
        <v>414</v>
      </c>
      <c r="G111" s="181" t="s">
        <v>221</v>
      </c>
      <c r="H111" s="181" t="s">
        <v>520</v>
      </c>
      <c r="I111" s="181" t="s">
        <v>220</v>
      </c>
      <c r="J111" s="184" t="n">
        <v>41820</v>
      </c>
      <c r="K111" s="184" t="n">
        <v>15540</v>
      </c>
      <c r="L111" s="185" t="n">
        <v>10</v>
      </c>
      <c r="M111" s="173" t="n">
        <v>26280</v>
      </c>
      <c r="N111" s="184" t="n">
        <v>23652</v>
      </c>
      <c r="O111" s="186" t="s">
        <v>561</v>
      </c>
      <c r="P111" s="187" t="n">
        <v>45883</v>
      </c>
      <c r="Q111" s="188" t="n">
        <v>0.981099537037037</v>
      </c>
    </row>
    <row r="112" customFormat="false" ht="57.45" hidden="false" customHeight="false" outlineLevel="0" collapsed="false">
      <c r="A112" s="181" t="s">
        <v>562</v>
      </c>
      <c r="B112" s="182" t="n">
        <v>972</v>
      </c>
      <c r="C112" s="183" t="n">
        <v>30113</v>
      </c>
      <c r="D112" s="181" t="s">
        <v>326</v>
      </c>
      <c r="E112" s="181" t="s">
        <v>409</v>
      </c>
      <c r="F112" s="181" t="s">
        <v>410</v>
      </c>
      <c r="G112" s="181" t="s">
        <v>221</v>
      </c>
      <c r="H112" s="181" t="s">
        <v>520</v>
      </c>
      <c r="I112" s="181" t="s">
        <v>220</v>
      </c>
      <c r="J112" s="184" t="n">
        <v>50440</v>
      </c>
      <c r="K112" s="184" t="n">
        <v>24130</v>
      </c>
      <c r="L112" s="185" t="n">
        <v>15</v>
      </c>
      <c r="M112" s="173" t="n">
        <v>26310</v>
      </c>
      <c r="N112" s="184" t="n">
        <v>22363.5</v>
      </c>
      <c r="O112" s="186" t="s">
        <v>563</v>
      </c>
      <c r="P112" s="187" t="n">
        <v>45883</v>
      </c>
      <c r="Q112" s="188" t="n">
        <v>0.918553240740741</v>
      </c>
    </row>
    <row r="113" customFormat="false" ht="57.45" hidden="false" customHeight="false" outlineLevel="0" collapsed="false">
      <c r="A113" s="181" t="s">
        <v>564</v>
      </c>
      <c r="B113" s="182" t="n">
        <v>973</v>
      </c>
      <c r="C113" s="183" t="n">
        <v>30107</v>
      </c>
      <c r="D113" s="181" t="s">
        <v>326</v>
      </c>
      <c r="E113" s="181" t="s">
        <v>308</v>
      </c>
      <c r="F113" s="181" t="s">
        <v>309</v>
      </c>
      <c r="G113" s="181" t="s">
        <v>221</v>
      </c>
      <c r="H113" s="181" t="s">
        <v>520</v>
      </c>
      <c r="I113" s="181" t="s">
        <v>220</v>
      </c>
      <c r="J113" s="184" t="n">
        <v>47570</v>
      </c>
      <c r="K113" s="184" t="n">
        <v>24050</v>
      </c>
      <c r="L113" s="185" t="n">
        <v>23</v>
      </c>
      <c r="M113" s="173" t="n">
        <v>23520</v>
      </c>
      <c r="N113" s="184" t="n">
        <v>18110.4</v>
      </c>
      <c r="O113" s="186" t="s">
        <v>565</v>
      </c>
      <c r="P113" s="187" t="n">
        <v>45884</v>
      </c>
      <c r="Q113" s="188" t="n">
        <v>0.0606944444444445</v>
      </c>
    </row>
    <row r="114" customFormat="false" ht="57.45" hidden="false" customHeight="false" outlineLevel="0" collapsed="false">
      <c r="A114" s="181" t="s">
        <v>566</v>
      </c>
      <c r="B114" s="182" t="n">
        <v>974</v>
      </c>
      <c r="C114" s="183" t="n">
        <v>30109</v>
      </c>
      <c r="D114" s="181" t="s">
        <v>326</v>
      </c>
      <c r="E114" s="181" t="s">
        <v>304</v>
      </c>
      <c r="F114" s="181" t="s">
        <v>305</v>
      </c>
      <c r="G114" s="181" t="s">
        <v>221</v>
      </c>
      <c r="H114" s="181" t="s">
        <v>520</v>
      </c>
      <c r="I114" s="181" t="s">
        <v>220</v>
      </c>
      <c r="J114" s="184" t="n">
        <v>36940</v>
      </c>
      <c r="K114" s="184" t="n">
        <v>14830</v>
      </c>
      <c r="L114" s="185" t="n">
        <v>15</v>
      </c>
      <c r="M114" s="173" t="n">
        <v>22110</v>
      </c>
      <c r="N114" s="184" t="n">
        <v>18793.5</v>
      </c>
      <c r="O114" s="186" t="s">
        <v>567</v>
      </c>
      <c r="P114" s="187" t="n">
        <v>45884</v>
      </c>
      <c r="Q114" s="188" t="n">
        <v>0.188726851851852</v>
      </c>
    </row>
    <row r="115" customFormat="false" ht="57.45" hidden="false" customHeight="false" outlineLevel="0" collapsed="false">
      <c r="A115" s="181" t="s">
        <v>568</v>
      </c>
      <c r="B115" s="182" t="n">
        <v>975</v>
      </c>
      <c r="C115" s="183" t="n">
        <v>30111</v>
      </c>
      <c r="D115" s="181" t="s">
        <v>326</v>
      </c>
      <c r="E115" s="181" t="s">
        <v>300</v>
      </c>
      <c r="F115" s="181" t="s">
        <v>301</v>
      </c>
      <c r="G115" s="181" t="s">
        <v>221</v>
      </c>
      <c r="H115" s="181" t="s">
        <v>520</v>
      </c>
      <c r="I115" s="181" t="s">
        <v>220</v>
      </c>
      <c r="J115" s="184" t="n">
        <v>48340</v>
      </c>
      <c r="K115" s="184" t="n">
        <v>20890</v>
      </c>
      <c r="L115" s="185" t="n">
        <v>19</v>
      </c>
      <c r="M115" s="173" t="n">
        <v>27450</v>
      </c>
      <c r="N115" s="184" t="n">
        <v>22234.5</v>
      </c>
      <c r="O115" s="186" t="s">
        <v>569</v>
      </c>
      <c r="P115" s="187" t="n">
        <v>45884</v>
      </c>
      <c r="Q115" s="188" t="n">
        <v>0.221134259259259</v>
      </c>
    </row>
    <row r="116" customFormat="false" ht="57.45" hidden="false" customHeight="false" outlineLevel="0" collapsed="false">
      <c r="A116" s="181" t="s">
        <v>570</v>
      </c>
      <c r="B116" s="182" t="n">
        <v>976</v>
      </c>
      <c r="C116" s="183" t="n">
        <v>30121</v>
      </c>
      <c r="D116" s="181" t="s">
        <v>326</v>
      </c>
      <c r="E116" s="181" t="s">
        <v>383</v>
      </c>
      <c r="F116" s="181" t="s">
        <v>384</v>
      </c>
      <c r="G116" s="181" t="s">
        <v>221</v>
      </c>
      <c r="H116" s="181" t="s">
        <v>571</v>
      </c>
      <c r="I116" s="181" t="s">
        <v>220</v>
      </c>
      <c r="J116" s="184" t="n">
        <v>38190</v>
      </c>
      <c r="K116" s="184" t="n">
        <v>14870</v>
      </c>
      <c r="L116" s="185" t="n">
        <v>17</v>
      </c>
      <c r="M116" s="173" t="n">
        <v>23320</v>
      </c>
      <c r="N116" s="184" t="n">
        <v>19355.6</v>
      </c>
      <c r="O116" s="186" t="s">
        <v>572</v>
      </c>
      <c r="P116" s="187" t="n">
        <v>45884</v>
      </c>
      <c r="Q116" s="188" t="n">
        <v>0.570104166666667</v>
      </c>
    </row>
    <row r="117" customFormat="false" ht="57.45" hidden="false" customHeight="false" outlineLevel="0" collapsed="false">
      <c r="A117" s="181" t="s">
        <v>573</v>
      </c>
      <c r="B117" s="182" t="n">
        <v>977</v>
      </c>
      <c r="C117" s="183" t="n">
        <v>30123</v>
      </c>
      <c r="D117" s="181" t="s">
        <v>326</v>
      </c>
      <c r="E117" s="181" t="s">
        <v>387</v>
      </c>
      <c r="F117" s="181" t="s">
        <v>388</v>
      </c>
      <c r="G117" s="181" t="s">
        <v>221</v>
      </c>
      <c r="H117" s="181" t="s">
        <v>571</v>
      </c>
      <c r="I117" s="181" t="s">
        <v>220</v>
      </c>
      <c r="J117" s="184" t="n">
        <v>37190</v>
      </c>
      <c r="K117" s="184" t="n">
        <v>14880</v>
      </c>
      <c r="L117" s="185" t="n">
        <v>8</v>
      </c>
      <c r="M117" s="173" t="n">
        <v>22310</v>
      </c>
      <c r="N117" s="184" t="n">
        <v>20525.2</v>
      </c>
      <c r="O117" s="186" t="s">
        <v>574</v>
      </c>
      <c r="P117" s="187" t="n">
        <v>45884</v>
      </c>
      <c r="Q117" s="188" t="n">
        <v>0.581770833333333</v>
      </c>
    </row>
    <row r="118" customFormat="false" ht="57.45" hidden="false" customHeight="false" outlineLevel="0" collapsed="false">
      <c r="A118" s="181" t="s">
        <v>575</v>
      </c>
      <c r="B118" s="182" t="n">
        <v>978</v>
      </c>
      <c r="C118" s="183" t="n">
        <v>30119</v>
      </c>
      <c r="D118" s="181" t="s">
        <v>326</v>
      </c>
      <c r="E118" s="181" t="s">
        <v>576</v>
      </c>
      <c r="F118" s="181" t="s">
        <v>577</v>
      </c>
      <c r="G118" s="181" t="s">
        <v>221</v>
      </c>
      <c r="H118" s="181" t="s">
        <v>571</v>
      </c>
      <c r="I118" s="181" t="s">
        <v>220</v>
      </c>
      <c r="J118" s="184" t="n">
        <v>37120</v>
      </c>
      <c r="K118" s="184" t="n">
        <v>14460</v>
      </c>
      <c r="L118" s="185" t="n">
        <v>23</v>
      </c>
      <c r="M118" s="173" t="n">
        <v>22660</v>
      </c>
      <c r="N118" s="184" t="n">
        <v>17448.2</v>
      </c>
      <c r="O118" s="186" t="s">
        <v>578</v>
      </c>
      <c r="P118" s="187" t="n">
        <v>45884</v>
      </c>
      <c r="Q118" s="188" t="n">
        <v>0.589733796296296</v>
      </c>
    </row>
    <row r="119" customFormat="false" ht="57.45" hidden="false" customHeight="false" outlineLevel="0" collapsed="false">
      <c r="A119" s="181" t="s">
        <v>579</v>
      </c>
      <c r="B119" s="182" t="n">
        <v>979</v>
      </c>
      <c r="C119" s="183" t="n">
        <v>30131</v>
      </c>
      <c r="D119" s="181" t="s">
        <v>326</v>
      </c>
      <c r="E119" s="181" t="s">
        <v>332</v>
      </c>
      <c r="F119" s="181" t="s">
        <v>333</v>
      </c>
      <c r="G119" s="181" t="s">
        <v>223</v>
      </c>
      <c r="H119" s="181" t="s">
        <v>327</v>
      </c>
      <c r="I119" s="181" t="s">
        <v>220</v>
      </c>
      <c r="J119" s="184" t="n">
        <v>36340</v>
      </c>
      <c r="K119" s="184" t="n">
        <v>14700</v>
      </c>
      <c r="L119" s="185" t="n">
        <v>53</v>
      </c>
      <c r="M119" s="173" t="n">
        <v>21640</v>
      </c>
      <c r="N119" s="184" t="n">
        <v>10170.8</v>
      </c>
      <c r="O119" s="186" t="s">
        <v>580</v>
      </c>
      <c r="P119" s="187" t="n">
        <v>45884</v>
      </c>
      <c r="Q119" s="188" t="n">
        <v>0.259247685185185</v>
      </c>
    </row>
    <row r="120" customFormat="false" ht="57.45" hidden="false" customHeight="false" outlineLevel="0" collapsed="false">
      <c r="A120" s="181" t="s">
        <v>581</v>
      </c>
      <c r="B120" s="182" t="n">
        <v>980</v>
      </c>
      <c r="C120" s="183" t="n">
        <v>30129</v>
      </c>
      <c r="D120" s="181" t="s">
        <v>326</v>
      </c>
      <c r="E120" s="181" t="s">
        <v>582</v>
      </c>
      <c r="F120" s="181" t="s">
        <v>583</v>
      </c>
      <c r="G120" s="181" t="s">
        <v>221</v>
      </c>
      <c r="H120" s="181" t="s">
        <v>571</v>
      </c>
      <c r="I120" s="181" t="s">
        <v>220</v>
      </c>
      <c r="J120" s="184" t="n">
        <v>34000</v>
      </c>
      <c r="K120" s="184" t="n">
        <v>14580</v>
      </c>
      <c r="L120" s="185" t="n">
        <v>11</v>
      </c>
      <c r="M120" s="173" t="n">
        <v>19420</v>
      </c>
      <c r="N120" s="184" t="n">
        <v>17283.8</v>
      </c>
      <c r="O120" s="186" t="s">
        <v>584</v>
      </c>
      <c r="P120" s="187" t="n">
        <v>45884</v>
      </c>
      <c r="Q120" s="188" t="n">
        <v>0.269131944444444</v>
      </c>
    </row>
    <row r="121" customFormat="false" ht="57.45" hidden="false" customHeight="false" outlineLevel="0" collapsed="false">
      <c r="A121" s="181" t="s">
        <v>585</v>
      </c>
      <c r="B121" s="182" t="n">
        <v>981</v>
      </c>
      <c r="C121" s="183" t="n">
        <v>30125</v>
      </c>
      <c r="D121" s="181" t="s">
        <v>326</v>
      </c>
      <c r="E121" s="181" t="s">
        <v>266</v>
      </c>
      <c r="F121" s="181" t="s">
        <v>267</v>
      </c>
      <c r="G121" s="181" t="s">
        <v>223</v>
      </c>
      <c r="H121" s="181" t="s">
        <v>586</v>
      </c>
      <c r="I121" s="181" t="s">
        <v>220</v>
      </c>
      <c r="J121" s="184" t="n">
        <v>35220</v>
      </c>
      <c r="K121" s="184" t="n">
        <v>14930</v>
      </c>
      <c r="L121" s="185" t="n">
        <v>57</v>
      </c>
      <c r="M121" s="173" t="n">
        <v>20290</v>
      </c>
      <c r="N121" s="184" t="n">
        <v>8724.7</v>
      </c>
      <c r="O121" s="186" t="s">
        <v>587</v>
      </c>
      <c r="P121" s="187" t="n">
        <v>45884</v>
      </c>
      <c r="Q121" s="188" t="n">
        <v>0.723738425925926</v>
      </c>
    </row>
    <row r="122" customFormat="false" ht="57.45" hidden="false" customHeight="false" outlineLevel="0" collapsed="false">
      <c r="A122" s="181" t="s">
        <v>588</v>
      </c>
      <c r="B122" s="182" t="n">
        <v>982</v>
      </c>
      <c r="C122" s="183" t="n">
        <v>30127</v>
      </c>
      <c r="D122" s="181" t="s">
        <v>326</v>
      </c>
      <c r="E122" s="181" t="s">
        <v>261</v>
      </c>
      <c r="F122" s="181" t="s">
        <v>262</v>
      </c>
      <c r="G122" s="181" t="s">
        <v>222</v>
      </c>
      <c r="H122" s="181" t="s">
        <v>571</v>
      </c>
      <c r="I122" s="181" t="s">
        <v>220</v>
      </c>
      <c r="J122" s="184" t="n">
        <v>37560</v>
      </c>
      <c r="K122" s="184" t="n">
        <v>15090</v>
      </c>
      <c r="L122" s="185" t="n">
        <v>10</v>
      </c>
      <c r="M122" s="173" t="n">
        <v>22470</v>
      </c>
      <c r="N122" s="184" t="n">
        <v>20223</v>
      </c>
      <c r="O122" s="186" t="s">
        <v>589</v>
      </c>
      <c r="P122" s="187" t="n">
        <v>45884</v>
      </c>
      <c r="Q122" s="188" t="n">
        <v>0.30818287037037</v>
      </c>
    </row>
    <row r="123" customFormat="false" ht="57.45" hidden="false" customHeight="false" outlineLevel="0" collapsed="false">
      <c r="A123" s="181" t="s">
        <v>590</v>
      </c>
      <c r="B123" s="182" t="n">
        <v>983</v>
      </c>
      <c r="C123" s="183" t="n">
        <v>30133</v>
      </c>
      <c r="D123" s="181" t="s">
        <v>326</v>
      </c>
      <c r="E123" s="181" t="s">
        <v>277</v>
      </c>
      <c r="F123" s="181" t="s">
        <v>278</v>
      </c>
      <c r="G123" s="181" t="s">
        <v>222</v>
      </c>
      <c r="H123" s="181" t="s">
        <v>571</v>
      </c>
      <c r="I123" s="181" t="s">
        <v>220</v>
      </c>
      <c r="J123" s="184" t="n">
        <v>37490</v>
      </c>
      <c r="K123" s="184" t="n">
        <v>15070</v>
      </c>
      <c r="L123" s="185" t="n">
        <v>25</v>
      </c>
      <c r="M123" s="173" t="n">
        <v>22420</v>
      </c>
      <c r="N123" s="184" t="n">
        <v>16815</v>
      </c>
      <c r="O123" s="186" t="s">
        <v>591</v>
      </c>
      <c r="P123" s="187" t="n">
        <v>45884</v>
      </c>
      <c r="Q123" s="188" t="n">
        <v>0.317430555555556</v>
      </c>
    </row>
    <row r="124" customFormat="false" ht="57.45" hidden="false" customHeight="false" outlineLevel="0" collapsed="false">
      <c r="A124" s="181" t="s">
        <v>592</v>
      </c>
      <c r="B124" s="182" t="n">
        <v>984</v>
      </c>
      <c r="C124" s="183" t="n">
        <v>30103</v>
      </c>
      <c r="D124" s="181" t="s">
        <v>326</v>
      </c>
      <c r="E124" s="181" t="s">
        <v>439</v>
      </c>
      <c r="F124" s="181" t="s">
        <v>440</v>
      </c>
      <c r="G124" s="181" t="s">
        <v>222</v>
      </c>
      <c r="H124" s="181" t="s">
        <v>571</v>
      </c>
      <c r="I124" s="181" t="s">
        <v>220</v>
      </c>
      <c r="J124" s="184" t="n">
        <v>39300</v>
      </c>
      <c r="K124" s="184" t="n">
        <v>16400</v>
      </c>
      <c r="L124" s="185" t="n">
        <v>35</v>
      </c>
      <c r="M124" s="173" t="n">
        <v>22900</v>
      </c>
      <c r="N124" s="184" t="n">
        <v>14885</v>
      </c>
      <c r="O124" s="186" t="s">
        <v>593</v>
      </c>
      <c r="P124" s="187" t="n">
        <v>45884</v>
      </c>
      <c r="Q124" s="188" t="n">
        <v>0.323032407407407</v>
      </c>
    </row>
    <row r="125" customFormat="false" ht="57.45" hidden="false" customHeight="false" outlineLevel="0" collapsed="false">
      <c r="A125" s="181" t="s">
        <v>594</v>
      </c>
      <c r="B125" s="182" t="n">
        <v>990</v>
      </c>
      <c r="C125" s="183" t="n">
        <v>30137</v>
      </c>
      <c r="D125" s="181" t="s">
        <v>326</v>
      </c>
      <c r="E125" s="181" t="s">
        <v>545</v>
      </c>
      <c r="F125" s="181" t="s">
        <v>546</v>
      </c>
      <c r="G125" s="181" t="s">
        <v>222</v>
      </c>
      <c r="H125" s="181" t="s">
        <v>571</v>
      </c>
      <c r="I125" s="181" t="s">
        <v>220</v>
      </c>
      <c r="J125" s="184" t="n">
        <v>41480</v>
      </c>
      <c r="K125" s="184" t="n">
        <v>16090</v>
      </c>
      <c r="L125" s="185" t="n">
        <v>31</v>
      </c>
      <c r="M125" s="173" t="n">
        <v>25390</v>
      </c>
      <c r="N125" s="184" t="n">
        <v>17519.1</v>
      </c>
      <c r="O125" s="186" t="s">
        <v>595</v>
      </c>
      <c r="P125" s="187" t="n">
        <v>45884</v>
      </c>
      <c r="Q125" s="188" t="n">
        <v>0.731446759259259</v>
      </c>
    </row>
    <row r="126" customFormat="false" ht="46.25" hidden="false" customHeight="false" outlineLevel="0" collapsed="false">
      <c r="A126" s="181" t="s">
        <v>596</v>
      </c>
      <c r="B126" s="182" t="n">
        <v>991</v>
      </c>
      <c r="C126" s="183" t="n">
        <v>128</v>
      </c>
      <c r="D126" s="181" t="s">
        <v>260</v>
      </c>
      <c r="E126" s="181" t="s">
        <v>336</v>
      </c>
      <c r="F126" s="181" t="s">
        <v>337</v>
      </c>
      <c r="G126" s="181"/>
      <c r="H126" s="181" t="s">
        <v>263</v>
      </c>
      <c r="I126" s="181" t="s">
        <v>238</v>
      </c>
      <c r="J126" s="184" t="n">
        <v>36890</v>
      </c>
      <c r="K126" s="184" t="n">
        <v>14500</v>
      </c>
      <c r="L126" s="185" t="n">
        <v>8</v>
      </c>
      <c r="M126" s="173" t="n">
        <v>22390</v>
      </c>
      <c r="N126" s="184" t="n">
        <v>20598.8</v>
      </c>
      <c r="O126" s="186" t="s">
        <v>597</v>
      </c>
      <c r="P126" s="187" t="n">
        <v>45884</v>
      </c>
      <c r="Q126" s="188" t="n">
        <v>0.746956018518519</v>
      </c>
    </row>
    <row r="127" customFormat="false" ht="46.25" hidden="false" customHeight="false" outlineLevel="0" collapsed="false">
      <c r="A127" s="181" t="s">
        <v>598</v>
      </c>
      <c r="B127" s="182" t="n">
        <v>992</v>
      </c>
      <c r="C127" s="183" t="n">
        <v>129</v>
      </c>
      <c r="D127" s="181" t="s">
        <v>260</v>
      </c>
      <c r="E127" s="181" t="s">
        <v>340</v>
      </c>
      <c r="F127" s="181" t="s">
        <v>341</v>
      </c>
      <c r="G127" s="181"/>
      <c r="H127" s="181" t="s">
        <v>263</v>
      </c>
      <c r="I127" s="181" t="s">
        <v>238</v>
      </c>
      <c r="J127" s="184" t="n">
        <v>38030</v>
      </c>
      <c r="K127" s="184" t="n">
        <v>15080</v>
      </c>
      <c r="L127" s="185" t="n">
        <v>5</v>
      </c>
      <c r="M127" s="173" t="n">
        <v>22950</v>
      </c>
      <c r="N127" s="184" t="n">
        <v>21802.5</v>
      </c>
      <c r="O127" s="186" t="s">
        <v>599</v>
      </c>
      <c r="P127" s="187" t="n">
        <v>45884</v>
      </c>
      <c r="Q127" s="188" t="n">
        <v>0.750787037037037</v>
      </c>
    </row>
    <row r="128" customFormat="false" ht="57.45" hidden="false" customHeight="false" outlineLevel="0" collapsed="false">
      <c r="A128" s="181" t="s">
        <v>600</v>
      </c>
      <c r="B128" s="182" t="n">
        <v>993</v>
      </c>
      <c r="C128" s="183" t="n">
        <v>30142</v>
      </c>
      <c r="D128" s="181" t="s">
        <v>326</v>
      </c>
      <c r="E128" s="181" t="s">
        <v>549</v>
      </c>
      <c r="F128" s="181" t="s">
        <v>550</v>
      </c>
      <c r="G128" s="181" t="s">
        <v>222</v>
      </c>
      <c r="H128" s="181" t="s">
        <v>571</v>
      </c>
      <c r="I128" s="181" t="s">
        <v>220</v>
      </c>
      <c r="J128" s="184" t="n">
        <v>41680</v>
      </c>
      <c r="K128" s="184" t="n">
        <v>15930</v>
      </c>
      <c r="L128" s="185" t="n">
        <v>43</v>
      </c>
      <c r="M128" s="173" t="n">
        <v>25750</v>
      </c>
      <c r="N128" s="184" t="n">
        <v>14677.5</v>
      </c>
      <c r="O128" s="186" t="s">
        <v>601</v>
      </c>
      <c r="P128" s="187" t="n">
        <v>45884</v>
      </c>
      <c r="Q128" s="188" t="n">
        <v>0.753946759259259</v>
      </c>
    </row>
    <row r="129" customFormat="false" ht="46.25" hidden="false" customHeight="false" outlineLevel="0" collapsed="false">
      <c r="A129" s="181" t="s">
        <v>602</v>
      </c>
      <c r="B129" s="182" t="n">
        <v>995</v>
      </c>
      <c r="C129" s="183" t="n">
        <v>132</v>
      </c>
      <c r="D129" s="181" t="s">
        <v>260</v>
      </c>
      <c r="E129" s="181" t="s">
        <v>282</v>
      </c>
      <c r="F129" s="181" t="s">
        <v>283</v>
      </c>
      <c r="G129" s="181"/>
      <c r="H129" s="181" t="s">
        <v>263</v>
      </c>
      <c r="I129" s="181" t="s">
        <v>238</v>
      </c>
      <c r="J129" s="184" t="n">
        <v>39230</v>
      </c>
      <c r="K129" s="184" t="n">
        <v>15040</v>
      </c>
      <c r="L129" s="185" t="n">
        <v>11</v>
      </c>
      <c r="M129" s="173" t="n">
        <v>24190</v>
      </c>
      <c r="N129" s="184" t="n">
        <v>21529.1</v>
      </c>
      <c r="O129" s="186" t="s">
        <v>603</v>
      </c>
      <c r="P129" s="187" t="n">
        <v>45884</v>
      </c>
      <c r="Q129" s="188" t="n">
        <v>0.855462962962963</v>
      </c>
    </row>
    <row r="130" customFormat="false" ht="46.25" hidden="false" customHeight="false" outlineLevel="0" collapsed="false">
      <c r="A130" s="181" t="s">
        <v>604</v>
      </c>
      <c r="B130" s="182" t="n">
        <v>996</v>
      </c>
      <c r="C130" s="183" t="n">
        <v>133</v>
      </c>
      <c r="D130" s="181" t="s">
        <v>260</v>
      </c>
      <c r="E130" s="181" t="s">
        <v>296</v>
      </c>
      <c r="F130" s="181" t="s">
        <v>297</v>
      </c>
      <c r="G130" s="181"/>
      <c r="H130" s="181" t="s">
        <v>263</v>
      </c>
      <c r="I130" s="181" t="s">
        <v>238</v>
      </c>
      <c r="J130" s="184" t="n">
        <v>38110</v>
      </c>
      <c r="K130" s="184" t="n">
        <v>15540</v>
      </c>
      <c r="L130" s="185" t="n">
        <v>11</v>
      </c>
      <c r="M130" s="173" t="n">
        <v>22570</v>
      </c>
      <c r="N130" s="184" t="n">
        <v>20087.3</v>
      </c>
      <c r="O130" s="186" t="s">
        <v>605</v>
      </c>
      <c r="P130" s="187" t="n">
        <v>45884</v>
      </c>
      <c r="Q130" s="188" t="n">
        <v>0.933321759259259</v>
      </c>
    </row>
    <row r="131" customFormat="false" ht="57.45" hidden="false" customHeight="false" outlineLevel="0" collapsed="false">
      <c r="A131" s="181" t="s">
        <v>606</v>
      </c>
      <c r="B131" s="182" t="n">
        <v>999</v>
      </c>
      <c r="C131" s="183" t="n">
        <v>300194</v>
      </c>
      <c r="D131" s="181" t="s">
        <v>326</v>
      </c>
      <c r="E131" s="181" t="s">
        <v>533</v>
      </c>
      <c r="F131" s="181" t="s">
        <v>534</v>
      </c>
      <c r="G131" s="181" t="s">
        <v>224</v>
      </c>
      <c r="H131" s="181" t="s">
        <v>607</v>
      </c>
      <c r="I131" s="181" t="s">
        <v>220</v>
      </c>
      <c r="J131" s="184" t="n">
        <v>40930</v>
      </c>
      <c r="K131" s="184" t="n">
        <v>14640</v>
      </c>
      <c r="L131" s="185" t="n">
        <v>25</v>
      </c>
      <c r="M131" s="173" t="n">
        <v>26290</v>
      </c>
      <c r="N131" s="184" t="n">
        <v>19717.5</v>
      </c>
      <c r="O131" s="186" t="s">
        <v>608</v>
      </c>
      <c r="P131" s="187" t="n">
        <v>45887</v>
      </c>
      <c r="Q131" s="188" t="n">
        <v>0.377453703703704</v>
      </c>
    </row>
    <row r="132" customFormat="false" ht="57.45" hidden="false" customHeight="false" outlineLevel="0" collapsed="false">
      <c r="A132" s="181" t="s">
        <v>609</v>
      </c>
      <c r="B132" s="182" t="n">
        <v>1000</v>
      </c>
      <c r="C132" s="183" t="n">
        <v>30196</v>
      </c>
      <c r="D132" s="181" t="s">
        <v>326</v>
      </c>
      <c r="E132" s="181" t="s">
        <v>537</v>
      </c>
      <c r="F132" s="181" t="s">
        <v>538</v>
      </c>
      <c r="G132" s="181" t="s">
        <v>224</v>
      </c>
      <c r="H132" s="181" t="s">
        <v>607</v>
      </c>
      <c r="I132" s="181" t="s">
        <v>220</v>
      </c>
      <c r="J132" s="184" t="n">
        <v>35510</v>
      </c>
      <c r="K132" s="184" t="n">
        <v>14020</v>
      </c>
      <c r="L132" s="185" t="n">
        <v>16</v>
      </c>
      <c r="M132" s="173" t="n">
        <v>21490</v>
      </c>
      <c r="N132" s="184" t="n">
        <v>18051.6</v>
      </c>
      <c r="O132" s="186" t="s">
        <v>610</v>
      </c>
      <c r="P132" s="187" t="n">
        <v>45887</v>
      </c>
      <c r="Q132" s="188" t="n">
        <v>0.470543981481481</v>
      </c>
    </row>
    <row r="133" customFormat="false" ht="57.45" hidden="false" customHeight="false" outlineLevel="0" collapsed="false">
      <c r="A133" s="181" t="s">
        <v>611</v>
      </c>
      <c r="B133" s="182" t="n">
        <v>1001</v>
      </c>
      <c r="C133" s="183" t="n">
        <v>30200</v>
      </c>
      <c r="D133" s="181" t="s">
        <v>326</v>
      </c>
      <c r="E133" s="181" t="s">
        <v>549</v>
      </c>
      <c r="F133" s="181" t="s">
        <v>550</v>
      </c>
      <c r="G133" s="181" t="s">
        <v>224</v>
      </c>
      <c r="H133" s="181" t="s">
        <v>607</v>
      </c>
      <c r="I133" s="181" t="s">
        <v>220</v>
      </c>
      <c r="J133" s="184" t="n">
        <v>41280</v>
      </c>
      <c r="K133" s="184" t="n">
        <v>15930</v>
      </c>
      <c r="L133" s="185" t="n">
        <v>30</v>
      </c>
      <c r="M133" s="173" t="n">
        <v>25350</v>
      </c>
      <c r="N133" s="184" t="n">
        <v>17745</v>
      </c>
      <c r="O133" s="186" t="s">
        <v>612</v>
      </c>
      <c r="P133" s="187" t="n">
        <v>45887</v>
      </c>
      <c r="Q133" s="188" t="n">
        <v>0.663090277777778</v>
      </c>
    </row>
    <row r="134" customFormat="false" ht="57.45" hidden="false" customHeight="false" outlineLevel="0" collapsed="false">
      <c r="A134" s="181" t="s">
        <v>613</v>
      </c>
      <c r="B134" s="182" t="n">
        <v>1002</v>
      </c>
      <c r="C134" s="183" t="n">
        <v>30202</v>
      </c>
      <c r="D134" s="181" t="s">
        <v>326</v>
      </c>
      <c r="E134" s="181" t="s">
        <v>545</v>
      </c>
      <c r="F134" s="181" t="s">
        <v>546</v>
      </c>
      <c r="G134" s="181" t="s">
        <v>224</v>
      </c>
      <c r="H134" s="181" t="s">
        <v>607</v>
      </c>
      <c r="I134" s="181" t="s">
        <v>220</v>
      </c>
      <c r="J134" s="184" t="n">
        <v>41350</v>
      </c>
      <c r="K134" s="184" t="n">
        <v>16110</v>
      </c>
      <c r="L134" s="185" t="n">
        <v>24</v>
      </c>
      <c r="M134" s="173" t="n">
        <v>25240</v>
      </c>
      <c r="N134" s="184" t="n">
        <v>19182.4</v>
      </c>
      <c r="O134" s="186" t="s">
        <v>614</v>
      </c>
      <c r="P134" s="187" t="n">
        <v>45887</v>
      </c>
      <c r="Q134" s="188" t="n">
        <v>0.563993055555556</v>
      </c>
    </row>
    <row r="135" customFormat="false" ht="57.45" hidden="false" customHeight="false" outlineLevel="0" collapsed="false">
      <c r="A135" s="181" t="s">
        <v>615</v>
      </c>
      <c r="B135" s="182" t="n">
        <v>1006</v>
      </c>
      <c r="C135" s="183" t="n">
        <v>30204</v>
      </c>
      <c r="D135" s="181" t="s">
        <v>326</v>
      </c>
      <c r="E135" s="181" t="s">
        <v>277</v>
      </c>
      <c r="F135" s="181" t="s">
        <v>278</v>
      </c>
      <c r="G135" s="181" t="s">
        <v>224</v>
      </c>
      <c r="H135" s="181" t="s">
        <v>607</v>
      </c>
      <c r="I135" s="181" t="s">
        <v>220</v>
      </c>
      <c r="J135" s="184" t="n">
        <v>41020</v>
      </c>
      <c r="K135" s="184" t="n">
        <v>15090</v>
      </c>
      <c r="L135" s="185" t="n">
        <v>24</v>
      </c>
      <c r="M135" s="173" t="n">
        <v>25930</v>
      </c>
      <c r="N135" s="184" t="n">
        <v>19706.8</v>
      </c>
      <c r="O135" s="186" t="s">
        <v>616</v>
      </c>
      <c r="P135" s="187" t="n">
        <v>45887</v>
      </c>
      <c r="Q135" s="188" t="n">
        <v>0.60630787037037</v>
      </c>
    </row>
    <row r="136" customFormat="false" ht="57.45" hidden="false" customHeight="false" outlineLevel="0" collapsed="false">
      <c r="A136" s="181" t="s">
        <v>617</v>
      </c>
      <c r="B136" s="182" t="n">
        <v>1008</v>
      </c>
      <c r="C136" s="183" t="n">
        <v>30206</v>
      </c>
      <c r="D136" s="181" t="s">
        <v>326</v>
      </c>
      <c r="E136" s="181" t="s">
        <v>439</v>
      </c>
      <c r="F136" s="181" t="s">
        <v>440</v>
      </c>
      <c r="G136" s="181" t="s">
        <v>224</v>
      </c>
      <c r="H136" s="181" t="s">
        <v>607</v>
      </c>
      <c r="I136" s="181" t="s">
        <v>220</v>
      </c>
      <c r="J136" s="184" t="n">
        <v>39670</v>
      </c>
      <c r="K136" s="184" t="n">
        <v>16400</v>
      </c>
      <c r="L136" s="185" t="n">
        <v>42</v>
      </c>
      <c r="M136" s="173" t="n">
        <v>23270</v>
      </c>
      <c r="N136" s="184" t="n">
        <v>13496.6</v>
      </c>
      <c r="O136" s="186" t="s">
        <v>618</v>
      </c>
      <c r="P136" s="187" t="n">
        <v>45887</v>
      </c>
      <c r="Q136" s="188" t="n">
        <v>0.655162037037037</v>
      </c>
    </row>
    <row r="137" customFormat="false" ht="57.45" hidden="false" customHeight="false" outlineLevel="0" collapsed="false">
      <c r="A137" s="181" t="s">
        <v>619</v>
      </c>
      <c r="B137" s="182" t="n">
        <v>1009</v>
      </c>
      <c r="C137" s="183" t="n">
        <v>30208</v>
      </c>
      <c r="D137" s="181" t="s">
        <v>326</v>
      </c>
      <c r="E137" s="181" t="s">
        <v>431</v>
      </c>
      <c r="F137" s="181" t="s">
        <v>432</v>
      </c>
      <c r="G137" s="181" t="s">
        <v>224</v>
      </c>
      <c r="H137" s="181" t="s">
        <v>607</v>
      </c>
      <c r="I137" s="181" t="s">
        <v>220</v>
      </c>
      <c r="J137" s="184" t="n">
        <v>38520</v>
      </c>
      <c r="K137" s="184" t="n">
        <v>16630</v>
      </c>
      <c r="L137" s="185" t="n">
        <v>28</v>
      </c>
      <c r="M137" s="173" t="n">
        <v>21890</v>
      </c>
      <c r="N137" s="184" t="n">
        <v>15760.8</v>
      </c>
      <c r="O137" s="186" t="s">
        <v>620</v>
      </c>
      <c r="P137" s="187" t="n">
        <v>45887</v>
      </c>
      <c r="Q137" s="188" t="n">
        <v>0.73099537037037</v>
      </c>
    </row>
    <row r="138" customFormat="false" ht="57.45" hidden="false" customHeight="false" outlineLevel="0" collapsed="false">
      <c r="A138" s="181" t="s">
        <v>621</v>
      </c>
      <c r="B138" s="182" t="n">
        <v>1011</v>
      </c>
      <c r="C138" s="183" t="n">
        <v>30198</v>
      </c>
      <c r="D138" s="181" t="s">
        <v>326</v>
      </c>
      <c r="E138" s="181" t="s">
        <v>541</v>
      </c>
      <c r="F138" s="181" t="s">
        <v>542</v>
      </c>
      <c r="G138" s="181" t="s">
        <v>224</v>
      </c>
      <c r="H138" s="181" t="s">
        <v>607</v>
      </c>
      <c r="I138" s="181" t="s">
        <v>220</v>
      </c>
      <c r="J138" s="184" t="n">
        <v>40460</v>
      </c>
      <c r="K138" s="184" t="n">
        <v>14970</v>
      </c>
      <c r="L138" s="185" t="n">
        <v>28</v>
      </c>
      <c r="M138" s="173" t="n">
        <v>25490</v>
      </c>
      <c r="N138" s="184" t="n">
        <v>18352.8</v>
      </c>
      <c r="O138" s="186" t="s">
        <v>622</v>
      </c>
      <c r="P138" s="187" t="n">
        <v>45887</v>
      </c>
      <c r="Q138" s="188" t="n">
        <v>0.740532407407407</v>
      </c>
    </row>
    <row r="139" customFormat="false" ht="57.45" hidden="false" customHeight="false" outlineLevel="0" collapsed="false">
      <c r="A139" s="181" t="s">
        <v>623</v>
      </c>
      <c r="B139" s="182" t="n">
        <v>1012</v>
      </c>
      <c r="C139" s="183" t="n">
        <v>30210</v>
      </c>
      <c r="D139" s="181" t="s">
        <v>326</v>
      </c>
      <c r="E139" s="181" t="s">
        <v>435</v>
      </c>
      <c r="F139" s="181" t="s">
        <v>436</v>
      </c>
      <c r="G139" s="181" t="s">
        <v>225</v>
      </c>
      <c r="H139" s="181" t="s">
        <v>586</v>
      </c>
      <c r="I139" s="181" t="s">
        <v>220</v>
      </c>
      <c r="J139" s="184" t="n">
        <v>39420</v>
      </c>
      <c r="K139" s="184" t="n">
        <v>16570</v>
      </c>
      <c r="L139" s="185" t="n">
        <v>25</v>
      </c>
      <c r="M139" s="173" t="n">
        <v>22850</v>
      </c>
      <c r="N139" s="184" t="n">
        <v>17137.5</v>
      </c>
      <c r="O139" s="186" t="s">
        <v>624</v>
      </c>
      <c r="P139" s="187" t="n">
        <v>45887</v>
      </c>
      <c r="Q139" s="188" t="n">
        <v>0.789074074074074</v>
      </c>
    </row>
    <row r="140" customFormat="false" ht="57.45" hidden="false" customHeight="false" outlineLevel="0" collapsed="false">
      <c r="A140" s="181" t="s">
        <v>625</v>
      </c>
      <c r="B140" s="182" t="n">
        <v>1013</v>
      </c>
      <c r="C140" s="183" t="n">
        <v>30212</v>
      </c>
      <c r="D140" s="181" t="s">
        <v>326</v>
      </c>
      <c r="E140" s="181" t="s">
        <v>350</v>
      </c>
      <c r="F140" s="181" t="s">
        <v>351</v>
      </c>
      <c r="G140" s="181" t="s">
        <v>225</v>
      </c>
      <c r="H140" s="181" t="s">
        <v>626</v>
      </c>
      <c r="I140" s="181" t="s">
        <v>220</v>
      </c>
      <c r="J140" s="184" t="n">
        <v>41950</v>
      </c>
      <c r="K140" s="184" t="n">
        <v>14980</v>
      </c>
      <c r="L140" s="185" t="n">
        <v>17</v>
      </c>
      <c r="M140" s="173" t="n">
        <v>26970</v>
      </c>
      <c r="N140" s="184" t="n">
        <v>22385.1</v>
      </c>
      <c r="O140" s="186" t="s">
        <v>627</v>
      </c>
      <c r="P140" s="187" t="n">
        <v>45887</v>
      </c>
      <c r="Q140" s="188" t="n">
        <v>0.801597222222222</v>
      </c>
    </row>
    <row r="141" customFormat="false" ht="57.45" hidden="false" customHeight="false" outlineLevel="0" collapsed="false">
      <c r="A141" s="181" t="s">
        <v>628</v>
      </c>
      <c r="B141" s="182" t="n">
        <v>1016</v>
      </c>
      <c r="C141" s="183" t="n">
        <v>30220</v>
      </c>
      <c r="D141" s="181" t="s">
        <v>326</v>
      </c>
      <c r="E141" s="181" t="s">
        <v>399</v>
      </c>
      <c r="F141" s="181" t="s">
        <v>400</v>
      </c>
      <c r="G141" s="181" t="s">
        <v>224</v>
      </c>
      <c r="H141" s="181" t="s">
        <v>626</v>
      </c>
      <c r="I141" s="181" t="s">
        <v>220</v>
      </c>
      <c r="J141" s="184" t="n">
        <v>46680</v>
      </c>
      <c r="K141" s="184" t="n">
        <v>19370</v>
      </c>
      <c r="L141" s="185" t="n">
        <v>19</v>
      </c>
      <c r="M141" s="173" t="n">
        <v>27310</v>
      </c>
      <c r="N141" s="184" t="n">
        <v>22121.1</v>
      </c>
      <c r="O141" s="186" t="s">
        <v>629</v>
      </c>
      <c r="P141" s="187" t="n">
        <v>45888</v>
      </c>
      <c r="Q141" s="188" t="n">
        <v>0.697106481481482</v>
      </c>
    </row>
    <row r="142" customFormat="false" ht="57.45" hidden="false" customHeight="false" outlineLevel="0" collapsed="false">
      <c r="A142" s="181" t="s">
        <v>630</v>
      </c>
      <c r="B142" s="182" t="n">
        <v>1017</v>
      </c>
      <c r="C142" s="183" t="n">
        <v>30222</v>
      </c>
      <c r="D142" s="181" t="s">
        <v>326</v>
      </c>
      <c r="E142" s="181" t="s">
        <v>409</v>
      </c>
      <c r="F142" s="181" t="s">
        <v>410</v>
      </c>
      <c r="G142" s="181" t="s">
        <v>224</v>
      </c>
      <c r="H142" s="181" t="s">
        <v>626</v>
      </c>
      <c r="I142" s="181" t="s">
        <v>220</v>
      </c>
      <c r="J142" s="184" t="n">
        <v>46150</v>
      </c>
      <c r="K142" s="184" t="n">
        <v>24180</v>
      </c>
      <c r="L142" s="185" t="n">
        <v>24</v>
      </c>
      <c r="M142" s="173" t="n">
        <v>21970</v>
      </c>
      <c r="N142" s="184" t="n">
        <v>16697.2</v>
      </c>
      <c r="O142" s="186" t="s">
        <v>631</v>
      </c>
      <c r="P142" s="187" t="n">
        <v>45888</v>
      </c>
      <c r="Q142" s="188" t="n">
        <v>0.429270833333333</v>
      </c>
    </row>
    <row r="143" customFormat="false" ht="57.45" hidden="false" customHeight="false" outlineLevel="0" collapsed="false">
      <c r="A143" s="181" t="s">
        <v>632</v>
      </c>
      <c r="B143" s="182" t="n">
        <v>1018</v>
      </c>
      <c r="C143" s="183" t="n">
        <v>30224</v>
      </c>
      <c r="D143" s="181" t="s">
        <v>326</v>
      </c>
      <c r="E143" s="181" t="s">
        <v>413</v>
      </c>
      <c r="F143" s="181" t="s">
        <v>414</v>
      </c>
      <c r="G143" s="181" t="s">
        <v>224</v>
      </c>
      <c r="H143" s="181" t="s">
        <v>626</v>
      </c>
      <c r="I143" s="181" t="s">
        <v>220</v>
      </c>
      <c r="J143" s="184" t="n">
        <v>42960</v>
      </c>
      <c r="K143" s="184" t="n">
        <v>15580</v>
      </c>
      <c r="L143" s="185" t="n">
        <v>26</v>
      </c>
      <c r="M143" s="173" t="n">
        <v>27380</v>
      </c>
      <c r="N143" s="184" t="n">
        <v>20261.2</v>
      </c>
      <c r="O143" s="186" t="s">
        <v>633</v>
      </c>
      <c r="P143" s="187" t="n">
        <v>45888</v>
      </c>
      <c r="Q143" s="188" t="n">
        <v>0.479976851851852</v>
      </c>
    </row>
    <row r="144" customFormat="false" ht="57.45" hidden="false" customHeight="false" outlineLevel="0" collapsed="false">
      <c r="A144" s="181" t="s">
        <v>634</v>
      </c>
      <c r="B144" s="182" t="n">
        <v>1019</v>
      </c>
      <c r="C144" s="183" t="n">
        <v>30216</v>
      </c>
      <c r="D144" s="181" t="s">
        <v>326</v>
      </c>
      <c r="E144" s="181" t="s">
        <v>354</v>
      </c>
      <c r="F144" s="181" t="s">
        <v>355</v>
      </c>
      <c r="G144" s="181" t="s">
        <v>224</v>
      </c>
      <c r="H144" s="181" t="s">
        <v>626</v>
      </c>
      <c r="I144" s="181" t="s">
        <v>220</v>
      </c>
      <c r="J144" s="184" t="n">
        <v>39190</v>
      </c>
      <c r="K144" s="184" t="n">
        <v>14720</v>
      </c>
      <c r="L144" s="185" t="n">
        <v>15</v>
      </c>
      <c r="M144" s="173" t="n">
        <v>24470</v>
      </c>
      <c r="N144" s="184" t="n">
        <v>20799.5</v>
      </c>
      <c r="O144" s="186" t="s">
        <v>635</v>
      </c>
      <c r="P144" s="187" t="n">
        <v>45888</v>
      </c>
      <c r="Q144" s="188" t="n">
        <v>0.698761574074074</v>
      </c>
    </row>
    <row r="145" customFormat="false" ht="57.45" hidden="false" customHeight="false" outlineLevel="0" collapsed="false">
      <c r="A145" s="181" t="s">
        <v>636</v>
      </c>
      <c r="B145" s="182" t="n">
        <v>1020</v>
      </c>
      <c r="C145" s="183" t="n">
        <v>30214</v>
      </c>
      <c r="D145" s="181" t="s">
        <v>326</v>
      </c>
      <c r="E145" s="181" t="s">
        <v>359</v>
      </c>
      <c r="F145" s="181" t="s">
        <v>360</v>
      </c>
      <c r="G145" s="181" t="s">
        <v>224</v>
      </c>
      <c r="H145" s="181" t="s">
        <v>626</v>
      </c>
      <c r="I145" s="181" t="s">
        <v>220</v>
      </c>
      <c r="J145" s="184" t="n">
        <v>36580</v>
      </c>
      <c r="K145" s="184" t="n">
        <v>14790</v>
      </c>
      <c r="L145" s="185" t="n">
        <v>23</v>
      </c>
      <c r="M145" s="173" t="n">
        <v>21790</v>
      </c>
      <c r="N145" s="184" t="n">
        <v>16778.3</v>
      </c>
      <c r="O145" s="186" t="s">
        <v>637</v>
      </c>
      <c r="P145" s="187" t="n">
        <v>45888</v>
      </c>
      <c r="Q145" s="188" t="n">
        <v>0.698981481481482</v>
      </c>
    </row>
    <row r="146" customFormat="false" ht="57.45" hidden="false" customHeight="false" outlineLevel="0" collapsed="false">
      <c r="A146" s="181" t="s">
        <v>638</v>
      </c>
      <c r="B146" s="182" t="n">
        <v>1023</v>
      </c>
      <c r="C146" s="183" t="n">
        <v>30218</v>
      </c>
      <c r="D146" s="181" t="s">
        <v>326</v>
      </c>
      <c r="E146" s="181" t="s">
        <v>377</v>
      </c>
      <c r="F146" s="181" t="s">
        <v>378</v>
      </c>
      <c r="G146" s="181" t="s">
        <v>224</v>
      </c>
      <c r="H146" s="181" t="s">
        <v>626</v>
      </c>
      <c r="I146" s="181" t="s">
        <v>220</v>
      </c>
      <c r="J146" s="184" t="n">
        <v>42140</v>
      </c>
      <c r="K146" s="184" t="n">
        <v>15570</v>
      </c>
      <c r="L146" s="185" t="n">
        <v>22</v>
      </c>
      <c r="M146" s="173" t="n">
        <v>26570</v>
      </c>
      <c r="N146" s="184" t="n">
        <v>20724.6</v>
      </c>
      <c r="O146" s="186" t="s">
        <v>639</v>
      </c>
      <c r="P146" s="187" t="n">
        <v>45888</v>
      </c>
      <c r="Q146" s="188" t="n">
        <v>0.699293981481482</v>
      </c>
    </row>
    <row r="147" customFormat="false" ht="57.45" hidden="false" customHeight="false" outlineLevel="0" collapsed="false">
      <c r="A147" s="181" t="s">
        <v>640</v>
      </c>
      <c r="B147" s="182" t="n">
        <v>1028</v>
      </c>
      <c r="C147" s="183" t="n">
        <v>30238</v>
      </c>
      <c r="D147" s="181" t="s">
        <v>326</v>
      </c>
      <c r="E147" s="181" t="s">
        <v>576</v>
      </c>
      <c r="F147" s="181" t="s">
        <v>577</v>
      </c>
      <c r="G147" s="181" t="s">
        <v>224</v>
      </c>
      <c r="H147" s="181" t="s">
        <v>626</v>
      </c>
      <c r="I147" s="181" t="s">
        <v>220</v>
      </c>
      <c r="J147" s="184" t="n">
        <v>38420</v>
      </c>
      <c r="K147" s="184" t="n">
        <v>14410</v>
      </c>
      <c r="L147" s="185" t="n">
        <v>11</v>
      </c>
      <c r="M147" s="173" t="n">
        <v>24010</v>
      </c>
      <c r="N147" s="184" t="n">
        <v>21368.9</v>
      </c>
      <c r="O147" s="186" t="s">
        <v>641</v>
      </c>
      <c r="P147" s="187" t="n">
        <v>45888</v>
      </c>
      <c r="Q147" s="188" t="n">
        <v>0.702048611111111</v>
      </c>
    </row>
    <row r="148" customFormat="false" ht="57.45" hidden="false" customHeight="false" outlineLevel="0" collapsed="false">
      <c r="A148" s="181" t="s">
        <v>642</v>
      </c>
      <c r="B148" s="182" t="n">
        <v>1029</v>
      </c>
      <c r="C148" s="183" t="n">
        <v>30226</v>
      </c>
      <c r="D148" s="181" t="s">
        <v>326</v>
      </c>
      <c r="E148" s="181" t="s">
        <v>383</v>
      </c>
      <c r="F148" s="181" t="s">
        <v>384</v>
      </c>
      <c r="G148" s="181" t="s">
        <v>224</v>
      </c>
      <c r="H148" s="181" t="s">
        <v>626</v>
      </c>
      <c r="I148" s="181" t="s">
        <v>220</v>
      </c>
      <c r="J148" s="184" t="n">
        <v>39390</v>
      </c>
      <c r="K148" s="184" t="n">
        <v>14830</v>
      </c>
      <c r="L148" s="185" t="n">
        <v>13</v>
      </c>
      <c r="M148" s="173" t="n">
        <v>24560</v>
      </c>
      <c r="N148" s="184" t="n">
        <v>21367.2</v>
      </c>
      <c r="O148" s="186" t="s">
        <v>643</v>
      </c>
      <c r="P148" s="187" t="n">
        <v>45888</v>
      </c>
      <c r="Q148" s="188" t="n">
        <v>0.820856481481482</v>
      </c>
    </row>
    <row r="149" customFormat="false" ht="57.45" hidden="false" customHeight="false" outlineLevel="0" collapsed="false">
      <c r="A149" s="181" t="s">
        <v>644</v>
      </c>
      <c r="B149" s="182" t="n">
        <v>1030</v>
      </c>
      <c r="C149" s="183" t="n">
        <v>30228</v>
      </c>
      <c r="D149" s="181" t="s">
        <v>326</v>
      </c>
      <c r="E149" s="181" t="s">
        <v>387</v>
      </c>
      <c r="F149" s="181" t="s">
        <v>388</v>
      </c>
      <c r="G149" s="181" t="s">
        <v>224</v>
      </c>
      <c r="H149" s="181" t="s">
        <v>626</v>
      </c>
      <c r="I149" s="181" t="s">
        <v>220</v>
      </c>
      <c r="J149" s="184" t="n">
        <v>40310</v>
      </c>
      <c r="K149" s="184" t="n">
        <v>14970</v>
      </c>
      <c r="L149" s="185" t="n">
        <v>18</v>
      </c>
      <c r="M149" s="173" t="n">
        <v>25340</v>
      </c>
      <c r="N149" s="184" t="n">
        <v>20778.8</v>
      </c>
      <c r="O149" s="186" t="s">
        <v>645</v>
      </c>
      <c r="P149" s="187" t="n">
        <v>45888</v>
      </c>
      <c r="Q149" s="188" t="n">
        <v>0.753958333333333</v>
      </c>
    </row>
    <row r="150" customFormat="false" ht="57.45" hidden="false" customHeight="false" outlineLevel="0" collapsed="false">
      <c r="A150" s="181" t="s">
        <v>646</v>
      </c>
      <c r="B150" s="182" t="n">
        <v>1031</v>
      </c>
      <c r="C150" s="183" t="n">
        <v>30232</v>
      </c>
      <c r="D150" s="181" t="s">
        <v>326</v>
      </c>
      <c r="E150" s="181" t="s">
        <v>261</v>
      </c>
      <c r="F150" s="181" t="s">
        <v>262</v>
      </c>
      <c r="G150" s="181" t="s">
        <v>224</v>
      </c>
      <c r="H150" s="181" t="s">
        <v>626</v>
      </c>
      <c r="I150" s="181" t="s">
        <v>220</v>
      </c>
      <c r="J150" s="184" t="n">
        <v>38060</v>
      </c>
      <c r="K150" s="184" t="n">
        <v>15060</v>
      </c>
      <c r="L150" s="185" t="n">
        <v>18</v>
      </c>
      <c r="M150" s="173" t="n">
        <v>23000</v>
      </c>
      <c r="N150" s="184" t="n">
        <v>18860</v>
      </c>
      <c r="O150" s="186" t="s">
        <v>647</v>
      </c>
      <c r="P150" s="187" t="n">
        <v>45888</v>
      </c>
      <c r="Q150" s="188" t="n">
        <v>0.827743055555556</v>
      </c>
    </row>
    <row r="151" customFormat="false" ht="57.45" hidden="false" customHeight="false" outlineLevel="0" collapsed="false">
      <c r="A151" s="181" t="s">
        <v>648</v>
      </c>
      <c r="B151" s="182" t="n">
        <v>1032</v>
      </c>
      <c r="C151" s="183" t="n">
        <v>30230</v>
      </c>
      <c r="D151" s="181" t="s">
        <v>326</v>
      </c>
      <c r="E151" s="181" t="s">
        <v>266</v>
      </c>
      <c r="F151" s="181" t="s">
        <v>267</v>
      </c>
      <c r="G151" s="181" t="s">
        <v>225</v>
      </c>
      <c r="H151" s="181" t="s">
        <v>586</v>
      </c>
      <c r="I151" s="181" t="s">
        <v>220</v>
      </c>
      <c r="J151" s="184" t="n">
        <v>38010</v>
      </c>
      <c r="K151" s="184" t="n">
        <v>14900</v>
      </c>
      <c r="L151" s="185" t="n">
        <v>13</v>
      </c>
      <c r="M151" s="173" t="n">
        <v>23110</v>
      </c>
      <c r="N151" s="184" t="n">
        <v>20105.7</v>
      </c>
      <c r="O151" s="186" t="s">
        <v>649</v>
      </c>
      <c r="P151" s="187" t="n">
        <v>45888</v>
      </c>
      <c r="Q151" s="188" t="n">
        <v>0.876145833333333</v>
      </c>
    </row>
    <row r="152" customFormat="false" ht="57.45" hidden="false" customHeight="false" outlineLevel="0" collapsed="false">
      <c r="A152" s="181" t="s">
        <v>650</v>
      </c>
      <c r="B152" s="182" t="n">
        <v>1033</v>
      </c>
      <c r="C152" s="183" t="n">
        <v>30234</v>
      </c>
      <c r="D152" s="181" t="s">
        <v>326</v>
      </c>
      <c r="E152" s="181" t="s">
        <v>272</v>
      </c>
      <c r="F152" s="181" t="s">
        <v>273</v>
      </c>
      <c r="G152" s="181" t="s">
        <v>225</v>
      </c>
      <c r="H152" s="181" t="s">
        <v>586</v>
      </c>
      <c r="I152" s="181" t="s">
        <v>220</v>
      </c>
      <c r="J152" s="184" t="n">
        <v>37880</v>
      </c>
      <c r="K152" s="184" t="n">
        <v>15550</v>
      </c>
      <c r="L152" s="185" t="n">
        <v>11</v>
      </c>
      <c r="M152" s="173" t="n">
        <v>22330</v>
      </c>
      <c r="N152" s="184" t="n">
        <v>19873.7</v>
      </c>
      <c r="O152" s="186" t="s">
        <v>651</v>
      </c>
      <c r="P152" s="187" t="n">
        <v>45888</v>
      </c>
      <c r="Q152" s="188" t="n">
        <v>0.922974537037037</v>
      </c>
    </row>
    <row r="153" customFormat="false" ht="57.45" hidden="false" customHeight="false" outlineLevel="0" collapsed="false">
      <c r="A153" s="181" t="s">
        <v>652</v>
      </c>
      <c r="B153" s="182" t="n">
        <v>1034</v>
      </c>
      <c r="C153" s="183" t="n">
        <v>30240</v>
      </c>
      <c r="D153" s="181" t="s">
        <v>326</v>
      </c>
      <c r="E153" s="181" t="s">
        <v>582</v>
      </c>
      <c r="F153" s="181" t="s">
        <v>583</v>
      </c>
      <c r="G153" s="181" t="s">
        <v>225</v>
      </c>
      <c r="H153" s="181" t="s">
        <v>586</v>
      </c>
      <c r="I153" s="181" t="s">
        <v>220</v>
      </c>
      <c r="J153" s="184" t="n">
        <v>38060</v>
      </c>
      <c r="K153" s="184" t="n">
        <v>14680</v>
      </c>
      <c r="L153" s="185" t="n">
        <v>4</v>
      </c>
      <c r="M153" s="173" t="n">
        <v>23380</v>
      </c>
      <c r="N153" s="184" t="n">
        <v>22444.8</v>
      </c>
      <c r="O153" s="186" t="s">
        <v>653</v>
      </c>
      <c r="P153" s="187" t="n">
        <v>45888</v>
      </c>
      <c r="Q153" s="188" t="n">
        <v>0.961828703703704</v>
      </c>
    </row>
    <row r="154" customFormat="false" ht="57.45" hidden="false" customHeight="false" outlineLevel="0" collapsed="false">
      <c r="A154" s="181" t="s">
        <v>654</v>
      </c>
      <c r="B154" s="182" t="n">
        <v>1035</v>
      </c>
      <c r="C154" s="183" t="n">
        <v>30252</v>
      </c>
      <c r="D154" s="181" t="s">
        <v>326</v>
      </c>
      <c r="E154" s="181" t="s">
        <v>336</v>
      </c>
      <c r="F154" s="181" t="s">
        <v>337</v>
      </c>
      <c r="G154" s="181" t="s">
        <v>225</v>
      </c>
      <c r="H154" s="181" t="s">
        <v>586</v>
      </c>
      <c r="I154" s="181" t="s">
        <v>220</v>
      </c>
      <c r="J154" s="184" t="n">
        <v>37270</v>
      </c>
      <c r="K154" s="184" t="n">
        <v>14440</v>
      </c>
      <c r="L154" s="185" t="n">
        <v>28</v>
      </c>
      <c r="M154" s="173" t="n">
        <v>22830</v>
      </c>
      <c r="N154" s="184" t="n">
        <v>16437.6</v>
      </c>
      <c r="O154" s="186" t="s">
        <v>655</v>
      </c>
      <c r="P154" s="187" t="n">
        <v>45888</v>
      </c>
      <c r="Q154" s="188" t="n">
        <v>0.965104166666667</v>
      </c>
    </row>
    <row r="155" customFormat="false" ht="57.45" hidden="false" customHeight="false" outlineLevel="0" collapsed="false">
      <c r="A155" s="181" t="s">
        <v>656</v>
      </c>
      <c r="B155" s="182" t="n">
        <v>1036</v>
      </c>
      <c r="C155" s="183" t="n">
        <v>30254</v>
      </c>
      <c r="D155" s="181" t="s">
        <v>326</v>
      </c>
      <c r="E155" s="181" t="s">
        <v>340</v>
      </c>
      <c r="F155" s="181" t="s">
        <v>341</v>
      </c>
      <c r="G155" s="181" t="s">
        <v>225</v>
      </c>
      <c r="H155" s="181" t="s">
        <v>586</v>
      </c>
      <c r="I155" s="181" t="s">
        <v>220</v>
      </c>
      <c r="J155" s="184" t="n">
        <v>38360</v>
      </c>
      <c r="K155" s="184" t="n">
        <v>15030</v>
      </c>
      <c r="L155" s="185" t="n">
        <v>24</v>
      </c>
      <c r="M155" s="173" t="n">
        <v>23330</v>
      </c>
      <c r="N155" s="184" t="n">
        <v>17730.8</v>
      </c>
      <c r="O155" s="186" t="s">
        <v>657</v>
      </c>
      <c r="P155" s="187" t="n">
        <v>45888</v>
      </c>
      <c r="Q155" s="188" t="n">
        <v>0.995347222222222</v>
      </c>
    </row>
    <row r="156" customFormat="false" ht="57.45" hidden="false" customHeight="false" outlineLevel="0" collapsed="false">
      <c r="A156" s="181" t="s">
        <v>658</v>
      </c>
      <c r="B156" s="182" t="n">
        <v>1037</v>
      </c>
      <c r="C156" s="183" t="n">
        <v>30268</v>
      </c>
      <c r="D156" s="181" t="s">
        <v>326</v>
      </c>
      <c r="E156" s="181" t="s">
        <v>549</v>
      </c>
      <c r="F156" s="181" t="s">
        <v>550</v>
      </c>
      <c r="G156" s="181" t="s">
        <v>225</v>
      </c>
      <c r="H156" s="181" t="s">
        <v>586</v>
      </c>
      <c r="I156" s="181" t="s">
        <v>220</v>
      </c>
      <c r="J156" s="184" t="n">
        <v>42150</v>
      </c>
      <c r="K156" s="184" t="n">
        <v>15710</v>
      </c>
      <c r="L156" s="185" t="n">
        <v>18</v>
      </c>
      <c r="M156" s="173" t="n">
        <v>26440</v>
      </c>
      <c r="N156" s="184" t="n">
        <v>21680.8</v>
      </c>
      <c r="O156" s="186" t="s">
        <v>659</v>
      </c>
      <c r="P156" s="187" t="n">
        <v>45888</v>
      </c>
      <c r="Q156" s="188" t="n">
        <v>0.897013888888889</v>
      </c>
    </row>
    <row r="157" customFormat="false" ht="57.45" hidden="false" customHeight="false" outlineLevel="0" collapsed="false">
      <c r="A157" s="181" t="s">
        <v>660</v>
      </c>
      <c r="B157" s="182" t="n">
        <v>1038</v>
      </c>
      <c r="C157" s="183" t="n">
        <v>30288</v>
      </c>
      <c r="D157" s="181" t="s">
        <v>326</v>
      </c>
      <c r="E157" s="181" t="s">
        <v>545</v>
      </c>
      <c r="F157" s="181" t="s">
        <v>546</v>
      </c>
      <c r="G157" s="181" t="s">
        <v>225</v>
      </c>
      <c r="H157" s="181" t="s">
        <v>586</v>
      </c>
      <c r="I157" s="181" t="s">
        <v>220</v>
      </c>
      <c r="J157" s="184" t="n">
        <v>42350</v>
      </c>
      <c r="K157" s="184" t="n">
        <v>16110</v>
      </c>
      <c r="L157" s="185" t="n">
        <v>21</v>
      </c>
      <c r="M157" s="173" t="n">
        <v>26240</v>
      </c>
      <c r="N157" s="184" t="n">
        <v>20729.6</v>
      </c>
      <c r="O157" s="186" t="s">
        <v>661</v>
      </c>
      <c r="P157" s="187" t="n">
        <v>45888</v>
      </c>
      <c r="Q157" s="188" t="n">
        <v>0.900532407407407</v>
      </c>
    </row>
    <row r="158" customFormat="false" ht="57.45" hidden="false" customHeight="false" outlineLevel="0" collapsed="false">
      <c r="A158" s="181" t="s">
        <v>662</v>
      </c>
      <c r="B158" s="182" t="n">
        <v>1039</v>
      </c>
      <c r="C158" s="183" t="n">
        <v>30290</v>
      </c>
      <c r="D158" s="181" t="s">
        <v>326</v>
      </c>
      <c r="E158" s="181" t="s">
        <v>533</v>
      </c>
      <c r="F158" s="181" t="s">
        <v>534</v>
      </c>
      <c r="G158" s="181" t="s">
        <v>225</v>
      </c>
      <c r="H158" s="181" t="s">
        <v>586</v>
      </c>
      <c r="I158" s="181" t="s">
        <v>220</v>
      </c>
      <c r="J158" s="184" t="n">
        <v>39940</v>
      </c>
      <c r="K158" s="184" t="n">
        <v>14660</v>
      </c>
      <c r="L158" s="185" t="n">
        <v>32</v>
      </c>
      <c r="M158" s="173" t="n">
        <v>25280</v>
      </c>
      <c r="N158" s="184" t="n">
        <v>17190.4</v>
      </c>
      <c r="O158" s="186" t="s">
        <v>663</v>
      </c>
      <c r="P158" s="187" t="n">
        <v>45888</v>
      </c>
      <c r="Q158" s="188" t="n">
        <v>0.936446759259259</v>
      </c>
    </row>
    <row r="159" customFormat="false" ht="57.45" hidden="false" customHeight="false" outlineLevel="0" collapsed="false">
      <c r="A159" s="181" t="s">
        <v>664</v>
      </c>
      <c r="B159" s="182" t="n">
        <v>1040</v>
      </c>
      <c r="C159" s="183" t="n">
        <v>30293</v>
      </c>
      <c r="D159" s="181" t="s">
        <v>326</v>
      </c>
      <c r="E159" s="181" t="s">
        <v>541</v>
      </c>
      <c r="F159" s="181" t="s">
        <v>542</v>
      </c>
      <c r="G159" s="181" t="s">
        <v>225</v>
      </c>
      <c r="H159" s="181" t="s">
        <v>586</v>
      </c>
      <c r="I159" s="181" t="s">
        <v>220</v>
      </c>
      <c r="J159" s="184" t="n">
        <v>40180</v>
      </c>
      <c r="K159" s="184" t="n">
        <v>14980</v>
      </c>
      <c r="L159" s="185" t="n">
        <v>31</v>
      </c>
      <c r="M159" s="173" t="n">
        <v>25200</v>
      </c>
      <c r="N159" s="184" t="n">
        <v>17388</v>
      </c>
      <c r="O159" s="186" t="s">
        <v>665</v>
      </c>
      <c r="P159" s="187" t="n">
        <v>45888</v>
      </c>
      <c r="Q159" s="188" t="n">
        <v>0.939606481481482</v>
      </c>
    </row>
    <row r="160" customFormat="false" ht="57.45" hidden="false" customHeight="false" outlineLevel="0" collapsed="false">
      <c r="A160" s="181" t="s">
        <v>666</v>
      </c>
      <c r="B160" s="182" t="n">
        <v>1041</v>
      </c>
      <c r="C160" s="183" t="n">
        <v>30300</v>
      </c>
      <c r="D160" s="181" t="s">
        <v>326</v>
      </c>
      <c r="E160" s="181" t="s">
        <v>435</v>
      </c>
      <c r="F160" s="181" t="s">
        <v>436</v>
      </c>
      <c r="G160" s="181" t="s">
        <v>225</v>
      </c>
      <c r="H160" s="181" t="s">
        <v>586</v>
      </c>
      <c r="I160" s="181" t="s">
        <v>220</v>
      </c>
      <c r="J160" s="184" t="n">
        <v>38660</v>
      </c>
      <c r="K160" s="184" t="n">
        <v>16320</v>
      </c>
      <c r="L160" s="185" t="n">
        <v>15</v>
      </c>
      <c r="M160" s="173" t="n">
        <v>22340</v>
      </c>
      <c r="N160" s="184" t="n">
        <v>18989</v>
      </c>
      <c r="O160" s="186" t="s">
        <v>667</v>
      </c>
      <c r="P160" s="187" t="n">
        <v>45889</v>
      </c>
      <c r="Q160" s="188" t="n">
        <v>0.251377314814815</v>
      </c>
    </row>
    <row r="161" customFormat="false" ht="57.45" hidden="false" customHeight="false" outlineLevel="0" collapsed="false">
      <c r="A161" s="181" t="s">
        <v>668</v>
      </c>
      <c r="B161" s="182" t="n">
        <v>1042</v>
      </c>
      <c r="C161" s="183" t="n">
        <v>30302</v>
      </c>
      <c r="D161" s="181" t="s">
        <v>326</v>
      </c>
      <c r="E161" s="181" t="s">
        <v>431</v>
      </c>
      <c r="F161" s="181" t="s">
        <v>432</v>
      </c>
      <c r="G161" s="181" t="s">
        <v>225</v>
      </c>
      <c r="H161" s="181" t="s">
        <v>586</v>
      </c>
      <c r="I161" s="181" t="s">
        <v>220</v>
      </c>
      <c r="J161" s="184" t="n">
        <v>39010</v>
      </c>
      <c r="K161" s="184" t="n">
        <v>16650</v>
      </c>
      <c r="L161" s="185" t="n">
        <v>22</v>
      </c>
      <c r="M161" s="173" t="n">
        <v>22360</v>
      </c>
      <c r="N161" s="184" t="n">
        <v>17440.8</v>
      </c>
      <c r="O161" s="186" t="s">
        <v>669</v>
      </c>
      <c r="P161" s="187" t="n">
        <v>45889</v>
      </c>
      <c r="Q161" s="188" t="n">
        <v>0.331030092592593</v>
      </c>
    </row>
    <row r="162" customFormat="false" ht="57.45" hidden="false" customHeight="false" outlineLevel="0" collapsed="false">
      <c r="A162" s="181" t="s">
        <v>670</v>
      </c>
      <c r="B162" s="182" t="n">
        <v>1043</v>
      </c>
      <c r="C162" s="183" t="n">
        <v>30304</v>
      </c>
      <c r="D162" s="181" t="s">
        <v>326</v>
      </c>
      <c r="E162" s="181" t="s">
        <v>439</v>
      </c>
      <c r="F162" s="181" t="s">
        <v>440</v>
      </c>
      <c r="G162" s="181" t="s">
        <v>225</v>
      </c>
      <c r="H162" s="181" t="s">
        <v>586</v>
      </c>
      <c r="I162" s="181" t="s">
        <v>220</v>
      </c>
      <c r="J162" s="184" t="n">
        <v>38980</v>
      </c>
      <c r="K162" s="184" t="n">
        <v>16370</v>
      </c>
      <c r="L162" s="185" t="n">
        <v>18</v>
      </c>
      <c r="M162" s="173" t="n">
        <v>22610</v>
      </c>
      <c r="N162" s="184" t="n">
        <v>18540.2</v>
      </c>
      <c r="O162" s="186" t="s">
        <v>671</v>
      </c>
      <c r="P162" s="187" t="n">
        <v>45889</v>
      </c>
      <c r="Q162" s="188" t="n">
        <v>0.385335648148148</v>
      </c>
    </row>
    <row r="163" customFormat="false" ht="57.45" hidden="false" customHeight="false" outlineLevel="0" collapsed="false">
      <c r="A163" s="181" t="s">
        <v>672</v>
      </c>
      <c r="B163" s="182" t="n">
        <v>1044</v>
      </c>
      <c r="C163" s="183" t="n">
        <v>30306</v>
      </c>
      <c r="D163" s="181" t="s">
        <v>326</v>
      </c>
      <c r="E163" s="181" t="s">
        <v>537</v>
      </c>
      <c r="F163" s="181" t="s">
        <v>538</v>
      </c>
      <c r="G163" s="181" t="s">
        <v>225</v>
      </c>
      <c r="H163" s="181" t="s">
        <v>586</v>
      </c>
      <c r="I163" s="181" t="s">
        <v>220</v>
      </c>
      <c r="J163" s="184" t="n">
        <v>35740</v>
      </c>
      <c r="K163" s="184" t="n">
        <v>14020</v>
      </c>
      <c r="L163" s="185" t="n">
        <v>26</v>
      </c>
      <c r="M163" s="173" t="n">
        <v>21720</v>
      </c>
      <c r="N163" s="184" t="n">
        <v>16072.8</v>
      </c>
      <c r="O163" s="186" t="s">
        <v>673</v>
      </c>
      <c r="P163" s="187" t="n">
        <v>45889</v>
      </c>
      <c r="Q163" s="188" t="n">
        <v>0.514409722222222</v>
      </c>
    </row>
    <row r="164" customFormat="false" ht="57.45" hidden="false" customHeight="false" outlineLevel="0" collapsed="false">
      <c r="A164" s="181" t="s">
        <v>674</v>
      </c>
      <c r="B164" s="182" t="n">
        <v>1045</v>
      </c>
      <c r="C164" s="183" t="n">
        <v>30314</v>
      </c>
      <c r="D164" s="181" t="s">
        <v>326</v>
      </c>
      <c r="E164" s="181" t="s">
        <v>282</v>
      </c>
      <c r="F164" s="181" t="s">
        <v>283</v>
      </c>
      <c r="G164" s="181" t="s">
        <v>225</v>
      </c>
      <c r="H164" s="181" t="s">
        <v>586</v>
      </c>
      <c r="I164" s="181" t="s">
        <v>220</v>
      </c>
      <c r="J164" s="184" t="n">
        <v>37570</v>
      </c>
      <c r="K164" s="184" t="n">
        <v>15030</v>
      </c>
      <c r="L164" s="185" t="n">
        <v>18</v>
      </c>
      <c r="M164" s="173" t="n">
        <v>22540</v>
      </c>
      <c r="N164" s="184" t="n">
        <v>18482.8</v>
      </c>
      <c r="O164" s="186" t="s">
        <v>675</v>
      </c>
      <c r="P164" s="187" t="n">
        <v>45889</v>
      </c>
      <c r="Q164" s="188" t="n">
        <v>0.52462962962963</v>
      </c>
    </row>
    <row r="165" customFormat="false" ht="57.45" hidden="false" customHeight="false" outlineLevel="0" collapsed="false">
      <c r="A165" s="181" t="s">
        <v>676</v>
      </c>
      <c r="B165" s="182" t="n">
        <v>1046</v>
      </c>
      <c r="C165" s="183" t="n">
        <v>30320</v>
      </c>
      <c r="D165" s="181" t="s">
        <v>326</v>
      </c>
      <c r="E165" s="181" t="s">
        <v>292</v>
      </c>
      <c r="F165" s="181" t="s">
        <v>293</v>
      </c>
      <c r="G165" s="181" t="s">
        <v>225</v>
      </c>
      <c r="H165" s="181" t="s">
        <v>586</v>
      </c>
      <c r="I165" s="181" t="s">
        <v>220</v>
      </c>
      <c r="J165" s="184" t="n">
        <v>35480</v>
      </c>
      <c r="K165" s="184" t="n">
        <v>13900</v>
      </c>
      <c r="L165" s="185" t="n">
        <v>30</v>
      </c>
      <c r="M165" s="173" t="n">
        <v>21580</v>
      </c>
      <c r="N165" s="184" t="n">
        <v>15106</v>
      </c>
      <c r="O165" s="186" t="s">
        <v>677</v>
      </c>
      <c r="P165" s="187" t="n">
        <v>45889</v>
      </c>
      <c r="Q165" s="188" t="n">
        <v>0.532465277777778</v>
      </c>
    </row>
    <row r="166" customFormat="false" ht="57.45" hidden="false" customHeight="false" outlineLevel="0" collapsed="false">
      <c r="A166" s="181" t="s">
        <v>678</v>
      </c>
      <c r="B166" s="182" t="n">
        <v>1047</v>
      </c>
      <c r="C166" s="183" t="n">
        <v>30322</v>
      </c>
      <c r="D166" s="181" t="s">
        <v>326</v>
      </c>
      <c r="E166" s="181" t="s">
        <v>332</v>
      </c>
      <c r="F166" s="181" t="s">
        <v>333</v>
      </c>
      <c r="G166" s="181" t="s">
        <v>225</v>
      </c>
      <c r="H166" s="181" t="s">
        <v>586</v>
      </c>
      <c r="I166" s="181" t="s">
        <v>220</v>
      </c>
      <c r="J166" s="184" t="n">
        <v>37680</v>
      </c>
      <c r="K166" s="184" t="n">
        <v>14670</v>
      </c>
      <c r="L166" s="185" t="n">
        <v>27</v>
      </c>
      <c r="M166" s="173" t="n">
        <v>23010</v>
      </c>
      <c r="N166" s="184" t="n">
        <v>16797.3</v>
      </c>
      <c r="O166" s="186" t="s">
        <v>679</v>
      </c>
      <c r="P166" s="187" t="n">
        <v>45889</v>
      </c>
      <c r="Q166" s="188" t="n">
        <v>0.540219907407407</v>
      </c>
    </row>
    <row r="167" customFormat="false" ht="57.45" hidden="false" customHeight="false" outlineLevel="0" collapsed="false">
      <c r="A167" s="181" t="s">
        <v>680</v>
      </c>
      <c r="B167" s="182" t="n">
        <v>1048</v>
      </c>
      <c r="C167" s="183" t="n">
        <v>30324</v>
      </c>
      <c r="D167" s="181" t="s">
        <v>326</v>
      </c>
      <c r="E167" s="181" t="s">
        <v>277</v>
      </c>
      <c r="F167" s="181" t="s">
        <v>278</v>
      </c>
      <c r="G167" s="181" t="s">
        <v>225</v>
      </c>
      <c r="H167" s="181" t="s">
        <v>586</v>
      </c>
      <c r="I167" s="181" t="s">
        <v>220</v>
      </c>
      <c r="J167" s="184" t="n">
        <v>39070</v>
      </c>
      <c r="K167" s="184" t="n">
        <v>15060</v>
      </c>
      <c r="L167" s="185" t="n">
        <v>23</v>
      </c>
      <c r="M167" s="173" t="n">
        <v>24010</v>
      </c>
      <c r="N167" s="184" t="n">
        <v>18487.7</v>
      </c>
      <c r="O167" s="186" t="s">
        <v>681</v>
      </c>
      <c r="P167" s="187" t="n">
        <v>45889</v>
      </c>
      <c r="Q167" s="188" t="n">
        <v>0.616863425925926</v>
      </c>
    </row>
    <row r="168" customFormat="false" ht="57.45" hidden="false" customHeight="false" outlineLevel="0" collapsed="false">
      <c r="A168" s="181" t="s">
        <v>682</v>
      </c>
      <c r="B168" s="182" t="n">
        <v>1049</v>
      </c>
      <c r="C168" s="183" t="n">
        <v>30334</v>
      </c>
      <c r="D168" s="181" t="s">
        <v>326</v>
      </c>
      <c r="E168" s="181" t="s">
        <v>529</v>
      </c>
      <c r="F168" s="181" t="s">
        <v>530</v>
      </c>
      <c r="G168" s="181" t="s">
        <v>225</v>
      </c>
      <c r="H168" s="181" t="s">
        <v>586</v>
      </c>
      <c r="I168" s="181" t="s">
        <v>220</v>
      </c>
      <c r="J168" s="184" t="n">
        <v>35760</v>
      </c>
      <c r="K168" s="184" t="n">
        <v>14840</v>
      </c>
      <c r="L168" s="185" t="n">
        <v>18</v>
      </c>
      <c r="M168" s="173" t="n">
        <v>20920</v>
      </c>
      <c r="N168" s="184" t="n">
        <v>17154.4</v>
      </c>
      <c r="O168" s="186" t="s">
        <v>683</v>
      </c>
      <c r="P168" s="187" t="n">
        <v>45889</v>
      </c>
      <c r="Q168" s="188" t="n">
        <v>0.626909722222222</v>
      </c>
    </row>
    <row r="169" customFormat="false" ht="57.45" hidden="false" customHeight="false" outlineLevel="0" collapsed="false">
      <c r="A169" s="181" t="s">
        <v>684</v>
      </c>
      <c r="B169" s="182" t="n">
        <v>1050</v>
      </c>
      <c r="C169" s="183" t="n">
        <v>30336</v>
      </c>
      <c r="D169" s="181" t="s">
        <v>326</v>
      </c>
      <c r="E169" s="181" t="s">
        <v>391</v>
      </c>
      <c r="F169" s="181" t="s">
        <v>392</v>
      </c>
      <c r="G169" s="181" t="s">
        <v>225</v>
      </c>
      <c r="H169" s="181" t="s">
        <v>586</v>
      </c>
      <c r="I169" s="181" t="s">
        <v>220</v>
      </c>
      <c r="J169" s="184" t="n">
        <v>35020</v>
      </c>
      <c r="K169" s="184" t="n">
        <v>14490</v>
      </c>
      <c r="L169" s="185" t="n">
        <v>32</v>
      </c>
      <c r="M169" s="173" t="n">
        <v>20530</v>
      </c>
      <c r="N169" s="184" t="n">
        <v>13960.4</v>
      </c>
      <c r="O169" s="186" t="s">
        <v>685</v>
      </c>
      <c r="P169" s="187" t="n">
        <v>45889</v>
      </c>
      <c r="Q169" s="188" t="n">
        <v>0.637638888888889</v>
      </c>
    </row>
    <row r="170" customFormat="false" ht="57.45" hidden="false" customHeight="false" outlineLevel="0" collapsed="false">
      <c r="A170" s="181" t="s">
        <v>686</v>
      </c>
      <c r="B170" s="182" t="n">
        <v>1051</v>
      </c>
      <c r="C170" s="183" t="n">
        <v>30342</v>
      </c>
      <c r="D170" s="181" t="s">
        <v>326</v>
      </c>
      <c r="E170" s="181" t="s">
        <v>373</v>
      </c>
      <c r="F170" s="181" t="s">
        <v>374</v>
      </c>
      <c r="G170" s="181" t="s">
        <v>225</v>
      </c>
      <c r="H170" s="181" t="s">
        <v>586</v>
      </c>
      <c r="I170" s="181" t="s">
        <v>220</v>
      </c>
      <c r="J170" s="184" t="n">
        <v>35250</v>
      </c>
      <c r="K170" s="184" t="n">
        <v>14220</v>
      </c>
      <c r="L170" s="185" t="n">
        <v>9</v>
      </c>
      <c r="M170" s="173" t="n">
        <v>21030</v>
      </c>
      <c r="N170" s="184" t="n">
        <v>19137.3</v>
      </c>
      <c r="O170" s="186" t="s">
        <v>687</v>
      </c>
      <c r="P170" s="187" t="n">
        <v>45889</v>
      </c>
      <c r="Q170" s="188" t="n">
        <v>0.676655092592593</v>
      </c>
    </row>
    <row r="171" customFormat="false" ht="57.45" hidden="false" customHeight="false" outlineLevel="0" collapsed="false">
      <c r="A171" s="181" t="s">
        <v>688</v>
      </c>
      <c r="B171" s="182" t="n">
        <v>1053</v>
      </c>
      <c r="C171" s="183" t="n">
        <v>30339</v>
      </c>
      <c r="D171" s="181" t="s">
        <v>326</v>
      </c>
      <c r="E171" s="181" t="s">
        <v>288</v>
      </c>
      <c r="F171" s="181" t="s">
        <v>289</v>
      </c>
      <c r="G171" s="181" t="s">
        <v>225</v>
      </c>
      <c r="H171" s="181" t="s">
        <v>586</v>
      </c>
      <c r="I171" s="181" t="s">
        <v>220</v>
      </c>
      <c r="J171" s="184" t="n">
        <v>36080</v>
      </c>
      <c r="K171" s="184" t="n">
        <v>14530</v>
      </c>
      <c r="L171" s="185" t="n">
        <v>31</v>
      </c>
      <c r="M171" s="173" t="n">
        <v>21550</v>
      </c>
      <c r="N171" s="184" t="n">
        <v>14869.5</v>
      </c>
      <c r="O171" s="186" t="s">
        <v>689</v>
      </c>
      <c r="P171" s="187" t="n">
        <v>45889</v>
      </c>
      <c r="Q171" s="188" t="n">
        <v>0.782094907407407</v>
      </c>
    </row>
    <row r="172" customFormat="false" ht="57.45" hidden="false" customHeight="false" outlineLevel="0" collapsed="false">
      <c r="A172" s="181" t="s">
        <v>690</v>
      </c>
      <c r="B172" s="182" t="n">
        <v>1054</v>
      </c>
      <c r="C172" s="183" t="n">
        <v>30344</v>
      </c>
      <c r="D172" s="181" t="s">
        <v>326</v>
      </c>
      <c r="E172" s="181" t="s">
        <v>354</v>
      </c>
      <c r="F172" s="181" t="s">
        <v>355</v>
      </c>
      <c r="G172" s="181" t="s">
        <v>225</v>
      </c>
      <c r="H172" s="181" t="s">
        <v>586</v>
      </c>
      <c r="I172" s="181" t="s">
        <v>220</v>
      </c>
      <c r="J172" s="184" t="n">
        <v>37510</v>
      </c>
      <c r="K172" s="184" t="n">
        <v>14760</v>
      </c>
      <c r="L172" s="185" t="n">
        <v>21</v>
      </c>
      <c r="M172" s="173" t="n">
        <v>22750</v>
      </c>
      <c r="N172" s="184" t="n">
        <v>17972.5</v>
      </c>
      <c r="O172" s="186" t="s">
        <v>691</v>
      </c>
      <c r="P172" s="187" t="n">
        <v>45889</v>
      </c>
      <c r="Q172" s="188" t="n">
        <v>0.789236111111111</v>
      </c>
    </row>
    <row r="173" customFormat="false" ht="57.45" hidden="false" customHeight="false" outlineLevel="0" collapsed="false">
      <c r="A173" s="181" t="s">
        <v>692</v>
      </c>
      <c r="B173" s="182" t="n">
        <v>1055</v>
      </c>
      <c r="C173" s="183" t="n">
        <v>30346</v>
      </c>
      <c r="D173" s="181" t="s">
        <v>326</v>
      </c>
      <c r="E173" s="181" t="s">
        <v>359</v>
      </c>
      <c r="F173" s="181" t="s">
        <v>360</v>
      </c>
      <c r="G173" s="181" t="s">
        <v>225</v>
      </c>
      <c r="H173" s="181" t="s">
        <v>586</v>
      </c>
      <c r="I173" s="181" t="s">
        <v>220</v>
      </c>
      <c r="J173" s="184" t="n">
        <v>35760</v>
      </c>
      <c r="K173" s="184" t="n">
        <v>14860</v>
      </c>
      <c r="L173" s="185" t="n">
        <v>24</v>
      </c>
      <c r="M173" s="173" t="n">
        <v>20900</v>
      </c>
      <c r="N173" s="184" t="n">
        <v>15884</v>
      </c>
      <c r="O173" s="186" t="s">
        <v>693</v>
      </c>
      <c r="P173" s="187" t="n">
        <v>45889</v>
      </c>
      <c r="Q173" s="188" t="n">
        <v>0.854131944444444</v>
      </c>
    </row>
    <row r="174" customFormat="false" ht="57.45" hidden="false" customHeight="false" outlineLevel="0" collapsed="false">
      <c r="A174" s="181" t="s">
        <v>694</v>
      </c>
      <c r="B174" s="182" t="n">
        <v>1059</v>
      </c>
      <c r="C174" s="183" t="n">
        <v>30111</v>
      </c>
      <c r="D174" s="181" t="s">
        <v>326</v>
      </c>
      <c r="E174" s="181" t="s">
        <v>300</v>
      </c>
      <c r="F174" s="181" t="s">
        <v>301</v>
      </c>
      <c r="G174" s="181" t="s">
        <v>225</v>
      </c>
      <c r="H174" s="181" t="s">
        <v>626</v>
      </c>
      <c r="I174" s="181" t="s">
        <v>220</v>
      </c>
      <c r="J174" s="184" t="n">
        <v>40000</v>
      </c>
      <c r="K174" s="184" t="n">
        <v>20920</v>
      </c>
      <c r="L174" s="185" t="n">
        <v>36</v>
      </c>
      <c r="M174" s="173" t="n">
        <v>19080</v>
      </c>
      <c r="N174" s="184" t="n">
        <v>12211.2</v>
      </c>
      <c r="O174" s="186" t="s">
        <v>695</v>
      </c>
      <c r="P174" s="187" t="n">
        <v>45889</v>
      </c>
      <c r="Q174" s="188" t="n">
        <v>0.878657407407407</v>
      </c>
    </row>
    <row r="175" customFormat="false" ht="57.45" hidden="false" customHeight="false" outlineLevel="0" collapsed="false">
      <c r="A175" s="181" t="s">
        <v>696</v>
      </c>
      <c r="B175" s="182" t="n">
        <v>1060</v>
      </c>
      <c r="C175" s="183" t="n">
        <v>30348</v>
      </c>
      <c r="D175" s="181" t="s">
        <v>326</v>
      </c>
      <c r="E175" s="181" t="s">
        <v>377</v>
      </c>
      <c r="F175" s="181" t="s">
        <v>378</v>
      </c>
      <c r="G175" s="181" t="s">
        <v>225</v>
      </c>
      <c r="H175" s="181" t="s">
        <v>586</v>
      </c>
      <c r="I175" s="181" t="s">
        <v>220</v>
      </c>
      <c r="J175" s="184" t="n">
        <v>40560</v>
      </c>
      <c r="K175" s="184" t="n">
        <v>15670</v>
      </c>
      <c r="L175" s="185"/>
      <c r="M175" s="173" t="n">
        <v>24890</v>
      </c>
      <c r="N175" s="184" t="n">
        <v>24890</v>
      </c>
      <c r="O175" s="186" t="s">
        <v>697</v>
      </c>
      <c r="P175" s="187" t="n">
        <v>45889</v>
      </c>
      <c r="Q175" s="188" t="n">
        <v>0.938344907407407</v>
      </c>
    </row>
    <row r="176" customFormat="false" ht="57.45" hidden="false" customHeight="false" outlineLevel="0" collapsed="false">
      <c r="A176" s="181" t="s">
        <v>698</v>
      </c>
      <c r="B176" s="182" t="n">
        <v>1062</v>
      </c>
      <c r="C176" s="183" t="n">
        <v>30350</v>
      </c>
      <c r="D176" s="181" t="s">
        <v>326</v>
      </c>
      <c r="E176" s="181" t="s">
        <v>308</v>
      </c>
      <c r="F176" s="181" t="s">
        <v>309</v>
      </c>
      <c r="G176" s="181" t="s">
        <v>225</v>
      </c>
      <c r="H176" s="181" t="s">
        <v>586</v>
      </c>
      <c r="I176" s="181" t="s">
        <v>220</v>
      </c>
      <c r="J176" s="184" t="n">
        <v>45250</v>
      </c>
      <c r="K176" s="184" t="n">
        <v>24040</v>
      </c>
      <c r="L176" s="185" t="n">
        <v>17</v>
      </c>
      <c r="M176" s="173" t="n">
        <v>21210</v>
      </c>
      <c r="N176" s="184" t="n">
        <v>17604.3</v>
      </c>
      <c r="O176" s="186" t="s">
        <v>699</v>
      </c>
      <c r="P176" s="187" t="n">
        <v>45889</v>
      </c>
      <c r="Q176" s="188" t="n">
        <v>0.99400462962963</v>
      </c>
    </row>
    <row r="177" customFormat="false" ht="57.45" hidden="false" customHeight="false" outlineLevel="0" collapsed="false">
      <c r="A177" s="181" t="s">
        <v>700</v>
      </c>
      <c r="B177" s="182" t="n">
        <v>1063</v>
      </c>
      <c r="C177" s="183" t="n">
        <v>30352</v>
      </c>
      <c r="D177" s="181" t="s">
        <v>326</v>
      </c>
      <c r="E177" s="181" t="s">
        <v>304</v>
      </c>
      <c r="F177" s="181" t="s">
        <v>305</v>
      </c>
      <c r="G177" s="181" t="s">
        <v>225</v>
      </c>
      <c r="H177" s="181" t="s">
        <v>626</v>
      </c>
      <c r="I177" s="181" t="s">
        <v>220</v>
      </c>
      <c r="J177" s="184" t="n">
        <v>37750</v>
      </c>
      <c r="K177" s="184" t="n">
        <v>14850</v>
      </c>
      <c r="L177" s="185" t="n">
        <v>14</v>
      </c>
      <c r="M177" s="173" t="n">
        <v>22900</v>
      </c>
      <c r="N177" s="184" t="n">
        <v>19694</v>
      </c>
      <c r="O177" s="186" t="s">
        <v>701</v>
      </c>
      <c r="P177" s="187" t="n">
        <v>45889</v>
      </c>
      <c r="Q177" s="188" t="n">
        <v>0.803784722222222</v>
      </c>
    </row>
    <row r="178" customFormat="false" ht="57.45" hidden="false" customHeight="false" outlineLevel="0" collapsed="false">
      <c r="A178" s="181" t="s">
        <v>702</v>
      </c>
      <c r="B178" s="182" t="n">
        <v>1064</v>
      </c>
      <c r="C178" s="183" t="n">
        <v>30356</v>
      </c>
      <c r="D178" s="181" t="s">
        <v>326</v>
      </c>
      <c r="E178" s="181" t="s">
        <v>383</v>
      </c>
      <c r="F178" s="181" t="s">
        <v>384</v>
      </c>
      <c r="G178" s="181" t="s">
        <v>225</v>
      </c>
      <c r="H178" s="181" t="s">
        <v>626</v>
      </c>
      <c r="I178" s="181" t="s">
        <v>220</v>
      </c>
      <c r="J178" s="184" t="n">
        <v>39150</v>
      </c>
      <c r="K178" s="184" t="n">
        <v>14840</v>
      </c>
      <c r="L178" s="185" t="n">
        <v>22</v>
      </c>
      <c r="M178" s="173" t="n">
        <v>24310</v>
      </c>
      <c r="N178" s="184" t="n">
        <v>18961.8</v>
      </c>
      <c r="O178" s="186" t="s">
        <v>703</v>
      </c>
      <c r="P178" s="187" t="n">
        <v>45889</v>
      </c>
      <c r="Q178" s="188" t="n">
        <v>0.915625</v>
      </c>
    </row>
    <row r="179" customFormat="false" ht="57.45" hidden="false" customHeight="false" outlineLevel="0" collapsed="false">
      <c r="A179" s="181" t="s">
        <v>704</v>
      </c>
      <c r="B179" s="182" t="n">
        <v>1065</v>
      </c>
      <c r="C179" s="183" t="n">
        <v>30358</v>
      </c>
      <c r="D179" s="181" t="s">
        <v>326</v>
      </c>
      <c r="E179" s="181" t="s">
        <v>387</v>
      </c>
      <c r="F179" s="181" t="s">
        <v>388</v>
      </c>
      <c r="G179" s="181" t="s">
        <v>225</v>
      </c>
      <c r="H179" s="181" t="s">
        <v>626</v>
      </c>
      <c r="I179" s="181" t="s">
        <v>220</v>
      </c>
      <c r="J179" s="184" t="n">
        <v>40680</v>
      </c>
      <c r="K179" s="184" t="n">
        <v>14900</v>
      </c>
      <c r="L179" s="185" t="n">
        <v>21</v>
      </c>
      <c r="M179" s="173" t="n">
        <v>25780</v>
      </c>
      <c r="N179" s="184" t="n">
        <v>20366.2</v>
      </c>
      <c r="O179" s="186" t="s">
        <v>705</v>
      </c>
      <c r="P179" s="187" t="n">
        <v>45889</v>
      </c>
      <c r="Q179" s="188" t="n">
        <v>0.9209375</v>
      </c>
    </row>
    <row r="180" customFormat="false" ht="57.45" hidden="false" customHeight="false" outlineLevel="0" collapsed="false">
      <c r="A180" s="181" t="s">
        <v>706</v>
      </c>
      <c r="B180" s="182" t="n">
        <v>1066</v>
      </c>
      <c r="C180" s="183" t="n">
        <v>30360</v>
      </c>
      <c r="D180" s="181" t="s">
        <v>326</v>
      </c>
      <c r="E180" s="181" t="s">
        <v>399</v>
      </c>
      <c r="F180" s="181" t="s">
        <v>400</v>
      </c>
      <c r="G180" s="181" t="s">
        <v>225</v>
      </c>
      <c r="H180" s="181" t="s">
        <v>626</v>
      </c>
      <c r="I180" s="181" t="s">
        <v>220</v>
      </c>
      <c r="J180" s="184" t="n">
        <v>45370</v>
      </c>
      <c r="K180" s="184" t="n">
        <v>19350</v>
      </c>
      <c r="L180" s="185" t="n">
        <v>32</v>
      </c>
      <c r="M180" s="173" t="n">
        <v>26020</v>
      </c>
      <c r="N180" s="184" t="n">
        <v>17693.6</v>
      </c>
      <c r="O180" s="186" t="s">
        <v>707</v>
      </c>
      <c r="P180" s="187" t="n">
        <v>45889</v>
      </c>
      <c r="Q180" s="188" t="n">
        <v>0.941168981481482</v>
      </c>
    </row>
    <row r="181" customFormat="false" ht="57.45" hidden="false" customHeight="false" outlineLevel="0" collapsed="false">
      <c r="A181" s="181" t="s">
        <v>708</v>
      </c>
      <c r="B181" s="182" t="n">
        <v>1067</v>
      </c>
      <c r="C181" s="183" t="n">
        <v>30362</v>
      </c>
      <c r="D181" s="181" t="s">
        <v>326</v>
      </c>
      <c r="E181" s="181" t="s">
        <v>336</v>
      </c>
      <c r="F181" s="181" t="s">
        <v>337</v>
      </c>
      <c r="G181" s="181" t="s">
        <v>225</v>
      </c>
      <c r="H181" s="181" t="s">
        <v>626</v>
      </c>
      <c r="I181" s="181" t="s">
        <v>220</v>
      </c>
      <c r="J181" s="184" t="n">
        <v>38240</v>
      </c>
      <c r="K181" s="184" t="n">
        <v>14490</v>
      </c>
      <c r="L181" s="185" t="n">
        <v>42</v>
      </c>
      <c r="M181" s="173" t="n">
        <v>23750</v>
      </c>
      <c r="N181" s="184" t="n">
        <v>13775</v>
      </c>
      <c r="O181" s="186" t="s">
        <v>709</v>
      </c>
      <c r="P181" s="187" t="n">
        <v>45890</v>
      </c>
      <c r="Q181" s="188" t="n">
        <v>0.21462962962963</v>
      </c>
    </row>
    <row r="182" customFormat="false" ht="57.45" hidden="false" customHeight="false" outlineLevel="0" collapsed="false">
      <c r="A182" s="181" t="s">
        <v>710</v>
      </c>
      <c r="B182" s="182" t="n">
        <v>1068</v>
      </c>
      <c r="C182" s="183" t="n">
        <v>30364</v>
      </c>
      <c r="D182" s="181" t="s">
        <v>326</v>
      </c>
      <c r="E182" s="181" t="s">
        <v>340</v>
      </c>
      <c r="F182" s="181" t="s">
        <v>341</v>
      </c>
      <c r="G182" s="181" t="s">
        <v>225</v>
      </c>
      <c r="H182" s="181" t="s">
        <v>626</v>
      </c>
      <c r="I182" s="181" t="s">
        <v>220</v>
      </c>
      <c r="J182" s="184" t="n">
        <v>38700</v>
      </c>
      <c r="K182" s="184" t="n">
        <v>15070</v>
      </c>
      <c r="L182" s="185" t="n">
        <v>21</v>
      </c>
      <c r="M182" s="173" t="n">
        <v>23630</v>
      </c>
      <c r="N182" s="184" t="n">
        <v>18667.7</v>
      </c>
      <c r="O182" s="186" t="s">
        <v>711</v>
      </c>
      <c r="P182" s="187" t="n">
        <v>45890</v>
      </c>
      <c r="Q182" s="188" t="n">
        <v>0.239016203703704</v>
      </c>
    </row>
    <row r="183" customFormat="false" ht="57.45" hidden="false" customHeight="false" outlineLevel="0" collapsed="false">
      <c r="A183" s="181" t="s">
        <v>712</v>
      </c>
      <c r="B183" s="182" t="n">
        <v>1069</v>
      </c>
      <c r="C183" s="183" t="n">
        <v>30368</v>
      </c>
      <c r="D183" s="181" t="s">
        <v>326</v>
      </c>
      <c r="E183" s="181" t="s">
        <v>409</v>
      </c>
      <c r="F183" s="181" t="s">
        <v>410</v>
      </c>
      <c r="G183" s="181" t="s">
        <v>225</v>
      </c>
      <c r="H183" s="181" t="s">
        <v>626</v>
      </c>
      <c r="I183" s="181" t="s">
        <v>220</v>
      </c>
      <c r="J183" s="184" t="n">
        <v>46560</v>
      </c>
      <c r="K183" s="184" t="n">
        <v>24080</v>
      </c>
      <c r="L183" s="185" t="n">
        <v>29</v>
      </c>
      <c r="M183" s="173" t="n">
        <v>22480</v>
      </c>
      <c r="N183" s="184" t="n">
        <v>15960.8</v>
      </c>
      <c r="O183" s="186" t="s">
        <v>713</v>
      </c>
      <c r="P183" s="187" t="n">
        <v>45890</v>
      </c>
      <c r="Q183" s="188" t="n">
        <v>0.349386574074074</v>
      </c>
    </row>
    <row r="184" customFormat="false" ht="57.45" hidden="false" customHeight="false" outlineLevel="0" collapsed="false">
      <c r="A184" s="181" t="s">
        <v>714</v>
      </c>
      <c r="B184" s="182" t="n">
        <v>1070</v>
      </c>
      <c r="C184" s="183" t="n">
        <v>30366</v>
      </c>
      <c r="D184" s="181" t="s">
        <v>326</v>
      </c>
      <c r="E184" s="181" t="s">
        <v>413</v>
      </c>
      <c r="F184" s="181" t="s">
        <v>414</v>
      </c>
      <c r="G184" s="181" t="s">
        <v>225</v>
      </c>
      <c r="H184" s="181" t="s">
        <v>626</v>
      </c>
      <c r="I184" s="181" t="s">
        <v>220</v>
      </c>
      <c r="J184" s="184" t="n">
        <v>40610</v>
      </c>
      <c r="K184" s="184" t="n">
        <v>15510</v>
      </c>
      <c r="L184" s="185" t="n">
        <v>22</v>
      </c>
      <c r="M184" s="173" t="n">
        <v>25100</v>
      </c>
      <c r="N184" s="184" t="n">
        <v>19578</v>
      </c>
      <c r="O184" s="186" t="s">
        <v>715</v>
      </c>
      <c r="P184" s="187" t="n">
        <v>45890</v>
      </c>
      <c r="Q184" s="188" t="n">
        <v>0.45318287037037</v>
      </c>
    </row>
    <row r="185" customFormat="false" ht="57.45" hidden="false" customHeight="false" outlineLevel="0" collapsed="false">
      <c r="A185" s="181" t="s">
        <v>716</v>
      </c>
      <c r="B185" s="182" t="n">
        <v>1071</v>
      </c>
      <c r="C185" s="183" t="n">
        <v>30371</v>
      </c>
      <c r="D185" s="181" t="s">
        <v>326</v>
      </c>
      <c r="E185" s="181" t="s">
        <v>266</v>
      </c>
      <c r="F185" s="181" t="s">
        <v>267</v>
      </c>
      <c r="G185" s="181" t="s">
        <v>225</v>
      </c>
      <c r="H185" s="181" t="s">
        <v>626</v>
      </c>
      <c r="I185" s="181" t="s">
        <v>220</v>
      </c>
      <c r="J185" s="184" t="n">
        <v>39330</v>
      </c>
      <c r="K185" s="184" t="n">
        <v>14940</v>
      </c>
      <c r="L185" s="185" t="n">
        <v>48</v>
      </c>
      <c r="M185" s="173" t="n">
        <v>24390</v>
      </c>
      <c r="N185" s="184" t="n">
        <v>12682.8</v>
      </c>
      <c r="O185" s="186" t="s">
        <v>717</v>
      </c>
      <c r="P185" s="187" t="n">
        <v>45890</v>
      </c>
      <c r="Q185" s="188" t="n">
        <v>0.461412037037037</v>
      </c>
    </row>
    <row r="186" customFormat="false" ht="57.45" hidden="false" customHeight="false" outlineLevel="0" collapsed="false">
      <c r="A186" s="181" t="s">
        <v>718</v>
      </c>
      <c r="B186" s="182" t="n">
        <v>1072</v>
      </c>
      <c r="C186" s="183" t="n">
        <v>30373</v>
      </c>
      <c r="D186" s="181" t="s">
        <v>326</v>
      </c>
      <c r="E186" s="181" t="s">
        <v>261</v>
      </c>
      <c r="F186" s="181" t="s">
        <v>262</v>
      </c>
      <c r="G186" s="181" t="s">
        <v>225</v>
      </c>
      <c r="H186" s="181" t="s">
        <v>626</v>
      </c>
      <c r="I186" s="181" t="s">
        <v>220</v>
      </c>
      <c r="J186" s="184" t="n">
        <v>38070</v>
      </c>
      <c r="K186" s="184" t="n">
        <v>15070</v>
      </c>
      <c r="L186" s="185" t="n">
        <v>24</v>
      </c>
      <c r="M186" s="173" t="n">
        <v>23000</v>
      </c>
      <c r="N186" s="184" t="n">
        <v>17480</v>
      </c>
      <c r="O186" s="186" t="s">
        <v>719</v>
      </c>
      <c r="P186" s="187" t="n">
        <v>45890</v>
      </c>
      <c r="Q186" s="188" t="n">
        <v>0.470011574074074</v>
      </c>
    </row>
    <row r="187" customFormat="false" ht="57.45" hidden="false" customHeight="false" outlineLevel="0" collapsed="false">
      <c r="A187" s="181" t="s">
        <v>720</v>
      </c>
      <c r="B187" s="182" t="n">
        <v>1073</v>
      </c>
      <c r="C187" s="183" t="n">
        <v>30387</v>
      </c>
      <c r="D187" s="181" t="s">
        <v>326</v>
      </c>
      <c r="E187" s="181" t="s">
        <v>533</v>
      </c>
      <c r="F187" s="181" t="s">
        <v>534</v>
      </c>
      <c r="G187" s="181" t="s">
        <v>225</v>
      </c>
      <c r="H187" s="181" t="s">
        <v>626</v>
      </c>
      <c r="I187" s="181" t="s">
        <v>220</v>
      </c>
      <c r="J187" s="184" t="n">
        <v>40100</v>
      </c>
      <c r="K187" s="184" t="n">
        <v>14700</v>
      </c>
      <c r="L187" s="185" t="n">
        <v>14</v>
      </c>
      <c r="M187" s="173" t="n">
        <v>25400</v>
      </c>
      <c r="N187" s="184" t="n">
        <v>21844</v>
      </c>
      <c r="O187" s="186" t="s">
        <v>721</v>
      </c>
      <c r="P187" s="187" t="n">
        <v>45890</v>
      </c>
      <c r="Q187" s="188" t="n">
        <v>0.492395833333333</v>
      </c>
    </row>
    <row r="188" customFormat="false" ht="57.45" hidden="false" customHeight="false" outlineLevel="0" collapsed="false">
      <c r="A188" s="181" t="s">
        <v>722</v>
      </c>
      <c r="B188" s="182" t="n">
        <v>1074</v>
      </c>
      <c r="C188" s="183" t="n">
        <v>30381</v>
      </c>
      <c r="D188" s="181" t="s">
        <v>326</v>
      </c>
      <c r="E188" s="181" t="s">
        <v>272</v>
      </c>
      <c r="F188" s="181" t="s">
        <v>273</v>
      </c>
      <c r="G188" s="181" t="s">
        <v>225</v>
      </c>
      <c r="H188" s="181" t="s">
        <v>626</v>
      </c>
      <c r="I188" s="181" t="s">
        <v>220</v>
      </c>
      <c r="J188" s="184" t="n">
        <v>39280</v>
      </c>
      <c r="K188" s="184" t="n">
        <v>15600</v>
      </c>
      <c r="L188" s="185" t="n">
        <v>26</v>
      </c>
      <c r="M188" s="173" t="n">
        <v>23680</v>
      </c>
      <c r="N188" s="184" t="n">
        <v>17523.2</v>
      </c>
      <c r="O188" s="186" t="s">
        <v>723</v>
      </c>
      <c r="P188" s="187" t="n">
        <v>45890</v>
      </c>
      <c r="Q188" s="188" t="n">
        <v>0.521643518518519</v>
      </c>
    </row>
    <row r="189" customFormat="false" ht="57.45" hidden="false" customHeight="false" outlineLevel="0" collapsed="false">
      <c r="A189" s="181" t="s">
        <v>724</v>
      </c>
      <c r="B189" s="182" t="n">
        <v>1075</v>
      </c>
      <c r="C189" s="183" t="n">
        <v>30402</v>
      </c>
      <c r="D189" s="181" t="s">
        <v>326</v>
      </c>
      <c r="E189" s="181" t="s">
        <v>439</v>
      </c>
      <c r="F189" s="181" t="s">
        <v>440</v>
      </c>
      <c r="G189" s="181" t="s">
        <v>225</v>
      </c>
      <c r="H189" s="181" t="s">
        <v>626</v>
      </c>
      <c r="I189" s="181" t="s">
        <v>220</v>
      </c>
      <c r="J189" s="184" t="n">
        <v>41400</v>
      </c>
      <c r="K189" s="184" t="n">
        <v>16410</v>
      </c>
      <c r="L189" s="185" t="n">
        <v>18</v>
      </c>
      <c r="M189" s="173" t="n">
        <v>24990</v>
      </c>
      <c r="N189" s="184" t="n">
        <v>20491.8</v>
      </c>
      <c r="O189" s="186" t="s">
        <v>725</v>
      </c>
      <c r="P189" s="187" t="n">
        <v>45890</v>
      </c>
      <c r="Q189" s="188" t="n">
        <v>0.552858796296296</v>
      </c>
    </row>
    <row r="190" customFormat="false" ht="57.45" hidden="false" customHeight="false" outlineLevel="0" collapsed="false">
      <c r="A190" s="181" t="s">
        <v>726</v>
      </c>
      <c r="B190" s="182" t="n">
        <v>1076</v>
      </c>
      <c r="C190" s="183" t="n">
        <v>30395</v>
      </c>
      <c r="D190" s="181" t="s">
        <v>326</v>
      </c>
      <c r="E190" s="181" t="s">
        <v>435</v>
      </c>
      <c r="F190" s="181" t="s">
        <v>436</v>
      </c>
      <c r="G190" s="181" t="s">
        <v>225</v>
      </c>
      <c r="H190" s="181" t="s">
        <v>626</v>
      </c>
      <c r="I190" s="181" t="s">
        <v>220</v>
      </c>
      <c r="J190" s="184" t="n">
        <v>39500</v>
      </c>
      <c r="K190" s="184" t="n">
        <v>16470</v>
      </c>
      <c r="L190" s="185" t="n">
        <v>17</v>
      </c>
      <c r="M190" s="173" t="n">
        <v>23030</v>
      </c>
      <c r="N190" s="184" t="n">
        <v>19114.9</v>
      </c>
      <c r="O190" s="186" t="s">
        <v>727</v>
      </c>
      <c r="P190" s="187" t="n">
        <v>45890</v>
      </c>
      <c r="Q190" s="188" t="n">
        <v>0.586527777777778</v>
      </c>
    </row>
    <row r="191" customFormat="false" ht="57.45" hidden="false" customHeight="false" outlineLevel="0" collapsed="false">
      <c r="A191" s="181" t="s">
        <v>728</v>
      </c>
      <c r="B191" s="182" t="n">
        <v>1077</v>
      </c>
      <c r="C191" s="183" t="n">
        <v>30397</v>
      </c>
      <c r="D191" s="181" t="s">
        <v>326</v>
      </c>
      <c r="E191" s="181" t="s">
        <v>431</v>
      </c>
      <c r="F191" s="181" t="s">
        <v>432</v>
      </c>
      <c r="G191" s="181" t="s">
        <v>225</v>
      </c>
      <c r="H191" s="181" t="s">
        <v>626</v>
      </c>
      <c r="I191" s="181" t="s">
        <v>220</v>
      </c>
      <c r="J191" s="184" t="n">
        <v>39010</v>
      </c>
      <c r="K191" s="184" t="n">
        <v>16550</v>
      </c>
      <c r="L191" s="185" t="n">
        <v>13</v>
      </c>
      <c r="M191" s="173" t="n">
        <v>22460</v>
      </c>
      <c r="N191" s="184" t="n">
        <v>19540.2</v>
      </c>
      <c r="O191" s="186" t="s">
        <v>729</v>
      </c>
      <c r="P191" s="187" t="n">
        <v>45890</v>
      </c>
      <c r="Q191" s="188" t="n">
        <v>0.642361111111111</v>
      </c>
    </row>
    <row r="192" customFormat="false" ht="57.45" hidden="false" customHeight="false" outlineLevel="0" collapsed="false">
      <c r="A192" s="181" t="s">
        <v>730</v>
      </c>
      <c r="B192" s="182" t="n">
        <v>1078</v>
      </c>
      <c r="C192" s="183" t="n">
        <v>30393</v>
      </c>
      <c r="D192" s="181" t="s">
        <v>326</v>
      </c>
      <c r="E192" s="181" t="s">
        <v>545</v>
      </c>
      <c r="F192" s="181" t="s">
        <v>546</v>
      </c>
      <c r="G192" s="181" t="s">
        <v>225</v>
      </c>
      <c r="H192" s="181" t="s">
        <v>626</v>
      </c>
      <c r="I192" s="181" t="s">
        <v>220</v>
      </c>
      <c r="J192" s="184" t="n">
        <v>43490</v>
      </c>
      <c r="K192" s="184" t="n">
        <v>16120</v>
      </c>
      <c r="L192" s="185" t="n">
        <v>20</v>
      </c>
      <c r="M192" s="173" t="n">
        <v>27370</v>
      </c>
      <c r="N192" s="184" t="n">
        <v>21896</v>
      </c>
      <c r="O192" s="184" t="s">
        <v>731</v>
      </c>
      <c r="P192" s="187" t="n">
        <v>45890</v>
      </c>
      <c r="Q192" s="188" t="n">
        <v>0.66275462962963</v>
      </c>
    </row>
    <row r="193" customFormat="false" ht="57.45" hidden="false" customHeight="false" outlineLevel="0" collapsed="false">
      <c r="A193" s="181" t="s">
        <v>732</v>
      </c>
      <c r="B193" s="182" t="n">
        <v>1080</v>
      </c>
      <c r="C193" s="183" t="n">
        <v>30404</v>
      </c>
      <c r="D193" s="181" t="s">
        <v>326</v>
      </c>
      <c r="E193" s="181" t="s">
        <v>549</v>
      </c>
      <c r="F193" s="181" t="s">
        <v>550</v>
      </c>
      <c r="G193" s="181" t="s">
        <v>225</v>
      </c>
      <c r="H193" s="181" t="s">
        <v>626</v>
      </c>
      <c r="I193" s="181" t="s">
        <v>220</v>
      </c>
      <c r="J193" s="184" t="n">
        <v>41080</v>
      </c>
      <c r="K193" s="184" t="n">
        <v>15960</v>
      </c>
      <c r="L193" s="185" t="n">
        <v>28</v>
      </c>
      <c r="M193" s="173" t="n">
        <v>25120</v>
      </c>
      <c r="N193" s="184" t="n">
        <v>18086.4</v>
      </c>
      <c r="O193" s="184" t="s">
        <v>733</v>
      </c>
      <c r="P193" s="187" t="n">
        <v>45890</v>
      </c>
      <c r="Q193" s="188" t="n">
        <v>0.712696759259259</v>
      </c>
    </row>
    <row r="194" customFormat="false" ht="57.45" hidden="false" customHeight="false" outlineLevel="0" collapsed="false">
      <c r="A194" s="181" t="s">
        <v>734</v>
      </c>
      <c r="B194" s="182" t="n">
        <v>1081</v>
      </c>
      <c r="C194" s="183" t="n">
        <v>30406</v>
      </c>
      <c r="D194" s="181" t="s">
        <v>326</v>
      </c>
      <c r="E194" s="181" t="s">
        <v>541</v>
      </c>
      <c r="F194" s="181" t="s">
        <v>542</v>
      </c>
      <c r="G194" s="181" t="s">
        <v>225</v>
      </c>
      <c r="H194" s="181" t="s">
        <v>626</v>
      </c>
      <c r="I194" s="181" t="s">
        <v>220</v>
      </c>
      <c r="J194" s="184" t="n">
        <v>41280</v>
      </c>
      <c r="K194" s="184" t="n">
        <v>15000</v>
      </c>
      <c r="L194" s="185" t="n">
        <v>19</v>
      </c>
      <c r="M194" s="173" t="n">
        <v>26280</v>
      </c>
      <c r="N194" s="184" t="n">
        <v>21286.8</v>
      </c>
      <c r="O194" s="184" t="s">
        <v>735</v>
      </c>
      <c r="P194" s="187" t="n">
        <v>45890</v>
      </c>
      <c r="Q194" s="188" t="n">
        <v>0.744201388888889</v>
      </c>
    </row>
    <row r="195" customFormat="false" ht="57.45" hidden="false" customHeight="false" outlineLevel="0" collapsed="false">
      <c r="A195" s="181" t="s">
        <v>736</v>
      </c>
      <c r="B195" s="182" t="n">
        <v>1083</v>
      </c>
      <c r="C195" s="183" t="n">
        <v>30410</v>
      </c>
      <c r="D195" s="181" t="s">
        <v>326</v>
      </c>
      <c r="E195" s="181" t="s">
        <v>282</v>
      </c>
      <c r="F195" s="181" t="s">
        <v>283</v>
      </c>
      <c r="G195" s="181" t="s">
        <v>225</v>
      </c>
      <c r="H195" s="181" t="s">
        <v>626</v>
      </c>
      <c r="I195" s="181" t="s">
        <v>220</v>
      </c>
      <c r="J195" s="184" t="n">
        <v>38850</v>
      </c>
      <c r="K195" s="184" t="n">
        <v>15040</v>
      </c>
      <c r="L195" s="185" t="n">
        <v>16</v>
      </c>
      <c r="M195" s="173" t="n">
        <v>23810</v>
      </c>
      <c r="N195" s="184" t="n">
        <v>20000.4</v>
      </c>
      <c r="O195" s="184" t="s">
        <v>737</v>
      </c>
      <c r="P195" s="187" t="n">
        <v>45890</v>
      </c>
      <c r="Q195" s="188" t="n">
        <v>0.779456018518519</v>
      </c>
    </row>
    <row r="196" customFormat="false" ht="57.45" hidden="false" customHeight="false" outlineLevel="0" collapsed="false">
      <c r="A196" s="181" t="s">
        <v>738</v>
      </c>
      <c r="B196" s="182" t="n">
        <v>1084</v>
      </c>
      <c r="C196" s="183" t="n">
        <v>30408</v>
      </c>
      <c r="D196" s="181" t="s">
        <v>326</v>
      </c>
      <c r="E196" s="181" t="s">
        <v>537</v>
      </c>
      <c r="F196" s="181" t="s">
        <v>538</v>
      </c>
      <c r="G196" s="181" t="s">
        <v>225</v>
      </c>
      <c r="H196" s="181" t="s">
        <v>626</v>
      </c>
      <c r="I196" s="181" t="s">
        <v>220</v>
      </c>
      <c r="J196" s="184" t="n">
        <v>35950</v>
      </c>
      <c r="K196" s="184" t="n">
        <v>13990</v>
      </c>
      <c r="L196" s="185" t="n">
        <v>29</v>
      </c>
      <c r="M196" s="173" t="n">
        <v>21960</v>
      </c>
      <c r="N196" s="184" t="n">
        <v>15591.6</v>
      </c>
      <c r="O196" s="184" t="s">
        <v>739</v>
      </c>
      <c r="P196" s="187" t="n">
        <v>45890</v>
      </c>
      <c r="Q196" s="188" t="n">
        <v>0.911493055555556</v>
      </c>
    </row>
    <row r="197" customFormat="false" ht="57.45" hidden="false" customHeight="false" outlineLevel="0" collapsed="false">
      <c r="A197" s="181" t="s">
        <v>740</v>
      </c>
      <c r="B197" s="182" t="n">
        <v>1086</v>
      </c>
      <c r="C197" s="183" t="n">
        <v>30414</v>
      </c>
      <c r="D197" s="181" t="s">
        <v>326</v>
      </c>
      <c r="E197" s="181" t="s">
        <v>350</v>
      </c>
      <c r="F197" s="181" t="s">
        <v>351</v>
      </c>
      <c r="G197" s="181" t="s">
        <v>225</v>
      </c>
      <c r="H197" s="181" t="s">
        <v>626</v>
      </c>
      <c r="I197" s="181" t="s">
        <v>220</v>
      </c>
      <c r="J197" s="184" t="n">
        <v>38680</v>
      </c>
      <c r="K197" s="184" t="n">
        <v>14950</v>
      </c>
      <c r="L197" s="185" t="n">
        <v>13</v>
      </c>
      <c r="M197" s="173" t="n">
        <v>23730</v>
      </c>
      <c r="N197" s="184" t="n">
        <v>20645.1</v>
      </c>
      <c r="O197" s="184" t="s">
        <v>741</v>
      </c>
      <c r="P197" s="187" t="n">
        <v>45890</v>
      </c>
      <c r="Q197" s="188" t="n">
        <v>0.9240625</v>
      </c>
    </row>
    <row r="198" customFormat="false" ht="57.45" hidden="false" customHeight="false" outlineLevel="0" collapsed="false">
      <c r="A198" s="181" t="s">
        <v>742</v>
      </c>
      <c r="B198" s="182" t="n">
        <v>1089</v>
      </c>
      <c r="C198" s="183" t="n">
        <v>30412</v>
      </c>
      <c r="D198" s="181" t="s">
        <v>326</v>
      </c>
      <c r="E198" s="181" t="s">
        <v>277</v>
      </c>
      <c r="F198" s="181" t="s">
        <v>278</v>
      </c>
      <c r="G198" s="181" t="s">
        <v>225</v>
      </c>
      <c r="H198" s="181" t="s">
        <v>626</v>
      </c>
      <c r="I198" s="181" t="s">
        <v>220</v>
      </c>
      <c r="J198" s="184" t="n">
        <v>41370</v>
      </c>
      <c r="K198" s="184" t="n">
        <v>15200</v>
      </c>
      <c r="L198" s="185" t="n">
        <v>21</v>
      </c>
      <c r="M198" s="173" t="n">
        <v>26170</v>
      </c>
      <c r="N198" s="184" t="n">
        <v>20674.3</v>
      </c>
      <c r="O198" s="184" t="s">
        <v>743</v>
      </c>
      <c r="P198" s="187" t="n">
        <v>45890</v>
      </c>
      <c r="Q198" s="188" t="n">
        <v>0.93193287037037</v>
      </c>
    </row>
    <row r="199" customFormat="false" ht="57.45" hidden="false" customHeight="false" outlineLevel="0" collapsed="false">
      <c r="A199" s="181" t="s">
        <v>744</v>
      </c>
      <c r="B199" s="182" t="n">
        <v>1090</v>
      </c>
      <c r="C199" s="183" t="n">
        <v>30416</v>
      </c>
      <c r="D199" s="181" t="s">
        <v>326</v>
      </c>
      <c r="E199" s="181" t="s">
        <v>346</v>
      </c>
      <c r="F199" s="181" t="s">
        <v>347</v>
      </c>
      <c r="G199" s="181" t="s">
        <v>225</v>
      </c>
      <c r="H199" s="181" t="s">
        <v>626</v>
      </c>
      <c r="I199" s="181" t="s">
        <v>220</v>
      </c>
      <c r="J199" s="184" t="n">
        <v>37510</v>
      </c>
      <c r="K199" s="184" t="n">
        <v>15090</v>
      </c>
      <c r="L199" s="185" t="n">
        <v>15</v>
      </c>
      <c r="M199" s="173" t="n">
        <v>22420</v>
      </c>
      <c r="N199" s="184" t="n">
        <v>19057</v>
      </c>
      <c r="O199" s="184" t="s">
        <v>745</v>
      </c>
      <c r="P199" s="187" t="n">
        <v>45890</v>
      </c>
      <c r="Q199" s="188" t="n">
        <v>0.93943287037037</v>
      </c>
    </row>
    <row r="200" customFormat="false" ht="57.45" hidden="false" customHeight="false" outlineLevel="0" collapsed="false">
      <c r="A200" s="181" t="s">
        <v>746</v>
      </c>
      <c r="B200" s="182" t="n">
        <v>1093</v>
      </c>
      <c r="C200" s="183" t="n">
        <v>30418</v>
      </c>
      <c r="D200" s="181" t="s">
        <v>326</v>
      </c>
      <c r="E200" s="181" t="s">
        <v>292</v>
      </c>
      <c r="F200" s="181" t="s">
        <v>293</v>
      </c>
      <c r="G200" s="181" t="s">
        <v>225</v>
      </c>
      <c r="H200" s="181" t="s">
        <v>626</v>
      </c>
      <c r="I200" s="181" t="s">
        <v>220</v>
      </c>
      <c r="J200" s="184" t="n">
        <v>37500</v>
      </c>
      <c r="K200" s="184" t="n">
        <v>13900</v>
      </c>
      <c r="L200" s="185" t="n">
        <v>28</v>
      </c>
      <c r="M200" s="173" t="n">
        <v>23600</v>
      </c>
      <c r="N200" s="184" t="n">
        <v>16992</v>
      </c>
      <c r="O200" s="184" t="s">
        <v>747</v>
      </c>
      <c r="P200" s="187" t="n">
        <v>45891</v>
      </c>
      <c r="Q200" s="188" t="n">
        <v>0.883587962962963</v>
      </c>
    </row>
    <row r="201" customFormat="false" ht="57.45" hidden="false" customHeight="false" outlineLevel="0" collapsed="false">
      <c r="A201" s="181" t="s">
        <v>748</v>
      </c>
      <c r="B201" s="182" t="n">
        <v>1094</v>
      </c>
      <c r="C201" s="183" t="n">
        <v>30420</v>
      </c>
      <c r="D201" s="181" t="s">
        <v>326</v>
      </c>
      <c r="E201" s="181" t="s">
        <v>332</v>
      </c>
      <c r="F201" s="181" t="s">
        <v>333</v>
      </c>
      <c r="G201" s="181" t="s">
        <v>225</v>
      </c>
      <c r="H201" s="181" t="s">
        <v>626</v>
      </c>
      <c r="I201" s="181" t="s">
        <v>220</v>
      </c>
      <c r="J201" s="184" t="n">
        <v>38700</v>
      </c>
      <c r="K201" s="184" t="n">
        <v>14690</v>
      </c>
      <c r="L201" s="185" t="n">
        <v>26</v>
      </c>
      <c r="M201" s="173" t="n">
        <v>24010</v>
      </c>
      <c r="N201" s="184" t="n">
        <v>17767.4</v>
      </c>
      <c r="O201" s="184" t="s">
        <v>749</v>
      </c>
      <c r="P201" s="187" t="n">
        <v>45891</v>
      </c>
      <c r="Q201" s="188" t="n">
        <v>0.895173611111111</v>
      </c>
    </row>
    <row r="202" customFormat="false" ht="57.45" hidden="false" customHeight="false" outlineLevel="0" collapsed="false">
      <c r="A202" s="181" t="s">
        <v>750</v>
      </c>
      <c r="B202" s="182" t="n">
        <v>1095</v>
      </c>
      <c r="C202" s="183" t="n">
        <v>30424</v>
      </c>
      <c r="D202" s="181" t="s">
        <v>326</v>
      </c>
      <c r="E202" s="181" t="s">
        <v>582</v>
      </c>
      <c r="F202" s="181" t="s">
        <v>583</v>
      </c>
      <c r="G202" s="181" t="s">
        <v>225</v>
      </c>
      <c r="H202" s="181" t="s">
        <v>626</v>
      </c>
      <c r="I202" s="181" t="s">
        <v>220</v>
      </c>
      <c r="J202" s="184" t="n">
        <v>38520</v>
      </c>
      <c r="K202" s="184" t="n">
        <v>14700</v>
      </c>
      <c r="L202" s="185" t="n">
        <v>11</v>
      </c>
      <c r="M202" s="173" t="n">
        <v>23820</v>
      </c>
      <c r="N202" s="184" t="n">
        <v>21199.8</v>
      </c>
      <c r="O202" s="184" t="s">
        <v>751</v>
      </c>
      <c r="P202" s="187" t="n">
        <v>45891</v>
      </c>
      <c r="Q202" s="188" t="n">
        <v>0.959837962962963</v>
      </c>
    </row>
    <row r="203" customFormat="false" ht="57.45" hidden="false" customHeight="false" outlineLevel="0" collapsed="false">
      <c r="A203" s="181" t="s">
        <v>752</v>
      </c>
      <c r="B203" s="182" t="n">
        <v>1096</v>
      </c>
      <c r="C203" s="183" t="n">
        <v>30422</v>
      </c>
      <c r="D203" s="181" t="s">
        <v>326</v>
      </c>
      <c r="E203" s="181" t="s">
        <v>373</v>
      </c>
      <c r="F203" s="181" t="s">
        <v>374</v>
      </c>
      <c r="G203" s="181" t="s">
        <v>225</v>
      </c>
      <c r="H203" s="181" t="s">
        <v>626</v>
      </c>
      <c r="I203" s="181" t="s">
        <v>220</v>
      </c>
      <c r="J203" s="184" t="n">
        <v>38090</v>
      </c>
      <c r="K203" s="184" t="n">
        <v>14180</v>
      </c>
      <c r="L203" s="185" t="n">
        <v>26</v>
      </c>
      <c r="M203" s="173" t="n">
        <v>23910</v>
      </c>
      <c r="N203" s="184" t="n">
        <v>17693.4</v>
      </c>
      <c r="O203" s="184" t="s">
        <v>753</v>
      </c>
      <c r="P203" s="187" t="n">
        <v>45891</v>
      </c>
      <c r="Q203" s="188" t="n">
        <v>0.961886574074074</v>
      </c>
    </row>
    <row r="204" customFormat="false" ht="57.45" hidden="false" customHeight="false" outlineLevel="0" collapsed="false">
      <c r="A204" s="181" t="s">
        <v>754</v>
      </c>
      <c r="B204" s="182" t="n">
        <v>1100</v>
      </c>
      <c r="C204" s="183" t="n">
        <v>30435</v>
      </c>
      <c r="D204" s="181" t="s">
        <v>326</v>
      </c>
      <c r="E204" s="181" t="s">
        <v>261</v>
      </c>
      <c r="F204" s="181" t="s">
        <v>262</v>
      </c>
      <c r="G204" s="181" t="s">
        <v>224</v>
      </c>
      <c r="H204" s="181" t="s">
        <v>607</v>
      </c>
      <c r="I204" s="181" t="s">
        <v>220</v>
      </c>
      <c r="J204" s="184" t="n">
        <v>38690</v>
      </c>
      <c r="K204" s="184" t="n">
        <v>15060</v>
      </c>
      <c r="L204" s="185" t="n">
        <v>5</v>
      </c>
      <c r="M204" s="173" t="n">
        <v>23630</v>
      </c>
      <c r="N204" s="184" t="n">
        <v>22448.5</v>
      </c>
      <c r="O204" s="184" t="s">
        <v>755</v>
      </c>
      <c r="P204" s="187" t="n">
        <v>45891</v>
      </c>
      <c r="Q204" s="188" t="n">
        <v>0.98494212962963</v>
      </c>
    </row>
    <row r="205" customFormat="false" ht="57.45" hidden="false" customHeight="false" outlineLevel="0" collapsed="false">
      <c r="A205" s="181" t="s">
        <v>756</v>
      </c>
      <c r="B205" s="182" t="n">
        <v>1101</v>
      </c>
      <c r="C205" s="183" t="n">
        <v>30437</v>
      </c>
      <c r="D205" s="181" t="s">
        <v>326</v>
      </c>
      <c r="E205" s="181" t="s">
        <v>272</v>
      </c>
      <c r="F205" s="181" t="s">
        <v>273</v>
      </c>
      <c r="G205" s="181" t="s">
        <v>224</v>
      </c>
      <c r="H205" s="181" t="s">
        <v>607</v>
      </c>
      <c r="I205" s="181" t="s">
        <v>220</v>
      </c>
      <c r="J205" s="184" t="n">
        <v>39190</v>
      </c>
      <c r="K205" s="184" t="n">
        <v>15620</v>
      </c>
      <c r="L205" s="185" t="n">
        <v>19</v>
      </c>
      <c r="M205" s="173" t="n">
        <v>23570</v>
      </c>
      <c r="N205" s="184" t="n">
        <v>19091.7</v>
      </c>
      <c r="O205" s="184" t="s">
        <v>757</v>
      </c>
      <c r="P205" s="187" t="n">
        <v>45891</v>
      </c>
      <c r="Q205" s="188" t="n">
        <v>0.925717592592593</v>
      </c>
    </row>
    <row r="206" customFormat="false" ht="57.45" hidden="false" customHeight="false" outlineLevel="0" collapsed="false">
      <c r="A206" s="181" t="s">
        <v>758</v>
      </c>
      <c r="B206" s="182" t="n">
        <v>1102</v>
      </c>
      <c r="C206" s="183" t="n">
        <v>30439</v>
      </c>
      <c r="D206" s="181" t="s">
        <v>326</v>
      </c>
      <c r="E206" s="181" t="s">
        <v>296</v>
      </c>
      <c r="F206" s="181" t="s">
        <v>297</v>
      </c>
      <c r="G206" s="181" t="s">
        <v>224</v>
      </c>
      <c r="H206" s="181" t="s">
        <v>607</v>
      </c>
      <c r="I206" s="181" t="s">
        <v>220</v>
      </c>
      <c r="J206" s="184" t="n">
        <v>38090</v>
      </c>
      <c r="K206" s="184" t="n">
        <v>15410</v>
      </c>
      <c r="L206" s="185" t="n">
        <v>11</v>
      </c>
      <c r="M206" s="173" t="n">
        <v>22680</v>
      </c>
      <c r="N206" s="184" t="n">
        <v>20185.2</v>
      </c>
      <c r="O206" s="184" t="s">
        <v>759</v>
      </c>
      <c r="P206" s="187" t="n">
        <v>45891</v>
      </c>
      <c r="Q206" s="188" t="n">
        <v>0.928668981481482</v>
      </c>
    </row>
    <row r="207" customFormat="false" ht="57.45" hidden="false" customHeight="false" outlineLevel="0" collapsed="false">
      <c r="A207" s="181" t="s">
        <v>760</v>
      </c>
      <c r="B207" s="182" t="n">
        <v>1103</v>
      </c>
      <c r="C207" s="183" t="n">
        <v>30445</v>
      </c>
      <c r="D207" s="181" t="s">
        <v>326</v>
      </c>
      <c r="E207" s="181" t="s">
        <v>533</v>
      </c>
      <c r="F207" s="181" t="s">
        <v>534</v>
      </c>
      <c r="G207" s="181" t="s">
        <v>224</v>
      </c>
      <c r="H207" s="181" t="s">
        <v>607</v>
      </c>
      <c r="I207" s="181" t="s">
        <v>220</v>
      </c>
      <c r="J207" s="184" t="n">
        <v>41220</v>
      </c>
      <c r="K207" s="184" t="n">
        <v>14700</v>
      </c>
      <c r="L207" s="185" t="n">
        <v>34</v>
      </c>
      <c r="M207" s="173" t="n">
        <v>26520</v>
      </c>
      <c r="N207" s="184" t="n">
        <v>17503.2</v>
      </c>
      <c r="O207" s="184" t="s">
        <v>761</v>
      </c>
      <c r="P207" s="187" t="n">
        <v>45892</v>
      </c>
      <c r="Q207" s="188" t="n">
        <v>0.0944907407407407</v>
      </c>
    </row>
    <row r="208" customFormat="false" ht="57.45" hidden="false" customHeight="false" outlineLevel="0" collapsed="false">
      <c r="A208" s="181" t="s">
        <v>762</v>
      </c>
      <c r="B208" s="182" t="n">
        <v>1104</v>
      </c>
      <c r="C208" s="183" t="n">
        <v>30450</v>
      </c>
      <c r="D208" s="181" t="s">
        <v>326</v>
      </c>
      <c r="E208" s="181" t="s">
        <v>549</v>
      </c>
      <c r="F208" s="181" t="s">
        <v>550</v>
      </c>
      <c r="G208" s="181" t="s">
        <v>224</v>
      </c>
      <c r="H208" s="181" t="s">
        <v>607</v>
      </c>
      <c r="I208" s="181" t="s">
        <v>220</v>
      </c>
      <c r="J208" s="184" t="n">
        <v>42500</v>
      </c>
      <c r="K208" s="184" t="n">
        <v>15930</v>
      </c>
      <c r="L208" s="185" t="n">
        <v>10</v>
      </c>
      <c r="M208" s="173" t="n">
        <v>26570</v>
      </c>
      <c r="N208" s="184" t="n">
        <v>23913</v>
      </c>
      <c r="O208" s="184" t="s">
        <v>763</v>
      </c>
      <c r="P208" s="187" t="n">
        <v>45892</v>
      </c>
      <c r="Q208" s="188" t="n">
        <v>0.230752314814815</v>
      </c>
    </row>
    <row r="209" customFormat="false" ht="57.45" hidden="false" customHeight="false" outlineLevel="0" collapsed="false">
      <c r="A209" s="181" t="s">
        <v>764</v>
      </c>
      <c r="B209" s="182" t="n">
        <v>1105</v>
      </c>
      <c r="C209" s="183" t="n">
        <v>30452</v>
      </c>
      <c r="D209" s="181" t="s">
        <v>326</v>
      </c>
      <c r="E209" s="181" t="s">
        <v>537</v>
      </c>
      <c r="F209" s="181" t="s">
        <v>538</v>
      </c>
      <c r="G209" s="181" t="s">
        <v>224</v>
      </c>
      <c r="H209" s="181" t="s">
        <v>607</v>
      </c>
      <c r="I209" s="181" t="s">
        <v>220</v>
      </c>
      <c r="J209" s="184" t="n">
        <v>36340</v>
      </c>
      <c r="K209" s="184" t="n">
        <v>13930</v>
      </c>
      <c r="L209" s="185" t="n">
        <v>8</v>
      </c>
      <c r="M209" s="173" t="n">
        <v>22410</v>
      </c>
      <c r="N209" s="184" t="n">
        <v>20617.2</v>
      </c>
      <c r="O209" s="184" t="s">
        <v>765</v>
      </c>
      <c r="P209" s="187" t="n">
        <v>45892</v>
      </c>
      <c r="Q209" s="188" t="n">
        <v>0.124930555555556</v>
      </c>
    </row>
    <row r="210" customFormat="false" ht="57.45" hidden="false" customHeight="false" outlineLevel="0" collapsed="false">
      <c r="A210" s="181" t="s">
        <v>766</v>
      </c>
      <c r="B210" s="182" t="n">
        <v>1106</v>
      </c>
      <c r="C210" s="183" t="n">
        <v>30447</v>
      </c>
      <c r="D210" s="181" t="s">
        <v>326</v>
      </c>
      <c r="E210" s="181" t="s">
        <v>541</v>
      </c>
      <c r="F210" s="181" t="s">
        <v>542</v>
      </c>
      <c r="G210" s="181" t="s">
        <v>224</v>
      </c>
      <c r="H210" s="181" t="s">
        <v>607</v>
      </c>
      <c r="I210" s="181" t="s">
        <v>220</v>
      </c>
      <c r="J210" s="184" t="n">
        <v>40950</v>
      </c>
      <c r="K210" s="184" t="n">
        <v>14980</v>
      </c>
      <c r="L210" s="185" t="n">
        <v>12</v>
      </c>
      <c r="M210" s="173" t="n">
        <v>25970</v>
      </c>
      <c r="N210" s="184" t="n">
        <v>22853.6</v>
      </c>
      <c r="O210" s="184" t="s">
        <v>767</v>
      </c>
      <c r="P210" s="187" t="n">
        <v>45892</v>
      </c>
      <c r="Q210" s="188" t="n">
        <v>0.161168981481481</v>
      </c>
    </row>
    <row r="211" customFormat="false" ht="57.45" hidden="false" customHeight="false" outlineLevel="0" collapsed="false">
      <c r="A211" s="181" t="s">
        <v>768</v>
      </c>
      <c r="B211" s="182" t="n">
        <v>1107</v>
      </c>
      <c r="C211" s="183" t="n">
        <v>30454</v>
      </c>
      <c r="D211" s="181" t="s">
        <v>326</v>
      </c>
      <c r="E211" s="181" t="s">
        <v>545</v>
      </c>
      <c r="F211" s="181" t="s">
        <v>546</v>
      </c>
      <c r="G211" s="181" t="s">
        <v>224</v>
      </c>
      <c r="H211" s="181" t="s">
        <v>607</v>
      </c>
      <c r="I211" s="181" t="s">
        <v>220</v>
      </c>
      <c r="J211" s="184" t="n">
        <v>42720</v>
      </c>
      <c r="K211" s="184" t="n">
        <v>16100</v>
      </c>
      <c r="L211" s="185" t="n">
        <v>8</v>
      </c>
      <c r="M211" s="173" t="n">
        <v>26620</v>
      </c>
      <c r="N211" s="184" t="n">
        <v>24490.4</v>
      </c>
      <c r="O211" s="184" t="s">
        <v>769</v>
      </c>
      <c r="P211" s="187" t="n">
        <v>45892</v>
      </c>
      <c r="Q211" s="188" t="n">
        <v>0.232847222222222</v>
      </c>
    </row>
    <row r="212" customFormat="false" ht="57.45" hidden="false" customHeight="false" outlineLevel="0" collapsed="false">
      <c r="A212" s="181" t="s">
        <v>770</v>
      </c>
      <c r="B212" s="182" t="n">
        <v>1108</v>
      </c>
      <c r="C212" s="183" t="n">
        <v>30456</v>
      </c>
      <c r="D212" s="181" t="s">
        <v>326</v>
      </c>
      <c r="E212" s="181" t="s">
        <v>282</v>
      </c>
      <c r="F212" s="181" t="s">
        <v>283</v>
      </c>
      <c r="G212" s="181" t="s">
        <v>224</v>
      </c>
      <c r="H212" s="181" t="s">
        <v>607</v>
      </c>
      <c r="I212" s="181" t="s">
        <v>220</v>
      </c>
      <c r="J212" s="184" t="n">
        <v>39680</v>
      </c>
      <c r="K212" s="184" t="n">
        <v>15040</v>
      </c>
      <c r="L212" s="185" t="n">
        <v>31</v>
      </c>
      <c r="M212" s="173" t="n">
        <v>24640</v>
      </c>
      <c r="N212" s="184" t="n">
        <v>17001.6</v>
      </c>
      <c r="O212" s="184" t="s">
        <v>771</v>
      </c>
      <c r="P212" s="187" t="n">
        <v>45892</v>
      </c>
      <c r="Q212" s="188" t="n">
        <v>0.258854166666667</v>
      </c>
    </row>
    <row r="213" customFormat="false" ht="57.45" hidden="false" customHeight="false" outlineLevel="0" collapsed="false">
      <c r="A213" s="181" t="s">
        <v>772</v>
      </c>
      <c r="B213" s="182" t="n">
        <v>1109</v>
      </c>
      <c r="C213" s="183" t="n">
        <v>30458</v>
      </c>
      <c r="D213" s="181" t="s">
        <v>326</v>
      </c>
      <c r="E213" s="181" t="s">
        <v>350</v>
      </c>
      <c r="F213" s="181" t="s">
        <v>351</v>
      </c>
      <c r="G213" s="181" t="s">
        <v>224</v>
      </c>
      <c r="H213" s="181" t="s">
        <v>607</v>
      </c>
      <c r="I213" s="181" t="s">
        <v>220</v>
      </c>
      <c r="J213" s="184" t="n">
        <v>42860</v>
      </c>
      <c r="K213" s="184" t="n">
        <v>14940</v>
      </c>
      <c r="L213" s="185" t="n">
        <v>15</v>
      </c>
      <c r="M213" s="173" t="n">
        <v>27920</v>
      </c>
      <c r="N213" s="184" t="n">
        <v>23732</v>
      </c>
      <c r="O213" s="184" t="s">
        <v>773</v>
      </c>
      <c r="P213" s="187" t="n">
        <v>45892</v>
      </c>
      <c r="Q213" s="188" t="n">
        <v>0.399456018518519</v>
      </c>
    </row>
    <row r="214" customFormat="false" ht="57.45" hidden="false" customHeight="false" outlineLevel="0" collapsed="false">
      <c r="A214" s="181" t="s">
        <v>774</v>
      </c>
      <c r="B214" s="182" t="n">
        <v>1110</v>
      </c>
      <c r="C214" s="183" t="n">
        <v>30460</v>
      </c>
      <c r="D214" s="181" t="s">
        <v>326</v>
      </c>
      <c r="E214" s="181" t="s">
        <v>377</v>
      </c>
      <c r="F214" s="181" t="s">
        <v>378</v>
      </c>
      <c r="G214" s="181" t="s">
        <v>224</v>
      </c>
      <c r="H214" s="181" t="s">
        <v>607</v>
      </c>
      <c r="I214" s="181" t="s">
        <v>220</v>
      </c>
      <c r="J214" s="184" t="n">
        <v>41830</v>
      </c>
      <c r="K214" s="184" t="n">
        <v>15570</v>
      </c>
      <c r="L214" s="185" t="n">
        <v>8</v>
      </c>
      <c r="M214" s="173" t="n">
        <v>26260</v>
      </c>
      <c r="N214" s="184" t="n">
        <v>24159.2</v>
      </c>
      <c r="O214" s="184" t="s">
        <v>775</v>
      </c>
      <c r="P214" s="187" t="n">
        <v>45892</v>
      </c>
      <c r="Q214" s="188" t="n">
        <v>0.476608796296296</v>
      </c>
    </row>
    <row r="215" customFormat="false" ht="57.45" hidden="false" customHeight="false" outlineLevel="0" collapsed="false">
      <c r="A215" s="181" t="s">
        <v>776</v>
      </c>
      <c r="B215" s="182" t="n">
        <v>1111</v>
      </c>
      <c r="C215" s="183" t="n">
        <v>30463</v>
      </c>
      <c r="D215" s="181" t="s">
        <v>326</v>
      </c>
      <c r="E215" s="181" t="s">
        <v>399</v>
      </c>
      <c r="F215" s="181" t="s">
        <v>400</v>
      </c>
      <c r="G215" s="181" t="s">
        <v>224</v>
      </c>
      <c r="H215" s="181" t="s">
        <v>607</v>
      </c>
      <c r="I215" s="181" t="s">
        <v>220</v>
      </c>
      <c r="J215" s="184" t="n">
        <v>45680</v>
      </c>
      <c r="K215" s="184" t="n">
        <v>19410</v>
      </c>
      <c r="L215" s="185" t="n">
        <v>13</v>
      </c>
      <c r="M215" s="173" t="n">
        <v>26270</v>
      </c>
      <c r="N215" s="184" t="n">
        <v>22854.9</v>
      </c>
      <c r="O215" s="184" t="s">
        <v>777</v>
      </c>
      <c r="P215" s="187" t="n">
        <v>45892</v>
      </c>
      <c r="Q215" s="188" t="n">
        <v>0.565231481481482</v>
      </c>
    </row>
    <row r="216" customFormat="false" ht="57.45" hidden="false" customHeight="false" outlineLevel="0" collapsed="false">
      <c r="A216" s="181" t="s">
        <v>778</v>
      </c>
      <c r="B216" s="182" t="n">
        <v>1113</v>
      </c>
      <c r="C216" s="183" t="n">
        <v>30466</v>
      </c>
      <c r="D216" s="181" t="s">
        <v>326</v>
      </c>
      <c r="E216" s="181" t="s">
        <v>391</v>
      </c>
      <c r="F216" s="181" t="s">
        <v>392</v>
      </c>
      <c r="G216" s="181" t="s">
        <v>224</v>
      </c>
      <c r="H216" s="181" t="s">
        <v>607</v>
      </c>
      <c r="I216" s="181" t="s">
        <v>220</v>
      </c>
      <c r="J216" s="184" t="n">
        <v>35190</v>
      </c>
      <c r="K216" s="184" t="n">
        <v>14480</v>
      </c>
      <c r="L216" s="185" t="n">
        <v>16</v>
      </c>
      <c r="M216" s="173" t="n">
        <v>20710</v>
      </c>
      <c r="N216" s="184" t="n">
        <v>17396.4</v>
      </c>
      <c r="O216" s="184" t="s">
        <v>779</v>
      </c>
      <c r="P216" s="187" t="n">
        <v>45892</v>
      </c>
      <c r="Q216" s="188" t="n">
        <v>0.580532407407407</v>
      </c>
    </row>
    <row r="217" customFormat="false" ht="57.45" hidden="false" customHeight="false" outlineLevel="0" collapsed="false">
      <c r="A217" s="181" t="s">
        <v>780</v>
      </c>
      <c r="B217" s="182" t="n">
        <v>1114</v>
      </c>
      <c r="C217" s="183" t="n">
        <v>30468</v>
      </c>
      <c r="D217" s="181" t="s">
        <v>326</v>
      </c>
      <c r="E217" s="181" t="s">
        <v>529</v>
      </c>
      <c r="F217" s="181" t="s">
        <v>530</v>
      </c>
      <c r="G217" s="181" t="s">
        <v>224</v>
      </c>
      <c r="H217" s="181" t="s">
        <v>607</v>
      </c>
      <c r="I217" s="181" t="s">
        <v>220</v>
      </c>
      <c r="J217" s="184" t="n">
        <v>35870</v>
      </c>
      <c r="K217" s="184" t="n">
        <v>14810</v>
      </c>
      <c r="L217" s="185" t="n">
        <v>12</v>
      </c>
      <c r="M217" s="173" t="n">
        <v>21060</v>
      </c>
      <c r="N217" s="184" t="n">
        <v>18532.8</v>
      </c>
      <c r="O217" s="184" t="s">
        <v>781</v>
      </c>
      <c r="P217" s="187" t="n">
        <v>45892</v>
      </c>
      <c r="Q217" s="188" t="n">
        <v>0.586875</v>
      </c>
    </row>
    <row r="218" customFormat="false" ht="57.45" hidden="false" customHeight="false" outlineLevel="0" collapsed="false">
      <c r="A218" s="181" t="s">
        <v>782</v>
      </c>
      <c r="B218" s="182" t="n">
        <v>1115</v>
      </c>
      <c r="C218" s="183" t="n">
        <v>30470</v>
      </c>
      <c r="D218" s="181" t="s">
        <v>326</v>
      </c>
      <c r="E218" s="181" t="s">
        <v>354</v>
      </c>
      <c r="F218" s="181" t="s">
        <v>355</v>
      </c>
      <c r="G218" s="181" t="s">
        <v>224</v>
      </c>
      <c r="H218" s="181" t="s">
        <v>607</v>
      </c>
      <c r="I218" s="181" t="s">
        <v>220</v>
      </c>
      <c r="J218" s="184" t="n">
        <v>39240</v>
      </c>
      <c r="K218" s="184" t="n">
        <v>14740</v>
      </c>
      <c r="L218" s="185" t="n">
        <v>12</v>
      </c>
      <c r="M218" s="173" t="n">
        <v>24500</v>
      </c>
      <c r="N218" s="184" t="n">
        <v>21560</v>
      </c>
      <c r="O218" s="184" t="s">
        <v>783</v>
      </c>
      <c r="P218" s="187" t="n">
        <v>45892</v>
      </c>
      <c r="Q218" s="188" t="n">
        <v>0.680543981481481</v>
      </c>
    </row>
    <row r="219" customFormat="false" ht="57.45" hidden="false" customHeight="false" outlineLevel="0" collapsed="false">
      <c r="A219" s="181" t="s">
        <v>784</v>
      </c>
      <c r="B219" s="182" t="n">
        <v>1116</v>
      </c>
      <c r="C219" s="183" t="n">
        <v>30472</v>
      </c>
      <c r="D219" s="181" t="s">
        <v>326</v>
      </c>
      <c r="E219" s="181" t="s">
        <v>359</v>
      </c>
      <c r="F219" s="181" t="s">
        <v>360</v>
      </c>
      <c r="G219" s="181" t="s">
        <v>224</v>
      </c>
      <c r="H219" s="181" t="s">
        <v>607</v>
      </c>
      <c r="I219" s="181" t="s">
        <v>220</v>
      </c>
      <c r="J219" s="184" t="n">
        <v>37010</v>
      </c>
      <c r="K219" s="184" t="n">
        <v>14880</v>
      </c>
      <c r="L219" s="185" t="n">
        <v>16</v>
      </c>
      <c r="M219" s="173" t="n">
        <v>22130</v>
      </c>
      <c r="N219" s="184" t="n">
        <v>18589.2</v>
      </c>
      <c r="O219" s="184" t="s">
        <v>785</v>
      </c>
      <c r="P219" s="187" t="n">
        <v>45892</v>
      </c>
      <c r="Q219" s="188" t="n">
        <v>0.702650462962963</v>
      </c>
    </row>
    <row r="220" customFormat="false" ht="57.45" hidden="false" customHeight="false" outlineLevel="0" collapsed="false">
      <c r="A220" s="181" t="s">
        <v>786</v>
      </c>
      <c r="B220" s="182" t="n">
        <v>1117</v>
      </c>
      <c r="C220" s="183" t="n">
        <v>30474</v>
      </c>
      <c r="D220" s="181" t="s">
        <v>326</v>
      </c>
      <c r="E220" s="181" t="s">
        <v>277</v>
      </c>
      <c r="F220" s="181" t="s">
        <v>278</v>
      </c>
      <c r="G220" s="181" t="s">
        <v>224</v>
      </c>
      <c r="H220" s="181" t="s">
        <v>607</v>
      </c>
      <c r="I220" s="181" t="s">
        <v>220</v>
      </c>
      <c r="J220" s="184" t="n">
        <v>40460</v>
      </c>
      <c r="K220" s="184" t="n">
        <v>15160</v>
      </c>
      <c r="L220" s="185" t="n">
        <v>10</v>
      </c>
      <c r="M220" s="173" t="n">
        <v>25300</v>
      </c>
      <c r="N220" s="184" t="n">
        <v>22770</v>
      </c>
      <c r="O220" s="184" t="s">
        <v>787</v>
      </c>
      <c r="P220" s="187" t="n">
        <v>45892</v>
      </c>
      <c r="Q220" s="188" t="n">
        <v>0.727372685185185</v>
      </c>
    </row>
    <row r="221" customFormat="false" ht="57.45" hidden="false" customHeight="false" outlineLevel="0" collapsed="false">
      <c r="A221" s="181" t="s">
        <v>788</v>
      </c>
      <c r="B221" s="182" t="n">
        <v>1119</v>
      </c>
      <c r="C221" s="183" t="n">
        <v>30476</v>
      </c>
      <c r="D221" s="181" t="s">
        <v>326</v>
      </c>
      <c r="E221" s="181" t="s">
        <v>336</v>
      </c>
      <c r="F221" s="181" t="s">
        <v>337</v>
      </c>
      <c r="G221" s="181" t="s">
        <v>224</v>
      </c>
      <c r="H221" s="181" t="s">
        <v>607</v>
      </c>
      <c r="I221" s="181" t="s">
        <v>220</v>
      </c>
      <c r="J221" s="184" t="n">
        <v>39090</v>
      </c>
      <c r="K221" s="184" t="n">
        <v>14470</v>
      </c>
      <c r="L221" s="185" t="n">
        <v>21</v>
      </c>
      <c r="M221" s="173" t="n">
        <v>24620</v>
      </c>
      <c r="N221" s="184" t="n">
        <v>19449.8</v>
      </c>
      <c r="O221" s="184" t="s">
        <v>789</v>
      </c>
      <c r="P221" s="187" t="n">
        <v>45892</v>
      </c>
      <c r="Q221" s="188" t="n">
        <v>0.816689814814815</v>
      </c>
    </row>
    <row r="222" customFormat="false" ht="57.45" hidden="false" customHeight="false" outlineLevel="0" collapsed="false">
      <c r="A222" s="181" t="s">
        <v>790</v>
      </c>
      <c r="B222" s="182" t="n">
        <v>1120</v>
      </c>
      <c r="C222" s="183" t="n">
        <v>30478</v>
      </c>
      <c r="D222" s="181" t="s">
        <v>326</v>
      </c>
      <c r="E222" s="181" t="s">
        <v>340</v>
      </c>
      <c r="F222" s="181" t="s">
        <v>341</v>
      </c>
      <c r="G222" s="181" t="s">
        <v>224</v>
      </c>
      <c r="H222" s="181" t="s">
        <v>607</v>
      </c>
      <c r="I222" s="181" t="s">
        <v>220</v>
      </c>
      <c r="J222" s="184" t="n">
        <v>39520</v>
      </c>
      <c r="K222" s="184" t="n">
        <v>15010</v>
      </c>
      <c r="L222" s="185" t="n">
        <v>23</v>
      </c>
      <c r="M222" s="173" t="n">
        <v>24510</v>
      </c>
      <c r="N222" s="184" t="n">
        <v>18872.7</v>
      </c>
      <c r="O222" s="184" t="s">
        <v>791</v>
      </c>
      <c r="P222" s="187" t="n">
        <v>45892</v>
      </c>
      <c r="Q222" s="188" t="n">
        <v>0.652939814814815</v>
      </c>
    </row>
    <row r="223" customFormat="false" ht="57.45" hidden="false" customHeight="false" outlineLevel="0" collapsed="false">
      <c r="A223" s="181" t="s">
        <v>792</v>
      </c>
      <c r="B223" s="182" t="n">
        <v>1121</v>
      </c>
      <c r="C223" s="183" t="n">
        <v>30493</v>
      </c>
      <c r="D223" s="181" t="s">
        <v>326</v>
      </c>
      <c r="E223" s="181" t="s">
        <v>288</v>
      </c>
      <c r="F223" s="181" t="s">
        <v>289</v>
      </c>
      <c r="G223" s="181" t="s">
        <v>224</v>
      </c>
      <c r="H223" s="181" t="s">
        <v>607</v>
      </c>
      <c r="I223" s="181" t="s">
        <v>220</v>
      </c>
      <c r="J223" s="184" t="n">
        <v>38880</v>
      </c>
      <c r="K223" s="184" t="n">
        <v>14540</v>
      </c>
      <c r="L223" s="185" t="n">
        <v>13</v>
      </c>
      <c r="M223" s="173" t="n">
        <v>24340</v>
      </c>
      <c r="N223" s="184" t="n">
        <v>21175.8</v>
      </c>
      <c r="O223" s="184" t="s">
        <v>793</v>
      </c>
      <c r="P223" s="187" t="n">
        <v>45892</v>
      </c>
      <c r="Q223" s="188" t="n">
        <v>0.993622685185185</v>
      </c>
    </row>
    <row r="224" customFormat="false" ht="57.45" hidden="false" customHeight="false" outlineLevel="0" collapsed="false">
      <c r="A224" s="181" t="s">
        <v>794</v>
      </c>
      <c r="B224" s="182" t="n">
        <v>1122</v>
      </c>
      <c r="C224" s="183" t="n">
        <v>30482</v>
      </c>
      <c r="D224" s="181" t="s">
        <v>326</v>
      </c>
      <c r="E224" s="181" t="s">
        <v>409</v>
      </c>
      <c r="F224" s="181" t="s">
        <v>410</v>
      </c>
      <c r="G224" s="181" t="s">
        <v>224</v>
      </c>
      <c r="H224" s="181" t="s">
        <v>607</v>
      </c>
      <c r="I224" s="181" t="s">
        <v>220</v>
      </c>
      <c r="J224" s="184" t="n">
        <v>46960</v>
      </c>
      <c r="K224" s="184" t="n">
        <v>24190</v>
      </c>
      <c r="L224" s="185" t="n">
        <v>16</v>
      </c>
      <c r="M224" s="173" t="n">
        <v>22770</v>
      </c>
      <c r="N224" s="184" t="n">
        <v>19126.8</v>
      </c>
      <c r="O224" s="184" t="s">
        <v>795</v>
      </c>
      <c r="P224" s="187" t="n">
        <v>45892</v>
      </c>
      <c r="Q224" s="188" t="n">
        <v>0.784884259259259</v>
      </c>
    </row>
    <row r="225" customFormat="false" ht="57.45" hidden="false" customHeight="false" outlineLevel="0" collapsed="false">
      <c r="A225" s="181" t="s">
        <v>796</v>
      </c>
      <c r="B225" s="182" t="n">
        <v>1123</v>
      </c>
      <c r="C225" s="183" t="n">
        <v>30486</v>
      </c>
      <c r="D225" s="181" t="s">
        <v>326</v>
      </c>
      <c r="E225" s="181" t="s">
        <v>346</v>
      </c>
      <c r="F225" s="181" t="s">
        <v>347</v>
      </c>
      <c r="G225" s="181" t="s">
        <v>224</v>
      </c>
      <c r="H225" s="181" t="s">
        <v>607</v>
      </c>
      <c r="I225" s="181" t="s">
        <v>220</v>
      </c>
      <c r="J225" s="184" t="n">
        <v>38870</v>
      </c>
      <c r="K225" s="184" t="n">
        <v>15070</v>
      </c>
      <c r="L225" s="185" t="n">
        <v>14</v>
      </c>
      <c r="M225" s="173" t="n">
        <v>23800</v>
      </c>
      <c r="N225" s="184" t="n">
        <v>20468</v>
      </c>
      <c r="O225" s="184" t="s">
        <v>797</v>
      </c>
      <c r="P225" s="187" t="n">
        <v>45892</v>
      </c>
      <c r="Q225" s="188" t="n">
        <v>0.787314814814815</v>
      </c>
    </row>
    <row r="226" customFormat="false" ht="57.45" hidden="false" customHeight="false" outlineLevel="0" collapsed="false">
      <c r="A226" s="181" t="s">
        <v>798</v>
      </c>
      <c r="B226" s="182" t="n">
        <v>1124</v>
      </c>
      <c r="C226" s="183" t="n">
        <v>30484</v>
      </c>
      <c r="D226" s="181" t="s">
        <v>326</v>
      </c>
      <c r="E226" s="181" t="s">
        <v>413</v>
      </c>
      <c r="F226" s="181" t="s">
        <v>414</v>
      </c>
      <c r="G226" s="181" t="s">
        <v>224</v>
      </c>
      <c r="H226" s="181" t="s">
        <v>607</v>
      </c>
      <c r="I226" s="181" t="s">
        <v>220</v>
      </c>
      <c r="J226" s="184" t="n">
        <v>43090</v>
      </c>
      <c r="K226" s="184" t="n">
        <v>15620</v>
      </c>
      <c r="L226" s="185" t="n">
        <v>17</v>
      </c>
      <c r="M226" s="173" t="n">
        <v>27470</v>
      </c>
      <c r="N226" s="184" t="n">
        <v>22800.1</v>
      </c>
      <c r="O226" s="184" t="s">
        <v>799</v>
      </c>
      <c r="P226" s="187" t="n">
        <v>45892</v>
      </c>
      <c r="Q226" s="188" t="n">
        <v>0.790277777777778</v>
      </c>
    </row>
    <row r="227" customFormat="false" ht="57.45" hidden="false" customHeight="false" outlineLevel="0" collapsed="false">
      <c r="A227" s="181" t="s">
        <v>800</v>
      </c>
      <c r="B227" s="182" t="n">
        <v>1125</v>
      </c>
      <c r="C227" s="183" t="n">
        <v>30488</v>
      </c>
      <c r="D227" s="181" t="s">
        <v>326</v>
      </c>
      <c r="E227" s="181" t="s">
        <v>439</v>
      </c>
      <c r="F227" s="181" t="s">
        <v>440</v>
      </c>
      <c r="G227" s="181" t="s">
        <v>224</v>
      </c>
      <c r="H227" s="181" t="s">
        <v>607</v>
      </c>
      <c r="I227" s="181" t="s">
        <v>220</v>
      </c>
      <c r="J227" s="184" t="n">
        <v>41090</v>
      </c>
      <c r="K227" s="184" t="n">
        <v>16410</v>
      </c>
      <c r="L227" s="185" t="n">
        <v>13</v>
      </c>
      <c r="M227" s="173" t="n">
        <v>24680</v>
      </c>
      <c r="N227" s="184" t="n">
        <v>21471.6</v>
      </c>
      <c r="O227" s="184" t="s">
        <v>801</v>
      </c>
      <c r="P227" s="187" t="n">
        <v>45892</v>
      </c>
      <c r="Q227" s="188" t="n">
        <v>0.79306712962963</v>
      </c>
    </row>
    <row r="228" customFormat="false" ht="57.45" hidden="false" customHeight="false" outlineLevel="0" collapsed="false">
      <c r="A228" s="181" t="s">
        <v>802</v>
      </c>
      <c r="B228" s="182" t="n">
        <v>1128</v>
      </c>
      <c r="C228" s="183" t="n">
        <v>30490</v>
      </c>
      <c r="D228" s="181" t="s">
        <v>326</v>
      </c>
      <c r="E228" s="181" t="s">
        <v>431</v>
      </c>
      <c r="F228" s="181" t="s">
        <v>432</v>
      </c>
      <c r="G228" s="181" t="s">
        <v>224</v>
      </c>
      <c r="H228" s="181" t="s">
        <v>607</v>
      </c>
      <c r="I228" s="181" t="s">
        <v>220</v>
      </c>
      <c r="J228" s="184" t="n">
        <v>41150</v>
      </c>
      <c r="K228" s="184" t="n">
        <v>16540</v>
      </c>
      <c r="L228" s="185" t="n">
        <v>8</v>
      </c>
      <c r="M228" s="173" t="n">
        <v>24610</v>
      </c>
      <c r="N228" s="184" t="n">
        <v>22641.2</v>
      </c>
      <c r="O228" s="184" t="s">
        <v>803</v>
      </c>
      <c r="P228" s="187" t="n">
        <v>45892</v>
      </c>
      <c r="Q228" s="188" t="n">
        <v>0.878460648148148</v>
      </c>
    </row>
    <row r="229" customFormat="false" ht="57.45" hidden="false" customHeight="false" outlineLevel="0" collapsed="false">
      <c r="A229" s="181" t="s">
        <v>804</v>
      </c>
      <c r="B229" s="182" t="n">
        <v>1129</v>
      </c>
      <c r="C229" s="183" t="n">
        <v>30492</v>
      </c>
      <c r="D229" s="181" t="s">
        <v>326</v>
      </c>
      <c r="E229" s="181" t="s">
        <v>435</v>
      </c>
      <c r="F229" s="181" t="s">
        <v>436</v>
      </c>
      <c r="G229" s="181" t="s">
        <v>224</v>
      </c>
      <c r="H229" s="181" t="s">
        <v>607</v>
      </c>
      <c r="I229" s="181" t="s">
        <v>220</v>
      </c>
      <c r="J229" s="184" t="n">
        <v>40180</v>
      </c>
      <c r="K229" s="184" t="n">
        <v>16440</v>
      </c>
      <c r="L229" s="185" t="n">
        <v>12</v>
      </c>
      <c r="M229" s="173" t="n">
        <v>23740</v>
      </c>
      <c r="N229" s="184" t="n">
        <v>20891.2</v>
      </c>
      <c r="O229" s="184" t="s">
        <v>805</v>
      </c>
      <c r="P229" s="187" t="n">
        <v>45892</v>
      </c>
      <c r="Q229" s="188" t="n">
        <v>0.882847222222222</v>
      </c>
    </row>
    <row r="230" customFormat="false" ht="57.45" hidden="false" customHeight="false" outlineLevel="0" collapsed="false">
      <c r="A230" s="181" t="s">
        <v>806</v>
      </c>
      <c r="B230" s="182" t="n">
        <v>1130</v>
      </c>
      <c r="C230" s="183" t="n">
        <v>30495</v>
      </c>
      <c r="D230" s="181" t="s">
        <v>326</v>
      </c>
      <c r="E230" s="181" t="s">
        <v>282</v>
      </c>
      <c r="F230" s="181" t="s">
        <v>283</v>
      </c>
      <c r="G230" s="181" t="s">
        <v>224</v>
      </c>
      <c r="H230" s="181" t="s">
        <v>607</v>
      </c>
      <c r="I230" s="181" t="s">
        <v>220</v>
      </c>
      <c r="J230" s="184" t="n">
        <v>38900</v>
      </c>
      <c r="K230" s="184" t="n">
        <v>15020</v>
      </c>
      <c r="L230" s="185" t="n">
        <v>20</v>
      </c>
      <c r="M230" s="173" t="n">
        <v>23880</v>
      </c>
      <c r="N230" s="184" t="n">
        <v>19104</v>
      </c>
      <c r="O230" s="184" t="s">
        <v>807</v>
      </c>
      <c r="P230" s="187" t="n">
        <v>45892</v>
      </c>
      <c r="Q230" s="188" t="n">
        <v>0.900034722222222</v>
      </c>
    </row>
    <row r="231" customFormat="false" ht="57.45" hidden="false" customHeight="false" outlineLevel="0" collapsed="false">
      <c r="A231" s="181" t="s">
        <v>808</v>
      </c>
      <c r="B231" s="182" t="n">
        <v>1131</v>
      </c>
      <c r="C231" s="183" t="n">
        <v>30497</v>
      </c>
      <c r="D231" s="181" t="s">
        <v>326</v>
      </c>
      <c r="E231" s="181" t="s">
        <v>373</v>
      </c>
      <c r="F231" s="181" t="s">
        <v>374</v>
      </c>
      <c r="G231" s="181" t="s">
        <v>224</v>
      </c>
      <c r="H231" s="181" t="s">
        <v>607</v>
      </c>
      <c r="I231" s="181" t="s">
        <v>220</v>
      </c>
      <c r="J231" s="184" t="n">
        <v>37650</v>
      </c>
      <c r="K231" s="184" t="n">
        <v>14180</v>
      </c>
      <c r="L231" s="185" t="n">
        <v>28</v>
      </c>
      <c r="M231" s="173" t="n">
        <v>23470</v>
      </c>
      <c r="N231" s="184" t="n">
        <v>16898.4</v>
      </c>
      <c r="O231" s="184" t="s">
        <v>809</v>
      </c>
      <c r="P231" s="187" t="n">
        <v>45892</v>
      </c>
      <c r="Q231" s="188" t="n">
        <v>0.918333333333333</v>
      </c>
    </row>
    <row r="232" customFormat="false" ht="57.45" hidden="false" customHeight="false" outlineLevel="0" collapsed="false">
      <c r="A232" s="181" t="s">
        <v>810</v>
      </c>
      <c r="B232" s="182" t="n">
        <v>1132</v>
      </c>
      <c r="C232" s="183" t="n">
        <v>30499</v>
      </c>
      <c r="D232" s="181" t="s">
        <v>326</v>
      </c>
      <c r="E232" s="181" t="s">
        <v>296</v>
      </c>
      <c r="F232" s="181" t="s">
        <v>297</v>
      </c>
      <c r="G232" s="181" t="s">
        <v>224</v>
      </c>
      <c r="H232" s="181" t="s">
        <v>607</v>
      </c>
      <c r="I232" s="181" t="s">
        <v>220</v>
      </c>
      <c r="J232" s="184" t="n">
        <v>37840</v>
      </c>
      <c r="K232" s="184" t="n">
        <v>15440</v>
      </c>
      <c r="L232" s="185" t="n">
        <v>18</v>
      </c>
      <c r="M232" s="173" t="n">
        <v>22400</v>
      </c>
      <c r="N232" s="184" t="n">
        <v>18368</v>
      </c>
      <c r="O232" s="184" t="s">
        <v>811</v>
      </c>
      <c r="P232" s="187" t="n">
        <v>45892</v>
      </c>
      <c r="Q232" s="188" t="n">
        <v>0.939594907407407</v>
      </c>
    </row>
    <row r="233" customFormat="false" ht="57.45" hidden="false" customHeight="false" outlineLevel="0" collapsed="false">
      <c r="A233" s="181" t="s">
        <v>812</v>
      </c>
      <c r="B233" s="182" t="n">
        <v>1133</v>
      </c>
      <c r="C233" s="183" t="n">
        <v>30501</v>
      </c>
      <c r="D233" s="181" t="s">
        <v>326</v>
      </c>
      <c r="E233" s="181" t="s">
        <v>261</v>
      </c>
      <c r="F233" s="181" t="s">
        <v>262</v>
      </c>
      <c r="G233" s="181" t="s">
        <v>224</v>
      </c>
      <c r="H233" s="181" t="s">
        <v>607</v>
      </c>
      <c r="I233" s="181" t="s">
        <v>220</v>
      </c>
      <c r="J233" s="184" t="n">
        <v>38290</v>
      </c>
      <c r="K233" s="184" t="n">
        <v>15070</v>
      </c>
      <c r="L233" s="185" t="n">
        <v>20</v>
      </c>
      <c r="M233" s="173" t="n">
        <v>23220</v>
      </c>
      <c r="N233" s="184" t="n">
        <v>18576</v>
      </c>
      <c r="O233" s="184" t="s">
        <v>813</v>
      </c>
      <c r="P233" s="187" t="n">
        <v>45892</v>
      </c>
      <c r="Q233" s="188" t="n">
        <v>0.998101851851852</v>
      </c>
    </row>
    <row r="234" customFormat="false" ht="57.45" hidden="false" customHeight="false" outlineLevel="0" collapsed="false">
      <c r="A234" s="181" t="s">
        <v>814</v>
      </c>
      <c r="B234" s="182" t="n">
        <v>1134</v>
      </c>
      <c r="C234" s="183" t="n">
        <v>30503</v>
      </c>
      <c r="D234" s="181" t="s">
        <v>326</v>
      </c>
      <c r="E234" s="181" t="s">
        <v>350</v>
      </c>
      <c r="F234" s="181" t="s">
        <v>351</v>
      </c>
      <c r="G234" s="181" t="s">
        <v>224</v>
      </c>
      <c r="H234" s="181" t="s">
        <v>607</v>
      </c>
      <c r="I234" s="181" t="s">
        <v>220</v>
      </c>
      <c r="J234" s="184" t="n">
        <v>43070</v>
      </c>
      <c r="K234" s="184" t="n">
        <v>14990</v>
      </c>
      <c r="L234" s="185" t="n">
        <v>19</v>
      </c>
      <c r="M234" s="173" t="n">
        <v>28080</v>
      </c>
      <c r="N234" s="184" t="n">
        <v>22744.8</v>
      </c>
      <c r="O234" s="184" t="s">
        <v>815</v>
      </c>
      <c r="P234" s="187" t="n">
        <v>45893</v>
      </c>
      <c r="Q234" s="188" t="n">
        <v>0.508958333333333</v>
      </c>
    </row>
    <row r="235" customFormat="false" ht="57.45" hidden="false" customHeight="false" outlineLevel="0" collapsed="false">
      <c r="A235" s="181" t="s">
        <v>816</v>
      </c>
      <c r="B235" s="182" t="n">
        <v>1135</v>
      </c>
      <c r="C235" s="183" t="n">
        <v>30505</v>
      </c>
      <c r="D235" s="181" t="s">
        <v>326</v>
      </c>
      <c r="E235" s="181" t="s">
        <v>377</v>
      </c>
      <c r="F235" s="181" t="s">
        <v>378</v>
      </c>
      <c r="G235" s="181" t="s">
        <v>224</v>
      </c>
      <c r="H235" s="181" t="s">
        <v>607</v>
      </c>
      <c r="I235" s="181" t="s">
        <v>220</v>
      </c>
      <c r="J235" s="184" t="n">
        <v>42130</v>
      </c>
      <c r="K235" s="184" t="n">
        <v>15620</v>
      </c>
      <c r="L235" s="185" t="n">
        <v>18</v>
      </c>
      <c r="M235" s="173" t="n">
        <v>26510</v>
      </c>
      <c r="N235" s="184" t="n">
        <v>21738.2</v>
      </c>
      <c r="O235" s="184" t="s">
        <v>817</v>
      </c>
      <c r="P235" s="187" t="n">
        <v>45893</v>
      </c>
      <c r="Q235" s="188" t="n">
        <v>0.534467592592593</v>
      </c>
    </row>
    <row r="236" customFormat="false" ht="57.45" hidden="false" customHeight="false" outlineLevel="0" collapsed="false">
      <c r="A236" s="181" t="s">
        <v>818</v>
      </c>
      <c r="B236" s="182" t="n">
        <v>1136</v>
      </c>
      <c r="C236" s="183" t="n">
        <v>30507</v>
      </c>
      <c r="D236" s="181" t="s">
        <v>326</v>
      </c>
      <c r="E236" s="181" t="s">
        <v>387</v>
      </c>
      <c r="F236" s="181" t="s">
        <v>388</v>
      </c>
      <c r="G236" s="181" t="s">
        <v>224</v>
      </c>
      <c r="H236" s="181" t="s">
        <v>607</v>
      </c>
      <c r="I236" s="181" t="s">
        <v>220</v>
      </c>
      <c r="J236" s="184" t="n">
        <v>41410</v>
      </c>
      <c r="K236" s="184" t="n">
        <v>14950</v>
      </c>
      <c r="L236" s="185" t="n">
        <v>18</v>
      </c>
      <c r="M236" s="173" t="n">
        <v>26460</v>
      </c>
      <c r="N236" s="184" t="n">
        <v>21697.2</v>
      </c>
      <c r="O236" s="184" t="s">
        <v>819</v>
      </c>
      <c r="P236" s="187" t="n">
        <v>45893</v>
      </c>
      <c r="Q236" s="188" t="n">
        <v>0.543831018518519</v>
      </c>
    </row>
    <row r="237" customFormat="false" ht="57.45" hidden="false" customHeight="false" outlineLevel="0" collapsed="false">
      <c r="A237" s="181" t="s">
        <v>820</v>
      </c>
      <c r="B237" s="182" t="n">
        <v>1137</v>
      </c>
      <c r="C237" s="183" t="n">
        <v>30511</v>
      </c>
      <c r="D237" s="181" t="s">
        <v>326</v>
      </c>
      <c r="E237" s="181" t="s">
        <v>537</v>
      </c>
      <c r="F237" s="181" t="s">
        <v>538</v>
      </c>
      <c r="G237" s="181" t="s">
        <v>224</v>
      </c>
      <c r="H237" s="181" t="s">
        <v>607</v>
      </c>
      <c r="I237" s="181" t="s">
        <v>220</v>
      </c>
      <c r="J237" s="184" t="n">
        <v>34530</v>
      </c>
      <c r="K237" s="184" t="n">
        <v>13970</v>
      </c>
      <c r="L237" s="185" t="n">
        <v>16</v>
      </c>
      <c r="M237" s="173" t="n">
        <v>20560</v>
      </c>
      <c r="N237" s="184" t="n">
        <v>17270.4</v>
      </c>
      <c r="O237" s="184" t="s">
        <v>821</v>
      </c>
      <c r="P237" s="187" t="n">
        <v>45893</v>
      </c>
      <c r="Q237" s="188" t="n">
        <v>0.561053240740741</v>
      </c>
    </row>
    <row r="238" customFormat="false" ht="57.45" hidden="false" customHeight="false" outlineLevel="0" collapsed="false">
      <c r="A238" s="181" t="s">
        <v>822</v>
      </c>
      <c r="B238" s="182" t="n">
        <v>1138</v>
      </c>
      <c r="C238" s="183" t="n">
        <v>30509</v>
      </c>
      <c r="D238" s="181" t="s">
        <v>326</v>
      </c>
      <c r="E238" s="181" t="s">
        <v>272</v>
      </c>
      <c r="F238" s="181" t="s">
        <v>273</v>
      </c>
      <c r="G238" s="181" t="s">
        <v>224</v>
      </c>
      <c r="H238" s="181" t="s">
        <v>607</v>
      </c>
      <c r="I238" s="181" t="s">
        <v>220</v>
      </c>
      <c r="J238" s="184" t="n">
        <v>38160</v>
      </c>
      <c r="K238" s="184" t="n">
        <v>15620</v>
      </c>
      <c r="L238" s="185" t="n">
        <v>49</v>
      </c>
      <c r="M238" s="173" t="n">
        <v>22540</v>
      </c>
      <c r="N238" s="184" t="n">
        <v>11495.4</v>
      </c>
      <c r="O238" s="184" t="s">
        <v>823</v>
      </c>
      <c r="P238" s="187" t="n">
        <v>45893</v>
      </c>
      <c r="Q238" s="188" t="n">
        <v>0.616608796296296</v>
      </c>
    </row>
    <row r="239" customFormat="false" ht="57.45" hidden="false" customHeight="false" outlineLevel="0" collapsed="false">
      <c r="A239" s="181" t="s">
        <v>824</v>
      </c>
      <c r="B239" s="182" t="n">
        <v>1139</v>
      </c>
      <c r="C239" s="183" t="n">
        <v>30515</v>
      </c>
      <c r="D239" s="181" t="s">
        <v>326</v>
      </c>
      <c r="E239" s="181" t="s">
        <v>533</v>
      </c>
      <c r="F239" s="181" t="s">
        <v>534</v>
      </c>
      <c r="G239" s="181" t="s">
        <v>224</v>
      </c>
      <c r="H239" s="181" t="s">
        <v>607</v>
      </c>
      <c r="I239" s="181" t="s">
        <v>220</v>
      </c>
      <c r="J239" s="184" t="n">
        <v>40750</v>
      </c>
      <c r="K239" s="184" t="n">
        <v>14690</v>
      </c>
      <c r="L239" s="185" t="n">
        <v>26</v>
      </c>
      <c r="M239" s="173" t="n">
        <v>26060</v>
      </c>
      <c r="N239" s="184" t="n">
        <v>19284.4</v>
      </c>
      <c r="O239" s="184" t="s">
        <v>825</v>
      </c>
      <c r="P239" s="187" t="n">
        <v>45893</v>
      </c>
      <c r="Q239" s="188" t="n">
        <v>0.655844907407407</v>
      </c>
    </row>
    <row r="240" customFormat="false" ht="57.45" hidden="false" customHeight="false" outlineLevel="0" collapsed="false">
      <c r="A240" s="181" t="s">
        <v>826</v>
      </c>
      <c r="B240" s="182" t="n">
        <v>1140</v>
      </c>
      <c r="C240" s="183" t="n">
        <v>30517</v>
      </c>
      <c r="D240" s="181" t="s">
        <v>326</v>
      </c>
      <c r="E240" s="181" t="s">
        <v>541</v>
      </c>
      <c r="F240" s="181" t="s">
        <v>542</v>
      </c>
      <c r="G240" s="181" t="s">
        <v>224</v>
      </c>
      <c r="H240" s="181" t="s">
        <v>607</v>
      </c>
      <c r="I240" s="181" t="s">
        <v>220</v>
      </c>
      <c r="J240" s="184" t="n">
        <v>38680</v>
      </c>
      <c r="K240" s="184" t="n">
        <v>15030</v>
      </c>
      <c r="L240" s="185" t="n">
        <v>27</v>
      </c>
      <c r="M240" s="173" t="n">
        <v>23650</v>
      </c>
      <c r="N240" s="184" t="n">
        <v>17264.5</v>
      </c>
      <c r="O240" s="184" t="s">
        <v>827</v>
      </c>
      <c r="P240" s="187" t="n">
        <v>45893</v>
      </c>
      <c r="Q240" s="188" t="n">
        <v>0.695335648148148</v>
      </c>
    </row>
    <row r="241" customFormat="false" ht="57.45" hidden="false" customHeight="false" outlineLevel="0" collapsed="false">
      <c r="A241" s="181" t="s">
        <v>828</v>
      </c>
      <c r="B241" s="182" t="n">
        <v>1141</v>
      </c>
      <c r="C241" s="183" t="n">
        <v>30513</v>
      </c>
      <c r="D241" s="181" t="s">
        <v>326</v>
      </c>
      <c r="E241" s="181" t="s">
        <v>399</v>
      </c>
      <c r="F241" s="181" t="s">
        <v>400</v>
      </c>
      <c r="G241" s="181" t="s">
        <v>224</v>
      </c>
      <c r="H241" s="181" t="s">
        <v>607</v>
      </c>
      <c r="I241" s="181" t="s">
        <v>220</v>
      </c>
      <c r="J241" s="184" t="n">
        <v>46570</v>
      </c>
      <c r="K241" s="184" t="n">
        <v>19430</v>
      </c>
      <c r="L241" s="185" t="n">
        <v>32</v>
      </c>
      <c r="M241" s="173" t="n">
        <v>27140</v>
      </c>
      <c r="N241" s="184" t="n">
        <v>18455.2</v>
      </c>
      <c r="O241" s="184" t="s">
        <v>829</v>
      </c>
      <c r="P241" s="187" t="n">
        <v>45893</v>
      </c>
      <c r="Q241" s="188" t="n">
        <v>0.767372685185185</v>
      </c>
    </row>
    <row r="242" customFormat="false" ht="57.45" hidden="false" customHeight="false" outlineLevel="0" collapsed="false">
      <c r="A242" s="181" t="s">
        <v>830</v>
      </c>
      <c r="B242" s="182" t="n">
        <v>1153</v>
      </c>
      <c r="C242" s="183" t="n">
        <v>58126</v>
      </c>
      <c r="D242" s="181" t="s">
        <v>831</v>
      </c>
      <c r="E242" s="181" t="s">
        <v>549</v>
      </c>
      <c r="F242" s="181" t="s">
        <v>550</v>
      </c>
      <c r="G242" s="181" t="s">
        <v>227</v>
      </c>
      <c r="H242" s="181" t="s">
        <v>832</v>
      </c>
      <c r="I242" s="181" t="s">
        <v>220</v>
      </c>
      <c r="J242" s="184" t="n">
        <v>42180</v>
      </c>
      <c r="K242" s="184" t="n">
        <v>15890</v>
      </c>
      <c r="L242" s="185" t="n">
        <v>13</v>
      </c>
      <c r="M242" s="173" t="n">
        <v>26290</v>
      </c>
      <c r="N242" s="184" t="n">
        <v>22872.3</v>
      </c>
      <c r="O242" s="184" t="s">
        <v>833</v>
      </c>
      <c r="P242" s="187" t="n">
        <v>45893</v>
      </c>
      <c r="Q242" s="188" t="n">
        <v>0.898912037037037</v>
      </c>
    </row>
    <row r="243" customFormat="false" ht="57.45" hidden="false" customHeight="false" outlineLevel="0" collapsed="false">
      <c r="A243" s="181" t="s">
        <v>834</v>
      </c>
      <c r="B243" s="182" t="n">
        <v>1154</v>
      </c>
      <c r="C243" s="183" t="n">
        <v>58128</v>
      </c>
      <c r="D243" s="181" t="s">
        <v>831</v>
      </c>
      <c r="E243" s="181" t="s">
        <v>545</v>
      </c>
      <c r="F243" s="181" t="s">
        <v>546</v>
      </c>
      <c r="G243" s="181" t="s">
        <v>227</v>
      </c>
      <c r="H243" s="181" t="s">
        <v>520</v>
      </c>
      <c r="I243" s="181" t="s">
        <v>220</v>
      </c>
      <c r="J243" s="184" t="n">
        <v>41280</v>
      </c>
      <c r="K243" s="184" t="n">
        <v>16080</v>
      </c>
      <c r="L243" s="185" t="n">
        <v>14</v>
      </c>
      <c r="M243" s="173" t="n">
        <v>25200</v>
      </c>
      <c r="N243" s="184" t="n">
        <v>21672</v>
      </c>
      <c r="O243" s="184" t="s">
        <v>835</v>
      </c>
      <c r="P243" s="187" t="n">
        <v>45893</v>
      </c>
      <c r="Q243" s="188" t="n">
        <v>0.918472222222222</v>
      </c>
    </row>
    <row r="244" customFormat="false" ht="57.45" hidden="false" customHeight="false" outlineLevel="0" collapsed="false">
      <c r="A244" s="181" t="s">
        <v>836</v>
      </c>
      <c r="B244" s="182" t="n">
        <v>1155</v>
      </c>
      <c r="C244" s="183" t="n">
        <v>58106</v>
      </c>
      <c r="D244" s="181" t="s">
        <v>831</v>
      </c>
      <c r="E244" s="181" t="s">
        <v>277</v>
      </c>
      <c r="F244" s="181" t="s">
        <v>278</v>
      </c>
      <c r="G244" s="181" t="s">
        <v>228</v>
      </c>
      <c r="H244" s="181" t="s">
        <v>832</v>
      </c>
      <c r="I244" s="181" t="s">
        <v>220</v>
      </c>
      <c r="J244" s="184" t="n">
        <v>41600</v>
      </c>
      <c r="K244" s="184" t="n">
        <v>15190</v>
      </c>
      <c r="L244" s="185" t="n">
        <v>21</v>
      </c>
      <c r="M244" s="173" t="n">
        <v>26410</v>
      </c>
      <c r="N244" s="184" t="n">
        <v>20863.9</v>
      </c>
      <c r="O244" s="184" t="s">
        <v>837</v>
      </c>
      <c r="P244" s="187" t="n">
        <v>45893</v>
      </c>
      <c r="Q244" s="188" t="n">
        <v>0.850613425925926</v>
      </c>
    </row>
    <row r="245" customFormat="false" ht="57.45" hidden="false" customHeight="false" outlineLevel="0" collapsed="false">
      <c r="A245" s="181" t="s">
        <v>838</v>
      </c>
      <c r="B245" s="182" t="n">
        <v>1156</v>
      </c>
      <c r="C245" s="183" t="n">
        <v>58110</v>
      </c>
      <c r="D245" s="181" t="s">
        <v>831</v>
      </c>
      <c r="E245" s="181" t="s">
        <v>354</v>
      </c>
      <c r="F245" s="181" t="s">
        <v>355</v>
      </c>
      <c r="G245" s="181" t="s">
        <v>228</v>
      </c>
      <c r="H245" s="181" t="s">
        <v>832</v>
      </c>
      <c r="I245" s="181" t="s">
        <v>220</v>
      </c>
      <c r="J245" s="184" t="n">
        <v>38150</v>
      </c>
      <c r="K245" s="184" t="n">
        <v>14700</v>
      </c>
      <c r="L245" s="185" t="n">
        <v>16</v>
      </c>
      <c r="M245" s="173" t="n">
        <v>23450</v>
      </c>
      <c r="N245" s="184" t="n">
        <v>19698</v>
      </c>
      <c r="O245" s="184" t="s">
        <v>839</v>
      </c>
      <c r="P245" s="187" t="n">
        <v>45893</v>
      </c>
      <c r="Q245" s="188" t="n">
        <v>0.855543981481482</v>
      </c>
    </row>
    <row r="246" customFormat="false" ht="57.45" hidden="false" customHeight="false" outlineLevel="0" collapsed="false">
      <c r="A246" s="181" t="s">
        <v>840</v>
      </c>
      <c r="B246" s="182" t="n">
        <v>1157</v>
      </c>
      <c r="C246" s="183" t="n">
        <v>58108</v>
      </c>
      <c r="D246" s="181" t="s">
        <v>831</v>
      </c>
      <c r="E246" s="181" t="s">
        <v>359</v>
      </c>
      <c r="F246" s="181" t="s">
        <v>360</v>
      </c>
      <c r="G246" s="181" t="s">
        <v>228</v>
      </c>
      <c r="H246" s="181" t="s">
        <v>832</v>
      </c>
      <c r="I246" s="181" t="s">
        <v>220</v>
      </c>
      <c r="J246" s="184" t="n">
        <v>37570</v>
      </c>
      <c r="K246" s="184" t="n">
        <v>14870</v>
      </c>
      <c r="L246" s="185" t="n">
        <v>18</v>
      </c>
      <c r="M246" s="173" t="n">
        <v>22700</v>
      </c>
      <c r="N246" s="184" t="n">
        <v>18614</v>
      </c>
      <c r="O246" s="184" t="s">
        <v>841</v>
      </c>
      <c r="P246" s="187" t="n">
        <v>45893</v>
      </c>
      <c r="Q246" s="188" t="n">
        <v>0.858506944444444</v>
      </c>
    </row>
    <row r="247" customFormat="false" ht="57.45" hidden="false" customHeight="false" outlineLevel="0" collapsed="false">
      <c r="A247" s="181" t="s">
        <v>842</v>
      </c>
      <c r="B247" s="182" t="n">
        <v>1158</v>
      </c>
      <c r="C247" s="183" t="n">
        <v>58112</v>
      </c>
      <c r="D247" s="181" t="s">
        <v>831</v>
      </c>
      <c r="E247" s="181" t="s">
        <v>409</v>
      </c>
      <c r="F247" s="181" t="s">
        <v>410</v>
      </c>
      <c r="G247" s="181" t="s">
        <v>228</v>
      </c>
      <c r="H247" s="181" t="s">
        <v>832</v>
      </c>
      <c r="I247" s="181" t="s">
        <v>220</v>
      </c>
      <c r="J247" s="184" t="n">
        <v>46580</v>
      </c>
      <c r="K247" s="184" t="n">
        <v>24100</v>
      </c>
      <c r="L247" s="185" t="n">
        <v>26</v>
      </c>
      <c r="M247" s="173" t="n">
        <v>22480</v>
      </c>
      <c r="N247" s="184" t="n">
        <v>16635.2</v>
      </c>
      <c r="O247" s="184" t="s">
        <v>843</v>
      </c>
      <c r="P247" s="187" t="n">
        <v>45893</v>
      </c>
      <c r="Q247" s="188" t="n">
        <v>0.938611111111111</v>
      </c>
    </row>
    <row r="248" customFormat="false" ht="57.45" hidden="false" customHeight="false" outlineLevel="0" collapsed="false">
      <c r="A248" s="181" t="s">
        <v>844</v>
      </c>
      <c r="B248" s="182" t="n">
        <v>1159</v>
      </c>
      <c r="C248" s="183" t="n">
        <v>58114</v>
      </c>
      <c r="D248" s="181" t="s">
        <v>831</v>
      </c>
      <c r="E248" s="181" t="s">
        <v>413</v>
      </c>
      <c r="F248" s="181" t="s">
        <v>414</v>
      </c>
      <c r="G248" s="181" t="s">
        <v>228</v>
      </c>
      <c r="H248" s="181" t="s">
        <v>832</v>
      </c>
      <c r="I248" s="181" t="s">
        <v>220</v>
      </c>
      <c r="J248" s="184" t="n">
        <v>42310</v>
      </c>
      <c r="K248" s="184" t="n">
        <v>15520</v>
      </c>
      <c r="L248" s="185" t="n">
        <v>34</v>
      </c>
      <c r="M248" s="173" t="n">
        <v>26790</v>
      </c>
      <c r="N248" s="184" t="n">
        <v>17681.4</v>
      </c>
      <c r="O248" s="184" t="s">
        <v>845</v>
      </c>
      <c r="P248" s="187" t="n">
        <v>45893</v>
      </c>
      <c r="Q248" s="188" t="n">
        <v>0.942106481481482</v>
      </c>
    </row>
    <row r="249" customFormat="false" ht="57.45" hidden="false" customHeight="false" outlineLevel="0" collapsed="false">
      <c r="A249" s="181" t="s">
        <v>846</v>
      </c>
      <c r="B249" s="182" t="n">
        <v>1160</v>
      </c>
      <c r="C249" s="183" t="n">
        <v>58116</v>
      </c>
      <c r="D249" s="181" t="s">
        <v>831</v>
      </c>
      <c r="E249" s="181" t="s">
        <v>336</v>
      </c>
      <c r="F249" s="181" t="s">
        <v>337</v>
      </c>
      <c r="G249" s="181" t="s">
        <v>228</v>
      </c>
      <c r="H249" s="181" t="s">
        <v>832</v>
      </c>
      <c r="I249" s="181" t="s">
        <v>220</v>
      </c>
      <c r="J249" s="184" t="n">
        <v>38570</v>
      </c>
      <c r="K249" s="184" t="n">
        <v>14470</v>
      </c>
      <c r="L249" s="185" t="n">
        <v>24</v>
      </c>
      <c r="M249" s="173" t="n">
        <v>24100</v>
      </c>
      <c r="N249" s="184" t="n">
        <v>18316</v>
      </c>
      <c r="O249" s="184" t="s">
        <v>847</v>
      </c>
      <c r="P249" s="187" t="n">
        <v>45894</v>
      </c>
      <c r="Q249" s="188" t="n">
        <v>0.48212962962963</v>
      </c>
    </row>
    <row r="250" customFormat="false" ht="57.45" hidden="false" customHeight="false" outlineLevel="0" collapsed="false">
      <c r="A250" s="181" t="s">
        <v>848</v>
      </c>
      <c r="B250" s="182" t="n">
        <v>1161</v>
      </c>
      <c r="C250" s="183" t="n">
        <v>58118</v>
      </c>
      <c r="D250" s="181" t="s">
        <v>831</v>
      </c>
      <c r="E250" s="181" t="s">
        <v>340</v>
      </c>
      <c r="F250" s="181" t="s">
        <v>341</v>
      </c>
      <c r="G250" s="181" t="s">
        <v>228</v>
      </c>
      <c r="H250" s="181" t="s">
        <v>832</v>
      </c>
      <c r="I250" s="181" t="s">
        <v>220</v>
      </c>
      <c r="J250" s="184" t="n">
        <v>39320</v>
      </c>
      <c r="K250" s="184" t="n">
        <v>15070</v>
      </c>
      <c r="L250" s="185" t="n">
        <v>26</v>
      </c>
      <c r="M250" s="173" t="n">
        <v>24250</v>
      </c>
      <c r="N250" s="184" t="n">
        <v>17945</v>
      </c>
      <c r="O250" s="184" t="s">
        <v>849</v>
      </c>
      <c r="P250" s="187" t="n">
        <v>45894</v>
      </c>
      <c r="Q250" s="188" t="n">
        <v>0.4821875</v>
      </c>
    </row>
    <row r="251" customFormat="false" ht="57.45" hidden="false" customHeight="false" outlineLevel="0" collapsed="false">
      <c r="A251" s="181" t="s">
        <v>850</v>
      </c>
      <c r="B251" s="182" t="n">
        <v>1162</v>
      </c>
      <c r="C251" s="183" t="n">
        <v>58120</v>
      </c>
      <c r="D251" s="181" t="s">
        <v>831</v>
      </c>
      <c r="E251" s="181" t="s">
        <v>439</v>
      </c>
      <c r="F251" s="181" t="s">
        <v>440</v>
      </c>
      <c r="G251" s="181" t="s">
        <v>228</v>
      </c>
      <c r="H251" s="181" t="s">
        <v>832</v>
      </c>
      <c r="I251" s="181" t="s">
        <v>220</v>
      </c>
      <c r="J251" s="184" t="n">
        <v>40430</v>
      </c>
      <c r="K251" s="184" t="n">
        <v>16390</v>
      </c>
      <c r="L251" s="185" t="n">
        <v>29</v>
      </c>
      <c r="M251" s="173" t="n">
        <v>24040</v>
      </c>
      <c r="N251" s="184" t="n">
        <v>17068.4</v>
      </c>
      <c r="O251" s="184" t="s">
        <v>851</v>
      </c>
      <c r="P251" s="187" t="n">
        <v>45894</v>
      </c>
      <c r="Q251" s="188" t="n">
        <v>0.48224537037037</v>
      </c>
    </row>
    <row r="252" customFormat="false" ht="57.45" hidden="false" customHeight="false" outlineLevel="0" collapsed="false">
      <c r="A252" s="181" t="s">
        <v>852</v>
      </c>
      <c r="B252" s="182" t="n">
        <v>1163</v>
      </c>
      <c r="C252" s="183" t="n">
        <v>58122</v>
      </c>
      <c r="D252" s="181" t="s">
        <v>831</v>
      </c>
      <c r="E252" s="181" t="s">
        <v>431</v>
      </c>
      <c r="F252" s="181" t="s">
        <v>432</v>
      </c>
      <c r="G252" s="181" t="s">
        <v>228</v>
      </c>
      <c r="H252" s="181" t="s">
        <v>832</v>
      </c>
      <c r="I252" s="181" t="s">
        <v>220</v>
      </c>
      <c r="J252" s="184" t="n">
        <v>38750</v>
      </c>
      <c r="K252" s="184" t="n">
        <v>16580</v>
      </c>
      <c r="L252" s="185" t="n">
        <v>33</v>
      </c>
      <c r="M252" s="173" t="n">
        <v>22170</v>
      </c>
      <c r="N252" s="184" t="n">
        <v>14853.9</v>
      </c>
      <c r="O252" s="184" t="s">
        <v>853</v>
      </c>
      <c r="P252" s="187" t="n">
        <v>45894</v>
      </c>
      <c r="Q252" s="188" t="n">
        <v>0.482280092592593</v>
      </c>
    </row>
    <row r="253" customFormat="false" ht="57.45" hidden="false" customHeight="false" outlineLevel="0" collapsed="false">
      <c r="A253" s="181" t="s">
        <v>854</v>
      </c>
      <c r="B253" s="182" t="n">
        <v>1164</v>
      </c>
      <c r="C253" s="183" t="n">
        <v>58124</v>
      </c>
      <c r="D253" s="181" t="s">
        <v>831</v>
      </c>
      <c r="E253" s="181" t="s">
        <v>435</v>
      </c>
      <c r="F253" s="181" t="s">
        <v>436</v>
      </c>
      <c r="G253" s="181" t="s">
        <v>228</v>
      </c>
      <c r="H253" s="181" t="s">
        <v>832</v>
      </c>
      <c r="I253" s="181" t="s">
        <v>220</v>
      </c>
      <c r="J253" s="184" t="n">
        <v>39920</v>
      </c>
      <c r="K253" s="184" t="n">
        <v>16380</v>
      </c>
      <c r="L253" s="185" t="n">
        <v>36</v>
      </c>
      <c r="M253" s="173" t="n">
        <v>23540</v>
      </c>
      <c r="N253" s="184" t="n">
        <v>15065.6</v>
      </c>
      <c r="O253" s="184" t="s">
        <v>855</v>
      </c>
      <c r="P253" s="187" t="n">
        <v>45894</v>
      </c>
      <c r="Q253" s="188" t="n">
        <v>0.482326388888889</v>
      </c>
    </row>
    <row r="254" customFormat="false" ht="57.45" hidden="false" customHeight="false" outlineLevel="0" collapsed="false">
      <c r="A254" s="181" t="s">
        <v>856</v>
      </c>
      <c r="B254" s="182" t="n">
        <v>1165</v>
      </c>
      <c r="C254" s="183" t="n">
        <v>58154</v>
      </c>
      <c r="D254" s="181" t="s">
        <v>831</v>
      </c>
      <c r="E254" s="181" t="s">
        <v>308</v>
      </c>
      <c r="F254" s="181" t="s">
        <v>309</v>
      </c>
      <c r="G254" s="181" t="s">
        <v>228</v>
      </c>
      <c r="H254" s="181" t="s">
        <v>832</v>
      </c>
      <c r="I254" s="181" t="s">
        <v>220</v>
      </c>
      <c r="J254" s="184" t="n">
        <v>45140</v>
      </c>
      <c r="K254" s="184" t="n">
        <v>24130</v>
      </c>
      <c r="L254" s="185" t="n">
        <v>40</v>
      </c>
      <c r="M254" s="173" t="n">
        <v>21010</v>
      </c>
      <c r="N254" s="184" t="n">
        <v>12606</v>
      </c>
      <c r="O254" s="184" t="s">
        <v>857</v>
      </c>
      <c r="P254" s="187" t="n">
        <v>45894</v>
      </c>
      <c r="Q254" s="188" t="n">
        <v>0.482407407407407</v>
      </c>
    </row>
    <row r="255" customFormat="false" ht="57.45" hidden="false" customHeight="false" outlineLevel="0" collapsed="false">
      <c r="A255" s="181" t="s">
        <v>858</v>
      </c>
      <c r="B255" s="182" t="n">
        <v>1174</v>
      </c>
      <c r="C255" s="183" t="n">
        <v>58156</v>
      </c>
      <c r="D255" s="181" t="s">
        <v>831</v>
      </c>
      <c r="E255" s="181" t="s">
        <v>377</v>
      </c>
      <c r="F255" s="181" t="s">
        <v>378</v>
      </c>
      <c r="G255" s="181" t="s">
        <v>228</v>
      </c>
      <c r="H255" s="181" t="s">
        <v>832</v>
      </c>
      <c r="I255" s="181" t="s">
        <v>220</v>
      </c>
      <c r="J255" s="184" t="n">
        <v>35480</v>
      </c>
      <c r="K255" s="184" t="n">
        <v>15610</v>
      </c>
      <c r="L255" s="185" t="n">
        <v>20</v>
      </c>
      <c r="M255" s="173" t="n">
        <v>19870</v>
      </c>
      <c r="N255" s="184" t="n">
        <v>15896</v>
      </c>
      <c r="O255" s="184" t="s">
        <v>859</v>
      </c>
      <c r="P255" s="187" t="n">
        <v>45894</v>
      </c>
      <c r="Q255" s="188" t="n">
        <v>0.811631944444444</v>
      </c>
    </row>
    <row r="256" customFormat="false" ht="57.45" hidden="false" customHeight="false" outlineLevel="0" collapsed="false">
      <c r="A256" s="181" t="s">
        <v>860</v>
      </c>
      <c r="B256" s="182" t="n">
        <v>1175</v>
      </c>
      <c r="C256" s="183" t="n">
        <v>59158</v>
      </c>
      <c r="D256" s="181" t="s">
        <v>831</v>
      </c>
      <c r="E256" s="181" t="s">
        <v>288</v>
      </c>
      <c r="F256" s="181" t="s">
        <v>289</v>
      </c>
      <c r="G256" s="181" t="s">
        <v>228</v>
      </c>
      <c r="H256" s="181" t="s">
        <v>832</v>
      </c>
      <c r="I256" s="181" t="s">
        <v>220</v>
      </c>
      <c r="J256" s="184" t="n">
        <v>36080</v>
      </c>
      <c r="K256" s="184" t="n">
        <v>14590</v>
      </c>
      <c r="L256" s="185" t="n">
        <v>25</v>
      </c>
      <c r="M256" s="173" t="n">
        <v>21490</v>
      </c>
      <c r="N256" s="184" t="n">
        <v>16117.5</v>
      </c>
      <c r="O256" s="184" t="s">
        <v>861</v>
      </c>
      <c r="P256" s="187" t="n">
        <v>45894</v>
      </c>
      <c r="Q256" s="188" t="n">
        <v>0.869918981481482</v>
      </c>
    </row>
    <row r="257" customFormat="false" ht="57.45" hidden="false" customHeight="false" outlineLevel="0" collapsed="false">
      <c r="A257" s="181" t="s">
        <v>862</v>
      </c>
      <c r="B257" s="182" t="n">
        <v>1176</v>
      </c>
      <c r="C257" s="183" t="n">
        <v>58162</v>
      </c>
      <c r="D257" s="181" t="s">
        <v>831</v>
      </c>
      <c r="E257" s="181" t="s">
        <v>373</v>
      </c>
      <c r="F257" s="181" t="s">
        <v>374</v>
      </c>
      <c r="G257" s="181" t="s">
        <v>228</v>
      </c>
      <c r="H257" s="181" t="s">
        <v>832</v>
      </c>
      <c r="I257" s="181" t="s">
        <v>220</v>
      </c>
      <c r="J257" s="184" t="n">
        <v>39500</v>
      </c>
      <c r="K257" s="184" t="n">
        <v>14430</v>
      </c>
      <c r="L257" s="185" t="n">
        <v>27</v>
      </c>
      <c r="M257" s="173" t="n">
        <v>25070</v>
      </c>
      <c r="N257" s="184" t="n">
        <v>18301.1</v>
      </c>
      <c r="O257" s="184" t="s">
        <v>863</v>
      </c>
      <c r="P257" s="187" t="n">
        <v>45894</v>
      </c>
      <c r="Q257" s="188" t="n">
        <v>0.904039351851852</v>
      </c>
    </row>
    <row r="258" customFormat="false" ht="57.45" hidden="false" customHeight="false" outlineLevel="0" collapsed="false">
      <c r="A258" s="181" t="s">
        <v>864</v>
      </c>
      <c r="B258" s="182" t="n">
        <v>1177</v>
      </c>
      <c r="C258" s="183" t="n">
        <v>58167</v>
      </c>
      <c r="D258" s="181" t="s">
        <v>831</v>
      </c>
      <c r="E258" s="181" t="s">
        <v>387</v>
      </c>
      <c r="F258" s="181" t="s">
        <v>388</v>
      </c>
      <c r="G258" s="181" t="s">
        <v>228</v>
      </c>
      <c r="H258" s="181" t="s">
        <v>832</v>
      </c>
      <c r="I258" s="181" t="s">
        <v>220</v>
      </c>
      <c r="J258" s="184" t="n">
        <v>39030</v>
      </c>
      <c r="K258" s="184" t="n">
        <v>14970</v>
      </c>
      <c r="L258" s="185" t="n">
        <v>26</v>
      </c>
      <c r="M258" s="173" t="n">
        <v>24060</v>
      </c>
      <c r="N258" s="184" t="n">
        <v>17804.4</v>
      </c>
      <c r="O258" s="184" t="s">
        <v>865</v>
      </c>
      <c r="P258" s="187" t="n">
        <v>45894</v>
      </c>
      <c r="Q258" s="188" t="n">
        <v>0.950856481481482</v>
      </c>
    </row>
    <row r="259" customFormat="false" ht="57.45" hidden="false" customHeight="false" outlineLevel="0" collapsed="false">
      <c r="A259" s="181" t="s">
        <v>866</v>
      </c>
      <c r="B259" s="182" t="n">
        <v>1178</v>
      </c>
      <c r="C259" s="183" t="n">
        <v>58171</v>
      </c>
      <c r="D259" s="181" t="s">
        <v>831</v>
      </c>
      <c r="E259" s="181" t="s">
        <v>300</v>
      </c>
      <c r="F259" s="181" t="s">
        <v>301</v>
      </c>
      <c r="G259" s="181" t="s">
        <v>228</v>
      </c>
      <c r="H259" s="181" t="s">
        <v>832</v>
      </c>
      <c r="I259" s="181" t="s">
        <v>220</v>
      </c>
      <c r="J259" s="184" t="n">
        <v>46750</v>
      </c>
      <c r="K259" s="184" t="n">
        <v>20970</v>
      </c>
      <c r="L259" s="185" t="n">
        <v>21</v>
      </c>
      <c r="M259" s="173" t="n">
        <v>25780</v>
      </c>
      <c r="N259" s="184" t="n">
        <v>20366.2</v>
      </c>
      <c r="O259" s="184" t="s">
        <v>867</v>
      </c>
      <c r="P259" s="187" t="n">
        <v>45894</v>
      </c>
      <c r="Q259" s="188" t="n">
        <v>0.955381944444445</v>
      </c>
    </row>
    <row r="260" customFormat="false" ht="57.45" hidden="false" customHeight="false" outlineLevel="0" collapsed="false">
      <c r="A260" s="181" t="s">
        <v>868</v>
      </c>
      <c r="B260" s="182" t="n">
        <v>1179</v>
      </c>
      <c r="C260" s="183" t="n">
        <v>58180</v>
      </c>
      <c r="D260" s="181" t="s">
        <v>831</v>
      </c>
      <c r="E260" s="181" t="s">
        <v>541</v>
      </c>
      <c r="F260" s="181" t="s">
        <v>542</v>
      </c>
      <c r="G260" s="181" t="s">
        <v>228</v>
      </c>
      <c r="H260" s="181" t="s">
        <v>832</v>
      </c>
      <c r="I260" s="181" t="s">
        <v>220</v>
      </c>
      <c r="J260" s="184" t="n">
        <v>38020</v>
      </c>
      <c r="K260" s="184" t="n">
        <v>15000</v>
      </c>
      <c r="L260" s="185" t="n">
        <v>18</v>
      </c>
      <c r="M260" s="173" t="n">
        <v>23020</v>
      </c>
      <c r="N260" s="184" t="n">
        <v>18876.4</v>
      </c>
      <c r="O260" s="184" t="s">
        <v>869</v>
      </c>
      <c r="P260" s="187" t="n">
        <v>45895</v>
      </c>
      <c r="Q260" s="188" t="n">
        <v>0.467789351851852</v>
      </c>
    </row>
    <row r="261" customFormat="false" ht="57.45" hidden="false" customHeight="false" outlineLevel="0" collapsed="false">
      <c r="A261" s="181" t="s">
        <v>870</v>
      </c>
      <c r="B261" s="182" t="n">
        <v>1180</v>
      </c>
      <c r="C261" s="183" t="n">
        <v>58186</v>
      </c>
      <c r="D261" s="181" t="s">
        <v>831</v>
      </c>
      <c r="E261" s="181" t="s">
        <v>332</v>
      </c>
      <c r="F261" s="181" t="s">
        <v>333</v>
      </c>
      <c r="G261" s="181" t="s">
        <v>228</v>
      </c>
      <c r="H261" s="181" t="s">
        <v>832</v>
      </c>
      <c r="I261" s="181" t="s">
        <v>220</v>
      </c>
      <c r="J261" s="184" t="n">
        <v>35880</v>
      </c>
      <c r="K261" s="184" t="n">
        <v>14730</v>
      </c>
      <c r="L261" s="185" t="n">
        <v>15</v>
      </c>
      <c r="M261" s="173" t="n">
        <v>21150</v>
      </c>
      <c r="N261" s="184" t="n">
        <v>17977.5</v>
      </c>
      <c r="O261" s="184" t="s">
        <v>871</v>
      </c>
      <c r="P261" s="187" t="n">
        <v>45895</v>
      </c>
      <c r="Q261" s="188" t="n">
        <v>0.467824074074074</v>
      </c>
    </row>
    <row r="262" customFormat="false" ht="57.45" hidden="false" customHeight="false" outlineLevel="0" collapsed="false">
      <c r="A262" s="181" t="s">
        <v>872</v>
      </c>
      <c r="B262" s="182" t="n">
        <v>1181</v>
      </c>
      <c r="C262" s="183" t="n">
        <v>58188</v>
      </c>
      <c r="D262" s="181" t="s">
        <v>831</v>
      </c>
      <c r="E262" s="181" t="s">
        <v>533</v>
      </c>
      <c r="F262" s="181" t="s">
        <v>534</v>
      </c>
      <c r="G262" s="181" t="s">
        <v>228</v>
      </c>
      <c r="H262" s="181" t="s">
        <v>832</v>
      </c>
      <c r="I262" s="181" t="s">
        <v>220</v>
      </c>
      <c r="J262" s="184" t="n">
        <v>39250</v>
      </c>
      <c r="K262" s="184" t="n">
        <v>14660</v>
      </c>
      <c r="L262" s="185" t="n">
        <v>12</v>
      </c>
      <c r="M262" s="173" t="n">
        <v>24590</v>
      </c>
      <c r="N262" s="184" t="n">
        <v>21639.2</v>
      </c>
      <c r="O262" s="184" t="s">
        <v>873</v>
      </c>
      <c r="P262" s="187" t="n">
        <v>45895</v>
      </c>
      <c r="Q262" s="188" t="n">
        <v>0.467858796296296</v>
      </c>
    </row>
    <row r="263" customFormat="false" ht="57.45" hidden="false" customHeight="false" outlineLevel="0" collapsed="false">
      <c r="A263" s="181" t="s">
        <v>874</v>
      </c>
      <c r="B263" s="182" t="n">
        <v>1182</v>
      </c>
      <c r="C263" s="183" t="n">
        <v>58182</v>
      </c>
      <c r="D263" s="181" t="s">
        <v>831</v>
      </c>
      <c r="E263" s="181" t="s">
        <v>354</v>
      </c>
      <c r="F263" s="181" t="s">
        <v>355</v>
      </c>
      <c r="G263" s="181" t="s">
        <v>228</v>
      </c>
      <c r="H263" s="181" t="s">
        <v>832</v>
      </c>
      <c r="I263" s="181" t="s">
        <v>220</v>
      </c>
      <c r="J263" s="184" t="n">
        <v>37970</v>
      </c>
      <c r="K263" s="184" t="n">
        <v>14700</v>
      </c>
      <c r="L263" s="185" t="n">
        <v>12</v>
      </c>
      <c r="M263" s="173" t="n">
        <v>23270</v>
      </c>
      <c r="N263" s="184" t="n">
        <v>20477.6</v>
      </c>
      <c r="O263" s="184" t="s">
        <v>875</v>
      </c>
      <c r="P263" s="187" t="n">
        <v>45895</v>
      </c>
      <c r="Q263" s="188" t="n">
        <v>0.139849537037037</v>
      </c>
    </row>
    <row r="264" customFormat="false" ht="57.45" hidden="false" customHeight="false" outlineLevel="0" collapsed="false">
      <c r="A264" s="181" t="s">
        <v>876</v>
      </c>
      <c r="B264" s="182" t="n">
        <v>1183</v>
      </c>
      <c r="C264" s="183" t="n">
        <v>58184</v>
      </c>
      <c r="D264" s="181" t="s">
        <v>831</v>
      </c>
      <c r="E264" s="181" t="s">
        <v>359</v>
      </c>
      <c r="F264" s="181" t="s">
        <v>360</v>
      </c>
      <c r="G264" s="181" t="s">
        <v>228</v>
      </c>
      <c r="H264" s="181" t="s">
        <v>832</v>
      </c>
      <c r="I264" s="181" t="s">
        <v>220</v>
      </c>
      <c r="J264" s="184" t="n">
        <v>35660</v>
      </c>
      <c r="K264" s="184" t="n">
        <v>14900</v>
      </c>
      <c r="L264" s="185" t="n">
        <v>16</v>
      </c>
      <c r="M264" s="173" t="n">
        <v>20760</v>
      </c>
      <c r="N264" s="184" t="n">
        <v>17438.4</v>
      </c>
      <c r="O264" s="184" t="s">
        <v>877</v>
      </c>
      <c r="P264" s="187" t="n">
        <v>45895</v>
      </c>
      <c r="Q264" s="188" t="n">
        <v>0.142534722222222</v>
      </c>
    </row>
    <row r="265" customFormat="false" ht="57.45" hidden="false" customHeight="false" outlineLevel="0" collapsed="false">
      <c r="A265" s="181" t="s">
        <v>878</v>
      </c>
      <c r="B265" s="182" t="n">
        <v>1184</v>
      </c>
      <c r="C265" s="183" t="n">
        <v>58192</v>
      </c>
      <c r="D265" s="181" t="s">
        <v>831</v>
      </c>
      <c r="E265" s="181" t="s">
        <v>545</v>
      </c>
      <c r="F265" s="181" t="s">
        <v>546</v>
      </c>
      <c r="G265" s="181" t="s">
        <v>228</v>
      </c>
      <c r="H265" s="181" t="s">
        <v>832</v>
      </c>
      <c r="I265" s="181" t="s">
        <v>220</v>
      </c>
      <c r="J265" s="184" t="n">
        <v>41750</v>
      </c>
      <c r="K265" s="184" t="n">
        <v>16150</v>
      </c>
      <c r="L265" s="185" t="n">
        <v>13</v>
      </c>
      <c r="M265" s="173" t="n">
        <v>25600</v>
      </c>
      <c r="N265" s="184" t="n">
        <v>22272</v>
      </c>
      <c r="O265" s="184" t="s">
        <v>879</v>
      </c>
      <c r="P265" s="187" t="n">
        <v>45895</v>
      </c>
      <c r="Q265" s="188" t="n">
        <v>0.199675925925926</v>
      </c>
    </row>
    <row r="266" customFormat="false" ht="57.45" hidden="false" customHeight="false" outlineLevel="0" collapsed="false">
      <c r="A266" s="181" t="s">
        <v>880</v>
      </c>
      <c r="B266" s="182" t="n">
        <v>1185</v>
      </c>
      <c r="C266" s="183" t="n">
        <v>58190</v>
      </c>
      <c r="D266" s="181" t="s">
        <v>831</v>
      </c>
      <c r="E266" s="181" t="s">
        <v>537</v>
      </c>
      <c r="F266" s="181" t="s">
        <v>538</v>
      </c>
      <c r="G266" s="181" t="s">
        <v>228</v>
      </c>
      <c r="H266" s="181" t="s">
        <v>832</v>
      </c>
      <c r="I266" s="181" t="s">
        <v>220</v>
      </c>
      <c r="J266" s="184" t="n">
        <v>35590</v>
      </c>
      <c r="K266" s="184" t="n">
        <v>13980</v>
      </c>
      <c r="L266" s="185" t="n">
        <v>12</v>
      </c>
      <c r="M266" s="173" t="n">
        <v>21610</v>
      </c>
      <c r="N266" s="184" t="n">
        <v>19016.8</v>
      </c>
      <c r="O266" s="184" t="s">
        <v>881</v>
      </c>
      <c r="P266" s="187" t="n">
        <v>45895</v>
      </c>
      <c r="Q266" s="188" t="n">
        <v>0.218796296296296</v>
      </c>
    </row>
    <row r="267" customFormat="false" ht="57.45" hidden="false" customHeight="false" outlineLevel="0" collapsed="false">
      <c r="A267" s="181" t="s">
        <v>882</v>
      </c>
      <c r="B267" s="182" t="n">
        <v>1186</v>
      </c>
      <c r="C267" s="183" t="n">
        <v>58194</v>
      </c>
      <c r="D267" s="181" t="s">
        <v>831</v>
      </c>
      <c r="E267" s="181" t="s">
        <v>549</v>
      </c>
      <c r="F267" s="181" t="s">
        <v>550</v>
      </c>
      <c r="G267" s="181" t="s">
        <v>228</v>
      </c>
      <c r="H267" s="181" t="s">
        <v>832</v>
      </c>
      <c r="I267" s="181" t="s">
        <v>220</v>
      </c>
      <c r="J267" s="184" t="n">
        <v>41240</v>
      </c>
      <c r="K267" s="184" t="n">
        <v>15930</v>
      </c>
      <c r="L267" s="185" t="n">
        <v>12</v>
      </c>
      <c r="M267" s="173" t="n">
        <v>25310</v>
      </c>
      <c r="N267" s="184" t="n">
        <v>22272.8</v>
      </c>
      <c r="O267" s="184" t="s">
        <v>883</v>
      </c>
      <c r="P267" s="187" t="n">
        <v>45895</v>
      </c>
      <c r="Q267" s="188" t="n">
        <v>0.245219907407407</v>
      </c>
    </row>
    <row r="268" customFormat="false" ht="57.45" hidden="false" customHeight="false" outlineLevel="0" collapsed="false">
      <c r="A268" s="181" t="s">
        <v>884</v>
      </c>
      <c r="B268" s="182" t="n">
        <v>1188</v>
      </c>
      <c r="C268" s="183" t="n">
        <v>58196</v>
      </c>
      <c r="D268" s="181" t="s">
        <v>831</v>
      </c>
      <c r="E268" s="181" t="s">
        <v>346</v>
      </c>
      <c r="F268" s="181" t="s">
        <v>347</v>
      </c>
      <c r="G268" s="181" t="s">
        <v>228</v>
      </c>
      <c r="H268" s="181" t="s">
        <v>832</v>
      </c>
      <c r="I268" s="181" t="s">
        <v>220</v>
      </c>
      <c r="J268" s="184" t="n">
        <v>37590</v>
      </c>
      <c r="K268" s="184" t="n">
        <v>14940</v>
      </c>
      <c r="L268" s="185" t="n">
        <v>16</v>
      </c>
      <c r="M268" s="173" t="n">
        <v>22650</v>
      </c>
      <c r="N268" s="184" t="n">
        <v>19026</v>
      </c>
      <c r="O268" s="184" t="s">
        <v>885</v>
      </c>
      <c r="P268" s="187" t="n">
        <v>45895</v>
      </c>
      <c r="Q268" s="188" t="n">
        <v>0.308206018518519</v>
      </c>
    </row>
    <row r="269" customFormat="false" ht="57.45" hidden="false" customHeight="false" outlineLevel="0" collapsed="false">
      <c r="A269" s="181" t="s">
        <v>886</v>
      </c>
      <c r="B269" s="182" t="n">
        <v>1190</v>
      </c>
      <c r="C269" s="183" t="n">
        <v>58208</v>
      </c>
      <c r="D269" s="181" t="s">
        <v>831</v>
      </c>
      <c r="E269" s="181" t="s">
        <v>529</v>
      </c>
      <c r="F269" s="181" t="s">
        <v>530</v>
      </c>
      <c r="G269" s="181" t="s">
        <v>228</v>
      </c>
      <c r="H269" s="181" t="s">
        <v>832</v>
      </c>
      <c r="I269" s="181" t="s">
        <v>220</v>
      </c>
      <c r="J269" s="184" t="n">
        <v>36240</v>
      </c>
      <c r="K269" s="184" t="n">
        <v>14830</v>
      </c>
      <c r="L269" s="185" t="n">
        <v>5</v>
      </c>
      <c r="M269" s="173" t="n">
        <v>21410</v>
      </c>
      <c r="N269" s="184" t="n">
        <v>20339.5</v>
      </c>
      <c r="O269" s="184" t="s">
        <v>887</v>
      </c>
      <c r="P269" s="187" t="n">
        <v>45895</v>
      </c>
      <c r="Q269" s="188" t="n">
        <v>0.368506944444444</v>
      </c>
    </row>
    <row r="270" customFormat="false" ht="57.45" hidden="false" customHeight="false" outlineLevel="0" collapsed="false">
      <c r="A270" s="181" t="s">
        <v>888</v>
      </c>
      <c r="B270" s="182" t="n">
        <v>1191</v>
      </c>
      <c r="C270" s="183" t="n">
        <v>58210</v>
      </c>
      <c r="D270" s="181" t="s">
        <v>831</v>
      </c>
      <c r="E270" s="181" t="s">
        <v>391</v>
      </c>
      <c r="F270" s="181" t="s">
        <v>392</v>
      </c>
      <c r="G270" s="181" t="s">
        <v>228</v>
      </c>
      <c r="H270" s="181" t="s">
        <v>832</v>
      </c>
      <c r="I270" s="181" t="s">
        <v>220</v>
      </c>
      <c r="J270" s="184" t="n">
        <v>34770</v>
      </c>
      <c r="K270" s="184" t="n">
        <v>14480</v>
      </c>
      <c r="L270" s="185" t="n">
        <v>6</v>
      </c>
      <c r="M270" s="173" t="n">
        <v>20290</v>
      </c>
      <c r="N270" s="184" t="n">
        <v>19072.6</v>
      </c>
      <c r="O270" s="184" t="s">
        <v>889</v>
      </c>
      <c r="P270" s="187" t="n">
        <v>45895</v>
      </c>
      <c r="Q270" s="188" t="n">
        <v>0.3725</v>
      </c>
    </row>
    <row r="271" customFormat="false" ht="57.45" hidden="false" customHeight="false" outlineLevel="0" collapsed="false">
      <c r="A271" s="181" t="s">
        <v>890</v>
      </c>
      <c r="B271" s="182" t="n">
        <v>1192</v>
      </c>
      <c r="C271" s="183" t="n">
        <v>58213</v>
      </c>
      <c r="D271" s="181" t="s">
        <v>831</v>
      </c>
      <c r="E271" s="181" t="s">
        <v>277</v>
      </c>
      <c r="F271" s="181" t="s">
        <v>278</v>
      </c>
      <c r="G271" s="181" t="s">
        <v>228</v>
      </c>
      <c r="H271" s="181" t="s">
        <v>832</v>
      </c>
      <c r="I271" s="181" t="s">
        <v>220</v>
      </c>
      <c r="J271" s="184" t="n">
        <v>41230</v>
      </c>
      <c r="K271" s="184" t="n">
        <v>15190</v>
      </c>
      <c r="L271" s="185" t="n">
        <v>5</v>
      </c>
      <c r="M271" s="173" t="n">
        <v>26040</v>
      </c>
      <c r="N271" s="184" t="n">
        <v>24738</v>
      </c>
      <c r="O271" s="184" t="s">
        <v>891</v>
      </c>
      <c r="P271" s="187" t="n">
        <v>45895</v>
      </c>
      <c r="Q271" s="188" t="n">
        <v>0.380046296296296</v>
      </c>
    </row>
    <row r="272" customFormat="false" ht="57.45" hidden="false" customHeight="false" outlineLevel="0" collapsed="false">
      <c r="A272" s="181" t="s">
        <v>892</v>
      </c>
      <c r="B272" s="182" t="n">
        <v>1193</v>
      </c>
      <c r="C272" s="183" t="n">
        <v>58217</v>
      </c>
      <c r="D272" s="181" t="s">
        <v>831</v>
      </c>
      <c r="E272" s="181" t="s">
        <v>308</v>
      </c>
      <c r="F272" s="181" t="s">
        <v>309</v>
      </c>
      <c r="G272" s="181" t="s">
        <v>228</v>
      </c>
      <c r="H272" s="181" t="s">
        <v>832</v>
      </c>
      <c r="I272" s="181" t="s">
        <v>220</v>
      </c>
      <c r="J272" s="184" t="n">
        <v>45590</v>
      </c>
      <c r="K272" s="184" t="n">
        <v>24080</v>
      </c>
      <c r="L272" s="185" t="n">
        <v>6</v>
      </c>
      <c r="M272" s="173" t="n">
        <v>21510</v>
      </c>
      <c r="N272" s="184" t="n">
        <v>20219.4</v>
      </c>
      <c r="O272" s="184" t="s">
        <v>893</v>
      </c>
      <c r="P272" s="187" t="n">
        <v>45895</v>
      </c>
      <c r="Q272" s="188" t="n">
        <v>0.441087962962963</v>
      </c>
    </row>
    <row r="273" customFormat="false" ht="57.45" hidden="false" customHeight="false" outlineLevel="0" collapsed="false">
      <c r="A273" s="181" t="s">
        <v>894</v>
      </c>
      <c r="B273" s="182" t="n">
        <v>1194</v>
      </c>
      <c r="C273" s="183" t="n">
        <v>58215</v>
      </c>
      <c r="D273" s="181" t="s">
        <v>831</v>
      </c>
      <c r="E273" s="181" t="s">
        <v>292</v>
      </c>
      <c r="F273" s="181" t="s">
        <v>293</v>
      </c>
      <c r="G273" s="181" t="s">
        <v>228</v>
      </c>
      <c r="H273" s="181" t="s">
        <v>832</v>
      </c>
      <c r="I273" s="181" t="s">
        <v>220</v>
      </c>
      <c r="J273" s="184" t="n">
        <v>36300</v>
      </c>
      <c r="K273" s="184" t="n">
        <v>13930</v>
      </c>
      <c r="L273" s="185" t="n">
        <v>5</v>
      </c>
      <c r="M273" s="173" t="n">
        <v>22370</v>
      </c>
      <c r="N273" s="184" t="n">
        <v>21251.5</v>
      </c>
      <c r="O273" s="184" t="s">
        <v>895</v>
      </c>
      <c r="P273" s="187" t="n">
        <v>45895</v>
      </c>
      <c r="Q273" s="188" t="n">
        <v>0.449768518518519</v>
      </c>
    </row>
    <row r="274" customFormat="false" ht="57.45" hidden="false" customHeight="false" outlineLevel="0" collapsed="false">
      <c r="A274" s="181" t="s">
        <v>896</v>
      </c>
      <c r="B274" s="182" t="n">
        <v>1195</v>
      </c>
      <c r="C274" s="183" t="n">
        <v>58219</v>
      </c>
      <c r="D274" s="181" t="s">
        <v>831</v>
      </c>
      <c r="E274" s="181" t="s">
        <v>399</v>
      </c>
      <c r="F274" s="181" t="s">
        <v>400</v>
      </c>
      <c r="G274" s="181" t="s">
        <v>228</v>
      </c>
      <c r="H274" s="181" t="s">
        <v>832</v>
      </c>
      <c r="I274" s="181" t="s">
        <v>220</v>
      </c>
      <c r="J274" s="184" t="n">
        <v>44000</v>
      </c>
      <c r="K274" s="184" t="n">
        <v>19360</v>
      </c>
      <c r="L274" s="185" t="n">
        <v>7</v>
      </c>
      <c r="M274" s="173" t="n">
        <v>24640</v>
      </c>
      <c r="N274" s="184" t="n">
        <v>22915.2</v>
      </c>
      <c r="O274" s="184" t="s">
        <v>897</v>
      </c>
      <c r="P274" s="187" t="n">
        <v>45895</v>
      </c>
      <c r="Q274" s="188" t="n">
        <v>0.546006944444444</v>
      </c>
    </row>
    <row r="275" customFormat="false" ht="57.45" hidden="false" customHeight="false" outlineLevel="0" collapsed="false">
      <c r="A275" s="181" t="s">
        <v>898</v>
      </c>
      <c r="B275" s="182" t="n">
        <v>1196</v>
      </c>
      <c r="C275" s="183" t="n">
        <v>58221</v>
      </c>
      <c r="D275" s="181" t="s">
        <v>831</v>
      </c>
      <c r="E275" s="181" t="s">
        <v>576</v>
      </c>
      <c r="F275" s="181" t="s">
        <v>577</v>
      </c>
      <c r="G275" s="181" t="s">
        <v>228</v>
      </c>
      <c r="H275" s="181" t="s">
        <v>832</v>
      </c>
      <c r="I275" s="181" t="s">
        <v>220</v>
      </c>
      <c r="J275" s="184" t="n">
        <v>37250</v>
      </c>
      <c r="K275" s="184" t="n">
        <v>14460</v>
      </c>
      <c r="L275" s="185" t="n">
        <v>12</v>
      </c>
      <c r="M275" s="173" t="n">
        <v>22790</v>
      </c>
      <c r="N275" s="184" t="n">
        <v>20055.2</v>
      </c>
      <c r="O275" s="184" t="s">
        <v>899</v>
      </c>
      <c r="P275" s="187" t="n">
        <v>45895</v>
      </c>
      <c r="Q275" s="188" t="n">
        <v>0.65931712962963</v>
      </c>
    </row>
    <row r="276" customFormat="false" ht="57.45" hidden="false" customHeight="false" outlineLevel="0" collapsed="false">
      <c r="A276" s="181" t="s">
        <v>900</v>
      </c>
      <c r="B276" s="182" t="n">
        <v>1199</v>
      </c>
      <c r="C276" s="183" t="n">
        <v>58229</v>
      </c>
      <c r="D276" s="181" t="s">
        <v>831</v>
      </c>
      <c r="E276" s="181" t="s">
        <v>901</v>
      </c>
      <c r="F276" s="181" t="s">
        <v>902</v>
      </c>
      <c r="G276" s="181" t="s">
        <v>228</v>
      </c>
      <c r="H276" s="181" t="s">
        <v>832</v>
      </c>
      <c r="I276" s="181" t="s">
        <v>220</v>
      </c>
      <c r="J276" s="184" t="n">
        <v>37210</v>
      </c>
      <c r="K276" s="184" t="n">
        <v>14650</v>
      </c>
      <c r="L276" s="185" t="n">
        <v>9</v>
      </c>
      <c r="M276" s="173" t="n">
        <v>22560</v>
      </c>
      <c r="N276" s="184" t="n">
        <v>20529.6</v>
      </c>
      <c r="O276" s="184" t="s">
        <v>903</v>
      </c>
      <c r="P276" s="187" t="n">
        <v>45895</v>
      </c>
      <c r="Q276" s="188" t="n">
        <v>0.668194444444444</v>
      </c>
    </row>
    <row r="277" customFormat="false" ht="57.45" hidden="false" customHeight="false" outlineLevel="0" collapsed="false">
      <c r="A277" s="181" t="s">
        <v>904</v>
      </c>
      <c r="B277" s="182" t="n">
        <v>1200</v>
      </c>
      <c r="C277" s="183" t="n">
        <v>58223</v>
      </c>
      <c r="D277" s="181" t="s">
        <v>831</v>
      </c>
      <c r="E277" s="181" t="s">
        <v>261</v>
      </c>
      <c r="F277" s="181" t="s">
        <v>262</v>
      </c>
      <c r="G277" s="181" t="s">
        <v>228</v>
      </c>
      <c r="H277" s="181" t="s">
        <v>832</v>
      </c>
      <c r="I277" s="181" t="s">
        <v>220</v>
      </c>
      <c r="J277" s="184" t="n">
        <v>38480</v>
      </c>
      <c r="K277" s="184" t="n">
        <v>15090</v>
      </c>
      <c r="L277" s="185" t="n">
        <v>10</v>
      </c>
      <c r="M277" s="173" t="n">
        <v>23390</v>
      </c>
      <c r="N277" s="184" t="n">
        <v>21051</v>
      </c>
      <c r="O277" s="184" t="s">
        <v>905</v>
      </c>
      <c r="P277" s="187" t="n">
        <v>45895</v>
      </c>
      <c r="Q277" s="188" t="n">
        <v>0.740509259259259</v>
      </c>
    </row>
    <row r="278" customFormat="false" ht="57.45" hidden="false" customHeight="false" outlineLevel="0" collapsed="false">
      <c r="A278" s="181" t="s">
        <v>906</v>
      </c>
      <c r="B278" s="182" t="n">
        <v>1201</v>
      </c>
      <c r="C278" s="183" t="n">
        <v>58225</v>
      </c>
      <c r="D278" s="181" t="s">
        <v>831</v>
      </c>
      <c r="E278" s="181" t="s">
        <v>272</v>
      </c>
      <c r="F278" s="181" t="s">
        <v>273</v>
      </c>
      <c r="G278" s="181" t="s">
        <v>228</v>
      </c>
      <c r="H278" s="181" t="s">
        <v>832</v>
      </c>
      <c r="I278" s="181" t="s">
        <v>220</v>
      </c>
      <c r="J278" s="184" t="n">
        <v>39700</v>
      </c>
      <c r="K278" s="184" t="n">
        <v>15590</v>
      </c>
      <c r="L278" s="185" t="n">
        <v>14</v>
      </c>
      <c r="M278" s="173" t="n">
        <v>24110</v>
      </c>
      <c r="N278" s="184" t="n">
        <v>20734.6</v>
      </c>
      <c r="O278" s="184" t="s">
        <v>907</v>
      </c>
      <c r="P278" s="187" t="n">
        <v>45895</v>
      </c>
      <c r="Q278" s="188" t="n">
        <v>0.743611111111111</v>
      </c>
    </row>
    <row r="279" customFormat="false" ht="57.45" hidden="false" customHeight="false" outlineLevel="0" collapsed="false">
      <c r="A279" s="181" t="s">
        <v>908</v>
      </c>
      <c r="B279" s="182" t="n">
        <v>1202</v>
      </c>
      <c r="C279" s="183" t="n">
        <v>58227</v>
      </c>
      <c r="D279" s="181" t="s">
        <v>831</v>
      </c>
      <c r="E279" s="181" t="s">
        <v>296</v>
      </c>
      <c r="F279" s="181" t="s">
        <v>297</v>
      </c>
      <c r="G279" s="181" t="s">
        <v>228</v>
      </c>
      <c r="H279" s="181" t="s">
        <v>832</v>
      </c>
      <c r="I279" s="181" t="s">
        <v>220</v>
      </c>
      <c r="J279" s="184" t="n">
        <v>39860</v>
      </c>
      <c r="K279" s="184" t="n">
        <v>15400</v>
      </c>
      <c r="L279" s="185" t="n">
        <v>13</v>
      </c>
      <c r="M279" s="173" t="n">
        <v>24460</v>
      </c>
      <c r="N279" s="184" t="n">
        <v>21280.2</v>
      </c>
      <c r="O279" s="184" t="s">
        <v>909</v>
      </c>
      <c r="P279" s="187" t="n">
        <v>45895</v>
      </c>
      <c r="Q279" s="188" t="n">
        <v>0.788402777777778</v>
      </c>
    </row>
    <row r="280" customFormat="false" ht="57.45" hidden="false" customHeight="false" outlineLevel="0" collapsed="false">
      <c r="A280" s="181" t="s">
        <v>910</v>
      </c>
      <c r="B280" s="182" t="n">
        <v>1203</v>
      </c>
      <c r="C280" s="183" t="n">
        <v>58233</v>
      </c>
      <c r="D280" s="181" t="s">
        <v>831</v>
      </c>
      <c r="E280" s="181" t="s">
        <v>377</v>
      </c>
      <c r="F280" s="181" t="s">
        <v>378</v>
      </c>
      <c r="G280" s="181" t="s">
        <v>228</v>
      </c>
      <c r="H280" s="181" t="s">
        <v>832</v>
      </c>
      <c r="I280" s="181" t="s">
        <v>220</v>
      </c>
      <c r="J280" s="184" t="n">
        <v>41290</v>
      </c>
      <c r="K280" s="184" t="n">
        <v>15600</v>
      </c>
      <c r="L280" s="185" t="n">
        <v>7</v>
      </c>
      <c r="M280" s="173" t="n">
        <v>25690</v>
      </c>
      <c r="N280" s="184" t="n">
        <v>23891.7</v>
      </c>
      <c r="O280" s="184" t="s">
        <v>911</v>
      </c>
      <c r="P280" s="187" t="n">
        <v>45895</v>
      </c>
      <c r="Q280" s="188" t="n">
        <v>0.87119212962963</v>
      </c>
    </row>
    <row r="281" customFormat="false" ht="57.45" hidden="false" customHeight="false" outlineLevel="0" collapsed="false">
      <c r="A281" s="181" t="s">
        <v>912</v>
      </c>
      <c r="B281" s="182" t="n">
        <v>1204</v>
      </c>
      <c r="C281" s="183" t="n">
        <v>582311</v>
      </c>
      <c r="D281" s="181" t="s">
        <v>831</v>
      </c>
      <c r="E281" s="181" t="s">
        <v>383</v>
      </c>
      <c r="F281" s="181" t="s">
        <v>384</v>
      </c>
      <c r="G281" s="181" t="s">
        <v>228</v>
      </c>
      <c r="H281" s="181" t="s">
        <v>832</v>
      </c>
      <c r="I281" s="181" t="s">
        <v>220</v>
      </c>
      <c r="J281" s="184" t="n">
        <v>39520</v>
      </c>
      <c r="K281" s="184" t="n">
        <v>14840</v>
      </c>
      <c r="L281" s="185" t="n">
        <v>8</v>
      </c>
      <c r="M281" s="173" t="n">
        <v>24680</v>
      </c>
      <c r="N281" s="184" t="n">
        <v>22705.6</v>
      </c>
      <c r="O281" s="184" t="s">
        <v>913</v>
      </c>
      <c r="P281" s="187" t="n">
        <v>45895</v>
      </c>
      <c r="Q281" s="188" t="n">
        <v>0.878958333333333</v>
      </c>
    </row>
    <row r="282" customFormat="false" ht="57.45" hidden="false" customHeight="false" outlineLevel="0" collapsed="false">
      <c r="A282" s="181" t="s">
        <v>914</v>
      </c>
      <c r="B282" s="182" t="n">
        <v>1205</v>
      </c>
      <c r="C282" s="183" t="n">
        <v>58235</v>
      </c>
      <c r="D282" s="181" t="s">
        <v>831</v>
      </c>
      <c r="E282" s="181" t="s">
        <v>409</v>
      </c>
      <c r="F282" s="181" t="s">
        <v>410</v>
      </c>
      <c r="G282" s="181" t="s">
        <v>228</v>
      </c>
      <c r="H282" s="181" t="s">
        <v>832</v>
      </c>
      <c r="I282" s="181" t="s">
        <v>220</v>
      </c>
      <c r="J282" s="184" t="n">
        <v>46950</v>
      </c>
      <c r="K282" s="184" t="n">
        <v>24200</v>
      </c>
      <c r="L282" s="185" t="n">
        <v>6.9</v>
      </c>
      <c r="M282" s="173" t="n">
        <v>22750</v>
      </c>
      <c r="N282" s="184" t="n">
        <v>21191</v>
      </c>
      <c r="O282" s="184" t="s">
        <v>915</v>
      </c>
      <c r="P282" s="187" t="n">
        <v>45895</v>
      </c>
      <c r="Q282" s="188" t="n">
        <v>0.921215277777778</v>
      </c>
    </row>
    <row r="283" customFormat="false" ht="57.45" hidden="false" customHeight="false" outlineLevel="0" collapsed="false">
      <c r="A283" s="181" t="s">
        <v>916</v>
      </c>
      <c r="B283" s="182" t="n">
        <v>1206</v>
      </c>
      <c r="C283" s="183" t="n">
        <v>58237</v>
      </c>
      <c r="D283" s="181" t="s">
        <v>831</v>
      </c>
      <c r="E283" s="181" t="s">
        <v>413</v>
      </c>
      <c r="F283" s="181" t="s">
        <v>414</v>
      </c>
      <c r="G283" s="181" t="s">
        <v>228</v>
      </c>
      <c r="H283" s="181" t="s">
        <v>832</v>
      </c>
      <c r="I283" s="181" t="s">
        <v>220</v>
      </c>
      <c r="J283" s="184" t="n">
        <v>43250</v>
      </c>
      <c r="K283" s="184" t="n">
        <v>15620</v>
      </c>
      <c r="L283" s="185" t="n">
        <v>14</v>
      </c>
      <c r="M283" s="173" t="n">
        <v>27630</v>
      </c>
      <c r="N283" s="184" t="n">
        <v>23761.8</v>
      </c>
      <c r="O283" s="184" t="s">
        <v>917</v>
      </c>
      <c r="P283" s="187" t="n">
        <v>45895</v>
      </c>
      <c r="Q283" s="188" t="n">
        <v>0.924664351851852</v>
      </c>
    </row>
    <row r="284" customFormat="false" ht="57.45" hidden="false" customHeight="false" outlineLevel="0" collapsed="false">
      <c r="A284" s="181" t="s">
        <v>918</v>
      </c>
      <c r="B284" s="182" t="n">
        <v>1207</v>
      </c>
      <c r="C284" s="183" t="n">
        <v>58241</v>
      </c>
      <c r="D284" s="181" t="s">
        <v>831</v>
      </c>
      <c r="E284" s="181" t="s">
        <v>373</v>
      </c>
      <c r="F284" s="181" t="s">
        <v>374</v>
      </c>
      <c r="G284" s="181" t="s">
        <v>228</v>
      </c>
      <c r="H284" s="181" t="s">
        <v>832</v>
      </c>
      <c r="I284" s="181" t="s">
        <v>220</v>
      </c>
      <c r="J284" s="184" t="n">
        <v>37680</v>
      </c>
      <c r="K284" s="184" t="n">
        <v>14200</v>
      </c>
      <c r="L284" s="185" t="n">
        <v>14</v>
      </c>
      <c r="M284" s="173" t="n">
        <v>23480</v>
      </c>
      <c r="N284" s="184" t="n">
        <v>20192.8</v>
      </c>
      <c r="O284" s="184" t="s">
        <v>919</v>
      </c>
      <c r="P284" s="187" t="n">
        <v>45895</v>
      </c>
      <c r="Q284" s="188" t="n">
        <v>0.946493055555556</v>
      </c>
    </row>
    <row r="285" customFormat="false" ht="57.45" hidden="false" customHeight="false" outlineLevel="0" collapsed="false">
      <c r="A285" s="181" t="s">
        <v>920</v>
      </c>
      <c r="B285" s="182" t="n">
        <v>1208</v>
      </c>
      <c r="C285" s="183" t="n">
        <v>58239</v>
      </c>
      <c r="D285" s="181" t="s">
        <v>831</v>
      </c>
      <c r="E285" s="181" t="s">
        <v>582</v>
      </c>
      <c r="F285" s="181" t="s">
        <v>583</v>
      </c>
      <c r="G285" s="181" t="s">
        <v>228</v>
      </c>
      <c r="H285" s="181" t="s">
        <v>832</v>
      </c>
      <c r="I285" s="181" t="s">
        <v>220</v>
      </c>
      <c r="J285" s="184" t="n">
        <v>38290</v>
      </c>
      <c r="K285" s="184" t="n">
        <v>14760</v>
      </c>
      <c r="L285" s="185" t="n">
        <v>12</v>
      </c>
      <c r="M285" s="173" t="n">
        <v>23530</v>
      </c>
      <c r="N285" s="184" t="n">
        <v>20706.4</v>
      </c>
      <c r="O285" s="184" t="s">
        <v>921</v>
      </c>
      <c r="P285" s="187" t="n">
        <v>45895</v>
      </c>
      <c r="Q285" s="188" t="n">
        <v>0.96306712962963</v>
      </c>
    </row>
    <row r="286" customFormat="false" ht="57.45" hidden="false" customHeight="false" outlineLevel="0" collapsed="false">
      <c r="A286" s="181" t="s">
        <v>922</v>
      </c>
      <c r="B286" s="182" t="n">
        <v>1209</v>
      </c>
      <c r="C286" s="183" t="n">
        <v>58243</v>
      </c>
      <c r="D286" s="181" t="s">
        <v>831</v>
      </c>
      <c r="E286" s="181" t="s">
        <v>439</v>
      </c>
      <c r="F286" s="181" t="s">
        <v>440</v>
      </c>
      <c r="G286" s="181" t="s">
        <v>228</v>
      </c>
      <c r="H286" s="181" t="s">
        <v>832</v>
      </c>
      <c r="I286" s="181" t="s">
        <v>220</v>
      </c>
      <c r="J286" s="184" t="n">
        <v>39770</v>
      </c>
      <c r="K286" s="184" t="n">
        <v>16320</v>
      </c>
      <c r="L286" s="185" t="n">
        <v>15</v>
      </c>
      <c r="M286" s="173" t="n">
        <v>23450</v>
      </c>
      <c r="N286" s="184" t="n">
        <v>19932.5</v>
      </c>
      <c r="O286" s="184" t="s">
        <v>923</v>
      </c>
      <c r="P286" s="187" t="n">
        <v>45895</v>
      </c>
      <c r="Q286" s="188" t="n">
        <v>0.976226851851852</v>
      </c>
    </row>
    <row r="287" customFormat="false" ht="57.45" hidden="false" customHeight="false" outlineLevel="0" collapsed="false">
      <c r="A287" s="181" t="s">
        <v>924</v>
      </c>
      <c r="B287" s="182" t="n">
        <v>1210</v>
      </c>
      <c r="C287" s="183" t="n">
        <v>58247</v>
      </c>
      <c r="D287" s="181" t="s">
        <v>831</v>
      </c>
      <c r="E287" s="181" t="s">
        <v>431</v>
      </c>
      <c r="F287" s="181" t="s">
        <v>432</v>
      </c>
      <c r="G287" s="181" t="s">
        <v>228</v>
      </c>
      <c r="H287" s="181" t="s">
        <v>832</v>
      </c>
      <c r="I287" s="181" t="s">
        <v>220</v>
      </c>
      <c r="J287" s="184" t="n">
        <v>39810</v>
      </c>
      <c r="K287" s="184" t="n">
        <v>16660</v>
      </c>
      <c r="L287" s="185" t="n">
        <v>12</v>
      </c>
      <c r="M287" s="173" t="n">
        <v>23150</v>
      </c>
      <c r="N287" s="184" t="n">
        <v>20372</v>
      </c>
      <c r="O287" s="184" t="s">
        <v>925</v>
      </c>
      <c r="P287" s="187" t="n">
        <v>45896</v>
      </c>
      <c r="Q287" s="188" t="n">
        <v>0.465601851851852</v>
      </c>
    </row>
    <row r="288" customFormat="false" ht="57.45" hidden="false" customHeight="false" outlineLevel="0" collapsed="false">
      <c r="A288" s="181" t="s">
        <v>926</v>
      </c>
      <c r="B288" s="182" t="n">
        <v>1211</v>
      </c>
      <c r="C288" s="183" t="n">
        <v>58245</v>
      </c>
      <c r="D288" s="181" t="s">
        <v>831</v>
      </c>
      <c r="E288" s="181" t="s">
        <v>435</v>
      </c>
      <c r="F288" s="181" t="s">
        <v>436</v>
      </c>
      <c r="G288" s="181" t="s">
        <v>228</v>
      </c>
      <c r="H288" s="181" t="s">
        <v>832</v>
      </c>
      <c r="I288" s="181" t="s">
        <v>220</v>
      </c>
      <c r="J288" s="184" t="n">
        <v>40020</v>
      </c>
      <c r="K288" s="184" t="n">
        <v>16460</v>
      </c>
      <c r="L288" s="185" t="n">
        <v>10</v>
      </c>
      <c r="M288" s="173" t="n">
        <v>23560</v>
      </c>
      <c r="N288" s="184" t="n">
        <v>21204</v>
      </c>
      <c r="O288" s="184" t="s">
        <v>927</v>
      </c>
      <c r="P288" s="187" t="n">
        <v>45896</v>
      </c>
      <c r="Q288" s="188" t="n">
        <v>0.46869212962963</v>
      </c>
    </row>
    <row r="289" customFormat="false" ht="57.45" hidden="false" customHeight="false" outlineLevel="0" collapsed="false">
      <c r="A289" s="181" t="s">
        <v>928</v>
      </c>
      <c r="B289" s="182" t="n">
        <v>1212</v>
      </c>
      <c r="C289" s="183" t="n">
        <v>58257</v>
      </c>
      <c r="D289" s="181" t="s">
        <v>831</v>
      </c>
      <c r="E289" s="181" t="s">
        <v>336</v>
      </c>
      <c r="F289" s="181" t="s">
        <v>337</v>
      </c>
      <c r="G289" s="181" t="s">
        <v>228</v>
      </c>
      <c r="H289" s="181" t="s">
        <v>832</v>
      </c>
      <c r="I289" s="181" t="s">
        <v>220</v>
      </c>
      <c r="J289" s="184" t="n">
        <v>38540</v>
      </c>
      <c r="K289" s="184" t="n">
        <v>14470</v>
      </c>
      <c r="L289" s="185" t="n">
        <v>9</v>
      </c>
      <c r="M289" s="173" t="n">
        <v>24070</v>
      </c>
      <c r="N289" s="184" t="n">
        <v>21903.7</v>
      </c>
      <c r="O289" s="184" t="s">
        <v>929</v>
      </c>
      <c r="P289" s="187" t="n">
        <v>45896</v>
      </c>
      <c r="Q289" s="188" t="n">
        <v>0.489085648148148</v>
      </c>
    </row>
    <row r="290" customFormat="false" ht="57.45" hidden="false" customHeight="false" outlineLevel="0" collapsed="false">
      <c r="A290" s="181" t="s">
        <v>930</v>
      </c>
      <c r="B290" s="182" t="n">
        <v>1213</v>
      </c>
      <c r="C290" s="183" t="n">
        <v>58259</v>
      </c>
      <c r="D290" s="181" t="s">
        <v>831</v>
      </c>
      <c r="E290" s="181" t="s">
        <v>340</v>
      </c>
      <c r="F290" s="181" t="s">
        <v>341</v>
      </c>
      <c r="G290" s="181" t="s">
        <v>228</v>
      </c>
      <c r="H290" s="181" t="s">
        <v>832</v>
      </c>
      <c r="I290" s="181" t="s">
        <v>220</v>
      </c>
      <c r="J290" s="184" t="n">
        <v>39720</v>
      </c>
      <c r="K290" s="184" t="n">
        <v>15040</v>
      </c>
      <c r="L290" s="185" t="n">
        <v>10</v>
      </c>
      <c r="M290" s="173" t="n">
        <v>24680</v>
      </c>
      <c r="N290" s="184" t="n">
        <v>22212</v>
      </c>
      <c r="O290" s="184" t="s">
        <v>931</v>
      </c>
      <c r="P290" s="187" t="n">
        <v>45896</v>
      </c>
      <c r="Q290" s="188" t="n">
        <v>0.556990740740741</v>
      </c>
    </row>
    <row r="291" customFormat="false" ht="57.45" hidden="false" customHeight="false" outlineLevel="0" collapsed="false">
      <c r="A291" s="181" t="s">
        <v>932</v>
      </c>
      <c r="B291" s="182" t="n">
        <v>1214</v>
      </c>
      <c r="C291" s="183" t="n">
        <v>58269</v>
      </c>
      <c r="D291" s="181" t="s">
        <v>831</v>
      </c>
      <c r="E291" s="181" t="s">
        <v>387</v>
      </c>
      <c r="F291" s="181" t="s">
        <v>388</v>
      </c>
      <c r="G291" s="181" t="s">
        <v>228</v>
      </c>
      <c r="H291" s="181" t="s">
        <v>832</v>
      </c>
      <c r="I291" s="181" t="s">
        <v>220</v>
      </c>
      <c r="J291" s="184" t="n">
        <v>39760</v>
      </c>
      <c r="K291" s="184" t="n">
        <v>14960</v>
      </c>
      <c r="L291" s="185" t="n">
        <v>9</v>
      </c>
      <c r="M291" s="173" t="n">
        <v>24800</v>
      </c>
      <c r="N291" s="184" t="n">
        <v>22568</v>
      </c>
      <c r="O291" s="184" t="s">
        <v>933</v>
      </c>
      <c r="P291" s="187" t="n">
        <v>45896</v>
      </c>
      <c r="Q291" s="188" t="n">
        <v>0.581678240740741</v>
      </c>
    </row>
    <row r="292" customFormat="false" ht="57.45" hidden="false" customHeight="false" outlineLevel="0" collapsed="false">
      <c r="A292" s="181" t="s">
        <v>934</v>
      </c>
      <c r="B292" s="182" t="n">
        <v>1220</v>
      </c>
      <c r="C292" s="183" t="n">
        <v>58291</v>
      </c>
      <c r="D292" s="181" t="s">
        <v>831</v>
      </c>
      <c r="E292" s="181" t="s">
        <v>308</v>
      </c>
      <c r="F292" s="181" t="s">
        <v>309</v>
      </c>
      <c r="G292" s="181" t="s">
        <v>228</v>
      </c>
      <c r="H292" s="181" t="s">
        <v>832</v>
      </c>
      <c r="I292" s="181" t="s">
        <v>220</v>
      </c>
      <c r="J292" s="184" t="n">
        <v>46130</v>
      </c>
      <c r="K292" s="184" t="n">
        <v>24070</v>
      </c>
      <c r="L292" s="185" t="n">
        <v>6</v>
      </c>
      <c r="M292" s="173" t="n">
        <v>22060</v>
      </c>
      <c r="N292" s="184" t="n">
        <v>20736.4</v>
      </c>
      <c r="O292" s="184" t="s">
        <v>935</v>
      </c>
      <c r="P292" s="187" t="n">
        <v>45896</v>
      </c>
      <c r="Q292" s="188" t="n">
        <v>0.648518518518519</v>
      </c>
    </row>
    <row r="293" customFormat="false" ht="57.45" hidden="false" customHeight="false" outlineLevel="0" collapsed="false">
      <c r="A293" s="181" t="s">
        <v>936</v>
      </c>
      <c r="B293" s="182" t="n">
        <v>1221</v>
      </c>
      <c r="C293" s="183" t="n">
        <v>28289</v>
      </c>
      <c r="D293" s="181" t="s">
        <v>831</v>
      </c>
      <c r="E293" s="181" t="s">
        <v>277</v>
      </c>
      <c r="F293" s="181" t="s">
        <v>278</v>
      </c>
      <c r="G293" s="181" t="s">
        <v>228</v>
      </c>
      <c r="H293" s="181" t="s">
        <v>832</v>
      </c>
      <c r="I293" s="181" t="s">
        <v>220</v>
      </c>
      <c r="J293" s="184" t="n">
        <v>42090</v>
      </c>
      <c r="K293" s="184" t="n">
        <v>15150</v>
      </c>
      <c r="L293" s="185" t="n">
        <v>9</v>
      </c>
      <c r="M293" s="173" t="n">
        <v>26940</v>
      </c>
      <c r="N293" s="184" t="n">
        <v>24515.4</v>
      </c>
      <c r="O293" s="184" t="s">
        <v>937</v>
      </c>
      <c r="P293" s="187" t="n">
        <v>45896</v>
      </c>
      <c r="Q293" s="188" t="n">
        <v>0.663726851851852</v>
      </c>
    </row>
    <row r="294" customFormat="false" ht="57.45" hidden="false" customHeight="false" outlineLevel="0" collapsed="false">
      <c r="A294" s="181" t="s">
        <v>938</v>
      </c>
      <c r="B294" s="182" t="n">
        <v>1222</v>
      </c>
      <c r="C294" s="183" t="n">
        <v>58285</v>
      </c>
      <c r="D294" s="181" t="s">
        <v>831</v>
      </c>
      <c r="E294" s="181" t="s">
        <v>346</v>
      </c>
      <c r="F294" s="181" t="s">
        <v>347</v>
      </c>
      <c r="G294" s="181" t="s">
        <v>228</v>
      </c>
      <c r="H294" s="181" t="s">
        <v>832</v>
      </c>
      <c r="I294" s="181" t="s">
        <v>220</v>
      </c>
      <c r="J294" s="184" t="n">
        <v>39220</v>
      </c>
      <c r="K294" s="184" t="n">
        <v>14940</v>
      </c>
      <c r="L294" s="185" t="n">
        <v>5</v>
      </c>
      <c r="M294" s="173" t="n">
        <v>24280</v>
      </c>
      <c r="N294" s="184" t="n">
        <v>23066</v>
      </c>
      <c r="O294" s="184" t="s">
        <v>939</v>
      </c>
      <c r="P294" s="187" t="n">
        <v>45896</v>
      </c>
      <c r="Q294" s="188" t="n">
        <v>0.774525462962963</v>
      </c>
    </row>
    <row r="295" customFormat="false" ht="57.45" hidden="false" customHeight="false" outlineLevel="0" collapsed="false">
      <c r="A295" s="181" t="s">
        <v>940</v>
      </c>
      <c r="B295" s="182" t="n">
        <v>1224</v>
      </c>
      <c r="C295" s="183" t="n">
        <v>58283</v>
      </c>
      <c r="D295" s="181" t="s">
        <v>831</v>
      </c>
      <c r="E295" s="181" t="s">
        <v>300</v>
      </c>
      <c r="F295" s="181" t="s">
        <v>301</v>
      </c>
      <c r="G295" s="181" t="s">
        <v>228</v>
      </c>
      <c r="H295" s="181" t="s">
        <v>832</v>
      </c>
      <c r="I295" s="181" t="s">
        <v>220</v>
      </c>
      <c r="J295" s="184" t="n">
        <v>47210</v>
      </c>
      <c r="K295" s="184" t="n">
        <v>20860</v>
      </c>
      <c r="L295" s="185" t="n">
        <v>10</v>
      </c>
      <c r="M295" s="173" t="n">
        <v>26350</v>
      </c>
      <c r="N295" s="184" t="n">
        <v>23715</v>
      </c>
      <c r="O295" s="184" t="s">
        <v>941</v>
      </c>
      <c r="P295" s="187" t="n">
        <v>45896</v>
      </c>
      <c r="Q295" s="188" t="n">
        <v>0.780648148148148</v>
      </c>
    </row>
    <row r="296" customFormat="false" ht="57.45" hidden="false" customHeight="false" outlineLevel="0" collapsed="false">
      <c r="A296" s="181" t="s">
        <v>942</v>
      </c>
      <c r="B296" s="182" t="n">
        <v>1225</v>
      </c>
      <c r="C296" s="183" t="n">
        <v>58287</v>
      </c>
      <c r="D296" s="181" t="s">
        <v>831</v>
      </c>
      <c r="E296" s="181" t="s">
        <v>288</v>
      </c>
      <c r="F296" s="181" t="s">
        <v>289</v>
      </c>
      <c r="G296" s="181" t="s">
        <v>228</v>
      </c>
      <c r="H296" s="181" t="s">
        <v>832</v>
      </c>
      <c r="I296" s="181" t="s">
        <v>220</v>
      </c>
      <c r="J296" s="184" t="n">
        <v>36100</v>
      </c>
      <c r="K296" s="184" t="n">
        <v>14590</v>
      </c>
      <c r="L296" s="185" t="n">
        <v>7</v>
      </c>
      <c r="M296" s="173" t="n">
        <v>21510</v>
      </c>
      <c r="N296" s="184" t="n">
        <v>20004.3</v>
      </c>
      <c r="O296" s="184" t="s">
        <v>943</v>
      </c>
      <c r="P296" s="187" t="n">
        <v>45896</v>
      </c>
      <c r="Q296" s="188" t="n">
        <v>0.782708333333333</v>
      </c>
    </row>
    <row r="297" customFormat="false" ht="57.45" hidden="false" customHeight="false" outlineLevel="0" collapsed="false">
      <c r="A297" s="181" t="s">
        <v>944</v>
      </c>
      <c r="B297" s="182" t="n">
        <v>1238</v>
      </c>
      <c r="C297" s="183" t="n">
        <v>58293</v>
      </c>
      <c r="D297" s="181" t="s">
        <v>831</v>
      </c>
      <c r="E297" s="181" t="s">
        <v>541</v>
      </c>
      <c r="F297" s="181" t="s">
        <v>542</v>
      </c>
      <c r="G297" s="181" t="s">
        <v>228</v>
      </c>
      <c r="H297" s="181" t="s">
        <v>832</v>
      </c>
      <c r="I297" s="181" t="s">
        <v>220</v>
      </c>
      <c r="J297" s="184" t="n">
        <v>39860</v>
      </c>
      <c r="K297" s="184" t="n">
        <v>14970</v>
      </c>
      <c r="L297" s="185" t="n">
        <v>7</v>
      </c>
      <c r="M297" s="173" t="n">
        <v>24890</v>
      </c>
      <c r="N297" s="184" t="n">
        <v>23147.7</v>
      </c>
      <c r="O297" s="184" t="s">
        <v>945</v>
      </c>
      <c r="P297" s="187" t="n">
        <v>45896</v>
      </c>
      <c r="Q297" s="188" t="n">
        <v>0.792650462962963</v>
      </c>
    </row>
    <row r="298" customFormat="false" ht="57.45" hidden="false" customHeight="false" outlineLevel="0" collapsed="false">
      <c r="A298" s="181" t="s">
        <v>946</v>
      </c>
      <c r="B298" s="182" t="n">
        <v>1241</v>
      </c>
      <c r="C298" s="183" t="n">
        <v>58295</v>
      </c>
      <c r="D298" s="181" t="s">
        <v>831</v>
      </c>
      <c r="E298" s="181" t="s">
        <v>399</v>
      </c>
      <c r="F298" s="181" t="s">
        <v>400</v>
      </c>
      <c r="G298" s="181" t="s">
        <v>228</v>
      </c>
      <c r="H298" s="181" t="s">
        <v>832</v>
      </c>
      <c r="I298" s="181" t="s">
        <v>220</v>
      </c>
      <c r="J298" s="184" t="n">
        <v>45160</v>
      </c>
      <c r="K298" s="184" t="n">
        <v>19260</v>
      </c>
      <c r="L298" s="185" t="n">
        <v>9</v>
      </c>
      <c r="M298" s="173" t="n">
        <v>25900</v>
      </c>
      <c r="N298" s="184" t="n">
        <v>23569</v>
      </c>
      <c r="O298" s="184" t="s">
        <v>947</v>
      </c>
      <c r="P298" s="187" t="n">
        <v>45896</v>
      </c>
      <c r="Q298" s="188" t="n">
        <v>0.687037037037037</v>
      </c>
    </row>
    <row r="299" customFormat="false" ht="57.45" hidden="false" customHeight="false" outlineLevel="0" collapsed="false">
      <c r="A299" s="181" t="s">
        <v>948</v>
      </c>
      <c r="B299" s="182" t="n">
        <v>1242</v>
      </c>
      <c r="C299" s="183" t="n">
        <v>58297</v>
      </c>
      <c r="D299" s="181" t="s">
        <v>831</v>
      </c>
      <c r="E299" s="181" t="s">
        <v>545</v>
      </c>
      <c r="F299" s="181" t="s">
        <v>546</v>
      </c>
      <c r="G299" s="181" t="s">
        <v>228</v>
      </c>
      <c r="H299" s="181" t="s">
        <v>832</v>
      </c>
      <c r="I299" s="181" t="s">
        <v>220</v>
      </c>
      <c r="J299" s="184" t="n">
        <v>42720</v>
      </c>
      <c r="K299" s="184" t="n">
        <v>16110</v>
      </c>
      <c r="L299" s="185" t="n">
        <v>5</v>
      </c>
      <c r="M299" s="173" t="n">
        <v>26610</v>
      </c>
      <c r="N299" s="184" t="n">
        <v>25279.5</v>
      </c>
      <c r="O299" s="184" t="s">
        <v>949</v>
      </c>
      <c r="P299" s="187" t="n">
        <v>45896</v>
      </c>
      <c r="Q299" s="188" t="n">
        <v>0.689456018518519</v>
      </c>
    </row>
    <row r="300" customFormat="false" ht="57.45" hidden="false" customHeight="false" outlineLevel="0" collapsed="false">
      <c r="A300" s="181" t="s">
        <v>950</v>
      </c>
      <c r="B300" s="182" t="n">
        <v>1243</v>
      </c>
      <c r="C300" s="183" t="n">
        <v>58299</v>
      </c>
      <c r="D300" s="181" t="s">
        <v>831</v>
      </c>
      <c r="E300" s="181" t="s">
        <v>549</v>
      </c>
      <c r="F300" s="181" t="s">
        <v>550</v>
      </c>
      <c r="G300" s="181" t="s">
        <v>228</v>
      </c>
      <c r="H300" s="181" t="s">
        <v>832</v>
      </c>
      <c r="I300" s="181" t="s">
        <v>220</v>
      </c>
      <c r="J300" s="184" t="n">
        <v>42160</v>
      </c>
      <c r="K300" s="184" t="n">
        <v>15910</v>
      </c>
      <c r="L300" s="185" t="n">
        <v>7</v>
      </c>
      <c r="M300" s="173" t="n">
        <v>26250</v>
      </c>
      <c r="N300" s="184" t="n">
        <v>24412.5</v>
      </c>
      <c r="O300" s="184" t="s">
        <v>951</v>
      </c>
      <c r="P300" s="187" t="n">
        <v>45896</v>
      </c>
      <c r="Q300" s="188" t="n">
        <v>0.726458333333333</v>
      </c>
    </row>
    <row r="301" customFormat="false" ht="57.45" hidden="false" customHeight="false" outlineLevel="0" collapsed="false">
      <c r="A301" s="181" t="s">
        <v>952</v>
      </c>
      <c r="B301" s="182" t="n">
        <v>1244</v>
      </c>
      <c r="C301" s="183" t="n">
        <v>58301</v>
      </c>
      <c r="D301" s="181" t="s">
        <v>831</v>
      </c>
      <c r="E301" s="181" t="s">
        <v>533</v>
      </c>
      <c r="F301" s="181" t="s">
        <v>534</v>
      </c>
      <c r="G301" s="181" t="s">
        <v>228</v>
      </c>
      <c r="H301" s="181" t="s">
        <v>832</v>
      </c>
      <c r="I301" s="181" t="s">
        <v>220</v>
      </c>
      <c r="J301" s="184" t="n">
        <v>40130</v>
      </c>
      <c r="K301" s="184" t="n">
        <v>14630</v>
      </c>
      <c r="L301" s="185" t="n">
        <v>6</v>
      </c>
      <c r="M301" s="173" t="n">
        <v>25500</v>
      </c>
      <c r="N301" s="184" t="n">
        <v>23970</v>
      </c>
      <c r="O301" s="184" t="s">
        <v>953</v>
      </c>
      <c r="P301" s="187" t="n">
        <v>45896</v>
      </c>
      <c r="Q301" s="188" t="n">
        <v>0.80244212962963</v>
      </c>
    </row>
    <row r="302" customFormat="false" ht="57.45" hidden="false" customHeight="false" outlineLevel="0" collapsed="false">
      <c r="A302" s="181" t="s">
        <v>954</v>
      </c>
      <c r="B302" s="182" t="n">
        <v>1246</v>
      </c>
      <c r="C302" s="183" t="n">
        <v>58326</v>
      </c>
      <c r="D302" s="181" t="s">
        <v>831</v>
      </c>
      <c r="E302" s="181" t="s">
        <v>282</v>
      </c>
      <c r="F302" s="181" t="s">
        <v>283</v>
      </c>
      <c r="G302" s="181" t="s">
        <v>228</v>
      </c>
      <c r="H302" s="181" t="s">
        <v>832</v>
      </c>
      <c r="I302" s="181" t="s">
        <v>220</v>
      </c>
      <c r="J302" s="184" t="n">
        <v>38600</v>
      </c>
      <c r="K302" s="184" t="n">
        <v>15060</v>
      </c>
      <c r="L302" s="185" t="n">
        <v>10</v>
      </c>
      <c r="M302" s="173" t="n">
        <v>23540</v>
      </c>
      <c r="N302" s="184" t="n">
        <v>21186</v>
      </c>
      <c r="O302" s="184" t="s">
        <v>955</v>
      </c>
      <c r="P302" s="187" t="n">
        <v>45896</v>
      </c>
      <c r="Q302" s="188" t="n">
        <v>0.835960648148148</v>
      </c>
    </row>
    <row r="303" customFormat="false" ht="57.45" hidden="false" customHeight="false" outlineLevel="0" collapsed="false">
      <c r="A303" s="181" t="s">
        <v>956</v>
      </c>
      <c r="B303" s="182" t="n">
        <v>1247</v>
      </c>
      <c r="C303" s="183" t="n">
        <v>58328</v>
      </c>
      <c r="D303" s="181" t="s">
        <v>831</v>
      </c>
      <c r="E303" s="181" t="s">
        <v>332</v>
      </c>
      <c r="F303" s="181" t="s">
        <v>333</v>
      </c>
      <c r="G303" s="181" t="s">
        <v>228</v>
      </c>
      <c r="H303" s="181" t="s">
        <v>832</v>
      </c>
      <c r="I303" s="181" t="s">
        <v>220</v>
      </c>
      <c r="J303" s="184" t="n">
        <v>38260</v>
      </c>
      <c r="K303" s="184" t="n">
        <v>14710</v>
      </c>
      <c r="L303" s="185" t="n">
        <v>14</v>
      </c>
      <c r="M303" s="173" t="n">
        <v>23550</v>
      </c>
      <c r="N303" s="184" t="n">
        <v>20253</v>
      </c>
      <c r="O303" s="184" t="s">
        <v>957</v>
      </c>
      <c r="P303" s="187" t="n">
        <v>45896</v>
      </c>
      <c r="Q303" s="188" t="n">
        <v>0.840231481481482</v>
      </c>
    </row>
    <row r="304" customFormat="false" ht="57.45" hidden="false" customHeight="false" outlineLevel="0" collapsed="false">
      <c r="A304" s="181" t="s">
        <v>958</v>
      </c>
      <c r="B304" s="182" t="n">
        <v>1248</v>
      </c>
      <c r="C304" s="183" t="n">
        <v>58313</v>
      </c>
      <c r="D304" s="181" t="s">
        <v>831</v>
      </c>
      <c r="E304" s="181" t="s">
        <v>409</v>
      </c>
      <c r="F304" s="181" t="s">
        <v>410</v>
      </c>
      <c r="G304" s="181" t="s">
        <v>228</v>
      </c>
      <c r="H304" s="181" t="s">
        <v>832</v>
      </c>
      <c r="I304" s="181" t="s">
        <v>220</v>
      </c>
      <c r="J304" s="184" t="n">
        <v>47150</v>
      </c>
      <c r="K304" s="184" t="n">
        <v>24110</v>
      </c>
      <c r="L304" s="185" t="n">
        <v>8</v>
      </c>
      <c r="M304" s="173" t="n">
        <v>23040</v>
      </c>
      <c r="N304" s="184" t="n">
        <v>21196.8</v>
      </c>
      <c r="O304" s="184" t="s">
        <v>959</v>
      </c>
      <c r="P304" s="187" t="n">
        <v>45896</v>
      </c>
      <c r="Q304" s="188" t="n">
        <v>0.864918981481482</v>
      </c>
    </row>
    <row r="305" customFormat="false" ht="57.45" hidden="false" customHeight="false" outlineLevel="0" collapsed="false">
      <c r="A305" s="181" t="s">
        <v>960</v>
      </c>
      <c r="B305" s="182" t="n">
        <v>1249</v>
      </c>
      <c r="C305" s="183" t="n">
        <v>58315</v>
      </c>
      <c r="D305" s="181" t="s">
        <v>831</v>
      </c>
      <c r="E305" s="181" t="s">
        <v>413</v>
      </c>
      <c r="F305" s="181" t="s">
        <v>414</v>
      </c>
      <c r="G305" s="181" t="s">
        <v>228</v>
      </c>
      <c r="H305" s="181" t="s">
        <v>832</v>
      </c>
      <c r="I305" s="181" t="s">
        <v>220</v>
      </c>
      <c r="J305" s="184" t="n">
        <v>42290</v>
      </c>
      <c r="K305" s="184" t="n">
        <v>15520</v>
      </c>
      <c r="L305" s="185" t="n">
        <v>12</v>
      </c>
      <c r="M305" s="173" t="n">
        <v>26770</v>
      </c>
      <c r="N305" s="184" t="n">
        <v>23557.6</v>
      </c>
      <c r="O305" s="184" t="s">
        <v>961</v>
      </c>
      <c r="P305" s="187" t="n">
        <v>45896</v>
      </c>
      <c r="Q305" s="188" t="n">
        <v>0.867025462962963</v>
      </c>
    </row>
    <row r="306" customFormat="false" ht="57.45" hidden="false" customHeight="false" outlineLevel="0" collapsed="false">
      <c r="A306" s="181" t="s">
        <v>962</v>
      </c>
      <c r="B306" s="182" t="n">
        <v>1250</v>
      </c>
      <c r="C306" s="183" t="n">
        <v>58330</v>
      </c>
      <c r="D306" s="181" t="s">
        <v>831</v>
      </c>
      <c r="E306" s="181" t="s">
        <v>377</v>
      </c>
      <c r="F306" s="181" t="s">
        <v>378</v>
      </c>
      <c r="G306" s="181" t="s">
        <v>228</v>
      </c>
      <c r="H306" s="181" t="s">
        <v>832</v>
      </c>
      <c r="I306" s="181" t="s">
        <v>220</v>
      </c>
      <c r="J306" s="184" t="n">
        <v>39940</v>
      </c>
      <c r="K306" s="184" t="n">
        <v>15590</v>
      </c>
      <c r="L306" s="185" t="n">
        <v>12</v>
      </c>
      <c r="M306" s="173" t="n">
        <v>24350</v>
      </c>
      <c r="N306" s="184" t="n">
        <v>21428</v>
      </c>
      <c r="O306" s="184" t="s">
        <v>963</v>
      </c>
      <c r="P306" s="187" t="n">
        <v>45896</v>
      </c>
      <c r="Q306" s="188" t="n">
        <v>0.918842592592593</v>
      </c>
    </row>
    <row r="307" customFormat="false" ht="57.45" hidden="false" customHeight="false" outlineLevel="0" collapsed="false">
      <c r="A307" s="181" t="s">
        <v>964</v>
      </c>
      <c r="B307" s="182" t="n">
        <v>1251</v>
      </c>
      <c r="C307" s="183" t="n">
        <v>58332</v>
      </c>
      <c r="D307" s="181" t="s">
        <v>831</v>
      </c>
      <c r="E307" s="181" t="s">
        <v>383</v>
      </c>
      <c r="F307" s="181" t="s">
        <v>384</v>
      </c>
      <c r="G307" s="181" t="s">
        <v>228</v>
      </c>
      <c r="H307" s="181" t="s">
        <v>832</v>
      </c>
      <c r="I307" s="181" t="s">
        <v>220</v>
      </c>
      <c r="J307" s="184" t="n">
        <v>39850</v>
      </c>
      <c r="K307" s="184" t="n">
        <v>14810</v>
      </c>
      <c r="L307" s="185" t="n">
        <v>10</v>
      </c>
      <c r="M307" s="173" t="n">
        <v>25040</v>
      </c>
      <c r="N307" s="184" t="n">
        <v>22536</v>
      </c>
      <c r="O307" s="184" t="s">
        <v>965</v>
      </c>
      <c r="P307" s="187" t="n">
        <v>45896</v>
      </c>
      <c r="Q307" s="188" t="n">
        <v>0.922488425925926</v>
      </c>
    </row>
    <row r="308" customFormat="false" ht="57.45" hidden="false" customHeight="false" outlineLevel="0" collapsed="false">
      <c r="A308" s="181" t="s">
        <v>966</v>
      </c>
      <c r="B308" s="182" t="n">
        <v>1252</v>
      </c>
      <c r="C308" s="183" t="n">
        <v>58334</v>
      </c>
      <c r="D308" s="181" t="s">
        <v>831</v>
      </c>
      <c r="E308" s="181" t="s">
        <v>576</v>
      </c>
      <c r="F308" s="181" t="s">
        <v>577</v>
      </c>
      <c r="G308" s="181" t="s">
        <v>228</v>
      </c>
      <c r="H308" s="181" t="s">
        <v>832</v>
      </c>
      <c r="I308" s="181" t="s">
        <v>220</v>
      </c>
      <c r="J308" s="184" t="n">
        <v>38890</v>
      </c>
      <c r="K308" s="184" t="n">
        <v>14430</v>
      </c>
      <c r="L308" s="185" t="n">
        <v>14</v>
      </c>
      <c r="M308" s="173" t="n">
        <v>24460</v>
      </c>
      <c r="N308" s="184" t="n">
        <v>21035.6</v>
      </c>
      <c r="O308" s="184" t="s">
        <v>967</v>
      </c>
      <c r="P308" s="187" t="n">
        <v>45896</v>
      </c>
      <c r="Q308" s="188" t="n">
        <v>0.956689814814815</v>
      </c>
    </row>
    <row r="309" customFormat="false" ht="57.45" hidden="false" customHeight="false" outlineLevel="0" collapsed="false">
      <c r="A309" s="181" t="s">
        <v>968</v>
      </c>
      <c r="B309" s="182" t="n">
        <v>1253</v>
      </c>
      <c r="C309" s="183" t="n">
        <v>58336</v>
      </c>
      <c r="D309" s="181" t="s">
        <v>831</v>
      </c>
      <c r="E309" s="181" t="s">
        <v>261</v>
      </c>
      <c r="F309" s="181" t="s">
        <v>262</v>
      </c>
      <c r="G309" s="181" t="s">
        <v>228</v>
      </c>
      <c r="H309" s="181" t="s">
        <v>832</v>
      </c>
      <c r="I309" s="181" t="s">
        <v>220</v>
      </c>
      <c r="J309" s="184" t="n">
        <v>38490</v>
      </c>
      <c r="K309" s="184" t="n">
        <v>15020</v>
      </c>
      <c r="L309" s="185" t="n">
        <v>13</v>
      </c>
      <c r="M309" s="173" t="n">
        <v>23470</v>
      </c>
      <c r="N309" s="184" t="n">
        <v>20418.9</v>
      </c>
      <c r="O309" s="184" t="s">
        <v>969</v>
      </c>
      <c r="P309" s="187" t="n">
        <v>45896</v>
      </c>
      <c r="Q309" s="188" t="n">
        <v>0.967303240740741</v>
      </c>
    </row>
    <row r="310" customFormat="false" ht="57.45" hidden="false" customHeight="false" outlineLevel="0" collapsed="false">
      <c r="A310" s="181" t="s">
        <v>970</v>
      </c>
      <c r="B310" s="182" t="n">
        <v>1254</v>
      </c>
      <c r="C310" s="183" t="n">
        <v>58338</v>
      </c>
      <c r="D310" s="181" t="s">
        <v>831</v>
      </c>
      <c r="E310" s="181" t="s">
        <v>537</v>
      </c>
      <c r="F310" s="181" t="s">
        <v>538</v>
      </c>
      <c r="G310" s="181" t="s">
        <v>228</v>
      </c>
      <c r="H310" s="181" t="s">
        <v>832</v>
      </c>
      <c r="I310" s="181" t="s">
        <v>220</v>
      </c>
      <c r="J310" s="184" t="n">
        <v>36410</v>
      </c>
      <c r="K310" s="184" t="n">
        <v>13950</v>
      </c>
      <c r="L310" s="185" t="n">
        <v>9</v>
      </c>
      <c r="M310" s="173" t="n">
        <v>22460</v>
      </c>
      <c r="N310" s="184" t="n">
        <v>20438.6</v>
      </c>
      <c r="O310" s="184" t="s">
        <v>971</v>
      </c>
      <c r="P310" s="187" t="n">
        <v>45896</v>
      </c>
      <c r="Q310" s="188" t="n">
        <v>0.979618055555556</v>
      </c>
    </row>
    <row r="311" customFormat="false" ht="57.45" hidden="false" customHeight="false" outlineLevel="0" collapsed="false">
      <c r="A311" s="181" t="s">
        <v>972</v>
      </c>
      <c r="B311" s="182" t="n">
        <v>1255</v>
      </c>
      <c r="C311" s="183" t="n">
        <v>58346</v>
      </c>
      <c r="D311" s="181" t="s">
        <v>831</v>
      </c>
      <c r="E311" s="181" t="s">
        <v>292</v>
      </c>
      <c r="F311" s="181" t="s">
        <v>293</v>
      </c>
      <c r="G311" s="181" t="s">
        <v>228</v>
      </c>
      <c r="H311" s="181" t="s">
        <v>832</v>
      </c>
      <c r="I311" s="181" t="s">
        <v>220</v>
      </c>
      <c r="J311" s="184" t="n">
        <v>36810</v>
      </c>
      <c r="K311" s="184" t="n">
        <v>13910</v>
      </c>
      <c r="L311" s="185" t="n">
        <v>13</v>
      </c>
      <c r="M311" s="173" t="n">
        <v>22900</v>
      </c>
      <c r="N311" s="184" t="n">
        <v>19923</v>
      </c>
      <c r="O311" s="184" t="s">
        <v>973</v>
      </c>
      <c r="P311" s="187" t="n">
        <v>45897</v>
      </c>
      <c r="Q311" s="188" t="n">
        <v>0.406111111111111</v>
      </c>
    </row>
    <row r="312" customFormat="false" ht="57.45" hidden="false" customHeight="false" outlineLevel="0" collapsed="false">
      <c r="A312" s="181" t="s">
        <v>974</v>
      </c>
      <c r="B312" s="182" t="n">
        <v>1256</v>
      </c>
      <c r="C312" s="183" t="n">
        <v>58354</v>
      </c>
      <c r="D312" s="181" t="s">
        <v>831</v>
      </c>
      <c r="E312" s="181" t="s">
        <v>439</v>
      </c>
      <c r="F312" s="181" t="s">
        <v>440</v>
      </c>
      <c r="G312" s="181" t="s">
        <v>228</v>
      </c>
      <c r="H312" s="181" t="s">
        <v>832</v>
      </c>
      <c r="I312" s="181" t="s">
        <v>220</v>
      </c>
      <c r="J312" s="184" t="n">
        <v>39570</v>
      </c>
      <c r="K312" s="184" t="n">
        <v>16130</v>
      </c>
      <c r="L312" s="185" t="n">
        <v>12</v>
      </c>
      <c r="M312" s="173" t="n">
        <v>23440</v>
      </c>
      <c r="N312" s="184" t="n">
        <v>20627.2</v>
      </c>
      <c r="O312" s="184" t="s">
        <v>975</v>
      </c>
      <c r="P312" s="187" t="n">
        <v>45897</v>
      </c>
      <c r="Q312" s="188" t="n">
        <v>0.460219907407407</v>
      </c>
    </row>
    <row r="313" customFormat="false" ht="57.45" hidden="false" customHeight="false" outlineLevel="0" collapsed="false">
      <c r="A313" s="181" t="s">
        <v>976</v>
      </c>
      <c r="B313" s="182" t="n">
        <v>1257</v>
      </c>
      <c r="C313" s="183" t="n">
        <v>58366</v>
      </c>
      <c r="D313" s="181" t="s">
        <v>831</v>
      </c>
      <c r="E313" s="181" t="s">
        <v>272</v>
      </c>
      <c r="F313" s="181" t="s">
        <v>273</v>
      </c>
      <c r="G313" s="181" t="s">
        <v>228</v>
      </c>
      <c r="H313" s="181" t="s">
        <v>832</v>
      </c>
      <c r="I313" s="181" t="s">
        <v>220</v>
      </c>
      <c r="J313" s="184" t="n">
        <v>38040</v>
      </c>
      <c r="K313" s="184" t="n">
        <v>15600</v>
      </c>
      <c r="L313" s="185" t="n">
        <v>9</v>
      </c>
      <c r="M313" s="173" t="n">
        <v>22440</v>
      </c>
      <c r="N313" s="184" t="n">
        <v>20420.4</v>
      </c>
      <c r="O313" s="184" t="s">
        <v>977</v>
      </c>
      <c r="P313" s="187" t="n">
        <v>45897</v>
      </c>
      <c r="Q313" s="188" t="n">
        <v>0.397719907407407</v>
      </c>
    </row>
    <row r="314" customFormat="false" ht="57.45" hidden="false" customHeight="false" outlineLevel="0" collapsed="false">
      <c r="A314" s="181" t="s">
        <v>978</v>
      </c>
      <c r="B314" s="182" t="n">
        <v>1258</v>
      </c>
      <c r="C314" s="183" t="n">
        <v>58368</v>
      </c>
      <c r="D314" s="181" t="s">
        <v>831</v>
      </c>
      <c r="E314" s="181" t="s">
        <v>582</v>
      </c>
      <c r="F314" s="181" t="s">
        <v>583</v>
      </c>
      <c r="G314" s="181" t="s">
        <v>228</v>
      </c>
      <c r="H314" s="181" t="s">
        <v>832</v>
      </c>
      <c r="I314" s="181" t="s">
        <v>220</v>
      </c>
      <c r="J314" s="184" t="n">
        <v>36840</v>
      </c>
      <c r="K314" s="184" t="n">
        <v>14740</v>
      </c>
      <c r="L314" s="185" t="n">
        <v>9</v>
      </c>
      <c r="M314" s="173" t="n">
        <v>22100</v>
      </c>
      <c r="N314" s="184" t="n">
        <v>20111</v>
      </c>
      <c r="O314" s="184" t="s">
        <v>979</v>
      </c>
      <c r="P314" s="187" t="n">
        <v>45897</v>
      </c>
      <c r="Q314" s="188" t="n">
        <v>0.473078703703704</v>
      </c>
    </row>
    <row r="315" customFormat="false" ht="57.45" hidden="false" customHeight="false" outlineLevel="0" collapsed="false">
      <c r="A315" s="181" t="s">
        <v>980</v>
      </c>
      <c r="B315" s="182" t="n">
        <v>1259</v>
      </c>
      <c r="C315" s="183" t="n">
        <v>58370</v>
      </c>
      <c r="D315" s="181" t="s">
        <v>831</v>
      </c>
      <c r="E315" s="181" t="s">
        <v>431</v>
      </c>
      <c r="F315" s="181" t="s">
        <v>432</v>
      </c>
      <c r="G315" s="181" t="s">
        <v>228</v>
      </c>
      <c r="H315" s="181" t="s">
        <v>832</v>
      </c>
      <c r="I315" s="181" t="s">
        <v>220</v>
      </c>
      <c r="J315" s="184" t="n">
        <v>40480</v>
      </c>
      <c r="K315" s="184" t="n">
        <v>16670</v>
      </c>
      <c r="L315" s="185" t="n">
        <v>5</v>
      </c>
      <c r="M315" s="173" t="n">
        <v>23810</v>
      </c>
      <c r="N315" s="184" t="n">
        <v>22619.5</v>
      </c>
      <c r="O315" s="184" t="s">
        <v>981</v>
      </c>
      <c r="P315" s="187" t="n">
        <v>45897</v>
      </c>
      <c r="Q315" s="188" t="n">
        <v>0.487094907407407</v>
      </c>
    </row>
    <row r="316" customFormat="false" ht="57.45" hidden="false" customHeight="false" outlineLevel="0" collapsed="false">
      <c r="A316" s="181" t="s">
        <v>982</v>
      </c>
      <c r="B316" s="182" t="n">
        <v>1260</v>
      </c>
      <c r="C316" s="183" t="n">
        <v>58373</v>
      </c>
      <c r="D316" s="181" t="s">
        <v>831</v>
      </c>
      <c r="E316" s="181" t="s">
        <v>435</v>
      </c>
      <c r="F316" s="181" t="s">
        <v>436</v>
      </c>
      <c r="G316" s="181" t="s">
        <v>228</v>
      </c>
      <c r="H316" s="181" t="s">
        <v>832</v>
      </c>
      <c r="I316" s="181" t="s">
        <v>220</v>
      </c>
      <c r="J316" s="184" t="n">
        <v>39730</v>
      </c>
      <c r="K316" s="184" t="n">
        <v>16540</v>
      </c>
      <c r="L316" s="185" t="n">
        <v>9</v>
      </c>
      <c r="M316" s="173" t="n">
        <v>23190</v>
      </c>
      <c r="N316" s="184" t="n">
        <v>21102.9</v>
      </c>
      <c r="O316" s="184" t="s">
        <v>983</v>
      </c>
      <c r="P316" s="187" t="n">
        <v>45897</v>
      </c>
      <c r="Q316" s="188" t="n">
        <v>0.549236111111111</v>
      </c>
    </row>
    <row r="317" customFormat="false" ht="57.45" hidden="false" customHeight="false" outlineLevel="0" collapsed="false">
      <c r="A317" s="181" t="s">
        <v>984</v>
      </c>
      <c r="B317" s="182" t="n">
        <v>1262</v>
      </c>
      <c r="C317" s="183" t="n">
        <v>58380</v>
      </c>
      <c r="D317" s="181" t="s">
        <v>831</v>
      </c>
      <c r="E317" s="181" t="s">
        <v>336</v>
      </c>
      <c r="F317" s="181" t="s">
        <v>337</v>
      </c>
      <c r="G317" s="181" t="s">
        <v>228</v>
      </c>
      <c r="H317" s="181" t="s">
        <v>832</v>
      </c>
      <c r="I317" s="181" t="s">
        <v>220</v>
      </c>
      <c r="J317" s="184" t="n">
        <v>37960</v>
      </c>
      <c r="K317" s="184" t="n">
        <v>14480</v>
      </c>
      <c r="L317" s="185" t="n">
        <v>17</v>
      </c>
      <c r="M317" s="173" t="n">
        <v>23480</v>
      </c>
      <c r="N317" s="184" t="n">
        <v>19488.4</v>
      </c>
      <c r="O317" s="184" t="s">
        <v>985</v>
      </c>
      <c r="P317" s="187" t="n">
        <v>45897</v>
      </c>
      <c r="Q317" s="188" t="n">
        <v>0.561099537037037</v>
      </c>
    </row>
    <row r="318" customFormat="false" ht="57.45" hidden="false" customHeight="false" outlineLevel="0" collapsed="false">
      <c r="A318" s="181" t="s">
        <v>986</v>
      </c>
      <c r="B318" s="182" t="n">
        <v>1263</v>
      </c>
      <c r="C318" s="183" t="n">
        <v>58382</v>
      </c>
      <c r="D318" s="181" t="s">
        <v>831</v>
      </c>
      <c r="E318" s="181" t="s">
        <v>340</v>
      </c>
      <c r="F318" s="181" t="s">
        <v>341</v>
      </c>
      <c r="G318" s="181" t="s">
        <v>228</v>
      </c>
      <c r="H318" s="181" t="s">
        <v>832</v>
      </c>
      <c r="I318" s="181" t="s">
        <v>220</v>
      </c>
      <c r="J318" s="184" t="n">
        <v>38440</v>
      </c>
      <c r="K318" s="184" t="n">
        <v>15070</v>
      </c>
      <c r="L318" s="185" t="n">
        <v>8</v>
      </c>
      <c r="M318" s="173" t="n">
        <v>23370</v>
      </c>
      <c r="N318" s="184" t="n">
        <v>21500.4</v>
      </c>
      <c r="O318" s="184" t="s">
        <v>987</v>
      </c>
      <c r="P318" s="187" t="n">
        <v>45897</v>
      </c>
      <c r="Q318" s="188" t="n">
        <v>0.569016203703704</v>
      </c>
    </row>
    <row r="319" customFormat="false" ht="57.45" hidden="false" customHeight="false" outlineLevel="0" collapsed="false">
      <c r="A319" s="181" t="s">
        <v>988</v>
      </c>
      <c r="B319" s="182" t="n">
        <v>1266</v>
      </c>
      <c r="C319" s="183" t="n">
        <v>58397</v>
      </c>
      <c r="D319" s="181" t="s">
        <v>831</v>
      </c>
      <c r="E319" s="181" t="s">
        <v>277</v>
      </c>
      <c r="F319" s="181" t="s">
        <v>278</v>
      </c>
      <c r="G319" s="181" t="s">
        <v>228</v>
      </c>
      <c r="H319" s="181" t="s">
        <v>832</v>
      </c>
      <c r="I319" s="181" t="s">
        <v>220</v>
      </c>
      <c r="J319" s="184" t="n">
        <v>40560</v>
      </c>
      <c r="K319" s="184" t="n">
        <v>15180</v>
      </c>
      <c r="L319" s="185" t="n">
        <v>6</v>
      </c>
      <c r="M319" s="173" t="n">
        <v>25380</v>
      </c>
      <c r="N319" s="184" t="n">
        <v>23857.2</v>
      </c>
      <c r="O319" s="184" t="s">
        <v>989</v>
      </c>
      <c r="P319" s="187" t="n">
        <v>45897</v>
      </c>
      <c r="Q319" s="188" t="n">
        <v>0.726724537037037</v>
      </c>
    </row>
    <row r="320" customFormat="false" ht="57.45" hidden="false" customHeight="false" outlineLevel="0" collapsed="false">
      <c r="A320" s="181" t="s">
        <v>990</v>
      </c>
      <c r="B320" s="182" t="n">
        <v>1267</v>
      </c>
      <c r="C320" s="183" t="n">
        <v>58389</v>
      </c>
      <c r="D320" s="181" t="s">
        <v>831</v>
      </c>
      <c r="E320" s="181" t="s">
        <v>391</v>
      </c>
      <c r="F320" s="181" t="s">
        <v>392</v>
      </c>
      <c r="G320" s="181" t="s">
        <v>228</v>
      </c>
      <c r="H320" s="181" t="s">
        <v>832</v>
      </c>
      <c r="I320" s="181" t="s">
        <v>220</v>
      </c>
      <c r="J320" s="184" t="n">
        <v>34920</v>
      </c>
      <c r="K320" s="184" t="n">
        <v>14470</v>
      </c>
      <c r="L320" s="185" t="n">
        <v>11</v>
      </c>
      <c r="M320" s="173" t="n">
        <v>20450</v>
      </c>
      <c r="N320" s="184" t="n">
        <v>18200.5</v>
      </c>
      <c r="O320" s="184" t="s">
        <v>991</v>
      </c>
      <c r="P320" s="187" t="n">
        <v>45897</v>
      </c>
      <c r="Q320" s="188" t="n">
        <v>0.630706018518519</v>
      </c>
    </row>
    <row r="321" customFormat="false" ht="57.45" hidden="false" customHeight="false" outlineLevel="0" collapsed="false">
      <c r="A321" s="181" t="s">
        <v>992</v>
      </c>
      <c r="B321" s="182" t="n">
        <v>1268</v>
      </c>
      <c r="C321" s="183" t="n">
        <v>58391</v>
      </c>
      <c r="D321" s="181" t="s">
        <v>831</v>
      </c>
      <c r="E321" s="181" t="s">
        <v>529</v>
      </c>
      <c r="F321" s="181" t="s">
        <v>530</v>
      </c>
      <c r="G321" s="181" t="s">
        <v>228</v>
      </c>
      <c r="H321" s="181" t="s">
        <v>832</v>
      </c>
      <c r="I321" s="181" t="s">
        <v>220</v>
      </c>
      <c r="J321" s="184" t="n">
        <v>36340</v>
      </c>
      <c r="K321" s="184" t="n">
        <v>14830</v>
      </c>
      <c r="L321" s="185" t="n">
        <v>10</v>
      </c>
      <c r="M321" s="173" t="n">
        <v>21510</v>
      </c>
      <c r="N321" s="184" t="n">
        <v>19359</v>
      </c>
      <c r="O321" s="184" t="s">
        <v>993</v>
      </c>
      <c r="P321" s="187" t="n">
        <v>45897</v>
      </c>
      <c r="Q321" s="188" t="n">
        <v>0.639375</v>
      </c>
    </row>
    <row r="322" customFormat="false" ht="57.45" hidden="false" customHeight="false" outlineLevel="0" collapsed="false">
      <c r="A322" s="181" t="s">
        <v>994</v>
      </c>
      <c r="B322" s="182" t="n">
        <v>1284</v>
      </c>
      <c r="C322" s="183" t="n">
        <v>58407</v>
      </c>
      <c r="D322" s="181" t="s">
        <v>831</v>
      </c>
      <c r="E322" s="181" t="s">
        <v>308</v>
      </c>
      <c r="F322" s="181" t="s">
        <v>309</v>
      </c>
      <c r="G322" s="181" t="s">
        <v>228</v>
      </c>
      <c r="H322" s="181" t="s">
        <v>832</v>
      </c>
      <c r="I322" s="181" t="s">
        <v>220</v>
      </c>
      <c r="J322" s="184" t="n">
        <v>46980</v>
      </c>
      <c r="K322" s="184" t="n">
        <v>24070</v>
      </c>
      <c r="L322" s="185" t="n">
        <v>11</v>
      </c>
      <c r="M322" s="173" t="n">
        <v>22910</v>
      </c>
      <c r="N322" s="184" t="n">
        <v>20389.9</v>
      </c>
      <c r="O322" s="184" t="s">
        <v>995</v>
      </c>
      <c r="P322" s="187" t="n">
        <v>45897</v>
      </c>
      <c r="Q322" s="188" t="n">
        <v>0.732534722222222</v>
      </c>
    </row>
    <row r="323" customFormat="false" ht="57.45" hidden="false" customHeight="false" outlineLevel="0" collapsed="false">
      <c r="A323" s="181" t="s">
        <v>996</v>
      </c>
      <c r="B323" s="182" t="n">
        <v>1286</v>
      </c>
      <c r="C323" s="183" t="n">
        <v>58413</v>
      </c>
      <c r="D323" s="181" t="s">
        <v>831</v>
      </c>
      <c r="E323" s="181" t="s">
        <v>350</v>
      </c>
      <c r="F323" s="181" t="s">
        <v>351</v>
      </c>
      <c r="G323" s="181" t="s">
        <v>228</v>
      </c>
      <c r="H323" s="181" t="s">
        <v>832</v>
      </c>
      <c r="I323" s="181" t="s">
        <v>220</v>
      </c>
      <c r="J323" s="184" t="n">
        <v>39230</v>
      </c>
      <c r="K323" s="184" t="n">
        <v>14950</v>
      </c>
      <c r="L323" s="185" t="n">
        <v>12</v>
      </c>
      <c r="M323" s="173" t="n">
        <v>24280</v>
      </c>
      <c r="N323" s="184" t="n">
        <v>21366.4</v>
      </c>
      <c r="O323" s="184" t="s">
        <v>997</v>
      </c>
      <c r="P323" s="187" t="n">
        <v>45897</v>
      </c>
      <c r="Q323" s="188" t="n">
        <v>0.828344907407407</v>
      </c>
    </row>
    <row r="324" customFormat="false" ht="57.45" hidden="false" customHeight="false" outlineLevel="0" collapsed="false">
      <c r="A324" s="181" t="s">
        <v>998</v>
      </c>
      <c r="B324" s="182" t="n">
        <v>1288</v>
      </c>
      <c r="C324" s="183" t="n">
        <v>58411</v>
      </c>
      <c r="D324" s="181" t="s">
        <v>831</v>
      </c>
      <c r="E324" s="181" t="s">
        <v>373</v>
      </c>
      <c r="F324" s="181" t="s">
        <v>374</v>
      </c>
      <c r="G324" s="181" t="s">
        <v>228</v>
      </c>
      <c r="H324" s="181" t="s">
        <v>832</v>
      </c>
      <c r="I324" s="181" t="s">
        <v>220</v>
      </c>
      <c r="J324" s="184" t="n">
        <v>37910</v>
      </c>
      <c r="K324" s="184" t="n">
        <v>14200</v>
      </c>
      <c r="L324" s="185" t="n">
        <v>8</v>
      </c>
      <c r="M324" s="173" t="n">
        <v>23710</v>
      </c>
      <c r="N324" s="184" t="n">
        <v>21813.2</v>
      </c>
      <c r="O324" s="184" t="s">
        <v>999</v>
      </c>
      <c r="P324" s="187" t="n">
        <v>45897</v>
      </c>
      <c r="Q324" s="188" t="n">
        <v>0.884131944444444</v>
      </c>
    </row>
    <row r="325" customFormat="false" ht="57.45" hidden="false" customHeight="false" outlineLevel="0" collapsed="false">
      <c r="A325" s="181" t="s">
        <v>1000</v>
      </c>
      <c r="B325" s="182" t="n">
        <v>1289</v>
      </c>
      <c r="C325" s="183" t="n">
        <v>58416</v>
      </c>
      <c r="D325" s="181" t="s">
        <v>831</v>
      </c>
      <c r="E325" s="181" t="s">
        <v>541</v>
      </c>
      <c r="F325" s="181" t="s">
        <v>542</v>
      </c>
      <c r="G325" s="181" t="s">
        <v>228</v>
      </c>
      <c r="H325" s="181" t="s">
        <v>832</v>
      </c>
      <c r="I325" s="181" t="s">
        <v>220</v>
      </c>
      <c r="J325" s="184" t="n">
        <v>40490</v>
      </c>
      <c r="K325" s="184" t="n">
        <v>14970</v>
      </c>
      <c r="L325" s="185" t="n">
        <v>15</v>
      </c>
      <c r="M325" s="173" t="n">
        <v>25520</v>
      </c>
      <c r="N325" s="184" t="n">
        <v>21692</v>
      </c>
      <c r="O325" s="184" t="s">
        <v>1001</v>
      </c>
      <c r="P325" s="187" t="n">
        <v>45897</v>
      </c>
      <c r="Q325" s="188" t="n">
        <v>0.886967592592593</v>
      </c>
    </row>
    <row r="326" customFormat="false" ht="57.45" hidden="false" customHeight="false" outlineLevel="0" collapsed="false">
      <c r="A326" s="181" t="s">
        <v>1002</v>
      </c>
      <c r="B326" s="182" t="n">
        <v>1291</v>
      </c>
      <c r="C326" s="183" t="n">
        <v>58418</v>
      </c>
      <c r="D326" s="181" t="s">
        <v>831</v>
      </c>
      <c r="E326" s="181" t="s">
        <v>288</v>
      </c>
      <c r="F326" s="181" t="s">
        <v>289</v>
      </c>
      <c r="G326" s="181" t="s">
        <v>228</v>
      </c>
      <c r="H326" s="181" t="s">
        <v>832</v>
      </c>
      <c r="I326" s="181" t="s">
        <v>220</v>
      </c>
      <c r="J326" s="184" t="n">
        <v>38590</v>
      </c>
      <c r="K326" s="184" t="n">
        <v>14560</v>
      </c>
      <c r="L326" s="185" t="n">
        <v>13</v>
      </c>
      <c r="M326" s="173" t="n">
        <v>24030</v>
      </c>
      <c r="N326" s="184" t="n">
        <v>20906.1</v>
      </c>
      <c r="O326" s="184" t="s">
        <v>1003</v>
      </c>
      <c r="P326" s="187" t="n">
        <v>45897</v>
      </c>
      <c r="Q326" s="188" t="n">
        <v>0.940925925925926</v>
      </c>
    </row>
    <row r="327" customFormat="false" ht="57.45" hidden="false" customHeight="false" outlineLevel="0" collapsed="false">
      <c r="A327" s="181" t="s">
        <v>1004</v>
      </c>
      <c r="B327" s="182" t="n">
        <v>1292</v>
      </c>
      <c r="C327" s="183" t="n">
        <v>58420</v>
      </c>
      <c r="D327" s="181" t="s">
        <v>831</v>
      </c>
      <c r="E327" s="181" t="s">
        <v>399</v>
      </c>
      <c r="F327" s="181" t="s">
        <v>400</v>
      </c>
      <c r="G327" s="181" t="s">
        <v>228</v>
      </c>
      <c r="H327" s="181" t="s">
        <v>832</v>
      </c>
      <c r="I327" s="181" t="s">
        <v>220</v>
      </c>
      <c r="J327" s="184" t="n">
        <v>46960</v>
      </c>
      <c r="K327" s="184" t="n">
        <v>19350</v>
      </c>
      <c r="L327" s="185" t="n">
        <v>6</v>
      </c>
      <c r="M327" s="173" t="n">
        <v>27610</v>
      </c>
      <c r="N327" s="184" t="n">
        <v>25953.4</v>
      </c>
      <c r="O327" s="184" t="s">
        <v>1005</v>
      </c>
      <c r="P327" s="187" t="n">
        <v>45897</v>
      </c>
      <c r="Q327" s="188" t="n">
        <v>0.983020833333333</v>
      </c>
    </row>
    <row r="328" customFormat="false" ht="57.45" hidden="false" customHeight="false" outlineLevel="0" collapsed="false">
      <c r="A328" s="181" t="s">
        <v>1006</v>
      </c>
      <c r="B328" s="182" t="n">
        <v>1293</v>
      </c>
      <c r="C328" s="183" t="n">
        <v>58432</v>
      </c>
      <c r="D328" s="181" t="s">
        <v>831</v>
      </c>
      <c r="E328" s="181" t="s">
        <v>282</v>
      </c>
      <c r="F328" s="181" t="s">
        <v>283</v>
      </c>
      <c r="G328" s="181" t="s">
        <v>228</v>
      </c>
      <c r="H328" s="181" t="s">
        <v>832</v>
      </c>
      <c r="I328" s="181" t="s">
        <v>220</v>
      </c>
      <c r="J328" s="184" t="n">
        <v>39220</v>
      </c>
      <c r="K328" s="184" t="n">
        <v>15040</v>
      </c>
      <c r="L328" s="185" t="n">
        <v>6</v>
      </c>
      <c r="M328" s="173" t="n">
        <v>24180</v>
      </c>
      <c r="N328" s="184" t="n">
        <v>22729.2</v>
      </c>
      <c r="O328" s="184" t="s">
        <v>1007</v>
      </c>
      <c r="P328" s="187" t="n">
        <v>45897</v>
      </c>
      <c r="Q328" s="188" t="n">
        <v>0.84974537037037</v>
      </c>
    </row>
    <row r="329" customFormat="false" ht="57.45" hidden="false" customHeight="false" outlineLevel="0" collapsed="false">
      <c r="A329" s="181" t="s">
        <v>1008</v>
      </c>
      <c r="B329" s="182" t="n">
        <v>1294</v>
      </c>
      <c r="C329" s="183" t="n">
        <v>58427</v>
      </c>
      <c r="D329" s="181" t="s">
        <v>831</v>
      </c>
      <c r="E329" s="181" t="s">
        <v>387</v>
      </c>
      <c r="F329" s="181" t="s">
        <v>388</v>
      </c>
      <c r="G329" s="181" t="s">
        <v>228</v>
      </c>
      <c r="H329" s="181" t="s">
        <v>832</v>
      </c>
      <c r="I329" s="181" t="s">
        <v>220</v>
      </c>
      <c r="J329" s="184" t="n">
        <v>39160</v>
      </c>
      <c r="K329" s="184" t="n">
        <v>14970</v>
      </c>
      <c r="L329" s="185" t="n">
        <v>7</v>
      </c>
      <c r="M329" s="173" t="n">
        <v>24190</v>
      </c>
      <c r="N329" s="184" t="n">
        <v>22496.7</v>
      </c>
      <c r="O329" s="184" t="s">
        <v>1009</v>
      </c>
      <c r="P329" s="187" t="n">
        <v>45897</v>
      </c>
      <c r="Q329" s="188" t="n">
        <v>0.869085648148148</v>
      </c>
    </row>
    <row r="330" customFormat="false" ht="57.45" hidden="false" customHeight="false" outlineLevel="0" collapsed="false">
      <c r="A330" s="181" t="s">
        <v>1010</v>
      </c>
      <c r="B330" s="182" t="n">
        <v>1295</v>
      </c>
      <c r="C330" s="183" t="n">
        <v>58437</v>
      </c>
      <c r="D330" s="181" t="s">
        <v>831</v>
      </c>
      <c r="E330" s="181" t="s">
        <v>533</v>
      </c>
      <c r="F330" s="181" t="s">
        <v>534</v>
      </c>
      <c r="G330" s="181" t="s">
        <v>228</v>
      </c>
      <c r="H330" s="181" t="s">
        <v>832</v>
      </c>
      <c r="I330" s="181" t="s">
        <v>220</v>
      </c>
      <c r="J330" s="184" t="n">
        <v>40960</v>
      </c>
      <c r="K330" s="184" t="n">
        <v>14620</v>
      </c>
      <c r="L330" s="185" t="n">
        <v>7</v>
      </c>
      <c r="M330" s="173" t="n">
        <v>26340</v>
      </c>
      <c r="N330" s="184" t="n">
        <v>24496.2</v>
      </c>
      <c r="O330" s="184" t="s">
        <v>1011</v>
      </c>
      <c r="P330" s="187" t="n">
        <v>45897</v>
      </c>
      <c r="Q330" s="188" t="n">
        <v>0.88056712962963</v>
      </c>
    </row>
    <row r="331" customFormat="false" ht="57.45" hidden="false" customHeight="false" outlineLevel="0" collapsed="false">
      <c r="A331" s="181" t="s">
        <v>1012</v>
      </c>
      <c r="B331" s="182" t="n">
        <v>1296</v>
      </c>
      <c r="C331" s="183" t="n">
        <v>58425</v>
      </c>
      <c r="D331" s="181" t="s">
        <v>831</v>
      </c>
      <c r="E331" s="181" t="s">
        <v>549</v>
      </c>
      <c r="F331" s="181" t="s">
        <v>550</v>
      </c>
      <c r="G331" s="181" t="s">
        <v>228</v>
      </c>
      <c r="H331" s="181" t="s">
        <v>832</v>
      </c>
      <c r="I331" s="181" t="s">
        <v>220</v>
      </c>
      <c r="J331" s="184" t="n">
        <v>41180</v>
      </c>
      <c r="K331" s="184" t="n">
        <v>15670</v>
      </c>
      <c r="L331" s="185" t="n">
        <v>9</v>
      </c>
      <c r="M331" s="173" t="n">
        <v>25510</v>
      </c>
      <c r="N331" s="184" t="n">
        <v>23214.1</v>
      </c>
      <c r="O331" s="184" t="s">
        <v>1013</v>
      </c>
      <c r="P331" s="187" t="n">
        <v>45897</v>
      </c>
      <c r="Q331" s="188" t="n">
        <v>0.886863425925926</v>
      </c>
    </row>
    <row r="332" customFormat="false" ht="57.45" hidden="false" customHeight="false" outlineLevel="0" collapsed="false">
      <c r="A332" s="181" t="s">
        <v>1014</v>
      </c>
      <c r="B332" s="182" t="n">
        <v>1297</v>
      </c>
      <c r="C332" s="183" t="n">
        <v>58440</v>
      </c>
      <c r="D332" s="181" t="s">
        <v>831</v>
      </c>
      <c r="E332" s="181" t="s">
        <v>377</v>
      </c>
      <c r="F332" s="181" t="s">
        <v>378</v>
      </c>
      <c r="G332" s="181" t="s">
        <v>228</v>
      </c>
      <c r="H332" s="181" t="s">
        <v>832</v>
      </c>
      <c r="I332" s="181" t="s">
        <v>220</v>
      </c>
      <c r="J332" s="184" t="n">
        <v>39780</v>
      </c>
      <c r="K332" s="184" t="n">
        <v>15580</v>
      </c>
      <c r="L332" s="185" t="n">
        <v>6</v>
      </c>
      <c r="M332" s="173" t="n">
        <v>24200</v>
      </c>
      <c r="N332" s="184" t="n">
        <v>22748</v>
      </c>
      <c r="O332" s="184" t="s">
        <v>1015</v>
      </c>
      <c r="P332" s="187" t="n">
        <v>45897</v>
      </c>
      <c r="Q332" s="188" t="n">
        <v>0.91224537037037</v>
      </c>
    </row>
    <row r="333" customFormat="false" ht="57.45" hidden="false" customHeight="false" outlineLevel="0" collapsed="false">
      <c r="A333" s="181" t="s">
        <v>1016</v>
      </c>
      <c r="B333" s="182" t="n">
        <v>1298</v>
      </c>
      <c r="C333" s="183" t="n">
        <v>58448</v>
      </c>
      <c r="D333" s="181" t="s">
        <v>831</v>
      </c>
      <c r="E333" s="181" t="s">
        <v>545</v>
      </c>
      <c r="F333" s="181" t="s">
        <v>546</v>
      </c>
      <c r="G333" s="181" t="s">
        <v>228</v>
      </c>
      <c r="H333" s="181" t="s">
        <v>832</v>
      </c>
      <c r="I333" s="181" t="s">
        <v>220</v>
      </c>
      <c r="J333" s="184" t="n">
        <v>42440</v>
      </c>
      <c r="K333" s="184" t="n">
        <v>16120</v>
      </c>
      <c r="L333" s="185" t="n">
        <v>6</v>
      </c>
      <c r="M333" s="173" t="n">
        <v>26320</v>
      </c>
      <c r="N333" s="184" t="n">
        <v>24740.8</v>
      </c>
      <c r="O333" s="184" t="s">
        <v>1017</v>
      </c>
      <c r="P333" s="187" t="n">
        <v>45897</v>
      </c>
      <c r="Q333" s="188" t="n">
        <v>0.947592592592593</v>
      </c>
    </row>
    <row r="334" customFormat="false" ht="57.45" hidden="false" customHeight="false" outlineLevel="0" collapsed="false">
      <c r="A334" s="181" t="s">
        <v>1018</v>
      </c>
      <c r="B334" s="182" t="n">
        <v>1300</v>
      </c>
      <c r="C334" s="183" t="n">
        <v>58445</v>
      </c>
      <c r="D334" s="181" t="s">
        <v>831</v>
      </c>
      <c r="E334" s="181" t="s">
        <v>1019</v>
      </c>
      <c r="F334" s="181" t="s">
        <v>1020</v>
      </c>
      <c r="G334" s="181" t="s">
        <v>227</v>
      </c>
      <c r="H334" s="181" t="s">
        <v>520</v>
      </c>
      <c r="I334" s="181" t="s">
        <v>220</v>
      </c>
      <c r="J334" s="184" t="n">
        <v>43980</v>
      </c>
      <c r="K334" s="184" t="n">
        <v>17080</v>
      </c>
      <c r="L334" s="185" t="n">
        <v>13</v>
      </c>
      <c r="M334" s="173" t="n">
        <v>26900</v>
      </c>
      <c r="N334" s="184" t="n">
        <v>23403</v>
      </c>
      <c r="O334" s="184" t="s">
        <v>1021</v>
      </c>
      <c r="P334" s="187" t="n">
        <v>45898</v>
      </c>
      <c r="Q334" s="188" t="n">
        <v>0.338020833333333</v>
      </c>
    </row>
    <row r="335" customFormat="false" ht="57.45" hidden="false" customHeight="false" outlineLevel="0" collapsed="false">
      <c r="A335" s="181" t="s">
        <v>1022</v>
      </c>
      <c r="B335" s="182" t="n">
        <v>1302</v>
      </c>
      <c r="C335" s="183" t="n">
        <v>58450</v>
      </c>
      <c r="D335" s="181" t="s">
        <v>831</v>
      </c>
      <c r="E335" s="181" t="s">
        <v>1023</v>
      </c>
      <c r="F335" s="181" t="s">
        <v>1024</v>
      </c>
      <c r="G335" s="181" t="s">
        <v>227</v>
      </c>
      <c r="H335" s="181" t="s">
        <v>520</v>
      </c>
      <c r="I335" s="181" t="s">
        <v>220</v>
      </c>
      <c r="J335" s="184" t="n">
        <v>35120</v>
      </c>
      <c r="K335" s="184" t="n">
        <v>14740</v>
      </c>
      <c r="L335" s="185" t="n">
        <v>8</v>
      </c>
      <c r="M335" s="173" t="n">
        <v>20380</v>
      </c>
      <c r="N335" s="184" t="n">
        <v>18749.6</v>
      </c>
      <c r="O335" s="184" t="s">
        <v>1025</v>
      </c>
      <c r="P335" s="187" t="n">
        <v>45898</v>
      </c>
      <c r="Q335" s="188" t="n">
        <v>0.392326388888889</v>
      </c>
    </row>
    <row r="336" customFormat="false" ht="57.45" hidden="false" customHeight="false" outlineLevel="0" collapsed="false">
      <c r="A336" s="181" t="s">
        <v>1026</v>
      </c>
      <c r="B336" s="182" t="n">
        <v>1303</v>
      </c>
      <c r="C336" s="183" t="n">
        <v>58452</v>
      </c>
      <c r="D336" s="181" t="s">
        <v>831</v>
      </c>
      <c r="E336" s="181" t="s">
        <v>1027</v>
      </c>
      <c r="F336" s="181" t="s">
        <v>1028</v>
      </c>
      <c r="G336" s="181" t="s">
        <v>227</v>
      </c>
      <c r="H336" s="181" t="s">
        <v>520</v>
      </c>
      <c r="I336" s="181" t="s">
        <v>220</v>
      </c>
      <c r="J336" s="184" t="n">
        <v>37730</v>
      </c>
      <c r="K336" s="184" t="n">
        <v>14970</v>
      </c>
      <c r="L336" s="185" t="n">
        <v>6</v>
      </c>
      <c r="M336" s="173" t="n">
        <v>22760</v>
      </c>
      <c r="N336" s="184" t="n">
        <v>21394.4</v>
      </c>
      <c r="O336" s="184" t="s">
        <v>1029</v>
      </c>
      <c r="P336" s="187" t="n">
        <v>45898</v>
      </c>
      <c r="Q336" s="188" t="n">
        <v>0.460451388888889</v>
      </c>
    </row>
    <row r="337" customFormat="false" ht="57.45" hidden="false" customHeight="false" outlineLevel="0" collapsed="false">
      <c r="A337" s="181" t="s">
        <v>1030</v>
      </c>
      <c r="B337" s="182" t="n">
        <v>1304</v>
      </c>
      <c r="C337" s="183" t="n">
        <v>58523</v>
      </c>
      <c r="D337" s="181" t="s">
        <v>831</v>
      </c>
      <c r="E337" s="181" t="s">
        <v>292</v>
      </c>
      <c r="F337" s="181" t="s">
        <v>293</v>
      </c>
      <c r="G337" s="181" t="s">
        <v>227</v>
      </c>
      <c r="H337" s="181" t="s">
        <v>520</v>
      </c>
      <c r="I337" s="181" t="s">
        <v>220</v>
      </c>
      <c r="J337" s="184" t="n">
        <v>36380</v>
      </c>
      <c r="K337" s="184" t="n">
        <v>13920</v>
      </c>
      <c r="L337" s="185" t="n">
        <v>7</v>
      </c>
      <c r="M337" s="173" t="n">
        <v>22460</v>
      </c>
      <c r="N337" s="184" t="n">
        <v>20887.8</v>
      </c>
      <c r="O337" s="184" t="s">
        <v>1031</v>
      </c>
      <c r="P337" s="187" t="n">
        <v>45898</v>
      </c>
      <c r="Q337" s="188" t="n">
        <v>0.469351851851852</v>
      </c>
    </row>
    <row r="338" customFormat="false" ht="57.45" hidden="false" customHeight="false" outlineLevel="0" collapsed="false">
      <c r="A338" s="181" t="s">
        <v>1032</v>
      </c>
      <c r="B338" s="182" t="n">
        <v>1305</v>
      </c>
      <c r="C338" s="183" t="n">
        <v>58492</v>
      </c>
      <c r="D338" s="181" t="s">
        <v>831</v>
      </c>
      <c r="E338" s="181" t="s">
        <v>300</v>
      </c>
      <c r="F338" s="181" t="s">
        <v>301</v>
      </c>
      <c r="G338" s="181" t="s">
        <v>227</v>
      </c>
      <c r="H338" s="181" t="s">
        <v>520</v>
      </c>
      <c r="I338" s="181" t="s">
        <v>220</v>
      </c>
      <c r="J338" s="184" t="n">
        <v>45120</v>
      </c>
      <c r="K338" s="184" t="n">
        <v>20860</v>
      </c>
      <c r="L338" s="185" t="n">
        <v>8</v>
      </c>
      <c r="M338" s="173" t="n">
        <v>24260</v>
      </c>
      <c r="N338" s="184" t="n">
        <v>22319.2</v>
      </c>
      <c r="O338" s="184" t="s">
        <v>1033</v>
      </c>
      <c r="P338" s="187" t="n">
        <v>45898</v>
      </c>
      <c r="Q338" s="188" t="n">
        <v>0.476851851851852</v>
      </c>
    </row>
    <row r="339" customFormat="false" ht="57.45" hidden="false" customHeight="false" outlineLevel="0" collapsed="false">
      <c r="A339" s="181" t="s">
        <v>1034</v>
      </c>
      <c r="B339" s="182" t="n">
        <v>1306</v>
      </c>
      <c r="C339" s="183" t="n">
        <v>58462</v>
      </c>
      <c r="D339" s="181" t="s">
        <v>831</v>
      </c>
      <c r="E339" s="181" t="s">
        <v>537</v>
      </c>
      <c r="F339" s="181" t="s">
        <v>538</v>
      </c>
      <c r="G339" s="181" t="s">
        <v>227</v>
      </c>
      <c r="H339" s="181" t="s">
        <v>520</v>
      </c>
      <c r="I339" s="181" t="s">
        <v>220</v>
      </c>
      <c r="J339" s="184" t="n">
        <v>35850</v>
      </c>
      <c r="K339" s="184" t="n">
        <v>13980</v>
      </c>
      <c r="L339" s="185" t="n">
        <v>8</v>
      </c>
      <c r="M339" s="173" t="n">
        <v>21870</v>
      </c>
      <c r="N339" s="184" t="n">
        <v>20120.4</v>
      </c>
      <c r="O339" s="184" t="s">
        <v>1035</v>
      </c>
      <c r="P339" s="187" t="n">
        <v>45898</v>
      </c>
      <c r="Q339" s="188" t="n">
        <v>0.485324074074074</v>
      </c>
    </row>
    <row r="340" customFormat="false" ht="57.45" hidden="false" customHeight="false" outlineLevel="0" collapsed="false">
      <c r="A340" s="181" t="s">
        <v>1036</v>
      </c>
      <c r="B340" s="182" t="n">
        <v>1307</v>
      </c>
      <c r="C340" s="183" t="n">
        <v>58525</v>
      </c>
      <c r="D340" s="181" t="s">
        <v>831</v>
      </c>
      <c r="E340" s="181" t="s">
        <v>346</v>
      </c>
      <c r="F340" s="181" t="s">
        <v>347</v>
      </c>
      <c r="G340" s="181" t="s">
        <v>227</v>
      </c>
      <c r="H340" s="181" t="s">
        <v>520</v>
      </c>
      <c r="I340" s="181" t="s">
        <v>220</v>
      </c>
      <c r="J340" s="184" t="n">
        <v>37740</v>
      </c>
      <c r="K340" s="184" t="n">
        <v>15030</v>
      </c>
      <c r="L340" s="185" t="n">
        <v>4</v>
      </c>
      <c r="M340" s="173" t="n">
        <v>22710</v>
      </c>
      <c r="N340" s="184" t="n">
        <v>21801.6</v>
      </c>
      <c r="O340" s="184" t="s">
        <v>1037</v>
      </c>
      <c r="P340" s="187" t="n">
        <v>45898</v>
      </c>
      <c r="Q340" s="188" t="n">
        <v>0.521909722222222</v>
      </c>
    </row>
    <row r="341" customFormat="false" ht="57.45" hidden="false" customHeight="false" outlineLevel="0" collapsed="false">
      <c r="A341" s="181" t="s">
        <v>1038</v>
      </c>
      <c r="B341" s="182" t="n">
        <v>1311</v>
      </c>
      <c r="C341" s="183" t="n">
        <v>58535</v>
      </c>
      <c r="D341" s="181" t="s">
        <v>831</v>
      </c>
      <c r="E341" s="181" t="s">
        <v>409</v>
      </c>
      <c r="F341" s="181" t="s">
        <v>410</v>
      </c>
      <c r="G341" s="181" t="s">
        <v>227</v>
      </c>
      <c r="H341" s="181" t="s">
        <v>520</v>
      </c>
      <c r="I341" s="181" t="s">
        <v>220</v>
      </c>
      <c r="J341" s="184" t="n">
        <v>47000</v>
      </c>
      <c r="K341" s="184" t="n">
        <v>24160</v>
      </c>
      <c r="L341" s="185" t="n">
        <v>6</v>
      </c>
      <c r="M341" s="173" t="n">
        <v>22840</v>
      </c>
      <c r="N341" s="184" t="n">
        <v>21469.6</v>
      </c>
      <c r="O341" s="184" t="s">
        <v>1039</v>
      </c>
      <c r="P341" s="187" t="n">
        <v>45898</v>
      </c>
      <c r="Q341" s="188" t="n">
        <v>0.592986111111111</v>
      </c>
    </row>
    <row r="342" customFormat="false" ht="57.45" hidden="false" customHeight="false" outlineLevel="0" collapsed="false">
      <c r="A342" s="181" t="s">
        <v>1040</v>
      </c>
      <c r="B342" s="182" t="n">
        <v>1312</v>
      </c>
      <c r="C342" s="183" t="n">
        <v>58513</v>
      </c>
      <c r="D342" s="181" t="s">
        <v>831</v>
      </c>
      <c r="E342" s="181" t="s">
        <v>413</v>
      </c>
      <c r="F342" s="181" t="s">
        <v>414</v>
      </c>
      <c r="G342" s="181" t="s">
        <v>227</v>
      </c>
      <c r="H342" s="181" t="s">
        <v>520</v>
      </c>
      <c r="I342" s="181" t="s">
        <v>220</v>
      </c>
      <c r="J342" s="184" t="n">
        <v>42350</v>
      </c>
      <c r="K342" s="184" t="n">
        <v>15590</v>
      </c>
      <c r="L342" s="185" t="n">
        <v>6</v>
      </c>
      <c r="M342" s="173" t="n">
        <v>26760</v>
      </c>
      <c r="N342" s="184" t="n">
        <v>25154.4</v>
      </c>
      <c r="O342" s="184" t="s">
        <v>1041</v>
      </c>
      <c r="P342" s="187" t="n">
        <v>45898</v>
      </c>
      <c r="Q342" s="188" t="n">
        <v>0.603263888888889</v>
      </c>
    </row>
    <row r="343" customFormat="false" ht="57.45" hidden="false" customHeight="false" outlineLevel="0" collapsed="false">
      <c r="A343" s="181" t="s">
        <v>1042</v>
      </c>
      <c r="B343" s="182" t="n">
        <v>1314</v>
      </c>
      <c r="C343" s="183" t="n">
        <v>58537</v>
      </c>
      <c r="D343" s="181" t="s">
        <v>831</v>
      </c>
      <c r="E343" s="181" t="s">
        <v>354</v>
      </c>
      <c r="F343" s="181" t="s">
        <v>355</v>
      </c>
      <c r="G343" s="181" t="s">
        <v>227</v>
      </c>
      <c r="H343" s="181" t="s">
        <v>520</v>
      </c>
      <c r="I343" s="181" t="s">
        <v>220</v>
      </c>
      <c r="J343" s="184" t="n">
        <v>36610</v>
      </c>
      <c r="K343" s="184" t="n">
        <v>14740</v>
      </c>
      <c r="L343" s="185" t="n">
        <v>6</v>
      </c>
      <c r="M343" s="173" t="n">
        <v>21870</v>
      </c>
      <c r="N343" s="184" t="n">
        <v>20557.8</v>
      </c>
      <c r="O343" s="184" t="s">
        <v>1043</v>
      </c>
      <c r="P343" s="187" t="n">
        <v>45898</v>
      </c>
      <c r="Q343" s="188" t="n">
        <v>0.663738425925926</v>
      </c>
    </row>
    <row r="344" customFormat="false" ht="57.45" hidden="false" customHeight="false" outlineLevel="0" collapsed="false">
      <c r="A344" s="181" t="s">
        <v>1044</v>
      </c>
      <c r="B344" s="182" t="n">
        <v>1315</v>
      </c>
      <c r="C344" s="183" t="n">
        <v>58539</v>
      </c>
      <c r="D344" s="181" t="s">
        <v>831</v>
      </c>
      <c r="E344" s="181" t="s">
        <v>359</v>
      </c>
      <c r="F344" s="181" t="s">
        <v>360</v>
      </c>
      <c r="G344" s="181" t="s">
        <v>227</v>
      </c>
      <c r="H344" s="181" t="s">
        <v>520</v>
      </c>
      <c r="I344" s="181" t="s">
        <v>220</v>
      </c>
      <c r="J344" s="184" t="n">
        <v>37510</v>
      </c>
      <c r="K344" s="184" t="n">
        <v>14910</v>
      </c>
      <c r="L344" s="185" t="n">
        <v>8</v>
      </c>
      <c r="M344" s="173" t="n">
        <v>22600</v>
      </c>
      <c r="N344" s="184" t="n">
        <v>20792</v>
      </c>
      <c r="O344" s="184" t="s">
        <v>1045</v>
      </c>
      <c r="P344" s="187" t="n">
        <v>45898</v>
      </c>
      <c r="Q344" s="188" t="n">
        <v>0.669722222222222</v>
      </c>
    </row>
    <row r="345" customFormat="false" ht="57.45" hidden="false" customHeight="false" outlineLevel="0" collapsed="false">
      <c r="A345" s="181" t="s">
        <v>1046</v>
      </c>
      <c r="B345" s="182" t="n">
        <v>1332</v>
      </c>
      <c r="C345" s="183" t="n">
        <v>58542</v>
      </c>
      <c r="D345" s="181" t="s">
        <v>831</v>
      </c>
      <c r="E345" s="181" t="s">
        <v>576</v>
      </c>
      <c r="F345" s="181" t="s">
        <v>577</v>
      </c>
      <c r="G345" s="181" t="s">
        <v>227</v>
      </c>
      <c r="H345" s="181" t="s">
        <v>520</v>
      </c>
      <c r="I345" s="181" t="s">
        <v>220</v>
      </c>
      <c r="J345" s="184" t="n">
        <v>38140</v>
      </c>
      <c r="K345" s="184" t="n">
        <v>14430</v>
      </c>
      <c r="L345" s="185" t="n">
        <v>6</v>
      </c>
      <c r="M345" s="173" t="n">
        <v>23710</v>
      </c>
      <c r="N345" s="184" t="n">
        <v>22287.4</v>
      </c>
      <c r="O345" s="184" t="s">
        <v>1047</v>
      </c>
      <c r="P345" s="187" t="n">
        <v>45898</v>
      </c>
      <c r="Q345" s="188" t="n">
        <v>0.811747685185185</v>
      </c>
    </row>
    <row r="346" customFormat="false" ht="57.45" hidden="false" customHeight="false" outlineLevel="0" collapsed="false">
      <c r="A346" s="181" t="s">
        <v>1048</v>
      </c>
      <c r="B346" s="182" t="n">
        <v>1333</v>
      </c>
      <c r="C346" s="183" t="n">
        <v>58544</v>
      </c>
      <c r="D346" s="181" t="s">
        <v>831</v>
      </c>
      <c r="E346" s="181" t="s">
        <v>261</v>
      </c>
      <c r="F346" s="181" t="s">
        <v>262</v>
      </c>
      <c r="G346" s="181" t="s">
        <v>227</v>
      </c>
      <c r="H346" s="181" t="s">
        <v>520</v>
      </c>
      <c r="I346" s="181" t="s">
        <v>220</v>
      </c>
      <c r="J346" s="184" t="n">
        <v>38140</v>
      </c>
      <c r="K346" s="184" t="n">
        <v>15040</v>
      </c>
      <c r="L346" s="185" t="n">
        <v>5</v>
      </c>
      <c r="M346" s="173" t="n">
        <v>23100</v>
      </c>
      <c r="N346" s="184" t="n">
        <v>21945</v>
      </c>
      <c r="O346" s="184" t="s">
        <v>1049</v>
      </c>
      <c r="P346" s="187" t="n">
        <v>45898</v>
      </c>
      <c r="Q346" s="188" t="n">
        <v>0.824675925925926</v>
      </c>
    </row>
    <row r="347" customFormat="false" ht="57.45" hidden="false" customHeight="false" outlineLevel="0" collapsed="false">
      <c r="A347" s="181" t="s">
        <v>1050</v>
      </c>
      <c r="B347" s="182" t="n">
        <v>1335</v>
      </c>
      <c r="C347" s="183" t="n">
        <v>58509</v>
      </c>
      <c r="D347" s="181" t="s">
        <v>831</v>
      </c>
      <c r="E347" s="181" t="s">
        <v>340</v>
      </c>
      <c r="F347" s="181" t="s">
        <v>341</v>
      </c>
      <c r="G347" s="181" t="s">
        <v>227</v>
      </c>
      <c r="H347" s="181" t="s">
        <v>520</v>
      </c>
      <c r="I347" s="181" t="s">
        <v>220</v>
      </c>
      <c r="J347" s="184" t="n">
        <v>38340</v>
      </c>
      <c r="K347" s="184" t="n">
        <v>15030</v>
      </c>
      <c r="L347" s="185" t="n">
        <v>6</v>
      </c>
      <c r="M347" s="173" t="n">
        <v>23310</v>
      </c>
      <c r="N347" s="184" t="n">
        <v>21911.4</v>
      </c>
      <c r="O347" s="184" t="s">
        <v>1051</v>
      </c>
      <c r="P347" s="187" t="n">
        <v>45898</v>
      </c>
      <c r="Q347" s="188" t="n">
        <v>0.917835648148148</v>
      </c>
    </row>
    <row r="348" customFormat="false" ht="57.45" hidden="false" customHeight="false" outlineLevel="0" collapsed="false">
      <c r="A348" s="181" t="s">
        <v>1052</v>
      </c>
      <c r="B348" s="182" t="n">
        <v>1336</v>
      </c>
      <c r="C348" s="183" t="n">
        <v>58511</v>
      </c>
      <c r="D348" s="181" t="s">
        <v>831</v>
      </c>
      <c r="E348" s="181" t="s">
        <v>1053</v>
      </c>
      <c r="F348" s="181" t="s">
        <v>337</v>
      </c>
      <c r="G348" s="181" t="s">
        <v>227</v>
      </c>
      <c r="H348" s="181" t="s">
        <v>520</v>
      </c>
      <c r="I348" s="181" t="s">
        <v>220</v>
      </c>
      <c r="J348" s="184" t="n">
        <v>37500</v>
      </c>
      <c r="K348" s="184" t="n">
        <v>14450</v>
      </c>
      <c r="L348" s="185" t="n">
        <v>8</v>
      </c>
      <c r="M348" s="173" t="n">
        <v>23050</v>
      </c>
      <c r="N348" s="184" t="n">
        <v>21206</v>
      </c>
      <c r="O348" s="184" t="s">
        <v>1054</v>
      </c>
      <c r="P348" s="187" t="n">
        <v>45898</v>
      </c>
      <c r="Q348" s="188" t="n">
        <v>0.965208333333333</v>
      </c>
    </row>
    <row r="349" customFormat="false" ht="57.45" hidden="false" customHeight="false" outlineLevel="0" collapsed="false">
      <c r="A349" s="181" t="s">
        <v>1055</v>
      </c>
      <c r="B349" s="182" t="n">
        <v>1337</v>
      </c>
      <c r="C349" s="183" t="n">
        <v>58546</v>
      </c>
      <c r="D349" s="181" t="s">
        <v>831</v>
      </c>
      <c r="E349" s="181" t="s">
        <v>296</v>
      </c>
      <c r="F349" s="181" t="s">
        <v>297</v>
      </c>
      <c r="G349" s="181" t="s">
        <v>227</v>
      </c>
      <c r="H349" s="181" t="s">
        <v>520</v>
      </c>
      <c r="I349" s="181" t="s">
        <v>220</v>
      </c>
      <c r="J349" s="184" t="n">
        <v>38710</v>
      </c>
      <c r="K349" s="184" t="n">
        <v>15400</v>
      </c>
      <c r="L349" s="185" t="n">
        <v>4</v>
      </c>
      <c r="M349" s="173" t="n">
        <v>23310</v>
      </c>
      <c r="N349" s="184" t="n">
        <v>22377.6</v>
      </c>
      <c r="O349" s="184" t="s">
        <v>1056</v>
      </c>
      <c r="P349" s="187" t="n">
        <v>45898</v>
      </c>
      <c r="Q349" s="188" t="n">
        <v>0.984571759259259</v>
      </c>
    </row>
    <row r="350" customFormat="false" ht="57.45" hidden="false" customHeight="false" outlineLevel="0" collapsed="false">
      <c r="A350" s="181" t="s">
        <v>1057</v>
      </c>
      <c r="B350" s="182" t="n">
        <v>1338</v>
      </c>
      <c r="C350" s="183" t="n">
        <v>58548</v>
      </c>
      <c r="D350" s="181" t="s">
        <v>831</v>
      </c>
      <c r="E350" s="181" t="s">
        <v>266</v>
      </c>
      <c r="F350" s="181" t="s">
        <v>267</v>
      </c>
      <c r="G350" s="181" t="s">
        <v>227</v>
      </c>
      <c r="H350" s="181" t="s">
        <v>520</v>
      </c>
      <c r="I350" s="181" t="s">
        <v>220</v>
      </c>
      <c r="J350" s="184" t="n">
        <v>39510</v>
      </c>
      <c r="K350" s="184" t="n">
        <v>14930</v>
      </c>
      <c r="L350" s="185" t="n">
        <v>7</v>
      </c>
      <c r="M350" s="173" t="n">
        <v>24580</v>
      </c>
      <c r="N350" s="184" t="n">
        <v>22859.4</v>
      </c>
      <c r="O350" s="184" t="s">
        <v>1058</v>
      </c>
      <c r="P350" s="187" t="n">
        <v>45898</v>
      </c>
      <c r="Q350" s="188" t="n">
        <v>0.86005787037037</v>
      </c>
    </row>
    <row r="351" customFormat="false" ht="57.45" hidden="false" customHeight="false" outlineLevel="0" collapsed="false">
      <c r="A351" s="181" t="s">
        <v>1059</v>
      </c>
      <c r="B351" s="182" t="n">
        <v>1339</v>
      </c>
      <c r="C351" s="183" t="n">
        <v>58552</v>
      </c>
      <c r="D351" s="181" t="s">
        <v>831</v>
      </c>
      <c r="E351" s="181" t="s">
        <v>350</v>
      </c>
      <c r="F351" s="181" t="s">
        <v>351</v>
      </c>
      <c r="G351" s="181" t="s">
        <v>227</v>
      </c>
      <c r="H351" s="181" t="s">
        <v>520</v>
      </c>
      <c r="I351" s="181" t="s">
        <v>220</v>
      </c>
      <c r="J351" s="184" t="n">
        <v>39920</v>
      </c>
      <c r="K351" s="184" t="n">
        <v>14980</v>
      </c>
      <c r="L351" s="185" t="n">
        <v>9</v>
      </c>
      <c r="M351" s="173" t="n">
        <v>24940</v>
      </c>
      <c r="N351" s="184" t="n">
        <v>22695.4</v>
      </c>
      <c r="O351" s="184" t="s">
        <v>1060</v>
      </c>
      <c r="P351" s="187" t="n">
        <v>45898</v>
      </c>
      <c r="Q351" s="188" t="n">
        <v>0.934050925925926</v>
      </c>
    </row>
    <row r="352" customFormat="false" ht="57.45" hidden="false" customHeight="false" outlineLevel="0" collapsed="false">
      <c r="A352" s="181" t="s">
        <v>1061</v>
      </c>
      <c r="B352" s="182" t="n">
        <v>1340</v>
      </c>
      <c r="C352" s="183" t="n">
        <v>58550</v>
      </c>
      <c r="D352" s="181" t="s">
        <v>831</v>
      </c>
      <c r="E352" s="181" t="s">
        <v>373</v>
      </c>
      <c r="F352" s="181" t="s">
        <v>374</v>
      </c>
      <c r="G352" s="181" t="s">
        <v>227</v>
      </c>
      <c r="H352" s="181" t="s">
        <v>520</v>
      </c>
      <c r="I352" s="181" t="s">
        <v>220</v>
      </c>
      <c r="J352" s="184" t="n">
        <v>37500</v>
      </c>
      <c r="K352" s="184" t="n">
        <v>14230</v>
      </c>
      <c r="L352" s="185" t="n">
        <v>6</v>
      </c>
      <c r="M352" s="173" t="n">
        <v>23270</v>
      </c>
      <c r="N352" s="184" t="n">
        <v>21873.8</v>
      </c>
      <c r="O352" s="184" t="s">
        <v>1062</v>
      </c>
      <c r="P352" s="187" t="n">
        <v>45898</v>
      </c>
      <c r="Q352" s="188" t="n">
        <v>0.937488425925926</v>
      </c>
    </row>
    <row r="353" customFormat="false" ht="57.45" hidden="false" customHeight="false" outlineLevel="0" collapsed="false">
      <c r="A353" s="181" t="s">
        <v>1063</v>
      </c>
      <c r="B353" s="182" t="n">
        <v>1341</v>
      </c>
      <c r="C353" s="183" t="n">
        <v>58554</v>
      </c>
      <c r="D353" s="181" t="s">
        <v>831</v>
      </c>
      <c r="E353" s="181" t="s">
        <v>272</v>
      </c>
      <c r="F353" s="181" t="s">
        <v>273</v>
      </c>
      <c r="G353" s="181" t="s">
        <v>227</v>
      </c>
      <c r="H353" s="181" t="s">
        <v>520</v>
      </c>
      <c r="I353" s="181" t="s">
        <v>220</v>
      </c>
      <c r="J353" s="184" t="n">
        <v>38670</v>
      </c>
      <c r="K353" s="184" t="n">
        <v>15590</v>
      </c>
      <c r="L353" s="185" t="n">
        <v>8</v>
      </c>
      <c r="M353" s="173" t="n">
        <v>23080</v>
      </c>
      <c r="N353" s="184" t="n">
        <v>21233.6</v>
      </c>
      <c r="O353" s="184" t="s">
        <v>1064</v>
      </c>
      <c r="P353" s="187" t="n">
        <v>45899</v>
      </c>
      <c r="Q353" s="188" t="n">
        <v>0.0784837962962963</v>
      </c>
    </row>
    <row r="354" customFormat="false" ht="57.45" hidden="false" customHeight="false" outlineLevel="0" collapsed="false">
      <c r="A354" s="181" t="s">
        <v>1065</v>
      </c>
      <c r="B354" s="182" t="n">
        <v>1342</v>
      </c>
      <c r="C354" s="183" t="n">
        <v>58556</v>
      </c>
      <c r="D354" s="181" t="s">
        <v>831</v>
      </c>
      <c r="E354" s="181" t="s">
        <v>582</v>
      </c>
      <c r="F354" s="181" t="s">
        <v>583</v>
      </c>
      <c r="G354" s="181" t="s">
        <v>227</v>
      </c>
      <c r="H354" s="181" t="s">
        <v>520</v>
      </c>
      <c r="I354" s="181" t="s">
        <v>220</v>
      </c>
      <c r="J354" s="184" t="n">
        <v>37010</v>
      </c>
      <c r="K354" s="184" t="n">
        <v>14710</v>
      </c>
      <c r="L354" s="185" t="n">
        <v>3</v>
      </c>
      <c r="M354" s="173" t="n">
        <v>22300</v>
      </c>
      <c r="N354" s="184" t="n">
        <v>21631</v>
      </c>
      <c r="O354" s="184" t="s">
        <v>1066</v>
      </c>
      <c r="P354" s="187" t="n">
        <v>45899</v>
      </c>
      <c r="Q354" s="188" t="n">
        <v>0.114351851851852</v>
      </c>
    </row>
    <row r="355" customFormat="false" ht="57.45" hidden="false" customHeight="false" outlineLevel="0" collapsed="false">
      <c r="A355" s="181" t="s">
        <v>1067</v>
      </c>
      <c r="B355" s="182" t="n">
        <v>1343</v>
      </c>
      <c r="C355" s="183" t="n">
        <v>58558</v>
      </c>
      <c r="D355" s="181" t="s">
        <v>831</v>
      </c>
      <c r="E355" s="181" t="s">
        <v>439</v>
      </c>
      <c r="F355" s="181" t="s">
        <v>440</v>
      </c>
      <c r="G355" s="181" t="s">
        <v>227</v>
      </c>
      <c r="H355" s="181" t="s">
        <v>520</v>
      </c>
      <c r="I355" s="181" t="s">
        <v>220</v>
      </c>
      <c r="J355" s="184" t="n">
        <v>40570</v>
      </c>
      <c r="K355" s="184" t="n">
        <v>16370</v>
      </c>
      <c r="L355" s="185" t="n">
        <v>5</v>
      </c>
      <c r="M355" s="173" t="n">
        <v>24200</v>
      </c>
      <c r="N355" s="184" t="n">
        <v>22990</v>
      </c>
      <c r="O355" s="184" t="s">
        <v>1068</v>
      </c>
      <c r="P355" s="187" t="n">
        <v>45899</v>
      </c>
      <c r="Q355" s="188" t="n">
        <v>0.123715277777778</v>
      </c>
    </row>
    <row r="356" customFormat="false" ht="57.45" hidden="false" customHeight="false" outlineLevel="0" collapsed="false">
      <c r="A356" s="181" t="s">
        <v>1069</v>
      </c>
      <c r="B356" s="182" t="n">
        <v>1345</v>
      </c>
      <c r="C356" s="183" t="n">
        <v>58560</v>
      </c>
      <c r="D356" s="181" t="s">
        <v>831</v>
      </c>
      <c r="E356" s="181" t="s">
        <v>399</v>
      </c>
      <c r="F356" s="181" t="s">
        <v>400</v>
      </c>
      <c r="G356" s="181" t="s">
        <v>227</v>
      </c>
      <c r="H356" s="181" t="s">
        <v>520</v>
      </c>
      <c r="I356" s="181" t="s">
        <v>220</v>
      </c>
      <c r="J356" s="184" t="n">
        <v>45080</v>
      </c>
      <c r="K356" s="184" t="n">
        <v>19250</v>
      </c>
      <c r="L356" s="185" t="n">
        <v>9</v>
      </c>
      <c r="M356" s="173" t="n">
        <v>25830</v>
      </c>
      <c r="N356" s="184" t="n">
        <v>23505.3</v>
      </c>
      <c r="O356" s="184" t="s">
        <v>1070</v>
      </c>
      <c r="P356" s="187" t="n">
        <v>45899</v>
      </c>
      <c r="Q356" s="188" t="n">
        <v>0.22244212962963</v>
      </c>
    </row>
    <row r="357" customFormat="false" ht="57.45" hidden="false" customHeight="false" outlineLevel="0" collapsed="false">
      <c r="A357" s="181" t="s">
        <v>1071</v>
      </c>
      <c r="B357" s="182" t="n">
        <v>1346</v>
      </c>
      <c r="C357" s="183" t="n">
        <v>58562</v>
      </c>
      <c r="D357" s="181" t="s">
        <v>831</v>
      </c>
      <c r="E357" s="181" t="s">
        <v>431</v>
      </c>
      <c r="F357" s="181" t="s">
        <v>432</v>
      </c>
      <c r="G357" s="181" t="s">
        <v>227</v>
      </c>
      <c r="H357" s="181" t="s">
        <v>520</v>
      </c>
      <c r="I357" s="181" t="s">
        <v>220</v>
      </c>
      <c r="J357" s="184" t="n">
        <v>40030</v>
      </c>
      <c r="K357" s="184" t="n">
        <v>16630</v>
      </c>
      <c r="L357" s="185" t="n">
        <v>7</v>
      </c>
      <c r="M357" s="173" t="n">
        <v>23400</v>
      </c>
      <c r="N357" s="184" t="n">
        <v>21762</v>
      </c>
      <c r="O357" s="184" t="s">
        <v>1072</v>
      </c>
      <c r="P357" s="187" t="n">
        <v>45899</v>
      </c>
      <c r="Q357" s="188" t="n">
        <v>0.270196759259259</v>
      </c>
    </row>
    <row r="358" customFormat="false" ht="57.45" hidden="false" customHeight="false" outlineLevel="0" collapsed="false">
      <c r="A358" s="181" t="s">
        <v>1073</v>
      </c>
      <c r="B358" s="182" t="n">
        <v>1347</v>
      </c>
      <c r="C358" s="183" t="n">
        <v>58579</v>
      </c>
      <c r="D358" s="181" t="s">
        <v>831</v>
      </c>
      <c r="E358" s="181" t="s">
        <v>282</v>
      </c>
      <c r="F358" s="181" t="s">
        <v>283</v>
      </c>
      <c r="G358" s="181" t="s">
        <v>227</v>
      </c>
      <c r="H358" s="181" t="s">
        <v>520</v>
      </c>
      <c r="I358" s="181" t="s">
        <v>220</v>
      </c>
      <c r="J358" s="184" t="n">
        <v>38330</v>
      </c>
      <c r="K358" s="184" t="n">
        <v>15050</v>
      </c>
      <c r="L358" s="185" t="n">
        <v>5</v>
      </c>
      <c r="M358" s="173" t="n">
        <v>23280</v>
      </c>
      <c r="N358" s="184" t="n">
        <v>22116</v>
      </c>
      <c r="O358" s="184" t="s">
        <v>1074</v>
      </c>
      <c r="P358" s="187" t="n">
        <v>45899</v>
      </c>
      <c r="Q358" s="188" t="n">
        <v>0.296701388888889</v>
      </c>
    </row>
    <row r="359" customFormat="false" ht="57.45" hidden="false" customHeight="false" outlineLevel="0" collapsed="false">
      <c r="A359" s="181" t="s">
        <v>1075</v>
      </c>
      <c r="B359" s="182" t="n">
        <v>1348</v>
      </c>
      <c r="C359" s="183" t="n">
        <v>58573</v>
      </c>
      <c r="D359" s="181" t="s">
        <v>831</v>
      </c>
      <c r="E359" s="181" t="s">
        <v>435</v>
      </c>
      <c r="F359" s="181" t="s">
        <v>436</v>
      </c>
      <c r="G359" s="181" t="s">
        <v>227</v>
      </c>
      <c r="H359" s="181" t="s">
        <v>520</v>
      </c>
      <c r="I359" s="181" t="s">
        <v>220</v>
      </c>
      <c r="J359" s="184" t="n">
        <v>39890</v>
      </c>
      <c r="K359" s="184" t="n">
        <v>16530</v>
      </c>
      <c r="L359" s="185" t="n">
        <v>5</v>
      </c>
      <c r="M359" s="173" t="n">
        <v>23360</v>
      </c>
      <c r="N359" s="184" t="n">
        <v>22192</v>
      </c>
      <c r="O359" s="184" t="s">
        <v>1076</v>
      </c>
      <c r="P359" s="187" t="n">
        <v>45899</v>
      </c>
      <c r="Q359" s="188" t="n">
        <v>0.385949074074074</v>
      </c>
    </row>
    <row r="360" customFormat="false" ht="57.45" hidden="false" customHeight="false" outlineLevel="0" collapsed="false">
      <c r="A360" s="181" t="s">
        <v>1077</v>
      </c>
      <c r="B360" s="182" t="n">
        <v>1349</v>
      </c>
      <c r="C360" s="183" t="n">
        <v>58600</v>
      </c>
      <c r="D360" s="181" t="s">
        <v>831</v>
      </c>
      <c r="E360" s="181" t="s">
        <v>332</v>
      </c>
      <c r="F360" s="181" t="s">
        <v>333</v>
      </c>
      <c r="G360" s="181" t="s">
        <v>227</v>
      </c>
      <c r="H360" s="181" t="s">
        <v>520</v>
      </c>
      <c r="I360" s="181" t="s">
        <v>220</v>
      </c>
      <c r="J360" s="184" t="n">
        <v>37300</v>
      </c>
      <c r="K360" s="184" t="n">
        <v>14700</v>
      </c>
      <c r="L360" s="185" t="n">
        <v>5</v>
      </c>
      <c r="M360" s="173" t="n">
        <v>22600</v>
      </c>
      <c r="N360" s="184" t="n">
        <v>21470</v>
      </c>
      <c r="O360" s="184" t="s">
        <v>1078</v>
      </c>
      <c r="P360" s="187" t="n">
        <v>45899</v>
      </c>
      <c r="Q360" s="188" t="n">
        <v>0.385590277777778</v>
      </c>
    </row>
    <row r="361" customFormat="false" ht="57.45" hidden="false" customHeight="false" outlineLevel="0" collapsed="false">
      <c r="A361" s="181" t="s">
        <v>1079</v>
      </c>
      <c r="B361" s="182" t="n">
        <v>1350</v>
      </c>
      <c r="C361" s="183" t="n">
        <v>58581</v>
      </c>
      <c r="D361" s="181" t="s">
        <v>831</v>
      </c>
      <c r="E361" s="181" t="s">
        <v>387</v>
      </c>
      <c r="F361" s="181" t="s">
        <v>388</v>
      </c>
      <c r="G361" s="181" t="s">
        <v>227</v>
      </c>
      <c r="H361" s="181" t="s">
        <v>520</v>
      </c>
      <c r="I361" s="181" t="s">
        <v>220</v>
      </c>
      <c r="J361" s="184" t="n">
        <v>38480</v>
      </c>
      <c r="K361" s="184" t="n">
        <v>14960</v>
      </c>
      <c r="L361" s="185" t="n">
        <v>6</v>
      </c>
      <c r="M361" s="173" t="n">
        <v>23520</v>
      </c>
      <c r="N361" s="184" t="n">
        <v>22108.8</v>
      </c>
      <c r="O361" s="184" t="s">
        <v>1080</v>
      </c>
      <c r="P361" s="187" t="n">
        <v>45899</v>
      </c>
      <c r="Q361" s="188" t="n">
        <v>0.421006944444444</v>
      </c>
    </row>
    <row r="362" customFormat="false" ht="57.45" hidden="false" customHeight="false" outlineLevel="0" collapsed="false">
      <c r="A362" s="181" t="s">
        <v>1081</v>
      </c>
      <c r="B362" s="182" t="n">
        <v>1356</v>
      </c>
      <c r="C362" s="183" t="n">
        <v>58604</v>
      </c>
      <c r="D362" s="181" t="s">
        <v>831</v>
      </c>
      <c r="E362" s="181" t="s">
        <v>545</v>
      </c>
      <c r="F362" s="181" t="s">
        <v>546</v>
      </c>
      <c r="G362" s="181" t="s">
        <v>227</v>
      </c>
      <c r="H362" s="181" t="s">
        <v>520</v>
      </c>
      <c r="I362" s="181" t="s">
        <v>220</v>
      </c>
      <c r="J362" s="184" t="n">
        <v>41450</v>
      </c>
      <c r="K362" s="184" t="n">
        <v>16100</v>
      </c>
      <c r="L362" s="185" t="n">
        <v>10</v>
      </c>
      <c r="M362" s="173" t="n">
        <v>25350</v>
      </c>
      <c r="N362" s="184" t="n">
        <v>22815</v>
      </c>
      <c r="O362" s="184" t="s">
        <v>1082</v>
      </c>
      <c r="P362" s="187" t="n">
        <v>45899</v>
      </c>
      <c r="Q362" s="188" t="n">
        <v>0.453460648148148</v>
      </c>
    </row>
    <row r="363" customFormat="false" ht="57.45" hidden="false" customHeight="false" outlineLevel="0" collapsed="false">
      <c r="A363" s="181" t="s">
        <v>1083</v>
      </c>
      <c r="B363" s="182" t="n">
        <v>1357</v>
      </c>
      <c r="C363" s="183" t="n">
        <v>58606</v>
      </c>
      <c r="D363" s="181" t="s">
        <v>831</v>
      </c>
      <c r="E363" s="181" t="s">
        <v>377</v>
      </c>
      <c r="F363" s="181" t="s">
        <v>378</v>
      </c>
      <c r="G363" s="181" t="s">
        <v>227</v>
      </c>
      <c r="H363" s="181" t="s">
        <v>520</v>
      </c>
      <c r="I363" s="181" t="s">
        <v>220</v>
      </c>
      <c r="J363" s="184" t="n">
        <v>39380</v>
      </c>
      <c r="K363" s="184" t="n">
        <v>15570</v>
      </c>
      <c r="L363" s="185" t="n">
        <v>7</v>
      </c>
      <c r="M363" s="173" t="n">
        <v>23810</v>
      </c>
      <c r="N363" s="184" t="n">
        <v>22143.3</v>
      </c>
      <c r="O363" s="184" t="s">
        <v>1084</v>
      </c>
      <c r="P363" s="187" t="n">
        <v>45899</v>
      </c>
      <c r="Q363" s="188" t="n">
        <v>0.499259259259259</v>
      </c>
    </row>
    <row r="364" customFormat="false" ht="57.45" hidden="false" customHeight="false" outlineLevel="0" collapsed="false">
      <c r="A364" s="181" t="s">
        <v>1085</v>
      </c>
      <c r="B364" s="182" t="n">
        <v>1358</v>
      </c>
      <c r="C364" s="183" t="n">
        <v>58616</v>
      </c>
      <c r="D364" s="181" t="s">
        <v>831</v>
      </c>
      <c r="E364" s="181" t="s">
        <v>549</v>
      </c>
      <c r="F364" s="181" t="s">
        <v>550</v>
      </c>
      <c r="G364" s="181" t="s">
        <v>227</v>
      </c>
      <c r="H364" s="181" t="s">
        <v>520</v>
      </c>
      <c r="I364" s="181" t="s">
        <v>220</v>
      </c>
      <c r="J364" s="184" t="n">
        <v>40820</v>
      </c>
      <c r="K364" s="184" t="n">
        <v>15930</v>
      </c>
      <c r="L364" s="185" t="n">
        <v>8</v>
      </c>
      <c r="M364" s="173" t="n">
        <v>24890</v>
      </c>
      <c r="N364" s="184" t="n">
        <v>22898.8</v>
      </c>
      <c r="O364" s="184" t="s">
        <v>1086</v>
      </c>
      <c r="P364" s="187" t="n">
        <v>45899</v>
      </c>
      <c r="Q364" s="188" t="n">
        <v>0.528275462962963</v>
      </c>
    </row>
    <row r="365" customFormat="false" ht="57.45" hidden="false" customHeight="false" outlineLevel="0" collapsed="false">
      <c r="A365" s="181" t="s">
        <v>1087</v>
      </c>
      <c r="B365" s="182" t="n">
        <v>1360</v>
      </c>
      <c r="C365" s="183" t="n">
        <v>58618</v>
      </c>
      <c r="D365" s="181" t="s">
        <v>831</v>
      </c>
      <c r="E365" s="181" t="s">
        <v>277</v>
      </c>
      <c r="F365" s="181" t="s">
        <v>278</v>
      </c>
      <c r="G365" s="181" t="s">
        <v>227</v>
      </c>
      <c r="H365" s="181" t="s">
        <v>520</v>
      </c>
      <c r="I365" s="181" t="s">
        <v>220</v>
      </c>
      <c r="J365" s="184" t="n">
        <v>41880</v>
      </c>
      <c r="K365" s="184" t="n">
        <v>15140</v>
      </c>
      <c r="L365" s="185" t="n">
        <v>7</v>
      </c>
      <c r="M365" s="173" t="n">
        <v>26740</v>
      </c>
      <c r="N365" s="184" t="n">
        <v>24868.2</v>
      </c>
      <c r="O365" s="184" t="s">
        <v>1088</v>
      </c>
      <c r="P365" s="187" t="n">
        <v>45899</v>
      </c>
      <c r="Q365" s="188" t="n">
        <v>0.701944444444445</v>
      </c>
    </row>
    <row r="366" customFormat="false" ht="57.45" hidden="false" customHeight="false" outlineLevel="0" collapsed="false">
      <c r="A366" s="181" t="s">
        <v>1089</v>
      </c>
      <c r="B366" s="182" t="n">
        <v>1362</v>
      </c>
      <c r="C366" s="183" t="n">
        <v>58620</v>
      </c>
      <c r="D366" s="181" t="s">
        <v>831</v>
      </c>
      <c r="E366" s="181" t="s">
        <v>533</v>
      </c>
      <c r="F366" s="181" t="s">
        <v>534</v>
      </c>
      <c r="G366" s="181" t="s">
        <v>227</v>
      </c>
      <c r="H366" s="181" t="s">
        <v>520</v>
      </c>
      <c r="I366" s="181" t="s">
        <v>220</v>
      </c>
      <c r="J366" s="184" t="n">
        <v>39830</v>
      </c>
      <c r="K366" s="184" t="n">
        <v>14600</v>
      </c>
      <c r="L366" s="185" t="n">
        <v>6</v>
      </c>
      <c r="M366" s="173" t="n">
        <v>25230</v>
      </c>
      <c r="N366" s="184" t="n">
        <v>23716.2</v>
      </c>
      <c r="O366" s="184" t="s">
        <v>1090</v>
      </c>
      <c r="P366" s="187" t="n">
        <v>45899</v>
      </c>
      <c r="Q366" s="188" t="n">
        <v>0.735763888888889</v>
      </c>
    </row>
    <row r="367" customFormat="false" ht="57.45" hidden="false" customHeight="false" outlineLevel="0" collapsed="false">
      <c r="A367" s="181" t="s">
        <v>1091</v>
      </c>
      <c r="B367" s="182" t="n">
        <v>1363</v>
      </c>
      <c r="C367" s="183" t="n">
        <v>58624</v>
      </c>
      <c r="D367" s="181" t="s">
        <v>831</v>
      </c>
      <c r="E367" s="181" t="s">
        <v>300</v>
      </c>
      <c r="F367" s="181" t="s">
        <v>301</v>
      </c>
      <c r="G367" s="181" t="s">
        <v>227</v>
      </c>
      <c r="H367" s="181" t="s">
        <v>520</v>
      </c>
      <c r="I367" s="181" t="s">
        <v>220</v>
      </c>
      <c r="J367" s="184" t="n">
        <v>45060</v>
      </c>
      <c r="K367" s="184" t="n">
        <v>20930</v>
      </c>
      <c r="L367" s="185" t="n">
        <v>11</v>
      </c>
      <c r="M367" s="173" t="n">
        <v>24130</v>
      </c>
      <c r="N367" s="184" t="n">
        <v>21475.7</v>
      </c>
      <c r="O367" s="184" t="s">
        <v>1092</v>
      </c>
      <c r="P367" s="187" t="n">
        <v>45899</v>
      </c>
      <c r="Q367" s="188" t="n">
        <v>0.794826388888889</v>
      </c>
    </row>
    <row r="368" customFormat="false" ht="57.45" hidden="false" customHeight="false" outlineLevel="0" collapsed="false">
      <c r="A368" s="181" t="s">
        <v>1093</v>
      </c>
      <c r="B368" s="182" t="n">
        <v>1364</v>
      </c>
      <c r="C368" s="183" t="n">
        <v>58626</v>
      </c>
      <c r="D368" s="181" t="s">
        <v>831</v>
      </c>
      <c r="E368" s="181" t="s">
        <v>541</v>
      </c>
      <c r="F368" s="181" t="s">
        <v>542</v>
      </c>
      <c r="G368" s="181" t="s">
        <v>227</v>
      </c>
      <c r="H368" s="181" t="s">
        <v>832</v>
      </c>
      <c r="I368" s="181" t="s">
        <v>220</v>
      </c>
      <c r="J368" s="184" t="n">
        <v>40770</v>
      </c>
      <c r="K368" s="184" t="n">
        <v>14940</v>
      </c>
      <c r="L368" s="185" t="n">
        <v>12</v>
      </c>
      <c r="M368" s="173" t="n">
        <v>25830</v>
      </c>
      <c r="N368" s="184" t="n">
        <v>22730.4</v>
      </c>
      <c r="O368" s="184" t="s">
        <v>1094</v>
      </c>
      <c r="P368" s="187" t="n">
        <v>45899</v>
      </c>
      <c r="Q368" s="188" t="n">
        <v>0.897592592592593</v>
      </c>
    </row>
    <row r="369" customFormat="false" ht="57.45" hidden="false" customHeight="false" outlineLevel="0" collapsed="false">
      <c r="A369" s="181" t="s">
        <v>1095</v>
      </c>
      <c r="B369" s="182" t="n">
        <v>1365</v>
      </c>
      <c r="C369" s="183" t="n">
        <v>58628</v>
      </c>
      <c r="D369" s="181" t="s">
        <v>831</v>
      </c>
      <c r="E369" s="181" t="s">
        <v>288</v>
      </c>
      <c r="F369" s="181" t="s">
        <v>289</v>
      </c>
      <c r="G369" s="181" t="s">
        <v>227</v>
      </c>
      <c r="H369" s="181" t="s">
        <v>832</v>
      </c>
      <c r="I369" s="181" t="s">
        <v>220</v>
      </c>
      <c r="J369" s="184" t="n">
        <v>37480</v>
      </c>
      <c r="K369" s="184" t="n">
        <v>14540</v>
      </c>
      <c r="L369" s="185" t="n">
        <v>13</v>
      </c>
      <c r="M369" s="173" t="n">
        <v>22940</v>
      </c>
      <c r="N369" s="184" t="n">
        <v>19957.8</v>
      </c>
      <c r="O369" s="184" t="s">
        <v>1096</v>
      </c>
      <c r="P369" s="187" t="n">
        <v>45899</v>
      </c>
      <c r="Q369" s="188" t="n">
        <v>0.914861111111111</v>
      </c>
    </row>
    <row r="370" customFormat="false" ht="57.45" hidden="false" customHeight="false" outlineLevel="0" collapsed="false">
      <c r="A370" s="181" t="s">
        <v>1097</v>
      </c>
      <c r="B370" s="182" t="n">
        <v>1366</v>
      </c>
      <c r="C370" s="183" t="n">
        <v>58630</v>
      </c>
      <c r="D370" s="181" t="s">
        <v>831</v>
      </c>
      <c r="E370" s="181" t="s">
        <v>1019</v>
      </c>
      <c r="F370" s="181" t="s">
        <v>1020</v>
      </c>
      <c r="G370" s="181" t="s">
        <v>227</v>
      </c>
      <c r="H370" s="181" t="s">
        <v>832</v>
      </c>
      <c r="I370" s="181" t="s">
        <v>220</v>
      </c>
      <c r="J370" s="184" t="n">
        <v>41850</v>
      </c>
      <c r="K370" s="184" t="n">
        <v>17020</v>
      </c>
      <c r="L370" s="185" t="n">
        <v>8</v>
      </c>
      <c r="M370" s="173" t="n">
        <v>24830</v>
      </c>
      <c r="N370" s="184" t="n">
        <v>22843.6</v>
      </c>
      <c r="O370" s="184" t="s">
        <v>1098</v>
      </c>
      <c r="P370" s="187" t="n">
        <v>45899</v>
      </c>
      <c r="Q370" s="188" t="n">
        <v>0.999386574074074</v>
      </c>
    </row>
    <row r="371" customFormat="false" ht="57.45" hidden="false" customHeight="false" outlineLevel="0" collapsed="false">
      <c r="A371" s="181" t="s">
        <v>1099</v>
      </c>
      <c r="B371" s="182" t="n">
        <v>1367</v>
      </c>
      <c r="C371" s="183" t="n">
        <v>58632</v>
      </c>
      <c r="D371" s="181" t="s">
        <v>831</v>
      </c>
      <c r="E371" s="181" t="s">
        <v>1027</v>
      </c>
      <c r="F371" s="181" t="s">
        <v>1028</v>
      </c>
      <c r="G371" s="181" t="s">
        <v>227</v>
      </c>
      <c r="H371" s="181" t="s">
        <v>832</v>
      </c>
      <c r="I371" s="181" t="s">
        <v>220</v>
      </c>
      <c r="J371" s="184" t="n">
        <v>38810</v>
      </c>
      <c r="K371" s="184" t="n">
        <v>14800</v>
      </c>
      <c r="L371" s="185" t="n">
        <v>9</v>
      </c>
      <c r="M371" s="173" t="n">
        <v>24010</v>
      </c>
      <c r="N371" s="184" t="n">
        <v>21849.1</v>
      </c>
      <c r="O371" s="184" t="s">
        <v>1100</v>
      </c>
      <c r="P371" s="187" t="n">
        <v>45900</v>
      </c>
      <c r="Q371" s="188" t="n">
        <v>0.0458912037037037</v>
      </c>
    </row>
    <row r="372" customFormat="false" ht="57.45" hidden="false" customHeight="false" outlineLevel="0" collapsed="false">
      <c r="A372" s="181" t="s">
        <v>1101</v>
      </c>
      <c r="B372" s="182" t="n">
        <v>1368</v>
      </c>
      <c r="C372" s="183" t="n">
        <v>58634</v>
      </c>
      <c r="D372" s="181" t="s">
        <v>831</v>
      </c>
      <c r="E372" s="181" t="s">
        <v>1023</v>
      </c>
      <c r="F372" s="181" t="s">
        <v>1024</v>
      </c>
      <c r="G372" s="181" t="s">
        <v>227</v>
      </c>
      <c r="H372" s="181" t="s">
        <v>832</v>
      </c>
      <c r="I372" s="181" t="s">
        <v>220</v>
      </c>
      <c r="J372" s="184" t="n">
        <v>36860</v>
      </c>
      <c r="K372" s="184" t="n">
        <v>14770</v>
      </c>
      <c r="L372" s="185" t="n">
        <v>9</v>
      </c>
      <c r="M372" s="173" t="n">
        <v>22090</v>
      </c>
      <c r="N372" s="184" t="n">
        <v>20101.9</v>
      </c>
      <c r="O372" s="184" t="s">
        <v>1102</v>
      </c>
      <c r="P372" s="187" t="n">
        <v>45900</v>
      </c>
      <c r="Q372" s="188" t="n">
        <v>0.106006944444444</v>
      </c>
    </row>
    <row r="373" customFormat="false" ht="57.45" hidden="false" customHeight="false" outlineLevel="0" collapsed="false">
      <c r="A373" s="181" t="s">
        <v>1103</v>
      </c>
      <c r="B373" s="182" t="n">
        <v>1369</v>
      </c>
      <c r="C373" s="183" t="n">
        <v>58636</v>
      </c>
      <c r="D373" s="181" t="s">
        <v>831</v>
      </c>
      <c r="E373" s="181" t="s">
        <v>409</v>
      </c>
      <c r="F373" s="181" t="s">
        <v>410</v>
      </c>
      <c r="G373" s="181" t="s">
        <v>227</v>
      </c>
      <c r="H373" s="181" t="s">
        <v>832</v>
      </c>
      <c r="I373" s="181" t="s">
        <v>220</v>
      </c>
      <c r="J373" s="184" t="n">
        <v>47140</v>
      </c>
      <c r="K373" s="184" t="n">
        <v>24020</v>
      </c>
      <c r="L373" s="185" t="n">
        <v>9</v>
      </c>
      <c r="M373" s="173" t="n">
        <v>23120</v>
      </c>
      <c r="N373" s="184" t="n">
        <v>21039.2</v>
      </c>
      <c r="O373" s="184" t="s">
        <v>1104</v>
      </c>
      <c r="P373" s="187" t="n">
        <v>45900</v>
      </c>
      <c r="Q373" s="188" t="n">
        <v>0.193425925925926</v>
      </c>
    </row>
    <row r="374" customFormat="false" ht="57.45" hidden="false" customHeight="false" outlineLevel="0" collapsed="false">
      <c r="A374" s="181" t="s">
        <v>1105</v>
      </c>
      <c r="B374" s="182" t="n">
        <v>1370</v>
      </c>
      <c r="C374" s="183" t="n">
        <v>58638</v>
      </c>
      <c r="D374" s="181" t="s">
        <v>831</v>
      </c>
      <c r="E374" s="181" t="s">
        <v>413</v>
      </c>
      <c r="F374" s="181" t="s">
        <v>414</v>
      </c>
      <c r="G374" s="181" t="s">
        <v>227</v>
      </c>
      <c r="H374" s="181" t="s">
        <v>832</v>
      </c>
      <c r="I374" s="181" t="s">
        <v>220</v>
      </c>
      <c r="J374" s="184" t="n">
        <v>43170</v>
      </c>
      <c r="K374" s="184" t="n">
        <v>15520</v>
      </c>
      <c r="L374" s="185" t="n">
        <v>12</v>
      </c>
      <c r="M374" s="173" t="n">
        <v>27650</v>
      </c>
      <c r="N374" s="184" t="n">
        <v>24332</v>
      </c>
      <c r="O374" s="184" t="s">
        <v>1106</v>
      </c>
      <c r="P374" s="187" t="n">
        <v>45900</v>
      </c>
      <c r="Q374" s="188" t="n">
        <v>0.2421875</v>
      </c>
    </row>
    <row r="375" customFormat="false" ht="57.45" hidden="false" customHeight="false" outlineLevel="0" collapsed="false">
      <c r="A375" s="181" t="s">
        <v>1107</v>
      </c>
      <c r="B375" s="182" t="n">
        <v>1371</v>
      </c>
      <c r="C375" s="183" t="n">
        <v>58640</v>
      </c>
      <c r="D375" s="181" t="s">
        <v>831</v>
      </c>
      <c r="E375" s="181" t="s">
        <v>354</v>
      </c>
      <c r="F375" s="181" t="s">
        <v>355</v>
      </c>
      <c r="G375" s="181" t="s">
        <v>226</v>
      </c>
      <c r="H375" s="181" t="s">
        <v>586</v>
      </c>
      <c r="I375" s="181" t="s">
        <v>220</v>
      </c>
      <c r="J375" s="184" t="n">
        <v>37630</v>
      </c>
      <c r="K375" s="184" t="n">
        <v>14730</v>
      </c>
      <c r="L375" s="185" t="n">
        <v>8</v>
      </c>
      <c r="M375" s="173" t="n">
        <v>22900</v>
      </c>
      <c r="N375" s="184" t="n">
        <v>21068</v>
      </c>
      <c r="O375" s="184" t="s">
        <v>1108</v>
      </c>
      <c r="P375" s="187" t="n">
        <v>45900</v>
      </c>
      <c r="Q375" s="188" t="n">
        <v>0.332546296296296</v>
      </c>
    </row>
    <row r="376" customFormat="false" ht="57.45" hidden="false" customHeight="false" outlineLevel="0" collapsed="false">
      <c r="A376" s="181" t="s">
        <v>1109</v>
      </c>
      <c r="B376" s="182" t="n">
        <v>1372</v>
      </c>
      <c r="C376" s="183" t="n">
        <v>58642</v>
      </c>
      <c r="D376" s="181" t="s">
        <v>831</v>
      </c>
      <c r="E376" s="181" t="s">
        <v>359</v>
      </c>
      <c r="F376" s="181" t="s">
        <v>360</v>
      </c>
      <c r="G376" s="181" t="s">
        <v>226</v>
      </c>
      <c r="H376" s="181" t="s">
        <v>586</v>
      </c>
      <c r="I376" s="181" t="s">
        <v>220</v>
      </c>
      <c r="J376" s="184" t="n">
        <v>36920</v>
      </c>
      <c r="K376" s="184" t="n">
        <v>14860</v>
      </c>
      <c r="L376" s="185" t="n">
        <v>19</v>
      </c>
      <c r="M376" s="173" t="n">
        <v>22060</v>
      </c>
      <c r="N376" s="184" t="n">
        <v>17868.6</v>
      </c>
      <c r="O376" s="184" t="s">
        <v>1110</v>
      </c>
      <c r="P376" s="187" t="n">
        <v>45900</v>
      </c>
      <c r="Q376" s="188" t="n">
        <v>0.342025462962963</v>
      </c>
    </row>
    <row r="377" customFormat="false" ht="57.45" hidden="false" customHeight="false" outlineLevel="0" collapsed="false">
      <c r="A377" s="181" t="s">
        <v>1111</v>
      </c>
      <c r="B377" s="182" t="n">
        <v>1373</v>
      </c>
      <c r="C377" s="183" t="n">
        <v>58648</v>
      </c>
      <c r="D377" s="181" t="s">
        <v>831</v>
      </c>
      <c r="E377" s="181" t="s">
        <v>537</v>
      </c>
      <c r="F377" s="181" t="s">
        <v>538</v>
      </c>
      <c r="G377" s="181" t="s">
        <v>226</v>
      </c>
      <c r="H377" s="181" t="s">
        <v>586</v>
      </c>
      <c r="I377" s="181" t="s">
        <v>220</v>
      </c>
      <c r="J377" s="184" t="n">
        <v>35040</v>
      </c>
      <c r="K377" s="184" t="n">
        <v>13970</v>
      </c>
      <c r="L377" s="185" t="n">
        <v>9</v>
      </c>
      <c r="M377" s="173" t="n">
        <v>21070</v>
      </c>
      <c r="N377" s="184" t="n">
        <v>19173.7</v>
      </c>
      <c r="O377" s="184" t="s">
        <v>1112</v>
      </c>
      <c r="P377" s="187" t="n">
        <v>45900</v>
      </c>
      <c r="Q377" s="188" t="n">
        <v>0.431006944444444</v>
      </c>
    </row>
    <row r="378" customFormat="false" ht="57.45" hidden="false" customHeight="false" outlineLevel="0" collapsed="false">
      <c r="A378" s="181" t="s">
        <v>1113</v>
      </c>
      <c r="B378" s="182" t="n">
        <v>1374</v>
      </c>
      <c r="C378" s="183" t="n">
        <v>58644</v>
      </c>
      <c r="D378" s="181" t="s">
        <v>831</v>
      </c>
      <c r="E378" s="181" t="s">
        <v>350</v>
      </c>
      <c r="F378" s="181" t="s">
        <v>351</v>
      </c>
      <c r="G378" s="181" t="s">
        <v>226</v>
      </c>
      <c r="H378" s="181" t="s">
        <v>586</v>
      </c>
      <c r="I378" s="181" t="s">
        <v>220</v>
      </c>
      <c r="J378" s="184" t="n">
        <v>40520</v>
      </c>
      <c r="K378" s="184" t="n">
        <v>14960</v>
      </c>
      <c r="L378" s="185" t="n">
        <v>7</v>
      </c>
      <c r="M378" s="173" t="n">
        <v>25560</v>
      </c>
      <c r="N378" s="184" t="n">
        <v>23770.8</v>
      </c>
      <c r="O378" s="184" t="s">
        <v>1114</v>
      </c>
      <c r="P378" s="187" t="n">
        <v>45900</v>
      </c>
      <c r="Q378" s="188" t="n">
        <v>0.434282407407407</v>
      </c>
    </row>
    <row r="379" customFormat="false" ht="57.45" hidden="false" customHeight="false" outlineLevel="0" collapsed="false">
      <c r="A379" s="181" t="s">
        <v>1115</v>
      </c>
      <c r="B379" s="182" t="n">
        <v>1375</v>
      </c>
      <c r="C379" s="183" t="n">
        <v>58655</v>
      </c>
      <c r="D379" s="181" t="s">
        <v>831</v>
      </c>
      <c r="E379" s="181" t="s">
        <v>439</v>
      </c>
      <c r="F379" s="181" t="s">
        <v>440</v>
      </c>
      <c r="G379" s="181" t="s">
        <v>226</v>
      </c>
      <c r="H379" s="181" t="s">
        <v>586</v>
      </c>
      <c r="I379" s="181" t="s">
        <v>220</v>
      </c>
      <c r="J379" s="184" t="n">
        <v>39010</v>
      </c>
      <c r="K379" s="184" t="n">
        <v>16270</v>
      </c>
      <c r="L379" s="185" t="n">
        <v>16</v>
      </c>
      <c r="M379" s="173" t="n">
        <v>22740</v>
      </c>
      <c r="N379" s="184" t="n">
        <v>19101.6</v>
      </c>
      <c r="O379" s="184" t="s">
        <v>1116</v>
      </c>
      <c r="P379" s="187" t="n">
        <v>45900</v>
      </c>
      <c r="Q379" s="188" t="n">
        <v>0.499409722222222</v>
      </c>
    </row>
    <row r="380" customFormat="false" ht="57.45" hidden="false" customHeight="false" outlineLevel="0" collapsed="false">
      <c r="A380" s="181" t="s">
        <v>1117</v>
      </c>
      <c r="B380" s="182" t="n">
        <v>1378</v>
      </c>
      <c r="C380" s="183" t="n">
        <v>58664</v>
      </c>
      <c r="D380" s="181" t="s">
        <v>831</v>
      </c>
      <c r="E380" s="181" t="s">
        <v>340</v>
      </c>
      <c r="F380" s="181" t="s">
        <v>341</v>
      </c>
      <c r="G380" s="181" t="s">
        <v>226</v>
      </c>
      <c r="H380" s="181" t="s">
        <v>586</v>
      </c>
      <c r="I380" s="181" t="s">
        <v>220</v>
      </c>
      <c r="J380" s="184" t="n">
        <v>38240</v>
      </c>
      <c r="K380" s="184" t="n">
        <v>15010</v>
      </c>
      <c r="L380" s="185" t="n">
        <v>9</v>
      </c>
      <c r="M380" s="173" t="n">
        <v>23230</v>
      </c>
      <c r="N380" s="184" t="n">
        <v>21139.3</v>
      </c>
      <c r="O380" s="184" t="s">
        <v>1118</v>
      </c>
      <c r="P380" s="187" t="n">
        <v>45900</v>
      </c>
      <c r="Q380" s="188" t="n">
        <v>0.501736111111111</v>
      </c>
    </row>
    <row r="381" customFormat="false" ht="57.45" hidden="false" customHeight="false" outlineLevel="0" collapsed="false">
      <c r="A381" s="181" t="s">
        <v>1119</v>
      </c>
      <c r="B381" s="182" t="n">
        <v>1379</v>
      </c>
      <c r="C381" s="183" t="n">
        <v>58666</v>
      </c>
      <c r="D381" s="181" t="s">
        <v>831</v>
      </c>
      <c r="E381" s="181" t="s">
        <v>1053</v>
      </c>
      <c r="F381" s="181" t="s">
        <v>337</v>
      </c>
      <c r="G381" s="181" t="s">
        <v>226</v>
      </c>
      <c r="H381" s="181" t="s">
        <v>586</v>
      </c>
      <c r="I381" s="181" t="s">
        <v>220</v>
      </c>
      <c r="J381" s="184" t="n">
        <v>36400</v>
      </c>
      <c r="K381" s="184" t="n">
        <v>14440</v>
      </c>
      <c r="L381" s="185" t="n">
        <v>6</v>
      </c>
      <c r="M381" s="173" t="n">
        <v>21960</v>
      </c>
      <c r="N381" s="184" t="n">
        <v>20642.4</v>
      </c>
      <c r="O381" s="184" t="s">
        <v>1120</v>
      </c>
      <c r="P381" s="187" t="n">
        <v>45900</v>
      </c>
      <c r="Q381" s="188" t="n">
        <v>0.530590277777778</v>
      </c>
    </row>
    <row r="382" customFormat="false" ht="57.45" hidden="false" customHeight="false" outlineLevel="0" collapsed="false">
      <c r="A382" s="181" t="s">
        <v>1121</v>
      </c>
      <c r="B382" s="182" t="n">
        <v>1383</v>
      </c>
      <c r="C382" s="183" t="n">
        <v>58668</v>
      </c>
      <c r="D382" s="181" t="s">
        <v>831</v>
      </c>
      <c r="E382" s="181" t="s">
        <v>576</v>
      </c>
      <c r="F382" s="181" t="s">
        <v>577</v>
      </c>
      <c r="G382" s="181" t="s">
        <v>226</v>
      </c>
      <c r="H382" s="181" t="s">
        <v>586</v>
      </c>
      <c r="I382" s="181" t="s">
        <v>220</v>
      </c>
      <c r="J382" s="184" t="n">
        <v>36500</v>
      </c>
      <c r="K382" s="184" t="n">
        <v>14400</v>
      </c>
      <c r="L382" s="185" t="n">
        <v>7</v>
      </c>
      <c r="M382" s="173" t="n">
        <v>22100</v>
      </c>
      <c r="N382" s="184" t="n">
        <v>20553</v>
      </c>
      <c r="O382" s="184" t="s">
        <v>1122</v>
      </c>
      <c r="P382" s="187" t="n">
        <v>45900</v>
      </c>
      <c r="Q382" s="188" t="n">
        <v>0.568078703703704</v>
      </c>
    </row>
    <row r="383" customFormat="false" ht="57.45" hidden="false" customHeight="false" outlineLevel="0" collapsed="false">
      <c r="A383" s="181" t="s">
        <v>1123</v>
      </c>
      <c r="B383" s="182" t="n">
        <v>1384</v>
      </c>
      <c r="C383" s="183" t="n">
        <v>58670</v>
      </c>
      <c r="D383" s="181" t="s">
        <v>831</v>
      </c>
      <c r="E383" s="181" t="s">
        <v>261</v>
      </c>
      <c r="F383" s="181" t="s">
        <v>262</v>
      </c>
      <c r="G383" s="181" t="s">
        <v>226</v>
      </c>
      <c r="H383" s="181" t="s">
        <v>586</v>
      </c>
      <c r="I383" s="181" t="s">
        <v>220</v>
      </c>
      <c r="J383" s="184" t="n">
        <v>37270</v>
      </c>
      <c r="K383" s="184" t="n">
        <v>15010</v>
      </c>
      <c r="L383" s="185" t="n">
        <v>11</v>
      </c>
      <c r="M383" s="173" t="n">
        <v>22260</v>
      </c>
      <c r="N383" s="184" t="n">
        <v>19811.4</v>
      </c>
      <c r="O383" s="184" t="s">
        <v>1124</v>
      </c>
      <c r="P383" s="187" t="n">
        <v>45900</v>
      </c>
      <c r="Q383" s="188" t="n">
        <v>0.670081018518519</v>
      </c>
    </row>
    <row r="384" customFormat="false" ht="57.45" hidden="false" customHeight="false" outlineLevel="0" collapsed="false">
      <c r="A384" s="181" t="s">
        <v>1125</v>
      </c>
      <c r="B384" s="182" t="n">
        <v>1385</v>
      </c>
      <c r="C384" s="183" t="n">
        <v>58673</v>
      </c>
      <c r="D384" s="181" t="s">
        <v>831</v>
      </c>
      <c r="E384" s="181" t="s">
        <v>296</v>
      </c>
      <c r="F384" s="181" t="s">
        <v>297</v>
      </c>
      <c r="G384" s="181" t="s">
        <v>226</v>
      </c>
      <c r="H384" s="181" t="s">
        <v>586</v>
      </c>
      <c r="I384" s="181" t="s">
        <v>220</v>
      </c>
      <c r="J384" s="184" t="n">
        <v>37610</v>
      </c>
      <c r="K384" s="184" t="n">
        <v>15390</v>
      </c>
      <c r="L384" s="185" t="n">
        <v>13</v>
      </c>
      <c r="M384" s="173" t="n">
        <v>22220</v>
      </c>
      <c r="N384" s="184" t="n">
        <v>19331.4</v>
      </c>
      <c r="O384" s="184" t="s">
        <v>1126</v>
      </c>
      <c r="P384" s="187" t="n">
        <v>45900</v>
      </c>
      <c r="Q384" s="188" t="n">
        <v>0.673553240740741</v>
      </c>
    </row>
    <row r="385" customFormat="false" ht="57.45" hidden="false" customHeight="false" outlineLevel="0" collapsed="false">
      <c r="A385" s="181" t="s">
        <v>1127</v>
      </c>
      <c r="B385" s="182" t="n">
        <v>1386</v>
      </c>
      <c r="C385" s="183" t="n">
        <v>58679</v>
      </c>
      <c r="D385" s="181" t="s">
        <v>831</v>
      </c>
      <c r="E385" s="181" t="s">
        <v>272</v>
      </c>
      <c r="F385" s="181" t="s">
        <v>273</v>
      </c>
      <c r="G385" s="181" t="s">
        <v>226</v>
      </c>
      <c r="H385" s="181" t="s">
        <v>586</v>
      </c>
      <c r="I385" s="181" t="s">
        <v>220</v>
      </c>
      <c r="J385" s="184" t="n">
        <v>37190</v>
      </c>
      <c r="K385" s="184" t="n">
        <v>15550</v>
      </c>
      <c r="L385" s="185" t="n">
        <v>13</v>
      </c>
      <c r="M385" s="173" t="n">
        <v>21640</v>
      </c>
      <c r="N385" s="184" t="n">
        <v>18826.8</v>
      </c>
      <c r="O385" s="184" t="s">
        <v>1128</v>
      </c>
      <c r="P385" s="187" t="n">
        <v>45900</v>
      </c>
      <c r="Q385" s="188" t="n">
        <v>0.746550925925926</v>
      </c>
    </row>
    <row r="386" customFormat="false" ht="57.45" hidden="false" customHeight="false" outlineLevel="0" collapsed="false">
      <c r="A386" s="181" t="s">
        <v>1129</v>
      </c>
      <c r="B386" s="182" t="n">
        <v>1387</v>
      </c>
      <c r="C386" s="183" t="n">
        <v>58681</v>
      </c>
      <c r="D386" s="181" t="s">
        <v>831</v>
      </c>
      <c r="E386" s="181" t="s">
        <v>431</v>
      </c>
      <c r="F386" s="181" t="s">
        <v>432</v>
      </c>
      <c r="G386" s="181" t="s">
        <v>226</v>
      </c>
      <c r="H386" s="181" t="s">
        <v>586</v>
      </c>
      <c r="I386" s="181" t="s">
        <v>220</v>
      </c>
      <c r="J386" s="184" t="n">
        <v>39270</v>
      </c>
      <c r="K386" s="184" t="n">
        <v>16580</v>
      </c>
      <c r="L386" s="185" t="n">
        <v>18</v>
      </c>
      <c r="M386" s="173" t="n">
        <v>22690</v>
      </c>
      <c r="N386" s="184" t="n">
        <v>18605.8</v>
      </c>
      <c r="O386" s="184" t="s">
        <v>1130</v>
      </c>
      <c r="P386" s="187" t="n">
        <v>45900</v>
      </c>
      <c r="Q386" s="188" t="n">
        <v>0.748310185185185</v>
      </c>
    </row>
    <row r="387" customFormat="false" ht="57.45" hidden="false" customHeight="false" outlineLevel="0" collapsed="false">
      <c r="A387" s="181" t="s">
        <v>1131</v>
      </c>
      <c r="B387" s="182" t="n">
        <v>1388</v>
      </c>
      <c r="C387" s="183" t="n">
        <v>58677</v>
      </c>
      <c r="D387" s="181" t="s">
        <v>831</v>
      </c>
      <c r="E387" s="181" t="s">
        <v>582</v>
      </c>
      <c r="F387" s="181" t="s">
        <v>583</v>
      </c>
      <c r="G387" s="181" t="s">
        <v>226</v>
      </c>
      <c r="H387" s="181" t="s">
        <v>586</v>
      </c>
      <c r="I387" s="181" t="s">
        <v>220</v>
      </c>
      <c r="J387" s="184" t="n">
        <v>37730</v>
      </c>
      <c r="K387" s="184" t="n">
        <v>14630</v>
      </c>
      <c r="L387" s="185" t="n">
        <v>15</v>
      </c>
      <c r="M387" s="173" t="n">
        <v>23100</v>
      </c>
      <c r="N387" s="184" t="n">
        <v>19635</v>
      </c>
      <c r="O387" s="184" t="s">
        <v>1132</v>
      </c>
      <c r="P387" s="187" t="n">
        <v>45900</v>
      </c>
      <c r="Q387" s="188" t="n">
        <v>0.825462962962963</v>
      </c>
    </row>
    <row r="388" customFormat="false" ht="57.45" hidden="false" customHeight="false" outlineLevel="0" collapsed="false">
      <c r="A388" s="181" t="s">
        <v>1133</v>
      </c>
      <c r="B388" s="182" t="n">
        <v>1389</v>
      </c>
      <c r="C388" s="183" t="n">
        <v>58683</v>
      </c>
      <c r="D388" s="181" t="s">
        <v>831</v>
      </c>
      <c r="E388" s="181" t="s">
        <v>435</v>
      </c>
      <c r="F388" s="181" t="s">
        <v>436</v>
      </c>
      <c r="G388" s="181" t="s">
        <v>226</v>
      </c>
      <c r="H388" s="181" t="s">
        <v>586</v>
      </c>
      <c r="I388" s="181" t="s">
        <v>220</v>
      </c>
      <c r="J388" s="184" t="n">
        <v>38810</v>
      </c>
      <c r="K388" s="184" t="n">
        <v>16620</v>
      </c>
      <c r="L388" s="185" t="n">
        <v>23</v>
      </c>
      <c r="M388" s="173" t="n">
        <v>22190</v>
      </c>
      <c r="N388" s="184" t="n">
        <v>17086.3</v>
      </c>
      <c r="O388" s="184" t="s">
        <v>1134</v>
      </c>
      <c r="P388" s="187" t="n">
        <v>45900</v>
      </c>
      <c r="Q388" s="188" t="n">
        <v>0.8309375</v>
      </c>
    </row>
    <row r="389" customFormat="false" ht="57.45" hidden="false" customHeight="false" outlineLevel="0" collapsed="false">
      <c r="A389" s="181" t="s">
        <v>1135</v>
      </c>
      <c r="B389" s="182" t="n">
        <v>1391</v>
      </c>
      <c r="C389" s="183" t="n">
        <v>58685</v>
      </c>
      <c r="D389" s="181" t="s">
        <v>831</v>
      </c>
      <c r="E389" s="181" t="s">
        <v>391</v>
      </c>
      <c r="F389" s="181" t="s">
        <v>392</v>
      </c>
      <c r="G389" s="181" t="s">
        <v>226</v>
      </c>
      <c r="H389" s="181" t="s">
        <v>586</v>
      </c>
      <c r="I389" s="181" t="s">
        <v>220</v>
      </c>
      <c r="J389" s="184" t="n">
        <v>34720</v>
      </c>
      <c r="K389" s="184" t="n">
        <v>14450</v>
      </c>
      <c r="L389" s="185" t="n">
        <v>7</v>
      </c>
      <c r="M389" s="173" t="n">
        <v>20270</v>
      </c>
      <c r="N389" s="184" t="n">
        <v>18851.1</v>
      </c>
      <c r="O389" s="184" t="s">
        <v>1136</v>
      </c>
      <c r="P389" s="187" t="n">
        <v>45900</v>
      </c>
      <c r="Q389" s="188" t="n">
        <v>0.920335648148148</v>
      </c>
    </row>
    <row r="390" customFormat="false" ht="57.45" hidden="false" customHeight="false" outlineLevel="0" collapsed="false">
      <c r="A390" s="181" t="s">
        <v>1137</v>
      </c>
      <c r="B390" s="182" t="n">
        <v>1392</v>
      </c>
      <c r="C390" s="183" t="n">
        <v>58687</v>
      </c>
      <c r="D390" s="181" t="s">
        <v>831</v>
      </c>
      <c r="E390" s="181" t="s">
        <v>387</v>
      </c>
      <c r="F390" s="181" t="s">
        <v>388</v>
      </c>
      <c r="G390" s="181" t="s">
        <v>226</v>
      </c>
      <c r="H390" s="181" t="s">
        <v>586</v>
      </c>
      <c r="I390" s="181" t="s">
        <v>220</v>
      </c>
      <c r="J390" s="184" t="n">
        <v>39190</v>
      </c>
      <c r="K390" s="184" t="n">
        <v>14920</v>
      </c>
      <c r="L390" s="185" t="n">
        <v>7</v>
      </c>
      <c r="M390" s="173" t="n">
        <v>24270</v>
      </c>
      <c r="N390" s="184" t="n">
        <v>22571.1</v>
      </c>
      <c r="O390" s="184" t="s">
        <v>1138</v>
      </c>
      <c r="P390" s="187" t="n">
        <v>45900</v>
      </c>
      <c r="Q390" s="188" t="n">
        <v>0.931759259259259</v>
      </c>
    </row>
    <row r="391" customFormat="false" ht="57.45" hidden="false" customHeight="false" outlineLevel="0" collapsed="false">
      <c r="A391" s="181" t="s">
        <v>1139</v>
      </c>
      <c r="B391" s="182" t="n">
        <v>1393</v>
      </c>
      <c r="C391" s="183" t="n">
        <v>58689</v>
      </c>
      <c r="D391" s="181" t="s">
        <v>831</v>
      </c>
      <c r="E391" s="181" t="s">
        <v>377</v>
      </c>
      <c r="F391" s="181" t="s">
        <v>378</v>
      </c>
      <c r="G391" s="181" t="s">
        <v>226</v>
      </c>
      <c r="H391" s="181" t="s">
        <v>586</v>
      </c>
      <c r="I391" s="181" t="s">
        <v>220</v>
      </c>
      <c r="J391" s="184" t="n">
        <v>40230</v>
      </c>
      <c r="K391" s="184" t="n">
        <v>15600</v>
      </c>
      <c r="L391" s="185" t="n">
        <v>10</v>
      </c>
      <c r="M391" s="173" t="n">
        <v>24630</v>
      </c>
      <c r="N391" s="184" t="n">
        <v>22167</v>
      </c>
      <c r="O391" s="184" t="s">
        <v>1140</v>
      </c>
      <c r="P391" s="187" t="n">
        <v>45900</v>
      </c>
      <c r="Q391" s="188" t="n">
        <v>0.960092592592593</v>
      </c>
    </row>
    <row r="392" customFormat="false" ht="57.45" hidden="false" customHeight="false" outlineLevel="0" collapsed="false">
      <c r="A392" s="181" t="s">
        <v>1141</v>
      </c>
      <c r="B392" s="182" t="n">
        <v>1394</v>
      </c>
      <c r="C392" s="183" t="n">
        <v>58691</v>
      </c>
      <c r="D392" s="181" t="s">
        <v>831</v>
      </c>
      <c r="E392" s="181" t="s">
        <v>266</v>
      </c>
      <c r="F392" s="181" t="s">
        <v>267</v>
      </c>
      <c r="G392" s="181" t="s">
        <v>226</v>
      </c>
      <c r="H392" s="181" t="s">
        <v>586</v>
      </c>
      <c r="I392" s="181" t="s">
        <v>220</v>
      </c>
      <c r="J392" s="184" t="n">
        <v>37980</v>
      </c>
      <c r="K392" s="184" t="n">
        <v>14880</v>
      </c>
      <c r="L392" s="185" t="n">
        <v>14</v>
      </c>
      <c r="M392" s="173" t="n">
        <v>23100</v>
      </c>
      <c r="N392" s="184" t="n">
        <v>19866</v>
      </c>
      <c r="O392" s="184" t="s">
        <v>1142</v>
      </c>
      <c r="P392" s="187" t="n">
        <v>45900</v>
      </c>
      <c r="Q392" s="188" t="n">
        <v>0.948310185185185</v>
      </c>
    </row>
    <row r="393" customFormat="false" ht="57.45" hidden="false" customHeight="false" outlineLevel="0" collapsed="false">
      <c r="A393" s="181" t="s">
        <v>1143</v>
      </c>
      <c r="B393" s="182" t="n">
        <v>1395</v>
      </c>
      <c r="C393" s="183" t="n">
        <v>58693</v>
      </c>
      <c r="D393" s="181" t="s">
        <v>831</v>
      </c>
      <c r="E393" s="181" t="s">
        <v>332</v>
      </c>
      <c r="F393" s="181" t="s">
        <v>333</v>
      </c>
      <c r="G393" s="181" t="s">
        <v>226</v>
      </c>
      <c r="H393" s="181" t="s">
        <v>832</v>
      </c>
      <c r="I393" s="181" t="s">
        <v>220</v>
      </c>
      <c r="J393" s="184" t="n">
        <v>37800</v>
      </c>
      <c r="K393" s="184" t="n">
        <v>14680</v>
      </c>
      <c r="L393" s="185" t="n">
        <v>10</v>
      </c>
      <c r="M393" s="173" t="n">
        <v>23120</v>
      </c>
      <c r="N393" s="184" t="n">
        <v>20808</v>
      </c>
      <c r="O393" s="184" t="s">
        <v>1144</v>
      </c>
      <c r="P393" s="187" t="n">
        <v>45900</v>
      </c>
      <c r="Q393" s="188" t="n">
        <v>0.987615740740741</v>
      </c>
    </row>
    <row r="394" customFormat="false" ht="57.45" hidden="false" customHeight="false" outlineLevel="0" collapsed="false">
      <c r="A394" s="181" t="s">
        <v>1145</v>
      </c>
      <c r="B394" s="182" t="n">
        <v>1397</v>
      </c>
      <c r="C394" s="183" t="n">
        <v>58697</v>
      </c>
      <c r="D394" s="181" t="s">
        <v>831</v>
      </c>
      <c r="E394" s="181" t="s">
        <v>541</v>
      </c>
      <c r="F394" s="181" t="s">
        <v>542</v>
      </c>
      <c r="G394" s="181" t="s">
        <v>226</v>
      </c>
      <c r="H394" s="181" t="s">
        <v>832</v>
      </c>
      <c r="I394" s="181" t="s">
        <v>220</v>
      </c>
      <c r="J394" s="184" t="n">
        <v>39790</v>
      </c>
      <c r="K394" s="184" t="n">
        <v>14970</v>
      </c>
      <c r="L394" s="185" t="n">
        <v>15</v>
      </c>
      <c r="M394" s="173" t="n">
        <v>24820</v>
      </c>
      <c r="N394" s="184" t="n">
        <v>21097</v>
      </c>
      <c r="O394" s="184" t="s">
        <v>1146</v>
      </c>
      <c r="P394" s="187" t="n">
        <v>45901</v>
      </c>
      <c r="Q394" s="188" t="n">
        <v>0.079375</v>
      </c>
    </row>
    <row r="395" customFormat="false" ht="57.45" hidden="false" customHeight="false" outlineLevel="0" collapsed="false">
      <c r="A395" s="181" t="s">
        <v>1147</v>
      </c>
      <c r="B395" s="182" t="n">
        <v>1398</v>
      </c>
      <c r="C395" s="183" t="n">
        <v>58695</v>
      </c>
      <c r="D395" s="181" t="s">
        <v>831</v>
      </c>
      <c r="E395" s="181" t="s">
        <v>399</v>
      </c>
      <c r="F395" s="181" t="s">
        <v>400</v>
      </c>
      <c r="G395" s="181" t="s">
        <v>226</v>
      </c>
      <c r="H395" s="181" t="s">
        <v>832</v>
      </c>
      <c r="I395" s="181" t="s">
        <v>220</v>
      </c>
      <c r="J395" s="184" t="n">
        <v>46220</v>
      </c>
      <c r="K395" s="184" t="n">
        <v>19330</v>
      </c>
      <c r="L395" s="185" t="n">
        <v>10</v>
      </c>
      <c r="M395" s="173" t="n">
        <v>26890</v>
      </c>
      <c r="N395" s="184" t="n">
        <v>24201</v>
      </c>
      <c r="O395" s="184" t="s">
        <v>1148</v>
      </c>
      <c r="P395" s="187" t="n">
        <v>45901</v>
      </c>
      <c r="Q395" s="188" t="n">
        <v>0.145324074074074</v>
      </c>
    </row>
    <row r="396" customFormat="false" ht="57.45" hidden="false" customHeight="false" outlineLevel="0" collapsed="false">
      <c r="A396" s="181" t="s">
        <v>1149</v>
      </c>
      <c r="B396" s="182" t="n">
        <v>1399</v>
      </c>
      <c r="C396" s="183" t="n">
        <v>58699</v>
      </c>
      <c r="D396" s="181" t="s">
        <v>831</v>
      </c>
      <c r="E396" s="181" t="s">
        <v>549</v>
      </c>
      <c r="F396" s="181" t="s">
        <v>550</v>
      </c>
      <c r="G396" s="181" t="s">
        <v>226</v>
      </c>
      <c r="H396" s="181" t="s">
        <v>832</v>
      </c>
      <c r="I396" s="181" t="s">
        <v>220</v>
      </c>
      <c r="J396" s="184" t="n">
        <v>41690</v>
      </c>
      <c r="K396" s="184" t="n">
        <v>15650</v>
      </c>
      <c r="L396" s="185" t="n">
        <v>8</v>
      </c>
      <c r="M396" s="173" t="n">
        <v>26040</v>
      </c>
      <c r="N396" s="184" t="n">
        <v>23956.8</v>
      </c>
      <c r="O396" s="184" t="s">
        <v>1150</v>
      </c>
      <c r="P396" s="187" t="n">
        <v>45901</v>
      </c>
      <c r="Q396" s="188" t="n">
        <v>0.178333333333333</v>
      </c>
    </row>
    <row r="397" customFormat="false" ht="57.45" hidden="false" customHeight="false" outlineLevel="0" collapsed="false">
      <c r="A397" s="181" t="s">
        <v>1151</v>
      </c>
      <c r="B397" s="182" t="n">
        <v>1400</v>
      </c>
      <c r="C397" s="183" t="n">
        <v>58701</v>
      </c>
      <c r="D397" s="181" t="s">
        <v>831</v>
      </c>
      <c r="E397" s="181" t="s">
        <v>282</v>
      </c>
      <c r="F397" s="181" t="s">
        <v>283</v>
      </c>
      <c r="G397" s="181" t="s">
        <v>226</v>
      </c>
      <c r="H397" s="181" t="s">
        <v>832</v>
      </c>
      <c r="I397" s="181" t="s">
        <v>220</v>
      </c>
      <c r="J397" s="184" t="n">
        <v>38130</v>
      </c>
      <c r="K397" s="184" t="n">
        <v>15050</v>
      </c>
      <c r="L397" s="185" t="n">
        <v>10</v>
      </c>
      <c r="M397" s="173" t="n">
        <v>23080</v>
      </c>
      <c r="N397" s="184" t="n">
        <v>20772</v>
      </c>
      <c r="O397" s="184" t="s">
        <v>1152</v>
      </c>
      <c r="P397" s="187" t="n">
        <v>45901</v>
      </c>
      <c r="Q397" s="188" t="n">
        <v>0.207013888888889</v>
      </c>
    </row>
    <row r="398" customFormat="false" ht="57.45" hidden="false" customHeight="false" outlineLevel="0" collapsed="false">
      <c r="A398" s="181" t="s">
        <v>1153</v>
      </c>
      <c r="B398" s="182" t="n">
        <v>1401</v>
      </c>
      <c r="C398" s="183" t="n">
        <v>58703</v>
      </c>
      <c r="D398" s="181" t="s">
        <v>831</v>
      </c>
      <c r="E398" s="181" t="s">
        <v>533</v>
      </c>
      <c r="F398" s="181" t="s">
        <v>534</v>
      </c>
      <c r="G398" s="181" t="s">
        <v>226</v>
      </c>
      <c r="H398" s="181" t="s">
        <v>832</v>
      </c>
      <c r="I398" s="181" t="s">
        <v>220</v>
      </c>
      <c r="J398" s="184" t="n">
        <v>39010</v>
      </c>
      <c r="K398" s="184" t="n">
        <v>14620</v>
      </c>
      <c r="L398" s="185" t="n">
        <v>9</v>
      </c>
      <c r="M398" s="173" t="n">
        <v>24390</v>
      </c>
      <c r="N398" s="184" t="n">
        <v>22194.9</v>
      </c>
      <c r="O398" s="184" t="s">
        <v>1154</v>
      </c>
      <c r="P398" s="187" t="n">
        <v>45901</v>
      </c>
      <c r="Q398" s="188" t="n">
        <v>0.247048611111111</v>
      </c>
    </row>
    <row r="399" customFormat="false" ht="57.45" hidden="false" customHeight="false" outlineLevel="0" collapsed="false">
      <c r="A399" s="181" t="s">
        <v>1155</v>
      </c>
      <c r="B399" s="182" t="n">
        <v>1402</v>
      </c>
      <c r="C399" s="183" t="n">
        <v>58707</v>
      </c>
      <c r="D399" s="181" t="s">
        <v>831</v>
      </c>
      <c r="E399" s="181" t="s">
        <v>1027</v>
      </c>
      <c r="F399" s="181" t="s">
        <v>1028</v>
      </c>
      <c r="G399" s="181" t="s">
        <v>226</v>
      </c>
      <c r="H399" s="181" t="s">
        <v>832</v>
      </c>
      <c r="I399" s="181" t="s">
        <v>220</v>
      </c>
      <c r="J399" s="184" t="n">
        <v>15790</v>
      </c>
      <c r="K399" s="184" t="n">
        <v>10120</v>
      </c>
      <c r="L399" s="185" t="n">
        <v>7</v>
      </c>
      <c r="M399" s="173" t="n">
        <v>5670</v>
      </c>
      <c r="N399" s="184" t="n">
        <v>5273.1</v>
      </c>
      <c r="O399" s="184" t="s">
        <v>1156</v>
      </c>
      <c r="P399" s="187" t="n">
        <v>45901</v>
      </c>
      <c r="Q399" s="188" t="n">
        <v>0.245335648148148</v>
      </c>
    </row>
    <row r="400" customFormat="false" ht="57.45" hidden="false" customHeight="false" outlineLevel="0" collapsed="false">
      <c r="A400" s="181" t="s">
        <v>1157</v>
      </c>
      <c r="B400" s="182" t="n">
        <v>1403</v>
      </c>
      <c r="C400" s="183" t="n">
        <v>58705</v>
      </c>
      <c r="D400" s="181" t="s">
        <v>831</v>
      </c>
      <c r="E400" s="181" t="s">
        <v>545</v>
      </c>
      <c r="F400" s="181" t="s">
        <v>546</v>
      </c>
      <c r="G400" s="181" t="s">
        <v>226</v>
      </c>
      <c r="H400" s="181" t="s">
        <v>832</v>
      </c>
      <c r="I400" s="181" t="s">
        <v>220</v>
      </c>
      <c r="J400" s="184" t="n">
        <v>41010</v>
      </c>
      <c r="K400" s="184" t="n">
        <v>16100</v>
      </c>
      <c r="L400" s="185" t="n">
        <v>13</v>
      </c>
      <c r="M400" s="173" t="n">
        <v>24910</v>
      </c>
      <c r="N400" s="184" t="n">
        <v>21671.7</v>
      </c>
      <c r="O400" s="184" t="s">
        <v>1158</v>
      </c>
      <c r="P400" s="187" t="n">
        <v>45901</v>
      </c>
      <c r="Q400" s="188" t="n">
        <v>0.274872685185185</v>
      </c>
    </row>
    <row r="401" customFormat="false" ht="46.25" hidden="false" customHeight="false" outlineLevel="0" collapsed="false">
      <c r="A401" s="181" t="s">
        <v>1159</v>
      </c>
      <c r="B401" s="182" t="n">
        <v>1412</v>
      </c>
      <c r="C401" s="183" t="n">
        <v>77183</v>
      </c>
      <c r="D401" s="181" t="s">
        <v>831</v>
      </c>
      <c r="E401" s="181" t="s">
        <v>282</v>
      </c>
      <c r="F401" s="181" t="s">
        <v>283</v>
      </c>
      <c r="G401" s="181" t="s">
        <v>226</v>
      </c>
      <c r="H401" s="181" t="s">
        <v>279</v>
      </c>
      <c r="I401" s="181" t="s">
        <v>230</v>
      </c>
      <c r="J401" s="184" t="n">
        <v>37800</v>
      </c>
      <c r="K401" s="184" t="n">
        <v>15030</v>
      </c>
      <c r="L401" s="185" t="n">
        <v>23</v>
      </c>
      <c r="M401" s="173" t="n">
        <v>22770</v>
      </c>
      <c r="N401" s="173" t="n">
        <v>17532.9</v>
      </c>
      <c r="O401" s="184" t="s">
        <v>1160</v>
      </c>
      <c r="P401" s="187" t="n">
        <v>45903</v>
      </c>
      <c r="Q401" s="188" t="n">
        <v>0.591608796296296</v>
      </c>
    </row>
    <row r="402" customFormat="false" ht="46.25" hidden="false" customHeight="false" outlineLevel="0" collapsed="false">
      <c r="A402" s="181" t="s">
        <v>1161</v>
      </c>
      <c r="B402" s="182" t="n">
        <v>1414</v>
      </c>
      <c r="C402" s="183" t="n">
        <v>77185</v>
      </c>
      <c r="D402" s="181" t="s">
        <v>831</v>
      </c>
      <c r="E402" s="181" t="s">
        <v>277</v>
      </c>
      <c r="F402" s="181" t="s">
        <v>278</v>
      </c>
      <c r="G402" s="181" t="s">
        <v>226</v>
      </c>
      <c r="H402" s="181" t="s">
        <v>279</v>
      </c>
      <c r="I402" s="181" t="s">
        <v>230</v>
      </c>
      <c r="J402" s="184" t="n">
        <v>41570</v>
      </c>
      <c r="K402" s="184" t="n">
        <v>15090</v>
      </c>
      <c r="L402" s="185" t="n">
        <v>15</v>
      </c>
      <c r="M402" s="173" t="n">
        <v>26480</v>
      </c>
      <c r="N402" s="173" t="n">
        <v>22508</v>
      </c>
      <c r="O402" s="184" t="s">
        <v>1162</v>
      </c>
      <c r="P402" s="187" t="n">
        <v>45903</v>
      </c>
      <c r="Q402" s="188" t="n">
        <v>0.659247685185185</v>
      </c>
    </row>
    <row r="403" customFormat="false" ht="46.25" hidden="false" customHeight="false" outlineLevel="0" collapsed="false">
      <c r="A403" s="181" t="s">
        <v>1163</v>
      </c>
      <c r="B403" s="182" t="n">
        <v>1416</v>
      </c>
      <c r="C403" s="183" t="n">
        <v>77187</v>
      </c>
      <c r="D403" s="181" t="s">
        <v>831</v>
      </c>
      <c r="E403" s="181" t="s">
        <v>300</v>
      </c>
      <c r="F403" s="181" t="s">
        <v>301</v>
      </c>
      <c r="G403" s="181" t="s">
        <v>226</v>
      </c>
      <c r="H403" s="181" t="s">
        <v>279</v>
      </c>
      <c r="I403" s="181" t="s">
        <v>230</v>
      </c>
      <c r="J403" s="184" t="n">
        <v>45070</v>
      </c>
      <c r="K403" s="184" t="n">
        <v>20980</v>
      </c>
      <c r="L403" s="185" t="n">
        <v>16</v>
      </c>
      <c r="M403" s="173" t="n">
        <v>24090</v>
      </c>
      <c r="N403" s="173" t="n">
        <v>20235.6</v>
      </c>
      <c r="O403" s="184" t="s">
        <v>1164</v>
      </c>
      <c r="P403" s="187" t="n">
        <v>45903</v>
      </c>
      <c r="Q403" s="188" t="n">
        <v>0.756493055555556</v>
      </c>
    </row>
    <row r="404" customFormat="false" ht="46.25" hidden="false" customHeight="false" outlineLevel="0" collapsed="false">
      <c r="A404" s="181" t="s">
        <v>1165</v>
      </c>
      <c r="B404" s="182" t="n">
        <v>1417</v>
      </c>
      <c r="C404" s="183" t="n">
        <v>77191</v>
      </c>
      <c r="D404" s="181" t="s">
        <v>831</v>
      </c>
      <c r="E404" s="181" t="s">
        <v>308</v>
      </c>
      <c r="F404" s="181" t="s">
        <v>309</v>
      </c>
      <c r="G404" s="181" t="s">
        <v>226</v>
      </c>
      <c r="H404" s="181" t="s">
        <v>279</v>
      </c>
      <c r="I404" s="181" t="s">
        <v>230</v>
      </c>
      <c r="J404" s="184" t="n">
        <v>46470</v>
      </c>
      <c r="K404" s="184" t="n">
        <v>24050</v>
      </c>
      <c r="L404" s="185" t="n">
        <v>21</v>
      </c>
      <c r="M404" s="173" t="n">
        <v>22420</v>
      </c>
      <c r="N404" s="173" t="n">
        <v>17711.8</v>
      </c>
      <c r="O404" s="184" t="s">
        <v>1166</v>
      </c>
      <c r="P404" s="187" t="n">
        <v>45903</v>
      </c>
      <c r="Q404" s="188" t="n">
        <v>0.81181712962963</v>
      </c>
    </row>
    <row r="405" customFormat="false" ht="46.25" hidden="false" customHeight="false" outlineLevel="0" collapsed="false">
      <c r="A405" s="181" t="s">
        <v>1167</v>
      </c>
      <c r="B405" s="182" t="n">
        <v>1418</v>
      </c>
      <c r="C405" s="183" t="n">
        <v>77189</v>
      </c>
      <c r="D405" s="181" t="s">
        <v>831</v>
      </c>
      <c r="E405" s="181" t="s">
        <v>304</v>
      </c>
      <c r="F405" s="181" t="s">
        <v>305</v>
      </c>
      <c r="G405" s="181" t="s">
        <v>226</v>
      </c>
      <c r="H405" s="181" t="s">
        <v>279</v>
      </c>
      <c r="I405" s="181" t="s">
        <v>230</v>
      </c>
      <c r="J405" s="184" t="n">
        <v>38410</v>
      </c>
      <c r="K405" s="184" t="n">
        <v>14850</v>
      </c>
      <c r="L405" s="185" t="n">
        <v>14</v>
      </c>
      <c r="M405" s="173" t="n">
        <v>23560</v>
      </c>
      <c r="N405" s="173" t="n">
        <v>20261.6</v>
      </c>
      <c r="O405" s="184" t="s">
        <v>1168</v>
      </c>
      <c r="P405" s="187" t="n">
        <v>45903</v>
      </c>
      <c r="Q405" s="188" t="n">
        <v>0.819444444444444</v>
      </c>
    </row>
    <row r="406" customFormat="false" ht="46.25" hidden="false" customHeight="false" outlineLevel="0" collapsed="false">
      <c r="A406" s="181" t="s">
        <v>1169</v>
      </c>
      <c r="B406" s="182" t="n">
        <v>1420</v>
      </c>
      <c r="C406" s="183" t="n">
        <v>77193</v>
      </c>
      <c r="D406" s="181" t="s">
        <v>831</v>
      </c>
      <c r="E406" s="181" t="s">
        <v>545</v>
      </c>
      <c r="F406" s="181" t="s">
        <v>546</v>
      </c>
      <c r="G406" s="181" t="s">
        <v>226</v>
      </c>
      <c r="H406" s="181" t="s">
        <v>279</v>
      </c>
      <c r="I406" s="181" t="s">
        <v>230</v>
      </c>
      <c r="J406" s="184" t="n">
        <v>42640</v>
      </c>
      <c r="K406" s="184" t="n">
        <v>16100</v>
      </c>
      <c r="L406" s="185" t="n">
        <v>11</v>
      </c>
      <c r="M406" s="173" t="n">
        <v>26540</v>
      </c>
      <c r="N406" s="173" t="n">
        <v>23620.6</v>
      </c>
      <c r="O406" s="184" t="s">
        <v>1170</v>
      </c>
      <c r="P406" s="187" t="n">
        <v>45903</v>
      </c>
      <c r="Q406" s="188" t="n">
        <v>0.877106481481482</v>
      </c>
    </row>
    <row r="407" customFormat="false" ht="46.25" hidden="false" customHeight="false" outlineLevel="0" collapsed="false">
      <c r="A407" s="181" t="s">
        <v>1171</v>
      </c>
      <c r="B407" s="182" t="n">
        <v>1421</v>
      </c>
      <c r="C407" s="183" t="n">
        <v>77195</v>
      </c>
      <c r="D407" s="181" t="s">
        <v>831</v>
      </c>
      <c r="E407" s="181" t="s">
        <v>537</v>
      </c>
      <c r="F407" s="181" t="s">
        <v>538</v>
      </c>
      <c r="G407" s="181" t="s">
        <v>226</v>
      </c>
      <c r="H407" s="181" t="s">
        <v>279</v>
      </c>
      <c r="I407" s="181" t="s">
        <v>230</v>
      </c>
      <c r="J407" s="184" t="n">
        <v>36260</v>
      </c>
      <c r="K407" s="184" t="n">
        <v>13970</v>
      </c>
      <c r="L407" s="185" t="n">
        <v>10</v>
      </c>
      <c r="M407" s="173" t="n">
        <v>22290</v>
      </c>
      <c r="N407" s="184" t="n">
        <v>20061</v>
      </c>
      <c r="O407" s="184" t="s">
        <v>1172</v>
      </c>
      <c r="P407" s="187" t="n">
        <v>45903</v>
      </c>
      <c r="Q407" s="188" t="n">
        <v>0.892094907407407</v>
      </c>
    </row>
    <row r="408" customFormat="false" ht="46.25" hidden="false" customHeight="false" outlineLevel="0" collapsed="false">
      <c r="A408" s="181" t="s">
        <v>1173</v>
      </c>
      <c r="B408" s="182" t="n">
        <v>1422</v>
      </c>
      <c r="C408" s="183" t="n">
        <v>77199</v>
      </c>
      <c r="D408" s="181" t="s">
        <v>831</v>
      </c>
      <c r="E408" s="181" t="s">
        <v>533</v>
      </c>
      <c r="F408" s="181" t="s">
        <v>534</v>
      </c>
      <c r="G408" s="181" t="s">
        <v>226</v>
      </c>
      <c r="H408" s="181" t="s">
        <v>279</v>
      </c>
      <c r="I408" s="181" t="s">
        <v>230</v>
      </c>
      <c r="J408" s="184" t="n">
        <v>39940</v>
      </c>
      <c r="K408" s="184" t="n">
        <v>14610</v>
      </c>
      <c r="L408" s="185" t="n">
        <v>17</v>
      </c>
      <c r="M408" s="173" t="n">
        <v>25330</v>
      </c>
      <c r="N408" s="184" t="n">
        <v>21023.9</v>
      </c>
      <c r="O408" s="184" t="s">
        <v>1174</v>
      </c>
      <c r="P408" s="187" t="n">
        <v>45903</v>
      </c>
      <c r="Q408" s="188" t="n">
        <v>0.998414351851852</v>
      </c>
    </row>
    <row r="409" customFormat="false" ht="46.25" hidden="false" customHeight="false" outlineLevel="0" collapsed="false">
      <c r="A409" s="181" t="s">
        <v>1175</v>
      </c>
      <c r="B409" s="182" t="n">
        <v>1423</v>
      </c>
      <c r="C409" s="183" t="n">
        <v>77197</v>
      </c>
      <c r="D409" s="181" t="s">
        <v>831</v>
      </c>
      <c r="E409" s="181" t="s">
        <v>549</v>
      </c>
      <c r="F409" s="181" t="s">
        <v>550</v>
      </c>
      <c r="G409" s="181" t="s">
        <v>226</v>
      </c>
      <c r="H409" s="181" t="s">
        <v>279</v>
      </c>
      <c r="I409" s="181" t="s">
        <v>230</v>
      </c>
      <c r="J409" s="184" t="n">
        <v>42970</v>
      </c>
      <c r="K409" s="184" t="n">
        <v>15890</v>
      </c>
      <c r="L409" s="185" t="n">
        <v>17</v>
      </c>
      <c r="M409" s="173" t="n">
        <v>27080</v>
      </c>
      <c r="N409" s="184" t="n">
        <v>22476.4</v>
      </c>
      <c r="O409" s="184" t="s">
        <v>1176</v>
      </c>
      <c r="P409" s="187" t="n">
        <v>45904</v>
      </c>
      <c r="Q409" s="188" t="n">
        <v>0.00364583333333333</v>
      </c>
    </row>
    <row r="410" customFormat="false" ht="46.25" hidden="false" customHeight="false" outlineLevel="0" collapsed="false">
      <c r="A410" s="181" t="s">
        <v>1177</v>
      </c>
      <c r="B410" s="182" t="n">
        <v>1424</v>
      </c>
      <c r="C410" s="183" t="n">
        <v>77201</v>
      </c>
      <c r="D410" s="181" t="s">
        <v>831</v>
      </c>
      <c r="E410" s="181" t="s">
        <v>541</v>
      </c>
      <c r="F410" s="181" t="s">
        <v>542</v>
      </c>
      <c r="G410" s="181" t="s">
        <v>226</v>
      </c>
      <c r="H410" s="181" t="s">
        <v>279</v>
      </c>
      <c r="I410" s="181" t="s">
        <v>230</v>
      </c>
      <c r="J410" s="184" t="n">
        <v>40780</v>
      </c>
      <c r="K410" s="184" t="n">
        <v>14930</v>
      </c>
      <c r="L410" s="185" t="n">
        <v>16</v>
      </c>
      <c r="M410" s="173" t="n">
        <v>25850</v>
      </c>
      <c r="N410" s="184" t="n">
        <v>21714</v>
      </c>
      <c r="O410" s="184" t="s">
        <v>1178</v>
      </c>
      <c r="P410" s="187" t="n">
        <v>45904</v>
      </c>
      <c r="Q410" s="188" t="n">
        <v>0.0472453703703704</v>
      </c>
    </row>
    <row r="411" customFormat="false" ht="46.25" hidden="false" customHeight="false" outlineLevel="0" collapsed="false">
      <c r="A411" s="181" t="s">
        <v>1179</v>
      </c>
      <c r="B411" s="182" t="n">
        <v>1425</v>
      </c>
      <c r="C411" s="183" t="n">
        <v>77235</v>
      </c>
      <c r="D411" s="181" t="s">
        <v>831</v>
      </c>
      <c r="E411" s="181" t="s">
        <v>266</v>
      </c>
      <c r="F411" s="181" t="s">
        <v>267</v>
      </c>
      <c r="G411" s="181" t="s">
        <v>226</v>
      </c>
      <c r="H411" s="181" t="s">
        <v>279</v>
      </c>
      <c r="I411" s="181" t="s">
        <v>230</v>
      </c>
      <c r="J411" s="184" t="n">
        <v>39210</v>
      </c>
      <c r="K411" s="184" t="n">
        <v>14870</v>
      </c>
      <c r="L411" s="185" t="n">
        <v>15</v>
      </c>
      <c r="M411" s="173" t="n">
        <v>24340</v>
      </c>
      <c r="N411" s="184" t="n">
        <v>20689</v>
      </c>
      <c r="O411" s="184" t="s">
        <v>1180</v>
      </c>
      <c r="P411" s="187" t="n">
        <v>45904</v>
      </c>
      <c r="Q411" s="188" t="n">
        <v>0.0842824074074074</v>
      </c>
    </row>
    <row r="412" customFormat="false" ht="46.25" hidden="false" customHeight="false" outlineLevel="0" collapsed="false">
      <c r="A412" s="181" t="s">
        <v>1181</v>
      </c>
      <c r="B412" s="182" t="n">
        <v>1426</v>
      </c>
      <c r="C412" s="183" t="n">
        <v>77237</v>
      </c>
      <c r="D412" s="181" t="s">
        <v>831</v>
      </c>
      <c r="E412" s="181" t="s">
        <v>296</v>
      </c>
      <c r="F412" s="181" t="s">
        <v>297</v>
      </c>
      <c r="G412" s="181" t="s">
        <v>226</v>
      </c>
      <c r="H412" s="181" t="s">
        <v>279</v>
      </c>
      <c r="I412" s="181" t="s">
        <v>230</v>
      </c>
      <c r="J412" s="184" t="n">
        <v>40090</v>
      </c>
      <c r="K412" s="184" t="n">
        <v>15360</v>
      </c>
      <c r="L412" s="185" t="n">
        <v>9</v>
      </c>
      <c r="M412" s="173" t="n">
        <v>24730</v>
      </c>
      <c r="N412" s="184" t="n">
        <v>22504.3</v>
      </c>
      <c r="O412" s="184" t="s">
        <v>1182</v>
      </c>
      <c r="P412" s="187" t="n">
        <v>45904</v>
      </c>
      <c r="Q412" s="188" t="n">
        <v>0.127094907407407</v>
      </c>
    </row>
    <row r="413" customFormat="false" ht="46.25" hidden="false" customHeight="false" outlineLevel="0" collapsed="false">
      <c r="A413" s="181" t="s">
        <v>1183</v>
      </c>
      <c r="B413" s="182" t="n">
        <v>1429</v>
      </c>
      <c r="C413" s="183" t="n">
        <v>77245</v>
      </c>
      <c r="D413" s="181" t="s">
        <v>831</v>
      </c>
      <c r="E413" s="181" t="s">
        <v>272</v>
      </c>
      <c r="F413" s="181" t="s">
        <v>273</v>
      </c>
      <c r="G413" s="181" t="s">
        <v>226</v>
      </c>
      <c r="H413" s="181" t="s">
        <v>279</v>
      </c>
      <c r="I413" s="181" t="s">
        <v>230</v>
      </c>
      <c r="J413" s="184" t="n">
        <v>39270</v>
      </c>
      <c r="K413" s="184" t="n">
        <v>15580</v>
      </c>
      <c r="L413" s="185" t="n">
        <v>5</v>
      </c>
      <c r="M413" s="173" t="n">
        <v>23690</v>
      </c>
      <c r="N413" s="184" t="n">
        <v>22506</v>
      </c>
      <c r="O413" s="184" t="s">
        <v>1184</v>
      </c>
      <c r="P413" s="187" t="n">
        <v>45904</v>
      </c>
      <c r="Q413" s="188" t="n">
        <v>0.531898148148148</v>
      </c>
    </row>
    <row r="414" customFormat="false" ht="46.25" hidden="false" customHeight="false" outlineLevel="0" collapsed="false">
      <c r="A414" s="181" t="s">
        <v>1185</v>
      </c>
      <c r="B414" s="182" t="n">
        <v>1431</v>
      </c>
      <c r="C414" s="183" t="n">
        <v>77247</v>
      </c>
      <c r="D414" s="181" t="s">
        <v>831</v>
      </c>
      <c r="E414" s="181" t="s">
        <v>582</v>
      </c>
      <c r="F414" s="181" t="s">
        <v>583</v>
      </c>
      <c r="G414" s="181" t="s">
        <v>226</v>
      </c>
      <c r="H414" s="181" t="s">
        <v>279</v>
      </c>
      <c r="I414" s="181" t="s">
        <v>230</v>
      </c>
      <c r="J414" s="184" t="n">
        <v>37890</v>
      </c>
      <c r="K414" s="184" t="n">
        <v>14660</v>
      </c>
      <c r="L414" s="185" t="n">
        <v>7</v>
      </c>
      <c r="M414" s="173" t="n">
        <v>23230</v>
      </c>
      <c r="N414" s="184" t="n">
        <v>21603.9</v>
      </c>
      <c r="O414" s="184" t="s">
        <v>1186</v>
      </c>
      <c r="P414" s="187" t="n">
        <v>45904</v>
      </c>
      <c r="Q414" s="188" t="n">
        <v>0.545185185185185</v>
      </c>
    </row>
    <row r="415" customFormat="false" ht="46.25" hidden="false" customHeight="false" outlineLevel="0" collapsed="false">
      <c r="A415" s="181" t="s">
        <v>1187</v>
      </c>
      <c r="B415" s="182" t="n">
        <v>1432</v>
      </c>
      <c r="C415" s="183" t="n">
        <v>77262</v>
      </c>
      <c r="D415" s="181" t="s">
        <v>831</v>
      </c>
      <c r="E415" s="181" t="s">
        <v>439</v>
      </c>
      <c r="F415" s="181" t="s">
        <v>440</v>
      </c>
      <c r="G415" s="181" t="s">
        <v>226</v>
      </c>
      <c r="H415" s="181" t="s">
        <v>279</v>
      </c>
      <c r="I415" s="181" t="s">
        <v>230</v>
      </c>
      <c r="J415" s="184" t="n">
        <v>21410</v>
      </c>
      <c r="K415" s="184" t="n">
        <v>10720</v>
      </c>
      <c r="L415" s="185" t="n">
        <v>6</v>
      </c>
      <c r="M415" s="173" t="n">
        <v>10690</v>
      </c>
      <c r="N415" s="184" t="n">
        <v>10048.6</v>
      </c>
      <c r="O415" s="184" t="s">
        <v>1188</v>
      </c>
      <c r="P415" s="187" t="n">
        <v>45904</v>
      </c>
      <c r="Q415" s="188" t="n">
        <v>0.551388888888889</v>
      </c>
    </row>
    <row r="416" customFormat="false" ht="35.05" hidden="false" customHeight="false" outlineLevel="0" collapsed="false">
      <c r="A416" s="181" t="s">
        <v>1189</v>
      </c>
      <c r="B416" s="182" t="n">
        <v>1434</v>
      </c>
      <c r="C416" s="183" t="n">
        <v>36952</v>
      </c>
      <c r="D416" s="181" t="s">
        <v>1190</v>
      </c>
      <c r="E416" s="181" t="s">
        <v>292</v>
      </c>
      <c r="F416" s="181" t="s">
        <v>293</v>
      </c>
      <c r="G416" s="181" t="s">
        <v>236</v>
      </c>
      <c r="H416" s="181" t="s">
        <v>279</v>
      </c>
      <c r="I416" s="181" t="s">
        <v>230</v>
      </c>
      <c r="J416" s="184" t="n">
        <v>35120</v>
      </c>
      <c r="K416" s="184" t="n">
        <v>13890</v>
      </c>
      <c r="L416" s="185" t="n">
        <v>8</v>
      </c>
      <c r="M416" s="173" t="n">
        <v>21230</v>
      </c>
      <c r="N416" s="184" t="n">
        <v>19531.6</v>
      </c>
      <c r="O416" s="184" t="s">
        <v>1191</v>
      </c>
      <c r="P416" s="187" t="n">
        <v>45905</v>
      </c>
      <c r="Q416" s="188" t="n">
        <v>0.503831018518519</v>
      </c>
    </row>
    <row r="417" customFormat="false" ht="35.05" hidden="false" customHeight="false" outlineLevel="0" collapsed="false">
      <c r="A417" s="181" t="s">
        <v>1192</v>
      </c>
      <c r="B417" s="182" t="n">
        <v>1435</v>
      </c>
      <c r="C417" s="183" t="n">
        <v>36939</v>
      </c>
      <c r="D417" s="181" t="s">
        <v>1190</v>
      </c>
      <c r="E417" s="181" t="s">
        <v>1019</v>
      </c>
      <c r="F417" s="181" t="s">
        <v>1020</v>
      </c>
      <c r="G417" s="181" t="s">
        <v>236</v>
      </c>
      <c r="H417" s="181" t="s">
        <v>279</v>
      </c>
      <c r="I417" s="181" t="s">
        <v>230</v>
      </c>
      <c r="J417" s="184" t="n">
        <v>42640</v>
      </c>
      <c r="K417" s="184" t="n">
        <v>17080</v>
      </c>
      <c r="L417" s="185" t="n">
        <v>8</v>
      </c>
      <c r="M417" s="173" t="n">
        <v>25560</v>
      </c>
      <c r="N417" s="184" t="n">
        <v>23515.2</v>
      </c>
      <c r="O417" s="184" t="s">
        <v>1193</v>
      </c>
      <c r="P417" s="187" t="n">
        <v>45905</v>
      </c>
      <c r="Q417" s="188" t="n">
        <v>0.505717592592593</v>
      </c>
    </row>
    <row r="418" customFormat="false" ht="35.05" hidden="false" customHeight="false" outlineLevel="0" collapsed="false">
      <c r="A418" s="181" t="s">
        <v>1194</v>
      </c>
      <c r="B418" s="182" t="n">
        <v>1436</v>
      </c>
      <c r="C418" s="183" t="n">
        <v>36946</v>
      </c>
      <c r="D418" s="181" t="s">
        <v>1190</v>
      </c>
      <c r="E418" s="181" t="s">
        <v>1023</v>
      </c>
      <c r="F418" s="181" t="s">
        <v>1024</v>
      </c>
      <c r="G418" s="181" t="s">
        <v>236</v>
      </c>
      <c r="H418" s="181" t="s">
        <v>279</v>
      </c>
      <c r="I418" s="181" t="s">
        <v>230</v>
      </c>
      <c r="J418" s="184" t="n">
        <v>36340</v>
      </c>
      <c r="K418" s="184" t="n">
        <v>14730</v>
      </c>
      <c r="L418" s="185" t="n">
        <v>4</v>
      </c>
      <c r="M418" s="173" t="n">
        <v>21610</v>
      </c>
      <c r="N418" s="184" t="n">
        <v>20745.6</v>
      </c>
      <c r="O418" s="184" t="s">
        <v>1195</v>
      </c>
      <c r="P418" s="187" t="n">
        <v>45905</v>
      </c>
      <c r="Q418" s="188" t="n">
        <v>0.5515625</v>
      </c>
    </row>
    <row r="419" customFormat="false" ht="35.05" hidden="false" customHeight="false" outlineLevel="0" collapsed="false">
      <c r="A419" s="181" t="s">
        <v>1196</v>
      </c>
      <c r="B419" s="182" t="n">
        <v>1437</v>
      </c>
      <c r="C419" s="183" t="n">
        <v>36948</v>
      </c>
      <c r="D419" s="181" t="s">
        <v>1190</v>
      </c>
      <c r="E419" s="181" t="s">
        <v>1027</v>
      </c>
      <c r="F419" s="181" t="s">
        <v>1028</v>
      </c>
      <c r="G419" s="181" t="s">
        <v>236</v>
      </c>
      <c r="H419" s="181" t="s">
        <v>279</v>
      </c>
      <c r="I419" s="181" t="s">
        <v>230</v>
      </c>
      <c r="J419" s="184" t="n">
        <v>37830</v>
      </c>
      <c r="K419" s="184" t="n">
        <v>14970</v>
      </c>
      <c r="L419" s="185" t="n">
        <v>5</v>
      </c>
      <c r="M419" s="173" t="n">
        <v>22860</v>
      </c>
      <c r="N419" s="184" t="n">
        <v>21717</v>
      </c>
      <c r="O419" s="184" t="s">
        <v>1197</v>
      </c>
      <c r="P419" s="187" t="n">
        <v>45905</v>
      </c>
      <c r="Q419" s="188" t="n">
        <v>0.552777777777778</v>
      </c>
    </row>
    <row r="420" customFormat="false" ht="35.05" hidden="false" customHeight="false" outlineLevel="0" collapsed="false">
      <c r="A420" s="181" t="s">
        <v>1198</v>
      </c>
      <c r="B420" s="182" t="n">
        <v>1438</v>
      </c>
      <c r="C420" s="183" t="n">
        <v>36959</v>
      </c>
      <c r="D420" s="181" t="s">
        <v>1190</v>
      </c>
      <c r="E420" s="181" t="s">
        <v>277</v>
      </c>
      <c r="F420" s="181" t="s">
        <v>278</v>
      </c>
      <c r="G420" s="181" t="s">
        <v>236</v>
      </c>
      <c r="H420" s="181" t="s">
        <v>279</v>
      </c>
      <c r="I420" s="181" t="s">
        <v>230</v>
      </c>
      <c r="J420" s="184" t="n">
        <v>41640</v>
      </c>
      <c r="K420" s="184" t="n">
        <v>15070</v>
      </c>
      <c r="L420" s="185" t="n">
        <v>4</v>
      </c>
      <c r="M420" s="173" t="n">
        <v>26570</v>
      </c>
      <c r="N420" s="184" t="n">
        <v>25507.2</v>
      </c>
      <c r="O420" s="184" t="s">
        <v>1199</v>
      </c>
      <c r="P420" s="187" t="n">
        <v>45905</v>
      </c>
      <c r="Q420" s="188" t="n">
        <v>0.554097222222222</v>
      </c>
    </row>
    <row r="421" customFormat="false" ht="35.05" hidden="false" customHeight="false" outlineLevel="0" collapsed="false">
      <c r="A421" s="181" t="s">
        <v>1200</v>
      </c>
      <c r="B421" s="182" t="n">
        <v>1439</v>
      </c>
      <c r="C421" s="183" t="n">
        <v>36955</v>
      </c>
      <c r="D421" s="181" t="s">
        <v>1190</v>
      </c>
      <c r="E421" s="181" t="s">
        <v>431</v>
      </c>
      <c r="F421" s="181" t="s">
        <v>432</v>
      </c>
      <c r="G421" s="181" t="s">
        <v>236</v>
      </c>
      <c r="H421" s="181" t="s">
        <v>279</v>
      </c>
      <c r="I421" s="181" t="s">
        <v>230</v>
      </c>
      <c r="J421" s="184" t="n">
        <v>39910</v>
      </c>
      <c r="K421" s="184" t="n">
        <v>16520</v>
      </c>
      <c r="L421" s="185" t="n">
        <v>5</v>
      </c>
      <c r="M421" s="173" t="n">
        <v>23390</v>
      </c>
      <c r="N421" s="184" t="n">
        <v>22220.5</v>
      </c>
      <c r="O421" s="184" t="s">
        <v>1201</v>
      </c>
      <c r="P421" s="187" t="n">
        <v>45905</v>
      </c>
      <c r="Q421" s="188" t="n">
        <v>0.555497685185185</v>
      </c>
    </row>
    <row r="422" customFormat="false" ht="35.05" hidden="false" customHeight="false" outlineLevel="0" collapsed="false">
      <c r="A422" s="181" t="s">
        <v>1202</v>
      </c>
      <c r="B422" s="182" t="n">
        <v>1441</v>
      </c>
      <c r="C422" s="183" t="n">
        <v>36961</v>
      </c>
      <c r="D422" s="181" t="s">
        <v>1190</v>
      </c>
      <c r="E422" s="181" t="s">
        <v>350</v>
      </c>
      <c r="F422" s="181" t="s">
        <v>351</v>
      </c>
      <c r="G422" s="181" t="s">
        <v>236</v>
      </c>
      <c r="H422" s="181" t="s">
        <v>279</v>
      </c>
      <c r="I422" s="181" t="s">
        <v>230</v>
      </c>
      <c r="J422" s="184" t="n">
        <v>41890</v>
      </c>
      <c r="K422" s="184" t="n">
        <v>14870</v>
      </c>
      <c r="L422" s="185" t="n">
        <v>4</v>
      </c>
      <c r="M422" s="173" t="n">
        <v>27020</v>
      </c>
      <c r="N422" s="184" t="n">
        <v>25939.2</v>
      </c>
      <c r="O422" s="184" t="s">
        <v>1203</v>
      </c>
      <c r="P422" s="187" t="n">
        <v>45905</v>
      </c>
      <c r="Q422" s="188" t="n">
        <v>0.44787037037037</v>
      </c>
    </row>
    <row r="423" customFormat="false" ht="35.05" hidden="false" customHeight="false" outlineLevel="0" collapsed="false">
      <c r="A423" s="181" t="s">
        <v>1204</v>
      </c>
      <c r="B423" s="182" t="n">
        <v>1442</v>
      </c>
      <c r="C423" s="183" t="n">
        <v>36963</v>
      </c>
      <c r="D423" s="181" t="s">
        <v>1190</v>
      </c>
      <c r="E423" s="181" t="s">
        <v>373</v>
      </c>
      <c r="F423" s="181" t="s">
        <v>374</v>
      </c>
      <c r="G423" s="181" t="s">
        <v>236</v>
      </c>
      <c r="H423" s="181" t="s">
        <v>279</v>
      </c>
      <c r="I423" s="181" t="s">
        <v>230</v>
      </c>
      <c r="J423" s="184" t="n">
        <v>37360</v>
      </c>
      <c r="K423" s="184" t="n">
        <v>14230</v>
      </c>
      <c r="L423" s="185" t="n">
        <v>6</v>
      </c>
      <c r="M423" s="173" t="n">
        <v>23130</v>
      </c>
      <c r="N423" s="184" t="n">
        <v>21742.2</v>
      </c>
      <c r="O423" s="184" t="s">
        <v>1205</v>
      </c>
      <c r="P423" s="187" t="n">
        <v>45905</v>
      </c>
      <c r="Q423" s="188" t="n">
        <v>0.456886574074074</v>
      </c>
    </row>
    <row r="424" customFormat="false" ht="35.05" hidden="false" customHeight="false" outlineLevel="0" collapsed="false">
      <c r="A424" s="181" t="s">
        <v>1206</v>
      </c>
      <c r="B424" s="182" t="n">
        <v>1443</v>
      </c>
      <c r="C424" s="183" t="n">
        <v>36965</v>
      </c>
      <c r="D424" s="181" t="s">
        <v>1190</v>
      </c>
      <c r="E424" s="181" t="s">
        <v>377</v>
      </c>
      <c r="F424" s="181" t="s">
        <v>378</v>
      </c>
      <c r="G424" s="181" t="s">
        <v>236</v>
      </c>
      <c r="H424" s="181" t="s">
        <v>279</v>
      </c>
      <c r="I424" s="181" t="s">
        <v>230</v>
      </c>
      <c r="J424" s="184" t="n">
        <v>41100</v>
      </c>
      <c r="K424" s="184" t="n">
        <v>15530</v>
      </c>
      <c r="L424" s="185" t="n">
        <v>6</v>
      </c>
      <c r="M424" s="173" t="n">
        <v>25570</v>
      </c>
      <c r="N424" s="184" t="n">
        <v>24035.8</v>
      </c>
      <c r="O424" s="184" t="s">
        <v>1207</v>
      </c>
      <c r="P424" s="187" t="n">
        <v>45905</v>
      </c>
      <c r="Q424" s="188" t="n">
        <v>0.464386574074074</v>
      </c>
    </row>
    <row r="425" customFormat="false" ht="35.05" hidden="false" customHeight="false" outlineLevel="0" collapsed="false">
      <c r="A425" s="181" t="s">
        <v>1208</v>
      </c>
      <c r="B425" s="182" t="n">
        <v>1445</v>
      </c>
      <c r="C425" s="183" t="n">
        <v>36969</v>
      </c>
      <c r="D425" s="181" t="s">
        <v>1190</v>
      </c>
      <c r="E425" s="181" t="s">
        <v>332</v>
      </c>
      <c r="F425" s="181" t="s">
        <v>333</v>
      </c>
      <c r="G425" s="181" t="s">
        <v>236</v>
      </c>
      <c r="H425" s="181" t="s">
        <v>279</v>
      </c>
      <c r="I425" s="181" t="s">
        <v>230</v>
      </c>
      <c r="J425" s="184" t="n">
        <v>38140</v>
      </c>
      <c r="K425" s="184" t="n">
        <v>14690</v>
      </c>
      <c r="L425" s="185" t="n">
        <v>9</v>
      </c>
      <c r="M425" s="173" t="n">
        <v>23450</v>
      </c>
      <c r="N425" s="184" t="n">
        <v>21339.5</v>
      </c>
      <c r="O425" s="184" t="s">
        <v>1209</v>
      </c>
      <c r="P425" s="187" t="n">
        <v>45905</v>
      </c>
      <c r="Q425" s="188" t="n">
        <v>0.563668981481482</v>
      </c>
    </row>
    <row r="426" customFormat="false" ht="35.05" hidden="false" customHeight="false" outlineLevel="0" collapsed="false">
      <c r="A426" s="181" t="s">
        <v>1210</v>
      </c>
      <c r="B426" s="182" t="n">
        <v>1446</v>
      </c>
      <c r="C426" s="183" t="n">
        <v>36971</v>
      </c>
      <c r="D426" s="181" t="s">
        <v>1190</v>
      </c>
      <c r="E426" s="181" t="s">
        <v>288</v>
      </c>
      <c r="F426" s="181" t="s">
        <v>289</v>
      </c>
      <c r="G426" s="181" t="s">
        <v>236</v>
      </c>
      <c r="H426" s="181" t="s">
        <v>279</v>
      </c>
      <c r="I426" s="181" t="s">
        <v>230</v>
      </c>
      <c r="J426" s="184" t="n">
        <v>37710</v>
      </c>
      <c r="K426" s="184" t="n">
        <v>14560</v>
      </c>
      <c r="L426" s="185" t="n">
        <v>5</v>
      </c>
      <c r="M426" s="173" t="n">
        <v>23150</v>
      </c>
      <c r="N426" s="184" t="n">
        <v>21992.5</v>
      </c>
      <c r="O426" s="184" t="s">
        <v>1211</v>
      </c>
      <c r="P426" s="187" t="n">
        <v>45905</v>
      </c>
      <c r="Q426" s="188" t="n">
        <v>0.649050925925926</v>
      </c>
    </row>
    <row r="427" customFormat="false" ht="35.05" hidden="false" customHeight="false" outlineLevel="0" collapsed="false">
      <c r="A427" s="181" t="s">
        <v>1212</v>
      </c>
      <c r="B427" s="182" t="n">
        <v>1447</v>
      </c>
      <c r="C427" s="183" t="n">
        <v>36973</v>
      </c>
      <c r="D427" s="181" t="s">
        <v>1190</v>
      </c>
      <c r="E427" s="181" t="s">
        <v>409</v>
      </c>
      <c r="F427" s="181" t="s">
        <v>410</v>
      </c>
      <c r="G427" s="181" t="s">
        <v>236</v>
      </c>
      <c r="H427" s="181" t="s">
        <v>279</v>
      </c>
      <c r="I427" s="181" t="s">
        <v>230</v>
      </c>
      <c r="J427" s="184" t="n">
        <v>54310</v>
      </c>
      <c r="K427" s="184" t="n">
        <v>24080</v>
      </c>
      <c r="L427" s="185" t="n">
        <v>8</v>
      </c>
      <c r="M427" s="173" t="n">
        <v>30230</v>
      </c>
      <c r="N427" s="184" t="n">
        <v>27811.6</v>
      </c>
      <c r="O427" s="184" t="s">
        <v>1213</v>
      </c>
      <c r="P427" s="187" t="n">
        <v>45905</v>
      </c>
      <c r="Q427" s="188" t="n">
        <v>0.658171296296296</v>
      </c>
    </row>
    <row r="428" customFormat="false" ht="35.05" hidden="false" customHeight="false" outlineLevel="0" collapsed="false">
      <c r="A428" s="181" t="s">
        <v>1214</v>
      </c>
      <c r="B428" s="182" t="n">
        <v>1448</v>
      </c>
      <c r="C428" s="183" t="n">
        <v>36975</v>
      </c>
      <c r="D428" s="181" t="s">
        <v>1190</v>
      </c>
      <c r="E428" s="181" t="s">
        <v>413</v>
      </c>
      <c r="F428" s="181" t="s">
        <v>414</v>
      </c>
      <c r="G428" s="181" t="s">
        <v>236</v>
      </c>
      <c r="H428" s="181" t="s">
        <v>279</v>
      </c>
      <c r="I428" s="181" t="s">
        <v>230</v>
      </c>
      <c r="J428" s="184" t="n">
        <v>43750</v>
      </c>
      <c r="K428" s="184" t="n">
        <v>15540</v>
      </c>
      <c r="L428" s="185" t="n">
        <v>10</v>
      </c>
      <c r="M428" s="173" t="n">
        <v>28210</v>
      </c>
      <c r="N428" s="184" t="n">
        <v>25389</v>
      </c>
      <c r="O428" s="184" t="s">
        <v>1215</v>
      </c>
      <c r="P428" s="187" t="n">
        <v>45905</v>
      </c>
      <c r="Q428" s="188" t="n">
        <v>0.685416666666667</v>
      </c>
    </row>
    <row r="429" customFormat="false" ht="35.05" hidden="false" customHeight="false" outlineLevel="0" collapsed="false">
      <c r="A429" s="181" t="s">
        <v>1216</v>
      </c>
      <c r="B429" s="182" t="n">
        <v>1449</v>
      </c>
      <c r="C429" s="183" t="n">
        <v>36967</v>
      </c>
      <c r="D429" s="181" t="s">
        <v>1190</v>
      </c>
      <c r="E429" s="181" t="s">
        <v>537</v>
      </c>
      <c r="F429" s="181" t="s">
        <v>538</v>
      </c>
      <c r="G429" s="181" t="s">
        <v>236</v>
      </c>
      <c r="H429" s="181" t="s">
        <v>279</v>
      </c>
      <c r="I429" s="181" t="s">
        <v>230</v>
      </c>
      <c r="J429" s="184" t="n">
        <v>35210</v>
      </c>
      <c r="K429" s="184" t="n">
        <v>13910</v>
      </c>
      <c r="L429" s="185" t="n">
        <v>11</v>
      </c>
      <c r="M429" s="173" t="n">
        <v>21300</v>
      </c>
      <c r="N429" s="184" t="n">
        <v>18957</v>
      </c>
      <c r="O429" s="184" t="s">
        <v>1217</v>
      </c>
      <c r="P429" s="187" t="n">
        <v>45905</v>
      </c>
      <c r="Q429" s="188" t="n">
        <v>0.690706018518519</v>
      </c>
    </row>
    <row r="430" customFormat="false" ht="35.05" hidden="false" customHeight="false" outlineLevel="0" collapsed="false">
      <c r="A430" s="181" t="s">
        <v>1218</v>
      </c>
      <c r="B430" s="182" t="n">
        <v>1452</v>
      </c>
      <c r="C430" s="183" t="n">
        <v>36957</v>
      </c>
      <c r="D430" s="181" t="s">
        <v>1190</v>
      </c>
      <c r="E430" s="181" t="s">
        <v>435</v>
      </c>
      <c r="F430" s="181" t="s">
        <v>436</v>
      </c>
      <c r="G430" s="181" t="s">
        <v>236</v>
      </c>
      <c r="H430" s="181" t="s">
        <v>279</v>
      </c>
      <c r="I430" s="181" t="s">
        <v>230</v>
      </c>
      <c r="J430" s="184" t="n">
        <v>38410</v>
      </c>
      <c r="K430" s="184" t="n">
        <v>16270</v>
      </c>
      <c r="L430" s="185" t="n">
        <v>12</v>
      </c>
      <c r="M430" s="173" t="n">
        <v>22140</v>
      </c>
      <c r="N430" s="184" t="n">
        <v>19483.2</v>
      </c>
      <c r="O430" s="184" t="s">
        <v>1219</v>
      </c>
      <c r="P430" s="187" t="n">
        <v>45905</v>
      </c>
      <c r="Q430" s="188" t="n">
        <v>0.808784722222222</v>
      </c>
    </row>
    <row r="431" customFormat="false" ht="35.05" hidden="false" customHeight="false" outlineLevel="0" collapsed="false">
      <c r="A431" s="181" t="s">
        <v>1220</v>
      </c>
      <c r="B431" s="182" t="n">
        <v>1454</v>
      </c>
      <c r="C431" s="183" t="n">
        <v>58695</v>
      </c>
      <c r="D431" s="181" t="s">
        <v>1190</v>
      </c>
      <c r="E431" s="181" t="s">
        <v>399</v>
      </c>
      <c r="F431" s="181" t="s">
        <v>400</v>
      </c>
      <c r="G431" s="181" t="s">
        <v>236</v>
      </c>
      <c r="H431" s="181" t="s">
        <v>279</v>
      </c>
      <c r="I431" s="181" t="s">
        <v>230</v>
      </c>
      <c r="J431" s="184" t="n">
        <v>50040</v>
      </c>
      <c r="K431" s="184" t="n">
        <v>19260</v>
      </c>
      <c r="L431" s="185" t="n">
        <v>8</v>
      </c>
      <c r="M431" s="173" t="n">
        <v>30780</v>
      </c>
      <c r="N431" s="184" t="n">
        <v>28317.6</v>
      </c>
      <c r="O431" s="184" t="s">
        <v>1221</v>
      </c>
      <c r="P431" s="187" t="n">
        <v>45905</v>
      </c>
      <c r="Q431" s="188" t="n">
        <v>0.828831018518519</v>
      </c>
    </row>
    <row r="432" customFormat="false" ht="35.05" hidden="false" customHeight="false" outlineLevel="0" collapsed="false">
      <c r="A432" s="181" t="s">
        <v>1222</v>
      </c>
      <c r="B432" s="182" t="n">
        <v>1455</v>
      </c>
      <c r="C432" s="183" t="n">
        <v>58640</v>
      </c>
      <c r="D432" s="181" t="s">
        <v>1190</v>
      </c>
      <c r="E432" s="181" t="s">
        <v>354</v>
      </c>
      <c r="F432" s="181" t="s">
        <v>355</v>
      </c>
      <c r="G432" s="181" t="s">
        <v>236</v>
      </c>
      <c r="H432" s="181" t="s">
        <v>279</v>
      </c>
      <c r="I432" s="181" t="s">
        <v>230</v>
      </c>
      <c r="J432" s="184" t="n">
        <v>38320</v>
      </c>
      <c r="K432" s="184" t="n">
        <v>14660</v>
      </c>
      <c r="L432" s="185" t="n">
        <v>14</v>
      </c>
      <c r="M432" s="173" t="n">
        <v>23660</v>
      </c>
      <c r="N432" s="184" t="n">
        <v>20347.6</v>
      </c>
      <c r="O432" s="184" t="s">
        <v>1223</v>
      </c>
      <c r="P432" s="187" t="n">
        <v>45905</v>
      </c>
      <c r="Q432" s="188" t="n">
        <v>0.869571759259259</v>
      </c>
    </row>
    <row r="433" customFormat="false" ht="35.05" hidden="false" customHeight="false" outlineLevel="0" collapsed="false">
      <c r="A433" s="181" t="s">
        <v>1224</v>
      </c>
      <c r="B433" s="182" t="n">
        <v>1456</v>
      </c>
      <c r="C433" s="183" t="n">
        <v>58642</v>
      </c>
      <c r="D433" s="181" t="s">
        <v>1190</v>
      </c>
      <c r="E433" s="181" t="s">
        <v>359</v>
      </c>
      <c r="F433" s="181" t="s">
        <v>360</v>
      </c>
      <c r="G433" s="181" t="s">
        <v>236</v>
      </c>
      <c r="H433" s="181" t="s">
        <v>279</v>
      </c>
      <c r="I433" s="181" t="s">
        <v>230</v>
      </c>
      <c r="J433" s="184" t="n">
        <v>36840</v>
      </c>
      <c r="K433" s="184" t="n">
        <v>14820</v>
      </c>
      <c r="L433" s="185" t="n">
        <v>7</v>
      </c>
      <c r="M433" s="173" t="n">
        <v>22020</v>
      </c>
      <c r="N433" s="184" t="n">
        <v>20478.6</v>
      </c>
      <c r="O433" s="184" t="s">
        <v>1225</v>
      </c>
      <c r="P433" s="187" t="n">
        <v>45905</v>
      </c>
      <c r="Q433" s="188" t="n">
        <v>0.871747685185185</v>
      </c>
    </row>
    <row r="434" customFormat="false" ht="35.05" hidden="false" customHeight="false" outlineLevel="0" collapsed="false">
      <c r="A434" s="181" t="s">
        <v>1226</v>
      </c>
      <c r="B434" s="182" t="n">
        <v>1457</v>
      </c>
      <c r="C434" s="183" t="n">
        <v>36983</v>
      </c>
      <c r="D434" s="181" t="s">
        <v>1190</v>
      </c>
      <c r="E434" s="181" t="s">
        <v>340</v>
      </c>
      <c r="F434" s="181" t="s">
        <v>341</v>
      </c>
      <c r="G434" s="181" t="s">
        <v>236</v>
      </c>
      <c r="H434" s="181" t="s">
        <v>279</v>
      </c>
      <c r="I434" s="181" t="s">
        <v>230</v>
      </c>
      <c r="J434" s="184" t="n">
        <v>39030</v>
      </c>
      <c r="K434" s="184" t="n">
        <v>14990</v>
      </c>
      <c r="L434" s="185" t="n">
        <v>7</v>
      </c>
      <c r="M434" s="173" t="n">
        <v>24040</v>
      </c>
      <c r="N434" s="184" t="n">
        <v>22357.2</v>
      </c>
      <c r="O434" s="184" t="s">
        <v>1227</v>
      </c>
      <c r="P434" s="187" t="n">
        <v>45905</v>
      </c>
      <c r="Q434" s="188" t="n">
        <v>0.713229166666667</v>
      </c>
    </row>
    <row r="435" customFormat="false" ht="35.05" hidden="false" customHeight="false" outlineLevel="0" collapsed="false">
      <c r="A435" s="181" t="s">
        <v>1228</v>
      </c>
      <c r="B435" s="182" t="n">
        <v>1458</v>
      </c>
      <c r="C435" s="183" t="n">
        <v>36985</v>
      </c>
      <c r="D435" s="181" t="s">
        <v>1190</v>
      </c>
      <c r="E435" s="181" t="s">
        <v>1053</v>
      </c>
      <c r="F435" s="181" t="s">
        <v>337</v>
      </c>
      <c r="G435" s="181" t="s">
        <v>236</v>
      </c>
      <c r="H435" s="181" t="s">
        <v>279</v>
      </c>
      <c r="I435" s="181" t="s">
        <v>230</v>
      </c>
      <c r="J435" s="184" t="n">
        <v>36040</v>
      </c>
      <c r="K435" s="184" t="n">
        <v>14480</v>
      </c>
      <c r="L435" s="185" t="n">
        <v>14</v>
      </c>
      <c r="M435" s="173" t="n">
        <v>21560</v>
      </c>
      <c r="N435" s="184" t="n">
        <v>18541.6</v>
      </c>
      <c r="O435" s="184" t="s">
        <v>1229</v>
      </c>
      <c r="P435" s="187" t="n">
        <v>45905</v>
      </c>
      <c r="Q435" s="188" t="n">
        <v>0.930787037037037</v>
      </c>
    </row>
    <row r="436" customFormat="false" ht="35.05" hidden="false" customHeight="false" outlineLevel="0" collapsed="false">
      <c r="A436" s="181" t="s">
        <v>1230</v>
      </c>
      <c r="B436" s="182" t="n">
        <v>1459</v>
      </c>
      <c r="C436" s="183" t="n">
        <v>36987</v>
      </c>
      <c r="D436" s="181" t="s">
        <v>1190</v>
      </c>
      <c r="E436" s="181" t="s">
        <v>308</v>
      </c>
      <c r="F436" s="181" t="s">
        <v>309</v>
      </c>
      <c r="G436" s="181" t="s">
        <v>236</v>
      </c>
      <c r="H436" s="181" t="s">
        <v>279</v>
      </c>
      <c r="I436" s="181" t="s">
        <v>230</v>
      </c>
      <c r="J436" s="184" t="n">
        <v>47260</v>
      </c>
      <c r="K436" s="184" t="n">
        <v>23990</v>
      </c>
      <c r="L436" s="185" t="n">
        <v>19</v>
      </c>
      <c r="M436" s="173" t="n">
        <v>23270</v>
      </c>
      <c r="N436" s="184" t="n">
        <v>18848.7</v>
      </c>
      <c r="O436" s="184" t="s">
        <v>1231</v>
      </c>
      <c r="P436" s="187" t="n">
        <v>45905</v>
      </c>
      <c r="Q436" s="188" t="n">
        <v>0.93306712962963</v>
      </c>
    </row>
    <row r="437" customFormat="false" ht="35.05" hidden="false" customHeight="false" outlineLevel="0" collapsed="false">
      <c r="A437" s="181" t="s">
        <v>1232</v>
      </c>
      <c r="B437" s="182" t="n">
        <v>1460</v>
      </c>
      <c r="C437" s="183" t="n">
        <v>36989</v>
      </c>
      <c r="D437" s="181" t="s">
        <v>1190</v>
      </c>
      <c r="E437" s="181" t="s">
        <v>304</v>
      </c>
      <c r="F437" s="181" t="s">
        <v>305</v>
      </c>
      <c r="G437" s="181" t="s">
        <v>236</v>
      </c>
      <c r="H437" s="181" t="s">
        <v>279</v>
      </c>
      <c r="I437" s="181" t="s">
        <v>230</v>
      </c>
      <c r="J437" s="184" t="n">
        <v>37430</v>
      </c>
      <c r="K437" s="184" t="n">
        <v>14840</v>
      </c>
      <c r="L437" s="185" t="n">
        <v>11</v>
      </c>
      <c r="M437" s="173" t="n">
        <v>22590</v>
      </c>
      <c r="N437" s="184" t="n">
        <v>20105.1</v>
      </c>
      <c r="O437" s="184" t="s">
        <v>1233</v>
      </c>
      <c r="P437" s="187" t="n">
        <v>45905</v>
      </c>
      <c r="Q437" s="188" t="n">
        <v>0.7784375</v>
      </c>
    </row>
    <row r="438" customFormat="false" ht="35.05" hidden="false" customHeight="false" outlineLevel="0" collapsed="false">
      <c r="A438" s="181" t="s">
        <v>1234</v>
      </c>
      <c r="B438" s="182" t="n">
        <v>1462</v>
      </c>
      <c r="C438" s="183" t="n">
        <v>36991</v>
      </c>
      <c r="D438" s="181" t="s">
        <v>1190</v>
      </c>
      <c r="E438" s="181" t="s">
        <v>300</v>
      </c>
      <c r="F438" s="181" t="s">
        <v>301</v>
      </c>
      <c r="G438" s="181" t="s">
        <v>236</v>
      </c>
      <c r="H438" s="181" t="s">
        <v>279</v>
      </c>
      <c r="I438" s="181" t="s">
        <v>230</v>
      </c>
      <c r="J438" s="184" t="n">
        <v>51650</v>
      </c>
      <c r="K438" s="184" t="n">
        <v>20960</v>
      </c>
      <c r="L438" s="185" t="n">
        <v>5</v>
      </c>
      <c r="M438" s="173" t="n">
        <v>30690</v>
      </c>
      <c r="N438" s="184" t="n">
        <v>29155.5</v>
      </c>
      <c r="O438" s="184" t="s">
        <v>1235</v>
      </c>
      <c r="P438" s="187" t="n">
        <v>45905</v>
      </c>
      <c r="Q438" s="188" t="n">
        <v>0.885034722222222</v>
      </c>
    </row>
    <row r="439" customFormat="false" ht="35.05" hidden="false" customHeight="false" outlineLevel="0" collapsed="false">
      <c r="A439" s="181" t="s">
        <v>1236</v>
      </c>
      <c r="B439" s="182" t="n">
        <v>1463</v>
      </c>
      <c r="C439" s="183" t="n">
        <v>36993</v>
      </c>
      <c r="D439" s="181" t="s">
        <v>1190</v>
      </c>
      <c r="E439" s="181" t="s">
        <v>383</v>
      </c>
      <c r="F439" s="181" t="s">
        <v>384</v>
      </c>
      <c r="G439" s="181" t="s">
        <v>236</v>
      </c>
      <c r="H439" s="181" t="s">
        <v>279</v>
      </c>
      <c r="I439" s="181" t="s">
        <v>230</v>
      </c>
      <c r="J439" s="184" t="n">
        <v>39560</v>
      </c>
      <c r="K439" s="184" t="n">
        <v>14810</v>
      </c>
      <c r="L439" s="185" t="n">
        <v>8</v>
      </c>
      <c r="M439" s="173" t="n">
        <v>24750</v>
      </c>
      <c r="N439" s="184" t="n">
        <v>22770</v>
      </c>
      <c r="O439" s="184" t="s">
        <v>1237</v>
      </c>
      <c r="P439" s="187" t="n">
        <v>45905</v>
      </c>
      <c r="Q439" s="188" t="n">
        <v>0.946527777777778</v>
      </c>
    </row>
    <row r="440" customFormat="false" ht="35.05" hidden="false" customHeight="false" outlineLevel="0" collapsed="false">
      <c r="A440" s="181" t="s">
        <v>1238</v>
      </c>
      <c r="B440" s="182" t="n">
        <v>1464</v>
      </c>
      <c r="C440" s="183" t="n">
        <v>36995</v>
      </c>
      <c r="D440" s="181" t="s">
        <v>1190</v>
      </c>
      <c r="E440" s="181" t="s">
        <v>387</v>
      </c>
      <c r="F440" s="181" t="s">
        <v>388</v>
      </c>
      <c r="G440" s="181" t="s">
        <v>236</v>
      </c>
      <c r="H440" s="181" t="s">
        <v>279</v>
      </c>
      <c r="I440" s="181" t="s">
        <v>230</v>
      </c>
      <c r="J440" s="184" t="n">
        <v>41610</v>
      </c>
      <c r="K440" s="184" t="n">
        <v>14950</v>
      </c>
      <c r="L440" s="185" t="n">
        <v>9</v>
      </c>
      <c r="M440" s="173" t="n">
        <v>26660</v>
      </c>
      <c r="N440" s="184" t="n">
        <v>24260.6</v>
      </c>
      <c r="O440" s="184" t="s">
        <v>1239</v>
      </c>
      <c r="P440" s="187" t="n">
        <v>45905</v>
      </c>
      <c r="Q440" s="188" t="n">
        <v>0.952685185185185</v>
      </c>
    </row>
    <row r="441" customFormat="false" ht="35.05" hidden="false" customHeight="false" outlineLevel="0" collapsed="false">
      <c r="A441" s="181" t="s">
        <v>1240</v>
      </c>
      <c r="B441" s="182" t="n">
        <v>1468</v>
      </c>
      <c r="C441" s="183" t="n">
        <v>37137</v>
      </c>
      <c r="D441" s="181" t="s">
        <v>1190</v>
      </c>
      <c r="E441" s="181" t="s">
        <v>545</v>
      </c>
      <c r="F441" s="181" t="s">
        <v>546</v>
      </c>
      <c r="G441" s="181" t="s">
        <v>232</v>
      </c>
      <c r="H441" s="181" t="s">
        <v>279</v>
      </c>
      <c r="I441" s="181" t="s">
        <v>230</v>
      </c>
      <c r="J441" s="184" t="n">
        <v>42420</v>
      </c>
      <c r="K441" s="184" t="n">
        <v>16040</v>
      </c>
      <c r="L441" s="185" t="n">
        <v>11</v>
      </c>
      <c r="M441" s="173" t="n">
        <v>26380</v>
      </c>
      <c r="N441" s="184" t="n">
        <v>23478.2</v>
      </c>
      <c r="O441" s="184" t="s">
        <v>1241</v>
      </c>
      <c r="P441" s="187" t="n">
        <v>45907</v>
      </c>
      <c r="Q441" s="188" t="n">
        <v>0.98287037037037</v>
      </c>
    </row>
    <row r="442" customFormat="false" ht="35.05" hidden="false" customHeight="false" outlineLevel="0" collapsed="false">
      <c r="A442" s="181" t="s">
        <v>1242</v>
      </c>
      <c r="B442" s="182" t="n">
        <v>1469</v>
      </c>
      <c r="C442" s="183" t="n">
        <v>37139</v>
      </c>
      <c r="D442" s="181" t="s">
        <v>1190</v>
      </c>
      <c r="E442" s="181" t="s">
        <v>549</v>
      </c>
      <c r="F442" s="181" t="s">
        <v>550</v>
      </c>
      <c r="G442" s="181" t="s">
        <v>232</v>
      </c>
      <c r="H442" s="181" t="s">
        <v>279</v>
      </c>
      <c r="I442" s="181" t="s">
        <v>230</v>
      </c>
      <c r="J442" s="184" t="n">
        <v>41610</v>
      </c>
      <c r="K442" s="184" t="n">
        <v>15860</v>
      </c>
      <c r="L442" s="185" t="n">
        <v>24</v>
      </c>
      <c r="M442" s="173" t="n">
        <v>25750</v>
      </c>
      <c r="N442" s="184" t="n">
        <v>19570</v>
      </c>
      <c r="O442" s="184" t="s">
        <v>1243</v>
      </c>
      <c r="P442" s="187" t="n">
        <v>45907</v>
      </c>
      <c r="Q442" s="188" t="n">
        <v>0.948796296296296</v>
      </c>
    </row>
    <row r="443" customFormat="false" ht="35.05" hidden="false" customHeight="false" outlineLevel="0" collapsed="false">
      <c r="A443" s="181" t="s">
        <v>1244</v>
      </c>
      <c r="B443" s="182" t="n">
        <v>1470</v>
      </c>
      <c r="C443" s="183" t="n">
        <v>37141</v>
      </c>
      <c r="D443" s="181" t="s">
        <v>1190</v>
      </c>
      <c r="E443" s="181" t="s">
        <v>533</v>
      </c>
      <c r="F443" s="181" t="s">
        <v>534</v>
      </c>
      <c r="G443" s="181" t="s">
        <v>232</v>
      </c>
      <c r="H443" s="181" t="s">
        <v>279</v>
      </c>
      <c r="I443" s="181" t="s">
        <v>230</v>
      </c>
      <c r="J443" s="184" t="n">
        <v>39610</v>
      </c>
      <c r="K443" s="184" t="n">
        <v>14530</v>
      </c>
      <c r="L443" s="185" t="n">
        <v>15</v>
      </c>
      <c r="M443" s="173" t="n">
        <v>25080</v>
      </c>
      <c r="N443" s="184" t="n">
        <v>21318</v>
      </c>
      <c r="O443" s="184" t="s">
        <v>1245</v>
      </c>
      <c r="P443" s="187" t="n">
        <v>45907</v>
      </c>
      <c r="Q443" s="188" t="n">
        <v>0.989699074074074</v>
      </c>
    </row>
    <row r="444" customFormat="false" ht="35.05" hidden="false" customHeight="false" outlineLevel="0" collapsed="false">
      <c r="A444" s="181" t="s">
        <v>1246</v>
      </c>
      <c r="B444" s="182" t="n">
        <v>1471</v>
      </c>
      <c r="C444" s="183" t="n">
        <v>37143</v>
      </c>
      <c r="D444" s="181" t="s">
        <v>1190</v>
      </c>
      <c r="E444" s="181" t="s">
        <v>541</v>
      </c>
      <c r="F444" s="181" t="s">
        <v>542</v>
      </c>
      <c r="G444" s="181" t="s">
        <v>232</v>
      </c>
      <c r="H444" s="181" t="s">
        <v>279</v>
      </c>
      <c r="I444" s="181" t="s">
        <v>230</v>
      </c>
      <c r="J444" s="184" t="n">
        <v>39580</v>
      </c>
      <c r="K444" s="184" t="n">
        <v>14880</v>
      </c>
      <c r="L444" s="185" t="n">
        <v>14</v>
      </c>
      <c r="M444" s="173" t="n">
        <v>24700</v>
      </c>
      <c r="N444" s="184" t="n">
        <v>21242</v>
      </c>
      <c r="O444" s="184" t="s">
        <v>1247</v>
      </c>
      <c r="P444" s="187" t="n">
        <v>45908</v>
      </c>
      <c r="Q444" s="188" t="n">
        <v>0.569525462962963</v>
      </c>
    </row>
    <row r="445" customFormat="false" ht="35.05" hidden="false" customHeight="false" outlineLevel="0" collapsed="false">
      <c r="A445" s="181" t="s">
        <v>1248</v>
      </c>
      <c r="B445" s="182" t="n">
        <v>1472</v>
      </c>
      <c r="C445" s="183" t="n">
        <v>37149</v>
      </c>
      <c r="D445" s="181" t="s">
        <v>1190</v>
      </c>
      <c r="E445" s="181" t="s">
        <v>1027</v>
      </c>
      <c r="F445" s="181" t="s">
        <v>1028</v>
      </c>
      <c r="G445" s="181" t="s">
        <v>232</v>
      </c>
      <c r="H445" s="181" t="s">
        <v>279</v>
      </c>
      <c r="I445" s="181" t="s">
        <v>230</v>
      </c>
      <c r="J445" s="184" t="n">
        <v>38850</v>
      </c>
      <c r="K445" s="184" t="n">
        <v>14940</v>
      </c>
      <c r="L445" s="185" t="n">
        <v>20</v>
      </c>
      <c r="M445" s="173" t="n">
        <v>23910</v>
      </c>
      <c r="N445" s="184" t="n">
        <v>19128</v>
      </c>
      <c r="O445" s="184" t="s">
        <v>1249</v>
      </c>
      <c r="P445" s="187" t="n">
        <v>45908</v>
      </c>
      <c r="Q445" s="188" t="n">
        <v>0.571157407407407</v>
      </c>
    </row>
    <row r="446" customFormat="false" ht="35.05" hidden="false" customHeight="false" outlineLevel="0" collapsed="false">
      <c r="A446" s="181" t="s">
        <v>1250</v>
      </c>
      <c r="B446" s="182" t="n">
        <v>1473</v>
      </c>
      <c r="C446" s="183" t="n">
        <v>37145</v>
      </c>
      <c r="D446" s="181" t="s">
        <v>1190</v>
      </c>
      <c r="E446" s="181" t="s">
        <v>1019</v>
      </c>
      <c r="F446" s="181" t="s">
        <v>1020</v>
      </c>
      <c r="G446" s="181" t="s">
        <v>232</v>
      </c>
      <c r="H446" s="181" t="s">
        <v>279</v>
      </c>
      <c r="I446" s="181" t="s">
        <v>230</v>
      </c>
      <c r="J446" s="184" t="n">
        <v>42930</v>
      </c>
      <c r="K446" s="184" t="n">
        <v>17090</v>
      </c>
      <c r="L446" s="185" t="n">
        <v>16</v>
      </c>
      <c r="M446" s="173" t="n">
        <v>25840</v>
      </c>
      <c r="N446" s="184" t="n">
        <v>21705.6</v>
      </c>
      <c r="O446" s="184" t="s">
        <v>1251</v>
      </c>
      <c r="P446" s="187" t="n">
        <v>45908</v>
      </c>
      <c r="Q446" s="188" t="n">
        <v>0.572777777777778</v>
      </c>
    </row>
    <row r="447" customFormat="false" ht="35.05" hidden="false" customHeight="false" outlineLevel="0" collapsed="false">
      <c r="A447" s="181" t="s">
        <v>1252</v>
      </c>
      <c r="B447" s="182" t="n">
        <v>1474</v>
      </c>
      <c r="C447" s="183" t="n">
        <v>37147</v>
      </c>
      <c r="D447" s="181" t="s">
        <v>1190</v>
      </c>
      <c r="E447" s="181" t="s">
        <v>1023</v>
      </c>
      <c r="F447" s="181" t="s">
        <v>1024</v>
      </c>
      <c r="G447" s="181" t="s">
        <v>232</v>
      </c>
      <c r="H447" s="181" t="s">
        <v>279</v>
      </c>
      <c r="I447" s="181" t="s">
        <v>230</v>
      </c>
      <c r="J447" s="184" t="n">
        <v>36570</v>
      </c>
      <c r="K447" s="184" t="n">
        <v>14800</v>
      </c>
      <c r="L447" s="185" t="n">
        <v>9</v>
      </c>
      <c r="M447" s="173" t="n">
        <v>21770</v>
      </c>
      <c r="N447" s="184" t="n">
        <v>19810.7</v>
      </c>
      <c r="O447" s="184" t="s">
        <v>1253</v>
      </c>
      <c r="P447" s="187" t="n">
        <v>45908</v>
      </c>
      <c r="Q447" s="188" t="n">
        <v>0.574976851851852</v>
      </c>
    </row>
    <row r="448" customFormat="false" ht="35.05" hidden="false" customHeight="false" outlineLevel="0" collapsed="false">
      <c r="A448" s="181" t="s">
        <v>1254</v>
      </c>
      <c r="B448" s="182" t="n">
        <v>1475</v>
      </c>
      <c r="C448" s="183" t="n">
        <v>37153</v>
      </c>
      <c r="D448" s="181" t="s">
        <v>1190</v>
      </c>
      <c r="E448" s="181" t="s">
        <v>439</v>
      </c>
      <c r="F448" s="181" t="s">
        <v>440</v>
      </c>
      <c r="G448" s="181" t="s">
        <v>232</v>
      </c>
      <c r="H448" s="181" t="s">
        <v>279</v>
      </c>
      <c r="I448" s="181" t="s">
        <v>230</v>
      </c>
      <c r="J448" s="184" t="n">
        <v>39260</v>
      </c>
      <c r="K448" s="184" t="n">
        <v>16260</v>
      </c>
      <c r="L448" s="185" t="n">
        <v>6</v>
      </c>
      <c r="M448" s="173" t="n">
        <v>23000</v>
      </c>
      <c r="N448" s="184" t="n">
        <v>21620</v>
      </c>
      <c r="O448" s="184" t="s">
        <v>1255</v>
      </c>
      <c r="P448" s="187" t="n">
        <v>45908</v>
      </c>
      <c r="Q448" s="188" t="n">
        <v>0.577673611111111</v>
      </c>
    </row>
    <row r="449" customFormat="false" ht="35.05" hidden="false" customHeight="false" outlineLevel="0" collapsed="false">
      <c r="A449" s="181" t="s">
        <v>1256</v>
      </c>
      <c r="B449" s="182" t="n">
        <v>1476</v>
      </c>
      <c r="C449" s="183" t="n">
        <v>37155</v>
      </c>
      <c r="D449" s="181" t="s">
        <v>1190</v>
      </c>
      <c r="E449" s="181" t="s">
        <v>292</v>
      </c>
      <c r="F449" s="181" t="s">
        <v>293</v>
      </c>
      <c r="G449" s="181" t="s">
        <v>232</v>
      </c>
      <c r="H449" s="181" t="s">
        <v>279</v>
      </c>
      <c r="I449" s="181" t="s">
        <v>230</v>
      </c>
      <c r="J449" s="184" t="n">
        <v>35730</v>
      </c>
      <c r="K449" s="184" t="n">
        <v>13880</v>
      </c>
      <c r="L449" s="185" t="n">
        <v>21</v>
      </c>
      <c r="M449" s="173" t="n">
        <v>21850</v>
      </c>
      <c r="N449" s="184" t="n">
        <v>17261.5</v>
      </c>
      <c r="O449" s="184" t="s">
        <v>1257</v>
      </c>
      <c r="P449" s="187" t="n">
        <v>45908</v>
      </c>
      <c r="Q449" s="188" t="n">
        <v>0.579189814814815</v>
      </c>
    </row>
    <row r="450" customFormat="false" ht="35.05" hidden="false" customHeight="false" outlineLevel="0" collapsed="false">
      <c r="A450" s="181" t="s">
        <v>1258</v>
      </c>
      <c r="B450" s="182" t="n">
        <v>1477</v>
      </c>
      <c r="C450" s="183" t="n">
        <v>37151</v>
      </c>
      <c r="D450" s="181" t="s">
        <v>1190</v>
      </c>
      <c r="E450" s="181" t="s">
        <v>537</v>
      </c>
      <c r="F450" s="181" t="s">
        <v>538</v>
      </c>
      <c r="G450" s="181" t="s">
        <v>232</v>
      </c>
      <c r="H450" s="181" t="s">
        <v>279</v>
      </c>
      <c r="I450" s="181" t="s">
        <v>230</v>
      </c>
      <c r="J450" s="184" t="n">
        <v>35690</v>
      </c>
      <c r="K450" s="184" t="n">
        <v>13930</v>
      </c>
      <c r="L450" s="185" t="n">
        <v>15</v>
      </c>
      <c r="M450" s="173" t="n">
        <v>21760</v>
      </c>
      <c r="N450" s="184" t="n">
        <v>18496</v>
      </c>
      <c r="O450" s="184" t="s">
        <v>1259</v>
      </c>
      <c r="P450" s="187" t="n">
        <v>45908</v>
      </c>
      <c r="Q450" s="188" t="n">
        <v>0.581064814814815</v>
      </c>
    </row>
    <row r="451" customFormat="false" ht="35.05" hidden="false" customHeight="false" outlineLevel="0" collapsed="false">
      <c r="A451" s="181" t="s">
        <v>1260</v>
      </c>
      <c r="B451" s="182" t="n">
        <v>1479</v>
      </c>
      <c r="C451" s="183" t="n">
        <v>37157</v>
      </c>
      <c r="D451" s="181" t="s">
        <v>1190</v>
      </c>
      <c r="E451" s="181" t="s">
        <v>277</v>
      </c>
      <c r="F451" s="181" t="s">
        <v>278</v>
      </c>
      <c r="G451" s="181" t="s">
        <v>232</v>
      </c>
      <c r="H451" s="181" t="s">
        <v>279</v>
      </c>
      <c r="I451" s="181" t="s">
        <v>230</v>
      </c>
      <c r="J451" s="184" t="n">
        <v>41690</v>
      </c>
      <c r="K451" s="184" t="n">
        <v>15070</v>
      </c>
      <c r="L451" s="185" t="n">
        <v>16</v>
      </c>
      <c r="M451" s="173" t="n">
        <v>26620</v>
      </c>
      <c r="N451" s="184" t="n">
        <v>22360.8</v>
      </c>
      <c r="O451" s="184" t="s">
        <v>1261</v>
      </c>
      <c r="P451" s="187" t="n">
        <v>45908</v>
      </c>
      <c r="Q451" s="188" t="n">
        <v>0.583043981481482</v>
      </c>
    </row>
    <row r="452" customFormat="false" ht="35.05" hidden="false" customHeight="false" outlineLevel="0" collapsed="false">
      <c r="A452" s="181" t="s">
        <v>1262</v>
      </c>
      <c r="B452" s="182" t="n">
        <v>1482</v>
      </c>
      <c r="C452" s="183" t="n">
        <v>37159</v>
      </c>
      <c r="D452" s="181" t="s">
        <v>1190</v>
      </c>
      <c r="E452" s="181" t="s">
        <v>431</v>
      </c>
      <c r="F452" s="181" t="s">
        <v>432</v>
      </c>
      <c r="G452" s="181" t="s">
        <v>232</v>
      </c>
      <c r="H452" s="181" t="s">
        <v>279</v>
      </c>
      <c r="I452" s="181" t="s">
        <v>230</v>
      </c>
      <c r="J452" s="184" t="n">
        <v>40420</v>
      </c>
      <c r="K452" s="184" t="n">
        <v>16500</v>
      </c>
      <c r="L452" s="185" t="n">
        <v>12</v>
      </c>
      <c r="M452" s="173" t="n">
        <v>23920</v>
      </c>
      <c r="N452" s="184" t="n">
        <v>21049.6</v>
      </c>
      <c r="O452" s="184" t="s">
        <v>1263</v>
      </c>
      <c r="P452" s="187" t="n">
        <v>45908</v>
      </c>
      <c r="Q452" s="188" t="n">
        <v>0.361064814814815</v>
      </c>
    </row>
    <row r="453" customFormat="false" ht="35.05" hidden="false" customHeight="false" outlineLevel="0" collapsed="false">
      <c r="A453" s="181" t="s">
        <v>1264</v>
      </c>
      <c r="B453" s="182" t="n">
        <v>1483</v>
      </c>
      <c r="C453" s="183" t="n">
        <v>37161</v>
      </c>
      <c r="D453" s="181" t="s">
        <v>1190</v>
      </c>
      <c r="E453" s="181" t="s">
        <v>435</v>
      </c>
      <c r="F453" s="181" t="s">
        <v>436</v>
      </c>
      <c r="G453" s="181" t="s">
        <v>232</v>
      </c>
      <c r="H453" s="181" t="s">
        <v>279</v>
      </c>
      <c r="I453" s="181" t="s">
        <v>230</v>
      </c>
      <c r="J453" s="184" t="n">
        <v>38710</v>
      </c>
      <c r="K453" s="184" t="n">
        <v>16310</v>
      </c>
      <c r="L453" s="185" t="n">
        <v>19</v>
      </c>
      <c r="M453" s="173" t="n">
        <v>22400</v>
      </c>
      <c r="N453" s="184" t="n">
        <v>18144</v>
      </c>
      <c r="O453" s="184" t="s">
        <v>1265</v>
      </c>
      <c r="P453" s="187" t="n">
        <v>45908</v>
      </c>
      <c r="Q453" s="188" t="n">
        <v>0.597789351851852</v>
      </c>
    </row>
    <row r="454" customFormat="false" ht="35.05" hidden="false" customHeight="false" outlineLevel="0" collapsed="false">
      <c r="A454" s="181" t="s">
        <v>1266</v>
      </c>
      <c r="B454" s="182" t="n">
        <v>1487</v>
      </c>
      <c r="C454" s="183" t="n">
        <v>37163</v>
      </c>
      <c r="D454" s="181" t="s">
        <v>1190</v>
      </c>
      <c r="E454" s="181" t="s">
        <v>261</v>
      </c>
      <c r="F454" s="181" t="s">
        <v>262</v>
      </c>
      <c r="G454" s="181" t="s">
        <v>232</v>
      </c>
      <c r="H454" s="181" t="s">
        <v>279</v>
      </c>
      <c r="I454" s="181" t="s">
        <v>230</v>
      </c>
      <c r="J454" s="184" t="n">
        <v>38340</v>
      </c>
      <c r="K454" s="184" t="n">
        <v>15030</v>
      </c>
      <c r="L454" s="185" t="n">
        <v>11</v>
      </c>
      <c r="M454" s="173" t="n">
        <v>23310</v>
      </c>
      <c r="N454" s="184" t="n">
        <v>20745.9</v>
      </c>
      <c r="O454" s="184" t="s">
        <v>1267</v>
      </c>
      <c r="P454" s="187" t="n">
        <v>45908</v>
      </c>
      <c r="Q454" s="188" t="n">
        <v>0.60431712962963</v>
      </c>
    </row>
    <row r="455" customFormat="false" ht="35.05" hidden="false" customHeight="false" outlineLevel="0" collapsed="false">
      <c r="A455" s="181" t="s">
        <v>1268</v>
      </c>
      <c r="B455" s="182" t="n">
        <v>1488</v>
      </c>
      <c r="C455" s="183" t="n">
        <v>37167</v>
      </c>
      <c r="D455" s="181" t="s">
        <v>1190</v>
      </c>
      <c r="E455" s="181" t="s">
        <v>272</v>
      </c>
      <c r="F455" s="181" t="s">
        <v>273</v>
      </c>
      <c r="G455" s="181" t="s">
        <v>232</v>
      </c>
      <c r="H455" s="181" t="s">
        <v>279</v>
      </c>
      <c r="I455" s="181" t="s">
        <v>230</v>
      </c>
      <c r="J455" s="184" t="n">
        <v>38340</v>
      </c>
      <c r="K455" s="184" t="n">
        <v>15540</v>
      </c>
      <c r="L455" s="185" t="n">
        <v>15</v>
      </c>
      <c r="M455" s="173" t="n">
        <v>22800</v>
      </c>
      <c r="N455" s="184" t="n">
        <v>19380</v>
      </c>
      <c r="O455" s="184" t="s">
        <v>1269</v>
      </c>
      <c r="P455" s="187" t="n">
        <v>45908</v>
      </c>
      <c r="Q455" s="188" t="n">
        <v>0.606331018518519</v>
      </c>
    </row>
    <row r="456" customFormat="false" ht="35.05" hidden="false" customHeight="false" outlineLevel="0" collapsed="false">
      <c r="A456" s="181" t="s">
        <v>1270</v>
      </c>
      <c r="B456" s="182" t="n">
        <v>1489</v>
      </c>
      <c r="C456" s="183" t="n">
        <v>37165</v>
      </c>
      <c r="D456" s="181" t="s">
        <v>1190</v>
      </c>
      <c r="E456" s="181" t="s">
        <v>282</v>
      </c>
      <c r="F456" s="181" t="s">
        <v>283</v>
      </c>
      <c r="G456" s="181" t="s">
        <v>232</v>
      </c>
      <c r="H456" s="181" t="s">
        <v>279</v>
      </c>
      <c r="I456" s="181" t="s">
        <v>230</v>
      </c>
      <c r="J456" s="184" t="n">
        <v>39840</v>
      </c>
      <c r="K456" s="184" t="n">
        <v>15030</v>
      </c>
      <c r="L456" s="185" t="n">
        <v>14</v>
      </c>
      <c r="M456" s="173" t="n">
        <v>24810</v>
      </c>
      <c r="N456" s="184" t="n">
        <v>21336.6</v>
      </c>
      <c r="O456" s="184" t="s">
        <v>1271</v>
      </c>
      <c r="P456" s="187" t="n">
        <v>45908</v>
      </c>
      <c r="Q456" s="188" t="n">
        <v>0.696157407407407</v>
      </c>
    </row>
    <row r="457" customFormat="false" ht="35.05" hidden="false" customHeight="false" outlineLevel="0" collapsed="false">
      <c r="A457" s="181" t="s">
        <v>1272</v>
      </c>
      <c r="B457" s="182" t="n">
        <v>1491</v>
      </c>
      <c r="C457" s="183" t="n">
        <v>37169</v>
      </c>
      <c r="D457" s="181" t="s">
        <v>1190</v>
      </c>
      <c r="E457" s="181" t="s">
        <v>582</v>
      </c>
      <c r="F457" s="181" t="s">
        <v>583</v>
      </c>
      <c r="G457" s="181" t="s">
        <v>232</v>
      </c>
      <c r="H457" s="181" t="s">
        <v>279</v>
      </c>
      <c r="I457" s="181" t="s">
        <v>230</v>
      </c>
      <c r="J457" s="184" t="n">
        <v>38090</v>
      </c>
      <c r="K457" s="184" t="n">
        <v>14680</v>
      </c>
      <c r="L457" s="185" t="n">
        <v>9</v>
      </c>
      <c r="M457" s="173" t="n">
        <v>23410</v>
      </c>
      <c r="N457" s="184" t="n">
        <v>21303.1</v>
      </c>
      <c r="O457" s="184" t="s">
        <v>1273</v>
      </c>
      <c r="P457" s="187" t="n">
        <v>45908</v>
      </c>
      <c r="Q457" s="188" t="n">
        <v>0.698946759259259</v>
      </c>
    </row>
    <row r="458" customFormat="false" ht="35.05" hidden="false" customHeight="false" outlineLevel="0" collapsed="false">
      <c r="A458" s="181" t="s">
        <v>1274</v>
      </c>
      <c r="B458" s="182" t="n">
        <v>1494</v>
      </c>
      <c r="C458" s="183" t="n">
        <v>37171</v>
      </c>
      <c r="D458" s="181" t="s">
        <v>1190</v>
      </c>
      <c r="E458" s="181" t="s">
        <v>332</v>
      </c>
      <c r="F458" s="181" t="s">
        <v>333</v>
      </c>
      <c r="G458" s="181" t="s">
        <v>232</v>
      </c>
      <c r="H458" s="181" t="s">
        <v>279</v>
      </c>
      <c r="I458" s="181" t="s">
        <v>230</v>
      </c>
      <c r="J458" s="184" t="n">
        <v>37670</v>
      </c>
      <c r="K458" s="184" t="n">
        <v>14680</v>
      </c>
      <c r="L458" s="185" t="n">
        <v>8</v>
      </c>
      <c r="M458" s="173" t="n">
        <v>22990</v>
      </c>
      <c r="N458" s="184" t="n">
        <v>21150.8</v>
      </c>
      <c r="O458" s="184" t="s">
        <v>1275</v>
      </c>
      <c r="P458" s="187" t="n">
        <v>45908</v>
      </c>
      <c r="Q458" s="188" t="n">
        <v>0.763043981481481</v>
      </c>
    </row>
    <row r="459" customFormat="false" ht="35.05" hidden="false" customHeight="false" outlineLevel="0" collapsed="false">
      <c r="A459" s="181" t="s">
        <v>1276</v>
      </c>
      <c r="B459" s="182" t="n">
        <v>1495</v>
      </c>
      <c r="C459" s="183" t="n">
        <v>37173</v>
      </c>
      <c r="D459" s="181" t="s">
        <v>1190</v>
      </c>
      <c r="E459" s="181" t="s">
        <v>266</v>
      </c>
      <c r="F459" s="181" t="s">
        <v>267</v>
      </c>
      <c r="G459" s="181" t="s">
        <v>232</v>
      </c>
      <c r="H459" s="181" t="s">
        <v>279</v>
      </c>
      <c r="I459" s="181" t="s">
        <v>230</v>
      </c>
      <c r="J459" s="184" t="n">
        <v>39320</v>
      </c>
      <c r="K459" s="184" t="n">
        <v>14830</v>
      </c>
      <c r="L459" s="185" t="n">
        <v>9</v>
      </c>
      <c r="M459" s="173" t="n">
        <v>24490</v>
      </c>
      <c r="N459" s="184" t="n">
        <v>22285.9</v>
      </c>
      <c r="O459" s="184" t="s">
        <v>1277</v>
      </c>
      <c r="P459" s="187" t="n">
        <v>45908</v>
      </c>
      <c r="Q459" s="188" t="n">
        <v>0.764780092592593</v>
      </c>
    </row>
    <row r="460" customFormat="false" ht="35.05" hidden="false" customHeight="false" outlineLevel="0" collapsed="false">
      <c r="A460" s="181" t="s">
        <v>1278</v>
      </c>
      <c r="B460" s="182" t="n">
        <v>1496</v>
      </c>
      <c r="C460" s="183" t="n">
        <v>37175</v>
      </c>
      <c r="D460" s="181" t="s">
        <v>1190</v>
      </c>
      <c r="E460" s="181" t="s">
        <v>901</v>
      </c>
      <c r="F460" s="181" t="s">
        <v>902</v>
      </c>
      <c r="G460" s="181" t="s">
        <v>232</v>
      </c>
      <c r="H460" s="181" t="s">
        <v>279</v>
      </c>
      <c r="I460" s="181" t="s">
        <v>230</v>
      </c>
      <c r="J460" s="184" t="n">
        <v>35230</v>
      </c>
      <c r="K460" s="184" t="n">
        <v>14680</v>
      </c>
      <c r="L460" s="185" t="n">
        <v>12</v>
      </c>
      <c r="M460" s="173" t="n">
        <v>20550</v>
      </c>
      <c r="N460" s="184" t="n">
        <v>18084</v>
      </c>
      <c r="O460" s="184" t="s">
        <v>1279</v>
      </c>
      <c r="P460" s="187" t="n">
        <v>45908</v>
      </c>
      <c r="Q460" s="188" t="n">
        <v>0.828842592592593</v>
      </c>
    </row>
    <row r="461" customFormat="false" ht="35.05" hidden="false" customHeight="false" outlineLevel="0" collapsed="false">
      <c r="A461" s="181" t="s">
        <v>1280</v>
      </c>
      <c r="B461" s="182" t="n">
        <v>1500</v>
      </c>
      <c r="C461" s="183" t="n">
        <v>37177</v>
      </c>
      <c r="D461" s="181" t="s">
        <v>1190</v>
      </c>
      <c r="E461" s="181" t="s">
        <v>336</v>
      </c>
      <c r="F461" s="181" t="s">
        <v>337</v>
      </c>
      <c r="G461" s="181" t="s">
        <v>232</v>
      </c>
      <c r="H461" s="181" t="s">
        <v>279</v>
      </c>
      <c r="I461" s="181" t="s">
        <v>230</v>
      </c>
      <c r="J461" s="184" t="n">
        <v>39450</v>
      </c>
      <c r="K461" s="184" t="n">
        <v>14520</v>
      </c>
      <c r="L461" s="185" t="n">
        <v>6</v>
      </c>
      <c r="M461" s="173" t="n">
        <v>24930</v>
      </c>
      <c r="N461" s="184" t="n">
        <v>23434.2</v>
      </c>
      <c r="O461" s="184" t="s">
        <v>1281</v>
      </c>
      <c r="P461" s="187" t="n">
        <v>45908</v>
      </c>
      <c r="Q461" s="188" t="n">
        <v>0.873842592592593</v>
      </c>
    </row>
    <row r="462" customFormat="false" ht="35.05" hidden="false" customHeight="false" outlineLevel="0" collapsed="false">
      <c r="A462" s="181" t="s">
        <v>1282</v>
      </c>
      <c r="B462" s="182" t="n">
        <v>1501</v>
      </c>
      <c r="C462" s="183" t="n">
        <v>37179</v>
      </c>
      <c r="D462" s="181" t="s">
        <v>1190</v>
      </c>
      <c r="E462" s="181" t="s">
        <v>340</v>
      </c>
      <c r="F462" s="181" t="s">
        <v>341</v>
      </c>
      <c r="G462" s="181" t="s">
        <v>232</v>
      </c>
      <c r="H462" s="181" t="s">
        <v>279</v>
      </c>
      <c r="I462" s="181" t="s">
        <v>230</v>
      </c>
      <c r="J462" s="184" t="n">
        <v>40120</v>
      </c>
      <c r="K462" s="184" t="n">
        <v>14970</v>
      </c>
      <c r="L462" s="185" t="n">
        <v>7</v>
      </c>
      <c r="M462" s="173" t="n">
        <v>25150</v>
      </c>
      <c r="N462" s="184" t="n">
        <v>23389.5</v>
      </c>
      <c r="O462" s="184" t="s">
        <v>1283</v>
      </c>
      <c r="P462" s="187" t="n">
        <v>45908</v>
      </c>
      <c r="Q462" s="188" t="n">
        <v>0.888483796296296</v>
      </c>
    </row>
    <row r="463" customFormat="false" ht="35.05" hidden="false" customHeight="false" outlineLevel="0" collapsed="false">
      <c r="A463" s="181" t="s">
        <v>1284</v>
      </c>
      <c r="B463" s="182" t="n">
        <v>1503</v>
      </c>
      <c r="C463" s="183" t="n">
        <v>37181</v>
      </c>
      <c r="D463" s="181" t="s">
        <v>1190</v>
      </c>
      <c r="E463" s="181" t="s">
        <v>529</v>
      </c>
      <c r="F463" s="181" t="s">
        <v>530</v>
      </c>
      <c r="G463" s="181" t="s">
        <v>232</v>
      </c>
      <c r="H463" s="181" t="s">
        <v>279</v>
      </c>
      <c r="I463" s="181" t="s">
        <v>230</v>
      </c>
      <c r="J463" s="184" t="n">
        <v>36000</v>
      </c>
      <c r="K463" s="184" t="n">
        <v>14780</v>
      </c>
      <c r="L463" s="185" t="n">
        <v>6</v>
      </c>
      <c r="M463" s="173" t="n">
        <v>21220</v>
      </c>
      <c r="N463" s="184" t="n">
        <v>19946.8</v>
      </c>
      <c r="O463" s="184" t="s">
        <v>1285</v>
      </c>
      <c r="P463" s="187" t="n">
        <v>45908</v>
      </c>
      <c r="Q463" s="188" t="n">
        <v>0.902939814814815</v>
      </c>
    </row>
    <row r="464" customFormat="false" ht="35.05" hidden="false" customHeight="false" outlineLevel="0" collapsed="false">
      <c r="A464" s="181" t="s">
        <v>1286</v>
      </c>
      <c r="B464" s="182" t="n">
        <v>1504</v>
      </c>
      <c r="C464" s="183" t="n">
        <v>37183</v>
      </c>
      <c r="D464" s="181" t="s">
        <v>1190</v>
      </c>
      <c r="E464" s="181" t="s">
        <v>346</v>
      </c>
      <c r="F464" s="181" t="s">
        <v>347</v>
      </c>
      <c r="G464" s="181" t="s">
        <v>232</v>
      </c>
      <c r="H464" s="181" t="s">
        <v>279</v>
      </c>
      <c r="I464" s="181" t="s">
        <v>230</v>
      </c>
      <c r="J464" s="184" t="n">
        <v>37990</v>
      </c>
      <c r="K464" s="184" t="n">
        <v>14940</v>
      </c>
      <c r="L464" s="185" t="n">
        <v>15</v>
      </c>
      <c r="M464" s="173" t="n">
        <v>23050</v>
      </c>
      <c r="N464" s="184" t="n">
        <v>19592.5</v>
      </c>
      <c r="O464" s="184" t="s">
        <v>1287</v>
      </c>
      <c r="P464" s="187" t="n">
        <v>45908</v>
      </c>
      <c r="Q464" s="188" t="n">
        <v>0.949097222222222</v>
      </c>
    </row>
    <row r="465" customFormat="false" ht="35.05" hidden="false" customHeight="false" outlineLevel="0" collapsed="false">
      <c r="A465" s="181" t="s">
        <v>1288</v>
      </c>
      <c r="B465" s="182" t="n">
        <v>1506</v>
      </c>
      <c r="C465" s="183" t="n">
        <v>37189</v>
      </c>
      <c r="D465" s="181" t="s">
        <v>1190</v>
      </c>
      <c r="E465" s="181" t="s">
        <v>1289</v>
      </c>
      <c r="F465" s="181" t="s">
        <v>1290</v>
      </c>
      <c r="G465" s="181" t="s">
        <v>232</v>
      </c>
      <c r="H465" s="181" t="s">
        <v>279</v>
      </c>
      <c r="I465" s="181" t="s">
        <v>230</v>
      </c>
      <c r="J465" s="184" t="n">
        <v>39020</v>
      </c>
      <c r="K465" s="184" t="n">
        <v>15630</v>
      </c>
      <c r="L465" s="185" t="n">
        <v>14</v>
      </c>
      <c r="M465" s="173" t="n">
        <v>23390</v>
      </c>
      <c r="N465" s="184" t="n">
        <v>20115.4</v>
      </c>
      <c r="O465" s="184" t="s">
        <v>1291</v>
      </c>
      <c r="P465" s="187" t="n">
        <v>45908</v>
      </c>
      <c r="Q465" s="188" t="n">
        <v>0.833564814814815</v>
      </c>
    </row>
    <row r="466" customFormat="false" ht="35.05" hidden="false" customHeight="false" outlineLevel="0" collapsed="false">
      <c r="A466" s="181" t="s">
        <v>1292</v>
      </c>
      <c r="B466" s="182" t="n">
        <v>1507</v>
      </c>
      <c r="C466" s="183" t="n">
        <v>37187</v>
      </c>
      <c r="D466" s="181" t="s">
        <v>1190</v>
      </c>
      <c r="E466" s="181" t="s">
        <v>350</v>
      </c>
      <c r="F466" s="181" t="s">
        <v>351</v>
      </c>
      <c r="G466" s="181" t="s">
        <v>232</v>
      </c>
      <c r="H466" s="181" t="s">
        <v>279</v>
      </c>
      <c r="I466" s="181" t="s">
        <v>230</v>
      </c>
      <c r="J466" s="184" t="n">
        <v>43120</v>
      </c>
      <c r="K466" s="184" t="n">
        <v>14890</v>
      </c>
      <c r="L466" s="185" t="n">
        <v>7</v>
      </c>
      <c r="M466" s="173" t="n">
        <v>28230</v>
      </c>
      <c r="N466" s="184" t="n">
        <v>26253.9</v>
      </c>
      <c r="O466" s="184" t="s">
        <v>1293</v>
      </c>
      <c r="P466" s="187" t="n">
        <v>45908</v>
      </c>
      <c r="Q466" s="188" t="n">
        <v>0.836666666666667</v>
      </c>
    </row>
    <row r="467" customFormat="false" ht="35.05" hidden="false" customHeight="false" outlineLevel="0" collapsed="false">
      <c r="A467" s="181" t="s">
        <v>1294</v>
      </c>
      <c r="B467" s="182" t="n">
        <v>1508</v>
      </c>
      <c r="C467" s="183" t="n">
        <v>37185</v>
      </c>
      <c r="D467" s="181" t="s">
        <v>1190</v>
      </c>
      <c r="E467" s="181" t="s">
        <v>377</v>
      </c>
      <c r="F467" s="181" t="s">
        <v>378</v>
      </c>
      <c r="G467" s="181" t="s">
        <v>232</v>
      </c>
      <c r="H467" s="181" t="s">
        <v>279</v>
      </c>
      <c r="I467" s="181" t="s">
        <v>230</v>
      </c>
      <c r="J467" s="184" t="n">
        <v>41580</v>
      </c>
      <c r="K467" s="184" t="n">
        <v>15500</v>
      </c>
      <c r="L467" s="185" t="n">
        <v>14</v>
      </c>
      <c r="M467" s="173" t="n">
        <v>26080</v>
      </c>
      <c r="N467" s="184" t="n">
        <v>22428.8</v>
      </c>
      <c r="O467" s="184" t="s">
        <v>1295</v>
      </c>
      <c r="P467" s="187" t="n">
        <v>45908</v>
      </c>
      <c r="Q467" s="188" t="n">
        <v>0.840555555555556</v>
      </c>
    </row>
    <row r="468" customFormat="false" ht="35.05" hidden="false" customHeight="false" outlineLevel="0" collapsed="false">
      <c r="A468" s="181" t="s">
        <v>1296</v>
      </c>
      <c r="B468" s="182" t="n">
        <v>1509</v>
      </c>
      <c r="C468" s="183" t="n">
        <v>37195</v>
      </c>
      <c r="D468" s="181" t="s">
        <v>1190</v>
      </c>
      <c r="E468" s="181" t="s">
        <v>399</v>
      </c>
      <c r="F468" s="181" t="s">
        <v>400</v>
      </c>
      <c r="G468" s="181" t="s">
        <v>232</v>
      </c>
      <c r="H468" s="181" t="s">
        <v>279</v>
      </c>
      <c r="I468" s="181" t="s">
        <v>230</v>
      </c>
      <c r="J468" s="184" t="n">
        <v>52150</v>
      </c>
      <c r="K468" s="184" t="n">
        <v>19280</v>
      </c>
      <c r="L468" s="185" t="n">
        <v>9</v>
      </c>
      <c r="M468" s="173" t="n">
        <v>32870</v>
      </c>
      <c r="N468" s="184" t="n">
        <v>29911.7</v>
      </c>
      <c r="O468" s="184" t="s">
        <v>1297</v>
      </c>
      <c r="P468" s="187" t="n">
        <v>45908</v>
      </c>
      <c r="Q468" s="188" t="n">
        <v>0.936643518518519</v>
      </c>
    </row>
    <row r="469" customFormat="false" ht="35.05" hidden="false" customHeight="false" outlineLevel="0" collapsed="false">
      <c r="A469" s="181" t="s">
        <v>1298</v>
      </c>
      <c r="B469" s="182" t="n">
        <v>1510</v>
      </c>
      <c r="C469" s="183" t="n">
        <v>37197</v>
      </c>
      <c r="D469" s="181" t="s">
        <v>1190</v>
      </c>
      <c r="E469" s="181" t="s">
        <v>373</v>
      </c>
      <c r="F469" s="181" t="s">
        <v>374</v>
      </c>
      <c r="G469" s="181" t="s">
        <v>232</v>
      </c>
      <c r="H469" s="181" t="s">
        <v>279</v>
      </c>
      <c r="I469" s="181" t="s">
        <v>230</v>
      </c>
      <c r="J469" s="184" t="n">
        <v>38480</v>
      </c>
      <c r="K469" s="184" t="n">
        <v>14190</v>
      </c>
      <c r="L469" s="185" t="n">
        <v>11</v>
      </c>
      <c r="M469" s="173" t="n">
        <v>24290</v>
      </c>
      <c r="N469" s="184" t="n">
        <v>21618.1</v>
      </c>
      <c r="O469" s="184" t="s">
        <v>1299</v>
      </c>
      <c r="P469" s="187" t="n">
        <v>45908</v>
      </c>
      <c r="Q469" s="188" t="n">
        <v>0.955833333333333</v>
      </c>
    </row>
    <row r="470" customFormat="false" ht="35.05" hidden="false" customHeight="false" outlineLevel="0" collapsed="false">
      <c r="A470" s="181" t="s">
        <v>1300</v>
      </c>
      <c r="B470" s="182" t="n">
        <v>1511</v>
      </c>
      <c r="C470" s="183" t="n">
        <v>37191</v>
      </c>
      <c r="D470" s="181" t="s">
        <v>1190</v>
      </c>
      <c r="E470" s="181" t="s">
        <v>383</v>
      </c>
      <c r="F470" s="181" t="s">
        <v>384</v>
      </c>
      <c r="G470" s="181" t="s">
        <v>232</v>
      </c>
      <c r="H470" s="181" t="s">
        <v>279</v>
      </c>
      <c r="I470" s="181" t="s">
        <v>230</v>
      </c>
      <c r="J470" s="184" t="n">
        <v>40490</v>
      </c>
      <c r="K470" s="184" t="n">
        <v>14790</v>
      </c>
      <c r="L470" s="185" t="n">
        <v>5</v>
      </c>
      <c r="M470" s="173" t="n">
        <v>25700</v>
      </c>
      <c r="N470" s="184" t="n">
        <v>24415</v>
      </c>
      <c r="O470" s="184" t="s">
        <v>1301</v>
      </c>
      <c r="P470" s="187" t="n">
        <v>45908</v>
      </c>
      <c r="Q470" s="188" t="n">
        <v>0.959224537037037</v>
      </c>
    </row>
    <row r="471" customFormat="false" ht="35.05" hidden="false" customHeight="false" outlineLevel="0" collapsed="false">
      <c r="A471" s="181" t="s">
        <v>1302</v>
      </c>
      <c r="B471" s="182" t="n">
        <v>1512</v>
      </c>
      <c r="C471" s="183" t="n">
        <v>37193</v>
      </c>
      <c r="D471" s="181" t="s">
        <v>1190</v>
      </c>
      <c r="E471" s="181" t="s">
        <v>387</v>
      </c>
      <c r="F471" s="181" t="s">
        <v>388</v>
      </c>
      <c r="G471" s="181" t="s">
        <v>232</v>
      </c>
      <c r="H471" s="181" t="s">
        <v>279</v>
      </c>
      <c r="I471" s="181" t="s">
        <v>230</v>
      </c>
      <c r="J471" s="184" t="n">
        <v>38990</v>
      </c>
      <c r="K471" s="184" t="n">
        <v>14890</v>
      </c>
      <c r="L471" s="185" t="n">
        <v>12</v>
      </c>
      <c r="M471" s="173" t="n">
        <v>24100</v>
      </c>
      <c r="N471" s="184" t="n">
        <v>21208</v>
      </c>
      <c r="O471" s="184" t="s">
        <v>1303</v>
      </c>
      <c r="P471" s="187" t="n">
        <v>45908</v>
      </c>
      <c r="Q471" s="188" t="n">
        <v>0.962858796296296</v>
      </c>
    </row>
    <row r="472" customFormat="false" ht="35.05" hidden="false" customHeight="false" outlineLevel="0" collapsed="false">
      <c r="A472" s="181" t="s">
        <v>1304</v>
      </c>
      <c r="B472" s="182" t="n">
        <v>1513</v>
      </c>
      <c r="C472" s="183" t="n">
        <v>37199</v>
      </c>
      <c r="D472" s="181" t="s">
        <v>1190</v>
      </c>
      <c r="E472" s="181" t="s">
        <v>354</v>
      </c>
      <c r="F472" s="181" t="s">
        <v>355</v>
      </c>
      <c r="G472" s="181" t="s">
        <v>232</v>
      </c>
      <c r="H472" s="181" t="s">
        <v>279</v>
      </c>
      <c r="I472" s="181" t="s">
        <v>230</v>
      </c>
      <c r="J472" s="184" t="n">
        <v>37570</v>
      </c>
      <c r="K472" s="184" t="n">
        <v>14680</v>
      </c>
      <c r="L472" s="185" t="n">
        <v>10</v>
      </c>
      <c r="M472" s="173" t="n">
        <v>22890</v>
      </c>
      <c r="N472" s="184" t="n">
        <v>20601</v>
      </c>
      <c r="O472" s="184" t="s">
        <v>1305</v>
      </c>
      <c r="P472" s="187" t="n">
        <v>45909</v>
      </c>
      <c r="Q472" s="188" t="n">
        <v>0.292997685185185</v>
      </c>
    </row>
    <row r="473" customFormat="false" ht="35.05" hidden="false" customHeight="false" outlineLevel="0" collapsed="false">
      <c r="A473" s="181" t="s">
        <v>1306</v>
      </c>
      <c r="B473" s="182" t="n">
        <v>1514</v>
      </c>
      <c r="C473" s="183" t="n">
        <v>37204</v>
      </c>
      <c r="D473" s="181" t="s">
        <v>1190</v>
      </c>
      <c r="E473" s="181" t="s">
        <v>359</v>
      </c>
      <c r="F473" s="181" t="s">
        <v>360</v>
      </c>
      <c r="G473" s="181" t="s">
        <v>232</v>
      </c>
      <c r="H473" s="181" t="s">
        <v>279</v>
      </c>
      <c r="I473" s="181" t="s">
        <v>230</v>
      </c>
      <c r="J473" s="184" t="n">
        <v>36160</v>
      </c>
      <c r="K473" s="184" t="n">
        <v>14800</v>
      </c>
      <c r="L473" s="185" t="n">
        <v>7</v>
      </c>
      <c r="M473" s="173" t="n">
        <v>21360</v>
      </c>
      <c r="N473" s="184" t="n">
        <v>19864.8</v>
      </c>
      <c r="O473" s="184" t="s">
        <v>1307</v>
      </c>
      <c r="P473" s="187" t="n">
        <v>45909</v>
      </c>
      <c r="Q473" s="188" t="n">
        <v>0.413726851851852</v>
      </c>
    </row>
    <row r="474" customFormat="false" ht="35.05" hidden="false" customHeight="false" outlineLevel="0" collapsed="false">
      <c r="A474" s="181" t="s">
        <v>1308</v>
      </c>
      <c r="B474" s="182" t="n">
        <v>1515</v>
      </c>
      <c r="C474" s="183" t="n">
        <v>37224</v>
      </c>
      <c r="D474" s="181" t="s">
        <v>1190</v>
      </c>
      <c r="E474" s="181" t="s">
        <v>1309</v>
      </c>
      <c r="F474" s="181" t="s">
        <v>1310</v>
      </c>
      <c r="G474" s="181" t="s">
        <v>232</v>
      </c>
      <c r="H474" s="181" t="s">
        <v>279</v>
      </c>
      <c r="I474" s="181" t="s">
        <v>230</v>
      </c>
      <c r="J474" s="184" t="n">
        <v>39140</v>
      </c>
      <c r="K474" s="184" t="n">
        <v>15480</v>
      </c>
      <c r="L474" s="185" t="n">
        <v>9</v>
      </c>
      <c r="M474" s="173" t="n">
        <v>23660</v>
      </c>
      <c r="N474" s="184" t="n">
        <v>21530.6</v>
      </c>
      <c r="O474" s="184" t="s">
        <v>1311</v>
      </c>
      <c r="P474" s="187" t="n">
        <v>45909</v>
      </c>
      <c r="Q474" s="188" t="n">
        <v>0.42375</v>
      </c>
    </row>
    <row r="475" customFormat="false" ht="35.05" hidden="false" customHeight="false" outlineLevel="0" collapsed="false">
      <c r="A475" s="181" t="s">
        <v>1312</v>
      </c>
      <c r="B475" s="182" t="n">
        <v>1516</v>
      </c>
      <c r="C475" s="183" t="n">
        <v>37257</v>
      </c>
      <c r="D475" s="181" t="s">
        <v>1190</v>
      </c>
      <c r="E475" s="181" t="s">
        <v>545</v>
      </c>
      <c r="F475" s="181" t="s">
        <v>546</v>
      </c>
      <c r="G475" s="181" t="s">
        <v>232</v>
      </c>
      <c r="H475" s="181" t="s">
        <v>279</v>
      </c>
      <c r="I475" s="181" t="s">
        <v>230</v>
      </c>
      <c r="J475" s="184" t="n">
        <v>42950</v>
      </c>
      <c r="K475" s="184" t="n">
        <v>16050</v>
      </c>
      <c r="L475" s="185" t="n">
        <v>8</v>
      </c>
      <c r="M475" s="173" t="n">
        <v>26900</v>
      </c>
      <c r="N475" s="184" t="n">
        <v>24748</v>
      </c>
      <c r="O475" s="184" t="s">
        <v>1313</v>
      </c>
      <c r="P475" s="187" t="n">
        <v>45909</v>
      </c>
      <c r="Q475" s="188" t="n">
        <v>0.430381944444444</v>
      </c>
    </row>
    <row r="476" customFormat="false" ht="35.05" hidden="false" customHeight="false" outlineLevel="0" collapsed="false">
      <c r="A476" s="181" t="s">
        <v>1314</v>
      </c>
      <c r="B476" s="182" t="n">
        <v>1518</v>
      </c>
      <c r="C476" s="183" t="n">
        <v>37247</v>
      </c>
      <c r="D476" s="181" t="s">
        <v>1190</v>
      </c>
      <c r="E476" s="181" t="s">
        <v>288</v>
      </c>
      <c r="F476" s="181" t="s">
        <v>289</v>
      </c>
      <c r="G476" s="181" t="s">
        <v>232</v>
      </c>
      <c r="H476" s="181" t="s">
        <v>279</v>
      </c>
      <c r="I476" s="181" t="s">
        <v>230</v>
      </c>
      <c r="J476" s="184" t="n">
        <v>36290</v>
      </c>
      <c r="K476" s="184" t="n">
        <v>14540</v>
      </c>
      <c r="L476" s="185" t="n">
        <v>7</v>
      </c>
      <c r="M476" s="173" t="n">
        <v>21750</v>
      </c>
      <c r="N476" s="184" t="n">
        <v>20227.5</v>
      </c>
      <c r="O476" s="184" t="s">
        <v>1315</v>
      </c>
      <c r="P476" s="187" t="n">
        <v>45909</v>
      </c>
      <c r="Q476" s="188" t="n">
        <v>0.478101851851852</v>
      </c>
    </row>
    <row r="477" customFormat="false" ht="35.05" hidden="false" customHeight="false" outlineLevel="0" collapsed="false">
      <c r="A477" s="181" t="s">
        <v>1316</v>
      </c>
      <c r="B477" s="182" t="n">
        <v>1519</v>
      </c>
      <c r="C477" s="183" t="n">
        <v>37263</v>
      </c>
      <c r="D477" s="181" t="s">
        <v>1190</v>
      </c>
      <c r="E477" s="181" t="s">
        <v>439</v>
      </c>
      <c r="F477" s="181" t="s">
        <v>440</v>
      </c>
      <c r="G477" s="181" t="s">
        <v>232</v>
      </c>
      <c r="H477" s="181" t="s">
        <v>279</v>
      </c>
      <c r="I477" s="181" t="s">
        <v>230</v>
      </c>
      <c r="J477" s="184" t="n">
        <v>40640</v>
      </c>
      <c r="K477" s="184" t="n">
        <v>16300</v>
      </c>
      <c r="L477" s="185" t="n">
        <v>10</v>
      </c>
      <c r="M477" s="173" t="n">
        <v>24340</v>
      </c>
      <c r="N477" s="184" t="n">
        <v>21906</v>
      </c>
      <c r="O477" s="184" t="s">
        <v>1317</v>
      </c>
      <c r="P477" s="187" t="n">
        <v>45909</v>
      </c>
      <c r="Q477" s="188" t="n">
        <v>0.565300925925926</v>
      </c>
    </row>
    <row r="478" customFormat="false" ht="35.05" hidden="false" customHeight="false" outlineLevel="0" collapsed="false">
      <c r="A478" s="181" t="s">
        <v>1318</v>
      </c>
      <c r="B478" s="182" t="n">
        <v>1520</v>
      </c>
      <c r="C478" s="183" t="n">
        <v>37259</v>
      </c>
      <c r="D478" s="181" t="s">
        <v>1190</v>
      </c>
      <c r="E478" s="181" t="s">
        <v>541</v>
      </c>
      <c r="F478" s="181" t="s">
        <v>542</v>
      </c>
      <c r="G478" s="181" t="s">
        <v>232</v>
      </c>
      <c r="H478" s="181" t="s">
        <v>279</v>
      </c>
      <c r="I478" s="181" t="s">
        <v>230</v>
      </c>
      <c r="J478" s="184" t="n">
        <v>40300</v>
      </c>
      <c r="K478" s="184" t="n">
        <v>14910</v>
      </c>
      <c r="L478" s="185" t="n">
        <v>12</v>
      </c>
      <c r="M478" s="173" t="n">
        <v>25390</v>
      </c>
      <c r="N478" s="184" t="n">
        <v>22343.2</v>
      </c>
      <c r="O478" s="184" t="s">
        <v>1319</v>
      </c>
      <c r="P478" s="187" t="n">
        <v>45909</v>
      </c>
      <c r="Q478" s="188" t="n">
        <v>0.592037037037037</v>
      </c>
    </row>
    <row r="479" customFormat="false" ht="35.05" hidden="false" customHeight="false" outlineLevel="0" collapsed="false">
      <c r="A479" s="181" t="s">
        <v>1320</v>
      </c>
      <c r="B479" s="182" t="n">
        <v>1521</v>
      </c>
      <c r="C479" s="183" t="n">
        <v>37261</v>
      </c>
      <c r="D479" s="181" t="s">
        <v>1190</v>
      </c>
      <c r="E479" s="181" t="s">
        <v>549</v>
      </c>
      <c r="F479" s="181" t="s">
        <v>550</v>
      </c>
      <c r="G479" s="181" t="s">
        <v>232</v>
      </c>
      <c r="H479" s="181" t="s">
        <v>279</v>
      </c>
      <c r="I479" s="181" t="s">
        <v>230</v>
      </c>
      <c r="J479" s="184" t="n">
        <v>43550</v>
      </c>
      <c r="K479" s="184" t="n">
        <v>15910</v>
      </c>
      <c r="L479" s="185" t="n">
        <v>8</v>
      </c>
      <c r="M479" s="173" t="n">
        <v>27640</v>
      </c>
      <c r="N479" s="184" t="n">
        <v>25428.8</v>
      </c>
      <c r="O479" s="184" t="s">
        <v>1321</v>
      </c>
      <c r="P479" s="187" t="n">
        <v>45909</v>
      </c>
      <c r="Q479" s="188" t="n">
        <v>0.656377314814815</v>
      </c>
    </row>
    <row r="480" customFormat="false" ht="35.05" hidden="false" customHeight="false" outlineLevel="0" collapsed="false">
      <c r="A480" s="181" t="s">
        <v>1322</v>
      </c>
      <c r="B480" s="182" t="n">
        <v>1522</v>
      </c>
      <c r="C480" s="183" t="n">
        <v>37251</v>
      </c>
      <c r="D480" s="181" t="s">
        <v>1190</v>
      </c>
      <c r="E480" s="181" t="s">
        <v>1019</v>
      </c>
      <c r="F480" s="181" t="s">
        <v>1020</v>
      </c>
      <c r="G480" s="181" t="s">
        <v>232</v>
      </c>
      <c r="H480" s="181" t="s">
        <v>279</v>
      </c>
      <c r="I480" s="181" t="s">
        <v>230</v>
      </c>
      <c r="J480" s="184" t="n">
        <v>43010</v>
      </c>
      <c r="K480" s="184" t="n">
        <v>16860</v>
      </c>
      <c r="L480" s="185" t="n">
        <v>9</v>
      </c>
      <c r="M480" s="173" t="n">
        <v>26150</v>
      </c>
      <c r="N480" s="184" t="n">
        <v>23796.5</v>
      </c>
      <c r="O480" s="184" t="s">
        <v>1323</v>
      </c>
      <c r="P480" s="187" t="n">
        <v>45909</v>
      </c>
      <c r="Q480" s="188" t="n">
        <v>0.830104166666667</v>
      </c>
    </row>
    <row r="481" customFormat="false" ht="35.05" hidden="false" customHeight="false" outlineLevel="0" collapsed="false">
      <c r="A481" s="181" t="s">
        <v>1324</v>
      </c>
      <c r="B481" s="182" t="n">
        <v>1523</v>
      </c>
      <c r="C481" s="183" t="n">
        <v>37253</v>
      </c>
      <c r="D481" s="181" t="s">
        <v>1190</v>
      </c>
      <c r="E481" s="181" t="s">
        <v>1027</v>
      </c>
      <c r="F481" s="181" t="s">
        <v>1028</v>
      </c>
      <c r="G481" s="181" t="s">
        <v>232</v>
      </c>
      <c r="H481" s="181" t="s">
        <v>279</v>
      </c>
      <c r="I481" s="181" t="s">
        <v>230</v>
      </c>
      <c r="J481" s="184" t="n">
        <v>38590</v>
      </c>
      <c r="K481" s="184" t="n">
        <v>14990</v>
      </c>
      <c r="L481" s="185" t="n">
        <v>15</v>
      </c>
      <c r="M481" s="173" t="n">
        <v>23600</v>
      </c>
      <c r="N481" s="184" t="n">
        <v>20060</v>
      </c>
      <c r="O481" s="184" t="s">
        <v>1325</v>
      </c>
      <c r="P481" s="187" t="n">
        <v>45909</v>
      </c>
      <c r="Q481" s="188" t="n">
        <v>0.833784722222222</v>
      </c>
    </row>
    <row r="482" customFormat="false" ht="35.05" hidden="false" customHeight="false" outlineLevel="0" collapsed="false">
      <c r="A482" s="181" t="s">
        <v>1326</v>
      </c>
      <c r="B482" s="182" t="n">
        <v>1524</v>
      </c>
      <c r="C482" s="183" t="n">
        <v>37255</v>
      </c>
      <c r="D482" s="181" t="s">
        <v>1190</v>
      </c>
      <c r="E482" s="181" t="s">
        <v>1023</v>
      </c>
      <c r="F482" s="181" t="s">
        <v>1024</v>
      </c>
      <c r="G482" s="181" t="s">
        <v>232</v>
      </c>
      <c r="H482" s="181" t="s">
        <v>279</v>
      </c>
      <c r="I482" s="181" t="s">
        <v>230</v>
      </c>
      <c r="J482" s="184" t="n">
        <v>36670</v>
      </c>
      <c r="K482" s="184" t="n">
        <v>14750</v>
      </c>
      <c r="L482" s="185" t="n">
        <v>10</v>
      </c>
      <c r="M482" s="173" t="n">
        <v>21920</v>
      </c>
      <c r="N482" s="184" t="n">
        <v>19728</v>
      </c>
      <c r="O482" s="184" t="s">
        <v>1327</v>
      </c>
      <c r="P482" s="187" t="n">
        <v>45909</v>
      </c>
      <c r="Q482" s="188" t="n">
        <v>0.85900462962963</v>
      </c>
    </row>
    <row r="483" customFormat="false" ht="35.05" hidden="false" customHeight="false" outlineLevel="0" collapsed="false">
      <c r="A483" s="181" t="s">
        <v>1328</v>
      </c>
      <c r="B483" s="182" t="n">
        <v>1527</v>
      </c>
      <c r="C483" s="183" t="n">
        <v>37265</v>
      </c>
      <c r="D483" s="181" t="s">
        <v>1190</v>
      </c>
      <c r="E483" s="181" t="s">
        <v>431</v>
      </c>
      <c r="F483" s="181" t="s">
        <v>432</v>
      </c>
      <c r="G483" s="181" t="s">
        <v>232</v>
      </c>
      <c r="H483" s="181" t="s">
        <v>279</v>
      </c>
      <c r="I483" s="181" t="s">
        <v>230</v>
      </c>
      <c r="J483" s="184" t="n">
        <v>39300</v>
      </c>
      <c r="K483" s="184" t="n">
        <v>16490</v>
      </c>
      <c r="L483" s="185" t="n">
        <v>13</v>
      </c>
      <c r="M483" s="173" t="n">
        <v>22810</v>
      </c>
      <c r="N483" s="184" t="n">
        <v>19844.7</v>
      </c>
      <c r="O483" s="184" t="s">
        <v>1329</v>
      </c>
      <c r="P483" s="187" t="n">
        <v>45909</v>
      </c>
      <c r="Q483" s="188" t="n">
        <v>0.886215277777778</v>
      </c>
    </row>
    <row r="484" customFormat="false" ht="35.05" hidden="false" customHeight="false" outlineLevel="0" collapsed="false">
      <c r="A484" s="181" t="s">
        <v>1330</v>
      </c>
      <c r="B484" s="182" t="n">
        <v>1528</v>
      </c>
      <c r="C484" s="183" t="n">
        <v>37267</v>
      </c>
      <c r="D484" s="181" t="s">
        <v>1190</v>
      </c>
      <c r="E484" s="181" t="s">
        <v>435</v>
      </c>
      <c r="F484" s="181" t="s">
        <v>436</v>
      </c>
      <c r="G484" s="181" t="s">
        <v>237</v>
      </c>
      <c r="H484" s="181" t="s">
        <v>279</v>
      </c>
      <c r="I484" s="181" t="s">
        <v>230</v>
      </c>
      <c r="J484" s="184" t="n">
        <v>40620</v>
      </c>
      <c r="K484" s="184" t="n">
        <v>16320</v>
      </c>
      <c r="L484" s="185" t="n">
        <v>7</v>
      </c>
      <c r="M484" s="173" t="n">
        <v>24300</v>
      </c>
      <c r="N484" s="184" t="n">
        <v>22599</v>
      </c>
      <c r="O484" s="184" t="s">
        <v>1331</v>
      </c>
      <c r="P484" s="187" t="n">
        <v>45909</v>
      </c>
      <c r="Q484" s="188" t="n">
        <v>0.708854166666667</v>
      </c>
    </row>
    <row r="485" customFormat="false" ht="35.05" hidden="false" customHeight="false" outlineLevel="0" collapsed="false">
      <c r="A485" s="181" t="s">
        <v>1332</v>
      </c>
      <c r="B485" s="182" t="n">
        <v>1531</v>
      </c>
      <c r="C485" s="183" t="n">
        <v>37269</v>
      </c>
      <c r="D485" s="181" t="s">
        <v>1190</v>
      </c>
      <c r="E485" s="181" t="s">
        <v>409</v>
      </c>
      <c r="F485" s="181" t="s">
        <v>410</v>
      </c>
      <c r="G485" s="181" t="s">
        <v>237</v>
      </c>
      <c r="H485" s="181" t="s">
        <v>279</v>
      </c>
      <c r="I485" s="181" t="s">
        <v>230</v>
      </c>
      <c r="J485" s="184" t="n">
        <v>52810</v>
      </c>
      <c r="K485" s="184" t="n">
        <v>24090</v>
      </c>
      <c r="L485" s="185" t="n">
        <v>11</v>
      </c>
      <c r="M485" s="173" t="n">
        <v>28720</v>
      </c>
      <c r="N485" s="184" t="n">
        <v>25560.8</v>
      </c>
      <c r="O485" s="184" t="s">
        <v>1333</v>
      </c>
      <c r="P485" s="187" t="n">
        <v>45909</v>
      </c>
      <c r="Q485" s="188" t="n">
        <v>0.514282407407407</v>
      </c>
    </row>
    <row r="486" customFormat="false" ht="35.05" hidden="false" customHeight="false" outlineLevel="0" collapsed="false">
      <c r="A486" s="181" t="s">
        <v>1334</v>
      </c>
      <c r="B486" s="182" t="n">
        <v>1532</v>
      </c>
      <c r="C486" s="183" t="n">
        <v>37271</v>
      </c>
      <c r="D486" s="181" t="s">
        <v>1190</v>
      </c>
      <c r="E486" s="181" t="s">
        <v>413</v>
      </c>
      <c r="F486" s="181" t="s">
        <v>414</v>
      </c>
      <c r="G486" s="181" t="s">
        <v>237</v>
      </c>
      <c r="H486" s="181" t="s">
        <v>279</v>
      </c>
      <c r="I486" s="181" t="s">
        <v>230</v>
      </c>
      <c r="J486" s="184" t="n">
        <v>44390</v>
      </c>
      <c r="K486" s="184" t="n">
        <v>15510</v>
      </c>
      <c r="L486" s="185" t="n">
        <v>4</v>
      </c>
      <c r="M486" s="173" t="n">
        <v>28880</v>
      </c>
      <c r="N486" s="184" t="n">
        <v>27724.8</v>
      </c>
      <c r="O486" s="184" t="s">
        <v>1335</v>
      </c>
      <c r="P486" s="187" t="n">
        <v>45909</v>
      </c>
      <c r="Q486" s="188" t="n">
        <v>0.519826388888889</v>
      </c>
    </row>
    <row r="487" customFormat="false" ht="35.05" hidden="false" customHeight="false" outlineLevel="0" collapsed="false">
      <c r="A487" s="181" t="s">
        <v>1336</v>
      </c>
      <c r="B487" s="182" t="n">
        <v>1541</v>
      </c>
      <c r="C487" s="183" t="n">
        <v>37275</v>
      </c>
      <c r="D487" s="181" t="s">
        <v>1190</v>
      </c>
      <c r="E487" s="181" t="s">
        <v>304</v>
      </c>
      <c r="F487" s="181" t="s">
        <v>305</v>
      </c>
      <c r="G487" s="181" t="s">
        <v>237</v>
      </c>
      <c r="H487" s="181" t="s">
        <v>279</v>
      </c>
      <c r="I487" s="181" t="s">
        <v>230</v>
      </c>
      <c r="J487" s="184" t="n">
        <v>39830</v>
      </c>
      <c r="K487" s="184" t="n">
        <v>15060</v>
      </c>
      <c r="L487" s="185" t="n">
        <v>9</v>
      </c>
      <c r="M487" s="173" t="n">
        <v>24770</v>
      </c>
      <c r="N487" s="184" t="n">
        <v>22540.7</v>
      </c>
      <c r="O487" s="184" t="s">
        <v>1337</v>
      </c>
      <c r="P487" s="187" t="n">
        <v>45909</v>
      </c>
      <c r="Q487" s="188" t="n">
        <v>0.760578703703704</v>
      </c>
    </row>
    <row r="488" customFormat="false" ht="35.05" hidden="false" customHeight="false" outlineLevel="0" collapsed="false">
      <c r="A488" s="181" t="s">
        <v>1338</v>
      </c>
      <c r="B488" s="182" t="n">
        <v>1542</v>
      </c>
      <c r="C488" s="183" t="n">
        <v>37277</v>
      </c>
      <c r="D488" s="181" t="s">
        <v>1190</v>
      </c>
      <c r="E488" s="181" t="s">
        <v>277</v>
      </c>
      <c r="F488" s="181" t="s">
        <v>278</v>
      </c>
      <c r="G488" s="181" t="s">
        <v>237</v>
      </c>
      <c r="H488" s="181" t="s">
        <v>279</v>
      </c>
      <c r="I488" s="181" t="s">
        <v>230</v>
      </c>
      <c r="J488" s="184" t="n">
        <v>41750</v>
      </c>
      <c r="K488" s="184" t="n">
        <v>15110</v>
      </c>
      <c r="L488" s="185" t="n">
        <v>12</v>
      </c>
      <c r="M488" s="173" t="n">
        <v>26640</v>
      </c>
      <c r="N488" s="184" t="n">
        <v>23443.2</v>
      </c>
      <c r="O488" s="184" t="s">
        <v>1339</v>
      </c>
      <c r="P488" s="187" t="n">
        <v>45909</v>
      </c>
      <c r="Q488" s="188" t="n">
        <v>0.781631944444444</v>
      </c>
    </row>
    <row r="489" customFormat="false" ht="35.05" hidden="false" customHeight="false" outlineLevel="0" collapsed="false">
      <c r="A489" s="181" t="s">
        <v>1340</v>
      </c>
      <c r="B489" s="182" t="n">
        <v>1543</v>
      </c>
      <c r="C489" s="183" t="n">
        <v>37273</v>
      </c>
      <c r="D489" s="181" t="s">
        <v>1190</v>
      </c>
      <c r="E489" s="181" t="s">
        <v>308</v>
      </c>
      <c r="F489" s="181" t="s">
        <v>309</v>
      </c>
      <c r="G489" s="181" t="s">
        <v>237</v>
      </c>
      <c r="H489" s="181" t="s">
        <v>279</v>
      </c>
      <c r="I489" s="181" t="s">
        <v>230</v>
      </c>
      <c r="J489" s="184" t="n">
        <v>58480</v>
      </c>
      <c r="K489" s="184" t="n">
        <v>24100</v>
      </c>
      <c r="L489" s="185" t="n">
        <v>12</v>
      </c>
      <c r="M489" s="173" t="n">
        <v>34380</v>
      </c>
      <c r="N489" s="184" t="n">
        <v>30254.4</v>
      </c>
      <c r="O489" s="184" t="s">
        <v>1341</v>
      </c>
      <c r="P489" s="187" t="n">
        <v>45909</v>
      </c>
      <c r="Q489" s="188" t="n">
        <v>0.784537037037037</v>
      </c>
    </row>
    <row r="490" customFormat="false" ht="35.05" hidden="false" customHeight="false" outlineLevel="0" collapsed="false">
      <c r="A490" s="181" t="s">
        <v>1342</v>
      </c>
      <c r="B490" s="182" t="n">
        <v>1544</v>
      </c>
      <c r="C490" s="183" t="n">
        <v>37279</v>
      </c>
      <c r="D490" s="181" t="s">
        <v>1190</v>
      </c>
      <c r="E490" s="181" t="s">
        <v>300</v>
      </c>
      <c r="F490" s="181" t="s">
        <v>301</v>
      </c>
      <c r="G490" s="181" t="s">
        <v>237</v>
      </c>
      <c r="H490" s="181" t="s">
        <v>279</v>
      </c>
      <c r="I490" s="181" t="s">
        <v>230</v>
      </c>
      <c r="J490" s="184" t="n">
        <v>52910</v>
      </c>
      <c r="K490" s="184" t="n">
        <v>20890</v>
      </c>
      <c r="L490" s="185" t="n">
        <v>9</v>
      </c>
      <c r="M490" s="173" t="n">
        <v>32020</v>
      </c>
      <c r="N490" s="184" t="n">
        <v>29138.2</v>
      </c>
      <c r="O490" s="184" t="s">
        <v>1343</v>
      </c>
      <c r="P490" s="187" t="n">
        <v>45909</v>
      </c>
      <c r="Q490" s="188" t="n">
        <v>0.836840277777778</v>
      </c>
    </row>
    <row r="491" customFormat="false" ht="50.25" hidden="false" customHeight="true" outlineLevel="0" collapsed="false">
      <c r="A491" s="181" t="s">
        <v>1344</v>
      </c>
      <c r="B491" s="182" t="n">
        <v>1545</v>
      </c>
      <c r="C491" s="183" t="n">
        <v>37288</v>
      </c>
      <c r="D491" s="181" t="s">
        <v>1190</v>
      </c>
      <c r="E491" s="181" t="s">
        <v>576</v>
      </c>
      <c r="F491" s="181" t="s">
        <v>577</v>
      </c>
      <c r="G491" s="181" t="s">
        <v>237</v>
      </c>
      <c r="H491" s="181" t="s">
        <v>279</v>
      </c>
      <c r="I491" s="181" t="s">
        <v>230</v>
      </c>
      <c r="J491" s="184" t="n">
        <v>39090</v>
      </c>
      <c r="K491" s="184" t="n">
        <v>14460</v>
      </c>
      <c r="L491" s="185" t="n">
        <v>8</v>
      </c>
      <c r="M491" s="173" t="n">
        <v>24630</v>
      </c>
      <c r="N491" s="184" t="n">
        <v>22659.6</v>
      </c>
      <c r="O491" s="184" t="s">
        <v>1345</v>
      </c>
      <c r="P491" s="187" t="n">
        <v>45909</v>
      </c>
      <c r="Q491" s="188" t="n">
        <v>0.860868055555556</v>
      </c>
    </row>
    <row r="492" customFormat="false" ht="50.25" hidden="false" customHeight="true" outlineLevel="0" collapsed="false">
      <c r="A492" s="181" t="s">
        <v>1346</v>
      </c>
      <c r="B492" s="182" t="n">
        <v>1546</v>
      </c>
      <c r="C492" s="183" t="n">
        <v>37281</v>
      </c>
      <c r="D492" s="181" t="s">
        <v>1190</v>
      </c>
      <c r="E492" s="181" t="s">
        <v>282</v>
      </c>
      <c r="F492" s="181" t="s">
        <v>283</v>
      </c>
      <c r="G492" s="181" t="s">
        <v>237</v>
      </c>
      <c r="H492" s="181" t="s">
        <v>279</v>
      </c>
      <c r="I492" s="181" t="s">
        <v>230</v>
      </c>
      <c r="J492" s="184" t="n">
        <v>38440</v>
      </c>
      <c r="K492" s="184" t="n">
        <v>15080</v>
      </c>
      <c r="L492" s="185" t="n">
        <v>8</v>
      </c>
      <c r="M492" s="173" t="n">
        <v>23360</v>
      </c>
      <c r="N492" s="184" t="n">
        <v>21491.2</v>
      </c>
      <c r="O492" s="184" t="s">
        <v>1347</v>
      </c>
      <c r="P492" s="187" t="n">
        <v>45909</v>
      </c>
      <c r="Q492" s="188" t="n">
        <v>0.864155092592593</v>
      </c>
    </row>
    <row r="493" customFormat="false" ht="50.25" hidden="false" customHeight="true" outlineLevel="0" collapsed="false">
      <c r="A493" s="181" t="s">
        <v>1348</v>
      </c>
      <c r="B493" s="182" t="n">
        <v>1549</v>
      </c>
      <c r="C493" s="183" t="n">
        <v>37290</v>
      </c>
      <c r="D493" s="181" t="s">
        <v>1190</v>
      </c>
      <c r="E493" s="181" t="s">
        <v>272</v>
      </c>
      <c r="F493" s="181" t="s">
        <v>273</v>
      </c>
      <c r="G493" s="181" t="s">
        <v>237</v>
      </c>
      <c r="H493" s="181" t="s">
        <v>279</v>
      </c>
      <c r="I493" s="181" t="s">
        <v>230</v>
      </c>
      <c r="J493" s="184" t="n">
        <v>40000</v>
      </c>
      <c r="K493" s="184" t="n">
        <v>15560</v>
      </c>
      <c r="L493" s="185" t="n">
        <v>7</v>
      </c>
      <c r="M493" s="173" t="n">
        <v>24440</v>
      </c>
      <c r="N493" s="184" t="n">
        <v>22729.2</v>
      </c>
      <c r="O493" s="184" t="s">
        <v>1349</v>
      </c>
      <c r="P493" s="187" t="n">
        <v>45909</v>
      </c>
      <c r="Q493" s="188" t="n">
        <v>0.978425925925926</v>
      </c>
    </row>
    <row r="494" customFormat="false" ht="50.25" hidden="false" customHeight="true" outlineLevel="0" collapsed="false">
      <c r="A494" s="181" t="s">
        <v>1350</v>
      </c>
      <c r="B494" s="182" t="n">
        <v>1556</v>
      </c>
      <c r="C494" s="183" t="n">
        <v>37300</v>
      </c>
      <c r="D494" s="181" t="s">
        <v>1190</v>
      </c>
      <c r="E494" s="181" t="s">
        <v>533</v>
      </c>
      <c r="F494" s="181" t="s">
        <v>534</v>
      </c>
      <c r="G494" s="181" t="s">
        <v>237</v>
      </c>
      <c r="H494" s="181" t="s">
        <v>279</v>
      </c>
      <c r="I494" s="181" t="s">
        <v>230</v>
      </c>
      <c r="J494" s="184" t="n">
        <v>40910</v>
      </c>
      <c r="K494" s="184" t="n">
        <v>14520</v>
      </c>
      <c r="L494" s="185" t="n">
        <v>12</v>
      </c>
      <c r="M494" s="173" t="n">
        <v>26390</v>
      </c>
      <c r="N494" s="184" t="n">
        <v>23223.2</v>
      </c>
      <c r="O494" s="184" t="s">
        <v>1351</v>
      </c>
      <c r="P494" s="187" t="n">
        <v>45912</v>
      </c>
      <c r="Q494" s="188" t="n">
        <v>0.0893287037037037</v>
      </c>
    </row>
    <row r="495" customFormat="false" ht="50.25" hidden="false" customHeight="true" outlineLevel="0" collapsed="false">
      <c r="A495" s="181" t="s">
        <v>1352</v>
      </c>
      <c r="B495" s="182" t="n">
        <v>1558</v>
      </c>
      <c r="C495" s="183" t="n">
        <v>37306</v>
      </c>
      <c r="D495" s="181" t="s">
        <v>1190</v>
      </c>
      <c r="E495" s="181" t="s">
        <v>1289</v>
      </c>
      <c r="F495" s="181" t="s">
        <v>1290</v>
      </c>
      <c r="G495" s="181" t="s">
        <v>237</v>
      </c>
      <c r="H495" s="181" t="s">
        <v>279</v>
      </c>
      <c r="I495" s="181" t="s">
        <v>230</v>
      </c>
      <c r="J495" s="184" t="n">
        <v>40600</v>
      </c>
      <c r="K495" s="184" t="n">
        <v>15710</v>
      </c>
      <c r="L495" s="185" t="n">
        <v>9</v>
      </c>
      <c r="M495" s="173" t="n">
        <v>24890</v>
      </c>
      <c r="N495" s="184" t="n">
        <v>22649.9</v>
      </c>
      <c r="O495" s="184" t="s">
        <v>1353</v>
      </c>
      <c r="P495" s="187" t="n">
        <v>45912</v>
      </c>
      <c r="Q495" s="188" t="n">
        <v>0.243946759259259</v>
      </c>
    </row>
    <row r="496" customFormat="false" ht="50.25" hidden="false" customHeight="true" outlineLevel="0" collapsed="false">
      <c r="A496" s="181" t="s">
        <v>1354</v>
      </c>
      <c r="B496" s="182" t="n">
        <v>1559</v>
      </c>
      <c r="C496" s="183" t="n">
        <v>37304</v>
      </c>
      <c r="D496" s="181" t="s">
        <v>1190</v>
      </c>
      <c r="E496" s="181" t="s">
        <v>901</v>
      </c>
      <c r="F496" s="181" t="s">
        <v>902</v>
      </c>
      <c r="G496" s="181" t="s">
        <v>237</v>
      </c>
      <c r="H496" s="181" t="s">
        <v>279</v>
      </c>
      <c r="I496" s="181" t="s">
        <v>230</v>
      </c>
      <c r="J496" s="184" t="n">
        <v>37430</v>
      </c>
      <c r="K496" s="184" t="n">
        <v>14730</v>
      </c>
      <c r="L496" s="185" t="n">
        <v>9</v>
      </c>
      <c r="M496" s="173" t="n">
        <v>22700</v>
      </c>
      <c r="N496" s="184" t="n">
        <v>20657</v>
      </c>
      <c r="O496" s="184" t="s">
        <v>1355</v>
      </c>
      <c r="P496" s="187" t="n">
        <v>45912</v>
      </c>
      <c r="Q496" s="188" t="n">
        <v>0.276701388888889</v>
      </c>
    </row>
    <row r="497" customFormat="false" ht="35.05" hidden="false" customHeight="false" outlineLevel="0" collapsed="false">
      <c r="A497" s="181" t="s">
        <v>1356</v>
      </c>
      <c r="B497" s="182" t="n">
        <v>1560</v>
      </c>
      <c r="C497" s="183" t="n">
        <v>37302</v>
      </c>
      <c r="D497" s="181" t="s">
        <v>1190</v>
      </c>
      <c r="E497" s="181" t="s">
        <v>1309</v>
      </c>
      <c r="F497" s="181" t="s">
        <v>1310</v>
      </c>
      <c r="G497" s="181" t="s">
        <v>237</v>
      </c>
      <c r="H497" s="181" t="s">
        <v>279</v>
      </c>
      <c r="I497" s="181" t="s">
        <v>230</v>
      </c>
      <c r="J497" s="184" t="n">
        <v>39700</v>
      </c>
      <c r="K497" s="184" t="n">
        <v>15550</v>
      </c>
      <c r="L497" s="185" t="n">
        <v>10</v>
      </c>
      <c r="M497" s="173" t="n">
        <v>24150</v>
      </c>
      <c r="N497" s="184" t="n">
        <v>21735</v>
      </c>
      <c r="O497" s="184" t="s">
        <v>1357</v>
      </c>
      <c r="P497" s="187" t="n">
        <v>45912</v>
      </c>
      <c r="Q497" s="188" t="n">
        <v>0.25974537037037</v>
      </c>
    </row>
    <row r="498" customFormat="false" ht="35.05" hidden="false" customHeight="false" outlineLevel="0" collapsed="false">
      <c r="A498" s="181" t="s">
        <v>1358</v>
      </c>
      <c r="B498" s="182" t="n">
        <v>1561</v>
      </c>
      <c r="C498" s="183" t="n">
        <v>37310</v>
      </c>
      <c r="D498" s="181" t="s">
        <v>1190</v>
      </c>
      <c r="E498" s="181" t="s">
        <v>350</v>
      </c>
      <c r="F498" s="181" t="s">
        <v>351</v>
      </c>
      <c r="G498" s="181" t="s">
        <v>237</v>
      </c>
      <c r="H498" s="181" t="s">
        <v>279</v>
      </c>
      <c r="I498" s="181" t="s">
        <v>230</v>
      </c>
      <c r="J498" s="184" t="n">
        <v>42430</v>
      </c>
      <c r="K498" s="184" t="n">
        <v>14900</v>
      </c>
      <c r="L498" s="185" t="n">
        <v>7</v>
      </c>
      <c r="M498" s="173" t="n">
        <v>27530</v>
      </c>
      <c r="N498" s="184" t="n">
        <v>25602.9</v>
      </c>
      <c r="O498" s="184" t="s">
        <v>1359</v>
      </c>
      <c r="P498" s="187" t="n">
        <v>45912</v>
      </c>
      <c r="Q498" s="188" t="n">
        <v>0.556678240740741</v>
      </c>
    </row>
    <row r="499" customFormat="false" ht="35.05" hidden="false" customHeight="false" outlineLevel="0" collapsed="false">
      <c r="A499" s="181" t="s">
        <v>1360</v>
      </c>
      <c r="B499" s="182" t="n">
        <v>1562</v>
      </c>
      <c r="C499" s="183" t="n">
        <v>37312</v>
      </c>
      <c r="D499" s="181" t="s">
        <v>1190</v>
      </c>
      <c r="E499" s="181" t="s">
        <v>373</v>
      </c>
      <c r="F499" s="181" t="s">
        <v>374</v>
      </c>
      <c r="G499" s="181" t="s">
        <v>237</v>
      </c>
      <c r="H499" s="181" t="s">
        <v>279</v>
      </c>
      <c r="I499" s="181" t="s">
        <v>230</v>
      </c>
      <c r="J499" s="184" t="n">
        <v>38530</v>
      </c>
      <c r="K499" s="184" t="n">
        <v>14170</v>
      </c>
      <c r="L499" s="185" t="n">
        <v>6</v>
      </c>
      <c r="M499" s="173" t="n">
        <v>24360</v>
      </c>
      <c r="N499" s="184" t="n">
        <v>22898.4</v>
      </c>
      <c r="O499" s="184" t="s">
        <v>1361</v>
      </c>
      <c r="P499" s="187" t="n">
        <v>45912</v>
      </c>
      <c r="Q499" s="188" t="n">
        <v>0.57662037037037</v>
      </c>
    </row>
    <row r="500" customFormat="false" ht="35.05" hidden="false" customHeight="false" outlineLevel="0" collapsed="false">
      <c r="A500" s="181" t="s">
        <v>1362</v>
      </c>
      <c r="B500" s="182" t="n">
        <v>1563</v>
      </c>
      <c r="C500" s="183" t="n">
        <v>37308</v>
      </c>
      <c r="D500" s="181" t="s">
        <v>1190</v>
      </c>
      <c r="E500" s="181" t="s">
        <v>377</v>
      </c>
      <c r="F500" s="181" t="s">
        <v>378</v>
      </c>
      <c r="G500" s="181" t="s">
        <v>237</v>
      </c>
      <c r="H500" s="181" t="s">
        <v>279</v>
      </c>
      <c r="I500" s="181" t="s">
        <v>230</v>
      </c>
      <c r="J500" s="184" t="n">
        <v>42220</v>
      </c>
      <c r="K500" s="184" t="n">
        <v>15550</v>
      </c>
      <c r="L500" s="185" t="n">
        <v>8</v>
      </c>
      <c r="M500" s="173" t="n">
        <v>26670</v>
      </c>
      <c r="N500" s="184" t="n">
        <v>24536.4</v>
      </c>
      <c r="O500" s="184" t="s">
        <v>1363</v>
      </c>
      <c r="P500" s="187" t="n">
        <v>45912</v>
      </c>
      <c r="Q500" s="188" t="n">
        <v>0.583206018518519</v>
      </c>
    </row>
    <row r="501" customFormat="false" ht="35.05" hidden="false" customHeight="false" outlineLevel="0" collapsed="false">
      <c r="A501" s="181" t="s">
        <v>1364</v>
      </c>
      <c r="B501" s="182" t="n">
        <v>1564</v>
      </c>
      <c r="C501" s="183" t="n">
        <v>37314</v>
      </c>
      <c r="D501" s="181" t="s">
        <v>1190</v>
      </c>
      <c r="E501" s="181" t="s">
        <v>354</v>
      </c>
      <c r="F501" s="181" t="s">
        <v>355</v>
      </c>
      <c r="G501" s="181" t="s">
        <v>237</v>
      </c>
      <c r="H501" s="181" t="s">
        <v>279</v>
      </c>
      <c r="I501" s="181" t="s">
        <v>230</v>
      </c>
      <c r="J501" s="184" t="n">
        <v>37070</v>
      </c>
      <c r="K501" s="184" t="n">
        <v>14680</v>
      </c>
      <c r="L501" s="185" t="n">
        <v>8</v>
      </c>
      <c r="M501" s="173" t="n">
        <v>22390</v>
      </c>
      <c r="N501" s="184" t="n">
        <v>20598.8</v>
      </c>
      <c r="O501" s="184" t="s">
        <v>1365</v>
      </c>
      <c r="P501" s="187" t="n">
        <v>45912</v>
      </c>
      <c r="Q501" s="188" t="n">
        <v>0.607905092592593</v>
      </c>
    </row>
    <row r="502" customFormat="false" ht="35.05" hidden="false" customHeight="false" outlineLevel="0" collapsed="false">
      <c r="A502" s="181" t="s">
        <v>1366</v>
      </c>
      <c r="B502" s="182" t="n">
        <v>1565</v>
      </c>
      <c r="C502" s="183" t="n">
        <v>37316</v>
      </c>
      <c r="D502" s="181" t="s">
        <v>1190</v>
      </c>
      <c r="E502" s="181" t="s">
        <v>292</v>
      </c>
      <c r="F502" s="181" t="s">
        <v>293</v>
      </c>
      <c r="G502" s="181" t="s">
        <v>237</v>
      </c>
      <c r="H502" s="181" t="s">
        <v>279</v>
      </c>
      <c r="I502" s="181" t="s">
        <v>230</v>
      </c>
      <c r="J502" s="184" t="n">
        <v>36000</v>
      </c>
      <c r="K502" s="184" t="n">
        <v>13860</v>
      </c>
      <c r="L502" s="185" t="n">
        <v>11</v>
      </c>
      <c r="M502" s="173" t="n">
        <v>22140</v>
      </c>
      <c r="N502" s="184" t="n">
        <v>19704.6</v>
      </c>
      <c r="O502" s="184" t="s">
        <v>1367</v>
      </c>
      <c r="P502" s="187" t="n">
        <v>45912</v>
      </c>
      <c r="Q502" s="188" t="n">
        <v>0.620543981481482</v>
      </c>
    </row>
    <row r="503" customFormat="false" ht="35.05" hidden="false" customHeight="false" outlineLevel="0" collapsed="false">
      <c r="A503" s="181" t="s">
        <v>1368</v>
      </c>
      <c r="B503" s="182" t="n">
        <v>1566</v>
      </c>
      <c r="C503" s="183" t="n">
        <v>37320</v>
      </c>
      <c r="D503" s="181" t="s">
        <v>1190</v>
      </c>
      <c r="E503" s="181" t="s">
        <v>266</v>
      </c>
      <c r="F503" s="181" t="s">
        <v>267</v>
      </c>
      <c r="G503" s="181" t="s">
        <v>237</v>
      </c>
      <c r="H503" s="181" t="s">
        <v>279</v>
      </c>
      <c r="I503" s="181" t="s">
        <v>230</v>
      </c>
      <c r="J503" s="184" t="n">
        <v>38520</v>
      </c>
      <c r="K503" s="184" t="n">
        <v>14850</v>
      </c>
      <c r="L503" s="185" t="n">
        <v>7</v>
      </c>
      <c r="M503" s="173" t="n">
        <v>23670</v>
      </c>
      <c r="N503" s="184" t="n">
        <v>22013.1</v>
      </c>
      <c r="O503" s="184" t="s">
        <v>1369</v>
      </c>
      <c r="P503" s="187" t="n">
        <v>45912</v>
      </c>
      <c r="Q503" s="188" t="n">
        <v>0.811875</v>
      </c>
    </row>
    <row r="504" customFormat="false" ht="35.05" hidden="false" customHeight="false" outlineLevel="0" collapsed="false">
      <c r="A504" s="181" t="s">
        <v>1370</v>
      </c>
      <c r="B504" s="182" t="n">
        <v>1567</v>
      </c>
      <c r="C504" s="183" t="n">
        <v>37322</v>
      </c>
      <c r="D504" s="181" t="s">
        <v>1190</v>
      </c>
      <c r="E504" s="181" t="s">
        <v>261</v>
      </c>
      <c r="F504" s="181" t="s">
        <v>262</v>
      </c>
      <c r="G504" s="181" t="s">
        <v>237</v>
      </c>
      <c r="H504" s="181" t="s">
        <v>279</v>
      </c>
      <c r="I504" s="181" t="s">
        <v>230</v>
      </c>
      <c r="J504" s="184" t="n">
        <v>38600</v>
      </c>
      <c r="K504" s="184" t="n">
        <v>15070</v>
      </c>
      <c r="L504" s="185" t="n">
        <v>14</v>
      </c>
      <c r="M504" s="173" t="n">
        <v>23530</v>
      </c>
      <c r="N504" s="184" t="n">
        <v>20235.8</v>
      </c>
      <c r="O504" s="184" t="s">
        <v>1371</v>
      </c>
      <c r="P504" s="187" t="n">
        <v>45912</v>
      </c>
      <c r="Q504" s="188" t="n">
        <v>0.817222222222222</v>
      </c>
    </row>
    <row r="505" customFormat="false" ht="35.05" hidden="false" customHeight="false" outlineLevel="0" collapsed="false">
      <c r="A505" s="181" t="s">
        <v>1372</v>
      </c>
      <c r="B505" s="182" t="n">
        <v>1568</v>
      </c>
      <c r="C505" s="183" t="n">
        <v>37324</v>
      </c>
      <c r="D505" s="181" t="s">
        <v>1190</v>
      </c>
      <c r="E505" s="181" t="s">
        <v>296</v>
      </c>
      <c r="F505" s="181" t="s">
        <v>297</v>
      </c>
      <c r="G505" s="181" t="s">
        <v>237</v>
      </c>
      <c r="H505" s="181" t="s">
        <v>279</v>
      </c>
      <c r="I505" s="181" t="s">
        <v>230</v>
      </c>
      <c r="J505" s="184" t="n">
        <v>39790</v>
      </c>
      <c r="K505" s="184" t="n">
        <v>15420</v>
      </c>
      <c r="L505" s="185" t="n">
        <v>11</v>
      </c>
      <c r="M505" s="173" t="n">
        <v>24370</v>
      </c>
      <c r="N505" s="184" t="n">
        <v>21689.3</v>
      </c>
      <c r="O505" s="184" t="s">
        <v>1373</v>
      </c>
      <c r="P505" s="187" t="n">
        <v>45912</v>
      </c>
      <c r="Q505" s="188" t="n">
        <v>0.894791666666667</v>
      </c>
    </row>
    <row r="506" customFormat="false" ht="35.05" hidden="false" customHeight="false" outlineLevel="0" collapsed="false">
      <c r="A506" s="181" t="s">
        <v>1374</v>
      </c>
      <c r="B506" s="182" t="n">
        <v>1569</v>
      </c>
      <c r="C506" s="183" t="n">
        <v>37346</v>
      </c>
      <c r="D506" s="181" t="s">
        <v>1190</v>
      </c>
      <c r="E506" s="181" t="s">
        <v>1027</v>
      </c>
      <c r="F506" s="181" t="s">
        <v>1028</v>
      </c>
      <c r="G506" s="181" t="s">
        <v>237</v>
      </c>
      <c r="H506" s="181" t="s">
        <v>279</v>
      </c>
      <c r="I506" s="181" t="s">
        <v>230</v>
      </c>
      <c r="J506" s="184" t="n">
        <v>38410</v>
      </c>
      <c r="K506" s="184" t="n">
        <v>14950</v>
      </c>
      <c r="L506" s="185" t="n">
        <v>5</v>
      </c>
      <c r="M506" s="173" t="n">
        <v>23460</v>
      </c>
      <c r="N506" s="184" t="n">
        <v>22287</v>
      </c>
      <c r="O506" s="184" t="s">
        <v>1375</v>
      </c>
      <c r="P506" s="187" t="n">
        <v>45912</v>
      </c>
      <c r="Q506" s="188" t="n">
        <v>0.955208333333333</v>
      </c>
    </row>
    <row r="507" customFormat="false" ht="35.05" hidden="false" customHeight="false" outlineLevel="0" collapsed="false">
      <c r="A507" s="181" t="s">
        <v>1376</v>
      </c>
      <c r="B507" s="182" t="n">
        <v>1570</v>
      </c>
      <c r="C507" s="183" t="n">
        <v>37344</v>
      </c>
      <c r="D507" s="181" t="s">
        <v>1190</v>
      </c>
      <c r="E507" s="181" t="s">
        <v>1019</v>
      </c>
      <c r="F507" s="181" t="s">
        <v>1020</v>
      </c>
      <c r="G507" s="181" t="s">
        <v>237</v>
      </c>
      <c r="H507" s="181" t="s">
        <v>279</v>
      </c>
      <c r="I507" s="181" t="s">
        <v>230</v>
      </c>
      <c r="J507" s="184" t="n">
        <v>41800</v>
      </c>
      <c r="K507" s="184" t="n">
        <v>16740</v>
      </c>
      <c r="L507" s="185" t="n">
        <v>9</v>
      </c>
      <c r="M507" s="173" t="n">
        <v>25060</v>
      </c>
      <c r="N507" s="184" t="n">
        <v>22804.6</v>
      </c>
      <c r="O507" s="184" t="s">
        <v>1377</v>
      </c>
      <c r="P507" s="187" t="n">
        <v>45912</v>
      </c>
      <c r="Q507" s="188" t="n">
        <v>0.926469907407407</v>
      </c>
    </row>
    <row r="508" customFormat="false" ht="35.05" hidden="false" customHeight="false" outlineLevel="0" collapsed="false">
      <c r="A508" s="181" t="s">
        <v>1378</v>
      </c>
      <c r="B508" s="182" t="n">
        <v>1571</v>
      </c>
      <c r="C508" s="183" t="n">
        <v>37348</v>
      </c>
      <c r="D508" s="181" t="s">
        <v>1190</v>
      </c>
      <c r="E508" s="181" t="s">
        <v>1023</v>
      </c>
      <c r="F508" s="181" t="s">
        <v>1024</v>
      </c>
      <c r="G508" s="181" t="s">
        <v>237</v>
      </c>
      <c r="H508" s="181" t="s">
        <v>279</v>
      </c>
      <c r="I508" s="181" t="s">
        <v>230</v>
      </c>
      <c r="J508" s="184" t="n">
        <v>36940</v>
      </c>
      <c r="K508" s="184" t="n">
        <v>14740</v>
      </c>
      <c r="L508" s="185" t="n">
        <v>13</v>
      </c>
      <c r="M508" s="173" t="n">
        <v>22200</v>
      </c>
      <c r="N508" s="184" t="n">
        <v>19314</v>
      </c>
      <c r="O508" s="184" t="s">
        <v>1379</v>
      </c>
      <c r="P508" s="187" t="n">
        <v>45912</v>
      </c>
      <c r="Q508" s="188" t="n">
        <v>0.983518518518519</v>
      </c>
    </row>
    <row r="509" customFormat="false" ht="35.05" hidden="false" customHeight="false" outlineLevel="0" collapsed="false">
      <c r="A509" s="181" t="s">
        <v>1380</v>
      </c>
      <c r="B509" s="182" t="n">
        <v>1572</v>
      </c>
      <c r="C509" s="183" t="n">
        <v>37318</v>
      </c>
      <c r="D509" s="181" t="s">
        <v>1190</v>
      </c>
      <c r="E509" s="181" t="s">
        <v>409</v>
      </c>
      <c r="F509" s="181" t="s">
        <v>410</v>
      </c>
      <c r="G509" s="181" t="s">
        <v>237</v>
      </c>
      <c r="H509" s="181" t="s">
        <v>279</v>
      </c>
      <c r="I509" s="181" t="s">
        <v>230</v>
      </c>
      <c r="J509" s="184" t="n">
        <v>54940</v>
      </c>
      <c r="K509" s="184" t="n">
        <v>24080</v>
      </c>
      <c r="L509" s="185" t="n">
        <v>18</v>
      </c>
      <c r="M509" s="173" t="n">
        <v>30860</v>
      </c>
      <c r="N509" s="184" t="n">
        <v>25305.2</v>
      </c>
      <c r="O509" s="184" t="s">
        <v>1381</v>
      </c>
      <c r="P509" s="187" t="n">
        <v>45912</v>
      </c>
      <c r="Q509" s="188" t="n">
        <v>0.353472222222222</v>
      </c>
    </row>
    <row r="510" customFormat="false" ht="35.05" hidden="false" customHeight="false" outlineLevel="0" collapsed="false">
      <c r="A510" s="181" t="s">
        <v>1382</v>
      </c>
      <c r="B510" s="182" t="n">
        <v>1576</v>
      </c>
      <c r="C510" s="183" t="n">
        <v>37326</v>
      </c>
      <c r="D510" s="181" t="s">
        <v>1190</v>
      </c>
      <c r="E510" s="181" t="s">
        <v>413</v>
      </c>
      <c r="F510" s="181" t="s">
        <v>414</v>
      </c>
      <c r="G510" s="181" t="s">
        <v>231</v>
      </c>
      <c r="H510" s="181" t="s">
        <v>279</v>
      </c>
      <c r="I510" s="181" t="s">
        <v>230</v>
      </c>
      <c r="J510" s="184" t="n">
        <v>44390</v>
      </c>
      <c r="K510" s="184" t="n">
        <v>15590</v>
      </c>
      <c r="L510" s="185" t="n">
        <v>11</v>
      </c>
      <c r="M510" s="173" t="n">
        <v>28800</v>
      </c>
      <c r="N510" s="184" t="n">
        <v>25632</v>
      </c>
      <c r="O510" s="184" t="s">
        <v>1383</v>
      </c>
      <c r="P510" s="187" t="n">
        <v>45912</v>
      </c>
      <c r="Q510" s="188" t="n">
        <v>0.683784722222222</v>
      </c>
    </row>
    <row r="511" customFormat="false" ht="35.05" hidden="false" customHeight="false" outlineLevel="0" collapsed="false">
      <c r="A511" s="181" t="s">
        <v>1384</v>
      </c>
      <c r="B511" s="182" t="n">
        <v>1577</v>
      </c>
      <c r="C511" s="183" t="n">
        <v>37257</v>
      </c>
      <c r="D511" s="181" t="s">
        <v>1190</v>
      </c>
      <c r="E511" s="181" t="s">
        <v>545</v>
      </c>
      <c r="F511" s="181" t="s">
        <v>546</v>
      </c>
      <c r="G511" s="181" t="s">
        <v>231</v>
      </c>
      <c r="H511" s="181" t="s">
        <v>279</v>
      </c>
      <c r="I511" s="181" t="s">
        <v>230</v>
      </c>
      <c r="J511" s="184" t="n">
        <v>42170</v>
      </c>
      <c r="K511" s="184" t="n">
        <v>16050</v>
      </c>
      <c r="L511" s="185" t="n">
        <v>12</v>
      </c>
      <c r="M511" s="173" t="n">
        <v>26120</v>
      </c>
      <c r="N511" s="184" t="n">
        <v>22985.6</v>
      </c>
      <c r="O511" s="184" t="s">
        <v>1385</v>
      </c>
      <c r="P511" s="187" t="n">
        <v>45912</v>
      </c>
      <c r="Q511" s="188" t="n">
        <v>0.721145833333333</v>
      </c>
    </row>
    <row r="512" customFormat="false" ht="35.05" hidden="false" customHeight="false" outlineLevel="0" collapsed="false">
      <c r="A512" s="181" t="s">
        <v>1386</v>
      </c>
      <c r="B512" s="182" t="n">
        <v>1578</v>
      </c>
      <c r="C512" s="183" t="n">
        <v>37330</v>
      </c>
      <c r="D512" s="181" t="s">
        <v>1190</v>
      </c>
      <c r="E512" s="181" t="s">
        <v>336</v>
      </c>
      <c r="F512" s="181" t="s">
        <v>337</v>
      </c>
      <c r="G512" s="181" t="s">
        <v>231</v>
      </c>
      <c r="H512" s="181" t="s">
        <v>279</v>
      </c>
      <c r="I512" s="181" t="s">
        <v>230</v>
      </c>
      <c r="J512" s="184" t="n">
        <v>40000</v>
      </c>
      <c r="K512" s="184" t="n">
        <v>14510</v>
      </c>
      <c r="L512" s="185" t="n">
        <v>14</v>
      </c>
      <c r="M512" s="173" t="n">
        <v>25490</v>
      </c>
      <c r="N512" s="184" t="n">
        <v>21921.4</v>
      </c>
      <c r="O512" s="184" t="s">
        <v>1387</v>
      </c>
      <c r="P512" s="187" t="n">
        <v>45912</v>
      </c>
      <c r="Q512" s="188" t="n">
        <v>0.755810185185185</v>
      </c>
    </row>
    <row r="513" customFormat="false" ht="35.05" hidden="false" customHeight="false" outlineLevel="0" collapsed="false">
      <c r="A513" s="181" t="s">
        <v>1388</v>
      </c>
      <c r="B513" s="182" t="n">
        <v>1579</v>
      </c>
      <c r="C513" s="183" t="n">
        <v>37332</v>
      </c>
      <c r="D513" s="181" t="s">
        <v>1190</v>
      </c>
      <c r="E513" s="181" t="s">
        <v>340</v>
      </c>
      <c r="F513" s="181" t="s">
        <v>341</v>
      </c>
      <c r="G513" s="181" t="s">
        <v>231</v>
      </c>
      <c r="H513" s="181" t="s">
        <v>279</v>
      </c>
      <c r="I513" s="181" t="s">
        <v>230</v>
      </c>
      <c r="J513" s="184" t="n">
        <v>39680</v>
      </c>
      <c r="K513" s="184" t="n">
        <v>14970</v>
      </c>
      <c r="L513" s="185" t="n">
        <v>20</v>
      </c>
      <c r="M513" s="173" t="n">
        <v>24710</v>
      </c>
      <c r="N513" s="184" t="n">
        <v>19768</v>
      </c>
      <c r="O513" s="184" t="s">
        <v>1389</v>
      </c>
      <c r="P513" s="187" t="n">
        <v>45912</v>
      </c>
      <c r="Q513" s="188" t="n">
        <v>0.758530092592593</v>
      </c>
    </row>
    <row r="514" customFormat="false" ht="35.05" hidden="false" customHeight="false" outlineLevel="0" collapsed="false">
      <c r="A514" s="181" t="s">
        <v>1390</v>
      </c>
      <c r="B514" s="182" t="n">
        <v>1580</v>
      </c>
      <c r="C514" s="183" t="n">
        <v>37334</v>
      </c>
      <c r="D514" s="181" t="s">
        <v>1190</v>
      </c>
      <c r="E514" s="181" t="s">
        <v>308</v>
      </c>
      <c r="F514" s="181" t="s">
        <v>309</v>
      </c>
      <c r="G514" s="181" t="s">
        <v>231</v>
      </c>
      <c r="H514" s="181" t="s">
        <v>279</v>
      </c>
      <c r="I514" s="181" t="s">
        <v>230</v>
      </c>
      <c r="J514" s="184" t="n">
        <v>64250</v>
      </c>
      <c r="K514" s="184" t="n">
        <v>23990</v>
      </c>
      <c r="L514" s="185" t="n">
        <v>19</v>
      </c>
      <c r="M514" s="173" t="n">
        <v>40260</v>
      </c>
      <c r="N514" s="184" t="n">
        <v>32610.6</v>
      </c>
      <c r="O514" s="184" t="s">
        <v>1391</v>
      </c>
      <c r="P514" s="187" t="n">
        <v>45912</v>
      </c>
      <c r="Q514" s="188" t="n">
        <v>0.784085648148148</v>
      </c>
    </row>
    <row r="515" customFormat="false" ht="35.05" hidden="false" customHeight="false" outlineLevel="0" collapsed="false">
      <c r="A515" s="181" t="s">
        <v>1392</v>
      </c>
      <c r="B515" s="182" t="n">
        <v>1583</v>
      </c>
      <c r="C515" s="183" t="n">
        <v>37338</v>
      </c>
      <c r="D515" s="181" t="s">
        <v>1190</v>
      </c>
      <c r="E515" s="181" t="s">
        <v>541</v>
      </c>
      <c r="F515" s="181" t="s">
        <v>542</v>
      </c>
      <c r="G515" s="181" t="s">
        <v>231</v>
      </c>
      <c r="H515" s="181" t="s">
        <v>279</v>
      </c>
      <c r="I515" s="181" t="s">
        <v>230</v>
      </c>
      <c r="J515" s="184" t="n">
        <v>37600</v>
      </c>
      <c r="K515" s="184" t="n">
        <v>14890</v>
      </c>
      <c r="L515" s="185" t="n">
        <v>9</v>
      </c>
      <c r="M515" s="173" t="n">
        <v>22710</v>
      </c>
      <c r="N515" s="184" t="n">
        <v>20666.1</v>
      </c>
      <c r="O515" s="184" t="s">
        <v>1393</v>
      </c>
      <c r="P515" s="187" t="n">
        <v>45912</v>
      </c>
      <c r="Q515" s="188" t="n">
        <v>0.82537037037037</v>
      </c>
    </row>
    <row r="516" customFormat="false" ht="35.05" hidden="false" customHeight="false" outlineLevel="0" collapsed="false">
      <c r="A516" s="181" t="s">
        <v>1394</v>
      </c>
      <c r="B516" s="182" t="n">
        <v>1584</v>
      </c>
      <c r="C516" s="183" t="n">
        <v>37336</v>
      </c>
      <c r="D516" s="181" t="s">
        <v>1190</v>
      </c>
      <c r="E516" s="181" t="s">
        <v>549</v>
      </c>
      <c r="F516" s="181" t="s">
        <v>550</v>
      </c>
      <c r="G516" s="181" t="s">
        <v>231</v>
      </c>
      <c r="H516" s="181" t="s">
        <v>279</v>
      </c>
      <c r="I516" s="181" t="s">
        <v>230</v>
      </c>
      <c r="J516" s="184" t="n">
        <v>41560</v>
      </c>
      <c r="K516" s="184" t="n">
        <v>15840</v>
      </c>
      <c r="L516" s="185" t="n">
        <v>8</v>
      </c>
      <c r="M516" s="173" t="n">
        <v>25720</v>
      </c>
      <c r="N516" s="184" t="n">
        <v>23662.4</v>
      </c>
      <c r="O516" s="184" t="s">
        <v>1395</v>
      </c>
      <c r="P516" s="187" t="n">
        <v>45912</v>
      </c>
      <c r="Q516" s="188" t="n">
        <v>0.867025462962963</v>
      </c>
    </row>
    <row r="517" customFormat="false" ht="35.05" hidden="false" customHeight="false" outlineLevel="0" collapsed="false">
      <c r="A517" s="181" t="s">
        <v>1396</v>
      </c>
      <c r="B517" s="182" t="n">
        <v>1585</v>
      </c>
      <c r="C517" s="183" t="n">
        <v>37350</v>
      </c>
      <c r="D517" s="181" t="s">
        <v>1190</v>
      </c>
      <c r="E517" s="181" t="s">
        <v>439</v>
      </c>
      <c r="F517" s="181" t="s">
        <v>440</v>
      </c>
      <c r="G517" s="181" t="s">
        <v>231</v>
      </c>
      <c r="H517" s="181" t="s">
        <v>279</v>
      </c>
      <c r="I517" s="181" t="s">
        <v>230</v>
      </c>
      <c r="J517" s="184" t="n">
        <v>40250</v>
      </c>
      <c r="K517" s="184" t="n">
        <v>16260</v>
      </c>
      <c r="L517" s="185" t="n">
        <v>9</v>
      </c>
      <c r="M517" s="173" t="n">
        <v>23990</v>
      </c>
      <c r="N517" s="184" t="n">
        <v>21830.9</v>
      </c>
      <c r="O517" s="184" t="s">
        <v>1397</v>
      </c>
      <c r="P517" s="187" t="n">
        <v>45912</v>
      </c>
      <c r="Q517" s="188" t="n">
        <v>0.966284722222222</v>
      </c>
    </row>
    <row r="518" customFormat="false" ht="35.05" hidden="false" customHeight="false" outlineLevel="0" collapsed="false">
      <c r="A518" s="181" t="s">
        <v>1398</v>
      </c>
      <c r="B518" s="182" t="n">
        <v>1587</v>
      </c>
      <c r="C518" s="183" t="n">
        <v>37342</v>
      </c>
      <c r="D518" s="181" t="s">
        <v>1190</v>
      </c>
      <c r="E518" s="181" t="s">
        <v>387</v>
      </c>
      <c r="F518" s="181" t="s">
        <v>388</v>
      </c>
      <c r="G518" s="181" t="s">
        <v>231</v>
      </c>
      <c r="H518" s="181" t="s">
        <v>279</v>
      </c>
      <c r="I518" s="181" t="s">
        <v>230</v>
      </c>
      <c r="J518" s="184" t="n">
        <v>40020</v>
      </c>
      <c r="K518" s="184" t="n">
        <v>14930</v>
      </c>
      <c r="L518" s="185" t="n">
        <v>10</v>
      </c>
      <c r="M518" s="173" t="n">
        <v>25090</v>
      </c>
      <c r="N518" s="184" t="n">
        <v>22581</v>
      </c>
      <c r="O518" s="184" t="s">
        <v>1399</v>
      </c>
      <c r="P518" s="187" t="n">
        <v>45913</v>
      </c>
      <c r="Q518" s="188" t="n">
        <v>0.0287152777777778</v>
      </c>
    </row>
    <row r="519" customFormat="false" ht="35.05" hidden="false" customHeight="false" outlineLevel="0" collapsed="false">
      <c r="A519" s="181" t="s">
        <v>1400</v>
      </c>
      <c r="B519" s="182" t="n">
        <v>1588</v>
      </c>
      <c r="C519" s="183" t="n">
        <v>37340</v>
      </c>
      <c r="D519" s="181" t="s">
        <v>1190</v>
      </c>
      <c r="E519" s="181" t="s">
        <v>383</v>
      </c>
      <c r="F519" s="181" t="s">
        <v>384</v>
      </c>
      <c r="G519" s="181" t="s">
        <v>231</v>
      </c>
      <c r="H519" s="181" t="s">
        <v>279</v>
      </c>
      <c r="I519" s="181" t="s">
        <v>230</v>
      </c>
      <c r="J519" s="184" t="n">
        <v>39610</v>
      </c>
      <c r="K519" s="184" t="n">
        <v>14750</v>
      </c>
      <c r="L519" s="185" t="n">
        <v>9</v>
      </c>
      <c r="M519" s="173" t="n">
        <v>24860</v>
      </c>
      <c r="N519" s="184" t="n">
        <v>22622.6</v>
      </c>
      <c r="O519" s="184" t="s">
        <v>1401</v>
      </c>
      <c r="P519" s="187" t="n">
        <v>45913</v>
      </c>
      <c r="Q519" s="188" t="n">
        <v>0.673020833333333</v>
      </c>
    </row>
    <row r="520" customFormat="false" ht="35.05" hidden="false" customHeight="false" outlineLevel="0" collapsed="false">
      <c r="A520" s="181" t="s">
        <v>1402</v>
      </c>
      <c r="B520" s="182" t="n">
        <v>1594</v>
      </c>
      <c r="C520" s="183" t="n">
        <v>37352</v>
      </c>
      <c r="D520" s="181" t="s">
        <v>1190</v>
      </c>
      <c r="E520" s="181" t="s">
        <v>431</v>
      </c>
      <c r="F520" s="181" t="s">
        <v>432</v>
      </c>
      <c r="G520" s="181" t="s">
        <v>231</v>
      </c>
      <c r="H520" s="181" t="s">
        <v>279</v>
      </c>
      <c r="I520" s="181" t="s">
        <v>230</v>
      </c>
      <c r="J520" s="184" t="n">
        <v>39680</v>
      </c>
      <c r="K520" s="184" t="n">
        <v>16390</v>
      </c>
      <c r="L520" s="185" t="n">
        <v>8</v>
      </c>
      <c r="M520" s="173" t="n">
        <v>23290</v>
      </c>
      <c r="N520" s="184" t="n">
        <v>21426.8</v>
      </c>
      <c r="O520" s="184" t="s">
        <v>1403</v>
      </c>
      <c r="P520" s="187" t="n">
        <v>45913</v>
      </c>
      <c r="Q520" s="188" t="n">
        <v>0.676458333333333</v>
      </c>
    </row>
    <row r="521" customFormat="false" ht="35.05" hidden="false" customHeight="false" outlineLevel="0" collapsed="false">
      <c r="A521" s="181" t="s">
        <v>1404</v>
      </c>
      <c r="B521" s="182" t="n">
        <v>1599</v>
      </c>
      <c r="C521" s="183" t="n">
        <v>37359</v>
      </c>
      <c r="D521" s="181" t="s">
        <v>1190</v>
      </c>
      <c r="E521" s="181" t="s">
        <v>529</v>
      </c>
      <c r="F521" s="181" t="s">
        <v>530</v>
      </c>
      <c r="G521" s="181" t="s">
        <v>231</v>
      </c>
      <c r="H521" s="181" t="s">
        <v>279</v>
      </c>
      <c r="I521" s="181" t="s">
        <v>230</v>
      </c>
      <c r="J521" s="184" t="n">
        <v>36500</v>
      </c>
      <c r="K521" s="184" t="n">
        <v>14810</v>
      </c>
      <c r="L521" s="185" t="n">
        <v>14</v>
      </c>
      <c r="M521" s="173" t="n">
        <v>21690</v>
      </c>
      <c r="N521" s="184" t="n">
        <v>18653.4</v>
      </c>
      <c r="O521" s="184" t="s">
        <v>1405</v>
      </c>
      <c r="P521" s="187" t="n">
        <v>45913</v>
      </c>
      <c r="Q521" s="188" t="n">
        <v>0.69619212962963</v>
      </c>
    </row>
    <row r="522" customFormat="false" ht="35.05" hidden="false" customHeight="false" outlineLevel="0" collapsed="false">
      <c r="A522" s="181" t="s">
        <v>1406</v>
      </c>
      <c r="B522" s="182" t="n">
        <v>1600</v>
      </c>
      <c r="C522" s="183" t="n">
        <v>37361</v>
      </c>
      <c r="D522" s="181" t="s">
        <v>1190</v>
      </c>
      <c r="E522" s="181" t="s">
        <v>391</v>
      </c>
      <c r="F522" s="181" t="s">
        <v>392</v>
      </c>
      <c r="G522" s="181" t="s">
        <v>231</v>
      </c>
      <c r="H522" s="181" t="s">
        <v>279</v>
      </c>
      <c r="I522" s="181" t="s">
        <v>230</v>
      </c>
      <c r="J522" s="184" t="n">
        <v>36620</v>
      </c>
      <c r="K522" s="184" t="n">
        <v>14440</v>
      </c>
      <c r="L522" s="185" t="n">
        <v>18</v>
      </c>
      <c r="M522" s="173" t="n">
        <v>22180</v>
      </c>
      <c r="N522" s="184" t="n">
        <v>18187.6</v>
      </c>
      <c r="O522" s="184" t="s">
        <v>1407</v>
      </c>
      <c r="P522" s="187" t="n">
        <v>45913</v>
      </c>
      <c r="Q522" s="188" t="n">
        <v>0.722905092592593</v>
      </c>
    </row>
    <row r="523" customFormat="false" ht="35.05" hidden="false" customHeight="false" outlineLevel="0" collapsed="false">
      <c r="A523" s="181" t="s">
        <v>1408</v>
      </c>
      <c r="B523" s="182" t="n">
        <v>1603</v>
      </c>
      <c r="C523" s="183" t="n">
        <v>37365</v>
      </c>
      <c r="D523" s="181" t="s">
        <v>1190</v>
      </c>
      <c r="E523" s="181" t="s">
        <v>576</v>
      </c>
      <c r="F523" s="181" t="s">
        <v>577</v>
      </c>
      <c r="G523" s="181" t="s">
        <v>231</v>
      </c>
      <c r="H523" s="181" t="s">
        <v>279</v>
      </c>
      <c r="I523" s="181" t="s">
        <v>230</v>
      </c>
      <c r="J523" s="184" t="n">
        <v>37810</v>
      </c>
      <c r="K523" s="184" t="n">
        <v>14430</v>
      </c>
      <c r="L523" s="185" t="n">
        <v>10</v>
      </c>
      <c r="M523" s="173" t="n">
        <v>23380</v>
      </c>
      <c r="N523" s="184" t="n">
        <v>21042</v>
      </c>
      <c r="O523" s="184" t="s">
        <v>1409</v>
      </c>
      <c r="P523" s="187" t="n">
        <v>45913</v>
      </c>
      <c r="Q523" s="188" t="n">
        <v>0.82474537037037</v>
      </c>
    </row>
    <row r="524" customFormat="false" ht="35.05" hidden="false" customHeight="false" outlineLevel="0" collapsed="false">
      <c r="A524" s="181" t="s">
        <v>1410</v>
      </c>
      <c r="B524" s="182" t="n">
        <v>1604</v>
      </c>
      <c r="C524" s="183" t="n">
        <v>37363</v>
      </c>
      <c r="D524" s="181" t="s">
        <v>1190</v>
      </c>
      <c r="E524" s="181" t="s">
        <v>282</v>
      </c>
      <c r="F524" s="181" t="s">
        <v>283</v>
      </c>
      <c r="G524" s="181" t="s">
        <v>231</v>
      </c>
      <c r="H524" s="181" t="s">
        <v>279</v>
      </c>
      <c r="I524" s="181" t="s">
        <v>230</v>
      </c>
      <c r="J524" s="184" t="n">
        <v>40390</v>
      </c>
      <c r="K524" s="184" t="n">
        <v>15010</v>
      </c>
      <c r="L524" s="185" t="n">
        <v>19</v>
      </c>
      <c r="M524" s="173" t="n">
        <v>25380</v>
      </c>
      <c r="N524" s="184" t="n">
        <v>20557.8</v>
      </c>
      <c r="O524" s="184" t="s">
        <v>1411</v>
      </c>
      <c r="P524" s="187" t="n">
        <v>45913</v>
      </c>
      <c r="Q524" s="188" t="n">
        <v>0.904467592592593</v>
      </c>
    </row>
    <row r="525" customFormat="false" ht="35.05" hidden="false" customHeight="false" outlineLevel="0" collapsed="false">
      <c r="A525" s="181" t="s">
        <v>1412</v>
      </c>
      <c r="B525" s="182" t="n">
        <v>1606</v>
      </c>
      <c r="C525" s="183" t="n">
        <v>37367</v>
      </c>
      <c r="D525" s="181" t="s">
        <v>1190</v>
      </c>
      <c r="E525" s="181" t="s">
        <v>272</v>
      </c>
      <c r="F525" s="181" t="s">
        <v>273</v>
      </c>
      <c r="G525" s="181" t="s">
        <v>231</v>
      </c>
      <c r="H525" s="181" t="s">
        <v>279</v>
      </c>
      <c r="I525" s="181" t="s">
        <v>230</v>
      </c>
      <c r="J525" s="184" t="n">
        <v>37980</v>
      </c>
      <c r="K525" s="184" t="n">
        <v>15520</v>
      </c>
      <c r="L525" s="185" t="n">
        <v>19</v>
      </c>
      <c r="M525" s="173" t="n">
        <v>22460</v>
      </c>
      <c r="N525" s="184" t="n">
        <v>18192.6</v>
      </c>
      <c r="O525" s="184" t="s">
        <v>1413</v>
      </c>
      <c r="P525" s="187" t="n">
        <v>45913</v>
      </c>
      <c r="Q525" s="188" t="n">
        <v>0.909178240740741</v>
      </c>
    </row>
    <row r="526" customFormat="false" ht="35.05" hidden="false" customHeight="false" outlineLevel="0" collapsed="false">
      <c r="A526" s="181" t="s">
        <v>1414</v>
      </c>
      <c r="B526" s="182" t="n">
        <v>1607</v>
      </c>
      <c r="C526" s="183" t="n">
        <v>37369</v>
      </c>
      <c r="D526" s="181" t="s">
        <v>1190</v>
      </c>
      <c r="E526" s="181" t="s">
        <v>300</v>
      </c>
      <c r="F526" s="181" t="s">
        <v>301</v>
      </c>
      <c r="G526" s="181" t="s">
        <v>231</v>
      </c>
      <c r="H526" s="181" t="s">
        <v>279</v>
      </c>
      <c r="I526" s="181" t="s">
        <v>230</v>
      </c>
      <c r="J526" s="184" t="n">
        <v>53780</v>
      </c>
      <c r="K526" s="184" t="n">
        <v>20920</v>
      </c>
      <c r="L526" s="185" t="n">
        <v>15</v>
      </c>
      <c r="M526" s="173" t="n">
        <v>32860</v>
      </c>
      <c r="N526" s="184" t="n">
        <v>27931</v>
      </c>
      <c r="O526" s="184" t="s">
        <v>1415</v>
      </c>
      <c r="P526" s="187" t="n">
        <v>45913</v>
      </c>
      <c r="Q526" s="188" t="n">
        <v>0.559537037037037</v>
      </c>
    </row>
    <row r="527" customFormat="false" ht="35.05" hidden="false" customHeight="false" outlineLevel="0" collapsed="false">
      <c r="A527" s="181" t="s">
        <v>1416</v>
      </c>
      <c r="B527" s="182" t="n">
        <v>1608</v>
      </c>
      <c r="C527" s="183" t="n">
        <v>37380</v>
      </c>
      <c r="D527" s="181" t="s">
        <v>1190</v>
      </c>
      <c r="E527" s="181" t="s">
        <v>435</v>
      </c>
      <c r="F527" s="181" t="s">
        <v>436</v>
      </c>
      <c r="G527" s="181" t="s">
        <v>231</v>
      </c>
      <c r="H527" s="181" t="s">
        <v>279</v>
      </c>
      <c r="I527" s="181" t="s">
        <v>230</v>
      </c>
      <c r="J527" s="184" t="n">
        <v>39180</v>
      </c>
      <c r="K527" s="184" t="n">
        <v>16310</v>
      </c>
      <c r="L527" s="185" t="n">
        <v>16</v>
      </c>
      <c r="M527" s="173" t="n">
        <v>22870</v>
      </c>
      <c r="N527" s="184" t="n">
        <v>19210.8</v>
      </c>
      <c r="O527" s="184" t="s">
        <v>1417</v>
      </c>
      <c r="P527" s="187" t="n">
        <v>45913</v>
      </c>
      <c r="Q527" s="188" t="n">
        <v>0.572395833333333</v>
      </c>
    </row>
    <row r="528" customFormat="false" ht="35.05" hidden="false" customHeight="false" outlineLevel="0" collapsed="false">
      <c r="A528" s="181" t="s">
        <v>1418</v>
      </c>
      <c r="B528" s="182" t="n">
        <v>1609</v>
      </c>
      <c r="C528" s="183" t="n">
        <v>37372</v>
      </c>
      <c r="D528" s="181" t="s">
        <v>1190</v>
      </c>
      <c r="E528" s="181" t="s">
        <v>359</v>
      </c>
      <c r="F528" s="181" t="s">
        <v>360</v>
      </c>
      <c r="G528" s="181" t="s">
        <v>231</v>
      </c>
      <c r="H528" s="181" t="s">
        <v>279</v>
      </c>
      <c r="I528" s="181" t="s">
        <v>230</v>
      </c>
      <c r="J528" s="184" t="n">
        <v>36680</v>
      </c>
      <c r="K528" s="184" t="n">
        <v>14790</v>
      </c>
      <c r="L528" s="185" t="n">
        <v>19</v>
      </c>
      <c r="M528" s="173" t="n">
        <v>21890</v>
      </c>
      <c r="N528" s="184" t="n">
        <v>17730.9</v>
      </c>
      <c r="O528" s="184" t="s">
        <v>1419</v>
      </c>
      <c r="P528" s="187" t="n">
        <v>45913</v>
      </c>
      <c r="Q528" s="188" t="n">
        <v>0.578761574074074</v>
      </c>
    </row>
    <row r="529" customFormat="false" ht="35.05" hidden="false" customHeight="false" outlineLevel="0" collapsed="false">
      <c r="A529" s="181" t="s">
        <v>1420</v>
      </c>
      <c r="B529" s="182" t="n">
        <v>1612</v>
      </c>
      <c r="C529" s="183" t="n">
        <v>37382</v>
      </c>
      <c r="D529" s="181" t="s">
        <v>1190</v>
      </c>
      <c r="E529" s="181" t="s">
        <v>332</v>
      </c>
      <c r="F529" s="181" t="s">
        <v>333</v>
      </c>
      <c r="G529" s="181" t="s">
        <v>231</v>
      </c>
      <c r="H529" s="181" t="s">
        <v>279</v>
      </c>
      <c r="I529" s="181" t="s">
        <v>230</v>
      </c>
      <c r="J529" s="184" t="n">
        <v>38450</v>
      </c>
      <c r="K529" s="184" t="n">
        <v>14680</v>
      </c>
      <c r="L529" s="185" t="n">
        <v>11</v>
      </c>
      <c r="M529" s="173" t="n">
        <v>23770</v>
      </c>
      <c r="N529" s="184" t="n">
        <v>21155.3</v>
      </c>
      <c r="O529" s="184" t="s">
        <v>1421</v>
      </c>
      <c r="P529" s="187" t="n">
        <v>45913</v>
      </c>
      <c r="Q529" s="188" t="n">
        <v>0.681481481481482</v>
      </c>
    </row>
    <row r="530" customFormat="false" ht="35.05" hidden="false" customHeight="false" outlineLevel="0" collapsed="false">
      <c r="A530" s="181" t="s">
        <v>1422</v>
      </c>
      <c r="B530" s="182" t="n">
        <v>1613</v>
      </c>
      <c r="C530" s="183" t="n">
        <v>37384</v>
      </c>
      <c r="D530" s="181" t="s">
        <v>1190</v>
      </c>
      <c r="E530" s="181" t="s">
        <v>288</v>
      </c>
      <c r="F530" s="181" t="s">
        <v>289</v>
      </c>
      <c r="G530" s="181" t="s">
        <v>231</v>
      </c>
      <c r="H530" s="181" t="s">
        <v>279</v>
      </c>
      <c r="I530" s="181" t="s">
        <v>230</v>
      </c>
      <c r="J530" s="184" t="n">
        <v>38130</v>
      </c>
      <c r="K530" s="184" t="n">
        <v>14540</v>
      </c>
      <c r="L530" s="185" t="n">
        <v>11</v>
      </c>
      <c r="M530" s="173" t="n">
        <v>23590</v>
      </c>
      <c r="N530" s="184" t="n">
        <v>20995.1</v>
      </c>
      <c r="O530" s="184" t="s">
        <v>1423</v>
      </c>
      <c r="P530" s="187" t="n">
        <v>45913</v>
      </c>
      <c r="Q530" s="188" t="n">
        <v>0.684837962962963</v>
      </c>
    </row>
    <row r="531" customFormat="false" ht="35.05" hidden="false" customHeight="false" outlineLevel="0" collapsed="false">
      <c r="A531" s="181" t="s">
        <v>1424</v>
      </c>
      <c r="B531" s="182" t="n">
        <v>1614</v>
      </c>
      <c r="C531" s="183" t="n">
        <v>37421</v>
      </c>
      <c r="D531" s="181" t="s">
        <v>1190</v>
      </c>
      <c r="E531" s="181" t="s">
        <v>533</v>
      </c>
      <c r="F531" s="181" t="s">
        <v>534</v>
      </c>
      <c r="G531" s="181" t="s">
        <v>231</v>
      </c>
      <c r="H531" s="181" t="s">
        <v>279</v>
      </c>
      <c r="I531" s="181" t="s">
        <v>230</v>
      </c>
      <c r="J531" s="184" t="n">
        <v>39780</v>
      </c>
      <c r="K531" s="184" t="n">
        <v>14510</v>
      </c>
      <c r="L531" s="185" t="n">
        <v>21</v>
      </c>
      <c r="M531" s="173" t="n">
        <v>25270</v>
      </c>
      <c r="N531" s="184" t="n">
        <v>19963.3</v>
      </c>
      <c r="O531" s="184" t="s">
        <v>1425</v>
      </c>
      <c r="P531" s="187" t="n">
        <v>45913</v>
      </c>
      <c r="Q531" s="188" t="n">
        <v>0.742847222222222</v>
      </c>
    </row>
    <row r="532" customFormat="false" ht="35.05" hidden="false" customHeight="false" outlineLevel="0" collapsed="false">
      <c r="A532" s="181" t="s">
        <v>1426</v>
      </c>
      <c r="B532" s="182" t="n">
        <v>1615</v>
      </c>
      <c r="C532" s="183" t="n">
        <v>37399</v>
      </c>
      <c r="D532" s="181" t="s">
        <v>1190</v>
      </c>
      <c r="E532" s="181" t="s">
        <v>537</v>
      </c>
      <c r="F532" s="181" t="s">
        <v>538</v>
      </c>
      <c r="G532" s="181" t="s">
        <v>231</v>
      </c>
      <c r="H532" s="181" t="s">
        <v>279</v>
      </c>
      <c r="I532" s="181" t="s">
        <v>230</v>
      </c>
      <c r="J532" s="184" t="n">
        <v>35640</v>
      </c>
      <c r="K532" s="184" t="n">
        <v>13890</v>
      </c>
      <c r="L532" s="185" t="n">
        <v>21</v>
      </c>
      <c r="M532" s="173" t="n">
        <v>21750</v>
      </c>
      <c r="N532" s="184" t="n">
        <v>17182.5</v>
      </c>
      <c r="O532" s="184" t="s">
        <v>1427</v>
      </c>
      <c r="P532" s="187" t="n">
        <v>45913</v>
      </c>
      <c r="Q532" s="188" t="n">
        <v>0.777337962962963</v>
      </c>
    </row>
    <row r="533" customFormat="false" ht="35.05" hidden="false" customHeight="false" outlineLevel="0" collapsed="false">
      <c r="A533" s="181" t="s">
        <v>1428</v>
      </c>
      <c r="B533" s="182" t="n">
        <v>1616</v>
      </c>
      <c r="C533" s="183" t="n">
        <v>37432</v>
      </c>
      <c r="D533" s="181" t="s">
        <v>1190</v>
      </c>
      <c r="E533" s="181" t="s">
        <v>346</v>
      </c>
      <c r="F533" s="181" t="s">
        <v>347</v>
      </c>
      <c r="G533" s="181" t="s">
        <v>234</v>
      </c>
      <c r="H533" s="181" t="s">
        <v>279</v>
      </c>
      <c r="I533" s="181" t="s">
        <v>230</v>
      </c>
      <c r="J533" s="184" t="n">
        <v>38410</v>
      </c>
      <c r="K533" s="184" t="n">
        <v>15020</v>
      </c>
      <c r="L533" s="185" t="n">
        <v>6</v>
      </c>
      <c r="M533" s="173" t="n">
        <v>23390</v>
      </c>
      <c r="N533" s="184" t="n">
        <v>21986.6</v>
      </c>
      <c r="O533" s="184" t="s">
        <v>1429</v>
      </c>
      <c r="P533" s="187" t="n">
        <v>45913</v>
      </c>
      <c r="Q533" s="188" t="n">
        <v>0.90744212962963</v>
      </c>
    </row>
    <row r="534" customFormat="false" ht="35.05" hidden="false" customHeight="false" outlineLevel="0" collapsed="false">
      <c r="A534" s="181" t="s">
        <v>1430</v>
      </c>
      <c r="B534" s="182" t="n">
        <v>1618</v>
      </c>
      <c r="C534" s="183" t="n">
        <v>37423</v>
      </c>
      <c r="D534" s="181" t="s">
        <v>1190</v>
      </c>
      <c r="E534" s="181" t="s">
        <v>277</v>
      </c>
      <c r="F534" s="181" t="s">
        <v>278</v>
      </c>
      <c r="G534" s="181" t="s">
        <v>231</v>
      </c>
      <c r="H534" s="181" t="s">
        <v>279</v>
      </c>
      <c r="I534" s="181" t="s">
        <v>230</v>
      </c>
      <c r="J534" s="184" t="n">
        <v>42270</v>
      </c>
      <c r="K534" s="184" t="n">
        <v>15050</v>
      </c>
      <c r="L534" s="185" t="n">
        <v>14</v>
      </c>
      <c r="M534" s="173" t="n">
        <v>27220</v>
      </c>
      <c r="N534" s="184" t="n">
        <v>23409.2</v>
      </c>
      <c r="O534" s="184" t="s">
        <v>1431</v>
      </c>
      <c r="P534" s="187" t="n">
        <v>45913</v>
      </c>
      <c r="Q534" s="188" t="n">
        <v>0.875555555555556</v>
      </c>
    </row>
    <row r="535" customFormat="false" ht="35.05" hidden="false" customHeight="false" outlineLevel="0" collapsed="false">
      <c r="A535" s="181" t="s">
        <v>1432</v>
      </c>
      <c r="B535" s="182" t="n">
        <v>1619</v>
      </c>
      <c r="C535" s="183" t="n">
        <v>37428</v>
      </c>
      <c r="D535" s="181" t="s">
        <v>1190</v>
      </c>
      <c r="E535" s="181" t="s">
        <v>901</v>
      </c>
      <c r="F535" s="181" t="s">
        <v>902</v>
      </c>
      <c r="G535" s="181" t="s">
        <v>231</v>
      </c>
      <c r="H535" s="181" t="s">
        <v>279</v>
      </c>
      <c r="I535" s="181" t="s">
        <v>230</v>
      </c>
      <c r="J535" s="184" t="n">
        <v>38540</v>
      </c>
      <c r="K535" s="184" t="n">
        <v>14780</v>
      </c>
      <c r="L535" s="185" t="n">
        <v>14</v>
      </c>
      <c r="M535" s="173" t="n">
        <v>23760</v>
      </c>
      <c r="N535" s="184" t="n">
        <v>20433.6</v>
      </c>
      <c r="O535" s="184" t="s">
        <v>1433</v>
      </c>
      <c r="P535" s="187" t="n">
        <v>45914</v>
      </c>
      <c r="Q535" s="188" t="n">
        <v>0.478171296296296</v>
      </c>
    </row>
    <row r="536" customFormat="false" ht="35.05" hidden="false" customHeight="false" outlineLevel="0" collapsed="false">
      <c r="A536" s="181" t="s">
        <v>1434</v>
      </c>
      <c r="B536" s="182" t="n">
        <v>1620</v>
      </c>
      <c r="C536" s="183" t="n">
        <v>37426</v>
      </c>
      <c r="D536" s="181" t="s">
        <v>1190</v>
      </c>
      <c r="E536" s="181" t="s">
        <v>1289</v>
      </c>
      <c r="F536" s="181" t="s">
        <v>1290</v>
      </c>
      <c r="G536" s="181" t="s">
        <v>231</v>
      </c>
      <c r="H536" s="181" t="s">
        <v>279</v>
      </c>
      <c r="I536" s="181" t="s">
        <v>230</v>
      </c>
      <c r="J536" s="184" t="n">
        <v>40350</v>
      </c>
      <c r="K536" s="184" t="n">
        <v>15760</v>
      </c>
      <c r="L536" s="185" t="n">
        <v>17</v>
      </c>
      <c r="M536" s="173" t="n">
        <v>24590</v>
      </c>
      <c r="N536" s="184" t="n">
        <v>20409.7</v>
      </c>
      <c r="O536" s="184" t="s">
        <v>1435</v>
      </c>
      <c r="P536" s="187" t="n">
        <v>45914</v>
      </c>
      <c r="Q536" s="188" t="n">
        <v>0.579305555555556</v>
      </c>
    </row>
    <row r="537" customFormat="false" ht="35.05" hidden="false" customHeight="false" outlineLevel="0" collapsed="false">
      <c r="A537" s="181" t="s">
        <v>1436</v>
      </c>
      <c r="B537" s="182" t="n">
        <v>1621</v>
      </c>
      <c r="C537" s="183" t="n">
        <v>37430</v>
      </c>
      <c r="D537" s="181" t="s">
        <v>1190</v>
      </c>
      <c r="E537" s="181" t="s">
        <v>1309</v>
      </c>
      <c r="F537" s="181" t="s">
        <v>1310</v>
      </c>
      <c r="G537" s="181" t="s">
        <v>231</v>
      </c>
      <c r="H537" s="181" t="s">
        <v>279</v>
      </c>
      <c r="I537" s="181" t="s">
        <v>230</v>
      </c>
      <c r="J537" s="184" t="n">
        <v>39490</v>
      </c>
      <c r="K537" s="184" t="n">
        <v>15530</v>
      </c>
      <c r="L537" s="185" t="n">
        <v>14</v>
      </c>
      <c r="M537" s="173" t="n">
        <v>23960</v>
      </c>
      <c r="N537" s="184" t="n">
        <v>20605.6</v>
      </c>
      <c r="O537" s="184" t="s">
        <v>1437</v>
      </c>
      <c r="P537" s="187" t="n">
        <v>45914</v>
      </c>
      <c r="Q537" s="188" t="n">
        <v>0.588113425925926</v>
      </c>
    </row>
    <row r="538" customFormat="false" ht="35.05" hidden="false" customHeight="false" outlineLevel="0" collapsed="false">
      <c r="A538" s="181" t="s">
        <v>1438</v>
      </c>
      <c r="B538" s="182" t="n">
        <v>1622</v>
      </c>
      <c r="C538" s="183" t="n">
        <v>37458</v>
      </c>
      <c r="D538" s="181" t="s">
        <v>1190</v>
      </c>
      <c r="E538" s="181" t="s">
        <v>261</v>
      </c>
      <c r="F538" s="181" t="s">
        <v>262</v>
      </c>
      <c r="G538" s="181" t="s">
        <v>233</v>
      </c>
      <c r="H538" s="181" t="s">
        <v>279</v>
      </c>
      <c r="I538" s="181" t="s">
        <v>230</v>
      </c>
      <c r="J538" s="184" t="n">
        <v>38350</v>
      </c>
      <c r="K538" s="184" t="n">
        <v>15060</v>
      </c>
      <c r="L538" s="185" t="n">
        <v>16</v>
      </c>
      <c r="M538" s="173" t="n">
        <v>23290</v>
      </c>
      <c r="N538" s="184" t="n">
        <v>19563.6</v>
      </c>
      <c r="O538" s="184" t="s">
        <v>1439</v>
      </c>
      <c r="P538" s="187" t="n">
        <v>45914</v>
      </c>
      <c r="Q538" s="188" t="n">
        <v>0.196053240740741</v>
      </c>
    </row>
    <row r="539" customFormat="false" ht="35.05" hidden="false" customHeight="false" outlineLevel="0" collapsed="false">
      <c r="A539" s="181" t="s">
        <v>1440</v>
      </c>
      <c r="B539" s="182" t="n">
        <v>1625</v>
      </c>
      <c r="C539" s="183" t="n">
        <v>37434</v>
      </c>
      <c r="D539" s="181" t="s">
        <v>1190</v>
      </c>
      <c r="E539" s="181" t="s">
        <v>582</v>
      </c>
      <c r="F539" s="181" t="s">
        <v>583</v>
      </c>
      <c r="G539" s="181" t="s">
        <v>231</v>
      </c>
      <c r="H539" s="181" t="s">
        <v>279</v>
      </c>
      <c r="I539" s="181" t="s">
        <v>230</v>
      </c>
      <c r="J539" s="184" t="n">
        <v>38860</v>
      </c>
      <c r="K539" s="184" t="n">
        <v>14700</v>
      </c>
      <c r="L539" s="185" t="n">
        <v>11</v>
      </c>
      <c r="M539" s="173" t="n">
        <v>24160</v>
      </c>
      <c r="N539" s="184" t="n">
        <v>21502.4</v>
      </c>
      <c r="O539" s="184" t="s">
        <v>1441</v>
      </c>
      <c r="P539" s="187" t="n">
        <v>45914</v>
      </c>
      <c r="Q539" s="188" t="n">
        <v>0.629756944444444</v>
      </c>
    </row>
    <row r="540" customFormat="false" ht="35.05" hidden="false" customHeight="false" outlineLevel="0" collapsed="false">
      <c r="A540" s="181" t="s">
        <v>1442</v>
      </c>
      <c r="B540" s="182" t="n">
        <v>1626</v>
      </c>
      <c r="C540" s="183" t="n">
        <v>37456</v>
      </c>
      <c r="D540" s="181" t="s">
        <v>1190</v>
      </c>
      <c r="E540" s="181" t="s">
        <v>373</v>
      </c>
      <c r="F540" s="181" t="s">
        <v>374</v>
      </c>
      <c r="G540" s="181" t="s">
        <v>231</v>
      </c>
      <c r="H540" s="181" t="s">
        <v>279</v>
      </c>
      <c r="I540" s="181" t="s">
        <v>230</v>
      </c>
      <c r="J540" s="184" t="n">
        <v>39090</v>
      </c>
      <c r="K540" s="184" t="n">
        <v>14170</v>
      </c>
      <c r="L540" s="185" t="n">
        <v>17</v>
      </c>
      <c r="M540" s="173" t="n">
        <v>24920</v>
      </c>
      <c r="N540" s="184" t="n">
        <v>20683.6</v>
      </c>
      <c r="O540" s="184" t="s">
        <v>1443</v>
      </c>
      <c r="P540" s="187" t="n">
        <v>45914</v>
      </c>
      <c r="Q540" s="188" t="n">
        <v>0.749421296296296</v>
      </c>
    </row>
    <row r="541" customFormat="false" ht="35.05" hidden="false" customHeight="false" outlineLevel="0" collapsed="false">
      <c r="A541" s="181" t="s">
        <v>1444</v>
      </c>
      <c r="B541" s="182" t="n">
        <v>1627</v>
      </c>
      <c r="C541" s="183" t="n">
        <v>37436</v>
      </c>
      <c r="D541" s="181" t="s">
        <v>1190</v>
      </c>
      <c r="E541" s="181" t="s">
        <v>399</v>
      </c>
      <c r="F541" s="181" t="s">
        <v>400</v>
      </c>
      <c r="G541" s="181" t="s">
        <v>231</v>
      </c>
      <c r="H541" s="181" t="s">
        <v>279</v>
      </c>
      <c r="I541" s="181" t="s">
        <v>230</v>
      </c>
      <c r="J541" s="184" t="n">
        <v>44800</v>
      </c>
      <c r="K541" s="184" t="n">
        <v>19280</v>
      </c>
      <c r="L541" s="185" t="n">
        <v>15</v>
      </c>
      <c r="M541" s="173" t="n">
        <v>25520</v>
      </c>
      <c r="N541" s="184" t="n">
        <v>21692</v>
      </c>
      <c r="O541" s="184" t="s">
        <v>1445</v>
      </c>
      <c r="P541" s="187" t="n">
        <v>45914</v>
      </c>
      <c r="Q541" s="188" t="n">
        <v>0.760300925925926</v>
      </c>
    </row>
    <row r="542" customFormat="false" ht="35.05" hidden="false" customHeight="false" outlineLevel="0" collapsed="false">
      <c r="A542" s="181" t="s">
        <v>1446</v>
      </c>
      <c r="B542" s="182" t="n">
        <v>1629</v>
      </c>
      <c r="C542" s="183" t="n">
        <v>37460</v>
      </c>
      <c r="D542" s="181" t="s">
        <v>1190</v>
      </c>
      <c r="E542" s="181" t="s">
        <v>1019</v>
      </c>
      <c r="F542" s="181" t="s">
        <v>1020</v>
      </c>
      <c r="G542" s="181" t="s">
        <v>231</v>
      </c>
      <c r="H542" s="181" t="s">
        <v>279</v>
      </c>
      <c r="I542" s="181" t="s">
        <v>230</v>
      </c>
      <c r="J542" s="184" t="n">
        <v>42170</v>
      </c>
      <c r="K542" s="184" t="n">
        <v>17020</v>
      </c>
      <c r="L542" s="185" t="n">
        <v>11</v>
      </c>
      <c r="M542" s="173" t="n">
        <v>25150</v>
      </c>
      <c r="N542" s="184" t="n">
        <v>22383.5</v>
      </c>
      <c r="O542" s="184" t="s">
        <v>1447</v>
      </c>
      <c r="P542" s="187" t="n">
        <v>45914</v>
      </c>
      <c r="Q542" s="188" t="n">
        <v>0.791157407407407</v>
      </c>
    </row>
    <row r="543" customFormat="false" ht="35.05" hidden="false" customHeight="false" outlineLevel="0" collapsed="false">
      <c r="A543" s="181" t="s">
        <v>1448</v>
      </c>
      <c r="B543" s="182" t="n">
        <v>1630</v>
      </c>
      <c r="C543" s="183" t="n">
        <v>37462</v>
      </c>
      <c r="D543" s="181" t="s">
        <v>1190</v>
      </c>
      <c r="E543" s="181" t="s">
        <v>1023</v>
      </c>
      <c r="F543" s="181" t="s">
        <v>1024</v>
      </c>
      <c r="G543" s="181" t="s">
        <v>231</v>
      </c>
      <c r="H543" s="181" t="s">
        <v>279</v>
      </c>
      <c r="I543" s="181" t="s">
        <v>230</v>
      </c>
      <c r="J543" s="184" t="n">
        <v>36030</v>
      </c>
      <c r="K543" s="184" t="n">
        <v>14810</v>
      </c>
      <c r="L543" s="185" t="n">
        <v>14</v>
      </c>
      <c r="M543" s="173" t="n">
        <v>21220</v>
      </c>
      <c r="N543" s="184" t="n">
        <v>18249.2</v>
      </c>
      <c r="O543" s="184" t="s">
        <v>1449</v>
      </c>
      <c r="P543" s="187" t="n">
        <v>45914</v>
      </c>
      <c r="Q543" s="188" t="n">
        <v>0.878622685185185</v>
      </c>
    </row>
    <row r="544" customFormat="false" ht="35.05" hidden="false" customHeight="false" outlineLevel="0" collapsed="false">
      <c r="A544" s="181" t="s">
        <v>1450</v>
      </c>
      <c r="B544" s="182" t="n">
        <v>1631</v>
      </c>
      <c r="C544" s="183" t="n">
        <v>37464</v>
      </c>
      <c r="D544" s="181" t="s">
        <v>1190</v>
      </c>
      <c r="E544" s="181" t="s">
        <v>1027</v>
      </c>
      <c r="F544" s="181" t="s">
        <v>1028</v>
      </c>
      <c r="G544" s="181" t="s">
        <v>231</v>
      </c>
      <c r="H544" s="181" t="s">
        <v>279</v>
      </c>
      <c r="I544" s="181" t="s">
        <v>230</v>
      </c>
      <c r="J544" s="184" t="n">
        <v>38530</v>
      </c>
      <c r="K544" s="184" t="n">
        <v>14920</v>
      </c>
      <c r="L544" s="185" t="n">
        <v>20</v>
      </c>
      <c r="M544" s="173" t="n">
        <v>23610</v>
      </c>
      <c r="N544" s="184" t="n">
        <v>18888</v>
      </c>
      <c r="O544" s="184" t="s">
        <v>1451</v>
      </c>
      <c r="P544" s="187" t="n">
        <v>45914</v>
      </c>
      <c r="Q544" s="188" t="n">
        <v>0.884861111111111</v>
      </c>
    </row>
    <row r="545" customFormat="false" ht="35.05" hidden="false" customHeight="false" outlineLevel="0" collapsed="false">
      <c r="A545" s="181" t="s">
        <v>1452</v>
      </c>
      <c r="B545" s="182" t="n">
        <v>1632</v>
      </c>
      <c r="C545" s="183" t="n">
        <v>37486</v>
      </c>
      <c r="D545" s="181" t="s">
        <v>1190</v>
      </c>
      <c r="E545" s="181" t="s">
        <v>413</v>
      </c>
      <c r="F545" s="181" t="s">
        <v>414</v>
      </c>
      <c r="G545" s="181" t="s">
        <v>231</v>
      </c>
      <c r="H545" s="181" t="s">
        <v>279</v>
      </c>
      <c r="I545" s="181" t="s">
        <v>230</v>
      </c>
      <c r="J545" s="184" t="n">
        <v>43180</v>
      </c>
      <c r="K545" s="184" t="n">
        <v>15610</v>
      </c>
      <c r="L545" s="185" t="n">
        <v>12</v>
      </c>
      <c r="M545" s="173" t="n">
        <v>27570</v>
      </c>
      <c r="N545" s="184" t="n">
        <v>24261.6</v>
      </c>
      <c r="O545" s="184" t="s">
        <v>1453</v>
      </c>
      <c r="P545" s="187" t="n">
        <v>45914</v>
      </c>
      <c r="Q545" s="188" t="n">
        <v>0.279351851851852</v>
      </c>
    </row>
    <row r="546" customFormat="false" ht="35.05" hidden="false" customHeight="false" outlineLevel="0" collapsed="false">
      <c r="A546" s="181" t="s">
        <v>1454</v>
      </c>
      <c r="B546" s="182" t="n">
        <v>1633</v>
      </c>
      <c r="C546" s="183" t="n">
        <v>37480</v>
      </c>
      <c r="D546" s="181" t="s">
        <v>1190</v>
      </c>
      <c r="E546" s="181" t="s">
        <v>409</v>
      </c>
      <c r="F546" s="181" t="s">
        <v>410</v>
      </c>
      <c r="G546" s="181" t="s">
        <v>231</v>
      </c>
      <c r="H546" s="181" t="s">
        <v>279</v>
      </c>
      <c r="I546" s="181" t="s">
        <v>230</v>
      </c>
      <c r="J546" s="184" t="n">
        <v>50980</v>
      </c>
      <c r="K546" s="184" t="n">
        <v>24120</v>
      </c>
      <c r="L546" s="185" t="n">
        <v>12</v>
      </c>
      <c r="M546" s="173" t="n">
        <v>26860</v>
      </c>
      <c r="N546" s="184" t="n">
        <v>23636.8</v>
      </c>
      <c r="O546" s="184" t="s">
        <v>1455</v>
      </c>
      <c r="P546" s="187" t="n">
        <v>45914</v>
      </c>
      <c r="Q546" s="188" t="n">
        <v>0.314270833333333</v>
      </c>
    </row>
    <row r="547" customFormat="false" ht="35.05" hidden="false" customHeight="false" outlineLevel="0" collapsed="false">
      <c r="A547" s="181" t="s">
        <v>1456</v>
      </c>
      <c r="B547" s="182" t="n">
        <v>1637</v>
      </c>
      <c r="C547" s="183" t="n">
        <v>37494</v>
      </c>
      <c r="D547" s="181" t="s">
        <v>1190</v>
      </c>
      <c r="E547" s="181" t="s">
        <v>296</v>
      </c>
      <c r="F547" s="181" t="s">
        <v>297</v>
      </c>
      <c r="G547" s="181" t="s">
        <v>231</v>
      </c>
      <c r="H547" s="181" t="s">
        <v>279</v>
      </c>
      <c r="I547" s="181" t="s">
        <v>230</v>
      </c>
      <c r="J547" s="184" t="n">
        <v>39910</v>
      </c>
      <c r="K547" s="184" t="n">
        <v>15310</v>
      </c>
      <c r="L547" s="185" t="n">
        <v>12</v>
      </c>
      <c r="M547" s="173" t="n">
        <v>24600</v>
      </c>
      <c r="N547" s="184" t="n">
        <v>21648</v>
      </c>
      <c r="O547" s="184" t="s">
        <v>1457</v>
      </c>
      <c r="P547" s="187" t="n">
        <v>45914</v>
      </c>
      <c r="Q547" s="188" t="n">
        <v>0.418645833333333</v>
      </c>
    </row>
    <row r="548" customFormat="false" ht="35.05" hidden="false" customHeight="false" outlineLevel="0" collapsed="false">
      <c r="A548" s="181" t="s">
        <v>1458</v>
      </c>
      <c r="B548" s="182" t="n">
        <v>1639</v>
      </c>
      <c r="C548" s="183" t="n">
        <v>37492</v>
      </c>
      <c r="D548" s="181" t="s">
        <v>1190</v>
      </c>
      <c r="E548" s="181" t="s">
        <v>266</v>
      </c>
      <c r="F548" s="181" t="s">
        <v>267</v>
      </c>
      <c r="G548" s="181" t="s">
        <v>231</v>
      </c>
      <c r="H548" s="181" t="s">
        <v>279</v>
      </c>
      <c r="I548" s="181" t="s">
        <v>230</v>
      </c>
      <c r="J548" s="184" t="n">
        <v>39710</v>
      </c>
      <c r="K548" s="184" t="n">
        <v>14840</v>
      </c>
      <c r="L548" s="185" t="n">
        <v>13</v>
      </c>
      <c r="M548" s="173" t="n">
        <v>24870</v>
      </c>
      <c r="N548" s="184" t="n">
        <v>21636.9</v>
      </c>
      <c r="O548" s="184" t="s">
        <v>1459</v>
      </c>
      <c r="P548" s="187" t="n">
        <v>45914</v>
      </c>
      <c r="Q548" s="188" t="n">
        <v>0.422893518518519</v>
      </c>
    </row>
    <row r="549" customFormat="false" ht="35.05" hidden="false" customHeight="false" outlineLevel="0" collapsed="false">
      <c r="A549" s="181" t="s">
        <v>1460</v>
      </c>
      <c r="B549" s="182" t="n">
        <v>1640</v>
      </c>
      <c r="C549" s="183" t="n">
        <v>37499</v>
      </c>
      <c r="D549" s="181" t="s">
        <v>1190</v>
      </c>
      <c r="E549" s="181" t="s">
        <v>350</v>
      </c>
      <c r="F549" s="181" t="s">
        <v>351</v>
      </c>
      <c r="G549" s="181" t="s">
        <v>231</v>
      </c>
      <c r="H549" s="181" t="s">
        <v>279</v>
      </c>
      <c r="I549" s="181" t="s">
        <v>230</v>
      </c>
      <c r="J549" s="184" t="n">
        <v>42770</v>
      </c>
      <c r="K549" s="184" t="n">
        <v>14850</v>
      </c>
      <c r="L549" s="185" t="n">
        <v>7</v>
      </c>
      <c r="M549" s="173" t="n">
        <v>27920</v>
      </c>
      <c r="N549" s="184" t="n">
        <v>25965.6</v>
      </c>
      <c r="O549" s="184" t="s">
        <v>1461</v>
      </c>
      <c r="P549" s="187" t="n">
        <v>45914</v>
      </c>
      <c r="Q549" s="188" t="n">
        <v>0.513125</v>
      </c>
    </row>
    <row r="550" customFormat="false" ht="35.05" hidden="false" customHeight="false" outlineLevel="0" collapsed="false">
      <c r="A550" s="181" t="s">
        <v>1462</v>
      </c>
      <c r="B550" s="182" t="n">
        <v>1641</v>
      </c>
      <c r="C550" s="183" t="n">
        <v>37501</v>
      </c>
      <c r="D550" s="181" t="s">
        <v>1190</v>
      </c>
      <c r="E550" s="181" t="s">
        <v>336</v>
      </c>
      <c r="F550" s="181" t="s">
        <v>337</v>
      </c>
      <c r="G550" s="181" t="s">
        <v>231</v>
      </c>
      <c r="H550" s="181" t="s">
        <v>279</v>
      </c>
      <c r="I550" s="181" t="s">
        <v>230</v>
      </c>
      <c r="J550" s="184" t="n">
        <v>39480</v>
      </c>
      <c r="K550" s="184" t="n">
        <v>14490</v>
      </c>
      <c r="L550" s="185" t="n">
        <v>8</v>
      </c>
      <c r="M550" s="173" t="n">
        <v>24990</v>
      </c>
      <c r="N550" s="184" t="n">
        <v>22990.8</v>
      </c>
      <c r="O550" s="184" t="s">
        <v>1463</v>
      </c>
      <c r="P550" s="187" t="n">
        <v>45914</v>
      </c>
      <c r="Q550" s="188" t="n">
        <v>0.53431712962963</v>
      </c>
    </row>
    <row r="551" customFormat="false" ht="35.05" hidden="false" customHeight="false" outlineLevel="0" collapsed="false">
      <c r="A551" s="181" t="s">
        <v>1464</v>
      </c>
      <c r="B551" s="182" t="n">
        <v>1642</v>
      </c>
      <c r="C551" s="183" t="n">
        <v>37503</v>
      </c>
      <c r="D551" s="181" t="s">
        <v>1190</v>
      </c>
      <c r="E551" s="181" t="s">
        <v>340</v>
      </c>
      <c r="F551" s="181" t="s">
        <v>341</v>
      </c>
      <c r="G551" s="181" t="s">
        <v>231</v>
      </c>
      <c r="H551" s="181" t="s">
        <v>279</v>
      </c>
      <c r="I551" s="181" t="s">
        <v>230</v>
      </c>
      <c r="J551" s="184" t="n">
        <v>39400</v>
      </c>
      <c r="K551" s="184" t="n">
        <v>15090</v>
      </c>
      <c r="L551" s="185" t="n">
        <v>7</v>
      </c>
      <c r="M551" s="173" t="n">
        <v>24310</v>
      </c>
      <c r="N551" s="184" t="n">
        <v>22608.3</v>
      </c>
      <c r="O551" s="184" t="s">
        <v>1465</v>
      </c>
      <c r="P551" s="187" t="n">
        <v>45914</v>
      </c>
      <c r="Q551" s="188" t="n">
        <v>0.537141203703704</v>
      </c>
    </row>
    <row r="552" customFormat="false" ht="35.05" hidden="false" customHeight="false" outlineLevel="0" collapsed="false">
      <c r="A552" s="181" t="s">
        <v>1466</v>
      </c>
      <c r="B552" s="182" t="n">
        <v>1644</v>
      </c>
      <c r="C552" s="183" t="n">
        <v>37521</v>
      </c>
      <c r="D552" s="181" t="s">
        <v>1190</v>
      </c>
      <c r="E552" s="181" t="s">
        <v>354</v>
      </c>
      <c r="F552" s="181" t="s">
        <v>355</v>
      </c>
      <c r="G552" s="181" t="s">
        <v>231</v>
      </c>
      <c r="H552" s="181" t="s">
        <v>279</v>
      </c>
      <c r="I552" s="181" t="s">
        <v>230</v>
      </c>
      <c r="J552" s="184" t="n">
        <v>37600</v>
      </c>
      <c r="K552" s="184" t="n">
        <v>14670</v>
      </c>
      <c r="L552" s="185" t="n">
        <v>11</v>
      </c>
      <c r="M552" s="173" t="n">
        <v>22930</v>
      </c>
      <c r="N552" s="184" t="n">
        <v>20407.7</v>
      </c>
      <c r="O552" s="184" t="s">
        <v>1467</v>
      </c>
      <c r="P552" s="187" t="n">
        <v>45914</v>
      </c>
      <c r="Q552" s="188" t="n">
        <v>0.663576388888889</v>
      </c>
    </row>
    <row r="553" customFormat="false" ht="35.05" hidden="false" customHeight="false" outlineLevel="0" collapsed="false">
      <c r="A553" s="181" t="s">
        <v>1468</v>
      </c>
      <c r="B553" s="182" t="n">
        <v>1646</v>
      </c>
      <c r="C553" s="183" t="n">
        <v>37517</v>
      </c>
      <c r="D553" s="181" t="s">
        <v>1190</v>
      </c>
      <c r="E553" s="181" t="s">
        <v>304</v>
      </c>
      <c r="F553" s="181" t="s">
        <v>305</v>
      </c>
      <c r="G553" s="181" t="s">
        <v>231</v>
      </c>
      <c r="H553" s="181" t="s">
        <v>279</v>
      </c>
      <c r="I553" s="181" t="s">
        <v>230</v>
      </c>
      <c r="J553" s="184" t="n">
        <v>40200</v>
      </c>
      <c r="K553" s="184" t="n">
        <v>14990</v>
      </c>
      <c r="L553" s="185" t="n">
        <v>12</v>
      </c>
      <c r="M553" s="173" t="n">
        <v>25210</v>
      </c>
      <c r="N553" s="184" t="n">
        <v>22184.8</v>
      </c>
      <c r="O553" s="184" t="s">
        <v>1469</v>
      </c>
      <c r="P553" s="187" t="n">
        <v>45914</v>
      </c>
      <c r="Q553" s="188" t="n">
        <v>0.798078703703704</v>
      </c>
    </row>
    <row r="554" customFormat="false" ht="35.05" hidden="false" customHeight="false" outlineLevel="0" collapsed="false">
      <c r="A554" s="181" t="s">
        <v>1470</v>
      </c>
      <c r="B554" s="182" t="n">
        <v>1647</v>
      </c>
      <c r="C554" s="183" t="n">
        <v>37515</v>
      </c>
      <c r="D554" s="181" t="s">
        <v>1190</v>
      </c>
      <c r="E554" s="181" t="s">
        <v>308</v>
      </c>
      <c r="F554" s="181" t="s">
        <v>309</v>
      </c>
      <c r="G554" s="181" t="s">
        <v>231</v>
      </c>
      <c r="H554" s="181" t="s">
        <v>279</v>
      </c>
      <c r="I554" s="181" t="s">
        <v>230</v>
      </c>
      <c r="J554" s="184" t="n">
        <v>57060</v>
      </c>
      <c r="K554" s="184" t="n">
        <v>24040</v>
      </c>
      <c r="L554" s="185" t="n">
        <v>11</v>
      </c>
      <c r="M554" s="173" t="n">
        <v>33020</v>
      </c>
      <c r="N554" s="184" t="n">
        <v>29387.8</v>
      </c>
      <c r="O554" s="184" t="s">
        <v>1471</v>
      </c>
      <c r="P554" s="187" t="n">
        <v>45914</v>
      </c>
      <c r="Q554" s="188" t="n">
        <v>0.802048611111111</v>
      </c>
    </row>
    <row r="555" customFormat="false" ht="35.05" hidden="false" customHeight="false" outlineLevel="0" collapsed="false">
      <c r="A555" s="181" t="s">
        <v>1472</v>
      </c>
      <c r="B555" s="182" t="n">
        <v>1649</v>
      </c>
      <c r="C555" s="183" t="n">
        <v>37523</v>
      </c>
      <c r="D555" s="181" t="s">
        <v>1190</v>
      </c>
      <c r="E555" s="181" t="s">
        <v>541</v>
      </c>
      <c r="F555" s="181" t="s">
        <v>542</v>
      </c>
      <c r="G555" s="181" t="s">
        <v>231</v>
      </c>
      <c r="H555" s="181" t="s">
        <v>279</v>
      </c>
      <c r="I555" s="181" t="s">
        <v>230</v>
      </c>
      <c r="J555" s="184" t="n">
        <v>38800</v>
      </c>
      <c r="K555" s="184" t="n">
        <v>14880</v>
      </c>
      <c r="L555" s="185" t="n">
        <v>19</v>
      </c>
      <c r="M555" s="173" t="n">
        <v>23920</v>
      </c>
      <c r="N555" s="184" t="n">
        <v>19375.2</v>
      </c>
      <c r="O555" s="184" t="s">
        <v>1473</v>
      </c>
      <c r="P555" s="187" t="n">
        <v>45914</v>
      </c>
      <c r="Q555" s="188" t="n">
        <v>0.948136574074074</v>
      </c>
    </row>
    <row r="556" customFormat="false" ht="35.05" hidden="false" customHeight="false" outlineLevel="0" collapsed="false">
      <c r="A556" s="181" t="s">
        <v>1474</v>
      </c>
      <c r="B556" s="182" t="n">
        <v>1651</v>
      </c>
      <c r="C556" s="183" t="n">
        <v>37527</v>
      </c>
      <c r="D556" s="181" t="s">
        <v>1190</v>
      </c>
      <c r="E556" s="181" t="s">
        <v>439</v>
      </c>
      <c r="F556" s="181" t="s">
        <v>440</v>
      </c>
      <c r="G556" s="181" t="s">
        <v>231</v>
      </c>
      <c r="H556" s="181" t="s">
        <v>279</v>
      </c>
      <c r="I556" s="181" t="s">
        <v>230</v>
      </c>
      <c r="J556" s="184" t="n">
        <v>40980</v>
      </c>
      <c r="K556" s="184" t="n">
        <v>16250</v>
      </c>
      <c r="L556" s="185" t="n">
        <v>10</v>
      </c>
      <c r="M556" s="173" t="n">
        <v>24730</v>
      </c>
      <c r="N556" s="184" t="n">
        <v>22257</v>
      </c>
      <c r="O556" s="184" t="s">
        <v>1475</v>
      </c>
      <c r="P556" s="187" t="n">
        <v>45914</v>
      </c>
      <c r="Q556" s="188" t="n">
        <v>0.986724537037037</v>
      </c>
    </row>
    <row r="557" customFormat="false" ht="35.05" hidden="false" customHeight="false" outlineLevel="0" collapsed="false">
      <c r="A557" s="181" t="s">
        <v>1476</v>
      </c>
      <c r="B557" s="182" t="n">
        <v>1652</v>
      </c>
      <c r="C557" s="183" t="n">
        <v>37529</v>
      </c>
      <c r="D557" s="181" t="s">
        <v>1190</v>
      </c>
      <c r="E557" s="181" t="s">
        <v>545</v>
      </c>
      <c r="F557" s="181" t="s">
        <v>546</v>
      </c>
      <c r="G557" s="181" t="s">
        <v>231</v>
      </c>
      <c r="H557" s="181" t="s">
        <v>279</v>
      </c>
      <c r="I557" s="181" t="s">
        <v>230</v>
      </c>
      <c r="J557" s="184" t="n">
        <v>41580</v>
      </c>
      <c r="K557" s="184" t="n">
        <v>16050</v>
      </c>
      <c r="L557" s="185" t="n">
        <v>20</v>
      </c>
      <c r="M557" s="173" t="n">
        <v>25530</v>
      </c>
      <c r="N557" s="184" t="n">
        <v>20424</v>
      </c>
      <c r="O557" s="184" t="s">
        <v>1477</v>
      </c>
      <c r="P557" s="187" t="n">
        <v>45915</v>
      </c>
      <c r="Q557" s="188" t="n">
        <v>0.794537037037037</v>
      </c>
    </row>
    <row r="558" customFormat="false" ht="35.05" hidden="false" customHeight="false" outlineLevel="0" collapsed="false">
      <c r="A558" s="181" t="s">
        <v>1478</v>
      </c>
      <c r="B558" s="182" t="n">
        <v>1653</v>
      </c>
      <c r="C558" s="183" t="n">
        <v>37533</v>
      </c>
      <c r="D558" s="181" t="s">
        <v>1190</v>
      </c>
      <c r="E558" s="181" t="s">
        <v>377</v>
      </c>
      <c r="F558" s="181" t="s">
        <v>378</v>
      </c>
      <c r="G558" s="181" t="s">
        <v>231</v>
      </c>
      <c r="H558" s="181" t="s">
        <v>279</v>
      </c>
      <c r="I558" s="181" t="s">
        <v>230</v>
      </c>
      <c r="J558" s="184" t="n">
        <v>42660</v>
      </c>
      <c r="K558" s="184" t="n">
        <v>15580</v>
      </c>
      <c r="L558" s="185" t="n">
        <v>8</v>
      </c>
      <c r="M558" s="173" t="n">
        <v>27080</v>
      </c>
      <c r="N558" s="184" t="n">
        <v>24913.6</v>
      </c>
      <c r="O558" s="184" t="s">
        <v>1479</v>
      </c>
      <c r="P558" s="187" t="n">
        <v>45915</v>
      </c>
      <c r="Q558" s="188" t="n">
        <v>0.854178240740741</v>
      </c>
    </row>
    <row r="559" customFormat="false" ht="35.05" hidden="false" customHeight="false" outlineLevel="0" collapsed="false">
      <c r="A559" s="181" t="s">
        <v>1480</v>
      </c>
      <c r="B559" s="182" t="n">
        <v>1654</v>
      </c>
      <c r="C559" s="183" t="n">
        <v>37535</v>
      </c>
      <c r="D559" s="181" t="s">
        <v>1190</v>
      </c>
      <c r="E559" s="181" t="s">
        <v>387</v>
      </c>
      <c r="F559" s="181" t="s">
        <v>388</v>
      </c>
      <c r="G559" s="181" t="s">
        <v>233</v>
      </c>
      <c r="H559" s="181" t="s">
        <v>279</v>
      </c>
      <c r="I559" s="181" t="s">
        <v>230</v>
      </c>
      <c r="J559" s="184" t="n">
        <v>39050</v>
      </c>
      <c r="K559" s="184" t="n">
        <v>14870</v>
      </c>
      <c r="L559" s="185" t="n">
        <v>16</v>
      </c>
      <c r="M559" s="173" t="n">
        <v>24180</v>
      </c>
      <c r="N559" s="184" t="n">
        <v>20311.2</v>
      </c>
      <c r="O559" s="184" t="s">
        <v>1481</v>
      </c>
      <c r="P559" s="187" t="n">
        <v>45915</v>
      </c>
      <c r="Q559" s="188" t="n">
        <v>0.947060185185185</v>
      </c>
    </row>
    <row r="560" customFormat="false" ht="35.05" hidden="false" customHeight="false" outlineLevel="0" collapsed="false">
      <c r="A560" s="181" t="s">
        <v>1482</v>
      </c>
      <c r="B560" s="182" t="n">
        <v>1655</v>
      </c>
      <c r="C560" s="183" t="n">
        <v>37537</v>
      </c>
      <c r="D560" s="181" t="s">
        <v>1190</v>
      </c>
      <c r="E560" s="181" t="s">
        <v>431</v>
      </c>
      <c r="F560" s="181" t="s">
        <v>432</v>
      </c>
      <c r="G560" s="181" t="s">
        <v>233</v>
      </c>
      <c r="H560" s="181" t="s">
        <v>279</v>
      </c>
      <c r="I560" s="181" t="s">
        <v>230</v>
      </c>
      <c r="J560" s="184" t="n">
        <v>39470</v>
      </c>
      <c r="K560" s="184" t="n">
        <v>16330</v>
      </c>
      <c r="L560" s="185" t="n">
        <v>14</v>
      </c>
      <c r="M560" s="173" t="n">
        <v>23140</v>
      </c>
      <c r="N560" s="184" t="n">
        <v>19900.4</v>
      </c>
      <c r="O560" s="184" t="s">
        <v>1483</v>
      </c>
      <c r="P560" s="187" t="n">
        <v>45915</v>
      </c>
      <c r="Q560" s="188" t="n">
        <v>0.222372685185185</v>
      </c>
    </row>
    <row r="561" customFormat="false" ht="35.05" hidden="false" customHeight="false" outlineLevel="0" collapsed="false">
      <c r="A561" s="181" t="s">
        <v>1484</v>
      </c>
      <c r="B561" s="182" t="n">
        <v>1656</v>
      </c>
      <c r="C561" s="183" t="n">
        <v>37539</v>
      </c>
      <c r="D561" s="181" t="s">
        <v>1190</v>
      </c>
      <c r="E561" s="181" t="s">
        <v>435</v>
      </c>
      <c r="F561" s="181" t="s">
        <v>436</v>
      </c>
      <c r="G561" s="181" t="s">
        <v>233</v>
      </c>
      <c r="H561" s="181" t="s">
        <v>279</v>
      </c>
      <c r="I561" s="181" t="s">
        <v>230</v>
      </c>
      <c r="J561" s="184" t="n">
        <v>39250</v>
      </c>
      <c r="K561" s="184" t="n">
        <v>16320</v>
      </c>
      <c r="L561" s="185" t="n">
        <v>23</v>
      </c>
      <c r="M561" s="173" t="n">
        <v>22930</v>
      </c>
      <c r="N561" s="184" t="n">
        <v>17656.1</v>
      </c>
      <c r="O561" s="184" t="s">
        <v>1485</v>
      </c>
      <c r="P561" s="187" t="n">
        <v>45915</v>
      </c>
      <c r="Q561" s="188" t="n">
        <v>0.225381944444444</v>
      </c>
    </row>
    <row r="562" customFormat="false" ht="35.05" hidden="false" customHeight="false" outlineLevel="0" collapsed="false">
      <c r="A562" s="181" t="s">
        <v>1486</v>
      </c>
      <c r="B562" s="182" t="n">
        <v>1657</v>
      </c>
      <c r="C562" s="183" t="n">
        <v>37541</v>
      </c>
      <c r="D562" s="181" t="s">
        <v>1190</v>
      </c>
      <c r="E562" s="181" t="s">
        <v>549</v>
      </c>
      <c r="F562" s="181" t="s">
        <v>550</v>
      </c>
      <c r="G562" s="181" t="s">
        <v>233</v>
      </c>
      <c r="H562" s="181" t="s">
        <v>279</v>
      </c>
      <c r="I562" s="181" t="s">
        <v>230</v>
      </c>
      <c r="J562" s="184" t="n">
        <v>42870</v>
      </c>
      <c r="K562" s="184" t="n">
        <v>15830</v>
      </c>
      <c r="L562" s="185" t="n">
        <v>17</v>
      </c>
      <c r="M562" s="173" t="n">
        <v>27040</v>
      </c>
      <c r="N562" s="184" t="n">
        <v>22443.2</v>
      </c>
      <c r="O562" s="184" t="s">
        <v>1487</v>
      </c>
      <c r="P562" s="187" t="n">
        <v>45915</v>
      </c>
      <c r="Q562" s="188" t="n">
        <v>0.24369212962963</v>
      </c>
    </row>
    <row r="563" customFormat="false" ht="35.05" hidden="false" customHeight="false" outlineLevel="0" collapsed="false">
      <c r="A563" s="181" t="s">
        <v>1488</v>
      </c>
      <c r="B563" s="182" t="n">
        <v>1658</v>
      </c>
      <c r="C563" s="183" t="n">
        <v>37543</v>
      </c>
      <c r="D563" s="181" t="s">
        <v>1190</v>
      </c>
      <c r="E563" s="181" t="s">
        <v>576</v>
      </c>
      <c r="F563" s="181" t="s">
        <v>577</v>
      </c>
      <c r="G563" s="181" t="s">
        <v>233</v>
      </c>
      <c r="H563" s="181" t="s">
        <v>279</v>
      </c>
      <c r="I563" s="181" t="s">
        <v>230</v>
      </c>
      <c r="J563" s="184" t="n">
        <v>39170</v>
      </c>
      <c r="K563" s="184" t="n">
        <v>14420</v>
      </c>
      <c r="L563" s="185" t="n">
        <v>5</v>
      </c>
      <c r="M563" s="173" t="n">
        <v>24750</v>
      </c>
      <c r="N563" s="184" t="n">
        <v>23512.5</v>
      </c>
      <c r="O563" s="184" t="s">
        <v>1489</v>
      </c>
      <c r="P563" s="187" t="n">
        <v>45915</v>
      </c>
      <c r="Q563" s="188" t="n">
        <v>0.328414351851852</v>
      </c>
    </row>
    <row r="564" customFormat="false" ht="35.05" hidden="false" customHeight="false" outlineLevel="0" collapsed="false">
      <c r="A564" s="181" t="s">
        <v>1490</v>
      </c>
      <c r="B564" s="182" t="n">
        <v>1660</v>
      </c>
      <c r="C564" s="183" t="n">
        <v>37545</v>
      </c>
      <c r="D564" s="181" t="s">
        <v>1190</v>
      </c>
      <c r="E564" s="181" t="s">
        <v>300</v>
      </c>
      <c r="F564" s="181" t="s">
        <v>301</v>
      </c>
      <c r="G564" s="181" t="s">
        <v>233</v>
      </c>
      <c r="H564" s="181" t="s">
        <v>279</v>
      </c>
      <c r="I564" s="181" t="s">
        <v>230</v>
      </c>
      <c r="J564" s="184" t="n">
        <v>53280</v>
      </c>
      <c r="K564" s="184" t="n">
        <v>20830</v>
      </c>
      <c r="L564" s="185" t="n">
        <v>9</v>
      </c>
      <c r="M564" s="173" t="n">
        <v>32450</v>
      </c>
      <c r="N564" s="184" t="n">
        <v>29529.5</v>
      </c>
      <c r="O564" s="184" t="s">
        <v>1491</v>
      </c>
      <c r="P564" s="187" t="n">
        <v>45915</v>
      </c>
      <c r="Q564" s="188" t="n">
        <v>0.365729166666667</v>
      </c>
    </row>
    <row r="565" customFormat="false" ht="35.05" hidden="false" customHeight="false" outlineLevel="0" collapsed="false">
      <c r="A565" s="181" t="s">
        <v>1492</v>
      </c>
      <c r="B565" s="182" t="n">
        <v>1662</v>
      </c>
      <c r="C565" s="183" t="n">
        <v>37547</v>
      </c>
      <c r="D565" s="181" t="s">
        <v>1190</v>
      </c>
      <c r="E565" s="181" t="s">
        <v>332</v>
      </c>
      <c r="F565" s="181" t="s">
        <v>333</v>
      </c>
      <c r="G565" s="181" t="s">
        <v>233</v>
      </c>
      <c r="H565" s="181" t="s">
        <v>279</v>
      </c>
      <c r="I565" s="181" t="s">
        <v>230</v>
      </c>
      <c r="J565" s="184" t="n">
        <v>38160</v>
      </c>
      <c r="K565" s="184" t="n">
        <v>14690</v>
      </c>
      <c r="L565" s="185" t="n">
        <v>14</v>
      </c>
      <c r="M565" s="173" t="n">
        <v>23470</v>
      </c>
      <c r="N565" s="184" t="n">
        <v>20184.2</v>
      </c>
      <c r="O565" s="184" t="s">
        <v>1493</v>
      </c>
      <c r="P565" s="187" t="n">
        <v>45915</v>
      </c>
      <c r="Q565" s="188" t="n">
        <v>0.42875</v>
      </c>
    </row>
    <row r="566" customFormat="false" ht="35.05" hidden="false" customHeight="false" outlineLevel="0" collapsed="false">
      <c r="A566" s="181" t="s">
        <v>1494</v>
      </c>
      <c r="B566" s="182" t="n">
        <v>1663</v>
      </c>
      <c r="C566" s="183" t="n">
        <v>37549</v>
      </c>
      <c r="D566" s="181" t="s">
        <v>1190</v>
      </c>
      <c r="E566" s="181" t="s">
        <v>288</v>
      </c>
      <c r="F566" s="181" t="s">
        <v>289</v>
      </c>
      <c r="G566" s="181" t="s">
        <v>233</v>
      </c>
      <c r="H566" s="181" t="s">
        <v>279</v>
      </c>
      <c r="I566" s="181" t="s">
        <v>230</v>
      </c>
      <c r="J566" s="184" t="n">
        <v>37000</v>
      </c>
      <c r="K566" s="184" t="n">
        <v>14540</v>
      </c>
      <c r="L566" s="185" t="n">
        <v>19</v>
      </c>
      <c r="M566" s="173" t="n">
        <v>22460</v>
      </c>
      <c r="N566" s="184" t="n">
        <v>18192.6</v>
      </c>
      <c r="O566" s="184" t="s">
        <v>1495</v>
      </c>
      <c r="P566" s="187" t="n">
        <v>45915</v>
      </c>
      <c r="Q566" s="188" t="n">
        <v>0.431458333333333</v>
      </c>
    </row>
    <row r="567" customFormat="false" ht="35.05" hidden="false" customHeight="false" outlineLevel="0" collapsed="false">
      <c r="A567" s="181" t="s">
        <v>1496</v>
      </c>
      <c r="B567" s="182" t="n">
        <v>1666</v>
      </c>
      <c r="C567" s="183" t="n">
        <v>37551</v>
      </c>
      <c r="D567" s="181" t="s">
        <v>1190</v>
      </c>
      <c r="E567" s="181" t="s">
        <v>272</v>
      </c>
      <c r="F567" s="181" t="s">
        <v>273</v>
      </c>
      <c r="G567" s="181" t="s">
        <v>233</v>
      </c>
      <c r="H567" s="181" t="s">
        <v>279</v>
      </c>
      <c r="I567" s="181" t="s">
        <v>230</v>
      </c>
      <c r="J567" s="184" t="n">
        <v>38670</v>
      </c>
      <c r="K567" s="184" t="n">
        <v>15500</v>
      </c>
      <c r="L567" s="185" t="n">
        <v>9</v>
      </c>
      <c r="M567" s="173" t="n">
        <v>23170</v>
      </c>
      <c r="N567" s="184" t="n">
        <v>21084.7</v>
      </c>
      <c r="O567" s="184" t="s">
        <v>1497</v>
      </c>
      <c r="P567" s="187" t="n">
        <v>45915</v>
      </c>
      <c r="Q567" s="188" t="n">
        <v>0.500405092592593</v>
      </c>
    </row>
    <row r="568" customFormat="false" ht="35.05" hidden="false" customHeight="false" outlineLevel="0" collapsed="false">
      <c r="A568" s="181" t="s">
        <v>1498</v>
      </c>
      <c r="B568" s="182" t="n">
        <v>1667</v>
      </c>
      <c r="C568" s="183" t="n">
        <v>37553</v>
      </c>
      <c r="D568" s="181" t="s">
        <v>1190</v>
      </c>
      <c r="E568" s="181" t="s">
        <v>277</v>
      </c>
      <c r="F568" s="181" t="s">
        <v>278</v>
      </c>
      <c r="G568" s="181" t="s">
        <v>233</v>
      </c>
      <c r="H568" s="181" t="s">
        <v>279</v>
      </c>
      <c r="I568" s="181" t="s">
        <v>230</v>
      </c>
      <c r="J568" s="184" t="n">
        <v>41710</v>
      </c>
      <c r="K568" s="184" t="n">
        <v>15130</v>
      </c>
      <c r="L568" s="185" t="n">
        <v>10</v>
      </c>
      <c r="M568" s="173" t="n">
        <v>26580</v>
      </c>
      <c r="N568" s="184" t="n">
        <v>23922</v>
      </c>
      <c r="O568" s="184" t="s">
        <v>1499</v>
      </c>
      <c r="P568" s="187" t="n">
        <v>45915</v>
      </c>
      <c r="Q568" s="188" t="n">
        <v>0.52806712962963</v>
      </c>
    </row>
    <row r="569" customFormat="false" ht="35.05" hidden="false" customHeight="false" outlineLevel="0" collapsed="false">
      <c r="A569" s="181" t="s">
        <v>1500</v>
      </c>
      <c r="B569" s="182" t="n">
        <v>1671</v>
      </c>
      <c r="C569" s="183" t="n">
        <v>37555</v>
      </c>
      <c r="D569" s="181" t="s">
        <v>1190</v>
      </c>
      <c r="E569" s="181" t="s">
        <v>391</v>
      </c>
      <c r="F569" s="181" t="s">
        <v>392</v>
      </c>
      <c r="G569" s="181" t="s">
        <v>233</v>
      </c>
      <c r="H569" s="181" t="s">
        <v>279</v>
      </c>
      <c r="I569" s="181" t="s">
        <v>230</v>
      </c>
      <c r="J569" s="184" t="n">
        <v>35140</v>
      </c>
      <c r="K569" s="184" t="n">
        <v>14430</v>
      </c>
      <c r="L569" s="185" t="n">
        <v>18</v>
      </c>
      <c r="M569" s="173" t="n">
        <v>20710</v>
      </c>
      <c r="N569" s="184" t="n">
        <v>16982.2</v>
      </c>
      <c r="O569" s="184" t="s">
        <v>1501</v>
      </c>
      <c r="P569" s="187" t="n">
        <v>45915</v>
      </c>
      <c r="Q569" s="188" t="n">
        <v>0.619641203703704</v>
      </c>
    </row>
    <row r="570" customFormat="false" ht="35.05" hidden="false" customHeight="false" outlineLevel="0" collapsed="false">
      <c r="A570" s="181" t="s">
        <v>1502</v>
      </c>
      <c r="B570" s="182" t="n">
        <v>1674</v>
      </c>
      <c r="C570" s="183" t="n">
        <v>37557</v>
      </c>
      <c r="D570" s="181" t="s">
        <v>1190</v>
      </c>
      <c r="E570" s="181" t="s">
        <v>529</v>
      </c>
      <c r="F570" s="181" t="s">
        <v>530</v>
      </c>
      <c r="G570" s="181" t="s">
        <v>233</v>
      </c>
      <c r="H570" s="181" t="s">
        <v>279</v>
      </c>
      <c r="I570" s="181" t="s">
        <v>230</v>
      </c>
      <c r="J570" s="184" t="n">
        <v>36190</v>
      </c>
      <c r="K570" s="184" t="n">
        <v>14790</v>
      </c>
      <c r="L570" s="185" t="n">
        <v>13</v>
      </c>
      <c r="M570" s="173" t="n">
        <v>21400</v>
      </c>
      <c r="N570" s="184" t="n">
        <v>18618</v>
      </c>
      <c r="O570" s="184" t="s">
        <v>1503</v>
      </c>
      <c r="P570" s="187" t="n">
        <v>45915</v>
      </c>
      <c r="Q570" s="188" t="n">
        <v>0.864467592592593</v>
      </c>
    </row>
    <row r="571" customFormat="false" ht="35.05" hidden="false" customHeight="false" outlineLevel="0" collapsed="false">
      <c r="A571" s="181" t="s">
        <v>1504</v>
      </c>
      <c r="B571" s="182" t="n">
        <v>1675</v>
      </c>
      <c r="C571" s="183" t="n">
        <v>37559</v>
      </c>
      <c r="D571" s="181" t="s">
        <v>1190</v>
      </c>
      <c r="E571" s="181" t="s">
        <v>292</v>
      </c>
      <c r="F571" s="181" t="s">
        <v>293</v>
      </c>
      <c r="G571" s="181" t="s">
        <v>234</v>
      </c>
      <c r="H571" s="181" t="s">
        <v>279</v>
      </c>
      <c r="I571" s="181" t="s">
        <v>230</v>
      </c>
      <c r="J571" s="184" t="n">
        <v>36360</v>
      </c>
      <c r="K571" s="184" t="n">
        <v>13850</v>
      </c>
      <c r="L571" s="185" t="n">
        <v>12</v>
      </c>
      <c r="M571" s="173" t="n">
        <v>22510</v>
      </c>
      <c r="N571" s="184" t="n">
        <v>19808.8</v>
      </c>
      <c r="O571" s="184" t="s">
        <v>1505</v>
      </c>
      <c r="P571" s="187" t="n">
        <v>45915</v>
      </c>
      <c r="Q571" s="188" t="n">
        <v>0.955729166666667</v>
      </c>
    </row>
    <row r="572" customFormat="false" ht="35.05" hidden="false" customHeight="false" outlineLevel="0" collapsed="false">
      <c r="A572" s="181" t="s">
        <v>1506</v>
      </c>
      <c r="B572" s="182" t="n">
        <v>1676</v>
      </c>
      <c r="C572" s="183" t="n">
        <v>37561</v>
      </c>
      <c r="D572" s="181" t="s">
        <v>1190</v>
      </c>
      <c r="E572" s="181" t="s">
        <v>261</v>
      </c>
      <c r="F572" s="181" t="s">
        <v>262</v>
      </c>
      <c r="G572" s="181" t="s">
        <v>235</v>
      </c>
      <c r="H572" s="181" t="s">
        <v>279</v>
      </c>
      <c r="I572" s="181" t="s">
        <v>230</v>
      </c>
      <c r="J572" s="184" t="n">
        <v>38050</v>
      </c>
      <c r="K572" s="184" t="n">
        <v>15000</v>
      </c>
      <c r="L572" s="185" t="n">
        <v>8</v>
      </c>
      <c r="M572" s="173" t="n">
        <v>23050</v>
      </c>
      <c r="N572" s="184" t="n">
        <v>21206</v>
      </c>
      <c r="O572" s="184" t="s">
        <v>1507</v>
      </c>
      <c r="P572" s="187" t="n">
        <v>45915</v>
      </c>
      <c r="Q572" s="188" t="n">
        <v>0.918310185185185</v>
      </c>
    </row>
    <row r="573" customFormat="false" ht="46.25" hidden="false" customHeight="false" outlineLevel="0" collapsed="false">
      <c r="A573" s="181" t="s">
        <v>1508</v>
      </c>
      <c r="B573" s="182" t="n">
        <v>1682</v>
      </c>
      <c r="C573" s="183" t="n">
        <v>136</v>
      </c>
      <c r="D573" s="181" t="s">
        <v>1509</v>
      </c>
      <c r="E573" s="181" t="s">
        <v>1510</v>
      </c>
      <c r="F573" s="181" t="s">
        <v>1511</v>
      </c>
      <c r="G573" s="181" t="s">
        <v>1512</v>
      </c>
      <c r="H573" s="181" t="s">
        <v>1513</v>
      </c>
      <c r="I573" s="181" t="s">
        <v>238</v>
      </c>
      <c r="J573" s="184" t="n">
        <v>23210</v>
      </c>
      <c r="K573" s="184" t="n">
        <v>14110</v>
      </c>
      <c r="L573" s="185" t="n">
        <v>18</v>
      </c>
      <c r="M573" s="173" t="n">
        <v>9100</v>
      </c>
      <c r="N573" s="184" t="n">
        <v>7462</v>
      </c>
      <c r="O573" s="184" t="s">
        <v>1514</v>
      </c>
      <c r="P573" s="187" t="n">
        <v>45916</v>
      </c>
      <c r="Q573" s="188" t="n">
        <v>0.626805555555556</v>
      </c>
    </row>
    <row r="574" customFormat="false" ht="46.25" hidden="false" customHeight="false" outlineLevel="0" collapsed="false">
      <c r="A574" s="181" t="s">
        <v>1515</v>
      </c>
      <c r="B574" s="182" t="n">
        <v>1684</v>
      </c>
      <c r="C574" s="183" t="n">
        <v>137</v>
      </c>
      <c r="D574" s="181" t="s">
        <v>1509</v>
      </c>
      <c r="E574" s="181" t="s">
        <v>277</v>
      </c>
      <c r="F574" s="181" t="s">
        <v>278</v>
      </c>
      <c r="G574" s="181" t="s">
        <v>1512</v>
      </c>
      <c r="H574" s="181" t="s">
        <v>1513</v>
      </c>
      <c r="I574" s="181" t="s">
        <v>238</v>
      </c>
      <c r="J574" s="184" t="n">
        <v>38560</v>
      </c>
      <c r="K574" s="184" t="n">
        <v>15090</v>
      </c>
      <c r="L574" s="185" t="n">
        <v>23</v>
      </c>
      <c r="M574" s="173" t="n">
        <v>23470</v>
      </c>
      <c r="N574" s="184" t="n">
        <v>18071.9</v>
      </c>
      <c r="O574" s="184" t="s">
        <v>1516</v>
      </c>
      <c r="P574" s="187" t="n">
        <v>45916</v>
      </c>
      <c r="Q574" s="188" t="n">
        <v>0.835439814814815</v>
      </c>
    </row>
    <row r="575" customFormat="false" ht="46.25" hidden="false" customHeight="false" outlineLevel="0" collapsed="false">
      <c r="A575" s="181" t="s">
        <v>1517</v>
      </c>
      <c r="B575" s="182" t="n">
        <v>1685</v>
      </c>
      <c r="C575" s="183" t="n">
        <v>138</v>
      </c>
      <c r="D575" s="181" t="s">
        <v>1509</v>
      </c>
      <c r="E575" s="181" t="s">
        <v>332</v>
      </c>
      <c r="F575" s="181" t="s">
        <v>333</v>
      </c>
      <c r="G575" s="181" t="s">
        <v>1512</v>
      </c>
      <c r="H575" s="181" t="s">
        <v>1513</v>
      </c>
      <c r="I575" s="181" t="s">
        <v>238</v>
      </c>
      <c r="J575" s="184" t="n">
        <v>32100</v>
      </c>
      <c r="K575" s="184" t="n">
        <v>14880</v>
      </c>
      <c r="L575" s="185" t="n">
        <v>22</v>
      </c>
      <c r="M575" s="173" t="n">
        <v>17220</v>
      </c>
      <c r="N575" s="184" t="n">
        <v>13431.6</v>
      </c>
      <c r="O575" s="184" t="s">
        <v>1518</v>
      </c>
      <c r="P575" s="187" t="n">
        <v>45916</v>
      </c>
      <c r="Q575" s="188" t="n">
        <v>0.942939814814815</v>
      </c>
    </row>
    <row r="576" customFormat="false" ht="46.25" hidden="false" customHeight="false" outlineLevel="0" collapsed="false">
      <c r="A576" s="181" t="s">
        <v>1519</v>
      </c>
      <c r="B576" s="182" t="n">
        <v>1686</v>
      </c>
      <c r="C576" s="183" t="n">
        <v>139</v>
      </c>
      <c r="D576" s="181" t="s">
        <v>1509</v>
      </c>
      <c r="E576" s="181" t="s">
        <v>1510</v>
      </c>
      <c r="F576" s="181" t="s">
        <v>1511</v>
      </c>
      <c r="G576" s="181" t="s">
        <v>1512</v>
      </c>
      <c r="H576" s="181" t="s">
        <v>1513</v>
      </c>
      <c r="I576" s="181" t="s">
        <v>238</v>
      </c>
      <c r="J576" s="184" t="n">
        <v>28680</v>
      </c>
      <c r="K576" s="184" t="n">
        <v>14180</v>
      </c>
      <c r="L576" s="185" t="n">
        <v>28</v>
      </c>
      <c r="M576" s="173" t="n">
        <v>14500</v>
      </c>
      <c r="N576" s="184" t="n">
        <v>10440</v>
      </c>
      <c r="O576" s="184" t="s">
        <v>1520</v>
      </c>
      <c r="P576" s="187" t="n">
        <v>45917</v>
      </c>
      <c r="Q576" s="188" t="n">
        <v>0.143321759259259</v>
      </c>
    </row>
    <row r="577" customFormat="false" ht="46.25" hidden="false" customHeight="false" outlineLevel="0" collapsed="false">
      <c r="A577" s="181" t="s">
        <v>1521</v>
      </c>
      <c r="B577" s="182" t="n">
        <v>1687</v>
      </c>
      <c r="C577" s="183" t="n">
        <v>140</v>
      </c>
      <c r="D577" s="181" t="s">
        <v>1509</v>
      </c>
      <c r="E577" s="181" t="s">
        <v>277</v>
      </c>
      <c r="F577" s="181" t="s">
        <v>278</v>
      </c>
      <c r="G577" s="181" t="s">
        <v>1522</v>
      </c>
      <c r="H577" s="181" t="s">
        <v>1513</v>
      </c>
      <c r="I577" s="181" t="s">
        <v>238</v>
      </c>
      <c r="J577" s="184" t="n">
        <v>32420</v>
      </c>
      <c r="K577" s="184" t="n">
        <v>15070</v>
      </c>
      <c r="L577" s="185" t="n">
        <v>24</v>
      </c>
      <c r="M577" s="173" t="n">
        <v>17350</v>
      </c>
      <c r="N577" s="184" t="n">
        <v>13186</v>
      </c>
      <c r="O577" s="184" t="s">
        <v>1523</v>
      </c>
      <c r="P577" s="187" t="n">
        <v>45917</v>
      </c>
      <c r="Q577" s="188" t="n">
        <v>0.227303240740741</v>
      </c>
    </row>
    <row r="578" customFormat="false" ht="46.25" hidden="false" customHeight="false" outlineLevel="0" collapsed="false">
      <c r="A578" s="181" t="s">
        <v>1524</v>
      </c>
      <c r="B578" s="182" t="n">
        <v>1688</v>
      </c>
      <c r="C578" s="183" t="n">
        <v>141</v>
      </c>
      <c r="D578" s="181" t="s">
        <v>1509</v>
      </c>
      <c r="E578" s="181" t="s">
        <v>1510</v>
      </c>
      <c r="F578" s="181" t="s">
        <v>1511</v>
      </c>
      <c r="G578" s="181" t="s">
        <v>1522</v>
      </c>
      <c r="H578" s="181" t="s">
        <v>1513</v>
      </c>
      <c r="I578" s="181" t="s">
        <v>238</v>
      </c>
      <c r="J578" s="184" t="n">
        <v>24510</v>
      </c>
      <c r="K578" s="184" t="n">
        <v>14170</v>
      </c>
      <c r="L578" s="185" t="n">
        <v>26</v>
      </c>
      <c r="M578" s="173" t="n">
        <v>10340</v>
      </c>
      <c r="N578" s="184" t="n">
        <v>7651.6</v>
      </c>
      <c r="O578" s="184" t="s">
        <v>1525</v>
      </c>
      <c r="P578" s="187" t="n">
        <v>45917</v>
      </c>
      <c r="Q578" s="188" t="n">
        <v>0.285740740740741</v>
      </c>
    </row>
    <row r="579" customFormat="false" ht="46.25" hidden="false" customHeight="false" outlineLevel="0" collapsed="false">
      <c r="A579" s="181" t="s">
        <v>1526</v>
      </c>
      <c r="B579" s="182" t="n">
        <v>1691</v>
      </c>
      <c r="C579" s="183" t="n">
        <v>142</v>
      </c>
      <c r="D579" s="181" t="s">
        <v>1509</v>
      </c>
      <c r="E579" s="181" t="s">
        <v>288</v>
      </c>
      <c r="F579" s="181" t="s">
        <v>289</v>
      </c>
      <c r="G579" s="181" t="s">
        <v>1512</v>
      </c>
      <c r="H579" s="181" t="s">
        <v>1513</v>
      </c>
      <c r="I579" s="181" t="s">
        <v>238</v>
      </c>
      <c r="J579" s="184" t="n">
        <v>28250</v>
      </c>
      <c r="K579" s="184" t="n">
        <v>14750</v>
      </c>
      <c r="L579" s="185" t="n">
        <v>21</v>
      </c>
      <c r="M579" s="173" t="n">
        <v>13500</v>
      </c>
      <c r="N579" s="184" t="n">
        <v>10665</v>
      </c>
      <c r="O579" s="184" t="s">
        <v>1527</v>
      </c>
      <c r="P579" s="187" t="n">
        <v>45917</v>
      </c>
      <c r="Q579" s="188" t="n">
        <v>0.475798611111111</v>
      </c>
    </row>
    <row r="580" customFormat="false" ht="46.25" hidden="false" customHeight="false" outlineLevel="0" collapsed="false">
      <c r="A580" s="181" t="s">
        <v>1528</v>
      </c>
      <c r="B580" s="182" t="n">
        <v>1692</v>
      </c>
      <c r="C580" s="183" t="n">
        <v>143</v>
      </c>
      <c r="D580" s="181" t="s">
        <v>1509</v>
      </c>
      <c r="E580" s="181" t="s">
        <v>292</v>
      </c>
      <c r="F580" s="181" t="s">
        <v>293</v>
      </c>
      <c r="G580" s="181" t="s">
        <v>1522</v>
      </c>
      <c r="H580" s="181" t="s">
        <v>1513</v>
      </c>
      <c r="I580" s="181" t="s">
        <v>238</v>
      </c>
      <c r="J580" s="184" t="n">
        <v>27900</v>
      </c>
      <c r="K580" s="184" t="n">
        <v>14020</v>
      </c>
      <c r="L580" s="185" t="n">
        <v>18</v>
      </c>
      <c r="M580" s="173" t="n">
        <v>13880</v>
      </c>
      <c r="N580" s="184" t="n">
        <v>11381.6</v>
      </c>
      <c r="O580" s="184" t="s">
        <v>1529</v>
      </c>
      <c r="P580" s="187" t="n">
        <v>45917</v>
      </c>
      <c r="Q580" s="188" t="n">
        <v>0.558055555555556</v>
      </c>
    </row>
    <row r="581" customFormat="false" ht="46.25" hidden="false" customHeight="false" outlineLevel="0" collapsed="false">
      <c r="A581" s="181" t="s">
        <v>1530</v>
      </c>
      <c r="B581" s="182" t="n">
        <v>1694</v>
      </c>
      <c r="C581" s="183" t="n">
        <v>144</v>
      </c>
      <c r="D581" s="181" t="s">
        <v>1509</v>
      </c>
      <c r="E581" s="181" t="s">
        <v>288</v>
      </c>
      <c r="F581" s="181" t="s">
        <v>289</v>
      </c>
      <c r="G581" s="181" t="s">
        <v>1512</v>
      </c>
      <c r="H581" s="181" t="s">
        <v>1513</v>
      </c>
      <c r="I581" s="181" t="s">
        <v>238</v>
      </c>
      <c r="J581" s="184" t="n">
        <v>25200</v>
      </c>
      <c r="K581" s="184" t="n">
        <v>14730</v>
      </c>
      <c r="L581" s="185" t="n">
        <v>16</v>
      </c>
      <c r="M581" s="173" t="n">
        <v>10470</v>
      </c>
      <c r="N581" s="184" t="n">
        <v>8794.8</v>
      </c>
      <c r="O581" s="184" t="s">
        <v>1531</v>
      </c>
      <c r="P581" s="187" t="n">
        <v>45917</v>
      </c>
      <c r="Q581" s="188" t="n">
        <v>0.647175925925926</v>
      </c>
    </row>
    <row r="582" customFormat="false" ht="46.25" hidden="false" customHeight="false" outlineLevel="0" collapsed="false">
      <c r="A582" s="181" t="s">
        <v>1532</v>
      </c>
      <c r="B582" s="182" t="n">
        <v>1697</v>
      </c>
      <c r="C582" s="183" t="n">
        <v>145</v>
      </c>
      <c r="D582" s="181" t="s">
        <v>1509</v>
      </c>
      <c r="E582" s="181" t="s">
        <v>292</v>
      </c>
      <c r="F582" s="181" t="s">
        <v>293</v>
      </c>
      <c r="G582" s="181" t="s">
        <v>1522</v>
      </c>
      <c r="H582" s="181" t="s">
        <v>1513</v>
      </c>
      <c r="I582" s="181" t="s">
        <v>238</v>
      </c>
      <c r="J582" s="184" t="n">
        <v>29610</v>
      </c>
      <c r="K582" s="184" t="n">
        <v>14010</v>
      </c>
      <c r="L582" s="185" t="n">
        <v>25</v>
      </c>
      <c r="M582" s="173" t="n">
        <v>15600</v>
      </c>
      <c r="N582" s="184" t="n">
        <v>11700</v>
      </c>
      <c r="O582" s="184" t="s">
        <v>1533</v>
      </c>
      <c r="P582" s="187" t="n">
        <v>45917</v>
      </c>
      <c r="Q582" s="188" t="n">
        <v>0.664907407407407</v>
      </c>
    </row>
    <row r="583" customFormat="false" ht="46.25" hidden="false" customHeight="false" outlineLevel="0" collapsed="false">
      <c r="A583" s="181" t="s">
        <v>1534</v>
      </c>
      <c r="B583" s="182" t="n">
        <v>1698</v>
      </c>
      <c r="C583" s="183" t="n">
        <v>146</v>
      </c>
      <c r="D583" s="181" t="s">
        <v>1509</v>
      </c>
      <c r="E583" s="181" t="s">
        <v>288</v>
      </c>
      <c r="F583" s="181" t="s">
        <v>289</v>
      </c>
      <c r="G583" s="181" t="s">
        <v>1522</v>
      </c>
      <c r="H583" s="181" t="s">
        <v>1513</v>
      </c>
      <c r="I583" s="181" t="s">
        <v>238</v>
      </c>
      <c r="J583" s="184" t="n">
        <v>28690</v>
      </c>
      <c r="K583" s="184" t="n">
        <v>14720</v>
      </c>
      <c r="L583" s="185" t="n">
        <v>24</v>
      </c>
      <c r="M583" s="173" t="n">
        <v>13970</v>
      </c>
      <c r="N583" s="184" t="n">
        <v>10617.2</v>
      </c>
      <c r="O583" s="184" t="s">
        <v>1535</v>
      </c>
      <c r="P583" s="187" t="n">
        <v>45917</v>
      </c>
      <c r="Q583" s="188" t="n">
        <v>0.69599537037037</v>
      </c>
    </row>
    <row r="584" customFormat="false" ht="46.25" hidden="false" customHeight="false" outlineLevel="0" collapsed="false">
      <c r="A584" s="181" t="s">
        <v>1536</v>
      </c>
      <c r="B584" s="182" t="n">
        <v>1699</v>
      </c>
      <c r="C584" s="183" t="n">
        <v>147</v>
      </c>
      <c r="D584" s="181" t="s">
        <v>1509</v>
      </c>
      <c r="E584" s="181" t="s">
        <v>292</v>
      </c>
      <c r="F584" s="181" t="s">
        <v>293</v>
      </c>
      <c r="G584" s="181" t="s">
        <v>1512</v>
      </c>
      <c r="H584" s="181" t="s">
        <v>1513</v>
      </c>
      <c r="I584" s="181" t="s">
        <v>238</v>
      </c>
      <c r="J584" s="184" t="n">
        <v>32120</v>
      </c>
      <c r="K584" s="184" t="n">
        <v>14000</v>
      </c>
      <c r="L584" s="185" t="n">
        <v>25</v>
      </c>
      <c r="M584" s="173" t="n">
        <v>18120</v>
      </c>
      <c r="N584" s="184" t="n">
        <v>13590</v>
      </c>
      <c r="O584" s="184" t="s">
        <v>1537</v>
      </c>
      <c r="P584" s="187" t="n">
        <v>45917</v>
      </c>
      <c r="Q584" s="188" t="n">
        <v>0.773229166666667</v>
      </c>
    </row>
    <row r="585" customFormat="false" ht="46.25" hidden="false" customHeight="false" outlineLevel="0" collapsed="false">
      <c r="A585" s="181" t="s">
        <v>1538</v>
      </c>
      <c r="B585" s="182" t="n">
        <v>1700</v>
      </c>
      <c r="C585" s="183" t="n">
        <v>148</v>
      </c>
      <c r="D585" s="181" t="s">
        <v>1509</v>
      </c>
      <c r="E585" s="181" t="s">
        <v>288</v>
      </c>
      <c r="F585" s="181" t="s">
        <v>289</v>
      </c>
      <c r="G585" s="181" t="s">
        <v>1512</v>
      </c>
      <c r="H585" s="181" t="s">
        <v>1513</v>
      </c>
      <c r="I585" s="181" t="s">
        <v>238</v>
      </c>
      <c r="J585" s="184" t="n">
        <v>33450</v>
      </c>
      <c r="K585" s="184" t="n">
        <v>14720</v>
      </c>
      <c r="L585" s="185" t="n">
        <v>19</v>
      </c>
      <c r="M585" s="173" t="n">
        <v>18730</v>
      </c>
      <c r="N585" s="184" t="n">
        <v>15171.3</v>
      </c>
      <c r="O585" s="184" t="s">
        <v>1539</v>
      </c>
      <c r="P585" s="187" t="n">
        <v>45917</v>
      </c>
      <c r="Q585" s="188" t="n">
        <v>0.934606481481482</v>
      </c>
    </row>
    <row r="586" customFormat="false" ht="46.25" hidden="false" customHeight="false" outlineLevel="0" collapsed="false">
      <c r="A586" s="181" t="s">
        <v>1540</v>
      </c>
      <c r="B586" s="182" t="n">
        <v>1701</v>
      </c>
      <c r="C586" s="183" t="n">
        <v>149</v>
      </c>
      <c r="D586" s="181" t="s">
        <v>1509</v>
      </c>
      <c r="E586" s="181" t="s">
        <v>261</v>
      </c>
      <c r="F586" s="181" t="s">
        <v>262</v>
      </c>
      <c r="G586" s="181" t="s">
        <v>1512</v>
      </c>
      <c r="H586" s="181" t="s">
        <v>1513</v>
      </c>
      <c r="I586" s="181" t="s">
        <v>238</v>
      </c>
      <c r="J586" s="184" t="n">
        <v>30660</v>
      </c>
      <c r="K586" s="184" t="n">
        <v>15130</v>
      </c>
      <c r="L586" s="185" t="n">
        <v>23</v>
      </c>
      <c r="M586" s="173" t="n">
        <v>15530</v>
      </c>
      <c r="N586" s="184" t="n">
        <v>11958.1</v>
      </c>
      <c r="O586" s="184" t="s">
        <v>1541</v>
      </c>
      <c r="P586" s="187" t="n">
        <v>45917</v>
      </c>
      <c r="Q586" s="188" t="n">
        <v>0.937569444444445</v>
      </c>
    </row>
    <row r="587" customFormat="false" ht="46.25" hidden="false" customHeight="false" outlineLevel="0" collapsed="false">
      <c r="A587" s="181" t="s">
        <v>1542</v>
      </c>
      <c r="B587" s="182" t="n">
        <v>1702</v>
      </c>
      <c r="C587" s="183" t="n">
        <v>150</v>
      </c>
      <c r="D587" s="181" t="s">
        <v>1509</v>
      </c>
      <c r="E587" s="181" t="s">
        <v>292</v>
      </c>
      <c r="F587" s="181" t="s">
        <v>293</v>
      </c>
      <c r="G587" s="181" t="s">
        <v>1512</v>
      </c>
      <c r="H587" s="181" t="s">
        <v>1513</v>
      </c>
      <c r="I587" s="181" t="s">
        <v>238</v>
      </c>
      <c r="J587" s="184" t="n">
        <v>28770</v>
      </c>
      <c r="K587" s="184" t="n">
        <v>13990</v>
      </c>
      <c r="L587" s="185" t="n">
        <v>24</v>
      </c>
      <c r="M587" s="173" t="n">
        <v>14780</v>
      </c>
      <c r="N587" s="184" t="n">
        <v>11232.8</v>
      </c>
      <c r="O587" s="184" t="s">
        <v>1543</v>
      </c>
      <c r="P587" s="187" t="n">
        <v>45917</v>
      </c>
      <c r="Q587" s="188" t="n">
        <v>0.978414351851852</v>
      </c>
    </row>
    <row r="588" customFormat="false" ht="46.25" hidden="false" customHeight="false" outlineLevel="0" collapsed="false">
      <c r="A588" s="181" t="s">
        <v>1544</v>
      </c>
      <c r="B588" s="182" t="n">
        <v>1704</v>
      </c>
      <c r="C588" s="183" t="n">
        <v>151</v>
      </c>
      <c r="D588" s="181" t="s">
        <v>1509</v>
      </c>
      <c r="E588" s="181" t="s">
        <v>288</v>
      </c>
      <c r="F588" s="181" t="s">
        <v>289</v>
      </c>
      <c r="G588" s="181" t="s">
        <v>1512</v>
      </c>
      <c r="H588" s="181" t="s">
        <v>1513</v>
      </c>
      <c r="I588" s="181" t="s">
        <v>238</v>
      </c>
      <c r="J588" s="184" t="n">
        <v>27380</v>
      </c>
      <c r="K588" s="184" t="n">
        <v>14700</v>
      </c>
      <c r="L588" s="185" t="n">
        <v>25</v>
      </c>
      <c r="M588" s="173" t="n">
        <v>12680</v>
      </c>
      <c r="N588" s="184" t="n">
        <v>9510</v>
      </c>
      <c r="O588" s="184" t="s">
        <v>1545</v>
      </c>
      <c r="P588" s="187" t="n">
        <v>45918</v>
      </c>
      <c r="Q588" s="188" t="n">
        <v>0.0543865740740741</v>
      </c>
    </row>
    <row r="589" customFormat="false" ht="46.25" hidden="false" customHeight="false" outlineLevel="0" collapsed="false">
      <c r="A589" s="181" t="s">
        <v>1546</v>
      </c>
      <c r="B589" s="182" t="n">
        <v>1705</v>
      </c>
      <c r="C589" s="183" t="n">
        <v>152</v>
      </c>
      <c r="D589" s="181" t="s">
        <v>1509</v>
      </c>
      <c r="E589" s="181" t="s">
        <v>292</v>
      </c>
      <c r="F589" s="181" t="s">
        <v>293</v>
      </c>
      <c r="G589" s="181" t="s">
        <v>1512</v>
      </c>
      <c r="H589" s="181" t="s">
        <v>1513</v>
      </c>
      <c r="I589" s="181" t="s">
        <v>238</v>
      </c>
      <c r="J589" s="184" t="n">
        <v>28110</v>
      </c>
      <c r="K589" s="184" t="n">
        <v>13990</v>
      </c>
      <c r="L589" s="185" t="n">
        <v>28</v>
      </c>
      <c r="M589" s="173" t="n">
        <v>14120</v>
      </c>
      <c r="N589" s="184" t="n">
        <v>10166.4</v>
      </c>
      <c r="O589" s="184" t="s">
        <v>1547</v>
      </c>
      <c r="P589" s="187" t="n">
        <v>45918</v>
      </c>
      <c r="Q589" s="188" t="n">
        <v>0.187511574074074</v>
      </c>
    </row>
    <row r="590" customFormat="false" ht="46.25" hidden="false" customHeight="false" outlineLevel="0" collapsed="false">
      <c r="A590" s="181" t="s">
        <v>1548</v>
      </c>
      <c r="B590" s="182" t="n">
        <v>1706</v>
      </c>
      <c r="C590" s="183" t="n">
        <v>153</v>
      </c>
      <c r="D590" s="181" t="s">
        <v>1509</v>
      </c>
      <c r="E590" s="181" t="s">
        <v>288</v>
      </c>
      <c r="F590" s="181" t="s">
        <v>289</v>
      </c>
      <c r="G590" s="181" t="s">
        <v>1512</v>
      </c>
      <c r="H590" s="181" t="s">
        <v>1513</v>
      </c>
      <c r="I590" s="181" t="s">
        <v>238</v>
      </c>
      <c r="J590" s="184" t="n">
        <v>28410</v>
      </c>
      <c r="K590" s="184" t="n">
        <v>14700</v>
      </c>
      <c r="L590" s="185" t="n">
        <v>34</v>
      </c>
      <c r="M590" s="173" t="n">
        <v>13710</v>
      </c>
      <c r="N590" s="184" t="n">
        <v>9048.6</v>
      </c>
      <c r="O590" s="184" t="s">
        <v>1549</v>
      </c>
      <c r="P590" s="187" t="n">
        <v>45918</v>
      </c>
      <c r="Q590" s="188" t="n">
        <v>0.265439814814815</v>
      </c>
    </row>
    <row r="591" customFormat="false" ht="46.25" hidden="false" customHeight="false" outlineLevel="0" collapsed="false">
      <c r="A591" s="181" t="s">
        <v>1550</v>
      </c>
      <c r="B591" s="182" t="n">
        <v>1707</v>
      </c>
      <c r="C591" s="183" t="n">
        <v>154</v>
      </c>
      <c r="D591" s="181" t="s">
        <v>1509</v>
      </c>
      <c r="E591" s="181" t="s">
        <v>292</v>
      </c>
      <c r="F591" s="181" t="s">
        <v>293</v>
      </c>
      <c r="G591" s="181" t="s">
        <v>1512</v>
      </c>
      <c r="H591" s="181" t="s">
        <v>1513</v>
      </c>
      <c r="I591" s="181" t="s">
        <v>238</v>
      </c>
      <c r="J591" s="184" t="n">
        <v>29600</v>
      </c>
      <c r="K591" s="184" t="n">
        <v>13970</v>
      </c>
      <c r="L591" s="185" t="n">
        <v>32</v>
      </c>
      <c r="M591" s="173" t="n">
        <v>15630</v>
      </c>
      <c r="N591" s="184" t="n">
        <v>10628.4</v>
      </c>
      <c r="O591" s="184" t="s">
        <v>1551</v>
      </c>
      <c r="P591" s="187" t="n">
        <v>45918</v>
      </c>
      <c r="Q591" s="188" t="n">
        <v>0.268483796296296</v>
      </c>
    </row>
    <row r="592" customFormat="false" ht="35.05" hidden="false" customHeight="false" outlineLevel="0" collapsed="false">
      <c r="A592" s="181" t="s">
        <v>1552</v>
      </c>
      <c r="B592" s="182" t="n">
        <v>1708</v>
      </c>
      <c r="C592" s="183" t="n">
        <v>37563</v>
      </c>
      <c r="D592" s="181" t="s">
        <v>1190</v>
      </c>
      <c r="E592" s="181" t="s">
        <v>1309</v>
      </c>
      <c r="F592" s="181" t="s">
        <v>1310</v>
      </c>
      <c r="G592" s="181" t="s">
        <v>235</v>
      </c>
      <c r="H592" s="181" t="s">
        <v>279</v>
      </c>
      <c r="I592" s="181" t="s">
        <v>230</v>
      </c>
      <c r="J592" s="184" t="n">
        <v>39270</v>
      </c>
      <c r="K592" s="184" t="n">
        <v>15480</v>
      </c>
      <c r="L592" s="185" t="n">
        <v>24</v>
      </c>
      <c r="M592" s="173" t="n">
        <v>23790</v>
      </c>
      <c r="N592" s="184" t="n">
        <v>18080.4</v>
      </c>
      <c r="O592" s="184" t="s">
        <v>1553</v>
      </c>
      <c r="P592" s="187" t="n">
        <v>45918</v>
      </c>
      <c r="Q592" s="188" t="n">
        <v>0.449525462962963</v>
      </c>
    </row>
    <row r="593" customFormat="false" ht="35.05" hidden="false" customHeight="false" outlineLevel="0" collapsed="false">
      <c r="A593" s="181" t="s">
        <v>1554</v>
      </c>
      <c r="B593" s="182" t="n">
        <v>1710</v>
      </c>
      <c r="C593" s="183" t="n">
        <v>37565</v>
      </c>
      <c r="D593" s="181" t="s">
        <v>1190</v>
      </c>
      <c r="E593" s="181" t="s">
        <v>901</v>
      </c>
      <c r="F593" s="181" t="s">
        <v>902</v>
      </c>
      <c r="G593" s="181" t="s">
        <v>235</v>
      </c>
      <c r="H593" s="181" t="s">
        <v>279</v>
      </c>
      <c r="I593" s="181" t="s">
        <v>230</v>
      </c>
      <c r="J593" s="184" t="n">
        <v>37930</v>
      </c>
      <c r="K593" s="184" t="n">
        <v>14740</v>
      </c>
      <c r="L593" s="185" t="n">
        <v>14</v>
      </c>
      <c r="M593" s="173" t="n">
        <v>23190</v>
      </c>
      <c r="N593" s="184" t="n">
        <v>19943.4</v>
      </c>
      <c r="O593" s="184" t="s">
        <v>1555</v>
      </c>
      <c r="P593" s="187" t="n">
        <v>45918</v>
      </c>
      <c r="Q593" s="188" t="n">
        <v>0.457025462962963</v>
      </c>
    </row>
    <row r="594" customFormat="false" ht="35.05" hidden="false" customHeight="false" outlineLevel="0" collapsed="false">
      <c r="A594" s="181" t="s">
        <v>1556</v>
      </c>
      <c r="B594" s="182" t="n">
        <v>1711</v>
      </c>
      <c r="C594" s="183" t="n">
        <v>37567</v>
      </c>
      <c r="D594" s="181" t="s">
        <v>1190</v>
      </c>
      <c r="E594" s="181" t="s">
        <v>1289</v>
      </c>
      <c r="F594" s="181" t="s">
        <v>1290</v>
      </c>
      <c r="G594" s="181" t="s">
        <v>235</v>
      </c>
      <c r="H594" s="181" t="s">
        <v>279</v>
      </c>
      <c r="I594" s="181" t="s">
        <v>230</v>
      </c>
      <c r="J594" s="184" t="n">
        <v>38430</v>
      </c>
      <c r="K594" s="184" t="n">
        <v>15700</v>
      </c>
      <c r="L594" s="185" t="n">
        <v>8</v>
      </c>
      <c r="M594" s="173" t="n">
        <v>22730</v>
      </c>
      <c r="N594" s="184" t="n">
        <v>20911.6</v>
      </c>
      <c r="O594" s="184" t="s">
        <v>1557</v>
      </c>
      <c r="P594" s="187" t="n">
        <v>45918</v>
      </c>
      <c r="Q594" s="188" t="n">
        <v>0.465208333333333</v>
      </c>
    </row>
    <row r="595" customFormat="false" ht="35.05" hidden="false" customHeight="false" outlineLevel="0" collapsed="false">
      <c r="A595" s="181" t="s">
        <v>1558</v>
      </c>
      <c r="B595" s="182" t="n">
        <v>1712</v>
      </c>
      <c r="C595" s="183" t="n">
        <v>37569</v>
      </c>
      <c r="D595" s="181" t="s">
        <v>1190</v>
      </c>
      <c r="E595" s="181" t="s">
        <v>373</v>
      </c>
      <c r="F595" s="181" t="s">
        <v>374</v>
      </c>
      <c r="G595" s="181" t="s">
        <v>235</v>
      </c>
      <c r="H595" s="181" t="s">
        <v>279</v>
      </c>
      <c r="I595" s="181" t="s">
        <v>230</v>
      </c>
      <c r="J595" s="184" t="n">
        <v>36030</v>
      </c>
      <c r="K595" s="184" t="n">
        <v>14160</v>
      </c>
      <c r="L595" s="185" t="n">
        <v>8</v>
      </c>
      <c r="M595" s="173" t="n">
        <v>21870</v>
      </c>
      <c r="N595" s="184" t="n">
        <v>20120.4</v>
      </c>
      <c r="O595" s="184" t="s">
        <v>1559</v>
      </c>
      <c r="P595" s="187" t="n">
        <v>45918</v>
      </c>
      <c r="Q595" s="188" t="n">
        <v>0.593831018518519</v>
      </c>
    </row>
    <row r="596" customFormat="false" ht="35.05" hidden="false" customHeight="false" outlineLevel="0" collapsed="false">
      <c r="A596" s="181" t="s">
        <v>1560</v>
      </c>
      <c r="B596" s="182" t="n">
        <v>1713</v>
      </c>
      <c r="C596" s="183" t="n">
        <v>37571</v>
      </c>
      <c r="D596" s="181" t="s">
        <v>1190</v>
      </c>
      <c r="E596" s="181" t="s">
        <v>399</v>
      </c>
      <c r="F596" s="181" t="s">
        <v>400</v>
      </c>
      <c r="G596" s="181" t="s">
        <v>235</v>
      </c>
      <c r="H596" s="181" t="s">
        <v>279</v>
      </c>
      <c r="I596" s="181" t="s">
        <v>230</v>
      </c>
      <c r="J596" s="184" t="n">
        <v>46400</v>
      </c>
      <c r="K596" s="184" t="n">
        <v>19180</v>
      </c>
      <c r="L596" s="185" t="n">
        <v>12</v>
      </c>
      <c r="M596" s="173" t="n">
        <v>27220</v>
      </c>
      <c r="N596" s="184" t="n">
        <v>23953.6</v>
      </c>
      <c r="O596" s="184" t="s">
        <v>1561</v>
      </c>
      <c r="P596" s="187" t="n">
        <v>45918</v>
      </c>
      <c r="Q596" s="188" t="n">
        <v>0.608287037037037</v>
      </c>
    </row>
    <row r="597" customFormat="false" ht="35.05" hidden="false" customHeight="false" outlineLevel="0" collapsed="false">
      <c r="A597" s="181" t="s">
        <v>1562</v>
      </c>
      <c r="B597" s="182" t="n">
        <v>1714</v>
      </c>
      <c r="C597" s="183" t="n">
        <v>37573</v>
      </c>
      <c r="D597" s="181" t="s">
        <v>1190</v>
      </c>
      <c r="E597" s="181" t="s">
        <v>1019</v>
      </c>
      <c r="F597" s="181" t="s">
        <v>1020</v>
      </c>
      <c r="G597" s="181" t="s">
        <v>235</v>
      </c>
      <c r="H597" s="181" t="s">
        <v>279</v>
      </c>
      <c r="I597" s="181" t="s">
        <v>230</v>
      </c>
      <c r="J597" s="184" t="n">
        <v>42250</v>
      </c>
      <c r="K597" s="184" t="n">
        <v>17000</v>
      </c>
      <c r="L597" s="185" t="n">
        <v>8</v>
      </c>
      <c r="M597" s="173" t="n">
        <v>25250</v>
      </c>
      <c r="N597" s="184" t="n">
        <v>23230</v>
      </c>
      <c r="O597" s="184" t="s">
        <v>1563</v>
      </c>
      <c r="P597" s="187" t="n">
        <v>45918</v>
      </c>
      <c r="Q597" s="188" t="n">
        <v>0.612696759259259</v>
      </c>
    </row>
    <row r="598" customFormat="false" ht="35.05" hidden="false" customHeight="false" outlineLevel="0" collapsed="false">
      <c r="A598" s="181" t="s">
        <v>1564</v>
      </c>
      <c r="B598" s="182" t="n">
        <v>1715</v>
      </c>
      <c r="C598" s="183" t="n">
        <v>37577</v>
      </c>
      <c r="D598" s="181" t="s">
        <v>1190</v>
      </c>
      <c r="E598" s="181" t="s">
        <v>1027</v>
      </c>
      <c r="F598" s="181" t="s">
        <v>1028</v>
      </c>
      <c r="G598" s="181" t="s">
        <v>235</v>
      </c>
      <c r="H598" s="181" t="s">
        <v>279</v>
      </c>
      <c r="I598" s="181" t="s">
        <v>230</v>
      </c>
      <c r="J598" s="184" t="n">
        <v>36960</v>
      </c>
      <c r="K598" s="184" t="n">
        <v>14920</v>
      </c>
      <c r="L598" s="185" t="n">
        <v>8</v>
      </c>
      <c r="M598" s="173" t="n">
        <v>22040</v>
      </c>
      <c r="N598" s="184" t="n">
        <v>20276.8</v>
      </c>
      <c r="O598" s="184" t="s">
        <v>1565</v>
      </c>
      <c r="P598" s="187" t="n">
        <v>45918</v>
      </c>
      <c r="Q598" s="188" t="n">
        <v>0.618657407407407</v>
      </c>
    </row>
    <row r="599" customFormat="false" ht="35.05" hidden="false" customHeight="false" outlineLevel="0" collapsed="false">
      <c r="A599" s="181" t="s">
        <v>1566</v>
      </c>
      <c r="B599" s="182" t="n">
        <v>1716</v>
      </c>
      <c r="C599" s="183" t="n">
        <v>37575</v>
      </c>
      <c r="D599" s="181" t="s">
        <v>1190</v>
      </c>
      <c r="E599" s="181" t="s">
        <v>1023</v>
      </c>
      <c r="F599" s="181" t="s">
        <v>1024</v>
      </c>
      <c r="G599" s="181" t="s">
        <v>235</v>
      </c>
      <c r="H599" s="181" t="s">
        <v>279</v>
      </c>
      <c r="I599" s="181" t="s">
        <v>230</v>
      </c>
      <c r="J599" s="184" t="n">
        <v>35480</v>
      </c>
      <c r="K599" s="184" t="n">
        <v>14820</v>
      </c>
      <c r="L599" s="185" t="n">
        <v>8</v>
      </c>
      <c r="M599" s="173" t="n">
        <v>20660</v>
      </c>
      <c r="N599" s="184" t="n">
        <v>19007.2</v>
      </c>
      <c r="O599" s="184" t="s">
        <v>1567</v>
      </c>
      <c r="P599" s="187" t="n">
        <v>45918</v>
      </c>
      <c r="Q599" s="188" t="n">
        <v>0.639444444444445</v>
      </c>
    </row>
    <row r="600" customFormat="false" ht="35.05" hidden="false" customHeight="false" outlineLevel="0" collapsed="false">
      <c r="A600" s="181" t="s">
        <v>1568</v>
      </c>
      <c r="B600" s="182" t="n">
        <v>1718</v>
      </c>
      <c r="C600" s="183" t="n">
        <v>37581</v>
      </c>
      <c r="D600" s="181" t="s">
        <v>1190</v>
      </c>
      <c r="E600" s="181" t="s">
        <v>359</v>
      </c>
      <c r="F600" s="181" t="s">
        <v>360</v>
      </c>
      <c r="G600" s="181" t="s">
        <v>235</v>
      </c>
      <c r="H600" s="181" t="s">
        <v>279</v>
      </c>
      <c r="I600" s="181" t="s">
        <v>230</v>
      </c>
      <c r="J600" s="184" t="n">
        <v>34990</v>
      </c>
      <c r="K600" s="184" t="n">
        <v>14800</v>
      </c>
      <c r="L600" s="185" t="n">
        <v>22</v>
      </c>
      <c r="M600" s="173" t="n">
        <v>20190</v>
      </c>
      <c r="N600" s="184" t="n">
        <v>15748.2</v>
      </c>
      <c r="O600" s="184" t="s">
        <v>1569</v>
      </c>
      <c r="P600" s="187" t="n">
        <v>45918</v>
      </c>
      <c r="Q600" s="188" t="n">
        <v>0.734375</v>
      </c>
    </row>
    <row r="601" customFormat="false" ht="35.05" hidden="false" customHeight="false" outlineLevel="0" collapsed="false">
      <c r="A601" s="181" t="s">
        <v>1570</v>
      </c>
      <c r="B601" s="182" t="n">
        <v>1719</v>
      </c>
      <c r="C601" s="183" t="n">
        <v>37579</v>
      </c>
      <c r="D601" s="181" t="s">
        <v>1190</v>
      </c>
      <c r="E601" s="181" t="s">
        <v>582</v>
      </c>
      <c r="F601" s="181" t="s">
        <v>583</v>
      </c>
      <c r="G601" s="181" t="s">
        <v>235</v>
      </c>
      <c r="H601" s="181" t="s">
        <v>279</v>
      </c>
      <c r="I601" s="181" t="s">
        <v>230</v>
      </c>
      <c r="J601" s="184" t="n">
        <v>36500</v>
      </c>
      <c r="K601" s="184" t="n">
        <v>14710</v>
      </c>
      <c r="L601" s="185" t="n">
        <v>30</v>
      </c>
      <c r="M601" s="173" t="n">
        <v>21790</v>
      </c>
      <c r="N601" s="184" t="n">
        <v>15253</v>
      </c>
      <c r="O601" s="184" t="s">
        <v>1571</v>
      </c>
      <c r="P601" s="187" t="n">
        <v>45918</v>
      </c>
      <c r="Q601" s="188" t="n">
        <v>0.755150462962963</v>
      </c>
    </row>
    <row r="602" customFormat="false" ht="35.05" hidden="false" customHeight="false" outlineLevel="0" collapsed="false">
      <c r="A602" s="181" t="s">
        <v>1572</v>
      </c>
      <c r="B602" s="182" t="n">
        <v>1720</v>
      </c>
      <c r="C602" s="183" t="n">
        <v>37590</v>
      </c>
      <c r="D602" s="181" t="s">
        <v>1190</v>
      </c>
      <c r="E602" s="181" t="s">
        <v>266</v>
      </c>
      <c r="F602" s="181" t="s">
        <v>267</v>
      </c>
      <c r="G602" s="181" t="s">
        <v>235</v>
      </c>
      <c r="H602" s="181" t="s">
        <v>279</v>
      </c>
      <c r="I602" s="181" t="s">
        <v>230</v>
      </c>
      <c r="J602" s="184" t="n">
        <v>38540</v>
      </c>
      <c r="K602" s="184" t="n">
        <v>14900</v>
      </c>
      <c r="L602" s="185" t="n">
        <v>17</v>
      </c>
      <c r="M602" s="173" t="n">
        <v>23640</v>
      </c>
      <c r="N602" s="184" t="n">
        <v>19621.2</v>
      </c>
      <c r="O602" s="184" t="s">
        <v>1573</v>
      </c>
      <c r="P602" s="187" t="n">
        <v>45918</v>
      </c>
      <c r="Q602" s="188" t="n">
        <v>0.866967592592593</v>
      </c>
    </row>
    <row r="603" customFormat="false" ht="35.05" hidden="false" customHeight="false" outlineLevel="0" collapsed="false">
      <c r="A603" s="181" t="s">
        <v>1574</v>
      </c>
      <c r="B603" s="182" t="n">
        <v>1721</v>
      </c>
      <c r="C603" s="183" t="n">
        <v>37593</v>
      </c>
      <c r="D603" s="181" t="s">
        <v>1190</v>
      </c>
      <c r="E603" s="181" t="s">
        <v>296</v>
      </c>
      <c r="F603" s="181" t="s">
        <v>297</v>
      </c>
      <c r="G603" s="181" t="s">
        <v>235</v>
      </c>
      <c r="H603" s="181" t="s">
        <v>279</v>
      </c>
      <c r="I603" s="181" t="s">
        <v>230</v>
      </c>
      <c r="J603" s="184" t="n">
        <v>37810</v>
      </c>
      <c r="K603" s="184" t="n">
        <v>15380</v>
      </c>
      <c r="L603" s="185" t="n">
        <v>9</v>
      </c>
      <c r="M603" s="173" t="n">
        <v>22430</v>
      </c>
      <c r="N603" s="184" t="n">
        <v>20411.3</v>
      </c>
      <c r="O603" s="184" t="s">
        <v>1575</v>
      </c>
      <c r="P603" s="187" t="n">
        <v>45918</v>
      </c>
      <c r="Q603" s="188" t="n">
        <v>0.875381944444444</v>
      </c>
    </row>
    <row r="604" customFormat="false" ht="35.05" hidden="false" customHeight="false" outlineLevel="0" collapsed="false">
      <c r="A604" s="181" t="s">
        <v>1576</v>
      </c>
      <c r="B604" s="182" t="n">
        <v>1722</v>
      </c>
      <c r="C604" s="183" t="n">
        <v>37595</v>
      </c>
      <c r="D604" s="181" t="s">
        <v>1190</v>
      </c>
      <c r="E604" s="181" t="s">
        <v>409</v>
      </c>
      <c r="F604" s="181" t="s">
        <v>410</v>
      </c>
      <c r="G604" s="181" t="s">
        <v>235</v>
      </c>
      <c r="H604" s="181" t="s">
        <v>279</v>
      </c>
      <c r="I604" s="181" t="s">
        <v>230</v>
      </c>
      <c r="J604" s="184" t="n">
        <v>51930</v>
      </c>
      <c r="K604" s="184" t="n">
        <v>24090</v>
      </c>
      <c r="L604" s="185" t="n">
        <v>9</v>
      </c>
      <c r="M604" s="173" t="n">
        <v>27840</v>
      </c>
      <c r="N604" s="184" t="n">
        <v>25334.4</v>
      </c>
      <c r="O604" s="184" t="s">
        <v>1577</v>
      </c>
      <c r="P604" s="187" t="n">
        <v>45918</v>
      </c>
      <c r="Q604" s="188" t="n">
        <v>0.965694444444444</v>
      </c>
    </row>
    <row r="605" customFormat="false" ht="35.05" hidden="false" customHeight="false" outlineLevel="0" collapsed="false">
      <c r="A605" s="181" t="s">
        <v>1578</v>
      </c>
      <c r="B605" s="182" t="n">
        <v>1723</v>
      </c>
      <c r="C605" s="183" t="n">
        <v>37602</v>
      </c>
      <c r="D605" s="181" t="s">
        <v>1190</v>
      </c>
      <c r="E605" s="181" t="s">
        <v>350</v>
      </c>
      <c r="F605" s="181" t="s">
        <v>351</v>
      </c>
      <c r="G605" s="181" t="s">
        <v>235</v>
      </c>
      <c r="H605" s="181" t="s">
        <v>279</v>
      </c>
      <c r="I605" s="181" t="s">
        <v>230</v>
      </c>
      <c r="J605" s="184" t="n">
        <v>40860</v>
      </c>
      <c r="K605" s="184" t="n">
        <v>14910</v>
      </c>
      <c r="L605" s="185" t="n">
        <v>7</v>
      </c>
      <c r="M605" s="173" t="n">
        <v>25950</v>
      </c>
      <c r="N605" s="184" t="n">
        <v>24133.5</v>
      </c>
      <c r="O605" s="184" t="s">
        <v>1579</v>
      </c>
      <c r="P605" s="187" t="n">
        <v>45918</v>
      </c>
      <c r="Q605" s="188" t="n">
        <v>0.971805555555556</v>
      </c>
    </row>
    <row r="606" customFormat="false" ht="35.05" hidden="false" customHeight="false" outlineLevel="0" collapsed="false">
      <c r="A606" s="181" t="s">
        <v>1580</v>
      </c>
      <c r="B606" s="182" t="n">
        <v>1724</v>
      </c>
      <c r="C606" s="183" t="n">
        <v>37616</v>
      </c>
      <c r="D606" s="181" t="s">
        <v>1190</v>
      </c>
      <c r="E606" s="181" t="s">
        <v>282</v>
      </c>
      <c r="F606" s="181" t="s">
        <v>283</v>
      </c>
      <c r="G606" s="181" t="s">
        <v>235</v>
      </c>
      <c r="H606" s="181" t="s">
        <v>279</v>
      </c>
      <c r="I606" s="181" t="s">
        <v>230</v>
      </c>
      <c r="J606" s="184" t="n">
        <v>39270</v>
      </c>
      <c r="K606" s="184" t="n">
        <v>15040</v>
      </c>
      <c r="L606" s="185" t="n">
        <v>12</v>
      </c>
      <c r="M606" s="173" t="n">
        <v>24230</v>
      </c>
      <c r="N606" s="184" t="n">
        <v>21322.4</v>
      </c>
      <c r="O606" s="184" t="s">
        <v>1581</v>
      </c>
      <c r="P606" s="187" t="n">
        <v>45918</v>
      </c>
      <c r="Q606" s="188" t="n">
        <v>0.982453703703704</v>
      </c>
    </row>
    <row r="607" customFormat="false" ht="35.05" hidden="false" customHeight="false" outlineLevel="0" collapsed="false">
      <c r="A607" s="181" t="s">
        <v>1582</v>
      </c>
      <c r="B607" s="182" t="n">
        <v>1725</v>
      </c>
      <c r="C607" s="183" t="n">
        <v>37618</v>
      </c>
      <c r="D607" s="181" t="s">
        <v>1190</v>
      </c>
      <c r="E607" s="181" t="s">
        <v>537</v>
      </c>
      <c r="F607" s="181" t="s">
        <v>538</v>
      </c>
      <c r="G607" s="181" t="s">
        <v>235</v>
      </c>
      <c r="H607" s="181" t="s">
        <v>279</v>
      </c>
      <c r="I607" s="181" t="s">
        <v>230</v>
      </c>
      <c r="J607" s="184" t="n">
        <v>35090</v>
      </c>
      <c r="K607" s="184" t="n">
        <v>13970</v>
      </c>
      <c r="L607" s="185" t="n">
        <v>13</v>
      </c>
      <c r="M607" s="173" t="n">
        <v>21120</v>
      </c>
      <c r="N607" s="184" t="n">
        <v>18374.4</v>
      </c>
      <c r="O607" s="184" t="s">
        <v>1583</v>
      </c>
      <c r="P607" s="187" t="n">
        <v>45918</v>
      </c>
      <c r="Q607" s="188" t="n">
        <v>0.92943287037037</v>
      </c>
    </row>
    <row r="608" customFormat="false" ht="35.05" hidden="false" customHeight="false" outlineLevel="0" collapsed="false">
      <c r="A608" s="181" t="s">
        <v>1584</v>
      </c>
      <c r="B608" s="182" t="n">
        <v>1726</v>
      </c>
      <c r="C608" s="183" t="n">
        <v>37624</v>
      </c>
      <c r="D608" s="181" t="s">
        <v>1190</v>
      </c>
      <c r="E608" s="181" t="s">
        <v>336</v>
      </c>
      <c r="F608" s="181" t="s">
        <v>337</v>
      </c>
      <c r="G608" s="181" t="s">
        <v>235</v>
      </c>
      <c r="H608" s="181" t="s">
        <v>279</v>
      </c>
      <c r="I608" s="181" t="s">
        <v>230</v>
      </c>
      <c r="J608" s="184" t="n">
        <v>39280</v>
      </c>
      <c r="K608" s="184" t="n">
        <v>14530</v>
      </c>
      <c r="L608" s="185" t="n">
        <v>8</v>
      </c>
      <c r="M608" s="173" t="n">
        <v>24750</v>
      </c>
      <c r="N608" s="184" t="n">
        <v>22770</v>
      </c>
      <c r="O608" s="184" t="s">
        <v>1585</v>
      </c>
      <c r="P608" s="187" t="n">
        <v>45918</v>
      </c>
      <c r="Q608" s="188" t="n">
        <v>0.989884259259259</v>
      </c>
    </row>
    <row r="609" customFormat="false" ht="35.05" hidden="false" customHeight="false" outlineLevel="0" collapsed="false">
      <c r="A609" s="181" t="s">
        <v>1586</v>
      </c>
      <c r="B609" s="182" t="n">
        <v>1727</v>
      </c>
      <c r="C609" s="183" t="n">
        <v>37626</v>
      </c>
      <c r="D609" s="181" t="s">
        <v>1190</v>
      </c>
      <c r="E609" s="181" t="s">
        <v>340</v>
      </c>
      <c r="F609" s="181" t="s">
        <v>341</v>
      </c>
      <c r="G609" s="181" t="s">
        <v>235</v>
      </c>
      <c r="H609" s="181" t="s">
        <v>279</v>
      </c>
      <c r="I609" s="181" t="s">
        <v>230</v>
      </c>
      <c r="J609" s="184" t="n">
        <v>39690</v>
      </c>
      <c r="K609" s="184" t="n">
        <v>15120</v>
      </c>
      <c r="L609" s="185" t="n">
        <v>5</v>
      </c>
      <c r="M609" s="173" t="n">
        <v>24570</v>
      </c>
      <c r="N609" s="184" t="n">
        <v>23341.5</v>
      </c>
      <c r="O609" s="184" t="s">
        <v>1587</v>
      </c>
      <c r="P609" s="187" t="n">
        <v>45918</v>
      </c>
      <c r="Q609" s="188" t="n">
        <v>0.993275462962963</v>
      </c>
    </row>
    <row r="610" customFormat="false" ht="35.05" hidden="false" customHeight="false" outlineLevel="0" collapsed="false">
      <c r="A610" s="181" t="s">
        <v>1588</v>
      </c>
      <c r="B610" s="182" t="n">
        <v>1728</v>
      </c>
      <c r="C610" s="183" t="n">
        <v>37622</v>
      </c>
      <c r="D610" s="181" t="s">
        <v>1190</v>
      </c>
      <c r="E610" s="181" t="s">
        <v>346</v>
      </c>
      <c r="F610" s="181" t="s">
        <v>347</v>
      </c>
      <c r="G610" s="181" t="s">
        <v>235</v>
      </c>
      <c r="H610" s="181" t="s">
        <v>279</v>
      </c>
      <c r="I610" s="181" t="s">
        <v>230</v>
      </c>
      <c r="J610" s="184" t="n">
        <v>38880</v>
      </c>
      <c r="K610" s="184" t="n">
        <v>14980</v>
      </c>
      <c r="L610" s="185" t="n">
        <v>7</v>
      </c>
      <c r="M610" s="173" t="n">
        <v>23900</v>
      </c>
      <c r="N610" s="184" t="n">
        <v>22227</v>
      </c>
      <c r="O610" s="184" t="s">
        <v>1589</v>
      </c>
      <c r="P610" s="187" t="n">
        <v>45918</v>
      </c>
      <c r="Q610" s="188" t="n">
        <v>0.999583333333333</v>
      </c>
    </row>
    <row r="611" customFormat="false" ht="35.05" hidden="false" customHeight="false" outlineLevel="0" collapsed="false">
      <c r="A611" s="181" t="s">
        <v>1590</v>
      </c>
      <c r="B611" s="182" t="n">
        <v>1730</v>
      </c>
      <c r="C611" s="183" t="n">
        <v>37693</v>
      </c>
      <c r="D611" s="181" t="s">
        <v>1190</v>
      </c>
      <c r="E611" s="181" t="s">
        <v>308</v>
      </c>
      <c r="F611" s="181" t="s">
        <v>309</v>
      </c>
      <c r="G611" s="181" t="s">
        <v>233</v>
      </c>
      <c r="H611" s="181" t="s">
        <v>279</v>
      </c>
      <c r="I611" s="181" t="s">
        <v>230</v>
      </c>
      <c r="J611" s="184" t="n">
        <v>56660</v>
      </c>
      <c r="K611" s="184" t="n">
        <v>24020</v>
      </c>
      <c r="L611" s="185" t="n">
        <v>12</v>
      </c>
      <c r="M611" s="173" t="n">
        <v>32640</v>
      </c>
      <c r="N611" s="184" t="n">
        <v>28723.2</v>
      </c>
      <c r="O611" s="184" t="s">
        <v>1591</v>
      </c>
      <c r="P611" s="187" t="n">
        <v>45919</v>
      </c>
      <c r="Q611" s="188" t="n">
        <v>0.191377314814815</v>
      </c>
    </row>
    <row r="612" customFormat="false" ht="35.05" hidden="false" customHeight="false" outlineLevel="0" collapsed="false">
      <c r="A612" s="181" t="s">
        <v>1592</v>
      </c>
      <c r="B612" s="182" t="n">
        <v>1731</v>
      </c>
      <c r="C612" s="183" t="n">
        <v>37695</v>
      </c>
      <c r="D612" s="181" t="s">
        <v>1190</v>
      </c>
      <c r="E612" s="181" t="s">
        <v>304</v>
      </c>
      <c r="F612" s="181" t="s">
        <v>305</v>
      </c>
      <c r="G612" s="181" t="s">
        <v>233</v>
      </c>
      <c r="H612" s="181" t="s">
        <v>279</v>
      </c>
      <c r="I612" s="181" t="s">
        <v>230</v>
      </c>
      <c r="J612" s="184" t="n">
        <v>39540</v>
      </c>
      <c r="K612" s="184" t="n">
        <v>15060</v>
      </c>
      <c r="L612" s="185" t="n">
        <v>8</v>
      </c>
      <c r="M612" s="173" t="n">
        <v>24480</v>
      </c>
      <c r="N612" s="184" t="n">
        <v>22521.6</v>
      </c>
      <c r="O612" s="184" t="s">
        <v>1593</v>
      </c>
      <c r="P612" s="187" t="n">
        <v>45919</v>
      </c>
      <c r="Q612" s="188" t="n">
        <v>0.238923611111111</v>
      </c>
    </row>
    <row r="613" customFormat="false" ht="35.05" hidden="false" customHeight="false" outlineLevel="0" collapsed="false">
      <c r="A613" s="181" t="s">
        <v>1594</v>
      </c>
      <c r="B613" s="182" t="n">
        <v>1732</v>
      </c>
      <c r="C613" s="183" t="n">
        <v>37628</v>
      </c>
      <c r="D613" s="181" t="s">
        <v>1190</v>
      </c>
      <c r="E613" s="181" t="s">
        <v>533</v>
      </c>
      <c r="F613" s="181" t="s">
        <v>534</v>
      </c>
      <c r="G613" s="181" t="s">
        <v>233</v>
      </c>
      <c r="H613" s="181" t="s">
        <v>279</v>
      </c>
      <c r="I613" s="181" t="s">
        <v>230</v>
      </c>
      <c r="J613" s="184" t="n">
        <v>39670</v>
      </c>
      <c r="K613" s="184" t="n">
        <v>14570</v>
      </c>
      <c r="L613" s="185" t="n">
        <v>7</v>
      </c>
      <c r="M613" s="173" t="n">
        <v>25100</v>
      </c>
      <c r="N613" s="184" t="n">
        <v>23343</v>
      </c>
      <c r="O613" s="184" t="s">
        <v>1595</v>
      </c>
      <c r="P613" s="187" t="n">
        <v>45919</v>
      </c>
      <c r="Q613" s="188" t="n">
        <v>0.313703703703704</v>
      </c>
    </row>
    <row r="614" customFormat="false" ht="35.05" hidden="false" customHeight="false" outlineLevel="0" collapsed="false">
      <c r="A614" s="181" t="s">
        <v>1596</v>
      </c>
      <c r="B614" s="182" t="n">
        <v>1733</v>
      </c>
      <c r="C614" s="183" t="n">
        <v>37683</v>
      </c>
      <c r="D614" s="181" t="s">
        <v>1190</v>
      </c>
      <c r="E614" s="181" t="s">
        <v>377</v>
      </c>
      <c r="F614" s="181" t="s">
        <v>378</v>
      </c>
      <c r="G614" s="181" t="s">
        <v>233</v>
      </c>
      <c r="H614" s="181" t="s">
        <v>279</v>
      </c>
      <c r="I614" s="181" t="s">
        <v>230</v>
      </c>
      <c r="J614" s="184" t="n">
        <v>41470</v>
      </c>
      <c r="K614" s="184" t="n">
        <v>15550</v>
      </c>
      <c r="L614" s="185" t="n">
        <v>11</v>
      </c>
      <c r="M614" s="173" t="n">
        <v>25920</v>
      </c>
      <c r="N614" s="184" t="n">
        <v>23068.8</v>
      </c>
      <c r="O614" s="184" t="s">
        <v>1597</v>
      </c>
      <c r="P614" s="187" t="n">
        <v>45919</v>
      </c>
      <c r="Q614" s="188" t="n">
        <v>0.363506944444444</v>
      </c>
    </row>
    <row r="615" customFormat="false" ht="35.05" hidden="false" customHeight="false" outlineLevel="0" collapsed="false">
      <c r="A615" s="181" t="s">
        <v>1598</v>
      </c>
      <c r="B615" s="182" t="n">
        <v>1734</v>
      </c>
      <c r="C615" s="183" t="n">
        <v>37689</v>
      </c>
      <c r="D615" s="181" t="s">
        <v>1190</v>
      </c>
      <c r="E615" s="181" t="s">
        <v>413</v>
      </c>
      <c r="F615" s="181" t="s">
        <v>414</v>
      </c>
      <c r="G615" s="181" t="s">
        <v>233</v>
      </c>
      <c r="H615" s="181" t="s">
        <v>279</v>
      </c>
      <c r="I615" s="181" t="s">
        <v>230</v>
      </c>
      <c r="J615" s="184" t="n">
        <v>42850</v>
      </c>
      <c r="K615" s="184" t="n">
        <v>15520</v>
      </c>
      <c r="L615" s="185" t="n">
        <v>14</v>
      </c>
      <c r="M615" s="173" t="n">
        <v>27330</v>
      </c>
      <c r="N615" s="184" t="n">
        <v>23503.8</v>
      </c>
      <c r="O615" s="184" t="s">
        <v>1599</v>
      </c>
      <c r="P615" s="187" t="n">
        <v>45919</v>
      </c>
      <c r="Q615" s="188" t="n">
        <v>0.436886574074074</v>
      </c>
    </row>
    <row r="616" customFormat="false" ht="35.05" hidden="false" customHeight="false" outlineLevel="0" collapsed="false">
      <c r="A616" s="181" t="s">
        <v>1600</v>
      </c>
      <c r="B616" s="182" t="n">
        <v>1735</v>
      </c>
      <c r="C616" s="183" t="n">
        <v>37697</v>
      </c>
      <c r="D616" s="181" t="s">
        <v>1190</v>
      </c>
      <c r="E616" s="181" t="s">
        <v>439</v>
      </c>
      <c r="F616" s="181" t="s">
        <v>440</v>
      </c>
      <c r="G616" s="181" t="s">
        <v>233</v>
      </c>
      <c r="H616" s="181" t="s">
        <v>279</v>
      </c>
      <c r="I616" s="181" t="s">
        <v>230</v>
      </c>
      <c r="J616" s="184" t="n">
        <v>41270</v>
      </c>
      <c r="K616" s="184" t="n">
        <v>16310</v>
      </c>
      <c r="L616" s="185" t="n">
        <v>4</v>
      </c>
      <c r="M616" s="173" t="n">
        <v>24960</v>
      </c>
      <c r="N616" s="184" t="n">
        <v>23961.6</v>
      </c>
      <c r="O616" s="184" t="s">
        <v>1601</v>
      </c>
      <c r="P616" s="187" t="n">
        <v>45919</v>
      </c>
      <c r="Q616" s="188" t="n">
        <v>0.473206018518519</v>
      </c>
    </row>
    <row r="617" customFormat="false" ht="35.05" hidden="false" customHeight="false" outlineLevel="0" collapsed="false">
      <c r="A617" s="181" t="s">
        <v>1602</v>
      </c>
      <c r="B617" s="182" t="n">
        <v>1737</v>
      </c>
      <c r="C617" s="183" t="n">
        <v>37699</v>
      </c>
      <c r="D617" s="181" t="s">
        <v>1190</v>
      </c>
      <c r="E617" s="181" t="s">
        <v>431</v>
      </c>
      <c r="F617" s="181" t="s">
        <v>432</v>
      </c>
      <c r="G617" s="181" t="s">
        <v>233</v>
      </c>
      <c r="H617" s="181" t="s">
        <v>279</v>
      </c>
      <c r="I617" s="181" t="s">
        <v>230</v>
      </c>
      <c r="J617" s="184" t="n">
        <v>39830</v>
      </c>
      <c r="K617" s="184" t="n">
        <v>16410</v>
      </c>
      <c r="L617" s="185" t="n">
        <v>8</v>
      </c>
      <c r="M617" s="173" t="n">
        <v>23420</v>
      </c>
      <c r="N617" s="184" t="n">
        <v>21546.4</v>
      </c>
      <c r="O617" s="184" t="s">
        <v>1603</v>
      </c>
      <c r="P617" s="187" t="n">
        <v>45919</v>
      </c>
      <c r="Q617" s="188" t="n">
        <v>0.507962962962963</v>
      </c>
    </row>
    <row r="618" customFormat="false" ht="35.05" hidden="false" customHeight="false" outlineLevel="0" collapsed="false">
      <c r="A618" s="181" t="s">
        <v>1604</v>
      </c>
      <c r="B618" s="182" t="n">
        <v>1738</v>
      </c>
      <c r="C618" s="183" t="n">
        <v>37701</v>
      </c>
      <c r="D618" s="181" t="s">
        <v>1190</v>
      </c>
      <c r="E618" s="181" t="s">
        <v>435</v>
      </c>
      <c r="F618" s="181" t="s">
        <v>436</v>
      </c>
      <c r="G618" s="181" t="s">
        <v>234</v>
      </c>
      <c r="H618" s="181" t="s">
        <v>279</v>
      </c>
      <c r="I618" s="181" t="s">
        <v>230</v>
      </c>
      <c r="J618" s="184" t="n">
        <v>40400</v>
      </c>
      <c r="K618" s="184" t="n">
        <v>16310</v>
      </c>
      <c r="L618" s="185" t="n">
        <v>4</v>
      </c>
      <c r="M618" s="173" t="n">
        <v>24090</v>
      </c>
      <c r="N618" s="184" t="n">
        <v>23126.4</v>
      </c>
      <c r="O618" s="184" t="s">
        <v>1605</v>
      </c>
      <c r="P618" s="187" t="n">
        <v>45919</v>
      </c>
      <c r="Q618" s="188" t="n">
        <v>0.56556712962963</v>
      </c>
    </row>
    <row r="619" customFormat="false" ht="35.05" hidden="false" customHeight="false" outlineLevel="0" collapsed="false">
      <c r="A619" s="181" t="s">
        <v>1606</v>
      </c>
      <c r="B619" s="182" t="n">
        <v>1739</v>
      </c>
      <c r="C619" s="183" t="n">
        <v>37703</v>
      </c>
      <c r="D619" s="181" t="s">
        <v>1190</v>
      </c>
      <c r="E619" s="181" t="s">
        <v>549</v>
      </c>
      <c r="F619" s="181" t="s">
        <v>550</v>
      </c>
      <c r="G619" s="181" t="s">
        <v>234</v>
      </c>
      <c r="H619" s="181" t="s">
        <v>279</v>
      </c>
      <c r="I619" s="181" t="s">
        <v>230</v>
      </c>
      <c r="J619" s="184" t="n">
        <v>40680</v>
      </c>
      <c r="K619" s="184" t="n">
        <v>15850</v>
      </c>
      <c r="L619" s="185" t="n">
        <v>9</v>
      </c>
      <c r="M619" s="173" t="n">
        <v>24830</v>
      </c>
      <c r="N619" s="184" t="n">
        <v>22595.3</v>
      </c>
      <c r="O619" s="184" t="s">
        <v>1607</v>
      </c>
      <c r="P619" s="187" t="n">
        <v>45919</v>
      </c>
      <c r="Q619" s="188" t="n">
        <v>0.586701388888889</v>
      </c>
    </row>
    <row r="620" customFormat="false" ht="35.05" hidden="false" customHeight="false" outlineLevel="0" collapsed="false">
      <c r="A620" s="181" t="s">
        <v>1608</v>
      </c>
      <c r="B620" s="182" t="n">
        <v>1740</v>
      </c>
      <c r="C620" s="183" t="n">
        <v>37705</v>
      </c>
      <c r="D620" s="181" t="s">
        <v>1190</v>
      </c>
      <c r="E620" s="181" t="s">
        <v>541</v>
      </c>
      <c r="F620" s="181" t="s">
        <v>542</v>
      </c>
      <c r="G620" s="181" t="s">
        <v>234</v>
      </c>
      <c r="H620" s="181" t="s">
        <v>279</v>
      </c>
      <c r="I620" s="181" t="s">
        <v>230</v>
      </c>
      <c r="J620" s="184" t="n">
        <v>39970</v>
      </c>
      <c r="K620" s="184" t="n">
        <v>14930</v>
      </c>
      <c r="L620" s="185" t="n">
        <v>10</v>
      </c>
      <c r="M620" s="173" t="n">
        <v>25040</v>
      </c>
      <c r="N620" s="184" t="n">
        <v>22536</v>
      </c>
      <c r="O620" s="184" t="s">
        <v>1609</v>
      </c>
      <c r="P620" s="187" t="n">
        <v>45919</v>
      </c>
      <c r="Q620" s="188" t="n">
        <v>0.636689814814815</v>
      </c>
    </row>
    <row r="621" customFormat="false" ht="35.05" hidden="false" customHeight="false" outlineLevel="0" collapsed="false">
      <c r="A621" s="181" t="s">
        <v>1610</v>
      </c>
      <c r="B621" s="182" t="n">
        <v>1743</v>
      </c>
      <c r="C621" s="183" t="n">
        <v>37709</v>
      </c>
      <c r="D621" s="181" t="s">
        <v>1190</v>
      </c>
      <c r="E621" s="181" t="s">
        <v>354</v>
      </c>
      <c r="F621" s="181" t="s">
        <v>355</v>
      </c>
      <c r="G621" s="181" t="s">
        <v>234</v>
      </c>
      <c r="H621" s="181" t="s">
        <v>279</v>
      </c>
      <c r="I621" s="181" t="s">
        <v>230</v>
      </c>
      <c r="J621" s="184" t="n">
        <v>37740</v>
      </c>
      <c r="K621" s="184" t="n">
        <v>14670</v>
      </c>
      <c r="L621" s="185" t="n">
        <v>4</v>
      </c>
      <c r="M621" s="173" t="n">
        <v>23070</v>
      </c>
      <c r="N621" s="184" t="n">
        <v>22147.2</v>
      </c>
      <c r="O621" s="184" t="s">
        <v>1611</v>
      </c>
      <c r="P621" s="187" t="n">
        <v>45919</v>
      </c>
      <c r="Q621" s="188" t="n">
        <v>0.683113425925926</v>
      </c>
    </row>
    <row r="622" customFormat="false" ht="35.05" hidden="false" customHeight="false" outlineLevel="0" collapsed="false">
      <c r="A622" s="181" t="s">
        <v>1612</v>
      </c>
      <c r="B622" s="182" t="n">
        <v>1745</v>
      </c>
      <c r="C622" s="183" t="n">
        <v>37711</v>
      </c>
      <c r="D622" s="181" t="s">
        <v>1190</v>
      </c>
      <c r="E622" s="181" t="s">
        <v>383</v>
      </c>
      <c r="F622" s="181" t="s">
        <v>384</v>
      </c>
      <c r="G622" s="181" t="s">
        <v>233</v>
      </c>
      <c r="H622" s="181" t="s">
        <v>279</v>
      </c>
      <c r="I622" s="181" t="s">
        <v>230</v>
      </c>
      <c r="J622" s="184" t="n">
        <v>38820</v>
      </c>
      <c r="K622" s="184" t="n">
        <v>14760</v>
      </c>
      <c r="L622" s="185" t="n">
        <v>5</v>
      </c>
      <c r="M622" s="173" t="n">
        <v>24060</v>
      </c>
      <c r="N622" s="184" t="n">
        <v>22857</v>
      </c>
      <c r="O622" s="184" t="s">
        <v>1613</v>
      </c>
      <c r="P622" s="187" t="n">
        <v>45919</v>
      </c>
      <c r="Q622" s="188" t="n">
        <v>0.742361111111111</v>
      </c>
    </row>
    <row r="623" customFormat="false" ht="35.05" hidden="false" customHeight="false" outlineLevel="0" collapsed="false">
      <c r="A623" s="181" t="s">
        <v>1614</v>
      </c>
      <c r="B623" s="182" t="n">
        <v>1746</v>
      </c>
      <c r="C623" s="183" t="n">
        <v>37715</v>
      </c>
      <c r="D623" s="181" t="s">
        <v>1190</v>
      </c>
      <c r="E623" s="181" t="s">
        <v>272</v>
      </c>
      <c r="F623" s="181" t="s">
        <v>273</v>
      </c>
      <c r="G623" s="181" t="s">
        <v>234</v>
      </c>
      <c r="H623" s="181" t="s">
        <v>279</v>
      </c>
      <c r="I623" s="181" t="s">
        <v>230</v>
      </c>
      <c r="J623" s="184" t="n">
        <v>38620</v>
      </c>
      <c r="K623" s="184" t="n">
        <v>15550</v>
      </c>
      <c r="L623" s="185" t="n">
        <v>9</v>
      </c>
      <c r="M623" s="173" t="n">
        <v>23070</v>
      </c>
      <c r="N623" s="184" t="n">
        <v>20993.7</v>
      </c>
      <c r="O623" s="184" t="s">
        <v>1615</v>
      </c>
      <c r="P623" s="187" t="n">
        <v>45919</v>
      </c>
      <c r="Q623" s="188" t="n">
        <v>0.763657407407407</v>
      </c>
    </row>
    <row r="624" customFormat="false" ht="35.05" hidden="false" customHeight="false" outlineLevel="0" collapsed="false">
      <c r="A624" s="181" t="s">
        <v>1616</v>
      </c>
      <c r="B624" s="182" t="n">
        <v>1747</v>
      </c>
      <c r="C624" s="183" t="n">
        <v>37719</v>
      </c>
      <c r="D624" s="181" t="s">
        <v>1190</v>
      </c>
      <c r="E624" s="181" t="s">
        <v>277</v>
      </c>
      <c r="F624" s="181" t="s">
        <v>278</v>
      </c>
      <c r="G624" s="181" t="s">
        <v>234</v>
      </c>
      <c r="H624" s="181" t="s">
        <v>279</v>
      </c>
      <c r="I624" s="181" t="s">
        <v>230</v>
      </c>
      <c r="J624" s="184" t="n">
        <v>42670</v>
      </c>
      <c r="K624" s="184" t="n">
        <v>15080</v>
      </c>
      <c r="L624" s="185" t="n">
        <v>4</v>
      </c>
      <c r="M624" s="173" t="n">
        <v>27590</v>
      </c>
      <c r="N624" s="184" t="n">
        <v>26486.4</v>
      </c>
      <c r="O624" s="184" t="s">
        <v>1617</v>
      </c>
      <c r="P624" s="187" t="n">
        <v>45919</v>
      </c>
      <c r="Q624" s="188" t="n">
        <v>0.803923611111111</v>
      </c>
    </row>
    <row r="625" customFormat="false" ht="35.05" hidden="false" customHeight="false" outlineLevel="0" collapsed="false">
      <c r="A625" s="181" t="s">
        <v>1618</v>
      </c>
      <c r="B625" s="182" t="n">
        <v>1748</v>
      </c>
      <c r="C625" s="183" t="n">
        <v>37724</v>
      </c>
      <c r="D625" s="181" t="s">
        <v>1190</v>
      </c>
      <c r="E625" s="181" t="s">
        <v>399</v>
      </c>
      <c r="F625" s="181" t="s">
        <v>400</v>
      </c>
      <c r="G625" s="181" t="s">
        <v>234</v>
      </c>
      <c r="H625" s="181" t="s">
        <v>279</v>
      </c>
      <c r="I625" s="181" t="s">
        <v>230</v>
      </c>
      <c r="J625" s="184" t="n">
        <v>53330</v>
      </c>
      <c r="K625" s="184" t="n">
        <v>19220</v>
      </c>
      <c r="L625" s="185" t="n">
        <v>9</v>
      </c>
      <c r="M625" s="173" t="n">
        <v>34110</v>
      </c>
      <c r="N625" s="184" t="n">
        <v>31040.1</v>
      </c>
      <c r="O625" s="184" t="s">
        <v>1619</v>
      </c>
      <c r="P625" s="187" t="n">
        <v>45919</v>
      </c>
      <c r="Q625" s="188" t="n">
        <v>0.924224537037037</v>
      </c>
    </row>
    <row r="626" customFormat="false" ht="35.05" hidden="false" customHeight="false" outlineLevel="0" collapsed="false">
      <c r="A626" s="181" t="s">
        <v>1620</v>
      </c>
      <c r="B626" s="182" t="n">
        <v>1749</v>
      </c>
      <c r="C626" s="183" t="s">
        <v>1621</v>
      </c>
      <c r="D626" s="181" t="s">
        <v>1190</v>
      </c>
      <c r="E626" s="181" t="s">
        <v>300</v>
      </c>
      <c r="F626" s="181" t="s">
        <v>301</v>
      </c>
      <c r="G626" s="181" t="s">
        <v>234</v>
      </c>
      <c r="H626" s="181" t="s">
        <v>279</v>
      </c>
      <c r="I626" s="181" t="s">
        <v>230</v>
      </c>
      <c r="J626" s="184" t="n">
        <v>55380</v>
      </c>
      <c r="K626" s="184" t="n">
        <v>20890</v>
      </c>
      <c r="L626" s="185" t="n">
        <v>8</v>
      </c>
      <c r="M626" s="173" t="n">
        <v>34490</v>
      </c>
      <c r="N626" s="184" t="n">
        <v>31730.8</v>
      </c>
      <c r="O626" s="184" t="s">
        <v>1622</v>
      </c>
      <c r="P626" s="187" t="n">
        <v>45919</v>
      </c>
      <c r="Q626" s="188" t="n">
        <v>0.957418981481482</v>
      </c>
    </row>
    <row r="627" customFormat="false" ht="35.05" hidden="false" customHeight="false" outlineLevel="0" collapsed="false">
      <c r="A627" s="181" t="s">
        <v>1623</v>
      </c>
      <c r="B627" s="182" t="n">
        <v>1751</v>
      </c>
      <c r="C627" s="183" t="n">
        <v>37728</v>
      </c>
      <c r="D627" s="181" t="s">
        <v>1190</v>
      </c>
      <c r="E627" s="181" t="s">
        <v>1019</v>
      </c>
      <c r="F627" s="181" t="s">
        <v>1020</v>
      </c>
      <c r="G627" s="181" t="s">
        <v>234</v>
      </c>
      <c r="H627" s="181" t="s">
        <v>279</v>
      </c>
      <c r="I627" s="181" t="s">
        <v>230</v>
      </c>
      <c r="J627" s="184" t="n">
        <v>44420</v>
      </c>
      <c r="K627" s="184" t="n">
        <v>17030</v>
      </c>
      <c r="L627" s="185" t="n">
        <v>5</v>
      </c>
      <c r="M627" s="173" t="n">
        <v>27390</v>
      </c>
      <c r="N627" s="184" t="n">
        <v>26020.5</v>
      </c>
      <c r="O627" s="184" t="s">
        <v>1624</v>
      </c>
      <c r="P627" s="187" t="n">
        <v>45919</v>
      </c>
      <c r="Q627" s="188" t="n">
        <v>0.969224537037037</v>
      </c>
    </row>
    <row r="628" customFormat="false" ht="35.05" hidden="false" customHeight="false" outlineLevel="0" collapsed="false">
      <c r="A628" s="181" t="s">
        <v>1625</v>
      </c>
      <c r="B628" s="182" t="n">
        <v>1752</v>
      </c>
      <c r="C628" s="183" t="n">
        <v>37726</v>
      </c>
      <c r="D628" s="181" t="s">
        <v>1190</v>
      </c>
      <c r="E628" s="181" t="s">
        <v>1027</v>
      </c>
      <c r="F628" s="181" t="s">
        <v>1028</v>
      </c>
      <c r="G628" s="181" t="s">
        <v>234</v>
      </c>
      <c r="H628" s="181" t="s">
        <v>279</v>
      </c>
      <c r="I628" s="181" t="s">
        <v>230</v>
      </c>
      <c r="J628" s="184" t="n">
        <v>39350</v>
      </c>
      <c r="K628" s="184" t="n">
        <v>14940</v>
      </c>
      <c r="L628" s="185" t="n">
        <v>5</v>
      </c>
      <c r="M628" s="173" t="n">
        <v>24410</v>
      </c>
      <c r="N628" s="184" t="n">
        <v>23189.5</v>
      </c>
      <c r="O628" s="184" t="s">
        <v>1626</v>
      </c>
      <c r="P628" s="187" t="n">
        <v>45919</v>
      </c>
      <c r="Q628" s="188" t="n">
        <v>0.984293981481482</v>
      </c>
    </row>
    <row r="629" customFormat="false" ht="35.05" hidden="false" customHeight="false" outlineLevel="0" collapsed="false">
      <c r="A629" s="181" t="s">
        <v>1627</v>
      </c>
      <c r="B629" s="182" t="n">
        <v>1753</v>
      </c>
      <c r="C629" s="183" t="n">
        <v>37730</v>
      </c>
      <c r="D629" s="181" t="s">
        <v>1190</v>
      </c>
      <c r="E629" s="181" t="s">
        <v>1023</v>
      </c>
      <c r="F629" s="181" t="s">
        <v>1024</v>
      </c>
      <c r="G629" s="181" t="s">
        <v>234</v>
      </c>
      <c r="H629" s="181" t="s">
        <v>279</v>
      </c>
      <c r="I629" s="181" t="s">
        <v>230</v>
      </c>
      <c r="J629" s="184" t="n">
        <v>36890</v>
      </c>
      <c r="K629" s="184" t="n">
        <v>14720</v>
      </c>
      <c r="L629" s="185" t="n">
        <v>10</v>
      </c>
      <c r="M629" s="173" t="n">
        <v>22170</v>
      </c>
      <c r="N629" s="184" t="n">
        <v>19953</v>
      </c>
      <c r="O629" s="184" t="s">
        <v>1628</v>
      </c>
      <c r="P629" s="187" t="n">
        <v>45919</v>
      </c>
      <c r="Q629" s="188" t="n">
        <v>0.93025462962963</v>
      </c>
    </row>
    <row r="630" customFormat="false" ht="35.05" hidden="false" customHeight="false" outlineLevel="0" collapsed="false">
      <c r="A630" s="181" t="s">
        <v>1629</v>
      </c>
      <c r="B630" s="182" t="n">
        <v>1754</v>
      </c>
      <c r="C630" s="183" t="n">
        <v>37736</v>
      </c>
      <c r="D630" s="181" t="s">
        <v>1190</v>
      </c>
      <c r="E630" s="181" t="s">
        <v>409</v>
      </c>
      <c r="F630" s="181" t="s">
        <v>410</v>
      </c>
      <c r="G630" s="181" t="s">
        <v>234</v>
      </c>
      <c r="H630" s="181" t="s">
        <v>279</v>
      </c>
      <c r="I630" s="181" t="s">
        <v>230</v>
      </c>
      <c r="J630" s="184" t="n">
        <v>58870</v>
      </c>
      <c r="K630" s="184" t="n">
        <v>24080</v>
      </c>
      <c r="L630" s="185" t="n">
        <v>12</v>
      </c>
      <c r="M630" s="173" t="n">
        <v>34790</v>
      </c>
      <c r="N630" s="184" t="n">
        <v>30615.2</v>
      </c>
      <c r="O630" s="184" t="s">
        <v>1630</v>
      </c>
      <c r="P630" s="187" t="n">
        <v>45920</v>
      </c>
      <c r="Q630" s="188" t="n">
        <v>0.114826388888889</v>
      </c>
    </row>
    <row r="631" customFormat="false" ht="35.05" hidden="false" customHeight="false" outlineLevel="0" collapsed="false">
      <c r="A631" s="181" t="s">
        <v>1631</v>
      </c>
      <c r="B631" s="182" t="n">
        <v>1755</v>
      </c>
      <c r="C631" s="183" t="n">
        <v>37738</v>
      </c>
      <c r="D631" s="181" t="s">
        <v>1190</v>
      </c>
      <c r="E631" s="181" t="s">
        <v>387</v>
      </c>
      <c r="F631" s="181" t="s">
        <v>388</v>
      </c>
      <c r="G631" s="181" t="s">
        <v>234</v>
      </c>
      <c r="H631" s="181" t="s">
        <v>279</v>
      </c>
      <c r="I631" s="181" t="s">
        <v>230</v>
      </c>
      <c r="J631" s="184" t="n">
        <v>42430</v>
      </c>
      <c r="K631" s="184" t="n">
        <v>14930</v>
      </c>
      <c r="L631" s="185" t="n">
        <v>10</v>
      </c>
      <c r="M631" s="173" t="n">
        <v>27500</v>
      </c>
      <c r="N631" s="184" t="n">
        <v>24750</v>
      </c>
      <c r="O631" s="184" t="s">
        <v>1632</v>
      </c>
      <c r="P631" s="187" t="n">
        <v>45920</v>
      </c>
      <c r="Q631" s="188" t="n">
        <v>0.15994212962963</v>
      </c>
    </row>
    <row r="632" customFormat="false" ht="35.05" hidden="false" customHeight="false" outlineLevel="0" collapsed="false">
      <c r="A632" s="181" t="s">
        <v>1633</v>
      </c>
      <c r="B632" s="182" t="n">
        <v>1756</v>
      </c>
      <c r="C632" s="183" t="n">
        <v>37742</v>
      </c>
      <c r="D632" s="181" t="s">
        <v>1190</v>
      </c>
      <c r="E632" s="181" t="s">
        <v>373</v>
      </c>
      <c r="F632" s="181" t="s">
        <v>374</v>
      </c>
      <c r="G632" s="181" t="s">
        <v>234</v>
      </c>
      <c r="H632" s="181" t="s">
        <v>279</v>
      </c>
      <c r="I632" s="181" t="s">
        <v>230</v>
      </c>
      <c r="J632" s="184" t="n">
        <v>39630</v>
      </c>
      <c r="K632" s="184" t="n">
        <v>14170</v>
      </c>
      <c r="L632" s="185" t="n">
        <v>12</v>
      </c>
      <c r="M632" s="173" t="n">
        <v>25460</v>
      </c>
      <c r="N632" s="184" t="n">
        <v>22404.8</v>
      </c>
      <c r="O632" s="184" t="s">
        <v>1634</v>
      </c>
      <c r="P632" s="187" t="n">
        <v>45920</v>
      </c>
      <c r="Q632" s="188" t="n">
        <v>0.180208333333333</v>
      </c>
    </row>
    <row r="633" customFormat="false" ht="35.05" hidden="false" customHeight="false" outlineLevel="0" collapsed="false">
      <c r="A633" s="181" t="s">
        <v>1635</v>
      </c>
      <c r="B633" s="182" t="n">
        <v>1757</v>
      </c>
      <c r="C633" s="183" t="n">
        <v>37744</v>
      </c>
      <c r="D633" s="181" t="s">
        <v>1190</v>
      </c>
      <c r="E633" s="181" t="s">
        <v>359</v>
      </c>
      <c r="F633" s="181" t="s">
        <v>360</v>
      </c>
      <c r="G633" s="181" t="s">
        <v>234</v>
      </c>
      <c r="H633" s="181" t="s">
        <v>279</v>
      </c>
      <c r="I633" s="181" t="s">
        <v>230</v>
      </c>
      <c r="J633" s="184" t="n">
        <v>38110</v>
      </c>
      <c r="K633" s="184" t="n">
        <v>14860</v>
      </c>
      <c r="L633" s="185" t="n">
        <v>5</v>
      </c>
      <c r="M633" s="173" t="n">
        <v>23250</v>
      </c>
      <c r="N633" s="184" t="n">
        <v>22087.5</v>
      </c>
      <c r="O633" s="184" t="s">
        <v>1636</v>
      </c>
      <c r="P633" s="187" t="n">
        <v>45920</v>
      </c>
      <c r="Q633" s="188" t="n">
        <v>0.276655092592593</v>
      </c>
    </row>
    <row r="634" customFormat="false" ht="35.05" hidden="false" customHeight="false" outlineLevel="0" collapsed="false">
      <c r="A634" s="181" t="s">
        <v>1637</v>
      </c>
      <c r="B634" s="182" t="n">
        <v>1758</v>
      </c>
      <c r="C634" s="183" t="n">
        <v>37747</v>
      </c>
      <c r="D634" s="181" t="s">
        <v>1190</v>
      </c>
      <c r="E634" s="181" t="s">
        <v>413</v>
      </c>
      <c r="F634" s="181" t="s">
        <v>414</v>
      </c>
      <c r="G634" s="181" t="s">
        <v>234</v>
      </c>
      <c r="H634" s="181" t="s">
        <v>279</v>
      </c>
      <c r="I634" s="181" t="s">
        <v>230</v>
      </c>
      <c r="J634" s="184" t="n">
        <v>44560</v>
      </c>
      <c r="K634" s="184" t="n">
        <v>15750</v>
      </c>
      <c r="L634" s="185" t="n">
        <v>6</v>
      </c>
      <c r="M634" s="173" t="n">
        <v>28810</v>
      </c>
      <c r="N634" s="184" t="n">
        <v>27081.4</v>
      </c>
      <c r="O634" s="184" t="s">
        <v>1638</v>
      </c>
      <c r="P634" s="187" t="n">
        <v>45920</v>
      </c>
      <c r="Q634" s="188" t="n">
        <v>0.362719907407407</v>
      </c>
    </row>
    <row r="635" customFormat="false" ht="35.05" hidden="false" customHeight="false" outlineLevel="0" collapsed="false">
      <c r="A635" s="181" t="s">
        <v>1639</v>
      </c>
      <c r="B635" s="182" t="n">
        <v>1759</v>
      </c>
      <c r="C635" s="183" t="n">
        <v>37749</v>
      </c>
      <c r="D635" s="181" t="s">
        <v>1190</v>
      </c>
      <c r="E635" s="181" t="s">
        <v>537</v>
      </c>
      <c r="F635" s="181" t="s">
        <v>538</v>
      </c>
      <c r="G635" s="181" t="s">
        <v>234</v>
      </c>
      <c r="H635" s="181" t="s">
        <v>279</v>
      </c>
      <c r="I635" s="181" t="s">
        <v>230</v>
      </c>
      <c r="J635" s="184" t="n">
        <v>36170</v>
      </c>
      <c r="K635" s="184" t="n">
        <v>13990</v>
      </c>
      <c r="L635" s="185" t="n">
        <v>8</v>
      </c>
      <c r="M635" s="173" t="n">
        <v>22180</v>
      </c>
      <c r="N635" s="184" t="n">
        <v>20405.6</v>
      </c>
      <c r="O635" s="184" t="s">
        <v>1640</v>
      </c>
      <c r="P635" s="187" t="n">
        <v>45920</v>
      </c>
      <c r="Q635" s="188" t="n">
        <v>0.45150462962963</v>
      </c>
    </row>
    <row r="636" customFormat="false" ht="35.05" hidden="false" customHeight="false" outlineLevel="0" collapsed="false">
      <c r="A636" s="181" t="s">
        <v>1641</v>
      </c>
      <c r="B636" s="182" t="n">
        <v>1761</v>
      </c>
      <c r="C636" s="183" t="n">
        <v>37755</v>
      </c>
      <c r="D636" s="181" t="s">
        <v>1190</v>
      </c>
      <c r="E636" s="181" t="s">
        <v>439</v>
      </c>
      <c r="F636" s="181" t="s">
        <v>440</v>
      </c>
      <c r="G636" s="181" t="s">
        <v>234</v>
      </c>
      <c r="H636" s="181" t="s">
        <v>279</v>
      </c>
      <c r="I636" s="181" t="s">
        <v>230</v>
      </c>
      <c r="J636" s="184" t="n">
        <v>41690</v>
      </c>
      <c r="K636" s="184" t="n">
        <v>16310</v>
      </c>
      <c r="L636" s="185" t="n">
        <v>6</v>
      </c>
      <c r="M636" s="173" t="n">
        <v>25380</v>
      </c>
      <c r="N636" s="184" t="n">
        <v>23857.2</v>
      </c>
      <c r="O636" s="184" t="s">
        <v>1642</v>
      </c>
      <c r="P636" s="187" t="n">
        <v>45920</v>
      </c>
      <c r="Q636" s="188" t="n">
        <v>0.453344907407407</v>
      </c>
    </row>
    <row r="637" customFormat="false" ht="35.05" hidden="false" customHeight="false" outlineLevel="0" collapsed="false">
      <c r="A637" s="181" t="s">
        <v>1643</v>
      </c>
      <c r="B637" s="182" t="n">
        <v>1764</v>
      </c>
      <c r="C637" s="183" t="n">
        <v>37753</v>
      </c>
      <c r="D637" s="181" t="s">
        <v>1190</v>
      </c>
      <c r="E637" s="181" t="s">
        <v>541</v>
      </c>
      <c r="F637" s="181" t="s">
        <v>542</v>
      </c>
      <c r="G637" s="181" t="s">
        <v>234</v>
      </c>
      <c r="H637" s="181" t="s">
        <v>279</v>
      </c>
      <c r="I637" s="181" t="s">
        <v>230</v>
      </c>
      <c r="J637" s="184" t="n">
        <v>40790</v>
      </c>
      <c r="K637" s="184" t="n">
        <v>14950</v>
      </c>
      <c r="L637" s="185" t="n">
        <v>8</v>
      </c>
      <c r="M637" s="173" t="n">
        <v>25840</v>
      </c>
      <c r="N637" s="184" t="n">
        <v>23772.8</v>
      </c>
      <c r="O637" s="184" t="s">
        <v>1644</v>
      </c>
      <c r="P637" s="187" t="n">
        <v>45920</v>
      </c>
      <c r="Q637" s="188" t="n">
        <v>0.60099537037037</v>
      </c>
    </row>
    <row r="638" customFormat="false" ht="46.25" hidden="false" customHeight="false" outlineLevel="0" collapsed="false">
      <c r="A638" s="181" t="s">
        <v>1645</v>
      </c>
      <c r="B638" s="182" t="n">
        <v>1768</v>
      </c>
      <c r="C638" s="183" t="n">
        <v>155</v>
      </c>
      <c r="D638" s="181" t="s">
        <v>1509</v>
      </c>
      <c r="E638" s="181" t="s">
        <v>1646</v>
      </c>
      <c r="F638" s="181" t="s">
        <v>1647</v>
      </c>
      <c r="G638" s="181" t="s">
        <v>1512</v>
      </c>
      <c r="H638" s="181" t="s">
        <v>1513</v>
      </c>
      <c r="I638" s="181" t="s">
        <v>238</v>
      </c>
      <c r="J638" s="184" t="n">
        <v>24080</v>
      </c>
      <c r="K638" s="184" t="n">
        <v>14330</v>
      </c>
      <c r="L638" s="185" t="n">
        <v>30</v>
      </c>
      <c r="M638" s="173" t="n">
        <v>9750</v>
      </c>
      <c r="N638" s="184" t="n">
        <v>6825</v>
      </c>
      <c r="O638" s="184" t="s">
        <v>1648</v>
      </c>
      <c r="P638" s="187" t="n">
        <v>45920</v>
      </c>
      <c r="Q638" s="188" t="n">
        <v>0.603032407407407</v>
      </c>
    </row>
    <row r="639" customFormat="false" ht="46.25" hidden="false" customHeight="false" outlineLevel="0" collapsed="false">
      <c r="A639" s="181" t="s">
        <v>1649</v>
      </c>
      <c r="B639" s="182" t="n">
        <v>1769</v>
      </c>
      <c r="C639" s="183" t="n">
        <v>156</v>
      </c>
      <c r="D639" s="181" t="s">
        <v>1509</v>
      </c>
      <c r="E639" s="181" t="s">
        <v>261</v>
      </c>
      <c r="F639" s="181" t="s">
        <v>262</v>
      </c>
      <c r="G639" s="181" t="s">
        <v>1512</v>
      </c>
      <c r="H639" s="181" t="s">
        <v>1513</v>
      </c>
      <c r="I639" s="181" t="s">
        <v>238</v>
      </c>
      <c r="J639" s="184" t="n">
        <v>34840</v>
      </c>
      <c r="K639" s="184" t="n">
        <v>15140</v>
      </c>
      <c r="L639" s="185" t="n">
        <v>21</v>
      </c>
      <c r="M639" s="173" t="n">
        <v>19700</v>
      </c>
      <c r="N639" s="184" t="n">
        <v>15563</v>
      </c>
      <c r="O639" s="184" t="s">
        <v>1650</v>
      </c>
      <c r="P639" s="187" t="n">
        <v>45920</v>
      </c>
      <c r="Q639" s="188" t="n">
        <v>0.696527777777778</v>
      </c>
    </row>
    <row r="640" customFormat="false" ht="35.05" hidden="false" customHeight="false" outlineLevel="0" collapsed="false">
      <c r="A640" s="181" t="s">
        <v>1651</v>
      </c>
      <c r="B640" s="182" t="n">
        <v>1770</v>
      </c>
      <c r="C640" s="183" t="n">
        <v>37751</v>
      </c>
      <c r="D640" s="181" t="s">
        <v>1190</v>
      </c>
      <c r="E640" s="181" t="s">
        <v>1510</v>
      </c>
      <c r="F640" s="181" t="s">
        <v>1511</v>
      </c>
      <c r="G640" s="181" t="s">
        <v>234</v>
      </c>
      <c r="H640" s="181" t="s">
        <v>279</v>
      </c>
      <c r="I640" s="181" t="s">
        <v>230</v>
      </c>
      <c r="J640" s="184" t="n">
        <v>24020</v>
      </c>
      <c r="K640" s="184" t="n">
        <v>14170</v>
      </c>
      <c r="L640" s="185" t="n">
        <v>4</v>
      </c>
      <c r="M640" s="173" t="n">
        <v>9850</v>
      </c>
      <c r="N640" s="184" t="n">
        <v>9456</v>
      </c>
      <c r="O640" s="184" t="s">
        <v>1652</v>
      </c>
      <c r="P640" s="187" t="n">
        <v>45920</v>
      </c>
      <c r="Q640" s="188" t="n">
        <v>0.959386574074074</v>
      </c>
    </row>
    <row r="641" customFormat="false" ht="46.25" hidden="false" customHeight="false" outlineLevel="0" collapsed="false">
      <c r="A641" s="181" t="s">
        <v>1653</v>
      </c>
      <c r="B641" s="182" t="n">
        <v>1771</v>
      </c>
      <c r="C641" s="183" t="n">
        <v>157</v>
      </c>
      <c r="D641" s="181" t="s">
        <v>1509</v>
      </c>
      <c r="E641" s="181" t="s">
        <v>296</v>
      </c>
      <c r="F641" s="181" t="s">
        <v>297</v>
      </c>
      <c r="G641" s="181" t="s">
        <v>1512</v>
      </c>
      <c r="H641" s="181" t="s">
        <v>1513</v>
      </c>
      <c r="I641" s="181" t="s">
        <v>238</v>
      </c>
      <c r="J641" s="184" t="n">
        <v>37700</v>
      </c>
      <c r="K641" s="184" t="n">
        <v>15500</v>
      </c>
      <c r="L641" s="185" t="n">
        <v>32</v>
      </c>
      <c r="M641" s="173" t="n">
        <v>22200</v>
      </c>
      <c r="N641" s="184" t="n">
        <v>15096</v>
      </c>
      <c r="O641" s="184" t="s">
        <v>1654</v>
      </c>
      <c r="P641" s="187" t="n">
        <v>45920</v>
      </c>
      <c r="Q641" s="188" t="n">
        <v>0.72537037037037</v>
      </c>
    </row>
    <row r="642" customFormat="false" ht="46.25" hidden="false" customHeight="false" outlineLevel="0" collapsed="false">
      <c r="A642" s="181" t="s">
        <v>1655</v>
      </c>
      <c r="B642" s="182" t="n">
        <v>1772</v>
      </c>
      <c r="C642" s="183" t="n">
        <v>158</v>
      </c>
      <c r="D642" s="181" t="s">
        <v>1509</v>
      </c>
      <c r="E642" s="181" t="s">
        <v>576</v>
      </c>
      <c r="F642" s="181" t="s">
        <v>577</v>
      </c>
      <c r="G642" s="181" t="s">
        <v>1512</v>
      </c>
      <c r="H642" s="181" t="s">
        <v>1513</v>
      </c>
      <c r="I642" s="181" t="s">
        <v>238</v>
      </c>
      <c r="J642" s="184" t="n">
        <v>37170</v>
      </c>
      <c r="K642" s="184" t="n">
        <v>14620</v>
      </c>
      <c r="L642" s="185" t="n">
        <v>33</v>
      </c>
      <c r="M642" s="173" t="n">
        <v>22550</v>
      </c>
      <c r="N642" s="184" t="n">
        <v>15108.5</v>
      </c>
      <c r="O642" s="184" t="s">
        <v>1656</v>
      </c>
      <c r="P642" s="187" t="n">
        <v>45920</v>
      </c>
      <c r="Q642" s="188" t="n">
        <v>0.813842592592593</v>
      </c>
    </row>
    <row r="643" customFormat="false" ht="46.25" hidden="false" customHeight="false" outlineLevel="0" collapsed="false">
      <c r="A643" s="181" t="s">
        <v>1657</v>
      </c>
      <c r="B643" s="182" t="n">
        <v>1773</v>
      </c>
      <c r="C643" s="183" t="n">
        <v>159</v>
      </c>
      <c r="D643" s="181" t="s">
        <v>1509</v>
      </c>
      <c r="E643" s="181" t="s">
        <v>1646</v>
      </c>
      <c r="F643" s="181" t="s">
        <v>1647</v>
      </c>
      <c r="G643" s="181" t="s">
        <v>1512</v>
      </c>
      <c r="H643" s="181" t="s">
        <v>1513</v>
      </c>
      <c r="I643" s="181" t="s">
        <v>238</v>
      </c>
      <c r="J643" s="184" t="n">
        <v>25480</v>
      </c>
      <c r="K643" s="184" t="n">
        <v>14600</v>
      </c>
      <c r="L643" s="185" t="n">
        <v>27</v>
      </c>
      <c r="M643" s="173" t="n">
        <v>10880</v>
      </c>
      <c r="N643" s="184" t="n">
        <v>7942.4</v>
      </c>
      <c r="O643" s="184" t="s">
        <v>1658</v>
      </c>
      <c r="P643" s="187" t="n">
        <v>45920</v>
      </c>
      <c r="Q643" s="188" t="n">
        <v>0.817951388888889</v>
      </c>
    </row>
    <row r="644" customFormat="false" ht="46.25" hidden="false" customHeight="false" outlineLevel="0" collapsed="false">
      <c r="A644" s="181" t="s">
        <v>1659</v>
      </c>
      <c r="B644" s="182" t="n">
        <v>1774</v>
      </c>
      <c r="C644" s="183" t="n">
        <v>160</v>
      </c>
      <c r="D644" s="181" t="s">
        <v>1509</v>
      </c>
      <c r="E644" s="181" t="s">
        <v>261</v>
      </c>
      <c r="F644" s="181" t="s">
        <v>262</v>
      </c>
      <c r="G644" s="181" t="s">
        <v>1512</v>
      </c>
      <c r="H644" s="181" t="s">
        <v>1513</v>
      </c>
      <c r="I644" s="181" t="s">
        <v>238</v>
      </c>
      <c r="J644" s="184" t="n">
        <v>37590</v>
      </c>
      <c r="K644" s="184" t="n">
        <v>15380</v>
      </c>
      <c r="L644" s="185" t="n">
        <v>22</v>
      </c>
      <c r="M644" s="173" t="n">
        <v>22210</v>
      </c>
      <c r="N644" s="184" t="n">
        <v>17323.8</v>
      </c>
      <c r="O644" s="184" t="s">
        <v>1660</v>
      </c>
      <c r="P644" s="187" t="n">
        <v>45920</v>
      </c>
      <c r="Q644" s="188" t="n">
        <v>0.880034722222222</v>
      </c>
    </row>
    <row r="645" customFormat="false" ht="35.05" hidden="false" customHeight="false" outlineLevel="0" collapsed="false">
      <c r="A645" s="181" t="s">
        <v>1661</v>
      </c>
      <c r="B645" s="182" t="n">
        <v>1775</v>
      </c>
      <c r="C645" s="183" t="n">
        <v>37740</v>
      </c>
      <c r="D645" s="181" t="s">
        <v>1190</v>
      </c>
      <c r="E645" s="181" t="s">
        <v>399</v>
      </c>
      <c r="F645" s="181" t="s">
        <v>400</v>
      </c>
      <c r="G645" s="181" t="s">
        <v>234</v>
      </c>
      <c r="H645" s="181" t="s">
        <v>279</v>
      </c>
      <c r="I645" s="181" t="s">
        <v>230</v>
      </c>
      <c r="J645" s="184" t="n">
        <v>48500</v>
      </c>
      <c r="K645" s="184" t="n">
        <v>19270</v>
      </c>
      <c r="L645" s="185" t="n">
        <v>4</v>
      </c>
      <c r="M645" s="173" t="n">
        <v>29230</v>
      </c>
      <c r="N645" s="184" t="n">
        <v>28060.8</v>
      </c>
      <c r="O645" s="184" t="s">
        <v>1662</v>
      </c>
      <c r="P645" s="187" t="n">
        <v>45920</v>
      </c>
      <c r="Q645" s="188" t="n">
        <v>0.85162037037037</v>
      </c>
    </row>
    <row r="646" customFormat="false" ht="46.25" hidden="false" customHeight="false" outlineLevel="0" collapsed="false">
      <c r="A646" s="181" t="s">
        <v>1663</v>
      </c>
      <c r="B646" s="182" t="n">
        <v>1776</v>
      </c>
      <c r="C646" s="183" t="n">
        <v>161</v>
      </c>
      <c r="D646" s="181" t="s">
        <v>1509</v>
      </c>
      <c r="E646" s="181" t="s">
        <v>296</v>
      </c>
      <c r="F646" s="181" t="s">
        <v>297</v>
      </c>
      <c r="G646" s="181" t="s">
        <v>1512</v>
      </c>
      <c r="H646" s="181" t="s">
        <v>1513</v>
      </c>
      <c r="I646" s="181" t="s">
        <v>238</v>
      </c>
      <c r="J646" s="184" t="n">
        <v>33080</v>
      </c>
      <c r="K646" s="184" t="n">
        <v>15820</v>
      </c>
      <c r="L646" s="185" t="n">
        <v>31</v>
      </c>
      <c r="M646" s="173" t="n">
        <v>17260</v>
      </c>
      <c r="N646" s="184" t="n">
        <v>11909.4</v>
      </c>
      <c r="O646" s="184" t="s">
        <v>1664</v>
      </c>
      <c r="P646" s="187" t="n">
        <v>45920</v>
      </c>
      <c r="Q646" s="188" t="n">
        <v>0.933125</v>
      </c>
    </row>
    <row r="647" customFormat="false" ht="46.25" hidden="false" customHeight="false" outlineLevel="0" collapsed="false">
      <c r="A647" s="181" t="s">
        <v>1665</v>
      </c>
      <c r="B647" s="182" t="n">
        <v>1777</v>
      </c>
      <c r="C647" s="183" t="n">
        <v>162</v>
      </c>
      <c r="D647" s="181" t="s">
        <v>1509</v>
      </c>
      <c r="E647" s="181" t="s">
        <v>576</v>
      </c>
      <c r="F647" s="181" t="s">
        <v>577</v>
      </c>
      <c r="G647" s="181" t="s">
        <v>1512</v>
      </c>
      <c r="H647" s="181" t="s">
        <v>1513</v>
      </c>
      <c r="I647" s="181" t="s">
        <v>238</v>
      </c>
      <c r="J647" s="184" t="n">
        <v>37650</v>
      </c>
      <c r="K647" s="184" t="n">
        <v>14710</v>
      </c>
      <c r="L647" s="185" t="n">
        <v>16</v>
      </c>
      <c r="M647" s="173" t="n">
        <v>22940</v>
      </c>
      <c r="N647" s="184" t="n">
        <v>19269.6</v>
      </c>
      <c r="O647" s="184" t="s">
        <v>1666</v>
      </c>
      <c r="P647" s="187" t="n">
        <v>45921</v>
      </c>
      <c r="Q647" s="188" t="n">
        <v>0.748356481481482</v>
      </c>
    </row>
    <row r="648" customFormat="false" ht="46.25" hidden="false" customHeight="false" outlineLevel="0" collapsed="false">
      <c r="A648" s="181" t="s">
        <v>1667</v>
      </c>
      <c r="B648" s="182" t="n">
        <v>1778</v>
      </c>
      <c r="C648" s="183" t="n">
        <v>163</v>
      </c>
      <c r="D648" s="181" t="s">
        <v>1509</v>
      </c>
      <c r="E648" s="181" t="s">
        <v>1510</v>
      </c>
      <c r="F648" s="181" t="s">
        <v>1511</v>
      </c>
      <c r="G648" s="181" t="s">
        <v>1512</v>
      </c>
      <c r="H648" s="181" t="s">
        <v>1513</v>
      </c>
      <c r="I648" s="181" t="s">
        <v>238</v>
      </c>
      <c r="J648" s="184" t="n">
        <v>32320</v>
      </c>
      <c r="K648" s="184" t="n">
        <v>14210</v>
      </c>
      <c r="L648" s="185" t="n">
        <v>15</v>
      </c>
      <c r="M648" s="173" t="n">
        <v>18110</v>
      </c>
      <c r="N648" s="184" t="n">
        <v>15393.5</v>
      </c>
      <c r="O648" s="184" t="s">
        <v>1668</v>
      </c>
      <c r="P648" s="187" t="n">
        <v>45921</v>
      </c>
      <c r="Q648" s="188" t="n">
        <v>0.753703703703704</v>
      </c>
    </row>
    <row r="649" customFormat="false" ht="46.25" hidden="false" customHeight="false" outlineLevel="0" collapsed="false">
      <c r="A649" s="181" t="s">
        <v>1669</v>
      </c>
      <c r="B649" s="182" t="n">
        <v>1779</v>
      </c>
      <c r="C649" s="183" t="n">
        <v>164</v>
      </c>
      <c r="D649" s="181" t="s">
        <v>1509</v>
      </c>
      <c r="E649" s="181" t="s">
        <v>261</v>
      </c>
      <c r="F649" s="181" t="s">
        <v>262</v>
      </c>
      <c r="G649" s="181" t="s">
        <v>1512</v>
      </c>
      <c r="H649" s="181" t="s">
        <v>1513</v>
      </c>
      <c r="I649" s="181" t="s">
        <v>238</v>
      </c>
      <c r="J649" s="184" t="n">
        <v>38100</v>
      </c>
      <c r="K649" s="184" t="n">
        <v>15150</v>
      </c>
      <c r="L649" s="185" t="n">
        <v>8</v>
      </c>
      <c r="M649" s="173" t="n">
        <v>22950</v>
      </c>
      <c r="N649" s="184" t="n">
        <v>21114</v>
      </c>
      <c r="O649" s="184" t="s">
        <v>1670</v>
      </c>
      <c r="P649" s="187" t="n">
        <v>45921</v>
      </c>
      <c r="Q649" s="188" t="n">
        <v>0.81494212962963</v>
      </c>
    </row>
    <row r="650" customFormat="false" ht="46.25" hidden="false" customHeight="false" outlineLevel="0" collapsed="false">
      <c r="A650" s="181" t="s">
        <v>1671</v>
      </c>
      <c r="B650" s="182" t="n">
        <v>1780</v>
      </c>
      <c r="C650" s="183" t="n">
        <v>165</v>
      </c>
      <c r="D650" s="181" t="s">
        <v>1509</v>
      </c>
      <c r="E650" s="181" t="s">
        <v>576</v>
      </c>
      <c r="F650" s="181" t="s">
        <v>577</v>
      </c>
      <c r="G650" s="181" t="s">
        <v>1512</v>
      </c>
      <c r="H650" s="181" t="s">
        <v>1672</v>
      </c>
      <c r="I650" s="181" t="s">
        <v>238</v>
      </c>
      <c r="J650" s="184" t="n">
        <v>37510</v>
      </c>
      <c r="K650" s="184" t="n">
        <v>14680</v>
      </c>
      <c r="L650" s="185" t="n">
        <v>4</v>
      </c>
      <c r="M650" s="173" t="n">
        <v>22830</v>
      </c>
      <c r="N650" s="184" t="n">
        <v>21916.8</v>
      </c>
      <c r="O650" s="184" t="s">
        <v>1673</v>
      </c>
      <c r="P650" s="187" t="n">
        <v>45921</v>
      </c>
      <c r="Q650" s="188" t="n">
        <v>0.758506944444444</v>
      </c>
    </row>
    <row r="651" customFormat="false" ht="46.25" hidden="false" customHeight="false" outlineLevel="0" collapsed="false">
      <c r="A651" s="181" t="s">
        <v>1674</v>
      </c>
      <c r="B651" s="182" t="n">
        <v>1781</v>
      </c>
      <c r="C651" s="183" t="n">
        <v>166</v>
      </c>
      <c r="D651" s="181" t="s">
        <v>1509</v>
      </c>
      <c r="E651" s="181" t="s">
        <v>1510</v>
      </c>
      <c r="F651" s="181" t="s">
        <v>1511</v>
      </c>
      <c r="G651" s="181" t="s">
        <v>1512</v>
      </c>
      <c r="H651" s="181" t="s">
        <v>1672</v>
      </c>
      <c r="I651" s="181" t="s">
        <v>238</v>
      </c>
      <c r="J651" s="184" t="n">
        <v>22380</v>
      </c>
      <c r="K651" s="184" t="n">
        <v>14190</v>
      </c>
      <c r="L651" s="185" t="n">
        <v>10</v>
      </c>
      <c r="M651" s="173" t="n">
        <v>8190</v>
      </c>
      <c r="N651" s="184" t="n">
        <v>7371</v>
      </c>
      <c r="O651" s="184" t="s">
        <v>1675</v>
      </c>
      <c r="P651" s="187" t="n">
        <v>45921</v>
      </c>
      <c r="Q651" s="188" t="n">
        <v>0.764490740740741</v>
      </c>
    </row>
    <row r="652" customFormat="false" ht="35.05" hidden="false" customHeight="false" outlineLevel="0" collapsed="false">
      <c r="A652" s="181" t="s">
        <v>1676</v>
      </c>
      <c r="B652" s="182" t="n">
        <v>1789</v>
      </c>
      <c r="C652" s="183" t="n">
        <v>167</v>
      </c>
      <c r="D652" s="181" t="s">
        <v>1509</v>
      </c>
      <c r="E652" s="181" t="s">
        <v>332</v>
      </c>
      <c r="F652" s="181" t="s">
        <v>333</v>
      </c>
      <c r="G652" s="181" t="s">
        <v>103</v>
      </c>
      <c r="H652" s="181" t="s">
        <v>87</v>
      </c>
      <c r="I652" s="181" t="s">
        <v>1677</v>
      </c>
      <c r="J652" s="184" t="n">
        <v>37340</v>
      </c>
      <c r="K652" s="184" t="n">
        <v>14870</v>
      </c>
      <c r="L652" s="185" t="n">
        <v>17</v>
      </c>
      <c r="M652" s="173" t="n">
        <v>22470</v>
      </c>
      <c r="N652" s="184" t="n">
        <v>18650.1</v>
      </c>
      <c r="O652" s="184" t="s">
        <v>1678</v>
      </c>
      <c r="P652" s="187" t="n">
        <v>45925</v>
      </c>
      <c r="Q652" s="188" t="n">
        <v>0.506006944444445</v>
      </c>
    </row>
    <row r="653" customFormat="false" ht="35.05" hidden="false" customHeight="false" outlineLevel="0" collapsed="false">
      <c r="A653" s="181" t="s">
        <v>1679</v>
      </c>
      <c r="B653" s="182" t="n">
        <v>1790</v>
      </c>
      <c r="C653" s="183" t="n">
        <v>168</v>
      </c>
      <c r="D653" s="181" t="s">
        <v>1509</v>
      </c>
      <c r="E653" s="181" t="s">
        <v>292</v>
      </c>
      <c r="F653" s="181" t="s">
        <v>293</v>
      </c>
      <c r="G653" s="181" t="s">
        <v>103</v>
      </c>
      <c r="H653" s="181" t="s">
        <v>87</v>
      </c>
      <c r="I653" s="181" t="s">
        <v>1677</v>
      </c>
      <c r="J653" s="184" t="n">
        <v>34150</v>
      </c>
      <c r="K653" s="184" t="n">
        <v>13950</v>
      </c>
      <c r="L653" s="185" t="n">
        <v>26</v>
      </c>
      <c r="M653" s="173" t="n">
        <v>20200</v>
      </c>
      <c r="N653" s="184" t="n">
        <v>14948</v>
      </c>
      <c r="O653" s="184" t="s">
        <v>1680</v>
      </c>
      <c r="P653" s="187" t="n">
        <v>45925</v>
      </c>
      <c r="Q653" s="188" t="n">
        <v>0.56599537037037</v>
      </c>
    </row>
    <row r="654" customFormat="false" ht="35.05" hidden="false" customHeight="false" outlineLevel="0" collapsed="false">
      <c r="A654" s="181" t="s">
        <v>1681</v>
      </c>
      <c r="B654" s="182" t="n">
        <v>1791</v>
      </c>
      <c r="C654" s="183" t="n">
        <v>169</v>
      </c>
      <c r="D654" s="181" t="s">
        <v>1509</v>
      </c>
      <c r="E654" s="181" t="s">
        <v>288</v>
      </c>
      <c r="F654" s="181" t="s">
        <v>289</v>
      </c>
      <c r="G654" s="181" t="s">
        <v>103</v>
      </c>
      <c r="H654" s="181" t="s">
        <v>87</v>
      </c>
      <c r="I654" s="181" t="s">
        <v>1677</v>
      </c>
      <c r="J654" s="184" t="n">
        <v>34070</v>
      </c>
      <c r="K654" s="184" t="n">
        <v>14710</v>
      </c>
      <c r="L654" s="185" t="n">
        <v>10</v>
      </c>
      <c r="M654" s="173" t="n">
        <v>19360</v>
      </c>
      <c r="N654" s="184" t="n">
        <v>17424</v>
      </c>
      <c r="O654" s="184" t="s">
        <v>1682</v>
      </c>
      <c r="P654" s="187" t="n">
        <v>45925</v>
      </c>
      <c r="Q654" s="188" t="n">
        <v>0.584224537037037</v>
      </c>
    </row>
    <row r="655" customFormat="false" ht="35.05" hidden="false" customHeight="false" outlineLevel="0" collapsed="false">
      <c r="A655" s="181" t="s">
        <v>1683</v>
      </c>
      <c r="B655" s="182" t="n">
        <v>1792</v>
      </c>
      <c r="C655" s="183" t="n">
        <v>170</v>
      </c>
      <c r="D655" s="181" t="s">
        <v>1509</v>
      </c>
      <c r="E655" s="181" t="s">
        <v>332</v>
      </c>
      <c r="F655" s="181" t="s">
        <v>333</v>
      </c>
      <c r="G655" s="181" t="s">
        <v>103</v>
      </c>
      <c r="H655" s="181" t="s">
        <v>87</v>
      </c>
      <c r="I655" s="181" t="s">
        <v>1677</v>
      </c>
      <c r="J655" s="184" t="n">
        <v>37180</v>
      </c>
      <c r="K655" s="184" t="n">
        <v>14860</v>
      </c>
      <c r="L655" s="185" t="n">
        <v>8</v>
      </c>
      <c r="M655" s="173" t="n">
        <v>22320</v>
      </c>
      <c r="N655" s="184" t="n">
        <v>20534.4</v>
      </c>
      <c r="O655" s="184" t="s">
        <v>1684</v>
      </c>
      <c r="P655" s="187" t="n">
        <v>45925</v>
      </c>
      <c r="Q655" s="188" t="n">
        <v>0.593969907407407</v>
      </c>
    </row>
    <row r="656" customFormat="false" ht="35.05" hidden="false" customHeight="false" outlineLevel="0" collapsed="false">
      <c r="A656" s="181" t="s">
        <v>1685</v>
      </c>
      <c r="B656" s="182" t="n">
        <v>1793</v>
      </c>
      <c r="C656" s="183" t="n">
        <v>54984</v>
      </c>
      <c r="D656" s="181" t="s">
        <v>1686</v>
      </c>
      <c r="E656" s="181" t="s">
        <v>282</v>
      </c>
      <c r="F656" s="181" t="s">
        <v>283</v>
      </c>
      <c r="G656" s="181" t="s">
        <v>1687</v>
      </c>
      <c r="H656" s="181" t="s">
        <v>279</v>
      </c>
      <c r="I656" s="181" t="s">
        <v>239</v>
      </c>
      <c r="J656" s="184" t="n">
        <v>39420</v>
      </c>
      <c r="K656" s="184" t="n">
        <v>15110</v>
      </c>
      <c r="L656" s="185" t="n">
        <v>5</v>
      </c>
      <c r="M656" s="173" t="n">
        <v>24310</v>
      </c>
      <c r="N656" s="184" t="n">
        <v>23094.5</v>
      </c>
      <c r="O656" s="184" t="s">
        <v>1688</v>
      </c>
      <c r="P656" s="187" t="n">
        <v>45925</v>
      </c>
      <c r="Q656" s="188" t="n">
        <v>0.609571759259259</v>
      </c>
    </row>
    <row r="657" customFormat="false" ht="35.05" hidden="false" customHeight="false" outlineLevel="0" collapsed="false">
      <c r="A657" s="181" t="s">
        <v>1689</v>
      </c>
      <c r="B657" s="182" t="n">
        <v>1794</v>
      </c>
      <c r="C657" s="183" t="n">
        <v>171</v>
      </c>
      <c r="D657" s="181" t="s">
        <v>1509</v>
      </c>
      <c r="E657" s="181" t="s">
        <v>292</v>
      </c>
      <c r="F657" s="181" t="s">
        <v>293</v>
      </c>
      <c r="G657" s="181" t="s">
        <v>103</v>
      </c>
      <c r="H657" s="181" t="s">
        <v>87</v>
      </c>
      <c r="I657" s="181" t="s">
        <v>1677</v>
      </c>
      <c r="J657" s="184" t="n">
        <v>34930</v>
      </c>
      <c r="K657" s="184" t="n">
        <v>13940</v>
      </c>
      <c r="L657" s="185" t="n">
        <v>8</v>
      </c>
      <c r="M657" s="173" t="n">
        <v>20990</v>
      </c>
      <c r="N657" s="184" t="n">
        <v>19310.8</v>
      </c>
      <c r="O657" s="184" t="s">
        <v>1690</v>
      </c>
      <c r="P657" s="187" t="n">
        <v>45925</v>
      </c>
      <c r="Q657" s="188" t="n">
        <v>0.620347222222222</v>
      </c>
    </row>
    <row r="658" customFormat="false" ht="35.05" hidden="false" customHeight="false" outlineLevel="0" collapsed="false">
      <c r="A658" s="181" t="s">
        <v>1691</v>
      </c>
      <c r="B658" s="182" t="n">
        <v>1795</v>
      </c>
      <c r="C658" s="183" t="n">
        <v>172</v>
      </c>
      <c r="D658" s="181" t="s">
        <v>1509</v>
      </c>
      <c r="E658" s="181" t="s">
        <v>288</v>
      </c>
      <c r="F658" s="181" t="s">
        <v>289</v>
      </c>
      <c r="G658" s="181" t="s">
        <v>103</v>
      </c>
      <c r="H658" s="181" t="s">
        <v>87</v>
      </c>
      <c r="I658" s="181" t="s">
        <v>1677</v>
      </c>
      <c r="J658" s="184" t="n">
        <v>32550</v>
      </c>
      <c r="K658" s="184" t="n">
        <v>14700</v>
      </c>
      <c r="L658" s="185" t="n">
        <v>7</v>
      </c>
      <c r="M658" s="173" t="n">
        <v>17850</v>
      </c>
      <c r="N658" s="184" t="n">
        <v>16600.5</v>
      </c>
      <c r="O658" s="184" t="s">
        <v>1692</v>
      </c>
      <c r="P658" s="187" t="n">
        <v>45925</v>
      </c>
      <c r="Q658" s="188" t="n">
        <v>0.642453703703704</v>
      </c>
    </row>
    <row r="659" customFormat="false" ht="35.05" hidden="false" customHeight="false" outlineLevel="0" collapsed="false">
      <c r="A659" s="181" t="s">
        <v>1693</v>
      </c>
      <c r="B659" s="182" t="n">
        <v>1797</v>
      </c>
      <c r="C659" s="183" t="n">
        <v>173</v>
      </c>
      <c r="D659" s="181" t="s">
        <v>1509</v>
      </c>
      <c r="E659" s="181" t="s">
        <v>332</v>
      </c>
      <c r="F659" s="181" t="s">
        <v>333</v>
      </c>
      <c r="G659" s="181" t="s">
        <v>103</v>
      </c>
      <c r="H659" s="181" t="s">
        <v>87</v>
      </c>
      <c r="I659" s="181" t="s">
        <v>1677</v>
      </c>
      <c r="J659" s="184" t="n">
        <v>36110</v>
      </c>
      <c r="K659" s="184" t="n">
        <v>14840</v>
      </c>
      <c r="L659" s="185" t="n">
        <v>14</v>
      </c>
      <c r="M659" s="173" t="n">
        <v>21270</v>
      </c>
      <c r="N659" s="184" t="n">
        <v>18292.2</v>
      </c>
      <c r="O659" s="184" t="s">
        <v>1694</v>
      </c>
      <c r="P659" s="187" t="n">
        <v>45925</v>
      </c>
      <c r="Q659" s="188" t="n">
        <v>0.69130787037037</v>
      </c>
    </row>
    <row r="660" customFormat="false" ht="35.05" hidden="false" customHeight="false" outlineLevel="0" collapsed="false">
      <c r="A660" s="181" t="s">
        <v>1695</v>
      </c>
      <c r="B660" s="182" t="n">
        <v>1799</v>
      </c>
      <c r="C660" s="183" t="n">
        <v>174</v>
      </c>
      <c r="D660" s="181" t="s">
        <v>1509</v>
      </c>
      <c r="E660" s="181" t="s">
        <v>282</v>
      </c>
      <c r="F660" s="181" t="s">
        <v>283</v>
      </c>
      <c r="G660" s="181" t="s">
        <v>103</v>
      </c>
      <c r="H660" s="181" t="s">
        <v>87</v>
      </c>
      <c r="I660" s="181" t="s">
        <v>1677</v>
      </c>
      <c r="J660" s="184" t="n">
        <v>37490</v>
      </c>
      <c r="K660" s="184" t="n">
        <v>15110</v>
      </c>
      <c r="L660" s="185" t="n">
        <v>11</v>
      </c>
      <c r="M660" s="173" t="n">
        <v>22380</v>
      </c>
      <c r="N660" s="184" t="n">
        <v>19918.2</v>
      </c>
      <c r="O660" s="184" t="s">
        <v>1696</v>
      </c>
      <c r="P660" s="187" t="n">
        <v>45925</v>
      </c>
      <c r="Q660" s="188" t="n">
        <v>0.732858796296296</v>
      </c>
    </row>
    <row r="661" customFormat="false" ht="35.05" hidden="false" customHeight="false" outlineLevel="0" collapsed="false">
      <c r="A661" s="181" t="s">
        <v>1697</v>
      </c>
      <c r="B661" s="182" t="n">
        <v>1801</v>
      </c>
      <c r="C661" s="183" t="n">
        <v>175</v>
      </c>
      <c r="D661" s="181" t="s">
        <v>1509</v>
      </c>
      <c r="E661" s="181" t="s">
        <v>292</v>
      </c>
      <c r="F661" s="181" t="s">
        <v>293</v>
      </c>
      <c r="G661" s="181" t="s">
        <v>103</v>
      </c>
      <c r="H661" s="181" t="s">
        <v>87</v>
      </c>
      <c r="I661" s="181" t="s">
        <v>1677</v>
      </c>
      <c r="J661" s="184" t="n">
        <v>35850</v>
      </c>
      <c r="K661" s="184" t="n">
        <v>13930</v>
      </c>
      <c r="L661" s="185" t="n">
        <v>20</v>
      </c>
      <c r="M661" s="173" t="n">
        <v>21920</v>
      </c>
      <c r="N661" s="184" t="n">
        <v>17536</v>
      </c>
      <c r="O661" s="184" t="s">
        <v>1698</v>
      </c>
      <c r="P661" s="187" t="n">
        <v>45925</v>
      </c>
      <c r="Q661" s="188" t="n">
        <v>0.75181712962963</v>
      </c>
    </row>
    <row r="662" customFormat="false" ht="35.05" hidden="false" customHeight="false" outlineLevel="0" collapsed="false">
      <c r="A662" s="181" t="s">
        <v>1699</v>
      </c>
      <c r="B662" s="182" t="n">
        <v>1802</v>
      </c>
      <c r="C662" s="183" t="n">
        <v>176</v>
      </c>
      <c r="D662" s="181" t="s">
        <v>1509</v>
      </c>
      <c r="E662" s="181" t="s">
        <v>288</v>
      </c>
      <c r="F662" s="181" t="s">
        <v>289</v>
      </c>
      <c r="G662" s="181" t="s">
        <v>103</v>
      </c>
      <c r="H662" s="181" t="s">
        <v>87</v>
      </c>
      <c r="I662" s="181" t="s">
        <v>1677</v>
      </c>
      <c r="J662" s="184" t="n">
        <v>30940</v>
      </c>
      <c r="K662" s="184" t="n">
        <v>14690</v>
      </c>
      <c r="L662" s="185" t="n">
        <v>8</v>
      </c>
      <c r="M662" s="173" t="n">
        <v>16250</v>
      </c>
      <c r="N662" s="184" t="n">
        <v>14950</v>
      </c>
      <c r="O662" s="184" t="s">
        <v>1700</v>
      </c>
      <c r="P662" s="187" t="n">
        <v>45925</v>
      </c>
      <c r="Q662" s="188" t="n">
        <v>0.774282407407407</v>
      </c>
    </row>
    <row r="663" customFormat="false" ht="35.05" hidden="false" customHeight="false" outlineLevel="0" collapsed="false">
      <c r="A663" s="181" t="s">
        <v>1701</v>
      </c>
      <c r="B663" s="182" t="n">
        <v>1803</v>
      </c>
      <c r="C663" s="183" t="n">
        <v>173</v>
      </c>
      <c r="D663" s="181" t="s">
        <v>1509</v>
      </c>
      <c r="E663" s="181" t="s">
        <v>332</v>
      </c>
      <c r="F663" s="181" t="s">
        <v>333</v>
      </c>
      <c r="G663" s="181" t="s">
        <v>103</v>
      </c>
      <c r="H663" s="181" t="s">
        <v>87</v>
      </c>
      <c r="I663" s="181" t="s">
        <v>1677</v>
      </c>
      <c r="J663" s="184" t="n">
        <v>37140</v>
      </c>
      <c r="K663" s="184" t="n">
        <v>14830</v>
      </c>
      <c r="L663" s="185" t="n">
        <v>13</v>
      </c>
      <c r="M663" s="173" t="n">
        <v>22310</v>
      </c>
      <c r="N663" s="184" t="n">
        <v>19409.7</v>
      </c>
      <c r="O663" s="184" t="s">
        <v>1702</v>
      </c>
      <c r="P663" s="187" t="n">
        <v>45925</v>
      </c>
      <c r="Q663" s="188" t="n">
        <v>0.839699074074074</v>
      </c>
    </row>
    <row r="664" customFormat="false" ht="35.05" hidden="false" customHeight="false" outlineLevel="0" collapsed="false">
      <c r="A664" s="181" t="s">
        <v>1703</v>
      </c>
      <c r="B664" s="182" t="n">
        <v>1804</v>
      </c>
      <c r="C664" s="183" t="n">
        <v>178</v>
      </c>
      <c r="D664" s="181" t="s">
        <v>1509</v>
      </c>
      <c r="E664" s="181" t="s">
        <v>282</v>
      </c>
      <c r="F664" s="181" t="s">
        <v>283</v>
      </c>
      <c r="G664" s="181" t="s">
        <v>103</v>
      </c>
      <c r="H664" s="181" t="s">
        <v>87</v>
      </c>
      <c r="I664" s="181" t="s">
        <v>1677</v>
      </c>
      <c r="J664" s="184" t="n">
        <v>38710</v>
      </c>
      <c r="K664" s="184" t="n">
        <v>15090</v>
      </c>
      <c r="L664" s="185" t="n">
        <v>6</v>
      </c>
      <c r="M664" s="173" t="n">
        <v>23620</v>
      </c>
      <c r="N664" s="184" t="n">
        <v>22202.8</v>
      </c>
      <c r="O664" s="184" t="s">
        <v>1704</v>
      </c>
      <c r="P664" s="187" t="n">
        <v>45925</v>
      </c>
      <c r="Q664" s="188" t="n">
        <v>0.883032407407407</v>
      </c>
    </row>
    <row r="665" customFormat="false" ht="35.05" hidden="false" customHeight="false" outlineLevel="0" collapsed="false">
      <c r="A665" s="181" t="s">
        <v>1705</v>
      </c>
      <c r="B665" s="182" t="n">
        <v>1806</v>
      </c>
      <c r="C665" s="183" t="n">
        <v>179</v>
      </c>
      <c r="D665" s="181" t="s">
        <v>1509</v>
      </c>
      <c r="E665" s="181" t="s">
        <v>292</v>
      </c>
      <c r="F665" s="181" t="s">
        <v>293</v>
      </c>
      <c r="G665" s="181" t="s">
        <v>103</v>
      </c>
      <c r="H665" s="181" t="s">
        <v>87</v>
      </c>
      <c r="I665" s="181" t="s">
        <v>1677</v>
      </c>
      <c r="J665" s="184" t="n">
        <v>34160</v>
      </c>
      <c r="K665" s="184" t="n">
        <v>13920</v>
      </c>
      <c r="L665" s="185" t="n">
        <v>8</v>
      </c>
      <c r="M665" s="173" t="n">
        <v>20240</v>
      </c>
      <c r="N665" s="184" t="n">
        <v>18620.8</v>
      </c>
      <c r="O665" s="184" t="s">
        <v>1706</v>
      </c>
      <c r="P665" s="187" t="n">
        <v>45925</v>
      </c>
      <c r="Q665" s="188" t="n">
        <v>0.925127314814815</v>
      </c>
    </row>
    <row r="666" customFormat="false" ht="35.05" hidden="false" customHeight="false" outlineLevel="0" collapsed="false">
      <c r="A666" s="181" t="s">
        <v>1707</v>
      </c>
      <c r="B666" s="182" t="n">
        <v>1808</v>
      </c>
      <c r="C666" s="183" t="n">
        <v>180</v>
      </c>
      <c r="D666" s="181" t="s">
        <v>1509</v>
      </c>
      <c r="E666" s="181" t="s">
        <v>288</v>
      </c>
      <c r="F666" s="181" t="s">
        <v>289</v>
      </c>
      <c r="G666" s="181" t="s">
        <v>103</v>
      </c>
      <c r="H666" s="181" t="s">
        <v>87</v>
      </c>
      <c r="I666" s="181" t="s">
        <v>1677</v>
      </c>
      <c r="J666" s="184" t="n">
        <v>32270</v>
      </c>
      <c r="K666" s="184" t="n">
        <v>14680</v>
      </c>
      <c r="L666" s="185" t="n">
        <v>8</v>
      </c>
      <c r="M666" s="173" t="n">
        <v>17590</v>
      </c>
      <c r="N666" s="184" t="n">
        <v>16182.8</v>
      </c>
      <c r="O666" s="184" t="s">
        <v>1708</v>
      </c>
      <c r="P666" s="187" t="n">
        <v>45925</v>
      </c>
      <c r="Q666" s="188" t="n">
        <v>0.938993055555556</v>
      </c>
    </row>
    <row r="667" customFormat="false" ht="35.05" hidden="false" customHeight="false" outlineLevel="0" collapsed="false">
      <c r="A667" s="181" t="s">
        <v>1709</v>
      </c>
      <c r="B667" s="182" t="n">
        <v>1809</v>
      </c>
      <c r="C667" s="183" t="n">
        <v>181</v>
      </c>
      <c r="D667" s="181" t="s">
        <v>1509</v>
      </c>
      <c r="E667" s="181" t="s">
        <v>332</v>
      </c>
      <c r="F667" s="181" t="s">
        <v>333</v>
      </c>
      <c r="G667" s="181" t="s">
        <v>103</v>
      </c>
      <c r="H667" s="181" t="s">
        <v>87</v>
      </c>
      <c r="I667" s="181" t="s">
        <v>1677</v>
      </c>
      <c r="J667" s="184" t="n">
        <v>37840</v>
      </c>
      <c r="K667" s="184" t="n">
        <v>14820</v>
      </c>
      <c r="L667" s="185" t="n">
        <v>29</v>
      </c>
      <c r="M667" s="173" t="n">
        <v>23020</v>
      </c>
      <c r="N667" s="184" t="n">
        <v>16344.2</v>
      </c>
      <c r="O667" s="184" t="s">
        <v>1710</v>
      </c>
      <c r="P667" s="187" t="n">
        <v>45925</v>
      </c>
      <c r="Q667" s="188" t="n">
        <v>0.991111111111111</v>
      </c>
    </row>
    <row r="668" customFormat="false" ht="35.05" hidden="false" customHeight="false" outlineLevel="0" collapsed="false">
      <c r="A668" s="181" t="s">
        <v>1711</v>
      </c>
      <c r="B668" s="182" t="n">
        <v>1811</v>
      </c>
      <c r="C668" s="183" t="n">
        <v>182</v>
      </c>
      <c r="D668" s="181" t="s">
        <v>1509</v>
      </c>
      <c r="E668" s="181" t="s">
        <v>282</v>
      </c>
      <c r="F668" s="181" t="s">
        <v>283</v>
      </c>
      <c r="G668" s="181" t="s">
        <v>103</v>
      </c>
      <c r="H668" s="181" t="s">
        <v>87</v>
      </c>
      <c r="I668" s="181" t="s">
        <v>1677</v>
      </c>
      <c r="J668" s="184" t="n">
        <v>37150</v>
      </c>
      <c r="K668" s="184" t="n">
        <v>15080</v>
      </c>
      <c r="L668" s="185" t="n">
        <v>19</v>
      </c>
      <c r="M668" s="173" t="n">
        <v>22070</v>
      </c>
      <c r="N668" s="184" t="n">
        <v>17876.7</v>
      </c>
      <c r="O668" s="184" t="s">
        <v>1712</v>
      </c>
      <c r="P668" s="187" t="n">
        <v>45925</v>
      </c>
      <c r="Q668" s="188" t="n">
        <v>0.943935185185185</v>
      </c>
    </row>
    <row r="669" customFormat="false" ht="35.05" hidden="false" customHeight="false" outlineLevel="0" collapsed="false">
      <c r="A669" s="181" t="s">
        <v>1713</v>
      </c>
      <c r="B669" s="182" t="n">
        <v>1812</v>
      </c>
      <c r="C669" s="183" t="n">
        <v>183</v>
      </c>
      <c r="D669" s="181" t="s">
        <v>1509</v>
      </c>
      <c r="E669" s="181" t="s">
        <v>292</v>
      </c>
      <c r="F669" s="181" t="s">
        <v>293</v>
      </c>
      <c r="G669" s="181" t="s">
        <v>103</v>
      </c>
      <c r="H669" s="181" t="s">
        <v>87</v>
      </c>
      <c r="I669" s="181" t="s">
        <v>1677</v>
      </c>
      <c r="J669" s="184" t="n">
        <v>34900</v>
      </c>
      <c r="K669" s="184" t="n">
        <v>13920</v>
      </c>
      <c r="L669" s="185" t="n">
        <v>18</v>
      </c>
      <c r="M669" s="173" t="n">
        <v>20980</v>
      </c>
      <c r="N669" s="184" t="n">
        <v>17203.6</v>
      </c>
      <c r="O669" s="184" t="s">
        <v>1714</v>
      </c>
      <c r="P669" s="187" t="n">
        <v>45925</v>
      </c>
      <c r="Q669" s="188" t="n">
        <v>0.971261574074074</v>
      </c>
    </row>
    <row r="670" customFormat="false" ht="35.05" hidden="false" customHeight="false" outlineLevel="0" collapsed="false">
      <c r="A670" s="181" t="s">
        <v>1715</v>
      </c>
      <c r="B670" s="182" t="n">
        <v>1813</v>
      </c>
      <c r="C670" s="183" t="n">
        <v>184</v>
      </c>
      <c r="D670" s="181" t="s">
        <v>1509</v>
      </c>
      <c r="E670" s="181" t="s">
        <v>288</v>
      </c>
      <c r="F670" s="181" t="s">
        <v>289</v>
      </c>
      <c r="G670" s="181" t="s">
        <v>103</v>
      </c>
      <c r="H670" s="181" t="s">
        <v>87</v>
      </c>
      <c r="I670" s="181" t="s">
        <v>1677</v>
      </c>
      <c r="J670" s="184" t="n">
        <v>33330</v>
      </c>
      <c r="K670" s="184" t="n">
        <v>14700</v>
      </c>
      <c r="L670" s="185" t="n">
        <v>20</v>
      </c>
      <c r="M670" s="173" t="n">
        <v>18630</v>
      </c>
      <c r="N670" s="184" t="n">
        <v>14904</v>
      </c>
      <c r="O670" s="184" t="s">
        <v>1716</v>
      </c>
      <c r="P670" s="187" t="n">
        <v>45925</v>
      </c>
      <c r="Q670" s="188" t="n">
        <v>0.998622685185185</v>
      </c>
    </row>
    <row r="671" customFormat="false" ht="35.05" hidden="false" customHeight="false" outlineLevel="0" collapsed="false">
      <c r="A671" s="181" t="s">
        <v>1717</v>
      </c>
      <c r="B671" s="182" t="n">
        <v>1814</v>
      </c>
      <c r="C671" s="183" t="n">
        <v>185</v>
      </c>
      <c r="D671" s="181" t="s">
        <v>1509</v>
      </c>
      <c r="E671" s="181" t="s">
        <v>332</v>
      </c>
      <c r="F671" s="181" t="s">
        <v>333</v>
      </c>
      <c r="G671" s="181" t="s">
        <v>103</v>
      </c>
      <c r="H671" s="181" t="s">
        <v>87</v>
      </c>
      <c r="I671" s="181" t="s">
        <v>1677</v>
      </c>
      <c r="J671" s="184" t="n">
        <v>36210</v>
      </c>
      <c r="K671" s="184" t="n">
        <v>14860</v>
      </c>
      <c r="L671" s="185" t="n">
        <v>30</v>
      </c>
      <c r="M671" s="173" t="n">
        <v>21350</v>
      </c>
      <c r="N671" s="184" t="n">
        <v>14945</v>
      </c>
      <c r="O671" s="184" t="s">
        <v>1718</v>
      </c>
      <c r="P671" s="187" t="n">
        <v>45926</v>
      </c>
      <c r="Q671" s="188" t="n">
        <v>0.227962962962963</v>
      </c>
    </row>
    <row r="672" customFormat="false" ht="35.05" hidden="false" customHeight="false" outlineLevel="0" collapsed="false">
      <c r="A672" s="181" t="s">
        <v>1719</v>
      </c>
      <c r="B672" s="182" t="n">
        <v>1815</v>
      </c>
      <c r="C672" s="183" t="n">
        <v>186</v>
      </c>
      <c r="D672" s="181" t="s">
        <v>1509</v>
      </c>
      <c r="E672" s="181" t="s">
        <v>282</v>
      </c>
      <c r="F672" s="181" t="s">
        <v>283</v>
      </c>
      <c r="G672" s="181" t="s">
        <v>103</v>
      </c>
      <c r="H672" s="181" t="s">
        <v>87</v>
      </c>
      <c r="I672" s="181" t="s">
        <v>1677</v>
      </c>
      <c r="J672" s="184" t="n">
        <v>38190</v>
      </c>
      <c r="K672" s="184" t="n">
        <v>15160</v>
      </c>
      <c r="L672" s="185" t="n">
        <v>18</v>
      </c>
      <c r="M672" s="173" t="n">
        <v>23030</v>
      </c>
      <c r="N672" s="184" t="n">
        <v>18884.6</v>
      </c>
      <c r="O672" s="184" t="s">
        <v>1720</v>
      </c>
      <c r="P672" s="187" t="n">
        <v>45926</v>
      </c>
      <c r="Q672" s="188" t="n">
        <v>0.246493055555556</v>
      </c>
    </row>
    <row r="673" customFormat="false" ht="35.05" hidden="false" customHeight="false" outlineLevel="0" collapsed="false">
      <c r="A673" s="181" t="s">
        <v>1721</v>
      </c>
      <c r="B673" s="182" t="n">
        <v>1819</v>
      </c>
      <c r="C673" s="183" t="n">
        <v>187</v>
      </c>
      <c r="D673" s="181" t="s">
        <v>1509</v>
      </c>
      <c r="E673" s="181" t="s">
        <v>261</v>
      </c>
      <c r="F673" s="181" t="s">
        <v>262</v>
      </c>
      <c r="G673" s="181" t="s">
        <v>103</v>
      </c>
      <c r="H673" s="181" t="s">
        <v>87</v>
      </c>
      <c r="I673" s="181" t="s">
        <v>1677</v>
      </c>
      <c r="J673" s="184" t="n">
        <v>36530</v>
      </c>
      <c r="K673" s="184" t="n">
        <v>15110</v>
      </c>
      <c r="L673" s="185" t="n">
        <v>15</v>
      </c>
      <c r="M673" s="173" t="n">
        <v>21420</v>
      </c>
      <c r="N673" s="184" t="n">
        <v>18207</v>
      </c>
      <c r="O673" s="184" t="s">
        <v>1722</v>
      </c>
      <c r="P673" s="187" t="n">
        <v>45926</v>
      </c>
      <c r="Q673" s="188" t="n">
        <v>0.485717592592593</v>
      </c>
    </row>
    <row r="674" customFormat="false" ht="35.05" hidden="false" customHeight="false" outlineLevel="0" collapsed="false">
      <c r="A674" s="181" t="s">
        <v>1723</v>
      </c>
      <c r="B674" s="182" t="n">
        <v>1823</v>
      </c>
      <c r="C674" s="183" t="n">
        <v>188</v>
      </c>
      <c r="D674" s="181" t="s">
        <v>1509</v>
      </c>
      <c r="E674" s="181" t="s">
        <v>277</v>
      </c>
      <c r="F674" s="181" t="s">
        <v>278</v>
      </c>
      <c r="G674" s="181" t="s">
        <v>103</v>
      </c>
      <c r="H674" s="181" t="s">
        <v>87</v>
      </c>
      <c r="I674" s="181" t="s">
        <v>1677</v>
      </c>
      <c r="J674" s="184" t="n">
        <v>37710</v>
      </c>
      <c r="K674" s="184" t="n">
        <v>15140</v>
      </c>
      <c r="L674" s="185" t="n">
        <v>17</v>
      </c>
      <c r="M674" s="173" t="n">
        <v>22570</v>
      </c>
      <c r="N674" s="184" t="n">
        <v>18733.1</v>
      </c>
      <c r="O674" s="184" t="s">
        <v>1724</v>
      </c>
      <c r="P674" s="187" t="n">
        <v>45926</v>
      </c>
      <c r="Q674" s="188" t="n">
        <v>0.520115740740741</v>
      </c>
    </row>
    <row r="675" customFormat="false" ht="35.05" hidden="false" customHeight="false" outlineLevel="0" collapsed="false">
      <c r="A675" s="181" t="s">
        <v>1725</v>
      </c>
      <c r="B675" s="182" t="n">
        <v>1824</v>
      </c>
      <c r="C675" s="183" t="n">
        <v>189</v>
      </c>
      <c r="D675" s="181" t="s">
        <v>1509</v>
      </c>
      <c r="E675" s="181" t="s">
        <v>272</v>
      </c>
      <c r="F675" s="181" t="s">
        <v>273</v>
      </c>
      <c r="G675" s="181" t="s">
        <v>103</v>
      </c>
      <c r="H675" s="181" t="s">
        <v>87</v>
      </c>
      <c r="I675" s="181" t="s">
        <v>1677</v>
      </c>
      <c r="J675" s="184" t="n">
        <v>38000</v>
      </c>
      <c r="K675" s="184" t="n">
        <v>15760</v>
      </c>
      <c r="L675" s="185" t="n">
        <v>16</v>
      </c>
      <c r="M675" s="173" t="n">
        <v>22240</v>
      </c>
      <c r="N675" s="184" t="n">
        <v>18681.6</v>
      </c>
      <c r="O675" s="184" t="s">
        <v>1726</v>
      </c>
      <c r="P675" s="187" t="n">
        <v>45926</v>
      </c>
      <c r="Q675" s="188" t="n">
        <v>0.561782407407407</v>
      </c>
    </row>
    <row r="676" customFormat="false" ht="35.05" hidden="false" customHeight="false" outlineLevel="0" collapsed="false">
      <c r="A676" s="181" t="s">
        <v>1727</v>
      </c>
      <c r="B676" s="182" t="n">
        <v>1825</v>
      </c>
      <c r="C676" s="183" t="n">
        <v>190</v>
      </c>
      <c r="D676" s="181" t="s">
        <v>1509</v>
      </c>
      <c r="E676" s="181" t="s">
        <v>576</v>
      </c>
      <c r="F676" s="181" t="s">
        <v>577</v>
      </c>
      <c r="G676" s="181" t="s">
        <v>103</v>
      </c>
      <c r="H676" s="181" t="s">
        <v>279</v>
      </c>
      <c r="I676" s="181" t="s">
        <v>1677</v>
      </c>
      <c r="J676" s="184" t="n">
        <v>34460</v>
      </c>
      <c r="K676" s="184" t="n">
        <v>14560</v>
      </c>
      <c r="L676" s="185" t="n">
        <v>15</v>
      </c>
      <c r="M676" s="173" t="n">
        <v>19900</v>
      </c>
      <c r="N676" s="184" t="n">
        <v>16915</v>
      </c>
      <c r="O676" s="184" t="s">
        <v>1728</v>
      </c>
      <c r="P676" s="187" t="n">
        <v>45926</v>
      </c>
      <c r="Q676" s="188" t="n">
        <v>0.605462962962963</v>
      </c>
    </row>
    <row r="677" customFormat="false" ht="35.05" hidden="false" customHeight="false" outlineLevel="0" collapsed="false">
      <c r="A677" s="181" t="s">
        <v>1729</v>
      </c>
      <c r="B677" s="182" t="n">
        <v>1827</v>
      </c>
      <c r="C677" s="183" t="n">
        <v>191</v>
      </c>
      <c r="D677" s="181" t="s">
        <v>1509</v>
      </c>
      <c r="E677" s="181" t="s">
        <v>261</v>
      </c>
      <c r="F677" s="181" t="s">
        <v>262</v>
      </c>
      <c r="G677" s="181" t="s">
        <v>103</v>
      </c>
      <c r="H677" s="181" t="s">
        <v>279</v>
      </c>
      <c r="I677" s="181" t="s">
        <v>1677</v>
      </c>
      <c r="J677" s="184" t="n">
        <v>34560</v>
      </c>
      <c r="K677" s="184" t="n">
        <v>15070</v>
      </c>
      <c r="L677" s="185" t="n">
        <v>15</v>
      </c>
      <c r="M677" s="173" t="n">
        <v>19490</v>
      </c>
      <c r="N677" s="184" t="n">
        <v>16566.5</v>
      </c>
      <c r="O677" s="184" t="s">
        <v>1730</v>
      </c>
      <c r="P677" s="187" t="n">
        <v>45926</v>
      </c>
      <c r="Q677" s="188" t="n">
        <v>0.608564814814815</v>
      </c>
    </row>
    <row r="678" customFormat="false" ht="35.05" hidden="false" customHeight="false" outlineLevel="0" collapsed="false">
      <c r="A678" s="181" t="s">
        <v>1731</v>
      </c>
      <c r="B678" s="182" t="n">
        <v>1829</v>
      </c>
      <c r="C678" s="183" t="n">
        <v>192</v>
      </c>
      <c r="D678" s="181" t="s">
        <v>1509</v>
      </c>
      <c r="E678" s="181" t="s">
        <v>277</v>
      </c>
      <c r="F678" s="181" t="s">
        <v>278</v>
      </c>
      <c r="G678" s="181" t="s">
        <v>103</v>
      </c>
      <c r="H678" s="181" t="s">
        <v>279</v>
      </c>
      <c r="I678" s="181" t="s">
        <v>1677</v>
      </c>
      <c r="J678" s="184" t="n">
        <v>39260</v>
      </c>
      <c r="K678" s="184" t="n">
        <v>15130</v>
      </c>
      <c r="L678" s="185" t="n">
        <v>13</v>
      </c>
      <c r="M678" s="173" t="n">
        <v>24130</v>
      </c>
      <c r="N678" s="184" t="n">
        <v>20993.1</v>
      </c>
      <c r="O678" s="184" t="s">
        <v>1732</v>
      </c>
      <c r="P678" s="187" t="n">
        <v>45926</v>
      </c>
      <c r="Q678" s="188" t="n">
        <v>0.664212962962963</v>
      </c>
    </row>
    <row r="679" customFormat="false" ht="35.05" hidden="false" customHeight="false" outlineLevel="0" collapsed="false">
      <c r="A679" s="181" t="s">
        <v>1733</v>
      </c>
      <c r="B679" s="182" t="n">
        <v>1830</v>
      </c>
      <c r="C679" s="183" t="n">
        <v>193</v>
      </c>
      <c r="D679" s="181" t="s">
        <v>1509</v>
      </c>
      <c r="E679" s="181" t="s">
        <v>272</v>
      </c>
      <c r="F679" s="181" t="s">
        <v>273</v>
      </c>
      <c r="G679" s="181" t="s">
        <v>103</v>
      </c>
      <c r="H679" s="181" t="s">
        <v>279</v>
      </c>
      <c r="I679" s="181" t="s">
        <v>1677</v>
      </c>
      <c r="J679" s="184" t="n">
        <v>35360</v>
      </c>
      <c r="K679" s="184" t="n">
        <v>15750</v>
      </c>
      <c r="L679" s="185" t="n">
        <v>26</v>
      </c>
      <c r="M679" s="173" t="n">
        <v>19610</v>
      </c>
      <c r="N679" s="184" t="n">
        <v>14511.4</v>
      </c>
      <c r="O679" s="184" t="s">
        <v>1734</v>
      </c>
      <c r="P679" s="187" t="n">
        <v>45926</v>
      </c>
      <c r="Q679" s="188" t="n">
        <v>0.682824074074074</v>
      </c>
    </row>
    <row r="680" customFormat="false" ht="35.05" hidden="false" customHeight="false" outlineLevel="0" collapsed="false">
      <c r="A680" s="181" t="s">
        <v>1735</v>
      </c>
      <c r="B680" s="182" t="n">
        <v>1831</v>
      </c>
      <c r="C680" s="183" t="n">
        <v>194</v>
      </c>
      <c r="D680" s="181" t="s">
        <v>1509</v>
      </c>
      <c r="E680" s="181" t="s">
        <v>576</v>
      </c>
      <c r="F680" s="181" t="s">
        <v>577</v>
      </c>
      <c r="G680" s="181" t="s">
        <v>103</v>
      </c>
      <c r="H680" s="181" t="s">
        <v>279</v>
      </c>
      <c r="I680" s="181" t="s">
        <v>1677</v>
      </c>
      <c r="J680" s="184" t="n">
        <v>37220</v>
      </c>
      <c r="K680" s="184" t="n">
        <v>14540</v>
      </c>
      <c r="L680" s="185" t="n">
        <v>19</v>
      </c>
      <c r="M680" s="173" t="n">
        <v>22680</v>
      </c>
      <c r="N680" s="184" t="n">
        <v>18370.8</v>
      </c>
      <c r="O680" s="184" t="s">
        <v>1736</v>
      </c>
      <c r="P680" s="187" t="n">
        <v>45926</v>
      </c>
      <c r="Q680" s="188" t="n">
        <v>0.71880787037037</v>
      </c>
    </row>
    <row r="681" customFormat="false" ht="35.05" hidden="false" customHeight="false" outlineLevel="0" collapsed="false">
      <c r="A681" s="181" t="s">
        <v>1737</v>
      </c>
      <c r="B681" s="182" t="n">
        <v>1832</v>
      </c>
      <c r="C681" s="183" t="n">
        <v>195</v>
      </c>
      <c r="D681" s="181" t="s">
        <v>1509</v>
      </c>
      <c r="E681" s="181" t="s">
        <v>261</v>
      </c>
      <c r="F681" s="181" t="s">
        <v>262</v>
      </c>
      <c r="G681" s="181" t="s">
        <v>103</v>
      </c>
      <c r="H681" s="181" t="s">
        <v>279</v>
      </c>
      <c r="I681" s="181" t="s">
        <v>1677</v>
      </c>
      <c r="J681" s="184" t="n">
        <v>35380</v>
      </c>
      <c r="K681" s="184" t="n">
        <v>15060</v>
      </c>
      <c r="L681" s="185" t="n">
        <v>16</v>
      </c>
      <c r="M681" s="173" t="n">
        <v>20320</v>
      </c>
      <c r="N681" s="184" t="n">
        <v>17068.8</v>
      </c>
      <c r="O681" s="184" t="s">
        <v>1738</v>
      </c>
      <c r="P681" s="187" t="n">
        <v>45926</v>
      </c>
      <c r="Q681" s="188" t="n">
        <v>0.746597222222222</v>
      </c>
    </row>
    <row r="682" customFormat="false" ht="35.05" hidden="false" customHeight="false" outlineLevel="0" collapsed="false">
      <c r="A682" s="181" t="s">
        <v>1739</v>
      </c>
      <c r="B682" s="182" t="n">
        <v>1833</v>
      </c>
      <c r="C682" s="183" t="n">
        <v>196</v>
      </c>
      <c r="D682" s="181" t="s">
        <v>1509</v>
      </c>
      <c r="E682" s="181" t="s">
        <v>277</v>
      </c>
      <c r="F682" s="181" t="s">
        <v>278</v>
      </c>
      <c r="G682" s="181" t="s">
        <v>103</v>
      </c>
      <c r="H682" s="181" t="s">
        <v>279</v>
      </c>
      <c r="I682" s="181" t="s">
        <v>1677</v>
      </c>
      <c r="J682" s="184" t="n">
        <v>38820</v>
      </c>
      <c r="K682" s="184" t="n">
        <v>15110</v>
      </c>
      <c r="L682" s="185" t="n">
        <v>9</v>
      </c>
      <c r="M682" s="173" t="n">
        <v>23710</v>
      </c>
      <c r="N682" s="184" t="n">
        <v>21576.1</v>
      </c>
      <c r="O682" s="184" t="s">
        <v>1740</v>
      </c>
      <c r="P682" s="187" t="n">
        <v>45926</v>
      </c>
      <c r="Q682" s="188" t="n">
        <v>0.770972222222222</v>
      </c>
    </row>
    <row r="683" customFormat="false" ht="35.05" hidden="false" customHeight="false" outlineLevel="0" collapsed="false">
      <c r="A683" s="181" t="s">
        <v>1741</v>
      </c>
      <c r="B683" s="182" t="n">
        <v>1834</v>
      </c>
      <c r="C683" s="183" t="n">
        <v>197</v>
      </c>
      <c r="D683" s="181" t="s">
        <v>1509</v>
      </c>
      <c r="E683" s="181" t="s">
        <v>272</v>
      </c>
      <c r="F683" s="181" t="s">
        <v>273</v>
      </c>
      <c r="G683" s="181" t="s">
        <v>103</v>
      </c>
      <c r="H683" s="181" t="s">
        <v>279</v>
      </c>
      <c r="I683" s="181" t="s">
        <v>1677</v>
      </c>
      <c r="J683" s="184" t="n">
        <v>39130</v>
      </c>
      <c r="K683" s="184" t="n">
        <v>15730</v>
      </c>
      <c r="L683" s="185" t="n">
        <v>10</v>
      </c>
      <c r="M683" s="173" t="n">
        <v>23400</v>
      </c>
      <c r="N683" s="184" t="n">
        <v>21060</v>
      </c>
      <c r="O683" s="184" t="s">
        <v>1742</v>
      </c>
      <c r="P683" s="187" t="n">
        <v>45926</v>
      </c>
      <c r="Q683" s="188" t="n">
        <v>0.743935185185185</v>
      </c>
    </row>
    <row r="684" customFormat="false" ht="35.05" hidden="false" customHeight="false" outlineLevel="0" collapsed="false">
      <c r="A684" s="181" t="s">
        <v>1743</v>
      </c>
      <c r="B684" s="182" t="n">
        <v>1835</v>
      </c>
      <c r="C684" s="183" t="n">
        <v>198</v>
      </c>
      <c r="D684" s="181" t="s">
        <v>1509</v>
      </c>
      <c r="E684" s="181" t="s">
        <v>576</v>
      </c>
      <c r="F684" s="181" t="s">
        <v>577</v>
      </c>
      <c r="G684" s="181" t="s">
        <v>103</v>
      </c>
      <c r="H684" s="181" t="s">
        <v>279</v>
      </c>
      <c r="I684" s="181" t="s">
        <v>1677</v>
      </c>
      <c r="J684" s="184" t="n">
        <v>36560</v>
      </c>
      <c r="K684" s="184" t="n">
        <v>14530</v>
      </c>
      <c r="L684" s="185" t="n">
        <v>6</v>
      </c>
      <c r="M684" s="173" t="n">
        <v>22030</v>
      </c>
      <c r="N684" s="184" t="n">
        <v>20708.2</v>
      </c>
      <c r="O684" s="184" t="s">
        <v>1744</v>
      </c>
      <c r="P684" s="187" t="n">
        <v>45926</v>
      </c>
      <c r="Q684" s="188" t="n">
        <v>0.771782407407407</v>
      </c>
    </row>
    <row r="685" customFormat="false" ht="35.05" hidden="false" customHeight="false" outlineLevel="0" collapsed="false">
      <c r="A685" s="181" t="s">
        <v>1745</v>
      </c>
      <c r="B685" s="182" t="n">
        <v>1837</v>
      </c>
      <c r="C685" s="183" t="n">
        <v>199</v>
      </c>
      <c r="D685" s="181" t="s">
        <v>1509</v>
      </c>
      <c r="E685" s="181" t="s">
        <v>261</v>
      </c>
      <c r="F685" s="181" t="s">
        <v>262</v>
      </c>
      <c r="G685" s="181" t="s">
        <v>103</v>
      </c>
      <c r="H685" s="181" t="s">
        <v>279</v>
      </c>
      <c r="I685" s="181" t="s">
        <v>1677</v>
      </c>
      <c r="J685" s="184" t="n">
        <v>34850</v>
      </c>
      <c r="K685" s="184" t="n">
        <v>15040</v>
      </c>
      <c r="L685" s="185" t="n">
        <v>17</v>
      </c>
      <c r="M685" s="173" t="n">
        <v>19810</v>
      </c>
      <c r="N685" s="184" t="n">
        <v>16442.3</v>
      </c>
      <c r="O685" s="184" t="s">
        <v>1746</v>
      </c>
      <c r="P685" s="187" t="n">
        <v>45926</v>
      </c>
      <c r="Q685" s="188" t="n">
        <v>0.797118055555556</v>
      </c>
    </row>
    <row r="686" customFormat="false" ht="35.05" hidden="false" customHeight="false" outlineLevel="0" collapsed="false">
      <c r="A686" s="181" t="s">
        <v>1747</v>
      </c>
      <c r="B686" s="182" t="n">
        <v>1839</v>
      </c>
      <c r="C686" s="183" t="n">
        <v>200</v>
      </c>
      <c r="D686" s="181" t="s">
        <v>1509</v>
      </c>
      <c r="E686" s="181" t="s">
        <v>277</v>
      </c>
      <c r="F686" s="181" t="s">
        <v>278</v>
      </c>
      <c r="G686" s="181" t="s">
        <v>103</v>
      </c>
      <c r="H686" s="181" t="s">
        <v>279</v>
      </c>
      <c r="I686" s="181" t="s">
        <v>1677</v>
      </c>
      <c r="J686" s="184" t="n">
        <v>38420</v>
      </c>
      <c r="K686" s="184" t="n">
        <v>15180</v>
      </c>
      <c r="L686" s="185" t="n">
        <v>12</v>
      </c>
      <c r="M686" s="173" t="n">
        <v>23240</v>
      </c>
      <c r="N686" s="184" t="n">
        <v>20451.2</v>
      </c>
      <c r="O686" s="184" t="s">
        <v>1748</v>
      </c>
      <c r="P686" s="187" t="n">
        <v>45926</v>
      </c>
      <c r="Q686" s="188" t="n">
        <v>0.83</v>
      </c>
    </row>
    <row r="687" customFormat="false" ht="35.05" hidden="false" customHeight="false" outlineLevel="0" collapsed="false">
      <c r="A687" s="181" t="s">
        <v>1749</v>
      </c>
      <c r="B687" s="182" t="n">
        <v>1840</v>
      </c>
      <c r="C687" s="183" t="n">
        <v>201</v>
      </c>
      <c r="D687" s="181" t="s">
        <v>1509</v>
      </c>
      <c r="E687" s="181" t="s">
        <v>272</v>
      </c>
      <c r="F687" s="181" t="s">
        <v>273</v>
      </c>
      <c r="G687" s="181" t="s">
        <v>103</v>
      </c>
      <c r="H687" s="181" t="s">
        <v>279</v>
      </c>
      <c r="I687" s="181" t="s">
        <v>1677</v>
      </c>
      <c r="J687" s="184" t="n">
        <v>38790</v>
      </c>
      <c r="K687" s="184" t="n">
        <v>15750</v>
      </c>
      <c r="L687" s="185" t="n">
        <v>6</v>
      </c>
      <c r="M687" s="173" t="n">
        <v>23040</v>
      </c>
      <c r="N687" s="184" t="n">
        <v>21657.6</v>
      </c>
      <c r="O687" s="184" t="s">
        <v>1750</v>
      </c>
      <c r="P687" s="187" t="n">
        <v>45926</v>
      </c>
      <c r="Q687" s="188" t="n">
        <v>0.894722222222222</v>
      </c>
    </row>
    <row r="688" customFormat="false" ht="35.05" hidden="false" customHeight="false" outlineLevel="0" collapsed="false">
      <c r="A688" s="181" t="s">
        <v>1751</v>
      </c>
      <c r="B688" s="182" t="n">
        <v>1841</v>
      </c>
      <c r="C688" s="183" t="n">
        <v>202</v>
      </c>
      <c r="D688" s="181" t="s">
        <v>1509</v>
      </c>
      <c r="E688" s="181" t="s">
        <v>576</v>
      </c>
      <c r="F688" s="181" t="s">
        <v>577</v>
      </c>
      <c r="G688" s="181" t="s">
        <v>103</v>
      </c>
      <c r="H688" s="181" t="s">
        <v>279</v>
      </c>
      <c r="I688" s="181" t="s">
        <v>1677</v>
      </c>
      <c r="J688" s="184" t="n">
        <v>36040</v>
      </c>
      <c r="K688" s="184" t="n">
        <v>14510</v>
      </c>
      <c r="L688" s="185" t="n">
        <v>12</v>
      </c>
      <c r="M688" s="173" t="n">
        <v>21530</v>
      </c>
      <c r="N688" s="184" t="n">
        <v>18946.4</v>
      </c>
      <c r="O688" s="184" t="s">
        <v>1752</v>
      </c>
      <c r="P688" s="187" t="n">
        <v>45926</v>
      </c>
      <c r="Q688" s="188" t="n">
        <v>0.922627314814815</v>
      </c>
    </row>
    <row r="689" customFormat="false" ht="35.05" hidden="false" customHeight="false" outlineLevel="0" collapsed="false">
      <c r="A689" s="181" t="s">
        <v>1753</v>
      </c>
      <c r="B689" s="182" t="n">
        <v>1842</v>
      </c>
      <c r="C689" s="183" t="n">
        <v>203</v>
      </c>
      <c r="D689" s="181" t="s">
        <v>1509</v>
      </c>
      <c r="E689" s="181" t="s">
        <v>261</v>
      </c>
      <c r="F689" s="181" t="s">
        <v>262</v>
      </c>
      <c r="G689" s="181" t="s">
        <v>103</v>
      </c>
      <c r="H689" s="181" t="s">
        <v>279</v>
      </c>
      <c r="I689" s="181" t="s">
        <v>1677</v>
      </c>
      <c r="J689" s="184" t="n">
        <v>36800</v>
      </c>
      <c r="K689" s="184" t="n">
        <v>15070</v>
      </c>
      <c r="L689" s="185" t="n">
        <v>7</v>
      </c>
      <c r="M689" s="173" t="n">
        <v>21730</v>
      </c>
      <c r="N689" s="184" t="n">
        <v>20208.9</v>
      </c>
      <c r="O689" s="184" t="s">
        <v>1754</v>
      </c>
      <c r="P689" s="187" t="n">
        <v>45926</v>
      </c>
      <c r="Q689" s="188" t="n">
        <v>0.954699074074074</v>
      </c>
    </row>
    <row r="690" customFormat="false" ht="35.05" hidden="false" customHeight="false" outlineLevel="0" collapsed="false">
      <c r="A690" s="181" t="s">
        <v>1755</v>
      </c>
      <c r="B690" s="182" t="n">
        <v>1843</v>
      </c>
      <c r="C690" s="183" t="n">
        <v>204</v>
      </c>
      <c r="D690" s="181" t="s">
        <v>1509</v>
      </c>
      <c r="E690" s="181" t="s">
        <v>277</v>
      </c>
      <c r="F690" s="181" t="s">
        <v>278</v>
      </c>
      <c r="G690" s="181" t="s">
        <v>103</v>
      </c>
      <c r="H690" s="181" t="s">
        <v>279</v>
      </c>
      <c r="I690" s="181" t="s">
        <v>1677</v>
      </c>
      <c r="J690" s="184" t="n">
        <v>39100</v>
      </c>
      <c r="K690" s="184" t="n">
        <v>15090</v>
      </c>
      <c r="L690" s="185" t="n">
        <v>8</v>
      </c>
      <c r="M690" s="173" t="n">
        <v>24010</v>
      </c>
      <c r="N690" s="184" t="n">
        <v>22089.2</v>
      </c>
      <c r="O690" s="184" t="s">
        <v>1756</v>
      </c>
      <c r="P690" s="187" t="n">
        <v>45927</v>
      </c>
      <c r="Q690" s="188" t="n">
        <v>0.502789351851852</v>
      </c>
    </row>
    <row r="691" customFormat="false" ht="35.05" hidden="false" customHeight="false" outlineLevel="0" collapsed="false">
      <c r="A691" s="181" t="s">
        <v>1757</v>
      </c>
      <c r="B691" s="182" t="n">
        <v>1846</v>
      </c>
      <c r="C691" s="183" t="n">
        <v>205</v>
      </c>
      <c r="D691" s="181" t="s">
        <v>1509</v>
      </c>
      <c r="E691" s="181" t="s">
        <v>272</v>
      </c>
      <c r="F691" s="181" t="s">
        <v>273</v>
      </c>
      <c r="G691" s="181" t="s">
        <v>103</v>
      </c>
      <c r="H691" s="181" t="s">
        <v>279</v>
      </c>
      <c r="I691" s="181" t="s">
        <v>1677</v>
      </c>
      <c r="J691" s="184" t="n">
        <v>37920</v>
      </c>
      <c r="K691" s="184" t="n">
        <v>15720</v>
      </c>
      <c r="L691" s="185" t="n">
        <v>11</v>
      </c>
      <c r="M691" s="173" t="n">
        <v>22200</v>
      </c>
      <c r="N691" s="184" t="n">
        <v>19758</v>
      </c>
      <c r="O691" s="184" t="s">
        <v>1758</v>
      </c>
      <c r="P691" s="187" t="n">
        <v>45927</v>
      </c>
      <c r="Q691" s="188" t="n">
        <v>0.553368055555556</v>
      </c>
    </row>
    <row r="692" customFormat="false" ht="35.05" hidden="false" customHeight="false" outlineLevel="0" collapsed="false">
      <c r="A692" s="181" t="s">
        <v>1759</v>
      </c>
      <c r="B692" s="182" t="n">
        <v>1847</v>
      </c>
      <c r="C692" s="183" t="n">
        <v>206</v>
      </c>
      <c r="D692" s="181" t="s">
        <v>1509</v>
      </c>
      <c r="E692" s="181" t="s">
        <v>576</v>
      </c>
      <c r="F692" s="181" t="s">
        <v>577</v>
      </c>
      <c r="G692" s="181" t="s">
        <v>103</v>
      </c>
      <c r="H692" s="181" t="s">
        <v>279</v>
      </c>
      <c r="I692" s="181" t="s">
        <v>1677</v>
      </c>
      <c r="J692" s="184" t="n">
        <v>37070</v>
      </c>
      <c r="K692" s="184" t="n">
        <v>14510</v>
      </c>
      <c r="L692" s="185" t="n">
        <v>8</v>
      </c>
      <c r="M692" s="173" t="n">
        <v>22560</v>
      </c>
      <c r="N692" s="184" t="n">
        <v>20755.2</v>
      </c>
      <c r="O692" s="184" t="s">
        <v>1760</v>
      </c>
      <c r="P692" s="187" t="n">
        <v>45927</v>
      </c>
      <c r="Q692" s="188" t="n">
        <v>0.556296296296296</v>
      </c>
    </row>
    <row r="693" customFormat="false" ht="35.05" hidden="false" customHeight="false" outlineLevel="0" collapsed="false">
      <c r="A693" s="181" t="s">
        <v>1761</v>
      </c>
      <c r="B693" s="182" t="n">
        <v>1848</v>
      </c>
      <c r="C693" s="183" t="n">
        <v>207</v>
      </c>
      <c r="D693" s="181" t="s">
        <v>1509</v>
      </c>
      <c r="E693" s="181" t="s">
        <v>261</v>
      </c>
      <c r="F693" s="181" t="s">
        <v>262</v>
      </c>
      <c r="G693" s="181" t="s">
        <v>103</v>
      </c>
      <c r="H693" s="181" t="s">
        <v>279</v>
      </c>
      <c r="I693" s="181" t="s">
        <v>1677</v>
      </c>
      <c r="J693" s="184" t="n">
        <v>36570</v>
      </c>
      <c r="K693" s="184" t="n">
        <v>15050</v>
      </c>
      <c r="L693" s="185" t="n">
        <v>10</v>
      </c>
      <c r="M693" s="173" t="n">
        <v>21520</v>
      </c>
      <c r="N693" s="184" t="n">
        <v>19368</v>
      </c>
      <c r="O693" s="184" t="s">
        <v>1762</v>
      </c>
      <c r="P693" s="187" t="n">
        <v>45927</v>
      </c>
      <c r="Q693" s="188" t="n">
        <v>0.558344907407407</v>
      </c>
    </row>
    <row r="694" customFormat="false" ht="35.05" hidden="false" customHeight="false" outlineLevel="0" collapsed="false">
      <c r="A694" s="181" t="s">
        <v>1763</v>
      </c>
      <c r="B694" s="182" t="n">
        <v>1849</v>
      </c>
      <c r="C694" s="183" t="n">
        <v>208</v>
      </c>
      <c r="D694" s="181" t="s">
        <v>1509</v>
      </c>
      <c r="E694" s="181" t="s">
        <v>272</v>
      </c>
      <c r="F694" s="181" t="s">
        <v>273</v>
      </c>
      <c r="G694" s="181" t="s">
        <v>103</v>
      </c>
      <c r="H694" s="181" t="s">
        <v>279</v>
      </c>
      <c r="I694" s="181" t="s">
        <v>1677</v>
      </c>
      <c r="J694" s="184" t="n">
        <v>39150</v>
      </c>
      <c r="K694" s="184" t="n">
        <v>15720</v>
      </c>
      <c r="L694" s="185" t="n">
        <v>9</v>
      </c>
      <c r="M694" s="173" t="n">
        <v>23430</v>
      </c>
      <c r="N694" s="184" t="n">
        <v>21321.3</v>
      </c>
      <c r="O694" s="184" t="s">
        <v>1764</v>
      </c>
      <c r="P694" s="187" t="n">
        <v>45927</v>
      </c>
      <c r="Q694" s="188" t="n">
        <v>0.560138888888889</v>
      </c>
    </row>
    <row r="695" customFormat="false" ht="35.05" hidden="false" customHeight="false" outlineLevel="0" collapsed="false">
      <c r="A695" s="181" t="s">
        <v>1765</v>
      </c>
      <c r="B695" s="182" t="n">
        <v>1850</v>
      </c>
      <c r="C695" s="183" t="n">
        <v>209</v>
      </c>
      <c r="D695" s="181" t="s">
        <v>1509</v>
      </c>
      <c r="E695" s="181" t="s">
        <v>576</v>
      </c>
      <c r="F695" s="181" t="s">
        <v>577</v>
      </c>
      <c r="G695" s="181" t="s">
        <v>103</v>
      </c>
      <c r="H695" s="181" t="s">
        <v>279</v>
      </c>
      <c r="I695" s="181" t="s">
        <v>1677</v>
      </c>
      <c r="J695" s="184" t="n">
        <v>36270</v>
      </c>
      <c r="K695" s="184" t="n">
        <v>14510</v>
      </c>
      <c r="L695" s="185" t="n">
        <v>8</v>
      </c>
      <c r="M695" s="173" t="n">
        <v>21760</v>
      </c>
      <c r="N695" s="184" t="n">
        <v>20019.2</v>
      </c>
      <c r="O695" s="184" t="s">
        <v>1766</v>
      </c>
      <c r="P695" s="187" t="n">
        <v>45927</v>
      </c>
      <c r="Q695" s="188" t="n">
        <v>0.562662037037037</v>
      </c>
    </row>
    <row r="696" customFormat="false" ht="35.05" hidden="false" customHeight="false" outlineLevel="0" collapsed="false">
      <c r="A696" s="181" t="s">
        <v>1767</v>
      </c>
      <c r="B696" s="182" t="n">
        <v>1852</v>
      </c>
      <c r="C696" s="183" t="n">
        <v>210</v>
      </c>
      <c r="D696" s="181" t="s">
        <v>1509</v>
      </c>
      <c r="E696" s="181" t="s">
        <v>391</v>
      </c>
      <c r="F696" s="181" t="s">
        <v>392</v>
      </c>
      <c r="G696" s="181" t="s">
        <v>103</v>
      </c>
      <c r="H696" s="181" t="s">
        <v>279</v>
      </c>
      <c r="I696" s="181" t="s">
        <v>1677</v>
      </c>
      <c r="J696" s="184" t="n">
        <v>33980</v>
      </c>
      <c r="K696" s="184" t="n">
        <v>14560</v>
      </c>
      <c r="L696" s="185" t="n">
        <v>14</v>
      </c>
      <c r="M696" s="173" t="n">
        <v>19420</v>
      </c>
      <c r="N696" s="184" t="n">
        <v>16701.2</v>
      </c>
      <c r="O696" s="184" t="s">
        <v>1768</v>
      </c>
      <c r="P696" s="187" t="n">
        <v>45927</v>
      </c>
      <c r="Q696" s="188" t="n">
        <v>0.564247685185185</v>
      </c>
    </row>
    <row r="697" customFormat="false" ht="35.05" hidden="false" customHeight="false" outlineLevel="0" collapsed="false">
      <c r="A697" s="181" t="s">
        <v>1769</v>
      </c>
      <c r="B697" s="182" t="n">
        <v>1854</v>
      </c>
      <c r="C697" s="183" t="n">
        <v>211</v>
      </c>
      <c r="D697" s="181" t="s">
        <v>1509</v>
      </c>
      <c r="E697" s="181" t="s">
        <v>529</v>
      </c>
      <c r="F697" s="181" t="s">
        <v>530</v>
      </c>
      <c r="G697" s="181" t="s">
        <v>103</v>
      </c>
      <c r="H697" s="181" t="s">
        <v>279</v>
      </c>
      <c r="I697" s="181" t="s">
        <v>1677</v>
      </c>
      <c r="J697" s="184" t="n">
        <v>34820</v>
      </c>
      <c r="K697" s="184" t="n">
        <v>14890</v>
      </c>
      <c r="L697" s="185" t="n">
        <v>18</v>
      </c>
      <c r="M697" s="173" t="n">
        <v>19930</v>
      </c>
      <c r="N697" s="184" t="n">
        <v>16342.6</v>
      </c>
      <c r="O697" s="184" t="s">
        <v>1770</v>
      </c>
      <c r="P697" s="187" t="n">
        <v>45927</v>
      </c>
      <c r="Q697" s="188" t="n">
        <v>0.571875</v>
      </c>
    </row>
    <row r="698" customFormat="false" ht="35.05" hidden="false" customHeight="false" outlineLevel="0" collapsed="false">
      <c r="A698" s="181" t="s">
        <v>1771</v>
      </c>
      <c r="B698" s="182" t="n">
        <v>1856</v>
      </c>
      <c r="C698" s="183" t="n">
        <v>212</v>
      </c>
      <c r="D698" s="181" t="s">
        <v>1509</v>
      </c>
      <c r="E698" s="181" t="s">
        <v>346</v>
      </c>
      <c r="F698" s="181" t="s">
        <v>347</v>
      </c>
      <c r="G698" s="181" t="s">
        <v>103</v>
      </c>
      <c r="H698" s="181" t="s">
        <v>279</v>
      </c>
      <c r="I698" s="181" t="s">
        <v>1677</v>
      </c>
      <c r="J698" s="184" t="n">
        <v>36510</v>
      </c>
      <c r="K698" s="184" t="n">
        <v>15250</v>
      </c>
      <c r="L698" s="185" t="n">
        <v>21</v>
      </c>
      <c r="M698" s="173" t="n">
        <v>21260</v>
      </c>
      <c r="N698" s="184" t="n">
        <v>16795.4</v>
      </c>
      <c r="O698" s="184" t="s">
        <v>1772</v>
      </c>
      <c r="P698" s="187" t="n">
        <v>45927</v>
      </c>
      <c r="Q698" s="188" t="n">
        <v>0.574108796296296</v>
      </c>
    </row>
    <row r="699" customFormat="false" ht="35.05" hidden="false" customHeight="false" outlineLevel="0" collapsed="false">
      <c r="A699" s="181" t="s">
        <v>1773</v>
      </c>
      <c r="B699" s="182" t="n">
        <v>1857</v>
      </c>
      <c r="C699" s="183" t="n">
        <v>213</v>
      </c>
      <c r="D699" s="181" t="s">
        <v>1509</v>
      </c>
      <c r="E699" s="181" t="s">
        <v>266</v>
      </c>
      <c r="F699" s="181" t="s">
        <v>267</v>
      </c>
      <c r="G699" s="181" t="s">
        <v>103</v>
      </c>
      <c r="H699" s="181" t="s">
        <v>279</v>
      </c>
      <c r="I699" s="181" t="s">
        <v>1677</v>
      </c>
      <c r="J699" s="184" t="n">
        <v>36110</v>
      </c>
      <c r="K699" s="184" t="n">
        <v>15090</v>
      </c>
      <c r="L699" s="185" t="n">
        <v>23</v>
      </c>
      <c r="M699" s="173" t="n">
        <v>21020</v>
      </c>
      <c r="N699" s="184" t="n">
        <v>16185.4</v>
      </c>
      <c r="O699" s="184" t="s">
        <v>1774</v>
      </c>
      <c r="P699" s="187" t="n">
        <v>45927</v>
      </c>
      <c r="Q699" s="188" t="n">
        <v>0.577199074074074</v>
      </c>
    </row>
    <row r="700" customFormat="false" ht="35.05" hidden="false" customHeight="false" outlineLevel="0" collapsed="false">
      <c r="A700" s="181" t="s">
        <v>1775</v>
      </c>
      <c r="B700" s="182" t="n">
        <v>1858</v>
      </c>
      <c r="C700" s="183" t="n">
        <v>214</v>
      </c>
      <c r="D700" s="181" t="s">
        <v>1509</v>
      </c>
      <c r="E700" s="181" t="s">
        <v>391</v>
      </c>
      <c r="F700" s="181" t="s">
        <v>392</v>
      </c>
      <c r="G700" s="181" t="s">
        <v>103</v>
      </c>
      <c r="H700" s="181" t="s">
        <v>279</v>
      </c>
      <c r="I700" s="181" t="s">
        <v>1677</v>
      </c>
      <c r="J700" s="184" t="n">
        <v>34360</v>
      </c>
      <c r="K700" s="184" t="n">
        <v>14550</v>
      </c>
      <c r="L700" s="185" t="n">
        <v>23</v>
      </c>
      <c r="M700" s="173" t="n">
        <v>19810</v>
      </c>
      <c r="N700" s="184" t="n">
        <v>15253.7</v>
      </c>
      <c r="O700" s="184" t="s">
        <v>1776</v>
      </c>
      <c r="P700" s="187" t="n">
        <v>45927</v>
      </c>
      <c r="Q700" s="188" t="n">
        <v>0.579768518518519</v>
      </c>
    </row>
    <row r="701" customFormat="false" ht="35.05" hidden="false" customHeight="false" outlineLevel="0" collapsed="false">
      <c r="A701" s="181" t="s">
        <v>1777</v>
      </c>
      <c r="B701" s="182" t="n">
        <v>1861</v>
      </c>
      <c r="C701" s="183" t="n">
        <v>215</v>
      </c>
      <c r="D701" s="181" t="s">
        <v>1509</v>
      </c>
      <c r="E701" s="181" t="s">
        <v>529</v>
      </c>
      <c r="F701" s="181" t="s">
        <v>530</v>
      </c>
      <c r="G701" s="181" t="s">
        <v>103</v>
      </c>
      <c r="H701" s="181" t="s">
        <v>279</v>
      </c>
      <c r="I701" s="181" t="s">
        <v>1677</v>
      </c>
      <c r="J701" s="184" t="n">
        <v>34830</v>
      </c>
      <c r="K701" s="184" t="n">
        <v>14880</v>
      </c>
      <c r="L701" s="185" t="n">
        <v>16</v>
      </c>
      <c r="M701" s="173" t="n">
        <v>19950</v>
      </c>
      <c r="N701" s="184" t="n">
        <v>16758</v>
      </c>
      <c r="O701" s="184" t="s">
        <v>1778</v>
      </c>
      <c r="P701" s="187" t="n">
        <v>45927</v>
      </c>
      <c r="Q701" s="188" t="n">
        <v>0.581736111111111</v>
      </c>
    </row>
    <row r="702" customFormat="false" ht="35.05" hidden="false" customHeight="false" outlineLevel="0" collapsed="false">
      <c r="A702" s="181" t="s">
        <v>1779</v>
      </c>
      <c r="B702" s="182" t="n">
        <v>1862</v>
      </c>
      <c r="C702" s="183" t="n">
        <v>216</v>
      </c>
      <c r="D702" s="181" t="s">
        <v>1509</v>
      </c>
      <c r="E702" s="181" t="s">
        <v>346</v>
      </c>
      <c r="F702" s="181" t="s">
        <v>347</v>
      </c>
      <c r="G702" s="181" t="s">
        <v>103</v>
      </c>
      <c r="H702" s="181" t="s">
        <v>279</v>
      </c>
      <c r="I702" s="181" t="s">
        <v>1677</v>
      </c>
      <c r="J702" s="184" t="n">
        <v>37530</v>
      </c>
      <c r="K702" s="184" t="n">
        <v>15230</v>
      </c>
      <c r="L702" s="185" t="n">
        <v>14</v>
      </c>
      <c r="M702" s="173" t="n">
        <v>22300</v>
      </c>
      <c r="N702" s="184" t="n">
        <v>19178</v>
      </c>
      <c r="O702" s="184" t="s">
        <v>1780</v>
      </c>
      <c r="P702" s="187" t="n">
        <v>45927</v>
      </c>
      <c r="Q702" s="188" t="n">
        <v>0.633125</v>
      </c>
    </row>
    <row r="703" customFormat="false" ht="35.05" hidden="false" customHeight="false" outlineLevel="0" collapsed="false">
      <c r="A703" s="181" t="s">
        <v>1781</v>
      </c>
      <c r="B703" s="182" t="n">
        <v>1863</v>
      </c>
      <c r="C703" s="183" t="n">
        <v>217</v>
      </c>
      <c r="D703" s="181" t="s">
        <v>1509</v>
      </c>
      <c r="E703" s="181" t="s">
        <v>266</v>
      </c>
      <c r="F703" s="181" t="s">
        <v>267</v>
      </c>
      <c r="G703" s="181" t="s">
        <v>103</v>
      </c>
      <c r="H703" s="181" t="s">
        <v>279</v>
      </c>
      <c r="I703" s="181" t="s">
        <v>1677</v>
      </c>
      <c r="J703" s="184" t="n">
        <v>34840</v>
      </c>
      <c r="K703" s="184" t="n">
        <v>15070</v>
      </c>
      <c r="L703" s="185" t="n">
        <v>22</v>
      </c>
      <c r="M703" s="173" t="n">
        <v>19770</v>
      </c>
      <c r="N703" s="184" t="n">
        <v>15420.6</v>
      </c>
      <c r="O703" s="184" t="s">
        <v>1782</v>
      </c>
      <c r="P703" s="187" t="n">
        <v>45927</v>
      </c>
      <c r="Q703" s="188" t="n">
        <v>0.699837962962963</v>
      </c>
    </row>
    <row r="704" customFormat="false" ht="35.05" hidden="false" customHeight="false" outlineLevel="0" collapsed="false">
      <c r="A704" s="181" t="s">
        <v>1783</v>
      </c>
      <c r="B704" s="182" t="n">
        <v>1864</v>
      </c>
      <c r="C704" s="183" t="n">
        <v>218</v>
      </c>
      <c r="D704" s="181" t="s">
        <v>1509</v>
      </c>
      <c r="E704" s="181" t="s">
        <v>391</v>
      </c>
      <c r="F704" s="181" t="s">
        <v>392</v>
      </c>
      <c r="G704" s="181" t="s">
        <v>103</v>
      </c>
      <c r="H704" s="181" t="s">
        <v>279</v>
      </c>
      <c r="I704" s="181" t="s">
        <v>1677</v>
      </c>
      <c r="J704" s="184" t="n">
        <v>34370</v>
      </c>
      <c r="K704" s="184" t="n">
        <v>14550</v>
      </c>
      <c r="L704" s="185" t="n">
        <v>19</v>
      </c>
      <c r="M704" s="173" t="n">
        <v>19820</v>
      </c>
      <c r="N704" s="184" t="n">
        <v>16054.2</v>
      </c>
      <c r="O704" s="184" t="s">
        <v>1784</v>
      </c>
      <c r="P704" s="187" t="n">
        <v>45927</v>
      </c>
      <c r="Q704" s="188" t="n">
        <v>0.701574074074074</v>
      </c>
    </row>
    <row r="705" customFormat="false" ht="35.05" hidden="false" customHeight="false" outlineLevel="0" collapsed="false">
      <c r="A705" s="181" t="s">
        <v>1785</v>
      </c>
      <c r="B705" s="182" t="n">
        <v>1865</v>
      </c>
      <c r="C705" s="183" t="n">
        <v>219</v>
      </c>
      <c r="D705" s="181" t="s">
        <v>1509</v>
      </c>
      <c r="E705" s="181" t="s">
        <v>529</v>
      </c>
      <c r="F705" s="181" t="s">
        <v>530</v>
      </c>
      <c r="G705" s="181" t="s">
        <v>103</v>
      </c>
      <c r="H705" s="181" t="s">
        <v>279</v>
      </c>
      <c r="I705" s="181" t="s">
        <v>1677</v>
      </c>
      <c r="J705" s="184" t="n">
        <v>35060</v>
      </c>
      <c r="K705" s="184" t="n">
        <v>14880</v>
      </c>
      <c r="L705" s="185" t="n">
        <v>18</v>
      </c>
      <c r="M705" s="173" t="n">
        <v>20180</v>
      </c>
      <c r="N705" s="184" t="n">
        <v>16547.6</v>
      </c>
      <c r="O705" s="184" t="s">
        <v>1786</v>
      </c>
      <c r="P705" s="187" t="n">
        <v>45927</v>
      </c>
      <c r="Q705" s="188" t="n">
        <v>0.708703703703704</v>
      </c>
    </row>
    <row r="706" customFormat="false" ht="35.05" hidden="false" customHeight="false" outlineLevel="0" collapsed="false">
      <c r="A706" s="181" t="s">
        <v>1787</v>
      </c>
      <c r="B706" s="182" t="n">
        <v>1867</v>
      </c>
      <c r="C706" s="183" t="n">
        <v>220</v>
      </c>
      <c r="D706" s="181" t="s">
        <v>1509</v>
      </c>
      <c r="E706" s="181" t="s">
        <v>346</v>
      </c>
      <c r="F706" s="181" t="s">
        <v>347</v>
      </c>
      <c r="G706" s="181" t="s">
        <v>103</v>
      </c>
      <c r="H706" s="181" t="s">
        <v>279</v>
      </c>
      <c r="I706" s="181" t="s">
        <v>1677</v>
      </c>
      <c r="J706" s="184" t="n">
        <v>37830</v>
      </c>
      <c r="K706" s="184" t="n">
        <v>15230</v>
      </c>
      <c r="L706" s="185" t="n">
        <v>20</v>
      </c>
      <c r="M706" s="173" t="n">
        <v>22600</v>
      </c>
      <c r="N706" s="184" t="n">
        <v>18080</v>
      </c>
      <c r="O706" s="184" t="s">
        <v>1788</v>
      </c>
      <c r="P706" s="187" t="n">
        <v>45927</v>
      </c>
      <c r="Q706" s="188" t="n">
        <v>0.805613425925926</v>
      </c>
    </row>
    <row r="707" customFormat="false" ht="35.05" hidden="false" customHeight="false" outlineLevel="0" collapsed="false">
      <c r="A707" s="181" t="s">
        <v>1789</v>
      </c>
      <c r="B707" s="182" t="n">
        <v>1868</v>
      </c>
      <c r="C707" s="183" t="n">
        <v>221</v>
      </c>
      <c r="D707" s="181" t="s">
        <v>1509</v>
      </c>
      <c r="E707" s="181" t="s">
        <v>266</v>
      </c>
      <c r="F707" s="181" t="s">
        <v>267</v>
      </c>
      <c r="G707" s="181" t="s">
        <v>103</v>
      </c>
      <c r="H707" s="181" t="s">
        <v>279</v>
      </c>
      <c r="I707" s="181" t="s">
        <v>1677</v>
      </c>
      <c r="J707" s="184" t="n">
        <v>36440</v>
      </c>
      <c r="K707" s="184" t="n">
        <v>15070</v>
      </c>
      <c r="L707" s="185" t="n">
        <v>16</v>
      </c>
      <c r="M707" s="173" t="n">
        <v>21370</v>
      </c>
      <c r="N707" s="184" t="n">
        <v>17950.8</v>
      </c>
      <c r="O707" s="184" t="s">
        <v>1790</v>
      </c>
      <c r="P707" s="187" t="n">
        <v>45927</v>
      </c>
      <c r="Q707" s="188" t="n">
        <v>0.807662037037037</v>
      </c>
    </row>
    <row r="708" customFormat="false" ht="35.05" hidden="false" customHeight="false" outlineLevel="0" collapsed="false">
      <c r="A708" s="181" t="s">
        <v>1791</v>
      </c>
      <c r="B708" s="182" t="n">
        <v>1869</v>
      </c>
      <c r="C708" s="183" t="n">
        <v>222</v>
      </c>
      <c r="D708" s="181" t="s">
        <v>1509</v>
      </c>
      <c r="E708" s="181" t="s">
        <v>391</v>
      </c>
      <c r="F708" s="181" t="s">
        <v>392</v>
      </c>
      <c r="G708" s="181" t="s">
        <v>103</v>
      </c>
      <c r="H708" s="181" t="s">
        <v>279</v>
      </c>
      <c r="I708" s="181" t="s">
        <v>1677</v>
      </c>
      <c r="J708" s="184" t="n">
        <v>34030</v>
      </c>
      <c r="K708" s="184" t="n">
        <v>14520</v>
      </c>
      <c r="L708" s="185" t="n">
        <v>20</v>
      </c>
      <c r="M708" s="173" t="n">
        <v>19510</v>
      </c>
      <c r="N708" s="184" t="n">
        <v>15608</v>
      </c>
      <c r="O708" s="184" t="s">
        <v>1792</v>
      </c>
      <c r="P708" s="187" t="n">
        <v>45927</v>
      </c>
      <c r="Q708" s="188" t="n">
        <v>0.82849537037037</v>
      </c>
    </row>
    <row r="709" customFormat="false" ht="35.05" hidden="false" customHeight="false" outlineLevel="0" collapsed="false">
      <c r="A709" s="181" t="s">
        <v>1793</v>
      </c>
      <c r="B709" s="182" t="n">
        <v>1870</v>
      </c>
      <c r="C709" s="183" t="n">
        <v>223</v>
      </c>
      <c r="D709" s="181" t="s">
        <v>1509</v>
      </c>
      <c r="E709" s="181" t="s">
        <v>529</v>
      </c>
      <c r="F709" s="181" t="s">
        <v>530</v>
      </c>
      <c r="G709" s="181" t="s">
        <v>103</v>
      </c>
      <c r="H709" s="181" t="s">
        <v>279</v>
      </c>
      <c r="I709" s="181" t="s">
        <v>1677</v>
      </c>
      <c r="J709" s="184" t="n">
        <v>34410</v>
      </c>
      <c r="K709" s="184" t="n">
        <v>14860</v>
      </c>
      <c r="L709" s="185" t="n">
        <v>16</v>
      </c>
      <c r="M709" s="173" t="n">
        <v>19550</v>
      </c>
      <c r="N709" s="184" t="n">
        <v>16422</v>
      </c>
      <c r="O709" s="184" t="s">
        <v>1794</v>
      </c>
      <c r="P709" s="187" t="n">
        <v>45927</v>
      </c>
      <c r="Q709" s="188" t="n">
        <v>0.867175925925926</v>
      </c>
    </row>
    <row r="710" customFormat="false" ht="35.05" hidden="false" customHeight="false" outlineLevel="0" collapsed="false">
      <c r="A710" s="181" t="s">
        <v>1795</v>
      </c>
      <c r="B710" s="182" t="n">
        <v>1871</v>
      </c>
      <c r="C710" s="183" t="n">
        <v>224</v>
      </c>
      <c r="D710" s="181" t="s">
        <v>1509</v>
      </c>
      <c r="E710" s="181" t="s">
        <v>346</v>
      </c>
      <c r="F710" s="181" t="s">
        <v>347</v>
      </c>
      <c r="G710" s="181" t="s">
        <v>103</v>
      </c>
      <c r="H710" s="181" t="s">
        <v>279</v>
      </c>
      <c r="I710" s="181" t="s">
        <v>1677</v>
      </c>
      <c r="J710" s="184" t="n">
        <v>33930</v>
      </c>
      <c r="K710" s="184" t="n">
        <v>15210</v>
      </c>
      <c r="L710" s="185" t="n">
        <v>16</v>
      </c>
      <c r="M710" s="173" t="n">
        <v>18720</v>
      </c>
      <c r="N710" s="184" t="n">
        <v>15724.8</v>
      </c>
      <c r="O710" s="184" t="s">
        <v>1796</v>
      </c>
      <c r="P710" s="187" t="n">
        <v>45927</v>
      </c>
      <c r="Q710" s="188" t="n">
        <v>0.931921296296296</v>
      </c>
    </row>
    <row r="711" customFormat="false" ht="35.05" hidden="false" customHeight="false" outlineLevel="0" collapsed="false">
      <c r="A711" s="181" t="s">
        <v>1797</v>
      </c>
      <c r="B711" s="182" t="n">
        <v>1874</v>
      </c>
      <c r="C711" s="183" t="n">
        <v>225</v>
      </c>
      <c r="D711" s="181" t="s">
        <v>1509</v>
      </c>
      <c r="E711" s="181" t="s">
        <v>266</v>
      </c>
      <c r="F711" s="181" t="s">
        <v>267</v>
      </c>
      <c r="G711" s="181" t="s">
        <v>103</v>
      </c>
      <c r="H711" s="181" t="s">
        <v>279</v>
      </c>
      <c r="I711" s="181" t="s">
        <v>1677</v>
      </c>
      <c r="J711" s="184" t="n">
        <v>37910</v>
      </c>
      <c r="K711" s="184" t="n">
        <v>15050</v>
      </c>
      <c r="L711" s="185" t="n">
        <v>21</v>
      </c>
      <c r="M711" s="173" t="n">
        <v>22860</v>
      </c>
      <c r="N711" s="184" t="n">
        <v>18059.4</v>
      </c>
      <c r="O711" s="184" t="s">
        <v>1798</v>
      </c>
      <c r="P711" s="187" t="n">
        <v>45927</v>
      </c>
      <c r="Q711" s="188" t="n">
        <v>0.831666666666667</v>
      </c>
    </row>
    <row r="712" customFormat="false" ht="35.05" hidden="false" customHeight="false" outlineLevel="0" collapsed="false">
      <c r="A712" s="181" t="s">
        <v>1799</v>
      </c>
      <c r="B712" s="182" t="n">
        <v>1875</v>
      </c>
      <c r="C712" s="183" t="n">
        <v>226</v>
      </c>
      <c r="D712" s="181" t="s">
        <v>1509</v>
      </c>
      <c r="E712" s="181" t="s">
        <v>391</v>
      </c>
      <c r="F712" s="181" t="s">
        <v>392</v>
      </c>
      <c r="G712" s="181" t="s">
        <v>103</v>
      </c>
      <c r="H712" s="181" t="s">
        <v>279</v>
      </c>
      <c r="I712" s="181" t="s">
        <v>1677</v>
      </c>
      <c r="J712" s="184" t="n">
        <v>33100</v>
      </c>
      <c r="K712" s="184" t="n">
        <v>14530</v>
      </c>
      <c r="L712" s="185" t="n">
        <v>6</v>
      </c>
      <c r="M712" s="173" t="n">
        <v>18570</v>
      </c>
      <c r="N712" s="184" t="n">
        <v>17455.8</v>
      </c>
      <c r="O712" s="184" t="s">
        <v>1800</v>
      </c>
      <c r="P712" s="187" t="n">
        <v>45927</v>
      </c>
      <c r="Q712" s="188" t="n">
        <v>0.993831018518519</v>
      </c>
    </row>
    <row r="713" customFormat="false" ht="35.05" hidden="false" customHeight="false" outlineLevel="0" collapsed="false">
      <c r="A713" s="181" t="s">
        <v>1801</v>
      </c>
      <c r="B713" s="182" t="n">
        <v>1876</v>
      </c>
      <c r="C713" s="183" t="n">
        <v>227</v>
      </c>
      <c r="D713" s="181" t="s">
        <v>1509</v>
      </c>
      <c r="E713" s="181" t="s">
        <v>529</v>
      </c>
      <c r="F713" s="181" t="s">
        <v>530</v>
      </c>
      <c r="G713" s="181" t="s">
        <v>103</v>
      </c>
      <c r="H713" s="181" t="s">
        <v>279</v>
      </c>
      <c r="I713" s="181" t="s">
        <v>1677</v>
      </c>
      <c r="J713" s="184" t="n">
        <v>34630</v>
      </c>
      <c r="K713" s="184" t="n">
        <v>14860</v>
      </c>
      <c r="L713" s="185" t="n">
        <v>8</v>
      </c>
      <c r="M713" s="173" t="n">
        <v>19770</v>
      </c>
      <c r="N713" s="184" t="n">
        <v>18188.4</v>
      </c>
      <c r="O713" s="184" t="s">
        <v>1802</v>
      </c>
      <c r="P713" s="187" t="n">
        <v>45927</v>
      </c>
      <c r="Q713" s="188" t="n">
        <v>0.906585648148148</v>
      </c>
    </row>
    <row r="714" customFormat="false" ht="35.05" hidden="false" customHeight="false" outlineLevel="0" collapsed="false">
      <c r="A714" s="181" t="s">
        <v>1803</v>
      </c>
      <c r="B714" s="182" t="n">
        <v>1877</v>
      </c>
      <c r="C714" s="183" t="n">
        <v>228</v>
      </c>
      <c r="D714" s="181" t="s">
        <v>1509</v>
      </c>
      <c r="E714" s="181" t="s">
        <v>346</v>
      </c>
      <c r="F714" s="181" t="s">
        <v>347</v>
      </c>
      <c r="G714" s="181" t="s">
        <v>103</v>
      </c>
      <c r="H714" s="181" t="s">
        <v>279</v>
      </c>
      <c r="I714" s="181" t="s">
        <v>1677</v>
      </c>
      <c r="J714" s="184" t="n">
        <v>35390</v>
      </c>
      <c r="K714" s="184" t="n">
        <v>15230</v>
      </c>
      <c r="L714" s="185" t="n">
        <v>10</v>
      </c>
      <c r="M714" s="173" t="n">
        <v>20160</v>
      </c>
      <c r="N714" s="184" t="n">
        <v>18144</v>
      </c>
      <c r="O714" s="184" t="s">
        <v>1804</v>
      </c>
      <c r="P714" s="187" t="n">
        <v>45927</v>
      </c>
      <c r="Q714" s="188" t="n">
        <v>0.935520833333333</v>
      </c>
    </row>
    <row r="715" customFormat="false" ht="35.05" hidden="false" customHeight="false" outlineLevel="0" collapsed="false">
      <c r="A715" s="181" t="s">
        <v>1805</v>
      </c>
      <c r="B715" s="182" t="n">
        <v>1878</v>
      </c>
      <c r="C715" s="183" t="n">
        <v>229</v>
      </c>
      <c r="D715" s="181" t="s">
        <v>1509</v>
      </c>
      <c r="E715" s="181" t="s">
        <v>266</v>
      </c>
      <c r="F715" s="181" t="s">
        <v>267</v>
      </c>
      <c r="G715" s="181" t="s">
        <v>103</v>
      </c>
      <c r="H715" s="181" t="s">
        <v>279</v>
      </c>
      <c r="I715" s="181" t="s">
        <v>1677</v>
      </c>
      <c r="J715" s="184" t="n">
        <v>36180</v>
      </c>
      <c r="K715" s="184" t="n">
        <v>15050</v>
      </c>
      <c r="L715" s="185" t="n">
        <v>6</v>
      </c>
      <c r="M715" s="173" t="n">
        <v>21130</v>
      </c>
      <c r="N715" s="184" t="n">
        <v>19862.2</v>
      </c>
      <c r="O715" s="184" t="s">
        <v>1806</v>
      </c>
      <c r="P715" s="187" t="n">
        <v>45927</v>
      </c>
      <c r="Q715" s="188" t="n">
        <v>0.974305555555556</v>
      </c>
    </row>
    <row r="716" customFormat="false" ht="35.05" hidden="false" customHeight="false" outlineLevel="0" collapsed="false">
      <c r="A716" s="181" t="s">
        <v>1807</v>
      </c>
      <c r="B716" s="182" t="n">
        <v>1879</v>
      </c>
      <c r="C716" s="183" t="n">
        <v>226</v>
      </c>
      <c r="D716" s="181" t="s">
        <v>1509</v>
      </c>
      <c r="E716" s="181" t="s">
        <v>391</v>
      </c>
      <c r="F716" s="181" t="s">
        <v>392</v>
      </c>
      <c r="G716" s="181" t="s">
        <v>103</v>
      </c>
      <c r="H716" s="181" t="s">
        <v>279</v>
      </c>
      <c r="I716" s="181" t="s">
        <v>1677</v>
      </c>
      <c r="J716" s="184" t="n">
        <v>33520</v>
      </c>
      <c r="K716" s="184" t="n">
        <v>14510</v>
      </c>
      <c r="L716" s="185" t="n">
        <v>22</v>
      </c>
      <c r="M716" s="173" t="n">
        <v>19010</v>
      </c>
      <c r="N716" s="184" t="n">
        <v>14827.8</v>
      </c>
      <c r="O716" s="184" t="s">
        <v>1808</v>
      </c>
      <c r="P716" s="187" t="n">
        <v>45928</v>
      </c>
      <c r="Q716" s="188" t="n">
        <v>0.105289351851852</v>
      </c>
    </row>
    <row r="717" customFormat="false" ht="35.05" hidden="false" customHeight="false" outlineLevel="0" collapsed="false">
      <c r="A717" s="181" t="s">
        <v>1809</v>
      </c>
      <c r="B717" s="182" t="n">
        <v>1881</v>
      </c>
      <c r="C717" s="183" t="n">
        <v>231</v>
      </c>
      <c r="D717" s="181" t="s">
        <v>1509</v>
      </c>
      <c r="E717" s="181" t="s">
        <v>529</v>
      </c>
      <c r="F717" s="181" t="s">
        <v>530</v>
      </c>
      <c r="G717" s="181" t="s">
        <v>103</v>
      </c>
      <c r="H717" s="181" t="s">
        <v>279</v>
      </c>
      <c r="I717" s="181" t="s">
        <v>1677</v>
      </c>
      <c r="J717" s="184" t="n">
        <v>34290</v>
      </c>
      <c r="K717" s="184" t="n">
        <v>14850</v>
      </c>
      <c r="L717" s="185" t="n">
        <v>14</v>
      </c>
      <c r="M717" s="173" t="n">
        <v>19440</v>
      </c>
      <c r="N717" s="184" t="n">
        <v>16718.4</v>
      </c>
      <c r="O717" s="184" t="s">
        <v>1810</v>
      </c>
      <c r="P717" s="187" t="n">
        <v>45928</v>
      </c>
      <c r="Q717" s="188" t="n">
        <v>0.141828703703704</v>
      </c>
    </row>
    <row r="718" customFormat="false" ht="35.05" hidden="false" customHeight="false" outlineLevel="0" collapsed="false">
      <c r="A718" s="181" t="s">
        <v>1811</v>
      </c>
      <c r="B718" s="182" t="n">
        <v>1882</v>
      </c>
      <c r="C718" s="183" t="n">
        <v>232</v>
      </c>
      <c r="D718" s="181" t="s">
        <v>1509</v>
      </c>
      <c r="E718" s="181" t="s">
        <v>346</v>
      </c>
      <c r="F718" s="181" t="s">
        <v>347</v>
      </c>
      <c r="G718" s="181" t="s">
        <v>1812</v>
      </c>
      <c r="H718" s="181" t="s">
        <v>87</v>
      </c>
      <c r="I718" s="181" t="s">
        <v>1677</v>
      </c>
      <c r="J718" s="184" t="n">
        <v>36800</v>
      </c>
      <c r="K718" s="184" t="n">
        <v>15180</v>
      </c>
      <c r="L718" s="185" t="n">
        <v>24</v>
      </c>
      <c r="M718" s="173" t="n">
        <v>21620</v>
      </c>
      <c r="N718" s="184" t="n">
        <v>16431.2</v>
      </c>
      <c r="O718" s="184" t="s">
        <v>1813</v>
      </c>
      <c r="P718" s="187" t="n">
        <v>45928</v>
      </c>
      <c r="Q718" s="188" t="n">
        <v>0.115474537037037</v>
      </c>
    </row>
    <row r="719" customFormat="false" ht="35.05" hidden="false" customHeight="false" outlineLevel="0" collapsed="false">
      <c r="A719" s="181" t="s">
        <v>1814</v>
      </c>
      <c r="B719" s="182" t="n">
        <v>1883</v>
      </c>
      <c r="C719" s="183" t="n">
        <v>233</v>
      </c>
      <c r="D719" s="181" t="s">
        <v>1509</v>
      </c>
      <c r="E719" s="181" t="s">
        <v>266</v>
      </c>
      <c r="F719" s="181" t="s">
        <v>267</v>
      </c>
      <c r="G719" s="181" t="s">
        <v>1812</v>
      </c>
      <c r="H719" s="181" t="s">
        <v>87</v>
      </c>
      <c r="I719" s="181" t="s">
        <v>1677</v>
      </c>
      <c r="J719" s="184" t="n">
        <v>36630</v>
      </c>
      <c r="K719" s="184" t="n">
        <v>15020</v>
      </c>
      <c r="L719" s="185" t="n">
        <v>15</v>
      </c>
      <c r="M719" s="173" t="n">
        <v>21610</v>
      </c>
      <c r="N719" s="184" t="n">
        <v>18368.5</v>
      </c>
      <c r="O719" s="184" t="s">
        <v>1815</v>
      </c>
      <c r="P719" s="187" t="n">
        <v>45928</v>
      </c>
      <c r="Q719" s="188" t="n">
        <v>0.146435185185185</v>
      </c>
    </row>
    <row r="720" customFormat="false" ht="35.05" hidden="false" customHeight="false" outlineLevel="0" collapsed="false">
      <c r="A720" s="181" t="s">
        <v>1816</v>
      </c>
      <c r="B720" s="182" t="n">
        <v>1884</v>
      </c>
      <c r="C720" s="183" t="n">
        <v>234</v>
      </c>
      <c r="D720" s="181" t="s">
        <v>1509</v>
      </c>
      <c r="E720" s="181" t="s">
        <v>391</v>
      </c>
      <c r="F720" s="181" t="s">
        <v>392</v>
      </c>
      <c r="G720" s="181" t="s">
        <v>1812</v>
      </c>
      <c r="H720" s="181" t="s">
        <v>87</v>
      </c>
      <c r="I720" s="181" t="s">
        <v>1677</v>
      </c>
      <c r="J720" s="184" t="n">
        <v>33650</v>
      </c>
      <c r="K720" s="184" t="n">
        <v>14490</v>
      </c>
      <c r="L720" s="185" t="n">
        <v>24</v>
      </c>
      <c r="M720" s="173" t="n">
        <v>19160</v>
      </c>
      <c r="N720" s="184" t="n">
        <v>14561.6</v>
      </c>
      <c r="O720" s="184" t="s">
        <v>1817</v>
      </c>
      <c r="P720" s="187" t="n">
        <v>45928</v>
      </c>
      <c r="Q720" s="188" t="n">
        <v>0.178275462962963</v>
      </c>
    </row>
    <row r="721" customFormat="false" ht="35.05" hidden="false" customHeight="false" outlineLevel="0" collapsed="false">
      <c r="A721" s="181" t="s">
        <v>1818</v>
      </c>
      <c r="B721" s="182" t="n">
        <v>1885</v>
      </c>
      <c r="C721" s="183" t="n">
        <v>235</v>
      </c>
      <c r="D721" s="181" t="s">
        <v>1509</v>
      </c>
      <c r="E721" s="181" t="s">
        <v>529</v>
      </c>
      <c r="F721" s="181" t="s">
        <v>530</v>
      </c>
      <c r="G721" s="181" t="s">
        <v>1812</v>
      </c>
      <c r="H721" s="181" t="s">
        <v>87</v>
      </c>
      <c r="I721" s="181" t="s">
        <v>1677</v>
      </c>
      <c r="J721" s="184" t="n">
        <v>33770</v>
      </c>
      <c r="K721" s="184" t="n">
        <v>14840</v>
      </c>
      <c r="L721" s="185" t="n">
        <v>24</v>
      </c>
      <c r="M721" s="173" t="n">
        <v>18930</v>
      </c>
      <c r="N721" s="184" t="n">
        <v>14386.8</v>
      </c>
      <c r="O721" s="184" t="s">
        <v>1819</v>
      </c>
      <c r="P721" s="187" t="n">
        <v>45928</v>
      </c>
      <c r="Q721" s="188" t="n">
        <v>0.195335648148148</v>
      </c>
    </row>
    <row r="722" customFormat="false" ht="35.05" hidden="false" customHeight="false" outlineLevel="0" collapsed="false">
      <c r="A722" s="181" t="s">
        <v>1820</v>
      </c>
      <c r="B722" s="182" t="n">
        <v>1886</v>
      </c>
      <c r="C722" s="183" t="n">
        <v>236</v>
      </c>
      <c r="D722" s="181" t="s">
        <v>1509</v>
      </c>
      <c r="E722" s="181" t="s">
        <v>346</v>
      </c>
      <c r="F722" s="181" t="s">
        <v>347</v>
      </c>
      <c r="G722" s="181" t="s">
        <v>1812</v>
      </c>
      <c r="H722" s="181" t="s">
        <v>87</v>
      </c>
      <c r="I722" s="181" t="s">
        <v>1677</v>
      </c>
      <c r="J722" s="184" t="n">
        <v>38150</v>
      </c>
      <c r="K722" s="184" t="n">
        <v>15170</v>
      </c>
      <c r="L722" s="185" t="n">
        <v>23</v>
      </c>
      <c r="M722" s="173" t="n">
        <v>22980</v>
      </c>
      <c r="N722" s="184" t="n">
        <v>17694.6</v>
      </c>
      <c r="O722" s="184" t="s">
        <v>1821</v>
      </c>
      <c r="P722" s="187" t="n">
        <v>45928</v>
      </c>
      <c r="Q722" s="188" t="n">
        <v>0.247233796296296</v>
      </c>
    </row>
    <row r="723" customFormat="false" ht="35.05" hidden="false" customHeight="false" outlineLevel="0" collapsed="false">
      <c r="A723" s="181" t="s">
        <v>1822</v>
      </c>
      <c r="B723" s="182" t="n">
        <v>1888</v>
      </c>
      <c r="C723" s="183" t="n">
        <v>237</v>
      </c>
      <c r="D723" s="181" t="s">
        <v>1509</v>
      </c>
      <c r="E723" s="181" t="s">
        <v>266</v>
      </c>
      <c r="F723" s="181" t="s">
        <v>267</v>
      </c>
      <c r="G723" s="181" t="s">
        <v>1812</v>
      </c>
      <c r="H723" s="181" t="s">
        <v>87</v>
      </c>
      <c r="I723" s="181" t="s">
        <v>1677</v>
      </c>
      <c r="J723" s="184" t="n">
        <v>36220</v>
      </c>
      <c r="K723" s="184" t="n">
        <v>15010</v>
      </c>
      <c r="L723" s="185" t="n">
        <v>34</v>
      </c>
      <c r="M723" s="173" t="n">
        <v>21210</v>
      </c>
      <c r="N723" s="184" t="n">
        <v>13998.6</v>
      </c>
      <c r="O723" s="184" t="s">
        <v>1823</v>
      </c>
      <c r="P723" s="187" t="n">
        <v>45928</v>
      </c>
      <c r="Q723" s="188" t="n">
        <v>0.283206018518519</v>
      </c>
    </row>
    <row r="724" customFormat="false" ht="35.05" hidden="false" customHeight="false" outlineLevel="0" collapsed="false">
      <c r="A724" s="181" t="s">
        <v>1824</v>
      </c>
      <c r="B724" s="182" t="n">
        <v>1890</v>
      </c>
      <c r="C724" s="183" t="n">
        <v>238</v>
      </c>
      <c r="D724" s="181" t="s">
        <v>1509</v>
      </c>
      <c r="E724" s="181" t="s">
        <v>332</v>
      </c>
      <c r="F724" s="181" t="s">
        <v>333</v>
      </c>
      <c r="G724" s="181" t="s">
        <v>1812</v>
      </c>
      <c r="H724" s="181" t="s">
        <v>87</v>
      </c>
      <c r="I724" s="181" t="s">
        <v>1677</v>
      </c>
      <c r="J724" s="184" t="n">
        <v>36180</v>
      </c>
      <c r="K724" s="184" t="n">
        <v>14810</v>
      </c>
      <c r="L724" s="185" t="n">
        <v>27</v>
      </c>
      <c r="M724" s="173" t="n">
        <v>21370</v>
      </c>
      <c r="N724" s="184" t="n">
        <v>15600.1</v>
      </c>
      <c r="O724" s="184" t="s">
        <v>1825</v>
      </c>
      <c r="P724" s="187" t="n">
        <v>45928</v>
      </c>
      <c r="Q724" s="188" t="n">
        <v>0.354189814814815</v>
      </c>
    </row>
    <row r="725" customFormat="false" ht="35.05" hidden="false" customHeight="false" outlineLevel="0" collapsed="false">
      <c r="A725" s="181" t="s">
        <v>1826</v>
      </c>
      <c r="B725" s="182" t="n">
        <v>1892</v>
      </c>
      <c r="C725" s="183" t="n">
        <v>239</v>
      </c>
      <c r="D725" s="181" t="s">
        <v>1509</v>
      </c>
      <c r="E725" s="181" t="s">
        <v>282</v>
      </c>
      <c r="F725" s="181" t="s">
        <v>283</v>
      </c>
      <c r="G725" s="181" t="s">
        <v>1812</v>
      </c>
      <c r="H725" s="181" t="s">
        <v>87</v>
      </c>
      <c r="I725" s="181" t="s">
        <v>1677</v>
      </c>
      <c r="J725" s="184" t="n">
        <v>36890</v>
      </c>
      <c r="K725" s="184" t="n">
        <v>15050</v>
      </c>
      <c r="L725" s="185" t="n">
        <v>30</v>
      </c>
      <c r="M725" s="173" t="n">
        <v>21840</v>
      </c>
      <c r="N725" s="184" t="n">
        <v>15288</v>
      </c>
      <c r="O725" s="184" t="s">
        <v>1827</v>
      </c>
      <c r="P725" s="187" t="n">
        <v>45928</v>
      </c>
      <c r="Q725" s="188" t="n">
        <v>0.402719907407407</v>
      </c>
    </row>
    <row r="726" customFormat="false" ht="35.05" hidden="false" customHeight="false" outlineLevel="0" collapsed="false">
      <c r="A726" s="181" t="s">
        <v>1828</v>
      </c>
      <c r="B726" s="182" t="n">
        <v>1896</v>
      </c>
      <c r="C726" s="183" t="n">
        <v>240</v>
      </c>
      <c r="D726" s="181" t="s">
        <v>1509</v>
      </c>
      <c r="E726" s="181" t="s">
        <v>292</v>
      </c>
      <c r="F726" s="181" t="s">
        <v>293</v>
      </c>
      <c r="G726" s="181" t="s">
        <v>1812</v>
      </c>
      <c r="H726" s="181" t="s">
        <v>87</v>
      </c>
      <c r="I726" s="181" t="s">
        <v>1677</v>
      </c>
      <c r="J726" s="184" t="n">
        <v>33960</v>
      </c>
      <c r="K726" s="184" t="n">
        <v>14000</v>
      </c>
      <c r="L726" s="185" t="n">
        <v>27</v>
      </c>
      <c r="M726" s="173" t="n">
        <v>19960</v>
      </c>
      <c r="N726" s="184" t="n">
        <v>14570.8</v>
      </c>
      <c r="O726" s="184" t="s">
        <v>1829</v>
      </c>
      <c r="P726" s="187" t="n">
        <v>45928</v>
      </c>
      <c r="Q726" s="188" t="n">
        <v>0.457627314814815</v>
      </c>
    </row>
    <row r="727" customFormat="false" ht="35.05" hidden="false" customHeight="false" outlineLevel="0" collapsed="false">
      <c r="A727" s="181" t="s">
        <v>1830</v>
      </c>
      <c r="B727" s="182" t="n">
        <v>1897</v>
      </c>
      <c r="C727" s="183" t="n">
        <v>241</v>
      </c>
      <c r="D727" s="181" t="s">
        <v>1509</v>
      </c>
      <c r="E727" s="181" t="s">
        <v>261</v>
      </c>
      <c r="F727" s="181" t="s">
        <v>262</v>
      </c>
      <c r="G727" s="181" t="s">
        <v>1812</v>
      </c>
      <c r="H727" s="181" t="s">
        <v>87</v>
      </c>
      <c r="I727" s="181" t="s">
        <v>1677</v>
      </c>
      <c r="J727" s="184" t="n">
        <v>36370</v>
      </c>
      <c r="K727" s="184" t="n">
        <v>15120</v>
      </c>
      <c r="L727" s="185" t="n">
        <v>31</v>
      </c>
      <c r="M727" s="173" t="n">
        <v>21250</v>
      </c>
      <c r="N727" s="184" t="n">
        <v>14662.5</v>
      </c>
      <c r="O727" s="184" t="s">
        <v>1831</v>
      </c>
      <c r="P727" s="187" t="n">
        <v>45928</v>
      </c>
      <c r="Q727" s="188" t="n">
        <v>0.487025462962963</v>
      </c>
    </row>
    <row r="728" customFormat="false" ht="35.05" hidden="false" customHeight="false" outlineLevel="0" collapsed="false">
      <c r="A728" s="181" t="s">
        <v>1832</v>
      </c>
      <c r="B728" s="182" t="n">
        <v>1900</v>
      </c>
      <c r="C728" s="183" t="n">
        <v>242</v>
      </c>
      <c r="D728" s="181" t="s">
        <v>1509</v>
      </c>
      <c r="E728" s="181" t="s">
        <v>332</v>
      </c>
      <c r="F728" s="181" t="s">
        <v>333</v>
      </c>
      <c r="G728" s="181" t="s">
        <v>1812</v>
      </c>
      <c r="H728" s="181" t="s">
        <v>87</v>
      </c>
      <c r="I728" s="181" t="s">
        <v>1677</v>
      </c>
      <c r="J728" s="184" t="n">
        <v>37630</v>
      </c>
      <c r="K728" s="184" t="n">
        <v>14780</v>
      </c>
      <c r="L728" s="185" t="n">
        <v>22</v>
      </c>
      <c r="M728" s="173" t="n">
        <v>22850</v>
      </c>
      <c r="N728" s="184" t="n">
        <v>17823</v>
      </c>
      <c r="O728" s="184" t="s">
        <v>1833</v>
      </c>
      <c r="P728" s="187" t="n">
        <v>45928</v>
      </c>
      <c r="Q728" s="188" t="n">
        <v>0.539074074074074</v>
      </c>
    </row>
    <row r="729" customFormat="false" ht="35.05" hidden="false" customHeight="false" outlineLevel="0" collapsed="false">
      <c r="A729" s="181" t="s">
        <v>1834</v>
      </c>
      <c r="B729" s="182" t="n">
        <v>1901</v>
      </c>
      <c r="C729" s="183" t="n">
        <v>243</v>
      </c>
      <c r="D729" s="181" t="s">
        <v>1509</v>
      </c>
      <c r="E729" s="181" t="s">
        <v>282</v>
      </c>
      <c r="F729" s="181" t="s">
        <v>283</v>
      </c>
      <c r="G729" s="181" t="s">
        <v>1812</v>
      </c>
      <c r="H729" s="181" t="s">
        <v>87</v>
      </c>
      <c r="I729" s="181" t="s">
        <v>1677</v>
      </c>
      <c r="J729" s="184" t="n">
        <v>39250</v>
      </c>
      <c r="K729" s="184" t="n">
        <v>15170</v>
      </c>
      <c r="L729" s="185" t="n">
        <v>29</v>
      </c>
      <c r="M729" s="173" t="n">
        <v>24080</v>
      </c>
      <c r="N729" s="184" t="n">
        <v>17096.8</v>
      </c>
      <c r="O729" s="184" t="s">
        <v>1835</v>
      </c>
      <c r="P729" s="187" t="n">
        <v>45928</v>
      </c>
      <c r="Q729" s="188" t="n">
        <v>0.594594907407407</v>
      </c>
    </row>
    <row r="730" customFormat="false" ht="35.05" hidden="false" customHeight="false" outlineLevel="0" collapsed="false">
      <c r="A730" s="181" t="s">
        <v>1836</v>
      </c>
      <c r="B730" s="182" t="n">
        <v>1902</v>
      </c>
      <c r="C730" s="183" t="n">
        <v>244</v>
      </c>
      <c r="D730" s="181" t="s">
        <v>1509</v>
      </c>
      <c r="E730" s="181" t="s">
        <v>292</v>
      </c>
      <c r="F730" s="181" t="s">
        <v>293</v>
      </c>
      <c r="G730" s="181" t="s">
        <v>1812</v>
      </c>
      <c r="H730" s="181" t="s">
        <v>87</v>
      </c>
      <c r="I730" s="181" t="s">
        <v>1677</v>
      </c>
      <c r="J730" s="184" t="n">
        <v>35190</v>
      </c>
      <c r="K730" s="184" t="n">
        <v>13980</v>
      </c>
      <c r="L730" s="185" t="n">
        <v>29</v>
      </c>
      <c r="M730" s="173" t="n">
        <v>21210</v>
      </c>
      <c r="N730" s="184" t="n">
        <v>15059.1</v>
      </c>
      <c r="O730" s="184" t="s">
        <v>1837</v>
      </c>
      <c r="P730" s="187" t="n">
        <v>45928</v>
      </c>
      <c r="Q730" s="188" t="n">
        <v>0.625613425925926</v>
      </c>
    </row>
    <row r="731" customFormat="false" ht="35.05" hidden="false" customHeight="false" outlineLevel="0" collapsed="false">
      <c r="A731" s="181" t="s">
        <v>1838</v>
      </c>
      <c r="B731" s="182" t="n">
        <v>1903</v>
      </c>
      <c r="C731" s="183" t="n">
        <v>245</v>
      </c>
      <c r="D731" s="181" t="s">
        <v>1509</v>
      </c>
      <c r="E731" s="181" t="s">
        <v>261</v>
      </c>
      <c r="F731" s="181" t="s">
        <v>262</v>
      </c>
      <c r="G731" s="181" t="s">
        <v>1812</v>
      </c>
      <c r="H731" s="181" t="s">
        <v>87</v>
      </c>
      <c r="I731" s="181" t="s">
        <v>1677</v>
      </c>
      <c r="J731" s="184" t="n">
        <v>36680</v>
      </c>
      <c r="K731" s="184" t="n">
        <v>15100</v>
      </c>
      <c r="L731" s="185" t="n">
        <v>16</v>
      </c>
      <c r="M731" s="173" t="n">
        <v>21580</v>
      </c>
      <c r="N731" s="184" t="n">
        <v>18127.2</v>
      </c>
      <c r="O731" s="184" t="s">
        <v>1839</v>
      </c>
      <c r="P731" s="187" t="n">
        <v>45928</v>
      </c>
      <c r="Q731" s="188" t="n">
        <v>0.65974537037037</v>
      </c>
    </row>
    <row r="732" customFormat="false" ht="35.05" hidden="false" customHeight="false" outlineLevel="0" collapsed="false">
      <c r="A732" s="181" t="s">
        <v>1840</v>
      </c>
      <c r="B732" s="182" t="n">
        <v>1904</v>
      </c>
      <c r="C732" s="183" t="n">
        <v>246</v>
      </c>
      <c r="D732" s="181" t="s">
        <v>1509</v>
      </c>
      <c r="E732" s="181" t="s">
        <v>332</v>
      </c>
      <c r="F732" s="181" t="s">
        <v>333</v>
      </c>
      <c r="G732" s="181" t="s">
        <v>1812</v>
      </c>
      <c r="H732" s="181" t="s">
        <v>87</v>
      </c>
      <c r="I732" s="181" t="s">
        <v>1677</v>
      </c>
      <c r="J732" s="184" t="n">
        <v>36630</v>
      </c>
      <c r="K732" s="184" t="n">
        <v>14770</v>
      </c>
      <c r="L732" s="185" t="n">
        <v>31</v>
      </c>
      <c r="M732" s="173" t="n">
        <v>21860</v>
      </c>
      <c r="N732" s="184" t="n">
        <v>15083.4</v>
      </c>
      <c r="O732" s="184" t="s">
        <v>1841</v>
      </c>
      <c r="P732" s="187" t="n">
        <v>45928</v>
      </c>
      <c r="Q732" s="188" t="n">
        <v>0.694837962962963</v>
      </c>
    </row>
    <row r="733" customFormat="false" ht="35.05" hidden="false" customHeight="false" outlineLevel="0" collapsed="false">
      <c r="A733" s="181" t="s">
        <v>1842</v>
      </c>
      <c r="B733" s="182" t="n">
        <v>1907</v>
      </c>
      <c r="C733" s="183" t="n">
        <v>247</v>
      </c>
      <c r="D733" s="181" t="s">
        <v>1509</v>
      </c>
      <c r="E733" s="181" t="s">
        <v>282</v>
      </c>
      <c r="F733" s="181" t="s">
        <v>283</v>
      </c>
      <c r="G733" s="181" t="s">
        <v>1812</v>
      </c>
      <c r="H733" s="181" t="s">
        <v>87</v>
      </c>
      <c r="I733" s="181" t="s">
        <v>1677</v>
      </c>
      <c r="J733" s="184" t="n">
        <v>36860</v>
      </c>
      <c r="K733" s="184" t="n">
        <v>15150</v>
      </c>
      <c r="L733" s="185" t="n">
        <v>33</v>
      </c>
      <c r="M733" s="173" t="n">
        <v>21710</v>
      </c>
      <c r="N733" s="184" t="n">
        <v>14545.7</v>
      </c>
      <c r="O733" s="184" t="s">
        <v>1843</v>
      </c>
      <c r="P733" s="187" t="n">
        <v>45928</v>
      </c>
      <c r="Q733" s="188" t="n">
        <v>0.72681712962963</v>
      </c>
    </row>
    <row r="734" customFormat="false" ht="35.05" hidden="false" customHeight="false" outlineLevel="0" collapsed="false">
      <c r="A734" s="181" t="s">
        <v>1844</v>
      </c>
      <c r="B734" s="182" t="n">
        <v>1908</v>
      </c>
      <c r="C734" s="183" t="n">
        <v>248</v>
      </c>
      <c r="D734" s="181" t="s">
        <v>1509</v>
      </c>
      <c r="E734" s="181" t="s">
        <v>292</v>
      </c>
      <c r="F734" s="181" t="s">
        <v>293</v>
      </c>
      <c r="G734" s="181" t="s">
        <v>1812</v>
      </c>
      <c r="H734" s="181" t="s">
        <v>87</v>
      </c>
      <c r="I734" s="181" t="s">
        <v>1677</v>
      </c>
      <c r="J734" s="184" t="n">
        <v>35450</v>
      </c>
      <c r="K734" s="184" t="n">
        <v>13970</v>
      </c>
      <c r="L734" s="185" t="n">
        <v>32</v>
      </c>
      <c r="M734" s="173" t="n">
        <v>21480</v>
      </c>
      <c r="N734" s="184" t="n">
        <v>14606.4</v>
      </c>
      <c r="O734" s="184" t="s">
        <v>1845</v>
      </c>
      <c r="P734" s="187" t="n">
        <v>45928</v>
      </c>
      <c r="Q734" s="188" t="n">
        <v>0.781296296296296</v>
      </c>
    </row>
    <row r="735" customFormat="false" ht="35.05" hidden="false" customHeight="false" outlineLevel="0" collapsed="false">
      <c r="A735" s="181" t="s">
        <v>1846</v>
      </c>
      <c r="B735" s="182" t="n">
        <v>1911</v>
      </c>
      <c r="C735" s="183" t="n">
        <v>249</v>
      </c>
      <c r="D735" s="181" t="s">
        <v>1509</v>
      </c>
      <c r="E735" s="181" t="s">
        <v>261</v>
      </c>
      <c r="F735" s="181" t="s">
        <v>262</v>
      </c>
      <c r="G735" s="181" t="s">
        <v>1812</v>
      </c>
      <c r="H735" s="181" t="s">
        <v>87</v>
      </c>
      <c r="I735" s="181" t="s">
        <v>1677</v>
      </c>
      <c r="J735" s="184" t="n">
        <v>35330</v>
      </c>
      <c r="K735" s="184" t="n">
        <v>15100</v>
      </c>
      <c r="L735" s="185" t="n">
        <v>25</v>
      </c>
      <c r="M735" s="173" t="n">
        <v>20230</v>
      </c>
      <c r="N735" s="184" t="n">
        <v>15172.5</v>
      </c>
      <c r="O735" s="184" t="s">
        <v>1847</v>
      </c>
      <c r="P735" s="187" t="n">
        <v>45928</v>
      </c>
      <c r="Q735" s="188" t="n">
        <v>0.821064814814815</v>
      </c>
    </row>
    <row r="736" customFormat="false" ht="35.05" hidden="false" customHeight="false" outlineLevel="0" collapsed="false">
      <c r="A736" s="181" t="s">
        <v>1848</v>
      </c>
      <c r="B736" s="182" t="n">
        <v>1913</v>
      </c>
      <c r="C736" s="183" t="n">
        <v>250</v>
      </c>
      <c r="D736" s="181" t="s">
        <v>1509</v>
      </c>
      <c r="E736" s="181" t="s">
        <v>332</v>
      </c>
      <c r="F736" s="181" t="s">
        <v>333</v>
      </c>
      <c r="G736" s="181" t="s">
        <v>1812</v>
      </c>
      <c r="H736" s="181" t="s">
        <v>87</v>
      </c>
      <c r="I736" s="181" t="s">
        <v>1677</v>
      </c>
      <c r="J736" s="184" t="n">
        <v>35520</v>
      </c>
      <c r="K736" s="184" t="n">
        <v>14730</v>
      </c>
      <c r="L736" s="185" t="n">
        <v>31</v>
      </c>
      <c r="M736" s="173" t="n">
        <v>20790</v>
      </c>
      <c r="N736" s="184" t="n">
        <v>14345.1</v>
      </c>
      <c r="O736" s="184" t="s">
        <v>1849</v>
      </c>
      <c r="P736" s="187" t="n">
        <v>45928</v>
      </c>
      <c r="Q736" s="188" t="n">
        <v>0.866898148148148</v>
      </c>
    </row>
    <row r="737" customFormat="false" ht="35.05" hidden="false" customHeight="false" outlineLevel="0" collapsed="false">
      <c r="A737" s="181" t="s">
        <v>1850</v>
      </c>
      <c r="B737" s="182" t="n">
        <v>1914</v>
      </c>
      <c r="C737" s="183" t="n">
        <v>251</v>
      </c>
      <c r="D737" s="181" t="s">
        <v>1509</v>
      </c>
      <c r="E737" s="181" t="s">
        <v>282</v>
      </c>
      <c r="F737" s="181" t="s">
        <v>283</v>
      </c>
      <c r="G737" s="181" t="s">
        <v>1812</v>
      </c>
      <c r="H737" s="181" t="s">
        <v>87</v>
      </c>
      <c r="I737" s="181" t="s">
        <v>1677</v>
      </c>
      <c r="J737" s="184" t="n">
        <v>37650</v>
      </c>
      <c r="K737" s="184" t="n">
        <v>15140</v>
      </c>
      <c r="L737" s="185" t="n">
        <v>32</v>
      </c>
      <c r="M737" s="173" t="n">
        <v>22510</v>
      </c>
      <c r="N737" s="184" t="n">
        <v>15306.8</v>
      </c>
      <c r="O737" s="184" t="s">
        <v>1851</v>
      </c>
      <c r="P737" s="187" t="n">
        <v>45928</v>
      </c>
      <c r="Q737" s="188" t="n">
        <v>0.91525462962963</v>
      </c>
    </row>
    <row r="738" customFormat="false" ht="35.05" hidden="false" customHeight="false" outlineLevel="0" collapsed="false">
      <c r="A738" s="181" t="s">
        <v>1852</v>
      </c>
      <c r="B738" s="182" t="n">
        <v>1915</v>
      </c>
      <c r="C738" s="183" t="n">
        <v>252</v>
      </c>
      <c r="D738" s="181" t="s">
        <v>1509</v>
      </c>
      <c r="E738" s="181" t="s">
        <v>292</v>
      </c>
      <c r="F738" s="181" t="s">
        <v>293</v>
      </c>
      <c r="G738" s="181" t="s">
        <v>1812</v>
      </c>
      <c r="H738" s="181" t="s">
        <v>87</v>
      </c>
      <c r="I738" s="181" t="s">
        <v>1677</v>
      </c>
      <c r="J738" s="184" t="n">
        <v>27540</v>
      </c>
      <c r="K738" s="184" t="n">
        <v>14050</v>
      </c>
      <c r="L738" s="185" t="n">
        <v>28</v>
      </c>
      <c r="M738" s="173" t="n">
        <v>13490</v>
      </c>
      <c r="N738" s="184" t="n">
        <v>9712.8</v>
      </c>
      <c r="O738" s="184" t="s">
        <v>1853</v>
      </c>
      <c r="P738" s="187" t="n">
        <v>45928</v>
      </c>
      <c r="Q738" s="188" t="n">
        <v>0.953958333333333</v>
      </c>
    </row>
    <row r="739" customFormat="false" ht="46.25" hidden="false" customHeight="false" outlineLevel="0" collapsed="false">
      <c r="A739" s="181" t="s">
        <v>1854</v>
      </c>
      <c r="B739" s="182" t="n">
        <v>1917</v>
      </c>
      <c r="C739" s="183" t="n">
        <v>253</v>
      </c>
      <c r="D739" s="181" t="s">
        <v>1509</v>
      </c>
      <c r="E739" s="181" t="s">
        <v>261</v>
      </c>
      <c r="F739" s="181" t="s">
        <v>262</v>
      </c>
      <c r="G739" s="181" t="s">
        <v>1512</v>
      </c>
      <c r="H739" s="181" t="s">
        <v>316</v>
      </c>
      <c r="I739" s="181" t="s">
        <v>238</v>
      </c>
      <c r="J739" s="184" t="n">
        <v>34200</v>
      </c>
      <c r="K739" s="184" t="n">
        <v>15090</v>
      </c>
      <c r="L739" s="185" t="n">
        <v>16</v>
      </c>
      <c r="M739" s="173" t="n">
        <v>19110</v>
      </c>
      <c r="N739" s="184" t="n">
        <v>16052.4</v>
      </c>
      <c r="O739" s="184" t="s">
        <v>1855</v>
      </c>
      <c r="P739" s="187" t="n">
        <v>45929</v>
      </c>
      <c r="Q739" s="188" t="n">
        <v>0.412777777777778</v>
      </c>
    </row>
    <row r="740" customFormat="false" ht="35.05" hidden="false" customHeight="false" outlineLevel="0" collapsed="false">
      <c r="A740" s="181" t="s">
        <v>1856</v>
      </c>
      <c r="B740" s="182" t="n">
        <v>1921</v>
      </c>
      <c r="C740" s="183" t="n">
        <v>54990</v>
      </c>
      <c r="D740" s="181" t="s">
        <v>1686</v>
      </c>
      <c r="E740" s="181" t="s">
        <v>576</v>
      </c>
      <c r="F740" s="181" t="s">
        <v>577</v>
      </c>
      <c r="G740" s="181" t="s">
        <v>1687</v>
      </c>
      <c r="H740" s="181" t="s">
        <v>279</v>
      </c>
      <c r="I740" s="181" t="s">
        <v>239</v>
      </c>
      <c r="J740" s="184" t="n">
        <v>38510</v>
      </c>
      <c r="K740" s="184" t="n">
        <v>14580</v>
      </c>
      <c r="L740" s="185" t="n">
        <v>5</v>
      </c>
      <c r="M740" s="173" t="n">
        <v>23930</v>
      </c>
      <c r="N740" s="184" t="n">
        <v>22733.5</v>
      </c>
      <c r="O740" s="184" t="s">
        <v>1857</v>
      </c>
      <c r="P740" s="187" t="n">
        <v>45929</v>
      </c>
      <c r="Q740" s="188" t="n">
        <v>0.533888888888889</v>
      </c>
    </row>
    <row r="741" customFormat="false" ht="35.05" hidden="false" customHeight="false" outlineLevel="0" collapsed="false">
      <c r="A741" s="181" t="s">
        <v>1858</v>
      </c>
      <c r="B741" s="182" t="n">
        <v>1922</v>
      </c>
      <c r="C741" s="183" t="n">
        <v>54991</v>
      </c>
      <c r="D741" s="181" t="s">
        <v>1686</v>
      </c>
      <c r="E741" s="181" t="s">
        <v>266</v>
      </c>
      <c r="F741" s="181" t="s">
        <v>267</v>
      </c>
      <c r="G741" s="181" t="s">
        <v>1687</v>
      </c>
      <c r="H741" s="181" t="s">
        <v>279</v>
      </c>
      <c r="I741" s="181" t="s">
        <v>239</v>
      </c>
      <c r="J741" s="184" t="n">
        <v>38390</v>
      </c>
      <c r="K741" s="184" t="n">
        <v>14970</v>
      </c>
      <c r="L741" s="185" t="n">
        <v>6</v>
      </c>
      <c r="M741" s="173" t="n">
        <v>23420</v>
      </c>
      <c r="N741" s="184" t="n">
        <v>22014.8</v>
      </c>
      <c r="O741" s="184" t="s">
        <v>1859</v>
      </c>
      <c r="P741" s="187" t="n">
        <v>45929</v>
      </c>
      <c r="Q741" s="188" t="n">
        <v>0.543425925925926</v>
      </c>
    </row>
    <row r="742" customFormat="false" ht="35.05" hidden="false" customHeight="false" outlineLevel="0" collapsed="false">
      <c r="A742" s="181" t="s">
        <v>1860</v>
      </c>
      <c r="B742" s="182" t="n">
        <v>1923</v>
      </c>
      <c r="C742" s="183" t="n">
        <v>54992</v>
      </c>
      <c r="D742" s="181" t="s">
        <v>1686</v>
      </c>
      <c r="E742" s="181" t="s">
        <v>272</v>
      </c>
      <c r="F742" s="181" t="s">
        <v>273</v>
      </c>
      <c r="G742" s="181" t="s">
        <v>1687</v>
      </c>
      <c r="H742" s="181" t="s">
        <v>279</v>
      </c>
      <c r="I742" s="181" t="s">
        <v>239</v>
      </c>
      <c r="J742" s="184" t="n">
        <v>40940</v>
      </c>
      <c r="K742" s="184" t="n">
        <v>15730</v>
      </c>
      <c r="L742" s="185" t="n">
        <v>6</v>
      </c>
      <c r="M742" s="173" t="n">
        <v>25210</v>
      </c>
      <c r="N742" s="184" t="n">
        <v>23697.4</v>
      </c>
      <c r="O742" s="184" t="s">
        <v>1861</v>
      </c>
      <c r="P742" s="187" t="n">
        <v>45929</v>
      </c>
      <c r="Q742" s="188" t="n">
        <v>0.600300925925926</v>
      </c>
    </row>
    <row r="743" customFormat="false" ht="35.05" hidden="false" customHeight="false" outlineLevel="0" collapsed="false">
      <c r="A743" s="181" t="s">
        <v>1862</v>
      </c>
      <c r="B743" s="182" t="n">
        <v>1924</v>
      </c>
      <c r="C743" s="183" t="n">
        <v>54992</v>
      </c>
      <c r="D743" s="181" t="s">
        <v>1686</v>
      </c>
      <c r="E743" s="181" t="s">
        <v>288</v>
      </c>
      <c r="F743" s="181" t="s">
        <v>289</v>
      </c>
      <c r="G743" s="181" t="s">
        <v>1687</v>
      </c>
      <c r="H743" s="181" t="s">
        <v>279</v>
      </c>
      <c r="I743" s="181" t="s">
        <v>239</v>
      </c>
      <c r="J743" s="184" t="n">
        <v>39870</v>
      </c>
      <c r="K743" s="184" t="n">
        <v>14700</v>
      </c>
      <c r="L743" s="185" t="n">
        <v>6</v>
      </c>
      <c r="M743" s="173" t="n">
        <v>25170</v>
      </c>
      <c r="N743" s="184" t="n">
        <v>23659.8</v>
      </c>
      <c r="O743" s="184" t="s">
        <v>1863</v>
      </c>
      <c r="P743" s="187" t="n">
        <v>45929</v>
      </c>
      <c r="Q743" s="188" t="n">
        <v>0.677696759259259</v>
      </c>
    </row>
    <row r="744" customFormat="false" ht="35.05" hidden="false" customHeight="false" outlineLevel="0" collapsed="false">
      <c r="A744" s="181" t="s">
        <v>1864</v>
      </c>
      <c r="B744" s="182" t="n">
        <v>1927</v>
      </c>
      <c r="C744" s="183" t="n">
        <v>54993</v>
      </c>
      <c r="D744" s="181" t="s">
        <v>1686</v>
      </c>
      <c r="E744" s="181" t="s">
        <v>336</v>
      </c>
      <c r="F744" s="181" t="s">
        <v>337</v>
      </c>
      <c r="G744" s="181" t="s">
        <v>1687</v>
      </c>
      <c r="H744" s="181" t="s">
        <v>279</v>
      </c>
      <c r="I744" s="181" t="s">
        <v>239</v>
      </c>
      <c r="J744" s="184" t="n">
        <v>41110</v>
      </c>
      <c r="K744" s="184" t="n">
        <v>14700</v>
      </c>
      <c r="L744" s="185" t="n">
        <v>5</v>
      </c>
      <c r="M744" s="173" t="n">
        <v>26410</v>
      </c>
      <c r="N744" s="184" t="n">
        <v>25089.5</v>
      </c>
      <c r="O744" s="184" t="s">
        <v>1865</v>
      </c>
      <c r="P744" s="187" t="n">
        <v>45929</v>
      </c>
      <c r="Q744" s="188" t="n">
        <v>0.777685185185185</v>
      </c>
    </row>
    <row r="745" customFormat="false" ht="35.05" hidden="false" customHeight="false" outlineLevel="0" collapsed="false">
      <c r="A745" s="181" t="s">
        <v>1866</v>
      </c>
      <c r="B745" s="182" t="n">
        <v>1928</v>
      </c>
      <c r="C745" s="183" t="n">
        <v>54993</v>
      </c>
      <c r="D745" s="181" t="s">
        <v>1686</v>
      </c>
      <c r="E745" s="181" t="s">
        <v>340</v>
      </c>
      <c r="F745" s="181" t="s">
        <v>341</v>
      </c>
      <c r="G745" s="181" t="s">
        <v>1687</v>
      </c>
      <c r="H745" s="181" t="s">
        <v>279</v>
      </c>
      <c r="I745" s="181" t="s">
        <v>239</v>
      </c>
      <c r="J745" s="184" t="n">
        <v>40780</v>
      </c>
      <c r="K745" s="184" t="n">
        <v>15030</v>
      </c>
      <c r="L745" s="185" t="n">
        <v>5</v>
      </c>
      <c r="M745" s="173" t="n">
        <v>25750</v>
      </c>
      <c r="N745" s="184" t="n">
        <v>24462.5</v>
      </c>
      <c r="O745" s="184" t="s">
        <v>1867</v>
      </c>
      <c r="P745" s="187" t="n">
        <v>45929</v>
      </c>
      <c r="Q745" s="188" t="n">
        <v>0.785185185185185</v>
      </c>
    </row>
    <row r="746" customFormat="false" ht="35.05" hidden="false" customHeight="false" outlineLevel="0" collapsed="false">
      <c r="A746" s="181" t="s">
        <v>1868</v>
      </c>
      <c r="B746" s="182" t="n">
        <v>1929</v>
      </c>
      <c r="C746" s="183" t="n">
        <v>54995</v>
      </c>
      <c r="D746" s="181" t="s">
        <v>1686</v>
      </c>
      <c r="E746" s="181" t="s">
        <v>308</v>
      </c>
      <c r="F746" s="181" t="s">
        <v>309</v>
      </c>
      <c r="G746" s="181" t="s">
        <v>1687</v>
      </c>
      <c r="H746" s="181" t="s">
        <v>279</v>
      </c>
      <c r="I746" s="181" t="s">
        <v>239</v>
      </c>
      <c r="J746" s="184" t="n">
        <v>66060</v>
      </c>
      <c r="K746" s="184" t="n">
        <v>24280</v>
      </c>
      <c r="L746" s="185" t="n">
        <v>7</v>
      </c>
      <c r="M746" s="173" t="n">
        <v>41780</v>
      </c>
      <c r="N746" s="184" t="n">
        <v>38855.4</v>
      </c>
      <c r="O746" s="184" t="s">
        <v>1869</v>
      </c>
      <c r="P746" s="187" t="n">
        <v>45929</v>
      </c>
      <c r="Q746" s="188" t="n">
        <v>0.977291666666667</v>
      </c>
    </row>
    <row r="747" customFormat="false" ht="35.05" hidden="false" customHeight="false" outlineLevel="0" collapsed="false">
      <c r="A747" s="181" t="s">
        <v>1870</v>
      </c>
      <c r="B747" s="182" t="n">
        <v>1930</v>
      </c>
      <c r="C747" s="183" t="n">
        <v>54995</v>
      </c>
      <c r="D747" s="181" t="s">
        <v>1686</v>
      </c>
      <c r="E747" s="181" t="s">
        <v>304</v>
      </c>
      <c r="F747" s="181" t="s">
        <v>305</v>
      </c>
      <c r="G747" s="181" t="s">
        <v>1687</v>
      </c>
      <c r="H747" s="181" t="s">
        <v>279</v>
      </c>
      <c r="I747" s="181" t="s">
        <v>239</v>
      </c>
      <c r="J747" s="184" t="n">
        <v>41340</v>
      </c>
      <c r="K747" s="184" t="n">
        <v>15180</v>
      </c>
      <c r="L747" s="185" t="n">
        <v>8</v>
      </c>
      <c r="M747" s="173" t="n">
        <v>26160</v>
      </c>
      <c r="N747" s="184" t="n">
        <v>24067.2</v>
      </c>
      <c r="O747" s="184" t="s">
        <v>1871</v>
      </c>
      <c r="P747" s="187" t="n">
        <v>45929</v>
      </c>
      <c r="Q747" s="188" t="n">
        <v>0.979456018518519</v>
      </c>
    </row>
    <row r="748" customFormat="false" ht="35.05" hidden="false" customHeight="false" outlineLevel="0" collapsed="false">
      <c r="A748" s="181" t="s">
        <v>1872</v>
      </c>
      <c r="B748" s="182" t="n">
        <v>1932</v>
      </c>
      <c r="C748" s="183" t="n">
        <v>54996</v>
      </c>
      <c r="D748" s="181" t="s">
        <v>1686</v>
      </c>
      <c r="E748" s="181" t="s">
        <v>300</v>
      </c>
      <c r="F748" s="181" t="s">
        <v>301</v>
      </c>
      <c r="G748" s="181" t="s">
        <v>1687</v>
      </c>
      <c r="H748" s="181" t="s">
        <v>279</v>
      </c>
      <c r="I748" s="181" t="s">
        <v>239</v>
      </c>
      <c r="J748" s="184" t="n">
        <v>55580</v>
      </c>
      <c r="K748" s="184" t="n">
        <v>21120</v>
      </c>
      <c r="L748" s="185" t="n">
        <v>7</v>
      </c>
      <c r="M748" s="173" t="n">
        <v>34460</v>
      </c>
      <c r="N748" s="184" t="n">
        <v>32047.8</v>
      </c>
      <c r="O748" s="184" t="s">
        <v>1873</v>
      </c>
      <c r="P748" s="187" t="n">
        <v>45929</v>
      </c>
      <c r="Q748" s="188" t="n">
        <v>0.795949074074074</v>
      </c>
    </row>
    <row r="749" customFormat="false" ht="35.05" hidden="false" customHeight="false" outlineLevel="0" collapsed="false">
      <c r="A749" s="181" t="s">
        <v>1874</v>
      </c>
      <c r="B749" s="182" t="n">
        <v>1933</v>
      </c>
      <c r="C749" s="183"/>
      <c r="D749" s="181" t="s">
        <v>1686</v>
      </c>
      <c r="E749" s="181" t="s">
        <v>332</v>
      </c>
      <c r="F749" s="181" t="s">
        <v>333</v>
      </c>
      <c r="G749" s="181" t="s">
        <v>1687</v>
      </c>
      <c r="H749" s="181" t="s">
        <v>279</v>
      </c>
      <c r="I749" s="181" t="s">
        <v>239</v>
      </c>
      <c r="J749" s="184" t="n">
        <v>39360</v>
      </c>
      <c r="K749" s="184" t="n">
        <v>14970</v>
      </c>
      <c r="L749" s="185" t="n">
        <v>7</v>
      </c>
      <c r="M749" s="173" t="n">
        <v>24390</v>
      </c>
      <c r="N749" s="184" t="n">
        <v>22682.7</v>
      </c>
      <c r="O749" s="184" t="s">
        <v>1875</v>
      </c>
      <c r="P749" s="187" t="n">
        <v>45929</v>
      </c>
      <c r="Q749" s="188" t="n">
        <v>0.851851851851852</v>
      </c>
    </row>
    <row r="750" customFormat="false" ht="35.05" hidden="false" customHeight="false" outlineLevel="0" collapsed="false">
      <c r="A750" s="181" t="s">
        <v>1876</v>
      </c>
      <c r="B750" s="182" t="n">
        <v>1934</v>
      </c>
      <c r="C750" s="183"/>
      <c r="D750" s="181" t="s">
        <v>1686</v>
      </c>
      <c r="E750" s="181" t="s">
        <v>582</v>
      </c>
      <c r="F750" s="181" t="s">
        <v>583</v>
      </c>
      <c r="G750" s="181" t="s">
        <v>1687</v>
      </c>
      <c r="H750" s="181" t="s">
        <v>279</v>
      </c>
      <c r="I750" s="181" t="s">
        <v>239</v>
      </c>
      <c r="J750" s="184" t="n">
        <v>41090</v>
      </c>
      <c r="K750" s="184" t="n">
        <v>15090</v>
      </c>
      <c r="L750" s="185" t="n">
        <v>7</v>
      </c>
      <c r="M750" s="173" t="n">
        <v>26000</v>
      </c>
      <c r="N750" s="184" t="n">
        <v>24180</v>
      </c>
      <c r="O750" s="184" t="s">
        <v>1877</v>
      </c>
      <c r="P750" s="187" t="n">
        <v>45929</v>
      </c>
      <c r="Q750" s="188" t="n">
        <v>0.883229166666667</v>
      </c>
    </row>
    <row r="751" customFormat="false" ht="35.05" hidden="false" customHeight="false" outlineLevel="0" collapsed="false">
      <c r="A751" s="181" t="s">
        <v>1878</v>
      </c>
      <c r="B751" s="182" t="n">
        <v>1935</v>
      </c>
      <c r="C751" s="183"/>
      <c r="D751" s="181" t="s">
        <v>1686</v>
      </c>
      <c r="E751" s="181" t="s">
        <v>346</v>
      </c>
      <c r="F751" s="181" t="s">
        <v>347</v>
      </c>
      <c r="G751" s="181" t="s">
        <v>1687</v>
      </c>
      <c r="H751" s="181" t="s">
        <v>279</v>
      </c>
      <c r="I751" s="181" t="s">
        <v>239</v>
      </c>
      <c r="J751" s="184" t="n">
        <v>40960</v>
      </c>
      <c r="K751" s="184" t="n">
        <v>15210</v>
      </c>
      <c r="L751" s="185" t="n">
        <v>7</v>
      </c>
      <c r="M751" s="173" t="n">
        <v>25750</v>
      </c>
      <c r="N751" s="184" t="n">
        <v>23947.5</v>
      </c>
      <c r="O751" s="184" t="s">
        <v>1879</v>
      </c>
      <c r="P751" s="187" t="n">
        <v>45929</v>
      </c>
      <c r="Q751" s="188" t="n">
        <v>0.886875</v>
      </c>
    </row>
    <row r="752" customFormat="false" ht="46.25" hidden="false" customHeight="false" outlineLevel="0" collapsed="false">
      <c r="A752" s="181" t="s">
        <v>1880</v>
      </c>
      <c r="B752" s="182" t="n">
        <v>1955</v>
      </c>
      <c r="C752" s="183" t="n">
        <v>254</v>
      </c>
      <c r="D752" s="181" t="s">
        <v>1509</v>
      </c>
      <c r="E752" s="181" t="s">
        <v>1646</v>
      </c>
      <c r="F752" s="181" t="s">
        <v>1647</v>
      </c>
      <c r="G752" s="181" t="s">
        <v>1512</v>
      </c>
      <c r="H752" s="181" t="s">
        <v>316</v>
      </c>
      <c r="I752" s="181" t="s">
        <v>238</v>
      </c>
      <c r="J752" s="184" t="n">
        <v>28750</v>
      </c>
      <c r="K752" s="184" t="n">
        <v>14420</v>
      </c>
      <c r="L752" s="185" t="n">
        <v>31</v>
      </c>
      <c r="M752" s="173" t="n">
        <v>14330</v>
      </c>
      <c r="N752" s="184" t="n">
        <v>9887.7</v>
      </c>
      <c r="O752" s="184" t="s">
        <v>1881</v>
      </c>
      <c r="P752" s="187" t="n">
        <v>45931</v>
      </c>
      <c r="Q752" s="188" t="n">
        <v>0.468622685185185</v>
      </c>
    </row>
    <row r="753" customFormat="false" ht="46.25" hidden="false" customHeight="false" outlineLevel="0" collapsed="false">
      <c r="A753" s="181" t="s">
        <v>1882</v>
      </c>
      <c r="B753" s="182" t="n">
        <v>1956</v>
      </c>
      <c r="C753" s="183" t="n">
        <v>255</v>
      </c>
      <c r="D753" s="181" t="s">
        <v>1509</v>
      </c>
      <c r="E753" s="181" t="s">
        <v>1510</v>
      </c>
      <c r="F753" s="181" t="s">
        <v>1511</v>
      </c>
      <c r="G753" s="181" t="s">
        <v>1512</v>
      </c>
      <c r="H753" s="181" t="s">
        <v>316</v>
      </c>
      <c r="I753" s="181" t="s">
        <v>238</v>
      </c>
      <c r="J753" s="184" t="n">
        <v>29430</v>
      </c>
      <c r="K753" s="184" t="n">
        <v>14250</v>
      </c>
      <c r="L753" s="185" t="n">
        <v>48</v>
      </c>
      <c r="M753" s="173" t="n">
        <v>15180</v>
      </c>
      <c r="N753" s="184" t="n">
        <v>7893.6</v>
      </c>
      <c r="O753" s="184" t="s">
        <v>1883</v>
      </c>
      <c r="P753" s="187" t="n">
        <v>45931</v>
      </c>
      <c r="Q753" s="188" t="n">
        <v>0.495208333333333</v>
      </c>
    </row>
    <row r="754" customFormat="false" ht="35.05" hidden="false" customHeight="false" outlineLevel="0" collapsed="false">
      <c r="A754" s="181" t="s">
        <v>1884</v>
      </c>
      <c r="B754" s="182" t="n">
        <v>1957</v>
      </c>
      <c r="C754" s="183" t="s">
        <v>1885</v>
      </c>
      <c r="D754" s="181" t="s">
        <v>1686</v>
      </c>
      <c r="E754" s="181" t="s">
        <v>282</v>
      </c>
      <c r="F754" s="181" t="s">
        <v>283</v>
      </c>
      <c r="G754" s="181" t="s">
        <v>1687</v>
      </c>
      <c r="H754" s="181" t="s">
        <v>279</v>
      </c>
      <c r="I754" s="181" t="s">
        <v>239</v>
      </c>
      <c r="J754" s="184" t="n">
        <v>39690</v>
      </c>
      <c r="K754" s="184" t="n">
        <v>15100</v>
      </c>
      <c r="L754" s="185" t="n">
        <v>20</v>
      </c>
      <c r="M754" s="173" t="n">
        <v>24590</v>
      </c>
      <c r="N754" s="184" t="n">
        <v>19672</v>
      </c>
      <c r="O754" s="184" t="s">
        <v>1886</v>
      </c>
      <c r="P754" s="187" t="n">
        <v>45931</v>
      </c>
      <c r="Q754" s="188" t="n">
        <v>0.621400462962963</v>
      </c>
    </row>
    <row r="755" customFormat="false" ht="35.05" hidden="false" customHeight="false" outlineLevel="0" collapsed="false">
      <c r="A755" s="181" t="s">
        <v>1887</v>
      </c>
      <c r="B755" s="182" t="n">
        <v>1958</v>
      </c>
      <c r="C755" s="183" t="s">
        <v>1885</v>
      </c>
      <c r="D755" s="181" t="s">
        <v>1686</v>
      </c>
      <c r="E755" s="181" t="s">
        <v>576</v>
      </c>
      <c r="F755" s="181" t="s">
        <v>577</v>
      </c>
      <c r="G755" s="181" t="s">
        <v>1687</v>
      </c>
      <c r="H755" s="181" t="s">
        <v>279</v>
      </c>
      <c r="I755" s="181" t="s">
        <v>239</v>
      </c>
      <c r="J755" s="184" t="n">
        <v>39460</v>
      </c>
      <c r="K755" s="184" t="n">
        <v>14590</v>
      </c>
      <c r="L755" s="185" t="n">
        <v>11</v>
      </c>
      <c r="M755" s="173" t="n">
        <v>24870</v>
      </c>
      <c r="N755" s="184" t="n">
        <v>22134.3</v>
      </c>
      <c r="O755" s="184" t="s">
        <v>1888</v>
      </c>
      <c r="P755" s="187" t="n">
        <v>45931</v>
      </c>
      <c r="Q755" s="188" t="n">
        <v>0.642534722222222</v>
      </c>
    </row>
    <row r="756" customFormat="false" ht="35.05" hidden="false" customHeight="false" outlineLevel="0" collapsed="false">
      <c r="A756" s="181" t="s">
        <v>1889</v>
      </c>
      <c r="B756" s="182" t="n">
        <v>1959</v>
      </c>
      <c r="C756" s="183" t="s">
        <v>1885</v>
      </c>
      <c r="D756" s="181" t="s">
        <v>1686</v>
      </c>
      <c r="E756" s="181" t="s">
        <v>582</v>
      </c>
      <c r="F756" s="181" t="s">
        <v>583</v>
      </c>
      <c r="G756" s="181" t="s">
        <v>1687</v>
      </c>
      <c r="H756" s="181" t="s">
        <v>279</v>
      </c>
      <c r="I756" s="181" t="s">
        <v>239</v>
      </c>
      <c r="J756" s="184" t="n">
        <v>41130</v>
      </c>
      <c r="K756" s="184" t="n">
        <v>14980</v>
      </c>
      <c r="L756" s="185" t="n">
        <v>11</v>
      </c>
      <c r="M756" s="173" t="n">
        <v>26150</v>
      </c>
      <c r="N756" s="184" t="n">
        <v>23273.5</v>
      </c>
      <c r="O756" s="184" t="s">
        <v>1890</v>
      </c>
      <c r="P756" s="187" t="n">
        <v>45931</v>
      </c>
      <c r="Q756" s="188" t="n">
        <v>0.687835648148148</v>
      </c>
    </row>
    <row r="757" customFormat="false" ht="35.05" hidden="false" customHeight="false" outlineLevel="0" collapsed="false">
      <c r="A757" s="181" t="s">
        <v>1891</v>
      </c>
      <c r="B757" s="182" t="n">
        <v>1961</v>
      </c>
      <c r="C757" s="183" t="s">
        <v>1885</v>
      </c>
      <c r="D757" s="181" t="s">
        <v>1686</v>
      </c>
      <c r="E757" s="181" t="s">
        <v>266</v>
      </c>
      <c r="F757" s="181" t="s">
        <v>267</v>
      </c>
      <c r="G757" s="181" t="s">
        <v>1687</v>
      </c>
      <c r="H757" s="181" t="s">
        <v>279</v>
      </c>
      <c r="I757" s="181" t="s">
        <v>239</v>
      </c>
      <c r="J757" s="184" t="n">
        <v>39410</v>
      </c>
      <c r="K757" s="184" t="n">
        <v>14860</v>
      </c>
      <c r="L757" s="185" t="n">
        <v>6</v>
      </c>
      <c r="M757" s="173" t="n">
        <v>24550</v>
      </c>
      <c r="N757" s="184" t="n">
        <v>23077</v>
      </c>
      <c r="O757" s="184" t="s">
        <v>1892</v>
      </c>
      <c r="P757" s="187" t="n">
        <v>45931</v>
      </c>
      <c r="Q757" s="188" t="n">
        <v>0.750856481481481</v>
      </c>
    </row>
    <row r="758" customFormat="false" ht="35.05" hidden="false" customHeight="false" outlineLevel="0" collapsed="false">
      <c r="A758" s="181" t="s">
        <v>1893</v>
      </c>
      <c r="B758" s="182" t="n">
        <v>1962</v>
      </c>
      <c r="C758" s="183" t="s">
        <v>1885</v>
      </c>
      <c r="D758" s="181" t="s">
        <v>1686</v>
      </c>
      <c r="E758" s="181" t="s">
        <v>292</v>
      </c>
      <c r="F758" s="181" t="s">
        <v>293</v>
      </c>
      <c r="G758" s="181" t="s">
        <v>1687</v>
      </c>
      <c r="H758" s="181" t="s">
        <v>279</v>
      </c>
      <c r="I758" s="181" t="s">
        <v>239</v>
      </c>
      <c r="J758" s="184" t="n">
        <v>36920</v>
      </c>
      <c r="K758" s="184" t="n">
        <v>13920</v>
      </c>
      <c r="L758" s="185" t="n">
        <v>12</v>
      </c>
      <c r="M758" s="173" t="n">
        <v>23000</v>
      </c>
      <c r="N758" s="184" t="n">
        <v>20240</v>
      </c>
      <c r="O758" s="184" t="s">
        <v>1894</v>
      </c>
      <c r="P758" s="187" t="n">
        <v>45931</v>
      </c>
      <c r="Q758" s="188" t="n">
        <v>0.815787037037037</v>
      </c>
    </row>
    <row r="759" customFormat="false" ht="35.05" hidden="false" customHeight="false" outlineLevel="0" collapsed="false">
      <c r="A759" s="181" t="s">
        <v>1895</v>
      </c>
      <c r="B759" s="182" t="n">
        <v>1963</v>
      </c>
      <c r="C759" s="183" t="s">
        <v>1885</v>
      </c>
      <c r="D759" s="181" t="s">
        <v>1686</v>
      </c>
      <c r="E759" s="181" t="s">
        <v>272</v>
      </c>
      <c r="F759" s="181" t="s">
        <v>273</v>
      </c>
      <c r="G759" s="181" t="s">
        <v>1687</v>
      </c>
      <c r="H759" s="181" t="s">
        <v>279</v>
      </c>
      <c r="I759" s="181" t="s">
        <v>239</v>
      </c>
      <c r="J759" s="184" t="n">
        <v>41340</v>
      </c>
      <c r="K759" s="184" t="n">
        <v>15650</v>
      </c>
      <c r="L759" s="185" t="n">
        <v>19</v>
      </c>
      <c r="M759" s="173" t="n">
        <v>25690</v>
      </c>
      <c r="N759" s="184" t="n">
        <v>20808.9</v>
      </c>
      <c r="O759" s="184" t="s">
        <v>1896</v>
      </c>
      <c r="P759" s="187" t="n">
        <v>45931</v>
      </c>
      <c r="Q759" s="188" t="n">
        <v>0.819293981481482</v>
      </c>
    </row>
    <row r="760" customFormat="false" ht="35.05" hidden="false" customHeight="false" outlineLevel="0" collapsed="false">
      <c r="A760" s="181" t="s">
        <v>1897</v>
      </c>
      <c r="B760" s="182" t="n">
        <v>1964</v>
      </c>
      <c r="C760" s="183" t="s">
        <v>1885</v>
      </c>
      <c r="D760" s="181" t="s">
        <v>1686</v>
      </c>
      <c r="E760" s="181" t="s">
        <v>288</v>
      </c>
      <c r="F760" s="181" t="s">
        <v>289</v>
      </c>
      <c r="G760" s="181" t="s">
        <v>1687</v>
      </c>
      <c r="H760" s="181" t="s">
        <v>279</v>
      </c>
      <c r="I760" s="181" t="s">
        <v>239</v>
      </c>
      <c r="J760" s="184" t="n">
        <v>39930</v>
      </c>
      <c r="K760" s="184" t="n">
        <v>14660</v>
      </c>
      <c r="L760" s="185" t="n">
        <v>17</v>
      </c>
      <c r="M760" s="173" t="n">
        <v>25270</v>
      </c>
      <c r="N760" s="184" t="n">
        <v>20974.1</v>
      </c>
      <c r="O760" s="184" t="s">
        <v>1898</v>
      </c>
      <c r="P760" s="187" t="n">
        <v>45931</v>
      </c>
      <c r="Q760" s="188" t="n">
        <v>0.864791666666667</v>
      </c>
    </row>
    <row r="761" customFormat="false" ht="35.05" hidden="false" customHeight="false" outlineLevel="0" collapsed="false">
      <c r="A761" s="181" t="s">
        <v>1899</v>
      </c>
      <c r="B761" s="182" t="n">
        <v>1970</v>
      </c>
      <c r="C761" s="183" t="s">
        <v>1885</v>
      </c>
      <c r="D761" s="181" t="s">
        <v>1686</v>
      </c>
      <c r="E761" s="181" t="s">
        <v>308</v>
      </c>
      <c r="F761" s="181" t="s">
        <v>309</v>
      </c>
      <c r="G761" s="181" t="s">
        <v>1900</v>
      </c>
      <c r="H761" s="181" t="s">
        <v>279</v>
      </c>
      <c r="I761" s="181" t="s">
        <v>239</v>
      </c>
      <c r="J761" s="184" t="n">
        <v>66000</v>
      </c>
      <c r="K761" s="184" t="n">
        <v>24150</v>
      </c>
      <c r="L761" s="185" t="n">
        <v>15</v>
      </c>
      <c r="M761" s="173" t="n">
        <v>41850</v>
      </c>
      <c r="N761" s="184" t="n">
        <v>35572.5</v>
      </c>
      <c r="O761" s="184" t="s">
        <v>1901</v>
      </c>
      <c r="P761" s="187" t="n">
        <v>45931</v>
      </c>
      <c r="Q761" s="188" t="n">
        <v>0.897268518518519</v>
      </c>
    </row>
    <row r="762" customFormat="false" ht="35.05" hidden="false" customHeight="false" outlineLevel="0" collapsed="false">
      <c r="A762" s="181" t="s">
        <v>1902</v>
      </c>
      <c r="B762" s="182" t="n">
        <v>1966</v>
      </c>
      <c r="C762" s="183" t="n">
        <v>57726</v>
      </c>
      <c r="D762" s="181" t="s">
        <v>1686</v>
      </c>
      <c r="E762" s="181" t="s">
        <v>332</v>
      </c>
      <c r="F762" s="181" t="s">
        <v>333</v>
      </c>
      <c r="G762" s="181" t="s">
        <v>1900</v>
      </c>
      <c r="H762" s="181" t="s">
        <v>279</v>
      </c>
      <c r="I762" s="181" t="s">
        <v>239</v>
      </c>
      <c r="J762" s="184" t="n">
        <v>40340</v>
      </c>
      <c r="K762" s="184" t="n">
        <v>14820</v>
      </c>
      <c r="L762" s="185" t="n">
        <v>27</v>
      </c>
      <c r="M762" s="173" t="n">
        <v>25520</v>
      </c>
      <c r="N762" s="184" t="n">
        <v>18629.6</v>
      </c>
      <c r="O762" s="184" t="s">
        <v>1903</v>
      </c>
      <c r="P762" s="187" t="n">
        <v>45931</v>
      </c>
      <c r="Q762" s="188" t="n">
        <v>0.910462962962963</v>
      </c>
    </row>
    <row r="763" customFormat="false" ht="35.05" hidden="false" customHeight="false" outlineLevel="0" collapsed="false">
      <c r="A763" s="181" t="s">
        <v>1904</v>
      </c>
      <c r="B763" s="182" t="n">
        <v>1972</v>
      </c>
      <c r="C763" s="183" t="s">
        <v>1885</v>
      </c>
      <c r="D763" s="181" t="s">
        <v>1686</v>
      </c>
      <c r="E763" s="181" t="s">
        <v>340</v>
      </c>
      <c r="F763" s="181" t="s">
        <v>341</v>
      </c>
      <c r="G763" s="181" t="s">
        <v>1900</v>
      </c>
      <c r="H763" s="181" t="s">
        <v>279</v>
      </c>
      <c r="I763" s="181" t="s">
        <v>239</v>
      </c>
      <c r="J763" s="184" t="n">
        <v>40140</v>
      </c>
      <c r="K763" s="184" t="n">
        <v>15210</v>
      </c>
      <c r="L763" s="185" t="n">
        <v>10</v>
      </c>
      <c r="M763" s="173" t="n">
        <v>24930</v>
      </c>
      <c r="N763" s="184" t="n">
        <v>22437</v>
      </c>
      <c r="O763" s="184" t="s">
        <v>1905</v>
      </c>
      <c r="P763" s="187" t="n">
        <v>45931</v>
      </c>
      <c r="Q763" s="188" t="n">
        <v>0.941053240740741</v>
      </c>
    </row>
    <row r="764" customFormat="false" ht="35.05" hidden="false" customHeight="false" outlineLevel="0" collapsed="false">
      <c r="A764" s="181" t="s">
        <v>1906</v>
      </c>
      <c r="B764" s="182" t="n">
        <v>1973</v>
      </c>
      <c r="C764" s="183" t="s">
        <v>1885</v>
      </c>
      <c r="D764" s="181" t="s">
        <v>1686</v>
      </c>
      <c r="E764" s="181" t="s">
        <v>336</v>
      </c>
      <c r="F764" s="181" t="s">
        <v>337</v>
      </c>
      <c r="G764" s="181" t="s">
        <v>1900</v>
      </c>
      <c r="H764" s="181" t="s">
        <v>279</v>
      </c>
      <c r="I764" s="181" t="s">
        <v>239</v>
      </c>
      <c r="J764" s="184" t="n">
        <v>40200</v>
      </c>
      <c r="K764" s="184" t="n">
        <v>14620</v>
      </c>
      <c r="L764" s="185" t="n">
        <v>10</v>
      </c>
      <c r="M764" s="173" t="n">
        <v>25580</v>
      </c>
      <c r="N764" s="184" t="n">
        <v>23022</v>
      </c>
      <c r="O764" s="184" t="s">
        <v>1907</v>
      </c>
      <c r="P764" s="187" t="n">
        <v>45931</v>
      </c>
      <c r="Q764" s="188" t="n">
        <v>0.949710648148148</v>
      </c>
    </row>
    <row r="765" customFormat="false" ht="35.05" hidden="false" customHeight="false" outlineLevel="0" collapsed="false">
      <c r="A765" s="181" t="s">
        <v>1908</v>
      </c>
      <c r="B765" s="182" t="n">
        <v>1969</v>
      </c>
      <c r="C765" s="183" t="s">
        <v>1909</v>
      </c>
      <c r="D765" s="181" t="s">
        <v>1686</v>
      </c>
      <c r="E765" s="181" t="s">
        <v>304</v>
      </c>
      <c r="F765" s="181" t="s">
        <v>305</v>
      </c>
      <c r="G765" s="181" t="s">
        <v>1900</v>
      </c>
      <c r="H765" s="181" t="s">
        <v>279</v>
      </c>
      <c r="I765" s="181" t="s">
        <v>239</v>
      </c>
      <c r="J765" s="184" t="n">
        <v>41690</v>
      </c>
      <c r="K765" s="184" t="n">
        <v>15080</v>
      </c>
      <c r="L765" s="185" t="n">
        <v>9</v>
      </c>
      <c r="M765" s="173" t="n">
        <v>26610</v>
      </c>
      <c r="N765" s="184" t="n">
        <v>24215.1</v>
      </c>
      <c r="O765" s="184" t="s">
        <v>1910</v>
      </c>
      <c r="P765" s="187" t="n">
        <v>45931</v>
      </c>
      <c r="Q765" s="188" t="n">
        <v>0.974675925925926</v>
      </c>
    </row>
    <row r="766" customFormat="false" ht="35.05" hidden="false" customHeight="false" outlineLevel="0" collapsed="false">
      <c r="A766" s="181" t="s">
        <v>1911</v>
      </c>
      <c r="B766" s="182" t="n">
        <v>1974</v>
      </c>
      <c r="C766" s="183" t="s">
        <v>1885</v>
      </c>
      <c r="D766" s="181" t="s">
        <v>1686</v>
      </c>
      <c r="E766" s="181" t="s">
        <v>529</v>
      </c>
      <c r="F766" s="181" t="s">
        <v>530</v>
      </c>
      <c r="G766" s="181" t="s">
        <v>1900</v>
      </c>
      <c r="H766" s="181" t="s">
        <v>279</v>
      </c>
      <c r="I766" s="181" t="s">
        <v>239</v>
      </c>
      <c r="J766" s="184" t="n">
        <v>37610</v>
      </c>
      <c r="K766" s="184" t="n">
        <v>14930</v>
      </c>
      <c r="L766" s="185" t="n">
        <v>10</v>
      </c>
      <c r="M766" s="173" t="n">
        <v>22680</v>
      </c>
      <c r="N766" s="184" t="n">
        <v>20412</v>
      </c>
      <c r="O766" s="184" t="s">
        <v>1912</v>
      </c>
      <c r="P766" s="187" t="n">
        <v>45931</v>
      </c>
      <c r="Q766" s="188" t="n">
        <v>0.990185185185185</v>
      </c>
    </row>
    <row r="767" customFormat="false" ht="35.05" hidden="false" customHeight="false" outlineLevel="0" collapsed="false">
      <c r="A767" s="181" t="s">
        <v>1913</v>
      </c>
      <c r="B767" s="182" t="n">
        <v>1975</v>
      </c>
      <c r="C767" s="183" t="s">
        <v>1885</v>
      </c>
      <c r="D767" s="181" t="s">
        <v>1686</v>
      </c>
      <c r="E767" s="181" t="s">
        <v>391</v>
      </c>
      <c r="F767" s="181" t="s">
        <v>392</v>
      </c>
      <c r="G767" s="181" t="s">
        <v>1900</v>
      </c>
      <c r="H767" s="181" t="s">
        <v>279</v>
      </c>
      <c r="I767" s="181" t="s">
        <v>239</v>
      </c>
      <c r="J767" s="184" t="n">
        <v>35620</v>
      </c>
      <c r="K767" s="184" t="n">
        <v>14550</v>
      </c>
      <c r="L767" s="185" t="n">
        <v>13</v>
      </c>
      <c r="M767" s="173" t="n">
        <v>21070</v>
      </c>
      <c r="N767" s="184" t="n">
        <v>18330.9</v>
      </c>
      <c r="O767" s="184" t="s">
        <v>1914</v>
      </c>
      <c r="P767" s="187" t="n">
        <v>45931</v>
      </c>
      <c r="Q767" s="188" t="n">
        <v>0.992789351851852</v>
      </c>
    </row>
    <row r="768" customFormat="false" ht="35.05" hidden="false" customHeight="false" outlineLevel="0" collapsed="false">
      <c r="A768" s="181" t="s">
        <v>1915</v>
      </c>
      <c r="B768" s="182" t="n">
        <v>1976</v>
      </c>
      <c r="C768" s="183" t="s">
        <v>1885</v>
      </c>
      <c r="D768" s="181" t="s">
        <v>1686</v>
      </c>
      <c r="E768" s="181" t="s">
        <v>282</v>
      </c>
      <c r="F768" s="181" t="s">
        <v>283</v>
      </c>
      <c r="G768" s="181" t="s">
        <v>1900</v>
      </c>
      <c r="H768" s="181" t="s">
        <v>279</v>
      </c>
      <c r="I768" s="181" t="s">
        <v>239</v>
      </c>
      <c r="J768" s="184" t="n">
        <v>40780</v>
      </c>
      <c r="K768" s="184" t="n">
        <v>15160</v>
      </c>
      <c r="L768" s="185" t="n">
        <v>10</v>
      </c>
      <c r="M768" s="173" t="n">
        <v>25620</v>
      </c>
      <c r="N768" s="184" t="n">
        <v>23058</v>
      </c>
      <c r="O768" s="184" t="s">
        <v>1916</v>
      </c>
      <c r="P768" s="187" t="n">
        <v>45932</v>
      </c>
      <c r="Q768" s="188" t="n">
        <v>0.183993055555556</v>
      </c>
    </row>
    <row r="769" customFormat="false" ht="35.05" hidden="false" customHeight="false" outlineLevel="0" collapsed="false">
      <c r="A769" s="181" t="s">
        <v>1917</v>
      </c>
      <c r="B769" s="182" t="n">
        <v>1978</v>
      </c>
      <c r="C769" s="183" t="s">
        <v>1885</v>
      </c>
      <c r="D769" s="181" t="s">
        <v>1686</v>
      </c>
      <c r="E769" s="181" t="s">
        <v>576</v>
      </c>
      <c r="F769" s="181" t="s">
        <v>577</v>
      </c>
      <c r="G769" s="181" t="s">
        <v>1900</v>
      </c>
      <c r="H769" s="181" t="s">
        <v>279</v>
      </c>
      <c r="I769" s="181" t="s">
        <v>239</v>
      </c>
      <c r="J769" s="184" t="n">
        <v>38860</v>
      </c>
      <c r="K769" s="184" t="n">
        <v>14600</v>
      </c>
      <c r="L769" s="185" t="n">
        <v>10</v>
      </c>
      <c r="M769" s="173" t="n">
        <v>24260</v>
      </c>
      <c r="N769" s="184" t="n">
        <v>21834</v>
      </c>
      <c r="O769" s="184" t="s">
        <v>1918</v>
      </c>
      <c r="P769" s="187" t="n">
        <v>45932</v>
      </c>
      <c r="Q769" s="188" t="n">
        <v>0.2234375</v>
      </c>
    </row>
    <row r="770" customFormat="false" ht="35.05" hidden="false" customHeight="false" outlineLevel="0" collapsed="false">
      <c r="A770" s="181" t="s">
        <v>1919</v>
      </c>
      <c r="B770" s="182" t="n">
        <v>1979</v>
      </c>
      <c r="C770" s="183" t="s">
        <v>1885</v>
      </c>
      <c r="D770" s="181" t="s">
        <v>1686</v>
      </c>
      <c r="E770" s="181" t="s">
        <v>346</v>
      </c>
      <c r="F770" s="181" t="s">
        <v>347</v>
      </c>
      <c r="G770" s="181" t="s">
        <v>1900</v>
      </c>
      <c r="H770" s="181" t="s">
        <v>279</v>
      </c>
      <c r="I770" s="181" t="s">
        <v>239</v>
      </c>
      <c r="J770" s="184" t="n">
        <v>39950</v>
      </c>
      <c r="K770" s="184" t="n">
        <v>15260</v>
      </c>
      <c r="L770" s="185" t="n">
        <v>10</v>
      </c>
      <c r="M770" s="173" t="n">
        <v>24690</v>
      </c>
      <c r="N770" s="184" t="n">
        <v>22221</v>
      </c>
      <c r="O770" s="184" t="s">
        <v>1920</v>
      </c>
      <c r="P770" s="187" t="n">
        <v>45932</v>
      </c>
      <c r="Q770" s="188" t="n">
        <v>0.261909722222222</v>
      </c>
    </row>
    <row r="771" customFormat="false" ht="35.05" hidden="false" customHeight="false" outlineLevel="0" collapsed="false">
      <c r="A771" s="181" t="s">
        <v>1921</v>
      </c>
      <c r="B771" s="182" t="n">
        <v>1980</v>
      </c>
      <c r="C771" s="183" t="s">
        <v>1885</v>
      </c>
      <c r="D771" s="181" t="s">
        <v>1686</v>
      </c>
      <c r="E771" s="181" t="s">
        <v>300</v>
      </c>
      <c r="F771" s="181" t="s">
        <v>301</v>
      </c>
      <c r="G771" s="181" t="s">
        <v>1900</v>
      </c>
      <c r="H771" s="181" t="s">
        <v>279</v>
      </c>
      <c r="I771" s="181" t="s">
        <v>239</v>
      </c>
      <c r="J771" s="184" t="n">
        <v>55700</v>
      </c>
      <c r="K771" s="184" t="n">
        <v>21030</v>
      </c>
      <c r="L771" s="185" t="n">
        <v>9</v>
      </c>
      <c r="M771" s="173" t="n">
        <v>34670</v>
      </c>
      <c r="N771" s="184" t="n">
        <v>31549.7</v>
      </c>
      <c r="O771" s="184" t="s">
        <v>1922</v>
      </c>
      <c r="P771" s="187" t="n">
        <v>45932</v>
      </c>
      <c r="Q771" s="188" t="n">
        <v>0.340671296296296</v>
      </c>
    </row>
    <row r="772" customFormat="false" ht="35.05" hidden="false" customHeight="false" outlineLevel="0" collapsed="false">
      <c r="A772" s="181" t="s">
        <v>1923</v>
      </c>
      <c r="B772" s="182" t="n">
        <v>1981</v>
      </c>
      <c r="C772" s="183" t="n">
        <v>57727</v>
      </c>
      <c r="D772" s="181" t="s">
        <v>1686</v>
      </c>
      <c r="E772" s="181" t="s">
        <v>582</v>
      </c>
      <c r="F772" s="181" t="s">
        <v>583</v>
      </c>
      <c r="G772" s="181" t="s">
        <v>1900</v>
      </c>
      <c r="H772" s="181" t="s">
        <v>279</v>
      </c>
      <c r="I772" s="181" t="s">
        <v>239</v>
      </c>
      <c r="J772" s="184" t="n">
        <v>39090</v>
      </c>
      <c r="K772" s="184" t="n">
        <v>14900</v>
      </c>
      <c r="L772" s="185" t="n">
        <v>10</v>
      </c>
      <c r="M772" s="173" t="n">
        <v>24190</v>
      </c>
      <c r="N772" s="184" t="n">
        <v>21771</v>
      </c>
      <c r="O772" s="184" t="s">
        <v>1924</v>
      </c>
      <c r="P772" s="187" t="n">
        <v>45932</v>
      </c>
      <c r="Q772" s="188" t="n">
        <v>0.380416666666667</v>
      </c>
    </row>
    <row r="773" customFormat="false" ht="35.05" hidden="false" customHeight="false" outlineLevel="0" collapsed="false">
      <c r="A773" s="181" t="s">
        <v>1925</v>
      </c>
      <c r="B773" s="182" t="n">
        <v>1983</v>
      </c>
      <c r="C773" s="183" t="n">
        <v>57728</v>
      </c>
      <c r="D773" s="181" t="s">
        <v>1686</v>
      </c>
      <c r="E773" s="181" t="s">
        <v>266</v>
      </c>
      <c r="F773" s="181" t="s">
        <v>267</v>
      </c>
      <c r="G773" s="181" t="s">
        <v>1900</v>
      </c>
      <c r="H773" s="181" t="s">
        <v>279</v>
      </c>
      <c r="I773" s="181" t="s">
        <v>239</v>
      </c>
      <c r="J773" s="184" t="n">
        <v>38010</v>
      </c>
      <c r="K773" s="184" t="n">
        <v>14820</v>
      </c>
      <c r="L773" s="185" t="n">
        <v>8</v>
      </c>
      <c r="M773" s="173" t="n">
        <v>23190</v>
      </c>
      <c r="N773" s="184" t="n">
        <v>21334.8</v>
      </c>
      <c r="O773" s="184" t="s">
        <v>1926</v>
      </c>
      <c r="P773" s="187" t="n">
        <v>45932</v>
      </c>
      <c r="Q773" s="188" t="n">
        <v>0.435266203703704</v>
      </c>
    </row>
    <row r="774" customFormat="false" ht="35.05" hidden="false" customHeight="false" outlineLevel="0" collapsed="false">
      <c r="A774" s="181" t="s">
        <v>1927</v>
      </c>
      <c r="B774" s="182" t="n">
        <v>1984</v>
      </c>
      <c r="C774" s="183" t="n">
        <v>57729</v>
      </c>
      <c r="D774" s="181" t="s">
        <v>1686</v>
      </c>
      <c r="E774" s="181" t="s">
        <v>277</v>
      </c>
      <c r="F774" s="181" t="s">
        <v>278</v>
      </c>
      <c r="G774" s="181" t="s">
        <v>1900</v>
      </c>
      <c r="H774" s="181" t="s">
        <v>279</v>
      </c>
      <c r="I774" s="181" t="s">
        <v>239</v>
      </c>
      <c r="J774" s="184" t="n">
        <v>41820</v>
      </c>
      <c r="K774" s="184" t="n">
        <v>15120</v>
      </c>
      <c r="L774" s="185" t="n">
        <v>8</v>
      </c>
      <c r="M774" s="173" t="n">
        <v>26700</v>
      </c>
      <c r="N774" s="184" t="n">
        <v>24564</v>
      </c>
      <c r="O774" s="184" t="s">
        <v>1928</v>
      </c>
      <c r="P774" s="187" t="n">
        <v>45932</v>
      </c>
      <c r="Q774" s="188" t="n">
        <v>0.542060185185185</v>
      </c>
    </row>
    <row r="775" customFormat="false" ht="35.05" hidden="false" customHeight="false" outlineLevel="0" collapsed="false">
      <c r="A775" s="181" t="s">
        <v>1929</v>
      </c>
      <c r="B775" s="182" t="n">
        <v>1987</v>
      </c>
      <c r="C775" s="183" t="n">
        <v>57730</v>
      </c>
      <c r="D775" s="181" t="s">
        <v>1686</v>
      </c>
      <c r="E775" s="181" t="s">
        <v>288</v>
      </c>
      <c r="F775" s="181" t="s">
        <v>289</v>
      </c>
      <c r="G775" s="181" t="s">
        <v>1900</v>
      </c>
      <c r="H775" s="181" t="s">
        <v>279</v>
      </c>
      <c r="I775" s="181" t="s">
        <v>239</v>
      </c>
      <c r="J775" s="184" t="n">
        <v>38420</v>
      </c>
      <c r="K775" s="184" t="n">
        <v>14580</v>
      </c>
      <c r="L775" s="185" t="n">
        <v>7</v>
      </c>
      <c r="M775" s="173" t="n">
        <v>23840</v>
      </c>
      <c r="N775" s="184" t="n">
        <v>22171.2</v>
      </c>
      <c r="O775" s="184" t="s">
        <v>1930</v>
      </c>
      <c r="P775" s="187" t="n">
        <v>45932</v>
      </c>
      <c r="Q775" s="188" t="n">
        <v>0.544085648148148</v>
      </c>
    </row>
    <row r="776" customFormat="false" ht="35.05" hidden="false" customHeight="false" outlineLevel="0" collapsed="false">
      <c r="A776" s="181" t="s">
        <v>1931</v>
      </c>
      <c r="B776" s="182" t="n">
        <v>1992</v>
      </c>
      <c r="C776" s="183" t="n">
        <v>57731</v>
      </c>
      <c r="D776" s="181" t="s">
        <v>1686</v>
      </c>
      <c r="E776" s="181" t="s">
        <v>332</v>
      </c>
      <c r="F776" s="181" t="s">
        <v>333</v>
      </c>
      <c r="G776" s="181" t="s">
        <v>1932</v>
      </c>
      <c r="H776" s="181" t="s">
        <v>279</v>
      </c>
      <c r="I776" s="181" t="s">
        <v>239</v>
      </c>
      <c r="J776" s="184" t="n">
        <v>39900</v>
      </c>
      <c r="K776" s="184" t="n">
        <v>14740</v>
      </c>
      <c r="L776" s="185" t="n">
        <v>14</v>
      </c>
      <c r="M776" s="173" t="n">
        <v>25160</v>
      </c>
      <c r="N776" s="184" t="n">
        <v>21637.6</v>
      </c>
      <c r="O776" s="184" t="s">
        <v>1933</v>
      </c>
      <c r="P776" s="187" t="n">
        <v>45932</v>
      </c>
      <c r="Q776" s="188" t="n">
        <v>0.706689814814815</v>
      </c>
    </row>
    <row r="777" customFormat="false" ht="35.05" hidden="false" customHeight="false" outlineLevel="0" collapsed="false">
      <c r="A777" s="181" t="s">
        <v>1934</v>
      </c>
      <c r="B777" s="182" t="n">
        <v>1993</v>
      </c>
      <c r="C777" s="183" t="n">
        <v>57731</v>
      </c>
      <c r="D777" s="181" t="s">
        <v>1686</v>
      </c>
      <c r="E777" s="181" t="s">
        <v>336</v>
      </c>
      <c r="F777" s="181" t="s">
        <v>337</v>
      </c>
      <c r="G777" s="181" t="s">
        <v>1932</v>
      </c>
      <c r="H777" s="181" t="s">
        <v>279</v>
      </c>
      <c r="I777" s="181" t="s">
        <v>239</v>
      </c>
      <c r="J777" s="184" t="n">
        <v>39830</v>
      </c>
      <c r="K777" s="184" t="n">
        <v>14550</v>
      </c>
      <c r="L777" s="185" t="n">
        <v>6</v>
      </c>
      <c r="M777" s="173" t="n">
        <v>25280</v>
      </c>
      <c r="N777" s="184" t="n">
        <v>23763.2</v>
      </c>
      <c r="O777" s="184" t="s">
        <v>1935</v>
      </c>
      <c r="P777" s="187" t="n">
        <v>45932</v>
      </c>
      <c r="Q777" s="188" t="n">
        <v>0.708796296296296</v>
      </c>
    </row>
    <row r="778" customFormat="false" ht="35.05" hidden="false" customHeight="false" outlineLevel="0" collapsed="false">
      <c r="A778" s="181" t="s">
        <v>1936</v>
      </c>
      <c r="B778" s="182" t="n">
        <v>1994</v>
      </c>
      <c r="C778" s="183" t="s">
        <v>1909</v>
      </c>
      <c r="D778" s="181" t="s">
        <v>1686</v>
      </c>
      <c r="E778" s="181" t="s">
        <v>304</v>
      </c>
      <c r="F778" s="181" t="s">
        <v>305</v>
      </c>
      <c r="G778" s="181" t="s">
        <v>1932</v>
      </c>
      <c r="H778" s="181" t="s">
        <v>279</v>
      </c>
      <c r="I778" s="181" t="s">
        <v>239</v>
      </c>
      <c r="J778" s="184" t="n">
        <v>40780</v>
      </c>
      <c r="K778" s="184" t="n">
        <v>15150</v>
      </c>
      <c r="L778" s="185" t="n">
        <v>7</v>
      </c>
      <c r="M778" s="173" t="n">
        <v>25630</v>
      </c>
      <c r="N778" s="184" t="n">
        <v>23835.9</v>
      </c>
      <c r="O778" s="184" t="s">
        <v>1937</v>
      </c>
      <c r="P778" s="187" t="n">
        <v>45932</v>
      </c>
      <c r="Q778" s="188" t="n">
        <v>0.713634259259259</v>
      </c>
    </row>
    <row r="779" customFormat="false" ht="35.05" hidden="false" customHeight="false" outlineLevel="0" collapsed="false">
      <c r="A779" s="181" t="s">
        <v>1938</v>
      </c>
      <c r="B779" s="182" t="n">
        <v>2004</v>
      </c>
      <c r="C779" s="183" t="s">
        <v>1885</v>
      </c>
      <c r="D779" s="181" t="s">
        <v>1686</v>
      </c>
      <c r="E779" s="181" t="s">
        <v>529</v>
      </c>
      <c r="F779" s="181" t="s">
        <v>530</v>
      </c>
      <c r="G779" s="181" t="s">
        <v>1932</v>
      </c>
      <c r="H779" s="181" t="s">
        <v>279</v>
      </c>
      <c r="I779" s="181" t="s">
        <v>239</v>
      </c>
      <c r="J779" s="184" t="n">
        <v>34630</v>
      </c>
      <c r="K779" s="184" t="n">
        <v>14870</v>
      </c>
      <c r="L779" s="185" t="n">
        <v>14</v>
      </c>
      <c r="M779" s="173" t="n">
        <v>19760</v>
      </c>
      <c r="N779" s="184" t="n">
        <v>16993.6</v>
      </c>
      <c r="O779" s="184" t="s">
        <v>1939</v>
      </c>
      <c r="P779" s="187" t="n">
        <v>45932</v>
      </c>
      <c r="Q779" s="188" t="n">
        <v>0.771354166666667</v>
      </c>
    </row>
    <row r="780" customFormat="false" ht="35.05" hidden="false" customHeight="false" outlineLevel="0" collapsed="false">
      <c r="A780" s="181" t="s">
        <v>1940</v>
      </c>
      <c r="B780" s="182" t="n">
        <v>2005</v>
      </c>
      <c r="C780" s="183" t="s">
        <v>1885</v>
      </c>
      <c r="D780" s="181" t="s">
        <v>1686</v>
      </c>
      <c r="E780" s="181" t="s">
        <v>266</v>
      </c>
      <c r="F780" s="181" t="s">
        <v>267</v>
      </c>
      <c r="G780" s="181" t="s">
        <v>1932</v>
      </c>
      <c r="H780" s="181" t="s">
        <v>279</v>
      </c>
      <c r="I780" s="181" t="s">
        <v>239</v>
      </c>
      <c r="J780" s="184" t="n">
        <v>38450</v>
      </c>
      <c r="K780" s="184" t="n">
        <v>14940</v>
      </c>
      <c r="L780" s="185" t="n">
        <v>21</v>
      </c>
      <c r="M780" s="173" t="n">
        <v>23510</v>
      </c>
      <c r="N780" s="184" t="n">
        <v>18572.9</v>
      </c>
      <c r="O780" s="184" t="s">
        <v>1941</v>
      </c>
      <c r="P780" s="187" t="n">
        <v>45932</v>
      </c>
      <c r="Q780" s="188" t="n">
        <v>0.77380787037037</v>
      </c>
    </row>
    <row r="781" customFormat="false" ht="35.05" hidden="false" customHeight="false" outlineLevel="0" collapsed="false">
      <c r="A781" s="181" t="s">
        <v>1942</v>
      </c>
      <c r="B781" s="182" t="n">
        <v>2006</v>
      </c>
      <c r="C781" s="183" t="s">
        <v>1885</v>
      </c>
      <c r="D781" s="181" t="s">
        <v>1686</v>
      </c>
      <c r="E781" s="181" t="s">
        <v>582</v>
      </c>
      <c r="F781" s="181" t="s">
        <v>583</v>
      </c>
      <c r="G781" s="181" t="s">
        <v>1932</v>
      </c>
      <c r="H781" s="181" t="s">
        <v>279</v>
      </c>
      <c r="I781" s="181" t="s">
        <v>239</v>
      </c>
      <c r="J781" s="184" t="n">
        <v>39040</v>
      </c>
      <c r="K781" s="184" t="n">
        <v>14790</v>
      </c>
      <c r="L781" s="185" t="n">
        <v>9</v>
      </c>
      <c r="M781" s="173" t="n">
        <v>24250</v>
      </c>
      <c r="N781" s="184" t="n">
        <v>22067.5</v>
      </c>
      <c r="O781" s="184" t="s">
        <v>1943</v>
      </c>
      <c r="P781" s="187" t="n">
        <v>45932</v>
      </c>
      <c r="Q781" s="188" t="n">
        <v>0.808229166666667</v>
      </c>
    </row>
    <row r="782" customFormat="false" ht="35.05" hidden="false" customHeight="false" outlineLevel="0" collapsed="false">
      <c r="A782" s="181" t="s">
        <v>1944</v>
      </c>
      <c r="B782" s="182" t="n">
        <v>1995</v>
      </c>
      <c r="C782" s="183" t="s">
        <v>1885</v>
      </c>
      <c r="D782" s="181" t="s">
        <v>1686</v>
      </c>
      <c r="E782" s="181" t="s">
        <v>308</v>
      </c>
      <c r="F782" s="181" t="s">
        <v>309</v>
      </c>
      <c r="G782" s="181" t="s">
        <v>1932</v>
      </c>
      <c r="H782" s="181" t="s">
        <v>279</v>
      </c>
      <c r="I782" s="181" t="s">
        <v>239</v>
      </c>
      <c r="J782" s="184" t="n">
        <v>65180</v>
      </c>
      <c r="K782" s="184" t="n">
        <v>24220</v>
      </c>
      <c r="L782" s="185" t="n">
        <v>6</v>
      </c>
      <c r="M782" s="173" t="n">
        <v>40960</v>
      </c>
      <c r="N782" s="184" t="n">
        <v>38502.4</v>
      </c>
      <c r="O782" s="184" t="s">
        <v>1945</v>
      </c>
      <c r="P782" s="187" t="n">
        <v>45932</v>
      </c>
      <c r="Q782" s="188" t="n">
        <v>0.81994212962963</v>
      </c>
    </row>
    <row r="783" customFormat="false" ht="35.05" hidden="false" customHeight="false" outlineLevel="0" collapsed="false">
      <c r="A783" s="181" t="s">
        <v>1946</v>
      </c>
      <c r="B783" s="182" t="n">
        <v>1996</v>
      </c>
      <c r="C783" s="183" t="s">
        <v>1885</v>
      </c>
      <c r="D783" s="181" t="s">
        <v>1686</v>
      </c>
      <c r="E783" s="181" t="s">
        <v>272</v>
      </c>
      <c r="F783" s="181" t="s">
        <v>273</v>
      </c>
      <c r="G783" s="181" t="s">
        <v>1932</v>
      </c>
      <c r="H783" s="181" t="s">
        <v>279</v>
      </c>
      <c r="I783" s="181" t="s">
        <v>239</v>
      </c>
      <c r="J783" s="184" t="n">
        <v>41130</v>
      </c>
      <c r="K783" s="184" t="n">
        <v>15710</v>
      </c>
      <c r="L783" s="185" t="n">
        <v>11</v>
      </c>
      <c r="M783" s="173" t="n">
        <v>25420</v>
      </c>
      <c r="N783" s="184" t="n">
        <v>22623.8</v>
      </c>
      <c r="O783" s="184" t="s">
        <v>1947</v>
      </c>
      <c r="P783" s="187" t="n">
        <v>45932</v>
      </c>
      <c r="Q783" s="188" t="n">
        <v>0.824814814814815</v>
      </c>
    </row>
    <row r="784" customFormat="false" ht="35.05" hidden="false" customHeight="false" outlineLevel="0" collapsed="false">
      <c r="A784" s="181" t="s">
        <v>1948</v>
      </c>
      <c r="B784" s="182" t="n">
        <v>2007</v>
      </c>
      <c r="C784" s="183" t="s">
        <v>1885</v>
      </c>
      <c r="D784" s="181" t="s">
        <v>1686</v>
      </c>
      <c r="E784" s="181" t="s">
        <v>277</v>
      </c>
      <c r="F784" s="181" t="s">
        <v>278</v>
      </c>
      <c r="G784" s="181" t="s">
        <v>1932</v>
      </c>
      <c r="H784" s="181" t="s">
        <v>279</v>
      </c>
      <c r="I784" s="181" t="s">
        <v>239</v>
      </c>
      <c r="J784" s="184" t="n">
        <v>43570</v>
      </c>
      <c r="K784" s="184" t="n">
        <v>15200</v>
      </c>
      <c r="L784" s="185" t="n">
        <v>12</v>
      </c>
      <c r="M784" s="173" t="n">
        <v>28370</v>
      </c>
      <c r="N784" s="184" t="n">
        <v>24965.6</v>
      </c>
      <c r="O784" s="184" t="s">
        <v>1949</v>
      </c>
      <c r="P784" s="187" t="n">
        <v>45932</v>
      </c>
      <c r="Q784" s="188" t="n">
        <v>0.834108796296296</v>
      </c>
    </row>
    <row r="785" customFormat="false" ht="35.05" hidden="false" customHeight="false" outlineLevel="0" collapsed="false">
      <c r="A785" s="181" t="s">
        <v>1950</v>
      </c>
      <c r="B785" s="182" t="n">
        <v>1998</v>
      </c>
      <c r="C785" s="183" t="s">
        <v>1885</v>
      </c>
      <c r="D785" s="181" t="s">
        <v>1686</v>
      </c>
      <c r="E785" s="181" t="s">
        <v>576</v>
      </c>
      <c r="F785" s="181" t="s">
        <v>577</v>
      </c>
      <c r="G785" s="181" t="s">
        <v>1932</v>
      </c>
      <c r="H785" s="181" t="s">
        <v>279</v>
      </c>
      <c r="I785" s="181" t="s">
        <v>239</v>
      </c>
      <c r="J785" s="184" t="n">
        <v>39340</v>
      </c>
      <c r="K785" s="184" t="n">
        <v>14580</v>
      </c>
      <c r="L785" s="185" t="n">
        <v>6</v>
      </c>
      <c r="M785" s="173" t="n">
        <v>24760</v>
      </c>
      <c r="N785" s="184" t="n">
        <v>23274.4</v>
      </c>
      <c r="O785" s="184" t="s">
        <v>1951</v>
      </c>
      <c r="P785" s="187" t="n">
        <v>45932</v>
      </c>
      <c r="Q785" s="188" t="n">
        <v>0.858923611111111</v>
      </c>
    </row>
    <row r="786" customFormat="false" ht="35.05" hidden="false" customHeight="false" outlineLevel="0" collapsed="false">
      <c r="A786" s="181" t="s">
        <v>1952</v>
      </c>
      <c r="B786" s="182" t="n">
        <v>2008</v>
      </c>
      <c r="C786" s="183" t="s">
        <v>1885</v>
      </c>
      <c r="D786" s="181" t="s">
        <v>1686</v>
      </c>
      <c r="E786" s="181" t="s">
        <v>346</v>
      </c>
      <c r="F786" s="181" t="s">
        <v>347</v>
      </c>
      <c r="G786" s="181" t="s">
        <v>1932</v>
      </c>
      <c r="H786" s="181" t="s">
        <v>279</v>
      </c>
      <c r="I786" s="181" t="s">
        <v>239</v>
      </c>
      <c r="J786" s="184" t="n">
        <v>39790</v>
      </c>
      <c r="K786" s="184" t="n">
        <v>15190</v>
      </c>
      <c r="L786" s="185" t="n">
        <v>13</v>
      </c>
      <c r="M786" s="173" t="n">
        <v>24600</v>
      </c>
      <c r="N786" s="184" t="n">
        <v>21402</v>
      </c>
      <c r="O786" s="184" t="s">
        <v>1953</v>
      </c>
      <c r="P786" s="187" t="n">
        <v>45932</v>
      </c>
      <c r="Q786" s="188" t="n">
        <v>0.876111111111111</v>
      </c>
    </row>
    <row r="787" customFormat="false" ht="35.05" hidden="false" customHeight="false" outlineLevel="0" collapsed="false">
      <c r="A787" s="181" t="s">
        <v>1954</v>
      </c>
      <c r="B787" s="182" t="n">
        <v>2009</v>
      </c>
      <c r="C787" s="183" t="s">
        <v>1885</v>
      </c>
      <c r="D787" s="181" t="s">
        <v>1686</v>
      </c>
      <c r="E787" s="181" t="s">
        <v>292</v>
      </c>
      <c r="F787" s="181" t="s">
        <v>293</v>
      </c>
      <c r="G787" s="181" t="s">
        <v>1932</v>
      </c>
      <c r="H787" s="181" t="s">
        <v>279</v>
      </c>
      <c r="I787" s="181" t="s">
        <v>239</v>
      </c>
      <c r="J787" s="184" t="n">
        <v>36600</v>
      </c>
      <c r="K787" s="184" t="n">
        <v>13980</v>
      </c>
      <c r="L787" s="185" t="n">
        <v>12</v>
      </c>
      <c r="M787" s="173" t="n">
        <v>22620</v>
      </c>
      <c r="N787" s="184" t="n">
        <v>19905.6</v>
      </c>
      <c r="O787" s="184" t="s">
        <v>1955</v>
      </c>
      <c r="P787" s="187" t="n">
        <v>45932</v>
      </c>
      <c r="Q787" s="188" t="n">
        <v>0.879155092592593</v>
      </c>
    </row>
    <row r="788" customFormat="false" ht="35.05" hidden="false" customHeight="false" outlineLevel="0" collapsed="false">
      <c r="A788" s="181" t="s">
        <v>1956</v>
      </c>
      <c r="B788" s="182" t="n">
        <v>2000</v>
      </c>
      <c r="C788" s="183" t="s">
        <v>1885</v>
      </c>
      <c r="D788" s="181" t="s">
        <v>1686</v>
      </c>
      <c r="E788" s="181" t="s">
        <v>282</v>
      </c>
      <c r="F788" s="181" t="s">
        <v>283</v>
      </c>
      <c r="G788" s="181" t="s">
        <v>1932</v>
      </c>
      <c r="H788" s="181" t="s">
        <v>279</v>
      </c>
      <c r="I788" s="181" t="s">
        <v>239</v>
      </c>
      <c r="J788" s="184" t="n">
        <v>40640</v>
      </c>
      <c r="K788" s="184" t="n">
        <v>15090</v>
      </c>
      <c r="L788" s="185" t="n">
        <v>11</v>
      </c>
      <c r="M788" s="173" t="n">
        <v>25550</v>
      </c>
      <c r="N788" s="184" t="n">
        <v>22739.5</v>
      </c>
      <c r="O788" s="184" t="s">
        <v>1957</v>
      </c>
      <c r="P788" s="187" t="n">
        <v>45932</v>
      </c>
      <c r="Q788" s="188" t="n">
        <v>0.907060185185185</v>
      </c>
    </row>
    <row r="789" customFormat="false" ht="35.05" hidden="false" customHeight="false" outlineLevel="0" collapsed="false">
      <c r="A789" s="181" t="s">
        <v>1958</v>
      </c>
      <c r="B789" s="182" t="n">
        <v>2001</v>
      </c>
      <c r="C789" s="183" t="s">
        <v>1885</v>
      </c>
      <c r="D789" s="181" t="s">
        <v>1686</v>
      </c>
      <c r="E789" s="181" t="s">
        <v>300</v>
      </c>
      <c r="F789" s="181" t="s">
        <v>301</v>
      </c>
      <c r="G789" s="181" t="s">
        <v>1932</v>
      </c>
      <c r="H789" s="181" t="s">
        <v>279</v>
      </c>
      <c r="I789" s="181" t="s">
        <v>239</v>
      </c>
      <c r="J789" s="184" t="n">
        <v>56280</v>
      </c>
      <c r="K789" s="184" t="n">
        <v>20970</v>
      </c>
      <c r="L789" s="185" t="n">
        <v>11</v>
      </c>
      <c r="M789" s="173" t="n">
        <v>35310</v>
      </c>
      <c r="N789" s="184" t="n">
        <v>31425.9</v>
      </c>
      <c r="O789" s="184" t="s">
        <v>1959</v>
      </c>
      <c r="P789" s="187" t="n">
        <v>45932</v>
      </c>
      <c r="Q789" s="188" t="n">
        <v>0.941284722222222</v>
      </c>
    </row>
    <row r="790" customFormat="false" ht="35.05" hidden="false" customHeight="false" outlineLevel="0" collapsed="false">
      <c r="A790" s="181" t="s">
        <v>1960</v>
      </c>
      <c r="B790" s="182" t="n">
        <v>2010</v>
      </c>
      <c r="C790" s="183" t="s">
        <v>1885</v>
      </c>
      <c r="D790" s="181" t="s">
        <v>1686</v>
      </c>
      <c r="E790" s="181" t="s">
        <v>336</v>
      </c>
      <c r="F790" s="181" t="s">
        <v>337</v>
      </c>
      <c r="G790" s="181" t="s">
        <v>1932</v>
      </c>
      <c r="H790" s="181" t="s">
        <v>279</v>
      </c>
      <c r="I790" s="181" t="s">
        <v>239</v>
      </c>
      <c r="J790" s="184" t="n">
        <v>38560</v>
      </c>
      <c r="K790" s="184" t="n">
        <v>14490</v>
      </c>
      <c r="L790" s="185" t="n">
        <v>11</v>
      </c>
      <c r="M790" s="173" t="n">
        <v>24070</v>
      </c>
      <c r="N790" s="184" t="n">
        <v>21422.3</v>
      </c>
      <c r="O790" s="184" t="s">
        <v>1961</v>
      </c>
      <c r="P790" s="187" t="n">
        <v>45932</v>
      </c>
      <c r="Q790" s="188" t="n">
        <v>0.951412037037037</v>
      </c>
    </row>
    <row r="791" customFormat="false" ht="35.05" hidden="false" customHeight="false" outlineLevel="0" collapsed="false">
      <c r="A791" s="181" t="s">
        <v>1962</v>
      </c>
      <c r="B791" s="182" t="n">
        <v>2011</v>
      </c>
      <c r="C791" s="183" t="s">
        <v>1885</v>
      </c>
      <c r="D791" s="181" t="s">
        <v>1686</v>
      </c>
      <c r="E791" s="181" t="s">
        <v>332</v>
      </c>
      <c r="F791" s="181" t="s">
        <v>333</v>
      </c>
      <c r="G791" s="181" t="s">
        <v>1932</v>
      </c>
      <c r="H791" s="181" t="s">
        <v>279</v>
      </c>
      <c r="I791" s="181" t="s">
        <v>239</v>
      </c>
      <c r="J791" s="184" t="n">
        <v>38730</v>
      </c>
      <c r="K791" s="184" t="n">
        <v>14840</v>
      </c>
      <c r="L791" s="185" t="n">
        <v>17</v>
      </c>
      <c r="M791" s="173" t="n">
        <v>23890</v>
      </c>
      <c r="N791" s="184" t="n">
        <v>19828.7</v>
      </c>
      <c r="O791" s="184" t="s">
        <v>1963</v>
      </c>
      <c r="P791" s="187" t="n">
        <v>45932</v>
      </c>
      <c r="Q791" s="188" t="n">
        <v>0.968206018518519</v>
      </c>
    </row>
    <row r="792" customFormat="false" ht="35.05" hidden="false" customHeight="false" outlineLevel="0" collapsed="false">
      <c r="A792" s="181" t="s">
        <v>1964</v>
      </c>
      <c r="B792" s="182" t="n">
        <v>2012</v>
      </c>
      <c r="C792" s="183" t="s">
        <v>1885</v>
      </c>
      <c r="D792" s="181" t="s">
        <v>1686</v>
      </c>
      <c r="E792" s="181" t="s">
        <v>288</v>
      </c>
      <c r="F792" s="181" t="s">
        <v>289</v>
      </c>
      <c r="G792" s="181" t="s">
        <v>1932</v>
      </c>
      <c r="H792" s="181" t="s">
        <v>279</v>
      </c>
      <c r="I792" s="181" t="s">
        <v>239</v>
      </c>
      <c r="J792" s="184" t="n">
        <v>38530</v>
      </c>
      <c r="K792" s="184" t="n">
        <v>14660</v>
      </c>
      <c r="L792" s="185" t="n">
        <v>16</v>
      </c>
      <c r="M792" s="173" t="n">
        <v>23870</v>
      </c>
      <c r="N792" s="184" t="n">
        <v>20050.8</v>
      </c>
      <c r="O792" s="184" t="s">
        <v>1965</v>
      </c>
      <c r="P792" s="187" t="n">
        <v>45932</v>
      </c>
      <c r="Q792" s="188" t="n">
        <v>0.979641203703704</v>
      </c>
    </row>
    <row r="793" customFormat="false" ht="35.05" hidden="false" customHeight="false" outlineLevel="0" collapsed="false">
      <c r="A793" s="181" t="s">
        <v>1966</v>
      </c>
      <c r="B793" s="182" t="n">
        <v>2003</v>
      </c>
      <c r="C793" s="183" t="s">
        <v>1885</v>
      </c>
      <c r="D793" s="181" t="s">
        <v>1686</v>
      </c>
      <c r="E793" s="181" t="s">
        <v>391</v>
      </c>
      <c r="F793" s="181" t="s">
        <v>392</v>
      </c>
      <c r="G793" s="181" t="s">
        <v>1932</v>
      </c>
      <c r="H793" s="181" t="s">
        <v>279</v>
      </c>
      <c r="I793" s="181" t="s">
        <v>239</v>
      </c>
      <c r="J793" s="184" t="n">
        <v>35970</v>
      </c>
      <c r="K793" s="184" t="n">
        <v>14490</v>
      </c>
      <c r="L793" s="185" t="n">
        <v>6</v>
      </c>
      <c r="M793" s="173" t="n">
        <v>21480</v>
      </c>
      <c r="N793" s="184" t="n">
        <v>20191.2</v>
      </c>
      <c r="O793" s="184" t="s">
        <v>1967</v>
      </c>
      <c r="P793" s="187" t="n">
        <v>45932</v>
      </c>
      <c r="Q793" s="188" t="n">
        <v>0.993078703703704</v>
      </c>
    </row>
    <row r="794" customFormat="false" ht="35.05" hidden="false" customHeight="false" outlineLevel="0" collapsed="false">
      <c r="A794" s="181" t="s">
        <v>1968</v>
      </c>
      <c r="B794" s="182" t="n">
        <v>2013</v>
      </c>
      <c r="C794" s="183" t="s">
        <v>1885</v>
      </c>
      <c r="D794" s="181" t="s">
        <v>1686</v>
      </c>
      <c r="E794" s="181" t="s">
        <v>308</v>
      </c>
      <c r="F794" s="181" t="s">
        <v>309</v>
      </c>
      <c r="G794" s="181" t="s">
        <v>1932</v>
      </c>
      <c r="H794" s="181" t="s">
        <v>279</v>
      </c>
      <c r="I794" s="181" t="s">
        <v>239</v>
      </c>
      <c r="J794" s="184" t="n">
        <v>63840</v>
      </c>
      <c r="K794" s="184" t="n">
        <v>24140</v>
      </c>
      <c r="L794" s="185" t="n">
        <v>15</v>
      </c>
      <c r="M794" s="173" t="n">
        <v>39700</v>
      </c>
      <c r="N794" s="184" t="n">
        <v>33745</v>
      </c>
      <c r="O794" s="184" t="s">
        <v>1969</v>
      </c>
      <c r="P794" s="187" t="n">
        <v>45933</v>
      </c>
      <c r="Q794" s="188" t="n">
        <v>0.529189814814815</v>
      </c>
    </row>
    <row r="795" customFormat="false" ht="35.05" hidden="false" customHeight="false" outlineLevel="0" collapsed="false">
      <c r="A795" s="181" t="s">
        <v>1970</v>
      </c>
      <c r="B795" s="182" t="n">
        <v>2017</v>
      </c>
      <c r="C795" s="183" t="s">
        <v>1885</v>
      </c>
      <c r="D795" s="181" t="s">
        <v>1686</v>
      </c>
      <c r="E795" s="181" t="s">
        <v>304</v>
      </c>
      <c r="F795" s="181" t="s">
        <v>305</v>
      </c>
      <c r="G795" s="181" t="s">
        <v>1900</v>
      </c>
      <c r="H795" s="181" t="s">
        <v>279</v>
      </c>
      <c r="I795" s="181" t="s">
        <v>239</v>
      </c>
      <c r="J795" s="184" t="n">
        <v>38600</v>
      </c>
      <c r="K795" s="184" t="n">
        <v>15070</v>
      </c>
      <c r="L795" s="185" t="n">
        <v>18</v>
      </c>
      <c r="M795" s="173" t="n">
        <v>23530</v>
      </c>
      <c r="N795" s="184" t="n">
        <v>19294.6</v>
      </c>
      <c r="O795" s="184" t="s">
        <v>1971</v>
      </c>
      <c r="P795" s="187" t="n">
        <v>45933</v>
      </c>
      <c r="Q795" s="188" t="n">
        <v>0.573402777777778</v>
      </c>
    </row>
    <row r="796" customFormat="false" ht="35.05" hidden="false" customHeight="false" outlineLevel="0" collapsed="false">
      <c r="A796" s="181" t="s">
        <v>1972</v>
      </c>
      <c r="B796" s="182" t="n">
        <v>2018</v>
      </c>
      <c r="C796" s="183" t="s">
        <v>1885</v>
      </c>
      <c r="D796" s="181" t="s">
        <v>1686</v>
      </c>
      <c r="E796" s="181" t="s">
        <v>272</v>
      </c>
      <c r="F796" s="181" t="s">
        <v>273</v>
      </c>
      <c r="G796" s="181" t="s">
        <v>1900</v>
      </c>
      <c r="H796" s="181" t="s">
        <v>279</v>
      </c>
      <c r="I796" s="181" t="s">
        <v>239</v>
      </c>
      <c r="J796" s="184" t="n">
        <v>40640</v>
      </c>
      <c r="K796" s="184" t="n">
        <v>15650</v>
      </c>
      <c r="L796" s="185" t="n">
        <v>12</v>
      </c>
      <c r="M796" s="173" t="n">
        <v>24990</v>
      </c>
      <c r="N796" s="184" t="n">
        <v>21991.2</v>
      </c>
      <c r="O796" s="184" t="s">
        <v>1973</v>
      </c>
      <c r="P796" s="187" t="n">
        <v>45933</v>
      </c>
      <c r="Q796" s="188" t="n">
        <v>0.60119212962963</v>
      </c>
    </row>
    <row r="797" customFormat="false" ht="35.05" hidden="false" customHeight="false" outlineLevel="0" collapsed="false">
      <c r="A797" s="181" t="s">
        <v>1974</v>
      </c>
      <c r="B797" s="182" t="n">
        <v>2019</v>
      </c>
      <c r="C797" s="183" t="s">
        <v>1885</v>
      </c>
      <c r="D797" s="181" t="s">
        <v>1686</v>
      </c>
      <c r="E797" s="181" t="s">
        <v>576</v>
      </c>
      <c r="F797" s="181" t="s">
        <v>577</v>
      </c>
      <c r="G797" s="181" t="s">
        <v>1900</v>
      </c>
      <c r="H797" s="181" t="s">
        <v>279</v>
      </c>
      <c r="I797" s="181" t="s">
        <v>239</v>
      </c>
      <c r="J797" s="184" t="n">
        <v>38770</v>
      </c>
      <c r="K797" s="184" t="n">
        <v>14580</v>
      </c>
      <c r="L797" s="185" t="n">
        <v>13</v>
      </c>
      <c r="M797" s="173" t="n">
        <v>24190</v>
      </c>
      <c r="N797" s="184" t="n">
        <v>21045.3</v>
      </c>
      <c r="O797" s="184" t="s">
        <v>1975</v>
      </c>
      <c r="P797" s="187" t="n">
        <v>45933</v>
      </c>
      <c r="Q797" s="188" t="n">
        <v>0.630914351851852</v>
      </c>
    </row>
    <row r="798" customFormat="false" ht="35.05" hidden="false" customHeight="false" outlineLevel="0" collapsed="false">
      <c r="A798" s="181" t="s">
        <v>1976</v>
      </c>
      <c r="B798" s="182" t="n">
        <v>2026</v>
      </c>
      <c r="C798" s="183" t="s">
        <v>1885</v>
      </c>
      <c r="D798" s="181" t="s">
        <v>1686</v>
      </c>
      <c r="E798" s="181" t="s">
        <v>282</v>
      </c>
      <c r="F798" s="181" t="s">
        <v>283</v>
      </c>
      <c r="G798" s="181" t="s">
        <v>1900</v>
      </c>
      <c r="H798" s="181" t="s">
        <v>279</v>
      </c>
      <c r="I798" s="181" t="s">
        <v>239</v>
      </c>
      <c r="J798" s="184" t="n">
        <v>39840</v>
      </c>
      <c r="K798" s="184" t="n">
        <v>15050</v>
      </c>
      <c r="L798" s="185" t="n">
        <v>10</v>
      </c>
      <c r="M798" s="173" t="n">
        <v>24790</v>
      </c>
      <c r="N798" s="184" t="n">
        <v>22311</v>
      </c>
      <c r="O798" s="184" t="s">
        <v>1977</v>
      </c>
      <c r="P798" s="187" t="n">
        <v>45933</v>
      </c>
      <c r="Q798" s="188" t="n">
        <v>0.691631944444444</v>
      </c>
    </row>
    <row r="799" customFormat="false" ht="35.05" hidden="false" customHeight="false" outlineLevel="0" collapsed="false">
      <c r="A799" s="181" t="s">
        <v>1978</v>
      </c>
      <c r="B799" s="182" t="n">
        <v>2027</v>
      </c>
      <c r="C799" s="183" t="s">
        <v>1885</v>
      </c>
      <c r="D799" s="181" t="s">
        <v>1686</v>
      </c>
      <c r="E799" s="181" t="s">
        <v>266</v>
      </c>
      <c r="F799" s="181" t="s">
        <v>267</v>
      </c>
      <c r="G799" s="181" t="s">
        <v>1900</v>
      </c>
      <c r="H799" s="181" t="s">
        <v>279</v>
      </c>
      <c r="I799" s="181" t="s">
        <v>239</v>
      </c>
      <c r="J799" s="184" t="n">
        <v>39140</v>
      </c>
      <c r="K799" s="184" t="n">
        <v>14870</v>
      </c>
      <c r="L799" s="185" t="n">
        <v>7</v>
      </c>
      <c r="M799" s="173" t="n">
        <v>24270</v>
      </c>
      <c r="N799" s="184" t="n">
        <v>22571.1</v>
      </c>
      <c r="O799" s="184" t="s">
        <v>1979</v>
      </c>
      <c r="P799" s="187" t="n">
        <v>45933</v>
      </c>
      <c r="Q799" s="188" t="n">
        <v>0.705983796296296</v>
      </c>
    </row>
    <row r="800" customFormat="false" ht="35.05" hidden="false" customHeight="false" outlineLevel="0" collapsed="false">
      <c r="A800" s="181" t="s">
        <v>1980</v>
      </c>
      <c r="B800" s="182" t="n">
        <v>2028</v>
      </c>
      <c r="C800" s="183" t="s">
        <v>1885</v>
      </c>
      <c r="D800" s="181" t="s">
        <v>1686</v>
      </c>
      <c r="E800" s="181" t="s">
        <v>300</v>
      </c>
      <c r="F800" s="181" t="s">
        <v>301</v>
      </c>
      <c r="G800" s="181" t="s">
        <v>1900</v>
      </c>
      <c r="H800" s="181" t="s">
        <v>279</v>
      </c>
      <c r="I800" s="181" t="s">
        <v>239</v>
      </c>
      <c r="J800" s="184" t="n">
        <v>54420</v>
      </c>
      <c r="K800" s="184" t="n">
        <v>20910</v>
      </c>
      <c r="L800" s="185" t="n">
        <v>8</v>
      </c>
      <c r="M800" s="173" t="n">
        <v>33510</v>
      </c>
      <c r="N800" s="184" t="n">
        <v>30829.2</v>
      </c>
      <c r="O800" s="184" t="s">
        <v>1981</v>
      </c>
      <c r="P800" s="187" t="n">
        <v>45933</v>
      </c>
      <c r="Q800" s="188" t="n">
        <v>0.755104166666667</v>
      </c>
    </row>
    <row r="801" customFormat="false" ht="35.05" hidden="false" customHeight="false" outlineLevel="0" collapsed="false">
      <c r="A801" s="181" t="s">
        <v>1982</v>
      </c>
      <c r="B801" s="182" t="n">
        <v>2036</v>
      </c>
      <c r="C801" s="183" t="s">
        <v>1885</v>
      </c>
      <c r="D801" s="181" t="s">
        <v>1686</v>
      </c>
      <c r="E801" s="181" t="s">
        <v>288</v>
      </c>
      <c r="F801" s="181" t="s">
        <v>289</v>
      </c>
      <c r="G801" s="181" t="s">
        <v>1900</v>
      </c>
      <c r="H801" s="181" t="s">
        <v>279</v>
      </c>
      <c r="I801" s="181" t="s">
        <v>239</v>
      </c>
      <c r="J801" s="184" t="n">
        <v>38250</v>
      </c>
      <c r="K801" s="184" t="n">
        <v>14760</v>
      </c>
      <c r="L801" s="185" t="n">
        <v>16</v>
      </c>
      <c r="M801" s="173" t="n">
        <v>23490</v>
      </c>
      <c r="N801" s="184" t="n">
        <v>19731.6</v>
      </c>
      <c r="O801" s="184" t="s">
        <v>1983</v>
      </c>
      <c r="P801" s="187" t="n">
        <v>45933</v>
      </c>
      <c r="Q801" s="188" t="n">
        <v>0.775428240740741</v>
      </c>
    </row>
    <row r="802" customFormat="false" ht="35.05" hidden="false" customHeight="false" outlineLevel="0" collapsed="false">
      <c r="A802" s="181" t="s">
        <v>1984</v>
      </c>
      <c r="B802" s="182" t="n">
        <v>2037</v>
      </c>
      <c r="C802" s="183" t="s">
        <v>1885</v>
      </c>
      <c r="D802" s="181" t="s">
        <v>1686</v>
      </c>
      <c r="E802" s="181" t="s">
        <v>292</v>
      </c>
      <c r="F802" s="181" t="s">
        <v>293</v>
      </c>
      <c r="G802" s="181" t="s">
        <v>1900</v>
      </c>
      <c r="H802" s="181" t="s">
        <v>279</v>
      </c>
      <c r="I802" s="181" t="s">
        <v>239</v>
      </c>
      <c r="J802" s="184" t="n">
        <v>37280</v>
      </c>
      <c r="K802" s="184" t="n">
        <v>13910</v>
      </c>
      <c r="L802" s="185" t="n">
        <v>9</v>
      </c>
      <c r="M802" s="173" t="n">
        <v>23370</v>
      </c>
      <c r="N802" s="184" t="n">
        <v>21266.7</v>
      </c>
      <c r="O802" s="184" t="s">
        <v>1985</v>
      </c>
      <c r="P802" s="187" t="n">
        <v>45933</v>
      </c>
      <c r="Q802" s="188" t="n">
        <v>0.801342592592593</v>
      </c>
    </row>
    <row r="803" customFormat="false" ht="35.05" hidden="false" customHeight="false" outlineLevel="0" collapsed="false">
      <c r="A803" s="181" t="s">
        <v>1986</v>
      </c>
      <c r="B803" s="182" t="n">
        <v>2039</v>
      </c>
      <c r="C803" s="183" t="s">
        <v>1885</v>
      </c>
      <c r="D803" s="181" t="s">
        <v>1686</v>
      </c>
      <c r="E803" s="181" t="s">
        <v>391</v>
      </c>
      <c r="F803" s="181" t="s">
        <v>392</v>
      </c>
      <c r="G803" s="181" t="s">
        <v>1900</v>
      </c>
      <c r="H803" s="181" t="s">
        <v>279</v>
      </c>
      <c r="I803" s="181" t="s">
        <v>239</v>
      </c>
      <c r="J803" s="184" t="n">
        <v>35150</v>
      </c>
      <c r="K803" s="184" t="n">
        <v>14490</v>
      </c>
      <c r="L803" s="185" t="n">
        <v>15</v>
      </c>
      <c r="M803" s="173" t="n">
        <v>20660</v>
      </c>
      <c r="N803" s="184" t="n">
        <v>17561</v>
      </c>
      <c r="O803" s="184" t="s">
        <v>1987</v>
      </c>
      <c r="P803" s="187" t="n">
        <v>45933</v>
      </c>
      <c r="Q803" s="188" t="n">
        <v>0.844502314814815</v>
      </c>
    </row>
    <row r="804" customFormat="false" ht="35.05" hidden="false" customHeight="false" outlineLevel="0" collapsed="false">
      <c r="A804" s="181" t="s">
        <v>1988</v>
      </c>
      <c r="B804" s="182" t="n">
        <v>2042</v>
      </c>
      <c r="C804" s="183" t="s">
        <v>1885</v>
      </c>
      <c r="D804" s="181" t="s">
        <v>1686</v>
      </c>
      <c r="E804" s="181" t="s">
        <v>340</v>
      </c>
      <c r="F804" s="181" t="s">
        <v>341</v>
      </c>
      <c r="G804" s="181" t="s">
        <v>1900</v>
      </c>
      <c r="H804" s="181" t="s">
        <v>279</v>
      </c>
      <c r="I804" s="181" t="s">
        <v>239</v>
      </c>
      <c r="J804" s="184" t="n">
        <v>40170</v>
      </c>
      <c r="K804" s="184" t="n">
        <v>15120</v>
      </c>
      <c r="L804" s="185" t="n">
        <v>13</v>
      </c>
      <c r="M804" s="173" t="n">
        <v>25050</v>
      </c>
      <c r="N804" s="184" t="n">
        <v>21793.5</v>
      </c>
      <c r="O804" s="184" t="s">
        <v>1989</v>
      </c>
      <c r="P804" s="187" t="n">
        <v>45933</v>
      </c>
      <c r="Q804" s="188" t="n">
        <v>0.881678240740741</v>
      </c>
    </row>
    <row r="805" customFormat="false" ht="35.05" hidden="false" customHeight="false" outlineLevel="0" collapsed="false">
      <c r="A805" s="181" t="s">
        <v>1990</v>
      </c>
      <c r="B805" s="182" t="n">
        <v>2043</v>
      </c>
      <c r="C805" s="183" t="s">
        <v>1885</v>
      </c>
      <c r="D805" s="181" t="s">
        <v>1686</v>
      </c>
      <c r="E805" s="181" t="s">
        <v>304</v>
      </c>
      <c r="F805" s="181" t="s">
        <v>305</v>
      </c>
      <c r="G805" s="181" t="s">
        <v>1900</v>
      </c>
      <c r="H805" s="181" t="s">
        <v>279</v>
      </c>
      <c r="I805" s="181" t="s">
        <v>239</v>
      </c>
      <c r="J805" s="184" t="n">
        <v>40950</v>
      </c>
      <c r="K805" s="184" t="n">
        <v>15020</v>
      </c>
      <c r="L805" s="185" t="n">
        <v>17</v>
      </c>
      <c r="M805" s="173" t="n">
        <v>25930</v>
      </c>
      <c r="N805" s="184" t="n">
        <v>21521.9</v>
      </c>
      <c r="O805" s="184" t="s">
        <v>1991</v>
      </c>
      <c r="P805" s="187" t="n">
        <v>45933</v>
      </c>
      <c r="Q805" s="188" t="n">
        <v>0.900659722222222</v>
      </c>
    </row>
    <row r="806" customFormat="false" ht="35.05" hidden="false" customHeight="false" outlineLevel="0" collapsed="false">
      <c r="A806" s="181" t="s">
        <v>1992</v>
      </c>
      <c r="B806" s="182" t="n">
        <v>2044</v>
      </c>
      <c r="C806" s="183" t="s">
        <v>1885</v>
      </c>
      <c r="D806" s="181" t="s">
        <v>1686</v>
      </c>
      <c r="E806" s="181" t="s">
        <v>308</v>
      </c>
      <c r="F806" s="181" t="s">
        <v>309</v>
      </c>
      <c r="G806" s="181" t="s">
        <v>1900</v>
      </c>
      <c r="H806" s="181" t="s">
        <v>279</v>
      </c>
      <c r="I806" s="181" t="s">
        <v>239</v>
      </c>
      <c r="J806" s="184" t="n">
        <v>64730</v>
      </c>
      <c r="K806" s="184" t="n">
        <v>24080</v>
      </c>
      <c r="L806" s="185" t="n">
        <v>12</v>
      </c>
      <c r="M806" s="173" t="n">
        <v>40650</v>
      </c>
      <c r="N806" s="184" t="n">
        <v>35772</v>
      </c>
      <c r="O806" s="184" t="s">
        <v>1993</v>
      </c>
      <c r="P806" s="187" t="n">
        <v>45933</v>
      </c>
      <c r="Q806" s="188" t="n">
        <v>0.946527777777778</v>
      </c>
    </row>
    <row r="807" customFormat="false" ht="35.05" hidden="false" customHeight="false" outlineLevel="0" collapsed="false">
      <c r="A807" s="181" t="s">
        <v>1994</v>
      </c>
      <c r="B807" s="182" t="n">
        <v>2030</v>
      </c>
      <c r="C807" s="183" t="s">
        <v>1885</v>
      </c>
      <c r="D807" s="181" t="s">
        <v>1686</v>
      </c>
      <c r="E807" s="181" t="s">
        <v>277</v>
      </c>
      <c r="F807" s="181" t="s">
        <v>278</v>
      </c>
      <c r="G807" s="181" t="s">
        <v>1900</v>
      </c>
      <c r="H807" s="181" t="s">
        <v>279</v>
      </c>
      <c r="I807" s="181" t="s">
        <v>239</v>
      </c>
      <c r="J807" s="184" t="n">
        <v>42320</v>
      </c>
      <c r="K807" s="184" t="n">
        <v>15130</v>
      </c>
      <c r="L807" s="185" t="n">
        <v>7</v>
      </c>
      <c r="M807" s="173" t="n">
        <v>27190</v>
      </c>
      <c r="N807" s="184" t="n">
        <v>25286.7</v>
      </c>
      <c r="O807" s="184" t="s">
        <v>1995</v>
      </c>
      <c r="P807" s="187" t="n">
        <v>45933</v>
      </c>
      <c r="Q807" s="188" t="n">
        <v>0.967581018518519</v>
      </c>
    </row>
    <row r="808" customFormat="false" ht="35.05" hidden="false" customHeight="false" outlineLevel="0" collapsed="false">
      <c r="A808" s="181" t="s">
        <v>1996</v>
      </c>
      <c r="B808" s="182" t="n">
        <v>2031</v>
      </c>
      <c r="C808" s="183" t="s">
        <v>1885</v>
      </c>
      <c r="D808" s="181" t="s">
        <v>1686</v>
      </c>
      <c r="E808" s="181" t="s">
        <v>582</v>
      </c>
      <c r="F808" s="181" t="s">
        <v>583</v>
      </c>
      <c r="G808" s="181" t="s">
        <v>1900</v>
      </c>
      <c r="H808" s="181" t="s">
        <v>279</v>
      </c>
      <c r="I808" s="181" t="s">
        <v>239</v>
      </c>
      <c r="J808" s="184" t="n">
        <v>40530</v>
      </c>
      <c r="K808" s="184" t="n">
        <v>14720</v>
      </c>
      <c r="L808" s="185" t="n">
        <v>10</v>
      </c>
      <c r="M808" s="173" t="n">
        <v>25810</v>
      </c>
      <c r="N808" s="184" t="n">
        <v>23229</v>
      </c>
      <c r="O808" s="184" t="s">
        <v>1997</v>
      </c>
      <c r="P808" s="187" t="n">
        <v>45933</v>
      </c>
      <c r="Q808" s="188" t="n">
        <v>0.969791666666667</v>
      </c>
    </row>
    <row r="809" customFormat="false" ht="35.05" hidden="false" customHeight="false" outlineLevel="0" collapsed="false">
      <c r="A809" s="181" t="s">
        <v>1998</v>
      </c>
      <c r="B809" s="182" t="n">
        <v>2032</v>
      </c>
      <c r="C809" s="183" t="s">
        <v>1885</v>
      </c>
      <c r="D809" s="181" t="s">
        <v>1686</v>
      </c>
      <c r="E809" s="181" t="s">
        <v>336</v>
      </c>
      <c r="F809" s="181" t="s">
        <v>337</v>
      </c>
      <c r="G809" s="181" t="s">
        <v>1900</v>
      </c>
      <c r="H809" s="181" t="s">
        <v>279</v>
      </c>
      <c r="I809" s="181" t="s">
        <v>239</v>
      </c>
      <c r="J809" s="184" t="n">
        <v>40010</v>
      </c>
      <c r="K809" s="184" t="n">
        <v>14520</v>
      </c>
      <c r="L809" s="185" t="n">
        <v>12</v>
      </c>
      <c r="M809" s="173" t="n">
        <v>25490</v>
      </c>
      <c r="N809" s="184" t="n">
        <v>22431.2</v>
      </c>
      <c r="O809" s="184" t="s">
        <v>1999</v>
      </c>
      <c r="P809" s="187" t="n">
        <v>45933</v>
      </c>
      <c r="Q809" s="188" t="n">
        <v>0.971597222222222</v>
      </c>
    </row>
    <row r="810" customFormat="false" ht="35.05" hidden="false" customHeight="false" outlineLevel="0" collapsed="false">
      <c r="A810" s="181" t="s">
        <v>2000</v>
      </c>
      <c r="B810" s="182" t="n">
        <v>2035</v>
      </c>
      <c r="C810" s="183" t="s">
        <v>1885</v>
      </c>
      <c r="D810" s="181" t="s">
        <v>1686</v>
      </c>
      <c r="E810" s="181" t="s">
        <v>346</v>
      </c>
      <c r="F810" s="181" t="s">
        <v>347</v>
      </c>
      <c r="G810" s="181" t="s">
        <v>1900</v>
      </c>
      <c r="H810" s="181" t="s">
        <v>279</v>
      </c>
      <c r="I810" s="181" t="s">
        <v>239</v>
      </c>
      <c r="J810" s="184" t="n">
        <v>40370</v>
      </c>
      <c r="K810" s="184" t="n">
        <v>15120</v>
      </c>
      <c r="L810" s="185" t="n">
        <v>14</v>
      </c>
      <c r="M810" s="173" t="n">
        <v>25250</v>
      </c>
      <c r="N810" s="184" t="n">
        <v>21715</v>
      </c>
      <c r="O810" s="184" t="s">
        <v>2001</v>
      </c>
      <c r="P810" s="187" t="n">
        <v>45933</v>
      </c>
      <c r="Q810" s="188" t="n">
        <v>0.981215277777778</v>
      </c>
    </row>
    <row r="811" customFormat="false" ht="35.05" hidden="false" customHeight="false" outlineLevel="0" collapsed="false">
      <c r="A811" s="181" t="s">
        <v>2002</v>
      </c>
      <c r="B811" s="182" t="n">
        <v>2045</v>
      </c>
      <c r="C811" s="183" t="n">
        <v>57732</v>
      </c>
      <c r="D811" s="181" t="s">
        <v>1686</v>
      </c>
      <c r="E811" s="181" t="s">
        <v>272</v>
      </c>
      <c r="F811" s="181" t="s">
        <v>273</v>
      </c>
      <c r="G811" s="181" t="s">
        <v>1900</v>
      </c>
      <c r="H811" s="181" t="s">
        <v>279</v>
      </c>
      <c r="I811" s="181" t="s">
        <v>239</v>
      </c>
      <c r="J811" s="184" t="n">
        <v>31590</v>
      </c>
      <c r="K811" s="184" t="n">
        <v>15570</v>
      </c>
      <c r="L811" s="185" t="n">
        <v>13</v>
      </c>
      <c r="M811" s="173" t="n">
        <v>16020</v>
      </c>
      <c r="N811" s="184" t="n">
        <v>13937.4</v>
      </c>
      <c r="O811" s="184" t="s">
        <v>2003</v>
      </c>
      <c r="P811" s="187" t="n">
        <v>45934</v>
      </c>
      <c r="Q811" s="188" t="n">
        <v>0.34287037037037</v>
      </c>
    </row>
    <row r="812" customFormat="false" ht="35.05" hidden="false" customHeight="false" outlineLevel="0" collapsed="false">
      <c r="A812" s="181" t="s">
        <v>2004</v>
      </c>
      <c r="B812" s="182" t="n">
        <v>2047</v>
      </c>
      <c r="C812" s="183" t="n">
        <v>1</v>
      </c>
      <c r="D812" s="181" t="s">
        <v>2005</v>
      </c>
      <c r="E812" s="181" t="s">
        <v>383</v>
      </c>
      <c r="F812" s="181" t="s">
        <v>384</v>
      </c>
      <c r="G812" s="181" t="s">
        <v>2006</v>
      </c>
      <c r="H812" s="181" t="s">
        <v>279</v>
      </c>
      <c r="I812" s="181" t="s">
        <v>240</v>
      </c>
      <c r="J812" s="184" t="n">
        <v>40570</v>
      </c>
      <c r="K812" s="184" t="n">
        <v>14980</v>
      </c>
      <c r="L812" s="185" t="n">
        <v>27</v>
      </c>
      <c r="M812" s="173" t="n">
        <v>25590</v>
      </c>
      <c r="N812" s="184" t="n">
        <v>18680.7</v>
      </c>
      <c r="O812" s="184" t="s">
        <v>2007</v>
      </c>
      <c r="P812" s="187" t="n">
        <v>45934</v>
      </c>
      <c r="Q812" s="188" t="n">
        <v>0.173136574074074</v>
      </c>
    </row>
    <row r="813" customFormat="false" ht="35.05" hidden="false" customHeight="false" outlineLevel="0" collapsed="false">
      <c r="A813" s="181" t="s">
        <v>2008</v>
      </c>
      <c r="B813" s="182" t="n">
        <v>2048</v>
      </c>
      <c r="C813" s="183" t="n">
        <v>2</v>
      </c>
      <c r="D813" s="181" t="s">
        <v>2005</v>
      </c>
      <c r="E813" s="181" t="s">
        <v>387</v>
      </c>
      <c r="F813" s="181" t="s">
        <v>388</v>
      </c>
      <c r="G813" s="181" t="s">
        <v>2006</v>
      </c>
      <c r="H813" s="181" t="s">
        <v>279</v>
      </c>
      <c r="I813" s="181" t="s">
        <v>240</v>
      </c>
      <c r="J813" s="184" t="n">
        <v>42870</v>
      </c>
      <c r="K813" s="184" t="n">
        <v>15190</v>
      </c>
      <c r="L813" s="185" t="n">
        <v>15</v>
      </c>
      <c r="M813" s="173" t="n">
        <v>27680</v>
      </c>
      <c r="N813" s="184" t="n">
        <v>23528</v>
      </c>
      <c r="O813" s="184" t="s">
        <v>2009</v>
      </c>
      <c r="P813" s="187" t="n">
        <v>45934</v>
      </c>
      <c r="Q813" s="188" t="n">
        <v>0.177326388888889</v>
      </c>
    </row>
    <row r="814" customFormat="false" ht="35.05" hidden="false" customHeight="false" outlineLevel="0" collapsed="false">
      <c r="A814" s="181" t="s">
        <v>2010</v>
      </c>
      <c r="B814" s="182" t="n">
        <v>2049</v>
      </c>
      <c r="C814" s="183" t="n">
        <v>3</v>
      </c>
      <c r="D814" s="181" t="s">
        <v>2005</v>
      </c>
      <c r="E814" s="181" t="s">
        <v>350</v>
      </c>
      <c r="F814" s="181" t="s">
        <v>351</v>
      </c>
      <c r="G814" s="181" t="s">
        <v>2006</v>
      </c>
      <c r="H814" s="181" t="s">
        <v>279</v>
      </c>
      <c r="I814" s="181" t="s">
        <v>240</v>
      </c>
      <c r="J814" s="184" t="n">
        <v>43320</v>
      </c>
      <c r="K814" s="184" t="n">
        <v>15070</v>
      </c>
      <c r="L814" s="185" t="n">
        <v>15</v>
      </c>
      <c r="M814" s="173" t="n">
        <v>28250</v>
      </c>
      <c r="N814" s="184" t="n">
        <v>24012.5</v>
      </c>
      <c r="O814" s="184" t="s">
        <v>2011</v>
      </c>
      <c r="P814" s="187" t="n">
        <v>45934</v>
      </c>
      <c r="Q814" s="188" t="n">
        <v>0.19244212962963</v>
      </c>
    </row>
    <row r="815" customFormat="false" ht="35.05" hidden="false" customHeight="false" outlineLevel="0" collapsed="false">
      <c r="A815" s="181" t="s">
        <v>2012</v>
      </c>
      <c r="B815" s="182" t="n">
        <v>2050</v>
      </c>
      <c r="C815" s="183" t="n">
        <v>4</v>
      </c>
      <c r="D815" s="181" t="s">
        <v>2005</v>
      </c>
      <c r="E815" s="181" t="s">
        <v>377</v>
      </c>
      <c r="F815" s="181" t="s">
        <v>378</v>
      </c>
      <c r="G815" s="181" t="s">
        <v>2006</v>
      </c>
      <c r="H815" s="181" t="s">
        <v>279</v>
      </c>
      <c r="I815" s="181" t="s">
        <v>240</v>
      </c>
      <c r="J815" s="184" t="n">
        <v>43110</v>
      </c>
      <c r="K815" s="184" t="n">
        <v>15750</v>
      </c>
      <c r="L815" s="185" t="n">
        <v>14</v>
      </c>
      <c r="M815" s="173" t="n">
        <v>27360</v>
      </c>
      <c r="N815" s="184" t="n">
        <v>23529.6</v>
      </c>
      <c r="O815" s="184" t="s">
        <v>2013</v>
      </c>
      <c r="P815" s="187" t="n">
        <v>45934</v>
      </c>
      <c r="Q815" s="188" t="n">
        <v>0.19556712962963</v>
      </c>
    </row>
    <row r="816" customFormat="false" ht="35.05" hidden="false" customHeight="false" outlineLevel="0" collapsed="false">
      <c r="A816" s="181" t="s">
        <v>2014</v>
      </c>
      <c r="B816" s="182" t="n">
        <v>2051</v>
      </c>
      <c r="C816" s="183" t="n">
        <v>5</v>
      </c>
      <c r="D816" s="181" t="s">
        <v>2005</v>
      </c>
      <c r="E816" s="181" t="s">
        <v>399</v>
      </c>
      <c r="F816" s="181" t="s">
        <v>400</v>
      </c>
      <c r="G816" s="181" t="s">
        <v>2006</v>
      </c>
      <c r="H816" s="181" t="s">
        <v>279</v>
      </c>
      <c r="I816" s="181" t="s">
        <v>240</v>
      </c>
      <c r="J816" s="184" t="n">
        <v>49980</v>
      </c>
      <c r="K816" s="184" t="n">
        <v>19530</v>
      </c>
      <c r="L816" s="185" t="n">
        <v>29</v>
      </c>
      <c r="M816" s="173" t="n">
        <v>30450</v>
      </c>
      <c r="N816" s="184" t="n">
        <v>21619.5</v>
      </c>
      <c r="O816" s="184" t="s">
        <v>2015</v>
      </c>
      <c r="P816" s="187" t="n">
        <v>45934</v>
      </c>
      <c r="Q816" s="188" t="n">
        <v>0.226064814814815</v>
      </c>
    </row>
    <row r="817" customFormat="false" ht="35.05" hidden="false" customHeight="false" outlineLevel="0" collapsed="false">
      <c r="A817" s="181" t="s">
        <v>2016</v>
      </c>
      <c r="B817" s="182" t="n">
        <v>2056</v>
      </c>
      <c r="C817" s="183" t="n">
        <v>6</v>
      </c>
      <c r="D817" s="181" t="s">
        <v>2005</v>
      </c>
      <c r="E817" s="181" t="s">
        <v>409</v>
      </c>
      <c r="F817" s="181" t="s">
        <v>410</v>
      </c>
      <c r="G817" s="181" t="s">
        <v>2006</v>
      </c>
      <c r="H817" s="181" t="s">
        <v>279</v>
      </c>
      <c r="I817" s="181" t="s">
        <v>240</v>
      </c>
      <c r="J817" s="184" t="n">
        <v>57850</v>
      </c>
      <c r="K817" s="184" t="n">
        <v>24260</v>
      </c>
      <c r="L817" s="185" t="n">
        <v>15</v>
      </c>
      <c r="M817" s="173" t="n">
        <v>33590</v>
      </c>
      <c r="N817" s="184" t="n">
        <v>28551.5</v>
      </c>
      <c r="O817" s="184" t="s">
        <v>2017</v>
      </c>
      <c r="P817" s="187" t="n">
        <v>45934</v>
      </c>
      <c r="Q817" s="188" t="n">
        <v>0.362546296296296</v>
      </c>
    </row>
    <row r="818" customFormat="false" ht="35.05" hidden="false" customHeight="false" outlineLevel="0" collapsed="false">
      <c r="A818" s="181" t="s">
        <v>2018</v>
      </c>
      <c r="B818" s="182" t="n">
        <v>2057</v>
      </c>
      <c r="C818" s="183" t="n">
        <v>7</v>
      </c>
      <c r="D818" s="181" t="s">
        <v>2005</v>
      </c>
      <c r="E818" s="181" t="s">
        <v>413</v>
      </c>
      <c r="F818" s="181" t="s">
        <v>414</v>
      </c>
      <c r="G818" s="181" t="s">
        <v>2006</v>
      </c>
      <c r="H818" s="181" t="s">
        <v>279</v>
      </c>
      <c r="I818" s="181" t="s">
        <v>240</v>
      </c>
      <c r="J818" s="184" t="n">
        <v>43910</v>
      </c>
      <c r="K818" s="184" t="n">
        <v>15720</v>
      </c>
      <c r="L818" s="185" t="n">
        <v>22</v>
      </c>
      <c r="M818" s="173" t="n">
        <v>28190</v>
      </c>
      <c r="N818" s="184" t="n">
        <v>21988.2</v>
      </c>
      <c r="O818" s="184" t="s">
        <v>2019</v>
      </c>
      <c r="P818" s="187" t="n">
        <v>45934</v>
      </c>
      <c r="Q818" s="188" t="n">
        <v>0.365208333333333</v>
      </c>
    </row>
    <row r="819" customFormat="false" ht="35.05" hidden="false" customHeight="false" outlineLevel="0" collapsed="false">
      <c r="A819" s="181" t="s">
        <v>2020</v>
      </c>
      <c r="B819" s="182" t="n">
        <v>2060</v>
      </c>
      <c r="C819" s="183" t="n">
        <v>8</v>
      </c>
      <c r="D819" s="181" t="s">
        <v>2005</v>
      </c>
      <c r="E819" s="181" t="s">
        <v>340</v>
      </c>
      <c r="F819" s="181" t="s">
        <v>341</v>
      </c>
      <c r="G819" s="181" t="s">
        <v>2006</v>
      </c>
      <c r="H819" s="181" t="s">
        <v>279</v>
      </c>
      <c r="I819" s="181" t="s">
        <v>240</v>
      </c>
      <c r="J819" s="184" t="n">
        <v>40440</v>
      </c>
      <c r="K819" s="184" t="n">
        <v>15020</v>
      </c>
      <c r="L819" s="185" t="n">
        <v>19</v>
      </c>
      <c r="M819" s="173" t="n">
        <v>25420</v>
      </c>
      <c r="N819" s="184" t="n">
        <v>20590.2</v>
      </c>
      <c r="O819" s="184" t="s">
        <v>2021</v>
      </c>
      <c r="P819" s="187" t="n">
        <v>45934</v>
      </c>
      <c r="Q819" s="188" t="n">
        <v>0.404479166666667</v>
      </c>
    </row>
    <row r="820" customFormat="false" ht="35.05" hidden="false" customHeight="false" outlineLevel="0" collapsed="false">
      <c r="A820" s="181" t="s">
        <v>2022</v>
      </c>
      <c r="B820" s="182" t="n">
        <v>2061</v>
      </c>
      <c r="C820" s="183" t="n">
        <v>9</v>
      </c>
      <c r="D820" s="181" t="s">
        <v>2005</v>
      </c>
      <c r="E820" s="181" t="s">
        <v>354</v>
      </c>
      <c r="F820" s="181" t="s">
        <v>355</v>
      </c>
      <c r="G820" s="181" t="s">
        <v>2006</v>
      </c>
      <c r="H820" s="181" t="s">
        <v>279</v>
      </c>
      <c r="I820" s="181" t="s">
        <v>240</v>
      </c>
      <c r="J820" s="184" t="n">
        <v>37380</v>
      </c>
      <c r="K820" s="184" t="n">
        <v>14800</v>
      </c>
      <c r="L820" s="185" t="n">
        <v>23</v>
      </c>
      <c r="M820" s="173" t="n">
        <v>22580</v>
      </c>
      <c r="N820" s="184" t="n">
        <v>17386.6</v>
      </c>
      <c r="O820" s="184" t="s">
        <v>2023</v>
      </c>
      <c r="P820" s="187" t="n">
        <v>45934</v>
      </c>
      <c r="Q820" s="188" t="n">
        <v>0.412002314814815</v>
      </c>
    </row>
    <row r="821" customFormat="false" ht="35.05" hidden="false" customHeight="false" outlineLevel="0" collapsed="false">
      <c r="A821" s="181" t="s">
        <v>2024</v>
      </c>
      <c r="B821" s="182" t="n">
        <v>2064</v>
      </c>
      <c r="C821" s="183" t="n">
        <v>2</v>
      </c>
      <c r="D821" s="181" t="s">
        <v>2005</v>
      </c>
      <c r="E821" s="181" t="s">
        <v>266</v>
      </c>
      <c r="F821" s="181" t="s">
        <v>267</v>
      </c>
      <c r="G821" s="181" t="s">
        <v>2006</v>
      </c>
      <c r="H821" s="181" t="s">
        <v>279</v>
      </c>
      <c r="I821" s="181" t="s">
        <v>240</v>
      </c>
      <c r="J821" s="184" t="n">
        <v>39350</v>
      </c>
      <c r="K821" s="184" t="n">
        <v>15010</v>
      </c>
      <c r="L821" s="185" t="n">
        <v>12</v>
      </c>
      <c r="M821" s="173" t="n">
        <v>24340</v>
      </c>
      <c r="N821" s="184" t="n">
        <v>21419.2</v>
      </c>
      <c r="O821" s="184" t="s">
        <v>2025</v>
      </c>
      <c r="P821" s="187" t="n">
        <v>45934</v>
      </c>
      <c r="Q821" s="188" t="n">
        <v>0.623923611111111</v>
      </c>
    </row>
    <row r="822" customFormat="false" ht="35.05" hidden="false" customHeight="false" outlineLevel="0" collapsed="false">
      <c r="A822" s="181" t="s">
        <v>2026</v>
      </c>
      <c r="B822" s="182" t="n">
        <v>2066</v>
      </c>
      <c r="C822" s="183" t="n">
        <v>1</v>
      </c>
      <c r="D822" s="181" t="s">
        <v>2005</v>
      </c>
      <c r="E822" s="181" t="s">
        <v>300</v>
      </c>
      <c r="F822" s="181" t="s">
        <v>301</v>
      </c>
      <c r="G822" s="181" t="s">
        <v>2006</v>
      </c>
      <c r="H822" s="181" t="s">
        <v>279</v>
      </c>
      <c r="I822" s="181" t="s">
        <v>240</v>
      </c>
      <c r="J822" s="184" t="n">
        <v>55700</v>
      </c>
      <c r="K822" s="184" t="n">
        <v>21000</v>
      </c>
      <c r="L822" s="185" t="n">
        <v>9</v>
      </c>
      <c r="M822" s="173" t="n">
        <v>34700</v>
      </c>
      <c r="N822" s="184" t="n">
        <v>31577</v>
      </c>
      <c r="O822" s="184" t="s">
        <v>2027</v>
      </c>
      <c r="P822" s="187" t="n">
        <v>45934</v>
      </c>
      <c r="Q822" s="188" t="n">
        <v>0.68650462962963</v>
      </c>
    </row>
    <row r="823" customFormat="false" ht="35.05" hidden="false" customHeight="false" outlineLevel="0" collapsed="false">
      <c r="A823" s="181" t="s">
        <v>2028</v>
      </c>
      <c r="B823" s="182" t="n">
        <v>2067</v>
      </c>
      <c r="C823" s="183" t="n">
        <v>3</v>
      </c>
      <c r="D823" s="181" t="s">
        <v>2005</v>
      </c>
      <c r="E823" s="181" t="s">
        <v>582</v>
      </c>
      <c r="F823" s="181" t="s">
        <v>583</v>
      </c>
      <c r="G823" s="181" t="s">
        <v>2006</v>
      </c>
      <c r="H823" s="181" t="s">
        <v>279</v>
      </c>
      <c r="I823" s="181" t="s">
        <v>240</v>
      </c>
      <c r="J823" s="184" t="n">
        <v>41050</v>
      </c>
      <c r="K823" s="184" t="n">
        <v>14940</v>
      </c>
      <c r="L823" s="185" t="n">
        <v>7</v>
      </c>
      <c r="M823" s="173" t="n">
        <v>26110</v>
      </c>
      <c r="N823" s="184" t="n">
        <v>24282.3</v>
      </c>
      <c r="O823" s="184" t="s">
        <v>2029</v>
      </c>
      <c r="P823" s="187" t="n">
        <v>45934</v>
      </c>
      <c r="Q823" s="188" t="n">
        <v>0.705497685185185</v>
      </c>
    </row>
    <row r="824" customFormat="false" ht="35.05" hidden="false" customHeight="false" outlineLevel="0" collapsed="false">
      <c r="A824" s="181" t="s">
        <v>2030</v>
      </c>
      <c r="B824" s="182" t="n">
        <v>2068</v>
      </c>
      <c r="C824" s="183" t="n">
        <v>4</v>
      </c>
      <c r="D824" s="181" t="s">
        <v>2005</v>
      </c>
      <c r="E824" s="181" t="s">
        <v>332</v>
      </c>
      <c r="F824" s="181" t="s">
        <v>333</v>
      </c>
      <c r="G824" s="181" t="s">
        <v>2006</v>
      </c>
      <c r="H824" s="181" t="s">
        <v>279</v>
      </c>
      <c r="I824" s="181" t="s">
        <v>240</v>
      </c>
      <c r="J824" s="184" t="n">
        <v>39460</v>
      </c>
      <c r="K824" s="184" t="n">
        <v>14810</v>
      </c>
      <c r="L824" s="185" t="n">
        <v>12</v>
      </c>
      <c r="M824" s="173" t="n">
        <v>24650</v>
      </c>
      <c r="N824" s="184" t="n">
        <v>21692</v>
      </c>
      <c r="O824" s="184" t="s">
        <v>2031</v>
      </c>
      <c r="P824" s="187" t="n">
        <v>45934</v>
      </c>
      <c r="Q824" s="188" t="n">
        <v>0.717696759259259</v>
      </c>
    </row>
    <row r="825" customFormat="false" ht="35.05" hidden="false" customHeight="false" outlineLevel="0" collapsed="false">
      <c r="A825" s="181" t="s">
        <v>2032</v>
      </c>
      <c r="B825" s="182" t="n">
        <v>2069</v>
      </c>
      <c r="C825" s="183" t="n">
        <v>8</v>
      </c>
      <c r="D825" s="181" t="s">
        <v>2005</v>
      </c>
      <c r="E825" s="181" t="s">
        <v>576</v>
      </c>
      <c r="F825" s="181" t="s">
        <v>577</v>
      </c>
      <c r="G825" s="181" t="s">
        <v>2006</v>
      </c>
      <c r="H825" s="181" t="s">
        <v>279</v>
      </c>
      <c r="I825" s="181" t="s">
        <v>240</v>
      </c>
      <c r="J825" s="184" t="n">
        <v>38800</v>
      </c>
      <c r="K825" s="184" t="n">
        <v>14550</v>
      </c>
      <c r="L825" s="185" t="n">
        <v>8</v>
      </c>
      <c r="M825" s="173" t="n">
        <v>24250</v>
      </c>
      <c r="N825" s="184" t="n">
        <v>22310</v>
      </c>
      <c r="O825" s="184" t="s">
        <v>2033</v>
      </c>
      <c r="P825" s="187" t="n">
        <v>45934</v>
      </c>
      <c r="Q825" s="188" t="n">
        <v>0.804976851851852</v>
      </c>
    </row>
    <row r="826" customFormat="false" ht="35.05" hidden="false" customHeight="false" outlineLevel="0" collapsed="false">
      <c r="A826" s="181" t="s">
        <v>2034</v>
      </c>
      <c r="B826" s="182" t="n">
        <v>2070</v>
      </c>
      <c r="C826" s="183" t="n">
        <v>9</v>
      </c>
      <c r="D826" s="181" t="s">
        <v>2005</v>
      </c>
      <c r="E826" s="181" t="s">
        <v>282</v>
      </c>
      <c r="F826" s="181" t="s">
        <v>283</v>
      </c>
      <c r="G826" s="181" t="s">
        <v>2006</v>
      </c>
      <c r="H826" s="181" t="s">
        <v>279</v>
      </c>
      <c r="I826" s="181" t="s">
        <v>240</v>
      </c>
      <c r="J826" s="184" t="n">
        <v>40960</v>
      </c>
      <c r="K826" s="184" t="n">
        <v>15130</v>
      </c>
      <c r="L826" s="185" t="n">
        <v>12</v>
      </c>
      <c r="M826" s="173" t="n">
        <v>25830</v>
      </c>
      <c r="N826" s="184" t="n">
        <v>22730.4</v>
      </c>
      <c r="O826" s="184" t="s">
        <v>2035</v>
      </c>
      <c r="P826" s="187" t="n">
        <v>45934</v>
      </c>
      <c r="Q826" s="188" t="n">
        <v>0.808391203703704</v>
      </c>
    </row>
    <row r="827" customFormat="false" ht="35.05" hidden="false" customHeight="false" outlineLevel="0" collapsed="false">
      <c r="A827" s="181" t="s">
        <v>2036</v>
      </c>
      <c r="B827" s="182" t="n">
        <v>2071</v>
      </c>
      <c r="C827" s="183" t="n">
        <v>5</v>
      </c>
      <c r="D827" s="181" t="s">
        <v>2005</v>
      </c>
      <c r="E827" s="181" t="s">
        <v>308</v>
      </c>
      <c r="F827" s="181" t="s">
        <v>309</v>
      </c>
      <c r="G827" s="181" t="s">
        <v>2006</v>
      </c>
      <c r="H827" s="181" t="s">
        <v>279</v>
      </c>
      <c r="I827" s="181" t="s">
        <v>240</v>
      </c>
      <c r="J827" s="184" t="n">
        <v>65020</v>
      </c>
      <c r="K827" s="184" t="n">
        <v>24160</v>
      </c>
      <c r="L827" s="185" t="n">
        <v>12</v>
      </c>
      <c r="M827" s="173" t="n">
        <v>40860</v>
      </c>
      <c r="N827" s="184" t="n">
        <v>35956.8</v>
      </c>
      <c r="O827" s="184" t="s">
        <v>2037</v>
      </c>
      <c r="P827" s="187" t="n">
        <v>45934</v>
      </c>
      <c r="Q827" s="188" t="n">
        <v>0.861712962962963</v>
      </c>
    </row>
    <row r="828" customFormat="false" ht="35.05" hidden="false" customHeight="false" outlineLevel="0" collapsed="false">
      <c r="A828" s="181" t="s">
        <v>2038</v>
      </c>
      <c r="B828" s="182" t="n">
        <v>2072</v>
      </c>
      <c r="C828" s="183" t="n">
        <v>6</v>
      </c>
      <c r="D828" s="181" t="s">
        <v>2005</v>
      </c>
      <c r="E828" s="181" t="s">
        <v>272</v>
      </c>
      <c r="F828" s="181" t="s">
        <v>273</v>
      </c>
      <c r="G828" s="181" t="s">
        <v>2006</v>
      </c>
      <c r="H828" s="181" t="s">
        <v>279</v>
      </c>
      <c r="I828" s="181" t="s">
        <v>240</v>
      </c>
      <c r="J828" s="184" t="n">
        <v>40330</v>
      </c>
      <c r="K828" s="184" t="n">
        <v>15700</v>
      </c>
      <c r="L828" s="185" t="n">
        <v>6</v>
      </c>
      <c r="M828" s="173" t="n">
        <v>24630</v>
      </c>
      <c r="N828" s="184" t="n">
        <v>23152.2</v>
      </c>
      <c r="O828" s="184" t="s">
        <v>2039</v>
      </c>
      <c r="P828" s="187" t="n">
        <v>45934</v>
      </c>
      <c r="Q828" s="188" t="n">
        <v>0.909224537037037</v>
      </c>
    </row>
    <row r="829" customFormat="false" ht="35.05" hidden="false" customHeight="false" outlineLevel="0" collapsed="false">
      <c r="A829" s="181" t="s">
        <v>2040</v>
      </c>
      <c r="B829" s="182" t="n">
        <v>2073</v>
      </c>
      <c r="C829" s="183" t="n">
        <v>7</v>
      </c>
      <c r="D829" s="181" t="s">
        <v>2005</v>
      </c>
      <c r="E829" s="181" t="s">
        <v>292</v>
      </c>
      <c r="F829" s="181" t="s">
        <v>293</v>
      </c>
      <c r="G829" s="181" t="s">
        <v>2006</v>
      </c>
      <c r="H829" s="181" t="s">
        <v>279</v>
      </c>
      <c r="I829" s="181" t="s">
        <v>240</v>
      </c>
      <c r="J829" s="184" t="n">
        <v>37300</v>
      </c>
      <c r="K829" s="184" t="n">
        <v>13890</v>
      </c>
      <c r="L829" s="185" t="n">
        <v>11</v>
      </c>
      <c r="M829" s="173" t="n">
        <v>23410</v>
      </c>
      <c r="N829" s="184" t="n">
        <v>20834.9</v>
      </c>
      <c r="O829" s="184" t="s">
        <v>2041</v>
      </c>
      <c r="P829" s="187" t="n">
        <v>45934</v>
      </c>
      <c r="Q829" s="188" t="n">
        <v>0.916122685185185</v>
      </c>
    </row>
    <row r="830" customFormat="false" ht="35.05" hidden="false" customHeight="false" outlineLevel="0" collapsed="false">
      <c r="A830" s="181" t="s">
        <v>2042</v>
      </c>
      <c r="B830" s="182" t="n">
        <v>2074</v>
      </c>
      <c r="C830" s="183" t="n">
        <v>13</v>
      </c>
      <c r="D830" s="181" t="s">
        <v>2005</v>
      </c>
      <c r="E830" s="181" t="s">
        <v>383</v>
      </c>
      <c r="F830" s="181" t="s">
        <v>384</v>
      </c>
      <c r="G830" s="181" t="s">
        <v>2006</v>
      </c>
      <c r="H830" s="181" t="s">
        <v>279</v>
      </c>
      <c r="I830" s="181" t="s">
        <v>240</v>
      </c>
      <c r="J830" s="184" t="n">
        <v>40380</v>
      </c>
      <c r="K830" s="184" t="n">
        <v>14890</v>
      </c>
      <c r="L830" s="185" t="n">
        <v>5</v>
      </c>
      <c r="M830" s="173" t="n">
        <v>25490</v>
      </c>
      <c r="N830" s="184" t="n">
        <v>24215.5</v>
      </c>
      <c r="O830" s="184" t="s">
        <v>2043</v>
      </c>
      <c r="P830" s="187" t="n">
        <v>45935</v>
      </c>
      <c r="Q830" s="188" t="n">
        <v>0.0247337962962963</v>
      </c>
    </row>
    <row r="831" customFormat="false" ht="35.05" hidden="false" customHeight="false" outlineLevel="0" collapsed="false">
      <c r="A831" s="181" t="s">
        <v>2044</v>
      </c>
      <c r="B831" s="182" t="n">
        <v>2075</v>
      </c>
      <c r="C831" s="183" t="n">
        <v>15</v>
      </c>
      <c r="D831" s="181" t="s">
        <v>2005</v>
      </c>
      <c r="E831" s="181" t="s">
        <v>387</v>
      </c>
      <c r="F831" s="181" t="s">
        <v>388</v>
      </c>
      <c r="G831" s="181" t="s">
        <v>2006</v>
      </c>
      <c r="H831" s="181" t="s">
        <v>279</v>
      </c>
      <c r="I831" s="181" t="s">
        <v>240</v>
      </c>
      <c r="J831" s="184" t="n">
        <v>43210</v>
      </c>
      <c r="K831" s="184" t="n">
        <v>15110</v>
      </c>
      <c r="L831" s="185" t="n">
        <v>18</v>
      </c>
      <c r="M831" s="173" t="n">
        <v>28100</v>
      </c>
      <c r="N831" s="184" t="n">
        <v>23042</v>
      </c>
      <c r="O831" s="184" t="s">
        <v>2045</v>
      </c>
      <c r="P831" s="187" t="n">
        <v>45935</v>
      </c>
      <c r="Q831" s="188" t="n">
        <v>0.0281712962962963</v>
      </c>
    </row>
    <row r="832" customFormat="false" ht="35.05" hidden="false" customHeight="false" outlineLevel="0" collapsed="false">
      <c r="A832" s="181" t="s">
        <v>2046</v>
      </c>
      <c r="B832" s="182" t="n">
        <v>2077</v>
      </c>
      <c r="C832" s="183" t="n">
        <v>10</v>
      </c>
      <c r="D832" s="181" t="s">
        <v>2005</v>
      </c>
      <c r="E832" s="181" t="s">
        <v>377</v>
      </c>
      <c r="F832" s="181" t="s">
        <v>378</v>
      </c>
      <c r="G832" s="181" t="s">
        <v>2006</v>
      </c>
      <c r="H832" s="181" t="s">
        <v>279</v>
      </c>
      <c r="I832" s="181" t="s">
        <v>240</v>
      </c>
      <c r="J832" s="184" t="n">
        <v>43730</v>
      </c>
      <c r="K832" s="184" t="n">
        <v>15760</v>
      </c>
      <c r="L832" s="185" t="n">
        <v>8</v>
      </c>
      <c r="M832" s="173" t="n">
        <v>27970</v>
      </c>
      <c r="N832" s="184" t="n">
        <v>25732.4</v>
      </c>
      <c r="O832" s="184" t="s">
        <v>2047</v>
      </c>
      <c r="P832" s="187" t="n">
        <v>45935</v>
      </c>
      <c r="Q832" s="188" t="n">
        <v>0.0921990740740741</v>
      </c>
    </row>
    <row r="833" customFormat="false" ht="35.05" hidden="false" customHeight="false" outlineLevel="0" collapsed="false">
      <c r="A833" s="181" t="s">
        <v>2048</v>
      </c>
      <c r="B833" s="182" t="n">
        <v>2078</v>
      </c>
      <c r="C833" s="183" t="n">
        <v>11</v>
      </c>
      <c r="D833" s="181" t="s">
        <v>2005</v>
      </c>
      <c r="E833" s="181" t="s">
        <v>277</v>
      </c>
      <c r="F833" s="181" t="s">
        <v>278</v>
      </c>
      <c r="G833" s="181" t="s">
        <v>2049</v>
      </c>
      <c r="H833" s="181" t="s">
        <v>279</v>
      </c>
      <c r="I833" s="181" t="s">
        <v>240</v>
      </c>
      <c r="J833" s="184" t="n">
        <v>42740</v>
      </c>
      <c r="K833" s="184" t="n">
        <v>15120</v>
      </c>
      <c r="L833" s="185" t="n">
        <v>16</v>
      </c>
      <c r="M833" s="173" t="n">
        <v>27620</v>
      </c>
      <c r="N833" s="184" t="n">
        <v>23200.8</v>
      </c>
      <c r="O833" s="184" t="s">
        <v>2050</v>
      </c>
      <c r="P833" s="187" t="n">
        <v>45935</v>
      </c>
      <c r="Q833" s="188" t="n">
        <v>0.0952893518518519</v>
      </c>
    </row>
    <row r="834" customFormat="false" ht="35.05" hidden="false" customHeight="false" outlineLevel="0" collapsed="false">
      <c r="A834" s="181" t="s">
        <v>2051</v>
      </c>
      <c r="B834" s="182" t="n">
        <v>2079</v>
      </c>
      <c r="C834" s="183" t="n">
        <v>12</v>
      </c>
      <c r="D834" s="181" t="s">
        <v>2005</v>
      </c>
      <c r="E834" s="181" t="s">
        <v>399</v>
      </c>
      <c r="F834" s="181" t="s">
        <v>400</v>
      </c>
      <c r="G834" s="181" t="s">
        <v>2049</v>
      </c>
      <c r="H834" s="181" t="s">
        <v>279</v>
      </c>
      <c r="I834" s="181" t="s">
        <v>240</v>
      </c>
      <c r="J834" s="184" t="n">
        <v>54350</v>
      </c>
      <c r="K834" s="184" t="n">
        <v>19420</v>
      </c>
      <c r="L834" s="185" t="n">
        <v>21</v>
      </c>
      <c r="M834" s="173" t="n">
        <v>34930</v>
      </c>
      <c r="N834" s="184" t="n">
        <v>27594.7</v>
      </c>
      <c r="O834" s="184" t="s">
        <v>2052</v>
      </c>
      <c r="P834" s="187" t="n">
        <v>45935</v>
      </c>
      <c r="Q834" s="188" t="n">
        <v>0.157962962962963</v>
      </c>
    </row>
    <row r="835" customFormat="false" ht="35.05" hidden="false" customHeight="false" outlineLevel="0" collapsed="false">
      <c r="A835" s="181" t="s">
        <v>2053</v>
      </c>
      <c r="B835" s="182" t="n">
        <v>2082</v>
      </c>
      <c r="C835" s="183" t="n">
        <v>18</v>
      </c>
      <c r="D835" s="181" t="s">
        <v>2005</v>
      </c>
      <c r="E835" s="181" t="s">
        <v>354</v>
      </c>
      <c r="F835" s="181" t="s">
        <v>355</v>
      </c>
      <c r="G835" s="181" t="s">
        <v>2049</v>
      </c>
      <c r="H835" s="181" t="s">
        <v>279</v>
      </c>
      <c r="I835" s="181" t="s">
        <v>240</v>
      </c>
      <c r="J835" s="184" t="n">
        <v>38520</v>
      </c>
      <c r="K835" s="184" t="n">
        <v>14740</v>
      </c>
      <c r="L835" s="185" t="n">
        <v>51</v>
      </c>
      <c r="M835" s="173" t="n">
        <v>23780</v>
      </c>
      <c r="N835" s="184" t="n">
        <v>11652.2</v>
      </c>
      <c r="O835" s="184" t="s">
        <v>2054</v>
      </c>
      <c r="P835" s="187" t="n">
        <v>45935</v>
      </c>
      <c r="Q835" s="188" t="n">
        <v>0.291701388888889</v>
      </c>
    </row>
    <row r="836" customFormat="false" ht="35.05" hidden="false" customHeight="false" outlineLevel="0" collapsed="false">
      <c r="A836" s="181" t="s">
        <v>2055</v>
      </c>
      <c r="B836" s="182" t="n">
        <v>2084</v>
      </c>
      <c r="C836" s="183" t="n">
        <v>17</v>
      </c>
      <c r="D836" s="181" t="s">
        <v>2005</v>
      </c>
      <c r="E836" s="181" t="s">
        <v>413</v>
      </c>
      <c r="F836" s="181" t="s">
        <v>414</v>
      </c>
      <c r="G836" s="181" t="s">
        <v>2049</v>
      </c>
      <c r="H836" s="181" t="s">
        <v>279</v>
      </c>
      <c r="I836" s="181" t="s">
        <v>240</v>
      </c>
      <c r="J836" s="184" t="n">
        <v>44230</v>
      </c>
      <c r="K836" s="184" t="n">
        <v>15680</v>
      </c>
      <c r="L836" s="185" t="n">
        <v>30</v>
      </c>
      <c r="M836" s="173" t="n">
        <v>28550</v>
      </c>
      <c r="N836" s="184" t="n">
        <v>19985</v>
      </c>
      <c r="O836" s="184" t="s">
        <v>2056</v>
      </c>
      <c r="P836" s="187" t="n">
        <v>45935</v>
      </c>
      <c r="Q836" s="188" t="n">
        <v>0.357002314814815</v>
      </c>
    </row>
    <row r="837" customFormat="false" ht="35.05" hidden="false" customHeight="false" outlineLevel="0" collapsed="false">
      <c r="A837" s="181" t="s">
        <v>2057</v>
      </c>
      <c r="B837" s="182" t="n">
        <v>2085</v>
      </c>
      <c r="C837" s="183" t="n">
        <v>16</v>
      </c>
      <c r="D837" s="181" t="s">
        <v>2005</v>
      </c>
      <c r="E837" s="181" t="s">
        <v>409</v>
      </c>
      <c r="F837" s="181" t="s">
        <v>410</v>
      </c>
      <c r="G837" s="181" t="s">
        <v>2049</v>
      </c>
      <c r="H837" s="181" t="s">
        <v>279</v>
      </c>
      <c r="I837" s="181" t="s">
        <v>240</v>
      </c>
      <c r="J837" s="184" t="n">
        <v>58110</v>
      </c>
      <c r="K837" s="184" t="n">
        <v>24240</v>
      </c>
      <c r="L837" s="185" t="n">
        <v>21</v>
      </c>
      <c r="M837" s="173" t="n">
        <v>33870</v>
      </c>
      <c r="N837" s="184" t="n">
        <v>26757.3</v>
      </c>
      <c r="O837" s="184" t="s">
        <v>2058</v>
      </c>
      <c r="P837" s="187" t="n">
        <v>45935</v>
      </c>
      <c r="Q837" s="188" t="n">
        <v>0.360462962962963</v>
      </c>
    </row>
    <row r="838" customFormat="false" ht="35.05" hidden="false" customHeight="false" outlineLevel="0" collapsed="false">
      <c r="A838" s="181" t="s">
        <v>2059</v>
      </c>
      <c r="B838" s="182" t="n">
        <v>2086</v>
      </c>
      <c r="C838" s="183" t="n">
        <v>19</v>
      </c>
      <c r="D838" s="181" t="s">
        <v>2005</v>
      </c>
      <c r="E838" s="181" t="s">
        <v>336</v>
      </c>
      <c r="F838" s="181" t="s">
        <v>337</v>
      </c>
      <c r="G838" s="181" t="s">
        <v>2049</v>
      </c>
      <c r="H838" s="181" t="s">
        <v>279</v>
      </c>
      <c r="I838" s="181" t="s">
        <v>240</v>
      </c>
      <c r="J838" s="184" t="n">
        <v>39990</v>
      </c>
      <c r="K838" s="184" t="n">
        <v>14650</v>
      </c>
      <c r="L838" s="185" t="n">
        <v>28</v>
      </c>
      <c r="M838" s="173" t="n">
        <v>25340</v>
      </c>
      <c r="N838" s="184" t="n">
        <v>18244.8</v>
      </c>
      <c r="O838" s="184" t="s">
        <v>2060</v>
      </c>
      <c r="P838" s="187" t="n">
        <v>45935</v>
      </c>
      <c r="Q838" s="188" t="n">
        <v>0.368888888888889</v>
      </c>
    </row>
    <row r="839" customFormat="false" ht="35.05" hidden="false" customHeight="false" outlineLevel="0" collapsed="false">
      <c r="A839" s="181" t="s">
        <v>2061</v>
      </c>
      <c r="B839" s="182" t="n">
        <v>2087</v>
      </c>
      <c r="C839" s="183" t="n">
        <v>20</v>
      </c>
      <c r="D839" s="181" t="s">
        <v>2005</v>
      </c>
      <c r="E839" s="181" t="s">
        <v>340</v>
      </c>
      <c r="F839" s="181" t="s">
        <v>341</v>
      </c>
      <c r="G839" s="181" t="s">
        <v>2049</v>
      </c>
      <c r="H839" s="181" t="s">
        <v>279</v>
      </c>
      <c r="I839" s="181" t="s">
        <v>240</v>
      </c>
      <c r="J839" s="184" t="n">
        <v>39750</v>
      </c>
      <c r="K839" s="184" t="n">
        <v>14980</v>
      </c>
      <c r="L839" s="185" t="n">
        <v>12</v>
      </c>
      <c r="M839" s="173" t="n">
        <v>24770</v>
      </c>
      <c r="N839" s="184" t="n">
        <v>21797.6</v>
      </c>
      <c r="O839" s="184" t="s">
        <v>2062</v>
      </c>
      <c r="P839" s="187" t="n">
        <v>45935</v>
      </c>
      <c r="Q839" s="188" t="n">
        <v>0.389236111111111</v>
      </c>
    </row>
    <row r="840" customFormat="false" ht="35.05" hidden="false" customHeight="false" outlineLevel="0" collapsed="false">
      <c r="A840" s="181" t="s">
        <v>2063</v>
      </c>
      <c r="B840" s="182" t="n">
        <v>2080</v>
      </c>
      <c r="C840" s="183" t="n">
        <v>14</v>
      </c>
      <c r="D840" s="181" t="s">
        <v>2005</v>
      </c>
      <c r="E840" s="181" t="s">
        <v>346</v>
      </c>
      <c r="F840" s="181" t="s">
        <v>347</v>
      </c>
      <c r="G840" s="181" t="s">
        <v>2049</v>
      </c>
      <c r="H840" s="181" t="s">
        <v>279</v>
      </c>
      <c r="I840" s="181" t="s">
        <v>240</v>
      </c>
      <c r="J840" s="184" t="n">
        <v>38630</v>
      </c>
      <c r="K840" s="184" t="n">
        <v>15240</v>
      </c>
      <c r="L840" s="185" t="n">
        <v>26</v>
      </c>
      <c r="M840" s="173" t="n">
        <v>23390</v>
      </c>
      <c r="N840" s="184" t="n">
        <v>17308.6</v>
      </c>
      <c r="O840" s="184" t="s">
        <v>2064</v>
      </c>
      <c r="P840" s="187" t="n">
        <v>45935</v>
      </c>
      <c r="Q840" s="188" t="n">
        <v>0.502002314814815</v>
      </c>
    </row>
    <row r="841" customFormat="false" ht="46.25" hidden="false" customHeight="false" outlineLevel="0" collapsed="false">
      <c r="A841" s="181" t="s">
        <v>2065</v>
      </c>
      <c r="B841" s="182" t="n">
        <v>2102</v>
      </c>
      <c r="C841" s="183" t="n">
        <v>7776</v>
      </c>
      <c r="D841" s="181" t="s">
        <v>2066</v>
      </c>
      <c r="E841" s="181" t="s">
        <v>533</v>
      </c>
      <c r="F841" s="181" t="s">
        <v>534</v>
      </c>
      <c r="G841" s="181" t="s">
        <v>2067</v>
      </c>
      <c r="H841" s="181" t="s">
        <v>279</v>
      </c>
      <c r="I841" s="181" t="s">
        <v>241</v>
      </c>
      <c r="J841" s="184" t="n">
        <v>40310</v>
      </c>
      <c r="K841" s="184" t="n">
        <v>14620</v>
      </c>
      <c r="L841" s="185" t="n">
        <v>11</v>
      </c>
      <c r="M841" s="181" t="n">
        <v>25690</v>
      </c>
      <c r="N841" s="182" t="n">
        <v>22864.1</v>
      </c>
      <c r="O841" s="183" t="s">
        <v>2068</v>
      </c>
      <c r="P841" s="181" t="n">
        <v>45935</v>
      </c>
      <c r="Q841" s="181" t="n">
        <v>0.848310185185185</v>
      </c>
    </row>
    <row r="842" customFormat="false" ht="35.05" hidden="false" customHeight="false" outlineLevel="0" collapsed="false">
      <c r="A842" s="181" t="s">
        <v>2069</v>
      </c>
      <c r="B842" s="182" t="n">
        <v>2092</v>
      </c>
      <c r="C842" s="183" t="n">
        <v>1</v>
      </c>
      <c r="D842" s="181" t="s">
        <v>2005</v>
      </c>
      <c r="E842" s="181" t="s">
        <v>288</v>
      </c>
      <c r="F842" s="181" t="s">
        <v>289</v>
      </c>
      <c r="G842" s="181" t="s">
        <v>2070</v>
      </c>
      <c r="H842" s="181" t="s">
        <v>2071</v>
      </c>
      <c r="I842" s="181" t="s">
        <v>240</v>
      </c>
      <c r="J842" s="184" t="n">
        <v>38960</v>
      </c>
      <c r="K842" s="184" t="n">
        <v>14640</v>
      </c>
      <c r="L842" s="185" t="n">
        <v>11</v>
      </c>
      <c r="M842" s="181" t="n">
        <v>24320</v>
      </c>
      <c r="N842" s="182" t="n">
        <v>21644.8</v>
      </c>
      <c r="O842" s="183" t="s">
        <v>2072</v>
      </c>
      <c r="P842" s="181" t="n">
        <v>45935</v>
      </c>
      <c r="Q842" s="181" t="n">
        <v>0.563761574074074</v>
      </c>
    </row>
    <row r="843" customFormat="false" ht="35.05" hidden="false" customHeight="false" outlineLevel="0" collapsed="false">
      <c r="A843" s="181" t="s">
        <v>2073</v>
      </c>
      <c r="B843" s="182" t="n">
        <v>2094</v>
      </c>
      <c r="C843" s="183" t="n">
        <v>8</v>
      </c>
      <c r="D843" s="181" t="s">
        <v>2005</v>
      </c>
      <c r="E843" s="181" t="s">
        <v>582</v>
      </c>
      <c r="F843" s="181" t="s">
        <v>583</v>
      </c>
      <c r="G843" s="181" t="s">
        <v>2070</v>
      </c>
      <c r="H843" s="181" t="s">
        <v>2071</v>
      </c>
      <c r="I843" s="181" t="s">
        <v>240</v>
      </c>
      <c r="J843" s="184" t="n">
        <v>40580</v>
      </c>
      <c r="K843" s="184" t="n">
        <v>14900</v>
      </c>
      <c r="L843" s="185" t="n">
        <v>11</v>
      </c>
      <c r="M843" s="181" t="n">
        <v>25680</v>
      </c>
      <c r="N843" s="182" t="n">
        <v>22855.2</v>
      </c>
      <c r="O843" s="183" t="s">
        <v>2074</v>
      </c>
      <c r="P843" s="181" t="n">
        <v>45935</v>
      </c>
      <c r="Q843" s="181" t="n">
        <v>0.609780092592593</v>
      </c>
    </row>
    <row r="844" customFormat="false" ht="35.05" hidden="false" customHeight="false" outlineLevel="0" collapsed="false">
      <c r="A844" s="181" t="s">
        <v>2075</v>
      </c>
      <c r="B844" s="182" t="n">
        <v>2095</v>
      </c>
      <c r="C844" s="183" t="n">
        <v>9</v>
      </c>
      <c r="D844" s="181" t="s">
        <v>2005</v>
      </c>
      <c r="E844" s="181" t="s">
        <v>300</v>
      </c>
      <c r="F844" s="181" t="s">
        <v>301</v>
      </c>
      <c r="G844" s="181" t="s">
        <v>2070</v>
      </c>
      <c r="H844" s="181" t="s">
        <v>2071</v>
      </c>
      <c r="I844" s="181" t="s">
        <v>240</v>
      </c>
      <c r="J844" s="184" t="n">
        <v>63510</v>
      </c>
      <c r="K844" s="184" t="n">
        <v>21300</v>
      </c>
      <c r="L844" s="185" t="n">
        <v>10</v>
      </c>
      <c r="M844" s="181" t="n">
        <v>42210</v>
      </c>
      <c r="N844" s="182" t="n">
        <v>37989</v>
      </c>
      <c r="O844" s="183" t="s">
        <v>2076</v>
      </c>
      <c r="P844" s="181" t="n">
        <v>45935</v>
      </c>
      <c r="Q844" s="181" t="n">
        <v>0.667534722222222</v>
      </c>
    </row>
    <row r="845" customFormat="false" ht="35.05" hidden="false" customHeight="false" outlineLevel="0" collapsed="false">
      <c r="A845" s="181" t="s">
        <v>2077</v>
      </c>
      <c r="B845" s="182" t="n">
        <v>2096</v>
      </c>
      <c r="C845" s="183" t="n">
        <v>2</v>
      </c>
      <c r="D845" s="181" t="s">
        <v>2005</v>
      </c>
      <c r="E845" s="181" t="s">
        <v>332</v>
      </c>
      <c r="F845" s="181" t="s">
        <v>333</v>
      </c>
      <c r="G845" s="181" t="s">
        <v>2070</v>
      </c>
      <c r="H845" s="181" t="s">
        <v>2071</v>
      </c>
      <c r="I845" s="181" t="s">
        <v>240</v>
      </c>
      <c r="J845" s="184" t="n">
        <v>39540</v>
      </c>
      <c r="K845" s="184" t="n">
        <v>14900</v>
      </c>
      <c r="L845" s="185" t="n">
        <v>18</v>
      </c>
      <c r="M845" s="181" t="n">
        <v>24640</v>
      </c>
      <c r="N845" s="182" t="n">
        <v>20204.8</v>
      </c>
      <c r="O845" s="183" t="s">
        <v>2078</v>
      </c>
      <c r="P845" s="181" t="n">
        <v>45935</v>
      </c>
      <c r="Q845" s="181" t="n">
        <v>0.698125</v>
      </c>
    </row>
    <row r="846" customFormat="false" ht="35.05" hidden="false" customHeight="false" outlineLevel="0" collapsed="false">
      <c r="A846" s="181" t="s">
        <v>2079</v>
      </c>
      <c r="B846" s="182" t="n">
        <v>2097</v>
      </c>
      <c r="C846" s="183" t="n">
        <v>3</v>
      </c>
      <c r="D846" s="181" t="s">
        <v>2005</v>
      </c>
      <c r="E846" s="181" t="s">
        <v>304</v>
      </c>
      <c r="F846" s="181" t="s">
        <v>305</v>
      </c>
      <c r="G846" s="181" t="s">
        <v>2070</v>
      </c>
      <c r="H846" s="181" t="s">
        <v>2071</v>
      </c>
      <c r="I846" s="181" t="s">
        <v>240</v>
      </c>
      <c r="J846" s="184" t="n">
        <v>41540</v>
      </c>
      <c r="K846" s="184" t="n">
        <v>15150</v>
      </c>
      <c r="L846" s="185" t="n">
        <v>7</v>
      </c>
      <c r="M846" s="181" t="n">
        <v>26390</v>
      </c>
      <c r="N846" s="182" t="n">
        <v>24542.7</v>
      </c>
      <c r="O846" s="183" t="s">
        <v>2080</v>
      </c>
      <c r="P846" s="181" t="n">
        <v>45935</v>
      </c>
      <c r="Q846" s="181" t="n">
        <v>0.781111111111111</v>
      </c>
    </row>
    <row r="847" customFormat="false" ht="35.05" hidden="false" customHeight="false" outlineLevel="0" collapsed="false">
      <c r="A847" s="181" t="s">
        <v>2081</v>
      </c>
      <c r="B847" s="182" t="n">
        <v>2098</v>
      </c>
      <c r="C847" s="183" t="n">
        <v>4</v>
      </c>
      <c r="D847" s="181" t="s">
        <v>2005</v>
      </c>
      <c r="E847" s="181" t="s">
        <v>377</v>
      </c>
      <c r="F847" s="181" t="s">
        <v>378</v>
      </c>
      <c r="G847" s="181" t="s">
        <v>2070</v>
      </c>
      <c r="H847" s="181" t="s">
        <v>2071</v>
      </c>
      <c r="I847" s="181" t="s">
        <v>240</v>
      </c>
      <c r="J847" s="184" t="n">
        <v>42660</v>
      </c>
      <c r="K847" s="184" t="n">
        <v>15800</v>
      </c>
      <c r="L847" s="185" t="n">
        <v>13</v>
      </c>
      <c r="M847" s="181" t="n">
        <v>26860</v>
      </c>
      <c r="N847" s="182" t="n">
        <v>23368.2</v>
      </c>
      <c r="O847" s="183" t="s">
        <v>2082</v>
      </c>
      <c r="P847" s="181" t="n">
        <v>45935</v>
      </c>
      <c r="Q847" s="181" t="n">
        <v>0.785821759259259</v>
      </c>
    </row>
    <row r="848" customFormat="false" ht="35.05" hidden="false" customHeight="false" outlineLevel="0" collapsed="false">
      <c r="A848" s="181" t="s">
        <v>2083</v>
      </c>
      <c r="B848" s="182" t="n">
        <v>2099</v>
      </c>
      <c r="C848" s="183" t="n">
        <v>7</v>
      </c>
      <c r="D848" s="181" t="s">
        <v>2005</v>
      </c>
      <c r="E848" s="181" t="s">
        <v>266</v>
      </c>
      <c r="F848" s="181" t="s">
        <v>267</v>
      </c>
      <c r="G848" s="181" t="s">
        <v>2070</v>
      </c>
      <c r="H848" s="181" t="s">
        <v>2071</v>
      </c>
      <c r="I848" s="181" t="s">
        <v>240</v>
      </c>
      <c r="J848" s="184" t="n">
        <v>39450</v>
      </c>
      <c r="K848" s="184" t="n">
        <v>15010</v>
      </c>
      <c r="L848" s="185" t="n">
        <v>16</v>
      </c>
      <c r="M848" s="173" t="n">
        <v>24440</v>
      </c>
      <c r="N848" s="184" t="n">
        <v>20529.6</v>
      </c>
      <c r="O848" s="184" t="s">
        <v>2084</v>
      </c>
      <c r="P848" s="187" t="n">
        <v>45935</v>
      </c>
      <c r="Q848" s="188" t="n">
        <v>0.808449074074074</v>
      </c>
    </row>
    <row r="849" customFormat="false" ht="35.05" hidden="false" customHeight="false" outlineLevel="0" collapsed="false">
      <c r="A849" s="181" t="s">
        <v>2085</v>
      </c>
      <c r="B849" s="182" t="n">
        <v>2100</v>
      </c>
      <c r="C849" s="183" t="n">
        <v>5</v>
      </c>
      <c r="D849" s="181" t="s">
        <v>2005</v>
      </c>
      <c r="E849" s="181" t="s">
        <v>383</v>
      </c>
      <c r="F849" s="181" t="s">
        <v>384</v>
      </c>
      <c r="G849" s="181" t="s">
        <v>2070</v>
      </c>
      <c r="H849" s="181" t="s">
        <v>2071</v>
      </c>
      <c r="I849" s="181" t="s">
        <v>240</v>
      </c>
      <c r="J849" s="184" t="n">
        <v>40810</v>
      </c>
      <c r="K849" s="184" t="n">
        <v>15010</v>
      </c>
      <c r="L849" s="185" t="n">
        <v>8</v>
      </c>
      <c r="M849" s="173" t="n">
        <v>25800</v>
      </c>
      <c r="N849" s="184" t="n">
        <v>23736</v>
      </c>
      <c r="O849" s="184" t="s">
        <v>2086</v>
      </c>
      <c r="P849" s="187" t="n">
        <v>45935</v>
      </c>
      <c r="Q849" s="188" t="n">
        <v>0.84150462962963</v>
      </c>
    </row>
    <row r="850" customFormat="false" ht="35.05" hidden="false" customHeight="false" outlineLevel="0" collapsed="false">
      <c r="A850" s="181" t="s">
        <v>2087</v>
      </c>
      <c r="B850" s="182" t="n">
        <v>2101</v>
      </c>
      <c r="C850" s="183" t="n">
        <v>6</v>
      </c>
      <c r="D850" s="181" t="s">
        <v>2005</v>
      </c>
      <c r="E850" s="181" t="s">
        <v>387</v>
      </c>
      <c r="F850" s="181" t="s">
        <v>388</v>
      </c>
      <c r="G850" s="181" t="s">
        <v>2070</v>
      </c>
      <c r="H850" s="181" t="s">
        <v>2071</v>
      </c>
      <c r="I850" s="181" t="s">
        <v>240</v>
      </c>
      <c r="J850" s="184" t="n">
        <v>42010</v>
      </c>
      <c r="K850" s="184" t="n">
        <v>15260</v>
      </c>
      <c r="L850" s="185" t="n">
        <v>8</v>
      </c>
      <c r="M850" s="173" t="n">
        <v>26750</v>
      </c>
      <c r="N850" s="184" t="n">
        <v>24610</v>
      </c>
      <c r="O850" s="184" t="s">
        <v>2088</v>
      </c>
      <c r="P850" s="187" t="n">
        <v>45935</v>
      </c>
      <c r="Q850" s="188" t="n">
        <v>0.84494212962963</v>
      </c>
    </row>
    <row r="851" customFormat="false" ht="35.05" hidden="false" customHeight="false" outlineLevel="0" collapsed="false">
      <c r="A851" s="181" t="s">
        <v>2089</v>
      </c>
      <c r="B851" s="182" t="n">
        <v>2104</v>
      </c>
      <c r="C851" s="183" t="n">
        <v>10</v>
      </c>
      <c r="D851" s="181" t="s">
        <v>2005</v>
      </c>
      <c r="E851" s="181" t="s">
        <v>308</v>
      </c>
      <c r="F851" s="181" t="s">
        <v>309</v>
      </c>
      <c r="G851" s="181" t="s">
        <v>2070</v>
      </c>
      <c r="H851" s="181" t="s">
        <v>2071</v>
      </c>
      <c r="I851" s="181" t="s">
        <v>240</v>
      </c>
      <c r="J851" s="184" t="n">
        <v>65350</v>
      </c>
      <c r="K851" s="184" t="n">
        <v>24070</v>
      </c>
      <c r="L851" s="185" t="n">
        <v>8</v>
      </c>
      <c r="M851" s="173" t="n">
        <v>41280</v>
      </c>
      <c r="N851" s="184" t="n">
        <v>37977.6</v>
      </c>
      <c r="O851" s="184" t="s">
        <v>2090</v>
      </c>
      <c r="P851" s="187" t="n">
        <v>45935</v>
      </c>
      <c r="Q851" s="188" t="n">
        <v>0.919513888888889</v>
      </c>
    </row>
    <row r="852" customFormat="false" ht="35.05" hidden="false" customHeight="false" outlineLevel="0" collapsed="false">
      <c r="A852" s="181" t="s">
        <v>2091</v>
      </c>
      <c r="B852" s="182" t="n">
        <v>2105</v>
      </c>
      <c r="C852" s="183" t="n">
        <v>11</v>
      </c>
      <c r="D852" s="181" t="s">
        <v>2005</v>
      </c>
      <c r="E852" s="181" t="s">
        <v>277</v>
      </c>
      <c r="F852" s="181" t="s">
        <v>278</v>
      </c>
      <c r="G852" s="181" t="s">
        <v>2070</v>
      </c>
      <c r="H852" s="181" t="s">
        <v>2071</v>
      </c>
      <c r="I852" s="181" t="s">
        <v>240</v>
      </c>
      <c r="J852" s="184" t="n">
        <v>42790</v>
      </c>
      <c r="K852" s="184" t="n">
        <v>15190</v>
      </c>
      <c r="L852" s="185" t="n">
        <v>9</v>
      </c>
      <c r="M852" s="173" t="n">
        <v>27600</v>
      </c>
      <c r="N852" s="184" t="n">
        <v>25116</v>
      </c>
      <c r="O852" s="184" t="s">
        <v>2092</v>
      </c>
      <c r="P852" s="187" t="n">
        <v>45935</v>
      </c>
      <c r="Q852" s="188" t="n">
        <v>0.975335648148148</v>
      </c>
    </row>
    <row r="853" customFormat="false" ht="35.05" hidden="false" customHeight="false" outlineLevel="0" collapsed="false">
      <c r="A853" s="181" t="s">
        <v>2093</v>
      </c>
      <c r="B853" s="182" t="n">
        <v>2107</v>
      </c>
      <c r="C853" s="183" t="n">
        <v>12</v>
      </c>
      <c r="D853" s="181" t="s">
        <v>2005</v>
      </c>
      <c r="E853" s="181" t="s">
        <v>346</v>
      </c>
      <c r="F853" s="181" t="s">
        <v>347</v>
      </c>
      <c r="G853" s="181" t="s">
        <v>2070</v>
      </c>
      <c r="H853" s="181" t="s">
        <v>2071</v>
      </c>
      <c r="I853" s="181" t="s">
        <v>240</v>
      </c>
      <c r="J853" s="184" t="n">
        <v>40000</v>
      </c>
      <c r="K853" s="184" t="n">
        <v>15290</v>
      </c>
      <c r="L853" s="185" t="n">
        <v>22</v>
      </c>
      <c r="M853" s="173" t="n">
        <v>24710</v>
      </c>
      <c r="N853" s="184" t="n">
        <v>19273.8</v>
      </c>
      <c r="O853" s="184" t="s">
        <v>2094</v>
      </c>
      <c r="P853" s="187" t="n">
        <v>45936</v>
      </c>
      <c r="Q853" s="188" t="n">
        <v>0.483993055555556</v>
      </c>
    </row>
    <row r="854" customFormat="false" ht="35.05" hidden="false" customHeight="false" outlineLevel="0" collapsed="false">
      <c r="A854" s="181" t="s">
        <v>2095</v>
      </c>
      <c r="B854" s="182" t="n">
        <v>2108</v>
      </c>
      <c r="C854" s="183" t="n">
        <v>13</v>
      </c>
      <c r="D854" s="181" t="s">
        <v>2005</v>
      </c>
      <c r="E854" s="181" t="s">
        <v>399</v>
      </c>
      <c r="F854" s="181" t="s">
        <v>400</v>
      </c>
      <c r="G854" s="181" t="s">
        <v>2070</v>
      </c>
      <c r="H854" s="181" t="s">
        <v>2071</v>
      </c>
      <c r="I854" s="181" t="s">
        <v>240</v>
      </c>
      <c r="J854" s="184" t="n">
        <v>53310</v>
      </c>
      <c r="K854" s="184" t="n">
        <v>19420</v>
      </c>
      <c r="L854" s="185" t="n">
        <v>7</v>
      </c>
      <c r="M854" s="173" t="n">
        <v>33890</v>
      </c>
      <c r="N854" s="184" t="n">
        <v>31517.7</v>
      </c>
      <c r="O854" s="184" t="s">
        <v>2096</v>
      </c>
      <c r="P854" s="187" t="n">
        <v>45936</v>
      </c>
      <c r="Q854" s="188" t="n">
        <v>0.560439814814815</v>
      </c>
    </row>
    <row r="855" customFormat="false" ht="35.05" hidden="false" customHeight="false" outlineLevel="0" collapsed="false">
      <c r="A855" s="181" t="s">
        <v>2097</v>
      </c>
      <c r="B855" s="182" t="n">
        <v>2109</v>
      </c>
      <c r="C855" s="183" t="n">
        <v>14</v>
      </c>
      <c r="D855" s="181" t="s">
        <v>2005</v>
      </c>
      <c r="E855" s="181" t="s">
        <v>409</v>
      </c>
      <c r="F855" s="181" t="s">
        <v>410</v>
      </c>
      <c r="G855" s="181" t="s">
        <v>2070</v>
      </c>
      <c r="H855" s="181" t="s">
        <v>2071</v>
      </c>
      <c r="I855" s="181" t="s">
        <v>240</v>
      </c>
      <c r="J855" s="184" t="n">
        <v>57980</v>
      </c>
      <c r="K855" s="184" t="n">
        <v>24220</v>
      </c>
      <c r="L855" s="185" t="n">
        <v>12</v>
      </c>
      <c r="M855" s="173" t="n">
        <v>33760</v>
      </c>
      <c r="N855" s="184" t="n">
        <v>29708.8</v>
      </c>
      <c r="O855" s="184" t="s">
        <v>2098</v>
      </c>
      <c r="P855" s="187" t="n">
        <v>45936</v>
      </c>
      <c r="Q855" s="188" t="n">
        <v>0.604699074074074</v>
      </c>
    </row>
    <row r="856" customFormat="false" ht="35.05" hidden="false" customHeight="false" outlineLevel="0" collapsed="false">
      <c r="A856" s="181" t="s">
        <v>2099</v>
      </c>
      <c r="B856" s="182" t="n">
        <v>2110</v>
      </c>
      <c r="C856" s="183" t="n">
        <v>15</v>
      </c>
      <c r="D856" s="181" t="s">
        <v>2005</v>
      </c>
      <c r="E856" s="181" t="s">
        <v>413</v>
      </c>
      <c r="F856" s="181" t="s">
        <v>414</v>
      </c>
      <c r="G856" s="181" t="s">
        <v>2070</v>
      </c>
      <c r="H856" s="181" t="s">
        <v>2071</v>
      </c>
      <c r="I856" s="181" t="s">
        <v>240</v>
      </c>
      <c r="J856" s="184" t="n">
        <v>44690</v>
      </c>
      <c r="K856" s="184" t="n">
        <v>15670</v>
      </c>
      <c r="L856" s="185" t="n">
        <v>11</v>
      </c>
      <c r="M856" s="173" t="n">
        <v>29020</v>
      </c>
      <c r="N856" s="184" t="n">
        <v>25827.8</v>
      </c>
      <c r="O856" s="184" t="s">
        <v>2100</v>
      </c>
      <c r="P856" s="187" t="n">
        <v>45936</v>
      </c>
      <c r="Q856" s="188" t="n">
        <v>0.619386574074074</v>
      </c>
    </row>
    <row r="857" customFormat="false" ht="35.05" hidden="false" customHeight="false" outlineLevel="0" collapsed="false">
      <c r="A857" s="181" t="s">
        <v>2101</v>
      </c>
      <c r="B857" s="182" t="n">
        <v>2111</v>
      </c>
      <c r="C857" s="183" t="n">
        <v>16</v>
      </c>
      <c r="D857" s="181" t="s">
        <v>2005</v>
      </c>
      <c r="E857" s="181" t="s">
        <v>354</v>
      </c>
      <c r="F857" s="181" t="s">
        <v>355</v>
      </c>
      <c r="G857" s="181" t="s">
        <v>2070</v>
      </c>
      <c r="H857" s="181" t="s">
        <v>2071</v>
      </c>
      <c r="I857" s="181" t="s">
        <v>240</v>
      </c>
      <c r="J857" s="184" t="n">
        <v>39120</v>
      </c>
      <c r="K857" s="184" t="n">
        <v>14710</v>
      </c>
      <c r="L857" s="185" t="n">
        <v>12</v>
      </c>
      <c r="M857" s="173" t="n">
        <v>24410</v>
      </c>
      <c r="N857" s="184" t="n">
        <v>21480.8</v>
      </c>
      <c r="O857" s="184" t="s">
        <v>2102</v>
      </c>
      <c r="P857" s="187" t="n">
        <v>45936</v>
      </c>
      <c r="Q857" s="188" t="n">
        <v>0.664768518518519</v>
      </c>
    </row>
    <row r="858" customFormat="false" ht="46.25" hidden="false" customHeight="false" outlineLevel="0" collapsed="false">
      <c r="A858" s="181" t="s">
        <v>2103</v>
      </c>
      <c r="B858" s="182" t="n">
        <v>2133</v>
      </c>
      <c r="C858" s="183" t="n">
        <v>7812</v>
      </c>
      <c r="D858" s="181" t="s">
        <v>2066</v>
      </c>
      <c r="E858" s="181" t="s">
        <v>545</v>
      </c>
      <c r="F858" s="181" t="s">
        <v>546</v>
      </c>
      <c r="G858" s="181" t="s">
        <v>2067</v>
      </c>
      <c r="H858" s="181" t="s">
        <v>279</v>
      </c>
      <c r="I858" s="181" t="s">
        <v>241</v>
      </c>
      <c r="J858" s="184" t="n">
        <v>42180</v>
      </c>
      <c r="K858" s="184" t="n">
        <v>16120</v>
      </c>
      <c r="L858" s="185" t="n">
        <v>5</v>
      </c>
      <c r="M858" s="173" t="n">
        <v>26060</v>
      </c>
      <c r="N858" s="184" t="n">
        <v>24757</v>
      </c>
      <c r="O858" s="184" t="s">
        <v>2104</v>
      </c>
      <c r="P858" s="187" t="n">
        <v>45936</v>
      </c>
      <c r="Q858" s="188" t="n">
        <v>0.725983796296296</v>
      </c>
    </row>
    <row r="859" customFormat="false" ht="35.05" hidden="false" customHeight="false" outlineLevel="0" collapsed="false">
      <c r="A859" s="181" t="s">
        <v>2105</v>
      </c>
      <c r="B859" s="182" t="n">
        <v>2113</v>
      </c>
      <c r="C859" s="183" t="n">
        <v>17</v>
      </c>
      <c r="D859" s="181" t="s">
        <v>2005</v>
      </c>
      <c r="E859" s="181" t="s">
        <v>336</v>
      </c>
      <c r="F859" s="181" t="s">
        <v>337</v>
      </c>
      <c r="G859" s="181" t="s">
        <v>2070</v>
      </c>
      <c r="H859" s="181" t="s">
        <v>2071</v>
      </c>
      <c r="I859" s="181" t="s">
        <v>240</v>
      </c>
      <c r="J859" s="184" t="n">
        <v>39800</v>
      </c>
      <c r="K859" s="184" t="n">
        <v>14640</v>
      </c>
      <c r="L859" s="185" t="n">
        <v>15</v>
      </c>
      <c r="M859" s="173" t="n">
        <v>25160</v>
      </c>
      <c r="N859" s="184" t="n">
        <v>21386</v>
      </c>
      <c r="O859" s="184" t="s">
        <v>2106</v>
      </c>
      <c r="P859" s="187" t="n">
        <v>45936</v>
      </c>
      <c r="Q859" s="188" t="n">
        <v>0.757094907407407</v>
      </c>
    </row>
    <row r="860" customFormat="false" ht="35.05" hidden="false" customHeight="false" outlineLevel="0" collapsed="false">
      <c r="A860" s="181" t="s">
        <v>2107</v>
      </c>
      <c r="B860" s="182" t="n">
        <v>2114</v>
      </c>
      <c r="C860" s="183" t="n">
        <v>18</v>
      </c>
      <c r="D860" s="181" t="s">
        <v>2005</v>
      </c>
      <c r="E860" s="181" t="s">
        <v>340</v>
      </c>
      <c r="F860" s="181" t="s">
        <v>341</v>
      </c>
      <c r="G860" s="181" t="s">
        <v>2070</v>
      </c>
      <c r="H860" s="181" t="s">
        <v>2071</v>
      </c>
      <c r="I860" s="181" t="s">
        <v>240</v>
      </c>
      <c r="J860" s="184" t="n">
        <v>39980</v>
      </c>
      <c r="K860" s="184" t="n">
        <v>15230</v>
      </c>
      <c r="L860" s="185" t="n">
        <v>9</v>
      </c>
      <c r="M860" s="173" t="n">
        <v>24750</v>
      </c>
      <c r="N860" s="184" t="n">
        <v>22522.5</v>
      </c>
      <c r="O860" s="184" t="s">
        <v>2108</v>
      </c>
      <c r="P860" s="187" t="n">
        <v>45936</v>
      </c>
      <c r="Q860" s="188" t="n">
        <v>0.759375</v>
      </c>
    </row>
    <row r="861" customFormat="false" ht="46.25" hidden="false" customHeight="false" outlineLevel="0" collapsed="false">
      <c r="A861" s="181" t="s">
        <v>2109</v>
      </c>
      <c r="B861" s="182" t="n">
        <v>2135</v>
      </c>
      <c r="C861" s="183" t="n">
        <v>7814</v>
      </c>
      <c r="D861" s="181" t="s">
        <v>2066</v>
      </c>
      <c r="E861" s="181" t="s">
        <v>541</v>
      </c>
      <c r="F861" s="181" t="s">
        <v>542</v>
      </c>
      <c r="G861" s="181" t="s">
        <v>2067</v>
      </c>
      <c r="H861" s="181" t="s">
        <v>279</v>
      </c>
      <c r="I861" s="181" t="s">
        <v>241</v>
      </c>
      <c r="J861" s="184" t="n">
        <v>41270</v>
      </c>
      <c r="K861" s="184" t="n">
        <v>14960</v>
      </c>
      <c r="L861" s="185" t="n">
        <v>5</v>
      </c>
      <c r="M861" s="173" t="n">
        <v>26310</v>
      </c>
      <c r="N861" s="184" t="n">
        <v>24994.5</v>
      </c>
      <c r="O861" s="184" t="s">
        <v>2110</v>
      </c>
      <c r="P861" s="187" t="n">
        <v>45936</v>
      </c>
      <c r="Q861" s="188" t="n">
        <v>0.769108796296296</v>
      </c>
    </row>
    <row r="862" customFormat="false" ht="35.05" hidden="false" customHeight="false" outlineLevel="0" collapsed="false">
      <c r="A862" s="181" t="s">
        <v>2111</v>
      </c>
      <c r="B862" s="182" t="n">
        <v>2115</v>
      </c>
      <c r="C862" s="183" t="n">
        <v>19</v>
      </c>
      <c r="D862" s="181" t="s">
        <v>2005</v>
      </c>
      <c r="E862" s="181" t="s">
        <v>529</v>
      </c>
      <c r="F862" s="181" t="s">
        <v>530</v>
      </c>
      <c r="G862" s="181" t="s">
        <v>2070</v>
      </c>
      <c r="H862" s="181" t="s">
        <v>158</v>
      </c>
      <c r="I862" s="181" t="s">
        <v>240</v>
      </c>
      <c r="J862" s="184" t="n">
        <v>37540</v>
      </c>
      <c r="K862" s="184" t="n">
        <v>14980</v>
      </c>
      <c r="L862" s="185" t="n">
        <v>15</v>
      </c>
      <c r="M862" s="173" t="n">
        <v>22560</v>
      </c>
      <c r="N862" s="184" t="n">
        <v>19176</v>
      </c>
      <c r="O862" s="184" t="s">
        <v>2112</v>
      </c>
      <c r="P862" s="187" t="n">
        <v>45936</v>
      </c>
      <c r="Q862" s="188" t="n">
        <v>0.801446759259259</v>
      </c>
    </row>
    <row r="863" customFormat="false" ht="46.25" hidden="false" customHeight="false" outlineLevel="0" collapsed="false">
      <c r="A863" s="181" t="s">
        <v>2113</v>
      </c>
      <c r="B863" s="182" t="n">
        <v>2136</v>
      </c>
      <c r="C863" s="183" t="n">
        <v>7815</v>
      </c>
      <c r="D863" s="181" t="s">
        <v>2066</v>
      </c>
      <c r="E863" s="181" t="s">
        <v>537</v>
      </c>
      <c r="F863" s="181" t="s">
        <v>538</v>
      </c>
      <c r="G863" s="181" t="s">
        <v>2067</v>
      </c>
      <c r="H863" s="181" t="s">
        <v>279</v>
      </c>
      <c r="I863" s="181" t="s">
        <v>241</v>
      </c>
      <c r="J863" s="184" t="n">
        <v>36090</v>
      </c>
      <c r="K863" s="184" t="n">
        <v>13980</v>
      </c>
      <c r="L863" s="185" t="n">
        <v>5</v>
      </c>
      <c r="M863" s="173" t="n">
        <v>22110</v>
      </c>
      <c r="N863" s="184" t="n">
        <v>21004.5</v>
      </c>
      <c r="O863" s="184" t="s">
        <v>2114</v>
      </c>
      <c r="P863" s="187" t="n">
        <v>45936</v>
      </c>
      <c r="Q863" s="188" t="n">
        <v>0.822071759259259</v>
      </c>
    </row>
    <row r="864" customFormat="false" ht="35.05" hidden="false" customHeight="false" outlineLevel="0" collapsed="false">
      <c r="A864" s="181" t="s">
        <v>2115</v>
      </c>
      <c r="B864" s="182" t="n">
        <v>2116</v>
      </c>
      <c r="C864" s="183" t="n">
        <v>20</v>
      </c>
      <c r="D864" s="181" t="s">
        <v>2005</v>
      </c>
      <c r="E864" s="181" t="s">
        <v>391</v>
      </c>
      <c r="F864" s="181" t="s">
        <v>392</v>
      </c>
      <c r="G864" s="181" t="s">
        <v>2070</v>
      </c>
      <c r="H864" s="181" t="s">
        <v>158</v>
      </c>
      <c r="I864" s="181" t="s">
        <v>240</v>
      </c>
      <c r="J864" s="184" t="n">
        <v>35640</v>
      </c>
      <c r="K864" s="184" t="n">
        <v>14560</v>
      </c>
      <c r="L864" s="185" t="n">
        <v>9</v>
      </c>
      <c r="M864" s="173" t="n">
        <v>21080</v>
      </c>
      <c r="N864" s="184" t="n">
        <v>19182.8</v>
      </c>
      <c r="O864" s="184" t="s">
        <v>2116</v>
      </c>
      <c r="P864" s="187" t="n">
        <v>45936</v>
      </c>
      <c r="Q864" s="188" t="n">
        <v>0.853819444444445</v>
      </c>
    </row>
    <row r="865" customFormat="false" ht="35.05" hidden="false" customHeight="false" outlineLevel="0" collapsed="false">
      <c r="A865" s="181" t="s">
        <v>2117</v>
      </c>
      <c r="B865" s="182" t="n">
        <v>2120</v>
      </c>
      <c r="C865" s="183" t="n">
        <v>21</v>
      </c>
      <c r="D865" s="181" t="s">
        <v>2005</v>
      </c>
      <c r="E865" s="181" t="s">
        <v>272</v>
      </c>
      <c r="F865" s="181" t="s">
        <v>273</v>
      </c>
      <c r="G865" s="181" t="s">
        <v>2070</v>
      </c>
      <c r="H865" s="181" t="s">
        <v>158</v>
      </c>
      <c r="I865" s="181" t="s">
        <v>240</v>
      </c>
      <c r="J865" s="184" t="n">
        <v>42180</v>
      </c>
      <c r="K865" s="184" t="n">
        <v>15570</v>
      </c>
      <c r="L865" s="185" t="n">
        <v>7</v>
      </c>
      <c r="M865" s="173" t="n">
        <v>26610</v>
      </c>
      <c r="N865" s="184" t="n">
        <v>24747.3</v>
      </c>
      <c r="O865" s="184" t="s">
        <v>2118</v>
      </c>
      <c r="P865" s="187" t="n">
        <v>45936</v>
      </c>
      <c r="Q865" s="188" t="n">
        <v>0.885497685185185</v>
      </c>
    </row>
    <row r="866" customFormat="false" ht="46.25" hidden="false" customHeight="false" outlineLevel="0" collapsed="false">
      <c r="A866" s="181" t="s">
        <v>2119</v>
      </c>
      <c r="B866" s="182" t="n">
        <v>2131</v>
      </c>
      <c r="C866" s="183" t="n">
        <v>7810</v>
      </c>
      <c r="D866" s="181" t="s">
        <v>2066</v>
      </c>
      <c r="E866" s="181" t="s">
        <v>300</v>
      </c>
      <c r="F866" s="181" t="s">
        <v>301</v>
      </c>
      <c r="G866" s="181" t="s">
        <v>2067</v>
      </c>
      <c r="H866" s="181" t="s">
        <v>279</v>
      </c>
      <c r="I866" s="181" t="s">
        <v>241</v>
      </c>
      <c r="J866" s="184" t="n">
        <v>62860</v>
      </c>
      <c r="K866" s="184" t="n">
        <v>21250</v>
      </c>
      <c r="L866" s="185" t="n">
        <v>1</v>
      </c>
      <c r="M866" s="173" t="n">
        <v>41610</v>
      </c>
      <c r="N866" s="184" t="n">
        <v>41193.9</v>
      </c>
      <c r="O866" s="184" t="s">
        <v>2120</v>
      </c>
      <c r="P866" s="187" t="n">
        <v>45936</v>
      </c>
      <c r="Q866" s="188" t="n">
        <v>0.944016203703704</v>
      </c>
    </row>
    <row r="867" customFormat="false" ht="46.25" hidden="false" customHeight="false" outlineLevel="0" collapsed="false">
      <c r="A867" s="181" t="s">
        <v>2121</v>
      </c>
      <c r="B867" s="182" t="n">
        <v>2139</v>
      </c>
      <c r="C867" s="183" t="n">
        <v>7823</v>
      </c>
      <c r="D867" s="181" t="s">
        <v>2066</v>
      </c>
      <c r="E867" s="181" t="s">
        <v>332</v>
      </c>
      <c r="F867" s="181" t="s">
        <v>333</v>
      </c>
      <c r="G867" s="181" t="s">
        <v>2067</v>
      </c>
      <c r="H867" s="181" t="s">
        <v>279</v>
      </c>
      <c r="I867" s="181" t="s">
        <v>241</v>
      </c>
      <c r="J867" s="184" t="n">
        <v>37970</v>
      </c>
      <c r="K867" s="184" t="n">
        <v>14720</v>
      </c>
      <c r="L867" s="185" t="n">
        <v>4</v>
      </c>
      <c r="M867" s="173" t="n">
        <v>23250</v>
      </c>
      <c r="N867" s="184" t="n">
        <v>22320</v>
      </c>
      <c r="O867" s="184" t="s">
        <v>2122</v>
      </c>
      <c r="P867" s="187" t="n">
        <v>45936</v>
      </c>
      <c r="Q867" s="188" t="n">
        <v>0.965011574074074</v>
      </c>
    </row>
    <row r="868" customFormat="false" ht="46.25" hidden="false" customHeight="false" outlineLevel="0" collapsed="false">
      <c r="A868" s="181" t="s">
        <v>2123</v>
      </c>
      <c r="B868" s="182" t="n">
        <v>2140</v>
      </c>
      <c r="C868" s="183" t="n">
        <v>7824</v>
      </c>
      <c r="D868" s="181" t="s">
        <v>2066</v>
      </c>
      <c r="E868" s="181" t="s">
        <v>288</v>
      </c>
      <c r="F868" s="181" t="s">
        <v>289</v>
      </c>
      <c r="G868" s="181" t="s">
        <v>2067</v>
      </c>
      <c r="H868" s="181" t="s">
        <v>279</v>
      </c>
      <c r="I868" s="181" t="s">
        <v>241</v>
      </c>
      <c r="J868" s="184" t="n">
        <v>37130</v>
      </c>
      <c r="K868" s="184" t="n">
        <v>14560</v>
      </c>
      <c r="L868" s="185" t="n">
        <v>4</v>
      </c>
      <c r="M868" s="173" t="n">
        <v>22570</v>
      </c>
      <c r="N868" s="184" t="n">
        <v>21667.2</v>
      </c>
      <c r="O868" s="184" t="s">
        <v>2124</v>
      </c>
      <c r="P868" s="187" t="n">
        <v>45936</v>
      </c>
      <c r="Q868" s="188" t="n">
        <v>0.967453703703704</v>
      </c>
    </row>
    <row r="869" customFormat="false" ht="46.25" hidden="false" customHeight="false" outlineLevel="0" collapsed="false">
      <c r="A869" s="181" t="s">
        <v>2125</v>
      </c>
      <c r="B869" s="182" t="n">
        <v>2132</v>
      </c>
      <c r="C869" s="183" t="n">
        <v>7811</v>
      </c>
      <c r="D869" s="181" t="s">
        <v>2066</v>
      </c>
      <c r="E869" s="181" t="s">
        <v>549</v>
      </c>
      <c r="F869" s="181" t="s">
        <v>550</v>
      </c>
      <c r="G869" s="181" t="s">
        <v>2067</v>
      </c>
      <c r="H869" s="181" t="s">
        <v>279</v>
      </c>
      <c r="I869" s="181" t="s">
        <v>241</v>
      </c>
      <c r="J869" s="184" t="n">
        <v>43480</v>
      </c>
      <c r="K869" s="184" t="n">
        <v>15890</v>
      </c>
      <c r="L869" s="185" t="n">
        <v>4</v>
      </c>
      <c r="M869" s="173" t="n">
        <v>27590</v>
      </c>
      <c r="N869" s="184" t="n">
        <v>26486.4</v>
      </c>
      <c r="O869" s="184" t="s">
        <v>2126</v>
      </c>
      <c r="P869" s="187" t="n">
        <v>45936</v>
      </c>
      <c r="Q869" s="188" t="n">
        <v>0.990451388888889</v>
      </c>
    </row>
    <row r="870" customFormat="false" ht="46.25" hidden="false" customHeight="false" outlineLevel="0" collapsed="false">
      <c r="A870" s="181" t="s">
        <v>2127</v>
      </c>
      <c r="B870" s="182" t="n">
        <v>2142</v>
      </c>
      <c r="C870" s="183" t="n">
        <v>7829</v>
      </c>
      <c r="D870" s="181" t="s">
        <v>2066</v>
      </c>
      <c r="E870" s="181" t="s">
        <v>439</v>
      </c>
      <c r="F870" s="181" t="s">
        <v>440</v>
      </c>
      <c r="G870" s="181" t="s">
        <v>2067</v>
      </c>
      <c r="H870" s="181" t="s">
        <v>279</v>
      </c>
      <c r="I870" s="181" t="s">
        <v>241</v>
      </c>
      <c r="J870" s="184" t="n">
        <v>40780</v>
      </c>
      <c r="K870" s="184" t="n">
        <v>16330</v>
      </c>
      <c r="L870" s="185" t="n">
        <v>6</v>
      </c>
      <c r="M870" s="173" t="n">
        <v>24450</v>
      </c>
      <c r="N870" s="184" t="n">
        <v>22983</v>
      </c>
      <c r="O870" s="184" t="s">
        <v>2128</v>
      </c>
      <c r="P870" s="187" t="n">
        <v>45937</v>
      </c>
      <c r="Q870" s="188" t="n">
        <v>0.177939814814815</v>
      </c>
    </row>
    <row r="871" customFormat="false" ht="46.25" hidden="false" customHeight="false" outlineLevel="0" collapsed="false">
      <c r="A871" s="181" t="s">
        <v>2129</v>
      </c>
      <c r="B871" s="182" t="n">
        <v>2143</v>
      </c>
      <c r="C871" s="183" t="n">
        <v>7828</v>
      </c>
      <c r="D871" s="181" t="s">
        <v>2066</v>
      </c>
      <c r="E871" s="181" t="s">
        <v>377</v>
      </c>
      <c r="F871" s="181" t="s">
        <v>378</v>
      </c>
      <c r="G871" s="181" t="s">
        <v>2067</v>
      </c>
      <c r="H871" s="181" t="s">
        <v>279</v>
      </c>
      <c r="I871" s="181" t="s">
        <v>241</v>
      </c>
      <c r="J871" s="184" t="n">
        <v>42870</v>
      </c>
      <c r="K871" s="184" t="n">
        <v>15700</v>
      </c>
      <c r="L871" s="185" t="n">
        <v>5</v>
      </c>
      <c r="M871" s="173" t="n">
        <v>27170</v>
      </c>
      <c r="N871" s="184" t="n">
        <v>25811.5</v>
      </c>
      <c r="O871" s="184" t="s">
        <v>2130</v>
      </c>
      <c r="P871" s="187" t="n">
        <v>45937</v>
      </c>
      <c r="Q871" s="188" t="n">
        <v>0.214155092592593</v>
      </c>
    </row>
    <row r="872" customFormat="false" ht="46.25" hidden="false" customHeight="false" outlineLevel="0" collapsed="false">
      <c r="A872" s="181" t="s">
        <v>2131</v>
      </c>
      <c r="B872" s="182" t="n">
        <v>2144</v>
      </c>
      <c r="C872" s="183" t="n">
        <v>7776</v>
      </c>
      <c r="D872" s="181" t="s">
        <v>2066</v>
      </c>
      <c r="E872" s="181" t="s">
        <v>533</v>
      </c>
      <c r="F872" s="181" t="s">
        <v>534</v>
      </c>
      <c r="G872" s="181" t="s">
        <v>2067</v>
      </c>
      <c r="H872" s="181" t="s">
        <v>279</v>
      </c>
      <c r="I872" s="181" t="s">
        <v>241</v>
      </c>
      <c r="J872" s="184" t="n">
        <v>39200</v>
      </c>
      <c r="K872" s="184" t="n">
        <v>14380</v>
      </c>
      <c r="L872" s="185" t="n">
        <v>7</v>
      </c>
      <c r="M872" s="173" t="n">
        <v>24820</v>
      </c>
      <c r="N872" s="184" t="n">
        <v>23082.6</v>
      </c>
      <c r="O872" s="184" t="s">
        <v>2132</v>
      </c>
      <c r="P872" s="187" t="n">
        <v>45937</v>
      </c>
      <c r="Q872" s="188" t="n">
        <v>0.278796296296296</v>
      </c>
    </row>
    <row r="873" customFormat="false" ht="46.25" hidden="false" customHeight="false" outlineLevel="0" collapsed="false">
      <c r="A873" s="181" t="s">
        <v>2133</v>
      </c>
      <c r="B873" s="182" t="n">
        <v>2145</v>
      </c>
      <c r="C873" s="183" t="n">
        <v>7843</v>
      </c>
      <c r="D873" s="181" t="s">
        <v>2066</v>
      </c>
      <c r="E873" s="181" t="s">
        <v>277</v>
      </c>
      <c r="F873" s="181" t="s">
        <v>278</v>
      </c>
      <c r="G873" s="181" t="s">
        <v>2067</v>
      </c>
      <c r="H873" s="181" t="s">
        <v>279</v>
      </c>
      <c r="I873" s="181" t="s">
        <v>241</v>
      </c>
      <c r="J873" s="184" t="n">
        <v>42760</v>
      </c>
      <c r="K873" s="184" t="n">
        <v>15080</v>
      </c>
      <c r="L873" s="185" t="n">
        <v>6</v>
      </c>
      <c r="M873" s="173" t="n">
        <v>27680</v>
      </c>
      <c r="N873" s="184" t="n">
        <v>26019.2</v>
      </c>
      <c r="O873" s="184" t="s">
        <v>2134</v>
      </c>
      <c r="P873" s="187" t="n">
        <v>45937</v>
      </c>
      <c r="Q873" s="188" t="n">
        <v>0.286458333333333</v>
      </c>
    </row>
    <row r="874" customFormat="false" ht="46.25" hidden="false" customHeight="false" outlineLevel="0" collapsed="false">
      <c r="A874" s="181" t="s">
        <v>2135</v>
      </c>
      <c r="B874" s="182" t="n">
        <v>2147</v>
      </c>
      <c r="C874" s="183" t="n">
        <v>7847</v>
      </c>
      <c r="D874" s="181" t="s">
        <v>2066</v>
      </c>
      <c r="E874" s="181" t="s">
        <v>431</v>
      </c>
      <c r="F874" s="181" t="s">
        <v>432</v>
      </c>
      <c r="G874" s="181" t="s">
        <v>2067</v>
      </c>
      <c r="H874" s="181" t="s">
        <v>279</v>
      </c>
      <c r="I874" s="181" t="s">
        <v>241</v>
      </c>
      <c r="J874" s="184" t="n">
        <v>41170</v>
      </c>
      <c r="K874" s="184" t="n">
        <v>16480</v>
      </c>
      <c r="L874" s="185" t="n">
        <v>6</v>
      </c>
      <c r="M874" s="173" t="n">
        <v>24690</v>
      </c>
      <c r="N874" s="184" t="n">
        <v>23208.6</v>
      </c>
      <c r="O874" s="184" t="s">
        <v>2136</v>
      </c>
      <c r="P874" s="187" t="n">
        <v>45937</v>
      </c>
      <c r="Q874" s="188" t="n">
        <v>0.395659722222222</v>
      </c>
    </row>
    <row r="875" customFormat="false" ht="46.25" hidden="false" customHeight="false" outlineLevel="0" collapsed="false">
      <c r="A875" s="181" t="s">
        <v>2137</v>
      </c>
      <c r="B875" s="182" t="n">
        <v>2148</v>
      </c>
      <c r="C875" s="183" t="n">
        <v>7848</v>
      </c>
      <c r="D875" s="181" t="s">
        <v>2066</v>
      </c>
      <c r="E875" s="181" t="s">
        <v>435</v>
      </c>
      <c r="F875" s="181" t="s">
        <v>436</v>
      </c>
      <c r="G875" s="181" t="s">
        <v>2067</v>
      </c>
      <c r="H875" s="181" t="s">
        <v>279</v>
      </c>
      <c r="I875" s="181" t="s">
        <v>241</v>
      </c>
      <c r="J875" s="184" t="n">
        <v>41130</v>
      </c>
      <c r="K875" s="184" t="n">
        <v>16370</v>
      </c>
      <c r="L875" s="185" t="n">
        <v>4</v>
      </c>
      <c r="M875" s="173" t="n">
        <v>24760</v>
      </c>
      <c r="N875" s="184" t="n">
        <v>23769.6</v>
      </c>
      <c r="O875" s="184" t="s">
        <v>2138</v>
      </c>
      <c r="P875" s="187" t="n">
        <v>45937</v>
      </c>
      <c r="Q875" s="188" t="n">
        <v>0.411736111111111</v>
      </c>
    </row>
    <row r="876" customFormat="false" ht="35.05" hidden="false" customHeight="false" outlineLevel="0" collapsed="false">
      <c r="A876" s="181" t="s">
        <v>2139</v>
      </c>
      <c r="B876" s="182" t="n">
        <v>2156</v>
      </c>
      <c r="C876" s="183" t="n">
        <v>1</v>
      </c>
      <c r="D876" s="181" t="s">
        <v>2005</v>
      </c>
      <c r="E876" s="181" t="s">
        <v>308</v>
      </c>
      <c r="F876" s="181" t="s">
        <v>309</v>
      </c>
      <c r="G876" s="181" t="s">
        <v>2049</v>
      </c>
      <c r="H876" s="181" t="s">
        <v>279</v>
      </c>
      <c r="I876" s="181" t="s">
        <v>240</v>
      </c>
      <c r="J876" s="184" t="n">
        <v>64650</v>
      </c>
      <c r="K876" s="184" t="n">
        <v>24150</v>
      </c>
      <c r="L876" s="185" t="n">
        <v>4</v>
      </c>
      <c r="M876" s="173" t="n">
        <v>40500</v>
      </c>
      <c r="N876" s="184" t="n">
        <v>38880</v>
      </c>
      <c r="O876" s="184" t="s">
        <v>2140</v>
      </c>
      <c r="P876" s="187" t="n">
        <v>45937</v>
      </c>
      <c r="Q876" s="188" t="n">
        <v>0.607858796296296</v>
      </c>
    </row>
    <row r="877" customFormat="false" ht="35.05" hidden="false" customHeight="false" outlineLevel="0" collapsed="false">
      <c r="A877" s="181" t="s">
        <v>2141</v>
      </c>
      <c r="B877" s="182" t="n">
        <v>2157</v>
      </c>
      <c r="C877" s="183" t="n">
        <v>2</v>
      </c>
      <c r="D877" s="181" t="s">
        <v>2005</v>
      </c>
      <c r="E877" s="181" t="s">
        <v>304</v>
      </c>
      <c r="F877" s="181" t="s">
        <v>305</v>
      </c>
      <c r="G877" s="181" t="s">
        <v>2049</v>
      </c>
      <c r="H877" s="181" t="s">
        <v>279</v>
      </c>
      <c r="I877" s="181" t="s">
        <v>240</v>
      </c>
      <c r="J877" s="184" t="n">
        <v>40870</v>
      </c>
      <c r="K877" s="184" t="n">
        <v>15130</v>
      </c>
      <c r="L877" s="185" t="n">
        <v>6</v>
      </c>
      <c r="M877" s="173" t="n">
        <v>25740</v>
      </c>
      <c r="N877" s="184" t="n">
        <v>24195.6</v>
      </c>
      <c r="O877" s="184" t="s">
        <v>2142</v>
      </c>
      <c r="P877" s="187" t="n">
        <v>45937</v>
      </c>
      <c r="Q877" s="188" t="n">
        <v>0.614803240740741</v>
      </c>
    </row>
    <row r="878" customFormat="false" ht="35.05" hidden="false" customHeight="false" outlineLevel="0" collapsed="false">
      <c r="A878" s="181" t="s">
        <v>2143</v>
      </c>
      <c r="B878" s="182" t="n">
        <v>2159</v>
      </c>
      <c r="C878" s="183" t="n">
        <v>3</v>
      </c>
      <c r="D878" s="181" t="s">
        <v>2005</v>
      </c>
      <c r="E878" s="181" t="s">
        <v>582</v>
      </c>
      <c r="F878" s="181" t="s">
        <v>583</v>
      </c>
      <c r="G878" s="181" t="s">
        <v>2049</v>
      </c>
      <c r="H878" s="181" t="s">
        <v>279</v>
      </c>
      <c r="I878" s="181" t="s">
        <v>240</v>
      </c>
      <c r="J878" s="184" t="n">
        <v>40600</v>
      </c>
      <c r="K878" s="184" t="n">
        <v>14960</v>
      </c>
      <c r="L878" s="185" t="n">
        <v>9</v>
      </c>
      <c r="M878" s="173" t="n">
        <v>25640</v>
      </c>
      <c r="N878" s="184" t="n">
        <v>23332.4</v>
      </c>
      <c r="O878" s="184" t="s">
        <v>2144</v>
      </c>
      <c r="P878" s="187" t="n">
        <v>45937</v>
      </c>
      <c r="Q878" s="188" t="n">
        <v>0.648032407407407</v>
      </c>
    </row>
    <row r="879" customFormat="false" ht="35.05" hidden="false" customHeight="false" outlineLevel="0" collapsed="false">
      <c r="A879" s="181" t="s">
        <v>2145</v>
      </c>
      <c r="B879" s="182" t="n">
        <v>2164</v>
      </c>
      <c r="C879" s="183" t="n">
        <v>4</v>
      </c>
      <c r="D879" s="181" t="s">
        <v>2005</v>
      </c>
      <c r="E879" s="181" t="s">
        <v>413</v>
      </c>
      <c r="F879" s="181" t="s">
        <v>414</v>
      </c>
      <c r="G879" s="181" t="s">
        <v>2049</v>
      </c>
      <c r="H879" s="181" t="s">
        <v>279</v>
      </c>
      <c r="I879" s="181" t="s">
        <v>240</v>
      </c>
      <c r="J879" s="184" t="n">
        <v>45180</v>
      </c>
      <c r="K879" s="184" t="n">
        <v>15840</v>
      </c>
      <c r="L879" s="185" t="n">
        <v>5</v>
      </c>
      <c r="M879" s="173" t="n">
        <v>29340</v>
      </c>
      <c r="N879" s="184" t="n">
        <v>27873</v>
      </c>
      <c r="O879" s="184" t="s">
        <v>2146</v>
      </c>
      <c r="P879" s="187" t="n">
        <v>45937</v>
      </c>
      <c r="Q879" s="188" t="n">
        <v>0.743159722222222</v>
      </c>
    </row>
    <row r="880" customFormat="false" ht="35.05" hidden="false" customHeight="false" outlineLevel="0" collapsed="false">
      <c r="A880" s="181" t="s">
        <v>2147</v>
      </c>
      <c r="B880" s="182" t="n">
        <v>2165</v>
      </c>
      <c r="C880" s="183" t="n">
        <v>5</v>
      </c>
      <c r="D880" s="181" t="s">
        <v>2005</v>
      </c>
      <c r="E880" s="181" t="s">
        <v>350</v>
      </c>
      <c r="F880" s="181" t="s">
        <v>351</v>
      </c>
      <c r="G880" s="181" t="s">
        <v>2049</v>
      </c>
      <c r="H880" s="181" t="s">
        <v>279</v>
      </c>
      <c r="I880" s="181" t="s">
        <v>240</v>
      </c>
      <c r="J880" s="184" t="n">
        <v>44360</v>
      </c>
      <c r="K880" s="184" t="n">
        <v>15080</v>
      </c>
      <c r="L880" s="185" t="n">
        <v>10</v>
      </c>
      <c r="M880" s="173" t="n">
        <v>29280</v>
      </c>
      <c r="N880" s="184" t="n">
        <v>26352</v>
      </c>
      <c r="O880" s="184" t="s">
        <v>2148</v>
      </c>
      <c r="P880" s="187" t="n">
        <v>45937</v>
      </c>
      <c r="Q880" s="188" t="n">
        <v>0.747094907407407</v>
      </c>
    </row>
    <row r="881" customFormat="false" ht="35.05" hidden="false" customHeight="false" outlineLevel="0" collapsed="false">
      <c r="A881" s="181" t="s">
        <v>2149</v>
      </c>
      <c r="B881" s="182" t="n">
        <v>2166</v>
      </c>
      <c r="C881" s="183" t="n">
        <v>6</v>
      </c>
      <c r="D881" s="181" t="s">
        <v>2005</v>
      </c>
      <c r="E881" s="181" t="s">
        <v>373</v>
      </c>
      <c r="F881" s="181" t="s">
        <v>374</v>
      </c>
      <c r="G881" s="181" t="s">
        <v>2049</v>
      </c>
      <c r="H881" s="181" t="s">
        <v>279</v>
      </c>
      <c r="I881" s="181" t="s">
        <v>240</v>
      </c>
      <c r="J881" s="184" t="n">
        <v>39660</v>
      </c>
      <c r="K881" s="184" t="n">
        <v>14410</v>
      </c>
      <c r="L881" s="185" t="n">
        <v>14</v>
      </c>
      <c r="M881" s="173" t="n">
        <v>25250</v>
      </c>
      <c r="N881" s="184" t="n">
        <v>21715</v>
      </c>
      <c r="O881" s="184" t="s">
        <v>2150</v>
      </c>
      <c r="P881" s="187" t="n">
        <v>45937</v>
      </c>
      <c r="Q881" s="188" t="n">
        <v>0.770416666666667</v>
      </c>
    </row>
    <row r="882" customFormat="false" ht="35.05" hidden="false" customHeight="false" outlineLevel="0" collapsed="false">
      <c r="A882" s="181" t="s">
        <v>2151</v>
      </c>
      <c r="B882" s="182" t="n">
        <v>2169</v>
      </c>
      <c r="C882" s="183" t="n">
        <v>7</v>
      </c>
      <c r="D882" s="181" t="s">
        <v>2005</v>
      </c>
      <c r="E882" s="181" t="s">
        <v>399</v>
      </c>
      <c r="F882" s="181" t="s">
        <v>400</v>
      </c>
      <c r="G882" s="181" t="s">
        <v>2049</v>
      </c>
      <c r="H882" s="181" t="s">
        <v>279</v>
      </c>
      <c r="I882" s="181" t="s">
        <v>240</v>
      </c>
      <c r="J882" s="184" t="n">
        <v>51660</v>
      </c>
      <c r="K882" s="184" t="n">
        <v>19570</v>
      </c>
      <c r="L882" s="185" t="n">
        <v>8</v>
      </c>
      <c r="M882" s="173" t="n">
        <v>32090</v>
      </c>
      <c r="N882" s="184" t="n">
        <v>29522.8</v>
      </c>
      <c r="O882" s="184" t="s">
        <v>2152</v>
      </c>
      <c r="P882" s="187" t="n">
        <v>45937</v>
      </c>
      <c r="Q882" s="188" t="n">
        <v>0.809814814814815</v>
      </c>
    </row>
    <row r="883" customFormat="false" ht="35.05" hidden="false" customHeight="false" outlineLevel="0" collapsed="false">
      <c r="A883" s="181" t="s">
        <v>2153</v>
      </c>
      <c r="B883" s="182" t="n">
        <v>2175</v>
      </c>
      <c r="C883" s="183" t="n">
        <v>12</v>
      </c>
      <c r="D883" s="181" t="s">
        <v>2005</v>
      </c>
      <c r="E883" s="181" t="s">
        <v>576</v>
      </c>
      <c r="F883" s="181" t="s">
        <v>577</v>
      </c>
      <c r="G883" s="181" t="s">
        <v>2049</v>
      </c>
      <c r="H883" s="181" t="s">
        <v>279</v>
      </c>
      <c r="I883" s="181" t="s">
        <v>240</v>
      </c>
      <c r="J883" s="184" t="n">
        <v>37170</v>
      </c>
      <c r="K883" s="184" t="n">
        <v>14570</v>
      </c>
      <c r="L883" s="185" t="n">
        <v>8</v>
      </c>
      <c r="M883" s="173" t="n">
        <v>22600</v>
      </c>
      <c r="N883" s="184" t="n">
        <v>20792</v>
      </c>
      <c r="O883" s="184" t="s">
        <v>2154</v>
      </c>
      <c r="P883" s="187" t="n">
        <v>45937</v>
      </c>
      <c r="Q883" s="188" t="n">
        <v>0.817858796296296</v>
      </c>
    </row>
    <row r="884" customFormat="false" ht="35.05" hidden="false" customHeight="false" outlineLevel="0" collapsed="false">
      <c r="A884" s="181" t="s">
        <v>2155</v>
      </c>
      <c r="B884" s="182" t="n">
        <v>2176</v>
      </c>
      <c r="C884" s="183" t="n">
        <v>11</v>
      </c>
      <c r="D884" s="181" t="s">
        <v>2005</v>
      </c>
      <c r="E884" s="181" t="s">
        <v>340</v>
      </c>
      <c r="F884" s="181" t="s">
        <v>341</v>
      </c>
      <c r="G884" s="181" t="s">
        <v>2049</v>
      </c>
      <c r="H884" s="181" t="s">
        <v>279</v>
      </c>
      <c r="I884" s="181" t="s">
        <v>240</v>
      </c>
      <c r="J884" s="184" t="n">
        <v>39720</v>
      </c>
      <c r="K884" s="184" t="n">
        <v>15120</v>
      </c>
      <c r="L884" s="185" t="n">
        <v>16</v>
      </c>
      <c r="M884" s="173" t="n">
        <v>24600</v>
      </c>
      <c r="N884" s="184" t="n">
        <v>20664</v>
      </c>
      <c r="O884" s="184" t="s">
        <v>2156</v>
      </c>
      <c r="P884" s="187" t="n">
        <v>45937</v>
      </c>
      <c r="Q884" s="188" t="n">
        <v>0.822835648148148</v>
      </c>
    </row>
    <row r="885" customFormat="false" ht="35.05" hidden="false" customHeight="false" outlineLevel="0" collapsed="false">
      <c r="A885" s="181" t="s">
        <v>2157</v>
      </c>
      <c r="B885" s="182" t="n">
        <v>2177</v>
      </c>
      <c r="C885" s="183" t="n">
        <v>13</v>
      </c>
      <c r="D885" s="181" t="s">
        <v>2005</v>
      </c>
      <c r="E885" s="181" t="s">
        <v>282</v>
      </c>
      <c r="F885" s="181" t="s">
        <v>283</v>
      </c>
      <c r="G885" s="181" t="s">
        <v>2049</v>
      </c>
      <c r="H885" s="181" t="s">
        <v>279</v>
      </c>
      <c r="I885" s="181" t="s">
        <v>240</v>
      </c>
      <c r="J885" s="184" t="n">
        <v>39490</v>
      </c>
      <c r="K885" s="184" t="n">
        <v>15120</v>
      </c>
      <c r="L885" s="185" t="n">
        <v>15</v>
      </c>
      <c r="M885" s="173" t="n">
        <v>24370</v>
      </c>
      <c r="N885" s="184" t="n">
        <v>20714.5</v>
      </c>
      <c r="O885" s="184" t="s">
        <v>2158</v>
      </c>
      <c r="P885" s="187" t="n">
        <v>45937</v>
      </c>
      <c r="Q885" s="188" t="n">
        <v>0.854780092592593</v>
      </c>
    </row>
    <row r="886" customFormat="false" ht="35.05" hidden="false" customHeight="false" outlineLevel="0" collapsed="false">
      <c r="A886" s="181" t="s">
        <v>2159</v>
      </c>
      <c r="B886" s="182" t="n">
        <v>2170</v>
      </c>
      <c r="C886" s="183" t="n">
        <v>8</v>
      </c>
      <c r="D886" s="181" t="s">
        <v>2005</v>
      </c>
      <c r="E886" s="181" t="s">
        <v>354</v>
      </c>
      <c r="F886" s="181" t="s">
        <v>355</v>
      </c>
      <c r="G886" s="181" t="s">
        <v>2049</v>
      </c>
      <c r="H886" s="181" t="s">
        <v>279</v>
      </c>
      <c r="I886" s="181" t="s">
        <v>240</v>
      </c>
      <c r="J886" s="184" t="n">
        <v>40270</v>
      </c>
      <c r="K886" s="184" t="n">
        <v>14800</v>
      </c>
      <c r="L886" s="185" t="n">
        <v>15</v>
      </c>
      <c r="M886" s="173" t="n">
        <v>25470</v>
      </c>
      <c r="N886" s="184" t="n">
        <v>21649.5</v>
      </c>
      <c r="O886" s="184" t="s">
        <v>2160</v>
      </c>
      <c r="P886" s="187" t="n">
        <v>45937</v>
      </c>
      <c r="Q886" s="188" t="n">
        <v>0.886782407407407</v>
      </c>
    </row>
    <row r="887" customFormat="false" ht="35.05" hidden="false" customHeight="false" outlineLevel="0" collapsed="false">
      <c r="A887" s="181" t="s">
        <v>2161</v>
      </c>
      <c r="B887" s="182" t="n">
        <v>2172</v>
      </c>
      <c r="C887" s="183" t="n">
        <v>9</v>
      </c>
      <c r="D887" s="181" t="s">
        <v>2005</v>
      </c>
      <c r="E887" s="181" t="s">
        <v>359</v>
      </c>
      <c r="F887" s="181" t="s">
        <v>360</v>
      </c>
      <c r="G887" s="181" t="s">
        <v>2049</v>
      </c>
      <c r="H887" s="181" t="s">
        <v>279</v>
      </c>
      <c r="I887" s="181" t="s">
        <v>240</v>
      </c>
      <c r="J887" s="184" t="n">
        <v>38530</v>
      </c>
      <c r="K887" s="184" t="n">
        <v>14940</v>
      </c>
      <c r="L887" s="185" t="n">
        <v>7</v>
      </c>
      <c r="M887" s="173" t="n">
        <v>23590</v>
      </c>
      <c r="N887" s="184" t="n">
        <v>21938.7</v>
      </c>
      <c r="O887" s="184" t="s">
        <v>2162</v>
      </c>
      <c r="P887" s="187" t="n">
        <v>45937</v>
      </c>
      <c r="Q887" s="188" t="n">
        <v>0.88931712962963</v>
      </c>
    </row>
    <row r="888" customFormat="false" ht="35.05" hidden="false" customHeight="false" outlineLevel="0" collapsed="false">
      <c r="A888" s="181" t="s">
        <v>2163</v>
      </c>
      <c r="B888" s="182" t="n">
        <v>2174</v>
      </c>
      <c r="C888" s="183" t="n">
        <v>10</v>
      </c>
      <c r="D888" s="181" t="s">
        <v>2005</v>
      </c>
      <c r="E888" s="181" t="s">
        <v>336</v>
      </c>
      <c r="F888" s="181" t="s">
        <v>337</v>
      </c>
      <c r="G888" s="181" t="s">
        <v>2049</v>
      </c>
      <c r="H888" s="181" t="s">
        <v>279</v>
      </c>
      <c r="I888" s="181" t="s">
        <v>240</v>
      </c>
      <c r="J888" s="184" t="n">
        <v>40510</v>
      </c>
      <c r="K888" s="184" t="n">
        <v>14550</v>
      </c>
      <c r="L888" s="185" t="n">
        <v>12</v>
      </c>
      <c r="M888" s="173" t="n">
        <v>25960</v>
      </c>
      <c r="N888" s="184" t="n">
        <v>22844.8</v>
      </c>
      <c r="O888" s="184" t="s">
        <v>2164</v>
      </c>
      <c r="P888" s="187" t="n">
        <v>45937</v>
      </c>
      <c r="Q888" s="188" t="n">
        <v>0.896608796296296</v>
      </c>
    </row>
    <row r="889" customFormat="false" ht="35.05" hidden="false" customHeight="false" outlineLevel="0" collapsed="false">
      <c r="A889" s="181" t="s">
        <v>2165</v>
      </c>
      <c r="B889" s="182" t="n">
        <v>2179</v>
      </c>
      <c r="C889" s="183" t="n">
        <v>14</v>
      </c>
      <c r="D889" s="181" t="s">
        <v>2005</v>
      </c>
      <c r="E889" s="181" t="s">
        <v>409</v>
      </c>
      <c r="F889" s="181" t="s">
        <v>410</v>
      </c>
      <c r="G889" s="181" t="s">
        <v>2049</v>
      </c>
      <c r="H889" s="181" t="s">
        <v>279</v>
      </c>
      <c r="I889" s="181" t="s">
        <v>240</v>
      </c>
      <c r="J889" s="184" t="n">
        <v>64150</v>
      </c>
      <c r="K889" s="184" t="n">
        <v>24560</v>
      </c>
      <c r="L889" s="185" t="n">
        <v>17</v>
      </c>
      <c r="M889" s="173" t="n">
        <v>39590</v>
      </c>
      <c r="N889" s="184" t="n">
        <v>32859.7</v>
      </c>
      <c r="O889" s="184" t="s">
        <v>2166</v>
      </c>
      <c r="P889" s="187" t="n">
        <v>45937</v>
      </c>
      <c r="Q889" s="188" t="n">
        <v>0.942928240740741</v>
      </c>
    </row>
    <row r="890" customFormat="false" ht="35.05" hidden="false" customHeight="false" outlineLevel="0" collapsed="false">
      <c r="A890" s="181" t="s">
        <v>2167</v>
      </c>
      <c r="B890" s="182" t="n">
        <v>2180</v>
      </c>
      <c r="C890" s="183" t="n">
        <v>15</v>
      </c>
      <c r="D890" s="181" t="s">
        <v>2005</v>
      </c>
      <c r="E890" s="181" t="s">
        <v>300</v>
      </c>
      <c r="F890" s="181" t="s">
        <v>301</v>
      </c>
      <c r="G890" s="181" t="s">
        <v>2049</v>
      </c>
      <c r="H890" s="181" t="s">
        <v>279</v>
      </c>
      <c r="I890" s="181" t="s">
        <v>240</v>
      </c>
      <c r="J890" s="184" t="n">
        <v>62530</v>
      </c>
      <c r="K890" s="184" t="n">
        <v>21380</v>
      </c>
      <c r="L890" s="185" t="n">
        <v>20</v>
      </c>
      <c r="M890" s="173" t="n">
        <v>41150</v>
      </c>
      <c r="N890" s="184" t="n">
        <v>32920</v>
      </c>
      <c r="O890" s="184" t="s">
        <v>2168</v>
      </c>
      <c r="P890" s="187" t="n">
        <v>45937</v>
      </c>
      <c r="Q890" s="188" t="n">
        <v>0.983645833333333</v>
      </c>
    </row>
    <row r="891" customFormat="false" ht="35.05" hidden="false" customHeight="false" outlineLevel="0" collapsed="false">
      <c r="A891" s="181" t="s">
        <v>2169</v>
      </c>
      <c r="B891" s="182" t="n">
        <v>2181</v>
      </c>
      <c r="C891" s="183" t="n">
        <v>16</v>
      </c>
      <c r="D891" s="181" t="s">
        <v>2005</v>
      </c>
      <c r="E891" s="181" t="s">
        <v>901</v>
      </c>
      <c r="F891" s="181" t="s">
        <v>902</v>
      </c>
      <c r="G891" s="181" t="s">
        <v>2049</v>
      </c>
      <c r="H891" s="181" t="s">
        <v>279</v>
      </c>
      <c r="I891" s="181" t="s">
        <v>240</v>
      </c>
      <c r="J891" s="184" t="n">
        <v>36870</v>
      </c>
      <c r="K891" s="184" t="n">
        <v>14780</v>
      </c>
      <c r="L891" s="185" t="n">
        <v>19</v>
      </c>
      <c r="M891" s="173" t="n">
        <v>22090</v>
      </c>
      <c r="N891" s="184" t="n">
        <v>17892.9</v>
      </c>
      <c r="O891" s="184" t="s">
        <v>2170</v>
      </c>
      <c r="P891" s="187" t="n">
        <v>45938</v>
      </c>
      <c r="Q891" s="188" t="n">
        <v>0.140497685185185</v>
      </c>
    </row>
    <row r="892" customFormat="false" ht="35.05" hidden="false" customHeight="false" outlineLevel="0" collapsed="false">
      <c r="A892" s="181" t="s">
        <v>2171</v>
      </c>
      <c r="B892" s="182" t="n">
        <v>2182</v>
      </c>
      <c r="C892" s="183" t="n">
        <v>17</v>
      </c>
      <c r="D892" s="181" t="s">
        <v>2005</v>
      </c>
      <c r="E892" s="181" t="s">
        <v>377</v>
      </c>
      <c r="F892" s="181" t="s">
        <v>378</v>
      </c>
      <c r="G892" s="181" t="s">
        <v>2049</v>
      </c>
      <c r="H892" s="181" t="s">
        <v>279</v>
      </c>
      <c r="I892" s="181" t="s">
        <v>240</v>
      </c>
      <c r="J892" s="184" t="n">
        <v>41690</v>
      </c>
      <c r="K892" s="184" t="n">
        <v>15810</v>
      </c>
      <c r="L892" s="185" t="n">
        <v>9</v>
      </c>
      <c r="M892" s="173" t="n">
        <v>25880</v>
      </c>
      <c r="N892" s="184" t="n">
        <v>23550.8</v>
      </c>
      <c r="O892" s="184" t="s">
        <v>2172</v>
      </c>
      <c r="P892" s="187" t="n">
        <v>45938</v>
      </c>
      <c r="Q892" s="188" t="n">
        <v>0.174398148148148</v>
      </c>
    </row>
    <row r="893" customFormat="false" ht="35.05" hidden="false" customHeight="false" outlineLevel="0" collapsed="false">
      <c r="A893" s="181" t="s">
        <v>2173</v>
      </c>
      <c r="B893" s="182" t="n">
        <v>2184</v>
      </c>
      <c r="C893" s="183" t="n">
        <v>18</v>
      </c>
      <c r="D893" s="181" t="s">
        <v>2005</v>
      </c>
      <c r="E893" s="181" t="s">
        <v>277</v>
      </c>
      <c r="F893" s="181" t="s">
        <v>278</v>
      </c>
      <c r="G893" s="181" t="s">
        <v>2049</v>
      </c>
      <c r="H893" s="181" t="s">
        <v>279</v>
      </c>
      <c r="I893" s="181" t="s">
        <v>240</v>
      </c>
      <c r="J893" s="184" t="n">
        <v>41670</v>
      </c>
      <c r="K893" s="184" t="n">
        <v>15240</v>
      </c>
      <c r="L893" s="185" t="n">
        <v>22</v>
      </c>
      <c r="M893" s="173" t="n">
        <v>26430</v>
      </c>
      <c r="N893" s="184" t="n">
        <v>20615.4</v>
      </c>
      <c r="O893" s="184" t="s">
        <v>2174</v>
      </c>
      <c r="P893" s="187" t="n">
        <v>45938</v>
      </c>
      <c r="Q893" s="188" t="n">
        <v>0.316990740740741</v>
      </c>
    </row>
    <row r="894" customFormat="false" ht="35.05" hidden="false" customHeight="false" outlineLevel="0" collapsed="false">
      <c r="A894" s="181" t="s">
        <v>2175</v>
      </c>
      <c r="B894" s="182" t="n">
        <v>2185</v>
      </c>
      <c r="C894" s="183" t="n">
        <v>19</v>
      </c>
      <c r="D894" s="181" t="s">
        <v>2005</v>
      </c>
      <c r="E894" s="181" t="s">
        <v>332</v>
      </c>
      <c r="F894" s="181" t="s">
        <v>333</v>
      </c>
      <c r="G894" s="181" t="s">
        <v>2049</v>
      </c>
      <c r="H894" s="181" t="s">
        <v>279</v>
      </c>
      <c r="I894" s="181" t="s">
        <v>240</v>
      </c>
      <c r="J894" s="184" t="n">
        <v>39650</v>
      </c>
      <c r="K894" s="184" t="n">
        <v>14830</v>
      </c>
      <c r="L894" s="185" t="n">
        <v>16</v>
      </c>
      <c r="M894" s="173" t="n">
        <v>24820</v>
      </c>
      <c r="N894" s="184" t="n">
        <v>20848.8</v>
      </c>
      <c r="O894" s="184" t="s">
        <v>2176</v>
      </c>
      <c r="P894" s="187" t="n">
        <v>45938</v>
      </c>
      <c r="Q894" s="188" t="n">
        <v>0.416006944444444</v>
      </c>
    </row>
    <row r="895" customFormat="false" ht="35.05" hidden="false" customHeight="false" outlineLevel="0" collapsed="false">
      <c r="A895" s="181" t="s">
        <v>2177</v>
      </c>
      <c r="B895" s="182" t="n">
        <v>2186</v>
      </c>
      <c r="C895" s="183" t="n">
        <v>21</v>
      </c>
      <c r="D895" s="181" t="s">
        <v>2005</v>
      </c>
      <c r="E895" s="181" t="s">
        <v>391</v>
      </c>
      <c r="F895" s="181" t="s">
        <v>392</v>
      </c>
      <c r="G895" s="181" t="s">
        <v>2049</v>
      </c>
      <c r="H895" s="181" t="s">
        <v>279</v>
      </c>
      <c r="I895" s="181" t="s">
        <v>240</v>
      </c>
      <c r="J895" s="184" t="n">
        <v>34960</v>
      </c>
      <c r="K895" s="184" t="n">
        <v>14490</v>
      </c>
      <c r="L895" s="185" t="n">
        <v>24</v>
      </c>
      <c r="M895" s="173" t="n">
        <v>20470</v>
      </c>
      <c r="N895" s="184" t="n">
        <v>15557.2</v>
      </c>
      <c r="O895" s="184" t="s">
        <v>2178</v>
      </c>
      <c r="P895" s="187" t="n">
        <v>45938</v>
      </c>
      <c r="Q895" s="188" t="n">
        <v>0.435856481481482</v>
      </c>
    </row>
    <row r="896" customFormat="false" ht="35.05" hidden="false" customHeight="false" outlineLevel="0" collapsed="false">
      <c r="A896" s="181" t="s">
        <v>2179</v>
      </c>
      <c r="B896" s="182" t="n">
        <v>2188</v>
      </c>
      <c r="C896" s="183" t="n">
        <v>20</v>
      </c>
      <c r="D896" s="181" t="s">
        <v>2005</v>
      </c>
      <c r="E896" s="181" t="s">
        <v>288</v>
      </c>
      <c r="F896" s="181" t="s">
        <v>289</v>
      </c>
      <c r="G896" s="181" t="s">
        <v>2049</v>
      </c>
      <c r="H896" s="181" t="s">
        <v>279</v>
      </c>
      <c r="I896" s="181" t="s">
        <v>240</v>
      </c>
      <c r="J896" s="184" t="n">
        <v>36690</v>
      </c>
      <c r="K896" s="184" t="n">
        <v>14680</v>
      </c>
      <c r="L896" s="185" t="n">
        <v>12</v>
      </c>
      <c r="M896" s="173" t="n">
        <v>22010</v>
      </c>
      <c r="N896" s="184" t="n">
        <v>19368.8</v>
      </c>
      <c r="O896" s="184" t="s">
        <v>2180</v>
      </c>
      <c r="P896" s="187" t="n">
        <v>45938</v>
      </c>
      <c r="Q896" s="188" t="n">
        <v>0.456990740740741</v>
      </c>
    </row>
    <row r="897" customFormat="false" ht="35.05" hidden="false" customHeight="false" outlineLevel="0" collapsed="false">
      <c r="A897" s="181" t="s">
        <v>2181</v>
      </c>
      <c r="B897" s="182" t="n">
        <v>2187</v>
      </c>
      <c r="C897" s="183" t="n">
        <v>22</v>
      </c>
      <c r="D897" s="181" t="s">
        <v>2005</v>
      </c>
      <c r="E897" s="181" t="s">
        <v>529</v>
      </c>
      <c r="F897" s="181" t="s">
        <v>530</v>
      </c>
      <c r="G897" s="181" t="s">
        <v>2070</v>
      </c>
      <c r="H897" s="181" t="s">
        <v>158</v>
      </c>
      <c r="I897" s="181" t="s">
        <v>240</v>
      </c>
      <c r="J897" s="184" t="n">
        <v>37310</v>
      </c>
      <c r="K897" s="184" t="n">
        <v>14970</v>
      </c>
      <c r="L897" s="185" t="n">
        <v>13</v>
      </c>
      <c r="M897" s="173" t="n">
        <v>22340</v>
      </c>
      <c r="N897" s="184" t="n">
        <v>19435.8</v>
      </c>
      <c r="O897" s="184" t="s">
        <v>2182</v>
      </c>
      <c r="P897" s="187" t="n">
        <v>45938</v>
      </c>
      <c r="Q897" s="188" t="n">
        <v>0.493969907407407</v>
      </c>
    </row>
    <row r="898" customFormat="false" ht="35.05" hidden="false" customHeight="false" outlineLevel="0" collapsed="false">
      <c r="A898" s="181" t="s">
        <v>2183</v>
      </c>
      <c r="B898" s="182" t="n">
        <v>2189</v>
      </c>
      <c r="C898" s="183" t="n">
        <v>23</v>
      </c>
      <c r="D898" s="181" t="s">
        <v>2005</v>
      </c>
      <c r="E898" s="181" t="s">
        <v>292</v>
      </c>
      <c r="F898" s="181" t="s">
        <v>293</v>
      </c>
      <c r="G898" s="181" t="s">
        <v>2070</v>
      </c>
      <c r="H898" s="181" t="s">
        <v>158</v>
      </c>
      <c r="I898" s="181" t="s">
        <v>240</v>
      </c>
      <c r="J898" s="184" t="n">
        <v>36970</v>
      </c>
      <c r="K898" s="184" t="n">
        <v>13930</v>
      </c>
      <c r="L898" s="185" t="n">
        <v>18</v>
      </c>
      <c r="M898" s="173" t="n">
        <v>23040</v>
      </c>
      <c r="N898" s="184" t="n">
        <v>18892.8</v>
      </c>
      <c r="O898" s="184" t="s">
        <v>2184</v>
      </c>
      <c r="P898" s="187" t="n">
        <v>45938</v>
      </c>
      <c r="Q898" s="188" t="n">
        <v>0.532662037037037</v>
      </c>
    </row>
    <row r="899" customFormat="false" ht="35.05" hidden="false" customHeight="false" outlineLevel="0" collapsed="false">
      <c r="A899" s="181" t="s">
        <v>2185</v>
      </c>
      <c r="B899" s="182" t="n">
        <v>2191</v>
      </c>
      <c r="C899" s="183" t="n">
        <v>24</v>
      </c>
      <c r="D899" s="181" t="s">
        <v>2005</v>
      </c>
      <c r="E899" s="181" t="s">
        <v>266</v>
      </c>
      <c r="F899" s="181" t="s">
        <v>267</v>
      </c>
      <c r="G899" s="181" t="s">
        <v>2070</v>
      </c>
      <c r="H899" s="181" t="s">
        <v>158</v>
      </c>
      <c r="I899" s="181" t="s">
        <v>240</v>
      </c>
      <c r="J899" s="184" t="n">
        <v>39190</v>
      </c>
      <c r="K899" s="184" t="n">
        <v>15110</v>
      </c>
      <c r="L899" s="185" t="n">
        <v>9</v>
      </c>
      <c r="M899" s="173" t="n">
        <v>24080</v>
      </c>
      <c r="N899" s="184" t="n">
        <v>21912.8</v>
      </c>
      <c r="O899" s="184" t="s">
        <v>2186</v>
      </c>
      <c r="P899" s="187" t="n">
        <v>45938</v>
      </c>
      <c r="Q899" s="188" t="n">
        <v>0.611446759259259</v>
      </c>
    </row>
    <row r="900" customFormat="false" ht="35.05" hidden="false" customHeight="false" outlineLevel="0" collapsed="false">
      <c r="A900" s="181" t="s">
        <v>2187</v>
      </c>
      <c r="B900" s="182" t="n">
        <v>2192</v>
      </c>
      <c r="C900" s="183" t="n">
        <v>25</v>
      </c>
      <c r="D900" s="181" t="s">
        <v>2005</v>
      </c>
      <c r="E900" s="181" t="s">
        <v>582</v>
      </c>
      <c r="F900" s="181" t="s">
        <v>583</v>
      </c>
      <c r="G900" s="181" t="s">
        <v>2070</v>
      </c>
      <c r="H900" s="181" t="s">
        <v>158</v>
      </c>
      <c r="I900" s="181" t="s">
        <v>240</v>
      </c>
      <c r="J900" s="184" t="n">
        <v>42070</v>
      </c>
      <c r="K900" s="184" t="n">
        <v>14900</v>
      </c>
      <c r="L900" s="185" t="n">
        <v>9</v>
      </c>
      <c r="M900" s="173" t="n">
        <v>27170</v>
      </c>
      <c r="N900" s="184" t="n">
        <v>24724.7</v>
      </c>
      <c r="O900" s="184" t="s">
        <v>2188</v>
      </c>
      <c r="P900" s="187" t="n">
        <v>45938</v>
      </c>
      <c r="Q900" s="188" t="n">
        <v>0.645625</v>
      </c>
    </row>
    <row r="901" customFormat="false" ht="35.05" hidden="false" customHeight="false" outlineLevel="0" collapsed="false">
      <c r="A901" s="181" t="s">
        <v>2189</v>
      </c>
      <c r="B901" s="182" t="n">
        <v>2198</v>
      </c>
      <c r="C901" s="183" t="n">
        <v>27</v>
      </c>
      <c r="D901" s="181" t="s">
        <v>2005</v>
      </c>
      <c r="E901" s="181" t="s">
        <v>346</v>
      </c>
      <c r="F901" s="181" t="s">
        <v>347</v>
      </c>
      <c r="G901" s="181" t="s">
        <v>2070</v>
      </c>
      <c r="H901" s="181" t="s">
        <v>158</v>
      </c>
      <c r="I901" s="181" t="s">
        <v>240</v>
      </c>
      <c r="J901" s="184" t="n">
        <v>42650</v>
      </c>
      <c r="K901" s="184" t="n">
        <v>15250</v>
      </c>
      <c r="L901" s="185" t="n">
        <v>10</v>
      </c>
      <c r="M901" s="173" t="n">
        <v>27400</v>
      </c>
      <c r="N901" s="184" t="n">
        <v>24660</v>
      </c>
      <c r="O901" s="184" t="s">
        <v>2190</v>
      </c>
      <c r="P901" s="187" t="n">
        <v>45938</v>
      </c>
      <c r="Q901" s="188" t="n">
        <v>0.667349537037037</v>
      </c>
    </row>
    <row r="902" customFormat="false" ht="35.05" hidden="false" customHeight="false" outlineLevel="0" collapsed="false">
      <c r="A902" s="181" t="s">
        <v>2191</v>
      </c>
      <c r="B902" s="182" t="n">
        <v>2209</v>
      </c>
      <c r="C902" s="183" t="n">
        <v>4</v>
      </c>
      <c r="D902" s="181" t="s">
        <v>2005</v>
      </c>
      <c r="E902" s="181" t="s">
        <v>399</v>
      </c>
      <c r="F902" s="181" t="s">
        <v>400</v>
      </c>
      <c r="G902" s="181" t="s">
        <v>2070</v>
      </c>
      <c r="H902" s="181" t="s">
        <v>158</v>
      </c>
      <c r="I902" s="181" t="s">
        <v>240</v>
      </c>
      <c r="J902" s="184" t="n">
        <v>43020</v>
      </c>
      <c r="K902" s="184" t="n">
        <v>19460</v>
      </c>
      <c r="L902" s="185" t="n">
        <v>8</v>
      </c>
      <c r="M902" s="173" t="n">
        <v>23560</v>
      </c>
      <c r="N902" s="184" t="n">
        <v>21675.2</v>
      </c>
      <c r="O902" s="184" t="s">
        <v>2192</v>
      </c>
      <c r="P902" s="187" t="n">
        <v>45938</v>
      </c>
      <c r="Q902" s="188" t="n">
        <v>0.689456018518519</v>
      </c>
    </row>
    <row r="903" customFormat="false" ht="35.05" hidden="false" customHeight="false" outlineLevel="0" collapsed="false">
      <c r="A903" s="181" t="s">
        <v>2193</v>
      </c>
      <c r="B903" s="182" t="n">
        <v>2200</v>
      </c>
      <c r="C903" s="183" t="n">
        <v>26</v>
      </c>
      <c r="D903" s="181" t="s">
        <v>2005</v>
      </c>
      <c r="E903" s="181" t="s">
        <v>272</v>
      </c>
      <c r="F903" s="181" t="s">
        <v>273</v>
      </c>
      <c r="G903" s="181" t="s">
        <v>2070</v>
      </c>
      <c r="H903" s="181" t="s">
        <v>158</v>
      </c>
      <c r="I903" s="181" t="s">
        <v>240</v>
      </c>
      <c r="J903" s="184" t="n">
        <v>40100</v>
      </c>
      <c r="K903" s="184" t="n">
        <v>15720</v>
      </c>
      <c r="L903" s="185" t="n">
        <v>9</v>
      </c>
      <c r="M903" s="173" t="n">
        <v>24380</v>
      </c>
      <c r="N903" s="184" t="n">
        <v>22185.8</v>
      </c>
      <c r="O903" s="184" t="s">
        <v>2194</v>
      </c>
      <c r="P903" s="187" t="n">
        <v>45938</v>
      </c>
      <c r="Q903" s="188" t="n">
        <v>0.712314814814815</v>
      </c>
    </row>
    <row r="904" customFormat="false" ht="35.05" hidden="false" customHeight="false" outlineLevel="0" collapsed="false">
      <c r="A904" s="181" t="s">
        <v>2195</v>
      </c>
      <c r="B904" s="182" t="n">
        <v>2210</v>
      </c>
      <c r="C904" s="183" t="n">
        <v>3</v>
      </c>
      <c r="D904" s="181" t="s">
        <v>2005</v>
      </c>
      <c r="E904" s="181" t="s">
        <v>373</v>
      </c>
      <c r="F904" s="181" t="s">
        <v>374</v>
      </c>
      <c r="G904" s="181" t="s">
        <v>2070</v>
      </c>
      <c r="H904" s="181" t="s">
        <v>158</v>
      </c>
      <c r="I904" s="181" t="s">
        <v>240</v>
      </c>
      <c r="J904" s="184" t="n">
        <v>41080</v>
      </c>
      <c r="K904" s="184" t="n">
        <v>14320</v>
      </c>
      <c r="L904" s="185" t="n">
        <v>11</v>
      </c>
      <c r="M904" s="173" t="n">
        <v>26760</v>
      </c>
      <c r="N904" s="184" t="n">
        <v>23816.4</v>
      </c>
      <c r="O904" s="184" t="s">
        <v>2196</v>
      </c>
      <c r="P904" s="187" t="n">
        <v>45938</v>
      </c>
      <c r="Q904" s="188" t="n">
        <v>0.728078703703704</v>
      </c>
    </row>
    <row r="905" customFormat="false" ht="35.05" hidden="false" customHeight="false" outlineLevel="0" collapsed="false">
      <c r="A905" s="181" t="s">
        <v>2197</v>
      </c>
      <c r="B905" s="182" t="n">
        <v>2212</v>
      </c>
      <c r="C905" s="183" t="n">
        <v>5</v>
      </c>
      <c r="D905" s="181" t="s">
        <v>2005</v>
      </c>
      <c r="E905" s="181" t="s">
        <v>308</v>
      </c>
      <c r="F905" s="181" t="s">
        <v>309</v>
      </c>
      <c r="G905" s="181" t="s">
        <v>2070</v>
      </c>
      <c r="H905" s="181" t="s">
        <v>158</v>
      </c>
      <c r="I905" s="181" t="s">
        <v>240</v>
      </c>
      <c r="J905" s="184" t="n">
        <v>49570</v>
      </c>
      <c r="K905" s="184" t="n">
        <v>24060</v>
      </c>
      <c r="L905" s="185" t="n">
        <v>11</v>
      </c>
      <c r="M905" s="173" t="n">
        <v>25510</v>
      </c>
      <c r="N905" s="184" t="n">
        <v>22703.9</v>
      </c>
      <c r="O905" s="184" t="s">
        <v>2198</v>
      </c>
      <c r="P905" s="187" t="n">
        <v>45938</v>
      </c>
      <c r="Q905" s="188" t="n">
        <v>0.761261574074074</v>
      </c>
    </row>
    <row r="906" customFormat="false" ht="35.05" hidden="false" customHeight="false" outlineLevel="0" collapsed="false">
      <c r="A906" s="181" t="s">
        <v>2199</v>
      </c>
      <c r="B906" s="182" t="n">
        <v>2201</v>
      </c>
      <c r="C906" s="183" t="n">
        <v>28</v>
      </c>
      <c r="D906" s="181" t="s">
        <v>2005</v>
      </c>
      <c r="E906" s="181" t="s">
        <v>413</v>
      </c>
      <c r="F906" s="181" t="s">
        <v>414</v>
      </c>
      <c r="G906" s="181" t="s">
        <v>2070</v>
      </c>
      <c r="H906" s="181" t="s">
        <v>158</v>
      </c>
      <c r="I906" s="181" t="s">
        <v>240</v>
      </c>
      <c r="J906" s="184" t="n">
        <v>45650</v>
      </c>
      <c r="K906" s="184" t="n">
        <v>15740</v>
      </c>
      <c r="L906" s="185" t="n">
        <v>9</v>
      </c>
      <c r="M906" s="173" t="n">
        <v>29910</v>
      </c>
      <c r="N906" s="184" t="n">
        <v>27218.1</v>
      </c>
      <c r="O906" s="184" t="s">
        <v>2200</v>
      </c>
      <c r="P906" s="187" t="n">
        <v>45938</v>
      </c>
      <c r="Q906" s="188" t="n">
        <v>0.801469907407407</v>
      </c>
    </row>
    <row r="907" customFormat="false" ht="35.05" hidden="false" customHeight="false" outlineLevel="0" collapsed="false">
      <c r="A907" s="181" t="s">
        <v>2201</v>
      </c>
      <c r="B907" s="182" t="n">
        <v>2213</v>
      </c>
      <c r="C907" s="183" t="n">
        <v>6</v>
      </c>
      <c r="D907" s="181" t="s">
        <v>2005</v>
      </c>
      <c r="E907" s="181" t="s">
        <v>354</v>
      </c>
      <c r="F907" s="181" t="s">
        <v>355</v>
      </c>
      <c r="G907" s="181" t="s">
        <v>2070</v>
      </c>
      <c r="H907" s="181" t="s">
        <v>158</v>
      </c>
      <c r="I907" s="181" t="s">
        <v>240</v>
      </c>
      <c r="J907" s="184" t="n">
        <v>40390</v>
      </c>
      <c r="K907" s="184" t="n">
        <v>14710</v>
      </c>
      <c r="L907" s="185" t="n">
        <v>8</v>
      </c>
      <c r="M907" s="173" t="n">
        <v>25680</v>
      </c>
      <c r="N907" s="184" t="n">
        <v>23625.6</v>
      </c>
      <c r="O907" s="184" t="s">
        <v>2202</v>
      </c>
      <c r="P907" s="187" t="n">
        <v>45938</v>
      </c>
      <c r="Q907" s="188" t="n">
        <v>0.807719907407407</v>
      </c>
    </row>
    <row r="908" customFormat="false" ht="35.05" hidden="false" customHeight="false" outlineLevel="0" collapsed="false">
      <c r="A908" s="181" t="s">
        <v>2203</v>
      </c>
      <c r="B908" s="182" t="n">
        <v>2214</v>
      </c>
      <c r="C908" s="183" t="n">
        <v>7</v>
      </c>
      <c r="D908" s="181" t="s">
        <v>2005</v>
      </c>
      <c r="E908" s="181" t="s">
        <v>359</v>
      </c>
      <c r="F908" s="181" t="s">
        <v>360</v>
      </c>
      <c r="G908" s="181" t="s">
        <v>2070</v>
      </c>
      <c r="H908" s="181" t="s">
        <v>158</v>
      </c>
      <c r="I908" s="181" t="s">
        <v>240</v>
      </c>
      <c r="J908" s="184" t="n">
        <v>37450</v>
      </c>
      <c r="K908" s="184" t="n">
        <v>14890</v>
      </c>
      <c r="L908" s="185" t="n">
        <v>13</v>
      </c>
      <c r="M908" s="173" t="n">
        <v>22560</v>
      </c>
      <c r="N908" s="184" t="n">
        <v>19627.2</v>
      </c>
      <c r="O908" s="184" t="s">
        <v>2204</v>
      </c>
      <c r="P908" s="187" t="n">
        <v>45938</v>
      </c>
      <c r="Q908" s="188" t="n">
        <v>0.812233796296296</v>
      </c>
    </row>
    <row r="909" customFormat="false" ht="35.05" hidden="false" customHeight="false" outlineLevel="0" collapsed="false">
      <c r="A909" s="181" t="s">
        <v>2205</v>
      </c>
      <c r="B909" s="182" t="n">
        <v>2205</v>
      </c>
      <c r="C909" s="183" t="n">
        <v>29</v>
      </c>
      <c r="D909" s="181" t="s">
        <v>2005</v>
      </c>
      <c r="E909" s="181" t="s">
        <v>383</v>
      </c>
      <c r="F909" s="181" t="s">
        <v>384</v>
      </c>
      <c r="G909" s="181" t="s">
        <v>2070</v>
      </c>
      <c r="H909" s="181" t="s">
        <v>158</v>
      </c>
      <c r="I909" s="181" t="s">
        <v>240</v>
      </c>
      <c r="J909" s="184" t="n">
        <v>42240</v>
      </c>
      <c r="K909" s="184" t="n">
        <v>15060</v>
      </c>
      <c r="L909" s="185" t="n">
        <v>6</v>
      </c>
      <c r="M909" s="173" t="n">
        <v>27180</v>
      </c>
      <c r="N909" s="184" t="n">
        <v>25549.2</v>
      </c>
      <c r="O909" s="184" t="s">
        <v>2206</v>
      </c>
      <c r="P909" s="187" t="n">
        <v>45938</v>
      </c>
      <c r="Q909" s="188" t="n">
        <v>0.821064814814815</v>
      </c>
    </row>
    <row r="910" customFormat="false" ht="35.05" hidden="false" customHeight="false" outlineLevel="0" collapsed="false">
      <c r="A910" s="181" t="s">
        <v>2207</v>
      </c>
      <c r="B910" s="182" t="n">
        <v>2215</v>
      </c>
      <c r="C910" s="183" t="n">
        <v>8</v>
      </c>
      <c r="D910" s="181" t="s">
        <v>2005</v>
      </c>
      <c r="E910" s="181" t="s">
        <v>409</v>
      </c>
      <c r="F910" s="181" t="s">
        <v>410</v>
      </c>
      <c r="G910" s="181" t="s">
        <v>2070</v>
      </c>
      <c r="H910" s="181" t="s">
        <v>158</v>
      </c>
      <c r="I910" s="181" t="s">
        <v>240</v>
      </c>
      <c r="J910" s="184" t="n">
        <v>54820</v>
      </c>
      <c r="K910" s="184" t="n">
        <v>24430</v>
      </c>
      <c r="L910" s="185" t="n">
        <v>9</v>
      </c>
      <c r="M910" s="173" t="n">
        <v>30390</v>
      </c>
      <c r="N910" s="184" t="n">
        <v>27654.9</v>
      </c>
      <c r="O910" s="184" t="s">
        <v>2208</v>
      </c>
      <c r="P910" s="187" t="n">
        <v>45938</v>
      </c>
      <c r="Q910" s="188" t="n">
        <v>0.824791666666667</v>
      </c>
    </row>
    <row r="911" customFormat="false" ht="35.05" hidden="false" customHeight="false" outlineLevel="0" collapsed="false">
      <c r="A911" s="181" t="s">
        <v>2209</v>
      </c>
      <c r="B911" s="182" t="n">
        <v>2206</v>
      </c>
      <c r="C911" s="183" t="n">
        <v>1</v>
      </c>
      <c r="D911" s="181" t="s">
        <v>2005</v>
      </c>
      <c r="E911" s="181" t="s">
        <v>387</v>
      </c>
      <c r="F911" s="181" t="s">
        <v>388</v>
      </c>
      <c r="G911" s="181" t="s">
        <v>2070</v>
      </c>
      <c r="H911" s="181" t="s">
        <v>158</v>
      </c>
      <c r="I911" s="181" t="s">
        <v>240</v>
      </c>
      <c r="J911" s="184" t="n">
        <v>44060</v>
      </c>
      <c r="K911" s="184" t="n">
        <v>15210</v>
      </c>
      <c r="L911" s="185" t="n">
        <v>9</v>
      </c>
      <c r="M911" s="173" t="n">
        <v>28850</v>
      </c>
      <c r="N911" s="184" t="n">
        <v>26253.5</v>
      </c>
      <c r="O911" s="184" t="s">
        <v>2210</v>
      </c>
      <c r="P911" s="187" t="n">
        <v>45938</v>
      </c>
      <c r="Q911" s="188" t="n">
        <v>0.852465277777778</v>
      </c>
    </row>
    <row r="912" customFormat="false" ht="35.05" hidden="false" customHeight="false" outlineLevel="0" collapsed="false">
      <c r="A912" s="181" t="s">
        <v>2211</v>
      </c>
      <c r="B912" s="182" t="n">
        <v>2216</v>
      </c>
      <c r="C912" s="183" t="s">
        <v>2212</v>
      </c>
      <c r="D912" s="181" t="s">
        <v>2005</v>
      </c>
      <c r="E912" s="181" t="s">
        <v>336</v>
      </c>
      <c r="F912" s="181" t="s">
        <v>337</v>
      </c>
      <c r="G912" s="181" t="s">
        <v>2070</v>
      </c>
      <c r="H912" s="181" t="s">
        <v>158</v>
      </c>
      <c r="I912" s="181" t="s">
        <v>240</v>
      </c>
      <c r="J912" s="184" t="n">
        <v>36240</v>
      </c>
      <c r="K912" s="184" t="n">
        <v>14630</v>
      </c>
      <c r="L912" s="185" t="n">
        <v>10</v>
      </c>
      <c r="M912" s="173" t="n">
        <v>21610</v>
      </c>
      <c r="N912" s="184" t="n">
        <v>19449</v>
      </c>
      <c r="O912" s="184" t="s">
        <v>2213</v>
      </c>
      <c r="P912" s="187" t="n">
        <v>45938</v>
      </c>
      <c r="Q912" s="188" t="n">
        <v>0.8884375</v>
      </c>
    </row>
    <row r="913" customFormat="false" ht="35.05" hidden="false" customHeight="false" outlineLevel="0" collapsed="false">
      <c r="A913" s="181" t="s">
        <v>2214</v>
      </c>
      <c r="B913" s="182" t="n">
        <v>2207</v>
      </c>
      <c r="C913" s="183" t="n">
        <v>2</v>
      </c>
      <c r="D913" s="181" t="s">
        <v>2005</v>
      </c>
      <c r="E913" s="181" t="s">
        <v>350</v>
      </c>
      <c r="F913" s="181" t="s">
        <v>351</v>
      </c>
      <c r="G913" s="181" t="s">
        <v>2070</v>
      </c>
      <c r="H913" s="181" t="s">
        <v>158</v>
      </c>
      <c r="I913" s="181" t="s">
        <v>240</v>
      </c>
      <c r="J913" s="184" t="n">
        <v>43910</v>
      </c>
      <c r="K913" s="184" t="n">
        <v>14980</v>
      </c>
      <c r="L913" s="185" t="n">
        <v>7</v>
      </c>
      <c r="M913" s="173" t="n">
        <v>28930</v>
      </c>
      <c r="N913" s="184" t="n">
        <v>26904.9</v>
      </c>
      <c r="O913" s="184" t="s">
        <v>2215</v>
      </c>
      <c r="P913" s="187" t="n">
        <v>45938</v>
      </c>
      <c r="Q913" s="188" t="n">
        <v>0.905532407407407</v>
      </c>
    </row>
    <row r="914" customFormat="false" ht="35.05" hidden="false" customHeight="false" outlineLevel="0" collapsed="false">
      <c r="A914" s="181" t="s">
        <v>2216</v>
      </c>
      <c r="B914" s="182" t="n">
        <v>2217</v>
      </c>
      <c r="C914" s="183" t="n">
        <v>11</v>
      </c>
      <c r="D914" s="181" t="s">
        <v>2005</v>
      </c>
      <c r="E914" s="181" t="s">
        <v>377</v>
      </c>
      <c r="F914" s="181" t="s">
        <v>378</v>
      </c>
      <c r="G914" s="181" t="s">
        <v>2070</v>
      </c>
      <c r="H914" s="181" t="s">
        <v>158</v>
      </c>
      <c r="I914" s="181" t="s">
        <v>240</v>
      </c>
      <c r="J914" s="184" t="n">
        <v>36620</v>
      </c>
      <c r="K914" s="184" t="n">
        <v>15900</v>
      </c>
      <c r="L914" s="185" t="n">
        <v>16</v>
      </c>
      <c r="M914" s="173" t="n">
        <v>20720</v>
      </c>
      <c r="N914" s="184" t="n">
        <v>17404.8</v>
      </c>
      <c r="O914" s="184" t="s">
        <v>2217</v>
      </c>
      <c r="P914" s="187" t="n">
        <v>45938</v>
      </c>
      <c r="Q914" s="188" t="n">
        <v>0.942060185185185</v>
      </c>
    </row>
    <row r="915" customFormat="false" ht="35.05" hidden="false" customHeight="false" outlineLevel="0" collapsed="false">
      <c r="A915" s="181" t="s">
        <v>2218</v>
      </c>
      <c r="B915" s="182" t="n">
        <v>2218</v>
      </c>
      <c r="C915" s="183" t="n">
        <v>10</v>
      </c>
      <c r="D915" s="181" t="s">
        <v>2005</v>
      </c>
      <c r="E915" s="181" t="s">
        <v>340</v>
      </c>
      <c r="F915" s="181" t="s">
        <v>341</v>
      </c>
      <c r="G915" s="181" t="s">
        <v>2070</v>
      </c>
      <c r="H915" s="181" t="s">
        <v>158</v>
      </c>
      <c r="I915" s="181" t="s">
        <v>240</v>
      </c>
      <c r="J915" s="184" t="n">
        <v>36600</v>
      </c>
      <c r="K915" s="184" t="n">
        <v>15060</v>
      </c>
      <c r="L915" s="185" t="n">
        <v>8</v>
      </c>
      <c r="M915" s="173" t="n">
        <v>21540</v>
      </c>
      <c r="N915" s="184" t="n">
        <v>19816.8</v>
      </c>
      <c r="O915" s="184" t="s">
        <v>2219</v>
      </c>
      <c r="P915" s="187" t="n">
        <v>45938</v>
      </c>
      <c r="Q915" s="188" t="n">
        <v>0.950405092592593</v>
      </c>
    </row>
    <row r="916" customFormat="false" ht="35.05" hidden="false" customHeight="false" outlineLevel="0" collapsed="false">
      <c r="A916" s="181" t="s">
        <v>2220</v>
      </c>
      <c r="B916" s="182" t="n">
        <v>2220</v>
      </c>
      <c r="C916" s="183" t="n">
        <v>12</v>
      </c>
      <c r="D916" s="181" t="s">
        <v>2005</v>
      </c>
      <c r="E916" s="181" t="s">
        <v>901</v>
      </c>
      <c r="F916" s="181" t="s">
        <v>902</v>
      </c>
      <c r="G916" s="181" t="s">
        <v>2070</v>
      </c>
      <c r="H916" s="181" t="s">
        <v>158</v>
      </c>
      <c r="I916" s="181" t="s">
        <v>240</v>
      </c>
      <c r="J916" s="184" t="n">
        <v>33910</v>
      </c>
      <c r="K916" s="184" t="n">
        <v>14680</v>
      </c>
      <c r="L916" s="185" t="n">
        <v>5</v>
      </c>
      <c r="M916" s="173" t="n">
        <v>19230</v>
      </c>
      <c r="N916" s="184" t="n">
        <v>18268.5</v>
      </c>
      <c r="O916" s="184" t="s">
        <v>2221</v>
      </c>
      <c r="P916" s="187" t="n">
        <v>45938</v>
      </c>
      <c r="Q916" s="188" t="n">
        <v>0.95369212962963</v>
      </c>
    </row>
    <row r="917" customFormat="false" ht="35.05" hidden="false" customHeight="false" outlineLevel="0" collapsed="false">
      <c r="A917" s="181" t="s">
        <v>2222</v>
      </c>
      <c r="B917" s="182" t="n">
        <v>2221</v>
      </c>
      <c r="C917" s="183" t="n">
        <v>19</v>
      </c>
      <c r="D917" s="181" t="s">
        <v>2005</v>
      </c>
      <c r="E917" s="181" t="s">
        <v>332</v>
      </c>
      <c r="F917" s="181" t="s">
        <v>333</v>
      </c>
      <c r="G917" s="181" t="s">
        <v>2070</v>
      </c>
      <c r="H917" s="181" t="s">
        <v>158</v>
      </c>
      <c r="I917" s="181" t="s">
        <v>240</v>
      </c>
      <c r="J917" s="184" t="n">
        <v>30970</v>
      </c>
      <c r="K917" s="184" t="n">
        <v>14760</v>
      </c>
      <c r="L917" s="185" t="n">
        <v>12</v>
      </c>
      <c r="M917" s="173" t="n">
        <v>16210</v>
      </c>
      <c r="N917" s="184" t="n">
        <v>14264.8</v>
      </c>
      <c r="O917" s="184" t="s">
        <v>2223</v>
      </c>
      <c r="P917" s="187" t="n">
        <v>45938</v>
      </c>
      <c r="Q917" s="188" t="n">
        <v>0.955752314814815</v>
      </c>
    </row>
    <row r="918" customFormat="false" ht="35.05" hidden="false" customHeight="false" outlineLevel="0" collapsed="false">
      <c r="A918" s="181" t="s">
        <v>2224</v>
      </c>
      <c r="B918" s="182" t="n">
        <v>2222</v>
      </c>
      <c r="C918" s="183" t="n">
        <v>18</v>
      </c>
      <c r="D918" s="181" t="s">
        <v>2005</v>
      </c>
      <c r="E918" s="181" t="s">
        <v>277</v>
      </c>
      <c r="F918" s="181" t="s">
        <v>278</v>
      </c>
      <c r="G918" s="181" t="s">
        <v>2070</v>
      </c>
      <c r="H918" s="181" t="s">
        <v>158</v>
      </c>
      <c r="I918" s="181" t="s">
        <v>240</v>
      </c>
      <c r="J918" s="184" t="n">
        <v>35060</v>
      </c>
      <c r="K918" s="184" t="n">
        <v>15160</v>
      </c>
      <c r="L918" s="185" t="n">
        <v>17</v>
      </c>
      <c r="M918" s="173" t="n">
        <v>19900</v>
      </c>
      <c r="N918" s="184" t="n">
        <v>16517</v>
      </c>
      <c r="O918" s="184" t="s">
        <v>2225</v>
      </c>
      <c r="P918" s="187" t="n">
        <v>45938</v>
      </c>
      <c r="Q918" s="188" t="n">
        <v>0.957673611111111</v>
      </c>
    </row>
    <row r="919" customFormat="false" ht="46.25" hidden="false" customHeight="false" outlineLevel="0" collapsed="false">
      <c r="A919" s="181" t="s">
        <v>2226</v>
      </c>
      <c r="B919" s="182" t="n">
        <v>2224</v>
      </c>
      <c r="C919" s="183" t="n">
        <v>7951</v>
      </c>
      <c r="D919" s="181" t="s">
        <v>2066</v>
      </c>
      <c r="E919" s="181" t="s">
        <v>545</v>
      </c>
      <c r="F919" s="181" t="s">
        <v>546</v>
      </c>
      <c r="G919" s="181" t="s">
        <v>2067</v>
      </c>
      <c r="H919" s="181" t="s">
        <v>279</v>
      </c>
      <c r="I919" s="181" t="s">
        <v>241</v>
      </c>
      <c r="J919" s="184" t="n">
        <v>43310</v>
      </c>
      <c r="K919" s="184" t="n">
        <v>16150</v>
      </c>
      <c r="L919" s="185" t="n">
        <v>5</v>
      </c>
      <c r="M919" s="173" t="n">
        <v>27160</v>
      </c>
      <c r="N919" s="184" t="n">
        <v>25802</v>
      </c>
      <c r="O919" s="184" t="s">
        <v>2227</v>
      </c>
      <c r="P919" s="187" t="n">
        <v>45939</v>
      </c>
      <c r="Q919" s="188" t="n">
        <v>0.382326388888889</v>
      </c>
    </row>
    <row r="920" customFormat="false" ht="46.25" hidden="false" customHeight="false" outlineLevel="0" collapsed="false">
      <c r="A920" s="181" t="s">
        <v>2228</v>
      </c>
      <c r="B920" s="182" t="n">
        <v>2225</v>
      </c>
      <c r="C920" s="183" t="n">
        <v>7952</v>
      </c>
      <c r="D920" s="181" t="s">
        <v>2066</v>
      </c>
      <c r="E920" s="181" t="s">
        <v>549</v>
      </c>
      <c r="F920" s="181" t="s">
        <v>550</v>
      </c>
      <c r="G920" s="181" t="s">
        <v>2067</v>
      </c>
      <c r="H920" s="181" t="s">
        <v>279</v>
      </c>
      <c r="I920" s="181" t="s">
        <v>241</v>
      </c>
      <c r="J920" s="184" t="n">
        <v>43110</v>
      </c>
      <c r="K920" s="184" t="n">
        <v>15940</v>
      </c>
      <c r="L920" s="185" t="n">
        <v>5</v>
      </c>
      <c r="M920" s="173" t="n">
        <v>27170</v>
      </c>
      <c r="N920" s="184" t="n">
        <v>25811.5</v>
      </c>
      <c r="O920" s="184" t="s">
        <v>2229</v>
      </c>
      <c r="P920" s="187" t="n">
        <v>45939</v>
      </c>
      <c r="Q920" s="188" t="n">
        <v>0.413900462962963</v>
      </c>
    </row>
    <row r="921" customFormat="false" ht="46.25" hidden="false" customHeight="false" outlineLevel="0" collapsed="false">
      <c r="A921" s="181" t="s">
        <v>2230</v>
      </c>
      <c r="B921" s="182" t="n">
        <v>2227</v>
      </c>
      <c r="C921" s="183" t="n">
        <v>7853</v>
      </c>
      <c r="D921" s="181" t="s">
        <v>2066</v>
      </c>
      <c r="E921" s="181" t="s">
        <v>537</v>
      </c>
      <c r="F921" s="181" t="s">
        <v>538</v>
      </c>
      <c r="G921" s="181" t="s">
        <v>2067</v>
      </c>
      <c r="H921" s="181" t="s">
        <v>279</v>
      </c>
      <c r="I921" s="181" t="s">
        <v>241</v>
      </c>
      <c r="J921" s="184" t="n">
        <v>36340</v>
      </c>
      <c r="K921" s="184" t="n">
        <v>14030</v>
      </c>
      <c r="L921" s="185" t="n">
        <v>10</v>
      </c>
      <c r="M921" s="173" t="n">
        <v>22310</v>
      </c>
      <c r="N921" s="184" t="n">
        <v>20079</v>
      </c>
      <c r="O921" s="184" t="s">
        <v>2231</v>
      </c>
      <c r="P921" s="187" t="n">
        <v>45939</v>
      </c>
      <c r="Q921" s="188" t="n">
        <v>0.460787037037037</v>
      </c>
    </row>
    <row r="922" customFormat="false" ht="46.25" hidden="false" customHeight="false" outlineLevel="0" collapsed="false">
      <c r="A922" s="181" t="s">
        <v>2232</v>
      </c>
      <c r="B922" s="182" t="n">
        <v>2231</v>
      </c>
      <c r="C922" s="183" t="n">
        <v>7955</v>
      </c>
      <c r="D922" s="181" t="s">
        <v>2066</v>
      </c>
      <c r="E922" s="181" t="s">
        <v>533</v>
      </c>
      <c r="F922" s="181" t="s">
        <v>534</v>
      </c>
      <c r="G922" s="181" t="s">
        <v>2067</v>
      </c>
      <c r="H922" s="181" t="s">
        <v>279</v>
      </c>
      <c r="I922" s="181" t="s">
        <v>241</v>
      </c>
      <c r="J922" s="184" t="n">
        <v>39920</v>
      </c>
      <c r="K922" s="184" t="n">
        <v>14700</v>
      </c>
      <c r="L922" s="185" t="n">
        <v>10</v>
      </c>
      <c r="M922" s="173" t="n">
        <v>25220</v>
      </c>
      <c r="N922" s="184" t="n">
        <v>22698</v>
      </c>
      <c r="O922" s="184" t="s">
        <v>2233</v>
      </c>
      <c r="P922" s="187" t="n">
        <v>45939</v>
      </c>
      <c r="Q922" s="188" t="n">
        <v>0.484756944444444</v>
      </c>
    </row>
    <row r="923" customFormat="false" ht="46.25" hidden="false" customHeight="false" outlineLevel="0" collapsed="false">
      <c r="A923" s="181" t="s">
        <v>2234</v>
      </c>
      <c r="B923" s="182" t="n">
        <v>2232</v>
      </c>
      <c r="C923" s="183" t="n">
        <v>7954</v>
      </c>
      <c r="D923" s="181" t="s">
        <v>2066</v>
      </c>
      <c r="E923" s="181" t="s">
        <v>541</v>
      </c>
      <c r="F923" s="181" t="s">
        <v>542</v>
      </c>
      <c r="G923" s="181" t="s">
        <v>2067</v>
      </c>
      <c r="H923" s="181" t="s">
        <v>279</v>
      </c>
      <c r="I923" s="181" t="s">
        <v>241</v>
      </c>
      <c r="J923" s="184" t="n">
        <v>41100</v>
      </c>
      <c r="K923" s="184" t="n">
        <v>15060</v>
      </c>
      <c r="L923" s="185" t="n">
        <v>5</v>
      </c>
      <c r="M923" s="173" t="n">
        <v>26040</v>
      </c>
      <c r="N923" s="184" t="n">
        <v>24738</v>
      </c>
      <c r="O923" s="184" t="s">
        <v>2235</v>
      </c>
      <c r="P923" s="187" t="n">
        <v>45939</v>
      </c>
      <c r="Q923" s="188" t="n">
        <v>0.550046296296296</v>
      </c>
    </row>
    <row r="924" customFormat="false" ht="46.25" hidden="false" customHeight="false" outlineLevel="0" collapsed="false">
      <c r="A924" s="181" t="s">
        <v>2236</v>
      </c>
      <c r="B924" s="182" t="n">
        <v>2234</v>
      </c>
      <c r="C924" s="183" t="n">
        <v>7958</v>
      </c>
      <c r="D924" s="181" t="s">
        <v>2066</v>
      </c>
      <c r="E924" s="181" t="s">
        <v>1019</v>
      </c>
      <c r="F924" s="181" t="s">
        <v>1020</v>
      </c>
      <c r="G924" s="181" t="s">
        <v>2067</v>
      </c>
      <c r="H924" s="181" t="s">
        <v>279</v>
      </c>
      <c r="I924" s="181" t="s">
        <v>241</v>
      </c>
      <c r="J924" s="184" t="n">
        <v>42410</v>
      </c>
      <c r="K924" s="184" t="n">
        <v>17130</v>
      </c>
      <c r="L924" s="185" t="n">
        <v>10</v>
      </c>
      <c r="M924" s="173" t="n">
        <v>25280</v>
      </c>
      <c r="N924" s="184" t="n">
        <v>22752</v>
      </c>
      <c r="O924" s="184" t="s">
        <v>2237</v>
      </c>
      <c r="P924" s="187" t="n">
        <v>45939</v>
      </c>
      <c r="Q924" s="188" t="n">
        <v>0.590497685185185</v>
      </c>
    </row>
    <row r="925" customFormat="false" ht="46.25" hidden="false" customHeight="false" outlineLevel="0" collapsed="false">
      <c r="A925" s="181" t="s">
        <v>2238</v>
      </c>
      <c r="B925" s="182" t="n">
        <v>2236</v>
      </c>
      <c r="C925" s="183" t="n">
        <v>7959</v>
      </c>
      <c r="D925" s="181" t="s">
        <v>2066</v>
      </c>
      <c r="E925" s="181" t="s">
        <v>1027</v>
      </c>
      <c r="F925" s="181" t="s">
        <v>1028</v>
      </c>
      <c r="G925" s="181" t="s">
        <v>2067</v>
      </c>
      <c r="H925" s="181" t="s">
        <v>279</v>
      </c>
      <c r="I925" s="181" t="s">
        <v>241</v>
      </c>
      <c r="J925" s="184" t="n">
        <v>39830</v>
      </c>
      <c r="K925" s="184" t="n">
        <v>14980</v>
      </c>
      <c r="L925" s="185" t="n">
        <v>9</v>
      </c>
      <c r="M925" s="173" t="n">
        <v>24850</v>
      </c>
      <c r="N925" s="184" t="n">
        <v>22613.5</v>
      </c>
      <c r="O925" s="184" t="s">
        <v>2239</v>
      </c>
      <c r="P925" s="187" t="n">
        <v>45939</v>
      </c>
      <c r="Q925" s="188" t="n">
        <v>0.621759259259259</v>
      </c>
    </row>
    <row r="926" customFormat="false" ht="46.25" hidden="false" customHeight="false" outlineLevel="0" collapsed="false">
      <c r="A926" s="181" t="s">
        <v>2240</v>
      </c>
      <c r="B926" s="182" t="n">
        <v>2237</v>
      </c>
      <c r="C926" s="183" t="n">
        <v>7960</v>
      </c>
      <c r="D926" s="181" t="s">
        <v>2066</v>
      </c>
      <c r="E926" s="181" t="s">
        <v>1023</v>
      </c>
      <c r="F926" s="181" t="s">
        <v>1024</v>
      </c>
      <c r="G926" s="181" t="s">
        <v>2067</v>
      </c>
      <c r="H926" s="181" t="s">
        <v>279</v>
      </c>
      <c r="I926" s="181" t="s">
        <v>241</v>
      </c>
      <c r="J926" s="184" t="n">
        <v>37100</v>
      </c>
      <c r="K926" s="184" t="n">
        <v>14760</v>
      </c>
      <c r="L926" s="185" t="n">
        <v>5</v>
      </c>
      <c r="M926" s="173" t="n">
        <v>22340</v>
      </c>
      <c r="N926" s="184" t="n">
        <v>21223</v>
      </c>
      <c r="O926" s="184" t="s">
        <v>2241</v>
      </c>
      <c r="P926" s="187" t="n">
        <v>45939</v>
      </c>
      <c r="Q926" s="188" t="n">
        <v>0.673796296296296</v>
      </c>
    </row>
    <row r="927" customFormat="false" ht="46.25" hidden="false" customHeight="false" outlineLevel="0" collapsed="false">
      <c r="A927" s="181" t="s">
        <v>2242</v>
      </c>
      <c r="B927" s="182" t="n">
        <v>2238</v>
      </c>
      <c r="C927" s="183" t="n">
        <v>7961</v>
      </c>
      <c r="D927" s="181" t="s">
        <v>2066</v>
      </c>
      <c r="E927" s="181" t="s">
        <v>439</v>
      </c>
      <c r="F927" s="181" t="s">
        <v>440</v>
      </c>
      <c r="G927" s="181" t="s">
        <v>2067</v>
      </c>
      <c r="H927" s="181" t="s">
        <v>279</v>
      </c>
      <c r="I927" s="181" t="s">
        <v>241</v>
      </c>
      <c r="J927" s="184" t="n">
        <v>40670</v>
      </c>
      <c r="K927" s="184" t="n">
        <v>16330</v>
      </c>
      <c r="L927" s="185" t="n">
        <v>11</v>
      </c>
      <c r="M927" s="173" t="n">
        <v>24340</v>
      </c>
      <c r="N927" s="184" t="n">
        <v>21662.6</v>
      </c>
      <c r="O927" s="184" t="s">
        <v>2243</v>
      </c>
      <c r="P927" s="187" t="n">
        <v>45939</v>
      </c>
      <c r="Q927" s="188" t="n">
        <v>0.692523148148148</v>
      </c>
    </row>
    <row r="928" customFormat="false" ht="46.25" hidden="false" customHeight="false" outlineLevel="0" collapsed="false">
      <c r="A928" s="181" t="s">
        <v>2244</v>
      </c>
      <c r="B928" s="182" t="n">
        <v>2240</v>
      </c>
      <c r="C928" s="183" t="n">
        <v>7962</v>
      </c>
      <c r="D928" s="181" t="s">
        <v>2066</v>
      </c>
      <c r="E928" s="181" t="s">
        <v>431</v>
      </c>
      <c r="F928" s="181" t="s">
        <v>432</v>
      </c>
      <c r="G928" s="181" t="s">
        <v>2067</v>
      </c>
      <c r="H928" s="181" t="s">
        <v>279</v>
      </c>
      <c r="I928" s="181" t="s">
        <v>241</v>
      </c>
      <c r="J928" s="184" t="n">
        <v>39060</v>
      </c>
      <c r="K928" s="184" t="n">
        <v>16560</v>
      </c>
      <c r="L928" s="185" t="n">
        <v>13</v>
      </c>
      <c r="M928" s="173" t="n">
        <v>22500</v>
      </c>
      <c r="N928" s="184" t="n">
        <v>19575</v>
      </c>
      <c r="O928" s="184" t="s">
        <v>2245</v>
      </c>
      <c r="P928" s="187" t="n">
        <v>45939</v>
      </c>
      <c r="Q928" s="188" t="n">
        <v>0.730798611111111</v>
      </c>
    </row>
    <row r="929" customFormat="false" ht="46.25" hidden="false" customHeight="false" outlineLevel="0" collapsed="false">
      <c r="A929" s="181" t="s">
        <v>2246</v>
      </c>
      <c r="B929" s="182" t="n">
        <v>2241</v>
      </c>
      <c r="C929" s="183" t="n">
        <v>7963</v>
      </c>
      <c r="D929" s="181" t="s">
        <v>2066</v>
      </c>
      <c r="E929" s="181" t="s">
        <v>435</v>
      </c>
      <c r="F929" s="181" t="s">
        <v>436</v>
      </c>
      <c r="G929" s="181" t="s">
        <v>2067</v>
      </c>
      <c r="H929" s="181" t="s">
        <v>279</v>
      </c>
      <c r="I929" s="181" t="s">
        <v>241</v>
      </c>
      <c r="J929" s="184" t="n">
        <v>39900</v>
      </c>
      <c r="K929" s="184" t="n">
        <v>16470</v>
      </c>
      <c r="L929" s="185" t="n">
        <v>12</v>
      </c>
      <c r="M929" s="173" t="n">
        <v>23430</v>
      </c>
      <c r="N929" s="184" t="n">
        <v>20618.4</v>
      </c>
      <c r="O929" s="184" t="s">
        <v>2247</v>
      </c>
      <c r="P929" s="187" t="n">
        <v>45939</v>
      </c>
      <c r="Q929" s="188" t="n">
        <v>0.762094907407407</v>
      </c>
    </row>
    <row r="930" customFormat="false" ht="46.25" hidden="false" customHeight="false" outlineLevel="0" collapsed="false">
      <c r="A930" s="181" t="s">
        <v>2248</v>
      </c>
      <c r="B930" s="182" t="n">
        <v>2243</v>
      </c>
      <c r="C930" s="183" t="n">
        <v>7974</v>
      </c>
      <c r="D930" s="181" t="s">
        <v>2066</v>
      </c>
      <c r="E930" s="181" t="s">
        <v>300</v>
      </c>
      <c r="F930" s="181" t="s">
        <v>301</v>
      </c>
      <c r="G930" s="181" t="s">
        <v>2067</v>
      </c>
      <c r="H930" s="181" t="s">
        <v>279</v>
      </c>
      <c r="I930" s="181" t="s">
        <v>241</v>
      </c>
      <c r="J930" s="184" t="n">
        <v>60510</v>
      </c>
      <c r="K930" s="184" t="n">
        <v>21280</v>
      </c>
      <c r="L930" s="185" t="n">
        <v>13</v>
      </c>
      <c r="M930" s="173" t="n">
        <v>39230</v>
      </c>
      <c r="N930" s="184" t="n">
        <v>34130.1</v>
      </c>
      <c r="O930" s="184" t="s">
        <v>2249</v>
      </c>
      <c r="P930" s="187" t="n">
        <v>45939</v>
      </c>
      <c r="Q930" s="188" t="n">
        <v>0.903148148148148</v>
      </c>
    </row>
    <row r="931" customFormat="false" ht="46.25" hidden="false" customHeight="false" outlineLevel="0" collapsed="false">
      <c r="A931" s="181" t="s">
        <v>2250</v>
      </c>
      <c r="B931" s="182" t="n">
        <v>2244</v>
      </c>
      <c r="C931" s="183" t="n">
        <v>7975</v>
      </c>
      <c r="D931" s="181" t="s">
        <v>2066</v>
      </c>
      <c r="E931" s="181" t="s">
        <v>350</v>
      </c>
      <c r="F931" s="181" t="s">
        <v>351</v>
      </c>
      <c r="G931" s="181" t="s">
        <v>2067</v>
      </c>
      <c r="H931" s="181" t="s">
        <v>279</v>
      </c>
      <c r="I931" s="181" t="s">
        <v>241</v>
      </c>
      <c r="J931" s="184" t="n">
        <v>43940</v>
      </c>
      <c r="K931" s="184" t="n">
        <v>14990</v>
      </c>
      <c r="L931" s="185" t="n">
        <v>8</v>
      </c>
      <c r="M931" s="173" t="n">
        <v>28950</v>
      </c>
      <c r="N931" s="184" t="n">
        <v>26634</v>
      </c>
      <c r="O931" s="184" t="s">
        <v>2251</v>
      </c>
      <c r="P931" s="187" t="n">
        <v>45939</v>
      </c>
      <c r="Q931" s="188" t="n">
        <v>0.909594907407407</v>
      </c>
    </row>
    <row r="932" customFormat="false" ht="46.25" hidden="false" customHeight="false" outlineLevel="0" collapsed="false">
      <c r="A932" s="181" t="s">
        <v>2252</v>
      </c>
      <c r="B932" s="182" t="n">
        <v>2245</v>
      </c>
      <c r="C932" s="183" t="n">
        <v>7977</v>
      </c>
      <c r="D932" s="181" t="s">
        <v>2066</v>
      </c>
      <c r="E932" s="181" t="s">
        <v>383</v>
      </c>
      <c r="F932" s="181" t="s">
        <v>384</v>
      </c>
      <c r="G932" s="181" t="s">
        <v>2067</v>
      </c>
      <c r="H932" s="181" t="s">
        <v>279</v>
      </c>
      <c r="I932" s="181" t="s">
        <v>241</v>
      </c>
      <c r="J932" s="184" t="n">
        <v>41370</v>
      </c>
      <c r="K932" s="184" t="n">
        <v>14910</v>
      </c>
      <c r="L932" s="185" t="n">
        <v>9</v>
      </c>
      <c r="M932" s="173" t="n">
        <v>26460</v>
      </c>
      <c r="N932" s="184" t="n">
        <v>24078.6</v>
      </c>
      <c r="O932" s="184" t="s">
        <v>2253</v>
      </c>
      <c r="P932" s="187" t="n">
        <v>45939</v>
      </c>
      <c r="Q932" s="188" t="n">
        <v>0.956793981481482</v>
      </c>
    </row>
    <row r="933" customFormat="false" ht="46.25" hidden="false" customHeight="false" outlineLevel="0" collapsed="false">
      <c r="A933" s="181" t="s">
        <v>2254</v>
      </c>
      <c r="B933" s="182" t="n">
        <v>2246</v>
      </c>
      <c r="C933" s="183" t="n">
        <v>7978</v>
      </c>
      <c r="D933" s="181" t="s">
        <v>2066</v>
      </c>
      <c r="E933" s="181" t="s">
        <v>387</v>
      </c>
      <c r="F933" s="181" t="s">
        <v>388</v>
      </c>
      <c r="G933" s="181" t="s">
        <v>2067</v>
      </c>
      <c r="H933" s="181" t="s">
        <v>279</v>
      </c>
      <c r="I933" s="181" t="s">
        <v>241</v>
      </c>
      <c r="J933" s="184" t="n">
        <v>43900</v>
      </c>
      <c r="K933" s="184" t="n">
        <v>15050</v>
      </c>
      <c r="L933" s="185" t="n">
        <v>14</v>
      </c>
      <c r="M933" s="173" t="n">
        <v>28850</v>
      </c>
      <c r="N933" s="184" t="n">
        <v>24811</v>
      </c>
      <c r="O933" s="184" t="s">
        <v>2255</v>
      </c>
      <c r="P933" s="187" t="n">
        <v>45939</v>
      </c>
      <c r="Q933" s="188" t="n">
        <v>0.962453703703704</v>
      </c>
    </row>
    <row r="934" customFormat="false" ht="46.25" hidden="false" customHeight="false" outlineLevel="0" collapsed="false">
      <c r="A934" s="181" t="s">
        <v>2256</v>
      </c>
      <c r="B934" s="182" t="n">
        <v>2247</v>
      </c>
      <c r="C934" s="183" t="n">
        <v>7982</v>
      </c>
      <c r="D934" s="181" t="s">
        <v>2066</v>
      </c>
      <c r="E934" s="181" t="s">
        <v>308</v>
      </c>
      <c r="F934" s="181" t="s">
        <v>309</v>
      </c>
      <c r="G934" s="181" t="s">
        <v>2067</v>
      </c>
      <c r="H934" s="181" t="s">
        <v>279</v>
      </c>
      <c r="I934" s="181" t="s">
        <v>241</v>
      </c>
      <c r="J934" s="184" t="n">
        <v>64040</v>
      </c>
      <c r="K934" s="184" t="n">
        <v>24020</v>
      </c>
      <c r="L934" s="185" t="n">
        <v>14</v>
      </c>
      <c r="M934" s="173" t="n">
        <v>40020</v>
      </c>
      <c r="N934" s="184" t="n">
        <v>34417.2</v>
      </c>
      <c r="O934" s="184" t="s">
        <v>2257</v>
      </c>
      <c r="P934" s="187" t="n">
        <v>45939</v>
      </c>
      <c r="Q934" s="188" t="n">
        <v>0.973136574074074</v>
      </c>
    </row>
    <row r="935" customFormat="false" ht="46.25" hidden="false" customHeight="false" outlineLevel="0" collapsed="false">
      <c r="A935" s="181" t="s">
        <v>2258</v>
      </c>
      <c r="B935" s="182" t="n">
        <v>2248</v>
      </c>
      <c r="C935" s="183" t="n">
        <v>7987</v>
      </c>
      <c r="D935" s="181" t="s">
        <v>2066</v>
      </c>
      <c r="E935" s="181" t="s">
        <v>399</v>
      </c>
      <c r="F935" s="181" t="s">
        <v>400</v>
      </c>
      <c r="G935" s="181" t="s">
        <v>2067</v>
      </c>
      <c r="H935" s="181" t="s">
        <v>279</v>
      </c>
      <c r="I935" s="181" t="s">
        <v>241</v>
      </c>
      <c r="J935" s="184" t="n">
        <v>50900</v>
      </c>
      <c r="K935" s="184" t="n">
        <v>19430</v>
      </c>
      <c r="L935" s="185" t="n">
        <v>12</v>
      </c>
      <c r="M935" s="173" t="n">
        <v>31470</v>
      </c>
      <c r="N935" s="184" t="n">
        <v>27693.6</v>
      </c>
      <c r="O935" s="184" t="s">
        <v>2259</v>
      </c>
      <c r="P935" s="187" t="n">
        <v>45939</v>
      </c>
      <c r="Q935" s="188" t="n">
        <v>0.981331018518519</v>
      </c>
    </row>
    <row r="936" customFormat="false" ht="46.25" hidden="false" customHeight="false" outlineLevel="0" collapsed="false">
      <c r="A936" s="181" t="s">
        <v>2260</v>
      </c>
      <c r="B936" s="182" t="n">
        <v>2249</v>
      </c>
      <c r="C936" s="183" t="n">
        <v>7993</v>
      </c>
      <c r="D936" s="181" t="s">
        <v>2066</v>
      </c>
      <c r="E936" s="181" t="s">
        <v>272</v>
      </c>
      <c r="F936" s="181" t="s">
        <v>273</v>
      </c>
      <c r="G936" s="181" t="s">
        <v>2067</v>
      </c>
      <c r="H936" s="181" t="s">
        <v>279</v>
      </c>
      <c r="I936" s="181" t="s">
        <v>241</v>
      </c>
      <c r="J936" s="184" t="n">
        <v>40210</v>
      </c>
      <c r="K936" s="184" t="n">
        <v>15610</v>
      </c>
      <c r="L936" s="185" t="n">
        <v>12</v>
      </c>
      <c r="M936" s="173" t="n">
        <v>24600</v>
      </c>
      <c r="N936" s="184" t="n">
        <v>21648</v>
      </c>
      <c r="O936" s="184" t="s">
        <v>2261</v>
      </c>
      <c r="P936" s="187" t="n">
        <v>45940</v>
      </c>
      <c r="Q936" s="188" t="n">
        <v>0.161273148148148</v>
      </c>
    </row>
    <row r="937" customFormat="false" ht="46.25" hidden="false" customHeight="false" outlineLevel="0" collapsed="false">
      <c r="A937" s="181" t="s">
        <v>2262</v>
      </c>
      <c r="B937" s="182" t="n">
        <v>2250</v>
      </c>
      <c r="C937" s="183" t="n">
        <v>7994</v>
      </c>
      <c r="D937" s="181" t="s">
        <v>2066</v>
      </c>
      <c r="E937" s="181" t="s">
        <v>582</v>
      </c>
      <c r="F937" s="181" t="s">
        <v>583</v>
      </c>
      <c r="G937" s="181" t="s">
        <v>2067</v>
      </c>
      <c r="H937" s="181" t="s">
        <v>279</v>
      </c>
      <c r="I937" s="181" t="s">
        <v>241</v>
      </c>
      <c r="J937" s="184" t="n">
        <v>39940</v>
      </c>
      <c r="K937" s="184" t="n">
        <v>14910</v>
      </c>
      <c r="L937" s="185" t="n">
        <v>13</v>
      </c>
      <c r="M937" s="173" t="n">
        <v>25030</v>
      </c>
      <c r="N937" s="184" t="n">
        <v>21776.1</v>
      </c>
      <c r="O937" s="184" t="s">
        <v>2263</v>
      </c>
      <c r="P937" s="187" t="n">
        <v>45940</v>
      </c>
      <c r="Q937" s="188" t="n">
        <v>0.188368055555556</v>
      </c>
    </row>
    <row r="938" customFormat="false" ht="46.25" hidden="false" customHeight="false" outlineLevel="0" collapsed="false">
      <c r="A938" s="181" t="s">
        <v>2264</v>
      </c>
      <c r="B938" s="182" t="n">
        <v>2251</v>
      </c>
      <c r="C938" s="183" t="n">
        <v>7995</v>
      </c>
      <c r="D938" s="181" t="s">
        <v>2066</v>
      </c>
      <c r="E938" s="181" t="s">
        <v>266</v>
      </c>
      <c r="F938" s="181" t="s">
        <v>267</v>
      </c>
      <c r="G938" s="181" t="s">
        <v>2067</v>
      </c>
      <c r="H938" s="181" t="s">
        <v>279</v>
      </c>
      <c r="I938" s="181" t="s">
        <v>241</v>
      </c>
      <c r="J938" s="184" t="n">
        <v>36810</v>
      </c>
      <c r="K938" s="184" t="n">
        <v>14910</v>
      </c>
      <c r="L938" s="185" t="n">
        <v>16</v>
      </c>
      <c r="M938" s="173" t="n">
        <v>21900</v>
      </c>
      <c r="N938" s="184" t="n">
        <v>18396</v>
      </c>
      <c r="O938" s="184" t="s">
        <v>2265</v>
      </c>
      <c r="P938" s="187" t="n">
        <v>45940</v>
      </c>
      <c r="Q938" s="188" t="n">
        <v>0.227650462962963</v>
      </c>
    </row>
    <row r="939" customFormat="false" ht="46.25" hidden="false" customHeight="false" outlineLevel="0" collapsed="false">
      <c r="A939" s="181" t="s">
        <v>2266</v>
      </c>
      <c r="B939" s="182" t="n">
        <v>2252</v>
      </c>
      <c r="C939" s="183" t="n">
        <v>7998</v>
      </c>
      <c r="D939" s="181" t="s">
        <v>2066</v>
      </c>
      <c r="E939" s="181" t="s">
        <v>409</v>
      </c>
      <c r="F939" s="181" t="s">
        <v>410</v>
      </c>
      <c r="G939" s="181" t="s">
        <v>2067</v>
      </c>
      <c r="H939" s="181" t="s">
        <v>279</v>
      </c>
      <c r="I939" s="181" t="s">
        <v>241</v>
      </c>
      <c r="J939" s="184" t="n">
        <v>64690</v>
      </c>
      <c r="K939" s="184" t="n">
        <v>24450</v>
      </c>
      <c r="L939" s="185" t="n">
        <v>7</v>
      </c>
      <c r="M939" s="173" t="n">
        <v>40240</v>
      </c>
      <c r="N939" s="184" t="n">
        <v>37423.2</v>
      </c>
      <c r="O939" s="184" t="s">
        <v>2267</v>
      </c>
      <c r="P939" s="187" t="n">
        <v>45940</v>
      </c>
      <c r="Q939" s="188" t="n">
        <v>0.314224537037037</v>
      </c>
    </row>
    <row r="940" customFormat="false" ht="46.25" hidden="false" customHeight="false" outlineLevel="0" collapsed="false">
      <c r="A940" s="181" t="s">
        <v>2268</v>
      </c>
      <c r="B940" s="182" t="n">
        <v>2253</v>
      </c>
      <c r="C940" s="183" t="n">
        <v>7999</v>
      </c>
      <c r="D940" s="181" t="s">
        <v>2066</v>
      </c>
      <c r="E940" s="181" t="s">
        <v>413</v>
      </c>
      <c r="F940" s="181" t="s">
        <v>414</v>
      </c>
      <c r="G940" s="181" t="s">
        <v>2067</v>
      </c>
      <c r="H940" s="181" t="s">
        <v>279</v>
      </c>
      <c r="I940" s="181" t="s">
        <v>241</v>
      </c>
      <c r="J940" s="184" t="n">
        <v>44900</v>
      </c>
      <c r="K940" s="184" t="n">
        <v>15720</v>
      </c>
      <c r="L940" s="185" t="n">
        <v>16</v>
      </c>
      <c r="M940" s="173" t="n">
        <v>29180</v>
      </c>
      <c r="N940" s="184" t="n">
        <v>24511.2</v>
      </c>
      <c r="O940" s="184" t="s">
        <v>2269</v>
      </c>
      <c r="P940" s="187" t="s">
        <v>2270</v>
      </c>
      <c r="Q940" s="188" t="n">
        <v>0.378726851851852</v>
      </c>
    </row>
    <row r="941" customFormat="false" ht="46.25" hidden="false" customHeight="false" outlineLevel="0" collapsed="false">
      <c r="A941" s="181" t="s">
        <v>2271</v>
      </c>
      <c r="B941" s="182" t="n">
        <v>2254</v>
      </c>
      <c r="C941" s="183" t="n">
        <v>8000</v>
      </c>
      <c r="D941" s="181" t="s">
        <v>2066</v>
      </c>
      <c r="E941" s="181" t="s">
        <v>377</v>
      </c>
      <c r="F941" s="181" t="s">
        <v>378</v>
      </c>
      <c r="G941" s="181" t="s">
        <v>2067</v>
      </c>
      <c r="H941" s="181" t="s">
        <v>279</v>
      </c>
      <c r="I941" s="181" t="s">
        <v>241</v>
      </c>
      <c r="J941" s="184" t="n">
        <v>41590</v>
      </c>
      <c r="K941" s="184" t="n">
        <v>15670</v>
      </c>
      <c r="L941" s="185" t="n">
        <v>14</v>
      </c>
      <c r="M941" s="173" t="n">
        <v>25920</v>
      </c>
      <c r="N941" s="184" t="n">
        <v>22291.2</v>
      </c>
      <c r="O941" s="184" t="s">
        <v>2272</v>
      </c>
      <c r="P941" s="187" t="s">
        <v>2270</v>
      </c>
      <c r="Q941" s="188" t="n">
        <v>0.428344907407407</v>
      </c>
    </row>
    <row r="942" customFormat="false" ht="46.25" hidden="false" customHeight="false" outlineLevel="0" collapsed="false">
      <c r="A942" s="181" t="s">
        <v>2273</v>
      </c>
      <c r="B942" s="182" t="n">
        <v>2255</v>
      </c>
      <c r="C942" s="183" t="n">
        <v>8005</v>
      </c>
      <c r="D942" s="181" t="s">
        <v>2066</v>
      </c>
      <c r="E942" s="181" t="s">
        <v>277</v>
      </c>
      <c r="F942" s="181" t="s">
        <v>278</v>
      </c>
      <c r="G942" s="181" t="s">
        <v>2067</v>
      </c>
      <c r="H942" s="181" t="s">
        <v>279</v>
      </c>
      <c r="I942" s="181" t="s">
        <v>241</v>
      </c>
      <c r="J942" s="184" t="n">
        <v>43180</v>
      </c>
      <c r="K942" s="184" t="n">
        <v>15080</v>
      </c>
      <c r="L942" s="185" t="n">
        <v>8</v>
      </c>
      <c r="M942" s="173" t="n">
        <v>28100</v>
      </c>
      <c r="N942" s="184" t="n">
        <v>25852</v>
      </c>
      <c r="O942" s="184" t="s">
        <v>2274</v>
      </c>
      <c r="P942" s="187" t="s">
        <v>2270</v>
      </c>
      <c r="Q942" s="188" t="n">
        <v>0.458993055555556</v>
      </c>
    </row>
    <row r="943" customFormat="false" ht="46.25" hidden="false" customHeight="false" outlineLevel="0" collapsed="false">
      <c r="A943" s="181" t="s">
        <v>2275</v>
      </c>
      <c r="B943" s="182" t="n">
        <v>2256</v>
      </c>
      <c r="C943" s="183" t="n">
        <v>8006</v>
      </c>
      <c r="D943" s="181" t="s">
        <v>2066</v>
      </c>
      <c r="E943" s="181" t="s">
        <v>346</v>
      </c>
      <c r="F943" s="181" t="s">
        <v>347</v>
      </c>
      <c r="G943" s="181" t="s">
        <v>2067</v>
      </c>
      <c r="H943" s="181" t="s">
        <v>279</v>
      </c>
      <c r="I943" s="181" t="s">
        <v>241</v>
      </c>
      <c r="J943" s="184" t="n">
        <v>40820</v>
      </c>
      <c r="K943" s="184" t="n">
        <v>15050</v>
      </c>
      <c r="L943" s="185" t="n">
        <v>7</v>
      </c>
      <c r="M943" s="173" t="n">
        <v>25770</v>
      </c>
      <c r="N943" s="184" t="n">
        <v>23966.1</v>
      </c>
      <c r="O943" s="184" t="s">
        <v>2276</v>
      </c>
      <c r="P943" s="187" t="n">
        <v>45940</v>
      </c>
      <c r="Q943" s="188" t="n">
        <v>0.487511574074074</v>
      </c>
    </row>
    <row r="944" customFormat="false" ht="46.25" hidden="false" customHeight="false" outlineLevel="0" collapsed="false">
      <c r="A944" s="181" t="s">
        <v>2277</v>
      </c>
      <c r="B944" s="182" t="n">
        <v>2257</v>
      </c>
      <c r="C944" s="183" t="n">
        <v>8007</v>
      </c>
      <c r="D944" s="181" t="s">
        <v>2066</v>
      </c>
      <c r="E944" s="181" t="s">
        <v>545</v>
      </c>
      <c r="F944" s="181" t="s">
        <v>546</v>
      </c>
      <c r="G944" s="181" t="s">
        <v>2067</v>
      </c>
      <c r="H944" s="181" t="s">
        <v>279</v>
      </c>
      <c r="I944" s="181" t="s">
        <v>241</v>
      </c>
      <c r="J944" s="184" t="n">
        <v>43140</v>
      </c>
      <c r="K944" s="184" t="n">
        <v>15940</v>
      </c>
      <c r="L944" s="185" t="n">
        <v>23</v>
      </c>
      <c r="M944" s="173" t="n">
        <v>27200</v>
      </c>
      <c r="N944" s="184" t="n">
        <v>20944</v>
      </c>
      <c r="O944" s="184" t="s">
        <v>2278</v>
      </c>
      <c r="P944" s="187" t="n">
        <v>45940</v>
      </c>
      <c r="Q944" s="188" t="n">
        <v>0.567777777777778</v>
      </c>
    </row>
    <row r="945" customFormat="false" ht="46.25" hidden="false" customHeight="false" outlineLevel="0" collapsed="false">
      <c r="A945" s="181" t="s">
        <v>2279</v>
      </c>
      <c r="B945" s="182" t="n">
        <v>2259</v>
      </c>
      <c r="C945" s="183" t="n">
        <v>8010</v>
      </c>
      <c r="D945" s="181" t="s">
        <v>2066</v>
      </c>
      <c r="E945" s="181" t="s">
        <v>549</v>
      </c>
      <c r="F945" s="181" t="s">
        <v>550</v>
      </c>
      <c r="G945" s="181" t="s">
        <v>2067</v>
      </c>
      <c r="H945" s="181" t="s">
        <v>279</v>
      </c>
      <c r="I945" s="181" t="s">
        <v>241</v>
      </c>
      <c r="J945" s="184" t="n">
        <v>42450</v>
      </c>
      <c r="K945" s="184" t="n">
        <v>15720</v>
      </c>
      <c r="L945" s="185" t="n">
        <v>9</v>
      </c>
      <c r="M945" s="173" t="n">
        <v>26730</v>
      </c>
      <c r="N945" s="184" t="n">
        <v>24324.3</v>
      </c>
      <c r="O945" s="184" t="s">
        <v>2280</v>
      </c>
      <c r="P945" s="187" t="n">
        <v>45940</v>
      </c>
      <c r="Q945" s="188" t="n">
        <v>0.5734375</v>
      </c>
    </row>
    <row r="946" customFormat="false" ht="46.25" hidden="false" customHeight="false" outlineLevel="0" collapsed="false">
      <c r="A946" s="181" t="s">
        <v>2281</v>
      </c>
      <c r="B946" s="182" t="n">
        <v>2262</v>
      </c>
      <c r="C946" s="183" t="n">
        <v>8012</v>
      </c>
      <c r="D946" s="181" t="s">
        <v>2066</v>
      </c>
      <c r="E946" s="181" t="s">
        <v>537</v>
      </c>
      <c r="F946" s="181" t="s">
        <v>538</v>
      </c>
      <c r="G946" s="181" t="s">
        <v>2067</v>
      </c>
      <c r="H946" s="181" t="s">
        <v>279</v>
      </c>
      <c r="I946" s="181" t="s">
        <v>241</v>
      </c>
      <c r="J946" s="184" t="n">
        <v>36100</v>
      </c>
      <c r="K946" s="184" t="n">
        <v>13800</v>
      </c>
      <c r="L946" s="185" t="n">
        <v>10</v>
      </c>
      <c r="M946" s="173" t="n">
        <v>22300</v>
      </c>
      <c r="N946" s="184" t="n">
        <v>20070</v>
      </c>
      <c r="O946" s="184" t="s">
        <v>2282</v>
      </c>
      <c r="P946" s="187" t="n">
        <v>45940</v>
      </c>
      <c r="Q946" s="188" t="n">
        <v>0.624270833333333</v>
      </c>
    </row>
    <row r="947" customFormat="false" ht="46.25" hidden="false" customHeight="false" outlineLevel="0" collapsed="false">
      <c r="A947" s="181" t="s">
        <v>2283</v>
      </c>
      <c r="B947" s="182" t="n">
        <v>2265</v>
      </c>
      <c r="C947" s="183" t="n">
        <v>8017</v>
      </c>
      <c r="D947" s="181" t="s">
        <v>2066</v>
      </c>
      <c r="E947" s="181" t="s">
        <v>533</v>
      </c>
      <c r="F947" s="181" t="s">
        <v>534</v>
      </c>
      <c r="G947" s="181" t="s">
        <v>2067</v>
      </c>
      <c r="H947" s="181" t="s">
        <v>279</v>
      </c>
      <c r="I947" s="181" t="s">
        <v>241</v>
      </c>
      <c r="J947" s="184" t="n">
        <v>39530</v>
      </c>
      <c r="K947" s="184" t="n">
        <v>14450</v>
      </c>
      <c r="L947" s="185" t="n">
        <v>13</v>
      </c>
      <c r="M947" s="173" t="n">
        <v>25080</v>
      </c>
      <c r="N947" s="184" t="n">
        <v>21819.6</v>
      </c>
      <c r="O947" s="184" t="s">
        <v>2284</v>
      </c>
      <c r="P947" s="187" t="n">
        <v>45940</v>
      </c>
      <c r="Q947" s="188" t="n">
        <v>0.63224537037037</v>
      </c>
    </row>
    <row r="948" customFormat="false" ht="46.25" hidden="false" customHeight="false" outlineLevel="0" collapsed="false">
      <c r="A948" s="181" t="s">
        <v>2285</v>
      </c>
      <c r="B948" s="182" t="n">
        <v>2266</v>
      </c>
      <c r="C948" s="183" t="n">
        <v>8019</v>
      </c>
      <c r="D948" s="181" t="s">
        <v>2066</v>
      </c>
      <c r="E948" s="181" t="s">
        <v>541</v>
      </c>
      <c r="F948" s="181" t="s">
        <v>542</v>
      </c>
      <c r="G948" s="181" t="s">
        <v>2067</v>
      </c>
      <c r="H948" s="181" t="s">
        <v>279</v>
      </c>
      <c r="I948" s="181" t="s">
        <v>241</v>
      </c>
      <c r="J948" s="184" t="n">
        <v>40370</v>
      </c>
      <c r="K948" s="184" t="n">
        <v>14810</v>
      </c>
      <c r="L948" s="185" t="n">
        <v>6</v>
      </c>
      <c r="M948" s="173" t="n">
        <v>25560</v>
      </c>
      <c r="N948" s="184" t="n">
        <v>24026.4</v>
      </c>
      <c r="O948" s="184" t="s">
        <v>2286</v>
      </c>
      <c r="P948" s="187" t="n">
        <v>45940</v>
      </c>
      <c r="Q948" s="188" t="n">
        <v>0.702858796296296</v>
      </c>
    </row>
    <row r="949" customFormat="false" ht="46.25" hidden="false" customHeight="false" outlineLevel="0" collapsed="false">
      <c r="A949" s="181" t="s">
        <v>2287</v>
      </c>
      <c r="B949" s="182" t="n">
        <v>2267</v>
      </c>
      <c r="C949" s="183" t="n">
        <v>8028</v>
      </c>
      <c r="D949" s="181" t="s">
        <v>2066</v>
      </c>
      <c r="E949" s="181" t="s">
        <v>1019</v>
      </c>
      <c r="F949" s="181" t="s">
        <v>1020</v>
      </c>
      <c r="G949" s="181" t="s">
        <v>2067</v>
      </c>
      <c r="H949" s="181" t="s">
        <v>279</v>
      </c>
      <c r="I949" s="181" t="s">
        <v>241</v>
      </c>
      <c r="J949" s="184" t="n">
        <v>44620</v>
      </c>
      <c r="K949" s="184" t="n">
        <v>17090</v>
      </c>
      <c r="L949" s="185" t="n">
        <v>4</v>
      </c>
      <c r="M949" s="173" t="n">
        <v>27530</v>
      </c>
      <c r="N949" s="184" t="n">
        <v>26428.8</v>
      </c>
      <c r="O949" s="184" t="s">
        <v>2288</v>
      </c>
      <c r="P949" s="187" t="n">
        <v>45940</v>
      </c>
      <c r="Q949" s="188" t="n">
        <v>0.742094907407407</v>
      </c>
    </row>
    <row r="950" customFormat="false" ht="46.25" hidden="false" customHeight="false" outlineLevel="0" collapsed="false">
      <c r="A950" s="181" t="s">
        <v>2289</v>
      </c>
      <c r="B950" s="182" t="n">
        <v>2269</v>
      </c>
      <c r="C950" s="183" t="n">
        <v>8029</v>
      </c>
      <c r="D950" s="181" t="s">
        <v>2066</v>
      </c>
      <c r="E950" s="181" t="s">
        <v>1027</v>
      </c>
      <c r="F950" s="181" t="s">
        <v>1028</v>
      </c>
      <c r="G950" s="181" t="s">
        <v>2067</v>
      </c>
      <c r="H950" s="181" t="s">
        <v>279</v>
      </c>
      <c r="I950" s="181" t="s">
        <v>241</v>
      </c>
      <c r="J950" s="184" t="n">
        <v>39260</v>
      </c>
      <c r="K950" s="184" t="n">
        <v>15000</v>
      </c>
      <c r="L950" s="185" t="n">
        <v>15</v>
      </c>
      <c r="M950" s="173" t="n">
        <v>24260</v>
      </c>
      <c r="N950" s="184" t="n">
        <v>20621</v>
      </c>
      <c r="O950" s="184" t="s">
        <v>2290</v>
      </c>
      <c r="P950" s="187" t="n">
        <v>45940</v>
      </c>
      <c r="Q950" s="188" t="n">
        <v>0.823761574074074</v>
      </c>
    </row>
    <row r="951" customFormat="false" ht="46.25" hidden="false" customHeight="false" outlineLevel="0" collapsed="false">
      <c r="A951" s="181" t="s">
        <v>2291</v>
      </c>
      <c r="B951" s="182" t="n">
        <v>2270</v>
      </c>
      <c r="C951" s="183" t="n">
        <v>8030</v>
      </c>
      <c r="D951" s="181" t="s">
        <v>2066</v>
      </c>
      <c r="E951" s="181" t="s">
        <v>1023</v>
      </c>
      <c r="F951" s="181" t="s">
        <v>1024</v>
      </c>
      <c r="G951" s="181" t="s">
        <v>2292</v>
      </c>
      <c r="H951" s="181" t="s">
        <v>279</v>
      </c>
      <c r="I951" s="181" t="s">
        <v>241</v>
      </c>
      <c r="J951" s="184" t="n">
        <v>37000</v>
      </c>
      <c r="K951" s="184" t="n">
        <v>14770</v>
      </c>
      <c r="L951" s="185" t="n">
        <v>12</v>
      </c>
      <c r="M951" s="173" t="n">
        <v>22230</v>
      </c>
      <c r="N951" s="184" t="n">
        <v>19562.4</v>
      </c>
      <c r="O951" s="184" t="s">
        <v>2293</v>
      </c>
      <c r="P951" s="187" t="n">
        <v>45940</v>
      </c>
      <c r="Q951" s="188" t="n">
        <v>0.829224537037037</v>
      </c>
    </row>
    <row r="952" customFormat="false" ht="46.25" hidden="false" customHeight="false" outlineLevel="0" collapsed="false">
      <c r="A952" s="181" t="s">
        <v>2294</v>
      </c>
      <c r="B952" s="182" t="n">
        <v>2272</v>
      </c>
      <c r="C952" s="183" t="n">
        <v>8035</v>
      </c>
      <c r="D952" s="181" t="s">
        <v>2066</v>
      </c>
      <c r="E952" s="181" t="s">
        <v>439</v>
      </c>
      <c r="F952" s="181" t="s">
        <v>440</v>
      </c>
      <c r="G952" s="181" t="s">
        <v>2292</v>
      </c>
      <c r="H952" s="181" t="s">
        <v>279</v>
      </c>
      <c r="I952" s="181" t="s">
        <v>241</v>
      </c>
      <c r="J952" s="184" t="n">
        <v>40260</v>
      </c>
      <c r="K952" s="184" t="n">
        <v>16390</v>
      </c>
      <c r="L952" s="185" t="n">
        <v>4</v>
      </c>
      <c r="M952" s="173" t="n">
        <v>23870</v>
      </c>
      <c r="N952" s="184" t="n">
        <v>22915.2</v>
      </c>
      <c r="O952" s="184" t="s">
        <v>2295</v>
      </c>
      <c r="P952" s="187" t="n">
        <v>45940</v>
      </c>
      <c r="Q952" s="188" t="n">
        <v>0.858240740740741</v>
      </c>
    </row>
    <row r="953" customFormat="false" ht="46.25" hidden="false" customHeight="false" outlineLevel="0" collapsed="false">
      <c r="A953" s="181" t="s">
        <v>2296</v>
      </c>
      <c r="B953" s="182" t="n">
        <v>2273</v>
      </c>
      <c r="C953" s="183" t="n">
        <v>8036</v>
      </c>
      <c r="D953" s="181" t="s">
        <v>2066</v>
      </c>
      <c r="E953" s="181" t="s">
        <v>431</v>
      </c>
      <c r="F953" s="181" t="s">
        <v>432</v>
      </c>
      <c r="G953" s="181" t="s">
        <v>2292</v>
      </c>
      <c r="H953" s="181" t="s">
        <v>279</v>
      </c>
      <c r="I953" s="181" t="s">
        <v>241</v>
      </c>
      <c r="J953" s="184" t="n">
        <v>41390</v>
      </c>
      <c r="K953" s="184" t="n">
        <v>16500</v>
      </c>
      <c r="L953" s="185" t="n">
        <v>7</v>
      </c>
      <c r="M953" s="173" t="n">
        <v>24890</v>
      </c>
      <c r="N953" s="184" t="n">
        <v>23147.7</v>
      </c>
      <c r="O953" s="184" t="s">
        <v>2297</v>
      </c>
      <c r="P953" s="187" t="n">
        <v>45940</v>
      </c>
      <c r="Q953" s="188" t="n">
        <v>0.928611111111111</v>
      </c>
    </row>
    <row r="954" customFormat="false" ht="46.25" hidden="false" customHeight="false" outlineLevel="0" collapsed="false">
      <c r="A954" s="181" t="s">
        <v>2298</v>
      </c>
      <c r="B954" s="182" t="n">
        <v>2276</v>
      </c>
      <c r="C954" s="183" t="n">
        <v>8037</v>
      </c>
      <c r="D954" s="181" t="s">
        <v>2066</v>
      </c>
      <c r="E954" s="181" t="s">
        <v>435</v>
      </c>
      <c r="F954" s="181" t="s">
        <v>436</v>
      </c>
      <c r="G954" s="181" t="s">
        <v>2292</v>
      </c>
      <c r="H954" s="181" t="s">
        <v>279</v>
      </c>
      <c r="I954" s="181" t="s">
        <v>241</v>
      </c>
      <c r="J954" s="184" t="n">
        <v>40310</v>
      </c>
      <c r="K954" s="184" t="n">
        <v>16450</v>
      </c>
      <c r="L954" s="185" t="n">
        <v>8</v>
      </c>
      <c r="M954" s="173" t="n">
        <v>23860</v>
      </c>
      <c r="N954" s="184" t="n">
        <v>21951.2</v>
      </c>
      <c r="O954" s="184" t="s">
        <v>2299</v>
      </c>
      <c r="P954" s="187" t="n">
        <v>45940</v>
      </c>
      <c r="Q954" s="188" t="n">
        <v>0.963020833333333</v>
      </c>
    </row>
    <row r="955" customFormat="false" ht="46.25" hidden="false" customHeight="false" outlineLevel="0" collapsed="false">
      <c r="A955" s="181" t="s">
        <v>2300</v>
      </c>
      <c r="B955" s="182" t="n">
        <v>2277</v>
      </c>
      <c r="C955" s="183" t="n">
        <v>8041</v>
      </c>
      <c r="D955" s="181" t="s">
        <v>2066</v>
      </c>
      <c r="E955" s="181" t="s">
        <v>373</v>
      </c>
      <c r="F955" s="181" t="s">
        <v>374</v>
      </c>
      <c r="G955" s="181" t="s">
        <v>2292</v>
      </c>
      <c r="H955" s="181" t="s">
        <v>279</v>
      </c>
      <c r="I955" s="181" t="s">
        <v>241</v>
      </c>
      <c r="J955" s="184" t="n">
        <v>40760</v>
      </c>
      <c r="K955" s="184" t="n">
        <v>14360</v>
      </c>
      <c r="L955" s="185" t="n">
        <v>9</v>
      </c>
      <c r="M955" s="173" t="n">
        <v>26400</v>
      </c>
      <c r="N955" s="184" t="n">
        <v>24024</v>
      </c>
      <c r="O955" s="184" t="s">
        <v>2301</v>
      </c>
      <c r="P955" s="187" t="n">
        <v>45940</v>
      </c>
      <c r="Q955" s="188" t="n">
        <v>0.98318287037037</v>
      </c>
    </row>
    <row r="956" customFormat="false" ht="46.25" hidden="false" customHeight="false" outlineLevel="0" collapsed="false">
      <c r="A956" s="181" t="s">
        <v>2302</v>
      </c>
      <c r="B956" s="182" t="n">
        <v>2278</v>
      </c>
      <c r="C956" s="183" t="n">
        <v>8044</v>
      </c>
      <c r="D956" s="181" t="s">
        <v>2066</v>
      </c>
      <c r="E956" s="181" t="s">
        <v>359</v>
      </c>
      <c r="F956" s="181" t="s">
        <v>360</v>
      </c>
      <c r="G956" s="181" t="s">
        <v>2292</v>
      </c>
      <c r="H956" s="181" t="s">
        <v>279</v>
      </c>
      <c r="I956" s="181" t="s">
        <v>241</v>
      </c>
      <c r="J956" s="184" t="n">
        <v>37080</v>
      </c>
      <c r="K956" s="184" t="n">
        <v>14970</v>
      </c>
      <c r="L956" s="185" t="n">
        <v>8</v>
      </c>
      <c r="M956" s="173" t="n">
        <v>22110</v>
      </c>
      <c r="N956" s="184" t="n">
        <v>20341.2</v>
      </c>
      <c r="O956" s="184" t="s">
        <v>2303</v>
      </c>
      <c r="P956" s="187" t="n">
        <v>45941</v>
      </c>
      <c r="Q956" s="188" t="n">
        <v>0.106006944444444</v>
      </c>
    </row>
    <row r="957" customFormat="false" ht="46.25" hidden="false" customHeight="false" outlineLevel="0" collapsed="false">
      <c r="A957" s="181" t="s">
        <v>2304</v>
      </c>
      <c r="B957" s="182" t="n">
        <v>2279</v>
      </c>
      <c r="C957" s="183" t="n">
        <v>8043</v>
      </c>
      <c r="D957" s="181" t="s">
        <v>2066</v>
      </c>
      <c r="E957" s="181" t="s">
        <v>354</v>
      </c>
      <c r="F957" s="181" t="s">
        <v>355</v>
      </c>
      <c r="G957" s="181" t="s">
        <v>2292</v>
      </c>
      <c r="H957" s="181" t="s">
        <v>279</v>
      </c>
      <c r="I957" s="181" t="s">
        <v>241</v>
      </c>
      <c r="J957" s="184" t="n">
        <v>38710</v>
      </c>
      <c r="K957" s="184" t="n">
        <v>14800</v>
      </c>
      <c r="L957" s="185" t="n">
        <v>9</v>
      </c>
      <c r="M957" s="173" t="n">
        <v>23910</v>
      </c>
      <c r="N957" s="184" t="n">
        <v>21758.1</v>
      </c>
      <c r="O957" s="184" t="s">
        <v>2305</v>
      </c>
      <c r="P957" s="187" t="n">
        <v>45941</v>
      </c>
      <c r="Q957" s="188" t="n">
        <v>0.127604166666667</v>
      </c>
    </row>
    <row r="958" customFormat="false" ht="46.25" hidden="false" customHeight="false" outlineLevel="0" collapsed="false">
      <c r="A958" s="181" t="s">
        <v>2306</v>
      </c>
      <c r="B958" s="182" t="n">
        <v>2280</v>
      </c>
      <c r="C958" s="183" t="n">
        <v>8046</v>
      </c>
      <c r="D958" s="181" t="s">
        <v>2066</v>
      </c>
      <c r="E958" s="181" t="s">
        <v>350</v>
      </c>
      <c r="F958" s="181" t="s">
        <v>351</v>
      </c>
      <c r="G958" s="181" t="s">
        <v>2292</v>
      </c>
      <c r="H958" s="181" t="s">
        <v>279</v>
      </c>
      <c r="I958" s="181" t="s">
        <v>241</v>
      </c>
      <c r="J958" s="184" t="n">
        <v>43140</v>
      </c>
      <c r="K958" s="184" t="n">
        <v>14990</v>
      </c>
      <c r="L958" s="185" t="n">
        <v>6</v>
      </c>
      <c r="M958" s="173" t="n">
        <v>28150</v>
      </c>
      <c r="N958" s="184" t="n">
        <v>26461</v>
      </c>
      <c r="O958" s="184" t="s">
        <v>2307</v>
      </c>
      <c r="P958" s="187" t="n">
        <v>45941</v>
      </c>
      <c r="Q958" s="188" t="n">
        <v>0.174270833333333</v>
      </c>
    </row>
    <row r="959" customFormat="false" ht="46.25" hidden="false" customHeight="false" outlineLevel="0" collapsed="false">
      <c r="A959" s="181" t="s">
        <v>2308</v>
      </c>
      <c r="B959" s="182" t="n">
        <v>2281</v>
      </c>
      <c r="C959" s="183" t="n">
        <v>8055</v>
      </c>
      <c r="D959" s="181" t="s">
        <v>2066</v>
      </c>
      <c r="E959" s="181" t="s">
        <v>383</v>
      </c>
      <c r="F959" s="181" t="s">
        <v>384</v>
      </c>
      <c r="G959" s="181" t="s">
        <v>2292</v>
      </c>
      <c r="H959" s="181" t="s">
        <v>279</v>
      </c>
      <c r="I959" s="181" t="s">
        <v>241</v>
      </c>
      <c r="J959" s="184" t="n">
        <v>41040</v>
      </c>
      <c r="K959" s="184" t="n">
        <v>14840</v>
      </c>
      <c r="L959" s="185" t="n">
        <v>5</v>
      </c>
      <c r="M959" s="173" t="n">
        <v>26200</v>
      </c>
      <c r="N959" s="184" t="n">
        <v>24890</v>
      </c>
      <c r="O959" s="184" t="s">
        <v>2309</v>
      </c>
      <c r="P959" s="187" t="n">
        <v>45941</v>
      </c>
      <c r="Q959" s="188" t="n">
        <v>0.432789351851852</v>
      </c>
    </row>
    <row r="960" customFormat="false" ht="46.25" hidden="false" customHeight="false" outlineLevel="0" collapsed="false">
      <c r="A960" s="181" t="s">
        <v>2310</v>
      </c>
      <c r="B960" s="182" t="n">
        <v>2282</v>
      </c>
      <c r="C960" s="183" t="n">
        <v>8054</v>
      </c>
      <c r="D960" s="181" t="s">
        <v>2066</v>
      </c>
      <c r="E960" s="181" t="s">
        <v>387</v>
      </c>
      <c r="F960" s="181" t="s">
        <v>388</v>
      </c>
      <c r="G960" s="181" t="s">
        <v>2292</v>
      </c>
      <c r="H960" s="181" t="s">
        <v>279</v>
      </c>
      <c r="I960" s="181" t="s">
        <v>241</v>
      </c>
      <c r="J960" s="184" t="n">
        <v>43820</v>
      </c>
      <c r="K960" s="184" t="n">
        <v>15060</v>
      </c>
      <c r="L960" s="185" t="n">
        <v>8</v>
      </c>
      <c r="M960" s="173" t="n">
        <v>28760</v>
      </c>
      <c r="N960" s="184" t="n">
        <v>26459.2</v>
      </c>
      <c r="O960" s="184" t="s">
        <v>2311</v>
      </c>
      <c r="P960" s="187" t="n">
        <v>45941</v>
      </c>
      <c r="Q960" s="188" t="n">
        <v>0.453194444444444</v>
      </c>
    </row>
    <row r="961" customFormat="false" ht="46.25" hidden="false" customHeight="false" outlineLevel="0" collapsed="false">
      <c r="A961" s="181" t="s">
        <v>2312</v>
      </c>
      <c r="B961" s="182" t="n">
        <v>2283</v>
      </c>
      <c r="C961" s="183" t="n">
        <v>8069</v>
      </c>
      <c r="D961" s="181" t="s">
        <v>2066</v>
      </c>
      <c r="E961" s="181" t="s">
        <v>340</v>
      </c>
      <c r="F961" s="181" t="s">
        <v>341</v>
      </c>
      <c r="G961" s="181" t="s">
        <v>2292</v>
      </c>
      <c r="H961" s="181" t="s">
        <v>279</v>
      </c>
      <c r="I961" s="181" t="s">
        <v>241</v>
      </c>
      <c r="J961" s="184" t="n">
        <v>39210</v>
      </c>
      <c r="K961" s="184" t="n">
        <v>15130</v>
      </c>
      <c r="L961" s="185" t="n">
        <v>11</v>
      </c>
      <c r="M961" s="173" t="n">
        <v>24080</v>
      </c>
      <c r="N961" s="184" t="n">
        <v>21431.2</v>
      </c>
      <c r="O961" s="184" t="s">
        <v>2313</v>
      </c>
      <c r="P961" s="187" t="n">
        <v>45941</v>
      </c>
      <c r="Q961" s="188" t="n">
        <v>0.467835648148148</v>
      </c>
    </row>
    <row r="962" customFormat="false" ht="46.25" hidden="false" customHeight="false" outlineLevel="0" collapsed="false">
      <c r="A962" s="181" t="s">
        <v>2314</v>
      </c>
      <c r="B962" s="182" t="n">
        <v>2285</v>
      </c>
      <c r="C962" s="183" t="n">
        <v>8059</v>
      </c>
      <c r="D962" s="181" t="s">
        <v>2066</v>
      </c>
      <c r="E962" s="181" t="s">
        <v>300</v>
      </c>
      <c r="F962" s="181" t="s">
        <v>301</v>
      </c>
      <c r="G962" s="181" t="s">
        <v>2292</v>
      </c>
      <c r="H962" s="181" t="s">
        <v>279</v>
      </c>
      <c r="I962" s="181" t="s">
        <v>241</v>
      </c>
      <c r="J962" s="184" t="n">
        <v>62730</v>
      </c>
      <c r="K962" s="184" t="n">
        <v>21170</v>
      </c>
      <c r="L962" s="185" t="n">
        <v>8</v>
      </c>
      <c r="M962" s="173" t="n">
        <v>41560</v>
      </c>
      <c r="N962" s="184" t="n">
        <v>38235.2</v>
      </c>
      <c r="O962" s="184" t="s">
        <v>2315</v>
      </c>
      <c r="P962" s="187" t="n">
        <v>45941</v>
      </c>
      <c r="Q962" s="188" t="n">
        <v>0.563055555555556</v>
      </c>
    </row>
    <row r="963" customFormat="false" ht="46.25" hidden="false" customHeight="false" outlineLevel="0" collapsed="false">
      <c r="A963" s="181" t="s">
        <v>2316</v>
      </c>
      <c r="B963" s="182" t="n">
        <v>2286</v>
      </c>
      <c r="C963" s="183" t="n">
        <v>8072</v>
      </c>
      <c r="D963" s="181" t="s">
        <v>2066</v>
      </c>
      <c r="E963" s="181" t="s">
        <v>266</v>
      </c>
      <c r="F963" s="181" t="s">
        <v>267</v>
      </c>
      <c r="G963" s="181" t="s">
        <v>2292</v>
      </c>
      <c r="H963" s="181" t="s">
        <v>279</v>
      </c>
      <c r="I963" s="181" t="s">
        <v>241</v>
      </c>
      <c r="J963" s="184" t="n">
        <v>38730</v>
      </c>
      <c r="K963" s="184" t="n">
        <v>14950</v>
      </c>
      <c r="L963" s="185" t="n">
        <v>9</v>
      </c>
      <c r="M963" s="173" t="n">
        <v>23780</v>
      </c>
      <c r="N963" s="184" t="n">
        <v>21639.8</v>
      </c>
      <c r="O963" s="184" t="s">
        <v>2317</v>
      </c>
      <c r="P963" s="187" t="n">
        <v>45941</v>
      </c>
      <c r="Q963" s="188" t="n">
        <v>0.56994212962963</v>
      </c>
    </row>
    <row r="964" customFormat="false" ht="46.25" hidden="false" customHeight="false" outlineLevel="0" collapsed="false">
      <c r="A964" s="181" t="s">
        <v>2318</v>
      </c>
      <c r="B964" s="182" t="n">
        <v>2289</v>
      </c>
      <c r="C964" s="183" t="n">
        <v>8073</v>
      </c>
      <c r="D964" s="181" t="s">
        <v>2066</v>
      </c>
      <c r="E964" s="181" t="s">
        <v>582</v>
      </c>
      <c r="F964" s="181" t="s">
        <v>583</v>
      </c>
      <c r="G964" s="181" t="s">
        <v>2292</v>
      </c>
      <c r="H964" s="181" t="s">
        <v>279</v>
      </c>
      <c r="I964" s="181" t="s">
        <v>241</v>
      </c>
      <c r="J964" s="184" t="n">
        <v>39790</v>
      </c>
      <c r="K964" s="184" t="n">
        <v>14850</v>
      </c>
      <c r="L964" s="185" t="n">
        <v>7</v>
      </c>
      <c r="M964" s="173" t="n">
        <v>24940</v>
      </c>
      <c r="N964" s="184" t="n">
        <v>23194.2</v>
      </c>
      <c r="O964" s="184" t="s">
        <v>2319</v>
      </c>
      <c r="P964" s="187" t="n">
        <v>45941</v>
      </c>
      <c r="Q964" s="188" t="n">
        <v>0.611354166666667</v>
      </c>
    </row>
    <row r="965" customFormat="false" ht="46.25" hidden="false" customHeight="false" outlineLevel="0" collapsed="false">
      <c r="A965" s="181" t="s">
        <v>2320</v>
      </c>
      <c r="B965" s="182" t="n">
        <v>2291</v>
      </c>
      <c r="C965" s="183" t="n">
        <v>8076</v>
      </c>
      <c r="D965" s="181" t="s">
        <v>2066</v>
      </c>
      <c r="E965" s="181" t="s">
        <v>399</v>
      </c>
      <c r="F965" s="181" t="s">
        <v>400</v>
      </c>
      <c r="G965" s="181" t="s">
        <v>2292</v>
      </c>
      <c r="H965" s="181" t="s">
        <v>279</v>
      </c>
      <c r="I965" s="181" t="s">
        <v>241</v>
      </c>
      <c r="J965" s="184" t="n">
        <v>50680</v>
      </c>
      <c r="K965" s="184" t="n">
        <v>19290</v>
      </c>
      <c r="L965" s="185" t="n">
        <v>7</v>
      </c>
      <c r="M965" s="173" t="n">
        <v>31390</v>
      </c>
      <c r="N965" s="184" t="n">
        <v>29192.7</v>
      </c>
      <c r="O965" s="184" t="s">
        <v>2321</v>
      </c>
      <c r="P965" s="187" t="n">
        <v>45941</v>
      </c>
      <c r="Q965" s="188" t="n">
        <v>0.663564814814815</v>
      </c>
    </row>
    <row r="966" customFormat="false" ht="46.25" hidden="false" customHeight="false" outlineLevel="0" collapsed="false">
      <c r="A966" s="181" t="s">
        <v>2322</v>
      </c>
      <c r="B966" s="182" t="n">
        <v>2294</v>
      </c>
      <c r="C966" s="183" t="n">
        <v>8083</v>
      </c>
      <c r="D966" s="181" t="s">
        <v>2066</v>
      </c>
      <c r="E966" s="181" t="s">
        <v>377</v>
      </c>
      <c r="F966" s="181" t="s">
        <v>378</v>
      </c>
      <c r="G966" s="181" t="s">
        <v>2292</v>
      </c>
      <c r="H966" s="181" t="s">
        <v>279</v>
      </c>
      <c r="I966" s="181" t="s">
        <v>241</v>
      </c>
      <c r="J966" s="184" t="n">
        <v>43880</v>
      </c>
      <c r="K966" s="184" t="n">
        <v>15650</v>
      </c>
      <c r="L966" s="185" t="n">
        <v>8</v>
      </c>
      <c r="M966" s="173" t="n">
        <v>28230</v>
      </c>
      <c r="N966" s="184" t="n">
        <v>25971.6</v>
      </c>
      <c r="O966" s="184" t="s">
        <v>2323</v>
      </c>
      <c r="P966" s="187" t="n">
        <v>45941</v>
      </c>
      <c r="Q966" s="188" t="n">
        <v>0.685</v>
      </c>
    </row>
    <row r="967" customFormat="false" ht="46.25" hidden="false" customHeight="false" outlineLevel="0" collapsed="false">
      <c r="A967" s="181" t="s">
        <v>2324</v>
      </c>
      <c r="B967" s="182" t="n">
        <v>2301</v>
      </c>
      <c r="C967" s="183" t="n">
        <v>8093</v>
      </c>
      <c r="D967" s="181" t="s">
        <v>2066</v>
      </c>
      <c r="E967" s="181" t="s">
        <v>272</v>
      </c>
      <c r="F967" s="181" t="s">
        <v>273</v>
      </c>
      <c r="G967" s="181" t="s">
        <v>2292</v>
      </c>
      <c r="H967" s="181" t="s">
        <v>279</v>
      </c>
      <c r="I967" s="181" t="s">
        <v>241</v>
      </c>
      <c r="J967" s="184" t="n">
        <v>40130</v>
      </c>
      <c r="K967" s="184" t="n">
        <v>15580</v>
      </c>
      <c r="L967" s="185" t="n">
        <v>8</v>
      </c>
      <c r="M967" s="173" t="n">
        <v>24550</v>
      </c>
      <c r="N967" s="184" t="n">
        <v>22586</v>
      </c>
      <c r="O967" s="184" t="s">
        <v>2325</v>
      </c>
      <c r="P967" s="187" t="n">
        <v>45941</v>
      </c>
      <c r="Q967" s="188" t="n">
        <v>0.818958333333333</v>
      </c>
    </row>
    <row r="968" customFormat="false" ht="35.05" hidden="false" customHeight="false" outlineLevel="0" collapsed="false">
      <c r="A968" s="181" t="s">
        <v>2326</v>
      </c>
      <c r="B968" s="182" t="n">
        <v>2302</v>
      </c>
      <c r="C968" s="183" t="n">
        <v>1</v>
      </c>
      <c r="D968" s="181" t="s">
        <v>2005</v>
      </c>
      <c r="E968" s="181" t="s">
        <v>266</v>
      </c>
      <c r="F968" s="181" t="s">
        <v>267</v>
      </c>
      <c r="G968" s="181" t="s">
        <v>2049</v>
      </c>
      <c r="H968" s="181" t="s">
        <v>279</v>
      </c>
      <c r="I968" s="181" t="s">
        <v>240</v>
      </c>
      <c r="J968" s="184" t="n">
        <v>38700</v>
      </c>
      <c r="K968" s="184" t="n">
        <v>15120</v>
      </c>
      <c r="L968" s="185" t="n">
        <v>7</v>
      </c>
      <c r="M968" s="173" t="n">
        <v>23580</v>
      </c>
      <c r="N968" s="184" t="n">
        <v>21929.4</v>
      </c>
      <c r="O968" s="184" t="s">
        <v>2327</v>
      </c>
      <c r="P968" s="187" t="n">
        <v>45941</v>
      </c>
      <c r="Q968" s="188" t="n">
        <v>0.858784722222222</v>
      </c>
    </row>
    <row r="969" customFormat="false" ht="46.25" hidden="false" customHeight="false" outlineLevel="0" collapsed="false">
      <c r="A969" s="181" t="s">
        <v>2328</v>
      </c>
      <c r="B969" s="182" t="n">
        <v>2303</v>
      </c>
      <c r="C969" s="183" t="n">
        <v>9430</v>
      </c>
      <c r="D969" s="181" t="s">
        <v>2066</v>
      </c>
      <c r="E969" s="181" t="s">
        <v>545</v>
      </c>
      <c r="F969" s="181" t="s">
        <v>546</v>
      </c>
      <c r="G969" s="181" t="s">
        <v>2292</v>
      </c>
      <c r="H969" s="181" t="s">
        <v>279</v>
      </c>
      <c r="I969" s="181" t="s">
        <v>241</v>
      </c>
      <c r="J969" s="184" t="n">
        <v>42180</v>
      </c>
      <c r="K969" s="184" t="n">
        <v>16000</v>
      </c>
      <c r="L969" s="185" t="n">
        <v>6</v>
      </c>
      <c r="M969" s="173" t="n">
        <v>26180</v>
      </c>
      <c r="N969" s="184" t="n">
        <v>24609.2</v>
      </c>
      <c r="O969" s="184" t="s">
        <v>2329</v>
      </c>
      <c r="P969" s="187" t="n">
        <v>45941</v>
      </c>
      <c r="Q969" s="188" t="n">
        <v>0.874513888888889</v>
      </c>
    </row>
    <row r="970" customFormat="false" ht="46.25" hidden="false" customHeight="false" outlineLevel="0" collapsed="false">
      <c r="A970" s="181" t="s">
        <v>2330</v>
      </c>
      <c r="B970" s="182" t="n">
        <v>2296</v>
      </c>
      <c r="C970" s="183" t="n">
        <v>8085</v>
      </c>
      <c r="D970" s="181" t="s">
        <v>2066</v>
      </c>
      <c r="E970" s="181" t="s">
        <v>409</v>
      </c>
      <c r="F970" s="181" t="s">
        <v>410</v>
      </c>
      <c r="G970" s="181" t="s">
        <v>2292</v>
      </c>
      <c r="H970" s="181" t="s">
        <v>279</v>
      </c>
      <c r="I970" s="181" t="s">
        <v>241</v>
      </c>
      <c r="J970" s="184" t="n">
        <v>65180</v>
      </c>
      <c r="K970" s="184" t="n">
        <v>24450</v>
      </c>
      <c r="L970" s="185" t="n">
        <v>6</v>
      </c>
      <c r="M970" s="173" t="n">
        <v>40730</v>
      </c>
      <c r="N970" s="184" t="n">
        <v>38286.2</v>
      </c>
      <c r="O970" s="184" t="s">
        <v>2331</v>
      </c>
      <c r="P970" s="187" t="n">
        <v>45941</v>
      </c>
      <c r="Q970" s="188" t="n">
        <v>0.894398148148148</v>
      </c>
    </row>
    <row r="971" customFormat="false" ht="46.25" hidden="false" customHeight="false" outlineLevel="0" collapsed="false">
      <c r="A971" s="181" t="s">
        <v>2332</v>
      </c>
      <c r="B971" s="182" t="n">
        <v>2297</v>
      </c>
      <c r="C971" s="183" t="n">
        <v>8086</v>
      </c>
      <c r="D971" s="181" t="s">
        <v>2066</v>
      </c>
      <c r="E971" s="181" t="s">
        <v>413</v>
      </c>
      <c r="F971" s="181" t="s">
        <v>414</v>
      </c>
      <c r="G971" s="181" t="s">
        <v>2292</v>
      </c>
      <c r="H971" s="181" t="s">
        <v>279</v>
      </c>
      <c r="I971" s="181" t="s">
        <v>241</v>
      </c>
      <c r="J971" s="184" t="n">
        <v>45260</v>
      </c>
      <c r="K971" s="184" t="n">
        <v>15650</v>
      </c>
      <c r="L971" s="185" t="n">
        <v>7</v>
      </c>
      <c r="M971" s="173" t="n">
        <v>29610</v>
      </c>
      <c r="N971" s="184" t="n">
        <v>27537.3</v>
      </c>
      <c r="O971" s="184" t="s">
        <v>2333</v>
      </c>
      <c r="P971" s="187" t="n">
        <v>45941</v>
      </c>
      <c r="Q971" s="188" t="n">
        <v>0.901886574074074</v>
      </c>
    </row>
    <row r="972" customFormat="false" ht="35.05" hidden="false" customHeight="false" outlineLevel="0" collapsed="false">
      <c r="A972" s="181" t="s">
        <v>2334</v>
      </c>
      <c r="B972" s="182" t="n">
        <v>2305</v>
      </c>
      <c r="C972" s="183" t="n">
        <v>3</v>
      </c>
      <c r="D972" s="181" t="s">
        <v>2005</v>
      </c>
      <c r="E972" s="181" t="s">
        <v>1646</v>
      </c>
      <c r="F972" s="181" t="s">
        <v>1647</v>
      </c>
      <c r="G972" s="181" t="s">
        <v>2049</v>
      </c>
      <c r="H972" s="181" t="s">
        <v>279</v>
      </c>
      <c r="I972" s="181" t="s">
        <v>240</v>
      </c>
      <c r="J972" s="184" t="n">
        <v>31230</v>
      </c>
      <c r="K972" s="184" t="n">
        <v>14400</v>
      </c>
      <c r="L972" s="185" t="n">
        <v>7</v>
      </c>
      <c r="M972" s="173" t="n">
        <v>16830</v>
      </c>
      <c r="N972" s="184" t="n">
        <v>15651.9</v>
      </c>
      <c r="O972" s="184" t="s">
        <v>2335</v>
      </c>
      <c r="P972" s="187" t="n">
        <v>45941</v>
      </c>
      <c r="Q972" s="188" t="n">
        <v>0.90912037037037</v>
      </c>
    </row>
    <row r="973" customFormat="false" ht="35.05" hidden="false" customHeight="false" outlineLevel="0" collapsed="false">
      <c r="A973" s="181" t="s">
        <v>2336</v>
      </c>
      <c r="B973" s="182" t="n">
        <v>2306</v>
      </c>
      <c r="C973" s="183" t="n">
        <v>2</v>
      </c>
      <c r="D973" s="181" t="s">
        <v>2005</v>
      </c>
      <c r="E973" s="181" t="s">
        <v>1510</v>
      </c>
      <c r="F973" s="181" t="s">
        <v>1511</v>
      </c>
      <c r="G973" s="181" t="s">
        <v>2049</v>
      </c>
      <c r="H973" s="181" t="s">
        <v>279</v>
      </c>
      <c r="I973" s="181" t="s">
        <v>240</v>
      </c>
      <c r="J973" s="184" t="n">
        <v>19190</v>
      </c>
      <c r="K973" s="184" t="n">
        <v>9570</v>
      </c>
      <c r="L973" s="185" t="n">
        <v>10</v>
      </c>
      <c r="M973" s="173" t="n">
        <v>9620</v>
      </c>
      <c r="N973" s="184" t="n">
        <v>8658</v>
      </c>
      <c r="O973" s="184" t="s">
        <v>2337</v>
      </c>
      <c r="P973" s="187" t="n">
        <v>45941</v>
      </c>
      <c r="Q973" s="188" t="n">
        <v>0.917314814814815</v>
      </c>
    </row>
    <row r="974" customFormat="false" ht="35.05" hidden="false" customHeight="false" outlineLevel="0" collapsed="false">
      <c r="A974" s="181" t="s">
        <v>2338</v>
      </c>
      <c r="B974" s="182" t="n">
        <v>2299</v>
      </c>
      <c r="C974" s="183" t="n">
        <v>4</v>
      </c>
      <c r="D974" s="181" t="s">
        <v>2005</v>
      </c>
      <c r="E974" s="181" t="s">
        <v>292</v>
      </c>
      <c r="F974" s="181" t="s">
        <v>293</v>
      </c>
      <c r="G974" s="181" t="s">
        <v>2049</v>
      </c>
      <c r="H974" s="181" t="s">
        <v>279</v>
      </c>
      <c r="I974" s="181" t="s">
        <v>240</v>
      </c>
      <c r="J974" s="184" t="n">
        <v>36750</v>
      </c>
      <c r="K974" s="184" t="n">
        <v>13990</v>
      </c>
      <c r="L974" s="185" t="n">
        <v>7</v>
      </c>
      <c r="M974" s="173" t="n">
        <v>22760</v>
      </c>
      <c r="N974" s="184" t="n">
        <v>21166.8</v>
      </c>
      <c r="O974" s="184" t="s">
        <v>2339</v>
      </c>
      <c r="P974" s="187" t="n">
        <v>45941</v>
      </c>
      <c r="Q974" s="188" t="n">
        <v>0.926284722222222</v>
      </c>
    </row>
    <row r="975" customFormat="false" ht="35.05" hidden="false" customHeight="false" outlineLevel="0" collapsed="false">
      <c r="A975" s="181" t="s">
        <v>2340</v>
      </c>
      <c r="B975" s="182" t="n">
        <v>2298</v>
      </c>
      <c r="C975" s="183" t="n">
        <v>2</v>
      </c>
      <c r="D975" s="181" t="s">
        <v>2005</v>
      </c>
      <c r="E975" s="181" t="s">
        <v>340</v>
      </c>
      <c r="F975" s="181" t="s">
        <v>341</v>
      </c>
      <c r="G975" s="181" t="s">
        <v>2049</v>
      </c>
      <c r="H975" s="181" t="s">
        <v>279</v>
      </c>
      <c r="I975" s="181" t="s">
        <v>240</v>
      </c>
      <c r="J975" s="184" t="n">
        <v>39250</v>
      </c>
      <c r="K975" s="184" t="n">
        <v>15020</v>
      </c>
      <c r="L975" s="185" t="n">
        <v>9</v>
      </c>
      <c r="M975" s="173" t="n">
        <v>24230</v>
      </c>
      <c r="N975" s="184" t="n">
        <v>22049.3</v>
      </c>
      <c r="O975" s="184" t="s">
        <v>2341</v>
      </c>
      <c r="P975" s="187" t="n">
        <v>45941</v>
      </c>
      <c r="Q975" s="188" t="n">
        <v>0.941770833333333</v>
      </c>
    </row>
    <row r="976" customFormat="false" ht="35.05" hidden="false" customHeight="false" outlineLevel="0" collapsed="false">
      <c r="A976" s="181" t="s">
        <v>2342</v>
      </c>
      <c r="B976" s="182" t="n">
        <v>2300</v>
      </c>
      <c r="C976" s="183" t="n">
        <v>3</v>
      </c>
      <c r="D976" s="181" t="s">
        <v>2005</v>
      </c>
      <c r="E976" s="181" t="s">
        <v>346</v>
      </c>
      <c r="F976" s="181" t="s">
        <v>347</v>
      </c>
      <c r="G976" s="181" t="s">
        <v>2049</v>
      </c>
      <c r="H976" s="181" t="s">
        <v>279</v>
      </c>
      <c r="I976" s="181" t="s">
        <v>240</v>
      </c>
      <c r="J976" s="184" t="n">
        <v>40230</v>
      </c>
      <c r="K976" s="184" t="n">
        <v>15230</v>
      </c>
      <c r="L976" s="185" t="n">
        <v>8</v>
      </c>
      <c r="M976" s="173" t="n">
        <v>25000</v>
      </c>
      <c r="N976" s="184" t="n">
        <v>23000</v>
      </c>
      <c r="O976" s="184" t="s">
        <v>2343</v>
      </c>
      <c r="P976" s="187" t="n">
        <v>45941</v>
      </c>
      <c r="Q976" s="188" t="n">
        <v>0.964386574074074</v>
      </c>
    </row>
    <row r="977" customFormat="false" ht="46.25" hidden="false" customHeight="false" outlineLevel="0" collapsed="false">
      <c r="A977" s="181" t="s">
        <v>2344</v>
      </c>
      <c r="B977" s="182" t="n">
        <v>2307</v>
      </c>
      <c r="C977" s="183" t="n">
        <v>8091</v>
      </c>
      <c r="D977" s="181" t="s">
        <v>2066</v>
      </c>
      <c r="E977" s="181" t="s">
        <v>336</v>
      </c>
      <c r="F977" s="181" t="s">
        <v>337</v>
      </c>
      <c r="G977" s="181" t="s">
        <v>2292</v>
      </c>
      <c r="H977" s="181" t="s">
        <v>279</v>
      </c>
      <c r="I977" s="181" t="s">
        <v>241</v>
      </c>
      <c r="J977" s="184" t="n">
        <v>38350</v>
      </c>
      <c r="K977" s="184" t="n">
        <v>14520</v>
      </c>
      <c r="L977" s="185" t="n">
        <v>14</v>
      </c>
      <c r="M977" s="173" t="n">
        <v>23830</v>
      </c>
      <c r="N977" s="184" t="n">
        <v>20493.8</v>
      </c>
      <c r="O977" s="184" t="s">
        <v>2345</v>
      </c>
      <c r="P977" s="187" t="n">
        <v>45941</v>
      </c>
      <c r="Q977" s="188" t="n">
        <v>0.996319444444444</v>
      </c>
    </row>
    <row r="978" customFormat="false" ht="35.05" hidden="false" customHeight="false" outlineLevel="0" collapsed="false">
      <c r="A978" s="181" t="s">
        <v>2346</v>
      </c>
      <c r="B978" s="182" t="n">
        <v>2313</v>
      </c>
      <c r="C978" s="183" t="n">
        <v>7</v>
      </c>
      <c r="D978" s="181" t="s">
        <v>2005</v>
      </c>
      <c r="E978" s="181" t="s">
        <v>582</v>
      </c>
      <c r="F978" s="181" t="s">
        <v>583</v>
      </c>
      <c r="G978" s="181" t="s">
        <v>2049</v>
      </c>
      <c r="H978" s="181" t="s">
        <v>279</v>
      </c>
      <c r="I978" s="181" t="s">
        <v>240</v>
      </c>
      <c r="J978" s="184" t="n">
        <v>21960</v>
      </c>
      <c r="K978" s="184" t="n">
        <v>14840</v>
      </c>
      <c r="L978" s="185" t="n">
        <v>21</v>
      </c>
      <c r="M978" s="173" t="n">
        <v>7120</v>
      </c>
      <c r="N978" s="184" t="n">
        <v>5624.8</v>
      </c>
      <c r="O978" s="184" t="s">
        <v>2347</v>
      </c>
      <c r="P978" s="187" t="n">
        <v>45942</v>
      </c>
      <c r="Q978" s="188" t="n">
        <v>0.0712615740740741</v>
      </c>
    </row>
    <row r="979" customFormat="false" ht="46.25" hidden="false" customHeight="false" outlineLevel="0" collapsed="false">
      <c r="A979" s="181" t="s">
        <v>2348</v>
      </c>
      <c r="B979" s="182" t="n">
        <v>2309</v>
      </c>
      <c r="C979" s="183" t="n">
        <v>9444</v>
      </c>
      <c r="D979" s="181" t="s">
        <v>2066</v>
      </c>
      <c r="E979" s="181" t="s">
        <v>367</v>
      </c>
      <c r="F979" s="181" t="s">
        <v>368</v>
      </c>
      <c r="G979" s="181" t="s">
        <v>2292</v>
      </c>
      <c r="H979" s="181" t="s">
        <v>279</v>
      </c>
      <c r="I979" s="181" t="s">
        <v>241</v>
      </c>
      <c r="J979" s="184" t="n">
        <v>50600</v>
      </c>
      <c r="K979" s="184" t="n">
        <v>18710</v>
      </c>
      <c r="L979" s="185" t="n">
        <v>12</v>
      </c>
      <c r="M979" s="173" t="n">
        <v>31890</v>
      </c>
      <c r="N979" s="184" t="n">
        <v>28063.2</v>
      </c>
      <c r="O979" s="184" t="s">
        <v>2349</v>
      </c>
      <c r="P979" s="187" t="n">
        <v>45942</v>
      </c>
      <c r="Q979" s="188" t="n">
        <v>0.212071759259259</v>
      </c>
    </row>
    <row r="980" customFormat="false" ht="46.25" hidden="false" customHeight="false" outlineLevel="0" collapsed="false">
      <c r="A980" s="181" t="s">
        <v>2350</v>
      </c>
      <c r="B980" s="182" t="n">
        <v>2312</v>
      </c>
      <c r="C980" s="183" t="n">
        <v>9445</v>
      </c>
      <c r="D980" s="181" t="s">
        <v>2066</v>
      </c>
      <c r="E980" s="181" t="s">
        <v>2351</v>
      </c>
      <c r="F980" s="181" t="s">
        <v>2352</v>
      </c>
      <c r="G980" s="181" t="s">
        <v>2292</v>
      </c>
      <c r="H980" s="181" t="s">
        <v>279</v>
      </c>
      <c r="I980" s="181" t="s">
        <v>241</v>
      </c>
      <c r="J980" s="184" t="n">
        <v>47990</v>
      </c>
      <c r="K980" s="184" t="n">
        <v>17490</v>
      </c>
      <c r="L980" s="185" t="n">
        <v>7</v>
      </c>
      <c r="M980" s="173" t="n">
        <v>30500</v>
      </c>
      <c r="N980" s="184" t="n">
        <v>28365</v>
      </c>
      <c r="O980" s="184" t="s">
        <v>2353</v>
      </c>
      <c r="P980" s="187" t="n">
        <v>45942</v>
      </c>
      <c r="Q980" s="188" t="n">
        <v>0.31880787037037</v>
      </c>
    </row>
    <row r="981" customFormat="false" ht="46.25" hidden="false" customHeight="false" outlineLevel="0" collapsed="false">
      <c r="A981" s="181" t="s">
        <v>2354</v>
      </c>
      <c r="B981" s="182" t="n">
        <v>2315</v>
      </c>
      <c r="C981" s="183" t="n">
        <v>9449</v>
      </c>
      <c r="D981" s="181" t="s">
        <v>2066</v>
      </c>
      <c r="E981" s="181" t="s">
        <v>304</v>
      </c>
      <c r="F981" s="181" t="s">
        <v>305</v>
      </c>
      <c r="G981" s="181" t="s">
        <v>2292</v>
      </c>
      <c r="H981" s="181" t="s">
        <v>279</v>
      </c>
      <c r="I981" s="181" t="s">
        <v>241</v>
      </c>
      <c r="J981" s="184" t="n">
        <v>41170</v>
      </c>
      <c r="K981" s="184" t="n">
        <v>15030</v>
      </c>
      <c r="L981" s="185" t="n">
        <v>8</v>
      </c>
      <c r="M981" s="173" t="n">
        <v>26140</v>
      </c>
      <c r="N981" s="184" t="n">
        <v>24048.8</v>
      </c>
      <c r="O981" s="184" t="s">
        <v>2355</v>
      </c>
      <c r="P981" s="187" t="n">
        <v>45942</v>
      </c>
      <c r="Q981" s="188" t="n">
        <v>0.365277777777778</v>
      </c>
    </row>
    <row r="982" customFormat="false" ht="46.25" hidden="false" customHeight="false" outlineLevel="0" collapsed="false">
      <c r="A982" s="181" t="s">
        <v>2356</v>
      </c>
      <c r="B982" s="182" t="n">
        <v>2314</v>
      </c>
      <c r="C982" s="183" t="n">
        <v>9450</v>
      </c>
      <c r="D982" s="181" t="s">
        <v>2066</v>
      </c>
      <c r="E982" s="181" t="s">
        <v>308</v>
      </c>
      <c r="F982" s="181" t="s">
        <v>309</v>
      </c>
      <c r="G982" s="181" t="s">
        <v>2292</v>
      </c>
      <c r="H982" s="181" t="s">
        <v>279</v>
      </c>
      <c r="I982" s="181" t="s">
        <v>241</v>
      </c>
      <c r="J982" s="184" t="n">
        <v>64080</v>
      </c>
      <c r="K982" s="184" t="n">
        <v>24130</v>
      </c>
      <c r="L982" s="185" t="n">
        <v>10</v>
      </c>
      <c r="M982" s="173" t="n">
        <v>39950</v>
      </c>
      <c r="N982" s="184" t="n">
        <v>35955</v>
      </c>
      <c r="O982" s="184" t="s">
        <v>2357</v>
      </c>
      <c r="P982" s="187" t="n">
        <v>45942</v>
      </c>
      <c r="Q982" s="188" t="n">
        <v>0.419212962962963</v>
      </c>
    </row>
    <row r="983" customFormat="false" ht="46.25" hidden="false" customHeight="false" outlineLevel="0" collapsed="false">
      <c r="A983" s="181" t="s">
        <v>2358</v>
      </c>
      <c r="B983" s="182" t="n">
        <v>2317</v>
      </c>
      <c r="C983" s="183" t="n">
        <v>9453</v>
      </c>
      <c r="D983" s="181" t="s">
        <v>2066</v>
      </c>
      <c r="E983" s="181" t="s">
        <v>332</v>
      </c>
      <c r="F983" s="181" t="s">
        <v>333</v>
      </c>
      <c r="G983" s="181" t="s">
        <v>2292</v>
      </c>
      <c r="H983" s="181" t="s">
        <v>279</v>
      </c>
      <c r="I983" s="181" t="s">
        <v>241</v>
      </c>
      <c r="J983" s="184" t="n">
        <v>39390</v>
      </c>
      <c r="K983" s="184" t="n">
        <v>14780</v>
      </c>
      <c r="L983" s="185" t="n">
        <v>16</v>
      </c>
      <c r="M983" s="173" t="n">
        <v>24610</v>
      </c>
      <c r="N983" s="184" t="n">
        <v>20672.4</v>
      </c>
      <c r="O983" s="184" t="s">
        <v>2359</v>
      </c>
      <c r="P983" s="187" t="n">
        <v>45942</v>
      </c>
      <c r="Q983" s="188" t="n">
        <v>0.449675925925926</v>
      </c>
    </row>
    <row r="984" customFormat="false" ht="46.25" hidden="false" customHeight="false" outlineLevel="0" collapsed="false">
      <c r="A984" s="181" t="s">
        <v>2360</v>
      </c>
      <c r="B984" s="182" t="n">
        <v>2318</v>
      </c>
      <c r="C984" s="183" t="n">
        <v>9455</v>
      </c>
      <c r="D984" s="181" t="s">
        <v>2066</v>
      </c>
      <c r="E984" s="181" t="s">
        <v>288</v>
      </c>
      <c r="F984" s="181" t="s">
        <v>289</v>
      </c>
      <c r="G984" s="181" t="s">
        <v>2292</v>
      </c>
      <c r="H984" s="181" t="s">
        <v>279</v>
      </c>
      <c r="I984" s="181" t="s">
        <v>241</v>
      </c>
      <c r="J984" s="184" t="n">
        <v>37380</v>
      </c>
      <c r="K984" s="184" t="n">
        <v>14610</v>
      </c>
      <c r="L984" s="185" t="n">
        <v>13</v>
      </c>
      <c r="M984" s="173" t="n">
        <v>22770</v>
      </c>
      <c r="N984" s="184" t="n">
        <v>19809.9</v>
      </c>
      <c r="O984" s="184" t="s">
        <v>2361</v>
      </c>
      <c r="P984" s="187" t="n">
        <v>45942</v>
      </c>
      <c r="Q984" s="188" t="n">
        <v>0.478958333333333</v>
      </c>
    </row>
    <row r="985" customFormat="false" ht="46.25" hidden="false" customHeight="false" outlineLevel="0" collapsed="false">
      <c r="A985" s="181" t="s">
        <v>2362</v>
      </c>
      <c r="B985" s="182" t="n">
        <v>2320</v>
      </c>
      <c r="C985" s="183" t="n">
        <v>9459</v>
      </c>
      <c r="D985" s="181" t="s">
        <v>2066</v>
      </c>
      <c r="E985" s="181" t="s">
        <v>533</v>
      </c>
      <c r="F985" s="181" t="s">
        <v>534</v>
      </c>
      <c r="G985" s="181" t="s">
        <v>2292</v>
      </c>
      <c r="H985" s="181" t="s">
        <v>279</v>
      </c>
      <c r="I985" s="181" t="s">
        <v>241</v>
      </c>
      <c r="J985" s="184" t="n">
        <v>38580</v>
      </c>
      <c r="K985" s="184" t="n">
        <v>14490</v>
      </c>
      <c r="L985" s="185" t="n">
        <v>12</v>
      </c>
      <c r="M985" s="173" t="n">
        <v>24090</v>
      </c>
      <c r="N985" s="184" t="n">
        <v>21199.2</v>
      </c>
      <c r="O985" s="184" t="s">
        <v>2363</v>
      </c>
      <c r="P985" s="187" t="n">
        <v>45942</v>
      </c>
      <c r="Q985" s="188" t="n">
        <v>0.508032407407407</v>
      </c>
    </row>
    <row r="986" customFormat="false" ht="46.25" hidden="false" customHeight="false" outlineLevel="0" collapsed="false">
      <c r="A986" s="181" t="s">
        <v>2364</v>
      </c>
      <c r="B986" s="182" t="n">
        <v>2321</v>
      </c>
      <c r="C986" s="183" t="n">
        <v>9462</v>
      </c>
      <c r="D986" s="181" t="s">
        <v>2066</v>
      </c>
      <c r="E986" s="181" t="s">
        <v>901</v>
      </c>
      <c r="F986" s="181" t="s">
        <v>902</v>
      </c>
      <c r="G986" s="181" t="s">
        <v>2292</v>
      </c>
      <c r="H986" s="181" t="s">
        <v>279</v>
      </c>
      <c r="I986" s="181" t="s">
        <v>241</v>
      </c>
      <c r="J986" s="184" t="n">
        <v>35980</v>
      </c>
      <c r="K986" s="184" t="n">
        <v>14780</v>
      </c>
      <c r="L986" s="185" t="n">
        <v>7</v>
      </c>
      <c r="M986" s="173" t="n">
        <v>21200</v>
      </c>
      <c r="N986" s="184" t="n">
        <v>19716</v>
      </c>
      <c r="O986" s="184" t="s">
        <v>2365</v>
      </c>
      <c r="P986" s="187" t="n">
        <v>45942</v>
      </c>
      <c r="Q986" s="188" t="n">
        <v>0.554027777777778</v>
      </c>
    </row>
    <row r="987" customFormat="false" ht="46.25" hidden="false" customHeight="false" outlineLevel="0" collapsed="false">
      <c r="A987" s="181" t="s">
        <v>2366</v>
      </c>
      <c r="B987" s="182" t="n">
        <v>2323</v>
      </c>
      <c r="C987" s="183" t="n">
        <v>9410</v>
      </c>
      <c r="D987" s="181" t="s">
        <v>2066</v>
      </c>
      <c r="E987" s="181" t="s">
        <v>537</v>
      </c>
      <c r="F987" s="181" t="s">
        <v>538</v>
      </c>
      <c r="G987" s="181" t="s">
        <v>2292</v>
      </c>
      <c r="H987" s="181" t="s">
        <v>279</v>
      </c>
      <c r="I987" s="181" t="s">
        <v>241</v>
      </c>
      <c r="J987" s="184" t="n">
        <v>35870</v>
      </c>
      <c r="K987" s="184" t="n">
        <v>13850</v>
      </c>
      <c r="L987" s="185" t="n">
        <v>9</v>
      </c>
      <c r="M987" s="173" t="n">
        <v>22020</v>
      </c>
      <c r="N987" s="184" t="n">
        <v>20038.2</v>
      </c>
      <c r="O987" s="184" t="s">
        <v>2367</v>
      </c>
      <c r="P987" s="187" t="n">
        <v>45942</v>
      </c>
      <c r="Q987" s="188" t="n">
        <v>0.579664351851852</v>
      </c>
    </row>
    <row r="988" customFormat="false" ht="46.25" hidden="false" customHeight="false" outlineLevel="0" collapsed="false">
      <c r="A988" s="181" t="s">
        <v>2368</v>
      </c>
      <c r="B988" s="182" t="n">
        <v>2326</v>
      </c>
      <c r="C988" s="183" t="n">
        <v>9411</v>
      </c>
      <c r="D988" s="181" t="s">
        <v>2066</v>
      </c>
      <c r="E988" s="181" t="s">
        <v>529</v>
      </c>
      <c r="F988" s="181" t="s">
        <v>530</v>
      </c>
      <c r="G988" s="181" t="s">
        <v>2292</v>
      </c>
      <c r="H988" s="181" t="s">
        <v>279</v>
      </c>
      <c r="I988" s="181" t="s">
        <v>241</v>
      </c>
      <c r="J988" s="184" t="n">
        <v>37320</v>
      </c>
      <c r="K988" s="184" t="n">
        <v>14940</v>
      </c>
      <c r="L988" s="185" t="n">
        <v>10</v>
      </c>
      <c r="M988" s="173" t="n">
        <v>22380</v>
      </c>
      <c r="N988" s="184" t="n">
        <v>20142</v>
      </c>
      <c r="O988" s="184" t="s">
        <v>2369</v>
      </c>
      <c r="P988" s="187" t="n">
        <v>45942</v>
      </c>
      <c r="Q988" s="188" t="n">
        <v>0.641053240740741</v>
      </c>
    </row>
    <row r="989" customFormat="false" ht="46.25" hidden="false" customHeight="false" outlineLevel="0" collapsed="false">
      <c r="A989" s="181" t="s">
        <v>2370</v>
      </c>
      <c r="B989" s="182" t="n">
        <v>2334</v>
      </c>
      <c r="C989" s="183" t="n">
        <v>9417</v>
      </c>
      <c r="D989" s="181" t="s">
        <v>2066</v>
      </c>
      <c r="E989" s="181" t="s">
        <v>1023</v>
      </c>
      <c r="F989" s="181" t="s">
        <v>1024</v>
      </c>
      <c r="G989" s="181" t="s">
        <v>2292</v>
      </c>
      <c r="H989" s="181" t="s">
        <v>279</v>
      </c>
      <c r="I989" s="181" t="s">
        <v>241</v>
      </c>
      <c r="J989" s="184" t="n">
        <v>36170</v>
      </c>
      <c r="K989" s="184" t="n">
        <v>14740</v>
      </c>
      <c r="L989" s="185" t="n">
        <v>6</v>
      </c>
      <c r="M989" s="173" t="n">
        <v>21430</v>
      </c>
      <c r="N989" s="184" t="n">
        <v>20144.2</v>
      </c>
      <c r="O989" s="184" t="s">
        <v>2371</v>
      </c>
      <c r="P989" s="187" t="n">
        <v>45942</v>
      </c>
      <c r="Q989" s="188" t="n">
        <v>0.644849537037037</v>
      </c>
    </row>
    <row r="990" customFormat="false" ht="46.25" hidden="false" customHeight="false" outlineLevel="0" collapsed="false">
      <c r="A990" s="181" t="s">
        <v>2372</v>
      </c>
      <c r="B990" s="182" t="n">
        <v>2327</v>
      </c>
      <c r="C990" s="183" t="n">
        <v>9412</v>
      </c>
      <c r="D990" s="181" t="s">
        <v>2066</v>
      </c>
      <c r="E990" s="181" t="s">
        <v>391</v>
      </c>
      <c r="F990" s="181" t="s">
        <v>392</v>
      </c>
      <c r="G990" s="181" t="s">
        <v>2292</v>
      </c>
      <c r="H990" s="181" t="s">
        <v>279</v>
      </c>
      <c r="I990" s="181" t="s">
        <v>241</v>
      </c>
      <c r="J990" s="184" t="n">
        <v>35520</v>
      </c>
      <c r="K990" s="184" t="n">
        <v>14470</v>
      </c>
      <c r="L990" s="185" t="n">
        <v>10</v>
      </c>
      <c r="M990" s="173" t="n">
        <v>21050</v>
      </c>
      <c r="N990" s="184" t="n">
        <v>18945</v>
      </c>
      <c r="O990" s="184" t="s">
        <v>2373</v>
      </c>
      <c r="P990" s="187" t="n">
        <v>45942</v>
      </c>
      <c r="Q990" s="188" t="n">
        <v>0.662314814814815</v>
      </c>
    </row>
    <row r="991" customFormat="false" ht="46.25" hidden="false" customHeight="false" outlineLevel="0" collapsed="false">
      <c r="A991" s="181" t="s">
        <v>2374</v>
      </c>
      <c r="B991" s="182" t="n">
        <v>2328</v>
      </c>
      <c r="C991" s="183" t="n">
        <v>9413</v>
      </c>
      <c r="D991" s="181" t="s">
        <v>2066</v>
      </c>
      <c r="E991" s="181" t="s">
        <v>549</v>
      </c>
      <c r="F991" s="181" t="s">
        <v>550</v>
      </c>
      <c r="G991" s="181" t="s">
        <v>2292</v>
      </c>
      <c r="H991" s="181" t="s">
        <v>279</v>
      </c>
      <c r="I991" s="181" t="s">
        <v>241</v>
      </c>
      <c r="J991" s="184" t="n">
        <v>42540</v>
      </c>
      <c r="K991" s="184" t="n">
        <v>15940</v>
      </c>
      <c r="L991" s="185" t="n">
        <v>8</v>
      </c>
      <c r="M991" s="173" t="n">
        <v>26600</v>
      </c>
      <c r="N991" s="184" t="n">
        <v>24472</v>
      </c>
      <c r="O991" s="184" t="s">
        <v>2375</v>
      </c>
      <c r="P991" s="187" t="n">
        <v>45942</v>
      </c>
      <c r="Q991" s="188" t="n">
        <v>0.700821759259259</v>
      </c>
    </row>
    <row r="992" customFormat="false" ht="46.25" hidden="false" customHeight="false" outlineLevel="0" collapsed="false">
      <c r="A992" s="181" t="s">
        <v>2376</v>
      </c>
      <c r="B992" s="182" t="n">
        <v>2333</v>
      </c>
      <c r="C992" s="183" t="n">
        <v>9416</v>
      </c>
      <c r="D992" s="181" t="s">
        <v>2066</v>
      </c>
      <c r="E992" s="181" t="s">
        <v>1027</v>
      </c>
      <c r="F992" s="181" t="s">
        <v>1028</v>
      </c>
      <c r="G992" s="181" t="s">
        <v>2292</v>
      </c>
      <c r="H992" s="181" t="s">
        <v>279</v>
      </c>
      <c r="I992" s="181" t="s">
        <v>241</v>
      </c>
      <c r="J992" s="184" t="n">
        <v>38860</v>
      </c>
      <c r="K992" s="184" t="n">
        <v>14960</v>
      </c>
      <c r="L992" s="185" t="n">
        <v>7</v>
      </c>
      <c r="M992" s="173" t="n">
        <v>23900</v>
      </c>
      <c r="N992" s="184" t="n">
        <v>22227</v>
      </c>
      <c r="O992" s="184" t="s">
        <v>2377</v>
      </c>
      <c r="P992" s="187" t="n">
        <v>45942</v>
      </c>
      <c r="Q992" s="188" t="n">
        <v>0.729166666666667</v>
      </c>
    </row>
    <row r="993" customFormat="false" ht="46.25" hidden="false" customHeight="false" outlineLevel="0" collapsed="false">
      <c r="A993" s="181" t="s">
        <v>2378</v>
      </c>
      <c r="B993" s="182" t="n">
        <v>2342</v>
      </c>
      <c r="C993" s="183" t="n">
        <v>9476</v>
      </c>
      <c r="D993" s="181" t="s">
        <v>2066</v>
      </c>
      <c r="E993" s="181" t="s">
        <v>282</v>
      </c>
      <c r="F993" s="181" t="s">
        <v>283</v>
      </c>
      <c r="G993" s="181" t="s">
        <v>2292</v>
      </c>
      <c r="H993" s="181" t="s">
        <v>279</v>
      </c>
      <c r="I993" s="181" t="s">
        <v>241</v>
      </c>
      <c r="J993" s="184" t="n">
        <v>39290</v>
      </c>
      <c r="K993" s="184" t="n">
        <v>15100</v>
      </c>
      <c r="L993" s="185" t="n">
        <v>12</v>
      </c>
      <c r="M993" s="173" t="n">
        <v>24190</v>
      </c>
      <c r="N993" s="184" t="n">
        <v>21287.2</v>
      </c>
      <c r="O993" s="184" t="s">
        <v>2379</v>
      </c>
      <c r="P993" s="187" t="n">
        <v>45942</v>
      </c>
      <c r="Q993" s="188" t="n">
        <v>0.859710648148148</v>
      </c>
    </row>
    <row r="994" customFormat="false" ht="46.25" hidden="false" customHeight="false" outlineLevel="0" collapsed="false">
      <c r="A994" s="181" t="s">
        <v>2380</v>
      </c>
      <c r="B994" s="182" t="n">
        <v>2343</v>
      </c>
      <c r="C994" s="183" t="n">
        <v>9504</v>
      </c>
      <c r="D994" s="181" t="s">
        <v>2066</v>
      </c>
      <c r="E994" s="181" t="s">
        <v>439</v>
      </c>
      <c r="F994" s="181" t="s">
        <v>440</v>
      </c>
      <c r="G994" s="181" t="s">
        <v>2292</v>
      </c>
      <c r="H994" s="181" t="s">
        <v>279</v>
      </c>
      <c r="I994" s="181" t="s">
        <v>241</v>
      </c>
      <c r="J994" s="184" t="n">
        <v>39920</v>
      </c>
      <c r="K994" s="184" t="n">
        <v>16350</v>
      </c>
      <c r="L994" s="185" t="n">
        <v>7</v>
      </c>
      <c r="M994" s="173" t="n">
        <v>23570</v>
      </c>
      <c r="N994" s="184" t="n">
        <v>21920.1</v>
      </c>
      <c r="O994" s="184" t="s">
        <v>2381</v>
      </c>
      <c r="P994" s="187" t="n">
        <v>45942</v>
      </c>
      <c r="Q994" s="188" t="n">
        <v>0.88994212962963</v>
      </c>
    </row>
    <row r="995" customFormat="false" ht="46.25" hidden="false" customHeight="false" outlineLevel="0" collapsed="false">
      <c r="A995" s="181" t="s">
        <v>2382</v>
      </c>
      <c r="B995" s="182" t="n">
        <v>2335</v>
      </c>
      <c r="C995" s="183" t="n">
        <v>9415</v>
      </c>
      <c r="D995" s="181" t="s">
        <v>2066</v>
      </c>
      <c r="E995" s="181" t="s">
        <v>1019</v>
      </c>
      <c r="F995" s="181" t="s">
        <v>1020</v>
      </c>
      <c r="G995" s="181" t="s">
        <v>2292</v>
      </c>
      <c r="H995" s="181" t="s">
        <v>279</v>
      </c>
      <c r="I995" s="181" t="s">
        <v>241</v>
      </c>
      <c r="J995" s="184" t="n">
        <v>43410</v>
      </c>
      <c r="K995" s="184" t="n">
        <v>17080</v>
      </c>
      <c r="L995" s="185" t="n">
        <v>6</v>
      </c>
      <c r="M995" s="173" t="n">
        <v>26330</v>
      </c>
      <c r="N995" s="184" t="n">
        <v>24750.2</v>
      </c>
      <c r="O995" s="184" t="s">
        <v>2383</v>
      </c>
      <c r="P995" s="187" t="n">
        <v>45942</v>
      </c>
      <c r="Q995" s="188" t="n">
        <v>0.909895833333333</v>
      </c>
    </row>
    <row r="996" customFormat="false" ht="46.25" hidden="false" customHeight="false" outlineLevel="0" collapsed="false">
      <c r="A996" s="181" t="s">
        <v>2384</v>
      </c>
      <c r="B996" s="182" t="n">
        <v>2336</v>
      </c>
      <c r="C996" s="183" t="n">
        <v>9419</v>
      </c>
      <c r="D996" s="181" t="s">
        <v>2066</v>
      </c>
      <c r="E996" s="181" t="s">
        <v>541</v>
      </c>
      <c r="F996" s="181" t="s">
        <v>542</v>
      </c>
      <c r="G996" s="181" t="s">
        <v>2292</v>
      </c>
      <c r="H996" s="181" t="s">
        <v>279</v>
      </c>
      <c r="I996" s="181" t="s">
        <v>241</v>
      </c>
      <c r="J996" s="184" t="n">
        <v>40210</v>
      </c>
      <c r="K996" s="184" t="n">
        <v>14880</v>
      </c>
      <c r="L996" s="185" t="n">
        <v>4</v>
      </c>
      <c r="M996" s="173" t="n">
        <v>25330</v>
      </c>
      <c r="N996" s="184" t="n">
        <v>24316.8</v>
      </c>
      <c r="O996" s="184" t="s">
        <v>2385</v>
      </c>
      <c r="P996" s="187" t="n">
        <v>45942</v>
      </c>
      <c r="Q996" s="188" t="n">
        <v>0.918101851851852</v>
      </c>
    </row>
    <row r="997" customFormat="false" ht="46.25" hidden="false" customHeight="false" outlineLevel="0" collapsed="false">
      <c r="A997" s="181" t="s">
        <v>2386</v>
      </c>
      <c r="B997" s="182" t="n">
        <v>2344</v>
      </c>
      <c r="C997" s="183" t="n">
        <v>9505</v>
      </c>
      <c r="D997" s="181" t="s">
        <v>2066</v>
      </c>
      <c r="E997" s="181" t="s">
        <v>545</v>
      </c>
      <c r="F997" s="181" t="s">
        <v>546</v>
      </c>
      <c r="G997" s="181" t="s">
        <v>2292</v>
      </c>
      <c r="H997" s="181" t="s">
        <v>279</v>
      </c>
      <c r="I997" s="181" t="s">
        <v>241</v>
      </c>
      <c r="J997" s="184" t="n">
        <v>42460</v>
      </c>
      <c r="K997" s="184" t="n">
        <v>16030</v>
      </c>
      <c r="L997" s="185" t="n">
        <v>7</v>
      </c>
      <c r="M997" s="173" t="n">
        <v>26430</v>
      </c>
      <c r="N997" s="184" t="n">
        <v>24579.9</v>
      </c>
      <c r="O997" s="184" t="s">
        <v>2387</v>
      </c>
      <c r="P997" s="187" t="n">
        <v>45942</v>
      </c>
      <c r="Q997" s="188" t="n">
        <v>0.930902777777778</v>
      </c>
    </row>
    <row r="998" customFormat="false" ht="46.25" hidden="false" customHeight="false" outlineLevel="0" collapsed="false">
      <c r="A998" s="181" t="s">
        <v>2388</v>
      </c>
      <c r="B998" s="182" t="n">
        <v>2338</v>
      </c>
      <c r="C998" s="183" t="n">
        <v>9470</v>
      </c>
      <c r="D998" s="181" t="s">
        <v>2066</v>
      </c>
      <c r="E998" s="181" t="s">
        <v>350</v>
      </c>
      <c r="F998" s="181" t="s">
        <v>351</v>
      </c>
      <c r="G998" s="181" t="s">
        <v>2292</v>
      </c>
      <c r="H998" s="181" t="s">
        <v>279</v>
      </c>
      <c r="I998" s="181" t="s">
        <v>241</v>
      </c>
      <c r="J998" s="184" t="n">
        <v>42970</v>
      </c>
      <c r="K998" s="184" t="n">
        <v>14970</v>
      </c>
      <c r="L998" s="185" t="n">
        <v>7</v>
      </c>
      <c r="M998" s="173" t="n">
        <v>28000</v>
      </c>
      <c r="N998" s="184" t="n">
        <v>26040</v>
      </c>
      <c r="O998" s="184" t="s">
        <v>2389</v>
      </c>
      <c r="P998" s="187" t="n">
        <v>45942</v>
      </c>
      <c r="Q998" s="188" t="n">
        <v>0.954166666666667</v>
      </c>
    </row>
    <row r="999" customFormat="false" ht="46.25" hidden="false" customHeight="false" outlineLevel="0" collapsed="false">
      <c r="A999" s="181" t="s">
        <v>2390</v>
      </c>
      <c r="B999" s="182" t="n">
        <v>2341</v>
      </c>
      <c r="C999" s="183" t="n">
        <v>8041</v>
      </c>
      <c r="D999" s="181" t="s">
        <v>2066</v>
      </c>
      <c r="E999" s="181" t="s">
        <v>373</v>
      </c>
      <c r="F999" s="181" t="s">
        <v>374</v>
      </c>
      <c r="G999" s="181" t="s">
        <v>2292</v>
      </c>
      <c r="H999" s="181" t="s">
        <v>279</v>
      </c>
      <c r="I999" s="181" t="s">
        <v>241</v>
      </c>
      <c r="J999" s="184" t="n">
        <v>39970</v>
      </c>
      <c r="K999" s="184" t="n">
        <v>14400</v>
      </c>
      <c r="L999" s="185" t="n">
        <v>12</v>
      </c>
      <c r="M999" s="173" t="n">
        <v>25570</v>
      </c>
      <c r="N999" s="184" t="n">
        <v>22501.6</v>
      </c>
      <c r="O999" s="184" t="s">
        <v>2391</v>
      </c>
      <c r="P999" s="187" t="n">
        <v>45942</v>
      </c>
      <c r="Q999" s="188" t="n">
        <v>0.977314814814815</v>
      </c>
    </row>
    <row r="1000" customFormat="false" ht="46.25" hidden="false" customHeight="false" outlineLevel="0" collapsed="false">
      <c r="A1000" s="181" t="s">
        <v>2392</v>
      </c>
      <c r="B1000" s="182" t="n">
        <v>2346</v>
      </c>
      <c r="C1000" s="183" t="n">
        <v>9506</v>
      </c>
      <c r="D1000" s="181" t="s">
        <v>2066</v>
      </c>
      <c r="E1000" s="181" t="s">
        <v>431</v>
      </c>
      <c r="F1000" s="181" t="s">
        <v>432</v>
      </c>
      <c r="G1000" s="181" t="s">
        <v>2292</v>
      </c>
      <c r="H1000" s="181" t="s">
        <v>279</v>
      </c>
      <c r="I1000" s="181" t="s">
        <v>241</v>
      </c>
      <c r="J1000" s="184" t="n">
        <v>40740</v>
      </c>
      <c r="K1000" s="184" t="n">
        <v>16450</v>
      </c>
      <c r="L1000" s="185" t="n">
        <v>7</v>
      </c>
      <c r="M1000" s="173" t="n">
        <v>24290</v>
      </c>
      <c r="N1000" s="184" t="n">
        <v>22589.7</v>
      </c>
      <c r="O1000" s="184" t="s">
        <v>2393</v>
      </c>
      <c r="P1000" s="187" t="n">
        <v>45943</v>
      </c>
      <c r="Q1000" s="188" t="n">
        <v>0.203553240740741</v>
      </c>
    </row>
    <row r="1001" customFormat="false" ht="46.25" hidden="false" customHeight="false" outlineLevel="0" collapsed="false">
      <c r="A1001" s="181" t="s">
        <v>2394</v>
      </c>
      <c r="B1001" s="182" t="n">
        <v>2347</v>
      </c>
      <c r="C1001" s="183" t="n">
        <v>9507</v>
      </c>
      <c r="D1001" s="181" t="s">
        <v>2066</v>
      </c>
      <c r="E1001" s="181" t="s">
        <v>435</v>
      </c>
      <c r="F1001" s="181" t="s">
        <v>436</v>
      </c>
      <c r="G1001" s="181" t="s">
        <v>2292</v>
      </c>
      <c r="H1001" s="181" t="s">
        <v>279</v>
      </c>
      <c r="I1001" s="181" t="s">
        <v>241</v>
      </c>
      <c r="J1001" s="184" t="n">
        <v>40490</v>
      </c>
      <c r="K1001" s="184" t="n">
        <v>16400</v>
      </c>
      <c r="L1001" s="185" t="n">
        <v>9</v>
      </c>
      <c r="M1001" s="173" t="n">
        <v>24090</v>
      </c>
      <c r="N1001" s="184" t="n">
        <v>21921.9</v>
      </c>
      <c r="O1001" s="184" t="s">
        <v>2395</v>
      </c>
      <c r="P1001" s="187" t="n">
        <v>45943</v>
      </c>
      <c r="Q1001" s="188" t="n">
        <v>0.258877314814815</v>
      </c>
    </row>
    <row r="1002" customFormat="false" ht="46.25" hidden="false" customHeight="false" outlineLevel="0" collapsed="false">
      <c r="A1002" s="181" t="s">
        <v>2396</v>
      </c>
      <c r="B1002" s="182" t="n">
        <v>2348</v>
      </c>
      <c r="C1002" s="183" t="n">
        <v>9559</v>
      </c>
      <c r="D1002" s="181" t="s">
        <v>2066</v>
      </c>
      <c r="E1002" s="181" t="s">
        <v>549</v>
      </c>
      <c r="F1002" s="181" t="s">
        <v>550</v>
      </c>
      <c r="G1002" s="181" t="s">
        <v>2292</v>
      </c>
      <c r="H1002" s="181" t="s">
        <v>279</v>
      </c>
      <c r="I1002" s="181" t="s">
        <v>241</v>
      </c>
      <c r="J1002" s="184" t="n">
        <v>37520</v>
      </c>
      <c r="K1002" s="184" t="n">
        <v>15680</v>
      </c>
      <c r="L1002" s="185" t="n">
        <v>16</v>
      </c>
      <c r="M1002" s="173" t="n">
        <v>21840</v>
      </c>
      <c r="N1002" s="184" t="n">
        <v>18345.6</v>
      </c>
      <c r="O1002" s="184" t="s">
        <v>2397</v>
      </c>
      <c r="P1002" s="187" t="n">
        <v>45943</v>
      </c>
      <c r="Q1002" s="188" t="n">
        <v>0.333819444444444</v>
      </c>
    </row>
    <row r="1003" customFormat="false" ht="35.05" hidden="false" customHeight="false" outlineLevel="0" collapsed="false">
      <c r="A1003" s="181" t="s">
        <v>2398</v>
      </c>
      <c r="B1003" s="182" t="n">
        <v>2350</v>
      </c>
      <c r="C1003" s="183" t="n">
        <v>1</v>
      </c>
      <c r="D1003" s="181" t="s">
        <v>2005</v>
      </c>
      <c r="E1003" s="181" t="s">
        <v>901</v>
      </c>
      <c r="F1003" s="181" t="s">
        <v>902</v>
      </c>
      <c r="G1003" s="181" t="s">
        <v>2049</v>
      </c>
      <c r="H1003" s="181" t="s">
        <v>279</v>
      </c>
      <c r="I1003" s="181" t="s">
        <v>240</v>
      </c>
      <c r="J1003" s="184" t="n">
        <v>35650</v>
      </c>
      <c r="K1003" s="184" t="n">
        <v>14740</v>
      </c>
      <c r="L1003" s="185" t="n">
        <v>29</v>
      </c>
      <c r="M1003" s="173" t="n">
        <v>20910</v>
      </c>
      <c r="N1003" s="184" t="n">
        <v>14846.1</v>
      </c>
      <c r="O1003" s="184" t="s">
        <v>2399</v>
      </c>
      <c r="P1003" s="187" t="n">
        <v>45943</v>
      </c>
      <c r="Q1003" s="188" t="n">
        <v>0.923321759259259</v>
      </c>
    </row>
    <row r="1004" customFormat="false" ht="35.05" hidden="false" customHeight="false" outlineLevel="0" collapsed="false">
      <c r="A1004" s="181" t="s">
        <v>2400</v>
      </c>
      <c r="B1004" s="182" t="n">
        <v>2351</v>
      </c>
      <c r="C1004" s="183" t="n">
        <v>1</v>
      </c>
      <c r="D1004" s="181" t="s">
        <v>2401</v>
      </c>
      <c r="E1004" s="181" t="s">
        <v>387</v>
      </c>
      <c r="F1004" s="181" t="s">
        <v>388</v>
      </c>
      <c r="G1004" s="181" t="s">
        <v>2402</v>
      </c>
      <c r="H1004" s="181" t="s">
        <v>279</v>
      </c>
      <c r="I1004" s="181" t="s">
        <v>242</v>
      </c>
      <c r="J1004" s="184" t="n">
        <v>40030</v>
      </c>
      <c r="K1004" s="184" t="n">
        <v>15160</v>
      </c>
      <c r="L1004" s="185" t="n">
        <v>5</v>
      </c>
      <c r="M1004" s="173" t="n">
        <v>24870</v>
      </c>
      <c r="N1004" s="184" t="n">
        <v>23626.5</v>
      </c>
      <c r="O1004" s="184" t="s">
        <v>2403</v>
      </c>
      <c r="P1004" s="187" t="n">
        <v>45943</v>
      </c>
      <c r="Q1004" s="188" t="n">
        <v>0.596180555555556</v>
      </c>
    </row>
    <row r="1005" customFormat="false" ht="35.05" hidden="false" customHeight="false" outlineLevel="0" collapsed="false">
      <c r="A1005" s="181" t="s">
        <v>2404</v>
      </c>
      <c r="B1005" s="182" t="n">
        <v>2353</v>
      </c>
      <c r="C1005" s="183" t="n">
        <v>2</v>
      </c>
      <c r="D1005" s="181" t="s">
        <v>2401</v>
      </c>
      <c r="E1005" s="181" t="s">
        <v>377</v>
      </c>
      <c r="F1005" s="181" t="s">
        <v>378</v>
      </c>
      <c r="G1005" s="181" t="s">
        <v>142</v>
      </c>
      <c r="H1005" s="181" t="s">
        <v>158</v>
      </c>
      <c r="I1005" s="181" t="s">
        <v>242</v>
      </c>
      <c r="J1005" s="184" t="n">
        <v>41510</v>
      </c>
      <c r="K1005" s="184" t="n">
        <v>15790</v>
      </c>
      <c r="L1005" s="185" t="n">
        <v>5</v>
      </c>
      <c r="M1005" s="173" t="n">
        <v>25720</v>
      </c>
      <c r="N1005" s="184" t="n">
        <v>24434</v>
      </c>
      <c r="O1005" s="184" t="s">
        <v>2405</v>
      </c>
      <c r="P1005" s="187" t="n">
        <v>45943</v>
      </c>
      <c r="Q1005" s="188" t="n">
        <v>0.72349537037037</v>
      </c>
    </row>
    <row r="1006" customFormat="false" ht="35.05" hidden="false" customHeight="false" outlineLevel="0" collapsed="false">
      <c r="A1006" s="181" t="s">
        <v>2406</v>
      </c>
      <c r="B1006" s="182" t="n">
        <v>2355</v>
      </c>
      <c r="C1006" s="183" t="n">
        <v>3</v>
      </c>
      <c r="D1006" s="181" t="s">
        <v>2401</v>
      </c>
      <c r="E1006" s="181" t="s">
        <v>383</v>
      </c>
      <c r="F1006" s="181" t="s">
        <v>384</v>
      </c>
      <c r="G1006" s="181" t="s">
        <v>144</v>
      </c>
      <c r="H1006" s="181" t="s">
        <v>279</v>
      </c>
      <c r="I1006" s="181" t="s">
        <v>242</v>
      </c>
      <c r="J1006" s="184" t="n">
        <v>39040</v>
      </c>
      <c r="K1006" s="184" t="n">
        <v>15070</v>
      </c>
      <c r="L1006" s="185" t="n">
        <v>5</v>
      </c>
      <c r="M1006" s="173" t="n">
        <v>23970</v>
      </c>
      <c r="N1006" s="184" t="n">
        <v>22771.5</v>
      </c>
      <c r="O1006" s="184" t="s">
        <v>2407</v>
      </c>
      <c r="P1006" s="187" t="n">
        <v>45943</v>
      </c>
      <c r="Q1006" s="188" t="n">
        <v>0.805046296296296</v>
      </c>
    </row>
    <row r="1007" customFormat="false" ht="35.05" hidden="false" customHeight="false" outlineLevel="0" collapsed="false">
      <c r="A1007" s="181" t="s">
        <v>2408</v>
      </c>
      <c r="B1007" s="182" t="n">
        <v>2363</v>
      </c>
      <c r="C1007" s="183" t="n">
        <v>4</v>
      </c>
      <c r="D1007" s="181" t="s">
        <v>2401</v>
      </c>
      <c r="E1007" s="181" t="s">
        <v>292</v>
      </c>
      <c r="F1007" s="181" t="s">
        <v>293</v>
      </c>
      <c r="G1007" s="181" t="s">
        <v>142</v>
      </c>
      <c r="H1007" s="181" t="s">
        <v>158</v>
      </c>
      <c r="I1007" s="181" t="s">
        <v>242</v>
      </c>
      <c r="J1007" s="184" t="n">
        <v>36500</v>
      </c>
      <c r="K1007" s="184" t="n">
        <v>13950</v>
      </c>
      <c r="L1007" s="185" t="n">
        <v>15</v>
      </c>
      <c r="M1007" s="173" t="n">
        <v>22550</v>
      </c>
      <c r="N1007" s="184" t="n">
        <v>19167.5</v>
      </c>
      <c r="O1007" s="184" t="s">
        <v>2409</v>
      </c>
      <c r="P1007" s="187" t="n">
        <v>45945</v>
      </c>
      <c r="Q1007" s="188" t="n">
        <v>0.954421296296296</v>
      </c>
    </row>
    <row r="1008" customFormat="false" ht="35.05" hidden="false" customHeight="false" outlineLevel="0" collapsed="false">
      <c r="A1008" s="181" t="s">
        <v>2410</v>
      </c>
      <c r="B1008" s="182" t="n">
        <v>2364</v>
      </c>
      <c r="C1008" s="183" t="n">
        <v>5</v>
      </c>
      <c r="D1008" s="181" t="s">
        <v>2401</v>
      </c>
      <c r="E1008" s="181" t="s">
        <v>576</v>
      </c>
      <c r="F1008" s="181" t="s">
        <v>577</v>
      </c>
      <c r="G1008" s="181" t="s">
        <v>142</v>
      </c>
      <c r="H1008" s="181" t="s">
        <v>158</v>
      </c>
      <c r="I1008" s="181" t="s">
        <v>242</v>
      </c>
      <c r="J1008" s="184" t="n">
        <v>39090</v>
      </c>
      <c r="K1008" s="184" t="n">
        <v>14640</v>
      </c>
      <c r="L1008" s="185" t="n">
        <v>12</v>
      </c>
      <c r="M1008" s="173" t="n">
        <v>24450</v>
      </c>
      <c r="N1008" s="184" t="n">
        <v>21516</v>
      </c>
      <c r="O1008" s="184" t="s">
        <v>2411</v>
      </c>
      <c r="P1008" s="187" t="n">
        <v>45945</v>
      </c>
      <c r="Q1008" s="188" t="n">
        <v>0.956342592592593</v>
      </c>
    </row>
    <row r="1009" customFormat="false" ht="35.05" hidden="false" customHeight="false" outlineLevel="0" collapsed="false">
      <c r="A1009" s="181" t="s">
        <v>2412</v>
      </c>
      <c r="B1009" s="182" t="n">
        <v>2365</v>
      </c>
      <c r="C1009" s="183" t="n">
        <v>6</v>
      </c>
      <c r="D1009" s="181" t="s">
        <v>2401</v>
      </c>
      <c r="E1009" s="181" t="s">
        <v>261</v>
      </c>
      <c r="F1009" s="181" t="s">
        <v>262</v>
      </c>
      <c r="G1009" s="181" t="s">
        <v>142</v>
      </c>
      <c r="H1009" s="181" t="s">
        <v>158</v>
      </c>
      <c r="I1009" s="181" t="s">
        <v>242</v>
      </c>
      <c r="J1009" s="184" t="n">
        <v>38780</v>
      </c>
      <c r="K1009" s="184" t="n">
        <v>15250</v>
      </c>
      <c r="L1009" s="185" t="n">
        <v>9</v>
      </c>
      <c r="M1009" s="173" t="n">
        <v>23530</v>
      </c>
      <c r="N1009" s="184" t="n">
        <v>21412.3</v>
      </c>
      <c r="O1009" s="184" t="s">
        <v>2413</v>
      </c>
      <c r="P1009" s="187" t="n">
        <v>45945</v>
      </c>
      <c r="Q1009" s="188" t="n">
        <v>0.97150462962963</v>
      </c>
    </row>
    <row r="1010" customFormat="false" ht="35.05" hidden="false" customHeight="false" outlineLevel="0" collapsed="false">
      <c r="A1010" s="181" t="s">
        <v>2414</v>
      </c>
      <c r="B1010" s="182" t="n">
        <v>2366</v>
      </c>
      <c r="C1010" s="183" t="n">
        <v>7</v>
      </c>
      <c r="D1010" s="181" t="s">
        <v>2401</v>
      </c>
      <c r="E1010" s="181" t="s">
        <v>282</v>
      </c>
      <c r="F1010" s="181" t="s">
        <v>283</v>
      </c>
      <c r="G1010" s="181" t="s">
        <v>142</v>
      </c>
      <c r="H1010" s="181" t="s">
        <v>158</v>
      </c>
      <c r="I1010" s="181" t="s">
        <v>242</v>
      </c>
      <c r="J1010" s="184" t="n">
        <v>41350</v>
      </c>
      <c r="K1010" s="184" t="n">
        <v>15190</v>
      </c>
      <c r="L1010" s="185" t="n">
        <v>6</v>
      </c>
      <c r="M1010" s="173" t="n">
        <v>26160</v>
      </c>
      <c r="N1010" s="184" t="n">
        <v>24590.4</v>
      </c>
      <c r="O1010" s="184" t="s">
        <v>2415</v>
      </c>
      <c r="P1010" s="187" t="n">
        <v>45945</v>
      </c>
      <c r="Q1010" s="188" t="n">
        <v>0.975196759259259</v>
      </c>
    </row>
    <row r="1011" customFormat="false" ht="35.05" hidden="false" customHeight="false" outlineLevel="0" collapsed="false">
      <c r="A1011" s="181" t="s">
        <v>2416</v>
      </c>
      <c r="B1011" s="182" t="n">
        <v>2367</v>
      </c>
      <c r="C1011" s="183" t="n">
        <v>8</v>
      </c>
      <c r="D1011" s="181" t="s">
        <v>2401</v>
      </c>
      <c r="E1011" s="181" t="s">
        <v>272</v>
      </c>
      <c r="F1011" s="181" t="s">
        <v>273</v>
      </c>
      <c r="G1011" s="181" t="s">
        <v>142</v>
      </c>
      <c r="H1011" s="181" t="s">
        <v>158</v>
      </c>
      <c r="I1011" s="181" t="s">
        <v>242</v>
      </c>
      <c r="J1011" s="184" t="n">
        <v>41760</v>
      </c>
      <c r="K1011" s="184" t="n">
        <v>15730</v>
      </c>
      <c r="L1011" s="185" t="n">
        <v>13</v>
      </c>
      <c r="M1011" s="173" t="n">
        <v>26030</v>
      </c>
      <c r="N1011" s="184" t="n">
        <v>22646.1</v>
      </c>
      <c r="O1011" s="184" t="s">
        <v>2417</v>
      </c>
      <c r="P1011" s="187" t="n">
        <v>45946</v>
      </c>
      <c r="Q1011" s="188" t="n">
        <v>0.263773148148148</v>
      </c>
    </row>
    <row r="1012" customFormat="false" ht="35.05" hidden="false" customHeight="false" outlineLevel="0" collapsed="false">
      <c r="A1012" s="181" t="s">
        <v>2418</v>
      </c>
      <c r="B1012" s="182" t="n">
        <v>2368</v>
      </c>
      <c r="C1012" s="183" t="n">
        <v>9</v>
      </c>
      <c r="D1012" s="181" t="s">
        <v>2401</v>
      </c>
      <c r="E1012" s="181" t="s">
        <v>582</v>
      </c>
      <c r="F1012" s="181" t="s">
        <v>583</v>
      </c>
      <c r="G1012" s="181" t="s">
        <v>142</v>
      </c>
      <c r="H1012" s="181" t="s">
        <v>158</v>
      </c>
      <c r="I1012" s="181" t="s">
        <v>242</v>
      </c>
      <c r="J1012" s="184" t="n">
        <v>42560</v>
      </c>
      <c r="K1012" s="184" t="n">
        <v>14950</v>
      </c>
      <c r="L1012" s="185" t="n">
        <v>8</v>
      </c>
      <c r="M1012" s="173" t="n">
        <v>27610</v>
      </c>
      <c r="N1012" s="184" t="n">
        <v>25401.2</v>
      </c>
      <c r="O1012" s="184" t="s">
        <v>2419</v>
      </c>
      <c r="P1012" s="187" t="n">
        <v>45946</v>
      </c>
      <c r="Q1012" s="188" t="n">
        <v>0.265798611111111</v>
      </c>
    </row>
    <row r="1013" customFormat="false" ht="35.05" hidden="false" customHeight="false" outlineLevel="0" collapsed="false">
      <c r="A1013" s="181" t="s">
        <v>2420</v>
      </c>
      <c r="B1013" s="182" t="n">
        <v>2369</v>
      </c>
      <c r="C1013" s="183" t="n">
        <v>10</v>
      </c>
      <c r="D1013" s="181" t="s">
        <v>2401</v>
      </c>
      <c r="E1013" s="181" t="s">
        <v>901</v>
      </c>
      <c r="F1013" s="181" t="s">
        <v>902</v>
      </c>
      <c r="G1013" s="181" t="s">
        <v>142</v>
      </c>
      <c r="H1013" s="181" t="s">
        <v>158</v>
      </c>
      <c r="I1013" s="181" t="s">
        <v>242</v>
      </c>
      <c r="J1013" s="184" t="n">
        <v>38420</v>
      </c>
      <c r="K1013" s="184" t="n">
        <v>14800</v>
      </c>
      <c r="L1013" s="185" t="n">
        <v>17</v>
      </c>
      <c r="M1013" s="173" t="n">
        <v>23620</v>
      </c>
      <c r="N1013" s="184" t="n">
        <v>19604.6</v>
      </c>
      <c r="O1013" s="184" t="s">
        <v>2421</v>
      </c>
      <c r="P1013" s="187" t="n">
        <v>45946</v>
      </c>
      <c r="Q1013" s="188" t="n">
        <v>0.268310185185185</v>
      </c>
    </row>
    <row r="1014" customFormat="false" ht="35.05" hidden="false" customHeight="false" outlineLevel="0" collapsed="false">
      <c r="A1014" s="181" t="s">
        <v>2422</v>
      </c>
      <c r="B1014" s="182" t="n">
        <v>2370</v>
      </c>
      <c r="C1014" s="183" t="n">
        <v>11</v>
      </c>
      <c r="D1014" s="181" t="s">
        <v>2401</v>
      </c>
      <c r="E1014" s="181" t="s">
        <v>266</v>
      </c>
      <c r="F1014" s="181" t="s">
        <v>267</v>
      </c>
      <c r="G1014" s="181" t="s">
        <v>142</v>
      </c>
      <c r="H1014" s="181" t="s">
        <v>158</v>
      </c>
      <c r="I1014" s="181" t="s">
        <v>242</v>
      </c>
      <c r="J1014" s="184" t="n">
        <v>40190</v>
      </c>
      <c r="K1014" s="184" t="n">
        <v>15040</v>
      </c>
      <c r="L1014" s="185" t="n">
        <v>10</v>
      </c>
      <c r="M1014" s="173" t="n">
        <v>25150</v>
      </c>
      <c r="N1014" s="184" t="n">
        <v>22635</v>
      </c>
      <c r="O1014" s="184" t="s">
        <v>2423</v>
      </c>
      <c r="P1014" s="187" t="n">
        <v>45946</v>
      </c>
      <c r="Q1014" s="188" t="n">
        <v>0.319189814814815</v>
      </c>
    </row>
    <row r="1015" customFormat="false" ht="35.05" hidden="false" customHeight="false" outlineLevel="0" collapsed="false">
      <c r="A1015" s="181" t="s">
        <v>2424</v>
      </c>
      <c r="B1015" s="182" t="n">
        <v>2371</v>
      </c>
      <c r="C1015" s="183" t="n">
        <v>12</v>
      </c>
      <c r="D1015" s="181" t="s">
        <v>2401</v>
      </c>
      <c r="E1015" s="181" t="s">
        <v>277</v>
      </c>
      <c r="F1015" s="181" t="s">
        <v>278</v>
      </c>
      <c r="G1015" s="181" t="s">
        <v>142</v>
      </c>
      <c r="H1015" s="181" t="s">
        <v>158</v>
      </c>
      <c r="I1015" s="181" t="s">
        <v>242</v>
      </c>
      <c r="J1015" s="184" t="n">
        <v>43730</v>
      </c>
      <c r="K1015" s="184" t="n">
        <v>15240</v>
      </c>
      <c r="L1015" s="185" t="n">
        <v>9</v>
      </c>
      <c r="M1015" s="173" t="n">
        <v>28490</v>
      </c>
      <c r="N1015" s="184" t="n">
        <v>25925.9</v>
      </c>
      <c r="O1015" s="184" t="s">
        <v>2425</v>
      </c>
      <c r="P1015" s="187" t="s">
        <v>2426</v>
      </c>
      <c r="Q1015" s="188" t="n">
        <v>0.422928240740741</v>
      </c>
    </row>
    <row r="1016" customFormat="false" ht="35.05" hidden="false" customHeight="false" outlineLevel="0" collapsed="false">
      <c r="A1016" s="181" t="s">
        <v>2427</v>
      </c>
      <c r="B1016" s="182" t="n">
        <v>2373</v>
      </c>
      <c r="C1016" s="183" t="n">
        <v>14</v>
      </c>
      <c r="D1016" s="181" t="s">
        <v>2401</v>
      </c>
      <c r="E1016" s="181" t="s">
        <v>332</v>
      </c>
      <c r="F1016" s="181" t="s">
        <v>333</v>
      </c>
      <c r="G1016" s="181" t="s">
        <v>142</v>
      </c>
      <c r="H1016" s="181" t="s">
        <v>158</v>
      </c>
      <c r="I1016" s="181" t="s">
        <v>242</v>
      </c>
      <c r="J1016" s="184" t="n">
        <v>39590</v>
      </c>
      <c r="K1016" s="184" t="n">
        <v>14910</v>
      </c>
      <c r="L1016" s="185" t="n">
        <v>16</v>
      </c>
      <c r="M1016" s="173" t="n">
        <v>24680</v>
      </c>
      <c r="N1016" s="184" t="n">
        <v>20731.2</v>
      </c>
      <c r="O1016" s="184" t="s">
        <v>2428</v>
      </c>
      <c r="P1016" s="187" t="s">
        <v>2429</v>
      </c>
      <c r="Q1016" s="188" t="n">
        <v>0.26962962962963</v>
      </c>
    </row>
    <row r="1017" customFormat="false" ht="35.05" hidden="false" customHeight="false" outlineLevel="0" collapsed="false">
      <c r="A1017" s="181" t="s">
        <v>2430</v>
      </c>
      <c r="B1017" s="182" t="n">
        <v>2372</v>
      </c>
      <c r="C1017" s="183" t="n">
        <v>13</v>
      </c>
      <c r="D1017" s="181" t="s">
        <v>2401</v>
      </c>
      <c r="E1017" s="181" t="s">
        <v>346</v>
      </c>
      <c r="F1017" s="181" t="s">
        <v>347</v>
      </c>
      <c r="G1017" s="181" t="s">
        <v>142</v>
      </c>
      <c r="H1017" s="181" t="s">
        <v>158</v>
      </c>
      <c r="I1017" s="181" t="s">
        <v>242</v>
      </c>
      <c r="J1017" s="184" t="n">
        <v>40790</v>
      </c>
      <c r="K1017" s="184" t="n">
        <v>15300</v>
      </c>
      <c r="L1017" s="185" t="n">
        <v>13</v>
      </c>
      <c r="M1017" s="173" t="n">
        <v>25490</v>
      </c>
      <c r="N1017" s="184" t="n">
        <v>22176.3</v>
      </c>
      <c r="O1017" s="184" t="s">
        <v>2431</v>
      </c>
      <c r="P1017" s="187" t="s">
        <v>2432</v>
      </c>
      <c r="Q1017" s="188" t="n">
        <v>0.433275462962963</v>
      </c>
    </row>
    <row r="1018" customFormat="false" ht="35.05" hidden="false" customHeight="false" outlineLevel="0" collapsed="false">
      <c r="A1018" s="181" t="s">
        <v>2433</v>
      </c>
      <c r="B1018" s="182" t="n">
        <v>2378</v>
      </c>
      <c r="C1018" s="183" t="n">
        <v>15</v>
      </c>
      <c r="D1018" s="181" t="s">
        <v>2401</v>
      </c>
      <c r="E1018" s="181" t="s">
        <v>367</v>
      </c>
      <c r="F1018" s="181" t="s">
        <v>368</v>
      </c>
      <c r="G1018" s="181" t="s">
        <v>142</v>
      </c>
      <c r="H1018" s="181" t="s">
        <v>158</v>
      </c>
      <c r="I1018" s="181" t="s">
        <v>242</v>
      </c>
      <c r="J1018" s="184" t="n">
        <v>50820</v>
      </c>
      <c r="K1018" s="184" t="n">
        <v>18920</v>
      </c>
      <c r="L1018" s="185" t="n">
        <v>12</v>
      </c>
      <c r="M1018" s="173" t="n">
        <v>31900</v>
      </c>
      <c r="N1018" s="184" t="n">
        <v>28072</v>
      </c>
      <c r="O1018" s="184" t="s">
        <v>2434</v>
      </c>
      <c r="P1018" s="187" t="s">
        <v>2435</v>
      </c>
      <c r="Q1018" s="188" t="n">
        <v>0.506793981481482</v>
      </c>
    </row>
    <row r="1019" customFormat="false" ht="35.05" hidden="false" customHeight="false" outlineLevel="0" collapsed="false">
      <c r="A1019" s="181" t="s">
        <v>2436</v>
      </c>
      <c r="B1019" s="182" t="n">
        <v>2380</v>
      </c>
      <c r="C1019" s="183" t="n">
        <v>16</v>
      </c>
      <c r="D1019" s="181" t="s">
        <v>2401</v>
      </c>
      <c r="E1019" s="181" t="s">
        <v>2351</v>
      </c>
      <c r="F1019" s="181" t="s">
        <v>2352</v>
      </c>
      <c r="G1019" s="181" t="s">
        <v>142</v>
      </c>
      <c r="H1019" s="181" t="s">
        <v>158</v>
      </c>
      <c r="I1019" s="181" t="s">
        <v>242</v>
      </c>
      <c r="J1019" s="184" t="n">
        <v>49390</v>
      </c>
      <c r="K1019" s="184" t="n">
        <v>17650</v>
      </c>
      <c r="L1019" s="185" t="n">
        <v>13</v>
      </c>
      <c r="M1019" s="173" t="n">
        <v>31740</v>
      </c>
      <c r="N1019" s="184" t="n">
        <v>27613.8</v>
      </c>
      <c r="O1019" s="184" t="s">
        <v>2437</v>
      </c>
      <c r="P1019" s="187" t="n">
        <v>45946</v>
      </c>
      <c r="Q1019" s="188" t="n">
        <v>0.596875</v>
      </c>
    </row>
    <row r="1020" customFormat="false" ht="35.05" hidden="false" customHeight="false" outlineLevel="0" collapsed="false">
      <c r="A1020" s="181" t="s">
        <v>2438</v>
      </c>
      <c r="B1020" s="182" t="n">
        <v>2385</v>
      </c>
      <c r="C1020" s="183" t="n">
        <v>17</v>
      </c>
      <c r="D1020" s="181" t="s">
        <v>2401</v>
      </c>
      <c r="E1020" s="181" t="s">
        <v>300</v>
      </c>
      <c r="F1020" s="181" t="s">
        <v>301</v>
      </c>
      <c r="G1020" s="181" t="s">
        <v>142</v>
      </c>
      <c r="H1020" s="181" t="s">
        <v>158</v>
      </c>
      <c r="I1020" s="181" t="s">
        <v>242</v>
      </c>
      <c r="J1020" s="184" t="n">
        <v>63670</v>
      </c>
      <c r="K1020" s="184" t="n">
        <v>21410</v>
      </c>
      <c r="L1020" s="185" t="n">
        <v>10</v>
      </c>
      <c r="M1020" s="173" t="n">
        <v>42260</v>
      </c>
      <c r="N1020" s="184" t="n">
        <v>38034</v>
      </c>
      <c r="O1020" s="184" t="s">
        <v>2439</v>
      </c>
      <c r="P1020" s="187" t="n">
        <v>45946</v>
      </c>
      <c r="Q1020" s="188" t="n">
        <v>0.690914351851852</v>
      </c>
    </row>
    <row r="1021" customFormat="false" ht="35.05" hidden="false" customHeight="false" outlineLevel="0" collapsed="false">
      <c r="A1021" s="181" t="s">
        <v>2440</v>
      </c>
      <c r="B1021" s="182" t="n">
        <v>2387</v>
      </c>
      <c r="C1021" s="183" t="n">
        <v>18</v>
      </c>
      <c r="D1021" s="181" t="s">
        <v>2401</v>
      </c>
      <c r="E1021" s="181" t="s">
        <v>354</v>
      </c>
      <c r="F1021" s="181" t="s">
        <v>355</v>
      </c>
      <c r="G1021" s="181" t="s">
        <v>142</v>
      </c>
      <c r="H1021" s="181" t="s">
        <v>158</v>
      </c>
      <c r="I1021" s="181" t="s">
        <v>242</v>
      </c>
      <c r="J1021" s="184" t="n">
        <v>40550</v>
      </c>
      <c r="K1021" s="184" t="n">
        <v>14940</v>
      </c>
      <c r="L1021" s="185" t="n">
        <v>13</v>
      </c>
      <c r="M1021" s="173" t="n">
        <v>25610</v>
      </c>
      <c r="N1021" s="184" t="n">
        <v>22280.7</v>
      </c>
      <c r="O1021" s="184" t="s">
        <v>2441</v>
      </c>
      <c r="P1021" s="187" t="n">
        <v>45946</v>
      </c>
      <c r="Q1021" s="188" t="n">
        <v>0.694675925925926</v>
      </c>
    </row>
    <row r="1022" customFormat="false" ht="35.05" hidden="false" customHeight="false" outlineLevel="0" collapsed="false">
      <c r="A1022" s="181" t="s">
        <v>2442</v>
      </c>
      <c r="B1022" s="182" t="n">
        <v>2388</v>
      </c>
      <c r="C1022" s="183" t="n">
        <v>20</v>
      </c>
      <c r="D1022" s="181" t="s">
        <v>2401</v>
      </c>
      <c r="E1022" s="181" t="s">
        <v>359</v>
      </c>
      <c r="F1022" s="181" t="s">
        <v>360</v>
      </c>
      <c r="G1022" s="181" t="s">
        <v>142</v>
      </c>
      <c r="H1022" s="181" t="s">
        <v>158</v>
      </c>
      <c r="I1022" s="181" t="s">
        <v>242</v>
      </c>
      <c r="J1022" s="184" t="n">
        <v>35970</v>
      </c>
      <c r="K1022" s="184" t="n">
        <v>15110</v>
      </c>
      <c r="L1022" s="185" t="n">
        <v>15</v>
      </c>
      <c r="M1022" s="173" t="n">
        <v>20860</v>
      </c>
      <c r="N1022" s="184" t="n">
        <v>17731</v>
      </c>
      <c r="O1022" s="184" t="s">
        <v>2443</v>
      </c>
      <c r="P1022" s="187" t="n">
        <v>45946</v>
      </c>
      <c r="Q1022" s="188" t="n">
        <v>0.704930555555556</v>
      </c>
    </row>
    <row r="1023" customFormat="false" ht="35.05" hidden="false" customHeight="false" outlineLevel="0" collapsed="false">
      <c r="A1023" s="181" t="s">
        <v>2444</v>
      </c>
      <c r="B1023" s="182" t="n">
        <v>2389</v>
      </c>
      <c r="C1023" s="183" t="n">
        <v>19</v>
      </c>
      <c r="D1023" s="181" t="s">
        <v>2401</v>
      </c>
      <c r="E1023" s="181" t="s">
        <v>413</v>
      </c>
      <c r="F1023" s="181" t="s">
        <v>414</v>
      </c>
      <c r="G1023" s="181" t="s">
        <v>142</v>
      </c>
      <c r="H1023" s="181" t="s">
        <v>158</v>
      </c>
      <c r="I1023" s="181" t="s">
        <v>242</v>
      </c>
      <c r="J1023" s="184" t="n">
        <v>47070</v>
      </c>
      <c r="K1023" s="184" t="n">
        <v>15930</v>
      </c>
      <c r="L1023" s="185" t="n">
        <v>17</v>
      </c>
      <c r="M1023" s="173" t="n">
        <v>31140</v>
      </c>
      <c r="N1023" s="184" t="n">
        <v>25846.2</v>
      </c>
      <c r="O1023" s="184" t="s">
        <v>2445</v>
      </c>
      <c r="P1023" s="187" t="n">
        <v>45946</v>
      </c>
      <c r="Q1023" s="188" t="n">
        <v>0.719583333333333</v>
      </c>
    </row>
    <row r="1024" customFormat="false" ht="35.05" hidden="false" customHeight="false" outlineLevel="0" collapsed="false">
      <c r="A1024" s="181" t="s">
        <v>2446</v>
      </c>
      <c r="B1024" s="182" t="n">
        <v>2395</v>
      </c>
      <c r="C1024" s="183" t="n">
        <v>25</v>
      </c>
      <c r="D1024" s="181" t="s">
        <v>2401</v>
      </c>
      <c r="E1024" s="181" t="s">
        <v>350</v>
      </c>
      <c r="F1024" s="181" t="s">
        <v>351</v>
      </c>
      <c r="G1024" s="181" t="s">
        <v>142</v>
      </c>
      <c r="H1024" s="181" t="s">
        <v>158</v>
      </c>
      <c r="I1024" s="181" t="s">
        <v>242</v>
      </c>
      <c r="J1024" s="184" t="n">
        <v>43820</v>
      </c>
      <c r="K1024" s="184" t="n">
        <v>15240</v>
      </c>
      <c r="L1024" s="185" t="n">
        <v>6</v>
      </c>
      <c r="M1024" s="173" t="n">
        <v>28580</v>
      </c>
      <c r="N1024" s="184" t="n">
        <v>26865.2</v>
      </c>
      <c r="O1024" s="184" t="s">
        <v>2447</v>
      </c>
      <c r="P1024" s="187" t="n">
        <v>45946</v>
      </c>
      <c r="Q1024" s="188" t="n">
        <v>0.793796296296296</v>
      </c>
    </row>
    <row r="1025" customFormat="false" ht="35.05" hidden="false" customHeight="false" outlineLevel="0" collapsed="false">
      <c r="A1025" s="181" t="s">
        <v>2448</v>
      </c>
      <c r="B1025" s="182" t="n">
        <v>2390</v>
      </c>
      <c r="C1025" s="183" t="n">
        <v>22</v>
      </c>
      <c r="D1025" s="181" t="s">
        <v>2401</v>
      </c>
      <c r="E1025" s="181" t="s">
        <v>399</v>
      </c>
      <c r="F1025" s="181" t="s">
        <v>400</v>
      </c>
      <c r="G1025" s="181" t="s">
        <v>142</v>
      </c>
      <c r="H1025" s="181" t="s">
        <v>158</v>
      </c>
      <c r="I1025" s="181" t="s">
        <v>242</v>
      </c>
      <c r="J1025" s="184" t="n">
        <v>53680</v>
      </c>
      <c r="K1025" s="184" t="n">
        <v>19660</v>
      </c>
      <c r="L1025" s="185" t="n">
        <v>17</v>
      </c>
      <c r="M1025" s="173" t="n">
        <v>34020</v>
      </c>
      <c r="N1025" s="184" t="n">
        <v>28236.6</v>
      </c>
      <c r="O1025" s="184" t="s">
        <v>2449</v>
      </c>
      <c r="P1025" s="187" t="n">
        <v>45946</v>
      </c>
      <c r="Q1025" s="188" t="n">
        <v>0.805543981481481</v>
      </c>
    </row>
    <row r="1026" customFormat="false" ht="35.05" hidden="false" customHeight="false" outlineLevel="0" collapsed="false">
      <c r="A1026" s="181" t="s">
        <v>2450</v>
      </c>
      <c r="B1026" s="182" t="n">
        <v>2396</v>
      </c>
      <c r="C1026" s="183" t="n">
        <v>24</v>
      </c>
      <c r="D1026" s="181" t="s">
        <v>2401</v>
      </c>
      <c r="E1026" s="181" t="s">
        <v>304</v>
      </c>
      <c r="F1026" s="181" t="s">
        <v>305</v>
      </c>
      <c r="G1026" s="181" t="s">
        <v>142</v>
      </c>
      <c r="H1026" s="181" t="s">
        <v>158</v>
      </c>
      <c r="I1026" s="181" t="s">
        <v>242</v>
      </c>
      <c r="J1026" s="184" t="n">
        <v>39450</v>
      </c>
      <c r="K1026" s="184" t="n">
        <v>15180</v>
      </c>
      <c r="L1026" s="185" t="n">
        <v>10</v>
      </c>
      <c r="M1026" s="173" t="n">
        <v>24270</v>
      </c>
      <c r="N1026" s="184" t="n">
        <v>21843</v>
      </c>
      <c r="O1026" s="184" t="s">
        <v>2451</v>
      </c>
      <c r="P1026" s="187" t="n">
        <v>45946</v>
      </c>
      <c r="Q1026" s="188" t="n">
        <v>0.823958333333333</v>
      </c>
    </row>
    <row r="1027" customFormat="false" ht="35.05" hidden="false" customHeight="false" outlineLevel="0" collapsed="false">
      <c r="A1027" s="181" t="s">
        <v>2452</v>
      </c>
      <c r="B1027" s="182" t="n">
        <v>2398</v>
      </c>
      <c r="C1027" s="183" t="n">
        <v>27</v>
      </c>
      <c r="D1027" s="181" t="s">
        <v>2401</v>
      </c>
      <c r="E1027" s="181" t="s">
        <v>373</v>
      </c>
      <c r="F1027" s="181" t="s">
        <v>374</v>
      </c>
      <c r="G1027" s="181" t="s">
        <v>142</v>
      </c>
      <c r="H1027" s="181" t="s">
        <v>158</v>
      </c>
      <c r="I1027" s="181" t="s">
        <v>242</v>
      </c>
      <c r="J1027" s="184" t="n">
        <v>42810</v>
      </c>
      <c r="K1027" s="184" t="n">
        <v>14600</v>
      </c>
      <c r="L1027" s="185" t="n">
        <v>12</v>
      </c>
      <c r="M1027" s="173" t="n">
        <v>28210</v>
      </c>
      <c r="N1027" s="184" t="n">
        <v>24824.8</v>
      </c>
      <c r="O1027" s="184" t="s">
        <v>2453</v>
      </c>
      <c r="P1027" s="187" t="n">
        <v>45946</v>
      </c>
      <c r="Q1027" s="188" t="n">
        <v>0.882847222222222</v>
      </c>
    </row>
    <row r="1028" customFormat="false" ht="35.05" hidden="false" customHeight="false" outlineLevel="0" collapsed="false">
      <c r="A1028" s="181" t="s">
        <v>2454</v>
      </c>
      <c r="B1028" s="182" t="n">
        <v>2399</v>
      </c>
      <c r="C1028" s="183" t="n">
        <v>26</v>
      </c>
      <c r="D1028" s="181" t="s">
        <v>2401</v>
      </c>
      <c r="E1028" s="181" t="s">
        <v>383</v>
      </c>
      <c r="F1028" s="181" t="s">
        <v>384</v>
      </c>
      <c r="G1028" s="181" t="s">
        <v>142</v>
      </c>
      <c r="H1028" s="181" t="s">
        <v>158</v>
      </c>
      <c r="I1028" s="181" t="s">
        <v>242</v>
      </c>
      <c r="J1028" s="184" t="n">
        <v>42560</v>
      </c>
      <c r="K1028" s="184" t="n">
        <v>15130</v>
      </c>
      <c r="L1028" s="185" t="n">
        <v>9</v>
      </c>
      <c r="M1028" s="173" t="n">
        <v>27430</v>
      </c>
      <c r="N1028" s="184" t="n">
        <v>24961.3</v>
      </c>
      <c r="O1028" s="184" t="s">
        <v>2455</v>
      </c>
      <c r="P1028" s="187" t="n">
        <v>45946</v>
      </c>
      <c r="Q1028" s="188" t="n">
        <v>0.889907407407407</v>
      </c>
    </row>
    <row r="1029" customFormat="false" ht="35.05" hidden="false" customHeight="false" outlineLevel="0" collapsed="false">
      <c r="A1029" s="181" t="s">
        <v>2456</v>
      </c>
      <c r="B1029" s="182" t="n">
        <v>2393</v>
      </c>
      <c r="C1029" s="183" t="n">
        <v>21</v>
      </c>
      <c r="D1029" s="181" t="s">
        <v>2401</v>
      </c>
      <c r="E1029" s="181" t="s">
        <v>409</v>
      </c>
      <c r="F1029" s="181" t="s">
        <v>410</v>
      </c>
      <c r="G1029" s="181" t="s">
        <v>142</v>
      </c>
      <c r="H1029" s="181" t="s">
        <v>158</v>
      </c>
      <c r="I1029" s="181" t="s">
        <v>242</v>
      </c>
      <c r="J1029" s="184" t="n">
        <v>64850</v>
      </c>
      <c r="K1029" s="184" t="n">
        <v>24610</v>
      </c>
      <c r="L1029" s="185" t="n">
        <v>6</v>
      </c>
      <c r="M1029" s="173" t="n">
        <v>40240</v>
      </c>
      <c r="N1029" s="184" t="n">
        <v>37825.6</v>
      </c>
      <c r="O1029" s="184" t="s">
        <v>2457</v>
      </c>
      <c r="P1029" s="187" t="n">
        <v>45946</v>
      </c>
      <c r="Q1029" s="188" t="n">
        <v>0.90525462962963</v>
      </c>
    </row>
    <row r="1030" customFormat="false" ht="35.05" hidden="false" customHeight="false" outlineLevel="0" collapsed="false">
      <c r="A1030" s="181" t="s">
        <v>2458</v>
      </c>
      <c r="B1030" s="182" t="n">
        <v>2401</v>
      </c>
      <c r="C1030" s="183" t="n">
        <v>28</v>
      </c>
      <c r="D1030" s="181" t="s">
        <v>2401</v>
      </c>
      <c r="E1030" s="181" t="s">
        <v>387</v>
      </c>
      <c r="F1030" s="181" t="s">
        <v>388</v>
      </c>
      <c r="G1030" s="181" t="s">
        <v>142</v>
      </c>
      <c r="H1030" s="181" t="s">
        <v>158</v>
      </c>
      <c r="I1030" s="181" t="s">
        <v>242</v>
      </c>
      <c r="J1030" s="184" t="n">
        <v>43310</v>
      </c>
      <c r="K1030" s="184" t="n">
        <v>15310</v>
      </c>
      <c r="L1030" s="185" t="n">
        <v>12</v>
      </c>
      <c r="M1030" s="173" t="n">
        <v>28000</v>
      </c>
      <c r="N1030" s="184" t="n">
        <v>24640</v>
      </c>
      <c r="O1030" s="184" t="s">
        <v>2459</v>
      </c>
      <c r="P1030" s="187" t="n">
        <v>45946</v>
      </c>
      <c r="Q1030" s="188" t="n">
        <v>0.944664351851852</v>
      </c>
    </row>
    <row r="1031" customFormat="false" ht="35.05" hidden="false" customHeight="false" outlineLevel="0" collapsed="false">
      <c r="A1031" s="181" t="s">
        <v>2460</v>
      </c>
      <c r="B1031" s="182" t="n">
        <v>2394</v>
      </c>
      <c r="C1031" s="183" t="n">
        <v>23</v>
      </c>
      <c r="D1031" s="181" t="s">
        <v>2401</v>
      </c>
      <c r="E1031" s="181" t="s">
        <v>308</v>
      </c>
      <c r="F1031" s="181" t="s">
        <v>309</v>
      </c>
      <c r="G1031" s="181" t="s">
        <v>142</v>
      </c>
      <c r="H1031" s="181" t="s">
        <v>158</v>
      </c>
      <c r="I1031" s="181" t="s">
        <v>242</v>
      </c>
      <c r="J1031" s="184" t="n">
        <v>63210</v>
      </c>
      <c r="K1031" s="184" t="n">
        <v>24240</v>
      </c>
      <c r="L1031" s="185" t="n">
        <v>17</v>
      </c>
      <c r="M1031" s="173" t="n">
        <v>38970</v>
      </c>
      <c r="N1031" s="184" t="n">
        <v>32345.1</v>
      </c>
      <c r="O1031" s="184" t="s">
        <v>2461</v>
      </c>
      <c r="P1031" s="187" t="n">
        <v>45946</v>
      </c>
      <c r="Q1031" s="188" t="n">
        <v>0.982986111111111</v>
      </c>
    </row>
    <row r="1032" customFormat="false" ht="35.05" hidden="false" customHeight="false" outlineLevel="0" collapsed="false">
      <c r="A1032" s="181" t="s">
        <v>2462</v>
      </c>
      <c r="B1032" s="182" t="n">
        <v>2403</v>
      </c>
      <c r="C1032" s="183" t="n">
        <v>30</v>
      </c>
      <c r="D1032" s="181" t="s">
        <v>2401</v>
      </c>
      <c r="E1032" s="181" t="s">
        <v>292</v>
      </c>
      <c r="F1032" s="181" t="s">
        <v>293</v>
      </c>
      <c r="G1032" s="181" t="s">
        <v>142</v>
      </c>
      <c r="H1032" s="181" t="s">
        <v>158</v>
      </c>
      <c r="I1032" s="181" t="s">
        <v>242</v>
      </c>
      <c r="J1032" s="184" t="n">
        <v>36800</v>
      </c>
      <c r="K1032" s="184" t="n">
        <v>13980</v>
      </c>
      <c r="L1032" s="185" t="n">
        <v>17</v>
      </c>
      <c r="M1032" s="173" t="n">
        <v>22820</v>
      </c>
      <c r="N1032" s="184" t="n">
        <v>18940.6</v>
      </c>
      <c r="O1032" s="184" t="s">
        <v>2463</v>
      </c>
      <c r="P1032" s="187" t="n">
        <v>45946</v>
      </c>
      <c r="Q1032" s="188" t="n">
        <v>0.990069444444444</v>
      </c>
    </row>
    <row r="1033" customFormat="false" ht="35.05" hidden="false" customHeight="false" outlineLevel="0" collapsed="false">
      <c r="A1033" s="181" t="s">
        <v>2464</v>
      </c>
      <c r="B1033" s="182" t="n">
        <v>2405</v>
      </c>
      <c r="C1033" s="183" t="n">
        <v>31</v>
      </c>
      <c r="D1033" s="181" t="s">
        <v>2401</v>
      </c>
      <c r="E1033" s="181" t="s">
        <v>346</v>
      </c>
      <c r="F1033" s="181" t="s">
        <v>347</v>
      </c>
      <c r="G1033" s="181" t="s">
        <v>142</v>
      </c>
      <c r="H1033" s="181" t="s">
        <v>158</v>
      </c>
      <c r="I1033" s="181" t="s">
        <v>242</v>
      </c>
      <c r="J1033" s="184" t="n">
        <v>37870</v>
      </c>
      <c r="K1033" s="184" t="n">
        <v>15230</v>
      </c>
      <c r="L1033" s="185" t="n">
        <v>14</v>
      </c>
      <c r="M1033" s="173" t="n">
        <v>22640</v>
      </c>
      <c r="N1033" s="184" t="n">
        <v>19470.4</v>
      </c>
      <c r="O1033" s="184" t="s">
        <v>2465</v>
      </c>
      <c r="P1033" s="187" t="n">
        <v>45947</v>
      </c>
      <c r="Q1033" s="188" t="n">
        <v>0.456481481481482</v>
      </c>
    </row>
    <row r="1034" customFormat="false" ht="35.05" hidden="false" customHeight="false" outlineLevel="0" collapsed="false">
      <c r="A1034" s="181" t="s">
        <v>2466</v>
      </c>
      <c r="B1034" s="182" t="n">
        <v>2402</v>
      </c>
      <c r="C1034" s="183" t="n">
        <v>29</v>
      </c>
      <c r="D1034" s="181" t="s">
        <v>2401</v>
      </c>
      <c r="E1034" s="181" t="s">
        <v>288</v>
      </c>
      <c r="F1034" s="181" t="s">
        <v>289</v>
      </c>
      <c r="G1034" s="181" t="s">
        <v>142</v>
      </c>
      <c r="H1034" s="181" t="s">
        <v>158</v>
      </c>
      <c r="I1034" s="181" t="s">
        <v>242</v>
      </c>
      <c r="J1034" s="184" t="n">
        <v>37530</v>
      </c>
      <c r="K1034" s="184" t="n">
        <v>14680</v>
      </c>
      <c r="L1034" s="185" t="n">
        <v>16</v>
      </c>
      <c r="M1034" s="173" t="n">
        <v>22850</v>
      </c>
      <c r="N1034" s="184" t="n">
        <v>19194</v>
      </c>
      <c r="O1034" s="184" t="s">
        <v>2467</v>
      </c>
      <c r="P1034" s="187" t="n">
        <v>45946</v>
      </c>
      <c r="Q1034" s="188" t="n">
        <v>0.957048611111111</v>
      </c>
    </row>
    <row r="1035" customFormat="false" ht="35.05" hidden="false" customHeight="false" outlineLevel="0" collapsed="false">
      <c r="A1035" s="181" t="s">
        <v>2468</v>
      </c>
      <c r="B1035" s="182" t="n">
        <v>2406</v>
      </c>
      <c r="C1035" s="183" t="n">
        <v>32</v>
      </c>
      <c r="D1035" s="181" t="s">
        <v>2401</v>
      </c>
      <c r="E1035" s="181" t="s">
        <v>901</v>
      </c>
      <c r="F1035" s="181" t="s">
        <v>902</v>
      </c>
      <c r="G1035" s="181" t="s">
        <v>142</v>
      </c>
      <c r="H1035" s="181" t="s">
        <v>158</v>
      </c>
      <c r="I1035" s="181" t="s">
        <v>242</v>
      </c>
      <c r="J1035" s="184" t="n">
        <v>37820</v>
      </c>
      <c r="K1035" s="184" t="n">
        <v>14860</v>
      </c>
      <c r="L1035" s="185" t="n">
        <v>9</v>
      </c>
      <c r="M1035" s="173" t="n">
        <v>22960</v>
      </c>
      <c r="N1035" s="184" t="n">
        <v>20893.6</v>
      </c>
      <c r="O1035" s="184" t="s">
        <v>2469</v>
      </c>
      <c r="P1035" s="187" t="n">
        <v>45947</v>
      </c>
      <c r="Q1035" s="188" t="n">
        <v>0.503414351851852</v>
      </c>
    </row>
    <row r="1036" customFormat="false" ht="35.05" hidden="false" customHeight="false" outlineLevel="0" collapsed="false">
      <c r="A1036" s="181" t="s">
        <v>2470</v>
      </c>
      <c r="B1036" s="182" t="n">
        <v>2407</v>
      </c>
      <c r="C1036" s="183" t="n">
        <v>33</v>
      </c>
      <c r="D1036" s="181" t="s">
        <v>2401</v>
      </c>
      <c r="E1036" s="181" t="s">
        <v>582</v>
      </c>
      <c r="F1036" s="181" t="s">
        <v>583</v>
      </c>
      <c r="G1036" s="181" t="s">
        <v>142</v>
      </c>
      <c r="H1036" s="181" t="s">
        <v>158</v>
      </c>
      <c r="I1036" s="181" t="s">
        <v>242</v>
      </c>
      <c r="J1036" s="184" t="n">
        <v>41270</v>
      </c>
      <c r="K1036" s="184" t="n">
        <v>14850</v>
      </c>
      <c r="L1036" s="185" t="n">
        <v>15</v>
      </c>
      <c r="M1036" s="173" t="n">
        <v>26420</v>
      </c>
      <c r="N1036" s="184" t="n">
        <v>22457</v>
      </c>
      <c r="O1036" s="184" t="s">
        <v>2471</v>
      </c>
      <c r="P1036" s="187" t="n">
        <v>45947</v>
      </c>
      <c r="Q1036" s="188" t="n">
        <v>0.573865740740741</v>
      </c>
    </row>
    <row r="1037" customFormat="false" ht="35.05" hidden="false" customHeight="false" outlineLevel="0" collapsed="false">
      <c r="A1037" s="181" t="s">
        <v>2472</v>
      </c>
      <c r="B1037" s="182" t="n">
        <v>2408</v>
      </c>
      <c r="C1037" s="183" t="n">
        <v>34</v>
      </c>
      <c r="D1037" s="181" t="s">
        <v>2401</v>
      </c>
      <c r="E1037" s="181" t="s">
        <v>336</v>
      </c>
      <c r="F1037" s="181" t="s">
        <v>337</v>
      </c>
      <c r="G1037" s="181" t="s">
        <v>142</v>
      </c>
      <c r="H1037" s="181" t="s">
        <v>158</v>
      </c>
      <c r="I1037" s="181" t="s">
        <v>242</v>
      </c>
      <c r="J1037" s="184" t="n">
        <v>39310</v>
      </c>
      <c r="K1037" s="184" t="n">
        <v>14660</v>
      </c>
      <c r="L1037" s="185" t="n">
        <v>15</v>
      </c>
      <c r="M1037" s="173" t="n">
        <v>24650</v>
      </c>
      <c r="N1037" s="184" t="n">
        <v>20952.5</v>
      </c>
      <c r="O1037" s="184" t="s">
        <v>2473</v>
      </c>
      <c r="P1037" s="187" t="n">
        <v>45947</v>
      </c>
      <c r="Q1037" s="188" t="n">
        <v>0.639537037037037</v>
      </c>
    </row>
    <row r="1038" customFormat="false" ht="35.05" hidden="false" customHeight="false" outlineLevel="0" collapsed="false">
      <c r="A1038" s="181" t="s">
        <v>2474</v>
      </c>
      <c r="B1038" s="182" t="n">
        <v>2409</v>
      </c>
      <c r="C1038" s="183" t="n">
        <v>35</v>
      </c>
      <c r="D1038" s="181" t="s">
        <v>2401</v>
      </c>
      <c r="E1038" s="181" t="s">
        <v>340</v>
      </c>
      <c r="F1038" s="181" t="s">
        <v>341</v>
      </c>
      <c r="G1038" s="181" t="s">
        <v>142</v>
      </c>
      <c r="H1038" s="181" t="s">
        <v>158</v>
      </c>
      <c r="I1038" s="181" t="s">
        <v>242</v>
      </c>
      <c r="J1038" s="184" t="n">
        <v>39690</v>
      </c>
      <c r="K1038" s="184" t="n">
        <v>15260</v>
      </c>
      <c r="L1038" s="185" t="n">
        <v>15</v>
      </c>
      <c r="M1038" s="173" t="n">
        <v>24430</v>
      </c>
      <c r="N1038" s="184" t="n">
        <v>20765.5</v>
      </c>
      <c r="O1038" s="184" t="s">
        <v>2475</v>
      </c>
      <c r="P1038" s="187" t="n">
        <v>45947</v>
      </c>
      <c r="Q1038" s="188" t="n">
        <v>0.674791666666667</v>
      </c>
    </row>
    <row r="1039" customFormat="false" ht="35.05" hidden="false" customHeight="false" outlineLevel="0" collapsed="false">
      <c r="A1039" s="181" t="s">
        <v>2476</v>
      </c>
      <c r="B1039" s="182" t="n">
        <v>2410</v>
      </c>
      <c r="C1039" s="183" t="n">
        <v>36</v>
      </c>
      <c r="D1039" s="181" t="s">
        <v>2401</v>
      </c>
      <c r="E1039" s="181" t="s">
        <v>282</v>
      </c>
      <c r="F1039" s="181" t="s">
        <v>283</v>
      </c>
      <c r="G1039" s="181" t="s">
        <v>142</v>
      </c>
      <c r="H1039" s="181" t="s">
        <v>158</v>
      </c>
      <c r="I1039" s="181" t="s">
        <v>242</v>
      </c>
      <c r="J1039" s="184" t="n">
        <v>39480</v>
      </c>
      <c r="K1039" s="184" t="n">
        <v>15210</v>
      </c>
      <c r="L1039" s="185" t="n">
        <v>12</v>
      </c>
      <c r="M1039" s="173" t="n">
        <v>24270</v>
      </c>
      <c r="N1039" s="184" t="n">
        <v>21357.6</v>
      </c>
      <c r="O1039" s="184" t="s">
        <v>2477</v>
      </c>
      <c r="P1039" s="187" t="n">
        <v>45947</v>
      </c>
      <c r="Q1039" s="188" t="n">
        <v>0.72744212962963</v>
      </c>
    </row>
    <row r="1040" customFormat="false" ht="35.05" hidden="false" customHeight="false" outlineLevel="0" collapsed="false">
      <c r="A1040" s="181" t="s">
        <v>2478</v>
      </c>
      <c r="B1040" s="182" t="n">
        <v>2412</v>
      </c>
      <c r="C1040" s="183" t="n">
        <v>39</v>
      </c>
      <c r="D1040" s="181" t="s">
        <v>2401</v>
      </c>
      <c r="E1040" s="181" t="s">
        <v>332</v>
      </c>
      <c r="F1040" s="181" t="s">
        <v>333</v>
      </c>
      <c r="G1040" s="181" t="s">
        <v>142</v>
      </c>
      <c r="H1040" s="181" t="s">
        <v>158</v>
      </c>
      <c r="I1040" s="181" t="s">
        <v>242</v>
      </c>
      <c r="J1040" s="184" t="n">
        <v>39070</v>
      </c>
      <c r="K1040" s="184" t="n">
        <v>14820</v>
      </c>
      <c r="L1040" s="185" t="n">
        <v>13</v>
      </c>
      <c r="M1040" s="173" t="n">
        <v>24250</v>
      </c>
      <c r="N1040" s="184" t="n">
        <v>21097.5</v>
      </c>
      <c r="O1040" s="184" t="s">
        <v>2479</v>
      </c>
      <c r="P1040" s="187" t="n">
        <v>45947</v>
      </c>
      <c r="Q1040" s="188" t="n">
        <v>0.775451388888889</v>
      </c>
    </row>
    <row r="1041" customFormat="false" ht="35.05" hidden="false" customHeight="false" outlineLevel="0" collapsed="false">
      <c r="A1041" s="181" t="s">
        <v>2480</v>
      </c>
      <c r="B1041" s="182" t="n">
        <v>2420</v>
      </c>
      <c r="C1041" s="183" t="n">
        <v>37</v>
      </c>
      <c r="D1041" s="181" t="s">
        <v>2401</v>
      </c>
      <c r="E1041" s="181" t="s">
        <v>391</v>
      </c>
      <c r="F1041" s="181" t="s">
        <v>392</v>
      </c>
      <c r="G1041" s="181" t="s">
        <v>142</v>
      </c>
      <c r="H1041" s="181" t="s">
        <v>158</v>
      </c>
      <c r="I1041" s="181" t="s">
        <v>242</v>
      </c>
      <c r="J1041" s="184" t="n">
        <v>35460</v>
      </c>
      <c r="K1041" s="184" t="n">
        <v>14470</v>
      </c>
      <c r="L1041" s="185" t="n">
        <v>11</v>
      </c>
      <c r="M1041" s="173" t="n">
        <v>20990</v>
      </c>
      <c r="N1041" s="184" t="n">
        <v>18681.1</v>
      </c>
      <c r="O1041" s="184" t="s">
        <v>2481</v>
      </c>
      <c r="P1041" s="187" t="n">
        <v>45947</v>
      </c>
      <c r="Q1041" s="188" t="n">
        <v>0.944756944444445</v>
      </c>
    </row>
    <row r="1042" customFormat="false" ht="35.05" hidden="false" customHeight="false" outlineLevel="0" collapsed="false">
      <c r="A1042" s="181" t="s">
        <v>2482</v>
      </c>
      <c r="B1042" s="182" t="n">
        <v>2422</v>
      </c>
      <c r="C1042" s="183" t="n">
        <v>38</v>
      </c>
      <c r="D1042" s="181" t="s">
        <v>2401</v>
      </c>
      <c r="E1042" s="181" t="s">
        <v>529</v>
      </c>
      <c r="F1042" s="181" t="s">
        <v>530</v>
      </c>
      <c r="G1042" s="181" t="s">
        <v>142</v>
      </c>
      <c r="H1042" s="181" t="s">
        <v>158</v>
      </c>
      <c r="I1042" s="181" t="s">
        <v>242</v>
      </c>
      <c r="J1042" s="184" t="n">
        <v>38040</v>
      </c>
      <c r="K1042" s="184" t="n">
        <v>14950</v>
      </c>
      <c r="L1042" s="185" t="n">
        <v>9</v>
      </c>
      <c r="M1042" s="173" t="n">
        <v>23090</v>
      </c>
      <c r="N1042" s="184" t="n">
        <v>21011.9</v>
      </c>
      <c r="O1042" s="184" t="s">
        <v>2483</v>
      </c>
      <c r="P1042" s="187" t="n">
        <v>45947</v>
      </c>
      <c r="Q1042" s="188" t="n">
        <v>0.946585648148148</v>
      </c>
    </row>
    <row r="1043" customFormat="false" ht="35.05" hidden="false" customHeight="false" outlineLevel="0" collapsed="false">
      <c r="A1043" s="181" t="s">
        <v>2484</v>
      </c>
      <c r="B1043" s="182" t="n">
        <v>2423</v>
      </c>
      <c r="C1043" s="183" t="n">
        <v>40</v>
      </c>
      <c r="D1043" s="181" t="s">
        <v>2401</v>
      </c>
      <c r="E1043" s="181" t="s">
        <v>277</v>
      </c>
      <c r="F1043" s="181" t="s">
        <v>278</v>
      </c>
      <c r="G1043" s="181" t="s">
        <v>142</v>
      </c>
      <c r="H1043" s="181" t="s">
        <v>158</v>
      </c>
      <c r="I1043" s="181" t="s">
        <v>242</v>
      </c>
      <c r="J1043" s="184" t="n">
        <v>43530</v>
      </c>
      <c r="K1043" s="184" t="n">
        <v>15170</v>
      </c>
      <c r="L1043" s="185" t="n">
        <v>7</v>
      </c>
      <c r="M1043" s="173" t="n">
        <v>28360</v>
      </c>
      <c r="N1043" s="184" t="n">
        <v>26374.8</v>
      </c>
      <c r="O1043" s="184" t="s">
        <v>2485</v>
      </c>
      <c r="P1043" s="187" t="n">
        <v>45947</v>
      </c>
      <c r="Q1043" s="188" t="n">
        <v>0.948032407407408</v>
      </c>
    </row>
    <row r="1044" customFormat="false" ht="35.05" hidden="false" customHeight="false" outlineLevel="0" collapsed="false">
      <c r="A1044" s="181" t="s">
        <v>2486</v>
      </c>
      <c r="B1044" s="182" t="n">
        <v>2425</v>
      </c>
      <c r="C1044" s="183" t="n">
        <v>41</v>
      </c>
      <c r="D1044" s="181" t="s">
        <v>2401</v>
      </c>
      <c r="E1044" s="181" t="s">
        <v>266</v>
      </c>
      <c r="F1044" s="181" t="s">
        <v>267</v>
      </c>
      <c r="G1044" s="181" t="s">
        <v>142</v>
      </c>
      <c r="H1044" s="181" t="s">
        <v>158</v>
      </c>
      <c r="I1044" s="181" t="s">
        <v>242</v>
      </c>
      <c r="J1044" s="184" t="n">
        <v>40890</v>
      </c>
      <c r="K1044" s="184" t="n">
        <v>15100</v>
      </c>
      <c r="L1044" s="185" t="n">
        <v>9</v>
      </c>
      <c r="M1044" s="173" t="n">
        <v>25790</v>
      </c>
      <c r="N1044" s="184" t="n">
        <v>23468.9</v>
      </c>
      <c r="O1044" s="184" t="s">
        <v>2487</v>
      </c>
      <c r="P1044" s="187" t="n">
        <v>45947</v>
      </c>
      <c r="Q1044" s="188" t="n">
        <v>0.966527777777778</v>
      </c>
    </row>
    <row r="1045" customFormat="false" ht="35.05" hidden="false" customHeight="false" outlineLevel="0" collapsed="false">
      <c r="A1045" s="181" t="s">
        <v>2488</v>
      </c>
      <c r="B1045" s="182" t="n">
        <v>2426</v>
      </c>
      <c r="C1045" s="183" t="n">
        <v>1</v>
      </c>
      <c r="D1045" s="181" t="s">
        <v>2005</v>
      </c>
      <c r="E1045" s="181" t="s">
        <v>288</v>
      </c>
      <c r="F1045" s="181" t="s">
        <v>289</v>
      </c>
      <c r="G1045" s="181" t="s">
        <v>2070</v>
      </c>
      <c r="H1045" s="181" t="s">
        <v>279</v>
      </c>
      <c r="I1045" s="181" t="s">
        <v>240</v>
      </c>
      <c r="J1045" s="184" t="n">
        <v>38270</v>
      </c>
      <c r="K1045" s="184" t="n">
        <v>14850</v>
      </c>
      <c r="L1045" s="185" t="n">
        <v>34</v>
      </c>
      <c r="M1045" s="173" t="n">
        <v>23420</v>
      </c>
      <c r="N1045" s="184" t="n">
        <v>15457.2</v>
      </c>
      <c r="O1045" s="184" t="s">
        <v>2489</v>
      </c>
      <c r="P1045" s="187" t="n">
        <v>45947</v>
      </c>
      <c r="Q1045" s="188" t="n">
        <v>0.836134259259259</v>
      </c>
    </row>
    <row r="1046" customFormat="false" ht="46.25" hidden="false" customHeight="false" outlineLevel="0" collapsed="false">
      <c r="A1046" s="181" t="s">
        <v>2490</v>
      </c>
      <c r="B1046" s="182" t="n">
        <v>2428</v>
      </c>
      <c r="C1046" s="183" t="n">
        <v>10008</v>
      </c>
      <c r="D1046" s="181" t="s">
        <v>2066</v>
      </c>
      <c r="E1046" s="181" t="s">
        <v>439</v>
      </c>
      <c r="F1046" s="181" t="s">
        <v>440</v>
      </c>
      <c r="G1046" s="181" t="s">
        <v>2067</v>
      </c>
      <c r="H1046" s="181" t="s">
        <v>279</v>
      </c>
      <c r="I1046" s="181" t="s">
        <v>241</v>
      </c>
      <c r="J1046" s="184" t="n">
        <v>41210</v>
      </c>
      <c r="K1046" s="184" t="n">
        <v>16330</v>
      </c>
      <c r="L1046" s="185" t="n">
        <v>18</v>
      </c>
      <c r="M1046" s="173" t="n">
        <v>24880</v>
      </c>
      <c r="N1046" s="184" t="n">
        <v>20401.6</v>
      </c>
      <c r="O1046" s="184" t="s">
        <v>2491</v>
      </c>
      <c r="P1046" s="187" t="n">
        <v>45947</v>
      </c>
      <c r="Q1046" s="188" t="n">
        <v>0.871087962962963</v>
      </c>
    </row>
    <row r="1047" customFormat="false" ht="35.05" hidden="false" customHeight="false" outlineLevel="0" collapsed="false">
      <c r="A1047" s="181" t="s">
        <v>2492</v>
      </c>
      <c r="B1047" s="182" t="n">
        <v>2429</v>
      </c>
      <c r="C1047" s="183" t="n">
        <v>42</v>
      </c>
      <c r="D1047" s="181" t="s">
        <v>2401</v>
      </c>
      <c r="E1047" s="181" t="s">
        <v>272</v>
      </c>
      <c r="F1047" s="181" t="s">
        <v>273</v>
      </c>
      <c r="G1047" s="181" t="s">
        <v>142</v>
      </c>
      <c r="H1047" s="181" t="s">
        <v>158</v>
      </c>
      <c r="I1047" s="181" t="s">
        <v>242</v>
      </c>
      <c r="J1047" s="184" t="n">
        <v>42020</v>
      </c>
      <c r="K1047" s="184" t="n">
        <v>15700</v>
      </c>
      <c r="L1047" s="185" t="n">
        <v>10</v>
      </c>
      <c r="M1047" s="173" t="n">
        <v>26320</v>
      </c>
      <c r="N1047" s="184" t="n">
        <v>23688</v>
      </c>
      <c r="O1047" s="184" t="s">
        <v>2493</v>
      </c>
      <c r="P1047" s="187" t="n">
        <v>45947</v>
      </c>
      <c r="Q1047" s="188" t="n">
        <v>0.884502314814815</v>
      </c>
    </row>
    <row r="1048" customFormat="false" ht="35.05" hidden="false" customHeight="false" outlineLevel="0" collapsed="false">
      <c r="A1048" s="181" t="s">
        <v>2494</v>
      </c>
      <c r="B1048" s="182" t="n">
        <v>2430</v>
      </c>
      <c r="C1048" s="183" t="n">
        <v>43</v>
      </c>
      <c r="D1048" s="181" t="s">
        <v>2401</v>
      </c>
      <c r="E1048" s="181" t="s">
        <v>576</v>
      </c>
      <c r="F1048" s="181" t="s">
        <v>577</v>
      </c>
      <c r="G1048" s="181" t="s">
        <v>142</v>
      </c>
      <c r="H1048" s="181" t="s">
        <v>158</v>
      </c>
      <c r="I1048" s="181" t="s">
        <v>242</v>
      </c>
      <c r="J1048" s="184" t="n">
        <v>38530</v>
      </c>
      <c r="K1048" s="184" t="n">
        <v>14580</v>
      </c>
      <c r="L1048" s="185" t="n">
        <v>8</v>
      </c>
      <c r="M1048" s="173" t="n">
        <v>23950</v>
      </c>
      <c r="N1048" s="184" t="n">
        <v>22034</v>
      </c>
      <c r="O1048" s="184" t="s">
        <v>2495</v>
      </c>
      <c r="P1048" s="187" t="n">
        <v>45947</v>
      </c>
      <c r="Q1048" s="188" t="n">
        <v>0.908472222222222</v>
      </c>
    </row>
    <row r="1049" customFormat="false" ht="35.05" hidden="false" customHeight="false" outlineLevel="0" collapsed="false">
      <c r="A1049" s="181" t="s">
        <v>2496</v>
      </c>
      <c r="B1049" s="182" t="n">
        <v>2432</v>
      </c>
      <c r="C1049" s="183" t="n">
        <v>44</v>
      </c>
      <c r="D1049" s="181" t="s">
        <v>2401</v>
      </c>
      <c r="E1049" s="181" t="s">
        <v>261</v>
      </c>
      <c r="F1049" s="181" t="s">
        <v>262</v>
      </c>
      <c r="G1049" s="181" t="s">
        <v>142</v>
      </c>
      <c r="H1049" s="181" t="s">
        <v>158</v>
      </c>
      <c r="I1049" s="181" t="s">
        <v>242</v>
      </c>
      <c r="J1049" s="184" t="n">
        <v>37660</v>
      </c>
      <c r="K1049" s="184" t="n">
        <v>15240</v>
      </c>
      <c r="L1049" s="185" t="n">
        <v>10</v>
      </c>
      <c r="M1049" s="173" t="n">
        <v>22420</v>
      </c>
      <c r="N1049" s="184" t="n">
        <v>20178</v>
      </c>
      <c r="O1049" s="184" t="s">
        <v>2497</v>
      </c>
      <c r="P1049" s="187" t="n">
        <v>45947</v>
      </c>
      <c r="Q1049" s="188" t="n">
        <v>0.949884259259259</v>
      </c>
    </row>
    <row r="1050" customFormat="false" ht="35.05" hidden="false" customHeight="false" outlineLevel="0" collapsed="false">
      <c r="A1050" s="181" t="s">
        <v>2498</v>
      </c>
      <c r="B1050" s="182" t="n">
        <v>2434</v>
      </c>
      <c r="C1050" s="183" t="n">
        <v>45</v>
      </c>
      <c r="D1050" s="181" t="s">
        <v>2401</v>
      </c>
      <c r="E1050" s="181" t="s">
        <v>367</v>
      </c>
      <c r="F1050" s="181" t="s">
        <v>368</v>
      </c>
      <c r="G1050" s="181" t="s">
        <v>142</v>
      </c>
      <c r="H1050" s="181" t="s">
        <v>158</v>
      </c>
      <c r="I1050" s="181" t="s">
        <v>242</v>
      </c>
      <c r="J1050" s="184" t="n">
        <v>50510</v>
      </c>
      <c r="K1050" s="184" t="n">
        <v>18770</v>
      </c>
      <c r="L1050" s="185" t="n">
        <v>8</v>
      </c>
      <c r="M1050" s="173" t="n">
        <v>31740</v>
      </c>
      <c r="N1050" s="184" t="n">
        <v>29200.8</v>
      </c>
      <c r="O1050" s="184" t="s">
        <v>2499</v>
      </c>
      <c r="P1050" s="187" t="n">
        <v>45948</v>
      </c>
      <c r="Q1050" s="188" t="n">
        <v>0.305636574074074</v>
      </c>
    </row>
    <row r="1051" customFormat="false" ht="35.05" hidden="false" customHeight="false" outlineLevel="0" collapsed="false">
      <c r="A1051" s="181" t="s">
        <v>2500</v>
      </c>
      <c r="B1051" s="182" t="n">
        <v>2435</v>
      </c>
      <c r="C1051" s="183" t="n">
        <v>46</v>
      </c>
      <c r="D1051" s="181" t="s">
        <v>2401</v>
      </c>
      <c r="E1051" s="181" t="s">
        <v>2351</v>
      </c>
      <c r="F1051" s="181" t="s">
        <v>2352</v>
      </c>
      <c r="G1051" s="181" t="s">
        <v>142</v>
      </c>
      <c r="H1051" s="181" t="s">
        <v>158</v>
      </c>
      <c r="I1051" s="181" t="s">
        <v>242</v>
      </c>
      <c r="J1051" s="184" t="n">
        <v>47860</v>
      </c>
      <c r="K1051" s="184" t="n">
        <v>17550</v>
      </c>
      <c r="L1051" s="185" t="n">
        <v>9</v>
      </c>
      <c r="M1051" s="173" t="n">
        <v>30310</v>
      </c>
      <c r="N1051" s="184" t="n">
        <v>27582.1</v>
      </c>
      <c r="O1051" s="184" t="s">
        <v>2501</v>
      </c>
      <c r="P1051" s="187" t="n">
        <v>45948</v>
      </c>
      <c r="Q1051" s="188" t="n">
        <v>0.307268518518519</v>
      </c>
    </row>
    <row r="1052" customFormat="false" ht="35.05" hidden="false" customHeight="false" outlineLevel="0" collapsed="false">
      <c r="A1052" s="181" t="s">
        <v>2502</v>
      </c>
      <c r="B1052" s="182" t="n">
        <v>2436</v>
      </c>
      <c r="C1052" s="183" t="n">
        <v>2</v>
      </c>
      <c r="D1052" s="181" t="s">
        <v>2401</v>
      </c>
      <c r="E1052" s="181" t="s">
        <v>377</v>
      </c>
      <c r="F1052" s="181" t="s">
        <v>378</v>
      </c>
      <c r="G1052" s="181" t="s">
        <v>142</v>
      </c>
      <c r="H1052" s="181" t="s">
        <v>158</v>
      </c>
      <c r="I1052" s="181" t="s">
        <v>242</v>
      </c>
      <c r="J1052" s="184" t="n">
        <v>43740</v>
      </c>
      <c r="K1052" s="184" t="n">
        <v>15820</v>
      </c>
      <c r="L1052" s="185" t="n">
        <v>13</v>
      </c>
      <c r="M1052" s="173" t="n">
        <v>27920</v>
      </c>
      <c r="N1052" s="184" t="n">
        <v>24290.4</v>
      </c>
      <c r="O1052" s="184" t="s">
        <v>2503</v>
      </c>
      <c r="P1052" s="187" t="n">
        <v>45948</v>
      </c>
      <c r="Q1052" s="188" t="n">
        <v>0.348668981481481</v>
      </c>
    </row>
    <row r="1053" customFormat="false" ht="35.05" hidden="false" customHeight="false" outlineLevel="0" collapsed="false">
      <c r="A1053" s="181" t="s">
        <v>2504</v>
      </c>
      <c r="B1053" s="182" t="n">
        <v>2437</v>
      </c>
      <c r="C1053" s="183" t="n">
        <v>48</v>
      </c>
      <c r="D1053" s="181" t="s">
        <v>2401</v>
      </c>
      <c r="E1053" s="181" t="s">
        <v>300</v>
      </c>
      <c r="F1053" s="181" t="s">
        <v>301</v>
      </c>
      <c r="G1053" s="181" t="s">
        <v>144</v>
      </c>
      <c r="H1053" s="181" t="s">
        <v>158</v>
      </c>
      <c r="I1053" s="181" t="s">
        <v>242</v>
      </c>
      <c r="J1053" s="184" t="n">
        <v>62760</v>
      </c>
      <c r="K1053" s="184" t="n">
        <v>21360</v>
      </c>
      <c r="L1053" s="185" t="n">
        <v>14</v>
      </c>
      <c r="M1053" s="173" t="n">
        <v>41400</v>
      </c>
      <c r="N1053" s="184" t="n">
        <v>35604</v>
      </c>
      <c r="O1053" s="184" t="s">
        <v>2505</v>
      </c>
      <c r="P1053" s="187" t="n">
        <v>45948</v>
      </c>
      <c r="Q1053" s="188" t="n">
        <v>0.421724537037037</v>
      </c>
    </row>
    <row r="1054" customFormat="false" ht="35.05" hidden="false" customHeight="false" outlineLevel="0" collapsed="false">
      <c r="A1054" s="181" t="s">
        <v>2506</v>
      </c>
      <c r="B1054" s="182" t="n">
        <v>2439</v>
      </c>
      <c r="C1054" s="183" t="n">
        <v>49</v>
      </c>
      <c r="D1054" s="181" t="s">
        <v>2401</v>
      </c>
      <c r="E1054" s="181" t="s">
        <v>413</v>
      </c>
      <c r="F1054" s="181" t="s">
        <v>414</v>
      </c>
      <c r="G1054" s="181" t="s">
        <v>144</v>
      </c>
      <c r="H1054" s="181" t="s">
        <v>158</v>
      </c>
      <c r="I1054" s="181" t="s">
        <v>242</v>
      </c>
      <c r="J1054" s="184" t="n">
        <v>46500</v>
      </c>
      <c r="K1054" s="184" t="n">
        <v>15850</v>
      </c>
      <c r="L1054" s="185" t="n">
        <v>11</v>
      </c>
      <c r="M1054" s="173" t="n">
        <v>30650</v>
      </c>
      <c r="N1054" s="184" t="n">
        <v>27278.5</v>
      </c>
      <c r="O1054" s="184" t="s">
        <v>2507</v>
      </c>
      <c r="P1054" s="187" t="n">
        <v>45948</v>
      </c>
      <c r="Q1054" s="188" t="n">
        <v>0.495023148148148</v>
      </c>
    </row>
    <row r="1055" customFormat="false" ht="35.05" hidden="false" customHeight="false" outlineLevel="0" collapsed="false">
      <c r="A1055" s="181" t="s">
        <v>2508</v>
      </c>
      <c r="B1055" s="182" t="n">
        <v>2445</v>
      </c>
      <c r="C1055" s="183" t="n">
        <v>50</v>
      </c>
      <c r="D1055" s="181" t="s">
        <v>2401</v>
      </c>
      <c r="E1055" s="181" t="s">
        <v>399</v>
      </c>
      <c r="F1055" s="181" t="s">
        <v>400</v>
      </c>
      <c r="G1055" s="181" t="s">
        <v>144</v>
      </c>
      <c r="H1055" s="181" t="s">
        <v>158</v>
      </c>
      <c r="I1055" s="181" t="s">
        <v>242</v>
      </c>
      <c r="J1055" s="184" t="n">
        <v>54440</v>
      </c>
      <c r="K1055" s="184" t="n">
        <v>19540</v>
      </c>
      <c r="L1055" s="185" t="n">
        <v>16</v>
      </c>
      <c r="M1055" s="173" t="n">
        <v>34900</v>
      </c>
      <c r="N1055" s="184" t="n">
        <v>29316</v>
      </c>
      <c r="O1055" s="184" t="s">
        <v>2509</v>
      </c>
      <c r="P1055" s="187" t="n">
        <v>45948</v>
      </c>
      <c r="Q1055" s="188" t="n">
        <v>0.5846875</v>
      </c>
    </row>
    <row r="1056" customFormat="false" ht="35.05" hidden="false" customHeight="false" outlineLevel="0" collapsed="false">
      <c r="A1056" s="181" t="s">
        <v>2510</v>
      </c>
      <c r="B1056" s="182" t="n">
        <v>2446</v>
      </c>
      <c r="C1056" s="183" t="n">
        <v>51</v>
      </c>
      <c r="D1056" s="181" t="s">
        <v>2401</v>
      </c>
      <c r="E1056" s="181" t="s">
        <v>409</v>
      </c>
      <c r="F1056" s="181" t="s">
        <v>410</v>
      </c>
      <c r="G1056" s="181" t="s">
        <v>144</v>
      </c>
      <c r="H1056" s="181" t="s">
        <v>158</v>
      </c>
      <c r="I1056" s="181" t="s">
        <v>242</v>
      </c>
      <c r="J1056" s="184" t="n">
        <v>64490</v>
      </c>
      <c r="K1056" s="184" t="n">
        <v>24530</v>
      </c>
      <c r="L1056" s="185" t="n">
        <v>8</v>
      </c>
      <c r="M1056" s="173" t="n">
        <v>39960</v>
      </c>
      <c r="N1056" s="184" t="n">
        <v>36763.2</v>
      </c>
      <c r="O1056" s="184" t="s">
        <v>2511</v>
      </c>
      <c r="P1056" s="187" t="n">
        <v>45948</v>
      </c>
      <c r="Q1056" s="188" t="n">
        <v>0.720266203703704</v>
      </c>
    </row>
    <row r="1057" customFormat="false" ht="35.05" hidden="false" customHeight="false" outlineLevel="0" collapsed="false">
      <c r="A1057" s="181" t="s">
        <v>2512</v>
      </c>
      <c r="B1057" s="182" t="n">
        <v>2448</v>
      </c>
      <c r="C1057" s="183" t="n">
        <v>53</v>
      </c>
      <c r="D1057" s="181" t="s">
        <v>2401</v>
      </c>
      <c r="E1057" s="181" t="s">
        <v>350</v>
      </c>
      <c r="F1057" s="181" t="s">
        <v>351</v>
      </c>
      <c r="G1057" s="181" t="s">
        <v>144</v>
      </c>
      <c r="H1057" s="181" t="s">
        <v>158</v>
      </c>
      <c r="I1057" s="181" t="s">
        <v>242</v>
      </c>
      <c r="J1057" s="184" t="n">
        <v>43460</v>
      </c>
      <c r="K1057" s="184" t="n">
        <v>15070</v>
      </c>
      <c r="L1057" s="185" t="n">
        <v>13</v>
      </c>
      <c r="M1057" s="173" t="n">
        <v>28390</v>
      </c>
      <c r="N1057" s="184" t="n">
        <v>24699.3</v>
      </c>
      <c r="O1057" s="184" t="s">
        <v>2513</v>
      </c>
      <c r="P1057" s="187" t="n">
        <v>45948</v>
      </c>
      <c r="Q1057" s="188" t="n">
        <v>0.729212962962963</v>
      </c>
    </row>
    <row r="1058" customFormat="false" ht="35.05" hidden="false" customHeight="false" outlineLevel="0" collapsed="false">
      <c r="A1058" s="181" t="s">
        <v>2514</v>
      </c>
      <c r="B1058" s="182" t="n">
        <v>2449</v>
      </c>
      <c r="C1058" s="183" t="n">
        <v>52</v>
      </c>
      <c r="D1058" s="181" t="s">
        <v>2401</v>
      </c>
      <c r="E1058" s="181" t="s">
        <v>308</v>
      </c>
      <c r="F1058" s="181" t="s">
        <v>309</v>
      </c>
      <c r="G1058" s="181" t="s">
        <v>144</v>
      </c>
      <c r="H1058" s="181" t="s">
        <v>158</v>
      </c>
      <c r="I1058" s="181" t="s">
        <v>242</v>
      </c>
      <c r="J1058" s="184" t="n">
        <v>60950</v>
      </c>
      <c r="K1058" s="184" t="n">
        <v>24240</v>
      </c>
      <c r="L1058" s="185" t="n">
        <v>50</v>
      </c>
      <c r="M1058" s="173" t="n">
        <v>36710</v>
      </c>
      <c r="N1058" s="184" t="n">
        <v>18355</v>
      </c>
      <c r="O1058" s="184" t="s">
        <v>2515</v>
      </c>
      <c r="P1058" s="187" t="n">
        <v>45948</v>
      </c>
      <c r="Q1058" s="188" t="n">
        <v>0.843842592592593</v>
      </c>
    </row>
    <row r="1059" customFormat="false" ht="35.05" hidden="false" customHeight="false" outlineLevel="0" collapsed="false">
      <c r="A1059" s="181" t="s">
        <v>2516</v>
      </c>
      <c r="B1059" s="182" t="n">
        <v>2450</v>
      </c>
      <c r="C1059" s="183" t="n">
        <v>54</v>
      </c>
      <c r="D1059" s="181" t="s">
        <v>2401</v>
      </c>
      <c r="E1059" s="181" t="s">
        <v>373</v>
      </c>
      <c r="F1059" s="181" t="s">
        <v>374</v>
      </c>
      <c r="G1059" s="181" t="s">
        <v>144</v>
      </c>
      <c r="H1059" s="181" t="s">
        <v>158</v>
      </c>
      <c r="I1059" s="181" t="s">
        <v>242</v>
      </c>
      <c r="J1059" s="184" t="n">
        <v>41100</v>
      </c>
      <c r="K1059" s="184" t="n">
        <v>14440</v>
      </c>
      <c r="L1059" s="185" t="n">
        <v>10</v>
      </c>
      <c r="M1059" s="173" t="n">
        <v>26660</v>
      </c>
      <c r="N1059" s="184" t="n">
        <v>23994</v>
      </c>
      <c r="O1059" s="184" t="s">
        <v>2517</v>
      </c>
      <c r="P1059" s="187" t="n">
        <v>45948</v>
      </c>
      <c r="Q1059" s="188" t="n">
        <v>0.884293981481482</v>
      </c>
    </row>
    <row r="1060" customFormat="false" ht="35.05" hidden="false" customHeight="false" outlineLevel="0" collapsed="false">
      <c r="A1060" s="181" t="s">
        <v>2518</v>
      </c>
      <c r="B1060" s="182" t="n">
        <v>2451</v>
      </c>
      <c r="C1060" s="183" t="n">
        <v>55</v>
      </c>
      <c r="D1060" s="181" t="s">
        <v>2401</v>
      </c>
      <c r="E1060" s="181" t="s">
        <v>383</v>
      </c>
      <c r="F1060" s="181" t="s">
        <v>384</v>
      </c>
      <c r="G1060" s="181" t="s">
        <v>144</v>
      </c>
      <c r="H1060" s="181" t="s">
        <v>158</v>
      </c>
      <c r="I1060" s="181" t="s">
        <v>242</v>
      </c>
      <c r="J1060" s="184" t="n">
        <v>40580</v>
      </c>
      <c r="K1060" s="184" t="n">
        <v>15010</v>
      </c>
      <c r="L1060" s="185" t="n">
        <v>11</v>
      </c>
      <c r="M1060" s="173" t="n">
        <v>25570</v>
      </c>
      <c r="N1060" s="184" t="n">
        <v>22757.3</v>
      </c>
      <c r="O1060" s="184" t="s">
        <v>2519</v>
      </c>
      <c r="P1060" s="187" t="n">
        <v>45948</v>
      </c>
      <c r="Q1060" s="188" t="n">
        <v>0.981076388888889</v>
      </c>
    </row>
    <row r="1061" customFormat="false" ht="35.05" hidden="false" customHeight="false" outlineLevel="0" collapsed="false">
      <c r="A1061" s="181" t="s">
        <v>2520</v>
      </c>
      <c r="B1061" s="182" t="n">
        <v>2453</v>
      </c>
      <c r="C1061" s="183" t="n">
        <v>56</v>
      </c>
      <c r="D1061" s="181" t="s">
        <v>2401</v>
      </c>
      <c r="E1061" s="181" t="s">
        <v>387</v>
      </c>
      <c r="F1061" s="181" t="s">
        <v>388</v>
      </c>
      <c r="G1061" s="181" t="s">
        <v>144</v>
      </c>
      <c r="H1061" s="181" t="s">
        <v>158</v>
      </c>
      <c r="I1061" s="181" t="s">
        <v>242</v>
      </c>
      <c r="J1061" s="184" t="n">
        <v>41980</v>
      </c>
      <c r="K1061" s="184" t="n">
        <v>15250</v>
      </c>
      <c r="L1061" s="185" t="n">
        <v>39</v>
      </c>
      <c r="M1061" s="173" t="n">
        <v>26730</v>
      </c>
      <c r="N1061" s="184" t="n">
        <v>16305.3</v>
      </c>
      <c r="O1061" s="184" t="s">
        <v>2521</v>
      </c>
      <c r="P1061" s="187" t="n">
        <v>45948</v>
      </c>
      <c r="Q1061" s="188" t="n">
        <v>0.985335648148148</v>
      </c>
    </row>
    <row r="1062" customFormat="false" ht="35.05" hidden="false" customHeight="false" outlineLevel="0" collapsed="false">
      <c r="A1062" s="181" t="s">
        <v>2522</v>
      </c>
      <c r="B1062" s="182" t="n">
        <v>2454</v>
      </c>
      <c r="C1062" s="183" t="n">
        <v>57</v>
      </c>
      <c r="D1062" s="181" t="s">
        <v>2401</v>
      </c>
      <c r="E1062" s="181" t="s">
        <v>901</v>
      </c>
      <c r="F1062" s="181" t="s">
        <v>902</v>
      </c>
      <c r="G1062" s="181" t="s">
        <v>144</v>
      </c>
      <c r="H1062" s="181" t="s">
        <v>158</v>
      </c>
      <c r="I1062" s="181" t="s">
        <v>242</v>
      </c>
      <c r="J1062" s="184" t="n">
        <v>36080</v>
      </c>
      <c r="K1062" s="184" t="n">
        <v>14880</v>
      </c>
      <c r="L1062" s="185" t="n">
        <v>24</v>
      </c>
      <c r="M1062" s="173" t="n">
        <v>21200</v>
      </c>
      <c r="N1062" s="184" t="n">
        <v>16112</v>
      </c>
      <c r="O1062" s="184" t="s">
        <v>2523</v>
      </c>
      <c r="P1062" s="187" t="n">
        <v>45948</v>
      </c>
      <c r="Q1062" s="188" t="n">
        <v>0.69712962962963</v>
      </c>
    </row>
    <row r="1063" customFormat="false" ht="35.05" hidden="false" customHeight="false" outlineLevel="0" collapsed="false">
      <c r="A1063" s="181" t="s">
        <v>2524</v>
      </c>
      <c r="B1063" s="182" t="n">
        <v>2455</v>
      </c>
      <c r="C1063" s="183" t="n">
        <v>59</v>
      </c>
      <c r="D1063" s="181" t="s">
        <v>2401</v>
      </c>
      <c r="E1063" s="181" t="s">
        <v>340</v>
      </c>
      <c r="F1063" s="181" t="s">
        <v>341</v>
      </c>
      <c r="G1063" s="181" t="s">
        <v>144</v>
      </c>
      <c r="H1063" s="181" t="s">
        <v>158</v>
      </c>
      <c r="I1063" s="181" t="s">
        <v>242</v>
      </c>
      <c r="J1063" s="184" t="n">
        <v>40240</v>
      </c>
      <c r="K1063" s="184" t="n">
        <v>15140</v>
      </c>
      <c r="L1063" s="185" t="n">
        <v>27</v>
      </c>
      <c r="M1063" s="173" t="n">
        <v>25100</v>
      </c>
      <c r="N1063" s="184" t="n">
        <v>18323</v>
      </c>
      <c r="O1063" s="184" t="s">
        <v>2525</v>
      </c>
      <c r="P1063" s="187" t="n">
        <v>45948</v>
      </c>
      <c r="Q1063" s="188" t="n">
        <v>0.773425925925926</v>
      </c>
    </row>
    <row r="1064" customFormat="false" ht="35.05" hidden="false" customHeight="false" outlineLevel="0" collapsed="false">
      <c r="A1064" s="181" t="s">
        <v>2526</v>
      </c>
      <c r="B1064" s="182" t="n">
        <v>2456</v>
      </c>
      <c r="C1064" s="183" t="n">
        <v>58</v>
      </c>
      <c r="D1064" s="181" t="s">
        <v>2401</v>
      </c>
      <c r="E1064" s="181" t="s">
        <v>336</v>
      </c>
      <c r="F1064" s="181" t="s">
        <v>337</v>
      </c>
      <c r="G1064" s="181" t="s">
        <v>144</v>
      </c>
      <c r="H1064" s="181" t="s">
        <v>158</v>
      </c>
      <c r="I1064" s="181" t="s">
        <v>242</v>
      </c>
      <c r="J1064" s="184" t="n">
        <v>39560</v>
      </c>
      <c r="K1064" s="184" t="n">
        <v>14640</v>
      </c>
      <c r="L1064" s="185" t="n">
        <v>17</v>
      </c>
      <c r="M1064" s="173" t="n">
        <v>24920</v>
      </c>
      <c r="N1064" s="184" t="n">
        <v>20683.6</v>
      </c>
      <c r="O1064" s="184" t="s">
        <v>2527</v>
      </c>
      <c r="P1064" s="187" t="n">
        <v>45948</v>
      </c>
      <c r="Q1064" s="188" t="n">
        <v>0.800185185185185</v>
      </c>
    </row>
    <row r="1065" customFormat="false" ht="35.05" hidden="false" customHeight="false" outlineLevel="0" collapsed="false">
      <c r="A1065" s="181" t="s">
        <v>2528</v>
      </c>
      <c r="B1065" s="182" t="n">
        <v>2457</v>
      </c>
      <c r="C1065" s="183" t="n">
        <v>60</v>
      </c>
      <c r="D1065" s="181" t="s">
        <v>2401</v>
      </c>
      <c r="E1065" s="181" t="s">
        <v>282</v>
      </c>
      <c r="F1065" s="181" t="s">
        <v>283</v>
      </c>
      <c r="G1065" s="181" t="s">
        <v>144</v>
      </c>
      <c r="H1065" s="181" t="s">
        <v>158</v>
      </c>
      <c r="I1065" s="181" t="s">
        <v>242</v>
      </c>
      <c r="J1065" s="184" t="n">
        <v>40410</v>
      </c>
      <c r="K1065" s="184" t="n">
        <v>15220</v>
      </c>
      <c r="L1065" s="185" t="n">
        <v>4</v>
      </c>
      <c r="M1065" s="173" t="n">
        <v>25190</v>
      </c>
      <c r="N1065" s="184" t="n">
        <v>24182.4</v>
      </c>
      <c r="O1065" s="184" t="s">
        <v>2529</v>
      </c>
      <c r="P1065" s="187" t="n">
        <v>45948</v>
      </c>
      <c r="Q1065" s="188" t="n">
        <v>0.817453703703704</v>
      </c>
    </row>
    <row r="1066" customFormat="false" ht="35.05" hidden="false" customHeight="false" outlineLevel="0" collapsed="false">
      <c r="A1066" s="181" t="s">
        <v>2530</v>
      </c>
      <c r="B1066" s="182" t="n">
        <v>2458</v>
      </c>
      <c r="C1066" s="183" t="n">
        <v>1</v>
      </c>
      <c r="D1066" s="181" t="s">
        <v>2005</v>
      </c>
      <c r="E1066" s="181" t="s">
        <v>292</v>
      </c>
      <c r="F1066" s="181" t="s">
        <v>293</v>
      </c>
      <c r="G1066" s="181" t="s">
        <v>2070</v>
      </c>
      <c r="H1066" s="181" t="s">
        <v>279</v>
      </c>
      <c r="I1066" s="181" t="s">
        <v>240</v>
      </c>
      <c r="J1066" s="184" t="n">
        <v>36250</v>
      </c>
      <c r="K1066" s="184" t="n">
        <v>14020</v>
      </c>
      <c r="L1066" s="185" t="n">
        <v>34</v>
      </c>
      <c r="M1066" s="173" t="n">
        <v>22230</v>
      </c>
      <c r="N1066" s="184" t="n">
        <v>14671.8</v>
      </c>
      <c r="O1066" s="184" t="s">
        <v>2531</v>
      </c>
      <c r="P1066" s="187" t="n">
        <v>45948</v>
      </c>
      <c r="Q1066" s="188" t="n">
        <v>0.823460648148148</v>
      </c>
    </row>
    <row r="1067" customFormat="false" ht="35.05" hidden="false" customHeight="false" outlineLevel="0" collapsed="false">
      <c r="A1067" s="181" t="s">
        <v>2532</v>
      </c>
      <c r="B1067" s="182" t="n">
        <v>2460</v>
      </c>
      <c r="C1067" s="183" t="n">
        <v>61</v>
      </c>
      <c r="D1067" s="181" t="s">
        <v>2401</v>
      </c>
      <c r="E1067" s="181" t="s">
        <v>277</v>
      </c>
      <c r="F1067" s="181" t="s">
        <v>278</v>
      </c>
      <c r="G1067" s="181" t="s">
        <v>144</v>
      </c>
      <c r="H1067" s="181" t="s">
        <v>158</v>
      </c>
      <c r="I1067" s="181" t="s">
        <v>242</v>
      </c>
      <c r="J1067" s="184" t="n">
        <v>42550</v>
      </c>
      <c r="K1067" s="184" t="n">
        <v>15310</v>
      </c>
      <c r="L1067" s="185" t="n">
        <v>10</v>
      </c>
      <c r="M1067" s="173" t="n">
        <v>27240</v>
      </c>
      <c r="N1067" s="184" t="n">
        <v>24516</v>
      </c>
      <c r="O1067" s="184" t="s">
        <v>2533</v>
      </c>
      <c r="P1067" s="187" t="n">
        <v>45948</v>
      </c>
      <c r="Q1067" s="188" t="n">
        <v>0.893888888888889</v>
      </c>
    </row>
    <row r="1068" customFormat="false" ht="35.05" hidden="false" customHeight="false" outlineLevel="0" collapsed="false">
      <c r="A1068" s="181" t="s">
        <v>2534</v>
      </c>
      <c r="B1068" s="182" t="n">
        <v>2461</v>
      </c>
      <c r="C1068" s="183" t="n">
        <v>62</v>
      </c>
      <c r="D1068" s="181" t="s">
        <v>2401</v>
      </c>
      <c r="E1068" s="181" t="s">
        <v>266</v>
      </c>
      <c r="F1068" s="181" t="s">
        <v>267</v>
      </c>
      <c r="G1068" s="181" t="s">
        <v>144</v>
      </c>
      <c r="H1068" s="181" t="s">
        <v>158</v>
      </c>
      <c r="I1068" s="181" t="s">
        <v>242</v>
      </c>
      <c r="J1068" s="184" t="n">
        <v>37430</v>
      </c>
      <c r="K1068" s="184" t="n">
        <v>15010</v>
      </c>
      <c r="L1068" s="185" t="n">
        <v>17</v>
      </c>
      <c r="M1068" s="173" t="n">
        <v>22420</v>
      </c>
      <c r="N1068" s="184" t="n">
        <v>18608.6</v>
      </c>
      <c r="O1068" s="184" t="s">
        <v>2535</v>
      </c>
      <c r="P1068" s="187" t="n">
        <v>45948</v>
      </c>
      <c r="Q1068" s="188" t="n">
        <v>0.909699074074074</v>
      </c>
    </row>
    <row r="1069" customFormat="false" ht="35.05" hidden="false" customHeight="false" outlineLevel="0" collapsed="false">
      <c r="A1069" s="181" t="s">
        <v>2536</v>
      </c>
      <c r="B1069" s="182" t="n">
        <v>2463</v>
      </c>
      <c r="C1069" s="183" t="n">
        <v>2</v>
      </c>
      <c r="D1069" s="181" t="s">
        <v>2005</v>
      </c>
      <c r="E1069" s="181" t="s">
        <v>367</v>
      </c>
      <c r="F1069" s="181" t="s">
        <v>368</v>
      </c>
      <c r="G1069" s="181" t="s">
        <v>2070</v>
      </c>
      <c r="H1069" s="181" t="s">
        <v>279</v>
      </c>
      <c r="I1069" s="181" t="s">
        <v>240</v>
      </c>
      <c r="J1069" s="184" t="n">
        <v>51770</v>
      </c>
      <c r="K1069" s="184" t="n">
        <v>18860</v>
      </c>
      <c r="L1069" s="185" t="n">
        <v>25</v>
      </c>
      <c r="M1069" s="173" t="n">
        <v>32910</v>
      </c>
      <c r="N1069" s="184" t="n">
        <v>24682.5</v>
      </c>
      <c r="O1069" s="184" t="s">
        <v>2537</v>
      </c>
      <c r="P1069" s="187" t="n">
        <v>45948</v>
      </c>
      <c r="Q1069" s="188" t="n">
        <v>0.971574074074074</v>
      </c>
    </row>
    <row r="1070" customFormat="false" ht="35.05" hidden="false" customHeight="false" outlineLevel="0" collapsed="false">
      <c r="A1070" s="181" t="s">
        <v>2538</v>
      </c>
      <c r="B1070" s="182" t="n">
        <v>2464</v>
      </c>
      <c r="C1070" s="183" t="n">
        <v>63</v>
      </c>
      <c r="D1070" s="181" t="s">
        <v>2401</v>
      </c>
      <c r="E1070" s="181" t="s">
        <v>529</v>
      </c>
      <c r="F1070" s="181" t="s">
        <v>530</v>
      </c>
      <c r="G1070" s="181" t="s">
        <v>144</v>
      </c>
      <c r="H1070" s="181" t="s">
        <v>158</v>
      </c>
      <c r="I1070" s="181" t="s">
        <v>242</v>
      </c>
      <c r="J1070" s="184" t="n">
        <v>36350</v>
      </c>
      <c r="K1070" s="184" t="n">
        <v>14960</v>
      </c>
      <c r="L1070" s="185" t="n">
        <v>7</v>
      </c>
      <c r="M1070" s="173" t="n">
        <v>21390</v>
      </c>
      <c r="N1070" s="184" t="n">
        <v>19892.7</v>
      </c>
      <c r="O1070" s="184" t="s">
        <v>2539</v>
      </c>
      <c r="P1070" s="187" t="n">
        <v>45948</v>
      </c>
      <c r="Q1070" s="188" t="n">
        <v>0.998344907407407</v>
      </c>
    </row>
    <row r="1071" customFormat="false" ht="35.05" hidden="false" customHeight="false" outlineLevel="0" collapsed="false">
      <c r="A1071" s="181" t="s">
        <v>2540</v>
      </c>
      <c r="B1071" s="182" t="n">
        <v>2465</v>
      </c>
      <c r="C1071" s="183" t="n">
        <v>64</v>
      </c>
      <c r="D1071" s="181" t="s">
        <v>2401</v>
      </c>
      <c r="E1071" s="181" t="s">
        <v>391</v>
      </c>
      <c r="F1071" s="181" t="s">
        <v>392</v>
      </c>
      <c r="G1071" s="181" t="s">
        <v>144</v>
      </c>
      <c r="H1071" s="181" t="s">
        <v>158</v>
      </c>
      <c r="I1071" s="181" t="s">
        <v>242</v>
      </c>
      <c r="J1071" s="184" t="n">
        <v>35300</v>
      </c>
      <c r="K1071" s="184" t="n">
        <v>14520</v>
      </c>
      <c r="L1071" s="185" t="n">
        <v>39</v>
      </c>
      <c r="M1071" s="173" t="n">
        <v>20780</v>
      </c>
      <c r="N1071" s="184" t="n">
        <v>12675.8</v>
      </c>
      <c r="O1071" s="184" t="s">
        <v>2541</v>
      </c>
      <c r="P1071" s="187" t="n">
        <v>45949</v>
      </c>
      <c r="Q1071" s="188" t="n">
        <v>0.453101851851852</v>
      </c>
    </row>
    <row r="1072" customFormat="false" ht="35.05" hidden="false" customHeight="false" outlineLevel="0" collapsed="false">
      <c r="A1072" s="181" t="s">
        <v>2542</v>
      </c>
      <c r="B1072" s="182" t="n">
        <v>2466</v>
      </c>
      <c r="C1072" s="183" t="n">
        <v>70</v>
      </c>
      <c r="D1072" s="181" t="s">
        <v>2401</v>
      </c>
      <c r="E1072" s="181" t="s">
        <v>272</v>
      </c>
      <c r="F1072" s="181" t="s">
        <v>273</v>
      </c>
      <c r="G1072" s="181" t="s">
        <v>144</v>
      </c>
      <c r="H1072" s="181" t="s">
        <v>158</v>
      </c>
      <c r="I1072" s="181" t="s">
        <v>242</v>
      </c>
      <c r="J1072" s="184" t="n">
        <v>39400</v>
      </c>
      <c r="K1072" s="184" t="n">
        <v>15610</v>
      </c>
      <c r="L1072" s="185" t="n">
        <v>7</v>
      </c>
      <c r="M1072" s="173" t="n">
        <v>23790</v>
      </c>
      <c r="N1072" s="184" t="n">
        <v>22124.7</v>
      </c>
      <c r="O1072" s="184" t="s">
        <v>2543</v>
      </c>
      <c r="P1072" s="187" t="n">
        <v>45949</v>
      </c>
      <c r="Q1072" s="188" t="n">
        <v>0.458912037037037</v>
      </c>
    </row>
    <row r="1073" customFormat="false" ht="35.05" hidden="false" customHeight="false" outlineLevel="0" collapsed="false">
      <c r="A1073" s="181" t="s">
        <v>2544</v>
      </c>
      <c r="B1073" s="182" t="n">
        <v>2467</v>
      </c>
      <c r="C1073" s="183" t="n">
        <v>3</v>
      </c>
      <c r="D1073" s="181" t="s">
        <v>2005</v>
      </c>
      <c r="E1073" s="181" t="s">
        <v>2351</v>
      </c>
      <c r="F1073" s="181" t="s">
        <v>2352</v>
      </c>
      <c r="G1073" s="181" t="s">
        <v>2070</v>
      </c>
      <c r="H1073" s="181" t="s">
        <v>279</v>
      </c>
      <c r="I1073" s="181" t="s">
        <v>240</v>
      </c>
      <c r="J1073" s="184" t="n">
        <v>26720</v>
      </c>
      <c r="K1073" s="184" t="n">
        <v>17640</v>
      </c>
      <c r="L1073" s="185" t="n">
        <v>5</v>
      </c>
      <c r="M1073" s="173" t="n">
        <v>9080</v>
      </c>
      <c r="N1073" s="184" t="n">
        <v>8626</v>
      </c>
      <c r="O1073" s="184" t="s">
        <v>2545</v>
      </c>
      <c r="P1073" s="187" t="n">
        <v>45949</v>
      </c>
      <c r="Q1073" s="188" t="n">
        <v>0.578287037037037</v>
      </c>
    </row>
    <row r="1074" customFormat="false" ht="35.05" hidden="false" customHeight="false" outlineLevel="0" collapsed="false">
      <c r="A1074" s="181" t="s">
        <v>2546</v>
      </c>
      <c r="B1074" s="182" t="n">
        <v>2468</v>
      </c>
      <c r="C1074" s="183" t="n">
        <v>66</v>
      </c>
      <c r="D1074" s="181" t="s">
        <v>2401</v>
      </c>
      <c r="E1074" s="181" t="s">
        <v>332</v>
      </c>
      <c r="F1074" s="181" t="s">
        <v>333</v>
      </c>
      <c r="G1074" s="181" t="s">
        <v>144</v>
      </c>
      <c r="H1074" s="181" t="s">
        <v>158</v>
      </c>
      <c r="I1074" s="181" t="s">
        <v>242</v>
      </c>
      <c r="J1074" s="184" t="n">
        <v>40080</v>
      </c>
      <c r="K1074" s="184" t="n">
        <v>14840</v>
      </c>
      <c r="L1074" s="185" t="n">
        <v>6</v>
      </c>
      <c r="M1074" s="173" t="n">
        <v>25240</v>
      </c>
      <c r="N1074" s="184" t="n">
        <v>23725.6</v>
      </c>
      <c r="O1074" s="184" t="s">
        <v>2547</v>
      </c>
      <c r="P1074" s="187" t="n">
        <v>45949</v>
      </c>
      <c r="Q1074" s="188" t="n">
        <v>0.47119212962963</v>
      </c>
    </row>
    <row r="1075" customFormat="false" ht="35.05" hidden="false" customHeight="false" outlineLevel="0" collapsed="false">
      <c r="A1075" s="181" t="s">
        <v>2548</v>
      </c>
      <c r="B1075" s="182" t="n">
        <v>2469</v>
      </c>
      <c r="C1075" s="183" t="n">
        <v>65</v>
      </c>
      <c r="D1075" s="181" t="s">
        <v>2401</v>
      </c>
      <c r="E1075" s="181" t="s">
        <v>377</v>
      </c>
      <c r="F1075" s="181" t="s">
        <v>378</v>
      </c>
      <c r="G1075" s="181" t="s">
        <v>144</v>
      </c>
      <c r="H1075" s="181" t="s">
        <v>279</v>
      </c>
      <c r="I1075" s="181" t="s">
        <v>242</v>
      </c>
      <c r="J1075" s="184" t="n">
        <v>44210</v>
      </c>
      <c r="K1075" s="184" t="n">
        <v>15900</v>
      </c>
      <c r="L1075" s="185" t="n">
        <v>6</v>
      </c>
      <c r="M1075" s="173" t="n">
        <v>28310</v>
      </c>
      <c r="N1075" s="184" t="n">
        <v>26611.4</v>
      </c>
      <c r="O1075" s="184" t="s">
        <v>2549</v>
      </c>
      <c r="P1075" s="187" t="n">
        <v>45949</v>
      </c>
      <c r="Q1075" s="188" t="n">
        <v>0.14712962962963</v>
      </c>
    </row>
    <row r="1076" customFormat="false" ht="35.05" hidden="false" customHeight="false" outlineLevel="0" collapsed="false">
      <c r="A1076" s="181" t="s">
        <v>2550</v>
      </c>
      <c r="B1076" s="182" t="n">
        <v>2470</v>
      </c>
      <c r="C1076" s="183" t="n">
        <v>67</v>
      </c>
      <c r="D1076" s="181" t="s">
        <v>2401</v>
      </c>
      <c r="E1076" s="181" t="s">
        <v>288</v>
      </c>
      <c r="F1076" s="181" t="s">
        <v>289</v>
      </c>
      <c r="G1076" s="181" t="s">
        <v>144</v>
      </c>
      <c r="H1076" s="181" t="s">
        <v>279</v>
      </c>
      <c r="I1076" s="181" t="s">
        <v>242</v>
      </c>
      <c r="J1076" s="184" t="n">
        <v>35440</v>
      </c>
      <c r="K1076" s="184" t="n">
        <v>14760</v>
      </c>
      <c r="L1076" s="185" t="n">
        <v>10</v>
      </c>
      <c r="M1076" s="173" t="n">
        <v>20680</v>
      </c>
      <c r="N1076" s="184" t="n">
        <v>18612</v>
      </c>
      <c r="O1076" s="184" t="s">
        <v>2551</v>
      </c>
      <c r="P1076" s="187" t="n">
        <v>45949</v>
      </c>
      <c r="Q1076" s="188" t="n">
        <v>0.662256944444445</v>
      </c>
    </row>
    <row r="1077" customFormat="false" ht="35.05" hidden="false" customHeight="false" outlineLevel="0" collapsed="false">
      <c r="A1077" s="181" t="s">
        <v>2552</v>
      </c>
      <c r="B1077" s="182" t="n">
        <v>2471</v>
      </c>
      <c r="C1077" s="183" t="n">
        <v>69</v>
      </c>
      <c r="D1077" s="181" t="s">
        <v>2401</v>
      </c>
      <c r="E1077" s="181" t="s">
        <v>354</v>
      </c>
      <c r="F1077" s="181" t="s">
        <v>355</v>
      </c>
      <c r="G1077" s="181" t="s">
        <v>144</v>
      </c>
      <c r="H1077" s="181" t="s">
        <v>279</v>
      </c>
      <c r="I1077" s="181" t="s">
        <v>242</v>
      </c>
      <c r="J1077" s="184" t="n">
        <v>39110</v>
      </c>
      <c r="K1077" s="184" t="n">
        <v>14800</v>
      </c>
      <c r="L1077" s="185" t="n">
        <v>9</v>
      </c>
      <c r="M1077" s="173" t="n">
        <v>24310</v>
      </c>
      <c r="N1077" s="184" t="n">
        <v>22122.1</v>
      </c>
      <c r="O1077" s="184" t="s">
        <v>2553</v>
      </c>
      <c r="P1077" s="187" t="n">
        <v>45949</v>
      </c>
      <c r="Q1077" s="188" t="n">
        <v>0.191782407407407</v>
      </c>
    </row>
    <row r="1078" customFormat="false" ht="35.05" hidden="false" customHeight="false" outlineLevel="0" collapsed="false">
      <c r="A1078" s="181" t="s">
        <v>2554</v>
      </c>
      <c r="B1078" s="182" t="n">
        <v>2472</v>
      </c>
      <c r="C1078" s="183" t="n">
        <v>68</v>
      </c>
      <c r="D1078" s="181" t="s">
        <v>2401</v>
      </c>
      <c r="E1078" s="181" t="s">
        <v>359</v>
      </c>
      <c r="F1078" s="181" t="s">
        <v>360</v>
      </c>
      <c r="G1078" s="181" t="s">
        <v>144</v>
      </c>
      <c r="H1078" s="181" t="s">
        <v>279</v>
      </c>
      <c r="I1078" s="181" t="s">
        <v>242</v>
      </c>
      <c r="J1078" s="184" t="n">
        <v>37550</v>
      </c>
      <c r="K1078" s="184" t="n">
        <v>14980</v>
      </c>
      <c r="L1078" s="185" t="n">
        <v>11</v>
      </c>
      <c r="M1078" s="173" t="n">
        <v>22570</v>
      </c>
      <c r="N1078" s="184" t="n">
        <v>20087.3</v>
      </c>
      <c r="O1078" s="184" t="s">
        <v>2555</v>
      </c>
      <c r="P1078" s="187" t="n">
        <v>45949</v>
      </c>
      <c r="Q1078" s="188" t="n">
        <v>0.715185185185185</v>
      </c>
    </row>
    <row r="1079" customFormat="false" ht="35.05" hidden="false" customHeight="false" outlineLevel="0" collapsed="false">
      <c r="A1079" s="181" t="s">
        <v>2556</v>
      </c>
      <c r="B1079" s="182" t="n">
        <v>2480</v>
      </c>
      <c r="C1079" s="183" t="n">
        <v>1</v>
      </c>
      <c r="D1079" s="181" t="s">
        <v>2005</v>
      </c>
      <c r="E1079" s="181" t="s">
        <v>413</v>
      </c>
      <c r="F1079" s="181" t="s">
        <v>414</v>
      </c>
      <c r="G1079" s="181" t="s">
        <v>2070</v>
      </c>
      <c r="H1079" s="181" t="s">
        <v>279</v>
      </c>
      <c r="I1079" s="181" t="s">
        <v>240</v>
      </c>
      <c r="J1079" s="184" t="n">
        <v>47940</v>
      </c>
      <c r="K1079" s="184" t="n">
        <v>15740</v>
      </c>
      <c r="L1079" s="185" t="n">
        <v>22</v>
      </c>
      <c r="M1079" s="173" t="n">
        <v>32200</v>
      </c>
      <c r="N1079" s="184" t="n">
        <v>25116</v>
      </c>
      <c r="O1079" s="184" t="s">
        <v>2557</v>
      </c>
      <c r="P1079" s="187" t="n">
        <v>45949</v>
      </c>
      <c r="Q1079" s="188" t="n">
        <v>0.810694444444445</v>
      </c>
    </row>
    <row r="1080" customFormat="false" ht="35.05" hidden="false" customHeight="false" outlineLevel="0" collapsed="false">
      <c r="A1080" s="181" t="s">
        <v>2558</v>
      </c>
      <c r="B1080" s="182" t="n">
        <v>2481</v>
      </c>
      <c r="C1080" s="183" t="n">
        <v>2</v>
      </c>
      <c r="D1080" s="181" t="s">
        <v>2005</v>
      </c>
      <c r="E1080" s="181" t="s">
        <v>576</v>
      </c>
      <c r="F1080" s="181" t="s">
        <v>577</v>
      </c>
      <c r="G1080" s="181" t="s">
        <v>2070</v>
      </c>
      <c r="H1080" s="181" t="s">
        <v>279</v>
      </c>
      <c r="I1080" s="181" t="s">
        <v>240</v>
      </c>
      <c r="J1080" s="184" t="n">
        <v>38970</v>
      </c>
      <c r="K1080" s="184" t="n">
        <v>14620</v>
      </c>
      <c r="L1080" s="185" t="n">
        <v>26</v>
      </c>
      <c r="M1080" s="173" t="n">
        <v>24350</v>
      </c>
      <c r="N1080" s="184" t="n">
        <v>18019</v>
      </c>
      <c r="O1080" s="184" t="s">
        <v>2559</v>
      </c>
      <c r="P1080" s="187" t="n">
        <v>45949</v>
      </c>
      <c r="Q1080" s="188" t="n">
        <v>0.865127314814815</v>
      </c>
    </row>
    <row r="1081" customFormat="false" ht="35.05" hidden="false" customHeight="false" outlineLevel="0" collapsed="false">
      <c r="A1081" s="181" t="s">
        <v>2560</v>
      </c>
      <c r="B1081" s="182" t="n">
        <v>2483</v>
      </c>
      <c r="C1081" s="183" t="n">
        <v>3</v>
      </c>
      <c r="D1081" s="181" t="s">
        <v>2005</v>
      </c>
      <c r="E1081" s="181" t="s">
        <v>261</v>
      </c>
      <c r="F1081" s="181" t="s">
        <v>262</v>
      </c>
      <c r="G1081" s="181" t="s">
        <v>2070</v>
      </c>
      <c r="H1081" s="181" t="s">
        <v>279</v>
      </c>
      <c r="I1081" s="181" t="s">
        <v>240</v>
      </c>
      <c r="J1081" s="184" t="n">
        <v>39260</v>
      </c>
      <c r="K1081" s="184" t="n">
        <v>15280</v>
      </c>
      <c r="L1081" s="185" t="n">
        <v>37</v>
      </c>
      <c r="M1081" s="173" t="n">
        <v>23980</v>
      </c>
      <c r="N1081" s="184" t="n">
        <v>15107.4</v>
      </c>
      <c r="O1081" s="184" t="s">
        <v>2561</v>
      </c>
      <c r="P1081" s="187" t="n">
        <v>45949</v>
      </c>
      <c r="Q1081" s="188" t="n">
        <v>0.866712962962963</v>
      </c>
    </row>
    <row r="1082" customFormat="false" ht="35.05" hidden="false" customHeight="false" outlineLevel="0" collapsed="false">
      <c r="A1082" s="181" t="s">
        <v>2562</v>
      </c>
      <c r="B1082" s="182" t="n">
        <v>2488</v>
      </c>
      <c r="C1082" s="183" t="n">
        <v>5</v>
      </c>
      <c r="D1082" s="181" t="s">
        <v>2005</v>
      </c>
      <c r="E1082" s="181" t="s">
        <v>409</v>
      </c>
      <c r="F1082" s="181" t="s">
        <v>410</v>
      </c>
      <c r="G1082" s="181" t="s">
        <v>2070</v>
      </c>
      <c r="H1082" s="181" t="s">
        <v>279</v>
      </c>
      <c r="I1082" s="181" t="s">
        <v>240</v>
      </c>
      <c r="J1082" s="184" t="n">
        <v>55660</v>
      </c>
      <c r="K1082" s="184" t="n">
        <v>24700</v>
      </c>
      <c r="L1082" s="185" t="n">
        <v>7</v>
      </c>
      <c r="M1082" s="173" t="n">
        <v>30960</v>
      </c>
      <c r="N1082" s="184" t="n">
        <v>28792.8</v>
      </c>
      <c r="O1082" s="184" t="s">
        <v>2563</v>
      </c>
      <c r="P1082" s="187" t="n">
        <v>45950</v>
      </c>
      <c r="Q1082" s="188" t="n">
        <v>0.734340277777778</v>
      </c>
    </row>
    <row r="1083" customFormat="false" ht="35.05" hidden="false" customHeight="false" outlineLevel="0" collapsed="false">
      <c r="A1083" s="181" t="s">
        <v>2564</v>
      </c>
      <c r="B1083" s="182" t="n">
        <v>2489</v>
      </c>
      <c r="C1083" s="183" t="n">
        <v>72</v>
      </c>
      <c r="D1083" s="181" t="s">
        <v>2401</v>
      </c>
      <c r="E1083" s="181" t="s">
        <v>373</v>
      </c>
      <c r="F1083" s="181" t="s">
        <v>374</v>
      </c>
      <c r="G1083" s="181" t="s">
        <v>2402</v>
      </c>
      <c r="H1083" s="181" t="s">
        <v>279</v>
      </c>
      <c r="I1083" s="181" t="s">
        <v>242</v>
      </c>
      <c r="J1083" s="184" t="n">
        <v>39880</v>
      </c>
      <c r="K1083" s="184" t="n">
        <v>14610</v>
      </c>
      <c r="L1083" s="185" t="n">
        <v>10</v>
      </c>
      <c r="M1083" s="173" t="n">
        <v>25270</v>
      </c>
      <c r="N1083" s="184" t="n">
        <v>22743</v>
      </c>
      <c r="O1083" s="184" t="s">
        <v>2565</v>
      </c>
      <c r="P1083" s="187" t="n">
        <v>45950</v>
      </c>
      <c r="Q1083" s="188" t="n">
        <v>0.735810185185185</v>
      </c>
    </row>
    <row r="1084" customFormat="false" ht="35.05" hidden="false" customHeight="false" outlineLevel="0" collapsed="false">
      <c r="A1084" s="181" t="s">
        <v>2566</v>
      </c>
      <c r="B1084" s="182" t="n">
        <v>2486</v>
      </c>
      <c r="C1084" s="183" t="n">
        <v>4</v>
      </c>
      <c r="D1084" s="181" t="s">
        <v>2005</v>
      </c>
      <c r="E1084" s="181" t="s">
        <v>582</v>
      </c>
      <c r="F1084" s="181" t="s">
        <v>583</v>
      </c>
      <c r="G1084" s="181" t="s">
        <v>2070</v>
      </c>
      <c r="H1084" s="181" t="s">
        <v>279</v>
      </c>
      <c r="I1084" s="181" t="s">
        <v>240</v>
      </c>
      <c r="J1084" s="184" t="n">
        <v>42460</v>
      </c>
      <c r="K1084" s="184" t="n">
        <v>15530</v>
      </c>
      <c r="L1084" s="185" t="n">
        <v>16</v>
      </c>
      <c r="M1084" s="173" t="n">
        <v>26930</v>
      </c>
      <c r="N1084" s="184" t="n">
        <v>22621.2</v>
      </c>
      <c r="O1084" s="184" t="s">
        <v>2567</v>
      </c>
      <c r="P1084" s="187" t="n">
        <v>45950</v>
      </c>
      <c r="Q1084" s="188" t="n">
        <v>0.784479166666667</v>
      </c>
    </row>
    <row r="1085" customFormat="false" ht="35.05" hidden="false" customHeight="false" outlineLevel="0" collapsed="false">
      <c r="A1085" s="181" t="s">
        <v>2568</v>
      </c>
      <c r="B1085" s="182" t="n">
        <v>2487</v>
      </c>
      <c r="C1085" s="183" t="n">
        <v>71</v>
      </c>
      <c r="D1085" s="181" t="s">
        <v>2401</v>
      </c>
      <c r="E1085" s="181" t="s">
        <v>399</v>
      </c>
      <c r="F1085" s="181" t="s">
        <v>400</v>
      </c>
      <c r="G1085" s="181" t="s">
        <v>2070</v>
      </c>
      <c r="H1085" s="181" t="s">
        <v>279</v>
      </c>
      <c r="I1085" s="181" t="s">
        <v>242</v>
      </c>
      <c r="J1085" s="184" t="n">
        <v>39270</v>
      </c>
      <c r="K1085" s="184" t="n">
        <v>16020</v>
      </c>
      <c r="L1085" s="185" t="n">
        <v>7</v>
      </c>
      <c r="M1085" s="173" t="n">
        <v>23250</v>
      </c>
      <c r="N1085" s="184" t="n">
        <v>21622.5</v>
      </c>
      <c r="O1085" s="184" t="s">
        <v>2569</v>
      </c>
      <c r="P1085" s="187" t="n">
        <v>45950</v>
      </c>
      <c r="Q1085" s="188" t="n">
        <v>0.802395833333333</v>
      </c>
    </row>
    <row r="1086" customFormat="false" ht="35.05" hidden="false" customHeight="false" outlineLevel="0" collapsed="false">
      <c r="A1086" s="181" t="s">
        <v>2570</v>
      </c>
      <c r="B1086" s="182" t="n">
        <v>2490</v>
      </c>
      <c r="C1086" s="183" t="n">
        <v>75</v>
      </c>
      <c r="D1086" s="181" t="s">
        <v>2401</v>
      </c>
      <c r="E1086" s="181" t="s">
        <v>383</v>
      </c>
      <c r="F1086" s="181" t="s">
        <v>384</v>
      </c>
      <c r="G1086" s="181" t="s">
        <v>2402</v>
      </c>
      <c r="H1086" s="181" t="s">
        <v>279</v>
      </c>
      <c r="I1086" s="181" t="s">
        <v>242</v>
      </c>
      <c r="J1086" s="184" t="n">
        <v>40450</v>
      </c>
      <c r="K1086" s="184" t="n">
        <v>15170</v>
      </c>
      <c r="L1086" s="185" t="n">
        <v>8</v>
      </c>
      <c r="M1086" s="173" t="n">
        <v>25280</v>
      </c>
      <c r="N1086" s="184" t="n">
        <v>23257.6</v>
      </c>
      <c r="O1086" s="184" t="s">
        <v>2571</v>
      </c>
      <c r="P1086" s="187" t="n">
        <v>45950</v>
      </c>
      <c r="Q1086" s="188" t="n">
        <v>0.823159722222222</v>
      </c>
    </row>
    <row r="1087" customFormat="false" ht="35.05" hidden="false" customHeight="false" outlineLevel="0" collapsed="false">
      <c r="A1087" s="181" t="s">
        <v>2572</v>
      </c>
      <c r="B1087" s="182" t="n">
        <v>2491</v>
      </c>
      <c r="C1087" s="183" t="n">
        <v>76</v>
      </c>
      <c r="D1087" s="181" t="s">
        <v>2401</v>
      </c>
      <c r="E1087" s="181" t="s">
        <v>387</v>
      </c>
      <c r="F1087" s="181" t="s">
        <v>388</v>
      </c>
      <c r="G1087" s="181" t="s">
        <v>2402</v>
      </c>
      <c r="H1087" s="181" t="s">
        <v>279</v>
      </c>
      <c r="I1087" s="181" t="s">
        <v>242</v>
      </c>
      <c r="J1087" s="184" t="n">
        <v>43540</v>
      </c>
      <c r="K1087" s="184" t="n">
        <v>15370</v>
      </c>
      <c r="L1087" s="185" t="n">
        <v>15</v>
      </c>
      <c r="M1087" s="173" t="n">
        <v>28170</v>
      </c>
      <c r="N1087" s="184" t="n">
        <v>23944.5</v>
      </c>
      <c r="O1087" s="184" t="s">
        <v>2573</v>
      </c>
      <c r="P1087" s="187" t="n">
        <v>45950</v>
      </c>
      <c r="Q1087" s="188" t="n">
        <v>0.828113425925926</v>
      </c>
    </row>
    <row r="1088" customFormat="false" ht="35.05" hidden="false" customHeight="false" outlineLevel="0" collapsed="false">
      <c r="A1088" s="181" t="s">
        <v>2574</v>
      </c>
      <c r="B1088" s="182" t="n">
        <v>2493</v>
      </c>
      <c r="C1088" s="183" t="n">
        <v>6</v>
      </c>
      <c r="D1088" s="181" t="s">
        <v>2005</v>
      </c>
      <c r="E1088" s="181" t="s">
        <v>350</v>
      </c>
      <c r="F1088" s="181" t="s">
        <v>351</v>
      </c>
      <c r="G1088" s="181" t="s">
        <v>2070</v>
      </c>
      <c r="H1088" s="181" t="s">
        <v>279</v>
      </c>
      <c r="I1088" s="181" t="s">
        <v>240</v>
      </c>
      <c r="J1088" s="184" t="n">
        <v>42980</v>
      </c>
      <c r="K1088" s="184" t="n">
        <v>15150</v>
      </c>
      <c r="L1088" s="185" t="n">
        <v>15</v>
      </c>
      <c r="M1088" s="173" t="n">
        <v>27830</v>
      </c>
      <c r="N1088" s="184" t="n">
        <v>23655.5</v>
      </c>
      <c r="O1088" s="184" t="s">
        <v>2575</v>
      </c>
      <c r="P1088" s="187" t="n">
        <v>45950</v>
      </c>
      <c r="Q1088" s="188" t="n">
        <v>0.842314814814815</v>
      </c>
    </row>
    <row r="1089" customFormat="false" ht="35.05" hidden="false" customHeight="false" outlineLevel="0" collapsed="false">
      <c r="A1089" s="181" t="s">
        <v>2576</v>
      </c>
      <c r="B1089" s="182" t="n">
        <v>2495</v>
      </c>
      <c r="C1089" s="183" t="n">
        <v>7</v>
      </c>
      <c r="D1089" s="181" t="s">
        <v>2005</v>
      </c>
      <c r="E1089" s="181" t="s">
        <v>308</v>
      </c>
      <c r="F1089" s="181" t="s">
        <v>309</v>
      </c>
      <c r="G1089" s="181" t="s">
        <v>2070</v>
      </c>
      <c r="H1089" s="181" t="s">
        <v>279</v>
      </c>
      <c r="I1089" s="181" t="s">
        <v>240</v>
      </c>
      <c r="J1089" s="184" t="n">
        <v>49850</v>
      </c>
      <c r="K1089" s="184" t="n">
        <v>24270</v>
      </c>
      <c r="L1089" s="185" t="n">
        <v>36</v>
      </c>
      <c r="M1089" s="173" t="n">
        <v>25580</v>
      </c>
      <c r="N1089" s="184" t="n">
        <v>16371.2</v>
      </c>
      <c r="O1089" s="184" t="s">
        <v>2577</v>
      </c>
      <c r="P1089" s="187" t="n">
        <v>45950</v>
      </c>
      <c r="Q1089" s="188" t="n">
        <v>0.873611111111111</v>
      </c>
    </row>
    <row r="1090" customFormat="false" ht="35.05" hidden="false" customHeight="false" outlineLevel="0" collapsed="false">
      <c r="A1090" s="181" t="s">
        <v>2578</v>
      </c>
      <c r="B1090" s="182" t="n">
        <v>2497</v>
      </c>
      <c r="C1090" s="183" t="n">
        <v>8</v>
      </c>
      <c r="D1090" s="181" t="s">
        <v>2005</v>
      </c>
      <c r="E1090" s="181" t="s">
        <v>282</v>
      </c>
      <c r="F1090" s="181" t="s">
        <v>283</v>
      </c>
      <c r="G1090" s="181" t="s">
        <v>2070</v>
      </c>
      <c r="H1090" s="181" t="s">
        <v>279</v>
      </c>
      <c r="I1090" s="181" t="s">
        <v>240</v>
      </c>
      <c r="J1090" s="184" t="n">
        <v>37800</v>
      </c>
      <c r="K1090" s="184" t="n">
        <v>15370</v>
      </c>
      <c r="L1090" s="185" t="n">
        <v>37</v>
      </c>
      <c r="M1090" s="173" t="n">
        <v>22430</v>
      </c>
      <c r="N1090" s="184" t="n">
        <v>14130.9</v>
      </c>
      <c r="O1090" s="184" t="s">
        <v>2579</v>
      </c>
      <c r="P1090" s="187" t="n">
        <v>45950</v>
      </c>
      <c r="Q1090" s="188" t="n">
        <v>0.89875</v>
      </c>
    </row>
    <row r="1091" customFormat="false" ht="35.05" hidden="false" customHeight="false" outlineLevel="0" collapsed="false">
      <c r="A1091" s="181" t="s">
        <v>2580</v>
      </c>
      <c r="B1091" s="182" t="n">
        <v>2498</v>
      </c>
      <c r="C1091" s="183" t="n">
        <v>77</v>
      </c>
      <c r="D1091" s="181" t="s">
        <v>2401</v>
      </c>
      <c r="E1091" s="181" t="s">
        <v>354</v>
      </c>
      <c r="F1091" s="181" t="s">
        <v>355</v>
      </c>
      <c r="G1091" s="181" t="s">
        <v>2402</v>
      </c>
      <c r="H1091" s="181" t="s">
        <v>279</v>
      </c>
      <c r="I1091" s="181" t="s">
        <v>242</v>
      </c>
      <c r="J1091" s="184" t="n">
        <v>38280</v>
      </c>
      <c r="K1091" s="184" t="n">
        <v>15030</v>
      </c>
      <c r="L1091" s="185" t="n">
        <v>22</v>
      </c>
      <c r="M1091" s="173" t="n">
        <v>23250</v>
      </c>
      <c r="N1091" s="184" t="n">
        <v>18135</v>
      </c>
      <c r="O1091" s="184" t="s">
        <v>2581</v>
      </c>
      <c r="P1091" s="187" t="n">
        <v>45950</v>
      </c>
      <c r="Q1091" s="188" t="n">
        <v>0.903136574074074</v>
      </c>
    </row>
    <row r="1092" customFormat="false" ht="35.05" hidden="false" customHeight="false" outlineLevel="0" collapsed="false">
      <c r="A1092" s="181" t="s">
        <v>2582</v>
      </c>
      <c r="B1092" s="182" t="n">
        <v>2499</v>
      </c>
      <c r="C1092" s="183" t="n">
        <v>78</v>
      </c>
      <c r="D1092" s="181" t="s">
        <v>2401</v>
      </c>
      <c r="E1092" s="181" t="s">
        <v>359</v>
      </c>
      <c r="F1092" s="181" t="s">
        <v>360</v>
      </c>
      <c r="G1092" s="181" t="s">
        <v>2402</v>
      </c>
      <c r="H1092" s="181" t="s">
        <v>279</v>
      </c>
      <c r="I1092" s="181" t="s">
        <v>242</v>
      </c>
      <c r="J1092" s="184" t="n">
        <v>36970</v>
      </c>
      <c r="K1092" s="184" t="n">
        <v>15200</v>
      </c>
      <c r="L1092" s="185" t="n">
        <v>11</v>
      </c>
      <c r="M1092" s="173" t="n">
        <v>21770</v>
      </c>
      <c r="N1092" s="184" t="n">
        <v>19375.3</v>
      </c>
      <c r="O1092" s="184" t="s">
        <v>2583</v>
      </c>
      <c r="P1092" s="187" t="n">
        <v>45950</v>
      </c>
      <c r="Q1092" s="188" t="n">
        <v>0.905671296296296</v>
      </c>
    </row>
    <row r="1093" customFormat="false" ht="35.05" hidden="false" customHeight="false" outlineLevel="0" collapsed="false">
      <c r="A1093" s="181" t="s">
        <v>2584</v>
      </c>
      <c r="B1093" s="182" t="n">
        <v>2501</v>
      </c>
      <c r="C1093" s="183" t="n">
        <v>79</v>
      </c>
      <c r="D1093" s="181" t="s">
        <v>2401</v>
      </c>
      <c r="E1093" s="181" t="s">
        <v>413</v>
      </c>
      <c r="F1093" s="181" t="s">
        <v>414</v>
      </c>
      <c r="G1093" s="181" t="s">
        <v>2402</v>
      </c>
      <c r="H1093" s="181" t="s">
        <v>279</v>
      </c>
      <c r="I1093" s="181" t="s">
        <v>242</v>
      </c>
      <c r="J1093" s="184" t="n">
        <v>45180</v>
      </c>
      <c r="K1093" s="184" t="n">
        <v>16220</v>
      </c>
      <c r="L1093" s="185" t="n">
        <v>12</v>
      </c>
      <c r="M1093" s="173" t="n">
        <v>28960</v>
      </c>
      <c r="N1093" s="184" t="n">
        <v>25484.8</v>
      </c>
      <c r="O1093" s="184" t="s">
        <v>2585</v>
      </c>
      <c r="P1093" s="187" t="n">
        <v>45950</v>
      </c>
      <c r="Q1093" s="188" t="n">
        <v>0.972280092592593</v>
      </c>
    </row>
    <row r="1094" customFormat="false" ht="35.05" hidden="false" customHeight="false" outlineLevel="0" collapsed="false">
      <c r="A1094" s="181" t="s">
        <v>2586</v>
      </c>
      <c r="B1094" s="182" t="n">
        <v>2502</v>
      </c>
      <c r="C1094" s="183" t="n">
        <v>80</v>
      </c>
      <c r="D1094" s="181" t="s">
        <v>2401</v>
      </c>
      <c r="E1094" s="181" t="s">
        <v>277</v>
      </c>
      <c r="F1094" s="181" t="s">
        <v>278</v>
      </c>
      <c r="G1094" s="181" t="s">
        <v>2402</v>
      </c>
      <c r="H1094" s="181" t="s">
        <v>279</v>
      </c>
      <c r="I1094" s="181" t="s">
        <v>242</v>
      </c>
      <c r="J1094" s="184" t="n">
        <v>40060</v>
      </c>
      <c r="K1094" s="184" t="n">
        <v>15290</v>
      </c>
      <c r="L1094" s="185" t="n">
        <v>11</v>
      </c>
      <c r="M1094" s="173" t="n">
        <v>24770</v>
      </c>
      <c r="N1094" s="184" t="n">
        <v>22045.3</v>
      </c>
      <c r="O1094" s="184" t="s">
        <v>2587</v>
      </c>
      <c r="P1094" s="187" t="n">
        <v>45950</v>
      </c>
      <c r="Q1094" s="188" t="n">
        <v>0.979016203703704</v>
      </c>
    </row>
    <row r="1095" customFormat="false" ht="35.05" hidden="false" customHeight="false" outlineLevel="0" collapsed="false">
      <c r="A1095" s="181" t="s">
        <v>2588</v>
      </c>
      <c r="B1095" s="182" t="n">
        <v>2503</v>
      </c>
      <c r="C1095" s="183" t="n">
        <v>81</v>
      </c>
      <c r="D1095" s="181" t="s">
        <v>2401</v>
      </c>
      <c r="E1095" s="181" t="s">
        <v>292</v>
      </c>
      <c r="F1095" s="181" t="s">
        <v>293</v>
      </c>
      <c r="G1095" s="181" t="s">
        <v>2402</v>
      </c>
      <c r="H1095" s="181" t="s">
        <v>279</v>
      </c>
      <c r="I1095" s="181" t="s">
        <v>242</v>
      </c>
      <c r="J1095" s="184" t="n">
        <v>35000</v>
      </c>
      <c r="K1095" s="184" t="n">
        <v>14040</v>
      </c>
      <c r="L1095" s="185" t="n">
        <v>17</v>
      </c>
      <c r="M1095" s="173" t="n">
        <v>20960</v>
      </c>
      <c r="N1095" s="184" t="n">
        <v>17396.8</v>
      </c>
      <c r="O1095" s="184" t="s">
        <v>2589</v>
      </c>
      <c r="P1095" s="187" t="n">
        <v>45951</v>
      </c>
      <c r="Q1095" s="188" t="n">
        <v>0.339212962962963</v>
      </c>
    </row>
    <row r="1096" customFormat="false" ht="35.05" hidden="false" customHeight="false" outlineLevel="0" collapsed="false">
      <c r="A1096" s="181" t="s">
        <v>2590</v>
      </c>
      <c r="B1096" s="182" t="n">
        <v>2504</v>
      </c>
      <c r="C1096" s="183" t="n">
        <v>82</v>
      </c>
      <c r="D1096" s="181" t="s">
        <v>2401</v>
      </c>
      <c r="E1096" s="181" t="s">
        <v>332</v>
      </c>
      <c r="F1096" s="181" t="s">
        <v>333</v>
      </c>
      <c r="G1096" s="181" t="s">
        <v>2402</v>
      </c>
      <c r="H1096" s="181" t="s">
        <v>279</v>
      </c>
      <c r="I1096" s="181" t="s">
        <v>242</v>
      </c>
      <c r="J1096" s="184" t="n">
        <v>37350</v>
      </c>
      <c r="K1096" s="184" t="n">
        <v>14880</v>
      </c>
      <c r="L1096" s="185" t="n">
        <v>19</v>
      </c>
      <c r="M1096" s="173" t="n">
        <v>22470</v>
      </c>
      <c r="N1096" s="184" t="n">
        <v>18200.7</v>
      </c>
      <c r="O1096" s="184" t="s">
        <v>2591</v>
      </c>
      <c r="P1096" s="187" t="n">
        <v>45951</v>
      </c>
      <c r="Q1096" s="188" t="n">
        <v>0.368738425925926</v>
      </c>
    </row>
    <row r="1097" customFormat="false" ht="35.05" hidden="false" customHeight="false" outlineLevel="0" collapsed="false">
      <c r="A1097" s="181" t="s">
        <v>2592</v>
      </c>
      <c r="B1097" s="182" t="n">
        <v>2505</v>
      </c>
      <c r="C1097" s="183" t="n">
        <v>83</v>
      </c>
      <c r="D1097" s="181" t="s">
        <v>2401</v>
      </c>
      <c r="E1097" s="181" t="s">
        <v>576</v>
      </c>
      <c r="F1097" s="181" t="s">
        <v>577</v>
      </c>
      <c r="G1097" s="181" t="s">
        <v>2402</v>
      </c>
      <c r="H1097" s="181" t="s">
        <v>279</v>
      </c>
      <c r="I1097" s="181" t="s">
        <v>242</v>
      </c>
      <c r="J1097" s="184" t="n">
        <v>38050</v>
      </c>
      <c r="K1097" s="184" t="n">
        <v>14640</v>
      </c>
      <c r="L1097" s="185" t="n">
        <v>12</v>
      </c>
      <c r="M1097" s="173" t="n">
        <v>23410</v>
      </c>
      <c r="N1097" s="184" t="n">
        <v>20600.8</v>
      </c>
      <c r="O1097" s="184" t="s">
        <v>2593</v>
      </c>
      <c r="P1097" s="187" t="n">
        <v>45951</v>
      </c>
      <c r="Q1097" s="188" t="n">
        <v>0.402037037037037</v>
      </c>
    </row>
    <row r="1098" customFormat="false" ht="35.05" hidden="false" customHeight="false" outlineLevel="0" collapsed="false">
      <c r="A1098" s="181" t="s">
        <v>2594</v>
      </c>
      <c r="B1098" s="182" t="n">
        <v>2507</v>
      </c>
      <c r="C1098" s="183" t="n">
        <v>84</v>
      </c>
      <c r="D1098" s="181" t="s">
        <v>2401</v>
      </c>
      <c r="E1098" s="181" t="s">
        <v>261</v>
      </c>
      <c r="F1098" s="181" t="s">
        <v>262</v>
      </c>
      <c r="G1098" s="181" t="s">
        <v>2402</v>
      </c>
      <c r="H1098" s="181" t="s">
        <v>279</v>
      </c>
      <c r="I1098" s="181" t="s">
        <v>242</v>
      </c>
      <c r="J1098" s="184" t="n">
        <v>37520</v>
      </c>
      <c r="K1098" s="184" t="n">
        <v>15320</v>
      </c>
      <c r="L1098" s="185" t="n">
        <v>19</v>
      </c>
      <c r="M1098" s="173" t="n">
        <v>22200</v>
      </c>
      <c r="N1098" s="184" t="n">
        <v>17982</v>
      </c>
      <c r="O1098" s="184" t="s">
        <v>2595</v>
      </c>
      <c r="P1098" s="187" t="n">
        <v>45951</v>
      </c>
      <c r="Q1098" s="188" t="n">
        <v>0.440844907407407</v>
      </c>
    </row>
    <row r="1099" customFormat="false" ht="35.05" hidden="false" customHeight="false" outlineLevel="0" collapsed="false">
      <c r="A1099" s="181" t="s">
        <v>2596</v>
      </c>
      <c r="B1099" s="182" t="n">
        <v>2508</v>
      </c>
      <c r="C1099" s="183" t="n">
        <v>85</v>
      </c>
      <c r="D1099" s="181" t="s">
        <v>2401</v>
      </c>
      <c r="E1099" s="181" t="s">
        <v>399</v>
      </c>
      <c r="F1099" s="181" t="s">
        <v>400</v>
      </c>
      <c r="G1099" s="181" t="s">
        <v>2402</v>
      </c>
      <c r="H1099" s="181" t="s">
        <v>279</v>
      </c>
      <c r="I1099" s="181" t="s">
        <v>242</v>
      </c>
      <c r="J1099" s="184" t="n">
        <v>40140</v>
      </c>
      <c r="K1099" s="184" t="n">
        <v>15910</v>
      </c>
      <c r="L1099" s="185" t="n">
        <v>15</v>
      </c>
      <c r="M1099" s="173" t="n">
        <v>24230</v>
      </c>
      <c r="N1099" s="184" t="n">
        <v>20595.5</v>
      </c>
      <c r="O1099" s="184" t="s">
        <v>2597</v>
      </c>
      <c r="P1099" s="187" t="n">
        <v>45951</v>
      </c>
      <c r="Q1099" s="188" t="n">
        <v>0.464166666666667</v>
      </c>
    </row>
    <row r="1100" customFormat="false" ht="35.05" hidden="false" customHeight="false" outlineLevel="0" collapsed="false">
      <c r="A1100" s="181" t="s">
        <v>2598</v>
      </c>
      <c r="B1100" s="182" t="n">
        <v>2509</v>
      </c>
      <c r="C1100" s="183" t="n">
        <v>86</v>
      </c>
      <c r="D1100" s="181" t="s">
        <v>2401</v>
      </c>
      <c r="E1100" s="181" t="s">
        <v>582</v>
      </c>
      <c r="F1100" s="181" t="s">
        <v>583</v>
      </c>
      <c r="G1100" s="181" t="s">
        <v>2402</v>
      </c>
      <c r="H1100" s="181" t="s">
        <v>279</v>
      </c>
      <c r="I1100" s="181" t="s">
        <v>242</v>
      </c>
      <c r="J1100" s="184" t="n">
        <v>40400</v>
      </c>
      <c r="K1100" s="184" t="n">
        <v>15280</v>
      </c>
      <c r="L1100" s="185" t="n">
        <v>26</v>
      </c>
      <c r="M1100" s="173" t="n">
        <v>25120</v>
      </c>
      <c r="N1100" s="184" t="n">
        <v>18588.8</v>
      </c>
      <c r="O1100" s="184" t="s">
        <v>2599</v>
      </c>
      <c r="P1100" s="187" t="n">
        <v>45951</v>
      </c>
      <c r="Q1100" s="188" t="n">
        <v>0.511319444444444</v>
      </c>
    </row>
    <row r="1101" customFormat="false" ht="35.05" hidden="false" customHeight="false" outlineLevel="0" collapsed="false">
      <c r="A1101" s="181" t="s">
        <v>2600</v>
      </c>
      <c r="B1101" s="182" t="n">
        <v>2511</v>
      </c>
      <c r="C1101" s="183" t="n">
        <v>87</v>
      </c>
      <c r="D1101" s="181" t="s">
        <v>2401</v>
      </c>
      <c r="E1101" s="181" t="s">
        <v>373</v>
      </c>
      <c r="F1101" s="181" t="s">
        <v>374</v>
      </c>
      <c r="G1101" s="181" t="s">
        <v>2402</v>
      </c>
      <c r="H1101" s="181" t="s">
        <v>279</v>
      </c>
      <c r="I1101" s="181" t="s">
        <v>242</v>
      </c>
      <c r="J1101" s="184" t="n">
        <v>40870</v>
      </c>
      <c r="K1101" s="184" t="n">
        <v>14480</v>
      </c>
      <c r="L1101" s="185" t="n">
        <v>16</v>
      </c>
      <c r="M1101" s="173" t="n">
        <v>26390</v>
      </c>
      <c r="N1101" s="184" t="n">
        <v>22167.6</v>
      </c>
      <c r="O1101" s="184" t="s">
        <v>2601</v>
      </c>
      <c r="P1101" s="187" t="n">
        <v>45951</v>
      </c>
      <c r="Q1101" s="188" t="n">
        <v>0.55056712962963</v>
      </c>
    </row>
    <row r="1102" customFormat="false" ht="35.05" hidden="false" customHeight="false" outlineLevel="0" collapsed="false">
      <c r="A1102" s="181" t="s">
        <v>2602</v>
      </c>
      <c r="B1102" s="182" t="n">
        <v>2513</v>
      </c>
      <c r="C1102" s="183" t="n">
        <v>88</v>
      </c>
      <c r="D1102" s="181" t="s">
        <v>2401</v>
      </c>
      <c r="E1102" s="181" t="s">
        <v>391</v>
      </c>
      <c r="F1102" s="181" t="s">
        <v>392</v>
      </c>
      <c r="G1102" s="181" t="s">
        <v>2402</v>
      </c>
      <c r="H1102" s="181" t="s">
        <v>279</v>
      </c>
      <c r="I1102" s="181" t="s">
        <v>242</v>
      </c>
      <c r="J1102" s="184" t="n">
        <v>34330</v>
      </c>
      <c r="K1102" s="184" t="n">
        <v>14710</v>
      </c>
      <c r="L1102" s="185" t="n">
        <v>18</v>
      </c>
      <c r="M1102" s="173" t="n">
        <v>19620</v>
      </c>
      <c r="N1102" s="184" t="n">
        <v>16088.4</v>
      </c>
      <c r="O1102" s="184" t="s">
        <v>2603</v>
      </c>
      <c r="P1102" s="187" t="n">
        <v>45951</v>
      </c>
      <c r="Q1102" s="188" t="n">
        <v>0.595543981481482</v>
      </c>
    </row>
    <row r="1103" customFormat="false" ht="35.05" hidden="false" customHeight="false" outlineLevel="0" collapsed="false">
      <c r="A1103" s="181" t="s">
        <v>2604</v>
      </c>
      <c r="B1103" s="182" t="n">
        <v>2518</v>
      </c>
      <c r="C1103" s="183" t="n">
        <v>89</v>
      </c>
      <c r="D1103" s="181" t="s">
        <v>2401</v>
      </c>
      <c r="E1103" s="181" t="s">
        <v>529</v>
      </c>
      <c r="F1103" s="181" t="s">
        <v>530</v>
      </c>
      <c r="G1103" s="181" t="s">
        <v>2402</v>
      </c>
      <c r="H1103" s="181" t="s">
        <v>279</v>
      </c>
      <c r="I1103" s="181" t="s">
        <v>242</v>
      </c>
      <c r="J1103" s="184" t="n">
        <v>34900</v>
      </c>
      <c r="K1103" s="184" t="n">
        <v>15120</v>
      </c>
      <c r="L1103" s="185" t="n">
        <v>13</v>
      </c>
      <c r="M1103" s="173" t="n">
        <v>19780</v>
      </c>
      <c r="N1103" s="184" t="n">
        <v>17208.6</v>
      </c>
      <c r="O1103" s="184" t="s">
        <v>2605</v>
      </c>
      <c r="P1103" s="187" t="n">
        <v>45951</v>
      </c>
      <c r="Q1103" s="188" t="n">
        <v>0.630104166666667</v>
      </c>
    </row>
    <row r="1104" customFormat="false" ht="35.05" hidden="false" customHeight="false" outlineLevel="0" collapsed="false">
      <c r="A1104" s="181" t="s">
        <v>2606</v>
      </c>
      <c r="B1104" s="182" t="n">
        <v>2521</v>
      </c>
      <c r="C1104" s="183" t="n">
        <v>1</v>
      </c>
      <c r="D1104" s="181" t="s">
        <v>2005</v>
      </c>
      <c r="E1104" s="181" t="s">
        <v>304</v>
      </c>
      <c r="F1104" s="181" t="s">
        <v>305</v>
      </c>
      <c r="G1104" s="181" t="s">
        <v>2049</v>
      </c>
      <c r="H1104" s="181" t="s">
        <v>279</v>
      </c>
      <c r="I1104" s="181" t="s">
        <v>240</v>
      </c>
      <c r="J1104" s="184" t="n">
        <v>39290</v>
      </c>
      <c r="K1104" s="184" t="n">
        <v>15090</v>
      </c>
      <c r="L1104" s="185" t="n">
        <v>27</v>
      </c>
      <c r="M1104" s="173" t="n">
        <v>24200</v>
      </c>
      <c r="N1104" s="184" t="n">
        <v>17666</v>
      </c>
      <c r="O1104" s="184" t="s">
        <v>2607</v>
      </c>
      <c r="P1104" s="187" t="n">
        <v>45951</v>
      </c>
      <c r="Q1104" s="188" t="n">
        <v>0.663877314814815</v>
      </c>
    </row>
    <row r="1105" customFormat="false" ht="35.05" hidden="false" customHeight="false" outlineLevel="0" collapsed="false">
      <c r="A1105" s="181" t="s">
        <v>2608</v>
      </c>
      <c r="B1105" s="182" t="n">
        <v>2523</v>
      </c>
      <c r="C1105" s="183" t="n">
        <v>92</v>
      </c>
      <c r="D1105" s="181" t="s">
        <v>2401</v>
      </c>
      <c r="E1105" s="181" t="s">
        <v>272</v>
      </c>
      <c r="F1105" s="181" t="s">
        <v>273</v>
      </c>
      <c r="G1105" s="181" t="s">
        <v>2402</v>
      </c>
      <c r="H1105" s="181" t="s">
        <v>279</v>
      </c>
      <c r="I1105" s="181" t="s">
        <v>242</v>
      </c>
      <c r="J1105" s="184" t="n">
        <v>39510</v>
      </c>
      <c r="K1105" s="184" t="n">
        <v>15800</v>
      </c>
      <c r="L1105" s="185" t="n">
        <v>5</v>
      </c>
      <c r="M1105" s="173" t="n">
        <v>23710</v>
      </c>
      <c r="N1105" s="184" t="n">
        <v>22524.5</v>
      </c>
      <c r="O1105" s="184" t="s">
        <v>2609</v>
      </c>
      <c r="P1105" s="187" t="n">
        <v>45951</v>
      </c>
      <c r="Q1105" s="188" t="n">
        <v>0.712604166666667</v>
      </c>
    </row>
    <row r="1106" customFormat="false" ht="35.05" hidden="false" customHeight="false" outlineLevel="0" collapsed="false">
      <c r="A1106" s="181" t="s">
        <v>2610</v>
      </c>
      <c r="B1106" s="182" t="n">
        <v>2524</v>
      </c>
      <c r="C1106" s="183" t="n">
        <v>90</v>
      </c>
      <c r="D1106" s="181" t="s">
        <v>2401</v>
      </c>
      <c r="E1106" s="181" t="s">
        <v>383</v>
      </c>
      <c r="F1106" s="181" t="s">
        <v>384</v>
      </c>
      <c r="G1106" s="181" t="s">
        <v>2402</v>
      </c>
      <c r="H1106" s="181" t="s">
        <v>279</v>
      </c>
      <c r="I1106" s="181" t="s">
        <v>242</v>
      </c>
      <c r="J1106" s="184" t="n">
        <v>39990</v>
      </c>
      <c r="K1106" s="184" t="n">
        <v>15210</v>
      </c>
      <c r="L1106" s="185" t="n">
        <v>7</v>
      </c>
      <c r="M1106" s="173" t="n">
        <v>24780</v>
      </c>
      <c r="N1106" s="184" t="n">
        <v>23045.4</v>
      </c>
      <c r="O1106" s="184" t="s">
        <v>2611</v>
      </c>
      <c r="P1106" s="187" t="n">
        <v>45951</v>
      </c>
      <c r="Q1106" s="188" t="n">
        <v>0.775428240740741</v>
      </c>
    </row>
    <row r="1107" customFormat="false" ht="35.05" hidden="false" customHeight="false" outlineLevel="0" collapsed="false">
      <c r="A1107" s="181" t="s">
        <v>2612</v>
      </c>
      <c r="B1107" s="182" t="n">
        <v>2527</v>
      </c>
      <c r="C1107" s="183" t="n">
        <v>94</v>
      </c>
      <c r="D1107" s="181" t="s">
        <v>2401</v>
      </c>
      <c r="E1107" s="181" t="s">
        <v>354</v>
      </c>
      <c r="F1107" s="181" t="s">
        <v>355</v>
      </c>
      <c r="G1107" s="181" t="s">
        <v>2402</v>
      </c>
      <c r="H1107" s="181" t="s">
        <v>279</v>
      </c>
      <c r="I1107" s="181" t="s">
        <v>242</v>
      </c>
      <c r="J1107" s="184" t="n">
        <v>39240</v>
      </c>
      <c r="K1107" s="184" t="n">
        <v>15010</v>
      </c>
      <c r="L1107" s="185" t="n">
        <v>13</v>
      </c>
      <c r="M1107" s="173" t="n">
        <v>24230</v>
      </c>
      <c r="N1107" s="184" t="n">
        <v>21080.1</v>
      </c>
      <c r="O1107" s="184" t="s">
        <v>2613</v>
      </c>
      <c r="P1107" s="187" t="n">
        <v>45951</v>
      </c>
      <c r="Q1107" s="188" t="n">
        <v>0.782175925925926</v>
      </c>
    </row>
    <row r="1108" customFormat="false" ht="35.05" hidden="false" customHeight="false" outlineLevel="0" collapsed="false">
      <c r="A1108" s="181" t="s">
        <v>2614</v>
      </c>
      <c r="B1108" s="182" t="n">
        <v>2528</v>
      </c>
      <c r="C1108" s="183" t="n">
        <v>95</v>
      </c>
      <c r="D1108" s="181" t="s">
        <v>2401</v>
      </c>
      <c r="E1108" s="181" t="s">
        <v>359</v>
      </c>
      <c r="F1108" s="181" t="s">
        <v>360</v>
      </c>
      <c r="G1108" s="181" t="s">
        <v>2402</v>
      </c>
      <c r="H1108" s="181" t="s">
        <v>279</v>
      </c>
      <c r="I1108" s="181" t="s">
        <v>242</v>
      </c>
      <c r="J1108" s="184" t="n">
        <v>37070</v>
      </c>
      <c r="K1108" s="184" t="n">
        <v>15020</v>
      </c>
      <c r="L1108" s="185" t="n">
        <v>21</v>
      </c>
      <c r="M1108" s="173" t="n">
        <v>22050</v>
      </c>
      <c r="N1108" s="184" t="n">
        <v>17419.5</v>
      </c>
      <c r="O1108" s="184" t="s">
        <v>2615</v>
      </c>
      <c r="P1108" s="187" t="n">
        <v>45951</v>
      </c>
      <c r="Q1108" s="188" t="n">
        <v>0.785509259259259</v>
      </c>
    </row>
    <row r="1109" customFormat="false" ht="35.05" hidden="false" customHeight="false" outlineLevel="0" collapsed="false">
      <c r="A1109" s="181" t="s">
        <v>2616</v>
      </c>
      <c r="B1109" s="182" t="n">
        <v>2525</v>
      </c>
      <c r="C1109" s="183" t="n">
        <v>91</v>
      </c>
      <c r="D1109" s="181" t="s">
        <v>2401</v>
      </c>
      <c r="E1109" s="181" t="s">
        <v>387</v>
      </c>
      <c r="F1109" s="181" t="s">
        <v>388</v>
      </c>
      <c r="G1109" s="181" t="s">
        <v>2402</v>
      </c>
      <c r="H1109" s="181" t="s">
        <v>279</v>
      </c>
      <c r="I1109" s="181" t="s">
        <v>242</v>
      </c>
      <c r="J1109" s="184" t="n">
        <v>42050</v>
      </c>
      <c r="K1109" s="184" t="n">
        <v>15420</v>
      </c>
      <c r="L1109" s="185" t="n">
        <v>28</v>
      </c>
      <c r="M1109" s="173" t="n">
        <v>26630</v>
      </c>
      <c r="N1109" s="184" t="n">
        <v>19173.6</v>
      </c>
      <c r="O1109" s="184" t="s">
        <v>2617</v>
      </c>
      <c r="P1109" s="187" t="n">
        <v>45951</v>
      </c>
      <c r="Q1109" s="188" t="n">
        <v>0.828900462962963</v>
      </c>
    </row>
    <row r="1110" customFormat="false" ht="35.05" hidden="false" customHeight="false" outlineLevel="0" collapsed="false">
      <c r="A1110" s="181" t="s">
        <v>2618</v>
      </c>
      <c r="B1110" s="182" t="n">
        <v>2530</v>
      </c>
      <c r="C1110" s="183" t="n">
        <v>97</v>
      </c>
      <c r="D1110" s="181" t="s">
        <v>2401</v>
      </c>
      <c r="E1110" s="181" t="s">
        <v>277</v>
      </c>
      <c r="F1110" s="181" t="s">
        <v>278</v>
      </c>
      <c r="G1110" s="181" t="s">
        <v>2402</v>
      </c>
      <c r="H1110" s="181" t="s">
        <v>279</v>
      </c>
      <c r="I1110" s="181" t="s">
        <v>242</v>
      </c>
      <c r="J1110" s="184" t="n">
        <v>42430</v>
      </c>
      <c r="K1110" s="184" t="n">
        <v>15310</v>
      </c>
      <c r="L1110" s="185" t="n">
        <v>7</v>
      </c>
      <c r="M1110" s="173" t="n">
        <v>27120</v>
      </c>
      <c r="N1110" s="184" t="n">
        <v>25221.6</v>
      </c>
      <c r="O1110" s="184" t="s">
        <v>2619</v>
      </c>
      <c r="P1110" s="187" t="n">
        <v>45951</v>
      </c>
      <c r="Q1110" s="188" t="n">
        <v>0.851875</v>
      </c>
    </row>
    <row r="1111" customFormat="false" ht="46.25" hidden="false" customHeight="false" outlineLevel="0" collapsed="false">
      <c r="A1111" s="181" t="s">
        <v>2620</v>
      </c>
      <c r="B1111" s="182" t="n">
        <v>2531</v>
      </c>
      <c r="C1111" s="183" t="n">
        <v>10324</v>
      </c>
      <c r="D1111" s="181" t="s">
        <v>2066</v>
      </c>
      <c r="E1111" s="181" t="s">
        <v>439</v>
      </c>
      <c r="F1111" s="181" t="s">
        <v>440</v>
      </c>
      <c r="G1111" s="181" t="s">
        <v>2292</v>
      </c>
      <c r="H1111" s="181" t="s">
        <v>279</v>
      </c>
      <c r="I1111" s="181" t="s">
        <v>241</v>
      </c>
      <c r="J1111" s="184" t="n">
        <v>39440</v>
      </c>
      <c r="K1111" s="184" t="n">
        <v>16350</v>
      </c>
      <c r="L1111" s="185" t="n">
        <v>15</v>
      </c>
      <c r="M1111" s="173" t="n">
        <v>23090</v>
      </c>
      <c r="N1111" s="184" t="n">
        <v>19626.5</v>
      </c>
      <c r="O1111" s="184" t="s">
        <v>2621</v>
      </c>
      <c r="P1111" s="187" t="n">
        <v>45951</v>
      </c>
      <c r="Q1111" s="188" t="n">
        <v>0.854918981481482</v>
      </c>
    </row>
    <row r="1112" customFormat="false" ht="35.05" hidden="false" customHeight="false" outlineLevel="0" collapsed="false">
      <c r="A1112" s="181" t="s">
        <v>2622</v>
      </c>
      <c r="B1112" s="182" t="n">
        <v>2526</v>
      </c>
      <c r="C1112" s="183" t="n">
        <v>93</v>
      </c>
      <c r="D1112" s="181" t="s">
        <v>2401</v>
      </c>
      <c r="E1112" s="181" t="s">
        <v>350</v>
      </c>
      <c r="F1112" s="181" t="s">
        <v>351</v>
      </c>
      <c r="G1112" s="181" t="s">
        <v>2402</v>
      </c>
      <c r="H1112" s="181" t="s">
        <v>279</v>
      </c>
      <c r="I1112" s="181" t="s">
        <v>242</v>
      </c>
      <c r="J1112" s="184" t="n">
        <v>42910</v>
      </c>
      <c r="K1112" s="184" t="n">
        <v>15260</v>
      </c>
      <c r="L1112" s="185" t="n">
        <v>7</v>
      </c>
      <c r="M1112" s="173" t="n">
        <v>27650</v>
      </c>
      <c r="N1112" s="184" t="n">
        <v>25714.5</v>
      </c>
      <c r="O1112" s="184" t="s">
        <v>2623</v>
      </c>
      <c r="P1112" s="187" t="n">
        <v>45951</v>
      </c>
      <c r="Q1112" s="188" t="n">
        <v>0.88744212962963</v>
      </c>
    </row>
    <row r="1113" customFormat="false" ht="46.25" hidden="false" customHeight="false" outlineLevel="0" collapsed="false">
      <c r="A1113" s="181" t="s">
        <v>2624</v>
      </c>
      <c r="B1113" s="182" t="n">
        <v>2532</v>
      </c>
      <c r="C1113" s="183" t="n">
        <v>10325</v>
      </c>
      <c r="D1113" s="181" t="s">
        <v>2066</v>
      </c>
      <c r="E1113" s="181" t="s">
        <v>431</v>
      </c>
      <c r="F1113" s="181" t="s">
        <v>432</v>
      </c>
      <c r="G1113" s="181" t="s">
        <v>2292</v>
      </c>
      <c r="H1113" s="181" t="s">
        <v>279</v>
      </c>
      <c r="I1113" s="181" t="s">
        <v>241</v>
      </c>
      <c r="J1113" s="184" t="n">
        <v>40740</v>
      </c>
      <c r="K1113" s="184" t="n">
        <v>16460</v>
      </c>
      <c r="L1113" s="185" t="n">
        <v>11</v>
      </c>
      <c r="M1113" s="173" t="n">
        <v>24280</v>
      </c>
      <c r="N1113" s="184" t="n">
        <v>21609.2</v>
      </c>
      <c r="O1113" s="184" t="s">
        <v>2625</v>
      </c>
      <c r="P1113" s="187" t="n">
        <v>45951</v>
      </c>
      <c r="Q1113" s="188" t="n">
        <v>0.888460648148148</v>
      </c>
    </row>
    <row r="1114" customFormat="false" ht="35.05" hidden="false" customHeight="false" outlineLevel="0" collapsed="false">
      <c r="A1114" s="181" t="s">
        <v>2626</v>
      </c>
      <c r="B1114" s="182" t="n">
        <v>2533</v>
      </c>
      <c r="C1114" s="183" t="n">
        <v>96</v>
      </c>
      <c r="D1114" s="181" t="s">
        <v>2401</v>
      </c>
      <c r="E1114" s="181" t="s">
        <v>413</v>
      </c>
      <c r="F1114" s="181" t="s">
        <v>414</v>
      </c>
      <c r="G1114" s="181" t="s">
        <v>2402</v>
      </c>
      <c r="H1114" s="181" t="s">
        <v>279</v>
      </c>
      <c r="I1114" s="181" t="s">
        <v>242</v>
      </c>
      <c r="J1114" s="184" t="n">
        <v>45390</v>
      </c>
      <c r="K1114" s="184" t="n">
        <v>16090</v>
      </c>
      <c r="L1114" s="185" t="n">
        <v>12</v>
      </c>
      <c r="M1114" s="173" t="n">
        <v>29300</v>
      </c>
      <c r="N1114" s="184" t="n">
        <v>25784</v>
      </c>
      <c r="O1114" s="184" t="s">
        <v>2627</v>
      </c>
      <c r="P1114" s="187" t="n">
        <v>45951</v>
      </c>
      <c r="Q1114" s="188" t="n">
        <v>0.896134259259259</v>
      </c>
    </row>
    <row r="1115" customFormat="false" ht="46.25" hidden="false" customHeight="false" outlineLevel="0" collapsed="false">
      <c r="A1115" s="181" t="s">
        <v>2628</v>
      </c>
      <c r="B1115" s="182" t="n">
        <v>2535</v>
      </c>
      <c r="C1115" s="183" t="n">
        <v>10327</v>
      </c>
      <c r="D1115" s="181" t="s">
        <v>2066</v>
      </c>
      <c r="E1115" s="181" t="s">
        <v>549</v>
      </c>
      <c r="F1115" s="181" t="s">
        <v>550</v>
      </c>
      <c r="G1115" s="181" t="s">
        <v>2292</v>
      </c>
      <c r="H1115" s="181" t="s">
        <v>279</v>
      </c>
      <c r="I1115" s="181" t="s">
        <v>241</v>
      </c>
      <c r="J1115" s="184" t="n">
        <v>41850</v>
      </c>
      <c r="K1115" s="184" t="n">
        <v>15910</v>
      </c>
      <c r="L1115" s="185" t="n">
        <v>9</v>
      </c>
      <c r="M1115" s="173" t="n">
        <v>25940</v>
      </c>
      <c r="N1115" s="184" t="n">
        <v>23605.4</v>
      </c>
      <c r="O1115" s="184" t="s">
        <v>2629</v>
      </c>
      <c r="P1115" s="187" t="n">
        <v>45951</v>
      </c>
      <c r="Q1115" s="188" t="n">
        <v>0.953888888888889</v>
      </c>
    </row>
    <row r="1116" customFormat="false" ht="46.25" hidden="false" customHeight="false" outlineLevel="0" collapsed="false">
      <c r="A1116" s="181" t="s">
        <v>2630</v>
      </c>
      <c r="B1116" s="182" t="n">
        <v>2536</v>
      </c>
      <c r="C1116" s="183" t="n">
        <v>10326</v>
      </c>
      <c r="D1116" s="181" t="s">
        <v>2066</v>
      </c>
      <c r="E1116" s="181" t="s">
        <v>541</v>
      </c>
      <c r="F1116" s="181" t="s">
        <v>542</v>
      </c>
      <c r="G1116" s="181" t="s">
        <v>2292</v>
      </c>
      <c r="H1116" s="181" t="s">
        <v>279</v>
      </c>
      <c r="I1116" s="181" t="s">
        <v>241</v>
      </c>
      <c r="J1116" s="184" t="n">
        <v>39980</v>
      </c>
      <c r="K1116" s="184" t="n">
        <v>14970</v>
      </c>
      <c r="L1116" s="185" t="n">
        <v>14</v>
      </c>
      <c r="M1116" s="173" t="n">
        <v>25010</v>
      </c>
      <c r="N1116" s="184" t="n">
        <v>21508.6</v>
      </c>
      <c r="O1116" s="184" t="s">
        <v>2631</v>
      </c>
      <c r="P1116" s="187" t="n">
        <v>45951</v>
      </c>
      <c r="Q1116" s="188" t="n">
        <v>0.957314814814815</v>
      </c>
    </row>
    <row r="1117" customFormat="false" ht="46.25" hidden="false" customHeight="false" outlineLevel="0" collapsed="false">
      <c r="A1117" s="181" t="s">
        <v>2632</v>
      </c>
      <c r="B1117" s="182" t="n">
        <v>2537</v>
      </c>
      <c r="C1117" s="183" t="n">
        <v>10328</v>
      </c>
      <c r="D1117" s="181" t="s">
        <v>2066</v>
      </c>
      <c r="E1117" s="181" t="s">
        <v>545</v>
      </c>
      <c r="F1117" s="181" t="s">
        <v>546</v>
      </c>
      <c r="G1117" s="181" t="s">
        <v>2292</v>
      </c>
      <c r="H1117" s="181" t="s">
        <v>279</v>
      </c>
      <c r="I1117" s="181" t="s">
        <v>241</v>
      </c>
      <c r="J1117" s="184" t="n">
        <v>40600</v>
      </c>
      <c r="K1117" s="184" t="n">
        <v>16140</v>
      </c>
      <c r="L1117" s="185" t="n">
        <v>8</v>
      </c>
      <c r="M1117" s="173" t="n">
        <v>24460</v>
      </c>
      <c r="N1117" s="184" t="n">
        <v>22503.2</v>
      </c>
      <c r="O1117" s="184" t="s">
        <v>2633</v>
      </c>
      <c r="P1117" s="187" t="n">
        <v>45951</v>
      </c>
      <c r="Q1117" s="188" t="n">
        <v>0.995856481481482</v>
      </c>
    </row>
    <row r="1118" customFormat="false" ht="46.25" hidden="false" customHeight="false" outlineLevel="0" collapsed="false">
      <c r="A1118" s="181" t="s">
        <v>2634</v>
      </c>
      <c r="B1118" s="182" t="n">
        <v>2540</v>
      </c>
      <c r="C1118" s="183" t="n">
        <v>10329</v>
      </c>
      <c r="D1118" s="181" t="s">
        <v>2066</v>
      </c>
      <c r="E1118" s="181" t="s">
        <v>537</v>
      </c>
      <c r="F1118" s="181" t="s">
        <v>538</v>
      </c>
      <c r="G1118" s="181" t="s">
        <v>2292</v>
      </c>
      <c r="H1118" s="181" t="s">
        <v>279</v>
      </c>
      <c r="I1118" s="181" t="s">
        <v>241</v>
      </c>
      <c r="J1118" s="184" t="n">
        <v>35810</v>
      </c>
      <c r="K1118" s="184" t="n">
        <v>13990</v>
      </c>
      <c r="L1118" s="185" t="n">
        <v>9</v>
      </c>
      <c r="M1118" s="173" t="n">
        <v>21820</v>
      </c>
      <c r="N1118" s="184" t="n">
        <v>19856.2</v>
      </c>
      <c r="O1118" s="184" t="s">
        <v>2635</v>
      </c>
      <c r="P1118" s="187" t="n">
        <v>45952</v>
      </c>
      <c r="Q1118" s="188" t="n">
        <v>0.283078703703704</v>
      </c>
    </row>
    <row r="1119" customFormat="false" ht="46.25" hidden="false" customHeight="false" outlineLevel="0" collapsed="false">
      <c r="A1119" s="181" t="s">
        <v>2636</v>
      </c>
      <c r="B1119" s="182" t="n">
        <v>2541</v>
      </c>
      <c r="C1119" s="183" t="n">
        <v>10343</v>
      </c>
      <c r="D1119" s="181" t="s">
        <v>2066</v>
      </c>
      <c r="E1119" s="181" t="s">
        <v>533</v>
      </c>
      <c r="F1119" s="181" t="s">
        <v>534</v>
      </c>
      <c r="G1119" s="181" t="s">
        <v>2292</v>
      </c>
      <c r="H1119" s="181" t="s">
        <v>279</v>
      </c>
      <c r="I1119" s="181" t="s">
        <v>241</v>
      </c>
      <c r="J1119" s="184" t="n">
        <v>38400</v>
      </c>
      <c r="K1119" s="184" t="n">
        <v>14640</v>
      </c>
      <c r="L1119" s="185" t="n">
        <v>10</v>
      </c>
      <c r="M1119" s="173" t="n">
        <v>23760</v>
      </c>
      <c r="N1119" s="184" t="n">
        <v>21384</v>
      </c>
      <c r="O1119" s="184" t="s">
        <v>2637</v>
      </c>
      <c r="P1119" s="187" t="n">
        <v>45952</v>
      </c>
      <c r="Q1119" s="188" t="n">
        <v>0.335891203703704</v>
      </c>
    </row>
    <row r="1120" customFormat="false" ht="46.25" hidden="false" customHeight="false" outlineLevel="0" collapsed="false">
      <c r="A1120" s="181" t="s">
        <v>2638</v>
      </c>
      <c r="B1120" s="182" t="n">
        <v>2542</v>
      </c>
      <c r="C1120" s="183" t="n">
        <v>10335</v>
      </c>
      <c r="D1120" s="181" t="s">
        <v>2066</v>
      </c>
      <c r="E1120" s="181" t="s">
        <v>282</v>
      </c>
      <c r="F1120" s="181" t="s">
        <v>283</v>
      </c>
      <c r="G1120" s="181" t="s">
        <v>2292</v>
      </c>
      <c r="H1120" s="181" t="s">
        <v>279</v>
      </c>
      <c r="I1120" s="181" t="s">
        <v>241</v>
      </c>
      <c r="J1120" s="184" t="n">
        <v>39480</v>
      </c>
      <c r="K1120" s="184" t="n">
        <v>15210</v>
      </c>
      <c r="L1120" s="185" t="n">
        <v>17</v>
      </c>
      <c r="M1120" s="173" t="n">
        <v>24270</v>
      </c>
      <c r="N1120" s="184" t="n">
        <v>20144.1</v>
      </c>
      <c r="O1120" s="184" t="s">
        <v>2639</v>
      </c>
      <c r="P1120" s="187" t="n">
        <v>45952</v>
      </c>
      <c r="Q1120" s="188" t="n">
        <v>0.367303240740741</v>
      </c>
    </row>
    <row r="1121" customFormat="false" ht="46.25" hidden="false" customHeight="false" outlineLevel="0" collapsed="false">
      <c r="A1121" s="181" t="s">
        <v>2640</v>
      </c>
      <c r="B1121" s="182" t="n">
        <v>2544</v>
      </c>
      <c r="C1121" s="183" t="n">
        <v>10338</v>
      </c>
      <c r="D1121" s="181" t="s">
        <v>2066</v>
      </c>
      <c r="E1121" s="181" t="s">
        <v>1019</v>
      </c>
      <c r="F1121" s="181" t="s">
        <v>1020</v>
      </c>
      <c r="G1121" s="181" t="s">
        <v>2292</v>
      </c>
      <c r="H1121" s="181" t="s">
        <v>279</v>
      </c>
      <c r="I1121" s="181" t="s">
        <v>241</v>
      </c>
      <c r="J1121" s="184" t="n">
        <v>42400</v>
      </c>
      <c r="K1121" s="184" t="n">
        <v>17160</v>
      </c>
      <c r="L1121" s="185" t="n">
        <v>16</v>
      </c>
      <c r="M1121" s="173" t="n">
        <v>25240</v>
      </c>
      <c r="N1121" s="184" t="n">
        <v>21201.6</v>
      </c>
      <c r="O1121" s="184" t="s">
        <v>2641</v>
      </c>
      <c r="P1121" s="187" t="n">
        <v>45952</v>
      </c>
      <c r="Q1121" s="188" t="n">
        <v>0.42568287037037</v>
      </c>
    </row>
    <row r="1122" customFormat="false" ht="46.25" hidden="false" customHeight="false" outlineLevel="0" collapsed="false">
      <c r="A1122" s="181" t="s">
        <v>2642</v>
      </c>
      <c r="B1122" s="182" t="n">
        <v>2545</v>
      </c>
      <c r="C1122" s="183" t="n">
        <v>10348</v>
      </c>
      <c r="D1122" s="181" t="s">
        <v>2066</v>
      </c>
      <c r="E1122" s="181" t="s">
        <v>1023</v>
      </c>
      <c r="F1122" s="181" t="s">
        <v>1024</v>
      </c>
      <c r="G1122" s="181" t="s">
        <v>2292</v>
      </c>
      <c r="H1122" s="181" t="s">
        <v>279</v>
      </c>
      <c r="I1122" s="181" t="s">
        <v>241</v>
      </c>
      <c r="J1122" s="184" t="n">
        <v>36500</v>
      </c>
      <c r="K1122" s="184" t="n">
        <v>14750</v>
      </c>
      <c r="L1122" s="185" t="n">
        <v>6</v>
      </c>
      <c r="M1122" s="173" t="n">
        <v>21750</v>
      </c>
      <c r="N1122" s="184" t="n">
        <v>20445</v>
      </c>
      <c r="O1122" s="184" t="s">
        <v>2643</v>
      </c>
      <c r="P1122" s="187" t="n">
        <v>45952</v>
      </c>
      <c r="Q1122" s="188" t="n">
        <v>0.544189814814815</v>
      </c>
    </row>
    <row r="1123" customFormat="false" ht="46.25" hidden="false" customHeight="false" outlineLevel="0" collapsed="false">
      <c r="A1123" s="181" t="s">
        <v>2644</v>
      </c>
      <c r="B1123" s="182" t="n">
        <v>2546</v>
      </c>
      <c r="C1123" s="183" t="n">
        <v>10350</v>
      </c>
      <c r="D1123" s="181" t="s">
        <v>2066</v>
      </c>
      <c r="E1123" s="181" t="s">
        <v>1027</v>
      </c>
      <c r="F1123" s="181" t="s">
        <v>1028</v>
      </c>
      <c r="G1123" s="181" t="s">
        <v>2292</v>
      </c>
      <c r="H1123" s="181" t="s">
        <v>279</v>
      </c>
      <c r="I1123" s="181" t="s">
        <v>241</v>
      </c>
      <c r="J1123" s="184" t="n">
        <v>38610</v>
      </c>
      <c r="K1123" s="184" t="n">
        <v>15040</v>
      </c>
      <c r="L1123" s="185" t="n">
        <v>14</v>
      </c>
      <c r="M1123" s="173" t="n">
        <v>23570</v>
      </c>
      <c r="N1123" s="184" t="n">
        <v>20270.2</v>
      </c>
      <c r="O1123" s="184" t="s">
        <v>2645</v>
      </c>
      <c r="P1123" s="187" t="n">
        <v>45952</v>
      </c>
      <c r="Q1123" s="188" t="n">
        <v>0.548402777777778</v>
      </c>
    </row>
    <row r="1124" customFormat="false" ht="46.25" hidden="false" customHeight="false" outlineLevel="0" collapsed="false">
      <c r="A1124" s="181" t="s">
        <v>2646</v>
      </c>
      <c r="B1124" s="182" t="n">
        <v>2548</v>
      </c>
      <c r="C1124" s="183" t="n">
        <v>10351</v>
      </c>
      <c r="D1124" s="181" t="s">
        <v>2066</v>
      </c>
      <c r="E1124" s="181" t="s">
        <v>409</v>
      </c>
      <c r="F1124" s="181" t="s">
        <v>410</v>
      </c>
      <c r="G1124" s="181" t="s">
        <v>2292</v>
      </c>
      <c r="H1124" s="181" t="s">
        <v>279</v>
      </c>
      <c r="I1124" s="181" t="s">
        <v>241</v>
      </c>
      <c r="J1124" s="184" t="n">
        <v>65670</v>
      </c>
      <c r="K1124" s="184" t="n">
        <v>24580</v>
      </c>
      <c r="L1124" s="185" t="n">
        <v>25</v>
      </c>
      <c r="M1124" s="173" t="n">
        <v>41090</v>
      </c>
      <c r="N1124" s="184" t="n">
        <v>30817.5</v>
      </c>
      <c r="O1124" s="184" t="s">
        <v>2647</v>
      </c>
      <c r="P1124" s="187" t="n">
        <v>45952</v>
      </c>
      <c r="Q1124" s="188" t="n">
        <v>0.622604166666667</v>
      </c>
    </row>
    <row r="1125" customFormat="false" ht="46.25" hidden="false" customHeight="false" outlineLevel="0" collapsed="false">
      <c r="A1125" s="181" t="s">
        <v>2648</v>
      </c>
      <c r="B1125" s="182" t="n">
        <v>2550</v>
      </c>
      <c r="C1125" s="183" t="n">
        <v>10364</v>
      </c>
      <c r="D1125" s="181" t="s">
        <v>2066</v>
      </c>
      <c r="E1125" s="181" t="s">
        <v>2351</v>
      </c>
      <c r="F1125" s="181" t="s">
        <v>2352</v>
      </c>
      <c r="G1125" s="181" t="s">
        <v>2292</v>
      </c>
      <c r="H1125" s="181" t="s">
        <v>279</v>
      </c>
      <c r="I1125" s="181" t="s">
        <v>241</v>
      </c>
      <c r="J1125" s="184" t="n">
        <v>47450</v>
      </c>
      <c r="K1125" s="184" t="n">
        <v>17540</v>
      </c>
      <c r="L1125" s="185" t="n">
        <v>18</v>
      </c>
      <c r="M1125" s="173" t="n">
        <v>29910</v>
      </c>
      <c r="N1125" s="184" t="n">
        <v>24526.2</v>
      </c>
      <c r="O1125" s="184" t="s">
        <v>2649</v>
      </c>
      <c r="P1125" s="187" t="n">
        <v>45952</v>
      </c>
      <c r="Q1125" s="188" t="n">
        <v>0.631030092592593</v>
      </c>
    </row>
    <row r="1126" customFormat="false" ht="35.05" hidden="false" customHeight="false" outlineLevel="0" collapsed="false">
      <c r="A1126" s="181" t="s">
        <v>2650</v>
      </c>
      <c r="B1126" s="182" t="n">
        <v>2534</v>
      </c>
      <c r="C1126" s="183" t="n">
        <v>2</v>
      </c>
      <c r="D1126" s="181" t="s">
        <v>2005</v>
      </c>
      <c r="E1126" s="181" t="s">
        <v>300</v>
      </c>
      <c r="F1126" s="181" t="s">
        <v>301</v>
      </c>
      <c r="G1126" s="181" t="s">
        <v>2049</v>
      </c>
      <c r="H1126" s="181" t="s">
        <v>158</v>
      </c>
      <c r="I1126" s="181" t="s">
        <v>240</v>
      </c>
      <c r="J1126" s="184" t="n">
        <v>27570</v>
      </c>
      <c r="K1126" s="184" t="n">
        <v>21520</v>
      </c>
      <c r="L1126" s="185" t="n">
        <v>12</v>
      </c>
      <c r="M1126" s="173" t="n">
        <v>6050</v>
      </c>
      <c r="N1126" s="184" t="n">
        <v>5324</v>
      </c>
      <c r="O1126" s="184" t="s">
        <v>2651</v>
      </c>
      <c r="P1126" s="187" t="n">
        <v>45951</v>
      </c>
      <c r="Q1126" s="188" t="n">
        <v>0.922858796296296</v>
      </c>
    </row>
    <row r="1127" customFormat="false" ht="46.25" hidden="false" customHeight="false" outlineLevel="0" collapsed="false">
      <c r="A1127" s="181" t="s">
        <v>2652</v>
      </c>
      <c r="B1127" s="182" t="n">
        <v>2551</v>
      </c>
      <c r="C1127" s="183" t="n">
        <v>10361</v>
      </c>
      <c r="D1127" s="181" t="s">
        <v>2066</v>
      </c>
      <c r="E1127" s="181" t="s">
        <v>367</v>
      </c>
      <c r="F1127" s="181" t="s">
        <v>368</v>
      </c>
      <c r="G1127" s="181" t="s">
        <v>2292</v>
      </c>
      <c r="H1127" s="181" t="s">
        <v>279</v>
      </c>
      <c r="I1127" s="181" t="s">
        <v>241</v>
      </c>
      <c r="J1127" s="184" t="n">
        <v>51140</v>
      </c>
      <c r="K1127" s="184" t="n">
        <v>18760</v>
      </c>
      <c r="L1127" s="185" t="n">
        <v>12</v>
      </c>
      <c r="M1127" s="173" t="n">
        <v>32380</v>
      </c>
      <c r="N1127" s="184" t="n">
        <v>28494.4</v>
      </c>
      <c r="O1127" s="184" t="s">
        <v>2653</v>
      </c>
      <c r="P1127" s="187" t="n">
        <v>45952</v>
      </c>
      <c r="Q1127" s="188" t="n">
        <v>0.699166666666667</v>
      </c>
    </row>
    <row r="1128" customFormat="false" ht="46.25" hidden="false" customHeight="false" outlineLevel="0" collapsed="false">
      <c r="A1128" s="181" t="s">
        <v>2654</v>
      </c>
      <c r="B1128" s="182" t="n">
        <v>2554</v>
      </c>
      <c r="C1128" s="183" t="n">
        <v>10401</v>
      </c>
      <c r="D1128" s="181" t="s">
        <v>2066</v>
      </c>
      <c r="E1128" s="181" t="s">
        <v>300</v>
      </c>
      <c r="F1128" s="181" t="s">
        <v>301</v>
      </c>
      <c r="G1128" s="181" t="s">
        <v>2292</v>
      </c>
      <c r="H1128" s="181" t="s">
        <v>279</v>
      </c>
      <c r="I1128" s="181" t="s">
        <v>241</v>
      </c>
      <c r="J1128" s="184" t="n">
        <v>62070</v>
      </c>
      <c r="K1128" s="184" t="n">
        <v>21360</v>
      </c>
      <c r="L1128" s="185" t="n">
        <v>7</v>
      </c>
      <c r="M1128" s="173" t="n">
        <v>40710</v>
      </c>
      <c r="N1128" s="184" t="n">
        <v>37860.3</v>
      </c>
      <c r="O1128" s="184" t="s">
        <v>2655</v>
      </c>
      <c r="P1128" s="187" t="n">
        <v>45952</v>
      </c>
      <c r="Q1128" s="188" t="n">
        <v>0.804456018518519</v>
      </c>
    </row>
    <row r="1129" customFormat="false" ht="46.25" hidden="false" customHeight="false" outlineLevel="0" collapsed="false">
      <c r="A1129" s="181" t="s">
        <v>2656</v>
      </c>
      <c r="B1129" s="182" t="n">
        <v>2555</v>
      </c>
      <c r="C1129" s="183" t="n">
        <v>10384</v>
      </c>
      <c r="D1129" s="181" t="s">
        <v>2066</v>
      </c>
      <c r="E1129" s="181" t="s">
        <v>373</v>
      </c>
      <c r="F1129" s="181" t="s">
        <v>374</v>
      </c>
      <c r="G1129" s="181" t="s">
        <v>2292</v>
      </c>
      <c r="H1129" s="181" t="s">
        <v>279</v>
      </c>
      <c r="I1129" s="181" t="s">
        <v>241</v>
      </c>
      <c r="J1129" s="184" t="n">
        <v>42030</v>
      </c>
      <c r="K1129" s="184" t="n">
        <v>14450</v>
      </c>
      <c r="L1129" s="185" t="n">
        <v>19</v>
      </c>
      <c r="M1129" s="173" t="n">
        <v>27580</v>
      </c>
      <c r="N1129" s="184" t="n">
        <v>22339.8</v>
      </c>
      <c r="O1129" s="184" t="s">
        <v>2657</v>
      </c>
      <c r="P1129" s="187" t="n">
        <v>45952</v>
      </c>
      <c r="Q1129" s="188" t="n">
        <v>0.80650462962963</v>
      </c>
    </row>
    <row r="1130" customFormat="false" ht="35.05" hidden="false" customHeight="false" outlineLevel="0" collapsed="false">
      <c r="A1130" s="181" t="s">
        <v>2658</v>
      </c>
      <c r="B1130" s="182" t="n">
        <v>2556</v>
      </c>
      <c r="C1130" s="183" t="n">
        <v>1</v>
      </c>
      <c r="D1130" s="181" t="s">
        <v>2005</v>
      </c>
      <c r="E1130" s="181" t="s">
        <v>288</v>
      </c>
      <c r="F1130" s="181" t="s">
        <v>289</v>
      </c>
      <c r="G1130" s="181" t="s">
        <v>2049</v>
      </c>
      <c r="H1130" s="181" t="s">
        <v>279</v>
      </c>
      <c r="I1130" s="181" t="s">
        <v>240</v>
      </c>
      <c r="J1130" s="184" t="n">
        <v>38420</v>
      </c>
      <c r="K1130" s="184" t="n">
        <v>14750</v>
      </c>
      <c r="L1130" s="185" t="n">
        <v>13</v>
      </c>
      <c r="M1130" s="173" t="n">
        <v>23670</v>
      </c>
      <c r="N1130" s="184" t="n">
        <v>20592.9</v>
      </c>
      <c r="O1130" s="184" t="s">
        <v>2659</v>
      </c>
      <c r="P1130" s="187" t="n">
        <v>45952</v>
      </c>
      <c r="Q1130" s="188" t="n">
        <v>0.819988425925926</v>
      </c>
    </row>
    <row r="1131" customFormat="false" ht="46.25" hidden="false" customHeight="false" outlineLevel="0" collapsed="false">
      <c r="A1131" s="181" t="s">
        <v>2660</v>
      </c>
      <c r="B1131" s="182" t="n">
        <v>2557</v>
      </c>
      <c r="C1131" s="183" t="n">
        <v>10371</v>
      </c>
      <c r="D1131" s="181" t="s">
        <v>2066</v>
      </c>
      <c r="E1131" s="181" t="s">
        <v>435</v>
      </c>
      <c r="F1131" s="181" t="s">
        <v>436</v>
      </c>
      <c r="G1131" s="181" t="s">
        <v>2292</v>
      </c>
      <c r="H1131" s="181" t="s">
        <v>279</v>
      </c>
      <c r="I1131" s="181" t="s">
        <v>241</v>
      </c>
      <c r="J1131" s="184" t="n">
        <v>40550</v>
      </c>
      <c r="K1131" s="184" t="n">
        <v>16210</v>
      </c>
      <c r="L1131" s="185" t="n">
        <v>11</v>
      </c>
      <c r="M1131" s="173" t="n">
        <v>24340</v>
      </c>
      <c r="N1131" s="184" t="n">
        <v>21662.6</v>
      </c>
      <c r="O1131" s="184" t="s">
        <v>2661</v>
      </c>
      <c r="P1131" s="187" t="n">
        <v>45952</v>
      </c>
      <c r="Q1131" s="188" t="n">
        <v>0.865324074074074</v>
      </c>
    </row>
    <row r="1132" customFormat="false" ht="35.05" hidden="false" customHeight="false" outlineLevel="0" collapsed="false">
      <c r="A1132" s="181" t="s">
        <v>2662</v>
      </c>
      <c r="B1132" s="182" t="n">
        <v>2558</v>
      </c>
      <c r="C1132" s="183" t="n">
        <v>2</v>
      </c>
      <c r="D1132" s="181" t="s">
        <v>2005</v>
      </c>
      <c r="E1132" s="181" t="s">
        <v>332</v>
      </c>
      <c r="F1132" s="181" t="s">
        <v>333</v>
      </c>
      <c r="G1132" s="181" t="s">
        <v>2006</v>
      </c>
      <c r="H1132" s="181" t="s">
        <v>279</v>
      </c>
      <c r="I1132" s="181" t="s">
        <v>240</v>
      </c>
      <c r="J1132" s="184" t="n">
        <v>39860</v>
      </c>
      <c r="K1132" s="184" t="n">
        <v>14870</v>
      </c>
      <c r="L1132" s="185" t="n">
        <v>15</v>
      </c>
      <c r="M1132" s="173" t="n">
        <v>24990</v>
      </c>
      <c r="N1132" s="184" t="n">
        <v>21241.5</v>
      </c>
      <c r="O1132" s="184" t="s">
        <v>2663</v>
      </c>
      <c r="P1132" s="187" t="n">
        <v>45952</v>
      </c>
      <c r="Q1132" s="188" t="n">
        <v>0.895532407407407</v>
      </c>
    </row>
    <row r="1133" customFormat="false" ht="46.25" hidden="false" customHeight="false" outlineLevel="0" collapsed="false">
      <c r="A1133" s="181" t="s">
        <v>2664</v>
      </c>
      <c r="B1133" s="182" t="n">
        <v>2562</v>
      </c>
      <c r="C1133" s="183" t="n">
        <v>10386</v>
      </c>
      <c r="D1133" s="181" t="s">
        <v>2066</v>
      </c>
      <c r="E1133" s="181" t="s">
        <v>399</v>
      </c>
      <c r="F1133" s="181" t="s">
        <v>400</v>
      </c>
      <c r="G1133" s="181" t="s">
        <v>2292</v>
      </c>
      <c r="H1133" s="181" t="s">
        <v>279</v>
      </c>
      <c r="I1133" s="181" t="s">
        <v>241</v>
      </c>
      <c r="J1133" s="184" t="n">
        <v>52800</v>
      </c>
      <c r="K1133" s="184" t="n">
        <v>19540</v>
      </c>
      <c r="L1133" s="185" t="n">
        <v>5</v>
      </c>
      <c r="M1133" s="173" t="n">
        <v>33260</v>
      </c>
      <c r="N1133" s="184" t="n">
        <v>31597</v>
      </c>
      <c r="O1133" s="184" t="s">
        <v>2665</v>
      </c>
      <c r="P1133" s="187" t="n">
        <v>45952</v>
      </c>
      <c r="Q1133" s="188" t="n">
        <v>0.897083333333333</v>
      </c>
    </row>
    <row r="1134" customFormat="false" ht="46.25" hidden="false" customHeight="false" outlineLevel="0" collapsed="false">
      <c r="A1134" s="181" t="s">
        <v>2666</v>
      </c>
      <c r="B1134" s="182" t="n">
        <v>2563</v>
      </c>
      <c r="C1134" s="183" t="n">
        <v>10388</v>
      </c>
      <c r="D1134" s="181" t="s">
        <v>2066</v>
      </c>
      <c r="E1134" s="181" t="s">
        <v>308</v>
      </c>
      <c r="F1134" s="181" t="s">
        <v>309</v>
      </c>
      <c r="G1134" s="181" t="s">
        <v>2292</v>
      </c>
      <c r="H1134" s="181" t="s">
        <v>279</v>
      </c>
      <c r="I1134" s="181" t="s">
        <v>241</v>
      </c>
      <c r="J1134" s="184" t="n">
        <v>64590</v>
      </c>
      <c r="K1134" s="184" t="n">
        <v>24190</v>
      </c>
      <c r="L1134" s="185" t="n">
        <v>5</v>
      </c>
      <c r="M1134" s="173" t="n">
        <v>40400</v>
      </c>
      <c r="N1134" s="184" t="n">
        <v>38380</v>
      </c>
      <c r="O1134" s="184" t="s">
        <v>2667</v>
      </c>
      <c r="P1134" s="187" t="n">
        <v>45952</v>
      </c>
      <c r="Q1134" s="188" t="n">
        <v>0.931770833333333</v>
      </c>
    </row>
    <row r="1135" customFormat="false" ht="46.25" hidden="false" customHeight="false" outlineLevel="0" collapsed="false">
      <c r="A1135" s="181" t="s">
        <v>2668</v>
      </c>
      <c r="B1135" s="182" t="n">
        <v>2564</v>
      </c>
      <c r="C1135" s="183" t="n">
        <v>10389</v>
      </c>
      <c r="D1135" s="181" t="s">
        <v>2066</v>
      </c>
      <c r="E1135" s="181" t="s">
        <v>304</v>
      </c>
      <c r="F1135" s="181" t="s">
        <v>305</v>
      </c>
      <c r="G1135" s="181" t="s">
        <v>2292</v>
      </c>
      <c r="H1135" s="181" t="s">
        <v>279</v>
      </c>
      <c r="I1135" s="181" t="s">
        <v>241</v>
      </c>
      <c r="J1135" s="184" t="n">
        <v>38780</v>
      </c>
      <c r="K1135" s="184" t="n">
        <v>15030</v>
      </c>
      <c r="L1135" s="185" t="n">
        <v>13</v>
      </c>
      <c r="M1135" s="173" t="n">
        <v>23750</v>
      </c>
      <c r="N1135" s="184" t="n">
        <v>20662.5</v>
      </c>
      <c r="O1135" s="184" t="s">
        <v>2669</v>
      </c>
      <c r="P1135" s="187" t="n">
        <v>45952</v>
      </c>
      <c r="Q1135" s="188" t="n">
        <v>0.933136574074074</v>
      </c>
    </row>
    <row r="1136" customFormat="false" ht="35.05" hidden="false" customHeight="false" outlineLevel="0" collapsed="false">
      <c r="A1136" s="181" t="s">
        <v>2670</v>
      </c>
      <c r="B1136" s="182" t="n">
        <v>2559</v>
      </c>
      <c r="C1136" s="183" t="n">
        <v>3</v>
      </c>
      <c r="D1136" s="181" t="s">
        <v>2005</v>
      </c>
      <c r="E1136" s="181" t="s">
        <v>292</v>
      </c>
      <c r="F1136" s="181" t="s">
        <v>293</v>
      </c>
      <c r="G1136" s="181" t="s">
        <v>2006</v>
      </c>
      <c r="H1136" s="181" t="s">
        <v>279</v>
      </c>
      <c r="I1136" s="181" t="s">
        <v>240</v>
      </c>
      <c r="J1136" s="184" t="n">
        <v>36500</v>
      </c>
      <c r="K1136" s="184" t="n">
        <v>13990</v>
      </c>
      <c r="L1136" s="185" t="n">
        <v>12</v>
      </c>
      <c r="M1136" s="173" t="n">
        <v>22510</v>
      </c>
      <c r="N1136" s="184" t="n">
        <v>19808.8</v>
      </c>
      <c r="O1136" s="184" t="s">
        <v>2671</v>
      </c>
      <c r="P1136" s="187" t="n">
        <v>45952</v>
      </c>
      <c r="Q1136" s="188" t="n">
        <v>0.945219907407407</v>
      </c>
    </row>
    <row r="1137" customFormat="false" ht="35.05" hidden="false" customHeight="false" outlineLevel="0" collapsed="false">
      <c r="A1137" s="181" t="s">
        <v>2672</v>
      </c>
      <c r="B1137" s="182" t="n">
        <v>2565</v>
      </c>
      <c r="C1137" s="183" t="n">
        <v>4</v>
      </c>
      <c r="D1137" s="181" t="s">
        <v>2005</v>
      </c>
      <c r="E1137" s="181" t="s">
        <v>529</v>
      </c>
      <c r="F1137" s="181" t="s">
        <v>530</v>
      </c>
      <c r="G1137" s="181" t="s">
        <v>2006</v>
      </c>
      <c r="H1137" s="181" t="s">
        <v>279</v>
      </c>
      <c r="I1137" s="181" t="s">
        <v>240</v>
      </c>
      <c r="J1137" s="184" t="n">
        <v>36950</v>
      </c>
      <c r="K1137" s="184" t="n">
        <v>15050</v>
      </c>
      <c r="L1137" s="185" t="n">
        <v>22</v>
      </c>
      <c r="M1137" s="173" t="n">
        <v>21900</v>
      </c>
      <c r="N1137" s="184" t="n">
        <v>17082</v>
      </c>
      <c r="O1137" s="184" t="s">
        <v>2673</v>
      </c>
      <c r="P1137" s="187" t="n">
        <v>45952</v>
      </c>
      <c r="Q1137" s="188" t="n">
        <v>0.953657407407408</v>
      </c>
    </row>
    <row r="1138" customFormat="false" ht="46.25" hidden="false" customHeight="false" outlineLevel="0" collapsed="false">
      <c r="A1138" s="181" t="s">
        <v>2674</v>
      </c>
      <c r="B1138" s="182" t="n">
        <v>2560</v>
      </c>
      <c r="C1138" s="183" t="n">
        <v>10387</v>
      </c>
      <c r="D1138" s="181" t="s">
        <v>2066</v>
      </c>
      <c r="E1138" s="181" t="s">
        <v>582</v>
      </c>
      <c r="F1138" s="181" t="s">
        <v>583</v>
      </c>
      <c r="G1138" s="181" t="s">
        <v>2292</v>
      </c>
      <c r="H1138" s="181" t="s">
        <v>279</v>
      </c>
      <c r="I1138" s="181" t="s">
        <v>241</v>
      </c>
      <c r="J1138" s="184" t="n">
        <v>43350</v>
      </c>
      <c r="K1138" s="184" t="n">
        <v>14990</v>
      </c>
      <c r="L1138" s="185" t="n">
        <v>16</v>
      </c>
      <c r="M1138" s="173" t="n">
        <v>28360</v>
      </c>
      <c r="N1138" s="184" t="n">
        <v>23822.4</v>
      </c>
      <c r="O1138" s="184" t="s">
        <v>2675</v>
      </c>
      <c r="P1138" s="187" t="n">
        <v>45952</v>
      </c>
      <c r="Q1138" s="188" t="n">
        <v>0.978854166666667</v>
      </c>
    </row>
    <row r="1139" customFormat="false" ht="35.05" hidden="false" customHeight="false" outlineLevel="0" collapsed="false">
      <c r="A1139" s="181" t="s">
        <v>2676</v>
      </c>
      <c r="B1139" s="182" t="n">
        <v>2566</v>
      </c>
      <c r="C1139" s="183" t="n">
        <v>5</v>
      </c>
      <c r="D1139" s="181" t="s">
        <v>2005</v>
      </c>
      <c r="E1139" s="181" t="s">
        <v>391</v>
      </c>
      <c r="F1139" s="181" t="s">
        <v>392</v>
      </c>
      <c r="G1139" s="181" t="s">
        <v>2006</v>
      </c>
      <c r="H1139" s="181" t="s">
        <v>279</v>
      </c>
      <c r="I1139" s="181" t="s">
        <v>240</v>
      </c>
      <c r="J1139" s="184" t="n">
        <v>36060</v>
      </c>
      <c r="K1139" s="184" t="n">
        <v>14640</v>
      </c>
      <c r="L1139" s="185" t="n">
        <v>29</v>
      </c>
      <c r="M1139" s="173" t="n">
        <v>21420</v>
      </c>
      <c r="N1139" s="184" t="n">
        <v>15208.2</v>
      </c>
      <c r="O1139" s="184" t="s">
        <v>2677</v>
      </c>
      <c r="P1139" s="187" t="n">
        <v>45953</v>
      </c>
      <c r="Q1139" s="188" t="n">
        <v>0.311122685185185</v>
      </c>
    </row>
    <row r="1140" customFormat="false" ht="46.25" hidden="false" customHeight="false" outlineLevel="0" collapsed="false">
      <c r="A1140" s="181" t="s">
        <v>2678</v>
      </c>
      <c r="B1140" s="182" t="n">
        <v>2567</v>
      </c>
      <c r="C1140" s="183" t="n">
        <v>10390</v>
      </c>
      <c r="D1140" s="181" t="s">
        <v>2066</v>
      </c>
      <c r="E1140" s="181" t="s">
        <v>576</v>
      </c>
      <c r="F1140" s="181" t="s">
        <v>577</v>
      </c>
      <c r="G1140" s="181" t="s">
        <v>2067</v>
      </c>
      <c r="H1140" s="181" t="s">
        <v>279</v>
      </c>
      <c r="I1140" s="181" t="s">
        <v>241</v>
      </c>
      <c r="J1140" s="184" t="n">
        <v>38200</v>
      </c>
      <c r="K1140" s="184" t="n">
        <v>14520</v>
      </c>
      <c r="L1140" s="185" t="n">
        <v>6</v>
      </c>
      <c r="M1140" s="173" t="n">
        <v>23680</v>
      </c>
      <c r="N1140" s="184" t="n">
        <v>22259.2</v>
      </c>
      <c r="O1140" s="184" t="s">
        <v>2679</v>
      </c>
      <c r="P1140" s="187" t="n">
        <v>45953</v>
      </c>
      <c r="Q1140" s="188" t="n">
        <v>0.344155092592593</v>
      </c>
    </row>
    <row r="1141" customFormat="false" ht="46.25" hidden="false" customHeight="false" outlineLevel="0" collapsed="false">
      <c r="A1141" s="181" t="s">
        <v>2680</v>
      </c>
      <c r="B1141" s="182" t="n">
        <v>2568</v>
      </c>
      <c r="C1141" s="183" t="n">
        <v>10391</v>
      </c>
      <c r="D1141" s="181" t="s">
        <v>2066</v>
      </c>
      <c r="E1141" s="181" t="s">
        <v>261</v>
      </c>
      <c r="F1141" s="181" t="s">
        <v>262</v>
      </c>
      <c r="G1141" s="181" t="s">
        <v>2067</v>
      </c>
      <c r="H1141" s="181" t="s">
        <v>279</v>
      </c>
      <c r="I1141" s="181" t="s">
        <v>241</v>
      </c>
      <c r="J1141" s="184" t="n">
        <v>38670</v>
      </c>
      <c r="K1141" s="184" t="n">
        <v>15160</v>
      </c>
      <c r="L1141" s="185" t="n">
        <v>14</v>
      </c>
      <c r="M1141" s="173" t="n">
        <v>23510</v>
      </c>
      <c r="N1141" s="184" t="n">
        <v>20218.6</v>
      </c>
      <c r="O1141" s="184" t="s">
        <v>2681</v>
      </c>
      <c r="P1141" s="187" t="n">
        <v>45953</v>
      </c>
      <c r="Q1141" s="188" t="n">
        <v>0.395289351851852</v>
      </c>
    </row>
    <row r="1142" customFormat="false" ht="35.05" hidden="false" customHeight="false" outlineLevel="0" collapsed="false">
      <c r="A1142" s="181" t="s">
        <v>2682</v>
      </c>
      <c r="B1142" s="182" t="n">
        <v>2569</v>
      </c>
      <c r="C1142" s="183" t="n">
        <v>6</v>
      </c>
      <c r="D1142" s="181" t="s">
        <v>2005</v>
      </c>
      <c r="E1142" s="181" t="s">
        <v>409</v>
      </c>
      <c r="F1142" s="181" t="s">
        <v>410</v>
      </c>
      <c r="G1142" s="181" t="s">
        <v>2070</v>
      </c>
      <c r="H1142" s="181" t="s">
        <v>279</v>
      </c>
      <c r="I1142" s="181" t="s">
        <v>240</v>
      </c>
      <c r="J1142" s="184" t="n">
        <v>65700</v>
      </c>
      <c r="K1142" s="184" t="n">
        <v>24510</v>
      </c>
      <c r="L1142" s="185" t="n">
        <v>16</v>
      </c>
      <c r="M1142" s="173" t="n">
        <v>41190</v>
      </c>
      <c r="N1142" s="184" t="n">
        <v>34599.6</v>
      </c>
      <c r="O1142" s="184" t="s">
        <v>2683</v>
      </c>
      <c r="P1142" s="187" t="n">
        <v>45953</v>
      </c>
      <c r="Q1142" s="188" t="n">
        <v>0.470277777777778</v>
      </c>
    </row>
    <row r="1143" customFormat="false" ht="46.25" hidden="false" customHeight="false" outlineLevel="0" collapsed="false">
      <c r="A1143" s="181" t="s">
        <v>2684</v>
      </c>
      <c r="B1143" s="182" t="n">
        <v>2570</v>
      </c>
      <c r="C1143" s="183" t="n">
        <v>10392</v>
      </c>
      <c r="D1143" s="181" t="s">
        <v>2066</v>
      </c>
      <c r="E1143" s="181" t="s">
        <v>383</v>
      </c>
      <c r="F1143" s="181" t="s">
        <v>384</v>
      </c>
      <c r="G1143" s="181" t="s">
        <v>2292</v>
      </c>
      <c r="H1143" s="181" t="s">
        <v>279</v>
      </c>
      <c r="I1143" s="181" t="s">
        <v>241</v>
      </c>
      <c r="J1143" s="184" t="n">
        <v>40890</v>
      </c>
      <c r="K1143" s="184" t="n">
        <v>14910</v>
      </c>
      <c r="L1143" s="185" t="n">
        <v>5</v>
      </c>
      <c r="M1143" s="173" t="n">
        <v>25980</v>
      </c>
      <c r="N1143" s="184" t="n">
        <v>24681</v>
      </c>
      <c r="O1143" s="184" t="s">
        <v>2685</v>
      </c>
      <c r="P1143" s="187" t="n">
        <v>45953</v>
      </c>
      <c r="Q1143" s="188" t="n">
        <v>0.477476851851852</v>
      </c>
    </row>
    <row r="1144" customFormat="false" ht="46.25" hidden="false" customHeight="false" outlineLevel="0" collapsed="false">
      <c r="A1144" s="181" t="s">
        <v>2686</v>
      </c>
      <c r="B1144" s="182" t="n">
        <v>2571</v>
      </c>
      <c r="C1144" s="183" t="n">
        <v>10393</v>
      </c>
      <c r="D1144" s="181" t="s">
        <v>2066</v>
      </c>
      <c r="E1144" s="181" t="s">
        <v>387</v>
      </c>
      <c r="F1144" s="181" t="s">
        <v>388</v>
      </c>
      <c r="G1144" s="181" t="s">
        <v>2292</v>
      </c>
      <c r="H1144" s="181" t="s">
        <v>279</v>
      </c>
      <c r="I1144" s="181" t="s">
        <v>241</v>
      </c>
      <c r="J1144" s="184" t="n">
        <v>43700</v>
      </c>
      <c r="K1144" s="184" t="n">
        <v>15110</v>
      </c>
      <c r="L1144" s="185" t="n">
        <v>9</v>
      </c>
      <c r="M1144" s="173" t="n">
        <v>28590</v>
      </c>
      <c r="N1144" s="184" t="n">
        <v>26016.9</v>
      </c>
      <c r="O1144" s="184" t="s">
        <v>2687</v>
      </c>
      <c r="P1144" s="187" t="n">
        <v>45953</v>
      </c>
      <c r="Q1144" s="188" t="n">
        <v>0.541168981481482</v>
      </c>
    </row>
    <row r="1145" customFormat="false" ht="46.25" hidden="false" customHeight="false" outlineLevel="0" collapsed="false">
      <c r="A1145" s="181" t="s">
        <v>2688</v>
      </c>
      <c r="B1145" s="182" t="n">
        <v>2572</v>
      </c>
      <c r="C1145" s="183" t="n">
        <v>10394</v>
      </c>
      <c r="D1145" s="181" t="s">
        <v>2066</v>
      </c>
      <c r="E1145" s="181" t="s">
        <v>350</v>
      </c>
      <c r="F1145" s="181" t="s">
        <v>351</v>
      </c>
      <c r="G1145" s="181" t="s">
        <v>2292</v>
      </c>
      <c r="H1145" s="181" t="s">
        <v>279</v>
      </c>
      <c r="I1145" s="181" t="s">
        <v>241</v>
      </c>
      <c r="J1145" s="184" t="n">
        <v>44290</v>
      </c>
      <c r="K1145" s="184" t="n">
        <v>15070</v>
      </c>
      <c r="L1145" s="185" t="n">
        <v>10</v>
      </c>
      <c r="M1145" s="173" t="n">
        <v>29220</v>
      </c>
      <c r="N1145" s="184" t="n">
        <v>26298</v>
      </c>
      <c r="O1145" s="184" t="s">
        <v>2689</v>
      </c>
      <c r="P1145" s="187" t="n">
        <v>45953</v>
      </c>
      <c r="Q1145" s="188" t="n">
        <v>0.556805555555556</v>
      </c>
    </row>
    <row r="1146" customFormat="false" ht="35.05" hidden="false" customHeight="false" outlineLevel="0" collapsed="false">
      <c r="A1146" s="181" t="s">
        <v>2690</v>
      </c>
      <c r="B1146" s="182" t="n">
        <v>2589</v>
      </c>
      <c r="C1146" s="183" t="n">
        <v>7</v>
      </c>
      <c r="D1146" s="181" t="s">
        <v>2005</v>
      </c>
      <c r="E1146" s="181" t="s">
        <v>1019</v>
      </c>
      <c r="F1146" s="181" t="s">
        <v>1020</v>
      </c>
      <c r="G1146" s="181" t="s">
        <v>2049</v>
      </c>
      <c r="H1146" s="181" t="s">
        <v>279</v>
      </c>
      <c r="I1146" s="181" t="s">
        <v>240</v>
      </c>
      <c r="J1146" s="184" t="n">
        <v>43490</v>
      </c>
      <c r="K1146" s="184" t="n">
        <v>17250</v>
      </c>
      <c r="L1146" s="185" t="n">
        <v>5</v>
      </c>
      <c r="M1146" s="173" t="n">
        <v>26240</v>
      </c>
      <c r="N1146" s="184" t="n">
        <v>24928</v>
      </c>
      <c r="O1146" s="184" t="s">
        <v>2691</v>
      </c>
      <c r="P1146" s="187" t="n">
        <v>45953</v>
      </c>
      <c r="Q1146" s="188" t="n">
        <v>0.590208333333333</v>
      </c>
    </row>
    <row r="1147" customFormat="false" ht="35.05" hidden="false" customHeight="false" outlineLevel="0" collapsed="false">
      <c r="A1147" s="181" t="s">
        <v>2692</v>
      </c>
      <c r="B1147" s="182" t="n">
        <v>2575</v>
      </c>
      <c r="C1147" s="183" t="n">
        <v>11</v>
      </c>
      <c r="D1147" s="181" t="s">
        <v>2005</v>
      </c>
      <c r="E1147" s="181" t="s">
        <v>288</v>
      </c>
      <c r="F1147" s="181" t="s">
        <v>289</v>
      </c>
      <c r="G1147" s="181" t="s">
        <v>2070</v>
      </c>
      <c r="H1147" s="181" t="s">
        <v>158</v>
      </c>
      <c r="I1147" s="181" t="s">
        <v>240</v>
      </c>
      <c r="J1147" s="184" t="n">
        <v>29340</v>
      </c>
      <c r="K1147" s="184" t="n">
        <v>14730</v>
      </c>
      <c r="L1147" s="185" t="n">
        <v>9</v>
      </c>
      <c r="M1147" s="173" t="n">
        <v>14610</v>
      </c>
      <c r="N1147" s="184" t="n">
        <v>13295.1</v>
      </c>
      <c r="O1147" s="184" t="s">
        <v>2693</v>
      </c>
      <c r="P1147" s="187" t="n">
        <v>45953</v>
      </c>
      <c r="Q1147" s="188" t="n">
        <v>0.675011574074074</v>
      </c>
    </row>
    <row r="1148" customFormat="false" ht="35.05" hidden="false" customHeight="false" outlineLevel="0" collapsed="false">
      <c r="A1148" s="181" t="s">
        <v>2694</v>
      </c>
      <c r="B1148" s="182" t="n">
        <v>2590</v>
      </c>
      <c r="C1148" s="183" t="n">
        <v>9</v>
      </c>
      <c r="D1148" s="181" t="s">
        <v>2005</v>
      </c>
      <c r="E1148" s="181" t="s">
        <v>1027</v>
      </c>
      <c r="F1148" s="181" t="s">
        <v>1028</v>
      </c>
      <c r="G1148" s="181" t="s">
        <v>2049</v>
      </c>
      <c r="H1148" s="181" t="s">
        <v>158</v>
      </c>
      <c r="I1148" s="181" t="s">
        <v>240</v>
      </c>
      <c r="J1148" s="184" t="n">
        <v>39370</v>
      </c>
      <c r="K1148" s="184" t="n">
        <v>15070</v>
      </c>
      <c r="L1148" s="185" t="n">
        <v>24</v>
      </c>
      <c r="M1148" s="173" t="n">
        <v>24300</v>
      </c>
      <c r="N1148" s="184" t="n">
        <v>18468</v>
      </c>
      <c r="O1148" s="184" t="s">
        <v>2695</v>
      </c>
      <c r="P1148" s="187" t="n">
        <v>45953</v>
      </c>
      <c r="Q1148" s="188" t="n">
        <v>0.980185185185185</v>
      </c>
    </row>
    <row r="1149" customFormat="false" ht="35.05" hidden="false" customHeight="false" outlineLevel="0" collapsed="false">
      <c r="A1149" s="181" t="s">
        <v>2696</v>
      </c>
      <c r="B1149" s="182" t="n">
        <v>2591</v>
      </c>
      <c r="C1149" s="183" t="n">
        <v>8</v>
      </c>
      <c r="D1149" s="181" t="s">
        <v>2005</v>
      </c>
      <c r="E1149" s="181" t="s">
        <v>1023</v>
      </c>
      <c r="F1149" s="181" t="s">
        <v>1024</v>
      </c>
      <c r="G1149" s="181" t="s">
        <v>2049</v>
      </c>
      <c r="H1149" s="181" t="s">
        <v>158</v>
      </c>
      <c r="I1149" s="181" t="s">
        <v>240</v>
      </c>
      <c r="J1149" s="184" t="n">
        <v>37650</v>
      </c>
      <c r="K1149" s="184" t="n">
        <v>14960</v>
      </c>
      <c r="L1149" s="185" t="n">
        <v>10</v>
      </c>
      <c r="M1149" s="173" t="n">
        <v>22690</v>
      </c>
      <c r="N1149" s="184" t="n">
        <v>20421</v>
      </c>
      <c r="O1149" s="184" t="s">
        <v>2697</v>
      </c>
      <c r="P1149" s="187" t="n">
        <v>45953</v>
      </c>
      <c r="Q1149" s="188" t="n">
        <v>0.988287037037037</v>
      </c>
    </row>
    <row r="1150" customFormat="false" ht="46.25" hidden="false" customHeight="false" outlineLevel="0" collapsed="false">
      <c r="A1150" s="181" t="s">
        <v>2698</v>
      </c>
      <c r="B1150" s="182" t="n">
        <v>2592</v>
      </c>
      <c r="C1150" s="183" t="n">
        <v>10402</v>
      </c>
      <c r="D1150" s="181" t="s">
        <v>2066</v>
      </c>
      <c r="E1150" s="181" t="s">
        <v>277</v>
      </c>
      <c r="F1150" s="181" t="s">
        <v>278</v>
      </c>
      <c r="G1150" s="181" t="s">
        <v>2292</v>
      </c>
      <c r="H1150" s="181" t="s">
        <v>279</v>
      </c>
      <c r="I1150" s="181" t="s">
        <v>241</v>
      </c>
      <c r="J1150" s="184" t="n">
        <v>43410</v>
      </c>
      <c r="K1150" s="184" t="n">
        <v>15310</v>
      </c>
      <c r="L1150" s="185" t="n">
        <v>21</v>
      </c>
      <c r="M1150" s="173" t="n">
        <v>28100</v>
      </c>
      <c r="N1150" s="184" t="n">
        <v>22199</v>
      </c>
      <c r="O1150" s="184" t="s">
        <v>2699</v>
      </c>
      <c r="P1150" s="187" t="n">
        <v>45953</v>
      </c>
      <c r="Q1150" s="188" t="n">
        <v>0.615347222222222</v>
      </c>
    </row>
    <row r="1151" customFormat="false" ht="46.25" hidden="false" customHeight="false" outlineLevel="0" collapsed="false">
      <c r="A1151" s="181" t="s">
        <v>2700</v>
      </c>
      <c r="B1151" s="182" t="n">
        <v>2573</v>
      </c>
      <c r="C1151" s="183" t="n">
        <v>10395</v>
      </c>
      <c r="D1151" s="181" t="s">
        <v>2066</v>
      </c>
      <c r="E1151" s="181" t="s">
        <v>346</v>
      </c>
      <c r="F1151" s="181" t="s">
        <v>347</v>
      </c>
      <c r="G1151" s="181" t="s">
        <v>2292</v>
      </c>
      <c r="H1151" s="181" t="s">
        <v>279</v>
      </c>
      <c r="I1151" s="181" t="s">
        <v>241</v>
      </c>
      <c r="J1151" s="184" t="n">
        <v>39800</v>
      </c>
      <c r="K1151" s="184" t="n">
        <v>15050</v>
      </c>
      <c r="L1151" s="185" t="n">
        <v>12</v>
      </c>
      <c r="M1151" s="173" t="n">
        <v>24750</v>
      </c>
      <c r="N1151" s="184" t="n">
        <v>21780</v>
      </c>
      <c r="O1151" s="184" t="s">
        <v>2701</v>
      </c>
      <c r="P1151" s="187" t="n">
        <v>45953</v>
      </c>
      <c r="Q1151" s="188" t="n">
        <v>0.668935185185185</v>
      </c>
    </row>
    <row r="1152" customFormat="false" ht="46.25" hidden="false" customHeight="false" outlineLevel="0" collapsed="false">
      <c r="A1152" s="181" t="s">
        <v>2702</v>
      </c>
      <c r="B1152" s="182" t="n">
        <v>2576</v>
      </c>
      <c r="C1152" s="183" t="n">
        <v>10396</v>
      </c>
      <c r="D1152" s="181" t="s">
        <v>2066</v>
      </c>
      <c r="E1152" s="181" t="s">
        <v>377</v>
      </c>
      <c r="F1152" s="181" t="s">
        <v>378</v>
      </c>
      <c r="G1152" s="181" t="s">
        <v>2292</v>
      </c>
      <c r="H1152" s="181" t="s">
        <v>279</v>
      </c>
      <c r="I1152" s="181" t="s">
        <v>241</v>
      </c>
      <c r="J1152" s="184" t="n">
        <v>44690</v>
      </c>
      <c r="K1152" s="184" t="n">
        <v>15780</v>
      </c>
      <c r="L1152" s="185" t="n">
        <v>12</v>
      </c>
      <c r="M1152" s="173" t="n">
        <v>28910</v>
      </c>
      <c r="N1152" s="184" t="n">
        <v>25440.8</v>
      </c>
      <c r="O1152" s="184" t="s">
        <v>2703</v>
      </c>
      <c r="P1152" s="187" t="n">
        <v>45953</v>
      </c>
      <c r="Q1152" s="188" t="n">
        <v>0.679849537037037</v>
      </c>
    </row>
    <row r="1153" customFormat="false" ht="46.25" hidden="false" customHeight="false" outlineLevel="0" collapsed="false">
      <c r="A1153" s="181" t="s">
        <v>2704</v>
      </c>
      <c r="B1153" s="182" t="n">
        <v>2593</v>
      </c>
      <c r="C1153" s="183" t="n">
        <v>10404</v>
      </c>
      <c r="D1153" s="181" t="s">
        <v>2066</v>
      </c>
      <c r="E1153" s="181" t="s">
        <v>439</v>
      </c>
      <c r="F1153" s="181" t="s">
        <v>440</v>
      </c>
      <c r="G1153" s="181" t="s">
        <v>2292</v>
      </c>
      <c r="H1153" s="181" t="s">
        <v>279</v>
      </c>
      <c r="I1153" s="181" t="s">
        <v>241</v>
      </c>
      <c r="J1153" s="184" t="n">
        <v>40070</v>
      </c>
      <c r="K1153" s="184" t="n">
        <v>16520</v>
      </c>
      <c r="L1153" s="185" t="n">
        <v>17</v>
      </c>
      <c r="M1153" s="173" t="n">
        <v>23550</v>
      </c>
      <c r="N1153" s="184" t="n">
        <v>19546.5</v>
      </c>
      <c r="O1153" s="184" t="s">
        <v>2705</v>
      </c>
      <c r="P1153" s="187" t="n">
        <v>45953</v>
      </c>
      <c r="Q1153" s="188" t="n">
        <v>0.688148148148148</v>
      </c>
    </row>
    <row r="1154" customFormat="false" ht="46.25" hidden="false" customHeight="false" outlineLevel="0" collapsed="false">
      <c r="A1154" s="181" t="s">
        <v>2706</v>
      </c>
      <c r="B1154" s="182" t="n">
        <v>2594</v>
      </c>
      <c r="C1154" s="183" t="n">
        <v>10405</v>
      </c>
      <c r="D1154" s="181" t="s">
        <v>2066</v>
      </c>
      <c r="E1154" s="181" t="s">
        <v>431</v>
      </c>
      <c r="F1154" s="181" t="s">
        <v>432</v>
      </c>
      <c r="G1154" s="181" t="s">
        <v>2292</v>
      </c>
      <c r="H1154" s="181" t="s">
        <v>279</v>
      </c>
      <c r="I1154" s="181" t="s">
        <v>241</v>
      </c>
      <c r="J1154" s="184" t="n">
        <v>39890</v>
      </c>
      <c r="K1154" s="184" t="n">
        <v>16580</v>
      </c>
      <c r="L1154" s="185" t="n">
        <v>23</v>
      </c>
      <c r="M1154" s="173" t="n">
        <v>23310</v>
      </c>
      <c r="N1154" s="184" t="n">
        <v>17948.7</v>
      </c>
      <c r="O1154" s="184" t="s">
        <v>2707</v>
      </c>
      <c r="P1154" s="187" t="n">
        <v>45953</v>
      </c>
      <c r="Q1154" s="188" t="n">
        <v>0.691284722222222</v>
      </c>
    </row>
    <row r="1155" customFormat="false" ht="46.25" hidden="false" customHeight="false" outlineLevel="0" collapsed="false">
      <c r="A1155" s="181" t="s">
        <v>2708</v>
      </c>
      <c r="B1155" s="182" t="n">
        <v>2580</v>
      </c>
      <c r="C1155" s="183" t="n">
        <v>10397</v>
      </c>
      <c r="D1155" s="181" t="s">
        <v>2066</v>
      </c>
      <c r="E1155" s="181" t="s">
        <v>336</v>
      </c>
      <c r="F1155" s="181" t="s">
        <v>337</v>
      </c>
      <c r="G1155" s="181" t="s">
        <v>2292</v>
      </c>
      <c r="H1155" s="181" t="s">
        <v>279</v>
      </c>
      <c r="I1155" s="181" t="s">
        <v>241</v>
      </c>
      <c r="J1155" s="184" t="n">
        <v>39390</v>
      </c>
      <c r="K1155" s="184" t="n">
        <v>14580</v>
      </c>
      <c r="L1155" s="185" t="n">
        <v>28</v>
      </c>
      <c r="M1155" s="173" t="n">
        <v>24810</v>
      </c>
      <c r="N1155" s="184" t="n">
        <v>17863.2</v>
      </c>
      <c r="O1155" s="184" t="s">
        <v>2709</v>
      </c>
      <c r="P1155" s="187" t="n">
        <v>45953</v>
      </c>
      <c r="Q1155" s="188" t="n">
        <v>0.730324074074074</v>
      </c>
    </row>
    <row r="1156" customFormat="false" ht="46.25" hidden="false" customHeight="false" outlineLevel="0" collapsed="false">
      <c r="A1156" s="181" t="s">
        <v>2710</v>
      </c>
      <c r="B1156" s="182" t="n">
        <v>2581</v>
      </c>
      <c r="C1156" s="183" t="n">
        <v>10398</v>
      </c>
      <c r="D1156" s="181" t="s">
        <v>2066</v>
      </c>
      <c r="E1156" s="181" t="s">
        <v>340</v>
      </c>
      <c r="F1156" s="181" t="s">
        <v>341</v>
      </c>
      <c r="G1156" s="181" t="s">
        <v>2292</v>
      </c>
      <c r="H1156" s="181" t="s">
        <v>279</v>
      </c>
      <c r="I1156" s="181" t="s">
        <v>241</v>
      </c>
      <c r="J1156" s="184" t="n">
        <v>39540</v>
      </c>
      <c r="K1156" s="184" t="n">
        <v>15120</v>
      </c>
      <c r="L1156" s="185" t="n">
        <v>21</v>
      </c>
      <c r="M1156" s="173" t="n">
        <v>24420</v>
      </c>
      <c r="N1156" s="184" t="n">
        <v>19291.8</v>
      </c>
      <c r="O1156" s="184" t="s">
        <v>2711</v>
      </c>
      <c r="P1156" s="187" t="n">
        <v>45953</v>
      </c>
      <c r="Q1156" s="188" t="n">
        <v>0.736122685185185</v>
      </c>
    </row>
    <row r="1157" customFormat="false" ht="35.05" hidden="false" customHeight="false" outlineLevel="0" collapsed="false">
      <c r="A1157" s="181" t="s">
        <v>2712</v>
      </c>
      <c r="B1157" s="182" t="n">
        <v>2595</v>
      </c>
      <c r="C1157" s="183" t="n">
        <v>98</v>
      </c>
      <c r="D1157" s="181" t="s">
        <v>2401</v>
      </c>
      <c r="E1157" s="181" t="s">
        <v>435</v>
      </c>
      <c r="F1157" s="181" t="s">
        <v>436</v>
      </c>
      <c r="G1157" s="181" t="s">
        <v>144</v>
      </c>
      <c r="H1157" s="181" t="s">
        <v>279</v>
      </c>
      <c r="I1157" s="181" t="s">
        <v>242</v>
      </c>
      <c r="J1157" s="184" t="n">
        <v>42440</v>
      </c>
      <c r="K1157" s="184" t="n">
        <v>16580</v>
      </c>
      <c r="L1157" s="185" t="n">
        <v>9</v>
      </c>
      <c r="M1157" s="173" t="n">
        <v>25860</v>
      </c>
      <c r="N1157" s="184" t="n">
        <v>23532.6</v>
      </c>
      <c r="O1157" s="184" t="s">
        <v>2713</v>
      </c>
      <c r="P1157" s="187" t="n">
        <v>45953</v>
      </c>
      <c r="Q1157" s="188" t="n">
        <v>0.770034722222222</v>
      </c>
    </row>
    <row r="1158" customFormat="false" ht="35.05" hidden="false" customHeight="false" outlineLevel="0" collapsed="false">
      <c r="A1158" s="181" t="s">
        <v>2714</v>
      </c>
      <c r="B1158" s="182" t="n">
        <v>2596</v>
      </c>
      <c r="C1158" s="183" t="n">
        <v>101</v>
      </c>
      <c r="D1158" s="181" t="s">
        <v>2401</v>
      </c>
      <c r="E1158" s="181" t="s">
        <v>373</v>
      </c>
      <c r="F1158" s="181" t="s">
        <v>374</v>
      </c>
      <c r="G1158" s="181" t="s">
        <v>2715</v>
      </c>
      <c r="H1158" s="181" t="s">
        <v>279</v>
      </c>
      <c r="I1158" s="181" t="s">
        <v>242</v>
      </c>
      <c r="J1158" s="184" t="n">
        <v>41720</v>
      </c>
      <c r="K1158" s="184" t="n">
        <v>14690</v>
      </c>
      <c r="L1158" s="185" t="n">
        <v>20</v>
      </c>
      <c r="M1158" s="173" t="n">
        <v>27030</v>
      </c>
      <c r="N1158" s="184" t="n">
        <v>21624</v>
      </c>
      <c r="O1158" s="184" t="s">
        <v>2716</v>
      </c>
      <c r="P1158" s="187" t="n">
        <v>45953</v>
      </c>
      <c r="Q1158" s="188" t="n">
        <v>0.802581018518519</v>
      </c>
    </row>
    <row r="1159" customFormat="false" ht="46.25" hidden="false" customHeight="false" outlineLevel="0" collapsed="false">
      <c r="A1159" s="181" t="s">
        <v>2717</v>
      </c>
      <c r="B1159" s="182" t="n">
        <v>2597</v>
      </c>
      <c r="C1159" s="183" t="n">
        <v>10406</v>
      </c>
      <c r="D1159" s="181" t="s">
        <v>2066</v>
      </c>
      <c r="E1159" s="181" t="s">
        <v>413</v>
      </c>
      <c r="F1159" s="181" t="s">
        <v>414</v>
      </c>
      <c r="G1159" s="181" t="s">
        <v>2292</v>
      </c>
      <c r="H1159" s="181" t="s">
        <v>279</v>
      </c>
      <c r="I1159" s="181" t="s">
        <v>241</v>
      </c>
      <c r="J1159" s="184" t="n">
        <v>47500</v>
      </c>
      <c r="K1159" s="184" t="n">
        <v>15870</v>
      </c>
      <c r="L1159" s="185" t="n">
        <v>12</v>
      </c>
      <c r="M1159" s="173" t="n">
        <v>31630</v>
      </c>
      <c r="N1159" s="184" t="n">
        <v>27834.4</v>
      </c>
      <c r="O1159" s="184" t="s">
        <v>2718</v>
      </c>
      <c r="P1159" s="187" t="n">
        <v>45953</v>
      </c>
      <c r="Q1159" s="188" t="n">
        <v>0.822615740740741</v>
      </c>
    </row>
    <row r="1160" customFormat="false" ht="46.25" hidden="false" customHeight="false" outlineLevel="0" collapsed="false">
      <c r="A1160" s="181" t="s">
        <v>2719</v>
      </c>
      <c r="B1160" s="182" t="n">
        <v>2599</v>
      </c>
      <c r="C1160" s="183" t="n">
        <v>10422</v>
      </c>
      <c r="D1160" s="181" t="s">
        <v>2066</v>
      </c>
      <c r="E1160" s="181" t="s">
        <v>549</v>
      </c>
      <c r="F1160" s="181" t="s">
        <v>550</v>
      </c>
      <c r="G1160" s="181" t="s">
        <v>2292</v>
      </c>
      <c r="H1160" s="181" t="s">
        <v>279</v>
      </c>
      <c r="I1160" s="181" t="s">
        <v>241</v>
      </c>
      <c r="J1160" s="184" t="n">
        <v>42510</v>
      </c>
      <c r="K1160" s="184" t="n">
        <v>15760</v>
      </c>
      <c r="L1160" s="185" t="n">
        <v>6</v>
      </c>
      <c r="M1160" s="173" t="n">
        <v>26750</v>
      </c>
      <c r="N1160" s="184" t="n">
        <v>25145</v>
      </c>
      <c r="O1160" s="184" t="s">
        <v>2720</v>
      </c>
      <c r="P1160" s="187" t="n">
        <v>45953</v>
      </c>
      <c r="Q1160" s="188" t="n">
        <v>0.850243055555556</v>
      </c>
    </row>
    <row r="1161" customFormat="false" ht="35.05" hidden="false" customHeight="false" outlineLevel="0" collapsed="false">
      <c r="A1161" s="181" t="s">
        <v>2721</v>
      </c>
      <c r="B1161" s="182" t="n">
        <v>2600</v>
      </c>
      <c r="C1161" s="183" t="n">
        <v>99</v>
      </c>
      <c r="D1161" s="181" t="s">
        <v>2401</v>
      </c>
      <c r="E1161" s="181" t="s">
        <v>533</v>
      </c>
      <c r="F1161" s="181" t="s">
        <v>534</v>
      </c>
      <c r="G1161" s="181" t="s">
        <v>2402</v>
      </c>
      <c r="H1161" s="181" t="s">
        <v>279</v>
      </c>
      <c r="I1161" s="181" t="s">
        <v>242</v>
      </c>
      <c r="J1161" s="184" t="n">
        <v>39310</v>
      </c>
      <c r="K1161" s="184" t="n">
        <v>14640</v>
      </c>
      <c r="L1161" s="185" t="n">
        <v>13</v>
      </c>
      <c r="M1161" s="173" t="n">
        <v>24670</v>
      </c>
      <c r="N1161" s="184" t="n">
        <v>21462.9</v>
      </c>
      <c r="O1161" s="184" t="s">
        <v>2722</v>
      </c>
      <c r="P1161" s="187" t="n">
        <v>45953</v>
      </c>
      <c r="Q1161" s="188" t="n">
        <v>0.860011574074074</v>
      </c>
    </row>
    <row r="1162" customFormat="false" ht="46.25" hidden="false" customHeight="false" outlineLevel="0" collapsed="false">
      <c r="A1162" s="181" t="s">
        <v>2723</v>
      </c>
      <c r="B1162" s="182" t="n">
        <v>2601</v>
      </c>
      <c r="C1162" s="183" t="n">
        <v>10429</v>
      </c>
      <c r="D1162" s="181" t="s">
        <v>2066</v>
      </c>
      <c r="E1162" s="181" t="s">
        <v>545</v>
      </c>
      <c r="F1162" s="181" t="s">
        <v>546</v>
      </c>
      <c r="G1162" s="181" t="s">
        <v>2292</v>
      </c>
      <c r="H1162" s="181" t="s">
        <v>279</v>
      </c>
      <c r="I1162" s="181" t="s">
        <v>241</v>
      </c>
      <c r="J1162" s="184" t="n">
        <v>42490</v>
      </c>
      <c r="K1162" s="184" t="n">
        <v>16080</v>
      </c>
      <c r="L1162" s="185" t="n">
        <v>9</v>
      </c>
      <c r="M1162" s="173" t="n">
        <v>26410</v>
      </c>
      <c r="N1162" s="184" t="n">
        <v>24033.1</v>
      </c>
      <c r="O1162" s="184" t="s">
        <v>2724</v>
      </c>
      <c r="P1162" s="187" t="n">
        <v>45953</v>
      </c>
      <c r="Q1162" s="188" t="n">
        <v>0.862939814814815</v>
      </c>
    </row>
    <row r="1163" customFormat="false" ht="46.25" hidden="false" customHeight="false" outlineLevel="0" collapsed="false">
      <c r="A1163" s="181" t="s">
        <v>2725</v>
      </c>
      <c r="B1163" s="182" t="n">
        <v>2603</v>
      </c>
      <c r="C1163" s="183" t="n">
        <v>10424</v>
      </c>
      <c r="D1163" s="181" t="s">
        <v>2066</v>
      </c>
      <c r="E1163" s="181" t="s">
        <v>541</v>
      </c>
      <c r="F1163" s="181" t="s">
        <v>542</v>
      </c>
      <c r="G1163" s="181" t="s">
        <v>2292</v>
      </c>
      <c r="H1163" s="181" t="s">
        <v>279</v>
      </c>
      <c r="I1163" s="181" t="s">
        <v>241</v>
      </c>
      <c r="J1163" s="184" t="n">
        <v>40770</v>
      </c>
      <c r="K1163" s="184" t="n">
        <v>14910</v>
      </c>
      <c r="L1163" s="185" t="n">
        <v>22</v>
      </c>
      <c r="M1163" s="173" t="n">
        <v>25860</v>
      </c>
      <c r="N1163" s="184" t="n">
        <v>20170.8</v>
      </c>
      <c r="O1163" s="184" t="s">
        <v>2726</v>
      </c>
      <c r="P1163" s="187" t="n">
        <v>45953</v>
      </c>
      <c r="Q1163" s="188" t="n">
        <v>0.885844907407407</v>
      </c>
    </row>
    <row r="1164" customFormat="false" ht="35.05" hidden="false" customHeight="false" outlineLevel="0" collapsed="false">
      <c r="A1164" s="181" t="s">
        <v>2727</v>
      </c>
      <c r="B1164" s="182" t="n">
        <v>2604</v>
      </c>
      <c r="C1164" s="183" t="n">
        <v>100</v>
      </c>
      <c r="D1164" s="181" t="s">
        <v>2401</v>
      </c>
      <c r="E1164" s="181" t="s">
        <v>537</v>
      </c>
      <c r="F1164" s="181" t="s">
        <v>538</v>
      </c>
      <c r="G1164" s="181" t="s">
        <v>2728</v>
      </c>
      <c r="H1164" s="181" t="s">
        <v>279</v>
      </c>
      <c r="I1164" s="181" t="s">
        <v>242</v>
      </c>
      <c r="J1164" s="184" t="n">
        <v>35540</v>
      </c>
      <c r="K1164" s="184" t="n">
        <v>13860</v>
      </c>
      <c r="L1164" s="185" t="n">
        <v>18</v>
      </c>
      <c r="M1164" s="173" t="n">
        <v>21680</v>
      </c>
      <c r="N1164" s="184" t="n">
        <v>17777.6</v>
      </c>
      <c r="O1164" s="184" t="s">
        <v>2729</v>
      </c>
      <c r="P1164" s="187" t="n">
        <v>45953</v>
      </c>
      <c r="Q1164" s="188" t="n">
        <v>0.900381944444444</v>
      </c>
    </row>
    <row r="1165" customFormat="false" ht="46.25" hidden="false" customHeight="false" outlineLevel="0" collapsed="false">
      <c r="A1165" s="181" t="s">
        <v>2730</v>
      </c>
      <c r="B1165" s="182" t="n">
        <v>2605</v>
      </c>
      <c r="C1165" s="183" t="n">
        <v>10592</v>
      </c>
      <c r="D1165" s="181" t="s">
        <v>2066</v>
      </c>
      <c r="E1165" s="181" t="s">
        <v>282</v>
      </c>
      <c r="F1165" s="181" t="s">
        <v>283</v>
      </c>
      <c r="G1165" s="181" t="s">
        <v>2292</v>
      </c>
      <c r="H1165" s="181" t="s">
        <v>279</v>
      </c>
      <c r="I1165" s="181" t="s">
        <v>241</v>
      </c>
      <c r="J1165" s="184" t="n">
        <v>40040</v>
      </c>
      <c r="K1165" s="184" t="n">
        <v>15100</v>
      </c>
      <c r="L1165" s="185" t="n">
        <v>12</v>
      </c>
      <c r="M1165" s="173" t="n">
        <v>24940</v>
      </c>
      <c r="N1165" s="184" t="n">
        <v>21947.2</v>
      </c>
      <c r="O1165" s="184" t="s">
        <v>2731</v>
      </c>
      <c r="P1165" s="187" t="n">
        <v>45953</v>
      </c>
      <c r="Q1165" s="188" t="n">
        <v>0.907638888888889</v>
      </c>
    </row>
    <row r="1166" customFormat="false" ht="46.25" hidden="false" customHeight="false" outlineLevel="0" collapsed="false">
      <c r="A1166" s="181" t="s">
        <v>2732</v>
      </c>
      <c r="B1166" s="182" t="n">
        <v>2584</v>
      </c>
      <c r="C1166" s="183" t="n">
        <v>10399</v>
      </c>
      <c r="D1166" s="181" t="s">
        <v>2066</v>
      </c>
      <c r="E1166" s="181" t="s">
        <v>354</v>
      </c>
      <c r="F1166" s="181" t="s">
        <v>355</v>
      </c>
      <c r="G1166" s="181" t="s">
        <v>2292</v>
      </c>
      <c r="H1166" s="181" t="s">
        <v>279</v>
      </c>
      <c r="I1166" s="181" t="s">
        <v>241</v>
      </c>
      <c r="J1166" s="184" t="n">
        <v>38940</v>
      </c>
      <c r="K1166" s="184" t="n">
        <v>14770</v>
      </c>
      <c r="L1166" s="185" t="n">
        <v>4</v>
      </c>
      <c r="M1166" s="173" t="n">
        <v>24170</v>
      </c>
      <c r="N1166" s="184" t="n">
        <v>23203.2</v>
      </c>
      <c r="O1166" s="184" t="s">
        <v>2733</v>
      </c>
      <c r="P1166" s="187" t="n">
        <v>45953</v>
      </c>
      <c r="Q1166" s="188" t="n">
        <v>0.974965277777778</v>
      </c>
    </row>
    <row r="1167" customFormat="false" ht="46.25" hidden="false" customHeight="false" outlineLevel="0" collapsed="false">
      <c r="A1167" s="181" t="s">
        <v>2734</v>
      </c>
      <c r="B1167" s="182" t="n">
        <v>2587</v>
      </c>
      <c r="C1167" s="183" t="n">
        <v>10400</v>
      </c>
      <c r="D1167" s="181" t="s">
        <v>2066</v>
      </c>
      <c r="E1167" s="181" t="s">
        <v>359</v>
      </c>
      <c r="F1167" s="181" t="s">
        <v>360</v>
      </c>
      <c r="G1167" s="181" t="s">
        <v>2292</v>
      </c>
      <c r="H1167" s="181" t="s">
        <v>279</v>
      </c>
      <c r="I1167" s="181" t="s">
        <v>241</v>
      </c>
      <c r="J1167" s="184" t="n">
        <v>38070</v>
      </c>
      <c r="K1167" s="184" t="n">
        <v>15030</v>
      </c>
      <c r="L1167" s="185" t="n">
        <v>7</v>
      </c>
      <c r="M1167" s="173" t="n">
        <v>23040</v>
      </c>
      <c r="N1167" s="184" t="n">
        <v>21427.2</v>
      </c>
      <c r="O1167" s="184" t="s">
        <v>2735</v>
      </c>
      <c r="P1167" s="187" t="n">
        <v>45953</v>
      </c>
      <c r="Q1167" s="188" t="n">
        <v>0.9771875</v>
      </c>
    </row>
    <row r="1168" customFormat="false" ht="46.25" hidden="false" customHeight="false" outlineLevel="0" collapsed="false">
      <c r="A1168" s="181" t="s">
        <v>2736</v>
      </c>
      <c r="B1168" s="182" t="n">
        <v>2606</v>
      </c>
      <c r="C1168" s="183" t="n">
        <v>10643</v>
      </c>
      <c r="D1168" s="181" t="s">
        <v>2066</v>
      </c>
      <c r="E1168" s="181" t="s">
        <v>266</v>
      </c>
      <c r="F1168" s="181" t="s">
        <v>267</v>
      </c>
      <c r="G1168" s="181" t="s">
        <v>2292</v>
      </c>
      <c r="H1168" s="181" t="s">
        <v>279</v>
      </c>
      <c r="I1168" s="181" t="s">
        <v>241</v>
      </c>
      <c r="J1168" s="184" t="n">
        <v>39190</v>
      </c>
      <c r="K1168" s="184" t="n">
        <v>15080</v>
      </c>
      <c r="L1168" s="185" t="n">
        <v>26</v>
      </c>
      <c r="M1168" s="173" t="n">
        <v>24110</v>
      </c>
      <c r="N1168" s="184" t="n">
        <v>17841.4</v>
      </c>
      <c r="O1168" s="184" t="s">
        <v>2737</v>
      </c>
      <c r="P1168" s="187" t="n">
        <v>45954</v>
      </c>
      <c r="Q1168" s="188" t="n">
        <v>0.616342592592593</v>
      </c>
    </row>
    <row r="1169" customFormat="false" ht="46.25" hidden="false" customHeight="false" outlineLevel="0" collapsed="false">
      <c r="A1169" s="181" t="s">
        <v>2738</v>
      </c>
      <c r="B1169" s="182" t="n">
        <v>2607</v>
      </c>
      <c r="C1169" s="183" t="n">
        <v>10653</v>
      </c>
      <c r="D1169" s="181" t="s">
        <v>2066</v>
      </c>
      <c r="E1169" s="181" t="s">
        <v>399</v>
      </c>
      <c r="F1169" s="181" t="s">
        <v>400</v>
      </c>
      <c r="G1169" s="181" t="s">
        <v>2292</v>
      </c>
      <c r="H1169" s="181" t="s">
        <v>279</v>
      </c>
      <c r="I1169" s="181" t="s">
        <v>241</v>
      </c>
      <c r="J1169" s="184" t="n">
        <v>35510</v>
      </c>
      <c r="K1169" s="184" t="n">
        <v>19560</v>
      </c>
      <c r="L1169" s="185" t="n">
        <v>16</v>
      </c>
      <c r="M1169" s="173" t="n">
        <v>15950</v>
      </c>
      <c r="N1169" s="184" t="n">
        <v>13398</v>
      </c>
      <c r="O1169" s="184" t="s">
        <v>2739</v>
      </c>
      <c r="P1169" s="187" t="n">
        <v>45954</v>
      </c>
      <c r="Q1169" s="188" t="n">
        <v>0.628865740740741</v>
      </c>
    </row>
    <row r="1170" customFormat="false" ht="46.25" hidden="false" customHeight="false" outlineLevel="0" collapsed="false">
      <c r="A1170" s="181" t="s">
        <v>2740</v>
      </c>
      <c r="B1170" s="182" t="n">
        <v>2613</v>
      </c>
      <c r="C1170" s="183" t="n">
        <v>10630</v>
      </c>
      <c r="D1170" s="181" t="s">
        <v>2066</v>
      </c>
      <c r="E1170" s="181" t="s">
        <v>1510</v>
      </c>
      <c r="F1170" s="181" t="s">
        <v>1511</v>
      </c>
      <c r="G1170" s="181" t="s">
        <v>2067</v>
      </c>
      <c r="H1170" s="181" t="s">
        <v>158</v>
      </c>
      <c r="I1170" s="181" t="s">
        <v>241</v>
      </c>
      <c r="J1170" s="184" t="n">
        <v>25770</v>
      </c>
      <c r="K1170" s="184" t="n">
        <v>14250</v>
      </c>
      <c r="L1170" s="185" t="n">
        <v>24</v>
      </c>
      <c r="M1170" s="173" t="n">
        <v>11520</v>
      </c>
      <c r="N1170" s="184" t="n">
        <v>8755.2</v>
      </c>
      <c r="O1170" s="184" t="s">
        <v>2741</v>
      </c>
      <c r="P1170" s="187" t="n">
        <v>45954</v>
      </c>
      <c r="Q1170" s="188" t="n">
        <v>0.635173611111111</v>
      </c>
    </row>
    <row r="1171" customFormat="false" ht="35.05" hidden="false" customHeight="false" outlineLevel="0" collapsed="false">
      <c r="A1171" s="181" t="s">
        <v>2742</v>
      </c>
      <c r="B1171" s="182" t="n">
        <v>2614</v>
      </c>
      <c r="C1171" s="183" t="n">
        <v>104</v>
      </c>
      <c r="D1171" s="181" t="s">
        <v>2401</v>
      </c>
      <c r="E1171" s="181" t="s">
        <v>261</v>
      </c>
      <c r="F1171" s="181" t="s">
        <v>262</v>
      </c>
      <c r="G1171" s="181" t="s">
        <v>144</v>
      </c>
      <c r="H1171" s="181" t="s">
        <v>279</v>
      </c>
      <c r="I1171" s="181" t="s">
        <v>242</v>
      </c>
      <c r="J1171" s="184" t="n">
        <v>39360</v>
      </c>
      <c r="K1171" s="184" t="n">
        <v>15280</v>
      </c>
      <c r="L1171" s="185" t="n">
        <v>6</v>
      </c>
      <c r="M1171" s="173" t="n">
        <v>24080</v>
      </c>
      <c r="N1171" s="184" t="n">
        <v>22635.2</v>
      </c>
      <c r="O1171" s="184" t="s">
        <v>2743</v>
      </c>
      <c r="P1171" s="187" t="n">
        <v>45954</v>
      </c>
      <c r="Q1171" s="188" t="n">
        <v>0.693148148148148</v>
      </c>
    </row>
    <row r="1172" customFormat="false" ht="35.05" hidden="false" customHeight="false" outlineLevel="0" collapsed="false">
      <c r="A1172" s="181" t="s">
        <v>2744</v>
      </c>
      <c r="B1172" s="182" t="n">
        <v>2615</v>
      </c>
      <c r="C1172" s="183" t="n">
        <v>107</v>
      </c>
      <c r="D1172" s="181" t="s">
        <v>2401</v>
      </c>
      <c r="E1172" s="181" t="s">
        <v>304</v>
      </c>
      <c r="F1172" s="181" t="s">
        <v>305</v>
      </c>
      <c r="G1172" s="181" t="s">
        <v>144</v>
      </c>
      <c r="H1172" s="181" t="s">
        <v>279</v>
      </c>
      <c r="I1172" s="181" t="s">
        <v>242</v>
      </c>
      <c r="J1172" s="184" t="n">
        <v>39860</v>
      </c>
      <c r="K1172" s="184" t="n">
        <v>15190</v>
      </c>
      <c r="L1172" s="185" t="n">
        <v>7</v>
      </c>
      <c r="M1172" s="173" t="n">
        <v>24670</v>
      </c>
      <c r="N1172" s="184" t="n">
        <v>22943.1</v>
      </c>
      <c r="O1172" s="184" t="s">
        <v>2745</v>
      </c>
      <c r="P1172" s="187" t="n">
        <v>45954</v>
      </c>
      <c r="Q1172" s="188" t="n">
        <v>0.711643518518519</v>
      </c>
    </row>
    <row r="1173" customFormat="false" ht="35.05" hidden="false" customHeight="false" outlineLevel="0" collapsed="false">
      <c r="A1173" s="181" t="s">
        <v>2746</v>
      </c>
      <c r="B1173" s="182" t="n">
        <v>2617</v>
      </c>
      <c r="C1173" s="183" t="n">
        <v>105</v>
      </c>
      <c r="D1173" s="181" t="s">
        <v>2401</v>
      </c>
      <c r="E1173" s="181" t="s">
        <v>391</v>
      </c>
      <c r="F1173" s="181" t="s">
        <v>392</v>
      </c>
      <c r="G1173" s="181" t="s">
        <v>144</v>
      </c>
      <c r="H1173" s="181" t="s">
        <v>279</v>
      </c>
      <c r="I1173" s="181" t="s">
        <v>242</v>
      </c>
      <c r="J1173" s="184" t="n">
        <v>35770</v>
      </c>
      <c r="K1173" s="184" t="n">
        <v>14630</v>
      </c>
      <c r="L1173" s="185" t="n">
        <v>7</v>
      </c>
      <c r="M1173" s="173" t="n">
        <v>21140</v>
      </c>
      <c r="N1173" s="184" t="n">
        <v>19660.2</v>
      </c>
      <c r="O1173" s="184" t="s">
        <v>2747</v>
      </c>
      <c r="P1173" s="187" t="n">
        <v>45954</v>
      </c>
      <c r="Q1173" s="188" t="n">
        <v>0.753668981481482</v>
      </c>
    </row>
    <row r="1174" customFormat="false" ht="35.05" hidden="false" customHeight="false" outlineLevel="0" collapsed="false">
      <c r="A1174" s="181" t="s">
        <v>2748</v>
      </c>
      <c r="B1174" s="182" t="n">
        <v>2618</v>
      </c>
      <c r="C1174" s="183" t="n">
        <v>102</v>
      </c>
      <c r="D1174" s="181" t="s">
        <v>2401</v>
      </c>
      <c r="E1174" s="181" t="s">
        <v>377</v>
      </c>
      <c r="F1174" s="181" t="s">
        <v>378</v>
      </c>
      <c r="G1174" s="181" t="s">
        <v>144</v>
      </c>
      <c r="H1174" s="181" t="s">
        <v>279</v>
      </c>
      <c r="I1174" s="181" t="s">
        <v>242</v>
      </c>
      <c r="J1174" s="184" t="n">
        <v>47420</v>
      </c>
      <c r="K1174" s="184" t="n">
        <v>15920</v>
      </c>
      <c r="L1174" s="185" t="n">
        <v>7</v>
      </c>
      <c r="M1174" s="173" t="n">
        <v>31500</v>
      </c>
      <c r="N1174" s="184" t="n">
        <v>29295</v>
      </c>
      <c r="O1174" s="184" t="s">
        <v>2749</v>
      </c>
      <c r="P1174" s="187" t="n">
        <v>45954</v>
      </c>
      <c r="Q1174" s="188" t="n">
        <v>0.76005787037037</v>
      </c>
    </row>
    <row r="1175" customFormat="false" ht="35.05" hidden="false" customHeight="false" outlineLevel="0" collapsed="false">
      <c r="A1175" s="181" t="s">
        <v>2750</v>
      </c>
      <c r="B1175" s="182" t="n">
        <v>2623</v>
      </c>
      <c r="C1175" s="183" t="n">
        <v>110</v>
      </c>
      <c r="D1175" s="181" t="s">
        <v>2401</v>
      </c>
      <c r="E1175" s="181" t="s">
        <v>387</v>
      </c>
      <c r="F1175" s="181" t="s">
        <v>388</v>
      </c>
      <c r="G1175" s="181" t="s">
        <v>144</v>
      </c>
      <c r="H1175" s="181" t="s">
        <v>279</v>
      </c>
      <c r="I1175" s="181" t="s">
        <v>242</v>
      </c>
      <c r="J1175" s="184" t="n">
        <v>43580</v>
      </c>
      <c r="K1175" s="184" t="n">
        <v>15320</v>
      </c>
      <c r="L1175" s="185" t="n">
        <v>5</v>
      </c>
      <c r="M1175" s="173" t="n">
        <v>28260</v>
      </c>
      <c r="N1175" s="184" t="n">
        <v>26847</v>
      </c>
      <c r="O1175" s="184" t="s">
        <v>2751</v>
      </c>
      <c r="P1175" s="187" t="n">
        <v>45954</v>
      </c>
      <c r="Q1175" s="188" t="n">
        <v>0.789444444444444</v>
      </c>
    </row>
    <row r="1176" customFormat="false" ht="35.05" hidden="false" customHeight="false" outlineLevel="0" collapsed="false">
      <c r="A1176" s="181" t="s">
        <v>2752</v>
      </c>
      <c r="B1176" s="182" t="n">
        <v>2620</v>
      </c>
      <c r="C1176" s="183" t="n">
        <v>109</v>
      </c>
      <c r="D1176" s="181" t="s">
        <v>2401</v>
      </c>
      <c r="E1176" s="181" t="s">
        <v>383</v>
      </c>
      <c r="F1176" s="181" t="s">
        <v>384</v>
      </c>
      <c r="G1176" s="181" t="s">
        <v>144</v>
      </c>
      <c r="H1176" s="181" t="s">
        <v>279</v>
      </c>
      <c r="I1176" s="181" t="s">
        <v>242</v>
      </c>
      <c r="J1176" s="184" t="n">
        <v>42450</v>
      </c>
      <c r="K1176" s="184" t="n">
        <v>15120</v>
      </c>
      <c r="L1176" s="185" t="n">
        <v>8</v>
      </c>
      <c r="M1176" s="173" t="n">
        <v>27330</v>
      </c>
      <c r="N1176" s="184" t="n">
        <v>25143.6</v>
      </c>
      <c r="O1176" s="184" t="s">
        <v>2753</v>
      </c>
      <c r="P1176" s="187" t="n">
        <v>45954</v>
      </c>
      <c r="Q1176" s="188" t="n">
        <v>0.812222222222222</v>
      </c>
    </row>
    <row r="1177" customFormat="false" ht="35.05" hidden="false" customHeight="false" outlineLevel="0" collapsed="false">
      <c r="A1177" s="181" t="s">
        <v>2754</v>
      </c>
      <c r="B1177" s="182" t="n">
        <v>2624</v>
      </c>
      <c r="C1177" s="183" t="n">
        <v>111</v>
      </c>
      <c r="D1177" s="181" t="s">
        <v>2401</v>
      </c>
      <c r="E1177" s="181" t="s">
        <v>350</v>
      </c>
      <c r="F1177" s="181" t="s">
        <v>351</v>
      </c>
      <c r="G1177" s="181" t="s">
        <v>144</v>
      </c>
      <c r="H1177" s="181" t="s">
        <v>279</v>
      </c>
      <c r="I1177" s="181" t="s">
        <v>242</v>
      </c>
      <c r="J1177" s="184" t="n">
        <v>45360</v>
      </c>
      <c r="K1177" s="184" t="n">
        <v>15180</v>
      </c>
      <c r="L1177" s="185" t="n">
        <v>6</v>
      </c>
      <c r="M1177" s="173" t="n">
        <v>30180</v>
      </c>
      <c r="N1177" s="184" t="n">
        <v>28369.2</v>
      </c>
      <c r="O1177" s="184" t="s">
        <v>2755</v>
      </c>
      <c r="P1177" s="187" t="n">
        <v>45954</v>
      </c>
      <c r="Q1177" s="188" t="n">
        <v>0.846030092592593</v>
      </c>
    </row>
    <row r="1178" customFormat="false" ht="35.05" hidden="false" customHeight="false" outlineLevel="0" collapsed="false">
      <c r="A1178" s="181" t="s">
        <v>2756</v>
      </c>
      <c r="B1178" s="182" t="n">
        <v>2625</v>
      </c>
      <c r="C1178" s="183" t="n">
        <v>106</v>
      </c>
      <c r="D1178" s="181" t="s">
        <v>2401</v>
      </c>
      <c r="E1178" s="181" t="s">
        <v>308</v>
      </c>
      <c r="F1178" s="181" t="s">
        <v>309</v>
      </c>
      <c r="G1178" s="181" t="s">
        <v>144</v>
      </c>
      <c r="H1178" s="181" t="s">
        <v>279</v>
      </c>
      <c r="I1178" s="181" t="s">
        <v>242</v>
      </c>
      <c r="J1178" s="184" t="n">
        <v>65370</v>
      </c>
      <c r="K1178" s="184" t="n">
        <v>24190</v>
      </c>
      <c r="L1178" s="185" t="n">
        <v>10</v>
      </c>
      <c r="M1178" s="173" t="n">
        <v>41180</v>
      </c>
      <c r="N1178" s="184" t="n">
        <v>37062</v>
      </c>
      <c r="O1178" s="184" t="s">
        <v>2757</v>
      </c>
      <c r="P1178" s="187" t="n">
        <v>45954</v>
      </c>
      <c r="Q1178" s="188" t="n">
        <v>0.874699074074074</v>
      </c>
    </row>
    <row r="1179" customFormat="false" ht="35.05" hidden="false" customHeight="false" outlineLevel="0" collapsed="false">
      <c r="A1179" s="181" t="s">
        <v>2758</v>
      </c>
      <c r="B1179" s="182" t="n">
        <v>2621</v>
      </c>
      <c r="C1179" s="183" t="n">
        <v>108</v>
      </c>
      <c r="D1179" s="181" t="s">
        <v>2401</v>
      </c>
      <c r="E1179" s="181" t="s">
        <v>435</v>
      </c>
      <c r="F1179" s="181" t="s">
        <v>436</v>
      </c>
      <c r="G1179" s="181" t="s">
        <v>144</v>
      </c>
      <c r="H1179" s="181" t="s">
        <v>279</v>
      </c>
      <c r="I1179" s="181" t="s">
        <v>242</v>
      </c>
      <c r="J1179" s="184" t="n">
        <v>42930</v>
      </c>
      <c r="K1179" s="184" t="n">
        <v>16560</v>
      </c>
      <c r="L1179" s="185" t="n">
        <v>9</v>
      </c>
      <c r="M1179" s="173" t="n">
        <v>26370</v>
      </c>
      <c r="N1179" s="184" t="n">
        <v>23996.7</v>
      </c>
      <c r="O1179" s="184" t="s">
        <v>2759</v>
      </c>
      <c r="P1179" s="187" t="n">
        <v>45954</v>
      </c>
      <c r="Q1179" s="188" t="n">
        <v>0.890324074074074</v>
      </c>
    </row>
    <row r="1180" customFormat="false" ht="35.05" hidden="false" customHeight="false" outlineLevel="0" collapsed="false">
      <c r="A1180" s="181" t="s">
        <v>2760</v>
      </c>
      <c r="B1180" s="182" t="n">
        <v>2626</v>
      </c>
      <c r="C1180" s="183" t="n">
        <v>112</v>
      </c>
      <c r="D1180" s="181" t="s">
        <v>2401</v>
      </c>
      <c r="E1180" s="181" t="s">
        <v>373</v>
      </c>
      <c r="F1180" s="181" t="s">
        <v>374</v>
      </c>
      <c r="G1180" s="181" t="s">
        <v>144</v>
      </c>
      <c r="H1180" s="181" t="s">
        <v>279</v>
      </c>
      <c r="I1180" s="181" t="s">
        <v>242</v>
      </c>
      <c r="J1180" s="184" t="n">
        <v>43030</v>
      </c>
      <c r="K1180" s="184" t="n">
        <v>14520</v>
      </c>
      <c r="L1180" s="185" t="n">
        <v>13</v>
      </c>
      <c r="M1180" s="173" t="n">
        <v>28510</v>
      </c>
      <c r="N1180" s="184" t="n">
        <v>24803.7</v>
      </c>
      <c r="O1180" s="184" t="s">
        <v>2761</v>
      </c>
      <c r="P1180" s="187" t="n">
        <v>45954</v>
      </c>
      <c r="Q1180" s="188" t="n">
        <v>0.906203703703704</v>
      </c>
    </row>
    <row r="1181" customFormat="false" ht="35.05" hidden="false" customHeight="false" outlineLevel="0" collapsed="false">
      <c r="A1181" s="181" t="s">
        <v>2762</v>
      </c>
      <c r="B1181" s="182" t="n">
        <v>2629</v>
      </c>
      <c r="C1181" s="183" t="n">
        <v>115</v>
      </c>
      <c r="D1181" s="181" t="s">
        <v>2401</v>
      </c>
      <c r="E1181" s="181" t="s">
        <v>354</v>
      </c>
      <c r="F1181" s="181" t="s">
        <v>355</v>
      </c>
      <c r="G1181" s="181" t="s">
        <v>144</v>
      </c>
      <c r="H1181" s="181" t="s">
        <v>279</v>
      </c>
      <c r="I1181" s="181" t="s">
        <v>242</v>
      </c>
      <c r="J1181" s="184" t="n">
        <v>39760</v>
      </c>
      <c r="K1181" s="184" t="n">
        <v>14960</v>
      </c>
      <c r="L1181" s="185" t="n">
        <v>8</v>
      </c>
      <c r="M1181" s="173" t="n">
        <v>24800</v>
      </c>
      <c r="N1181" s="184" t="n">
        <v>22816</v>
      </c>
      <c r="O1181" s="184" t="s">
        <v>2763</v>
      </c>
      <c r="P1181" s="187" t="n">
        <v>45955</v>
      </c>
      <c r="Q1181" s="188" t="n">
        <v>0.093587962962963</v>
      </c>
    </row>
    <row r="1182" customFormat="false" ht="35.05" hidden="false" customHeight="false" outlineLevel="0" collapsed="false">
      <c r="A1182" s="181" t="s">
        <v>2764</v>
      </c>
      <c r="B1182" s="182" t="n">
        <v>2630</v>
      </c>
      <c r="C1182" s="183" t="n">
        <v>114</v>
      </c>
      <c r="D1182" s="181" t="s">
        <v>2401</v>
      </c>
      <c r="E1182" s="181" t="s">
        <v>413</v>
      </c>
      <c r="F1182" s="181" t="s">
        <v>414</v>
      </c>
      <c r="G1182" s="181" t="s">
        <v>144</v>
      </c>
      <c r="H1182" s="181" t="s">
        <v>279</v>
      </c>
      <c r="I1182" s="181" t="s">
        <v>242</v>
      </c>
      <c r="J1182" s="184" t="n">
        <v>48380</v>
      </c>
      <c r="K1182" s="184" t="n">
        <v>16100</v>
      </c>
      <c r="L1182" s="185" t="n">
        <v>5</v>
      </c>
      <c r="M1182" s="173" t="n">
        <v>32280</v>
      </c>
      <c r="N1182" s="184" t="n">
        <v>30666</v>
      </c>
      <c r="O1182" s="184" t="s">
        <v>2765</v>
      </c>
      <c r="P1182" s="187" t="n">
        <v>45955</v>
      </c>
      <c r="Q1182" s="188" t="n">
        <v>0.123506944444444</v>
      </c>
    </row>
    <row r="1183" customFormat="false" ht="35.05" hidden="false" customHeight="false" outlineLevel="0" collapsed="false">
      <c r="A1183" s="181" t="s">
        <v>2766</v>
      </c>
      <c r="B1183" s="182" t="n">
        <v>2631</v>
      </c>
      <c r="C1183" s="183" t="n">
        <v>103</v>
      </c>
      <c r="D1183" s="181" t="s">
        <v>2401</v>
      </c>
      <c r="E1183" s="181" t="s">
        <v>300</v>
      </c>
      <c r="F1183" s="181" t="s">
        <v>301</v>
      </c>
      <c r="G1183" s="181" t="s">
        <v>144</v>
      </c>
      <c r="H1183" s="181" t="s">
        <v>279</v>
      </c>
      <c r="I1183" s="181" t="s">
        <v>242</v>
      </c>
      <c r="J1183" s="184" t="n">
        <v>65510</v>
      </c>
      <c r="K1183" s="184" t="n">
        <v>21340</v>
      </c>
      <c r="L1183" s="185" t="n">
        <v>9</v>
      </c>
      <c r="M1183" s="173" t="n">
        <v>44170</v>
      </c>
      <c r="N1183" s="184" t="n">
        <v>40194.7</v>
      </c>
      <c r="O1183" s="184" t="s">
        <v>2767</v>
      </c>
      <c r="P1183" s="187" t="n">
        <v>45955</v>
      </c>
      <c r="Q1183" s="188" t="n">
        <v>0.210949074074074</v>
      </c>
    </row>
    <row r="1184" customFormat="false" ht="35.05" hidden="false" customHeight="false" outlineLevel="0" collapsed="false">
      <c r="A1184" s="181" t="s">
        <v>2768</v>
      </c>
      <c r="B1184" s="182" t="n">
        <v>2632</v>
      </c>
      <c r="C1184" s="183" t="n">
        <v>116</v>
      </c>
      <c r="D1184" s="181" t="s">
        <v>2401</v>
      </c>
      <c r="E1184" s="181" t="s">
        <v>359</v>
      </c>
      <c r="F1184" s="181" t="s">
        <v>360</v>
      </c>
      <c r="G1184" s="181" t="s">
        <v>2402</v>
      </c>
      <c r="H1184" s="181" t="s">
        <v>279</v>
      </c>
      <c r="I1184" s="181" t="s">
        <v>242</v>
      </c>
      <c r="J1184" s="184" t="n">
        <v>36960</v>
      </c>
      <c r="K1184" s="184" t="n">
        <v>15100</v>
      </c>
      <c r="L1184" s="185" t="n">
        <v>36</v>
      </c>
      <c r="M1184" s="173" t="n">
        <v>21860</v>
      </c>
      <c r="N1184" s="184" t="n">
        <v>13990.4</v>
      </c>
      <c r="O1184" s="184" t="s">
        <v>2769</v>
      </c>
      <c r="P1184" s="187" t="n">
        <v>45955</v>
      </c>
      <c r="Q1184" s="188" t="n">
        <v>0.323819444444444</v>
      </c>
    </row>
    <row r="1185" customFormat="false" ht="35.05" hidden="false" customHeight="false" outlineLevel="0" collapsed="false">
      <c r="A1185" s="181" t="s">
        <v>2770</v>
      </c>
      <c r="B1185" s="182" t="n">
        <v>2633</v>
      </c>
      <c r="C1185" s="183" t="n">
        <v>113</v>
      </c>
      <c r="D1185" s="181" t="s">
        <v>2401</v>
      </c>
      <c r="E1185" s="181" t="s">
        <v>409</v>
      </c>
      <c r="F1185" s="181" t="s">
        <v>410</v>
      </c>
      <c r="G1185" s="181" t="s">
        <v>2402</v>
      </c>
      <c r="H1185" s="181" t="s">
        <v>279</v>
      </c>
      <c r="I1185" s="181" t="s">
        <v>242</v>
      </c>
      <c r="J1185" s="184" t="n">
        <v>65120</v>
      </c>
      <c r="K1185" s="184" t="n">
        <v>24710</v>
      </c>
      <c r="L1185" s="185" t="n">
        <v>20</v>
      </c>
      <c r="M1185" s="173" t="n">
        <v>40410</v>
      </c>
      <c r="N1185" s="184" t="n">
        <v>32328</v>
      </c>
      <c r="O1185" s="184" t="s">
        <v>2771</v>
      </c>
      <c r="P1185" s="187" t="n">
        <v>45955</v>
      </c>
      <c r="Q1185" s="188" t="n">
        <v>0.327384259259259</v>
      </c>
    </row>
    <row r="1186" customFormat="false" ht="35.05" hidden="false" customHeight="false" outlineLevel="0" collapsed="false">
      <c r="A1186" s="181" t="s">
        <v>2772</v>
      </c>
      <c r="B1186" s="182" t="n">
        <v>2634</v>
      </c>
      <c r="C1186" s="183" t="n">
        <v>117</v>
      </c>
      <c r="D1186" s="181" t="s">
        <v>2401</v>
      </c>
      <c r="E1186" s="181" t="s">
        <v>332</v>
      </c>
      <c r="F1186" s="181" t="s">
        <v>333</v>
      </c>
      <c r="G1186" s="181" t="s">
        <v>2402</v>
      </c>
      <c r="H1186" s="181" t="s">
        <v>279</v>
      </c>
      <c r="I1186" s="181" t="s">
        <v>242</v>
      </c>
      <c r="J1186" s="184" t="n">
        <v>40430</v>
      </c>
      <c r="K1186" s="184" t="n">
        <v>14910</v>
      </c>
      <c r="L1186" s="185" t="n">
        <v>15</v>
      </c>
      <c r="M1186" s="173" t="n">
        <v>25520</v>
      </c>
      <c r="N1186" s="184" t="n">
        <v>21692</v>
      </c>
      <c r="O1186" s="184" t="s">
        <v>2773</v>
      </c>
      <c r="P1186" s="187" t="n">
        <v>45955</v>
      </c>
      <c r="Q1186" s="188" t="n">
        <v>0.368611111111111</v>
      </c>
    </row>
    <row r="1187" customFormat="false" ht="35.05" hidden="false" customHeight="false" outlineLevel="0" collapsed="false">
      <c r="A1187" s="181" t="s">
        <v>2774</v>
      </c>
      <c r="B1187" s="182" t="n">
        <v>2635</v>
      </c>
      <c r="C1187" s="183" t="n">
        <v>118</v>
      </c>
      <c r="D1187" s="181" t="s">
        <v>2401</v>
      </c>
      <c r="E1187" s="181" t="s">
        <v>288</v>
      </c>
      <c r="F1187" s="181" t="s">
        <v>289</v>
      </c>
      <c r="G1187" s="181" t="s">
        <v>2402</v>
      </c>
      <c r="H1187" s="181" t="s">
        <v>279</v>
      </c>
      <c r="I1187" s="181" t="s">
        <v>242</v>
      </c>
      <c r="J1187" s="184" t="n">
        <v>36670</v>
      </c>
      <c r="K1187" s="184" t="n">
        <v>14860</v>
      </c>
      <c r="L1187" s="185" t="n">
        <v>27</v>
      </c>
      <c r="M1187" s="173" t="n">
        <v>21810</v>
      </c>
      <c r="N1187" s="184" t="n">
        <v>15921.3</v>
      </c>
      <c r="O1187" s="184" t="s">
        <v>2775</v>
      </c>
      <c r="P1187" s="187" t="n">
        <v>45955</v>
      </c>
      <c r="Q1187" s="188" t="n">
        <v>0.400127314814815</v>
      </c>
    </row>
    <row r="1188" customFormat="false" ht="35.05" hidden="false" customHeight="false" outlineLevel="0" collapsed="false">
      <c r="A1188" s="181" t="s">
        <v>2776</v>
      </c>
      <c r="B1188" s="182" t="n">
        <v>2636</v>
      </c>
      <c r="C1188" s="183" t="n">
        <v>119</v>
      </c>
      <c r="D1188" s="181" t="s">
        <v>2401</v>
      </c>
      <c r="E1188" s="181" t="s">
        <v>549</v>
      </c>
      <c r="F1188" s="181" t="s">
        <v>550</v>
      </c>
      <c r="G1188" s="181" t="s">
        <v>2402</v>
      </c>
      <c r="H1188" s="181" t="s">
        <v>279</v>
      </c>
      <c r="I1188" s="181" t="s">
        <v>242</v>
      </c>
      <c r="J1188" s="184" t="n">
        <v>41660</v>
      </c>
      <c r="K1188" s="184" t="n">
        <v>15900</v>
      </c>
      <c r="L1188" s="185" t="n">
        <v>9</v>
      </c>
      <c r="M1188" s="173" t="n">
        <v>25760</v>
      </c>
      <c r="N1188" s="184" t="n">
        <v>23441.6</v>
      </c>
      <c r="O1188" s="184" t="s">
        <v>2777</v>
      </c>
      <c r="P1188" s="187" t="n">
        <v>45955</v>
      </c>
      <c r="Q1188" s="188" t="n">
        <v>0.426018518518519</v>
      </c>
    </row>
    <row r="1189" customFormat="false" ht="35.05" hidden="false" customHeight="false" outlineLevel="0" collapsed="false">
      <c r="A1189" s="181" t="s">
        <v>2778</v>
      </c>
      <c r="B1189" s="182" t="n">
        <v>2637</v>
      </c>
      <c r="C1189" s="183" t="n">
        <v>120</v>
      </c>
      <c r="D1189" s="181" t="s">
        <v>2401</v>
      </c>
      <c r="E1189" s="181" t="s">
        <v>367</v>
      </c>
      <c r="F1189" s="181" t="s">
        <v>368</v>
      </c>
      <c r="G1189" s="181" t="s">
        <v>2402</v>
      </c>
      <c r="H1189" s="181" t="s">
        <v>279</v>
      </c>
      <c r="I1189" s="181" t="s">
        <v>242</v>
      </c>
      <c r="J1189" s="184" t="n">
        <v>47570</v>
      </c>
      <c r="K1189" s="184" t="n">
        <v>18960</v>
      </c>
      <c r="L1189" s="185" t="n">
        <v>13</v>
      </c>
      <c r="M1189" s="173" t="n">
        <v>28610</v>
      </c>
      <c r="N1189" s="184" t="n">
        <v>24890.7</v>
      </c>
      <c r="O1189" s="184" t="s">
        <v>2779</v>
      </c>
      <c r="P1189" s="187" t="n">
        <v>45955</v>
      </c>
      <c r="Q1189" s="188" t="n">
        <v>0.476851851851852</v>
      </c>
    </row>
    <row r="1190" customFormat="false" ht="35.05" hidden="false" customHeight="false" outlineLevel="0" collapsed="false">
      <c r="A1190" s="181" t="s">
        <v>2780</v>
      </c>
      <c r="B1190" s="182" t="n">
        <v>2638</v>
      </c>
      <c r="C1190" s="183" t="n">
        <v>122</v>
      </c>
      <c r="D1190" s="181" t="s">
        <v>2401</v>
      </c>
      <c r="E1190" s="181" t="s">
        <v>292</v>
      </c>
      <c r="F1190" s="181" t="s">
        <v>293</v>
      </c>
      <c r="G1190" s="181" t="s">
        <v>2402</v>
      </c>
      <c r="H1190" s="181" t="s">
        <v>279</v>
      </c>
      <c r="I1190" s="181" t="s">
        <v>242</v>
      </c>
      <c r="J1190" s="184" t="n">
        <v>35900</v>
      </c>
      <c r="K1190" s="184" t="n">
        <v>14090</v>
      </c>
      <c r="L1190" s="185" t="n">
        <v>9</v>
      </c>
      <c r="M1190" s="173" t="n">
        <v>21810</v>
      </c>
      <c r="N1190" s="184" t="n">
        <v>19847.1</v>
      </c>
      <c r="O1190" s="184" t="s">
        <v>2781</v>
      </c>
      <c r="P1190" s="187" t="n">
        <v>45955</v>
      </c>
      <c r="Q1190" s="188" t="n">
        <v>0.511388888888889</v>
      </c>
    </row>
    <row r="1191" customFormat="false" ht="35.05" hidden="false" customHeight="false" outlineLevel="0" collapsed="false">
      <c r="A1191" s="181" t="s">
        <v>2782</v>
      </c>
      <c r="B1191" s="182" t="n">
        <v>2639</v>
      </c>
      <c r="C1191" s="183" t="n">
        <v>121</v>
      </c>
      <c r="D1191" s="181" t="s">
        <v>2401</v>
      </c>
      <c r="E1191" s="181" t="s">
        <v>2351</v>
      </c>
      <c r="F1191" s="181" t="s">
        <v>2352</v>
      </c>
      <c r="G1191" s="181" t="s">
        <v>2402</v>
      </c>
      <c r="H1191" s="181" t="s">
        <v>279</v>
      </c>
      <c r="I1191" s="181" t="s">
        <v>242</v>
      </c>
      <c r="J1191" s="184" t="n">
        <v>47350</v>
      </c>
      <c r="K1191" s="184" t="n">
        <v>17730</v>
      </c>
      <c r="L1191" s="185" t="n">
        <v>14</v>
      </c>
      <c r="M1191" s="173" t="n">
        <v>29620</v>
      </c>
      <c r="N1191" s="184" t="n">
        <v>25473.2</v>
      </c>
      <c r="O1191" s="184" t="s">
        <v>2783</v>
      </c>
      <c r="P1191" s="187" t="n">
        <v>45955</v>
      </c>
      <c r="Q1191" s="188" t="n">
        <v>0.563449074074074</v>
      </c>
    </row>
    <row r="1192" customFormat="false" ht="35.05" hidden="false" customHeight="false" outlineLevel="0" collapsed="false">
      <c r="A1192" s="181" t="s">
        <v>2784</v>
      </c>
      <c r="B1192" s="182" t="n">
        <v>2642</v>
      </c>
      <c r="C1192" s="183" t="n">
        <v>123</v>
      </c>
      <c r="D1192" s="181" t="s">
        <v>2401</v>
      </c>
      <c r="E1192" s="181" t="s">
        <v>533</v>
      </c>
      <c r="F1192" s="181" t="s">
        <v>534</v>
      </c>
      <c r="G1192" s="181" t="s">
        <v>2402</v>
      </c>
      <c r="H1192" s="181" t="s">
        <v>279</v>
      </c>
      <c r="I1192" s="181" t="s">
        <v>242</v>
      </c>
      <c r="J1192" s="184" t="n">
        <v>39590</v>
      </c>
      <c r="K1192" s="184" t="n">
        <v>14630</v>
      </c>
      <c r="L1192" s="185" t="n">
        <v>7</v>
      </c>
      <c r="M1192" s="173" t="n">
        <v>24960</v>
      </c>
      <c r="N1192" s="184" t="n">
        <v>23212.8</v>
      </c>
      <c r="O1192" s="184" t="s">
        <v>2785</v>
      </c>
      <c r="P1192" s="187" t="n">
        <v>45955</v>
      </c>
      <c r="Q1192" s="188" t="n">
        <v>0.611076388888889</v>
      </c>
    </row>
    <row r="1193" customFormat="false" ht="35.05" hidden="false" customHeight="false" outlineLevel="0" collapsed="false">
      <c r="A1193" s="181" t="s">
        <v>2786</v>
      </c>
      <c r="B1193" s="182" t="n">
        <v>2644</v>
      </c>
      <c r="C1193" s="183" t="n">
        <v>124</v>
      </c>
      <c r="D1193" s="181" t="s">
        <v>2401</v>
      </c>
      <c r="E1193" s="181" t="s">
        <v>336</v>
      </c>
      <c r="F1193" s="181" t="s">
        <v>337</v>
      </c>
      <c r="G1193" s="181" t="s">
        <v>2402</v>
      </c>
      <c r="H1193" s="181" t="s">
        <v>279</v>
      </c>
      <c r="I1193" s="181" t="s">
        <v>242</v>
      </c>
      <c r="J1193" s="184" t="n">
        <v>40220</v>
      </c>
      <c r="K1193" s="184" t="n">
        <v>14710</v>
      </c>
      <c r="L1193" s="185" t="n">
        <v>11</v>
      </c>
      <c r="M1193" s="173" t="n">
        <v>25510</v>
      </c>
      <c r="N1193" s="184" t="n">
        <v>22703.9</v>
      </c>
      <c r="O1193" s="184" t="s">
        <v>2787</v>
      </c>
      <c r="P1193" s="187" t="n">
        <v>45955</v>
      </c>
      <c r="Q1193" s="188" t="n">
        <v>0.653113425925926</v>
      </c>
    </row>
    <row r="1194" customFormat="false" ht="35.05" hidden="false" customHeight="false" outlineLevel="0" collapsed="false">
      <c r="A1194" s="181" t="s">
        <v>2788</v>
      </c>
      <c r="B1194" s="182" t="n">
        <v>2645</v>
      </c>
      <c r="C1194" s="183" t="n">
        <v>125</v>
      </c>
      <c r="D1194" s="181" t="s">
        <v>2401</v>
      </c>
      <c r="E1194" s="181" t="s">
        <v>340</v>
      </c>
      <c r="F1194" s="181" t="s">
        <v>341</v>
      </c>
      <c r="G1194" s="181" t="s">
        <v>2402</v>
      </c>
      <c r="H1194" s="181" t="s">
        <v>279</v>
      </c>
      <c r="I1194" s="181" t="s">
        <v>242</v>
      </c>
      <c r="J1194" s="184" t="n">
        <v>39450</v>
      </c>
      <c r="K1194" s="184" t="n">
        <v>15280</v>
      </c>
      <c r="L1194" s="185" t="n">
        <v>9</v>
      </c>
      <c r="M1194" s="173" t="n">
        <v>24170</v>
      </c>
      <c r="N1194" s="184" t="n">
        <v>21994.7</v>
      </c>
      <c r="O1194" s="184" t="s">
        <v>2789</v>
      </c>
      <c r="P1194" s="187" t="n">
        <v>45955</v>
      </c>
      <c r="Q1194" s="188" t="n">
        <v>0.678356481481482</v>
      </c>
    </row>
    <row r="1195" customFormat="false" ht="35.05" hidden="false" customHeight="false" outlineLevel="0" collapsed="false">
      <c r="A1195" s="181" t="s">
        <v>2790</v>
      </c>
      <c r="B1195" s="182" t="n">
        <v>2646</v>
      </c>
      <c r="C1195" s="183" t="n">
        <v>126</v>
      </c>
      <c r="D1195" s="181" t="s">
        <v>2401</v>
      </c>
      <c r="E1195" s="181" t="s">
        <v>545</v>
      </c>
      <c r="F1195" s="181" t="s">
        <v>546</v>
      </c>
      <c r="G1195" s="181" t="s">
        <v>2402</v>
      </c>
      <c r="H1195" s="181" t="s">
        <v>279</v>
      </c>
      <c r="I1195" s="181" t="s">
        <v>242</v>
      </c>
      <c r="J1195" s="184" t="n">
        <v>42790</v>
      </c>
      <c r="K1195" s="184" t="n">
        <v>16240</v>
      </c>
      <c r="L1195" s="185" t="n">
        <v>11</v>
      </c>
      <c r="M1195" s="173" t="n">
        <v>26550</v>
      </c>
      <c r="N1195" s="184" t="n">
        <v>23629.5</v>
      </c>
      <c r="O1195" s="184" t="s">
        <v>2791</v>
      </c>
      <c r="P1195" s="187" t="n">
        <v>45955</v>
      </c>
      <c r="Q1195" s="188" t="n">
        <v>0.747002314814815</v>
      </c>
    </row>
    <row r="1196" customFormat="false" ht="35.05" hidden="false" customHeight="false" outlineLevel="0" collapsed="false">
      <c r="A1196" s="181" t="s">
        <v>2792</v>
      </c>
      <c r="B1196" s="182" t="n">
        <v>2648</v>
      </c>
      <c r="C1196" s="183" t="n">
        <v>127</v>
      </c>
      <c r="D1196" s="181" t="s">
        <v>2401</v>
      </c>
      <c r="E1196" s="181" t="s">
        <v>541</v>
      </c>
      <c r="F1196" s="181" t="s">
        <v>542</v>
      </c>
      <c r="G1196" s="181" t="s">
        <v>2402</v>
      </c>
      <c r="H1196" s="181" t="s">
        <v>279</v>
      </c>
      <c r="I1196" s="181" t="s">
        <v>242</v>
      </c>
      <c r="J1196" s="184" t="n">
        <v>40190</v>
      </c>
      <c r="K1196" s="184" t="n">
        <v>15090</v>
      </c>
      <c r="L1196" s="185" t="n">
        <v>8</v>
      </c>
      <c r="M1196" s="173" t="n">
        <v>25100</v>
      </c>
      <c r="N1196" s="184" t="n">
        <v>23092</v>
      </c>
      <c r="O1196" s="184" t="s">
        <v>2793</v>
      </c>
      <c r="P1196" s="187" t="n">
        <v>45955</v>
      </c>
      <c r="Q1196" s="188" t="n">
        <v>0.800405092592593</v>
      </c>
    </row>
    <row r="1197" customFormat="false" ht="35.05" hidden="false" customHeight="false" outlineLevel="0" collapsed="false">
      <c r="A1197" s="181" t="s">
        <v>2794</v>
      </c>
      <c r="B1197" s="182" t="n">
        <v>2650</v>
      </c>
      <c r="C1197" s="183" t="n">
        <v>128</v>
      </c>
      <c r="D1197" s="181" t="s">
        <v>2401</v>
      </c>
      <c r="E1197" s="181" t="s">
        <v>537</v>
      </c>
      <c r="F1197" s="181" t="s">
        <v>538</v>
      </c>
      <c r="G1197" s="181" t="s">
        <v>2402</v>
      </c>
      <c r="H1197" s="181" t="s">
        <v>279</v>
      </c>
      <c r="I1197" s="181" t="s">
        <v>242</v>
      </c>
      <c r="J1197" s="184" t="n">
        <v>34860</v>
      </c>
      <c r="K1197" s="184" t="n">
        <v>13990</v>
      </c>
      <c r="L1197" s="185" t="n">
        <v>9</v>
      </c>
      <c r="M1197" s="173" t="n">
        <v>20870</v>
      </c>
      <c r="N1197" s="184" t="n">
        <v>18991.7</v>
      </c>
      <c r="O1197" s="184" t="s">
        <v>2795</v>
      </c>
      <c r="P1197" s="187" t="n">
        <v>45955</v>
      </c>
      <c r="Q1197" s="188" t="n">
        <v>0.817905092592593</v>
      </c>
    </row>
    <row r="1198" customFormat="false" ht="35.05" hidden="false" customHeight="false" outlineLevel="0" collapsed="false">
      <c r="A1198" s="181" t="s">
        <v>2796</v>
      </c>
      <c r="B1198" s="182" t="n">
        <v>2652</v>
      </c>
      <c r="C1198" s="183" t="n">
        <v>129</v>
      </c>
      <c r="D1198" s="181" t="s">
        <v>2401</v>
      </c>
      <c r="E1198" s="181" t="s">
        <v>282</v>
      </c>
      <c r="F1198" s="181" t="s">
        <v>283</v>
      </c>
      <c r="G1198" s="181" t="s">
        <v>2402</v>
      </c>
      <c r="H1198" s="181" t="s">
        <v>279</v>
      </c>
      <c r="I1198" s="181" t="s">
        <v>242</v>
      </c>
      <c r="J1198" s="184" t="n">
        <v>39070</v>
      </c>
      <c r="K1198" s="184" t="n">
        <v>15260</v>
      </c>
      <c r="L1198" s="185" t="n">
        <v>15</v>
      </c>
      <c r="M1198" s="173" t="n">
        <v>23810</v>
      </c>
      <c r="N1198" s="184" t="n">
        <v>20238.5</v>
      </c>
      <c r="O1198" s="184" t="s">
        <v>2797</v>
      </c>
      <c r="P1198" s="187" t="n">
        <v>45955</v>
      </c>
      <c r="Q1198" s="188" t="n">
        <v>0.910324074074074</v>
      </c>
    </row>
    <row r="1199" customFormat="false" ht="35.05" hidden="false" customHeight="false" outlineLevel="0" collapsed="false">
      <c r="A1199" s="181" t="s">
        <v>2798</v>
      </c>
      <c r="B1199" s="182" t="n">
        <v>2655</v>
      </c>
      <c r="C1199" s="183" t="n">
        <v>131</v>
      </c>
      <c r="D1199" s="181" t="s">
        <v>2401</v>
      </c>
      <c r="E1199" s="181" t="s">
        <v>266</v>
      </c>
      <c r="F1199" s="181" t="s">
        <v>267</v>
      </c>
      <c r="G1199" s="181" t="s">
        <v>2402</v>
      </c>
      <c r="H1199" s="181" t="s">
        <v>279</v>
      </c>
      <c r="I1199" s="181" t="s">
        <v>242</v>
      </c>
      <c r="J1199" s="184" t="n">
        <v>37840</v>
      </c>
      <c r="K1199" s="184" t="n">
        <v>15190</v>
      </c>
      <c r="L1199" s="185" t="n">
        <v>11</v>
      </c>
      <c r="M1199" s="173" t="n">
        <v>22650</v>
      </c>
      <c r="N1199" s="184" t="n">
        <v>20158.5</v>
      </c>
      <c r="O1199" s="184" t="s">
        <v>2799</v>
      </c>
      <c r="P1199" s="187" t="n">
        <v>45955</v>
      </c>
      <c r="Q1199" s="188" t="n">
        <v>0.974583333333333</v>
      </c>
    </row>
    <row r="1200" customFormat="false" ht="35.05" hidden="false" customHeight="false" outlineLevel="0" collapsed="false">
      <c r="A1200" s="181" t="s">
        <v>2800</v>
      </c>
      <c r="B1200" s="182" t="n">
        <v>2654</v>
      </c>
      <c r="C1200" s="183" t="n">
        <v>130</v>
      </c>
      <c r="D1200" s="181" t="s">
        <v>2401</v>
      </c>
      <c r="E1200" s="181" t="s">
        <v>399</v>
      </c>
      <c r="F1200" s="181" t="s">
        <v>400</v>
      </c>
      <c r="G1200" s="181" t="s">
        <v>2402</v>
      </c>
      <c r="H1200" s="181" t="s">
        <v>279</v>
      </c>
      <c r="I1200" s="181" t="s">
        <v>242</v>
      </c>
      <c r="J1200" s="184" t="n">
        <v>47720</v>
      </c>
      <c r="K1200" s="184" t="n">
        <v>19870</v>
      </c>
      <c r="L1200" s="185" t="n">
        <v>25</v>
      </c>
      <c r="M1200" s="173" t="n">
        <v>27850</v>
      </c>
      <c r="N1200" s="184" t="n">
        <v>20887.5</v>
      </c>
      <c r="O1200" s="184" t="s">
        <v>2801</v>
      </c>
      <c r="P1200" s="187" t="n">
        <v>45955</v>
      </c>
      <c r="Q1200" s="188" t="n">
        <v>0.998125</v>
      </c>
    </row>
    <row r="1201" customFormat="false" ht="35.05" hidden="false" customHeight="false" outlineLevel="0" collapsed="false">
      <c r="A1201" s="181" t="s">
        <v>2802</v>
      </c>
      <c r="B1201" s="182" t="n">
        <v>2656</v>
      </c>
      <c r="C1201" s="183" t="n">
        <v>132</v>
      </c>
      <c r="D1201" s="181" t="s">
        <v>2401</v>
      </c>
      <c r="E1201" s="181" t="s">
        <v>261</v>
      </c>
      <c r="F1201" s="181" t="s">
        <v>262</v>
      </c>
      <c r="G1201" s="181" t="s">
        <v>2402</v>
      </c>
      <c r="H1201" s="181" t="s">
        <v>279</v>
      </c>
      <c r="I1201" s="181" t="s">
        <v>242</v>
      </c>
      <c r="J1201" s="184" t="n">
        <v>38140</v>
      </c>
      <c r="K1201" s="184" t="n">
        <v>15310</v>
      </c>
      <c r="L1201" s="185" t="n">
        <v>18</v>
      </c>
      <c r="M1201" s="173" t="n">
        <v>22830</v>
      </c>
      <c r="N1201" s="184" t="n">
        <v>18720.6</v>
      </c>
      <c r="O1201" s="184" t="s">
        <v>2803</v>
      </c>
      <c r="P1201" s="187" t="n">
        <v>45956</v>
      </c>
      <c r="Q1201" s="188" t="n">
        <v>0.058900462962963</v>
      </c>
    </row>
    <row r="1202" customFormat="false" ht="35.05" hidden="false" customHeight="false" outlineLevel="0" collapsed="false">
      <c r="A1202" s="181" t="s">
        <v>2804</v>
      </c>
      <c r="B1202" s="182" t="n">
        <v>2657</v>
      </c>
      <c r="C1202" s="183" t="n">
        <v>133</v>
      </c>
      <c r="D1202" s="181" t="s">
        <v>2401</v>
      </c>
      <c r="E1202" s="181" t="s">
        <v>377</v>
      </c>
      <c r="F1202" s="181" t="s">
        <v>378</v>
      </c>
      <c r="G1202" s="181" t="s">
        <v>2402</v>
      </c>
      <c r="H1202" s="181" t="s">
        <v>279</v>
      </c>
      <c r="I1202" s="181" t="s">
        <v>242</v>
      </c>
      <c r="J1202" s="184" t="n">
        <v>42840</v>
      </c>
      <c r="K1202" s="184" t="n">
        <v>16220</v>
      </c>
      <c r="L1202" s="185" t="n">
        <v>12</v>
      </c>
      <c r="M1202" s="173" t="n">
        <v>26620</v>
      </c>
      <c r="N1202" s="184" t="n">
        <v>23425.6</v>
      </c>
      <c r="O1202" s="184" t="s">
        <v>2805</v>
      </c>
      <c r="P1202" s="187" t="n">
        <v>45956</v>
      </c>
      <c r="Q1202" s="188" t="n">
        <v>0.0991319444444444</v>
      </c>
    </row>
    <row r="1203" customFormat="false" ht="35.05" hidden="false" customHeight="false" outlineLevel="0" collapsed="false">
      <c r="A1203" s="181" t="s">
        <v>2806</v>
      </c>
      <c r="B1203" s="182" t="n">
        <v>2659</v>
      </c>
      <c r="C1203" s="183" t="n">
        <v>134</v>
      </c>
      <c r="D1203" s="181" t="s">
        <v>2401</v>
      </c>
      <c r="E1203" s="181" t="s">
        <v>383</v>
      </c>
      <c r="F1203" s="181" t="s">
        <v>384</v>
      </c>
      <c r="G1203" s="181" t="s">
        <v>2402</v>
      </c>
      <c r="H1203" s="181" t="s">
        <v>279</v>
      </c>
      <c r="I1203" s="181" t="s">
        <v>242</v>
      </c>
      <c r="J1203" s="184" t="n">
        <v>40760</v>
      </c>
      <c r="K1203" s="184" t="n">
        <v>15190</v>
      </c>
      <c r="L1203" s="185" t="n">
        <v>6</v>
      </c>
      <c r="M1203" s="173" t="n">
        <v>25570</v>
      </c>
      <c r="N1203" s="184" t="n">
        <v>24035.8</v>
      </c>
      <c r="O1203" s="184" t="s">
        <v>2807</v>
      </c>
      <c r="P1203" s="187" t="n">
        <v>45956</v>
      </c>
      <c r="Q1203" s="188" t="n">
        <v>0.147222222222222</v>
      </c>
    </row>
    <row r="1204" customFormat="false" ht="35.05" hidden="false" customHeight="false" outlineLevel="0" collapsed="false">
      <c r="A1204" s="181" t="s">
        <v>2808</v>
      </c>
      <c r="B1204" s="182" t="n">
        <v>2660</v>
      </c>
      <c r="C1204" s="183" t="n">
        <v>135</v>
      </c>
      <c r="D1204" s="181" t="s">
        <v>2401</v>
      </c>
      <c r="E1204" s="181" t="s">
        <v>387</v>
      </c>
      <c r="F1204" s="181" t="s">
        <v>388</v>
      </c>
      <c r="G1204" s="181" t="s">
        <v>2402</v>
      </c>
      <c r="H1204" s="181" t="s">
        <v>279</v>
      </c>
      <c r="I1204" s="181" t="s">
        <v>242</v>
      </c>
      <c r="J1204" s="184" t="n">
        <v>42230</v>
      </c>
      <c r="K1204" s="184" t="n">
        <v>15350</v>
      </c>
      <c r="L1204" s="185" t="n">
        <v>11</v>
      </c>
      <c r="M1204" s="173" t="n">
        <v>26880</v>
      </c>
      <c r="N1204" s="184" t="n">
        <v>23923.2</v>
      </c>
      <c r="O1204" s="184" t="s">
        <v>2809</v>
      </c>
      <c r="P1204" s="187" t="n">
        <v>45956</v>
      </c>
      <c r="Q1204" s="188" t="n">
        <v>0.171990740740741</v>
      </c>
    </row>
    <row r="1205" customFormat="false" ht="35.05" hidden="false" customHeight="false" outlineLevel="0" collapsed="false">
      <c r="A1205" s="181" t="s">
        <v>2810</v>
      </c>
      <c r="B1205" s="182" t="n">
        <v>2661</v>
      </c>
      <c r="C1205" s="183" t="n">
        <v>136</v>
      </c>
      <c r="D1205" s="181" t="s">
        <v>2401</v>
      </c>
      <c r="E1205" s="181" t="s">
        <v>350</v>
      </c>
      <c r="F1205" s="181" t="s">
        <v>351</v>
      </c>
      <c r="G1205" s="181" t="s">
        <v>2402</v>
      </c>
      <c r="H1205" s="181" t="s">
        <v>279</v>
      </c>
      <c r="I1205" s="181" t="s">
        <v>242</v>
      </c>
      <c r="J1205" s="184" t="n">
        <v>42640</v>
      </c>
      <c r="K1205" s="184" t="n">
        <v>15310</v>
      </c>
      <c r="L1205" s="185" t="n">
        <v>16</v>
      </c>
      <c r="M1205" s="173" t="n">
        <v>27330</v>
      </c>
      <c r="N1205" s="184" t="n">
        <v>22957.2</v>
      </c>
      <c r="O1205" s="184" t="s">
        <v>2811</v>
      </c>
      <c r="P1205" s="187" t="n">
        <v>45956</v>
      </c>
      <c r="Q1205" s="188" t="n">
        <v>0.213009259259259</v>
      </c>
    </row>
    <row r="1206" customFormat="false" ht="35.05" hidden="false" customHeight="false" outlineLevel="0" collapsed="false">
      <c r="A1206" s="181" t="s">
        <v>2812</v>
      </c>
      <c r="B1206" s="182" t="n">
        <v>2662</v>
      </c>
      <c r="C1206" s="183" t="n">
        <v>137</v>
      </c>
      <c r="D1206" s="181" t="s">
        <v>2401</v>
      </c>
      <c r="E1206" s="181" t="s">
        <v>373</v>
      </c>
      <c r="F1206" s="181" t="s">
        <v>374</v>
      </c>
      <c r="G1206" s="181" t="s">
        <v>2402</v>
      </c>
      <c r="H1206" s="181" t="s">
        <v>279</v>
      </c>
      <c r="I1206" s="181" t="s">
        <v>242</v>
      </c>
      <c r="J1206" s="184" t="n">
        <v>41830</v>
      </c>
      <c r="K1206" s="184" t="n">
        <v>14660</v>
      </c>
      <c r="L1206" s="185" t="n">
        <v>5</v>
      </c>
      <c r="M1206" s="173" t="n">
        <v>27170</v>
      </c>
      <c r="N1206" s="184" t="n">
        <v>25811.5</v>
      </c>
      <c r="O1206" s="184" t="s">
        <v>2813</v>
      </c>
      <c r="P1206" s="187" t="n">
        <v>45956</v>
      </c>
      <c r="Q1206" s="188" t="n">
        <v>0.258645833333333</v>
      </c>
    </row>
    <row r="1207" customFormat="false" ht="35.05" hidden="false" customHeight="false" outlineLevel="0" collapsed="false">
      <c r="A1207" s="181" t="s">
        <v>2814</v>
      </c>
      <c r="B1207" s="182" t="n">
        <v>2663</v>
      </c>
      <c r="C1207" s="183" t="n">
        <v>138</v>
      </c>
      <c r="D1207" s="181" t="s">
        <v>2401</v>
      </c>
      <c r="E1207" s="181" t="s">
        <v>354</v>
      </c>
      <c r="F1207" s="181" t="s">
        <v>355</v>
      </c>
      <c r="G1207" s="181" t="s">
        <v>2402</v>
      </c>
      <c r="H1207" s="181" t="s">
        <v>279</v>
      </c>
      <c r="I1207" s="181" t="s">
        <v>242</v>
      </c>
      <c r="J1207" s="184" t="n">
        <v>39500</v>
      </c>
      <c r="K1207" s="184" t="n">
        <v>14960</v>
      </c>
      <c r="L1207" s="185" t="n">
        <v>17</v>
      </c>
      <c r="M1207" s="173" t="n">
        <v>24540</v>
      </c>
      <c r="N1207" s="184" t="n">
        <v>20368.2</v>
      </c>
      <c r="O1207" s="184" t="s">
        <v>2815</v>
      </c>
      <c r="P1207" s="187" t="n">
        <v>45956</v>
      </c>
      <c r="Q1207" s="188" t="n">
        <v>0.27349537037037</v>
      </c>
    </row>
    <row r="1208" customFormat="false" ht="35.05" hidden="false" customHeight="false" outlineLevel="0" collapsed="false">
      <c r="A1208" s="181" t="s">
        <v>2816</v>
      </c>
      <c r="B1208" s="182" t="n">
        <v>2674</v>
      </c>
      <c r="C1208" s="183" t="n">
        <v>147</v>
      </c>
      <c r="D1208" s="181" t="s">
        <v>2401</v>
      </c>
      <c r="E1208" s="181" t="s">
        <v>288</v>
      </c>
      <c r="F1208" s="181" t="s">
        <v>289</v>
      </c>
      <c r="G1208" s="181" t="s">
        <v>2402</v>
      </c>
      <c r="H1208" s="181" t="s">
        <v>279</v>
      </c>
      <c r="I1208" s="181" t="s">
        <v>242</v>
      </c>
      <c r="J1208" s="184" t="n">
        <v>37950</v>
      </c>
      <c r="K1208" s="184" t="n">
        <v>14920</v>
      </c>
      <c r="L1208" s="185" t="n">
        <v>12</v>
      </c>
      <c r="M1208" s="173" t="n">
        <v>23030</v>
      </c>
      <c r="N1208" s="184" t="n">
        <v>20266.4</v>
      </c>
      <c r="O1208" s="184" t="s">
        <v>2817</v>
      </c>
      <c r="P1208" s="187" t="n">
        <v>45956</v>
      </c>
      <c r="Q1208" s="188" t="n">
        <v>0.401215277777778</v>
      </c>
    </row>
    <row r="1209" customFormat="false" ht="35.05" hidden="false" customHeight="false" outlineLevel="0" collapsed="false">
      <c r="A1209" s="181" t="s">
        <v>2818</v>
      </c>
      <c r="B1209" s="182" t="n">
        <v>2664</v>
      </c>
      <c r="C1209" s="183" t="n">
        <v>139</v>
      </c>
      <c r="D1209" s="181" t="s">
        <v>2401</v>
      </c>
      <c r="E1209" s="181" t="s">
        <v>413</v>
      </c>
      <c r="F1209" s="181" t="s">
        <v>414</v>
      </c>
      <c r="G1209" s="181" t="s">
        <v>2402</v>
      </c>
      <c r="H1209" s="181" t="s">
        <v>279</v>
      </c>
      <c r="I1209" s="181" t="s">
        <v>242</v>
      </c>
      <c r="J1209" s="184" t="n">
        <v>47160</v>
      </c>
      <c r="K1209" s="184" t="n">
        <v>16140</v>
      </c>
      <c r="L1209" s="185" t="n">
        <v>10</v>
      </c>
      <c r="M1209" s="173" t="n">
        <v>31020</v>
      </c>
      <c r="N1209" s="184" t="n">
        <v>27918</v>
      </c>
      <c r="O1209" s="184" t="s">
        <v>2819</v>
      </c>
      <c r="P1209" s="187" t="n">
        <v>45956</v>
      </c>
      <c r="Q1209" s="188" t="n">
        <v>0.425752314814815</v>
      </c>
    </row>
    <row r="1210" customFormat="false" ht="35.05" hidden="false" customHeight="false" outlineLevel="0" collapsed="false">
      <c r="A1210" s="181" t="s">
        <v>2820</v>
      </c>
      <c r="B1210" s="182" t="n">
        <v>2665</v>
      </c>
      <c r="C1210" s="183" t="n">
        <v>116</v>
      </c>
      <c r="D1210" s="181" t="s">
        <v>2401</v>
      </c>
      <c r="E1210" s="181" t="s">
        <v>359</v>
      </c>
      <c r="F1210" s="181" t="s">
        <v>360</v>
      </c>
      <c r="G1210" s="181" t="s">
        <v>2402</v>
      </c>
      <c r="H1210" s="181" t="s">
        <v>279</v>
      </c>
      <c r="I1210" s="181" t="s">
        <v>242</v>
      </c>
      <c r="J1210" s="184" t="n">
        <v>37460</v>
      </c>
      <c r="K1210" s="184" t="n">
        <v>15070</v>
      </c>
      <c r="L1210" s="185" t="n">
        <v>9</v>
      </c>
      <c r="M1210" s="173" t="n">
        <v>22390</v>
      </c>
      <c r="N1210" s="184" t="n">
        <v>20374.9</v>
      </c>
      <c r="O1210" s="184" t="s">
        <v>2821</v>
      </c>
      <c r="P1210" s="187" t="n">
        <v>45956</v>
      </c>
      <c r="Q1210" s="188" t="n">
        <v>0.468657407407407</v>
      </c>
    </row>
    <row r="1211" customFormat="false" ht="35.05" hidden="false" customHeight="false" outlineLevel="0" collapsed="false">
      <c r="A1211" s="181" t="s">
        <v>2822</v>
      </c>
      <c r="B1211" s="182" t="n">
        <v>2676</v>
      </c>
      <c r="C1211" s="183" t="n">
        <v>148</v>
      </c>
      <c r="D1211" s="181" t="s">
        <v>2401</v>
      </c>
      <c r="E1211" s="181" t="s">
        <v>304</v>
      </c>
      <c r="F1211" s="181" t="s">
        <v>305</v>
      </c>
      <c r="G1211" s="181" t="s">
        <v>2402</v>
      </c>
      <c r="H1211" s="181" t="s">
        <v>279</v>
      </c>
      <c r="I1211" s="181" t="s">
        <v>242</v>
      </c>
      <c r="J1211" s="184" t="n">
        <v>38650</v>
      </c>
      <c r="K1211" s="184" t="n">
        <v>15170</v>
      </c>
      <c r="L1211" s="185" t="n">
        <v>15</v>
      </c>
      <c r="M1211" s="173" t="n">
        <v>23480</v>
      </c>
      <c r="N1211" s="184" t="n">
        <v>19958</v>
      </c>
      <c r="O1211" s="184" t="s">
        <v>2823</v>
      </c>
      <c r="P1211" s="187" t="n">
        <v>45956</v>
      </c>
      <c r="Q1211" s="188" t="n">
        <v>0.520104166666667</v>
      </c>
    </row>
    <row r="1212" customFormat="false" ht="35.05" hidden="false" customHeight="false" outlineLevel="0" collapsed="false">
      <c r="A1212" s="181" t="s">
        <v>2824</v>
      </c>
      <c r="B1212" s="182" t="n">
        <v>2666</v>
      </c>
      <c r="C1212" s="183" t="n">
        <v>143</v>
      </c>
      <c r="D1212" s="181" t="s">
        <v>2401</v>
      </c>
      <c r="E1212" s="181" t="s">
        <v>549</v>
      </c>
      <c r="F1212" s="181" t="s">
        <v>550</v>
      </c>
      <c r="G1212" s="181" t="s">
        <v>2402</v>
      </c>
      <c r="H1212" s="181" t="s">
        <v>279</v>
      </c>
      <c r="I1212" s="181" t="s">
        <v>242</v>
      </c>
      <c r="J1212" s="184" t="n">
        <v>39580</v>
      </c>
      <c r="K1212" s="184" t="n">
        <v>15960</v>
      </c>
      <c r="L1212" s="185" t="n">
        <v>14</v>
      </c>
      <c r="M1212" s="173" t="n">
        <v>23620</v>
      </c>
      <c r="N1212" s="184" t="n">
        <v>20313.2</v>
      </c>
      <c r="O1212" s="184" t="s">
        <v>2825</v>
      </c>
      <c r="P1212" s="187" t="n">
        <v>45956</v>
      </c>
      <c r="Q1212" s="188" t="n">
        <v>0.541458333333333</v>
      </c>
    </row>
    <row r="1213" customFormat="false" ht="35.05" hidden="false" customHeight="false" outlineLevel="0" collapsed="false">
      <c r="A1213" s="181" t="s">
        <v>2826</v>
      </c>
      <c r="B1213" s="182" t="n">
        <v>2679</v>
      </c>
      <c r="C1213" s="183" t="n">
        <v>150</v>
      </c>
      <c r="D1213" s="181" t="s">
        <v>2401</v>
      </c>
      <c r="E1213" s="181" t="s">
        <v>533</v>
      </c>
      <c r="F1213" s="181" t="s">
        <v>534</v>
      </c>
      <c r="G1213" s="181" t="s">
        <v>2402</v>
      </c>
      <c r="H1213" s="181" t="s">
        <v>279</v>
      </c>
      <c r="I1213" s="181" t="s">
        <v>242</v>
      </c>
      <c r="J1213" s="184" t="n">
        <v>38380</v>
      </c>
      <c r="K1213" s="184" t="n">
        <v>14800</v>
      </c>
      <c r="L1213" s="185" t="n">
        <v>20</v>
      </c>
      <c r="M1213" s="173" t="n">
        <v>23580</v>
      </c>
      <c r="N1213" s="184" t="n">
        <v>18864</v>
      </c>
      <c r="O1213" s="184" t="s">
        <v>2827</v>
      </c>
      <c r="P1213" s="187" t="n">
        <v>45956</v>
      </c>
      <c r="Q1213" s="188" t="n">
        <v>0.546226851851852</v>
      </c>
    </row>
    <row r="1214" customFormat="false" ht="35.05" hidden="false" customHeight="false" outlineLevel="0" collapsed="false">
      <c r="A1214" s="181" t="s">
        <v>2828</v>
      </c>
      <c r="B1214" s="182" t="n">
        <v>2681</v>
      </c>
      <c r="C1214" s="183" t="n">
        <v>151</v>
      </c>
      <c r="D1214" s="181" t="s">
        <v>2401</v>
      </c>
      <c r="E1214" s="181" t="s">
        <v>545</v>
      </c>
      <c r="F1214" s="181" t="s">
        <v>546</v>
      </c>
      <c r="G1214" s="181" t="s">
        <v>2402</v>
      </c>
      <c r="H1214" s="181" t="s">
        <v>279</v>
      </c>
      <c r="I1214" s="181" t="s">
        <v>242</v>
      </c>
      <c r="J1214" s="184" t="n">
        <v>40120</v>
      </c>
      <c r="K1214" s="184" t="n">
        <v>16280</v>
      </c>
      <c r="L1214" s="185" t="n">
        <v>10</v>
      </c>
      <c r="M1214" s="173" t="n">
        <v>23840</v>
      </c>
      <c r="N1214" s="184" t="n">
        <v>21456</v>
      </c>
      <c r="O1214" s="184" t="s">
        <v>2829</v>
      </c>
      <c r="P1214" s="187" t="n">
        <v>45956</v>
      </c>
      <c r="Q1214" s="188" t="n">
        <v>0.565763888888889</v>
      </c>
    </row>
    <row r="1215" customFormat="false" ht="35.05" hidden="false" customHeight="false" outlineLevel="0" collapsed="false">
      <c r="A1215" s="181" t="s">
        <v>2830</v>
      </c>
      <c r="B1215" s="182" t="n">
        <v>2668</v>
      </c>
      <c r="C1215" s="183" t="n">
        <v>142</v>
      </c>
      <c r="D1215" s="181" t="s">
        <v>2401</v>
      </c>
      <c r="E1215" s="181" t="s">
        <v>409</v>
      </c>
      <c r="F1215" s="181" t="s">
        <v>410</v>
      </c>
      <c r="G1215" s="181" t="s">
        <v>2402</v>
      </c>
      <c r="H1215" s="181" t="s">
        <v>279</v>
      </c>
      <c r="I1215" s="181" t="s">
        <v>242</v>
      </c>
      <c r="J1215" s="184" t="n">
        <v>60070</v>
      </c>
      <c r="K1215" s="184" t="n">
        <v>24880</v>
      </c>
      <c r="L1215" s="185" t="n">
        <v>19</v>
      </c>
      <c r="M1215" s="173" t="n">
        <v>35190</v>
      </c>
      <c r="N1215" s="184" t="n">
        <v>28503.9</v>
      </c>
      <c r="O1215" s="184" t="s">
        <v>2831</v>
      </c>
      <c r="P1215" s="187" t="n">
        <v>45956</v>
      </c>
      <c r="Q1215" s="188" t="n">
        <v>0.613032407407407</v>
      </c>
    </row>
    <row r="1216" customFormat="false" ht="35.05" hidden="false" customHeight="false" outlineLevel="0" collapsed="false">
      <c r="A1216" s="181" t="s">
        <v>2832</v>
      </c>
      <c r="B1216" s="182" t="n">
        <v>2682</v>
      </c>
      <c r="C1216" s="183" t="n">
        <v>152</v>
      </c>
      <c r="D1216" s="181" t="s">
        <v>2401</v>
      </c>
      <c r="E1216" s="181" t="s">
        <v>336</v>
      </c>
      <c r="F1216" s="181" t="s">
        <v>337</v>
      </c>
      <c r="G1216" s="181" t="s">
        <v>2402</v>
      </c>
      <c r="H1216" s="181" t="s">
        <v>279</v>
      </c>
      <c r="I1216" s="181" t="s">
        <v>242</v>
      </c>
      <c r="J1216" s="184" t="n">
        <v>38970</v>
      </c>
      <c r="K1216" s="184" t="n">
        <v>14770</v>
      </c>
      <c r="L1216" s="185" t="n">
        <v>21</v>
      </c>
      <c r="M1216" s="173" t="n">
        <v>24200</v>
      </c>
      <c r="N1216" s="184" t="n">
        <v>19118</v>
      </c>
      <c r="O1216" s="184" t="s">
        <v>2833</v>
      </c>
      <c r="P1216" s="187" t="n">
        <v>45956</v>
      </c>
      <c r="Q1216" s="188" t="n">
        <v>0.625694444444444</v>
      </c>
    </row>
    <row r="1217" customFormat="false" ht="35.05" hidden="false" customHeight="false" outlineLevel="0" collapsed="false">
      <c r="A1217" s="181" t="s">
        <v>2834</v>
      </c>
      <c r="B1217" s="182" t="n">
        <v>2669</v>
      </c>
      <c r="C1217" s="183" t="n">
        <v>140</v>
      </c>
      <c r="D1217" s="181" t="s">
        <v>2401</v>
      </c>
      <c r="E1217" s="181" t="s">
        <v>300</v>
      </c>
      <c r="F1217" s="181" t="s">
        <v>301</v>
      </c>
      <c r="G1217" s="181" t="s">
        <v>2402</v>
      </c>
      <c r="H1217" s="181" t="s">
        <v>279</v>
      </c>
      <c r="I1217" s="181" t="s">
        <v>242</v>
      </c>
      <c r="J1217" s="184" t="n">
        <v>57650</v>
      </c>
      <c r="K1217" s="184" t="n">
        <v>21550</v>
      </c>
      <c r="L1217" s="185" t="n">
        <v>12</v>
      </c>
      <c r="M1217" s="173" t="n">
        <v>36100</v>
      </c>
      <c r="N1217" s="184" t="n">
        <v>31768</v>
      </c>
      <c r="O1217" s="184" t="s">
        <v>2835</v>
      </c>
      <c r="P1217" s="187" t="n">
        <v>45956</v>
      </c>
      <c r="Q1217" s="188" t="n">
        <v>0.701701388888889</v>
      </c>
    </row>
    <row r="1218" customFormat="false" ht="35.05" hidden="false" customHeight="false" outlineLevel="0" collapsed="false">
      <c r="A1218" s="181" t="s">
        <v>2836</v>
      </c>
      <c r="B1218" s="182" t="n">
        <v>2670</v>
      </c>
      <c r="C1218" s="183" t="n">
        <v>144</v>
      </c>
      <c r="D1218" s="181" t="s">
        <v>2401</v>
      </c>
      <c r="E1218" s="181" t="s">
        <v>582</v>
      </c>
      <c r="F1218" s="181" t="s">
        <v>583</v>
      </c>
      <c r="G1218" s="181" t="s">
        <v>2402</v>
      </c>
      <c r="H1218" s="181" t="s">
        <v>279</v>
      </c>
      <c r="I1218" s="181" t="s">
        <v>242</v>
      </c>
      <c r="J1218" s="184" t="n">
        <v>41370</v>
      </c>
      <c r="K1218" s="184" t="n">
        <v>15080</v>
      </c>
      <c r="L1218" s="185" t="n">
        <v>14</v>
      </c>
      <c r="M1218" s="173" t="n">
        <v>26290</v>
      </c>
      <c r="N1218" s="184" t="n">
        <v>22609.4</v>
      </c>
      <c r="O1218" s="184" t="s">
        <v>2837</v>
      </c>
      <c r="P1218" s="187" t="n">
        <v>45956</v>
      </c>
      <c r="Q1218" s="188" t="n">
        <v>0.821516203703704</v>
      </c>
    </row>
    <row r="1219" customFormat="false" ht="35.05" hidden="false" customHeight="false" outlineLevel="0" collapsed="false">
      <c r="A1219" s="181" t="s">
        <v>2838</v>
      </c>
      <c r="B1219" s="182" t="n">
        <v>2671</v>
      </c>
      <c r="C1219" s="183" t="n">
        <v>145</v>
      </c>
      <c r="D1219" s="181" t="s">
        <v>2401</v>
      </c>
      <c r="E1219" s="181" t="s">
        <v>332</v>
      </c>
      <c r="F1219" s="181" t="s">
        <v>333</v>
      </c>
      <c r="G1219" s="181" t="s">
        <v>2402</v>
      </c>
      <c r="H1219" s="181" t="s">
        <v>279</v>
      </c>
      <c r="I1219" s="181" t="s">
        <v>242</v>
      </c>
      <c r="J1219" s="184" t="n">
        <v>39590</v>
      </c>
      <c r="K1219" s="184" t="n">
        <v>14960</v>
      </c>
      <c r="L1219" s="185" t="n">
        <v>16</v>
      </c>
      <c r="M1219" s="173" t="n">
        <v>24630</v>
      </c>
      <c r="N1219" s="184" t="n">
        <v>20689.2</v>
      </c>
      <c r="O1219" s="184" t="s">
        <v>2839</v>
      </c>
      <c r="P1219" s="187" t="n">
        <v>45956</v>
      </c>
      <c r="Q1219" s="188" t="n">
        <v>0.898611111111111</v>
      </c>
    </row>
    <row r="1220" customFormat="false" ht="35.05" hidden="false" customHeight="false" outlineLevel="0" collapsed="false">
      <c r="A1220" s="181" t="s">
        <v>2840</v>
      </c>
      <c r="B1220" s="182" t="n">
        <v>2683</v>
      </c>
      <c r="C1220" s="183" t="n">
        <v>149</v>
      </c>
      <c r="D1220" s="181" t="s">
        <v>2401</v>
      </c>
      <c r="E1220" s="181" t="s">
        <v>308</v>
      </c>
      <c r="F1220" s="181" t="s">
        <v>309</v>
      </c>
      <c r="G1220" s="181" t="s">
        <v>2728</v>
      </c>
      <c r="H1220" s="181" t="s">
        <v>279</v>
      </c>
      <c r="I1220" s="181" t="s">
        <v>242</v>
      </c>
      <c r="J1220" s="184" t="n">
        <v>62600</v>
      </c>
      <c r="K1220" s="184" t="n">
        <v>24250</v>
      </c>
      <c r="L1220" s="185" t="n">
        <v>18</v>
      </c>
      <c r="M1220" s="173" t="n">
        <v>38350</v>
      </c>
      <c r="N1220" s="184" t="n">
        <v>31447</v>
      </c>
      <c r="O1220" s="184" t="s">
        <v>2841</v>
      </c>
      <c r="P1220" s="187" t="n">
        <v>45956</v>
      </c>
      <c r="Q1220" s="188" t="n">
        <v>0.740393518518519</v>
      </c>
    </row>
    <row r="1221" customFormat="false" ht="35.05" hidden="false" customHeight="false" outlineLevel="0" collapsed="false">
      <c r="A1221" s="181" t="s">
        <v>2842</v>
      </c>
      <c r="B1221" s="182" t="n">
        <v>2685</v>
      </c>
      <c r="C1221" s="183" t="n">
        <v>154</v>
      </c>
      <c r="D1221" s="181" t="s">
        <v>2401</v>
      </c>
      <c r="E1221" s="181" t="s">
        <v>391</v>
      </c>
      <c r="F1221" s="181" t="s">
        <v>392</v>
      </c>
      <c r="G1221" s="181" t="s">
        <v>2728</v>
      </c>
      <c r="H1221" s="181" t="s">
        <v>279</v>
      </c>
      <c r="I1221" s="181" t="s">
        <v>242</v>
      </c>
      <c r="J1221" s="184" t="n">
        <v>34980</v>
      </c>
      <c r="K1221" s="184" t="n">
        <v>14840</v>
      </c>
      <c r="L1221" s="185" t="n">
        <v>18</v>
      </c>
      <c r="M1221" s="173" t="n">
        <v>20140</v>
      </c>
      <c r="N1221" s="184" t="n">
        <v>16514.8</v>
      </c>
      <c r="O1221" s="184" t="s">
        <v>2843</v>
      </c>
      <c r="P1221" s="187" t="n">
        <v>45956</v>
      </c>
      <c r="Q1221" s="188" t="n">
        <v>0.772916666666667</v>
      </c>
    </row>
    <row r="1222" customFormat="false" ht="35.05" hidden="false" customHeight="false" outlineLevel="0" collapsed="false">
      <c r="A1222" s="181" t="s">
        <v>2844</v>
      </c>
      <c r="B1222" s="182" t="n">
        <v>2686</v>
      </c>
      <c r="C1222" s="183" t="n">
        <v>155</v>
      </c>
      <c r="D1222" s="181" t="s">
        <v>2401</v>
      </c>
      <c r="E1222" s="181" t="s">
        <v>537</v>
      </c>
      <c r="F1222" s="181" t="s">
        <v>538</v>
      </c>
      <c r="G1222" s="181" t="s">
        <v>2728</v>
      </c>
      <c r="H1222" s="181" t="s">
        <v>279</v>
      </c>
      <c r="I1222" s="181" t="s">
        <v>242</v>
      </c>
      <c r="J1222" s="184" t="n">
        <v>36390</v>
      </c>
      <c r="K1222" s="184" t="n">
        <v>14210</v>
      </c>
      <c r="L1222" s="185" t="n">
        <v>5</v>
      </c>
      <c r="M1222" s="173" t="n">
        <v>22180</v>
      </c>
      <c r="N1222" s="184" t="n">
        <v>21071</v>
      </c>
      <c r="O1222" s="184" t="s">
        <v>2845</v>
      </c>
      <c r="P1222" s="187" t="n">
        <v>45956</v>
      </c>
      <c r="Q1222" s="188" t="n">
        <v>0.792627314814815</v>
      </c>
    </row>
    <row r="1223" customFormat="false" ht="35.05" hidden="false" customHeight="false" outlineLevel="0" collapsed="false">
      <c r="A1223" s="181" t="s">
        <v>2846</v>
      </c>
      <c r="B1223" s="182" t="n">
        <v>2672</v>
      </c>
      <c r="C1223" s="183" t="n">
        <v>146</v>
      </c>
      <c r="D1223" s="181" t="s">
        <v>2401</v>
      </c>
      <c r="E1223" s="181" t="s">
        <v>346</v>
      </c>
      <c r="F1223" s="181" t="s">
        <v>347</v>
      </c>
      <c r="G1223" s="181" t="s">
        <v>2402</v>
      </c>
      <c r="H1223" s="181" t="s">
        <v>279</v>
      </c>
      <c r="I1223" s="181" t="s">
        <v>242</v>
      </c>
      <c r="J1223" s="184" t="n">
        <v>39870</v>
      </c>
      <c r="K1223" s="184" t="n">
        <v>15470</v>
      </c>
      <c r="L1223" s="185" t="n">
        <v>17</v>
      </c>
      <c r="M1223" s="173" t="n">
        <v>24400</v>
      </c>
      <c r="N1223" s="184" t="n">
        <v>20252</v>
      </c>
      <c r="O1223" s="184" t="s">
        <v>2847</v>
      </c>
      <c r="P1223" s="187" t="n">
        <v>45956</v>
      </c>
      <c r="Q1223" s="188" t="n">
        <v>0.950856481481482</v>
      </c>
    </row>
    <row r="1224" customFormat="false" ht="35.05" hidden="false" customHeight="false" outlineLevel="0" collapsed="false">
      <c r="A1224" s="181" t="s">
        <v>2848</v>
      </c>
      <c r="B1224" s="182" t="n">
        <v>2688</v>
      </c>
      <c r="C1224" s="183" t="n">
        <v>153</v>
      </c>
      <c r="D1224" s="181" t="s">
        <v>2401</v>
      </c>
      <c r="E1224" s="181" t="s">
        <v>541</v>
      </c>
      <c r="F1224" s="181" t="s">
        <v>542</v>
      </c>
      <c r="G1224" s="181" t="s">
        <v>2728</v>
      </c>
      <c r="H1224" s="181" t="s">
        <v>279</v>
      </c>
      <c r="I1224" s="181" t="s">
        <v>242</v>
      </c>
      <c r="J1224" s="184" t="n">
        <v>39260</v>
      </c>
      <c r="K1224" s="184" t="n">
        <v>15160</v>
      </c>
      <c r="L1224" s="185" t="n">
        <v>5</v>
      </c>
      <c r="M1224" s="173" t="n">
        <v>24100</v>
      </c>
      <c r="N1224" s="184" t="n">
        <v>22895</v>
      </c>
      <c r="O1224" s="184" t="s">
        <v>2849</v>
      </c>
      <c r="P1224" s="187" t="n">
        <v>45956</v>
      </c>
      <c r="Q1224" s="188" t="n">
        <v>0.821875</v>
      </c>
    </row>
    <row r="1225" customFormat="false" ht="35.05" hidden="false" customHeight="false" outlineLevel="0" collapsed="false">
      <c r="A1225" s="181" t="s">
        <v>2850</v>
      </c>
      <c r="B1225" s="182" t="n">
        <v>2689</v>
      </c>
      <c r="C1225" s="183" t="n">
        <v>157</v>
      </c>
      <c r="D1225" s="181" t="s">
        <v>2401</v>
      </c>
      <c r="E1225" s="181" t="s">
        <v>266</v>
      </c>
      <c r="F1225" s="181" t="s">
        <v>267</v>
      </c>
      <c r="G1225" s="181" t="s">
        <v>2728</v>
      </c>
      <c r="H1225" s="181" t="s">
        <v>279</v>
      </c>
      <c r="I1225" s="181" t="s">
        <v>242</v>
      </c>
      <c r="J1225" s="184" t="n">
        <v>39280</v>
      </c>
      <c r="K1225" s="184" t="n">
        <v>15360</v>
      </c>
      <c r="L1225" s="185" t="n">
        <v>10</v>
      </c>
      <c r="M1225" s="173" t="n">
        <v>23920</v>
      </c>
      <c r="N1225" s="184" t="n">
        <v>21528</v>
      </c>
      <c r="O1225" s="184" t="s">
        <v>2851</v>
      </c>
      <c r="P1225" s="187" t="n">
        <v>45956</v>
      </c>
      <c r="Q1225" s="188" t="n">
        <v>0.866898148148148</v>
      </c>
    </row>
    <row r="1226" customFormat="false" ht="35.05" hidden="false" customHeight="false" outlineLevel="0" collapsed="false">
      <c r="A1226" s="181" t="s">
        <v>2852</v>
      </c>
      <c r="B1226" s="182" t="n">
        <v>2691</v>
      </c>
      <c r="C1226" s="183" t="n">
        <v>156</v>
      </c>
      <c r="D1226" s="181" t="s">
        <v>2401</v>
      </c>
      <c r="E1226" s="181" t="s">
        <v>399</v>
      </c>
      <c r="F1226" s="181" t="s">
        <v>400</v>
      </c>
      <c r="G1226" s="181" t="s">
        <v>2728</v>
      </c>
      <c r="H1226" s="181" t="s">
        <v>279</v>
      </c>
      <c r="I1226" s="181" t="s">
        <v>242</v>
      </c>
      <c r="J1226" s="184" t="n">
        <v>53440</v>
      </c>
      <c r="K1226" s="184" t="n">
        <v>19890</v>
      </c>
      <c r="L1226" s="185" t="n">
        <v>11</v>
      </c>
      <c r="M1226" s="173" t="n">
        <v>33550</v>
      </c>
      <c r="N1226" s="184" t="n">
        <v>29859.5</v>
      </c>
      <c r="O1226" s="184" t="s">
        <v>2853</v>
      </c>
      <c r="P1226" s="187" t="n">
        <v>45956</v>
      </c>
      <c r="Q1226" s="188" t="n">
        <v>0.910520833333333</v>
      </c>
    </row>
    <row r="1227" customFormat="false" ht="35.05" hidden="false" customHeight="false" outlineLevel="0" collapsed="false">
      <c r="A1227" s="181" t="s">
        <v>2854</v>
      </c>
      <c r="B1227" s="182" t="n">
        <v>2707</v>
      </c>
      <c r="C1227" s="183" t="n">
        <v>164</v>
      </c>
      <c r="D1227" s="181" t="s">
        <v>2401</v>
      </c>
      <c r="E1227" s="181" t="s">
        <v>367</v>
      </c>
      <c r="F1227" s="181" t="s">
        <v>368</v>
      </c>
      <c r="G1227" s="181" t="s">
        <v>2728</v>
      </c>
      <c r="H1227" s="181" t="s">
        <v>279</v>
      </c>
      <c r="I1227" s="181" t="s">
        <v>242</v>
      </c>
      <c r="J1227" s="184" t="n">
        <v>50770</v>
      </c>
      <c r="K1227" s="184" t="n">
        <v>18900</v>
      </c>
      <c r="L1227" s="185" t="n">
        <v>5</v>
      </c>
      <c r="M1227" s="173" t="n">
        <v>31870</v>
      </c>
      <c r="N1227" s="184" t="n">
        <v>30276.5</v>
      </c>
      <c r="O1227" s="184" t="s">
        <v>2855</v>
      </c>
      <c r="P1227" s="187" t="n">
        <v>45957</v>
      </c>
      <c r="Q1227" s="188" t="n">
        <v>0.565706018518519</v>
      </c>
    </row>
    <row r="1228" customFormat="false" ht="35.05" hidden="false" customHeight="false" outlineLevel="0" collapsed="false">
      <c r="A1228" s="181" t="s">
        <v>2856</v>
      </c>
      <c r="B1228" s="182" t="n">
        <v>2712</v>
      </c>
      <c r="C1228" s="183" t="n">
        <v>165</v>
      </c>
      <c r="D1228" s="181" t="s">
        <v>2401</v>
      </c>
      <c r="E1228" s="181" t="s">
        <v>354</v>
      </c>
      <c r="F1228" s="181" t="s">
        <v>355</v>
      </c>
      <c r="G1228" s="181" t="s">
        <v>2728</v>
      </c>
      <c r="H1228" s="181" t="s">
        <v>279</v>
      </c>
      <c r="I1228" s="181" t="s">
        <v>242</v>
      </c>
      <c r="J1228" s="184" t="n">
        <v>39960</v>
      </c>
      <c r="K1228" s="184" t="n">
        <v>15130</v>
      </c>
      <c r="L1228" s="185" t="n">
        <v>7</v>
      </c>
      <c r="M1228" s="173" t="n">
        <v>24830</v>
      </c>
      <c r="N1228" s="184" t="n">
        <v>23091.9</v>
      </c>
      <c r="O1228" s="184" t="s">
        <v>2857</v>
      </c>
      <c r="P1228" s="187" t="n">
        <v>45957</v>
      </c>
      <c r="Q1228" s="188" t="n">
        <v>0.636666666666667</v>
      </c>
    </row>
    <row r="1229" customFormat="false" ht="35.05" hidden="false" customHeight="false" outlineLevel="0" collapsed="false">
      <c r="A1229" s="181" t="s">
        <v>2858</v>
      </c>
      <c r="B1229" s="182" t="n">
        <v>2713</v>
      </c>
      <c r="C1229" s="183" t="n">
        <v>166</v>
      </c>
      <c r="D1229" s="181" t="s">
        <v>2401</v>
      </c>
      <c r="E1229" s="181" t="s">
        <v>359</v>
      </c>
      <c r="F1229" s="181" t="s">
        <v>360</v>
      </c>
      <c r="G1229" s="181" t="s">
        <v>2728</v>
      </c>
      <c r="H1229" s="181" t="s">
        <v>279</v>
      </c>
      <c r="I1229" s="181" t="s">
        <v>242</v>
      </c>
      <c r="J1229" s="184" t="n">
        <v>38270</v>
      </c>
      <c r="K1229" s="184" t="n">
        <v>15200</v>
      </c>
      <c r="L1229" s="185" t="n">
        <v>9</v>
      </c>
      <c r="M1229" s="173" t="n">
        <v>23070</v>
      </c>
      <c r="N1229" s="184" t="n">
        <v>20993.7</v>
      </c>
      <c r="O1229" s="184" t="s">
        <v>2859</v>
      </c>
      <c r="P1229" s="187" t="n">
        <v>45957</v>
      </c>
      <c r="Q1229" s="188" t="n">
        <v>0.642800925925926</v>
      </c>
    </row>
    <row r="1230" customFormat="false" ht="35.05" hidden="false" customHeight="false" outlineLevel="0" collapsed="false">
      <c r="A1230" s="181" t="s">
        <v>2860</v>
      </c>
      <c r="B1230" s="182" t="n">
        <v>2692</v>
      </c>
      <c r="C1230" s="183" t="n">
        <v>159</v>
      </c>
      <c r="D1230" s="181" t="s">
        <v>2401</v>
      </c>
      <c r="E1230" s="181" t="s">
        <v>383</v>
      </c>
      <c r="F1230" s="181" t="s">
        <v>384</v>
      </c>
      <c r="G1230" s="181" t="s">
        <v>2728</v>
      </c>
      <c r="H1230" s="181" t="s">
        <v>279</v>
      </c>
      <c r="I1230" s="181" t="s">
        <v>242</v>
      </c>
      <c r="J1230" s="184" t="n">
        <v>41170</v>
      </c>
      <c r="K1230" s="184" t="n">
        <v>15440</v>
      </c>
      <c r="L1230" s="185" t="n">
        <v>8</v>
      </c>
      <c r="M1230" s="173" t="n">
        <v>25730</v>
      </c>
      <c r="N1230" s="184" t="n">
        <v>23671.6</v>
      </c>
      <c r="O1230" s="184" t="s">
        <v>2861</v>
      </c>
      <c r="P1230" s="187" t="n">
        <v>45957</v>
      </c>
      <c r="Q1230" s="188" t="n">
        <v>0.66787037037037</v>
      </c>
    </row>
    <row r="1231" customFormat="false" ht="35.05" hidden="false" customHeight="false" outlineLevel="0" collapsed="false">
      <c r="A1231" s="181" t="s">
        <v>2862</v>
      </c>
      <c r="B1231" s="182" t="n">
        <v>2695</v>
      </c>
      <c r="C1231" s="183" t="n">
        <v>160</v>
      </c>
      <c r="D1231" s="181" t="s">
        <v>2401</v>
      </c>
      <c r="E1231" s="181" t="s">
        <v>387</v>
      </c>
      <c r="F1231" s="181" t="s">
        <v>388</v>
      </c>
      <c r="G1231" s="181" t="s">
        <v>2728</v>
      </c>
      <c r="H1231" s="181" t="s">
        <v>279</v>
      </c>
      <c r="I1231" s="181" t="s">
        <v>242</v>
      </c>
      <c r="J1231" s="184" t="n">
        <v>43410</v>
      </c>
      <c r="K1231" s="184" t="n">
        <v>15450</v>
      </c>
      <c r="L1231" s="185" t="n">
        <v>9</v>
      </c>
      <c r="M1231" s="173" t="n">
        <v>27960</v>
      </c>
      <c r="N1231" s="184" t="n">
        <v>25443.6</v>
      </c>
      <c r="O1231" s="184" t="s">
        <v>2863</v>
      </c>
      <c r="P1231" s="187" t="n">
        <v>45957</v>
      </c>
      <c r="Q1231" s="188" t="n">
        <v>0.707835648148148</v>
      </c>
    </row>
    <row r="1232" customFormat="false" ht="35.05" hidden="false" customHeight="false" outlineLevel="0" collapsed="false">
      <c r="A1232" s="181" t="s">
        <v>2864</v>
      </c>
      <c r="B1232" s="182" t="n">
        <v>2715</v>
      </c>
      <c r="C1232" s="183" t="n">
        <v>167</v>
      </c>
      <c r="D1232" s="181" t="s">
        <v>2401</v>
      </c>
      <c r="E1232" s="181" t="s">
        <v>413</v>
      </c>
      <c r="F1232" s="181" t="s">
        <v>414</v>
      </c>
      <c r="G1232" s="181" t="s">
        <v>2728</v>
      </c>
      <c r="H1232" s="181" t="s">
        <v>279</v>
      </c>
      <c r="I1232" s="181" t="s">
        <v>242</v>
      </c>
      <c r="J1232" s="184" t="n">
        <v>47940</v>
      </c>
      <c r="K1232" s="184" t="n">
        <v>16130</v>
      </c>
      <c r="L1232" s="185" t="n">
        <v>10</v>
      </c>
      <c r="M1232" s="173" t="n">
        <v>31810</v>
      </c>
      <c r="N1232" s="184" t="n">
        <v>28629</v>
      </c>
      <c r="O1232" s="184" t="s">
        <v>2865</v>
      </c>
      <c r="P1232" s="187" t="n">
        <v>45957</v>
      </c>
      <c r="Q1232" s="188" t="n">
        <v>0.717175925925926</v>
      </c>
    </row>
    <row r="1233" customFormat="false" ht="35.05" hidden="false" customHeight="false" outlineLevel="0" collapsed="false">
      <c r="A1233" s="181" t="s">
        <v>2866</v>
      </c>
      <c r="B1233" s="182" t="n">
        <v>2694</v>
      </c>
      <c r="C1233" s="183" t="n">
        <v>158</v>
      </c>
      <c r="D1233" s="181" t="s">
        <v>2401</v>
      </c>
      <c r="E1233" s="181" t="s">
        <v>377</v>
      </c>
      <c r="F1233" s="181" t="s">
        <v>378</v>
      </c>
      <c r="G1233" s="181" t="s">
        <v>2728</v>
      </c>
      <c r="H1233" s="181" t="s">
        <v>279</v>
      </c>
      <c r="I1233" s="181" t="s">
        <v>242</v>
      </c>
      <c r="J1233" s="184" t="n">
        <v>43310</v>
      </c>
      <c r="K1233" s="184" t="n">
        <v>15910</v>
      </c>
      <c r="L1233" s="185" t="n">
        <v>8</v>
      </c>
      <c r="M1233" s="173" t="n">
        <v>27400</v>
      </c>
      <c r="N1233" s="184" t="n">
        <v>25208</v>
      </c>
      <c r="O1233" s="184" t="s">
        <v>2867</v>
      </c>
      <c r="P1233" s="187" t="n">
        <v>45957</v>
      </c>
      <c r="Q1233" s="188" t="n">
        <v>0.752071759259259</v>
      </c>
    </row>
    <row r="1234" customFormat="false" ht="35.05" hidden="false" customHeight="false" outlineLevel="0" collapsed="false">
      <c r="A1234" s="181" t="s">
        <v>2868</v>
      </c>
      <c r="B1234" s="182" t="n">
        <v>2716</v>
      </c>
      <c r="C1234" s="183" t="n">
        <v>168</v>
      </c>
      <c r="D1234" s="181" t="s">
        <v>2401</v>
      </c>
      <c r="E1234" s="181" t="s">
        <v>277</v>
      </c>
      <c r="F1234" s="181" t="s">
        <v>278</v>
      </c>
      <c r="G1234" s="181" t="s">
        <v>2728</v>
      </c>
      <c r="H1234" s="181" t="s">
        <v>279</v>
      </c>
      <c r="I1234" s="181" t="s">
        <v>242</v>
      </c>
      <c r="J1234" s="184" t="n">
        <v>43360</v>
      </c>
      <c r="K1234" s="184" t="n">
        <v>15450</v>
      </c>
      <c r="L1234" s="185" t="n">
        <v>11</v>
      </c>
      <c r="M1234" s="173" t="n">
        <v>27910</v>
      </c>
      <c r="N1234" s="184" t="n">
        <v>24839.9</v>
      </c>
      <c r="O1234" s="184" t="s">
        <v>2869</v>
      </c>
      <c r="P1234" s="187" t="n">
        <v>45957</v>
      </c>
      <c r="Q1234" s="188" t="n">
        <v>0.759189814814815</v>
      </c>
    </row>
    <row r="1235" customFormat="false" ht="35.05" hidden="false" customHeight="false" outlineLevel="0" collapsed="false">
      <c r="A1235" s="181" t="s">
        <v>2870</v>
      </c>
      <c r="B1235" s="182" t="n">
        <v>2718</v>
      </c>
      <c r="C1235" s="183" t="n">
        <v>169</v>
      </c>
      <c r="D1235" s="181" t="s">
        <v>2401</v>
      </c>
      <c r="E1235" s="181" t="s">
        <v>549</v>
      </c>
      <c r="F1235" s="181" t="s">
        <v>550</v>
      </c>
      <c r="G1235" s="181" t="s">
        <v>2728</v>
      </c>
      <c r="H1235" s="181" t="s">
        <v>279</v>
      </c>
      <c r="I1235" s="181" t="s">
        <v>242</v>
      </c>
      <c r="J1235" s="184" t="n">
        <v>41890</v>
      </c>
      <c r="K1235" s="184" t="n">
        <v>16080</v>
      </c>
      <c r="L1235" s="185" t="n">
        <v>9</v>
      </c>
      <c r="M1235" s="173" t="n">
        <v>25810</v>
      </c>
      <c r="N1235" s="184" t="n">
        <v>23487.1</v>
      </c>
      <c r="O1235" s="184" t="s">
        <v>2871</v>
      </c>
      <c r="P1235" s="187" t="n">
        <v>45957</v>
      </c>
      <c r="Q1235" s="188" t="n">
        <v>0.814976851851852</v>
      </c>
    </row>
    <row r="1236" customFormat="false" ht="35.05" hidden="false" customHeight="false" outlineLevel="0" collapsed="false">
      <c r="A1236" s="181" t="s">
        <v>2872</v>
      </c>
      <c r="B1236" s="182" t="n">
        <v>2719</v>
      </c>
      <c r="C1236" s="183" t="n">
        <v>170</v>
      </c>
      <c r="D1236" s="181" t="s">
        <v>2401</v>
      </c>
      <c r="E1236" s="181" t="s">
        <v>409</v>
      </c>
      <c r="F1236" s="181" t="s">
        <v>410</v>
      </c>
      <c r="G1236" s="181" t="s">
        <v>2728</v>
      </c>
      <c r="H1236" s="181" t="s">
        <v>279</v>
      </c>
      <c r="I1236" s="181" t="s">
        <v>242</v>
      </c>
      <c r="J1236" s="184" t="n">
        <v>66710</v>
      </c>
      <c r="K1236" s="184" t="n">
        <v>24970</v>
      </c>
      <c r="L1236" s="185" t="n">
        <v>14</v>
      </c>
      <c r="M1236" s="173" t="n">
        <v>41740</v>
      </c>
      <c r="N1236" s="184" t="n">
        <v>35896.4</v>
      </c>
      <c r="O1236" s="184" t="s">
        <v>2873</v>
      </c>
      <c r="P1236" s="187" t="n">
        <v>45957</v>
      </c>
      <c r="Q1236" s="188" t="n">
        <v>0.820717592592593</v>
      </c>
    </row>
    <row r="1237" customFormat="false" ht="35.05" hidden="false" customHeight="false" outlineLevel="0" collapsed="false">
      <c r="A1237" s="181" t="s">
        <v>2874</v>
      </c>
      <c r="B1237" s="182" t="n">
        <v>2697</v>
      </c>
      <c r="C1237" s="183" t="n">
        <v>161</v>
      </c>
      <c r="D1237" s="181" t="s">
        <v>2401</v>
      </c>
      <c r="E1237" s="181" t="s">
        <v>350</v>
      </c>
      <c r="F1237" s="181" t="s">
        <v>351</v>
      </c>
      <c r="G1237" s="181" t="s">
        <v>2728</v>
      </c>
      <c r="H1237" s="181" t="s">
        <v>279</v>
      </c>
      <c r="I1237" s="181" t="s">
        <v>242</v>
      </c>
      <c r="J1237" s="184" t="n">
        <v>43460</v>
      </c>
      <c r="K1237" s="184" t="n">
        <v>15230</v>
      </c>
      <c r="L1237" s="185" t="n">
        <v>9</v>
      </c>
      <c r="M1237" s="173" t="n">
        <v>28230</v>
      </c>
      <c r="N1237" s="184" t="n">
        <v>25689.3</v>
      </c>
      <c r="O1237" s="184" t="s">
        <v>2875</v>
      </c>
      <c r="P1237" s="187" t="n">
        <v>45957</v>
      </c>
      <c r="Q1237" s="188" t="n">
        <v>0.832939814814815</v>
      </c>
    </row>
    <row r="1238" customFormat="false" ht="35.05" hidden="false" customHeight="false" outlineLevel="0" collapsed="false">
      <c r="A1238" s="181" t="s">
        <v>2876</v>
      </c>
      <c r="B1238" s="182" t="n">
        <v>2720</v>
      </c>
      <c r="C1238" s="183" t="n">
        <v>173</v>
      </c>
      <c r="D1238" s="181" t="s">
        <v>2401</v>
      </c>
      <c r="E1238" s="181" t="s">
        <v>582</v>
      </c>
      <c r="F1238" s="181" t="s">
        <v>583</v>
      </c>
      <c r="G1238" s="181" t="s">
        <v>2728</v>
      </c>
      <c r="H1238" s="181" t="s">
        <v>279</v>
      </c>
      <c r="I1238" s="181" t="s">
        <v>242</v>
      </c>
      <c r="J1238" s="184" t="n">
        <v>40500</v>
      </c>
      <c r="K1238" s="184" t="n">
        <v>15220</v>
      </c>
      <c r="L1238" s="185" t="n">
        <v>8</v>
      </c>
      <c r="M1238" s="173" t="n">
        <v>25280</v>
      </c>
      <c r="N1238" s="184" t="n">
        <v>23257.6</v>
      </c>
      <c r="O1238" s="184" t="s">
        <v>2877</v>
      </c>
      <c r="P1238" s="187" t="n">
        <v>45957</v>
      </c>
      <c r="Q1238" s="188" t="n">
        <v>0.86630787037037</v>
      </c>
    </row>
    <row r="1239" customFormat="false" ht="35.05" hidden="false" customHeight="false" outlineLevel="0" collapsed="false">
      <c r="A1239" s="181" t="s">
        <v>2878</v>
      </c>
      <c r="B1239" s="182" t="n">
        <v>2698</v>
      </c>
      <c r="C1239" s="183" t="n">
        <v>162</v>
      </c>
      <c r="D1239" s="181" t="s">
        <v>2401</v>
      </c>
      <c r="E1239" s="181" t="s">
        <v>373</v>
      </c>
      <c r="F1239" s="181" t="s">
        <v>374</v>
      </c>
      <c r="G1239" s="181" t="s">
        <v>2728</v>
      </c>
      <c r="H1239" s="181" t="s">
        <v>279</v>
      </c>
      <c r="I1239" s="181" t="s">
        <v>242</v>
      </c>
      <c r="J1239" s="184" t="n">
        <v>40650</v>
      </c>
      <c r="K1239" s="184" t="n">
        <v>14530</v>
      </c>
      <c r="L1239" s="185" t="n">
        <v>11</v>
      </c>
      <c r="M1239" s="173" t="n">
        <v>26120</v>
      </c>
      <c r="N1239" s="184" t="n">
        <v>23246.8</v>
      </c>
      <c r="O1239" s="184" t="s">
        <v>2879</v>
      </c>
      <c r="P1239" s="187" t="n">
        <v>45957</v>
      </c>
      <c r="Q1239" s="188" t="n">
        <v>0.881678240740741</v>
      </c>
    </row>
    <row r="1240" customFormat="false" ht="35.05" hidden="false" customHeight="false" outlineLevel="0" collapsed="false">
      <c r="A1240" s="181" t="s">
        <v>2880</v>
      </c>
      <c r="B1240" s="182" t="n">
        <v>2703</v>
      </c>
      <c r="C1240" s="183" t="n">
        <v>163</v>
      </c>
      <c r="D1240" s="181" t="s">
        <v>2401</v>
      </c>
      <c r="E1240" s="181" t="s">
        <v>261</v>
      </c>
      <c r="F1240" s="181" t="s">
        <v>262</v>
      </c>
      <c r="G1240" s="181" t="s">
        <v>2728</v>
      </c>
      <c r="H1240" s="181" t="s">
        <v>279</v>
      </c>
      <c r="I1240" s="181" t="s">
        <v>242</v>
      </c>
      <c r="J1240" s="184" t="n">
        <v>38230</v>
      </c>
      <c r="K1240" s="184" t="n">
        <v>15680</v>
      </c>
      <c r="L1240" s="185" t="n">
        <v>7</v>
      </c>
      <c r="M1240" s="173" t="n">
        <v>22550</v>
      </c>
      <c r="N1240" s="184" t="n">
        <v>20971.5</v>
      </c>
      <c r="O1240" s="184" t="s">
        <v>2881</v>
      </c>
      <c r="P1240" s="187" t="n">
        <v>45957</v>
      </c>
      <c r="Q1240" s="188" t="n">
        <v>0.890023148148148</v>
      </c>
    </row>
    <row r="1241" customFormat="false" ht="35.05" hidden="false" customHeight="false" outlineLevel="0" collapsed="false">
      <c r="A1241" s="181" t="s">
        <v>2882</v>
      </c>
      <c r="B1241" s="182" t="n">
        <v>2721</v>
      </c>
      <c r="C1241" s="183" t="n">
        <v>174</v>
      </c>
      <c r="D1241" s="181" t="s">
        <v>2401</v>
      </c>
      <c r="E1241" s="181" t="s">
        <v>332</v>
      </c>
      <c r="F1241" s="181" t="s">
        <v>333</v>
      </c>
      <c r="G1241" s="181" t="s">
        <v>2728</v>
      </c>
      <c r="H1241" s="181" t="s">
        <v>279</v>
      </c>
      <c r="I1241" s="181" t="s">
        <v>242</v>
      </c>
      <c r="J1241" s="184" t="n">
        <v>37930</v>
      </c>
      <c r="K1241" s="184" t="n">
        <v>14950</v>
      </c>
      <c r="L1241" s="185" t="n">
        <v>6</v>
      </c>
      <c r="M1241" s="173" t="n">
        <v>22980</v>
      </c>
      <c r="N1241" s="184" t="n">
        <v>21601.2</v>
      </c>
      <c r="O1241" s="184" t="s">
        <v>2883</v>
      </c>
      <c r="P1241" s="187" t="n">
        <v>45957</v>
      </c>
      <c r="Q1241" s="188" t="n">
        <v>0.897013888888889</v>
      </c>
    </row>
    <row r="1242" customFormat="false" ht="35.05" hidden="false" customHeight="false" outlineLevel="0" collapsed="false">
      <c r="A1242" s="181" t="s">
        <v>2884</v>
      </c>
      <c r="B1242" s="182" t="n">
        <v>2722</v>
      </c>
      <c r="C1242" s="183" t="n">
        <v>172</v>
      </c>
      <c r="D1242" s="181" t="s">
        <v>2401</v>
      </c>
      <c r="E1242" s="181" t="s">
        <v>300</v>
      </c>
      <c r="F1242" s="181" t="s">
        <v>301</v>
      </c>
      <c r="G1242" s="181" t="s">
        <v>2728</v>
      </c>
      <c r="H1242" s="181" t="s">
        <v>279</v>
      </c>
      <c r="I1242" s="181" t="s">
        <v>242</v>
      </c>
      <c r="J1242" s="184" t="n">
        <v>62830</v>
      </c>
      <c r="K1242" s="184" t="n">
        <v>21410</v>
      </c>
      <c r="L1242" s="185" t="n">
        <v>16</v>
      </c>
      <c r="M1242" s="173" t="n">
        <v>41420</v>
      </c>
      <c r="N1242" s="184" t="n">
        <v>34792.8</v>
      </c>
      <c r="O1242" s="184" t="s">
        <v>2885</v>
      </c>
      <c r="P1242" s="187" t="n">
        <v>45957</v>
      </c>
      <c r="Q1242" s="188" t="n">
        <v>0.934259259259259</v>
      </c>
    </row>
    <row r="1243" customFormat="false" ht="35.05" hidden="false" customHeight="false" outlineLevel="0" collapsed="false">
      <c r="A1243" s="181" t="s">
        <v>2886</v>
      </c>
      <c r="B1243" s="182" t="n">
        <v>2724</v>
      </c>
      <c r="C1243" s="183" t="n">
        <v>175</v>
      </c>
      <c r="D1243" s="181" t="s">
        <v>2401</v>
      </c>
      <c r="E1243" s="181" t="s">
        <v>288</v>
      </c>
      <c r="F1243" s="181" t="s">
        <v>289</v>
      </c>
      <c r="G1243" s="181" t="s">
        <v>2728</v>
      </c>
      <c r="H1243" s="181" t="s">
        <v>279</v>
      </c>
      <c r="I1243" s="181" t="s">
        <v>242</v>
      </c>
      <c r="J1243" s="184" t="n">
        <v>36980</v>
      </c>
      <c r="K1243" s="184" t="n">
        <v>14950</v>
      </c>
      <c r="L1243" s="185" t="n">
        <v>6</v>
      </c>
      <c r="M1243" s="173" t="n">
        <v>22030</v>
      </c>
      <c r="N1243" s="184" t="n">
        <v>20708.2</v>
      </c>
      <c r="O1243" s="184" t="s">
        <v>2887</v>
      </c>
      <c r="P1243" s="187" t="n">
        <v>45957</v>
      </c>
      <c r="Q1243" s="188" t="n">
        <v>0.980543981481482</v>
      </c>
    </row>
    <row r="1244" customFormat="false" ht="35.05" hidden="false" customHeight="false" outlineLevel="0" collapsed="false">
      <c r="A1244" s="181" t="s">
        <v>2888</v>
      </c>
      <c r="B1244" s="182" t="n">
        <v>2725</v>
      </c>
      <c r="C1244" s="183" t="n">
        <v>176</v>
      </c>
      <c r="D1244" s="181" t="s">
        <v>2401</v>
      </c>
      <c r="E1244" s="181" t="s">
        <v>533</v>
      </c>
      <c r="F1244" s="181" t="s">
        <v>534</v>
      </c>
      <c r="G1244" s="181" t="s">
        <v>2728</v>
      </c>
      <c r="H1244" s="181" t="s">
        <v>279</v>
      </c>
      <c r="I1244" s="181" t="s">
        <v>242</v>
      </c>
      <c r="J1244" s="184" t="n">
        <v>39170</v>
      </c>
      <c r="K1244" s="184" t="n">
        <v>14840</v>
      </c>
      <c r="L1244" s="185" t="n">
        <v>5</v>
      </c>
      <c r="M1244" s="173" t="n">
        <v>24330</v>
      </c>
      <c r="N1244" s="184" t="n">
        <v>23113.5</v>
      </c>
      <c r="O1244" s="184" t="s">
        <v>2889</v>
      </c>
      <c r="P1244" s="187" t="n">
        <v>45957</v>
      </c>
      <c r="Q1244" s="188" t="n">
        <v>0.989907407407408</v>
      </c>
    </row>
    <row r="1245" customFormat="false" ht="35.05" hidden="false" customHeight="false" outlineLevel="0" collapsed="false">
      <c r="A1245" s="181" t="s">
        <v>2890</v>
      </c>
      <c r="B1245" s="182" t="n">
        <v>2727</v>
      </c>
      <c r="C1245" s="183" t="n">
        <v>177</v>
      </c>
      <c r="D1245" s="181" t="s">
        <v>2401</v>
      </c>
      <c r="E1245" s="181" t="s">
        <v>545</v>
      </c>
      <c r="F1245" s="181" t="s">
        <v>546</v>
      </c>
      <c r="G1245" s="181" t="s">
        <v>2728</v>
      </c>
      <c r="H1245" s="181" t="s">
        <v>279</v>
      </c>
      <c r="I1245" s="181" t="s">
        <v>242</v>
      </c>
      <c r="J1245" s="184" t="n">
        <v>39930</v>
      </c>
      <c r="K1245" s="184" t="n">
        <v>16150</v>
      </c>
      <c r="L1245" s="185" t="n">
        <v>8</v>
      </c>
      <c r="M1245" s="173" t="n">
        <v>23780</v>
      </c>
      <c r="N1245" s="184" t="n">
        <v>21877.6</v>
      </c>
      <c r="O1245" s="184" t="s">
        <v>2891</v>
      </c>
      <c r="P1245" s="187" t="n">
        <v>45958</v>
      </c>
      <c r="Q1245" s="188" t="n">
        <v>0.476076388888889</v>
      </c>
    </row>
    <row r="1246" customFormat="false" ht="35.05" hidden="false" customHeight="false" outlineLevel="0" collapsed="false">
      <c r="A1246" s="181" t="s">
        <v>2892</v>
      </c>
      <c r="B1246" s="182" t="n">
        <v>2743</v>
      </c>
      <c r="C1246" s="183" t="n">
        <v>188</v>
      </c>
      <c r="D1246" s="181" t="s">
        <v>2401</v>
      </c>
      <c r="E1246" s="181" t="s">
        <v>576</v>
      </c>
      <c r="F1246" s="181" t="s">
        <v>577</v>
      </c>
      <c r="G1246" s="181" t="s">
        <v>2728</v>
      </c>
      <c r="H1246" s="181" t="s">
        <v>279</v>
      </c>
      <c r="I1246" s="181" t="s">
        <v>242</v>
      </c>
      <c r="J1246" s="184" t="n">
        <v>38980</v>
      </c>
      <c r="K1246" s="184" t="n">
        <v>14630</v>
      </c>
      <c r="L1246" s="185" t="n">
        <v>10</v>
      </c>
      <c r="M1246" s="173" t="n">
        <v>24350</v>
      </c>
      <c r="N1246" s="184" t="n">
        <v>21915</v>
      </c>
      <c r="O1246" s="184" t="s">
        <v>2893</v>
      </c>
      <c r="P1246" s="187" t="n">
        <v>45958</v>
      </c>
      <c r="Q1246" s="188" t="n">
        <v>0.412384259259259</v>
      </c>
    </row>
    <row r="1247" customFormat="false" ht="35.05" hidden="false" customHeight="false" outlineLevel="0" collapsed="false">
      <c r="A1247" s="181" t="s">
        <v>2894</v>
      </c>
      <c r="B1247" s="182" t="n">
        <v>2747</v>
      </c>
      <c r="C1247" s="183" t="n">
        <v>190</v>
      </c>
      <c r="D1247" s="181" t="s">
        <v>2401</v>
      </c>
      <c r="E1247" s="181" t="s">
        <v>383</v>
      </c>
      <c r="F1247" s="181" t="s">
        <v>384</v>
      </c>
      <c r="G1247" s="181" t="s">
        <v>2728</v>
      </c>
      <c r="H1247" s="181" t="s">
        <v>279</v>
      </c>
      <c r="I1247" s="181" t="s">
        <v>242</v>
      </c>
      <c r="J1247" s="184" t="n">
        <v>40840</v>
      </c>
      <c r="K1247" s="184" t="n">
        <v>15090</v>
      </c>
      <c r="L1247" s="185" t="n">
        <v>7</v>
      </c>
      <c r="M1247" s="173" t="n">
        <v>25750</v>
      </c>
      <c r="N1247" s="184" t="n">
        <v>23947.5</v>
      </c>
      <c r="O1247" s="184" t="s">
        <v>2895</v>
      </c>
      <c r="P1247" s="187" t="n">
        <v>45958</v>
      </c>
      <c r="Q1247" s="188" t="n">
        <v>0.506574074074074</v>
      </c>
    </row>
    <row r="1248" customFormat="false" ht="35.05" hidden="false" customHeight="false" outlineLevel="0" collapsed="false">
      <c r="A1248" s="181" t="s">
        <v>2896</v>
      </c>
      <c r="B1248" s="182" t="n">
        <v>2748</v>
      </c>
      <c r="C1248" s="183" t="n">
        <v>158</v>
      </c>
      <c r="D1248" s="181" t="s">
        <v>2401</v>
      </c>
      <c r="E1248" s="181" t="s">
        <v>377</v>
      </c>
      <c r="F1248" s="181" t="s">
        <v>378</v>
      </c>
      <c r="G1248" s="181" t="s">
        <v>2728</v>
      </c>
      <c r="H1248" s="181" t="s">
        <v>279</v>
      </c>
      <c r="I1248" s="181" t="s">
        <v>242</v>
      </c>
      <c r="J1248" s="184" t="n">
        <v>43030</v>
      </c>
      <c r="K1248" s="184" t="n">
        <v>15910</v>
      </c>
      <c r="L1248" s="185" t="n">
        <v>14</v>
      </c>
      <c r="M1248" s="173" t="n">
        <v>27120</v>
      </c>
      <c r="N1248" s="184" t="n">
        <v>23323.2</v>
      </c>
      <c r="O1248" s="184" t="s">
        <v>2897</v>
      </c>
      <c r="P1248" s="187" t="n">
        <v>45958</v>
      </c>
      <c r="Q1248" s="188" t="n">
        <v>0.529444444444445</v>
      </c>
    </row>
    <row r="1249" customFormat="false" ht="35.05" hidden="false" customHeight="false" outlineLevel="0" collapsed="false">
      <c r="A1249" s="181" t="s">
        <v>2898</v>
      </c>
      <c r="B1249" s="182" t="n">
        <v>2728</v>
      </c>
      <c r="C1249" s="183" t="n">
        <v>178</v>
      </c>
      <c r="D1249" s="181" t="s">
        <v>2401</v>
      </c>
      <c r="E1249" s="181" t="s">
        <v>336</v>
      </c>
      <c r="F1249" s="181" t="s">
        <v>337</v>
      </c>
      <c r="G1249" s="181" t="s">
        <v>2728</v>
      </c>
      <c r="H1249" s="181" t="s">
        <v>279</v>
      </c>
      <c r="I1249" s="181" t="s">
        <v>242</v>
      </c>
      <c r="J1249" s="184" t="n">
        <v>39210</v>
      </c>
      <c r="K1249" s="184" t="n">
        <v>14730</v>
      </c>
      <c r="L1249" s="185" t="n">
        <v>10</v>
      </c>
      <c r="M1249" s="173" t="n">
        <v>24480</v>
      </c>
      <c r="N1249" s="184" t="n">
        <v>22032</v>
      </c>
      <c r="O1249" s="184" t="s">
        <v>2899</v>
      </c>
      <c r="P1249" s="187" t="n">
        <v>45958</v>
      </c>
      <c r="Q1249" s="188" t="n">
        <v>0.567905092592593</v>
      </c>
    </row>
    <row r="1250" customFormat="false" ht="35.05" hidden="false" customHeight="false" outlineLevel="0" collapsed="false">
      <c r="A1250" s="181" t="s">
        <v>2900</v>
      </c>
      <c r="B1250" s="182" t="n">
        <v>2730</v>
      </c>
      <c r="C1250" s="183" t="n">
        <v>179</v>
      </c>
      <c r="D1250" s="181" t="s">
        <v>2401</v>
      </c>
      <c r="E1250" s="181" t="s">
        <v>292</v>
      </c>
      <c r="F1250" s="181" t="s">
        <v>293</v>
      </c>
      <c r="G1250" s="181" t="s">
        <v>2728</v>
      </c>
      <c r="H1250" s="181" t="s">
        <v>279</v>
      </c>
      <c r="I1250" s="181" t="s">
        <v>242</v>
      </c>
      <c r="J1250" s="184" t="n">
        <v>35840</v>
      </c>
      <c r="K1250" s="184" t="n">
        <v>14030</v>
      </c>
      <c r="L1250" s="185" t="n">
        <v>32</v>
      </c>
      <c r="M1250" s="173" t="n">
        <v>21810</v>
      </c>
      <c r="N1250" s="184" t="n">
        <v>14830.8</v>
      </c>
      <c r="O1250" s="184" t="s">
        <v>2901</v>
      </c>
      <c r="P1250" s="187" t="n">
        <v>45958</v>
      </c>
      <c r="Q1250" s="188" t="n">
        <v>0.576990740740741</v>
      </c>
    </row>
    <row r="1251" customFormat="false" ht="35.05" hidden="false" customHeight="false" outlineLevel="0" collapsed="false">
      <c r="A1251" s="181" t="s">
        <v>2902</v>
      </c>
      <c r="B1251" s="182" t="n">
        <v>2733</v>
      </c>
      <c r="C1251" s="183" t="n">
        <v>180</v>
      </c>
      <c r="D1251" s="181" t="s">
        <v>2401</v>
      </c>
      <c r="E1251" s="181" t="s">
        <v>304</v>
      </c>
      <c r="F1251" s="181" t="s">
        <v>305</v>
      </c>
      <c r="G1251" s="181" t="s">
        <v>2728</v>
      </c>
      <c r="H1251" s="181" t="s">
        <v>279</v>
      </c>
      <c r="I1251" s="181" t="s">
        <v>242</v>
      </c>
      <c r="J1251" s="184" t="n">
        <v>39030</v>
      </c>
      <c r="K1251" s="184" t="n">
        <v>15220</v>
      </c>
      <c r="L1251" s="185" t="n">
        <v>8</v>
      </c>
      <c r="M1251" s="173" t="n">
        <v>23810</v>
      </c>
      <c r="N1251" s="184" t="n">
        <v>21905.2</v>
      </c>
      <c r="O1251" s="184" t="s">
        <v>2903</v>
      </c>
      <c r="P1251" s="187" t="n">
        <v>45958</v>
      </c>
      <c r="Q1251" s="188" t="n">
        <v>0.584837962962963</v>
      </c>
    </row>
    <row r="1252" customFormat="false" ht="35.05" hidden="false" customHeight="false" outlineLevel="0" collapsed="false">
      <c r="A1252" s="181" t="s">
        <v>2904</v>
      </c>
      <c r="B1252" s="182" t="n">
        <v>2734</v>
      </c>
      <c r="C1252" s="183" t="n">
        <v>182</v>
      </c>
      <c r="D1252" s="181" t="s">
        <v>2401</v>
      </c>
      <c r="E1252" s="181" t="s">
        <v>537</v>
      </c>
      <c r="F1252" s="181" t="s">
        <v>538</v>
      </c>
      <c r="G1252" s="181" t="s">
        <v>2728</v>
      </c>
      <c r="H1252" s="181" t="s">
        <v>279</v>
      </c>
      <c r="I1252" s="181" t="s">
        <v>242</v>
      </c>
      <c r="J1252" s="184" t="n">
        <v>35240</v>
      </c>
      <c r="K1252" s="184" t="n">
        <v>14150</v>
      </c>
      <c r="L1252" s="185" t="n">
        <v>18</v>
      </c>
      <c r="M1252" s="173" t="n">
        <v>21090</v>
      </c>
      <c r="N1252" s="184" t="n">
        <v>17293.8</v>
      </c>
      <c r="O1252" s="184" t="s">
        <v>2905</v>
      </c>
      <c r="P1252" s="187" t="n">
        <v>45958</v>
      </c>
      <c r="Q1252" s="188" t="n">
        <v>0.61599537037037</v>
      </c>
    </row>
    <row r="1253" customFormat="false" ht="35.05" hidden="false" customHeight="false" outlineLevel="0" collapsed="false">
      <c r="A1253" s="181" t="s">
        <v>2906</v>
      </c>
      <c r="B1253" s="182" t="n">
        <v>2735</v>
      </c>
      <c r="C1253" s="183" t="n">
        <v>183</v>
      </c>
      <c r="D1253" s="181" t="s">
        <v>2401</v>
      </c>
      <c r="E1253" s="181" t="s">
        <v>282</v>
      </c>
      <c r="F1253" s="181" t="s">
        <v>283</v>
      </c>
      <c r="G1253" s="181" t="s">
        <v>2728</v>
      </c>
      <c r="H1253" s="181" t="s">
        <v>279</v>
      </c>
      <c r="I1253" s="181" t="s">
        <v>242</v>
      </c>
      <c r="J1253" s="184" t="n">
        <v>39530</v>
      </c>
      <c r="K1253" s="184" t="n">
        <v>15200</v>
      </c>
      <c r="L1253" s="185" t="n">
        <v>20</v>
      </c>
      <c r="M1253" s="173" t="n">
        <v>24330</v>
      </c>
      <c r="N1253" s="184" t="n">
        <v>19464</v>
      </c>
      <c r="O1253" s="184" t="s">
        <v>2907</v>
      </c>
      <c r="P1253" s="187" t="n">
        <v>45958</v>
      </c>
      <c r="Q1253" s="188" t="n">
        <v>0.690821759259259</v>
      </c>
    </row>
    <row r="1254" customFormat="false" ht="35.05" hidden="false" customHeight="false" outlineLevel="0" collapsed="false">
      <c r="A1254" s="181" t="s">
        <v>2908</v>
      </c>
      <c r="B1254" s="182" t="n">
        <v>2736</v>
      </c>
      <c r="C1254" s="183" t="n">
        <v>171</v>
      </c>
      <c r="D1254" s="181" t="s">
        <v>2401</v>
      </c>
      <c r="E1254" s="181" t="s">
        <v>340</v>
      </c>
      <c r="F1254" s="181" t="s">
        <v>341</v>
      </c>
      <c r="G1254" s="181" t="s">
        <v>2728</v>
      </c>
      <c r="H1254" s="181" t="s">
        <v>279</v>
      </c>
      <c r="I1254" s="181" t="s">
        <v>242</v>
      </c>
      <c r="J1254" s="184" t="n">
        <v>39290</v>
      </c>
      <c r="K1254" s="184" t="n">
        <v>15280</v>
      </c>
      <c r="L1254" s="185" t="n">
        <v>27</v>
      </c>
      <c r="M1254" s="173" t="n">
        <v>24010</v>
      </c>
      <c r="N1254" s="184" t="n">
        <v>17527.3</v>
      </c>
      <c r="O1254" s="184" t="s">
        <v>2909</v>
      </c>
      <c r="P1254" s="187" t="n">
        <v>45958</v>
      </c>
      <c r="Q1254" s="188" t="n">
        <v>0.700659722222222</v>
      </c>
    </row>
    <row r="1255" customFormat="false" ht="46.25" hidden="false" customHeight="false" outlineLevel="0" collapsed="false">
      <c r="A1255" s="181" t="s">
        <v>2910</v>
      </c>
      <c r="B1255" s="182" t="n">
        <v>2755</v>
      </c>
      <c r="C1255" s="183" t="n">
        <v>8206</v>
      </c>
      <c r="D1255" s="181" t="s">
        <v>2066</v>
      </c>
      <c r="E1255" s="181" t="s">
        <v>1646</v>
      </c>
      <c r="F1255" s="181" t="s">
        <v>1647</v>
      </c>
      <c r="G1255" s="181" t="s">
        <v>2067</v>
      </c>
      <c r="H1255" s="181" t="s">
        <v>158</v>
      </c>
      <c r="I1255" s="181" t="s">
        <v>241</v>
      </c>
      <c r="J1255" s="184" t="n">
        <v>30390</v>
      </c>
      <c r="K1255" s="184" t="n">
        <v>14430</v>
      </c>
      <c r="L1255" s="185" t="n">
        <v>17</v>
      </c>
      <c r="M1255" s="173" t="n">
        <v>15960</v>
      </c>
      <c r="N1255" s="184" t="n">
        <v>13246.8</v>
      </c>
      <c r="O1255" s="184" t="s">
        <v>2911</v>
      </c>
      <c r="P1255" s="187" t="n">
        <v>45958</v>
      </c>
      <c r="Q1255" s="188" t="n">
        <v>0.75349537037037</v>
      </c>
    </row>
    <row r="1256" customFormat="false" ht="35.05" hidden="false" customHeight="false" outlineLevel="0" collapsed="false">
      <c r="A1256" s="181" t="s">
        <v>2912</v>
      </c>
      <c r="B1256" s="182" t="n">
        <v>2737</v>
      </c>
      <c r="C1256" s="183" t="n">
        <v>184</v>
      </c>
      <c r="D1256" s="181" t="s">
        <v>2401</v>
      </c>
      <c r="E1256" s="181" t="s">
        <v>541</v>
      </c>
      <c r="F1256" s="181" t="s">
        <v>542</v>
      </c>
      <c r="G1256" s="181" t="s">
        <v>2728</v>
      </c>
      <c r="H1256" s="181" t="s">
        <v>279</v>
      </c>
      <c r="I1256" s="181" t="s">
        <v>242</v>
      </c>
      <c r="J1256" s="184" t="n">
        <v>40110</v>
      </c>
      <c r="K1256" s="184" t="n">
        <v>15070</v>
      </c>
      <c r="L1256" s="185" t="n">
        <v>14</v>
      </c>
      <c r="M1256" s="173" t="n">
        <v>25040</v>
      </c>
      <c r="N1256" s="184" t="n">
        <v>21534.4</v>
      </c>
      <c r="O1256" s="184" t="s">
        <v>2913</v>
      </c>
      <c r="P1256" s="187" t="n">
        <v>45958</v>
      </c>
      <c r="Q1256" s="188" t="n">
        <v>0.764976851851852</v>
      </c>
    </row>
    <row r="1257" customFormat="false" ht="35.05" hidden="false" customHeight="false" outlineLevel="0" collapsed="false">
      <c r="A1257" s="181" t="s">
        <v>2914</v>
      </c>
      <c r="B1257" s="182" t="n">
        <v>2738</v>
      </c>
      <c r="C1257" s="183" t="n">
        <v>185</v>
      </c>
      <c r="D1257" s="181" t="s">
        <v>2401</v>
      </c>
      <c r="E1257" s="181" t="s">
        <v>2351</v>
      </c>
      <c r="F1257" s="181" t="s">
        <v>2352</v>
      </c>
      <c r="G1257" s="181" t="s">
        <v>2728</v>
      </c>
      <c r="H1257" s="181" t="s">
        <v>279</v>
      </c>
      <c r="I1257" s="181" t="s">
        <v>242</v>
      </c>
      <c r="J1257" s="184" t="n">
        <v>47920</v>
      </c>
      <c r="K1257" s="184" t="n">
        <v>17670</v>
      </c>
      <c r="L1257" s="185" t="n">
        <v>11</v>
      </c>
      <c r="M1257" s="173" t="n">
        <v>30250</v>
      </c>
      <c r="N1257" s="184" t="n">
        <v>26922.5</v>
      </c>
      <c r="O1257" s="184" t="s">
        <v>2915</v>
      </c>
      <c r="P1257" s="187" t="n">
        <v>45958</v>
      </c>
      <c r="Q1257" s="188" t="n">
        <v>0.797766203703704</v>
      </c>
    </row>
    <row r="1258" customFormat="false" ht="35.05" hidden="false" customHeight="false" outlineLevel="0" collapsed="false">
      <c r="A1258" s="181" t="s">
        <v>2916</v>
      </c>
      <c r="B1258" s="182" t="n">
        <v>2739</v>
      </c>
      <c r="C1258" s="183" t="n">
        <v>186</v>
      </c>
      <c r="D1258" s="181" t="s">
        <v>2401</v>
      </c>
      <c r="E1258" s="181" t="s">
        <v>346</v>
      </c>
      <c r="F1258" s="181" t="s">
        <v>347</v>
      </c>
      <c r="G1258" s="181" t="s">
        <v>2728</v>
      </c>
      <c r="H1258" s="181" t="s">
        <v>279</v>
      </c>
      <c r="I1258" s="181" t="s">
        <v>242</v>
      </c>
      <c r="J1258" s="184" t="n">
        <v>38550</v>
      </c>
      <c r="K1258" s="184" t="n">
        <v>15300</v>
      </c>
      <c r="L1258" s="185" t="n">
        <v>12</v>
      </c>
      <c r="M1258" s="173" t="n">
        <v>23250</v>
      </c>
      <c r="N1258" s="184" t="n">
        <v>20460</v>
      </c>
      <c r="O1258" s="184" t="s">
        <v>2917</v>
      </c>
      <c r="P1258" s="187" t="n">
        <v>45958</v>
      </c>
      <c r="Q1258" s="188" t="n">
        <v>0.839027777777778</v>
      </c>
    </row>
    <row r="1259" customFormat="false" ht="35.05" hidden="false" customHeight="false" outlineLevel="0" collapsed="false">
      <c r="A1259" s="181" t="s">
        <v>2918</v>
      </c>
      <c r="B1259" s="182" t="n">
        <v>2758</v>
      </c>
      <c r="C1259" s="183" t="n">
        <v>203</v>
      </c>
      <c r="D1259" s="181" t="s">
        <v>2401</v>
      </c>
      <c r="E1259" s="181" t="s">
        <v>288</v>
      </c>
      <c r="F1259" s="181" t="s">
        <v>289</v>
      </c>
      <c r="G1259" s="181" t="s">
        <v>2715</v>
      </c>
      <c r="H1259" s="181" t="s">
        <v>279</v>
      </c>
      <c r="I1259" s="181" t="s">
        <v>242</v>
      </c>
      <c r="J1259" s="184" t="n">
        <v>34500</v>
      </c>
      <c r="K1259" s="184" t="n">
        <v>14970</v>
      </c>
      <c r="L1259" s="185" t="n">
        <v>5</v>
      </c>
      <c r="M1259" s="173" t="n">
        <v>19530</v>
      </c>
      <c r="N1259" s="184" t="n">
        <v>18553.5</v>
      </c>
      <c r="O1259" s="184" t="s">
        <v>2919</v>
      </c>
      <c r="P1259" s="187" t="n">
        <v>45958</v>
      </c>
      <c r="Q1259" s="188" t="n">
        <v>0.935868055555556</v>
      </c>
    </row>
    <row r="1260" customFormat="false" ht="35.05" hidden="false" customHeight="false" outlineLevel="0" collapsed="false">
      <c r="A1260" s="181" t="s">
        <v>2920</v>
      </c>
      <c r="B1260" s="182" t="n">
        <v>2740</v>
      </c>
      <c r="C1260" s="183" t="n">
        <v>187</v>
      </c>
      <c r="D1260" s="181" t="s">
        <v>2401</v>
      </c>
      <c r="E1260" s="181" t="s">
        <v>399</v>
      </c>
      <c r="F1260" s="181" t="s">
        <v>400</v>
      </c>
      <c r="G1260" s="181" t="s">
        <v>2728</v>
      </c>
      <c r="H1260" s="181" t="s">
        <v>279</v>
      </c>
      <c r="I1260" s="181" t="s">
        <v>242</v>
      </c>
      <c r="J1260" s="184" t="n">
        <v>52090</v>
      </c>
      <c r="K1260" s="184" t="n">
        <v>19730</v>
      </c>
      <c r="L1260" s="185" t="n">
        <v>9</v>
      </c>
      <c r="M1260" s="173" t="n">
        <v>32360</v>
      </c>
      <c r="N1260" s="184" t="n">
        <v>29447.6</v>
      </c>
      <c r="O1260" s="184" t="s">
        <v>2921</v>
      </c>
      <c r="P1260" s="187" t="n">
        <v>45958</v>
      </c>
      <c r="Q1260" s="188" t="n">
        <v>0.956261574074074</v>
      </c>
    </row>
    <row r="1261" customFormat="false" ht="35.05" hidden="false" customHeight="false" outlineLevel="0" collapsed="false">
      <c r="A1261" s="181" t="s">
        <v>2922</v>
      </c>
      <c r="B1261" s="182" t="n">
        <v>2746</v>
      </c>
      <c r="C1261" s="183" t="n">
        <v>189</v>
      </c>
      <c r="D1261" s="181" t="s">
        <v>2401</v>
      </c>
      <c r="E1261" s="181" t="s">
        <v>266</v>
      </c>
      <c r="F1261" s="181" t="s">
        <v>267</v>
      </c>
      <c r="G1261" s="181" t="s">
        <v>2728</v>
      </c>
      <c r="H1261" s="181" t="s">
        <v>279</v>
      </c>
      <c r="I1261" s="181" t="s">
        <v>242</v>
      </c>
      <c r="J1261" s="184" t="n">
        <v>38570</v>
      </c>
      <c r="K1261" s="184" t="n">
        <v>15160</v>
      </c>
      <c r="L1261" s="185" t="n">
        <v>10</v>
      </c>
      <c r="M1261" s="173" t="n">
        <v>23410</v>
      </c>
      <c r="N1261" s="184" t="n">
        <v>21069</v>
      </c>
      <c r="O1261" s="184" t="s">
        <v>2923</v>
      </c>
      <c r="P1261" s="187" t="n">
        <v>45958</v>
      </c>
      <c r="Q1261" s="188" t="n">
        <v>0.976076388888889</v>
      </c>
    </row>
    <row r="1262" customFormat="false" ht="35.05" hidden="false" customHeight="false" outlineLevel="0" collapsed="false">
      <c r="A1262" s="181" t="s">
        <v>2924</v>
      </c>
      <c r="B1262" s="182" t="n">
        <v>2761</v>
      </c>
      <c r="C1262" s="183" t="n">
        <v>196</v>
      </c>
      <c r="D1262" s="181" t="s">
        <v>2401</v>
      </c>
      <c r="E1262" s="181" t="s">
        <v>413</v>
      </c>
      <c r="F1262" s="181" t="s">
        <v>414</v>
      </c>
      <c r="G1262" s="181" t="s">
        <v>2728</v>
      </c>
      <c r="H1262" s="181" t="s">
        <v>279</v>
      </c>
      <c r="I1262" s="181" t="s">
        <v>242</v>
      </c>
      <c r="J1262" s="184" t="n">
        <v>43680</v>
      </c>
      <c r="K1262" s="184" t="n">
        <v>16350</v>
      </c>
      <c r="L1262" s="185" t="n">
        <v>12</v>
      </c>
      <c r="M1262" s="173" t="n">
        <v>27330</v>
      </c>
      <c r="N1262" s="184" t="n">
        <v>24050.4</v>
      </c>
      <c r="O1262" s="184" t="s">
        <v>2925</v>
      </c>
      <c r="P1262" s="187" t="n">
        <v>45958</v>
      </c>
      <c r="Q1262" s="188" t="n">
        <v>0.986909722222222</v>
      </c>
    </row>
    <row r="1263" customFormat="false" ht="35.05" hidden="false" customHeight="false" outlineLevel="0" collapsed="false">
      <c r="A1263" s="181" t="s">
        <v>2926</v>
      </c>
      <c r="B1263" s="182" t="n">
        <v>2762</v>
      </c>
      <c r="C1263" s="183" t="n">
        <v>193</v>
      </c>
      <c r="D1263" s="181" t="s">
        <v>2401</v>
      </c>
      <c r="E1263" s="181" t="s">
        <v>350</v>
      </c>
      <c r="F1263" s="181" t="s">
        <v>351</v>
      </c>
      <c r="G1263" s="181" t="s">
        <v>2715</v>
      </c>
      <c r="H1263" s="181" t="s">
        <v>279</v>
      </c>
      <c r="I1263" s="181" t="s">
        <v>242</v>
      </c>
      <c r="J1263" s="184" t="n">
        <v>39000</v>
      </c>
      <c r="K1263" s="184" t="n">
        <v>15240</v>
      </c>
      <c r="L1263" s="185" t="n">
        <v>14</v>
      </c>
      <c r="M1263" s="173" t="n">
        <v>23760</v>
      </c>
      <c r="N1263" s="184" t="n">
        <v>20433.6</v>
      </c>
      <c r="O1263" s="184" t="s">
        <v>2927</v>
      </c>
      <c r="P1263" s="187" t="n">
        <v>45959</v>
      </c>
      <c r="Q1263" s="188" t="n">
        <v>0.208969907407407</v>
      </c>
    </row>
    <row r="1264" customFormat="false" ht="35.05" hidden="false" customHeight="false" outlineLevel="0" collapsed="false">
      <c r="A1264" s="181" t="s">
        <v>2928</v>
      </c>
      <c r="B1264" s="182" t="n">
        <v>2763</v>
      </c>
      <c r="C1264" s="183" t="n">
        <v>192</v>
      </c>
      <c r="D1264" s="181" t="s">
        <v>2401</v>
      </c>
      <c r="E1264" s="181" t="s">
        <v>387</v>
      </c>
      <c r="F1264" s="181" t="s">
        <v>388</v>
      </c>
      <c r="G1264" s="181" t="s">
        <v>2715</v>
      </c>
      <c r="H1264" s="181" t="s">
        <v>279</v>
      </c>
      <c r="I1264" s="181" t="s">
        <v>242</v>
      </c>
      <c r="J1264" s="184" t="n">
        <v>39910</v>
      </c>
      <c r="K1264" s="184" t="n">
        <v>15280</v>
      </c>
      <c r="L1264" s="185" t="n">
        <v>21</v>
      </c>
      <c r="M1264" s="173" t="n">
        <v>24630</v>
      </c>
      <c r="N1264" s="184" t="n">
        <v>19457.7</v>
      </c>
      <c r="O1264" s="184" t="s">
        <v>2929</v>
      </c>
      <c r="P1264" s="187" t="n">
        <v>45959</v>
      </c>
      <c r="Q1264" s="188" t="n">
        <v>0.238541666666667</v>
      </c>
    </row>
    <row r="1265" customFormat="false" ht="35.05" hidden="false" customHeight="false" outlineLevel="0" collapsed="false">
      <c r="A1265" s="181" t="s">
        <v>2930</v>
      </c>
      <c r="B1265" s="182" t="n">
        <v>2764</v>
      </c>
      <c r="C1265" s="183" t="n">
        <v>162</v>
      </c>
      <c r="D1265" s="181" t="s">
        <v>2401</v>
      </c>
      <c r="E1265" s="181" t="s">
        <v>373</v>
      </c>
      <c r="F1265" s="181" t="s">
        <v>374</v>
      </c>
      <c r="G1265" s="181" t="s">
        <v>2715</v>
      </c>
      <c r="H1265" s="181" t="s">
        <v>279</v>
      </c>
      <c r="I1265" s="181" t="s">
        <v>242</v>
      </c>
      <c r="J1265" s="184" t="n">
        <v>37630</v>
      </c>
      <c r="K1265" s="184" t="n">
        <v>14510</v>
      </c>
      <c r="L1265" s="185" t="n">
        <v>20</v>
      </c>
      <c r="M1265" s="173" t="n">
        <v>23120</v>
      </c>
      <c r="N1265" s="184" t="n">
        <v>18496</v>
      </c>
      <c r="O1265" s="184" t="s">
        <v>2931</v>
      </c>
      <c r="P1265" s="187" t="n">
        <v>45959</v>
      </c>
      <c r="Q1265" s="188" t="n">
        <v>0.277951388888889</v>
      </c>
    </row>
    <row r="1266" customFormat="false" ht="35.05" hidden="false" customHeight="false" outlineLevel="0" collapsed="false">
      <c r="A1266" s="181" t="s">
        <v>2932</v>
      </c>
      <c r="B1266" s="182" t="n">
        <v>2765</v>
      </c>
      <c r="C1266" s="183" t="n">
        <v>181</v>
      </c>
      <c r="D1266" s="181" t="s">
        <v>2401</v>
      </c>
      <c r="E1266" s="181" t="s">
        <v>308</v>
      </c>
      <c r="F1266" s="181" t="s">
        <v>309</v>
      </c>
      <c r="G1266" s="181" t="s">
        <v>2715</v>
      </c>
      <c r="H1266" s="181" t="s">
        <v>279</v>
      </c>
      <c r="I1266" s="181" t="s">
        <v>242</v>
      </c>
      <c r="J1266" s="184" t="n">
        <v>43510</v>
      </c>
      <c r="K1266" s="184" t="n">
        <v>24180</v>
      </c>
      <c r="L1266" s="185" t="n">
        <v>4</v>
      </c>
      <c r="M1266" s="173" t="n">
        <v>19330</v>
      </c>
      <c r="N1266" s="184" t="n">
        <v>18556.8</v>
      </c>
      <c r="O1266" s="184" t="s">
        <v>2933</v>
      </c>
      <c r="P1266" s="187" t="n">
        <v>45959</v>
      </c>
      <c r="Q1266" s="188" t="n">
        <v>0.328819444444444</v>
      </c>
    </row>
    <row r="1267" customFormat="false" ht="35.05" hidden="false" customHeight="false" outlineLevel="0" collapsed="false">
      <c r="A1267" s="181" t="s">
        <v>2934</v>
      </c>
      <c r="B1267" s="182" t="n">
        <v>2766</v>
      </c>
      <c r="C1267" s="183" t="n">
        <v>195</v>
      </c>
      <c r="D1267" s="181" t="s">
        <v>2401</v>
      </c>
      <c r="E1267" s="181" t="s">
        <v>261</v>
      </c>
      <c r="F1267" s="181" t="s">
        <v>262</v>
      </c>
      <c r="G1267" s="181" t="s">
        <v>2715</v>
      </c>
      <c r="H1267" s="181" t="s">
        <v>279</v>
      </c>
      <c r="I1267" s="181" t="s">
        <v>242</v>
      </c>
      <c r="J1267" s="184" t="n">
        <v>36500</v>
      </c>
      <c r="K1267" s="184" t="n">
        <v>15380</v>
      </c>
      <c r="L1267" s="185" t="n">
        <v>6</v>
      </c>
      <c r="M1267" s="173" t="n">
        <v>21120</v>
      </c>
      <c r="N1267" s="184" t="n">
        <v>19852.8</v>
      </c>
      <c r="O1267" s="184" t="s">
        <v>2935</v>
      </c>
      <c r="P1267" s="187" t="n">
        <v>45959</v>
      </c>
      <c r="Q1267" s="188" t="n">
        <v>0.365902777777778</v>
      </c>
    </row>
    <row r="1268" customFormat="false" ht="35.05" hidden="false" customHeight="false" outlineLevel="0" collapsed="false">
      <c r="A1268" s="181" t="s">
        <v>2936</v>
      </c>
      <c r="B1268" s="182" t="n">
        <v>2776</v>
      </c>
      <c r="C1268" s="183" t="n">
        <v>199</v>
      </c>
      <c r="D1268" s="181" t="s">
        <v>2401</v>
      </c>
      <c r="E1268" s="181" t="s">
        <v>409</v>
      </c>
      <c r="F1268" s="181" t="s">
        <v>410</v>
      </c>
      <c r="G1268" s="181" t="s">
        <v>2715</v>
      </c>
      <c r="H1268" s="181" t="s">
        <v>279</v>
      </c>
      <c r="I1268" s="181" t="s">
        <v>242</v>
      </c>
      <c r="J1268" s="184" t="n">
        <v>64100</v>
      </c>
      <c r="K1268" s="184" t="n">
        <v>24740</v>
      </c>
      <c r="L1268" s="185" t="n">
        <v>7</v>
      </c>
      <c r="M1268" s="173" t="n">
        <v>39360</v>
      </c>
      <c r="N1268" s="184" t="n">
        <v>36604.8</v>
      </c>
      <c r="O1268" s="184" t="s">
        <v>2937</v>
      </c>
      <c r="P1268" s="187" t="n">
        <v>45959</v>
      </c>
      <c r="Q1268" s="188" t="n">
        <v>0.801377314814815</v>
      </c>
    </row>
    <row r="1269" customFormat="false" ht="35.05" hidden="false" customHeight="false" outlineLevel="0" collapsed="false">
      <c r="A1269" s="181" t="s">
        <v>2938</v>
      </c>
      <c r="B1269" s="182" t="n">
        <v>2772</v>
      </c>
      <c r="C1269" s="183" t="n">
        <v>197</v>
      </c>
      <c r="D1269" s="181" t="s">
        <v>2401</v>
      </c>
      <c r="E1269" s="181" t="s">
        <v>277</v>
      </c>
      <c r="F1269" s="181" t="s">
        <v>278</v>
      </c>
      <c r="G1269" s="181" t="s">
        <v>2715</v>
      </c>
      <c r="H1269" s="181" t="s">
        <v>279</v>
      </c>
      <c r="I1269" s="181" t="s">
        <v>242</v>
      </c>
      <c r="J1269" s="184" t="n">
        <v>38740</v>
      </c>
      <c r="K1269" s="184" t="n">
        <v>15430</v>
      </c>
      <c r="L1269" s="185" t="n">
        <v>12</v>
      </c>
      <c r="M1269" s="173" t="n">
        <v>23310</v>
      </c>
      <c r="N1269" s="184" t="n">
        <v>20512.8</v>
      </c>
      <c r="O1269" s="184" t="s">
        <v>2939</v>
      </c>
      <c r="P1269" s="187" t="n">
        <v>45959</v>
      </c>
      <c r="Q1269" s="188" t="n">
        <v>0.840810185185185</v>
      </c>
    </row>
    <row r="1270" customFormat="false" ht="35.05" hidden="false" customHeight="false" outlineLevel="0" collapsed="false">
      <c r="A1270" s="181" t="s">
        <v>2940</v>
      </c>
      <c r="B1270" s="182" t="n">
        <v>2777</v>
      </c>
      <c r="C1270" s="183" t="n">
        <v>202</v>
      </c>
      <c r="D1270" s="181" t="s">
        <v>2401</v>
      </c>
      <c r="E1270" s="181" t="s">
        <v>367</v>
      </c>
      <c r="F1270" s="181" t="s">
        <v>368</v>
      </c>
      <c r="G1270" s="181" t="s">
        <v>2715</v>
      </c>
      <c r="H1270" s="181" t="s">
        <v>279</v>
      </c>
      <c r="I1270" s="181" t="s">
        <v>242</v>
      </c>
      <c r="J1270" s="184" t="n">
        <v>50270</v>
      </c>
      <c r="K1270" s="184" t="n">
        <v>18920</v>
      </c>
      <c r="L1270" s="185" t="n">
        <v>9</v>
      </c>
      <c r="M1270" s="173" t="n">
        <v>31350</v>
      </c>
      <c r="N1270" s="184" t="n">
        <v>28528.5</v>
      </c>
      <c r="O1270" s="184" t="s">
        <v>2941</v>
      </c>
      <c r="P1270" s="187" t="n">
        <v>45959</v>
      </c>
      <c r="Q1270" s="188" t="n">
        <v>0.863796296296296</v>
      </c>
    </row>
    <row r="1271" customFormat="false" ht="35.05" hidden="false" customHeight="false" outlineLevel="0" collapsed="false">
      <c r="A1271" s="181" t="s">
        <v>2942</v>
      </c>
      <c r="B1271" s="182" t="n">
        <v>2773</v>
      </c>
      <c r="C1271" s="183" t="n">
        <v>198</v>
      </c>
      <c r="D1271" s="181" t="s">
        <v>2401</v>
      </c>
      <c r="E1271" s="181" t="s">
        <v>549</v>
      </c>
      <c r="F1271" s="181" t="s">
        <v>550</v>
      </c>
      <c r="G1271" s="181" t="s">
        <v>2715</v>
      </c>
      <c r="H1271" s="181" t="s">
        <v>279</v>
      </c>
      <c r="I1271" s="181" t="s">
        <v>242</v>
      </c>
      <c r="J1271" s="184" t="n">
        <v>39210</v>
      </c>
      <c r="K1271" s="184" t="n">
        <v>15840</v>
      </c>
      <c r="L1271" s="185" t="n">
        <v>6</v>
      </c>
      <c r="M1271" s="173" t="n">
        <v>23370</v>
      </c>
      <c r="N1271" s="184" t="n">
        <v>21967.8</v>
      </c>
      <c r="O1271" s="184" t="s">
        <v>2943</v>
      </c>
      <c r="P1271" s="187" t="n">
        <v>45959</v>
      </c>
      <c r="Q1271" s="188" t="n">
        <v>0.887743055555556</v>
      </c>
    </row>
    <row r="1272" customFormat="false" ht="35.05" hidden="false" customHeight="false" outlineLevel="0" collapsed="false">
      <c r="A1272" s="181" t="s">
        <v>2944</v>
      </c>
      <c r="B1272" s="182" t="n">
        <v>2778</v>
      </c>
      <c r="C1272" s="183" t="n">
        <v>205</v>
      </c>
      <c r="D1272" s="181" t="s">
        <v>2401</v>
      </c>
      <c r="E1272" s="181" t="s">
        <v>533</v>
      </c>
      <c r="F1272" s="181" t="s">
        <v>534</v>
      </c>
      <c r="G1272" s="181" t="s">
        <v>2715</v>
      </c>
      <c r="H1272" s="181" t="s">
        <v>279</v>
      </c>
      <c r="I1272" s="181" t="s">
        <v>242</v>
      </c>
      <c r="J1272" s="184" t="n">
        <v>38130</v>
      </c>
      <c r="K1272" s="184" t="n">
        <v>14880</v>
      </c>
      <c r="L1272" s="185" t="n">
        <v>7</v>
      </c>
      <c r="M1272" s="173" t="n">
        <v>23250</v>
      </c>
      <c r="N1272" s="184" t="n">
        <v>21622.5</v>
      </c>
      <c r="O1272" s="184" t="s">
        <v>2945</v>
      </c>
      <c r="P1272" s="187" t="n">
        <v>45959</v>
      </c>
      <c r="Q1272" s="188" t="n">
        <v>0.903425925925926</v>
      </c>
    </row>
    <row r="1273" customFormat="false" ht="35.05" hidden="false" customHeight="false" outlineLevel="0" collapsed="false">
      <c r="A1273" s="181" t="s">
        <v>2946</v>
      </c>
      <c r="B1273" s="182" t="n">
        <v>2779</v>
      </c>
      <c r="C1273" s="183" t="n">
        <v>206</v>
      </c>
      <c r="D1273" s="181" t="s">
        <v>2401</v>
      </c>
      <c r="E1273" s="181" t="s">
        <v>545</v>
      </c>
      <c r="F1273" s="181" t="s">
        <v>546</v>
      </c>
      <c r="G1273" s="181" t="s">
        <v>2715</v>
      </c>
      <c r="H1273" s="181" t="s">
        <v>279</v>
      </c>
      <c r="I1273" s="181" t="s">
        <v>242</v>
      </c>
      <c r="J1273" s="184" t="n">
        <v>41100</v>
      </c>
      <c r="K1273" s="184" t="n">
        <v>16280</v>
      </c>
      <c r="L1273" s="185" t="n">
        <v>14</v>
      </c>
      <c r="M1273" s="173" t="n">
        <v>24820</v>
      </c>
      <c r="N1273" s="184" t="n">
        <v>21345.2</v>
      </c>
      <c r="O1273" s="184" t="s">
        <v>2947</v>
      </c>
      <c r="P1273" s="187" t="n">
        <v>45959</v>
      </c>
      <c r="Q1273" s="188" t="n">
        <v>0.931296296296296</v>
      </c>
    </row>
    <row r="1274" customFormat="false" ht="35.05" hidden="false" customHeight="false" outlineLevel="0" collapsed="false">
      <c r="A1274" s="181" t="s">
        <v>2948</v>
      </c>
      <c r="B1274" s="182" t="n">
        <v>2774</v>
      </c>
      <c r="C1274" s="183" t="n">
        <v>200</v>
      </c>
      <c r="D1274" s="181" t="s">
        <v>2401</v>
      </c>
      <c r="E1274" s="181" t="s">
        <v>582</v>
      </c>
      <c r="F1274" s="181" t="s">
        <v>583</v>
      </c>
      <c r="G1274" s="181" t="s">
        <v>2715</v>
      </c>
      <c r="H1274" s="181" t="s">
        <v>279</v>
      </c>
      <c r="I1274" s="181" t="s">
        <v>242</v>
      </c>
      <c r="J1274" s="184" t="n">
        <v>39740</v>
      </c>
      <c r="K1274" s="184" t="n">
        <v>15150</v>
      </c>
      <c r="L1274" s="185" t="n">
        <v>14</v>
      </c>
      <c r="M1274" s="173" t="n">
        <v>24590</v>
      </c>
      <c r="N1274" s="184" t="n">
        <v>21147.4</v>
      </c>
      <c r="O1274" s="184" t="s">
        <v>2949</v>
      </c>
      <c r="P1274" s="187" t="n">
        <v>45959</v>
      </c>
      <c r="Q1274" s="188" t="n">
        <v>0.9565625</v>
      </c>
    </row>
    <row r="1275" customFormat="false" ht="35.05" hidden="false" customHeight="false" outlineLevel="0" collapsed="false">
      <c r="A1275" s="181" t="s">
        <v>2950</v>
      </c>
      <c r="B1275" s="182" t="n">
        <v>2780</v>
      </c>
      <c r="C1275" s="183" t="n">
        <v>204</v>
      </c>
      <c r="D1275" s="181" t="s">
        <v>2401</v>
      </c>
      <c r="E1275" s="181" t="s">
        <v>537</v>
      </c>
      <c r="F1275" s="181" t="s">
        <v>538</v>
      </c>
      <c r="G1275" s="181" t="s">
        <v>2715</v>
      </c>
      <c r="H1275" s="181" t="s">
        <v>279</v>
      </c>
      <c r="I1275" s="181" t="s">
        <v>242</v>
      </c>
      <c r="J1275" s="184" t="n">
        <v>35310</v>
      </c>
      <c r="K1275" s="184" t="n">
        <v>14100</v>
      </c>
      <c r="L1275" s="185" t="n">
        <v>22</v>
      </c>
      <c r="M1275" s="173" t="n">
        <v>21210</v>
      </c>
      <c r="N1275" s="184" t="n">
        <v>16543.8</v>
      </c>
      <c r="O1275" s="184" t="s">
        <v>2951</v>
      </c>
      <c r="P1275" s="187" t="n">
        <v>45959</v>
      </c>
      <c r="Q1275" s="188" t="n">
        <v>0.958969907407407</v>
      </c>
    </row>
    <row r="1276" customFormat="false" ht="35.05" hidden="false" customHeight="false" outlineLevel="0" collapsed="false">
      <c r="A1276" s="181" t="s">
        <v>2952</v>
      </c>
      <c r="B1276" s="182" t="n">
        <v>2775</v>
      </c>
      <c r="C1276" s="183" t="n">
        <v>201</v>
      </c>
      <c r="D1276" s="181" t="s">
        <v>2401</v>
      </c>
      <c r="E1276" s="181" t="s">
        <v>332</v>
      </c>
      <c r="F1276" s="181" t="s">
        <v>333</v>
      </c>
      <c r="G1276" s="181" t="s">
        <v>2715</v>
      </c>
      <c r="H1276" s="181" t="s">
        <v>279</v>
      </c>
      <c r="I1276" s="181" t="s">
        <v>242</v>
      </c>
      <c r="J1276" s="184" t="n">
        <v>37990</v>
      </c>
      <c r="K1276" s="184" t="n">
        <v>15020</v>
      </c>
      <c r="L1276" s="185" t="n">
        <v>14</v>
      </c>
      <c r="M1276" s="173" t="n">
        <v>22970</v>
      </c>
      <c r="N1276" s="184" t="n">
        <v>19754.2</v>
      </c>
      <c r="O1276" s="184" t="s">
        <v>2953</v>
      </c>
      <c r="P1276" s="187" t="n">
        <v>45959</v>
      </c>
      <c r="Q1276" s="188" t="n">
        <v>0.973043981481482</v>
      </c>
    </row>
    <row r="1277" customFormat="false" ht="35.05" hidden="false" customHeight="false" outlineLevel="0" collapsed="false">
      <c r="A1277" s="181" t="s">
        <v>2954</v>
      </c>
      <c r="B1277" s="182" t="n">
        <v>2781</v>
      </c>
      <c r="C1277" s="183" t="n">
        <v>207</v>
      </c>
      <c r="D1277" s="181" t="s">
        <v>2401</v>
      </c>
      <c r="E1277" s="181" t="s">
        <v>354</v>
      </c>
      <c r="F1277" s="181" t="s">
        <v>355</v>
      </c>
      <c r="G1277" s="181" t="s">
        <v>2715</v>
      </c>
      <c r="H1277" s="181" t="s">
        <v>279</v>
      </c>
      <c r="I1277" s="181" t="s">
        <v>242</v>
      </c>
      <c r="J1277" s="184" t="n">
        <v>39290</v>
      </c>
      <c r="K1277" s="184" t="n">
        <v>14960</v>
      </c>
      <c r="L1277" s="185" t="n">
        <v>14</v>
      </c>
      <c r="M1277" s="173" t="n">
        <v>24330</v>
      </c>
      <c r="N1277" s="184" t="n">
        <v>20923.8</v>
      </c>
      <c r="O1277" s="184" t="s">
        <v>2955</v>
      </c>
      <c r="P1277" s="187" t="n">
        <v>45960</v>
      </c>
      <c r="Q1277" s="188" t="n">
        <v>0.236099537037037</v>
      </c>
    </row>
    <row r="1278" customFormat="false" ht="35.05" hidden="false" customHeight="false" outlineLevel="0" collapsed="false">
      <c r="A1278" s="181" t="s">
        <v>2956</v>
      </c>
      <c r="B1278" s="182" t="n">
        <v>2782</v>
      </c>
      <c r="C1278" s="183" t="n">
        <v>208</v>
      </c>
      <c r="D1278" s="181" t="s">
        <v>2401</v>
      </c>
      <c r="E1278" s="181" t="s">
        <v>359</v>
      </c>
      <c r="F1278" s="181" t="s">
        <v>360</v>
      </c>
      <c r="G1278" s="181" t="s">
        <v>2715</v>
      </c>
      <c r="H1278" s="181" t="s">
        <v>279</v>
      </c>
      <c r="I1278" s="181" t="s">
        <v>242</v>
      </c>
      <c r="J1278" s="184" t="n">
        <v>36590</v>
      </c>
      <c r="K1278" s="184" t="n">
        <v>15100</v>
      </c>
      <c r="L1278" s="185" t="n">
        <v>24</v>
      </c>
      <c r="M1278" s="173" t="n">
        <v>21490</v>
      </c>
      <c r="N1278" s="184" t="n">
        <v>16332.4</v>
      </c>
      <c r="O1278" s="184" t="s">
        <v>2957</v>
      </c>
      <c r="P1278" s="187" t="n">
        <v>45960</v>
      </c>
      <c r="Q1278" s="188" t="n">
        <v>0.266284722222222</v>
      </c>
    </row>
    <row r="1279" customFormat="false" ht="35.05" hidden="false" customHeight="false" outlineLevel="0" collapsed="false">
      <c r="A1279" s="181" t="s">
        <v>2958</v>
      </c>
      <c r="B1279" s="182" t="n">
        <v>2783</v>
      </c>
      <c r="C1279" s="183" t="n">
        <v>209</v>
      </c>
      <c r="D1279" s="181" t="s">
        <v>2401</v>
      </c>
      <c r="E1279" s="181" t="s">
        <v>541</v>
      </c>
      <c r="F1279" s="181" t="s">
        <v>542</v>
      </c>
      <c r="G1279" s="181" t="s">
        <v>2715</v>
      </c>
      <c r="H1279" s="181" t="s">
        <v>279</v>
      </c>
      <c r="I1279" s="181" t="s">
        <v>242</v>
      </c>
      <c r="J1279" s="184" t="n">
        <v>39010</v>
      </c>
      <c r="K1279" s="184" t="n">
        <v>15210</v>
      </c>
      <c r="L1279" s="185" t="n">
        <v>21</v>
      </c>
      <c r="M1279" s="173" t="n">
        <v>23800</v>
      </c>
      <c r="N1279" s="184" t="n">
        <v>18802</v>
      </c>
      <c r="O1279" s="184" t="s">
        <v>2959</v>
      </c>
      <c r="P1279" s="187" t="n">
        <v>45960</v>
      </c>
      <c r="Q1279" s="188" t="n">
        <v>0.326111111111111</v>
      </c>
    </row>
    <row r="1280" customFormat="false" ht="35.05" hidden="false" customHeight="false" outlineLevel="0" collapsed="false">
      <c r="A1280" s="181" t="s">
        <v>2960</v>
      </c>
      <c r="B1280" s="182" t="n">
        <v>2784</v>
      </c>
      <c r="C1280" s="183" t="n">
        <v>211</v>
      </c>
      <c r="D1280" s="181" t="s">
        <v>2401</v>
      </c>
      <c r="E1280" s="181" t="s">
        <v>304</v>
      </c>
      <c r="F1280" s="181" t="s">
        <v>305</v>
      </c>
      <c r="G1280" s="181" t="s">
        <v>2715</v>
      </c>
      <c r="H1280" s="181" t="s">
        <v>279</v>
      </c>
      <c r="I1280" s="181" t="s">
        <v>242</v>
      </c>
      <c r="J1280" s="184" t="n">
        <v>38810</v>
      </c>
      <c r="K1280" s="184" t="n">
        <v>15190</v>
      </c>
      <c r="L1280" s="185" t="n">
        <v>12</v>
      </c>
      <c r="M1280" s="173" t="n">
        <v>23620</v>
      </c>
      <c r="N1280" s="184" t="n">
        <v>20785.6</v>
      </c>
      <c r="O1280" s="184" t="s">
        <v>2961</v>
      </c>
      <c r="P1280" s="187" t="n">
        <v>45960</v>
      </c>
      <c r="Q1280" s="188" t="n">
        <v>0.364525462962963</v>
      </c>
    </row>
    <row r="1281" customFormat="false" ht="35.05" hidden="false" customHeight="false" outlineLevel="0" collapsed="false">
      <c r="A1281" s="181" t="s">
        <v>2962</v>
      </c>
      <c r="B1281" s="182" t="n">
        <v>2785</v>
      </c>
      <c r="C1281" s="183" t="n">
        <v>210</v>
      </c>
      <c r="D1281" s="181" t="s">
        <v>2401</v>
      </c>
      <c r="E1281" s="181" t="s">
        <v>300</v>
      </c>
      <c r="F1281" s="181" t="s">
        <v>301</v>
      </c>
      <c r="G1281" s="181" t="s">
        <v>2715</v>
      </c>
      <c r="H1281" s="181" t="s">
        <v>279</v>
      </c>
      <c r="I1281" s="181" t="s">
        <v>242</v>
      </c>
      <c r="J1281" s="184" t="n">
        <v>59920</v>
      </c>
      <c r="K1281" s="184" t="n">
        <v>21330</v>
      </c>
      <c r="L1281" s="185" t="n">
        <v>24</v>
      </c>
      <c r="M1281" s="173" t="n">
        <v>38590</v>
      </c>
      <c r="N1281" s="184" t="n">
        <v>29328.4</v>
      </c>
      <c r="O1281" s="184" t="s">
        <v>2963</v>
      </c>
      <c r="P1281" s="187" t="n">
        <v>45960</v>
      </c>
      <c r="Q1281" s="188" t="n">
        <v>0.437488425925926</v>
      </c>
    </row>
    <row r="1282" customFormat="false" ht="35.05" hidden="false" customHeight="false" outlineLevel="0" collapsed="false">
      <c r="A1282" s="181" t="s">
        <v>2964</v>
      </c>
      <c r="B1282" s="182" t="n">
        <v>2786</v>
      </c>
      <c r="C1282" s="183" t="n">
        <v>212</v>
      </c>
      <c r="D1282" s="181" t="s">
        <v>2401</v>
      </c>
      <c r="E1282" s="181" t="s">
        <v>399</v>
      </c>
      <c r="F1282" s="181" t="s">
        <v>400</v>
      </c>
      <c r="G1282" s="181" t="s">
        <v>2715</v>
      </c>
      <c r="H1282" s="181" t="s">
        <v>279</v>
      </c>
      <c r="I1282" s="181" t="s">
        <v>242</v>
      </c>
      <c r="J1282" s="184" t="n">
        <v>52000</v>
      </c>
      <c r="K1282" s="184" t="n">
        <v>19590</v>
      </c>
      <c r="L1282" s="185" t="n">
        <v>8</v>
      </c>
      <c r="M1282" s="173" t="n">
        <v>32410</v>
      </c>
      <c r="N1282" s="184" t="n">
        <v>29817.2</v>
      </c>
      <c r="O1282" s="184" t="s">
        <v>2965</v>
      </c>
      <c r="P1282" s="187" t="n">
        <v>45960</v>
      </c>
      <c r="Q1282" s="188" t="n">
        <v>0.532083333333333</v>
      </c>
    </row>
    <row r="1283" customFormat="false" ht="35.05" hidden="false" customHeight="false" outlineLevel="0" collapsed="false">
      <c r="A1283" s="181" t="s">
        <v>2966</v>
      </c>
      <c r="B1283" s="182" t="n">
        <v>2787</v>
      </c>
      <c r="C1283" s="183" t="n">
        <v>213</v>
      </c>
      <c r="D1283" s="181" t="s">
        <v>2401</v>
      </c>
      <c r="E1283" s="181" t="s">
        <v>266</v>
      </c>
      <c r="F1283" s="181" t="s">
        <v>267</v>
      </c>
      <c r="G1283" s="181" t="s">
        <v>2715</v>
      </c>
      <c r="H1283" s="181" t="s">
        <v>279</v>
      </c>
      <c r="I1283" s="181" t="s">
        <v>242</v>
      </c>
      <c r="J1283" s="184" t="n">
        <v>38140</v>
      </c>
      <c r="K1283" s="184" t="n">
        <v>15080</v>
      </c>
      <c r="L1283" s="185" t="n">
        <v>11</v>
      </c>
      <c r="M1283" s="173" t="n">
        <v>23060</v>
      </c>
      <c r="N1283" s="184" t="n">
        <v>20523.4</v>
      </c>
      <c r="O1283" s="184" t="s">
        <v>2967</v>
      </c>
      <c r="P1283" s="187" t="n">
        <v>45960</v>
      </c>
      <c r="Q1283" s="188" t="n">
        <v>0.533969907407408</v>
      </c>
    </row>
    <row r="1284" customFormat="false" ht="35.05" hidden="false" customHeight="false" outlineLevel="0" collapsed="false">
      <c r="A1284" s="181" t="s">
        <v>2968</v>
      </c>
      <c r="B1284" s="182" t="n">
        <v>2788</v>
      </c>
      <c r="C1284" s="183" t="n">
        <v>215</v>
      </c>
      <c r="D1284" s="181" t="s">
        <v>2401</v>
      </c>
      <c r="E1284" s="181" t="s">
        <v>377</v>
      </c>
      <c r="F1284" s="181" t="s">
        <v>378</v>
      </c>
      <c r="G1284" s="181" t="s">
        <v>2715</v>
      </c>
      <c r="H1284" s="181" t="s">
        <v>279</v>
      </c>
      <c r="I1284" s="181" t="s">
        <v>242</v>
      </c>
      <c r="J1284" s="184" t="n">
        <v>43040</v>
      </c>
      <c r="K1284" s="184" t="n">
        <v>16020</v>
      </c>
      <c r="L1284" s="185" t="n">
        <v>15</v>
      </c>
      <c r="M1284" s="173" t="n">
        <v>27020</v>
      </c>
      <c r="N1284" s="184" t="n">
        <v>22967</v>
      </c>
      <c r="O1284" s="184" t="s">
        <v>2969</v>
      </c>
      <c r="P1284" s="187" t="n">
        <v>45960</v>
      </c>
      <c r="Q1284" s="188" t="n">
        <v>0.599155092592593</v>
      </c>
    </row>
    <row r="1285" customFormat="false" ht="35.05" hidden="false" customHeight="false" outlineLevel="0" collapsed="false">
      <c r="A1285" s="181" t="s">
        <v>2970</v>
      </c>
      <c r="B1285" s="182" t="n">
        <v>2790</v>
      </c>
      <c r="C1285" s="183" t="n">
        <v>214</v>
      </c>
      <c r="D1285" s="181" t="s">
        <v>2401</v>
      </c>
      <c r="E1285" s="181" t="s">
        <v>350</v>
      </c>
      <c r="F1285" s="181" t="s">
        <v>351</v>
      </c>
      <c r="G1285" s="181" t="s">
        <v>2715</v>
      </c>
      <c r="H1285" s="181" t="s">
        <v>279</v>
      </c>
      <c r="I1285" s="181" t="s">
        <v>242</v>
      </c>
      <c r="J1285" s="184" t="n">
        <v>40560</v>
      </c>
      <c r="K1285" s="184" t="n">
        <v>15130</v>
      </c>
      <c r="L1285" s="185" t="n">
        <v>16</v>
      </c>
      <c r="M1285" s="173" t="n">
        <v>25430</v>
      </c>
      <c r="N1285" s="184" t="n">
        <v>21361.2</v>
      </c>
      <c r="O1285" s="184" t="s">
        <v>2971</v>
      </c>
      <c r="P1285" s="187" t="n">
        <v>45960</v>
      </c>
      <c r="Q1285" s="188" t="n">
        <v>0.622881944444444</v>
      </c>
    </row>
    <row r="1286" customFormat="false" ht="35.05" hidden="false" customHeight="false" outlineLevel="0" collapsed="false">
      <c r="A1286" s="181" t="s">
        <v>2972</v>
      </c>
      <c r="B1286" s="182" t="n">
        <v>2793</v>
      </c>
      <c r="C1286" s="183" t="n">
        <v>216</v>
      </c>
      <c r="D1286" s="181" t="s">
        <v>2401</v>
      </c>
      <c r="E1286" s="181" t="s">
        <v>387</v>
      </c>
      <c r="F1286" s="181" t="s">
        <v>388</v>
      </c>
      <c r="G1286" s="181" t="s">
        <v>2715</v>
      </c>
      <c r="H1286" s="181" t="s">
        <v>279</v>
      </c>
      <c r="I1286" s="181" t="s">
        <v>242</v>
      </c>
      <c r="J1286" s="184" t="n">
        <v>42970</v>
      </c>
      <c r="K1286" s="184" t="n">
        <v>15290</v>
      </c>
      <c r="L1286" s="185" t="n">
        <v>18</v>
      </c>
      <c r="M1286" s="173" t="n">
        <v>27680</v>
      </c>
      <c r="N1286" s="184" t="n">
        <v>22697.6</v>
      </c>
      <c r="O1286" s="184" t="s">
        <v>2973</v>
      </c>
      <c r="P1286" s="187" t="n">
        <v>45960</v>
      </c>
      <c r="Q1286" s="188" t="n">
        <v>0.680601851851852</v>
      </c>
    </row>
    <row r="1287" customFormat="false" ht="35.05" hidden="false" customHeight="false" outlineLevel="0" collapsed="false">
      <c r="A1287" s="181" t="s">
        <v>2974</v>
      </c>
      <c r="B1287" s="182" t="n">
        <v>2795</v>
      </c>
      <c r="C1287" s="183" t="n">
        <v>217</v>
      </c>
      <c r="D1287" s="181" t="s">
        <v>2401</v>
      </c>
      <c r="E1287" s="181" t="s">
        <v>373</v>
      </c>
      <c r="F1287" s="181" t="s">
        <v>374</v>
      </c>
      <c r="G1287" s="181" t="s">
        <v>2715</v>
      </c>
      <c r="H1287" s="181" t="s">
        <v>279</v>
      </c>
      <c r="I1287" s="181" t="s">
        <v>242</v>
      </c>
      <c r="J1287" s="184" t="n">
        <v>38470</v>
      </c>
      <c r="K1287" s="184" t="n">
        <v>14670</v>
      </c>
      <c r="L1287" s="185" t="n">
        <v>8</v>
      </c>
      <c r="M1287" s="173" t="n">
        <v>23800</v>
      </c>
      <c r="N1287" s="184" t="n">
        <v>21896</v>
      </c>
      <c r="O1287" s="184" t="s">
        <v>2975</v>
      </c>
      <c r="P1287" s="187" t="n">
        <v>45960</v>
      </c>
      <c r="Q1287" s="188" t="n">
        <v>0.729988425925926</v>
      </c>
    </row>
    <row r="1288" customFormat="false" ht="35.05" hidden="false" customHeight="false" outlineLevel="0" collapsed="false">
      <c r="A1288" s="181" t="s">
        <v>2976</v>
      </c>
      <c r="B1288" s="182" t="n">
        <v>2796</v>
      </c>
      <c r="C1288" s="183" t="n">
        <v>218</v>
      </c>
      <c r="D1288" s="181" t="s">
        <v>2401</v>
      </c>
      <c r="E1288" s="181" t="s">
        <v>413</v>
      </c>
      <c r="F1288" s="181" t="s">
        <v>414</v>
      </c>
      <c r="G1288" s="181" t="s">
        <v>2715</v>
      </c>
      <c r="H1288" s="181" t="s">
        <v>279</v>
      </c>
      <c r="I1288" s="181" t="s">
        <v>242</v>
      </c>
      <c r="J1288" s="184" t="n">
        <v>41540</v>
      </c>
      <c r="K1288" s="184" t="n">
        <v>16290</v>
      </c>
      <c r="L1288" s="185" t="n">
        <v>29</v>
      </c>
      <c r="M1288" s="173" t="n">
        <v>25250</v>
      </c>
      <c r="N1288" s="184" t="n">
        <v>17927.5</v>
      </c>
      <c r="O1288" s="184" t="s">
        <v>2977</v>
      </c>
      <c r="P1288" s="187" t="n">
        <v>45960</v>
      </c>
      <c r="Q1288" s="188" t="n">
        <v>0.798125</v>
      </c>
    </row>
    <row r="1289" customFormat="false" ht="46.25" hidden="false" customHeight="false" outlineLevel="0" collapsed="false">
      <c r="A1289" s="181" t="s">
        <v>2978</v>
      </c>
      <c r="B1289" s="182" t="n">
        <v>2801</v>
      </c>
      <c r="C1289" s="183" t="n">
        <v>11294</v>
      </c>
      <c r="D1289" s="181" t="s">
        <v>2066</v>
      </c>
      <c r="E1289" s="181" t="s">
        <v>282</v>
      </c>
      <c r="F1289" s="181" t="s">
        <v>283</v>
      </c>
      <c r="G1289" s="181" t="s">
        <v>2067</v>
      </c>
      <c r="H1289" s="181" t="s">
        <v>158</v>
      </c>
      <c r="I1289" s="181" t="s">
        <v>241</v>
      </c>
      <c r="J1289" s="184" t="n">
        <v>40300</v>
      </c>
      <c r="K1289" s="184" t="n">
        <v>15120</v>
      </c>
      <c r="L1289" s="185" t="n">
        <v>6</v>
      </c>
      <c r="M1289" s="173" t="n">
        <v>25180</v>
      </c>
      <c r="N1289" s="184" t="n">
        <v>23669.2</v>
      </c>
      <c r="O1289" s="184" t="s">
        <v>2979</v>
      </c>
      <c r="P1289" s="187" t="n">
        <v>45960</v>
      </c>
      <c r="Q1289" s="188" t="n">
        <v>0.853576388888889</v>
      </c>
    </row>
    <row r="1290" customFormat="false" ht="35.05" hidden="false" customHeight="false" outlineLevel="0" collapsed="false">
      <c r="A1290" s="181" t="s">
        <v>2980</v>
      </c>
      <c r="B1290" s="182" t="n">
        <v>2802</v>
      </c>
      <c r="C1290" s="183" t="n">
        <v>221</v>
      </c>
      <c r="D1290" s="181" t="s">
        <v>2401</v>
      </c>
      <c r="E1290" s="181" t="s">
        <v>549</v>
      </c>
      <c r="F1290" s="181" t="s">
        <v>550</v>
      </c>
      <c r="G1290" s="181" t="s">
        <v>2728</v>
      </c>
      <c r="H1290" s="181" t="s">
        <v>279</v>
      </c>
      <c r="I1290" s="181" t="s">
        <v>242</v>
      </c>
      <c r="J1290" s="184" t="n">
        <v>38170</v>
      </c>
      <c r="K1290" s="184" t="n">
        <v>16110</v>
      </c>
      <c r="L1290" s="185" t="n">
        <v>6</v>
      </c>
      <c r="M1290" s="173" t="n">
        <v>22060</v>
      </c>
      <c r="N1290" s="184" t="n">
        <v>20736.4</v>
      </c>
      <c r="O1290" s="184" t="s">
        <v>2981</v>
      </c>
      <c r="P1290" s="187" t="n">
        <v>45960</v>
      </c>
      <c r="Q1290" s="188" t="n">
        <v>0.857152777777778</v>
      </c>
    </row>
    <row r="1291" customFormat="false" ht="35.05" hidden="false" customHeight="false" outlineLevel="0" collapsed="false">
      <c r="A1291" s="181" t="s">
        <v>2982</v>
      </c>
      <c r="B1291" s="182" t="n">
        <v>2803</v>
      </c>
      <c r="C1291" s="183" t="n">
        <v>222</v>
      </c>
      <c r="D1291" s="181" t="s">
        <v>2401</v>
      </c>
      <c r="E1291" s="181" t="s">
        <v>409</v>
      </c>
      <c r="F1291" s="181" t="s">
        <v>410</v>
      </c>
      <c r="G1291" s="181" t="s">
        <v>2728</v>
      </c>
      <c r="H1291" s="181" t="s">
        <v>279</v>
      </c>
      <c r="I1291" s="181" t="s">
        <v>242</v>
      </c>
      <c r="J1291" s="184" t="n">
        <v>56080</v>
      </c>
      <c r="K1291" s="184" t="n">
        <v>24950</v>
      </c>
      <c r="L1291" s="185" t="n">
        <v>10</v>
      </c>
      <c r="M1291" s="173" t="n">
        <v>31130</v>
      </c>
      <c r="N1291" s="184" t="n">
        <v>28017</v>
      </c>
      <c r="O1291" s="184" t="s">
        <v>2983</v>
      </c>
      <c r="P1291" s="187" t="n">
        <v>45960</v>
      </c>
      <c r="Q1291" s="188" t="n">
        <v>0.861689814814815</v>
      </c>
    </row>
    <row r="1292" customFormat="false" ht="35.05" hidden="false" customHeight="false" outlineLevel="0" collapsed="false">
      <c r="A1292" s="181" t="s">
        <v>2984</v>
      </c>
      <c r="B1292" s="182" t="n">
        <v>2797</v>
      </c>
      <c r="C1292" s="183" t="n">
        <v>219</v>
      </c>
      <c r="D1292" s="181" t="s">
        <v>2401</v>
      </c>
      <c r="E1292" s="181" t="s">
        <v>383</v>
      </c>
      <c r="F1292" s="181" t="s">
        <v>384</v>
      </c>
      <c r="G1292" s="181" t="s">
        <v>2715</v>
      </c>
      <c r="H1292" s="181" t="s">
        <v>279</v>
      </c>
      <c r="I1292" s="181" t="s">
        <v>242</v>
      </c>
      <c r="J1292" s="184" t="n">
        <v>38490</v>
      </c>
      <c r="K1292" s="184" t="n">
        <v>15230</v>
      </c>
      <c r="L1292" s="185" t="n">
        <v>14</v>
      </c>
      <c r="M1292" s="173" t="n">
        <v>23260</v>
      </c>
      <c r="N1292" s="184" t="n">
        <v>20003.6</v>
      </c>
      <c r="O1292" s="184" t="s">
        <v>2985</v>
      </c>
      <c r="P1292" s="187" t="n">
        <v>45960</v>
      </c>
      <c r="Q1292" s="188" t="n">
        <v>0.894143518518519</v>
      </c>
    </row>
    <row r="1293" customFormat="false" ht="35.05" hidden="false" customHeight="false" outlineLevel="0" collapsed="false">
      <c r="A1293" s="181" t="s">
        <v>2986</v>
      </c>
      <c r="B1293" s="182" t="n">
        <v>2798</v>
      </c>
      <c r="C1293" s="183" t="n">
        <v>220</v>
      </c>
      <c r="D1293" s="181" t="s">
        <v>2401</v>
      </c>
      <c r="E1293" s="181" t="s">
        <v>308</v>
      </c>
      <c r="F1293" s="181" t="s">
        <v>309</v>
      </c>
      <c r="G1293" s="181" t="s">
        <v>2728</v>
      </c>
      <c r="H1293" s="181" t="s">
        <v>279</v>
      </c>
      <c r="I1293" s="181" t="s">
        <v>242</v>
      </c>
      <c r="J1293" s="184" t="n">
        <v>50670</v>
      </c>
      <c r="K1293" s="184" t="n">
        <v>24380</v>
      </c>
      <c r="L1293" s="185" t="n">
        <v>15</v>
      </c>
      <c r="M1293" s="173" t="n">
        <v>26290</v>
      </c>
      <c r="N1293" s="184" t="n">
        <v>22346.5</v>
      </c>
      <c r="O1293" s="184" t="s">
        <v>2987</v>
      </c>
      <c r="P1293" s="187" t="n">
        <v>45960</v>
      </c>
      <c r="Q1293" s="188" t="n">
        <v>0.898101851851852</v>
      </c>
    </row>
    <row r="1294" customFormat="false" ht="35.05" hidden="false" customHeight="false" outlineLevel="0" collapsed="false">
      <c r="A1294" s="181" t="s">
        <v>2988</v>
      </c>
      <c r="B1294" s="182" t="n">
        <v>2804</v>
      </c>
      <c r="C1294" s="183" t="n">
        <v>223</v>
      </c>
      <c r="D1294" s="181" t="s">
        <v>2401</v>
      </c>
      <c r="E1294" s="181" t="s">
        <v>367</v>
      </c>
      <c r="F1294" s="181" t="s">
        <v>368</v>
      </c>
      <c r="G1294" s="181" t="s">
        <v>2728</v>
      </c>
      <c r="H1294" s="181" t="s">
        <v>279</v>
      </c>
      <c r="I1294" s="181" t="s">
        <v>242</v>
      </c>
      <c r="J1294" s="184" t="n">
        <v>48210</v>
      </c>
      <c r="K1294" s="184" t="n">
        <v>18970</v>
      </c>
      <c r="L1294" s="185" t="n">
        <v>4</v>
      </c>
      <c r="M1294" s="173" t="n">
        <v>29240</v>
      </c>
      <c r="N1294" s="184" t="n">
        <v>28070.4</v>
      </c>
      <c r="O1294" s="184" t="s">
        <v>2989</v>
      </c>
      <c r="P1294" s="187" t="n">
        <v>45960</v>
      </c>
      <c r="Q1294" s="188" t="n">
        <v>0.931273148148148</v>
      </c>
    </row>
    <row r="1295" customFormat="false" ht="46.25" hidden="false" customHeight="false" outlineLevel="0" collapsed="false">
      <c r="A1295" s="181" t="s">
        <v>2990</v>
      </c>
      <c r="B1295" s="182" t="n">
        <v>2799</v>
      </c>
      <c r="C1295" s="183" t="n">
        <v>11284</v>
      </c>
      <c r="D1295" s="181" t="s">
        <v>2066</v>
      </c>
      <c r="E1295" s="181" t="s">
        <v>576</v>
      </c>
      <c r="F1295" s="181" t="s">
        <v>577</v>
      </c>
      <c r="G1295" s="181" t="s">
        <v>2067</v>
      </c>
      <c r="H1295" s="181" t="s">
        <v>158</v>
      </c>
      <c r="I1295" s="181" t="s">
        <v>241</v>
      </c>
      <c r="J1295" s="184" t="n">
        <v>40270</v>
      </c>
      <c r="K1295" s="184" t="n">
        <v>14630</v>
      </c>
      <c r="L1295" s="185" t="n">
        <v>6</v>
      </c>
      <c r="M1295" s="173" t="n">
        <v>25640</v>
      </c>
      <c r="N1295" s="184" t="n">
        <v>24101.6</v>
      </c>
      <c r="O1295" s="184" t="s">
        <v>2991</v>
      </c>
      <c r="P1295" s="187" t="n">
        <v>45960</v>
      </c>
      <c r="Q1295" s="188" t="n">
        <v>0.940532407407407</v>
      </c>
    </row>
    <row r="1296" customFormat="false" ht="35.05" hidden="false" customHeight="false" outlineLevel="0" collapsed="false">
      <c r="A1296" s="181" t="s">
        <v>2992</v>
      </c>
      <c r="B1296" s="182" t="n">
        <v>2805</v>
      </c>
      <c r="C1296" s="183" t="n">
        <v>224</v>
      </c>
      <c r="D1296" s="181" t="s">
        <v>2401</v>
      </c>
      <c r="E1296" s="181" t="s">
        <v>533</v>
      </c>
      <c r="F1296" s="181" t="s">
        <v>534</v>
      </c>
      <c r="G1296" s="181" t="s">
        <v>2728</v>
      </c>
      <c r="H1296" s="181" t="s">
        <v>279</v>
      </c>
      <c r="I1296" s="181" t="s">
        <v>242</v>
      </c>
      <c r="J1296" s="184" t="n">
        <v>38220</v>
      </c>
      <c r="K1296" s="184" t="n">
        <v>14880</v>
      </c>
      <c r="L1296" s="185" t="n">
        <v>15</v>
      </c>
      <c r="M1296" s="173" t="n">
        <v>23340</v>
      </c>
      <c r="N1296" s="184" t="n">
        <v>19839</v>
      </c>
      <c r="O1296" s="184" t="s">
        <v>2993</v>
      </c>
      <c r="P1296" s="187" t="n">
        <v>45960</v>
      </c>
      <c r="Q1296" s="188" t="n">
        <v>0.94568287037037</v>
      </c>
    </row>
    <row r="1297" customFormat="false" ht="46.25" hidden="false" customHeight="false" outlineLevel="0" collapsed="false">
      <c r="A1297" s="181" t="s">
        <v>2994</v>
      </c>
      <c r="B1297" s="182" t="n">
        <v>2800</v>
      </c>
      <c r="C1297" s="183" t="n">
        <v>11285</v>
      </c>
      <c r="D1297" s="181" t="s">
        <v>2066</v>
      </c>
      <c r="E1297" s="181" t="s">
        <v>261</v>
      </c>
      <c r="F1297" s="181" t="s">
        <v>262</v>
      </c>
      <c r="G1297" s="181" t="s">
        <v>2067</v>
      </c>
      <c r="H1297" s="181" t="s">
        <v>158</v>
      </c>
      <c r="I1297" s="181" t="s">
        <v>241</v>
      </c>
      <c r="J1297" s="184" t="n">
        <v>40310</v>
      </c>
      <c r="K1297" s="184" t="n">
        <v>15310</v>
      </c>
      <c r="L1297" s="185" t="n">
        <v>11</v>
      </c>
      <c r="M1297" s="173" t="n">
        <v>25000</v>
      </c>
      <c r="N1297" s="184" t="n">
        <v>22250</v>
      </c>
      <c r="O1297" s="184" t="s">
        <v>2995</v>
      </c>
      <c r="P1297" s="187" t="n">
        <v>45960</v>
      </c>
      <c r="Q1297" s="188" t="n">
        <v>0.979305555555556</v>
      </c>
    </row>
    <row r="1298" customFormat="false" ht="35.05" hidden="false" customHeight="false" outlineLevel="0" collapsed="false">
      <c r="A1298" s="181" t="s">
        <v>2996</v>
      </c>
      <c r="B1298" s="182" t="n">
        <v>2806</v>
      </c>
      <c r="C1298" s="183" t="n">
        <v>225</v>
      </c>
      <c r="D1298" s="181" t="s">
        <v>2401</v>
      </c>
      <c r="E1298" s="181" t="s">
        <v>545</v>
      </c>
      <c r="F1298" s="181" t="s">
        <v>546</v>
      </c>
      <c r="G1298" s="181" t="s">
        <v>2728</v>
      </c>
      <c r="H1298" s="181" t="s">
        <v>279</v>
      </c>
      <c r="I1298" s="181" t="s">
        <v>242</v>
      </c>
      <c r="J1298" s="184" t="n">
        <v>40660</v>
      </c>
      <c r="K1298" s="184" t="n">
        <v>16440</v>
      </c>
      <c r="L1298" s="185" t="n">
        <v>9</v>
      </c>
      <c r="M1298" s="173" t="n">
        <v>24220</v>
      </c>
      <c r="N1298" s="184" t="n">
        <v>22040.2</v>
      </c>
      <c r="O1298" s="184" t="s">
        <v>2997</v>
      </c>
      <c r="P1298" s="187" t="n">
        <v>45961</v>
      </c>
      <c r="Q1298" s="188" t="n">
        <v>0.380798611111111</v>
      </c>
    </row>
    <row r="1299" customFormat="false" ht="35.05" hidden="false" customHeight="false" outlineLevel="0" collapsed="false">
      <c r="A1299" s="181" t="s">
        <v>2998</v>
      </c>
      <c r="B1299" s="182" t="n">
        <v>2807</v>
      </c>
      <c r="C1299" s="183" t="n">
        <v>226</v>
      </c>
      <c r="D1299" s="181" t="s">
        <v>2401</v>
      </c>
      <c r="E1299" s="181" t="s">
        <v>537</v>
      </c>
      <c r="F1299" s="181" t="s">
        <v>538</v>
      </c>
      <c r="G1299" s="181" t="s">
        <v>2728</v>
      </c>
      <c r="H1299" s="181" t="s">
        <v>279</v>
      </c>
      <c r="I1299" s="181" t="s">
        <v>242</v>
      </c>
      <c r="J1299" s="184" t="n">
        <v>34970</v>
      </c>
      <c r="K1299" s="184" t="n">
        <v>14020</v>
      </c>
      <c r="L1299" s="185" t="n">
        <v>7</v>
      </c>
      <c r="M1299" s="173" t="n">
        <v>20950</v>
      </c>
      <c r="N1299" s="184" t="n">
        <v>19483.5</v>
      </c>
      <c r="O1299" s="184" t="s">
        <v>2999</v>
      </c>
      <c r="P1299" s="187" t="n">
        <v>45961</v>
      </c>
      <c r="Q1299" s="188" t="n">
        <v>0.398599537037037</v>
      </c>
    </row>
    <row r="1300" customFormat="false" ht="35.05" hidden="false" customHeight="false" outlineLevel="0" collapsed="false">
      <c r="A1300" s="181" t="s">
        <v>3000</v>
      </c>
      <c r="B1300" s="182" t="n">
        <v>2808</v>
      </c>
      <c r="C1300" s="183" t="n">
        <v>227</v>
      </c>
      <c r="D1300" s="181" t="s">
        <v>2401</v>
      </c>
      <c r="E1300" s="181" t="s">
        <v>354</v>
      </c>
      <c r="F1300" s="181" t="s">
        <v>355</v>
      </c>
      <c r="G1300" s="181" t="s">
        <v>2728</v>
      </c>
      <c r="H1300" s="181" t="s">
        <v>279</v>
      </c>
      <c r="I1300" s="181" t="s">
        <v>242</v>
      </c>
      <c r="J1300" s="184" t="n">
        <v>38690</v>
      </c>
      <c r="K1300" s="184" t="n">
        <v>15060</v>
      </c>
      <c r="L1300" s="185" t="n">
        <v>7</v>
      </c>
      <c r="M1300" s="173" t="n">
        <v>23630</v>
      </c>
      <c r="N1300" s="184" t="n">
        <v>21975.9</v>
      </c>
      <c r="O1300" s="184" t="s">
        <v>3001</v>
      </c>
      <c r="P1300" s="187" t="n">
        <v>45961</v>
      </c>
      <c r="Q1300" s="188" t="n">
        <v>0.455949074074074</v>
      </c>
    </row>
    <row r="1301" customFormat="false" ht="35.05" hidden="false" customHeight="false" outlineLevel="0" collapsed="false">
      <c r="A1301" s="181" t="s">
        <v>3002</v>
      </c>
      <c r="B1301" s="182" t="n">
        <v>2809</v>
      </c>
      <c r="C1301" s="183" t="n">
        <v>228</v>
      </c>
      <c r="D1301" s="181" t="s">
        <v>2401</v>
      </c>
      <c r="E1301" s="181" t="s">
        <v>359</v>
      </c>
      <c r="F1301" s="181" t="s">
        <v>360</v>
      </c>
      <c r="G1301" s="181" t="s">
        <v>2728</v>
      </c>
      <c r="H1301" s="181" t="s">
        <v>279</v>
      </c>
      <c r="I1301" s="181" t="s">
        <v>242</v>
      </c>
      <c r="J1301" s="184" t="n">
        <v>36990</v>
      </c>
      <c r="K1301" s="184" t="n">
        <v>15220</v>
      </c>
      <c r="L1301" s="185" t="n">
        <v>7</v>
      </c>
      <c r="M1301" s="173" t="n">
        <v>21770</v>
      </c>
      <c r="N1301" s="184" t="n">
        <v>20246.1</v>
      </c>
      <c r="O1301" s="184" t="s">
        <v>3003</v>
      </c>
      <c r="P1301" s="187" t="n">
        <v>45961</v>
      </c>
      <c r="Q1301" s="188" t="n">
        <v>0.462048611111111</v>
      </c>
    </row>
    <row r="1302" customFormat="false" ht="35.05" hidden="false" customHeight="false" outlineLevel="0" collapsed="false">
      <c r="A1302" s="181" t="s">
        <v>3004</v>
      </c>
      <c r="B1302" s="182" t="n">
        <v>2810</v>
      </c>
      <c r="C1302" s="183" t="n">
        <v>229</v>
      </c>
      <c r="D1302" s="181" t="s">
        <v>2401</v>
      </c>
      <c r="E1302" s="181" t="s">
        <v>541</v>
      </c>
      <c r="F1302" s="181" t="s">
        <v>542</v>
      </c>
      <c r="G1302" s="181" t="s">
        <v>2728</v>
      </c>
      <c r="H1302" s="181" t="s">
        <v>279</v>
      </c>
      <c r="I1302" s="181" t="s">
        <v>242</v>
      </c>
      <c r="J1302" s="184" t="n">
        <v>38680</v>
      </c>
      <c r="K1302" s="184" t="n">
        <v>15130</v>
      </c>
      <c r="L1302" s="185" t="n">
        <v>5</v>
      </c>
      <c r="M1302" s="173" t="n">
        <v>23550</v>
      </c>
      <c r="N1302" s="184" t="n">
        <v>22372.5</v>
      </c>
      <c r="O1302" s="184" t="s">
        <v>3005</v>
      </c>
      <c r="P1302" s="187" t="n">
        <v>45961</v>
      </c>
      <c r="Q1302" s="188" t="n">
        <v>0.534699074074074</v>
      </c>
    </row>
    <row r="1303" customFormat="false" ht="35.05" hidden="false" customHeight="false" outlineLevel="0" collapsed="false">
      <c r="A1303" s="181" t="s">
        <v>3006</v>
      </c>
      <c r="B1303" s="182" t="n">
        <v>2811</v>
      </c>
      <c r="C1303" s="183" t="n">
        <v>230</v>
      </c>
      <c r="D1303" s="181" t="s">
        <v>2401</v>
      </c>
      <c r="E1303" s="181" t="s">
        <v>288</v>
      </c>
      <c r="F1303" s="181" t="s">
        <v>289</v>
      </c>
      <c r="G1303" s="181" t="s">
        <v>2728</v>
      </c>
      <c r="H1303" s="181" t="s">
        <v>279</v>
      </c>
      <c r="I1303" s="181" t="s">
        <v>242</v>
      </c>
      <c r="J1303" s="184" t="n">
        <v>36090</v>
      </c>
      <c r="K1303" s="184" t="n">
        <v>15050</v>
      </c>
      <c r="L1303" s="185" t="n">
        <v>6</v>
      </c>
      <c r="M1303" s="173" t="n">
        <v>21040</v>
      </c>
      <c r="N1303" s="184" t="n">
        <v>19777.6</v>
      </c>
      <c r="O1303" s="184" t="s">
        <v>3007</v>
      </c>
      <c r="P1303" s="187" t="n">
        <v>45961</v>
      </c>
      <c r="Q1303" s="188" t="n">
        <v>0.583668981481482</v>
      </c>
    </row>
    <row r="1304" customFormat="false" ht="35.05" hidden="false" customHeight="false" outlineLevel="0" collapsed="false">
      <c r="A1304" s="181" t="s">
        <v>3008</v>
      </c>
      <c r="B1304" s="182" t="n">
        <v>2812</v>
      </c>
      <c r="C1304" s="183" t="n">
        <v>231</v>
      </c>
      <c r="D1304" s="181" t="s">
        <v>2401</v>
      </c>
      <c r="E1304" s="181" t="s">
        <v>332</v>
      </c>
      <c r="F1304" s="181" t="s">
        <v>333</v>
      </c>
      <c r="G1304" s="181" t="s">
        <v>2728</v>
      </c>
      <c r="H1304" s="181" t="s">
        <v>279</v>
      </c>
      <c r="I1304" s="181" t="s">
        <v>242</v>
      </c>
      <c r="J1304" s="184" t="n">
        <v>39020</v>
      </c>
      <c r="K1304" s="184" t="n">
        <v>15140</v>
      </c>
      <c r="L1304" s="185" t="n">
        <v>8</v>
      </c>
      <c r="M1304" s="173" t="n">
        <v>23880</v>
      </c>
      <c r="N1304" s="184" t="n">
        <v>21969.6</v>
      </c>
      <c r="O1304" s="184" t="s">
        <v>3009</v>
      </c>
      <c r="P1304" s="187" t="n">
        <v>45961</v>
      </c>
      <c r="Q1304" s="188" t="n">
        <v>0.606770833333333</v>
      </c>
    </row>
    <row r="1305" customFormat="false" ht="35.05" hidden="false" customHeight="false" outlineLevel="0" collapsed="false">
      <c r="A1305" s="181" t="s">
        <v>3010</v>
      </c>
      <c r="B1305" s="182" t="n">
        <v>2813</v>
      </c>
      <c r="C1305" s="183" t="n">
        <v>232</v>
      </c>
      <c r="D1305" s="181" t="s">
        <v>2401</v>
      </c>
      <c r="E1305" s="181" t="s">
        <v>336</v>
      </c>
      <c r="F1305" s="181" t="s">
        <v>337</v>
      </c>
      <c r="G1305" s="181" t="s">
        <v>2728</v>
      </c>
      <c r="H1305" s="181" t="s">
        <v>279</v>
      </c>
      <c r="I1305" s="181" t="s">
        <v>242</v>
      </c>
      <c r="J1305" s="184" t="n">
        <v>38890</v>
      </c>
      <c r="K1305" s="184" t="n">
        <v>14750</v>
      </c>
      <c r="L1305" s="185" t="n">
        <v>14</v>
      </c>
      <c r="M1305" s="173" t="n">
        <v>24140</v>
      </c>
      <c r="N1305" s="184" t="n">
        <v>20760.4</v>
      </c>
      <c r="O1305" s="184" t="s">
        <v>3011</v>
      </c>
      <c r="P1305" s="187" t="n">
        <v>45961</v>
      </c>
      <c r="Q1305" s="188" t="n">
        <v>0.612303240740741</v>
      </c>
    </row>
    <row r="1306" customFormat="false" ht="35.05" hidden="false" customHeight="false" outlineLevel="0" collapsed="false">
      <c r="A1306" s="181" t="s">
        <v>3012</v>
      </c>
      <c r="B1306" s="182" t="n">
        <v>2816</v>
      </c>
      <c r="C1306" s="183" t="n">
        <v>233</v>
      </c>
      <c r="D1306" s="181" t="s">
        <v>2401</v>
      </c>
      <c r="E1306" s="181" t="s">
        <v>340</v>
      </c>
      <c r="F1306" s="181" t="s">
        <v>341</v>
      </c>
      <c r="G1306" s="181" t="s">
        <v>2728</v>
      </c>
      <c r="H1306" s="181" t="s">
        <v>279</v>
      </c>
      <c r="I1306" s="181" t="s">
        <v>242</v>
      </c>
      <c r="J1306" s="184" t="n">
        <v>37530</v>
      </c>
      <c r="K1306" s="184" t="n">
        <v>15190</v>
      </c>
      <c r="L1306" s="185" t="n">
        <v>17</v>
      </c>
      <c r="M1306" s="173" t="n">
        <v>22340</v>
      </c>
      <c r="N1306" s="184" t="n">
        <v>18542.2</v>
      </c>
      <c r="O1306" s="184" t="s">
        <v>3013</v>
      </c>
      <c r="P1306" s="187" t="n">
        <v>45961</v>
      </c>
      <c r="Q1306" s="188" t="n">
        <v>0.656180555555556</v>
      </c>
    </row>
    <row r="1307" customFormat="false" ht="35.05" hidden="false" customHeight="false" outlineLevel="0" collapsed="false">
      <c r="A1307" s="181" t="s">
        <v>3014</v>
      </c>
      <c r="B1307" s="182" t="n">
        <v>2817</v>
      </c>
      <c r="C1307" s="183" t="n">
        <v>234</v>
      </c>
      <c r="D1307" s="181" t="s">
        <v>2401</v>
      </c>
      <c r="E1307" s="181" t="s">
        <v>391</v>
      </c>
      <c r="F1307" s="181" t="s">
        <v>392</v>
      </c>
      <c r="G1307" s="181" t="s">
        <v>2728</v>
      </c>
      <c r="H1307" s="181" t="s">
        <v>279</v>
      </c>
      <c r="I1307" s="181" t="s">
        <v>242</v>
      </c>
      <c r="J1307" s="184" t="n">
        <v>34350</v>
      </c>
      <c r="K1307" s="184" t="n">
        <v>14680</v>
      </c>
      <c r="L1307" s="185" t="n">
        <v>29</v>
      </c>
      <c r="M1307" s="173" t="n">
        <v>19670</v>
      </c>
      <c r="N1307" s="184" t="n">
        <v>13965.7</v>
      </c>
      <c r="O1307" s="184" t="s">
        <v>3015</v>
      </c>
      <c r="P1307" s="187" t="n">
        <v>45961</v>
      </c>
      <c r="Q1307" s="188" t="n">
        <v>0.679097222222222</v>
      </c>
    </row>
    <row r="1308" customFormat="false" ht="35.05" hidden="false" customHeight="false" outlineLevel="0" collapsed="false">
      <c r="A1308" s="181" t="s">
        <v>3016</v>
      </c>
      <c r="B1308" s="182" t="n">
        <v>2818</v>
      </c>
      <c r="C1308" s="183" t="n">
        <v>235</v>
      </c>
      <c r="D1308" s="181" t="s">
        <v>2401</v>
      </c>
      <c r="E1308" s="181" t="s">
        <v>272</v>
      </c>
      <c r="F1308" s="181" t="s">
        <v>273</v>
      </c>
      <c r="G1308" s="181" t="s">
        <v>2728</v>
      </c>
      <c r="H1308" s="181" t="s">
        <v>279</v>
      </c>
      <c r="I1308" s="181" t="s">
        <v>242</v>
      </c>
      <c r="J1308" s="184" t="n">
        <v>38830</v>
      </c>
      <c r="K1308" s="184" t="n">
        <v>15730</v>
      </c>
      <c r="L1308" s="185" t="n">
        <v>5</v>
      </c>
      <c r="M1308" s="173" t="n">
        <v>23100</v>
      </c>
      <c r="N1308" s="184" t="n">
        <v>21945</v>
      </c>
      <c r="O1308" s="184" t="s">
        <v>3017</v>
      </c>
      <c r="P1308" s="187" t="n">
        <v>45961</v>
      </c>
      <c r="Q1308" s="188" t="n">
        <v>0.732094907407408</v>
      </c>
    </row>
    <row r="1309" customFormat="false" ht="35.05" hidden="false" customHeight="false" outlineLevel="0" collapsed="false">
      <c r="A1309" s="181" t="s">
        <v>3018</v>
      </c>
      <c r="B1309" s="182" t="n">
        <v>2820</v>
      </c>
      <c r="C1309" s="183" t="n">
        <v>236</v>
      </c>
      <c r="D1309" s="181" t="s">
        <v>2401</v>
      </c>
      <c r="E1309" s="181" t="s">
        <v>399</v>
      </c>
      <c r="F1309" s="181" t="s">
        <v>400</v>
      </c>
      <c r="G1309" s="181" t="s">
        <v>2728</v>
      </c>
      <c r="H1309" s="181" t="s">
        <v>279</v>
      </c>
      <c r="I1309" s="181" t="s">
        <v>242</v>
      </c>
      <c r="J1309" s="184" t="n">
        <v>50150</v>
      </c>
      <c r="K1309" s="184" t="n">
        <v>19580</v>
      </c>
      <c r="L1309" s="185" t="n">
        <v>8</v>
      </c>
      <c r="M1309" s="173" t="n">
        <v>30570</v>
      </c>
      <c r="N1309" s="184" t="n">
        <v>28124.4</v>
      </c>
      <c r="O1309" s="184" t="s">
        <v>3019</v>
      </c>
      <c r="P1309" s="187" t="n">
        <v>45961</v>
      </c>
      <c r="Q1309" s="188" t="n">
        <v>0.775949074074074</v>
      </c>
    </row>
    <row r="1310" customFormat="false" ht="35.05" hidden="false" customHeight="false" outlineLevel="0" collapsed="false">
      <c r="A1310" s="181" t="s">
        <v>3020</v>
      </c>
      <c r="B1310" s="182" t="n">
        <v>2821</v>
      </c>
      <c r="C1310" s="183" t="n">
        <v>238</v>
      </c>
      <c r="D1310" s="181" t="s">
        <v>2401</v>
      </c>
      <c r="E1310" s="181" t="s">
        <v>277</v>
      </c>
      <c r="F1310" s="181" t="s">
        <v>278</v>
      </c>
      <c r="G1310" s="181" t="s">
        <v>2728</v>
      </c>
      <c r="H1310" s="181" t="s">
        <v>279</v>
      </c>
      <c r="I1310" s="181" t="s">
        <v>242</v>
      </c>
      <c r="J1310" s="184" t="n">
        <v>42080</v>
      </c>
      <c r="K1310" s="184" t="n">
        <v>15350</v>
      </c>
      <c r="L1310" s="185" t="n">
        <v>8</v>
      </c>
      <c r="M1310" s="173" t="n">
        <v>26730</v>
      </c>
      <c r="N1310" s="184" t="n">
        <v>24591.6</v>
      </c>
      <c r="O1310" s="184" t="s">
        <v>3021</v>
      </c>
      <c r="P1310" s="187" t="n">
        <v>45961</v>
      </c>
      <c r="Q1310" s="188" t="n">
        <v>0.912719907407407</v>
      </c>
    </row>
    <row r="1311" customFormat="false" ht="35.05" hidden="false" customHeight="false" outlineLevel="0" collapsed="false">
      <c r="A1311" s="181" t="s">
        <v>3022</v>
      </c>
      <c r="B1311" s="182" t="n">
        <v>2822</v>
      </c>
      <c r="C1311" s="183" t="n">
        <v>237</v>
      </c>
      <c r="D1311" s="181" t="s">
        <v>2401</v>
      </c>
      <c r="E1311" s="181" t="s">
        <v>300</v>
      </c>
      <c r="F1311" s="181" t="s">
        <v>301</v>
      </c>
      <c r="G1311" s="181" t="s">
        <v>2728</v>
      </c>
      <c r="H1311" s="181" t="s">
        <v>279</v>
      </c>
      <c r="I1311" s="181" t="s">
        <v>242</v>
      </c>
      <c r="J1311" s="184" t="n">
        <v>62880</v>
      </c>
      <c r="K1311" s="184" t="n">
        <v>21410</v>
      </c>
      <c r="L1311" s="185" t="n">
        <v>9</v>
      </c>
      <c r="M1311" s="173" t="n">
        <v>41470</v>
      </c>
      <c r="N1311" s="184" t="n">
        <v>37737.7</v>
      </c>
      <c r="O1311" s="184" t="s">
        <v>3023</v>
      </c>
      <c r="P1311" s="187" t="n">
        <v>45961</v>
      </c>
      <c r="Q1311" s="188" t="n">
        <v>0.914641203703704</v>
      </c>
    </row>
    <row r="1312" customFormat="false" ht="35.05" hidden="false" customHeight="false" outlineLevel="0" collapsed="false">
      <c r="A1312" s="181" t="s">
        <v>3024</v>
      </c>
      <c r="B1312" s="182" t="n">
        <v>2823</v>
      </c>
      <c r="C1312" s="183" t="n">
        <v>239</v>
      </c>
      <c r="D1312" s="181" t="s">
        <v>2401</v>
      </c>
      <c r="E1312" s="181" t="s">
        <v>377</v>
      </c>
      <c r="F1312" s="181" t="s">
        <v>378</v>
      </c>
      <c r="G1312" s="181" t="s">
        <v>2728</v>
      </c>
      <c r="H1312" s="181" t="s">
        <v>279</v>
      </c>
      <c r="I1312" s="181" t="s">
        <v>242</v>
      </c>
      <c r="J1312" s="184" t="n">
        <v>44970</v>
      </c>
      <c r="K1312" s="184" t="n">
        <v>15990</v>
      </c>
      <c r="L1312" s="185" t="n">
        <v>13</v>
      </c>
      <c r="M1312" s="173" t="n">
        <v>28980</v>
      </c>
      <c r="N1312" s="184" t="n">
        <v>25212.6</v>
      </c>
      <c r="O1312" s="184" t="s">
        <v>3025</v>
      </c>
      <c r="P1312" s="187" t="n">
        <v>45961</v>
      </c>
      <c r="Q1312" s="188" t="n">
        <v>0.809780092592593</v>
      </c>
    </row>
    <row r="1313" customFormat="false" ht="35.05" hidden="false" customHeight="false" outlineLevel="0" collapsed="false">
      <c r="A1313" s="181" t="s">
        <v>3026</v>
      </c>
      <c r="B1313" s="182" t="n">
        <v>2824</v>
      </c>
      <c r="C1313" s="183" t="n">
        <v>240</v>
      </c>
      <c r="D1313" s="181" t="s">
        <v>2401</v>
      </c>
      <c r="E1313" s="181" t="s">
        <v>350</v>
      </c>
      <c r="F1313" s="181" t="s">
        <v>351</v>
      </c>
      <c r="G1313" s="181" t="s">
        <v>2728</v>
      </c>
      <c r="H1313" s="181" t="s">
        <v>279</v>
      </c>
      <c r="I1313" s="181" t="s">
        <v>242</v>
      </c>
      <c r="J1313" s="184" t="n">
        <v>44250</v>
      </c>
      <c r="K1313" s="184" t="n">
        <v>15310</v>
      </c>
      <c r="L1313" s="185" t="n">
        <v>7</v>
      </c>
      <c r="M1313" s="173" t="n">
        <v>28940</v>
      </c>
      <c r="N1313" s="184" t="n">
        <v>26914.2</v>
      </c>
      <c r="O1313" s="184" t="s">
        <v>3027</v>
      </c>
      <c r="P1313" s="187" t="n">
        <v>45961</v>
      </c>
      <c r="Q1313" s="188" t="n">
        <v>0.838217592592593</v>
      </c>
    </row>
    <row r="1314" customFormat="false" ht="35.05" hidden="false" customHeight="false" outlineLevel="0" collapsed="false">
      <c r="A1314" s="181" t="s">
        <v>3028</v>
      </c>
      <c r="B1314" s="182" t="n">
        <v>2825</v>
      </c>
      <c r="C1314" s="183" t="n">
        <v>241</v>
      </c>
      <c r="D1314" s="181" t="s">
        <v>2401</v>
      </c>
      <c r="E1314" s="181" t="s">
        <v>373</v>
      </c>
      <c r="F1314" s="181" t="s">
        <v>374</v>
      </c>
      <c r="G1314" s="181" t="s">
        <v>2728</v>
      </c>
      <c r="H1314" s="181" t="s">
        <v>279</v>
      </c>
      <c r="I1314" s="181" t="s">
        <v>242</v>
      </c>
      <c r="J1314" s="184" t="n">
        <v>42810</v>
      </c>
      <c r="K1314" s="184" t="n">
        <v>14590</v>
      </c>
      <c r="L1314" s="185" t="n">
        <v>4</v>
      </c>
      <c r="M1314" s="173" t="n">
        <v>28220</v>
      </c>
      <c r="N1314" s="184" t="n">
        <v>27091.2</v>
      </c>
      <c r="O1314" s="184" t="s">
        <v>3029</v>
      </c>
      <c r="P1314" s="187" t="n">
        <v>45961</v>
      </c>
      <c r="Q1314" s="188" t="n">
        <v>0.856423611111111</v>
      </c>
    </row>
    <row r="1315" customFormat="false" ht="35.05" hidden="false" customHeight="false" outlineLevel="0" collapsed="false">
      <c r="A1315" s="181" t="s">
        <v>3030</v>
      </c>
      <c r="B1315" s="182" t="n">
        <v>2826</v>
      </c>
      <c r="C1315" s="183" t="n">
        <v>242</v>
      </c>
      <c r="D1315" s="181" t="s">
        <v>2401</v>
      </c>
      <c r="E1315" s="181" t="s">
        <v>387</v>
      </c>
      <c r="F1315" s="181" t="s">
        <v>388</v>
      </c>
      <c r="G1315" s="181" t="s">
        <v>2728</v>
      </c>
      <c r="H1315" s="181" t="s">
        <v>279</v>
      </c>
      <c r="I1315" s="181" t="s">
        <v>242</v>
      </c>
      <c r="J1315" s="184" t="n">
        <v>44670</v>
      </c>
      <c r="K1315" s="184" t="n">
        <v>15410</v>
      </c>
      <c r="L1315" s="185" t="n">
        <v>13</v>
      </c>
      <c r="M1315" s="173" t="n">
        <v>29260</v>
      </c>
      <c r="N1315" s="184" t="n">
        <v>25456.2</v>
      </c>
      <c r="O1315" s="184" t="s">
        <v>3031</v>
      </c>
      <c r="P1315" s="187" t="n">
        <v>45961</v>
      </c>
      <c r="Q1315" s="188" t="n">
        <v>0.880416666666667</v>
      </c>
    </row>
    <row r="1316" customFormat="false" ht="35.05" hidden="false" customHeight="false" outlineLevel="0" collapsed="false">
      <c r="A1316" s="181" t="s">
        <v>3032</v>
      </c>
      <c r="B1316" s="182" t="n">
        <v>2828</v>
      </c>
      <c r="C1316" s="183" t="n">
        <v>244</v>
      </c>
      <c r="D1316" s="181" t="s">
        <v>2401</v>
      </c>
      <c r="E1316" s="181" t="s">
        <v>383</v>
      </c>
      <c r="F1316" s="181" t="s">
        <v>384</v>
      </c>
      <c r="G1316" s="181" t="s">
        <v>2728</v>
      </c>
      <c r="H1316" s="181" t="s">
        <v>279</v>
      </c>
      <c r="I1316" s="181" t="s">
        <v>242</v>
      </c>
      <c r="J1316" s="184" t="n">
        <v>42230</v>
      </c>
      <c r="K1316" s="184" t="n">
        <v>15100</v>
      </c>
      <c r="L1316" s="185" t="n">
        <v>9</v>
      </c>
      <c r="M1316" s="173" t="n">
        <v>27130</v>
      </c>
      <c r="N1316" s="184" t="n">
        <v>24688.3</v>
      </c>
      <c r="O1316" s="184" t="s">
        <v>3033</v>
      </c>
      <c r="P1316" s="187" t="n">
        <v>45961</v>
      </c>
      <c r="Q1316" s="188" t="n">
        <v>0.969872685185185</v>
      </c>
    </row>
    <row r="1317" customFormat="false" ht="35.05" hidden="false" customHeight="false" outlineLevel="0" collapsed="false">
      <c r="A1317" s="181" t="s">
        <v>3034</v>
      </c>
      <c r="B1317" s="182" t="n">
        <v>2827</v>
      </c>
      <c r="C1317" s="183" t="n">
        <v>243</v>
      </c>
      <c r="D1317" s="181" t="s">
        <v>2401</v>
      </c>
      <c r="E1317" s="181" t="s">
        <v>413</v>
      </c>
      <c r="F1317" s="181" t="s">
        <v>414</v>
      </c>
      <c r="G1317" s="181" t="s">
        <v>2728</v>
      </c>
      <c r="H1317" s="181" t="s">
        <v>279</v>
      </c>
      <c r="I1317" s="181" t="s">
        <v>242</v>
      </c>
      <c r="J1317" s="184" t="n">
        <v>47460</v>
      </c>
      <c r="K1317" s="184" t="n">
        <v>16110</v>
      </c>
      <c r="L1317" s="185" t="n">
        <v>8</v>
      </c>
      <c r="M1317" s="173" t="n">
        <v>31350</v>
      </c>
      <c r="N1317" s="184" t="n">
        <v>28842</v>
      </c>
      <c r="O1317" s="184" t="s">
        <v>3035</v>
      </c>
      <c r="P1317" s="187" t="n">
        <v>45961</v>
      </c>
      <c r="Q1317" s="188" t="n">
        <v>0.936828703703704</v>
      </c>
    </row>
    <row r="1318" customFormat="false" ht="35.05" hidden="false" customHeight="false" outlineLevel="0" collapsed="false">
      <c r="A1318" s="181" t="s">
        <v>3036</v>
      </c>
      <c r="B1318" s="182" t="n">
        <v>2829</v>
      </c>
      <c r="C1318" s="183" t="n">
        <v>246</v>
      </c>
      <c r="D1318" s="181" t="s">
        <v>2401</v>
      </c>
      <c r="E1318" s="181" t="s">
        <v>409</v>
      </c>
      <c r="F1318" s="181" t="s">
        <v>410</v>
      </c>
      <c r="G1318" s="181" t="s">
        <v>2728</v>
      </c>
      <c r="H1318" s="181" t="s">
        <v>279</v>
      </c>
      <c r="I1318" s="181" t="s">
        <v>242</v>
      </c>
      <c r="J1318" s="184" t="n">
        <v>65660</v>
      </c>
      <c r="K1318" s="184" t="n">
        <v>24820</v>
      </c>
      <c r="L1318" s="185" t="n">
        <v>10</v>
      </c>
      <c r="M1318" s="173" t="n">
        <v>40840</v>
      </c>
      <c r="N1318" s="184" t="n">
        <v>36756</v>
      </c>
      <c r="O1318" s="184" t="s">
        <v>3037</v>
      </c>
      <c r="P1318" s="187" t="n">
        <v>45961</v>
      </c>
      <c r="Q1318" s="188" t="n">
        <v>0.991157407407407</v>
      </c>
    </row>
    <row r="1319" customFormat="false" ht="35.05" hidden="false" customHeight="false" outlineLevel="0" collapsed="false">
      <c r="A1319" s="181" t="s">
        <v>3038</v>
      </c>
      <c r="B1319" s="182" t="n">
        <v>2830</v>
      </c>
      <c r="C1319" s="183" t="n">
        <v>245</v>
      </c>
      <c r="D1319" s="181" t="s">
        <v>2401</v>
      </c>
      <c r="E1319" s="181" t="s">
        <v>549</v>
      </c>
      <c r="F1319" s="181" t="s">
        <v>550</v>
      </c>
      <c r="G1319" s="181" t="s">
        <v>2728</v>
      </c>
      <c r="H1319" s="181" t="s">
        <v>279</v>
      </c>
      <c r="I1319" s="181" t="s">
        <v>242</v>
      </c>
      <c r="J1319" s="184" t="n">
        <v>43100</v>
      </c>
      <c r="K1319" s="184" t="n">
        <v>15930</v>
      </c>
      <c r="L1319" s="185" t="n">
        <v>11</v>
      </c>
      <c r="M1319" s="173" t="n">
        <v>27170</v>
      </c>
      <c r="N1319" s="184" t="n">
        <v>24181.3</v>
      </c>
      <c r="O1319" s="184" t="s">
        <v>3039</v>
      </c>
      <c r="P1319" s="187" t="n">
        <v>45961</v>
      </c>
      <c r="Q1319" s="188" t="n">
        <v>0.369976851851852</v>
      </c>
    </row>
    <row r="1320" customFormat="false" ht="35.05" hidden="false" customHeight="false" outlineLevel="0" collapsed="false">
      <c r="A1320" s="181" t="s">
        <v>3040</v>
      </c>
      <c r="B1320" s="182" t="n">
        <v>2831</v>
      </c>
      <c r="C1320" s="183" t="n">
        <v>247</v>
      </c>
      <c r="D1320" s="181" t="s">
        <v>2401</v>
      </c>
      <c r="E1320" s="181" t="s">
        <v>533</v>
      </c>
      <c r="F1320" s="181" t="s">
        <v>534</v>
      </c>
      <c r="G1320" s="181" t="s">
        <v>2728</v>
      </c>
      <c r="H1320" s="181" t="s">
        <v>279</v>
      </c>
      <c r="I1320" s="181" t="s">
        <v>242</v>
      </c>
      <c r="J1320" s="184" t="n">
        <v>39120</v>
      </c>
      <c r="K1320" s="184" t="n">
        <v>14840</v>
      </c>
      <c r="L1320" s="185" t="n">
        <v>23</v>
      </c>
      <c r="M1320" s="173" t="n">
        <v>24280</v>
      </c>
      <c r="N1320" s="184" t="n">
        <v>18695.6</v>
      </c>
      <c r="O1320" s="184" t="s">
        <v>3041</v>
      </c>
      <c r="P1320" s="187" t="n">
        <v>45961</v>
      </c>
      <c r="Q1320" s="188" t="n">
        <v>0.398645833333333</v>
      </c>
    </row>
    <row r="1321" customFormat="false" ht="35.05" hidden="false" customHeight="false" outlineLevel="0" collapsed="false">
      <c r="A1321" s="181" t="s">
        <v>3042</v>
      </c>
      <c r="B1321" s="182" t="n">
        <v>2832</v>
      </c>
      <c r="C1321" s="183" t="n">
        <v>248</v>
      </c>
      <c r="D1321" s="181" t="s">
        <v>2401</v>
      </c>
      <c r="E1321" s="181" t="s">
        <v>537</v>
      </c>
      <c r="F1321" s="181" t="s">
        <v>538</v>
      </c>
      <c r="G1321" s="181" t="s">
        <v>2728</v>
      </c>
      <c r="H1321" s="181" t="s">
        <v>279</v>
      </c>
      <c r="I1321" s="181" t="s">
        <v>242</v>
      </c>
      <c r="J1321" s="184" t="n">
        <v>35970</v>
      </c>
      <c r="K1321" s="184" t="n">
        <v>14040</v>
      </c>
      <c r="L1321" s="185" t="n">
        <v>12</v>
      </c>
      <c r="M1321" s="173" t="n">
        <v>21930</v>
      </c>
      <c r="N1321" s="184" t="n">
        <v>19298.4</v>
      </c>
      <c r="O1321" s="184" t="s">
        <v>3043</v>
      </c>
      <c r="P1321" s="187" t="n">
        <v>45961</v>
      </c>
      <c r="Q1321" s="188" t="n">
        <v>0.42318287037037</v>
      </c>
    </row>
    <row r="1322" customFormat="false" ht="35.05" hidden="false" customHeight="false" outlineLevel="0" collapsed="false">
      <c r="A1322" s="181" t="s">
        <v>3044</v>
      </c>
      <c r="B1322" s="182" t="n">
        <v>2833</v>
      </c>
      <c r="C1322" s="183" t="n">
        <v>250</v>
      </c>
      <c r="D1322" s="181" t="s">
        <v>2401</v>
      </c>
      <c r="E1322" s="181" t="s">
        <v>266</v>
      </c>
      <c r="F1322" s="181" t="s">
        <v>267</v>
      </c>
      <c r="G1322" s="181" t="s">
        <v>2715</v>
      </c>
      <c r="H1322" s="181" t="s">
        <v>279</v>
      </c>
      <c r="I1322" s="181" t="s">
        <v>242</v>
      </c>
      <c r="J1322" s="184" t="n">
        <v>37510</v>
      </c>
      <c r="K1322" s="184" t="n">
        <v>15240</v>
      </c>
      <c r="L1322" s="185" t="n">
        <v>8</v>
      </c>
      <c r="M1322" s="173" t="n">
        <v>22270</v>
      </c>
      <c r="N1322" s="184" t="n">
        <v>20488.4</v>
      </c>
      <c r="O1322" s="184" t="s">
        <v>3045</v>
      </c>
      <c r="P1322" s="187" t="n">
        <v>45961</v>
      </c>
      <c r="Q1322" s="188" t="n">
        <v>0.465694444444444</v>
      </c>
    </row>
    <row r="1323" customFormat="false" ht="35.05" hidden="false" customHeight="false" outlineLevel="0" collapsed="false">
      <c r="A1323" s="181" t="s">
        <v>3046</v>
      </c>
      <c r="B1323" s="182" t="n">
        <v>2834</v>
      </c>
      <c r="C1323" s="183" t="n">
        <v>249</v>
      </c>
      <c r="D1323" s="181" t="s">
        <v>2401</v>
      </c>
      <c r="E1323" s="181" t="s">
        <v>282</v>
      </c>
      <c r="F1323" s="181" t="s">
        <v>283</v>
      </c>
      <c r="G1323" s="181" t="s">
        <v>2715</v>
      </c>
      <c r="H1323" s="181" t="s">
        <v>279</v>
      </c>
      <c r="I1323" s="181" t="s">
        <v>242</v>
      </c>
      <c r="J1323" s="184" t="n">
        <v>39390</v>
      </c>
      <c r="K1323" s="184" t="n">
        <v>15220</v>
      </c>
      <c r="L1323" s="185" t="n">
        <v>18</v>
      </c>
      <c r="M1323" s="173" t="n">
        <v>24170</v>
      </c>
      <c r="N1323" s="184" t="n">
        <v>19819.4</v>
      </c>
      <c r="O1323" s="184" t="s">
        <v>3047</v>
      </c>
      <c r="P1323" s="187" t="n">
        <v>45961</v>
      </c>
      <c r="Q1323" s="188" t="n">
        <v>0.484664351851852</v>
      </c>
    </row>
    <row r="1324" customFormat="false" ht="35.05" hidden="false" customHeight="false" outlineLevel="0" collapsed="false">
      <c r="A1324" s="181" t="s">
        <v>3048</v>
      </c>
      <c r="B1324" s="182" t="n">
        <v>2835</v>
      </c>
      <c r="C1324" s="183" t="n">
        <v>251</v>
      </c>
      <c r="D1324" s="181" t="s">
        <v>2401</v>
      </c>
      <c r="E1324" s="181" t="s">
        <v>576</v>
      </c>
      <c r="F1324" s="181" t="s">
        <v>577</v>
      </c>
      <c r="G1324" s="181" t="s">
        <v>2715</v>
      </c>
      <c r="H1324" s="181" t="s">
        <v>279</v>
      </c>
      <c r="I1324" s="181" t="s">
        <v>242</v>
      </c>
      <c r="J1324" s="184" t="n">
        <v>37990</v>
      </c>
      <c r="K1324" s="184" t="n">
        <v>14660</v>
      </c>
      <c r="L1324" s="185" t="n">
        <v>16</v>
      </c>
      <c r="M1324" s="173" t="n">
        <v>23330</v>
      </c>
      <c r="N1324" s="184" t="n">
        <v>19597.2</v>
      </c>
      <c r="O1324" s="184" t="s">
        <v>3049</v>
      </c>
      <c r="P1324" s="187" t="n">
        <v>45962</v>
      </c>
      <c r="Q1324" s="188" t="n">
        <v>0.194768518518519</v>
      </c>
    </row>
    <row r="1325" customFormat="false" ht="35.05" hidden="false" customHeight="false" outlineLevel="0" collapsed="false">
      <c r="A1325" s="181" t="s">
        <v>3050</v>
      </c>
      <c r="B1325" s="182" t="n">
        <v>2836</v>
      </c>
      <c r="C1325" s="183" t="n">
        <v>252</v>
      </c>
      <c r="D1325" s="181" t="s">
        <v>2401</v>
      </c>
      <c r="E1325" s="181" t="s">
        <v>261</v>
      </c>
      <c r="F1325" s="181" t="s">
        <v>262</v>
      </c>
      <c r="G1325" s="181" t="s">
        <v>2715</v>
      </c>
      <c r="H1325" s="181" t="s">
        <v>279</v>
      </c>
      <c r="I1325" s="181" t="s">
        <v>242</v>
      </c>
      <c r="J1325" s="184" t="n">
        <v>39980</v>
      </c>
      <c r="K1325" s="184" t="n">
        <v>15310</v>
      </c>
      <c r="L1325" s="185" t="n">
        <v>12</v>
      </c>
      <c r="M1325" s="173" t="n">
        <v>24670</v>
      </c>
      <c r="N1325" s="184" t="n">
        <v>21709.6</v>
      </c>
      <c r="O1325" s="184" t="s">
        <v>3051</v>
      </c>
      <c r="P1325" s="187" t="n">
        <v>45962</v>
      </c>
      <c r="Q1325" s="188" t="n">
        <v>0.598298611111111</v>
      </c>
    </row>
    <row r="1326" customFormat="false" ht="35.05" hidden="false" customHeight="false" outlineLevel="0" collapsed="false">
      <c r="A1326" s="181" t="s">
        <v>3052</v>
      </c>
      <c r="B1326" s="182" t="n">
        <v>2837</v>
      </c>
      <c r="C1326" s="183" t="n">
        <v>253</v>
      </c>
      <c r="D1326" s="181" t="s">
        <v>2401</v>
      </c>
      <c r="E1326" s="181" t="s">
        <v>354</v>
      </c>
      <c r="F1326" s="181" t="s">
        <v>355</v>
      </c>
      <c r="G1326" s="181" t="s">
        <v>2715</v>
      </c>
      <c r="H1326" s="181" t="s">
        <v>279</v>
      </c>
      <c r="I1326" s="181" t="s">
        <v>242</v>
      </c>
      <c r="J1326" s="184" t="n">
        <v>39610</v>
      </c>
      <c r="K1326" s="184" t="n">
        <v>14920</v>
      </c>
      <c r="L1326" s="185" t="n">
        <v>14</v>
      </c>
      <c r="M1326" s="173" t="n">
        <v>24690</v>
      </c>
      <c r="N1326" s="184" t="n">
        <v>21233.4</v>
      </c>
      <c r="O1326" s="184" t="s">
        <v>3053</v>
      </c>
      <c r="P1326" s="187" t="n">
        <v>45962</v>
      </c>
      <c r="Q1326" s="188" t="n">
        <v>0.634710648148148</v>
      </c>
    </row>
    <row r="1327" customFormat="false" ht="35.05" hidden="false" customHeight="false" outlineLevel="0" collapsed="false">
      <c r="A1327" s="181" t="s">
        <v>3054</v>
      </c>
      <c r="B1327" s="182" t="n">
        <v>2844</v>
      </c>
      <c r="C1327" s="183" t="n">
        <v>254</v>
      </c>
      <c r="D1327" s="181" t="s">
        <v>2401</v>
      </c>
      <c r="E1327" s="181" t="s">
        <v>541</v>
      </c>
      <c r="F1327" s="181" t="s">
        <v>542</v>
      </c>
      <c r="G1327" s="181" t="s">
        <v>2715</v>
      </c>
      <c r="H1327" s="181" t="s">
        <v>279</v>
      </c>
      <c r="I1327" s="181" t="s">
        <v>242</v>
      </c>
      <c r="J1327" s="184" t="n">
        <v>39820</v>
      </c>
      <c r="K1327" s="184" t="n">
        <v>15190</v>
      </c>
      <c r="L1327" s="185" t="n">
        <v>6</v>
      </c>
      <c r="M1327" s="173" t="n">
        <v>24630</v>
      </c>
      <c r="N1327" s="184" t="n">
        <v>23152.2</v>
      </c>
      <c r="O1327" s="184" t="s">
        <v>3055</v>
      </c>
      <c r="P1327" s="187" t="n">
        <v>45962</v>
      </c>
      <c r="Q1327" s="188" t="n">
        <v>0.671631944444444</v>
      </c>
    </row>
    <row r="1328" customFormat="false" ht="35.05" hidden="false" customHeight="false" outlineLevel="0" collapsed="false">
      <c r="A1328" s="181" t="s">
        <v>3056</v>
      </c>
      <c r="B1328" s="182" t="n">
        <v>2854</v>
      </c>
      <c r="C1328" s="183" t="n">
        <v>260</v>
      </c>
      <c r="D1328" s="181" t="s">
        <v>2401</v>
      </c>
      <c r="E1328" s="181" t="s">
        <v>582</v>
      </c>
      <c r="F1328" s="181" t="s">
        <v>583</v>
      </c>
      <c r="G1328" s="181" t="s">
        <v>2715</v>
      </c>
      <c r="H1328" s="181" t="s">
        <v>279</v>
      </c>
      <c r="I1328" s="181" t="s">
        <v>242</v>
      </c>
      <c r="J1328" s="184" t="n">
        <v>42170</v>
      </c>
      <c r="K1328" s="184" t="n">
        <v>15200</v>
      </c>
      <c r="L1328" s="185" t="n">
        <v>8</v>
      </c>
      <c r="M1328" s="173" t="n">
        <v>26970</v>
      </c>
      <c r="N1328" s="184" t="n">
        <v>24812.4</v>
      </c>
      <c r="O1328" s="184" t="s">
        <v>3057</v>
      </c>
      <c r="P1328" s="187" t="n">
        <v>45962</v>
      </c>
      <c r="Q1328" s="188" t="n">
        <v>0.694074074074074</v>
      </c>
    </row>
    <row r="1329" customFormat="false" ht="35.05" hidden="false" customHeight="false" outlineLevel="0" collapsed="false">
      <c r="A1329" s="181" t="s">
        <v>3058</v>
      </c>
      <c r="B1329" s="182" t="n">
        <v>2855</v>
      </c>
      <c r="C1329" s="183" t="n">
        <v>261</v>
      </c>
      <c r="D1329" s="181" t="s">
        <v>2401</v>
      </c>
      <c r="E1329" s="181" t="s">
        <v>377</v>
      </c>
      <c r="F1329" s="181" t="s">
        <v>378</v>
      </c>
      <c r="G1329" s="181" t="s">
        <v>2715</v>
      </c>
      <c r="H1329" s="181" t="s">
        <v>279</v>
      </c>
      <c r="I1329" s="181" t="s">
        <v>242</v>
      </c>
      <c r="J1329" s="184" t="n">
        <v>43170</v>
      </c>
      <c r="K1329" s="184" t="n">
        <v>15860</v>
      </c>
      <c r="L1329" s="185" t="n">
        <v>8</v>
      </c>
      <c r="M1329" s="173" t="n">
        <v>27310</v>
      </c>
      <c r="N1329" s="184" t="n">
        <v>25125.2</v>
      </c>
      <c r="O1329" s="184" t="s">
        <v>3059</v>
      </c>
      <c r="P1329" s="187" t="n">
        <v>45962</v>
      </c>
      <c r="Q1329" s="188" t="n">
        <v>0.71</v>
      </c>
    </row>
    <row r="1330" customFormat="false" ht="46.25" hidden="false" customHeight="false" outlineLevel="0" collapsed="false">
      <c r="A1330" s="181" t="s">
        <v>3060</v>
      </c>
      <c r="B1330" s="182" t="n">
        <v>2856</v>
      </c>
      <c r="C1330" s="183" t="n">
        <v>11480</v>
      </c>
      <c r="D1330" s="181" t="s">
        <v>2066</v>
      </c>
      <c r="E1330" s="181" t="s">
        <v>336</v>
      </c>
      <c r="F1330" s="181" t="s">
        <v>337</v>
      </c>
      <c r="G1330" s="181" t="s">
        <v>2067</v>
      </c>
      <c r="H1330" s="181" t="s">
        <v>158</v>
      </c>
      <c r="I1330" s="181" t="s">
        <v>241</v>
      </c>
      <c r="J1330" s="184" t="n">
        <v>40400</v>
      </c>
      <c r="K1330" s="184" t="n">
        <v>14630</v>
      </c>
      <c r="L1330" s="185" t="n">
        <v>15</v>
      </c>
      <c r="M1330" s="173" t="n">
        <v>25770</v>
      </c>
      <c r="N1330" s="184" t="n">
        <v>21904.5</v>
      </c>
      <c r="O1330" s="184" t="s">
        <v>3061</v>
      </c>
      <c r="P1330" s="187" t="n">
        <v>45962</v>
      </c>
      <c r="Q1330" s="188" t="n">
        <v>0.731018518518519</v>
      </c>
    </row>
    <row r="1331" customFormat="false" ht="46.25" hidden="false" customHeight="false" outlineLevel="0" collapsed="false">
      <c r="A1331" s="181" t="s">
        <v>3062</v>
      </c>
      <c r="B1331" s="182" t="n">
        <v>2857</v>
      </c>
      <c r="C1331" s="183" t="n">
        <v>11482</v>
      </c>
      <c r="D1331" s="181" t="s">
        <v>2066</v>
      </c>
      <c r="E1331" s="181" t="s">
        <v>340</v>
      </c>
      <c r="F1331" s="181" t="s">
        <v>341</v>
      </c>
      <c r="G1331" s="181" t="s">
        <v>2067</v>
      </c>
      <c r="H1331" s="181" t="s">
        <v>158</v>
      </c>
      <c r="I1331" s="181" t="s">
        <v>241</v>
      </c>
      <c r="J1331" s="184" t="n">
        <v>41350</v>
      </c>
      <c r="K1331" s="184" t="n">
        <v>15130</v>
      </c>
      <c r="L1331" s="185" t="n">
        <v>8</v>
      </c>
      <c r="M1331" s="173" t="n">
        <v>26220</v>
      </c>
      <c r="N1331" s="184" t="n">
        <v>24122.4</v>
      </c>
      <c r="O1331" s="184" t="s">
        <v>3063</v>
      </c>
      <c r="P1331" s="187" t="n">
        <v>45962</v>
      </c>
      <c r="Q1331" s="188" t="n">
        <v>0.734571759259259</v>
      </c>
    </row>
    <row r="1332" customFormat="false" ht="46.25" hidden="false" customHeight="false" outlineLevel="0" collapsed="false">
      <c r="A1332" s="181" t="s">
        <v>3064</v>
      </c>
      <c r="B1332" s="182" t="n">
        <v>2859</v>
      </c>
      <c r="C1332" s="183" t="n">
        <v>11499</v>
      </c>
      <c r="D1332" s="181" t="s">
        <v>2066</v>
      </c>
      <c r="E1332" s="181" t="s">
        <v>277</v>
      </c>
      <c r="F1332" s="181" t="s">
        <v>278</v>
      </c>
      <c r="G1332" s="181" t="s">
        <v>2067</v>
      </c>
      <c r="H1332" s="181" t="s">
        <v>158</v>
      </c>
      <c r="I1332" s="181" t="s">
        <v>241</v>
      </c>
      <c r="J1332" s="184" t="n">
        <v>43770</v>
      </c>
      <c r="K1332" s="184" t="n">
        <v>15270</v>
      </c>
      <c r="L1332" s="185" t="n">
        <v>8</v>
      </c>
      <c r="M1332" s="173" t="n">
        <v>28500</v>
      </c>
      <c r="N1332" s="184" t="n">
        <v>26220</v>
      </c>
      <c r="O1332" s="184" t="s">
        <v>3065</v>
      </c>
      <c r="P1332" s="187" t="n">
        <v>45962</v>
      </c>
      <c r="Q1332" s="188" t="n">
        <v>0.777118055555556</v>
      </c>
    </row>
    <row r="1333" customFormat="false" ht="35.05" hidden="false" customHeight="false" outlineLevel="0" collapsed="false">
      <c r="A1333" s="181" t="s">
        <v>3066</v>
      </c>
      <c r="B1333" s="182" t="n">
        <v>2860</v>
      </c>
      <c r="C1333" s="183" t="n">
        <v>263</v>
      </c>
      <c r="D1333" s="181" t="s">
        <v>2401</v>
      </c>
      <c r="E1333" s="181" t="s">
        <v>350</v>
      </c>
      <c r="F1333" s="181" t="s">
        <v>351</v>
      </c>
      <c r="G1333" s="181" t="s">
        <v>2715</v>
      </c>
      <c r="H1333" s="181" t="s">
        <v>279</v>
      </c>
      <c r="I1333" s="181" t="s">
        <v>242</v>
      </c>
      <c r="J1333" s="184" t="n">
        <v>44900</v>
      </c>
      <c r="K1333" s="184" t="n">
        <v>15130</v>
      </c>
      <c r="L1333" s="185" t="n">
        <v>15</v>
      </c>
      <c r="M1333" s="173" t="n">
        <v>29770</v>
      </c>
      <c r="N1333" s="184" t="n">
        <v>25304.5</v>
      </c>
      <c r="O1333" s="184" t="s">
        <v>3067</v>
      </c>
      <c r="P1333" s="187" t="n">
        <v>45962</v>
      </c>
      <c r="Q1333" s="188" t="n">
        <v>0.785914351851852</v>
      </c>
    </row>
    <row r="1334" customFormat="false" ht="35.05" hidden="false" customHeight="false" outlineLevel="0" collapsed="false">
      <c r="A1334" s="181" t="s">
        <v>3068</v>
      </c>
      <c r="B1334" s="182" t="n">
        <v>2842</v>
      </c>
      <c r="C1334" s="183" t="n">
        <v>255</v>
      </c>
      <c r="D1334" s="181" t="s">
        <v>2401</v>
      </c>
      <c r="E1334" s="181" t="s">
        <v>367</v>
      </c>
      <c r="F1334" s="181" t="s">
        <v>368</v>
      </c>
      <c r="G1334" s="181" t="s">
        <v>2715</v>
      </c>
      <c r="H1334" s="181" t="s">
        <v>279</v>
      </c>
      <c r="I1334" s="181" t="s">
        <v>242</v>
      </c>
      <c r="J1334" s="184" t="n">
        <v>51070</v>
      </c>
      <c r="K1334" s="184" t="n">
        <v>18870</v>
      </c>
      <c r="L1334" s="185" t="n">
        <v>10</v>
      </c>
      <c r="M1334" s="173" t="n">
        <v>32200</v>
      </c>
      <c r="N1334" s="184" t="n">
        <v>28980</v>
      </c>
      <c r="O1334" s="184" t="s">
        <v>3069</v>
      </c>
      <c r="P1334" s="187" t="n">
        <v>45962</v>
      </c>
      <c r="Q1334" s="188" t="n">
        <v>0.806203703703704</v>
      </c>
    </row>
    <row r="1335" customFormat="false" ht="35.05" hidden="false" customHeight="false" outlineLevel="0" collapsed="false">
      <c r="A1335" s="181" t="s">
        <v>3070</v>
      </c>
      <c r="B1335" s="182" t="n">
        <v>2846</v>
      </c>
      <c r="C1335" s="183" t="n">
        <v>256</v>
      </c>
      <c r="D1335" s="181" t="s">
        <v>2401</v>
      </c>
      <c r="E1335" s="181" t="s">
        <v>332</v>
      </c>
      <c r="F1335" s="181" t="s">
        <v>333</v>
      </c>
      <c r="G1335" s="181" t="s">
        <v>2715</v>
      </c>
      <c r="H1335" s="181" t="s">
        <v>279</v>
      </c>
      <c r="I1335" s="181" t="s">
        <v>242</v>
      </c>
      <c r="J1335" s="184" t="n">
        <v>40220</v>
      </c>
      <c r="K1335" s="184" t="n">
        <v>15070</v>
      </c>
      <c r="L1335" s="185" t="n">
        <v>13</v>
      </c>
      <c r="M1335" s="173" t="n">
        <v>25150</v>
      </c>
      <c r="N1335" s="184" t="n">
        <v>21880.5</v>
      </c>
      <c r="O1335" s="184" t="s">
        <v>3071</v>
      </c>
      <c r="P1335" s="187" t="n">
        <v>45962</v>
      </c>
      <c r="Q1335" s="188" t="n">
        <v>0.812928240740741</v>
      </c>
    </row>
    <row r="1336" customFormat="false" ht="35.05" hidden="false" customHeight="false" outlineLevel="0" collapsed="false">
      <c r="A1336" s="181" t="s">
        <v>3072</v>
      </c>
      <c r="B1336" s="182" t="n">
        <v>2861</v>
      </c>
      <c r="C1336" s="183" t="n">
        <v>262</v>
      </c>
      <c r="D1336" s="181" t="s">
        <v>2401</v>
      </c>
      <c r="E1336" s="181" t="s">
        <v>300</v>
      </c>
      <c r="F1336" s="181" t="s">
        <v>301</v>
      </c>
      <c r="G1336" s="181" t="s">
        <v>2715</v>
      </c>
      <c r="H1336" s="181" t="s">
        <v>279</v>
      </c>
      <c r="I1336" s="181" t="s">
        <v>242</v>
      </c>
      <c r="J1336" s="184" t="n">
        <v>63860</v>
      </c>
      <c r="K1336" s="184" t="n">
        <v>21510</v>
      </c>
      <c r="L1336" s="185" t="n">
        <v>10</v>
      </c>
      <c r="M1336" s="173" t="n">
        <v>42350</v>
      </c>
      <c r="N1336" s="184" t="n">
        <v>38115</v>
      </c>
      <c r="O1336" s="184" t="s">
        <v>3073</v>
      </c>
      <c r="P1336" s="187" t="n">
        <v>45962</v>
      </c>
      <c r="Q1336" s="188" t="n">
        <v>0.817719907407407</v>
      </c>
    </row>
    <row r="1337" customFormat="false" ht="35.05" hidden="false" customHeight="false" outlineLevel="0" collapsed="false">
      <c r="A1337" s="181" t="s">
        <v>3074</v>
      </c>
      <c r="B1337" s="182" t="n">
        <v>2862</v>
      </c>
      <c r="C1337" s="183" t="n">
        <v>265</v>
      </c>
      <c r="D1337" s="181" t="s">
        <v>2401</v>
      </c>
      <c r="E1337" s="181" t="s">
        <v>387</v>
      </c>
      <c r="F1337" s="181" t="s">
        <v>388</v>
      </c>
      <c r="G1337" s="181" t="s">
        <v>2715</v>
      </c>
      <c r="H1337" s="181" t="s">
        <v>279</v>
      </c>
      <c r="I1337" s="181" t="s">
        <v>242</v>
      </c>
      <c r="J1337" s="184" t="n">
        <v>45950</v>
      </c>
      <c r="K1337" s="184" t="n">
        <v>15380</v>
      </c>
      <c r="L1337" s="185" t="n">
        <v>7</v>
      </c>
      <c r="M1337" s="173" t="n">
        <v>30570</v>
      </c>
      <c r="N1337" s="184" t="n">
        <v>28430.1</v>
      </c>
      <c r="O1337" s="184" t="s">
        <v>3075</v>
      </c>
      <c r="P1337" s="187" t="n">
        <v>45962</v>
      </c>
      <c r="Q1337" s="188" t="n">
        <v>0.823842592592593</v>
      </c>
    </row>
    <row r="1338" customFormat="false" ht="35.05" hidden="false" customHeight="false" outlineLevel="0" collapsed="false">
      <c r="A1338" s="181" t="s">
        <v>3076</v>
      </c>
      <c r="B1338" s="182" t="n">
        <v>2852</v>
      </c>
      <c r="C1338" s="183" t="n">
        <v>258</v>
      </c>
      <c r="D1338" s="181" t="s">
        <v>2401</v>
      </c>
      <c r="E1338" s="181" t="s">
        <v>304</v>
      </c>
      <c r="F1338" s="181" t="s">
        <v>305</v>
      </c>
      <c r="G1338" s="181" t="s">
        <v>2715</v>
      </c>
      <c r="H1338" s="181" t="s">
        <v>279</v>
      </c>
      <c r="I1338" s="181" t="s">
        <v>242</v>
      </c>
      <c r="J1338" s="184" t="n">
        <v>40860</v>
      </c>
      <c r="K1338" s="184" t="n">
        <v>15150</v>
      </c>
      <c r="L1338" s="185" t="n">
        <v>8</v>
      </c>
      <c r="M1338" s="173" t="n">
        <v>25710</v>
      </c>
      <c r="N1338" s="184" t="n">
        <v>23653.2</v>
      </c>
      <c r="O1338" s="184" t="s">
        <v>3077</v>
      </c>
      <c r="P1338" s="187" t="n">
        <v>45962</v>
      </c>
      <c r="Q1338" s="188" t="n">
        <v>0.851979166666667</v>
      </c>
    </row>
    <row r="1339" customFormat="false" ht="35.05" hidden="false" customHeight="false" outlineLevel="0" collapsed="false">
      <c r="A1339" s="181" t="s">
        <v>3078</v>
      </c>
      <c r="B1339" s="182" t="n">
        <v>2858</v>
      </c>
      <c r="C1339" s="183" t="n">
        <v>271</v>
      </c>
      <c r="D1339" s="181" t="s">
        <v>2401</v>
      </c>
      <c r="E1339" s="181" t="s">
        <v>1646</v>
      </c>
      <c r="F1339" s="181" t="s">
        <v>1647</v>
      </c>
      <c r="G1339" s="181" t="s">
        <v>2715</v>
      </c>
      <c r="H1339" s="181" t="s">
        <v>279</v>
      </c>
      <c r="I1339" s="181" t="s">
        <v>242</v>
      </c>
      <c r="J1339" s="184" t="n">
        <v>29670</v>
      </c>
      <c r="K1339" s="184" t="n">
        <v>14320</v>
      </c>
      <c r="L1339" s="185" t="n">
        <v>10</v>
      </c>
      <c r="M1339" s="173" t="n">
        <v>15350</v>
      </c>
      <c r="N1339" s="184" t="n">
        <v>13815</v>
      </c>
      <c r="O1339" s="184" t="s">
        <v>3079</v>
      </c>
      <c r="P1339" s="187" t="n">
        <v>45962</v>
      </c>
      <c r="Q1339" s="188" t="n">
        <v>0.856770833333333</v>
      </c>
    </row>
    <row r="1340" customFormat="false" ht="35.05" hidden="false" customHeight="false" outlineLevel="0" collapsed="false">
      <c r="A1340" s="181" t="s">
        <v>3080</v>
      </c>
      <c r="B1340" s="182" t="n">
        <v>2864</v>
      </c>
      <c r="C1340" s="183" t="n">
        <v>264</v>
      </c>
      <c r="D1340" s="181" t="s">
        <v>2401</v>
      </c>
      <c r="E1340" s="181" t="s">
        <v>288</v>
      </c>
      <c r="F1340" s="181" t="s">
        <v>289</v>
      </c>
      <c r="G1340" s="181" t="s">
        <v>2715</v>
      </c>
      <c r="H1340" s="181" t="s">
        <v>279</v>
      </c>
      <c r="I1340" s="181" t="s">
        <v>242</v>
      </c>
      <c r="J1340" s="184" t="n">
        <v>38830</v>
      </c>
      <c r="K1340" s="184" t="n">
        <v>14970</v>
      </c>
      <c r="L1340" s="185" t="n">
        <v>11</v>
      </c>
      <c r="M1340" s="173" t="n">
        <v>23860</v>
      </c>
      <c r="N1340" s="184" t="n">
        <v>21235.4</v>
      </c>
      <c r="O1340" s="184" t="s">
        <v>3081</v>
      </c>
      <c r="P1340" s="187" t="n">
        <v>45962</v>
      </c>
      <c r="Q1340" s="188" t="n">
        <v>0.879502314814815</v>
      </c>
    </row>
    <row r="1341" customFormat="false" ht="35.05" hidden="false" customHeight="false" outlineLevel="0" collapsed="false">
      <c r="A1341" s="181" t="s">
        <v>3082</v>
      </c>
      <c r="B1341" s="182" t="n">
        <v>2865</v>
      </c>
      <c r="C1341" s="183" t="n">
        <v>266</v>
      </c>
      <c r="D1341" s="181" t="s">
        <v>2401</v>
      </c>
      <c r="E1341" s="181" t="s">
        <v>413</v>
      </c>
      <c r="F1341" s="181" t="s">
        <v>414</v>
      </c>
      <c r="G1341" s="181" t="s">
        <v>2715</v>
      </c>
      <c r="H1341" s="181" t="s">
        <v>279</v>
      </c>
      <c r="I1341" s="181" t="s">
        <v>242</v>
      </c>
      <c r="J1341" s="184" t="n">
        <v>49030</v>
      </c>
      <c r="K1341" s="184" t="n">
        <v>16210</v>
      </c>
      <c r="L1341" s="185" t="n">
        <v>6</v>
      </c>
      <c r="M1341" s="173" t="n">
        <v>32820</v>
      </c>
      <c r="N1341" s="184" t="n">
        <v>30850.8</v>
      </c>
      <c r="O1341" s="184" t="s">
        <v>3083</v>
      </c>
      <c r="P1341" s="187" t="n">
        <v>45962</v>
      </c>
      <c r="Q1341" s="188" t="n">
        <v>0.887569444444444</v>
      </c>
    </row>
    <row r="1342" customFormat="false" ht="35.05" hidden="false" customHeight="false" outlineLevel="0" collapsed="false">
      <c r="A1342" s="181" t="s">
        <v>3084</v>
      </c>
      <c r="B1342" s="182" t="n">
        <v>2866</v>
      </c>
      <c r="C1342" s="183" t="n">
        <v>267</v>
      </c>
      <c r="D1342" s="181" t="s">
        <v>2401</v>
      </c>
      <c r="E1342" s="181" t="s">
        <v>383</v>
      </c>
      <c r="F1342" s="181" t="s">
        <v>384</v>
      </c>
      <c r="G1342" s="181" t="s">
        <v>2715</v>
      </c>
      <c r="H1342" s="181" t="s">
        <v>279</v>
      </c>
      <c r="I1342" s="181" t="s">
        <v>242</v>
      </c>
      <c r="J1342" s="184" t="n">
        <v>41610</v>
      </c>
      <c r="K1342" s="184" t="n">
        <v>15010</v>
      </c>
      <c r="L1342" s="185" t="n">
        <v>10</v>
      </c>
      <c r="M1342" s="173" t="n">
        <v>26600</v>
      </c>
      <c r="N1342" s="184" t="n">
        <v>23940</v>
      </c>
      <c r="O1342" s="184" t="s">
        <v>3085</v>
      </c>
      <c r="P1342" s="187" t="n">
        <v>45962</v>
      </c>
      <c r="Q1342" s="188" t="n">
        <v>0.897858796296296</v>
      </c>
    </row>
    <row r="1343" customFormat="false" ht="35.05" hidden="false" customHeight="false" outlineLevel="0" collapsed="false">
      <c r="A1343" s="181" t="s">
        <v>3086</v>
      </c>
      <c r="B1343" s="182" t="n">
        <v>2867</v>
      </c>
      <c r="C1343" s="183" t="n">
        <v>269</v>
      </c>
      <c r="D1343" s="181" t="s">
        <v>2401</v>
      </c>
      <c r="E1343" s="181" t="s">
        <v>549</v>
      </c>
      <c r="F1343" s="181" t="s">
        <v>550</v>
      </c>
      <c r="G1343" s="181" t="s">
        <v>2715</v>
      </c>
      <c r="H1343" s="181" t="s">
        <v>279</v>
      </c>
      <c r="I1343" s="181" t="s">
        <v>242</v>
      </c>
      <c r="J1343" s="184" t="n">
        <v>44800</v>
      </c>
      <c r="K1343" s="184" t="n">
        <v>16020</v>
      </c>
      <c r="L1343" s="185" t="n">
        <v>6</v>
      </c>
      <c r="M1343" s="173" t="n">
        <v>28780</v>
      </c>
      <c r="N1343" s="184" t="n">
        <v>27053.2</v>
      </c>
      <c r="O1343" s="184" t="s">
        <v>3087</v>
      </c>
      <c r="P1343" s="187" t="n">
        <v>45962</v>
      </c>
      <c r="Q1343" s="188" t="n">
        <v>0.937141203703704</v>
      </c>
    </row>
    <row r="1344" customFormat="false" ht="35.05" hidden="false" customHeight="false" outlineLevel="0" collapsed="false">
      <c r="A1344" s="181" t="s">
        <v>3088</v>
      </c>
      <c r="B1344" s="182" t="n">
        <v>2849</v>
      </c>
      <c r="C1344" s="183" t="n">
        <v>257</v>
      </c>
      <c r="D1344" s="181" t="s">
        <v>2401</v>
      </c>
      <c r="E1344" s="181" t="s">
        <v>308</v>
      </c>
      <c r="F1344" s="181" t="s">
        <v>309</v>
      </c>
      <c r="G1344" s="181" t="s">
        <v>2715</v>
      </c>
      <c r="H1344" s="181" t="s">
        <v>279</v>
      </c>
      <c r="I1344" s="181" t="s">
        <v>242</v>
      </c>
      <c r="J1344" s="184" t="n">
        <v>61960</v>
      </c>
      <c r="K1344" s="184" t="n">
        <v>24260</v>
      </c>
      <c r="L1344" s="185" t="n">
        <v>9</v>
      </c>
      <c r="M1344" s="173" t="n">
        <v>37700</v>
      </c>
      <c r="N1344" s="184" t="n">
        <v>34307</v>
      </c>
      <c r="O1344" s="184" t="s">
        <v>3089</v>
      </c>
      <c r="P1344" s="187" t="n">
        <v>45962</v>
      </c>
      <c r="Q1344" s="188" t="n">
        <v>0.951006944444444</v>
      </c>
    </row>
    <row r="1345" customFormat="false" ht="35.05" hidden="false" customHeight="false" outlineLevel="0" collapsed="false">
      <c r="A1345" s="181" t="s">
        <v>3090</v>
      </c>
      <c r="B1345" s="182" t="n">
        <v>2853</v>
      </c>
      <c r="C1345" s="183" t="n">
        <v>259</v>
      </c>
      <c r="D1345" s="181" t="s">
        <v>2401</v>
      </c>
      <c r="E1345" s="181" t="s">
        <v>399</v>
      </c>
      <c r="F1345" s="181" t="s">
        <v>400</v>
      </c>
      <c r="G1345" s="181" t="s">
        <v>2715</v>
      </c>
      <c r="H1345" s="181" t="s">
        <v>279</v>
      </c>
      <c r="I1345" s="181" t="s">
        <v>242</v>
      </c>
      <c r="J1345" s="184" t="n">
        <v>52710</v>
      </c>
      <c r="K1345" s="184" t="n">
        <v>19690</v>
      </c>
      <c r="L1345" s="185" t="n">
        <v>8</v>
      </c>
      <c r="M1345" s="173" t="n">
        <v>33020</v>
      </c>
      <c r="N1345" s="184" t="n">
        <v>30378.4</v>
      </c>
      <c r="O1345" s="184" t="s">
        <v>3091</v>
      </c>
      <c r="P1345" s="187" t="n">
        <v>45962</v>
      </c>
      <c r="Q1345" s="188" t="n">
        <v>0.960532407407407</v>
      </c>
    </row>
    <row r="1346" customFormat="false" ht="35.05" hidden="false" customHeight="false" outlineLevel="0" collapsed="false">
      <c r="A1346" s="181" t="s">
        <v>3092</v>
      </c>
      <c r="B1346" s="182" t="n">
        <v>2868</v>
      </c>
      <c r="C1346" s="183" t="n">
        <v>270</v>
      </c>
      <c r="D1346" s="181" t="s">
        <v>2401</v>
      </c>
      <c r="E1346" s="181" t="s">
        <v>533</v>
      </c>
      <c r="F1346" s="181" t="s">
        <v>534</v>
      </c>
      <c r="G1346" s="181" t="s">
        <v>2715</v>
      </c>
      <c r="H1346" s="181" t="s">
        <v>279</v>
      </c>
      <c r="I1346" s="181" t="s">
        <v>242</v>
      </c>
      <c r="J1346" s="184" t="n">
        <v>40230</v>
      </c>
      <c r="K1346" s="184" t="n">
        <v>14760</v>
      </c>
      <c r="L1346" s="185" t="n">
        <v>9</v>
      </c>
      <c r="M1346" s="173" t="n">
        <v>25470</v>
      </c>
      <c r="N1346" s="184" t="n">
        <v>23177.7</v>
      </c>
      <c r="O1346" s="184" t="s">
        <v>3093</v>
      </c>
      <c r="P1346" s="187" t="n">
        <v>45962</v>
      </c>
      <c r="Q1346" s="188" t="n">
        <v>0.961412037037037</v>
      </c>
    </row>
    <row r="1347" customFormat="false" ht="35.05" hidden="false" customHeight="false" outlineLevel="0" collapsed="false">
      <c r="A1347" s="181" t="s">
        <v>3094</v>
      </c>
      <c r="B1347" s="182" t="n">
        <v>2869</v>
      </c>
      <c r="C1347" s="183" t="n">
        <v>274</v>
      </c>
      <c r="D1347" s="181" t="s">
        <v>2401</v>
      </c>
      <c r="E1347" s="181" t="s">
        <v>266</v>
      </c>
      <c r="F1347" s="181" t="s">
        <v>267</v>
      </c>
      <c r="G1347" s="181" t="s">
        <v>2715</v>
      </c>
      <c r="H1347" s="181" t="s">
        <v>279</v>
      </c>
      <c r="I1347" s="181" t="s">
        <v>242</v>
      </c>
      <c r="J1347" s="184" t="n">
        <v>40450</v>
      </c>
      <c r="K1347" s="184" t="n">
        <v>15080</v>
      </c>
      <c r="L1347" s="185" t="n">
        <v>31</v>
      </c>
      <c r="M1347" s="173" t="n">
        <v>25370</v>
      </c>
      <c r="N1347" s="184" t="n">
        <v>17505.3</v>
      </c>
      <c r="O1347" s="184" t="s">
        <v>3095</v>
      </c>
      <c r="P1347" s="187" t="n">
        <v>45962</v>
      </c>
      <c r="Q1347" s="188" t="n">
        <v>0.995706018518519</v>
      </c>
    </row>
    <row r="1348" customFormat="false" ht="35.05" hidden="false" customHeight="false" outlineLevel="0" collapsed="false">
      <c r="A1348" s="181" t="s">
        <v>3096</v>
      </c>
      <c r="B1348" s="182" t="n">
        <v>2873</v>
      </c>
      <c r="C1348" s="183" t="n">
        <v>279</v>
      </c>
      <c r="D1348" s="181" t="s">
        <v>2401</v>
      </c>
      <c r="E1348" s="181" t="s">
        <v>332</v>
      </c>
      <c r="F1348" s="181" t="s">
        <v>333</v>
      </c>
      <c r="G1348" s="181" t="s">
        <v>2715</v>
      </c>
      <c r="H1348" s="181" t="s">
        <v>279</v>
      </c>
      <c r="I1348" s="181" t="s">
        <v>242</v>
      </c>
      <c r="J1348" s="184" t="n">
        <v>40440</v>
      </c>
      <c r="K1348" s="184" t="n">
        <v>15020</v>
      </c>
      <c r="L1348" s="185" t="n">
        <v>23</v>
      </c>
      <c r="M1348" s="173" t="n">
        <v>25420</v>
      </c>
      <c r="N1348" s="184" t="n">
        <v>19573.4</v>
      </c>
      <c r="O1348" s="184" t="s">
        <v>3097</v>
      </c>
      <c r="P1348" s="187" t="n">
        <v>45963</v>
      </c>
      <c r="Q1348" s="188" t="n">
        <v>0.134722222222222</v>
      </c>
    </row>
    <row r="1349" customFormat="false" ht="46.25" hidden="false" customHeight="false" outlineLevel="0" collapsed="false">
      <c r="A1349" s="181" t="s">
        <v>3098</v>
      </c>
      <c r="B1349" s="182" t="n">
        <v>2878</v>
      </c>
      <c r="C1349" s="183" t="n">
        <v>11576</v>
      </c>
      <c r="D1349" s="181" t="s">
        <v>2066</v>
      </c>
      <c r="E1349" s="181" t="s">
        <v>576</v>
      </c>
      <c r="F1349" s="181" t="s">
        <v>577</v>
      </c>
      <c r="G1349" s="181" t="s">
        <v>2067</v>
      </c>
      <c r="H1349" s="181" t="s">
        <v>158</v>
      </c>
      <c r="I1349" s="181" t="s">
        <v>241</v>
      </c>
      <c r="J1349" s="184" t="n">
        <v>38580</v>
      </c>
      <c r="K1349" s="184" t="n">
        <v>14540</v>
      </c>
      <c r="L1349" s="185" t="n">
        <v>13</v>
      </c>
      <c r="M1349" s="173" t="n">
        <v>24040</v>
      </c>
      <c r="N1349" s="184" t="n">
        <v>20914.8</v>
      </c>
      <c r="O1349" s="184" t="s">
        <v>3099</v>
      </c>
      <c r="P1349" s="187" t="n">
        <v>45963</v>
      </c>
      <c r="Q1349" s="188" t="n">
        <v>0.665324074074074</v>
      </c>
    </row>
    <row r="1350" customFormat="false" ht="46.25" hidden="false" customHeight="false" outlineLevel="0" collapsed="false">
      <c r="A1350" s="181" t="s">
        <v>3100</v>
      </c>
      <c r="B1350" s="182" t="n">
        <v>2879</v>
      </c>
      <c r="C1350" s="183" t="n">
        <v>11577</v>
      </c>
      <c r="D1350" s="181" t="s">
        <v>2066</v>
      </c>
      <c r="E1350" s="181" t="s">
        <v>261</v>
      </c>
      <c r="F1350" s="181" t="s">
        <v>262</v>
      </c>
      <c r="G1350" s="181" t="s">
        <v>2067</v>
      </c>
      <c r="H1350" s="181" t="s">
        <v>158</v>
      </c>
      <c r="I1350" s="181" t="s">
        <v>241</v>
      </c>
      <c r="J1350" s="184" t="n">
        <v>39560</v>
      </c>
      <c r="K1350" s="184" t="n">
        <v>15220</v>
      </c>
      <c r="L1350" s="185" t="n">
        <v>9</v>
      </c>
      <c r="M1350" s="173" t="n">
        <v>24340</v>
      </c>
      <c r="N1350" s="184" t="n">
        <v>22149.4</v>
      </c>
      <c r="O1350" s="184" t="s">
        <v>3101</v>
      </c>
      <c r="P1350" s="187" t="n">
        <v>45963</v>
      </c>
      <c r="Q1350" s="188" t="n">
        <v>0.669502314814815</v>
      </c>
    </row>
    <row r="1351" customFormat="false" ht="35.05" hidden="false" customHeight="false" outlineLevel="0" collapsed="false">
      <c r="A1351" s="181" t="s">
        <v>3102</v>
      </c>
      <c r="B1351" s="182" t="n">
        <v>2880</v>
      </c>
      <c r="C1351" s="183" t="n">
        <v>278</v>
      </c>
      <c r="D1351" s="181" t="s">
        <v>2401</v>
      </c>
      <c r="E1351" s="181" t="s">
        <v>2351</v>
      </c>
      <c r="F1351" s="181" t="s">
        <v>2352</v>
      </c>
      <c r="G1351" s="181" t="s">
        <v>2715</v>
      </c>
      <c r="H1351" s="181" t="s">
        <v>279</v>
      </c>
      <c r="I1351" s="181" t="s">
        <v>242</v>
      </c>
      <c r="J1351" s="184" t="n">
        <v>48470</v>
      </c>
      <c r="K1351" s="184" t="n">
        <v>17490</v>
      </c>
      <c r="L1351" s="185" t="n">
        <v>11</v>
      </c>
      <c r="M1351" s="173" t="n">
        <v>30980</v>
      </c>
      <c r="N1351" s="184" t="n">
        <v>27572.2</v>
      </c>
      <c r="O1351" s="184" t="s">
        <v>3103</v>
      </c>
      <c r="P1351" s="187" t="n">
        <v>45963</v>
      </c>
      <c r="Q1351" s="188" t="n">
        <v>0.710219907407407</v>
      </c>
    </row>
    <row r="1352" customFormat="false" ht="35.05" hidden="false" customHeight="false" outlineLevel="0" collapsed="false">
      <c r="A1352" s="181" t="s">
        <v>3104</v>
      </c>
      <c r="B1352" s="182" t="n">
        <v>2881</v>
      </c>
      <c r="C1352" s="183" t="n">
        <v>277</v>
      </c>
      <c r="D1352" s="181" t="s">
        <v>2401</v>
      </c>
      <c r="E1352" s="181" t="s">
        <v>367</v>
      </c>
      <c r="F1352" s="181" t="s">
        <v>368</v>
      </c>
      <c r="G1352" s="181" t="s">
        <v>2715</v>
      </c>
      <c r="H1352" s="181" t="s">
        <v>279</v>
      </c>
      <c r="I1352" s="181" t="s">
        <v>242</v>
      </c>
      <c r="J1352" s="184" t="n">
        <v>51190</v>
      </c>
      <c r="K1352" s="184" t="n">
        <v>18780</v>
      </c>
      <c r="L1352" s="185" t="n">
        <v>8</v>
      </c>
      <c r="M1352" s="173" t="n">
        <v>32410</v>
      </c>
      <c r="N1352" s="184" t="n">
        <v>29817.2</v>
      </c>
      <c r="O1352" s="184" t="s">
        <v>3105</v>
      </c>
      <c r="P1352" s="187" t="n">
        <v>45963</v>
      </c>
      <c r="Q1352" s="188" t="n">
        <v>0.713483796296296</v>
      </c>
    </row>
    <row r="1353" customFormat="false" ht="35.05" hidden="false" customHeight="false" outlineLevel="0" collapsed="false">
      <c r="A1353" s="181" t="s">
        <v>3106</v>
      </c>
      <c r="B1353" s="182" t="n">
        <v>2882</v>
      </c>
      <c r="C1353" s="183" t="n">
        <v>280</v>
      </c>
      <c r="D1353" s="181" t="s">
        <v>2401</v>
      </c>
      <c r="E1353" s="181" t="s">
        <v>399</v>
      </c>
      <c r="F1353" s="181" t="s">
        <v>400</v>
      </c>
      <c r="G1353" s="181" t="s">
        <v>2715</v>
      </c>
      <c r="H1353" s="181" t="s">
        <v>279</v>
      </c>
      <c r="I1353" s="181" t="s">
        <v>242</v>
      </c>
      <c r="J1353" s="184" t="n">
        <v>53920</v>
      </c>
      <c r="K1353" s="184" t="n">
        <v>19540</v>
      </c>
      <c r="L1353" s="185" t="n">
        <v>4</v>
      </c>
      <c r="M1353" s="173" t="n">
        <v>34380</v>
      </c>
      <c r="N1353" s="184" t="n">
        <v>33004.8</v>
      </c>
      <c r="O1353" s="184" t="s">
        <v>3107</v>
      </c>
      <c r="P1353" s="187" t="n">
        <v>45963</v>
      </c>
      <c r="Q1353" s="188" t="n">
        <v>0.72912037037037</v>
      </c>
    </row>
    <row r="1354" customFormat="false" ht="46.25" hidden="false" customHeight="false" outlineLevel="0" collapsed="false">
      <c r="A1354" s="181" t="s">
        <v>3108</v>
      </c>
      <c r="B1354" s="182" t="n">
        <v>2883</v>
      </c>
      <c r="C1354" s="183" t="n">
        <v>11579</v>
      </c>
      <c r="D1354" s="181" t="s">
        <v>2066</v>
      </c>
      <c r="E1354" s="181" t="s">
        <v>541</v>
      </c>
      <c r="F1354" s="181" t="s">
        <v>542</v>
      </c>
      <c r="G1354" s="181" t="s">
        <v>2067</v>
      </c>
      <c r="H1354" s="181" t="s">
        <v>158</v>
      </c>
      <c r="I1354" s="181" t="s">
        <v>241</v>
      </c>
      <c r="J1354" s="184" t="n">
        <v>41850</v>
      </c>
      <c r="K1354" s="184" t="n">
        <v>15050</v>
      </c>
      <c r="L1354" s="185" t="n">
        <v>12</v>
      </c>
      <c r="M1354" s="173" t="n">
        <v>26800</v>
      </c>
      <c r="N1354" s="184" t="n">
        <v>23584</v>
      </c>
      <c r="O1354" s="184" t="s">
        <v>3109</v>
      </c>
      <c r="P1354" s="187" t="n">
        <v>45963</v>
      </c>
      <c r="Q1354" s="188" t="n">
        <v>0.768645833333333</v>
      </c>
    </row>
    <row r="1355" customFormat="false" ht="35.05" hidden="false" customHeight="false" outlineLevel="0" collapsed="false">
      <c r="A1355" s="181" t="s">
        <v>3110</v>
      </c>
      <c r="B1355" s="182" t="n">
        <v>2884</v>
      </c>
      <c r="C1355" s="183" t="n">
        <v>282</v>
      </c>
      <c r="D1355" s="181" t="s">
        <v>2401</v>
      </c>
      <c r="E1355" s="181" t="s">
        <v>304</v>
      </c>
      <c r="F1355" s="181" t="s">
        <v>305</v>
      </c>
      <c r="G1355" s="181" t="s">
        <v>2715</v>
      </c>
      <c r="H1355" s="181" t="s">
        <v>279</v>
      </c>
      <c r="I1355" s="181" t="s">
        <v>242</v>
      </c>
      <c r="J1355" s="184" t="n">
        <v>41350</v>
      </c>
      <c r="K1355" s="184" t="n">
        <v>15120</v>
      </c>
      <c r="L1355" s="185" t="n">
        <v>10</v>
      </c>
      <c r="M1355" s="173" t="n">
        <v>26230</v>
      </c>
      <c r="N1355" s="184" t="n">
        <v>23607</v>
      </c>
      <c r="O1355" s="184" t="s">
        <v>3111</v>
      </c>
      <c r="P1355" s="187" t="n">
        <v>45963</v>
      </c>
      <c r="Q1355" s="188" t="n">
        <v>0.783587962962963</v>
      </c>
    </row>
    <row r="1356" customFormat="false" ht="35.05" hidden="false" customHeight="false" outlineLevel="0" collapsed="false">
      <c r="A1356" s="181" t="s">
        <v>3112</v>
      </c>
      <c r="B1356" s="182" t="n">
        <v>2870</v>
      </c>
      <c r="C1356" s="183" t="n">
        <v>268</v>
      </c>
      <c r="D1356" s="181" t="s">
        <v>2401</v>
      </c>
      <c r="E1356" s="181" t="s">
        <v>409</v>
      </c>
      <c r="F1356" s="181" t="s">
        <v>410</v>
      </c>
      <c r="G1356" s="181" t="s">
        <v>2715</v>
      </c>
      <c r="H1356" s="181" t="s">
        <v>279</v>
      </c>
      <c r="I1356" s="181" t="s">
        <v>242</v>
      </c>
      <c r="J1356" s="184" t="n">
        <v>68260</v>
      </c>
      <c r="K1356" s="184" t="n">
        <v>24870</v>
      </c>
      <c r="L1356" s="185" t="n">
        <v>6</v>
      </c>
      <c r="M1356" s="173" t="n">
        <v>43390</v>
      </c>
      <c r="N1356" s="184" t="n">
        <v>40786.6</v>
      </c>
      <c r="O1356" s="184" t="s">
        <v>3113</v>
      </c>
      <c r="P1356" s="187" t="n">
        <v>45963</v>
      </c>
      <c r="Q1356" s="188" t="n">
        <v>0.84244212962963</v>
      </c>
    </row>
    <row r="1357" customFormat="false" ht="46.25" hidden="false" customHeight="false" outlineLevel="0" collapsed="false">
      <c r="A1357" s="181" t="s">
        <v>3114</v>
      </c>
      <c r="B1357" s="182" t="n">
        <v>2885</v>
      </c>
      <c r="C1357" s="183" t="n">
        <v>11602</v>
      </c>
      <c r="D1357" s="181" t="s">
        <v>2066</v>
      </c>
      <c r="E1357" s="181" t="s">
        <v>1019</v>
      </c>
      <c r="F1357" s="181" t="s">
        <v>1020</v>
      </c>
      <c r="G1357" s="181" t="s">
        <v>2067</v>
      </c>
      <c r="H1357" s="181" t="s">
        <v>158</v>
      </c>
      <c r="I1357" s="181" t="s">
        <v>241</v>
      </c>
      <c r="J1357" s="184" t="n">
        <v>43490</v>
      </c>
      <c r="K1357" s="184" t="n">
        <v>17170</v>
      </c>
      <c r="L1357" s="185" t="n">
        <v>8</v>
      </c>
      <c r="M1357" s="173" t="n">
        <v>26320</v>
      </c>
      <c r="N1357" s="184" t="n">
        <v>24214.4</v>
      </c>
      <c r="O1357" s="184" t="s">
        <v>3115</v>
      </c>
      <c r="P1357" s="187" t="n">
        <v>45963</v>
      </c>
      <c r="Q1357" s="188" t="n">
        <v>0.845925925925926</v>
      </c>
    </row>
    <row r="1358" customFormat="false" ht="46.25" hidden="false" customHeight="false" outlineLevel="0" collapsed="false">
      <c r="A1358" s="181" t="s">
        <v>3116</v>
      </c>
      <c r="B1358" s="182" t="n">
        <v>2886</v>
      </c>
      <c r="C1358" s="183" t="n">
        <v>11601</v>
      </c>
      <c r="D1358" s="181" t="s">
        <v>2066</v>
      </c>
      <c r="E1358" s="181" t="s">
        <v>1027</v>
      </c>
      <c r="F1358" s="181" t="s">
        <v>1028</v>
      </c>
      <c r="G1358" s="181" t="s">
        <v>2067</v>
      </c>
      <c r="H1358" s="181" t="s">
        <v>158</v>
      </c>
      <c r="I1358" s="181" t="s">
        <v>241</v>
      </c>
      <c r="J1358" s="184" t="n">
        <v>40260</v>
      </c>
      <c r="K1358" s="184" t="n">
        <v>15000</v>
      </c>
      <c r="L1358" s="185" t="n">
        <v>11</v>
      </c>
      <c r="M1358" s="173" t="n">
        <v>25260</v>
      </c>
      <c r="N1358" s="184" t="n">
        <v>22481.4</v>
      </c>
      <c r="O1358" s="184" t="s">
        <v>3117</v>
      </c>
      <c r="P1358" s="187" t="n">
        <v>45963</v>
      </c>
      <c r="Q1358" s="188" t="n">
        <v>0.849606481481481</v>
      </c>
    </row>
    <row r="1359" customFormat="false" ht="35.05" hidden="false" customHeight="false" outlineLevel="0" collapsed="false">
      <c r="A1359" s="181" t="s">
        <v>3118</v>
      </c>
      <c r="B1359" s="182" t="n">
        <v>2887</v>
      </c>
      <c r="C1359" s="183" t="n">
        <v>283</v>
      </c>
      <c r="D1359" s="181" t="s">
        <v>2401</v>
      </c>
      <c r="E1359" s="181" t="s">
        <v>582</v>
      </c>
      <c r="F1359" s="181" t="s">
        <v>583</v>
      </c>
      <c r="G1359" s="181" t="s">
        <v>2715</v>
      </c>
      <c r="H1359" s="181" t="s">
        <v>279</v>
      </c>
      <c r="I1359" s="181" t="s">
        <v>242</v>
      </c>
      <c r="J1359" s="184" t="n">
        <v>42850</v>
      </c>
      <c r="K1359" s="184" t="n">
        <v>14990</v>
      </c>
      <c r="L1359" s="185" t="n">
        <v>10</v>
      </c>
      <c r="M1359" s="173" t="n">
        <v>27860</v>
      </c>
      <c r="N1359" s="184" t="n">
        <v>25074</v>
      </c>
      <c r="O1359" s="184" t="s">
        <v>3119</v>
      </c>
      <c r="P1359" s="187" t="n">
        <v>45963</v>
      </c>
      <c r="Q1359" s="188" t="n">
        <v>0.870868055555556</v>
      </c>
    </row>
    <row r="1360" customFormat="false" ht="35.05" hidden="false" customHeight="false" outlineLevel="0" collapsed="false">
      <c r="A1360" s="181" t="s">
        <v>3120</v>
      </c>
      <c r="B1360" s="182" t="n">
        <v>2888</v>
      </c>
      <c r="C1360" s="183" t="n">
        <v>284</v>
      </c>
      <c r="D1360" s="181" t="s">
        <v>2401</v>
      </c>
      <c r="E1360" s="181" t="s">
        <v>377</v>
      </c>
      <c r="F1360" s="181" t="s">
        <v>378</v>
      </c>
      <c r="G1360" s="181" t="s">
        <v>2715</v>
      </c>
      <c r="H1360" s="181" t="s">
        <v>279</v>
      </c>
      <c r="I1360" s="181" t="s">
        <v>242</v>
      </c>
      <c r="J1360" s="184" t="n">
        <v>45660</v>
      </c>
      <c r="K1360" s="184" t="n">
        <v>15970</v>
      </c>
      <c r="L1360" s="185" t="n">
        <v>7</v>
      </c>
      <c r="M1360" s="173" t="n">
        <v>29690</v>
      </c>
      <c r="N1360" s="184" t="n">
        <v>27611.7</v>
      </c>
      <c r="O1360" s="184" t="s">
        <v>3121</v>
      </c>
      <c r="P1360" s="187" t="n">
        <v>45963</v>
      </c>
      <c r="Q1360" s="188" t="n">
        <v>0.874456018518519</v>
      </c>
    </row>
    <row r="1361" customFormat="false" ht="35.05" hidden="false" customHeight="false" outlineLevel="0" collapsed="false">
      <c r="A1361" s="181" t="s">
        <v>3122</v>
      </c>
      <c r="B1361" s="182" t="n">
        <v>2889</v>
      </c>
      <c r="C1361" s="183" t="n">
        <v>281</v>
      </c>
      <c r="D1361" s="181" t="s">
        <v>2401</v>
      </c>
      <c r="E1361" s="181" t="s">
        <v>308</v>
      </c>
      <c r="F1361" s="181" t="s">
        <v>309</v>
      </c>
      <c r="G1361" s="181" t="s">
        <v>2715</v>
      </c>
      <c r="H1361" s="181" t="s">
        <v>279</v>
      </c>
      <c r="I1361" s="181" t="s">
        <v>242</v>
      </c>
      <c r="J1361" s="184" t="n">
        <v>63830</v>
      </c>
      <c r="K1361" s="184" t="n">
        <v>24290</v>
      </c>
      <c r="L1361" s="185" t="n">
        <v>9</v>
      </c>
      <c r="M1361" s="173" t="n">
        <v>39540</v>
      </c>
      <c r="N1361" s="184" t="n">
        <v>35981.4</v>
      </c>
      <c r="O1361" s="184" t="s">
        <v>3123</v>
      </c>
      <c r="P1361" s="187" t="n">
        <v>45963</v>
      </c>
      <c r="Q1361" s="188" t="n">
        <v>0.893599537037037</v>
      </c>
    </row>
    <row r="1362" customFormat="false" ht="35.05" hidden="false" customHeight="false" outlineLevel="0" collapsed="false">
      <c r="A1362" s="181" t="s">
        <v>3124</v>
      </c>
      <c r="B1362" s="182" t="n">
        <v>2871</v>
      </c>
      <c r="C1362" s="183" t="n">
        <v>273</v>
      </c>
      <c r="D1362" s="181" t="s">
        <v>2401</v>
      </c>
      <c r="E1362" s="181" t="s">
        <v>282</v>
      </c>
      <c r="F1362" s="181" t="s">
        <v>283</v>
      </c>
      <c r="G1362" s="181" t="s">
        <v>2715</v>
      </c>
      <c r="H1362" s="181" t="s">
        <v>279</v>
      </c>
      <c r="I1362" s="181" t="s">
        <v>242</v>
      </c>
      <c r="J1362" s="184" t="n">
        <v>41280</v>
      </c>
      <c r="K1362" s="184" t="n">
        <v>15280</v>
      </c>
      <c r="L1362" s="185" t="n">
        <v>7</v>
      </c>
      <c r="M1362" s="173" t="n">
        <v>26000</v>
      </c>
      <c r="N1362" s="184" t="n">
        <v>24180</v>
      </c>
      <c r="O1362" s="184" t="s">
        <v>3125</v>
      </c>
      <c r="P1362" s="187" t="n">
        <v>45963</v>
      </c>
      <c r="Q1362" s="188" t="n">
        <v>0.926643518518519</v>
      </c>
    </row>
    <row r="1363" customFormat="false" ht="35.05" hidden="false" customHeight="false" outlineLevel="0" collapsed="false">
      <c r="A1363" s="181" t="s">
        <v>3126</v>
      </c>
      <c r="B1363" s="182" t="n">
        <v>2872</v>
      </c>
      <c r="C1363" s="183" t="n">
        <v>272</v>
      </c>
      <c r="D1363" s="181" t="s">
        <v>2401</v>
      </c>
      <c r="E1363" s="181" t="s">
        <v>537</v>
      </c>
      <c r="F1363" s="181" t="s">
        <v>538</v>
      </c>
      <c r="G1363" s="181" t="s">
        <v>2715</v>
      </c>
      <c r="H1363" s="181" t="s">
        <v>279</v>
      </c>
      <c r="I1363" s="181" t="s">
        <v>242</v>
      </c>
      <c r="J1363" s="184" t="n">
        <v>38420</v>
      </c>
      <c r="K1363" s="184" t="n">
        <v>14120</v>
      </c>
      <c r="L1363" s="185" t="n">
        <v>13</v>
      </c>
      <c r="M1363" s="173" t="n">
        <v>24300</v>
      </c>
      <c r="N1363" s="184" t="n">
        <v>21141</v>
      </c>
      <c r="O1363" s="184" t="s">
        <v>3127</v>
      </c>
      <c r="P1363" s="187" t="n">
        <v>45963</v>
      </c>
      <c r="Q1363" s="188" t="n">
        <v>0.93275462962963</v>
      </c>
    </row>
    <row r="1364" customFormat="false" ht="35.05" hidden="false" customHeight="false" outlineLevel="0" collapsed="false">
      <c r="A1364" s="181" t="s">
        <v>3128</v>
      </c>
      <c r="B1364" s="182" t="n">
        <v>2874</v>
      </c>
      <c r="C1364" s="183" t="n">
        <v>276</v>
      </c>
      <c r="D1364" s="181" t="s">
        <v>2401</v>
      </c>
      <c r="E1364" s="181" t="s">
        <v>359</v>
      </c>
      <c r="F1364" s="181" t="s">
        <v>360</v>
      </c>
      <c r="G1364" s="181" t="s">
        <v>2715</v>
      </c>
      <c r="H1364" s="181" t="s">
        <v>279</v>
      </c>
      <c r="I1364" s="181" t="s">
        <v>242</v>
      </c>
      <c r="J1364" s="184" t="n">
        <v>38580</v>
      </c>
      <c r="K1364" s="184" t="n">
        <v>15060</v>
      </c>
      <c r="L1364" s="185" t="n">
        <v>24</v>
      </c>
      <c r="M1364" s="173" t="n">
        <v>23520</v>
      </c>
      <c r="N1364" s="184" t="n">
        <v>17875.2</v>
      </c>
      <c r="O1364" s="184" t="s">
        <v>3129</v>
      </c>
      <c r="P1364" s="187" t="n">
        <v>45963</v>
      </c>
      <c r="Q1364" s="188" t="n">
        <v>0.961736111111111</v>
      </c>
    </row>
    <row r="1365" customFormat="false" ht="35.05" hidden="false" customHeight="false" outlineLevel="0" collapsed="false">
      <c r="A1365" s="181" t="s">
        <v>3130</v>
      </c>
      <c r="B1365" s="182" t="n">
        <v>2875</v>
      </c>
      <c r="C1365" s="183" t="n">
        <v>275</v>
      </c>
      <c r="D1365" s="181" t="s">
        <v>2401</v>
      </c>
      <c r="E1365" s="181" t="s">
        <v>354</v>
      </c>
      <c r="F1365" s="181" t="s">
        <v>355</v>
      </c>
      <c r="G1365" s="181" t="s">
        <v>2715</v>
      </c>
      <c r="H1365" s="181" t="s">
        <v>279</v>
      </c>
      <c r="I1365" s="181" t="s">
        <v>242</v>
      </c>
      <c r="J1365" s="184" t="n">
        <v>41060</v>
      </c>
      <c r="K1365" s="184" t="n">
        <v>15010</v>
      </c>
      <c r="L1365" s="185" t="n">
        <v>9</v>
      </c>
      <c r="M1365" s="173" t="n">
        <v>26050</v>
      </c>
      <c r="N1365" s="184" t="n">
        <v>23705.5</v>
      </c>
      <c r="O1365" s="184" t="s">
        <v>3131</v>
      </c>
      <c r="P1365" s="187" t="n">
        <v>45963</v>
      </c>
      <c r="Q1365" s="188" t="n">
        <v>0.996516203703704</v>
      </c>
    </row>
    <row r="1366" customFormat="false" ht="35.05" hidden="false" customHeight="false" outlineLevel="0" collapsed="false">
      <c r="A1366" s="181" t="s">
        <v>3132</v>
      </c>
      <c r="B1366" s="182" t="n">
        <v>2890</v>
      </c>
      <c r="C1366" s="183" t="n">
        <v>286</v>
      </c>
      <c r="D1366" s="181" t="s">
        <v>2401</v>
      </c>
      <c r="E1366" s="181" t="s">
        <v>340</v>
      </c>
      <c r="F1366" s="181" t="s">
        <v>341</v>
      </c>
      <c r="G1366" s="181" t="s">
        <v>2715</v>
      </c>
      <c r="H1366" s="181" t="s">
        <v>279</v>
      </c>
      <c r="I1366" s="181" t="s">
        <v>242</v>
      </c>
      <c r="J1366" s="184" t="n">
        <v>41140</v>
      </c>
      <c r="K1366" s="184" t="n">
        <v>15260</v>
      </c>
      <c r="L1366" s="185" t="n">
        <v>5</v>
      </c>
      <c r="M1366" s="173" t="n">
        <v>25880</v>
      </c>
      <c r="N1366" s="184" t="n">
        <v>24586</v>
      </c>
      <c r="O1366" s="184" t="s">
        <v>3133</v>
      </c>
      <c r="P1366" s="187" t="n">
        <v>45963</v>
      </c>
      <c r="Q1366" s="188" t="n">
        <v>0.997280092592593</v>
      </c>
    </row>
    <row r="1367" customFormat="false" ht="35.05" hidden="false" customHeight="false" outlineLevel="0" collapsed="false">
      <c r="A1367" s="181" t="s">
        <v>3134</v>
      </c>
      <c r="B1367" s="182" t="n">
        <v>2900</v>
      </c>
      <c r="C1367" s="183" t="n">
        <v>291</v>
      </c>
      <c r="D1367" s="181" t="s">
        <v>2401</v>
      </c>
      <c r="E1367" s="181" t="s">
        <v>272</v>
      </c>
      <c r="F1367" s="181" t="s">
        <v>273</v>
      </c>
      <c r="G1367" s="181" t="s">
        <v>2715</v>
      </c>
      <c r="H1367" s="181" t="s">
        <v>279</v>
      </c>
      <c r="I1367" s="181" t="s">
        <v>242</v>
      </c>
      <c r="J1367" s="184" t="n">
        <v>40740</v>
      </c>
      <c r="K1367" s="184" t="n">
        <v>15700</v>
      </c>
      <c r="L1367" s="185" t="n">
        <v>15</v>
      </c>
      <c r="M1367" s="173" t="n">
        <v>25040</v>
      </c>
      <c r="N1367" s="184" t="n">
        <v>21284</v>
      </c>
      <c r="O1367" s="184" t="s">
        <v>3135</v>
      </c>
      <c r="P1367" s="187" t="n">
        <v>45964</v>
      </c>
      <c r="Q1367" s="188" t="n">
        <v>0.659872685185185</v>
      </c>
    </row>
    <row r="1368" customFormat="false" ht="35.05" hidden="false" customHeight="false" outlineLevel="0" collapsed="false">
      <c r="A1368" s="181" t="s">
        <v>3136</v>
      </c>
      <c r="B1368" s="182" t="n">
        <v>2902</v>
      </c>
      <c r="C1368" s="183" t="n">
        <v>293</v>
      </c>
      <c r="D1368" s="181" t="s">
        <v>2401</v>
      </c>
      <c r="E1368" s="181" t="s">
        <v>413</v>
      </c>
      <c r="F1368" s="181" t="s">
        <v>414</v>
      </c>
      <c r="G1368" s="181" t="s">
        <v>2715</v>
      </c>
      <c r="H1368" s="181" t="s">
        <v>279</v>
      </c>
      <c r="I1368" s="181" t="s">
        <v>242</v>
      </c>
      <c r="J1368" s="184" t="n">
        <v>48850</v>
      </c>
      <c r="K1368" s="184" t="n">
        <v>16010</v>
      </c>
      <c r="L1368" s="185" t="n">
        <v>13</v>
      </c>
      <c r="M1368" s="173" t="n">
        <v>32840</v>
      </c>
      <c r="N1368" s="184" t="n">
        <v>28570.8</v>
      </c>
      <c r="O1368" s="184" t="s">
        <v>3137</v>
      </c>
      <c r="P1368" s="187" t="n">
        <v>45964</v>
      </c>
      <c r="Q1368" s="188" t="n">
        <v>0.717905092592593</v>
      </c>
    </row>
    <row r="1369" customFormat="false" ht="35.05" hidden="false" customHeight="false" outlineLevel="0" collapsed="false">
      <c r="A1369" s="181" t="s">
        <v>3138</v>
      </c>
      <c r="B1369" s="182" t="n">
        <v>2903</v>
      </c>
      <c r="C1369" s="183" t="n">
        <v>294</v>
      </c>
      <c r="D1369" s="181" t="s">
        <v>2401</v>
      </c>
      <c r="E1369" s="181" t="s">
        <v>288</v>
      </c>
      <c r="F1369" s="181" t="s">
        <v>289</v>
      </c>
      <c r="G1369" s="181" t="s">
        <v>2715</v>
      </c>
      <c r="H1369" s="181" t="s">
        <v>279</v>
      </c>
      <c r="I1369" s="181" t="s">
        <v>242</v>
      </c>
      <c r="J1369" s="184" t="n">
        <v>40580</v>
      </c>
      <c r="K1369" s="184" t="n">
        <v>14920</v>
      </c>
      <c r="L1369" s="185" t="n">
        <v>13</v>
      </c>
      <c r="M1369" s="173" t="n">
        <v>25660</v>
      </c>
      <c r="N1369" s="184" t="n">
        <v>22324.2</v>
      </c>
      <c r="O1369" s="184" t="s">
        <v>3139</v>
      </c>
      <c r="P1369" s="187" t="n">
        <v>45964</v>
      </c>
      <c r="Q1369" s="188" t="n">
        <v>0.759143518518519</v>
      </c>
    </row>
    <row r="1370" customFormat="false" ht="35.05" hidden="false" customHeight="false" outlineLevel="0" collapsed="false">
      <c r="A1370" s="181" t="s">
        <v>3140</v>
      </c>
      <c r="B1370" s="182" t="n">
        <v>2904</v>
      </c>
      <c r="C1370" s="183" t="n">
        <v>295</v>
      </c>
      <c r="D1370" s="181" t="s">
        <v>2401</v>
      </c>
      <c r="E1370" s="181" t="s">
        <v>373</v>
      </c>
      <c r="F1370" s="181" t="s">
        <v>374</v>
      </c>
      <c r="G1370" s="181" t="s">
        <v>2715</v>
      </c>
      <c r="H1370" s="181" t="s">
        <v>279</v>
      </c>
      <c r="I1370" s="181" t="s">
        <v>242</v>
      </c>
      <c r="J1370" s="184" t="n">
        <v>45150</v>
      </c>
      <c r="K1370" s="184" t="n">
        <v>14660</v>
      </c>
      <c r="L1370" s="185" t="n">
        <v>13</v>
      </c>
      <c r="M1370" s="173" t="n">
        <v>30490</v>
      </c>
      <c r="N1370" s="184" t="n">
        <v>26526.3</v>
      </c>
      <c r="O1370" s="184" t="s">
        <v>3141</v>
      </c>
      <c r="P1370" s="187" t="n">
        <v>45964</v>
      </c>
      <c r="Q1370" s="188" t="n">
        <v>0.788831018518519</v>
      </c>
    </row>
    <row r="1371" customFormat="false" ht="35.05" hidden="false" customHeight="false" outlineLevel="0" collapsed="false">
      <c r="A1371" s="181" t="s">
        <v>3142</v>
      </c>
      <c r="B1371" s="182" t="n">
        <v>2891</v>
      </c>
      <c r="C1371" s="183" t="n">
        <v>285</v>
      </c>
      <c r="D1371" s="181" t="s">
        <v>2401</v>
      </c>
      <c r="E1371" s="181" t="s">
        <v>336</v>
      </c>
      <c r="F1371" s="181" t="s">
        <v>337</v>
      </c>
      <c r="G1371" s="181" t="s">
        <v>2715</v>
      </c>
      <c r="H1371" s="181" t="s">
        <v>279</v>
      </c>
      <c r="I1371" s="181" t="s">
        <v>242</v>
      </c>
      <c r="J1371" s="184" t="n">
        <v>40350</v>
      </c>
      <c r="K1371" s="184" t="n">
        <v>14620</v>
      </c>
      <c r="L1371" s="185" t="n">
        <v>12</v>
      </c>
      <c r="M1371" s="173" t="n">
        <v>25730</v>
      </c>
      <c r="N1371" s="184" t="n">
        <v>22642.4</v>
      </c>
      <c r="O1371" s="184" t="s">
        <v>3143</v>
      </c>
      <c r="P1371" s="187" t="n">
        <v>45964</v>
      </c>
      <c r="Q1371" s="188" t="n">
        <v>0.809386574074074</v>
      </c>
    </row>
    <row r="1372" customFormat="false" ht="35.05" hidden="false" customHeight="false" outlineLevel="0" collapsed="false">
      <c r="A1372" s="181" t="s">
        <v>3144</v>
      </c>
      <c r="B1372" s="182" t="n">
        <v>2896</v>
      </c>
      <c r="C1372" s="183" t="n">
        <v>287</v>
      </c>
      <c r="D1372" s="181" t="s">
        <v>2401</v>
      </c>
      <c r="E1372" s="181" t="s">
        <v>277</v>
      </c>
      <c r="F1372" s="181" t="s">
        <v>278</v>
      </c>
      <c r="G1372" s="181" t="s">
        <v>2715</v>
      </c>
      <c r="H1372" s="181" t="s">
        <v>279</v>
      </c>
      <c r="I1372" s="181" t="s">
        <v>242</v>
      </c>
      <c r="J1372" s="184" t="n">
        <v>42510</v>
      </c>
      <c r="K1372" s="184" t="n">
        <v>15310</v>
      </c>
      <c r="L1372" s="185" t="n">
        <v>3</v>
      </c>
      <c r="M1372" s="173" t="n">
        <v>27200</v>
      </c>
      <c r="N1372" s="184" t="n">
        <v>26384</v>
      </c>
      <c r="O1372" s="184" t="s">
        <v>3145</v>
      </c>
      <c r="P1372" s="187" t="n">
        <v>45964</v>
      </c>
      <c r="Q1372" s="188" t="n">
        <v>0.832291666666667</v>
      </c>
    </row>
    <row r="1373" customFormat="false" ht="35.05" hidden="false" customHeight="false" outlineLevel="0" collapsed="false">
      <c r="A1373" s="181" t="s">
        <v>3146</v>
      </c>
      <c r="B1373" s="182" t="n">
        <v>2905</v>
      </c>
      <c r="C1373" s="183" t="n">
        <v>292</v>
      </c>
      <c r="D1373" s="181" t="s">
        <v>2401</v>
      </c>
      <c r="E1373" s="181" t="s">
        <v>300</v>
      </c>
      <c r="F1373" s="181" t="s">
        <v>301</v>
      </c>
      <c r="G1373" s="181" t="s">
        <v>2715</v>
      </c>
      <c r="H1373" s="181" t="s">
        <v>279</v>
      </c>
      <c r="I1373" s="181" t="s">
        <v>242</v>
      </c>
      <c r="J1373" s="184" t="n">
        <v>65330</v>
      </c>
      <c r="K1373" s="184" t="n">
        <v>21320</v>
      </c>
      <c r="L1373" s="185" t="n">
        <v>4</v>
      </c>
      <c r="M1373" s="173" t="n">
        <v>44010</v>
      </c>
      <c r="N1373" s="184" t="n">
        <v>42249.6</v>
      </c>
      <c r="O1373" s="184" t="s">
        <v>3147</v>
      </c>
      <c r="P1373" s="187" t="n">
        <v>45964</v>
      </c>
      <c r="Q1373" s="188" t="n">
        <v>0.851064814814815</v>
      </c>
    </row>
    <row r="1374" customFormat="false" ht="35.05" hidden="false" customHeight="false" outlineLevel="0" collapsed="false">
      <c r="A1374" s="181" t="s">
        <v>3148</v>
      </c>
      <c r="B1374" s="182" t="n">
        <v>2897</v>
      </c>
      <c r="C1374" s="183" t="n">
        <v>288</v>
      </c>
      <c r="D1374" s="181" t="s">
        <v>2401</v>
      </c>
      <c r="E1374" s="181" t="s">
        <v>350</v>
      </c>
      <c r="F1374" s="181" t="s">
        <v>351</v>
      </c>
      <c r="G1374" s="181" t="s">
        <v>2715</v>
      </c>
      <c r="H1374" s="181" t="s">
        <v>279</v>
      </c>
      <c r="I1374" s="181" t="s">
        <v>242</v>
      </c>
      <c r="J1374" s="184" t="n">
        <v>44190</v>
      </c>
      <c r="K1374" s="184" t="n">
        <v>15230</v>
      </c>
      <c r="L1374" s="185" t="n">
        <v>7</v>
      </c>
      <c r="M1374" s="173" t="n">
        <v>28960</v>
      </c>
      <c r="N1374" s="184" t="n">
        <v>26932.8</v>
      </c>
      <c r="O1374" s="184" t="s">
        <v>3149</v>
      </c>
      <c r="P1374" s="187" t="n">
        <v>45964</v>
      </c>
      <c r="Q1374" s="188" t="n">
        <v>0.8734375</v>
      </c>
    </row>
    <row r="1375" customFormat="false" ht="35.05" hidden="false" customHeight="false" outlineLevel="0" collapsed="false">
      <c r="A1375" s="181" t="s">
        <v>3150</v>
      </c>
      <c r="B1375" s="182" t="n">
        <v>2907</v>
      </c>
      <c r="C1375" s="183" t="n">
        <v>296</v>
      </c>
      <c r="D1375" s="181" t="s">
        <v>2401</v>
      </c>
      <c r="E1375" s="181" t="s">
        <v>383</v>
      </c>
      <c r="F1375" s="181" t="s">
        <v>384</v>
      </c>
      <c r="G1375" s="181" t="s">
        <v>2715</v>
      </c>
      <c r="H1375" s="181" t="s">
        <v>279</v>
      </c>
      <c r="I1375" s="181" t="s">
        <v>242</v>
      </c>
      <c r="J1375" s="184" t="n">
        <v>43790</v>
      </c>
      <c r="K1375" s="184" t="n">
        <v>15130</v>
      </c>
      <c r="L1375" s="185" t="n">
        <v>6</v>
      </c>
      <c r="M1375" s="173" t="n">
        <v>28660</v>
      </c>
      <c r="N1375" s="184" t="n">
        <v>26940.4</v>
      </c>
      <c r="O1375" s="184" t="s">
        <v>3151</v>
      </c>
      <c r="P1375" s="187" t="n">
        <v>45964</v>
      </c>
      <c r="Q1375" s="188" t="n">
        <v>0.878229166666667</v>
      </c>
    </row>
    <row r="1376" customFormat="false" ht="35.05" hidden="false" customHeight="false" outlineLevel="0" collapsed="false">
      <c r="A1376" s="181" t="s">
        <v>3152</v>
      </c>
      <c r="B1376" s="182" t="n">
        <v>2898</v>
      </c>
      <c r="C1376" s="183" t="n">
        <v>290</v>
      </c>
      <c r="D1376" s="181" t="s">
        <v>2401</v>
      </c>
      <c r="E1376" s="181" t="s">
        <v>387</v>
      </c>
      <c r="F1376" s="181" t="s">
        <v>388</v>
      </c>
      <c r="G1376" s="181" t="s">
        <v>2715</v>
      </c>
      <c r="H1376" s="181" t="s">
        <v>279</v>
      </c>
      <c r="I1376" s="181" t="s">
        <v>242</v>
      </c>
      <c r="J1376" s="184" t="n">
        <v>45140</v>
      </c>
      <c r="K1376" s="184" t="n">
        <v>15240</v>
      </c>
      <c r="L1376" s="185" t="n">
        <v>13</v>
      </c>
      <c r="M1376" s="173" t="n">
        <v>29900</v>
      </c>
      <c r="N1376" s="184" t="n">
        <v>26013</v>
      </c>
      <c r="O1376" s="184" t="s">
        <v>3153</v>
      </c>
      <c r="P1376" s="187" t="n">
        <v>45964</v>
      </c>
      <c r="Q1376" s="188" t="n">
        <v>0.925543981481482</v>
      </c>
    </row>
    <row r="1377" customFormat="false" ht="35.05" hidden="false" customHeight="false" outlineLevel="0" collapsed="false">
      <c r="A1377" s="181" t="s">
        <v>3154</v>
      </c>
      <c r="B1377" s="182" t="n">
        <v>2908</v>
      </c>
      <c r="C1377" s="183" t="n">
        <v>298</v>
      </c>
      <c r="D1377" s="181" t="s">
        <v>2401</v>
      </c>
      <c r="E1377" s="181" t="s">
        <v>533</v>
      </c>
      <c r="F1377" s="181" t="s">
        <v>534</v>
      </c>
      <c r="G1377" s="181" t="s">
        <v>2715</v>
      </c>
      <c r="H1377" s="181" t="s">
        <v>279</v>
      </c>
      <c r="I1377" s="181" t="s">
        <v>242</v>
      </c>
      <c r="J1377" s="184" t="n">
        <v>39290</v>
      </c>
      <c r="K1377" s="184" t="n">
        <v>14810</v>
      </c>
      <c r="L1377" s="185" t="n">
        <v>6</v>
      </c>
      <c r="M1377" s="173" t="n">
        <v>24480</v>
      </c>
      <c r="N1377" s="184" t="n">
        <v>23011.2</v>
      </c>
      <c r="O1377" s="184" t="s">
        <v>3155</v>
      </c>
      <c r="P1377" s="187" t="n">
        <v>45964</v>
      </c>
      <c r="Q1377" s="188" t="n">
        <v>0.926863425925926</v>
      </c>
    </row>
    <row r="1378" customFormat="false" ht="35.05" hidden="false" customHeight="false" outlineLevel="0" collapsed="false">
      <c r="A1378" s="181" t="s">
        <v>3156</v>
      </c>
      <c r="B1378" s="182" t="n">
        <v>2909</v>
      </c>
      <c r="C1378" s="183" t="n">
        <v>297</v>
      </c>
      <c r="D1378" s="181" t="s">
        <v>2401</v>
      </c>
      <c r="E1378" s="181" t="s">
        <v>549</v>
      </c>
      <c r="F1378" s="181" t="s">
        <v>550</v>
      </c>
      <c r="G1378" s="181" t="s">
        <v>2715</v>
      </c>
      <c r="H1378" s="181" t="s">
        <v>279</v>
      </c>
      <c r="I1378" s="181" t="s">
        <v>242</v>
      </c>
      <c r="J1378" s="184" t="n">
        <v>43960</v>
      </c>
      <c r="K1378" s="184" t="n">
        <v>15890</v>
      </c>
      <c r="L1378" s="185" t="n">
        <v>11</v>
      </c>
      <c r="M1378" s="173" t="n">
        <v>28070</v>
      </c>
      <c r="N1378" s="184" t="n">
        <v>24982.3</v>
      </c>
      <c r="O1378" s="184" t="s">
        <v>3157</v>
      </c>
      <c r="P1378" s="187" t="n">
        <v>45964</v>
      </c>
      <c r="Q1378" s="188" t="n">
        <v>0.952453703703704</v>
      </c>
    </row>
    <row r="1379" customFormat="false" ht="35.05" hidden="false" customHeight="false" outlineLevel="0" collapsed="false">
      <c r="A1379" s="181" t="s">
        <v>3158</v>
      </c>
      <c r="B1379" s="182" t="n">
        <v>2899</v>
      </c>
      <c r="C1379" s="183" t="n">
        <v>289</v>
      </c>
      <c r="D1379" s="181" t="s">
        <v>2401</v>
      </c>
      <c r="E1379" s="181" t="s">
        <v>292</v>
      </c>
      <c r="F1379" s="181" t="s">
        <v>293</v>
      </c>
      <c r="G1379" s="181" t="s">
        <v>2715</v>
      </c>
      <c r="H1379" s="181" t="s">
        <v>279</v>
      </c>
      <c r="I1379" s="181" t="s">
        <v>242</v>
      </c>
      <c r="J1379" s="184" t="n">
        <v>37060</v>
      </c>
      <c r="K1379" s="184" t="n">
        <v>13940</v>
      </c>
      <c r="L1379" s="185" t="n">
        <v>14</v>
      </c>
      <c r="M1379" s="173" t="n">
        <v>23120</v>
      </c>
      <c r="N1379" s="184" t="n">
        <v>19883.2</v>
      </c>
      <c r="O1379" s="184" t="s">
        <v>3159</v>
      </c>
      <c r="P1379" s="187" t="n">
        <v>45964</v>
      </c>
      <c r="Q1379" s="188" t="n">
        <v>0.963425925925926</v>
      </c>
    </row>
    <row r="1380" customFormat="false" ht="35.05" hidden="false" customHeight="false" outlineLevel="0" collapsed="false">
      <c r="A1380" s="181" t="s">
        <v>3160</v>
      </c>
      <c r="B1380" s="182" t="n">
        <v>2910</v>
      </c>
      <c r="C1380" s="183" t="n">
        <v>299</v>
      </c>
      <c r="D1380" s="181" t="s">
        <v>2401</v>
      </c>
      <c r="E1380" s="181" t="s">
        <v>391</v>
      </c>
      <c r="F1380" s="181" t="s">
        <v>392</v>
      </c>
      <c r="G1380" s="181" t="s">
        <v>2715</v>
      </c>
      <c r="H1380" s="181" t="s">
        <v>279</v>
      </c>
      <c r="I1380" s="181" t="s">
        <v>242</v>
      </c>
      <c r="J1380" s="184" t="n">
        <v>36130</v>
      </c>
      <c r="K1380" s="184" t="n">
        <v>14640</v>
      </c>
      <c r="L1380" s="185" t="n">
        <v>14</v>
      </c>
      <c r="M1380" s="173" t="n">
        <v>21490</v>
      </c>
      <c r="N1380" s="184" t="n">
        <v>18481.4</v>
      </c>
      <c r="O1380" s="184" t="s">
        <v>3161</v>
      </c>
      <c r="P1380" s="187" t="n">
        <v>45964</v>
      </c>
      <c r="Q1380" s="188" t="n">
        <v>0.9709375</v>
      </c>
    </row>
    <row r="1381" customFormat="false" ht="35.05" hidden="false" customHeight="false" outlineLevel="0" collapsed="false">
      <c r="A1381" s="181" t="s">
        <v>3162</v>
      </c>
      <c r="B1381" s="182" t="n">
        <v>2921</v>
      </c>
      <c r="C1381" s="183" t="n">
        <v>305</v>
      </c>
      <c r="D1381" s="181" t="s">
        <v>2401</v>
      </c>
      <c r="E1381" s="181" t="s">
        <v>399</v>
      </c>
      <c r="F1381" s="181" t="s">
        <v>400</v>
      </c>
      <c r="G1381" s="181" t="s">
        <v>2715</v>
      </c>
      <c r="H1381" s="181" t="s">
        <v>279</v>
      </c>
      <c r="I1381" s="181" t="s">
        <v>242</v>
      </c>
      <c r="J1381" s="184" t="n">
        <v>54770</v>
      </c>
      <c r="K1381" s="184" t="n">
        <v>19680</v>
      </c>
      <c r="L1381" s="185" t="n">
        <v>17</v>
      </c>
      <c r="M1381" s="173" t="n">
        <v>35090</v>
      </c>
      <c r="N1381" s="184" t="n">
        <v>29124.7</v>
      </c>
      <c r="O1381" s="184" t="s">
        <v>3163</v>
      </c>
      <c r="P1381" s="187" t="n">
        <v>45965</v>
      </c>
      <c r="Q1381" s="188" t="n">
        <v>0.566678240740741</v>
      </c>
    </row>
    <row r="1382" customFormat="false" ht="35.05" hidden="false" customHeight="false" outlineLevel="0" collapsed="false">
      <c r="A1382" s="181" t="s">
        <v>3164</v>
      </c>
      <c r="B1382" s="182" t="n">
        <v>2922</v>
      </c>
      <c r="C1382" s="183" t="n">
        <v>309</v>
      </c>
      <c r="D1382" s="181" t="s">
        <v>2401</v>
      </c>
      <c r="E1382" s="181" t="s">
        <v>541</v>
      </c>
      <c r="F1382" s="181" t="s">
        <v>542</v>
      </c>
      <c r="G1382" s="181" t="s">
        <v>2715</v>
      </c>
      <c r="H1382" s="181" t="s">
        <v>279</v>
      </c>
      <c r="I1382" s="181" t="s">
        <v>242</v>
      </c>
      <c r="J1382" s="184" t="n">
        <v>41000</v>
      </c>
      <c r="K1382" s="184" t="n">
        <v>15130</v>
      </c>
      <c r="L1382" s="185" t="n">
        <v>4</v>
      </c>
      <c r="M1382" s="173" t="n">
        <v>25870</v>
      </c>
      <c r="N1382" s="184" t="n">
        <v>24835.2</v>
      </c>
      <c r="O1382" s="184" t="s">
        <v>3165</v>
      </c>
      <c r="P1382" s="187" t="n">
        <v>45965</v>
      </c>
      <c r="Q1382" s="188" t="n">
        <v>0.590347222222222</v>
      </c>
    </row>
    <row r="1383" customFormat="false" ht="35.05" hidden="false" customHeight="false" outlineLevel="0" collapsed="false">
      <c r="A1383" s="181" t="s">
        <v>3166</v>
      </c>
      <c r="B1383" s="182" t="n">
        <v>2911</v>
      </c>
      <c r="C1383" s="183" t="n">
        <v>301</v>
      </c>
      <c r="D1383" s="181" t="s">
        <v>2401</v>
      </c>
      <c r="E1383" s="181" t="s">
        <v>282</v>
      </c>
      <c r="F1383" s="181" t="s">
        <v>283</v>
      </c>
      <c r="G1383" s="181" t="s">
        <v>2715</v>
      </c>
      <c r="H1383" s="181" t="s">
        <v>279</v>
      </c>
      <c r="I1383" s="181" t="s">
        <v>242</v>
      </c>
      <c r="J1383" s="184" t="n">
        <v>41260</v>
      </c>
      <c r="K1383" s="184" t="n">
        <v>15220</v>
      </c>
      <c r="L1383" s="185" t="n">
        <v>9</v>
      </c>
      <c r="M1383" s="173" t="n">
        <v>26040</v>
      </c>
      <c r="N1383" s="184" t="n">
        <v>23696.4</v>
      </c>
      <c r="O1383" s="184" t="s">
        <v>3167</v>
      </c>
      <c r="P1383" s="187" t="n">
        <v>45965</v>
      </c>
      <c r="Q1383" s="188" t="n">
        <v>0.633842592592593</v>
      </c>
    </row>
    <row r="1384" customFormat="false" ht="35.05" hidden="false" customHeight="false" outlineLevel="0" collapsed="false">
      <c r="A1384" s="181" t="s">
        <v>3168</v>
      </c>
      <c r="B1384" s="182" t="n">
        <v>2913</v>
      </c>
      <c r="C1384" s="183" t="n">
        <v>302</v>
      </c>
      <c r="D1384" s="181" t="s">
        <v>2401</v>
      </c>
      <c r="E1384" s="181" t="s">
        <v>537</v>
      </c>
      <c r="F1384" s="181" t="s">
        <v>538</v>
      </c>
      <c r="G1384" s="181" t="s">
        <v>2715</v>
      </c>
      <c r="H1384" s="181" t="s">
        <v>279</v>
      </c>
      <c r="I1384" s="181" t="s">
        <v>242</v>
      </c>
      <c r="J1384" s="184" t="n">
        <v>36730</v>
      </c>
      <c r="K1384" s="184" t="n">
        <v>13980</v>
      </c>
      <c r="L1384" s="185" t="n">
        <v>17</v>
      </c>
      <c r="M1384" s="173" t="n">
        <v>22750</v>
      </c>
      <c r="N1384" s="184" t="n">
        <v>18882.5</v>
      </c>
      <c r="O1384" s="184" t="s">
        <v>3169</v>
      </c>
      <c r="P1384" s="187" t="n">
        <v>45965</v>
      </c>
      <c r="Q1384" s="188" t="n">
        <v>0.681689814814815</v>
      </c>
    </row>
    <row r="1385" customFormat="false" ht="35.05" hidden="false" customHeight="false" outlineLevel="0" collapsed="false">
      <c r="A1385" s="181" t="s">
        <v>3170</v>
      </c>
      <c r="B1385" s="182" t="n">
        <v>2923</v>
      </c>
      <c r="C1385" s="183" t="n">
        <v>311</v>
      </c>
      <c r="D1385" s="181" t="s">
        <v>2401</v>
      </c>
      <c r="E1385" s="181" t="s">
        <v>332</v>
      </c>
      <c r="F1385" s="181" t="s">
        <v>333</v>
      </c>
      <c r="G1385" s="181" t="s">
        <v>2715</v>
      </c>
      <c r="H1385" s="181" t="s">
        <v>279</v>
      </c>
      <c r="I1385" s="181" t="s">
        <v>242</v>
      </c>
      <c r="J1385" s="184" t="n">
        <v>40350</v>
      </c>
      <c r="K1385" s="184" t="n">
        <v>14940</v>
      </c>
      <c r="L1385" s="185" t="n">
        <v>11</v>
      </c>
      <c r="M1385" s="173" t="n">
        <v>25410</v>
      </c>
      <c r="N1385" s="184" t="n">
        <v>22614.9</v>
      </c>
      <c r="O1385" s="184" t="s">
        <v>3171</v>
      </c>
      <c r="P1385" s="187" t="n">
        <v>45965</v>
      </c>
      <c r="Q1385" s="188" t="n">
        <v>0.687673611111111</v>
      </c>
    </row>
    <row r="1386" customFormat="false" ht="35.05" hidden="false" customHeight="false" outlineLevel="0" collapsed="false">
      <c r="A1386" s="181" t="s">
        <v>3172</v>
      </c>
      <c r="B1386" s="182" t="n">
        <v>2914</v>
      </c>
      <c r="C1386" s="183" t="n">
        <v>303</v>
      </c>
      <c r="D1386" s="181" t="s">
        <v>2401</v>
      </c>
      <c r="E1386" s="181" t="s">
        <v>354</v>
      </c>
      <c r="F1386" s="181" t="s">
        <v>355</v>
      </c>
      <c r="G1386" s="181" t="s">
        <v>2715</v>
      </c>
      <c r="H1386" s="181" t="s">
        <v>279</v>
      </c>
      <c r="I1386" s="181" t="s">
        <v>242</v>
      </c>
      <c r="J1386" s="184" t="n">
        <v>39450</v>
      </c>
      <c r="K1386" s="184" t="n">
        <v>14860</v>
      </c>
      <c r="L1386" s="185" t="n">
        <v>6</v>
      </c>
      <c r="M1386" s="173" t="n">
        <v>24590</v>
      </c>
      <c r="N1386" s="184" t="n">
        <v>23114.6</v>
      </c>
      <c r="O1386" s="184" t="s">
        <v>3173</v>
      </c>
      <c r="P1386" s="187" t="n">
        <v>45965</v>
      </c>
      <c r="Q1386" s="188" t="n">
        <v>0.697106481481482</v>
      </c>
    </row>
    <row r="1387" customFormat="false" ht="35.05" hidden="false" customHeight="false" outlineLevel="0" collapsed="false">
      <c r="A1387" s="181" t="s">
        <v>3174</v>
      </c>
      <c r="B1387" s="182" t="n">
        <v>2924</v>
      </c>
      <c r="C1387" s="183" t="n">
        <v>310</v>
      </c>
      <c r="D1387" s="181" t="s">
        <v>2401</v>
      </c>
      <c r="E1387" s="181" t="s">
        <v>2351</v>
      </c>
      <c r="F1387" s="181" t="s">
        <v>2352</v>
      </c>
      <c r="G1387" s="181" t="s">
        <v>2715</v>
      </c>
      <c r="H1387" s="181" t="s">
        <v>279</v>
      </c>
      <c r="I1387" s="181" t="s">
        <v>242</v>
      </c>
      <c r="J1387" s="184" t="n">
        <v>48070</v>
      </c>
      <c r="K1387" s="184" t="n">
        <v>17560</v>
      </c>
      <c r="L1387" s="185" t="n">
        <v>16</v>
      </c>
      <c r="M1387" s="173" t="n">
        <v>30510</v>
      </c>
      <c r="N1387" s="184" t="n">
        <v>25628.4</v>
      </c>
      <c r="O1387" s="184" t="s">
        <v>3175</v>
      </c>
      <c r="P1387" s="187" t="n">
        <v>45965</v>
      </c>
      <c r="Q1387" s="188" t="n">
        <v>0.734293981481482</v>
      </c>
    </row>
    <row r="1388" customFormat="false" ht="35.05" hidden="false" customHeight="false" outlineLevel="0" collapsed="false">
      <c r="A1388" s="181" t="s">
        <v>3176</v>
      </c>
      <c r="B1388" s="182" t="n">
        <v>2915</v>
      </c>
      <c r="C1388" s="183" t="n">
        <v>300</v>
      </c>
      <c r="D1388" s="181" t="s">
        <v>2401</v>
      </c>
      <c r="E1388" s="181" t="s">
        <v>409</v>
      </c>
      <c r="F1388" s="181" t="s">
        <v>410</v>
      </c>
      <c r="G1388" s="181" t="s">
        <v>2715</v>
      </c>
      <c r="H1388" s="181" t="s">
        <v>279</v>
      </c>
      <c r="I1388" s="181" t="s">
        <v>242</v>
      </c>
      <c r="J1388" s="184" t="n">
        <v>68020</v>
      </c>
      <c r="K1388" s="184" t="n">
        <v>24790</v>
      </c>
      <c r="L1388" s="185" t="n">
        <v>10</v>
      </c>
      <c r="M1388" s="173" t="n">
        <v>43230</v>
      </c>
      <c r="N1388" s="184" t="n">
        <v>38907</v>
      </c>
      <c r="O1388" s="184" t="s">
        <v>3177</v>
      </c>
      <c r="P1388" s="187" t="n">
        <v>45965</v>
      </c>
      <c r="Q1388" s="188" t="n">
        <v>0.784282407407407</v>
      </c>
    </row>
    <row r="1389" customFormat="false" ht="35.05" hidden="false" customHeight="false" outlineLevel="0" collapsed="false">
      <c r="A1389" s="181" t="s">
        <v>3178</v>
      </c>
      <c r="B1389" s="182" t="n">
        <v>2916</v>
      </c>
      <c r="C1389" s="183" t="n">
        <v>304</v>
      </c>
      <c r="D1389" s="181" t="s">
        <v>2401</v>
      </c>
      <c r="E1389" s="181" t="s">
        <v>359</v>
      </c>
      <c r="F1389" s="181" t="s">
        <v>360</v>
      </c>
      <c r="G1389" s="181" t="s">
        <v>2715</v>
      </c>
      <c r="H1389" s="181" t="s">
        <v>279</v>
      </c>
      <c r="I1389" s="181" t="s">
        <v>242</v>
      </c>
      <c r="J1389" s="184" t="n">
        <v>39940</v>
      </c>
      <c r="K1389" s="184" t="n">
        <v>15110</v>
      </c>
      <c r="L1389" s="185" t="n">
        <v>13</v>
      </c>
      <c r="M1389" s="173" t="n">
        <v>24830</v>
      </c>
      <c r="N1389" s="184" t="n">
        <v>21602.1</v>
      </c>
      <c r="O1389" s="184" t="s">
        <v>3179</v>
      </c>
      <c r="P1389" s="187" t="n">
        <v>45965</v>
      </c>
      <c r="Q1389" s="188" t="n">
        <v>0.804571759259259</v>
      </c>
    </row>
    <row r="1390" customFormat="false" ht="35.05" hidden="false" customHeight="false" outlineLevel="0" collapsed="false">
      <c r="A1390" s="181" t="s">
        <v>3180</v>
      </c>
      <c r="B1390" s="182" t="n">
        <v>2926</v>
      </c>
      <c r="C1390" s="183" t="n">
        <v>312</v>
      </c>
      <c r="D1390" s="181" t="s">
        <v>2401</v>
      </c>
      <c r="E1390" s="181" t="s">
        <v>266</v>
      </c>
      <c r="F1390" s="181" t="s">
        <v>267</v>
      </c>
      <c r="G1390" s="181" t="s">
        <v>2715</v>
      </c>
      <c r="H1390" s="181" t="s">
        <v>279</v>
      </c>
      <c r="I1390" s="181" t="s">
        <v>242</v>
      </c>
      <c r="J1390" s="184" t="n">
        <v>41640</v>
      </c>
      <c r="K1390" s="184" t="n">
        <v>15140</v>
      </c>
      <c r="L1390" s="185" t="n">
        <v>11</v>
      </c>
      <c r="M1390" s="173" t="n">
        <v>26500</v>
      </c>
      <c r="N1390" s="184" t="n">
        <v>23585</v>
      </c>
      <c r="O1390" s="184" t="s">
        <v>3181</v>
      </c>
      <c r="P1390" s="187" t="n">
        <v>45965</v>
      </c>
      <c r="Q1390" s="188" t="n">
        <v>0.814895833333333</v>
      </c>
    </row>
    <row r="1391" customFormat="false" ht="35.05" hidden="false" customHeight="false" outlineLevel="0" collapsed="false">
      <c r="A1391" s="181" t="s">
        <v>3182</v>
      </c>
      <c r="B1391" s="182" t="n">
        <v>2917</v>
      </c>
      <c r="C1391" s="183" t="n">
        <v>306</v>
      </c>
      <c r="D1391" s="181" t="s">
        <v>2401</v>
      </c>
      <c r="E1391" s="181" t="s">
        <v>545</v>
      </c>
      <c r="F1391" s="181" t="s">
        <v>546</v>
      </c>
      <c r="G1391" s="181" t="s">
        <v>2715</v>
      </c>
      <c r="H1391" s="181" t="s">
        <v>279</v>
      </c>
      <c r="I1391" s="181" t="s">
        <v>242</v>
      </c>
      <c r="J1391" s="184" t="n">
        <v>43260</v>
      </c>
      <c r="K1391" s="184" t="n">
        <v>16300</v>
      </c>
      <c r="L1391" s="185" t="n">
        <v>8</v>
      </c>
      <c r="M1391" s="173" t="n">
        <v>26960</v>
      </c>
      <c r="N1391" s="184" t="n">
        <v>24803.2</v>
      </c>
      <c r="O1391" s="184" t="s">
        <v>3183</v>
      </c>
      <c r="P1391" s="187" t="n">
        <v>45965</v>
      </c>
      <c r="Q1391" s="188" t="n">
        <v>0.901412037037037</v>
      </c>
    </row>
    <row r="1392" customFormat="false" ht="35.05" hidden="false" customHeight="false" outlineLevel="0" collapsed="false">
      <c r="A1392" s="181" t="s">
        <v>3184</v>
      </c>
      <c r="B1392" s="182" t="n">
        <v>2918</v>
      </c>
      <c r="C1392" s="183" t="n">
        <v>307</v>
      </c>
      <c r="D1392" s="181" t="s">
        <v>2401</v>
      </c>
      <c r="E1392" s="181" t="s">
        <v>576</v>
      </c>
      <c r="F1392" s="181" t="s">
        <v>577</v>
      </c>
      <c r="G1392" s="181" t="s">
        <v>2715</v>
      </c>
      <c r="H1392" s="181" t="s">
        <v>279</v>
      </c>
      <c r="I1392" s="181" t="s">
        <v>242</v>
      </c>
      <c r="J1392" s="184" t="n">
        <v>39590</v>
      </c>
      <c r="K1392" s="184" t="n">
        <v>14580</v>
      </c>
      <c r="L1392" s="185" t="n">
        <v>14</v>
      </c>
      <c r="M1392" s="173" t="n">
        <v>25010</v>
      </c>
      <c r="N1392" s="184" t="n">
        <v>21508.6</v>
      </c>
      <c r="O1392" s="184" t="s">
        <v>3185</v>
      </c>
      <c r="P1392" s="187" t="n">
        <v>45965</v>
      </c>
      <c r="Q1392" s="188" t="n">
        <v>0.987962962962963</v>
      </c>
    </row>
    <row r="1393" customFormat="false" ht="35.05" hidden="false" customHeight="false" outlineLevel="0" collapsed="false">
      <c r="A1393" s="181" t="s">
        <v>3186</v>
      </c>
      <c r="B1393" s="182" t="n">
        <v>2927</v>
      </c>
      <c r="C1393" s="183" t="n">
        <v>314</v>
      </c>
      <c r="D1393" s="181" t="s">
        <v>2401</v>
      </c>
      <c r="E1393" s="181" t="s">
        <v>1027</v>
      </c>
      <c r="F1393" s="181" t="s">
        <v>1028</v>
      </c>
      <c r="G1393" s="181" t="s">
        <v>2715</v>
      </c>
      <c r="H1393" s="181" t="s">
        <v>279</v>
      </c>
      <c r="I1393" s="181" t="s">
        <v>242</v>
      </c>
      <c r="J1393" s="184" t="n">
        <v>40160</v>
      </c>
      <c r="K1393" s="184" t="n">
        <v>14810</v>
      </c>
      <c r="L1393" s="185" t="n">
        <v>4</v>
      </c>
      <c r="M1393" s="173" t="n">
        <v>25350</v>
      </c>
      <c r="N1393" s="184" t="n">
        <v>24336</v>
      </c>
      <c r="O1393" s="184" t="s">
        <v>3187</v>
      </c>
      <c r="P1393" s="187" t="n">
        <v>45965</v>
      </c>
      <c r="Q1393" s="188" t="n">
        <v>0.846168981481482</v>
      </c>
    </row>
    <row r="1394" customFormat="false" ht="35.05" hidden="false" customHeight="false" outlineLevel="0" collapsed="false">
      <c r="A1394" s="181" t="s">
        <v>3188</v>
      </c>
      <c r="B1394" s="182" t="n">
        <v>2928</v>
      </c>
      <c r="C1394" s="183" t="n">
        <v>313</v>
      </c>
      <c r="D1394" s="181" t="s">
        <v>2401</v>
      </c>
      <c r="E1394" s="181" t="s">
        <v>1019</v>
      </c>
      <c r="F1394" s="181" t="s">
        <v>1020</v>
      </c>
      <c r="G1394" s="181" t="s">
        <v>2715</v>
      </c>
      <c r="H1394" s="181" t="s">
        <v>279</v>
      </c>
      <c r="I1394" s="181" t="s">
        <v>242</v>
      </c>
      <c r="J1394" s="184" t="n">
        <v>46470</v>
      </c>
      <c r="K1394" s="184" t="n">
        <v>16990</v>
      </c>
      <c r="L1394" s="185" t="n">
        <v>8</v>
      </c>
      <c r="M1394" s="173" t="n">
        <v>29480</v>
      </c>
      <c r="N1394" s="184" t="n">
        <v>27121.6</v>
      </c>
      <c r="O1394" s="184" t="s">
        <v>3189</v>
      </c>
      <c r="P1394" s="187" t="n">
        <v>45965</v>
      </c>
      <c r="Q1394" s="188" t="n">
        <v>0.849259259259259</v>
      </c>
    </row>
    <row r="1395" customFormat="false" ht="35.05" hidden="false" customHeight="false" outlineLevel="0" collapsed="false">
      <c r="A1395" s="181" t="s">
        <v>3190</v>
      </c>
      <c r="B1395" s="182" t="n">
        <v>2919</v>
      </c>
      <c r="C1395" s="183" t="n">
        <v>308</v>
      </c>
      <c r="D1395" s="181" t="s">
        <v>2401</v>
      </c>
      <c r="E1395" s="181" t="s">
        <v>261</v>
      </c>
      <c r="F1395" s="181" t="s">
        <v>262</v>
      </c>
      <c r="G1395" s="181" t="s">
        <v>2715</v>
      </c>
      <c r="H1395" s="181" t="s">
        <v>279</v>
      </c>
      <c r="I1395" s="181" t="s">
        <v>242</v>
      </c>
      <c r="J1395" s="184" t="n">
        <v>40280</v>
      </c>
      <c r="K1395" s="184" t="n">
        <v>15270</v>
      </c>
      <c r="L1395" s="185" t="n">
        <v>10</v>
      </c>
      <c r="M1395" s="173" t="n">
        <v>25010</v>
      </c>
      <c r="N1395" s="184" t="n">
        <v>22509</v>
      </c>
      <c r="O1395" s="184" t="s">
        <v>3191</v>
      </c>
      <c r="P1395" s="187" t="n">
        <v>45965</v>
      </c>
      <c r="Q1395" s="188" t="n">
        <v>0.990300925925926</v>
      </c>
    </row>
    <row r="1396" customFormat="false" ht="46.25" hidden="false" customHeight="false" outlineLevel="0" collapsed="false">
      <c r="A1396" s="181" t="s">
        <v>3192</v>
      </c>
      <c r="B1396" s="182" t="n">
        <v>2929</v>
      </c>
      <c r="C1396" s="183" t="n">
        <v>8319</v>
      </c>
      <c r="D1396" s="181" t="s">
        <v>2066</v>
      </c>
      <c r="E1396" s="181" t="s">
        <v>277</v>
      </c>
      <c r="F1396" s="181" t="s">
        <v>278</v>
      </c>
      <c r="G1396" s="181" t="s">
        <v>2067</v>
      </c>
      <c r="H1396" s="181" t="s">
        <v>158</v>
      </c>
      <c r="I1396" s="181" t="s">
        <v>241</v>
      </c>
      <c r="J1396" s="184" t="n">
        <v>43270</v>
      </c>
      <c r="K1396" s="184" t="n">
        <v>15200</v>
      </c>
      <c r="L1396" s="185" t="n">
        <v>22</v>
      </c>
      <c r="M1396" s="173" t="n">
        <v>28070</v>
      </c>
      <c r="N1396" s="184" t="n">
        <v>21894.6</v>
      </c>
      <c r="O1396" s="184" t="s">
        <v>3193</v>
      </c>
      <c r="P1396" s="187" t="n">
        <v>45966</v>
      </c>
      <c r="Q1396" s="188" t="n">
        <v>0.468877314814815</v>
      </c>
    </row>
    <row r="1397" customFormat="false" ht="46.25" hidden="false" customHeight="false" outlineLevel="0" collapsed="false">
      <c r="A1397" s="181" t="s">
        <v>3194</v>
      </c>
      <c r="B1397" s="182" t="n">
        <v>2930</v>
      </c>
      <c r="C1397" s="183" t="n">
        <v>8320</v>
      </c>
      <c r="D1397" s="181" t="s">
        <v>2066</v>
      </c>
      <c r="E1397" s="181" t="s">
        <v>350</v>
      </c>
      <c r="F1397" s="181" t="s">
        <v>351</v>
      </c>
      <c r="G1397" s="181" t="s">
        <v>2067</v>
      </c>
      <c r="H1397" s="181" t="s">
        <v>158</v>
      </c>
      <c r="I1397" s="181" t="s">
        <v>241</v>
      </c>
      <c r="J1397" s="184" t="n">
        <v>45580</v>
      </c>
      <c r="K1397" s="184" t="n">
        <v>15080</v>
      </c>
      <c r="L1397" s="185" t="n">
        <v>14</v>
      </c>
      <c r="M1397" s="173" t="n">
        <v>30500</v>
      </c>
      <c r="N1397" s="184" t="n">
        <v>26230</v>
      </c>
      <c r="O1397" s="184" t="s">
        <v>3195</v>
      </c>
      <c r="P1397" s="187" t="n">
        <v>45966</v>
      </c>
      <c r="Q1397" s="188" t="n">
        <v>0.490497685185185</v>
      </c>
    </row>
    <row r="1398" customFormat="false" ht="46.25" hidden="false" customHeight="false" outlineLevel="0" collapsed="false">
      <c r="A1398" s="181" t="s">
        <v>3196</v>
      </c>
      <c r="B1398" s="182" t="n">
        <v>2947</v>
      </c>
      <c r="C1398" s="183" t="n">
        <v>8327</v>
      </c>
      <c r="D1398" s="181" t="s">
        <v>2066</v>
      </c>
      <c r="E1398" s="181" t="s">
        <v>383</v>
      </c>
      <c r="F1398" s="181" t="s">
        <v>384</v>
      </c>
      <c r="G1398" s="181" t="s">
        <v>2067</v>
      </c>
      <c r="H1398" s="181" t="s">
        <v>158</v>
      </c>
      <c r="I1398" s="181" t="s">
        <v>241</v>
      </c>
      <c r="J1398" s="184" t="n">
        <v>42180</v>
      </c>
      <c r="K1398" s="184" t="n">
        <v>14980</v>
      </c>
      <c r="L1398" s="185" t="n">
        <v>24</v>
      </c>
      <c r="M1398" s="173" t="n">
        <v>27200</v>
      </c>
      <c r="N1398" s="184" t="n">
        <v>20672</v>
      </c>
      <c r="O1398" s="184" t="s">
        <v>3197</v>
      </c>
      <c r="P1398" s="187" t="n">
        <v>45966</v>
      </c>
      <c r="Q1398" s="188" t="n">
        <v>0.687685185185185</v>
      </c>
    </row>
    <row r="1399" customFormat="false" ht="46.25" hidden="false" customHeight="false" outlineLevel="0" collapsed="false">
      <c r="A1399" s="181" t="s">
        <v>3198</v>
      </c>
      <c r="B1399" s="182" t="n">
        <v>2948</v>
      </c>
      <c r="C1399" s="183" t="n">
        <v>8328</v>
      </c>
      <c r="D1399" s="181" t="s">
        <v>2066</v>
      </c>
      <c r="E1399" s="181" t="s">
        <v>387</v>
      </c>
      <c r="F1399" s="181" t="s">
        <v>388</v>
      </c>
      <c r="G1399" s="181" t="s">
        <v>2067</v>
      </c>
      <c r="H1399" s="181" t="s">
        <v>158</v>
      </c>
      <c r="I1399" s="181" t="s">
        <v>241</v>
      </c>
      <c r="J1399" s="184" t="n">
        <v>46070</v>
      </c>
      <c r="K1399" s="184" t="n">
        <v>15250</v>
      </c>
      <c r="L1399" s="185" t="n">
        <v>27</v>
      </c>
      <c r="M1399" s="173" t="n">
        <v>30820</v>
      </c>
      <c r="N1399" s="184" t="n">
        <v>22498.6</v>
      </c>
      <c r="O1399" s="184" t="s">
        <v>3199</v>
      </c>
      <c r="P1399" s="187" t="n">
        <v>45966</v>
      </c>
      <c r="Q1399" s="188" t="n">
        <v>0.692604166666667</v>
      </c>
    </row>
    <row r="1400" customFormat="false" ht="46.25" hidden="false" customHeight="false" outlineLevel="0" collapsed="false">
      <c r="A1400" s="181" t="s">
        <v>3200</v>
      </c>
      <c r="B1400" s="182" t="n">
        <v>2931</v>
      </c>
      <c r="C1400" s="183" t="n">
        <v>8322</v>
      </c>
      <c r="D1400" s="181" t="s">
        <v>2066</v>
      </c>
      <c r="E1400" s="181" t="s">
        <v>292</v>
      </c>
      <c r="F1400" s="181" t="s">
        <v>293</v>
      </c>
      <c r="G1400" s="181" t="s">
        <v>2067</v>
      </c>
      <c r="H1400" s="181" t="s">
        <v>158</v>
      </c>
      <c r="I1400" s="181" t="s">
        <v>241</v>
      </c>
      <c r="J1400" s="184" t="n">
        <v>37080</v>
      </c>
      <c r="K1400" s="184" t="n">
        <v>13930</v>
      </c>
      <c r="L1400" s="185" t="n">
        <v>20</v>
      </c>
      <c r="M1400" s="173" t="n">
        <v>23150</v>
      </c>
      <c r="N1400" s="184" t="n">
        <v>18520</v>
      </c>
      <c r="O1400" s="184" t="s">
        <v>3201</v>
      </c>
      <c r="P1400" s="187" t="n">
        <v>45966</v>
      </c>
      <c r="Q1400" s="188" t="n">
        <v>0.725613425925926</v>
      </c>
    </row>
    <row r="1401" customFormat="false" ht="46.25" hidden="false" customHeight="false" outlineLevel="0" collapsed="false">
      <c r="A1401" s="181" t="s">
        <v>3202</v>
      </c>
      <c r="B1401" s="182" t="n">
        <v>2933</v>
      </c>
      <c r="C1401" s="183" t="n">
        <v>8323</v>
      </c>
      <c r="D1401" s="181" t="s">
        <v>2066</v>
      </c>
      <c r="E1401" s="181" t="s">
        <v>377</v>
      </c>
      <c r="F1401" s="181" t="s">
        <v>378</v>
      </c>
      <c r="G1401" s="181" t="s">
        <v>2067</v>
      </c>
      <c r="H1401" s="181" t="s">
        <v>158</v>
      </c>
      <c r="I1401" s="181" t="s">
        <v>241</v>
      </c>
      <c r="J1401" s="184" t="n">
        <v>46390</v>
      </c>
      <c r="K1401" s="184" t="n">
        <v>15780</v>
      </c>
      <c r="L1401" s="185" t="n">
        <v>7</v>
      </c>
      <c r="M1401" s="173" t="n">
        <v>30610</v>
      </c>
      <c r="N1401" s="184" t="n">
        <v>28467.3</v>
      </c>
      <c r="O1401" s="184" t="s">
        <v>3203</v>
      </c>
      <c r="P1401" s="187" t="n">
        <v>45966</v>
      </c>
      <c r="Q1401" s="188" t="n">
        <v>0.726655092592593</v>
      </c>
    </row>
    <row r="1402" customFormat="false" ht="46.25" hidden="false" customHeight="false" outlineLevel="0" collapsed="false">
      <c r="A1402" s="181" t="s">
        <v>3204</v>
      </c>
      <c r="B1402" s="182" t="n">
        <v>2934</v>
      </c>
      <c r="C1402" s="183" t="n">
        <v>8321</v>
      </c>
      <c r="D1402" s="181" t="s">
        <v>2066</v>
      </c>
      <c r="E1402" s="181" t="s">
        <v>308</v>
      </c>
      <c r="F1402" s="181" t="s">
        <v>309</v>
      </c>
      <c r="G1402" s="181" t="s">
        <v>2067</v>
      </c>
      <c r="H1402" s="181" t="s">
        <v>158</v>
      </c>
      <c r="I1402" s="181" t="s">
        <v>241</v>
      </c>
      <c r="J1402" s="184" t="n">
        <v>64280</v>
      </c>
      <c r="K1402" s="184" t="n">
        <v>24140</v>
      </c>
      <c r="L1402" s="185" t="n">
        <v>10</v>
      </c>
      <c r="M1402" s="173" t="n">
        <v>40140</v>
      </c>
      <c r="N1402" s="184" t="n">
        <v>36126</v>
      </c>
      <c r="O1402" s="184" t="s">
        <v>3205</v>
      </c>
      <c r="P1402" s="187" t="n">
        <v>45966</v>
      </c>
      <c r="Q1402" s="188" t="n">
        <v>0.746377314814815</v>
      </c>
    </row>
    <row r="1403" customFormat="false" ht="46.25" hidden="false" customHeight="false" outlineLevel="0" collapsed="false">
      <c r="A1403" s="181" t="s">
        <v>3206</v>
      </c>
      <c r="B1403" s="182" t="n">
        <v>2951</v>
      </c>
      <c r="C1403" s="183" t="n">
        <v>8329</v>
      </c>
      <c r="D1403" s="181" t="s">
        <v>2066</v>
      </c>
      <c r="E1403" s="181" t="s">
        <v>582</v>
      </c>
      <c r="F1403" s="181" t="s">
        <v>583</v>
      </c>
      <c r="G1403" s="181" t="s">
        <v>2067</v>
      </c>
      <c r="H1403" s="181" t="s">
        <v>158</v>
      </c>
      <c r="I1403" s="181" t="s">
        <v>241</v>
      </c>
      <c r="J1403" s="184" t="n">
        <v>43320</v>
      </c>
      <c r="K1403" s="184" t="n">
        <v>15010</v>
      </c>
      <c r="L1403" s="185" t="n">
        <v>20</v>
      </c>
      <c r="M1403" s="173" t="n">
        <v>28310</v>
      </c>
      <c r="N1403" s="184" t="n">
        <v>22648</v>
      </c>
      <c r="O1403" s="184" t="s">
        <v>3207</v>
      </c>
      <c r="P1403" s="187" t="n">
        <v>45966</v>
      </c>
      <c r="Q1403" s="188" t="n">
        <v>0.752349537037037</v>
      </c>
    </row>
    <row r="1404" customFormat="false" ht="46.25" hidden="false" customHeight="false" outlineLevel="0" collapsed="false">
      <c r="A1404" s="181" t="s">
        <v>3208</v>
      </c>
      <c r="B1404" s="182" t="n">
        <v>2935</v>
      </c>
      <c r="C1404" s="183" t="n">
        <v>8324</v>
      </c>
      <c r="D1404" s="181" t="s">
        <v>2066</v>
      </c>
      <c r="E1404" s="181" t="s">
        <v>304</v>
      </c>
      <c r="F1404" s="181" t="s">
        <v>305</v>
      </c>
      <c r="G1404" s="181" t="s">
        <v>2067</v>
      </c>
      <c r="H1404" s="181" t="s">
        <v>158</v>
      </c>
      <c r="I1404" s="181" t="s">
        <v>241</v>
      </c>
      <c r="J1404" s="184" t="n">
        <v>41600</v>
      </c>
      <c r="K1404" s="184" t="n">
        <v>15030</v>
      </c>
      <c r="L1404" s="185" t="n">
        <v>20</v>
      </c>
      <c r="M1404" s="173" t="n">
        <v>26570</v>
      </c>
      <c r="N1404" s="184" t="n">
        <v>21256</v>
      </c>
      <c r="O1404" s="184" t="s">
        <v>3209</v>
      </c>
      <c r="P1404" s="187" t="n">
        <v>45966</v>
      </c>
      <c r="Q1404" s="188" t="n">
        <v>0.791979166666667</v>
      </c>
    </row>
    <row r="1405" customFormat="false" ht="46.25" hidden="false" customHeight="false" outlineLevel="0" collapsed="false">
      <c r="A1405" s="181" t="s">
        <v>3210</v>
      </c>
      <c r="B1405" s="182" t="n">
        <v>2953</v>
      </c>
      <c r="C1405" s="183" t="n">
        <v>8330</v>
      </c>
      <c r="D1405" s="181" t="s">
        <v>2066</v>
      </c>
      <c r="E1405" s="181" t="s">
        <v>272</v>
      </c>
      <c r="F1405" s="181" t="s">
        <v>273</v>
      </c>
      <c r="G1405" s="181" t="s">
        <v>2067</v>
      </c>
      <c r="H1405" s="181" t="s">
        <v>158</v>
      </c>
      <c r="I1405" s="181" t="s">
        <v>241</v>
      </c>
      <c r="J1405" s="184" t="n">
        <v>40390</v>
      </c>
      <c r="K1405" s="184" t="n">
        <v>15640</v>
      </c>
      <c r="L1405" s="185" t="n">
        <v>18</v>
      </c>
      <c r="M1405" s="173" t="n">
        <v>24750</v>
      </c>
      <c r="N1405" s="184" t="n">
        <v>20295</v>
      </c>
      <c r="O1405" s="184" t="s">
        <v>3211</v>
      </c>
      <c r="P1405" s="187" t="n">
        <v>45966</v>
      </c>
      <c r="Q1405" s="188" t="n">
        <v>0.845590277777778</v>
      </c>
    </row>
    <row r="1406" customFormat="false" ht="46.25" hidden="false" customHeight="false" outlineLevel="0" collapsed="false">
      <c r="A1406" s="181" t="s">
        <v>3212</v>
      </c>
      <c r="B1406" s="182" t="n">
        <v>2954</v>
      </c>
      <c r="C1406" s="183" t="n">
        <v>8333</v>
      </c>
      <c r="D1406" s="181" t="s">
        <v>2066</v>
      </c>
      <c r="E1406" s="181" t="s">
        <v>282</v>
      </c>
      <c r="F1406" s="181" t="s">
        <v>283</v>
      </c>
      <c r="G1406" s="181" t="s">
        <v>2067</v>
      </c>
      <c r="H1406" s="181" t="s">
        <v>158</v>
      </c>
      <c r="I1406" s="181" t="s">
        <v>241</v>
      </c>
      <c r="J1406" s="184" t="n">
        <v>40920</v>
      </c>
      <c r="K1406" s="184" t="n">
        <v>15110</v>
      </c>
      <c r="L1406" s="185" t="n">
        <v>24</v>
      </c>
      <c r="M1406" s="173" t="n">
        <v>25810</v>
      </c>
      <c r="N1406" s="184" t="n">
        <v>19615.6</v>
      </c>
      <c r="O1406" s="184" t="s">
        <v>3213</v>
      </c>
      <c r="P1406" s="187" t="n">
        <v>45966</v>
      </c>
      <c r="Q1406" s="188" t="n">
        <v>0.855949074074074</v>
      </c>
    </row>
    <row r="1407" customFormat="false" ht="46.25" hidden="false" customHeight="false" outlineLevel="0" collapsed="false">
      <c r="A1407" s="181" t="s">
        <v>3214</v>
      </c>
      <c r="B1407" s="182" t="n">
        <v>2938</v>
      </c>
      <c r="C1407" s="183" t="n">
        <v>8325</v>
      </c>
      <c r="D1407" s="181" t="s">
        <v>2066</v>
      </c>
      <c r="E1407" s="181" t="s">
        <v>300</v>
      </c>
      <c r="F1407" s="181" t="s">
        <v>301</v>
      </c>
      <c r="G1407" s="181" t="s">
        <v>2067</v>
      </c>
      <c r="H1407" s="181" t="s">
        <v>158</v>
      </c>
      <c r="I1407" s="181" t="s">
        <v>241</v>
      </c>
      <c r="J1407" s="184" t="n">
        <v>63940</v>
      </c>
      <c r="K1407" s="184" t="n">
        <v>21240</v>
      </c>
      <c r="L1407" s="185" t="n">
        <v>7</v>
      </c>
      <c r="M1407" s="173" t="n">
        <v>42700</v>
      </c>
      <c r="N1407" s="184" t="n">
        <v>39711</v>
      </c>
      <c r="O1407" s="184" t="s">
        <v>3215</v>
      </c>
      <c r="P1407" s="187" t="n">
        <v>45966</v>
      </c>
      <c r="Q1407" s="188" t="n">
        <v>0.905416666666667</v>
      </c>
    </row>
    <row r="1408" customFormat="false" ht="35.05" hidden="false" customHeight="false" outlineLevel="0" collapsed="false">
      <c r="A1408" s="181" t="s">
        <v>3216</v>
      </c>
      <c r="B1408" s="182" t="n">
        <v>2952</v>
      </c>
      <c r="C1408" s="183" t="n">
        <v>319</v>
      </c>
      <c r="D1408" s="181" t="s">
        <v>2401</v>
      </c>
      <c r="E1408" s="181" t="s">
        <v>1646</v>
      </c>
      <c r="F1408" s="181" t="s">
        <v>1647</v>
      </c>
      <c r="G1408" s="181" t="s">
        <v>3217</v>
      </c>
      <c r="H1408" s="181" t="s">
        <v>279</v>
      </c>
      <c r="I1408" s="181" t="s">
        <v>242</v>
      </c>
      <c r="J1408" s="184" t="n">
        <v>27770</v>
      </c>
      <c r="K1408" s="184" t="n">
        <v>14360</v>
      </c>
      <c r="L1408" s="185" t="n">
        <v>22</v>
      </c>
      <c r="M1408" s="173" t="n">
        <v>13410</v>
      </c>
      <c r="N1408" s="184" t="n">
        <v>10459.8</v>
      </c>
      <c r="O1408" s="184" t="s">
        <v>3218</v>
      </c>
      <c r="P1408" s="187" t="n">
        <v>45966</v>
      </c>
      <c r="Q1408" s="188" t="n">
        <v>0.918877314814815</v>
      </c>
    </row>
    <row r="1409" customFormat="false" ht="46.25" hidden="false" customHeight="false" outlineLevel="0" collapsed="false">
      <c r="A1409" s="181" t="s">
        <v>3219</v>
      </c>
      <c r="B1409" s="182" t="n">
        <v>2941</v>
      </c>
      <c r="C1409" s="183" t="n">
        <v>8326</v>
      </c>
      <c r="D1409" s="181" t="s">
        <v>2066</v>
      </c>
      <c r="E1409" s="181" t="s">
        <v>373</v>
      </c>
      <c r="F1409" s="181" t="s">
        <v>374</v>
      </c>
      <c r="G1409" s="181" t="s">
        <v>2067</v>
      </c>
      <c r="H1409" s="181" t="s">
        <v>158</v>
      </c>
      <c r="I1409" s="181" t="s">
        <v>241</v>
      </c>
      <c r="J1409" s="184" t="n">
        <v>44150</v>
      </c>
      <c r="K1409" s="184" t="n">
        <v>14480</v>
      </c>
      <c r="L1409" s="185" t="n">
        <v>14</v>
      </c>
      <c r="M1409" s="173" t="n">
        <v>29670</v>
      </c>
      <c r="N1409" s="184" t="n">
        <v>25516.2</v>
      </c>
      <c r="O1409" s="184" t="s">
        <v>3220</v>
      </c>
      <c r="P1409" s="187" t="n">
        <v>45966</v>
      </c>
      <c r="Q1409" s="188" t="n">
        <v>0.993229166666667</v>
      </c>
    </row>
    <row r="1410" customFormat="false" ht="46.25" hidden="false" customHeight="false" outlineLevel="0" collapsed="false">
      <c r="A1410" s="181" t="s">
        <v>3221</v>
      </c>
      <c r="B1410" s="182" t="n">
        <v>2956</v>
      </c>
      <c r="C1410" s="183" t="n">
        <v>8334</v>
      </c>
      <c r="D1410" s="181" t="s">
        <v>2066</v>
      </c>
      <c r="E1410" s="181" t="s">
        <v>336</v>
      </c>
      <c r="F1410" s="181" t="s">
        <v>337</v>
      </c>
      <c r="G1410" s="181" t="s">
        <v>2067</v>
      </c>
      <c r="H1410" s="181" t="s">
        <v>158</v>
      </c>
      <c r="I1410" s="181" t="s">
        <v>241</v>
      </c>
      <c r="J1410" s="184" t="n">
        <v>40240</v>
      </c>
      <c r="K1410" s="184" t="n">
        <v>14610</v>
      </c>
      <c r="L1410" s="185" t="n">
        <v>18</v>
      </c>
      <c r="M1410" s="173" t="n">
        <v>25630</v>
      </c>
      <c r="N1410" s="184" t="n">
        <v>21016.6</v>
      </c>
      <c r="O1410" s="184" t="s">
        <v>3222</v>
      </c>
      <c r="P1410" s="187" t="n">
        <v>45966</v>
      </c>
      <c r="Q1410" s="188" t="n">
        <v>0.956354166666667</v>
      </c>
    </row>
    <row r="1411" customFormat="false" ht="46.25" hidden="false" customHeight="false" outlineLevel="0" collapsed="false">
      <c r="A1411" s="181" t="s">
        <v>3223</v>
      </c>
      <c r="B1411" s="182" t="n">
        <v>2957</v>
      </c>
      <c r="C1411" s="183" t="n">
        <v>8335</v>
      </c>
      <c r="D1411" s="181" t="s">
        <v>2066</v>
      </c>
      <c r="E1411" s="181" t="s">
        <v>340</v>
      </c>
      <c r="F1411" s="181" t="s">
        <v>341</v>
      </c>
      <c r="G1411" s="181" t="s">
        <v>2067</v>
      </c>
      <c r="H1411" s="181" t="s">
        <v>158</v>
      </c>
      <c r="I1411" s="181" t="s">
        <v>241</v>
      </c>
      <c r="J1411" s="184" t="n">
        <v>41950</v>
      </c>
      <c r="K1411" s="184" t="n">
        <v>15140</v>
      </c>
      <c r="L1411" s="185" t="n">
        <v>11</v>
      </c>
      <c r="M1411" s="173" t="n">
        <v>26810</v>
      </c>
      <c r="N1411" s="184" t="n">
        <v>23860.9</v>
      </c>
      <c r="O1411" s="184" t="s">
        <v>3224</v>
      </c>
      <c r="P1411" s="187" t="n">
        <v>45966</v>
      </c>
      <c r="Q1411" s="188" t="n">
        <v>0.959814814814815</v>
      </c>
    </row>
    <row r="1412" customFormat="false" ht="46.25" hidden="false" customHeight="false" outlineLevel="0" collapsed="false">
      <c r="A1412" s="181" t="s">
        <v>3225</v>
      </c>
      <c r="B1412" s="182" t="n">
        <v>2958</v>
      </c>
      <c r="C1412" s="183" t="n">
        <v>8337</v>
      </c>
      <c r="D1412" s="181" t="s">
        <v>2066</v>
      </c>
      <c r="E1412" s="181" t="s">
        <v>288</v>
      </c>
      <c r="F1412" s="181" t="s">
        <v>289</v>
      </c>
      <c r="G1412" s="181" t="s">
        <v>2067</v>
      </c>
      <c r="H1412" s="181" t="s">
        <v>158</v>
      </c>
      <c r="I1412" s="181" t="s">
        <v>241</v>
      </c>
      <c r="J1412" s="184" t="n">
        <v>39290</v>
      </c>
      <c r="K1412" s="184" t="n">
        <v>14770</v>
      </c>
      <c r="L1412" s="185" t="n">
        <v>25</v>
      </c>
      <c r="M1412" s="173" t="n">
        <v>24520</v>
      </c>
      <c r="N1412" s="184" t="n">
        <v>18390</v>
      </c>
      <c r="O1412" s="184" t="s">
        <v>3226</v>
      </c>
      <c r="P1412" s="187" t="n">
        <v>45967</v>
      </c>
      <c r="Q1412" s="188" t="n">
        <v>0.508148148148148</v>
      </c>
    </row>
    <row r="1413" customFormat="false" ht="46.25" hidden="false" customHeight="false" outlineLevel="0" collapsed="false">
      <c r="A1413" s="181" t="s">
        <v>3227</v>
      </c>
      <c r="B1413" s="182" t="n">
        <v>2967</v>
      </c>
      <c r="C1413" s="183" t="n">
        <v>8348</v>
      </c>
      <c r="D1413" s="181" t="s">
        <v>2066</v>
      </c>
      <c r="E1413" s="181" t="s">
        <v>541</v>
      </c>
      <c r="F1413" s="181" t="s">
        <v>542</v>
      </c>
      <c r="G1413" s="181" t="s">
        <v>2067</v>
      </c>
      <c r="H1413" s="181" t="s">
        <v>158</v>
      </c>
      <c r="I1413" s="181" t="s">
        <v>241</v>
      </c>
      <c r="J1413" s="184" t="n">
        <v>41120</v>
      </c>
      <c r="K1413" s="184" t="n">
        <v>15020</v>
      </c>
      <c r="L1413" s="185" t="n">
        <v>14</v>
      </c>
      <c r="M1413" s="173" t="n">
        <v>26100</v>
      </c>
      <c r="N1413" s="184" t="n">
        <v>22446</v>
      </c>
      <c r="O1413" s="184" t="s">
        <v>3228</v>
      </c>
      <c r="P1413" s="187" t="n">
        <v>45967</v>
      </c>
      <c r="Q1413" s="188" t="n">
        <v>0.410949074074074</v>
      </c>
    </row>
    <row r="1414" customFormat="false" ht="46.25" hidden="false" customHeight="false" outlineLevel="0" collapsed="false">
      <c r="A1414" s="181" t="s">
        <v>3229</v>
      </c>
      <c r="B1414" s="182" t="n">
        <v>2969</v>
      </c>
      <c r="C1414" s="183" t="n">
        <v>8353</v>
      </c>
      <c r="D1414" s="181" t="s">
        <v>2066</v>
      </c>
      <c r="E1414" s="181" t="s">
        <v>533</v>
      </c>
      <c r="F1414" s="181" t="s">
        <v>534</v>
      </c>
      <c r="G1414" s="181" t="s">
        <v>2067</v>
      </c>
      <c r="H1414" s="181" t="s">
        <v>158</v>
      </c>
      <c r="I1414" s="181" t="s">
        <v>241</v>
      </c>
      <c r="J1414" s="184" t="n">
        <v>40590</v>
      </c>
      <c r="K1414" s="184" t="n">
        <v>14790</v>
      </c>
      <c r="L1414" s="185" t="n">
        <v>13</v>
      </c>
      <c r="M1414" s="173" t="n">
        <v>25800</v>
      </c>
      <c r="N1414" s="184" t="n">
        <v>22446</v>
      </c>
      <c r="O1414" s="184" t="s">
        <v>3230</v>
      </c>
      <c r="P1414" s="187" t="n">
        <v>45967</v>
      </c>
      <c r="Q1414" s="188" t="n">
        <v>0.48474537037037</v>
      </c>
    </row>
    <row r="1415" customFormat="false" ht="46.25" hidden="false" customHeight="false" outlineLevel="0" collapsed="false">
      <c r="A1415" s="181" t="s">
        <v>3231</v>
      </c>
      <c r="B1415" s="182" t="n">
        <v>2970</v>
      </c>
      <c r="C1415" s="183" t="n">
        <v>8354</v>
      </c>
      <c r="D1415" s="181" t="s">
        <v>2066</v>
      </c>
      <c r="E1415" s="181" t="s">
        <v>537</v>
      </c>
      <c r="F1415" s="181" t="s">
        <v>538</v>
      </c>
      <c r="G1415" s="181" t="s">
        <v>2067</v>
      </c>
      <c r="H1415" s="181" t="s">
        <v>158</v>
      </c>
      <c r="I1415" s="181" t="s">
        <v>241</v>
      </c>
      <c r="J1415" s="184" t="n">
        <v>37050</v>
      </c>
      <c r="K1415" s="184" t="n">
        <v>14120</v>
      </c>
      <c r="L1415" s="185" t="n">
        <v>27</v>
      </c>
      <c r="M1415" s="173" t="n">
        <v>22930</v>
      </c>
      <c r="N1415" s="184" t="n">
        <v>16738.9</v>
      </c>
      <c r="O1415" s="184" t="s">
        <v>3232</v>
      </c>
      <c r="P1415" s="187" t="n">
        <v>45967</v>
      </c>
      <c r="Q1415" s="188" t="n">
        <v>0.566944444444445</v>
      </c>
    </row>
    <row r="1416" customFormat="false" ht="46.25" hidden="false" customHeight="false" outlineLevel="0" collapsed="false">
      <c r="A1416" s="181" t="s">
        <v>3233</v>
      </c>
      <c r="B1416" s="182" t="n">
        <v>2959</v>
      </c>
      <c r="C1416" s="183" t="n">
        <v>8339</v>
      </c>
      <c r="D1416" s="181" t="s">
        <v>2066</v>
      </c>
      <c r="E1416" s="181" t="s">
        <v>409</v>
      </c>
      <c r="F1416" s="181" t="s">
        <v>410</v>
      </c>
      <c r="G1416" s="181" t="s">
        <v>2067</v>
      </c>
      <c r="H1416" s="181" t="s">
        <v>158</v>
      </c>
      <c r="I1416" s="181" t="s">
        <v>241</v>
      </c>
      <c r="J1416" s="184" t="n">
        <v>66540</v>
      </c>
      <c r="K1416" s="184" t="n">
        <v>24550</v>
      </c>
      <c r="L1416" s="185" t="n">
        <v>20</v>
      </c>
      <c r="M1416" s="173" t="n">
        <v>41990</v>
      </c>
      <c r="N1416" s="184" t="n">
        <v>33592</v>
      </c>
      <c r="O1416" s="184" t="s">
        <v>3234</v>
      </c>
      <c r="P1416" s="187" t="n">
        <v>45967</v>
      </c>
      <c r="Q1416" s="188" t="n">
        <v>0.624664351851852</v>
      </c>
    </row>
    <row r="1417" customFormat="false" ht="46.25" hidden="false" customHeight="false" outlineLevel="0" collapsed="false">
      <c r="A1417" s="181" t="s">
        <v>3235</v>
      </c>
      <c r="B1417" s="182" t="n">
        <v>2960</v>
      </c>
      <c r="C1417" s="183" t="n">
        <v>8342</v>
      </c>
      <c r="D1417" s="181" t="s">
        <v>2066</v>
      </c>
      <c r="E1417" s="181" t="s">
        <v>545</v>
      </c>
      <c r="F1417" s="181" t="s">
        <v>546</v>
      </c>
      <c r="G1417" s="181" t="s">
        <v>2067</v>
      </c>
      <c r="H1417" s="181" t="s">
        <v>158</v>
      </c>
      <c r="I1417" s="181" t="s">
        <v>241</v>
      </c>
      <c r="J1417" s="184" t="n">
        <v>43090</v>
      </c>
      <c r="K1417" s="184" t="n">
        <v>16200</v>
      </c>
      <c r="L1417" s="185" t="n">
        <v>8</v>
      </c>
      <c r="M1417" s="173" t="n">
        <v>26890</v>
      </c>
      <c r="N1417" s="184" t="n">
        <v>24738.8</v>
      </c>
      <c r="O1417" s="184" t="s">
        <v>3236</v>
      </c>
      <c r="P1417" s="187" t="n">
        <v>45967</v>
      </c>
      <c r="Q1417" s="188" t="n">
        <v>0.690474537037037</v>
      </c>
    </row>
    <row r="1418" customFormat="false" ht="46.25" hidden="false" customHeight="false" outlineLevel="0" collapsed="false">
      <c r="A1418" s="181" t="s">
        <v>3237</v>
      </c>
      <c r="B1418" s="182" t="n">
        <v>2971</v>
      </c>
      <c r="C1418" s="183" t="n">
        <v>8010</v>
      </c>
      <c r="D1418" s="181" t="s">
        <v>2066</v>
      </c>
      <c r="E1418" s="181" t="s">
        <v>549</v>
      </c>
      <c r="F1418" s="181" t="s">
        <v>550</v>
      </c>
      <c r="G1418" s="181" t="s">
        <v>2067</v>
      </c>
      <c r="H1418" s="181" t="s">
        <v>158</v>
      </c>
      <c r="I1418" s="181" t="s">
        <v>241</v>
      </c>
      <c r="J1418" s="184" t="n">
        <v>43960</v>
      </c>
      <c r="K1418" s="184" t="n">
        <v>16200</v>
      </c>
      <c r="L1418" s="185" t="n">
        <v>13</v>
      </c>
      <c r="M1418" s="173" t="n">
        <v>27760</v>
      </c>
      <c r="N1418" s="184" t="n">
        <v>24151.2</v>
      </c>
      <c r="O1418" s="184" t="s">
        <v>3238</v>
      </c>
      <c r="P1418" s="187" t="n">
        <v>45967</v>
      </c>
      <c r="Q1418" s="188" t="n">
        <v>0.690694444444445</v>
      </c>
    </row>
    <row r="1419" customFormat="false" ht="46.25" hidden="false" customHeight="false" outlineLevel="0" collapsed="false">
      <c r="A1419" s="181" t="s">
        <v>3239</v>
      </c>
      <c r="B1419" s="182" t="n">
        <v>2972</v>
      </c>
      <c r="C1419" s="183" t="n">
        <v>8355</v>
      </c>
      <c r="D1419" s="181" t="s">
        <v>2066</v>
      </c>
      <c r="E1419" s="181" t="s">
        <v>399</v>
      </c>
      <c r="F1419" s="181" t="s">
        <v>400</v>
      </c>
      <c r="G1419" s="181" t="s">
        <v>2067</v>
      </c>
      <c r="H1419" s="181" t="s">
        <v>158</v>
      </c>
      <c r="I1419" s="181" t="s">
        <v>241</v>
      </c>
      <c r="J1419" s="184" t="n">
        <v>52590</v>
      </c>
      <c r="K1419" s="184" t="n">
        <v>19380</v>
      </c>
      <c r="L1419" s="185" t="n">
        <v>8</v>
      </c>
      <c r="M1419" s="173" t="n">
        <v>33210</v>
      </c>
      <c r="N1419" s="184" t="n">
        <v>30553.2</v>
      </c>
      <c r="O1419" s="184" t="s">
        <v>3240</v>
      </c>
      <c r="P1419" s="187" t="n">
        <v>45967</v>
      </c>
      <c r="Q1419" s="188" t="n">
        <v>0.73275462962963</v>
      </c>
    </row>
    <row r="1420" customFormat="false" ht="46.25" hidden="false" customHeight="false" outlineLevel="0" collapsed="false">
      <c r="A1420" s="181" t="s">
        <v>3241</v>
      </c>
      <c r="B1420" s="182" t="n">
        <v>2961</v>
      </c>
      <c r="C1420" s="183" t="n">
        <v>8340</v>
      </c>
      <c r="D1420" s="181" t="s">
        <v>2066</v>
      </c>
      <c r="E1420" s="181" t="s">
        <v>354</v>
      </c>
      <c r="F1420" s="181" t="s">
        <v>355</v>
      </c>
      <c r="G1420" s="181" t="s">
        <v>2067</v>
      </c>
      <c r="H1420" s="181" t="s">
        <v>158</v>
      </c>
      <c r="I1420" s="181" t="s">
        <v>241</v>
      </c>
      <c r="J1420" s="184" t="n">
        <v>40410</v>
      </c>
      <c r="K1420" s="184" t="n">
        <v>14810</v>
      </c>
      <c r="L1420" s="185" t="n">
        <v>27</v>
      </c>
      <c r="M1420" s="173" t="n">
        <v>25600</v>
      </c>
      <c r="N1420" s="184" t="n">
        <v>18688</v>
      </c>
      <c r="O1420" s="184" t="s">
        <v>3242</v>
      </c>
      <c r="P1420" s="187" t="n">
        <v>45967</v>
      </c>
      <c r="Q1420" s="188" t="n">
        <v>0.778576388888889</v>
      </c>
    </row>
    <row r="1421" customFormat="false" ht="46.25" hidden="false" customHeight="false" outlineLevel="0" collapsed="false">
      <c r="A1421" s="181" t="s">
        <v>3243</v>
      </c>
      <c r="B1421" s="182" t="n">
        <v>2962</v>
      </c>
      <c r="C1421" s="183" t="n">
        <v>8341</v>
      </c>
      <c r="D1421" s="181" t="s">
        <v>2066</v>
      </c>
      <c r="E1421" s="181" t="s">
        <v>359</v>
      </c>
      <c r="F1421" s="181" t="s">
        <v>360</v>
      </c>
      <c r="G1421" s="181" t="s">
        <v>2067</v>
      </c>
      <c r="H1421" s="181" t="s">
        <v>158</v>
      </c>
      <c r="I1421" s="181" t="s">
        <v>241</v>
      </c>
      <c r="J1421" s="184" t="n">
        <v>38670</v>
      </c>
      <c r="K1421" s="184" t="n">
        <v>14980</v>
      </c>
      <c r="L1421" s="185" t="n">
        <v>27</v>
      </c>
      <c r="M1421" s="173" t="n">
        <v>23690</v>
      </c>
      <c r="N1421" s="184" t="n">
        <v>17293.7</v>
      </c>
      <c r="O1421" s="184" t="s">
        <v>3244</v>
      </c>
      <c r="P1421" s="187" t="n">
        <v>45967</v>
      </c>
      <c r="Q1421" s="188" t="n">
        <v>0.873078703703704</v>
      </c>
    </row>
    <row r="1422" customFormat="false" ht="46.25" hidden="false" customHeight="false" outlineLevel="0" collapsed="false">
      <c r="A1422" s="181" t="s">
        <v>3245</v>
      </c>
      <c r="B1422" s="182" t="n">
        <v>2963</v>
      </c>
      <c r="C1422" s="183" t="n">
        <v>8344</v>
      </c>
      <c r="D1422" s="181" t="s">
        <v>2066</v>
      </c>
      <c r="E1422" s="181" t="s">
        <v>576</v>
      </c>
      <c r="F1422" s="181" t="s">
        <v>577</v>
      </c>
      <c r="G1422" s="181" t="s">
        <v>2067</v>
      </c>
      <c r="H1422" s="181" t="s">
        <v>158</v>
      </c>
      <c r="I1422" s="181" t="s">
        <v>241</v>
      </c>
      <c r="J1422" s="184" t="n">
        <v>39440</v>
      </c>
      <c r="K1422" s="184" t="n">
        <v>14550</v>
      </c>
      <c r="L1422" s="185" t="n">
        <v>30</v>
      </c>
      <c r="M1422" s="173" t="n">
        <v>24890</v>
      </c>
      <c r="N1422" s="184" t="n">
        <v>17423</v>
      </c>
      <c r="O1422" s="184" t="s">
        <v>3246</v>
      </c>
      <c r="P1422" s="187" t="n">
        <v>45967</v>
      </c>
      <c r="Q1422" s="188" t="n">
        <v>0.935659722222222</v>
      </c>
    </row>
    <row r="1423" customFormat="false" ht="46.25" hidden="false" customHeight="false" outlineLevel="0" collapsed="false">
      <c r="A1423" s="181" t="s">
        <v>3247</v>
      </c>
      <c r="B1423" s="182" t="n">
        <v>2964</v>
      </c>
      <c r="C1423" s="183" t="n">
        <v>8345</v>
      </c>
      <c r="D1423" s="181" t="s">
        <v>2066</v>
      </c>
      <c r="E1423" s="181" t="s">
        <v>261</v>
      </c>
      <c r="F1423" s="181" t="s">
        <v>262</v>
      </c>
      <c r="G1423" s="181" t="s">
        <v>2067</v>
      </c>
      <c r="H1423" s="181" t="s">
        <v>158</v>
      </c>
      <c r="I1423" s="181" t="s">
        <v>241</v>
      </c>
      <c r="J1423" s="184" t="n">
        <v>39310</v>
      </c>
      <c r="K1423" s="184" t="n">
        <v>15230</v>
      </c>
      <c r="L1423" s="185" t="n">
        <v>14</v>
      </c>
      <c r="M1423" s="173" t="n">
        <v>24080</v>
      </c>
      <c r="N1423" s="184" t="n">
        <v>20708.8</v>
      </c>
      <c r="O1423" s="184" t="s">
        <v>3248</v>
      </c>
      <c r="P1423" s="187" t="n">
        <v>45967</v>
      </c>
      <c r="Q1423" s="188" t="n">
        <v>0.98287037037037</v>
      </c>
    </row>
    <row r="1424" customFormat="false" ht="46.25" hidden="false" customHeight="false" outlineLevel="0" collapsed="false">
      <c r="A1424" s="181" t="s">
        <v>3249</v>
      </c>
      <c r="B1424" s="182" t="n">
        <v>2973</v>
      </c>
      <c r="C1424" s="183" t="n">
        <v>8387</v>
      </c>
      <c r="D1424" s="181" t="s">
        <v>2066</v>
      </c>
      <c r="E1424" s="181" t="s">
        <v>1019</v>
      </c>
      <c r="F1424" s="181" t="s">
        <v>1020</v>
      </c>
      <c r="G1424" s="181" t="s">
        <v>2067</v>
      </c>
      <c r="H1424" s="181" t="s">
        <v>158</v>
      </c>
      <c r="I1424" s="181" t="s">
        <v>241</v>
      </c>
      <c r="J1424" s="184" t="n">
        <v>45520</v>
      </c>
      <c r="K1424" s="184" t="n">
        <v>17120</v>
      </c>
      <c r="L1424" s="185" t="n">
        <v>5</v>
      </c>
      <c r="M1424" s="173" t="n">
        <v>28400</v>
      </c>
      <c r="N1424" s="184" t="n">
        <v>26980</v>
      </c>
      <c r="O1424" s="184" t="s">
        <v>3250</v>
      </c>
      <c r="P1424" s="187" t="n">
        <v>45967</v>
      </c>
      <c r="Q1424" s="188" t="n">
        <v>0.73537037037037</v>
      </c>
    </row>
    <row r="1425" customFormat="false" ht="35.05" hidden="false" customHeight="false" outlineLevel="0" collapsed="false">
      <c r="A1425" s="181" t="s">
        <v>3251</v>
      </c>
      <c r="B1425" s="182" t="n">
        <v>2984</v>
      </c>
      <c r="C1425" s="183" t="n">
        <v>328</v>
      </c>
      <c r="D1425" s="181" t="s">
        <v>2401</v>
      </c>
      <c r="E1425" s="181" t="s">
        <v>1646</v>
      </c>
      <c r="F1425" s="181" t="s">
        <v>1647</v>
      </c>
      <c r="G1425" s="181" t="s">
        <v>3217</v>
      </c>
      <c r="H1425" s="181" t="s">
        <v>279</v>
      </c>
      <c r="I1425" s="181" t="s">
        <v>242</v>
      </c>
      <c r="J1425" s="184" t="n">
        <v>28290</v>
      </c>
      <c r="K1425" s="184" t="n">
        <v>14290</v>
      </c>
      <c r="L1425" s="185" t="n">
        <v>25</v>
      </c>
      <c r="M1425" s="173" t="n">
        <v>14000</v>
      </c>
      <c r="N1425" s="184" t="n">
        <v>10500</v>
      </c>
      <c r="O1425" s="184" t="s">
        <v>3252</v>
      </c>
      <c r="P1425" s="187" t="n">
        <v>45969</v>
      </c>
      <c r="Q1425" s="188" t="n">
        <v>0.751180555555556</v>
      </c>
    </row>
    <row r="1426" customFormat="false" ht="35.05" hidden="false" customHeight="false" outlineLevel="0" collapsed="false">
      <c r="A1426" s="181" t="s">
        <v>3253</v>
      </c>
      <c r="B1426" s="182" t="n">
        <v>2986</v>
      </c>
      <c r="C1426" s="183" t="n">
        <v>320</v>
      </c>
      <c r="D1426" s="181" t="s">
        <v>2401</v>
      </c>
      <c r="E1426" s="181" t="s">
        <v>391</v>
      </c>
      <c r="F1426" s="181" t="s">
        <v>392</v>
      </c>
      <c r="G1426" s="181" t="s">
        <v>3217</v>
      </c>
      <c r="H1426" s="181" t="s">
        <v>279</v>
      </c>
      <c r="I1426" s="181" t="s">
        <v>242</v>
      </c>
      <c r="J1426" s="184" t="n">
        <v>34810</v>
      </c>
      <c r="K1426" s="184" t="n">
        <v>14650</v>
      </c>
      <c r="L1426" s="185" t="n">
        <v>24</v>
      </c>
      <c r="M1426" s="173" t="n">
        <v>20160</v>
      </c>
      <c r="N1426" s="184" t="n">
        <v>15321.6</v>
      </c>
      <c r="O1426" s="184" t="s">
        <v>3254</v>
      </c>
      <c r="P1426" s="187" t="n">
        <v>45969</v>
      </c>
      <c r="Q1426" s="188" t="n">
        <v>0.918206018518519</v>
      </c>
    </row>
    <row r="1427" customFormat="false" ht="35.05" hidden="false" customHeight="false" outlineLevel="0" collapsed="false">
      <c r="A1427" s="181" t="s">
        <v>3255</v>
      </c>
      <c r="B1427" s="182" t="n">
        <v>2987</v>
      </c>
      <c r="C1427" s="183" t="n">
        <v>321</v>
      </c>
      <c r="D1427" s="181" t="s">
        <v>2401</v>
      </c>
      <c r="E1427" s="181" t="s">
        <v>529</v>
      </c>
      <c r="F1427" s="181" t="s">
        <v>530</v>
      </c>
      <c r="G1427" s="181" t="s">
        <v>3217</v>
      </c>
      <c r="H1427" s="181" t="s">
        <v>279</v>
      </c>
      <c r="I1427" s="181" t="s">
        <v>242</v>
      </c>
      <c r="J1427" s="184" t="n">
        <v>35670</v>
      </c>
      <c r="K1427" s="184" t="n">
        <v>15010</v>
      </c>
      <c r="L1427" s="185" t="n">
        <v>29</v>
      </c>
      <c r="M1427" s="173" t="n">
        <v>20660</v>
      </c>
      <c r="N1427" s="184" t="n">
        <v>14668.6</v>
      </c>
      <c r="O1427" s="184" t="s">
        <v>3256</v>
      </c>
      <c r="P1427" s="187" t="n">
        <v>45969</v>
      </c>
      <c r="Q1427" s="188" t="n">
        <v>0.943935185185185</v>
      </c>
    </row>
    <row r="1428" customFormat="false" ht="35.05" hidden="false" customHeight="false" outlineLevel="0" collapsed="false">
      <c r="A1428" s="181" t="s">
        <v>3257</v>
      </c>
      <c r="B1428" s="182" t="n">
        <v>2989</v>
      </c>
      <c r="C1428" s="183" t="n">
        <v>322</v>
      </c>
      <c r="D1428" s="181" t="s">
        <v>2401</v>
      </c>
      <c r="E1428" s="181" t="s">
        <v>292</v>
      </c>
      <c r="F1428" s="181" t="s">
        <v>293</v>
      </c>
      <c r="G1428" s="181" t="s">
        <v>3217</v>
      </c>
      <c r="H1428" s="181" t="s">
        <v>279</v>
      </c>
      <c r="I1428" s="181" t="s">
        <v>242</v>
      </c>
      <c r="J1428" s="184" t="n">
        <v>35450</v>
      </c>
      <c r="K1428" s="184" t="n">
        <v>13920</v>
      </c>
      <c r="L1428" s="185" t="n">
        <v>29</v>
      </c>
      <c r="M1428" s="173" t="n">
        <v>21530</v>
      </c>
      <c r="N1428" s="184" t="n">
        <v>15286.3</v>
      </c>
      <c r="O1428" s="184" t="s">
        <v>3258</v>
      </c>
      <c r="P1428" s="187" t="n">
        <v>45969</v>
      </c>
      <c r="Q1428" s="188" t="n">
        <v>0.825717592592593</v>
      </c>
    </row>
    <row r="1429" customFormat="false" ht="35.05" hidden="false" customHeight="false" outlineLevel="0" collapsed="false">
      <c r="A1429" s="181" t="s">
        <v>3259</v>
      </c>
      <c r="B1429" s="182" t="n">
        <v>2990</v>
      </c>
      <c r="C1429" s="183" t="n">
        <v>323</v>
      </c>
      <c r="D1429" s="181" t="s">
        <v>2401</v>
      </c>
      <c r="E1429" s="181" t="s">
        <v>266</v>
      </c>
      <c r="F1429" s="181" t="s">
        <v>267</v>
      </c>
      <c r="G1429" s="181" t="s">
        <v>3217</v>
      </c>
      <c r="H1429" s="181" t="s">
        <v>279</v>
      </c>
      <c r="I1429" s="181" t="s">
        <v>242</v>
      </c>
      <c r="J1429" s="184" t="n">
        <v>38240</v>
      </c>
      <c r="K1429" s="184" t="n">
        <v>15010</v>
      </c>
      <c r="L1429" s="185" t="n">
        <v>25</v>
      </c>
      <c r="M1429" s="173" t="n">
        <v>23230</v>
      </c>
      <c r="N1429" s="184" t="n">
        <v>17422.5</v>
      </c>
      <c r="O1429" s="184" t="s">
        <v>3260</v>
      </c>
      <c r="P1429" s="187" t="n">
        <v>45969</v>
      </c>
      <c r="Q1429" s="188" t="n">
        <v>0.857569444444445</v>
      </c>
    </row>
    <row r="1430" customFormat="false" ht="35.05" hidden="false" customHeight="false" outlineLevel="0" collapsed="false">
      <c r="A1430" s="181" t="s">
        <v>3261</v>
      </c>
      <c r="B1430" s="182" t="n">
        <v>2991</v>
      </c>
      <c r="C1430" s="183" t="n">
        <v>324</v>
      </c>
      <c r="D1430" s="181" t="s">
        <v>2401</v>
      </c>
      <c r="E1430" s="181" t="s">
        <v>576</v>
      </c>
      <c r="F1430" s="181" t="s">
        <v>577</v>
      </c>
      <c r="G1430" s="181" t="s">
        <v>3217</v>
      </c>
      <c r="H1430" s="181" t="s">
        <v>279</v>
      </c>
      <c r="I1430" s="181" t="s">
        <v>242</v>
      </c>
      <c r="J1430" s="184" t="n">
        <v>37440</v>
      </c>
      <c r="K1430" s="184" t="n">
        <v>14610</v>
      </c>
      <c r="L1430" s="185" t="n">
        <v>32</v>
      </c>
      <c r="M1430" s="173" t="n">
        <v>22830</v>
      </c>
      <c r="N1430" s="184" t="n">
        <v>15524.4</v>
      </c>
      <c r="O1430" s="184" t="s">
        <v>3262</v>
      </c>
      <c r="P1430" s="187" t="n">
        <v>45969</v>
      </c>
      <c r="Q1430" s="188" t="n">
        <v>0.886979166666667</v>
      </c>
    </row>
    <row r="1431" customFormat="false" ht="35.05" hidden="false" customHeight="false" outlineLevel="0" collapsed="false">
      <c r="A1431" s="181" t="s">
        <v>3263</v>
      </c>
      <c r="B1431" s="182" t="n">
        <v>2992</v>
      </c>
      <c r="C1431" s="183" t="n">
        <v>325</v>
      </c>
      <c r="D1431" s="181" t="s">
        <v>2401</v>
      </c>
      <c r="E1431" s="181" t="s">
        <v>261</v>
      </c>
      <c r="F1431" s="181" t="s">
        <v>262</v>
      </c>
      <c r="G1431" s="181" t="s">
        <v>3217</v>
      </c>
      <c r="H1431" s="181" t="s">
        <v>279</v>
      </c>
      <c r="I1431" s="181" t="s">
        <v>242</v>
      </c>
      <c r="J1431" s="184" t="n">
        <v>37700</v>
      </c>
      <c r="K1431" s="184" t="n">
        <v>15250</v>
      </c>
      <c r="L1431" s="185" t="n">
        <v>35</v>
      </c>
      <c r="M1431" s="173" t="n">
        <v>22450</v>
      </c>
      <c r="N1431" s="184" t="n">
        <v>14592.5</v>
      </c>
      <c r="O1431" s="184" t="s">
        <v>3264</v>
      </c>
      <c r="P1431" s="187" t="n">
        <v>45969</v>
      </c>
      <c r="Q1431" s="188" t="n">
        <v>0.927673611111111</v>
      </c>
    </row>
    <row r="1432" customFormat="false" ht="35.05" hidden="false" customHeight="false" outlineLevel="0" collapsed="false">
      <c r="A1432" s="181" t="s">
        <v>3265</v>
      </c>
      <c r="B1432" s="182" t="n">
        <v>2993</v>
      </c>
      <c r="C1432" s="183" t="n">
        <v>326</v>
      </c>
      <c r="D1432" s="181" t="s">
        <v>2401</v>
      </c>
      <c r="E1432" s="181" t="s">
        <v>282</v>
      </c>
      <c r="F1432" s="181" t="s">
        <v>283</v>
      </c>
      <c r="G1432" s="181" t="s">
        <v>3217</v>
      </c>
      <c r="H1432" s="181" t="s">
        <v>279</v>
      </c>
      <c r="I1432" s="181" t="s">
        <v>242</v>
      </c>
      <c r="J1432" s="184" t="n">
        <v>38530</v>
      </c>
      <c r="K1432" s="184" t="n">
        <v>15180</v>
      </c>
      <c r="L1432" s="185" t="n">
        <v>23</v>
      </c>
      <c r="M1432" s="173" t="n">
        <v>23350</v>
      </c>
      <c r="N1432" s="184" t="n">
        <v>17979.5</v>
      </c>
      <c r="O1432" s="184" t="s">
        <v>3266</v>
      </c>
      <c r="P1432" s="187" t="n">
        <v>45969</v>
      </c>
      <c r="Q1432" s="188" t="n">
        <v>0.973935185185185</v>
      </c>
    </row>
    <row r="1433" customFormat="false" ht="35.05" hidden="false" customHeight="false" outlineLevel="0" collapsed="false">
      <c r="A1433" s="181" t="s">
        <v>3267</v>
      </c>
      <c r="B1433" s="182" t="n">
        <v>2994</v>
      </c>
      <c r="C1433" s="183" t="n">
        <v>327</v>
      </c>
      <c r="D1433" s="181" t="s">
        <v>2401</v>
      </c>
      <c r="E1433" s="181" t="s">
        <v>332</v>
      </c>
      <c r="F1433" s="181" t="s">
        <v>333</v>
      </c>
      <c r="G1433" s="181" t="s">
        <v>3217</v>
      </c>
      <c r="H1433" s="181" t="s">
        <v>279</v>
      </c>
      <c r="I1433" s="181" t="s">
        <v>242</v>
      </c>
      <c r="J1433" s="184" t="n">
        <v>38760</v>
      </c>
      <c r="K1433" s="184" t="n">
        <v>15000</v>
      </c>
      <c r="L1433" s="185" t="n">
        <v>38</v>
      </c>
      <c r="M1433" s="173" t="n">
        <v>23760</v>
      </c>
      <c r="N1433" s="184" t="n">
        <v>14731.2</v>
      </c>
      <c r="O1433" s="184" t="s">
        <v>3268</v>
      </c>
      <c r="P1433" s="187" t="n">
        <v>45970</v>
      </c>
      <c r="Q1433" s="188" t="n">
        <v>0.326111111111111</v>
      </c>
    </row>
    <row r="1434" customFormat="false" ht="35.05" hidden="false" customHeight="false" outlineLevel="0" collapsed="false">
      <c r="A1434" s="181" t="s">
        <v>3269</v>
      </c>
      <c r="B1434" s="182" t="n">
        <v>2995</v>
      </c>
      <c r="C1434" s="183" t="n">
        <v>329</v>
      </c>
      <c r="D1434" s="181" t="s">
        <v>2401</v>
      </c>
      <c r="E1434" s="181" t="s">
        <v>582</v>
      </c>
      <c r="F1434" s="181" t="s">
        <v>583</v>
      </c>
      <c r="G1434" s="181" t="s">
        <v>3217</v>
      </c>
      <c r="H1434" s="181" t="s">
        <v>279</v>
      </c>
      <c r="I1434" s="181" t="s">
        <v>242</v>
      </c>
      <c r="J1434" s="184" t="n">
        <v>40920</v>
      </c>
      <c r="K1434" s="184" t="n">
        <v>14930</v>
      </c>
      <c r="L1434" s="185" t="n">
        <v>24</v>
      </c>
      <c r="M1434" s="173" t="n">
        <v>25990</v>
      </c>
      <c r="N1434" s="184" t="n">
        <v>19752.4</v>
      </c>
      <c r="O1434" s="184" t="s">
        <v>3270</v>
      </c>
      <c r="P1434" s="187" t="n">
        <v>45970</v>
      </c>
      <c r="Q1434" s="188" t="n">
        <v>0.344733796296296</v>
      </c>
    </row>
    <row r="1435" customFormat="false" ht="35.05" hidden="false" customHeight="false" outlineLevel="0" collapsed="false">
      <c r="A1435" s="181" t="s">
        <v>3271</v>
      </c>
      <c r="B1435" s="182" t="n">
        <v>2996</v>
      </c>
      <c r="C1435" s="183" t="n">
        <v>330</v>
      </c>
      <c r="D1435" s="181" t="s">
        <v>2401</v>
      </c>
      <c r="E1435" s="181" t="s">
        <v>272</v>
      </c>
      <c r="F1435" s="181" t="s">
        <v>273</v>
      </c>
      <c r="G1435" s="181" t="s">
        <v>3217</v>
      </c>
      <c r="H1435" s="181" t="s">
        <v>279</v>
      </c>
      <c r="I1435" s="181" t="s">
        <v>242</v>
      </c>
      <c r="J1435" s="184" t="n">
        <v>39980</v>
      </c>
      <c r="K1435" s="184" t="n">
        <v>15730</v>
      </c>
      <c r="L1435" s="185" t="n">
        <v>23</v>
      </c>
      <c r="M1435" s="173" t="n">
        <v>24250</v>
      </c>
      <c r="N1435" s="184" t="n">
        <v>18672.5</v>
      </c>
      <c r="O1435" s="184" t="s">
        <v>3272</v>
      </c>
      <c r="P1435" s="187" t="n">
        <v>45970</v>
      </c>
      <c r="Q1435" s="188" t="n">
        <v>0.408368055555556</v>
      </c>
    </row>
    <row r="1436" customFormat="false" ht="35.05" hidden="false" customHeight="false" outlineLevel="0" collapsed="false">
      <c r="A1436" s="181" t="s">
        <v>3273</v>
      </c>
      <c r="B1436" s="182" t="n">
        <v>2997</v>
      </c>
      <c r="C1436" s="183" t="n">
        <v>332</v>
      </c>
      <c r="D1436" s="181" t="s">
        <v>2401</v>
      </c>
      <c r="E1436" s="181" t="s">
        <v>367</v>
      </c>
      <c r="F1436" s="181" t="s">
        <v>368</v>
      </c>
      <c r="G1436" s="181" t="s">
        <v>3217</v>
      </c>
      <c r="H1436" s="181" t="s">
        <v>279</v>
      </c>
      <c r="I1436" s="181" t="s">
        <v>242</v>
      </c>
      <c r="J1436" s="184" t="n">
        <v>49950</v>
      </c>
      <c r="K1436" s="184" t="n">
        <v>18900</v>
      </c>
      <c r="L1436" s="185" t="n">
        <v>28</v>
      </c>
      <c r="M1436" s="173" t="n">
        <v>31050</v>
      </c>
      <c r="N1436" s="184" t="n">
        <v>22356</v>
      </c>
      <c r="O1436" s="184" t="s">
        <v>3274</v>
      </c>
      <c r="P1436" s="187" t="n">
        <v>45970</v>
      </c>
      <c r="Q1436" s="188" t="n">
        <v>0.459189814814815</v>
      </c>
    </row>
    <row r="1437" customFormat="false" ht="35.05" hidden="false" customHeight="false" outlineLevel="0" collapsed="false">
      <c r="A1437" s="181" t="s">
        <v>3275</v>
      </c>
      <c r="B1437" s="182" t="n">
        <v>2998</v>
      </c>
      <c r="C1437" s="183" t="n">
        <v>331</v>
      </c>
      <c r="D1437" s="181" t="s">
        <v>2401</v>
      </c>
      <c r="E1437" s="181" t="s">
        <v>300</v>
      </c>
      <c r="F1437" s="181" t="s">
        <v>301</v>
      </c>
      <c r="G1437" s="181" t="s">
        <v>3217</v>
      </c>
      <c r="H1437" s="181" t="s">
        <v>279</v>
      </c>
      <c r="I1437" s="181" t="s">
        <v>242</v>
      </c>
      <c r="J1437" s="184" t="n">
        <v>61810</v>
      </c>
      <c r="K1437" s="184" t="n">
        <v>21330</v>
      </c>
      <c r="L1437" s="185" t="n">
        <v>23</v>
      </c>
      <c r="M1437" s="173" t="n">
        <v>40480</v>
      </c>
      <c r="N1437" s="184" t="n">
        <v>31169.6</v>
      </c>
      <c r="O1437" s="184" t="s">
        <v>3276</v>
      </c>
      <c r="P1437" s="187" t="n">
        <v>45970</v>
      </c>
      <c r="Q1437" s="188" t="n">
        <v>0.51287037037037</v>
      </c>
    </row>
    <row r="1438" customFormat="false" ht="35.05" hidden="false" customHeight="false" outlineLevel="0" collapsed="false">
      <c r="A1438" s="181" t="s">
        <v>3277</v>
      </c>
      <c r="B1438" s="182" t="n">
        <v>2999</v>
      </c>
      <c r="C1438" s="183" t="n">
        <v>333</v>
      </c>
      <c r="D1438" s="181" t="s">
        <v>2401</v>
      </c>
      <c r="E1438" s="181" t="s">
        <v>2351</v>
      </c>
      <c r="F1438" s="181" t="s">
        <v>2352</v>
      </c>
      <c r="G1438" s="181" t="s">
        <v>3217</v>
      </c>
      <c r="H1438" s="181" t="s">
        <v>279</v>
      </c>
      <c r="I1438" s="181" t="s">
        <v>242</v>
      </c>
      <c r="J1438" s="184" t="n">
        <v>44980</v>
      </c>
      <c r="K1438" s="184" t="n">
        <v>17590</v>
      </c>
      <c r="L1438" s="185" t="n">
        <v>37</v>
      </c>
      <c r="M1438" s="173" t="n">
        <v>27390</v>
      </c>
      <c r="N1438" s="184" t="n">
        <v>17255.7</v>
      </c>
      <c r="O1438" s="184" t="s">
        <v>3278</v>
      </c>
      <c r="P1438" s="187" t="n">
        <v>45970</v>
      </c>
      <c r="Q1438" s="188" t="n">
        <v>0.571446759259259</v>
      </c>
    </row>
    <row r="1439" customFormat="false" ht="35.05" hidden="false" customHeight="false" outlineLevel="0" collapsed="false">
      <c r="A1439" s="181" t="s">
        <v>3279</v>
      </c>
      <c r="B1439" s="182" t="n">
        <v>3000</v>
      </c>
      <c r="C1439" s="183" t="n">
        <v>334</v>
      </c>
      <c r="D1439" s="181" t="s">
        <v>2401</v>
      </c>
      <c r="E1439" s="181" t="s">
        <v>277</v>
      </c>
      <c r="F1439" s="181" t="s">
        <v>278</v>
      </c>
      <c r="G1439" s="181" t="s">
        <v>3217</v>
      </c>
      <c r="H1439" s="181" t="s">
        <v>279</v>
      </c>
      <c r="I1439" s="181" t="s">
        <v>242</v>
      </c>
      <c r="J1439" s="184" t="n">
        <v>40940</v>
      </c>
      <c r="K1439" s="184" t="n">
        <v>15200</v>
      </c>
      <c r="L1439" s="185" t="n">
        <v>39</v>
      </c>
      <c r="M1439" s="173" t="n">
        <v>25740</v>
      </c>
      <c r="N1439" s="184" t="n">
        <v>15701.4</v>
      </c>
      <c r="O1439" s="184" t="s">
        <v>3280</v>
      </c>
      <c r="P1439" s="187" t="n">
        <v>45970</v>
      </c>
      <c r="Q1439" s="188" t="n">
        <v>0.6003125</v>
      </c>
    </row>
    <row r="1440" customFormat="false" ht="35.05" hidden="false" customHeight="false" outlineLevel="0" collapsed="false">
      <c r="A1440" s="181" t="s">
        <v>3281</v>
      </c>
      <c r="B1440" s="182" t="n">
        <v>3001</v>
      </c>
      <c r="C1440" s="183" t="n">
        <v>335</v>
      </c>
      <c r="D1440" s="181" t="s">
        <v>2401</v>
      </c>
      <c r="E1440" s="181" t="s">
        <v>336</v>
      </c>
      <c r="F1440" s="181" t="s">
        <v>337</v>
      </c>
      <c r="G1440" s="181" t="s">
        <v>3217</v>
      </c>
      <c r="H1440" s="181" t="s">
        <v>279</v>
      </c>
      <c r="I1440" s="181" t="s">
        <v>242</v>
      </c>
      <c r="J1440" s="184" t="n">
        <v>38080</v>
      </c>
      <c r="K1440" s="184" t="n">
        <v>14600</v>
      </c>
      <c r="L1440" s="185" t="n">
        <v>34</v>
      </c>
      <c r="M1440" s="173" t="n">
        <v>23480</v>
      </c>
      <c r="N1440" s="184" t="n">
        <v>15496.8</v>
      </c>
      <c r="O1440" s="184" t="s">
        <v>3282</v>
      </c>
      <c r="P1440" s="187" t="n">
        <v>45970</v>
      </c>
      <c r="Q1440" s="188" t="n">
        <v>0.650231481481482</v>
      </c>
    </row>
    <row r="1441" customFormat="false" ht="35.05" hidden="false" customHeight="false" outlineLevel="0" collapsed="false">
      <c r="A1441" s="181" t="s">
        <v>3283</v>
      </c>
      <c r="B1441" s="182" t="n">
        <v>3002</v>
      </c>
      <c r="C1441" s="183" t="n">
        <v>336</v>
      </c>
      <c r="D1441" s="181" t="s">
        <v>2401</v>
      </c>
      <c r="E1441" s="181" t="s">
        <v>340</v>
      </c>
      <c r="F1441" s="181" t="s">
        <v>341</v>
      </c>
      <c r="G1441" s="181" t="s">
        <v>3217</v>
      </c>
      <c r="H1441" s="181" t="s">
        <v>279</v>
      </c>
      <c r="I1441" s="181" t="s">
        <v>242</v>
      </c>
      <c r="J1441" s="184" t="n">
        <v>38030</v>
      </c>
      <c r="K1441" s="184" t="n">
        <v>15230</v>
      </c>
      <c r="L1441" s="185" t="n">
        <v>27</v>
      </c>
      <c r="M1441" s="173" t="n">
        <v>22800</v>
      </c>
      <c r="N1441" s="184" t="n">
        <v>16644</v>
      </c>
      <c r="O1441" s="184" t="s">
        <v>3284</v>
      </c>
      <c r="P1441" s="187" t="n">
        <v>45970</v>
      </c>
      <c r="Q1441" s="188" t="n">
        <v>0.854918981481482</v>
      </c>
    </row>
    <row r="1442" customFormat="false" ht="35.05" hidden="false" customHeight="false" outlineLevel="0" collapsed="false">
      <c r="A1442" s="181" t="s">
        <v>3285</v>
      </c>
      <c r="B1442" s="182" t="n">
        <v>3003</v>
      </c>
      <c r="C1442" s="183" t="n">
        <v>337</v>
      </c>
      <c r="D1442" s="181" t="s">
        <v>2401</v>
      </c>
      <c r="E1442" s="181" t="s">
        <v>308</v>
      </c>
      <c r="F1442" s="181" t="s">
        <v>309</v>
      </c>
      <c r="G1442" s="181" t="s">
        <v>3217</v>
      </c>
      <c r="H1442" s="181" t="s">
        <v>279</v>
      </c>
      <c r="I1442" s="181" t="s">
        <v>242</v>
      </c>
      <c r="J1442" s="184" t="n">
        <v>62190</v>
      </c>
      <c r="K1442" s="184" t="n">
        <v>24320</v>
      </c>
      <c r="L1442" s="185" t="n">
        <v>23</v>
      </c>
      <c r="M1442" s="173" t="n">
        <v>37870</v>
      </c>
      <c r="N1442" s="184" t="n">
        <v>29159.9</v>
      </c>
      <c r="O1442" s="184" t="s">
        <v>3286</v>
      </c>
      <c r="P1442" s="187" t="n">
        <v>45970</v>
      </c>
      <c r="Q1442" s="188" t="n">
        <v>0.919143518518519</v>
      </c>
    </row>
    <row r="1443" customFormat="false" ht="35.05" hidden="false" customHeight="false" outlineLevel="0" collapsed="false">
      <c r="A1443" s="181" t="s">
        <v>3287</v>
      </c>
      <c r="B1443" s="182" t="n">
        <v>3004</v>
      </c>
      <c r="C1443" s="183" t="n">
        <v>338</v>
      </c>
      <c r="D1443" s="181" t="s">
        <v>2401</v>
      </c>
      <c r="E1443" s="181" t="s">
        <v>350</v>
      </c>
      <c r="F1443" s="181" t="s">
        <v>351</v>
      </c>
      <c r="G1443" s="181" t="s">
        <v>3217</v>
      </c>
      <c r="H1443" s="181" t="s">
        <v>279</v>
      </c>
      <c r="I1443" s="181" t="s">
        <v>242</v>
      </c>
      <c r="J1443" s="184" t="n">
        <v>41780</v>
      </c>
      <c r="K1443" s="184" t="n">
        <v>15240</v>
      </c>
      <c r="L1443" s="185" t="n">
        <v>18</v>
      </c>
      <c r="M1443" s="173" t="n">
        <v>26540</v>
      </c>
      <c r="N1443" s="184" t="n">
        <v>21762.8</v>
      </c>
      <c r="O1443" s="184" t="s">
        <v>3288</v>
      </c>
      <c r="P1443" s="187" t="n">
        <v>45970</v>
      </c>
      <c r="Q1443" s="188" t="n">
        <v>0.984606481481481</v>
      </c>
    </row>
    <row r="1444" customFormat="false" ht="35.05" hidden="false" customHeight="false" outlineLevel="0" collapsed="false">
      <c r="A1444" s="181" t="s">
        <v>3289</v>
      </c>
      <c r="B1444" s="182" t="n">
        <v>3005</v>
      </c>
      <c r="C1444" s="183" t="n">
        <v>339</v>
      </c>
      <c r="D1444" s="181" t="s">
        <v>2401</v>
      </c>
      <c r="E1444" s="181" t="s">
        <v>377</v>
      </c>
      <c r="F1444" s="181" t="s">
        <v>378</v>
      </c>
      <c r="G1444" s="181" t="s">
        <v>3217</v>
      </c>
      <c r="H1444" s="181" t="s">
        <v>279</v>
      </c>
      <c r="I1444" s="181" t="s">
        <v>242</v>
      </c>
      <c r="J1444" s="184" t="n">
        <v>43500</v>
      </c>
      <c r="K1444" s="184" t="n">
        <v>15920</v>
      </c>
      <c r="L1444" s="185" t="n">
        <v>23</v>
      </c>
      <c r="M1444" s="173" t="n">
        <v>27580</v>
      </c>
      <c r="N1444" s="184" t="n">
        <v>21236.6</v>
      </c>
      <c r="O1444" s="184" t="s">
        <v>3290</v>
      </c>
      <c r="P1444" s="187" t="n">
        <v>45970</v>
      </c>
      <c r="Q1444" s="188" t="n">
        <v>0.991956018518519</v>
      </c>
    </row>
    <row r="1445" customFormat="false" ht="35.05" hidden="false" customHeight="false" outlineLevel="0" collapsed="false">
      <c r="A1445" s="181" t="s">
        <v>3291</v>
      </c>
      <c r="B1445" s="182" t="n">
        <v>3006</v>
      </c>
      <c r="C1445" s="183" t="n">
        <v>340</v>
      </c>
      <c r="D1445" s="181" t="s">
        <v>2401</v>
      </c>
      <c r="E1445" s="181" t="s">
        <v>373</v>
      </c>
      <c r="F1445" s="181" t="s">
        <v>374</v>
      </c>
      <c r="G1445" s="181" t="s">
        <v>3217</v>
      </c>
      <c r="H1445" s="181" t="s">
        <v>279</v>
      </c>
      <c r="I1445" s="181" t="s">
        <v>242</v>
      </c>
      <c r="J1445" s="184" t="n">
        <v>41930</v>
      </c>
      <c r="K1445" s="184" t="n">
        <v>14610</v>
      </c>
      <c r="L1445" s="185" t="n">
        <v>19</v>
      </c>
      <c r="M1445" s="173" t="n">
        <v>27320</v>
      </c>
      <c r="N1445" s="184" t="n">
        <v>22129.2</v>
      </c>
      <c r="O1445" s="184" t="s">
        <v>3292</v>
      </c>
      <c r="P1445" s="187" t="n">
        <v>45970</v>
      </c>
      <c r="Q1445" s="188" t="n">
        <v>0.546979166666667</v>
      </c>
    </row>
    <row r="1446" customFormat="false" ht="35.05" hidden="false" customHeight="false" outlineLevel="0" collapsed="false">
      <c r="A1446" s="181" t="s">
        <v>3293</v>
      </c>
      <c r="B1446" s="182" t="n">
        <v>3008</v>
      </c>
      <c r="C1446" s="183" t="n">
        <v>341</v>
      </c>
      <c r="D1446" s="181" t="s">
        <v>2401</v>
      </c>
      <c r="E1446" s="181" t="s">
        <v>383</v>
      </c>
      <c r="F1446" s="181" t="s">
        <v>384</v>
      </c>
      <c r="G1446" s="181" t="s">
        <v>3217</v>
      </c>
      <c r="H1446" s="181" t="s">
        <v>279</v>
      </c>
      <c r="I1446" s="181" t="s">
        <v>242</v>
      </c>
      <c r="J1446" s="184" t="n">
        <v>40410</v>
      </c>
      <c r="K1446" s="184" t="n">
        <v>15120</v>
      </c>
      <c r="L1446" s="185" t="n">
        <v>21</v>
      </c>
      <c r="M1446" s="173" t="n">
        <v>25290</v>
      </c>
      <c r="N1446" s="184" t="n">
        <v>19979.1</v>
      </c>
      <c r="O1446" s="184" t="s">
        <v>3294</v>
      </c>
      <c r="P1446" s="187" t="n">
        <v>45970</v>
      </c>
      <c r="Q1446" s="188" t="n">
        <v>0.630104166666667</v>
      </c>
    </row>
    <row r="1447" customFormat="false" ht="35.05" hidden="false" customHeight="false" outlineLevel="0" collapsed="false">
      <c r="A1447" s="181" t="s">
        <v>3295</v>
      </c>
      <c r="B1447" s="182" t="n">
        <v>3009</v>
      </c>
      <c r="C1447" s="183" t="n">
        <v>342</v>
      </c>
      <c r="D1447" s="181" t="s">
        <v>2401</v>
      </c>
      <c r="E1447" s="181" t="s">
        <v>387</v>
      </c>
      <c r="F1447" s="181" t="s">
        <v>388</v>
      </c>
      <c r="G1447" s="181" t="s">
        <v>3217</v>
      </c>
      <c r="H1447" s="181" t="s">
        <v>279</v>
      </c>
      <c r="I1447" s="181" t="s">
        <v>242</v>
      </c>
      <c r="J1447" s="184" t="n">
        <v>44030</v>
      </c>
      <c r="K1447" s="184" t="n">
        <v>15320</v>
      </c>
      <c r="L1447" s="185" t="n">
        <v>26</v>
      </c>
      <c r="M1447" s="173" t="n">
        <v>28710</v>
      </c>
      <c r="N1447" s="184" t="n">
        <v>21245.4</v>
      </c>
      <c r="O1447" s="184" t="s">
        <v>3296</v>
      </c>
      <c r="P1447" s="187" t="n">
        <v>45970</v>
      </c>
      <c r="Q1447" s="188" t="n">
        <v>0.63755787037037</v>
      </c>
    </row>
    <row r="1448" customFormat="false" ht="35.05" hidden="false" customHeight="false" outlineLevel="0" collapsed="false">
      <c r="A1448" s="181" t="s">
        <v>3297</v>
      </c>
      <c r="B1448" s="182" t="n">
        <v>3010</v>
      </c>
      <c r="C1448" s="183" t="n">
        <v>343</v>
      </c>
      <c r="D1448" s="181" t="s">
        <v>2401</v>
      </c>
      <c r="E1448" s="181" t="s">
        <v>399</v>
      </c>
      <c r="F1448" s="181" t="s">
        <v>400</v>
      </c>
      <c r="G1448" s="181" t="s">
        <v>3217</v>
      </c>
      <c r="H1448" s="181" t="s">
        <v>279</v>
      </c>
      <c r="I1448" s="181" t="s">
        <v>242</v>
      </c>
      <c r="J1448" s="184" t="n">
        <v>52560</v>
      </c>
      <c r="K1448" s="184" t="n">
        <v>19660</v>
      </c>
      <c r="L1448" s="185" t="n">
        <v>40</v>
      </c>
      <c r="M1448" s="173" t="n">
        <v>32900</v>
      </c>
      <c r="N1448" s="184" t="n">
        <v>19740</v>
      </c>
      <c r="O1448" s="184" t="s">
        <v>3298</v>
      </c>
      <c r="P1448" s="187" t="n">
        <v>45970</v>
      </c>
      <c r="Q1448" s="188" t="n">
        <v>0.657835648148148</v>
      </c>
    </row>
    <row r="1449" customFormat="false" ht="35.05" hidden="false" customHeight="false" outlineLevel="0" collapsed="false">
      <c r="A1449" s="181" t="s">
        <v>3299</v>
      </c>
      <c r="B1449" s="182" t="n">
        <v>3011</v>
      </c>
      <c r="C1449" s="183" t="n">
        <v>344</v>
      </c>
      <c r="D1449" s="181" t="s">
        <v>2401</v>
      </c>
      <c r="E1449" s="181" t="s">
        <v>409</v>
      </c>
      <c r="F1449" s="181" t="s">
        <v>410</v>
      </c>
      <c r="G1449" s="181" t="s">
        <v>3217</v>
      </c>
      <c r="H1449" s="181" t="s">
        <v>279</v>
      </c>
      <c r="I1449" s="181" t="s">
        <v>242</v>
      </c>
      <c r="J1449" s="184" t="n">
        <v>65320</v>
      </c>
      <c r="K1449" s="184" t="n">
        <v>24720</v>
      </c>
      <c r="L1449" s="185" t="n">
        <v>17</v>
      </c>
      <c r="M1449" s="173" t="n">
        <v>40600</v>
      </c>
      <c r="N1449" s="184" t="n">
        <v>33698</v>
      </c>
      <c r="O1449" s="184" t="s">
        <v>3300</v>
      </c>
      <c r="P1449" s="187" t="n">
        <v>45970</v>
      </c>
      <c r="Q1449" s="188" t="n">
        <v>0.773715277777778</v>
      </c>
    </row>
    <row r="1450" customFormat="false" ht="46.25" hidden="false" customHeight="false" outlineLevel="0" collapsed="false">
      <c r="A1450" s="181" t="s">
        <v>3301</v>
      </c>
      <c r="B1450" s="182" t="n">
        <v>2932</v>
      </c>
      <c r="C1450" s="183" t="n">
        <v>8336</v>
      </c>
      <c r="D1450" s="181" t="s">
        <v>2066</v>
      </c>
      <c r="E1450" s="181" t="s">
        <v>413</v>
      </c>
      <c r="F1450" s="181" t="s">
        <v>414</v>
      </c>
      <c r="G1450" s="181" t="s">
        <v>2067</v>
      </c>
      <c r="H1450" s="181" t="s">
        <v>158</v>
      </c>
      <c r="I1450" s="181" t="s">
        <v>241</v>
      </c>
      <c r="J1450" s="184" t="n">
        <v>49130</v>
      </c>
      <c r="K1450" s="184" t="n">
        <v>15960</v>
      </c>
      <c r="L1450" s="185" t="n">
        <v>19</v>
      </c>
      <c r="M1450" s="173" t="n">
        <v>28149.7</v>
      </c>
      <c r="N1450" s="184" t="n">
        <v>22801.3</v>
      </c>
      <c r="O1450" s="184" t="s">
        <v>3302</v>
      </c>
      <c r="P1450" s="187" t="n">
        <v>45966</v>
      </c>
      <c r="Q1450" s="188" t="n">
        <v>0.211921296296296</v>
      </c>
    </row>
    <row r="1451" customFormat="false" ht="35.05" hidden="false" customHeight="false" outlineLevel="0" collapsed="false">
      <c r="A1451" s="181" t="s">
        <v>3303</v>
      </c>
      <c r="B1451" s="182" t="n">
        <v>3012</v>
      </c>
      <c r="C1451" s="183" t="n">
        <v>345</v>
      </c>
      <c r="D1451" s="181" t="s">
        <v>2401</v>
      </c>
      <c r="E1451" s="181" t="s">
        <v>413</v>
      </c>
      <c r="F1451" s="181" t="s">
        <v>414</v>
      </c>
      <c r="G1451" s="181" t="s">
        <v>3217</v>
      </c>
      <c r="H1451" s="181" t="s">
        <v>279</v>
      </c>
      <c r="I1451" s="181" t="s">
        <v>242</v>
      </c>
      <c r="J1451" s="184" t="n">
        <v>46980</v>
      </c>
      <c r="K1451" s="184" t="n">
        <v>16090</v>
      </c>
      <c r="L1451" s="185" t="n">
        <v>26</v>
      </c>
      <c r="M1451" s="173" t="n">
        <v>30890</v>
      </c>
      <c r="N1451" s="184" t="n">
        <v>22858.6</v>
      </c>
      <c r="O1451" s="184" t="s">
        <v>3304</v>
      </c>
      <c r="P1451" s="187" t="n">
        <v>45970</v>
      </c>
      <c r="Q1451" s="188" t="n">
        <v>0.785162037037037</v>
      </c>
    </row>
    <row r="1452" customFormat="false" ht="35.05" hidden="false" customHeight="false" outlineLevel="0" collapsed="false">
      <c r="A1452" s="181" t="s">
        <v>3305</v>
      </c>
      <c r="B1452" s="182" t="n">
        <v>3013</v>
      </c>
      <c r="C1452" s="183" t="n">
        <v>348</v>
      </c>
      <c r="D1452" s="181" t="s">
        <v>2401</v>
      </c>
      <c r="E1452" s="181" t="s">
        <v>292</v>
      </c>
      <c r="F1452" s="181" t="s">
        <v>293</v>
      </c>
      <c r="G1452" s="181" t="s">
        <v>3217</v>
      </c>
      <c r="H1452" s="181" t="s">
        <v>279</v>
      </c>
      <c r="I1452" s="181" t="s">
        <v>242</v>
      </c>
      <c r="J1452" s="184" t="n">
        <v>35360</v>
      </c>
      <c r="K1452" s="184" t="n">
        <v>13940</v>
      </c>
      <c r="L1452" s="185" t="n">
        <v>33</v>
      </c>
      <c r="M1452" s="173" t="n">
        <v>21420</v>
      </c>
      <c r="N1452" s="184" t="n">
        <v>14351.4</v>
      </c>
      <c r="O1452" s="184" t="s">
        <v>3306</v>
      </c>
      <c r="P1452" s="187" t="n">
        <v>45970</v>
      </c>
      <c r="Q1452" s="188" t="n">
        <v>0.797569444444444</v>
      </c>
    </row>
    <row r="1453" customFormat="false" ht="35.05" hidden="false" customHeight="false" outlineLevel="0" collapsed="false">
      <c r="A1453" s="181" t="s">
        <v>3307</v>
      </c>
      <c r="B1453" s="182" t="n">
        <v>3014</v>
      </c>
      <c r="C1453" s="183" t="n">
        <v>347</v>
      </c>
      <c r="D1453" s="181" t="s">
        <v>2401</v>
      </c>
      <c r="E1453" s="181" t="s">
        <v>359</v>
      </c>
      <c r="F1453" s="181" t="s">
        <v>360</v>
      </c>
      <c r="G1453" s="181" t="s">
        <v>3217</v>
      </c>
      <c r="H1453" s="181" t="s">
        <v>279</v>
      </c>
      <c r="I1453" s="181" t="s">
        <v>242</v>
      </c>
      <c r="J1453" s="184" t="n">
        <v>37640</v>
      </c>
      <c r="K1453" s="184" t="n">
        <v>15090</v>
      </c>
      <c r="L1453" s="185" t="n">
        <v>47</v>
      </c>
      <c r="M1453" s="173" t="n">
        <v>22550</v>
      </c>
      <c r="N1453" s="184" t="n">
        <v>11951.5</v>
      </c>
      <c r="O1453" s="184" t="s">
        <v>3308</v>
      </c>
      <c r="P1453" s="187" t="n">
        <v>45970</v>
      </c>
      <c r="Q1453" s="188" t="n">
        <v>0.801793981481482</v>
      </c>
    </row>
    <row r="1454" customFormat="false" ht="35.05" hidden="false" customHeight="false" outlineLevel="0" collapsed="false">
      <c r="A1454" s="181" t="s">
        <v>3309</v>
      </c>
      <c r="B1454" s="182" t="n">
        <v>3015</v>
      </c>
      <c r="C1454" s="183" t="n">
        <v>346</v>
      </c>
      <c r="D1454" s="181" t="s">
        <v>2401</v>
      </c>
      <c r="E1454" s="181" t="s">
        <v>354</v>
      </c>
      <c r="F1454" s="181" t="s">
        <v>355</v>
      </c>
      <c r="G1454" s="181" t="s">
        <v>3217</v>
      </c>
      <c r="H1454" s="181" t="s">
        <v>279</v>
      </c>
      <c r="I1454" s="181" t="s">
        <v>242</v>
      </c>
      <c r="J1454" s="184" t="n">
        <v>37810</v>
      </c>
      <c r="K1454" s="184" t="n">
        <v>14970</v>
      </c>
      <c r="L1454" s="185" t="n">
        <v>36</v>
      </c>
      <c r="M1454" s="173" t="n">
        <v>22840</v>
      </c>
      <c r="N1454" s="184" t="n">
        <v>14617.6</v>
      </c>
      <c r="O1454" s="184" t="s">
        <v>3310</v>
      </c>
      <c r="P1454" s="187" t="n">
        <v>45970</v>
      </c>
      <c r="Q1454" s="188" t="n">
        <v>0.803946759259259</v>
      </c>
    </row>
    <row r="1455" customFormat="false" ht="35.05" hidden="false" customHeight="false" outlineLevel="0" collapsed="false">
      <c r="A1455" s="181" t="s">
        <v>3311</v>
      </c>
      <c r="B1455" s="182" t="n">
        <v>3016</v>
      </c>
      <c r="C1455" s="183" t="n">
        <v>349</v>
      </c>
      <c r="D1455" s="181" t="s">
        <v>2401</v>
      </c>
      <c r="E1455" s="181" t="s">
        <v>529</v>
      </c>
      <c r="F1455" s="181" t="s">
        <v>530</v>
      </c>
      <c r="G1455" s="181" t="s">
        <v>3217</v>
      </c>
      <c r="H1455" s="181" t="s">
        <v>279</v>
      </c>
      <c r="I1455" s="181" t="s">
        <v>242</v>
      </c>
      <c r="J1455" s="184" t="n">
        <v>36200</v>
      </c>
      <c r="K1455" s="184" t="n">
        <v>14980</v>
      </c>
      <c r="L1455" s="185" t="n">
        <v>39</v>
      </c>
      <c r="M1455" s="173" t="n">
        <v>21220</v>
      </c>
      <c r="N1455" s="184" t="n">
        <v>12944.2</v>
      </c>
      <c r="O1455" s="184" t="s">
        <v>3312</v>
      </c>
      <c r="P1455" s="187" t="n">
        <v>45970</v>
      </c>
      <c r="Q1455" s="188" t="n">
        <v>0.858657407407407</v>
      </c>
    </row>
    <row r="1456" customFormat="false" ht="35.05" hidden="false" customHeight="false" outlineLevel="0" collapsed="false">
      <c r="A1456" s="181" t="s">
        <v>3313</v>
      </c>
      <c r="B1456" s="182" t="n">
        <v>3017</v>
      </c>
      <c r="C1456" s="183" t="n">
        <v>350</v>
      </c>
      <c r="D1456" s="181" t="s">
        <v>2401</v>
      </c>
      <c r="E1456" s="181" t="s">
        <v>391</v>
      </c>
      <c r="F1456" s="181" t="s">
        <v>392</v>
      </c>
      <c r="G1456" s="181" t="s">
        <v>3217</v>
      </c>
      <c r="H1456" s="181" t="s">
        <v>279</v>
      </c>
      <c r="I1456" s="181" t="s">
        <v>242</v>
      </c>
      <c r="J1456" s="184" t="n">
        <v>34090</v>
      </c>
      <c r="K1456" s="184" t="n">
        <v>14640</v>
      </c>
      <c r="L1456" s="185" t="n">
        <v>43</v>
      </c>
      <c r="M1456" s="173" t="n">
        <v>19450</v>
      </c>
      <c r="N1456" s="184" t="n">
        <v>11086.5</v>
      </c>
      <c r="O1456" s="184" t="s">
        <v>3314</v>
      </c>
      <c r="P1456" s="187" t="n">
        <v>45970</v>
      </c>
      <c r="Q1456" s="188" t="n">
        <v>0.861990740740741</v>
      </c>
    </row>
    <row r="1457" customFormat="false" ht="35.05" hidden="false" customHeight="false" outlineLevel="0" collapsed="false">
      <c r="A1457" s="181" t="s">
        <v>3315</v>
      </c>
      <c r="B1457" s="182" t="n">
        <v>3018</v>
      </c>
      <c r="C1457" s="183" t="n">
        <v>351</v>
      </c>
      <c r="D1457" s="181" t="s">
        <v>2401</v>
      </c>
      <c r="E1457" s="181" t="s">
        <v>367</v>
      </c>
      <c r="F1457" s="181" t="s">
        <v>368</v>
      </c>
      <c r="G1457" s="181" t="s">
        <v>3217</v>
      </c>
      <c r="H1457" s="181" t="s">
        <v>279</v>
      </c>
      <c r="I1457" s="181" t="s">
        <v>242</v>
      </c>
      <c r="J1457" s="184" t="n">
        <v>50930</v>
      </c>
      <c r="K1457" s="184" t="n">
        <v>18800</v>
      </c>
      <c r="L1457" s="185" t="n">
        <v>27</v>
      </c>
      <c r="M1457" s="173" t="n">
        <v>32130</v>
      </c>
      <c r="N1457" s="184" t="n">
        <v>23454.9</v>
      </c>
      <c r="O1457" s="184" t="s">
        <v>3316</v>
      </c>
      <c r="P1457" s="187" t="n">
        <v>45970</v>
      </c>
      <c r="Q1457" s="188" t="n">
        <v>0.934363425925926</v>
      </c>
    </row>
    <row r="1458" customFormat="false" ht="35.05" hidden="false" customHeight="false" outlineLevel="0" collapsed="false">
      <c r="A1458" s="181" t="s">
        <v>3317</v>
      </c>
      <c r="B1458" s="182" t="n">
        <v>3019</v>
      </c>
      <c r="C1458" s="183" t="n">
        <v>353</v>
      </c>
      <c r="D1458" s="181" t="s">
        <v>2401</v>
      </c>
      <c r="E1458" s="181" t="s">
        <v>266</v>
      </c>
      <c r="F1458" s="181" t="s">
        <v>267</v>
      </c>
      <c r="G1458" s="181" t="s">
        <v>3217</v>
      </c>
      <c r="H1458" s="181" t="s">
        <v>279</v>
      </c>
      <c r="I1458" s="181" t="s">
        <v>242</v>
      </c>
      <c r="J1458" s="184" t="n">
        <v>26840</v>
      </c>
      <c r="K1458" s="184" t="n">
        <v>14980</v>
      </c>
      <c r="L1458" s="185" t="n">
        <v>37</v>
      </c>
      <c r="M1458" s="173" t="n">
        <v>11860</v>
      </c>
      <c r="N1458" s="184" t="n">
        <v>7471.8</v>
      </c>
      <c r="O1458" s="184" t="s">
        <v>3318</v>
      </c>
      <c r="P1458" s="187" t="n">
        <v>45970</v>
      </c>
      <c r="Q1458" s="188" t="n">
        <v>0.956967592592593</v>
      </c>
    </row>
    <row r="1459" customFormat="false" ht="35.05" hidden="false" customHeight="false" outlineLevel="0" collapsed="false">
      <c r="A1459" s="181" t="s">
        <v>3319</v>
      </c>
      <c r="B1459" s="182" t="n">
        <v>3020</v>
      </c>
      <c r="C1459" s="183" t="n">
        <v>352</v>
      </c>
      <c r="D1459" s="181" t="s">
        <v>2401</v>
      </c>
      <c r="E1459" s="181" t="s">
        <v>300</v>
      </c>
      <c r="F1459" s="181" t="s">
        <v>301</v>
      </c>
      <c r="G1459" s="181" t="s">
        <v>3217</v>
      </c>
      <c r="H1459" s="181" t="s">
        <v>279</v>
      </c>
      <c r="I1459" s="181" t="s">
        <v>242</v>
      </c>
      <c r="J1459" s="184" t="n">
        <v>45980</v>
      </c>
      <c r="K1459" s="184" t="n">
        <v>21380</v>
      </c>
      <c r="L1459" s="185" t="n">
        <v>35</v>
      </c>
      <c r="M1459" s="173" t="n">
        <v>24600</v>
      </c>
      <c r="N1459" s="184" t="n">
        <v>15990</v>
      </c>
      <c r="O1459" s="184" t="s">
        <v>3320</v>
      </c>
      <c r="P1459" s="187" t="n">
        <v>45970</v>
      </c>
      <c r="Q1459" s="188" t="n">
        <v>0.96318287037037</v>
      </c>
    </row>
    <row r="1460" customFormat="false" ht="35.05" hidden="false" customHeight="false" outlineLevel="0" collapsed="false">
      <c r="A1460" s="181" t="s">
        <v>3321</v>
      </c>
      <c r="B1460" s="182" t="n">
        <v>2932</v>
      </c>
      <c r="C1460" s="183" t="n">
        <v>8336</v>
      </c>
      <c r="D1460" s="181" t="s">
        <v>2401</v>
      </c>
      <c r="E1460" s="181" t="s">
        <v>413</v>
      </c>
      <c r="F1460" s="181" t="s">
        <v>414</v>
      </c>
      <c r="G1460" s="181" t="s">
        <v>2715</v>
      </c>
      <c r="H1460" s="181" t="s">
        <v>158</v>
      </c>
      <c r="I1460" s="181" t="s">
        <v>242</v>
      </c>
      <c r="J1460" s="184" t="n">
        <v>49130</v>
      </c>
      <c r="K1460" s="184" t="n">
        <v>15960</v>
      </c>
      <c r="L1460" s="185" t="n">
        <v>19</v>
      </c>
      <c r="M1460" s="173" t="n">
        <v>5020.3</v>
      </c>
      <c r="N1460" s="184" t="n">
        <v>4066.4</v>
      </c>
      <c r="O1460" s="184" t="s">
        <v>3322</v>
      </c>
      <c r="P1460" s="187" t="s">
        <v>3323</v>
      </c>
      <c r="Q1460" s="188" t="n">
        <v>0.211921296296296</v>
      </c>
    </row>
    <row r="1461" customFormat="false" ht="15" hidden="false" customHeight="false" outlineLevel="0" collapsed="false">
      <c r="A1461" s="181"/>
      <c r="B1461" s="182"/>
      <c r="C1461" s="183"/>
      <c r="D1461" s="181"/>
      <c r="E1461" s="181"/>
      <c r="F1461" s="181"/>
      <c r="G1461" s="181"/>
      <c r="H1461" s="181"/>
      <c r="I1461" s="181"/>
      <c r="J1461" s="184"/>
      <c r="K1461" s="184"/>
      <c r="L1461" s="185"/>
      <c r="N1461" s="184"/>
      <c r="O1461" s="184"/>
      <c r="P1461" s="187"/>
      <c r="Q1461" s="188"/>
    </row>
    <row r="1462" customFormat="false" ht="15" hidden="false" customHeight="false" outlineLevel="0" collapsed="false">
      <c r="A1462" s="181"/>
      <c r="B1462" s="182"/>
      <c r="C1462" s="183"/>
      <c r="D1462" s="181"/>
      <c r="E1462" s="181"/>
      <c r="F1462" s="181"/>
      <c r="G1462" s="181"/>
      <c r="H1462" s="181"/>
      <c r="I1462" s="181"/>
      <c r="J1462" s="184"/>
      <c r="K1462" s="184"/>
      <c r="L1462" s="185"/>
      <c r="N1462" s="184"/>
      <c r="O1462" s="184"/>
      <c r="P1462" s="187"/>
      <c r="Q1462" s="188"/>
    </row>
    <row r="1463" customFormat="false" ht="15" hidden="false" customHeight="false" outlineLevel="0" collapsed="false">
      <c r="A1463" s="181"/>
      <c r="B1463" s="182"/>
      <c r="C1463" s="183"/>
      <c r="D1463" s="181"/>
      <c r="E1463" s="181"/>
      <c r="F1463" s="181"/>
      <c r="G1463" s="181"/>
      <c r="H1463" s="181"/>
      <c r="I1463" s="181"/>
      <c r="J1463" s="184"/>
      <c r="K1463" s="184"/>
      <c r="L1463" s="185"/>
      <c r="N1463" s="184"/>
      <c r="O1463" s="184"/>
      <c r="P1463" s="187"/>
      <c r="Q1463" s="188"/>
    </row>
    <row r="1464" customFormat="false" ht="15" hidden="false" customHeight="false" outlineLevel="0" collapsed="false">
      <c r="A1464" s="181"/>
      <c r="B1464" s="182"/>
      <c r="C1464" s="183"/>
      <c r="D1464" s="181"/>
      <c r="E1464" s="181"/>
      <c r="F1464" s="181"/>
      <c r="G1464" s="181"/>
      <c r="H1464" s="181"/>
      <c r="I1464" s="181"/>
      <c r="J1464" s="184"/>
      <c r="K1464" s="184"/>
      <c r="L1464" s="185"/>
      <c r="N1464" s="184"/>
      <c r="O1464" s="184"/>
      <c r="P1464" s="187"/>
      <c r="Q1464" s="188"/>
    </row>
    <row r="1465" customFormat="false" ht="15" hidden="false" customHeight="false" outlineLevel="0" collapsed="false">
      <c r="A1465" s="181"/>
      <c r="B1465" s="182"/>
      <c r="C1465" s="183"/>
      <c r="D1465" s="181"/>
      <c r="E1465" s="181"/>
      <c r="F1465" s="181"/>
      <c r="G1465" s="181"/>
      <c r="H1465" s="181"/>
      <c r="I1465" s="181"/>
      <c r="J1465" s="184"/>
      <c r="K1465" s="184"/>
      <c r="L1465" s="185"/>
      <c r="N1465" s="184"/>
      <c r="O1465" s="184"/>
      <c r="P1465" s="187"/>
      <c r="Q1465" s="188"/>
    </row>
    <row r="1466" customFormat="false" ht="15" hidden="false" customHeight="false" outlineLevel="0" collapsed="false">
      <c r="A1466" s="190"/>
      <c r="B1466" s="191"/>
      <c r="C1466" s="192"/>
      <c r="D1466" s="190"/>
      <c r="E1466" s="190"/>
      <c r="F1466" s="190"/>
      <c r="G1466" s="190"/>
      <c r="H1466" s="190"/>
      <c r="I1466" s="190"/>
      <c r="J1466" s="173"/>
      <c r="K1466" s="173"/>
      <c r="L1466" s="193"/>
      <c r="M1466" s="173" t="n">
        <f aca="false">SUBTOTAL(109,Таблица2[Вес нетто])</f>
        <v>36342180</v>
      </c>
      <c r="N1466" s="173"/>
      <c r="O1466" s="184"/>
      <c r="P1466" s="187"/>
      <c r="Q1466" s="18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6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1455" activePane="bottomLeft" state="frozen"/>
      <selection pane="topLeft" activeCell="A1" activeCellId="0" sqref="A1"/>
      <selection pane="bottomLeft" activeCell="E1464" activeCellId="0" sqref="E1464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3.57"/>
    <col collapsed="false" customWidth="true" hidden="false" outlineLevel="0" max="2" min="2" style="0" width="17.71"/>
    <col collapsed="false" customWidth="true" hidden="false" outlineLevel="0" max="4" min="4" style="0" width="18.29"/>
    <col collapsed="false" customWidth="true" hidden="false" outlineLevel="0" max="5" min="5" style="0" width="19.29"/>
    <col collapsed="false" customWidth="true" hidden="false" outlineLevel="0" max="6" min="6" style="0" width="13.15"/>
    <col collapsed="false" customWidth="true" hidden="false" outlineLevel="0" max="9" min="9" style="0" width="18.42"/>
    <col collapsed="false" customWidth="true" hidden="false" outlineLevel="0" max="13" min="13" style="0" width="14"/>
    <col collapsed="false" customWidth="true" hidden="false" outlineLevel="0" max="14" min="14" style="0" width="10.42"/>
    <col collapsed="false" customWidth="true" hidden="false" outlineLevel="0" max="15" min="15" style="0" width="12.42"/>
    <col collapsed="false" customWidth="true" hidden="false" outlineLevel="0" max="16" min="16" style="0" width="13.86"/>
  </cols>
  <sheetData>
    <row r="1" customFormat="false" ht="68.65" hidden="false" customHeight="false" outlineLevel="0" collapsed="false">
      <c r="A1" s="194" t="s">
        <v>244</v>
      </c>
      <c r="B1" s="194" t="s">
        <v>245</v>
      </c>
      <c r="C1" s="194" t="s">
        <v>246</v>
      </c>
      <c r="D1" s="194" t="s">
        <v>211</v>
      </c>
      <c r="E1" s="194" t="s">
        <v>247</v>
      </c>
      <c r="F1" s="194" t="s">
        <v>248</v>
      </c>
      <c r="G1" s="194" t="s">
        <v>249</v>
      </c>
      <c r="H1" s="194" t="s">
        <v>250</v>
      </c>
      <c r="I1" s="194" t="s">
        <v>251</v>
      </c>
      <c r="J1" s="194" t="s">
        <v>252</v>
      </c>
      <c r="K1" s="194" t="s">
        <v>253</v>
      </c>
      <c r="L1" s="194" t="s">
        <v>254</v>
      </c>
      <c r="M1" s="194" t="s">
        <v>255</v>
      </c>
      <c r="N1" s="194" t="s">
        <v>256</v>
      </c>
      <c r="O1" s="195" t="s">
        <v>3324</v>
      </c>
      <c r="P1" s="196" t="s">
        <v>213</v>
      </c>
    </row>
    <row r="2" customFormat="false" ht="51" hidden="false" customHeight="true" outlineLevel="0" collapsed="false">
      <c r="A2" s="181" t="s">
        <v>259</v>
      </c>
      <c r="B2" s="182" t="n">
        <v>819</v>
      </c>
      <c r="C2" s="183" t="n">
        <v>15</v>
      </c>
      <c r="D2" s="181" t="s">
        <v>260</v>
      </c>
      <c r="E2" s="181" t="s">
        <v>261</v>
      </c>
      <c r="F2" s="181" t="s">
        <v>262</v>
      </c>
      <c r="G2" s="181"/>
      <c r="H2" s="181" t="s">
        <v>263</v>
      </c>
      <c r="I2" s="181" t="s">
        <v>238</v>
      </c>
      <c r="J2" s="184" t="n">
        <v>36230</v>
      </c>
      <c r="K2" s="184" t="n">
        <v>15040</v>
      </c>
      <c r="L2" s="185" t="n">
        <v>5</v>
      </c>
      <c r="M2" s="184" t="n">
        <v>21190</v>
      </c>
      <c r="N2" s="184" t="n">
        <v>20130.5</v>
      </c>
      <c r="O2" s="186" t="s">
        <v>264</v>
      </c>
      <c r="P2" s="187" t="n">
        <v>45873</v>
      </c>
    </row>
    <row r="3" customFormat="false" ht="51" hidden="false" customHeight="true" outlineLevel="0" collapsed="false">
      <c r="A3" s="181" t="s">
        <v>265</v>
      </c>
      <c r="B3" s="182" t="n">
        <v>820</v>
      </c>
      <c r="C3" s="183" t="n">
        <v>14</v>
      </c>
      <c r="D3" s="181" t="s">
        <v>260</v>
      </c>
      <c r="E3" s="181" t="s">
        <v>266</v>
      </c>
      <c r="F3" s="181" t="s">
        <v>267</v>
      </c>
      <c r="G3" s="181"/>
      <c r="H3" s="181" t="s">
        <v>263</v>
      </c>
      <c r="I3" s="181" t="s">
        <v>238</v>
      </c>
      <c r="J3" s="184" t="n">
        <v>37090</v>
      </c>
      <c r="K3" s="184" t="n">
        <v>14910</v>
      </c>
      <c r="L3" s="185" t="n">
        <v>7</v>
      </c>
      <c r="M3" s="184" t="n">
        <v>22180</v>
      </c>
      <c r="N3" s="184" t="n">
        <v>20627.4</v>
      </c>
      <c r="O3" s="186" t="s">
        <v>268</v>
      </c>
      <c r="P3" s="187" t="n">
        <v>45873</v>
      </c>
    </row>
    <row r="4" customFormat="false" ht="51" hidden="false" customHeight="true" outlineLevel="0" collapsed="false">
      <c r="A4" s="181" t="s">
        <v>269</v>
      </c>
      <c r="B4" s="182" t="n">
        <v>823</v>
      </c>
      <c r="C4" s="183" t="n">
        <v>29</v>
      </c>
      <c r="D4" s="181" t="s">
        <v>260</v>
      </c>
      <c r="E4" s="181" t="s">
        <v>261</v>
      </c>
      <c r="F4" s="181" t="s">
        <v>262</v>
      </c>
      <c r="G4" s="181"/>
      <c r="H4" s="181" t="s">
        <v>263</v>
      </c>
      <c r="I4" s="181" t="s">
        <v>238</v>
      </c>
      <c r="J4" s="184" t="n">
        <v>37890</v>
      </c>
      <c r="K4" s="184" t="n">
        <v>15090</v>
      </c>
      <c r="L4" s="185" t="n">
        <v>5</v>
      </c>
      <c r="M4" s="184" t="n">
        <v>22800</v>
      </c>
      <c r="N4" s="184" t="n">
        <v>21660</v>
      </c>
      <c r="O4" s="186" t="s">
        <v>270</v>
      </c>
      <c r="P4" s="187" t="n">
        <v>45875</v>
      </c>
    </row>
    <row r="5" customFormat="false" ht="51" hidden="false" customHeight="true" outlineLevel="0" collapsed="false">
      <c r="A5" s="181" t="s">
        <v>271</v>
      </c>
      <c r="B5" s="182" t="n">
        <v>824</v>
      </c>
      <c r="C5" s="183" t="n">
        <v>30</v>
      </c>
      <c r="D5" s="181" t="s">
        <v>260</v>
      </c>
      <c r="E5" s="181" t="s">
        <v>272</v>
      </c>
      <c r="F5" s="181" t="s">
        <v>273</v>
      </c>
      <c r="G5" s="181"/>
      <c r="H5" s="181" t="s">
        <v>263</v>
      </c>
      <c r="I5" s="181" t="s">
        <v>238</v>
      </c>
      <c r="J5" s="184" t="n">
        <v>37200</v>
      </c>
      <c r="K5" s="184" t="n">
        <v>15430</v>
      </c>
      <c r="L5" s="185" t="n">
        <v>6</v>
      </c>
      <c r="M5" s="184" t="n">
        <v>21770</v>
      </c>
      <c r="N5" s="184" t="n">
        <v>20463.8</v>
      </c>
      <c r="O5" s="186" t="s">
        <v>274</v>
      </c>
      <c r="P5" s="187" t="n">
        <v>45875</v>
      </c>
    </row>
    <row r="6" customFormat="false" ht="51" hidden="false" customHeight="true" outlineLevel="0" collapsed="false">
      <c r="A6" s="181" t="s">
        <v>275</v>
      </c>
      <c r="B6" s="182" t="n">
        <v>829</v>
      </c>
      <c r="C6" s="183" t="n">
        <v>83</v>
      </c>
      <c r="D6" s="181" t="s">
        <v>276</v>
      </c>
      <c r="E6" s="181" t="s">
        <v>277</v>
      </c>
      <c r="F6" s="181" t="s">
        <v>278</v>
      </c>
      <c r="G6" s="181"/>
      <c r="H6" s="181" t="s">
        <v>279</v>
      </c>
      <c r="I6" s="181" t="s">
        <v>229</v>
      </c>
      <c r="J6" s="184" t="n">
        <v>41870</v>
      </c>
      <c r="K6" s="184" t="n">
        <v>15090</v>
      </c>
      <c r="L6" s="185" t="n">
        <v>8</v>
      </c>
      <c r="M6" s="184" t="n">
        <v>26780</v>
      </c>
      <c r="N6" s="184" t="n">
        <v>24637.6</v>
      </c>
      <c r="O6" s="186" t="s">
        <v>280</v>
      </c>
      <c r="P6" s="187" t="n">
        <v>45875</v>
      </c>
    </row>
    <row r="7" customFormat="false" ht="51" hidden="false" customHeight="true" outlineLevel="0" collapsed="false">
      <c r="A7" s="181" t="s">
        <v>281</v>
      </c>
      <c r="B7" s="182" t="n">
        <v>834</v>
      </c>
      <c r="C7" s="183" t="n">
        <v>84</v>
      </c>
      <c r="D7" s="181" t="s">
        <v>276</v>
      </c>
      <c r="E7" s="181" t="s">
        <v>282</v>
      </c>
      <c r="F7" s="181" t="s">
        <v>283</v>
      </c>
      <c r="G7" s="181"/>
      <c r="H7" s="181" t="s">
        <v>279</v>
      </c>
      <c r="I7" s="181" t="s">
        <v>229</v>
      </c>
      <c r="J7" s="184" t="n">
        <v>37590</v>
      </c>
      <c r="K7" s="184" t="n">
        <v>15090</v>
      </c>
      <c r="L7" s="185" t="n">
        <v>7</v>
      </c>
      <c r="M7" s="184" t="n">
        <v>22500</v>
      </c>
      <c r="N7" s="184" t="n">
        <v>20925</v>
      </c>
      <c r="O7" s="186" t="s">
        <v>284</v>
      </c>
      <c r="P7" s="187" t="n">
        <v>45875</v>
      </c>
    </row>
    <row r="8" customFormat="false" ht="51" hidden="false" customHeight="true" outlineLevel="0" collapsed="false">
      <c r="A8" s="181" t="s">
        <v>285</v>
      </c>
      <c r="B8" s="182" t="n">
        <v>836</v>
      </c>
      <c r="C8" s="183" t="n">
        <v>85</v>
      </c>
      <c r="D8" s="181" t="s">
        <v>276</v>
      </c>
      <c r="E8" s="181" t="s">
        <v>266</v>
      </c>
      <c r="F8" s="181" t="s">
        <v>267</v>
      </c>
      <c r="G8" s="181"/>
      <c r="H8" s="181" t="s">
        <v>279</v>
      </c>
      <c r="I8" s="181" t="s">
        <v>229</v>
      </c>
      <c r="J8" s="184" t="n">
        <v>38810</v>
      </c>
      <c r="K8" s="184" t="n">
        <v>14990</v>
      </c>
      <c r="L8" s="185" t="n">
        <v>5</v>
      </c>
      <c r="M8" s="184" t="n">
        <v>23820</v>
      </c>
      <c r="N8" s="184" t="n">
        <v>22629</v>
      </c>
      <c r="O8" s="186" t="s">
        <v>286</v>
      </c>
      <c r="P8" s="187" t="n">
        <v>45875</v>
      </c>
    </row>
    <row r="9" customFormat="false" ht="51" hidden="false" customHeight="true" outlineLevel="0" collapsed="false">
      <c r="A9" s="181" t="s">
        <v>287</v>
      </c>
      <c r="B9" s="182" t="n">
        <v>837</v>
      </c>
      <c r="C9" s="183" t="n">
        <v>86</v>
      </c>
      <c r="D9" s="181" t="s">
        <v>276</v>
      </c>
      <c r="E9" s="181" t="s">
        <v>288</v>
      </c>
      <c r="F9" s="181" t="s">
        <v>289</v>
      </c>
      <c r="G9" s="181"/>
      <c r="H9" s="181" t="s">
        <v>279</v>
      </c>
      <c r="I9" s="181" t="s">
        <v>229</v>
      </c>
      <c r="J9" s="184" t="n">
        <v>37320</v>
      </c>
      <c r="K9" s="184" t="n">
        <v>14630</v>
      </c>
      <c r="L9" s="185" t="n">
        <v>6</v>
      </c>
      <c r="M9" s="184" t="n">
        <v>22690</v>
      </c>
      <c r="N9" s="184" t="n">
        <v>21328.6</v>
      </c>
      <c r="O9" s="186" t="s">
        <v>290</v>
      </c>
      <c r="P9" s="187" t="n">
        <v>45875</v>
      </c>
    </row>
    <row r="10" customFormat="false" ht="51" hidden="false" customHeight="true" outlineLevel="0" collapsed="false">
      <c r="A10" s="181" t="s">
        <v>291</v>
      </c>
      <c r="B10" s="182" t="n">
        <v>838</v>
      </c>
      <c r="C10" s="183" t="n">
        <v>39</v>
      </c>
      <c r="D10" s="181" t="s">
        <v>260</v>
      </c>
      <c r="E10" s="181" t="s">
        <v>292</v>
      </c>
      <c r="F10" s="181" t="s">
        <v>293</v>
      </c>
      <c r="G10" s="181"/>
      <c r="H10" s="181" t="s">
        <v>263</v>
      </c>
      <c r="I10" s="181" t="s">
        <v>238</v>
      </c>
      <c r="J10" s="184" t="n">
        <v>37560</v>
      </c>
      <c r="K10" s="184" t="n">
        <v>13900</v>
      </c>
      <c r="L10" s="185" t="n">
        <v>7</v>
      </c>
      <c r="M10" s="184" t="n">
        <v>23660</v>
      </c>
      <c r="N10" s="184" t="n">
        <v>22003.8</v>
      </c>
      <c r="O10" s="186" t="s">
        <v>294</v>
      </c>
      <c r="P10" s="187" t="n">
        <v>45876</v>
      </c>
    </row>
    <row r="11" customFormat="false" ht="51" hidden="false" customHeight="true" outlineLevel="0" collapsed="false">
      <c r="A11" s="181" t="s">
        <v>295</v>
      </c>
      <c r="B11" s="182" t="n">
        <v>839</v>
      </c>
      <c r="C11" s="183" t="n">
        <v>41</v>
      </c>
      <c r="D11" s="181" t="s">
        <v>260</v>
      </c>
      <c r="E11" s="181" t="s">
        <v>296</v>
      </c>
      <c r="F11" s="181" t="s">
        <v>297</v>
      </c>
      <c r="G11" s="181"/>
      <c r="H11" s="181" t="s">
        <v>263</v>
      </c>
      <c r="I11" s="181" t="s">
        <v>238</v>
      </c>
      <c r="J11" s="184" t="n">
        <v>41540</v>
      </c>
      <c r="K11" s="184" t="n">
        <v>15320</v>
      </c>
      <c r="L11" s="185" t="n">
        <v>7</v>
      </c>
      <c r="M11" s="184" t="n">
        <v>26220</v>
      </c>
      <c r="N11" s="184" t="n">
        <v>24384.6</v>
      </c>
      <c r="O11" s="186" t="s">
        <v>298</v>
      </c>
      <c r="P11" s="187" t="n">
        <v>45876</v>
      </c>
    </row>
    <row r="12" customFormat="false" ht="51" hidden="false" customHeight="true" outlineLevel="0" collapsed="false">
      <c r="A12" s="181" t="s">
        <v>303</v>
      </c>
      <c r="B12" s="182" t="n">
        <v>848</v>
      </c>
      <c r="C12" s="183" t="n">
        <v>90</v>
      </c>
      <c r="D12" s="181" t="s">
        <v>276</v>
      </c>
      <c r="E12" s="181" t="s">
        <v>304</v>
      </c>
      <c r="F12" s="181" t="s">
        <v>305</v>
      </c>
      <c r="G12" s="181"/>
      <c r="H12" s="181" t="s">
        <v>279</v>
      </c>
      <c r="I12" s="181" t="s">
        <v>229</v>
      </c>
      <c r="J12" s="184" t="n">
        <v>39360</v>
      </c>
      <c r="K12" s="184" t="n">
        <v>14980</v>
      </c>
      <c r="L12" s="185" t="n">
        <v>10</v>
      </c>
      <c r="M12" s="184" t="n">
        <v>24380</v>
      </c>
      <c r="N12" s="184" t="n">
        <v>21942</v>
      </c>
      <c r="O12" s="186" t="s">
        <v>306</v>
      </c>
      <c r="P12" s="187" t="n">
        <v>45876</v>
      </c>
    </row>
    <row r="13" customFormat="false" ht="51" hidden="false" customHeight="true" outlineLevel="0" collapsed="false">
      <c r="A13" s="181" t="s">
        <v>307</v>
      </c>
      <c r="B13" s="182" t="n">
        <v>849</v>
      </c>
      <c r="C13" s="183" t="n">
        <v>88</v>
      </c>
      <c r="D13" s="181" t="s">
        <v>276</v>
      </c>
      <c r="E13" s="181" t="s">
        <v>308</v>
      </c>
      <c r="F13" s="181" t="s">
        <v>309</v>
      </c>
      <c r="G13" s="181"/>
      <c r="H13" s="181" t="s">
        <v>279</v>
      </c>
      <c r="I13" s="181" t="s">
        <v>229</v>
      </c>
      <c r="J13" s="184" t="n">
        <v>66280</v>
      </c>
      <c r="K13" s="184" t="n">
        <v>24090</v>
      </c>
      <c r="L13" s="185" t="n">
        <v>14</v>
      </c>
      <c r="M13" s="184" t="n">
        <v>42190</v>
      </c>
      <c r="N13" s="184" t="n">
        <v>36283.4</v>
      </c>
      <c r="O13" s="186" t="s">
        <v>310</v>
      </c>
      <c r="P13" s="187" t="n">
        <v>45876</v>
      </c>
    </row>
    <row r="14" customFormat="false" ht="51" hidden="false" customHeight="true" outlineLevel="0" collapsed="false">
      <c r="A14" s="181" t="s">
        <v>311</v>
      </c>
      <c r="B14" s="182" t="n">
        <v>850</v>
      </c>
      <c r="C14" s="183" t="n">
        <v>91</v>
      </c>
      <c r="D14" s="181" t="s">
        <v>276</v>
      </c>
      <c r="E14" s="181" t="s">
        <v>277</v>
      </c>
      <c r="F14" s="181" t="s">
        <v>278</v>
      </c>
      <c r="G14" s="181"/>
      <c r="H14" s="181" t="s">
        <v>279</v>
      </c>
      <c r="I14" s="181" t="s">
        <v>229</v>
      </c>
      <c r="J14" s="184" t="n">
        <v>42400</v>
      </c>
      <c r="K14" s="184" t="n">
        <v>15110</v>
      </c>
      <c r="L14" s="185" t="n">
        <v>11</v>
      </c>
      <c r="M14" s="184" t="n">
        <v>27290</v>
      </c>
      <c r="N14" s="184" t="n">
        <v>24288.1</v>
      </c>
      <c r="O14" s="186" t="s">
        <v>312</v>
      </c>
      <c r="P14" s="187" t="n">
        <v>45876</v>
      </c>
    </row>
    <row r="15" customFormat="false" ht="51" hidden="false" customHeight="true" outlineLevel="0" collapsed="false">
      <c r="A15" s="181" t="s">
        <v>315</v>
      </c>
      <c r="B15" s="182" t="n">
        <v>853</v>
      </c>
      <c r="C15" s="183" t="n">
        <v>92</v>
      </c>
      <c r="D15" s="181" t="s">
        <v>276</v>
      </c>
      <c r="E15" s="181" t="s">
        <v>282</v>
      </c>
      <c r="F15" s="181" t="s">
        <v>283</v>
      </c>
      <c r="G15" s="181"/>
      <c r="H15" s="181" t="s">
        <v>316</v>
      </c>
      <c r="I15" s="181" t="s">
        <v>229</v>
      </c>
      <c r="J15" s="184" t="n">
        <v>38360</v>
      </c>
      <c r="K15" s="184" t="n">
        <v>15080</v>
      </c>
      <c r="L15" s="185" t="n">
        <v>6</v>
      </c>
      <c r="M15" s="184" t="n">
        <v>23280</v>
      </c>
      <c r="N15" s="184" t="n">
        <v>21883.2</v>
      </c>
      <c r="O15" s="186" t="s">
        <v>317</v>
      </c>
      <c r="P15" s="187" t="n">
        <v>45876</v>
      </c>
    </row>
    <row r="16" customFormat="false" ht="51" hidden="false" customHeight="true" outlineLevel="0" collapsed="false">
      <c r="A16" s="181" t="s">
        <v>320</v>
      </c>
      <c r="B16" s="182" t="n">
        <v>855</v>
      </c>
      <c r="C16" s="183" t="n">
        <v>93</v>
      </c>
      <c r="D16" s="181" t="s">
        <v>276</v>
      </c>
      <c r="E16" s="181" t="s">
        <v>266</v>
      </c>
      <c r="F16" s="181" t="s">
        <v>267</v>
      </c>
      <c r="G16" s="181"/>
      <c r="H16" s="181" t="s">
        <v>316</v>
      </c>
      <c r="I16" s="181" t="s">
        <v>229</v>
      </c>
      <c r="J16" s="184" t="n">
        <v>39290</v>
      </c>
      <c r="K16" s="184" t="n">
        <v>15120</v>
      </c>
      <c r="L16" s="185" t="n">
        <v>8</v>
      </c>
      <c r="M16" s="184" t="n">
        <v>24170</v>
      </c>
      <c r="N16" s="184" t="n">
        <v>22236.4</v>
      </c>
      <c r="O16" s="186" t="s">
        <v>321</v>
      </c>
      <c r="P16" s="187" t="n">
        <v>45876</v>
      </c>
    </row>
    <row r="17" customFormat="false" ht="51" hidden="false" customHeight="true" outlineLevel="0" collapsed="false">
      <c r="A17" s="181" t="s">
        <v>313</v>
      </c>
      <c r="B17" s="182" t="n">
        <v>851</v>
      </c>
      <c r="C17" s="183" t="n">
        <v>45</v>
      </c>
      <c r="D17" s="181" t="s">
        <v>260</v>
      </c>
      <c r="E17" s="181" t="s">
        <v>261</v>
      </c>
      <c r="F17" s="181" t="s">
        <v>262</v>
      </c>
      <c r="G17" s="181"/>
      <c r="H17" s="181" t="s">
        <v>263</v>
      </c>
      <c r="I17" s="181" t="s">
        <v>238</v>
      </c>
      <c r="J17" s="184" t="n">
        <v>38060</v>
      </c>
      <c r="K17" s="184" t="n">
        <v>15070</v>
      </c>
      <c r="L17" s="185" t="n">
        <v>5</v>
      </c>
      <c r="M17" s="184" t="n">
        <v>22990</v>
      </c>
      <c r="N17" s="184" t="n">
        <v>21840.5</v>
      </c>
      <c r="O17" s="186" t="s">
        <v>314</v>
      </c>
      <c r="P17" s="187" t="n">
        <v>45876</v>
      </c>
    </row>
    <row r="18" customFormat="false" ht="51" hidden="false" customHeight="true" outlineLevel="0" collapsed="false">
      <c r="A18" s="181" t="s">
        <v>299</v>
      </c>
      <c r="B18" s="182" t="n">
        <v>847</v>
      </c>
      <c r="C18" s="183" t="n">
        <v>89</v>
      </c>
      <c r="D18" s="181" t="s">
        <v>276</v>
      </c>
      <c r="E18" s="181" t="s">
        <v>300</v>
      </c>
      <c r="F18" s="181" t="s">
        <v>301</v>
      </c>
      <c r="G18" s="181"/>
      <c r="H18" s="181" t="s">
        <v>279</v>
      </c>
      <c r="I18" s="181" t="s">
        <v>229</v>
      </c>
      <c r="J18" s="184" t="n">
        <v>56030</v>
      </c>
      <c r="K18" s="184" t="n">
        <v>20980</v>
      </c>
      <c r="L18" s="185" t="n">
        <v>6</v>
      </c>
      <c r="M18" s="184" t="n">
        <v>35050</v>
      </c>
      <c r="N18" s="184" t="n">
        <v>32947</v>
      </c>
      <c r="O18" s="186" t="s">
        <v>302</v>
      </c>
      <c r="P18" s="187" t="n">
        <v>45876</v>
      </c>
    </row>
    <row r="19" customFormat="false" ht="51" hidden="false" customHeight="true" outlineLevel="0" collapsed="false">
      <c r="A19" s="181" t="s">
        <v>322</v>
      </c>
      <c r="B19" s="182" t="n">
        <v>856</v>
      </c>
      <c r="C19" s="183" t="n">
        <v>95</v>
      </c>
      <c r="D19" s="181" t="s">
        <v>276</v>
      </c>
      <c r="E19" s="181" t="s">
        <v>323</v>
      </c>
      <c r="F19" s="181" t="s">
        <v>289</v>
      </c>
      <c r="G19" s="181"/>
      <c r="H19" s="181" t="s">
        <v>316</v>
      </c>
      <c r="I19" s="181" t="s">
        <v>229</v>
      </c>
      <c r="J19" s="184" t="n">
        <v>38920</v>
      </c>
      <c r="K19" s="184" t="n">
        <v>14650</v>
      </c>
      <c r="L19" s="185" t="n">
        <v>7</v>
      </c>
      <c r="M19" s="184" t="n">
        <v>24270</v>
      </c>
      <c r="N19" s="184" t="n">
        <v>22571.1</v>
      </c>
      <c r="O19" s="186" t="s">
        <v>324</v>
      </c>
      <c r="P19" s="187" t="n">
        <v>45876</v>
      </c>
    </row>
    <row r="20" customFormat="false" ht="51" hidden="false" customHeight="true" outlineLevel="0" collapsed="false">
      <c r="A20" s="181" t="s">
        <v>318</v>
      </c>
      <c r="B20" s="182" t="n">
        <v>854</v>
      </c>
      <c r="C20" s="183" t="n">
        <v>44</v>
      </c>
      <c r="D20" s="181" t="s">
        <v>260</v>
      </c>
      <c r="E20" s="181" t="s">
        <v>272</v>
      </c>
      <c r="F20" s="181" t="s">
        <v>273</v>
      </c>
      <c r="G20" s="181"/>
      <c r="H20" s="181" t="s">
        <v>263</v>
      </c>
      <c r="I20" s="181" t="s">
        <v>238</v>
      </c>
      <c r="J20" s="184" t="n">
        <v>37360</v>
      </c>
      <c r="K20" s="184" t="n">
        <v>15460</v>
      </c>
      <c r="L20" s="185" t="n">
        <v>12</v>
      </c>
      <c r="M20" s="184" t="n">
        <v>21900</v>
      </c>
      <c r="N20" s="184" t="n">
        <v>19272</v>
      </c>
      <c r="O20" s="186" t="s">
        <v>319</v>
      </c>
      <c r="P20" s="187" t="n">
        <v>45876</v>
      </c>
    </row>
    <row r="21" customFormat="false" ht="51" hidden="false" customHeight="true" outlineLevel="0" collapsed="false">
      <c r="A21" s="181" t="s">
        <v>325</v>
      </c>
      <c r="B21" s="182" t="n">
        <v>861</v>
      </c>
      <c r="C21" s="183" t="n">
        <v>9456</v>
      </c>
      <c r="D21" s="181" t="s">
        <v>3325</v>
      </c>
      <c r="E21" s="181" t="s">
        <v>292</v>
      </c>
      <c r="F21" s="181" t="s">
        <v>293</v>
      </c>
      <c r="G21" s="181" t="s">
        <v>222</v>
      </c>
      <c r="H21" s="181" t="s">
        <v>327</v>
      </c>
      <c r="I21" s="181" t="s">
        <v>220</v>
      </c>
      <c r="J21" s="184" t="n">
        <v>34410</v>
      </c>
      <c r="K21" s="184" t="n">
        <v>13910</v>
      </c>
      <c r="L21" s="185" t="n">
        <v>34</v>
      </c>
      <c r="M21" s="184" t="n">
        <v>20500</v>
      </c>
      <c r="N21" s="184" t="n">
        <v>13530</v>
      </c>
      <c r="O21" s="186" t="s">
        <v>328</v>
      </c>
      <c r="P21" s="187" t="n">
        <v>45878</v>
      </c>
    </row>
    <row r="22" customFormat="false" ht="51" hidden="false" customHeight="true" outlineLevel="0" collapsed="false">
      <c r="A22" s="181" t="s">
        <v>329</v>
      </c>
      <c r="B22" s="182" t="n">
        <v>862</v>
      </c>
      <c r="C22" s="183" t="n">
        <v>9458</v>
      </c>
      <c r="D22" s="181" t="s">
        <v>3325</v>
      </c>
      <c r="E22" s="181" t="s">
        <v>277</v>
      </c>
      <c r="F22" s="181" t="s">
        <v>278</v>
      </c>
      <c r="G22" s="181" t="s">
        <v>222</v>
      </c>
      <c r="H22" s="181" t="s">
        <v>327</v>
      </c>
      <c r="I22" s="181" t="s">
        <v>220</v>
      </c>
      <c r="J22" s="184" t="n">
        <v>36660</v>
      </c>
      <c r="K22" s="184" t="n">
        <v>15050</v>
      </c>
      <c r="L22" s="185" t="n">
        <v>26</v>
      </c>
      <c r="M22" s="184" t="n">
        <v>21610</v>
      </c>
      <c r="N22" s="184" t="n">
        <v>15991.4</v>
      </c>
      <c r="O22" s="186" t="s">
        <v>330</v>
      </c>
      <c r="P22" s="187" t="n">
        <v>45878</v>
      </c>
    </row>
    <row r="23" customFormat="false" ht="51" hidden="false" customHeight="true" outlineLevel="0" collapsed="false">
      <c r="A23" s="181" t="s">
        <v>331</v>
      </c>
      <c r="B23" s="182" t="n">
        <v>863</v>
      </c>
      <c r="C23" s="183" t="n">
        <v>9460</v>
      </c>
      <c r="D23" s="181" t="s">
        <v>3325</v>
      </c>
      <c r="E23" s="181" t="s">
        <v>332</v>
      </c>
      <c r="F23" s="181" t="s">
        <v>333</v>
      </c>
      <c r="G23" s="181" t="s">
        <v>222</v>
      </c>
      <c r="H23" s="181" t="s">
        <v>327</v>
      </c>
      <c r="I23" s="181" t="s">
        <v>220</v>
      </c>
      <c r="J23" s="184" t="n">
        <v>36320</v>
      </c>
      <c r="K23" s="184" t="n">
        <v>14710</v>
      </c>
      <c r="L23" s="185" t="n">
        <v>28</v>
      </c>
      <c r="M23" s="184" t="n">
        <v>21610</v>
      </c>
      <c r="N23" s="184" t="n">
        <v>15559.2</v>
      </c>
      <c r="O23" s="186" t="s">
        <v>334</v>
      </c>
      <c r="P23" s="187" t="n">
        <v>45878</v>
      </c>
    </row>
    <row r="24" customFormat="false" ht="51" hidden="false" customHeight="true" outlineLevel="0" collapsed="false">
      <c r="A24" s="181" t="s">
        <v>335</v>
      </c>
      <c r="B24" s="182" t="n">
        <v>864</v>
      </c>
      <c r="C24" s="183" t="n">
        <v>9462</v>
      </c>
      <c r="D24" s="181" t="s">
        <v>3325</v>
      </c>
      <c r="E24" s="181" t="s">
        <v>336</v>
      </c>
      <c r="F24" s="181" t="s">
        <v>337</v>
      </c>
      <c r="G24" s="181" t="s">
        <v>222</v>
      </c>
      <c r="H24" s="181" t="s">
        <v>327</v>
      </c>
      <c r="I24" s="181" t="s">
        <v>220</v>
      </c>
      <c r="J24" s="184" t="n">
        <v>33220</v>
      </c>
      <c r="K24" s="184" t="n">
        <v>14490</v>
      </c>
      <c r="L24" s="185" t="n">
        <v>38</v>
      </c>
      <c r="M24" s="184" t="n">
        <v>18730</v>
      </c>
      <c r="N24" s="184" t="n">
        <v>11612.6</v>
      </c>
      <c r="O24" s="186" t="s">
        <v>338</v>
      </c>
      <c r="P24" s="187" t="n">
        <v>45878</v>
      </c>
    </row>
    <row r="25" customFormat="false" ht="51" hidden="false" customHeight="true" outlineLevel="0" collapsed="false">
      <c r="A25" s="181" t="s">
        <v>339</v>
      </c>
      <c r="B25" s="182" t="n">
        <v>865</v>
      </c>
      <c r="C25" s="183" t="n">
        <v>9464</v>
      </c>
      <c r="D25" s="181" t="s">
        <v>3325</v>
      </c>
      <c r="E25" s="181" t="s">
        <v>340</v>
      </c>
      <c r="F25" s="181" t="s">
        <v>341</v>
      </c>
      <c r="G25" s="181" t="s">
        <v>222</v>
      </c>
      <c r="H25" s="181" t="s">
        <v>327</v>
      </c>
      <c r="I25" s="181" t="s">
        <v>220</v>
      </c>
      <c r="J25" s="184" t="n">
        <v>36050</v>
      </c>
      <c r="K25" s="184" t="n">
        <v>15040</v>
      </c>
      <c r="L25" s="185" t="n">
        <v>35</v>
      </c>
      <c r="M25" s="184" t="n">
        <v>21010</v>
      </c>
      <c r="N25" s="184" t="n">
        <v>13656.5</v>
      </c>
      <c r="O25" s="186" t="s">
        <v>342</v>
      </c>
      <c r="P25" s="187" t="n">
        <v>45878</v>
      </c>
    </row>
    <row r="26" customFormat="false" ht="51" hidden="false" customHeight="true" outlineLevel="0" collapsed="false">
      <c r="A26" s="181" t="s">
        <v>343</v>
      </c>
      <c r="B26" s="182" t="n">
        <v>866</v>
      </c>
      <c r="C26" s="183" t="n">
        <v>9466</v>
      </c>
      <c r="D26" s="181" t="s">
        <v>3325</v>
      </c>
      <c r="E26" s="181" t="s">
        <v>282</v>
      </c>
      <c r="F26" s="181" t="s">
        <v>283</v>
      </c>
      <c r="G26" s="181" t="s">
        <v>222</v>
      </c>
      <c r="H26" s="181" t="s">
        <v>327</v>
      </c>
      <c r="I26" s="181" t="s">
        <v>220</v>
      </c>
      <c r="J26" s="184" t="n">
        <v>36350</v>
      </c>
      <c r="K26" s="184" t="n">
        <v>15040</v>
      </c>
      <c r="L26" s="185" t="n">
        <v>22</v>
      </c>
      <c r="M26" s="184" t="n">
        <v>21310</v>
      </c>
      <c r="N26" s="184" t="n">
        <v>16621.8</v>
      </c>
      <c r="O26" s="186" t="s">
        <v>344</v>
      </c>
      <c r="P26" s="187" t="n">
        <v>45878</v>
      </c>
    </row>
    <row r="27" customFormat="false" ht="51" hidden="false" customHeight="true" outlineLevel="0" collapsed="false">
      <c r="A27" s="181" t="s">
        <v>345</v>
      </c>
      <c r="B27" s="182" t="n">
        <v>867</v>
      </c>
      <c r="C27" s="183" t="n">
        <v>9468</v>
      </c>
      <c r="D27" s="181" t="s">
        <v>3325</v>
      </c>
      <c r="E27" s="181" t="s">
        <v>346</v>
      </c>
      <c r="F27" s="181" t="s">
        <v>347</v>
      </c>
      <c r="G27" s="181" t="s">
        <v>222</v>
      </c>
      <c r="H27" s="181" t="s">
        <v>327</v>
      </c>
      <c r="I27" s="181" t="s">
        <v>220</v>
      </c>
      <c r="J27" s="184" t="n">
        <v>33750</v>
      </c>
      <c r="K27" s="184" t="n">
        <v>15000</v>
      </c>
      <c r="L27" s="185" t="n">
        <v>30</v>
      </c>
      <c r="M27" s="184" t="n">
        <v>18750</v>
      </c>
      <c r="N27" s="184" t="n">
        <v>13125</v>
      </c>
      <c r="O27" s="186" t="s">
        <v>348</v>
      </c>
      <c r="P27" s="187" t="n">
        <v>45878</v>
      </c>
    </row>
    <row r="28" customFormat="false" ht="51" hidden="false" customHeight="true" outlineLevel="0" collapsed="false">
      <c r="A28" s="181" t="s">
        <v>349</v>
      </c>
      <c r="B28" s="182" t="n">
        <v>868</v>
      </c>
      <c r="C28" s="183" t="n">
        <v>9470</v>
      </c>
      <c r="D28" s="181" t="s">
        <v>3325</v>
      </c>
      <c r="E28" s="181" t="s">
        <v>350</v>
      </c>
      <c r="F28" s="181" t="s">
        <v>351</v>
      </c>
      <c r="G28" s="181" t="s">
        <v>222</v>
      </c>
      <c r="H28" s="181" t="s">
        <v>327</v>
      </c>
      <c r="I28" s="181" t="s">
        <v>220</v>
      </c>
      <c r="J28" s="184" t="n">
        <v>34870</v>
      </c>
      <c r="K28" s="184" t="n">
        <v>14920</v>
      </c>
      <c r="L28" s="185" t="n">
        <v>39</v>
      </c>
      <c r="M28" s="184" t="n">
        <v>19950</v>
      </c>
      <c r="N28" s="184" t="n">
        <v>12169.5</v>
      </c>
      <c r="O28" s="186" t="s">
        <v>352</v>
      </c>
      <c r="P28" s="187" t="n">
        <v>45878</v>
      </c>
    </row>
    <row r="29" customFormat="false" ht="51" hidden="false" customHeight="true" outlineLevel="0" collapsed="false">
      <c r="A29" s="181" t="s">
        <v>353</v>
      </c>
      <c r="B29" s="182" t="n">
        <v>869</v>
      </c>
      <c r="C29" s="183" t="n">
        <v>9472</v>
      </c>
      <c r="D29" s="181" t="s">
        <v>3325</v>
      </c>
      <c r="E29" s="181" t="s">
        <v>354</v>
      </c>
      <c r="F29" s="181" t="s">
        <v>355</v>
      </c>
      <c r="G29" s="181" t="s">
        <v>222</v>
      </c>
      <c r="H29" s="181" t="s">
        <v>327</v>
      </c>
      <c r="I29" s="181" t="s">
        <v>220</v>
      </c>
      <c r="J29" s="184" t="n">
        <v>35140</v>
      </c>
      <c r="K29" s="184" t="n">
        <v>14710</v>
      </c>
      <c r="L29" s="185" t="n">
        <v>26</v>
      </c>
      <c r="M29" s="184" t="n">
        <v>20430</v>
      </c>
      <c r="N29" s="184" t="n">
        <v>15118.2</v>
      </c>
      <c r="O29" s="186" t="s">
        <v>356</v>
      </c>
      <c r="P29" s="187" t="n">
        <v>45878</v>
      </c>
    </row>
    <row r="30" customFormat="false" ht="51" hidden="false" customHeight="true" outlineLevel="0" collapsed="false">
      <c r="A30" s="181" t="s">
        <v>357</v>
      </c>
      <c r="B30" s="182" t="n">
        <v>870</v>
      </c>
      <c r="C30" s="181" t="s">
        <v>358</v>
      </c>
      <c r="D30" s="181" t="s">
        <v>3325</v>
      </c>
      <c r="E30" s="181" t="s">
        <v>359</v>
      </c>
      <c r="F30" s="181" t="s">
        <v>360</v>
      </c>
      <c r="G30" s="181" t="s">
        <v>222</v>
      </c>
      <c r="H30" s="181" t="s">
        <v>327</v>
      </c>
      <c r="I30" s="181" t="s">
        <v>220</v>
      </c>
      <c r="J30" s="184" t="n">
        <v>33680</v>
      </c>
      <c r="K30" s="184" t="n">
        <v>14870</v>
      </c>
      <c r="L30" s="185" t="n">
        <v>43</v>
      </c>
      <c r="M30" s="184" t="n">
        <v>18810</v>
      </c>
      <c r="N30" s="184" t="n">
        <v>10721.7</v>
      </c>
      <c r="O30" s="186" t="s">
        <v>361</v>
      </c>
      <c r="P30" s="187" t="n">
        <v>45878</v>
      </c>
    </row>
    <row r="31" customFormat="false" ht="51" hidden="false" customHeight="true" outlineLevel="0" collapsed="false">
      <c r="A31" s="181" t="s">
        <v>362</v>
      </c>
      <c r="B31" s="182" t="n">
        <v>872</v>
      </c>
      <c r="C31" s="183" t="n">
        <v>9478</v>
      </c>
      <c r="D31" s="181" t="s">
        <v>3325</v>
      </c>
      <c r="E31" s="181" t="s">
        <v>304</v>
      </c>
      <c r="F31" s="181" t="s">
        <v>305</v>
      </c>
      <c r="G31" s="181" t="s">
        <v>222</v>
      </c>
      <c r="H31" s="181" t="s">
        <v>327</v>
      </c>
      <c r="I31" s="181" t="s">
        <v>220</v>
      </c>
      <c r="J31" s="184" t="n">
        <v>36760</v>
      </c>
      <c r="K31" s="184" t="n">
        <v>14950</v>
      </c>
      <c r="L31" s="185" t="n">
        <v>44</v>
      </c>
      <c r="M31" s="184" t="n">
        <v>21810</v>
      </c>
      <c r="N31" s="184" t="n">
        <v>12213.6</v>
      </c>
      <c r="O31" s="186" t="s">
        <v>363</v>
      </c>
      <c r="P31" s="187" t="n">
        <v>45879</v>
      </c>
    </row>
    <row r="32" customFormat="false" ht="51" hidden="false" customHeight="true" outlineLevel="0" collapsed="false">
      <c r="A32" s="181" t="s">
        <v>364</v>
      </c>
      <c r="B32" s="182" t="n">
        <v>874</v>
      </c>
      <c r="C32" s="183" t="n">
        <v>9476</v>
      </c>
      <c r="D32" s="181" t="s">
        <v>3325</v>
      </c>
      <c r="E32" s="181" t="s">
        <v>300</v>
      </c>
      <c r="F32" s="181" t="s">
        <v>301</v>
      </c>
      <c r="G32" s="181" t="s">
        <v>222</v>
      </c>
      <c r="H32" s="181" t="s">
        <v>327</v>
      </c>
      <c r="I32" s="181" t="s">
        <v>220</v>
      </c>
      <c r="J32" s="184" t="n">
        <v>46180</v>
      </c>
      <c r="K32" s="184" t="n">
        <v>20940</v>
      </c>
      <c r="L32" s="185" t="n">
        <v>21</v>
      </c>
      <c r="M32" s="184" t="n">
        <v>25240</v>
      </c>
      <c r="N32" s="184" t="n">
        <v>19939.6</v>
      </c>
      <c r="O32" s="186" t="s">
        <v>365</v>
      </c>
      <c r="P32" s="187" t="n">
        <v>45879</v>
      </c>
    </row>
    <row r="33" customFormat="false" ht="51" hidden="false" customHeight="true" outlineLevel="0" collapsed="false">
      <c r="A33" s="181" t="s">
        <v>366</v>
      </c>
      <c r="B33" s="182" t="n">
        <v>875</v>
      </c>
      <c r="C33" s="183" t="n">
        <v>9480</v>
      </c>
      <c r="D33" s="181" t="s">
        <v>3325</v>
      </c>
      <c r="E33" s="181" t="s">
        <v>367</v>
      </c>
      <c r="F33" s="181" t="s">
        <v>368</v>
      </c>
      <c r="G33" s="181" t="s">
        <v>222</v>
      </c>
      <c r="H33" s="181" t="s">
        <v>327</v>
      </c>
      <c r="I33" s="181" t="s">
        <v>220</v>
      </c>
      <c r="J33" s="184" t="n">
        <v>45100</v>
      </c>
      <c r="K33" s="184" t="n">
        <v>18610</v>
      </c>
      <c r="L33" s="185" t="n">
        <v>24</v>
      </c>
      <c r="M33" s="184" t="n">
        <v>26490</v>
      </c>
      <c r="N33" s="184" t="n">
        <v>20132.4</v>
      </c>
      <c r="O33" s="186" t="s">
        <v>369</v>
      </c>
      <c r="P33" s="187" t="n">
        <v>45879</v>
      </c>
    </row>
    <row r="34" customFormat="false" ht="51" hidden="false" customHeight="true" outlineLevel="0" collapsed="false">
      <c r="A34" s="181" t="s">
        <v>370</v>
      </c>
      <c r="B34" s="182" t="n">
        <v>876</v>
      </c>
      <c r="C34" s="183" t="n">
        <v>9482</v>
      </c>
      <c r="D34" s="181" t="s">
        <v>3325</v>
      </c>
      <c r="E34" s="181" t="s">
        <v>288</v>
      </c>
      <c r="F34" s="181" t="s">
        <v>289</v>
      </c>
      <c r="G34" s="181" t="s">
        <v>222</v>
      </c>
      <c r="H34" s="181" t="s">
        <v>327</v>
      </c>
      <c r="I34" s="181" t="s">
        <v>220</v>
      </c>
      <c r="J34" s="184" t="n">
        <v>33760</v>
      </c>
      <c r="K34" s="184" t="n">
        <v>14600</v>
      </c>
      <c r="L34" s="185" t="n">
        <v>17</v>
      </c>
      <c r="M34" s="184" t="n">
        <v>19160</v>
      </c>
      <c r="N34" s="184" t="n">
        <v>15902.8</v>
      </c>
      <c r="O34" s="186" t="s">
        <v>371</v>
      </c>
      <c r="P34" s="187" t="n">
        <v>45879</v>
      </c>
    </row>
    <row r="35" customFormat="false" ht="51" hidden="false" customHeight="true" outlineLevel="0" collapsed="false">
      <c r="A35" s="181" t="s">
        <v>372</v>
      </c>
      <c r="B35" s="182" t="n">
        <v>877</v>
      </c>
      <c r="C35" s="183" t="n">
        <v>9484</v>
      </c>
      <c r="D35" s="181" t="s">
        <v>3325</v>
      </c>
      <c r="E35" s="181" t="s">
        <v>373</v>
      </c>
      <c r="F35" s="181" t="s">
        <v>374</v>
      </c>
      <c r="G35" s="181" t="s">
        <v>222</v>
      </c>
      <c r="H35" s="181" t="s">
        <v>327</v>
      </c>
      <c r="I35" s="181" t="s">
        <v>220</v>
      </c>
      <c r="J35" s="184" t="n">
        <v>36930</v>
      </c>
      <c r="K35" s="184" t="n">
        <v>14240</v>
      </c>
      <c r="L35" s="185" t="n">
        <v>40</v>
      </c>
      <c r="M35" s="184" t="n">
        <v>22690</v>
      </c>
      <c r="N35" s="184" t="n">
        <v>13614</v>
      </c>
      <c r="O35" s="186" t="s">
        <v>375</v>
      </c>
      <c r="P35" s="187" t="n">
        <v>45879</v>
      </c>
    </row>
    <row r="36" customFormat="false" ht="51" hidden="false" customHeight="true" outlineLevel="0" collapsed="false">
      <c r="A36" s="181" t="s">
        <v>376</v>
      </c>
      <c r="B36" s="182" t="n">
        <v>878</v>
      </c>
      <c r="C36" s="183" t="n">
        <v>9486</v>
      </c>
      <c r="D36" s="181" t="s">
        <v>3325</v>
      </c>
      <c r="E36" s="181" t="s">
        <v>377</v>
      </c>
      <c r="F36" s="181" t="s">
        <v>378</v>
      </c>
      <c r="G36" s="181" t="s">
        <v>222</v>
      </c>
      <c r="H36" s="181" t="s">
        <v>327</v>
      </c>
      <c r="I36" s="181" t="s">
        <v>220</v>
      </c>
      <c r="J36" s="184" t="n">
        <v>38770</v>
      </c>
      <c r="K36" s="184" t="n">
        <v>15600</v>
      </c>
      <c r="L36" s="185" t="n">
        <v>31</v>
      </c>
      <c r="M36" s="184" t="n">
        <v>23170</v>
      </c>
      <c r="N36" s="184" t="n">
        <v>15987.3</v>
      </c>
      <c r="O36" s="186" t="s">
        <v>379</v>
      </c>
      <c r="P36" s="187" t="n">
        <v>45879</v>
      </c>
    </row>
    <row r="37" customFormat="false" ht="51" hidden="false" customHeight="true" outlineLevel="0" collapsed="false">
      <c r="A37" s="181" t="s">
        <v>380</v>
      </c>
      <c r="B37" s="182" t="n">
        <v>879</v>
      </c>
      <c r="C37" s="183" t="n">
        <v>9492</v>
      </c>
      <c r="D37" s="181" t="s">
        <v>3325</v>
      </c>
      <c r="E37" s="181" t="s">
        <v>277</v>
      </c>
      <c r="F37" s="181" t="s">
        <v>278</v>
      </c>
      <c r="G37" s="181" t="s">
        <v>222</v>
      </c>
      <c r="H37" s="181" t="s">
        <v>327</v>
      </c>
      <c r="I37" s="181" t="s">
        <v>220</v>
      </c>
      <c r="J37" s="184" t="n">
        <v>37280</v>
      </c>
      <c r="K37" s="184" t="n">
        <v>15070</v>
      </c>
      <c r="L37" s="185" t="n">
        <v>49</v>
      </c>
      <c r="M37" s="184" t="n">
        <v>22210</v>
      </c>
      <c r="N37" s="184" t="n">
        <v>11327.1</v>
      </c>
      <c r="O37" s="186" t="s">
        <v>381</v>
      </c>
      <c r="P37" s="187" t="n">
        <v>45879</v>
      </c>
    </row>
    <row r="38" customFormat="false" ht="51" hidden="false" customHeight="true" outlineLevel="0" collapsed="false">
      <c r="A38" s="181" t="s">
        <v>382</v>
      </c>
      <c r="B38" s="182" t="n">
        <v>880</v>
      </c>
      <c r="C38" s="183" t="n">
        <v>9488</v>
      </c>
      <c r="D38" s="181" t="s">
        <v>3325</v>
      </c>
      <c r="E38" s="181" t="s">
        <v>383</v>
      </c>
      <c r="F38" s="181" t="s">
        <v>384</v>
      </c>
      <c r="G38" s="181" t="s">
        <v>222</v>
      </c>
      <c r="H38" s="181" t="s">
        <v>327</v>
      </c>
      <c r="I38" s="181" t="s">
        <v>220</v>
      </c>
      <c r="J38" s="184" t="n">
        <v>37960</v>
      </c>
      <c r="K38" s="184" t="n">
        <v>14900</v>
      </c>
      <c r="L38" s="185" t="n">
        <v>48</v>
      </c>
      <c r="M38" s="184" t="n">
        <v>23060</v>
      </c>
      <c r="N38" s="184" t="n">
        <v>11991.2</v>
      </c>
      <c r="O38" s="186" t="s">
        <v>385</v>
      </c>
      <c r="P38" s="187" t="n">
        <v>45879</v>
      </c>
    </row>
    <row r="39" customFormat="false" ht="51" hidden="false" customHeight="true" outlineLevel="0" collapsed="false">
      <c r="A39" s="181" t="s">
        <v>386</v>
      </c>
      <c r="B39" s="182" t="n">
        <v>881</v>
      </c>
      <c r="C39" s="183" t="n">
        <v>9490</v>
      </c>
      <c r="D39" s="181" t="s">
        <v>3325</v>
      </c>
      <c r="E39" s="181" t="s">
        <v>387</v>
      </c>
      <c r="F39" s="181" t="s">
        <v>388</v>
      </c>
      <c r="G39" s="181" t="s">
        <v>222</v>
      </c>
      <c r="H39" s="181" t="s">
        <v>327</v>
      </c>
      <c r="I39" s="181" t="s">
        <v>220</v>
      </c>
      <c r="J39" s="184" t="n">
        <v>36110</v>
      </c>
      <c r="K39" s="184" t="n">
        <v>14930</v>
      </c>
      <c r="L39" s="185" t="n">
        <v>49</v>
      </c>
      <c r="M39" s="184" t="n">
        <v>21180</v>
      </c>
      <c r="N39" s="184" t="n">
        <v>10801.8</v>
      </c>
      <c r="O39" s="186" t="s">
        <v>389</v>
      </c>
      <c r="P39" s="187" t="n">
        <v>45879</v>
      </c>
    </row>
    <row r="40" customFormat="false" ht="51" hidden="false" customHeight="true" outlineLevel="0" collapsed="false">
      <c r="A40" s="181" t="s">
        <v>390</v>
      </c>
      <c r="B40" s="182" t="n">
        <v>883</v>
      </c>
      <c r="C40" s="183" t="n">
        <v>9494</v>
      </c>
      <c r="D40" s="181" t="s">
        <v>3325</v>
      </c>
      <c r="E40" s="181" t="s">
        <v>391</v>
      </c>
      <c r="F40" s="181" t="s">
        <v>392</v>
      </c>
      <c r="G40" s="181" t="s">
        <v>222</v>
      </c>
      <c r="H40" s="181" t="s">
        <v>327</v>
      </c>
      <c r="I40" s="181" t="s">
        <v>220</v>
      </c>
      <c r="J40" s="184" t="n">
        <v>32690</v>
      </c>
      <c r="K40" s="184" t="n">
        <v>14460</v>
      </c>
      <c r="L40" s="185" t="n">
        <v>46</v>
      </c>
      <c r="M40" s="184" t="n">
        <v>18230</v>
      </c>
      <c r="N40" s="184" t="n">
        <v>9844.2</v>
      </c>
      <c r="O40" s="186" t="s">
        <v>393</v>
      </c>
      <c r="P40" s="187" t="n">
        <v>45879</v>
      </c>
    </row>
    <row r="41" customFormat="false" ht="51" hidden="false" customHeight="true" outlineLevel="0" collapsed="false">
      <c r="A41" s="181" t="s">
        <v>394</v>
      </c>
      <c r="B41" s="182" t="n">
        <v>884</v>
      </c>
      <c r="C41" s="183" t="n">
        <v>9498</v>
      </c>
      <c r="D41" s="181" t="s">
        <v>3325</v>
      </c>
      <c r="E41" s="181" t="s">
        <v>282</v>
      </c>
      <c r="F41" s="181" t="s">
        <v>283</v>
      </c>
      <c r="G41" s="181" t="s">
        <v>222</v>
      </c>
      <c r="H41" s="181" t="s">
        <v>327</v>
      </c>
      <c r="I41" s="181" t="s">
        <v>220</v>
      </c>
      <c r="J41" s="184" t="n">
        <v>34460</v>
      </c>
      <c r="K41" s="184" t="n">
        <v>15060</v>
      </c>
      <c r="L41" s="185" t="n">
        <v>45</v>
      </c>
      <c r="M41" s="184" t="n">
        <v>19400</v>
      </c>
      <c r="N41" s="184" t="n">
        <v>10670</v>
      </c>
      <c r="O41" s="186" t="s">
        <v>395</v>
      </c>
      <c r="P41" s="187" t="n">
        <v>45879</v>
      </c>
    </row>
    <row r="42" customFormat="false" ht="51" hidden="false" customHeight="true" outlineLevel="0" collapsed="false">
      <c r="A42" s="181" t="s">
        <v>396</v>
      </c>
      <c r="B42" s="182" t="n">
        <v>885</v>
      </c>
      <c r="C42" s="183" t="n">
        <v>9500</v>
      </c>
      <c r="D42" s="181" t="s">
        <v>3325</v>
      </c>
      <c r="E42" s="181" t="s">
        <v>346</v>
      </c>
      <c r="F42" s="181" t="s">
        <v>347</v>
      </c>
      <c r="G42" s="181" t="s">
        <v>222</v>
      </c>
      <c r="H42" s="181" t="s">
        <v>327</v>
      </c>
      <c r="I42" s="181" t="s">
        <v>220</v>
      </c>
      <c r="J42" s="184" t="n">
        <v>34010</v>
      </c>
      <c r="K42" s="184" t="n">
        <v>14840</v>
      </c>
      <c r="L42" s="185" t="n">
        <v>37</v>
      </c>
      <c r="M42" s="184" t="n">
        <v>19170</v>
      </c>
      <c r="N42" s="184" t="n">
        <v>12077.1</v>
      </c>
      <c r="O42" s="186" t="s">
        <v>397</v>
      </c>
      <c r="P42" s="187" t="n">
        <v>45879</v>
      </c>
    </row>
    <row r="43" customFormat="false" ht="51" hidden="false" customHeight="true" outlineLevel="0" collapsed="false">
      <c r="A43" s="181" t="s">
        <v>398</v>
      </c>
      <c r="B43" s="182" t="n">
        <v>887</v>
      </c>
      <c r="C43" s="183" t="n">
        <v>9502</v>
      </c>
      <c r="D43" s="181" t="s">
        <v>3325</v>
      </c>
      <c r="E43" s="181" t="s">
        <v>399</v>
      </c>
      <c r="F43" s="181" t="s">
        <v>400</v>
      </c>
      <c r="G43" s="181" t="s">
        <v>222</v>
      </c>
      <c r="H43" s="181" t="s">
        <v>327</v>
      </c>
      <c r="I43" s="181" t="s">
        <v>220</v>
      </c>
      <c r="J43" s="184" t="n">
        <v>37300</v>
      </c>
      <c r="K43" s="184" t="n">
        <v>15680</v>
      </c>
      <c r="L43" s="185" t="n">
        <v>45</v>
      </c>
      <c r="M43" s="184" t="n">
        <v>21620</v>
      </c>
      <c r="N43" s="184" t="n">
        <v>11891</v>
      </c>
      <c r="O43" s="186" t="s">
        <v>401</v>
      </c>
      <c r="P43" s="187" t="n">
        <v>45879</v>
      </c>
    </row>
    <row r="44" customFormat="false" ht="51" hidden="false" customHeight="true" outlineLevel="0" collapsed="false">
      <c r="A44" s="181" t="s">
        <v>402</v>
      </c>
      <c r="B44" s="182" t="n">
        <v>888</v>
      </c>
      <c r="C44" s="183" t="n">
        <v>9496</v>
      </c>
      <c r="D44" s="181" t="s">
        <v>3325</v>
      </c>
      <c r="E44" s="181" t="s">
        <v>308</v>
      </c>
      <c r="F44" s="181" t="s">
        <v>309</v>
      </c>
      <c r="G44" s="181" t="s">
        <v>222</v>
      </c>
      <c r="H44" s="181" t="s">
        <v>327</v>
      </c>
      <c r="I44" s="181" t="s">
        <v>220</v>
      </c>
      <c r="J44" s="184" t="n">
        <v>59720</v>
      </c>
      <c r="K44" s="184" t="n">
        <v>24020</v>
      </c>
      <c r="L44" s="185" t="n">
        <v>44</v>
      </c>
      <c r="M44" s="184" t="n">
        <v>35700</v>
      </c>
      <c r="N44" s="184" t="n">
        <v>19992</v>
      </c>
      <c r="O44" s="186" t="s">
        <v>403</v>
      </c>
      <c r="P44" s="187" t="n">
        <v>45879</v>
      </c>
    </row>
    <row r="45" customFormat="false" ht="51" hidden="false" customHeight="true" outlineLevel="0" collapsed="false">
      <c r="A45" s="181" t="s">
        <v>404</v>
      </c>
      <c r="B45" s="182" t="n">
        <v>889</v>
      </c>
      <c r="C45" s="183" t="n">
        <v>9504</v>
      </c>
      <c r="D45" s="181" t="s">
        <v>3325</v>
      </c>
      <c r="E45" s="181" t="s">
        <v>350</v>
      </c>
      <c r="F45" s="181" t="s">
        <v>351</v>
      </c>
      <c r="G45" s="181" t="s">
        <v>222</v>
      </c>
      <c r="H45" s="181" t="s">
        <v>327</v>
      </c>
      <c r="I45" s="181" t="s">
        <v>220</v>
      </c>
      <c r="J45" s="184" t="n">
        <v>40070</v>
      </c>
      <c r="K45" s="184" t="n">
        <v>14930</v>
      </c>
      <c r="L45" s="185" t="n">
        <v>42</v>
      </c>
      <c r="M45" s="184" t="n">
        <v>25140</v>
      </c>
      <c r="N45" s="184" t="n">
        <v>14581.2</v>
      </c>
      <c r="O45" s="186" t="s">
        <v>405</v>
      </c>
      <c r="P45" s="187" t="n">
        <v>45879</v>
      </c>
    </row>
    <row r="46" customFormat="false" ht="51" hidden="false" customHeight="true" outlineLevel="0" collapsed="false">
      <c r="A46" s="181" t="s">
        <v>406</v>
      </c>
      <c r="B46" s="182" t="n">
        <v>890</v>
      </c>
      <c r="C46" s="183" t="n">
        <v>9506</v>
      </c>
      <c r="D46" s="181" t="s">
        <v>3325</v>
      </c>
      <c r="E46" s="181" t="s">
        <v>354</v>
      </c>
      <c r="F46" s="181" t="s">
        <v>355</v>
      </c>
      <c r="G46" s="181" t="s">
        <v>222</v>
      </c>
      <c r="H46" s="181" t="s">
        <v>327</v>
      </c>
      <c r="I46" s="181" t="s">
        <v>220</v>
      </c>
      <c r="J46" s="184" t="n">
        <v>37670</v>
      </c>
      <c r="K46" s="184" t="n">
        <v>14710</v>
      </c>
      <c r="L46" s="185" t="n">
        <v>46</v>
      </c>
      <c r="M46" s="184" t="n">
        <v>22960</v>
      </c>
      <c r="N46" s="184" t="n">
        <v>12398.4</v>
      </c>
      <c r="O46" s="186" t="s">
        <v>407</v>
      </c>
      <c r="P46" s="187" t="n">
        <v>45879</v>
      </c>
    </row>
    <row r="47" customFormat="false" ht="51" hidden="false" customHeight="true" outlineLevel="0" collapsed="false">
      <c r="A47" s="181" t="s">
        <v>408</v>
      </c>
      <c r="B47" s="182" t="n">
        <v>891</v>
      </c>
      <c r="C47" s="183" t="n">
        <v>9508</v>
      </c>
      <c r="D47" s="181" t="s">
        <v>3325</v>
      </c>
      <c r="E47" s="181" t="s">
        <v>409</v>
      </c>
      <c r="F47" s="181" t="s">
        <v>410</v>
      </c>
      <c r="G47" s="181" t="s">
        <v>222</v>
      </c>
      <c r="H47" s="181" t="s">
        <v>327</v>
      </c>
      <c r="I47" s="181" t="s">
        <v>220</v>
      </c>
      <c r="J47" s="184" t="n">
        <v>49720</v>
      </c>
      <c r="K47" s="184" t="n">
        <v>23560</v>
      </c>
      <c r="L47" s="185" t="n">
        <v>46</v>
      </c>
      <c r="M47" s="184" t="n">
        <v>26160</v>
      </c>
      <c r="N47" s="184" t="n">
        <v>14126.4</v>
      </c>
      <c r="O47" s="186" t="s">
        <v>411</v>
      </c>
      <c r="P47" s="187" t="n">
        <v>45879</v>
      </c>
    </row>
    <row r="48" customFormat="false" ht="51" hidden="false" customHeight="true" outlineLevel="0" collapsed="false">
      <c r="A48" s="181" t="s">
        <v>412</v>
      </c>
      <c r="B48" s="182" t="n">
        <v>892</v>
      </c>
      <c r="C48" s="183" t="n">
        <v>9510</v>
      </c>
      <c r="D48" s="181" t="s">
        <v>3325</v>
      </c>
      <c r="E48" s="181" t="s">
        <v>413</v>
      </c>
      <c r="F48" s="181" t="s">
        <v>414</v>
      </c>
      <c r="G48" s="181" t="s">
        <v>222</v>
      </c>
      <c r="H48" s="181" t="s">
        <v>327</v>
      </c>
      <c r="I48" s="181" t="s">
        <v>220</v>
      </c>
      <c r="J48" s="184" t="n">
        <v>40530</v>
      </c>
      <c r="K48" s="184" t="n">
        <v>15550</v>
      </c>
      <c r="L48" s="185" t="n">
        <v>47</v>
      </c>
      <c r="M48" s="184" t="n">
        <v>24980</v>
      </c>
      <c r="N48" s="184" t="n">
        <v>13239.4</v>
      </c>
      <c r="O48" s="186" t="s">
        <v>415</v>
      </c>
      <c r="P48" s="187" t="n">
        <v>45879</v>
      </c>
    </row>
    <row r="49" customFormat="false" ht="51" hidden="false" customHeight="true" outlineLevel="0" collapsed="false">
      <c r="A49" s="181" t="s">
        <v>416</v>
      </c>
      <c r="B49" s="182" t="n">
        <v>893</v>
      </c>
      <c r="C49" s="183" t="n">
        <v>9512</v>
      </c>
      <c r="D49" s="181" t="s">
        <v>3325</v>
      </c>
      <c r="E49" s="181" t="s">
        <v>359</v>
      </c>
      <c r="F49" s="181" t="s">
        <v>360</v>
      </c>
      <c r="G49" s="181" t="s">
        <v>222</v>
      </c>
      <c r="H49" s="181" t="s">
        <v>327</v>
      </c>
      <c r="I49" s="181" t="s">
        <v>220</v>
      </c>
      <c r="J49" s="184" t="n">
        <v>35910</v>
      </c>
      <c r="K49" s="184" t="n">
        <v>14880</v>
      </c>
      <c r="L49" s="185" t="n">
        <v>11</v>
      </c>
      <c r="M49" s="184" t="n">
        <v>21030</v>
      </c>
      <c r="N49" s="184" t="n">
        <v>18716.7</v>
      </c>
      <c r="O49" s="186" t="s">
        <v>417</v>
      </c>
      <c r="P49" s="187" t="n">
        <v>45879</v>
      </c>
    </row>
    <row r="50" customFormat="false" ht="51" hidden="false" customHeight="true" outlineLevel="0" collapsed="false">
      <c r="A50" s="181" t="s">
        <v>418</v>
      </c>
      <c r="B50" s="182" t="n">
        <v>894</v>
      </c>
      <c r="C50" s="183" t="n">
        <v>9514</v>
      </c>
      <c r="D50" s="181" t="s">
        <v>3325</v>
      </c>
      <c r="E50" s="181" t="s">
        <v>266</v>
      </c>
      <c r="F50" s="181" t="s">
        <v>267</v>
      </c>
      <c r="G50" s="181" t="s">
        <v>222</v>
      </c>
      <c r="H50" s="181" t="s">
        <v>327</v>
      </c>
      <c r="I50" s="181" t="s">
        <v>220</v>
      </c>
      <c r="J50" s="184" t="n">
        <v>38150</v>
      </c>
      <c r="K50" s="184" t="n">
        <v>14910</v>
      </c>
      <c r="L50" s="185" t="n">
        <v>43</v>
      </c>
      <c r="M50" s="184" t="n">
        <v>23240</v>
      </c>
      <c r="N50" s="184" t="n">
        <v>13246.8</v>
      </c>
      <c r="O50" s="186" t="s">
        <v>419</v>
      </c>
      <c r="P50" s="187" t="n">
        <v>45879</v>
      </c>
    </row>
    <row r="51" customFormat="false" ht="51" hidden="false" customHeight="true" outlineLevel="0" collapsed="false">
      <c r="A51" s="181" t="s">
        <v>420</v>
      </c>
      <c r="B51" s="182" t="n">
        <v>895</v>
      </c>
      <c r="C51" s="183" t="n">
        <v>9516</v>
      </c>
      <c r="D51" s="181" t="s">
        <v>3325</v>
      </c>
      <c r="E51" s="181" t="s">
        <v>296</v>
      </c>
      <c r="F51" s="181" t="s">
        <v>297</v>
      </c>
      <c r="G51" s="181" t="s">
        <v>222</v>
      </c>
      <c r="H51" s="181" t="s">
        <v>327</v>
      </c>
      <c r="I51" s="181" t="s">
        <v>220</v>
      </c>
      <c r="J51" s="184" t="n">
        <v>39770</v>
      </c>
      <c r="K51" s="184" t="n">
        <v>15410</v>
      </c>
      <c r="L51" s="185" t="n">
        <v>26</v>
      </c>
      <c r="M51" s="184" t="n">
        <v>24360</v>
      </c>
      <c r="N51" s="184" t="n">
        <v>18026.4</v>
      </c>
      <c r="O51" s="186" t="s">
        <v>421</v>
      </c>
      <c r="P51" s="187" t="n">
        <v>45880</v>
      </c>
    </row>
    <row r="52" customFormat="false" ht="51" hidden="false" customHeight="true" outlineLevel="0" collapsed="false">
      <c r="A52" s="181" t="s">
        <v>422</v>
      </c>
      <c r="B52" s="182" t="n">
        <v>896</v>
      </c>
      <c r="C52" s="183" t="n">
        <v>9518</v>
      </c>
      <c r="D52" s="181" t="s">
        <v>3325</v>
      </c>
      <c r="E52" s="181" t="s">
        <v>261</v>
      </c>
      <c r="F52" s="181" t="s">
        <v>262</v>
      </c>
      <c r="G52" s="181" t="s">
        <v>222</v>
      </c>
      <c r="H52" s="181" t="s">
        <v>327</v>
      </c>
      <c r="I52" s="181" t="s">
        <v>220</v>
      </c>
      <c r="J52" s="184" t="n">
        <v>37270</v>
      </c>
      <c r="K52" s="184" t="n">
        <v>15080</v>
      </c>
      <c r="L52" s="185" t="n">
        <v>31</v>
      </c>
      <c r="M52" s="184" t="n">
        <v>22190</v>
      </c>
      <c r="N52" s="184" t="n">
        <v>15311.1</v>
      </c>
      <c r="O52" s="186" t="s">
        <v>423</v>
      </c>
      <c r="P52" s="187" t="n">
        <v>45880</v>
      </c>
    </row>
    <row r="53" customFormat="false" ht="51" hidden="false" customHeight="true" outlineLevel="0" collapsed="false">
      <c r="A53" s="181" t="s">
        <v>424</v>
      </c>
      <c r="B53" s="182" t="n">
        <v>897</v>
      </c>
      <c r="C53" s="183" t="n">
        <v>9520</v>
      </c>
      <c r="D53" s="181" t="s">
        <v>3325</v>
      </c>
      <c r="E53" s="181" t="s">
        <v>336</v>
      </c>
      <c r="F53" s="181" t="s">
        <v>337</v>
      </c>
      <c r="G53" s="181" t="s">
        <v>222</v>
      </c>
      <c r="H53" s="181" t="s">
        <v>327</v>
      </c>
      <c r="I53" s="181" t="s">
        <v>220</v>
      </c>
      <c r="J53" s="184" t="n">
        <v>37590</v>
      </c>
      <c r="K53" s="184" t="n">
        <v>14500</v>
      </c>
      <c r="L53" s="185" t="n">
        <v>47</v>
      </c>
      <c r="M53" s="184" t="n">
        <v>23090</v>
      </c>
      <c r="N53" s="184" t="n">
        <v>12237.7</v>
      </c>
      <c r="O53" s="186" t="s">
        <v>425</v>
      </c>
      <c r="P53" s="187" t="n">
        <v>45880</v>
      </c>
    </row>
    <row r="54" customFormat="false" ht="51" hidden="false" customHeight="true" outlineLevel="0" collapsed="false">
      <c r="A54" s="181" t="s">
        <v>426</v>
      </c>
      <c r="B54" s="182" t="n">
        <v>898</v>
      </c>
      <c r="C54" s="183" t="n">
        <v>9522</v>
      </c>
      <c r="D54" s="181" t="s">
        <v>3325</v>
      </c>
      <c r="E54" s="181" t="s">
        <v>340</v>
      </c>
      <c r="F54" s="181" t="s">
        <v>341</v>
      </c>
      <c r="G54" s="181" t="s">
        <v>222</v>
      </c>
      <c r="H54" s="181" t="s">
        <v>327</v>
      </c>
      <c r="I54" s="181" t="s">
        <v>220</v>
      </c>
      <c r="J54" s="184" t="n">
        <v>37450</v>
      </c>
      <c r="K54" s="184" t="n">
        <v>15050</v>
      </c>
      <c r="L54" s="185" t="n">
        <v>32</v>
      </c>
      <c r="M54" s="184" t="n">
        <v>22400</v>
      </c>
      <c r="N54" s="184" t="n">
        <v>15232</v>
      </c>
      <c r="O54" s="186" t="s">
        <v>427</v>
      </c>
      <c r="P54" s="187" t="n">
        <v>45880</v>
      </c>
    </row>
    <row r="55" customFormat="false" ht="51" hidden="false" customHeight="true" outlineLevel="0" collapsed="false">
      <c r="A55" s="181" t="s">
        <v>428</v>
      </c>
      <c r="B55" s="182" t="n">
        <v>899</v>
      </c>
      <c r="C55" s="183" t="n">
        <v>9524</v>
      </c>
      <c r="D55" s="181" t="s">
        <v>3325</v>
      </c>
      <c r="E55" s="181" t="s">
        <v>332</v>
      </c>
      <c r="F55" s="181" t="s">
        <v>333</v>
      </c>
      <c r="G55" s="181" t="s">
        <v>222</v>
      </c>
      <c r="H55" s="181" t="s">
        <v>327</v>
      </c>
      <c r="I55" s="181" t="s">
        <v>220</v>
      </c>
      <c r="J55" s="184" t="n">
        <v>37010</v>
      </c>
      <c r="K55" s="184" t="n">
        <v>14660</v>
      </c>
      <c r="L55" s="185" t="n">
        <v>28</v>
      </c>
      <c r="M55" s="184" t="n">
        <v>22350</v>
      </c>
      <c r="N55" s="184" t="n">
        <v>16092</v>
      </c>
      <c r="O55" s="186" t="s">
        <v>429</v>
      </c>
      <c r="P55" s="187" t="n">
        <v>45880</v>
      </c>
    </row>
    <row r="56" customFormat="false" ht="51" hidden="false" customHeight="true" outlineLevel="0" collapsed="false">
      <c r="A56" s="181" t="s">
        <v>430</v>
      </c>
      <c r="B56" s="182" t="n">
        <v>900</v>
      </c>
      <c r="C56" s="183" t="n">
        <v>9526</v>
      </c>
      <c r="D56" s="181" t="s">
        <v>3325</v>
      </c>
      <c r="E56" s="181" t="s">
        <v>431</v>
      </c>
      <c r="F56" s="181" t="s">
        <v>432</v>
      </c>
      <c r="G56" s="181" t="s">
        <v>222</v>
      </c>
      <c r="H56" s="181" t="s">
        <v>327</v>
      </c>
      <c r="I56" s="181" t="s">
        <v>220</v>
      </c>
      <c r="J56" s="184" t="n">
        <v>39320</v>
      </c>
      <c r="K56" s="184" t="n">
        <v>16640</v>
      </c>
      <c r="L56" s="185" t="n">
        <v>34</v>
      </c>
      <c r="M56" s="184" t="n">
        <v>22680</v>
      </c>
      <c r="N56" s="184" t="n">
        <v>14968.8</v>
      </c>
      <c r="O56" s="186" t="s">
        <v>433</v>
      </c>
      <c r="P56" s="187" t="n">
        <v>45880</v>
      </c>
    </row>
    <row r="57" customFormat="false" ht="51" hidden="false" customHeight="true" outlineLevel="0" collapsed="false">
      <c r="A57" s="181" t="s">
        <v>434</v>
      </c>
      <c r="B57" s="182" t="n">
        <v>901</v>
      </c>
      <c r="C57" s="183" t="n">
        <v>9528</v>
      </c>
      <c r="D57" s="181" t="s">
        <v>3325</v>
      </c>
      <c r="E57" s="181" t="s">
        <v>435</v>
      </c>
      <c r="F57" s="181" t="s">
        <v>436</v>
      </c>
      <c r="G57" s="181" t="s">
        <v>222</v>
      </c>
      <c r="H57" s="181" t="s">
        <v>327</v>
      </c>
      <c r="I57" s="181" t="s">
        <v>220</v>
      </c>
      <c r="J57" s="184" t="n">
        <v>37420</v>
      </c>
      <c r="K57" s="184" t="n">
        <v>16330</v>
      </c>
      <c r="L57" s="185" t="n">
        <v>35</v>
      </c>
      <c r="M57" s="184" t="n">
        <v>21090</v>
      </c>
      <c r="N57" s="184" t="n">
        <v>13708.5</v>
      </c>
      <c r="O57" s="186" t="s">
        <v>437</v>
      </c>
      <c r="P57" s="187" t="n">
        <v>45880</v>
      </c>
    </row>
    <row r="58" customFormat="false" ht="51" hidden="false" customHeight="true" outlineLevel="0" collapsed="false">
      <c r="A58" s="181" t="s">
        <v>438</v>
      </c>
      <c r="B58" s="182" t="n">
        <v>903</v>
      </c>
      <c r="C58" s="183" t="n">
        <v>9530</v>
      </c>
      <c r="D58" s="181" t="s">
        <v>3325</v>
      </c>
      <c r="E58" s="181" t="s">
        <v>439</v>
      </c>
      <c r="F58" s="181" t="s">
        <v>440</v>
      </c>
      <c r="G58" s="181" t="s">
        <v>222</v>
      </c>
      <c r="H58" s="181" t="s">
        <v>327</v>
      </c>
      <c r="I58" s="181" t="s">
        <v>220</v>
      </c>
      <c r="J58" s="184" t="n">
        <v>37790</v>
      </c>
      <c r="K58" s="184" t="n">
        <v>16490</v>
      </c>
      <c r="L58" s="185" t="n">
        <v>37</v>
      </c>
      <c r="M58" s="184" t="n">
        <v>21300</v>
      </c>
      <c r="N58" s="184" t="n">
        <v>13419</v>
      </c>
      <c r="O58" s="186" t="s">
        <v>441</v>
      </c>
      <c r="P58" s="187" t="n">
        <v>45880</v>
      </c>
    </row>
    <row r="59" customFormat="false" ht="51" hidden="false" customHeight="true" outlineLevel="0" collapsed="false">
      <c r="A59" s="181" t="s">
        <v>442</v>
      </c>
      <c r="B59" s="182" t="n">
        <v>904</v>
      </c>
      <c r="C59" s="183" t="n">
        <v>9532</v>
      </c>
      <c r="D59" s="181" t="s">
        <v>3325</v>
      </c>
      <c r="E59" s="181" t="s">
        <v>277</v>
      </c>
      <c r="F59" s="181" t="s">
        <v>278</v>
      </c>
      <c r="G59" s="181" t="s">
        <v>222</v>
      </c>
      <c r="H59" s="181" t="s">
        <v>327</v>
      </c>
      <c r="I59" s="181" t="s">
        <v>220</v>
      </c>
      <c r="J59" s="184" t="n">
        <v>39060</v>
      </c>
      <c r="K59" s="184" t="n">
        <v>15080</v>
      </c>
      <c r="L59" s="185" t="n">
        <v>29</v>
      </c>
      <c r="M59" s="184" t="n">
        <v>23980</v>
      </c>
      <c r="N59" s="184" t="n">
        <v>17025.8</v>
      </c>
      <c r="O59" s="186" t="s">
        <v>443</v>
      </c>
      <c r="P59" s="187" t="n">
        <v>45880</v>
      </c>
    </row>
    <row r="60" customFormat="false" ht="51" hidden="false" customHeight="true" outlineLevel="0" collapsed="false">
      <c r="A60" s="181" t="s">
        <v>444</v>
      </c>
      <c r="B60" s="182" t="n">
        <v>905</v>
      </c>
      <c r="C60" s="183" t="n">
        <v>9534</v>
      </c>
      <c r="D60" s="181" t="s">
        <v>3325</v>
      </c>
      <c r="E60" s="181" t="s">
        <v>367</v>
      </c>
      <c r="F60" s="181" t="s">
        <v>368</v>
      </c>
      <c r="G60" s="181" t="s">
        <v>222</v>
      </c>
      <c r="H60" s="181" t="s">
        <v>327</v>
      </c>
      <c r="I60" s="181" t="s">
        <v>220</v>
      </c>
      <c r="J60" s="184" t="n">
        <v>44540</v>
      </c>
      <c r="K60" s="184" t="n">
        <v>18590</v>
      </c>
      <c r="L60" s="185" t="n">
        <v>37</v>
      </c>
      <c r="M60" s="184" t="n">
        <v>25950</v>
      </c>
      <c r="N60" s="184" t="n">
        <v>16348.5</v>
      </c>
      <c r="O60" s="186" t="s">
        <v>445</v>
      </c>
      <c r="P60" s="187" t="n">
        <v>45880</v>
      </c>
    </row>
    <row r="61" customFormat="false" ht="51" hidden="false" customHeight="true" outlineLevel="0" collapsed="false">
      <c r="A61" s="181" t="s">
        <v>446</v>
      </c>
      <c r="B61" s="182" t="n">
        <v>906</v>
      </c>
      <c r="C61" s="183" t="n">
        <v>9536</v>
      </c>
      <c r="D61" s="181" t="s">
        <v>3325</v>
      </c>
      <c r="E61" s="181" t="s">
        <v>300</v>
      </c>
      <c r="F61" s="181" t="s">
        <v>301</v>
      </c>
      <c r="G61" s="181" t="s">
        <v>222</v>
      </c>
      <c r="H61" s="181" t="s">
        <v>327</v>
      </c>
      <c r="I61" s="181" t="s">
        <v>220</v>
      </c>
      <c r="J61" s="184" t="n">
        <v>51520</v>
      </c>
      <c r="K61" s="184" t="n">
        <v>20900</v>
      </c>
      <c r="L61" s="185" t="n">
        <v>40</v>
      </c>
      <c r="M61" s="184" t="n">
        <v>30620</v>
      </c>
      <c r="N61" s="184" t="n">
        <v>18372</v>
      </c>
      <c r="O61" s="186" t="s">
        <v>447</v>
      </c>
      <c r="P61" s="187" t="n">
        <v>45880</v>
      </c>
    </row>
    <row r="62" customFormat="false" ht="51" hidden="false" customHeight="true" outlineLevel="0" collapsed="false">
      <c r="A62" s="181" t="s">
        <v>448</v>
      </c>
      <c r="B62" s="182" t="n">
        <v>909</v>
      </c>
      <c r="C62" s="183" t="n">
        <v>9540</v>
      </c>
      <c r="D62" s="181" t="s">
        <v>3325</v>
      </c>
      <c r="E62" s="181" t="s">
        <v>292</v>
      </c>
      <c r="F62" s="181" t="s">
        <v>293</v>
      </c>
      <c r="G62" s="181" t="s">
        <v>222</v>
      </c>
      <c r="H62" s="181" t="s">
        <v>327</v>
      </c>
      <c r="I62" s="181" t="s">
        <v>220</v>
      </c>
      <c r="J62" s="184" t="n">
        <v>36720</v>
      </c>
      <c r="K62" s="184" t="n">
        <v>13890</v>
      </c>
      <c r="L62" s="185" t="n">
        <v>30</v>
      </c>
      <c r="M62" s="184" t="n">
        <v>22830</v>
      </c>
      <c r="N62" s="184" t="n">
        <v>15981</v>
      </c>
      <c r="O62" s="186" t="s">
        <v>449</v>
      </c>
      <c r="P62" s="187" t="n">
        <v>45880</v>
      </c>
    </row>
    <row r="63" customFormat="false" ht="51" hidden="false" customHeight="true" outlineLevel="0" collapsed="false">
      <c r="A63" s="181" t="s">
        <v>450</v>
      </c>
      <c r="B63" s="182" t="n">
        <v>910</v>
      </c>
      <c r="C63" s="183" t="n">
        <v>9538</v>
      </c>
      <c r="D63" s="181" t="s">
        <v>3325</v>
      </c>
      <c r="E63" s="181" t="s">
        <v>377</v>
      </c>
      <c r="F63" s="181" t="s">
        <v>378</v>
      </c>
      <c r="G63" s="181" t="s">
        <v>222</v>
      </c>
      <c r="H63" s="181" t="s">
        <v>327</v>
      </c>
      <c r="I63" s="181" t="s">
        <v>220</v>
      </c>
      <c r="J63" s="184" t="n">
        <v>39340</v>
      </c>
      <c r="K63" s="184" t="n">
        <v>15570</v>
      </c>
      <c r="L63" s="185" t="n">
        <v>21</v>
      </c>
      <c r="M63" s="184" t="n">
        <v>23770</v>
      </c>
      <c r="N63" s="184" t="n">
        <v>18778.3</v>
      </c>
      <c r="O63" s="186" t="s">
        <v>451</v>
      </c>
      <c r="P63" s="187" t="n">
        <v>45880</v>
      </c>
    </row>
    <row r="64" customFormat="false" ht="51" hidden="false" customHeight="true" outlineLevel="0" collapsed="false">
      <c r="A64" s="181" t="s">
        <v>452</v>
      </c>
      <c r="B64" s="182" t="n">
        <v>911</v>
      </c>
      <c r="C64" s="183" t="n">
        <v>9542</v>
      </c>
      <c r="D64" s="181" t="s">
        <v>3325</v>
      </c>
      <c r="E64" s="181" t="s">
        <v>399</v>
      </c>
      <c r="F64" s="181" t="s">
        <v>400</v>
      </c>
      <c r="G64" s="181" t="s">
        <v>222</v>
      </c>
      <c r="H64" s="181" t="s">
        <v>327</v>
      </c>
      <c r="I64" s="181" t="s">
        <v>220</v>
      </c>
      <c r="J64" s="184" t="n">
        <v>37550</v>
      </c>
      <c r="K64" s="184" t="n">
        <v>15560</v>
      </c>
      <c r="L64" s="185" t="n">
        <v>21</v>
      </c>
      <c r="M64" s="184" t="n">
        <v>21990</v>
      </c>
      <c r="N64" s="184" t="n">
        <v>17372.1</v>
      </c>
      <c r="O64" s="186" t="s">
        <v>453</v>
      </c>
      <c r="P64" s="187" t="n">
        <v>45880</v>
      </c>
    </row>
    <row r="65" customFormat="false" ht="51" hidden="false" customHeight="true" outlineLevel="0" collapsed="false">
      <c r="A65" s="181" t="s">
        <v>454</v>
      </c>
      <c r="B65" s="182" t="n">
        <v>912</v>
      </c>
      <c r="C65" s="183" t="n">
        <v>29985</v>
      </c>
      <c r="D65" s="181" t="s">
        <v>3325</v>
      </c>
      <c r="E65" s="181" t="s">
        <v>308</v>
      </c>
      <c r="F65" s="181" t="s">
        <v>309</v>
      </c>
      <c r="G65" s="181" t="s">
        <v>222</v>
      </c>
      <c r="H65" s="181" t="s">
        <v>327</v>
      </c>
      <c r="I65" s="181" t="s">
        <v>220</v>
      </c>
      <c r="J65" s="184" t="n">
        <v>48510</v>
      </c>
      <c r="K65" s="184" t="n">
        <v>23920</v>
      </c>
      <c r="L65" s="185" t="n">
        <v>31</v>
      </c>
      <c r="M65" s="184" t="n">
        <v>24590</v>
      </c>
      <c r="N65" s="184" t="n">
        <v>16967.1</v>
      </c>
      <c r="O65" s="186" t="s">
        <v>455</v>
      </c>
      <c r="P65" s="187" t="n">
        <v>45881</v>
      </c>
    </row>
    <row r="66" customFormat="false" ht="51" hidden="false" customHeight="true" outlineLevel="0" collapsed="false">
      <c r="A66" s="181" t="s">
        <v>456</v>
      </c>
      <c r="B66" s="182" t="n">
        <v>913</v>
      </c>
      <c r="C66" s="183" t="n">
        <v>29987</v>
      </c>
      <c r="D66" s="181" t="s">
        <v>3325</v>
      </c>
      <c r="E66" s="181" t="s">
        <v>304</v>
      </c>
      <c r="F66" s="181" t="s">
        <v>305</v>
      </c>
      <c r="G66" s="181" t="s">
        <v>222</v>
      </c>
      <c r="H66" s="181" t="s">
        <v>327</v>
      </c>
      <c r="I66" s="181" t="s">
        <v>220</v>
      </c>
      <c r="J66" s="184" t="n">
        <v>36020</v>
      </c>
      <c r="K66" s="184" t="n">
        <v>14870</v>
      </c>
      <c r="L66" s="185" t="n">
        <v>23</v>
      </c>
      <c r="M66" s="184" t="n">
        <v>21150</v>
      </c>
      <c r="N66" s="184" t="n">
        <v>16285.5</v>
      </c>
      <c r="O66" s="186" t="s">
        <v>457</v>
      </c>
      <c r="P66" s="187" t="n">
        <v>45881</v>
      </c>
    </row>
    <row r="67" customFormat="false" ht="51" hidden="false" customHeight="true" outlineLevel="0" collapsed="false">
      <c r="A67" s="181" t="s">
        <v>458</v>
      </c>
      <c r="B67" s="182" t="n">
        <v>914</v>
      </c>
      <c r="C67" s="183" t="n">
        <v>29991</v>
      </c>
      <c r="D67" s="181" t="s">
        <v>3325</v>
      </c>
      <c r="E67" s="181" t="s">
        <v>350</v>
      </c>
      <c r="F67" s="181" t="s">
        <v>351</v>
      </c>
      <c r="G67" s="181" t="s">
        <v>222</v>
      </c>
      <c r="H67" s="181" t="s">
        <v>327</v>
      </c>
      <c r="I67" s="181" t="s">
        <v>220</v>
      </c>
      <c r="J67" s="184" t="n">
        <v>40380</v>
      </c>
      <c r="K67" s="184" t="n">
        <v>14930</v>
      </c>
      <c r="L67" s="185" t="n">
        <v>31</v>
      </c>
      <c r="M67" s="184" t="n">
        <v>25450</v>
      </c>
      <c r="N67" s="184" t="n">
        <v>17560.5</v>
      </c>
      <c r="O67" s="186" t="s">
        <v>459</v>
      </c>
      <c r="P67" s="187" t="n">
        <v>45881</v>
      </c>
    </row>
    <row r="68" customFormat="false" ht="51" hidden="false" customHeight="true" outlineLevel="0" collapsed="false">
      <c r="A68" s="181" t="s">
        <v>460</v>
      </c>
      <c r="B68" s="182" t="n">
        <v>915</v>
      </c>
      <c r="C68" s="183" t="n">
        <v>29993</v>
      </c>
      <c r="D68" s="181" t="s">
        <v>3325</v>
      </c>
      <c r="E68" s="181" t="s">
        <v>354</v>
      </c>
      <c r="F68" s="181" t="s">
        <v>355</v>
      </c>
      <c r="G68" s="181" t="s">
        <v>222</v>
      </c>
      <c r="H68" s="181" t="s">
        <v>327</v>
      </c>
      <c r="I68" s="181" t="s">
        <v>220</v>
      </c>
      <c r="J68" s="184" t="n">
        <v>37570</v>
      </c>
      <c r="K68" s="184" t="n">
        <v>14680</v>
      </c>
      <c r="L68" s="185" t="n">
        <v>32</v>
      </c>
      <c r="M68" s="184" t="n">
        <v>22890</v>
      </c>
      <c r="N68" s="184" t="n">
        <v>15565.2</v>
      </c>
      <c r="O68" s="186" t="s">
        <v>461</v>
      </c>
      <c r="P68" s="187" t="n">
        <v>45881</v>
      </c>
    </row>
    <row r="69" customFormat="false" ht="51" hidden="false" customHeight="true" outlineLevel="0" collapsed="false">
      <c r="A69" s="181" t="s">
        <v>462</v>
      </c>
      <c r="B69" s="182" t="n">
        <v>916</v>
      </c>
      <c r="C69" s="183" t="n">
        <v>29997</v>
      </c>
      <c r="D69" s="181" t="s">
        <v>3325</v>
      </c>
      <c r="E69" s="181" t="s">
        <v>413</v>
      </c>
      <c r="F69" s="181" t="s">
        <v>414</v>
      </c>
      <c r="G69" s="181" t="s">
        <v>222</v>
      </c>
      <c r="H69" s="181" t="s">
        <v>327</v>
      </c>
      <c r="I69" s="181" t="s">
        <v>220</v>
      </c>
      <c r="J69" s="184" t="n">
        <v>41630</v>
      </c>
      <c r="K69" s="184" t="n">
        <v>15440</v>
      </c>
      <c r="L69" s="185" t="n">
        <v>40</v>
      </c>
      <c r="M69" s="184" t="n">
        <v>26190</v>
      </c>
      <c r="N69" s="184" t="n">
        <v>15714</v>
      </c>
      <c r="O69" s="186" t="s">
        <v>463</v>
      </c>
      <c r="P69" s="187" t="n">
        <v>45881</v>
      </c>
    </row>
    <row r="70" customFormat="false" ht="51" hidden="false" customHeight="true" outlineLevel="0" collapsed="false">
      <c r="A70" s="181" t="s">
        <v>464</v>
      </c>
      <c r="B70" s="182" t="n">
        <v>917</v>
      </c>
      <c r="C70" s="183" t="n">
        <v>29995</v>
      </c>
      <c r="D70" s="181" t="s">
        <v>3325</v>
      </c>
      <c r="E70" s="181" t="s">
        <v>409</v>
      </c>
      <c r="F70" s="181" t="s">
        <v>410</v>
      </c>
      <c r="G70" s="181" t="s">
        <v>222</v>
      </c>
      <c r="H70" s="181" t="s">
        <v>327</v>
      </c>
      <c r="I70" s="181" t="s">
        <v>220</v>
      </c>
      <c r="J70" s="184" t="n">
        <v>48220</v>
      </c>
      <c r="K70" s="184" t="n">
        <v>23430</v>
      </c>
      <c r="L70" s="185" t="n">
        <v>34</v>
      </c>
      <c r="M70" s="184" t="n">
        <v>24790</v>
      </c>
      <c r="N70" s="184" t="n">
        <v>16361.4</v>
      </c>
      <c r="O70" s="186" t="s">
        <v>465</v>
      </c>
      <c r="P70" s="187" t="n">
        <v>45881</v>
      </c>
    </row>
    <row r="71" customFormat="false" ht="51" hidden="false" customHeight="true" outlineLevel="0" collapsed="false">
      <c r="A71" s="181" t="s">
        <v>466</v>
      </c>
      <c r="B71" s="182" t="n">
        <v>920</v>
      </c>
      <c r="C71" s="183" t="n">
        <v>29999</v>
      </c>
      <c r="D71" s="181" t="s">
        <v>3325</v>
      </c>
      <c r="E71" s="181" t="s">
        <v>383</v>
      </c>
      <c r="F71" s="181" t="s">
        <v>384</v>
      </c>
      <c r="G71" s="181" t="s">
        <v>222</v>
      </c>
      <c r="H71" s="181" t="s">
        <v>327</v>
      </c>
      <c r="I71" s="181" t="s">
        <v>220</v>
      </c>
      <c r="J71" s="184" t="n">
        <v>38530</v>
      </c>
      <c r="K71" s="184" t="n">
        <v>14860</v>
      </c>
      <c r="L71" s="185" t="n">
        <v>31</v>
      </c>
      <c r="M71" s="184" t="n">
        <v>23670</v>
      </c>
      <c r="N71" s="184" t="n">
        <v>16332.3</v>
      </c>
      <c r="O71" s="186" t="s">
        <v>467</v>
      </c>
      <c r="P71" s="187" t="n">
        <v>45881</v>
      </c>
    </row>
    <row r="72" customFormat="false" ht="51" hidden="false" customHeight="true" outlineLevel="0" collapsed="false">
      <c r="A72" s="181" t="s">
        <v>468</v>
      </c>
      <c r="B72" s="182" t="n">
        <v>921</v>
      </c>
      <c r="C72" s="189" t="n">
        <v>30001</v>
      </c>
      <c r="D72" s="181" t="s">
        <v>3325</v>
      </c>
      <c r="E72" s="181" t="s">
        <v>387</v>
      </c>
      <c r="F72" s="181" t="s">
        <v>388</v>
      </c>
      <c r="G72" s="181" t="s">
        <v>222</v>
      </c>
      <c r="H72" s="181" t="s">
        <v>327</v>
      </c>
      <c r="I72" s="181" t="s">
        <v>220</v>
      </c>
      <c r="J72" s="184" t="n">
        <v>36940</v>
      </c>
      <c r="K72" s="184" t="n">
        <v>15010</v>
      </c>
      <c r="L72" s="185" t="n">
        <v>29</v>
      </c>
      <c r="M72" s="184" t="n">
        <v>21930</v>
      </c>
      <c r="N72" s="184" t="n">
        <v>15570.3</v>
      </c>
      <c r="O72" s="186" t="s">
        <v>469</v>
      </c>
      <c r="P72" s="187" t="n">
        <v>45881</v>
      </c>
    </row>
    <row r="73" customFormat="false" ht="51" hidden="false" customHeight="true" outlineLevel="0" collapsed="false">
      <c r="A73" s="181" t="s">
        <v>470</v>
      </c>
      <c r="B73" s="182" t="n">
        <v>924</v>
      </c>
      <c r="C73" s="183" t="n">
        <v>110</v>
      </c>
      <c r="D73" s="181" t="s">
        <v>276</v>
      </c>
      <c r="E73" s="181" t="s">
        <v>266</v>
      </c>
      <c r="F73" s="181" t="s">
        <v>267</v>
      </c>
      <c r="G73" s="181"/>
      <c r="H73" s="181" t="s">
        <v>471</v>
      </c>
      <c r="I73" s="181" t="s">
        <v>238</v>
      </c>
      <c r="J73" s="184" t="n">
        <v>40080</v>
      </c>
      <c r="K73" s="184" t="n">
        <v>15110</v>
      </c>
      <c r="L73" s="185" t="n">
        <v>20</v>
      </c>
      <c r="M73" s="184" t="n">
        <v>24970</v>
      </c>
      <c r="N73" s="184" t="n">
        <v>19976</v>
      </c>
      <c r="O73" s="186" t="s">
        <v>472</v>
      </c>
      <c r="P73" s="187" t="n">
        <v>45881</v>
      </c>
    </row>
    <row r="74" customFormat="false" ht="51" hidden="false" customHeight="true" outlineLevel="0" collapsed="false">
      <c r="A74" s="181" t="s">
        <v>473</v>
      </c>
      <c r="B74" s="182" t="n">
        <v>925</v>
      </c>
      <c r="C74" s="183" t="n">
        <v>111</v>
      </c>
      <c r="D74" s="181" t="s">
        <v>276</v>
      </c>
      <c r="E74" s="181" t="s">
        <v>261</v>
      </c>
      <c r="F74" s="181" t="s">
        <v>262</v>
      </c>
      <c r="G74" s="181"/>
      <c r="H74" s="181" t="s">
        <v>471</v>
      </c>
      <c r="I74" s="181" t="s">
        <v>238</v>
      </c>
      <c r="J74" s="184" t="n">
        <v>39940</v>
      </c>
      <c r="K74" s="184" t="n">
        <v>15110</v>
      </c>
      <c r="L74" s="185" t="n">
        <v>4</v>
      </c>
      <c r="M74" s="184" t="n">
        <v>24830</v>
      </c>
      <c r="N74" s="184" t="n">
        <v>23836.8</v>
      </c>
      <c r="O74" s="186" t="s">
        <v>474</v>
      </c>
      <c r="P74" s="187" t="n">
        <v>45881</v>
      </c>
    </row>
    <row r="75" customFormat="false" ht="51" hidden="false" customHeight="true" outlineLevel="0" collapsed="false">
      <c r="A75" s="181" t="s">
        <v>475</v>
      </c>
      <c r="B75" s="182" t="n">
        <v>926</v>
      </c>
      <c r="C75" s="183" t="n">
        <v>112</v>
      </c>
      <c r="D75" s="181" t="s">
        <v>276</v>
      </c>
      <c r="E75" s="181" t="s">
        <v>336</v>
      </c>
      <c r="F75" s="181" t="s">
        <v>337</v>
      </c>
      <c r="G75" s="181"/>
      <c r="H75" s="181" t="s">
        <v>471</v>
      </c>
      <c r="I75" s="181" t="s">
        <v>238</v>
      </c>
      <c r="J75" s="184" t="n">
        <v>42080</v>
      </c>
      <c r="K75" s="184" t="n">
        <v>14540</v>
      </c>
      <c r="L75" s="185" t="n">
        <v>4</v>
      </c>
      <c r="M75" s="184" t="n">
        <v>27540</v>
      </c>
      <c r="N75" s="184" t="n">
        <v>26438.4</v>
      </c>
      <c r="O75" s="186" t="s">
        <v>476</v>
      </c>
      <c r="P75" s="187" t="n">
        <v>45881</v>
      </c>
    </row>
    <row r="76" customFormat="false" ht="51" hidden="false" customHeight="true" outlineLevel="0" collapsed="false">
      <c r="A76" s="181" t="s">
        <v>489</v>
      </c>
      <c r="B76" s="182" t="n">
        <v>935</v>
      </c>
      <c r="C76" s="183" t="n">
        <v>119</v>
      </c>
      <c r="D76" s="181" t="s">
        <v>276</v>
      </c>
      <c r="E76" s="181" t="s">
        <v>300</v>
      </c>
      <c r="F76" s="181" t="s">
        <v>301</v>
      </c>
      <c r="G76" s="181"/>
      <c r="H76" s="181" t="s">
        <v>471</v>
      </c>
      <c r="I76" s="181" t="s">
        <v>238</v>
      </c>
      <c r="J76" s="184" t="n">
        <v>56270</v>
      </c>
      <c r="K76" s="184" t="n">
        <v>20960</v>
      </c>
      <c r="L76" s="185" t="n">
        <v>19</v>
      </c>
      <c r="M76" s="184" t="n">
        <v>35310</v>
      </c>
      <c r="N76" s="184" t="n">
        <v>28601.1</v>
      </c>
      <c r="O76" s="186" t="s">
        <v>490</v>
      </c>
      <c r="P76" s="187" t="n">
        <v>45882</v>
      </c>
    </row>
    <row r="77" customFormat="false" ht="51" hidden="false" customHeight="true" outlineLevel="0" collapsed="false">
      <c r="A77" s="181" t="s">
        <v>487</v>
      </c>
      <c r="B77" s="182" t="n">
        <v>934</v>
      </c>
      <c r="C77" s="183" t="n">
        <v>118</v>
      </c>
      <c r="D77" s="181" t="s">
        <v>276</v>
      </c>
      <c r="E77" s="181" t="s">
        <v>332</v>
      </c>
      <c r="F77" s="181" t="s">
        <v>333</v>
      </c>
      <c r="G77" s="181"/>
      <c r="H77" s="181" t="s">
        <v>471</v>
      </c>
      <c r="I77" s="181" t="s">
        <v>238</v>
      </c>
      <c r="J77" s="184" t="n">
        <v>40290</v>
      </c>
      <c r="K77" s="184" t="n">
        <v>14760</v>
      </c>
      <c r="L77" s="185" t="n">
        <v>34</v>
      </c>
      <c r="M77" s="184" t="n">
        <v>25530</v>
      </c>
      <c r="N77" s="184" t="n">
        <v>16849.8</v>
      </c>
      <c r="O77" s="186" t="s">
        <v>488</v>
      </c>
      <c r="P77" s="187" t="n">
        <v>45882</v>
      </c>
    </row>
    <row r="78" customFormat="false" ht="51" hidden="false" customHeight="true" outlineLevel="0" collapsed="false">
      <c r="A78" s="181" t="s">
        <v>477</v>
      </c>
      <c r="B78" s="182" t="n">
        <v>927</v>
      </c>
      <c r="C78" s="183" t="n">
        <v>113</v>
      </c>
      <c r="D78" s="181" t="s">
        <v>276</v>
      </c>
      <c r="E78" s="181" t="s">
        <v>340</v>
      </c>
      <c r="F78" s="181" t="s">
        <v>341</v>
      </c>
      <c r="G78" s="181"/>
      <c r="H78" s="181" t="s">
        <v>471</v>
      </c>
      <c r="I78" s="181" t="s">
        <v>238</v>
      </c>
      <c r="J78" s="184" t="n">
        <v>41830</v>
      </c>
      <c r="K78" s="184" t="n">
        <v>15090</v>
      </c>
      <c r="L78" s="185" t="n">
        <v>3</v>
      </c>
      <c r="M78" s="184" t="n">
        <v>26740</v>
      </c>
      <c r="N78" s="184" t="n">
        <v>25937.8</v>
      </c>
      <c r="O78" s="186" t="s">
        <v>478</v>
      </c>
      <c r="P78" s="187" t="n">
        <v>45881</v>
      </c>
    </row>
    <row r="79" customFormat="false" ht="51" hidden="false" customHeight="true" outlineLevel="0" collapsed="false">
      <c r="A79" s="181" t="s">
        <v>485</v>
      </c>
      <c r="B79" s="182" t="n">
        <v>933</v>
      </c>
      <c r="C79" s="183" t="n">
        <v>117</v>
      </c>
      <c r="D79" s="181" t="s">
        <v>276</v>
      </c>
      <c r="E79" s="181" t="s">
        <v>350</v>
      </c>
      <c r="F79" s="181" t="s">
        <v>351</v>
      </c>
      <c r="G79" s="181"/>
      <c r="H79" s="181" t="s">
        <v>471</v>
      </c>
      <c r="I79" s="181" t="s">
        <v>238</v>
      </c>
      <c r="J79" s="184" t="n">
        <v>42950</v>
      </c>
      <c r="K79" s="184" t="n">
        <v>15010</v>
      </c>
      <c r="L79" s="185" t="n">
        <v>22</v>
      </c>
      <c r="M79" s="184" t="n">
        <v>27940</v>
      </c>
      <c r="N79" s="184" t="n">
        <v>21793.2</v>
      </c>
      <c r="O79" s="186" t="s">
        <v>486</v>
      </c>
      <c r="P79" s="187" t="n">
        <v>45882</v>
      </c>
    </row>
    <row r="80" customFormat="false" ht="51" hidden="false" customHeight="true" outlineLevel="0" collapsed="false">
      <c r="A80" s="181" t="s">
        <v>483</v>
      </c>
      <c r="B80" s="182" t="n">
        <v>932</v>
      </c>
      <c r="C80" s="183" t="n">
        <v>116</v>
      </c>
      <c r="D80" s="181" t="s">
        <v>276</v>
      </c>
      <c r="E80" s="181" t="s">
        <v>377</v>
      </c>
      <c r="F80" s="181" t="s">
        <v>378</v>
      </c>
      <c r="G80" s="181"/>
      <c r="H80" s="181" t="s">
        <v>471</v>
      </c>
      <c r="I80" s="181" t="s">
        <v>238</v>
      </c>
      <c r="J80" s="184" t="n">
        <v>44940</v>
      </c>
      <c r="K80" s="184" t="n">
        <v>15670</v>
      </c>
      <c r="L80" s="185" t="n">
        <v>20</v>
      </c>
      <c r="M80" s="184" t="n">
        <v>29270</v>
      </c>
      <c r="N80" s="184" t="n">
        <v>23416</v>
      </c>
      <c r="O80" s="186" t="s">
        <v>484</v>
      </c>
      <c r="P80" s="187" t="n">
        <v>45882</v>
      </c>
    </row>
    <row r="81" customFormat="false" ht="51" hidden="false" customHeight="true" outlineLevel="0" collapsed="false">
      <c r="A81" s="181" t="s">
        <v>481</v>
      </c>
      <c r="B81" s="182" t="n">
        <v>931</v>
      </c>
      <c r="C81" s="183" t="n">
        <v>115</v>
      </c>
      <c r="D81" s="181" t="s">
        <v>276</v>
      </c>
      <c r="E81" s="181" t="s">
        <v>367</v>
      </c>
      <c r="F81" s="181" t="s">
        <v>368</v>
      </c>
      <c r="G81" s="181"/>
      <c r="H81" s="181" t="s">
        <v>471</v>
      </c>
      <c r="I81" s="181" t="s">
        <v>238</v>
      </c>
      <c r="J81" s="184" t="n">
        <v>49870</v>
      </c>
      <c r="K81" s="184" t="n">
        <v>18700</v>
      </c>
      <c r="L81" s="185" t="n">
        <v>32</v>
      </c>
      <c r="M81" s="184" t="n">
        <v>31170</v>
      </c>
      <c r="N81" s="184" t="n">
        <v>21195.6</v>
      </c>
      <c r="O81" s="186" t="s">
        <v>482</v>
      </c>
      <c r="P81" s="187" t="n">
        <v>45881</v>
      </c>
    </row>
    <row r="82" customFormat="false" ht="51" hidden="false" customHeight="true" outlineLevel="0" collapsed="false">
      <c r="A82" s="181" t="s">
        <v>479</v>
      </c>
      <c r="B82" s="182" t="n">
        <v>930</v>
      </c>
      <c r="C82" s="183" t="n">
        <v>114</v>
      </c>
      <c r="D82" s="181" t="s">
        <v>276</v>
      </c>
      <c r="E82" s="181" t="s">
        <v>277</v>
      </c>
      <c r="F82" s="181" t="s">
        <v>278</v>
      </c>
      <c r="G82" s="181"/>
      <c r="H82" s="181" t="s">
        <v>471</v>
      </c>
      <c r="I82" s="181" t="s">
        <v>238</v>
      </c>
      <c r="J82" s="184" t="n">
        <v>43510</v>
      </c>
      <c r="K82" s="184" t="n">
        <v>15130</v>
      </c>
      <c r="L82" s="185" t="n">
        <v>22</v>
      </c>
      <c r="M82" s="184" t="n">
        <v>28380</v>
      </c>
      <c r="N82" s="184" t="n">
        <v>22136.4</v>
      </c>
      <c r="O82" s="186" t="s">
        <v>480</v>
      </c>
      <c r="P82" s="187" t="n">
        <v>45881</v>
      </c>
    </row>
    <row r="83" customFormat="false" ht="51" hidden="false" customHeight="true" outlineLevel="0" collapsed="false">
      <c r="A83" s="181" t="s">
        <v>493</v>
      </c>
      <c r="B83" s="182" t="n">
        <v>937</v>
      </c>
      <c r="C83" s="183" t="n">
        <v>120</v>
      </c>
      <c r="D83" s="181" t="s">
        <v>276</v>
      </c>
      <c r="E83" s="181" t="s">
        <v>304</v>
      </c>
      <c r="F83" s="181" t="s">
        <v>305</v>
      </c>
      <c r="G83" s="181"/>
      <c r="H83" s="181" t="s">
        <v>471</v>
      </c>
      <c r="I83" s="181" t="s">
        <v>238</v>
      </c>
      <c r="J83" s="184" t="n">
        <v>39300</v>
      </c>
      <c r="K83" s="184" t="n">
        <v>14950</v>
      </c>
      <c r="L83" s="185" t="n">
        <v>13</v>
      </c>
      <c r="M83" s="184" t="n">
        <v>24350</v>
      </c>
      <c r="N83" s="184" t="n">
        <v>21184.5</v>
      </c>
      <c r="O83" s="186" t="s">
        <v>494</v>
      </c>
      <c r="P83" s="187" t="n">
        <v>45882</v>
      </c>
    </row>
    <row r="84" customFormat="false" ht="51" hidden="false" customHeight="true" outlineLevel="0" collapsed="false">
      <c r="A84" s="181" t="s">
        <v>495</v>
      </c>
      <c r="B84" s="182" t="n">
        <v>939</v>
      </c>
      <c r="C84" s="183" t="n">
        <v>122</v>
      </c>
      <c r="D84" s="181" t="s">
        <v>276</v>
      </c>
      <c r="E84" s="181" t="s">
        <v>409</v>
      </c>
      <c r="F84" s="181" t="s">
        <v>410</v>
      </c>
      <c r="G84" s="181"/>
      <c r="H84" s="181" t="s">
        <v>471</v>
      </c>
      <c r="I84" s="181" t="s">
        <v>238</v>
      </c>
      <c r="J84" s="184" t="n">
        <v>52350</v>
      </c>
      <c r="K84" s="184" t="n">
        <v>23450</v>
      </c>
      <c r="L84" s="185" t="n">
        <v>10</v>
      </c>
      <c r="M84" s="184" t="n">
        <v>28900</v>
      </c>
      <c r="N84" s="184" t="n">
        <v>26010</v>
      </c>
      <c r="O84" s="186" t="s">
        <v>496</v>
      </c>
      <c r="P84" s="187" t="n">
        <v>45882</v>
      </c>
    </row>
    <row r="85" customFormat="false" ht="51" hidden="false" customHeight="true" outlineLevel="0" collapsed="false">
      <c r="A85" s="181" t="s">
        <v>497</v>
      </c>
      <c r="B85" s="182" t="n">
        <v>940</v>
      </c>
      <c r="C85" s="183" t="n">
        <v>123</v>
      </c>
      <c r="D85" s="181" t="s">
        <v>276</v>
      </c>
      <c r="E85" s="181" t="s">
        <v>413</v>
      </c>
      <c r="F85" s="181" t="s">
        <v>414</v>
      </c>
      <c r="G85" s="181"/>
      <c r="H85" s="181" t="s">
        <v>471</v>
      </c>
      <c r="I85" s="181" t="s">
        <v>238</v>
      </c>
      <c r="J85" s="184" t="n">
        <v>43100</v>
      </c>
      <c r="K85" s="184" t="n">
        <v>15640</v>
      </c>
      <c r="L85" s="185" t="n">
        <v>15</v>
      </c>
      <c r="M85" s="184" t="n">
        <v>27460</v>
      </c>
      <c r="N85" s="184" t="n">
        <v>23341</v>
      </c>
      <c r="O85" s="186" t="s">
        <v>498</v>
      </c>
      <c r="P85" s="187" t="n">
        <v>45882</v>
      </c>
    </row>
    <row r="86" customFormat="false" ht="51" hidden="false" customHeight="true" outlineLevel="0" collapsed="false">
      <c r="A86" s="181" t="s">
        <v>491</v>
      </c>
      <c r="B86" s="182" t="n">
        <v>936</v>
      </c>
      <c r="C86" s="183" t="n">
        <v>121</v>
      </c>
      <c r="D86" s="181" t="s">
        <v>276</v>
      </c>
      <c r="E86" s="181" t="s">
        <v>308</v>
      </c>
      <c r="F86" s="181" t="s">
        <v>309</v>
      </c>
      <c r="G86" s="181"/>
      <c r="H86" s="181" t="s">
        <v>471</v>
      </c>
      <c r="I86" s="181" t="s">
        <v>238</v>
      </c>
      <c r="J86" s="184" t="n">
        <v>63600</v>
      </c>
      <c r="K86" s="184" t="n">
        <v>24160</v>
      </c>
      <c r="L86" s="185" t="n">
        <v>10</v>
      </c>
      <c r="M86" s="184" t="n">
        <v>39440</v>
      </c>
      <c r="N86" s="184" t="n">
        <v>35496</v>
      </c>
      <c r="O86" s="186" t="s">
        <v>492</v>
      </c>
      <c r="P86" s="187" t="n">
        <v>45882</v>
      </c>
    </row>
    <row r="87" customFormat="false" ht="51" hidden="false" customHeight="true" outlineLevel="0" collapsed="false">
      <c r="A87" s="181" t="s">
        <v>499</v>
      </c>
      <c r="B87" s="182" t="n">
        <v>941</v>
      </c>
      <c r="C87" s="183" t="n">
        <v>124</v>
      </c>
      <c r="D87" s="181" t="s">
        <v>276</v>
      </c>
      <c r="E87" s="181" t="s">
        <v>383</v>
      </c>
      <c r="F87" s="181" t="s">
        <v>384</v>
      </c>
      <c r="G87" s="181"/>
      <c r="H87" s="181" t="s">
        <v>471</v>
      </c>
      <c r="I87" s="181" t="s">
        <v>238</v>
      </c>
      <c r="J87" s="184" t="n">
        <v>41440</v>
      </c>
      <c r="K87" s="184" t="n">
        <v>14910</v>
      </c>
      <c r="L87" s="185" t="n">
        <v>9</v>
      </c>
      <c r="M87" s="184" t="n">
        <v>26530</v>
      </c>
      <c r="N87" s="184" t="n">
        <v>24142.3</v>
      </c>
      <c r="O87" s="186" t="s">
        <v>500</v>
      </c>
      <c r="P87" s="187" t="n">
        <v>45882</v>
      </c>
    </row>
    <row r="88" customFormat="false" ht="51" hidden="false" customHeight="true" outlineLevel="0" collapsed="false">
      <c r="A88" s="181" t="s">
        <v>501</v>
      </c>
      <c r="B88" s="182" t="n">
        <v>942</v>
      </c>
      <c r="C88" s="183" t="n">
        <v>125</v>
      </c>
      <c r="D88" s="181" t="s">
        <v>276</v>
      </c>
      <c r="E88" s="181" t="s">
        <v>387</v>
      </c>
      <c r="F88" s="181" t="s">
        <v>388</v>
      </c>
      <c r="G88" s="181"/>
      <c r="H88" s="181" t="s">
        <v>471</v>
      </c>
      <c r="I88" s="181" t="s">
        <v>238</v>
      </c>
      <c r="J88" s="184" t="n">
        <v>40150</v>
      </c>
      <c r="K88" s="184" t="n">
        <v>15130</v>
      </c>
      <c r="L88" s="185" t="n">
        <v>9</v>
      </c>
      <c r="M88" s="184" t="n">
        <v>25020</v>
      </c>
      <c r="N88" s="184" t="n">
        <v>22768.2</v>
      </c>
      <c r="O88" s="186" t="s">
        <v>502</v>
      </c>
      <c r="P88" s="187" t="n">
        <v>45882</v>
      </c>
    </row>
    <row r="89" customFormat="false" ht="51" hidden="false" customHeight="true" outlineLevel="0" collapsed="false">
      <c r="A89" s="181" t="s">
        <v>503</v>
      </c>
      <c r="B89" s="182" t="n">
        <v>944</v>
      </c>
      <c r="C89" s="183" t="n">
        <v>127</v>
      </c>
      <c r="D89" s="181" t="s">
        <v>276</v>
      </c>
      <c r="E89" s="181" t="s">
        <v>288</v>
      </c>
      <c r="F89" s="181" t="s">
        <v>289</v>
      </c>
      <c r="G89" s="181"/>
      <c r="H89" s="181" t="s">
        <v>471</v>
      </c>
      <c r="I89" s="181" t="s">
        <v>238</v>
      </c>
      <c r="J89" s="184" t="n">
        <v>39350</v>
      </c>
      <c r="K89" s="184" t="n">
        <v>14580</v>
      </c>
      <c r="L89" s="185" t="n">
        <v>13</v>
      </c>
      <c r="M89" s="184" t="n">
        <v>24770</v>
      </c>
      <c r="N89" s="184" t="n">
        <v>21549.9</v>
      </c>
      <c r="O89" s="186" t="s">
        <v>504</v>
      </c>
      <c r="P89" s="187" t="n">
        <v>45882</v>
      </c>
    </row>
    <row r="90" customFormat="false" ht="51" hidden="false" customHeight="true" outlineLevel="0" collapsed="false">
      <c r="A90" s="181" t="s">
        <v>505</v>
      </c>
      <c r="B90" s="182" t="n">
        <v>945</v>
      </c>
      <c r="C90" s="183" t="n">
        <v>126</v>
      </c>
      <c r="D90" s="181" t="s">
        <v>276</v>
      </c>
      <c r="E90" s="181" t="s">
        <v>399</v>
      </c>
      <c r="F90" s="181" t="s">
        <v>400</v>
      </c>
      <c r="G90" s="181"/>
      <c r="H90" s="181" t="s">
        <v>471</v>
      </c>
      <c r="I90" s="181" t="s">
        <v>238</v>
      </c>
      <c r="J90" s="184" t="n">
        <v>51680</v>
      </c>
      <c r="K90" s="184" t="n">
        <v>19490</v>
      </c>
      <c r="L90" s="185" t="n">
        <v>4</v>
      </c>
      <c r="M90" s="184" t="n">
        <v>32190</v>
      </c>
      <c r="N90" s="184" t="n">
        <v>30902.4</v>
      </c>
      <c r="O90" s="186" t="s">
        <v>506</v>
      </c>
      <c r="P90" s="187" t="n">
        <v>45882</v>
      </c>
    </row>
    <row r="91" customFormat="false" ht="51" hidden="false" customHeight="true" outlineLevel="0" collapsed="false">
      <c r="A91" s="181" t="s">
        <v>507</v>
      </c>
      <c r="B91" s="182" t="n">
        <v>946</v>
      </c>
      <c r="C91" s="183" t="n">
        <v>129</v>
      </c>
      <c r="D91" s="181" t="s">
        <v>276</v>
      </c>
      <c r="E91" s="181" t="s">
        <v>292</v>
      </c>
      <c r="F91" s="181" t="s">
        <v>293</v>
      </c>
      <c r="G91" s="181"/>
      <c r="H91" s="181" t="s">
        <v>471</v>
      </c>
      <c r="I91" s="181" t="s">
        <v>238</v>
      </c>
      <c r="J91" s="184" t="n">
        <v>38460</v>
      </c>
      <c r="K91" s="184" t="n">
        <v>13980</v>
      </c>
      <c r="L91" s="185" t="n">
        <v>5</v>
      </c>
      <c r="M91" s="184" t="n">
        <v>24480</v>
      </c>
      <c r="N91" s="184" t="n">
        <v>23256</v>
      </c>
      <c r="O91" s="186" t="s">
        <v>508</v>
      </c>
      <c r="P91" s="187" t="n">
        <v>45882</v>
      </c>
    </row>
    <row r="92" customFormat="false" ht="51" hidden="false" customHeight="true" outlineLevel="0" collapsed="false">
      <c r="A92" s="181" t="s">
        <v>509</v>
      </c>
      <c r="B92" s="182" t="n">
        <v>947</v>
      </c>
      <c r="C92" s="183" t="n">
        <v>131</v>
      </c>
      <c r="D92" s="181" t="s">
        <v>276</v>
      </c>
      <c r="E92" s="181" t="s">
        <v>296</v>
      </c>
      <c r="F92" s="181" t="s">
        <v>297</v>
      </c>
      <c r="G92" s="181"/>
      <c r="H92" s="181" t="s">
        <v>471</v>
      </c>
      <c r="I92" s="181" t="s">
        <v>238</v>
      </c>
      <c r="J92" s="184" t="n">
        <v>43230</v>
      </c>
      <c r="K92" s="184" t="n">
        <v>15390</v>
      </c>
      <c r="L92" s="185" t="n">
        <v>4</v>
      </c>
      <c r="M92" s="184" t="n">
        <v>27840</v>
      </c>
      <c r="N92" s="184" t="n">
        <v>26726.4</v>
      </c>
      <c r="O92" s="186" t="s">
        <v>510</v>
      </c>
      <c r="P92" s="187" t="n">
        <v>45882</v>
      </c>
    </row>
    <row r="93" customFormat="false" ht="51" hidden="false" customHeight="true" outlineLevel="0" collapsed="false">
      <c r="A93" s="181" t="s">
        <v>511</v>
      </c>
      <c r="B93" s="182" t="n">
        <v>948</v>
      </c>
      <c r="C93" s="183" t="n">
        <v>110</v>
      </c>
      <c r="D93" s="181" t="s">
        <v>276</v>
      </c>
      <c r="E93" s="181" t="s">
        <v>266</v>
      </c>
      <c r="F93" s="181" t="s">
        <v>267</v>
      </c>
      <c r="G93" s="181"/>
      <c r="H93" s="181" t="s">
        <v>471</v>
      </c>
      <c r="I93" s="181" t="s">
        <v>238</v>
      </c>
      <c r="J93" s="184" t="n">
        <v>41550</v>
      </c>
      <c r="K93" s="184" t="n">
        <v>15130</v>
      </c>
      <c r="L93" s="185" t="n">
        <v>10</v>
      </c>
      <c r="M93" s="184" t="n">
        <v>26420</v>
      </c>
      <c r="N93" s="184" t="n">
        <v>23778</v>
      </c>
      <c r="O93" s="186" t="s">
        <v>512</v>
      </c>
      <c r="P93" s="187" t="n">
        <v>45882</v>
      </c>
    </row>
    <row r="94" customFormat="false" ht="51" hidden="false" customHeight="true" outlineLevel="0" collapsed="false">
      <c r="A94" s="181" t="s">
        <v>513</v>
      </c>
      <c r="B94" s="182" t="n">
        <v>949</v>
      </c>
      <c r="C94" s="183" t="n">
        <v>132</v>
      </c>
      <c r="D94" s="181" t="s">
        <v>276</v>
      </c>
      <c r="E94" s="181" t="s">
        <v>277</v>
      </c>
      <c r="F94" s="181" t="s">
        <v>278</v>
      </c>
      <c r="G94" s="181"/>
      <c r="H94" s="181" t="s">
        <v>471</v>
      </c>
      <c r="I94" s="181" t="s">
        <v>238</v>
      </c>
      <c r="J94" s="184" t="n">
        <v>41190</v>
      </c>
      <c r="K94" s="184" t="n">
        <v>15150</v>
      </c>
      <c r="L94" s="185" t="n">
        <v>18</v>
      </c>
      <c r="M94" s="184" t="n">
        <v>26040</v>
      </c>
      <c r="N94" s="184" t="n">
        <v>21352.8</v>
      </c>
      <c r="O94" s="186" t="s">
        <v>514</v>
      </c>
      <c r="P94" s="187" t="n">
        <v>45882</v>
      </c>
    </row>
    <row r="95" customFormat="false" ht="51" hidden="false" customHeight="true" outlineLevel="0" collapsed="false">
      <c r="A95" s="181" t="s">
        <v>515</v>
      </c>
      <c r="B95" s="182" t="n">
        <v>950</v>
      </c>
      <c r="C95" s="183" t="n">
        <v>135</v>
      </c>
      <c r="D95" s="181" t="s">
        <v>276</v>
      </c>
      <c r="E95" s="181" t="s">
        <v>336</v>
      </c>
      <c r="F95" s="181" t="s">
        <v>337</v>
      </c>
      <c r="G95" s="181"/>
      <c r="H95" s="181" t="s">
        <v>471</v>
      </c>
      <c r="I95" s="181" t="s">
        <v>238</v>
      </c>
      <c r="J95" s="184" t="n">
        <v>43580</v>
      </c>
      <c r="K95" s="184" t="n">
        <v>14520</v>
      </c>
      <c r="L95" s="185" t="n">
        <v>17</v>
      </c>
      <c r="M95" s="184" t="n">
        <v>29060</v>
      </c>
      <c r="N95" s="184" t="n">
        <v>24119.8</v>
      </c>
      <c r="O95" s="186" t="s">
        <v>516</v>
      </c>
      <c r="P95" s="187" t="n">
        <v>45883</v>
      </c>
    </row>
    <row r="96" customFormat="false" ht="51" hidden="false" customHeight="true" outlineLevel="0" collapsed="false">
      <c r="A96" s="181" t="s">
        <v>517</v>
      </c>
      <c r="B96" s="182" t="n">
        <v>951</v>
      </c>
      <c r="C96" s="183" t="n">
        <v>136</v>
      </c>
      <c r="D96" s="181" t="s">
        <v>276</v>
      </c>
      <c r="E96" s="181" t="s">
        <v>340</v>
      </c>
      <c r="F96" s="181" t="s">
        <v>341</v>
      </c>
      <c r="G96" s="181"/>
      <c r="H96" s="181" t="s">
        <v>471</v>
      </c>
      <c r="I96" s="181" t="s">
        <v>238</v>
      </c>
      <c r="J96" s="184" t="n">
        <v>42250</v>
      </c>
      <c r="K96" s="184" t="n">
        <v>15130</v>
      </c>
      <c r="L96" s="185" t="n">
        <v>4</v>
      </c>
      <c r="M96" s="184" t="n">
        <v>27120</v>
      </c>
      <c r="N96" s="184" t="n">
        <v>26035.2</v>
      </c>
      <c r="O96" s="186" t="s">
        <v>518</v>
      </c>
      <c r="P96" s="187" t="n">
        <v>45883</v>
      </c>
    </row>
    <row r="97" customFormat="false" ht="51" hidden="false" customHeight="true" outlineLevel="0" collapsed="false">
      <c r="A97" s="181" t="s">
        <v>519</v>
      </c>
      <c r="B97" s="182" t="n">
        <v>952</v>
      </c>
      <c r="C97" s="183" t="n">
        <v>30004</v>
      </c>
      <c r="D97" s="181" t="s">
        <v>3325</v>
      </c>
      <c r="E97" s="181" t="s">
        <v>282</v>
      </c>
      <c r="F97" s="181" t="s">
        <v>283</v>
      </c>
      <c r="G97" s="181" t="s">
        <v>221</v>
      </c>
      <c r="H97" s="181" t="s">
        <v>520</v>
      </c>
      <c r="I97" s="181" t="s">
        <v>220</v>
      </c>
      <c r="J97" s="184" t="n">
        <v>35530</v>
      </c>
      <c r="K97" s="184" t="n">
        <v>15060</v>
      </c>
      <c r="L97" s="185" t="n">
        <v>6</v>
      </c>
      <c r="M97" s="184" t="n">
        <v>20470</v>
      </c>
      <c r="N97" s="184" t="n">
        <v>19241.8</v>
      </c>
      <c r="O97" s="186" t="s">
        <v>521</v>
      </c>
      <c r="P97" s="187" t="n">
        <v>45883</v>
      </c>
    </row>
    <row r="98" customFormat="false" ht="51" hidden="false" customHeight="true" outlineLevel="0" collapsed="false">
      <c r="A98" s="181" t="s">
        <v>522</v>
      </c>
      <c r="B98" s="182" t="n">
        <v>953</v>
      </c>
      <c r="C98" s="183" t="n">
        <v>30006</v>
      </c>
      <c r="D98" s="181" t="s">
        <v>3325</v>
      </c>
      <c r="E98" s="181" t="s">
        <v>346</v>
      </c>
      <c r="F98" s="181" t="s">
        <v>347</v>
      </c>
      <c r="G98" s="181" t="s">
        <v>221</v>
      </c>
      <c r="H98" s="181" t="s">
        <v>520</v>
      </c>
      <c r="I98" s="181" t="s">
        <v>220</v>
      </c>
      <c r="J98" s="184" t="n">
        <v>36240</v>
      </c>
      <c r="K98" s="184" t="n">
        <v>14980</v>
      </c>
      <c r="L98" s="185" t="n">
        <v>16</v>
      </c>
      <c r="M98" s="184" t="n">
        <v>21260</v>
      </c>
      <c r="N98" s="184" t="n">
        <v>17858.4</v>
      </c>
      <c r="O98" s="186" t="s">
        <v>523</v>
      </c>
      <c r="P98" s="187" t="n">
        <v>45883</v>
      </c>
    </row>
    <row r="99" customFormat="false" ht="51" hidden="false" customHeight="true" outlineLevel="0" collapsed="false">
      <c r="A99" s="181" t="s">
        <v>524</v>
      </c>
      <c r="B99" s="182" t="n">
        <v>954</v>
      </c>
      <c r="C99" s="183" t="n">
        <v>30017</v>
      </c>
      <c r="D99" s="181" t="s">
        <v>3325</v>
      </c>
      <c r="E99" s="181" t="s">
        <v>359</v>
      </c>
      <c r="F99" s="181" t="s">
        <v>360</v>
      </c>
      <c r="G99" s="181" t="s">
        <v>221</v>
      </c>
      <c r="H99" s="181" t="s">
        <v>520</v>
      </c>
      <c r="I99" s="181" t="s">
        <v>220</v>
      </c>
      <c r="J99" s="184" t="n">
        <v>34280</v>
      </c>
      <c r="K99" s="184" t="n">
        <v>14870</v>
      </c>
      <c r="L99" s="185" t="n">
        <v>16</v>
      </c>
      <c r="M99" s="184" t="n">
        <v>19410</v>
      </c>
      <c r="N99" s="184" t="n">
        <v>16304.4</v>
      </c>
      <c r="O99" s="186" t="s">
        <v>525</v>
      </c>
      <c r="P99" s="187" t="n">
        <v>45883</v>
      </c>
    </row>
    <row r="100" customFormat="false" ht="51" hidden="false" customHeight="true" outlineLevel="0" collapsed="false">
      <c r="A100" s="181" t="s">
        <v>526</v>
      </c>
      <c r="B100" s="182" t="n">
        <v>955</v>
      </c>
      <c r="C100" s="183" t="n">
        <v>30043</v>
      </c>
      <c r="D100" s="181" t="s">
        <v>3325</v>
      </c>
      <c r="E100" s="181" t="s">
        <v>391</v>
      </c>
      <c r="F100" s="181" t="s">
        <v>392</v>
      </c>
      <c r="G100" s="181" t="s">
        <v>221</v>
      </c>
      <c r="H100" s="181" t="s">
        <v>520</v>
      </c>
      <c r="I100" s="181" t="s">
        <v>220</v>
      </c>
      <c r="J100" s="184" t="n">
        <v>33340</v>
      </c>
      <c r="K100" s="184" t="n">
        <v>14470</v>
      </c>
      <c r="L100" s="185" t="n">
        <v>29</v>
      </c>
      <c r="M100" s="184" t="n">
        <v>18870</v>
      </c>
      <c r="N100" s="184" t="n">
        <v>13397.7</v>
      </c>
      <c r="O100" s="186" t="s">
        <v>527</v>
      </c>
      <c r="P100" s="187" t="n">
        <v>45883</v>
      </c>
    </row>
    <row r="101" customFormat="false" ht="51" hidden="false" customHeight="true" outlineLevel="0" collapsed="false">
      <c r="A101" s="181" t="s">
        <v>528</v>
      </c>
      <c r="B101" s="182" t="n">
        <v>956</v>
      </c>
      <c r="C101" s="183" t="n">
        <v>30045</v>
      </c>
      <c r="D101" s="181" t="s">
        <v>3325</v>
      </c>
      <c r="E101" s="181" t="s">
        <v>529</v>
      </c>
      <c r="F101" s="181" t="s">
        <v>530</v>
      </c>
      <c r="G101" s="181" t="s">
        <v>221</v>
      </c>
      <c r="H101" s="181" t="s">
        <v>520</v>
      </c>
      <c r="I101" s="181" t="s">
        <v>220</v>
      </c>
      <c r="J101" s="184" t="n">
        <v>33680</v>
      </c>
      <c r="K101" s="184" t="n">
        <v>14890</v>
      </c>
      <c r="L101" s="185" t="n">
        <v>12</v>
      </c>
      <c r="M101" s="184" t="n">
        <v>18790</v>
      </c>
      <c r="N101" s="184" t="n">
        <v>16535.2</v>
      </c>
      <c r="O101" s="186" t="s">
        <v>531</v>
      </c>
      <c r="P101" s="187" t="n">
        <v>45883</v>
      </c>
    </row>
    <row r="102" customFormat="false" ht="51" hidden="false" customHeight="true" outlineLevel="0" collapsed="false">
      <c r="A102" s="181" t="s">
        <v>532</v>
      </c>
      <c r="B102" s="182" t="n">
        <v>958</v>
      </c>
      <c r="C102" s="183" t="n">
        <v>30091</v>
      </c>
      <c r="D102" s="181" t="s">
        <v>3325</v>
      </c>
      <c r="E102" s="181" t="s">
        <v>533</v>
      </c>
      <c r="F102" s="181" t="s">
        <v>534</v>
      </c>
      <c r="G102" s="181" t="s">
        <v>221</v>
      </c>
      <c r="H102" s="181" t="s">
        <v>520</v>
      </c>
      <c r="I102" s="181" t="s">
        <v>220</v>
      </c>
      <c r="J102" s="184" t="n">
        <v>37090</v>
      </c>
      <c r="K102" s="184" t="n">
        <v>14660</v>
      </c>
      <c r="L102" s="185" t="n">
        <v>20</v>
      </c>
      <c r="M102" s="184" t="n">
        <v>22430</v>
      </c>
      <c r="N102" s="184" t="n">
        <v>17944</v>
      </c>
      <c r="O102" s="186" t="s">
        <v>535</v>
      </c>
      <c r="P102" s="187" t="n">
        <v>45883</v>
      </c>
    </row>
    <row r="103" customFormat="false" ht="51" hidden="false" customHeight="true" outlineLevel="0" collapsed="false">
      <c r="A103" s="181" t="s">
        <v>536</v>
      </c>
      <c r="B103" s="182" t="n">
        <v>959</v>
      </c>
      <c r="C103" s="183" t="n">
        <v>30089</v>
      </c>
      <c r="D103" s="181" t="s">
        <v>3325</v>
      </c>
      <c r="E103" s="181" t="s">
        <v>537</v>
      </c>
      <c r="F103" s="181" t="s">
        <v>538</v>
      </c>
      <c r="G103" s="181" t="s">
        <v>221</v>
      </c>
      <c r="H103" s="181" t="s">
        <v>520</v>
      </c>
      <c r="I103" s="181" t="s">
        <v>220</v>
      </c>
      <c r="J103" s="184" t="n">
        <v>33150</v>
      </c>
      <c r="K103" s="184" t="n">
        <v>14010</v>
      </c>
      <c r="L103" s="185" t="n">
        <v>20</v>
      </c>
      <c r="M103" s="184" t="n">
        <v>19140</v>
      </c>
      <c r="N103" s="184" t="n">
        <v>15312</v>
      </c>
      <c r="O103" s="186" t="s">
        <v>539</v>
      </c>
      <c r="P103" s="187" t="n">
        <v>45883</v>
      </c>
    </row>
    <row r="104" customFormat="false" ht="51" hidden="false" customHeight="true" outlineLevel="0" collapsed="false">
      <c r="A104" s="181" t="s">
        <v>540</v>
      </c>
      <c r="B104" s="182" t="n">
        <v>961</v>
      </c>
      <c r="C104" s="183" t="n">
        <v>30093</v>
      </c>
      <c r="D104" s="181" t="s">
        <v>3325</v>
      </c>
      <c r="E104" s="181" t="s">
        <v>541</v>
      </c>
      <c r="F104" s="181" t="s">
        <v>542</v>
      </c>
      <c r="G104" s="181" t="s">
        <v>221</v>
      </c>
      <c r="H104" s="181" t="s">
        <v>520</v>
      </c>
      <c r="I104" s="181" t="s">
        <v>220</v>
      </c>
      <c r="J104" s="184" t="n">
        <v>36520</v>
      </c>
      <c r="K104" s="184" t="n">
        <v>14980</v>
      </c>
      <c r="L104" s="185" t="n">
        <v>21</v>
      </c>
      <c r="M104" s="184" t="n">
        <v>21540</v>
      </c>
      <c r="N104" s="184" t="n">
        <v>17016.6</v>
      </c>
      <c r="O104" s="186" t="s">
        <v>543</v>
      </c>
      <c r="P104" s="187" t="n">
        <v>45883</v>
      </c>
    </row>
    <row r="105" customFormat="false" ht="51" hidden="false" customHeight="true" outlineLevel="0" collapsed="false">
      <c r="A105" s="181" t="s">
        <v>544</v>
      </c>
      <c r="B105" s="182" t="n">
        <v>962</v>
      </c>
      <c r="C105" s="183" t="n">
        <v>30095</v>
      </c>
      <c r="D105" s="181" t="s">
        <v>3325</v>
      </c>
      <c r="E105" s="181" t="s">
        <v>545</v>
      </c>
      <c r="F105" s="181" t="s">
        <v>546</v>
      </c>
      <c r="G105" s="181" t="s">
        <v>221</v>
      </c>
      <c r="H105" s="181" t="s">
        <v>520</v>
      </c>
      <c r="I105" s="181" t="s">
        <v>220</v>
      </c>
      <c r="J105" s="184" t="n">
        <v>39640</v>
      </c>
      <c r="K105" s="184" t="n">
        <v>16100</v>
      </c>
      <c r="L105" s="185" t="n">
        <v>13</v>
      </c>
      <c r="M105" s="184" t="n">
        <v>23540</v>
      </c>
      <c r="N105" s="184" t="n">
        <v>20479.8</v>
      </c>
      <c r="O105" s="186" t="s">
        <v>547</v>
      </c>
      <c r="P105" s="187" t="n">
        <v>45883</v>
      </c>
    </row>
    <row r="106" customFormat="false" ht="51" hidden="false" customHeight="true" outlineLevel="0" collapsed="false">
      <c r="A106" s="181" t="s">
        <v>548</v>
      </c>
      <c r="B106" s="182" t="n">
        <v>964</v>
      </c>
      <c r="C106" s="183" t="n">
        <v>30097</v>
      </c>
      <c r="D106" s="181" t="s">
        <v>3325</v>
      </c>
      <c r="E106" s="181" t="s">
        <v>549</v>
      </c>
      <c r="F106" s="181" t="s">
        <v>550</v>
      </c>
      <c r="G106" s="181" t="s">
        <v>221</v>
      </c>
      <c r="H106" s="181" t="s">
        <v>520</v>
      </c>
      <c r="I106" s="181" t="s">
        <v>220</v>
      </c>
      <c r="J106" s="184" t="n">
        <v>39460</v>
      </c>
      <c r="K106" s="184" t="n">
        <v>15920</v>
      </c>
      <c r="L106" s="185" t="n">
        <v>12</v>
      </c>
      <c r="M106" s="184" t="n">
        <v>23540</v>
      </c>
      <c r="N106" s="184" t="n">
        <v>20715.2</v>
      </c>
      <c r="O106" s="186" t="s">
        <v>551</v>
      </c>
      <c r="P106" s="187" t="n">
        <v>45883</v>
      </c>
    </row>
    <row r="107" customFormat="false" ht="51" hidden="false" customHeight="true" outlineLevel="0" collapsed="false">
      <c r="A107" s="181" t="s">
        <v>552</v>
      </c>
      <c r="B107" s="182" t="n">
        <v>967</v>
      </c>
      <c r="C107" s="183" t="n">
        <v>30099</v>
      </c>
      <c r="D107" s="181" t="s">
        <v>3325</v>
      </c>
      <c r="E107" s="181" t="s">
        <v>350</v>
      </c>
      <c r="F107" s="181" t="s">
        <v>351</v>
      </c>
      <c r="G107" s="181" t="s">
        <v>221</v>
      </c>
      <c r="H107" s="181" t="s">
        <v>520</v>
      </c>
      <c r="I107" s="181" t="s">
        <v>220</v>
      </c>
      <c r="J107" s="184" t="n">
        <v>40140</v>
      </c>
      <c r="K107" s="184" t="n">
        <v>14920</v>
      </c>
      <c r="L107" s="185" t="n">
        <v>37</v>
      </c>
      <c r="M107" s="184" t="n">
        <v>25220</v>
      </c>
      <c r="N107" s="184" t="n">
        <v>15888.6</v>
      </c>
      <c r="O107" s="186" t="s">
        <v>553</v>
      </c>
      <c r="P107" s="187" t="n">
        <v>45883</v>
      </c>
    </row>
    <row r="108" customFormat="false" ht="51" hidden="false" customHeight="true" outlineLevel="0" collapsed="false">
      <c r="A108" s="181" t="s">
        <v>554</v>
      </c>
      <c r="B108" s="182" t="n">
        <v>968</v>
      </c>
      <c r="C108" s="183" t="n">
        <v>30101</v>
      </c>
      <c r="D108" s="181" t="s">
        <v>3325</v>
      </c>
      <c r="E108" s="181" t="s">
        <v>377</v>
      </c>
      <c r="F108" s="181" t="s">
        <v>378</v>
      </c>
      <c r="G108" s="181" t="s">
        <v>221</v>
      </c>
      <c r="H108" s="181" t="s">
        <v>520</v>
      </c>
      <c r="I108" s="181" t="s">
        <v>220</v>
      </c>
      <c r="J108" s="184" t="n">
        <v>41240</v>
      </c>
      <c r="K108" s="184" t="n">
        <v>15590</v>
      </c>
      <c r="L108" s="185" t="n">
        <v>19</v>
      </c>
      <c r="M108" s="184" t="n">
        <v>25650</v>
      </c>
      <c r="N108" s="184" t="n">
        <v>20776.5</v>
      </c>
      <c r="O108" s="186" t="s">
        <v>555</v>
      </c>
      <c r="P108" s="187" t="n">
        <v>45883</v>
      </c>
    </row>
    <row r="109" customFormat="false" ht="51" hidden="false" customHeight="true" outlineLevel="0" collapsed="false">
      <c r="A109" s="181" t="s">
        <v>556</v>
      </c>
      <c r="B109" s="182" t="n">
        <v>969</v>
      </c>
      <c r="C109" s="183" t="n">
        <v>30103</v>
      </c>
      <c r="D109" s="181" t="s">
        <v>3325</v>
      </c>
      <c r="E109" s="181" t="s">
        <v>439</v>
      </c>
      <c r="F109" s="181" t="s">
        <v>440</v>
      </c>
      <c r="G109" s="181" t="s">
        <v>221</v>
      </c>
      <c r="H109" s="181" t="s">
        <v>520</v>
      </c>
      <c r="I109" s="181" t="s">
        <v>220</v>
      </c>
      <c r="J109" s="184" t="n">
        <v>38470</v>
      </c>
      <c r="K109" s="184" t="n">
        <v>16400</v>
      </c>
      <c r="L109" s="185" t="n">
        <v>6</v>
      </c>
      <c r="M109" s="184" t="n">
        <v>22070</v>
      </c>
      <c r="N109" s="184" t="n">
        <v>20745.8</v>
      </c>
      <c r="O109" s="186" t="s">
        <v>557</v>
      </c>
      <c r="P109" s="187" t="n">
        <v>45883</v>
      </c>
    </row>
    <row r="110" customFormat="false" ht="51" hidden="false" customHeight="true" outlineLevel="0" collapsed="false">
      <c r="A110" s="181" t="s">
        <v>558</v>
      </c>
      <c r="B110" s="182" t="n">
        <v>970</v>
      </c>
      <c r="C110" s="183" t="n">
        <v>30105</v>
      </c>
      <c r="D110" s="181" t="s">
        <v>3325</v>
      </c>
      <c r="E110" s="181" t="s">
        <v>399</v>
      </c>
      <c r="F110" s="181" t="s">
        <v>400</v>
      </c>
      <c r="G110" s="181" t="s">
        <v>221</v>
      </c>
      <c r="H110" s="181" t="s">
        <v>520</v>
      </c>
      <c r="I110" s="181" t="s">
        <v>220</v>
      </c>
      <c r="J110" s="184" t="n">
        <v>43920</v>
      </c>
      <c r="K110" s="184" t="n">
        <v>19310</v>
      </c>
      <c r="L110" s="185" t="n">
        <v>19</v>
      </c>
      <c r="M110" s="184" t="n">
        <v>24610</v>
      </c>
      <c r="N110" s="184" t="n">
        <v>19934.1</v>
      </c>
      <c r="O110" s="186" t="s">
        <v>559</v>
      </c>
      <c r="P110" s="187" t="n">
        <v>45883</v>
      </c>
    </row>
    <row r="111" customFormat="false" ht="51" hidden="false" customHeight="true" outlineLevel="0" collapsed="false">
      <c r="A111" s="181" t="s">
        <v>560</v>
      </c>
      <c r="B111" s="182" t="n">
        <v>971</v>
      </c>
      <c r="C111" s="183" t="n">
        <v>30115</v>
      </c>
      <c r="D111" s="181" t="s">
        <v>3325</v>
      </c>
      <c r="E111" s="181" t="s">
        <v>413</v>
      </c>
      <c r="F111" s="181" t="s">
        <v>414</v>
      </c>
      <c r="G111" s="181" t="s">
        <v>221</v>
      </c>
      <c r="H111" s="181" t="s">
        <v>520</v>
      </c>
      <c r="I111" s="181" t="s">
        <v>220</v>
      </c>
      <c r="J111" s="184" t="n">
        <v>41820</v>
      </c>
      <c r="K111" s="184" t="n">
        <v>15540</v>
      </c>
      <c r="L111" s="185" t="n">
        <v>10</v>
      </c>
      <c r="M111" s="184" t="n">
        <v>26280</v>
      </c>
      <c r="N111" s="184" t="n">
        <v>23652</v>
      </c>
      <c r="O111" s="186" t="s">
        <v>561</v>
      </c>
      <c r="P111" s="187" t="n">
        <v>45883</v>
      </c>
    </row>
    <row r="112" customFormat="false" ht="51" hidden="false" customHeight="true" outlineLevel="0" collapsed="false">
      <c r="A112" s="181" t="s">
        <v>564</v>
      </c>
      <c r="B112" s="182" t="n">
        <v>973</v>
      </c>
      <c r="C112" s="183" t="n">
        <v>30107</v>
      </c>
      <c r="D112" s="181" t="s">
        <v>3325</v>
      </c>
      <c r="E112" s="181" t="s">
        <v>308</v>
      </c>
      <c r="F112" s="181" t="s">
        <v>309</v>
      </c>
      <c r="G112" s="181" t="s">
        <v>221</v>
      </c>
      <c r="H112" s="181" t="s">
        <v>520</v>
      </c>
      <c r="I112" s="181" t="s">
        <v>220</v>
      </c>
      <c r="J112" s="184" t="n">
        <v>47570</v>
      </c>
      <c r="K112" s="184" t="n">
        <v>24050</v>
      </c>
      <c r="L112" s="185" t="n">
        <v>23</v>
      </c>
      <c r="M112" s="184" t="n">
        <v>23520</v>
      </c>
      <c r="N112" s="184" t="n">
        <v>18110.4</v>
      </c>
      <c r="O112" s="186" t="s">
        <v>565</v>
      </c>
      <c r="P112" s="187" t="n">
        <v>45884</v>
      </c>
    </row>
    <row r="113" customFormat="false" ht="51" hidden="false" customHeight="true" outlineLevel="0" collapsed="false">
      <c r="A113" s="181" t="s">
        <v>562</v>
      </c>
      <c r="B113" s="182" t="n">
        <v>972</v>
      </c>
      <c r="C113" s="183" t="n">
        <v>30113</v>
      </c>
      <c r="D113" s="181" t="s">
        <v>3325</v>
      </c>
      <c r="E113" s="181" t="s">
        <v>409</v>
      </c>
      <c r="F113" s="181" t="s">
        <v>410</v>
      </c>
      <c r="G113" s="181" t="s">
        <v>221</v>
      </c>
      <c r="H113" s="181" t="s">
        <v>520</v>
      </c>
      <c r="I113" s="181" t="s">
        <v>220</v>
      </c>
      <c r="J113" s="184" t="n">
        <v>50440</v>
      </c>
      <c r="K113" s="184" t="n">
        <v>24130</v>
      </c>
      <c r="L113" s="185" t="n">
        <v>15</v>
      </c>
      <c r="M113" s="184" t="n">
        <v>26310</v>
      </c>
      <c r="N113" s="184" t="n">
        <v>22363.5</v>
      </c>
      <c r="O113" s="186" t="s">
        <v>563</v>
      </c>
      <c r="P113" s="187" t="n">
        <v>45883</v>
      </c>
    </row>
    <row r="114" customFormat="false" ht="51" hidden="false" customHeight="true" outlineLevel="0" collapsed="false">
      <c r="A114" s="181" t="s">
        <v>566</v>
      </c>
      <c r="B114" s="182" t="n">
        <v>974</v>
      </c>
      <c r="C114" s="183" t="n">
        <v>30109</v>
      </c>
      <c r="D114" s="181" t="s">
        <v>3325</v>
      </c>
      <c r="E114" s="181" t="s">
        <v>304</v>
      </c>
      <c r="F114" s="181" t="s">
        <v>305</v>
      </c>
      <c r="G114" s="181" t="s">
        <v>221</v>
      </c>
      <c r="H114" s="181" t="s">
        <v>520</v>
      </c>
      <c r="I114" s="181" t="s">
        <v>220</v>
      </c>
      <c r="J114" s="184" t="n">
        <v>36940</v>
      </c>
      <c r="K114" s="184" t="n">
        <v>14830</v>
      </c>
      <c r="L114" s="185" t="n">
        <v>15</v>
      </c>
      <c r="M114" s="184" t="n">
        <v>22110</v>
      </c>
      <c r="N114" s="184" t="n">
        <v>18793.5</v>
      </c>
      <c r="O114" s="186" t="s">
        <v>567</v>
      </c>
      <c r="P114" s="187" t="n">
        <v>45884</v>
      </c>
    </row>
    <row r="115" customFormat="false" ht="51" hidden="false" customHeight="true" outlineLevel="0" collapsed="false">
      <c r="A115" s="181" t="s">
        <v>568</v>
      </c>
      <c r="B115" s="182" t="n">
        <v>975</v>
      </c>
      <c r="C115" s="183" t="n">
        <v>30111</v>
      </c>
      <c r="D115" s="181" t="s">
        <v>3325</v>
      </c>
      <c r="E115" s="181" t="s">
        <v>300</v>
      </c>
      <c r="F115" s="181" t="s">
        <v>301</v>
      </c>
      <c r="G115" s="181" t="s">
        <v>221</v>
      </c>
      <c r="H115" s="181" t="s">
        <v>520</v>
      </c>
      <c r="I115" s="181" t="s">
        <v>220</v>
      </c>
      <c r="J115" s="184" t="n">
        <v>48340</v>
      </c>
      <c r="K115" s="184" t="n">
        <v>20890</v>
      </c>
      <c r="L115" s="185" t="n">
        <v>19</v>
      </c>
      <c r="M115" s="184" t="n">
        <v>27450</v>
      </c>
      <c r="N115" s="184" t="n">
        <v>22234.5</v>
      </c>
      <c r="O115" s="186" t="s">
        <v>569</v>
      </c>
      <c r="P115" s="187" t="n">
        <v>45884</v>
      </c>
    </row>
    <row r="116" customFormat="false" ht="51" hidden="false" customHeight="true" outlineLevel="0" collapsed="false">
      <c r="A116" s="181" t="s">
        <v>570</v>
      </c>
      <c r="B116" s="182" t="n">
        <v>976</v>
      </c>
      <c r="C116" s="183" t="n">
        <v>30121</v>
      </c>
      <c r="D116" s="181" t="s">
        <v>3325</v>
      </c>
      <c r="E116" s="181" t="s">
        <v>383</v>
      </c>
      <c r="F116" s="181" t="s">
        <v>384</v>
      </c>
      <c r="G116" s="181" t="s">
        <v>221</v>
      </c>
      <c r="H116" s="181" t="s">
        <v>571</v>
      </c>
      <c r="I116" s="181" t="s">
        <v>220</v>
      </c>
      <c r="J116" s="184" t="n">
        <v>38190</v>
      </c>
      <c r="K116" s="184" t="n">
        <v>14870</v>
      </c>
      <c r="L116" s="185" t="n">
        <v>17</v>
      </c>
      <c r="M116" s="184" t="n">
        <v>23320</v>
      </c>
      <c r="N116" s="184" t="n">
        <v>19355.6</v>
      </c>
      <c r="O116" s="186" t="s">
        <v>572</v>
      </c>
      <c r="P116" s="187" t="n">
        <v>45884</v>
      </c>
    </row>
    <row r="117" customFormat="false" ht="51" hidden="false" customHeight="true" outlineLevel="0" collapsed="false">
      <c r="A117" s="181" t="s">
        <v>573</v>
      </c>
      <c r="B117" s="182" t="n">
        <v>977</v>
      </c>
      <c r="C117" s="183" t="n">
        <v>30123</v>
      </c>
      <c r="D117" s="181" t="s">
        <v>3325</v>
      </c>
      <c r="E117" s="181" t="s">
        <v>387</v>
      </c>
      <c r="F117" s="181" t="s">
        <v>388</v>
      </c>
      <c r="G117" s="181" t="s">
        <v>221</v>
      </c>
      <c r="H117" s="181" t="s">
        <v>571</v>
      </c>
      <c r="I117" s="181" t="s">
        <v>220</v>
      </c>
      <c r="J117" s="184" t="n">
        <v>37190</v>
      </c>
      <c r="K117" s="184" t="n">
        <v>14880</v>
      </c>
      <c r="L117" s="185" t="n">
        <v>8</v>
      </c>
      <c r="M117" s="184" t="n">
        <v>22310</v>
      </c>
      <c r="N117" s="184" t="n">
        <v>20525.2</v>
      </c>
      <c r="O117" s="186" t="s">
        <v>574</v>
      </c>
      <c r="P117" s="187" t="n">
        <v>45884</v>
      </c>
    </row>
    <row r="118" customFormat="false" ht="51" hidden="false" customHeight="true" outlineLevel="0" collapsed="false">
      <c r="A118" s="181" t="s">
        <v>575</v>
      </c>
      <c r="B118" s="182" t="n">
        <v>978</v>
      </c>
      <c r="C118" s="183" t="n">
        <v>30119</v>
      </c>
      <c r="D118" s="181" t="s">
        <v>3325</v>
      </c>
      <c r="E118" s="181" t="s">
        <v>576</v>
      </c>
      <c r="F118" s="181" t="s">
        <v>577</v>
      </c>
      <c r="G118" s="181" t="s">
        <v>221</v>
      </c>
      <c r="H118" s="181" t="s">
        <v>571</v>
      </c>
      <c r="I118" s="181" t="s">
        <v>220</v>
      </c>
      <c r="J118" s="184" t="n">
        <v>37120</v>
      </c>
      <c r="K118" s="184" t="n">
        <v>14460</v>
      </c>
      <c r="L118" s="185" t="n">
        <v>23</v>
      </c>
      <c r="M118" s="184" t="n">
        <v>22660</v>
      </c>
      <c r="N118" s="184" t="n">
        <v>17448.2</v>
      </c>
      <c r="O118" s="186" t="s">
        <v>578</v>
      </c>
      <c r="P118" s="187" t="n">
        <v>45884</v>
      </c>
    </row>
    <row r="119" customFormat="false" ht="51" hidden="false" customHeight="true" outlineLevel="0" collapsed="false">
      <c r="A119" s="181" t="s">
        <v>581</v>
      </c>
      <c r="B119" s="182" t="n">
        <v>980</v>
      </c>
      <c r="C119" s="183" t="n">
        <v>30129</v>
      </c>
      <c r="D119" s="181" t="s">
        <v>3325</v>
      </c>
      <c r="E119" s="181" t="s">
        <v>582</v>
      </c>
      <c r="F119" s="181" t="s">
        <v>583</v>
      </c>
      <c r="G119" s="181" t="s">
        <v>221</v>
      </c>
      <c r="H119" s="181" t="s">
        <v>571</v>
      </c>
      <c r="I119" s="181" t="s">
        <v>220</v>
      </c>
      <c r="J119" s="184" t="n">
        <v>34000</v>
      </c>
      <c r="K119" s="184" t="n">
        <v>14580</v>
      </c>
      <c r="L119" s="185" t="n">
        <v>11</v>
      </c>
      <c r="M119" s="184" t="n">
        <v>19420</v>
      </c>
      <c r="N119" s="184" t="n">
        <v>17283.8</v>
      </c>
      <c r="O119" s="186" t="s">
        <v>584</v>
      </c>
      <c r="P119" s="187" t="n">
        <v>45884</v>
      </c>
    </row>
    <row r="120" customFormat="false" ht="51" hidden="false" customHeight="true" outlineLevel="0" collapsed="false">
      <c r="A120" s="181" t="s">
        <v>585</v>
      </c>
      <c r="B120" s="182" t="n">
        <v>981</v>
      </c>
      <c r="C120" s="183" t="n">
        <v>30125</v>
      </c>
      <c r="D120" s="181" t="s">
        <v>3325</v>
      </c>
      <c r="E120" s="181" t="s">
        <v>266</v>
      </c>
      <c r="F120" s="181" t="s">
        <v>267</v>
      </c>
      <c r="G120" s="181" t="s">
        <v>223</v>
      </c>
      <c r="H120" s="181" t="s">
        <v>586</v>
      </c>
      <c r="I120" s="181" t="s">
        <v>220</v>
      </c>
      <c r="J120" s="184" t="n">
        <v>35220</v>
      </c>
      <c r="K120" s="184" t="n">
        <v>14930</v>
      </c>
      <c r="L120" s="185" t="n">
        <v>57</v>
      </c>
      <c r="M120" s="184" t="n">
        <v>20290</v>
      </c>
      <c r="N120" s="184" t="n">
        <v>8724.7</v>
      </c>
      <c r="O120" s="186" t="s">
        <v>587</v>
      </c>
      <c r="P120" s="187" t="n">
        <v>45884</v>
      </c>
    </row>
    <row r="121" customFormat="false" ht="51" hidden="false" customHeight="true" outlineLevel="0" collapsed="false">
      <c r="A121" s="181" t="s">
        <v>588</v>
      </c>
      <c r="B121" s="182" t="n">
        <v>982</v>
      </c>
      <c r="C121" s="183" t="n">
        <v>30127</v>
      </c>
      <c r="D121" s="181" t="s">
        <v>3325</v>
      </c>
      <c r="E121" s="181" t="s">
        <v>261</v>
      </c>
      <c r="F121" s="181" t="s">
        <v>262</v>
      </c>
      <c r="G121" s="181" t="s">
        <v>222</v>
      </c>
      <c r="H121" s="181" t="s">
        <v>571</v>
      </c>
      <c r="I121" s="181" t="s">
        <v>220</v>
      </c>
      <c r="J121" s="184" t="n">
        <v>37560</v>
      </c>
      <c r="K121" s="184" t="n">
        <v>15090</v>
      </c>
      <c r="L121" s="185" t="n">
        <v>10</v>
      </c>
      <c r="M121" s="184" t="n">
        <v>22470</v>
      </c>
      <c r="N121" s="184" t="n">
        <v>20223</v>
      </c>
      <c r="O121" s="186" t="s">
        <v>589</v>
      </c>
      <c r="P121" s="187" t="n">
        <v>45884</v>
      </c>
    </row>
    <row r="122" customFormat="false" ht="51" hidden="false" customHeight="true" outlineLevel="0" collapsed="false">
      <c r="A122" s="181" t="s">
        <v>579</v>
      </c>
      <c r="B122" s="182" t="n">
        <v>979</v>
      </c>
      <c r="C122" s="183" t="n">
        <v>30131</v>
      </c>
      <c r="D122" s="181" t="s">
        <v>3325</v>
      </c>
      <c r="E122" s="181" t="s">
        <v>332</v>
      </c>
      <c r="F122" s="181" t="s">
        <v>333</v>
      </c>
      <c r="G122" s="181" t="s">
        <v>223</v>
      </c>
      <c r="H122" s="181" t="s">
        <v>327</v>
      </c>
      <c r="I122" s="181" t="s">
        <v>220</v>
      </c>
      <c r="J122" s="184" t="n">
        <v>36340</v>
      </c>
      <c r="K122" s="184" t="n">
        <v>14700</v>
      </c>
      <c r="L122" s="185" t="n">
        <v>53</v>
      </c>
      <c r="M122" s="184" t="n">
        <v>21640</v>
      </c>
      <c r="N122" s="184" t="n">
        <v>10170.8</v>
      </c>
      <c r="O122" s="186" t="s">
        <v>580</v>
      </c>
      <c r="P122" s="187" t="n">
        <v>45884</v>
      </c>
    </row>
    <row r="123" customFormat="false" ht="51" hidden="false" customHeight="true" outlineLevel="0" collapsed="false">
      <c r="A123" s="181" t="s">
        <v>590</v>
      </c>
      <c r="B123" s="182" t="n">
        <v>983</v>
      </c>
      <c r="C123" s="183" t="n">
        <v>30133</v>
      </c>
      <c r="D123" s="181" t="s">
        <v>3325</v>
      </c>
      <c r="E123" s="181" t="s">
        <v>277</v>
      </c>
      <c r="F123" s="181" t="s">
        <v>278</v>
      </c>
      <c r="G123" s="181" t="s">
        <v>222</v>
      </c>
      <c r="H123" s="181" t="s">
        <v>571</v>
      </c>
      <c r="I123" s="181" t="s">
        <v>220</v>
      </c>
      <c r="J123" s="184" t="n">
        <v>37490</v>
      </c>
      <c r="K123" s="184" t="n">
        <v>15070</v>
      </c>
      <c r="L123" s="185" t="n">
        <v>25</v>
      </c>
      <c r="M123" s="184" t="n">
        <v>22420</v>
      </c>
      <c r="N123" s="184" t="n">
        <v>16815</v>
      </c>
      <c r="O123" s="186" t="s">
        <v>591</v>
      </c>
      <c r="P123" s="187" t="n">
        <v>45884</v>
      </c>
    </row>
    <row r="124" customFormat="false" ht="51" hidden="false" customHeight="true" outlineLevel="0" collapsed="false">
      <c r="A124" s="181" t="s">
        <v>592</v>
      </c>
      <c r="B124" s="182" t="n">
        <v>984</v>
      </c>
      <c r="C124" s="183" t="n">
        <v>30103</v>
      </c>
      <c r="D124" s="181" t="s">
        <v>3325</v>
      </c>
      <c r="E124" s="181" t="s">
        <v>439</v>
      </c>
      <c r="F124" s="181" t="s">
        <v>440</v>
      </c>
      <c r="G124" s="181" t="s">
        <v>222</v>
      </c>
      <c r="H124" s="181" t="s">
        <v>571</v>
      </c>
      <c r="I124" s="181" t="s">
        <v>220</v>
      </c>
      <c r="J124" s="184" t="n">
        <v>39300</v>
      </c>
      <c r="K124" s="184" t="n">
        <v>16400</v>
      </c>
      <c r="L124" s="185" t="n">
        <v>35</v>
      </c>
      <c r="M124" s="184" t="n">
        <v>22900</v>
      </c>
      <c r="N124" s="184" t="n">
        <v>14885</v>
      </c>
      <c r="O124" s="186" t="s">
        <v>593</v>
      </c>
      <c r="P124" s="187" t="n">
        <v>45884</v>
      </c>
    </row>
    <row r="125" customFormat="false" ht="51" hidden="false" customHeight="true" outlineLevel="0" collapsed="false">
      <c r="A125" s="181" t="s">
        <v>594</v>
      </c>
      <c r="B125" s="182" t="n">
        <v>990</v>
      </c>
      <c r="C125" s="183" t="n">
        <v>30137</v>
      </c>
      <c r="D125" s="181" t="s">
        <v>3325</v>
      </c>
      <c r="E125" s="181" t="s">
        <v>545</v>
      </c>
      <c r="F125" s="181" t="s">
        <v>546</v>
      </c>
      <c r="G125" s="181" t="s">
        <v>222</v>
      </c>
      <c r="H125" s="181" t="s">
        <v>571</v>
      </c>
      <c r="I125" s="181" t="s">
        <v>220</v>
      </c>
      <c r="J125" s="184" t="n">
        <v>41480</v>
      </c>
      <c r="K125" s="184" t="n">
        <v>16090</v>
      </c>
      <c r="L125" s="185" t="n">
        <v>31</v>
      </c>
      <c r="M125" s="184" t="n">
        <v>25390</v>
      </c>
      <c r="N125" s="184" t="n">
        <v>17519.1</v>
      </c>
      <c r="O125" s="186" t="s">
        <v>595</v>
      </c>
      <c r="P125" s="187" t="n">
        <v>45884</v>
      </c>
    </row>
    <row r="126" customFormat="false" ht="51" hidden="false" customHeight="true" outlineLevel="0" collapsed="false">
      <c r="A126" s="181" t="s">
        <v>596</v>
      </c>
      <c r="B126" s="182" t="n">
        <v>991</v>
      </c>
      <c r="C126" s="183" t="n">
        <v>128</v>
      </c>
      <c r="D126" s="181" t="s">
        <v>260</v>
      </c>
      <c r="E126" s="181" t="s">
        <v>336</v>
      </c>
      <c r="F126" s="181" t="s">
        <v>337</v>
      </c>
      <c r="G126" s="181"/>
      <c r="H126" s="181" t="s">
        <v>263</v>
      </c>
      <c r="I126" s="181" t="s">
        <v>238</v>
      </c>
      <c r="J126" s="184" t="n">
        <v>36890</v>
      </c>
      <c r="K126" s="184" t="n">
        <v>14500</v>
      </c>
      <c r="L126" s="185" t="n">
        <v>8</v>
      </c>
      <c r="M126" s="184" t="n">
        <v>22390</v>
      </c>
      <c r="N126" s="184" t="n">
        <v>20598.8</v>
      </c>
      <c r="O126" s="186" t="s">
        <v>597</v>
      </c>
      <c r="P126" s="187" t="n">
        <v>45884</v>
      </c>
    </row>
    <row r="127" customFormat="false" ht="51" hidden="false" customHeight="true" outlineLevel="0" collapsed="false">
      <c r="A127" s="181" t="s">
        <v>600</v>
      </c>
      <c r="B127" s="182" t="n">
        <v>993</v>
      </c>
      <c r="C127" s="183" t="n">
        <v>30142</v>
      </c>
      <c r="D127" s="181" t="s">
        <v>3325</v>
      </c>
      <c r="E127" s="181" t="s">
        <v>549</v>
      </c>
      <c r="F127" s="181" t="s">
        <v>550</v>
      </c>
      <c r="G127" s="181" t="s">
        <v>222</v>
      </c>
      <c r="H127" s="181" t="s">
        <v>571</v>
      </c>
      <c r="I127" s="181" t="s">
        <v>220</v>
      </c>
      <c r="J127" s="184" t="n">
        <v>41680</v>
      </c>
      <c r="K127" s="184" t="n">
        <v>15930</v>
      </c>
      <c r="L127" s="185" t="n">
        <v>43</v>
      </c>
      <c r="M127" s="184" t="n">
        <v>25750</v>
      </c>
      <c r="N127" s="184" t="n">
        <v>14677.5</v>
      </c>
      <c r="O127" s="186" t="s">
        <v>601</v>
      </c>
      <c r="P127" s="187" t="n">
        <v>45884</v>
      </c>
    </row>
    <row r="128" customFormat="false" ht="51" hidden="false" customHeight="true" outlineLevel="0" collapsed="false">
      <c r="A128" s="181" t="s">
        <v>598</v>
      </c>
      <c r="B128" s="182" t="n">
        <v>992</v>
      </c>
      <c r="C128" s="183" t="n">
        <v>129</v>
      </c>
      <c r="D128" s="181" t="s">
        <v>260</v>
      </c>
      <c r="E128" s="181" t="s">
        <v>340</v>
      </c>
      <c r="F128" s="181" t="s">
        <v>341</v>
      </c>
      <c r="G128" s="181"/>
      <c r="H128" s="181" t="s">
        <v>263</v>
      </c>
      <c r="I128" s="181" t="s">
        <v>238</v>
      </c>
      <c r="J128" s="184" t="n">
        <v>38030</v>
      </c>
      <c r="K128" s="184" t="n">
        <v>15080</v>
      </c>
      <c r="L128" s="185" t="n">
        <v>5</v>
      </c>
      <c r="M128" s="184" t="n">
        <v>22950</v>
      </c>
      <c r="N128" s="184" t="n">
        <v>21802.5</v>
      </c>
      <c r="O128" s="186" t="s">
        <v>599</v>
      </c>
      <c r="P128" s="187" t="n">
        <v>45884</v>
      </c>
    </row>
    <row r="129" customFormat="false" ht="51" hidden="false" customHeight="true" outlineLevel="0" collapsed="false">
      <c r="A129" s="181" t="s">
        <v>602</v>
      </c>
      <c r="B129" s="182" t="n">
        <v>995</v>
      </c>
      <c r="C129" s="183" t="n">
        <v>132</v>
      </c>
      <c r="D129" s="181" t="s">
        <v>260</v>
      </c>
      <c r="E129" s="181" t="s">
        <v>282</v>
      </c>
      <c r="F129" s="181" t="s">
        <v>283</v>
      </c>
      <c r="G129" s="181"/>
      <c r="H129" s="181" t="s">
        <v>263</v>
      </c>
      <c r="I129" s="181" t="s">
        <v>238</v>
      </c>
      <c r="J129" s="184" t="n">
        <v>39230</v>
      </c>
      <c r="K129" s="184" t="n">
        <v>15040</v>
      </c>
      <c r="L129" s="185" t="n">
        <v>11</v>
      </c>
      <c r="M129" s="184" t="n">
        <v>24190</v>
      </c>
      <c r="N129" s="184" t="n">
        <v>21529.1</v>
      </c>
      <c r="O129" s="186" t="s">
        <v>603</v>
      </c>
      <c r="P129" s="187" t="n">
        <v>45884</v>
      </c>
    </row>
    <row r="130" customFormat="false" ht="51" hidden="false" customHeight="true" outlineLevel="0" collapsed="false">
      <c r="A130" s="181" t="s">
        <v>604</v>
      </c>
      <c r="B130" s="182" t="n">
        <v>996</v>
      </c>
      <c r="C130" s="183" t="n">
        <v>133</v>
      </c>
      <c r="D130" s="181" t="s">
        <v>260</v>
      </c>
      <c r="E130" s="181" t="s">
        <v>296</v>
      </c>
      <c r="F130" s="181" t="s">
        <v>297</v>
      </c>
      <c r="G130" s="181"/>
      <c r="H130" s="181" t="s">
        <v>263</v>
      </c>
      <c r="I130" s="181" t="s">
        <v>238</v>
      </c>
      <c r="J130" s="184" t="n">
        <v>38110</v>
      </c>
      <c r="K130" s="184" t="n">
        <v>15540</v>
      </c>
      <c r="L130" s="185" t="n">
        <v>11</v>
      </c>
      <c r="M130" s="184" t="n">
        <v>22570</v>
      </c>
      <c r="N130" s="184" t="n">
        <v>20087.3</v>
      </c>
      <c r="O130" s="186" t="s">
        <v>605</v>
      </c>
      <c r="P130" s="187" t="n">
        <v>45884</v>
      </c>
    </row>
    <row r="131" customFormat="false" ht="51" hidden="false" customHeight="true" outlineLevel="0" collapsed="false">
      <c r="A131" s="181" t="s">
        <v>606</v>
      </c>
      <c r="B131" s="182" t="n">
        <v>999</v>
      </c>
      <c r="C131" s="183" t="n">
        <v>300194</v>
      </c>
      <c r="D131" s="181" t="s">
        <v>3325</v>
      </c>
      <c r="E131" s="181" t="s">
        <v>533</v>
      </c>
      <c r="F131" s="181" t="s">
        <v>534</v>
      </c>
      <c r="G131" s="181" t="s">
        <v>224</v>
      </c>
      <c r="H131" s="181" t="s">
        <v>607</v>
      </c>
      <c r="I131" s="181" t="s">
        <v>220</v>
      </c>
      <c r="J131" s="184" t="n">
        <v>40930</v>
      </c>
      <c r="K131" s="184" t="n">
        <v>14640</v>
      </c>
      <c r="L131" s="185" t="n">
        <v>25</v>
      </c>
      <c r="M131" s="184" t="n">
        <v>26290</v>
      </c>
      <c r="N131" s="184" t="n">
        <v>19717.5</v>
      </c>
      <c r="O131" s="186" t="s">
        <v>608</v>
      </c>
      <c r="P131" s="187" t="n">
        <v>45887</v>
      </c>
    </row>
    <row r="132" customFormat="false" ht="51" hidden="false" customHeight="true" outlineLevel="0" collapsed="false">
      <c r="A132" s="181" t="s">
        <v>609</v>
      </c>
      <c r="B132" s="182" t="n">
        <v>1000</v>
      </c>
      <c r="C132" s="183" t="n">
        <v>30196</v>
      </c>
      <c r="D132" s="181" t="s">
        <v>3325</v>
      </c>
      <c r="E132" s="181" t="s">
        <v>537</v>
      </c>
      <c r="F132" s="181" t="s">
        <v>538</v>
      </c>
      <c r="G132" s="181" t="s">
        <v>224</v>
      </c>
      <c r="H132" s="181" t="s">
        <v>607</v>
      </c>
      <c r="I132" s="181" t="s">
        <v>220</v>
      </c>
      <c r="J132" s="184" t="n">
        <v>35510</v>
      </c>
      <c r="K132" s="184" t="n">
        <v>14020</v>
      </c>
      <c r="L132" s="185" t="n">
        <v>16</v>
      </c>
      <c r="M132" s="184" t="n">
        <v>21490</v>
      </c>
      <c r="N132" s="184" t="n">
        <v>18051.6</v>
      </c>
      <c r="O132" s="186" t="s">
        <v>610</v>
      </c>
      <c r="P132" s="187" t="n">
        <v>45887</v>
      </c>
    </row>
    <row r="133" customFormat="false" ht="51" hidden="false" customHeight="true" outlineLevel="0" collapsed="false">
      <c r="A133" s="181" t="s">
        <v>613</v>
      </c>
      <c r="B133" s="182" t="n">
        <v>1002</v>
      </c>
      <c r="C133" s="183" t="n">
        <v>30202</v>
      </c>
      <c r="D133" s="181" t="s">
        <v>3325</v>
      </c>
      <c r="E133" s="181" t="s">
        <v>545</v>
      </c>
      <c r="F133" s="181" t="s">
        <v>546</v>
      </c>
      <c r="G133" s="181" t="s">
        <v>224</v>
      </c>
      <c r="H133" s="181" t="s">
        <v>607</v>
      </c>
      <c r="I133" s="181" t="s">
        <v>220</v>
      </c>
      <c r="J133" s="184" t="n">
        <v>41350</v>
      </c>
      <c r="K133" s="184" t="n">
        <v>16110</v>
      </c>
      <c r="L133" s="185" t="n">
        <v>24</v>
      </c>
      <c r="M133" s="184" t="n">
        <v>25240</v>
      </c>
      <c r="N133" s="184" t="n">
        <v>19182.4</v>
      </c>
      <c r="O133" s="186" t="s">
        <v>614</v>
      </c>
      <c r="P133" s="187" t="n">
        <v>45887</v>
      </c>
    </row>
    <row r="134" customFormat="false" ht="51" hidden="false" customHeight="true" outlineLevel="0" collapsed="false">
      <c r="A134" s="181" t="s">
        <v>615</v>
      </c>
      <c r="B134" s="182" t="n">
        <v>1006</v>
      </c>
      <c r="C134" s="183" t="n">
        <v>30204</v>
      </c>
      <c r="D134" s="181" t="s">
        <v>3325</v>
      </c>
      <c r="E134" s="181" t="s">
        <v>277</v>
      </c>
      <c r="F134" s="181" t="s">
        <v>278</v>
      </c>
      <c r="G134" s="181" t="s">
        <v>224</v>
      </c>
      <c r="H134" s="181" t="s">
        <v>607</v>
      </c>
      <c r="I134" s="181" t="s">
        <v>220</v>
      </c>
      <c r="J134" s="184" t="n">
        <v>41020</v>
      </c>
      <c r="K134" s="184" t="n">
        <v>15090</v>
      </c>
      <c r="L134" s="185" t="n">
        <v>24</v>
      </c>
      <c r="M134" s="184" t="n">
        <v>25930</v>
      </c>
      <c r="N134" s="184" t="n">
        <v>19706.8</v>
      </c>
      <c r="O134" s="186" t="s">
        <v>616</v>
      </c>
      <c r="P134" s="187" t="n">
        <v>45887</v>
      </c>
    </row>
    <row r="135" customFormat="false" ht="51" hidden="false" customHeight="true" outlineLevel="0" collapsed="false">
      <c r="A135" s="181" t="s">
        <v>617</v>
      </c>
      <c r="B135" s="182" t="n">
        <v>1008</v>
      </c>
      <c r="C135" s="183" t="n">
        <v>30206</v>
      </c>
      <c r="D135" s="181" t="s">
        <v>3325</v>
      </c>
      <c r="E135" s="181" t="s">
        <v>439</v>
      </c>
      <c r="F135" s="181" t="s">
        <v>440</v>
      </c>
      <c r="G135" s="181" t="s">
        <v>224</v>
      </c>
      <c r="H135" s="181" t="s">
        <v>607</v>
      </c>
      <c r="I135" s="181" t="s">
        <v>220</v>
      </c>
      <c r="J135" s="184" t="n">
        <v>39670</v>
      </c>
      <c r="K135" s="184" t="n">
        <v>16400</v>
      </c>
      <c r="L135" s="185" t="n">
        <v>42</v>
      </c>
      <c r="M135" s="184" t="n">
        <v>23270</v>
      </c>
      <c r="N135" s="184" t="n">
        <v>13496.6</v>
      </c>
      <c r="O135" s="186" t="s">
        <v>618</v>
      </c>
      <c r="P135" s="187" t="n">
        <v>45887</v>
      </c>
    </row>
    <row r="136" customFormat="false" ht="51" hidden="false" customHeight="true" outlineLevel="0" collapsed="false">
      <c r="A136" s="181" t="s">
        <v>611</v>
      </c>
      <c r="B136" s="182" t="n">
        <v>1001</v>
      </c>
      <c r="C136" s="183" t="n">
        <v>30200</v>
      </c>
      <c r="D136" s="181" t="s">
        <v>3325</v>
      </c>
      <c r="E136" s="181" t="s">
        <v>549</v>
      </c>
      <c r="F136" s="181" t="s">
        <v>550</v>
      </c>
      <c r="G136" s="181" t="s">
        <v>224</v>
      </c>
      <c r="H136" s="181" t="s">
        <v>607</v>
      </c>
      <c r="I136" s="181" t="s">
        <v>220</v>
      </c>
      <c r="J136" s="184" t="n">
        <v>41280</v>
      </c>
      <c r="K136" s="184" t="n">
        <v>15930</v>
      </c>
      <c r="L136" s="185" t="n">
        <v>30</v>
      </c>
      <c r="M136" s="184" t="n">
        <v>25350</v>
      </c>
      <c r="N136" s="184" t="n">
        <v>17745</v>
      </c>
      <c r="O136" s="186" t="s">
        <v>612</v>
      </c>
      <c r="P136" s="187" t="n">
        <v>45887</v>
      </c>
    </row>
    <row r="137" customFormat="false" ht="51" hidden="false" customHeight="true" outlineLevel="0" collapsed="false">
      <c r="A137" s="181" t="s">
        <v>619</v>
      </c>
      <c r="B137" s="182" t="n">
        <v>1009</v>
      </c>
      <c r="C137" s="183" t="n">
        <v>30208</v>
      </c>
      <c r="D137" s="181" t="s">
        <v>3325</v>
      </c>
      <c r="E137" s="181" t="s">
        <v>431</v>
      </c>
      <c r="F137" s="181" t="s">
        <v>432</v>
      </c>
      <c r="G137" s="181" t="s">
        <v>224</v>
      </c>
      <c r="H137" s="181" t="s">
        <v>607</v>
      </c>
      <c r="I137" s="181" t="s">
        <v>220</v>
      </c>
      <c r="J137" s="184" t="n">
        <v>38520</v>
      </c>
      <c r="K137" s="184" t="n">
        <v>16630</v>
      </c>
      <c r="L137" s="185" t="n">
        <v>28</v>
      </c>
      <c r="M137" s="184" t="n">
        <v>21890</v>
      </c>
      <c r="N137" s="184" t="n">
        <v>15760.8</v>
      </c>
      <c r="O137" s="186" t="s">
        <v>620</v>
      </c>
      <c r="P137" s="187" t="n">
        <v>45887</v>
      </c>
    </row>
    <row r="138" customFormat="false" ht="51" hidden="false" customHeight="true" outlineLevel="0" collapsed="false">
      <c r="A138" s="181" t="s">
        <v>621</v>
      </c>
      <c r="B138" s="182" t="n">
        <v>1011</v>
      </c>
      <c r="C138" s="183" t="n">
        <v>30198</v>
      </c>
      <c r="D138" s="181" t="s">
        <v>3325</v>
      </c>
      <c r="E138" s="181" t="s">
        <v>541</v>
      </c>
      <c r="F138" s="181" t="s">
        <v>542</v>
      </c>
      <c r="G138" s="181" t="s">
        <v>224</v>
      </c>
      <c r="H138" s="181" t="s">
        <v>607</v>
      </c>
      <c r="I138" s="181" t="s">
        <v>220</v>
      </c>
      <c r="J138" s="184" t="n">
        <v>40460</v>
      </c>
      <c r="K138" s="184" t="n">
        <v>14970</v>
      </c>
      <c r="L138" s="185" t="n">
        <v>28</v>
      </c>
      <c r="M138" s="184" t="n">
        <v>25490</v>
      </c>
      <c r="N138" s="184" t="n">
        <v>18352.8</v>
      </c>
      <c r="O138" s="186" t="s">
        <v>622</v>
      </c>
      <c r="P138" s="187" t="n">
        <v>45887</v>
      </c>
    </row>
    <row r="139" customFormat="false" ht="51" hidden="false" customHeight="true" outlineLevel="0" collapsed="false">
      <c r="A139" s="181" t="s">
        <v>623</v>
      </c>
      <c r="B139" s="182" t="n">
        <v>1012</v>
      </c>
      <c r="C139" s="183" t="n">
        <v>30210</v>
      </c>
      <c r="D139" s="181" t="s">
        <v>3325</v>
      </c>
      <c r="E139" s="181" t="s">
        <v>435</v>
      </c>
      <c r="F139" s="181" t="s">
        <v>436</v>
      </c>
      <c r="G139" s="181" t="s">
        <v>225</v>
      </c>
      <c r="H139" s="181" t="s">
        <v>586</v>
      </c>
      <c r="I139" s="181" t="s">
        <v>220</v>
      </c>
      <c r="J139" s="184" t="n">
        <v>39420</v>
      </c>
      <c r="K139" s="184" t="n">
        <v>16570</v>
      </c>
      <c r="L139" s="185" t="n">
        <v>25</v>
      </c>
      <c r="M139" s="184" t="n">
        <v>22850</v>
      </c>
      <c r="N139" s="184" t="n">
        <v>17137.5</v>
      </c>
      <c r="O139" s="186" t="s">
        <v>624</v>
      </c>
      <c r="P139" s="187" t="n">
        <v>45887</v>
      </c>
    </row>
    <row r="140" customFormat="false" ht="51" hidden="false" customHeight="true" outlineLevel="0" collapsed="false">
      <c r="A140" s="181" t="s">
        <v>625</v>
      </c>
      <c r="B140" s="182" t="n">
        <v>1013</v>
      </c>
      <c r="C140" s="183" t="n">
        <v>30212</v>
      </c>
      <c r="D140" s="181" t="s">
        <v>3325</v>
      </c>
      <c r="E140" s="181" t="s">
        <v>350</v>
      </c>
      <c r="F140" s="181" t="s">
        <v>351</v>
      </c>
      <c r="G140" s="181" t="s">
        <v>225</v>
      </c>
      <c r="H140" s="181" t="s">
        <v>626</v>
      </c>
      <c r="I140" s="181" t="s">
        <v>220</v>
      </c>
      <c r="J140" s="184" t="n">
        <v>41950</v>
      </c>
      <c r="K140" s="184" t="n">
        <v>14980</v>
      </c>
      <c r="L140" s="185" t="n">
        <v>17</v>
      </c>
      <c r="M140" s="184" t="n">
        <v>26970</v>
      </c>
      <c r="N140" s="184" t="n">
        <v>22385.1</v>
      </c>
      <c r="O140" s="186" t="s">
        <v>627</v>
      </c>
      <c r="P140" s="187" t="n">
        <v>45887</v>
      </c>
    </row>
    <row r="141" customFormat="false" ht="51" hidden="false" customHeight="true" outlineLevel="0" collapsed="false">
      <c r="A141" s="181" t="s">
        <v>628</v>
      </c>
      <c r="B141" s="182" t="n">
        <v>1016</v>
      </c>
      <c r="C141" s="183" t="n">
        <v>30220</v>
      </c>
      <c r="D141" s="181" t="s">
        <v>3325</v>
      </c>
      <c r="E141" s="181" t="s">
        <v>399</v>
      </c>
      <c r="F141" s="181" t="s">
        <v>400</v>
      </c>
      <c r="G141" s="181" t="s">
        <v>224</v>
      </c>
      <c r="H141" s="181" t="s">
        <v>626</v>
      </c>
      <c r="I141" s="181" t="s">
        <v>220</v>
      </c>
      <c r="J141" s="184" t="n">
        <v>46680</v>
      </c>
      <c r="K141" s="184" t="n">
        <v>19370</v>
      </c>
      <c r="L141" s="185" t="n">
        <v>19</v>
      </c>
      <c r="M141" s="184" t="n">
        <v>27310</v>
      </c>
      <c r="N141" s="184" t="n">
        <v>22121.1</v>
      </c>
      <c r="O141" s="186" t="s">
        <v>629</v>
      </c>
      <c r="P141" s="187" t="n">
        <v>45888</v>
      </c>
    </row>
    <row r="142" customFormat="false" ht="51" hidden="false" customHeight="true" outlineLevel="0" collapsed="false">
      <c r="A142" s="181" t="s">
        <v>630</v>
      </c>
      <c r="B142" s="182" t="n">
        <v>1017</v>
      </c>
      <c r="C142" s="183" t="n">
        <v>30222</v>
      </c>
      <c r="D142" s="181" t="s">
        <v>3325</v>
      </c>
      <c r="E142" s="181" t="s">
        <v>409</v>
      </c>
      <c r="F142" s="181" t="s">
        <v>410</v>
      </c>
      <c r="G142" s="181" t="s">
        <v>224</v>
      </c>
      <c r="H142" s="181" t="s">
        <v>626</v>
      </c>
      <c r="I142" s="181" t="s">
        <v>220</v>
      </c>
      <c r="J142" s="184" t="n">
        <v>46150</v>
      </c>
      <c r="K142" s="184" t="n">
        <v>24180</v>
      </c>
      <c r="L142" s="185" t="n">
        <v>24</v>
      </c>
      <c r="M142" s="184" t="n">
        <v>21970</v>
      </c>
      <c r="N142" s="184" t="n">
        <v>16697.2</v>
      </c>
      <c r="O142" s="186" t="s">
        <v>631</v>
      </c>
      <c r="P142" s="187" t="n">
        <v>45888</v>
      </c>
    </row>
    <row r="143" customFormat="false" ht="51" hidden="false" customHeight="true" outlineLevel="0" collapsed="false">
      <c r="A143" s="181" t="s">
        <v>632</v>
      </c>
      <c r="B143" s="182" t="n">
        <v>1018</v>
      </c>
      <c r="C143" s="183" t="n">
        <v>30224</v>
      </c>
      <c r="D143" s="181" t="s">
        <v>3325</v>
      </c>
      <c r="E143" s="181" t="s">
        <v>413</v>
      </c>
      <c r="F143" s="181" t="s">
        <v>414</v>
      </c>
      <c r="G143" s="181" t="s">
        <v>224</v>
      </c>
      <c r="H143" s="181" t="s">
        <v>626</v>
      </c>
      <c r="I143" s="181" t="s">
        <v>220</v>
      </c>
      <c r="J143" s="184" t="n">
        <v>42960</v>
      </c>
      <c r="K143" s="184" t="n">
        <v>15580</v>
      </c>
      <c r="L143" s="185" t="n">
        <v>26</v>
      </c>
      <c r="M143" s="184" t="n">
        <v>27380</v>
      </c>
      <c r="N143" s="184" t="n">
        <v>20261.2</v>
      </c>
      <c r="O143" s="186" t="s">
        <v>633</v>
      </c>
      <c r="P143" s="187" t="n">
        <v>45888</v>
      </c>
    </row>
    <row r="144" customFormat="false" ht="51" hidden="false" customHeight="true" outlineLevel="0" collapsed="false">
      <c r="A144" s="181" t="s">
        <v>634</v>
      </c>
      <c r="B144" s="182" t="n">
        <v>1019</v>
      </c>
      <c r="C144" s="183" t="n">
        <v>30216</v>
      </c>
      <c r="D144" s="181" t="s">
        <v>3325</v>
      </c>
      <c r="E144" s="181" t="s">
        <v>354</v>
      </c>
      <c r="F144" s="181" t="s">
        <v>355</v>
      </c>
      <c r="G144" s="181" t="s">
        <v>224</v>
      </c>
      <c r="H144" s="181" t="s">
        <v>626</v>
      </c>
      <c r="I144" s="181" t="s">
        <v>220</v>
      </c>
      <c r="J144" s="184" t="n">
        <v>39190</v>
      </c>
      <c r="K144" s="184" t="n">
        <v>14720</v>
      </c>
      <c r="L144" s="185" t="n">
        <v>15</v>
      </c>
      <c r="M144" s="184" t="n">
        <v>24470</v>
      </c>
      <c r="N144" s="184" t="n">
        <v>20799.5</v>
      </c>
      <c r="O144" s="186" t="s">
        <v>635</v>
      </c>
      <c r="P144" s="187" t="n">
        <v>45888</v>
      </c>
    </row>
    <row r="145" customFormat="false" ht="51" hidden="false" customHeight="true" outlineLevel="0" collapsed="false">
      <c r="A145" s="181" t="s">
        <v>636</v>
      </c>
      <c r="B145" s="182" t="n">
        <v>1020</v>
      </c>
      <c r="C145" s="183" t="n">
        <v>30214</v>
      </c>
      <c r="D145" s="181" t="s">
        <v>3325</v>
      </c>
      <c r="E145" s="181" t="s">
        <v>359</v>
      </c>
      <c r="F145" s="181" t="s">
        <v>360</v>
      </c>
      <c r="G145" s="181" t="s">
        <v>224</v>
      </c>
      <c r="H145" s="181" t="s">
        <v>626</v>
      </c>
      <c r="I145" s="181" t="s">
        <v>220</v>
      </c>
      <c r="J145" s="184" t="n">
        <v>36580</v>
      </c>
      <c r="K145" s="184" t="n">
        <v>14790</v>
      </c>
      <c r="L145" s="185" t="n">
        <v>23</v>
      </c>
      <c r="M145" s="184" t="n">
        <v>21790</v>
      </c>
      <c r="N145" s="184" t="n">
        <v>16778.3</v>
      </c>
      <c r="O145" s="186" t="s">
        <v>637</v>
      </c>
      <c r="P145" s="187" t="n">
        <v>45888</v>
      </c>
    </row>
    <row r="146" customFormat="false" ht="51" hidden="false" customHeight="true" outlineLevel="0" collapsed="false">
      <c r="A146" s="181" t="s">
        <v>638</v>
      </c>
      <c r="B146" s="182" t="n">
        <v>1023</v>
      </c>
      <c r="C146" s="183" t="n">
        <v>30218</v>
      </c>
      <c r="D146" s="181" t="s">
        <v>3325</v>
      </c>
      <c r="E146" s="181" t="s">
        <v>377</v>
      </c>
      <c r="F146" s="181" t="s">
        <v>378</v>
      </c>
      <c r="G146" s="181" t="s">
        <v>224</v>
      </c>
      <c r="H146" s="181" t="s">
        <v>626</v>
      </c>
      <c r="I146" s="181" t="s">
        <v>220</v>
      </c>
      <c r="J146" s="184" t="n">
        <v>42140</v>
      </c>
      <c r="K146" s="184" t="n">
        <v>15570</v>
      </c>
      <c r="L146" s="185" t="n">
        <v>22</v>
      </c>
      <c r="M146" s="184" t="n">
        <v>26570</v>
      </c>
      <c r="N146" s="184" t="n">
        <v>20724.6</v>
      </c>
      <c r="O146" s="186" t="s">
        <v>639</v>
      </c>
      <c r="P146" s="187" t="n">
        <v>45888</v>
      </c>
    </row>
    <row r="147" customFormat="false" ht="51" hidden="false" customHeight="true" outlineLevel="0" collapsed="false">
      <c r="A147" s="181" t="s">
        <v>640</v>
      </c>
      <c r="B147" s="182" t="n">
        <v>1028</v>
      </c>
      <c r="C147" s="183" t="n">
        <v>30238</v>
      </c>
      <c r="D147" s="181" t="s">
        <v>3325</v>
      </c>
      <c r="E147" s="181" t="s">
        <v>576</v>
      </c>
      <c r="F147" s="181" t="s">
        <v>577</v>
      </c>
      <c r="G147" s="181" t="s">
        <v>224</v>
      </c>
      <c r="H147" s="181" t="s">
        <v>626</v>
      </c>
      <c r="I147" s="181" t="s">
        <v>220</v>
      </c>
      <c r="J147" s="184" t="n">
        <v>38420</v>
      </c>
      <c r="K147" s="184" t="n">
        <v>14410</v>
      </c>
      <c r="L147" s="185" t="n">
        <v>11</v>
      </c>
      <c r="M147" s="184" t="n">
        <v>24010</v>
      </c>
      <c r="N147" s="184" t="n">
        <v>21368.9</v>
      </c>
      <c r="O147" s="186" t="s">
        <v>641</v>
      </c>
      <c r="P147" s="187" t="n">
        <v>45888</v>
      </c>
    </row>
    <row r="148" customFormat="false" ht="51" hidden="false" customHeight="true" outlineLevel="0" collapsed="false">
      <c r="A148" s="181" t="s">
        <v>644</v>
      </c>
      <c r="B148" s="182" t="n">
        <v>1030</v>
      </c>
      <c r="C148" s="183" t="n">
        <v>30228</v>
      </c>
      <c r="D148" s="181" t="s">
        <v>3325</v>
      </c>
      <c r="E148" s="181" t="s">
        <v>387</v>
      </c>
      <c r="F148" s="181" t="s">
        <v>388</v>
      </c>
      <c r="G148" s="181" t="s">
        <v>224</v>
      </c>
      <c r="H148" s="181" t="s">
        <v>626</v>
      </c>
      <c r="I148" s="181" t="s">
        <v>220</v>
      </c>
      <c r="J148" s="184" t="n">
        <v>40310</v>
      </c>
      <c r="K148" s="184" t="n">
        <v>14970</v>
      </c>
      <c r="L148" s="185" t="n">
        <v>18</v>
      </c>
      <c r="M148" s="184" t="n">
        <v>25340</v>
      </c>
      <c r="N148" s="184" t="n">
        <v>20778.8</v>
      </c>
      <c r="O148" s="186" t="s">
        <v>645</v>
      </c>
      <c r="P148" s="187" t="n">
        <v>45888</v>
      </c>
    </row>
    <row r="149" customFormat="false" ht="51" hidden="false" customHeight="true" outlineLevel="0" collapsed="false">
      <c r="A149" s="181" t="s">
        <v>642</v>
      </c>
      <c r="B149" s="182" t="n">
        <v>1029</v>
      </c>
      <c r="C149" s="183" t="n">
        <v>30226</v>
      </c>
      <c r="D149" s="181" t="s">
        <v>3325</v>
      </c>
      <c r="E149" s="181" t="s">
        <v>383</v>
      </c>
      <c r="F149" s="181" t="s">
        <v>384</v>
      </c>
      <c r="G149" s="181" t="s">
        <v>224</v>
      </c>
      <c r="H149" s="181" t="s">
        <v>626</v>
      </c>
      <c r="I149" s="181" t="s">
        <v>220</v>
      </c>
      <c r="J149" s="184" t="n">
        <v>39390</v>
      </c>
      <c r="K149" s="184" t="n">
        <v>14830</v>
      </c>
      <c r="L149" s="185" t="n">
        <v>13</v>
      </c>
      <c r="M149" s="184" t="n">
        <v>24560</v>
      </c>
      <c r="N149" s="184" t="n">
        <v>21367.2</v>
      </c>
      <c r="O149" s="186" t="s">
        <v>643</v>
      </c>
      <c r="P149" s="187" t="n">
        <v>45888</v>
      </c>
    </row>
    <row r="150" customFormat="false" ht="51" hidden="false" customHeight="true" outlineLevel="0" collapsed="false">
      <c r="A150" s="181" t="s">
        <v>646</v>
      </c>
      <c r="B150" s="182" t="n">
        <v>1031</v>
      </c>
      <c r="C150" s="183" t="n">
        <v>30232</v>
      </c>
      <c r="D150" s="181" t="s">
        <v>3325</v>
      </c>
      <c r="E150" s="181" t="s">
        <v>261</v>
      </c>
      <c r="F150" s="181" t="s">
        <v>262</v>
      </c>
      <c r="G150" s="181" t="s">
        <v>224</v>
      </c>
      <c r="H150" s="181" t="s">
        <v>626</v>
      </c>
      <c r="I150" s="181" t="s">
        <v>220</v>
      </c>
      <c r="J150" s="184" t="n">
        <v>38060</v>
      </c>
      <c r="K150" s="184" t="n">
        <v>15060</v>
      </c>
      <c r="L150" s="185" t="n">
        <v>18</v>
      </c>
      <c r="M150" s="184" t="n">
        <v>23000</v>
      </c>
      <c r="N150" s="184" t="n">
        <v>18860</v>
      </c>
      <c r="O150" s="186" t="s">
        <v>647</v>
      </c>
      <c r="P150" s="187" t="n">
        <v>45888</v>
      </c>
    </row>
    <row r="151" customFormat="false" ht="51" hidden="false" customHeight="true" outlineLevel="0" collapsed="false">
      <c r="A151" s="181" t="s">
        <v>648</v>
      </c>
      <c r="B151" s="182" t="n">
        <v>1032</v>
      </c>
      <c r="C151" s="183" t="n">
        <v>30230</v>
      </c>
      <c r="D151" s="181" t="s">
        <v>3325</v>
      </c>
      <c r="E151" s="181" t="s">
        <v>266</v>
      </c>
      <c r="F151" s="181" t="s">
        <v>267</v>
      </c>
      <c r="G151" s="181" t="s">
        <v>225</v>
      </c>
      <c r="H151" s="181" t="s">
        <v>586</v>
      </c>
      <c r="I151" s="181" t="s">
        <v>220</v>
      </c>
      <c r="J151" s="184" t="n">
        <v>38010</v>
      </c>
      <c r="K151" s="184" t="n">
        <v>14900</v>
      </c>
      <c r="L151" s="185" t="n">
        <v>13</v>
      </c>
      <c r="M151" s="184" t="n">
        <v>23110</v>
      </c>
      <c r="N151" s="184" t="n">
        <v>20105.7</v>
      </c>
      <c r="O151" s="186" t="s">
        <v>649</v>
      </c>
      <c r="P151" s="187" t="n">
        <v>45888</v>
      </c>
    </row>
    <row r="152" customFormat="false" ht="51" hidden="false" customHeight="true" outlineLevel="0" collapsed="false">
      <c r="A152" s="181" t="s">
        <v>650</v>
      </c>
      <c r="B152" s="182" t="n">
        <v>1033</v>
      </c>
      <c r="C152" s="183" t="n">
        <v>30234</v>
      </c>
      <c r="D152" s="181" t="s">
        <v>3325</v>
      </c>
      <c r="E152" s="181" t="s">
        <v>272</v>
      </c>
      <c r="F152" s="181" t="s">
        <v>273</v>
      </c>
      <c r="G152" s="181" t="s">
        <v>225</v>
      </c>
      <c r="H152" s="181" t="s">
        <v>586</v>
      </c>
      <c r="I152" s="181" t="s">
        <v>220</v>
      </c>
      <c r="J152" s="184" t="n">
        <v>37880</v>
      </c>
      <c r="K152" s="184" t="n">
        <v>15550</v>
      </c>
      <c r="L152" s="185" t="n">
        <v>11</v>
      </c>
      <c r="M152" s="184" t="n">
        <v>22330</v>
      </c>
      <c r="N152" s="184" t="n">
        <v>19873.7</v>
      </c>
      <c r="O152" s="186" t="s">
        <v>651</v>
      </c>
      <c r="P152" s="187" t="n">
        <v>45888</v>
      </c>
    </row>
    <row r="153" customFormat="false" ht="51" hidden="false" customHeight="true" outlineLevel="0" collapsed="false">
      <c r="A153" s="181" t="s">
        <v>652</v>
      </c>
      <c r="B153" s="182" t="n">
        <v>1034</v>
      </c>
      <c r="C153" s="183" t="n">
        <v>30240</v>
      </c>
      <c r="D153" s="181" t="s">
        <v>3325</v>
      </c>
      <c r="E153" s="181" t="s">
        <v>582</v>
      </c>
      <c r="F153" s="181" t="s">
        <v>583</v>
      </c>
      <c r="G153" s="181" t="s">
        <v>225</v>
      </c>
      <c r="H153" s="181" t="s">
        <v>586</v>
      </c>
      <c r="I153" s="181" t="s">
        <v>220</v>
      </c>
      <c r="J153" s="184" t="n">
        <v>38060</v>
      </c>
      <c r="K153" s="184" t="n">
        <v>14680</v>
      </c>
      <c r="L153" s="185" t="n">
        <v>4</v>
      </c>
      <c r="M153" s="184" t="n">
        <v>23380</v>
      </c>
      <c r="N153" s="184" t="n">
        <v>22444.8</v>
      </c>
      <c r="O153" s="186" t="s">
        <v>653</v>
      </c>
      <c r="P153" s="187" t="n">
        <v>45888</v>
      </c>
    </row>
    <row r="154" customFormat="false" ht="51" hidden="false" customHeight="true" outlineLevel="0" collapsed="false">
      <c r="A154" s="181" t="s">
        <v>654</v>
      </c>
      <c r="B154" s="182" t="n">
        <v>1035</v>
      </c>
      <c r="C154" s="183" t="n">
        <v>30252</v>
      </c>
      <c r="D154" s="181" t="s">
        <v>3325</v>
      </c>
      <c r="E154" s="181" t="s">
        <v>336</v>
      </c>
      <c r="F154" s="181" t="s">
        <v>337</v>
      </c>
      <c r="G154" s="181" t="s">
        <v>225</v>
      </c>
      <c r="H154" s="181" t="s">
        <v>586</v>
      </c>
      <c r="I154" s="181" t="s">
        <v>220</v>
      </c>
      <c r="J154" s="184" t="n">
        <v>37270</v>
      </c>
      <c r="K154" s="184" t="n">
        <v>14440</v>
      </c>
      <c r="L154" s="185" t="n">
        <v>28</v>
      </c>
      <c r="M154" s="184" t="n">
        <v>22830</v>
      </c>
      <c r="N154" s="184" t="n">
        <v>16437.6</v>
      </c>
      <c r="O154" s="186" t="s">
        <v>655</v>
      </c>
      <c r="P154" s="187" t="n">
        <v>45888</v>
      </c>
    </row>
    <row r="155" customFormat="false" ht="51" hidden="false" customHeight="true" outlineLevel="0" collapsed="false">
      <c r="A155" s="181" t="s">
        <v>656</v>
      </c>
      <c r="B155" s="182" t="n">
        <v>1036</v>
      </c>
      <c r="C155" s="183" t="n">
        <v>30254</v>
      </c>
      <c r="D155" s="181" t="s">
        <v>3325</v>
      </c>
      <c r="E155" s="181" t="s">
        <v>340</v>
      </c>
      <c r="F155" s="181" t="s">
        <v>341</v>
      </c>
      <c r="G155" s="181" t="s">
        <v>225</v>
      </c>
      <c r="H155" s="181" t="s">
        <v>586</v>
      </c>
      <c r="I155" s="181" t="s">
        <v>220</v>
      </c>
      <c r="J155" s="184" t="n">
        <v>38360</v>
      </c>
      <c r="K155" s="184" t="n">
        <v>15030</v>
      </c>
      <c r="L155" s="185" t="n">
        <v>24</v>
      </c>
      <c r="M155" s="184" t="n">
        <v>23330</v>
      </c>
      <c r="N155" s="184" t="n">
        <v>17730.8</v>
      </c>
      <c r="O155" s="186" t="s">
        <v>657</v>
      </c>
      <c r="P155" s="187" t="n">
        <v>45888</v>
      </c>
    </row>
    <row r="156" customFormat="false" ht="51" hidden="false" customHeight="true" outlineLevel="0" collapsed="false">
      <c r="A156" s="181" t="s">
        <v>658</v>
      </c>
      <c r="B156" s="182" t="n">
        <v>1037</v>
      </c>
      <c r="C156" s="183" t="n">
        <v>30268</v>
      </c>
      <c r="D156" s="181" t="s">
        <v>3325</v>
      </c>
      <c r="E156" s="181" t="s">
        <v>549</v>
      </c>
      <c r="F156" s="181" t="s">
        <v>550</v>
      </c>
      <c r="G156" s="181" t="s">
        <v>225</v>
      </c>
      <c r="H156" s="181" t="s">
        <v>586</v>
      </c>
      <c r="I156" s="181" t="s">
        <v>220</v>
      </c>
      <c r="J156" s="184" t="n">
        <v>42150</v>
      </c>
      <c r="K156" s="184" t="n">
        <v>15710</v>
      </c>
      <c r="L156" s="185" t="n">
        <v>18</v>
      </c>
      <c r="M156" s="184" t="n">
        <v>26440</v>
      </c>
      <c r="N156" s="184" t="n">
        <v>21680.8</v>
      </c>
      <c r="O156" s="186" t="s">
        <v>659</v>
      </c>
      <c r="P156" s="187" t="n">
        <v>45888</v>
      </c>
    </row>
    <row r="157" customFormat="false" ht="51" hidden="false" customHeight="true" outlineLevel="0" collapsed="false">
      <c r="A157" s="181" t="s">
        <v>660</v>
      </c>
      <c r="B157" s="182" t="n">
        <v>1038</v>
      </c>
      <c r="C157" s="183" t="n">
        <v>30288</v>
      </c>
      <c r="D157" s="181" t="s">
        <v>3325</v>
      </c>
      <c r="E157" s="181" t="s">
        <v>545</v>
      </c>
      <c r="F157" s="181" t="s">
        <v>546</v>
      </c>
      <c r="G157" s="181" t="s">
        <v>225</v>
      </c>
      <c r="H157" s="181" t="s">
        <v>586</v>
      </c>
      <c r="I157" s="181" t="s">
        <v>220</v>
      </c>
      <c r="J157" s="184" t="n">
        <v>42350</v>
      </c>
      <c r="K157" s="184" t="n">
        <v>16110</v>
      </c>
      <c r="L157" s="185" t="n">
        <v>21</v>
      </c>
      <c r="M157" s="184" t="n">
        <v>26240</v>
      </c>
      <c r="N157" s="184" t="n">
        <v>20729.6</v>
      </c>
      <c r="O157" s="186" t="s">
        <v>661</v>
      </c>
      <c r="P157" s="187" t="n">
        <v>45888</v>
      </c>
    </row>
    <row r="158" customFormat="false" ht="51" hidden="false" customHeight="true" outlineLevel="0" collapsed="false">
      <c r="A158" s="181" t="s">
        <v>662</v>
      </c>
      <c r="B158" s="182" t="n">
        <v>1039</v>
      </c>
      <c r="C158" s="183" t="n">
        <v>30290</v>
      </c>
      <c r="D158" s="181" t="s">
        <v>3325</v>
      </c>
      <c r="E158" s="181" t="s">
        <v>533</v>
      </c>
      <c r="F158" s="181" t="s">
        <v>534</v>
      </c>
      <c r="G158" s="181" t="s">
        <v>225</v>
      </c>
      <c r="H158" s="181" t="s">
        <v>586</v>
      </c>
      <c r="I158" s="181" t="s">
        <v>220</v>
      </c>
      <c r="J158" s="184" t="n">
        <v>39940</v>
      </c>
      <c r="K158" s="184" t="n">
        <v>14660</v>
      </c>
      <c r="L158" s="185" t="n">
        <v>32</v>
      </c>
      <c r="M158" s="184" t="n">
        <v>25280</v>
      </c>
      <c r="N158" s="184" t="n">
        <v>17190.4</v>
      </c>
      <c r="O158" s="186" t="s">
        <v>663</v>
      </c>
      <c r="P158" s="187" t="n">
        <v>45888</v>
      </c>
    </row>
    <row r="159" customFormat="false" ht="51" hidden="false" customHeight="true" outlineLevel="0" collapsed="false">
      <c r="A159" s="181" t="s">
        <v>664</v>
      </c>
      <c r="B159" s="182" t="n">
        <v>1040</v>
      </c>
      <c r="C159" s="183" t="n">
        <v>30293</v>
      </c>
      <c r="D159" s="181" t="s">
        <v>3325</v>
      </c>
      <c r="E159" s="181" t="s">
        <v>541</v>
      </c>
      <c r="F159" s="181" t="s">
        <v>542</v>
      </c>
      <c r="G159" s="181" t="s">
        <v>225</v>
      </c>
      <c r="H159" s="181" t="s">
        <v>586</v>
      </c>
      <c r="I159" s="181" t="s">
        <v>220</v>
      </c>
      <c r="J159" s="184" t="n">
        <v>40180</v>
      </c>
      <c r="K159" s="184" t="n">
        <v>14980</v>
      </c>
      <c r="L159" s="185" t="n">
        <v>31</v>
      </c>
      <c r="M159" s="184" t="n">
        <v>25200</v>
      </c>
      <c r="N159" s="184" t="n">
        <v>17388</v>
      </c>
      <c r="O159" s="186" t="s">
        <v>665</v>
      </c>
      <c r="P159" s="187" t="n">
        <v>45888</v>
      </c>
    </row>
    <row r="160" customFormat="false" ht="51" hidden="false" customHeight="true" outlineLevel="0" collapsed="false">
      <c r="A160" s="181" t="s">
        <v>666</v>
      </c>
      <c r="B160" s="182" t="n">
        <v>1041</v>
      </c>
      <c r="C160" s="183" t="n">
        <v>30300</v>
      </c>
      <c r="D160" s="181" t="s">
        <v>3325</v>
      </c>
      <c r="E160" s="181" t="s">
        <v>435</v>
      </c>
      <c r="F160" s="181" t="s">
        <v>436</v>
      </c>
      <c r="G160" s="181" t="s">
        <v>225</v>
      </c>
      <c r="H160" s="181" t="s">
        <v>586</v>
      </c>
      <c r="I160" s="181" t="s">
        <v>220</v>
      </c>
      <c r="J160" s="184" t="n">
        <v>38660</v>
      </c>
      <c r="K160" s="184" t="n">
        <v>16320</v>
      </c>
      <c r="L160" s="185" t="n">
        <v>15</v>
      </c>
      <c r="M160" s="184" t="n">
        <v>22340</v>
      </c>
      <c r="N160" s="184" t="n">
        <v>18989</v>
      </c>
      <c r="O160" s="186" t="s">
        <v>667</v>
      </c>
      <c r="P160" s="187" t="n">
        <v>45889</v>
      </c>
    </row>
    <row r="161" customFormat="false" ht="51" hidden="false" customHeight="true" outlineLevel="0" collapsed="false">
      <c r="A161" s="181" t="s">
        <v>668</v>
      </c>
      <c r="B161" s="182" t="n">
        <v>1042</v>
      </c>
      <c r="C161" s="183" t="n">
        <v>30302</v>
      </c>
      <c r="D161" s="181" t="s">
        <v>3325</v>
      </c>
      <c r="E161" s="181" t="s">
        <v>431</v>
      </c>
      <c r="F161" s="181" t="s">
        <v>432</v>
      </c>
      <c r="G161" s="181" t="s">
        <v>225</v>
      </c>
      <c r="H161" s="181" t="s">
        <v>586</v>
      </c>
      <c r="I161" s="181" t="s">
        <v>220</v>
      </c>
      <c r="J161" s="184" t="n">
        <v>39010</v>
      </c>
      <c r="K161" s="184" t="n">
        <v>16650</v>
      </c>
      <c r="L161" s="185" t="n">
        <v>22</v>
      </c>
      <c r="M161" s="184" t="n">
        <v>22360</v>
      </c>
      <c r="N161" s="184" t="n">
        <v>17440.8</v>
      </c>
      <c r="O161" s="186" t="s">
        <v>669</v>
      </c>
      <c r="P161" s="187" t="n">
        <v>45889</v>
      </c>
    </row>
    <row r="162" customFormat="false" ht="51" hidden="false" customHeight="true" outlineLevel="0" collapsed="false">
      <c r="A162" s="181" t="s">
        <v>670</v>
      </c>
      <c r="B162" s="182" t="n">
        <v>1043</v>
      </c>
      <c r="C162" s="183" t="n">
        <v>30304</v>
      </c>
      <c r="D162" s="181" t="s">
        <v>3325</v>
      </c>
      <c r="E162" s="181" t="s">
        <v>439</v>
      </c>
      <c r="F162" s="181" t="s">
        <v>440</v>
      </c>
      <c r="G162" s="181" t="s">
        <v>225</v>
      </c>
      <c r="H162" s="181" t="s">
        <v>586</v>
      </c>
      <c r="I162" s="181" t="s">
        <v>220</v>
      </c>
      <c r="J162" s="184" t="n">
        <v>38980</v>
      </c>
      <c r="K162" s="184" t="n">
        <v>16370</v>
      </c>
      <c r="L162" s="185" t="n">
        <v>18</v>
      </c>
      <c r="M162" s="184" t="n">
        <v>22610</v>
      </c>
      <c r="N162" s="184" t="n">
        <v>18540.2</v>
      </c>
      <c r="O162" s="186" t="s">
        <v>671</v>
      </c>
      <c r="P162" s="187" t="n">
        <v>45889</v>
      </c>
    </row>
    <row r="163" customFormat="false" ht="51" hidden="false" customHeight="true" outlineLevel="0" collapsed="false">
      <c r="A163" s="181" t="s">
        <v>672</v>
      </c>
      <c r="B163" s="182" t="n">
        <v>1044</v>
      </c>
      <c r="C163" s="183" t="n">
        <v>30306</v>
      </c>
      <c r="D163" s="181" t="s">
        <v>3325</v>
      </c>
      <c r="E163" s="181" t="s">
        <v>537</v>
      </c>
      <c r="F163" s="181" t="s">
        <v>538</v>
      </c>
      <c r="G163" s="181" t="s">
        <v>225</v>
      </c>
      <c r="H163" s="181" t="s">
        <v>586</v>
      </c>
      <c r="I163" s="181" t="s">
        <v>220</v>
      </c>
      <c r="J163" s="184" t="n">
        <v>35740</v>
      </c>
      <c r="K163" s="184" t="n">
        <v>14020</v>
      </c>
      <c r="L163" s="185" t="n">
        <v>26</v>
      </c>
      <c r="M163" s="184" t="n">
        <v>21720</v>
      </c>
      <c r="N163" s="184" t="n">
        <v>16072.8</v>
      </c>
      <c r="O163" s="186" t="s">
        <v>673</v>
      </c>
      <c r="P163" s="187" t="n">
        <v>45889</v>
      </c>
    </row>
    <row r="164" customFormat="false" ht="51" hidden="false" customHeight="true" outlineLevel="0" collapsed="false">
      <c r="A164" s="181" t="s">
        <v>674</v>
      </c>
      <c r="B164" s="182" t="n">
        <v>1045</v>
      </c>
      <c r="C164" s="183" t="n">
        <v>30314</v>
      </c>
      <c r="D164" s="181" t="s">
        <v>3325</v>
      </c>
      <c r="E164" s="181" t="s">
        <v>282</v>
      </c>
      <c r="F164" s="181" t="s">
        <v>283</v>
      </c>
      <c r="G164" s="181" t="s">
        <v>225</v>
      </c>
      <c r="H164" s="181" t="s">
        <v>586</v>
      </c>
      <c r="I164" s="181" t="s">
        <v>220</v>
      </c>
      <c r="J164" s="184" t="n">
        <v>37570</v>
      </c>
      <c r="K164" s="184" t="n">
        <v>15030</v>
      </c>
      <c r="L164" s="185" t="n">
        <v>18</v>
      </c>
      <c r="M164" s="184" t="n">
        <v>22540</v>
      </c>
      <c r="N164" s="184" t="n">
        <v>18482.8</v>
      </c>
      <c r="O164" s="186" t="s">
        <v>675</v>
      </c>
      <c r="P164" s="187" t="n">
        <v>45889</v>
      </c>
    </row>
    <row r="165" customFormat="false" ht="51" hidden="false" customHeight="true" outlineLevel="0" collapsed="false">
      <c r="A165" s="181" t="s">
        <v>676</v>
      </c>
      <c r="B165" s="182" t="n">
        <v>1046</v>
      </c>
      <c r="C165" s="183" t="n">
        <v>30320</v>
      </c>
      <c r="D165" s="181" t="s">
        <v>3325</v>
      </c>
      <c r="E165" s="181" t="s">
        <v>292</v>
      </c>
      <c r="F165" s="181" t="s">
        <v>293</v>
      </c>
      <c r="G165" s="181" t="s">
        <v>225</v>
      </c>
      <c r="H165" s="181" t="s">
        <v>586</v>
      </c>
      <c r="I165" s="181" t="s">
        <v>220</v>
      </c>
      <c r="J165" s="184" t="n">
        <v>35480</v>
      </c>
      <c r="K165" s="184" t="n">
        <v>13900</v>
      </c>
      <c r="L165" s="185" t="n">
        <v>30</v>
      </c>
      <c r="M165" s="184" t="n">
        <v>21580</v>
      </c>
      <c r="N165" s="184" t="n">
        <v>15106</v>
      </c>
      <c r="O165" s="186" t="s">
        <v>677</v>
      </c>
      <c r="P165" s="187" t="n">
        <v>45889</v>
      </c>
    </row>
    <row r="166" customFormat="false" ht="51" hidden="false" customHeight="true" outlineLevel="0" collapsed="false">
      <c r="A166" s="181" t="s">
        <v>678</v>
      </c>
      <c r="B166" s="182" t="n">
        <v>1047</v>
      </c>
      <c r="C166" s="183" t="n">
        <v>30322</v>
      </c>
      <c r="D166" s="181" t="s">
        <v>3325</v>
      </c>
      <c r="E166" s="181" t="s">
        <v>332</v>
      </c>
      <c r="F166" s="181" t="s">
        <v>333</v>
      </c>
      <c r="G166" s="181" t="s">
        <v>225</v>
      </c>
      <c r="H166" s="181" t="s">
        <v>586</v>
      </c>
      <c r="I166" s="181" t="s">
        <v>220</v>
      </c>
      <c r="J166" s="184" t="n">
        <v>37680</v>
      </c>
      <c r="K166" s="184" t="n">
        <v>14670</v>
      </c>
      <c r="L166" s="185" t="n">
        <v>27</v>
      </c>
      <c r="M166" s="184" t="n">
        <v>23010</v>
      </c>
      <c r="N166" s="184" t="n">
        <v>16797.3</v>
      </c>
      <c r="O166" s="186" t="s">
        <v>679</v>
      </c>
      <c r="P166" s="187" t="n">
        <v>45889</v>
      </c>
    </row>
    <row r="167" customFormat="false" ht="51" hidden="false" customHeight="true" outlineLevel="0" collapsed="false">
      <c r="A167" s="181" t="s">
        <v>680</v>
      </c>
      <c r="B167" s="182" t="n">
        <v>1048</v>
      </c>
      <c r="C167" s="183" t="n">
        <v>30324</v>
      </c>
      <c r="D167" s="181" t="s">
        <v>3325</v>
      </c>
      <c r="E167" s="181" t="s">
        <v>277</v>
      </c>
      <c r="F167" s="181" t="s">
        <v>278</v>
      </c>
      <c r="G167" s="181" t="s">
        <v>225</v>
      </c>
      <c r="H167" s="181" t="s">
        <v>586</v>
      </c>
      <c r="I167" s="181" t="s">
        <v>220</v>
      </c>
      <c r="J167" s="184" t="n">
        <v>39070</v>
      </c>
      <c r="K167" s="184" t="n">
        <v>15060</v>
      </c>
      <c r="L167" s="185" t="n">
        <v>23</v>
      </c>
      <c r="M167" s="184" t="n">
        <v>24010</v>
      </c>
      <c r="N167" s="184" t="n">
        <v>18487.7</v>
      </c>
      <c r="O167" s="186" t="s">
        <v>681</v>
      </c>
      <c r="P167" s="187" t="n">
        <v>45889</v>
      </c>
    </row>
    <row r="168" customFormat="false" ht="51" hidden="false" customHeight="true" outlineLevel="0" collapsed="false">
      <c r="A168" s="181" t="s">
        <v>682</v>
      </c>
      <c r="B168" s="182" t="n">
        <v>1049</v>
      </c>
      <c r="C168" s="183" t="n">
        <v>30334</v>
      </c>
      <c r="D168" s="181" t="s">
        <v>3325</v>
      </c>
      <c r="E168" s="181" t="s">
        <v>529</v>
      </c>
      <c r="F168" s="181" t="s">
        <v>530</v>
      </c>
      <c r="G168" s="181" t="s">
        <v>225</v>
      </c>
      <c r="H168" s="181" t="s">
        <v>586</v>
      </c>
      <c r="I168" s="181" t="s">
        <v>220</v>
      </c>
      <c r="J168" s="184" t="n">
        <v>35760</v>
      </c>
      <c r="K168" s="184" t="n">
        <v>14840</v>
      </c>
      <c r="L168" s="185" t="n">
        <v>18</v>
      </c>
      <c r="M168" s="184" t="n">
        <v>20920</v>
      </c>
      <c r="N168" s="184" t="n">
        <v>17154.4</v>
      </c>
      <c r="O168" s="186" t="s">
        <v>683</v>
      </c>
      <c r="P168" s="187" t="n">
        <v>45889</v>
      </c>
    </row>
    <row r="169" customFormat="false" ht="51" hidden="false" customHeight="true" outlineLevel="0" collapsed="false">
      <c r="A169" s="181" t="s">
        <v>684</v>
      </c>
      <c r="B169" s="182" t="n">
        <v>1050</v>
      </c>
      <c r="C169" s="183" t="n">
        <v>30336</v>
      </c>
      <c r="D169" s="181" t="s">
        <v>3325</v>
      </c>
      <c r="E169" s="181" t="s">
        <v>391</v>
      </c>
      <c r="F169" s="181" t="s">
        <v>392</v>
      </c>
      <c r="G169" s="181" t="s">
        <v>225</v>
      </c>
      <c r="H169" s="181" t="s">
        <v>586</v>
      </c>
      <c r="I169" s="181" t="s">
        <v>220</v>
      </c>
      <c r="J169" s="184" t="n">
        <v>35020</v>
      </c>
      <c r="K169" s="184" t="n">
        <v>14490</v>
      </c>
      <c r="L169" s="185" t="n">
        <v>32</v>
      </c>
      <c r="M169" s="184" t="n">
        <v>20530</v>
      </c>
      <c r="N169" s="184" t="n">
        <v>13960.4</v>
      </c>
      <c r="O169" s="186" t="s">
        <v>685</v>
      </c>
      <c r="P169" s="187" t="n">
        <v>45889</v>
      </c>
    </row>
    <row r="170" customFormat="false" ht="51" hidden="false" customHeight="true" outlineLevel="0" collapsed="false">
      <c r="A170" s="181" t="s">
        <v>686</v>
      </c>
      <c r="B170" s="182" t="n">
        <v>1051</v>
      </c>
      <c r="C170" s="183" t="n">
        <v>30342</v>
      </c>
      <c r="D170" s="181" t="s">
        <v>3325</v>
      </c>
      <c r="E170" s="181" t="s">
        <v>373</v>
      </c>
      <c r="F170" s="181" t="s">
        <v>374</v>
      </c>
      <c r="G170" s="181" t="s">
        <v>225</v>
      </c>
      <c r="H170" s="181" t="s">
        <v>586</v>
      </c>
      <c r="I170" s="181" t="s">
        <v>220</v>
      </c>
      <c r="J170" s="184" t="n">
        <v>35250</v>
      </c>
      <c r="K170" s="184" t="n">
        <v>14220</v>
      </c>
      <c r="L170" s="185" t="n">
        <v>9</v>
      </c>
      <c r="M170" s="184" t="n">
        <v>21030</v>
      </c>
      <c r="N170" s="184" t="n">
        <v>19137.3</v>
      </c>
      <c r="O170" s="186" t="s">
        <v>687</v>
      </c>
      <c r="P170" s="187" t="n">
        <v>45889</v>
      </c>
    </row>
    <row r="171" customFormat="false" ht="51" hidden="false" customHeight="true" outlineLevel="0" collapsed="false">
      <c r="A171" s="181" t="s">
        <v>688</v>
      </c>
      <c r="B171" s="182" t="n">
        <v>1053</v>
      </c>
      <c r="C171" s="183" t="n">
        <v>30339</v>
      </c>
      <c r="D171" s="181" t="s">
        <v>3325</v>
      </c>
      <c r="E171" s="181" t="s">
        <v>288</v>
      </c>
      <c r="F171" s="181" t="s">
        <v>289</v>
      </c>
      <c r="G171" s="181" t="s">
        <v>225</v>
      </c>
      <c r="H171" s="181" t="s">
        <v>586</v>
      </c>
      <c r="I171" s="181" t="s">
        <v>220</v>
      </c>
      <c r="J171" s="184" t="n">
        <v>36080</v>
      </c>
      <c r="K171" s="184" t="n">
        <v>14530</v>
      </c>
      <c r="L171" s="185" t="n">
        <v>31</v>
      </c>
      <c r="M171" s="184" t="n">
        <v>21550</v>
      </c>
      <c r="N171" s="184" t="n">
        <v>14869.5</v>
      </c>
      <c r="O171" s="186" t="s">
        <v>689</v>
      </c>
      <c r="P171" s="187" t="n">
        <v>45889</v>
      </c>
    </row>
    <row r="172" customFormat="false" ht="51" hidden="false" customHeight="true" outlineLevel="0" collapsed="false">
      <c r="A172" s="181" t="s">
        <v>690</v>
      </c>
      <c r="B172" s="182" t="n">
        <v>1054</v>
      </c>
      <c r="C172" s="183" t="n">
        <v>30344</v>
      </c>
      <c r="D172" s="181" t="s">
        <v>3325</v>
      </c>
      <c r="E172" s="181" t="s">
        <v>354</v>
      </c>
      <c r="F172" s="181" t="s">
        <v>355</v>
      </c>
      <c r="G172" s="181" t="s">
        <v>225</v>
      </c>
      <c r="H172" s="181" t="s">
        <v>586</v>
      </c>
      <c r="I172" s="181" t="s">
        <v>220</v>
      </c>
      <c r="J172" s="184" t="n">
        <v>37510</v>
      </c>
      <c r="K172" s="184" t="n">
        <v>14760</v>
      </c>
      <c r="L172" s="185" t="n">
        <v>21</v>
      </c>
      <c r="M172" s="184" t="n">
        <v>22750</v>
      </c>
      <c r="N172" s="184" t="n">
        <v>17972.5</v>
      </c>
      <c r="O172" s="186" t="s">
        <v>691</v>
      </c>
      <c r="P172" s="187" t="n">
        <v>45889</v>
      </c>
    </row>
    <row r="173" customFormat="false" ht="51" hidden="false" customHeight="true" outlineLevel="0" collapsed="false">
      <c r="A173" s="181" t="s">
        <v>692</v>
      </c>
      <c r="B173" s="182" t="n">
        <v>1055</v>
      </c>
      <c r="C173" s="183" t="n">
        <v>30346</v>
      </c>
      <c r="D173" s="181" t="s">
        <v>3325</v>
      </c>
      <c r="E173" s="181" t="s">
        <v>359</v>
      </c>
      <c r="F173" s="181" t="s">
        <v>360</v>
      </c>
      <c r="G173" s="181" t="s">
        <v>225</v>
      </c>
      <c r="H173" s="181" t="s">
        <v>586</v>
      </c>
      <c r="I173" s="181" t="s">
        <v>220</v>
      </c>
      <c r="J173" s="184" t="n">
        <v>35760</v>
      </c>
      <c r="K173" s="184" t="n">
        <v>14860</v>
      </c>
      <c r="L173" s="185" t="n">
        <v>24</v>
      </c>
      <c r="M173" s="184" t="n">
        <v>20900</v>
      </c>
      <c r="N173" s="184" t="n">
        <v>15884</v>
      </c>
      <c r="O173" s="186" t="s">
        <v>693</v>
      </c>
      <c r="P173" s="187" t="n">
        <v>45889</v>
      </c>
    </row>
    <row r="174" customFormat="false" ht="51" hidden="false" customHeight="true" outlineLevel="0" collapsed="false">
      <c r="A174" s="181" t="s">
        <v>694</v>
      </c>
      <c r="B174" s="182" t="n">
        <v>1059</v>
      </c>
      <c r="C174" s="183" t="n">
        <v>30111</v>
      </c>
      <c r="D174" s="181" t="s">
        <v>3325</v>
      </c>
      <c r="E174" s="181" t="s">
        <v>300</v>
      </c>
      <c r="F174" s="181" t="s">
        <v>301</v>
      </c>
      <c r="G174" s="181" t="s">
        <v>225</v>
      </c>
      <c r="H174" s="181" t="s">
        <v>626</v>
      </c>
      <c r="I174" s="181" t="s">
        <v>220</v>
      </c>
      <c r="J174" s="184" t="n">
        <v>40000</v>
      </c>
      <c r="K174" s="184" t="n">
        <v>20920</v>
      </c>
      <c r="L174" s="185" t="n">
        <v>36</v>
      </c>
      <c r="M174" s="184" t="n">
        <v>19080</v>
      </c>
      <c r="N174" s="184" t="n">
        <v>12211.2</v>
      </c>
      <c r="O174" s="186" t="s">
        <v>695</v>
      </c>
      <c r="P174" s="187" t="n">
        <v>45889</v>
      </c>
    </row>
    <row r="175" customFormat="false" ht="51" hidden="false" customHeight="true" outlineLevel="0" collapsed="false">
      <c r="A175" s="181" t="s">
        <v>696</v>
      </c>
      <c r="B175" s="182" t="n">
        <v>1060</v>
      </c>
      <c r="C175" s="183" t="n">
        <v>30348</v>
      </c>
      <c r="D175" s="181" t="s">
        <v>3325</v>
      </c>
      <c r="E175" s="181" t="s">
        <v>377</v>
      </c>
      <c r="F175" s="181" t="s">
        <v>378</v>
      </c>
      <c r="G175" s="181" t="s">
        <v>225</v>
      </c>
      <c r="H175" s="181" t="s">
        <v>586</v>
      </c>
      <c r="I175" s="181" t="s">
        <v>220</v>
      </c>
      <c r="J175" s="184" t="n">
        <v>40560</v>
      </c>
      <c r="K175" s="184" t="n">
        <v>15670</v>
      </c>
      <c r="L175" s="185" t="n">
        <v>14</v>
      </c>
      <c r="M175" s="184" t="n">
        <v>24890</v>
      </c>
      <c r="N175" s="184" t="n">
        <v>21405.4</v>
      </c>
      <c r="O175" s="186" t="s">
        <v>697</v>
      </c>
      <c r="P175" s="187" t="n">
        <v>45889</v>
      </c>
    </row>
    <row r="176" customFormat="false" ht="51" hidden="false" customHeight="true" outlineLevel="0" collapsed="false">
      <c r="A176" s="181" t="s">
        <v>698</v>
      </c>
      <c r="B176" s="182" t="n">
        <v>1062</v>
      </c>
      <c r="C176" s="183" t="n">
        <v>30350</v>
      </c>
      <c r="D176" s="181" t="s">
        <v>3325</v>
      </c>
      <c r="E176" s="181" t="s">
        <v>308</v>
      </c>
      <c r="F176" s="181" t="s">
        <v>309</v>
      </c>
      <c r="G176" s="181" t="s">
        <v>225</v>
      </c>
      <c r="H176" s="181" t="s">
        <v>586</v>
      </c>
      <c r="I176" s="181" t="s">
        <v>220</v>
      </c>
      <c r="J176" s="184" t="n">
        <v>45250</v>
      </c>
      <c r="K176" s="184" t="n">
        <v>24040</v>
      </c>
      <c r="L176" s="185" t="n">
        <v>17</v>
      </c>
      <c r="M176" s="184" t="n">
        <v>21210</v>
      </c>
      <c r="N176" s="184" t="n">
        <v>17604.3</v>
      </c>
      <c r="O176" s="186" t="s">
        <v>699</v>
      </c>
      <c r="P176" s="187" t="n">
        <v>45889</v>
      </c>
    </row>
    <row r="177" customFormat="false" ht="51" hidden="false" customHeight="true" outlineLevel="0" collapsed="false">
      <c r="A177" s="181" t="s">
        <v>700</v>
      </c>
      <c r="B177" s="182" t="n">
        <v>1063</v>
      </c>
      <c r="C177" s="183" t="n">
        <v>30352</v>
      </c>
      <c r="D177" s="181" t="s">
        <v>3325</v>
      </c>
      <c r="E177" s="181" t="s">
        <v>304</v>
      </c>
      <c r="F177" s="181" t="s">
        <v>305</v>
      </c>
      <c r="G177" s="181" t="s">
        <v>225</v>
      </c>
      <c r="H177" s="181" t="s">
        <v>626</v>
      </c>
      <c r="I177" s="181" t="s">
        <v>220</v>
      </c>
      <c r="J177" s="184" t="n">
        <v>37750</v>
      </c>
      <c r="K177" s="184" t="n">
        <v>14850</v>
      </c>
      <c r="L177" s="185" t="n">
        <v>14</v>
      </c>
      <c r="M177" s="184" t="n">
        <v>22900</v>
      </c>
      <c r="N177" s="184" t="n">
        <v>19694</v>
      </c>
      <c r="O177" s="186" t="s">
        <v>701</v>
      </c>
      <c r="P177" s="187" t="n">
        <v>45889</v>
      </c>
    </row>
    <row r="178" customFormat="false" ht="51" hidden="false" customHeight="true" outlineLevel="0" collapsed="false">
      <c r="A178" s="181" t="s">
        <v>702</v>
      </c>
      <c r="B178" s="182" t="n">
        <v>1064</v>
      </c>
      <c r="C178" s="183" t="n">
        <v>30356</v>
      </c>
      <c r="D178" s="181" t="s">
        <v>3325</v>
      </c>
      <c r="E178" s="181" t="s">
        <v>383</v>
      </c>
      <c r="F178" s="181" t="s">
        <v>384</v>
      </c>
      <c r="G178" s="181" t="s">
        <v>225</v>
      </c>
      <c r="H178" s="181" t="s">
        <v>626</v>
      </c>
      <c r="I178" s="181" t="s">
        <v>220</v>
      </c>
      <c r="J178" s="184" t="n">
        <v>39150</v>
      </c>
      <c r="K178" s="184" t="n">
        <v>14840</v>
      </c>
      <c r="L178" s="185" t="n">
        <v>22</v>
      </c>
      <c r="M178" s="184" t="n">
        <v>24310</v>
      </c>
      <c r="N178" s="184" t="n">
        <v>18961.8</v>
      </c>
      <c r="O178" s="186" t="s">
        <v>703</v>
      </c>
      <c r="P178" s="187" t="n">
        <v>45889</v>
      </c>
    </row>
    <row r="179" customFormat="false" ht="51" hidden="false" customHeight="true" outlineLevel="0" collapsed="false">
      <c r="A179" s="181" t="s">
        <v>704</v>
      </c>
      <c r="B179" s="182" t="n">
        <v>1065</v>
      </c>
      <c r="C179" s="183" t="n">
        <v>30358</v>
      </c>
      <c r="D179" s="181" t="s">
        <v>3325</v>
      </c>
      <c r="E179" s="181" t="s">
        <v>387</v>
      </c>
      <c r="F179" s="181" t="s">
        <v>388</v>
      </c>
      <c r="G179" s="181" t="s">
        <v>225</v>
      </c>
      <c r="H179" s="181" t="s">
        <v>626</v>
      </c>
      <c r="I179" s="181" t="s">
        <v>220</v>
      </c>
      <c r="J179" s="184" t="n">
        <v>40680</v>
      </c>
      <c r="K179" s="184" t="n">
        <v>14900</v>
      </c>
      <c r="L179" s="185" t="n">
        <v>21</v>
      </c>
      <c r="M179" s="184" t="n">
        <v>25780</v>
      </c>
      <c r="N179" s="184" t="n">
        <v>20366.2</v>
      </c>
      <c r="O179" s="186" t="s">
        <v>705</v>
      </c>
      <c r="P179" s="187" t="n">
        <v>45889</v>
      </c>
    </row>
    <row r="180" customFormat="false" ht="51" hidden="false" customHeight="true" outlineLevel="0" collapsed="false">
      <c r="A180" s="181" t="s">
        <v>706</v>
      </c>
      <c r="B180" s="182" t="n">
        <v>1066</v>
      </c>
      <c r="C180" s="183" t="n">
        <v>30360</v>
      </c>
      <c r="D180" s="181" t="s">
        <v>3325</v>
      </c>
      <c r="E180" s="181" t="s">
        <v>399</v>
      </c>
      <c r="F180" s="181" t="s">
        <v>400</v>
      </c>
      <c r="G180" s="181" t="s">
        <v>225</v>
      </c>
      <c r="H180" s="181" t="s">
        <v>626</v>
      </c>
      <c r="I180" s="181" t="s">
        <v>220</v>
      </c>
      <c r="J180" s="184" t="n">
        <v>45370</v>
      </c>
      <c r="K180" s="184" t="n">
        <v>19350</v>
      </c>
      <c r="L180" s="185" t="n">
        <v>32</v>
      </c>
      <c r="M180" s="184" t="n">
        <v>26020</v>
      </c>
      <c r="N180" s="184" t="n">
        <v>17693.6</v>
      </c>
      <c r="O180" s="186" t="s">
        <v>707</v>
      </c>
      <c r="P180" s="187" t="n">
        <v>45889</v>
      </c>
    </row>
    <row r="181" customFormat="false" ht="51" hidden="false" customHeight="true" outlineLevel="0" collapsed="false">
      <c r="A181" s="181" t="s">
        <v>708</v>
      </c>
      <c r="B181" s="182" t="n">
        <v>1067</v>
      </c>
      <c r="C181" s="183" t="n">
        <v>30362</v>
      </c>
      <c r="D181" s="181" t="s">
        <v>3325</v>
      </c>
      <c r="E181" s="181" t="s">
        <v>336</v>
      </c>
      <c r="F181" s="181" t="s">
        <v>337</v>
      </c>
      <c r="G181" s="181" t="s">
        <v>225</v>
      </c>
      <c r="H181" s="181" t="s">
        <v>626</v>
      </c>
      <c r="I181" s="181" t="s">
        <v>220</v>
      </c>
      <c r="J181" s="184" t="n">
        <v>38240</v>
      </c>
      <c r="K181" s="184" t="n">
        <v>14490</v>
      </c>
      <c r="L181" s="185" t="n">
        <v>42</v>
      </c>
      <c r="M181" s="184" t="n">
        <v>23750</v>
      </c>
      <c r="N181" s="184" t="n">
        <v>13775</v>
      </c>
      <c r="O181" s="186" t="s">
        <v>709</v>
      </c>
      <c r="P181" s="187" t="n">
        <v>45890</v>
      </c>
    </row>
    <row r="182" customFormat="false" ht="51" hidden="false" customHeight="true" outlineLevel="0" collapsed="false">
      <c r="A182" s="181" t="s">
        <v>710</v>
      </c>
      <c r="B182" s="182" t="n">
        <v>1068</v>
      </c>
      <c r="C182" s="183" t="n">
        <v>30364</v>
      </c>
      <c r="D182" s="181" t="s">
        <v>3325</v>
      </c>
      <c r="E182" s="181" t="s">
        <v>340</v>
      </c>
      <c r="F182" s="181" t="s">
        <v>341</v>
      </c>
      <c r="G182" s="181" t="s">
        <v>225</v>
      </c>
      <c r="H182" s="181" t="s">
        <v>626</v>
      </c>
      <c r="I182" s="181" t="s">
        <v>220</v>
      </c>
      <c r="J182" s="184" t="n">
        <v>38700</v>
      </c>
      <c r="K182" s="184" t="n">
        <v>15070</v>
      </c>
      <c r="L182" s="185" t="n">
        <v>21</v>
      </c>
      <c r="M182" s="184" t="n">
        <v>23630</v>
      </c>
      <c r="N182" s="184" t="n">
        <v>18667.7</v>
      </c>
      <c r="O182" s="186" t="s">
        <v>711</v>
      </c>
      <c r="P182" s="187" t="n">
        <v>45890</v>
      </c>
    </row>
    <row r="183" customFormat="false" ht="51" hidden="false" customHeight="true" outlineLevel="0" collapsed="false">
      <c r="A183" s="181" t="s">
        <v>712</v>
      </c>
      <c r="B183" s="182" t="n">
        <v>1069</v>
      </c>
      <c r="C183" s="183" t="n">
        <v>30368</v>
      </c>
      <c r="D183" s="181" t="s">
        <v>3325</v>
      </c>
      <c r="E183" s="181" t="s">
        <v>409</v>
      </c>
      <c r="F183" s="181" t="s">
        <v>410</v>
      </c>
      <c r="G183" s="181" t="s">
        <v>225</v>
      </c>
      <c r="H183" s="181" t="s">
        <v>626</v>
      </c>
      <c r="I183" s="181" t="s">
        <v>220</v>
      </c>
      <c r="J183" s="184" t="n">
        <v>46560</v>
      </c>
      <c r="K183" s="184" t="n">
        <v>24080</v>
      </c>
      <c r="L183" s="185" t="n">
        <v>29</v>
      </c>
      <c r="M183" s="184" t="n">
        <v>22480</v>
      </c>
      <c r="N183" s="184" t="n">
        <v>15960.8</v>
      </c>
      <c r="O183" s="186" t="s">
        <v>713</v>
      </c>
      <c r="P183" s="187" t="n">
        <v>45890</v>
      </c>
    </row>
    <row r="184" customFormat="false" ht="51" hidden="false" customHeight="true" outlineLevel="0" collapsed="false">
      <c r="A184" s="181" t="s">
        <v>714</v>
      </c>
      <c r="B184" s="182" t="n">
        <v>1070</v>
      </c>
      <c r="C184" s="183" t="n">
        <v>30366</v>
      </c>
      <c r="D184" s="181" t="s">
        <v>3325</v>
      </c>
      <c r="E184" s="181" t="s">
        <v>413</v>
      </c>
      <c r="F184" s="181" t="s">
        <v>414</v>
      </c>
      <c r="G184" s="181" t="s">
        <v>225</v>
      </c>
      <c r="H184" s="181" t="s">
        <v>626</v>
      </c>
      <c r="I184" s="181" t="s">
        <v>220</v>
      </c>
      <c r="J184" s="184" t="n">
        <v>40610</v>
      </c>
      <c r="K184" s="184" t="n">
        <v>15510</v>
      </c>
      <c r="L184" s="185" t="n">
        <v>22</v>
      </c>
      <c r="M184" s="184" t="n">
        <v>25100</v>
      </c>
      <c r="N184" s="184" t="n">
        <v>19578</v>
      </c>
      <c r="O184" s="186" t="s">
        <v>715</v>
      </c>
      <c r="P184" s="187" t="n">
        <v>45890</v>
      </c>
    </row>
    <row r="185" customFormat="false" ht="51" hidden="false" customHeight="true" outlineLevel="0" collapsed="false">
      <c r="A185" s="181" t="s">
        <v>716</v>
      </c>
      <c r="B185" s="182" t="n">
        <v>1071</v>
      </c>
      <c r="C185" s="183" t="n">
        <v>30371</v>
      </c>
      <c r="D185" s="181" t="s">
        <v>3325</v>
      </c>
      <c r="E185" s="181" t="s">
        <v>266</v>
      </c>
      <c r="F185" s="181" t="s">
        <v>267</v>
      </c>
      <c r="G185" s="181" t="s">
        <v>225</v>
      </c>
      <c r="H185" s="181" t="s">
        <v>626</v>
      </c>
      <c r="I185" s="181" t="s">
        <v>220</v>
      </c>
      <c r="J185" s="184" t="n">
        <v>39330</v>
      </c>
      <c r="K185" s="184" t="n">
        <v>14940</v>
      </c>
      <c r="L185" s="185" t="n">
        <v>48</v>
      </c>
      <c r="M185" s="184" t="n">
        <v>24390</v>
      </c>
      <c r="N185" s="184" t="n">
        <v>12682.8</v>
      </c>
      <c r="O185" s="186" t="s">
        <v>717</v>
      </c>
      <c r="P185" s="187" t="n">
        <v>45890</v>
      </c>
    </row>
    <row r="186" customFormat="false" ht="51" hidden="false" customHeight="true" outlineLevel="0" collapsed="false">
      <c r="A186" s="181" t="s">
        <v>718</v>
      </c>
      <c r="B186" s="182" t="n">
        <v>1072</v>
      </c>
      <c r="C186" s="183" t="n">
        <v>30373</v>
      </c>
      <c r="D186" s="181" t="s">
        <v>3325</v>
      </c>
      <c r="E186" s="181" t="s">
        <v>261</v>
      </c>
      <c r="F186" s="181" t="s">
        <v>262</v>
      </c>
      <c r="G186" s="181" t="s">
        <v>225</v>
      </c>
      <c r="H186" s="181" t="s">
        <v>626</v>
      </c>
      <c r="I186" s="181" t="s">
        <v>220</v>
      </c>
      <c r="J186" s="184" t="n">
        <v>38070</v>
      </c>
      <c r="K186" s="184" t="n">
        <v>15070</v>
      </c>
      <c r="L186" s="185" t="n">
        <v>24</v>
      </c>
      <c r="M186" s="184" t="n">
        <v>23000</v>
      </c>
      <c r="N186" s="184" t="n">
        <v>17480</v>
      </c>
      <c r="O186" s="186" t="s">
        <v>719</v>
      </c>
      <c r="P186" s="187" t="n">
        <v>45890</v>
      </c>
    </row>
    <row r="187" customFormat="false" ht="51" hidden="false" customHeight="true" outlineLevel="0" collapsed="false">
      <c r="A187" s="181" t="s">
        <v>720</v>
      </c>
      <c r="B187" s="182" t="n">
        <v>1073</v>
      </c>
      <c r="C187" s="183" t="n">
        <v>30387</v>
      </c>
      <c r="D187" s="181" t="s">
        <v>3325</v>
      </c>
      <c r="E187" s="181" t="s">
        <v>533</v>
      </c>
      <c r="F187" s="181" t="s">
        <v>534</v>
      </c>
      <c r="G187" s="181" t="s">
        <v>225</v>
      </c>
      <c r="H187" s="181" t="s">
        <v>626</v>
      </c>
      <c r="I187" s="181" t="s">
        <v>220</v>
      </c>
      <c r="J187" s="184" t="n">
        <v>40100</v>
      </c>
      <c r="K187" s="184" t="n">
        <v>14700</v>
      </c>
      <c r="L187" s="185" t="n">
        <v>14</v>
      </c>
      <c r="M187" s="184" t="n">
        <v>25400</v>
      </c>
      <c r="N187" s="184" t="n">
        <v>21844</v>
      </c>
      <c r="O187" s="186" t="s">
        <v>721</v>
      </c>
      <c r="P187" s="187" t="n">
        <v>45890</v>
      </c>
    </row>
    <row r="188" customFormat="false" ht="51" hidden="false" customHeight="true" outlineLevel="0" collapsed="false">
      <c r="A188" s="181" t="s">
        <v>722</v>
      </c>
      <c r="B188" s="182" t="n">
        <v>1074</v>
      </c>
      <c r="C188" s="183" t="n">
        <v>30381</v>
      </c>
      <c r="D188" s="181" t="s">
        <v>3325</v>
      </c>
      <c r="E188" s="181" t="s">
        <v>272</v>
      </c>
      <c r="F188" s="181" t="s">
        <v>273</v>
      </c>
      <c r="G188" s="181" t="s">
        <v>225</v>
      </c>
      <c r="H188" s="181" t="s">
        <v>626</v>
      </c>
      <c r="I188" s="181" t="s">
        <v>220</v>
      </c>
      <c r="J188" s="184" t="n">
        <v>39280</v>
      </c>
      <c r="K188" s="184" t="n">
        <v>15600</v>
      </c>
      <c r="L188" s="185" t="n">
        <v>26</v>
      </c>
      <c r="M188" s="184" t="n">
        <v>23680</v>
      </c>
      <c r="N188" s="184" t="n">
        <v>17523.2</v>
      </c>
      <c r="O188" s="186" t="s">
        <v>723</v>
      </c>
      <c r="P188" s="187" t="n">
        <v>45890</v>
      </c>
    </row>
    <row r="189" customFormat="false" ht="51" hidden="false" customHeight="true" outlineLevel="0" collapsed="false">
      <c r="A189" s="181" t="s">
        <v>724</v>
      </c>
      <c r="B189" s="182" t="n">
        <v>1075</v>
      </c>
      <c r="C189" s="183" t="n">
        <v>30402</v>
      </c>
      <c r="D189" s="181" t="s">
        <v>3325</v>
      </c>
      <c r="E189" s="181" t="s">
        <v>439</v>
      </c>
      <c r="F189" s="181" t="s">
        <v>440</v>
      </c>
      <c r="G189" s="181" t="s">
        <v>225</v>
      </c>
      <c r="H189" s="181" t="s">
        <v>626</v>
      </c>
      <c r="I189" s="181" t="s">
        <v>220</v>
      </c>
      <c r="J189" s="184" t="n">
        <v>41400</v>
      </c>
      <c r="K189" s="184" t="n">
        <v>16410</v>
      </c>
      <c r="L189" s="185" t="n">
        <v>18</v>
      </c>
      <c r="M189" s="184" t="n">
        <v>24990</v>
      </c>
      <c r="N189" s="184" t="n">
        <v>20491.8</v>
      </c>
      <c r="O189" s="186" t="s">
        <v>725</v>
      </c>
      <c r="P189" s="187" t="n">
        <v>45890</v>
      </c>
    </row>
    <row r="190" customFormat="false" ht="51" hidden="false" customHeight="true" outlineLevel="0" collapsed="false">
      <c r="A190" s="181" t="s">
        <v>726</v>
      </c>
      <c r="B190" s="182" t="n">
        <v>1076</v>
      </c>
      <c r="C190" s="183" t="n">
        <v>30395</v>
      </c>
      <c r="D190" s="181" t="s">
        <v>3325</v>
      </c>
      <c r="E190" s="181" t="s">
        <v>435</v>
      </c>
      <c r="F190" s="181" t="s">
        <v>436</v>
      </c>
      <c r="G190" s="181" t="s">
        <v>225</v>
      </c>
      <c r="H190" s="181" t="s">
        <v>626</v>
      </c>
      <c r="I190" s="181" t="s">
        <v>220</v>
      </c>
      <c r="J190" s="184" t="n">
        <v>39500</v>
      </c>
      <c r="K190" s="184" t="n">
        <v>16470</v>
      </c>
      <c r="L190" s="185" t="n">
        <v>17</v>
      </c>
      <c r="M190" s="184" t="n">
        <v>23030</v>
      </c>
      <c r="N190" s="184" t="n">
        <v>19114.9</v>
      </c>
      <c r="O190" s="186" t="s">
        <v>727</v>
      </c>
      <c r="P190" s="187" t="n">
        <v>45890</v>
      </c>
    </row>
    <row r="191" customFormat="false" ht="51" hidden="false" customHeight="true" outlineLevel="0" collapsed="false">
      <c r="A191" s="181" t="s">
        <v>728</v>
      </c>
      <c r="B191" s="182" t="n">
        <v>1077</v>
      </c>
      <c r="C191" s="183" t="n">
        <v>30397</v>
      </c>
      <c r="D191" s="181" t="s">
        <v>3325</v>
      </c>
      <c r="E191" s="181" t="s">
        <v>431</v>
      </c>
      <c r="F191" s="181" t="s">
        <v>432</v>
      </c>
      <c r="G191" s="181" t="s">
        <v>225</v>
      </c>
      <c r="H191" s="181" t="s">
        <v>626</v>
      </c>
      <c r="I191" s="181" t="s">
        <v>220</v>
      </c>
      <c r="J191" s="184" t="n">
        <v>39010</v>
      </c>
      <c r="K191" s="184" t="n">
        <v>16550</v>
      </c>
      <c r="L191" s="185" t="n">
        <v>13</v>
      </c>
      <c r="M191" s="184" t="n">
        <v>22460</v>
      </c>
      <c r="N191" s="184" t="n">
        <v>19540.2</v>
      </c>
      <c r="O191" s="186" t="s">
        <v>729</v>
      </c>
      <c r="P191" s="187" t="n">
        <v>45890</v>
      </c>
    </row>
    <row r="192" customFormat="false" ht="51" hidden="false" customHeight="true" outlineLevel="0" collapsed="false">
      <c r="A192" s="181" t="s">
        <v>730</v>
      </c>
      <c r="B192" s="182" t="n">
        <v>1078</v>
      </c>
      <c r="C192" s="183" t="n">
        <v>30393</v>
      </c>
      <c r="D192" s="181" t="s">
        <v>3325</v>
      </c>
      <c r="E192" s="181" t="s">
        <v>545</v>
      </c>
      <c r="F192" s="181" t="s">
        <v>546</v>
      </c>
      <c r="G192" s="181" t="s">
        <v>225</v>
      </c>
      <c r="H192" s="181" t="s">
        <v>626</v>
      </c>
      <c r="I192" s="181" t="s">
        <v>220</v>
      </c>
      <c r="J192" s="184" t="n">
        <v>43490</v>
      </c>
      <c r="K192" s="184" t="n">
        <v>16120</v>
      </c>
      <c r="L192" s="185" t="n">
        <v>20</v>
      </c>
      <c r="M192" s="184" t="n">
        <v>27370</v>
      </c>
      <c r="N192" s="184" t="n">
        <v>21896</v>
      </c>
      <c r="O192" s="186" t="s">
        <v>731</v>
      </c>
      <c r="P192" s="187" t="n">
        <v>45890</v>
      </c>
    </row>
    <row r="193" customFormat="false" ht="51" hidden="false" customHeight="true" outlineLevel="0" collapsed="false">
      <c r="A193" s="181" t="s">
        <v>732</v>
      </c>
      <c r="B193" s="182" t="n">
        <v>1080</v>
      </c>
      <c r="C193" s="183" t="n">
        <v>30404</v>
      </c>
      <c r="D193" s="181" t="s">
        <v>3325</v>
      </c>
      <c r="E193" s="181" t="s">
        <v>549</v>
      </c>
      <c r="F193" s="181" t="s">
        <v>550</v>
      </c>
      <c r="G193" s="181" t="s">
        <v>225</v>
      </c>
      <c r="H193" s="181" t="s">
        <v>626</v>
      </c>
      <c r="I193" s="181" t="s">
        <v>220</v>
      </c>
      <c r="J193" s="184" t="n">
        <v>41080</v>
      </c>
      <c r="K193" s="184" t="n">
        <v>15960</v>
      </c>
      <c r="L193" s="185" t="n">
        <v>28</v>
      </c>
      <c r="M193" s="184" t="n">
        <v>25120</v>
      </c>
      <c r="N193" s="184" t="n">
        <v>18086.4</v>
      </c>
      <c r="O193" s="186" t="s">
        <v>733</v>
      </c>
      <c r="P193" s="187" t="n">
        <v>45890</v>
      </c>
    </row>
    <row r="194" customFormat="false" ht="51" hidden="false" customHeight="true" outlineLevel="0" collapsed="false">
      <c r="A194" s="181" t="s">
        <v>734</v>
      </c>
      <c r="B194" s="182" t="n">
        <v>1081</v>
      </c>
      <c r="C194" s="183" t="n">
        <v>30406</v>
      </c>
      <c r="D194" s="181" t="s">
        <v>3325</v>
      </c>
      <c r="E194" s="181" t="s">
        <v>541</v>
      </c>
      <c r="F194" s="181" t="s">
        <v>542</v>
      </c>
      <c r="G194" s="181" t="s">
        <v>225</v>
      </c>
      <c r="H194" s="181" t="s">
        <v>626</v>
      </c>
      <c r="I194" s="181" t="s">
        <v>220</v>
      </c>
      <c r="J194" s="184" t="n">
        <v>41280</v>
      </c>
      <c r="K194" s="184" t="n">
        <v>15000</v>
      </c>
      <c r="L194" s="185" t="n">
        <v>19</v>
      </c>
      <c r="M194" s="184" t="n">
        <v>26280</v>
      </c>
      <c r="N194" s="184" t="n">
        <v>21286.8</v>
      </c>
      <c r="O194" s="186" t="s">
        <v>735</v>
      </c>
      <c r="P194" s="187" t="n">
        <v>45890</v>
      </c>
    </row>
    <row r="195" customFormat="false" ht="51" hidden="false" customHeight="true" outlineLevel="0" collapsed="false">
      <c r="A195" s="181" t="s">
        <v>736</v>
      </c>
      <c r="B195" s="182" t="n">
        <v>1083</v>
      </c>
      <c r="C195" s="183" t="n">
        <v>30410</v>
      </c>
      <c r="D195" s="181" t="s">
        <v>3325</v>
      </c>
      <c r="E195" s="181" t="s">
        <v>282</v>
      </c>
      <c r="F195" s="181" t="s">
        <v>283</v>
      </c>
      <c r="G195" s="181" t="s">
        <v>225</v>
      </c>
      <c r="H195" s="181" t="s">
        <v>626</v>
      </c>
      <c r="I195" s="181" t="s">
        <v>220</v>
      </c>
      <c r="J195" s="184" t="n">
        <v>38850</v>
      </c>
      <c r="K195" s="184" t="n">
        <v>15040</v>
      </c>
      <c r="L195" s="185" t="n">
        <v>16</v>
      </c>
      <c r="M195" s="184" t="n">
        <v>23810</v>
      </c>
      <c r="N195" s="184" t="n">
        <v>20000.4</v>
      </c>
      <c r="O195" s="186" t="s">
        <v>737</v>
      </c>
      <c r="P195" s="187" t="n">
        <v>45890</v>
      </c>
    </row>
    <row r="196" customFormat="false" ht="51" hidden="false" customHeight="true" outlineLevel="0" collapsed="false">
      <c r="A196" s="181" t="s">
        <v>738</v>
      </c>
      <c r="B196" s="182" t="n">
        <v>1084</v>
      </c>
      <c r="C196" s="183" t="n">
        <v>30408</v>
      </c>
      <c r="D196" s="181" t="s">
        <v>3325</v>
      </c>
      <c r="E196" s="181" t="s">
        <v>537</v>
      </c>
      <c r="F196" s="181" t="s">
        <v>538</v>
      </c>
      <c r="G196" s="181" t="s">
        <v>225</v>
      </c>
      <c r="H196" s="181" t="s">
        <v>626</v>
      </c>
      <c r="I196" s="181" t="s">
        <v>220</v>
      </c>
      <c r="J196" s="184" t="n">
        <v>35950</v>
      </c>
      <c r="K196" s="184" t="n">
        <v>13990</v>
      </c>
      <c r="L196" s="185" t="n">
        <v>29</v>
      </c>
      <c r="M196" s="184" t="n">
        <v>21960</v>
      </c>
      <c r="N196" s="184" t="n">
        <v>15591.6</v>
      </c>
      <c r="O196" s="186" t="s">
        <v>739</v>
      </c>
      <c r="P196" s="187" t="n">
        <v>45890</v>
      </c>
    </row>
    <row r="197" customFormat="false" ht="51" hidden="false" customHeight="true" outlineLevel="0" collapsed="false">
      <c r="A197" s="181" t="s">
        <v>740</v>
      </c>
      <c r="B197" s="182" t="n">
        <v>1086</v>
      </c>
      <c r="C197" s="183" t="n">
        <v>30414</v>
      </c>
      <c r="D197" s="181" t="s">
        <v>3325</v>
      </c>
      <c r="E197" s="181" t="s">
        <v>350</v>
      </c>
      <c r="F197" s="181" t="s">
        <v>351</v>
      </c>
      <c r="G197" s="181" t="s">
        <v>225</v>
      </c>
      <c r="H197" s="181" t="s">
        <v>626</v>
      </c>
      <c r="I197" s="181" t="s">
        <v>220</v>
      </c>
      <c r="J197" s="184" t="n">
        <v>38680</v>
      </c>
      <c r="K197" s="184" t="n">
        <v>14950</v>
      </c>
      <c r="L197" s="185" t="n">
        <v>13</v>
      </c>
      <c r="M197" s="184" t="n">
        <v>23730</v>
      </c>
      <c r="N197" s="184" t="n">
        <v>20645.1</v>
      </c>
      <c r="O197" s="186" t="s">
        <v>741</v>
      </c>
      <c r="P197" s="187" t="n">
        <v>45890</v>
      </c>
    </row>
    <row r="198" customFormat="false" ht="51" hidden="false" customHeight="true" outlineLevel="0" collapsed="false">
      <c r="A198" s="181" t="s">
        <v>742</v>
      </c>
      <c r="B198" s="182" t="n">
        <v>1089</v>
      </c>
      <c r="C198" s="183" t="n">
        <v>30412</v>
      </c>
      <c r="D198" s="181" t="s">
        <v>3325</v>
      </c>
      <c r="E198" s="181" t="s">
        <v>277</v>
      </c>
      <c r="F198" s="181" t="s">
        <v>278</v>
      </c>
      <c r="G198" s="181" t="s">
        <v>225</v>
      </c>
      <c r="H198" s="181" t="s">
        <v>626</v>
      </c>
      <c r="I198" s="181" t="s">
        <v>220</v>
      </c>
      <c r="J198" s="184" t="n">
        <v>41370</v>
      </c>
      <c r="K198" s="184" t="n">
        <v>15200</v>
      </c>
      <c r="L198" s="185" t="n">
        <v>21</v>
      </c>
      <c r="M198" s="184" t="n">
        <v>26170</v>
      </c>
      <c r="N198" s="184" t="n">
        <v>20674.3</v>
      </c>
      <c r="O198" s="186" t="s">
        <v>743</v>
      </c>
      <c r="P198" s="187" t="n">
        <v>45890</v>
      </c>
    </row>
    <row r="199" customFormat="false" ht="51" hidden="false" customHeight="true" outlineLevel="0" collapsed="false">
      <c r="A199" s="181" t="s">
        <v>744</v>
      </c>
      <c r="B199" s="182" t="n">
        <v>1090</v>
      </c>
      <c r="C199" s="183" t="n">
        <v>30416</v>
      </c>
      <c r="D199" s="181" t="s">
        <v>3325</v>
      </c>
      <c r="E199" s="181" t="s">
        <v>346</v>
      </c>
      <c r="F199" s="181" t="s">
        <v>347</v>
      </c>
      <c r="G199" s="181" t="s">
        <v>225</v>
      </c>
      <c r="H199" s="181" t="s">
        <v>626</v>
      </c>
      <c r="I199" s="181" t="s">
        <v>220</v>
      </c>
      <c r="J199" s="184" t="n">
        <v>37510</v>
      </c>
      <c r="K199" s="184" t="n">
        <v>15090</v>
      </c>
      <c r="L199" s="185" t="n">
        <v>15</v>
      </c>
      <c r="M199" s="184" t="n">
        <v>22420</v>
      </c>
      <c r="N199" s="184" t="n">
        <v>19057</v>
      </c>
      <c r="O199" s="186" t="s">
        <v>745</v>
      </c>
      <c r="P199" s="187" t="n">
        <v>45890</v>
      </c>
    </row>
    <row r="200" customFormat="false" ht="51" hidden="false" customHeight="true" outlineLevel="0" collapsed="false">
      <c r="A200" s="181" t="s">
        <v>746</v>
      </c>
      <c r="B200" s="182" t="n">
        <v>1093</v>
      </c>
      <c r="C200" s="183" t="n">
        <v>30418</v>
      </c>
      <c r="D200" s="181" t="s">
        <v>3325</v>
      </c>
      <c r="E200" s="181" t="s">
        <v>292</v>
      </c>
      <c r="F200" s="181" t="s">
        <v>293</v>
      </c>
      <c r="G200" s="181" t="s">
        <v>225</v>
      </c>
      <c r="H200" s="181" t="s">
        <v>626</v>
      </c>
      <c r="I200" s="181" t="s">
        <v>220</v>
      </c>
      <c r="J200" s="184" t="n">
        <v>37500</v>
      </c>
      <c r="K200" s="184" t="n">
        <v>13900</v>
      </c>
      <c r="L200" s="185" t="n">
        <v>28</v>
      </c>
      <c r="M200" s="184" t="n">
        <v>23600</v>
      </c>
      <c r="N200" s="184" t="n">
        <v>16992</v>
      </c>
      <c r="O200" s="186" t="s">
        <v>747</v>
      </c>
      <c r="P200" s="187" t="n">
        <v>45891</v>
      </c>
    </row>
    <row r="201" customFormat="false" ht="51" hidden="false" customHeight="true" outlineLevel="0" collapsed="false">
      <c r="A201" s="181" t="s">
        <v>748</v>
      </c>
      <c r="B201" s="182" t="n">
        <v>1094</v>
      </c>
      <c r="C201" s="183" t="n">
        <v>30420</v>
      </c>
      <c r="D201" s="181" t="s">
        <v>3325</v>
      </c>
      <c r="E201" s="181" t="s">
        <v>332</v>
      </c>
      <c r="F201" s="181" t="s">
        <v>333</v>
      </c>
      <c r="G201" s="181" t="s">
        <v>225</v>
      </c>
      <c r="H201" s="181" t="s">
        <v>626</v>
      </c>
      <c r="I201" s="181" t="s">
        <v>220</v>
      </c>
      <c r="J201" s="184" t="n">
        <v>38700</v>
      </c>
      <c r="K201" s="184" t="n">
        <v>14690</v>
      </c>
      <c r="L201" s="185" t="n">
        <v>26</v>
      </c>
      <c r="M201" s="184" t="n">
        <v>24010</v>
      </c>
      <c r="N201" s="184" t="n">
        <v>17767.4</v>
      </c>
      <c r="O201" s="186" t="s">
        <v>749</v>
      </c>
      <c r="P201" s="187" t="n">
        <v>45891</v>
      </c>
    </row>
    <row r="202" customFormat="false" ht="51" hidden="false" customHeight="true" outlineLevel="0" collapsed="false">
      <c r="A202" s="181" t="s">
        <v>750</v>
      </c>
      <c r="B202" s="182" t="n">
        <v>1095</v>
      </c>
      <c r="C202" s="183" t="n">
        <v>30424</v>
      </c>
      <c r="D202" s="181" t="s">
        <v>3325</v>
      </c>
      <c r="E202" s="181" t="s">
        <v>582</v>
      </c>
      <c r="F202" s="181" t="s">
        <v>583</v>
      </c>
      <c r="G202" s="181" t="s">
        <v>225</v>
      </c>
      <c r="H202" s="181" t="s">
        <v>626</v>
      </c>
      <c r="I202" s="181" t="s">
        <v>220</v>
      </c>
      <c r="J202" s="184" t="n">
        <v>38520</v>
      </c>
      <c r="K202" s="184" t="n">
        <v>14700</v>
      </c>
      <c r="L202" s="185" t="n">
        <v>11</v>
      </c>
      <c r="M202" s="184" t="n">
        <v>23820</v>
      </c>
      <c r="N202" s="184" t="n">
        <v>21199.8</v>
      </c>
      <c r="O202" s="186" t="s">
        <v>751</v>
      </c>
      <c r="P202" s="187" t="n">
        <v>45891</v>
      </c>
    </row>
    <row r="203" customFormat="false" ht="51" hidden="false" customHeight="true" outlineLevel="0" collapsed="false">
      <c r="A203" s="181" t="s">
        <v>752</v>
      </c>
      <c r="B203" s="182" t="n">
        <v>1096</v>
      </c>
      <c r="C203" s="183" t="n">
        <v>30422</v>
      </c>
      <c r="D203" s="181" t="s">
        <v>3325</v>
      </c>
      <c r="E203" s="181" t="s">
        <v>373</v>
      </c>
      <c r="F203" s="181" t="s">
        <v>374</v>
      </c>
      <c r="G203" s="181" t="s">
        <v>225</v>
      </c>
      <c r="H203" s="181" t="s">
        <v>626</v>
      </c>
      <c r="I203" s="181" t="s">
        <v>220</v>
      </c>
      <c r="J203" s="184" t="n">
        <v>38090</v>
      </c>
      <c r="K203" s="184" t="n">
        <v>14180</v>
      </c>
      <c r="L203" s="185" t="n">
        <v>26</v>
      </c>
      <c r="M203" s="184" t="n">
        <v>23910</v>
      </c>
      <c r="N203" s="184" t="n">
        <v>17693.4</v>
      </c>
      <c r="O203" s="186" t="s">
        <v>753</v>
      </c>
      <c r="P203" s="187" t="n">
        <v>45891</v>
      </c>
    </row>
    <row r="204" customFormat="false" ht="51" hidden="false" customHeight="true" outlineLevel="0" collapsed="false">
      <c r="A204" s="181" t="s">
        <v>754</v>
      </c>
      <c r="B204" s="182" t="n">
        <v>1100</v>
      </c>
      <c r="C204" s="183" t="n">
        <v>30435</v>
      </c>
      <c r="D204" s="181" t="s">
        <v>3325</v>
      </c>
      <c r="E204" s="181" t="s">
        <v>261</v>
      </c>
      <c r="F204" s="181" t="s">
        <v>262</v>
      </c>
      <c r="G204" s="181" t="s">
        <v>224</v>
      </c>
      <c r="H204" s="181" t="s">
        <v>607</v>
      </c>
      <c r="I204" s="181" t="s">
        <v>220</v>
      </c>
      <c r="J204" s="184" t="n">
        <v>38690</v>
      </c>
      <c r="K204" s="184" t="n">
        <v>15060</v>
      </c>
      <c r="L204" s="185" t="n">
        <v>5</v>
      </c>
      <c r="M204" s="184" t="n">
        <v>23630</v>
      </c>
      <c r="N204" s="184" t="n">
        <v>22448.5</v>
      </c>
      <c r="O204" s="186" t="s">
        <v>755</v>
      </c>
      <c r="P204" s="187" t="n">
        <v>45891</v>
      </c>
    </row>
    <row r="205" customFormat="false" ht="51" hidden="false" customHeight="true" outlineLevel="0" collapsed="false">
      <c r="A205" s="181" t="s">
        <v>756</v>
      </c>
      <c r="B205" s="182" t="n">
        <v>1101</v>
      </c>
      <c r="C205" s="183" t="n">
        <v>30437</v>
      </c>
      <c r="D205" s="181" t="s">
        <v>3325</v>
      </c>
      <c r="E205" s="181" t="s">
        <v>272</v>
      </c>
      <c r="F205" s="181" t="s">
        <v>273</v>
      </c>
      <c r="G205" s="181" t="s">
        <v>224</v>
      </c>
      <c r="H205" s="181" t="s">
        <v>607</v>
      </c>
      <c r="I205" s="181" t="s">
        <v>220</v>
      </c>
      <c r="J205" s="184" t="n">
        <v>39190</v>
      </c>
      <c r="K205" s="184" t="n">
        <v>15620</v>
      </c>
      <c r="L205" s="185" t="n">
        <v>19</v>
      </c>
      <c r="M205" s="184" t="n">
        <v>23570</v>
      </c>
      <c r="N205" s="184" t="n">
        <v>19091.7</v>
      </c>
      <c r="O205" s="186" t="s">
        <v>757</v>
      </c>
      <c r="P205" s="187" t="n">
        <v>45891</v>
      </c>
    </row>
    <row r="206" customFormat="false" ht="51" hidden="false" customHeight="true" outlineLevel="0" collapsed="false">
      <c r="A206" s="181" t="s">
        <v>758</v>
      </c>
      <c r="B206" s="182" t="n">
        <v>1102</v>
      </c>
      <c r="C206" s="183" t="n">
        <v>30439</v>
      </c>
      <c r="D206" s="181" t="s">
        <v>3325</v>
      </c>
      <c r="E206" s="181" t="s">
        <v>296</v>
      </c>
      <c r="F206" s="181" t="s">
        <v>297</v>
      </c>
      <c r="G206" s="181" t="s">
        <v>224</v>
      </c>
      <c r="H206" s="181" t="s">
        <v>607</v>
      </c>
      <c r="I206" s="181" t="s">
        <v>220</v>
      </c>
      <c r="J206" s="184" t="n">
        <v>38090</v>
      </c>
      <c r="K206" s="184" t="n">
        <v>15410</v>
      </c>
      <c r="L206" s="185" t="n">
        <v>11</v>
      </c>
      <c r="M206" s="184" t="n">
        <v>22680</v>
      </c>
      <c r="N206" s="184" t="n">
        <v>20185.2</v>
      </c>
      <c r="O206" s="186" t="s">
        <v>759</v>
      </c>
      <c r="P206" s="187" t="n">
        <v>45891</v>
      </c>
    </row>
    <row r="207" customFormat="false" ht="51" hidden="false" customHeight="true" outlineLevel="0" collapsed="false">
      <c r="A207" s="181" t="s">
        <v>760</v>
      </c>
      <c r="B207" s="182" t="n">
        <v>1103</v>
      </c>
      <c r="C207" s="183" t="n">
        <v>30445</v>
      </c>
      <c r="D207" s="181" t="s">
        <v>3325</v>
      </c>
      <c r="E207" s="181" t="s">
        <v>533</v>
      </c>
      <c r="F207" s="181" t="s">
        <v>534</v>
      </c>
      <c r="G207" s="181" t="s">
        <v>224</v>
      </c>
      <c r="H207" s="181" t="s">
        <v>607</v>
      </c>
      <c r="I207" s="181" t="s">
        <v>220</v>
      </c>
      <c r="J207" s="184" t="n">
        <v>41220</v>
      </c>
      <c r="K207" s="184" t="n">
        <v>14700</v>
      </c>
      <c r="L207" s="185" t="n">
        <v>34</v>
      </c>
      <c r="M207" s="184" t="n">
        <v>26520</v>
      </c>
      <c r="N207" s="184" t="n">
        <v>17503.2</v>
      </c>
      <c r="O207" s="186" t="s">
        <v>761</v>
      </c>
      <c r="P207" s="187" t="n">
        <v>45892</v>
      </c>
    </row>
    <row r="208" customFormat="false" ht="51" hidden="false" customHeight="true" outlineLevel="0" collapsed="false">
      <c r="A208" s="181" t="s">
        <v>764</v>
      </c>
      <c r="B208" s="182" t="n">
        <v>1105</v>
      </c>
      <c r="C208" s="183" t="n">
        <v>30452</v>
      </c>
      <c r="D208" s="181" t="s">
        <v>3325</v>
      </c>
      <c r="E208" s="181" t="s">
        <v>537</v>
      </c>
      <c r="F208" s="181" t="s">
        <v>538</v>
      </c>
      <c r="G208" s="181" t="s">
        <v>224</v>
      </c>
      <c r="H208" s="181" t="s">
        <v>607</v>
      </c>
      <c r="I208" s="181" t="s">
        <v>220</v>
      </c>
      <c r="J208" s="184" t="n">
        <v>36340</v>
      </c>
      <c r="K208" s="184" t="n">
        <v>13930</v>
      </c>
      <c r="L208" s="185" t="n">
        <v>8</v>
      </c>
      <c r="M208" s="184" t="n">
        <v>22410</v>
      </c>
      <c r="N208" s="184" t="n">
        <v>20617.2</v>
      </c>
      <c r="O208" s="186" t="s">
        <v>765</v>
      </c>
      <c r="P208" s="187" t="n">
        <v>45892</v>
      </c>
    </row>
    <row r="209" customFormat="false" ht="51" hidden="false" customHeight="true" outlineLevel="0" collapsed="false">
      <c r="A209" s="181" t="s">
        <v>766</v>
      </c>
      <c r="B209" s="182" t="n">
        <v>1106</v>
      </c>
      <c r="C209" s="183" t="n">
        <v>30447</v>
      </c>
      <c r="D209" s="181" t="s">
        <v>3325</v>
      </c>
      <c r="E209" s="181" t="s">
        <v>541</v>
      </c>
      <c r="F209" s="181" t="s">
        <v>542</v>
      </c>
      <c r="G209" s="181" t="s">
        <v>224</v>
      </c>
      <c r="H209" s="181" t="s">
        <v>607</v>
      </c>
      <c r="I209" s="181" t="s">
        <v>220</v>
      </c>
      <c r="J209" s="184" t="n">
        <v>40950</v>
      </c>
      <c r="K209" s="184" t="n">
        <v>14980</v>
      </c>
      <c r="L209" s="185" t="n">
        <v>12</v>
      </c>
      <c r="M209" s="184" t="n">
        <v>25970</v>
      </c>
      <c r="N209" s="184" t="n">
        <v>22853.6</v>
      </c>
      <c r="O209" s="186" t="s">
        <v>767</v>
      </c>
      <c r="P209" s="187" t="n">
        <v>45892</v>
      </c>
    </row>
    <row r="210" customFormat="false" ht="51" hidden="false" customHeight="true" outlineLevel="0" collapsed="false">
      <c r="A210" s="181" t="s">
        <v>762</v>
      </c>
      <c r="B210" s="182" t="n">
        <v>1104</v>
      </c>
      <c r="C210" s="183" t="n">
        <v>30450</v>
      </c>
      <c r="D210" s="181" t="s">
        <v>3325</v>
      </c>
      <c r="E210" s="181" t="s">
        <v>549</v>
      </c>
      <c r="F210" s="181" t="s">
        <v>550</v>
      </c>
      <c r="G210" s="181" t="s">
        <v>224</v>
      </c>
      <c r="H210" s="181" t="s">
        <v>607</v>
      </c>
      <c r="I210" s="181" t="s">
        <v>220</v>
      </c>
      <c r="J210" s="184" t="n">
        <v>42500</v>
      </c>
      <c r="K210" s="184" t="n">
        <v>15930</v>
      </c>
      <c r="L210" s="185" t="n">
        <v>10</v>
      </c>
      <c r="M210" s="184" t="n">
        <v>26570</v>
      </c>
      <c r="N210" s="184" t="n">
        <v>23913</v>
      </c>
      <c r="O210" s="186" t="s">
        <v>763</v>
      </c>
      <c r="P210" s="187" t="n">
        <v>45892</v>
      </c>
    </row>
    <row r="211" customFormat="false" ht="51" hidden="false" customHeight="true" outlineLevel="0" collapsed="false">
      <c r="A211" s="181" t="s">
        <v>768</v>
      </c>
      <c r="B211" s="182" t="n">
        <v>1107</v>
      </c>
      <c r="C211" s="183" t="n">
        <v>30454</v>
      </c>
      <c r="D211" s="181" t="s">
        <v>3325</v>
      </c>
      <c r="E211" s="181" t="s">
        <v>545</v>
      </c>
      <c r="F211" s="181" t="s">
        <v>546</v>
      </c>
      <c r="G211" s="181" t="s">
        <v>224</v>
      </c>
      <c r="H211" s="181" t="s">
        <v>607</v>
      </c>
      <c r="I211" s="181" t="s">
        <v>220</v>
      </c>
      <c r="J211" s="184" t="n">
        <v>42720</v>
      </c>
      <c r="K211" s="184" t="n">
        <v>16100</v>
      </c>
      <c r="L211" s="185" t="n">
        <v>8</v>
      </c>
      <c r="M211" s="184" t="n">
        <v>26620</v>
      </c>
      <c r="N211" s="184" t="n">
        <v>24490.4</v>
      </c>
      <c r="O211" s="186" t="s">
        <v>769</v>
      </c>
      <c r="P211" s="187" t="n">
        <v>45892</v>
      </c>
    </row>
    <row r="212" customFormat="false" ht="51" hidden="false" customHeight="true" outlineLevel="0" collapsed="false">
      <c r="A212" s="181" t="s">
        <v>770</v>
      </c>
      <c r="B212" s="182" t="n">
        <v>1108</v>
      </c>
      <c r="C212" s="183" t="n">
        <v>30456</v>
      </c>
      <c r="D212" s="181" t="s">
        <v>3325</v>
      </c>
      <c r="E212" s="181" t="s">
        <v>282</v>
      </c>
      <c r="F212" s="181" t="s">
        <v>283</v>
      </c>
      <c r="G212" s="181" t="s">
        <v>224</v>
      </c>
      <c r="H212" s="181" t="s">
        <v>607</v>
      </c>
      <c r="I212" s="181" t="s">
        <v>220</v>
      </c>
      <c r="J212" s="184" t="n">
        <v>39680</v>
      </c>
      <c r="K212" s="184" t="n">
        <v>15040</v>
      </c>
      <c r="L212" s="185" t="n">
        <v>31</v>
      </c>
      <c r="M212" s="184" t="n">
        <v>24640</v>
      </c>
      <c r="N212" s="184" t="n">
        <v>17001.6</v>
      </c>
      <c r="O212" s="186" t="s">
        <v>771</v>
      </c>
      <c r="P212" s="187" t="n">
        <v>45892</v>
      </c>
    </row>
    <row r="213" customFormat="false" ht="51" hidden="false" customHeight="true" outlineLevel="0" collapsed="false">
      <c r="A213" s="181" t="s">
        <v>772</v>
      </c>
      <c r="B213" s="182" t="n">
        <v>1109</v>
      </c>
      <c r="C213" s="183" t="n">
        <v>30458</v>
      </c>
      <c r="D213" s="181" t="s">
        <v>3325</v>
      </c>
      <c r="E213" s="181" t="s">
        <v>350</v>
      </c>
      <c r="F213" s="181" t="s">
        <v>351</v>
      </c>
      <c r="G213" s="181" t="s">
        <v>224</v>
      </c>
      <c r="H213" s="181" t="s">
        <v>607</v>
      </c>
      <c r="I213" s="181" t="s">
        <v>220</v>
      </c>
      <c r="J213" s="184" t="n">
        <v>42860</v>
      </c>
      <c r="K213" s="184" t="n">
        <v>14940</v>
      </c>
      <c r="L213" s="185" t="n">
        <v>15</v>
      </c>
      <c r="M213" s="184" t="n">
        <v>27920</v>
      </c>
      <c r="N213" s="184" t="n">
        <v>23732</v>
      </c>
      <c r="O213" s="186" t="s">
        <v>773</v>
      </c>
      <c r="P213" s="187" t="n">
        <v>45892</v>
      </c>
    </row>
    <row r="214" customFormat="false" ht="51" hidden="false" customHeight="true" outlineLevel="0" collapsed="false">
      <c r="A214" s="181" t="s">
        <v>774</v>
      </c>
      <c r="B214" s="182" t="n">
        <v>1110</v>
      </c>
      <c r="C214" s="183" t="n">
        <v>30460</v>
      </c>
      <c r="D214" s="181" t="s">
        <v>3325</v>
      </c>
      <c r="E214" s="181" t="s">
        <v>377</v>
      </c>
      <c r="F214" s="181" t="s">
        <v>378</v>
      </c>
      <c r="G214" s="181" t="s">
        <v>224</v>
      </c>
      <c r="H214" s="181" t="s">
        <v>607</v>
      </c>
      <c r="I214" s="181" t="s">
        <v>220</v>
      </c>
      <c r="J214" s="184" t="n">
        <v>41830</v>
      </c>
      <c r="K214" s="184" t="n">
        <v>15570</v>
      </c>
      <c r="L214" s="185" t="n">
        <v>8</v>
      </c>
      <c r="M214" s="184" t="n">
        <v>26260</v>
      </c>
      <c r="N214" s="184" t="n">
        <v>24159.2</v>
      </c>
      <c r="O214" s="186" t="s">
        <v>775</v>
      </c>
      <c r="P214" s="187" t="n">
        <v>45892</v>
      </c>
    </row>
    <row r="215" customFormat="false" ht="51" hidden="false" customHeight="true" outlineLevel="0" collapsed="false">
      <c r="A215" s="181" t="s">
        <v>776</v>
      </c>
      <c r="B215" s="182" t="n">
        <v>1111</v>
      </c>
      <c r="C215" s="183" t="n">
        <v>30463</v>
      </c>
      <c r="D215" s="181" t="s">
        <v>3325</v>
      </c>
      <c r="E215" s="181" t="s">
        <v>399</v>
      </c>
      <c r="F215" s="181" t="s">
        <v>400</v>
      </c>
      <c r="G215" s="181" t="s">
        <v>224</v>
      </c>
      <c r="H215" s="181" t="s">
        <v>607</v>
      </c>
      <c r="I215" s="181" t="s">
        <v>220</v>
      </c>
      <c r="J215" s="184" t="n">
        <v>45680</v>
      </c>
      <c r="K215" s="184" t="n">
        <v>19410</v>
      </c>
      <c r="L215" s="185" t="n">
        <v>13</v>
      </c>
      <c r="M215" s="184" t="n">
        <v>26270</v>
      </c>
      <c r="N215" s="184" t="n">
        <v>22854.9</v>
      </c>
      <c r="O215" s="186" t="s">
        <v>777</v>
      </c>
      <c r="P215" s="187" t="n">
        <v>45892</v>
      </c>
    </row>
    <row r="216" customFormat="false" ht="51" hidden="false" customHeight="true" outlineLevel="0" collapsed="false">
      <c r="A216" s="181" t="s">
        <v>778</v>
      </c>
      <c r="B216" s="182" t="n">
        <v>1113</v>
      </c>
      <c r="C216" s="183" t="n">
        <v>30466</v>
      </c>
      <c r="D216" s="181" t="s">
        <v>3325</v>
      </c>
      <c r="E216" s="181" t="s">
        <v>391</v>
      </c>
      <c r="F216" s="181" t="s">
        <v>392</v>
      </c>
      <c r="G216" s="181" t="s">
        <v>224</v>
      </c>
      <c r="H216" s="181" t="s">
        <v>607</v>
      </c>
      <c r="I216" s="181" t="s">
        <v>220</v>
      </c>
      <c r="J216" s="184" t="n">
        <v>35190</v>
      </c>
      <c r="K216" s="184" t="n">
        <v>14480</v>
      </c>
      <c r="L216" s="185" t="n">
        <v>16</v>
      </c>
      <c r="M216" s="184" t="n">
        <v>20710</v>
      </c>
      <c r="N216" s="184" t="n">
        <v>17396.4</v>
      </c>
      <c r="O216" s="186" t="s">
        <v>779</v>
      </c>
      <c r="P216" s="187" t="n">
        <v>45892</v>
      </c>
    </row>
    <row r="217" customFormat="false" ht="51" hidden="false" customHeight="true" outlineLevel="0" collapsed="false">
      <c r="A217" s="181" t="s">
        <v>780</v>
      </c>
      <c r="B217" s="182" t="n">
        <v>1114</v>
      </c>
      <c r="C217" s="183" t="n">
        <v>30468</v>
      </c>
      <c r="D217" s="181" t="s">
        <v>3325</v>
      </c>
      <c r="E217" s="181" t="s">
        <v>529</v>
      </c>
      <c r="F217" s="181" t="s">
        <v>530</v>
      </c>
      <c r="G217" s="181" t="s">
        <v>224</v>
      </c>
      <c r="H217" s="181" t="s">
        <v>607</v>
      </c>
      <c r="I217" s="181" t="s">
        <v>220</v>
      </c>
      <c r="J217" s="184" t="n">
        <v>35870</v>
      </c>
      <c r="K217" s="184" t="n">
        <v>14810</v>
      </c>
      <c r="L217" s="185" t="n">
        <v>12</v>
      </c>
      <c r="M217" s="184" t="n">
        <v>21060</v>
      </c>
      <c r="N217" s="184" t="n">
        <v>18532.8</v>
      </c>
      <c r="O217" s="186" t="s">
        <v>781</v>
      </c>
      <c r="P217" s="187" t="n">
        <v>45892</v>
      </c>
    </row>
    <row r="218" customFormat="false" ht="51" hidden="false" customHeight="true" outlineLevel="0" collapsed="false">
      <c r="A218" s="181" t="s">
        <v>782</v>
      </c>
      <c r="B218" s="182" t="n">
        <v>1115</v>
      </c>
      <c r="C218" s="183" t="n">
        <v>30470</v>
      </c>
      <c r="D218" s="181" t="s">
        <v>3325</v>
      </c>
      <c r="E218" s="181" t="s">
        <v>354</v>
      </c>
      <c r="F218" s="181" t="s">
        <v>355</v>
      </c>
      <c r="G218" s="181" t="s">
        <v>224</v>
      </c>
      <c r="H218" s="181" t="s">
        <v>607</v>
      </c>
      <c r="I218" s="181" t="s">
        <v>220</v>
      </c>
      <c r="J218" s="184" t="n">
        <v>39240</v>
      </c>
      <c r="K218" s="184" t="n">
        <v>14740</v>
      </c>
      <c r="L218" s="185" t="n">
        <v>12</v>
      </c>
      <c r="M218" s="184" t="n">
        <v>24500</v>
      </c>
      <c r="N218" s="184" t="n">
        <v>21560</v>
      </c>
      <c r="O218" s="186" t="s">
        <v>783</v>
      </c>
      <c r="P218" s="187" t="n">
        <v>45892</v>
      </c>
    </row>
    <row r="219" customFormat="false" ht="51" hidden="false" customHeight="true" outlineLevel="0" collapsed="false">
      <c r="A219" s="181" t="s">
        <v>784</v>
      </c>
      <c r="B219" s="182" t="n">
        <v>1116</v>
      </c>
      <c r="C219" s="183" t="n">
        <v>30472</v>
      </c>
      <c r="D219" s="181" t="s">
        <v>3325</v>
      </c>
      <c r="E219" s="181" t="s">
        <v>359</v>
      </c>
      <c r="F219" s="181" t="s">
        <v>360</v>
      </c>
      <c r="G219" s="181" t="s">
        <v>224</v>
      </c>
      <c r="H219" s="181" t="s">
        <v>607</v>
      </c>
      <c r="I219" s="181" t="s">
        <v>220</v>
      </c>
      <c r="J219" s="184" t="n">
        <v>37010</v>
      </c>
      <c r="K219" s="184" t="n">
        <v>14880</v>
      </c>
      <c r="L219" s="185" t="n">
        <v>16</v>
      </c>
      <c r="M219" s="184" t="n">
        <v>22130</v>
      </c>
      <c r="N219" s="184" t="n">
        <v>18589.2</v>
      </c>
      <c r="O219" s="186" t="s">
        <v>785</v>
      </c>
      <c r="P219" s="187" t="n">
        <v>45892</v>
      </c>
    </row>
    <row r="220" customFormat="false" ht="51" hidden="false" customHeight="true" outlineLevel="0" collapsed="false">
      <c r="A220" s="181" t="s">
        <v>786</v>
      </c>
      <c r="B220" s="182" t="n">
        <v>1117</v>
      </c>
      <c r="C220" s="183" t="n">
        <v>30474</v>
      </c>
      <c r="D220" s="181" t="s">
        <v>3325</v>
      </c>
      <c r="E220" s="181" t="s">
        <v>277</v>
      </c>
      <c r="F220" s="181" t="s">
        <v>278</v>
      </c>
      <c r="G220" s="181" t="s">
        <v>224</v>
      </c>
      <c r="H220" s="181" t="s">
        <v>607</v>
      </c>
      <c r="I220" s="181" t="s">
        <v>220</v>
      </c>
      <c r="J220" s="184" t="n">
        <v>40460</v>
      </c>
      <c r="K220" s="184" t="n">
        <v>15160</v>
      </c>
      <c r="L220" s="185" t="n">
        <v>10</v>
      </c>
      <c r="M220" s="184" t="n">
        <v>25300</v>
      </c>
      <c r="N220" s="184" t="n">
        <v>22770</v>
      </c>
      <c r="O220" s="186" t="s">
        <v>787</v>
      </c>
      <c r="P220" s="187" t="n">
        <v>45892</v>
      </c>
    </row>
    <row r="221" customFormat="false" ht="51" hidden="false" customHeight="true" outlineLevel="0" collapsed="false">
      <c r="A221" s="181" t="s">
        <v>788</v>
      </c>
      <c r="B221" s="182" t="n">
        <v>1119</v>
      </c>
      <c r="C221" s="183" t="n">
        <v>30476</v>
      </c>
      <c r="D221" s="181" t="s">
        <v>3325</v>
      </c>
      <c r="E221" s="181" t="s">
        <v>336</v>
      </c>
      <c r="F221" s="181" t="s">
        <v>337</v>
      </c>
      <c r="G221" s="181" t="s">
        <v>224</v>
      </c>
      <c r="H221" s="181" t="s">
        <v>607</v>
      </c>
      <c r="I221" s="181" t="s">
        <v>220</v>
      </c>
      <c r="J221" s="184" t="n">
        <v>39090</v>
      </c>
      <c r="K221" s="184" t="n">
        <v>14470</v>
      </c>
      <c r="L221" s="185" t="n">
        <v>21</v>
      </c>
      <c r="M221" s="184" t="n">
        <v>24620</v>
      </c>
      <c r="N221" s="184" t="n">
        <v>19449.8</v>
      </c>
      <c r="O221" s="186" t="s">
        <v>789</v>
      </c>
      <c r="P221" s="187" t="n">
        <v>45892</v>
      </c>
    </row>
    <row r="222" customFormat="false" ht="51" hidden="false" customHeight="true" outlineLevel="0" collapsed="false">
      <c r="A222" s="181" t="s">
        <v>790</v>
      </c>
      <c r="B222" s="182" t="n">
        <v>1120</v>
      </c>
      <c r="C222" s="183" t="n">
        <v>30478</v>
      </c>
      <c r="D222" s="181" t="s">
        <v>3325</v>
      </c>
      <c r="E222" s="181" t="s">
        <v>340</v>
      </c>
      <c r="F222" s="181" t="s">
        <v>341</v>
      </c>
      <c r="G222" s="181" t="s">
        <v>224</v>
      </c>
      <c r="H222" s="181" t="s">
        <v>607</v>
      </c>
      <c r="I222" s="181" t="s">
        <v>220</v>
      </c>
      <c r="J222" s="184" t="n">
        <v>39520</v>
      </c>
      <c r="K222" s="184" t="n">
        <v>15010</v>
      </c>
      <c r="L222" s="185" t="n">
        <v>23</v>
      </c>
      <c r="M222" s="184" t="n">
        <v>24510</v>
      </c>
      <c r="N222" s="184" t="n">
        <v>18872.7</v>
      </c>
      <c r="O222" s="186" t="s">
        <v>791</v>
      </c>
      <c r="P222" s="187" t="n">
        <v>45892</v>
      </c>
    </row>
    <row r="223" customFormat="false" ht="51" hidden="false" customHeight="true" outlineLevel="0" collapsed="false">
      <c r="A223" s="181" t="s">
        <v>792</v>
      </c>
      <c r="B223" s="182" t="n">
        <v>1121</v>
      </c>
      <c r="C223" s="183" t="n">
        <v>30493</v>
      </c>
      <c r="D223" s="181" t="s">
        <v>3325</v>
      </c>
      <c r="E223" s="181" t="s">
        <v>288</v>
      </c>
      <c r="F223" s="181" t="s">
        <v>289</v>
      </c>
      <c r="G223" s="181" t="s">
        <v>224</v>
      </c>
      <c r="H223" s="181" t="s">
        <v>607</v>
      </c>
      <c r="I223" s="181" t="s">
        <v>220</v>
      </c>
      <c r="J223" s="184" t="n">
        <v>38880</v>
      </c>
      <c r="K223" s="184" t="n">
        <v>14540</v>
      </c>
      <c r="L223" s="185" t="n">
        <v>13</v>
      </c>
      <c r="M223" s="184" t="n">
        <v>24340</v>
      </c>
      <c r="N223" s="184" t="n">
        <v>21175.8</v>
      </c>
      <c r="O223" s="186" t="s">
        <v>793</v>
      </c>
      <c r="P223" s="187" t="n">
        <v>45892</v>
      </c>
    </row>
    <row r="224" customFormat="false" ht="51" hidden="false" customHeight="true" outlineLevel="0" collapsed="false">
      <c r="A224" s="181" t="s">
        <v>794</v>
      </c>
      <c r="B224" s="182" t="n">
        <v>1122</v>
      </c>
      <c r="C224" s="183" t="n">
        <v>30482</v>
      </c>
      <c r="D224" s="181" t="s">
        <v>3325</v>
      </c>
      <c r="E224" s="181" t="s">
        <v>409</v>
      </c>
      <c r="F224" s="181" t="s">
        <v>410</v>
      </c>
      <c r="G224" s="181" t="s">
        <v>224</v>
      </c>
      <c r="H224" s="181" t="s">
        <v>607</v>
      </c>
      <c r="I224" s="181" t="s">
        <v>220</v>
      </c>
      <c r="J224" s="184" t="n">
        <v>46960</v>
      </c>
      <c r="K224" s="184" t="n">
        <v>24190</v>
      </c>
      <c r="L224" s="185" t="n">
        <v>16</v>
      </c>
      <c r="M224" s="184" t="n">
        <v>22770</v>
      </c>
      <c r="N224" s="184" t="n">
        <v>19126.8</v>
      </c>
      <c r="O224" s="186" t="s">
        <v>795</v>
      </c>
      <c r="P224" s="187" t="n">
        <v>45892</v>
      </c>
    </row>
    <row r="225" customFormat="false" ht="51" hidden="false" customHeight="true" outlineLevel="0" collapsed="false">
      <c r="A225" s="181" t="s">
        <v>796</v>
      </c>
      <c r="B225" s="182" t="n">
        <v>1123</v>
      </c>
      <c r="C225" s="183" t="n">
        <v>30486</v>
      </c>
      <c r="D225" s="181" t="s">
        <v>3325</v>
      </c>
      <c r="E225" s="181" t="s">
        <v>346</v>
      </c>
      <c r="F225" s="181" t="s">
        <v>347</v>
      </c>
      <c r="G225" s="181" t="s">
        <v>224</v>
      </c>
      <c r="H225" s="181" t="s">
        <v>607</v>
      </c>
      <c r="I225" s="181" t="s">
        <v>220</v>
      </c>
      <c r="J225" s="184" t="n">
        <v>38870</v>
      </c>
      <c r="K225" s="184" t="n">
        <v>15070</v>
      </c>
      <c r="L225" s="185" t="n">
        <v>14</v>
      </c>
      <c r="M225" s="184" t="n">
        <v>23800</v>
      </c>
      <c r="N225" s="184" t="n">
        <v>20468</v>
      </c>
      <c r="O225" s="186" t="s">
        <v>797</v>
      </c>
      <c r="P225" s="187" t="n">
        <v>45892</v>
      </c>
    </row>
    <row r="226" customFormat="false" ht="51" hidden="false" customHeight="true" outlineLevel="0" collapsed="false">
      <c r="A226" s="181" t="s">
        <v>798</v>
      </c>
      <c r="B226" s="182" t="n">
        <v>1124</v>
      </c>
      <c r="C226" s="183" t="n">
        <v>30484</v>
      </c>
      <c r="D226" s="181" t="s">
        <v>3325</v>
      </c>
      <c r="E226" s="181" t="s">
        <v>413</v>
      </c>
      <c r="F226" s="181" t="s">
        <v>414</v>
      </c>
      <c r="G226" s="181" t="s">
        <v>224</v>
      </c>
      <c r="H226" s="181" t="s">
        <v>607</v>
      </c>
      <c r="I226" s="181" t="s">
        <v>220</v>
      </c>
      <c r="J226" s="184" t="n">
        <v>43090</v>
      </c>
      <c r="K226" s="184" t="n">
        <v>15620</v>
      </c>
      <c r="L226" s="185" t="n">
        <v>17</v>
      </c>
      <c r="M226" s="184" t="n">
        <v>27470</v>
      </c>
      <c r="N226" s="184" t="n">
        <v>22800.1</v>
      </c>
      <c r="O226" s="186" t="s">
        <v>799</v>
      </c>
      <c r="P226" s="187" t="n">
        <v>45892</v>
      </c>
    </row>
    <row r="227" customFormat="false" ht="51" hidden="false" customHeight="true" outlineLevel="0" collapsed="false">
      <c r="A227" s="181" t="s">
        <v>800</v>
      </c>
      <c r="B227" s="182" t="n">
        <v>1125</v>
      </c>
      <c r="C227" s="183" t="n">
        <v>30488</v>
      </c>
      <c r="D227" s="181" t="s">
        <v>3325</v>
      </c>
      <c r="E227" s="181" t="s">
        <v>439</v>
      </c>
      <c r="F227" s="181" t="s">
        <v>440</v>
      </c>
      <c r="G227" s="181" t="s">
        <v>224</v>
      </c>
      <c r="H227" s="181" t="s">
        <v>607</v>
      </c>
      <c r="I227" s="181" t="s">
        <v>220</v>
      </c>
      <c r="J227" s="184" t="n">
        <v>41090</v>
      </c>
      <c r="K227" s="184" t="n">
        <v>16410</v>
      </c>
      <c r="L227" s="185" t="n">
        <v>13</v>
      </c>
      <c r="M227" s="184" t="n">
        <v>24680</v>
      </c>
      <c r="N227" s="184" t="n">
        <v>21471.6</v>
      </c>
      <c r="O227" s="186" t="s">
        <v>801</v>
      </c>
      <c r="P227" s="187" t="n">
        <v>45892</v>
      </c>
    </row>
    <row r="228" customFormat="false" ht="51" hidden="false" customHeight="true" outlineLevel="0" collapsed="false">
      <c r="A228" s="181" t="s">
        <v>802</v>
      </c>
      <c r="B228" s="182" t="n">
        <v>1128</v>
      </c>
      <c r="C228" s="183" t="n">
        <v>30490</v>
      </c>
      <c r="D228" s="181" t="s">
        <v>3325</v>
      </c>
      <c r="E228" s="181" t="s">
        <v>431</v>
      </c>
      <c r="F228" s="181" t="s">
        <v>432</v>
      </c>
      <c r="G228" s="181" t="s">
        <v>224</v>
      </c>
      <c r="H228" s="181" t="s">
        <v>607</v>
      </c>
      <c r="I228" s="181" t="s">
        <v>220</v>
      </c>
      <c r="J228" s="184" t="n">
        <v>41150</v>
      </c>
      <c r="K228" s="184" t="n">
        <v>16540</v>
      </c>
      <c r="L228" s="185" t="n">
        <v>8</v>
      </c>
      <c r="M228" s="184" t="n">
        <v>24610</v>
      </c>
      <c r="N228" s="184" t="n">
        <v>22641.2</v>
      </c>
      <c r="O228" s="186" t="s">
        <v>803</v>
      </c>
      <c r="P228" s="187" t="n">
        <v>45892</v>
      </c>
    </row>
    <row r="229" customFormat="false" ht="51" hidden="false" customHeight="true" outlineLevel="0" collapsed="false">
      <c r="A229" s="181" t="s">
        <v>804</v>
      </c>
      <c r="B229" s="182" t="n">
        <v>1129</v>
      </c>
      <c r="C229" s="183" t="n">
        <v>30492</v>
      </c>
      <c r="D229" s="181" t="s">
        <v>3325</v>
      </c>
      <c r="E229" s="181" t="s">
        <v>435</v>
      </c>
      <c r="F229" s="181" t="s">
        <v>436</v>
      </c>
      <c r="G229" s="181" t="s">
        <v>224</v>
      </c>
      <c r="H229" s="181" t="s">
        <v>607</v>
      </c>
      <c r="I229" s="181" t="s">
        <v>220</v>
      </c>
      <c r="J229" s="184" t="n">
        <v>40180</v>
      </c>
      <c r="K229" s="184" t="n">
        <v>16440</v>
      </c>
      <c r="L229" s="185" t="n">
        <v>12</v>
      </c>
      <c r="M229" s="184" t="n">
        <v>23740</v>
      </c>
      <c r="N229" s="184" t="n">
        <v>20891.2</v>
      </c>
      <c r="O229" s="186" t="s">
        <v>805</v>
      </c>
      <c r="P229" s="187" t="n">
        <v>45892</v>
      </c>
    </row>
    <row r="230" customFormat="false" ht="51" hidden="false" customHeight="true" outlineLevel="0" collapsed="false">
      <c r="A230" s="181" t="s">
        <v>806</v>
      </c>
      <c r="B230" s="182" t="n">
        <v>1130</v>
      </c>
      <c r="C230" s="183" t="n">
        <v>30495</v>
      </c>
      <c r="D230" s="181" t="s">
        <v>3325</v>
      </c>
      <c r="E230" s="181" t="s">
        <v>282</v>
      </c>
      <c r="F230" s="181" t="s">
        <v>283</v>
      </c>
      <c r="G230" s="181" t="s">
        <v>224</v>
      </c>
      <c r="H230" s="181" t="s">
        <v>607</v>
      </c>
      <c r="I230" s="181" t="s">
        <v>220</v>
      </c>
      <c r="J230" s="184" t="n">
        <v>38900</v>
      </c>
      <c r="K230" s="184" t="n">
        <v>15020</v>
      </c>
      <c r="L230" s="185" t="n">
        <v>20</v>
      </c>
      <c r="M230" s="184" t="n">
        <v>23880</v>
      </c>
      <c r="N230" s="184" t="n">
        <v>19104</v>
      </c>
      <c r="O230" s="186" t="s">
        <v>807</v>
      </c>
      <c r="P230" s="187" t="n">
        <v>45892</v>
      </c>
    </row>
    <row r="231" customFormat="false" ht="51" hidden="false" customHeight="true" outlineLevel="0" collapsed="false">
      <c r="A231" s="181" t="s">
        <v>808</v>
      </c>
      <c r="B231" s="182" t="n">
        <v>1131</v>
      </c>
      <c r="C231" s="183" t="n">
        <v>30497</v>
      </c>
      <c r="D231" s="181" t="s">
        <v>3325</v>
      </c>
      <c r="E231" s="181" t="s">
        <v>373</v>
      </c>
      <c r="F231" s="181" t="s">
        <v>374</v>
      </c>
      <c r="G231" s="181" t="s">
        <v>224</v>
      </c>
      <c r="H231" s="181" t="s">
        <v>607</v>
      </c>
      <c r="I231" s="181" t="s">
        <v>220</v>
      </c>
      <c r="J231" s="184" t="n">
        <v>37650</v>
      </c>
      <c r="K231" s="184" t="n">
        <v>14180</v>
      </c>
      <c r="L231" s="185" t="n">
        <v>28</v>
      </c>
      <c r="M231" s="184" t="n">
        <v>23470</v>
      </c>
      <c r="N231" s="184" t="n">
        <v>16898.4</v>
      </c>
      <c r="O231" s="186" t="s">
        <v>809</v>
      </c>
      <c r="P231" s="187" t="n">
        <v>45892</v>
      </c>
    </row>
    <row r="232" customFormat="false" ht="51" hidden="false" customHeight="true" outlineLevel="0" collapsed="false">
      <c r="A232" s="181" t="s">
        <v>810</v>
      </c>
      <c r="B232" s="182" t="n">
        <v>1132</v>
      </c>
      <c r="C232" s="183" t="n">
        <v>30499</v>
      </c>
      <c r="D232" s="181" t="s">
        <v>3325</v>
      </c>
      <c r="E232" s="181" t="s">
        <v>296</v>
      </c>
      <c r="F232" s="181" t="s">
        <v>297</v>
      </c>
      <c r="G232" s="181" t="s">
        <v>224</v>
      </c>
      <c r="H232" s="181" t="s">
        <v>607</v>
      </c>
      <c r="I232" s="181" t="s">
        <v>220</v>
      </c>
      <c r="J232" s="184" t="n">
        <v>37840</v>
      </c>
      <c r="K232" s="184" t="n">
        <v>15440</v>
      </c>
      <c r="L232" s="185" t="n">
        <v>18</v>
      </c>
      <c r="M232" s="184" t="n">
        <v>22400</v>
      </c>
      <c r="N232" s="184" t="n">
        <v>18368</v>
      </c>
      <c r="O232" s="186" t="s">
        <v>811</v>
      </c>
      <c r="P232" s="187" t="n">
        <v>45892</v>
      </c>
    </row>
    <row r="233" customFormat="false" ht="51" hidden="false" customHeight="true" outlineLevel="0" collapsed="false">
      <c r="A233" s="181" t="s">
        <v>812</v>
      </c>
      <c r="B233" s="182" t="n">
        <v>1133</v>
      </c>
      <c r="C233" s="183" t="n">
        <v>30501</v>
      </c>
      <c r="D233" s="181" t="s">
        <v>3325</v>
      </c>
      <c r="E233" s="181" t="s">
        <v>261</v>
      </c>
      <c r="F233" s="181" t="s">
        <v>262</v>
      </c>
      <c r="G233" s="181" t="s">
        <v>224</v>
      </c>
      <c r="H233" s="181" t="s">
        <v>607</v>
      </c>
      <c r="I233" s="181" t="s">
        <v>220</v>
      </c>
      <c r="J233" s="184" t="n">
        <v>38290</v>
      </c>
      <c r="K233" s="184" t="n">
        <v>15070</v>
      </c>
      <c r="L233" s="185" t="n">
        <v>20</v>
      </c>
      <c r="M233" s="184" t="n">
        <v>23220</v>
      </c>
      <c r="N233" s="184" t="n">
        <v>18576</v>
      </c>
      <c r="O233" s="186" t="s">
        <v>813</v>
      </c>
      <c r="P233" s="187" t="n">
        <v>45892</v>
      </c>
    </row>
    <row r="234" customFormat="false" ht="51" hidden="false" customHeight="true" outlineLevel="0" collapsed="false">
      <c r="A234" s="181" t="s">
        <v>814</v>
      </c>
      <c r="B234" s="182" t="n">
        <v>1134</v>
      </c>
      <c r="C234" s="183" t="n">
        <v>30503</v>
      </c>
      <c r="D234" s="181" t="s">
        <v>3325</v>
      </c>
      <c r="E234" s="181" t="s">
        <v>350</v>
      </c>
      <c r="F234" s="181" t="s">
        <v>351</v>
      </c>
      <c r="G234" s="181" t="s">
        <v>224</v>
      </c>
      <c r="H234" s="181" t="s">
        <v>607</v>
      </c>
      <c r="I234" s="181" t="s">
        <v>220</v>
      </c>
      <c r="J234" s="184" t="n">
        <v>43070</v>
      </c>
      <c r="K234" s="184" t="n">
        <v>14990</v>
      </c>
      <c r="L234" s="185" t="n">
        <v>19</v>
      </c>
      <c r="M234" s="184" t="n">
        <v>28080</v>
      </c>
      <c r="N234" s="184" t="n">
        <v>22744.8</v>
      </c>
      <c r="O234" s="186" t="s">
        <v>815</v>
      </c>
      <c r="P234" s="187" t="n">
        <v>45893</v>
      </c>
    </row>
    <row r="235" customFormat="false" ht="51" hidden="false" customHeight="true" outlineLevel="0" collapsed="false">
      <c r="A235" s="181" t="s">
        <v>816</v>
      </c>
      <c r="B235" s="182" t="n">
        <v>1135</v>
      </c>
      <c r="C235" s="183" t="n">
        <v>30505</v>
      </c>
      <c r="D235" s="181" t="s">
        <v>3325</v>
      </c>
      <c r="E235" s="181" t="s">
        <v>377</v>
      </c>
      <c r="F235" s="181" t="s">
        <v>378</v>
      </c>
      <c r="G235" s="181" t="s">
        <v>224</v>
      </c>
      <c r="H235" s="181" t="s">
        <v>607</v>
      </c>
      <c r="I235" s="181" t="s">
        <v>220</v>
      </c>
      <c r="J235" s="184" t="n">
        <v>42130</v>
      </c>
      <c r="K235" s="184" t="n">
        <v>15620</v>
      </c>
      <c r="L235" s="185" t="n">
        <v>18</v>
      </c>
      <c r="M235" s="184" t="n">
        <v>26510</v>
      </c>
      <c r="N235" s="184" t="n">
        <v>21738.2</v>
      </c>
      <c r="O235" s="186" t="s">
        <v>817</v>
      </c>
      <c r="P235" s="187" t="n">
        <v>45893</v>
      </c>
    </row>
    <row r="236" customFormat="false" ht="51" hidden="false" customHeight="true" outlineLevel="0" collapsed="false">
      <c r="A236" s="181" t="s">
        <v>818</v>
      </c>
      <c r="B236" s="182" t="n">
        <v>1136</v>
      </c>
      <c r="C236" s="183" t="n">
        <v>30507</v>
      </c>
      <c r="D236" s="181" t="s">
        <v>3325</v>
      </c>
      <c r="E236" s="181" t="s">
        <v>387</v>
      </c>
      <c r="F236" s="181" t="s">
        <v>388</v>
      </c>
      <c r="G236" s="181" t="s">
        <v>224</v>
      </c>
      <c r="H236" s="181" t="s">
        <v>607</v>
      </c>
      <c r="I236" s="181" t="s">
        <v>220</v>
      </c>
      <c r="J236" s="184" t="n">
        <v>41410</v>
      </c>
      <c r="K236" s="184" t="n">
        <v>14950</v>
      </c>
      <c r="L236" s="185" t="n">
        <v>18</v>
      </c>
      <c r="M236" s="184" t="n">
        <v>26460</v>
      </c>
      <c r="N236" s="184" t="n">
        <v>21697.2</v>
      </c>
      <c r="O236" s="186" t="s">
        <v>819</v>
      </c>
      <c r="P236" s="187" t="n">
        <v>45893</v>
      </c>
    </row>
    <row r="237" customFormat="false" ht="51" hidden="false" customHeight="true" outlineLevel="0" collapsed="false">
      <c r="A237" s="181" t="s">
        <v>820</v>
      </c>
      <c r="B237" s="182" t="n">
        <v>1137</v>
      </c>
      <c r="C237" s="183" t="n">
        <v>30511</v>
      </c>
      <c r="D237" s="181" t="s">
        <v>3325</v>
      </c>
      <c r="E237" s="181" t="s">
        <v>537</v>
      </c>
      <c r="F237" s="181" t="s">
        <v>538</v>
      </c>
      <c r="G237" s="181" t="s">
        <v>224</v>
      </c>
      <c r="H237" s="181" t="s">
        <v>607</v>
      </c>
      <c r="I237" s="181" t="s">
        <v>220</v>
      </c>
      <c r="J237" s="184" t="n">
        <v>34530</v>
      </c>
      <c r="K237" s="184" t="n">
        <v>13970</v>
      </c>
      <c r="L237" s="185" t="n">
        <v>16</v>
      </c>
      <c r="M237" s="184" t="n">
        <v>20560</v>
      </c>
      <c r="N237" s="184" t="n">
        <v>17270.4</v>
      </c>
      <c r="O237" s="186" t="s">
        <v>821</v>
      </c>
      <c r="P237" s="187" t="n">
        <v>45893</v>
      </c>
    </row>
    <row r="238" customFormat="false" ht="51" hidden="false" customHeight="true" outlineLevel="0" collapsed="false">
      <c r="A238" s="181" t="s">
        <v>822</v>
      </c>
      <c r="B238" s="182" t="n">
        <v>1138</v>
      </c>
      <c r="C238" s="183" t="n">
        <v>30509</v>
      </c>
      <c r="D238" s="181" t="s">
        <v>3325</v>
      </c>
      <c r="E238" s="181" t="s">
        <v>272</v>
      </c>
      <c r="F238" s="181" t="s">
        <v>273</v>
      </c>
      <c r="G238" s="181" t="s">
        <v>224</v>
      </c>
      <c r="H238" s="181" t="s">
        <v>607</v>
      </c>
      <c r="I238" s="181" t="s">
        <v>220</v>
      </c>
      <c r="J238" s="184" t="n">
        <v>38160</v>
      </c>
      <c r="K238" s="184" t="n">
        <v>15620</v>
      </c>
      <c r="L238" s="185" t="n">
        <v>49</v>
      </c>
      <c r="M238" s="184" t="n">
        <v>22540</v>
      </c>
      <c r="N238" s="184" t="n">
        <v>11495.4</v>
      </c>
      <c r="O238" s="186" t="s">
        <v>823</v>
      </c>
      <c r="P238" s="187" t="n">
        <v>45893</v>
      </c>
    </row>
    <row r="239" customFormat="false" ht="51" hidden="false" customHeight="true" outlineLevel="0" collapsed="false">
      <c r="A239" s="181" t="s">
        <v>824</v>
      </c>
      <c r="B239" s="182" t="n">
        <v>1139</v>
      </c>
      <c r="C239" s="183" t="n">
        <v>30515</v>
      </c>
      <c r="D239" s="181" t="s">
        <v>3325</v>
      </c>
      <c r="E239" s="181" t="s">
        <v>533</v>
      </c>
      <c r="F239" s="181" t="s">
        <v>534</v>
      </c>
      <c r="G239" s="181" t="s">
        <v>224</v>
      </c>
      <c r="H239" s="181" t="s">
        <v>607</v>
      </c>
      <c r="I239" s="181" t="s">
        <v>220</v>
      </c>
      <c r="J239" s="184" t="n">
        <v>40750</v>
      </c>
      <c r="K239" s="184" t="n">
        <v>14690</v>
      </c>
      <c r="L239" s="185" t="n">
        <v>26</v>
      </c>
      <c r="M239" s="184" t="n">
        <v>26060</v>
      </c>
      <c r="N239" s="184" t="n">
        <v>19284.4</v>
      </c>
      <c r="O239" s="186" t="s">
        <v>825</v>
      </c>
      <c r="P239" s="187" t="n">
        <v>45893</v>
      </c>
    </row>
    <row r="240" customFormat="false" ht="51" hidden="false" customHeight="true" outlineLevel="0" collapsed="false">
      <c r="A240" s="181" t="s">
        <v>826</v>
      </c>
      <c r="B240" s="182" t="n">
        <v>1140</v>
      </c>
      <c r="C240" s="183" t="n">
        <v>30517</v>
      </c>
      <c r="D240" s="181" t="s">
        <v>3325</v>
      </c>
      <c r="E240" s="181" t="s">
        <v>541</v>
      </c>
      <c r="F240" s="181" t="s">
        <v>542</v>
      </c>
      <c r="G240" s="181" t="s">
        <v>224</v>
      </c>
      <c r="H240" s="181" t="s">
        <v>607</v>
      </c>
      <c r="I240" s="181" t="s">
        <v>220</v>
      </c>
      <c r="J240" s="184" t="n">
        <v>38680</v>
      </c>
      <c r="K240" s="184" t="n">
        <v>15030</v>
      </c>
      <c r="L240" s="185" t="n">
        <v>27</v>
      </c>
      <c r="M240" s="184" t="n">
        <v>23650</v>
      </c>
      <c r="N240" s="184" t="n">
        <v>17264.5</v>
      </c>
      <c r="O240" s="186" t="s">
        <v>827</v>
      </c>
      <c r="P240" s="187" t="n">
        <v>45893</v>
      </c>
    </row>
    <row r="241" customFormat="false" ht="51" hidden="false" customHeight="true" outlineLevel="0" collapsed="false">
      <c r="A241" s="181" t="s">
        <v>828</v>
      </c>
      <c r="B241" s="182" t="n">
        <v>1141</v>
      </c>
      <c r="C241" s="183" t="n">
        <v>30513</v>
      </c>
      <c r="D241" s="181" t="s">
        <v>3325</v>
      </c>
      <c r="E241" s="181" t="s">
        <v>399</v>
      </c>
      <c r="F241" s="181" t="s">
        <v>400</v>
      </c>
      <c r="G241" s="181" t="s">
        <v>224</v>
      </c>
      <c r="H241" s="181" t="s">
        <v>607</v>
      </c>
      <c r="I241" s="181" t="s">
        <v>220</v>
      </c>
      <c r="J241" s="184" t="n">
        <v>46570</v>
      </c>
      <c r="K241" s="184" t="n">
        <v>19430</v>
      </c>
      <c r="L241" s="185" t="n">
        <v>32</v>
      </c>
      <c r="M241" s="184" t="n">
        <v>27140</v>
      </c>
      <c r="N241" s="184" t="n">
        <v>18455.2</v>
      </c>
      <c r="O241" s="186" t="s">
        <v>829</v>
      </c>
      <c r="P241" s="187" t="n">
        <v>45893</v>
      </c>
    </row>
    <row r="242" customFormat="false" ht="51" hidden="false" customHeight="true" outlineLevel="0" collapsed="false">
      <c r="A242" s="181" t="s">
        <v>830</v>
      </c>
      <c r="B242" s="182" t="n">
        <v>1153</v>
      </c>
      <c r="C242" s="183" t="n">
        <v>58126</v>
      </c>
      <c r="D242" s="181" t="s">
        <v>3326</v>
      </c>
      <c r="E242" s="181" t="s">
        <v>549</v>
      </c>
      <c r="F242" s="181" t="s">
        <v>550</v>
      </c>
      <c r="G242" s="181" t="s">
        <v>227</v>
      </c>
      <c r="H242" s="181" t="s">
        <v>832</v>
      </c>
      <c r="I242" s="181" t="s">
        <v>220</v>
      </c>
      <c r="J242" s="184" t="n">
        <v>42180</v>
      </c>
      <c r="K242" s="184" t="n">
        <v>15890</v>
      </c>
      <c r="L242" s="185" t="n">
        <v>13</v>
      </c>
      <c r="M242" s="184" t="n">
        <v>26290</v>
      </c>
      <c r="N242" s="184" t="n">
        <v>22872.3</v>
      </c>
      <c r="O242" s="186" t="s">
        <v>833</v>
      </c>
      <c r="P242" s="187" t="n">
        <v>45893</v>
      </c>
    </row>
    <row r="243" customFormat="false" ht="51" hidden="false" customHeight="true" outlineLevel="0" collapsed="false">
      <c r="A243" s="181" t="s">
        <v>834</v>
      </c>
      <c r="B243" s="182" t="n">
        <v>1154</v>
      </c>
      <c r="C243" s="183" t="n">
        <v>58128</v>
      </c>
      <c r="D243" s="181" t="s">
        <v>3326</v>
      </c>
      <c r="E243" s="181" t="s">
        <v>545</v>
      </c>
      <c r="F243" s="181" t="s">
        <v>546</v>
      </c>
      <c r="G243" s="181" t="s">
        <v>227</v>
      </c>
      <c r="H243" s="181" t="s">
        <v>520</v>
      </c>
      <c r="I243" s="181" t="s">
        <v>220</v>
      </c>
      <c r="J243" s="184" t="n">
        <v>41280</v>
      </c>
      <c r="K243" s="184" t="n">
        <v>16080</v>
      </c>
      <c r="L243" s="185" t="n">
        <v>14</v>
      </c>
      <c r="M243" s="184" t="n">
        <v>25200</v>
      </c>
      <c r="N243" s="184" t="n">
        <v>21672</v>
      </c>
      <c r="O243" s="186" t="s">
        <v>835</v>
      </c>
      <c r="P243" s="187" t="n">
        <v>45893</v>
      </c>
    </row>
    <row r="244" customFormat="false" ht="51" hidden="false" customHeight="true" outlineLevel="0" collapsed="false">
      <c r="A244" s="181" t="s">
        <v>836</v>
      </c>
      <c r="B244" s="182" t="n">
        <v>1155</v>
      </c>
      <c r="C244" s="183" t="n">
        <v>58106</v>
      </c>
      <c r="D244" s="181" t="s">
        <v>3326</v>
      </c>
      <c r="E244" s="181" t="s">
        <v>277</v>
      </c>
      <c r="F244" s="181" t="s">
        <v>278</v>
      </c>
      <c r="G244" s="181" t="s">
        <v>228</v>
      </c>
      <c r="H244" s="181" t="s">
        <v>832</v>
      </c>
      <c r="I244" s="181" t="s">
        <v>220</v>
      </c>
      <c r="J244" s="184" t="n">
        <v>41600</v>
      </c>
      <c r="K244" s="184" t="n">
        <v>15190</v>
      </c>
      <c r="L244" s="185" t="n">
        <v>21</v>
      </c>
      <c r="M244" s="184" t="n">
        <v>26410</v>
      </c>
      <c r="N244" s="184" t="n">
        <v>20863.9</v>
      </c>
      <c r="O244" s="186" t="s">
        <v>837</v>
      </c>
      <c r="P244" s="187" t="n">
        <v>45893</v>
      </c>
    </row>
    <row r="245" customFormat="false" ht="51" hidden="false" customHeight="true" outlineLevel="0" collapsed="false">
      <c r="A245" s="181" t="s">
        <v>838</v>
      </c>
      <c r="B245" s="182" t="n">
        <v>1156</v>
      </c>
      <c r="C245" s="183" t="n">
        <v>58110</v>
      </c>
      <c r="D245" s="181" t="s">
        <v>3326</v>
      </c>
      <c r="E245" s="181" t="s">
        <v>354</v>
      </c>
      <c r="F245" s="181" t="s">
        <v>355</v>
      </c>
      <c r="G245" s="181" t="s">
        <v>228</v>
      </c>
      <c r="H245" s="181" t="s">
        <v>832</v>
      </c>
      <c r="I245" s="181" t="s">
        <v>220</v>
      </c>
      <c r="J245" s="184" t="n">
        <v>38150</v>
      </c>
      <c r="K245" s="184" t="n">
        <v>14700</v>
      </c>
      <c r="L245" s="185" t="n">
        <v>16</v>
      </c>
      <c r="M245" s="184" t="n">
        <v>23450</v>
      </c>
      <c r="N245" s="184" t="n">
        <v>19698</v>
      </c>
      <c r="O245" s="186" t="s">
        <v>839</v>
      </c>
      <c r="P245" s="187" t="n">
        <v>45893</v>
      </c>
    </row>
    <row r="246" customFormat="false" ht="51" hidden="false" customHeight="true" outlineLevel="0" collapsed="false">
      <c r="A246" s="181" t="s">
        <v>840</v>
      </c>
      <c r="B246" s="182" t="n">
        <v>1157</v>
      </c>
      <c r="C246" s="183" t="n">
        <v>58108</v>
      </c>
      <c r="D246" s="181" t="s">
        <v>3326</v>
      </c>
      <c r="E246" s="181" t="s">
        <v>359</v>
      </c>
      <c r="F246" s="181" t="s">
        <v>360</v>
      </c>
      <c r="G246" s="181" t="s">
        <v>228</v>
      </c>
      <c r="H246" s="181" t="s">
        <v>832</v>
      </c>
      <c r="I246" s="181" t="s">
        <v>220</v>
      </c>
      <c r="J246" s="184" t="n">
        <v>37570</v>
      </c>
      <c r="K246" s="184" t="n">
        <v>14870</v>
      </c>
      <c r="L246" s="185" t="n">
        <v>18</v>
      </c>
      <c r="M246" s="184" t="n">
        <v>22700</v>
      </c>
      <c r="N246" s="184" t="n">
        <v>18614</v>
      </c>
      <c r="O246" s="186" t="s">
        <v>841</v>
      </c>
      <c r="P246" s="187" t="n">
        <v>45893</v>
      </c>
    </row>
    <row r="247" customFormat="false" ht="51" hidden="false" customHeight="true" outlineLevel="0" collapsed="false">
      <c r="A247" s="181" t="s">
        <v>842</v>
      </c>
      <c r="B247" s="182" t="n">
        <v>1158</v>
      </c>
      <c r="C247" s="183" t="n">
        <v>58112</v>
      </c>
      <c r="D247" s="181" t="s">
        <v>3326</v>
      </c>
      <c r="E247" s="181" t="s">
        <v>409</v>
      </c>
      <c r="F247" s="181" t="s">
        <v>410</v>
      </c>
      <c r="G247" s="181" t="s">
        <v>228</v>
      </c>
      <c r="H247" s="181" t="s">
        <v>832</v>
      </c>
      <c r="I247" s="181" t="s">
        <v>220</v>
      </c>
      <c r="J247" s="184" t="n">
        <v>46580</v>
      </c>
      <c r="K247" s="184" t="n">
        <v>24100</v>
      </c>
      <c r="L247" s="185" t="n">
        <v>26</v>
      </c>
      <c r="M247" s="184" t="n">
        <v>22480</v>
      </c>
      <c r="N247" s="184" t="n">
        <v>16635.2</v>
      </c>
      <c r="O247" s="186" t="s">
        <v>843</v>
      </c>
      <c r="P247" s="187" t="n">
        <v>45893</v>
      </c>
    </row>
    <row r="248" customFormat="false" ht="51" hidden="false" customHeight="true" outlineLevel="0" collapsed="false">
      <c r="A248" s="181" t="s">
        <v>844</v>
      </c>
      <c r="B248" s="182" t="n">
        <v>1159</v>
      </c>
      <c r="C248" s="183" t="n">
        <v>58114</v>
      </c>
      <c r="D248" s="181" t="s">
        <v>3326</v>
      </c>
      <c r="E248" s="181" t="s">
        <v>413</v>
      </c>
      <c r="F248" s="181" t="s">
        <v>414</v>
      </c>
      <c r="G248" s="181" t="s">
        <v>228</v>
      </c>
      <c r="H248" s="181" t="s">
        <v>832</v>
      </c>
      <c r="I248" s="181" t="s">
        <v>220</v>
      </c>
      <c r="J248" s="184" t="n">
        <v>42310</v>
      </c>
      <c r="K248" s="184" t="n">
        <v>15520</v>
      </c>
      <c r="L248" s="185" t="n">
        <v>34</v>
      </c>
      <c r="M248" s="184" t="n">
        <v>26790</v>
      </c>
      <c r="N248" s="184" t="n">
        <v>17681.4</v>
      </c>
      <c r="O248" s="186" t="s">
        <v>845</v>
      </c>
      <c r="P248" s="187" t="n">
        <v>45893</v>
      </c>
    </row>
    <row r="249" customFormat="false" ht="51" hidden="false" customHeight="true" outlineLevel="0" collapsed="false">
      <c r="A249" s="181" t="s">
        <v>846</v>
      </c>
      <c r="B249" s="182" t="n">
        <v>1160</v>
      </c>
      <c r="C249" s="183" t="n">
        <v>58116</v>
      </c>
      <c r="D249" s="181" t="s">
        <v>3326</v>
      </c>
      <c r="E249" s="181" t="s">
        <v>336</v>
      </c>
      <c r="F249" s="181" t="s">
        <v>337</v>
      </c>
      <c r="G249" s="181" t="s">
        <v>228</v>
      </c>
      <c r="H249" s="181" t="s">
        <v>832</v>
      </c>
      <c r="I249" s="181" t="s">
        <v>220</v>
      </c>
      <c r="J249" s="184" t="n">
        <v>38570</v>
      </c>
      <c r="K249" s="184" t="n">
        <v>14470</v>
      </c>
      <c r="L249" s="185" t="n">
        <v>24</v>
      </c>
      <c r="M249" s="184" t="n">
        <v>24100</v>
      </c>
      <c r="N249" s="184" t="n">
        <v>18316</v>
      </c>
      <c r="O249" s="186" t="s">
        <v>847</v>
      </c>
      <c r="P249" s="187" t="n">
        <v>45894</v>
      </c>
    </row>
    <row r="250" customFormat="false" ht="51" hidden="false" customHeight="true" outlineLevel="0" collapsed="false">
      <c r="A250" s="181" t="s">
        <v>848</v>
      </c>
      <c r="B250" s="182" t="n">
        <v>1161</v>
      </c>
      <c r="C250" s="183" t="n">
        <v>58118</v>
      </c>
      <c r="D250" s="181" t="s">
        <v>3326</v>
      </c>
      <c r="E250" s="181" t="s">
        <v>340</v>
      </c>
      <c r="F250" s="181" t="s">
        <v>341</v>
      </c>
      <c r="G250" s="181" t="s">
        <v>228</v>
      </c>
      <c r="H250" s="181" t="s">
        <v>832</v>
      </c>
      <c r="I250" s="181" t="s">
        <v>220</v>
      </c>
      <c r="J250" s="184" t="n">
        <v>39320</v>
      </c>
      <c r="K250" s="184" t="n">
        <v>15070</v>
      </c>
      <c r="L250" s="185" t="n">
        <v>26</v>
      </c>
      <c r="M250" s="184" t="n">
        <v>24250</v>
      </c>
      <c r="N250" s="184" t="n">
        <v>17945</v>
      </c>
      <c r="O250" s="186" t="s">
        <v>849</v>
      </c>
      <c r="P250" s="187" t="n">
        <v>45894</v>
      </c>
    </row>
    <row r="251" customFormat="false" ht="51" hidden="false" customHeight="true" outlineLevel="0" collapsed="false">
      <c r="A251" s="181" t="s">
        <v>850</v>
      </c>
      <c r="B251" s="182" t="n">
        <v>1162</v>
      </c>
      <c r="C251" s="183" t="n">
        <v>58120</v>
      </c>
      <c r="D251" s="181" t="s">
        <v>3326</v>
      </c>
      <c r="E251" s="181" t="s">
        <v>439</v>
      </c>
      <c r="F251" s="181" t="s">
        <v>440</v>
      </c>
      <c r="G251" s="181" t="s">
        <v>228</v>
      </c>
      <c r="H251" s="181" t="s">
        <v>832</v>
      </c>
      <c r="I251" s="181" t="s">
        <v>220</v>
      </c>
      <c r="J251" s="184" t="n">
        <v>40430</v>
      </c>
      <c r="K251" s="184" t="n">
        <v>16390</v>
      </c>
      <c r="L251" s="185" t="n">
        <v>29</v>
      </c>
      <c r="M251" s="184" t="n">
        <v>24040</v>
      </c>
      <c r="N251" s="184" t="n">
        <v>17068.4</v>
      </c>
      <c r="O251" s="186" t="s">
        <v>851</v>
      </c>
      <c r="P251" s="187" t="n">
        <v>45894</v>
      </c>
    </row>
    <row r="252" customFormat="false" ht="51" hidden="false" customHeight="true" outlineLevel="0" collapsed="false">
      <c r="A252" s="181" t="s">
        <v>852</v>
      </c>
      <c r="B252" s="182" t="n">
        <v>1163</v>
      </c>
      <c r="C252" s="183" t="n">
        <v>58122</v>
      </c>
      <c r="D252" s="181" t="s">
        <v>3326</v>
      </c>
      <c r="E252" s="181" t="s">
        <v>431</v>
      </c>
      <c r="F252" s="181" t="s">
        <v>432</v>
      </c>
      <c r="G252" s="181" t="s">
        <v>228</v>
      </c>
      <c r="H252" s="181" t="s">
        <v>832</v>
      </c>
      <c r="I252" s="181" t="s">
        <v>220</v>
      </c>
      <c r="J252" s="184" t="n">
        <v>38750</v>
      </c>
      <c r="K252" s="184" t="n">
        <v>16580</v>
      </c>
      <c r="L252" s="185" t="n">
        <v>33</v>
      </c>
      <c r="M252" s="184" t="n">
        <v>22170</v>
      </c>
      <c r="N252" s="184" t="n">
        <v>14853.9</v>
      </c>
      <c r="O252" s="186" t="s">
        <v>853</v>
      </c>
      <c r="P252" s="187" t="n">
        <v>45894</v>
      </c>
    </row>
    <row r="253" customFormat="false" ht="51" hidden="false" customHeight="true" outlineLevel="0" collapsed="false">
      <c r="A253" s="181" t="s">
        <v>854</v>
      </c>
      <c r="B253" s="182" t="n">
        <v>1164</v>
      </c>
      <c r="C253" s="183" t="n">
        <v>58124</v>
      </c>
      <c r="D253" s="181" t="s">
        <v>3326</v>
      </c>
      <c r="E253" s="181" t="s">
        <v>435</v>
      </c>
      <c r="F253" s="181" t="s">
        <v>436</v>
      </c>
      <c r="G253" s="181" t="s">
        <v>228</v>
      </c>
      <c r="H253" s="181" t="s">
        <v>832</v>
      </c>
      <c r="I253" s="181" t="s">
        <v>220</v>
      </c>
      <c r="J253" s="184" t="n">
        <v>39920</v>
      </c>
      <c r="K253" s="184" t="n">
        <v>16380</v>
      </c>
      <c r="L253" s="185" t="n">
        <v>36</v>
      </c>
      <c r="M253" s="184" t="n">
        <v>23540</v>
      </c>
      <c r="N253" s="184" t="n">
        <v>15065.6</v>
      </c>
      <c r="O253" s="186" t="s">
        <v>855</v>
      </c>
      <c r="P253" s="187" t="n">
        <v>45894</v>
      </c>
    </row>
    <row r="254" customFormat="false" ht="51" hidden="false" customHeight="true" outlineLevel="0" collapsed="false">
      <c r="A254" s="181" t="s">
        <v>856</v>
      </c>
      <c r="B254" s="182" t="n">
        <v>1165</v>
      </c>
      <c r="C254" s="183" t="n">
        <v>58154</v>
      </c>
      <c r="D254" s="181" t="s">
        <v>3326</v>
      </c>
      <c r="E254" s="181" t="s">
        <v>308</v>
      </c>
      <c r="F254" s="181" t="s">
        <v>309</v>
      </c>
      <c r="G254" s="181" t="s">
        <v>228</v>
      </c>
      <c r="H254" s="181" t="s">
        <v>832</v>
      </c>
      <c r="I254" s="181" t="s">
        <v>220</v>
      </c>
      <c r="J254" s="184" t="n">
        <v>45140</v>
      </c>
      <c r="K254" s="184" t="n">
        <v>24130</v>
      </c>
      <c r="L254" s="185" t="n">
        <v>40</v>
      </c>
      <c r="M254" s="184" t="n">
        <v>21010</v>
      </c>
      <c r="N254" s="184" t="n">
        <v>12606</v>
      </c>
      <c r="O254" s="186" t="s">
        <v>857</v>
      </c>
      <c r="P254" s="187" t="n">
        <v>45894</v>
      </c>
    </row>
    <row r="255" customFormat="false" ht="51" hidden="false" customHeight="true" outlineLevel="0" collapsed="false">
      <c r="A255" s="181" t="s">
        <v>858</v>
      </c>
      <c r="B255" s="182" t="n">
        <v>1174</v>
      </c>
      <c r="C255" s="183" t="n">
        <v>58156</v>
      </c>
      <c r="D255" s="181" t="s">
        <v>3326</v>
      </c>
      <c r="E255" s="181" t="s">
        <v>377</v>
      </c>
      <c r="F255" s="181" t="s">
        <v>378</v>
      </c>
      <c r="G255" s="181" t="s">
        <v>228</v>
      </c>
      <c r="H255" s="181" t="s">
        <v>832</v>
      </c>
      <c r="I255" s="181" t="s">
        <v>220</v>
      </c>
      <c r="J255" s="184" t="n">
        <v>35480</v>
      </c>
      <c r="K255" s="184" t="n">
        <v>15610</v>
      </c>
      <c r="L255" s="185" t="n">
        <v>20</v>
      </c>
      <c r="M255" s="184" t="n">
        <v>19870</v>
      </c>
      <c r="N255" s="184" t="n">
        <v>15896</v>
      </c>
      <c r="O255" s="186" t="s">
        <v>859</v>
      </c>
      <c r="P255" s="187" t="n">
        <v>45894</v>
      </c>
    </row>
    <row r="256" customFormat="false" ht="51" hidden="false" customHeight="true" outlineLevel="0" collapsed="false">
      <c r="A256" s="181" t="s">
        <v>860</v>
      </c>
      <c r="B256" s="182" t="n">
        <v>1175</v>
      </c>
      <c r="C256" s="183" t="n">
        <v>59158</v>
      </c>
      <c r="D256" s="181" t="s">
        <v>3326</v>
      </c>
      <c r="E256" s="181" t="s">
        <v>288</v>
      </c>
      <c r="F256" s="181" t="s">
        <v>289</v>
      </c>
      <c r="G256" s="181" t="s">
        <v>228</v>
      </c>
      <c r="H256" s="181" t="s">
        <v>832</v>
      </c>
      <c r="I256" s="181" t="s">
        <v>220</v>
      </c>
      <c r="J256" s="184" t="n">
        <v>36080</v>
      </c>
      <c r="K256" s="184" t="n">
        <v>14590</v>
      </c>
      <c r="L256" s="185" t="n">
        <v>25</v>
      </c>
      <c r="M256" s="184" t="n">
        <v>21490</v>
      </c>
      <c r="N256" s="184" t="n">
        <v>16117.5</v>
      </c>
      <c r="O256" s="186" t="s">
        <v>861</v>
      </c>
      <c r="P256" s="187" t="n">
        <v>45894</v>
      </c>
    </row>
    <row r="257" customFormat="false" ht="51" hidden="false" customHeight="true" outlineLevel="0" collapsed="false">
      <c r="A257" s="181" t="s">
        <v>862</v>
      </c>
      <c r="B257" s="182" t="n">
        <v>1176</v>
      </c>
      <c r="C257" s="183" t="n">
        <v>58162</v>
      </c>
      <c r="D257" s="181" t="s">
        <v>3326</v>
      </c>
      <c r="E257" s="181" t="s">
        <v>373</v>
      </c>
      <c r="F257" s="181" t="s">
        <v>374</v>
      </c>
      <c r="G257" s="181" t="s">
        <v>228</v>
      </c>
      <c r="H257" s="181" t="s">
        <v>832</v>
      </c>
      <c r="I257" s="181" t="s">
        <v>220</v>
      </c>
      <c r="J257" s="184" t="n">
        <v>39500</v>
      </c>
      <c r="K257" s="184" t="n">
        <v>14430</v>
      </c>
      <c r="L257" s="185" t="n">
        <v>27</v>
      </c>
      <c r="M257" s="184" t="n">
        <v>25070</v>
      </c>
      <c r="N257" s="184" t="n">
        <v>18301.1</v>
      </c>
      <c r="O257" s="186" t="s">
        <v>863</v>
      </c>
      <c r="P257" s="187" t="n">
        <v>45894</v>
      </c>
    </row>
    <row r="258" customFormat="false" ht="51" hidden="false" customHeight="true" outlineLevel="0" collapsed="false">
      <c r="A258" s="181" t="s">
        <v>864</v>
      </c>
      <c r="B258" s="182" t="n">
        <v>1177</v>
      </c>
      <c r="C258" s="183" t="n">
        <v>58167</v>
      </c>
      <c r="D258" s="181" t="s">
        <v>3326</v>
      </c>
      <c r="E258" s="181" t="s">
        <v>387</v>
      </c>
      <c r="F258" s="181" t="s">
        <v>388</v>
      </c>
      <c r="G258" s="181" t="s">
        <v>228</v>
      </c>
      <c r="H258" s="181" t="s">
        <v>832</v>
      </c>
      <c r="I258" s="181" t="s">
        <v>220</v>
      </c>
      <c r="J258" s="184" t="n">
        <v>39030</v>
      </c>
      <c r="K258" s="184" t="n">
        <v>14970</v>
      </c>
      <c r="L258" s="185" t="n">
        <v>26</v>
      </c>
      <c r="M258" s="184" t="n">
        <v>24060</v>
      </c>
      <c r="N258" s="184" t="n">
        <v>17804.4</v>
      </c>
      <c r="O258" s="186" t="s">
        <v>865</v>
      </c>
      <c r="P258" s="187" t="n">
        <v>45894</v>
      </c>
    </row>
    <row r="259" customFormat="false" ht="51" hidden="false" customHeight="true" outlineLevel="0" collapsed="false">
      <c r="A259" s="181" t="s">
        <v>866</v>
      </c>
      <c r="B259" s="182" t="n">
        <v>1178</v>
      </c>
      <c r="C259" s="183" t="n">
        <v>58171</v>
      </c>
      <c r="D259" s="181" t="s">
        <v>3326</v>
      </c>
      <c r="E259" s="181" t="s">
        <v>300</v>
      </c>
      <c r="F259" s="181" t="s">
        <v>301</v>
      </c>
      <c r="G259" s="181" t="s">
        <v>228</v>
      </c>
      <c r="H259" s="181" t="s">
        <v>832</v>
      </c>
      <c r="I259" s="181" t="s">
        <v>220</v>
      </c>
      <c r="J259" s="184" t="n">
        <v>46750</v>
      </c>
      <c r="K259" s="184" t="n">
        <v>20970</v>
      </c>
      <c r="L259" s="185" t="n">
        <v>21</v>
      </c>
      <c r="M259" s="184" t="n">
        <v>25780</v>
      </c>
      <c r="N259" s="184" t="n">
        <v>20366.2</v>
      </c>
      <c r="O259" s="186" t="s">
        <v>867</v>
      </c>
      <c r="P259" s="187" t="n">
        <v>45894</v>
      </c>
    </row>
    <row r="260" customFormat="false" ht="51" hidden="false" customHeight="true" outlineLevel="0" collapsed="false">
      <c r="A260" s="181" t="s">
        <v>868</v>
      </c>
      <c r="B260" s="182" t="n">
        <v>1179</v>
      </c>
      <c r="C260" s="183" t="n">
        <v>58180</v>
      </c>
      <c r="D260" s="181" t="s">
        <v>3326</v>
      </c>
      <c r="E260" s="181" t="s">
        <v>541</v>
      </c>
      <c r="F260" s="181" t="s">
        <v>542</v>
      </c>
      <c r="G260" s="181" t="s">
        <v>228</v>
      </c>
      <c r="H260" s="181" t="s">
        <v>832</v>
      </c>
      <c r="I260" s="181" t="s">
        <v>220</v>
      </c>
      <c r="J260" s="184" t="n">
        <v>38020</v>
      </c>
      <c r="K260" s="184" t="n">
        <v>15000</v>
      </c>
      <c r="L260" s="185" t="n">
        <v>18</v>
      </c>
      <c r="M260" s="184" t="n">
        <v>23020</v>
      </c>
      <c r="N260" s="184" t="n">
        <v>18876.4</v>
      </c>
      <c r="O260" s="186" t="s">
        <v>869</v>
      </c>
      <c r="P260" s="187" t="n">
        <v>45895</v>
      </c>
    </row>
    <row r="261" customFormat="false" ht="51" hidden="false" customHeight="true" outlineLevel="0" collapsed="false">
      <c r="A261" s="181" t="s">
        <v>870</v>
      </c>
      <c r="B261" s="182" t="n">
        <v>1180</v>
      </c>
      <c r="C261" s="183" t="n">
        <v>58186</v>
      </c>
      <c r="D261" s="181" t="s">
        <v>3326</v>
      </c>
      <c r="E261" s="181" t="s">
        <v>332</v>
      </c>
      <c r="F261" s="181" t="s">
        <v>333</v>
      </c>
      <c r="G261" s="181" t="s">
        <v>228</v>
      </c>
      <c r="H261" s="181" t="s">
        <v>832</v>
      </c>
      <c r="I261" s="181" t="s">
        <v>220</v>
      </c>
      <c r="J261" s="184" t="n">
        <v>35880</v>
      </c>
      <c r="K261" s="184" t="n">
        <v>14730</v>
      </c>
      <c r="L261" s="185" t="n">
        <v>15</v>
      </c>
      <c r="M261" s="184" t="n">
        <v>21150</v>
      </c>
      <c r="N261" s="184" t="n">
        <v>17977.5</v>
      </c>
      <c r="O261" s="186" t="s">
        <v>871</v>
      </c>
      <c r="P261" s="187" t="n">
        <v>45895</v>
      </c>
    </row>
    <row r="262" customFormat="false" ht="51" hidden="false" customHeight="true" outlineLevel="0" collapsed="false">
      <c r="A262" s="181" t="s">
        <v>872</v>
      </c>
      <c r="B262" s="182" t="n">
        <v>1181</v>
      </c>
      <c r="C262" s="183" t="n">
        <v>58188</v>
      </c>
      <c r="D262" s="181" t="s">
        <v>3326</v>
      </c>
      <c r="E262" s="181" t="s">
        <v>533</v>
      </c>
      <c r="F262" s="181" t="s">
        <v>534</v>
      </c>
      <c r="G262" s="181" t="s">
        <v>228</v>
      </c>
      <c r="H262" s="181" t="s">
        <v>832</v>
      </c>
      <c r="I262" s="181" t="s">
        <v>220</v>
      </c>
      <c r="J262" s="184" t="n">
        <v>39250</v>
      </c>
      <c r="K262" s="184" t="n">
        <v>14660</v>
      </c>
      <c r="L262" s="185" t="n">
        <v>12</v>
      </c>
      <c r="M262" s="184" t="n">
        <v>24590</v>
      </c>
      <c r="N262" s="184" t="n">
        <v>21639.2</v>
      </c>
      <c r="O262" s="186" t="s">
        <v>873</v>
      </c>
      <c r="P262" s="187" t="n">
        <v>45895</v>
      </c>
    </row>
    <row r="263" customFormat="false" ht="51" hidden="false" customHeight="true" outlineLevel="0" collapsed="false">
      <c r="A263" s="181" t="s">
        <v>874</v>
      </c>
      <c r="B263" s="182" t="n">
        <v>1182</v>
      </c>
      <c r="C263" s="183" t="n">
        <v>58182</v>
      </c>
      <c r="D263" s="181" t="s">
        <v>3326</v>
      </c>
      <c r="E263" s="181" t="s">
        <v>354</v>
      </c>
      <c r="F263" s="181" t="s">
        <v>355</v>
      </c>
      <c r="G263" s="181" t="s">
        <v>228</v>
      </c>
      <c r="H263" s="181" t="s">
        <v>832</v>
      </c>
      <c r="I263" s="181" t="s">
        <v>220</v>
      </c>
      <c r="J263" s="184" t="n">
        <v>37970</v>
      </c>
      <c r="K263" s="184" t="n">
        <v>14700</v>
      </c>
      <c r="L263" s="185" t="n">
        <v>12</v>
      </c>
      <c r="M263" s="184" t="n">
        <v>23270</v>
      </c>
      <c r="N263" s="184" t="n">
        <v>20477.6</v>
      </c>
      <c r="O263" s="186" t="s">
        <v>875</v>
      </c>
      <c r="P263" s="187" t="n">
        <v>45895</v>
      </c>
    </row>
    <row r="264" customFormat="false" ht="51" hidden="false" customHeight="true" outlineLevel="0" collapsed="false">
      <c r="A264" s="181" t="s">
        <v>876</v>
      </c>
      <c r="B264" s="182" t="n">
        <v>1183</v>
      </c>
      <c r="C264" s="183" t="n">
        <v>58184</v>
      </c>
      <c r="D264" s="181" t="s">
        <v>3326</v>
      </c>
      <c r="E264" s="181" t="s">
        <v>359</v>
      </c>
      <c r="F264" s="181" t="s">
        <v>360</v>
      </c>
      <c r="G264" s="181" t="s">
        <v>228</v>
      </c>
      <c r="H264" s="181" t="s">
        <v>832</v>
      </c>
      <c r="I264" s="181" t="s">
        <v>220</v>
      </c>
      <c r="J264" s="184" t="n">
        <v>35660</v>
      </c>
      <c r="K264" s="184" t="n">
        <v>14900</v>
      </c>
      <c r="L264" s="185" t="n">
        <v>16</v>
      </c>
      <c r="M264" s="184" t="n">
        <v>20760</v>
      </c>
      <c r="N264" s="184" t="n">
        <v>17438.4</v>
      </c>
      <c r="O264" s="186" t="s">
        <v>877</v>
      </c>
      <c r="P264" s="187" t="n">
        <v>45895</v>
      </c>
    </row>
    <row r="265" customFormat="false" ht="51" hidden="false" customHeight="true" outlineLevel="0" collapsed="false">
      <c r="A265" s="181" t="s">
        <v>878</v>
      </c>
      <c r="B265" s="182" t="n">
        <v>1184</v>
      </c>
      <c r="C265" s="183" t="n">
        <v>58192</v>
      </c>
      <c r="D265" s="181" t="s">
        <v>3326</v>
      </c>
      <c r="E265" s="181" t="s">
        <v>545</v>
      </c>
      <c r="F265" s="181" t="s">
        <v>546</v>
      </c>
      <c r="G265" s="181" t="s">
        <v>228</v>
      </c>
      <c r="H265" s="181" t="s">
        <v>832</v>
      </c>
      <c r="I265" s="181" t="s">
        <v>220</v>
      </c>
      <c r="J265" s="184" t="n">
        <v>41750</v>
      </c>
      <c r="K265" s="184" t="n">
        <v>16150</v>
      </c>
      <c r="L265" s="185" t="n">
        <v>13</v>
      </c>
      <c r="M265" s="184" t="n">
        <v>25600</v>
      </c>
      <c r="N265" s="184" t="n">
        <v>22272</v>
      </c>
      <c r="O265" s="186" t="s">
        <v>879</v>
      </c>
      <c r="P265" s="187" t="n">
        <v>45895</v>
      </c>
    </row>
    <row r="266" customFormat="false" ht="51" hidden="false" customHeight="true" outlineLevel="0" collapsed="false">
      <c r="A266" s="181" t="s">
        <v>880</v>
      </c>
      <c r="B266" s="182" t="n">
        <v>1185</v>
      </c>
      <c r="C266" s="183" t="n">
        <v>58190</v>
      </c>
      <c r="D266" s="181" t="s">
        <v>3326</v>
      </c>
      <c r="E266" s="181" t="s">
        <v>537</v>
      </c>
      <c r="F266" s="181" t="s">
        <v>538</v>
      </c>
      <c r="G266" s="181" t="s">
        <v>228</v>
      </c>
      <c r="H266" s="181" t="s">
        <v>832</v>
      </c>
      <c r="I266" s="181" t="s">
        <v>220</v>
      </c>
      <c r="J266" s="184" t="n">
        <v>35590</v>
      </c>
      <c r="K266" s="184" t="n">
        <v>13980</v>
      </c>
      <c r="L266" s="185" t="n">
        <v>12</v>
      </c>
      <c r="M266" s="184" t="n">
        <v>21610</v>
      </c>
      <c r="N266" s="184" t="n">
        <v>19016.8</v>
      </c>
      <c r="O266" s="186" t="s">
        <v>881</v>
      </c>
      <c r="P266" s="187" t="n">
        <v>45895</v>
      </c>
    </row>
    <row r="267" customFormat="false" ht="51" hidden="false" customHeight="true" outlineLevel="0" collapsed="false">
      <c r="A267" s="181" t="s">
        <v>882</v>
      </c>
      <c r="B267" s="182" t="n">
        <v>1186</v>
      </c>
      <c r="C267" s="183" t="n">
        <v>58194</v>
      </c>
      <c r="D267" s="181" t="s">
        <v>3326</v>
      </c>
      <c r="E267" s="181" t="s">
        <v>549</v>
      </c>
      <c r="F267" s="181" t="s">
        <v>550</v>
      </c>
      <c r="G267" s="181" t="s">
        <v>228</v>
      </c>
      <c r="H267" s="181" t="s">
        <v>832</v>
      </c>
      <c r="I267" s="181" t="s">
        <v>220</v>
      </c>
      <c r="J267" s="184" t="n">
        <v>41240</v>
      </c>
      <c r="K267" s="184" t="n">
        <v>15930</v>
      </c>
      <c r="L267" s="185" t="n">
        <v>12</v>
      </c>
      <c r="M267" s="184" t="n">
        <v>25310</v>
      </c>
      <c r="N267" s="184" t="n">
        <v>22272.8</v>
      </c>
      <c r="O267" s="186" t="s">
        <v>883</v>
      </c>
      <c r="P267" s="187" t="n">
        <v>45895</v>
      </c>
    </row>
    <row r="268" customFormat="false" ht="51" hidden="false" customHeight="true" outlineLevel="0" collapsed="false">
      <c r="A268" s="181" t="s">
        <v>884</v>
      </c>
      <c r="B268" s="182" t="n">
        <v>1188</v>
      </c>
      <c r="C268" s="183" t="n">
        <v>58196</v>
      </c>
      <c r="D268" s="181" t="s">
        <v>3326</v>
      </c>
      <c r="E268" s="181" t="s">
        <v>346</v>
      </c>
      <c r="F268" s="181" t="s">
        <v>347</v>
      </c>
      <c r="G268" s="181" t="s">
        <v>228</v>
      </c>
      <c r="H268" s="181" t="s">
        <v>832</v>
      </c>
      <c r="I268" s="181" t="s">
        <v>220</v>
      </c>
      <c r="J268" s="184" t="n">
        <v>37590</v>
      </c>
      <c r="K268" s="184" t="n">
        <v>14940</v>
      </c>
      <c r="L268" s="185" t="n">
        <v>16</v>
      </c>
      <c r="M268" s="184" t="n">
        <v>22650</v>
      </c>
      <c r="N268" s="184" t="n">
        <v>19026</v>
      </c>
      <c r="O268" s="186" t="s">
        <v>885</v>
      </c>
      <c r="P268" s="187" t="n">
        <v>45895</v>
      </c>
    </row>
    <row r="269" customFormat="false" ht="51" hidden="false" customHeight="true" outlineLevel="0" collapsed="false">
      <c r="A269" s="181" t="s">
        <v>886</v>
      </c>
      <c r="B269" s="182" t="n">
        <v>1190</v>
      </c>
      <c r="C269" s="183" t="n">
        <v>58208</v>
      </c>
      <c r="D269" s="181" t="s">
        <v>3326</v>
      </c>
      <c r="E269" s="181" t="s">
        <v>529</v>
      </c>
      <c r="F269" s="181" t="s">
        <v>530</v>
      </c>
      <c r="G269" s="181" t="s">
        <v>228</v>
      </c>
      <c r="H269" s="181" t="s">
        <v>832</v>
      </c>
      <c r="I269" s="181" t="s">
        <v>220</v>
      </c>
      <c r="J269" s="184" t="n">
        <v>36240</v>
      </c>
      <c r="K269" s="184" t="n">
        <v>14830</v>
      </c>
      <c r="L269" s="185" t="n">
        <v>5</v>
      </c>
      <c r="M269" s="184" t="n">
        <v>21410</v>
      </c>
      <c r="N269" s="184" t="n">
        <v>20339.5</v>
      </c>
      <c r="O269" s="186" t="s">
        <v>887</v>
      </c>
      <c r="P269" s="187" t="n">
        <v>45895</v>
      </c>
    </row>
    <row r="270" customFormat="false" ht="51" hidden="false" customHeight="true" outlineLevel="0" collapsed="false">
      <c r="A270" s="181" t="s">
        <v>888</v>
      </c>
      <c r="B270" s="182" t="n">
        <v>1191</v>
      </c>
      <c r="C270" s="183" t="n">
        <v>58210</v>
      </c>
      <c r="D270" s="181" t="s">
        <v>3326</v>
      </c>
      <c r="E270" s="181" t="s">
        <v>391</v>
      </c>
      <c r="F270" s="181" t="s">
        <v>392</v>
      </c>
      <c r="G270" s="181" t="s">
        <v>228</v>
      </c>
      <c r="H270" s="181" t="s">
        <v>832</v>
      </c>
      <c r="I270" s="181" t="s">
        <v>220</v>
      </c>
      <c r="J270" s="184" t="n">
        <v>34770</v>
      </c>
      <c r="K270" s="184" t="n">
        <v>14480</v>
      </c>
      <c r="L270" s="185" t="n">
        <v>6</v>
      </c>
      <c r="M270" s="184" t="n">
        <v>20290</v>
      </c>
      <c r="N270" s="184" t="n">
        <v>19072.6</v>
      </c>
      <c r="O270" s="186" t="s">
        <v>889</v>
      </c>
      <c r="P270" s="187" t="n">
        <v>45895</v>
      </c>
    </row>
    <row r="271" customFormat="false" ht="51" hidden="false" customHeight="true" outlineLevel="0" collapsed="false">
      <c r="A271" s="181" t="s">
        <v>890</v>
      </c>
      <c r="B271" s="182" t="n">
        <v>1192</v>
      </c>
      <c r="C271" s="183" t="n">
        <v>58213</v>
      </c>
      <c r="D271" s="181" t="s">
        <v>3326</v>
      </c>
      <c r="E271" s="181" t="s">
        <v>277</v>
      </c>
      <c r="F271" s="181" t="s">
        <v>278</v>
      </c>
      <c r="G271" s="181" t="s">
        <v>228</v>
      </c>
      <c r="H271" s="181" t="s">
        <v>832</v>
      </c>
      <c r="I271" s="181" t="s">
        <v>220</v>
      </c>
      <c r="J271" s="184" t="n">
        <v>41230</v>
      </c>
      <c r="K271" s="184" t="n">
        <v>15190</v>
      </c>
      <c r="L271" s="185" t="n">
        <v>5</v>
      </c>
      <c r="M271" s="184" t="n">
        <v>26040</v>
      </c>
      <c r="N271" s="184" t="n">
        <v>24738</v>
      </c>
      <c r="O271" s="186" t="s">
        <v>891</v>
      </c>
      <c r="P271" s="187" t="n">
        <v>45895</v>
      </c>
    </row>
    <row r="272" customFormat="false" ht="51" hidden="false" customHeight="true" outlineLevel="0" collapsed="false">
      <c r="A272" s="181" t="s">
        <v>892</v>
      </c>
      <c r="B272" s="182" t="n">
        <v>1193</v>
      </c>
      <c r="C272" s="183" t="n">
        <v>58217</v>
      </c>
      <c r="D272" s="181" t="s">
        <v>3326</v>
      </c>
      <c r="E272" s="181" t="s">
        <v>308</v>
      </c>
      <c r="F272" s="181" t="s">
        <v>309</v>
      </c>
      <c r="G272" s="181" t="s">
        <v>228</v>
      </c>
      <c r="H272" s="181" t="s">
        <v>832</v>
      </c>
      <c r="I272" s="181" t="s">
        <v>220</v>
      </c>
      <c r="J272" s="184" t="n">
        <v>45590</v>
      </c>
      <c r="K272" s="184" t="n">
        <v>24080</v>
      </c>
      <c r="L272" s="185" t="n">
        <v>6</v>
      </c>
      <c r="M272" s="184" t="n">
        <v>21510</v>
      </c>
      <c r="N272" s="184" t="n">
        <v>20219.4</v>
      </c>
      <c r="O272" s="186" t="s">
        <v>893</v>
      </c>
      <c r="P272" s="187" t="n">
        <v>45895</v>
      </c>
    </row>
    <row r="273" customFormat="false" ht="51" hidden="false" customHeight="true" outlineLevel="0" collapsed="false">
      <c r="A273" s="181" t="s">
        <v>894</v>
      </c>
      <c r="B273" s="182" t="n">
        <v>1194</v>
      </c>
      <c r="C273" s="183" t="n">
        <v>58215</v>
      </c>
      <c r="D273" s="181" t="s">
        <v>3326</v>
      </c>
      <c r="E273" s="181" t="s">
        <v>292</v>
      </c>
      <c r="F273" s="181" t="s">
        <v>293</v>
      </c>
      <c r="G273" s="181" t="s">
        <v>228</v>
      </c>
      <c r="H273" s="181" t="s">
        <v>832</v>
      </c>
      <c r="I273" s="181" t="s">
        <v>220</v>
      </c>
      <c r="J273" s="184" t="n">
        <v>36300</v>
      </c>
      <c r="K273" s="184" t="n">
        <v>13930</v>
      </c>
      <c r="L273" s="185" t="n">
        <v>5</v>
      </c>
      <c r="M273" s="184" t="n">
        <v>22370</v>
      </c>
      <c r="N273" s="184" t="n">
        <v>21251.5</v>
      </c>
      <c r="O273" s="186" t="s">
        <v>895</v>
      </c>
      <c r="P273" s="187" t="n">
        <v>45895</v>
      </c>
    </row>
    <row r="274" customFormat="false" ht="51" hidden="false" customHeight="true" outlineLevel="0" collapsed="false">
      <c r="A274" s="181" t="s">
        <v>896</v>
      </c>
      <c r="B274" s="182" t="n">
        <v>1195</v>
      </c>
      <c r="C274" s="183" t="n">
        <v>58219</v>
      </c>
      <c r="D274" s="181" t="s">
        <v>3326</v>
      </c>
      <c r="E274" s="181" t="s">
        <v>399</v>
      </c>
      <c r="F274" s="181" t="s">
        <v>400</v>
      </c>
      <c r="G274" s="181" t="s">
        <v>228</v>
      </c>
      <c r="H274" s="181" t="s">
        <v>832</v>
      </c>
      <c r="I274" s="181" t="s">
        <v>220</v>
      </c>
      <c r="J274" s="184" t="n">
        <v>44000</v>
      </c>
      <c r="K274" s="184" t="n">
        <v>19360</v>
      </c>
      <c r="L274" s="185" t="n">
        <v>7</v>
      </c>
      <c r="M274" s="184" t="n">
        <v>24640</v>
      </c>
      <c r="N274" s="184" t="n">
        <v>22915.2</v>
      </c>
      <c r="O274" s="186" t="s">
        <v>897</v>
      </c>
      <c r="P274" s="187" t="n">
        <v>45895</v>
      </c>
    </row>
    <row r="275" customFormat="false" ht="51" hidden="false" customHeight="true" outlineLevel="0" collapsed="false">
      <c r="A275" s="181" t="s">
        <v>898</v>
      </c>
      <c r="B275" s="182" t="n">
        <v>1196</v>
      </c>
      <c r="C275" s="183" t="n">
        <v>58221</v>
      </c>
      <c r="D275" s="181" t="s">
        <v>3326</v>
      </c>
      <c r="E275" s="181" t="s">
        <v>576</v>
      </c>
      <c r="F275" s="181" t="s">
        <v>577</v>
      </c>
      <c r="G275" s="181" t="s">
        <v>228</v>
      </c>
      <c r="H275" s="181" t="s">
        <v>832</v>
      </c>
      <c r="I275" s="181" t="s">
        <v>220</v>
      </c>
      <c r="J275" s="184" t="n">
        <v>37250</v>
      </c>
      <c r="K275" s="184" t="n">
        <v>14460</v>
      </c>
      <c r="L275" s="185" t="n">
        <v>12</v>
      </c>
      <c r="M275" s="184" t="n">
        <v>22790</v>
      </c>
      <c r="N275" s="184" t="n">
        <v>20055.2</v>
      </c>
      <c r="O275" s="186" t="s">
        <v>899</v>
      </c>
      <c r="P275" s="187" t="n">
        <v>45895</v>
      </c>
    </row>
    <row r="276" customFormat="false" ht="51" hidden="false" customHeight="true" outlineLevel="0" collapsed="false">
      <c r="A276" s="181" t="s">
        <v>900</v>
      </c>
      <c r="B276" s="182" t="n">
        <v>1199</v>
      </c>
      <c r="C276" s="183" t="n">
        <v>58229</v>
      </c>
      <c r="D276" s="181" t="s">
        <v>3326</v>
      </c>
      <c r="E276" s="181" t="s">
        <v>901</v>
      </c>
      <c r="F276" s="181" t="s">
        <v>902</v>
      </c>
      <c r="G276" s="181" t="s">
        <v>228</v>
      </c>
      <c r="H276" s="181" t="s">
        <v>832</v>
      </c>
      <c r="I276" s="181" t="s">
        <v>220</v>
      </c>
      <c r="J276" s="184" t="n">
        <v>37210</v>
      </c>
      <c r="K276" s="184" t="n">
        <v>14650</v>
      </c>
      <c r="L276" s="185" t="n">
        <v>9</v>
      </c>
      <c r="M276" s="184" t="n">
        <v>22560</v>
      </c>
      <c r="N276" s="184" t="n">
        <v>20529.6</v>
      </c>
      <c r="O276" s="186" t="s">
        <v>903</v>
      </c>
      <c r="P276" s="187" t="n">
        <v>45895</v>
      </c>
    </row>
    <row r="277" customFormat="false" ht="51" hidden="false" customHeight="true" outlineLevel="0" collapsed="false">
      <c r="A277" s="181" t="s">
        <v>904</v>
      </c>
      <c r="B277" s="182" t="n">
        <v>1200</v>
      </c>
      <c r="C277" s="183" t="n">
        <v>58223</v>
      </c>
      <c r="D277" s="181" t="s">
        <v>3326</v>
      </c>
      <c r="E277" s="181" t="s">
        <v>261</v>
      </c>
      <c r="F277" s="181" t="s">
        <v>262</v>
      </c>
      <c r="G277" s="181" t="s">
        <v>228</v>
      </c>
      <c r="H277" s="181" t="s">
        <v>832</v>
      </c>
      <c r="I277" s="181" t="s">
        <v>220</v>
      </c>
      <c r="J277" s="184" t="n">
        <v>38480</v>
      </c>
      <c r="K277" s="184" t="n">
        <v>15090</v>
      </c>
      <c r="L277" s="185" t="n">
        <v>10</v>
      </c>
      <c r="M277" s="184" t="n">
        <v>23390</v>
      </c>
      <c r="N277" s="184" t="n">
        <v>21051</v>
      </c>
      <c r="O277" s="186" t="s">
        <v>905</v>
      </c>
      <c r="P277" s="187" t="n">
        <v>45895</v>
      </c>
    </row>
    <row r="278" customFormat="false" ht="51" hidden="false" customHeight="true" outlineLevel="0" collapsed="false">
      <c r="A278" s="181" t="s">
        <v>906</v>
      </c>
      <c r="B278" s="182" t="n">
        <v>1201</v>
      </c>
      <c r="C278" s="183" t="n">
        <v>58225</v>
      </c>
      <c r="D278" s="181" t="s">
        <v>3326</v>
      </c>
      <c r="E278" s="181" t="s">
        <v>272</v>
      </c>
      <c r="F278" s="181" t="s">
        <v>273</v>
      </c>
      <c r="G278" s="181" t="s">
        <v>228</v>
      </c>
      <c r="H278" s="181" t="s">
        <v>832</v>
      </c>
      <c r="I278" s="181" t="s">
        <v>220</v>
      </c>
      <c r="J278" s="184" t="n">
        <v>39700</v>
      </c>
      <c r="K278" s="184" t="n">
        <v>15590</v>
      </c>
      <c r="L278" s="185" t="n">
        <v>14</v>
      </c>
      <c r="M278" s="184" t="n">
        <v>24110</v>
      </c>
      <c r="N278" s="184" t="n">
        <v>20734.6</v>
      </c>
      <c r="O278" s="186" t="s">
        <v>907</v>
      </c>
      <c r="P278" s="187" t="n">
        <v>45895</v>
      </c>
    </row>
    <row r="279" customFormat="false" ht="51" hidden="false" customHeight="true" outlineLevel="0" collapsed="false">
      <c r="A279" s="181" t="s">
        <v>908</v>
      </c>
      <c r="B279" s="182" t="n">
        <v>1202</v>
      </c>
      <c r="C279" s="183" t="n">
        <v>58227</v>
      </c>
      <c r="D279" s="181" t="s">
        <v>3326</v>
      </c>
      <c r="E279" s="181" t="s">
        <v>296</v>
      </c>
      <c r="F279" s="181" t="s">
        <v>297</v>
      </c>
      <c r="G279" s="181" t="s">
        <v>228</v>
      </c>
      <c r="H279" s="181" t="s">
        <v>832</v>
      </c>
      <c r="I279" s="181" t="s">
        <v>220</v>
      </c>
      <c r="J279" s="184" t="n">
        <v>39860</v>
      </c>
      <c r="K279" s="184" t="n">
        <v>15400</v>
      </c>
      <c r="L279" s="185" t="n">
        <v>13</v>
      </c>
      <c r="M279" s="184" t="n">
        <v>24460</v>
      </c>
      <c r="N279" s="184" t="n">
        <v>21280.2</v>
      </c>
      <c r="O279" s="186" t="s">
        <v>909</v>
      </c>
      <c r="P279" s="187" t="n">
        <v>45895</v>
      </c>
    </row>
    <row r="280" customFormat="false" ht="51" hidden="false" customHeight="true" outlineLevel="0" collapsed="false">
      <c r="A280" s="181" t="s">
        <v>910</v>
      </c>
      <c r="B280" s="182" t="n">
        <v>1203</v>
      </c>
      <c r="C280" s="183" t="n">
        <v>58233</v>
      </c>
      <c r="D280" s="181" t="s">
        <v>3326</v>
      </c>
      <c r="E280" s="181" t="s">
        <v>377</v>
      </c>
      <c r="F280" s="181" t="s">
        <v>378</v>
      </c>
      <c r="G280" s="181" t="s">
        <v>228</v>
      </c>
      <c r="H280" s="181" t="s">
        <v>832</v>
      </c>
      <c r="I280" s="181" t="s">
        <v>220</v>
      </c>
      <c r="J280" s="184" t="n">
        <v>41290</v>
      </c>
      <c r="K280" s="184" t="n">
        <v>15600</v>
      </c>
      <c r="L280" s="185" t="n">
        <v>7</v>
      </c>
      <c r="M280" s="184" t="n">
        <v>25690</v>
      </c>
      <c r="N280" s="184" t="n">
        <v>23891.7</v>
      </c>
      <c r="O280" s="186" t="s">
        <v>911</v>
      </c>
      <c r="P280" s="187" t="n">
        <v>45895</v>
      </c>
    </row>
    <row r="281" customFormat="false" ht="51" hidden="false" customHeight="true" outlineLevel="0" collapsed="false">
      <c r="A281" s="181" t="s">
        <v>912</v>
      </c>
      <c r="B281" s="182" t="n">
        <v>1204</v>
      </c>
      <c r="C281" s="183" t="n">
        <v>582311</v>
      </c>
      <c r="D281" s="181" t="s">
        <v>3326</v>
      </c>
      <c r="E281" s="181" t="s">
        <v>383</v>
      </c>
      <c r="F281" s="181" t="s">
        <v>384</v>
      </c>
      <c r="G281" s="181" t="s">
        <v>228</v>
      </c>
      <c r="H281" s="181" t="s">
        <v>832</v>
      </c>
      <c r="I281" s="181" t="s">
        <v>220</v>
      </c>
      <c r="J281" s="184" t="n">
        <v>39520</v>
      </c>
      <c r="K281" s="184" t="n">
        <v>14840</v>
      </c>
      <c r="L281" s="185" t="n">
        <v>8</v>
      </c>
      <c r="M281" s="184" t="n">
        <v>24680</v>
      </c>
      <c r="N281" s="184" t="n">
        <v>22705.6</v>
      </c>
      <c r="O281" s="186" t="s">
        <v>913</v>
      </c>
      <c r="P281" s="187" t="n">
        <v>45895</v>
      </c>
    </row>
    <row r="282" customFormat="false" ht="51" hidden="false" customHeight="true" outlineLevel="0" collapsed="false">
      <c r="A282" s="181" t="s">
        <v>914</v>
      </c>
      <c r="B282" s="182" t="n">
        <v>1205</v>
      </c>
      <c r="C282" s="183" t="n">
        <v>58235</v>
      </c>
      <c r="D282" s="181" t="s">
        <v>3326</v>
      </c>
      <c r="E282" s="181" t="s">
        <v>409</v>
      </c>
      <c r="F282" s="181" t="s">
        <v>410</v>
      </c>
      <c r="G282" s="181" t="s">
        <v>228</v>
      </c>
      <c r="H282" s="181" t="s">
        <v>832</v>
      </c>
      <c r="I282" s="181" t="s">
        <v>220</v>
      </c>
      <c r="J282" s="184" t="n">
        <v>46950</v>
      </c>
      <c r="K282" s="184" t="n">
        <v>24200</v>
      </c>
      <c r="L282" s="185" t="n">
        <v>6.9</v>
      </c>
      <c r="M282" s="184" t="n">
        <v>22750</v>
      </c>
      <c r="N282" s="184" t="n">
        <v>21191</v>
      </c>
      <c r="O282" s="186" t="s">
        <v>915</v>
      </c>
      <c r="P282" s="187" t="n">
        <v>45895</v>
      </c>
    </row>
    <row r="283" customFormat="false" ht="51" hidden="false" customHeight="true" outlineLevel="0" collapsed="false">
      <c r="A283" s="181" t="s">
        <v>916</v>
      </c>
      <c r="B283" s="182" t="n">
        <v>1206</v>
      </c>
      <c r="C283" s="183" t="n">
        <v>58237</v>
      </c>
      <c r="D283" s="181" t="s">
        <v>3326</v>
      </c>
      <c r="E283" s="181" t="s">
        <v>413</v>
      </c>
      <c r="F283" s="181" t="s">
        <v>414</v>
      </c>
      <c r="G283" s="181" t="s">
        <v>228</v>
      </c>
      <c r="H283" s="181" t="s">
        <v>832</v>
      </c>
      <c r="I283" s="181" t="s">
        <v>220</v>
      </c>
      <c r="J283" s="184" t="n">
        <v>43250</v>
      </c>
      <c r="K283" s="184" t="n">
        <v>15620</v>
      </c>
      <c r="L283" s="185" t="n">
        <v>14</v>
      </c>
      <c r="M283" s="184" t="n">
        <v>27630</v>
      </c>
      <c r="N283" s="184" t="n">
        <v>23761.8</v>
      </c>
      <c r="O283" s="186" t="s">
        <v>917</v>
      </c>
      <c r="P283" s="187" t="n">
        <v>45895</v>
      </c>
    </row>
    <row r="284" customFormat="false" ht="51" hidden="false" customHeight="true" outlineLevel="0" collapsed="false">
      <c r="A284" s="181" t="s">
        <v>918</v>
      </c>
      <c r="B284" s="182" t="n">
        <v>1207</v>
      </c>
      <c r="C284" s="183" t="n">
        <v>58241</v>
      </c>
      <c r="D284" s="181" t="s">
        <v>3326</v>
      </c>
      <c r="E284" s="181" t="s">
        <v>373</v>
      </c>
      <c r="F284" s="181" t="s">
        <v>374</v>
      </c>
      <c r="G284" s="181" t="s">
        <v>228</v>
      </c>
      <c r="H284" s="181" t="s">
        <v>832</v>
      </c>
      <c r="I284" s="181" t="s">
        <v>220</v>
      </c>
      <c r="J284" s="184" t="n">
        <v>37680</v>
      </c>
      <c r="K284" s="184" t="n">
        <v>14200</v>
      </c>
      <c r="L284" s="185" t="n">
        <v>14</v>
      </c>
      <c r="M284" s="184" t="n">
        <v>23480</v>
      </c>
      <c r="N284" s="184" t="n">
        <v>20192.8</v>
      </c>
      <c r="O284" s="186" t="s">
        <v>919</v>
      </c>
      <c r="P284" s="187" t="n">
        <v>45895</v>
      </c>
    </row>
    <row r="285" customFormat="false" ht="51" hidden="false" customHeight="true" outlineLevel="0" collapsed="false">
      <c r="A285" s="181" t="s">
        <v>920</v>
      </c>
      <c r="B285" s="182" t="n">
        <v>1208</v>
      </c>
      <c r="C285" s="183" t="n">
        <v>58239</v>
      </c>
      <c r="D285" s="181" t="s">
        <v>3326</v>
      </c>
      <c r="E285" s="181" t="s">
        <v>582</v>
      </c>
      <c r="F285" s="181" t="s">
        <v>583</v>
      </c>
      <c r="G285" s="181" t="s">
        <v>228</v>
      </c>
      <c r="H285" s="181" t="s">
        <v>832</v>
      </c>
      <c r="I285" s="181" t="s">
        <v>220</v>
      </c>
      <c r="J285" s="184" t="n">
        <v>38290</v>
      </c>
      <c r="K285" s="184" t="n">
        <v>14760</v>
      </c>
      <c r="L285" s="185" t="n">
        <v>12</v>
      </c>
      <c r="M285" s="184" t="n">
        <v>23530</v>
      </c>
      <c r="N285" s="184" t="n">
        <v>20706.4</v>
      </c>
      <c r="O285" s="186" t="s">
        <v>921</v>
      </c>
      <c r="P285" s="187" t="n">
        <v>45895</v>
      </c>
    </row>
    <row r="286" customFormat="false" ht="51" hidden="false" customHeight="true" outlineLevel="0" collapsed="false">
      <c r="A286" s="181" t="s">
        <v>922</v>
      </c>
      <c r="B286" s="182" t="n">
        <v>1209</v>
      </c>
      <c r="C286" s="183" t="n">
        <v>58243</v>
      </c>
      <c r="D286" s="181" t="s">
        <v>3326</v>
      </c>
      <c r="E286" s="181" t="s">
        <v>439</v>
      </c>
      <c r="F286" s="181" t="s">
        <v>440</v>
      </c>
      <c r="G286" s="181" t="s">
        <v>228</v>
      </c>
      <c r="H286" s="181" t="s">
        <v>832</v>
      </c>
      <c r="I286" s="181" t="s">
        <v>220</v>
      </c>
      <c r="J286" s="184" t="n">
        <v>39770</v>
      </c>
      <c r="K286" s="184" t="n">
        <v>16320</v>
      </c>
      <c r="L286" s="185" t="n">
        <v>15</v>
      </c>
      <c r="M286" s="184" t="n">
        <v>23450</v>
      </c>
      <c r="N286" s="184" t="n">
        <v>19932.5</v>
      </c>
      <c r="O286" s="186" t="s">
        <v>923</v>
      </c>
      <c r="P286" s="187" t="n">
        <v>45895</v>
      </c>
    </row>
    <row r="287" customFormat="false" ht="51" hidden="false" customHeight="true" outlineLevel="0" collapsed="false">
      <c r="A287" s="181" t="s">
        <v>924</v>
      </c>
      <c r="B287" s="182" t="n">
        <v>1210</v>
      </c>
      <c r="C287" s="183" t="n">
        <v>58247</v>
      </c>
      <c r="D287" s="181" t="s">
        <v>3326</v>
      </c>
      <c r="E287" s="181" t="s">
        <v>431</v>
      </c>
      <c r="F287" s="181" t="s">
        <v>432</v>
      </c>
      <c r="G287" s="181" t="s">
        <v>228</v>
      </c>
      <c r="H287" s="181" t="s">
        <v>832</v>
      </c>
      <c r="I287" s="181" t="s">
        <v>220</v>
      </c>
      <c r="J287" s="184" t="n">
        <v>39810</v>
      </c>
      <c r="K287" s="184" t="n">
        <v>16660</v>
      </c>
      <c r="L287" s="185" t="n">
        <v>12</v>
      </c>
      <c r="M287" s="184" t="n">
        <v>23150</v>
      </c>
      <c r="N287" s="184" t="n">
        <v>20372</v>
      </c>
      <c r="O287" s="186" t="s">
        <v>925</v>
      </c>
      <c r="P287" s="187" t="n">
        <v>45896</v>
      </c>
    </row>
    <row r="288" customFormat="false" ht="51" hidden="false" customHeight="true" outlineLevel="0" collapsed="false">
      <c r="A288" s="181" t="s">
        <v>926</v>
      </c>
      <c r="B288" s="182" t="n">
        <v>1211</v>
      </c>
      <c r="C288" s="183" t="n">
        <v>58245</v>
      </c>
      <c r="D288" s="181" t="s">
        <v>3326</v>
      </c>
      <c r="E288" s="181" t="s">
        <v>435</v>
      </c>
      <c r="F288" s="181" t="s">
        <v>436</v>
      </c>
      <c r="G288" s="181" t="s">
        <v>228</v>
      </c>
      <c r="H288" s="181" t="s">
        <v>832</v>
      </c>
      <c r="I288" s="181" t="s">
        <v>220</v>
      </c>
      <c r="J288" s="184" t="n">
        <v>40020</v>
      </c>
      <c r="K288" s="184" t="n">
        <v>16460</v>
      </c>
      <c r="L288" s="185" t="n">
        <v>10</v>
      </c>
      <c r="M288" s="184" t="n">
        <v>23560</v>
      </c>
      <c r="N288" s="184" t="n">
        <v>21204</v>
      </c>
      <c r="O288" s="186" t="s">
        <v>927</v>
      </c>
      <c r="P288" s="187" t="n">
        <v>45896</v>
      </c>
    </row>
    <row r="289" customFormat="false" ht="51" hidden="false" customHeight="true" outlineLevel="0" collapsed="false">
      <c r="A289" s="181" t="s">
        <v>928</v>
      </c>
      <c r="B289" s="182" t="n">
        <v>1212</v>
      </c>
      <c r="C289" s="183" t="n">
        <v>58257</v>
      </c>
      <c r="D289" s="181" t="s">
        <v>3326</v>
      </c>
      <c r="E289" s="181" t="s">
        <v>336</v>
      </c>
      <c r="F289" s="181" t="s">
        <v>337</v>
      </c>
      <c r="G289" s="181" t="s">
        <v>228</v>
      </c>
      <c r="H289" s="181" t="s">
        <v>832</v>
      </c>
      <c r="I289" s="181" t="s">
        <v>220</v>
      </c>
      <c r="J289" s="184" t="n">
        <v>38540</v>
      </c>
      <c r="K289" s="184" t="n">
        <v>14470</v>
      </c>
      <c r="L289" s="185" t="n">
        <v>9</v>
      </c>
      <c r="M289" s="184" t="n">
        <v>24070</v>
      </c>
      <c r="N289" s="184" t="n">
        <v>21903.7</v>
      </c>
      <c r="O289" s="186" t="s">
        <v>929</v>
      </c>
      <c r="P289" s="187" t="n">
        <v>45896</v>
      </c>
    </row>
    <row r="290" customFormat="false" ht="51" hidden="false" customHeight="true" outlineLevel="0" collapsed="false">
      <c r="A290" s="181" t="s">
        <v>930</v>
      </c>
      <c r="B290" s="182" t="n">
        <v>1213</v>
      </c>
      <c r="C290" s="183" t="n">
        <v>58259</v>
      </c>
      <c r="D290" s="181" t="s">
        <v>3326</v>
      </c>
      <c r="E290" s="181" t="s">
        <v>340</v>
      </c>
      <c r="F290" s="181" t="s">
        <v>341</v>
      </c>
      <c r="G290" s="181" t="s">
        <v>228</v>
      </c>
      <c r="H290" s="181" t="s">
        <v>832</v>
      </c>
      <c r="I290" s="181" t="s">
        <v>220</v>
      </c>
      <c r="J290" s="184" t="n">
        <v>39720</v>
      </c>
      <c r="K290" s="184" t="n">
        <v>15040</v>
      </c>
      <c r="L290" s="185" t="n">
        <v>10</v>
      </c>
      <c r="M290" s="184" t="n">
        <v>24680</v>
      </c>
      <c r="N290" s="184" t="n">
        <v>22212</v>
      </c>
      <c r="O290" s="186" t="s">
        <v>931</v>
      </c>
      <c r="P290" s="187" t="n">
        <v>45896</v>
      </c>
    </row>
    <row r="291" customFormat="false" ht="51" hidden="false" customHeight="true" outlineLevel="0" collapsed="false">
      <c r="A291" s="181" t="s">
        <v>932</v>
      </c>
      <c r="B291" s="182" t="n">
        <v>1214</v>
      </c>
      <c r="C291" s="183" t="n">
        <v>58269</v>
      </c>
      <c r="D291" s="181" t="s">
        <v>3326</v>
      </c>
      <c r="E291" s="181" t="s">
        <v>387</v>
      </c>
      <c r="F291" s="181" t="s">
        <v>388</v>
      </c>
      <c r="G291" s="181" t="s">
        <v>228</v>
      </c>
      <c r="H291" s="181" t="s">
        <v>832</v>
      </c>
      <c r="I291" s="181" t="s">
        <v>220</v>
      </c>
      <c r="J291" s="184" t="n">
        <v>39760</v>
      </c>
      <c r="K291" s="184" t="n">
        <v>14960</v>
      </c>
      <c r="L291" s="185" t="n">
        <v>9</v>
      </c>
      <c r="M291" s="184" t="n">
        <v>24800</v>
      </c>
      <c r="N291" s="184" t="n">
        <v>22568</v>
      </c>
      <c r="O291" s="186" t="s">
        <v>933</v>
      </c>
      <c r="P291" s="187" t="n">
        <v>45896</v>
      </c>
    </row>
    <row r="292" customFormat="false" ht="51" hidden="false" customHeight="true" outlineLevel="0" collapsed="false">
      <c r="A292" s="181" t="s">
        <v>934</v>
      </c>
      <c r="B292" s="182" t="n">
        <v>1220</v>
      </c>
      <c r="C292" s="183" t="n">
        <v>58291</v>
      </c>
      <c r="D292" s="181" t="s">
        <v>3326</v>
      </c>
      <c r="E292" s="181" t="s">
        <v>308</v>
      </c>
      <c r="F292" s="181" t="s">
        <v>309</v>
      </c>
      <c r="G292" s="181" t="s">
        <v>228</v>
      </c>
      <c r="H292" s="181" t="s">
        <v>832</v>
      </c>
      <c r="I292" s="181" t="s">
        <v>220</v>
      </c>
      <c r="J292" s="184" t="n">
        <v>46130</v>
      </c>
      <c r="K292" s="184" t="n">
        <v>24070</v>
      </c>
      <c r="L292" s="185" t="n">
        <v>6</v>
      </c>
      <c r="M292" s="184" t="n">
        <v>22060</v>
      </c>
      <c r="N292" s="184" t="n">
        <v>20736.4</v>
      </c>
      <c r="O292" s="186" t="s">
        <v>935</v>
      </c>
      <c r="P292" s="187" t="n">
        <v>45896</v>
      </c>
    </row>
    <row r="293" customFormat="false" ht="51" hidden="false" customHeight="true" outlineLevel="0" collapsed="false">
      <c r="A293" s="181" t="s">
        <v>936</v>
      </c>
      <c r="B293" s="182" t="n">
        <v>1221</v>
      </c>
      <c r="C293" s="183" t="n">
        <v>28289</v>
      </c>
      <c r="D293" s="181" t="s">
        <v>3326</v>
      </c>
      <c r="E293" s="181" t="s">
        <v>277</v>
      </c>
      <c r="F293" s="181" t="s">
        <v>278</v>
      </c>
      <c r="G293" s="181" t="s">
        <v>228</v>
      </c>
      <c r="H293" s="181" t="s">
        <v>832</v>
      </c>
      <c r="I293" s="181" t="s">
        <v>220</v>
      </c>
      <c r="J293" s="184" t="n">
        <v>42090</v>
      </c>
      <c r="K293" s="184" t="n">
        <v>15150</v>
      </c>
      <c r="L293" s="185" t="n">
        <v>9</v>
      </c>
      <c r="M293" s="184" t="n">
        <v>26940</v>
      </c>
      <c r="N293" s="184" t="n">
        <v>24515.4</v>
      </c>
      <c r="O293" s="186" t="s">
        <v>937</v>
      </c>
      <c r="P293" s="187" t="n">
        <v>45896</v>
      </c>
    </row>
    <row r="294" customFormat="false" ht="51" hidden="false" customHeight="true" outlineLevel="0" collapsed="false">
      <c r="A294" s="181" t="s">
        <v>938</v>
      </c>
      <c r="B294" s="182" t="n">
        <v>1222</v>
      </c>
      <c r="C294" s="183" t="n">
        <v>58285</v>
      </c>
      <c r="D294" s="181" t="s">
        <v>3326</v>
      </c>
      <c r="E294" s="181" t="s">
        <v>346</v>
      </c>
      <c r="F294" s="181" t="s">
        <v>347</v>
      </c>
      <c r="G294" s="181" t="s">
        <v>228</v>
      </c>
      <c r="H294" s="181" t="s">
        <v>832</v>
      </c>
      <c r="I294" s="181" t="s">
        <v>220</v>
      </c>
      <c r="J294" s="184" t="n">
        <v>39220</v>
      </c>
      <c r="K294" s="184" t="n">
        <v>14940</v>
      </c>
      <c r="L294" s="185" t="n">
        <v>5</v>
      </c>
      <c r="M294" s="184" t="n">
        <v>24280</v>
      </c>
      <c r="N294" s="184" t="n">
        <v>23066</v>
      </c>
      <c r="O294" s="186" t="s">
        <v>939</v>
      </c>
      <c r="P294" s="187" t="n">
        <v>45896</v>
      </c>
    </row>
    <row r="295" customFormat="false" ht="51" hidden="false" customHeight="true" outlineLevel="0" collapsed="false">
      <c r="A295" s="181" t="s">
        <v>940</v>
      </c>
      <c r="B295" s="182" t="n">
        <v>1224</v>
      </c>
      <c r="C295" s="183" t="n">
        <v>58283</v>
      </c>
      <c r="D295" s="181" t="s">
        <v>3326</v>
      </c>
      <c r="E295" s="181" t="s">
        <v>300</v>
      </c>
      <c r="F295" s="181" t="s">
        <v>301</v>
      </c>
      <c r="G295" s="181" t="s">
        <v>228</v>
      </c>
      <c r="H295" s="181" t="s">
        <v>832</v>
      </c>
      <c r="I295" s="181" t="s">
        <v>220</v>
      </c>
      <c r="J295" s="184" t="n">
        <v>47210</v>
      </c>
      <c r="K295" s="184" t="n">
        <v>20860</v>
      </c>
      <c r="L295" s="185" t="n">
        <v>10</v>
      </c>
      <c r="M295" s="184" t="n">
        <v>26350</v>
      </c>
      <c r="N295" s="184" t="n">
        <v>23715</v>
      </c>
      <c r="O295" s="186" t="s">
        <v>941</v>
      </c>
      <c r="P295" s="187" t="n">
        <v>45896</v>
      </c>
    </row>
    <row r="296" customFormat="false" ht="51" hidden="false" customHeight="true" outlineLevel="0" collapsed="false">
      <c r="A296" s="181" t="s">
        <v>942</v>
      </c>
      <c r="B296" s="182" t="n">
        <v>1225</v>
      </c>
      <c r="C296" s="183" t="n">
        <v>58287</v>
      </c>
      <c r="D296" s="181" t="s">
        <v>3326</v>
      </c>
      <c r="E296" s="181" t="s">
        <v>288</v>
      </c>
      <c r="F296" s="181" t="s">
        <v>289</v>
      </c>
      <c r="G296" s="181" t="s">
        <v>228</v>
      </c>
      <c r="H296" s="181" t="s">
        <v>832</v>
      </c>
      <c r="I296" s="181" t="s">
        <v>220</v>
      </c>
      <c r="J296" s="184" t="n">
        <v>36100</v>
      </c>
      <c r="K296" s="184" t="n">
        <v>14590</v>
      </c>
      <c r="L296" s="185" t="n">
        <v>7</v>
      </c>
      <c r="M296" s="184" t="n">
        <v>21510</v>
      </c>
      <c r="N296" s="184" t="n">
        <v>20004.3</v>
      </c>
      <c r="O296" s="186" t="s">
        <v>943</v>
      </c>
      <c r="P296" s="187" t="n">
        <v>45896</v>
      </c>
    </row>
    <row r="297" customFormat="false" ht="51" hidden="false" customHeight="true" outlineLevel="0" collapsed="false">
      <c r="A297" s="181" t="s">
        <v>944</v>
      </c>
      <c r="B297" s="182" t="n">
        <v>1238</v>
      </c>
      <c r="C297" s="183" t="n">
        <v>58293</v>
      </c>
      <c r="D297" s="181" t="s">
        <v>3326</v>
      </c>
      <c r="E297" s="181" t="s">
        <v>541</v>
      </c>
      <c r="F297" s="181" t="s">
        <v>542</v>
      </c>
      <c r="G297" s="181" t="s">
        <v>228</v>
      </c>
      <c r="H297" s="181" t="s">
        <v>832</v>
      </c>
      <c r="I297" s="181" t="s">
        <v>220</v>
      </c>
      <c r="J297" s="184" t="n">
        <v>39860</v>
      </c>
      <c r="K297" s="184" t="n">
        <v>14970</v>
      </c>
      <c r="L297" s="185" t="n">
        <v>7</v>
      </c>
      <c r="M297" s="184" t="n">
        <v>24890</v>
      </c>
      <c r="N297" s="184" t="n">
        <v>23147.7</v>
      </c>
      <c r="O297" s="186" t="s">
        <v>945</v>
      </c>
      <c r="P297" s="187" t="n">
        <v>45896</v>
      </c>
    </row>
    <row r="298" customFormat="false" ht="51" hidden="false" customHeight="true" outlineLevel="0" collapsed="false">
      <c r="A298" s="181" t="s">
        <v>946</v>
      </c>
      <c r="B298" s="182" t="n">
        <v>1241</v>
      </c>
      <c r="C298" s="183" t="n">
        <v>58295</v>
      </c>
      <c r="D298" s="181" t="s">
        <v>3326</v>
      </c>
      <c r="E298" s="181" t="s">
        <v>399</v>
      </c>
      <c r="F298" s="181" t="s">
        <v>400</v>
      </c>
      <c r="G298" s="181" t="s">
        <v>228</v>
      </c>
      <c r="H298" s="181" t="s">
        <v>832</v>
      </c>
      <c r="I298" s="181" t="s">
        <v>220</v>
      </c>
      <c r="J298" s="184" t="n">
        <v>45160</v>
      </c>
      <c r="K298" s="184" t="n">
        <v>19260</v>
      </c>
      <c r="L298" s="185" t="n">
        <v>9</v>
      </c>
      <c r="M298" s="184" t="n">
        <v>25900</v>
      </c>
      <c r="N298" s="184" t="n">
        <v>23569</v>
      </c>
      <c r="O298" s="186" t="s">
        <v>947</v>
      </c>
      <c r="P298" s="187" t="n">
        <v>45896</v>
      </c>
    </row>
    <row r="299" customFormat="false" ht="51" hidden="false" customHeight="true" outlineLevel="0" collapsed="false">
      <c r="A299" s="181" t="s">
        <v>948</v>
      </c>
      <c r="B299" s="182" t="n">
        <v>1242</v>
      </c>
      <c r="C299" s="183" t="n">
        <v>58297</v>
      </c>
      <c r="D299" s="181" t="s">
        <v>3326</v>
      </c>
      <c r="E299" s="181" t="s">
        <v>545</v>
      </c>
      <c r="F299" s="181" t="s">
        <v>546</v>
      </c>
      <c r="G299" s="181" t="s">
        <v>228</v>
      </c>
      <c r="H299" s="181" t="s">
        <v>832</v>
      </c>
      <c r="I299" s="181" t="s">
        <v>220</v>
      </c>
      <c r="J299" s="184" t="n">
        <v>42720</v>
      </c>
      <c r="K299" s="184" t="n">
        <v>16110</v>
      </c>
      <c r="L299" s="185" t="n">
        <v>5</v>
      </c>
      <c r="M299" s="184" t="n">
        <v>26610</v>
      </c>
      <c r="N299" s="184" t="n">
        <v>25279.5</v>
      </c>
      <c r="O299" s="186" t="s">
        <v>949</v>
      </c>
      <c r="P299" s="187" t="n">
        <v>45896</v>
      </c>
    </row>
    <row r="300" customFormat="false" ht="51" hidden="false" customHeight="true" outlineLevel="0" collapsed="false">
      <c r="A300" s="181" t="s">
        <v>950</v>
      </c>
      <c r="B300" s="182" t="n">
        <v>1243</v>
      </c>
      <c r="C300" s="183" t="n">
        <v>58299</v>
      </c>
      <c r="D300" s="181" t="s">
        <v>3326</v>
      </c>
      <c r="E300" s="181" t="s">
        <v>549</v>
      </c>
      <c r="F300" s="181" t="s">
        <v>550</v>
      </c>
      <c r="G300" s="181" t="s">
        <v>228</v>
      </c>
      <c r="H300" s="181" t="s">
        <v>832</v>
      </c>
      <c r="I300" s="181" t="s">
        <v>220</v>
      </c>
      <c r="J300" s="184" t="n">
        <v>42160</v>
      </c>
      <c r="K300" s="184" t="n">
        <v>15910</v>
      </c>
      <c r="L300" s="185" t="n">
        <v>7</v>
      </c>
      <c r="M300" s="184" t="n">
        <v>26250</v>
      </c>
      <c r="N300" s="184" t="n">
        <v>24412.5</v>
      </c>
      <c r="O300" s="186" t="s">
        <v>951</v>
      </c>
      <c r="P300" s="187" t="n">
        <v>45896</v>
      </c>
    </row>
    <row r="301" customFormat="false" ht="51" hidden="false" customHeight="true" outlineLevel="0" collapsed="false">
      <c r="A301" s="181" t="s">
        <v>952</v>
      </c>
      <c r="B301" s="182" t="n">
        <v>1244</v>
      </c>
      <c r="C301" s="183" t="n">
        <v>58301</v>
      </c>
      <c r="D301" s="181" t="s">
        <v>3326</v>
      </c>
      <c r="E301" s="181" t="s">
        <v>533</v>
      </c>
      <c r="F301" s="181" t="s">
        <v>534</v>
      </c>
      <c r="G301" s="181" t="s">
        <v>228</v>
      </c>
      <c r="H301" s="181" t="s">
        <v>832</v>
      </c>
      <c r="I301" s="181" t="s">
        <v>220</v>
      </c>
      <c r="J301" s="184" t="n">
        <v>40130</v>
      </c>
      <c r="K301" s="184" t="n">
        <v>14630</v>
      </c>
      <c r="L301" s="185" t="n">
        <v>6</v>
      </c>
      <c r="M301" s="184" t="n">
        <v>25500</v>
      </c>
      <c r="N301" s="184" t="n">
        <v>23970</v>
      </c>
      <c r="O301" s="186" t="s">
        <v>953</v>
      </c>
      <c r="P301" s="187" t="n">
        <v>45896</v>
      </c>
    </row>
    <row r="302" customFormat="false" ht="51" hidden="false" customHeight="true" outlineLevel="0" collapsed="false">
      <c r="A302" s="181" t="s">
        <v>954</v>
      </c>
      <c r="B302" s="182" t="n">
        <v>1246</v>
      </c>
      <c r="C302" s="183" t="n">
        <v>58326</v>
      </c>
      <c r="D302" s="181" t="s">
        <v>3326</v>
      </c>
      <c r="E302" s="181" t="s">
        <v>282</v>
      </c>
      <c r="F302" s="181" t="s">
        <v>283</v>
      </c>
      <c r="G302" s="181" t="s">
        <v>228</v>
      </c>
      <c r="H302" s="181" t="s">
        <v>832</v>
      </c>
      <c r="I302" s="181" t="s">
        <v>220</v>
      </c>
      <c r="J302" s="184" t="n">
        <v>38600</v>
      </c>
      <c r="K302" s="184" t="n">
        <v>15060</v>
      </c>
      <c r="L302" s="185" t="n">
        <v>10</v>
      </c>
      <c r="M302" s="184" t="n">
        <v>23540</v>
      </c>
      <c r="N302" s="184" t="n">
        <v>21186</v>
      </c>
      <c r="O302" s="186" t="s">
        <v>955</v>
      </c>
      <c r="P302" s="187" t="n">
        <v>45896</v>
      </c>
    </row>
    <row r="303" customFormat="false" ht="51" hidden="false" customHeight="true" outlineLevel="0" collapsed="false">
      <c r="A303" s="181" t="s">
        <v>956</v>
      </c>
      <c r="B303" s="182" t="n">
        <v>1247</v>
      </c>
      <c r="C303" s="183" t="n">
        <v>58328</v>
      </c>
      <c r="D303" s="181" t="s">
        <v>3326</v>
      </c>
      <c r="E303" s="181" t="s">
        <v>332</v>
      </c>
      <c r="F303" s="181" t="s">
        <v>333</v>
      </c>
      <c r="G303" s="181" t="s">
        <v>228</v>
      </c>
      <c r="H303" s="181" t="s">
        <v>832</v>
      </c>
      <c r="I303" s="181" t="s">
        <v>220</v>
      </c>
      <c r="J303" s="184" t="n">
        <v>38260</v>
      </c>
      <c r="K303" s="184" t="n">
        <v>14710</v>
      </c>
      <c r="L303" s="185" t="n">
        <v>14</v>
      </c>
      <c r="M303" s="184" t="n">
        <v>23550</v>
      </c>
      <c r="N303" s="184" t="n">
        <v>20253</v>
      </c>
      <c r="O303" s="186" t="s">
        <v>957</v>
      </c>
      <c r="P303" s="187" t="n">
        <v>45896</v>
      </c>
    </row>
    <row r="304" customFormat="false" ht="51" hidden="false" customHeight="true" outlineLevel="0" collapsed="false">
      <c r="A304" s="181" t="s">
        <v>958</v>
      </c>
      <c r="B304" s="182" t="n">
        <v>1248</v>
      </c>
      <c r="C304" s="183" t="n">
        <v>58313</v>
      </c>
      <c r="D304" s="181" t="s">
        <v>3326</v>
      </c>
      <c r="E304" s="181" t="s">
        <v>409</v>
      </c>
      <c r="F304" s="181" t="s">
        <v>410</v>
      </c>
      <c r="G304" s="181" t="s">
        <v>228</v>
      </c>
      <c r="H304" s="181" t="s">
        <v>832</v>
      </c>
      <c r="I304" s="181" t="s">
        <v>220</v>
      </c>
      <c r="J304" s="184" t="n">
        <v>47150</v>
      </c>
      <c r="K304" s="184" t="n">
        <v>24110</v>
      </c>
      <c r="L304" s="185" t="n">
        <v>8</v>
      </c>
      <c r="M304" s="184" t="n">
        <v>23040</v>
      </c>
      <c r="N304" s="184" t="n">
        <v>21196.8</v>
      </c>
      <c r="O304" s="186" t="s">
        <v>959</v>
      </c>
      <c r="P304" s="187" t="n">
        <v>45896</v>
      </c>
    </row>
    <row r="305" customFormat="false" ht="51" hidden="false" customHeight="true" outlineLevel="0" collapsed="false">
      <c r="A305" s="181" t="s">
        <v>960</v>
      </c>
      <c r="B305" s="182" t="n">
        <v>1249</v>
      </c>
      <c r="C305" s="183" t="n">
        <v>58315</v>
      </c>
      <c r="D305" s="181" t="s">
        <v>3326</v>
      </c>
      <c r="E305" s="181" t="s">
        <v>413</v>
      </c>
      <c r="F305" s="181" t="s">
        <v>414</v>
      </c>
      <c r="G305" s="181" t="s">
        <v>228</v>
      </c>
      <c r="H305" s="181" t="s">
        <v>832</v>
      </c>
      <c r="I305" s="181" t="s">
        <v>220</v>
      </c>
      <c r="J305" s="184" t="n">
        <v>42290</v>
      </c>
      <c r="K305" s="184" t="n">
        <v>15520</v>
      </c>
      <c r="L305" s="185" t="n">
        <v>12</v>
      </c>
      <c r="M305" s="184" t="n">
        <v>26770</v>
      </c>
      <c r="N305" s="184" t="n">
        <v>23557.6</v>
      </c>
      <c r="O305" s="186" t="s">
        <v>961</v>
      </c>
      <c r="P305" s="187" t="n">
        <v>45896</v>
      </c>
    </row>
    <row r="306" customFormat="false" ht="51" hidden="false" customHeight="true" outlineLevel="0" collapsed="false">
      <c r="A306" s="181" t="s">
        <v>962</v>
      </c>
      <c r="B306" s="182" t="n">
        <v>1250</v>
      </c>
      <c r="C306" s="183" t="n">
        <v>58330</v>
      </c>
      <c r="D306" s="181" t="s">
        <v>3326</v>
      </c>
      <c r="E306" s="181" t="s">
        <v>377</v>
      </c>
      <c r="F306" s="181" t="s">
        <v>378</v>
      </c>
      <c r="G306" s="181" t="s">
        <v>228</v>
      </c>
      <c r="H306" s="181" t="s">
        <v>832</v>
      </c>
      <c r="I306" s="181" t="s">
        <v>220</v>
      </c>
      <c r="J306" s="184" t="n">
        <v>39940</v>
      </c>
      <c r="K306" s="184" t="n">
        <v>15590</v>
      </c>
      <c r="L306" s="185" t="n">
        <v>12</v>
      </c>
      <c r="M306" s="184" t="n">
        <v>24350</v>
      </c>
      <c r="N306" s="184" t="n">
        <v>21428</v>
      </c>
      <c r="O306" s="186" t="s">
        <v>963</v>
      </c>
      <c r="P306" s="187" t="n">
        <v>45896</v>
      </c>
    </row>
    <row r="307" customFormat="false" ht="51" hidden="false" customHeight="true" outlineLevel="0" collapsed="false">
      <c r="A307" s="181" t="s">
        <v>964</v>
      </c>
      <c r="B307" s="182" t="n">
        <v>1251</v>
      </c>
      <c r="C307" s="183" t="n">
        <v>58332</v>
      </c>
      <c r="D307" s="181" t="s">
        <v>3326</v>
      </c>
      <c r="E307" s="181" t="s">
        <v>383</v>
      </c>
      <c r="F307" s="181" t="s">
        <v>384</v>
      </c>
      <c r="G307" s="181" t="s">
        <v>228</v>
      </c>
      <c r="H307" s="181" t="s">
        <v>832</v>
      </c>
      <c r="I307" s="181" t="s">
        <v>220</v>
      </c>
      <c r="J307" s="184" t="n">
        <v>39850</v>
      </c>
      <c r="K307" s="184" t="n">
        <v>14810</v>
      </c>
      <c r="L307" s="185" t="n">
        <v>10</v>
      </c>
      <c r="M307" s="184" t="n">
        <v>25040</v>
      </c>
      <c r="N307" s="184" t="n">
        <v>22536</v>
      </c>
      <c r="O307" s="186" t="s">
        <v>965</v>
      </c>
      <c r="P307" s="187" t="n">
        <v>45896</v>
      </c>
    </row>
    <row r="308" customFormat="false" ht="51" hidden="false" customHeight="true" outlineLevel="0" collapsed="false">
      <c r="A308" s="181" t="s">
        <v>966</v>
      </c>
      <c r="B308" s="182" t="n">
        <v>1252</v>
      </c>
      <c r="C308" s="183" t="n">
        <v>58334</v>
      </c>
      <c r="D308" s="181" t="s">
        <v>3326</v>
      </c>
      <c r="E308" s="181" t="s">
        <v>576</v>
      </c>
      <c r="F308" s="181" t="s">
        <v>577</v>
      </c>
      <c r="G308" s="181" t="s">
        <v>228</v>
      </c>
      <c r="H308" s="181" t="s">
        <v>832</v>
      </c>
      <c r="I308" s="181" t="s">
        <v>220</v>
      </c>
      <c r="J308" s="184" t="n">
        <v>38890</v>
      </c>
      <c r="K308" s="184" t="n">
        <v>14430</v>
      </c>
      <c r="L308" s="185" t="n">
        <v>14</v>
      </c>
      <c r="M308" s="184" t="n">
        <v>24460</v>
      </c>
      <c r="N308" s="184" t="n">
        <v>21035.6</v>
      </c>
      <c r="O308" s="186" t="s">
        <v>967</v>
      </c>
      <c r="P308" s="187" t="n">
        <v>45896</v>
      </c>
    </row>
    <row r="309" customFormat="false" ht="51" hidden="false" customHeight="true" outlineLevel="0" collapsed="false">
      <c r="A309" s="181" t="s">
        <v>968</v>
      </c>
      <c r="B309" s="182" t="n">
        <v>1253</v>
      </c>
      <c r="C309" s="183" t="n">
        <v>58336</v>
      </c>
      <c r="D309" s="181" t="s">
        <v>3326</v>
      </c>
      <c r="E309" s="181" t="s">
        <v>261</v>
      </c>
      <c r="F309" s="181" t="s">
        <v>262</v>
      </c>
      <c r="G309" s="181" t="s">
        <v>228</v>
      </c>
      <c r="H309" s="181" t="s">
        <v>832</v>
      </c>
      <c r="I309" s="181" t="s">
        <v>220</v>
      </c>
      <c r="J309" s="184" t="n">
        <v>38490</v>
      </c>
      <c r="K309" s="184" t="n">
        <v>15020</v>
      </c>
      <c r="L309" s="185" t="n">
        <v>13</v>
      </c>
      <c r="M309" s="184" t="n">
        <v>23470</v>
      </c>
      <c r="N309" s="184" t="n">
        <v>20418.9</v>
      </c>
      <c r="O309" s="186" t="s">
        <v>969</v>
      </c>
      <c r="P309" s="187" t="n">
        <v>45896</v>
      </c>
    </row>
    <row r="310" customFormat="false" ht="51" hidden="false" customHeight="true" outlineLevel="0" collapsed="false">
      <c r="A310" s="181" t="s">
        <v>970</v>
      </c>
      <c r="B310" s="182" t="n">
        <v>1254</v>
      </c>
      <c r="C310" s="183" t="n">
        <v>58338</v>
      </c>
      <c r="D310" s="181" t="s">
        <v>3326</v>
      </c>
      <c r="E310" s="181" t="s">
        <v>537</v>
      </c>
      <c r="F310" s="181" t="s">
        <v>538</v>
      </c>
      <c r="G310" s="181" t="s">
        <v>228</v>
      </c>
      <c r="H310" s="181" t="s">
        <v>832</v>
      </c>
      <c r="I310" s="181" t="s">
        <v>220</v>
      </c>
      <c r="J310" s="184" t="n">
        <v>36410</v>
      </c>
      <c r="K310" s="184" t="n">
        <v>13950</v>
      </c>
      <c r="L310" s="185" t="n">
        <v>9</v>
      </c>
      <c r="M310" s="184" t="n">
        <v>22460</v>
      </c>
      <c r="N310" s="184" t="n">
        <v>20438.6</v>
      </c>
      <c r="O310" s="186" t="s">
        <v>971</v>
      </c>
      <c r="P310" s="187" t="n">
        <v>45896</v>
      </c>
    </row>
    <row r="311" customFormat="false" ht="51" hidden="false" customHeight="true" outlineLevel="0" collapsed="false">
      <c r="A311" s="181" t="s">
        <v>976</v>
      </c>
      <c r="B311" s="182" t="n">
        <v>1257</v>
      </c>
      <c r="C311" s="183" t="n">
        <v>58366</v>
      </c>
      <c r="D311" s="181" t="s">
        <v>3326</v>
      </c>
      <c r="E311" s="181" t="s">
        <v>272</v>
      </c>
      <c r="F311" s="181" t="s">
        <v>273</v>
      </c>
      <c r="G311" s="181" t="s">
        <v>228</v>
      </c>
      <c r="H311" s="181" t="s">
        <v>832</v>
      </c>
      <c r="I311" s="181" t="s">
        <v>220</v>
      </c>
      <c r="J311" s="184" t="n">
        <v>38040</v>
      </c>
      <c r="K311" s="184" t="n">
        <v>15600</v>
      </c>
      <c r="L311" s="185" t="n">
        <v>9</v>
      </c>
      <c r="M311" s="184" t="n">
        <v>22440</v>
      </c>
      <c r="N311" s="184" t="n">
        <v>20420.4</v>
      </c>
      <c r="O311" s="186" t="s">
        <v>977</v>
      </c>
      <c r="P311" s="187" t="n">
        <v>45897</v>
      </c>
    </row>
    <row r="312" customFormat="false" ht="51" hidden="false" customHeight="true" outlineLevel="0" collapsed="false">
      <c r="A312" s="181" t="s">
        <v>972</v>
      </c>
      <c r="B312" s="182" t="n">
        <v>1255</v>
      </c>
      <c r="C312" s="183" t="n">
        <v>58346</v>
      </c>
      <c r="D312" s="181" t="s">
        <v>3326</v>
      </c>
      <c r="E312" s="181" t="s">
        <v>292</v>
      </c>
      <c r="F312" s="181" t="s">
        <v>293</v>
      </c>
      <c r="G312" s="181" t="s">
        <v>228</v>
      </c>
      <c r="H312" s="181" t="s">
        <v>832</v>
      </c>
      <c r="I312" s="181" t="s">
        <v>220</v>
      </c>
      <c r="J312" s="184" t="n">
        <v>36810</v>
      </c>
      <c r="K312" s="184" t="n">
        <v>13910</v>
      </c>
      <c r="L312" s="185" t="n">
        <v>13</v>
      </c>
      <c r="M312" s="184" t="n">
        <v>22900</v>
      </c>
      <c r="N312" s="184" t="n">
        <v>19923</v>
      </c>
      <c r="O312" s="186" t="s">
        <v>973</v>
      </c>
      <c r="P312" s="187" t="n">
        <v>45897</v>
      </c>
    </row>
    <row r="313" customFormat="false" ht="51" hidden="false" customHeight="true" outlineLevel="0" collapsed="false">
      <c r="A313" s="181" t="s">
        <v>974</v>
      </c>
      <c r="B313" s="182" t="n">
        <v>1256</v>
      </c>
      <c r="C313" s="183" t="n">
        <v>58354</v>
      </c>
      <c r="D313" s="181" t="s">
        <v>3326</v>
      </c>
      <c r="E313" s="181" t="s">
        <v>439</v>
      </c>
      <c r="F313" s="181" t="s">
        <v>440</v>
      </c>
      <c r="G313" s="181" t="s">
        <v>228</v>
      </c>
      <c r="H313" s="181" t="s">
        <v>832</v>
      </c>
      <c r="I313" s="181" t="s">
        <v>220</v>
      </c>
      <c r="J313" s="184" t="n">
        <v>39570</v>
      </c>
      <c r="K313" s="184" t="n">
        <v>16130</v>
      </c>
      <c r="L313" s="185" t="n">
        <v>12</v>
      </c>
      <c r="M313" s="184" t="n">
        <v>23440</v>
      </c>
      <c r="N313" s="184" t="n">
        <v>20627.2</v>
      </c>
      <c r="O313" s="186" t="s">
        <v>975</v>
      </c>
      <c r="P313" s="187" t="n">
        <v>45897</v>
      </c>
    </row>
    <row r="314" customFormat="false" ht="51" hidden="false" customHeight="true" outlineLevel="0" collapsed="false">
      <c r="A314" s="181" t="s">
        <v>978</v>
      </c>
      <c r="B314" s="182" t="n">
        <v>1258</v>
      </c>
      <c r="C314" s="183" t="n">
        <v>58368</v>
      </c>
      <c r="D314" s="181" t="s">
        <v>3326</v>
      </c>
      <c r="E314" s="181" t="s">
        <v>582</v>
      </c>
      <c r="F314" s="181" t="s">
        <v>583</v>
      </c>
      <c r="G314" s="181" t="s">
        <v>228</v>
      </c>
      <c r="H314" s="181" t="s">
        <v>832</v>
      </c>
      <c r="I314" s="181" t="s">
        <v>220</v>
      </c>
      <c r="J314" s="184" t="n">
        <v>36840</v>
      </c>
      <c r="K314" s="184" t="n">
        <v>14740</v>
      </c>
      <c r="L314" s="185" t="n">
        <v>9</v>
      </c>
      <c r="M314" s="184" t="n">
        <v>22100</v>
      </c>
      <c r="N314" s="184" t="n">
        <v>20111</v>
      </c>
      <c r="O314" s="186" t="s">
        <v>979</v>
      </c>
      <c r="P314" s="187" t="n">
        <v>45897</v>
      </c>
    </row>
    <row r="315" customFormat="false" ht="51" hidden="false" customHeight="true" outlineLevel="0" collapsed="false">
      <c r="A315" s="181" t="s">
        <v>980</v>
      </c>
      <c r="B315" s="182" t="n">
        <v>1259</v>
      </c>
      <c r="C315" s="183" t="n">
        <v>58370</v>
      </c>
      <c r="D315" s="181" t="s">
        <v>3326</v>
      </c>
      <c r="E315" s="181" t="s">
        <v>431</v>
      </c>
      <c r="F315" s="181" t="s">
        <v>432</v>
      </c>
      <c r="G315" s="181" t="s">
        <v>228</v>
      </c>
      <c r="H315" s="181" t="s">
        <v>832</v>
      </c>
      <c r="I315" s="181" t="s">
        <v>220</v>
      </c>
      <c r="J315" s="184" t="n">
        <v>40480</v>
      </c>
      <c r="K315" s="184" t="n">
        <v>16670</v>
      </c>
      <c r="L315" s="185" t="n">
        <v>5</v>
      </c>
      <c r="M315" s="184" t="n">
        <v>23810</v>
      </c>
      <c r="N315" s="184" t="n">
        <v>22619.5</v>
      </c>
      <c r="O315" s="186" t="s">
        <v>981</v>
      </c>
      <c r="P315" s="187" t="n">
        <v>45897</v>
      </c>
    </row>
    <row r="316" customFormat="false" ht="51" hidden="false" customHeight="true" outlineLevel="0" collapsed="false">
      <c r="A316" s="181" t="s">
        <v>982</v>
      </c>
      <c r="B316" s="182" t="n">
        <v>1260</v>
      </c>
      <c r="C316" s="183" t="n">
        <v>58373</v>
      </c>
      <c r="D316" s="181" t="s">
        <v>3326</v>
      </c>
      <c r="E316" s="181" t="s">
        <v>435</v>
      </c>
      <c r="F316" s="181" t="s">
        <v>436</v>
      </c>
      <c r="G316" s="181" t="s">
        <v>228</v>
      </c>
      <c r="H316" s="181" t="s">
        <v>832</v>
      </c>
      <c r="I316" s="181" t="s">
        <v>220</v>
      </c>
      <c r="J316" s="184" t="n">
        <v>39730</v>
      </c>
      <c r="K316" s="184" t="n">
        <v>16540</v>
      </c>
      <c r="L316" s="185" t="n">
        <v>9</v>
      </c>
      <c r="M316" s="184" t="n">
        <v>23190</v>
      </c>
      <c r="N316" s="184" t="n">
        <v>21102.9</v>
      </c>
      <c r="O316" s="186" t="s">
        <v>983</v>
      </c>
      <c r="P316" s="187" t="n">
        <v>45897</v>
      </c>
    </row>
    <row r="317" customFormat="false" ht="51" hidden="false" customHeight="true" outlineLevel="0" collapsed="false">
      <c r="A317" s="181" t="s">
        <v>984</v>
      </c>
      <c r="B317" s="182" t="n">
        <v>1262</v>
      </c>
      <c r="C317" s="183" t="n">
        <v>58380</v>
      </c>
      <c r="D317" s="181" t="s">
        <v>3326</v>
      </c>
      <c r="E317" s="181" t="s">
        <v>336</v>
      </c>
      <c r="F317" s="181" t="s">
        <v>337</v>
      </c>
      <c r="G317" s="181" t="s">
        <v>228</v>
      </c>
      <c r="H317" s="181" t="s">
        <v>832</v>
      </c>
      <c r="I317" s="181" t="s">
        <v>220</v>
      </c>
      <c r="J317" s="184" t="n">
        <v>37960</v>
      </c>
      <c r="K317" s="184" t="n">
        <v>14480</v>
      </c>
      <c r="L317" s="185" t="n">
        <v>17</v>
      </c>
      <c r="M317" s="184" t="n">
        <v>23480</v>
      </c>
      <c r="N317" s="184" t="n">
        <v>19488.4</v>
      </c>
      <c r="O317" s="186" t="s">
        <v>985</v>
      </c>
      <c r="P317" s="187" t="n">
        <v>45897</v>
      </c>
    </row>
    <row r="318" customFormat="false" ht="51" hidden="false" customHeight="true" outlineLevel="0" collapsed="false">
      <c r="A318" s="181" t="s">
        <v>986</v>
      </c>
      <c r="B318" s="182" t="n">
        <v>1263</v>
      </c>
      <c r="C318" s="183" t="n">
        <v>58382</v>
      </c>
      <c r="D318" s="181" t="s">
        <v>3326</v>
      </c>
      <c r="E318" s="181" t="s">
        <v>340</v>
      </c>
      <c r="F318" s="181" t="s">
        <v>341</v>
      </c>
      <c r="G318" s="181" t="s">
        <v>228</v>
      </c>
      <c r="H318" s="181" t="s">
        <v>832</v>
      </c>
      <c r="I318" s="181" t="s">
        <v>220</v>
      </c>
      <c r="J318" s="184" t="n">
        <v>38440</v>
      </c>
      <c r="K318" s="184" t="n">
        <v>15070</v>
      </c>
      <c r="L318" s="185" t="n">
        <v>8</v>
      </c>
      <c r="M318" s="184" t="n">
        <v>23370</v>
      </c>
      <c r="N318" s="184" t="n">
        <v>21500.4</v>
      </c>
      <c r="O318" s="186" t="s">
        <v>987</v>
      </c>
      <c r="P318" s="187" t="n">
        <v>45897</v>
      </c>
    </row>
    <row r="319" customFormat="false" ht="51" hidden="false" customHeight="true" outlineLevel="0" collapsed="false">
      <c r="A319" s="181" t="s">
        <v>990</v>
      </c>
      <c r="B319" s="182" t="n">
        <v>1267</v>
      </c>
      <c r="C319" s="183" t="n">
        <v>58389</v>
      </c>
      <c r="D319" s="181" t="s">
        <v>3326</v>
      </c>
      <c r="E319" s="181" t="s">
        <v>391</v>
      </c>
      <c r="F319" s="181" t="s">
        <v>392</v>
      </c>
      <c r="G319" s="181" t="s">
        <v>228</v>
      </c>
      <c r="H319" s="181" t="s">
        <v>832</v>
      </c>
      <c r="I319" s="181" t="s">
        <v>220</v>
      </c>
      <c r="J319" s="184" t="n">
        <v>34920</v>
      </c>
      <c r="K319" s="184" t="n">
        <v>14470</v>
      </c>
      <c r="L319" s="185" t="n">
        <v>11</v>
      </c>
      <c r="M319" s="184" t="n">
        <v>20450</v>
      </c>
      <c r="N319" s="184" t="n">
        <v>18200.5</v>
      </c>
      <c r="O319" s="186" t="s">
        <v>991</v>
      </c>
      <c r="P319" s="187" t="n">
        <v>45897</v>
      </c>
    </row>
    <row r="320" customFormat="false" ht="51" hidden="false" customHeight="true" outlineLevel="0" collapsed="false">
      <c r="A320" s="181" t="s">
        <v>992</v>
      </c>
      <c r="B320" s="182" t="n">
        <v>1268</v>
      </c>
      <c r="C320" s="183" t="n">
        <v>58391</v>
      </c>
      <c r="D320" s="181" t="s">
        <v>3326</v>
      </c>
      <c r="E320" s="181" t="s">
        <v>529</v>
      </c>
      <c r="F320" s="181" t="s">
        <v>530</v>
      </c>
      <c r="G320" s="181" t="s">
        <v>228</v>
      </c>
      <c r="H320" s="181" t="s">
        <v>832</v>
      </c>
      <c r="I320" s="181" t="s">
        <v>220</v>
      </c>
      <c r="J320" s="184" t="n">
        <v>36340</v>
      </c>
      <c r="K320" s="184" t="n">
        <v>14830</v>
      </c>
      <c r="L320" s="185" t="n">
        <v>10</v>
      </c>
      <c r="M320" s="184" t="n">
        <v>21510</v>
      </c>
      <c r="N320" s="184" t="n">
        <v>19359</v>
      </c>
      <c r="O320" s="186" t="s">
        <v>993</v>
      </c>
      <c r="P320" s="187" t="n">
        <v>45897</v>
      </c>
    </row>
    <row r="321" customFormat="false" ht="51" hidden="false" customHeight="true" outlineLevel="0" collapsed="false">
      <c r="A321" s="181" t="s">
        <v>988</v>
      </c>
      <c r="B321" s="182" t="n">
        <v>1266</v>
      </c>
      <c r="C321" s="183" t="n">
        <v>58397</v>
      </c>
      <c r="D321" s="181" t="s">
        <v>3326</v>
      </c>
      <c r="E321" s="181" t="s">
        <v>277</v>
      </c>
      <c r="F321" s="181" t="s">
        <v>278</v>
      </c>
      <c r="G321" s="181" t="s">
        <v>228</v>
      </c>
      <c r="H321" s="181" t="s">
        <v>832</v>
      </c>
      <c r="I321" s="181" t="s">
        <v>220</v>
      </c>
      <c r="J321" s="184" t="n">
        <v>40560</v>
      </c>
      <c r="K321" s="184" t="n">
        <v>15180</v>
      </c>
      <c r="L321" s="185" t="n">
        <v>6</v>
      </c>
      <c r="M321" s="184" t="n">
        <v>25380</v>
      </c>
      <c r="N321" s="184" t="n">
        <v>23857.2</v>
      </c>
      <c r="O321" s="186" t="s">
        <v>989</v>
      </c>
      <c r="P321" s="187" t="n">
        <v>45897</v>
      </c>
    </row>
    <row r="322" customFormat="false" ht="51" hidden="false" customHeight="true" outlineLevel="0" collapsed="false">
      <c r="A322" s="181" t="s">
        <v>994</v>
      </c>
      <c r="B322" s="182" t="n">
        <v>1284</v>
      </c>
      <c r="C322" s="183" t="n">
        <v>58407</v>
      </c>
      <c r="D322" s="181" t="s">
        <v>3326</v>
      </c>
      <c r="E322" s="181" t="s">
        <v>308</v>
      </c>
      <c r="F322" s="181" t="s">
        <v>309</v>
      </c>
      <c r="G322" s="181" t="s">
        <v>228</v>
      </c>
      <c r="H322" s="181" t="s">
        <v>832</v>
      </c>
      <c r="I322" s="181" t="s">
        <v>220</v>
      </c>
      <c r="J322" s="184" t="n">
        <v>46980</v>
      </c>
      <c r="K322" s="184" t="n">
        <v>24070</v>
      </c>
      <c r="L322" s="185" t="n">
        <v>11</v>
      </c>
      <c r="M322" s="184" t="n">
        <v>22910</v>
      </c>
      <c r="N322" s="184" t="n">
        <v>20389.9</v>
      </c>
      <c r="O322" s="186" t="s">
        <v>995</v>
      </c>
      <c r="P322" s="187" t="n">
        <v>45897</v>
      </c>
    </row>
    <row r="323" customFormat="false" ht="51" hidden="false" customHeight="true" outlineLevel="0" collapsed="false">
      <c r="A323" s="181" t="s">
        <v>996</v>
      </c>
      <c r="B323" s="182" t="n">
        <v>1286</v>
      </c>
      <c r="C323" s="183" t="n">
        <v>58413</v>
      </c>
      <c r="D323" s="181" t="s">
        <v>3326</v>
      </c>
      <c r="E323" s="181" t="s">
        <v>350</v>
      </c>
      <c r="F323" s="181" t="s">
        <v>351</v>
      </c>
      <c r="G323" s="181" t="s">
        <v>228</v>
      </c>
      <c r="H323" s="181" t="s">
        <v>832</v>
      </c>
      <c r="I323" s="181" t="s">
        <v>220</v>
      </c>
      <c r="J323" s="184" t="n">
        <v>39230</v>
      </c>
      <c r="K323" s="184" t="n">
        <v>14950</v>
      </c>
      <c r="L323" s="185" t="n">
        <v>12</v>
      </c>
      <c r="M323" s="184" t="n">
        <v>24280</v>
      </c>
      <c r="N323" s="184" t="n">
        <v>21366.4</v>
      </c>
      <c r="O323" s="186" t="s">
        <v>997</v>
      </c>
      <c r="P323" s="187" t="n">
        <v>45897</v>
      </c>
    </row>
    <row r="324" customFormat="false" ht="51" hidden="false" customHeight="true" outlineLevel="0" collapsed="false">
      <c r="A324" s="181" t="s">
        <v>998</v>
      </c>
      <c r="B324" s="182" t="n">
        <v>1288</v>
      </c>
      <c r="C324" s="183" t="n">
        <v>58411</v>
      </c>
      <c r="D324" s="181" t="s">
        <v>3326</v>
      </c>
      <c r="E324" s="181" t="s">
        <v>373</v>
      </c>
      <c r="F324" s="181" t="s">
        <v>374</v>
      </c>
      <c r="G324" s="181" t="s">
        <v>228</v>
      </c>
      <c r="H324" s="181" t="s">
        <v>832</v>
      </c>
      <c r="I324" s="181" t="s">
        <v>220</v>
      </c>
      <c r="J324" s="184" t="n">
        <v>37910</v>
      </c>
      <c r="K324" s="184" t="n">
        <v>14200</v>
      </c>
      <c r="L324" s="185" t="n">
        <v>8</v>
      </c>
      <c r="M324" s="184" t="n">
        <v>23710</v>
      </c>
      <c r="N324" s="184" t="n">
        <v>21813.2</v>
      </c>
      <c r="O324" s="186" t="s">
        <v>999</v>
      </c>
      <c r="P324" s="187" t="n">
        <v>45897</v>
      </c>
    </row>
    <row r="325" customFormat="false" ht="51" hidden="false" customHeight="true" outlineLevel="0" collapsed="false">
      <c r="A325" s="181" t="s">
        <v>1000</v>
      </c>
      <c r="B325" s="182" t="n">
        <v>1289</v>
      </c>
      <c r="C325" s="183" t="n">
        <v>58416</v>
      </c>
      <c r="D325" s="181" t="s">
        <v>3326</v>
      </c>
      <c r="E325" s="181" t="s">
        <v>541</v>
      </c>
      <c r="F325" s="181" t="s">
        <v>542</v>
      </c>
      <c r="G325" s="181" t="s">
        <v>228</v>
      </c>
      <c r="H325" s="181" t="s">
        <v>832</v>
      </c>
      <c r="I325" s="181" t="s">
        <v>220</v>
      </c>
      <c r="J325" s="184" t="n">
        <v>40490</v>
      </c>
      <c r="K325" s="184" t="n">
        <v>14970</v>
      </c>
      <c r="L325" s="185" t="n">
        <v>15</v>
      </c>
      <c r="M325" s="184" t="n">
        <v>25520</v>
      </c>
      <c r="N325" s="184" t="n">
        <v>21692</v>
      </c>
      <c r="O325" s="186" t="s">
        <v>1001</v>
      </c>
      <c r="P325" s="187" t="n">
        <v>45897</v>
      </c>
    </row>
    <row r="326" customFormat="false" ht="51" hidden="false" customHeight="true" outlineLevel="0" collapsed="false">
      <c r="A326" s="181" t="s">
        <v>1002</v>
      </c>
      <c r="B326" s="182" t="n">
        <v>1291</v>
      </c>
      <c r="C326" s="183" t="n">
        <v>58418</v>
      </c>
      <c r="D326" s="181" t="s">
        <v>3326</v>
      </c>
      <c r="E326" s="181" t="s">
        <v>288</v>
      </c>
      <c r="F326" s="181" t="s">
        <v>289</v>
      </c>
      <c r="G326" s="181" t="s">
        <v>228</v>
      </c>
      <c r="H326" s="181" t="s">
        <v>832</v>
      </c>
      <c r="I326" s="181" t="s">
        <v>220</v>
      </c>
      <c r="J326" s="184" t="n">
        <v>38590</v>
      </c>
      <c r="K326" s="184" t="n">
        <v>14560</v>
      </c>
      <c r="L326" s="185" t="n">
        <v>13</v>
      </c>
      <c r="M326" s="184" t="n">
        <v>24030</v>
      </c>
      <c r="N326" s="184" t="n">
        <v>20906.1</v>
      </c>
      <c r="O326" s="186" t="s">
        <v>1003</v>
      </c>
      <c r="P326" s="187" t="n">
        <v>45897</v>
      </c>
    </row>
    <row r="327" customFormat="false" ht="51" hidden="false" customHeight="true" outlineLevel="0" collapsed="false">
      <c r="A327" s="181" t="s">
        <v>1004</v>
      </c>
      <c r="B327" s="182" t="n">
        <v>1292</v>
      </c>
      <c r="C327" s="183" t="n">
        <v>58420</v>
      </c>
      <c r="D327" s="181" t="s">
        <v>3326</v>
      </c>
      <c r="E327" s="181" t="s">
        <v>399</v>
      </c>
      <c r="F327" s="181" t="s">
        <v>400</v>
      </c>
      <c r="G327" s="181" t="s">
        <v>228</v>
      </c>
      <c r="H327" s="181" t="s">
        <v>832</v>
      </c>
      <c r="I327" s="181" t="s">
        <v>220</v>
      </c>
      <c r="J327" s="184" t="n">
        <v>46960</v>
      </c>
      <c r="K327" s="184" t="n">
        <v>19350</v>
      </c>
      <c r="L327" s="185" t="n">
        <v>6</v>
      </c>
      <c r="M327" s="184" t="n">
        <v>27610</v>
      </c>
      <c r="N327" s="184" t="n">
        <v>25953.4</v>
      </c>
      <c r="O327" s="186" t="s">
        <v>1005</v>
      </c>
      <c r="P327" s="187" t="n">
        <v>45897</v>
      </c>
    </row>
    <row r="328" customFormat="false" ht="51" hidden="false" customHeight="true" outlineLevel="0" collapsed="false">
      <c r="A328" s="181" t="s">
        <v>1006</v>
      </c>
      <c r="B328" s="182" t="n">
        <v>1293</v>
      </c>
      <c r="C328" s="183" t="n">
        <v>58432</v>
      </c>
      <c r="D328" s="181" t="s">
        <v>3326</v>
      </c>
      <c r="E328" s="181" t="s">
        <v>282</v>
      </c>
      <c r="F328" s="181" t="s">
        <v>283</v>
      </c>
      <c r="G328" s="181" t="s">
        <v>228</v>
      </c>
      <c r="H328" s="181" t="s">
        <v>832</v>
      </c>
      <c r="I328" s="181" t="s">
        <v>220</v>
      </c>
      <c r="J328" s="184" t="n">
        <v>39220</v>
      </c>
      <c r="K328" s="184" t="n">
        <v>15040</v>
      </c>
      <c r="L328" s="185" t="n">
        <v>6</v>
      </c>
      <c r="M328" s="184" t="n">
        <v>24180</v>
      </c>
      <c r="N328" s="184" t="n">
        <v>22729.2</v>
      </c>
      <c r="O328" s="186" t="s">
        <v>1007</v>
      </c>
      <c r="P328" s="187" t="n">
        <v>45897</v>
      </c>
    </row>
    <row r="329" customFormat="false" ht="51" hidden="false" customHeight="true" outlineLevel="0" collapsed="false">
      <c r="A329" s="181" t="s">
        <v>1008</v>
      </c>
      <c r="B329" s="182" t="n">
        <v>1294</v>
      </c>
      <c r="C329" s="183" t="n">
        <v>58427</v>
      </c>
      <c r="D329" s="181" t="s">
        <v>3326</v>
      </c>
      <c r="E329" s="181" t="s">
        <v>387</v>
      </c>
      <c r="F329" s="181" t="s">
        <v>388</v>
      </c>
      <c r="G329" s="181" t="s">
        <v>228</v>
      </c>
      <c r="H329" s="181" t="s">
        <v>832</v>
      </c>
      <c r="I329" s="181" t="s">
        <v>220</v>
      </c>
      <c r="J329" s="184" t="n">
        <v>39160</v>
      </c>
      <c r="K329" s="184" t="n">
        <v>14970</v>
      </c>
      <c r="L329" s="185" t="n">
        <v>7</v>
      </c>
      <c r="M329" s="184" t="n">
        <v>24190</v>
      </c>
      <c r="N329" s="184" t="n">
        <v>22496.7</v>
      </c>
      <c r="O329" s="186" t="s">
        <v>1009</v>
      </c>
      <c r="P329" s="187" t="n">
        <v>45897</v>
      </c>
    </row>
    <row r="330" customFormat="false" ht="51" hidden="false" customHeight="true" outlineLevel="0" collapsed="false">
      <c r="A330" s="181" t="s">
        <v>1010</v>
      </c>
      <c r="B330" s="182" t="n">
        <v>1295</v>
      </c>
      <c r="C330" s="183" t="n">
        <v>58437</v>
      </c>
      <c r="D330" s="181" t="s">
        <v>3326</v>
      </c>
      <c r="E330" s="181" t="s">
        <v>533</v>
      </c>
      <c r="F330" s="181" t="s">
        <v>534</v>
      </c>
      <c r="G330" s="181" t="s">
        <v>228</v>
      </c>
      <c r="H330" s="181" t="s">
        <v>832</v>
      </c>
      <c r="I330" s="181" t="s">
        <v>220</v>
      </c>
      <c r="J330" s="184" t="n">
        <v>40960</v>
      </c>
      <c r="K330" s="184" t="n">
        <v>14620</v>
      </c>
      <c r="L330" s="185" t="n">
        <v>7</v>
      </c>
      <c r="M330" s="184" t="n">
        <v>26340</v>
      </c>
      <c r="N330" s="184" t="n">
        <v>24496.2</v>
      </c>
      <c r="O330" s="186" t="s">
        <v>1011</v>
      </c>
      <c r="P330" s="187" t="n">
        <v>45897</v>
      </c>
    </row>
    <row r="331" customFormat="false" ht="51" hidden="false" customHeight="true" outlineLevel="0" collapsed="false">
      <c r="A331" s="181" t="s">
        <v>1012</v>
      </c>
      <c r="B331" s="182" t="n">
        <v>1296</v>
      </c>
      <c r="C331" s="183" t="n">
        <v>58425</v>
      </c>
      <c r="D331" s="181" t="s">
        <v>3326</v>
      </c>
      <c r="E331" s="181" t="s">
        <v>549</v>
      </c>
      <c r="F331" s="181" t="s">
        <v>550</v>
      </c>
      <c r="G331" s="181" t="s">
        <v>228</v>
      </c>
      <c r="H331" s="181" t="s">
        <v>832</v>
      </c>
      <c r="I331" s="181" t="s">
        <v>220</v>
      </c>
      <c r="J331" s="184" t="n">
        <v>41180</v>
      </c>
      <c r="K331" s="184" t="n">
        <v>15670</v>
      </c>
      <c r="L331" s="185" t="n">
        <v>9</v>
      </c>
      <c r="M331" s="184" t="n">
        <v>25510</v>
      </c>
      <c r="N331" s="184" t="n">
        <v>23214.1</v>
      </c>
      <c r="O331" s="186" t="s">
        <v>1013</v>
      </c>
      <c r="P331" s="187" t="n">
        <v>45897</v>
      </c>
    </row>
    <row r="332" customFormat="false" ht="51" hidden="false" customHeight="true" outlineLevel="0" collapsed="false">
      <c r="A332" s="181" t="s">
        <v>1014</v>
      </c>
      <c r="B332" s="182" t="n">
        <v>1297</v>
      </c>
      <c r="C332" s="183" t="n">
        <v>58440</v>
      </c>
      <c r="D332" s="181" t="s">
        <v>3326</v>
      </c>
      <c r="E332" s="181" t="s">
        <v>377</v>
      </c>
      <c r="F332" s="181" t="s">
        <v>378</v>
      </c>
      <c r="G332" s="181" t="s">
        <v>228</v>
      </c>
      <c r="H332" s="181" t="s">
        <v>832</v>
      </c>
      <c r="I332" s="181" t="s">
        <v>220</v>
      </c>
      <c r="J332" s="184" t="n">
        <v>39780</v>
      </c>
      <c r="K332" s="184" t="n">
        <v>15580</v>
      </c>
      <c r="L332" s="185" t="n">
        <v>6</v>
      </c>
      <c r="M332" s="184" t="n">
        <v>24200</v>
      </c>
      <c r="N332" s="184" t="n">
        <v>22748</v>
      </c>
      <c r="O332" s="186" t="s">
        <v>1015</v>
      </c>
      <c r="P332" s="187" t="n">
        <v>45897</v>
      </c>
    </row>
    <row r="333" customFormat="false" ht="51" hidden="false" customHeight="true" outlineLevel="0" collapsed="false">
      <c r="A333" s="181" t="s">
        <v>1016</v>
      </c>
      <c r="B333" s="182" t="n">
        <v>1298</v>
      </c>
      <c r="C333" s="183" t="n">
        <v>58448</v>
      </c>
      <c r="D333" s="181" t="s">
        <v>3326</v>
      </c>
      <c r="E333" s="181" t="s">
        <v>545</v>
      </c>
      <c r="F333" s="181" t="s">
        <v>546</v>
      </c>
      <c r="G333" s="181" t="s">
        <v>228</v>
      </c>
      <c r="H333" s="181" t="s">
        <v>832</v>
      </c>
      <c r="I333" s="181" t="s">
        <v>220</v>
      </c>
      <c r="J333" s="184" t="n">
        <v>42440</v>
      </c>
      <c r="K333" s="184" t="n">
        <v>16120</v>
      </c>
      <c r="L333" s="185" t="n">
        <v>6</v>
      </c>
      <c r="M333" s="184" t="n">
        <v>26320</v>
      </c>
      <c r="N333" s="184" t="n">
        <v>24740.8</v>
      </c>
      <c r="O333" s="186" t="s">
        <v>1017</v>
      </c>
      <c r="P333" s="187" t="n">
        <v>45897</v>
      </c>
    </row>
    <row r="334" customFormat="false" ht="51" hidden="false" customHeight="true" outlineLevel="0" collapsed="false">
      <c r="A334" s="181" t="s">
        <v>1018</v>
      </c>
      <c r="B334" s="182" t="n">
        <v>1300</v>
      </c>
      <c r="C334" s="183" t="n">
        <v>58445</v>
      </c>
      <c r="D334" s="181" t="s">
        <v>3326</v>
      </c>
      <c r="E334" s="181" t="s">
        <v>1019</v>
      </c>
      <c r="F334" s="181" t="s">
        <v>1020</v>
      </c>
      <c r="G334" s="181" t="s">
        <v>227</v>
      </c>
      <c r="H334" s="181" t="s">
        <v>520</v>
      </c>
      <c r="I334" s="181" t="s">
        <v>220</v>
      </c>
      <c r="J334" s="184" t="n">
        <v>43980</v>
      </c>
      <c r="K334" s="184" t="n">
        <v>17080</v>
      </c>
      <c r="L334" s="185" t="n">
        <v>13</v>
      </c>
      <c r="M334" s="184" t="n">
        <v>26900</v>
      </c>
      <c r="N334" s="184" t="n">
        <v>23403</v>
      </c>
      <c r="O334" s="186" t="s">
        <v>1021</v>
      </c>
      <c r="P334" s="187" t="n">
        <v>45898</v>
      </c>
    </row>
    <row r="335" customFormat="false" ht="51" hidden="false" customHeight="true" outlineLevel="0" collapsed="false">
      <c r="A335" s="181" t="s">
        <v>1022</v>
      </c>
      <c r="B335" s="182" t="n">
        <v>1302</v>
      </c>
      <c r="C335" s="183" t="n">
        <v>58450</v>
      </c>
      <c r="D335" s="181" t="s">
        <v>3326</v>
      </c>
      <c r="E335" s="181" t="s">
        <v>1023</v>
      </c>
      <c r="F335" s="181" t="s">
        <v>1024</v>
      </c>
      <c r="G335" s="181" t="s">
        <v>227</v>
      </c>
      <c r="H335" s="181" t="s">
        <v>520</v>
      </c>
      <c r="I335" s="181" t="s">
        <v>220</v>
      </c>
      <c r="J335" s="184" t="n">
        <v>35120</v>
      </c>
      <c r="K335" s="184" t="n">
        <v>14740</v>
      </c>
      <c r="L335" s="185" t="n">
        <v>8</v>
      </c>
      <c r="M335" s="184" t="n">
        <v>20380</v>
      </c>
      <c r="N335" s="184" t="n">
        <v>18749.6</v>
      </c>
      <c r="O335" s="186" t="s">
        <v>1025</v>
      </c>
      <c r="P335" s="187" t="n">
        <v>45898</v>
      </c>
    </row>
    <row r="336" customFormat="false" ht="51" hidden="false" customHeight="true" outlineLevel="0" collapsed="false">
      <c r="A336" s="181" t="s">
        <v>1026</v>
      </c>
      <c r="B336" s="182" t="n">
        <v>1303</v>
      </c>
      <c r="C336" s="183" t="n">
        <v>58452</v>
      </c>
      <c r="D336" s="181" t="s">
        <v>3326</v>
      </c>
      <c r="E336" s="181" t="s">
        <v>1027</v>
      </c>
      <c r="F336" s="181" t="s">
        <v>1028</v>
      </c>
      <c r="G336" s="181" t="s">
        <v>227</v>
      </c>
      <c r="H336" s="181" t="s">
        <v>520</v>
      </c>
      <c r="I336" s="181" t="s">
        <v>220</v>
      </c>
      <c r="J336" s="184" t="n">
        <v>37730</v>
      </c>
      <c r="K336" s="184" t="n">
        <v>14970</v>
      </c>
      <c r="L336" s="185" t="n">
        <v>6</v>
      </c>
      <c r="M336" s="184" t="n">
        <v>22760</v>
      </c>
      <c r="N336" s="184" t="n">
        <v>21394.4</v>
      </c>
      <c r="O336" s="186" t="s">
        <v>1029</v>
      </c>
      <c r="P336" s="187" t="n">
        <v>45898</v>
      </c>
    </row>
    <row r="337" customFormat="false" ht="51" hidden="false" customHeight="true" outlineLevel="0" collapsed="false">
      <c r="A337" s="181" t="s">
        <v>1030</v>
      </c>
      <c r="B337" s="182" t="n">
        <v>1304</v>
      </c>
      <c r="C337" s="183" t="n">
        <v>58523</v>
      </c>
      <c r="D337" s="181" t="s">
        <v>3326</v>
      </c>
      <c r="E337" s="181" t="s">
        <v>292</v>
      </c>
      <c r="F337" s="181" t="s">
        <v>293</v>
      </c>
      <c r="G337" s="181" t="s">
        <v>227</v>
      </c>
      <c r="H337" s="181" t="s">
        <v>520</v>
      </c>
      <c r="I337" s="181" t="s">
        <v>220</v>
      </c>
      <c r="J337" s="184" t="n">
        <v>36380</v>
      </c>
      <c r="K337" s="184" t="n">
        <v>13920</v>
      </c>
      <c r="L337" s="185" t="n">
        <v>7</v>
      </c>
      <c r="M337" s="184" t="n">
        <v>22460</v>
      </c>
      <c r="N337" s="184" t="n">
        <v>20887.8</v>
      </c>
      <c r="O337" s="186" t="s">
        <v>1031</v>
      </c>
      <c r="P337" s="187" t="n">
        <v>45898</v>
      </c>
    </row>
    <row r="338" customFormat="false" ht="51" hidden="false" customHeight="true" outlineLevel="0" collapsed="false">
      <c r="A338" s="181" t="s">
        <v>1032</v>
      </c>
      <c r="B338" s="182" t="n">
        <v>1305</v>
      </c>
      <c r="C338" s="183" t="n">
        <v>58492</v>
      </c>
      <c r="D338" s="181" t="s">
        <v>3326</v>
      </c>
      <c r="E338" s="181" t="s">
        <v>300</v>
      </c>
      <c r="F338" s="181" t="s">
        <v>301</v>
      </c>
      <c r="G338" s="181" t="s">
        <v>227</v>
      </c>
      <c r="H338" s="181" t="s">
        <v>520</v>
      </c>
      <c r="I338" s="181" t="s">
        <v>220</v>
      </c>
      <c r="J338" s="184" t="n">
        <v>45120</v>
      </c>
      <c r="K338" s="184" t="n">
        <v>20860</v>
      </c>
      <c r="L338" s="185" t="n">
        <v>8</v>
      </c>
      <c r="M338" s="184" t="n">
        <v>24260</v>
      </c>
      <c r="N338" s="184" t="n">
        <v>22319.2</v>
      </c>
      <c r="O338" s="186" t="s">
        <v>1033</v>
      </c>
      <c r="P338" s="187" t="n">
        <v>45898</v>
      </c>
    </row>
    <row r="339" customFormat="false" ht="51" hidden="false" customHeight="true" outlineLevel="0" collapsed="false">
      <c r="A339" s="181" t="s">
        <v>1034</v>
      </c>
      <c r="B339" s="182" t="n">
        <v>1306</v>
      </c>
      <c r="C339" s="183" t="n">
        <v>58462</v>
      </c>
      <c r="D339" s="181" t="s">
        <v>3326</v>
      </c>
      <c r="E339" s="181" t="s">
        <v>537</v>
      </c>
      <c r="F339" s="181" t="s">
        <v>538</v>
      </c>
      <c r="G339" s="181" t="s">
        <v>227</v>
      </c>
      <c r="H339" s="181" t="s">
        <v>520</v>
      </c>
      <c r="I339" s="181" t="s">
        <v>220</v>
      </c>
      <c r="J339" s="184" t="n">
        <v>35850</v>
      </c>
      <c r="K339" s="184" t="n">
        <v>13980</v>
      </c>
      <c r="L339" s="185" t="n">
        <v>8</v>
      </c>
      <c r="M339" s="184" t="n">
        <v>21870</v>
      </c>
      <c r="N339" s="184" t="n">
        <v>20120.4</v>
      </c>
      <c r="O339" s="186" t="s">
        <v>1035</v>
      </c>
      <c r="P339" s="187" t="n">
        <v>45898</v>
      </c>
    </row>
    <row r="340" customFormat="false" ht="51" hidden="false" customHeight="true" outlineLevel="0" collapsed="false">
      <c r="A340" s="181" t="s">
        <v>1036</v>
      </c>
      <c r="B340" s="182" t="n">
        <v>1307</v>
      </c>
      <c r="C340" s="183" t="n">
        <v>58525</v>
      </c>
      <c r="D340" s="181" t="s">
        <v>3326</v>
      </c>
      <c r="E340" s="181" t="s">
        <v>346</v>
      </c>
      <c r="F340" s="181" t="s">
        <v>347</v>
      </c>
      <c r="G340" s="181" t="s">
        <v>227</v>
      </c>
      <c r="H340" s="181" t="s">
        <v>520</v>
      </c>
      <c r="I340" s="181" t="s">
        <v>220</v>
      </c>
      <c r="J340" s="184" t="n">
        <v>37740</v>
      </c>
      <c r="K340" s="184" t="n">
        <v>15030</v>
      </c>
      <c r="L340" s="185" t="n">
        <v>4</v>
      </c>
      <c r="M340" s="184" t="n">
        <v>22710</v>
      </c>
      <c r="N340" s="184" t="n">
        <v>21801.6</v>
      </c>
      <c r="O340" s="186" t="s">
        <v>1037</v>
      </c>
      <c r="P340" s="187" t="n">
        <v>45898</v>
      </c>
    </row>
    <row r="341" customFormat="false" ht="51" hidden="false" customHeight="true" outlineLevel="0" collapsed="false">
      <c r="A341" s="181" t="s">
        <v>1038</v>
      </c>
      <c r="B341" s="182" t="n">
        <v>1311</v>
      </c>
      <c r="C341" s="183" t="n">
        <v>58535</v>
      </c>
      <c r="D341" s="181" t="s">
        <v>3326</v>
      </c>
      <c r="E341" s="181" t="s">
        <v>409</v>
      </c>
      <c r="F341" s="181" t="s">
        <v>410</v>
      </c>
      <c r="G341" s="181" t="s">
        <v>227</v>
      </c>
      <c r="H341" s="181" t="s">
        <v>520</v>
      </c>
      <c r="I341" s="181" t="s">
        <v>220</v>
      </c>
      <c r="J341" s="184" t="n">
        <v>47000</v>
      </c>
      <c r="K341" s="184" t="n">
        <v>24160</v>
      </c>
      <c r="L341" s="185" t="n">
        <v>6</v>
      </c>
      <c r="M341" s="184" t="n">
        <v>22840</v>
      </c>
      <c r="N341" s="184" t="n">
        <v>21469.6</v>
      </c>
      <c r="O341" s="186" t="s">
        <v>1039</v>
      </c>
      <c r="P341" s="187" t="n">
        <v>45898</v>
      </c>
    </row>
    <row r="342" customFormat="false" ht="51" hidden="false" customHeight="true" outlineLevel="0" collapsed="false">
      <c r="A342" s="181" t="s">
        <v>1040</v>
      </c>
      <c r="B342" s="182" t="n">
        <v>1312</v>
      </c>
      <c r="C342" s="183" t="n">
        <v>58513</v>
      </c>
      <c r="D342" s="181" t="s">
        <v>3326</v>
      </c>
      <c r="E342" s="181" t="s">
        <v>413</v>
      </c>
      <c r="F342" s="181" t="s">
        <v>414</v>
      </c>
      <c r="G342" s="181" t="s">
        <v>227</v>
      </c>
      <c r="H342" s="181" t="s">
        <v>520</v>
      </c>
      <c r="I342" s="181" t="s">
        <v>220</v>
      </c>
      <c r="J342" s="184" t="n">
        <v>42350</v>
      </c>
      <c r="K342" s="184" t="n">
        <v>15590</v>
      </c>
      <c r="L342" s="185" t="n">
        <v>6</v>
      </c>
      <c r="M342" s="184" t="n">
        <v>26760</v>
      </c>
      <c r="N342" s="184" t="n">
        <v>25154.4</v>
      </c>
      <c r="O342" s="186" t="s">
        <v>1041</v>
      </c>
      <c r="P342" s="187" t="n">
        <v>45898</v>
      </c>
    </row>
    <row r="343" customFormat="false" ht="51" hidden="false" customHeight="true" outlineLevel="0" collapsed="false">
      <c r="A343" s="181" t="s">
        <v>1042</v>
      </c>
      <c r="B343" s="182" t="n">
        <v>1314</v>
      </c>
      <c r="C343" s="183" t="n">
        <v>58537</v>
      </c>
      <c r="D343" s="181" t="s">
        <v>3326</v>
      </c>
      <c r="E343" s="181" t="s">
        <v>354</v>
      </c>
      <c r="F343" s="181" t="s">
        <v>355</v>
      </c>
      <c r="G343" s="181" t="s">
        <v>227</v>
      </c>
      <c r="H343" s="181" t="s">
        <v>520</v>
      </c>
      <c r="I343" s="181" t="s">
        <v>220</v>
      </c>
      <c r="J343" s="184" t="n">
        <v>36610</v>
      </c>
      <c r="K343" s="184" t="n">
        <v>14740</v>
      </c>
      <c r="L343" s="185" t="n">
        <v>6</v>
      </c>
      <c r="M343" s="184" t="n">
        <v>21870</v>
      </c>
      <c r="N343" s="184" t="n">
        <v>20557.8</v>
      </c>
      <c r="O343" s="186" t="s">
        <v>1043</v>
      </c>
      <c r="P343" s="187" t="n">
        <v>45898</v>
      </c>
    </row>
    <row r="344" customFormat="false" ht="51" hidden="false" customHeight="true" outlineLevel="0" collapsed="false">
      <c r="A344" s="181" t="s">
        <v>1044</v>
      </c>
      <c r="B344" s="182" t="n">
        <v>1315</v>
      </c>
      <c r="C344" s="183" t="n">
        <v>58539</v>
      </c>
      <c r="D344" s="181" t="s">
        <v>3326</v>
      </c>
      <c r="E344" s="181" t="s">
        <v>359</v>
      </c>
      <c r="F344" s="181" t="s">
        <v>360</v>
      </c>
      <c r="G344" s="181" t="s">
        <v>227</v>
      </c>
      <c r="H344" s="181" t="s">
        <v>520</v>
      </c>
      <c r="I344" s="181" t="s">
        <v>220</v>
      </c>
      <c r="J344" s="184" t="n">
        <v>37510</v>
      </c>
      <c r="K344" s="184" t="n">
        <v>14910</v>
      </c>
      <c r="L344" s="185" t="n">
        <v>8</v>
      </c>
      <c r="M344" s="184" t="n">
        <v>22600</v>
      </c>
      <c r="N344" s="184" t="n">
        <v>20792</v>
      </c>
      <c r="O344" s="186" t="s">
        <v>1045</v>
      </c>
      <c r="P344" s="187" t="n">
        <v>45898</v>
      </c>
    </row>
    <row r="345" customFormat="false" ht="51" hidden="false" customHeight="true" outlineLevel="0" collapsed="false">
      <c r="A345" s="181" t="s">
        <v>1046</v>
      </c>
      <c r="B345" s="182" t="n">
        <v>1332</v>
      </c>
      <c r="C345" s="183" t="n">
        <v>58542</v>
      </c>
      <c r="D345" s="181" t="s">
        <v>3326</v>
      </c>
      <c r="E345" s="181" t="s">
        <v>576</v>
      </c>
      <c r="F345" s="181" t="s">
        <v>577</v>
      </c>
      <c r="G345" s="181" t="s">
        <v>227</v>
      </c>
      <c r="H345" s="181" t="s">
        <v>520</v>
      </c>
      <c r="I345" s="181" t="s">
        <v>220</v>
      </c>
      <c r="J345" s="184" t="n">
        <v>38140</v>
      </c>
      <c r="K345" s="184" t="n">
        <v>14430</v>
      </c>
      <c r="L345" s="185" t="n">
        <v>6</v>
      </c>
      <c r="M345" s="184" t="n">
        <v>23710</v>
      </c>
      <c r="N345" s="184" t="n">
        <v>22287.4</v>
      </c>
      <c r="O345" s="186" t="s">
        <v>1047</v>
      </c>
      <c r="P345" s="187" t="n">
        <v>45898</v>
      </c>
    </row>
    <row r="346" customFormat="false" ht="51" hidden="false" customHeight="true" outlineLevel="0" collapsed="false">
      <c r="A346" s="181" t="s">
        <v>1048</v>
      </c>
      <c r="B346" s="182" t="n">
        <v>1333</v>
      </c>
      <c r="C346" s="183" t="n">
        <v>58544</v>
      </c>
      <c r="D346" s="181" t="s">
        <v>3326</v>
      </c>
      <c r="E346" s="181" t="s">
        <v>261</v>
      </c>
      <c r="F346" s="181" t="s">
        <v>262</v>
      </c>
      <c r="G346" s="181" t="s">
        <v>227</v>
      </c>
      <c r="H346" s="181" t="s">
        <v>520</v>
      </c>
      <c r="I346" s="181" t="s">
        <v>220</v>
      </c>
      <c r="J346" s="184" t="n">
        <v>38140</v>
      </c>
      <c r="K346" s="184" t="n">
        <v>15040</v>
      </c>
      <c r="L346" s="185" t="n">
        <v>5</v>
      </c>
      <c r="M346" s="184" t="n">
        <v>23100</v>
      </c>
      <c r="N346" s="184" t="n">
        <v>21945</v>
      </c>
      <c r="O346" s="186" t="s">
        <v>1049</v>
      </c>
      <c r="P346" s="187" t="n">
        <v>45898</v>
      </c>
    </row>
    <row r="347" customFormat="false" ht="51" hidden="false" customHeight="true" outlineLevel="0" collapsed="false">
      <c r="A347" s="181" t="s">
        <v>1050</v>
      </c>
      <c r="B347" s="182" t="n">
        <v>1335</v>
      </c>
      <c r="C347" s="183" t="n">
        <v>58509</v>
      </c>
      <c r="D347" s="181" t="s">
        <v>3326</v>
      </c>
      <c r="E347" s="181" t="s">
        <v>340</v>
      </c>
      <c r="F347" s="181" t="s">
        <v>341</v>
      </c>
      <c r="G347" s="181" t="s">
        <v>227</v>
      </c>
      <c r="H347" s="181" t="s">
        <v>520</v>
      </c>
      <c r="I347" s="181" t="s">
        <v>220</v>
      </c>
      <c r="J347" s="184" t="n">
        <v>38340</v>
      </c>
      <c r="K347" s="184" t="n">
        <v>15030</v>
      </c>
      <c r="L347" s="185" t="n">
        <v>6</v>
      </c>
      <c r="M347" s="184" t="n">
        <v>23310</v>
      </c>
      <c r="N347" s="184" t="n">
        <v>21911.4</v>
      </c>
      <c r="O347" s="186" t="s">
        <v>1051</v>
      </c>
      <c r="P347" s="187" t="n">
        <v>45898</v>
      </c>
    </row>
    <row r="348" customFormat="false" ht="51" hidden="false" customHeight="true" outlineLevel="0" collapsed="false">
      <c r="A348" s="181" t="s">
        <v>1052</v>
      </c>
      <c r="B348" s="182" t="n">
        <v>1336</v>
      </c>
      <c r="C348" s="183" t="n">
        <v>58511</v>
      </c>
      <c r="D348" s="181" t="s">
        <v>3326</v>
      </c>
      <c r="E348" s="181" t="s">
        <v>1053</v>
      </c>
      <c r="F348" s="181" t="s">
        <v>337</v>
      </c>
      <c r="G348" s="181" t="s">
        <v>227</v>
      </c>
      <c r="H348" s="181" t="s">
        <v>520</v>
      </c>
      <c r="I348" s="181" t="s">
        <v>220</v>
      </c>
      <c r="J348" s="184" t="n">
        <v>37500</v>
      </c>
      <c r="K348" s="184" t="n">
        <v>14450</v>
      </c>
      <c r="L348" s="185" t="n">
        <v>8</v>
      </c>
      <c r="M348" s="184" t="n">
        <v>23050</v>
      </c>
      <c r="N348" s="184" t="n">
        <v>21206</v>
      </c>
      <c r="O348" s="186" t="s">
        <v>1054</v>
      </c>
      <c r="P348" s="187" t="n">
        <v>45898</v>
      </c>
    </row>
    <row r="349" customFormat="false" ht="51" hidden="false" customHeight="true" outlineLevel="0" collapsed="false">
      <c r="A349" s="181" t="s">
        <v>1055</v>
      </c>
      <c r="B349" s="182" t="n">
        <v>1337</v>
      </c>
      <c r="C349" s="183" t="n">
        <v>58546</v>
      </c>
      <c r="D349" s="181" t="s">
        <v>3326</v>
      </c>
      <c r="E349" s="181" t="s">
        <v>296</v>
      </c>
      <c r="F349" s="181" t="s">
        <v>297</v>
      </c>
      <c r="G349" s="181" t="s">
        <v>227</v>
      </c>
      <c r="H349" s="181" t="s">
        <v>520</v>
      </c>
      <c r="I349" s="181" t="s">
        <v>220</v>
      </c>
      <c r="J349" s="184" t="n">
        <v>38710</v>
      </c>
      <c r="K349" s="184" t="n">
        <v>15400</v>
      </c>
      <c r="L349" s="185" t="n">
        <v>4</v>
      </c>
      <c r="M349" s="184" t="n">
        <v>23310</v>
      </c>
      <c r="N349" s="184" t="n">
        <v>22377.6</v>
      </c>
      <c r="O349" s="186" t="s">
        <v>1056</v>
      </c>
      <c r="P349" s="187" t="n">
        <v>45898</v>
      </c>
    </row>
    <row r="350" customFormat="false" ht="51" hidden="false" customHeight="true" outlineLevel="0" collapsed="false">
      <c r="A350" s="181" t="s">
        <v>1057</v>
      </c>
      <c r="B350" s="182" t="n">
        <v>1338</v>
      </c>
      <c r="C350" s="183" t="n">
        <v>58548</v>
      </c>
      <c r="D350" s="181" t="s">
        <v>3326</v>
      </c>
      <c r="E350" s="181" t="s">
        <v>266</v>
      </c>
      <c r="F350" s="181" t="s">
        <v>267</v>
      </c>
      <c r="G350" s="181" t="s">
        <v>227</v>
      </c>
      <c r="H350" s="181" t="s">
        <v>520</v>
      </c>
      <c r="I350" s="181" t="s">
        <v>220</v>
      </c>
      <c r="J350" s="184" t="n">
        <v>39510</v>
      </c>
      <c r="K350" s="184" t="n">
        <v>14930</v>
      </c>
      <c r="L350" s="185" t="n">
        <v>7</v>
      </c>
      <c r="M350" s="184" t="n">
        <v>24580</v>
      </c>
      <c r="N350" s="184" t="n">
        <v>22859.4</v>
      </c>
      <c r="O350" s="186" t="s">
        <v>1058</v>
      </c>
      <c r="P350" s="187" t="n">
        <v>45898</v>
      </c>
    </row>
    <row r="351" customFormat="false" ht="51" hidden="false" customHeight="true" outlineLevel="0" collapsed="false">
      <c r="A351" s="181" t="s">
        <v>1059</v>
      </c>
      <c r="B351" s="182" t="n">
        <v>1339</v>
      </c>
      <c r="C351" s="183" t="n">
        <v>58552</v>
      </c>
      <c r="D351" s="181" t="s">
        <v>3326</v>
      </c>
      <c r="E351" s="181" t="s">
        <v>350</v>
      </c>
      <c r="F351" s="181" t="s">
        <v>351</v>
      </c>
      <c r="G351" s="181" t="s">
        <v>227</v>
      </c>
      <c r="H351" s="181" t="s">
        <v>520</v>
      </c>
      <c r="I351" s="181" t="s">
        <v>220</v>
      </c>
      <c r="J351" s="184" t="n">
        <v>39920</v>
      </c>
      <c r="K351" s="184" t="n">
        <v>14980</v>
      </c>
      <c r="L351" s="185" t="n">
        <v>9</v>
      </c>
      <c r="M351" s="184" t="n">
        <v>24940</v>
      </c>
      <c r="N351" s="184" t="n">
        <v>22695.4</v>
      </c>
      <c r="O351" s="186" t="s">
        <v>1060</v>
      </c>
      <c r="P351" s="187" t="n">
        <v>45898</v>
      </c>
    </row>
    <row r="352" customFormat="false" ht="51" hidden="false" customHeight="true" outlineLevel="0" collapsed="false">
      <c r="A352" s="181" t="s">
        <v>1061</v>
      </c>
      <c r="B352" s="182" t="n">
        <v>1340</v>
      </c>
      <c r="C352" s="183" t="n">
        <v>58550</v>
      </c>
      <c r="D352" s="181" t="s">
        <v>3326</v>
      </c>
      <c r="E352" s="181" t="s">
        <v>373</v>
      </c>
      <c r="F352" s="181" t="s">
        <v>374</v>
      </c>
      <c r="G352" s="181" t="s">
        <v>227</v>
      </c>
      <c r="H352" s="181" t="s">
        <v>520</v>
      </c>
      <c r="I352" s="181" t="s">
        <v>220</v>
      </c>
      <c r="J352" s="184" t="n">
        <v>37500</v>
      </c>
      <c r="K352" s="184" t="n">
        <v>14230</v>
      </c>
      <c r="L352" s="185" t="n">
        <v>6</v>
      </c>
      <c r="M352" s="184" t="n">
        <v>23270</v>
      </c>
      <c r="N352" s="184" t="n">
        <v>21873.8</v>
      </c>
      <c r="O352" s="186" t="s">
        <v>1062</v>
      </c>
      <c r="P352" s="187" t="n">
        <v>45898</v>
      </c>
    </row>
    <row r="353" customFormat="false" ht="51" hidden="false" customHeight="true" outlineLevel="0" collapsed="false">
      <c r="A353" s="181" t="s">
        <v>1063</v>
      </c>
      <c r="B353" s="182" t="n">
        <v>1341</v>
      </c>
      <c r="C353" s="183" t="n">
        <v>58554</v>
      </c>
      <c r="D353" s="181" t="s">
        <v>3326</v>
      </c>
      <c r="E353" s="181" t="s">
        <v>272</v>
      </c>
      <c r="F353" s="181" t="s">
        <v>273</v>
      </c>
      <c r="G353" s="181" t="s">
        <v>227</v>
      </c>
      <c r="H353" s="181" t="s">
        <v>520</v>
      </c>
      <c r="I353" s="181" t="s">
        <v>220</v>
      </c>
      <c r="J353" s="184" t="n">
        <v>38670</v>
      </c>
      <c r="K353" s="184" t="n">
        <v>15590</v>
      </c>
      <c r="L353" s="185" t="n">
        <v>8</v>
      </c>
      <c r="M353" s="184" t="n">
        <v>23080</v>
      </c>
      <c r="N353" s="184" t="n">
        <v>21233.6</v>
      </c>
      <c r="O353" s="186" t="s">
        <v>1064</v>
      </c>
      <c r="P353" s="187" t="n">
        <v>45899</v>
      </c>
    </row>
    <row r="354" customFormat="false" ht="51" hidden="false" customHeight="true" outlineLevel="0" collapsed="false">
      <c r="A354" s="181" t="s">
        <v>1065</v>
      </c>
      <c r="B354" s="182" t="n">
        <v>1342</v>
      </c>
      <c r="C354" s="183" t="n">
        <v>58556</v>
      </c>
      <c r="D354" s="181" t="s">
        <v>3326</v>
      </c>
      <c r="E354" s="181" t="s">
        <v>582</v>
      </c>
      <c r="F354" s="181" t="s">
        <v>583</v>
      </c>
      <c r="G354" s="181" t="s">
        <v>227</v>
      </c>
      <c r="H354" s="181" t="s">
        <v>520</v>
      </c>
      <c r="I354" s="181" t="s">
        <v>220</v>
      </c>
      <c r="J354" s="184" t="n">
        <v>37010</v>
      </c>
      <c r="K354" s="184" t="n">
        <v>14710</v>
      </c>
      <c r="L354" s="185" t="n">
        <v>3</v>
      </c>
      <c r="M354" s="184" t="n">
        <v>22300</v>
      </c>
      <c r="N354" s="184" t="n">
        <v>21631</v>
      </c>
      <c r="O354" s="186" t="s">
        <v>1066</v>
      </c>
      <c r="P354" s="187" t="n">
        <v>45899</v>
      </c>
    </row>
    <row r="355" customFormat="false" ht="51" hidden="false" customHeight="true" outlineLevel="0" collapsed="false">
      <c r="A355" s="181" t="s">
        <v>1067</v>
      </c>
      <c r="B355" s="182" t="n">
        <v>1343</v>
      </c>
      <c r="C355" s="183" t="n">
        <v>58558</v>
      </c>
      <c r="D355" s="181" t="s">
        <v>3326</v>
      </c>
      <c r="E355" s="181" t="s">
        <v>439</v>
      </c>
      <c r="F355" s="181" t="s">
        <v>440</v>
      </c>
      <c r="G355" s="181" t="s">
        <v>227</v>
      </c>
      <c r="H355" s="181" t="s">
        <v>520</v>
      </c>
      <c r="I355" s="181" t="s">
        <v>220</v>
      </c>
      <c r="J355" s="184" t="n">
        <v>40570</v>
      </c>
      <c r="K355" s="184" t="n">
        <v>16370</v>
      </c>
      <c r="L355" s="185" t="n">
        <v>5</v>
      </c>
      <c r="M355" s="184" t="n">
        <v>24200</v>
      </c>
      <c r="N355" s="184" t="n">
        <v>22990</v>
      </c>
      <c r="O355" s="186" t="s">
        <v>1068</v>
      </c>
      <c r="P355" s="187" t="n">
        <v>45899</v>
      </c>
    </row>
    <row r="356" customFormat="false" ht="51" hidden="false" customHeight="true" outlineLevel="0" collapsed="false">
      <c r="A356" s="181" t="s">
        <v>1069</v>
      </c>
      <c r="B356" s="182" t="n">
        <v>1345</v>
      </c>
      <c r="C356" s="183" t="n">
        <v>58560</v>
      </c>
      <c r="D356" s="181" t="s">
        <v>3326</v>
      </c>
      <c r="E356" s="181" t="s">
        <v>399</v>
      </c>
      <c r="F356" s="181" t="s">
        <v>400</v>
      </c>
      <c r="G356" s="181" t="s">
        <v>227</v>
      </c>
      <c r="H356" s="181" t="s">
        <v>520</v>
      </c>
      <c r="I356" s="181" t="s">
        <v>220</v>
      </c>
      <c r="J356" s="184" t="n">
        <v>45080</v>
      </c>
      <c r="K356" s="184" t="n">
        <v>19250</v>
      </c>
      <c r="L356" s="185" t="n">
        <v>9</v>
      </c>
      <c r="M356" s="184" t="n">
        <v>25830</v>
      </c>
      <c r="N356" s="184" t="n">
        <v>23505.3</v>
      </c>
      <c r="O356" s="186" t="s">
        <v>1070</v>
      </c>
      <c r="P356" s="187" t="n">
        <v>45899</v>
      </c>
    </row>
    <row r="357" customFormat="false" ht="51" hidden="false" customHeight="true" outlineLevel="0" collapsed="false">
      <c r="A357" s="181" t="s">
        <v>1071</v>
      </c>
      <c r="B357" s="182" t="n">
        <v>1346</v>
      </c>
      <c r="C357" s="183" t="n">
        <v>58562</v>
      </c>
      <c r="D357" s="181" t="s">
        <v>3326</v>
      </c>
      <c r="E357" s="181" t="s">
        <v>431</v>
      </c>
      <c r="F357" s="181" t="s">
        <v>432</v>
      </c>
      <c r="G357" s="181" t="s">
        <v>227</v>
      </c>
      <c r="H357" s="181" t="s">
        <v>520</v>
      </c>
      <c r="I357" s="181" t="s">
        <v>220</v>
      </c>
      <c r="J357" s="184" t="n">
        <v>40030</v>
      </c>
      <c r="K357" s="184" t="n">
        <v>16630</v>
      </c>
      <c r="L357" s="185" t="n">
        <v>7</v>
      </c>
      <c r="M357" s="184" t="n">
        <v>23400</v>
      </c>
      <c r="N357" s="184" t="n">
        <v>21762</v>
      </c>
      <c r="O357" s="186" t="s">
        <v>1072</v>
      </c>
      <c r="P357" s="187" t="n">
        <v>45899</v>
      </c>
    </row>
    <row r="358" customFormat="false" ht="51" hidden="false" customHeight="true" outlineLevel="0" collapsed="false">
      <c r="A358" s="181" t="s">
        <v>1073</v>
      </c>
      <c r="B358" s="182" t="n">
        <v>1347</v>
      </c>
      <c r="C358" s="183" t="n">
        <v>58579</v>
      </c>
      <c r="D358" s="181" t="s">
        <v>3326</v>
      </c>
      <c r="E358" s="181" t="s">
        <v>282</v>
      </c>
      <c r="F358" s="181" t="s">
        <v>283</v>
      </c>
      <c r="G358" s="181" t="s">
        <v>227</v>
      </c>
      <c r="H358" s="181" t="s">
        <v>520</v>
      </c>
      <c r="I358" s="181" t="s">
        <v>220</v>
      </c>
      <c r="J358" s="184" t="n">
        <v>38330</v>
      </c>
      <c r="K358" s="184" t="n">
        <v>15050</v>
      </c>
      <c r="L358" s="185" t="n">
        <v>5</v>
      </c>
      <c r="M358" s="184" t="n">
        <v>23280</v>
      </c>
      <c r="N358" s="184" t="n">
        <v>22116</v>
      </c>
      <c r="O358" s="186" t="s">
        <v>1074</v>
      </c>
      <c r="P358" s="187" t="n">
        <v>45899</v>
      </c>
    </row>
    <row r="359" customFormat="false" ht="51" hidden="false" customHeight="true" outlineLevel="0" collapsed="false">
      <c r="A359" s="181" t="s">
        <v>1075</v>
      </c>
      <c r="B359" s="182" t="n">
        <v>1348</v>
      </c>
      <c r="C359" s="183" t="n">
        <v>58573</v>
      </c>
      <c r="D359" s="181" t="s">
        <v>3326</v>
      </c>
      <c r="E359" s="181" t="s">
        <v>435</v>
      </c>
      <c r="F359" s="181" t="s">
        <v>436</v>
      </c>
      <c r="G359" s="181" t="s">
        <v>227</v>
      </c>
      <c r="H359" s="181" t="s">
        <v>520</v>
      </c>
      <c r="I359" s="181" t="s">
        <v>220</v>
      </c>
      <c r="J359" s="184" t="n">
        <v>39890</v>
      </c>
      <c r="K359" s="184" t="n">
        <v>16530</v>
      </c>
      <c r="L359" s="185" t="n">
        <v>5</v>
      </c>
      <c r="M359" s="184" t="n">
        <v>23360</v>
      </c>
      <c r="N359" s="184" t="n">
        <v>22192</v>
      </c>
      <c r="O359" s="186" t="s">
        <v>1076</v>
      </c>
      <c r="P359" s="187" t="n">
        <v>45899</v>
      </c>
    </row>
    <row r="360" customFormat="false" ht="51" hidden="false" customHeight="true" outlineLevel="0" collapsed="false">
      <c r="A360" s="181" t="s">
        <v>1077</v>
      </c>
      <c r="B360" s="182" t="n">
        <v>1349</v>
      </c>
      <c r="C360" s="183" t="n">
        <v>58600</v>
      </c>
      <c r="D360" s="181" t="s">
        <v>3326</v>
      </c>
      <c r="E360" s="181" t="s">
        <v>332</v>
      </c>
      <c r="F360" s="181" t="s">
        <v>333</v>
      </c>
      <c r="G360" s="181" t="s">
        <v>227</v>
      </c>
      <c r="H360" s="181" t="s">
        <v>520</v>
      </c>
      <c r="I360" s="181" t="s">
        <v>220</v>
      </c>
      <c r="J360" s="184" t="n">
        <v>37300</v>
      </c>
      <c r="K360" s="184" t="n">
        <v>14700</v>
      </c>
      <c r="L360" s="185" t="n">
        <v>5</v>
      </c>
      <c r="M360" s="184" t="n">
        <v>22600</v>
      </c>
      <c r="N360" s="184" t="n">
        <v>21470</v>
      </c>
      <c r="O360" s="186" t="s">
        <v>1078</v>
      </c>
      <c r="P360" s="187" t="n">
        <v>45899</v>
      </c>
    </row>
    <row r="361" customFormat="false" ht="51" hidden="false" customHeight="true" outlineLevel="0" collapsed="false">
      <c r="A361" s="181" t="s">
        <v>1079</v>
      </c>
      <c r="B361" s="182" t="n">
        <v>1350</v>
      </c>
      <c r="C361" s="183" t="n">
        <v>58581</v>
      </c>
      <c r="D361" s="181" t="s">
        <v>3326</v>
      </c>
      <c r="E361" s="181" t="s">
        <v>387</v>
      </c>
      <c r="F361" s="181" t="s">
        <v>388</v>
      </c>
      <c r="G361" s="181" t="s">
        <v>227</v>
      </c>
      <c r="H361" s="181" t="s">
        <v>520</v>
      </c>
      <c r="I361" s="181" t="s">
        <v>220</v>
      </c>
      <c r="J361" s="184" t="n">
        <v>38480</v>
      </c>
      <c r="K361" s="184" t="n">
        <v>14960</v>
      </c>
      <c r="L361" s="185" t="n">
        <v>6</v>
      </c>
      <c r="M361" s="184" t="n">
        <v>23520</v>
      </c>
      <c r="N361" s="184" t="n">
        <v>22108.8</v>
      </c>
      <c r="O361" s="186" t="s">
        <v>1080</v>
      </c>
      <c r="P361" s="187" t="n">
        <v>45899</v>
      </c>
    </row>
    <row r="362" customFormat="false" ht="51" hidden="false" customHeight="true" outlineLevel="0" collapsed="false">
      <c r="A362" s="181" t="s">
        <v>1081</v>
      </c>
      <c r="B362" s="182" t="n">
        <v>1356</v>
      </c>
      <c r="C362" s="183" t="n">
        <v>58604</v>
      </c>
      <c r="D362" s="181" t="s">
        <v>3326</v>
      </c>
      <c r="E362" s="181" t="s">
        <v>545</v>
      </c>
      <c r="F362" s="181" t="s">
        <v>546</v>
      </c>
      <c r="G362" s="181" t="s">
        <v>227</v>
      </c>
      <c r="H362" s="181" t="s">
        <v>520</v>
      </c>
      <c r="I362" s="181" t="s">
        <v>220</v>
      </c>
      <c r="J362" s="184" t="n">
        <v>41450</v>
      </c>
      <c r="K362" s="184" t="n">
        <v>16100</v>
      </c>
      <c r="L362" s="185" t="n">
        <v>10</v>
      </c>
      <c r="M362" s="184" t="n">
        <v>25350</v>
      </c>
      <c r="N362" s="184" t="n">
        <v>22815</v>
      </c>
      <c r="O362" s="186" t="s">
        <v>1082</v>
      </c>
      <c r="P362" s="187" t="n">
        <v>45899</v>
      </c>
    </row>
    <row r="363" customFormat="false" ht="51" hidden="false" customHeight="true" outlineLevel="0" collapsed="false">
      <c r="A363" s="181" t="s">
        <v>1083</v>
      </c>
      <c r="B363" s="182" t="n">
        <v>1357</v>
      </c>
      <c r="C363" s="183" t="n">
        <v>58606</v>
      </c>
      <c r="D363" s="181" t="s">
        <v>3326</v>
      </c>
      <c r="E363" s="181" t="s">
        <v>377</v>
      </c>
      <c r="F363" s="181" t="s">
        <v>378</v>
      </c>
      <c r="G363" s="181" t="s">
        <v>227</v>
      </c>
      <c r="H363" s="181" t="s">
        <v>520</v>
      </c>
      <c r="I363" s="181" t="s">
        <v>220</v>
      </c>
      <c r="J363" s="184" t="n">
        <v>39380</v>
      </c>
      <c r="K363" s="184" t="n">
        <v>15570</v>
      </c>
      <c r="L363" s="185" t="n">
        <v>7</v>
      </c>
      <c r="M363" s="184" t="n">
        <v>23810</v>
      </c>
      <c r="N363" s="184" t="n">
        <v>22143.3</v>
      </c>
      <c r="O363" s="186" t="s">
        <v>1084</v>
      </c>
      <c r="P363" s="187" t="n">
        <v>45899</v>
      </c>
    </row>
    <row r="364" customFormat="false" ht="51" hidden="false" customHeight="true" outlineLevel="0" collapsed="false">
      <c r="A364" s="181" t="s">
        <v>1085</v>
      </c>
      <c r="B364" s="182" t="n">
        <v>1358</v>
      </c>
      <c r="C364" s="183" t="n">
        <v>58616</v>
      </c>
      <c r="D364" s="181" t="s">
        <v>3326</v>
      </c>
      <c r="E364" s="181" t="s">
        <v>549</v>
      </c>
      <c r="F364" s="181" t="s">
        <v>550</v>
      </c>
      <c r="G364" s="181" t="s">
        <v>227</v>
      </c>
      <c r="H364" s="181" t="s">
        <v>520</v>
      </c>
      <c r="I364" s="181" t="s">
        <v>220</v>
      </c>
      <c r="J364" s="184" t="n">
        <v>40820</v>
      </c>
      <c r="K364" s="184" t="n">
        <v>15930</v>
      </c>
      <c r="L364" s="185" t="n">
        <v>8</v>
      </c>
      <c r="M364" s="184" t="n">
        <v>24890</v>
      </c>
      <c r="N364" s="184" t="n">
        <v>22898.8</v>
      </c>
      <c r="O364" s="186" t="s">
        <v>1086</v>
      </c>
      <c r="P364" s="187" t="n">
        <v>45899</v>
      </c>
    </row>
    <row r="365" customFormat="false" ht="51" hidden="false" customHeight="true" outlineLevel="0" collapsed="false">
      <c r="A365" s="181" t="s">
        <v>1087</v>
      </c>
      <c r="B365" s="182" t="n">
        <v>1360</v>
      </c>
      <c r="C365" s="183" t="n">
        <v>58618</v>
      </c>
      <c r="D365" s="181" t="s">
        <v>3326</v>
      </c>
      <c r="E365" s="181" t="s">
        <v>277</v>
      </c>
      <c r="F365" s="181" t="s">
        <v>278</v>
      </c>
      <c r="G365" s="181" t="s">
        <v>227</v>
      </c>
      <c r="H365" s="181" t="s">
        <v>520</v>
      </c>
      <c r="I365" s="181" t="s">
        <v>220</v>
      </c>
      <c r="J365" s="184" t="n">
        <v>41880</v>
      </c>
      <c r="K365" s="184" t="n">
        <v>15140</v>
      </c>
      <c r="L365" s="185" t="n">
        <v>7</v>
      </c>
      <c r="M365" s="184" t="n">
        <v>26740</v>
      </c>
      <c r="N365" s="184" t="n">
        <v>24868.2</v>
      </c>
      <c r="O365" s="186" t="s">
        <v>1088</v>
      </c>
      <c r="P365" s="187" t="n">
        <v>45899</v>
      </c>
    </row>
    <row r="366" customFormat="false" ht="51" hidden="false" customHeight="true" outlineLevel="0" collapsed="false">
      <c r="A366" s="181" t="s">
        <v>1089</v>
      </c>
      <c r="B366" s="182" t="n">
        <v>1362</v>
      </c>
      <c r="C366" s="183" t="n">
        <v>58620</v>
      </c>
      <c r="D366" s="181" t="s">
        <v>3326</v>
      </c>
      <c r="E366" s="181" t="s">
        <v>533</v>
      </c>
      <c r="F366" s="181" t="s">
        <v>534</v>
      </c>
      <c r="G366" s="181" t="s">
        <v>227</v>
      </c>
      <c r="H366" s="181" t="s">
        <v>520</v>
      </c>
      <c r="I366" s="181" t="s">
        <v>220</v>
      </c>
      <c r="J366" s="184" t="n">
        <v>39830</v>
      </c>
      <c r="K366" s="184" t="n">
        <v>14600</v>
      </c>
      <c r="L366" s="185" t="n">
        <v>6</v>
      </c>
      <c r="M366" s="184" t="n">
        <v>25230</v>
      </c>
      <c r="N366" s="184" t="n">
        <v>23716.2</v>
      </c>
      <c r="O366" s="186" t="s">
        <v>1090</v>
      </c>
      <c r="P366" s="187" t="n">
        <v>45899</v>
      </c>
    </row>
    <row r="367" customFormat="false" ht="51" hidden="false" customHeight="true" outlineLevel="0" collapsed="false">
      <c r="A367" s="181" t="s">
        <v>1091</v>
      </c>
      <c r="B367" s="182" t="n">
        <v>1363</v>
      </c>
      <c r="C367" s="183" t="n">
        <v>58624</v>
      </c>
      <c r="D367" s="181" t="s">
        <v>3326</v>
      </c>
      <c r="E367" s="181" t="s">
        <v>300</v>
      </c>
      <c r="F367" s="181" t="s">
        <v>301</v>
      </c>
      <c r="G367" s="181" t="s">
        <v>227</v>
      </c>
      <c r="H367" s="181" t="s">
        <v>520</v>
      </c>
      <c r="I367" s="181" t="s">
        <v>220</v>
      </c>
      <c r="J367" s="184" t="n">
        <v>45060</v>
      </c>
      <c r="K367" s="184" t="n">
        <v>20930</v>
      </c>
      <c r="L367" s="185" t="n">
        <v>11</v>
      </c>
      <c r="M367" s="184" t="n">
        <v>24130</v>
      </c>
      <c r="N367" s="184" t="n">
        <v>21475.7</v>
      </c>
      <c r="O367" s="186" t="s">
        <v>1092</v>
      </c>
      <c r="P367" s="187" t="n">
        <v>45899</v>
      </c>
    </row>
    <row r="368" customFormat="false" ht="51" hidden="false" customHeight="true" outlineLevel="0" collapsed="false">
      <c r="A368" s="181" t="s">
        <v>1093</v>
      </c>
      <c r="B368" s="182" t="n">
        <v>1364</v>
      </c>
      <c r="C368" s="183" t="n">
        <v>58626</v>
      </c>
      <c r="D368" s="181" t="s">
        <v>3326</v>
      </c>
      <c r="E368" s="181" t="s">
        <v>541</v>
      </c>
      <c r="F368" s="181" t="s">
        <v>542</v>
      </c>
      <c r="G368" s="181" t="s">
        <v>227</v>
      </c>
      <c r="H368" s="181" t="s">
        <v>832</v>
      </c>
      <c r="I368" s="181" t="s">
        <v>220</v>
      </c>
      <c r="J368" s="184" t="n">
        <v>40770</v>
      </c>
      <c r="K368" s="184" t="n">
        <v>14940</v>
      </c>
      <c r="L368" s="185" t="n">
        <v>12</v>
      </c>
      <c r="M368" s="184" t="n">
        <v>25830</v>
      </c>
      <c r="N368" s="184" t="n">
        <v>22730.4</v>
      </c>
      <c r="O368" s="186" t="s">
        <v>1094</v>
      </c>
      <c r="P368" s="187" t="n">
        <v>45899</v>
      </c>
    </row>
    <row r="369" customFormat="false" ht="51" hidden="false" customHeight="true" outlineLevel="0" collapsed="false">
      <c r="A369" s="181" t="s">
        <v>1095</v>
      </c>
      <c r="B369" s="182" t="n">
        <v>1365</v>
      </c>
      <c r="C369" s="183" t="n">
        <v>58628</v>
      </c>
      <c r="D369" s="181" t="s">
        <v>3326</v>
      </c>
      <c r="E369" s="181" t="s">
        <v>288</v>
      </c>
      <c r="F369" s="181" t="s">
        <v>289</v>
      </c>
      <c r="G369" s="181" t="s">
        <v>227</v>
      </c>
      <c r="H369" s="181" t="s">
        <v>832</v>
      </c>
      <c r="I369" s="181" t="s">
        <v>220</v>
      </c>
      <c r="J369" s="184" t="n">
        <v>37480</v>
      </c>
      <c r="K369" s="184" t="n">
        <v>14540</v>
      </c>
      <c r="L369" s="185" t="n">
        <v>13</v>
      </c>
      <c r="M369" s="184" t="n">
        <v>22940</v>
      </c>
      <c r="N369" s="184" t="n">
        <v>19957.8</v>
      </c>
      <c r="O369" s="186" t="s">
        <v>1096</v>
      </c>
      <c r="P369" s="187" t="n">
        <v>45899</v>
      </c>
    </row>
    <row r="370" customFormat="false" ht="51" hidden="false" customHeight="true" outlineLevel="0" collapsed="false">
      <c r="A370" s="181" t="s">
        <v>1099</v>
      </c>
      <c r="B370" s="182" t="n">
        <v>1367</v>
      </c>
      <c r="C370" s="183" t="n">
        <v>58632</v>
      </c>
      <c r="D370" s="181" t="s">
        <v>3326</v>
      </c>
      <c r="E370" s="181" t="s">
        <v>1027</v>
      </c>
      <c r="F370" s="181" t="s">
        <v>1028</v>
      </c>
      <c r="G370" s="181" t="s">
        <v>227</v>
      </c>
      <c r="H370" s="181" t="s">
        <v>832</v>
      </c>
      <c r="I370" s="181" t="s">
        <v>220</v>
      </c>
      <c r="J370" s="184" t="n">
        <v>38810</v>
      </c>
      <c r="K370" s="184" t="n">
        <v>14800</v>
      </c>
      <c r="L370" s="185" t="n">
        <v>9</v>
      </c>
      <c r="M370" s="184" t="n">
        <v>24010</v>
      </c>
      <c r="N370" s="184" t="n">
        <v>21849.1</v>
      </c>
      <c r="O370" s="186" t="s">
        <v>1100</v>
      </c>
      <c r="P370" s="187" t="n">
        <v>45900</v>
      </c>
    </row>
    <row r="371" customFormat="false" ht="51" hidden="false" customHeight="true" outlineLevel="0" collapsed="false">
      <c r="A371" s="181" t="s">
        <v>1097</v>
      </c>
      <c r="B371" s="182" t="n">
        <v>1366</v>
      </c>
      <c r="C371" s="183" t="n">
        <v>58630</v>
      </c>
      <c r="D371" s="181" t="s">
        <v>3326</v>
      </c>
      <c r="E371" s="181" t="s">
        <v>1019</v>
      </c>
      <c r="F371" s="181" t="s">
        <v>1020</v>
      </c>
      <c r="G371" s="181" t="s">
        <v>227</v>
      </c>
      <c r="H371" s="181" t="s">
        <v>832</v>
      </c>
      <c r="I371" s="181" t="s">
        <v>220</v>
      </c>
      <c r="J371" s="184" t="n">
        <v>41850</v>
      </c>
      <c r="K371" s="184" t="n">
        <v>17020</v>
      </c>
      <c r="L371" s="185" t="n">
        <v>8</v>
      </c>
      <c r="M371" s="184" t="n">
        <v>24830</v>
      </c>
      <c r="N371" s="184" t="n">
        <v>22843.6</v>
      </c>
      <c r="O371" s="186" t="s">
        <v>1098</v>
      </c>
      <c r="P371" s="187" t="n">
        <v>45899</v>
      </c>
    </row>
    <row r="372" customFormat="false" ht="51" hidden="false" customHeight="true" outlineLevel="0" collapsed="false">
      <c r="A372" s="181" t="s">
        <v>1101</v>
      </c>
      <c r="B372" s="182" t="n">
        <v>1368</v>
      </c>
      <c r="C372" s="183" t="n">
        <v>58634</v>
      </c>
      <c r="D372" s="181" t="s">
        <v>3326</v>
      </c>
      <c r="E372" s="181" t="s">
        <v>1023</v>
      </c>
      <c r="F372" s="181" t="s">
        <v>1024</v>
      </c>
      <c r="G372" s="181" t="s">
        <v>227</v>
      </c>
      <c r="H372" s="181" t="s">
        <v>832</v>
      </c>
      <c r="I372" s="181" t="s">
        <v>220</v>
      </c>
      <c r="J372" s="184" t="n">
        <v>36860</v>
      </c>
      <c r="K372" s="184" t="n">
        <v>14770</v>
      </c>
      <c r="L372" s="185" t="n">
        <v>9</v>
      </c>
      <c r="M372" s="184" t="n">
        <v>22090</v>
      </c>
      <c r="N372" s="184" t="n">
        <v>20101.9</v>
      </c>
      <c r="O372" s="186" t="s">
        <v>1102</v>
      </c>
      <c r="P372" s="187" t="n">
        <v>45900</v>
      </c>
    </row>
    <row r="373" customFormat="false" ht="51" hidden="false" customHeight="true" outlineLevel="0" collapsed="false">
      <c r="A373" s="181" t="s">
        <v>1103</v>
      </c>
      <c r="B373" s="182" t="n">
        <v>1369</v>
      </c>
      <c r="C373" s="183" t="n">
        <v>58636</v>
      </c>
      <c r="D373" s="181" t="s">
        <v>3326</v>
      </c>
      <c r="E373" s="181" t="s">
        <v>409</v>
      </c>
      <c r="F373" s="181" t="s">
        <v>410</v>
      </c>
      <c r="G373" s="181" t="s">
        <v>227</v>
      </c>
      <c r="H373" s="181" t="s">
        <v>832</v>
      </c>
      <c r="I373" s="181" t="s">
        <v>220</v>
      </c>
      <c r="J373" s="184" t="n">
        <v>47140</v>
      </c>
      <c r="K373" s="184" t="n">
        <v>24020</v>
      </c>
      <c r="L373" s="185" t="n">
        <v>9</v>
      </c>
      <c r="M373" s="184" t="n">
        <v>23120</v>
      </c>
      <c r="N373" s="184" t="n">
        <v>21039.2</v>
      </c>
      <c r="O373" s="186" t="s">
        <v>1104</v>
      </c>
      <c r="P373" s="187" t="n">
        <v>45900</v>
      </c>
    </row>
    <row r="374" customFormat="false" ht="51" hidden="false" customHeight="true" outlineLevel="0" collapsed="false">
      <c r="A374" s="181" t="s">
        <v>1105</v>
      </c>
      <c r="B374" s="182" t="n">
        <v>1370</v>
      </c>
      <c r="C374" s="183" t="n">
        <v>58638</v>
      </c>
      <c r="D374" s="181" t="s">
        <v>3326</v>
      </c>
      <c r="E374" s="181" t="s">
        <v>413</v>
      </c>
      <c r="F374" s="181" t="s">
        <v>414</v>
      </c>
      <c r="G374" s="181" t="s">
        <v>227</v>
      </c>
      <c r="H374" s="181" t="s">
        <v>832</v>
      </c>
      <c r="I374" s="181" t="s">
        <v>220</v>
      </c>
      <c r="J374" s="184" t="n">
        <v>43170</v>
      </c>
      <c r="K374" s="184" t="n">
        <v>15520</v>
      </c>
      <c r="L374" s="185" t="n">
        <v>12</v>
      </c>
      <c r="M374" s="184" t="n">
        <v>27650</v>
      </c>
      <c r="N374" s="184" t="n">
        <v>24332</v>
      </c>
      <c r="O374" s="186" t="s">
        <v>1106</v>
      </c>
      <c r="P374" s="187" t="n">
        <v>45900</v>
      </c>
    </row>
    <row r="375" customFormat="false" ht="51" hidden="false" customHeight="true" outlineLevel="0" collapsed="false">
      <c r="A375" s="181" t="s">
        <v>1107</v>
      </c>
      <c r="B375" s="182" t="n">
        <v>1371</v>
      </c>
      <c r="C375" s="183" t="n">
        <v>58640</v>
      </c>
      <c r="D375" s="181" t="s">
        <v>3326</v>
      </c>
      <c r="E375" s="181" t="s">
        <v>354</v>
      </c>
      <c r="F375" s="181" t="s">
        <v>355</v>
      </c>
      <c r="G375" s="181" t="s">
        <v>226</v>
      </c>
      <c r="H375" s="181" t="s">
        <v>586</v>
      </c>
      <c r="I375" s="181" t="s">
        <v>220</v>
      </c>
      <c r="J375" s="184" t="n">
        <v>37630</v>
      </c>
      <c r="K375" s="184" t="n">
        <v>14730</v>
      </c>
      <c r="L375" s="185" t="n">
        <v>8</v>
      </c>
      <c r="M375" s="184" t="n">
        <v>22900</v>
      </c>
      <c r="N375" s="184" t="n">
        <v>21068</v>
      </c>
      <c r="O375" s="186" t="s">
        <v>1108</v>
      </c>
      <c r="P375" s="187" t="n">
        <v>45900</v>
      </c>
    </row>
    <row r="376" customFormat="false" ht="51" hidden="false" customHeight="true" outlineLevel="0" collapsed="false">
      <c r="A376" s="181" t="s">
        <v>1109</v>
      </c>
      <c r="B376" s="182" t="n">
        <v>1372</v>
      </c>
      <c r="C376" s="183" t="n">
        <v>58642</v>
      </c>
      <c r="D376" s="181" t="s">
        <v>3326</v>
      </c>
      <c r="E376" s="181" t="s">
        <v>359</v>
      </c>
      <c r="F376" s="181" t="s">
        <v>360</v>
      </c>
      <c r="G376" s="181" t="s">
        <v>226</v>
      </c>
      <c r="H376" s="181" t="s">
        <v>586</v>
      </c>
      <c r="I376" s="181" t="s">
        <v>220</v>
      </c>
      <c r="J376" s="184" t="n">
        <v>36920</v>
      </c>
      <c r="K376" s="184" t="n">
        <v>14860</v>
      </c>
      <c r="L376" s="185" t="n">
        <v>19</v>
      </c>
      <c r="M376" s="184" t="n">
        <v>22060</v>
      </c>
      <c r="N376" s="184" t="n">
        <v>17868.6</v>
      </c>
      <c r="O376" s="186" t="s">
        <v>1110</v>
      </c>
      <c r="P376" s="187" t="n">
        <v>45900</v>
      </c>
    </row>
    <row r="377" customFormat="false" ht="51" hidden="false" customHeight="true" outlineLevel="0" collapsed="false">
      <c r="A377" s="181" t="s">
        <v>1111</v>
      </c>
      <c r="B377" s="182" t="n">
        <v>1373</v>
      </c>
      <c r="C377" s="183" t="n">
        <v>58648</v>
      </c>
      <c r="D377" s="181" t="s">
        <v>3326</v>
      </c>
      <c r="E377" s="181" t="s">
        <v>537</v>
      </c>
      <c r="F377" s="181" t="s">
        <v>538</v>
      </c>
      <c r="G377" s="181" t="s">
        <v>226</v>
      </c>
      <c r="H377" s="181" t="s">
        <v>586</v>
      </c>
      <c r="I377" s="181" t="s">
        <v>220</v>
      </c>
      <c r="J377" s="184" t="n">
        <v>35040</v>
      </c>
      <c r="K377" s="184" t="n">
        <v>13970</v>
      </c>
      <c r="L377" s="185" t="n">
        <v>9</v>
      </c>
      <c r="M377" s="184" t="n">
        <v>21070</v>
      </c>
      <c r="N377" s="184" t="n">
        <v>19173.7</v>
      </c>
      <c r="O377" s="186" t="s">
        <v>1112</v>
      </c>
      <c r="P377" s="187" t="n">
        <v>45900</v>
      </c>
    </row>
    <row r="378" customFormat="false" ht="51" hidden="false" customHeight="true" outlineLevel="0" collapsed="false">
      <c r="A378" s="181" t="s">
        <v>1113</v>
      </c>
      <c r="B378" s="182" t="n">
        <v>1374</v>
      </c>
      <c r="C378" s="183" t="n">
        <v>58644</v>
      </c>
      <c r="D378" s="181" t="s">
        <v>3326</v>
      </c>
      <c r="E378" s="181" t="s">
        <v>350</v>
      </c>
      <c r="F378" s="181" t="s">
        <v>351</v>
      </c>
      <c r="G378" s="181" t="s">
        <v>226</v>
      </c>
      <c r="H378" s="181" t="s">
        <v>586</v>
      </c>
      <c r="I378" s="181" t="s">
        <v>220</v>
      </c>
      <c r="J378" s="184" t="n">
        <v>40520</v>
      </c>
      <c r="K378" s="184" t="n">
        <v>14960</v>
      </c>
      <c r="L378" s="185" t="n">
        <v>7</v>
      </c>
      <c r="M378" s="184" t="n">
        <v>25560</v>
      </c>
      <c r="N378" s="184" t="n">
        <v>23770.8</v>
      </c>
      <c r="O378" s="186" t="s">
        <v>1114</v>
      </c>
      <c r="P378" s="187" t="n">
        <v>45900</v>
      </c>
    </row>
    <row r="379" customFormat="false" ht="51" hidden="false" customHeight="true" outlineLevel="0" collapsed="false">
      <c r="A379" s="181" t="s">
        <v>1115</v>
      </c>
      <c r="B379" s="182" t="n">
        <v>1375</v>
      </c>
      <c r="C379" s="183" t="n">
        <v>58655</v>
      </c>
      <c r="D379" s="181" t="s">
        <v>3326</v>
      </c>
      <c r="E379" s="181" t="s">
        <v>439</v>
      </c>
      <c r="F379" s="181" t="s">
        <v>440</v>
      </c>
      <c r="G379" s="181" t="s">
        <v>226</v>
      </c>
      <c r="H379" s="181" t="s">
        <v>586</v>
      </c>
      <c r="I379" s="181" t="s">
        <v>220</v>
      </c>
      <c r="J379" s="184" t="n">
        <v>39010</v>
      </c>
      <c r="K379" s="184" t="n">
        <v>16270</v>
      </c>
      <c r="L379" s="185" t="n">
        <v>16</v>
      </c>
      <c r="M379" s="184" t="n">
        <v>22740</v>
      </c>
      <c r="N379" s="184" t="n">
        <v>19101.6</v>
      </c>
      <c r="O379" s="186" t="s">
        <v>1116</v>
      </c>
      <c r="P379" s="187" t="n">
        <v>45900</v>
      </c>
    </row>
    <row r="380" customFormat="false" ht="51" hidden="false" customHeight="true" outlineLevel="0" collapsed="false">
      <c r="A380" s="181" t="s">
        <v>1117</v>
      </c>
      <c r="B380" s="182" t="n">
        <v>1378</v>
      </c>
      <c r="C380" s="183" t="n">
        <v>58664</v>
      </c>
      <c r="D380" s="181" t="s">
        <v>3326</v>
      </c>
      <c r="E380" s="181" t="s">
        <v>340</v>
      </c>
      <c r="F380" s="181" t="s">
        <v>341</v>
      </c>
      <c r="G380" s="181" t="s">
        <v>226</v>
      </c>
      <c r="H380" s="181" t="s">
        <v>586</v>
      </c>
      <c r="I380" s="181" t="s">
        <v>220</v>
      </c>
      <c r="J380" s="184" t="n">
        <v>38240</v>
      </c>
      <c r="K380" s="184" t="n">
        <v>15010</v>
      </c>
      <c r="L380" s="185" t="n">
        <v>9</v>
      </c>
      <c r="M380" s="184" t="n">
        <v>23230</v>
      </c>
      <c r="N380" s="184" t="n">
        <v>21139.3</v>
      </c>
      <c r="O380" s="186" t="s">
        <v>1118</v>
      </c>
      <c r="P380" s="187" t="n">
        <v>45900</v>
      </c>
    </row>
    <row r="381" customFormat="false" ht="51" hidden="false" customHeight="true" outlineLevel="0" collapsed="false">
      <c r="A381" s="181" t="s">
        <v>1119</v>
      </c>
      <c r="B381" s="182" t="n">
        <v>1379</v>
      </c>
      <c r="C381" s="183" t="n">
        <v>58666</v>
      </c>
      <c r="D381" s="181" t="s">
        <v>3326</v>
      </c>
      <c r="E381" s="181" t="s">
        <v>1053</v>
      </c>
      <c r="F381" s="181" t="s">
        <v>337</v>
      </c>
      <c r="G381" s="181" t="s">
        <v>226</v>
      </c>
      <c r="H381" s="181" t="s">
        <v>586</v>
      </c>
      <c r="I381" s="181" t="s">
        <v>220</v>
      </c>
      <c r="J381" s="184" t="n">
        <v>36400</v>
      </c>
      <c r="K381" s="184" t="n">
        <v>14440</v>
      </c>
      <c r="L381" s="185" t="n">
        <v>6</v>
      </c>
      <c r="M381" s="184" t="n">
        <v>21960</v>
      </c>
      <c r="N381" s="184" t="n">
        <v>20642.4</v>
      </c>
      <c r="O381" s="186" t="s">
        <v>1120</v>
      </c>
      <c r="P381" s="187" t="n">
        <v>45900</v>
      </c>
    </row>
    <row r="382" customFormat="false" ht="51" hidden="false" customHeight="true" outlineLevel="0" collapsed="false">
      <c r="A382" s="181" t="s">
        <v>1121</v>
      </c>
      <c r="B382" s="182" t="n">
        <v>1383</v>
      </c>
      <c r="C382" s="183" t="n">
        <v>58668</v>
      </c>
      <c r="D382" s="181" t="s">
        <v>3326</v>
      </c>
      <c r="E382" s="181" t="s">
        <v>576</v>
      </c>
      <c r="F382" s="181" t="s">
        <v>577</v>
      </c>
      <c r="G382" s="181" t="s">
        <v>226</v>
      </c>
      <c r="H382" s="181" t="s">
        <v>586</v>
      </c>
      <c r="I382" s="181" t="s">
        <v>220</v>
      </c>
      <c r="J382" s="184" t="n">
        <v>36500</v>
      </c>
      <c r="K382" s="184" t="n">
        <v>14400</v>
      </c>
      <c r="L382" s="185" t="n">
        <v>7</v>
      </c>
      <c r="M382" s="184" t="n">
        <v>22100</v>
      </c>
      <c r="N382" s="184" t="n">
        <v>20553</v>
      </c>
      <c r="O382" s="186" t="s">
        <v>1122</v>
      </c>
      <c r="P382" s="187" t="n">
        <v>45900</v>
      </c>
    </row>
    <row r="383" customFormat="false" ht="51" hidden="false" customHeight="true" outlineLevel="0" collapsed="false">
      <c r="A383" s="181" t="s">
        <v>1123</v>
      </c>
      <c r="B383" s="182" t="n">
        <v>1384</v>
      </c>
      <c r="C383" s="183" t="n">
        <v>58670</v>
      </c>
      <c r="D383" s="181" t="s">
        <v>3326</v>
      </c>
      <c r="E383" s="181" t="s">
        <v>261</v>
      </c>
      <c r="F383" s="181" t="s">
        <v>262</v>
      </c>
      <c r="G383" s="181" t="s">
        <v>226</v>
      </c>
      <c r="H383" s="181" t="s">
        <v>586</v>
      </c>
      <c r="I383" s="181" t="s">
        <v>220</v>
      </c>
      <c r="J383" s="184" t="n">
        <v>37270</v>
      </c>
      <c r="K383" s="184" t="n">
        <v>15010</v>
      </c>
      <c r="L383" s="185" t="n">
        <v>11</v>
      </c>
      <c r="M383" s="184" t="n">
        <v>22260</v>
      </c>
      <c r="N383" s="184" t="n">
        <v>19811.4</v>
      </c>
      <c r="O383" s="186" t="s">
        <v>1124</v>
      </c>
      <c r="P383" s="187" t="n">
        <v>45900</v>
      </c>
    </row>
    <row r="384" customFormat="false" ht="51" hidden="false" customHeight="true" outlineLevel="0" collapsed="false">
      <c r="A384" s="181" t="s">
        <v>1125</v>
      </c>
      <c r="B384" s="182" t="n">
        <v>1385</v>
      </c>
      <c r="C384" s="183" t="n">
        <v>58673</v>
      </c>
      <c r="D384" s="181" t="s">
        <v>3326</v>
      </c>
      <c r="E384" s="181" t="s">
        <v>296</v>
      </c>
      <c r="F384" s="181" t="s">
        <v>297</v>
      </c>
      <c r="G384" s="181" t="s">
        <v>226</v>
      </c>
      <c r="H384" s="181" t="s">
        <v>586</v>
      </c>
      <c r="I384" s="181" t="s">
        <v>220</v>
      </c>
      <c r="J384" s="184" t="n">
        <v>37610</v>
      </c>
      <c r="K384" s="184" t="n">
        <v>15390</v>
      </c>
      <c r="L384" s="185" t="n">
        <v>13</v>
      </c>
      <c r="M384" s="184" t="n">
        <v>22220</v>
      </c>
      <c r="N384" s="184" t="n">
        <v>19331.4</v>
      </c>
      <c r="O384" s="186" t="s">
        <v>1126</v>
      </c>
      <c r="P384" s="187" t="n">
        <v>45900</v>
      </c>
    </row>
    <row r="385" customFormat="false" ht="51" hidden="false" customHeight="true" outlineLevel="0" collapsed="false">
      <c r="A385" s="181" t="s">
        <v>1127</v>
      </c>
      <c r="B385" s="182" t="n">
        <v>1386</v>
      </c>
      <c r="C385" s="183" t="n">
        <v>58679</v>
      </c>
      <c r="D385" s="181" t="s">
        <v>3326</v>
      </c>
      <c r="E385" s="181" t="s">
        <v>272</v>
      </c>
      <c r="F385" s="181" t="s">
        <v>273</v>
      </c>
      <c r="G385" s="181" t="s">
        <v>226</v>
      </c>
      <c r="H385" s="181" t="s">
        <v>586</v>
      </c>
      <c r="I385" s="181" t="s">
        <v>220</v>
      </c>
      <c r="J385" s="184" t="n">
        <v>37190</v>
      </c>
      <c r="K385" s="184" t="n">
        <v>15550</v>
      </c>
      <c r="L385" s="185" t="n">
        <v>13</v>
      </c>
      <c r="M385" s="184" t="n">
        <v>21640</v>
      </c>
      <c r="N385" s="184" t="n">
        <v>18826.8</v>
      </c>
      <c r="O385" s="186" t="s">
        <v>1128</v>
      </c>
      <c r="P385" s="187" t="n">
        <v>45900</v>
      </c>
    </row>
    <row r="386" customFormat="false" ht="51" hidden="false" customHeight="true" outlineLevel="0" collapsed="false">
      <c r="A386" s="181" t="s">
        <v>1129</v>
      </c>
      <c r="B386" s="182" t="n">
        <v>1387</v>
      </c>
      <c r="C386" s="183" t="n">
        <v>58681</v>
      </c>
      <c r="D386" s="181" t="s">
        <v>3326</v>
      </c>
      <c r="E386" s="181" t="s">
        <v>431</v>
      </c>
      <c r="F386" s="181" t="s">
        <v>432</v>
      </c>
      <c r="G386" s="181" t="s">
        <v>226</v>
      </c>
      <c r="H386" s="181" t="s">
        <v>586</v>
      </c>
      <c r="I386" s="181" t="s">
        <v>220</v>
      </c>
      <c r="J386" s="184" t="n">
        <v>39270</v>
      </c>
      <c r="K386" s="184" t="n">
        <v>16580</v>
      </c>
      <c r="L386" s="185" t="n">
        <v>18</v>
      </c>
      <c r="M386" s="184" t="n">
        <v>22690</v>
      </c>
      <c r="N386" s="184" t="n">
        <v>18605.8</v>
      </c>
      <c r="O386" s="186" t="s">
        <v>1130</v>
      </c>
      <c r="P386" s="187" t="n">
        <v>45900</v>
      </c>
    </row>
    <row r="387" customFormat="false" ht="51" hidden="false" customHeight="true" outlineLevel="0" collapsed="false">
      <c r="A387" s="181" t="s">
        <v>1131</v>
      </c>
      <c r="B387" s="182" t="n">
        <v>1388</v>
      </c>
      <c r="C387" s="183" t="n">
        <v>58677</v>
      </c>
      <c r="D387" s="181" t="s">
        <v>3326</v>
      </c>
      <c r="E387" s="181" t="s">
        <v>582</v>
      </c>
      <c r="F387" s="181" t="s">
        <v>583</v>
      </c>
      <c r="G387" s="181" t="s">
        <v>226</v>
      </c>
      <c r="H387" s="181" t="s">
        <v>586</v>
      </c>
      <c r="I387" s="181" t="s">
        <v>220</v>
      </c>
      <c r="J387" s="184" t="n">
        <v>37730</v>
      </c>
      <c r="K387" s="184" t="n">
        <v>14630</v>
      </c>
      <c r="L387" s="185" t="n">
        <v>15</v>
      </c>
      <c r="M387" s="184" t="n">
        <v>23100</v>
      </c>
      <c r="N387" s="184" t="n">
        <v>19635</v>
      </c>
      <c r="O387" s="186" t="s">
        <v>1132</v>
      </c>
      <c r="P387" s="187" t="n">
        <v>45900</v>
      </c>
    </row>
    <row r="388" customFormat="false" ht="51" hidden="false" customHeight="true" outlineLevel="0" collapsed="false">
      <c r="A388" s="181" t="s">
        <v>1133</v>
      </c>
      <c r="B388" s="182" t="n">
        <v>1389</v>
      </c>
      <c r="C388" s="183" t="n">
        <v>58683</v>
      </c>
      <c r="D388" s="181" t="s">
        <v>3326</v>
      </c>
      <c r="E388" s="181" t="s">
        <v>435</v>
      </c>
      <c r="F388" s="181" t="s">
        <v>436</v>
      </c>
      <c r="G388" s="181" t="s">
        <v>226</v>
      </c>
      <c r="H388" s="181" t="s">
        <v>586</v>
      </c>
      <c r="I388" s="181" t="s">
        <v>220</v>
      </c>
      <c r="J388" s="184" t="n">
        <v>38810</v>
      </c>
      <c r="K388" s="184" t="n">
        <v>16620</v>
      </c>
      <c r="L388" s="185" t="n">
        <v>23</v>
      </c>
      <c r="M388" s="184" t="n">
        <v>22190</v>
      </c>
      <c r="N388" s="184" t="n">
        <v>17086.3</v>
      </c>
      <c r="O388" s="186" t="s">
        <v>1134</v>
      </c>
      <c r="P388" s="187" t="n">
        <v>45900</v>
      </c>
    </row>
    <row r="389" customFormat="false" ht="51" hidden="false" customHeight="true" outlineLevel="0" collapsed="false">
      <c r="A389" s="181" t="s">
        <v>1135</v>
      </c>
      <c r="B389" s="182" t="n">
        <v>1391</v>
      </c>
      <c r="C389" s="183" t="n">
        <v>58685</v>
      </c>
      <c r="D389" s="181" t="s">
        <v>3326</v>
      </c>
      <c r="E389" s="181" t="s">
        <v>391</v>
      </c>
      <c r="F389" s="181" t="s">
        <v>392</v>
      </c>
      <c r="G389" s="181" t="s">
        <v>226</v>
      </c>
      <c r="H389" s="181" t="s">
        <v>586</v>
      </c>
      <c r="I389" s="181" t="s">
        <v>220</v>
      </c>
      <c r="J389" s="184" t="n">
        <v>34720</v>
      </c>
      <c r="K389" s="184" t="n">
        <v>14450</v>
      </c>
      <c r="L389" s="185" t="n">
        <v>7</v>
      </c>
      <c r="M389" s="184" t="n">
        <v>20270</v>
      </c>
      <c r="N389" s="184" t="n">
        <v>18851.1</v>
      </c>
      <c r="O389" s="186" t="s">
        <v>1136</v>
      </c>
      <c r="P389" s="187" t="n">
        <v>45900</v>
      </c>
    </row>
    <row r="390" customFormat="false" ht="51" hidden="false" customHeight="true" outlineLevel="0" collapsed="false">
      <c r="A390" s="181" t="s">
        <v>1137</v>
      </c>
      <c r="B390" s="182" t="n">
        <v>1392</v>
      </c>
      <c r="C390" s="183" t="n">
        <v>58687</v>
      </c>
      <c r="D390" s="181" t="s">
        <v>3326</v>
      </c>
      <c r="E390" s="181" t="s">
        <v>387</v>
      </c>
      <c r="F390" s="181" t="s">
        <v>388</v>
      </c>
      <c r="G390" s="181" t="s">
        <v>226</v>
      </c>
      <c r="H390" s="181" t="s">
        <v>586</v>
      </c>
      <c r="I390" s="181" t="s">
        <v>220</v>
      </c>
      <c r="J390" s="184" t="n">
        <v>39190</v>
      </c>
      <c r="K390" s="184" t="n">
        <v>14920</v>
      </c>
      <c r="L390" s="185" t="n">
        <v>7</v>
      </c>
      <c r="M390" s="184" t="n">
        <v>24270</v>
      </c>
      <c r="N390" s="184" t="n">
        <v>22571.1</v>
      </c>
      <c r="O390" s="186" t="s">
        <v>1138</v>
      </c>
      <c r="P390" s="187" t="n">
        <v>45900</v>
      </c>
    </row>
    <row r="391" customFormat="false" ht="51" hidden="false" customHeight="true" outlineLevel="0" collapsed="false">
      <c r="A391" s="181" t="s">
        <v>1139</v>
      </c>
      <c r="B391" s="182" t="n">
        <v>1393</v>
      </c>
      <c r="C391" s="183" t="n">
        <v>58689</v>
      </c>
      <c r="D391" s="181" t="s">
        <v>3326</v>
      </c>
      <c r="E391" s="181" t="s">
        <v>377</v>
      </c>
      <c r="F391" s="181" t="s">
        <v>378</v>
      </c>
      <c r="G391" s="181" t="s">
        <v>226</v>
      </c>
      <c r="H391" s="181" t="s">
        <v>586</v>
      </c>
      <c r="I391" s="181" t="s">
        <v>220</v>
      </c>
      <c r="J391" s="184" t="n">
        <v>40230</v>
      </c>
      <c r="K391" s="184" t="n">
        <v>15600</v>
      </c>
      <c r="L391" s="185" t="n">
        <v>10</v>
      </c>
      <c r="M391" s="184" t="n">
        <v>24630</v>
      </c>
      <c r="N391" s="184" t="n">
        <v>22167</v>
      </c>
      <c r="O391" s="186" t="s">
        <v>1140</v>
      </c>
      <c r="P391" s="187" t="n">
        <v>45900</v>
      </c>
    </row>
    <row r="392" customFormat="false" ht="51" hidden="false" customHeight="true" outlineLevel="0" collapsed="false">
      <c r="A392" s="181" t="s">
        <v>1141</v>
      </c>
      <c r="B392" s="182" t="n">
        <v>1394</v>
      </c>
      <c r="C392" s="183" t="n">
        <v>58691</v>
      </c>
      <c r="D392" s="181" t="s">
        <v>3326</v>
      </c>
      <c r="E392" s="181" t="s">
        <v>266</v>
      </c>
      <c r="F392" s="181" t="s">
        <v>267</v>
      </c>
      <c r="G392" s="181" t="s">
        <v>226</v>
      </c>
      <c r="H392" s="181" t="s">
        <v>586</v>
      </c>
      <c r="I392" s="181" t="s">
        <v>220</v>
      </c>
      <c r="J392" s="184" t="n">
        <v>37980</v>
      </c>
      <c r="K392" s="184" t="n">
        <v>14880</v>
      </c>
      <c r="L392" s="185" t="n">
        <v>14</v>
      </c>
      <c r="M392" s="184" t="n">
        <v>23100</v>
      </c>
      <c r="N392" s="184" t="n">
        <v>19866</v>
      </c>
      <c r="O392" s="186" t="s">
        <v>1142</v>
      </c>
      <c r="P392" s="187" t="n">
        <v>45900</v>
      </c>
    </row>
    <row r="393" customFormat="false" ht="51" hidden="false" customHeight="true" outlineLevel="0" collapsed="false">
      <c r="A393" s="181" t="s">
        <v>1143</v>
      </c>
      <c r="B393" s="182" t="n">
        <v>1395</v>
      </c>
      <c r="C393" s="183" t="n">
        <v>58693</v>
      </c>
      <c r="D393" s="181" t="s">
        <v>3326</v>
      </c>
      <c r="E393" s="181" t="s">
        <v>332</v>
      </c>
      <c r="F393" s="181" t="s">
        <v>333</v>
      </c>
      <c r="G393" s="181" t="s">
        <v>226</v>
      </c>
      <c r="H393" s="181" t="s">
        <v>832</v>
      </c>
      <c r="I393" s="181" t="s">
        <v>220</v>
      </c>
      <c r="J393" s="184" t="n">
        <v>37800</v>
      </c>
      <c r="K393" s="184" t="n">
        <v>14680</v>
      </c>
      <c r="L393" s="185" t="n">
        <v>10</v>
      </c>
      <c r="M393" s="184" t="n">
        <v>23120</v>
      </c>
      <c r="N393" s="184" t="n">
        <v>20808</v>
      </c>
      <c r="O393" s="186" t="s">
        <v>1144</v>
      </c>
      <c r="P393" s="187" t="n">
        <v>45900</v>
      </c>
    </row>
    <row r="394" customFormat="false" ht="51" hidden="false" customHeight="true" outlineLevel="0" collapsed="false">
      <c r="A394" s="181" t="s">
        <v>1145</v>
      </c>
      <c r="B394" s="182" t="n">
        <v>1397</v>
      </c>
      <c r="C394" s="183" t="n">
        <v>58697</v>
      </c>
      <c r="D394" s="181" t="s">
        <v>3326</v>
      </c>
      <c r="E394" s="181" t="s">
        <v>541</v>
      </c>
      <c r="F394" s="181" t="s">
        <v>542</v>
      </c>
      <c r="G394" s="181" t="s">
        <v>226</v>
      </c>
      <c r="H394" s="181" t="s">
        <v>832</v>
      </c>
      <c r="I394" s="181" t="s">
        <v>220</v>
      </c>
      <c r="J394" s="184" t="n">
        <v>39790</v>
      </c>
      <c r="K394" s="184" t="n">
        <v>14970</v>
      </c>
      <c r="L394" s="185" t="n">
        <v>15</v>
      </c>
      <c r="M394" s="184" t="n">
        <v>24820</v>
      </c>
      <c r="N394" s="184" t="n">
        <v>21097</v>
      </c>
      <c r="O394" s="186" t="s">
        <v>1146</v>
      </c>
      <c r="P394" s="187" t="n">
        <v>45901</v>
      </c>
    </row>
    <row r="395" customFormat="false" ht="51" hidden="false" customHeight="true" outlineLevel="0" collapsed="false">
      <c r="A395" s="181" t="s">
        <v>1147</v>
      </c>
      <c r="B395" s="182" t="n">
        <v>1398</v>
      </c>
      <c r="C395" s="183" t="n">
        <v>58695</v>
      </c>
      <c r="D395" s="181" t="s">
        <v>3326</v>
      </c>
      <c r="E395" s="181" t="s">
        <v>399</v>
      </c>
      <c r="F395" s="181" t="s">
        <v>400</v>
      </c>
      <c r="G395" s="181" t="s">
        <v>226</v>
      </c>
      <c r="H395" s="181" t="s">
        <v>832</v>
      </c>
      <c r="I395" s="181" t="s">
        <v>220</v>
      </c>
      <c r="J395" s="184" t="n">
        <v>46220</v>
      </c>
      <c r="K395" s="184" t="n">
        <v>19330</v>
      </c>
      <c r="L395" s="185" t="n">
        <v>10</v>
      </c>
      <c r="M395" s="184" t="n">
        <v>26890</v>
      </c>
      <c r="N395" s="184" t="n">
        <v>24201</v>
      </c>
      <c r="O395" s="186" t="s">
        <v>1148</v>
      </c>
      <c r="P395" s="187" t="n">
        <v>45901</v>
      </c>
    </row>
    <row r="396" customFormat="false" ht="51" hidden="false" customHeight="true" outlineLevel="0" collapsed="false">
      <c r="A396" s="181" t="s">
        <v>1149</v>
      </c>
      <c r="B396" s="182" t="n">
        <v>1399</v>
      </c>
      <c r="C396" s="183" t="n">
        <v>58699</v>
      </c>
      <c r="D396" s="181" t="s">
        <v>3326</v>
      </c>
      <c r="E396" s="181" t="s">
        <v>549</v>
      </c>
      <c r="F396" s="181" t="s">
        <v>550</v>
      </c>
      <c r="G396" s="181" t="s">
        <v>226</v>
      </c>
      <c r="H396" s="181" t="s">
        <v>832</v>
      </c>
      <c r="I396" s="181" t="s">
        <v>220</v>
      </c>
      <c r="J396" s="184" t="n">
        <v>41690</v>
      </c>
      <c r="K396" s="184" t="n">
        <v>15650</v>
      </c>
      <c r="L396" s="185" t="n">
        <v>8</v>
      </c>
      <c r="M396" s="184" t="n">
        <v>26040</v>
      </c>
      <c r="N396" s="184" t="n">
        <v>23956.8</v>
      </c>
      <c r="O396" s="186" t="s">
        <v>1150</v>
      </c>
      <c r="P396" s="187" t="n">
        <v>45901</v>
      </c>
    </row>
    <row r="397" customFormat="false" ht="51" hidden="false" customHeight="true" outlineLevel="0" collapsed="false">
      <c r="A397" s="181" t="s">
        <v>1151</v>
      </c>
      <c r="B397" s="182" t="n">
        <v>1400</v>
      </c>
      <c r="C397" s="183" t="n">
        <v>58701</v>
      </c>
      <c r="D397" s="181" t="s">
        <v>3326</v>
      </c>
      <c r="E397" s="181" t="s">
        <v>282</v>
      </c>
      <c r="F397" s="181" t="s">
        <v>283</v>
      </c>
      <c r="G397" s="181" t="s">
        <v>226</v>
      </c>
      <c r="H397" s="181" t="s">
        <v>832</v>
      </c>
      <c r="I397" s="181" t="s">
        <v>220</v>
      </c>
      <c r="J397" s="184" t="n">
        <v>38130</v>
      </c>
      <c r="K397" s="184" t="n">
        <v>15050</v>
      </c>
      <c r="L397" s="185" t="n">
        <v>10</v>
      </c>
      <c r="M397" s="184" t="n">
        <v>23080</v>
      </c>
      <c r="N397" s="184" t="n">
        <v>20772</v>
      </c>
      <c r="O397" s="186" t="s">
        <v>1152</v>
      </c>
      <c r="P397" s="187" t="n">
        <v>45901</v>
      </c>
    </row>
    <row r="398" customFormat="false" ht="51" hidden="false" customHeight="true" outlineLevel="0" collapsed="false">
      <c r="A398" s="181" t="s">
        <v>1155</v>
      </c>
      <c r="B398" s="182" t="n">
        <v>1402</v>
      </c>
      <c r="C398" s="183" t="n">
        <v>58707</v>
      </c>
      <c r="D398" s="181" t="s">
        <v>3326</v>
      </c>
      <c r="E398" s="181" t="s">
        <v>1027</v>
      </c>
      <c r="F398" s="181" t="s">
        <v>1028</v>
      </c>
      <c r="G398" s="181" t="s">
        <v>226</v>
      </c>
      <c r="H398" s="181" t="s">
        <v>832</v>
      </c>
      <c r="I398" s="181" t="s">
        <v>220</v>
      </c>
      <c r="J398" s="184" t="n">
        <v>15790</v>
      </c>
      <c r="K398" s="184" t="n">
        <v>10120</v>
      </c>
      <c r="L398" s="185" t="n">
        <v>7</v>
      </c>
      <c r="M398" s="184" t="n">
        <v>5670</v>
      </c>
      <c r="N398" s="184" t="n">
        <v>5273.1</v>
      </c>
      <c r="O398" s="186" t="s">
        <v>1156</v>
      </c>
      <c r="P398" s="187" t="n">
        <v>45901</v>
      </c>
    </row>
    <row r="399" customFormat="false" ht="51" hidden="false" customHeight="true" outlineLevel="0" collapsed="false">
      <c r="A399" s="181" t="s">
        <v>1153</v>
      </c>
      <c r="B399" s="182" t="n">
        <v>1401</v>
      </c>
      <c r="C399" s="183" t="n">
        <v>58703</v>
      </c>
      <c r="D399" s="181" t="s">
        <v>3326</v>
      </c>
      <c r="E399" s="181" t="s">
        <v>533</v>
      </c>
      <c r="F399" s="181" t="s">
        <v>534</v>
      </c>
      <c r="G399" s="181" t="s">
        <v>226</v>
      </c>
      <c r="H399" s="181" t="s">
        <v>832</v>
      </c>
      <c r="I399" s="181" t="s">
        <v>220</v>
      </c>
      <c r="J399" s="184" t="n">
        <v>39010</v>
      </c>
      <c r="K399" s="184" t="n">
        <v>14620</v>
      </c>
      <c r="L399" s="185" t="n">
        <v>9</v>
      </c>
      <c r="M399" s="184" t="n">
        <v>24390</v>
      </c>
      <c r="N399" s="184" t="n">
        <v>22194.9</v>
      </c>
      <c r="O399" s="186" t="s">
        <v>1154</v>
      </c>
      <c r="P399" s="187" t="n">
        <v>45901</v>
      </c>
    </row>
    <row r="400" customFormat="false" ht="51" hidden="false" customHeight="true" outlineLevel="0" collapsed="false">
      <c r="A400" s="181" t="s">
        <v>1157</v>
      </c>
      <c r="B400" s="182" t="n">
        <v>1403</v>
      </c>
      <c r="C400" s="183" t="n">
        <v>58705</v>
      </c>
      <c r="D400" s="181" t="s">
        <v>3326</v>
      </c>
      <c r="E400" s="181" t="s">
        <v>545</v>
      </c>
      <c r="F400" s="181" t="s">
        <v>546</v>
      </c>
      <c r="G400" s="181" t="s">
        <v>226</v>
      </c>
      <c r="H400" s="181" t="s">
        <v>832</v>
      </c>
      <c r="I400" s="181" t="s">
        <v>220</v>
      </c>
      <c r="J400" s="184" t="n">
        <v>41010</v>
      </c>
      <c r="K400" s="184" t="n">
        <v>16100</v>
      </c>
      <c r="L400" s="185" t="n">
        <v>13</v>
      </c>
      <c r="M400" s="184" t="n">
        <v>24910</v>
      </c>
      <c r="N400" s="184" t="n">
        <v>21671.7</v>
      </c>
      <c r="O400" s="186" t="s">
        <v>1158</v>
      </c>
      <c r="P400" s="187" t="n">
        <v>45901</v>
      </c>
    </row>
    <row r="401" customFormat="false" ht="51" hidden="false" customHeight="true" outlineLevel="0" collapsed="false">
      <c r="A401" s="181" t="s">
        <v>1189</v>
      </c>
      <c r="B401" s="182" t="n">
        <v>1434</v>
      </c>
      <c r="C401" s="183" t="n">
        <v>36952</v>
      </c>
      <c r="D401" s="181" t="s">
        <v>3327</v>
      </c>
      <c r="E401" s="181" t="s">
        <v>292</v>
      </c>
      <c r="F401" s="181" t="s">
        <v>293</v>
      </c>
      <c r="G401" s="181" t="s">
        <v>236</v>
      </c>
      <c r="H401" s="181" t="s">
        <v>279</v>
      </c>
      <c r="I401" s="181" t="s">
        <v>230</v>
      </c>
      <c r="J401" s="184" t="n">
        <v>35120</v>
      </c>
      <c r="K401" s="184" t="n">
        <v>13890</v>
      </c>
      <c r="L401" s="185" t="n">
        <v>8</v>
      </c>
      <c r="M401" s="184" t="n">
        <v>21230</v>
      </c>
      <c r="N401" s="184" t="n">
        <v>19531.6</v>
      </c>
      <c r="O401" s="186" t="s">
        <v>1191</v>
      </c>
      <c r="P401" s="187" t="n">
        <v>45905</v>
      </c>
    </row>
    <row r="402" customFormat="false" ht="51" hidden="false" customHeight="true" outlineLevel="0" collapsed="false">
      <c r="A402" s="181" t="s">
        <v>1192</v>
      </c>
      <c r="B402" s="182" t="n">
        <v>1435</v>
      </c>
      <c r="C402" s="183" t="n">
        <v>36939</v>
      </c>
      <c r="D402" s="181" t="s">
        <v>3327</v>
      </c>
      <c r="E402" s="181" t="s">
        <v>1019</v>
      </c>
      <c r="F402" s="181" t="s">
        <v>1020</v>
      </c>
      <c r="G402" s="181" t="s">
        <v>236</v>
      </c>
      <c r="H402" s="181" t="s">
        <v>279</v>
      </c>
      <c r="I402" s="181" t="s">
        <v>230</v>
      </c>
      <c r="J402" s="184" t="n">
        <v>42640</v>
      </c>
      <c r="K402" s="184" t="n">
        <v>17080</v>
      </c>
      <c r="L402" s="185" t="n">
        <v>8</v>
      </c>
      <c r="M402" s="184" t="n">
        <v>25560</v>
      </c>
      <c r="N402" s="184" t="n">
        <v>23515.2</v>
      </c>
      <c r="O402" s="186" t="s">
        <v>1193</v>
      </c>
      <c r="P402" s="187" t="n">
        <v>45905</v>
      </c>
    </row>
    <row r="403" customFormat="false" ht="51" hidden="false" customHeight="true" outlineLevel="0" collapsed="false">
      <c r="A403" s="181" t="s">
        <v>1194</v>
      </c>
      <c r="B403" s="182" t="n">
        <v>1436</v>
      </c>
      <c r="C403" s="183" t="n">
        <v>36946</v>
      </c>
      <c r="D403" s="181" t="s">
        <v>3327</v>
      </c>
      <c r="E403" s="181" t="s">
        <v>1023</v>
      </c>
      <c r="F403" s="181" t="s">
        <v>1024</v>
      </c>
      <c r="G403" s="181" t="s">
        <v>236</v>
      </c>
      <c r="H403" s="181" t="s">
        <v>279</v>
      </c>
      <c r="I403" s="181" t="s">
        <v>230</v>
      </c>
      <c r="J403" s="184" t="n">
        <v>36340</v>
      </c>
      <c r="K403" s="184" t="n">
        <v>14730</v>
      </c>
      <c r="L403" s="185" t="n">
        <v>4</v>
      </c>
      <c r="M403" s="184" t="n">
        <v>21610</v>
      </c>
      <c r="N403" s="184" t="n">
        <v>20745.6</v>
      </c>
      <c r="O403" s="186" t="s">
        <v>1195</v>
      </c>
      <c r="P403" s="187" t="n">
        <v>45905</v>
      </c>
    </row>
    <row r="404" customFormat="false" ht="51" hidden="false" customHeight="true" outlineLevel="0" collapsed="false">
      <c r="A404" s="181" t="s">
        <v>1196</v>
      </c>
      <c r="B404" s="182" t="n">
        <v>1437</v>
      </c>
      <c r="C404" s="183" t="n">
        <v>36948</v>
      </c>
      <c r="D404" s="181" t="s">
        <v>3327</v>
      </c>
      <c r="E404" s="181" t="s">
        <v>1027</v>
      </c>
      <c r="F404" s="181" t="s">
        <v>1028</v>
      </c>
      <c r="G404" s="181" t="s">
        <v>236</v>
      </c>
      <c r="H404" s="181" t="s">
        <v>279</v>
      </c>
      <c r="I404" s="181" t="s">
        <v>230</v>
      </c>
      <c r="J404" s="184" t="n">
        <v>37830</v>
      </c>
      <c r="K404" s="184" t="n">
        <v>14970</v>
      </c>
      <c r="L404" s="185" t="n">
        <v>5</v>
      </c>
      <c r="M404" s="184" t="n">
        <v>22860</v>
      </c>
      <c r="N404" s="184" t="n">
        <v>21717</v>
      </c>
      <c r="O404" s="186" t="s">
        <v>1197</v>
      </c>
      <c r="P404" s="187" t="n">
        <v>45905</v>
      </c>
    </row>
    <row r="405" customFormat="false" ht="51" hidden="false" customHeight="true" outlineLevel="0" collapsed="false">
      <c r="A405" s="181" t="s">
        <v>1198</v>
      </c>
      <c r="B405" s="182" t="n">
        <v>1438</v>
      </c>
      <c r="C405" s="183" t="n">
        <v>36959</v>
      </c>
      <c r="D405" s="181" t="s">
        <v>3327</v>
      </c>
      <c r="E405" s="181" t="s">
        <v>277</v>
      </c>
      <c r="F405" s="181" t="s">
        <v>278</v>
      </c>
      <c r="G405" s="181" t="s">
        <v>236</v>
      </c>
      <c r="H405" s="181" t="s">
        <v>279</v>
      </c>
      <c r="I405" s="181" t="s">
        <v>230</v>
      </c>
      <c r="J405" s="184" t="n">
        <v>41640</v>
      </c>
      <c r="K405" s="184" t="n">
        <v>15070</v>
      </c>
      <c r="L405" s="185" t="n">
        <v>4</v>
      </c>
      <c r="M405" s="184" t="n">
        <v>26570</v>
      </c>
      <c r="N405" s="184" t="n">
        <v>25507.2</v>
      </c>
      <c r="O405" s="186" t="s">
        <v>1199</v>
      </c>
      <c r="P405" s="187" t="n">
        <v>45905</v>
      </c>
    </row>
    <row r="406" customFormat="false" ht="51" hidden="false" customHeight="true" outlineLevel="0" collapsed="false">
      <c r="A406" s="181" t="s">
        <v>1200</v>
      </c>
      <c r="B406" s="182" t="n">
        <v>1439</v>
      </c>
      <c r="C406" s="183" t="n">
        <v>36955</v>
      </c>
      <c r="D406" s="181" t="s">
        <v>3327</v>
      </c>
      <c r="E406" s="181" t="s">
        <v>431</v>
      </c>
      <c r="F406" s="181" t="s">
        <v>432</v>
      </c>
      <c r="G406" s="181" t="s">
        <v>236</v>
      </c>
      <c r="H406" s="181" t="s">
        <v>279</v>
      </c>
      <c r="I406" s="181" t="s">
        <v>230</v>
      </c>
      <c r="J406" s="184" t="n">
        <v>39910</v>
      </c>
      <c r="K406" s="184" t="n">
        <v>16520</v>
      </c>
      <c r="L406" s="185" t="n">
        <v>5</v>
      </c>
      <c r="M406" s="184" t="n">
        <v>23390</v>
      </c>
      <c r="N406" s="184" t="n">
        <v>22220.5</v>
      </c>
      <c r="O406" s="186" t="s">
        <v>1201</v>
      </c>
      <c r="P406" s="187" t="n">
        <v>45905</v>
      </c>
    </row>
    <row r="407" customFormat="false" ht="51" hidden="false" customHeight="true" outlineLevel="0" collapsed="false">
      <c r="A407" s="181" t="s">
        <v>1202</v>
      </c>
      <c r="B407" s="182" t="n">
        <v>1441</v>
      </c>
      <c r="C407" s="183" t="n">
        <v>36961</v>
      </c>
      <c r="D407" s="181" t="s">
        <v>3327</v>
      </c>
      <c r="E407" s="181" t="s">
        <v>350</v>
      </c>
      <c r="F407" s="181" t="s">
        <v>351</v>
      </c>
      <c r="G407" s="181" t="s">
        <v>236</v>
      </c>
      <c r="H407" s="181" t="s">
        <v>279</v>
      </c>
      <c r="I407" s="181" t="s">
        <v>230</v>
      </c>
      <c r="J407" s="184" t="n">
        <v>41890</v>
      </c>
      <c r="K407" s="184" t="n">
        <v>14870</v>
      </c>
      <c r="L407" s="185" t="n">
        <v>4</v>
      </c>
      <c r="M407" s="184" t="n">
        <v>27020</v>
      </c>
      <c r="N407" s="184" t="n">
        <v>25939.2</v>
      </c>
      <c r="O407" s="186" t="s">
        <v>1203</v>
      </c>
      <c r="P407" s="187" t="n">
        <v>45905</v>
      </c>
    </row>
    <row r="408" customFormat="false" ht="51" hidden="false" customHeight="true" outlineLevel="0" collapsed="false">
      <c r="A408" s="181" t="s">
        <v>1204</v>
      </c>
      <c r="B408" s="182" t="n">
        <v>1442</v>
      </c>
      <c r="C408" s="183" t="n">
        <v>36963</v>
      </c>
      <c r="D408" s="181" t="s">
        <v>3327</v>
      </c>
      <c r="E408" s="181" t="s">
        <v>373</v>
      </c>
      <c r="F408" s="181" t="s">
        <v>374</v>
      </c>
      <c r="G408" s="181" t="s">
        <v>236</v>
      </c>
      <c r="H408" s="181" t="s">
        <v>279</v>
      </c>
      <c r="I408" s="181" t="s">
        <v>230</v>
      </c>
      <c r="J408" s="184" t="n">
        <v>37360</v>
      </c>
      <c r="K408" s="184" t="n">
        <v>14230</v>
      </c>
      <c r="L408" s="185" t="n">
        <v>6</v>
      </c>
      <c r="M408" s="184" t="n">
        <v>23130</v>
      </c>
      <c r="N408" s="184" t="n">
        <v>21742.2</v>
      </c>
      <c r="O408" s="186" t="s">
        <v>1205</v>
      </c>
      <c r="P408" s="187" t="n">
        <v>45905</v>
      </c>
    </row>
    <row r="409" customFormat="false" ht="51" hidden="false" customHeight="true" outlineLevel="0" collapsed="false">
      <c r="A409" s="181" t="s">
        <v>1206</v>
      </c>
      <c r="B409" s="182" t="n">
        <v>1443</v>
      </c>
      <c r="C409" s="183" t="n">
        <v>36965</v>
      </c>
      <c r="D409" s="181" t="s">
        <v>3327</v>
      </c>
      <c r="E409" s="181" t="s">
        <v>377</v>
      </c>
      <c r="F409" s="181" t="s">
        <v>378</v>
      </c>
      <c r="G409" s="181" t="s">
        <v>236</v>
      </c>
      <c r="H409" s="181" t="s">
        <v>279</v>
      </c>
      <c r="I409" s="181" t="s">
        <v>230</v>
      </c>
      <c r="J409" s="184" t="n">
        <v>41100</v>
      </c>
      <c r="K409" s="184" t="n">
        <v>15530</v>
      </c>
      <c r="L409" s="185" t="n">
        <v>6</v>
      </c>
      <c r="M409" s="184" t="n">
        <v>25570</v>
      </c>
      <c r="N409" s="184" t="n">
        <v>24035.8</v>
      </c>
      <c r="O409" s="186" t="s">
        <v>1207</v>
      </c>
      <c r="P409" s="187" t="n">
        <v>45905</v>
      </c>
    </row>
    <row r="410" customFormat="false" ht="51" hidden="false" customHeight="true" outlineLevel="0" collapsed="false">
      <c r="A410" s="181" t="s">
        <v>1159</v>
      </c>
      <c r="B410" s="182" t="n">
        <v>1412</v>
      </c>
      <c r="C410" s="183" t="n">
        <v>77183</v>
      </c>
      <c r="D410" s="181" t="s">
        <v>3326</v>
      </c>
      <c r="E410" s="181" t="s">
        <v>282</v>
      </c>
      <c r="F410" s="181" t="s">
        <v>283</v>
      </c>
      <c r="G410" s="181" t="s">
        <v>226</v>
      </c>
      <c r="H410" s="181" t="s">
        <v>279</v>
      </c>
      <c r="I410" s="181" t="s">
        <v>230</v>
      </c>
      <c r="J410" s="184" t="n">
        <v>37800</v>
      </c>
      <c r="K410" s="184" t="n">
        <v>15030</v>
      </c>
      <c r="L410" s="185" t="n">
        <v>23</v>
      </c>
      <c r="M410" s="184" t="n">
        <v>22770</v>
      </c>
      <c r="N410" s="184" t="n">
        <v>17532.9</v>
      </c>
      <c r="O410" s="186" t="s">
        <v>1160</v>
      </c>
      <c r="P410" s="187" t="n">
        <v>45903</v>
      </c>
    </row>
    <row r="411" customFormat="false" ht="51" hidden="false" customHeight="true" outlineLevel="0" collapsed="false">
      <c r="A411" s="181" t="s">
        <v>1208</v>
      </c>
      <c r="B411" s="182" t="n">
        <v>1445</v>
      </c>
      <c r="C411" s="183" t="n">
        <v>36969</v>
      </c>
      <c r="D411" s="181" t="s">
        <v>3327</v>
      </c>
      <c r="E411" s="181" t="s">
        <v>332</v>
      </c>
      <c r="F411" s="181" t="s">
        <v>333</v>
      </c>
      <c r="G411" s="181" t="s">
        <v>236</v>
      </c>
      <c r="H411" s="181" t="s">
        <v>279</v>
      </c>
      <c r="I411" s="181" t="s">
        <v>230</v>
      </c>
      <c r="J411" s="184" t="n">
        <v>38140</v>
      </c>
      <c r="K411" s="184" t="n">
        <v>14690</v>
      </c>
      <c r="L411" s="185" t="n">
        <v>9</v>
      </c>
      <c r="M411" s="184" t="n">
        <v>23450</v>
      </c>
      <c r="N411" s="184" t="n">
        <v>21339.5</v>
      </c>
      <c r="O411" s="186" t="s">
        <v>1209</v>
      </c>
      <c r="P411" s="187" t="n">
        <v>45905</v>
      </c>
    </row>
    <row r="412" customFormat="false" ht="51" hidden="false" customHeight="true" outlineLevel="0" collapsed="false">
      <c r="A412" s="181" t="s">
        <v>1161</v>
      </c>
      <c r="B412" s="182" t="n">
        <v>1414</v>
      </c>
      <c r="C412" s="183" t="n">
        <v>77185</v>
      </c>
      <c r="D412" s="181" t="s">
        <v>3326</v>
      </c>
      <c r="E412" s="181" t="s">
        <v>277</v>
      </c>
      <c r="F412" s="181" t="s">
        <v>278</v>
      </c>
      <c r="G412" s="181" t="s">
        <v>226</v>
      </c>
      <c r="H412" s="181" t="s">
        <v>279</v>
      </c>
      <c r="I412" s="181" t="s">
        <v>230</v>
      </c>
      <c r="J412" s="184" t="n">
        <v>41570</v>
      </c>
      <c r="K412" s="184" t="n">
        <v>15090</v>
      </c>
      <c r="L412" s="185" t="n">
        <v>15</v>
      </c>
      <c r="M412" s="184" t="n">
        <v>26480</v>
      </c>
      <c r="N412" s="184" t="n">
        <v>22508</v>
      </c>
      <c r="O412" s="186" t="s">
        <v>1162</v>
      </c>
      <c r="P412" s="187" t="n">
        <v>45903</v>
      </c>
    </row>
    <row r="413" customFormat="false" ht="51" hidden="false" customHeight="true" outlineLevel="0" collapsed="false">
      <c r="A413" s="181" t="s">
        <v>1163</v>
      </c>
      <c r="B413" s="182" t="n">
        <v>1416</v>
      </c>
      <c r="C413" s="183" t="n">
        <v>77187</v>
      </c>
      <c r="D413" s="181" t="s">
        <v>3326</v>
      </c>
      <c r="E413" s="181" t="s">
        <v>300</v>
      </c>
      <c r="F413" s="181" t="s">
        <v>301</v>
      </c>
      <c r="G413" s="181" t="s">
        <v>226</v>
      </c>
      <c r="H413" s="181" t="s">
        <v>279</v>
      </c>
      <c r="I413" s="181" t="s">
        <v>230</v>
      </c>
      <c r="J413" s="184" t="n">
        <v>45070</v>
      </c>
      <c r="K413" s="184" t="n">
        <v>20980</v>
      </c>
      <c r="L413" s="185" t="n">
        <v>16</v>
      </c>
      <c r="M413" s="184" t="n">
        <v>24090</v>
      </c>
      <c r="N413" s="184" t="n">
        <v>20235.6</v>
      </c>
      <c r="O413" s="186" t="s">
        <v>1164</v>
      </c>
      <c r="P413" s="187" t="n">
        <v>45903</v>
      </c>
    </row>
    <row r="414" customFormat="false" ht="51" hidden="false" customHeight="true" outlineLevel="0" collapsed="false">
      <c r="A414" s="181" t="s">
        <v>1165</v>
      </c>
      <c r="B414" s="182" t="n">
        <v>1417</v>
      </c>
      <c r="C414" s="183" t="n">
        <v>77191</v>
      </c>
      <c r="D414" s="181" t="s">
        <v>3326</v>
      </c>
      <c r="E414" s="181" t="s">
        <v>308</v>
      </c>
      <c r="F414" s="181" t="s">
        <v>309</v>
      </c>
      <c r="G414" s="181" t="s">
        <v>226</v>
      </c>
      <c r="H414" s="181" t="s">
        <v>279</v>
      </c>
      <c r="I414" s="181" t="s">
        <v>230</v>
      </c>
      <c r="J414" s="184" t="n">
        <v>46470</v>
      </c>
      <c r="K414" s="184" t="n">
        <v>24050</v>
      </c>
      <c r="L414" s="185" t="n">
        <v>21</v>
      </c>
      <c r="M414" s="184" t="n">
        <v>22420</v>
      </c>
      <c r="N414" s="184" t="n">
        <v>17711.8</v>
      </c>
      <c r="O414" s="186" t="s">
        <v>1166</v>
      </c>
      <c r="P414" s="187" t="n">
        <v>45903</v>
      </c>
    </row>
    <row r="415" customFormat="false" ht="51" hidden="false" customHeight="true" outlineLevel="0" collapsed="false">
      <c r="A415" s="181" t="s">
        <v>1167</v>
      </c>
      <c r="B415" s="182" t="n">
        <v>1418</v>
      </c>
      <c r="C415" s="183" t="n">
        <v>77189</v>
      </c>
      <c r="D415" s="181" t="s">
        <v>3326</v>
      </c>
      <c r="E415" s="181" t="s">
        <v>304</v>
      </c>
      <c r="F415" s="181" t="s">
        <v>305</v>
      </c>
      <c r="G415" s="181" t="s">
        <v>226</v>
      </c>
      <c r="H415" s="181" t="s">
        <v>279</v>
      </c>
      <c r="I415" s="181" t="s">
        <v>230</v>
      </c>
      <c r="J415" s="184" t="n">
        <v>38410</v>
      </c>
      <c r="K415" s="184" t="n">
        <v>14850</v>
      </c>
      <c r="L415" s="185" t="n">
        <v>14</v>
      </c>
      <c r="M415" s="184" t="n">
        <v>23560</v>
      </c>
      <c r="N415" s="184" t="n">
        <v>20261.6</v>
      </c>
      <c r="O415" s="186" t="s">
        <v>1168</v>
      </c>
      <c r="P415" s="187" t="n">
        <v>45903</v>
      </c>
    </row>
    <row r="416" customFormat="false" ht="51" hidden="false" customHeight="true" outlineLevel="0" collapsed="false">
      <c r="A416" s="181" t="s">
        <v>1169</v>
      </c>
      <c r="B416" s="182" t="n">
        <v>1420</v>
      </c>
      <c r="C416" s="183" t="n">
        <v>77193</v>
      </c>
      <c r="D416" s="181" t="s">
        <v>3326</v>
      </c>
      <c r="E416" s="181" t="s">
        <v>545</v>
      </c>
      <c r="F416" s="181" t="s">
        <v>546</v>
      </c>
      <c r="G416" s="181" t="s">
        <v>226</v>
      </c>
      <c r="H416" s="181" t="s">
        <v>279</v>
      </c>
      <c r="I416" s="181" t="s">
        <v>230</v>
      </c>
      <c r="J416" s="184" t="n">
        <v>42640</v>
      </c>
      <c r="K416" s="184" t="n">
        <v>16100</v>
      </c>
      <c r="L416" s="185" t="n">
        <v>11</v>
      </c>
      <c r="M416" s="184" t="n">
        <v>26540</v>
      </c>
      <c r="N416" s="184" t="n">
        <v>23620.6</v>
      </c>
      <c r="O416" s="186" t="s">
        <v>1170</v>
      </c>
      <c r="P416" s="187" t="n">
        <v>45903</v>
      </c>
    </row>
    <row r="417" customFormat="false" ht="51" hidden="false" customHeight="true" outlineLevel="0" collapsed="false">
      <c r="A417" s="181" t="s">
        <v>1171</v>
      </c>
      <c r="B417" s="182" t="n">
        <v>1421</v>
      </c>
      <c r="C417" s="183" t="n">
        <v>77195</v>
      </c>
      <c r="D417" s="181" t="s">
        <v>3326</v>
      </c>
      <c r="E417" s="181" t="s">
        <v>537</v>
      </c>
      <c r="F417" s="181" t="s">
        <v>538</v>
      </c>
      <c r="G417" s="181" t="s">
        <v>226</v>
      </c>
      <c r="H417" s="181" t="s">
        <v>279</v>
      </c>
      <c r="I417" s="181" t="s">
        <v>230</v>
      </c>
      <c r="J417" s="184" t="n">
        <v>36260</v>
      </c>
      <c r="K417" s="184" t="n">
        <v>13970</v>
      </c>
      <c r="L417" s="185" t="n">
        <v>10</v>
      </c>
      <c r="M417" s="184" t="n">
        <v>22290</v>
      </c>
      <c r="N417" s="184" t="n">
        <v>20061</v>
      </c>
      <c r="O417" s="186" t="s">
        <v>1172</v>
      </c>
      <c r="P417" s="187" t="n">
        <v>45903</v>
      </c>
    </row>
    <row r="418" customFormat="false" ht="51" hidden="false" customHeight="true" outlineLevel="0" collapsed="false">
      <c r="A418" s="181" t="s">
        <v>1187</v>
      </c>
      <c r="B418" s="182" t="n">
        <v>1432</v>
      </c>
      <c r="C418" s="183" t="n">
        <v>77262</v>
      </c>
      <c r="D418" s="181" t="s">
        <v>3326</v>
      </c>
      <c r="E418" s="181" t="s">
        <v>439</v>
      </c>
      <c r="F418" s="181" t="s">
        <v>440</v>
      </c>
      <c r="G418" s="181" t="s">
        <v>226</v>
      </c>
      <c r="H418" s="181" t="s">
        <v>279</v>
      </c>
      <c r="I418" s="181" t="s">
        <v>230</v>
      </c>
      <c r="J418" s="184" t="n">
        <v>21410</v>
      </c>
      <c r="K418" s="184" t="n">
        <v>10720</v>
      </c>
      <c r="L418" s="185" t="n">
        <v>6</v>
      </c>
      <c r="M418" s="184" t="n">
        <v>10690</v>
      </c>
      <c r="N418" s="184" t="n">
        <v>10048.6</v>
      </c>
      <c r="O418" s="186" t="s">
        <v>1188</v>
      </c>
      <c r="P418" s="187" t="n">
        <v>45904</v>
      </c>
    </row>
    <row r="419" customFormat="false" ht="51" hidden="false" customHeight="true" outlineLevel="0" collapsed="false">
      <c r="A419" s="181" t="s">
        <v>1173</v>
      </c>
      <c r="B419" s="182" t="n">
        <v>1422</v>
      </c>
      <c r="C419" s="183" t="n">
        <v>77199</v>
      </c>
      <c r="D419" s="181" t="s">
        <v>3326</v>
      </c>
      <c r="E419" s="181" t="s">
        <v>533</v>
      </c>
      <c r="F419" s="181" t="s">
        <v>534</v>
      </c>
      <c r="G419" s="181" t="s">
        <v>226</v>
      </c>
      <c r="H419" s="181" t="s">
        <v>279</v>
      </c>
      <c r="I419" s="181" t="s">
        <v>230</v>
      </c>
      <c r="J419" s="184" t="n">
        <v>39940</v>
      </c>
      <c r="K419" s="184" t="n">
        <v>14610</v>
      </c>
      <c r="L419" s="185" t="n">
        <v>17</v>
      </c>
      <c r="M419" s="184" t="n">
        <v>25330</v>
      </c>
      <c r="N419" s="184" t="n">
        <v>21023.9</v>
      </c>
      <c r="O419" s="186" t="s">
        <v>1174</v>
      </c>
      <c r="P419" s="187" t="n">
        <v>45903</v>
      </c>
    </row>
    <row r="420" customFormat="false" ht="51" hidden="false" customHeight="true" outlineLevel="0" collapsed="false">
      <c r="A420" s="181" t="s">
        <v>1185</v>
      </c>
      <c r="B420" s="182" t="n">
        <v>1431</v>
      </c>
      <c r="C420" s="183" t="n">
        <v>77247</v>
      </c>
      <c r="D420" s="181" t="s">
        <v>3326</v>
      </c>
      <c r="E420" s="181" t="s">
        <v>582</v>
      </c>
      <c r="F420" s="181" t="s">
        <v>583</v>
      </c>
      <c r="G420" s="181" t="s">
        <v>226</v>
      </c>
      <c r="H420" s="181" t="s">
        <v>279</v>
      </c>
      <c r="I420" s="181" t="s">
        <v>230</v>
      </c>
      <c r="J420" s="184" t="n">
        <v>37890</v>
      </c>
      <c r="K420" s="184" t="n">
        <v>14660</v>
      </c>
      <c r="L420" s="185" t="n">
        <v>7</v>
      </c>
      <c r="M420" s="184" t="n">
        <v>23230</v>
      </c>
      <c r="N420" s="184" t="n">
        <v>21603.9</v>
      </c>
      <c r="O420" s="186" t="s">
        <v>1186</v>
      </c>
      <c r="P420" s="187" t="n">
        <v>45904</v>
      </c>
    </row>
    <row r="421" customFormat="false" ht="51" hidden="false" customHeight="true" outlineLevel="0" collapsed="false">
      <c r="A421" s="181" t="s">
        <v>1183</v>
      </c>
      <c r="B421" s="182" t="n">
        <v>1429</v>
      </c>
      <c r="C421" s="183" t="n">
        <v>77245</v>
      </c>
      <c r="D421" s="181" t="s">
        <v>3326</v>
      </c>
      <c r="E421" s="181" t="s">
        <v>272</v>
      </c>
      <c r="F421" s="181" t="s">
        <v>273</v>
      </c>
      <c r="G421" s="181" t="s">
        <v>226</v>
      </c>
      <c r="H421" s="181" t="s">
        <v>279</v>
      </c>
      <c r="I421" s="181" t="s">
        <v>230</v>
      </c>
      <c r="J421" s="184" t="n">
        <v>39270</v>
      </c>
      <c r="K421" s="184" t="n">
        <v>15580</v>
      </c>
      <c r="L421" s="185" t="n">
        <v>5</v>
      </c>
      <c r="M421" s="184" t="n">
        <v>23690</v>
      </c>
      <c r="N421" s="184" t="n">
        <v>22506</v>
      </c>
      <c r="O421" s="186" t="s">
        <v>1184</v>
      </c>
      <c r="P421" s="187" t="n">
        <v>45904</v>
      </c>
    </row>
    <row r="422" customFormat="false" ht="51" hidden="false" customHeight="true" outlineLevel="0" collapsed="false">
      <c r="A422" s="181" t="s">
        <v>1175</v>
      </c>
      <c r="B422" s="182" t="n">
        <v>1423</v>
      </c>
      <c r="C422" s="183" t="n">
        <v>77197</v>
      </c>
      <c r="D422" s="181" t="s">
        <v>3326</v>
      </c>
      <c r="E422" s="181" t="s">
        <v>549</v>
      </c>
      <c r="F422" s="181" t="s">
        <v>550</v>
      </c>
      <c r="G422" s="181" t="s">
        <v>226</v>
      </c>
      <c r="H422" s="181" t="s">
        <v>279</v>
      </c>
      <c r="I422" s="181" t="s">
        <v>230</v>
      </c>
      <c r="J422" s="184" t="n">
        <v>42970</v>
      </c>
      <c r="K422" s="184" t="n">
        <v>15890</v>
      </c>
      <c r="L422" s="185" t="n">
        <v>17</v>
      </c>
      <c r="M422" s="184" t="n">
        <v>27080</v>
      </c>
      <c r="N422" s="184" t="n">
        <v>22476.4</v>
      </c>
      <c r="O422" s="186" t="s">
        <v>1176</v>
      </c>
      <c r="P422" s="187" t="n">
        <v>45904</v>
      </c>
    </row>
    <row r="423" customFormat="false" ht="51" hidden="false" customHeight="true" outlineLevel="0" collapsed="false">
      <c r="A423" s="181" t="s">
        <v>1181</v>
      </c>
      <c r="B423" s="182" t="n">
        <v>1426</v>
      </c>
      <c r="C423" s="183" t="n">
        <v>77237</v>
      </c>
      <c r="D423" s="181" t="s">
        <v>3326</v>
      </c>
      <c r="E423" s="181" t="s">
        <v>296</v>
      </c>
      <c r="F423" s="181" t="s">
        <v>297</v>
      </c>
      <c r="G423" s="181" t="s">
        <v>226</v>
      </c>
      <c r="H423" s="181" t="s">
        <v>279</v>
      </c>
      <c r="I423" s="181" t="s">
        <v>230</v>
      </c>
      <c r="J423" s="184" t="n">
        <v>40090</v>
      </c>
      <c r="K423" s="184" t="n">
        <v>15360</v>
      </c>
      <c r="L423" s="185" t="n">
        <v>9</v>
      </c>
      <c r="M423" s="184" t="n">
        <v>24730</v>
      </c>
      <c r="N423" s="184" t="n">
        <v>22504.3</v>
      </c>
      <c r="O423" s="186" t="s">
        <v>1182</v>
      </c>
      <c r="P423" s="187" t="n">
        <v>45904</v>
      </c>
    </row>
    <row r="424" customFormat="false" ht="51" hidden="false" customHeight="true" outlineLevel="0" collapsed="false">
      <c r="A424" s="181" t="s">
        <v>1179</v>
      </c>
      <c r="B424" s="182" t="n">
        <v>1425</v>
      </c>
      <c r="C424" s="183" t="n">
        <v>77235</v>
      </c>
      <c r="D424" s="181" t="s">
        <v>3326</v>
      </c>
      <c r="E424" s="181" t="s">
        <v>266</v>
      </c>
      <c r="F424" s="181" t="s">
        <v>267</v>
      </c>
      <c r="G424" s="181" t="s">
        <v>226</v>
      </c>
      <c r="H424" s="181" t="s">
        <v>279</v>
      </c>
      <c r="I424" s="181" t="s">
        <v>230</v>
      </c>
      <c r="J424" s="184" t="n">
        <v>39210</v>
      </c>
      <c r="K424" s="184" t="n">
        <v>14870</v>
      </c>
      <c r="L424" s="185" t="n">
        <v>15</v>
      </c>
      <c r="M424" s="184" t="n">
        <v>24340</v>
      </c>
      <c r="N424" s="184" t="n">
        <v>20689</v>
      </c>
      <c r="O424" s="186" t="s">
        <v>1180</v>
      </c>
      <c r="P424" s="187" t="n">
        <v>45904</v>
      </c>
    </row>
    <row r="425" customFormat="false" ht="51" hidden="false" customHeight="true" outlineLevel="0" collapsed="false">
      <c r="A425" s="181" t="s">
        <v>1177</v>
      </c>
      <c r="B425" s="182" t="n">
        <v>1424</v>
      </c>
      <c r="C425" s="183" t="n">
        <v>77201</v>
      </c>
      <c r="D425" s="181" t="s">
        <v>3326</v>
      </c>
      <c r="E425" s="181" t="s">
        <v>541</v>
      </c>
      <c r="F425" s="181" t="s">
        <v>542</v>
      </c>
      <c r="G425" s="181" t="s">
        <v>226</v>
      </c>
      <c r="H425" s="181" t="s">
        <v>279</v>
      </c>
      <c r="I425" s="181" t="s">
        <v>230</v>
      </c>
      <c r="J425" s="184" t="n">
        <v>40780</v>
      </c>
      <c r="K425" s="184" t="n">
        <v>14930</v>
      </c>
      <c r="L425" s="185" t="n">
        <v>16</v>
      </c>
      <c r="M425" s="184" t="n">
        <v>25850</v>
      </c>
      <c r="N425" s="184" t="n">
        <v>21714</v>
      </c>
      <c r="O425" s="186" t="s">
        <v>1178</v>
      </c>
      <c r="P425" s="187" t="n">
        <v>45904</v>
      </c>
    </row>
    <row r="426" customFormat="false" ht="51" hidden="false" customHeight="true" outlineLevel="0" collapsed="false">
      <c r="A426" s="181" t="s">
        <v>1210</v>
      </c>
      <c r="B426" s="182" t="n">
        <v>1446</v>
      </c>
      <c r="C426" s="183" t="n">
        <v>36971</v>
      </c>
      <c r="D426" s="181" t="s">
        <v>3327</v>
      </c>
      <c r="E426" s="181" t="s">
        <v>288</v>
      </c>
      <c r="F426" s="181" t="s">
        <v>289</v>
      </c>
      <c r="G426" s="181" t="s">
        <v>236</v>
      </c>
      <c r="H426" s="181" t="s">
        <v>279</v>
      </c>
      <c r="I426" s="181" t="s">
        <v>230</v>
      </c>
      <c r="J426" s="184" t="n">
        <v>37710</v>
      </c>
      <c r="K426" s="184" t="n">
        <v>14560</v>
      </c>
      <c r="L426" s="185" t="n">
        <v>5</v>
      </c>
      <c r="M426" s="184" t="n">
        <v>23150</v>
      </c>
      <c r="N426" s="184" t="n">
        <v>21992.5</v>
      </c>
      <c r="O426" s="186" t="s">
        <v>1211</v>
      </c>
      <c r="P426" s="187" t="n">
        <v>45905</v>
      </c>
    </row>
    <row r="427" customFormat="false" ht="51" hidden="false" customHeight="true" outlineLevel="0" collapsed="false">
      <c r="A427" s="181" t="s">
        <v>1212</v>
      </c>
      <c r="B427" s="182" t="n">
        <v>1447</v>
      </c>
      <c r="C427" s="183" t="n">
        <v>36973</v>
      </c>
      <c r="D427" s="181" t="s">
        <v>3327</v>
      </c>
      <c r="E427" s="181" t="s">
        <v>409</v>
      </c>
      <c r="F427" s="181" t="s">
        <v>410</v>
      </c>
      <c r="G427" s="181" t="s">
        <v>236</v>
      </c>
      <c r="H427" s="181" t="s">
        <v>279</v>
      </c>
      <c r="I427" s="181" t="s">
        <v>230</v>
      </c>
      <c r="J427" s="184" t="n">
        <v>54310</v>
      </c>
      <c r="K427" s="184" t="n">
        <v>24080</v>
      </c>
      <c r="L427" s="185" t="n">
        <v>8</v>
      </c>
      <c r="M427" s="184" t="n">
        <v>30230</v>
      </c>
      <c r="N427" s="184" t="n">
        <v>27811.6</v>
      </c>
      <c r="O427" s="186" t="s">
        <v>1213</v>
      </c>
      <c r="P427" s="187" t="n">
        <v>45905</v>
      </c>
    </row>
    <row r="428" customFormat="false" ht="51" hidden="false" customHeight="true" outlineLevel="0" collapsed="false">
      <c r="A428" s="181" t="s">
        <v>1214</v>
      </c>
      <c r="B428" s="182" t="n">
        <v>1448</v>
      </c>
      <c r="C428" s="183" t="n">
        <v>36975</v>
      </c>
      <c r="D428" s="181" t="s">
        <v>3327</v>
      </c>
      <c r="E428" s="181" t="s">
        <v>413</v>
      </c>
      <c r="F428" s="181" t="s">
        <v>414</v>
      </c>
      <c r="G428" s="181" t="s">
        <v>236</v>
      </c>
      <c r="H428" s="181" t="s">
        <v>279</v>
      </c>
      <c r="I428" s="181" t="s">
        <v>230</v>
      </c>
      <c r="J428" s="184" t="n">
        <v>43750</v>
      </c>
      <c r="K428" s="184" t="n">
        <v>15540</v>
      </c>
      <c r="L428" s="185" t="n">
        <v>10</v>
      </c>
      <c r="M428" s="184" t="n">
        <v>28210</v>
      </c>
      <c r="N428" s="184" t="n">
        <v>25389</v>
      </c>
      <c r="O428" s="186" t="s">
        <v>1215</v>
      </c>
      <c r="P428" s="187" t="n">
        <v>45905</v>
      </c>
    </row>
    <row r="429" customFormat="false" ht="51" hidden="false" customHeight="true" outlineLevel="0" collapsed="false">
      <c r="A429" s="181" t="s">
        <v>1216</v>
      </c>
      <c r="B429" s="182" t="n">
        <v>1449</v>
      </c>
      <c r="C429" s="183" t="n">
        <v>36967</v>
      </c>
      <c r="D429" s="181" t="s">
        <v>3327</v>
      </c>
      <c r="E429" s="181" t="s">
        <v>537</v>
      </c>
      <c r="F429" s="181" t="s">
        <v>538</v>
      </c>
      <c r="G429" s="181" t="s">
        <v>236</v>
      </c>
      <c r="H429" s="181" t="s">
        <v>279</v>
      </c>
      <c r="I429" s="181" t="s">
        <v>230</v>
      </c>
      <c r="J429" s="184" t="n">
        <v>35210</v>
      </c>
      <c r="K429" s="184" t="n">
        <v>13910</v>
      </c>
      <c r="L429" s="185" t="n">
        <v>11</v>
      </c>
      <c r="M429" s="184" t="n">
        <v>21300</v>
      </c>
      <c r="N429" s="184" t="n">
        <v>18957</v>
      </c>
      <c r="O429" s="186" t="s">
        <v>1217</v>
      </c>
      <c r="P429" s="187" t="n">
        <v>45905</v>
      </c>
    </row>
    <row r="430" customFormat="false" ht="51" hidden="false" customHeight="true" outlineLevel="0" collapsed="false">
      <c r="A430" s="181" t="s">
        <v>1218</v>
      </c>
      <c r="B430" s="182" t="n">
        <v>1452</v>
      </c>
      <c r="C430" s="183" t="n">
        <v>36957</v>
      </c>
      <c r="D430" s="181" t="s">
        <v>3327</v>
      </c>
      <c r="E430" s="181" t="s">
        <v>435</v>
      </c>
      <c r="F430" s="181" t="s">
        <v>436</v>
      </c>
      <c r="G430" s="181" t="s">
        <v>236</v>
      </c>
      <c r="H430" s="181" t="s">
        <v>279</v>
      </c>
      <c r="I430" s="181" t="s">
        <v>230</v>
      </c>
      <c r="J430" s="184" t="n">
        <v>38410</v>
      </c>
      <c r="K430" s="184" t="n">
        <v>16270</v>
      </c>
      <c r="L430" s="185" t="n">
        <v>12</v>
      </c>
      <c r="M430" s="184" t="n">
        <v>22140</v>
      </c>
      <c r="N430" s="184" t="n">
        <v>19483.2</v>
      </c>
      <c r="O430" s="186" t="s">
        <v>1219</v>
      </c>
      <c r="P430" s="187" t="n">
        <v>45905</v>
      </c>
    </row>
    <row r="431" customFormat="false" ht="51" hidden="false" customHeight="true" outlineLevel="0" collapsed="false">
      <c r="A431" s="181" t="s">
        <v>1220</v>
      </c>
      <c r="B431" s="182" t="n">
        <v>1454</v>
      </c>
      <c r="C431" s="183" t="n">
        <v>58695</v>
      </c>
      <c r="D431" s="181" t="s">
        <v>3327</v>
      </c>
      <c r="E431" s="181" t="s">
        <v>399</v>
      </c>
      <c r="F431" s="181" t="s">
        <v>400</v>
      </c>
      <c r="G431" s="181" t="s">
        <v>236</v>
      </c>
      <c r="H431" s="181" t="s">
        <v>279</v>
      </c>
      <c r="I431" s="181" t="s">
        <v>230</v>
      </c>
      <c r="J431" s="184" t="n">
        <v>50040</v>
      </c>
      <c r="K431" s="184" t="n">
        <v>19260</v>
      </c>
      <c r="L431" s="185" t="n">
        <v>8</v>
      </c>
      <c r="M431" s="184" t="n">
        <v>30780</v>
      </c>
      <c r="N431" s="184" t="n">
        <v>28317.6</v>
      </c>
      <c r="O431" s="186" t="s">
        <v>1221</v>
      </c>
      <c r="P431" s="187" t="n">
        <v>45905</v>
      </c>
    </row>
    <row r="432" customFormat="false" ht="51" hidden="false" customHeight="true" outlineLevel="0" collapsed="false">
      <c r="A432" s="181" t="s">
        <v>1222</v>
      </c>
      <c r="B432" s="182" t="n">
        <v>1455</v>
      </c>
      <c r="C432" s="183" t="n">
        <v>58640</v>
      </c>
      <c r="D432" s="181" t="s">
        <v>3327</v>
      </c>
      <c r="E432" s="181" t="s">
        <v>354</v>
      </c>
      <c r="F432" s="181" t="s">
        <v>355</v>
      </c>
      <c r="G432" s="181" t="s">
        <v>236</v>
      </c>
      <c r="H432" s="181" t="s">
        <v>279</v>
      </c>
      <c r="I432" s="181" t="s">
        <v>230</v>
      </c>
      <c r="J432" s="184" t="n">
        <v>38320</v>
      </c>
      <c r="K432" s="184" t="n">
        <v>14660</v>
      </c>
      <c r="L432" s="185" t="n">
        <v>14</v>
      </c>
      <c r="M432" s="184" t="n">
        <v>23660</v>
      </c>
      <c r="N432" s="184" t="n">
        <v>20347.6</v>
      </c>
      <c r="O432" s="186" t="s">
        <v>1223</v>
      </c>
      <c r="P432" s="187" t="n">
        <v>45905</v>
      </c>
    </row>
    <row r="433" customFormat="false" ht="51" hidden="false" customHeight="true" outlineLevel="0" collapsed="false">
      <c r="A433" s="181" t="s">
        <v>1224</v>
      </c>
      <c r="B433" s="182" t="n">
        <v>1456</v>
      </c>
      <c r="C433" s="183" t="n">
        <v>58642</v>
      </c>
      <c r="D433" s="181" t="s">
        <v>3327</v>
      </c>
      <c r="E433" s="181" t="s">
        <v>359</v>
      </c>
      <c r="F433" s="181" t="s">
        <v>360</v>
      </c>
      <c r="G433" s="181" t="s">
        <v>236</v>
      </c>
      <c r="H433" s="181" t="s">
        <v>279</v>
      </c>
      <c r="I433" s="181" t="s">
        <v>230</v>
      </c>
      <c r="J433" s="184" t="n">
        <v>36840</v>
      </c>
      <c r="K433" s="184" t="n">
        <v>14820</v>
      </c>
      <c r="L433" s="185" t="n">
        <v>7</v>
      </c>
      <c r="M433" s="184" t="n">
        <v>22020</v>
      </c>
      <c r="N433" s="184" t="n">
        <v>20478.6</v>
      </c>
      <c r="O433" s="186" t="s">
        <v>1225</v>
      </c>
      <c r="P433" s="187" t="n">
        <v>45905</v>
      </c>
    </row>
    <row r="434" customFormat="false" ht="51" hidden="false" customHeight="true" outlineLevel="0" collapsed="false">
      <c r="A434" s="181" t="s">
        <v>1228</v>
      </c>
      <c r="B434" s="182" t="n">
        <v>1458</v>
      </c>
      <c r="C434" s="183" t="n">
        <v>36985</v>
      </c>
      <c r="D434" s="181" t="s">
        <v>3327</v>
      </c>
      <c r="E434" s="181" t="s">
        <v>1053</v>
      </c>
      <c r="F434" s="181" t="s">
        <v>337</v>
      </c>
      <c r="G434" s="181" t="s">
        <v>236</v>
      </c>
      <c r="H434" s="181" t="s">
        <v>279</v>
      </c>
      <c r="I434" s="181" t="s">
        <v>230</v>
      </c>
      <c r="J434" s="184" t="n">
        <v>36040</v>
      </c>
      <c r="K434" s="184" t="n">
        <v>14480</v>
      </c>
      <c r="L434" s="185" t="n">
        <v>14</v>
      </c>
      <c r="M434" s="184" t="n">
        <v>21560</v>
      </c>
      <c r="N434" s="184" t="n">
        <v>18541.6</v>
      </c>
      <c r="O434" s="186" t="s">
        <v>1229</v>
      </c>
      <c r="P434" s="187" t="n">
        <v>45905</v>
      </c>
    </row>
    <row r="435" customFormat="false" ht="51" hidden="false" customHeight="true" outlineLevel="0" collapsed="false">
      <c r="A435" s="181" t="s">
        <v>1230</v>
      </c>
      <c r="B435" s="182" t="n">
        <v>1459</v>
      </c>
      <c r="C435" s="183" t="n">
        <v>36987</v>
      </c>
      <c r="D435" s="181" t="s">
        <v>3327</v>
      </c>
      <c r="E435" s="181" t="s">
        <v>308</v>
      </c>
      <c r="F435" s="181" t="s">
        <v>309</v>
      </c>
      <c r="G435" s="181" t="s">
        <v>236</v>
      </c>
      <c r="H435" s="181" t="s">
        <v>279</v>
      </c>
      <c r="I435" s="181" t="s">
        <v>230</v>
      </c>
      <c r="J435" s="184" t="n">
        <v>47260</v>
      </c>
      <c r="K435" s="184" t="n">
        <v>23990</v>
      </c>
      <c r="L435" s="185" t="n">
        <v>19</v>
      </c>
      <c r="M435" s="184" t="n">
        <v>23270</v>
      </c>
      <c r="N435" s="184" t="n">
        <v>18848.7</v>
      </c>
      <c r="O435" s="186" t="s">
        <v>1231</v>
      </c>
      <c r="P435" s="187" t="n">
        <v>45905</v>
      </c>
    </row>
    <row r="436" customFormat="false" ht="51" hidden="false" customHeight="true" outlineLevel="0" collapsed="false">
      <c r="A436" s="181" t="s">
        <v>1232</v>
      </c>
      <c r="B436" s="182" t="n">
        <v>1460</v>
      </c>
      <c r="C436" s="183" t="n">
        <v>36989</v>
      </c>
      <c r="D436" s="181" t="s">
        <v>3327</v>
      </c>
      <c r="E436" s="181" t="s">
        <v>304</v>
      </c>
      <c r="F436" s="181" t="s">
        <v>305</v>
      </c>
      <c r="G436" s="181" t="s">
        <v>236</v>
      </c>
      <c r="H436" s="181" t="s">
        <v>279</v>
      </c>
      <c r="I436" s="181" t="s">
        <v>230</v>
      </c>
      <c r="J436" s="184" t="n">
        <v>37430</v>
      </c>
      <c r="K436" s="184" t="n">
        <v>14840</v>
      </c>
      <c r="L436" s="185" t="n">
        <v>11</v>
      </c>
      <c r="M436" s="184" t="n">
        <v>22590</v>
      </c>
      <c r="N436" s="184" t="n">
        <v>20105.1</v>
      </c>
      <c r="O436" s="186" t="s">
        <v>1233</v>
      </c>
      <c r="P436" s="187" t="n">
        <v>45905</v>
      </c>
    </row>
    <row r="437" customFormat="false" ht="51" hidden="false" customHeight="true" outlineLevel="0" collapsed="false">
      <c r="A437" s="181" t="s">
        <v>1234</v>
      </c>
      <c r="B437" s="182" t="n">
        <v>1462</v>
      </c>
      <c r="C437" s="183" t="n">
        <v>36991</v>
      </c>
      <c r="D437" s="181" t="s">
        <v>3327</v>
      </c>
      <c r="E437" s="181" t="s">
        <v>300</v>
      </c>
      <c r="F437" s="181" t="s">
        <v>301</v>
      </c>
      <c r="G437" s="181" t="s">
        <v>236</v>
      </c>
      <c r="H437" s="181" t="s">
        <v>279</v>
      </c>
      <c r="I437" s="181" t="s">
        <v>230</v>
      </c>
      <c r="J437" s="184" t="n">
        <v>51650</v>
      </c>
      <c r="K437" s="184" t="n">
        <v>20960</v>
      </c>
      <c r="L437" s="185" t="n">
        <v>5</v>
      </c>
      <c r="M437" s="184" t="n">
        <v>30690</v>
      </c>
      <c r="N437" s="184" t="n">
        <v>29155.5</v>
      </c>
      <c r="O437" s="186" t="s">
        <v>1235</v>
      </c>
      <c r="P437" s="187" t="n">
        <v>45905</v>
      </c>
    </row>
    <row r="438" customFormat="false" ht="51" hidden="false" customHeight="true" outlineLevel="0" collapsed="false">
      <c r="A438" s="181" t="s">
        <v>1236</v>
      </c>
      <c r="B438" s="182" t="n">
        <v>1463</v>
      </c>
      <c r="C438" s="183" t="n">
        <v>36993</v>
      </c>
      <c r="D438" s="181" t="s">
        <v>3327</v>
      </c>
      <c r="E438" s="181" t="s">
        <v>383</v>
      </c>
      <c r="F438" s="181" t="s">
        <v>384</v>
      </c>
      <c r="G438" s="181" t="s">
        <v>236</v>
      </c>
      <c r="H438" s="181" t="s">
        <v>279</v>
      </c>
      <c r="I438" s="181" t="s">
        <v>230</v>
      </c>
      <c r="J438" s="184" t="n">
        <v>39560</v>
      </c>
      <c r="K438" s="184" t="n">
        <v>14810</v>
      </c>
      <c r="L438" s="185" t="n">
        <v>8</v>
      </c>
      <c r="M438" s="184" t="n">
        <v>24750</v>
      </c>
      <c r="N438" s="184" t="n">
        <v>22770</v>
      </c>
      <c r="O438" s="186" t="s">
        <v>1237</v>
      </c>
      <c r="P438" s="187" t="n">
        <v>45905</v>
      </c>
    </row>
    <row r="439" customFormat="false" ht="51" hidden="false" customHeight="true" outlineLevel="0" collapsed="false">
      <c r="A439" s="181" t="s">
        <v>1226</v>
      </c>
      <c r="B439" s="182" t="n">
        <v>1457</v>
      </c>
      <c r="C439" s="183" t="n">
        <v>36983</v>
      </c>
      <c r="D439" s="181" t="s">
        <v>3327</v>
      </c>
      <c r="E439" s="181" t="s">
        <v>340</v>
      </c>
      <c r="F439" s="181" t="s">
        <v>341</v>
      </c>
      <c r="G439" s="181" t="s">
        <v>236</v>
      </c>
      <c r="H439" s="181" t="s">
        <v>279</v>
      </c>
      <c r="I439" s="181" t="s">
        <v>230</v>
      </c>
      <c r="J439" s="184" t="n">
        <v>39030</v>
      </c>
      <c r="K439" s="184" t="n">
        <v>14990</v>
      </c>
      <c r="L439" s="185" t="n">
        <v>7</v>
      </c>
      <c r="M439" s="184" t="n">
        <v>24040</v>
      </c>
      <c r="N439" s="184" t="n">
        <v>22357.2</v>
      </c>
      <c r="O439" s="186" t="s">
        <v>1227</v>
      </c>
      <c r="P439" s="187" t="n">
        <v>45905</v>
      </c>
    </row>
    <row r="440" customFormat="false" ht="51" hidden="false" customHeight="true" outlineLevel="0" collapsed="false">
      <c r="A440" s="181" t="s">
        <v>1238</v>
      </c>
      <c r="B440" s="182" t="n">
        <v>1464</v>
      </c>
      <c r="C440" s="183" t="n">
        <v>36995</v>
      </c>
      <c r="D440" s="181" t="s">
        <v>3327</v>
      </c>
      <c r="E440" s="181" t="s">
        <v>387</v>
      </c>
      <c r="F440" s="181" t="s">
        <v>388</v>
      </c>
      <c r="G440" s="181" t="s">
        <v>236</v>
      </c>
      <c r="H440" s="181" t="s">
        <v>279</v>
      </c>
      <c r="I440" s="181" t="s">
        <v>230</v>
      </c>
      <c r="J440" s="184" t="n">
        <v>41610</v>
      </c>
      <c r="K440" s="184" t="n">
        <v>14950</v>
      </c>
      <c r="L440" s="185" t="n">
        <v>9</v>
      </c>
      <c r="M440" s="184" t="n">
        <v>26660</v>
      </c>
      <c r="N440" s="184" t="n">
        <v>24260.6</v>
      </c>
      <c r="O440" s="186" t="s">
        <v>1239</v>
      </c>
      <c r="P440" s="187" t="n">
        <v>45905</v>
      </c>
    </row>
    <row r="441" customFormat="false" ht="51" hidden="false" customHeight="true" outlineLevel="0" collapsed="false">
      <c r="A441" s="181" t="s">
        <v>1240</v>
      </c>
      <c r="B441" s="182" t="n">
        <v>1468</v>
      </c>
      <c r="C441" s="183" t="n">
        <v>37137</v>
      </c>
      <c r="D441" s="181" t="s">
        <v>3327</v>
      </c>
      <c r="E441" s="181" t="s">
        <v>545</v>
      </c>
      <c r="F441" s="181" t="s">
        <v>546</v>
      </c>
      <c r="G441" s="181" t="s">
        <v>232</v>
      </c>
      <c r="H441" s="181" t="s">
        <v>279</v>
      </c>
      <c r="I441" s="181" t="s">
        <v>230</v>
      </c>
      <c r="J441" s="184" t="n">
        <v>42420</v>
      </c>
      <c r="K441" s="184" t="n">
        <v>16040</v>
      </c>
      <c r="L441" s="185" t="n">
        <v>11</v>
      </c>
      <c r="M441" s="184" t="n">
        <v>26380</v>
      </c>
      <c r="N441" s="184" t="n">
        <v>23478.2</v>
      </c>
      <c r="O441" s="186" t="s">
        <v>1241</v>
      </c>
      <c r="P441" s="187" t="n">
        <v>45907</v>
      </c>
    </row>
    <row r="442" customFormat="false" ht="51" hidden="false" customHeight="true" outlineLevel="0" collapsed="false">
      <c r="A442" s="181" t="s">
        <v>1242</v>
      </c>
      <c r="B442" s="182" t="n">
        <v>1469</v>
      </c>
      <c r="C442" s="183" t="n">
        <v>37139</v>
      </c>
      <c r="D442" s="181" t="s">
        <v>3327</v>
      </c>
      <c r="E442" s="181" t="s">
        <v>549</v>
      </c>
      <c r="F442" s="181" t="s">
        <v>550</v>
      </c>
      <c r="G442" s="181" t="s">
        <v>232</v>
      </c>
      <c r="H442" s="181" t="s">
        <v>279</v>
      </c>
      <c r="I442" s="181" t="s">
        <v>230</v>
      </c>
      <c r="J442" s="184" t="n">
        <v>41610</v>
      </c>
      <c r="K442" s="184" t="n">
        <v>15860</v>
      </c>
      <c r="L442" s="185" t="n">
        <v>24</v>
      </c>
      <c r="M442" s="184" t="n">
        <v>25750</v>
      </c>
      <c r="N442" s="184" t="n">
        <v>19570</v>
      </c>
      <c r="O442" s="186" t="s">
        <v>1243</v>
      </c>
      <c r="P442" s="187" t="n">
        <v>45907</v>
      </c>
    </row>
    <row r="443" customFormat="false" ht="51" hidden="false" customHeight="true" outlineLevel="0" collapsed="false">
      <c r="A443" s="181" t="s">
        <v>1244</v>
      </c>
      <c r="B443" s="182" t="n">
        <v>1470</v>
      </c>
      <c r="C443" s="183" t="n">
        <v>37141</v>
      </c>
      <c r="D443" s="181" t="s">
        <v>3327</v>
      </c>
      <c r="E443" s="181" t="s">
        <v>533</v>
      </c>
      <c r="F443" s="181" t="s">
        <v>534</v>
      </c>
      <c r="G443" s="181" t="s">
        <v>232</v>
      </c>
      <c r="H443" s="181" t="s">
        <v>279</v>
      </c>
      <c r="I443" s="181" t="s">
        <v>230</v>
      </c>
      <c r="J443" s="184" t="n">
        <v>39610</v>
      </c>
      <c r="K443" s="184" t="n">
        <v>14530</v>
      </c>
      <c r="L443" s="185" t="n">
        <v>15</v>
      </c>
      <c r="M443" s="184" t="n">
        <v>25080</v>
      </c>
      <c r="N443" s="184" t="n">
        <v>21318</v>
      </c>
      <c r="O443" s="186" t="s">
        <v>1245</v>
      </c>
      <c r="P443" s="187" t="n">
        <v>45907</v>
      </c>
    </row>
    <row r="444" customFormat="false" ht="51" hidden="false" customHeight="true" outlineLevel="0" collapsed="false">
      <c r="A444" s="181" t="s">
        <v>1246</v>
      </c>
      <c r="B444" s="182" t="n">
        <v>1471</v>
      </c>
      <c r="C444" s="183" t="n">
        <v>37143</v>
      </c>
      <c r="D444" s="181" t="s">
        <v>3327</v>
      </c>
      <c r="E444" s="181" t="s">
        <v>541</v>
      </c>
      <c r="F444" s="181" t="s">
        <v>542</v>
      </c>
      <c r="G444" s="181" t="s">
        <v>232</v>
      </c>
      <c r="H444" s="181" t="s">
        <v>279</v>
      </c>
      <c r="I444" s="181" t="s">
        <v>230</v>
      </c>
      <c r="J444" s="184" t="n">
        <v>39580</v>
      </c>
      <c r="K444" s="184" t="n">
        <v>14880</v>
      </c>
      <c r="L444" s="185" t="n">
        <v>14</v>
      </c>
      <c r="M444" s="184" t="n">
        <v>24700</v>
      </c>
      <c r="N444" s="184" t="n">
        <v>21242</v>
      </c>
      <c r="O444" s="186" t="s">
        <v>1247</v>
      </c>
      <c r="P444" s="187" t="n">
        <v>45908</v>
      </c>
    </row>
    <row r="445" customFormat="false" ht="51" hidden="false" customHeight="true" outlineLevel="0" collapsed="false">
      <c r="A445" s="181" t="s">
        <v>1248</v>
      </c>
      <c r="B445" s="182" t="n">
        <v>1472</v>
      </c>
      <c r="C445" s="183" t="n">
        <v>37149</v>
      </c>
      <c r="D445" s="181" t="s">
        <v>3327</v>
      </c>
      <c r="E445" s="181" t="s">
        <v>1027</v>
      </c>
      <c r="F445" s="181" t="s">
        <v>1028</v>
      </c>
      <c r="G445" s="181" t="s">
        <v>232</v>
      </c>
      <c r="H445" s="181" t="s">
        <v>279</v>
      </c>
      <c r="I445" s="181" t="s">
        <v>230</v>
      </c>
      <c r="J445" s="184" t="n">
        <v>38850</v>
      </c>
      <c r="K445" s="184" t="n">
        <v>14940</v>
      </c>
      <c r="L445" s="185" t="n">
        <v>20</v>
      </c>
      <c r="M445" s="184" t="n">
        <v>23910</v>
      </c>
      <c r="N445" s="184" t="n">
        <v>19128</v>
      </c>
      <c r="O445" s="186" t="s">
        <v>1249</v>
      </c>
      <c r="P445" s="187" t="n">
        <v>45908</v>
      </c>
    </row>
    <row r="446" customFormat="false" ht="51" hidden="false" customHeight="true" outlineLevel="0" collapsed="false">
      <c r="A446" s="181" t="s">
        <v>1250</v>
      </c>
      <c r="B446" s="182" t="n">
        <v>1473</v>
      </c>
      <c r="C446" s="183" t="n">
        <v>37145</v>
      </c>
      <c r="D446" s="181" t="s">
        <v>3327</v>
      </c>
      <c r="E446" s="181" t="s">
        <v>1019</v>
      </c>
      <c r="F446" s="181" t="s">
        <v>1020</v>
      </c>
      <c r="G446" s="181" t="s">
        <v>232</v>
      </c>
      <c r="H446" s="181" t="s">
        <v>279</v>
      </c>
      <c r="I446" s="181" t="s">
        <v>230</v>
      </c>
      <c r="J446" s="184" t="n">
        <v>42930</v>
      </c>
      <c r="K446" s="184" t="n">
        <v>17090</v>
      </c>
      <c r="L446" s="185" t="n">
        <v>16</v>
      </c>
      <c r="M446" s="184" t="n">
        <v>25840</v>
      </c>
      <c r="N446" s="184" t="n">
        <v>21705.6</v>
      </c>
      <c r="O446" s="186" t="s">
        <v>1251</v>
      </c>
      <c r="P446" s="187" t="n">
        <v>45908</v>
      </c>
    </row>
    <row r="447" customFormat="false" ht="51" hidden="false" customHeight="true" outlineLevel="0" collapsed="false">
      <c r="A447" s="181" t="s">
        <v>1252</v>
      </c>
      <c r="B447" s="182" t="n">
        <v>1474</v>
      </c>
      <c r="C447" s="183" t="n">
        <v>37147</v>
      </c>
      <c r="D447" s="181" t="s">
        <v>3327</v>
      </c>
      <c r="E447" s="181" t="s">
        <v>1023</v>
      </c>
      <c r="F447" s="181" t="s">
        <v>1024</v>
      </c>
      <c r="G447" s="181" t="s">
        <v>232</v>
      </c>
      <c r="H447" s="181" t="s">
        <v>279</v>
      </c>
      <c r="I447" s="181" t="s">
        <v>230</v>
      </c>
      <c r="J447" s="184" t="n">
        <v>36570</v>
      </c>
      <c r="K447" s="184" t="n">
        <v>14800</v>
      </c>
      <c r="L447" s="185" t="n">
        <v>9</v>
      </c>
      <c r="M447" s="184" t="n">
        <v>21770</v>
      </c>
      <c r="N447" s="184" t="n">
        <v>19810.7</v>
      </c>
      <c r="O447" s="186" t="s">
        <v>1253</v>
      </c>
      <c r="P447" s="187" t="n">
        <v>45908</v>
      </c>
    </row>
    <row r="448" customFormat="false" ht="51" hidden="false" customHeight="true" outlineLevel="0" collapsed="false">
      <c r="A448" s="181" t="s">
        <v>1254</v>
      </c>
      <c r="B448" s="182" t="n">
        <v>1475</v>
      </c>
      <c r="C448" s="183" t="n">
        <v>37153</v>
      </c>
      <c r="D448" s="181" t="s">
        <v>3327</v>
      </c>
      <c r="E448" s="181" t="s">
        <v>439</v>
      </c>
      <c r="F448" s="181" t="s">
        <v>440</v>
      </c>
      <c r="G448" s="181" t="s">
        <v>232</v>
      </c>
      <c r="H448" s="181" t="s">
        <v>279</v>
      </c>
      <c r="I448" s="181" t="s">
        <v>230</v>
      </c>
      <c r="J448" s="184" t="n">
        <v>39260</v>
      </c>
      <c r="K448" s="184" t="n">
        <v>16260</v>
      </c>
      <c r="L448" s="185" t="n">
        <v>6</v>
      </c>
      <c r="M448" s="184" t="n">
        <v>23000</v>
      </c>
      <c r="N448" s="184" t="n">
        <v>21620</v>
      </c>
      <c r="O448" s="186" t="s">
        <v>1255</v>
      </c>
      <c r="P448" s="187" t="n">
        <v>45908</v>
      </c>
    </row>
    <row r="449" customFormat="false" ht="51" hidden="false" customHeight="true" outlineLevel="0" collapsed="false">
      <c r="A449" s="181" t="s">
        <v>1256</v>
      </c>
      <c r="B449" s="182" t="n">
        <v>1476</v>
      </c>
      <c r="C449" s="183" t="n">
        <v>37155</v>
      </c>
      <c r="D449" s="181" t="s">
        <v>3327</v>
      </c>
      <c r="E449" s="181" t="s">
        <v>292</v>
      </c>
      <c r="F449" s="181" t="s">
        <v>293</v>
      </c>
      <c r="G449" s="181" t="s">
        <v>232</v>
      </c>
      <c r="H449" s="181" t="s">
        <v>279</v>
      </c>
      <c r="I449" s="181" t="s">
        <v>230</v>
      </c>
      <c r="J449" s="184" t="n">
        <v>35730</v>
      </c>
      <c r="K449" s="184" t="n">
        <v>13880</v>
      </c>
      <c r="L449" s="185" t="n">
        <v>21</v>
      </c>
      <c r="M449" s="184" t="n">
        <v>21850</v>
      </c>
      <c r="N449" s="184" t="n">
        <v>17261.5</v>
      </c>
      <c r="O449" s="186" t="s">
        <v>1257</v>
      </c>
      <c r="P449" s="187" t="n">
        <v>45908</v>
      </c>
    </row>
    <row r="450" customFormat="false" ht="51" hidden="false" customHeight="true" outlineLevel="0" collapsed="false">
      <c r="A450" s="181" t="s">
        <v>1258</v>
      </c>
      <c r="B450" s="182" t="n">
        <v>1477</v>
      </c>
      <c r="C450" s="183" t="n">
        <v>37151</v>
      </c>
      <c r="D450" s="181" t="s">
        <v>3327</v>
      </c>
      <c r="E450" s="181" t="s">
        <v>537</v>
      </c>
      <c r="F450" s="181" t="s">
        <v>538</v>
      </c>
      <c r="G450" s="181" t="s">
        <v>232</v>
      </c>
      <c r="H450" s="181" t="s">
        <v>279</v>
      </c>
      <c r="I450" s="181" t="s">
        <v>230</v>
      </c>
      <c r="J450" s="184" t="n">
        <v>35690</v>
      </c>
      <c r="K450" s="184" t="n">
        <v>13930</v>
      </c>
      <c r="L450" s="185" t="n">
        <v>15</v>
      </c>
      <c r="M450" s="184" t="n">
        <v>21760</v>
      </c>
      <c r="N450" s="184" t="n">
        <v>18496</v>
      </c>
      <c r="O450" s="186" t="s">
        <v>1259</v>
      </c>
      <c r="P450" s="187" t="n">
        <v>45908</v>
      </c>
    </row>
    <row r="451" customFormat="false" ht="51" hidden="false" customHeight="true" outlineLevel="0" collapsed="false">
      <c r="A451" s="181" t="s">
        <v>1260</v>
      </c>
      <c r="B451" s="182" t="n">
        <v>1479</v>
      </c>
      <c r="C451" s="183" t="n">
        <v>37157</v>
      </c>
      <c r="D451" s="181" t="s">
        <v>3327</v>
      </c>
      <c r="E451" s="181" t="s">
        <v>277</v>
      </c>
      <c r="F451" s="181" t="s">
        <v>278</v>
      </c>
      <c r="G451" s="181" t="s">
        <v>232</v>
      </c>
      <c r="H451" s="181" t="s">
        <v>279</v>
      </c>
      <c r="I451" s="181" t="s">
        <v>230</v>
      </c>
      <c r="J451" s="184" t="n">
        <v>41690</v>
      </c>
      <c r="K451" s="184" t="n">
        <v>15070</v>
      </c>
      <c r="L451" s="185" t="n">
        <v>16</v>
      </c>
      <c r="M451" s="184" t="n">
        <v>26620</v>
      </c>
      <c r="N451" s="184" t="n">
        <v>22360.8</v>
      </c>
      <c r="O451" s="186" t="s">
        <v>1261</v>
      </c>
      <c r="P451" s="187" t="n">
        <v>45908</v>
      </c>
    </row>
    <row r="452" customFormat="false" ht="51" hidden="false" customHeight="true" outlineLevel="0" collapsed="false">
      <c r="A452" s="181" t="s">
        <v>1262</v>
      </c>
      <c r="B452" s="182" t="n">
        <v>1482</v>
      </c>
      <c r="C452" s="183" t="n">
        <v>37159</v>
      </c>
      <c r="D452" s="181" t="s">
        <v>3327</v>
      </c>
      <c r="E452" s="181" t="s">
        <v>431</v>
      </c>
      <c r="F452" s="181" t="s">
        <v>432</v>
      </c>
      <c r="G452" s="181" t="s">
        <v>232</v>
      </c>
      <c r="H452" s="181" t="s">
        <v>279</v>
      </c>
      <c r="I452" s="181" t="s">
        <v>230</v>
      </c>
      <c r="J452" s="184" t="n">
        <v>40420</v>
      </c>
      <c r="K452" s="184" t="n">
        <v>16500</v>
      </c>
      <c r="L452" s="185" t="n">
        <v>12</v>
      </c>
      <c r="M452" s="184" t="n">
        <v>23920</v>
      </c>
      <c r="N452" s="184" t="n">
        <v>21049.6</v>
      </c>
      <c r="O452" s="186" t="s">
        <v>1263</v>
      </c>
      <c r="P452" s="187" t="n">
        <v>45908</v>
      </c>
    </row>
    <row r="453" customFormat="false" ht="51" hidden="false" customHeight="true" outlineLevel="0" collapsed="false">
      <c r="A453" s="181" t="s">
        <v>1264</v>
      </c>
      <c r="B453" s="182" t="n">
        <v>1483</v>
      </c>
      <c r="C453" s="183" t="n">
        <v>37161</v>
      </c>
      <c r="D453" s="181" t="s">
        <v>3327</v>
      </c>
      <c r="E453" s="181" t="s">
        <v>435</v>
      </c>
      <c r="F453" s="181" t="s">
        <v>436</v>
      </c>
      <c r="G453" s="181" t="s">
        <v>232</v>
      </c>
      <c r="H453" s="181" t="s">
        <v>279</v>
      </c>
      <c r="I453" s="181" t="s">
        <v>230</v>
      </c>
      <c r="J453" s="184" t="n">
        <v>38710</v>
      </c>
      <c r="K453" s="184" t="n">
        <v>16310</v>
      </c>
      <c r="L453" s="185" t="n">
        <v>19</v>
      </c>
      <c r="M453" s="184" t="n">
        <v>22400</v>
      </c>
      <c r="N453" s="184" t="n">
        <v>18144</v>
      </c>
      <c r="O453" s="186" t="s">
        <v>1265</v>
      </c>
      <c r="P453" s="187" t="n">
        <v>45908</v>
      </c>
    </row>
    <row r="454" customFormat="false" ht="51" hidden="false" customHeight="true" outlineLevel="0" collapsed="false">
      <c r="A454" s="181" t="s">
        <v>1266</v>
      </c>
      <c r="B454" s="182" t="n">
        <v>1487</v>
      </c>
      <c r="C454" s="183" t="n">
        <v>37163</v>
      </c>
      <c r="D454" s="181" t="s">
        <v>3327</v>
      </c>
      <c r="E454" s="181" t="s">
        <v>261</v>
      </c>
      <c r="F454" s="181" t="s">
        <v>262</v>
      </c>
      <c r="G454" s="181" t="s">
        <v>232</v>
      </c>
      <c r="H454" s="181" t="s">
        <v>279</v>
      </c>
      <c r="I454" s="181" t="s">
        <v>230</v>
      </c>
      <c r="J454" s="184" t="n">
        <v>38340</v>
      </c>
      <c r="K454" s="184" t="n">
        <v>15030</v>
      </c>
      <c r="L454" s="185" t="n">
        <v>11</v>
      </c>
      <c r="M454" s="184" t="n">
        <v>23310</v>
      </c>
      <c r="N454" s="184" t="n">
        <v>20745.9</v>
      </c>
      <c r="O454" s="186" t="s">
        <v>1267</v>
      </c>
      <c r="P454" s="187" t="n">
        <v>45908</v>
      </c>
    </row>
    <row r="455" customFormat="false" ht="51" hidden="false" customHeight="true" outlineLevel="0" collapsed="false">
      <c r="A455" s="181" t="s">
        <v>1268</v>
      </c>
      <c r="B455" s="182" t="n">
        <v>1488</v>
      </c>
      <c r="C455" s="183" t="n">
        <v>37167</v>
      </c>
      <c r="D455" s="181" t="s">
        <v>3327</v>
      </c>
      <c r="E455" s="181" t="s">
        <v>272</v>
      </c>
      <c r="F455" s="181" t="s">
        <v>273</v>
      </c>
      <c r="G455" s="181" t="s">
        <v>232</v>
      </c>
      <c r="H455" s="181" t="s">
        <v>279</v>
      </c>
      <c r="I455" s="181" t="s">
        <v>230</v>
      </c>
      <c r="J455" s="184" t="n">
        <v>38340</v>
      </c>
      <c r="K455" s="184" t="n">
        <v>15540</v>
      </c>
      <c r="L455" s="185" t="n">
        <v>15</v>
      </c>
      <c r="M455" s="184" t="n">
        <v>22800</v>
      </c>
      <c r="N455" s="184" t="n">
        <v>19380</v>
      </c>
      <c r="O455" s="186" t="s">
        <v>1269</v>
      </c>
      <c r="P455" s="187" t="n">
        <v>45908</v>
      </c>
    </row>
    <row r="456" customFormat="false" ht="51" hidden="false" customHeight="true" outlineLevel="0" collapsed="false">
      <c r="A456" s="181" t="s">
        <v>1270</v>
      </c>
      <c r="B456" s="182" t="n">
        <v>1489</v>
      </c>
      <c r="C456" s="183" t="n">
        <v>37165</v>
      </c>
      <c r="D456" s="181" t="s">
        <v>3327</v>
      </c>
      <c r="E456" s="181" t="s">
        <v>282</v>
      </c>
      <c r="F456" s="181" t="s">
        <v>283</v>
      </c>
      <c r="G456" s="181" t="s">
        <v>232</v>
      </c>
      <c r="H456" s="181" t="s">
        <v>279</v>
      </c>
      <c r="I456" s="181" t="s">
        <v>230</v>
      </c>
      <c r="J456" s="184" t="n">
        <v>39840</v>
      </c>
      <c r="K456" s="184" t="n">
        <v>15030</v>
      </c>
      <c r="L456" s="185" t="n">
        <v>14</v>
      </c>
      <c r="M456" s="184" t="n">
        <v>24810</v>
      </c>
      <c r="N456" s="184" t="n">
        <v>21336.6</v>
      </c>
      <c r="O456" s="186" t="s">
        <v>1271</v>
      </c>
      <c r="P456" s="187" t="n">
        <v>45908</v>
      </c>
    </row>
    <row r="457" customFormat="false" ht="51" hidden="false" customHeight="true" outlineLevel="0" collapsed="false">
      <c r="A457" s="181" t="s">
        <v>1272</v>
      </c>
      <c r="B457" s="182" t="n">
        <v>1491</v>
      </c>
      <c r="C457" s="183" t="n">
        <v>37169</v>
      </c>
      <c r="D457" s="181" t="s">
        <v>3327</v>
      </c>
      <c r="E457" s="181" t="s">
        <v>582</v>
      </c>
      <c r="F457" s="181" t="s">
        <v>583</v>
      </c>
      <c r="G457" s="181" t="s">
        <v>232</v>
      </c>
      <c r="H457" s="181" t="s">
        <v>279</v>
      </c>
      <c r="I457" s="181" t="s">
        <v>230</v>
      </c>
      <c r="J457" s="184" t="n">
        <v>38090</v>
      </c>
      <c r="K457" s="184" t="n">
        <v>14680</v>
      </c>
      <c r="L457" s="185" t="n">
        <v>9</v>
      </c>
      <c r="M457" s="184" t="n">
        <v>23410</v>
      </c>
      <c r="N457" s="184" t="n">
        <v>21303.1</v>
      </c>
      <c r="O457" s="186" t="s">
        <v>1273</v>
      </c>
      <c r="P457" s="187" t="n">
        <v>45908</v>
      </c>
    </row>
    <row r="458" customFormat="false" ht="51" hidden="false" customHeight="true" outlineLevel="0" collapsed="false">
      <c r="A458" s="181" t="s">
        <v>1274</v>
      </c>
      <c r="B458" s="182" t="n">
        <v>1494</v>
      </c>
      <c r="C458" s="183" t="n">
        <v>37171</v>
      </c>
      <c r="D458" s="181" t="s">
        <v>3327</v>
      </c>
      <c r="E458" s="181" t="s">
        <v>332</v>
      </c>
      <c r="F458" s="181" t="s">
        <v>333</v>
      </c>
      <c r="G458" s="181" t="s">
        <v>232</v>
      </c>
      <c r="H458" s="181" t="s">
        <v>279</v>
      </c>
      <c r="I458" s="181" t="s">
        <v>230</v>
      </c>
      <c r="J458" s="184" t="n">
        <v>37670</v>
      </c>
      <c r="K458" s="184" t="n">
        <v>14680</v>
      </c>
      <c r="L458" s="185" t="n">
        <v>8</v>
      </c>
      <c r="M458" s="184" t="n">
        <v>22990</v>
      </c>
      <c r="N458" s="184" t="n">
        <v>21150.8</v>
      </c>
      <c r="O458" s="186" t="s">
        <v>1275</v>
      </c>
      <c r="P458" s="187" t="n">
        <v>45908</v>
      </c>
    </row>
    <row r="459" customFormat="false" ht="51" hidden="false" customHeight="true" outlineLevel="0" collapsed="false">
      <c r="A459" s="181" t="s">
        <v>1276</v>
      </c>
      <c r="B459" s="182" t="n">
        <v>1495</v>
      </c>
      <c r="C459" s="183" t="n">
        <v>37173</v>
      </c>
      <c r="D459" s="181" t="s">
        <v>3327</v>
      </c>
      <c r="E459" s="181" t="s">
        <v>266</v>
      </c>
      <c r="F459" s="181" t="s">
        <v>267</v>
      </c>
      <c r="G459" s="181" t="s">
        <v>232</v>
      </c>
      <c r="H459" s="181" t="s">
        <v>279</v>
      </c>
      <c r="I459" s="181" t="s">
        <v>230</v>
      </c>
      <c r="J459" s="184" t="n">
        <v>39320</v>
      </c>
      <c r="K459" s="184" t="n">
        <v>14830</v>
      </c>
      <c r="L459" s="185" t="n">
        <v>9</v>
      </c>
      <c r="M459" s="184" t="n">
        <v>24490</v>
      </c>
      <c r="N459" s="184" t="n">
        <v>22285.9</v>
      </c>
      <c r="O459" s="186" t="s">
        <v>1277</v>
      </c>
      <c r="P459" s="187" t="n">
        <v>45908</v>
      </c>
    </row>
    <row r="460" customFormat="false" ht="51" hidden="false" customHeight="true" outlineLevel="0" collapsed="false">
      <c r="A460" s="181" t="s">
        <v>1278</v>
      </c>
      <c r="B460" s="182" t="n">
        <v>1496</v>
      </c>
      <c r="C460" s="183" t="n">
        <v>37175</v>
      </c>
      <c r="D460" s="181" t="s">
        <v>3327</v>
      </c>
      <c r="E460" s="181" t="s">
        <v>901</v>
      </c>
      <c r="F460" s="181" t="s">
        <v>902</v>
      </c>
      <c r="G460" s="181" t="s">
        <v>232</v>
      </c>
      <c r="H460" s="181" t="s">
        <v>279</v>
      </c>
      <c r="I460" s="181" t="s">
        <v>230</v>
      </c>
      <c r="J460" s="184" t="n">
        <v>35230</v>
      </c>
      <c r="K460" s="184" t="n">
        <v>14680</v>
      </c>
      <c r="L460" s="185" t="n">
        <v>12</v>
      </c>
      <c r="M460" s="184" t="n">
        <v>20550</v>
      </c>
      <c r="N460" s="184" t="n">
        <v>18084</v>
      </c>
      <c r="O460" s="186" t="s">
        <v>1279</v>
      </c>
      <c r="P460" s="187" t="n">
        <v>45908</v>
      </c>
    </row>
    <row r="461" customFormat="false" ht="51" hidden="false" customHeight="true" outlineLevel="0" collapsed="false">
      <c r="A461" s="181" t="s">
        <v>1280</v>
      </c>
      <c r="B461" s="182" t="n">
        <v>1500</v>
      </c>
      <c r="C461" s="183" t="n">
        <v>37177</v>
      </c>
      <c r="D461" s="181" t="s">
        <v>3327</v>
      </c>
      <c r="E461" s="181" t="s">
        <v>336</v>
      </c>
      <c r="F461" s="181" t="s">
        <v>337</v>
      </c>
      <c r="G461" s="181" t="s">
        <v>232</v>
      </c>
      <c r="H461" s="181" t="s">
        <v>279</v>
      </c>
      <c r="I461" s="181" t="s">
        <v>230</v>
      </c>
      <c r="J461" s="184" t="n">
        <v>39450</v>
      </c>
      <c r="K461" s="184" t="n">
        <v>14520</v>
      </c>
      <c r="L461" s="185" t="n">
        <v>6</v>
      </c>
      <c r="M461" s="184" t="n">
        <v>24930</v>
      </c>
      <c r="N461" s="184" t="n">
        <v>23434.2</v>
      </c>
      <c r="O461" s="186" t="s">
        <v>1281</v>
      </c>
      <c r="P461" s="187" t="n">
        <v>45908</v>
      </c>
    </row>
    <row r="462" customFormat="false" ht="51" hidden="false" customHeight="true" outlineLevel="0" collapsed="false">
      <c r="A462" s="181" t="s">
        <v>1282</v>
      </c>
      <c r="B462" s="182" t="n">
        <v>1501</v>
      </c>
      <c r="C462" s="183" t="n">
        <v>37179</v>
      </c>
      <c r="D462" s="181" t="s">
        <v>3327</v>
      </c>
      <c r="E462" s="181" t="s">
        <v>340</v>
      </c>
      <c r="F462" s="181" t="s">
        <v>341</v>
      </c>
      <c r="G462" s="181" t="s">
        <v>232</v>
      </c>
      <c r="H462" s="181" t="s">
        <v>279</v>
      </c>
      <c r="I462" s="181" t="s">
        <v>230</v>
      </c>
      <c r="J462" s="184" t="n">
        <v>40120</v>
      </c>
      <c r="K462" s="184" t="n">
        <v>14970</v>
      </c>
      <c r="L462" s="185" t="n">
        <v>7</v>
      </c>
      <c r="M462" s="184" t="n">
        <v>25150</v>
      </c>
      <c r="N462" s="184" t="n">
        <v>23389.5</v>
      </c>
      <c r="O462" s="186" t="s">
        <v>1283</v>
      </c>
      <c r="P462" s="187" t="n">
        <v>45908</v>
      </c>
    </row>
    <row r="463" customFormat="false" ht="51" hidden="false" customHeight="true" outlineLevel="0" collapsed="false">
      <c r="A463" s="181" t="s">
        <v>1284</v>
      </c>
      <c r="B463" s="182" t="n">
        <v>1503</v>
      </c>
      <c r="C463" s="183" t="n">
        <v>37181</v>
      </c>
      <c r="D463" s="181" t="s">
        <v>3327</v>
      </c>
      <c r="E463" s="181" t="s">
        <v>529</v>
      </c>
      <c r="F463" s="181" t="s">
        <v>530</v>
      </c>
      <c r="G463" s="181" t="s">
        <v>232</v>
      </c>
      <c r="H463" s="181" t="s">
        <v>279</v>
      </c>
      <c r="I463" s="181" t="s">
        <v>230</v>
      </c>
      <c r="J463" s="184" t="n">
        <v>36000</v>
      </c>
      <c r="K463" s="184" t="n">
        <v>14780</v>
      </c>
      <c r="L463" s="185" t="n">
        <v>6</v>
      </c>
      <c r="M463" s="184" t="n">
        <v>21220</v>
      </c>
      <c r="N463" s="184" t="n">
        <v>19946.8</v>
      </c>
      <c r="O463" s="186" t="s">
        <v>1285</v>
      </c>
      <c r="P463" s="187" t="n">
        <v>45908</v>
      </c>
    </row>
    <row r="464" customFormat="false" ht="51" hidden="false" customHeight="true" outlineLevel="0" collapsed="false">
      <c r="A464" s="181" t="s">
        <v>1286</v>
      </c>
      <c r="B464" s="182" t="n">
        <v>1504</v>
      </c>
      <c r="C464" s="183" t="n">
        <v>37183</v>
      </c>
      <c r="D464" s="181" t="s">
        <v>3327</v>
      </c>
      <c r="E464" s="181" t="s">
        <v>346</v>
      </c>
      <c r="F464" s="181" t="s">
        <v>347</v>
      </c>
      <c r="G464" s="181" t="s">
        <v>232</v>
      </c>
      <c r="H464" s="181" t="s">
        <v>279</v>
      </c>
      <c r="I464" s="181" t="s">
        <v>230</v>
      </c>
      <c r="J464" s="184" t="n">
        <v>37990</v>
      </c>
      <c r="K464" s="184" t="n">
        <v>14940</v>
      </c>
      <c r="L464" s="185" t="n">
        <v>15</v>
      </c>
      <c r="M464" s="184" t="n">
        <v>23050</v>
      </c>
      <c r="N464" s="184" t="n">
        <v>19592.5</v>
      </c>
      <c r="O464" s="186" t="s">
        <v>1287</v>
      </c>
      <c r="P464" s="187" t="n">
        <v>45908</v>
      </c>
    </row>
    <row r="465" customFormat="false" ht="51" hidden="false" customHeight="true" outlineLevel="0" collapsed="false">
      <c r="A465" s="181" t="s">
        <v>1288</v>
      </c>
      <c r="B465" s="182" t="n">
        <v>1506</v>
      </c>
      <c r="C465" s="183" t="n">
        <v>37189</v>
      </c>
      <c r="D465" s="181" t="s">
        <v>3327</v>
      </c>
      <c r="E465" s="181" t="s">
        <v>1289</v>
      </c>
      <c r="F465" s="181" t="s">
        <v>1290</v>
      </c>
      <c r="G465" s="181" t="s">
        <v>232</v>
      </c>
      <c r="H465" s="181" t="s">
        <v>279</v>
      </c>
      <c r="I465" s="181" t="s">
        <v>230</v>
      </c>
      <c r="J465" s="184" t="n">
        <v>39020</v>
      </c>
      <c r="K465" s="184" t="n">
        <v>15630</v>
      </c>
      <c r="L465" s="185" t="n">
        <v>14</v>
      </c>
      <c r="M465" s="184" t="n">
        <v>23390</v>
      </c>
      <c r="N465" s="184" t="n">
        <v>20115.4</v>
      </c>
      <c r="O465" s="186" t="s">
        <v>1291</v>
      </c>
      <c r="P465" s="187" t="n">
        <v>45908</v>
      </c>
    </row>
    <row r="466" customFormat="false" ht="51" hidden="false" customHeight="true" outlineLevel="0" collapsed="false">
      <c r="A466" s="181" t="s">
        <v>1292</v>
      </c>
      <c r="B466" s="182" t="n">
        <v>1507</v>
      </c>
      <c r="C466" s="183" t="n">
        <v>37187</v>
      </c>
      <c r="D466" s="181" t="s">
        <v>3327</v>
      </c>
      <c r="E466" s="181" t="s">
        <v>350</v>
      </c>
      <c r="F466" s="181" t="s">
        <v>351</v>
      </c>
      <c r="G466" s="181" t="s">
        <v>232</v>
      </c>
      <c r="H466" s="181" t="s">
        <v>279</v>
      </c>
      <c r="I466" s="181" t="s">
        <v>230</v>
      </c>
      <c r="J466" s="184" t="n">
        <v>43120</v>
      </c>
      <c r="K466" s="184" t="n">
        <v>14890</v>
      </c>
      <c r="L466" s="185" t="n">
        <v>7</v>
      </c>
      <c r="M466" s="184" t="n">
        <v>28230</v>
      </c>
      <c r="N466" s="184" t="n">
        <v>26253.9</v>
      </c>
      <c r="O466" s="186" t="s">
        <v>1293</v>
      </c>
      <c r="P466" s="187" t="n">
        <v>45908</v>
      </c>
    </row>
    <row r="467" customFormat="false" ht="51" hidden="false" customHeight="true" outlineLevel="0" collapsed="false">
      <c r="A467" s="181" t="s">
        <v>1294</v>
      </c>
      <c r="B467" s="182" t="n">
        <v>1508</v>
      </c>
      <c r="C467" s="183" t="n">
        <v>37185</v>
      </c>
      <c r="D467" s="181" t="s">
        <v>3327</v>
      </c>
      <c r="E467" s="181" t="s">
        <v>377</v>
      </c>
      <c r="F467" s="181" t="s">
        <v>378</v>
      </c>
      <c r="G467" s="181" t="s">
        <v>232</v>
      </c>
      <c r="H467" s="181" t="s">
        <v>279</v>
      </c>
      <c r="I467" s="181" t="s">
        <v>230</v>
      </c>
      <c r="J467" s="184" t="n">
        <v>41580</v>
      </c>
      <c r="K467" s="184" t="n">
        <v>15500</v>
      </c>
      <c r="L467" s="185" t="n">
        <v>14</v>
      </c>
      <c r="M467" s="184" t="n">
        <v>26080</v>
      </c>
      <c r="N467" s="184" t="n">
        <v>22428.8</v>
      </c>
      <c r="O467" s="186" t="s">
        <v>1295</v>
      </c>
      <c r="P467" s="187" t="n">
        <v>45908</v>
      </c>
    </row>
    <row r="468" customFormat="false" ht="51" hidden="false" customHeight="true" outlineLevel="0" collapsed="false">
      <c r="A468" s="181" t="s">
        <v>1296</v>
      </c>
      <c r="B468" s="182" t="n">
        <v>1509</v>
      </c>
      <c r="C468" s="183" t="n">
        <v>37195</v>
      </c>
      <c r="D468" s="181" t="s">
        <v>3327</v>
      </c>
      <c r="E468" s="181" t="s">
        <v>399</v>
      </c>
      <c r="F468" s="181" t="s">
        <v>400</v>
      </c>
      <c r="G468" s="181" t="s">
        <v>232</v>
      </c>
      <c r="H468" s="181" t="s">
        <v>279</v>
      </c>
      <c r="I468" s="181" t="s">
        <v>230</v>
      </c>
      <c r="J468" s="184" t="n">
        <v>52150</v>
      </c>
      <c r="K468" s="184" t="n">
        <v>19280</v>
      </c>
      <c r="L468" s="185" t="n">
        <v>9</v>
      </c>
      <c r="M468" s="184" t="n">
        <v>32870</v>
      </c>
      <c r="N468" s="184" t="n">
        <v>29911.7</v>
      </c>
      <c r="O468" s="186" t="s">
        <v>1297</v>
      </c>
      <c r="P468" s="187" t="n">
        <v>45908</v>
      </c>
    </row>
    <row r="469" customFormat="false" ht="51" hidden="false" customHeight="true" outlineLevel="0" collapsed="false">
      <c r="A469" s="181" t="s">
        <v>1298</v>
      </c>
      <c r="B469" s="182" t="n">
        <v>1510</v>
      </c>
      <c r="C469" s="183" t="n">
        <v>37197</v>
      </c>
      <c r="D469" s="181" t="s">
        <v>3327</v>
      </c>
      <c r="E469" s="181" t="s">
        <v>373</v>
      </c>
      <c r="F469" s="181" t="s">
        <v>374</v>
      </c>
      <c r="G469" s="181" t="s">
        <v>232</v>
      </c>
      <c r="H469" s="181" t="s">
        <v>279</v>
      </c>
      <c r="I469" s="181" t="s">
        <v>230</v>
      </c>
      <c r="J469" s="184" t="n">
        <v>38480</v>
      </c>
      <c r="K469" s="184" t="n">
        <v>14190</v>
      </c>
      <c r="L469" s="185" t="n">
        <v>11</v>
      </c>
      <c r="M469" s="184" t="n">
        <v>24290</v>
      </c>
      <c r="N469" s="184" t="n">
        <v>21618.1</v>
      </c>
      <c r="O469" s="186" t="s">
        <v>1299</v>
      </c>
      <c r="P469" s="187" t="n">
        <v>45908</v>
      </c>
    </row>
    <row r="470" customFormat="false" ht="51" hidden="false" customHeight="true" outlineLevel="0" collapsed="false">
      <c r="A470" s="181" t="s">
        <v>1300</v>
      </c>
      <c r="B470" s="182" t="n">
        <v>1511</v>
      </c>
      <c r="C470" s="183" t="n">
        <v>37191</v>
      </c>
      <c r="D470" s="181" t="s">
        <v>3327</v>
      </c>
      <c r="E470" s="181" t="s">
        <v>383</v>
      </c>
      <c r="F470" s="181" t="s">
        <v>384</v>
      </c>
      <c r="G470" s="181" t="s">
        <v>232</v>
      </c>
      <c r="H470" s="181" t="s">
        <v>279</v>
      </c>
      <c r="I470" s="181" t="s">
        <v>230</v>
      </c>
      <c r="J470" s="184" t="n">
        <v>40490</v>
      </c>
      <c r="K470" s="184" t="n">
        <v>14790</v>
      </c>
      <c r="L470" s="185" t="n">
        <v>5</v>
      </c>
      <c r="M470" s="184" t="n">
        <v>25700</v>
      </c>
      <c r="N470" s="184" t="n">
        <v>24415</v>
      </c>
      <c r="O470" s="186" t="s">
        <v>1301</v>
      </c>
      <c r="P470" s="187" t="n">
        <v>45908</v>
      </c>
    </row>
    <row r="471" customFormat="false" ht="51" hidden="false" customHeight="true" outlineLevel="0" collapsed="false">
      <c r="A471" s="181" t="s">
        <v>1302</v>
      </c>
      <c r="B471" s="182" t="n">
        <v>1512</v>
      </c>
      <c r="C471" s="183" t="n">
        <v>37193</v>
      </c>
      <c r="D471" s="181" t="s">
        <v>3327</v>
      </c>
      <c r="E471" s="181" t="s">
        <v>387</v>
      </c>
      <c r="F471" s="181" t="s">
        <v>388</v>
      </c>
      <c r="G471" s="181" t="s">
        <v>232</v>
      </c>
      <c r="H471" s="181" t="s">
        <v>279</v>
      </c>
      <c r="I471" s="181" t="s">
        <v>230</v>
      </c>
      <c r="J471" s="184" t="n">
        <v>38990</v>
      </c>
      <c r="K471" s="184" t="n">
        <v>14890</v>
      </c>
      <c r="L471" s="185" t="n">
        <v>12</v>
      </c>
      <c r="M471" s="184" t="n">
        <v>24100</v>
      </c>
      <c r="N471" s="184" t="n">
        <v>21208</v>
      </c>
      <c r="O471" s="186" t="s">
        <v>1303</v>
      </c>
      <c r="P471" s="187" t="n">
        <v>45908</v>
      </c>
    </row>
    <row r="472" customFormat="false" ht="51" hidden="false" customHeight="true" outlineLevel="0" collapsed="false">
      <c r="A472" s="181" t="s">
        <v>1304</v>
      </c>
      <c r="B472" s="182" t="n">
        <v>1513</v>
      </c>
      <c r="C472" s="183" t="n">
        <v>37199</v>
      </c>
      <c r="D472" s="181" t="s">
        <v>3327</v>
      </c>
      <c r="E472" s="181" t="s">
        <v>354</v>
      </c>
      <c r="F472" s="181" t="s">
        <v>355</v>
      </c>
      <c r="G472" s="181" t="s">
        <v>232</v>
      </c>
      <c r="H472" s="181" t="s">
        <v>279</v>
      </c>
      <c r="I472" s="181" t="s">
        <v>230</v>
      </c>
      <c r="J472" s="184" t="n">
        <v>37570</v>
      </c>
      <c r="K472" s="184" t="n">
        <v>14680</v>
      </c>
      <c r="L472" s="185" t="n">
        <v>10</v>
      </c>
      <c r="M472" s="184" t="n">
        <v>22890</v>
      </c>
      <c r="N472" s="184" t="n">
        <v>20601</v>
      </c>
      <c r="O472" s="186" t="s">
        <v>1305</v>
      </c>
      <c r="P472" s="187" t="n">
        <v>45909</v>
      </c>
    </row>
    <row r="473" customFormat="false" ht="51" hidden="false" customHeight="true" outlineLevel="0" collapsed="false">
      <c r="A473" s="181" t="s">
        <v>1306</v>
      </c>
      <c r="B473" s="182" t="n">
        <v>1514</v>
      </c>
      <c r="C473" s="183" t="n">
        <v>37204</v>
      </c>
      <c r="D473" s="181" t="s">
        <v>3327</v>
      </c>
      <c r="E473" s="181" t="s">
        <v>359</v>
      </c>
      <c r="F473" s="181" t="s">
        <v>360</v>
      </c>
      <c r="G473" s="181" t="s">
        <v>232</v>
      </c>
      <c r="H473" s="181" t="s">
        <v>279</v>
      </c>
      <c r="I473" s="181" t="s">
        <v>230</v>
      </c>
      <c r="J473" s="184" t="n">
        <v>36160</v>
      </c>
      <c r="K473" s="184" t="n">
        <v>14800</v>
      </c>
      <c r="L473" s="185" t="n">
        <v>7</v>
      </c>
      <c r="M473" s="184" t="n">
        <v>21360</v>
      </c>
      <c r="N473" s="184" t="n">
        <v>19864.8</v>
      </c>
      <c r="O473" s="186" t="s">
        <v>1307</v>
      </c>
      <c r="P473" s="187" t="n">
        <v>45909</v>
      </c>
    </row>
    <row r="474" customFormat="false" ht="51" hidden="false" customHeight="true" outlineLevel="0" collapsed="false">
      <c r="A474" s="181" t="s">
        <v>1308</v>
      </c>
      <c r="B474" s="182" t="n">
        <v>1515</v>
      </c>
      <c r="C474" s="183" t="n">
        <v>37224</v>
      </c>
      <c r="D474" s="181" t="s">
        <v>3327</v>
      </c>
      <c r="E474" s="181" t="s">
        <v>1309</v>
      </c>
      <c r="F474" s="181" t="s">
        <v>1310</v>
      </c>
      <c r="G474" s="181" t="s">
        <v>232</v>
      </c>
      <c r="H474" s="181" t="s">
        <v>279</v>
      </c>
      <c r="I474" s="181" t="s">
        <v>230</v>
      </c>
      <c r="J474" s="184" t="n">
        <v>39140</v>
      </c>
      <c r="K474" s="184" t="n">
        <v>15480</v>
      </c>
      <c r="L474" s="185" t="n">
        <v>9</v>
      </c>
      <c r="M474" s="184" t="n">
        <v>23660</v>
      </c>
      <c r="N474" s="184" t="n">
        <v>21530.6</v>
      </c>
      <c r="O474" s="186" t="s">
        <v>1311</v>
      </c>
      <c r="P474" s="187" t="n">
        <v>45909</v>
      </c>
    </row>
    <row r="475" customFormat="false" ht="51" hidden="false" customHeight="true" outlineLevel="0" collapsed="false">
      <c r="A475" s="181" t="s">
        <v>1312</v>
      </c>
      <c r="B475" s="182" t="n">
        <v>1516</v>
      </c>
      <c r="C475" s="183" t="n">
        <v>37257</v>
      </c>
      <c r="D475" s="181" t="s">
        <v>3327</v>
      </c>
      <c r="E475" s="181" t="s">
        <v>545</v>
      </c>
      <c r="F475" s="181" t="s">
        <v>546</v>
      </c>
      <c r="G475" s="181" t="s">
        <v>232</v>
      </c>
      <c r="H475" s="181" t="s">
        <v>279</v>
      </c>
      <c r="I475" s="181" t="s">
        <v>230</v>
      </c>
      <c r="J475" s="184" t="n">
        <v>42950</v>
      </c>
      <c r="K475" s="184" t="n">
        <v>16050</v>
      </c>
      <c r="L475" s="185" t="n">
        <v>8</v>
      </c>
      <c r="M475" s="184" t="n">
        <v>26900</v>
      </c>
      <c r="N475" s="184" t="n">
        <v>24748</v>
      </c>
      <c r="O475" s="186" t="s">
        <v>1313</v>
      </c>
      <c r="P475" s="187" t="n">
        <v>45909</v>
      </c>
    </row>
    <row r="476" customFormat="false" ht="51" hidden="false" customHeight="true" outlineLevel="0" collapsed="false">
      <c r="A476" s="181" t="s">
        <v>1314</v>
      </c>
      <c r="B476" s="182" t="n">
        <v>1518</v>
      </c>
      <c r="C476" s="183" t="n">
        <v>37247</v>
      </c>
      <c r="D476" s="181" t="s">
        <v>3327</v>
      </c>
      <c r="E476" s="181" t="s">
        <v>288</v>
      </c>
      <c r="F476" s="181" t="s">
        <v>289</v>
      </c>
      <c r="G476" s="181" t="s">
        <v>232</v>
      </c>
      <c r="H476" s="181" t="s">
        <v>279</v>
      </c>
      <c r="I476" s="181" t="s">
        <v>230</v>
      </c>
      <c r="J476" s="184" t="n">
        <v>36290</v>
      </c>
      <c r="K476" s="184" t="n">
        <v>14540</v>
      </c>
      <c r="L476" s="185" t="n">
        <v>7</v>
      </c>
      <c r="M476" s="184" t="n">
        <v>21750</v>
      </c>
      <c r="N476" s="184" t="n">
        <v>20227.5</v>
      </c>
      <c r="O476" s="186" t="s">
        <v>1315</v>
      </c>
      <c r="P476" s="187" t="n">
        <v>45909</v>
      </c>
    </row>
    <row r="477" customFormat="false" ht="51" hidden="false" customHeight="true" outlineLevel="0" collapsed="false">
      <c r="A477" s="181" t="s">
        <v>1316</v>
      </c>
      <c r="B477" s="182" t="n">
        <v>1519</v>
      </c>
      <c r="C477" s="183" t="n">
        <v>37263</v>
      </c>
      <c r="D477" s="181" t="s">
        <v>3327</v>
      </c>
      <c r="E477" s="181" t="s">
        <v>439</v>
      </c>
      <c r="F477" s="181" t="s">
        <v>440</v>
      </c>
      <c r="G477" s="181" t="s">
        <v>232</v>
      </c>
      <c r="H477" s="181" t="s">
        <v>279</v>
      </c>
      <c r="I477" s="181" t="s">
        <v>230</v>
      </c>
      <c r="J477" s="184" t="n">
        <v>40640</v>
      </c>
      <c r="K477" s="184" t="n">
        <v>16300</v>
      </c>
      <c r="L477" s="185" t="n">
        <v>10</v>
      </c>
      <c r="M477" s="184" t="n">
        <v>24340</v>
      </c>
      <c r="N477" s="184" t="n">
        <v>21906</v>
      </c>
      <c r="O477" s="186" t="s">
        <v>1317</v>
      </c>
      <c r="P477" s="187" t="n">
        <v>45909</v>
      </c>
    </row>
    <row r="478" customFormat="false" ht="51" hidden="false" customHeight="true" outlineLevel="0" collapsed="false">
      <c r="A478" s="181" t="s">
        <v>1318</v>
      </c>
      <c r="B478" s="182" t="n">
        <v>1520</v>
      </c>
      <c r="C478" s="183" t="n">
        <v>37259</v>
      </c>
      <c r="D478" s="181" t="s">
        <v>3327</v>
      </c>
      <c r="E478" s="181" t="s">
        <v>541</v>
      </c>
      <c r="F478" s="181" t="s">
        <v>542</v>
      </c>
      <c r="G478" s="181" t="s">
        <v>232</v>
      </c>
      <c r="H478" s="181" t="s">
        <v>279</v>
      </c>
      <c r="I478" s="181" t="s">
        <v>230</v>
      </c>
      <c r="J478" s="184" t="n">
        <v>40300</v>
      </c>
      <c r="K478" s="184" t="n">
        <v>14910</v>
      </c>
      <c r="L478" s="185" t="n">
        <v>12</v>
      </c>
      <c r="M478" s="184" t="n">
        <v>25390</v>
      </c>
      <c r="N478" s="184" t="n">
        <v>22343.2</v>
      </c>
      <c r="O478" s="186" t="s">
        <v>1319</v>
      </c>
      <c r="P478" s="187" t="n">
        <v>45909</v>
      </c>
    </row>
    <row r="479" customFormat="false" ht="51" hidden="false" customHeight="true" outlineLevel="0" collapsed="false">
      <c r="A479" s="181" t="s">
        <v>1320</v>
      </c>
      <c r="B479" s="182" t="n">
        <v>1521</v>
      </c>
      <c r="C479" s="183" t="n">
        <v>37261</v>
      </c>
      <c r="D479" s="181" t="s">
        <v>3327</v>
      </c>
      <c r="E479" s="181" t="s">
        <v>549</v>
      </c>
      <c r="F479" s="181" t="s">
        <v>550</v>
      </c>
      <c r="G479" s="181" t="s">
        <v>232</v>
      </c>
      <c r="H479" s="181" t="s">
        <v>279</v>
      </c>
      <c r="I479" s="181" t="s">
        <v>230</v>
      </c>
      <c r="J479" s="184" t="n">
        <v>43550</v>
      </c>
      <c r="K479" s="184" t="n">
        <v>15910</v>
      </c>
      <c r="L479" s="185" t="n">
        <v>8</v>
      </c>
      <c r="M479" s="184" t="n">
        <v>27640</v>
      </c>
      <c r="N479" s="184" t="n">
        <v>25428.8</v>
      </c>
      <c r="O479" s="186" t="s">
        <v>1321</v>
      </c>
      <c r="P479" s="187" t="n">
        <v>45909</v>
      </c>
    </row>
    <row r="480" customFormat="false" ht="51" hidden="false" customHeight="true" outlineLevel="0" collapsed="false">
      <c r="A480" s="181" t="s">
        <v>1330</v>
      </c>
      <c r="B480" s="182" t="n">
        <v>1528</v>
      </c>
      <c r="C480" s="183" t="n">
        <v>37267</v>
      </c>
      <c r="D480" s="181" t="s">
        <v>3327</v>
      </c>
      <c r="E480" s="181" t="s">
        <v>435</v>
      </c>
      <c r="F480" s="181" t="s">
        <v>436</v>
      </c>
      <c r="G480" s="181" t="s">
        <v>237</v>
      </c>
      <c r="H480" s="181" t="s">
        <v>279</v>
      </c>
      <c r="I480" s="181" t="s">
        <v>230</v>
      </c>
      <c r="J480" s="184" t="n">
        <v>40620</v>
      </c>
      <c r="K480" s="184" t="n">
        <v>16320</v>
      </c>
      <c r="L480" s="185" t="n">
        <v>7</v>
      </c>
      <c r="M480" s="184" t="n">
        <v>24300</v>
      </c>
      <c r="N480" s="184" t="n">
        <v>22599</v>
      </c>
      <c r="O480" s="186" t="s">
        <v>1331</v>
      </c>
      <c r="P480" s="187" t="n">
        <v>45909</v>
      </c>
    </row>
    <row r="481" customFormat="false" ht="51" hidden="false" customHeight="true" outlineLevel="0" collapsed="false">
      <c r="A481" s="181" t="s">
        <v>1322</v>
      </c>
      <c r="B481" s="182" t="n">
        <v>1522</v>
      </c>
      <c r="C481" s="183" t="n">
        <v>37251</v>
      </c>
      <c r="D481" s="181" t="s">
        <v>3327</v>
      </c>
      <c r="E481" s="181" t="s">
        <v>1019</v>
      </c>
      <c r="F481" s="181" t="s">
        <v>1020</v>
      </c>
      <c r="G481" s="181" t="s">
        <v>232</v>
      </c>
      <c r="H481" s="181" t="s">
        <v>279</v>
      </c>
      <c r="I481" s="181" t="s">
        <v>230</v>
      </c>
      <c r="J481" s="184" t="n">
        <v>43010</v>
      </c>
      <c r="K481" s="184" t="n">
        <v>16860</v>
      </c>
      <c r="L481" s="185" t="n">
        <v>9</v>
      </c>
      <c r="M481" s="184" t="n">
        <v>26150</v>
      </c>
      <c r="N481" s="184" t="n">
        <v>23796.5</v>
      </c>
      <c r="O481" s="186" t="s">
        <v>1323</v>
      </c>
      <c r="P481" s="187" t="n">
        <v>45909</v>
      </c>
    </row>
    <row r="482" customFormat="false" ht="51" hidden="false" customHeight="true" outlineLevel="0" collapsed="false">
      <c r="A482" s="181" t="s">
        <v>1324</v>
      </c>
      <c r="B482" s="182" t="n">
        <v>1523</v>
      </c>
      <c r="C482" s="183" t="n">
        <v>37253</v>
      </c>
      <c r="D482" s="181" t="s">
        <v>3327</v>
      </c>
      <c r="E482" s="181" t="s">
        <v>1027</v>
      </c>
      <c r="F482" s="181" t="s">
        <v>1028</v>
      </c>
      <c r="G482" s="181" t="s">
        <v>232</v>
      </c>
      <c r="H482" s="181" t="s">
        <v>279</v>
      </c>
      <c r="I482" s="181" t="s">
        <v>230</v>
      </c>
      <c r="J482" s="184" t="n">
        <v>38590</v>
      </c>
      <c r="K482" s="184" t="n">
        <v>14990</v>
      </c>
      <c r="L482" s="185" t="n">
        <v>15</v>
      </c>
      <c r="M482" s="184" t="n">
        <v>23600</v>
      </c>
      <c r="N482" s="184" t="n">
        <v>20060</v>
      </c>
      <c r="O482" s="186" t="s">
        <v>1325</v>
      </c>
      <c r="P482" s="187" t="n">
        <v>45909</v>
      </c>
    </row>
    <row r="483" customFormat="false" ht="51" hidden="false" customHeight="true" outlineLevel="0" collapsed="false">
      <c r="A483" s="181" t="s">
        <v>1326</v>
      </c>
      <c r="B483" s="182" t="n">
        <v>1524</v>
      </c>
      <c r="C483" s="183" t="n">
        <v>37255</v>
      </c>
      <c r="D483" s="181" t="s">
        <v>3327</v>
      </c>
      <c r="E483" s="181" t="s">
        <v>1023</v>
      </c>
      <c r="F483" s="181" t="s">
        <v>1024</v>
      </c>
      <c r="G483" s="181" t="s">
        <v>232</v>
      </c>
      <c r="H483" s="181" t="s">
        <v>279</v>
      </c>
      <c r="I483" s="181" t="s">
        <v>230</v>
      </c>
      <c r="J483" s="184" t="n">
        <v>36670</v>
      </c>
      <c r="K483" s="184" t="n">
        <v>14750</v>
      </c>
      <c r="L483" s="185" t="n">
        <v>10</v>
      </c>
      <c r="M483" s="184" t="n">
        <v>21920</v>
      </c>
      <c r="N483" s="184" t="n">
        <v>19728</v>
      </c>
      <c r="O483" s="186" t="s">
        <v>1327</v>
      </c>
      <c r="P483" s="187" t="n">
        <v>45909</v>
      </c>
    </row>
    <row r="484" customFormat="false" ht="51" hidden="false" customHeight="true" outlineLevel="0" collapsed="false">
      <c r="A484" s="181" t="s">
        <v>1328</v>
      </c>
      <c r="B484" s="182" t="n">
        <v>1527</v>
      </c>
      <c r="C484" s="183" t="n">
        <v>37265</v>
      </c>
      <c r="D484" s="181" t="s">
        <v>3327</v>
      </c>
      <c r="E484" s="181" t="s">
        <v>431</v>
      </c>
      <c r="F484" s="181" t="s">
        <v>432</v>
      </c>
      <c r="G484" s="181" t="s">
        <v>232</v>
      </c>
      <c r="H484" s="181" t="s">
        <v>279</v>
      </c>
      <c r="I484" s="181" t="s">
        <v>230</v>
      </c>
      <c r="J484" s="184" t="n">
        <v>39300</v>
      </c>
      <c r="K484" s="184" t="n">
        <v>16490</v>
      </c>
      <c r="L484" s="185" t="n">
        <v>13</v>
      </c>
      <c r="M484" s="184" t="n">
        <v>22810</v>
      </c>
      <c r="N484" s="184" t="n">
        <v>19844.7</v>
      </c>
      <c r="O484" s="186" t="s">
        <v>1329</v>
      </c>
      <c r="P484" s="187" t="n">
        <v>45909</v>
      </c>
    </row>
    <row r="485" customFormat="false" ht="51" hidden="false" customHeight="true" outlineLevel="0" collapsed="false">
      <c r="A485" s="181" t="s">
        <v>1332</v>
      </c>
      <c r="B485" s="182" t="n">
        <v>1531</v>
      </c>
      <c r="C485" s="183" t="n">
        <v>37269</v>
      </c>
      <c r="D485" s="181" t="s">
        <v>3327</v>
      </c>
      <c r="E485" s="181" t="s">
        <v>409</v>
      </c>
      <c r="F485" s="181" t="s">
        <v>410</v>
      </c>
      <c r="G485" s="181" t="s">
        <v>237</v>
      </c>
      <c r="H485" s="181" t="s">
        <v>279</v>
      </c>
      <c r="I485" s="181" t="s">
        <v>230</v>
      </c>
      <c r="J485" s="184" t="n">
        <v>52810</v>
      </c>
      <c r="K485" s="184" t="n">
        <v>24090</v>
      </c>
      <c r="L485" s="185" t="n">
        <v>11</v>
      </c>
      <c r="M485" s="184" t="n">
        <v>28720</v>
      </c>
      <c r="N485" s="184" t="n">
        <v>25560.8</v>
      </c>
      <c r="O485" s="186" t="s">
        <v>1333</v>
      </c>
      <c r="P485" s="187" t="n">
        <v>45909</v>
      </c>
    </row>
    <row r="486" customFormat="false" ht="51" hidden="false" customHeight="true" outlineLevel="0" collapsed="false">
      <c r="A486" s="181" t="s">
        <v>1334</v>
      </c>
      <c r="B486" s="182" t="n">
        <v>1532</v>
      </c>
      <c r="C486" s="183" t="n">
        <v>37271</v>
      </c>
      <c r="D486" s="181" t="s">
        <v>3327</v>
      </c>
      <c r="E486" s="181" t="s">
        <v>413</v>
      </c>
      <c r="F486" s="181" t="s">
        <v>414</v>
      </c>
      <c r="G486" s="181" t="s">
        <v>237</v>
      </c>
      <c r="H486" s="181" t="s">
        <v>279</v>
      </c>
      <c r="I486" s="181" t="s">
        <v>230</v>
      </c>
      <c r="J486" s="184" t="n">
        <v>44390</v>
      </c>
      <c r="K486" s="184" t="n">
        <v>15510</v>
      </c>
      <c r="L486" s="185" t="n">
        <v>4</v>
      </c>
      <c r="M486" s="184" t="n">
        <v>28880</v>
      </c>
      <c r="N486" s="184" t="n">
        <v>27724.8</v>
      </c>
      <c r="O486" s="186" t="s">
        <v>1335</v>
      </c>
      <c r="P486" s="187" t="n">
        <v>45909</v>
      </c>
    </row>
    <row r="487" customFormat="false" ht="51" hidden="false" customHeight="true" outlineLevel="0" collapsed="false">
      <c r="A487" s="181" t="s">
        <v>1336</v>
      </c>
      <c r="B487" s="182" t="n">
        <v>1541</v>
      </c>
      <c r="C487" s="183" t="n">
        <v>37275</v>
      </c>
      <c r="D487" s="181" t="s">
        <v>3327</v>
      </c>
      <c r="E487" s="181" t="s">
        <v>304</v>
      </c>
      <c r="F487" s="181" t="s">
        <v>305</v>
      </c>
      <c r="G487" s="181" t="s">
        <v>237</v>
      </c>
      <c r="H487" s="181" t="s">
        <v>279</v>
      </c>
      <c r="I487" s="181" t="s">
        <v>230</v>
      </c>
      <c r="J487" s="184" t="n">
        <v>39830</v>
      </c>
      <c r="K487" s="184" t="n">
        <v>15060</v>
      </c>
      <c r="L487" s="185" t="n">
        <v>9</v>
      </c>
      <c r="M487" s="184" t="n">
        <v>24770</v>
      </c>
      <c r="N487" s="184" t="n">
        <v>22540.7</v>
      </c>
      <c r="O487" s="186" t="s">
        <v>1337</v>
      </c>
      <c r="P487" s="187" t="n">
        <v>45909</v>
      </c>
    </row>
    <row r="488" customFormat="false" ht="51" hidden="false" customHeight="true" outlineLevel="0" collapsed="false">
      <c r="A488" s="181" t="s">
        <v>1338</v>
      </c>
      <c r="B488" s="182" t="n">
        <v>1542</v>
      </c>
      <c r="C488" s="183" t="n">
        <v>37277</v>
      </c>
      <c r="D488" s="181" t="s">
        <v>3327</v>
      </c>
      <c r="E488" s="181" t="s">
        <v>277</v>
      </c>
      <c r="F488" s="181" t="s">
        <v>278</v>
      </c>
      <c r="G488" s="181" t="s">
        <v>237</v>
      </c>
      <c r="H488" s="181" t="s">
        <v>279</v>
      </c>
      <c r="I488" s="181" t="s">
        <v>230</v>
      </c>
      <c r="J488" s="184" t="n">
        <v>41750</v>
      </c>
      <c r="K488" s="184" t="n">
        <v>15110</v>
      </c>
      <c r="L488" s="185" t="n">
        <v>12</v>
      </c>
      <c r="M488" s="184" t="n">
        <v>26640</v>
      </c>
      <c r="N488" s="184" t="n">
        <v>23443.2</v>
      </c>
      <c r="O488" s="186" t="s">
        <v>1339</v>
      </c>
      <c r="P488" s="187" t="n">
        <v>45909</v>
      </c>
    </row>
    <row r="489" customFormat="false" ht="51" hidden="false" customHeight="true" outlineLevel="0" collapsed="false">
      <c r="A489" s="181" t="s">
        <v>1340</v>
      </c>
      <c r="B489" s="182" t="n">
        <v>1543</v>
      </c>
      <c r="C489" s="183" t="n">
        <v>37273</v>
      </c>
      <c r="D489" s="181" t="s">
        <v>3327</v>
      </c>
      <c r="E489" s="181" t="s">
        <v>308</v>
      </c>
      <c r="F489" s="181" t="s">
        <v>309</v>
      </c>
      <c r="G489" s="181" t="s">
        <v>237</v>
      </c>
      <c r="H489" s="181" t="s">
        <v>279</v>
      </c>
      <c r="I489" s="181" t="s">
        <v>230</v>
      </c>
      <c r="J489" s="184" t="n">
        <v>58480</v>
      </c>
      <c r="K489" s="184" t="n">
        <v>24100</v>
      </c>
      <c r="L489" s="185" t="n">
        <v>12</v>
      </c>
      <c r="M489" s="184" t="n">
        <v>34380</v>
      </c>
      <c r="N489" s="184" t="n">
        <v>30254.4</v>
      </c>
      <c r="O489" s="186" t="s">
        <v>1341</v>
      </c>
      <c r="P489" s="187" t="n">
        <v>45909</v>
      </c>
    </row>
    <row r="490" customFormat="false" ht="51" hidden="false" customHeight="true" outlineLevel="0" collapsed="false">
      <c r="A490" s="181" t="s">
        <v>1342</v>
      </c>
      <c r="B490" s="182" t="n">
        <v>1544</v>
      </c>
      <c r="C490" s="183" t="n">
        <v>37279</v>
      </c>
      <c r="D490" s="181" t="s">
        <v>3327</v>
      </c>
      <c r="E490" s="181" t="s">
        <v>300</v>
      </c>
      <c r="F490" s="181" t="s">
        <v>301</v>
      </c>
      <c r="G490" s="181" t="s">
        <v>237</v>
      </c>
      <c r="H490" s="181" t="s">
        <v>279</v>
      </c>
      <c r="I490" s="181" t="s">
        <v>230</v>
      </c>
      <c r="J490" s="184" t="n">
        <v>52910</v>
      </c>
      <c r="K490" s="184" t="n">
        <v>20890</v>
      </c>
      <c r="L490" s="185" t="n">
        <v>9</v>
      </c>
      <c r="M490" s="184" t="n">
        <v>32020</v>
      </c>
      <c r="N490" s="184" t="n">
        <v>29138.2</v>
      </c>
      <c r="O490" s="186" t="s">
        <v>1343</v>
      </c>
      <c r="P490" s="187" t="n">
        <v>45909</v>
      </c>
    </row>
    <row r="491" customFormat="false" ht="51" hidden="false" customHeight="true" outlineLevel="0" collapsed="false">
      <c r="A491" s="181" t="s">
        <v>1344</v>
      </c>
      <c r="B491" s="182" t="n">
        <v>1545</v>
      </c>
      <c r="C491" s="183" t="n">
        <v>37288</v>
      </c>
      <c r="D491" s="181" t="s">
        <v>3327</v>
      </c>
      <c r="E491" s="181" t="s">
        <v>576</v>
      </c>
      <c r="F491" s="181" t="s">
        <v>577</v>
      </c>
      <c r="G491" s="181" t="s">
        <v>237</v>
      </c>
      <c r="H491" s="181" t="s">
        <v>279</v>
      </c>
      <c r="I491" s="181" t="s">
        <v>230</v>
      </c>
      <c r="J491" s="184" t="n">
        <v>39090</v>
      </c>
      <c r="K491" s="184" t="n">
        <v>14460</v>
      </c>
      <c r="L491" s="185" t="n">
        <v>8</v>
      </c>
      <c r="M491" s="184" t="n">
        <v>24630</v>
      </c>
      <c r="N491" s="184" t="n">
        <v>22659.6</v>
      </c>
      <c r="O491" s="186" t="s">
        <v>1345</v>
      </c>
      <c r="P491" s="187" t="n">
        <v>45909</v>
      </c>
    </row>
    <row r="492" customFormat="false" ht="51" hidden="false" customHeight="true" outlineLevel="0" collapsed="false">
      <c r="A492" s="181" t="s">
        <v>1346</v>
      </c>
      <c r="B492" s="182" t="n">
        <v>1546</v>
      </c>
      <c r="C492" s="183" t="n">
        <v>37281</v>
      </c>
      <c r="D492" s="181" t="s">
        <v>3327</v>
      </c>
      <c r="E492" s="181" t="s">
        <v>282</v>
      </c>
      <c r="F492" s="181" t="s">
        <v>283</v>
      </c>
      <c r="G492" s="181" t="s">
        <v>237</v>
      </c>
      <c r="H492" s="181" t="s">
        <v>279</v>
      </c>
      <c r="I492" s="181" t="s">
        <v>230</v>
      </c>
      <c r="J492" s="184" t="n">
        <v>38440</v>
      </c>
      <c r="K492" s="184" t="n">
        <v>15080</v>
      </c>
      <c r="L492" s="185" t="n">
        <v>8</v>
      </c>
      <c r="M492" s="184" t="n">
        <v>23360</v>
      </c>
      <c r="N492" s="184" t="n">
        <v>21491.2</v>
      </c>
      <c r="O492" s="186" t="s">
        <v>1347</v>
      </c>
      <c r="P492" s="187" t="n">
        <v>45909</v>
      </c>
    </row>
    <row r="493" customFormat="false" ht="51" hidden="false" customHeight="true" outlineLevel="0" collapsed="false">
      <c r="A493" s="181" t="s">
        <v>1348</v>
      </c>
      <c r="B493" s="182" t="n">
        <v>1549</v>
      </c>
      <c r="C493" s="183" t="n">
        <v>37290</v>
      </c>
      <c r="D493" s="181" t="s">
        <v>3327</v>
      </c>
      <c r="E493" s="181" t="s">
        <v>272</v>
      </c>
      <c r="F493" s="181" t="s">
        <v>273</v>
      </c>
      <c r="G493" s="181" t="s">
        <v>237</v>
      </c>
      <c r="H493" s="181" t="s">
        <v>279</v>
      </c>
      <c r="I493" s="181" t="s">
        <v>230</v>
      </c>
      <c r="J493" s="184" t="n">
        <v>40000</v>
      </c>
      <c r="K493" s="184" t="n">
        <v>15560</v>
      </c>
      <c r="L493" s="185" t="n">
        <v>7</v>
      </c>
      <c r="M493" s="184" t="n">
        <v>24440</v>
      </c>
      <c r="N493" s="184" t="n">
        <v>22729.2</v>
      </c>
      <c r="O493" s="186" t="s">
        <v>1349</v>
      </c>
      <c r="P493" s="187" t="n">
        <v>45909</v>
      </c>
    </row>
    <row r="494" customFormat="false" ht="51" hidden="false" customHeight="true" outlineLevel="0" collapsed="false">
      <c r="A494" s="181" t="s">
        <v>1350</v>
      </c>
      <c r="B494" s="182" t="n">
        <v>1556</v>
      </c>
      <c r="C494" s="183" t="n">
        <v>37300</v>
      </c>
      <c r="D494" s="181" t="s">
        <v>3327</v>
      </c>
      <c r="E494" s="181" t="s">
        <v>533</v>
      </c>
      <c r="F494" s="181" t="s">
        <v>534</v>
      </c>
      <c r="G494" s="181" t="s">
        <v>237</v>
      </c>
      <c r="H494" s="181" t="s">
        <v>279</v>
      </c>
      <c r="I494" s="181" t="s">
        <v>230</v>
      </c>
      <c r="J494" s="184" t="n">
        <v>40910</v>
      </c>
      <c r="K494" s="184" t="n">
        <v>14520</v>
      </c>
      <c r="L494" s="185" t="n">
        <v>12</v>
      </c>
      <c r="M494" s="184" t="n">
        <v>26390</v>
      </c>
      <c r="N494" s="184" t="n">
        <v>23223.2</v>
      </c>
      <c r="O494" s="186" t="s">
        <v>1351</v>
      </c>
      <c r="P494" s="187" t="n">
        <v>45912</v>
      </c>
    </row>
    <row r="495" customFormat="false" ht="51" hidden="false" customHeight="true" outlineLevel="0" collapsed="false">
      <c r="A495" s="181" t="s">
        <v>1352</v>
      </c>
      <c r="B495" s="182" t="n">
        <v>1558</v>
      </c>
      <c r="C495" s="183" t="n">
        <v>37306</v>
      </c>
      <c r="D495" s="181" t="s">
        <v>3327</v>
      </c>
      <c r="E495" s="181" t="s">
        <v>1289</v>
      </c>
      <c r="F495" s="181" t="s">
        <v>1290</v>
      </c>
      <c r="G495" s="181" t="s">
        <v>237</v>
      </c>
      <c r="H495" s="181" t="s">
        <v>279</v>
      </c>
      <c r="I495" s="181" t="s">
        <v>230</v>
      </c>
      <c r="J495" s="184" t="n">
        <v>40600</v>
      </c>
      <c r="K495" s="184" t="n">
        <v>15710</v>
      </c>
      <c r="L495" s="185" t="n">
        <v>9</v>
      </c>
      <c r="M495" s="184" t="n">
        <v>24890</v>
      </c>
      <c r="N495" s="184" t="n">
        <v>22649.9</v>
      </c>
      <c r="O495" s="186" t="s">
        <v>1353</v>
      </c>
      <c r="P495" s="187" t="n">
        <v>45912</v>
      </c>
    </row>
    <row r="496" customFormat="false" ht="51" hidden="false" customHeight="true" outlineLevel="0" collapsed="false">
      <c r="A496" s="181" t="s">
        <v>1356</v>
      </c>
      <c r="B496" s="182" t="n">
        <v>1560</v>
      </c>
      <c r="C496" s="183" t="n">
        <v>37302</v>
      </c>
      <c r="D496" s="181" t="s">
        <v>3327</v>
      </c>
      <c r="E496" s="181" t="s">
        <v>1309</v>
      </c>
      <c r="F496" s="181" t="s">
        <v>1310</v>
      </c>
      <c r="G496" s="181" t="s">
        <v>237</v>
      </c>
      <c r="H496" s="181" t="s">
        <v>279</v>
      </c>
      <c r="I496" s="181" t="s">
        <v>230</v>
      </c>
      <c r="J496" s="184" t="n">
        <v>39700</v>
      </c>
      <c r="K496" s="184" t="n">
        <v>15550</v>
      </c>
      <c r="L496" s="185" t="n">
        <v>10</v>
      </c>
      <c r="M496" s="184" t="n">
        <v>24150</v>
      </c>
      <c r="N496" s="184" t="n">
        <v>21735</v>
      </c>
      <c r="O496" s="186" t="s">
        <v>1357</v>
      </c>
      <c r="P496" s="187" t="n">
        <v>45912</v>
      </c>
    </row>
    <row r="497" customFormat="false" ht="51" hidden="false" customHeight="true" outlineLevel="0" collapsed="false">
      <c r="A497" s="181" t="s">
        <v>1354</v>
      </c>
      <c r="B497" s="182" t="n">
        <v>1559</v>
      </c>
      <c r="C497" s="183" t="n">
        <v>37304</v>
      </c>
      <c r="D497" s="181" t="s">
        <v>3327</v>
      </c>
      <c r="E497" s="181" t="s">
        <v>901</v>
      </c>
      <c r="F497" s="181" t="s">
        <v>902</v>
      </c>
      <c r="G497" s="181" t="s">
        <v>237</v>
      </c>
      <c r="H497" s="181" t="s">
        <v>279</v>
      </c>
      <c r="I497" s="181" t="s">
        <v>230</v>
      </c>
      <c r="J497" s="184" t="n">
        <v>37430</v>
      </c>
      <c r="K497" s="184" t="n">
        <v>14730</v>
      </c>
      <c r="L497" s="185" t="n">
        <v>9</v>
      </c>
      <c r="M497" s="184" t="n">
        <v>22700</v>
      </c>
      <c r="N497" s="184" t="n">
        <v>20657</v>
      </c>
      <c r="O497" s="186" t="s">
        <v>1355</v>
      </c>
      <c r="P497" s="187" t="n">
        <v>45912</v>
      </c>
    </row>
    <row r="498" customFormat="false" ht="51" hidden="false" customHeight="true" outlineLevel="0" collapsed="false">
      <c r="A498" s="181" t="s">
        <v>1358</v>
      </c>
      <c r="B498" s="182" t="n">
        <v>1561</v>
      </c>
      <c r="C498" s="183" t="n">
        <v>37310</v>
      </c>
      <c r="D498" s="181" t="s">
        <v>3327</v>
      </c>
      <c r="E498" s="181" t="s">
        <v>350</v>
      </c>
      <c r="F498" s="181" t="s">
        <v>351</v>
      </c>
      <c r="G498" s="181" t="s">
        <v>237</v>
      </c>
      <c r="H498" s="181" t="s">
        <v>279</v>
      </c>
      <c r="I498" s="181" t="s">
        <v>230</v>
      </c>
      <c r="J498" s="184" t="n">
        <v>42430</v>
      </c>
      <c r="K498" s="184" t="n">
        <v>14900</v>
      </c>
      <c r="L498" s="185" t="n">
        <v>7</v>
      </c>
      <c r="M498" s="184" t="n">
        <v>27530</v>
      </c>
      <c r="N498" s="184" t="n">
        <v>25602.9</v>
      </c>
      <c r="O498" s="186" t="s">
        <v>1359</v>
      </c>
      <c r="P498" s="187" t="n">
        <v>45912</v>
      </c>
    </row>
    <row r="499" customFormat="false" ht="51" hidden="false" customHeight="true" outlineLevel="0" collapsed="false">
      <c r="A499" s="181" t="s">
        <v>1360</v>
      </c>
      <c r="B499" s="182" t="n">
        <v>1562</v>
      </c>
      <c r="C499" s="183" t="n">
        <v>37312</v>
      </c>
      <c r="D499" s="181" t="s">
        <v>3327</v>
      </c>
      <c r="E499" s="181" t="s">
        <v>373</v>
      </c>
      <c r="F499" s="181" t="s">
        <v>374</v>
      </c>
      <c r="G499" s="181" t="s">
        <v>237</v>
      </c>
      <c r="H499" s="181" t="s">
        <v>279</v>
      </c>
      <c r="I499" s="181" t="s">
        <v>230</v>
      </c>
      <c r="J499" s="184" t="n">
        <v>38530</v>
      </c>
      <c r="K499" s="184" t="n">
        <v>14170</v>
      </c>
      <c r="L499" s="185" t="n">
        <v>6</v>
      </c>
      <c r="M499" s="184" t="n">
        <v>24360</v>
      </c>
      <c r="N499" s="184" t="n">
        <v>22898.4</v>
      </c>
      <c r="O499" s="186" t="s">
        <v>1361</v>
      </c>
      <c r="P499" s="187" t="n">
        <v>45912</v>
      </c>
    </row>
    <row r="500" customFormat="false" ht="51" hidden="false" customHeight="true" outlineLevel="0" collapsed="false">
      <c r="A500" s="181" t="s">
        <v>1362</v>
      </c>
      <c r="B500" s="182" t="n">
        <v>1563</v>
      </c>
      <c r="C500" s="183" t="n">
        <v>37308</v>
      </c>
      <c r="D500" s="181" t="s">
        <v>3327</v>
      </c>
      <c r="E500" s="181" t="s">
        <v>377</v>
      </c>
      <c r="F500" s="181" t="s">
        <v>378</v>
      </c>
      <c r="G500" s="181" t="s">
        <v>237</v>
      </c>
      <c r="H500" s="181" t="s">
        <v>279</v>
      </c>
      <c r="I500" s="181" t="s">
        <v>230</v>
      </c>
      <c r="J500" s="184" t="n">
        <v>42220</v>
      </c>
      <c r="K500" s="184" t="n">
        <v>15550</v>
      </c>
      <c r="L500" s="185" t="n">
        <v>8</v>
      </c>
      <c r="M500" s="184" t="n">
        <v>26670</v>
      </c>
      <c r="N500" s="184" t="n">
        <v>24536.4</v>
      </c>
      <c r="O500" s="186" t="s">
        <v>1363</v>
      </c>
      <c r="P500" s="187" t="n">
        <v>45912</v>
      </c>
    </row>
    <row r="501" customFormat="false" ht="51" hidden="false" customHeight="true" outlineLevel="0" collapsed="false">
      <c r="A501" s="181" t="s">
        <v>1364</v>
      </c>
      <c r="B501" s="182" t="n">
        <v>1564</v>
      </c>
      <c r="C501" s="183" t="n">
        <v>37314</v>
      </c>
      <c r="D501" s="181" t="s">
        <v>3327</v>
      </c>
      <c r="E501" s="181" t="s">
        <v>354</v>
      </c>
      <c r="F501" s="181" t="s">
        <v>355</v>
      </c>
      <c r="G501" s="181" t="s">
        <v>237</v>
      </c>
      <c r="H501" s="181" t="s">
        <v>279</v>
      </c>
      <c r="I501" s="181" t="s">
        <v>230</v>
      </c>
      <c r="J501" s="184" t="n">
        <v>37070</v>
      </c>
      <c r="K501" s="184" t="n">
        <v>14680</v>
      </c>
      <c r="L501" s="185" t="n">
        <v>8</v>
      </c>
      <c r="M501" s="184" t="n">
        <v>22390</v>
      </c>
      <c r="N501" s="184" t="n">
        <v>20598.8</v>
      </c>
      <c r="O501" s="186" t="s">
        <v>1365</v>
      </c>
      <c r="P501" s="187" t="n">
        <v>45912</v>
      </c>
    </row>
    <row r="502" customFormat="false" ht="51" hidden="false" customHeight="true" outlineLevel="0" collapsed="false">
      <c r="A502" s="181" t="s">
        <v>1366</v>
      </c>
      <c r="B502" s="182" t="n">
        <v>1565</v>
      </c>
      <c r="C502" s="183" t="n">
        <v>37316</v>
      </c>
      <c r="D502" s="181" t="s">
        <v>3327</v>
      </c>
      <c r="E502" s="181" t="s">
        <v>292</v>
      </c>
      <c r="F502" s="181" t="s">
        <v>293</v>
      </c>
      <c r="G502" s="181" t="s">
        <v>237</v>
      </c>
      <c r="H502" s="181" t="s">
        <v>279</v>
      </c>
      <c r="I502" s="181" t="s">
        <v>230</v>
      </c>
      <c r="J502" s="184" t="n">
        <v>36000</v>
      </c>
      <c r="K502" s="184" t="n">
        <v>13860</v>
      </c>
      <c r="L502" s="185" t="n">
        <v>11</v>
      </c>
      <c r="M502" s="184" t="n">
        <v>22140</v>
      </c>
      <c r="N502" s="184" t="n">
        <v>19704.6</v>
      </c>
      <c r="O502" s="186" t="s">
        <v>1367</v>
      </c>
      <c r="P502" s="187" t="n">
        <v>45912</v>
      </c>
    </row>
    <row r="503" customFormat="false" ht="51" hidden="false" customHeight="true" outlineLevel="0" collapsed="false">
      <c r="A503" s="181" t="s">
        <v>1368</v>
      </c>
      <c r="B503" s="182" t="n">
        <v>1566</v>
      </c>
      <c r="C503" s="183" t="n">
        <v>37320</v>
      </c>
      <c r="D503" s="181" t="s">
        <v>3327</v>
      </c>
      <c r="E503" s="181" t="s">
        <v>266</v>
      </c>
      <c r="F503" s="181" t="s">
        <v>267</v>
      </c>
      <c r="G503" s="181" t="s">
        <v>237</v>
      </c>
      <c r="H503" s="181" t="s">
        <v>279</v>
      </c>
      <c r="I503" s="181" t="s">
        <v>230</v>
      </c>
      <c r="J503" s="184" t="n">
        <v>38520</v>
      </c>
      <c r="K503" s="184" t="n">
        <v>14850</v>
      </c>
      <c r="L503" s="185" t="n">
        <v>7</v>
      </c>
      <c r="M503" s="184" t="n">
        <v>23670</v>
      </c>
      <c r="N503" s="184" t="n">
        <v>22013.1</v>
      </c>
      <c r="O503" s="186" t="s">
        <v>1369</v>
      </c>
      <c r="P503" s="187" t="n">
        <v>45912</v>
      </c>
    </row>
    <row r="504" customFormat="false" ht="51" hidden="false" customHeight="true" outlineLevel="0" collapsed="false">
      <c r="A504" s="181" t="s">
        <v>1370</v>
      </c>
      <c r="B504" s="182" t="n">
        <v>1567</v>
      </c>
      <c r="C504" s="183" t="n">
        <v>37322</v>
      </c>
      <c r="D504" s="181" t="s">
        <v>3327</v>
      </c>
      <c r="E504" s="181" t="s">
        <v>261</v>
      </c>
      <c r="F504" s="181" t="s">
        <v>262</v>
      </c>
      <c r="G504" s="181" t="s">
        <v>237</v>
      </c>
      <c r="H504" s="181" t="s">
        <v>279</v>
      </c>
      <c r="I504" s="181" t="s">
        <v>230</v>
      </c>
      <c r="J504" s="184" t="n">
        <v>38600</v>
      </c>
      <c r="K504" s="184" t="n">
        <v>15070</v>
      </c>
      <c r="L504" s="185" t="n">
        <v>14</v>
      </c>
      <c r="M504" s="184" t="n">
        <v>23530</v>
      </c>
      <c r="N504" s="184" t="n">
        <v>20235.8</v>
      </c>
      <c r="O504" s="186" t="s">
        <v>1371</v>
      </c>
      <c r="P504" s="187" t="n">
        <v>45912</v>
      </c>
    </row>
    <row r="505" customFormat="false" ht="51" hidden="false" customHeight="true" outlineLevel="0" collapsed="false">
      <c r="A505" s="181" t="s">
        <v>1372</v>
      </c>
      <c r="B505" s="182" t="n">
        <v>1568</v>
      </c>
      <c r="C505" s="183" t="n">
        <v>37324</v>
      </c>
      <c r="D505" s="181" t="s">
        <v>3327</v>
      </c>
      <c r="E505" s="181" t="s">
        <v>296</v>
      </c>
      <c r="F505" s="181" t="s">
        <v>297</v>
      </c>
      <c r="G505" s="181" t="s">
        <v>237</v>
      </c>
      <c r="H505" s="181" t="s">
        <v>279</v>
      </c>
      <c r="I505" s="181" t="s">
        <v>230</v>
      </c>
      <c r="J505" s="184" t="n">
        <v>39790</v>
      </c>
      <c r="K505" s="184" t="n">
        <v>15420</v>
      </c>
      <c r="L505" s="185" t="n">
        <v>11</v>
      </c>
      <c r="M505" s="184" t="n">
        <v>24370</v>
      </c>
      <c r="N505" s="184" t="n">
        <v>21689.3</v>
      </c>
      <c r="O505" s="186" t="s">
        <v>1373</v>
      </c>
      <c r="P505" s="187" t="n">
        <v>45912</v>
      </c>
    </row>
    <row r="506" customFormat="false" ht="51" hidden="false" customHeight="true" outlineLevel="0" collapsed="false">
      <c r="A506" s="181" t="s">
        <v>1376</v>
      </c>
      <c r="B506" s="182" t="n">
        <v>1570</v>
      </c>
      <c r="C506" s="183" t="n">
        <v>37344</v>
      </c>
      <c r="D506" s="181" t="s">
        <v>3327</v>
      </c>
      <c r="E506" s="181" t="s">
        <v>1019</v>
      </c>
      <c r="F506" s="181" t="s">
        <v>1020</v>
      </c>
      <c r="G506" s="181" t="s">
        <v>237</v>
      </c>
      <c r="H506" s="181" t="s">
        <v>279</v>
      </c>
      <c r="I506" s="181" t="s">
        <v>230</v>
      </c>
      <c r="J506" s="184" t="n">
        <v>41800</v>
      </c>
      <c r="K506" s="184" t="n">
        <v>16740</v>
      </c>
      <c r="L506" s="185" t="n">
        <v>9</v>
      </c>
      <c r="M506" s="184" t="n">
        <v>25060</v>
      </c>
      <c r="N506" s="184" t="n">
        <v>22804.6</v>
      </c>
      <c r="O506" s="186" t="s">
        <v>1377</v>
      </c>
      <c r="P506" s="187" t="n">
        <v>45912</v>
      </c>
    </row>
    <row r="507" customFormat="false" ht="51" hidden="false" customHeight="true" outlineLevel="0" collapsed="false">
      <c r="A507" s="181" t="s">
        <v>1374</v>
      </c>
      <c r="B507" s="182" t="n">
        <v>1569</v>
      </c>
      <c r="C507" s="183" t="n">
        <v>37346</v>
      </c>
      <c r="D507" s="181" t="s">
        <v>3327</v>
      </c>
      <c r="E507" s="181" t="s">
        <v>1027</v>
      </c>
      <c r="F507" s="181" t="s">
        <v>1028</v>
      </c>
      <c r="G507" s="181" t="s">
        <v>237</v>
      </c>
      <c r="H507" s="181" t="s">
        <v>279</v>
      </c>
      <c r="I507" s="181" t="s">
        <v>230</v>
      </c>
      <c r="J507" s="184" t="n">
        <v>38410</v>
      </c>
      <c r="K507" s="184" t="n">
        <v>14950</v>
      </c>
      <c r="L507" s="185" t="n">
        <v>5</v>
      </c>
      <c r="M507" s="184" t="n">
        <v>23460</v>
      </c>
      <c r="N507" s="184" t="n">
        <v>22287</v>
      </c>
      <c r="O507" s="186" t="s">
        <v>1375</v>
      </c>
      <c r="P507" s="187" t="n">
        <v>45912</v>
      </c>
    </row>
    <row r="508" customFormat="false" ht="51" hidden="false" customHeight="true" outlineLevel="0" collapsed="false">
      <c r="A508" s="181" t="s">
        <v>1378</v>
      </c>
      <c r="B508" s="182" t="n">
        <v>1571</v>
      </c>
      <c r="C508" s="183" t="n">
        <v>37348</v>
      </c>
      <c r="D508" s="181" t="s">
        <v>3327</v>
      </c>
      <c r="E508" s="181" t="s">
        <v>1023</v>
      </c>
      <c r="F508" s="181" t="s">
        <v>1024</v>
      </c>
      <c r="G508" s="181" t="s">
        <v>237</v>
      </c>
      <c r="H508" s="181" t="s">
        <v>279</v>
      </c>
      <c r="I508" s="181" t="s">
        <v>230</v>
      </c>
      <c r="J508" s="184" t="n">
        <v>36940</v>
      </c>
      <c r="K508" s="184" t="n">
        <v>14740</v>
      </c>
      <c r="L508" s="185" t="n">
        <v>13</v>
      </c>
      <c r="M508" s="184" t="n">
        <v>22200</v>
      </c>
      <c r="N508" s="184" t="n">
        <v>19314</v>
      </c>
      <c r="O508" s="186" t="s">
        <v>1379</v>
      </c>
      <c r="P508" s="187" t="n">
        <v>45912</v>
      </c>
    </row>
    <row r="509" customFormat="false" ht="51" hidden="false" customHeight="true" outlineLevel="0" collapsed="false">
      <c r="A509" s="181" t="s">
        <v>1380</v>
      </c>
      <c r="B509" s="182" t="n">
        <v>1572</v>
      </c>
      <c r="C509" s="183" t="n">
        <v>37318</v>
      </c>
      <c r="D509" s="181" t="s">
        <v>3327</v>
      </c>
      <c r="E509" s="181" t="s">
        <v>409</v>
      </c>
      <c r="F509" s="181" t="s">
        <v>410</v>
      </c>
      <c r="G509" s="181" t="s">
        <v>237</v>
      </c>
      <c r="H509" s="181" t="s">
        <v>279</v>
      </c>
      <c r="I509" s="181" t="s">
        <v>230</v>
      </c>
      <c r="J509" s="184" t="n">
        <v>54940</v>
      </c>
      <c r="K509" s="184" t="n">
        <v>24080</v>
      </c>
      <c r="L509" s="185" t="n">
        <v>18</v>
      </c>
      <c r="M509" s="184" t="n">
        <v>30860</v>
      </c>
      <c r="N509" s="184" t="n">
        <v>25305.2</v>
      </c>
      <c r="O509" s="186" t="s">
        <v>1381</v>
      </c>
      <c r="P509" s="187" t="n">
        <v>45912</v>
      </c>
    </row>
    <row r="510" customFormat="false" ht="51" hidden="false" customHeight="true" outlineLevel="0" collapsed="false">
      <c r="A510" s="181" t="s">
        <v>1382</v>
      </c>
      <c r="B510" s="182" t="n">
        <v>1576</v>
      </c>
      <c r="C510" s="183" t="n">
        <v>37326</v>
      </c>
      <c r="D510" s="181" t="s">
        <v>3327</v>
      </c>
      <c r="E510" s="181" t="s">
        <v>413</v>
      </c>
      <c r="F510" s="181" t="s">
        <v>414</v>
      </c>
      <c r="G510" s="181" t="s">
        <v>231</v>
      </c>
      <c r="H510" s="181" t="s">
        <v>279</v>
      </c>
      <c r="I510" s="181" t="s">
        <v>230</v>
      </c>
      <c r="J510" s="184" t="n">
        <v>44390</v>
      </c>
      <c r="K510" s="184" t="n">
        <v>15590</v>
      </c>
      <c r="L510" s="185" t="n">
        <v>11</v>
      </c>
      <c r="M510" s="184" t="n">
        <v>28800</v>
      </c>
      <c r="N510" s="184" t="n">
        <v>25632</v>
      </c>
      <c r="O510" s="186" t="s">
        <v>1383</v>
      </c>
      <c r="P510" s="187" t="n">
        <v>45912</v>
      </c>
    </row>
    <row r="511" customFormat="false" ht="51" hidden="false" customHeight="true" outlineLevel="0" collapsed="false">
      <c r="A511" s="181" t="s">
        <v>1384</v>
      </c>
      <c r="B511" s="182" t="n">
        <v>1577</v>
      </c>
      <c r="C511" s="183" t="n">
        <v>37257</v>
      </c>
      <c r="D511" s="181" t="s">
        <v>3327</v>
      </c>
      <c r="E511" s="181" t="s">
        <v>545</v>
      </c>
      <c r="F511" s="181" t="s">
        <v>546</v>
      </c>
      <c r="G511" s="181" t="s">
        <v>231</v>
      </c>
      <c r="H511" s="181" t="s">
        <v>279</v>
      </c>
      <c r="I511" s="181" t="s">
        <v>230</v>
      </c>
      <c r="J511" s="184" t="n">
        <v>42170</v>
      </c>
      <c r="K511" s="184" t="n">
        <v>16050</v>
      </c>
      <c r="L511" s="185" t="n">
        <v>12</v>
      </c>
      <c r="M511" s="184" t="n">
        <v>26120</v>
      </c>
      <c r="N511" s="184" t="n">
        <v>22985.6</v>
      </c>
      <c r="O511" s="186" t="s">
        <v>1385</v>
      </c>
      <c r="P511" s="187" t="n">
        <v>45912</v>
      </c>
    </row>
    <row r="512" customFormat="false" ht="51" hidden="false" customHeight="true" outlineLevel="0" collapsed="false">
      <c r="A512" s="181" t="s">
        <v>1386</v>
      </c>
      <c r="B512" s="182" t="n">
        <v>1578</v>
      </c>
      <c r="C512" s="183" t="n">
        <v>37330</v>
      </c>
      <c r="D512" s="181" t="s">
        <v>3327</v>
      </c>
      <c r="E512" s="181" t="s">
        <v>336</v>
      </c>
      <c r="F512" s="181" t="s">
        <v>337</v>
      </c>
      <c r="G512" s="181" t="s">
        <v>231</v>
      </c>
      <c r="H512" s="181" t="s">
        <v>279</v>
      </c>
      <c r="I512" s="181" t="s">
        <v>230</v>
      </c>
      <c r="J512" s="184" t="n">
        <v>40000</v>
      </c>
      <c r="K512" s="184" t="n">
        <v>14510</v>
      </c>
      <c r="L512" s="185" t="n">
        <v>14</v>
      </c>
      <c r="M512" s="184" t="n">
        <v>25490</v>
      </c>
      <c r="N512" s="184" t="n">
        <v>21921.4</v>
      </c>
      <c r="O512" s="186" t="s">
        <v>1387</v>
      </c>
      <c r="P512" s="187" t="n">
        <v>45912</v>
      </c>
    </row>
    <row r="513" customFormat="false" ht="51" hidden="false" customHeight="true" outlineLevel="0" collapsed="false">
      <c r="A513" s="181" t="s">
        <v>1388</v>
      </c>
      <c r="B513" s="182" t="n">
        <v>1579</v>
      </c>
      <c r="C513" s="183" t="n">
        <v>37332</v>
      </c>
      <c r="D513" s="181" t="s">
        <v>3327</v>
      </c>
      <c r="E513" s="181" t="s">
        <v>340</v>
      </c>
      <c r="F513" s="181" t="s">
        <v>341</v>
      </c>
      <c r="G513" s="181" t="s">
        <v>231</v>
      </c>
      <c r="H513" s="181" t="s">
        <v>279</v>
      </c>
      <c r="I513" s="181" t="s">
        <v>230</v>
      </c>
      <c r="J513" s="184" t="n">
        <v>39680</v>
      </c>
      <c r="K513" s="184" t="n">
        <v>14970</v>
      </c>
      <c r="L513" s="185" t="n">
        <v>20</v>
      </c>
      <c r="M513" s="184" t="n">
        <v>24710</v>
      </c>
      <c r="N513" s="184" t="n">
        <v>19768</v>
      </c>
      <c r="O513" s="186" t="s">
        <v>1389</v>
      </c>
      <c r="P513" s="187" t="n">
        <v>45912</v>
      </c>
    </row>
    <row r="514" customFormat="false" ht="51" hidden="false" customHeight="true" outlineLevel="0" collapsed="false">
      <c r="A514" s="181" t="s">
        <v>1390</v>
      </c>
      <c r="B514" s="182" t="n">
        <v>1580</v>
      </c>
      <c r="C514" s="183" t="n">
        <v>37334</v>
      </c>
      <c r="D514" s="181" t="s">
        <v>3327</v>
      </c>
      <c r="E514" s="181" t="s">
        <v>308</v>
      </c>
      <c r="F514" s="181" t="s">
        <v>309</v>
      </c>
      <c r="G514" s="181" t="s">
        <v>231</v>
      </c>
      <c r="H514" s="181" t="s">
        <v>279</v>
      </c>
      <c r="I514" s="181" t="s">
        <v>230</v>
      </c>
      <c r="J514" s="184" t="n">
        <v>64250</v>
      </c>
      <c r="K514" s="184" t="n">
        <v>23990</v>
      </c>
      <c r="L514" s="185" t="n">
        <v>19</v>
      </c>
      <c r="M514" s="184" t="n">
        <v>40260</v>
      </c>
      <c r="N514" s="184" t="n">
        <v>32610.6</v>
      </c>
      <c r="O514" s="186" t="s">
        <v>1391</v>
      </c>
      <c r="P514" s="187" t="n">
        <v>45912</v>
      </c>
    </row>
    <row r="515" customFormat="false" ht="51" hidden="false" customHeight="true" outlineLevel="0" collapsed="false">
      <c r="A515" s="181" t="s">
        <v>1392</v>
      </c>
      <c r="B515" s="182" t="n">
        <v>1583</v>
      </c>
      <c r="C515" s="183" t="n">
        <v>37338</v>
      </c>
      <c r="D515" s="181" t="s">
        <v>3327</v>
      </c>
      <c r="E515" s="181" t="s">
        <v>541</v>
      </c>
      <c r="F515" s="181" t="s">
        <v>542</v>
      </c>
      <c r="G515" s="181" t="s">
        <v>231</v>
      </c>
      <c r="H515" s="181" t="s">
        <v>279</v>
      </c>
      <c r="I515" s="181" t="s">
        <v>230</v>
      </c>
      <c r="J515" s="184" t="n">
        <v>37600</v>
      </c>
      <c r="K515" s="184" t="n">
        <v>14890</v>
      </c>
      <c r="L515" s="185" t="n">
        <v>9</v>
      </c>
      <c r="M515" s="184" t="n">
        <v>22710</v>
      </c>
      <c r="N515" s="184" t="n">
        <v>20666.1</v>
      </c>
      <c r="O515" s="186" t="s">
        <v>1393</v>
      </c>
      <c r="P515" s="187" t="n">
        <v>45912</v>
      </c>
    </row>
    <row r="516" customFormat="false" ht="51" hidden="false" customHeight="true" outlineLevel="0" collapsed="false">
      <c r="A516" s="181" t="s">
        <v>1394</v>
      </c>
      <c r="B516" s="182" t="n">
        <v>1584</v>
      </c>
      <c r="C516" s="183" t="n">
        <v>37336</v>
      </c>
      <c r="D516" s="181" t="s">
        <v>3327</v>
      </c>
      <c r="E516" s="181" t="s">
        <v>549</v>
      </c>
      <c r="F516" s="181" t="s">
        <v>550</v>
      </c>
      <c r="G516" s="181" t="s">
        <v>231</v>
      </c>
      <c r="H516" s="181" t="s">
        <v>279</v>
      </c>
      <c r="I516" s="181" t="s">
        <v>230</v>
      </c>
      <c r="J516" s="184" t="n">
        <v>41560</v>
      </c>
      <c r="K516" s="184" t="n">
        <v>15840</v>
      </c>
      <c r="L516" s="185" t="n">
        <v>8</v>
      </c>
      <c r="M516" s="184" t="n">
        <v>25720</v>
      </c>
      <c r="N516" s="184" t="n">
        <v>23662.4</v>
      </c>
      <c r="O516" s="186" t="s">
        <v>1395</v>
      </c>
      <c r="P516" s="187" t="n">
        <v>45912</v>
      </c>
    </row>
    <row r="517" customFormat="false" ht="51" hidden="false" customHeight="true" outlineLevel="0" collapsed="false">
      <c r="A517" s="181" t="s">
        <v>1396</v>
      </c>
      <c r="B517" s="182" t="n">
        <v>1585</v>
      </c>
      <c r="C517" s="183" t="n">
        <v>37350</v>
      </c>
      <c r="D517" s="181" t="s">
        <v>3327</v>
      </c>
      <c r="E517" s="181" t="s">
        <v>439</v>
      </c>
      <c r="F517" s="181" t="s">
        <v>440</v>
      </c>
      <c r="G517" s="181" t="s">
        <v>231</v>
      </c>
      <c r="H517" s="181" t="s">
        <v>279</v>
      </c>
      <c r="I517" s="181" t="s">
        <v>230</v>
      </c>
      <c r="J517" s="184" t="n">
        <v>40250</v>
      </c>
      <c r="K517" s="184" t="n">
        <v>16260</v>
      </c>
      <c r="L517" s="185" t="n">
        <v>9</v>
      </c>
      <c r="M517" s="184" t="n">
        <v>23990</v>
      </c>
      <c r="N517" s="184" t="n">
        <v>21830.9</v>
      </c>
      <c r="O517" s="186" t="s">
        <v>1397</v>
      </c>
      <c r="P517" s="187" t="n">
        <v>45912</v>
      </c>
    </row>
    <row r="518" customFormat="false" ht="51" hidden="false" customHeight="true" outlineLevel="0" collapsed="false">
      <c r="A518" s="181" t="s">
        <v>1398</v>
      </c>
      <c r="B518" s="182" t="n">
        <v>1587</v>
      </c>
      <c r="C518" s="183" t="n">
        <v>37342</v>
      </c>
      <c r="D518" s="181" t="s">
        <v>3327</v>
      </c>
      <c r="E518" s="181" t="s">
        <v>387</v>
      </c>
      <c r="F518" s="181" t="s">
        <v>388</v>
      </c>
      <c r="G518" s="181" t="s">
        <v>231</v>
      </c>
      <c r="H518" s="181" t="s">
        <v>279</v>
      </c>
      <c r="I518" s="181" t="s">
        <v>230</v>
      </c>
      <c r="J518" s="184" t="n">
        <v>40020</v>
      </c>
      <c r="K518" s="184" t="n">
        <v>14930</v>
      </c>
      <c r="L518" s="185" t="n">
        <v>10</v>
      </c>
      <c r="M518" s="184" t="n">
        <v>25090</v>
      </c>
      <c r="N518" s="184" t="n">
        <v>22581</v>
      </c>
      <c r="O518" s="186" t="s">
        <v>1399</v>
      </c>
      <c r="P518" s="187" t="n">
        <v>45913</v>
      </c>
    </row>
    <row r="519" customFormat="false" ht="51" hidden="false" customHeight="true" outlineLevel="0" collapsed="false">
      <c r="A519" s="181" t="s">
        <v>1400</v>
      </c>
      <c r="B519" s="182" t="n">
        <v>1588</v>
      </c>
      <c r="C519" s="183" t="n">
        <v>37340</v>
      </c>
      <c r="D519" s="181" t="s">
        <v>3327</v>
      </c>
      <c r="E519" s="181" t="s">
        <v>383</v>
      </c>
      <c r="F519" s="181" t="s">
        <v>384</v>
      </c>
      <c r="G519" s="181" t="s">
        <v>231</v>
      </c>
      <c r="H519" s="181" t="s">
        <v>279</v>
      </c>
      <c r="I519" s="181" t="s">
        <v>230</v>
      </c>
      <c r="J519" s="184" t="n">
        <v>39610</v>
      </c>
      <c r="K519" s="184" t="n">
        <v>14750</v>
      </c>
      <c r="L519" s="185" t="n">
        <v>9</v>
      </c>
      <c r="M519" s="184" t="n">
        <v>24860</v>
      </c>
      <c r="N519" s="184" t="n">
        <v>22622.6</v>
      </c>
      <c r="O519" s="186" t="s">
        <v>1401</v>
      </c>
      <c r="P519" s="187" t="n">
        <v>45913</v>
      </c>
    </row>
    <row r="520" customFormat="false" ht="51" hidden="false" customHeight="true" outlineLevel="0" collapsed="false">
      <c r="A520" s="181" t="s">
        <v>1402</v>
      </c>
      <c r="B520" s="182" t="n">
        <v>1594</v>
      </c>
      <c r="C520" s="183" t="n">
        <v>37352</v>
      </c>
      <c r="D520" s="181" t="s">
        <v>3327</v>
      </c>
      <c r="E520" s="181" t="s">
        <v>431</v>
      </c>
      <c r="F520" s="181" t="s">
        <v>432</v>
      </c>
      <c r="G520" s="181" t="s">
        <v>231</v>
      </c>
      <c r="H520" s="181" t="s">
        <v>279</v>
      </c>
      <c r="I520" s="181" t="s">
        <v>230</v>
      </c>
      <c r="J520" s="184" t="n">
        <v>39680</v>
      </c>
      <c r="K520" s="184" t="n">
        <v>16390</v>
      </c>
      <c r="L520" s="185" t="n">
        <v>8</v>
      </c>
      <c r="M520" s="184" t="n">
        <v>23290</v>
      </c>
      <c r="N520" s="184" t="n">
        <v>21426.8</v>
      </c>
      <c r="O520" s="186" t="s">
        <v>1403</v>
      </c>
      <c r="P520" s="187" t="n">
        <v>45913</v>
      </c>
    </row>
    <row r="521" customFormat="false" ht="51" hidden="false" customHeight="true" outlineLevel="0" collapsed="false">
      <c r="A521" s="181" t="s">
        <v>1404</v>
      </c>
      <c r="B521" s="182" t="n">
        <v>1599</v>
      </c>
      <c r="C521" s="183" t="n">
        <v>37359</v>
      </c>
      <c r="D521" s="181" t="s">
        <v>3327</v>
      </c>
      <c r="E521" s="181" t="s">
        <v>529</v>
      </c>
      <c r="F521" s="181" t="s">
        <v>530</v>
      </c>
      <c r="G521" s="181" t="s">
        <v>231</v>
      </c>
      <c r="H521" s="181" t="s">
        <v>279</v>
      </c>
      <c r="I521" s="181" t="s">
        <v>230</v>
      </c>
      <c r="J521" s="184" t="n">
        <v>36500</v>
      </c>
      <c r="K521" s="184" t="n">
        <v>14810</v>
      </c>
      <c r="L521" s="185" t="n">
        <v>14</v>
      </c>
      <c r="M521" s="184" t="n">
        <v>21690</v>
      </c>
      <c r="N521" s="184" t="n">
        <v>18653.4</v>
      </c>
      <c r="O521" s="186" t="s">
        <v>1405</v>
      </c>
      <c r="P521" s="187" t="n">
        <v>45913</v>
      </c>
    </row>
    <row r="522" customFormat="false" ht="51" hidden="false" customHeight="true" outlineLevel="0" collapsed="false">
      <c r="A522" s="181" t="s">
        <v>1406</v>
      </c>
      <c r="B522" s="182" t="n">
        <v>1600</v>
      </c>
      <c r="C522" s="183" t="n">
        <v>37361</v>
      </c>
      <c r="D522" s="181" t="s">
        <v>3327</v>
      </c>
      <c r="E522" s="181" t="s">
        <v>391</v>
      </c>
      <c r="F522" s="181" t="s">
        <v>392</v>
      </c>
      <c r="G522" s="181" t="s">
        <v>231</v>
      </c>
      <c r="H522" s="181" t="s">
        <v>279</v>
      </c>
      <c r="I522" s="181" t="s">
        <v>230</v>
      </c>
      <c r="J522" s="184" t="n">
        <v>36620</v>
      </c>
      <c r="K522" s="184" t="n">
        <v>14440</v>
      </c>
      <c r="L522" s="185" t="n">
        <v>18</v>
      </c>
      <c r="M522" s="184" t="n">
        <v>22180</v>
      </c>
      <c r="N522" s="184" t="n">
        <v>18187.6</v>
      </c>
      <c r="O522" s="186" t="s">
        <v>1407</v>
      </c>
      <c r="P522" s="187" t="n">
        <v>45913</v>
      </c>
    </row>
    <row r="523" customFormat="false" ht="51" hidden="false" customHeight="true" outlineLevel="0" collapsed="false">
      <c r="A523" s="181" t="s">
        <v>1408</v>
      </c>
      <c r="B523" s="182" t="n">
        <v>1603</v>
      </c>
      <c r="C523" s="183" t="n">
        <v>37365</v>
      </c>
      <c r="D523" s="181" t="s">
        <v>3327</v>
      </c>
      <c r="E523" s="181" t="s">
        <v>576</v>
      </c>
      <c r="F523" s="181" t="s">
        <v>577</v>
      </c>
      <c r="G523" s="181" t="s">
        <v>231</v>
      </c>
      <c r="H523" s="181" t="s">
        <v>279</v>
      </c>
      <c r="I523" s="181" t="s">
        <v>230</v>
      </c>
      <c r="J523" s="184" t="n">
        <v>37810</v>
      </c>
      <c r="K523" s="184" t="n">
        <v>14430</v>
      </c>
      <c r="L523" s="185" t="n">
        <v>10</v>
      </c>
      <c r="M523" s="184" t="n">
        <v>23380</v>
      </c>
      <c r="N523" s="184" t="n">
        <v>21042</v>
      </c>
      <c r="O523" s="186" t="s">
        <v>1409</v>
      </c>
      <c r="P523" s="187" t="n">
        <v>45913</v>
      </c>
    </row>
    <row r="524" customFormat="false" ht="51" hidden="false" customHeight="true" outlineLevel="0" collapsed="false">
      <c r="A524" s="181" t="s">
        <v>1410</v>
      </c>
      <c r="B524" s="182" t="n">
        <v>1604</v>
      </c>
      <c r="C524" s="183" t="n">
        <v>37363</v>
      </c>
      <c r="D524" s="181" t="s">
        <v>3327</v>
      </c>
      <c r="E524" s="181" t="s">
        <v>282</v>
      </c>
      <c r="F524" s="181" t="s">
        <v>283</v>
      </c>
      <c r="G524" s="181" t="s">
        <v>231</v>
      </c>
      <c r="H524" s="181" t="s">
        <v>279</v>
      </c>
      <c r="I524" s="181" t="s">
        <v>230</v>
      </c>
      <c r="J524" s="184" t="n">
        <v>40390</v>
      </c>
      <c r="K524" s="184" t="n">
        <v>15010</v>
      </c>
      <c r="L524" s="185" t="n">
        <v>19</v>
      </c>
      <c r="M524" s="184" t="n">
        <v>25380</v>
      </c>
      <c r="N524" s="184" t="n">
        <v>20557.8</v>
      </c>
      <c r="O524" s="186" t="s">
        <v>1411</v>
      </c>
      <c r="P524" s="187" t="n">
        <v>45913</v>
      </c>
    </row>
    <row r="525" customFormat="false" ht="51" hidden="false" customHeight="true" outlineLevel="0" collapsed="false">
      <c r="A525" s="181" t="s">
        <v>1428</v>
      </c>
      <c r="B525" s="182" t="n">
        <v>1616</v>
      </c>
      <c r="C525" s="183" t="n">
        <v>37432</v>
      </c>
      <c r="D525" s="181" t="s">
        <v>3327</v>
      </c>
      <c r="E525" s="181" t="s">
        <v>346</v>
      </c>
      <c r="F525" s="181" t="s">
        <v>347</v>
      </c>
      <c r="G525" s="181" t="s">
        <v>234</v>
      </c>
      <c r="H525" s="181" t="s">
        <v>279</v>
      </c>
      <c r="I525" s="181" t="s">
        <v>230</v>
      </c>
      <c r="J525" s="184" t="n">
        <v>38410</v>
      </c>
      <c r="K525" s="184" t="n">
        <v>15020</v>
      </c>
      <c r="L525" s="185" t="n">
        <v>6</v>
      </c>
      <c r="M525" s="184" t="n">
        <v>23390</v>
      </c>
      <c r="N525" s="184" t="n">
        <v>21986.6</v>
      </c>
      <c r="O525" s="186" t="s">
        <v>1429</v>
      </c>
      <c r="P525" s="187" t="n">
        <v>45913</v>
      </c>
    </row>
    <row r="526" customFormat="false" ht="51" hidden="false" customHeight="true" outlineLevel="0" collapsed="false">
      <c r="A526" s="181" t="s">
        <v>1412</v>
      </c>
      <c r="B526" s="182" t="n">
        <v>1606</v>
      </c>
      <c r="C526" s="183" t="n">
        <v>37367</v>
      </c>
      <c r="D526" s="181" t="s">
        <v>3327</v>
      </c>
      <c r="E526" s="181" t="s">
        <v>272</v>
      </c>
      <c r="F526" s="181" t="s">
        <v>273</v>
      </c>
      <c r="G526" s="181" t="s">
        <v>231</v>
      </c>
      <c r="H526" s="181" t="s">
        <v>279</v>
      </c>
      <c r="I526" s="181" t="s">
        <v>230</v>
      </c>
      <c r="J526" s="184" t="n">
        <v>37980</v>
      </c>
      <c r="K526" s="184" t="n">
        <v>15520</v>
      </c>
      <c r="L526" s="185" t="n">
        <v>19</v>
      </c>
      <c r="M526" s="184" t="n">
        <v>22460</v>
      </c>
      <c r="N526" s="184" t="n">
        <v>18192.6</v>
      </c>
      <c r="O526" s="186" t="s">
        <v>1413</v>
      </c>
      <c r="P526" s="187" t="n">
        <v>45913</v>
      </c>
    </row>
    <row r="527" customFormat="false" ht="51" hidden="false" customHeight="true" outlineLevel="0" collapsed="false">
      <c r="A527" s="181" t="s">
        <v>1414</v>
      </c>
      <c r="B527" s="182" t="n">
        <v>1607</v>
      </c>
      <c r="C527" s="183" t="n">
        <v>37369</v>
      </c>
      <c r="D527" s="181" t="s">
        <v>3327</v>
      </c>
      <c r="E527" s="181" t="s">
        <v>300</v>
      </c>
      <c r="F527" s="181" t="s">
        <v>301</v>
      </c>
      <c r="G527" s="181" t="s">
        <v>231</v>
      </c>
      <c r="H527" s="181" t="s">
        <v>279</v>
      </c>
      <c r="I527" s="181" t="s">
        <v>230</v>
      </c>
      <c r="J527" s="184" t="n">
        <v>53780</v>
      </c>
      <c r="K527" s="184" t="n">
        <v>20920</v>
      </c>
      <c r="L527" s="185" t="n">
        <v>15</v>
      </c>
      <c r="M527" s="184" t="n">
        <v>32860</v>
      </c>
      <c r="N527" s="184" t="n">
        <v>27931</v>
      </c>
      <c r="O527" s="186" t="s">
        <v>1415</v>
      </c>
      <c r="P527" s="187" t="n">
        <v>45913</v>
      </c>
    </row>
    <row r="528" customFormat="false" ht="51" hidden="false" customHeight="true" outlineLevel="0" collapsed="false">
      <c r="A528" s="181" t="s">
        <v>1416</v>
      </c>
      <c r="B528" s="182" t="n">
        <v>1608</v>
      </c>
      <c r="C528" s="183" t="n">
        <v>37380</v>
      </c>
      <c r="D528" s="181" t="s">
        <v>3327</v>
      </c>
      <c r="E528" s="181" t="s">
        <v>435</v>
      </c>
      <c r="F528" s="181" t="s">
        <v>436</v>
      </c>
      <c r="G528" s="181" t="s">
        <v>231</v>
      </c>
      <c r="H528" s="181" t="s">
        <v>279</v>
      </c>
      <c r="I528" s="181" t="s">
        <v>230</v>
      </c>
      <c r="J528" s="184" t="n">
        <v>39180</v>
      </c>
      <c r="K528" s="184" t="n">
        <v>16310</v>
      </c>
      <c r="L528" s="185" t="n">
        <v>16</v>
      </c>
      <c r="M528" s="184" t="n">
        <v>22870</v>
      </c>
      <c r="N528" s="184" t="n">
        <v>19210.8</v>
      </c>
      <c r="O528" s="186" t="s">
        <v>1417</v>
      </c>
      <c r="P528" s="187" t="n">
        <v>45913</v>
      </c>
    </row>
    <row r="529" customFormat="false" ht="51" hidden="false" customHeight="true" outlineLevel="0" collapsed="false">
      <c r="A529" s="181" t="s">
        <v>1418</v>
      </c>
      <c r="B529" s="182" t="n">
        <v>1609</v>
      </c>
      <c r="C529" s="183" t="n">
        <v>37372</v>
      </c>
      <c r="D529" s="181" t="s">
        <v>3327</v>
      </c>
      <c r="E529" s="181" t="s">
        <v>359</v>
      </c>
      <c r="F529" s="181" t="s">
        <v>360</v>
      </c>
      <c r="G529" s="181" t="s">
        <v>231</v>
      </c>
      <c r="H529" s="181" t="s">
        <v>279</v>
      </c>
      <c r="I529" s="181" t="s">
        <v>230</v>
      </c>
      <c r="J529" s="184" t="n">
        <v>36680</v>
      </c>
      <c r="K529" s="184" t="n">
        <v>14790</v>
      </c>
      <c r="L529" s="185" t="n">
        <v>19</v>
      </c>
      <c r="M529" s="184" t="n">
        <v>21890</v>
      </c>
      <c r="N529" s="184" t="n">
        <v>17730.9</v>
      </c>
      <c r="O529" s="186" t="s">
        <v>1419</v>
      </c>
      <c r="P529" s="187" t="n">
        <v>45913</v>
      </c>
    </row>
    <row r="530" customFormat="false" ht="51" hidden="false" customHeight="true" outlineLevel="0" collapsed="false">
      <c r="A530" s="181" t="s">
        <v>1420</v>
      </c>
      <c r="B530" s="182" t="n">
        <v>1612</v>
      </c>
      <c r="C530" s="183" t="n">
        <v>37382</v>
      </c>
      <c r="D530" s="181" t="s">
        <v>3327</v>
      </c>
      <c r="E530" s="181" t="s">
        <v>332</v>
      </c>
      <c r="F530" s="181" t="s">
        <v>333</v>
      </c>
      <c r="G530" s="181" t="s">
        <v>231</v>
      </c>
      <c r="H530" s="181" t="s">
        <v>279</v>
      </c>
      <c r="I530" s="181" t="s">
        <v>230</v>
      </c>
      <c r="J530" s="184" t="n">
        <v>38450</v>
      </c>
      <c r="K530" s="184" t="n">
        <v>14680</v>
      </c>
      <c r="L530" s="185" t="n">
        <v>11</v>
      </c>
      <c r="M530" s="184" t="n">
        <v>23770</v>
      </c>
      <c r="N530" s="184" t="n">
        <v>21155.3</v>
      </c>
      <c r="O530" s="186" t="s">
        <v>1421</v>
      </c>
      <c r="P530" s="187" t="n">
        <v>45913</v>
      </c>
    </row>
    <row r="531" customFormat="false" ht="51" hidden="false" customHeight="true" outlineLevel="0" collapsed="false">
      <c r="A531" s="181" t="s">
        <v>1422</v>
      </c>
      <c r="B531" s="182" t="n">
        <v>1613</v>
      </c>
      <c r="C531" s="183" t="n">
        <v>37384</v>
      </c>
      <c r="D531" s="181" t="s">
        <v>3327</v>
      </c>
      <c r="E531" s="181" t="s">
        <v>288</v>
      </c>
      <c r="F531" s="181" t="s">
        <v>289</v>
      </c>
      <c r="G531" s="181" t="s">
        <v>231</v>
      </c>
      <c r="H531" s="181" t="s">
        <v>279</v>
      </c>
      <c r="I531" s="181" t="s">
        <v>230</v>
      </c>
      <c r="J531" s="184" t="n">
        <v>38130</v>
      </c>
      <c r="K531" s="184" t="n">
        <v>14540</v>
      </c>
      <c r="L531" s="185" t="n">
        <v>11</v>
      </c>
      <c r="M531" s="184" t="n">
        <v>23590</v>
      </c>
      <c r="N531" s="184" t="n">
        <v>20995.1</v>
      </c>
      <c r="O531" s="186" t="s">
        <v>1423</v>
      </c>
      <c r="P531" s="187" t="n">
        <v>45913</v>
      </c>
    </row>
    <row r="532" customFormat="false" ht="51" hidden="false" customHeight="true" outlineLevel="0" collapsed="false">
      <c r="A532" s="181" t="s">
        <v>1438</v>
      </c>
      <c r="B532" s="182" t="n">
        <v>1622</v>
      </c>
      <c r="C532" s="183" t="n">
        <v>37458</v>
      </c>
      <c r="D532" s="181" t="s">
        <v>3327</v>
      </c>
      <c r="E532" s="181" t="s">
        <v>261</v>
      </c>
      <c r="F532" s="181" t="s">
        <v>262</v>
      </c>
      <c r="G532" s="181" t="s">
        <v>233</v>
      </c>
      <c r="H532" s="181" t="s">
        <v>279</v>
      </c>
      <c r="I532" s="181" t="s">
        <v>230</v>
      </c>
      <c r="J532" s="184" t="n">
        <v>38350</v>
      </c>
      <c r="K532" s="184" t="n">
        <v>15060</v>
      </c>
      <c r="L532" s="185" t="n">
        <v>16</v>
      </c>
      <c r="M532" s="184" t="n">
        <v>23290</v>
      </c>
      <c r="N532" s="184" t="n">
        <v>19563.6</v>
      </c>
      <c r="O532" s="186" t="s">
        <v>1439</v>
      </c>
      <c r="P532" s="187" t="n">
        <v>45914</v>
      </c>
    </row>
    <row r="533" customFormat="false" ht="51" hidden="false" customHeight="true" outlineLevel="0" collapsed="false">
      <c r="A533" s="181" t="s">
        <v>1424</v>
      </c>
      <c r="B533" s="182" t="n">
        <v>1614</v>
      </c>
      <c r="C533" s="183" t="n">
        <v>37421</v>
      </c>
      <c r="D533" s="181" t="s">
        <v>3327</v>
      </c>
      <c r="E533" s="181" t="s">
        <v>533</v>
      </c>
      <c r="F533" s="181" t="s">
        <v>534</v>
      </c>
      <c r="G533" s="181" t="s">
        <v>231</v>
      </c>
      <c r="H533" s="181" t="s">
        <v>279</v>
      </c>
      <c r="I533" s="181" t="s">
        <v>230</v>
      </c>
      <c r="J533" s="184" t="n">
        <v>39780</v>
      </c>
      <c r="K533" s="184" t="n">
        <v>14510</v>
      </c>
      <c r="L533" s="185" t="n">
        <v>21</v>
      </c>
      <c r="M533" s="184" t="n">
        <v>25270</v>
      </c>
      <c r="N533" s="184" t="n">
        <v>19963.3</v>
      </c>
      <c r="O533" s="186" t="s">
        <v>1425</v>
      </c>
      <c r="P533" s="187" t="n">
        <v>45913</v>
      </c>
    </row>
    <row r="534" customFormat="false" ht="51" hidden="false" customHeight="true" outlineLevel="0" collapsed="false">
      <c r="A534" s="181" t="s">
        <v>1426</v>
      </c>
      <c r="B534" s="182" t="n">
        <v>1615</v>
      </c>
      <c r="C534" s="183" t="n">
        <v>37399</v>
      </c>
      <c r="D534" s="181" t="s">
        <v>3327</v>
      </c>
      <c r="E534" s="181" t="s">
        <v>537</v>
      </c>
      <c r="F534" s="181" t="s">
        <v>538</v>
      </c>
      <c r="G534" s="181" t="s">
        <v>231</v>
      </c>
      <c r="H534" s="181" t="s">
        <v>279</v>
      </c>
      <c r="I534" s="181" t="s">
        <v>230</v>
      </c>
      <c r="J534" s="184" t="n">
        <v>35640</v>
      </c>
      <c r="K534" s="184" t="n">
        <v>13890</v>
      </c>
      <c r="L534" s="185" t="n">
        <v>21</v>
      </c>
      <c r="M534" s="184" t="n">
        <v>21750</v>
      </c>
      <c r="N534" s="184" t="n">
        <v>17182.5</v>
      </c>
      <c r="O534" s="186" t="s">
        <v>1427</v>
      </c>
      <c r="P534" s="187" t="n">
        <v>45913</v>
      </c>
    </row>
    <row r="535" customFormat="false" ht="51" hidden="false" customHeight="true" outlineLevel="0" collapsed="false">
      <c r="A535" s="181" t="s">
        <v>1430</v>
      </c>
      <c r="B535" s="182" t="n">
        <v>1618</v>
      </c>
      <c r="C535" s="183" t="n">
        <v>37423</v>
      </c>
      <c r="D535" s="181" t="s">
        <v>3327</v>
      </c>
      <c r="E535" s="181" t="s">
        <v>277</v>
      </c>
      <c r="F535" s="181" t="s">
        <v>278</v>
      </c>
      <c r="G535" s="181" t="s">
        <v>231</v>
      </c>
      <c r="H535" s="181" t="s">
        <v>279</v>
      </c>
      <c r="I535" s="181" t="s">
        <v>230</v>
      </c>
      <c r="J535" s="184" t="n">
        <v>42270</v>
      </c>
      <c r="K535" s="184" t="n">
        <v>15050</v>
      </c>
      <c r="L535" s="185" t="n">
        <v>14</v>
      </c>
      <c r="M535" s="184" t="n">
        <v>27220</v>
      </c>
      <c r="N535" s="184" t="n">
        <v>23409.2</v>
      </c>
      <c r="O535" s="186" t="s">
        <v>1431</v>
      </c>
      <c r="P535" s="187" t="n">
        <v>45913</v>
      </c>
    </row>
    <row r="536" customFormat="false" ht="51" hidden="false" customHeight="true" outlineLevel="0" collapsed="false">
      <c r="A536" s="181" t="s">
        <v>1432</v>
      </c>
      <c r="B536" s="182" t="n">
        <v>1619</v>
      </c>
      <c r="C536" s="183" t="n">
        <v>37428</v>
      </c>
      <c r="D536" s="181" t="s">
        <v>3327</v>
      </c>
      <c r="E536" s="181" t="s">
        <v>901</v>
      </c>
      <c r="F536" s="181" t="s">
        <v>902</v>
      </c>
      <c r="G536" s="181" t="s">
        <v>231</v>
      </c>
      <c r="H536" s="181" t="s">
        <v>279</v>
      </c>
      <c r="I536" s="181" t="s">
        <v>230</v>
      </c>
      <c r="J536" s="184" t="n">
        <v>38540</v>
      </c>
      <c r="K536" s="184" t="n">
        <v>14780</v>
      </c>
      <c r="L536" s="185" t="n">
        <v>14</v>
      </c>
      <c r="M536" s="184" t="n">
        <v>23760</v>
      </c>
      <c r="N536" s="184" t="n">
        <v>20433.6</v>
      </c>
      <c r="O536" s="186" t="s">
        <v>1433</v>
      </c>
      <c r="P536" s="187" t="n">
        <v>45914</v>
      </c>
    </row>
    <row r="537" customFormat="false" ht="51" hidden="false" customHeight="true" outlineLevel="0" collapsed="false">
      <c r="A537" s="181" t="s">
        <v>1434</v>
      </c>
      <c r="B537" s="182" t="n">
        <v>1620</v>
      </c>
      <c r="C537" s="183" t="n">
        <v>37426</v>
      </c>
      <c r="D537" s="181" t="s">
        <v>3327</v>
      </c>
      <c r="E537" s="181" t="s">
        <v>1289</v>
      </c>
      <c r="F537" s="181" t="s">
        <v>1290</v>
      </c>
      <c r="G537" s="181" t="s">
        <v>231</v>
      </c>
      <c r="H537" s="181" t="s">
        <v>279</v>
      </c>
      <c r="I537" s="181" t="s">
        <v>230</v>
      </c>
      <c r="J537" s="184" t="n">
        <v>40350</v>
      </c>
      <c r="K537" s="184" t="n">
        <v>15760</v>
      </c>
      <c r="L537" s="185" t="n">
        <v>17</v>
      </c>
      <c r="M537" s="184" t="n">
        <v>24590</v>
      </c>
      <c r="N537" s="184" t="n">
        <v>20409.7</v>
      </c>
      <c r="O537" s="186" t="s">
        <v>1435</v>
      </c>
      <c r="P537" s="187" t="n">
        <v>45914</v>
      </c>
    </row>
    <row r="538" customFormat="false" ht="51" hidden="false" customHeight="true" outlineLevel="0" collapsed="false">
      <c r="A538" s="181" t="s">
        <v>1436</v>
      </c>
      <c r="B538" s="182" t="n">
        <v>1621</v>
      </c>
      <c r="C538" s="183" t="n">
        <v>37430</v>
      </c>
      <c r="D538" s="181" t="s">
        <v>3327</v>
      </c>
      <c r="E538" s="181" t="s">
        <v>1309</v>
      </c>
      <c r="F538" s="181" t="s">
        <v>1310</v>
      </c>
      <c r="G538" s="181" t="s">
        <v>231</v>
      </c>
      <c r="H538" s="181" t="s">
        <v>279</v>
      </c>
      <c r="I538" s="181" t="s">
        <v>230</v>
      </c>
      <c r="J538" s="184" t="n">
        <v>39490</v>
      </c>
      <c r="K538" s="184" t="n">
        <v>15530</v>
      </c>
      <c r="L538" s="185" t="n">
        <v>14</v>
      </c>
      <c r="M538" s="184" t="n">
        <v>23960</v>
      </c>
      <c r="N538" s="184" t="n">
        <v>20605.6</v>
      </c>
      <c r="O538" s="186" t="s">
        <v>1437</v>
      </c>
      <c r="P538" s="187" t="n">
        <v>45914</v>
      </c>
    </row>
    <row r="539" customFormat="false" ht="51" hidden="false" customHeight="true" outlineLevel="0" collapsed="false">
      <c r="A539" s="181" t="s">
        <v>1440</v>
      </c>
      <c r="B539" s="182" t="n">
        <v>1625</v>
      </c>
      <c r="C539" s="183" t="n">
        <v>37434</v>
      </c>
      <c r="D539" s="181" t="s">
        <v>3327</v>
      </c>
      <c r="E539" s="181" t="s">
        <v>582</v>
      </c>
      <c r="F539" s="181" t="s">
        <v>583</v>
      </c>
      <c r="G539" s="181" t="s">
        <v>231</v>
      </c>
      <c r="H539" s="181" t="s">
        <v>279</v>
      </c>
      <c r="I539" s="181" t="s">
        <v>230</v>
      </c>
      <c r="J539" s="184" t="n">
        <v>38860</v>
      </c>
      <c r="K539" s="184" t="n">
        <v>14700</v>
      </c>
      <c r="L539" s="185" t="n">
        <v>11</v>
      </c>
      <c r="M539" s="184" t="n">
        <v>24160</v>
      </c>
      <c r="N539" s="184" t="n">
        <v>21502.4</v>
      </c>
      <c r="O539" s="186" t="s">
        <v>1441</v>
      </c>
      <c r="P539" s="187" t="n">
        <v>45914</v>
      </c>
    </row>
    <row r="540" customFormat="false" ht="51" hidden="false" customHeight="true" outlineLevel="0" collapsed="false">
      <c r="A540" s="181" t="s">
        <v>1442</v>
      </c>
      <c r="B540" s="182" t="n">
        <v>1626</v>
      </c>
      <c r="C540" s="183" t="n">
        <v>37456</v>
      </c>
      <c r="D540" s="181" t="s">
        <v>3327</v>
      </c>
      <c r="E540" s="181" t="s">
        <v>373</v>
      </c>
      <c r="F540" s="181" t="s">
        <v>374</v>
      </c>
      <c r="G540" s="181" t="s">
        <v>231</v>
      </c>
      <c r="H540" s="181" t="s">
        <v>279</v>
      </c>
      <c r="I540" s="181" t="s">
        <v>230</v>
      </c>
      <c r="J540" s="184" t="n">
        <v>39090</v>
      </c>
      <c r="K540" s="184" t="n">
        <v>14170</v>
      </c>
      <c r="L540" s="185" t="n">
        <v>17</v>
      </c>
      <c r="M540" s="184" t="n">
        <v>24920</v>
      </c>
      <c r="N540" s="184" t="n">
        <v>20683.6</v>
      </c>
      <c r="O540" s="186" t="s">
        <v>1443</v>
      </c>
      <c r="P540" s="187" t="n">
        <v>45914</v>
      </c>
    </row>
    <row r="541" customFormat="false" ht="51" hidden="false" customHeight="true" outlineLevel="0" collapsed="false">
      <c r="A541" s="181" t="s">
        <v>1444</v>
      </c>
      <c r="B541" s="182" t="n">
        <v>1627</v>
      </c>
      <c r="C541" s="183" t="n">
        <v>37436</v>
      </c>
      <c r="D541" s="181" t="s">
        <v>3327</v>
      </c>
      <c r="E541" s="181" t="s">
        <v>399</v>
      </c>
      <c r="F541" s="181" t="s">
        <v>400</v>
      </c>
      <c r="G541" s="181" t="s">
        <v>231</v>
      </c>
      <c r="H541" s="181" t="s">
        <v>279</v>
      </c>
      <c r="I541" s="181" t="s">
        <v>230</v>
      </c>
      <c r="J541" s="184" t="n">
        <v>44800</v>
      </c>
      <c r="K541" s="184" t="n">
        <v>19280</v>
      </c>
      <c r="L541" s="185" t="n">
        <v>15</v>
      </c>
      <c r="M541" s="184" t="n">
        <v>25520</v>
      </c>
      <c r="N541" s="184" t="n">
        <v>21692</v>
      </c>
      <c r="O541" s="186" t="s">
        <v>1445</v>
      </c>
      <c r="P541" s="187" t="n">
        <v>45914</v>
      </c>
    </row>
    <row r="542" customFormat="false" ht="51" hidden="false" customHeight="true" outlineLevel="0" collapsed="false">
      <c r="A542" s="181" t="s">
        <v>1446</v>
      </c>
      <c r="B542" s="182" t="n">
        <v>1629</v>
      </c>
      <c r="C542" s="183" t="n">
        <v>37460</v>
      </c>
      <c r="D542" s="181" t="s">
        <v>3327</v>
      </c>
      <c r="E542" s="181" t="s">
        <v>1019</v>
      </c>
      <c r="F542" s="181" t="s">
        <v>1020</v>
      </c>
      <c r="G542" s="181" t="s">
        <v>231</v>
      </c>
      <c r="H542" s="181" t="s">
        <v>279</v>
      </c>
      <c r="I542" s="181" t="s">
        <v>230</v>
      </c>
      <c r="J542" s="184" t="n">
        <v>42170</v>
      </c>
      <c r="K542" s="184" t="n">
        <v>17020</v>
      </c>
      <c r="L542" s="185" t="n">
        <v>11</v>
      </c>
      <c r="M542" s="184" t="n">
        <v>25150</v>
      </c>
      <c r="N542" s="184" t="n">
        <v>22383.5</v>
      </c>
      <c r="O542" s="186" t="s">
        <v>1447</v>
      </c>
      <c r="P542" s="187" t="n">
        <v>45914</v>
      </c>
    </row>
    <row r="543" customFormat="false" ht="51" hidden="false" customHeight="true" outlineLevel="0" collapsed="false">
      <c r="A543" s="181" t="s">
        <v>1448</v>
      </c>
      <c r="B543" s="182" t="n">
        <v>1630</v>
      </c>
      <c r="C543" s="183" t="n">
        <v>37462</v>
      </c>
      <c r="D543" s="181" t="s">
        <v>3327</v>
      </c>
      <c r="E543" s="181" t="s">
        <v>1023</v>
      </c>
      <c r="F543" s="181" t="s">
        <v>1024</v>
      </c>
      <c r="G543" s="181" t="s">
        <v>231</v>
      </c>
      <c r="H543" s="181" t="s">
        <v>279</v>
      </c>
      <c r="I543" s="181" t="s">
        <v>230</v>
      </c>
      <c r="J543" s="184" t="n">
        <v>36030</v>
      </c>
      <c r="K543" s="184" t="n">
        <v>14810</v>
      </c>
      <c r="L543" s="185" t="n">
        <v>14</v>
      </c>
      <c r="M543" s="184" t="n">
        <v>21220</v>
      </c>
      <c r="N543" s="184" t="n">
        <v>18249.2</v>
      </c>
      <c r="O543" s="186" t="s">
        <v>1449</v>
      </c>
      <c r="P543" s="187" t="n">
        <v>45914</v>
      </c>
    </row>
    <row r="544" customFormat="false" ht="51" hidden="false" customHeight="true" outlineLevel="0" collapsed="false">
      <c r="A544" s="181" t="s">
        <v>1450</v>
      </c>
      <c r="B544" s="182" t="n">
        <v>1631</v>
      </c>
      <c r="C544" s="183" t="n">
        <v>37464</v>
      </c>
      <c r="D544" s="181" t="s">
        <v>3327</v>
      </c>
      <c r="E544" s="181" t="s">
        <v>1027</v>
      </c>
      <c r="F544" s="181" t="s">
        <v>1028</v>
      </c>
      <c r="G544" s="181" t="s">
        <v>231</v>
      </c>
      <c r="H544" s="181" t="s">
        <v>279</v>
      </c>
      <c r="I544" s="181" t="s">
        <v>230</v>
      </c>
      <c r="J544" s="184" t="n">
        <v>38530</v>
      </c>
      <c r="K544" s="184" t="n">
        <v>14920</v>
      </c>
      <c r="L544" s="185" t="n">
        <v>20</v>
      </c>
      <c r="M544" s="184" t="n">
        <v>23610</v>
      </c>
      <c r="N544" s="184" t="n">
        <v>18888</v>
      </c>
      <c r="O544" s="186" t="s">
        <v>1451</v>
      </c>
      <c r="P544" s="187" t="n">
        <v>45914</v>
      </c>
    </row>
    <row r="545" customFormat="false" ht="51" hidden="false" customHeight="true" outlineLevel="0" collapsed="false">
      <c r="A545" s="181" t="s">
        <v>1454</v>
      </c>
      <c r="B545" s="182" t="n">
        <v>1633</v>
      </c>
      <c r="C545" s="183" t="n">
        <v>37480</v>
      </c>
      <c r="D545" s="181" t="s">
        <v>3327</v>
      </c>
      <c r="E545" s="181" t="s">
        <v>409</v>
      </c>
      <c r="F545" s="181" t="s">
        <v>410</v>
      </c>
      <c r="G545" s="181" t="s">
        <v>231</v>
      </c>
      <c r="H545" s="181" t="s">
        <v>279</v>
      </c>
      <c r="I545" s="181" t="s">
        <v>230</v>
      </c>
      <c r="J545" s="184" t="n">
        <v>50980</v>
      </c>
      <c r="K545" s="184" t="n">
        <v>24120</v>
      </c>
      <c r="L545" s="185" t="n">
        <v>12</v>
      </c>
      <c r="M545" s="184" t="n">
        <v>26860</v>
      </c>
      <c r="N545" s="184" t="n">
        <v>23636.8</v>
      </c>
      <c r="O545" s="186" t="s">
        <v>1455</v>
      </c>
      <c r="P545" s="187" t="n">
        <v>45914</v>
      </c>
    </row>
    <row r="546" customFormat="false" ht="51" hidden="false" customHeight="true" outlineLevel="0" collapsed="false">
      <c r="A546" s="181" t="s">
        <v>1452</v>
      </c>
      <c r="B546" s="182" t="n">
        <v>1632</v>
      </c>
      <c r="C546" s="183" t="n">
        <v>37486</v>
      </c>
      <c r="D546" s="181" t="s">
        <v>3327</v>
      </c>
      <c r="E546" s="181" t="s">
        <v>413</v>
      </c>
      <c r="F546" s="181" t="s">
        <v>414</v>
      </c>
      <c r="G546" s="181" t="s">
        <v>231</v>
      </c>
      <c r="H546" s="181" t="s">
        <v>279</v>
      </c>
      <c r="I546" s="181" t="s">
        <v>230</v>
      </c>
      <c r="J546" s="184" t="n">
        <v>43180</v>
      </c>
      <c r="K546" s="184" t="n">
        <v>15610</v>
      </c>
      <c r="L546" s="185" t="n">
        <v>12</v>
      </c>
      <c r="M546" s="184" t="n">
        <v>27570</v>
      </c>
      <c r="N546" s="184" t="n">
        <v>24261.6</v>
      </c>
      <c r="O546" s="186" t="s">
        <v>1453</v>
      </c>
      <c r="P546" s="187" t="n">
        <v>45914</v>
      </c>
    </row>
    <row r="547" customFormat="false" ht="51" hidden="false" customHeight="true" outlineLevel="0" collapsed="false">
      <c r="A547" s="181" t="s">
        <v>1456</v>
      </c>
      <c r="B547" s="182" t="n">
        <v>1637</v>
      </c>
      <c r="C547" s="183" t="n">
        <v>37494</v>
      </c>
      <c r="D547" s="181" t="s">
        <v>3327</v>
      </c>
      <c r="E547" s="181" t="s">
        <v>296</v>
      </c>
      <c r="F547" s="181" t="s">
        <v>297</v>
      </c>
      <c r="G547" s="181" t="s">
        <v>231</v>
      </c>
      <c r="H547" s="181" t="s">
        <v>279</v>
      </c>
      <c r="I547" s="181" t="s">
        <v>230</v>
      </c>
      <c r="J547" s="184" t="n">
        <v>39910</v>
      </c>
      <c r="K547" s="184" t="n">
        <v>15310</v>
      </c>
      <c r="L547" s="185" t="n">
        <v>12</v>
      </c>
      <c r="M547" s="184" t="n">
        <v>24600</v>
      </c>
      <c r="N547" s="184" t="n">
        <v>21648</v>
      </c>
      <c r="O547" s="186" t="s">
        <v>1457</v>
      </c>
      <c r="P547" s="187" t="n">
        <v>45914</v>
      </c>
    </row>
    <row r="548" customFormat="false" ht="51" hidden="false" customHeight="true" outlineLevel="0" collapsed="false">
      <c r="A548" s="181" t="s">
        <v>1458</v>
      </c>
      <c r="B548" s="182" t="n">
        <v>1639</v>
      </c>
      <c r="C548" s="183" t="n">
        <v>37492</v>
      </c>
      <c r="D548" s="181" t="s">
        <v>3327</v>
      </c>
      <c r="E548" s="181" t="s">
        <v>266</v>
      </c>
      <c r="F548" s="181" t="s">
        <v>267</v>
      </c>
      <c r="G548" s="181" t="s">
        <v>231</v>
      </c>
      <c r="H548" s="181" t="s">
        <v>279</v>
      </c>
      <c r="I548" s="181" t="s">
        <v>230</v>
      </c>
      <c r="J548" s="184" t="n">
        <v>39710</v>
      </c>
      <c r="K548" s="184" t="n">
        <v>14840</v>
      </c>
      <c r="L548" s="185" t="n">
        <v>13</v>
      </c>
      <c r="M548" s="184" t="n">
        <v>24870</v>
      </c>
      <c r="N548" s="184" t="n">
        <v>21636.9</v>
      </c>
      <c r="O548" s="186" t="s">
        <v>1459</v>
      </c>
      <c r="P548" s="187" t="n">
        <v>45914</v>
      </c>
    </row>
    <row r="549" customFormat="false" ht="51" hidden="false" customHeight="true" outlineLevel="0" collapsed="false">
      <c r="A549" s="181" t="s">
        <v>1460</v>
      </c>
      <c r="B549" s="182" t="n">
        <v>1640</v>
      </c>
      <c r="C549" s="183" t="n">
        <v>37499</v>
      </c>
      <c r="D549" s="181" t="s">
        <v>3327</v>
      </c>
      <c r="E549" s="181" t="s">
        <v>350</v>
      </c>
      <c r="F549" s="181" t="s">
        <v>351</v>
      </c>
      <c r="G549" s="181" t="s">
        <v>231</v>
      </c>
      <c r="H549" s="181" t="s">
        <v>279</v>
      </c>
      <c r="I549" s="181" t="s">
        <v>230</v>
      </c>
      <c r="J549" s="184" t="n">
        <v>42770</v>
      </c>
      <c r="K549" s="184" t="n">
        <v>14850</v>
      </c>
      <c r="L549" s="185" t="n">
        <v>7</v>
      </c>
      <c r="M549" s="184" t="n">
        <v>27920</v>
      </c>
      <c r="N549" s="184" t="n">
        <v>25965.6</v>
      </c>
      <c r="O549" s="186" t="s">
        <v>1461</v>
      </c>
      <c r="P549" s="187" t="n">
        <v>45914</v>
      </c>
    </row>
    <row r="550" customFormat="false" ht="51" hidden="false" customHeight="true" outlineLevel="0" collapsed="false">
      <c r="A550" s="181" t="s">
        <v>1462</v>
      </c>
      <c r="B550" s="182" t="n">
        <v>1641</v>
      </c>
      <c r="C550" s="183" t="n">
        <v>37501</v>
      </c>
      <c r="D550" s="181" t="s">
        <v>3327</v>
      </c>
      <c r="E550" s="181" t="s">
        <v>336</v>
      </c>
      <c r="F550" s="181" t="s">
        <v>337</v>
      </c>
      <c r="G550" s="181" t="s">
        <v>231</v>
      </c>
      <c r="H550" s="181" t="s">
        <v>279</v>
      </c>
      <c r="I550" s="181" t="s">
        <v>230</v>
      </c>
      <c r="J550" s="184" t="n">
        <v>39480</v>
      </c>
      <c r="K550" s="184" t="n">
        <v>14490</v>
      </c>
      <c r="L550" s="185" t="n">
        <v>8</v>
      </c>
      <c r="M550" s="184" t="n">
        <v>24990</v>
      </c>
      <c r="N550" s="184" t="n">
        <v>22990.8</v>
      </c>
      <c r="O550" s="186" t="s">
        <v>1463</v>
      </c>
      <c r="P550" s="187" t="n">
        <v>45914</v>
      </c>
    </row>
    <row r="551" customFormat="false" ht="51" hidden="false" customHeight="true" outlineLevel="0" collapsed="false">
      <c r="A551" s="181" t="s">
        <v>1464</v>
      </c>
      <c r="B551" s="182" t="n">
        <v>1642</v>
      </c>
      <c r="C551" s="183" t="n">
        <v>37503</v>
      </c>
      <c r="D551" s="181" t="s">
        <v>3327</v>
      </c>
      <c r="E551" s="181" t="s">
        <v>340</v>
      </c>
      <c r="F551" s="181" t="s">
        <v>341</v>
      </c>
      <c r="G551" s="181" t="s">
        <v>231</v>
      </c>
      <c r="H551" s="181" t="s">
        <v>279</v>
      </c>
      <c r="I551" s="181" t="s">
        <v>230</v>
      </c>
      <c r="J551" s="184" t="n">
        <v>39400</v>
      </c>
      <c r="K551" s="184" t="n">
        <v>15090</v>
      </c>
      <c r="L551" s="185" t="n">
        <v>7</v>
      </c>
      <c r="M551" s="184" t="n">
        <v>24310</v>
      </c>
      <c r="N551" s="184" t="n">
        <v>22608.3</v>
      </c>
      <c r="O551" s="186" t="s">
        <v>1465</v>
      </c>
      <c r="P551" s="187" t="n">
        <v>45914</v>
      </c>
    </row>
    <row r="552" customFormat="false" ht="51" hidden="false" customHeight="true" outlineLevel="0" collapsed="false">
      <c r="A552" s="181" t="s">
        <v>1466</v>
      </c>
      <c r="B552" s="182" t="n">
        <v>1644</v>
      </c>
      <c r="C552" s="183" t="n">
        <v>37521</v>
      </c>
      <c r="D552" s="181" t="s">
        <v>3327</v>
      </c>
      <c r="E552" s="181" t="s">
        <v>354</v>
      </c>
      <c r="F552" s="181" t="s">
        <v>355</v>
      </c>
      <c r="G552" s="181" t="s">
        <v>231</v>
      </c>
      <c r="H552" s="181" t="s">
        <v>279</v>
      </c>
      <c r="I552" s="181" t="s">
        <v>230</v>
      </c>
      <c r="J552" s="184" t="n">
        <v>37600</v>
      </c>
      <c r="K552" s="184" t="n">
        <v>14670</v>
      </c>
      <c r="L552" s="185" t="n">
        <v>11</v>
      </c>
      <c r="M552" s="184" t="n">
        <v>22930</v>
      </c>
      <c r="N552" s="184" t="n">
        <v>20407.7</v>
      </c>
      <c r="O552" s="186" t="s">
        <v>1467</v>
      </c>
      <c r="P552" s="187" t="n">
        <v>45914</v>
      </c>
    </row>
    <row r="553" customFormat="false" ht="51" hidden="false" customHeight="true" outlineLevel="0" collapsed="false">
      <c r="A553" s="181" t="s">
        <v>1468</v>
      </c>
      <c r="B553" s="182" t="n">
        <v>1646</v>
      </c>
      <c r="C553" s="183" t="n">
        <v>37517</v>
      </c>
      <c r="D553" s="181" t="s">
        <v>3327</v>
      </c>
      <c r="E553" s="181" t="s">
        <v>304</v>
      </c>
      <c r="F553" s="181" t="s">
        <v>305</v>
      </c>
      <c r="G553" s="181" t="s">
        <v>231</v>
      </c>
      <c r="H553" s="181" t="s">
        <v>279</v>
      </c>
      <c r="I553" s="181" t="s">
        <v>230</v>
      </c>
      <c r="J553" s="184" t="n">
        <v>40200</v>
      </c>
      <c r="K553" s="184" t="n">
        <v>14990</v>
      </c>
      <c r="L553" s="185" t="n">
        <v>12</v>
      </c>
      <c r="M553" s="184" t="n">
        <v>25210</v>
      </c>
      <c r="N553" s="184" t="n">
        <v>22184.8</v>
      </c>
      <c r="O553" s="186" t="s">
        <v>1469</v>
      </c>
      <c r="P553" s="187" t="n">
        <v>45914</v>
      </c>
    </row>
    <row r="554" customFormat="false" ht="51" hidden="false" customHeight="true" outlineLevel="0" collapsed="false">
      <c r="A554" s="181" t="s">
        <v>1470</v>
      </c>
      <c r="B554" s="182" t="n">
        <v>1647</v>
      </c>
      <c r="C554" s="183" t="n">
        <v>37515</v>
      </c>
      <c r="D554" s="181" t="s">
        <v>3327</v>
      </c>
      <c r="E554" s="181" t="s">
        <v>308</v>
      </c>
      <c r="F554" s="181" t="s">
        <v>309</v>
      </c>
      <c r="G554" s="181" t="s">
        <v>231</v>
      </c>
      <c r="H554" s="181" t="s">
        <v>279</v>
      </c>
      <c r="I554" s="181" t="s">
        <v>230</v>
      </c>
      <c r="J554" s="184" t="n">
        <v>57060</v>
      </c>
      <c r="K554" s="184" t="n">
        <v>24040</v>
      </c>
      <c r="L554" s="185" t="n">
        <v>11</v>
      </c>
      <c r="M554" s="184" t="n">
        <v>33020</v>
      </c>
      <c r="N554" s="184" t="n">
        <v>29387.8</v>
      </c>
      <c r="O554" s="186" t="s">
        <v>1471</v>
      </c>
      <c r="P554" s="187" t="n">
        <v>45914</v>
      </c>
    </row>
    <row r="555" customFormat="false" ht="51" hidden="false" customHeight="true" outlineLevel="0" collapsed="false">
      <c r="A555" s="181" t="s">
        <v>1472</v>
      </c>
      <c r="B555" s="182" t="n">
        <v>1649</v>
      </c>
      <c r="C555" s="183" t="n">
        <v>37523</v>
      </c>
      <c r="D555" s="181" t="s">
        <v>3327</v>
      </c>
      <c r="E555" s="181" t="s">
        <v>541</v>
      </c>
      <c r="F555" s="181" t="s">
        <v>542</v>
      </c>
      <c r="G555" s="181" t="s">
        <v>231</v>
      </c>
      <c r="H555" s="181" t="s">
        <v>279</v>
      </c>
      <c r="I555" s="181" t="s">
        <v>230</v>
      </c>
      <c r="J555" s="184" t="n">
        <v>38800</v>
      </c>
      <c r="K555" s="184" t="n">
        <v>14880</v>
      </c>
      <c r="L555" s="185" t="n">
        <v>19</v>
      </c>
      <c r="M555" s="184" t="n">
        <v>23920</v>
      </c>
      <c r="N555" s="184" t="n">
        <v>19375.2</v>
      </c>
      <c r="O555" s="186" t="s">
        <v>1473</v>
      </c>
      <c r="P555" s="187" t="n">
        <v>45914</v>
      </c>
    </row>
    <row r="556" customFormat="false" ht="51" hidden="false" customHeight="true" outlineLevel="0" collapsed="false">
      <c r="A556" s="181" t="s">
        <v>1474</v>
      </c>
      <c r="B556" s="182" t="n">
        <v>1651</v>
      </c>
      <c r="C556" s="183" t="n">
        <v>37527</v>
      </c>
      <c r="D556" s="181" t="s">
        <v>3327</v>
      </c>
      <c r="E556" s="181" t="s">
        <v>439</v>
      </c>
      <c r="F556" s="181" t="s">
        <v>440</v>
      </c>
      <c r="G556" s="181" t="s">
        <v>231</v>
      </c>
      <c r="H556" s="181" t="s">
        <v>279</v>
      </c>
      <c r="I556" s="181" t="s">
        <v>230</v>
      </c>
      <c r="J556" s="184" t="n">
        <v>40980</v>
      </c>
      <c r="K556" s="184" t="n">
        <v>16250</v>
      </c>
      <c r="L556" s="185" t="n">
        <v>10</v>
      </c>
      <c r="M556" s="184" t="n">
        <v>24730</v>
      </c>
      <c r="N556" s="184" t="n">
        <v>22257</v>
      </c>
      <c r="O556" s="186" t="s">
        <v>1475</v>
      </c>
      <c r="P556" s="187" t="n">
        <v>45914</v>
      </c>
    </row>
    <row r="557" customFormat="false" ht="51" hidden="false" customHeight="true" outlineLevel="0" collapsed="false">
      <c r="A557" s="181" t="s">
        <v>1476</v>
      </c>
      <c r="B557" s="182" t="n">
        <v>1652</v>
      </c>
      <c r="C557" s="183" t="n">
        <v>37529</v>
      </c>
      <c r="D557" s="181" t="s">
        <v>3327</v>
      </c>
      <c r="E557" s="181" t="s">
        <v>545</v>
      </c>
      <c r="F557" s="181" t="s">
        <v>546</v>
      </c>
      <c r="G557" s="181" t="s">
        <v>231</v>
      </c>
      <c r="H557" s="181" t="s">
        <v>279</v>
      </c>
      <c r="I557" s="181" t="s">
        <v>230</v>
      </c>
      <c r="J557" s="184" t="n">
        <v>41580</v>
      </c>
      <c r="K557" s="184" t="n">
        <v>16050</v>
      </c>
      <c r="L557" s="185" t="n">
        <v>20</v>
      </c>
      <c r="M557" s="184" t="n">
        <v>25530</v>
      </c>
      <c r="N557" s="184" t="n">
        <v>20424</v>
      </c>
      <c r="O557" s="186" t="s">
        <v>1477</v>
      </c>
      <c r="P557" s="187" t="n">
        <v>45915</v>
      </c>
    </row>
    <row r="558" customFormat="false" ht="51" hidden="false" customHeight="true" outlineLevel="0" collapsed="false">
      <c r="A558" s="181" t="s">
        <v>1478</v>
      </c>
      <c r="B558" s="182" t="n">
        <v>1653</v>
      </c>
      <c r="C558" s="183" t="n">
        <v>37533</v>
      </c>
      <c r="D558" s="181" t="s">
        <v>3327</v>
      </c>
      <c r="E558" s="181" t="s">
        <v>377</v>
      </c>
      <c r="F558" s="181" t="s">
        <v>378</v>
      </c>
      <c r="G558" s="181" t="s">
        <v>231</v>
      </c>
      <c r="H558" s="181" t="s">
        <v>279</v>
      </c>
      <c r="I558" s="181" t="s">
        <v>230</v>
      </c>
      <c r="J558" s="184" t="n">
        <v>42660</v>
      </c>
      <c r="K558" s="184" t="n">
        <v>15580</v>
      </c>
      <c r="L558" s="185" t="n">
        <v>8</v>
      </c>
      <c r="M558" s="184" t="n">
        <v>27080</v>
      </c>
      <c r="N558" s="184" t="n">
        <v>24913.6</v>
      </c>
      <c r="O558" s="186" t="s">
        <v>1479</v>
      </c>
      <c r="P558" s="187" t="n">
        <v>45915</v>
      </c>
    </row>
    <row r="559" customFormat="false" ht="51" hidden="false" customHeight="true" outlineLevel="0" collapsed="false">
      <c r="A559" s="181" t="s">
        <v>1480</v>
      </c>
      <c r="B559" s="182" t="n">
        <v>1654</v>
      </c>
      <c r="C559" s="183" t="n">
        <v>37535</v>
      </c>
      <c r="D559" s="181" t="s">
        <v>3327</v>
      </c>
      <c r="E559" s="181" t="s">
        <v>387</v>
      </c>
      <c r="F559" s="181" t="s">
        <v>388</v>
      </c>
      <c r="G559" s="181" t="s">
        <v>233</v>
      </c>
      <c r="H559" s="181" t="s">
        <v>279</v>
      </c>
      <c r="I559" s="181" t="s">
        <v>230</v>
      </c>
      <c r="J559" s="184" t="n">
        <v>39050</v>
      </c>
      <c r="K559" s="184" t="n">
        <v>14870</v>
      </c>
      <c r="L559" s="185" t="n">
        <v>16</v>
      </c>
      <c r="M559" s="184" t="n">
        <v>24180</v>
      </c>
      <c r="N559" s="184" t="n">
        <v>20311.2</v>
      </c>
      <c r="O559" s="186" t="s">
        <v>1481</v>
      </c>
      <c r="P559" s="187" t="n">
        <v>45915</v>
      </c>
    </row>
    <row r="560" customFormat="false" ht="51" hidden="false" customHeight="true" outlineLevel="0" collapsed="false">
      <c r="A560" s="181" t="s">
        <v>1504</v>
      </c>
      <c r="B560" s="182" t="n">
        <v>1675</v>
      </c>
      <c r="C560" s="183" t="n">
        <v>37559</v>
      </c>
      <c r="D560" s="181" t="s">
        <v>3327</v>
      </c>
      <c r="E560" s="181" t="s">
        <v>292</v>
      </c>
      <c r="F560" s="181" t="s">
        <v>293</v>
      </c>
      <c r="G560" s="181" t="s">
        <v>234</v>
      </c>
      <c r="H560" s="181" t="s">
        <v>279</v>
      </c>
      <c r="I560" s="181" t="s">
        <v>230</v>
      </c>
      <c r="J560" s="184" t="n">
        <v>36360</v>
      </c>
      <c r="K560" s="184" t="n">
        <v>13850</v>
      </c>
      <c r="L560" s="185" t="n">
        <v>12</v>
      </c>
      <c r="M560" s="184" t="n">
        <v>22510</v>
      </c>
      <c r="N560" s="184" t="n">
        <v>19808.8</v>
      </c>
      <c r="O560" s="186" t="s">
        <v>1505</v>
      </c>
      <c r="P560" s="187" t="n">
        <v>45915</v>
      </c>
    </row>
    <row r="561" customFormat="false" ht="51" hidden="false" customHeight="true" outlineLevel="0" collapsed="false">
      <c r="A561" s="181" t="s">
        <v>1506</v>
      </c>
      <c r="B561" s="182" t="n">
        <v>1676</v>
      </c>
      <c r="C561" s="183" t="n">
        <v>37561</v>
      </c>
      <c r="D561" s="181" t="s">
        <v>3327</v>
      </c>
      <c r="E561" s="181" t="s">
        <v>261</v>
      </c>
      <c r="F561" s="181" t="s">
        <v>262</v>
      </c>
      <c r="G561" s="181" t="s">
        <v>235</v>
      </c>
      <c r="H561" s="181" t="s">
        <v>279</v>
      </c>
      <c r="I561" s="181" t="s">
        <v>230</v>
      </c>
      <c r="J561" s="184" t="n">
        <v>38050</v>
      </c>
      <c r="K561" s="184" t="n">
        <v>15000</v>
      </c>
      <c r="L561" s="185" t="n">
        <v>8</v>
      </c>
      <c r="M561" s="184" t="n">
        <v>23050</v>
      </c>
      <c r="N561" s="184" t="n">
        <v>21206</v>
      </c>
      <c r="O561" s="186" t="s">
        <v>1507</v>
      </c>
      <c r="P561" s="187" t="n">
        <v>45915</v>
      </c>
    </row>
    <row r="562" customFormat="false" ht="51" hidden="false" customHeight="true" outlineLevel="0" collapsed="false">
      <c r="A562" s="181" t="s">
        <v>1482</v>
      </c>
      <c r="B562" s="182" t="n">
        <v>1655</v>
      </c>
      <c r="C562" s="183" t="n">
        <v>37537</v>
      </c>
      <c r="D562" s="181" t="s">
        <v>3327</v>
      </c>
      <c r="E562" s="181" t="s">
        <v>431</v>
      </c>
      <c r="F562" s="181" t="s">
        <v>432</v>
      </c>
      <c r="G562" s="181" t="s">
        <v>233</v>
      </c>
      <c r="H562" s="181" t="s">
        <v>279</v>
      </c>
      <c r="I562" s="181" t="s">
        <v>230</v>
      </c>
      <c r="J562" s="184" t="n">
        <v>39470</v>
      </c>
      <c r="K562" s="184" t="n">
        <v>16330</v>
      </c>
      <c r="L562" s="185" t="n">
        <v>14</v>
      </c>
      <c r="M562" s="184" t="n">
        <v>23140</v>
      </c>
      <c r="N562" s="184" t="n">
        <v>19900.4</v>
      </c>
      <c r="O562" s="186" t="s">
        <v>1483</v>
      </c>
      <c r="P562" s="187" t="n">
        <v>45915</v>
      </c>
    </row>
    <row r="563" customFormat="false" ht="51" hidden="false" customHeight="true" outlineLevel="0" collapsed="false">
      <c r="A563" s="181" t="s">
        <v>1484</v>
      </c>
      <c r="B563" s="182" t="n">
        <v>1656</v>
      </c>
      <c r="C563" s="183" t="n">
        <v>37539</v>
      </c>
      <c r="D563" s="181" t="s">
        <v>3327</v>
      </c>
      <c r="E563" s="181" t="s">
        <v>435</v>
      </c>
      <c r="F563" s="181" t="s">
        <v>436</v>
      </c>
      <c r="G563" s="181" t="s">
        <v>233</v>
      </c>
      <c r="H563" s="181" t="s">
        <v>279</v>
      </c>
      <c r="I563" s="181" t="s">
        <v>230</v>
      </c>
      <c r="J563" s="184" t="n">
        <v>39250</v>
      </c>
      <c r="K563" s="184" t="n">
        <v>16320</v>
      </c>
      <c r="L563" s="185" t="n">
        <v>23</v>
      </c>
      <c r="M563" s="184" t="n">
        <v>22930</v>
      </c>
      <c r="N563" s="184" t="n">
        <v>17656.1</v>
      </c>
      <c r="O563" s="186" t="s">
        <v>1485</v>
      </c>
      <c r="P563" s="187" t="n">
        <v>45915</v>
      </c>
    </row>
    <row r="564" customFormat="false" ht="51" hidden="false" customHeight="true" outlineLevel="0" collapsed="false">
      <c r="A564" s="181" t="s">
        <v>1486</v>
      </c>
      <c r="B564" s="182" t="n">
        <v>1657</v>
      </c>
      <c r="C564" s="183" t="n">
        <v>37541</v>
      </c>
      <c r="D564" s="181" t="s">
        <v>3327</v>
      </c>
      <c r="E564" s="181" t="s">
        <v>549</v>
      </c>
      <c r="F564" s="181" t="s">
        <v>550</v>
      </c>
      <c r="G564" s="181" t="s">
        <v>233</v>
      </c>
      <c r="H564" s="181" t="s">
        <v>279</v>
      </c>
      <c r="I564" s="181" t="s">
        <v>230</v>
      </c>
      <c r="J564" s="184" t="n">
        <v>42870</v>
      </c>
      <c r="K564" s="184" t="n">
        <v>15830</v>
      </c>
      <c r="L564" s="185" t="n">
        <v>17</v>
      </c>
      <c r="M564" s="184" t="n">
        <v>27040</v>
      </c>
      <c r="N564" s="184" t="n">
        <v>22443.2</v>
      </c>
      <c r="O564" s="186" t="s">
        <v>1487</v>
      </c>
      <c r="P564" s="187" t="n">
        <v>45915</v>
      </c>
    </row>
    <row r="565" customFormat="false" ht="51" hidden="false" customHeight="true" outlineLevel="0" collapsed="false">
      <c r="A565" s="181" t="s">
        <v>1488</v>
      </c>
      <c r="B565" s="182" t="n">
        <v>1658</v>
      </c>
      <c r="C565" s="183" t="n">
        <v>37543</v>
      </c>
      <c r="D565" s="181" t="s">
        <v>3327</v>
      </c>
      <c r="E565" s="181" t="s">
        <v>576</v>
      </c>
      <c r="F565" s="181" t="s">
        <v>577</v>
      </c>
      <c r="G565" s="181" t="s">
        <v>233</v>
      </c>
      <c r="H565" s="181" t="s">
        <v>279</v>
      </c>
      <c r="I565" s="181" t="s">
        <v>230</v>
      </c>
      <c r="J565" s="184" t="n">
        <v>39170</v>
      </c>
      <c r="K565" s="184" t="n">
        <v>14420</v>
      </c>
      <c r="L565" s="185" t="n">
        <v>5</v>
      </c>
      <c r="M565" s="184" t="n">
        <v>24750</v>
      </c>
      <c r="N565" s="184" t="n">
        <v>23512.5</v>
      </c>
      <c r="O565" s="186" t="s">
        <v>1489</v>
      </c>
      <c r="P565" s="187" t="n">
        <v>45915</v>
      </c>
    </row>
    <row r="566" customFormat="false" ht="51" hidden="false" customHeight="true" outlineLevel="0" collapsed="false">
      <c r="A566" s="181" t="s">
        <v>1490</v>
      </c>
      <c r="B566" s="182" t="n">
        <v>1660</v>
      </c>
      <c r="C566" s="183" t="n">
        <v>37545</v>
      </c>
      <c r="D566" s="181" t="s">
        <v>3327</v>
      </c>
      <c r="E566" s="181" t="s">
        <v>300</v>
      </c>
      <c r="F566" s="181" t="s">
        <v>301</v>
      </c>
      <c r="G566" s="181" t="s">
        <v>233</v>
      </c>
      <c r="H566" s="181" t="s">
        <v>279</v>
      </c>
      <c r="I566" s="181" t="s">
        <v>230</v>
      </c>
      <c r="J566" s="184" t="n">
        <v>53280</v>
      </c>
      <c r="K566" s="184" t="n">
        <v>20830</v>
      </c>
      <c r="L566" s="185" t="n">
        <v>9</v>
      </c>
      <c r="M566" s="184" t="n">
        <v>32450</v>
      </c>
      <c r="N566" s="184" t="n">
        <v>29529.5</v>
      </c>
      <c r="O566" s="186" t="s">
        <v>1491</v>
      </c>
      <c r="P566" s="187" t="n">
        <v>45915</v>
      </c>
    </row>
    <row r="567" customFormat="false" ht="51" hidden="false" customHeight="true" outlineLevel="0" collapsed="false">
      <c r="A567" s="181" t="s">
        <v>1492</v>
      </c>
      <c r="B567" s="182" t="n">
        <v>1662</v>
      </c>
      <c r="C567" s="183" t="n">
        <v>37547</v>
      </c>
      <c r="D567" s="181" t="s">
        <v>3327</v>
      </c>
      <c r="E567" s="181" t="s">
        <v>332</v>
      </c>
      <c r="F567" s="181" t="s">
        <v>333</v>
      </c>
      <c r="G567" s="181" t="s">
        <v>233</v>
      </c>
      <c r="H567" s="181" t="s">
        <v>279</v>
      </c>
      <c r="I567" s="181" t="s">
        <v>230</v>
      </c>
      <c r="J567" s="184" t="n">
        <v>38160</v>
      </c>
      <c r="K567" s="184" t="n">
        <v>14690</v>
      </c>
      <c r="L567" s="185" t="n">
        <v>14</v>
      </c>
      <c r="M567" s="184" t="n">
        <v>23470</v>
      </c>
      <c r="N567" s="184" t="n">
        <v>20184.2</v>
      </c>
      <c r="O567" s="186" t="s">
        <v>1493</v>
      </c>
      <c r="P567" s="187" t="n">
        <v>45915</v>
      </c>
    </row>
    <row r="568" customFormat="false" ht="51" hidden="false" customHeight="true" outlineLevel="0" collapsed="false">
      <c r="A568" s="181" t="s">
        <v>1494</v>
      </c>
      <c r="B568" s="182" t="n">
        <v>1663</v>
      </c>
      <c r="C568" s="183" t="n">
        <v>37549</v>
      </c>
      <c r="D568" s="181" t="s">
        <v>3327</v>
      </c>
      <c r="E568" s="181" t="s">
        <v>288</v>
      </c>
      <c r="F568" s="181" t="s">
        <v>289</v>
      </c>
      <c r="G568" s="181" t="s">
        <v>233</v>
      </c>
      <c r="H568" s="181" t="s">
        <v>279</v>
      </c>
      <c r="I568" s="181" t="s">
        <v>230</v>
      </c>
      <c r="J568" s="184" t="n">
        <v>37000</v>
      </c>
      <c r="K568" s="184" t="n">
        <v>14540</v>
      </c>
      <c r="L568" s="185" t="n">
        <v>19</v>
      </c>
      <c r="M568" s="184" t="n">
        <v>22460</v>
      </c>
      <c r="N568" s="184" t="n">
        <v>18192.6</v>
      </c>
      <c r="O568" s="186" t="s">
        <v>1495</v>
      </c>
      <c r="P568" s="187" t="n">
        <v>45915</v>
      </c>
    </row>
    <row r="569" customFormat="false" ht="51" hidden="false" customHeight="true" outlineLevel="0" collapsed="false">
      <c r="A569" s="181" t="s">
        <v>1496</v>
      </c>
      <c r="B569" s="182" t="n">
        <v>1666</v>
      </c>
      <c r="C569" s="183" t="n">
        <v>37551</v>
      </c>
      <c r="D569" s="181" t="s">
        <v>3327</v>
      </c>
      <c r="E569" s="181" t="s">
        <v>272</v>
      </c>
      <c r="F569" s="181" t="s">
        <v>273</v>
      </c>
      <c r="G569" s="181" t="s">
        <v>233</v>
      </c>
      <c r="H569" s="181" t="s">
        <v>279</v>
      </c>
      <c r="I569" s="181" t="s">
        <v>230</v>
      </c>
      <c r="J569" s="184" t="n">
        <v>38670</v>
      </c>
      <c r="K569" s="184" t="n">
        <v>15500</v>
      </c>
      <c r="L569" s="185" t="n">
        <v>9</v>
      </c>
      <c r="M569" s="184" t="n">
        <v>23170</v>
      </c>
      <c r="N569" s="184" t="n">
        <v>21084.7</v>
      </c>
      <c r="O569" s="186" t="s">
        <v>1497</v>
      </c>
      <c r="P569" s="187" t="n">
        <v>45915</v>
      </c>
    </row>
    <row r="570" customFormat="false" ht="51" hidden="false" customHeight="true" outlineLevel="0" collapsed="false">
      <c r="A570" s="181" t="s">
        <v>1498</v>
      </c>
      <c r="B570" s="182" t="n">
        <v>1667</v>
      </c>
      <c r="C570" s="183" t="n">
        <v>37553</v>
      </c>
      <c r="D570" s="181" t="s">
        <v>3327</v>
      </c>
      <c r="E570" s="181" t="s">
        <v>277</v>
      </c>
      <c r="F570" s="181" t="s">
        <v>278</v>
      </c>
      <c r="G570" s="181" t="s">
        <v>233</v>
      </c>
      <c r="H570" s="181" t="s">
        <v>279</v>
      </c>
      <c r="I570" s="181" t="s">
        <v>230</v>
      </c>
      <c r="J570" s="184" t="n">
        <v>41710</v>
      </c>
      <c r="K570" s="184" t="n">
        <v>15130</v>
      </c>
      <c r="L570" s="185" t="n">
        <v>10</v>
      </c>
      <c r="M570" s="184" t="n">
        <v>26580</v>
      </c>
      <c r="N570" s="184" t="n">
        <v>23922</v>
      </c>
      <c r="O570" s="186" t="s">
        <v>1499</v>
      </c>
      <c r="P570" s="187" t="n">
        <v>45915</v>
      </c>
    </row>
    <row r="571" customFormat="false" ht="51" hidden="false" customHeight="true" outlineLevel="0" collapsed="false">
      <c r="A571" s="181" t="s">
        <v>1500</v>
      </c>
      <c r="B571" s="182" t="n">
        <v>1671</v>
      </c>
      <c r="C571" s="183" t="n">
        <v>37555</v>
      </c>
      <c r="D571" s="181" t="s">
        <v>3327</v>
      </c>
      <c r="E571" s="181" t="s">
        <v>391</v>
      </c>
      <c r="F571" s="181" t="s">
        <v>392</v>
      </c>
      <c r="G571" s="181" t="s">
        <v>233</v>
      </c>
      <c r="H571" s="181" t="s">
        <v>279</v>
      </c>
      <c r="I571" s="181" t="s">
        <v>230</v>
      </c>
      <c r="J571" s="184" t="n">
        <v>35140</v>
      </c>
      <c r="K571" s="184" t="n">
        <v>14430</v>
      </c>
      <c r="L571" s="185" t="n">
        <v>18</v>
      </c>
      <c r="M571" s="184" t="n">
        <v>20710</v>
      </c>
      <c r="N571" s="184" t="n">
        <v>16982.2</v>
      </c>
      <c r="O571" s="186" t="s">
        <v>1501</v>
      </c>
      <c r="P571" s="187" t="n">
        <v>45915</v>
      </c>
    </row>
    <row r="572" customFormat="false" ht="51" hidden="false" customHeight="true" outlineLevel="0" collapsed="false">
      <c r="A572" s="181" t="s">
        <v>1502</v>
      </c>
      <c r="B572" s="182" t="n">
        <v>1674</v>
      </c>
      <c r="C572" s="183" t="n">
        <v>37557</v>
      </c>
      <c r="D572" s="181" t="s">
        <v>3327</v>
      </c>
      <c r="E572" s="181" t="s">
        <v>529</v>
      </c>
      <c r="F572" s="181" t="s">
        <v>530</v>
      </c>
      <c r="G572" s="181" t="s">
        <v>233</v>
      </c>
      <c r="H572" s="181" t="s">
        <v>279</v>
      </c>
      <c r="I572" s="181" t="s">
        <v>230</v>
      </c>
      <c r="J572" s="184" t="n">
        <v>36190</v>
      </c>
      <c r="K572" s="184" t="n">
        <v>14790</v>
      </c>
      <c r="L572" s="185" t="n">
        <v>13</v>
      </c>
      <c r="M572" s="184" t="n">
        <v>21400</v>
      </c>
      <c r="N572" s="184" t="n">
        <v>18618</v>
      </c>
      <c r="O572" s="186" t="s">
        <v>1503</v>
      </c>
      <c r="P572" s="187" t="n">
        <v>45915</v>
      </c>
    </row>
    <row r="573" customFormat="false" ht="51" hidden="false" customHeight="true" outlineLevel="0" collapsed="false">
      <c r="A573" s="181" t="s">
        <v>1508</v>
      </c>
      <c r="B573" s="182" t="n">
        <v>1682</v>
      </c>
      <c r="C573" s="183" t="n">
        <v>136</v>
      </c>
      <c r="D573" s="181" t="s">
        <v>1509</v>
      </c>
      <c r="E573" s="181" t="s">
        <v>1510</v>
      </c>
      <c r="F573" s="181" t="s">
        <v>1511</v>
      </c>
      <c r="G573" s="181" t="s">
        <v>3328</v>
      </c>
      <c r="H573" s="181" t="s">
        <v>1513</v>
      </c>
      <c r="I573" s="181" t="s">
        <v>238</v>
      </c>
      <c r="J573" s="184" t="n">
        <v>23210</v>
      </c>
      <c r="K573" s="184" t="n">
        <v>14110</v>
      </c>
      <c r="L573" s="185" t="n">
        <v>18</v>
      </c>
      <c r="M573" s="184" t="n">
        <v>9100</v>
      </c>
      <c r="N573" s="184" t="n">
        <v>7462</v>
      </c>
      <c r="O573" s="186" t="s">
        <v>1514</v>
      </c>
      <c r="P573" s="187" t="n">
        <v>45916</v>
      </c>
    </row>
    <row r="574" customFormat="false" ht="51" hidden="false" customHeight="true" outlineLevel="0" collapsed="false">
      <c r="A574" s="181" t="s">
        <v>1515</v>
      </c>
      <c r="B574" s="182" t="n">
        <v>1684</v>
      </c>
      <c r="C574" s="183" t="n">
        <v>137</v>
      </c>
      <c r="D574" s="181" t="s">
        <v>1509</v>
      </c>
      <c r="E574" s="181" t="s">
        <v>277</v>
      </c>
      <c r="F574" s="181" t="s">
        <v>278</v>
      </c>
      <c r="G574" s="181" t="s">
        <v>3328</v>
      </c>
      <c r="H574" s="181" t="s">
        <v>1513</v>
      </c>
      <c r="I574" s="181" t="s">
        <v>238</v>
      </c>
      <c r="J574" s="184" t="n">
        <v>38560</v>
      </c>
      <c r="K574" s="184" t="n">
        <v>15090</v>
      </c>
      <c r="L574" s="185" t="n">
        <v>23</v>
      </c>
      <c r="M574" s="184" t="n">
        <v>23470</v>
      </c>
      <c r="N574" s="184" t="n">
        <v>18071.9</v>
      </c>
      <c r="O574" s="186" t="s">
        <v>1516</v>
      </c>
      <c r="P574" s="187" t="n">
        <v>45916</v>
      </c>
    </row>
    <row r="575" customFormat="false" ht="51" hidden="false" customHeight="true" outlineLevel="0" collapsed="false">
      <c r="A575" s="181" t="s">
        <v>1517</v>
      </c>
      <c r="B575" s="182" t="n">
        <v>1685</v>
      </c>
      <c r="C575" s="183" t="n">
        <v>138</v>
      </c>
      <c r="D575" s="181" t="s">
        <v>1509</v>
      </c>
      <c r="E575" s="181" t="s">
        <v>332</v>
      </c>
      <c r="F575" s="181" t="s">
        <v>333</v>
      </c>
      <c r="G575" s="181" t="s">
        <v>3328</v>
      </c>
      <c r="H575" s="181" t="s">
        <v>1513</v>
      </c>
      <c r="I575" s="181" t="s">
        <v>238</v>
      </c>
      <c r="J575" s="184" t="n">
        <v>32100</v>
      </c>
      <c r="K575" s="184" t="n">
        <v>14880</v>
      </c>
      <c r="L575" s="185" t="n">
        <v>22</v>
      </c>
      <c r="M575" s="184" t="n">
        <v>17220</v>
      </c>
      <c r="N575" s="184" t="n">
        <v>13431.6</v>
      </c>
      <c r="O575" s="186" t="s">
        <v>1518</v>
      </c>
      <c r="P575" s="187" t="n">
        <v>45916</v>
      </c>
    </row>
    <row r="576" customFormat="false" ht="51" hidden="false" customHeight="true" outlineLevel="0" collapsed="false">
      <c r="A576" s="181" t="s">
        <v>1519</v>
      </c>
      <c r="B576" s="182" t="n">
        <v>1686</v>
      </c>
      <c r="C576" s="183" t="n">
        <v>139</v>
      </c>
      <c r="D576" s="181" t="s">
        <v>1509</v>
      </c>
      <c r="E576" s="181" t="s">
        <v>1510</v>
      </c>
      <c r="F576" s="181" t="s">
        <v>1511</v>
      </c>
      <c r="G576" s="181" t="s">
        <v>3328</v>
      </c>
      <c r="H576" s="181" t="s">
        <v>1513</v>
      </c>
      <c r="I576" s="181" t="s">
        <v>238</v>
      </c>
      <c r="J576" s="184" t="n">
        <v>28680</v>
      </c>
      <c r="K576" s="184" t="n">
        <v>14180</v>
      </c>
      <c r="L576" s="185" t="n">
        <v>28</v>
      </c>
      <c r="M576" s="184" t="n">
        <v>14500</v>
      </c>
      <c r="N576" s="184" t="n">
        <v>10440</v>
      </c>
      <c r="O576" s="186" t="s">
        <v>1520</v>
      </c>
      <c r="P576" s="187" t="n">
        <v>45917</v>
      </c>
    </row>
    <row r="577" customFormat="false" ht="51" hidden="false" customHeight="true" outlineLevel="0" collapsed="false">
      <c r="A577" s="181" t="s">
        <v>1521</v>
      </c>
      <c r="B577" s="182" t="n">
        <v>1687</v>
      </c>
      <c r="C577" s="183" t="n">
        <v>140</v>
      </c>
      <c r="D577" s="181" t="s">
        <v>1509</v>
      </c>
      <c r="E577" s="181" t="s">
        <v>277</v>
      </c>
      <c r="F577" s="181" t="s">
        <v>278</v>
      </c>
      <c r="G577" s="181" t="s">
        <v>3328</v>
      </c>
      <c r="H577" s="181" t="s">
        <v>1513</v>
      </c>
      <c r="I577" s="181" t="s">
        <v>238</v>
      </c>
      <c r="J577" s="184" t="n">
        <v>32420</v>
      </c>
      <c r="K577" s="184" t="n">
        <v>15070</v>
      </c>
      <c r="L577" s="185" t="n">
        <v>24</v>
      </c>
      <c r="M577" s="184" t="n">
        <v>17350</v>
      </c>
      <c r="N577" s="184" t="n">
        <v>13186</v>
      </c>
      <c r="O577" s="186" t="s">
        <v>1523</v>
      </c>
      <c r="P577" s="187" t="n">
        <v>45917</v>
      </c>
    </row>
    <row r="578" customFormat="false" ht="51" hidden="false" customHeight="true" outlineLevel="0" collapsed="false">
      <c r="A578" s="181" t="s">
        <v>1524</v>
      </c>
      <c r="B578" s="182" t="n">
        <v>1688</v>
      </c>
      <c r="C578" s="183" t="n">
        <v>141</v>
      </c>
      <c r="D578" s="181" t="s">
        <v>1509</v>
      </c>
      <c r="E578" s="181" t="s">
        <v>1510</v>
      </c>
      <c r="F578" s="181" t="s">
        <v>1511</v>
      </c>
      <c r="G578" s="181" t="s">
        <v>3328</v>
      </c>
      <c r="H578" s="181" t="s">
        <v>1513</v>
      </c>
      <c r="I578" s="181" t="s">
        <v>238</v>
      </c>
      <c r="J578" s="184" t="n">
        <v>24510</v>
      </c>
      <c r="K578" s="184" t="n">
        <v>14170</v>
      </c>
      <c r="L578" s="185" t="n">
        <v>26</v>
      </c>
      <c r="M578" s="184" t="n">
        <v>10340</v>
      </c>
      <c r="N578" s="184" t="n">
        <v>7651.6</v>
      </c>
      <c r="O578" s="186" t="s">
        <v>1525</v>
      </c>
      <c r="P578" s="187" t="n">
        <v>45917</v>
      </c>
    </row>
    <row r="579" customFormat="false" ht="51" hidden="false" customHeight="true" outlineLevel="0" collapsed="false">
      <c r="A579" s="181" t="s">
        <v>1526</v>
      </c>
      <c r="B579" s="182" t="n">
        <v>1691</v>
      </c>
      <c r="C579" s="183" t="n">
        <v>142</v>
      </c>
      <c r="D579" s="181" t="s">
        <v>1509</v>
      </c>
      <c r="E579" s="181" t="s">
        <v>288</v>
      </c>
      <c r="F579" s="181" t="s">
        <v>289</v>
      </c>
      <c r="G579" s="181" t="s">
        <v>3328</v>
      </c>
      <c r="H579" s="181" t="s">
        <v>1513</v>
      </c>
      <c r="I579" s="181" t="s">
        <v>238</v>
      </c>
      <c r="J579" s="184" t="n">
        <v>28250</v>
      </c>
      <c r="K579" s="184" t="n">
        <v>14750</v>
      </c>
      <c r="L579" s="185" t="n">
        <v>21</v>
      </c>
      <c r="M579" s="184" t="n">
        <v>13500</v>
      </c>
      <c r="N579" s="184" t="n">
        <v>10665</v>
      </c>
      <c r="O579" s="186" t="s">
        <v>1527</v>
      </c>
      <c r="P579" s="187" t="n">
        <v>45917</v>
      </c>
    </row>
    <row r="580" customFormat="false" ht="51" hidden="false" customHeight="true" outlineLevel="0" collapsed="false">
      <c r="A580" s="181" t="s">
        <v>1528</v>
      </c>
      <c r="B580" s="182" t="n">
        <v>1692</v>
      </c>
      <c r="C580" s="183" t="n">
        <v>143</v>
      </c>
      <c r="D580" s="181" t="s">
        <v>1509</v>
      </c>
      <c r="E580" s="181" t="s">
        <v>292</v>
      </c>
      <c r="F580" s="181" t="s">
        <v>293</v>
      </c>
      <c r="G580" s="181" t="s">
        <v>3328</v>
      </c>
      <c r="H580" s="181" t="s">
        <v>1513</v>
      </c>
      <c r="I580" s="181" t="s">
        <v>238</v>
      </c>
      <c r="J580" s="184" t="n">
        <v>27900</v>
      </c>
      <c r="K580" s="184" t="n">
        <v>14020</v>
      </c>
      <c r="L580" s="185" t="n">
        <v>18</v>
      </c>
      <c r="M580" s="184" t="n">
        <v>13880</v>
      </c>
      <c r="N580" s="184" t="n">
        <v>11381.6</v>
      </c>
      <c r="O580" s="186" t="s">
        <v>1529</v>
      </c>
      <c r="P580" s="187" t="n">
        <v>45917</v>
      </c>
    </row>
    <row r="581" customFormat="false" ht="51" hidden="false" customHeight="true" outlineLevel="0" collapsed="false">
      <c r="A581" s="181" t="s">
        <v>1530</v>
      </c>
      <c r="B581" s="182" t="n">
        <v>1694</v>
      </c>
      <c r="C581" s="183" t="n">
        <v>144</v>
      </c>
      <c r="D581" s="181" t="s">
        <v>1509</v>
      </c>
      <c r="E581" s="181" t="s">
        <v>288</v>
      </c>
      <c r="F581" s="181" t="s">
        <v>289</v>
      </c>
      <c r="G581" s="181" t="s">
        <v>3328</v>
      </c>
      <c r="H581" s="181" t="s">
        <v>1513</v>
      </c>
      <c r="I581" s="181" t="s">
        <v>238</v>
      </c>
      <c r="J581" s="184" t="n">
        <v>25200</v>
      </c>
      <c r="K581" s="184" t="n">
        <v>14730</v>
      </c>
      <c r="L581" s="185" t="n">
        <v>16</v>
      </c>
      <c r="M581" s="184" t="n">
        <v>10470</v>
      </c>
      <c r="N581" s="184" t="n">
        <v>8794.8</v>
      </c>
      <c r="O581" s="186" t="s">
        <v>1531</v>
      </c>
      <c r="P581" s="187" t="n">
        <v>45917</v>
      </c>
    </row>
    <row r="582" customFormat="false" ht="51" hidden="false" customHeight="true" outlineLevel="0" collapsed="false">
      <c r="A582" s="181" t="s">
        <v>1532</v>
      </c>
      <c r="B582" s="182" t="n">
        <v>1697</v>
      </c>
      <c r="C582" s="183" t="n">
        <v>145</v>
      </c>
      <c r="D582" s="181" t="s">
        <v>1509</v>
      </c>
      <c r="E582" s="181" t="s">
        <v>292</v>
      </c>
      <c r="F582" s="181" t="s">
        <v>293</v>
      </c>
      <c r="G582" s="181" t="s">
        <v>3328</v>
      </c>
      <c r="H582" s="181" t="s">
        <v>1513</v>
      </c>
      <c r="I582" s="181" t="s">
        <v>238</v>
      </c>
      <c r="J582" s="184" t="n">
        <v>29610</v>
      </c>
      <c r="K582" s="184" t="n">
        <v>14010</v>
      </c>
      <c r="L582" s="185" t="n">
        <v>25</v>
      </c>
      <c r="M582" s="184" t="n">
        <v>15600</v>
      </c>
      <c r="N582" s="184" t="n">
        <v>11700</v>
      </c>
      <c r="O582" s="186" t="s">
        <v>1533</v>
      </c>
      <c r="P582" s="187" t="n">
        <v>45917</v>
      </c>
    </row>
    <row r="583" customFormat="false" ht="51" hidden="false" customHeight="true" outlineLevel="0" collapsed="false">
      <c r="A583" s="181" t="s">
        <v>1534</v>
      </c>
      <c r="B583" s="182" t="n">
        <v>1698</v>
      </c>
      <c r="C583" s="183" t="n">
        <v>146</v>
      </c>
      <c r="D583" s="181" t="s">
        <v>1509</v>
      </c>
      <c r="E583" s="181" t="s">
        <v>288</v>
      </c>
      <c r="F583" s="181" t="s">
        <v>289</v>
      </c>
      <c r="G583" s="181" t="s">
        <v>3328</v>
      </c>
      <c r="H583" s="181" t="s">
        <v>1513</v>
      </c>
      <c r="I583" s="181" t="s">
        <v>238</v>
      </c>
      <c r="J583" s="184" t="n">
        <v>28690</v>
      </c>
      <c r="K583" s="184" t="n">
        <v>14720</v>
      </c>
      <c r="L583" s="185" t="n">
        <v>24</v>
      </c>
      <c r="M583" s="184" t="n">
        <v>13970</v>
      </c>
      <c r="N583" s="184" t="n">
        <v>10617.2</v>
      </c>
      <c r="O583" s="186" t="s">
        <v>1535</v>
      </c>
      <c r="P583" s="187" t="n">
        <v>45917</v>
      </c>
    </row>
    <row r="584" customFormat="false" ht="51" hidden="false" customHeight="true" outlineLevel="0" collapsed="false">
      <c r="A584" s="181" t="s">
        <v>1536</v>
      </c>
      <c r="B584" s="182" t="n">
        <v>1699</v>
      </c>
      <c r="C584" s="183" t="n">
        <v>147</v>
      </c>
      <c r="D584" s="181" t="s">
        <v>1509</v>
      </c>
      <c r="E584" s="181" t="s">
        <v>292</v>
      </c>
      <c r="F584" s="181" t="s">
        <v>293</v>
      </c>
      <c r="G584" s="181" t="s">
        <v>3328</v>
      </c>
      <c r="H584" s="181" t="s">
        <v>1513</v>
      </c>
      <c r="I584" s="181" t="s">
        <v>238</v>
      </c>
      <c r="J584" s="184" t="n">
        <v>32120</v>
      </c>
      <c r="K584" s="184" t="n">
        <v>14000</v>
      </c>
      <c r="L584" s="185" t="n">
        <v>25</v>
      </c>
      <c r="M584" s="184" t="n">
        <v>18120</v>
      </c>
      <c r="N584" s="184" t="n">
        <v>13590</v>
      </c>
      <c r="O584" s="186" t="s">
        <v>1537</v>
      </c>
      <c r="P584" s="187" t="n">
        <v>45917</v>
      </c>
    </row>
    <row r="585" customFormat="false" ht="51" hidden="false" customHeight="true" outlineLevel="0" collapsed="false">
      <c r="A585" s="181" t="s">
        <v>1538</v>
      </c>
      <c r="B585" s="182" t="n">
        <v>1700</v>
      </c>
      <c r="C585" s="183" t="n">
        <v>148</v>
      </c>
      <c r="D585" s="181" t="s">
        <v>1509</v>
      </c>
      <c r="E585" s="181" t="s">
        <v>288</v>
      </c>
      <c r="F585" s="181" t="s">
        <v>289</v>
      </c>
      <c r="G585" s="181" t="s">
        <v>3328</v>
      </c>
      <c r="H585" s="181" t="s">
        <v>1513</v>
      </c>
      <c r="I585" s="181" t="s">
        <v>238</v>
      </c>
      <c r="J585" s="184" t="n">
        <v>33450</v>
      </c>
      <c r="K585" s="184" t="n">
        <v>14720</v>
      </c>
      <c r="L585" s="185" t="n">
        <v>19</v>
      </c>
      <c r="M585" s="184" t="n">
        <v>18730</v>
      </c>
      <c r="N585" s="184" t="n">
        <v>15171.3</v>
      </c>
      <c r="O585" s="186" t="s">
        <v>1539</v>
      </c>
      <c r="P585" s="187" t="n">
        <v>45917</v>
      </c>
    </row>
    <row r="586" customFormat="false" ht="51" hidden="false" customHeight="true" outlineLevel="0" collapsed="false">
      <c r="A586" s="181" t="s">
        <v>1540</v>
      </c>
      <c r="B586" s="182" t="n">
        <v>1701</v>
      </c>
      <c r="C586" s="183" t="n">
        <v>149</v>
      </c>
      <c r="D586" s="181" t="s">
        <v>1509</v>
      </c>
      <c r="E586" s="181" t="s">
        <v>261</v>
      </c>
      <c r="F586" s="181" t="s">
        <v>262</v>
      </c>
      <c r="G586" s="181" t="s">
        <v>3328</v>
      </c>
      <c r="H586" s="181" t="s">
        <v>1513</v>
      </c>
      <c r="I586" s="181" t="s">
        <v>238</v>
      </c>
      <c r="J586" s="184" t="n">
        <v>30660</v>
      </c>
      <c r="K586" s="184" t="n">
        <v>15130</v>
      </c>
      <c r="L586" s="185" t="n">
        <v>23</v>
      </c>
      <c r="M586" s="184" t="n">
        <v>15530</v>
      </c>
      <c r="N586" s="184" t="n">
        <v>11958.1</v>
      </c>
      <c r="O586" s="186" t="s">
        <v>1541</v>
      </c>
      <c r="P586" s="187" t="n">
        <v>45917</v>
      </c>
    </row>
    <row r="587" customFormat="false" ht="51" hidden="false" customHeight="true" outlineLevel="0" collapsed="false">
      <c r="A587" s="181" t="s">
        <v>1542</v>
      </c>
      <c r="B587" s="182" t="n">
        <v>1702</v>
      </c>
      <c r="C587" s="183" t="n">
        <v>150</v>
      </c>
      <c r="D587" s="181" t="s">
        <v>1509</v>
      </c>
      <c r="E587" s="181" t="s">
        <v>292</v>
      </c>
      <c r="F587" s="181" t="s">
        <v>293</v>
      </c>
      <c r="G587" s="181" t="s">
        <v>3328</v>
      </c>
      <c r="H587" s="181" t="s">
        <v>1513</v>
      </c>
      <c r="I587" s="181" t="s">
        <v>238</v>
      </c>
      <c r="J587" s="184" t="n">
        <v>28770</v>
      </c>
      <c r="K587" s="184" t="n">
        <v>13990</v>
      </c>
      <c r="L587" s="185" t="n">
        <v>24</v>
      </c>
      <c r="M587" s="184" t="n">
        <v>14780</v>
      </c>
      <c r="N587" s="184" t="n">
        <v>11232.8</v>
      </c>
      <c r="O587" s="186" t="s">
        <v>1543</v>
      </c>
      <c r="P587" s="187" t="n">
        <v>45917</v>
      </c>
    </row>
    <row r="588" customFormat="false" ht="51" hidden="false" customHeight="true" outlineLevel="0" collapsed="false">
      <c r="A588" s="181" t="s">
        <v>1544</v>
      </c>
      <c r="B588" s="182" t="n">
        <v>1704</v>
      </c>
      <c r="C588" s="183" t="n">
        <v>151</v>
      </c>
      <c r="D588" s="181" t="s">
        <v>1509</v>
      </c>
      <c r="E588" s="181" t="s">
        <v>288</v>
      </c>
      <c r="F588" s="181" t="s">
        <v>289</v>
      </c>
      <c r="G588" s="181" t="s">
        <v>3328</v>
      </c>
      <c r="H588" s="181" t="s">
        <v>1513</v>
      </c>
      <c r="I588" s="181" t="s">
        <v>238</v>
      </c>
      <c r="J588" s="184" t="n">
        <v>27380</v>
      </c>
      <c r="K588" s="184" t="n">
        <v>14700</v>
      </c>
      <c r="L588" s="185" t="n">
        <v>25</v>
      </c>
      <c r="M588" s="184" t="n">
        <v>12680</v>
      </c>
      <c r="N588" s="184" t="n">
        <v>9510</v>
      </c>
      <c r="O588" s="186" t="s">
        <v>1545</v>
      </c>
      <c r="P588" s="187" t="n">
        <v>45918</v>
      </c>
    </row>
    <row r="589" customFormat="false" ht="51" hidden="false" customHeight="true" outlineLevel="0" collapsed="false">
      <c r="A589" s="181" t="s">
        <v>1546</v>
      </c>
      <c r="B589" s="182" t="n">
        <v>1705</v>
      </c>
      <c r="C589" s="183" t="n">
        <v>152</v>
      </c>
      <c r="D589" s="181" t="s">
        <v>1509</v>
      </c>
      <c r="E589" s="181" t="s">
        <v>292</v>
      </c>
      <c r="F589" s="181" t="s">
        <v>293</v>
      </c>
      <c r="G589" s="181" t="s">
        <v>3328</v>
      </c>
      <c r="H589" s="181" t="s">
        <v>1513</v>
      </c>
      <c r="I589" s="181" t="s">
        <v>238</v>
      </c>
      <c r="J589" s="184" t="n">
        <v>28110</v>
      </c>
      <c r="K589" s="184" t="n">
        <v>13990</v>
      </c>
      <c r="L589" s="185" t="n">
        <v>28</v>
      </c>
      <c r="M589" s="184" t="n">
        <v>14120</v>
      </c>
      <c r="N589" s="184" t="n">
        <v>10166.4</v>
      </c>
      <c r="O589" s="186" t="s">
        <v>1547</v>
      </c>
      <c r="P589" s="187" t="n">
        <v>45918</v>
      </c>
    </row>
    <row r="590" customFormat="false" ht="51" hidden="false" customHeight="true" outlineLevel="0" collapsed="false">
      <c r="A590" s="181" t="s">
        <v>1548</v>
      </c>
      <c r="B590" s="182" t="n">
        <v>1706</v>
      </c>
      <c r="C590" s="183" t="n">
        <v>153</v>
      </c>
      <c r="D590" s="181" t="s">
        <v>1509</v>
      </c>
      <c r="E590" s="181" t="s">
        <v>288</v>
      </c>
      <c r="F590" s="181" t="s">
        <v>289</v>
      </c>
      <c r="G590" s="181" t="s">
        <v>3328</v>
      </c>
      <c r="H590" s="181" t="s">
        <v>1513</v>
      </c>
      <c r="I590" s="181" t="s">
        <v>238</v>
      </c>
      <c r="J590" s="184" t="n">
        <v>28410</v>
      </c>
      <c r="K590" s="184" t="n">
        <v>14700</v>
      </c>
      <c r="L590" s="185" t="n">
        <v>34</v>
      </c>
      <c r="M590" s="184" t="n">
        <v>13710</v>
      </c>
      <c r="N590" s="184" t="n">
        <v>9048.6</v>
      </c>
      <c r="O590" s="186" t="s">
        <v>1549</v>
      </c>
      <c r="P590" s="187" t="n">
        <v>45918</v>
      </c>
    </row>
    <row r="591" customFormat="false" ht="51" hidden="false" customHeight="true" outlineLevel="0" collapsed="false">
      <c r="A591" s="181" t="s">
        <v>1550</v>
      </c>
      <c r="B591" s="182" t="n">
        <v>1707</v>
      </c>
      <c r="C591" s="183" t="n">
        <v>154</v>
      </c>
      <c r="D591" s="181" t="s">
        <v>1509</v>
      </c>
      <c r="E591" s="181" t="s">
        <v>292</v>
      </c>
      <c r="F591" s="181" t="s">
        <v>293</v>
      </c>
      <c r="G591" s="181" t="s">
        <v>3328</v>
      </c>
      <c r="H591" s="181" t="s">
        <v>1513</v>
      </c>
      <c r="I591" s="181" t="s">
        <v>238</v>
      </c>
      <c r="J591" s="184" t="n">
        <v>29600</v>
      </c>
      <c r="K591" s="184" t="n">
        <v>13970</v>
      </c>
      <c r="L591" s="185" t="n">
        <v>32</v>
      </c>
      <c r="M591" s="184" t="n">
        <v>15630</v>
      </c>
      <c r="N591" s="184" t="n">
        <v>10628.4</v>
      </c>
      <c r="O591" s="186" t="s">
        <v>1551</v>
      </c>
      <c r="P591" s="187" t="n">
        <v>45918</v>
      </c>
    </row>
    <row r="592" customFormat="false" ht="51" hidden="false" customHeight="true" outlineLevel="0" collapsed="false">
      <c r="A592" s="181" t="s">
        <v>1552</v>
      </c>
      <c r="B592" s="182" t="n">
        <v>1708</v>
      </c>
      <c r="C592" s="183" t="n">
        <v>37563</v>
      </c>
      <c r="D592" s="181" t="s">
        <v>3327</v>
      </c>
      <c r="E592" s="181" t="s">
        <v>1309</v>
      </c>
      <c r="F592" s="181" t="s">
        <v>1310</v>
      </c>
      <c r="G592" s="181" t="s">
        <v>235</v>
      </c>
      <c r="H592" s="181" t="s">
        <v>279</v>
      </c>
      <c r="I592" s="181" t="s">
        <v>230</v>
      </c>
      <c r="J592" s="184" t="n">
        <v>39270</v>
      </c>
      <c r="K592" s="184" t="n">
        <v>15480</v>
      </c>
      <c r="L592" s="185" t="n">
        <v>24</v>
      </c>
      <c r="M592" s="184" t="n">
        <v>23790</v>
      </c>
      <c r="N592" s="184" t="n">
        <v>18080.4</v>
      </c>
      <c r="O592" s="186" t="s">
        <v>1553</v>
      </c>
      <c r="P592" s="187" t="n">
        <v>45918</v>
      </c>
    </row>
    <row r="593" customFormat="false" ht="51" hidden="false" customHeight="true" outlineLevel="0" collapsed="false">
      <c r="A593" s="181" t="s">
        <v>1554</v>
      </c>
      <c r="B593" s="182" t="n">
        <v>1710</v>
      </c>
      <c r="C593" s="183" t="n">
        <v>37565</v>
      </c>
      <c r="D593" s="181" t="s">
        <v>3327</v>
      </c>
      <c r="E593" s="181" t="s">
        <v>901</v>
      </c>
      <c r="F593" s="181" t="s">
        <v>902</v>
      </c>
      <c r="G593" s="181" t="s">
        <v>235</v>
      </c>
      <c r="H593" s="181" t="s">
        <v>279</v>
      </c>
      <c r="I593" s="181" t="s">
        <v>230</v>
      </c>
      <c r="J593" s="184" t="n">
        <v>37930</v>
      </c>
      <c r="K593" s="184" t="n">
        <v>14740</v>
      </c>
      <c r="L593" s="185" t="n">
        <v>14</v>
      </c>
      <c r="M593" s="184" t="n">
        <v>23190</v>
      </c>
      <c r="N593" s="184" t="n">
        <v>19943.4</v>
      </c>
      <c r="O593" s="186" t="s">
        <v>1555</v>
      </c>
      <c r="P593" s="187" t="n">
        <v>45918</v>
      </c>
    </row>
    <row r="594" customFormat="false" ht="51" hidden="false" customHeight="true" outlineLevel="0" collapsed="false">
      <c r="A594" s="181" t="s">
        <v>1556</v>
      </c>
      <c r="B594" s="182" t="n">
        <v>1711</v>
      </c>
      <c r="C594" s="183" t="n">
        <v>37567</v>
      </c>
      <c r="D594" s="181" t="s">
        <v>3327</v>
      </c>
      <c r="E594" s="181" t="s">
        <v>1289</v>
      </c>
      <c r="F594" s="181" t="s">
        <v>1290</v>
      </c>
      <c r="G594" s="181" t="s">
        <v>235</v>
      </c>
      <c r="H594" s="181" t="s">
        <v>279</v>
      </c>
      <c r="I594" s="181" t="s">
        <v>230</v>
      </c>
      <c r="J594" s="184" t="n">
        <v>38430</v>
      </c>
      <c r="K594" s="184" t="n">
        <v>15700</v>
      </c>
      <c r="L594" s="185" t="n">
        <v>8</v>
      </c>
      <c r="M594" s="184" t="n">
        <v>22730</v>
      </c>
      <c r="N594" s="184" t="n">
        <v>20911.6</v>
      </c>
      <c r="O594" s="186" t="s">
        <v>1557</v>
      </c>
      <c r="P594" s="187" t="n">
        <v>45918</v>
      </c>
    </row>
    <row r="595" customFormat="false" ht="51" hidden="false" customHeight="true" outlineLevel="0" collapsed="false">
      <c r="A595" s="181" t="s">
        <v>1558</v>
      </c>
      <c r="B595" s="182" t="n">
        <v>1712</v>
      </c>
      <c r="C595" s="183" t="n">
        <v>37569</v>
      </c>
      <c r="D595" s="181" t="s">
        <v>3327</v>
      </c>
      <c r="E595" s="181" t="s">
        <v>373</v>
      </c>
      <c r="F595" s="181" t="s">
        <v>374</v>
      </c>
      <c r="G595" s="181" t="s">
        <v>235</v>
      </c>
      <c r="H595" s="181" t="s">
        <v>279</v>
      </c>
      <c r="I595" s="181" t="s">
        <v>230</v>
      </c>
      <c r="J595" s="184" t="n">
        <v>36030</v>
      </c>
      <c r="K595" s="184" t="n">
        <v>14160</v>
      </c>
      <c r="L595" s="185" t="n">
        <v>8</v>
      </c>
      <c r="M595" s="184" t="n">
        <v>21870</v>
      </c>
      <c r="N595" s="184" t="n">
        <v>20120.4</v>
      </c>
      <c r="O595" s="186" t="s">
        <v>1559</v>
      </c>
      <c r="P595" s="187" t="n">
        <v>45918</v>
      </c>
    </row>
    <row r="596" customFormat="false" ht="51" hidden="false" customHeight="true" outlineLevel="0" collapsed="false">
      <c r="A596" s="181" t="s">
        <v>1560</v>
      </c>
      <c r="B596" s="182" t="n">
        <v>1713</v>
      </c>
      <c r="C596" s="183" t="n">
        <v>37571</v>
      </c>
      <c r="D596" s="181" t="s">
        <v>3327</v>
      </c>
      <c r="E596" s="181" t="s">
        <v>399</v>
      </c>
      <c r="F596" s="181" t="s">
        <v>400</v>
      </c>
      <c r="G596" s="181" t="s">
        <v>235</v>
      </c>
      <c r="H596" s="181" t="s">
        <v>279</v>
      </c>
      <c r="I596" s="181" t="s">
        <v>230</v>
      </c>
      <c r="J596" s="184" t="n">
        <v>46400</v>
      </c>
      <c r="K596" s="184" t="n">
        <v>19180</v>
      </c>
      <c r="L596" s="185" t="n">
        <v>12</v>
      </c>
      <c r="M596" s="184" t="n">
        <v>27220</v>
      </c>
      <c r="N596" s="184" t="n">
        <v>23953.6</v>
      </c>
      <c r="O596" s="186" t="s">
        <v>1561</v>
      </c>
      <c r="P596" s="187" t="n">
        <v>45918</v>
      </c>
    </row>
    <row r="597" customFormat="false" ht="51" hidden="false" customHeight="true" outlineLevel="0" collapsed="false">
      <c r="A597" s="181" t="s">
        <v>1562</v>
      </c>
      <c r="B597" s="182" t="n">
        <v>1714</v>
      </c>
      <c r="C597" s="183" t="n">
        <v>37573</v>
      </c>
      <c r="D597" s="181" t="s">
        <v>3327</v>
      </c>
      <c r="E597" s="181" t="s">
        <v>1019</v>
      </c>
      <c r="F597" s="181" t="s">
        <v>1020</v>
      </c>
      <c r="G597" s="181" t="s">
        <v>235</v>
      </c>
      <c r="H597" s="181" t="s">
        <v>279</v>
      </c>
      <c r="I597" s="181" t="s">
        <v>230</v>
      </c>
      <c r="J597" s="184" t="n">
        <v>42250</v>
      </c>
      <c r="K597" s="184" t="n">
        <v>17000</v>
      </c>
      <c r="L597" s="185" t="n">
        <v>8</v>
      </c>
      <c r="M597" s="184" t="n">
        <v>25250</v>
      </c>
      <c r="N597" s="184" t="n">
        <v>23230</v>
      </c>
      <c r="O597" s="186" t="s">
        <v>1563</v>
      </c>
      <c r="P597" s="187" t="n">
        <v>45918</v>
      </c>
    </row>
    <row r="598" customFormat="false" ht="51" hidden="false" customHeight="true" outlineLevel="0" collapsed="false">
      <c r="A598" s="181" t="s">
        <v>1564</v>
      </c>
      <c r="B598" s="182" t="n">
        <v>1715</v>
      </c>
      <c r="C598" s="183" t="n">
        <v>37577</v>
      </c>
      <c r="D598" s="181" t="s">
        <v>3327</v>
      </c>
      <c r="E598" s="181" t="s">
        <v>1027</v>
      </c>
      <c r="F598" s="181" t="s">
        <v>1028</v>
      </c>
      <c r="G598" s="181" t="s">
        <v>235</v>
      </c>
      <c r="H598" s="181" t="s">
        <v>279</v>
      </c>
      <c r="I598" s="181" t="s">
        <v>230</v>
      </c>
      <c r="J598" s="184" t="n">
        <v>36960</v>
      </c>
      <c r="K598" s="184" t="n">
        <v>14920</v>
      </c>
      <c r="L598" s="185" t="n">
        <v>8</v>
      </c>
      <c r="M598" s="184" t="n">
        <v>22040</v>
      </c>
      <c r="N598" s="184" t="n">
        <v>20276.8</v>
      </c>
      <c r="O598" s="186" t="s">
        <v>1565</v>
      </c>
      <c r="P598" s="187" t="n">
        <v>45918</v>
      </c>
    </row>
    <row r="599" customFormat="false" ht="51" hidden="false" customHeight="true" outlineLevel="0" collapsed="false">
      <c r="A599" s="181" t="s">
        <v>1566</v>
      </c>
      <c r="B599" s="182" t="n">
        <v>1716</v>
      </c>
      <c r="C599" s="183" t="n">
        <v>37575</v>
      </c>
      <c r="D599" s="181" t="s">
        <v>3327</v>
      </c>
      <c r="E599" s="181" t="s">
        <v>1023</v>
      </c>
      <c r="F599" s="181" t="s">
        <v>1024</v>
      </c>
      <c r="G599" s="181" t="s">
        <v>235</v>
      </c>
      <c r="H599" s="181" t="s">
        <v>279</v>
      </c>
      <c r="I599" s="181" t="s">
        <v>230</v>
      </c>
      <c r="J599" s="184" t="n">
        <v>35480</v>
      </c>
      <c r="K599" s="184" t="n">
        <v>14820</v>
      </c>
      <c r="L599" s="185" t="n">
        <v>8</v>
      </c>
      <c r="M599" s="184" t="n">
        <v>20660</v>
      </c>
      <c r="N599" s="184" t="n">
        <v>19007.2</v>
      </c>
      <c r="O599" s="186" t="s">
        <v>1567</v>
      </c>
      <c r="P599" s="187" t="n">
        <v>45918</v>
      </c>
    </row>
    <row r="600" customFormat="false" ht="51" hidden="false" customHeight="true" outlineLevel="0" collapsed="false">
      <c r="A600" s="181" t="s">
        <v>1568</v>
      </c>
      <c r="B600" s="182" t="n">
        <v>1718</v>
      </c>
      <c r="C600" s="183" t="n">
        <v>37581</v>
      </c>
      <c r="D600" s="181" t="s">
        <v>3327</v>
      </c>
      <c r="E600" s="181" t="s">
        <v>359</v>
      </c>
      <c r="F600" s="181" t="s">
        <v>360</v>
      </c>
      <c r="G600" s="181" t="s">
        <v>235</v>
      </c>
      <c r="H600" s="181" t="s">
        <v>279</v>
      </c>
      <c r="I600" s="181" t="s">
        <v>230</v>
      </c>
      <c r="J600" s="184" t="n">
        <v>34990</v>
      </c>
      <c r="K600" s="184" t="n">
        <v>14800</v>
      </c>
      <c r="L600" s="185" t="n">
        <v>22</v>
      </c>
      <c r="M600" s="184" t="n">
        <v>20190</v>
      </c>
      <c r="N600" s="184" t="n">
        <v>15748.2</v>
      </c>
      <c r="O600" s="186" t="s">
        <v>1569</v>
      </c>
      <c r="P600" s="187" t="n">
        <v>45918</v>
      </c>
    </row>
    <row r="601" customFormat="false" ht="51" hidden="false" customHeight="true" outlineLevel="0" collapsed="false">
      <c r="A601" s="181" t="s">
        <v>1570</v>
      </c>
      <c r="B601" s="182" t="n">
        <v>1719</v>
      </c>
      <c r="C601" s="183" t="n">
        <v>37579</v>
      </c>
      <c r="D601" s="181" t="s">
        <v>3327</v>
      </c>
      <c r="E601" s="181" t="s">
        <v>582</v>
      </c>
      <c r="F601" s="181" t="s">
        <v>583</v>
      </c>
      <c r="G601" s="181" t="s">
        <v>235</v>
      </c>
      <c r="H601" s="181" t="s">
        <v>279</v>
      </c>
      <c r="I601" s="181" t="s">
        <v>230</v>
      </c>
      <c r="J601" s="184" t="n">
        <v>36500</v>
      </c>
      <c r="K601" s="184" t="n">
        <v>14710</v>
      </c>
      <c r="L601" s="185" t="n">
        <v>30</v>
      </c>
      <c r="M601" s="184" t="n">
        <v>21790</v>
      </c>
      <c r="N601" s="184" t="n">
        <v>15253</v>
      </c>
      <c r="O601" s="186" t="s">
        <v>1571</v>
      </c>
      <c r="P601" s="187" t="n">
        <v>45918</v>
      </c>
    </row>
    <row r="602" customFormat="false" ht="51" hidden="false" customHeight="true" outlineLevel="0" collapsed="false">
      <c r="A602" s="181" t="s">
        <v>1572</v>
      </c>
      <c r="B602" s="182" t="n">
        <v>1720</v>
      </c>
      <c r="C602" s="183" t="n">
        <v>37590</v>
      </c>
      <c r="D602" s="181" t="s">
        <v>3327</v>
      </c>
      <c r="E602" s="181" t="s">
        <v>266</v>
      </c>
      <c r="F602" s="181" t="s">
        <v>267</v>
      </c>
      <c r="G602" s="181" t="s">
        <v>235</v>
      </c>
      <c r="H602" s="181" t="s">
        <v>279</v>
      </c>
      <c r="I602" s="181" t="s">
        <v>230</v>
      </c>
      <c r="J602" s="184" t="n">
        <v>38540</v>
      </c>
      <c r="K602" s="184" t="n">
        <v>14900</v>
      </c>
      <c r="L602" s="185" t="n">
        <v>17</v>
      </c>
      <c r="M602" s="184" t="n">
        <v>23640</v>
      </c>
      <c r="N602" s="184" t="n">
        <v>19621.2</v>
      </c>
      <c r="O602" s="186" t="s">
        <v>1573</v>
      </c>
      <c r="P602" s="187" t="n">
        <v>45918</v>
      </c>
    </row>
    <row r="603" customFormat="false" ht="51" hidden="false" customHeight="true" outlineLevel="0" collapsed="false">
      <c r="A603" s="181" t="s">
        <v>1574</v>
      </c>
      <c r="B603" s="182" t="n">
        <v>1721</v>
      </c>
      <c r="C603" s="183" t="n">
        <v>37593</v>
      </c>
      <c r="D603" s="181" t="s">
        <v>3327</v>
      </c>
      <c r="E603" s="181" t="s">
        <v>296</v>
      </c>
      <c r="F603" s="181" t="s">
        <v>297</v>
      </c>
      <c r="G603" s="181" t="s">
        <v>235</v>
      </c>
      <c r="H603" s="181" t="s">
        <v>279</v>
      </c>
      <c r="I603" s="181" t="s">
        <v>230</v>
      </c>
      <c r="J603" s="184" t="n">
        <v>37810</v>
      </c>
      <c r="K603" s="184" t="n">
        <v>15380</v>
      </c>
      <c r="L603" s="185" t="n">
        <v>9</v>
      </c>
      <c r="M603" s="184" t="n">
        <v>22430</v>
      </c>
      <c r="N603" s="184" t="n">
        <v>20411.3</v>
      </c>
      <c r="O603" s="186" t="s">
        <v>1575</v>
      </c>
      <c r="P603" s="187" t="n">
        <v>45918</v>
      </c>
    </row>
    <row r="604" customFormat="false" ht="51" hidden="false" customHeight="true" outlineLevel="0" collapsed="false">
      <c r="A604" s="181" t="s">
        <v>1576</v>
      </c>
      <c r="B604" s="182" t="n">
        <v>1722</v>
      </c>
      <c r="C604" s="183" t="n">
        <v>37595</v>
      </c>
      <c r="D604" s="181" t="s">
        <v>3327</v>
      </c>
      <c r="E604" s="181" t="s">
        <v>409</v>
      </c>
      <c r="F604" s="181" t="s">
        <v>410</v>
      </c>
      <c r="G604" s="181" t="s">
        <v>235</v>
      </c>
      <c r="H604" s="181" t="s">
        <v>279</v>
      </c>
      <c r="I604" s="181" t="s">
        <v>230</v>
      </c>
      <c r="J604" s="184" t="n">
        <v>51930</v>
      </c>
      <c r="K604" s="184" t="n">
        <v>24090</v>
      </c>
      <c r="L604" s="185" t="n">
        <v>9</v>
      </c>
      <c r="M604" s="184" t="n">
        <v>27840</v>
      </c>
      <c r="N604" s="184" t="n">
        <v>25334.4</v>
      </c>
      <c r="O604" s="186" t="s">
        <v>1577</v>
      </c>
      <c r="P604" s="187" t="n">
        <v>45918</v>
      </c>
    </row>
    <row r="605" customFormat="false" ht="51" hidden="false" customHeight="true" outlineLevel="0" collapsed="false">
      <c r="A605" s="181" t="s">
        <v>1578</v>
      </c>
      <c r="B605" s="182" t="n">
        <v>1723</v>
      </c>
      <c r="C605" s="183" t="n">
        <v>37602</v>
      </c>
      <c r="D605" s="181" t="s">
        <v>3327</v>
      </c>
      <c r="E605" s="181" t="s">
        <v>350</v>
      </c>
      <c r="F605" s="181" t="s">
        <v>351</v>
      </c>
      <c r="G605" s="181" t="s">
        <v>235</v>
      </c>
      <c r="H605" s="181" t="s">
        <v>279</v>
      </c>
      <c r="I605" s="181" t="s">
        <v>230</v>
      </c>
      <c r="J605" s="184" t="n">
        <v>40860</v>
      </c>
      <c r="K605" s="184" t="n">
        <v>14910</v>
      </c>
      <c r="L605" s="185" t="n">
        <v>7</v>
      </c>
      <c r="M605" s="184" t="n">
        <v>25950</v>
      </c>
      <c r="N605" s="184" t="n">
        <v>24133.5</v>
      </c>
      <c r="O605" s="186" t="s">
        <v>1579</v>
      </c>
      <c r="P605" s="187" t="n">
        <v>45918</v>
      </c>
    </row>
    <row r="606" customFormat="false" ht="51" hidden="false" customHeight="true" outlineLevel="0" collapsed="false">
      <c r="A606" s="181" t="s">
        <v>1580</v>
      </c>
      <c r="B606" s="182" t="n">
        <v>1724</v>
      </c>
      <c r="C606" s="183" t="n">
        <v>37616</v>
      </c>
      <c r="D606" s="181" t="s">
        <v>3327</v>
      </c>
      <c r="E606" s="181" t="s">
        <v>282</v>
      </c>
      <c r="F606" s="181" t="s">
        <v>283</v>
      </c>
      <c r="G606" s="181" t="s">
        <v>235</v>
      </c>
      <c r="H606" s="181" t="s">
        <v>279</v>
      </c>
      <c r="I606" s="181" t="s">
        <v>230</v>
      </c>
      <c r="J606" s="184" t="n">
        <v>39270</v>
      </c>
      <c r="K606" s="184" t="n">
        <v>15040</v>
      </c>
      <c r="L606" s="185" t="n">
        <v>12</v>
      </c>
      <c r="M606" s="184" t="n">
        <v>24230</v>
      </c>
      <c r="N606" s="184" t="n">
        <v>21322.4</v>
      </c>
      <c r="O606" s="186" t="s">
        <v>1581</v>
      </c>
      <c r="P606" s="187" t="n">
        <v>45918</v>
      </c>
    </row>
    <row r="607" customFormat="false" ht="51" hidden="false" customHeight="true" outlineLevel="0" collapsed="false">
      <c r="A607" s="181" t="s">
        <v>1582</v>
      </c>
      <c r="B607" s="182" t="n">
        <v>1725</v>
      </c>
      <c r="C607" s="183" t="n">
        <v>37618</v>
      </c>
      <c r="D607" s="181" t="s">
        <v>3327</v>
      </c>
      <c r="E607" s="181" t="s">
        <v>537</v>
      </c>
      <c r="F607" s="181" t="s">
        <v>538</v>
      </c>
      <c r="G607" s="181" t="s">
        <v>235</v>
      </c>
      <c r="H607" s="181" t="s">
        <v>279</v>
      </c>
      <c r="I607" s="181" t="s">
        <v>230</v>
      </c>
      <c r="J607" s="184" t="n">
        <v>35090</v>
      </c>
      <c r="K607" s="184" t="n">
        <v>13970</v>
      </c>
      <c r="L607" s="185" t="n">
        <v>13</v>
      </c>
      <c r="M607" s="184" t="n">
        <v>21120</v>
      </c>
      <c r="N607" s="184" t="n">
        <v>18374.4</v>
      </c>
      <c r="O607" s="186" t="s">
        <v>1583</v>
      </c>
      <c r="P607" s="187" t="n">
        <v>45918</v>
      </c>
    </row>
    <row r="608" customFormat="false" ht="51" hidden="false" customHeight="true" outlineLevel="0" collapsed="false">
      <c r="A608" s="181" t="s">
        <v>1584</v>
      </c>
      <c r="B608" s="182" t="n">
        <v>1726</v>
      </c>
      <c r="C608" s="183" t="n">
        <v>37624</v>
      </c>
      <c r="D608" s="181" t="s">
        <v>3327</v>
      </c>
      <c r="E608" s="181" t="s">
        <v>336</v>
      </c>
      <c r="F608" s="181" t="s">
        <v>337</v>
      </c>
      <c r="G608" s="181" t="s">
        <v>235</v>
      </c>
      <c r="H608" s="181" t="s">
        <v>279</v>
      </c>
      <c r="I608" s="181" t="s">
        <v>230</v>
      </c>
      <c r="J608" s="184" t="n">
        <v>39280</v>
      </c>
      <c r="K608" s="184" t="n">
        <v>14530</v>
      </c>
      <c r="L608" s="185" t="n">
        <v>8</v>
      </c>
      <c r="M608" s="184" t="n">
        <v>24750</v>
      </c>
      <c r="N608" s="184" t="n">
        <v>22770</v>
      </c>
      <c r="O608" s="186" t="s">
        <v>1585</v>
      </c>
      <c r="P608" s="187" t="n">
        <v>45918</v>
      </c>
    </row>
    <row r="609" customFormat="false" ht="51" hidden="false" customHeight="true" outlineLevel="0" collapsed="false">
      <c r="A609" s="181" t="s">
        <v>1586</v>
      </c>
      <c r="B609" s="182" t="n">
        <v>1727</v>
      </c>
      <c r="C609" s="183" t="n">
        <v>37626</v>
      </c>
      <c r="D609" s="181" t="s">
        <v>3327</v>
      </c>
      <c r="E609" s="181" t="s">
        <v>340</v>
      </c>
      <c r="F609" s="181" t="s">
        <v>341</v>
      </c>
      <c r="G609" s="181" t="s">
        <v>235</v>
      </c>
      <c r="H609" s="181" t="s">
        <v>279</v>
      </c>
      <c r="I609" s="181" t="s">
        <v>230</v>
      </c>
      <c r="J609" s="184" t="n">
        <v>39690</v>
      </c>
      <c r="K609" s="184" t="n">
        <v>15120</v>
      </c>
      <c r="L609" s="185" t="n">
        <v>5</v>
      </c>
      <c r="M609" s="184" t="n">
        <v>24570</v>
      </c>
      <c r="N609" s="184" t="n">
        <v>23341.5</v>
      </c>
      <c r="O609" s="186" t="s">
        <v>1587</v>
      </c>
      <c r="P609" s="187" t="n">
        <v>45918</v>
      </c>
    </row>
    <row r="610" customFormat="false" ht="51" hidden="false" customHeight="true" outlineLevel="0" collapsed="false">
      <c r="A610" s="181" t="s">
        <v>1588</v>
      </c>
      <c r="B610" s="182" t="n">
        <v>1728</v>
      </c>
      <c r="C610" s="183" t="n">
        <v>37622</v>
      </c>
      <c r="D610" s="181" t="s">
        <v>3327</v>
      </c>
      <c r="E610" s="181" t="s">
        <v>346</v>
      </c>
      <c r="F610" s="181" t="s">
        <v>347</v>
      </c>
      <c r="G610" s="181" t="s">
        <v>235</v>
      </c>
      <c r="H610" s="181" t="s">
        <v>279</v>
      </c>
      <c r="I610" s="181" t="s">
        <v>230</v>
      </c>
      <c r="J610" s="184" t="n">
        <v>38880</v>
      </c>
      <c r="K610" s="184" t="n">
        <v>14980</v>
      </c>
      <c r="L610" s="185" t="n">
        <v>7</v>
      </c>
      <c r="M610" s="184" t="n">
        <v>23900</v>
      </c>
      <c r="N610" s="184" t="n">
        <v>22227</v>
      </c>
      <c r="O610" s="186" t="s">
        <v>1589</v>
      </c>
      <c r="P610" s="187" t="n">
        <v>45918</v>
      </c>
    </row>
    <row r="611" customFormat="false" ht="51" hidden="false" customHeight="true" outlineLevel="0" collapsed="false">
      <c r="A611" s="181" t="s">
        <v>1590</v>
      </c>
      <c r="B611" s="182" t="n">
        <v>1730</v>
      </c>
      <c r="C611" s="183" t="n">
        <v>37693</v>
      </c>
      <c r="D611" s="181" t="s">
        <v>3327</v>
      </c>
      <c r="E611" s="181" t="s">
        <v>308</v>
      </c>
      <c r="F611" s="181" t="s">
        <v>309</v>
      </c>
      <c r="G611" s="181" t="s">
        <v>233</v>
      </c>
      <c r="H611" s="181" t="s">
        <v>279</v>
      </c>
      <c r="I611" s="181" t="s">
        <v>230</v>
      </c>
      <c r="J611" s="184" t="n">
        <v>56660</v>
      </c>
      <c r="K611" s="184" t="n">
        <v>24020</v>
      </c>
      <c r="L611" s="185" t="n">
        <v>12</v>
      </c>
      <c r="M611" s="184" t="n">
        <v>32640</v>
      </c>
      <c r="N611" s="184" t="n">
        <v>28723.2</v>
      </c>
      <c r="O611" s="186" t="s">
        <v>1591</v>
      </c>
      <c r="P611" s="187" t="n">
        <v>45919</v>
      </c>
    </row>
    <row r="612" customFormat="false" ht="51" hidden="false" customHeight="true" outlineLevel="0" collapsed="false">
      <c r="A612" s="181" t="s">
        <v>1592</v>
      </c>
      <c r="B612" s="182" t="n">
        <v>1731</v>
      </c>
      <c r="C612" s="183" t="n">
        <v>37695</v>
      </c>
      <c r="D612" s="181" t="s">
        <v>3327</v>
      </c>
      <c r="E612" s="181" t="s">
        <v>304</v>
      </c>
      <c r="F612" s="181" t="s">
        <v>305</v>
      </c>
      <c r="G612" s="181" t="s">
        <v>233</v>
      </c>
      <c r="H612" s="181" t="s">
        <v>279</v>
      </c>
      <c r="I612" s="181" t="s">
        <v>230</v>
      </c>
      <c r="J612" s="184" t="n">
        <v>39540</v>
      </c>
      <c r="K612" s="184" t="n">
        <v>15060</v>
      </c>
      <c r="L612" s="185" t="n">
        <v>8</v>
      </c>
      <c r="M612" s="184" t="n">
        <v>24480</v>
      </c>
      <c r="N612" s="184" t="n">
        <v>22521.6</v>
      </c>
      <c r="O612" s="186" t="s">
        <v>1593</v>
      </c>
      <c r="P612" s="187" t="n">
        <v>45919</v>
      </c>
    </row>
    <row r="613" customFormat="false" ht="51" hidden="false" customHeight="true" outlineLevel="0" collapsed="false">
      <c r="A613" s="181" t="s">
        <v>1594</v>
      </c>
      <c r="B613" s="182" t="n">
        <v>1732</v>
      </c>
      <c r="C613" s="183" t="n">
        <v>37628</v>
      </c>
      <c r="D613" s="181" t="s">
        <v>3327</v>
      </c>
      <c r="E613" s="181" t="s">
        <v>533</v>
      </c>
      <c r="F613" s="181" t="s">
        <v>534</v>
      </c>
      <c r="G613" s="181" t="s">
        <v>233</v>
      </c>
      <c r="H613" s="181" t="s">
        <v>279</v>
      </c>
      <c r="I613" s="181" t="s">
        <v>230</v>
      </c>
      <c r="J613" s="184" t="n">
        <v>39670</v>
      </c>
      <c r="K613" s="184" t="n">
        <v>14570</v>
      </c>
      <c r="L613" s="185" t="n">
        <v>7</v>
      </c>
      <c r="M613" s="184" t="n">
        <v>25100</v>
      </c>
      <c r="N613" s="184" t="n">
        <v>23343</v>
      </c>
      <c r="O613" s="186" t="s">
        <v>1595</v>
      </c>
      <c r="P613" s="187" t="n">
        <v>45919</v>
      </c>
    </row>
    <row r="614" customFormat="false" ht="51" hidden="false" customHeight="true" outlineLevel="0" collapsed="false">
      <c r="A614" s="181" t="s">
        <v>1596</v>
      </c>
      <c r="B614" s="182" t="n">
        <v>1733</v>
      </c>
      <c r="C614" s="183" t="n">
        <v>37683</v>
      </c>
      <c r="D614" s="181" t="s">
        <v>3327</v>
      </c>
      <c r="E614" s="181" t="s">
        <v>377</v>
      </c>
      <c r="F614" s="181" t="s">
        <v>378</v>
      </c>
      <c r="G614" s="181" t="s">
        <v>233</v>
      </c>
      <c r="H614" s="181" t="s">
        <v>279</v>
      </c>
      <c r="I614" s="181" t="s">
        <v>230</v>
      </c>
      <c r="J614" s="184" t="n">
        <v>41470</v>
      </c>
      <c r="K614" s="184" t="n">
        <v>15550</v>
      </c>
      <c r="L614" s="185" t="n">
        <v>11</v>
      </c>
      <c r="M614" s="184" t="n">
        <v>25920</v>
      </c>
      <c r="N614" s="184" t="n">
        <v>23068.8</v>
      </c>
      <c r="O614" s="186" t="s">
        <v>1597</v>
      </c>
      <c r="P614" s="187" t="n">
        <v>45919</v>
      </c>
    </row>
    <row r="615" customFormat="false" ht="51" hidden="false" customHeight="true" outlineLevel="0" collapsed="false">
      <c r="A615" s="181" t="s">
        <v>1598</v>
      </c>
      <c r="B615" s="182" t="n">
        <v>1734</v>
      </c>
      <c r="C615" s="183" t="n">
        <v>37689</v>
      </c>
      <c r="D615" s="181" t="s">
        <v>3327</v>
      </c>
      <c r="E615" s="181" t="s">
        <v>413</v>
      </c>
      <c r="F615" s="181" t="s">
        <v>414</v>
      </c>
      <c r="G615" s="181" t="s">
        <v>233</v>
      </c>
      <c r="H615" s="181" t="s">
        <v>279</v>
      </c>
      <c r="I615" s="181" t="s">
        <v>230</v>
      </c>
      <c r="J615" s="184" t="n">
        <v>42850</v>
      </c>
      <c r="K615" s="184" t="n">
        <v>15520</v>
      </c>
      <c r="L615" s="185" t="n">
        <v>14</v>
      </c>
      <c r="M615" s="184" t="n">
        <v>27330</v>
      </c>
      <c r="N615" s="184" t="n">
        <v>23503.8</v>
      </c>
      <c r="O615" s="186" t="s">
        <v>1599</v>
      </c>
      <c r="P615" s="187" t="n">
        <v>45919</v>
      </c>
    </row>
    <row r="616" customFormat="false" ht="51" hidden="false" customHeight="true" outlineLevel="0" collapsed="false">
      <c r="A616" s="181" t="s">
        <v>1600</v>
      </c>
      <c r="B616" s="182" t="n">
        <v>1735</v>
      </c>
      <c r="C616" s="183" t="n">
        <v>37697</v>
      </c>
      <c r="D616" s="181" t="s">
        <v>3327</v>
      </c>
      <c r="E616" s="181" t="s">
        <v>439</v>
      </c>
      <c r="F616" s="181" t="s">
        <v>440</v>
      </c>
      <c r="G616" s="181" t="s">
        <v>233</v>
      </c>
      <c r="H616" s="181" t="s">
        <v>279</v>
      </c>
      <c r="I616" s="181" t="s">
        <v>230</v>
      </c>
      <c r="J616" s="184" t="n">
        <v>41270</v>
      </c>
      <c r="K616" s="184" t="n">
        <v>16310</v>
      </c>
      <c r="L616" s="185" t="n">
        <v>4</v>
      </c>
      <c r="M616" s="184" t="n">
        <v>24960</v>
      </c>
      <c r="N616" s="184" t="n">
        <v>23961.6</v>
      </c>
      <c r="O616" s="186" t="s">
        <v>1601</v>
      </c>
      <c r="P616" s="187" t="n">
        <v>45919</v>
      </c>
    </row>
    <row r="617" customFormat="false" ht="51" hidden="false" customHeight="true" outlineLevel="0" collapsed="false">
      <c r="A617" s="181" t="s">
        <v>1602</v>
      </c>
      <c r="B617" s="182" t="n">
        <v>1737</v>
      </c>
      <c r="C617" s="183" t="n">
        <v>37699</v>
      </c>
      <c r="D617" s="181" t="s">
        <v>3327</v>
      </c>
      <c r="E617" s="181" t="s">
        <v>431</v>
      </c>
      <c r="F617" s="181" t="s">
        <v>432</v>
      </c>
      <c r="G617" s="181" t="s">
        <v>233</v>
      </c>
      <c r="H617" s="181" t="s">
        <v>279</v>
      </c>
      <c r="I617" s="181" t="s">
        <v>230</v>
      </c>
      <c r="J617" s="184" t="n">
        <v>39830</v>
      </c>
      <c r="K617" s="184" t="n">
        <v>16410</v>
      </c>
      <c r="L617" s="185" t="n">
        <v>8</v>
      </c>
      <c r="M617" s="184" t="n">
        <v>23420</v>
      </c>
      <c r="N617" s="184" t="n">
        <v>21546.4</v>
      </c>
      <c r="O617" s="186" t="s">
        <v>1603</v>
      </c>
      <c r="P617" s="187" t="n">
        <v>45919</v>
      </c>
    </row>
    <row r="618" customFormat="false" ht="51" hidden="false" customHeight="true" outlineLevel="0" collapsed="false">
      <c r="A618" s="181" t="s">
        <v>1604</v>
      </c>
      <c r="B618" s="182" t="n">
        <v>1738</v>
      </c>
      <c r="C618" s="183" t="n">
        <v>37701</v>
      </c>
      <c r="D618" s="181" t="s">
        <v>3327</v>
      </c>
      <c r="E618" s="181" t="s">
        <v>435</v>
      </c>
      <c r="F618" s="181" t="s">
        <v>436</v>
      </c>
      <c r="G618" s="181" t="s">
        <v>234</v>
      </c>
      <c r="H618" s="181" t="s">
        <v>279</v>
      </c>
      <c r="I618" s="181" t="s">
        <v>230</v>
      </c>
      <c r="J618" s="184" t="n">
        <v>40400</v>
      </c>
      <c r="K618" s="184" t="n">
        <v>16310</v>
      </c>
      <c r="L618" s="185" t="n">
        <v>4</v>
      </c>
      <c r="M618" s="184" t="n">
        <v>24090</v>
      </c>
      <c r="N618" s="184" t="n">
        <v>23126.4</v>
      </c>
      <c r="O618" s="186" t="s">
        <v>1605</v>
      </c>
      <c r="P618" s="187" t="n">
        <v>45919</v>
      </c>
    </row>
    <row r="619" customFormat="false" ht="51" hidden="false" customHeight="true" outlineLevel="0" collapsed="false">
      <c r="A619" s="181" t="s">
        <v>1606</v>
      </c>
      <c r="B619" s="182" t="n">
        <v>1739</v>
      </c>
      <c r="C619" s="183" t="n">
        <v>37703</v>
      </c>
      <c r="D619" s="181" t="s">
        <v>3327</v>
      </c>
      <c r="E619" s="181" t="s">
        <v>549</v>
      </c>
      <c r="F619" s="181" t="s">
        <v>550</v>
      </c>
      <c r="G619" s="181" t="s">
        <v>234</v>
      </c>
      <c r="H619" s="181" t="s">
        <v>279</v>
      </c>
      <c r="I619" s="181" t="s">
        <v>230</v>
      </c>
      <c r="J619" s="184" t="n">
        <v>40680</v>
      </c>
      <c r="K619" s="184" t="n">
        <v>15850</v>
      </c>
      <c r="L619" s="185" t="n">
        <v>9</v>
      </c>
      <c r="M619" s="184" t="n">
        <v>24830</v>
      </c>
      <c r="N619" s="184" t="n">
        <v>22595.3</v>
      </c>
      <c r="O619" s="186" t="s">
        <v>1607</v>
      </c>
      <c r="P619" s="187" t="n">
        <v>45919</v>
      </c>
    </row>
    <row r="620" customFormat="false" ht="51" hidden="false" customHeight="true" outlineLevel="0" collapsed="false">
      <c r="A620" s="181" t="s">
        <v>1608</v>
      </c>
      <c r="B620" s="182" t="n">
        <v>1740</v>
      </c>
      <c r="C620" s="183" t="n">
        <v>37705</v>
      </c>
      <c r="D620" s="181" t="s">
        <v>3327</v>
      </c>
      <c r="E620" s="181" t="s">
        <v>541</v>
      </c>
      <c r="F620" s="181" t="s">
        <v>542</v>
      </c>
      <c r="G620" s="181" t="s">
        <v>234</v>
      </c>
      <c r="H620" s="181" t="s">
        <v>279</v>
      </c>
      <c r="I620" s="181" t="s">
        <v>230</v>
      </c>
      <c r="J620" s="184" t="n">
        <v>39970</v>
      </c>
      <c r="K620" s="184" t="n">
        <v>14930</v>
      </c>
      <c r="L620" s="185" t="n">
        <v>10</v>
      </c>
      <c r="M620" s="184" t="n">
        <v>25040</v>
      </c>
      <c r="N620" s="184" t="n">
        <v>22536</v>
      </c>
      <c r="O620" s="186" t="s">
        <v>1609</v>
      </c>
      <c r="P620" s="187" t="n">
        <v>45919</v>
      </c>
    </row>
    <row r="621" customFormat="false" ht="51" hidden="false" customHeight="true" outlineLevel="0" collapsed="false">
      <c r="A621" s="181" t="s">
        <v>1610</v>
      </c>
      <c r="B621" s="182" t="n">
        <v>1743</v>
      </c>
      <c r="C621" s="183" t="n">
        <v>37709</v>
      </c>
      <c r="D621" s="181" t="s">
        <v>3327</v>
      </c>
      <c r="E621" s="181" t="s">
        <v>354</v>
      </c>
      <c r="F621" s="181" t="s">
        <v>355</v>
      </c>
      <c r="G621" s="181" t="s">
        <v>234</v>
      </c>
      <c r="H621" s="181" t="s">
        <v>279</v>
      </c>
      <c r="I621" s="181" t="s">
        <v>230</v>
      </c>
      <c r="J621" s="184" t="n">
        <v>37740</v>
      </c>
      <c r="K621" s="184" t="n">
        <v>14670</v>
      </c>
      <c r="L621" s="185" t="n">
        <v>4</v>
      </c>
      <c r="M621" s="184" t="n">
        <v>23070</v>
      </c>
      <c r="N621" s="184" t="n">
        <v>22147.2</v>
      </c>
      <c r="O621" s="186" t="s">
        <v>1611</v>
      </c>
      <c r="P621" s="187" t="n">
        <v>45919</v>
      </c>
    </row>
    <row r="622" customFormat="false" ht="51" hidden="false" customHeight="true" outlineLevel="0" collapsed="false">
      <c r="A622" s="181" t="s">
        <v>1612</v>
      </c>
      <c r="B622" s="182" t="n">
        <v>1745</v>
      </c>
      <c r="C622" s="183" t="n">
        <v>37711</v>
      </c>
      <c r="D622" s="181" t="s">
        <v>3327</v>
      </c>
      <c r="E622" s="181" t="s">
        <v>383</v>
      </c>
      <c r="F622" s="181" t="s">
        <v>384</v>
      </c>
      <c r="G622" s="181" t="s">
        <v>233</v>
      </c>
      <c r="H622" s="181" t="s">
        <v>279</v>
      </c>
      <c r="I622" s="181" t="s">
        <v>230</v>
      </c>
      <c r="J622" s="184" t="n">
        <v>38820</v>
      </c>
      <c r="K622" s="184" t="n">
        <v>14760</v>
      </c>
      <c r="L622" s="185" t="n">
        <v>5</v>
      </c>
      <c r="M622" s="184" t="n">
        <v>24060</v>
      </c>
      <c r="N622" s="184" t="n">
        <v>22857</v>
      </c>
      <c r="O622" s="186" t="s">
        <v>1613</v>
      </c>
      <c r="P622" s="187" t="n">
        <v>45919</v>
      </c>
    </row>
    <row r="623" customFormat="false" ht="51" hidden="false" customHeight="true" outlineLevel="0" collapsed="false">
      <c r="A623" s="181" t="s">
        <v>1614</v>
      </c>
      <c r="B623" s="182" t="n">
        <v>1746</v>
      </c>
      <c r="C623" s="183" t="n">
        <v>37715</v>
      </c>
      <c r="D623" s="181" t="s">
        <v>3327</v>
      </c>
      <c r="E623" s="181" t="s">
        <v>272</v>
      </c>
      <c r="F623" s="181" t="s">
        <v>273</v>
      </c>
      <c r="G623" s="181" t="s">
        <v>234</v>
      </c>
      <c r="H623" s="181" t="s">
        <v>279</v>
      </c>
      <c r="I623" s="181" t="s">
        <v>230</v>
      </c>
      <c r="J623" s="184" t="n">
        <v>38620</v>
      </c>
      <c r="K623" s="184" t="n">
        <v>15550</v>
      </c>
      <c r="L623" s="185" t="n">
        <v>9</v>
      </c>
      <c r="M623" s="184" t="n">
        <v>23070</v>
      </c>
      <c r="N623" s="184" t="n">
        <v>20993.7</v>
      </c>
      <c r="O623" s="186" t="s">
        <v>1615</v>
      </c>
      <c r="P623" s="187" t="n">
        <v>45919</v>
      </c>
    </row>
    <row r="624" customFormat="false" ht="51" hidden="false" customHeight="true" outlineLevel="0" collapsed="false">
      <c r="A624" s="181" t="s">
        <v>1616</v>
      </c>
      <c r="B624" s="182" t="n">
        <v>1747</v>
      </c>
      <c r="C624" s="183" t="n">
        <v>37719</v>
      </c>
      <c r="D624" s="181" t="s">
        <v>3327</v>
      </c>
      <c r="E624" s="181" t="s">
        <v>277</v>
      </c>
      <c r="F624" s="181" t="s">
        <v>278</v>
      </c>
      <c r="G624" s="181" t="s">
        <v>234</v>
      </c>
      <c r="H624" s="181" t="s">
        <v>279</v>
      </c>
      <c r="I624" s="181" t="s">
        <v>230</v>
      </c>
      <c r="J624" s="184" t="n">
        <v>42670</v>
      </c>
      <c r="K624" s="184" t="n">
        <v>15080</v>
      </c>
      <c r="L624" s="185" t="n">
        <v>4</v>
      </c>
      <c r="M624" s="184" t="n">
        <v>27590</v>
      </c>
      <c r="N624" s="184" t="n">
        <v>26486.4</v>
      </c>
      <c r="O624" s="186" t="s">
        <v>1617</v>
      </c>
      <c r="P624" s="187" t="n">
        <v>45919</v>
      </c>
    </row>
    <row r="625" customFormat="false" ht="51" hidden="false" customHeight="true" outlineLevel="0" collapsed="false">
      <c r="A625" s="181" t="s">
        <v>1618</v>
      </c>
      <c r="B625" s="182" t="n">
        <v>1748</v>
      </c>
      <c r="C625" s="183" t="n">
        <v>37724</v>
      </c>
      <c r="D625" s="181" t="s">
        <v>3327</v>
      </c>
      <c r="E625" s="181" t="s">
        <v>399</v>
      </c>
      <c r="F625" s="181" t="s">
        <v>400</v>
      </c>
      <c r="G625" s="181" t="s">
        <v>234</v>
      </c>
      <c r="H625" s="181" t="s">
        <v>279</v>
      </c>
      <c r="I625" s="181" t="s">
        <v>230</v>
      </c>
      <c r="J625" s="184" t="n">
        <v>53330</v>
      </c>
      <c r="K625" s="184" t="n">
        <v>19220</v>
      </c>
      <c r="L625" s="185" t="n">
        <v>9</v>
      </c>
      <c r="M625" s="184" t="n">
        <v>34110</v>
      </c>
      <c r="N625" s="184" t="n">
        <v>31040.1</v>
      </c>
      <c r="O625" s="186" t="s">
        <v>1619</v>
      </c>
      <c r="P625" s="187" t="n">
        <v>45919</v>
      </c>
    </row>
    <row r="626" customFormat="false" ht="51" hidden="false" customHeight="true" outlineLevel="0" collapsed="false">
      <c r="A626" s="181" t="s">
        <v>1620</v>
      </c>
      <c r="B626" s="182" t="n">
        <v>1749</v>
      </c>
      <c r="C626" s="181" t="s">
        <v>1621</v>
      </c>
      <c r="D626" s="181" t="s">
        <v>3327</v>
      </c>
      <c r="E626" s="181" t="s">
        <v>300</v>
      </c>
      <c r="F626" s="181" t="s">
        <v>301</v>
      </c>
      <c r="G626" s="181" t="s">
        <v>234</v>
      </c>
      <c r="H626" s="181" t="s">
        <v>279</v>
      </c>
      <c r="I626" s="181" t="s">
        <v>230</v>
      </c>
      <c r="J626" s="184" t="n">
        <v>55380</v>
      </c>
      <c r="K626" s="184" t="n">
        <v>20890</v>
      </c>
      <c r="L626" s="185" t="n">
        <v>8</v>
      </c>
      <c r="M626" s="184" t="n">
        <v>34490</v>
      </c>
      <c r="N626" s="184" t="n">
        <v>31730.8</v>
      </c>
      <c r="O626" s="186" t="s">
        <v>1622</v>
      </c>
      <c r="P626" s="187" t="n">
        <v>45919</v>
      </c>
    </row>
    <row r="627" customFormat="false" ht="51" hidden="false" customHeight="true" outlineLevel="0" collapsed="false">
      <c r="A627" s="181" t="s">
        <v>1623</v>
      </c>
      <c r="B627" s="182" t="n">
        <v>1751</v>
      </c>
      <c r="C627" s="183" t="n">
        <v>37728</v>
      </c>
      <c r="D627" s="181" t="s">
        <v>3327</v>
      </c>
      <c r="E627" s="181" t="s">
        <v>1019</v>
      </c>
      <c r="F627" s="181" t="s">
        <v>1020</v>
      </c>
      <c r="G627" s="181" t="s">
        <v>234</v>
      </c>
      <c r="H627" s="181" t="s">
        <v>279</v>
      </c>
      <c r="I627" s="181" t="s">
        <v>230</v>
      </c>
      <c r="J627" s="184" t="n">
        <v>44420</v>
      </c>
      <c r="K627" s="184" t="n">
        <v>17030</v>
      </c>
      <c r="L627" s="185" t="n">
        <v>5</v>
      </c>
      <c r="M627" s="184" t="n">
        <v>27390</v>
      </c>
      <c r="N627" s="184" t="n">
        <v>26020.5</v>
      </c>
      <c r="O627" s="186" t="s">
        <v>1624</v>
      </c>
      <c r="P627" s="187" t="n">
        <v>45919</v>
      </c>
    </row>
    <row r="628" customFormat="false" ht="51" hidden="false" customHeight="true" outlineLevel="0" collapsed="false">
      <c r="A628" s="181" t="s">
        <v>1625</v>
      </c>
      <c r="B628" s="182" t="n">
        <v>1752</v>
      </c>
      <c r="C628" s="183" t="n">
        <v>37726</v>
      </c>
      <c r="D628" s="181" t="s">
        <v>3327</v>
      </c>
      <c r="E628" s="181" t="s">
        <v>1027</v>
      </c>
      <c r="F628" s="181" t="s">
        <v>1028</v>
      </c>
      <c r="G628" s="181" t="s">
        <v>234</v>
      </c>
      <c r="H628" s="181" t="s">
        <v>279</v>
      </c>
      <c r="I628" s="181" t="s">
        <v>230</v>
      </c>
      <c r="J628" s="184" t="n">
        <v>39350</v>
      </c>
      <c r="K628" s="184" t="n">
        <v>14940</v>
      </c>
      <c r="L628" s="185" t="n">
        <v>5</v>
      </c>
      <c r="M628" s="184" t="n">
        <v>24410</v>
      </c>
      <c r="N628" s="184" t="n">
        <v>23189.5</v>
      </c>
      <c r="O628" s="186" t="s">
        <v>1626</v>
      </c>
      <c r="P628" s="187" t="n">
        <v>45919</v>
      </c>
    </row>
    <row r="629" customFormat="false" ht="51" hidden="false" customHeight="true" outlineLevel="0" collapsed="false">
      <c r="A629" s="181" t="s">
        <v>1627</v>
      </c>
      <c r="B629" s="182" t="n">
        <v>1753</v>
      </c>
      <c r="C629" s="183" t="n">
        <v>37730</v>
      </c>
      <c r="D629" s="181" t="s">
        <v>3327</v>
      </c>
      <c r="E629" s="181" t="s">
        <v>1023</v>
      </c>
      <c r="F629" s="181" t="s">
        <v>1024</v>
      </c>
      <c r="G629" s="181" t="s">
        <v>234</v>
      </c>
      <c r="H629" s="181" t="s">
        <v>279</v>
      </c>
      <c r="I629" s="181" t="s">
        <v>230</v>
      </c>
      <c r="J629" s="184" t="n">
        <v>36890</v>
      </c>
      <c r="K629" s="184" t="n">
        <v>14720</v>
      </c>
      <c r="L629" s="185" t="n">
        <v>10</v>
      </c>
      <c r="M629" s="184" t="n">
        <v>22170</v>
      </c>
      <c r="N629" s="184" t="n">
        <v>19953</v>
      </c>
      <c r="O629" s="186" t="s">
        <v>1628</v>
      </c>
      <c r="P629" s="187" t="n">
        <v>45919</v>
      </c>
    </row>
    <row r="630" customFormat="false" ht="51" hidden="false" customHeight="true" outlineLevel="0" collapsed="false">
      <c r="A630" s="181" t="s">
        <v>1629</v>
      </c>
      <c r="B630" s="182" t="n">
        <v>1754</v>
      </c>
      <c r="C630" s="183" t="n">
        <v>37736</v>
      </c>
      <c r="D630" s="181" t="s">
        <v>3327</v>
      </c>
      <c r="E630" s="181" t="s">
        <v>409</v>
      </c>
      <c r="F630" s="181" t="s">
        <v>410</v>
      </c>
      <c r="G630" s="181" t="s">
        <v>234</v>
      </c>
      <c r="H630" s="181" t="s">
        <v>279</v>
      </c>
      <c r="I630" s="181" t="s">
        <v>230</v>
      </c>
      <c r="J630" s="184" t="n">
        <v>58870</v>
      </c>
      <c r="K630" s="184" t="n">
        <v>24080</v>
      </c>
      <c r="L630" s="185" t="n">
        <v>12</v>
      </c>
      <c r="M630" s="184" t="n">
        <v>34790</v>
      </c>
      <c r="N630" s="184" t="n">
        <v>30615.2</v>
      </c>
      <c r="O630" s="186" t="s">
        <v>1630</v>
      </c>
      <c r="P630" s="187" t="n">
        <v>45920</v>
      </c>
    </row>
    <row r="631" customFormat="false" ht="51" hidden="false" customHeight="true" outlineLevel="0" collapsed="false">
      <c r="A631" s="181" t="s">
        <v>1631</v>
      </c>
      <c r="B631" s="182" t="n">
        <v>1755</v>
      </c>
      <c r="C631" s="183" t="n">
        <v>37738</v>
      </c>
      <c r="D631" s="181" t="s">
        <v>3327</v>
      </c>
      <c r="E631" s="181" t="s">
        <v>387</v>
      </c>
      <c r="F631" s="181" t="s">
        <v>388</v>
      </c>
      <c r="G631" s="181" t="s">
        <v>234</v>
      </c>
      <c r="H631" s="181" t="s">
        <v>279</v>
      </c>
      <c r="I631" s="181" t="s">
        <v>230</v>
      </c>
      <c r="J631" s="184" t="n">
        <v>42430</v>
      </c>
      <c r="K631" s="184" t="n">
        <v>14930</v>
      </c>
      <c r="L631" s="185" t="n">
        <v>10</v>
      </c>
      <c r="M631" s="184" t="n">
        <v>27500</v>
      </c>
      <c r="N631" s="184" t="n">
        <v>24750</v>
      </c>
      <c r="O631" s="186" t="s">
        <v>1632</v>
      </c>
      <c r="P631" s="187" t="n">
        <v>45920</v>
      </c>
    </row>
    <row r="632" customFormat="false" ht="51" hidden="false" customHeight="true" outlineLevel="0" collapsed="false">
      <c r="A632" s="181" t="s">
        <v>1633</v>
      </c>
      <c r="B632" s="182" t="n">
        <v>1756</v>
      </c>
      <c r="C632" s="183" t="n">
        <v>37742</v>
      </c>
      <c r="D632" s="181" t="s">
        <v>3327</v>
      </c>
      <c r="E632" s="181" t="s">
        <v>373</v>
      </c>
      <c r="F632" s="181" t="s">
        <v>374</v>
      </c>
      <c r="G632" s="181" t="s">
        <v>234</v>
      </c>
      <c r="H632" s="181" t="s">
        <v>279</v>
      </c>
      <c r="I632" s="181" t="s">
        <v>230</v>
      </c>
      <c r="J632" s="184" t="n">
        <v>39630</v>
      </c>
      <c r="K632" s="184" t="n">
        <v>14170</v>
      </c>
      <c r="L632" s="185" t="n">
        <v>12</v>
      </c>
      <c r="M632" s="184" t="n">
        <v>25460</v>
      </c>
      <c r="N632" s="184" t="n">
        <v>22404.8</v>
      </c>
      <c r="O632" s="186" t="s">
        <v>1634</v>
      </c>
      <c r="P632" s="187" t="n">
        <v>45920</v>
      </c>
    </row>
    <row r="633" customFormat="false" ht="51" hidden="false" customHeight="true" outlineLevel="0" collapsed="false">
      <c r="A633" s="181" t="s">
        <v>1635</v>
      </c>
      <c r="B633" s="182" t="n">
        <v>1757</v>
      </c>
      <c r="C633" s="183" t="n">
        <v>37744</v>
      </c>
      <c r="D633" s="181" t="s">
        <v>3327</v>
      </c>
      <c r="E633" s="181" t="s">
        <v>359</v>
      </c>
      <c r="F633" s="181" t="s">
        <v>360</v>
      </c>
      <c r="G633" s="181" t="s">
        <v>234</v>
      </c>
      <c r="H633" s="181" t="s">
        <v>279</v>
      </c>
      <c r="I633" s="181" t="s">
        <v>230</v>
      </c>
      <c r="J633" s="184" t="n">
        <v>38110</v>
      </c>
      <c r="K633" s="184" t="n">
        <v>14860</v>
      </c>
      <c r="L633" s="185" t="n">
        <v>5</v>
      </c>
      <c r="M633" s="184" t="n">
        <v>23250</v>
      </c>
      <c r="N633" s="184" t="n">
        <v>22087.5</v>
      </c>
      <c r="O633" s="186" t="s">
        <v>1636</v>
      </c>
      <c r="P633" s="187" t="n">
        <v>45920</v>
      </c>
    </row>
    <row r="634" customFormat="false" ht="51" hidden="false" customHeight="true" outlineLevel="0" collapsed="false">
      <c r="A634" s="181" t="s">
        <v>1637</v>
      </c>
      <c r="B634" s="182" t="n">
        <v>1758</v>
      </c>
      <c r="C634" s="183" t="n">
        <v>37747</v>
      </c>
      <c r="D634" s="181" t="s">
        <v>3327</v>
      </c>
      <c r="E634" s="181" t="s">
        <v>413</v>
      </c>
      <c r="F634" s="181" t="s">
        <v>414</v>
      </c>
      <c r="G634" s="181" t="s">
        <v>234</v>
      </c>
      <c r="H634" s="181" t="s">
        <v>279</v>
      </c>
      <c r="I634" s="181" t="s">
        <v>230</v>
      </c>
      <c r="J634" s="184" t="n">
        <v>44560</v>
      </c>
      <c r="K634" s="184" t="n">
        <v>15750</v>
      </c>
      <c r="L634" s="185" t="n">
        <v>6</v>
      </c>
      <c r="M634" s="184" t="n">
        <v>28810</v>
      </c>
      <c r="N634" s="184" t="n">
        <v>27081.4</v>
      </c>
      <c r="O634" s="186" t="s">
        <v>1638</v>
      </c>
      <c r="P634" s="187" t="n">
        <v>45920</v>
      </c>
    </row>
    <row r="635" customFormat="false" ht="51" hidden="false" customHeight="true" outlineLevel="0" collapsed="false">
      <c r="A635" s="181" t="s">
        <v>1639</v>
      </c>
      <c r="B635" s="182" t="n">
        <v>1759</v>
      </c>
      <c r="C635" s="183" t="n">
        <v>37749</v>
      </c>
      <c r="D635" s="181" t="s">
        <v>3327</v>
      </c>
      <c r="E635" s="181" t="s">
        <v>537</v>
      </c>
      <c r="F635" s="181" t="s">
        <v>538</v>
      </c>
      <c r="G635" s="181" t="s">
        <v>234</v>
      </c>
      <c r="H635" s="181" t="s">
        <v>279</v>
      </c>
      <c r="I635" s="181" t="s">
        <v>230</v>
      </c>
      <c r="J635" s="184" t="n">
        <v>36170</v>
      </c>
      <c r="K635" s="184" t="n">
        <v>13990</v>
      </c>
      <c r="L635" s="185" t="n">
        <v>8</v>
      </c>
      <c r="M635" s="184" t="n">
        <v>22180</v>
      </c>
      <c r="N635" s="184" t="n">
        <v>20405.6</v>
      </c>
      <c r="O635" s="186" t="s">
        <v>1640</v>
      </c>
      <c r="P635" s="187" t="n">
        <v>45920</v>
      </c>
    </row>
    <row r="636" customFormat="false" ht="51" hidden="false" customHeight="true" outlineLevel="0" collapsed="false">
      <c r="A636" s="181" t="s">
        <v>1641</v>
      </c>
      <c r="B636" s="182" t="n">
        <v>1761</v>
      </c>
      <c r="C636" s="183" t="n">
        <v>37755</v>
      </c>
      <c r="D636" s="181" t="s">
        <v>3327</v>
      </c>
      <c r="E636" s="181" t="s">
        <v>439</v>
      </c>
      <c r="F636" s="181" t="s">
        <v>440</v>
      </c>
      <c r="G636" s="181" t="s">
        <v>234</v>
      </c>
      <c r="H636" s="181" t="s">
        <v>279</v>
      </c>
      <c r="I636" s="181" t="s">
        <v>230</v>
      </c>
      <c r="J636" s="184" t="n">
        <v>41690</v>
      </c>
      <c r="K636" s="184" t="n">
        <v>16310</v>
      </c>
      <c r="L636" s="185" t="n">
        <v>6</v>
      </c>
      <c r="M636" s="184" t="n">
        <v>25380</v>
      </c>
      <c r="N636" s="184" t="n">
        <v>23857.2</v>
      </c>
      <c r="O636" s="186" t="s">
        <v>1642</v>
      </c>
      <c r="P636" s="187" t="n">
        <v>45920</v>
      </c>
    </row>
    <row r="637" customFormat="false" ht="51" hidden="false" customHeight="true" outlineLevel="0" collapsed="false">
      <c r="A637" s="181" t="s">
        <v>1643</v>
      </c>
      <c r="B637" s="182" t="n">
        <v>1764</v>
      </c>
      <c r="C637" s="183" t="n">
        <v>37753</v>
      </c>
      <c r="D637" s="181" t="s">
        <v>3327</v>
      </c>
      <c r="E637" s="181" t="s">
        <v>541</v>
      </c>
      <c r="F637" s="181" t="s">
        <v>542</v>
      </c>
      <c r="G637" s="181" t="s">
        <v>234</v>
      </c>
      <c r="H637" s="181" t="s">
        <v>279</v>
      </c>
      <c r="I637" s="181" t="s">
        <v>230</v>
      </c>
      <c r="J637" s="184" t="n">
        <v>40790</v>
      </c>
      <c r="K637" s="184" t="n">
        <v>14950</v>
      </c>
      <c r="L637" s="185" t="n">
        <v>8</v>
      </c>
      <c r="M637" s="184" t="n">
        <v>25840</v>
      </c>
      <c r="N637" s="184" t="n">
        <v>23772.8</v>
      </c>
      <c r="O637" s="186" t="s">
        <v>1644</v>
      </c>
      <c r="P637" s="187" t="n">
        <v>45920</v>
      </c>
    </row>
    <row r="638" customFormat="false" ht="51" hidden="false" customHeight="true" outlineLevel="0" collapsed="false">
      <c r="A638" s="181" t="s">
        <v>1645</v>
      </c>
      <c r="B638" s="182" t="n">
        <v>1768</v>
      </c>
      <c r="C638" s="183" t="n">
        <v>155</v>
      </c>
      <c r="D638" s="181" t="s">
        <v>1509</v>
      </c>
      <c r="E638" s="181" t="s">
        <v>1646</v>
      </c>
      <c r="F638" s="181" t="s">
        <v>1647</v>
      </c>
      <c r="G638" s="181" t="s">
        <v>3328</v>
      </c>
      <c r="H638" s="181" t="s">
        <v>1513</v>
      </c>
      <c r="I638" s="181" t="s">
        <v>238</v>
      </c>
      <c r="J638" s="184" t="n">
        <v>24080</v>
      </c>
      <c r="K638" s="184" t="n">
        <v>14330</v>
      </c>
      <c r="L638" s="185" t="n">
        <v>30</v>
      </c>
      <c r="M638" s="184" t="n">
        <v>9750</v>
      </c>
      <c r="N638" s="184" t="n">
        <v>6825</v>
      </c>
      <c r="O638" s="186" t="s">
        <v>1648</v>
      </c>
      <c r="P638" s="187" t="n">
        <v>45920</v>
      </c>
    </row>
    <row r="639" customFormat="false" ht="51" hidden="false" customHeight="true" outlineLevel="0" collapsed="false">
      <c r="A639" s="181" t="s">
        <v>1649</v>
      </c>
      <c r="B639" s="182" t="n">
        <v>1769</v>
      </c>
      <c r="C639" s="183" t="n">
        <v>156</v>
      </c>
      <c r="D639" s="181" t="s">
        <v>1509</v>
      </c>
      <c r="E639" s="181" t="s">
        <v>261</v>
      </c>
      <c r="F639" s="181" t="s">
        <v>262</v>
      </c>
      <c r="G639" s="181" t="s">
        <v>3328</v>
      </c>
      <c r="H639" s="181" t="s">
        <v>1513</v>
      </c>
      <c r="I639" s="181" t="s">
        <v>238</v>
      </c>
      <c r="J639" s="184" t="n">
        <v>34840</v>
      </c>
      <c r="K639" s="184" t="n">
        <v>15140</v>
      </c>
      <c r="L639" s="185" t="n">
        <v>21</v>
      </c>
      <c r="M639" s="184" t="n">
        <v>19700</v>
      </c>
      <c r="N639" s="184" t="n">
        <v>15563</v>
      </c>
      <c r="O639" s="186" t="s">
        <v>1650</v>
      </c>
      <c r="P639" s="187" t="n">
        <v>45920</v>
      </c>
    </row>
    <row r="640" customFormat="false" ht="51" hidden="false" customHeight="true" outlineLevel="0" collapsed="false">
      <c r="A640" s="181" t="s">
        <v>1653</v>
      </c>
      <c r="B640" s="182" t="n">
        <v>1771</v>
      </c>
      <c r="C640" s="183" t="n">
        <v>157</v>
      </c>
      <c r="D640" s="181" t="s">
        <v>1509</v>
      </c>
      <c r="E640" s="181" t="s">
        <v>296</v>
      </c>
      <c r="F640" s="181" t="s">
        <v>297</v>
      </c>
      <c r="G640" s="181" t="s">
        <v>3328</v>
      </c>
      <c r="H640" s="181" t="s">
        <v>1513</v>
      </c>
      <c r="I640" s="181" t="s">
        <v>238</v>
      </c>
      <c r="J640" s="184" t="n">
        <v>37700</v>
      </c>
      <c r="K640" s="184" t="n">
        <v>15500</v>
      </c>
      <c r="L640" s="185" t="n">
        <v>32</v>
      </c>
      <c r="M640" s="184" t="n">
        <v>22200</v>
      </c>
      <c r="N640" s="184" t="n">
        <v>15096</v>
      </c>
      <c r="O640" s="186" t="s">
        <v>1654</v>
      </c>
      <c r="P640" s="187" t="n">
        <v>45920</v>
      </c>
    </row>
    <row r="641" customFormat="false" ht="51" hidden="false" customHeight="true" outlineLevel="0" collapsed="false">
      <c r="A641" s="181" t="s">
        <v>1655</v>
      </c>
      <c r="B641" s="182" t="n">
        <v>1772</v>
      </c>
      <c r="C641" s="183" t="n">
        <v>158</v>
      </c>
      <c r="D641" s="181" t="s">
        <v>1509</v>
      </c>
      <c r="E641" s="181" t="s">
        <v>576</v>
      </c>
      <c r="F641" s="181" t="s">
        <v>577</v>
      </c>
      <c r="G641" s="181" t="s">
        <v>3328</v>
      </c>
      <c r="H641" s="181" t="s">
        <v>1513</v>
      </c>
      <c r="I641" s="181" t="s">
        <v>238</v>
      </c>
      <c r="J641" s="184" t="n">
        <v>37170</v>
      </c>
      <c r="K641" s="184" t="n">
        <v>14620</v>
      </c>
      <c r="L641" s="185" t="n">
        <v>33</v>
      </c>
      <c r="M641" s="184" t="n">
        <v>22550</v>
      </c>
      <c r="N641" s="184" t="n">
        <v>15108.5</v>
      </c>
      <c r="O641" s="186" t="s">
        <v>1656</v>
      </c>
      <c r="P641" s="187" t="n">
        <v>45920</v>
      </c>
    </row>
    <row r="642" customFormat="false" ht="51" hidden="false" customHeight="true" outlineLevel="0" collapsed="false">
      <c r="A642" s="181" t="s">
        <v>1657</v>
      </c>
      <c r="B642" s="182" t="n">
        <v>1773</v>
      </c>
      <c r="C642" s="183" t="n">
        <v>159</v>
      </c>
      <c r="D642" s="181" t="s">
        <v>1509</v>
      </c>
      <c r="E642" s="181" t="s">
        <v>1646</v>
      </c>
      <c r="F642" s="181" t="s">
        <v>1647</v>
      </c>
      <c r="G642" s="181" t="s">
        <v>3328</v>
      </c>
      <c r="H642" s="181" t="s">
        <v>1513</v>
      </c>
      <c r="I642" s="181" t="s">
        <v>238</v>
      </c>
      <c r="J642" s="184" t="n">
        <v>25480</v>
      </c>
      <c r="K642" s="184" t="n">
        <v>14600</v>
      </c>
      <c r="L642" s="185" t="n">
        <v>27</v>
      </c>
      <c r="M642" s="184" t="n">
        <v>10880</v>
      </c>
      <c r="N642" s="184" t="n">
        <v>7942.4</v>
      </c>
      <c r="O642" s="186" t="s">
        <v>1658</v>
      </c>
      <c r="P642" s="187" t="n">
        <v>45920</v>
      </c>
    </row>
    <row r="643" customFormat="false" ht="51" hidden="false" customHeight="true" outlineLevel="0" collapsed="false">
      <c r="A643" s="181" t="s">
        <v>1659</v>
      </c>
      <c r="B643" s="182" t="n">
        <v>1774</v>
      </c>
      <c r="C643" s="183" t="n">
        <v>160</v>
      </c>
      <c r="D643" s="181" t="s">
        <v>1509</v>
      </c>
      <c r="E643" s="181" t="s">
        <v>261</v>
      </c>
      <c r="F643" s="181" t="s">
        <v>262</v>
      </c>
      <c r="G643" s="181" t="s">
        <v>3328</v>
      </c>
      <c r="H643" s="181" t="s">
        <v>1513</v>
      </c>
      <c r="I643" s="181" t="s">
        <v>238</v>
      </c>
      <c r="J643" s="184" t="n">
        <v>37590</v>
      </c>
      <c r="K643" s="184" t="n">
        <v>15380</v>
      </c>
      <c r="L643" s="185" t="n">
        <v>22</v>
      </c>
      <c r="M643" s="184" t="n">
        <v>22210</v>
      </c>
      <c r="N643" s="184" t="n">
        <v>17323.8</v>
      </c>
      <c r="O643" s="186" t="s">
        <v>1660</v>
      </c>
      <c r="P643" s="187" t="n">
        <v>45920</v>
      </c>
    </row>
    <row r="644" customFormat="false" ht="51" hidden="false" customHeight="true" outlineLevel="0" collapsed="false">
      <c r="A644" s="181" t="s">
        <v>1663</v>
      </c>
      <c r="B644" s="182" t="n">
        <v>1776</v>
      </c>
      <c r="C644" s="183" t="n">
        <v>161</v>
      </c>
      <c r="D644" s="181" t="s">
        <v>1509</v>
      </c>
      <c r="E644" s="181" t="s">
        <v>296</v>
      </c>
      <c r="F644" s="181" t="s">
        <v>297</v>
      </c>
      <c r="G644" s="181" t="s">
        <v>3328</v>
      </c>
      <c r="H644" s="181" t="s">
        <v>1513</v>
      </c>
      <c r="I644" s="181" t="s">
        <v>238</v>
      </c>
      <c r="J644" s="184" t="n">
        <v>33080</v>
      </c>
      <c r="K644" s="184" t="n">
        <v>15820</v>
      </c>
      <c r="L644" s="185" t="n">
        <v>31</v>
      </c>
      <c r="M644" s="184" t="n">
        <v>17260</v>
      </c>
      <c r="N644" s="184" t="n">
        <v>11909.4</v>
      </c>
      <c r="O644" s="186" t="s">
        <v>1664</v>
      </c>
      <c r="P644" s="187" t="n">
        <v>45920</v>
      </c>
    </row>
    <row r="645" customFormat="false" ht="51" hidden="false" customHeight="true" outlineLevel="0" collapsed="false">
      <c r="A645" s="181" t="s">
        <v>1651</v>
      </c>
      <c r="B645" s="182" t="n">
        <v>1770</v>
      </c>
      <c r="C645" s="183" t="n">
        <v>37751</v>
      </c>
      <c r="D645" s="181" t="s">
        <v>3327</v>
      </c>
      <c r="E645" s="181" t="s">
        <v>1510</v>
      </c>
      <c r="F645" s="181" t="s">
        <v>1511</v>
      </c>
      <c r="G645" s="181" t="s">
        <v>234</v>
      </c>
      <c r="H645" s="181" t="s">
        <v>279</v>
      </c>
      <c r="I645" s="181" t="s">
        <v>230</v>
      </c>
      <c r="J645" s="184" t="n">
        <v>24020</v>
      </c>
      <c r="K645" s="184" t="n">
        <v>14170</v>
      </c>
      <c r="L645" s="185" t="n">
        <v>4</v>
      </c>
      <c r="M645" s="184" t="n">
        <v>9850</v>
      </c>
      <c r="N645" s="184" t="n">
        <v>9456</v>
      </c>
      <c r="O645" s="186" t="s">
        <v>1652</v>
      </c>
      <c r="P645" s="187" t="n">
        <v>45920</v>
      </c>
    </row>
    <row r="646" customFormat="false" ht="51" hidden="false" customHeight="true" outlineLevel="0" collapsed="false">
      <c r="A646" s="181" t="s">
        <v>1661</v>
      </c>
      <c r="B646" s="182" t="n">
        <v>1775</v>
      </c>
      <c r="C646" s="183" t="n">
        <v>37740</v>
      </c>
      <c r="D646" s="181" t="s">
        <v>3327</v>
      </c>
      <c r="E646" s="181" t="s">
        <v>399</v>
      </c>
      <c r="F646" s="181" t="s">
        <v>400</v>
      </c>
      <c r="G646" s="181" t="s">
        <v>234</v>
      </c>
      <c r="H646" s="181" t="s">
        <v>279</v>
      </c>
      <c r="I646" s="181" t="s">
        <v>230</v>
      </c>
      <c r="J646" s="184" t="n">
        <v>48500</v>
      </c>
      <c r="K646" s="184" t="n">
        <v>19270</v>
      </c>
      <c r="L646" s="185" t="n">
        <v>4</v>
      </c>
      <c r="M646" s="184" t="n">
        <v>29230</v>
      </c>
      <c r="N646" s="184" t="n">
        <v>28060.8</v>
      </c>
      <c r="O646" s="186" t="s">
        <v>1662</v>
      </c>
      <c r="P646" s="187" t="n">
        <v>45920</v>
      </c>
    </row>
    <row r="647" customFormat="false" ht="51" hidden="false" customHeight="true" outlineLevel="0" collapsed="false">
      <c r="A647" s="181" t="s">
        <v>1665</v>
      </c>
      <c r="B647" s="182" t="n">
        <v>1777</v>
      </c>
      <c r="C647" s="183" t="n">
        <v>162</v>
      </c>
      <c r="D647" s="181" t="s">
        <v>1509</v>
      </c>
      <c r="E647" s="181" t="s">
        <v>576</v>
      </c>
      <c r="F647" s="181" t="s">
        <v>577</v>
      </c>
      <c r="G647" s="181" t="s">
        <v>3328</v>
      </c>
      <c r="H647" s="181" t="s">
        <v>1513</v>
      </c>
      <c r="I647" s="181" t="s">
        <v>238</v>
      </c>
      <c r="J647" s="184" t="n">
        <v>37650</v>
      </c>
      <c r="K647" s="184" t="n">
        <v>14710</v>
      </c>
      <c r="L647" s="185" t="n">
        <v>16</v>
      </c>
      <c r="M647" s="184" t="n">
        <v>22940</v>
      </c>
      <c r="N647" s="184" t="n">
        <v>19269.6</v>
      </c>
      <c r="O647" s="186" t="s">
        <v>1666</v>
      </c>
      <c r="P647" s="187" t="n">
        <v>45921</v>
      </c>
    </row>
    <row r="648" customFormat="false" ht="51" hidden="false" customHeight="true" outlineLevel="0" collapsed="false">
      <c r="A648" s="181" t="s">
        <v>1667</v>
      </c>
      <c r="B648" s="182" t="n">
        <v>1778</v>
      </c>
      <c r="C648" s="183" t="n">
        <v>163</v>
      </c>
      <c r="D648" s="181" t="s">
        <v>1509</v>
      </c>
      <c r="E648" s="181" t="s">
        <v>1510</v>
      </c>
      <c r="F648" s="181" t="s">
        <v>1511</v>
      </c>
      <c r="G648" s="181" t="s">
        <v>3328</v>
      </c>
      <c r="H648" s="181" t="s">
        <v>1513</v>
      </c>
      <c r="I648" s="181" t="s">
        <v>238</v>
      </c>
      <c r="J648" s="184" t="n">
        <v>32320</v>
      </c>
      <c r="K648" s="184" t="n">
        <v>14210</v>
      </c>
      <c r="L648" s="185" t="n">
        <v>15</v>
      </c>
      <c r="M648" s="184" t="n">
        <v>18110</v>
      </c>
      <c r="N648" s="184" t="n">
        <v>15393.5</v>
      </c>
      <c r="O648" s="186" t="s">
        <v>1668</v>
      </c>
      <c r="P648" s="187" t="n">
        <v>45921</v>
      </c>
    </row>
    <row r="649" customFormat="false" ht="51" hidden="false" customHeight="true" outlineLevel="0" collapsed="false">
      <c r="A649" s="181" t="s">
        <v>1669</v>
      </c>
      <c r="B649" s="182" t="n">
        <v>1779</v>
      </c>
      <c r="C649" s="183" t="n">
        <v>164</v>
      </c>
      <c r="D649" s="181" t="s">
        <v>1509</v>
      </c>
      <c r="E649" s="181" t="s">
        <v>261</v>
      </c>
      <c r="F649" s="181" t="s">
        <v>262</v>
      </c>
      <c r="G649" s="181" t="s">
        <v>3328</v>
      </c>
      <c r="H649" s="181" t="s">
        <v>1513</v>
      </c>
      <c r="I649" s="181" t="s">
        <v>238</v>
      </c>
      <c r="J649" s="184" t="n">
        <v>38100</v>
      </c>
      <c r="K649" s="184" t="n">
        <v>15150</v>
      </c>
      <c r="L649" s="185" t="n">
        <v>8</v>
      </c>
      <c r="M649" s="184" t="n">
        <v>22950</v>
      </c>
      <c r="N649" s="184" t="n">
        <v>21114</v>
      </c>
      <c r="O649" s="186" t="s">
        <v>1670</v>
      </c>
      <c r="P649" s="187" t="n">
        <v>45921</v>
      </c>
    </row>
    <row r="650" customFormat="false" ht="51" hidden="false" customHeight="true" outlineLevel="0" collapsed="false">
      <c r="A650" s="181" t="s">
        <v>1671</v>
      </c>
      <c r="B650" s="182" t="n">
        <v>1780</v>
      </c>
      <c r="C650" s="183" t="n">
        <v>165</v>
      </c>
      <c r="D650" s="181" t="s">
        <v>1509</v>
      </c>
      <c r="E650" s="181" t="s">
        <v>576</v>
      </c>
      <c r="F650" s="181" t="s">
        <v>577</v>
      </c>
      <c r="G650" s="181" t="s">
        <v>1512</v>
      </c>
      <c r="H650" s="181" t="s">
        <v>1672</v>
      </c>
      <c r="I650" s="181" t="s">
        <v>238</v>
      </c>
      <c r="J650" s="184" t="n">
        <v>37510</v>
      </c>
      <c r="K650" s="184" t="n">
        <v>14680</v>
      </c>
      <c r="L650" s="185" t="n">
        <v>4</v>
      </c>
      <c r="M650" s="184" t="n">
        <v>22830</v>
      </c>
      <c r="N650" s="184" t="n">
        <v>21916.8</v>
      </c>
      <c r="O650" s="186" t="s">
        <v>1673</v>
      </c>
      <c r="P650" s="187" t="n">
        <v>45921</v>
      </c>
    </row>
    <row r="651" customFormat="false" ht="51" hidden="false" customHeight="true" outlineLevel="0" collapsed="false">
      <c r="A651" s="181" t="s">
        <v>1674</v>
      </c>
      <c r="B651" s="182" t="n">
        <v>1781</v>
      </c>
      <c r="C651" s="183" t="n">
        <v>166</v>
      </c>
      <c r="D651" s="181" t="s">
        <v>1509</v>
      </c>
      <c r="E651" s="181" t="s">
        <v>1510</v>
      </c>
      <c r="F651" s="181" t="s">
        <v>1511</v>
      </c>
      <c r="G651" s="181" t="s">
        <v>1512</v>
      </c>
      <c r="H651" s="181" t="s">
        <v>1672</v>
      </c>
      <c r="I651" s="181" t="s">
        <v>238</v>
      </c>
      <c r="J651" s="184" t="n">
        <v>22380</v>
      </c>
      <c r="K651" s="184" t="n">
        <v>14190</v>
      </c>
      <c r="L651" s="185" t="n">
        <v>10</v>
      </c>
      <c r="M651" s="184" t="n">
        <v>8190</v>
      </c>
      <c r="N651" s="184" t="n">
        <v>7371</v>
      </c>
      <c r="O651" s="186" t="s">
        <v>1675</v>
      </c>
      <c r="P651" s="187" t="n">
        <v>45921</v>
      </c>
    </row>
    <row r="652" customFormat="false" ht="51" hidden="false" customHeight="true" outlineLevel="0" collapsed="false">
      <c r="A652" s="181" t="s">
        <v>1676</v>
      </c>
      <c r="B652" s="182" t="n">
        <v>1789</v>
      </c>
      <c r="C652" s="183" t="n">
        <v>167</v>
      </c>
      <c r="D652" s="181" t="s">
        <v>1509</v>
      </c>
      <c r="E652" s="181" t="s">
        <v>332</v>
      </c>
      <c r="F652" s="181" t="s">
        <v>333</v>
      </c>
      <c r="G652" s="181" t="s">
        <v>103</v>
      </c>
      <c r="H652" s="181" t="s">
        <v>87</v>
      </c>
      <c r="I652" s="181" t="s">
        <v>229</v>
      </c>
      <c r="J652" s="184" t="n">
        <v>37340</v>
      </c>
      <c r="K652" s="184" t="n">
        <v>14870</v>
      </c>
      <c r="L652" s="185" t="n">
        <v>17</v>
      </c>
      <c r="M652" s="184" t="n">
        <v>22470</v>
      </c>
      <c r="N652" s="184" t="n">
        <v>18650.1</v>
      </c>
      <c r="O652" s="186" t="s">
        <v>1678</v>
      </c>
      <c r="P652" s="187" t="n">
        <v>45925</v>
      </c>
    </row>
    <row r="653" customFormat="false" ht="51" hidden="false" customHeight="true" outlineLevel="0" collapsed="false">
      <c r="A653" s="181" t="s">
        <v>1679</v>
      </c>
      <c r="B653" s="182" t="n">
        <v>1790</v>
      </c>
      <c r="C653" s="183" t="n">
        <v>168</v>
      </c>
      <c r="D653" s="181" t="s">
        <v>1509</v>
      </c>
      <c r="E653" s="181" t="s">
        <v>292</v>
      </c>
      <c r="F653" s="181" t="s">
        <v>293</v>
      </c>
      <c r="G653" s="181" t="s">
        <v>103</v>
      </c>
      <c r="H653" s="181" t="s">
        <v>87</v>
      </c>
      <c r="I653" s="181" t="s">
        <v>229</v>
      </c>
      <c r="J653" s="184" t="n">
        <v>34150</v>
      </c>
      <c r="K653" s="184" t="n">
        <v>13950</v>
      </c>
      <c r="L653" s="185" t="n">
        <v>26</v>
      </c>
      <c r="M653" s="184" t="n">
        <v>20200</v>
      </c>
      <c r="N653" s="184" t="n">
        <v>14948</v>
      </c>
      <c r="O653" s="186" t="s">
        <v>1680</v>
      </c>
      <c r="P653" s="187" t="n">
        <v>45925</v>
      </c>
    </row>
    <row r="654" customFormat="false" ht="51" hidden="false" customHeight="true" outlineLevel="0" collapsed="false">
      <c r="A654" s="181" t="s">
        <v>1681</v>
      </c>
      <c r="B654" s="182" t="n">
        <v>1791</v>
      </c>
      <c r="C654" s="183" t="n">
        <v>169</v>
      </c>
      <c r="D654" s="181" t="s">
        <v>1509</v>
      </c>
      <c r="E654" s="181" t="s">
        <v>288</v>
      </c>
      <c r="F654" s="181" t="s">
        <v>289</v>
      </c>
      <c r="G654" s="181" t="s">
        <v>103</v>
      </c>
      <c r="H654" s="181" t="s">
        <v>87</v>
      </c>
      <c r="I654" s="181" t="s">
        <v>229</v>
      </c>
      <c r="J654" s="184" t="n">
        <v>34070</v>
      </c>
      <c r="K654" s="184" t="n">
        <v>14710</v>
      </c>
      <c r="L654" s="185" t="n">
        <v>10</v>
      </c>
      <c r="M654" s="184" t="n">
        <v>19360</v>
      </c>
      <c r="N654" s="184" t="n">
        <v>17424</v>
      </c>
      <c r="O654" s="186" t="s">
        <v>1682</v>
      </c>
      <c r="P654" s="187" t="n">
        <v>45925</v>
      </c>
    </row>
    <row r="655" customFormat="false" ht="51" hidden="false" customHeight="true" outlineLevel="0" collapsed="false">
      <c r="A655" s="181" t="s">
        <v>1683</v>
      </c>
      <c r="B655" s="182" t="n">
        <v>1792</v>
      </c>
      <c r="C655" s="183" t="n">
        <v>170</v>
      </c>
      <c r="D655" s="181" t="s">
        <v>1509</v>
      </c>
      <c r="E655" s="181" t="s">
        <v>332</v>
      </c>
      <c r="F655" s="181" t="s">
        <v>333</v>
      </c>
      <c r="G655" s="181" t="s">
        <v>103</v>
      </c>
      <c r="H655" s="181" t="s">
        <v>87</v>
      </c>
      <c r="I655" s="181" t="s">
        <v>229</v>
      </c>
      <c r="J655" s="184" t="n">
        <v>37180</v>
      </c>
      <c r="K655" s="184" t="n">
        <v>14860</v>
      </c>
      <c r="L655" s="185" t="n">
        <v>8</v>
      </c>
      <c r="M655" s="184" t="n">
        <v>22320</v>
      </c>
      <c r="N655" s="184" t="n">
        <v>20534.4</v>
      </c>
      <c r="O655" s="186" t="s">
        <v>1684</v>
      </c>
      <c r="P655" s="187" t="n">
        <v>45925</v>
      </c>
    </row>
    <row r="656" customFormat="false" ht="51" hidden="false" customHeight="true" outlineLevel="0" collapsed="false">
      <c r="A656" s="181" t="s">
        <v>1685</v>
      </c>
      <c r="B656" s="182" t="n">
        <v>1793</v>
      </c>
      <c r="C656" s="183" t="n">
        <v>54984</v>
      </c>
      <c r="D656" s="181" t="s">
        <v>1686</v>
      </c>
      <c r="E656" s="181" t="s">
        <v>282</v>
      </c>
      <c r="F656" s="181" t="s">
        <v>283</v>
      </c>
      <c r="G656" s="181" t="s">
        <v>1687</v>
      </c>
      <c r="H656" s="181" t="s">
        <v>279</v>
      </c>
      <c r="I656" s="181" t="s">
        <v>239</v>
      </c>
      <c r="J656" s="184" t="n">
        <v>39420</v>
      </c>
      <c r="K656" s="184" t="n">
        <v>15110</v>
      </c>
      <c r="L656" s="185" t="n">
        <v>5</v>
      </c>
      <c r="M656" s="184" t="n">
        <v>24310</v>
      </c>
      <c r="N656" s="184" t="n">
        <v>23094.5</v>
      </c>
      <c r="O656" s="186" t="s">
        <v>1688</v>
      </c>
      <c r="P656" s="187" t="n">
        <v>45925</v>
      </c>
    </row>
    <row r="657" customFormat="false" ht="51" hidden="false" customHeight="true" outlineLevel="0" collapsed="false">
      <c r="A657" s="181" t="s">
        <v>1689</v>
      </c>
      <c r="B657" s="182" t="n">
        <v>1794</v>
      </c>
      <c r="C657" s="183" t="n">
        <v>171</v>
      </c>
      <c r="D657" s="181" t="s">
        <v>1509</v>
      </c>
      <c r="E657" s="181" t="s">
        <v>292</v>
      </c>
      <c r="F657" s="181" t="s">
        <v>293</v>
      </c>
      <c r="G657" s="181" t="s">
        <v>103</v>
      </c>
      <c r="H657" s="181" t="s">
        <v>87</v>
      </c>
      <c r="I657" s="181" t="s">
        <v>229</v>
      </c>
      <c r="J657" s="184" t="n">
        <v>34930</v>
      </c>
      <c r="K657" s="184" t="n">
        <v>13940</v>
      </c>
      <c r="L657" s="185" t="n">
        <v>8</v>
      </c>
      <c r="M657" s="184" t="n">
        <v>20990</v>
      </c>
      <c r="N657" s="184" t="n">
        <v>19310.8</v>
      </c>
      <c r="O657" s="186" t="s">
        <v>1690</v>
      </c>
      <c r="P657" s="187" t="n">
        <v>45925</v>
      </c>
    </row>
    <row r="658" customFormat="false" ht="51" hidden="false" customHeight="true" outlineLevel="0" collapsed="false">
      <c r="A658" s="181" t="s">
        <v>1691</v>
      </c>
      <c r="B658" s="182" t="n">
        <v>1795</v>
      </c>
      <c r="C658" s="183" t="n">
        <v>172</v>
      </c>
      <c r="D658" s="181" t="s">
        <v>1509</v>
      </c>
      <c r="E658" s="181" t="s">
        <v>288</v>
      </c>
      <c r="F658" s="181" t="s">
        <v>289</v>
      </c>
      <c r="G658" s="181" t="s">
        <v>103</v>
      </c>
      <c r="H658" s="181" t="s">
        <v>87</v>
      </c>
      <c r="I658" s="181" t="s">
        <v>229</v>
      </c>
      <c r="J658" s="184" t="n">
        <v>32550</v>
      </c>
      <c r="K658" s="184" t="n">
        <v>14700</v>
      </c>
      <c r="L658" s="185" t="n">
        <v>7</v>
      </c>
      <c r="M658" s="184" t="n">
        <v>17850</v>
      </c>
      <c r="N658" s="184" t="n">
        <v>16600.5</v>
      </c>
      <c r="O658" s="186" t="s">
        <v>1692</v>
      </c>
      <c r="P658" s="187" t="n">
        <v>45925</v>
      </c>
    </row>
    <row r="659" customFormat="false" ht="51" hidden="false" customHeight="true" outlineLevel="0" collapsed="false">
      <c r="A659" s="181" t="s">
        <v>1693</v>
      </c>
      <c r="B659" s="182" t="n">
        <v>1797</v>
      </c>
      <c r="C659" s="183" t="n">
        <v>173</v>
      </c>
      <c r="D659" s="181" t="s">
        <v>1509</v>
      </c>
      <c r="E659" s="181" t="s">
        <v>332</v>
      </c>
      <c r="F659" s="181" t="s">
        <v>333</v>
      </c>
      <c r="G659" s="181" t="s">
        <v>103</v>
      </c>
      <c r="H659" s="181" t="s">
        <v>87</v>
      </c>
      <c r="I659" s="181" t="s">
        <v>229</v>
      </c>
      <c r="J659" s="184" t="n">
        <v>36110</v>
      </c>
      <c r="K659" s="184" t="n">
        <v>14840</v>
      </c>
      <c r="L659" s="185" t="n">
        <v>14</v>
      </c>
      <c r="M659" s="184" t="n">
        <v>21270</v>
      </c>
      <c r="N659" s="184" t="n">
        <v>18292.2</v>
      </c>
      <c r="O659" s="186" t="s">
        <v>1694</v>
      </c>
      <c r="P659" s="187" t="n">
        <v>45925</v>
      </c>
    </row>
    <row r="660" customFormat="false" ht="51" hidden="false" customHeight="true" outlineLevel="0" collapsed="false">
      <c r="A660" s="181" t="s">
        <v>1695</v>
      </c>
      <c r="B660" s="182" t="n">
        <v>1799</v>
      </c>
      <c r="C660" s="183" t="n">
        <v>174</v>
      </c>
      <c r="D660" s="181" t="s">
        <v>1509</v>
      </c>
      <c r="E660" s="181" t="s">
        <v>282</v>
      </c>
      <c r="F660" s="181" t="s">
        <v>283</v>
      </c>
      <c r="G660" s="181" t="s">
        <v>103</v>
      </c>
      <c r="H660" s="181" t="s">
        <v>87</v>
      </c>
      <c r="I660" s="181" t="s">
        <v>229</v>
      </c>
      <c r="J660" s="184" t="n">
        <v>37490</v>
      </c>
      <c r="K660" s="184" t="n">
        <v>15110</v>
      </c>
      <c r="L660" s="185" t="n">
        <v>11</v>
      </c>
      <c r="M660" s="184" t="n">
        <v>22380</v>
      </c>
      <c r="N660" s="184" t="n">
        <v>19918.2</v>
      </c>
      <c r="O660" s="186" t="s">
        <v>1696</v>
      </c>
      <c r="P660" s="187" t="n">
        <v>45925</v>
      </c>
    </row>
    <row r="661" customFormat="false" ht="51" hidden="false" customHeight="true" outlineLevel="0" collapsed="false">
      <c r="A661" s="181" t="s">
        <v>1697</v>
      </c>
      <c r="B661" s="182" t="n">
        <v>1801</v>
      </c>
      <c r="C661" s="183" t="n">
        <v>175</v>
      </c>
      <c r="D661" s="181" t="s">
        <v>1509</v>
      </c>
      <c r="E661" s="181" t="s">
        <v>292</v>
      </c>
      <c r="F661" s="181" t="s">
        <v>293</v>
      </c>
      <c r="G661" s="181" t="s">
        <v>103</v>
      </c>
      <c r="H661" s="181" t="s">
        <v>87</v>
      </c>
      <c r="I661" s="181" t="s">
        <v>229</v>
      </c>
      <c r="J661" s="184" t="n">
        <v>35850</v>
      </c>
      <c r="K661" s="184" t="n">
        <v>13930</v>
      </c>
      <c r="L661" s="185" t="n">
        <v>20</v>
      </c>
      <c r="M661" s="184" t="n">
        <v>21920</v>
      </c>
      <c r="N661" s="184" t="n">
        <v>17536</v>
      </c>
      <c r="O661" s="186" t="s">
        <v>1698</v>
      </c>
      <c r="P661" s="187" t="n">
        <v>45925</v>
      </c>
    </row>
    <row r="662" customFormat="false" ht="51" hidden="false" customHeight="true" outlineLevel="0" collapsed="false">
      <c r="A662" s="181" t="s">
        <v>1699</v>
      </c>
      <c r="B662" s="182" t="n">
        <v>1802</v>
      </c>
      <c r="C662" s="183" t="n">
        <v>176</v>
      </c>
      <c r="D662" s="181" t="s">
        <v>1509</v>
      </c>
      <c r="E662" s="181" t="s">
        <v>288</v>
      </c>
      <c r="F662" s="181" t="s">
        <v>289</v>
      </c>
      <c r="G662" s="181" t="s">
        <v>103</v>
      </c>
      <c r="H662" s="181" t="s">
        <v>87</v>
      </c>
      <c r="I662" s="181" t="s">
        <v>229</v>
      </c>
      <c r="J662" s="184" t="n">
        <v>30940</v>
      </c>
      <c r="K662" s="184" t="n">
        <v>14690</v>
      </c>
      <c r="L662" s="185" t="n">
        <v>8</v>
      </c>
      <c r="M662" s="184" t="n">
        <v>16250</v>
      </c>
      <c r="N662" s="184" t="n">
        <v>14950</v>
      </c>
      <c r="O662" s="186" t="s">
        <v>1700</v>
      </c>
      <c r="P662" s="187" t="n">
        <v>45925</v>
      </c>
    </row>
    <row r="663" customFormat="false" ht="51" hidden="false" customHeight="true" outlineLevel="0" collapsed="false">
      <c r="A663" s="181" t="s">
        <v>1701</v>
      </c>
      <c r="B663" s="182" t="n">
        <v>1803</v>
      </c>
      <c r="C663" s="183" t="n">
        <v>177</v>
      </c>
      <c r="D663" s="181" t="s">
        <v>1509</v>
      </c>
      <c r="E663" s="181" t="s">
        <v>332</v>
      </c>
      <c r="F663" s="181" t="s">
        <v>333</v>
      </c>
      <c r="G663" s="181" t="s">
        <v>103</v>
      </c>
      <c r="H663" s="181" t="s">
        <v>87</v>
      </c>
      <c r="I663" s="181" t="s">
        <v>229</v>
      </c>
      <c r="J663" s="184" t="n">
        <v>37140</v>
      </c>
      <c r="K663" s="184" t="n">
        <v>14830</v>
      </c>
      <c r="L663" s="185" t="n">
        <v>13</v>
      </c>
      <c r="M663" s="184" t="n">
        <v>22310</v>
      </c>
      <c r="N663" s="184" t="n">
        <v>19409.7</v>
      </c>
      <c r="O663" s="186" t="s">
        <v>1702</v>
      </c>
      <c r="P663" s="187" t="n">
        <v>45925</v>
      </c>
    </row>
    <row r="664" customFormat="false" ht="51" hidden="false" customHeight="true" outlineLevel="0" collapsed="false">
      <c r="A664" s="181" t="s">
        <v>1703</v>
      </c>
      <c r="B664" s="182" t="n">
        <v>1804</v>
      </c>
      <c r="C664" s="183" t="n">
        <v>178</v>
      </c>
      <c r="D664" s="181" t="s">
        <v>1509</v>
      </c>
      <c r="E664" s="181" t="s">
        <v>282</v>
      </c>
      <c r="F664" s="181" t="s">
        <v>283</v>
      </c>
      <c r="G664" s="181" t="s">
        <v>103</v>
      </c>
      <c r="H664" s="181" t="s">
        <v>87</v>
      </c>
      <c r="I664" s="181" t="s">
        <v>229</v>
      </c>
      <c r="J664" s="184" t="n">
        <v>38710</v>
      </c>
      <c r="K664" s="184" t="n">
        <v>15090</v>
      </c>
      <c r="L664" s="185" t="n">
        <v>6</v>
      </c>
      <c r="M664" s="184" t="n">
        <v>23620</v>
      </c>
      <c r="N664" s="184" t="n">
        <v>22202.8</v>
      </c>
      <c r="O664" s="186" t="s">
        <v>1704</v>
      </c>
      <c r="P664" s="187" t="n">
        <v>45925</v>
      </c>
    </row>
    <row r="665" customFormat="false" ht="51" hidden="false" customHeight="true" outlineLevel="0" collapsed="false">
      <c r="A665" s="181" t="s">
        <v>1705</v>
      </c>
      <c r="B665" s="182" t="n">
        <v>1806</v>
      </c>
      <c r="C665" s="183" t="n">
        <v>179</v>
      </c>
      <c r="D665" s="181" t="s">
        <v>1509</v>
      </c>
      <c r="E665" s="181" t="s">
        <v>292</v>
      </c>
      <c r="F665" s="181" t="s">
        <v>293</v>
      </c>
      <c r="G665" s="181" t="s">
        <v>103</v>
      </c>
      <c r="H665" s="181" t="s">
        <v>87</v>
      </c>
      <c r="I665" s="181" t="s">
        <v>229</v>
      </c>
      <c r="J665" s="184" t="n">
        <v>34160</v>
      </c>
      <c r="K665" s="184" t="n">
        <v>13920</v>
      </c>
      <c r="L665" s="185" t="n">
        <v>8</v>
      </c>
      <c r="M665" s="184" t="n">
        <v>20240</v>
      </c>
      <c r="N665" s="184" t="n">
        <v>18620.8</v>
      </c>
      <c r="O665" s="186" t="s">
        <v>1706</v>
      </c>
      <c r="P665" s="187" t="n">
        <v>45925</v>
      </c>
    </row>
    <row r="666" customFormat="false" ht="51" hidden="false" customHeight="true" outlineLevel="0" collapsed="false">
      <c r="A666" s="181" t="s">
        <v>1707</v>
      </c>
      <c r="B666" s="182" t="n">
        <v>1808</v>
      </c>
      <c r="C666" s="183" t="n">
        <v>180</v>
      </c>
      <c r="D666" s="181" t="s">
        <v>1509</v>
      </c>
      <c r="E666" s="181" t="s">
        <v>288</v>
      </c>
      <c r="F666" s="181" t="s">
        <v>289</v>
      </c>
      <c r="G666" s="181" t="s">
        <v>103</v>
      </c>
      <c r="H666" s="181" t="s">
        <v>87</v>
      </c>
      <c r="I666" s="181" t="s">
        <v>229</v>
      </c>
      <c r="J666" s="184" t="n">
        <v>32270</v>
      </c>
      <c r="K666" s="184" t="n">
        <v>14680</v>
      </c>
      <c r="L666" s="185" t="n">
        <v>8</v>
      </c>
      <c r="M666" s="184" t="n">
        <v>17590</v>
      </c>
      <c r="N666" s="184" t="n">
        <v>16182.8</v>
      </c>
      <c r="O666" s="186" t="s">
        <v>1708</v>
      </c>
      <c r="P666" s="187" t="n">
        <v>45925</v>
      </c>
    </row>
    <row r="667" customFormat="false" ht="51" hidden="false" customHeight="true" outlineLevel="0" collapsed="false">
      <c r="A667" s="181" t="s">
        <v>1709</v>
      </c>
      <c r="B667" s="182" t="n">
        <v>1809</v>
      </c>
      <c r="C667" s="183" t="n">
        <v>181</v>
      </c>
      <c r="D667" s="181" t="s">
        <v>1509</v>
      </c>
      <c r="E667" s="181" t="s">
        <v>332</v>
      </c>
      <c r="F667" s="181" t="s">
        <v>333</v>
      </c>
      <c r="G667" s="181" t="s">
        <v>103</v>
      </c>
      <c r="H667" s="181" t="s">
        <v>87</v>
      </c>
      <c r="I667" s="181" t="s">
        <v>229</v>
      </c>
      <c r="J667" s="184" t="n">
        <v>37840</v>
      </c>
      <c r="K667" s="184" t="n">
        <v>14820</v>
      </c>
      <c r="L667" s="185" t="n">
        <v>29</v>
      </c>
      <c r="M667" s="184" t="n">
        <v>23020</v>
      </c>
      <c r="N667" s="184" t="n">
        <v>16344.2</v>
      </c>
      <c r="O667" s="186" t="s">
        <v>1710</v>
      </c>
      <c r="P667" s="187" t="n">
        <v>45925</v>
      </c>
    </row>
    <row r="668" customFormat="false" ht="51" hidden="false" customHeight="true" outlineLevel="0" collapsed="false">
      <c r="A668" s="181" t="s">
        <v>1711</v>
      </c>
      <c r="B668" s="182" t="n">
        <v>1811</v>
      </c>
      <c r="C668" s="183" t="n">
        <v>182</v>
      </c>
      <c r="D668" s="181" t="s">
        <v>1509</v>
      </c>
      <c r="E668" s="181" t="s">
        <v>282</v>
      </c>
      <c r="F668" s="181" t="s">
        <v>283</v>
      </c>
      <c r="G668" s="181" t="s">
        <v>103</v>
      </c>
      <c r="H668" s="181" t="s">
        <v>87</v>
      </c>
      <c r="I668" s="181" t="s">
        <v>229</v>
      </c>
      <c r="J668" s="184" t="n">
        <v>37150</v>
      </c>
      <c r="K668" s="184" t="n">
        <v>15080</v>
      </c>
      <c r="L668" s="185" t="n">
        <v>19</v>
      </c>
      <c r="M668" s="184" t="n">
        <v>22070</v>
      </c>
      <c r="N668" s="184" t="n">
        <v>17876.7</v>
      </c>
      <c r="O668" s="186" t="s">
        <v>1712</v>
      </c>
      <c r="P668" s="187" t="n">
        <v>45925</v>
      </c>
    </row>
    <row r="669" customFormat="false" ht="51" hidden="false" customHeight="true" outlineLevel="0" collapsed="false">
      <c r="A669" s="181" t="s">
        <v>1713</v>
      </c>
      <c r="B669" s="182" t="n">
        <v>1812</v>
      </c>
      <c r="C669" s="183" t="n">
        <v>183</v>
      </c>
      <c r="D669" s="181" t="s">
        <v>1509</v>
      </c>
      <c r="E669" s="181" t="s">
        <v>292</v>
      </c>
      <c r="F669" s="181" t="s">
        <v>293</v>
      </c>
      <c r="G669" s="181" t="s">
        <v>103</v>
      </c>
      <c r="H669" s="181" t="s">
        <v>87</v>
      </c>
      <c r="I669" s="181" t="s">
        <v>229</v>
      </c>
      <c r="J669" s="184" t="n">
        <v>34900</v>
      </c>
      <c r="K669" s="184" t="n">
        <v>13920</v>
      </c>
      <c r="L669" s="185" t="n">
        <v>18</v>
      </c>
      <c r="M669" s="184" t="n">
        <v>20980</v>
      </c>
      <c r="N669" s="184" t="n">
        <v>17203.6</v>
      </c>
      <c r="O669" s="186" t="s">
        <v>1714</v>
      </c>
      <c r="P669" s="187" t="n">
        <v>45925</v>
      </c>
    </row>
    <row r="670" customFormat="false" ht="51" hidden="false" customHeight="true" outlineLevel="0" collapsed="false">
      <c r="A670" s="181" t="s">
        <v>1715</v>
      </c>
      <c r="B670" s="182" t="n">
        <v>1813</v>
      </c>
      <c r="C670" s="183" t="n">
        <v>184</v>
      </c>
      <c r="D670" s="181" t="s">
        <v>1509</v>
      </c>
      <c r="E670" s="181" t="s">
        <v>288</v>
      </c>
      <c r="F670" s="181" t="s">
        <v>289</v>
      </c>
      <c r="G670" s="181" t="s">
        <v>103</v>
      </c>
      <c r="H670" s="181" t="s">
        <v>87</v>
      </c>
      <c r="I670" s="181" t="s">
        <v>229</v>
      </c>
      <c r="J670" s="184" t="n">
        <v>33330</v>
      </c>
      <c r="K670" s="184" t="n">
        <v>14700</v>
      </c>
      <c r="L670" s="185" t="n">
        <v>20</v>
      </c>
      <c r="M670" s="184" t="n">
        <v>18630</v>
      </c>
      <c r="N670" s="184" t="n">
        <v>14904</v>
      </c>
      <c r="O670" s="186" t="s">
        <v>1716</v>
      </c>
      <c r="P670" s="187" t="n">
        <v>45925</v>
      </c>
    </row>
    <row r="671" customFormat="false" ht="51" hidden="false" customHeight="true" outlineLevel="0" collapsed="false">
      <c r="A671" s="181" t="s">
        <v>1717</v>
      </c>
      <c r="B671" s="182" t="n">
        <v>1814</v>
      </c>
      <c r="C671" s="183" t="n">
        <v>185</v>
      </c>
      <c r="D671" s="181" t="s">
        <v>1509</v>
      </c>
      <c r="E671" s="181" t="s">
        <v>332</v>
      </c>
      <c r="F671" s="181" t="s">
        <v>333</v>
      </c>
      <c r="G671" s="181" t="s">
        <v>103</v>
      </c>
      <c r="H671" s="181" t="s">
        <v>87</v>
      </c>
      <c r="I671" s="181" t="s">
        <v>229</v>
      </c>
      <c r="J671" s="184" t="n">
        <v>36210</v>
      </c>
      <c r="K671" s="184" t="n">
        <v>14860</v>
      </c>
      <c r="L671" s="185" t="n">
        <v>30</v>
      </c>
      <c r="M671" s="184" t="n">
        <v>21350</v>
      </c>
      <c r="N671" s="184" t="n">
        <v>14945</v>
      </c>
      <c r="O671" s="186" t="s">
        <v>1718</v>
      </c>
      <c r="P671" s="187" t="n">
        <v>45926</v>
      </c>
    </row>
    <row r="672" customFormat="false" ht="51" hidden="false" customHeight="true" outlineLevel="0" collapsed="false">
      <c r="A672" s="181" t="s">
        <v>1719</v>
      </c>
      <c r="B672" s="182" t="n">
        <v>1815</v>
      </c>
      <c r="C672" s="183" t="n">
        <v>186</v>
      </c>
      <c r="D672" s="181" t="s">
        <v>1509</v>
      </c>
      <c r="E672" s="181" t="s">
        <v>282</v>
      </c>
      <c r="F672" s="181" t="s">
        <v>283</v>
      </c>
      <c r="G672" s="181" t="s">
        <v>103</v>
      </c>
      <c r="H672" s="181" t="s">
        <v>87</v>
      </c>
      <c r="I672" s="181" t="s">
        <v>229</v>
      </c>
      <c r="J672" s="184" t="n">
        <v>38190</v>
      </c>
      <c r="K672" s="184" t="n">
        <v>15160</v>
      </c>
      <c r="L672" s="185" t="n">
        <v>18</v>
      </c>
      <c r="M672" s="184" t="n">
        <v>23030</v>
      </c>
      <c r="N672" s="184" t="n">
        <v>18884.6</v>
      </c>
      <c r="O672" s="186" t="s">
        <v>1720</v>
      </c>
      <c r="P672" s="187" t="n">
        <v>45926</v>
      </c>
    </row>
    <row r="673" customFormat="false" ht="51" hidden="false" customHeight="true" outlineLevel="0" collapsed="false">
      <c r="A673" s="181" t="s">
        <v>1721</v>
      </c>
      <c r="B673" s="182" t="n">
        <v>1819</v>
      </c>
      <c r="C673" s="183" t="n">
        <v>187</v>
      </c>
      <c r="D673" s="181" t="s">
        <v>1509</v>
      </c>
      <c r="E673" s="181" t="s">
        <v>261</v>
      </c>
      <c r="F673" s="181" t="s">
        <v>262</v>
      </c>
      <c r="G673" s="181" t="s">
        <v>103</v>
      </c>
      <c r="H673" s="181" t="s">
        <v>87</v>
      </c>
      <c r="I673" s="181" t="s">
        <v>229</v>
      </c>
      <c r="J673" s="184" t="n">
        <v>36530</v>
      </c>
      <c r="K673" s="184" t="n">
        <v>15110</v>
      </c>
      <c r="L673" s="185" t="n">
        <v>15</v>
      </c>
      <c r="M673" s="184" t="n">
        <v>21420</v>
      </c>
      <c r="N673" s="184" t="n">
        <v>18207</v>
      </c>
      <c r="O673" s="186" t="s">
        <v>1722</v>
      </c>
      <c r="P673" s="187" t="n">
        <v>45926</v>
      </c>
    </row>
    <row r="674" customFormat="false" ht="51" hidden="false" customHeight="true" outlineLevel="0" collapsed="false">
      <c r="A674" s="181" t="s">
        <v>1723</v>
      </c>
      <c r="B674" s="182" t="n">
        <v>1823</v>
      </c>
      <c r="C674" s="183" t="n">
        <v>188</v>
      </c>
      <c r="D674" s="181" t="s">
        <v>1509</v>
      </c>
      <c r="E674" s="181" t="s">
        <v>277</v>
      </c>
      <c r="F674" s="181" t="s">
        <v>278</v>
      </c>
      <c r="G674" s="181" t="s">
        <v>103</v>
      </c>
      <c r="H674" s="181" t="s">
        <v>87</v>
      </c>
      <c r="I674" s="181" t="s">
        <v>229</v>
      </c>
      <c r="J674" s="184" t="n">
        <v>37710</v>
      </c>
      <c r="K674" s="184" t="n">
        <v>15140</v>
      </c>
      <c r="L674" s="185" t="n">
        <v>17</v>
      </c>
      <c r="M674" s="184" t="n">
        <v>22570</v>
      </c>
      <c r="N674" s="184" t="n">
        <v>18733.1</v>
      </c>
      <c r="O674" s="186" t="s">
        <v>1724</v>
      </c>
      <c r="P674" s="187" t="n">
        <v>45926</v>
      </c>
    </row>
    <row r="675" customFormat="false" ht="51" hidden="false" customHeight="true" outlineLevel="0" collapsed="false">
      <c r="A675" s="181" t="s">
        <v>1725</v>
      </c>
      <c r="B675" s="182" t="n">
        <v>1824</v>
      </c>
      <c r="C675" s="183" t="n">
        <v>189</v>
      </c>
      <c r="D675" s="181" t="s">
        <v>1509</v>
      </c>
      <c r="E675" s="181" t="s">
        <v>272</v>
      </c>
      <c r="F675" s="181" t="s">
        <v>273</v>
      </c>
      <c r="G675" s="181" t="s">
        <v>103</v>
      </c>
      <c r="H675" s="181" t="s">
        <v>87</v>
      </c>
      <c r="I675" s="181" t="s">
        <v>229</v>
      </c>
      <c r="J675" s="184" t="n">
        <v>38000</v>
      </c>
      <c r="K675" s="184" t="n">
        <v>15760</v>
      </c>
      <c r="L675" s="185" t="n">
        <v>16</v>
      </c>
      <c r="M675" s="184" t="n">
        <v>22240</v>
      </c>
      <c r="N675" s="184" t="n">
        <v>18681.6</v>
      </c>
      <c r="O675" s="186" t="s">
        <v>1726</v>
      </c>
      <c r="P675" s="187" t="n">
        <v>45926</v>
      </c>
    </row>
    <row r="676" customFormat="false" ht="51" hidden="false" customHeight="true" outlineLevel="0" collapsed="false">
      <c r="A676" s="181" t="s">
        <v>1727</v>
      </c>
      <c r="B676" s="182" t="n">
        <v>1825</v>
      </c>
      <c r="C676" s="183" t="n">
        <v>190</v>
      </c>
      <c r="D676" s="181" t="s">
        <v>1509</v>
      </c>
      <c r="E676" s="181" t="s">
        <v>576</v>
      </c>
      <c r="F676" s="181" t="s">
        <v>577</v>
      </c>
      <c r="G676" s="181" t="s">
        <v>103</v>
      </c>
      <c r="H676" s="181" t="s">
        <v>279</v>
      </c>
      <c r="I676" s="181" t="s">
        <v>229</v>
      </c>
      <c r="J676" s="184" t="n">
        <v>34460</v>
      </c>
      <c r="K676" s="184" t="n">
        <v>14560</v>
      </c>
      <c r="L676" s="185" t="n">
        <v>15</v>
      </c>
      <c r="M676" s="184" t="n">
        <v>19900</v>
      </c>
      <c r="N676" s="184" t="n">
        <v>16915</v>
      </c>
      <c r="O676" s="186" t="s">
        <v>1728</v>
      </c>
      <c r="P676" s="187" t="n">
        <v>45926</v>
      </c>
    </row>
    <row r="677" customFormat="false" ht="51" hidden="false" customHeight="true" outlineLevel="0" collapsed="false">
      <c r="A677" s="181" t="s">
        <v>1729</v>
      </c>
      <c r="B677" s="182" t="n">
        <v>1827</v>
      </c>
      <c r="C677" s="183" t="n">
        <v>191</v>
      </c>
      <c r="D677" s="181" t="s">
        <v>1509</v>
      </c>
      <c r="E677" s="181" t="s">
        <v>261</v>
      </c>
      <c r="F677" s="181" t="s">
        <v>262</v>
      </c>
      <c r="G677" s="181" t="s">
        <v>103</v>
      </c>
      <c r="H677" s="181" t="s">
        <v>279</v>
      </c>
      <c r="I677" s="181" t="s">
        <v>229</v>
      </c>
      <c r="J677" s="184" t="n">
        <v>34560</v>
      </c>
      <c r="K677" s="184" t="n">
        <v>15070</v>
      </c>
      <c r="L677" s="185" t="n">
        <v>15</v>
      </c>
      <c r="M677" s="184" t="n">
        <v>19490</v>
      </c>
      <c r="N677" s="184" t="n">
        <v>16566.5</v>
      </c>
      <c r="O677" s="186" t="s">
        <v>1730</v>
      </c>
      <c r="P677" s="187" t="n">
        <v>45926</v>
      </c>
    </row>
    <row r="678" customFormat="false" ht="51" hidden="false" customHeight="true" outlineLevel="0" collapsed="false">
      <c r="A678" s="181" t="s">
        <v>1731</v>
      </c>
      <c r="B678" s="182" t="n">
        <v>1829</v>
      </c>
      <c r="C678" s="183" t="n">
        <v>192</v>
      </c>
      <c r="D678" s="181" t="s">
        <v>1509</v>
      </c>
      <c r="E678" s="181" t="s">
        <v>277</v>
      </c>
      <c r="F678" s="181" t="s">
        <v>278</v>
      </c>
      <c r="G678" s="181" t="s">
        <v>103</v>
      </c>
      <c r="H678" s="181" t="s">
        <v>279</v>
      </c>
      <c r="I678" s="181" t="s">
        <v>229</v>
      </c>
      <c r="J678" s="184" t="n">
        <v>39260</v>
      </c>
      <c r="K678" s="184" t="n">
        <v>15130</v>
      </c>
      <c r="L678" s="185" t="n">
        <v>13</v>
      </c>
      <c r="M678" s="184" t="n">
        <v>24130</v>
      </c>
      <c r="N678" s="184" t="n">
        <v>20993.1</v>
      </c>
      <c r="O678" s="186" t="s">
        <v>1732</v>
      </c>
      <c r="P678" s="187" t="n">
        <v>45926</v>
      </c>
    </row>
    <row r="679" customFormat="false" ht="51" hidden="false" customHeight="true" outlineLevel="0" collapsed="false">
      <c r="A679" s="181" t="s">
        <v>1733</v>
      </c>
      <c r="B679" s="182" t="n">
        <v>1830</v>
      </c>
      <c r="C679" s="183" t="n">
        <v>193</v>
      </c>
      <c r="D679" s="181" t="s">
        <v>1509</v>
      </c>
      <c r="E679" s="181" t="s">
        <v>272</v>
      </c>
      <c r="F679" s="181" t="s">
        <v>273</v>
      </c>
      <c r="G679" s="181" t="s">
        <v>103</v>
      </c>
      <c r="H679" s="181" t="s">
        <v>279</v>
      </c>
      <c r="I679" s="181" t="s">
        <v>229</v>
      </c>
      <c r="J679" s="184" t="n">
        <v>35360</v>
      </c>
      <c r="K679" s="184" t="n">
        <v>15750</v>
      </c>
      <c r="L679" s="185" t="n">
        <v>26</v>
      </c>
      <c r="M679" s="184" t="n">
        <v>19610</v>
      </c>
      <c r="N679" s="184" t="n">
        <v>14511.4</v>
      </c>
      <c r="O679" s="186" t="s">
        <v>1734</v>
      </c>
      <c r="P679" s="187" t="n">
        <v>45926</v>
      </c>
    </row>
    <row r="680" customFormat="false" ht="51" hidden="false" customHeight="true" outlineLevel="0" collapsed="false">
      <c r="A680" s="181" t="s">
        <v>1735</v>
      </c>
      <c r="B680" s="182" t="n">
        <v>1831</v>
      </c>
      <c r="C680" s="183" t="n">
        <v>194</v>
      </c>
      <c r="D680" s="181" t="s">
        <v>1509</v>
      </c>
      <c r="E680" s="181" t="s">
        <v>576</v>
      </c>
      <c r="F680" s="181" t="s">
        <v>577</v>
      </c>
      <c r="G680" s="181" t="s">
        <v>103</v>
      </c>
      <c r="H680" s="181" t="s">
        <v>279</v>
      </c>
      <c r="I680" s="181" t="s">
        <v>229</v>
      </c>
      <c r="J680" s="184" t="n">
        <v>37220</v>
      </c>
      <c r="K680" s="184" t="n">
        <v>14540</v>
      </c>
      <c r="L680" s="185" t="n">
        <v>19</v>
      </c>
      <c r="M680" s="184" t="n">
        <v>22680</v>
      </c>
      <c r="N680" s="184" t="n">
        <v>18370.8</v>
      </c>
      <c r="O680" s="186" t="s">
        <v>1736</v>
      </c>
      <c r="P680" s="187" t="n">
        <v>45926</v>
      </c>
    </row>
    <row r="681" customFormat="false" ht="51" hidden="false" customHeight="true" outlineLevel="0" collapsed="false">
      <c r="A681" s="181" t="s">
        <v>1737</v>
      </c>
      <c r="B681" s="182" t="n">
        <v>1832</v>
      </c>
      <c r="C681" s="183" t="n">
        <v>195</v>
      </c>
      <c r="D681" s="181" t="s">
        <v>1509</v>
      </c>
      <c r="E681" s="181" t="s">
        <v>261</v>
      </c>
      <c r="F681" s="181" t="s">
        <v>262</v>
      </c>
      <c r="G681" s="181" t="s">
        <v>103</v>
      </c>
      <c r="H681" s="181" t="s">
        <v>279</v>
      </c>
      <c r="I681" s="181" t="s">
        <v>229</v>
      </c>
      <c r="J681" s="184" t="n">
        <v>35380</v>
      </c>
      <c r="K681" s="184" t="n">
        <v>15060</v>
      </c>
      <c r="L681" s="185" t="n">
        <v>16</v>
      </c>
      <c r="M681" s="184" t="n">
        <v>20320</v>
      </c>
      <c r="N681" s="184" t="n">
        <v>17068.8</v>
      </c>
      <c r="O681" s="186" t="s">
        <v>1738</v>
      </c>
      <c r="P681" s="187" t="n">
        <v>45926</v>
      </c>
    </row>
    <row r="682" customFormat="false" ht="51" hidden="false" customHeight="true" outlineLevel="0" collapsed="false">
      <c r="A682" s="181" t="s">
        <v>1739</v>
      </c>
      <c r="B682" s="182" t="n">
        <v>1833</v>
      </c>
      <c r="C682" s="183" t="n">
        <v>196</v>
      </c>
      <c r="D682" s="181" t="s">
        <v>1509</v>
      </c>
      <c r="E682" s="181" t="s">
        <v>277</v>
      </c>
      <c r="F682" s="181" t="s">
        <v>278</v>
      </c>
      <c r="G682" s="181" t="s">
        <v>103</v>
      </c>
      <c r="H682" s="181" t="s">
        <v>279</v>
      </c>
      <c r="I682" s="181" t="s">
        <v>229</v>
      </c>
      <c r="J682" s="184" t="n">
        <v>38820</v>
      </c>
      <c r="K682" s="184" t="n">
        <v>15110</v>
      </c>
      <c r="L682" s="185" t="n">
        <v>9</v>
      </c>
      <c r="M682" s="184" t="n">
        <v>23710</v>
      </c>
      <c r="N682" s="184" t="n">
        <v>21576.1</v>
      </c>
      <c r="O682" s="186" t="s">
        <v>1740</v>
      </c>
      <c r="P682" s="187" t="n">
        <v>45926</v>
      </c>
    </row>
    <row r="683" customFormat="false" ht="51" hidden="false" customHeight="true" outlineLevel="0" collapsed="false">
      <c r="A683" s="181" t="s">
        <v>1741</v>
      </c>
      <c r="B683" s="182" t="n">
        <v>1834</v>
      </c>
      <c r="C683" s="183" t="n">
        <v>197</v>
      </c>
      <c r="D683" s="181" t="s">
        <v>1509</v>
      </c>
      <c r="E683" s="181" t="s">
        <v>272</v>
      </c>
      <c r="F683" s="181" t="s">
        <v>273</v>
      </c>
      <c r="G683" s="181" t="s">
        <v>103</v>
      </c>
      <c r="H683" s="181" t="s">
        <v>279</v>
      </c>
      <c r="I683" s="181" t="s">
        <v>229</v>
      </c>
      <c r="J683" s="184" t="n">
        <v>39130</v>
      </c>
      <c r="K683" s="184" t="n">
        <v>15730</v>
      </c>
      <c r="L683" s="185" t="n">
        <v>10</v>
      </c>
      <c r="M683" s="184" t="n">
        <v>23400</v>
      </c>
      <c r="N683" s="184" t="n">
        <v>21060</v>
      </c>
      <c r="O683" s="186" t="s">
        <v>1742</v>
      </c>
      <c r="P683" s="187" t="n">
        <v>45926</v>
      </c>
    </row>
    <row r="684" customFormat="false" ht="51" hidden="false" customHeight="true" outlineLevel="0" collapsed="false">
      <c r="A684" s="181" t="s">
        <v>1743</v>
      </c>
      <c r="B684" s="182" t="n">
        <v>1835</v>
      </c>
      <c r="C684" s="183" t="n">
        <v>198</v>
      </c>
      <c r="D684" s="181" t="s">
        <v>1509</v>
      </c>
      <c r="E684" s="181" t="s">
        <v>576</v>
      </c>
      <c r="F684" s="181" t="s">
        <v>577</v>
      </c>
      <c r="G684" s="181" t="s">
        <v>103</v>
      </c>
      <c r="H684" s="181" t="s">
        <v>279</v>
      </c>
      <c r="I684" s="181" t="s">
        <v>229</v>
      </c>
      <c r="J684" s="184" t="n">
        <v>36560</v>
      </c>
      <c r="K684" s="184" t="n">
        <v>14530</v>
      </c>
      <c r="L684" s="185" t="n">
        <v>6</v>
      </c>
      <c r="M684" s="184" t="n">
        <v>22030</v>
      </c>
      <c r="N684" s="184" t="n">
        <v>20708.2</v>
      </c>
      <c r="O684" s="186" t="s">
        <v>1744</v>
      </c>
      <c r="P684" s="187" t="n">
        <v>45926</v>
      </c>
    </row>
    <row r="685" customFormat="false" ht="51" hidden="false" customHeight="true" outlineLevel="0" collapsed="false">
      <c r="A685" s="181" t="s">
        <v>1745</v>
      </c>
      <c r="B685" s="182" t="n">
        <v>1837</v>
      </c>
      <c r="C685" s="183" t="n">
        <v>199</v>
      </c>
      <c r="D685" s="181" t="s">
        <v>1509</v>
      </c>
      <c r="E685" s="181" t="s">
        <v>261</v>
      </c>
      <c r="F685" s="181" t="s">
        <v>262</v>
      </c>
      <c r="G685" s="181" t="s">
        <v>103</v>
      </c>
      <c r="H685" s="181" t="s">
        <v>279</v>
      </c>
      <c r="I685" s="181" t="s">
        <v>229</v>
      </c>
      <c r="J685" s="184" t="n">
        <v>34850</v>
      </c>
      <c r="K685" s="184" t="n">
        <v>15040</v>
      </c>
      <c r="L685" s="185" t="n">
        <v>17</v>
      </c>
      <c r="M685" s="184" t="n">
        <v>19810</v>
      </c>
      <c r="N685" s="184" t="n">
        <v>16442.3</v>
      </c>
      <c r="O685" s="186" t="s">
        <v>1746</v>
      </c>
      <c r="P685" s="187" t="n">
        <v>45926</v>
      </c>
    </row>
    <row r="686" customFormat="false" ht="51" hidden="false" customHeight="true" outlineLevel="0" collapsed="false">
      <c r="A686" s="181" t="s">
        <v>1747</v>
      </c>
      <c r="B686" s="182" t="n">
        <v>1839</v>
      </c>
      <c r="C686" s="183" t="n">
        <v>200</v>
      </c>
      <c r="D686" s="181" t="s">
        <v>1509</v>
      </c>
      <c r="E686" s="181" t="s">
        <v>277</v>
      </c>
      <c r="F686" s="181" t="s">
        <v>278</v>
      </c>
      <c r="G686" s="181" t="s">
        <v>103</v>
      </c>
      <c r="H686" s="181" t="s">
        <v>279</v>
      </c>
      <c r="I686" s="181" t="s">
        <v>229</v>
      </c>
      <c r="J686" s="184" t="n">
        <v>38420</v>
      </c>
      <c r="K686" s="184" t="n">
        <v>15180</v>
      </c>
      <c r="L686" s="185" t="n">
        <v>12</v>
      </c>
      <c r="M686" s="184" t="n">
        <v>23240</v>
      </c>
      <c r="N686" s="184" t="n">
        <v>20451.2</v>
      </c>
      <c r="O686" s="186" t="s">
        <v>1748</v>
      </c>
      <c r="P686" s="187" t="n">
        <v>45926</v>
      </c>
    </row>
    <row r="687" customFormat="false" ht="51" hidden="false" customHeight="true" outlineLevel="0" collapsed="false">
      <c r="A687" s="181" t="s">
        <v>1749</v>
      </c>
      <c r="B687" s="182" t="n">
        <v>1840</v>
      </c>
      <c r="C687" s="183" t="n">
        <v>201</v>
      </c>
      <c r="D687" s="181" t="s">
        <v>1509</v>
      </c>
      <c r="E687" s="181" t="s">
        <v>272</v>
      </c>
      <c r="F687" s="181" t="s">
        <v>273</v>
      </c>
      <c r="G687" s="181" t="s">
        <v>103</v>
      </c>
      <c r="H687" s="181" t="s">
        <v>279</v>
      </c>
      <c r="I687" s="181" t="s">
        <v>229</v>
      </c>
      <c r="J687" s="184" t="n">
        <v>38790</v>
      </c>
      <c r="K687" s="184" t="n">
        <v>15750</v>
      </c>
      <c r="L687" s="185" t="n">
        <v>6</v>
      </c>
      <c r="M687" s="184" t="n">
        <v>23040</v>
      </c>
      <c r="N687" s="184" t="n">
        <v>21657.6</v>
      </c>
      <c r="O687" s="186" t="s">
        <v>1750</v>
      </c>
      <c r="P687" s="187" t="n">
        <v>45926</v>
      </c>
    </row>
    <row r="688" customFormat="false" ht="51" hidden="false" customHeight="true" outlineLevel="0" collapsed="false">
      <c r="A688" s="181" t="s">
        <v>1751</v>
      </c>
      <c r="B688" s="182" t="n">
        <v>1841</v>
      </c>
      <c r="C688" s="183" t="n">
        <v>202</v>
      </c>
      <c r="D688" s="181" t="s">
        <v>1509</v>
      </c>
      <c r="E688" s="181" t="s">
        <v>576</v>
      </c>
      <c r="F688" s="181" t="s">
        <v>577</v>
      </c>
      <c r="G688" s="181" t="s">
        <v>103</v>
      </c>
      <c r="H688" s="181" t="s">
        <v>279</v>
      </c>
      <c r="I688" s="181" t="s">
        <v>229</v>
      </c>
      <c r="J688" s="184" t="n">
        <v>36040</v>
      </c>
      <c r="K688" s="184" t="n">
        <v>14510</v>
      </c>
      <c r="L688" s="185" t="n">
        <v>12</v>
      </c>
      <c r="M688" s="184" t="n">
        <v>21530</v>
      </c>
      <c r="N688" s="184" t="n">
        <v>18946.4</v>
      </c>
      <c r="O688" s="186" t="s">
        <v>1752</v>
      </c>
      <c r="P688" s="187" t="n">
        <v>45926</v>
      </c>
    </row>
    <row r="689" customFormat="false" ht="51" hidden="false" customHeight="true" outlineLevel="0" collapsed="false">
      <c r="A689" s="181" t="s">
        <v>1753</v>
      </c>
      <c r="B689" s="182" t="n">
        <v>1842</v>
      </c>
      <c r="C689" s="183" t="n">
        <v>203</v>
      </c>
      <c r="D689" s="181" t="s">
        <v>1509</v>
      </c>
      <c r="E689" s="181" t="s">
        <v>261</v>
      </c>
      <c r="F689" s="181" t="s">
        <v>262</v>
      </c>
      <c r="G689" s="181" t="s">
        <v>103</v>
      </c>
      <c r="H689" s="181" t="s">
        <v>279</v>
      </c>
      <c r="I689" s="181" t="s">
        <v>229</v>
      </c>
      <c r="J689" s="184" t="n">
        <v>36800</v>
      </c>
      <c r="K689" s="184" t="n">
        <v>15070</v>
      </c>
      <c r="L689" s="185" t="n">
        <v>7</v>
      </c>
      <c r="M689" s="184" t="n">
        <v>21730</v>
      </c>
      <c r="N689" s="184" t="n">
        <v>20208.9</v>
      </c>
      <c r="O689" s="186" t="s">
        <v>1754</v>
      </c>
      <c r="P689" s="187" t="n">
        <v>45926</v>
      </c>
    </row>
    <row r="690" customFormat="false" ht="51" hidden="false" customHeight="true" outlineLevel="0" collapsed="false">
      <c r="A690" s="181" t="s">
        <v>1755</v>
      </c>
      <c r="B690" s="182" t="n">
        <v>1843</v>
      </c>
      <c r="C690" s="183" t="n">
        <v>204</v>
      </c>
      <c r="D690" s="181" t="s">
        <v>1509</v>
      </c>
      <c r="E690" s="181" t="s">
        <v>277</v>
      </c>
      <c r="F690" s="181" t="s">
        <v>278</v>
      </c>
      <c r="G690" s="181" t="s">
        <v>103</v>
      </c>
      <c r="H690" s="181" t="s">
        <v>279</v>
      </c>
      <c r="I690" s="181" t="s">
        <v>229</v>
      </c>
      <c r="J690" s="184" t="n">
        <v>39100</v>
      </c>
      <c r="K690" s="184" t="n">
        <v>15090</v>
      </c>
      <c r="L690" s="185" t="n">
        <v>8</v>
      </c>
      <c r="M690" s="184" t="n">
        <v>24010</v>
      </c>
      <c r="N690" s="184" t="n">
        <v>22089.2</v>
      </c>
      <c r="O690" s="186" t="s">
        <v>1756</v>
      </c>
      <c r="P690" s="187" t="n">
        <v>45927</v>
      </c>
    </row>
    <row r="691" customFormat="false" ht="51" hidden="false" customHeight="true" outlineLevel="0" collapsed="false">
      <c r="A691" s="181" t="s">
        <v>1757</v>
      </c>
      <c r="B691" s="182" t="n">
        <v>1846</v>
      </c>
      <c r="C691" s="183" t="n">
        <v>205</v>
      </c>
      <c r="D691" s="181" t="s">
        <v>1509</v>
      </c>
      <c r="E691" s="181" t="s">
        <v>272</v>
      </c>
      <c r="F691" s="181" t="s">
        <v>273</v>
      </c>
      <c r="G691" s="181" t="s">
        <v>103</v>
      </c>
      <c r="H691" s="181" t="s">
        <v>279</v>
      </c>
      <c r="I691" s="181" t="s">
        <v>229</v>
      </c>
      <c r="J691" s="184" t="n">
        <v>37920</v>
      </c>
      <c r="K691" s="184" t="n">
        <v>15720</v>
      </c>
      <c r="L691" s="185" t="n">
        <v>11</v>
      </c>
      <c r="M691" s="184" t="n">
        <v>22200</v>
      </c>
      <c r="N691" s="184" t="n">
        <v>19758</v>
      </c>
      <c r="O691" s="186" t="s">
        <v>1758</v>
      </c>
      <c r="P691" s="187" t="n">
        <v>45927</v>
      </c>
    </row>
    <row r="692" customFormat="false" ht="51" hidden="false" customHeight="true" outlineLevel="0" collapsed="false">
      <c r="A692" s="181" t="s">
        <v>1759</v>
      </c>
      <c r="B692" s="182" t="n">
        <v>1847</v>
      </c>
      <c r="C692" s="183" t="n">
        <v>206</v>
      </c>
      <c r="D692" s="181" t="s">
        <v>1509</v>
      </c>
      <c r="E692" s="181" t="s">
        <v>576</v>
      </c>
      <c r="F692" s="181" t="s">
        <v>577</v>
      </c>
      <c r="G692" s="181" t="s">
        <v>103</v>
      </c>
      <c r="H692" s="181" t="s">
        <v>279</v>
      </c>
      <c r="I692" s="181" t="s">
        <v>229</v>
      </c>
      <c r="J692" s="184" t="n">
        <v>37070</v>
      </c>
      <c r="K692" s="184" t="n">
        <v>14510</v>
      </c>
      <c r="L692" s="185" t="n">
        <v>8</v>
      </c>
      <c r="M692" s="184" t="n">
        <v>22560</v>
      </c>
      <c r="N692" s="184" t="n">
        <v>20755.2</v>
      </c>
      <c r="O692" s="186" t="s">
        <v>1760</v>
      </c>
      <c r="P692" s="187" t="n">
        <v>45927</v>
      </c>
    </row>
    <row r="693" customFormat="false" ht="51" hidden="false" customHeight="true" outlineLevel="0" collapsed="false">
      <c r="A693" s="181" t="s">
        <v>1761</v>
      </c>
      <c r="B693" s="182" t="n">
        <v>1848</v>
      </c>
      <c r="C693" s="183" t="n">
        <v>207</v>
      </c>
      <c r="D693" s="181" t="s">
        <v>1509</v>
      </c>
      <c r="E693" s="181" t="s">
        <v>261</v>
      </c>
      <c r="F693" s="181" t="s">
        <v>262</v>
      </c>
      <c r="G693" s="181" t="s">
        <v>103</v>
      </c>
      <c r="H693" s="181" t="s">
        <v>279</v>
      </c>
      <c r="I693" s="181" t="s">
        <v>229</v>
      </c>
      <c r="J693" s="184" t="n">
        <v>36570</v>
      </c>
      <c r="K693" s="184" t="n">
        <v>15050</v>
      </c>
      <c r="L693" s="185" t="n">
        <v>10</v>
      </c>
      <c r="M693" s="184" t="n">
        <v>21520</v>
      </c>
      <c r="N693" s="184" t="n">
        <v>19368</v>
      </c>
      <c r="O693" s="186" t="s">
        <v>1762</v>
      </c>
      <c r="P693" s="187" t="n">
        <v>45927</v>
      </c>
    </row>
    <row r="694" customFormat="false" ht="51" hidden="false" customHeight="true" outlineLevel="0" collapsed="false">
      <c r="A694" s="181" t="s">
        <v>1763</v>
      </c>
      <c r="B694" s="182" t="n">
        <v>1849</v>
      </c>
      <c r="C694" s="183" t="n">
        <v>208</v>
      </c>
      <c r="D694" s="181" t="s">
        <v>1509</v>
      </c>
      <c r="E694" s="181" t="s">
        <v>272</v>
      </c>
      <c r="F694" s="181" t="s">
        <v>273</v>
      </c>
      <c r="G694" s="181" t="s">
        <v>103</v>
      </c>
      <c r="H694" s="181" t="s">
        <v>279</v>
      </c>
      <c r="I694" s="181" t="s">
        <v>229</v>
      </c>
      <c r="J694" s="184" t="n">
        <v>39150</v>
      </c>
      <c r="K694" s="184" t="n">
        <v>15720</v>
      </c>
      <c r="L694" s="185" t="n">
        <v>9</v>
      </c>
      <c r="M694" s="184" t="n">
        <v>23430</v>
      </c>
      <c r="N694" s="184" t="n">
        <v>21321.3</v>
      </c>
      <c r="O694" s="186" t="s">
        <v>1764</v>
      </c>
      <c r="P694" s="187" t="n">
        <v>45927</v>
      </c>
    </row>
    <row r="695" customFormat="false" ht="51" hidden="false" customHeight="true" outlineLevel="0" collapsed="false">
      <c r="A695" s="181" t="s">
        <v>1765</v>
      </c>
      <c r="B695" s="182" t="n">
        <v>1850</v>
      </c>
      <c r="C695" s="183" t="n">
        <v>209</v>
      </c>
      <c r="D695" s="181" t="s">
        <v>1509</v>
      </c>
      <c r="E695" s="181" t="s">
        <v>576</v>
      </c>
      <c r="F695" s="181" t="s">
        <v>577</v>
      </c>
      <c r="G695" s="181" t="s">
        <v>103</v>
      </c>
      <c r="H695" s="181" t="s">
        <v>279</v>
      </c>
      <c r="I695" s="181" t="s">
        <v>229</v>
      </c>
      <c r="J695" s="184" t="n">
        <v>36270</v>
      </c>
      <c r="K695" s="184" t="n">
        <v>14510</v>
      </c>
      <c r="L695" s="185" t="n">
        <v>8</v>
      </c>
      <c r="M695" s="184" t="n">
        <v>21760</v>
      </c>
      <c r="N695" s="184" t="n">
        <v>20019.2</v>
      </c>
      <c r="O695" s="186" t="s">
        <v>1766</v>
      </c>
      <c r="P695" s="187" t="n">
        <v>45927</v>
      </c>
    </row>
    <row r="696" customFormat="false" ht="51" hidden="false" customHeight="true" outlineLevel="0" collapsed="false">
      <c r="A696" s="181" t="s">
        <v>1767</v>
      </c>
      <c r="B696" s="182" t="n">
        <v>1852</v>
      </c>
      <c r="C696" s="183" t="n">
        <v>210</v>
      </c>
      <c r="D696" s="181" t="s">
        <v>1509</v>
      </c>
      <c r="E696" s="181" t="s">
        <v>391</v>
      </c>
      <c r="F696" s="181" t="s">
        <v>392</v>
      </c>
      <c r="G696" s="181" t="s">
        <v>103</v>
      </c>
      <c r="H696" s="181" t="s">
        <v>279</v>
      </c>
      <c r="I696" s="181" t="s">
        <v>229</v>
      </c>
      <c r="J696" s="184" t="n">
        <v>33980</v>
      </c>
      <c r="K696" s="184" t="n">
        <v>14560</v>
      </c>
      <c r="L696" s="185" t="n">
        <v>14</v>
      </c>
      <c r="M696" s="184" t="n">
        <v>19420</v>
      </c>
      <c r="N696" s="184" t="n">
        <v>16701.2</v>
      </c>
      <c r="O696" s="186" t="s">
        <v>1768</v>
      </c>
      <c r="P696" s="187" t="n">
        <v>45927</v>
      </c>
    </row>
    <row r="697" customFormat="false" ht="51" hidden="false" customHeight="true" outlineLevel="0" collapsed="false">
      <c r="A697" s="181" t="s">
        <v>1769</v>
      </c>
      <c r="B697" s="182" t="n">
        <v>1854</v>
      </c>
      <c r="C697" s="183" t="n">
        <v>211</v>
      </c>
      <c r="D697" s="181" t="s">
        <v>1509</v>
      </c>
      <c r="E697" s="181" t="s">
        <v>529</v>
      </c>
      <c r="F697" s="181" t="s">
        <v>530</v>
      </c>
      <c r="G697" s="181" t="s">
        <v>103</v>
      </c>
      <c r="H697" s="181" t="s">
        <v>279</v>
      </c>
      <c r="I697" s="181" t="s">
        <v>229</v>
      </c>
      <c r="J697" s="184" t="n">
        <v>34820</v>
      </c>
      <c r="K697" s="184" t="n">
        <v>14890</v>
      </c>
      <c r="L697" s="185" t="n">
        <v>18</v>
      </c>
      <c r="M697" s="184" t="n">
        <v>19930</v>
      </c>
      <c r="N697" s="184" t="n">
        <v>16342.6</v>
      </c>
      <c r="O697" s="186" t="s">
        <v>1770</v>
      </c>
      <c r="P697" s="187" t="n">
        <v>45927</v>
      </c>
    </row>
    <row r="698" customFormat="false" ht="51" hidden="false" customHeight="true" outlineLevel="0" collapsed="false">
      <c r="A698" s="181" t="s">
        <v>1771</v>
      </c>
      <c r="B698" s="182" t="n">
        <v>1856</v>
      </c>
      <c r="C698" s="183" t="n">
        <v>212</v>
      </c>
      <c r="D698" s="181" t="s">
        <v>1509</v>
      </c>
      <c r="E698" s="181" t="s">
        <v>346</v>
      </c>
      <c r="F698" s="181" t="s">
        <v>347</v>
      </c>
      <c r="G698" s="181" t="s">
        <v>103</v>
      </c>
      <c r="H698" s="181" t="s">
        <v>279</v>
      </c>
      <c r="I698" s="181" t="s">
        <v>229</v>
      </c>
      <c r="J698" s="184" t="n">
        <v>36510</v>
      </c>
      <c r="K698" s="184" t="n">
        <v>15250</v>
      </c>
      <c r="L698" s="185" t="n">
        <v>21</v>
      </c>
      <c r="M698" s="184" t="n">
        <v>21260</v>
      </c>
      <c r="N698" s="184" t="n">
        <v>16795.4</v>
      </c>
      <c r="O698" s="186" t="s">
        <v>1772</v>
      </c>
      <c r="P698" s="187" t="n">
        <v>45927</v>
      </c>
    </row>
    <row r="699" customFormat="false" ht="51" hidden="false" customHeight="true" outlineLevel="0" collapsed="false">
      <c r="A699" s="181" t="s">
        <v>1773</v>
      </c>
      <c r="B699" s="182" t="n">
        <v>1857</v>
      </c>
      <c r="C699" s="183" t="n">
        <v>213</v>
      </c>
      <c r="D699" s="181" t="s">
        <v>1509</v>
      </c>
      <c r="E699" s="181" t="s">
        <v>266</v>
      </c>
      <c r="F699" s="181" t="s">
        <v>267</v>
      </c>
      <c r="G699" s="181" t="s">
        <v>103</v>
      </c>
      <c r="H699" s="181" t="s">
        <v>279</v>
      </c>
      <c r="I699" s="181" t="s">
        <v>229</v>
      </c>
      <c r="J699" s="184" t="n">
        <v>36110</v>
      </c>
      <c r="K699" s="184" t="n">
        <v>15090</v>
      </c>
      <c r="L699" s="185" t="n">
        <v>23</v>
      </c>
      <c r="M699" s="184" t="n">
        <v>21020</v>
      </c>
      <c r="N699" s="184" t="n">
        <v>16185.4</v>
      </c>
      <c r="O699" s="186" t="s">
        <v>1774</v>
      </c>
      <c r="P699" s="187" t="n">
        <v>45927</v>
      </c>
    </row>
    <row r="700" customFormat="false" ht="51" hidden="false" customHeight="true" outlineLevel="0" collapsed="false">
      <c r="A700" s="181" t="s">
        <v>1775</v>
      </c>
      <c r="B700" s="182" t="n">
        <v>1858</v>
      </c>
      <c r="C700" s="183" t="n">
        <v>214</v>
      </c>
      <c r="D700" s="181" t="s">
        <v>1509</v>
      </c>
      <c r="E700" s="181" t="s">
        <v>391</v>
      </c>
      <c r="F700" s="181" t="s">
        <v>392</v>
      </c>
      <c r="G700" s="181" t="s">
        <v>103</v>
      </c>
      <c r="H700" s="181" t="s">
        <v>279</v>
      </c>
      <c r="I700" s="181" t="s">
        <v>229</v>
      </c>
      <c r="J700" s="184" t="n">
        <v>34360</v>
      </c>
      <c r="K700" s="184" t="n">
        <v>14550</v>
      </c>
      <c r="L700" s="185" t="n">
        <v>23</v>
      </c>
      <c r="M700" s="184" t="n">
        <v>19810</v>
      </c>
      <c r="N700" s="184" t="n">
        <v>15253.7</v>
      </c>
      <c r="O700" s="186" t="s">
        <v>1776</v>
      </c>
      <c r="P700" s="187" t="n">
        <v>45927</v>
      </c>
    </row>
    <row r="701" customFormat="false" ht="51" hidden="false" customHeight="true" outlineLevel="0" collapsed="false">
      <c r="A701" s="181" t="s">
        <v>1777</v>
      </c>
      <c r="B701" s="182" t="n">
        <v>1861</v>
      </c>
      <c r="C701" s="183" t="n">
        <v>215</v>
      </c>
      <c r="D701" s="181" t="s">
        <v>1509</v>
      </c>
      <c r="E701" s="181" t="s">
        <v>529</v>
      </c>
      <c r="F701" s="181" t="s">
        <v>530</v>
      </c>
      <c r="G701" s="181" t="s">
        <v>103</v>
      </c>
      <c r="H701" s="181" t="s">
        <v>279</v>
      </c>
      <c r="I701" s="181" t="s">
        <v>229</v>
      </c>
      <c r="J701" s="184" t="n">
        <v>34830</v>
      </c>
      <c r="K701" s="184" t="n">
        <v>14880</v>
      </c>
      <c r="L701" s="185" t="n">
        <v>16</v>
      </c>
      <c r="M701" s="184" t="n">
        <v>19950</v>
      </c>
      <c r="N701" s="184" t="n">
        <v>16758</v>
      </c>
      <c r="O701" s="186" t="s">
        <v>1778</v>
      </c>
      <c r="P701" s="187" t="n">
        <v>45927</v>
      </c>
    </row>
    <row r="702" customFormat="false" ht="51" hidden="false" customHeight="true" outlineLevel="0" collapsed="false">
      <c r="A702" s="181" t="s">
        <v>1779</v>
      </c>
      <c r="B702" s="182" t="n">
        <v>1862</v>
      </c>
      <c r="C702" s="183" t="n">
        <v>216</v>
      </c>
      <c r="D702" s="181" t="s">
        <v>1509</v>
      </c>
      <c r="E702" s="181" t="s">
        <v>346</v>
      </c>
      <c r="F702" s="181" t="s">
        <v>347</v>
      </c>
      <c r="G702" s="181" t="s">
        <v>103</v>
      </c>
      <c r="H702" s="181" t="s">
        <v>279</v>
      </c>
      <c r="I702" s="181" t="s">
        <v>229</v>
      </c>
      <c r="J702" s="184" t="n">
        <v>37530</v>
      </c>
      <c r="K702" s="184" t="n">
        <v>15230</v>
      </c>
      <c r="L702" s="185" t="n">
        <v>14</v>
      </c>
      <c r="M702" s="184" t="n">
        <v>22300</v>
      </c>
      <c r="N702" s="184" t="n">
        <v>19178</v>
      </c>
      <c r="O702" s="186" t="s">
        <v>1780</v>
      </c>
      <c r="P702" s="187" t="n">
        <v>45927</v>
      </c>
    </row>
    <row r="703" customFormat="false" ht="51" hidden="false" customHeight="true" outlineLevel="0" collapsed="false">
      <c r="A703" s="181" t="s">
        <v>1781</v>
      </c>
      <c r="B703" s="182" t="n">
        <v>1863</v>
      </c>
      <c r="C703" s="183" t="n">
        <v>217</v>
      </c>
      <c r="D703" s="181" t="s">
        <v>1509</v>
      </c>
      <c r="E703" s="181" t="s">
        <v>266</v>
      </c>
      <c r="F703" s="181" t="s">
        <v>267</v>
      </c>
      <c r="G703" s="181" t="s">
        <v>103</v>
      </c>
      <c r="H703" s="181" t="s">
        <v>279</v>
      </c>
      <c r="I703" s="181" t="s">
        <v>229</v>
      </c>
      <c r="J703" s="184" t="n">
        <v>34840</v>
      </c>
      <c r="K703" s="184" t="n">
        <v>15070</v>
      </c>
      <c r="L703" s="185" t="n">
        <v>22</v>
      </c>
      <c r="M703" s="184" t="n">
        <v>19770</v>
      </c>
      <c r="N703" s="184" t="n">
        <v>15420.6</v>
      </c>
      <c r="O703" s="186" t="s">
        <v>1782</v>
      </c>
      <c r="P703" s="187" t="n">
        <v>45927</v>
      </c>
    </row>
    <row r="704" customFormat="false" ht="51" hidden="false" customHeight="true" outlineLevel="0" collapsed="false">
      <c r="A704" s="181" t="s">
        <v>1783</v>
      </c>
      <c r="B704" s="182" t="n">
        <v>1864</v>
      </c>
      <c r="C704" s="183" t="n">
        <v>218</v>
      </c>
      <c r="D704" s="181" t="s">
        <v>1509</v>
      </c>
      <c r="E704" s="181" t="s">
        <v>391</v>
      </c>
      <c r="F704" s="181" t="s">
        <v>392</v>
      </c>
      <c r="G704" s="181" t="s">
        <v>103</v>
      </c>
      <c r="H704" s="181" t="s">
        <v>279</v>
      </c>
      <c r="I704" s="181" t="s">
        <v>229</v>
      </c>
      <c r="J704" s="184" t="n">
        <v>34370</v>
      </c>
      <c r="K704" s="184" t="n">
        <v>14550</v>
      </c>
      <c r="L704" s="185" t="n">
        <v>19</v>
      </c>
      <c r="M704" s="184" t="n">
        <v>19820</v>
      </c>
      <c r="N704" s="184" t="n">
        <v>16054.2</v>
      </c>
      <c r="O704" s="186" t="s">
        <v>1784</v>
      </c>
      <c r="P704" s="187" t="n">
        <v>45927</v>
      </c>
    </row>
    <row r="705" customFormat="false" ht="51" hidden="false" customHeight="true" outlineLevel="0" collapsed="false">
      <c r="A705" s="181" t="s">
        <v>1785</v>
      </c>
      <c r="B705" s="182" t="n">
        <v>1865</v>
      </c>
      <c r="C705" s="183" t="n">
        <v>219</v>
      </c>
      <c r="D705" s="181" t="s">
        <v>1509</v>
      </c>
      <c r="E705" s="181" t="s">
        <v>529</v>
      </c>
      <c r="F705" s="181" t="s">
        <v>530</v>
      </c>
      <c r="G705" s="181" t="s">
        <v>103</v>
      </c>
      <c r="H705" s="181" t="s">
        <v>279</v>
      </c>
      <c r="I705" s="181" t="s">
        <v>229</v>
      </c>
      <c r="J705" s="184" t="n">
        <v>35060</v>
      </c>
      <c r="K705" s="184" t="n">
        <v>14880</v>
      </c>
      <c r="L705" s="185" t="n">
        <v>18</v>
      </c>
      <c r="M705" s="184" t="n">
        <v>20180</v>
      </c>
      <c r="N705" s="184" t="n">
        <v>16547.6</v>
      </c>
      <c r="O705" s="186" t="s">
        <v>1786</v>
      </c>
      <c r="P705" s="187" t="n">
        <v>45927</v>
      </c>
    </row>
    <row r="706" customFormat="false" ht="51" hidden="false" customHeight="true" outlineLevel="0" collapsed="false">
      <c r="A706" s="181" t="s">
        <v>1787</v>
      </c>
      <c r="B706" s="182" t="n">
        <v>1867</v>
      </c>
      <c r="C706" s="183" t="n">
        <v>220</v>
      </c>
      <c r="D706" s="181" t="s">
        <v>1509</v>
      </c>
      <c r="E706" s="181" t="s">
        <v>346</v>
      </c>
      <c r="F706" s="181" t="s">
        <v>347</v>
      </c>
      <c r="G706" s="181" t="s">
        <v>103</v>
      </c>
      <c r="H706" s="181" t="s">
        <v>279</v>
      </c>
      <c r="I706" s="181" t="s">
        <v>229</v>
      </c>
      <c r="J706" s="184" t="n">
        <v>37830</v>
      </c>
      <c r="K706" s="184" t="n">
        <v>15230</v>
      </c>
      <c r="L706" s="185" t="n">
        <v>20</v>
      </c>
      <c r="M706" s="184" t="n">
        <v>22600</v>
      </c>
      <c r="N706" s="184" t="n">
        <v>18080</v>
      </c>
      <c r="O706" s="186" t="s">
        <v>1788</v>
      </c>
      <c r="P706" s="187" t="n">
        <v>45927</v>
      </c>
    </row>
    <row r="707" customFormat="false" ht="51" hidden="false" customHeight="true" outlineLevel="0" collapsed="false">
      <c r="A707" s="181" t="s">
        <v>1789</v>
      </c>
      <c r="B707" s="182" t="n">
        <v>1868</v>
      </c>
      <c r="C707" s="183" t="n">
        <v>221</v>
      </c>
      <c r="D707" s="181" t="s">
        <v>1509</v>
      </c>
      <c r="E707" s="181" t="s">
        <v>266</v>
      </c>
      <c r="F707" s="181" t="s">
        <v>267</v>
      </c>
      <c r="G707" s="181" t="s">
        <v>103</v>
      </c>
      <c r="H707" s="181" t="s">
        <v>279</v>
      </c>
      <c r="I707" s="181" t="s">
        <v>229</v>
      </c>
      <c r="J707" s="184" t="n">
        <v>36440</v>
      </c>
      <c r="K707" s="184" t="n">
        <v>15070</v>
      </c>
      <c r="L707" s="185" t="n">
        <v>16</v>
      </c>
      <c r="M707" s="184" t="n">
        <v>21370</v>
      </c>
      <c r="N707" s="184" t="n">
        <v>17950.8</v>
      </c>
      <c r="O707" s="186" t="s">
        <v>1790</v>
      </c>
      <c r="P707" s="187" t="n">
        <v>45927</v>
      </c>
    </row>
    <row r="708" customFormat="false" ht="51" hidden="false" customHeight="true" outlineLevel="0" collapsed="false">
      <c r="A708" s="181" t="s">
        <v>1791</v>
      </c>
      <c r="B708" s="182" t="n">
        <v>1869</v>
      </c>
      <c r="C708" s="183" t="n">
        <v>222</v>
      </c>
      <c r="D708" s="181" t="s">
        <v>1509</v>
      </c>
      <c r="E708" s="181" t="s">
        <v>391</v>
      </c>
      <c r="F708" s="181" t="s">
        <v>392</v>
      </c>
      <c r="G708" s="181" t="s">
        <v>103</v>
      </c>
      <c r="H708" s="181" t="s">
        <v>279</v>
      </c>
      <c r="I708" s="181" t="s">
        <v>229</v>
      </c>
      <c r="J708" s="184" t="n">
        <v>34030</v>
      </c>
      <c r="K708" s="184" t="n">
        <v>14520</v>
      </c>
      <c r="L708" s="185" t="n">
        <v>20</v>
      </c>
      <c r="M708" s="184" t="n">
        <v>19510</v>
      </c>
      <c r="N708" s="184" t="n">
        <v>15608</v>
      </c>
      <c r="O708" s="186" t="s">
        <v>1792</v>
      </c>
      <c r="P708" s="187" t="n">
        <v>45927</v>
      </c>
    </row>
    <row r="709" customFormat="false" ht="51" hidden="false" customHeight="true" outlineLevel="0" collapsed="false">
      <c r="A709" s="181" t="s">
        <v>1793</v>
      </c>
      <c r="B709" s="182" t="n">
        <v>1870</v>
      </c>
      <c r="C709" s="183" t="n">
        <v>223</v>
      </c>
      <c r="D709" s="181" t="s">
        <v>1509</v>
      </c>
      <c r="E709" s="181" t="s">
        <v>529</v>
      </c>
      <c r="F709" s="181" t="s">
        <v>530</v>
      </c>
      <c r="G709" s="181" t="s">
        <v>103</v>
      </c>
      <c r="H709" s="181" t="s">
        <v>279</v>
      </c>
      <c r="I709" s="181" t="s">
        <v>229</v>
      </c>
      <c r="J709" s="184" t="n">
        <v>34410</v>
      </c>
      <c r="K709" s="184" t="n">
        <v>14860</v>
      </c>
      <c r="L709" s="185" t="n">
        <v>16</v>
      </c>
      <c r="M709" s="184" t="n">
        <v>19550</v>
      </c>
      <c r="N709" s="184" t="n">
        <v>16422</v>
      </c>
      <c r="O709" s="186" t="s">
        <v>1794</v>
      </c>
      <c r="P709" s="187" t="n">
        <v>45927</v>
      </c>
    </row>
    <row r="710" customFormat="false" ht="51" hidden="false" customHeight="true" outlineLevel="0" collapsed="false">
      <c r="A710" s="181" t="s">
        <v>1795</v>
      </c>
      <c r="B710" s="182" t="n">
        <v>1871</v>
      </c>
      <c r="C710" s="183" t="n">
        <v>224</v>
      </c>
      <c r="D710" s="181" t="s">
        <v>1509</v>
      </c>
      <c r="E710" s="181" t="s">
        <v>346</v>
      </c>
      <c r="F710" s="181" t="s">
        <v>347</v>
      </c>
      <c r="G710" s="181" t="s">
        <v>103</v>
      </c>
      <c r="H710" s="181" t="s">
        <v>279</v>
      </c>
      <c r="I710" s="181" t="s">
        <v>229</v>
      </c>
      <c r="J710" s="184" t="n">
        <v>33930</v>
      </c>
      <c r="K710" s="184" t="n">
        <v>15210</v>
      </c>
      <c r="L710" s="185" t="n">
        <v>16</v>
      </c>
      <c r="M710" s="184" t="n">
        <v>18720</v>
      </c>
      <c r="N710" s="184" t="n">
        <v>15724.8</v>
      </c>
      <c r="O710" s="186" t="s">
        <v>1796</v>
      </c>
      <c r="P710" s="187" t="n">
        <v>45927</v>
      </c>
    </row>
    <row r="711" customFormat="false" ht="51" hidden="false" customHeight="true" outlineLevel="0" collapsed="false">
      <c r="A711" s="181" t="s">
        <v>1799</v>
      </c>
      <c r="B711" s="182" t="n">
        <v>1875</v>
      </c>
      <c r="C711" s="183" t="n">
        <v>226</v>
      </c>
      <c r="D711" s="181" t="s">
        <v>1509</v>
      </c>
      <c r="E711" s="181" t="s">
        <v>391</v>
      </c>
      <c r="F711" s="181" t="s">
        <v>392</v>
      </c>
      <c r="G711" s="181" t="s">
        <v>103</v>
      </c>
      <c r="H711" s="181" t="s">
        <v>279</v>
      </c>
      <c r="I711" s="181" t="s">
        <v>229</v>
      </c>
      <c r="J711" s="184" t="n">
        <v>33100</v>
      </c>
      <c r="K711" s="184" t="n">
        <v>14530</v>
      </c>
      <c r="L711" s="185" t="n">
        <v>6</v>
      </c>
      <c r="M711" s="184" t="n">
        <v>18570</v>
      </c>
      <c r="N711" s="184" t="n">
        <v>17455.8</v>
      </c>
      <c r="O711" s="186" t="s">
        <v>1800</v>
      </c>
      <c r="P711" s="187" t="n">
        <v>45927</v>
      </c>
    </row>
    <row r="712" customFormat="false" ht="51" hidden="false" customHeight="true" outlineLevel="0" collapsed="false">
      <c r="A712" s="181" t="s">
        <v>1801</v>
      </c>
      <c r="B712" s="182" t="n">
        <v>1876</v>
      </c>
      <c r="C712" s="183" t="n">
        <v>227</v>
      </c>
      <c r="D712" s="181" t="s">
        <v>1509</v>
      </c>
      <c r="E712" s="181" t="s">
        <v>529</v>
      </c>
      <c r="F712" s="181" t="s">
        <v>530</v>
      </c>
      <c r="G712" s="181" t="s">
        <v>103</v>
      </c>
      <c r="H712" s="181" t="s">
        <v>279</v>
      </c>
      <c r="I712" s="181" t="s">
        <v>229</v>
      </c>
      <c r="J712" s="184" t="n">
        <v>34630</v>
      </c>
      <c r="K712" s="184" t="n">
        <v>14860</v>
      </c>
      <c r="L712" s="185" t="n">
        <v>8</v>
      </c>
      <c r="M712" s="184" t="n">
        <v>19770</v>
      </c>
      <c r="N712" s="184" t="n">
        <v>18188.4</v>
      </c>
      <c r="O712" s="186" t="s">
        <v>1802</v>
      </c>
      <c r="P712" s="187" t="n">
        <v>45927</v>
      </c>
    </row>
    <row r="713" customFormat="false" ht="51" hidden="false" customHeight="true" outlineLevel="0" collapsed="false">
      <c r="A713" s="181" t="s">
        <v>1803</v>
      </c>
      <c r="B713" s="182" t="n">
        <v>1877</v>
      </c>
      <c r="C713" s="183" t="n">
        <v>228</v>
      </c>
      <c r="D713" s="181" t="s">
        <v>1509</v>
      </c>
      <c r="E713" s="181" t="s">
        <v>346</v>
      </c>
      <c r="F713" s="181" t="s">
        <v>347</v>
      </c>
      <c r="G713" s="181" t="s">
        <v>103</v>
      </c>
      <c r="H713" s="181" t="s">
        <v>279</v>
      </c>
      <c r="I713" s="181" t="s">
        <v>229</v>
      </c>
      <c r="J713" s="184" t="n">
        <v>35390</v>
      </c>
      <c r="K713" s="184" t="n">
        <v>15230</v>
      </c>
      <c r="L713" s="185" t="n">
        <v>10</v>
      </c>
      <c r="M713" s="184" t="n">
        <v>20160</v>
      </c>
      <c r="N713" s="184" t="n">
        <v>18144</v>
      </c>
      <c r="O713" s="186" t="s">
        <v>1804</v>
      </c>
      <c r="P713" s="187" t="n">
        <v>45927</v>
      </c>
    </row>
    <row r="714" customFormat="false" ht="51" hidden="false" customHeight="true" outlineLevel="0" collapsed="false">
      <c r="A714" s="181" t="s">
        <v>1805</v>
      </c>
      <c r="B714" s="182" t="n">
        <v>1878</v>
      </c>
      <c r="C714" s="183" t="n">
        <v>229</v>
      </c>
      <c r="D714" s="181" t="s">
        <v>1509</v>
      </c>
      <c r="E714" s="181" t="s">
        <v>266</v>
      </c>
      <c r="F714" s="181" t="s">
        <v>267</v>
      </c>
      <c r="G714" s="181" t="s">
        <v>103</v>
      </c>
      <c r="H714" s="181" t="s">
        <v>279</v>
      </c>
      <c r="I714" s="181" t="s">
        <v>229</v>
      </c>
      <c r="J714" s="184" t="n">
        <v>36180</v>
      </c>
      <c r="K714" s="184" t="n">
        <v>15050</v>
      </c>
      <c r="L714" s="185" t="n">
        <v>6</v>
      </c>
      <c r="M714" s="184" t="n">
        <v>21130</v>
      </c>
      <c r="N714" s="184" t="n">
        <v>19862.2</v>
      </c>
      <c r="O714" s="186" t="s">
        <v>1806</v>
      </c>
      <c r="P714" s="187" t="n">
        <v>45927</v>
      </c>
    </row>
    <row r="715" customFormat="false" ht="51" hidden="false" customHeight="true" outlineLevel="0" collapsed="false">
      <c r="A715" s="181" t="s">
        <v>1807</v>
      </c>
      <c r="B715" s="182" t="n">
        <v>1879</v>
      </c>
      <c r="C715" s="183" t="n">
        <v>230</v>
      </c>
      <c r="D715" s="181" t="s">
        <v>1509</v>
      </c>
      <c r="E715" s="181" t="s">
        <v>391</v>
      </c>
      <c r="F715" s="181" t="s">
        <v>392</v>
      </c>
      <c r="G715" s="181" t="s">
        <v>103</v>
      </c>
      <c r="H715" s="181" t="s">
        <v>279</v>
      </c>
      <c r="I715" s="181" t="s">
        <v>229</v>
      </c>
      <c r="J715" s="184" t="n">
        <v>33520</v>
      </c>
      <c r="K715" s="184" t="n">
        <v>14510</v>
      </c>
      <c r="L715" s="185" t="n">
        <v>22</v>
      </c>
      <c r="M715" s="184" t="n">
        <v>19010</v>
      </c>
      <c r="N715" s="184" t="n">
        <v>14827.8</v>
      </c>
      <c r="O715" s="186" t="s">
        <v>1808</v>
      </c>
      <c r="P715" s="187" t="n">
        <v>45928</v>
      </c>
    </row>
    <row r="716" customFormat="false" ht="51" hidden="false" customHeight="true" outlineLevel="0" collapsed="false">
      <c r="A716" s="181" t="s">
        <v>1809</v>
      </c>
      <c r="B716" s="182" t="n">
        <v>1881</v>
      </c>
      <c r="C716" s="183" t="n">
        <v>231</v>
      </c>
      <c r="D716" s="181" t="s">
        <v>1509</v>
      </c>
      <c r="E716" s="181" t="s">
        <v>529</v>
      </c>
      <c r="F716" s="181" t="s">
        <v>530</v>
      </c>
      <c r="G716" s="181" t="s">
        <v>103</v>
      </c>
      <c r="H716" s="181" t="s">
        <v>279</v>
      </c>
      <c r="I716" s="181" t="s">
        <v>229</v>
      </c>
      <c r="J716" s="184" t="n">
        <v>34290</v>
      </c>
      <c r="K716" s="184" t="n">
        <v>14850</v>
      </c>
      <c r="L716" s="185" t="n">
        <v>14</v>
      </c>
      <c r="M716" s="184" t="n">
        <v>19440</v>
      </c>
      <c r="N716" s="184" t="n">
        <v>16718.4</v>
      </c>
      <c r="O716" s="186" t="s">
        <v>1810</v>
      </c>
      <c r="P716" s="187" t="n">
        <v>45928</v>
      </c>
    </row>
    <row r="717" customFormat="false" ht="51" hidden="false" customHeight="true" outlineLevel="0" collapsed="false">
      <c r="A717" s="181" t="s">
        <v>1797</v>
      </c>
      <c r="B717" s="182" t="n">
        <v>1874</v>
      </c>
      <c r="C717" s="183" t="n">
        <v>225</v>
      </c>
      <c r="D717" s="181" t="s">
        <v>1509</v>
      </c>
      <c r="E717" s="181" t="s">
        <v>266</v>
      </c>
      <c r="F717" s="181" t="s">
        <v>267</v>
      </c>
      <c r="G717" s="181" t="s">
        <v>103</v>
      </c>
      <c r="H717" s="181" t="s">
        <v>279</v>
      </c>
      <c r="I717" s="181" t="s">
        <v>229</v>
      </c>
      <c r="J717" s="184" t="n">
        <v>37910</v>
      </c>
      <c r="K717" s="184" t="n">
        <v>15050</v>
      </c>
      <c r="L717" s="185" t="n">
        <v>21</v>
      </c>
      <c r="M717" s="184" t="n">
        <v>22860</v>
      </c>
      <c r="N717" s="184" t="n">
        <v>18059.4</v>
      </c>
      <c r="O717" s="186" t="s">
        <v>1798</v>
      </c>
      <c r="P717" s="187" t="n">
        <v>45927</v>
      </c>
    </row>
    <row r="718" customFormat="false" ht="51" hidden="false" customHeight="true" outlineLevel="0" collapsed="false">
      <c r="A718" s="181" t="s">
        <v>1854</v>
      </c>
      <c r="B718" s="182" t="n">
        <v>1917</v>
      </c>
      <c r="C718" s="183" t="n">
        <v>253</v>
      </c>
      <c r="D718" s="181" t="s">
        <v>1509</v>
      </c>
      <c r="E718" s="181" t="s">
        <v>261</v>
      </c>
      <c r="F718" s="181" t="s">
        <v>262</v>
      </c>
      <c r="G718" s="181" t="s">
        <v>1512</v>
      </c>
      <c r="H718" s="181" t="s">
        <v>316</v>
      </c>
      <c r="I718" s="181" t="s">
        <v>238</v>
      </c>
      <c r="J718" s="184" t="n">
        <v>34200</v>
      </c>
      <c r="K718" s="184" t="n">
        <v>15090</v>
      </c>
      <c r="L718" s="185" t="n">
        <v>16</v>
      </c>
      <c r="M718" s="184" t="n">
        <v>19110</v>
      </c>
      <c r="N718" s="184" t="n">
        <v>16052.4</v>
      </c>
      <c r="O718" s="186" t="s">
        <v>1855</v>
      </c>
      <c r="P718" s="187" t="n">
        <v>45929</v>
      </c>
    </row>
    <row r="719" customFormat="false" ht="51" hidden="false" customHeight="true" outlineLevel="0" collapsed="false">
      <c r="A719" s="181" t="s">
        <v>1856</v>
      </c>
      <c r="B719" s="182" t="n">
        <v>1921</v>
      </c>
      <c r="C719" s="183" t="n">
        <v>54990</v>
      </c>
      <c r="D719" s="181" t="s">
        <v>1686</v>
      </c>
      <c r="E719" s="181" t="s">
        <v>576</v>
      </c>
      <c r="F719" s="181" t="s">
        <v>577</v>
      </c>
      <c r="G719" s="181" t="s">
        <v>1687</v>
      </c>
      <c r="H719" s="181" t="s">
        <v>279</v>
      </c>
      <c r="I719" s="181" t="s">
        <v>239</v>
      </c>
      <c r="J719" s="184" t="n">
        <v>38510</v>
      </c>
      <c r="K719" s="184" t="n">
        <v>14580</v>
      </c>
      <c r="L719" s="185" t="n">
        <v>5</v>
      </c>
      <c r="M719" s="184" t="n">
        <v>23930</v>
      </c>
      <c r="N719" s="184" t="n">
        <v>22733.5</v>
      </c>
      <c r="O719" s="186" t="s">
        <v>1857</v>
      </c>
      <c r="P719" s="187" t="n">
        <v>45929</v>
      </c>
    </row>
    <row r="720" customFormat="false" ht="51" hidden="false" customHeight="true" outlineLevel="0" collapsed="false">
      <c r="A720" s="181" t="s">
        <v>1858</v>
      </c>
      <c r="B720" s="182" t="n">
        <v>1922</v>
      </c>
      <c r="C720" s="183" t="n">
        <v>54991</v>
      </c>
      <c r="D720" s="181" t="s">
        <v>1686</v>
      </c>
      <c r="E720" s="181" t="s">
        <v>266</v>
      </c>
      <c r="F720" s="181" t="s">
        <v>267</v>
      </c>
      <c r="G720" s="181" t="s">
        <v>1687</v>
      </c>
      <c r="H720" s="181" t="s">
        <v>279</v>
      </c>
      <c r="I720" s="181" t="s">
        <v>239</v>
      </c>
      <c r="J720" s="184" t="n">
        <v>38390</v>
      </c>
      <c r="K720" s="184" t="n">
        <v>14970</v>
      </c>
      <c r="L720" s="185" t="n">
        <v>6</v>
      </c>
      <c r="M720" s="184" t="n">
        <v>23420</v>
      </c>
      <c r="N720" s="184" t="n">
        <v>22014.8</v>
      </c>
      <c r="O720" s="186" t="s">
        <v>1859</v>
      </c>
      <c r="P720" s="187" t="n">
        <v>45929</v>
      </c>
    </row>
    <row r="721" customFormat="false" ht="51" hidden="false" customHeight="true" outlineLevel="0" collapsed="false">
      <c r="A721" s="181" t="s">
        <v>1860</v>
      </c>
      <c r="B721" s="182" t="n">
        <v>1923</v>
      </c>
      <c r="C721" s="183" t="n">
        <v>54992</v>
      </c>
      <c r="D721" s="181" t="s">
        <v>1686</v>
      </c>
      <c r="E721" s="181" t="s">
        <v>272</v>
      </c>
      <c r="F721" s="181" t="s">
        <v>273</v>
      </c>
      <c r="G721" s="181" t="s">
        <v>1687</v>
      </c>
      <c r="H721" s="181" t="s">
        <v>279</v>
      </c>
      <c r="I721" s="181" t="s">
        <v>239</v>
      </c>
      <c r="J721" s="184" t="n">
        <v>40940</v>
      </c>
      <c r="K721" s="184" t="n">
        <v>15730</v>
      </c>
      <c r="L721" s="185" t="n">
        <v>6</v>
      </c>
      <c r="M721" s="184" t="n">
        <v>25210</v>
      </c>
      <c r="N721" s="184" t="n">
        <v>23697.4</v>
      </c>
      <c r="O721" s="186" t="s">
        <v>1861</v>
      </c>
      <c r="P721" s="187" t="n">
        <v>45929</v>
      </c>
    </row>
    <row r="722" customFormat="false" ht="51" hidden="false" customHeight="true" outlineLevel="0" collapsed="false">
      <c r="A722" s="181" t="s">
        <v>1811</v>
      </c>
      <c r="B722" s="182" t="n">
        <v>1882</v>
      </c>
      <c r="C722" s="183" t="n">
        <v>232</v>
      </c>
      <c r="D722" s="181" t="s">
        <v>1509</v>
      </c>
      <c r="E722" s="181" t="s">
        <v>346</v>
      </c>
      <c r="F722" s="181" t="s">
        <v>347</v>
      </c>
      <c r="G722" s="181" t="s">
        <v>1812</v>
      </c>
      <c r="H722" s="181" t="s">
        <v>87</v>
      </c>
      <c r="I722" s="181" t="s">
        <v>229</v>
      </c>
      <c r="J722" s="184" t="n">
        <v>36800</v>
      </c>
      <c r="K722" s="184" t="n">
        <v>15180</v>
      </c>
      <c r="L722" s="185" t="n">
        <v>24</v>
      </c>
      <c r="M722" s="184" t="n">
        <v>21620</v>
      </c>
      <c r="N722" s="184" t="n">
        <v>16431.2</v>
      </c>
      <c r="O722" s="186" t="s">
        <v>1813</v>
      </c>
      <c r="P722" s="187" t="n">
        <v>45928</v>
      </c>
    </row>
    <row r="723" customFormat="false" ht="51" hidden="false" customHeight="true" outlineLevel="0" collapsed="false">
      <c r="A723" s="181" t="s">
        <v>1814</v>
      </c>
      <c r="B723" s="182" t="n">
        <v>1883</v>
      </c>
      <c r="C723" s="183" t="n">
        <v>233</v>
      </c>
      <c r="D723" s="181" t="s">
        <v>1509</v>
      </c>
      <c r="E723" s="181" t="s">
        <v>266</v>
      </c>
      <c r="F723" s="181" t="s">
        <v>267</v>
      </c>
      <c r="G723" s="181" t="s">
        <v>1812</v>
      </c>
      <c r="H723" s="181" t="s">
        <v>87</v>
      </c>
      <c r="I723" s="181" t="s">
        <v>229</v>
      </c>
      <c r="J723" s="184" t="n">
        <v>36630</v>
      </c>
      <c r="K723" s="184" t="n">
        <v>15020</v>
      </c>
      <c r="L723" s="185" t="n">
        <v>15</v>
      </c>
      <c r="M723" s="184" t="n">
        <v>21610</v>
      </c>
      <c r="N723" s="184" t="n">
        <v>18368.5</v>
      </c>
      <c r="O723" s="186" t="s">
        <v>1815</v>
      </c>
      <c r="P723" s="187" t="n">
        <v>45928</v>
      </c>
    </row>
    <row r="724" customFormat="false" ht="51" hidden="false" customHeight="true" outlineLevel="0" collapsed="false">
      <c r="A724" s="181" t="s">
        <v>1862</v>
      </c>
      <c r="B724" s="182" t="n">
        <v>1924</v>
      </c>
      <c r="C724" s="183" t="n">
        <v>54992</v>
      </c>
      <c r="D724" s="181" t="s">
        <v>1686</v>
      </c>
      <c r="E724" s="181" t="s">
        <v>288</v>
      </c>
      <c r="F724" s="181" t="s">
        <v>289</v>
      </c>
      <c r="G724" s="181" t="s">
        <v>1687</v>
      </c>
      <c r="H724" s="181" t="s">
        <v>279</v>
      </c>
      <c r="I724" s="181" t="s">
        <v>239</v>
      </c>
      <c r="J724" s="184" t="n">
        <v>39870</v>
      </c>
      <c r="K724" s="184" t="n">
        <v>14700</v>
      </c>
      <c r="L724" s="185" t="n">
        <v>6</v>
      </c>
      <c r="M724" s="184" t="n">
        <v>25170</v>
      </c>
      <c r="N724" s="184" t="n">
        <v>23659.8</v>
      </c>
      <c r="O724" s="186" t="s">
        <v>1863</v>
      </c>
      <c r="P724" s="187" t="n">
        <v>45929</v>
      </c>
    </row>
    <row r="725" customFormat="false" ht="51" hidden="false" customHeight="true" outlineLevel="0" collapsed="false">
      <c r="A725" s="181" t="s">
        <v>1816</v>
      </c>
      <c r="B725" s="182" t="n">
        <v>1884</v>
      </c>
      <c r="C725" s="183" t="n">
        <v>234</v>
      </c>
      <c r="D725" s="181" t="s">
        <v>1509</v>
      </c>
      <c r="E725" s="181" t="s">
        <v>391</v>
      </c>
      <c r="F725" s="181" t="s">
        <v>392</v>
      </c>
      <c r="G725" s="181" t="s">
        <v>1812</v>
      </c>
      <c r="H725" s="181" t="s">
        <v>87</v>
      </c>
      <c r="I725" s="181" t="s">
        <v>229</v>
      </c>
      <c r="J725" s="184" t="n">
        <v>33650</v>
      </c>
      <c r="K725" s="184" t="n">
        <v>14490</v>
      </c>
      <c r="L725" s="185" t="n">
        <v>24</v>
      </c>
      <c r="M725" s="184" t="n">
        <v>19160</v>
      </c>
      <c r="N725" s="184" t="n">
        <v>14561.6</v>
      </c>
      <c r="O725" s="186" t="s">
        <v>1817</v>
      </c>
      <c r="P725" s="187" t="n">
        <v>45928</v>
      </c>
    </row>
    <row r="726" customFormat="false" ht="51" hidden="false" customHeight="true" outlineLevel="0" collapsed="false">
      <c r="A726" s="181" t="s">
        <v>1818</v>
      </c>
      <c r="B726" s="182" t="n">
        <v>1885</v>
      </c>
      <c r="C726" s="183" t="n">
        <v>235</v>
      </c>
      <c r="D726" s="181" t="s">
        <v>1509</v>
      </c>
      <c r="E726" s="181" t="s">
        <v>529</v>
      </c>
      <c r="F726" s="181" t="s">
        <v>530</v>
      </c>
      <c r="G726" s="181" t="s">
        <v>1812</v>
      </c>
      <c r="H726" s="181" t="s">
        <v>87</v>
      </c>
      <c r="I726" s="181" t="s">
        <v>229</v>
      </c>
      <c r="J726" s="184" t="n">
        <v>33770</v>
      </c>
      <c r="K726" s="184" t="n">
        <v>14840</v>
      </c>
      <c r="L726" s="185" t="n">
        <v>24</v>
      </c>
      <c r="M726" s="184" t="n">
        <v>18930</v>
      </c>
      <c r="N726" s="184" t="n">
        <v>14386.8</v>
      </c>
      <c r="O726" s="186" t="s">
        <v>1819</v>
      </c>
      <c r="P726" s="187" t="n">
        <v>45928</v>
      </c>
    </row>
    <row r="727" customFormat="false" ht="51" hidden="false" customHeight="true" outlineLevel="0" collapsed="false">
      <c r="A727" s="181" t="s">
        <v>1820</v>
      </c>
      <c r="B727" s="182" t="n">
        <v>1886</v>
      </c>
      <c r="C727" s="183" t="n">
        <v>236</v>
      </c>
      <c r="D727" s="181" t="s">
        <v>1509</v>
      </c>
      <c r="E727" s="181" t="s">
        <v>346</v>
      </c>
      <c r="F727" s="181" t="s">
        <v>347</v>
      </c>
      <c r="G727" s="181" t="s">
        <v>1812</v>
      </c>
      <c r="H727" s="181" t="s">
        <v>87</v>
      </c>
      <c r="I727" s="181" t="s">
        <v>229</v>
      </c>
      <c r="J727" s="184" t="n">
        <v>38150</v>
      </c>
      <c r="K727" s="184" t="n">
        <v>15170</v>
      </c>
      <c r="L727" s="185" t="n">
        <v>23</v>
      </c>
      <c r="M727" s="184" t="n">
        <v>22980</v>
      </c>
      <c r="N727" s="184" t="n">
        <v>17694.6</v>
      </c>
      <c r="O727" s="186" t="s">
        <v>1821</v>
      </c>
      <c r="P727" s="187" t="n">
        <v>45928</v>
      </c>
    </row>
    <row r="728" customFormat="false" ht="51" hidden="false" customHeight="true" outlineLevel="0" collapsed="false">
      <c r="A728" s="181" t="s">
        <v>1852</v>
      </c>
      <c r="B728" s="182" t="n">
        <v>1915</v>
      </c>
      <c r="C728" s="183" t="n">
        <v>252</v>
      </c>
      <c r="D728" s="181" t="s">
        <v>1509</v>
      </c>
      <c r="E728" s="181" t="s">
        <v>292</v>
      </c>
      <c r="F728" s="181" t="s">
        <v>293</v>
      </c>
      <c r="G728" s="181" t="s">
        <v>1812</v>
      </c>
      <c r="H728" s="181" t="s">
        <v>87</v>
      </c>
      <c r="I728" s="181" t="s">
        <v>229</v>
      </c>
      <c r="J728" s="184" t="n">
        <v>27540</v>
      </c>
      <c r="K728" s="184" t="n">
        <v>14050</v>
      </c>
      <c r="L728" s="185" t="n">
        <v>28</v>
      </c>
      <c r="M728" s="184" t="n">
        <v>13490</v>
      </c>
      <c r="N728" s="184" t="n">
        <v>9712.8</v>
      </c>
      <c r="O728" s="186" t="s">
        <v>1853</v>
      </c>
      <c r="P728" s="187" t="n">
        <v>45928</v>
      </c>
    </row>
    <row r="729" customFormat="false" ht="51" hidden="false" customHeight="true" outlineLevel="0" collapsed="false">
      <c r="A729" s="181" t="s">
        <v>1822</v>
      </c>
      <c r="B729" s="182" t="n">
        <v>1888</v>
      </c>
      <c r="C729" s="183" t="n">
        <v>237</v>
      </c>
      <c r="D729" s="181" t="s">
        <v>1509</v>
      </c>
      <c r="E729" s="181" t="s">
        <v>266</v>
      </c>
      <c r="F729" s="181" t="s">
        <v>267</v>
      </c>
      <c r="G729" s="181" t="s">
        <v>1812</v>
      </c>
      <c r="H729" s="181" t="s">
        <v>87</v>
      </c>
      <c r="I729" s="181" t="s">
        <v>229</v>
      </c>
      <c r="J729" s="184" t="n">
        <v>36220</v>
      </c>
      <c r="K729" s="184" t="n">
        <v>15010</v>
      </c>
      <c r="L729" s="185" t="n">
        <v>34</v>
      </c>
      <c r="M729" s="184" t="n">
        <v>21210</v>
      </c>
      <c r="N729" s="184" t="n">
        <v>13998.6</v>
      </c>
      <c r="O729" s="186" t="s">
        <v>1823</v>
      </c>
      <c r="P729" s="187" t="n">
        <v>45928</v>
      </c>
    </row>
    <row r="730" customFormat="false" ht="51" hidden="false" customHeight="true" outlineLevel="0" collapsed="false">
      <c r="A730" s="181" t="s">
        <v>1824</v>
      </c>
      <c r="B730" s="182" t="n">
        <v>1890</v>
      </c>
      <c r="C730" s="183" t="n">
        <v>238</v>
      </c>
      <c r="D730" s="181" t="s">
        <v>1509</v>
      </c>
      <c r="E730" s="181" t="s">
        <v>332</v>
      </c>
      <c r="F730" s="181" t="s">
        <v>333</v>
      </c>
      <c r="G730" s="181" t="s">
        <v>1812</v>
      </c>
      <c r="H730" s="181" t="s">
        <v>87</v>
      </c>
      <c r="I730" s="181" t="s">
        <v>229</v>
      </c>
      <c r="J730" s="184" t="n">
        <v>36180</v>
      </c>
      <c r="K730" s="184" t="n">
        <v>14810</v>
      </c>
      <c r="L730" s="185" t="n">
        <v>27</v>
      </c>
      <c r="M730" s="184" t="n">
        <v>21370</v>
      </c>
      <c r="N730" s="184" t="n">
        <v>15600.1</v>
      </c>
      <c r="O730" s="186" t="s">
        <v>1825</v>
      </c>
      <c r="P730" s="187" t="n">
        <v>45928</v>
      </c>
    </row>
    <row r="731" customFormat="false" ht="51" hidden="false" customHeight="true" outlineLevel="0" collapsed="false">
      <c r="A731" s="181" t="s">
        <v>1850</v>
      </c>
      <c r="B731" s="182" t="n">
        <v>1914</v>
      </c>
      <c r="C731" s="183" t="n">
        <v>251</v>
      </c>
      <c r="D731" s="181" t="s">
        <v>1509</v>
      </c>
      <c r="E731" s="181" t="s">
        <v>282</v>
      </c>
      <c r="F731" s="181" t="s">
        <v>283</v>
      </c>
      <c r="G731" s="181" t="s">
        <v>1812</v>
      </c>
      <c r="H731" s="181" t="s">
        <v>87</v>
      </c>
      <c r="I731" s="181" t="s">
        <v>229</v>
      </c>
      <c r="J731" s="184" t="n">
        <v>37650</v>
      </c>
      <c r="K731" s="184" t="n">
        <v>15140</v>
      </c>
      <c r="L731" s="185" t="n">
        <v>32</v>
      </c>
      <c r="M731" s="184" t="n">
        <v>22510</v>
      </c>
      <c r="N731" s="184" t="n">
        <v>15306.8</v>
      </c>
      <c r="O731" s="186" t="s">
        <v>1851</v>
      </c>
      <c r="P731" s="187" t="n">
        <v>45928</v>
      </c>
    </row>
    <row r="732" customFormat="false" ht="51" hidden="false" customHeight="true" outlineLevel="0" collapsed="false">
      <c r="A732" s="181" t="s">
        <v>1826</v>
      </c>
      <c r="B732" s="182" t="n">
        <v>1892</v>
      </c>
      <c r="C732" s="183" t="n">
        <v>239</v>
      </c>
      <c r="D732" s="181" t="s">
        <v>1509</v>
      </c>
      <c r="E732" s="181" t="s">
        <v>282</v>
      </c>
      <c r="F732" s="181" t="s">
        <v>283</v>
      </c>
      <c r="G732" s="181" t="s">
        <v>1812</v>
      </c>
      <c r="H732" s="181" t="s">
        <v>87</v>
      </c>
      <c r="I732" s="181" t="s">
        <v>229</v>
      </c>
      <c r="J732" s="184" t="n">
        <v>36890</v>
      </c>
      <c r="K732" s="184" t="n">
        <v>15050</v>
      </c>
      <c r="L732" s="185" t="n">
        <v>30</v>
      </c>
      <c r="M732" s="184" t="n">
        <v>21840</v>
      </c>
      <c r="N732" s="184" t="n">
        <v>15288</v>
      </c>
      <c r="O732" s="186" t="s">
        <v>1827</v>
      </c>
      <c r="P732" s="187" t="n">
        <v>45928</v>
      </c>
    </row>
    <row r="733" customFormat="false" ht="51" hidden="false" customHeight="true" outlineLevel="0" collapsed="false">
      <c r="A733" s="181" t="s">
        <v>1848</v>
      </c>
      <c r="B733" s="182" t="n">
        <v>1913</v>
      </c>
      <c r="C733" s="183" t="n">
        <v>250</v>
      </c>
      <c r="D733" s="181" t="s">
        <v>1509</v>
      </c>
      <c r="E733" s="181" t="s">
        <v>332</v>
      </c>
      <c r="F733" s="181" t="s">
        <v>333</v>
      </c>
      <c r="G733" s="181" t="s">
        <v>1812</v>
      </c>
      <c r="H733" s="181" t="s">
        <v>87</v>
      </c>
      <c r="I733" s="181" t="s">
        <v>229</v>
      </c>
      <c r="J733" s="184" t="n">
        <v>35520</v>
      </c>
      <c r="K733" s="184" t="n">
        <v>14730</v>
      </c>
      <c r="L733" s="185" t="n">
        <v>31</v>
      </c>
      <c r="M733" s="184" t="n">
        <v>20790</v>
      </c>
      <c r="N733" s="184" t="n">
        <v>14345.1</v>
      </c>
      <c r="O733" s="186" t="s">
        <v>1849</v>
      </c>
      <c r="P733" s="187" t="n">
        <v>45928</v>
      </c>
    </row>
    <row r="734" customFormat="false" ht="51" hidden="false" customHeight="true" outlineLevel="0" collapsed="false">
      <c r="A734" s="181" t="s">
        <v>1828</v>
      </c>
      <c r="B734" s="182" t="n">
        <v>1896</v>
      </c>
      <c r="C734" s="183" t="n">
        <v>240</v>
      </c>
      <c r="D734" s="181" t="s">
        <v>1509</v>
      </c>
      <c r="E734" s="181" t="s">
        <v>292</v>
      </c>
      <c r="F734" s="181" t="s">
        <v>293</v>
      </c>
      <c r="G734" s="181" t="s">
        <v>1812</v>
      </c>
      <c r="H734" s="181" t="s">
        <v>87</v>
      </c>
      <c r="I734" s="181" t="s">
        <v>229</v>
      </c>
      <c r="J734" s="184" t="n">
        <v>33960</v>
      </c>
      <c r="K734" s="184" t="n">
        <v>14000</v>
      </c>
      <c r="L734" s="185" t="n">
        <v>27</v>
      </c>
      <c r="M734" s="184" t="n">
        <v>19960</v>
      </c>
      <c r="N734" s="184" t="n">
        <v>14570.8</v>
      </c>
      <c r="O734" s="186" t="s">
        <v>1829</v>
      </c>
      <c r="P734" s="187" t="n">
        <v>45928</v>
      </c>
    </row>
    <row r="735" customFormat="false" ht="51" hidden="false" customHeight="true" outlineLevel="0" collapsed="false">
      <c r="A735" s="181" t="s">
        <v>1830</v>
      </c>
      <c r="B735" s="182" t="n">
        <v>1897</v>
      </c>
      <c r="C735" s="183" t="n">
        <v>241</v>
      </c>
      <c r="D735" s="181" t="s">
        <v>1509</v>
      </c>
      <c r="E735" s="181" t="s">
        <v>261</v>
      </c>
      <c r="F735" s="181" t="s">
        <v>262</v>
      </c>
      <c r="G735" s="181" t="s">
        <v>1812</v>
      </c>
      <c r="H735" s="181" t="s">
        <v>87</v>
      </c>
      <c r="I735" s="181" t="s">
        <v>229</v>
      </c>
      <c r="J735" s="184" t="n">
        <v>36370</v>
      </c>
      <c r="K735" s="184" t="n">
        <v>15120</v>
      </c>
      <c r="L735" s="185" t="n">
        <v>31</v>
      </c>
      <c r="M735" s="184" t="n">
        <v>21250</v>
      </c>
      <c r="N735" s="184" t="n">
        <v>14662.5</v>
      </c>
      <c r="O735" s="186" t="s">
        <v>1831</v>
      </c>
      <c r="P735" s="187" t="n">
        <v>45928</v>
      </c>
    </row>
    <row r="736" customFormat="false" ht="51" hidden="false" customHeight="true" outlineLevel="0" collapsed="false">
      <c r="A736" s="181" t="s">
        <v>1846</v>
      </c>
      <c r="B736" s="182" t="n">
        <v>1911</v>
      </c>
      <c r="C736" s="183" t="n">
        <v>249</v>
      </c>
      <c r="D736" s="181" t="s">
        <v>1509</v>
      </c>
      <c r="E736" s="181" t="s">
        <v>261</v>
      </c>
      <c r="F736" s="181" t="s">
        <v>262</v>
      </c>
      <c r="G736" s="181" t="s">
        <v>1812</v>
      </c>
      <c r="H736" s="181" t="s">
        <v>87</v>
      </c>
      <c r="I736" s="181" t="s">
        <v>229</v>
      </c>
      <c r="J736" s="184" t="n">
        <v>35330</v>
      </c>
      <c r="K736" s="184" t="n">
        <v>15100</v>
      </c>
      <c r="L736" s="185" t="n">
        <v>25</v>
      </c>
      <c r="M736" s="184" t="n">
        <v>20230</v>
      </c>
      <c r="N736" s="184" t="n">
        <v>15172.5</v>
      </c>
      <c r="O736" s="186" t="s">
        <v>1847</v>
      </c>
      <c r="P736" s="187" t="n">
        <v>45928</v>
      </c>
    </row>
    <row r="737" customFormat="false" ht="51" hidden="false" customHeight="true" outlineLevel="0" collapsed="false">
      <c r="A737" s="181" t="s">
        <v>1832</v>
      </c>
      <c r="B737" s="182" t="n">
        <v>1900</v>
      </c>
      <c r="C737" s="183" t="n">
        <v>242</v>
      </c>
      <c r="D737" s="181" t="s">
        <v>1509</v>
      </c>
      <c r="E737" s="181" t="s">
        <v>332</v>
      </c>
      <c r="F737" s="181" t="s">
        <v>333</v>
      </c>
      <c r="G737" s="181" t="s">
        <v>1812</v>
      </c>
      <c r="H737" s="181" t="s">
        <v>87</v>
      </c>
      <c r="I737" s="181" t="s">
        <v>229</v>
      </c>
      <c r="J737" s="184" t="n">
        <v>37630</v>
      </c>
      <c r="K737" s="184" t="n">
        <v>14780</v>
      </c>
      <c r="L737" s="185" t="n">
        <v>22</v>
      </c>
      <c r="M737" s="184" t="n">
        <v>22850</v>
      </c>
      <c r="N737" s="184" t="n">
        <v>17823</v>
      </c>
      <c r="O737" s="186" t="s">
        <v>1833</v>
      </c>
      <c r="P737" s="187" t="n">
        <v>45928</v>
      </c>
    </row>
    <row r="738" customFormat="false" ht="51" hidden="false" customHeight="true" outlineLevel="0" collapsed="false">
      <c r="A738" s="181" t="s">
        <v>1844</v>
      </c>
      <c r="B738" s="182" t="n">
        <v>1908</v>
      </c>
      <c r="C738" s="183" t="n">
        <v>248</v>
      </c>
      <c r="D738" s="181" t="s">
        <v>1509</v>
      </c>
      <c r="E738" s="181" t="s">
        <v>292</v>
      </c>
      <c r="F738" s="181" t="s">
        <v>293</v>
      </c>
      <c r="G738" s="181" t="s">
        <v>1812</v>
      </c>
      <c r="H738" s="181" t="s">
        <v>87</v>
      </c>
      <c r="I738" s="181" t="s">
        <v>229</v>
      </c>
      <c r="J738" s="184" t="n">
        <v>35450</v>
      </c>
      <c r="K738" s="184" t="n">
        <v>13970</v>
      </c>
      <c r="L738" s="185" t="n">
        <v>32</v>
      </c>
      <c r="M738" s="184" t="n">
        <v>21480</v>
      </c>
      <c r="N738" s="184" t="n">
        <v>14606.4</v>
      </c>
      <c r="O738" s="186" t="s">
        <v>1845</v>
      </c>
      <c r="P738" s="187" t="n">
        <v>45928</v>
      </c>
    </row>
    <row r="739" customFormat="false" ht="51" hidden="false" customHeight="true" outlineLevel="0" collapsed="false">
      <c r="A739" s="181" t="s">
        <v>1834</v>
      </c>
      <c r="B739" s="182" t="n">
        <v>1901</v>
      </c>
      <c r="C739" s="183" t="n">
        <v>243</v>
      </c>
      <c r="D739" s="181" t="s">
        <v>1509</v>
      </c>
      <c r="E739" s="181" t="s">
        <v>282</v>
      </c>
      <c r="F739" s="181" t="s">
        <v>283</v>
      </c>
      <c r="G739" s="181" t="s">
        <v>1812</v>
      </c>
      <c r="H739" s="181" t="s">
        <v>87</v>
      </c>
      <c r="I739" s="181" t="s">
        <v>229</v>
      </c>
      <c r="J739" s="184" t="n">
        <v>39250</v>
      </c>
      <c r="K739" s="184" t="n">
        <v>15170</v>
      </c>
      <c r="L739" s="185" t="n">
        <v>29</v>
      </c>
      <c r="M739" s="184" t="n">
        <v>24080</v>
      </c>
      <c r="N739" s="184" t="n">
        <v>17096.8</v>
      </c>
      <c r="O739" s="186" t="s">
        <v>1835</v>
      </c>
      <c r="P739" s="187" t="n">
        <v>45928</v>
      </c>
    </row>
    <row r="740" customFormat="false" ht="51" hidden="false" customHeight="true" outlineLevel="0" collapsed="false">
      <c r="A740" s="181" t="s">
        <v>1836</v>
      </c>
      <c r="B740" s="182" t="n">
        <v>1902</v>
      </c>
      <c r="C740" s="183" t="n">
        <v>244</v>
      </c>
      <c r="D740" s="181" t="s">
        <v>1509</v>
      </c>
      <c r="E740" s="181" t="s">
        <v>292</v>
      </c>
      <c r="F740" s="181" t="s">
        <v>293</v>
      </c>
      <c r="G740" s="181" t="s">
        <v>1812</v>
      </c>
      <c r="H740" s="181" t="s">
        <v>87</v>
      </c>
      <c r="I740" s="181" t="s">
        <v>229</v>
      </c>
      <c r="J740" s="184" t="n">
        <v>35190</v>
      </c>
      <c r="K740" s="184" t="n">
        <v>13980</v>
      </c>
      <c r="L740" s="185" t="n">
        <v>29</v>
      </c>
      <c r="M740" s="184" t="n">
        <v>21210</v>
      </c>
      <c r="N740" s="184" t="n">
        <v>15059.1</v>
      </c>
      <c r="O740" s="186" t="s">
        <v>1837</v>
      </c>
      <c r="P740" s="187" t="n">
        <v>45928</v>
      </c>
    </row>
    <row r="741" customFormat="false" ht="51" hidden="false" customHeight="true" outlineLevel="0" collapsed="false">
      <c r="A741" s="181" t="s">
        <v>1842</v>
      </c>
      <c r="B741" s="182" t="n">
        <v>1907</v>
      </c>
      <c r="C741" s="183" t="n">
        <v>247</v>
      </c>
      <c r="D741" s="181" t="s">
        <v>1509</v>
      </c>
      <c r="E741" s="181" t="s">
        <v>282</v>
      </c>
      <c r="F741" s="181" t="s">
        <v>283</v>
      </c>
      <c r="G741" s="181" t="s">
        <v>1812</v>
      </c>
      <c r="H741" s="181" t="s">
        <v>87</v>
      </c>
      <c r="I741" s="181" t="s">
        <v>229</v>
      </c>
      <c r="J741" s="184" t="n">
        <v>36860</v>
      </c>
      <c r="K741" s="184" t="n">
        <v>15150</v>
      </c>
      <c r="L741" s="185" t="n">
        <v>33</v>
      </c>
      <c r="M741" s="184" t="n">
        <v>21710</v>
      </c>
      <c r="N741" s="184" t="n">
        <v>14545.7</v>
      </c>
      <c r="O741" s="186" t="s">
        <v>1843</v>
      </c>
      <c r="P741" s="187" t="n">
        <v>45928</v>
      </c>
    </row>
    <row r="742" customFormat="false" ht="51" hidden="false" customHeight="true" outlineLevel="0" collapsed="false">
      <c r="A742" s="181" t="s">
        <v>1838</v>
      </c>
      <c r="B742" s="182" t="n">
        <v>1903</v>
      </c>
      <c r="C742" s="183" t="n">
        <v>245</v>
      </c>
      <c r="D742" s="181" t="s">
        <v>1509</v>
      </c>
      <c r="E742" s="181" t="s">
        <v>261</v>
      </c>
      <c r="F742" s="181" t="s">
        <v>262</v>
      </c>
      <c r="G742" s="181" t="s">
        <v>1812</v>
      </c>
      <c r="H742" s="181" t="s">
        <v>87</v>
      </c>
      <c r="I742" s="181" t="s">
        <v>229</v>
      </c>
      <c r="J742" s="184" t="n">
        <v>36680</v>
      </c>
      <c r="K742" s="184" t="n">
        <v>15100</v>
      </c>
      <c r="L742" s="185" t="n">
        <v>16</v>
      </c>
      <c r="M742" s="184" t="n">
        <v>21580</v>
      </c>
      <c r="N742" s="184" t="n">
        <v>18127.2</v>
      </c>
      <c r="O742" s="186" t="s">
        <v>1839</v>
      </c>
      <c r="P742" s="187" t="n">
        <v>45928</v>
      </c>
    </row>
    <row r="743" customFormat="false" ht="51" hidden="false" customHeight="true" outlineLevel="0" collapsed="false">
      <c r="A743" s="181" t="s">
        <v>1840</v>
      </c>
      <c r="B743" s="182" t="n">
        <v>1904</v>
      </c>
      <c r="C743" s="183" t="n">
        <v>246</v>
      </c>
      <c r="D743" s="181" t="s">
        <v>1509</v>
      </c>
      <c r="E743" s="181" t="s">
        <v>332</v>
      </c>
      <c r="F743" s="181" t="s">
        <v>333</v>
      </c>
      <c r="G743" s="181" t="s">
        <v>1812</v>
      </c>
      <c r="H743" s="181" t="s">
        <v>87</v>
      </c>
      <c r="I743" s="181" t="s">
        <v>229</v>
      </c>
      <c r="J743" s="184" t="n">
        <v>36630</v>
      </c>
      <c r="K743" s="184" t="n">
        <v>14770</v>
      </c>
      <c r="L743" s="185" t="n">
        <v>31</v>
      </c>
      <c r="M743" s="184" t="n">
        <v>21860</v>
      </c>
      <c r="N743" s="184" t="n">
        <v>15083.4</v>
      </c>
      <c r="O743" s="186" t="s">
        <v>1841</v>
      </c>
      <c r="P743" s="187" t="n">
        <v>45928</v>
      </c>
    </row>
    <row r="744" customFormat="false" ht="51" hidden="false" customHeight="true" outlineLevel="0" collapsed="false">
      <c r="A744" s="181" t="s">
        <v>1864</v>
      </c>
      <c r="B744" s="182" t="n">
        <v>1927</v>
      </c>
      <c r="C744" s="183" t="n">
        <v>54993</v>
      </c>
      <c r="D744" s="181" t="s">
        <v>1686</v>
      </c>
      <c r="E744" s="181" t="s">
        <v>336</v>
      </c>
      <c r="F744" s="181" t="s">
        <v>337</v>
      </c>
      <c r="G744" s="181" t="s">
        <v>1687</v>
      </c>
      <c r="H744" s="181" t="s">
        <v>279</v>
      </c>
      <c r="I744" s="181" t="s">
        <v>239</v>
      </c>
      <c r="J744" s="184" t="n">
        <v>41110</v>
      </c>
      <c r="K744" s="184" t="n">
        <v>14700</v>
      </c>
      <c r="L744" s="185" t="n">
        <v>5</v>
      </c>
      <c r="M744" s="184" t="n">
        <v>26410</v>
      </c>
      <c r="N744" s="184" t="n">
        <v>25089.5</v>
      </c>
      <c r="O744" s="186" t="s">
        <v>1865</v>
      </c>
      <c r="P744" s="187" t="n">
        <v>45929</v>
      </c>
    </row>
    <row r="745" customFormat="false" ht="51" hidden="false" customHeight="true" outlineLevel="0" collapsed="false">
      <c r="A745" s="181" t="s">
        <v>1866</v>
      </c>
      <c r="B745" s="182" t="n">
        <v>1928</v>
      </c>
      <c r="C745" s="183" t="n">
        <v>54993</v>
      </c>
      <c r="D745" s="181" t="s">
        <v>1686</v>
      </c>
      <c r="E745" s="181" t="s">
        <v>340</v>
      </c>
      <c r="F745" s="181" t="s">
        <v>341</v>
      </c>
      <c r="G745" s="181" t="s">
        <v>1687</v>
      </c>
      <c r="H745" s="181" t="s">
        <v>279</v>
      </c>
      <c r="I745" s="181" t="s">
        <v>239</v>
      </c>
      <c r="J745" s="184" t="n">
        <v>40780</v>
      </c>
      <c r="K745" s="184" t="n">
        <v>15030</v>
      </c>
      <c r="L745" s="185" t="n">
        <v>5</v>
      </c>
      <c r="M745" s="184" t="n">
        <v>25750</v>
      </c>
      <c r="N745" s="184" t="n">
        <v>24462.5</v>
      </c>
      <c r="O745" s="186" t="s">
        <v>1867</v>
      </c>
      <c r="P745" s="187" t="n">
        <v>45929</v>
      </c>
    </row>
    <row r="746" customFormat="false" ht="51" hidden="false" customHeight="true" outlineLevel="0" collapsed="false">
      <c r="A746" s="181" t="s">
        <v>1868</v>
      </c>
      <c r="B746" s="182" t="n">
        <v>1929</v>
      </c>
      <c r="C746" s="183" t="n">
        <v>54994</v>
      </c>
      <c r="D746" s="181" t="s">
        <v>1686</v>
      </c>
      <c r="E746" s="181" t="s">
        <v>308</v>
      </c>
      <c r="F746" s="181" t="s">
        <v>309</v>
      </c>
      <c r="G746" s="181" t="s">
        <v>1687</v>
      </c>
      <c r="H746" s="181" t="s">
        <v>279</v>
      </c>
      <c r="I746" s="181" t="s">
        <v>239</v>
      </c>
      <c r="J746" s="184" t="n">
        <v>66060</v>
      </c>
      <c r="K746" s="184" t="n">
        <v>24280</v>
      </c>
      <c r="L746" s="185" t="n">
        <v>7</v>
      </c>
      <c r="M746" s="184" t="n">
        <v>41780</v>
      </c>
      <c r="N746" s="184" t="n">
        <v>38855.4</v>
      </c>
      <c r="O746" s="186" t="s">
        <v>1869</v>
      </c>
      <c r="P746" s="187" t="n">
        <v>45929</v>
      </c>
    </row>
    <row r="747" customFormat="false" ht="51" hidden="false" customHeight="true" outlineLevel="0" collapsed="false">
      <c r="A747" s="181" t="s">
        <v>1870</v>
      </c>
      <c r="B747" s="182" t="n">
        <v>1930</v>
      </c>
      <c r="C747" s="183" t="n">
        <v>54995</v>
      </c>
      <c r="D747" s="181" t="s">
        <v>1686</v>
      </c>
      <c r="E747" s="181" t="s">
        <v>304</v>
      </c>
      <c r="F747" s="181" t="s">
        <v>305</v>
      </c>
      <c r="G747" s="181" t="s">
        <v>1687</v>
      </c>
      <c r="H747" s="181" t="s">
        <v>279</v>
      </c>
      <c r="I747" s="181" t="s">
        <v>239</v>
      </c>
      <c r="J747" s="184" t="n">
        <v>41340</v>
      </c>
      <c r="K747" s="184" t="n">
        <v>15180</v>
      </c>
      <c r="L747" s="185" t="n">
        <v>8</v>
      </c>
      <c r="M747" s="184" t="n">
        <v>26160</v>
      </c>
      <c r="N747" s="184" t="n">
        <v>24067.2</v>
      </c>
      <c r="O747" s="186" t="s">
        <v>1871</v>
      </c>
      <c r="P747" s="187" t="n">
        <v>45929</v>
      </c>
    </row>
    <row r="748" customFormat="false" ht="51" hidden="false" customHeight="true" outlineLevel="0" collapsed="false">
      <c r="A748" s="181" t="s">
        <v>1872</v>
      </c>
      <c r="B748" s="182" t="n">
        <v>1932</v>
      </c>
      <c r="C748" s="183" t="n">
        <v>54996</v>
      </c>
      <c r="D748" s="181" t="s">
        <v>1686</v>
      </c>
      <c r="E748" s="181" t="s">
        <v>300</v>
      </c>
      <c r="F748" s="181" t="s">
        <v>301</v>
      </c>
      <c r="G748" s="181" t="s">
        <v>1687</v>
      </c>
      <c r="H748" s="181" t="s">
        <v>279</v>
      </c>
      <c r="I748" s="181" t="s">
        <v>239</v>
      </c>
      <c r="J748" s="184" t="n">
        <v>55580</v>
      </c>
      <c r="K748" s="184" t="n">
        <v>21120</v>
      </c>
      <c r="L748" s="185" t="n">
        <v>7</v>
      </c>
      <c r="M748" s="184" t="n">
        <v>34460</v>
      </c>
      <c r="N748" s="184" t="n">
        <v>32047.8</v>
      </c>
      <c r="O748" s="186" t="s">
        <v>1873</v>
      </c>
      <c r="P748" s="187" t="n">
        <v>45929</v>
      </c>
    </row>
    <row r="749" customFormat="false" ht="51" hidden="false" customHeight="true" outlineLevel="0" collapsed="false">
      <c r="A749" s="181" t="s">
        <v>1874</v>
      </c>
      <c r="B749" s="182" t="n">
        <v>1933</v>
      </c>
      <c r="C749" s="181"/>
      <c r="D749" s="181" t="s">
        <v>1686</v>
      </c>
      <c r="E749" s="181" t="s">
        <v>332</v>
      </c>
      <c r="F749" s="181" t="s">
        <v>333</v>
      </c>
      <c r="G749" s="181" t="s">
        <v>1687</v>
      </c>
      <c r="H749" s="181" t="s">
        <v>279</v>
      </c>
      <c r="I749" s="181" t="s">
        <v>239</v>
      </c>
      <c r="J749" s="184" t="n">
        <v>39360</v>
      </c>
      <c r="K749" s="184" t="n">
        <v>14970</v>
      </c>
      <c r="L749" s="185" t="n">
        <v>7</v>
      </c>
      <c r="M749" s="184" t="n">
        <v>24390</v>
      </c>
      <c r="N749" s="184" t="n">
        <v>22682.7</v>
      </c>
      <c r="O749" s="186" t="s">
        <v>1875</v>
      </c>
      <c r="P749" s="187" t="n">
        <v>45929</v>
      </c>
    </row>
    <row r="750" customFormat="false" ht="51" hidden="false" customHeight="true" outlineLevel="0" collapsed="false">
      <c r="A750" s="181" t="s">
        <v>1876</v>
      </c>
      <c r="B750" s="182" t="n">
        <v>1934</v>
      </c>
      <c r="C750" s="181"/>
      <c r="D750" s="181" t="s">
        <v>1686</v>
      </c>
      <c r="E750" s="181" t="s">
        <v>582</v>
      </c>
      <c r="F750" s="181" t="s">
        <v>583</v>
      </c>
      <c r="G750" s="181" t="s">
        <v>1687</v>
      </c>
      <c r="H750" s="181" t="s">
        <v>279</v>
      </c>
      <c r="I750" s="181" t="s">
        <v>239</v>
      </c>
      <c r="J750" s="184" t="n">
        <v>41090</v>
      </c>
      <c r="K750" s="184" t="n">
        <v>15090</v>
      </c>
      <c r="L750" s="185" t="n">
        <v>7</v>
      </c>
      <c r="M750" s="184" t="n">
        <v>26000</v>
      </c>
      <c r="N750" s="184" t="n">
        <v>24180</v>
      </c>
      <c r="O750" s="186" t="s">
        <v>1877</v>
      </c>
      <c r="P750" s="187" t="n">
        <v>45929</v>
      </c>
    </row>
    <row r="751" customFormat="false" ht="51" hidden="false" customHeight="true" outlineLevel="0" collapsed="false">
      <c r="A751" s="181" t="s">
        <v>1878</v>
      </c>
      <c r="B751" s="182" t="n">
        <v>1935</v>
      </c>
      <c r="C751" s="181"/>
      <c r="D751" s="181" t="s">
        <v>1686</v>
      </c>
      <c r="E751" s="181" t="s">
        <v>346</v>
      </c>
      <c r="F751" s="181" t="s">
        <v>347</v>
      </c>
      <c r="G751" s="181" t="s">
        <v>1687</v>
      </c>
      <c r="H751" s="181" t="s">
        <v>279</v>
      </c>
      <c r="I751" s="181" t="s">
        <v>239</v>
      </c>
      <c r="J751" s="184" t="n">
        <v>40960</v>
      </c>
      <c r="K751" s="184" t="n">
        <v>15210</v>
      </c>
      <c r="L751" s="185" t="n">
        <v>7</v>
      </c>
      <c r="M751" s="184" t="n">
        <v>25750</v>
      </c>
      <c r="N751" s="184" t="n">
        <v>23947.5</v>
      </c>
      <c r="O751" s="186" t="s">
        <v>1879</v>
      </c>
      <c r="P751" s="187" t="n">
        <v>45929</v>
      </c>
    </row>
    <row r="752" customFormat="false" ht="51" hidden="false" customHeight="true" outlineLevel="0" collapsed="false">
      <c r="A752" s="181" t="s">
        <v>1880</v>
      </c>
      <c r="B752" s="182" t="n">
        <v>1955</v>
      </c>
      <c r="C752" s="183" t="n">
        <v>254</v>
      </c>
      <c r="D752" s="181" t="s">
        <v>1509</v>
      </c>
      <c r="E752" s="181" t="s">
        <v>1646</v>
      </c>
      <c r="F752" s="181" t="s">
        <v>1647</v>
      </c>
      <c r="G752" s="181" t="s">
        <v>1512</v>
      </c>
      <c r="H752" s="181" t="s">
        <v>316</v>
      </c>
      <c r="I752" s="181" t="s">
        <v>238</v>
      </c>
      <c r="J752" s="184" t="n">
        <v>28750</v>
      </c>
      <c r="K752" s="184" t="n">
        <v>14420</v>
      </c>
      <c r="L752" s="185" t="n">
        <v>31</v>
      </c>
      <c r="M752" s="184" t="n">
        <v>14330</v>
      </c>
      <c r="N752" s="184" t="n">
        <v>9887.7</v>
      </c>
      <c r="O752" s="186" t="s">
        <v>1881</v>
      </c>
      <c r="P752" s="187" t="n">
        <v>45931</v>
      </c>
    </row>
    <row r="753" customFormat="false" ht="51" hidden="false" customHeight="true" outlineLevel="0" collapsed="false">
      <c r="A753" s="181" t="s">
        <v>1882</v>
      </c>
      <c r="B753" s="182" t="n">
        <v>1956</v>
      </c>
      <c r="C753" s="183" t="n">
        <v>255</v>
      </c>
      <c r="D753" s="181" t="s">
        <v>1509</v>
      </c>
      <c r="E753" s="181" t="s">
        <v>1510</v>
      </c>
      <c r="F753" s="181" t="s">
        <v>1511</v>
      </c>
      <c r="G753" s="181" t="s">
        <v>1512</v>
      </c>
      <c r="H753" s="181" t="s">
        <v>316</v>
      </c>
      <c r="I753" s="181" t="s">
        <v>238</v>
      </c>
      <c r="J753" s="184" t="n">
        <v>29430</v>
      </c>
      <c r="K753" s="184" t="n">
        <v>14250</v>
      </c>
      <c r="L753" s="185" t="n">
        <v>48</v>
      </c>
      <c r="M753" s="184" t="n">
        <v>15180</v>
      </c>
      <c r="N753" s="184" t="n">
        <v>7893.6</v>
      </c>
      <c r="O753" s="186" t="s">
        <v>1883</v>
      </c>
      <c r="P753" s="187" t="n">
        <v>45931</v>
      </c>
    </row>
    <row r="754" customFormat="false" ht="51" hidden="false" customHeight="true" outlineLevel="0" collapsed="false">
      <c r="A754" s="181" t="s">
        <v>1884</v>
      </c>
      <c r="B754" s="182" t="n">
        <v>1957</v>
      </c>
      <c r="C754" s="181" t="s">
        <v>1885</v>
      </c>
      <c r="D754" s="181" t="s">
        <v>1686</v>
      </c>
      <c r="E754" s="181" t="s">
        <v>282</v>
      </c>
      <c r="F754" s="181" t="s">
        <v>283</v>
      </c>
      <c r="G754" s="181" t="s">
        <v>1687</v>
      </c>
      <c r="H754" s="181" t="s">
        <v>279</v>
      </c>
      <c r="I754" s="181" t="s">
        <v>239</v>
      </c>
      <c r="J754" s="184" t="n">
        <v>39690</v>
      </c>
      <c r="K754" s="184" t="n">
        <v>15100</v>
      </c>
      <c r="L754" s="185" t="n">
        <v>20</v>
      </c>
      <c r="M754" s="184" t="n">
        <v>24590</v>
      </c>
      <c r="N754" s="184" t="n">
        <v>19672</v>
      </c>
      <c r="O754" s="186" t="s">
        <v>1886</v>
      </c>
      <c r="P754" s="187" t="n">
        <v>45931</v>
      </c>
    </row>
    <row r="755" customFormat="false" ht="51" hidden="false" customHeight="true" outlineLevel="0" collapsed="false">
      <c r="A755" s="181" t="s">
        <v>1887</v>
      </c>
      <c r="B755" s="182" t="n">
        <v>1958</v>
      </c>
      <c r="C755" s="181" t="s">
        <v>1885</v>
      </c>
      <c r="D755" s="181" t="s">
        <v>1686</v>
      </c>
      <c r="E755" s="181" t="s">
        <v>576</v>
      </c>
      <c r="F755" s="181" t="s">
        <v>577</v>
      </c>
      <c r="G755" s="181" t="s">
        <v>1687</v>
      </c>
      <c r="H755" s="181" t="s">
        <v>279</v>
      </c>
      <c r="I755" s="181" t="s">
        <v>239</v>
      </c>
      <c r="J755" s="184" t="n">
        <v>39460</v>
      </c>
      <c r="K755" s="184" t="n">
        <v>14590</v>
      </c>
      <c r="L755" s="185" t="n">
        <v>11</v>
      </c>
      <c r="M755" s="184" t="n">
        <v>24870</v>
      </c>
      <c r="N755" s="184" t="n">
        <v>22134.3</v>
      </c>
      <c r="O755" s="186" t="s">
        <v>1888</v>
      </c>
      <c r="P755" s="187" t="n">
        <v>45931</v>
      </c>
    </row>
    <row r="756" customFormat="false" ht="51" hidden="false" customHeight="true" outlineLevel="0" collapsed="false">
      <c r="A756" s="181" t="s">
        <v>1889</v>
      </c>
      <c r="B756" s="182" t="n">
        <v>1959</v>
      </c>
      <c r="C756" s="181" t="s">
        <v>1885</v>
      </c>
      <c r="D756" s="181" t="s">
        <v>1686</v>
      </c>
      <c r="E756" s="181" t="s">
        <v>582</v>
      </c>
      <c r="F756" s="181" t="s">
        <v>583</v>
      </c>
      <c r="G756" s="181" t="s">
        <v>1687</v>
      </c>
      <c r="H756" s="181" t="s">
        <v>279</v>
      </c>
      <c r="I756" s="181" t="s">
        <v>239</v>
      </c>
      <c r="J756" s="184" t="n">
        <v>41130</v>
      </c>
      <c r="K756" s="184" t="n">
        <v>14980</v>
      </c>
      <c r="L756" s="185" t="n">
        <v>11</v>
      </c>
      <c r="M756" s="184" t="n">
        <v>26150</v>
      </c>
      <c r="N756" s="184" t="n">
        <v>23273.5</v>
      </c>
      <c r="O756" s="186" t="s">
        <v>1890</v>
      </c>
      <c r="P756" s="187" t="n">
        <v>45931</v>
      </c>
    </row>
    <row r="757" customFormat="false" ht="51" hidden="false" customHeight="true" outlineLevel="0" collapsed="false">
      <c r="A757" s="181" t="s">
        <v>1891</v>
      </c>
      <c r="B757" s="182" t="n">
        <v>1961</v>
      </c>
      <c r="C757" s="181" t="s">
        <v>1885</v>
      </c>
      <c r="D757" s="181" t="s">
        <v>1686</v>
      </c>
      <c r="E757" s="181" t="s">
        <v>266</v>
      </c>
      <c r="F757" s="181" t="s">
        <v>267</v>
      </c>
      <c r="G757" s="181" t="s">
        <v>1687</v>
      </c>
      <c r="H757" s="181" t="s">
        <v>279</v>
      </c>
      <c r="I757" s="181" t="s">
        <v>239</v>
      </c>
      <c r="J757" s="184" t="n">
        <v>39410</v>
      </c>
      <c r="K757" s="184" t="n">
        <v>14860</v>
      </c>
      <c r="L757" s="185" t="n">
        <v>6</v>
      </c>
      <c r="M757" s="184" t="n">
        <v>24550</v>
      </c>
      <c r="N757" s="184" t="n">
        <v>23077</v>
      </c>
      <c r="O757" s="186" t="s">
        <v>1892</v>
      </c>
      <c r="P757" s="187" t="n">
        <v>45931</v>
      </c>
    </row>
    <row r="758" customFormat="false" ht="51" hidden="false" customHeight="true" outlineLevel="0" collapsed="false">
      <c r="A758" s="181" t="s">
        <v>1893</v>
      </c>
      <c r="B758" s="182" t="n">
        <v>1962</v>
      </c>
      <c r="C758" s="181" t="s">
        <v>1885</v>
      </c>
      <c r="D758" s="181" t="s">
        <v>1686</v>
      </c>
      <c r="E758" s="181" t="s">
        <v>292</v>
      </c>
      <c r="F758" s="181" t="s">
        <v>293</v>
      </c>
      <c r="G758" s="181" t="s">
        <v>1687</v>
      </c>
      <c r="H758" s="181" t="s">
        <v>279</v>
      </c>
      <c r="I758" s="181" t="s">
        <v>239</v>
      </c>
      <c r="J758" s="184" t="n">
        <v>36920</v>
      </c>
      <c r="K758" s="184" t="n">
        <v>13920</v>
      </c>
      <c r="L758" s="185" t="n">
        <v>12</v>
      </c>
      <c r="M758" s="184" t="n">
        <v>23000</v>
      </c>
      <c r="N758" s="184" t="n">
        <v>20240</v>
      </c>
      <c r="O758" s="186" t="s">
        <v>1894</v>
      </c>
      <c r="P758" s="187" t="n">
        <v>45931</v>
      </c>
    </row>
    <row r="759" customFormat="false" ht="51" hidden="false" customHeight="true" outlineLevel="0" collapsed="false">
      <c r="A759" s="181" t="s">
        <v>1895</v>
      </c>
      <c r="B759" s="182" t="n">
        <v>1963</v>
      </c>
      <c r="C759" s="181" t="s">
        <v>1885</v>
      </c>
      <c r="D759" s="181" t="s">
        <v>1686</v>
      </c>
      <c r="E759" s="181" t="s">
        <v>272</v>
      </c>
      <c r="F759" s="181" t="s">
        <v>273</v>
      </c>
      <c r="G759" s="181" t="s">
        <v>1687</v>
      </c>
      <c r="H759" s="181" t="s">
        <v>279</v>
      </c>
      <c r="I759" s="181" t="s">
        <v>239</v>
      </c>
      <c r="J759" s="184" t="n">
        <v>41340</v>
      </c>
      <c r="K759" s="184" t="n">
        <v>15650</v>
      </c>
      <c r="L759" s="185" t="n">
        <v>19</v>
      </c>
      <c r="M759" s="184" t="n">
        <v>25690</v>
      </c>
      <c r="N759" s="184" t="n">
        <v>20808.9</v>
      </c>
      <c r="O759" s="186" t="s">
        <v>1896</v>
      </c>
      <c r="P759" s="187" t="n">
        <v>45931</v>
      </c>
    </row>
    <row r="760" customFormat="false" ht="51" hidden="false" customHeight="true" outlineLevel="0" collapsed="false">
      <c r="A760" s="181" t="s">
        <v>1897</v>
      </c>
      <c r="B760" s="182" t="n">
        <v>1964</v>
      </c>
      <c r="C760" s="181" t="s">
        <v>1885</v>
      </c>
      <c r="D760" s="181" t="s">
        <v>1686</v>
      </c>
      <c r="E760" s="181" t="s">
        <v>288</v>
      </c>
      <c r="F760" s="181" t="s">
        <v>289</v>
      </c>
      <c r="G760" s="181" t="s">
        <v>1687</v>
      </c>
      <c r="H760" s="181" t="s">
        <v>279</v>
      </c>
      <c r="I760" s="181" t="s">
        <v>239</v>
      </c>
      <c r="J760" s="184" t="n">
        <v>39930</v>
      </c>
      <c r="K760" s="184" t="n">
        <v>14660</v>
      </c>
      <c r="L760" s="185" t="n">
        <v>17</v>
      </c>
      <c r="M760" s="184" t="n">
        <v>25270</v>
      </c>
      <c r="N760" s="184" t="n">
        <v>20974.1</v>
      </c>
      <c r="O760" s="186" t="s">
        <v>1898</v>
      </c>
      <c r="P760" s="187" t="n">
        <v>45931</v>
      </c>
    </row>
    <row r="761" customFormat="false" ht="51" hidden="false" customHeight="true" outlineLevel="0" collapsed="false">
      <c r="A761" s="181" t="s">
        <v>1902</v>
      </c>
      <c r="B761" s="182" t="n">
        <v>1966</v>
      </c>
      <c r="C761" s="183" t="n">
        <v>57726</v>
      </c>
      <c r="D761" s="181" t="s">
        <v>1686</v>
      </c>
      <c r="E761" s="181" t="s">
        <v>332</v>
      </c>
      <c r="F761" s="181" t="s">
        <v>333</v>
      </c>
      <c r="G761" s="181" t="s">
        <v>1900</v>
      </c>
      <c r="H761" s="181" t="s">
        <v>279</v>
      </c>
      <c r="I761" s="181" t="s">
        <v>239</v>
      </c>
      <c r="J761" s="184" t="n">
        <v>40340</v>
      </c>
      <c r="K761" s="184" t="n">
        <v>14820</v>
      </c>
      <c r="L761" s="185" t="n">
        <v>27</v>
      </c>
      <c r="M761" s="184" t="n">
        <v>25520</v>
      </c>
      <c r="N761" s="184" t="n">
        <v>18629.6</v>
      </c>
      <c r="O761" s="186" t="s">
        <v>1903</v>
      </c>
      <c r="P761" s="187" t="n">
        <v>45931</v>
      </c>
    </row>
    <row r="762" customFormat="false" ht="51" hidden="false" customHeight="true" outlineLevel="0" collapsed="false">
      <c r="A762" s="181" t="s">
        <v>1908</v>
      </c>
      <c r="B762" s="182" t="n">
        <v>1969</v>
      </c>
      <c r="C762" s="181" t="s">
        <v>1909</v>
      </c>
      <c r="D762" s="181" t="s">
        <v>1686</v>
      </c>
      <c r="E762" s="181" t="s">
        <v>304</v>
      </c>
      <c r="F762" s="181" t="s">
        <v>305</v>
      </c>
      <c r="G762" s="181" t="s">
        <v>1900</v>
      </c>
      <c r="H762" s="181" t="s">
        <v>279</v>
      </c>
      <c r="I762" s="181" t="s">
        <v>239</v>
      </c>
      <c r="J762" s="184" t="n">
        <v>41690</v>
      </c>
      <c r="K762" s="184" t="n">
        <v>15080</v>
      </c>
      <c r="L762" s="185" t="n">
        <v>9</v>
      </c>
      <c r="M762" s="184" t="n">
        <v>26610</v>
      </c>
      <c r="N762" s="184" t="n">
        <v>24215.1</v>
      </c>
      <c r="O762" s="186" t="s">
        <v>1910</v>
      </c>
      <c r="P762" s="187" t="n">
        <v>45931</v>
      </c>
    </row>
    <row r="763" customFormat="false" ht="51" hidden="false" customHeight="true" outlineLevel="0" collapsed="false">
      <c r="A763" s="181" t="s">
        <v>1899</v>
      </c>
      <c r="B763" s="182" t="n">
        <v>1970</v>
      </c>
      <c r="C763" s="181" t="s">
        <v>1885</v>
      </c>
      <c r="D763" s="181" t="s">
        <v>1686</v>
      </c>
      <c r="E763" s="181" t="s">
        <v>308</v>
      </c>
      <c r="F763" s="181" t="s">
        <v>309</v>
      </c>
      <c r="G763" s="181" t="s">
        <v>1900</v>
      </c>
      <c r="H763" s="181" t="s">
        <v>279</v>
      </c>
      <c r="I763" s="181" t="s">
        <v>239</v>
      </c>
      <c r="J763" s="184" t="n">
        <v>66000</v>
      </c>
      <c r="K763" s="184" t="n">
        <v>24150</v>
      </c>
      <c r="L763" s="185" t="n">
        <v>15</v>
      </c>
      <c r="M763" s="184" t="n">
        <v>41850</v>
      </c>
      <c r="N763" s="184" t="n">
        <v>35572.5</v>
      </c>
      <c r="O763" s="186" t="s">
        <v>1901</v>
      </c>
      <c r="P763" s="187" t="n">
        <v>45931</v>
      </c>
    </row>
    <row r="764" customFormat="false" ht="51" hidden="false" customHeight="true" outlineLevel="0" collapsed="false">
      <c r="A764" s="181" t="s">
        <v>1906</v>
      </c>
      <c r="B764" s="182" t="n">
        <v>1973</v>
      </c>
      <c r="C764" s="181" t="s">
        <v>1885</v>
      </c>
      <c r="D764" s="181" t="s">
        <v>1686</v>
      </c>
      <c r="E764" s="181" t="s">
        <v>336</v>
      </c>
      <c r="F764" s="181" t="s">
        <v>337</v>
      </c>
      <c r="G764" s="181" t="s">
        <v>1900</v>
      </c>
      <c r="H764" s="181" t="s">
        <v>279</v>
      </c>
      <c r="I764" s="181" t="s">
        <v>239</v>
      </c>
      <c r="J764" s="184" t="n">
        <v>40200</v>
      </c>
      <c r="K764" s="184" t="n">
        <v>14620</v>
      </c>
      <c r="L764" s="185" t="n">
        <v>10</v>
      </c>
      <c r="M764" s="184" t="n">
        <v>25580</v>
      </c>
      <c r="N764" s="184" t="n">
        <v>23022</v>
      </c>
      <c r="O764" s="186" t="s">
        <v>1907</v>
      </c>
      <c r="P764" s="187" t="n">
        <v>45931</v>
      </c>
    </row>
    <row r="765" customFormat="false" ht="51" hidden="false" customHeight="true" outlineLevel="0" collapsed="false">
      <c r="A765" s="181" t="s">
        <v>1911</v>
      </c>
      <c r="B765" s="182" t="n">
        <v>1974</v>
      </c>
      <c r="C765" s="181" t="s">
        <v>1885</v>
      </c>
      <c r="D765" s="181" t="s">
        <v>1686</v>
      </c>
      <c r="E765" s="181" t="s">
        <v>529</v>
      </c>
      <c r="F765" s="181" t="s">
        <v>530</v>
      </c>
      <c r="G765" s="181" t="s">
        <v>1900</v>
      </c>
      <c r="H765" s="181" t="s">
        <v>279</v>
      </c>
      <c r="I765" s="181" t="s">
        <v>239</v>
      </c>
      <c r="J765" s="184" t="n">
        <v>37610</v>
      </c>
      <c r="K765" s="184" t="n">
        <v>14930</v>
      </c>
      <c r="L765" s="185" t="n">
        <v>10</v>
      </c>
      <c r="M765" s="184" t="n">
        <v>22680</v>
      </c>
      <c r="N765" s="184" t="n">
        <v>20412</v>
      </c>
      <c r="O765" s="186" t="s">
        <v>1912</v>
      </c>
      <c r="P765" s="187" t="n">
        <v>45931</v>
      </c>
    </row>
    <row r="766" customFormat="false" ht="51" hidden="false" customHeight="true" outlineLevel="0" collapsed="false">
      <c r="A766" s="181" t="s">
        <v>1913</v>
      </c>
      <c r="B766" s="182" t="n">
        <v>1975</v>
      </c>
      <c r="C766" s="181" t="s">
        <v>1885</v>
      </c>
      <c r="D766" s="181" t="s">
        <v>1686</v>
      </c>
      <c r="E766" s="181" t="s">
        <v>391</v>
      </c>
      <c r="F766" s="181" t="s">
        <v>392</v>
      </c>
      <c r="G766" s="181" t="s">
        <v>1900</v>
      </c>
      <c r="H766" s="181" t="s">
        <v>279</v>
      </c>
      <c r="I766" s="181" t="s">
        <v>239</v>
      </c>
      <c r="J766" s="184" t="n">
        <v>35620</v>
      </c>
      <c r="K766" s="184" t="n">
        <v>14550</v>
      </c>
      <c r="L766" s="185" t="n">
        <v>13</v>
      </c>
      <c r="M766" s="184" t="n">
        <v>21070</v>
      </c>
      <c r="N766" s="184" t="n">
        <v>18330.9</v>
      </c>
      <c r="O766" s="186" t="s">
        <v>1914</v>
      </c>
      <c r="P766" s="187" t="n">
        <v>45931</v>
      </c>
    </row>
    <row r="767" customFormat="false" ht="51" hidden="false" customHeight="true" outlineLevel="0" collapsed="false">
      <c r="A767" s="181" t="s">
        <v>1915</v>
      </c>
      <c r="B767" s="182" t="n">
        <v>1976</v>
      </c>
      <c r="C767" s="181" t="s">
        <v>1885</v>
      </c>
      <c r="D767" s="181" t="s">
        <v>1686</v>
      </c>
      <c r="E767" s="181" t="s">
        <v>282</v>
      </c>
      <c r="F767" s="181" t="s">
        <v>283</v>
      </c>
      <c r="G767" s="181" t="s">
        <v>1900</v>
      </c>
      <c r="H767" s="181" t="s">
        <v>279</v>
      </c>
      <c r="I767" s="181" t="s">
        <v>239</v>
      </c>
      <c r="J767" s="184" t="n">
        <v>40780</v>
      </c>
      <c r="K767" s="184" t="n">
        <v>15160</v>
      </c>
      <c r="L767" s="185" t="n">
        <v>10</v>
      </c>
      <c r="M767" s="184" t="n">
        <v>25620</v>
      </c>
      <c r="N767" s="184" t="n">
        <v>23058</v>
      </c>
      <c r="O767" s="186" t="s">
        <v>1916</v>
      </c>
      <c r="P767" s="187" t="n">
        <v>45932</v>
      </c>
    </row>
    <row r="768" customFormat="false" ht="51" hidden="false" customHeight="true" outlineLevel="0" collapsed="false">
      <c r="A768" s="181" t="s">
        <v>1917</v>
      </c>
      <c r="B768" s="182" t="n">
        <v>1978</v>
      </c>
      <c r="C768" s="181" t="s">
        <v>1885</v>
      </c>
      <c r="D768" s="181" t="s">
        <v>1686</v>
      </c>
      <c r="E768" s="181" t="s">
        <v>576</v>
      </c>
      <c r="F768" s="181" t="s">
        <v>577</v>
      </c>
      <c r="G768" s="181" t="s">
        <v>1900</v>
      </c>
      <c r="H768" s="181" t="s">
        <v>279</v>
      </c>
      <c r="I768" s="181" t="s">
        <v>239</v>
      </c>
      <c r="J768" s="184" t="n">
        <v>38860</v>
      </c>
      <c r="K768" s="184" t="n">
        <v>14600</v>
      </c>
      <c r="L768" s="185" t="n">
        <v>10</v>
      </c>
      <c r="M768" s="184" t="n">
        <v>24260</v>
      </c>
      <c r="N768" s="184" t="n">
        <v>21834</v>
      </c>
      <c r="O768" s="186" t="s">
        <v>1918</v>
      </c>
      <c r="P768" s="187" t="n">
        <v>45932</v>
      </c>
    </row>
    <row r="769" customFormat="false" ht="51" hidden="false" customHeight="true" outlineLevel="0" collapsed="false">
      <c r="A769" s="181" t="s">
        <v>1919</v>
      </c>
      <c r="B769" s="182" t="n">
        <v>1979</v>
      </c>
      <c r="C769" s="181" t="s">
        <v>1885</v>
      </c>
      <c r="D769" s="181" t="s">
        <v>1686</v>
      </c>
      <c r="E769" s="181" t="s">
        <v>346</v>
      </c>
      <c r="F769" s="181" t="s">
        <v>347</v>
      </c>
      <c r="G769" s="181" t="s">
        <v>1900</v>
      </c>
      <c r="H769" s="181" t="s">
        <v>279</v>
      </c>
      <c r="I769" s="181" t="s">
        <v>239</v>
      </c>
      <c r="J769" s="184" t="n">
        <v>39950</v>
      </c>
      <c r="K769" s="184" t="n">
        <v>15260</v>
      </c>
      <c r="L769" s="185" t="n">
        <v>10</v>
      </c>
      <c r="M769" s="184" t="n">
        <v>24690</v>
      </c>
      <c r="N769" s="184" t="n">
        <v>22221</v>
      </c>
      <c r="O769" s="186" t="s">
        <v>1920</v>
      </c>
      <c r="P769" s="187" t="n">
        <v>45932</v>
      </c>
    </row>
    <row r="770" customFormat="false" ht="51" hidden="false" customHeight="true" outlineLevel="0" collapsed="false">
      <c r="A770" s="181" t="s">
        <v>1921</v>
      </c>
      <c r="B770" s="182" t="n">
        <v>1980</v>
      </c>
      <c r="C770" s="181" t="s">
        <v>1885</v>
      </c>
      <c r="D770" s="181" t="s">
        <v>1686</v>
      </c>
      <c r="E770" s="181" t="s">
        <v>300</v>
      </c>
      <c r="F770" s="181" t="s">
        <v>301</v>
      </c>
      <c r="G770" s="181" t="s">
        <v>1900</v>
      </c>
      <c r="H770" s="181" t="s">
        <v>279</v>
      </c>
      <c r="I770" s="181" t="s">
        <v>239</v>
      </c>
      <c r="J770" s="184" t="n">
        <v>55700</v>
      </c>
      <c r="K770" s="184" t="n">
        <v>21030</v>
      </c>
      <c r="L770" s="185" t="n">
        <v>9</v>
      </c>
      <c r="M770" s="184" t="n">
        <v>34670</v>
      </c>
      <c r="N770" s="184" t="n">
        <v>31549.7</v>
      </c>
      <c r="O770" s="186" t="s">
        <v>1922</v>
      </c>
      <c r="P770" s="187" t="n">
        <v>45932</v>
      </c>
    </row>
    <row r="771" customFormat="false" ht="51" hidden="false" customHeight="true" outlineLevel="0" collapsed="false">
      <c r="A771" s="181" t="s">
        <v>1923</v>
      </c>
      <c r="B771" s="182" t="n">
        <v>1981</v>
      </c>
      <c r="C771" s="183" t="n">
        <v>57727</v>
      </c>
      <c r="D771" s="181" t="s">
        <v>1686</v>
      </c>
      <c r="E771" s="181" t="s">
        <v>582</v>
      </c>
      <c r="F771" s="181" t="s">
        <v>583</v>
      </c>
      <c r="G771" s="181" t="s">
        <v>1900</v>
      </c>
      <c r="H771" s="181" t="s">
        <v>279</v>
      </c>
      <c r="I771" s="181" t="s">
        <v>239</v>
      </c>
      <c r="J771" s="184" t="n">
        <v>39090</v>
      </c>
      <c r="K771" s="184" t="n">
        <v>14900</v>
      </c>
      <c r="L771" s="185" t="n">
        <v>10</v>
      </c>
      <c r="M771" s="184" t="n">
        <v>24190</v>
      </c>
      <c r="N771" s="184" t="n">
        <v>21771</v>
      </c>
      <c r="O771" s="186" t="s">
        <v>1924</v>
      </c>
      <c r="P771" s="187" t="n">
        <v>45932</v>
      </c>
    </row>
    <row r="772" customFormat="false" ht="51" hidden="false" customHeight="true" outlineLevel="0" collapsed="false">
      <c r="A772" s="181" t="s">
        <v>1904</v>
      </c>
      <c r="B772" s="182" t="n">
        <v>1972</v>
      </c>
      <c r="C772" s="181" t="s">
        <v>1885</v>
      </c>
      <c r="D772" s="181" t="s">
        <v>1686</v>
      </c>
      <c r="E772" s="181" t="s">
        <v>340</v>
      </c>
      <c r="F772" s="181" t="s">
        <v>341</v>
      </c>
      <c r="G772" s="181" t="s">
        <v>1900</v>
      </c>
      <c r="H772" s="181" t="s">
        <v>279</v>
      </c>
      <c r="I772" s="181" t="s">
        <v>239</v>
      </c>
      <c r="J772" s="184" t="n">
        <v>40140</v>
      </c>
      <c r="K772" s="184" t="n">
        <v>15210</v>
      </c>
      <c r="L772" s="185" t="n">
        <v>10</v>
      </c>
      <c r="M772" s="184" t="n">
        <v>24930</v>
      </c>
      <c r="N772" s="184" t="n">
        <v>22437</v>
      </c>
      <c r="O772" s="186" t="s">
        <v>1905</v>
      </c>
      <c r="P772" s="187" t="n">
        <v>45931</v>
      </c>
    </row>
    <row r="773" customFormat="false" ht="51" hidden="false" customHeight="true" outlineLevel="0" collapsed="false">
      <c r="A773" s="181" t="s">
        <v>1925</v>
      </c>
      <c r="B773" s="182" t="n">
        <v>1983</v>
      </c>
      <c r="C773" s="183" t="n">
        <v>57728</v>
      </c>
      <c r="D773" s="181" t="s">
        <v>1686</v>
      </c>
      <c r="E773" s="181" t="s">
        <v>266</v>
      </c>
      <c r="F773" s="181" t="s">
        <v>267</v>
      </c>
      <c r="G773" s="181" t="s">
        <v>1900</v>
      </c>
      <c r="H773" s="181" t="s">
        <v>279</v>
      </c>
      <c r="I773" s="181" t="s">
        <v>239</v>
      </c>
      <c r="J773" s="184" t="n">
        <v>38010</v>
      </c>
      <c r="K773" s="184" t="n">
        <v>14820</v>
      </c>
      <c r="L773" s="185" t="n">
        <v>8</v>
      </c>
      <c r="M773" s="184" t="n">
        <v>23190</v>
      </c>
      <c r="N773" s="184" t="n">
        <v>21334.8</v>
      </c>
      <c r="O773" s="186" t="s">
        <v>1926</v>
      </c>
      <c r="P773" s="187" t="n">
        <v>45932</v>
      </c>
    </row>
    <row r="774" customFormat="false" ht="51" hidden="false" customHeight="true" outlineLevel="0" collapsed="false">
      <c r="A774" s="181" t="s">
        <v>1927</v>
      </c>
      <c r="B774" s="182" t="n">
        <v>1984</v>
      </c>
      <c r="C774" s="183" t="n">
        <v>57729</v>
      </c>
      <c r="D774" s="181" t="s">
        <v>1686</v>
      </c>
      <c r="E774" s="181" t="s">
        <v>277</v>
      </c>
      <c r="F774" s="181" t="s">
        <v>278</v>
      </c>
      <c r="G774" s="181" t="s">
        <v>1900</v>
      </c>
      <c r="H774" s="181" t="s">
        <v>279</v>
      </c>
      <c r="I774" s="181" t="s">
        <v>239</v>
      </c>
      <c r="J774" s="184" t="n">
        <v>41820</v>
      </c>
      <c r="K774" s="184" t="n">
        <v>15120</v>
      </c>
      <c r="L774" s="185" t="n">
        <v>8</v>
      </c>
      <c r="M774" s="184" t="n">
        <v>26700</v>
      </c>
      <c r="N774" s="184" t="n">
        <v>24564</v>
      </c>
      <c r="O774" s="186" t="s">
        <v>1928</v>
      </c>
      <c r="P774" s="187" t="n">
        <v>45932</v>
      </c>
    </row>
    <row r="775" customFormat="false" ht="51" hidden="false" customHeight="true" outlineLevel="0" collapsed="false">
      <c r="A775" s="181" t="s">
        <v>1929</v>
      </c>
      <c r="B775" s="182" t="n">
        <v>1987</v>
      </c>
      <c r="C775" s="183" t="n">
        <v>57730</v>
      </c>
      <c r="D775" s="181" t="s">
        <v>1686</v>
      </c>
      <c r="E775" s="181" t="s">
        <v>288</v>
      </c>
      <c r="F775" s="181" t="s">
        <v>289</v>
      </c>
      <c r="G775" s="181" t="s">
        <v>1900</v>
      </c>
      <c r="H775" s="181" t="s">
        <v>279</v>
      </c>
      <c r="I775" s="181" t="s">
        <v>239</v>
      </c>
      <c r="J775" s="184" t="n">
        <v>38420</v>
      </c>
      <c r="K775" s="184" t="n">
        <v>14580</v>
      </c>
      <c r="L775" s="185" t="n">
        <v>7</v>
      </c>
      <c r="M775" s="184" t="n">
        <v>23840</v>
      </c>
      <c r="N775" s="184" t="n">
        <v>22171.2</v>
      </c>
      <c r="O775" s="186" t="s">
        <v>1930</v>
      </c>
      <c r="P775" s="187" t="n">
        <v>45932</v>
      </c>
    </row>
    <row r="776" customFormat="false" ht="51" hidden="false" customHeight="true" outlineLevel="0" collapsed="false">
      <c r="A776" s="181" t="s">
        <v>1931</v>
      </c>
      <c r="B776" s="182" t="n">
        <v>1992</v>
      </c>
      <c r="C776" s="183" t="n">
        <v>57730</v>
      </c>
      <c r="D776" s="181" t="s">
        <v>1686</v>
      </c>
      <c r="E776" s="181" t="s">
        <v>332</v>
      </c>
      <c r="F776" s="181" t="s">
        <v>333</v>
      </c>
      <c r="G776" s="181" t="s">
        <v>1932</v>
      </c>
      <c r="H776" s="181" t="s">
        <v>279</v>
      </c>
      <c r="I776" s="181" t="s">
        <v>239</v>
      </c>
      <c r="J776" s="184" t="n">
        <v>39900</v>
      </c>
      <c r="K776" s="184" t="n">
        <v>14740</v>
      </c>
      <c r="L776" s="185" t="n">
        <v>14</v>
      </c>
      <c r="M776" s="184" t="n">
        <v>25160</v>
      </c>
      <c r="N776" s="184" t="n">
        <v>21637.6</v>
      </c>
      <c r="O776" s="186" t="s">
        <v>1933</v>
      </c>
      <c r="P776" s="187" t="n">
        <v>45932</v>
      </c>
    </row>
    <row r="777" customFormat="false" ht="51" hidden="false" customHeight="true" outlineLevel="0" collapsed="false">
      <c r="A777" s="181" t="s">
        <v>1934</v>
      </c>
      <c r="B777" s="182" t="n">
        <v>1993</v>
      </c>
      <c r="C777" s="183" t="n">
        <v>57731</v>
      </c>
      <c r="D777" s="181" t="s">
        <v>1686</v>
      </c>
      <c r="E777" s="181" t="s">
        <v>336</v>
      </c>
      <c r="F777" s="181" t="s">
        <v>337</v>
      </c>
      <c r="G777" s="181" t="s">
        <v>1932</v>
      </c>
      <c r="H777" s="181" t="s">
        <v>279</v>
      </c>
      <c r="I777" s="181" t="s">
        <v>239</v>
      </c>
      <c r="J777" s="184" t="n">
        <v>39830</v>
      </c>
      <c r="K777" s="184" t="n">
        <v>14550</v>
      </c>
      <c r="L777" s="185" t="n">
        <v>6</v>
      </c>
      <c r="M777" s="184" t="n">
        <v>25280</v>
      </c>
      <c r="N777" s="184" t="n">
        <v>23763.2</v>
      </c>
      <c r="O777" s="186" t="s">
        <v>1935</v>
      </c>
      <c r="P777" s="187" t="n">
        <v>45932</v>
      </c>
    </row>
    <row r="778" customFormat="false" ht="51" hidden="false" customHeight="true" outlineLevel="0" collapsed="false">
      <c r="A778" s="181" t="s">
        <v>1936</v>
      </c>
      <c r="B778" s="182" t="n">
        <v>1994</v>
      </c>
      <c r="C778" s="181" t="s">
        <v>1909</v>
      </c>
      <c r="D778" s="181" t="s">
        <v>1686</v>
      </c>
      <c r="E778" s="181" t="s">
        <v>304</v>
      </c>
      <c r="F778" s="181" t="s">
        <v>305</v>
      </c>
      <c r="G778" s="181" t="s">
        <v>1932</v>
      </c>
      <c r="H778" s="181" t="s">
        <v>279</v>
      </c>
      <c r="I778" s="181" t="s">
        <v>239</v>
      </c>
      <c r="J778" s="184" t="n">
        <v>40780</v>
      </c>
      <c r="K778" s="184" t="n">
        <v>15150</v>
      </c>
      <c r="L778" s="185" t="n">
        <v>7</v>
      </c>
      <c r="M778" s="184" t="n">
        <v>25630</v>
      </c>
      <c r="N778" s="184" t="n">
        <v>23835.9</v>
      </c>
      <c r="O778" s="186" t="s">
        <v>1937</v>
      </c>
      <c r="P778" s="187" t="n">
        <v>45932</v>
      </c>
    </row>
    <row r="779" customFormat="false" ht="51" hidden="false" customHeight="true" outlineLevel="0" collapsed="false">
      <c r="A779" s="181" t="s">
        <v>1944</v>
      </c>
      <c r="B779" s="182" t="n">
        <v>1995</v>
      </c>
      <c r="C779" s="181" t="s">
        <v>1885</v>
      </c>
      <c r="D779" s="181" t="s">
        <v>1686</v>
      </c>
      <c r="E779" s="181" t="s">
        <v>308</v>
      </c>
      <c r="F779" s="181" t="s">
        <v>309</v>
      </c>
      <c r="G779" s="181" t="s">
        <v>1932</v>
      </c>
      <c r="H779" s="181" t="s">
        <v>279</v>
      </c>
      <c r="I779" s="181" t="s">
        <v>239</v>
      </c>
      <c r="J779" s="184" t="n">
        <v>65180</v>
      </c>
      <c r="K779" s="184" t="n">
        <v>24220</v>
      </c>
      <c r="L779" s="185" t="n">
        <v>6</v>
      </c>
      <c r="M779" s="184" t="n">
        <v>40960</v>
      </c>
      <c r="N779" s="184" t="n">
        <v>38502.4</v>
      </c>
      <c r="O779" s="186" t="s">
        <v>1945</v>
      </c>
      <c r="P779" s="187" t="n">
        <v>45932</v>
      </c>
    </row>
    <row r="780" customFormat="false" ht="51" hidden="false" customHeight="true" outlineLevel="0" collapsed="false">
      <c r="A780" s="181" t="s">
        <v>1946</v>
      </c>
      <c r="B780" s="182" t="n">
        <v>1996</v>
      </c>
      <c r="C780" s="181" t="s">
        <v>1885</v>
      </c>
      <c r="D780" s="181" t="s">
        <v>1686</v>
      </c>
      <c r="E780" s="181" t="s">
        <v>272</v>
      </c>
      <c r="F780" s="181" t="s">
        <v>273</v>
      </c>
      <c r="G780" s="181" t="s">
        <v>1932</v>
      </c>
      <c r="H780" s="181" t="s">
        <v>279</v>
      </c>
      <c r="I780" s="181" t="s">
        <v>239</v>
      </c>
      <c r="J780" s="184" t="n">
        <v>41130</v>
      </c>
      <c r="K780" s="184" t="n">
        <v>15710</v>
      </c>
      <c r="L780" s="185" t="n">
        <v>11</v>
      </c>
      <c r="M780" s="184" t="n">
        <v>25420</v>
      </c>
      <c r="N780" s="184" t="n">
        <v>22623.8</v>
      </c>
      <c r="O780" s="186" t="s">
        <v>1947</v>
      </c>
      <c r="P780" s="187" t="n">
        <v>45932</v>
      </c>
    </row>
    <row r="781" customFormat="false" ht="51" hidden="false" customHeight="true" outlineLevel="0" collapsed="false">
      <c r="A781" s="181" t="s">
        <v>1950</v>
      </c>
      <c r="B781" s="182" t="n">
        <v>1998</v>
      </c>
      <c r="C781" s="181" t="s">
        <v>1885</v>
      </c>
      <c r="D781" s="181" t="s">
        <v>1686</v>
      </c>
      <c r="E781" s="181" t="s">
        <v>576</v>
      </c>
      <c r="F781" s="181" t="s">
        <v>577</v>
      </c>
      <c r="G781" s="181" t="s">
        <v>1932</v>
      </c>
      <c r="H781" s="181" t="s">
        <v>279</v>
      </c>
      <c r="I781" s="181" t="s">
        <v>239</v>
      </c>
      <c r="J781" s="184" t="n">
        <v>39340</v>
      </c>
      <c r="K781" s="184" t="n">
        <v>14580</v>
      </c>
      <c r="L781" s="185" t="n">
        <v>6</v>
      </c>
      <c r="M781" s="184" t="n">
        <v>24760</v>
      </c>
      <c r="N781" s="184" t="n">
        <v>23274.4</v>
      </c>
      <c r="O781" s="186" t="s">
        <v>1951</v>
      </c>
      <c r="P781" s="187" t="n">
        <v>45932</v>
      </c>
    </row>
    <row r="782" customFormat="false" ht="51" hidden="false" customHeight="true" outlineLevel="0" collapsed="false">
      <c r="A782" s="181" t="s">
        <v>1956</v>
      </c>
      <c r="B782" s="182" t="n">
        <v>2000</v>
      </c>
      <c r="C782" s="181" t="s">
        <v>1885</v>
      </c>
      <c r="D782" s="181" t="s">
        <v>1686</v>
      </c>
      <c r="E782" s="181" t="s">
        <v>282</v>
      </c>
      <c r="F782" s="181" t="s">
        <v>283</v>
      </c>
      <c r="G782" s="181" t="s">
        <v>1932</v>
      </c>
      <c r="H782" s="181" t="s">
        <v>279</v>
      </c>
      <c r="I782" s="181" t="s">
        <v>239</v>
      </c>
      <c r="J782" s="184" t="n">
        <v>40640</v>
      </c>
      <c r="K782" s="184" t="n">
        <v>15090</v>
      </c>
      <c r="L782" s="185" t="n">
        <v>11</v>
      </c>
      <c r="M782" s="184" t="n">
        <v>25550</v>
      </c>
      <c r="N782" s="184" t="n">
        <v>22739.5</v>
      </c>
      <c r="O782" s="186" t="s">
        <v>1957</v>
      </c>
      <c r="P782" s="187" t="n">
        <v>45932</v>
      </c>
    </row>
    <row r="783" customFormat="false" ht="51" hidden="false" customHeight="true" outlineLevel="0" collapsed="false">
      <c r="A783" s="181" t="s">
        <v>1958</v>
      </c>
      <c r="B783" s="182" t="n">
        <v>2001</v>
      </c>
      <c r="C783" s="181" t="s">
        <v>1885</v>
      </c>
      <c r="D783" s="181" t="s">
        <v>1686</v>
      </c>
      <c r="E783" s="181" t="s">
        <v>300</v>
      </c>
      <c r="F783" s="181" t="s">
        <v>301</v>
      </c>
      <c r="G783" s="181" t="s">
        <v>1932</v>
      </c>
      <c r="H783" s="181" t="s">
        <v>279</v>
      </c>
      <c r="I783" s="181" t="s">
        <v>239</v>
      </c>
      <c r="J783" s="184" t="n">
        <v>56280</v>
      </c>
      <c r="K783" s="184" t="n">
        <v>20970</v>
      </c>
      <c r="L783" s="185" t="n">
        <v>11</v>
      </c>
      <c r="M783" s="184" t="n">
        <v>35310</v>
      </c>
      <c r="N783" s="184" t="n">
        <v>31425.9</v>
      </c>
      <c r="O783" s="186" t="s">
        <v>1959</v>
      </c>
      <c r="P783" s="187" t="n">
        <v>45932</v>
      </c>
    </row>
    <row r="784" customFormat="false" ht="51" hidden="false" customHeight="true" outlineLevel="0" collapsed="false">
      <c r="A784" s="181" t="s">
        <v>1966</v>
      </c>
      <c r="B784" s="182" t="n">
        <v>2003</v>
      </c>
      <c r="C784" s="181" t="s">
        <v>1885</v>
      </c>
      <c r="D784" s="181" t="s">
        <v>1686</v>
      </c>
      <c r="E784" s="181" t="s">
        <v>391</v>
      </c>
      <c r="F784" s="181" t="s">
        <v>392</v>
      </c>
      <c r="G784" s="181" t="s">
        <v>1932</v>
      </c>
      <c r="H784" s="181" t="s">
        <v>279</v>
      </c>
      <c r="I784" s="181" t="s">
        <v>239</v>
      </c>
      <c r="J784" s="184" t="n">
        <v>35970</v>
      </c>
      <c r="K784" s="184" t="n">
        <v>14490</v>
      </c>
      <c r="L784" s="185" t="n">
        <v>6</v>
      </c>
      <c r="M784" s="184" t="n">
        <v>21480</v>
      </c>
      <c r="N784" s="184" t="n">
        <v>20191.2</v>
      </c>
      <c r="O784" s="186" t="s">
        <v>1967</v>
      </c>
      <c r="P784" s="187" t="n">
        <v>45932</v>
      </c>
    </row>
    <row r="785" customFormat="false" ht="51" hidden="false" customHeight="true" outlineLevel="0" collapsed="false">
      <c r="A785" s="181" t="s">
        <v>1938</v>
      </c>
      <c r="B785" s="182" t="n">
        <v>2004</v>
      </c>
      <c r="C785" s="181" t="s">
        <v>1885</v>
      </c>
      <c r="D785" s="181" t="s">
        <v>1686</v>
      </c>
      <c r="E785" s="181" t="s">
        <v>529</v>
      </c>
      <c r="F785" s="181" t="s">
        <v>530</v>
      </c>
      <c r="G785" s="181" t="s">
        <v>1932</v>
      </c>
      <c r="H785" s="181" t="s">
        <v>279</v>
      </c>
      <c r="I785" s="181" t="s">
        <v>239</v>
      </c>
      <c r="J785" s="184" t="n">
        <v>34630</v>
      </c>
      <c r="K785" s="184" t="n">
        <v>14870</v>
      </c>
      <c r="L785" s="185" t="n">
        <v>14</v>
      </c>
      <c r="M785" s="184" t="n">
        <v>19760</v>
      </c>
      <c r="N785" s="184" t="n">
        <v>16993.6</v>
      </c>
      <c r="O785" s="186" t="s">
        <v>1939</v>
      </c>
      <c r="P785" s="187" t="n">
        <v>45932</v>
      </c>
    </row>
    <row r="786" customFormat="false" ht="51" hidden="false" customHeight="true" outlineLevel="0" collapsed="false">
      <c r="A786" s="181" t="s">
        <v>1940</v>
      </c>
      <c r="B786" s="182" t="n">
        <v>2005</v>
      </c>
      <c r="C786" s="181" t="s">
        <v>1885</v>
      </c>
      <c r="D786" s="181" t="s">
        <v>1686</v>
      </c>
      <c r="E786" s="181" t="s">
        <v>266</v>
      </c>
      <c r="F786" s="181" t="s">
        <v>267</v>
      </c>
      <c r="G786" s="181" t="s">
        <v>1932</v>
      </c>
      <c r="H786" s="181" t="s">
        <v>279</v>
      </c>
      <c r="I786" s="181" t="s">
        <v>239</v>
      </c>
      <c r="J786" s="184" t="n">
        <v>38450</v>
      </c>
      <c r="K786" s="184" t="n">
        <v>14940</v>
      </c>
      <c r="L786" s="185" t="n">
        <v>21</v>
      </c>
      <c r="M786" s="184" t="n">
        <v>23510</v>
      </c>
      <c r="N786" s="184" t="n">
        <v>18572.9</v>
      </c>
      <c r="O786" s="186" t="s">
        <v>1941</v>
      </c>
      <c r="P786" s="187" t="n">
        <v>45932</v>
      </c>
    </row>
    <row r="787" customFormat="false" ht="51" hidden="false" customHeight="true" outlineLevel="0" collapsed="false">
      <c r="A787" s="181" t="s">
        <v>1942</v>
      </c>
      <c r="B787" s="182" t="n">
        <v>2006</v>
      </c>
      <c r="C787" s="181" t="s">
        <v>1885</v>
      </c>
      <c r="D787" s="181" t="s">
        <v>1686</v>
      </c>
      <c r="E787" s="181" t="s">
        <v>582</v>
      </c>
      <c r="F787" s="181" t="s">
        <v>583</v>
      </c>
      <c r="G787" s="181" t="s">
        <v>1932</v>
      </c>
      <c r="H787" s="181" t="s">
        <v>279</v>
      </c>
      <c r="I787" s="181" t="s">
        <v>239</v>
      </c>
      <c r="J787" s="184" t="n">
        <v>39040</v>
      </c>
      <c r="K787" s="184" t="n">
        <v>14790</v>
      </c>
      <c r="L787" s="185" t="n">
        <v>9</v>
      </c>
      <c r="M787" s="184" t="n">
        <v>24250</v>
      </c>
      <c r="N787" s="184" t="n">
        <v>22067.5</v>
      </c>
      <c r="O787" s="186" t="s">
        <v>1943</v>
      </c>
      <c r="P787" s="187" t="n">
        <v>45932</v>
      </c>
    </row>
    <row r="788" customFormat="false" ht="51" hidden="false" customHeight="true" outlineLevel="0" collapsed="false">
      <c r="A788" s="181" t="s">
        <v>1948</v>
      </c>
      <c r="B788" s="182" t="n">
        <v>2007</v>
      </c>
      <c r="C788" s="181" t="s">
        <v>1885</v>
      </c>
      <c r="D788" s="181" t="s">
        <v>1686</v>
      </c>
      <c r="E788" s="181" t="s">
        <v>277</v>
      </c>
      <c r="F788" s="181" t="s">
        <v>278</v>
      </c>
      <c r="G788" s="181" t="s">
        <v>1932</v>
      </c>
      <c r="H788" s="181" t="s">
        <v>279</v>
      </c>
      <c r="I788" s="181" t="s">
        <v>239</v>
      </c>
      <c r="J788" s="184" t="n">
        <v>43570</v>
      </c>
      <c r="K788" s="184" t="n">
        <v>15200</v>
      </c>
      <c r="L788" s="185" t="n">
        <v>12</v>
      </c>
      <c r="M788" s="184" t="n">
        <v>28370</v>
      </c>
      <c r="N788" s="184" t="n">
        <v>24965.6</v>
      </c>
      <c r="O788" s="186" t="s">
        <v>1949</v>
      </c>
      <c r="P788" s="187" t="n">
        <v>45932</v>
      </c>
    </row>
    <row r="789" customFormat="false" ht="51" hidden="false" customHeight="true" outlineLevel="0" collapsed="false">
      <c r="A789" s="181" t="s">
        <v>1952</v>
      </c>
      <c r="B789" s="182" t="n">
        <v>2008</v>
      </c>
      <c r="C789" s="181" t="s">
        <v>1885</v>
      </c>
      <c r="D789" s="181" t="s">
        <v>1686</v>
      </c>
      <c r="E789" s="181" t="s">
        <v>346</v>
      </c>
      <c r="F789" s="181" t="s">
        <v>347</v>
      </c>
      <c r="G789" s="181" t="s">
        <v>1932</v>
      </c>
      <c r="H789" s="181" t="s">
        <v>279</v>
      </c>
      <c r="I789" s="181" t="s">
        <v>239</v>
      </c>
      <c r="J789" s="184" t="n">
        <v>39790</v>
      </c>
      <c r="K789" s="184" t="n">
        <v>15190</v>
      </c>
      <c r="L789" s="185" t="n">
        <v>13</v>
      </c>
      <c r="M789" s="184" t="n">
        <v>24600</v>
      </c>
      <c r="N789" s="184" t="n">
        <v>21402</v>
      </c>
      <c r="O789" s="186" t="s">
        <v>1953</v>
      </c>
      <c r="P789" s="187" t="n">
        <v>45932</v>
      </c>
    </row>
    <row r="790" customFormat="false" ht="51" hidden="false" customHeight="true" outlineLevel="0" collapsed="false">
      <c r="A790" s="181" t="s">
        <v>1954</v>
      </c>
      <c r="B790" s="182" t="n">
        <v>2009</v>
      </c>
      <c r="C790" s="181" t="s">
        <v>1885</v>
      </c>
      <c r="D790" s="181" t="s">
        <v>1686</v>
      </c>
      <c r="E790" s="181" t="s">
        <v>292</v>
      </c>
      <c r="F790" s="181" t="s">
        <v>293</v>
      </c>
      <c r="G790" s="181" t="s">
        <v>1932</v>
      </c>
      <c r="H790" s="181" t="s">
        <v>279</v>
      </c>
      <c r="I790" s="181" t="s">
        <v>239</v>
      </c>
      <c r="J790" s="184" t="n">
        <v>36600</v>
      </c>
      <c r="K790" s="184" t="n">
        <v>13980</v>
      </c>
      <c r="L790" s="185" t="n">
        <v>12</v>
      </c>
      <c r="M790" s="184" t="n">
        <v>22620</v>
      </c>
      <c r="N790" s="184" t="n">
        <v>19905.6</v>
      </c>
      <c r="O790" s="186" t="s">
        <v>1955</v>
      </c>
      <c r="P790" s="187" t="n">
        <v>45932</v>
      </c>
    </row>
    <row r="791" customFormat="false" ht="51" hidden="false" customHeight="true" outlineLevel="0" collapsed="false">
      <c r="A791" s="181" t="s">
        <v>1960</v>
      </c>
      <c r="B791" s="182" t="n">
        <v>2010</v>
      </c>
      <c r="C791" s="181" t="s">
        <v>1885</v>
      </c>
      <c r="D791" s="181" t="s">
        <v>1686</v>
      </c>
      <c r="E791" s="181" t="s">
        <v>336</v>
      </c>
      <c r="F791" s="181" t="s">
        <v>337</v>
      </c>
      <c r="G791" s="181" t="s">
        <v>1932</v>
      </c>
      <c r="H791" s="181" t="s">
        <v>279</v>
      </c>
      <c r="I791" s="181" t="s">
        <v>239</v>
      </c>
      <c r="J791" s="184" t="n">
        <v>38560</v>
      </c>
      <c r="K791" s="184" t="n">
        <v>14490</v>
      </c>
      <c r="L791" s="185" t="n">
        <v>11</v>
      </c>
      <c r="M791" s="184" t="n">
        <v>24070</v>
      </c>
      <c r="N791" s="184" t="n">
        <v>21422.3</v>
      </c>
      <c r="O791" s="186" t="s">
        <v>1961</v>
      </c>
      <c r="P791" s="187" t="n">
        <v>45932</v>
      </c>
    </row>
    <row r="792" customFormat="false" ht="51" hidden="false" customHeight="true" outlineLevel="0" collapsed="false">
      <c r="A792" s="181" t="s">
        <v>1962</v>
      </c>
      <c r="B792" s="182" t="n">
        <v>2011</v>
      </c>
      <c r="C792" s="181" t="s">
        <v>1885</v>
      </c>
      <c r="D792" s="181" t="s">
        <v>1686</v>
      </c>
      <c r="E792" s="181" t="s">
        <v>332</v>
      </c>
      <c r="F792" s="181" t="s">
        <v>333</v>
      </c>
      <c r="G792" s="181" t="s">
        <v>1932</v>
      </c>
      <c r="H792" s="181" t="s">
        <v>279</v>
      </c>
      <c r="I792" s="181" t="s">
        <v>239</v>
      </c>
      <c r="J792" s="184" t="n">
        <v>38730</v>
      </c>
      <c r="K792" s="184" t="n">
        <v>14840</v>
      </c>
      <c r="L792" s="185" t="n">
        <v>17</v>
      </c>
      <c r="M792" s="184" t="n">
        <v>23890</v>
      </c>
      <c r="N792" s="184" t="n">
        <v>19828.7</v>
      </c>
      <c r="O792" s="186" t="s">
        <v>1963</v>
      </c>
      <c r="P792" s="187" t="n">
        <v>45932</v>
      </c>
    </row>
    <row r="793" customFormat="false" ht="51" hidden="false" customHeight="true" outlineLevel="0" collapsed="false">
      <c r="A793" s="181" t="s">
        <v>1964</v>
      </c>
      <c r="B793" s="182" t="n">
        <v>2012</v>
      </c>
      <c r="C793" s="181" t="s">
        <v>1885</v>
      </c>
      <c r="D793" s="181" t="s">
        <v>1686</v>
      </c>
      <c r="E793" s="181" t="s">
        <v>288</v>
      </c>
      <c r="F793" s="181" t="s">
        <v>289</v>
      </c>
      <c r="G793" s="181" t="s">
        <v>1932</v>
      </c>
      <c r="H793" s="181" t="s">
        <v>279</v>
      </c>
      <c r="I793" s="181" t="s">
        <v>239</v>
      </c>
      <c r="J793" s="184" t="n">
        <v>38530</v>
      </c>
      <c r="K793" s="184" t="n">
        <v>14660</v>
      </c>
      <c r="L793" s="185" t="n">
        <v>16</v>
      </c>
      <c r="M793" s="184" t="n">
        <v>23870</v>
      </c>
      <c r="N793" s="184" t="n">
        <v>20050.8</v>
      </c>
      <c r="O793" s="186" t="s">
        <v>1965</v>
      </c>
      <c r="P793" s="187" t="n">
        <v>45932</v>
      </c>
    </row>
    <row r="794" customFormat="false" ht="51" hidden="false" customHeight="true" outlineLevel="0" collapsed="false">
      <c r="A794" s="181" t="s">
        <v>1968</v>
      </c>
      <c r="B794" s="182" t="n">
        <v>2013</v>
      </c>
      <c r="C794" s="181" t="s">
        <v>1885</v>
      </c>
      <c r="D794" s="181" t="s">
        <v>1686</v>
      </c>
      <c r="E794" s="181" t="s">
        <v>308</v>
      </c>
      <c r="F794" s="181" t="s">
        <v>309</v>
      </c>
      <c r="G794" s="181" t="s">
        <v>1932</v>
      </c>
      <c r="H794" s="181" t="s">
        <v>279</v>
      </c>
      <c r="I794" s="181" t="s">
        <v>239</v>
      </c>
      <c r="J794" s="184" t="n">
        <v>63840</v>
      </c>
      <c r="K794" s="184" t="n">
        <v>24140</v>
      </c>
      <c r="L794" s="185" t="n">
        <v>15</v>
      </c>
      <c r="M794" s="184" t="n">
        <v>39700</v>
      </c>
      <c r="N794" s="184" t="n">
        <v>33745</v>
      </c>
      <c r="O794" s="186" t="s">
        <v>1969</v>
      </c>
      <c r="P794" s="187" t="n">
        <v>45933</v>
      </c>
    </row>
    <row r="795" customFormat="false" ht="51" hidden="false" customHeight="true" outlineLevel="0" collapsed="false">
      <c r="A795" s="181" t="s">
        <v>1970</v>
      </c>
      <c r="B795" s="182" t="n">
        <v>2017</v>
      </c>
      <c r="C795" s="181" t="s">
        <v>1885</v>
      </c>
      <c r="D795" s="181" t="s">
        <v>1686</v>
      </c>
      <c r="E795" s="181" t="s">
        <v>304</v>
      </c>
      <c r="F795" s="181" t="s">
        <v>305</v>
      </c>
      <c r="G795" s="181" t="s">
        <v>1900</v>
      </c>
      <c r="H795" s="181" t="s">
        <v>279</v>
      </c>
      <c r="I795" s="181" t="s">
        <v>239</v>
      </c>
      <c r="J795" s="184" t="n">
        <v>38600</v>
      </c>
      <c r="K795" s="184" t="n">
        <v>15070</v>
      </c>
      <c r="L795" s="185" t="n">
        <v>18</v>
      </c>
      <c r="M795" s="184" t="n">
        <v>23530</v>
      </c>
      <c r="N795" s="184" t="n">
        <v>19294.6</v>
      </c>
      <c r="O795" s="186" t="s">
        <v>1971</v>
      </c>
      <c r="P795" s="187" t="n">
        <v>45933</v>
      </c>
    </row>
    <row r="796" customFormat="false" ht="51" hidden="false" customHeight="true" outlineLevel="0" collapsed="false">
      <c r="A796" s="181" t="s">
        <v>1972</v>
      </c>
      <c r="B796" s="182" t="n">
        <v>2018</v>
      </c>
      <c r="C796" s="181" t="s">
        <v>1885</v>
      </c>
      <c r="D796" s="181" t="s">
        <v>1686</v>
      </c>
      <c r="E796" s="181" t="s">
        <v>272</v>
      </c>
      <c r="F796" s="181" t="s">
        <v>273</v>
      </c>
      <c r="G796" s="181" t="s">
        <v>1900</v>
      </c>
      <c r="H796" s="181" t="s">
        <v>279</v>
      </c>
      <c r="I796" s="181" t="s">
        <v>239</v>
      </c>
      <c r="J796" s="184" t="n">
        <v>40640</v>
      </c>
      <c r="K796" s="184" t="n">
        <v>15650</v>
      </c>
      <c r="L796" s="185" t="n">
        <v>12</v>
      </c>
      <c r="M796" s="184" t="n">
        <v>24990</v>
      </c>
      <c r="N796" s="184" t="n">
        <v>21991.2</v>
      </c>
      <c r="O796" s="186" t="s">
        <v>1973</v>
      </c>
      <c r="P796" s="187" t="n">
        <v>45933</v>
      </c>
    </row>
    <row r="797" customFormat="false" ht="51" hidden="false" customHeight="true" outlineLevel="0" collapsed="false">
      <c r="A797" s="181" t="s">
        <v>1974</v>
      </c>
      <c r="B797" s="182" t="n">
        <v>2019</v>
      </c>
      <c r="C797" s="181" t="s">
        <v>1885</v>
      </c>
      <c r="D797" s="181" t="s">
        <v>1686</v>
      </c>
      <c r="E797" s="181" t="s">
        <v>576</v>
      </c>
      <c r="F797" s="181" t="s">
        <v>577</v>
      </c>
      <c r="G797" s="181" t="s">
        <v>1900</v>
      </c>
      <c r="H797" s="181" t="s">
        <v>279</v>
      </c>
      <c r="I797" s="181" t="s">
        <v>239</v>
      </c>
      <c r="J797" s="184" t="n">
        <v>38770</v>
      </c>
      <c r="K797" s="184" t="n">
        <v>14580</v>
      </c>
      <c r="L797" s="185" t="n">
        <v>13</v>
      </c>
      <c r="M797" s="184" t="n">
        <v>24190</v>
      </c>
      <c r="N797" s="184" t="n">
        <v>21045.3</v>
      </c>
      <c r="O797" s="186" t="s">
        <v>1975</v>
      </c>
      <c r="P797" s="187" t="n">
        <v>45933</v>
      </c>
    </row>
    <row r="798" customFormat="false" ht="51" hidden="false" customHeight="true" outlineLevel="0" collapsed="false">
      <c r="A798" s="181" t="s">
        <v>1976</v>
      </c>
      <c r="B798" s="182" t="n">
        <v>2026</v>
      </c>
      <c r="C798" s="181" t="s">
        <v>1885</v>
      </c>
      <c r="D798" s="181" t="s">
        <v>1686</v>
      </c>
      <c r="E798" s="181" t="s">
        <v>282</v>
      </c>
      <c r="F798" s="181" t="s">
        <v>283</v>
      </c>
      <c r="G798" s="181" t="s">
        <v>1900</v>
      </c>
      <c r="H798" s="181" t="s">
        <v>279</v>
      </c>
      <c r="I798" s="181" t="s">
        <v>239</v>
      </c>
      <c r="J798" s="184" t="n">
        <v>39840</v>
      </c>
      <c r="K798" s="184" t="n">
        <v>15050</v>
      </c>
      <c r="L798" s="185" t="n">
        <v>10</v>
      </c>
      <c r="M798" s="184" t="n">
        <v>24790</v>
      </c>
      <c r="N798" s="184" t="n">
        <v>22311</v>
      </c>
      <c r="O798" s="186" t="s">
        <v>1977</v>
      </c>
      <c r="P798" s="187" t="n">
        <v>45933</v>
      </c>
    </row>
    <row r="799" customFormat="false" ht="51" hidden="false" customHeight="true" outlineLevel="0" collapsed="false">
      <c r="A799" s="181" t="s">
        <v>1978</v>
      </c>
      <c r="B799" s="182" t="n">
        <v>2027</v>
      </c>
      <c r="C799" s="181" t="s">
        <v>1885</v>
      </c>
      <c r="D799" s="181" t="s">
        <v>1686</v>
      </c>
      <c r="E799" s="181" t="s">
        <v>266</v>
      </c>
      <c r="F799" s="181" t="s">
        <v>267</v>
      </c>
      <c r="G799" s="181" t="s">
        <v>1900</v>
      </c>
      <c r="H799" s="181" t="s">
        <v>279</v>
      </c>
      <c r="I799" s="181" t="s">
        <v>239</v>
      </c>
      <c r="J799" s="184" t="n">
        <v>39140</v>
      </c>
      <c r="K799" s="184" t="n">
        <v>14870</v>
      </c>
      <c r="L799" s="185" t="n">
        <v>7</v>
      </c>
      <c r="M799" s="184" t="n">
        <v>24270</v>
      </c>
      <c r="N799" s="184" t="n">
        <v>22571.1</v>
      </c>
      <c r="O799" s="186" t="s">
        <v>1979</v>
      </c>
      <c r="P799" s="187" t="n">
        <v>45933</v>
      </c>
    </row>
    <row r="800" customFormat="false" ht="51" hidden="false" customHeight="true" outlineLevel="0" collapsed="false">
      <c r="A800" s="181" t="s">
        <v>1980</v>
      </c>
      <c r="B800" s="182" t="n">
        <v>2028</v>
      </c>
      <c r="C800" s="181" t="s">
        <v>1885</v>
      </c>
      <c r="D800" s="181" t="s">
        <v>1686</v>
      </c>
      <c r="E800" s="181" t="s">
        <v>300</v>
      </c>
      <c r="F800" s="181" t="s">
        <v>301</v>
      </c>
      <c r="G800" s="181" t="s">
        <v>1900</v>
      </c>
      <c r="H800" s="181" t="s">
        <v>279</v>
      </c>
      <c r="I800" s="181" t="s">
        <v>239</v>
      </c>
      <c r="J800" s="184" t="n">
        <v>54420</v>
      </c>
      <c r="K800" s="184" t="n">
        <v>20910</v>
      </c>
      <c r="L800" s="185" t="n">
        <v>8</v>
      </c>
      <c r="M800" s="184" t="n">
        <v>33510</v>
      </c>
      <c r="N800" s="184" t="n">
        <v>30829.2</v>
      </c>
      <c r="O800" s="186" t="s">
        <v>1981</v>
      </c>
      <c r="P800" s="187" t="n">
        <v>45933</v>
      </c>
    </row>
    <row r="801" customFormat="false" ht="51" hidden="false" customHeight="true" outlineLevel="0" collapsed="false">
      <c r="A801" s="181" t="s">
        <v>1994</v>
      </c>
      <c r="B801" s="182" t="n">
        <v>2030</v>
      </c>
      <c r="C801" s="181" t="s">
        <v>1885</v>
      </c>
      <c r="D801" s="181" t="s">
        <v>1686</v>
      </c>
      <c r="E801" s="181" t="s">
        <v>277</v>
      </c>
      <c r="F801" s="181" t="s">
        <v>278</v>
      </c>
      <c r="G801" s="181" t="s">
        <v>1900</v>
      </c>
      <c r="H801" s="181" t="s">
        <v>279</v>
      </c>
      <c r="I801" s="181" t="s">
        <v>239</v>
      </c>
      <c r="J801" s="184" t="n">
        <v>42320</v>
      </c>
      <c r="K801" s="184" t="n">
        <v>15130</v>
      </c>
      <c r="L801" s="185" t="n">
        <v>7</v>
      </c>
      <c r="M801" s="184" t="n">
        <v>27190</v>
      </c>
      <c r="N801" s="184" t="n">
        <v>25286.7</v>
      </c>
      <c r="O801" s="186" t="s">
        <v>1995</v>
      </c>
      <c r="P801" s="187" t="n">
        <v>45933</v>
      </c>
    </row>
    <row r="802" customFormat="false" ht="51" hidden="false" customHeight="true" outlineLevel="0" collapsed="false">
      <c r="A802" s="181" t="s">
        <v>1996</v>
      </c>
      <c r="B802" s="182" t="n">
        <v>2031</v>
      </c>
      <c r="C802" s="181" t="s">
        <v>1885</v>
      </c>
      <c r="D802" s="181" t="s">
        <v>1686</v>
      </c>
      <c r="E802" s="181" t="s">
        <v>582</v>
      </c>
      <c r="F802" s="181" t="s">
        <v>583</v>
      </c>
      <c r="G802" s="181" t="s">
        <v>1900</v>
      </c>
      <c r="H802" s="181" t="s">
        <v>279</v>
      </c>
      <c r="I802" s="181" t="s">
        <v>239</v>
      </c>
      <c r="J802" s="184" t="n">
        <v>40530</v>
      </c>
      <c r="K802" s="184" t="n">
        <v>14720</v>
      </c>
      <c r="L802" s="185" t="n">
        <v>10</v>
      </c>
      <c r="M802" s="184" t="n">
        <v>25810</v>
      </c>
      <c r="N802" s="184" t="n">
        <v>23229</v>
      </c>
      <c r="O802" s="186" t="s">
        <v>1997</v>
      </c>
      <c r="P802" s="187" t="n">
        <v>45933</v>
      </c>
    </row>
    <row r="803" customFormat="false" ht="51" hidden="false" customHeight="true" outlineLevel="0" collapsed="false">
      <c r="A803" s="181" t="s">
        <v>1998</v>
      </c>
      <c r="B803" s="182" t="n">
        <v>2032</v>
      </c>
      <c r="C803" s="181" t="s">
        <v>1885</v>
      </c>
      <c r="D803" s="181" t="s">
        <v>1686</v>
      </c>
      <c r="E803" s="181" t="s">
        <v>336</v>
      </c>
      <c r="F803" s="181" t="s">
        <v>337</v>
      </c>
      <c r="G803" s="181" t="s">
        <v>1900</v>
      </c>
      <c r="H803" s="181" t="s">
        <v>279</v>
      </c>
      <c r="I803" s="181" t="s">
        <v>239</v>
      </c>
      <c r="J803" s="184" t="n">
        <v>40010</v>
      </c>
      <c r="K803" s="184" t="n">
        <v>14520</v>
      </c>
      <c r="L803" s="185" t="n">
        <v>12</v>
      </c>
      <c r="M803" s="184" t="n">
        <v>25490</v>
      </c>
      <c r="N803" s="184" t="n">
        <v>22431.2</v>
      </c>
      <c r="O803" s="186" t="s">
        <v>1999</v>
      </c>
      <c r="P803" s="187" t="n">
        <v>45933</v>
      </c>
    </row>
    <row r="804" customFormat="false" ht="51" hidden="false" customHeight="true" outlineLevel="0" collapsed="false">
      <c r="A804" s="181" t="s">
        <v>2000</v>
      </c>
      <c r="B804" s="182" t="n">
        <v>2035</v>
      </c>
      <c r="C804" s="181" t="s">
        <v>1885</v>
      </c>
      <c r="D804" s="181" t="s">
        <v>1686</v>
      </c>
      <c r="E804" s="181" t="s">
        <v>346</v>
      </c>
      <c r="F804" s="181" t="s">
        <v>347</v>
      </c>
      <c r="G804" s="181" t="s">
        <v>1900</v>
      </c>
      <c r="H804" s="181" t="s">
        <v>279</v>
      </c>
      <c r="I804" s="181" t="s">
        <v>239</v>
      </c>
      <c r="J804" s="184" t="n">
        <v>40370</v>
      </c>
      <c r="K804" s="184" t="n">
        <v>15120</v>
      </c>
      <c r="L804" s="185" t="n">
        <v>14</v>
      </c>
      <c r="M804" s="184" t="n">
        <v>25250</v>
      </c>
      <c r="N804" s="184" t="n">
        <v>21715</v>
      </c>
      <c r="O804" s="186" t="s">
        <v>2001</v>
      </c>
      <c r="P804" s="187" t="n">
        <v>45933</v>
      </c>
    </row>
    <row r="805" customFormat="false" ht="51" hidden="false" customHeight="true" outlineLevel="0" collapsed="false">
      <c r="A805" s="181" t="s">
        <v>1982</v>
      </c>
      <c r="B805" s="182" t="n">
        <v>2036</v>
      </c>
      <c r="C805" s="181" t="s">
        <v>1885</v>
      </c>
      <c r="D805" s="181" t="s">
        <v>1686</v>
      </c>
      <c r="E805" s="181" t="s">
        <v>288</v>
      </c>
      <c r="F805" s="181" t="s">
        <v>289</v>
      </c>
      <c r="G805" s="181" t="s">
        <v>1900</v>
      </c>
      <c r="H805" s="181" t="s">
        <v>279</v>
      </c>
      <c r="I805" s="181" t="s">
        <v>239</v>
      </c>
      <c r="J805" s="184" t="n">
        <v>38250</v>
      </c>
      <c r="K805" s="184" t="n">
        <v>14760</v>
      </c>
      <c r="L805" s="185" t="n">
        <v>16</v>
      </c>
      <c r="M805" s="184" t="n">
        <v>23490</v>
      </c>
      <c r="N805" s="184" t="n">
        <v>19731.6</v>
      </c>
      <c r="O805" s="186" t="s">
        <v>1983</v>
      </c>
      <c r="P805" s="187" t="n">
        <v>45933</v>
      </c>
    </row>
    <row r="806" customFormat="false" ht="51" hidden="false" customHeight="true" outlineLevel="0" collapsed="false">
      <c r="A806" s="181" t="s">
        <v>1984</v>
      </c>
      <c r="B806" s="182" t="n">
        <v>2037</v>
      </c>
      <c r="C806" s="181" t="s">
        <v>1885</v>
      </c>
      <c r="D806" s="181" t="s">
        <v>1686</v>
      </c>
      <c r="E806" s="181" t="s">
        <v>292</v>
      </c>
      <c r="F806" s="181" t="s">
        <v>293</v>
      </c>
      <c r="G806" s="181" t="s">
        <v>1900</v>
      </c>
      <c r="H806" s="181" t="s">
        <v>279</v>
      </c>
      <c r="I806" s="181" t="s">
        <v>239</v>
      </c>
      <c r="J806" s="184" t="n">
        <v>37280</v>
      </c>
      <c r="K806" s="184" t="n">
        <v>13910</v>
      </c>
      <c r="L806" s="185" t="n">
        <v>9</v>
      </c>
      <c r="M806" s="184" t="n">
        <v>23370</v>
      </c>
      <c r="N806" s="184" t="n">
        <v>21266.7</v>
      </c>
      <c r="O806" s="186" t="s">
        <v>1985</v>
      </c>
      <c r="P806" s="187" t="n">
        <v>45933</v>
      </c>
    </row>
    <row r="807" customFormat="false" ht="51" hidden="false" customHeight="true" outlineLevel="0" collapsed="false">
      <c r="A807" s="181" t="s">
        <v>1986</v>
      </c>
      <c r="B807" s="182" t="n">
        <v>2039</v>
      </c>
      <c r="C807" s="181" t="s">
        <v>1885</v>
      </c>
      <c r="D807" s="181" t="s">
        <v>1686</v>
      </c>
      <c r="E807" s="181" t="s">
        <v>391</v>
      </c>
      <c r="F807" s="181" t="s">
        <v>392</v>
      </c>
      <c r="G807" s="181" t="s">
        <v>1900</v>
      </c>
      <c r="H807" s="181" t="s">
        <v>279</v>
      </c>
      <c r="I807" s="181" t="s">
        <v>239</v>
      </c>
      <c r="J807" s="184" t="n">
        <v>35150</v>
      </c>
      <c r="K807" s="184" t="n">
        <v>14490</v>
      </c>
      <c r="L807" s="185" t="n">
        <v>15</v>
      </c>
      <c r="M807" s="184" t="n">
        <v>20660</v>
      </c>
      <c r="N807" s="184" t="n">
        <v>17561</v>
      </c>
      <c r="O807" s="186" t="s">
        <v>1987</v>
      </c>
      <c r="P807" s="187" t="n">
        <v>45933</v>
      </c>
    </row>
    <row r="808" customFormat="false" ht="51" hidden="false" customHeight="true" outlineLevel="0" collapsed="false">
      <c r="A808" s="181" t="s">
        <v>1988</v>
      </c>
      <c r="B808" s="182" t="n">
        <v>2042</v>
      </c>
      <c r="C808" s="181" t="s">
        <v>1885</v>
      </c>
      <c r="D808" s="181" t="s">
        <v>1686</v>
      </c>
      <c r="E808" s="181" t="s">
        <v>340</v>
      </c>
      <c r="F808" s="181" t="s">
        <v>341</v>
      </c>
      <c r="G808" s="181" t="s">
        <v>1900</v>
      </c>
      <c r="H808" s="181" t="s">
        <v>279</v>
      </c>
      <c r="I808" s="181" t="s">
        <v>239</v>
      </c>
      <c r="J808" s="184" t="n">
        <v>40170</v>
      </c>
      <c r="K808" s="184" t="n">
        <v>15120</v>
      </c>
      <c r="L808" s="185" t="n">
        <v>13</v>
      </c>
      <c r="M808" s="184" t="n">
        <v>25050</v>
      </c>
      <c r="N808" s="184" t="n">
        <v>21793.5</v>
      </c>
      <c r="O808" s="186" t="s">
        <v>1989</v>
      </c>
      <c r="P808" s="187" t="n">
        <v>45933</v>
      </c>
    </row>
    <row r="809" customFormat="false" ht="51" hidden="false" customHeight="true" outlineLevel="0" collapsed="false">
      <c r="A809" s="181" t="s">
        <v>1992</v>
      </c>
      <c r="B809" s="182" t="n">
        <v>2044</v>
      </c>
      <c r="C809" s="181" t="s">
        <v>1885</v>
      </c>
      <c r="D809" s="181" t="s">
        <v>1686</v>
      </c>
      <c r="E809" s="181" t="s">
        <v>308</v>
      </c>
      <c r="F809" s="181" t="s">
        <v>309</v>
      </c>
      <c r="G809" s="181" t="s">
        <v>1900</v>
      </c>
      <c r="H809" s="181" t="s">
        <v>279</v>
      </c>
      <c r="I809" s="181" t="s">
        <v>239</v>
      </c>
      <c r="J809" s="184" t="n">
        <v>64730</v>
      </c>
      <c r="K809" s="184" t="n">
        <v>24080</v>
      </c>
      <c r="L809" s="185" t="n">
        <v>12</v>
      </c>
      <c r="M809" s="184" t="n">
        <v>40650</v>
      </c>
      <c r="N809" s="184" t="n">
        <v>35772</v>
      </c>
      <c r="O809" s="186" t="s">
        <v>1993</v>
      </c>
      <c r="P809" s="187" t="n">
        <v>45933</v>
      </c>
    </row>
    <row r="810" customFormat="false" ht="51" hidden="false" customHeight="true" outlineLevel="0" collapsed="false">
      <c r="A810" s="181" t="s">
        <v>1990</v>
      </c>
      <c r="B810" s="182" t="n">
        <v>2043</v>
      </c>
      <c r="C810" s="181" t="s">
        <v>1885</v>
      </c>
      <c r="D810" s="181" t="s">
        <v>1686</v>
      </c>
      <c r="E810" s="181" t="s">
        <v>304</v>
      </c>
      <c r="F810" s="181" t="s">
        <v>305</v>
      </c>
      <c r="G810" s="181" t="s">
        <v>1900</v>
      </c>
      <c r="H810" s="181" t="s">
        <v>279</v>
      </c>
      <c r="I810" s="181" t="s">
        <v>239</v>
      </c>
      <c r="J810" s="184" t="n">
        <v>40950</v>
      </c>
      <c r="K810" s="184" t="n">
        <v>15020</v>
      </c>
      <c r="L810" s="185" t="n">
        <v>17</v>
      </c>
      <c r="M810" s="184" t="n">
        <v>25930</v>
      </c>
      <c r="N810" s="184" t="n">
        <v>21521.9</v>
      </c>
      <c r="O810" s="186" t="s">
        <v>1991</v>
      </c>
      <c r="P810" s="187" t="n">
        <v>45933</v>
      </c>
    </row>
    <row r="811" customFormat="false" ht="51" hidden="false" customHeight="true" outlineLevel="0" collapsed="false">
      <c r="A811" s="181" t="s">
        <v>2002</v>
      </c>
      <c r="B811" s="182" t="n">
        <v>2045</v>
      </c>
      <c r="C811" s="183" t="n">
        <v>57732</v>
      </c>
      <c r="D811" s="181" t="s">
        <v>1686</v>
      </c>
      <c r="E811" s="181" t="s">
        <v>272</v>
      </c>
      <c r="F811" s="181" t="s">
        <v>273</v>
      </c>
      <c r="G811" s="181" t="s">
        <v>1900</v>
      </c>
      <c r="H811" s="181" t="s">
        <v>279</v>
      </c>
      <c r="I811" s="181" t="s">
        <v>239</v>
      </c>
      <c r="J811" s="184" t="n">
        <v>31590</v>
      </c>
      <c r="K811" s="184" t="n">
        <v>15570</v>
      </c>
      <c r="L811" s="185" t="n">
        <v>13</v>
      </c>
      <c r="M811" s="184" t="n">
        <v>16020</v>
      </c>
      <c r="N811" s="184" t="n">
        <v>13937.4</v>
      </c>
      <c r="O811" s="186" t="s">
        <v>2003</v>
      </c>
      <c r="P811" s="187" t="n">
        <v>45934</v>
      </c>
    </row>
    <row r="812" customFormat="false" ht="51" hidden="false" customHeight="true" outlineLevel="0" collapsed="false">
      <c r="A812" s="181" t="s">
        <v>2004</v>
      </c>
      <c r="B812" s="182" t="n">
        <v>2047</v>
      </c>
      <c r="C812" s="183" t="n">
        <v>1</v>
      </c>
      <c r="D812" s="181" t="s">
        <v>2005</v>
      </c>
      <c r="E812" s="181" t="s">
        <v>383</v>
      </c>
      <c r="F812" s="181" t="s">
        <v>384</v>
      </c>
      <c r="G812" s="181" t="s">
        <v>2006</v>
      </c>
      <c r="H812" s="181" t="s">
        <v>279</v>
      </c>
      <c r="I812" s="181" t="s">
        <v>240</v>
      </c>
      <c r="J812" s="184" t="n">
        <v>40570</v>
      </c>
      <c r="K812" s="184" t="n">
        <v>14980</v>
      </c>
      <c r="L812" s="185" t="n">
        <v>27</v>
      </c>
      <c r="M812" s="184" t="n">
        <v>25590</v>
      </c>
      <c r="N812" s="184" t="n">
        <v>18680.7</v>
      </c>
      <c r="O812" s="186" t="s">
        <v>2007</v>
      </c>
      <c r="P812" s="187" t="n">
        <v>45934</v>
      </c>
    </row>
    <row r="813" customFormat="false" ht="51" hidden="false" customHeight="true" outlineLevel="0" collapsed="false">
      <c r="A813" s="181" t="s">
        <v>2008</v>
      </c>
      <c r="B813" s="182" t="n">
        <v>2048</v>
      </c>
      <c r="C813" s="183" t="n">
        <v>2</v>
      </c>
      <c r="D813" s="181" t="s">
        <v>2005</v>
      </c>
      <c r="E813" s="181" t="s">
        <v>387</v>
      </c>
      <c r="F813" s="181" t="s">
        <v>388</v>
      </c>
      <c r="G813" s="181" t="s">
        <v>2006</v>
      </c>
      <c r="H813" s="181" t="s">
        <v>279</v>
      </c>
      <c r="I813" s="181" t="s">
        <v>240</v>
      </c>
      <c r="J813" s="184" t="n">
        <v>42870</v>
      </c>
      <c r="K813" s="184" t="n">
        <v>15190</v>
      </c>
      <c r="L813" s="185" t="n">
        <v>15</v>
      </c>
      <c r="M813" s="184" t="n">
        <v>27680</v>
      </c>
      <c r="N813" s="184" t="n">
        <v>23528</v>
      </c>
      <c r="O813" s="186" t="s">
        <v>2009</v>
      </c>
      <c r="P813" s="187" t="n">
        <v>45934</v>
      </c>
    </row>
    <row r="814" customFormat="false" ht="51" hidden="false" customHeight="true" outlineLevel="0" collapsed="false">
      <c r="A814" s="181" t="s">
        <v>2010</v>
      </c>
      <c r="B814" s="182" t="n">
        <v>2049</v>
      </c>
      <c r="C814" s="183" t="n">
        <v>3</v>
      </c>
      <c r="D814" s="181" t="s">
        <v>2005</v>
      </c>
      <c r="E814" s="181" t="s">
        <v>350</v>
      </c>
      <c r="F814" s="181" t="s">
        <v>351</v>
      </c>
      <c r="G814" s="181" t="s">
        <v>2006</v>
      </c>
      <c r="H814" s="181" t="s">
        <v>279</v>
      </c>
      <c r="I814" s="181" t="s">
        <v>240</v>
      </c>
      <c r="J814" s="184" t="n">
        <v>43320</v>
      </c>
      <c r="K814" s="184" t="n">
        <v>15070</v>
      </c>
      <c r="L814" s="185" t="n">
        <v>15</v>
      </c>
      <c r="M814" s="184" t="n">
        <v>28250</v>
      </c>
      <c r="N814" s="184" t="n">
        <v>24012.5</v>
      </c>
      <c r="O814" s="186" t="s">
        <v>2011</v>
      </c>
      <c r="P814" s="187" t="n">
        <v>45934</v>
      </c>
    </row>
    <row r="815" customFormat="false" ht="51" hidden="false" customHeight="true" outlineLevel="0" collapsed="false">
      <c r="A815" s="181" t="s">
        <v>2012</v>
      </c>
      <c r="B815" s="182" t="n">
        <v>2050</v>
      </c>
      <c r="C815" s="183" t="n">
        <v>4</v>
      </c>
      <c r="D815" s="181" t="s">
        <v>2005</v>
      </c>
      <c r="E815" s="181" t="s">
        <v>377</v>
      </c>
      <c r="F815" s="181" t="s">
        <v>378</v>
      </c>
      <c r="G815" s="181" t="s">
        <v>2006</v>
      </c>
      <c r="H815" s="181" t="s">
        <v>279</v>
      </c>
      <c r="I815" s="181" t="s">
        <v>240</v>
      </c>
      <c r="J815" s="184" t="n">
        <v>43110</v>
      </c>
      <c r="K815" s="184" t="n">
        <v>15750</v>
      </c>
      <c r="L815" s="185" t="n">
        <v>14</v>
      </c>
      <c r="M815" s="184" t="n">
        <v>27360</v>
      </c>
      <c r="N815" s="184" t="n">
        <v>23529.6</v>
      </c>
      <c r="O815" s="186" t="s">
        <v>2013</v>
      </c>
      <c r="P815" s="187" t="n">
        <v>45934</v>
      </c>
    </row>
    <row r="816" customFormat="false" ht="51" hidden="false" customHeight="true" outlineLevel="0" collapsed="false">
      <c r="A816" s="181" t="s">
        <v>2014</v>
      </c>
      <c r="B816" s="182" t="n">
        <v>2051</v>
      </c>
      <c r="C816" s="183" t="n">
        <v>5</v>
      </c>
      <c r="D816" s="181" t="s">
        <v>2005</v>
      </c>
      <c r="E816" s="181" t="s">
        <v>399</v>
      </c>
      <c r="F816" s="181" t="s">
        <v>400</v>
      </c>
      <c r="G816" s="181" t="s">
        <v>2006</v>
      </c>
      <c r="H816" s="181" t="s">
        <v>279</v>
      </c>
      <c r="I816" s="181" t="s">
        <v>240</v>
      </c>
      <c r="J816" s="184" t="n">
        <v>49980</v>
      </c>
      <c r="K816" s="184" t="n">
        <v>19530</v>
      </c>
      <c r="L816" s="185" t="n">
        <v>29</v>
      </c>
      <c r="M816" s="184" t="n">
        <v>30450</v>
      </c>
      <c r="N816" s="184" t="n">
        <v>21619.5</v>
      </c>
      <c r="O816" s="186" t="s">
        <v>2015</v>
      </c>
      <c r="P816" s="187" t="n">
        <v>45934</v>
      </c>
    </row>
    <row r="817" customFormat="false" ht="51" hidden="false" customHeight="true" outlineLevel="0" collapsed="false">
      <c r="A817" s="181" t="s">
        <v>2016</v>
      </c>
      <c r="B817" s="182" t="n">
        <v>2056</v>
      </c>
      <c r="C817" s="183" t="n">
        <v>6</v>
      </c>
      <c r="D817" s="181" t="s">
        <v>2005</v>
      </c>
      <c r="E817" s="181" t="s">
        <v>409</v>
      </c>
      <c r="F817" s="181" t="s">
        <v>410</v>
      </c>
      <c r="G817" s="181" t="s">
        <v>2006</v>
      </c>
      <c r="H817" s="181" t="s">
        <v>279</v>
      </c>
      <c r="I817" s="181" t="s">
        <v>240</v>
      </c>
      <c r="J817" s="184" t="n">
        <v>57850</v>
      </c>
      <c r="K817" s="184" t="n">
        <v>24260</v>
      </c>
      <c r="L817" s="185" t="n">
        <v>15</v>
      </c>
      <c r="M817" s="184" t="n">
        <v>33590</v>
      </c>
      <c r="N817" s="184" t="n">
        <v>28551.5</v>
      </c>
      <c r="O817" s="186" t="s">
        <v>2017</v>
      </c>
      <c r="P817" s="187" t="n">
        <v>45934</v>
      </c>
    </row>
    <row r="818" customFormat="false" ht="51" hidden="false" customHeight="true" outlineLevel="0" collapsed="false">
      <c r="A818" s="181" t="s">
        <v>2018</v>
      </c>
      <c r="B818" s="182" t="n">
        <v>2057</v>
      </c>
      <c r="C818" s="183" t="n">
        <v>7</v>
      </c>
      <c r="D818" s="181" t="s">
        <v>2005</v>
      </c>
      <c r="E818" s="181" t="s">
        <v>413</v>
      </c>
      <c r="F818" s="181" t="s">
        <v>414</v>
      </c>
      <c r="G818" s="181" t="s">
        <v>2006</v>
      </c>
      <c r="H818" s="181" t="s">
        <v>279</v>
      </c>
      <c r="I818" s="181" t="s">
        <v>240</v>
      </c>
      <c r="J818" s="184" t="n">
        <v>43910</v>
      </c>
      <c r="K818" s="184" t="n">
        <v>15720</v>
      </c>
      <c r="L818" s="185" t="n">
        <v>22</v>
      </c>
      <c r="M818" s="184" t="n">
        <v>28190</v>
      </c>
      <c r="N818" s="184" t="n">
        <v>21988.2</v>
      </c>
      <c r="O818" s="186" t="s">
        <v>2019</v>
      </c>
      <c r="P818" s="187" t="n">
        <v>45934</v>
      </c>
    </row>
    <row r="819" customFormat="false" ht="51" hidden="false" customHeight="true" outlineLevel="0" collapsed="false">
      <c r="A819" s="181" t="s">
        <v>2022</v>
      </c>
      <c r="B819" s="182" t="n">
        <v>2061</v>
      </c>
      <c r="C819" s="183" t="n">
        <v>9</v>
      </c>
      <c r="D819" s="181" t="s">
        <v>2005</v>
      </c>
      <c r="E819" s="181" t="s">
        <v>354</v>
      </c>
      <c r="F819" s="181" t="s">
        <v>355</v>
      </c>
      <c r="G819" s="181" t="s">
        <v>2006</v>
      </c>
      <c r="H819" s="181" t="s">
        <v>279</v>
      </c>
      <c r="I819" s="181" t="s">
        <v>240</v>
      </c>
      <c r="J819" s="184" t="n">
        <v>37380</v>
      </c>
      <c r="K819" s="184" t="n">
        <v>14800</v>
      </c>
      <c r="L819" s="185" t="n">
        <v>23</v>
      </c>
      <c r="M819" s="184" t="n">
        <v>22580</v>
      </c>
      <c r="N819" s="184" t="n">
        <v>17386.6</v>
      </c>
      <c r="O819" s="186" t="s">
        <v>2023</v>
      </c>
      <c r="P819" s="187" t="n">
        <v>45934</v>
      </c>
    </row>
    <row r="820" customFormat="false" ht="51" hidden="false" customHeight="true" outlineLevel="0" collapsed="false">
      <c r="A820" s="181" t="s">
        <v>2020</v>
      </c>
      <c r="B820" s="182" t="n">
        <v>2060</v>
      </c>
      <c r="C820" s="183" t="n">
        <v>8</v>
      </c>
      <c r="D820" s="181" t="s">
        <v>2005</v>
      </c>
      <c r="E820" s="181" t="s">
        <v>340</v>
      </c>
      <c r="F820" s="181" t="s">
        <v>341</v>
      </c>
      <c r="G820" s="181" t="s">
        <v>2006</v>
      </c>
      <c r="H820" s="181" t="s">
        <v>279</v>
      </c>
      <c r="I820" s="181" t="s">
        <v>240</v>
      </c>
      <c r="J820" s="184" t="n">
        <v>40440</v>
      </c>
      <c r="K820" s="184" t="n">
        <v>15020</v>
      </c>
      <c r="L820" s="185" t="n">
        <v>19</v>
      </c>
      <c r="M820" s="184" t="n">
        <v>25420</v>
      </c>
      <c r="N820" s="184" t="n">
        <v>20590.2</v>
      </c>
      <c r="O820" s="186" t="s">
        <v>2021</v>
      </c>
      <c r="P820" s="187" t="n">
        <v>45934</v>
      </c>
    </row>
    <row r="821" customFormat="false" ht="51" hidden="false" customHeight="true" outlineLevel="0" collapsed="false">
      <c r="A821" s="181" t="s">
        <v>2024</v>
      </c>
      <c r="B821" s="182" t="n">
        <v>2064</v>
      </c>
      <c r="C821" s="183" t="n">
        <v>2</v>
      </c>
      <c r="D821" s="181" t="s">
        <v>2005</v>
      </c>
      <c r="E821" s="181" t="s">
        <v>266</v>
      </c>
      <c r="F821" s="181" t="s">
        <v>267</v>
      </c>
      <c r="G821" s="181" t="s">
        <v>2006</v>
      </c>
      <c r="H821" s="181" t="s">
        <v>279</v>
      </c>
      <c r="I821" s="181" t="s">
        <v>240</v>
      </c>
      <c r="J821" s="184" t="n">
        <v>39350</v>
      </c>
      <c r="K821" s="184" t="n">
        <v>15010</v>
      </c>
      <c r="L821" s="185" t="n">
        <v>12</v>
      </c>
      <c r="M821" s="184" t="n">
        <v>24340</v>
      </c>
      <c r="N821" s="184" t="n">
        <v>21419.2</v>
      </c>
      <c r="O821" s="186" t="s">
        <v>2025</v>
      </c>
      <c r="P821" s="187" t="n">
        <v>45934</v>
      </c>
    </row>
    <row r="822" customFormat="false" ht="51" hidden="false" customHeight="true" outlineLevel="0" collapsed="false">
      <c r="A822" s="181" t="s">
        <v>2026</v>
      </c>
      <c r="B822" s="182" t="n">
        <v>2066</v>
      </c>
      <c r="C822" s="183" t="n">
        <v>1</v>
      </c>
      <c r="D822" s="181" t="s">
        <v>2005</v>
      </c>
      <c r="E822" s="181" t="s">
        <v>300</v>
      </c>
      <c r="F822" s="181" t="s">
        <v>301</v>
      </c>
      <c r="G822" s="181" t="s">
        <v>2006</v>
      </c>
      <c r="H822" s="181" t="s">
        <v>279</v>
      </c>
      <c r="I822" s="181" t="s">
        <v>240</v>
      </c>
      <c r="J822" s="184" t="n">
        <v>55700</v>
      </c>
      <c r="K822" s="184" t="n">
        <v>21000</v>
      </c>
      <c r="L822" s="185" t="n">
        <v>9</v>
      </c>
      <c r="M822" s="184" t="n">
        <v>34700</v>
      </c>
      <c r="N822" s="184" t="n">
        <v>31577</v>
      </c>
      <c r="O822" s="186" t="s">
        <v>2027</v>
      </c>
      <c r="P822" s="187" t="n">
        <v>45934</v>
      </c>
    </row>
    <row r="823" customFormat="false" ht="51" hidden="false" customHeight="true" outlineLevel="0" collapsed="false">
      <c r="A823" s="181" t="s">
        <v>2028</v>
      </c>
      <c r="B823" s="182" t="n">
        <v>2067</v>
      </c>
      <c r="C823" s="183" t="n">
        <v>3</v>
      </c>
      <c r="D823" s="181" t="s">
        <v>2005</v>
      </c>
      <c r="E823" s="181" t="s">
        <v>582</v>
      </c>
      <c r="F823" s="181" t="s">
        <v>583</v>
      </c>
      <c r="G823" s="181" t="s">
        <v>2006</v>
      </c>
      <c r="H823" s="181" t="s">
        <v>279</v>
      </c>
      <c r="I823" s="181" t="s">
        <v>240</v>
      </c>
      <c r="J823" s="184" t="n">
        <v>41050</v>
      </c>
      <c r="K823" s="184" t="n">
        <v>14940</v>
      </c>
      <c r="L823" s="185" t="n">
        <v>7</v>
      </c>
      <c r="M823" s="184" t="n">
        <v>26110</v>
      </c>
      <c r="N823" s="184" t="n">
        <v>24282.3</v>
      </c>
      <c r="O823" s="186" t="s">
        <v>2029</v>
      </c>
      <c r="P823" s="187" t="n">
        <v>45934</v>
      </c>
    </row>
    <row r="824" customFormat="false" ht="51" hidden="false" customHeight="true" outlineLevel="0" collapsed="false">
      <c r="A824" s="181" t="s">
        <v>2030</v>
      </c>
      <c r="B824" s="182" t="n">
        <v>2068</v>
      </c>
      <c r="C824" s="183" t="n">
        <v>4</v>
      </c>
      <c r="D824" s="181" t="s">
        <v>2005</v>
      </c>
      <c r="E824" s="181" t="s">
        <v>332</v>
      </c>
      <c r="F824" s="181" t="s">
        <v>333</v>
      </c>
      <c r="G824" s="181" t="s">
        <v>2006</v>
      </c>
      <c r="H824" s="181" t="s">
        <v>279</v>
      </c>
      <c r="I824" s="181" t="s">
        <v>240</v>
      </c>
      <c r="J824" s="184" t="n">
        <v>39460</v>
      </c>
      <c r="K824" s="184" t="n">
        <v>14810</v>
      </c>
      <c r="L824" s="185" t="n">
        <v>12</v>
      </c>
      <c r="M824" s="184" t="n">
        <v>24650</v>
      </c>
      <c r="N824" s="184" t="n">
        <v>21692</v>
      </c>
      <c r="O824" s="186" t="s">
        <v>2031</v>
      </c>
      <c r="P824" s="187" t="n">
        <v>45934</v>
      </c>
    </row>
    <row r="825" customFormat="false" ht="51" hidden="false" customHeight="true" outlineLevel="0" collapsed="false">
      <c r="A825" s="181" t="s">
        <v>2032</v>
      </c>
      <c r="B825" s="182" t="n">
        <v>2069</v>
      </c>
      <c r="C825" s="183" t="n">
        <v>8</v>
      </c>
      <c r="D825" s="181" t="s">
        <v>2005</v>
      </c>
      <c r="E825" s="181" t="s">
        <v>576</v>
      </c>
      <c r="F825" s="181" t="s">
        <v>577</v>
      </c>
      <c r="G825" s="181" t="s">
        <v>2006</v>
      </c>
      <c r="H825" s="181" t="s">
        <v>279</v>
      </c>
      <c r="I825" s="181" t="s">
        <v>240</v>
      </c>
      <c r="J825" s="184" t="n">
        <v>38800</v>
      </c>
      <c r="K825" s="184" t="n">
        <v>14550</v>
      </c>
      <c r="L825" s="185" t="n">
        <v>8</v>
      </c>
      <c r="M825" s="184" t="n">
        <v>24250</v>
      </c>
      <c r="N825" s="184" t="n">
        <v>22310</v>
      </c>
      <c r="O825" s="186" t="s">
        <v>2033</v>
      </c>
      <c r="P825" s="187" t="n">
        <v>45934</v>
      </c>
    </row>
    <row r="826" customFormat="false" ht="51" hidden="false" customHeight="true" outlineLevel="0" collapsed="false">
      <c r="A826" s="181" t="s">
        <v>2034</v>
      </c>
      <c r="B826" s="182" t="n">
        <v>2070</v>
      </c>
      <c r="C826" s="183" t="n">
        <v>9</v>
      </c>
      <c r="D826" s="181" t="s">
        <v>2005</v>
      </c>
      <c r="E826" s="181" t="s">
        <v>282</v>
      </c>
      <c r="F826" s="181" t="s">
        <v>283</v>
      </c>
      <c r="G826" s="181" t="s">
        <v>2006</v>
      </c>
      <c r="H826" s="181" t="s">
        <v>279</v>
      </c>
      <c r="I826" s="181" t="s">
        <v>240</v>
      </c>
      <c r="J826" s="184" t="n">
        <v>40960</v>
      </c>
      <c r="K826" s="184" t="n">
        <v>15130</v>
      </c>
      <c r="L826" s="185" t="n">
        <v>12</v>
      </c>
      <c r="M826" s="184" t="n">
        <v>25830</v>
      </c>
      <c r="N826" s="184" t="n">
        <v>22730.4</v>
      </c>
      <c r="O826" s="186" t="s">
        <v>2035</v>
      </c>
      <c r="P826" s="187" t="n">
        <v>45934</v>
      </c>
    </row>
    <row r="827" customFormat="false" ht="51" hidden="false" customHeight="true" outlineLevel="0" collapsed="false">
      <c r="A827" s="181" t="s">
        <v>2036</v>
      </c>
      <c r="B827" s="182" t="n">
        <v>2071</v>
      </c>
      <c r="C827" s="183" t="n">
        <v>5</v>
      </c>
      <c r="D827" s="181" t="s">
        <v>2005</v>
      </c>
      <c r="E827" s="181" t="s">
        <v>308</v>
      </c>
      <c r="F827" s="181" t="s">
        <v>309</v>
      </c>
      <c r="G827" s="181" t="s">
        <v>2006</v>
      </c>
      <c r="H827" s="181" t="s">
        <v>279</v>
      </c>
      <c r="I827" s="181" t="s">
        <v>240</v>
      </c>
      <c r="J827" s="184" t="n">
        <v>65020</v>
      </c>
      <c r="K827" s="184" t="n">
        <v>24160</v>
      </c>
      <c r="L827" s="185" t="n">
        <v>12</v>
      </c>
      <c r="M827" s="184" t="n">
        <v>40860</v>
      </c>
      <c r="N827" s="184" t="n">
        <v>35956.8</v>
      </c>
      <c r="O827" s="186" t="s">
        <v>2037</v>
      </c>
      <c r="P827" s="187" t="n">
        <v>45934</v>
      </c>
    </row>
    <row r="828" customFormat="false" ht="51" hidden="false" customHeight="true" outlineLevel="0" collapsed="false">
      <c r="A828" s="181" t="s">
        <v>2038</v>
      </c>
      <c r="B828" s="182" t="n">
        <v>2072</v>
      </c>
      <c r="C828" s="183" t="n">
        <v>6</v>
      </c>
      <c r="D828" s="181" t="s">
        <v>2005</v>
      </c>
      <c r="E828" s="181" t="s">
        <v>272</v>
      </c>
      <c r="F828" s="181" t="s">
        <v>273</v>
      </c>
      <c r="G828" s="181" t="s">
        <v>2006</v>
      </c>
      <c r="H828" s="181" t="s">
        <v>279</v>
      </c>
      <c r="I828" s="181" t="s">
        <v>240</v>
      </c>
      <c r="J828" s="184" t="n">
        <v>40330</v>
      </c>
      <c r="K828" s="184" t="n">
        <v>15700</v>
      </c>
      <c r="L828" s="185" t="n">
        <v>6</v>
      </c>
      <c r="M828" s="184" t="n">
        <v>24630</v>
      </c>
      <c r="N828" s="184" t="n">
        <v>23152.2</v>
      </c>
      <c r="O828" s="186" t="s">
        <v>2039</v>
      </c>
      <c r="P828" s="187" t="n">
        <v>45934</v>
      </c>
    </row>
    <row r="829" customFormat="false" ht="51" hidden="false" customHeight="true" outlineLevel="0" collapsed="false">
      <c r="A829" s="181" t="s">
        <v>2040</v>
      </c>
      <c r="B829" s="182" t="n">
        <v>2073</v>
      </c>
      <c r="C829" s="183" t="n">
        <v>7</v>
      </c>
      <c r="D829" s="181" t="s">
        <v>2005</v>
      </c>
      <c r="E829" s="181" t="s">
        <v>292</v>
      </c>
      <c r="F829" s="181" t="s">
        <v>293</v>
      </c>
      <c r="G829" s="181" t="s">
        <v>2006</v>
      </c>
      <c r="H829" s="181" t="s">
        <v>279</v>
      </c>
      <c r="I829" s="181" t="s">
        <v>240</v>
      </c>
      <c r="J829" s="184" t="n">
        <v>37300</v>
      </c>
      <c r="K829" s="184" t="n">
        <v>13890</v>
      </c>
      <c r="L829" s="185" t="n">
        <v>11</v>
      </c>
      <c r="M829" s="184" t="n">
        <v>23410</v>
      </c>
      <c r="N829" s="184" t="n">
        <v>20834.9</v>
      </c>
      <c r="O829" s="186" t="s">
        <v>2041</v>
      </c>
      <c r="P829" s="187" t="n">
        <v>45934</v>
      </c>
    </row>
    <row r="830" customFormat="false" ht="51" hidden="false" customHeight="true" outlineLevel="0" collapsed="false">
      <c r="A830" s="181" t="s">
        <v>2042</v>
      </c>
      <c r="B830" s="182" t="n">
        <v>2074</v>
      </c>
      <c r="C830" s="183" t="n">
        <v>13</v>
      </c>
      <c r="D830" s="181" t="s">
        <v>2005</v>
      </c>
      <c r="E830" s="181" t="s">
        <v>383</v>
      </c>
      <c r="F830" s="181" t="s">
        <v>384</v>
      </c>
      <c r="G830" s="181" t="s">
        <v>2006</v>
      </c>
      <c r="H830" s="181" t="s">
        <v>279</v>
      </c>
      <c r="I830" s="181" t="s">
        <v>240</v>
      </c>
      <c r="J830" s="184" t="n">
        <v>40380</v>
      </c>
      <c r="K830" s="184" t="n">
        <v>14890</v>
      </c>
      <c r="L830" s="185" t="n">
        <v>5</v>
      </c>
      <c r="M830" s="184" t="n">
        <v>25490</v>
      </c>
      <c r="N830" s="184" t="n">
        <v>24215.5</v>
      </c>
      <c r="O830" s="186" t="s">
        <v>2043</v>
      </c>
      <c r="P830" s="187" t="n">
        <v>45935</v>
      </c>
    </row>
    <row r="831" customFormat="false" ht="51" hidden="false" customHeight="true" outlineLevel="0" collapsed="false">
      <c r="A831" s="181" t="s">
        <v>2044</v>
      </c>
      <c r="B831" s="182" t="n">
        <v>2075</v>
      </c>
      <c r="C831" s="183" t="n">
        <v>15</v>
      </c>
      <c r="D831" s="181" t="s">
        <v>2005</v>
      </c>
      <c r="E831" s="181" t="s">
        <v>387</v>
      </c>
      <c r="F831" s="181" t="s">
        <v>388</v>
      </c>
      <c r="G831" s="181" t="s">
        <v>2006</v>
      </c>
      <c r="H831" s="181" t="s">
        <v>279</v>
      </c>
      <c r="I831" s="181" t="s">
        <v>240</v>
      </c>
      <c r="J831" s="184" t="n">
        <v>43210</v>
      </c>
      <c r="K831" s="184" t="n">
        <v>15110</v>
      </c>
      <c r="L831" s="185" t="n">
        <v>18</v>
      </c>
      <c r="M831" s="184" t="n">
        <v>28100</v>
      </c>
      <c r="N831" s="184" t="n">
        <v>23042</v>
      </c>
      <c r="O831" s="186" t="s">
        <v>2045</v>
      </c>
      <c r="P831" s="187" t="n">
        <v>45935</v>
      </c>
    </row>
    <row r="832" customFormat="false" ht="51" hidden="false" customHeight="true" outlineLevel="0" collapsed="false">
      <c r="A832" s="181" t="s">
        <v>2046</v>
      </c>
      <c r="B832" s="182" t="n">
        <v>2077</v>
      </c>
      <c r="C832" s="183" t="n">
        <v>10</v>
      </c>
      <c r="D832" s="181" t="s">
        <v>2005</v>
      </c>
      <c r="E832" s="181" t="s">
        <v>377</v>
      </c>
      <c r="F832" s="181" t="s">
        <v>378</v>
      </c>
      <c r="G832" s="181" t="s">
        <v>2006</v>
      </c>
      <c r="H832" s="181" t="s">
        <v>279</v>
      </c>
      <c r="I832" s="181" t="s">
        <v>240</v>
      </c>
      <c r="J832" s="184" t="n">
        <v>43730</v>
      </c>
      <c r="K832" s="184" t="n">
        <v>15760</v>
      </c>
      <c r="L832" s="185" t="n">
        <v>8</v>
      </c>
      <c r="M832" s="184" t="n">
        <v>27970</v>
      </c>
      <c r="N832" s="184" t="n">
        <v>25732.4</v>
      </c>
      <c r="O832" s="186" t="s">
        <v>2047</v>
      </c>
      <c r="P832" s="187" t="n">
        <v>45935</v>
      </c>
    </row>
    <row r="833" customFormat="false" ht="51" hidden="false" customHeight="true" outlineLevel="0" collapsed="false">
      <c r="A833" s="181" t="s">
        <v>2048</v>
      </c>
      <c r="B833" s="182" t="n">
        <v>2078</v>
      </c>
      <c r="C833" s="183" t="n">
        <v>11</v>
      </c>
      <c r="D833" s="181" t="s">
        <v>2005</v>
      </c>
      <c r="E833" s="181" t="s">
        <v>277</v>
      </c>
      <c r="F833" s="181" t="s">
        <v>278</v>
      </c>
      <c r="G833" s="181" t="s">
        <v>2049</v>
      </c>
      <c r="H833" s="181" t="s">
        <v>279</v>
      </c>
      <c r="I833" s="181" t="s">
        <v>240</v>
      </c>
      <c r="J833" s="184" t="n">
        <v>42740</v>
      </c>
      <c r="K833" s="184" t="n">
        <v>15120</v>
      </c>
      <c r="L833" s="185" t="n">
        <v>16</v>
      </c>
      <c r="M833" s="184" t="n">
        <v>27620</v>
      </c>
      <c r="N833" s="184" t="n">
        <v>23200.8</v>
      </c>
      <c r="O833" s="186" t="s">
        <v>2050</v>
      </c>
      <c r="P833" s="187" t="n">
        <v>45935</v>
      </c>
    </row>
    <row r="834" customFormat="false" ht="51" hidden="false" customHeight="true" outlineLevel="0" collapsed="false">
      <c r="A834" s="181" t="s">
        <v>2051</v>
      </c>
      <c r="B834" s="182" t="n">
        <v>2079</v>
      </c>
      <c r="C834" s="183" t="n">
        <v>12</v>
      </c>
      <c r="D834" s="181" t="s">
        <v>2005</v>
      </c>
      <c r="E834" s="181" t="s">
        <v>399</v>
      </c>
      <c r="F834" s="181" t="s">
        <v>400</v>
      </c>
      <c r="G834" s="181" t="s">
        <v>2049</v>
      </c>
      <c r="H834" s="181" t="s">
        <v>279</v>
      </c>
      <c r="I834" s="181" t="s">
        <v>240</v>
      </c>
      <c r="J834" s="184" t="n">
        <v>54350</v>
      </c>
      <c r="K834" s="184" t="n">
        <v>19420</v>
      </c>
      <c r="L834" s="185" t="n">
        <v>21</v>
      </c>
      <c r="M834" s="184" t="n">
        <v>34930</v>
      </c>
      <c r="N834" s="184" t="n">
        <v>27594.7</v>
      </c>
      <c r="O834" s="186" t="s">
        <v>2052</v>
      </c>
      <c r="P834" s="187" t="n">
        <v>45935</v>
      </c>
    </row>
    <row r="835" customFormat="false" ht="51" hidden="false" customHeight="true" outlineLevel="0" collapsed="false">
      <c r="A835" s="181" t="s">
        <v>2063</v>
      </c>
      <c r="B835" s="182" t="n">
        <v>2080</v>
      </c>
      <c r="C835" s="183" t="n">
        <v>14</v>
      </c>
      <c r="D835" s="181" t="s">
        <v>2005</v>
      </c>
      <c r="E835" s="181" t="s">
        <v>346</v>
      </c>
      <c r="F835" s="181" t="s">
        <v>347</v>
      </c>
      <c r="G835" s="181" t="s">
        <v>2049</v>
      </c>
      <c r="H835" s="181" t="s">
        <v>279</v>
      </c>
      <c r="I835" s="181" t="s">
        <v>240</v>
      </c>
      <c r="J835" s="184" t="n">
        <v>38630</v>
      </c>
      <c r="K835" s="184" t="n">
        <v>15240</v>
      </c>
      <c r="L835" s="185" t="n">
        <v>26</v>
      </c>
      <c r="M835" s="184" t="n">
        <v>23390</v>
      </c>
      <c r="N835" s="184" t="n">
        <v>17308.6</v>
      </c>
      <c r="O835" s="186" t="s">
        <v>2064</v>
      </c>
      <c r="P835" s="187" t="n">
        <v>45935</v>
      </c>
    </row>
    <row r="836" customFormat="false" ht="51" hidden="false" customHeight="true" outlineLevel="0" collapsed="false">
      <c r="A836" s="181" t="s">
        <v>2053</v>
      </c>
      <c r="B836" s="182" t="n">
        <v>2082</v>
      </c>
      <c r="C836" s="183" t="n">
        <v>18</v>
      </c>
      <c r="D836" s="181" t="s">
        <v>2005</v>
      </c>
      <c r="E836" s="181" t="s">
        <v>354</v>
      </c>
      <c r="F836" s="181" t="s">
        <v>355</v>
      </c>
      <c r="G836" s="181" t="s">
        <v>2049</v>
      </c>
      <c r="H836" s="181" t="s">
        <v>279</v>
      </c>
      <c r="I836" s="181" t="s">
        <v>240</v>
      </c>
      <c r="J836" s="184" t="n">
        <v>38520</v>
      </c>
      <c r="K836" s="184" t="n">
        <v>14740</v>
      </c>
      <c r="L836" s="185" t="n">
        <v>51</v>
      </c>
      <c r="M836" s="184" t="n">
        <v>23780</v>
      </c>
      <c r="N836" s="184" t="n">
        <v>11652.2</v>
      </c>
      <c r="O836" s="186" t="s">
        <v>2054</v>
      </c>
      <c r="P836" s="187" t="n">
        <v>45935</v>
      </c>
    </row>
    <row r="837" customFormat="false" ht="51" hidden="false" customHeight="true" outlineLevel="0" collapsed="false">
      <c r="A837" s="181" t="s">
        <v>2057</v>
      </c>
      <c r="B837" s="182" t="n">
        <v>2085</v>
      </c>
      <c r="C837" s="183" t="n">
        <v>16</v>
      </c>
      <c r="D837" s="181" t="s">
        <v>2005</v>
      </c>
      <c r="E837" s="181" t="s">
        <v>409</v>
      </c>
      <c r="F837" s="181" t="s">
        <v>410</v>
      </c>
      <c r="G837" s="181" t="s">
        <v>2049</v>
      </c>
      <c r="H837" s="181" t="s">
        <v>279</v>
      </c>
      <c r="I837" s="181" t="s">
        <v>240</v>
      </c>
      <c r="J837" s="184" t="n">
        <v>58110</v>
      </c>
      <c r="K837" s="184" t="n">
        <v>24240</v>
      </c>
      <c r="L837" s="185" t="n">
        <v>21</v>
      </c>
      <c r="M837" s="184" t="n">
        <v>33870</v>
      </c>
      <c r="N837" s="184" t="n">
        <v>26757.3</v>
      </c>
      <c r="O837" s="186" t="s">
        <v>2058</v>
      </c>
      <c r="P837" s="187" t="n">
        <v>45935</v>
      </c>
    </row>
    <row r="838" customFormat="false" ht="51" hidden="false" customHeight="true" outlineLevel="0" collapsed="false">
      <c r="A838" s="181" t="s">
        <v>2055</v>
      </c>
      <c r="B838" s="182" t="n">
        <v>2084</v>
      </c>
      <c r="C838" s="183" t="n">
        <v>17</v>
      </c>
      <c r="D838" s="181" t="s">
        <v>2005</v>
      </c>
      <c r="E838" s="181" t="s">
        <v>413</v>
      </c>
      <c r="F838" s="181" t="s">
        <v>414</v>
      </c>
      <c r="G838" s="181" t="s">
        <v>2049</v>
      </c>
      <c r="H838" s="181" t="s">
        <v>279</v>
      </c>
      <c r="I838" s="181" t="s">
        <v>240</v>
      </c>
      <c r="J838" s="184" t="n">
        <v>44230</v>
      </c>
      <c r="K838" s="184" t="n">
        <v>15680</v>
      </c>
      <c r="L838" s="185" t="n">
        <v>30</v>
      </c>
      <c r="M838" s="184" t="n">
        <v>28550</v>
      </c>
      <c r="N838" s="184" t="n">
        <v>19985</v>
      </c>
      <c r="O838" s="186" t="s">
        <v>2056</v>
      </c>
      <c r="P838" s="187" t="n">
        <v>45935</v>
      </c>
    </row>
    <row r="839" customFormat="false" ht="51" hidden="false" customHeight="true" outlineLevel="0" collapsed="false">
      <c r="A839" s="181" t="s">
        <v>2059</v>
      </c>
      <c r="B839" s="182" t="n">
        <v>2086</v>
      </c>
      <c r="C839" s="183" t="n">
        <v>19</v>
      </c>
      <c r="D839" s="181" t="s">
        <v>2005</v>
      </c>
      <c r="E839" s="181" t="s">
        <v>336</v>
      </c>
      <c r="F839" s="181" t="s">
        <v>337</v>
      </c>
      <c r="G839" s="181" t="s">
        <v>2049</v>
      </c>
      <c r="H839" s="181" t="s">
        <v>279</v>
      </c>
      <c r="I839" s="181" t="s">
        <v>240</v>
      </c>
      <c r="J839" s="184" t="n">
        <v>39990</v>
      </c>
      <c r="K839" s="184" t="n">
        <v>14650</v>
      </c>
      <c r="L839" s="185" t="n">
        <v>28</v>
      </c>
      <c r="M839" s="184" t="n">
        <v>25340</v>
      </c>
      <c r="N839" s="184" t="n">
        <v>18244.8</v>
      </c>
      <c r="O839" s="186" t="s">
        <v>2060</v>
      </c>
      <c r="P839" s="187" t="n">
        <v>45935</v>
      </c>
    </row>
    <row r="840" customFormat="false" ht="51" hidden="false" customHeight="true" outlineLevel="0" collapsed="false">
      <c r="A840" s="181" t="s">
        <v>2061</v>
      </c>
      <c r="B840" s="182" t="n">
        <v>2087</v>
      </c>
      <c r="C840" s="183" t="n">
        <v>20</v>
      </c>
      <c r="D840" s="181" t="s">
        <v>2005</v>
      </c>
      <c r="E840" s="181" t="s">
        <v>340</v>
      </c>
      <c r="F840" s="181" t="s">
        <v>341</v>
      </c>
      <c r="G840" s="181" t="s">
        <v>2049</v>
      </c>
      <c r="H840" s="181" t="s">
        <v>279</v>
      </c>
      <c r="I840" s="181" t="s">
        <v>240</v>
      </c>
      <c r="J840" s="184" t="n">
        <v>39750</v>
      </c>
      <c r="K840" s="184" t="n">
        <v>14980</v>
      </c>
      <c r="L840" s="185" t="n">
        <v>12</v>
      </c>
      <c r="M840" s="184" t="n">
        <v>24770</v>
      </c>
      <c r="N840" s="184" t="n">
        <v>21797.6</v>
      </c>
      <c r="O840" s="186" t="s">
        <v>2062</v>
      </c>
      <c r="P840" s="187" t="n">
        <v>45935</v>
      </c>
    </row>
    <row r="841" customFormat="false" ht="51" hidden="false" customHeight="true" outlineLevel="0" collapsed="false">
      <c r="A841" s="181" t="s">
        <v>2069</v>
      </c>
      <c r="B841" s="182" t="n">
        <v>2092</v>
      </c>
      <c r="C841" s="183" t="n">
        <v>1</v>
      </c>
      <c r="D841" s="181" t="s">
        <v>2005</v>
      </c>
      <c r="E841" s="181" t="s">
        <v>288</v>
      </c>
      <c r="F841" s="181" t="s">
        <v>289</v>
      </c>
      <c r="G841" s="181" t="s">
        <v>2070</v>
      </c>
      <c r="H841" s="181" t="s">
        <v>2071</v>
      </c>
      <c r="I841" s="181" t="s">
        <v>240</v>
      </c>
      <c r="J841" s="184" t="n">
        <v>38960</v>
      </c>
      <c r="K841" s="184" t="n">
        <v>14640</v>
      </c>
      <c r="L841" s="185" t="n">
        <v>11</v>
      </c>
      <c r="M841" s="184" t="n">
        <v>24320</v>
      </c>
      <c r="N841" s="184" t="n">
        <v>21644.8</v>
      </c>
      <c r="O841" s="186" t="s">
        <v>2072</v>
      </c>
      <c r="P841" s="187" t="n">
        <v>45935</v>
      </c>
    </row>
    <row r="842" customFormat="false" ht="51" hidden="false" customHeight="true" outlineLevel="0" collapsed="false">
      <c r="A842" s="181" t="s">
        <v>2073</v>
      </c>
      <c r="B842" s="182" t="n">
        <v>2094</v>
      </c>
      <c r="C842" s="183" t="n">
        <v>8</v>
      </c>
      <c r="D842" s="181" t="s">
        <v>2005</v>
      </c>
      <c r="E842" s="181" t="s">
        <v>582</v>
      </c>
      <c r="F842" s="181" t="s">
        <v>583</v>
      </c>
      <c r="G842" s="181" t="s">
        <v>2070</v>
      </c>
      <c r="H842" s="181" t="s">
        <v>2071</v>
      </c>
      <c r="I842" s="181" t="s">
        <v>240</v>
      </c>
      <c r="J842" s="184" t="n">
        <v>40580</v>
      </c>
      <c r="K842" s="184" t="n">
        <v>14900</v>
      </c>
      <c r="L842" s="185" t="n">
        <v>11</v>
      </c>
      <c r="M842" s="184" t="n">
        <v>25680</v>
      </c>
      <c r="N842" s="184" t="n">
        <v>22855.2</v>
      </c>
      <c r="O842" s="186" t="s">
        <v>2074</v>
      </c>
      <c r="P842" s="187" t="n">
        <v>45935</v>
      </c>
    </row>
    <row r="843" customFormat="false" ht="51" hidden="false" customHeight="true" outlineLevel="0" collapsed="false">
      <c r="A843" s="181" t="s">
        <v>2075</v>
      </c>
      <c r="B843" s="182" t="n">
        <v>2095</v>
      </c>
      <c r="C843" s="183" t="n">
        <v>9</v>
      </c>
      <c r="D843" s="181" t="s">
        <v>2005</v>
      </c>
      <c r="E843" s="181" t="s">
        <v>300</v>
      </c>
      <c r="F843" s="181" t="s">
        <v>301</v>
      </c>
      <c r="G843" s="181" t="s">
        <v>2070</v>
      </c>
      <c r="H843" s="181" t="s">
        <v>2071</v>
      </c>
      <c r="I843" s="181" t="s">
        <v>240</v>
      </c>
      <c r="J843" s="184" t="n">
        <v>63510</v>
      </c>
      <c r="K843" s="184" t="n">
        <v>21300</v>
      </c>
      <c r="L843" s="185" t="n">
        <v>10</v>
      </c>
      <c r="M843" s="184" t="n">
        <v>42210</v>
      </c>
      <c r="N843" s="184" t="n">
        <v>37989</v>
      </c>
      <c r="O843" s="186" t="s">
        <v>2076</v>
      </c>
      <c r="P843" s="187" t="n">
        <v>45935</v>
      </c>
    </row>
    <row r="844" customFormat="false" ht="51" hidden="false" customHeight="true" outlineLevel="0" collapsed="false">
      <c r="A844" s="181" t="s">
        <v>2065</v>
      </c>
      <c r="B844" s="182" t="n">
        <v>2102</v>
      </c>
      <c r="C844" s="183" t="n">
        <v>7776</v>
      </c>
      <c r="D844" s="181" t="s">
        <v>2066</v>
      </c>
      <c r="E844" s="181" t="s">
        <v>533</v>
      </c>
      <c r="F844" s="181" t="s">
        <v>534</v>
      </c>
      <c r="G844" s="181" t="s">
        <v>2067</v>
      </c>
      <c r="H844" s="181" t="s">
        <v>279</v>
      </c>
      <c r="I844" s="181" t="s">
        <v>241</v>
      </c>
      <c r="J844" s="184" t="n">
        <v>40310</v>
      </c>
      <c r="K844" s="184" t="n">
        <v>14620</v>
      </c>
      <c r="L844" s="185" t="n">
        <v>11</v>
      </c>
      <c r="M844" s="184" t="n">
        <v>25690</v>
      </c>
      <c r="N844" s="184" t="n">
        <v>22864.1</v>
      </c>
      <c r="O844" s="186" t="s">
        <v>2068</v>
      </c>
      <c r="P844" s="187" t="n">
        <v>45935</v>
      </c>
    </row>
    <row r="845" customFormat="false" ht="51" hidden="false" customHeight="true" outlineLevel="0" collapsed="false">
      <c r="A845" s="181" t="s">
        <v>2077</v>
      </c>
      <c r="B845" s="182" t="n">
        <v>2096</v>
      </c>
      <c r="C845" s="183" t="n">
        <v>2</v>
      </c>
      <c r="D845" s="181" t="s">
        <v>2005</v>
      </c>
      <c r="E845" s="181" t="s">
        <v>332</v>
      </c>
      <c r="F845" s="181" t="s">
        <v>333</v>
      </c>
      <c r="G845" s="181" t="s">
        <v>2070</v>
      </c>
      <c r="H845" s="181" t="s">
        <v>2071</v>
      </c>
      <c r="I845" s="181" t="s">
        <v>240</v>
      </c>
      <c r="J845" s="184" t="n">
        <v>39540</v>
      </c>
      <c r="K845" s="184" t="n">
        <v>14900</v>
      </c>
      <c r="L845" s="185" t="n">
        <v>18</v>
      </c>
      <c r="M845" s="184" t="n">
        <v>24640</v>
      </c>
      <c r="N845" s="184" t="n">
        <v>20204.8</v>
      </c>
      <c r="O845" s="186" t="s">
        <v>2078</v>
      </c>
      <c r="P845" s="187" t="n">
        <v>45935</v>
      </c>
    </row>
    <row r="846" customFormat="false" ht="51" hidden="false" customHeight="true" outlineLevel="0" collapsed="false">
      <c r="A846" s="181" t="s">
        <v>2079</v>
      </c>
      <c r="B846" s="182" t="n">
        <v>2097</v>
      </c>
      <c r="C846" s="183" t="n">
        <v>3</v>
      </c>
      <c r="D846" s="181" t="s">
        <v>2005</v>
      </c>
      <c r="E846" s="181" t="s">
        <v>304</v>
      </c>
      <c r="F846" s="181" t="s">
        <v>305</v>
      </c>
      <c r="G846" s="181" t="s">
        <v>2070</v>
      </c>
      <c r="H846" s="181" t="s">
        <v>2071</v>
      </c>
      <c r="I846" s="181" t="s">
        <v>240</v>
      </c>
      <c r="J846" s="184" t="n">
        <v>41540</v>
      </c>
      <c r="K846" s="184" t="n">
        <v>15150</v>
      </c>
      <c r="L846" s="185" t="n">
        <v>7</v>
      </c>
      <c r="M846" s="184" t="n">
        <v>26390</v>
      </c>
      <c r="N846" s="184" t="n">
        <v>24542.7</v>
      </c>
      <c r="O846" s="186" t="s">
        <v>2080</v>
      </c>
      <c r="P846" s="187" t="n">
        <v>45935</v>
      </c>
    </row>
    <row r="847" customFormat="false" ht="51" hidden="false" customHeight="true" outlineLevel="0" collapsed="false">
      <c r="A847" s="181" t="s">
        <v>2081</v>
      </c>
      <c r="B847" s="182" t="n">
        <v>2098</v>
      </c>
      <c r="C847" s="183" t="n">
        <v>4</v>
      </c>
      <c r="D847" s="181" t="s">
        <v>2005</v>
      </c>
      <c r="E847" s="181" t="s">
        <v>377</v>
      </c>
      <c r="F847" s="181" t="s">
        <v>378</v>
      </c>
      <c r="G847" s="181" t="s">
        <v>2070</v>
      </c>
      <c r="H847" s="181" t="s">
        <v>2071</v>
      </c>
      <c r="I847" s="181" t="s">
        <v>240</v>
      </c>
      <c r="J847" s="184" t="n">
        <v>42660</v>
      </c>
      <c r="K847" s="184" t="n">
        <v>15800</v>
      </c>
      <c r="L847" s="185" t="n">
        <v>13</v>
      </c>
      <c r="M847" s="184" t="n">
        <v>26860</v>
      </c>
      <c r="N847" s="184" t="n">
        <v>23368.2</v>
      </c>
      <c r="O847" s="186" t="s">
        <v>2082</v>
      </c>
      <c r="P847" s="187" t="n">
        <v>45935</v>
      </c>
    </row>
    <row r="848" customFormat="false" ht="51" hidden="false" customHeight="true" outlineLevel="0" collapsed="false">
      <c r="A848" s="181" t="s">
        <v>2083</v>
      </c>
      <c r="B848" s="182" t="n">
        <v>2099</v>
      </c>
      <c r="C848" s="183" t="n">
        <v>7</v>
      </c>
      <c r="D848" s="181" t="s">
        <v>2005</v>
      </c>
      <c r="E848" s="181" t="s">
        <v>266</v>
      </c>
      <c r="F848" s="181" t="s">
        <v>267</v>
      </c>
      <c r="G848" s="181" t="s">
        <v>2070</v>
      </c>
      <c r="H848" s="181" t="s">
        <v>2071</v>
      </c>
      <c r="I848" s="181" t="s">
        <v>240</v>
      </c>
      <c r="J848" s="184" t="n">
        <v>39450</v>
      </c>
      <c r="K848" s="184" t="n">
        <v>15010</v>
      </c>
      <c r="L848" s="185" t="n">
        <v>16</v>
      </c>
      <c r="M848" s="184" t="n">
        <v>24440</v>
      </c>
      <c r="N848" s="184" t="n">
        <v>20529.6</v>
      </c>
      <c r="O848" s="186" t="s">
        <v>2084</v>
      </c>
      <c r="P848" s="187" t="n">
        <v>45935</v>
      </c>
    </row>
    <row r="849" customFormat="false" ht="51" hidden="false" customHeight="true" outlineLevel="0" collapsed="false">
      <c r="A849" s="181" t="s">
        <v>2085</v>
      </c>
      <c r="B849" s="182" t="n">
        <v>2100</v>
      </c>
      <c r="C849" s="183" t="n">
        <v>5</v>
      </c>
      <c r="D849" s="181" t="s">
        <v>2005</v>
      </c>
      <c r="E849" s="181" t="s">
        <v>383</v>
      </c>
      <c r="F849" s="181" t="s">
        <v>384</v>
      </c>
      <c r="G849" s="181" t="s">
        <v>2070</v>
      </c>
      <c r="H849" s="181" t="s">
        <v>2071</v>
      </c>
      <c r="I849" s="181" t="s">
        <v>240</v>
      </c>
      <c r="J849" s="184" t="n">
        <v>40810</v>
      </c>
      <c r="K849" s="184" t="n">
        <v>15010</v>
      </c>
      <c r="L849" s="185" t="n">
        <v>8</v>
      </c>
      <c r="M849" s="184" t="n">
        <v>25800</v>
      </c>
      <c r="N849" s="184" t="n">
        <v>23736</v>
      </c>
      <c r="O849" s="186" t="s">
        <v>2086</v>
      </c>
      <c r="P849" s="187" t="n">
        <v>45935</v>
      </c>
    </row>
    <row r="850" customFormat="false" ht="51" hidden="false" customHeight="true" outlineLevel="0" collapsed="false">
      <c r="A850" s="181" t="s">
        <v>2087</v>
      </c>
      <c r="B850" s="182" t="n">
        <v>2101</v>
      </c>
      <c r="C850" s="183" t="n">
        <v>6</v>
      </c>
      <c r="D850" s="181" t="s">
        <v>2005</v>
      </c>
      <c r="E850" s="181" t="s">
        <v>387</v>
      </c>
      <c r="F850" s="181" t="s">
        <v>388</v>
      </c>
      <c r="G850" s="181" t="s">
        <v>2070</v>
      </c>
      <c r="H850" s="181" t="s">
        <v>2071</v>
      </c>
      <c r="I850" s="181" t="s">
        <v>240</v>
      </c>
      <c r="J850" s="184" t="n">
        <v>42010</v>
      </c>
      <c r="K850" s="184" t="n">
        <v>15260</v>
      </c>
      <c r="L850" s="185" t="n">
        <v>8</v>
      </c>
      <c r="M850" s="184" t="n">
        <v>26750</v>
      </c>
      <c r="N850" s="184" t="n">
        <v>24610</v>
      </c>
      <c r="O850" s="186" t="s">
        <v>2088</v>
      </c>
      <c r="P850" s="187" t="n">
        <v>45935</v>
      </c>
    </row>
    <row r="851" customFormat="false" ht="51" hidden="false" customHeight="true" outlineLevel="0" collapsed="false">
      <c r="A851" s="181" t="s">
        <v>2093</v>
      </c>
      <c r="B851" s="182" t="n">
        <v>2107</v>
      </c>
      <c r="C851" s="183" t="n">
        <v>12</v>
      </c>
      <c r="D851" s="181" t="s">
        <v>2005</v>
      </c>
      <c r="E851" s="181" t="s">
        <v>346</v>
      </c>
      <c r="F851" s="181" t="s">
        <v>347</v>
      </c>
      <c r="G851" s="181" t="s">
        <v>2070</v>
      </c>
      <c r="H851" s="181" t="s">
        <v>2071</v>
      </c>
      <c r="I851" s="181" t="s">
        <v>240</v>
      </c>
      <c r="J851" s="184" t="n">
        <v>40000</v>
      </c>
      <c r="K851" s="184" t="n">
        <v>15290</v>
      </c>
      <c r="L851" s="185" t="n">
        <v>22</v>
      </c>
      <c r="M851" s="184" t="n">
        <v>24710</v>
      </c>
      <c r="N851" s="184" t="n">
        <v>19273.8</v>
      </c>
      <c r="O851" s="186" t="s">
        <v>2094</v>
      </c>
      <c r="P851" s="187" t="n">
        <v>45936</v>
      </c>
    </row>
    <row r="852" customFormat="false" ht="51" hidden="false" customHeight="true" outlineLevel="0" collapsed="false">
      <c r="A852" s="181" t="s">
        <v>2091</v>
      </c>
      <c r="B852" s="182" t="n">
        <v>2105</v>
      </c>
      <c r="C852" s="183" t="n">
        <v>11</v>
      </c>
      <c r="D852" s="181" t="s">
        <v>2005</v>
      </c>
      <c r="E852" s="181" t="s">
        <v>277</v>
      </c>
      <c r="F852" s="181" t="s">
        <v>278</v>
      </c>
      <c r="G852" s="181" t="s">
        <v>2070</v>
      </c>
      <c r="H852" s="181" t="s">
        <v>2071</v>
      </c>
      <c r="I852" s="181" t="s">
        <v>240</v>
      </c>
      <c r="J852" s="184" t="n">
        <v>42790</v>
      </c>
      <c r="K852" s="184" t="n">
        <v>15190</v>
      </c>
      <c r="L852" s="185" t="n">
        <v>9</v>
      </c>
      <c r="M852" s="184" t="n">
        <v>27600</v>
      </c>
      <c r="N852" s="184" t="n">
        <v>25116</v>
      </c>
      <c r="O852" s="186" t="s">
        <v>2092</v>
      </c>
      <c r="P852" s="187" t="n">
        <v>45935</v>
      </c>
    </row>
    <row r="853" customFormat="false" ht="51" hidden="false" customHeight="true" outlineLevel="0" collapsed="false">
      <c r="A853" s="181" t="s">
        <v>2089</v>
      </c>
      <c r="B853" s="182" t="n">
        <v>2104</v>
      </c>
      <c r="C853" s="183" t="n">
        <v>10</v>
      </c>
      <c r="D853" s="181" t="s">
        <v>2005</v>
      </c>
      <c r="E853" s="181" t="s">
        <v>308</v>
      </c>
      <c r="F853" s="181" t="s">
        <v>309</v>
      </c>
      <c r="G853" s="181" t="s">
        <v>2070</v>
      </c>
      <c r="H853" s="181" t="s">
        <v>2071</v>
      </c>
      <c r="I853" s="181" t="s">
        <v>240</v>
      </c>
      <c r="J853" s="184" t="n">
        <v>65350</v>
      </c>
      <c r="K853" s="184" t="n">
        <v>24070</v>
      </c>
      <c r="L853" s="185" t="n">
        <v>8</v>
      </c>
      <c r="M853" s="184" t="n">
        <v>41280</v>
      </c>
      <c r="N853" s="184" t="n">
        <v>37977.6</v>
      </c>
      <c r="O853" s="186" t="s">
        <v>2090</v>
      </c>
      <c r="P853" s="187" t="n">
        <v>45935</v>
      </c>
    </row>
    <row r="854" customFormat="false" ht="51" hidden="false" customHeight="true" outlineLevel="0" collapsed="false">
      <c r="A854" s="181" t="s">
        <v>2095</v>
      </c>
      <c r="B854" s="182" t="n">
        <v>2108</v>
      </c>
      <c r="C854" s="183" t="n">
        <v>13</v>
      </c>
      <c r="D854" s="181" t="s">
        <v>2005</v>
      </c>
      <c r="E854" s="181" t="s">
        <v>399</v>
      </c>
      <c r="F854" s="181" t="s">
        <v>400</v>
      </c>
      <c r="G854" s="181" t="s">
        <v>2070</v>
      </c>
      <c r="H854" s="181" t="s">
        <v>2071</v>
      </c>
      <c r="I854" s="181" t="s">
        <v>240</v>
      </c>
      <c r="J854" s="184" t="n">
        <v>53310</v>
      </c>
      <c r="K854" s="184" t="n">
        <v>19420</v>
      </c>
      <c r="L854" s="185" t="n">
        <v>7</v>
      </c>
      <c r="M854" s="184" t="n">
        <v>33890</v>
      </c>
      <c r="N854" s="184" t="n">
        <v>31517.7</v>
      </c>
      <c r="O854" s="186" t="s">
        <v>2096</v>
      </c>
      <c r="P854" s="187" t="n">
        <v>45936</v>
      </c>
    </row>
    <row r="855" customFormat="false" ht="51" hidden="false" customHeight="true" outlineLevel="0" collapsed="false">
      <c r="A855" s="181" t="s">
        <v>2097</v>
      </c>
      <c r="B855" s="182" t="n">
        <v>2109</v>
      </c>
      <c r="C855" s="183" t="n">
        <v>14</v>
      </c>
      <c r="D855" s="181" t="s">
        <v>2005</v>
      </c>
      <c r="E855" s="181" t="s">
        <v>409</v>
      </c>
      <c r="F855" s="181" t="s">
        <v>410</v>
      </c>
      <c r="G855" s="181" t="s">
        <v>2070</v>
      </c>
      <c r="H855" s="181" t="s">
        <v>2071</v>
      </c>
      <c r="I855" s="181" t="s">
        <v>240</v>
      </c>
      <c r="J855" s="184" t="n">
        <v>57980</v>
      </c>
      <c r="K855" s="184" t="n">
        <v>24220</v>
      </c>
      <c r="L855" s="185" t="n">
        <v>12</v>
      </c>
      <c r="M855" s="184" t="n">
        <v>33760</v>
      </c>
      <c r="N855" s="184" t="n">
        <v>29708.8</v>
      </c>
      <c r="O855" s="186" t="s">
        <v>2098</v>
      </c>
      <c r="P855" s="187" t="n">
        <v>45936</v>
      </c>
    </row>
    <row r="856" customFormat="false" ht="51" hidden="false" customHeight="true" outlineLevel="0" collapsed="false">
      <c r="A856" s="181" t="s">
        <v>2099</v>
      </c>
      <c r="B856" s="182" t="n">
        <v>2110</v>
      </c>
      <c r="C856" s="183" t="n">
        <v>15</v>
      </c>
      <c r="D856" s="181" t="s">
        <v>2005</v>
      </c>
      <c r="E856" s="181" t="s">
        <v>413</v>
      </c>
      <c r="F856" s="181" t="s">
        <v>414</v>
      </c>
      <c r="G856" s="181" t="s">
        <v>2070</v>
      </c>
      <c r="H856" s="181" t="s">
        <v>2071</v>
      </c>
      <c r="I856" s="181" t="s">
        <v>240</v>
      </c>
      <c r="J856" s="184" t="n">
        <v>44690</v>
      </c>
      <c r="K856" s="184" t="n">
        <v>15670</v>
      </c>
      <c r="L856" s="185" t="n">
        <v>11</v>
      </c>
      <c r="M856" s="184" t="n">
        <v>29020</v>
      </c>
      <c r="N856" s="184" t="n">
        <v>25827.8</v>
      </c>
      <c r="O856" s="186" t="s">
        <v>2100</v>
      </c>
      <c r="P856" s="187" t="n">
        <v>45936</v>
      </c>
    </row>
    <row r="857" customFormat="false" ht="51" hidden="false" customHeight="true" outlineLevel="0" collapsed="false">
      <c r="A857" s="181" t="s">
        <v>2101</v>
      </c>
      <c r="B857" s="182" t="n">
        <v>2111</v>
      </c>
      <c r="C857" s="183" t="n">
        <v>16</v>
      </c>
      <c r="D857" s="181" t="s">
        <v>2005</v>
      </c>
      <c r="E857" s="181" t="s">
        <v>354</v>
      </c>
      <c r="F857" s="181" t="s">
        <v>355</v>
      </c>
      <c r="G857" s="181" t="s">
        <v>2070</v>
      </c>
      <c r="H857" s="181" t="s">
        <v>2071</v>
      </c>
      <c r="I857" s="181" t="s">
        <v>240</v>
      </c>
      <c r="J857" s="184" t="n">
        <v>39120</v>
      </c>
      <c r="K857" s="184" t="n">
        <v>14710</v>
      </c>
      <c r="L857" s="185" t="n">
        <v>12</v>
      </c>
      <c r="M857" s="184" t="n">
        <v>24410</v>
      </c>
      <c r="N857" s="184" t="n">
        <v>21480.8</v>
      </c>
      <c r="O857" s="186" t="s">
        <v>2102</v>
      </c>
      <c r="P857" s="187" t="n">
        <v>45936</v>
      </c>
    </row>
    <row r="858" customFormat="false" ht="51" hidden="false" customHeight="true" outlineLevel="0" collapsed="false">
      <c r="A858" s="181" t="s">
        <v>2105</v>
      </c>
      <c r="B858" s="182" t="n">
        <v>2113</v>
      </c>
      <c r="C858" s="183" t="n">
        <v>17</v>
      </c>
      <c r="D858" s="181" t="s">
        <v>2005</v>
      </c>
      <c r="E858" s="181" t="s">
        <v>336</v>
      </c>
      <c r="F858" s="181" t="s">
        <v>337</v>
      </c>
      <c r="G858" s="181" t="s">
        <v>2070</v>
      </c>
      <c r="H858" s="181" t="s">
        <v>2071</v>
      </c>
      <c r="I858" s="181" t="s">
        <v>240</v>
      </c>
      <c r="J858" s="184" t="n">
        <v>39800</v>
      </c>
      <c r="K858" s="184" t="n">
        <v>14640</v>
      </c>
      <c r="L858" s="185" t="n">
        <v>15</v>
      </c>
      <c r="M858" s="184" t="n">
        <v>25160</v>
      </c>
      <c r="N858" s="184" t="n">
        <v>21386</v>
      </c>
      <c r="O858" s="186" t="s">
        <v>2106</v>
      </c>
      <c r="P858" s="187" t="n">
        <v>45936</v>
      </c>
    </row>
    <row r="859" customFormat="false" ht="51" hidden="false" customHeight="true" outlineLevel="0" collapsed="false">
      <c r="A859" s="181" t="s">
        <v>2107</v>
      </c>
      <c r="B859" s="182" t="n">
        <v>2114</v>
      </c>
      <c r="C859" s="183" t="n">
        <v>18</v>
      </c>
      <c r="D859" s="181" t="s">
        <v>2005</v>
      </c>
      <c r="E859" s="181" t="s">
        <v>340</v>
      </c>
      <c r="F859" s="181" t="s">
        <v>341</v>
      </c>
      <c r="G859" s="181" t="s">
        <v>2070</v>
      </c>
      <c r="H859" s="181" t="s">
        <v>2071</v>
      </c>
      <c r="I859" s="181" t="s">
        <v>240</v>
      </c>
      <c r="J859" s="184" t="n">
        <v>39980</v>
      </c>
      <c r="K859" s="184" t="n">
        <v>15230</v>
      </c>
      <c r="L859" s="185" t="n">
        <v>9</v>
      </c>
      <c r="M859" s="184" t="n">
        <v>24750</v>
      </c>
      <c r="N859" s="184" t="n">
        <v>22522.5</v>
      </c>
      <c r="O859" s="186" t="s">
        <v>2108</v>
      </c>
      <c r="P859" s="187" t="n">
        <v>45936</v>
      </c>
    </row>
    <row r="860" customFormat="false" ht="51" hidden="false" customHeight="true" outlineLevel="0" collapsed="false">
      <c r="A860" s="181" t="s">
        <v>2111</v>
      </c>
      <c r="B860" s="182" t="n">
        <v>2115</v>
      </c>
      <c r="C860" s="183" t="n">
        <v>19</v>
      </c>
      <c r="D860" s="181" t="s">
        <v>2005</v>
      </c>
      <c r="E860" s="181" t="s">
        <v>529</v>
      </c>
      <c r="F860" s="181" t="s">
        <v>530</v>
      </c>
      <c r="G860" s="181" t="s">
        <v>2070</v>
      </c>
      <c r="H860" s="181" t="s">
        <v>158</v>
      </c>
      <c r="I860" s="181" t="s">
        <v>240</v>
      </c>
      <c r="J860" s="184" t="n">
        <v>37540</v>
      </c>
      <c r="K860" s="184" t="n">
        <v>14980</v>
      </c>
      <c r="L860" s="185" t="n">
        <v>15</v>
      </c>
      <c r="M860" s="184" t="n">
        <v>22560</v>
      </c>
      <c r="N860" s="184" t="n">
        <v>19176</v>
      </c>
      <c r="O860" s="186" t="s">
        <v>2112</v>
      </c>
      <c r="P860" s="187" t="n">
        <v>45936</v>
      </c>
    </row>
    <row r="861" customFormat="false" ht="51" hidden="false" customHeight="true" outlineLevel="0" collapsed="false">
      <c r="A861" s="181" t="s">
        <v>2115</v>
      </c>
      <c r="B861" s="182" t="n">
        <v>2116</v>
      </c>
      <c r="C861" s="183" t="n">
        <v>20</v>
      </c>
      <c r="D861" s="181" t="s">
        <v>2005</v>
      </c>
      <c r="E861" s="181" t="s">
        <v>391</v>
      </c>
      <c r="F861" s="181" t="s">
        <v>392</v>
      </c>
      <c r="G861" s="181" t="s">
        <v>2070</v>
      </c>
      <c r="H861" s="181" t="s">
        <v>158</v>
      </c>
      <c r="I861" s="181" t="s">
        <v>240</v>
      </c>
      <c r="J861" s="184" t="n">
        <v>35640</v>
      </c>
      <c r="K861" s="184" t="n">
        <v>14560</v>
      </c>
      <c r="L861" s="185" t="n">
        <v>9</v>
      </c>
      <c r="M861" s="184" t="n">
        <v>21080</v>
      </c>
      <c r="N861" s="184" t="n">
        <v>19182.8</v>
      </c>
      <c r="O861" s="186" t="s">
        <v>2116</v>
      </c>
      <c r="P861" s="187" t="n">
        <v>45936</v>
      </c>
    </row>
    <row r="862" customFormat="false" ht="51" hidden="false" customHeight="true" outlineLevel="0" collapsed="false">
      <c r="A862" s="181" t="s">
        <v>2117</v>
      </c>
      <c r="B862" s="182" t="n">
        <v>2120</v>
      </c>
      <c r="C862" s="183" t="n">
        <v>21</v>
      </c>
      <c r="D862" s="181" t="s">
        <v>2005</v>
      </c>
      <c r="E862" s="181" t="s">
        <v>272</v>
      </c>
      <c r="F862" s="181" t="s">
        <v>273</v>
      </c>
      <c r="G862" s="181" t="s">
        <v>2070</v>
      </c>
      <c r="H862" s="181" t="s">
        <v>158</v>
      </c>
      <c r="I862" s="181" t="s">
        <v>240</v>
      </c>
      <c r="J862" s="184" t="n">
        <v>42180</v>
      </c>
      <c r="K862" s="184" t="n">
        <v>15570</v>
      </c>
      <c r="L862" s="185" t="n">
        <v>7</v>
      </c>
      <c r="M862" s="184" t="n">
        <v>26610</v>
      </c>
      <c r="N862" s="184" t="n">
        <v>24747.3</v>
      </c>
      <c r="O862" s="186" t="s">
        <v>2118</v>
      </c>
      <c r="P862" s="187" t="n">
        <v>45936</v>
      </c>
    </row>
    <row r="863" customFormat="false" ht="51" hidden="false" customHeight="true" outlineLevel="0" collapsed="false">
      <c r="A863" s="181" t="s">
        <v>2119</v>
      </c>
      <c r="B863" s="182" t="n">
        <v>2131</v>
      </c>
      <c r="C863" s="183" t="n">
        <v>7810</v>
      </c>
      <c r="D863" s="181" t="s">
        <v>2066</v>
      </c>
      <c r="E863" s="181" t="s">
        <v>300</v>
      </c>
      <c r="F863" s="181" t="s">
        <v>301</v>
      </c>
      <c r="G863" s="181" t="s">
        <v>2067</v>
      </c>
      <c r="H863" s="181" t="s">
        <v>279</v>
      </c>
      <c r="I863" s="181" t="s">
        <v>241</v>
      </c>
      <c r="J863" s="184" t="n">
        <v>62860</v>
      </c>
      <c r="K863" s="184" t="n">
        <v>21250</v>
      </c>
      <c r="L863" s="185" t="n">
        <v>1</v>
      </c>
      <c r="M863" s="184" t="n">
        <v>41610</v>
      </c>
      <c r="N863" s="184" t="n">
        <v>41193.9</v>
      </c>
      <c r="O863" s="186" t="s">
        <v>2120</v>
      </c>
      <c r="P863" s="187" t="n">
        <v>45936</v>
      </c>
    </row>
    <row r="864" customFormat="false" ht="51" hidden="false" customHeight="true" outlineLevel="0" collapsed="false">
      <c r="A864" s="181" t="s">
        <v>2125</v>
      </c>
      <c r="B864" s="182" t="n">
        <v>2132</v>
      </c>
      <c r="C864" s="183" t="n">
        <v>7811</v>
      </c>
      <c r="D864" s="181" t="s">
        <v>2066</v>
      </c>
      <c r="E864" s="181" t="s">
        <v>549</v>
      </c>
      <c r="F864" s="181" t="s">
        <v>550</v>
      </c>
      <c r="G864" s="181" t="s">
        <v>2067</v>
      </c>
      <c r="H864" s="181" t="s">
        <v>279</v>
      </c>
      <c r="I864" s="181" t="s">
        <v>241</v>
      </c>
      <c r="J864" s="184" t="n">
        <v>43480</v>
      </c>
      <c r="K864" s="184" t="n">
        <v>15890</v>
      </c>
      <c r="L864" s="185" t="n">
        <v>4</v>
      </c>
      <c r="M864" s="184" t="n">
        <v>27590</v>
      </c>
      <c r="N864" s="184" t="n">
        <v>26486.4</v>
      </c>
      <c r="O864" s="186" t="s">
        <v>2126</v>
      </c>
      <c r="P864" s="187" t="n">
        <v>45936</v>
      </c>
    </row>
    <row r="865" customFormat="false" ht="51" hidden="false" customHeight="true" outlineLevel="0" collapsed="false">
      <c r="A865" s="181" t="s">
        <v>2103</v>
      </c>
      <c r="B865" s="182" t="n">
        <v>2133</v>
      </c>
      <c r="C865" s="183" t="n">
        <v>7812</v>
      </c>
      <c r="D865" s="181" t="s">
        <v>2066</v>
      </c>
      <c r="E865" s="181" t="s">
        <v>545</v>
      </c>
      <c r="F865" s="181" t="s">
        <v>546</v>
      </c>
      <c r="G865" s="181" t="s">
        <v>2067</v>
      </c>
      <c r="H865" s="181" t="s">
        <v>279</v>
      </c>
      <c r="I865" s="181" t="s">
        <v>241</v>
      </c>
      <c r="J865" s="184" t="n">
        <v>42180</v>
      </c>
      <c r="K865" s="184" t="n">
        <v>16120</v>
      </c>
      <c r="L865" s="185" t="n">
        <v>5</v>
      </c>
      <c r="M865" s="184" t="n">
        <v>26060</v>
      </c>
      <c r="N865" s="184" t="n">
        <v>24757</v>
      </c>
      <c r="O865" s="186" t="s">
        <v>2104</v>
      </c>
      <c r="P865" s="187" t="n">
        <v>45936</v>
      </c>
    </row>
    <row r="866" customFormat="false" ht="51" hidden="false" customHeight="true" outlineLevel="0" collapsed="false">
      <c r="A866" s="181" t="s">
        <v>2109</v>
      </c>
      <c r="B866" s="182" t="n">
        <v>2135</v>
      </c>
      <c r="C866" s="183" t="n">
        <v>7814</v>
      </c>
      <c r="D866" s="181" t="s">
        <v>2066</v>
      </c>
      <c r="E866" s="181" t="s">
        <v>541</v>
      </c>
      <c r="F866" s="181" t="s">
        <v>542</v>
      </c>
      <c r="G866" s="181" t="s">
        <v>2067</v>
      </c>
      <c r="H866" s="181" t="s">
        <v>279</v>
      </c>
      <c r="I866" s="181" t="s">
        <v>241</v>
      </c>
      <c r="J866" s="184" t="n">
        <v>41270</v>
      </c>
      <c r="K866" s="184" t="n">
        <v>14960</v>
      </c>
      <c r="L866" s="185" t="n">
        <v>5</v>
      </c>
      <c r="M866" s="184" t="n">
        <v>26310</v>
      </c>
      <c r="N866" s="184" t="n">
        <v>24994.5</v>
      </c>
      <c r="O866" s="186" t="s">
        <v>2110</v>
      </c>
      <c r="P866" s="187" t="n">
        <v>45936</v>
      </c>
    </row>
    <row r="867" customFormat="false" ht="51" hidden="false" customHeight="true" outlineLevel="0" collapsed="false">
      <c r="A867" s="181" t="s">
        <v>2113</v>
      </c>
      <c r="B867" s="182" t="n">
        <v>2136</v>
      </c>
      <c r="C867" s="183" t="n">
        <v>7815</v>
      </c>
      <c r="D867" s="181" t="s">
        <v>2066</v>
      </c>
      <c r="E867" s="181" t="s">
        <v>537</v>
      </c>
      <c r="F867" s="181" t="s">
        <v>538</v>
      </c>
      <c r="G867" s="181" t="s">
        <v>2067</v>
      </c>
      <c r="H867" s="181" t="s">
        <v>279</v>
      </c>
      <c r="I867" s="181" t="s">
        <v>241</v>
      </c>
      <c r="J867" s="184" t="n">
        <v>36090</v>
      </c>
      <c r="K867" s="184" t="n">
        <v>13980</v>
      </c>
      <c r="L867" s="185" t="n">
        <v>5</v>
      </c>
      <c r="M867" s="184" t="n">
        <v>22110</v>
      </c>
      <c r="N867" s="184" t="n">
        <v>21004.5</v>
      </c>
      <c r="O867" s="186" t="s">
        <v>2114</v>
      </c>
      <c r="P867" s="187" t="n">
        <v>45936</v>
      </c>
    </row>
    <row r="868" customFormat="false" ht="51" hidden="false" customHeight="true" outlineLevel="0" collapsed="false">
      <c r="A868" s="181" t="s">
        <v>2121</v>
      </c>
      <c r="B868" s="182" t="n">
        <v>2139</v>
      </c>
      <c r="C868" s="183" t="n">
        <v>7823</v>
      </c>
      <c r="D868" s="181" t="s">
        <v>2066</v>
      </c>
      <c r="E868" s="181" t="s">
        <v>332</v>
      </c>
      <c r="F868" s="181" t="s">
        <v>333</v>
      </c>
      <c r="G868" s="181" t="s">
        <v>2067</v>
      </c>
      <c r="H868" s="181" t="s">
        <v>279</v>
      </c>
      <c r="I868" s="181" t="s">
        <v>241</v>
      </c>
      <c r="J868" s="184" t="n">
        <v>37970</v>
      </c>
      <c r="K868" s="184" t="n">
        <v>14720</v>
      </c>
      <c r="L868" s="185" t="n">
        <v>4</v>
      </c>
      <c r="M868" s="184" t="n">
        <v>23250</v>
      </c>
      <c r="N868" s="184" t="n">
        <v>22320</v>
      </c>
      <c r="O868" s="186" t="s">
        <v>2122</v>
      </c>
      <c r="P868" s="187" t="n">
        <v>45936</v>
      </c>
    </row>
    <row r="869" customFormat="false" ht="51" hidden="false" customHeight="true" outlineLevel="0" collapsed="false">
      <c r="A869" s="181" t="s">
        <v>2123</v>
      </c>
      <c r="B869" s="182" t="n">
        <v>2140</v>
      </c>
      <c r="C869" s="183" t="n">
        <v>7824</v>
      </c>
      <c r="D869" s="181" t="s">
        <v>2066</v>
      </c>
      <c r="E869" s="181" t="s">
        <v>288</v>
      </c>
      <c r="F869" s="181" t="s">
        <v>289</v>
      </c>
      <c r="G869" s="181" t="s">
        <v>2067</v>
      </c>
      <c r="H869" s="181" t="s">
        <v>279</v>
      </c>
      <c r="I869" s="181" t="s">
        <v>241</v>
      </c>
      <c r="J869" s="184" t="n">
        <v>37130</v>
      </c>
      <c r="K869" s="184" t="n">
        <v>14560</v>
      </c>
      <c r="L869" s="185" t="n">
        <v>4</v>
      </c>
      <c r="M869" s="184" t="n">
        <v>22570</v>
      </c>
      <c r="N869" s="184" t="n">
        <v>21667.2</v>
      </c>
      <c r="O869" s="186" t="s">
        <v>2124</v>
      </c>
      <c r="P869" s="187" t="n">
        <v>45936</v>
      </c>
    </row>
    <row r="870" customFormat="false" ht="51" hidden="false" customHeight="true" outlineLevel="0" collapsed="false">
      <c r="A870" s="181" t="s">
        <v>2127</v>
      </c>
      <c r="B870" s="182" t="n">
        <v>2142</v>
      </c>
      <c r="C870" s="183" t="n">
        <v>7829</v>
      </c>
      <c r="D870" s="181" t="s">
        <v>2066</v>
      </c>
      <c r="E870" s="181" t="s">
        <v>439</v>
      </c>
      <c r="F870" s="181" t="s">
        <v>440</v>
      </c>
      <c r="G870" s="181" t="s">
        <v>2067</v>
      </c>
      <c r="H870" s="181" t="s">
        <v>279</v>
      </c>
      <c r="I870" s="181" t="s">
        <v>241</v>
      </c>
      <c r="J870" s="184" t="n">
        <v>40780</v>
      </c>
      <c r="K870" s="184" t="n">
        <v>16330</v>
      </c>
      <c r="L870" s="185" t="n">
        <v>6</v>
      </c>
      <c r="M870" s="184" t="n">
        <v>24450</v>
      </c>
      <c r="N870" s="184" t="n">
        <v>22983</v>
      </c>
      <c r="O870" s="186" t="s">
        <v>2128</v>
      </c>
      <c r="P870" s="187" t="n">
        <v>45937</v>
      </c>
    </row>
    <row r="871" customFormat="false" ht="51" hidden="false" customHeight="true" outlineLevel="0" collapsed="false">
      <c r="A871" s="181" t="s">
        <v>2129</v>
      </c>
      <c r="B871" s="182" t="n">
        <v>2143</v>
      </c>
      <c r="C871" s="183" t="n">
        <v>7828</v>
      </c>
      <c r="D871" s="181" t="s">
        <v>2066</v>
      </c>
      <c r="E871" s="181" t="s">
        <v>377</v>
      </c>
      <c r="F871" s="181" t="s">
        <v>378</v>
      </c>
      <c r="G871" s="181" t="s">
        <v>2067</v>
      </c>
      <c r="H871" s="181" t="s">
        <v>279</v>
      </c>
      <c r="I871" s="181" t="s">
        <v>241</v>
      </c>
      <c r="J871" s="184" t="n">
        <v>42870</v>
      </c>
      <c r="K871" s="184" t="n">
        <v>15700</v>
      </c>
      <c r="L871" s="185" t="n">
        <v>5</v>
      </c>
      <c r="M871" s="184" t="n">
        <v>27170</v>
      </c>
      <c r="N871" s="184" t="n">
        <v>25811.5</v>
      </c>
      <c r="O871" s="186" t="s">
        <v>2130</v>
      </c>
      <c r="P871" s="187" t="n">
        <v>45937</v>
      </c>
    </row>
    <row r="872" customFormat="false" ht="51" hidden="false" customHeight="true" outlineLevel="0" collapsed="false">
      <c r="A872" s="181" t="s">
        <v>2131</v>
      </c>
      <c r="B872" s="182" t="n">
        <v>2144</v>
      </c>
      <c r="C872" s="183" t="n">
        <v>7776</v>
      </c>
      <c r="D872" s="181" t="s">
        <v>2066</v>
      </c>
      <c r="E872" s="181" t="s">
        <v>533</v>
      </c>
      <c r="F872" s="181" t="s">
        <v>534</v>
      </c>
      <c r="G872" s="181" t="s">
        <v>2067</v>
      </c>
      <c r="H872" s="181" t="s">
        <v>279</v>
      </c>
      <c r="I872" s="181" t="s">
        <v>241</v>
      </c>
      <c r="J872" s="184" t="n">
        <v>39200</v>
      </c>
      <c r="K872" s="184" t="n">
        <v>14380</v>
      </c>
      <c r="L872" s="185" t="n">
        <v>7</v>
      </c>
      <c r="M872" s="184" t="n">
        <v>24820</v>
      </c>
      <c r="N872" s="184" t="n">
        <v>23082.6</v>
      </c>
      <c r="O872" s="186" t="s">
        <v>2132</v>
      </c>
      <c r="P872" s="187" t="n">
        <v>45937</v>
      </c>
    </row>
    <row r="873" customFormat="false" ht="51" hidden="false" customHeight="true" outlineLevel="0" collapsed="false">
      <c r="A873" s="181" t="s">
        <v>2133</v>
      </c>
      <c r="B873" s="182" t="n">
        <v>2145</v>
      </c>
      <c r="C873" s="183" t="n">
        <v>7843</v>
      </c>
      <c r="D873" s="181" t="s">
        <v>2066</v>
      </c>
      <c r="E873" s="181" t="s">
        <v>277</v>
      </c>
      <c r="F873" s="181" t="s">
        <v>278</v>
      </c>
      <c r="G873" s="181" t="s">
        <v>2067</v>
      </c>
      <c r="H873" s="181" t="s">
        <v>279</v>
      </c>
      <c r="I873" s="181" t="s">
        <v>241</v>
      </c>
      <c r="J873" s="184" t="n">
        <v>42760</v>
      </c>
      <c r="K873" s="184" t="n">
        <v>15080</v>
      </c>
      <c r="L873" s="185" t="n">
        <v>6</v>
      </c>
      <c r="M873" s="184" t="n">
        <v>27680</v>
      </c>
      <c r="N873" s="184" t="n">
        <v>26019.2</v>
      </c>
      <c r="O873" s="186" t="s">
        <v>2134</v>
      </c>
      <c r="P873" s="187" t="n">
        <v>45937</v>
      </c>
    </row>
    <row r="874" customFormat="false" ht="51" hidden="false" customHeight="true" outlineLevel="0" collapsed="false">
      <c r="A874" s="181" t="s">
        <v>2135</v>
      </c>
      <c r="B874" s="182" t="n">
        <v>2147</v>
      </c>
      <c r="C874" s="183" t="n">
        <v>7847</v>
      </c>
      <c r="D874" s="181" t="s">
        <v>2066</v>
      </c>
      <c r="E874" s="181" t="s">
        <v>431</v>
      </c>
      <c r="F874" s="181" t="s">
        <v>432</v>
      </c>
      <c r="G874" s="181" t="s">
        <v>2067</v>
      </c>
      <c r="H874" s="181" t="s">
        <v>279</v>
      </c>
      <c r="I874" s="181" t="s">
        <v>241</v>
      </c>
      <c r="J874" s="184" t="n">
        <v>41170</v>
      </c>
      <c r="K874" s="184" t="n">
        <v>16480</v>
      </c>
      <c r="L874" s="185" t="n">
        <v>6</v>
      </c>
      <c r="M874" s="184" t="n">
        <v>24690</v>
      </c>
      <c r="N874" s="184" t="n">
        <v>23208.6</v>
      </c>
      <c r="O874" s="186" t="s">
        <v>2136</v>
      </c>
      <c r="P874" s="187" t="n">
        <v>45937</v>
      </c>
    </row>
    <row r="875" customFormat="false" ht="51" hidden="false" customHeight="true" outlineLevel="0" collapsed="false">
      <c r="A875" s="181" t="s">
        <v>2137</v>
      </c>
      <c r="B875" s="182" t="n">
        <v>2148</v>
      </c>
      <c r="C875" s="183" t="n">
        <v>7848</v>
      </c>
      <c r="D875" s="181" t="s">
        <v>2066</v>
      </c>
      <c r="E875" s="181" t="s">
        <v>435</v>
      </c>
      <c r="F875" s="181" t="s">
        <v>436</v>
      </c>
      <c r="G875" s="181" t="s">
        <v>2067</v>
      </c>
      <c r="H875" s="181" t="s">
        <v>279</v>
      </c>
      <c r="I875" s="181" t="s">
        <v>241</v>
      </c>
      <c r="J875" s="184" t="n">
        <v>41130</v>
      </c>
      <c r="K875" s="184" t="n">
        <v>16370</v>
      </c>
      <c r="L875" s="185" t="n">
        <v>4</v>
      </c>
      <c r="M875" s="184" t="n">
        <v>24760</v>
      </c>
      <c r="N875" s="184" t="n">
        <v>23769.6</v>
      </c>
      <c r="O875" s="186" t="s">
        <v>2138</v>
      </c>
      <c r="P875" s="187" t="n">
        <v>45937</v>
      </c>
    </row>
    <row r="876" customFormat="false" ht="51" hidden="false" customHeight="true" outlineLevel="0" collapsed="false">
      <c r="A876" s="181" t="s">
        <v>2139</v>
      </c>
      <c r="B876" s="182" t="n">
        <v>2156</v>
      </c>
      <c r="C876" s="183" t="n">
        <v>1</v>
      </c>
      <c r="D876" s="181" t="s">
        <v>2005</v>
      </c>
      <c r="E876" s="181" t="s">
        <v>308</v>
      </c>
      <c r="F876" s="181" t="s">
        <v>309</v>
      </c>
      <c r="G876" s="181" t="s">
        <v>2049</v>
      </c>
      <c r="H876" s="181" t="s">
        <v>279</v>
      </c>
      <c r="I876" s="181" t="s">
        <v>240</v>
      </c>
      <c r="J876" s="184" t="n">
        <v>64650</v>
      </c>
      <c r="K876" s="184" t="n">
        <v>24150</v>
      </c>
      <c r="L876" s="185" t="n">
        <v>4</v>
      </c>
      <c r="M876" s="184" t="n">
        <v>40500</v>
      </c>
      <c r="N876" s="184" t="n">
        <v>38880</v>
      </c>
      <c r="O876" s="186" t="s">
        <v>2140</v>
      </c>
      <c r="P876" s="187" t="n">
        <v>45937</v>
      </c>
    </row>
    <row r="877" customFormat="false" ht="51" hidden="false" customHeight="true" outlineLevel="0" collapsed="false">
      <c r="A877" s="181" t="s">
        <v>2141</v>
      </c>
      <c r="B877" s="182" t="n">
        <v>2157</v>
      </c>
      <c r="C877" s="183" t="n">
        <v>2</v>
      </c>
      <c r="D877" s="181" t="s">
        <v>2005</v>
      </c>
      <c r="E877" s="181" t="s">
        <v>304</v>
      </c>
      <c r="F877" s="181" t="s">
        <v>305</v>
      </c>
      <c r="G877" s="181" t="s">
        <v>2049</v>
      </c>
      <c r="H877" s="181" t="s">
        <v>279</v>
      </c>
      <c r="I877" s="181" t="s">
        <v>240</v>
      </c>
      <c r="J877" s="184" t="n">
        <v>40870</v>
      </c>
      <c r="K877" s="184" t="n">
        <v>15130</v>
      </c>
      <c r="L877" s="185" t="n">
        <v>6</v>
      </c>
      <c r="M877" s="184" t="n">
        <v>25740</v>
      </c>
      <c r="N877" s="184" t="n">
        <v>24195.6</v>
      </c>
      <c r="O877" s="186" t="s">
        <v>2142</v>
      </c>
      <c r="P877" s="187" t="n">
        <v>45937</v>
      </c>
    </row>
    <row r="878" customFormat="false" ht="51" hidden="false" customHeight="true" outlineLevel="0" collapsed="false">
      <c r="A878" s="181" t="s">
        <v>2143</v>
      </c>
      <c r="B878" s="182" t="n">
        <v>2159</v>
      </c>
      <c r="C878" s="183" t="n">
        <v>3</v>
      </c>
      <c r="D878" s="181" t="s">
        <v>2005</v>
      </c>
      <c r="E878" s="181" t="s">
        <v>582</v>
      </c>
      <c r="F878" s="181" t="s">
        <v>583</v>
      </c>
      <c r="G878" s="181" t="s">
        <v>2049</v>
      </c>
      <c r="H878" s="181" t="s">
        <v>279</v>
      </c>
      <c r="I878" s="181" t="s">
        <v>240</v>
      </c>
      <c r="J878" s="184" t="n">
        <v>40600</v>
      </c>
      <c r="K878" s="184" t="n">
        <v>14960</v>
      </c>
      <c r="L878" s="185" t="n">
        <v>9</v>
      </c>
      <c r="M878" s="184" t="n">
        <v>25640</v>
      </c>
      <c r="N878" s="184" t="n">
        <v>23332.4</v>
      </c>
      <c r="O878" s="186" t="s">
        <v>2144</v>
      </c>
      <c r="P878" s="187" t="n">
        <v>45937</v>
      </c>
    </row>
    <row r="879" customFormat="false" ht="51" hidden="false" customHeight="true" outlineLevel="0" collapsed="false">
      <c r="A879" s="181" t="s">
        <v>2145</v>
      </c>
      <c r="B879" s="182" t="n">
        <v>2164</v>
      </c>
      <c r="C879" s="183" t="n">
        <v>4</v>
      </c>
      <c r="D879" s="181" t="s">
        <v>2005</v>
      </c>
      <c r="E879" s="181" t="s">
        <v>413</v>
      </c>
      <c r="F879" s="181" t="s">
        <v>414</v>
      </c>
      <c r="G879" s="181" t="s">
        <v>2049</v>
      </c>
      <c r="H879" s="181" t="s">
        <v>279</v>
      </c>
      <c r="I879" s="181" t="s">
        <v>240</v>
      </c>
      <c r="J879" s="184" t="n">
        <v>45180</v>
      </c>
      <c r="K879" s="184" t="n">
        <v>15840</v>
      </c>
      <c r="L879" s="185" t="n">
        <v>5</v>
      </c>
      <c r="M879" s="184" t="n">
        <v>29340</v>
      </c>
      <c r="N879" s="184" t="n">
        <v>27873</v>
      </c>
      <c r="O879" s="186" t="s">
        <v>2146</v>
      </c>
      <c r="P879" s="187" t="n">
        <v>45937</v>
      </c>
    </row>
    <row r="880" customFormat="false" ht="51" hidden="false" customHeight="true" outlineLevel="0" collapsed="false">
      <c r="A880" s="181" t="s">
        <v>2147</v>
      </c>
      <c r="B880" s="182" t="n">
        <v>2165</v>
      </c>
      <c r="C880" s="183" t="n">
        <v>5</v>
      </c>
      <c r="D880" s="181" t="s">
        <v>2005</v>
      </c>
      <c r="E880" s="181" t="s">
        <v>350</v>
      </c>
      <c r="F880" s="181" t="s">
        <v>351</v>
      </c>
      <c r="G880" s="181" t="s">
        <v>2049</v>
      </c>
      <c r="H880" s="181" t="s">
        <v>279</v>
      </c>
      <c r="I880" s="181" t="s">
        <v>240</v>
      </c>
      <c r="J880" s="184" t="n">
        <v>44360</v>
      </c>
      <c r="K880" s="184" t="n">
        <v>15080</v>
      </c>
      <c r="L880" s="185" t="n">
        <v>10</v>
      </c>
      <c r="M880" s="184" t="n">
        <v>29280</v>
      </c>
      <c r="N880" s="184" t="n">
        <v>26352</v>
      </c>
      <c r="O880" s="186" t="s">
        <v>2148</v>
      </c>
      <c r="P880" s="187" t="n">
        <v>45937</v>
      </c>
    </row>
    <row r="881" customFormat="false" ht="51" hidden="false" customHeight="true" outlineLevel="0" collapsed="false">
      <c r="A881" s="181" t="s">
        <v>2149</v>
      </c>
      <c r="B881" s="182" t="n">
        <v>2166</v>
      </c>
      <c r="C881" s="183" t="n">
        <v>6</v>
      </c>
      <c r="D881" s="181" t="s">
        <v>2005</v>
      </c>
      <c r="E881" s="181" t="s">
        <v>373</v>
      </c>
      <c r="F881" s="181" t="s">
        <v>374</v>
      </c>
      <c r="G881" s="181" t="s">
        <v>2049</v>
      </c>
      <c r="H881" s="181" t="s">
        <v>279</v>
      </c>
      <c r="I881" s="181" t="s">
        <v>240</v>
      </c>
      <c r="J881" s="184" t="n">
        <v>39660</v>
      </c>
      <c r="K881" s="184" t="n">
        <v>14410</v>
      </c>
      <c r="L881" s="185" t="n">
        <v>14</v>
      </c>
      <c r="M881" s="184" t="n">
        <v>25250</v>
      </c>
      <c r="N881" s="184" t="n">
        <v>21715</v>
      </c>
      <c r="O881" s="186" t="s">
        <v>2150</v>
      </c>
      <c r="P881" s="187" t="n">
        <v>45937</v>
      </c>
    </row>
    <row r="882" customFormat="false" ht="51" hidden="false" customHeight="true" outlineLevel="0" collapsed="false">
      <c r="A882" s="181" t="s">
        <v>2151</v>
      </c>
      <c r="B882" s="182" t="n">
        <v>2169</v>
      </c>
      <c r="C882" s="183" t="n">
        <v>7</v>
      </c>
      <c r="D882" s="181" t="s">
        <v>2005</v>
      </c>
      <c r="E882" s="181" t="s">
        <v>399</v>
      </c>
      <c r="F882" s="181" t="s">
        <v>400</v>
      </c>
      <c r="G882" s="181" t="s">
        <v>2049</v>
      </c>
      <c r="H882" s="181" t="s">
        <v>279</v>
      </c>
      <c r="I882" s="181" t="s">
        <v>240</v>
      </c>
      <c r="J882" s="184" t="n">
        <v>51660</v>
      </c>
      <c r="K882" s="184" t="n">
        <v>19570</v>
      </c>
      <c r="L882" s="185" t="n">
        <v>8</v>
      </c>
      <c r="M882" s="184" t="n">
        <v>32090</v>
      </c>
      <c r="N882" s="184" t="n">
        <v>29522.8</v>
      </c>
      <c r="O882" s="186" t="s">
        <v>2152</v>
      </c>
      <c r="P882" s="187" t="n">
        <v>45937</v>
      </c>
    </row>
    <row r="883" customFormat="false" ht="51" hidden="false" customHeight="true" outlineLevel="0" collapsed="false">
      <c r="A883" s="181" t="s">
        <v>2159</v>
      </c>
      <c r="B883" s="182" t="n">
        <v>2170</v>
      </c>
      <c r="C883" s="183" t="n">
        <v>8</v>
      </c>
      <c r="D883" s="181" t="s">
        <v>2005</v>
      </c>
      <c r="E883" s="181" t="s">
        <v>354</v>
      </c>
      <c r="F883" s="181" t="s">
        <v>355</v>
      </c>
      <c r="G883" s="181" t="s">
        <v>2049</v>
      </c>
      <c r="H883" s="181" t="s">
        <v>279</v>
      </c>
      <c r="I883" s="181" t="s">
        <v>240</v>
      </c>
      <c r="J883" s="184" t="n">
        <v>40270</v>
      </c>
      <c r="K883" s="184" t="n">
        <v>14800</v>
      </c>
      <c r="L883" s="185" t="n">
        <v>15</v>
      </c>
      <c r="M883" s="184" t="n">
        <v>25470</v>
      </c>
      <c r="N883" s="184" t="n">
        <v>21649.5</v>
      </c>
      <c r="O883" s="186" t="s">
        <v>2160</v>
      </c>
      <c r="P883" s="187" t="n">
        <v>45937</v>
      </c>
    </row>
    <row r="884" customFormat="false" ht="51" hidden="false" customHeight="true" outlineLevel="0" collapsed="false">
      <c r="A884" s="181" t="s">
        <v>2161</v>
      </c>
      <c r="B884" s="182" t="n">
        <v>2172</v>
      </c>
      <c r="C884" s="183" t="n">
        <v>9</v>
      </c>
      <c r="D884" s="181" t="s">
        <v>2005</v>
      </c>
      <c r="E884" s="181" t="s">
        <v>359</v>
      </c>
      <c r="F884" s="181" t="s">
        <v>360</v>
      </c>
      <c r="G884" s="181" t="s">
        <v>2049</v>
      </c>
      <c r="H884" s="181" t="s">
        <v>279</v>
      </c>
      <c r="I884" s="181" t="s">
        <v>240</v>
      </c>
      <c r="J884" s="184" t="n">
        <v>38530</v>
      </c>
      <c r="K884" s="184" t="n">
        <v>14940</v>
      </c>
      <c r="L884" s="185" t="n">
        <v>7</v>
      </c>
      <c r="M884" s="184" t="n">
        <v>23590</v>
      </c>
      <c r="N884" s="184" t="n">
        <v>21938.7</v>
      </c>
      <c r="O884" s="186" t="s">
        <v>2162</v>
      </c>
      <c r="P884" s="187" t="n">
        <v>45937</v>
      </c>
    </row>
    <row r="885" customFormat="false" ht="51" hidden="false" customHeight="true" outlineLevel="0" collapsed="false">
      <c r="A885" s="181" t="s">
        <v>2163</v>
      </c>
      <c r="B885" s="182" t="n">
        <v>2174</v>
      </c>
      <c r="C885" s="183" t="n">
        <v>10</v>
      </c>
      <c r="D885" s="181" t="s">
        <v>2005</v>
      </c>
      <c r="E885" s="181" t="s">
        <v>336</v>
      </c>
      <c r="F885" s="181" t="s">
        <v>337</v>
      </c>
      <c r="G885" s="181" t="s">
        <v>2049</v>
      </c>
      <c r="H885" s="181" t="s">
        <v>279</v>
      </c>
      <c r="I885" s="181" t="s">
        <v>240</v>
      </c>
      <c r="J885" s="184" t="n">
        <v>40510</v>
      </c>
      <c r="K885" s="184" t="n">
        <v>14550</v>
      </c>
      <c r="L885" s="185" t="n">
        <v>12</v>
      </c>
      <c r="M885" s="184" t="n">
        <v>25960</v>
      </c>
      <c r="N885" s="184" t="n">
        <v>22844.8</v>
      </c>
      <c r="O885" s="186" t="s">
        <v>2164</v>
      </c>
      <c r="P885" s="187" t="n">
        <v>45937</v>
      </c>
    </row>
    <row r="886" customFormat="false" ht="51" hidden="false" customHeight="true" outlineLevel="0" collapsed="false">
      <c r="A886" s="181" t="s">
        <v>2153</v>
      </c>
      <c r="B886" s="182" t="n">
        <v>2175</v>
      </c>
      <c r="C886" s="183" t="n">
        <v>12</v>
      </c>
      <c r="D886" s="181" t="s">
        <v>2005</v>
      </c>
      <c r="E886" s="181" t="s">
        <v>576</v>
      </c>
      <c r="F886" s="181" t="s">
        <v>577</v>
      </c>
      <c r="G886" s="181" t="s">
        <v>2049</v>
      </c>
      <c r="H886" s="181" t="s">
        <v>279</v>
      </c>
      <c r="I886" s="181" t="s">
        <v>240</v>
      </c>
      <c r="J886" s="184" t="n">
        <v>37170</v>
      </c>
      <c r="K886" s="184" t="n">
        <v>14570</v>
      </c>
      <c r="L886" s="185" t="n">
        <v>8</v>
      </c>
      <c r="M886" s="184" t="n">
        <v>22600</v>
      </c>
      <c r="N886" s="184" t="n">
        <v>20792</v>
      </c>
      <c r="O886" s="186" t="s">
        <v>2154</v>
      </c>
      <c r="P886" s="187" t="n">
        <v>45937</v>
      </c>
    </row>
    <row r="887" customFormat="false" ht="51" hidden="false" customHeight="true" outlineLevel="0" collapsed="false">
      <c r="A887" s="181" t="s">
        <v>2155</v>
      </c>
      <c r="B887" s="182" t="n">
        <v>2176</v>
      </c>
      <c r="C887" s="183" t="n">
        <v>11</v>
      </c>
      <c r="D887" s="181" t="s">
        <v>2005</v>
      </c>
      <c r="E887" s="181" t="s">
        <v>340</v>
      </c>
      <c r="F887" s="181" t="s">
        <v>341</v>
      </c>
      <c r="G887" s="181" t="s">
        <v>2049</v>
      </c>
      <c r="H887" s="181" t="s">
        <v>279</v>
      </c>
      <c r="I887" s="181" t="s">
        <v>240</v>
      </c>
      <c r="J887" s="184" t="n">
        <v>39720</v>
      </c>
      <c r="K887" s="184" t="n">
        <v>15120</v>
      </c>
      <c r="L887" s="185" t="n">
        <v>16</v>
      </c>
      <c r="M887" s="184" t="n">
        <v>24600</v>
      </c>
      <c r="N887" s="184" t="n">
        <v>20664</v>
      </c>
      <c r="O887" s="186" t="s">
        <v>2156</v>
      </c>
      <c r="P887" s="187" t="n">
        <v>45937</v>
      </c>
    </row>
    <row r="888" customFormat="false" ht="51" hidden="false" customHeight="true" outlineLevel="0" collapsed="false">
      <c r="A888" s="181" t="s">
        <v>2157</v>
      </c>
      <c r="B888" s="182" t="n">
        <v>2177</v>
      </c>
      <c r="C888" s="183" t="n">
        <v>13</v>
      </c>
      <c r="D888" s="181" t="s">
        <v>2005</v>
      </c>
      <c r="E888" s="181" t="s">
        <v>282</v>
      </c>
      <c r="F888" s="181" t="s">
        <v>283</v>
      </c>
      <c r="G888" s="181" t="s">
        <v>2049</v>
      </c>
      <c r="H888" s="181" t="s">
        <v>279</v>
      </c>
      <c r="I888" s="181" t="s">
        <v>240</v>
      </c>
      <c r="J888" s="184" t="n">
        <v>39490</v>
      </c>
      <c r="K888" s="184" t="n">
        <v>15120</v>
      </c>
      <c r="L888" s="185" t="n">
        <v>15</v>
      </c>
      <c r="M888" s="184" t="n">
        <v>24370</v>
      </c>
      <c r="N888" s="184" t="n">
        <v>20714.5</v>
      </c>
      <c r="O888" s="186" t="s">
        <v>2158</v>
      </c>
      <c r="P888" s="187" t="n">
        <v>45937</v>
      </c>
    </row>
    <row r="889" customFormat="false" ht="51" hidden="false" customHeight="true" outlineLevel="0" collapsed="false">
      <c r="A889" s="181" t="s">
        <v>2165</v>
      </c>
      <c r="B889" s="182" t="n">
        <v>2179</v>
      </c>
      <c r="C889" s="183" t="n">
        <v>14</v>
      </c>
      <c r="D889" s="181" t="s">
        <v>2005</v>
      </c>
      <c r="E889" s="181" t="s">
        <v>409</v>
      </c>
      <c r="F889" s="181" t="s">
        <v>410</v>
      </c>
      <c r="G889" s="181" t="s">
        <v>2049</v>
      </c>
      <c r="H889" s="181" t="s">
        <v>279</v>
      </c>
      <c r="I889" s="181" t="s">
        <v>240</v>
      </c>
      <c r="J889" s="184" t="n">
        <v>64150</v>
      </c>
      <c r="K889" s="184" t="n">
        <v>24560</v>
      </c>
      <c r="L889" s="185" t="n">
        <v>17</v>
      </c>
      <c r="M889" s="184" t="n">
        <v>39590</v>
      </c>
      <c r="N889" s="184" t="n">
        <v>32859.7</v>
      </c>
      <c r="O889" s="186" t="s">
        <v>2166</v>
      </c>
      <c r="P889" s="187" t="n">
        <v>45937</v>
      </c>
    </row>
    <row r="890" customFormat="false" ht="51" hidden="false" customHeight="true" outlineLevel="0" collapsed="false">
      <c r="A890" s="181" t="s">
        <v>2167</v>
      </c>
      <c r="B890" s="182" t="n">
        <v>2180</v>
      </c>
      <c r="C890" s="183" t="n">
        <v>15</v>
      </c>
      <c r="D890" s="181" t="s">
        <v>2005</v>
      </c>
      <c r="E890" s="181" t="s">
        <v>300</v>
      </c>
      <c r="F890" s="181" t="s">
        <v>301</v>
      </c>
      <c r="G890" s="181" t="s">
        <v>2049</v>
      </c>
      <c r="H890" s="181" t="s">
        <v>279</v>
      </c>
      <c r="I890" s="181" t="s">
        <v>240</v>
      </c>
      <c r="J890" s="184" t="n">
        <v>62530</v>
      </c>
      <c r="K890" s="184" t="n">
        <v>21380</v>
      </c>
      <c r="L890" s="185" t="n">
        <v>20</v>
      </c>
      <c r="M890" s="184" t="n">
        <v>41150</v>
      </c>
      <c r="N890" s="184" t="n">
        <v>32920</v>
      </c>
      <c r="O890" s="186" t="s">
        <v>2168</v>
      </c>
      <c r="P890" s="187" t="n">
        <v>45937</v>
      </c>
    </row>
    <row r="891" customFormat="false" ht="51" hidden="false" customHeight="true" outlineLevel="0" collapsed="false">
      <c r="A891" s="181" t="s">
        <v>2169</v>
      </c>
      <c r="B891" s="182" t="n">
        <v>2181</v>
      </c>
      <c r="C891" s="183" t="n">
        <v>16</v>
      </c>
      <c r="D891" s="181" t="s">
        <v>2005</v>
      </c>
      <c r="E891" s="181" t="s">
        <v>901</v>
      </c>
      <c r="F891" s="181" t="s">
        <v>902</v>
      </c>
      <c r="G891" s="181" t="s">
        <v>2049</v>
      </c>
      <c r="H891" s="181" t="s">
        <v>279</v>
      </c>
      <c r="I891" s="181" t="s">
        <v>240</v>
      </c>
      <c r="J891" s="184" t="n">
        <v>36870</v>
      </c>
      <c r="K891" s="184" t="n">
        <v>14780</v>
      </c>
      <c r="L891" s="185" t="n">
        <v>19</v>
      </c>
      <c r="M891" s="184" t="n">
        <v>22090</v>
      </c>
      <c r="N891" s="184" t="n">
        <v>17892.9</v>
      </c>
      <c r="O891" s="186" t="s">
        <v>2170</v>
      </c>
      <c r="P891" s="187" t="n">
        <v>45938</v>
      </c>
    </row>
    <row r="892" customFormat="false" ht="51" hidden="false" customHeight="true" outlineLevel="0" collapsed="false">
      <c r="A892" s="181" t="s">
        <v>2171</v>
      </c>
      <c r="B892" s="182" t="n">
        <v>2182</v>
      </c>
      <c r="C892" s="183" t="n">
        <v>17</v>
      </c>
      <c r="D892" s="181" t="s">
        <v>2005</v>
      </c>
      <c r="E892" s="181" t="s">
        <v>377</v>
      </c>
      <c r="F892" s="181" t="s">
        <v>378</v>
      </c>
      <c r="G892" s="181" t="s">
        <v>2049</v>
      </c>
      <c r="H892" s="181" t="s">
        <v>279</v>
      </c>
      <c r="I892" s="181" t="s">
        <v>240</v>
      </c>
      <c r="J892" s="184" t="n">
        <v>41690</v>
      </c>
      <c r="K892" s="184" t="n">
        <v>15810</v>
      </c>
      <c r="L892" s="185" t="n">
        <v>9</v>
      </c>
      <c r="M892" s="184" t="n">
        <v>25880</v>
      </c>
      <c r="N892" s="184" t="n">
        <v>23550.8</v>
      </c>
      <c r="O892" s="186" t="s">
        <v>2172</v>
      </c>
      <c r="P892" s="187" t="n">
        <v>45938</v>
      </c>
    </row>
    <row r="893" customFormat="false" ht="51" hidden="false" customHeight="true" outlineLevel="0" collapsed="false">
      <c r="A893" s="181" t="s">
        <v>2173</v>
      </c>
      <c r="B893" s="182" t="n">
        <v>2184</v>
      </c>
      <c r="C893" s="183" t="n">
        <v>18</v>
      </c>
      <c r="D893" s="181" t="s">
        <v>2005</v>
      </c>
      <c r="E893" s="181" t="s">
        <v>277</v>
      </c>
      <c r="F893" s="181" t="s">
        <v>278</v>
      </c>
      <c r="G893" s="181" t="s">
        <v>2049</v>
      </c>
      <c r="H893" s="181" t="s">
        <v>279</v>
      </c>
      <c r="I893" s="181" t="s">
        <v>240</v>
      </c>
      <c r="J893" s="184" t="n">
        <v>41670</v>
      </c>
      <c r="K893" s="184" t="n">
        <v>15240</v>
      </c>
      <c r="L893" s="185" t="n">
        <v>22</v>
      </c>
      <c r="M893" s="184" t="n">
        <v>26430</v>
      </c>
      <c r="N893" s="184" t="n">
        <v>20615.4</v>
      </c>
      <c r="O893" s="186" t="s">
        <v>2174</v>
      </c>
      <c r="P893" s="187" t="n">
        <v>45938</v>
      </c>
    </row>
    <row r="894" customFormat="false" ht="51" hidden="false" customHeight="true" outlineLevel="0" collapsed="false">
      <c r="A894" s="181" t="s">
        <v>2175</v>
      </c>
      <c r="B894" s="182" t="n">
        <v>2185</v>
      </c>
      <c r="C894" s="183" t="n">
        <v>19</v>
      </c>
      <c r="D894" s="181" t="s">
        <v>2005</v>
      </c>
      <c r="E894" s="181" t="s">
        <v>332</v>
      </c>
      <c r="F894" s="181" t="s">
        <v>333</v>
      </c>
      <c r="G894" s="181" t="s">
        <v>2049</v>
      </c>
      <c r="H894" s="181" t="s">
        <v>279</v>
      </c>
      <c r="I894" s="181" t="s">
        <v>240</v>
      </c>
      <c r="J894" s="184" t="n">
        <v>39650</v>
      </c>
      <c r="K894" s="184" t="n">
        <v>14830</v>
      </c>
      <c r="L894" s="185" t="n">
        <v>16</v>
      </c>
      <c r="M894" s="184" t="n">
        <v>24820</v>
      </c>
      <c r="N894" s="184" t="n">
        <v>20848.8</v>
      </c>
      <c r="O894" s="186" t="s">
        <v>2176</v>
      </c>
      <c r="P894" s="187" t="n">
        <v>45938</v>
      </c>
    </row>
    <row r="895" customFormat="false" ht="51" hidden="false" customHeight="true" outlineLevel="0" collapsed="false">
      <c r="A895" s="181" t="s">
        <v>2177</v>
      </c>
      <c r="B895" s="182" t="n">
        <v>2186</v>
      </c>
      <c r="C895" s="183" t="n">
        <v>21</v>
      </c>
      <c r="D895" s="181" t="s">
        <v>2005</v>
      </c>
      <c r="E895" s="181" t="s">
        <v>391</v>
      </c>
      <c r="F895" s="181" t="s">
        <v>392</v>
      </c>
      <c r="G895" s="181" t="s">
        <v>2049</v>
      </c>
      <c r="H895" s="181" t="s">
        <v>279</v>
      </c>
      <c r="I895" s="181" t="s">
        <v>240</v>
      </c>
      <c r="J895" s="184" t="n">
        <v>34960</v>
      </c>
      <c r="K895" s="184" t="n">
        <v>14490</v>
      </c>
      <c r="L895" s="185" t="n">
        <v>24</v>
      </c>
      <c r="M895" s="184" t="n">
        <v>20470</v>
      </c>
      <c r="N895" s="184" t="n">
        <v>15557.2</v>
      </c>
      <c r="O895" s="186" t="s">
        <v>2178</v>
      </c>
      <c r="P895" s="187" t="n">
        <v>45938</v>
      </c>
    </row>
    <row r="896" customFormat="false" ht="51" hidden="false" customHeight="true" outlineLevel="0" collapsed="false">
      <c r="A896" s="181" t="s">
        <v>2179</v>
      </c>
      <c r="B896" s="182" t="n">
        <v>2188</v>
      </c>
      <c r="C896" s="183" t="n">
        <v>20</v>
      </c>
      <c r="D896" s="181" t="s">
        <v>2005</v>
      </c>
      <c r="E896" s="181" t="s">
        <v>288</v>
      </c>
      <c r="F896" s="181" t="s">
        <v>289</v>
      </c>
      <c r="G896" s="181" t="s">
        <v>2049</v>
      </c>
      <c r="H896" s="181" t="s">
        <v>279</v>
      </c>
      <c r="I896" s="181" t="s">
        <v>240</v>
      </c>
      <c r="J896" s="184" t="n">
        <v>36690</v>
      </c>
      <c r="K896" s="184" t="n">
        <v>14680</v>
      </c>
      <c r="L896" s="185" t="n">
        <v>12</v>
      </c>
      <c r="M896" s="184" t="n">
        <v>22010</v>
      </c>
      <c r="N896" s="184" t="n">
        <v>19368.8</v>
      </c>
      <c r="O896" s="186" t="s">
        <v>2180</v>
      </c>
      <c r="P896" s="187" t="n">
        <v>45938</v>
      </c>
    </row>
    <row r="897" customFormat="false" ht="51" hidden="false" customHeight="true" outlineLevel="0" collapsed="false">
      <c r="A897" s="181" t="s">
        <v>2181</v>
      </c>
      <c r="B897" s="182" t="n">
        <v>2187</v>
      </c>
      <c r="C897" s="183" t="n">
        <v>22</v>
      </c>
      <c r="D897" s="181" t="s">
        <v>2005</v>
      </c>
      <c r="E897" s="181" t="s">
        <v>529</v>
      </c>
      <c r="F897" s="181" t="s">
        <v>530</v>
      </c>
      <c r="G897" s="181" t="s">
        <v>2070</v>
      </c>
      <c r="H897" s="181" t="s">
        <v>158</v>
      </c>
      <c r="I897" s="181" t="s">
        <v>240</v>
      </c>
      <c r="J897" s="184" t="n">
        <v>37310</v>
      </c>
      <c r="K897" s="184" t="n">
        <v>14970</v>
      </c>
      <c r="L897" s="185" t="n">
        <v>13</v>
      </c>
      <c r="M897" s="184" t="n">
        <v>22340</v>
      </c>
      <c r="N897" s="184" t="n">
        <v>19435.8</v>
      </c>
      <c r="O897" s="186" t="s">
        <v>2182</v>
      </c>
      <c r="P897" s="187" t="n">
        <v>45938</v>
      </c>
    </row>
    <row r="898" customFormat="false" ht="51" hidden="false" customHeight="true" outlineLevel="0" collapsed="false">
      <c r="A898" s="181" t="s">
        <v>2183</v>
      </c>
      <c r="B898" s="182" t="n">
        <v>2189</v>
      </c>
      <c r="C898" s="183" t="n">
        <v>23</v>
      </c>
      <c r="D898" s="181" t="s">
        <v>2005</v>
      </c>
      <c r="E898" s="181" t="s">
        <v>292</v>
      </c>
      <c r="F898" s="181" t="s">
        <v>293</v>
      </c>
      <c r="G898" s="181" t="s">
        <v>2070</v>
      </c>
      <c r="H898" s="181" t="s">
        <v>158</v>
      </c>
      <c r="I898" s="181" t="s">
        <v>240</v>
      </c>
      <c r="J898" s="184" t="n">
        <v>36970</v>
      </c>
      <c r="K898" s="184" t="n">
        <v>13930</v>
      </c>
      <c r="L898" s="185" t="n">
        <v>18</v>
      </c>
      <c r="M898" s="184" t="n">
        <v>23040</v>
      </c>
      <c r="N898" s="184" t="n">
        <v>18892.8</v>
      </c>
      <c r="O898" s="186" t="s">
        <v>2184</v>
      </c>
      <c r="P898" s="187" t="n">
        <v>45938</v>
      </c>
    </row>
    <row r="899" customFormat="false" ht="51" hidden="false" customHeight="true" outlineLevel="0" collapsed="false">
      <c r="A899" s="181" t="s">
        <v>2185</v>
      </c>
      <c r="B899" s="182" t="n">
        <v>2191</v>
      </c>
      <c r="C899" s="183" t="n">
        <v>24</v>
      </c>
      <c r="D899" s="181" t="s">
        <v>2005</v>
      </c>
      <c r="E899" s="181" t="s">
        <v>266</v>
      </c>
      <c r="F899" s="181" t="s">
        <v>267</v>
      </c>
      <c r="G899" s="181" t="s">
        <v>2070</v>
      </c>
      <c r="H899" s="181" t="s">
        <v>158</v>
      </c>
      <c r="I899" s="181" t="s">
        <v>240</v>
      </c>
      <c r="J899" s="184" t="n">
        <v>39190</v>
      </c>
      <c r="K899" s="184" t="n">
        <v>15110</v>
      </c>
      <c r="L899" s="185" t="n">
        <v>9</v>
      </c>
      <c r="M899" s="184" t="n">
        <v>24080</v>
      </c>
      <c r="N899" s="184" t="n">
        <v>21912.8</v>
      </c>
      <c r="O899" s="186" t="s">
        <v>2186</v>
      </c>
      <c r="P899" s="187" t="n">
        <v>45938</v>
      </c>
    </row>
    <row r="900" customFormat="false" ht="51" hidden="false" customHeight="true" outlineLevel="0" collapsed="false">
      <c r="A900" s="181" t="s">
        <v>2187</v>
      </c>
      <c r="B900" s="182" t="n">
        <v>2192</v>
      </c>
      <c r="C900" s="183" t="n">
        <v>25</v>
      </c>
      <c r="D900" s="181" t="s">
        <v>2005</v>
      </c>
      <c r="E900" s="181" t="s">
        <v>582</v>
      </c>
      <c r="F900" s="181" t="s">
        <v>583</v>
      </c>
      <c r="G900" s="181" t="s">
        <v>2070</v>
      </c>
      <c r="H900" s="181" t="s">
        <v>158</v>
      </c>
      <c r="I900" s="181" t="s">
        <v>240</v>
      </c>
      <c r="J900" s="184" t="n">
        <v>42070</v>
      </c>
      <c r="K900" s="184" t="n">
        <v>14900</v>
      </c>
      <c r="L900" s="185" t="n">
        <v>9</v>
      </c>
      <c r="M900" s="184" t="n">
        <v>27170</v>
      </c>
      <c r="N900" s="184" t="n">
        <v>24724.7</v>
      </c>
      <c r="O900" s="186" t="s">
        <v>2188</v>
      </c>
      <c r="P900" s="187" t="n">
        <v>45938</v>
      </c>
    </row>
    <row r="901" customFormat="false" ht="51" hidden="false" customHeight="true" outlineLevel="0" collapsed="false">
      <c r="A901" s="181" t="s">
        <v>2189</v>
      </c>
      <c r="B901" s="182" t="n">
        <v>2198</v>
      </c>
      <c r="C901" s="183" t="n">
        <v>27</v>
      </c>
      <c r="D901" s="181" t="s">
        <v>2005</v>
      </c>
      <c r="E901" s="181" t="s">
        <v>346</v>
      </c>
      <c r="F901" s="181" t="s">
        <v>347</v>
      </c>
      <c r="G901" s="181" t="s">
        <v>2070</v>
      </c>
      <c r="H901" s="181" t="s">
        <v>158</v>
      </c>
      <c r="I901" s="181" t="s">
        <v>240</v>
      </c>
      <c r="J901" s="184" t="n">
        <v>42650</v>
      </c>
      <c r="K901" s="184" t="n">
        <v>15250</v>
      </c>
      <c r="L901" s="185" t="n">
        <v>10</v>
      </c>
      <c r="M901" s="184" t="n">
        <v>27400</v>
      </c>
      <c r="N901" s="184" t="n">
        <v>24660</v>
      </c>
      <c r="O901" s="186" t="s">
        <v>2190</v>
      </c>
      <c r="P901" s="187" t="n">
        <v>45938</v>
      </c>
    </row>
    <row r="902" customFormat="false" ht="51" hidden="false" customHeight="true" outlineLevel="0" collapsed="false">
      <c r="A902" s="181" t="s">
        <v>2193</v>
      </c>
      <c r="B902" s="182" t="n">
        <v>2200</v>
      </c>
      <c r="C902" s="183" t="n">
        <v>26</v>
      </c>
      <c r="D902" s="181" t="s">
        <v>2005</v>
      </c>
      <c r="E902" s="181" t="s">
        <v>272</v>
      </c>
      <c r="F902" s="181" t="s">
        <v>273</v>
      </c>
      <c r="G902" s="181" t="s">
        <v>2070</v>
      </c>
      <c r="H902" s="181" t="s">
        <v>158</v>
      </c>
      <c r="I902" s="181" t="s">
        <v>240</v>
      </c>
      <c r="J902" s="184" t="n">
        <v>40100</v>
      </c>
      <c r="K902" s="184" t="n">
        <v>15720</v>
      </c>
      <c r="L902" s="185" t="n">
        <v>9</v>
      </c>
      <c r="M902" s="184" t="n">
        <v>24380</v>
      </c>
      <c r="N902" s="184" t="n">
        <v>22185.8</v>
      </c>
      <c r="O902" s="186" t="s">
        <v>2194</v>
      </c>
      <c r="P902" s="187" t="n">
        <v>45938</v>
      </c>
    </row>
    <row r="903" customFormat="false" ht="51" hidden="false" customHeight="true" outlineLevel="0" collapsed="false">
      <c r="A903" s="181" t="s">
        <v>2199</v>
      </c>
      <c r="B903" s="182" t="n">
        <v>2201</v>
      </c>
      <c r="C903" s="183" t="n">
        <v>28</v>
      </c>
      <c r="D903" s="181" t="s">
        <v>2005</v>
      </c>
      <c r="E903" s="181" t="s">
        <v>413</v>
      </c>
      <c r="F903" s="181" t="s">
        <v>414</v>
      </c>
      <c r="G903" s="181" t="s">
        <v>2070</v>
      </c>
      <c r="H903" s="181" t="s">
        <v>158</v>
      </c>
      <c r="I903" s="181" t="s">
        <v>240</v>
      </c>
      <c r="J903" s="184" t="n">
        <v>45650</v>
      </c>
      <c r="K903" s="184" t="n">
        <v>15740</v>
      </c>
      <c r="L903" s="185" t="n">
        <v>9</v>
      </c>
      <c r="M903" s="184" t="n">
        <v>29910</v>
      </c>
      <c r="N903" s="184" t="n">
        <v>27218.1</v>
      </c>
      <c r="O903" s="186" t="s">
        <v>2200</v>
      </c>
      <c r="P903" s="187" t="n">
        <v>45938</v>
      </c>
    </row>
    <row r="904" customFormat="false" ht="51" hidden="false" customHeight="true" outlineLevel="0" collapsed="false">
      <c r="A904" s="181" t="s">
        <v>2205</v>
      </c>
      <c r="B904" s="182" t="n">
        <v>2205</v>
      </c>
      <c r="C904" s="183" t="n">
        <v>29</v>
      </c>
      <c r="D904" s="181" t="s">
        <v>2005</v>
      </c>
      <c r="E904" s="181" t="s">
        <v>383</v>
      </c>
      <c r="F904" s="181" t="s">
        <v>384</v>
      </c>
      <c r="G904" s="181" t="s">
        <v>2070</v>
      </c>
      <c r="H904" s="181" t="s">
        <v>158</v>
      </c>
      <c r="I904" s="181" t="s">
        <v>240</v>
      </c>
      <c r="J904" s="184" t="n">
        <v>42240</v>
      </c>
      <c r="K904" s="184" t="n">
        <v>15060</v>
      </c>
      <c r="L904" s="185" t="n">
        <v>6</v>
      </c>
      <c r="M904" s="184" t="n">
        <v>27180</v>
      </c>
      <c r="N904" s="184" t="n">
        <v>25549.2</v>
      </c>
      <c r="O904" s="186" t="s">
        <v>2206</v>
      </c>
      <c r="P904" s="187" t="n">
        <v>45938</v>
      </c>
    </row>
    <row r="905" customFormat="false" ht="51" hidden="false" customHeight="true" outlineLevel="0" collapsed="false">
      <c r="A905" s="181" t="s">
        <v>2209</v>
      </c>
      <c r="B905" s="182" t="n">
        <v>2206</v>
      </c>
      <c r="C905" s="183" t="n">
        <v>1</v>
      </c>
      <c r="D905" s="181" t="s">
        <v>2005</v>
      </c>
      <c r="E905" s="181" t="s">
        <v>387</v>
      </c>
      <c r="F905" s="181" t="s">
        <v>388</v>
      </c>
      <c r="G905" s="181" t="s">
        <v>2070</v>
      </c>
      <c r="H905" s="181" t="s">
        <v>158</v>
      </c>
      <c r="I905" s="181" t="s">
        <v>240</v>
      </c>
      <c r="J905" s="184" t="n">
        <v>44060</v>
      </c>
      <c r="K905" s="184" t="n">
        <v>15210</v>
      </c>
      <c r="L905" s="185" t="n">
        <v>9</v>
      </c>
      <c r="M905" s="184" t="n">
        <v>28850</v>
      </c>
      <c r="N905" s="184" t="n">
        <v>26253.5</v>
      </c>
      <c r="O905" s="186" t="s">
        <v>2210</v>
      </c>
      <c r="P905" s="187" t="n">
        <v>45938</v>
      </c>
    </row>
    <row r="906" customFormat="false" ht="51" hidden="false" customHeight="true" outlineLevel="0" collapsed="false">
      <c r="A906" s="181" t="s">
        <v>2214</v>
      </c>
      <c r="B906" s="182" t="n">
        <v>2207</v>
      </c>
      <c r="C906" s="183" t="n">
        <v>2</v>
      </c>
      <c r="D906" s="181" t="s">
        <v>2005</v>
      </c>
      <c r="E906" s="181" t="s">
        <v>350</v>
      </c>
      <c r="F906" s="181" t="s">
        <v>351</v>
      </c>
      <c r="G906" s="181" t="s">
        <v>2070</v>
      </c>
      <c r="H906" s="181" t="s">
        <v>158</v>
      </c>
      <c r="I906" s="181" t="s">
        <v>240</v>
      </c>
      <c r="J906" s="184" t="n">
        <v>43910</v>
      </c>
      <c r="K906" s="184" t="n">
        <v>14980</v>
      </c>
      <c r="L906" s="185" t="n">
        <v>7</v>
      </c>
      <c r="M906" s="184" t="n">
        <v>28930</v>
      </c>
      <c r="N906" s="184" t="n">
        <v>26904.9</v>
      </c>
      <c r="O906" s="186" t="s">
        <v>2215</v>
      </c>
      <c r="P906" s="187" t="n">
        <v>45938</v>
      </c>
    </row>
    <row r="907" customFormat="false" ht="51" hidden="false" customHeight="true" outlineLevel="0" collapsed="false">
      <c r="A907" s="181" t="s">
        <v>2191</v>
      </c>
      <c r="B907" s="182" t="n">
        <v>2209</v>
      </c>
      <c r="C907" s="183" t="n">
        <v>4</v>
      </c>
      <c r="D907" s="181" t="s">
        <v>2005</v>
      </c>
      <c r="E907" s="181" t="s">
        <v>399</v>
      </c>
      <c r="F907" s="181" t="s">
        <v>400</v>
      </c>
      <c r="G907" s="181" t="s">
        <v>2070</v>
      </c>
      <c r="H907" s="181" t="s">
        <v>158</v>
      </c>
      <c r="I907" s="181" t="s">
        <v>240</v>
      </c>
      <c r="J907" s="184" t="n">
        <v>43020</v>
      </c>
      <c r="K907" s="184" t="n">
        <v>19460</v>
      </c>
      <c r="L907" s="185" t="n">
        <v>8</v>
      </c>
      <c r="M907" s="184" t="n">
        <v>23560</v>
      </c>
      <c r="N907" s="184" t="n">
        <v>21675.2</v>
      </c>
      <c r="O907" s="186" t="s">
        <v>2192</v>
      </c>
      <c r="P907" s="187" t="n">
        <v>45938</v>
      </c>
    </row>
    <row r="908" customFormat="false" ht="51" hidden="false" customHeight="true" outlineLevel="0" collapsed="false">
      <c r="A908" s="181" t="s">
        <v>2195</v>
      </c>
      <c r="B908" s="182" t="n">
        <v>2210</v>
      </c>
      <c r="C908" s="183" t="n">
        <v>3</v>
      </c>
      <c r="D908" s="181" t="s">
        <v>2005</v>
      </c>
      <c r="E908" s="181" t="s">
        <v>373</v>
      </c>
      <c r="F908" s="181" t="s">
        <v>374</v>
      </c>
      <c r="G908" s="181" t="s">
        <v>2070</v>
      </c>
      <c r="H908" s="181" t="s">
        <v>158</v>
      </c>
      <c r="I908" s="181" t="s">
        <v>240</v>
      </c>
      <c r="J908" s="184" t="n">
        <v>41080</v>
      </c>
      <c r="K908" s="184" t="n">
        <v>14320</v>
      </c>
      <c r="L908" s="185" t="n">
        <v>11</v>
      </c>
      <c r="M908" s="184" t="n">
        <v>26760</v>
      </c>
      <c r="N908" s="184" t="n">
        <v>23816.4</v>
      </c>
      <c r="O908" s="186" t="s">
        <v>2196</v>
      </c>
      <c r="P908" s="187" t="n">
        <v>45938</v>
      </c>
    </row>
    <row r="909" customFormat="false" ht="51" hidden="false" customHeight="true" outlineLevel="0" collapsed="false">
      <c r="A909" s="181" t="s">
        <v>2197</v>
      </c>
      <c r="B909" s="182" t="n">
        <v>2212</v>
      </c>
      <c r="C909" s="183" t="n">
        <v>5</v>
      </c>
      <c r="D909" s="181" t="s">
        <v>2005</v>
      </c>
      <c r="E909" s="181" t="s">
        <v>308</v>
      </c>
      <c r="F909" s="181" t="s">
        <v>309</v>
      </c>
      <c r="G909" s="181" t="s">
        <v>2070</v>
      </c>
      <c r="H909" s="181" t="s">
        <v>158</v>
      </c>
      <c r="I909" s="181" t="s">
        <v>240</v>
      </c>
      <c r="J909" s="184" t="n">
        <v>49570</v>
      </c>
      <c r="K909" s="184" t="n">
        <v>24060</v>
      </c>
      <c r="L909" s="185" t="n">
        <v>11</v>
      </c>
      <c r="M909" s="184" t="n">
        <v>25510</v>
      </c>
      <c r="N909" s="184" t="n">
        <v>22703.9</v>
      </c>
      <c r="O909" s="186" t="s">
        <v>2198</v>
      </c>
      <c r="P909" s="187" t="n">
        <v>45938</v>
      </c>
    </row>
    <row r="910" customFormat="false" ht="51" hidden="false" customHeight="true" outlineLevel="0" collapsed="false">
      <c r="A910" s="181" t="s">
        <v>2201</v>
      </c>
      <c r="B910" s="182" t="n">
        <v>2213</v>
      </c>
      <c r="C910" s="183" t="n">
        <v>6</v>
      </c>
      <c r="D910" s="181" t="s">
        <v>2005</v>
      </c>
      <c r="E910" s="181" t="s">
        <v>354</v>
      </c>
      <c r="F910" s="181" t="s">
        <v>355</v>
      </c>
      <c r="G910" s="181" t="s">
        <v>2070</v>
      </c>
      <c r="H910" s="181" t="s">
        <v>158</v>
      </c>
      <c r="I910" s="181" t="s">
        <v>240</v>
      </c>
      <c r="J910" s="184" t="n">
        <v>40390</v>
      </c>
      <c r="K910" s="184" t="n">
        <v>14710</v>
      </c>
      <c r="L910" s="185" t="n">
        <v>8</v>
      </c>
      <c r="M910" s="184" t="n">
        <v>25680</v>
      </c>
      <c r="N910" s="184" t="n">
        <v>23625.6</v>
      </c>
      <c r="O910" s="186" t="s">
        <v>2202</v>
      </c>
      <c r="P910" s="187" t="n">
        <v>45938</v>
      </c>
    </row>
    <row r="911" customFormat="false" ht="51" hidden="false" customHeight="true" outlineLevel="0" collapsed="false">
      <c r="A911" s="181" t="s">
        <v>2203</v>
      </c>
      <c r="B911" s="182" t="n">
        <v>2214</v>
      </c>
      <c r="C911" s="183" t="n">
        <v>7</v>
      </c>
      <c r="D911" s="181" t="s">
        <v>2005</v>
      </c>
      <c r="E911" s="181" t="s">
        <v>359</v>
      </c>
      <c r="F911" s="181" t="s">
        <v>360</v>
      </c>
      <c r="G911" s="181" t="s">
        <v>2070</v>
      </c>
      <c r="H911" s="181" t="s">
        <v>158</v>
      </c>
      <c r="I911" s="181" t="s">
        <v>240</v>
      </c>
      <c r="J911" s="184" t="n">
        <v>37450</v>
      </c>
      <c r="K911" s="184" t="n">
        <v>14890</v>
      </c>
      <c r="L911" s="185" t="n">
        <v>13</v>
      </c>
      <c r="M911" s="184" t="n">
        <v>22560</v>
      </c>
      <c r="N911" s="184" t="n">
        <v>19627.2</v>
      </c>
      <c r="O911" s="186" t="s">
        <v>2204</v>
      </c>
      <c r="P911" s="187" t="n">
        <v>45938</v>
      </c>
    </row>
    <row r="912" customFormat="false" ht="51" hidden="false" customHeight="true" outlineLevel="0" collapsed="false">
      <c r="A912" s="181" t="s">
        <v>2207</v>
      </c>
      <c r="B912" s="182" t="n">
        <v>2215</v>
      </c>
      <c r="C912" s="183" t="n">
        <v>8</v>
      </c>
      <c r="D912" s="181" t="s">
        <v>2005</v>
      </c>
      <c r="E912" s="181" t="s">
        <v>409</v>
      </c>
      <c r="F912" s="181" t="s">
        <v>410</v>
      </c>
      <c r="G912" s="181" t="s">
        <v>2070</v>
      </c>
      <c r="H912" s="181" t="s">
        <v>158</v>
      </c>
      <c r="I912" s="181" t="s">
        <v>240</v>
      </c>
      <c r="J912" s="184" t="n">
        <v>54820</v>
      </c>
      <c r="K912" s="184" t="n">
        <v>24430</v>
      </c>
      <c r="L912" s="185" t="n">
        <v>9</v>
      </c>
      <c r="M912" s="184" t="n">
        <v>30390</v>
      </c>
      <c r="N912" s="184" t="n">
        <v>27654.9</v>
      </c>
      <c r="O912" s="186" t="s">
        <v>2208</v>
      </c>
      <c r="P912" s="187" t="n">
        <v>45938</v>
      </c>
    </row>
    <row r="913" customFormat="false" ht="51" hidden="false" customHeight="true" outlineLevel="0" collapsed="false">
      <c r="A913" s="181" t="s">
        <v>2211</v>
      </c>
      <c r="B913" s="182" t="n">
        <v>2216</v>
      </c>
      <c r="C913" s="181" t="s">
        <v>2212</v>
      </c>
      <c r="D913" s="181" t="s">
        <v>2005</v>
      </c>
      <c r="E913" s="181" t="s">
        <v>336</v>
      </c>
      <c r="F913" s="181" t="s">
        <v>337</v>
      </c>
      <c r="G913" s="181" t="s">
        <v>2070</v>
      </c>
      <c r="H913" s="181" t="s">
        <v>158</v>
      </c>
      <c r="I913" s="181" t="s">
        <v>240</v>
      </c>
      <c r="J913" s="184" t="n">
        <v>36240</v>
      </c>
      <c r="K913" s="184" t="n">
        <v>14630</v>
      </c>
      <c r="L913" s="185" t="n">
        <v>10</v>
      </c>
      <c r="M913" s="184" t="n">
        <v>21610</v>
      </c>
      <c r="N913" s="184" t="n">
        <v>19449</v>
      </c>
      <c r="O913" s="186" t="s">
        <v>2213</v>
      </c>
      <c r="P913" s="187" t="n">
        <v>45938</v>
      </c>
    </row>
    <row r="914" customFormat="false" ht="51" hidden="false" customHeight="true" outlineLevel="0" collapsed="false">
      <c r="A914" s="181" t="s">
        <v>2216</v>
      </c>
      <c r="B914" s="182" t="n">
        <v>2217</v>
      </c>
      <c r="C914" s="183" t="n">
        <v>11</v>
      </c>
      <c r="D914" s="181" t="s">
        <v>2005</v>
      </c>
      <c r="E914" s="181" t="s">
        <v>377</v>
      </c>
      <c r="F914" s="181" t="s">
        <v>378</v>
      </c>
      <c r="G914" s="181" t="s">
        <v>2070</v>
      </c>
      <c r="H914" s="181" t="s">
        <v>158</v>
      </c>
      <c r="I914" s="181" t="s">
        <v>240</v>
      </c>
      <c r="J914" s="184" t="n">
        <v>36620</v>
      </c>
      <c r="K914" s="184" t="n">
        <v>15900</v>
      </c>
      <c r="L914" s="185" t="n">
        <v>16</v>
      </c>
      <c r="M914" s="184" t="n">
        <v>20720</v>
      </c>
      <c r="N914" s="184" t="n">
        <v>17404.8</v>
      </c>
      <c r="O914" s="186" t="s">
        <v>2217</v>
      </c>
      <c r="P914" s="187" t="n">
        <v>45938</v>
      </c>
    </row>
    <row r="915" customFormat="false" ht="51" hidden="false" customHeight="true" outlineLevel="0" collapsed="false">
      <c r="A915" s="181" t="s">
        <v>2218</v>
      </c>
      <c r="B915" s="182" t="n">
        <v>2218</v>
      </c>
      <c r="C915" s="183" t="n">
        <v>10</v>
      </c>
      <c r="D915" s="181" t="s">
        <v>2005</v>
      </c>
      <c r="E915" s="181" t="s">
        <v>340</v>
      </c>
      <c r="F915" s="181" t="s">
        <v>341</v>
      </c>
      <c r="G915" s="181" t="s">
        <v>2070</v>
      </c>
      <c r="H915" s="181" t="s">
        <v>158</v>
      </c>
      <c r="I915" s="181" t="s">
        <v>240</v>
      </c>
      <c r="J915" s="184" t="n">
        <v>36600</v>
      </c>
      <c r="K915" s="184" t="n">
        <v>15060</v>
      </c>
      <c r="L915" s="185" t="n">
        <v>8</v>
      </c>
      <c r="M915" s="184" t="n">
        <v>21540</v>
      </c>
      <c r="N915" s="184" t="n">
        <v>19816.8</v>
      </c>
      <c r="O915" s="186" t="s">
        <v>2219</v>
      </c>
      <c r="P915" s="187" t="n">
        <v>45938</v>
      </c>
    </row>
    <row r="916" customFormat="false" ht="51" hidden="false" customHeight="true" outlineLevel="0" collapsed="false">
      <c r="A916" s="181" t="s">
        <v>2220</v>
      </c>
      <c r="B916" s="182" t="n">
        <v>2220</v>
      </c>
      <c r="C916" s="183" t="n">
        <v>12</v>
      </c>
      <c r="D916" s="181" t="s">
        <v>2005</v>
      </c>
      <c r="E916" s="181" t="s">
        <v>901</v>
      </c>
      <c r="F916" s="181" t="s">
        <v>902</v>
      </c>
      <c r="G916" s="181" t="s">
        <v>2070</v>
      </c>
      <c r="H916" s="181" t="s">
        <v>158</v>
      </c>
      <c r="I916" s="181" t="s">
        <v>240</v>
      </c>
      <c r="J916" s="184" t="n">
        <v>33910</v>
      </c>
      <c r="K916" s="184" t="n">
        <v>14680</v>
      </c>
      <c r="L916" s="185" t="n">
        <v>5</v>
      </c>
      <c r="M916" s="184" t="n">
        <v>19230</v>
      </c>
      <c r="N916" s="184" t="n">
        <v>18268.5</v>
      </c>
      <c r="O916" s="186" t="s">
        <v>2221</v>
      </c>
      <c r="P916" s="187" t="n">
        <v>45938</v>
      </c>
    </row>
    <row r="917" customFormat="false" ht="51" hidden="false" customHeight="true" outlineLevel="0" collapsed="false">
      <c r="A917" s="181" t="s">
        <v>2222</v>
      </c>
      <c r="B917" s="182" t="n">
        <v>2221</v>
      </c>
      <c r="C917" s="183" t="n">
        <v>19</v>
      </c>
      <c r="D917" s="181" t="s">
        <v>2005</v>
      </c>
      <c r="E917" s="181" t="s">
        <v>332</v>
      </c>
      <c r="F917" s="181" t="s">
        <v>333</v>
      </c>
      <c r="G917" s="181" t="s">
        <v>2070</v>
      </c>
      <c r="H917" s="181" t="s">
        <v>158</v>
      </c>
      <c r="I917" s="181" t="s">
        <v>240</v>
      </c>
      <c r="J917" s="184" t="n">
        <v>30970</v>
      </c>
      <c r="K917" s="184" t="n">
        <v>14760</v>
      </c>
      <c r="L917" s="185" t="n">
        <v>12</v>
      </c>
      <c r="M917" s="184" t="n">
        <v>16210</v>
      </c>
      <c r="N917" s="184" t="n">
        <v>14264.8</v>
      </c>
      <c r="O917" s="186" t="s">
        <v>2223</v>
      </c>
      <c r="P917" s="187" t="n">
        <v>45938</v>
      </c>
    </row>
    <row r="918" customFormat="false" ht="51" hidden="false" customHeight="true" outlineLevel="0" collapsed="false">
      <c r="A918" s="181" t="s">
        <v>2224</v>
      </c>
      <c r="B918" s="182" t="n">
        <v>2222</v>
      </c>
      <c r="C918" s="183" t="n">
        <v>18</v>
      </c>
      <c r="D918" s="181" t="s">
        <v>2005</v>
      </c>
      <c r="E918" s="181" t="s">
        <v>277</v>
      </c>
      <c r="F918" s="181" t="s">
        <v>278</v>
      </c>
      <c r="G918" s="181" t="s">
        <v>2070</v>
      </c>
      <c r="H918" s="181" t="s">
        <v>158</v>
      </c>
      <c r="I918" s="181" t="s">
        <v>240</v>
      </c>
      <c r="J918" s="184" t="n">
        <v>35060</v>
      </c>
      <c r="K918" s="184" t="n">
        <v>15160</v>
      </c>
      <c r="L918" s="185" t="n">
        <v>17</v>
      </c>
      <c r="M918" s="184" t="n">
        <v>19900</v>
      </c>
      <c r="N918" s="184" t="n">
        <v>16517</v>
      </c>
      <c r="O918" s="186" t="s">
        <v>2225</v>
      </c>
      <c r="P918" s="187" t="n">
        <v>45938</v>
      </c>
    </row>
    <row r="919" customFormat="false" ht="51" hidden="false" customHeight="true" outlineLevel="0" collapsed="false">
      <c r="A919" s="181" t="s">
        <v>2226</v>
      </c>
      <c r="B919" s="182" t="n">
        <v>2224</v>
      </c>
      <c r="C919" s="183" t="n">
        <v>7951</v>
      </c>
      <c r="D919" s="181" t="s">
        <v>2066</v>
      </c>
      <c r="E919" s="181" t="s">
        <v>545</v>
      </c>
      <c r="F919" s="181" t="s">
        <v>546</v>
      </c>
      <c r="G919" s="181" t="s">
        <v>2067</v>
      </c>
      <c r="H919" s="181" t="s">
        <v>279</v>
      </c>
      <c r="I919" s="181" t="s">
        <v>241</v>
      </c>
      <c r="J919" s="184" t="n">
        <v>43310</v>
      </c>
      <c r="K919" s="184" t="n">
        <v>16150</v>
      </c>
      <c r="L919" s="185" t="n">
        <v>5</v>
      </c>
      <c r="M919" s="184" t="n">
        <v>27160</v>
      </c>
      <c r="N919" s="184" t="n">
        <v>25802</v>
      </c>
      <c r="O919" s="186" t="s">
        <v>2227</v>
      </c>
      <c r="P919" s="187" t="n">
        <v>45939</v>
      </c>
    </row>
    <row r="920" customFormat="false" ht="51" hidden="false" customHeight="true" outlineLevel="0" collapsed="false">
      <c r="A920" s="181" t="s">
        <v>2228</v>
      </c>
      <c r="B920" s="182" t="n">
        <v>2225</v>
      </c>
      <c r="C920" s="183" t="n">
        <v>7952</v>
      </c>
      <c r="D920" s="181" t="s">
        <v>2066</v>
      </c>
      <c r="E920" s="181" t="s">
        <v>549</v>
      </c>
      <c r="F920" s="181" t="s">
        <v>550</v>
      </c>
      <c r="G920" s="181" t="s">
        <v>2067</v>
      </c>
      <c r="H920" s="181" t="s">
        <v>279</v>
      </c>
      <c r="I920" s="181" t="s">
        <v>241</v>
      </c>
      <c r="J920" s="184" t="n">
        <v>43110</v>
      </c>
      <c r="K920" s="184" t="n">
        <v>15940</v>
      </c>
      <c r="L920" s="185" t="n">
        <v>5</v>
      </c>
      <c r="M920" s="184" t="n">
        <v>27170</v>
      </c>
      <c r="N920" s="184" t="n">
        <v>25811.5</v>
      </c>
      <c r="O920" s="186" t="s">
        <v>2229</v>
      </c>
      <c r="P920" s="187" t="n">
        <v>45939</v>
      </c>
    </row>
    <row r="921" customFormat="false" ht="51" hidden="false" customHeight="true" outlineLevel="0" collapsed="false">
      <c r="A921" s="181" t="s">
        <v>2230</v>
      </c>
      <c r="B921" s="182" t="n">
        <v>2227</v>
      </c>
      <c r="C921" s="183" t="n">
        <v>7853</v>
      </c>
      <c r="D921" s="181" t="s">
        <v>2066</v>
      </c>
      <c r="E921" s="181" t="s">
        <v>537</v>
      </c>
      <c r="F921" s="181" t="s">
        <v>538</v>
      </c>
      <c r="G921" s="181" t="s">
        <v>2067</v>
      </c>
      <c r="H921" s="181" t="s">
        <v>279</v>
      </c>
      <c r="I921" s="181" t="s">
        <v>241</v>
      </c>
      <c r="J921" s="184" t="n">
        <v>36340</v>
      </c>
      <c r="K921" s="184" t="n">
        <v>14030</v>
      </c>
      <c r="L921" s="185" t="n">
        <v>10</v>
      </c>
      <c r="M921" s="184" t="n">
        <v>22310</v>
      </c>
      <c r="N921" s="184" t="n">
        <v>20079</v>
      </c>
      <c r="O921" s="186" t="s">
        <v>2231</v>
      </c>
      <c r="P921" s="187" t="n">
        <v>45939</v>
      </c>
    </row>
    <row r="922" customFormat="false" ht="51" hidden="false" customHeight="true" outlineLevel="0" collapsed="false">
      <c r="A922" s="181" t="s">
        <v>2232</v>
      </c>
      <c r="B922" s="182" t="n">
        <v>2231</v>
      </c>
      <c r="C922" s="183" t="n">
        <v>7955</v>
      </c>
      <c r="D922" s="181" t="s">
        <v>2066</v>
      </c>
      <c r="E922" s="181" t="s">
        <v>533</v>
      </c>
      <c r="F922" s="181" t="s">
        <v>534</v>
      </c>
      <c r="G922" s="181" t="s">
        <v>2067</v>
      </c>
      <c r="H922" s="181" t="s">
        <v>279</v>
      </c>
      <c r="I922" s="181" t="s">
        <v>241</v>
      </c>
      <c r="J922" s="184" t="n">
        <v>39920</v>
      </c>
      <c r="K922" s="184" t="n">
        <v>14700</v>
      </c>
      <c r="L922" s="185" t="n">
        <v>10</v>
      </c>
      <c r="M922" s="184" t="n">
        <v>25220</v>
      </c>
      <c r="N922" s="184" t="n">
        <v>22698</v>
      </c>
      <c r="O922" s="186" t="s">
        <v>2233</v>
      </c>
      <c r="P922" s="187" t="n">
        <v>45939</v>
      </c>
    </row>
    <row r="923" customFormat="false" ht="51" hidden="false" customHeight="true" outlineLevel="0" collapsed="false">
      <c r="A923" s="181" t="s">
        <v>2234</v>
      </c>
      <c r="B923" s="182" t="n">
        <v>2232</v>
      </c>
      <c r="C923" s="183" t="n">
        <v>7954</v>
      </c>
      <c r="D923" s="181" t="s">
        <v>2066</v>
      </c>
      <c r="E923" s="181" t="s">
        <v>541</v>
      </c>
      <c r="F923" s="181" t="s">
        <v>542</v>
      </c>
      <c r="G923" s="181" t="s">
        <v>2067</v>
      </c>
      <c r="H923" s="181" t="s">
        <v>279</v>
      </c>
      <c r="I923" s="181" t="s">
        <v>241</v>
      </c>
      <c r="J923" s="184" t="n">
        <v>41100</v>
      </c>
      <c r="K923" s="184" t="n">
        <v>15060</v>
      </c>
      <c r="L923" s="185" t="n">
        <v>5</v>
      </c>
      <c r="M923" s="184" t="n">
        <v>26040</v>
      </c>
      <c r="N923" s="184" t="n">
        <v>24738</v>
      </c>
      <c r="O923" s="186" t="s">
        <v>2235</v>
      </c>
      <c r="P923" s="187" t="n">
        <v>45939</v>
      </c>
    </row>
    <row r="924" customFormat="false" ht="51" hidden="false" customHeight="true" outlineLevel="0" collapsed="false">
      <c r="A924" s="181" t="s">
        <v>2236</v>
      </c>
      <c r="B924" s="182" t="n">
        <v>2234</v>
      </c>
      <c r="C924" s="183" t="n">
        <v>7958</v>
      </c>
      <c r="D924" s="181" t="s">
        <v>2066</v>
      </c>
      <c r="E924" s="181" t="s">
        <v>1019</v>
      </c>
      <c r="F924" s="181" t="s">
        <v>1020</v>
      </c>
      <c r="G924" s="181" t="s">
        <v>2067</v>
      </c>
      <c r="H924" s="181" t="s">
        <v>279</v>
      </c>
      <c r="I924" s="181" t="s">
        <v>241</v>
      </c>
      <c r="J924" s="184" t="n">
        <v>42410</v>
      </c>
      <c r="K924" s="184" t="n">
        <v>17130</v>
      </c>
      <c r="L924" s="185" t="n">
        <v>10</v>
      </c>
      <c r="M924" s="184" t="n">
        <v>25280</v>
      </c>
      <c r="N924" s="184" t="n">
        <v>22752</v>
      </c>
      <c r="O924" s="186" t="s">
        <v>2237</v>
      </c>
      <c r="P924" s="187" t="n">
        <v>45939</v>
      </c>
    </row>
    <row r="925" customFormat="false" ht="51" hidden="false" customHeight="true" outlineLevel="0" collapsed="false">
      <c r="A925" s="181" t="s">
        <v>2238</v>
      </c>
      <c r="B925" s="182" t="n">
        <v>2236</v>
      </c>
      <c r="C925" s="183" t="n">
        <v>7959</v>
      </c>
      <c r="D925" s="181" t="s">
        <v>2066</v>
      </c>
      <c r="E925" s="181" t="s">
        <v>1027</v>
      </c>
      <c r="F925" s="181" t="s">
        <v>1028</v>
      </c>
      <c r="G925" s="181" t="s">
        <v>2067</v>
      </c>
      <c r="H925" s="181" t="s">
        <v>279</v>
      </c>
      <c r="I925" s="181" t="s">
        <v>241</v>
      </c>
      <c r="J925" s="184" t="n">
        <v>39830</v>
      </c>
      <c r="K925" s="184" t="n">
        <v>14980</v>
      </c>
      <c r="L925" s="185" t="n">
        <v>9</v>
      </c>
      <c r="M925" s="184" t="n">
        <v>24850</v>
      </c>
      <c r="N925" s="184" t="n">
        <v>22613.5</v>
      </c>
      <c r="O925" s="186" t="s">
        <v>2239</v>
      </c>
      <c r="P925" s="187" t="n">
        <v>45939</v>
      </c>
    </row>
    <row r="926" customFormat="false" ht="51" hidden="false" customHeight="true" outlineLevel="0" collapsed="false">
      <c r="A926" s="181" t="s">
        <v>2240</v>
      </c>
      <c r="B926" s="182" t="n">
        <v>2237</v>
      </c>
      <c r="C926" s="183" t="n">
        <v>7960</v>
      </c>
      <c r="D926" s="181" t="s">
        <v>2066</v>
      </c>
      <c r="E926" s="181" t="s">
        <v>1023</v>
      </c>
      <c r="F926" s="181" t="s">
        <v>1024</v>
      </c>
      <c r="G926" s="181" t="s">
        <v>2067</v>
      </c>
      <c r="H926" s="181" t="s">
        <v>279</v>
      </c>
      <c r="I926" s="181" t="s">
        <v>241</v>
      </c>
      <c r="J926" s="184" t="n">
        <v>37100</v>
      </c>
      <c r="K926" s="184" t="n">
        <v>14760</v>
      </c>
      <c r="L926" s="185" t="n">
        <v>5</v>
      </c>
      <c r="M926" s="184" t="n">
        <v>22340</v>
      </c>
      <c r="N926" s="184" t="n">
        <v>21223</v>
      </c>
      <c r="O926" s="186" t="s">
        <v>2241</v>
      </c>
      <c r="P926" s="187" t="n">
        <v>45939</v>
      </c>
    </row>
    <row r="927" customFormat="false" ht="51" hidden="false" customHeight="true" outlineLevel="0" collapsed="false">
      <c r="A927" s="181" t="s">
        <v>2242</v>
      </c>
      <c r="B927" s="182" t="n">
        <v>2238</v>
      </c>
      <c r="C927" s="183" t="n">
        <v>7961</v>
      </c>
      <c r="D927" s="181" t="s">
        <v>2066</v>
      </c>
      <c r="E927" s="181" t="s">
        <v>439</v>
      </c>
      <c r="F927" s="181" t="s">
        <v>440</v>
      </c>
      <c r="G927" s="181" t="s">
        <v>2067</v>
      </c>
      <c r="H927" s="181" t="s">
        <v>279</v>
      </c>
      <c r="I927" s="181" t="s">
        <v>241</v>
      </c>
      <c r="J927" s="184" t="n">
        <v>40670</v>
      </c>
      <c r="K927" s="184" t="n">
        <v>16330</v>
      </c>
      <c r="L927" s="185" t="n">
        <v>11</v>
      </c>
      <c r="M927" s="184" t="n">
        <v>24340</v>
      </c>
      <c r="N927" s="184" t="n">
        <v>21662.6</v>
      </c>
      <c r="O927" s="186" t="s">
        <v>2243</v>
      </c>
      <c r="P927" s="187" t="n">
        <v>45939</v>
      </c>
    </row>
    <row r="928" customFormat="false" ht="51" hidden="false" customHeight="true" outlineLevel="0" collapsed="false">
      <c r="A928" s="181" t="s">
        <v>2244</v>
      </c>
      <c r="B928" s="182" t="n">
        <v>2240</v>
      </c>
      <c r="C928" s="183" t="n">
        <v>7962</v>
      </c>
      <c r="D928" s="181" t="s">
        <v>2066</v>
      </c>
      <c r="E928" s="181" t="s">
        <v>431</v>
      </c>
      <c r="F928" s="181" t="s">
        <v>432</v>
      </c>
      <c r="G928" s="181" t="s">
        <v>2067</v>
      </c>
      <c r="H928" s="181" t="s">
        <v>279</v>
      </c>
      <c r="I928" s="181" t="s">
        <v>241</v>
      </c>
      <c r="J928" s="184" t="n">
        <v>39060</v>
      </c>
      <c r="K928" s="184" t="n">
        <v>16560</v>
      </c>
      <c r="L928" s="185" t="n">
        <v>13</v>
      </c>
      <c r="M928" s="184" t="n">
        <v>22500</v>
      </c>
      <c r="N928" s="184" t="n">
        <v>19575</v>
      </c>
      <c r="O928" s="186" t="s">
        <v>2245</v>
      </c>
      <c r="P928" s="187" t="n">
        <v>45939</v>
      </c>
    </row>
    <row r="929" customFormat="false" ht="51" hidden="false" customHeight="true" outlineLevel="0" collapsed="false">
      <c r="A929" s="181" t="s">
        <v>2246</v>
      </c>
      <c r="B929" s="182" t="n">
        <v>2241</v>
      </c>
      <c r="C929" s="183" t="n">
        <v>7963</v>
      </c>
      <c r="D929" s="181" t="s">
        <v>2066</v>
      </c>
      <c r="E929" s="181" t="s">
        <v>435</v>
      </c>
      <c r="F929" s="181" t="s">
        <v>436</v>
      </c>
      <c r="G929" s="181" t="s">
        <v>2067</v>
      </c>
      <c r="H929" s="181" t="s">
        <v>279</v>
      </c>
      <c r="I929" s="181" t="s">
        <v>241</v>
      </c>
      <c r="J929" s="184" t="n">
        <v>39900</v>
      </c>
      <c r="K929" s="184" t="n">
        <v>16470</v>
      </c>
      <c r="L929" s="185" t="n">
        <v>12</v>
      </c>
      <c r="M929" s="184" t="n">
        <v>23430</v>
      </c>
      <c r="N929" s="184" t="n">
        <v>20618.4</v>
      </c>
      <c r="O929" s="186" t="s">
        <v>2247</v>
      </c>
      <c r="P929" s="187" t="n">
        <v>45939</v>
      </c>
    </row>
    <row r="930" customFormat="false" ht="51" hidden="false" customHeight="true" outlineLevel="0" collapsed="false">
      <c r="A930" s="181" t="s">
        <v>2248</v>
      </c>
      <c r="B930" s="182" t="n">
        <v>2243</v>
      </c>
      <c r="C930" s="183" t="n">
        <v>7974</v>
      </c>
      <c r="D930" s="181" t="s">
        <v>2066</v>
      </c>
      <c r="E930" s="181" t="s">
        <v>300</v>
      </c>
      <c r="F930" s="181" t="s">
        <v>301</v>
      </c>
      <c r="G930" s="181" t="s">
        <v>2067</v>
      </c>
      <c r="H930" s="181" t="s">
        <v>279</v>
      </c>
      <c r="I930" s="181" t="s">
        <v>241</v>
      </c>
      <c r="J930" s="184" t="n">
        <v>60510</v>
      </c>
      <c r="K930" s="184" t="n">
        <v>21280</v>
      </c>
      <c r="L930" s="185" t="n">
        <v>13</v>
      </c>
      <c r="M930" s="184" t="n">
        <v>39230</v>
      </c>
      <c r="N930" s="184" t="n">
        <v>34130.1</v>
      </c>
      <c r="O930" s="186" t="s">
        <v>2249</v>
      </c>
      <c r="P930" s="187" t="n">
        <v>45939</v>
      </c>
    </row>
    <row r="931" customFormat="false" ht="51" hidden="false" customHeight="true" outlineLevel="0" collapsed="false">
      <c r="A931" s="181" t="s">
        <v>2250</v>
      </c>
      <c r="B931" s="182" t="n">
        <v>2244</v>
      </c>
      <c r="C931" s="183" t="n">
        <v>7975</v>
      </c>
      <c r="D931" s="181" t="s">
        <v>2066</v>
      </c>
      <c r="E931" s="181" t="s">
        <v>350</v>
      </c>
      <c r="F931" s="181" t="s">
        <v>351</v>
      </c>
      <c r="G931" s="181" t="s">
        <v>2067</v>
      </c>
      <c r="H931" s="181" t="s">
        <v>279</v>
      </c>
      <c r="I931" s="181" t="s">
        <v>241</v>
      </c>
      <c r="J931" s="184" t="n">
        <v>43940</v>
      </c>
      <c r="K931" s="184" t="n">
        <v>14990</v>
      </c>
      <c r="L931" s="185" t="n">
        <v>8</v>
      </c>
      <c r="M931" s="184" t="n">
        <v>28950</v>
      </c>
      <c r="N931" s="184" t="n">
        <v>26634</v>
      </c>
      <c r="O931" s="186" t="s">
        <v>2251</v>
      </c>
      <c r="P931" s="187" t="n">
        <v>45939</v>
      </c>
    </row>
    <row r="932" customFormat="false" ht="51" hidden="false" customHeight="true" outlineLevel="0" collapsed="false">
      <c r="A932" s="181" t="s">
        <v>2252</v>
      </c>
      <c r="B932" s="182" t="n">
        <v>2245</v>
      </c>
      <c r="C932" s="183" t="n">
        <v>7977</v>
      </c>
      <c r="D932" s="181" t="s">
        <v>2066</v>
      </c>
      <c r="E932" s="181" t="s">
        <v>383</v>
      </c>
      <c r="F932" s="181" t="s">
        <v>384</v>
      </c>
      <c r="G932" s="181" t="s">
        <v>2067</v>
      </c>
      <c r="H932" s="181" t="s">
        <v>279</v>
      </c>
      <c r="I932" s="181" t="s">
        <v>241</v>
      </c>
      <c r="J932" s="184" t="n">
        <v>41370</v>
      </c>
      <c r="K932" s="184" t="n">
        <v>14910</v>
      </c>
      <c r="L932" s="185" t="n">
        <v>9</v>
      </c>
      <c r="M932" s="184" t="n">
        <v>26460</v>
      </c>
      <c r="N932" s="184" t="n">
        <v>24078.6</v>
      </c>
      <c r="O932" s="186" t="s">
        <v>2253</v>
      </c>
      <c r="P932" s="187" t="n">
        <v>45939</v>
      </c>
    </row>
    <row r="933" customFormat="false" ht="51" hidden="false" customHeight="true" outlineLevel="0" collapsed="false">
      <c r="A933" s="181" t="s">
        <v>2254</v>
      </c>
      <c r="B933" s="182" t="n">
        <v>2246</v>
      </c>
      <c r="C933" s="183" t="n">
        <v>7978</v>
      </c>
      <c r="D933" s="181" t="s">
        <v>2066</v>
      </c>
      <c r="E933" s="181" t="s">
        <v>387</v>
      </c>
      <c r="F933" s="181" t="s">
        <v>388</v>
      </c>
      <c r="G933" s="181" t="s">
        <v>2067</v>
      </c>
      <c r="H933" s="181" t="s">
        <v>279</v>
      </c>
      <c r="I933" s="181" t="s">
        <v>241</v>
      </c>
      <c r="J933" s="184" t="n">
        <v>43900</v>
      </c>
      <c r="K933" s="184" t="n">
        <v>15050</v>
      </c>
      <c r="L933" s="185" t="n">
        <v>14</v>
      </c>
      <c r="M933" s="184" t="n">
        <v>28850</v>
      </c>
      <c r="N933" s="184" t="n">
        <v>24811</v>
      </c>
      <c r="O933" s="186" t="s">
        <v>2255</v>
      </c>
      <c r="P933" s="187" t="n">
        <v>45939</v>
      </c>
    </row>
    <row r="934" customFormat="false" ht="51" hidden="false" customHeight="true" outlineLevel="0" collapsed="false">
      <c r="A934" s="181" t="s">
        <v>2256</v>
      </c>
      <c r="B934" s="182" t="n">
        <v>2247</v>
      </c>
      <c r="C934" s="183" t="n">
        <v>7982</v>
      </c>
      <c r="D934" s="181" t="s">
        <v>2066</v>
      </c>
      <c r="E934" s="181" t="s">
        <v>308</v>
      </c>
      <c r="F934" s="181" t="s">
        <v>309</v>
      </c>
      <c r="G934" s="181" t="s">
        <v>2067</v>
      </c>
      <c r="H934" s="181" t="s">
        <v>279</v>
      </c>
      <c r="I934" s="181" t="s">
        <v>241</v>
      </c>
      <c r="J934" s="184" t="n">
        <v>64040</v>
      </c>
      <c r="K934" s="184" t="n">
        <v>24020</v>
      </c>
      <c r="L934" s="185" t="n">
        <v>14</v>
      </c>
      <c r="M934" s="184" t="n">
        <v>40020</v>
      </c>
      <c r="N934" s="184" t="n">
        <v>34417.2</v>
      </c>
      <c r="O934" s="186" t="s">
        <v>2257</v>
      </c>
      <c r="P934" s="187" t="n">
        <v>45939</v>
      </c>
    </row>
    <row r="935" customFormat="false" ht="51" hidden="false" customHeight="true" outlineLevel="0" collapsed="false">
      <c r="A935" s="181" t="s">
        <v>2258</v>
      </c>
      <c r="B935" s="182" t="n">
        <v>2248</v>
      </c>
      <c r="C935" s="183" t="n">
        <v>7987</v>
      </c>
      <c r="D935" s="181" t="s">
        <v>2066</v>
      </c>
      <c r="E935" s="181" t="s">
        <v>399</v>
      </c>
      <c r="F935" s="181" t="s">
        <v>400</v>
      </c>
      <c r="G935" s="181" t="s">
        <v>2067</v>
      </c>
      <c r="H935" s="181" t="s">
        <v>279</v>
      </c>
      <c r="I935" s="181" t="s">
        <v>241</v>
      </c>
      <c r="J935" s="184" t="n">
        <v>50900</v>
      </c>
      <c r="K935" s="184" t="n">
        <v>19430</v>
      </c>
      <c r="L935" s="185" t="n">
        <v>12</v>
      </c>
      <c r="M935" s="184" t="n">
        <v>31470</v>
      </c>
      <c r="N935" s="184" t="n">
        <v>27693.6</v>
      </c>
      <c r="O935" s="186" t="s">
        <v>2259</v>
      </c>
      <c r="P935" s="187" t="n">
        <v>45939</v>
      </c>
    </row>
    <row r="936" customFormat="false" ht="51" hidden="false" customHeight="true" outlineLevel="0" collapsed="false">
      <c r="A936" s="181" t="s">
        <v>2260</v>
      </c>
      <c r="B936" s="182" t="n">
        <v>2249</v>
      </c>
      <c r="C936" s="183" t="n">
        <v>7993</v>
      </c>
      <c r="D936" s="181" t="s">
        <v>2066</v>
      </c>
      <c r="E936" s="181" t="s">
        <v>272</v>
      </c>
      <c r="F936" s="181" t="s">
        <v>273</v>
      </c>
      <c r="G936" s="181" t="s">
        <v>2067</v>
      </c>
      <c r="H936" s="181" t="s">
        <v>279</v>
      </c>
      <c r="I936" s="181" t="s">
        <v>241</v>
      </c>
      <c r="J936" s="184" t="n">
        <v>40210</v>
      </c>
      <c r="K936" s="184" t="n">
        <v>15610</v>
      </c>
      <c r="L936" s="185" t="n">
        <v>12</v>
      </c>
      <c r="M936" s="184" t="n">
        <v>24600</v>
      </c>
      <c r="N936" s="184" t="n">
        <v>21648</v>
      </c>
      <c r="O936" s="186" t="s">
        <v>2261</v>
      </c>
      <c r="P936" s="187" t="n">
        <v>45940</v>
      </c>
    </row>
    <row r="937" customFormat="false" ht="51" hidden="false" customHeight="true" outlineLevel="0" collapsed="false">
      <c r="A937" s="181" t="s">
        <v>2262</v>
      </c>
      <c r="B937" s="182" t="n">
        <v>2250</v>
      </c>
      <c r="C937" s="183" t="n">
        <v>7994</v>
      </c>
      <c r="D937" s="181" t="s">
        <v>2066</v>
      </c>
      <c r="E937" s="181" t="s">
        <v>582</v>
      </c>
      <c r="F937" s="181" t="s">
        <v>583</v>
      </c>
      <c r="G937" s="181" t="s">
        <v>2067</v>
      </c>
      <c r="H937" s="181" t="s">
        <v>279</v>
      </c>
      <c r="I937" s="181" t="s">
        <v>241</v>
      </c>
      <c r="J937" s="184" t="n">
        <v>39940</v>
      </c>
      <c r="K937" s="184" t="n">
        <v>14910</v>
      </c>
      <c r="L937" s="185" t="n">
        <v>13</v>
      </c>
      <c r="M937" s="184" t="n">
        <v>25030</v>
      </c>
      <c r="N937" s="184" t="n">
        <v>21776.1</v>
      </c>
      <c r="O937" s="186" t="s">
        <v>2263</v>
      </c>
      <c r="P937" s="187" t="n">
        <v>45940</v>
      </c>
    </row>
    <row r="938" customFormat="false" ht="51" hidden="false" customHeight="true" outlineLevel="0" collapsed="false">
      <c r="A938" s="181" t="s">
        <v>2264</v>
      </c>
      <c r="B938" s="182" t="n">
        <v>2251</v>
      </c>
      <c r="C938" s="183" t="n">
        <v>7995</v>
      </c>
      <c r="D938" s="181" t="s">
        <v>2066</v>
      </c>
      <c r="E938" s="181" t="s">
        <v>266</v>
      </c>
      <c r="F938" s="181" t="s">
        <v>267</v>
      </c>
      <c r="G938" s="181" t="s">
        <v>2067</v>
      </c>
      <c r="H938" s="181" t="s">
        <v>279</v>
      </c>
      <c r="I938" s="181" t="s">
        <v>241</v>
      </c>
      <c r="J938" s="184" t="n">
        <v>36810</v>
      </c>
      <c r="K938" s="184" t="n">
        <v>14910</v>
      </c>
      <c r="L938" s="185" t="n">
        <v>16</v>
      </c>
      <c r="M938" s="184" t="n">
        <v>21900</v>
      </c>
      <c r="N938" s="184" t="n">
        <v>18396</v>
      </c>
      <c r="O938" s="186" t="s">
        <v>2265</v>
      </c>
      <c r="P938" s="187" t="n">
        <v>45940</v>
      </c>
    </row>
    <row r="939" customFormat="false" ht="51" hidden="false" customHeight="true" outlineLevel="0" collapsed="false">
      <c r="A939" s="181" t="s">
        <v>2266</v>
      </c>
      <c r="B939" s="182" t="n">
        <v>2252</v>
      </c>
      <c r="C939" s="183" t="n">
        <v>7998</v>
      </c>
      <c r="D939" s="181" t="s">
        <v>2066</v>
      </c>
      <c r="E939" s="181" t="s">
        <v>409</v>
      </c>
      <c r="F939" s="181" t="s">
        <v>410</v>
      </c>
      <c r="G939" s="181" t="s">
        <v>2067</v>
      </c>
      <c r="H939" s="181" t="s">
        <v>279</v>
      </c>
      <c r="I939" s="181" t="s">
        <v>241</v>
      </c>
      <c r="J939" s="184" t="n">
        <v>64690</v>
      </c>
      <c r="K939" s="184" t="n">
        <v>24450</v>
      </c>
      <c r="L939" s="185" t="n">
        <v>7</v>
      </c>
      <c r="M939" s="184" t="n">
        <v>40240</v>
      </c>
      <c r="N939" s="184" t="n">
        <v>37423.2</v>
      </c>
      <c r="O939" s="186" t="s">
        <v>2267</v>
      </c>
      <c r="P939" s="187" t="n">
        <v>45940</v>
      </c>
    </row>
    <row r="940" customFormat="false" ht="51" hidden="false" customHeight="true" outlineLevel="0" collapsed="false">
      <c r="A940" s="181" t="s">
        <v>2268</v>
      </c>
      <c r="B940" s="182" t="n">
        <v>2253</v>
      </c>
      <c r="C940" s="183" t="n">
        <v>7999</v>
      </c>
      <c r="D940" s="181" t="s">
        <v>2066</v>
      </c>
      <c r="E940" s="181" t="s">
        <v>413</v>
      </c>
      <c r="F940" s="181" t="s">
        <v>414</v>
      </c>
      <c r="G940" s="181" t="s">
        <v>2067</v>
      </c>
      <c r="H940" s="181" t="s">
        <v>279</v>
      </c>
      <c r="I940" s="181" t="s">
        <v>241</v>
      </c>
      <c r="J940" s="184" t="n">
        <v>44900</v>
      </c>
      <c r="K940" s="184" t="n">
        <v>15720</v>
      </c>
      <c r="L940" s="185" t="n">
        <v>16</v>
      </c>
      <c r="M940" s="184" t="n">
        <v>29180</v>
      </c>
      <c r="N940" s="184" t="n">
        <v>24511.2</v>
      </c>
      <c r="O940" s="186" t="s">
        <v>2269</v>
      </c>
      <c r="P940" s="187" t="n">
        <v>45940</v>
      </c>
    </row>
    <row r="941" customFormat="false" ht="51" hidden="false" customHeight="true" outlineLevel="0" collapsed="false">
      <c r="A941" s="181" t="s">
        <v>2271</v>
      </c>
      <c r="B941" s="182" t="n">
        <v>2254</v>
      </c>
      <c r="C941" s="183" t="n">
        <v>8000</v>
      </c>
      <c r="D941" s="181" t="s">
        <v>2066</v>
      </c>
      <c r="E941" s="181" t="s">
        <v>377</v>
      </c>
      <c r="F941" s="181" t="s">
        <v>378</v>
      </c>
      <c r="G941" s="181" t="s">
        <v>2067</v>
      </c>
      <c r="H941" s="181" t="s">
        <v>279</v>
      </c>
      <c r="I941" s="181" t="s">
        <v>241</v>
      </c>
      <c r="J941" s="184" t="n">
        <v>41590</v>
      </c>
      <c r="K941" s="184" t="n">
        <v>15670</v>
      </c>
      <c r="L941" s="185" t="n">
        <v>14</v>
      </c>
      <c r="M941" s="184" t="n">
        <v>25920</v>
      </c>
      <c r="N941" s="184" t="n">
        <v>22291.2</v>
      </c>
      <c r="O941" s="186" t="s">
        <v>2272</v>
      </c>
      <c r="P941" s="187" t="n">
        <v>45940</v>
      </c>
    </row>
    <row r="942" customFormat="false" ht="51" hidden="false" customHeight="true" outlineLevel="0" collapsed="false">
      <c r="A942" s="181" t="s">
        <v>2273</v>
      </c>
      <c r="B942" s="182" t="n">
        <v>2255</v>
      </c>
      <c r="C942" s="183" t="n">
        <v>8005</v>
      </c>
      <c r="D942" s="181" t="s">
        <v>2066</v>
      </c>
      <c r="E942" s="181" t="s">
        <v>277</v>
      </c>
      <c r="F942" s="181" t="s">
        <v>278</v>
      </c>
      <c r="G942" s="181" t="s">
        <v>2067</v>
      </c>
      <c r="H942" s="181" t="s">
        <v>279</v>
      </c>
      <c r="I942" s="181" t="s">
        <v>241</v>
      </c>
      <c r="J942" s="184" t="n">
        <v>43180</v>
      </c>
      <c r="K942" s="184" t="n">
        <v>15080</v>
      </c>
      <c r="L942" s="185" t="n">
        <v>8</v>
      </c>
      <c r="M942" s="184" t="n">
        <v>28100</v>
      </c>
      <c r="N942" s="184" t="n">
        <v>25852</v>
      </c>
      <c r="O942" s="186" t="s">
        <v>2274</v>
      </c>
      <c r="P942" s="187" t="n">
        <v>45940</v>
      </c>
    </row>
    <row r="943" customFormat="false" ht="51" hidden="false" customHeight="true" outlineLevel="0" collapsed="false">
      <c r="A943" s="181" t="s">
        <v>2275</v>
      </c>
      <c r="B943" s="182" t="n">
        <v>2256</v>
      </c>
      <c r="C943" s="183" t="n">
        <v>8006</v>
      </c>
      <c r="D943" s="181" t="s">
        <v>2066</v>
      </c>
      <c r="E943" s="181" t="s">
        <v>346</v>
      </c>
      <c r="F943" s="181" t="s">
        <v>347</v>
      </c>
      <c r="G943" s="181" t="s">
        <v>2067</v>
      </c>
      <c r="H943" s="181" t="s">
        <v>279</v>
      </c>
      <c r="I943" s="181" t="s">
        <v>241</v>
      </c>
      <c r="J943" s="184" t="n">
        <v>40820</v>
      </c>
      <c r="K943" s="184" t="n">
        <v>15050</v>
      </c>
      <c r="L943" s="185" t="n">
        <v>7</v>
      </c>
      <c r="M943" s="184" t="n">
        <v>25770</v>
      </c>
      <c r="N943" s="184" t="n">
        <v>23966.1</v>
      </c>
      <c r="O943" s="186" t="s">
        <v>2276</v>
      </c>
      <c r="P943" s="187" t="n">
        <v>45940</v>
      </c>
    </row>
    <row r="944" customFormat="false" ht="51" hidden="false" customHeight="true" outlineLevel="0" collapsed="false">
      <c r="A944" s="181" t="s">
        <v>2277</v>
      </c>
      <c r="B944" s="182" t="n">
        <v>2257</v>
      </c>
      <c r="C944" s="183" t="n">
        <v>8007</v>
      </c>
      <c r="D944" s="181" t="s">
        <v>2066</v>
      </c>
      <c r="E944" s="181" t="s">
        <v>545</v>
      </c>
      <c r="F944" s="181" t="s">
        <v>546</v>
      </c>
      <c r="G944" s="181" t="s">
        <v>2067</v>
      </c>
      <c r="H944" s="181" t="s">
        <v>279</v>
      </c>
      <c r="I944" s="181" t="s">
        <v>241</v>
      </c>
      <c r="J944" s="184" t="n">
        <v>43140</v>
      </c>
      <c r="K944" s="184" t="n">
        <v>15940</v>
      </c>
      <c r="L944" s="185" t="n">
        <v>23</v>
      </c>
      <c r="M944" s="184" t="n">
        <v>27200</v>
      </c>
      <c r="N944" s="184" t="n">
        <v>20944</v>
      </c>
      <c r="O944" s="186" t="s">
        <v>2278</v>
      </c>
      <c r="P944" s="187" t="n">
        <v>45940</v>
      </c>
    </row>
    <row r="945" customFormat="false" ht="51" hidden="false" customHeight="true" outlineLevel="0" collapsed="false">
      <c r="A945" s="181" t="s">
        <v>2279</v>
      </c>
      <c r="B945" s="182" t="n">
        <v>2259</v>
      </c>
      <c r="C945" s="183" t="n">
        <v>8010</v>
      </c>
      <c r="D945" s="181" t="s">
        <v>2066</v>
      </c>
      <c r="E945" s="181" t="s">
        <v>549</v>
      </c>
      <c r="F945" s="181" t="s">
        <v>550</v>
      </c>
      <c r="G945" s="181" t="s">
        <v>2067</v>
      </c>
      <c r="H945" s="181" t="s">
        <v>279</v>
      </c>
      <c r="I945" s="181" t="s">
        <v>241</v>
      </c>
      <c r="J945" s="184" t="n">
        <v>42450</v>
      </c>
      <c r="K945" s="184" t="n">
        <v>15720</v>
      </c>
      <c r="L945" s="185" t="n">
        <v>9</v>
      </c>
      <c r="M945" s="184" t="n">
        <v>26730</v>
      </c>
      <c r="N945" s="184" t="n">
        <v>24324.3</v>
      </c>
      <c r="O945" s="186" t="s">
        <v>2280</v>
      </c>
      <c r="P945" s="187" t="n">
        <v>45940</v>
      </c>
    </row>
    <row r="946" customFormat="false" ht="51" hidden="false" customHeight="true" outlineLevel="0" collapsed="false">
      <c r="A946" s="181" t="s">
        <v>2281</v>
      </c>
      <c r="B946" s="182" t="n">
        <v>2262</v>
      </c>
      <c r="C946" s="183" t="n">
        <v>8012</v>
      </c>
      <c r="D946" s="181" t="s">
        <v>2066</v>
      </c>
      <c r="E946" s="181" t="s">
        <v>537</v>
      </c>
      <c r="F946" s="181" t="s">
        <v>538</v>
      </c>
      <c r="G946" s="181" t="s">
        <v>2067</v>
      </c>
      <c r="H946" s="181" t="s">
        <v>279</v>
      </c>
      <c r="I946" s="181" t="s">
        <v>241</v>
      </c>
      <c r="J946" s="184" t="n">
        <v>36100</v>
      </c>
      <c r="K946" s="184" t="n">
        <v>13800</v>
      </c>
      <c r="L946" s="185" t="n">
        <v>10</v>
      </c>
      <c r="M946" s="184" t="n">
        <v>22300</v>
      </c>
      <c r="N946" s="184" t="n">
        <v>20070</v>
      </c>
      <c r="O946" s="186" t="s">
        <v>2282</v>
      </c>
      <c r="P946" s="187" t="n">
        <v>45940</v>
      </c>
    </row>
    <row r="947" customFormat="false" ht="51" hidden="false" customHeight="true" outlineLevel="0" collapsed="false">
      <c r="A947" s="181" t="s">
        <v>2283</v>
      </c>
      <c r="B947" s="182" t="n">
        <v>2265</v>
      </c>
      <c r="C947" s="183" t="n">
        <v>8017</v>
      </c>
      <c r="D947" s="181" t="s">
        <v>2066</v>
      </c>
      <c r="E947" s="181" t="s">
        <v>533</v>
      </c>
      <c r="F947" s="181" t="s">
        <v>534</v>
      </c>
      <c r="G947" s="181" t="s">
        <v>2067</v>
      </c>
      <c r="H947" s="181" t="s">
        <v>279</v>
      </c>
      <c r="I947" s="181" t="s">
        <v>241</v>
      </c>
      <c r="J947" s="184" t="n">
        <v>39530</v>
      </c>
      <c r="K947" s="184" t="n">
        <v>14450</v>
      </c>
      <c r="L947" s="185" t="n">
        <v>13</v>
      </c>
      <c r="M947" s="184" t="n">
        <v>25080</v>
      </c>
      <c r="N947" s="184" t="n">
        <v>21819.6</v>
      </c>
      <c r="O947" s="186" t="s">
        <v>2284</v>
      </c>
      <c r="P947" s="187" t="n">
        <v>45940</v>
      </c>
    </row>
    <row r="948" customFormat="false" ht="51" hidden="false" customHeight="true" outlineLevel="0" collapsed="false">
      <c r="A948" s="181" t="s">
        <v>2285</v>
      </c>
      <c r="B948" s="182" t="n">
        <v>2266</v>
      </c>
      <c r="C948" s="183" t="n">
        <v>8019</v>
      </c>
      <c r="D948" s="181" t="s">
        <v>2066</v>
      </c>
      <c r="E948" s="181" t="s">
        <v>541</v>
      </c>
      <c r="F948" s="181" t="s">
        <v>542</v>
      </c>
      <c r="G948" s="181" t="s">
        <v>2067</v>
      </c>
      <c r="H948" s="181" t="s">
        <v>279</v>
      </c>
      <c r="I948" s="181" t="s">
        <v>241</v>
      </c>
      <c r="J948" s="184" t="n">
        <v>40370</v>
      </c>
      <c r="K948" s="184" t="n">
        <v>14810</v>
      </c>
      <c r="L948" s="185" t="n">
        <v>6</v>
      </c>
      <c r="M948" s="184" t="n">
        <v>25560</v>
      </c>
      <c r="N948" s="184" t="n">
        <v>24026.4</v>
      </c>
      <c r="O948" s="186" t="s">
        <v>2286</v>
      </c>
      <c r="P948" s="187" t="n">
        <v>45940</v>
      </c>
    </row>
    <row r="949" customFormat="false" ht="51" hidden="false" customHeight="true" outlineLevel="0" collapsed="false">
      <c r="A949" s="181" t="s">
        <v>2287</v>
      </c>
      <c r="B949" s="182" t="n">
        <v>2267</v>
      </c>
      <c r="C949" s="183" t="n">
        <v>8028</v>
      </c>
      <c r="D949" s="181" t="s">
        <v>2066</v>
      </c>
      <c r="E949" s="181" t="s">
        <v>1019</v>
      </c>
      <c r="F949" s="181" t="s">
        <v>1020</v>
      </c>
      <c r="G949" s="181" t="s">
        <v>2067</v>
      </c>
      <c r="H949" s="181" t="s">
        <v>279</v>
      </c>
      <c r="I949" s="181" t="s">
        <v>241</v>
      </c>
      <c r="J949" s="184" t="n">
        <v>44620</v>
      </c>
      <c r="K949" s="184" t="n">
        <v>17090</v>
      </c>
      <c r="L949" s="185" t="n">
        <v>4</v>
      </c>
      <c r="M949" s="184" t="n">
        <v>27530</v>
      </c>
      <c r="N949" s="184" t="n">
        <v>26428.8</v>
      </c>
      <c r="O949" s="186" t="s">
        <v>2288</v>
      </c>
      <c r="P949" s="187" t="n">
        <v>45940</v>
      </c>
    </row>
    <row r="950" customFormat="false" ht="51" hidden="false" customHeight="true" outlineLevel="0" collapsed="false">
      <c r="A950" s="181" t="s">
        <v>2289</v>
      </c>
      <c r="B950" s="182" t="n">
        <v>2269</v>
      </c>
      <c r="C950" s="183" t="n">
        <v>8029</v>
      </c>
      <c r="D950" s="181" t="s">
        <v>2066</v>
      </c>
      <c r="E950" s="181" t="s">
        <v>1027</v>
      </c>
      <c r="F950" s="181" t="s">
        <v>1028</v>
      </c>
      <c r="G950" s="181" t="s">
        <v>2067</v>
      </c>
      <c r="H950" s="181" t="s">
        <v>279</v>
      </c>
      <c r="I950" s="181" t="s">
        <v>241</v>
      </c>
      <c r="J950" s="184" t="n">
        <v>39260</v>
      </c>
      <c r="K950" s="184" t="n">
        <v>15000</v>
      </c>
      <c r="L950" s="185" t="n">
        <v>15</v>
      </c>
      <c r="M950" s="184" t="n">
        <v>24260</v>
      </c>
      <c r="N950" s="184" t="n">
        <v>20621</v>
      </c>
      <c r="O950" s="186" t="s">
        <v>2290</v>
      </c>
      <c r="P950" s="187" t="n">
        <v>45940</v>
      </c>
    </row>
    <row r="951" customFormat="false" ht="51" hidden="false" customHeight="true" outlineLevel="0" collapsed="false">
      <c r="A951" s="181" t="s">
        <v>2291</v>
      </c>
      <c r="B951" s="182" t="n">
        <v>2270</v>
      </c>
      <c r="C951" s="183" t="n">
        <v>8030</v>
      </c>
      <c r="D951" s="181" t="s">
        <v>2066</v>
      </c>
      <c r="E951" s="181" t="s">
        <v>1023</v>
      </c>
      <c r="F951" s="181" t="s">
        <v>1024</v>
      </c>
      <c r="G951" s="181" t="s">
        <v>2292</v>
      </c>
      <c r="H951" s="181" t="s">
        <v>279</v>
      </c>
      <c r="I951" s="181" t="s">
        <v>241</v>
      </c>
      <c r="J951" s="184" t="n">
        <v>37000</v>
      </c>
      <c r="K951" s="184" t="n">
        <v>14770</v>
      </c>
      <c r="L951" s="185" t="n">
        <v>12</v>
      </c>
      <c r="M951" s="184" t="n">
        <v>22230</v>
      </c>
      <c r="N951" s="184" t="n">
        <v>19562.4</v>
      </c>
      <c r="O951" s="186" t="s">
        <v>2293</v>
      </c>
      <c r="P951" s="187" t="n">
        <v>45940</v>
      </c>
    </row>
    <row r="952" customFormat="false" ht="51" hidden="false" customHeight="true" outlineLevel="0" collapsed="false">
      <c r="A952" s="181" t="s">
        <v>2294</v>
      </c>
      <c r="B952" s="182" t="n">
        <v>2272</v>
      </c>
      <c r="C952" s="183" t="n">
        <v>8035</v>
      </c>
      <c r="D952" s="181" t="s">
        <v>2066</v>
      </c>
      <c r="E952" s="181" t="s">
        <v>439</v>
      </c>
      <c r="F952" s="181" t="s">
        <v>440</v>
      </c>
      <c r="G952" s="181" t="s">
        <v>2292</v>
      </c>
      <c r="H952" s="181" t="s">
        <v>279</v>
      </c>
      <c r="I952" s="181" t="s">
        <v>241</v>
      </c>
      <c r="J952" s="184" t="n">
        <v>40260</v>
      </c>
      <c r="K952" s="184" t="n">
        <v>16390</v>
      </c>
      <c r="L952" s="185" t="n">
        <v>4</v>
      </c>
      <c r="M952" s="184" t="n">
        <v>23870</v>
      </c>
      <c r="N952" s="184" t="n">
        <v>22915.2</v>
      </c>
      <c r="O952" s="186" t="s">
        <v>2295</v>
      </c>
      <c r="P952" s="187" t="n">
        <v>45940</v>
      </c>
    </row>
    <row r="953" customFormat="false" ht="51" hidden="false" customHeight="true" outlineLevel="0" collapsed="false">
      <c r="A953" s="181" t="s">
        <v>2296</v>
      </c>
      <c r="B953" s="182" t="n">
        <v>2273</v>
      </c>
      <c r="C953" s="183" t="n">
        <v>8036</v>
      </c>
      <c r="D953" s="181" t="s">
        <v>2066</v>
      </c>
      <c r="E953" s="181" t="s">
        <v>431</v>
      </c>
      <c r="F953" s="181" t="s">
        <v>432</v>
      </c>
      <c r="G953" s="181" t="s">
        <v>2292</v>
      </c>
      <c r="H953" s="181" t="s">
        <v>279</v>
      </c>
      <c r="I953" s="181" t="s">
        <v>241</v>
      </c>
      <c r="J953" s="184" t="n">
        <v>41390</v>
      </c>
      <c r="K953" s="184" t="n">
        <v>16500</v>
      </c>
      <c r="L953" s="185" t="n">
        <v>7</v>
      </c>
      <c r="M953" s="184" t="n">
        <v>24890</v>
      </c>
      <c r="N953" s="184" t="n">
        <v>23147.7</v>
      </c>
      <c r="O953" s="186" t="s">
        <v>2297</v>
      </c>
      <c r="P953" s="187" t="n">
        <v>45940</v>
      </c>
    </row>
    <row r="954" customFormat="false" ht="51" hidden="false" customHeight="true" outlineLevel="0" collapsed="false">
      <c r="A954" s="181" t="s">
        <v>2298</v>
      </c>
      <c r="B954" s="182" t="n">
        <v>2276</v>
      </c>
      <c r="C954" s="183" t="n">
        <v>8037</v>
      </c>
      <c r="D954" s="181" t="s">
        <v>2066</v>
      </c>
      <c r="E954" s="181" t="s">
        <v>435</v>
      </c>
      <c r="F954" s="181" t="s">
        <v>436</v>
      </c>
      <c r="G954" s="181" t="s">
        <v>2292</v>
      </c>
      <c r="H954" s="181" t="s">
        <v>279</v>
      </c>
      <c r="I954" s="181" t="s">
        <v>241</v>
      </c>
      <c r="J954" s="184" t="n">
        <v>40310</v>
      </c>
      <c r="K954" s="184" t="n">
        <v>16450</v>
      </c>
      <c r="L954" s="185" t="n">
        <v>8</v>
      </c>
      <c r="M954" s="184" t="n">
        <v>23860</v>
      </c>
      <c r="N954" s="184" t="n">
        <v>21951.2</v>
      </c>
      <c r="O954" s="186" t="s">
        <v>2299</v>
      </c>
      <c r="P954" s="187" t="n">
        <v>45940</v>
      </c>
    </row>
    <row r="955" customFormat="false" ht="51" hidden="false" customHeight="true" outlineLevel="0" collapsed="false">
      <c r="A955" s="181" t="s">
        <v>2300</v>
      </c>
      <c r="B955" s="182" t="n">
        <v>2277</v>
      </c>
      <c r="C955" s="183" t="n">
        <v>8041</v>
      </c>
      <c r="D955" s="181" t="s">
        <v>2066</v>
      </c>
      <c r="E955" s="181" t="s">
        <v>373</v>
      </c>
      <c r="F955" s="181" t="s">
        <v>374</v>
      </c>
      <c r="G955" s="181" t="s">
        <v>2292</v>
      </c>
      <c r="H955" s="181" t="s">
        <v>279</v>
      </c>
      <c r="I955" s="181" t="s">
        <v>241</v>
      </c>
      <c r="J955" s="184" t="n">
        <v>40760</v>
      </c>
      <c r="K955" s="184" t="n">
        <v>14360</v>
      </c>
      <c r="L955" s="185" t="n">
        <v>9</v>
      </c>
      <c r="M955" s="184" t="n">
        <v>26400</v>
      </c>
      <c r="N955" s="184" t="n">
        <v>24024</v>
      </c>
      <c r="O955" s="186" t="s">
        <v>2301</v>
      </c>
      <c r="P955" s="187" t="n">
        <v>45940</v>
      </c>
    </row>
    <row r="956" customFormat="false" ht="51" hidden="false" customHeight="true" outlineLevel="0" collapsed="false">
      <c r="A956" s="181" t="s">
        <v>2302</v>
      </c>
      <c r="B956" s="182" t="n">
        <v>2278</v>
      </c>
      <c r="C956" s="183" t="n">
        <v>8044</v>
      </c>
      <c r="D956" s="181" t="s">
        <v>2066</v>
      </c>
      <c r="E956" s="181" t="s">
        <v>359</v>
      </c>
      <c r="F956" s="181" t="s">
        <v>360</v>
      </c>
      <c r="G956" s="181" t="s">
        <v>2292</v>
      </c>
      <c r="H956" s="181" t="s">
        <v>279</v>
      </c>
      <c r="I956" s="181" t="s">
        <v>241</v>
      </c>
      <c r="J956" s="184" t="n">
        <v>37080</v>
      </c>
      <c r="K956" s="184" t="n">
        <v>14970</v>
      </c>
      <c r="L956" s="185" t="n">
        <v>8</v>
      </c>
      <c r="M956" s="184" t="n">
        <v>22110</v>
      </c>
      <c r="N956" s="184" t="n">
        <v>20341.2</v>
      </c>
      <c r="O956" s="186" t="s">
        <v>2303</v>
      </c>
      <c r="P956" s="187" t="n">
        <v>45941</v>
      </c>
    </row>
    <row r="957" customFormat="false" ht="51" hidden="false" customHeight="true" outlineLevel="0" collapsed="false">
      <c r="A957" s="181" t="s">
        <v>2304</v>
      </c>
      <c r="B957" s="182" t="n">
        <v>2279</v>
      </c>
      <c r="C957" s="183" t="n">
        <v>8043</v>
      </c>
      <c r="D957" s="181" t="s">
        <v>2066</v>
      </c>
      <c r="E957" s="181" t="s">
        <v>354</v>
      </c>
      <c r="F957" s="181" t="s">
        <v>355</v>
      </c>
      <c r="G957" s="181" t="s">
        <v>2292</v>
      </c>
      <c r="H957" s="181" t="s">
        <v>279</v>
      </c>
      <c r="I957" s="181" t="s">
        <v>241</v>
      </c>
      <c r="J957" s="184" t="n">
        <v>38710</v>
      </c>
      <c r="K957" s="184" t="n">
        <v>14800</v>
      </c>
      <c r="L957" s="185" t="n">
        <v>9</v>
      </c>
      <c r="M957" s="184" t="n">
        <v>23910</v>
      </c>
      <c r="N957" s="184" t="n">
        <v>21758.1</v>
      </c>
      <c r="O957" s="186" t="s">
        <v>2305</v>
      </c>
      <c r="P957" s="187" t="n">
        <v>45941</v>
      </c>
    </row>
    <row r="958" customFormat="false" ht="51" hidden="false" customHeight="true" outlineLevel="0" collapsed="false">
      <c r="A958" s="181" t="s">
        <v>2306</v>
      </c>
      <c r="B958" s="182" t="n">
        <v>2280</v>
      </c>
      <c r="C958" s="183" t="n">
        <v>8046</v>
      </c>
      <c r="D958" s="181" t="s">
        <v>2066</v>
      </c>
      <c r="E958" s="181" t="s">
        <v>350</v>
      </c>
      <c r="F958" s="181" t="s">
        <v>351</v>
      </c>
      <c r="G958" s="181" t="s">
        <v>2292</v>
      </c>
      <c r="H958" s="181" t="s">
        <v>279</v>
      </c>
      <c r="I958" s="181" t="s">
        <v>241</v>
      </c>
      <c r="J958" s="184" t="n">
        <v>43140</v>
      </c>
      <c r="K958" s="184" t="n">
        <v>14990</v>
      </c>
      <c r="L958" s="185" t="n">
        <v>6</v>
      </c>
      <c r="M958" s="184" t="n">
        <v>28150</v>
      </c>
      <c r="N958" s="184" t="n">
        <v>26461</v>
      </c>
      <c r="O958" s="186" t="s">
        <v>2307</v>
      </c>
      <c r="P958" s="187" t="n">
        <v>45941</v>
      </c>
    </row>
    <row r="959" customFormat="false" ht="51" hidden="false" customHeight="true" outlineLevel="0" collapsed="false">
      <c r="A959" s="181" t="s">
        <v>2308</v>
      </c>
      <c r="B959" s="182" t="n">
        <v>2281</v>
      </c>
      <c r="C959" s="183" t="n">
        <v>8055</v>
      </c>
      <c r="D959" s="181" t="s">
        <v>2066</v>
      </c>
      <c r="E959" s="181" t="s">
        <v>383</v>
      </c>
      <c r="F959" s="181" t="s">
        <v>384</v>
      </c>
      <c r="G959" s="181" t="s">
        <v>2292</v>
      </c>
      <c r="H959" s="181" t="s">
        <v>279</v>
      </c>
      <c r="I959" s="181" t="s">
        <v>241</v>
      </c>
      <c r="J959" s="184" t="n">
        <v>41040</v>
      </c>
      <c r="K959" s="184" t="n">
        <v>14840</v>
      </c>
      <c r="L959" s="185" t="n">
        <v>5</v>
      </c>
      <c r="M959" s="184" t="n">
        <v>26200</v>
      </c>
      <c r="N959" s="184" t="n">
        <v>24890</v>
      </c>
      <c r="O959" s="186" t="s">
        <v>2309</v>
      </c>
      <c r="P959" s="187" t="n">
        <v>45941</v>
      </c>
    </row>
    <row r="960" customFormat="false" ht="51" hidden="false" customHeight="true" outlineLevel="0" collapsed="false">
      <c r="A960" s="181" t="s">
        <v>2310</v>
      </c>
      <c r="B960" s="182" t="n">
        <v>2282</v>
      </c>
      <c r="C960" s="183" t="n">
        <v>8054</v>
      </c>
      <c r="D960" s="181" t="s">
        <v>2066</v>
      </c>
      <c r="E960" s="181" t="s">
        <v>387</v>
      </c>
      <c r="F960" s="181" t="s">
        <v>388</v>
      </c>
      <c r="G960" s="181" t="s">
        <v>2292</v>
      </c>
      <c r="H960" s="181" t="s">
        <v>279</v>
      </c>
      <c r="I960" s="181" t="s">
        <v>241</v>
      </c>
      <c r="J960" s="184" t="n">
        <v>43820</v>
      </c>
      <c r="K960" s="184" t="n">
        <v>15060</v>
      </c>
      <c r="L960" s="185" t="n">
        <v>8</v>
      </c>
      <c r="M960" s="184" t="n">
        <v>28760</v>
      </c>
      <c r="N960" s="184" t="n">
        <v>26459.2</v>
      </c>
      <c r="O960" s="186" t="s">
        <v>2311</v>
      </c>
      <c r="P960" s="187" t="n">
        <v>45941</v>
      </c>
    </row>
    <row r="961" customFormat="false" ht="51" hidden="false" customHeight="true" outlineLevel="0" collapsed="false">
      <c r="A961" s="181" t="s">
        <v>2312</v>
      </c>
      <c r="B961" s="182" t="n">
        <v>2283</v>
      </c>
      <c r="C961" s="183" t="n">
        <v>8069</v>
      </c>
      <c r="D961" s="181" t="s">
        <v>2066</v>
      </c>
      <c r="E961" s="181" t="s">
        <v>340</v>
      </c>
      <c r="F961" s="181" t="s">
        <v>341</v>
      </c>
      <c r="G961" s="181" t="s">
        <v>2292</v>
      </c>
      <c r="H961" s="181" t="s">
        <v>279</v>
      </c>
      <c r="I961" s="181" t="s">
        <v>241</v>
      </c>
      <c r="J961" s="184" t="n">
        <v>39210</v>
      </c>
      <c r="K961" s="184" t="n">
        <v>15130</v>
      </c>
      <c r="L961" s="185" t="n">
        <v>11</v>
      </c>
      <c r="M961" s="184" t="n">
        <v>24080</v>
      </c>
      <c r="N961" s="184" t="n">
        <v>21431.2</v>
      </c>
      <c r="O961" s="186" t="s">
        <v>2313</v>
      </c>
      <c r="P961" s="187" t="n">
        <v>45941</v>
      </c>
    </row>
    <row r="962" customFormat="false" ht="51" hidden="false" customHeight="true" outlineLevel="0" collapsed="false">
      <c r="A962" s="181" t="s">
        <v>2314</v>
      </c>
      <c r="B962" s="182" t="n">
        <v>2285</v>
      </c>
      <c r="C962" s="183" t="n">
        <v>8059</v>
      </c>
      <c r="D962" s="181" t="s">
        <v>2066</v>
      </c>
      <c r="E962" s="181" t="s">
        <v>300</v>
      </c>
      <c r="F962" s="181" t="s">
        <v>301</v>
      </c>
      <c r="G962" s="181" t="s">
        <v>2292</v>
      </c>
      <c r="H962" s="181" t="s">
        <v>279</v>
      </c>
      <c r="I962" s="181" t="s">
        <v>241</v>
      </c>
      <c r="J962" s="184" t="n">
        <v>62730</v>
      </c>
      <c r="K962" s="184" t="n">
        <v>21170</v>
      </c>
      <c r="L962" s="185" t="n">
        <v>8</v>
      </c>
      <c r="M962" s="184" t="n">
        <v>41560</v>
      </c>
      <c r="N962" s="184" t="n">
        <v>38235.2</v>
      </c>
      <c r="O962" s="186" t="s">
        <v>2315</v>
      </c>
      <c r="P962" s="187" t="n">
        <v>45941</v>
      </c>
    </row>
    <row r="963" customFormat="false" ht="51" hidden="false" customHeight="true" outlineLevel="0" collapsed="false">
      <c r="A963" s="181" t="s">
        <v>2316</v>
      </c>
      <c r="B963" s="182" t="n">
        <v>2286</v>
      </c>
      <c r="C963" s="183" t="n">
        <v>8072</v>
      </c>
      <c r="D963" s="181" t="s">
        <v>2066</v>
      </c>
      <c r="E963" s="181" t="s">
        <v>266</v>
      </c>
      <c r="F963" s="181" t="s">
        <v>267</v>
      </c>
      <c r="G963" s="181" t="s">
        <v>2292</v>
      </c>
      <c r="H963" s="181" t="s">
        <v>279</v>
      </c>
      <c r="I963" s="181" t="s">
        <v>241</v>
      </c>
      <c r="J963" s="184" t="n">
        <v>38730</v>
      </c>
      <c r="K963" s="184" t="n">
        <v>14950</v>
      </c>
      <c r="L963" s="185" t="n">
        <v>9</v>
      </c>
      <c r="M963" s="184" t="n">
        <v>23780</v>
      </c>
      <c r="N963" s="184" t="n">
        <v>21639.8</v>
      </c>
      <c r="O963" s="186" t="s">
        <v>2317</v>
      </c>
      <c r="P963" s="187" t="n">
        <v>45941</v>
      </c>
    </row>
    <row r="964" customFormat="false" ht="51" hidden="false" customHeight="true" outlineLevel="0" collapsed="false">
      <c r="A964" s="181" t="s">
        <v>2318</v>
      </c>
      <c r="B964" s="182" t="n">
        <v>2289</v>
      </c>
      <c r="C964" s="183" t="n">
        <v>8073</v>
      </c>
      <c r="D964" s="181" t="s">
        <v>2066</v>
      </c>
      <c r="E964" s="181" t="s">
        <v>582</v>
      </c>
      <c r="F964" s="181" t="s">
        <v>583</v>
      </c>
      <c r="G964" s="181" t="s">
        <v>2292</v>
      </c>
      <c r="H964" s="181" t="s">
        <v>279</v>
      </c>
      <c r="I964" s="181" t="s">
        <v>241</v>
      </c>
      <c r="J964" s="184" t="n">
        <v>39790</v>
      </c>
      <c r="K964" s="184" t="n">
        <v>14850</v>
      </c>
      <c r="L964" s="185" t="n">
        <v>7</v>
      </c>
      <c r="M964" s="184" t="n">
        <v>24940</v>
      </c>
      <c r="N964" s="184" t="n">
        <v>23194.2</v>
      </c>
      <c r="O964" s="186" t="s">
        <v>2319</v>
      </c>
      <c r="P964" s="187" t="n">
        <v>45941</v>
      </c>
    </row>
    <row r="965" customFormat="false" ht="51" hidden="false" customHeight="true" outlineLevel="0" collapsed="false">
      <c r="A965" s="181" t="s">
        <v>2320</v>
      </c>
      <c r="B965" s="182" t="n">
        <v>2291</v>
      </c>
      <c r="C965" s="183" t="n">
        <v>8076</v>
      </c>
      <c r="D965" s="181" t="s">
        <v>2066</v>
      </c>
      <c r="E965" s="181" t="s">
        <v>399</v>
      </c>
      <c r="F965" s="181" t="s">
        <v>400</v>
      </c>
      <c r="G965" s="181" t="s">
        <v>2292</v>
      </c>
      <c r="H965" s="181" t="s">
        <v>279</v>
      </c>
      <c r="I965" s="181" t="s">
        <v>241</v>
      </c>
      <c r="J965" s="184" t="n">
        <v>50680</v>
      </c>
      <c r="K965" s="184" t="n">
        <v>19290</v>
      </c>
      <c r="L965" s="185" t="n">
        <v>7</v>
      </c>
      <c r="M965" s="184" t="n">
        <v>31390</v>
      </c>
      <c r="N965" s="184" t="n">
        <v>29192.7</v>
      </c>
      <c r="O965" s="186" t="s">
        <v>2321</v>
      </c>
      <c r="P965" s="187" t="n">
        <v>45941</v>
      </c>
    </row>
    <row r="966" customFormat="false" ht="51" hidden="false" customHeight="true" outlineLevel="0" collapsed="false">
      <c r="A966" s="181" t="s">
        <v>2322</v>
      </c>
      <c r="B966" s="182" t="n">
        <v>2294</v>
      </c>
      <c r="C966" s="183" t="n">
        <v>8083</v>
      </c>
      <c r="D966" s="181" t="s">
        <v>2066</v>
      </c>
      <c r="E966" s="181" t="s">
        <v>377</v>
      </c>
      <c r="F966" s="181" t="s">
        <v>378</v>
      </c>
      <c r="G966" s="181" t="s">
        <v>2292</v>
      </c>
      <c r="H966" s="181" t="s">
        <v>279</v>
      </c>
      <c r="I966" s="181" t="s">
        <v>241</v>
      </c>
      <c r="J966" s="184" t="n">
        <v>43880</v>
      </c>
      <c r="K966" s="184" t="n">
        <v>15650</v>
      </c>
      <c r="L966" s="185" t="n">
        <v>8</v>
      </c>
      <c r="M966" s="184" t="n">
        <v>28230</v>
      </c>
      <c r="N966" s="184" t="n">
        <v>25971.6</v>
      </c>
      <c r="O966" s="186" t="s">
        <v>2323</v>
      </c>
      <c r="P966" s="187" t="n">
        <v>45941</v>
      </c>
    </row>
    <row r="967" customFormat="false" ht="51" hidden="false" customHeight="true" outlineLevel="0" collapsed="false">
      <c r="A967" s="181" t="s">
        <v>2330</v>
      </c>
      <c r="B967" s="182" t="n">
        <v>2296</v>
      </c>
      <c r="C967" s="183" t="n">
        <v>8085</v>
      </c>
      <c r="D967" s="181" t="s">
        <v>2066</v>
      </c>
      <c r="E967" s="181" t="s">
        <v>409</v>
      </c>
      <c r="F967" s="181" t="s">
        <v>410</v>
      </c>
      <c r="G967" s="181" t="s">
        <v>2292</v>
      </c>
      <c r="H967" s="181" t="s">
        <v>279</v>
      </c>
      <c r="I967" s="181" t="s">
        <v>241</v>
      </c>
      <c r="J967" s="184" t="n">
        <v>65180</v>
      </c>
      <c r="K967" s="184" t="n">
        <v>24450</v>
      </c>
      <c r="L967" s="185" t="n">
        <v>6</v>
      </c>
      <c r="M967" s="184" t="n">
        <v>40730</v>
      </c>
      <c r="N967" s="184" t="n">
        <v>38286.2</v>
      </c>
      <c r="O967" s="186" t="s">
        <v>2331</v>
      </c>
      <c r="P967" s="187" t="n">
        <v>45941</v>
      </c>
    </row>
    <row r="968" customFormat="false" ht="51" hidden="false" customHeight="true" outlineLevel="0" collapsed="false">
      <c r="A968" s="181" t="s">
        <v>2332</v>
      </c>
      <c r="B968" s="182" t="n">
        <v>2297</v>
      </c>
      <c r="C968" s="183" t="n">
        <v>8086</v>
      </c>
      <c r="D968" s="181" t="s">
        <v>2066</v>
      </c>
      <c r="E968" s="181" t="s">
        <v>413</v>
      </c>
      <c r="F968" s="181" t="s">
        <v>414</v>
      </c>
      <c r="G968" s="181" t="s">
        <v>2292</v>
      </c>
      <c r="H968" s="181" t="s">
        <v>279</v>
      </c>
      <c r="I968" s="181" t="s">
        <v>241</v>
      </c>
      <c r="J968" s="184" t="n">
        <v>45260</v>
      </c>
      <c r="K968" s="184" t="n">
        <v>15650</v>
      </c>
      <c r="L968" s="185" t="n">
        <v>7</v>
      </c>
      <c r="M968" s="184" t="n">
        <v>29610</v>
      </c>
      <c r="N968" s="184" t="n">
        <v>27537.3</v>
      </c>
      <c r="O968" s="186" t="s">
        <v>2333</v>
      </c>
      <c r="P968" s="187" t="n">
        <v>45941</v>
      </c>
    </row>
    <row r="969" customFormat="false" ht="51" hidden="false" customHeight="true" outlineLevel="0" collapsed="false">
      <c r="A969" s="181" t="s">
        <v>2338</v>
      </c>
      <c r="B969" s="182" t="n">
        <v>2299</v>
      </c>
      <c r="C969" s="183" t="n">
        <v>4</v>
      </c>
      <c r="D969" s="181" t="s">
        <v>2005</v>
      </c>
      <c r="E969" s="181" t="s">
        <v>292</v>
      </c>
      <c r="F969" s="181" t="s">
        <v>293</v>
      </c>
      <c r="G969" s="181" t="s">
        <v>2049</v>
      </c>
      <c r="H969" s="181" t="s">
        <v>279</v>
      </c>
      <c r="I969" s="181" t="s">
        <v>240</v>
      </c>
      <c r="J969" s="184" t="n">
        <v>36750</v>
      </c>
      <c r="K969" s="184" t="n">
        <v>13990</v>
      </c>
      <c r="L969" s="185" t="n">
        <v>7</v>
      </c>
      <c r="M969" s="184" t="n">
        <v>22760</v>
      </c>
      <c r="N969" s="184" t="n">
        <v>21166.8</v>
      </c>
      <c r="O969" s="186" t="s">
        <v>2339</v>
      </c>
      <c r="P969" s="187" t="n">
        <v>45941</v>
      </c>
    </row>
    <row r="970" customFormat="false" ht="51" hidden="false" customHeight="true" outlineLevel="0" collapsed="false">
      <c r="A970" s="181" t="s">
        <v>2340</v>
      </c>
      <c r="B970" s="182" t="n">
        <v>2298</v>
      </c>
      <c r="C970" s="183" t="n">
        <v>2</v>
      </c>
      <c r="D970" s="181" t="s">
        <v>2005</v>
      </c>
      <c r="E970" s="181" t="s">
        <v>340</v>
      </c>
      <c r="F970" s="181" t="s">
        <v>341</v>
      </c>
      <c r="G970" s="181" t="s">
        <v>2049</v>
      </c>
      <c r="H970" s="181" t="s">
        <v>279</v>
      </c>
      <c r="I970" s="181" t="s">
        <v>240</v>
      </c>
      <c r="J970" s="184" t="n">
        <v>39250</v>
      </c>
      <c r="K970" s="184" t="n">
        <v>15020</v>
      </c>
      <c r="L970" s="185" t="n">
        <v>9</v>
      </c>
      <c r="M970" s="184" t="n">
        <v>24230</v>
      </c>
      <c r="N970" s="184" t="n">
        <v>22049.3</v>
      </c>
      <c r="O970" s="186" t="s">
        <v>2341</v>
      </c>
      <c r="P970" s="187" t="n">
        <v>45941</v>
      </c>
    </row>
    <row r="971" customFormat="false" ht="51" hidden="false" customHeight="true" outlineLevel="0" collapsed="false">
      <c r="A971" s="181" t="s">
        <v>2342</v>
      </c>
      <c r="B971" s="182" t="n">
        <v>2300</v>
      </c>
      <c r="C971" s="183" t="n">
        <v>3</v>
      </c>
      <c r="D971" s="181" t="s">
        <v>2005</v>
      </c>
      <c r="E971" s="181" t="s">
        <v>346</v>
      </c>
      <c r="F971" s="181" t="s">
        <v>347</v>
      </c>
      <c r="G971" s="181" t="s">
        <v>2049</v>
      </c>
      <c r="H971" s="181" t="s">
        <v>279</v>
      </c>
      <c r="I971" s="181" t="s">
        <v>240</v>
      </c>
      <c r="J971" s="184" t="n">
        <v>40230</v>
      </c>
      <c r="K971" s="184" t="n">
        <v>15230</v>
      </c>
      <c r="L971" s="185" t="n">
        <v>8</v>
      </c>
      <c r="M971" s="184" t="n">
        <v>25000</v>
      </c>
      <c r="N971" s="184" t="n">
        <v>23000</v>
      </c>
      <c r="O971" s="186" t="s">
        <v>2343</v>
      </c>
      <c r="P971" s="187" t="n">
        <v>45941</v>
      </c>
    </row>
    <row r="972" customFormat="false" ht="51" hidden="false" customHeight="true" outlineLevel="0" collapsed="false">
      <c r="A972" s="181" t="s">
        <v>2324</v>
      </c>
      <c r="B972" s="182" t="n">
        <v>2301</v>
      </c>
      <c r="C972" s="183" t="n">
        <v>8093</v>
      </c>
      <c r="D972" s="181" t="s">
        <v>2066</v>
      </c>
      <c r="E972" s="181" t="s">
        <v>272</v>
      </c>
      <c r="F972" s="181" t="s">
        <v>273</v>
      </c>
      <c r="G972" s="181" t="s">
        <v>2292</v>
      </c>
      <c r="H972" s="181" t="s">
        <v>279</v>
      </c>
      <c r="I972" s="181" t="s">
        <v>241</v>
      </c>
      <c r="J972" s="184" t="n">
        <v>40130</v>
      </c>
      <c r="K972" s="184" t="n">
        <v>15580</v>
      </c>
      <c r="L972" s="185" t="n">
        <v>8</v>
      </c>
      <c r="M972" s="184" t="n">
        <v>24550</v>
      </c>
      <c r="N972" s="184" t="n">
        <v>22586</v>
      </c>
      <c r="O972" s="186" t="s">
        <v>2325</v>
      </c>
      <c r="P972" s="187" t="n">
        <v>45941</v>
      </c>
    </row>
    <row r="973" customFormat="false" ht="51" hidden="false" customHeight="true" outlineLevel="0" collapsed="false">
      <c r="A973" s="181" t="s">
        <v>2326</v>
      </c>
      <c r="B973" s="182" t="n">
        <v>2302</v>
      </c>
      <c r="C973" s="183" t="n">
        <v>1</v>
      </c>
      <c r="D973" s="181" t="s">
        <v>2005</v>
      </c>
      <c r="E973" s="181" t="s">
        <v>266</v>
      </c>
      <c r="F973" s="181" t="s">
        <v>267</v>
      </c>
      <c r="G973" s="181" t="s">
        <v>2049</v>
      </c>
      <c r="H973" s="181" t="s">
        <v>279</v>
      </c>
      <c r="I973" s="181" t="s">
        <v>240</v>
      </c>
      <c r="J973" s="184" t="n">
        <v>38700</v>
      </c>
      <c r="K973" s="184" t="n">
        <v>15120</v>
      </c>
      <c r="L973" s="185" t="n">
        <v>7</v>
      </c>
      <c r="M973" s="184" t="n">
        <v>23580</v>
      </c>
      <c r="N973" s="184" t="n">
        <v>21929.4</v>
      </c>
      <c r="O973" s="186" t="s">
        <v>2327</v>
      </c>
      <c r="P973" s="187" t="n">
        <v>45941</v>
      </c>
    </row>
    <row r="974" customFormat="false" ht="51" hidden="false" customHeight="true" outlineLevel="0" collapsed="false">
      <c r="A974" s="181" t="s">
        <v>2346</v>
      </c>
      <c r="B974" s="182" t="n">
        <v>2313</v>
      </c>
      <c r="C974" s="183" t="n">
        <v>7</v>
      </c>
      <c r="D974" s="181" t="s">
        <v>2005</v>
      </c>
      <c r="E974" s="181" t="s">
        <v>582</v>
      </c>
      <c r="F974" s="181" t="s">
        <v>583</v>
      </c>
      <c r="G974" s="181"/>
      <c r="H974" s="181" t="s">
        <v>279</v>
      </c>
      <c r="I974" s="181" t="s">
        <v>240</v>
      </c>
      <c r="J974" s="184" t="n">
        <v>21960</v>
      </c>
      <c r="K974" s="184" t="n">
        <v>14840</v>
      </c>
      <c r="L974" s="185" t="n">
        <v>21</v>
      </c>
      <c r="M974" s="184" t="n">
        <v>7120</v>
      </c>
      <c r="N974" s="184" t="n">
        <v>5624.8</v>
      </c>
      <c r="O974" s="186" t="s">
        <v>2347</v>
      </c>
      <c r="P974" s="187" t="n">
        <v>45942</v>
      </c>
    </row>
    <row r="975" customFormat="false" ht="51" hidden="false" customHeight="true" outlineLevel="0" collapsed="false">
      <c r="A975" s="181" t="s">
        <v>2334</v>
      </c>
      <c r="B975" s="182" t="n">
        <v>2305</v>
      </c>
      <c r="C975" s="183" t="n">
        <v>3</v>
      </c>
      <c r="D975" s="181" t="s">
        <v>2005</v>
      </c>
      <c r="E975" s="181" t="s">
        <v>1646</v>
      </c>
      <c r="F975" s="181" t="s">
        <v>1647</v>
      </c>
      <c r="G975" s="181" t="s">
        <v>2049</v>
      </c>
      <c r="H975" s="181" t="s">
        <v>279</v>
      </c>
      <c r="I975" s="181" t="s">
        <v>240</v>
      </c>
      <c r="J975" s="184" t="n">
        <v>31230</v>
      </c>
      <c r="K975" s="184" t="n">
        <v>14400</v>
      </c>
      <c r="L975" s="185" t="n">
        <v>7</v>
      </c>
      <c r="M975" s="184" t="n">
        <v>16830</v>
      </c>
      <c r="N975" s="184" t="n">
        <v>15651.9</v>
      </c>
      <c r="O975" s="186" t="s">
        <v>2335</v>
      </c>
      <c r="P975" s="187" t="n">
        <v>45941</v>
      </c>
    </row>
    <row r="976" customFormat="false" ht="51" hidden="false" customHeight="true" outlineLevel="0" collapsed="false">
      <c r="A976" s="181" t="s">
        <v>2336</v>
      </c>
      <c r="B976" s="182" t="n">
        <v>2306</v>
      </c>
      <c r="C976" s="183" t="n">
        <v>2</v>
      </c>
      <c r="D976" s="181" t="s">
        <v>2005</v>
      </c>
      <c r="E976" s="181" t="s">
        <v>1510</v>
      </c>
      <c r="F976" s="181" t="s">
        <v>1511</v>
      </c>
      <c r="G976" s="181" t="s">
        <v>2049</v>
      </c>
      <c r="H976" s="181" t="s">
        <v>279</v>
      </c>
      <c r="I976" s="181" t="s">
        <v>240</v>
      </c>
      <c r="J976" s="184" t="n">
        <v>19190</v>
      </c>
      <c r="K976" s="184" t="n">
        <v>9570</v>
      </c>
      <c r="L976" s="185" t="n">
        <v>10</v>
      </c>
      <c r="M976" s="184" t="n">
        <v>9620</v>
      </c>
      <c r="N976" s="184" t="n">
        <v>8658</v>
      </c>
      <c r="O976" s="186" t="s">
        <v>2337</v>
      </c>
      <c r="P976" s="187" t="n">
        <v>45941</v>
      </c>
    </row>
    <row r="977" customFormat="false" ht="51" hidden="false" customHeight="true" outlineLevel="0" collapsed="false">
      <c r="A977" s="181" t="s">
        <v>2344</v>
      </c>
      <c r="B977" s="182" t="n">
        <v>2307</v>
      </c>
      <c r="C977" s="183" t="n">
        <v>8091</v>
      </c>
      <c r="D977" s="181" t="s">
        <v>2066</v>
      </c>
      <c r="E977" s="181" t="s">
        <v>336</v>
      </c>
      <c r="F977" s="181" t="s">
        <v>337</v>
      </c>
      <c r="G977" s="181" t="s">
        <v>2292</v>
      </c>
      <c r="H977" s="181" t="s">
        <v>279</v>
      </c>
      <c r="I977" s="181" t="s">
        <v>241</v>
      </c>
      <c r="J977" s="184" t="n">
        <v>38350</v>
      </c>
      <c r="K977" s="184" t="n">
        <v>14520</v>
      </c>
      <c r="L977" s="185" t="n">
        <v>14</v>
      </c>
      <c r="M977" s="184" t="n">
        <v>23830</v>
      </c>
      <c r="N977" s="184" t="n">
        <v>20493.8</v>
      </c>
      <c r="O977" s="186" t="s">
        <v>2345</v>
      </c>
      <c r="P977" s="187" t="n">
        <v>45941</v>
      </c>
    </row>
    <row r="978" customFormat="false" ht="51" hidden="false" customHeight="true" outlineLevel="0" collapsed="false">
      <c r="A978" s="181" t="s">
        <v>2348</v>
      </c>
      <c r="B978" s="182" t="n">
        <v>2309</v>
      </c>
      <c r="C978" s="183" t="n">
        <v>9444</v>
      </c>
      <c r="D978" s="181" t="s">
        <v>2066</v>
      </c>
      <c r="E978" s="181" t="s">
        <v>367</v>
      </c>
      <c r="F978" s="181" t="s">
        <v>368</v>
      </c>
      <c r="G978" s="181" t="s">
        <v>2292</v>
      </c>
      <c r="H978" s="181" t="s">
        <v>279</v>
      </c>
      <c r="I978" s="181" t="s">
        <v>241</v>
      </c>
      <c r="J978" s="184" t="n">
        <v>50600</v>
      </c>
      <c r="K978" s="184" t="n">
        <v>18710</v>
      </c>
      <c r="L978" s="185" t="n">
        <v>12</v>
      </c>
      <c r="M978" s="184" t="n">
        <v>31890</v>
      </c>
      <c r="N978" s="184" t="n">
        <v>28063.2</v>
      </c>
      <c r="O978" s="186" t="s">
        <v>2349</v>
      </c>
      <c r="P978" s="187" t="n">
        <v>45942</v>
      </c>
    </row>
    <row r="979" customFormat="false" ht="51" hidden="false" customHeight="true" outlineLevel="0" collapsed="false">
      <c r="A979" s="181" t="s">
        <v>2350</v>
      </c>
      <c r="B979" s="182" t="n">
        <v>2312</v>
      </c>
      <c r="C979" s="183" t="n">
        <v>9445</v>
      </c>
      <c r="D979" s="181" t="s">
        <v>2066</v>
      </c>
      <c r="E979" s="181" t="s">
        <v>2351</v>
      </c>
      <c r="F979" s="181" t="s">
        <v>2352</v>
      </c>
      <c r="G979" s="181" t="s">
        <v>2292</v>
      </c>
      <c r="H979" s="181" t="s">
        <v>279</v>
      </c>
      <c r="I979" s="181" t="s">
        <v>241</v>
      </c>
      <c r="J979" s="184" t="n">
        <v>47990</v>
      </c>
      <c r="K979" s="184" t="n">
        <v>17490</v>
      </c>
      <c r="L979" s="185" t="n">
        <v>7</v>
      </c>
      <c r="M979" s="184" t="n">
        <v>30500</v>
      </c>
      <c r="N979" s="184" t="n">
        <v>28365</v>
      </c>
      <c r="O979" s="186" t="s">
        <v>2353</v>
      </c>
      <c r="P979" s="187" t="n">
        <v>45942</v>
      </c>
    </row>
    <row r="980" customFormat="false" ht="51" hidden="false" customHeight="true" outlineLevel="0" collapsed="false">
      <c r="A980" s="181" t="s">
        <v>2328</v>
      </c>
      <c r="B980" s="182" t="n">
        <v>2303</v>
      </c>
      <c r="C980" s="183" t="n">
        <v>9430</v>
      </c>
      <c r="D980" s="181" t="s">
        <v>2066</v>
      </c>
      <c r="E980" s="181" t="s">
        <v>545</v>
      </c>
      <c r="F980" s="181" t="s">
        <v>546</v>
      </c>
      <c r="G980" s="181" t="s">
        <v>2292</v>
      </c>
      <c r="H980" s="181" t="s">
        <v>279</v>
      </c>
      <c r="I980" s="181" t="s">
        <v>241</v>
      </c>
      <c r="J980" s="184" t="n">
        <v>42180</v>
      </c>
      <c r="K980" s="184" t="n">
        <v>16000</v>
      </c>
      <c r="L980" s="185" t="n">
        <v>6</v>
      </c>
      <c r="M980" s="184" t="n">
        <v>26180</v>
      </c>
      <c r="N980" s="184" t="n">
        <v>24609.2</v>
      </c>
      <c r="O980" s="186" t="s">
        <v>2329</v>
      </c>
      <c r="P980" s="187" t="n">
        <v>45941</v>
      </c>
    </row>
    <row r="981" customFormat="false" ht="51" hidden="false" customHeight="true" outlineLevel="0" collapsed="false">
      <c r="A981" s="181" t="s">
        <v>2354</v>
      </c>
      <c r="B981" s="182" t="n">
        <v>2315</v>
      </c>
      <c r="C981" s="183" t="n">
        <v>9449</v>
      </c>
      <c r="D981" s="181" t="s">
        <v>2066</v>
      </c>
      <c r="E981" s="181" t="s">
        <v>304</v>
      </c>
      <c r="F981" s="181" t="s">
        <v>305</v>
      </c>
      <c r="G981" s="181" t="s">
        <v>2292</v>
      </c>
      <c r="H981" s="181" t="s">
        <v>279</v>
      </c>
      <c r="I981" s="181" t="s">
        <v>241</v>
      </c>
      <c r="J981" s="184" t="n">
        <v>41170</v>
      </c>
      <c r="K981" s="184" t="n">
        <v>15030</v>
      </c>
      <c r="L981" s="185" t="n">
        <v>8</v>
      </c>
      <c r="M981" s="184" t="n">
        <v>26140</v>
      </c>
      <c r="N981" s="184" t="n">
        <v>24048.8</v>
      </c>
      <c r="O981" s="186" t="s">
        <v>2355</v>
      </c>
      <c r="P981" s="187" t="n">
        <v>45942</v>
      </c>
    </row>
    <row r="982" customFormat="false" ht="51" hidden="false" customHeight="true" outlineLevel="0" collapsed="false">
      <c r="A982" s="181" t="s">
        <v>2356</v>
      </c>
      <c r="B982" s="182" t="n">
        <v>2314</v>
      </c>
      <c r="C982" s="183" t="n">
        <v>9450</v>
      </c>
      <c r="D982" s="181" t="s">
        <v>2066</v>
      </c>
      <c r="E982" s="181" t="s">
        <v>308</v>
      </c>
      <c r="F982" s="181" t="s">
        <v>309</v>
      </c>
      <c r="G982" s="181" t="s">
        <v>2292</v>
      </c>
      <c r="H982" s="181" t="s">
        <v>279</v>
      </c>
      <c r="I982" s="181" t="s">
        <v>241</v>
      </c>
      <c r="J982" s="184" t="n">
        <v>64080</v>
      </c>
      <c r="K982" s="184" t="n">
        <v>24130</v>
      </c>
      <c r="L982" s="185" t="n">
        <v>10</v>
      </c>
      <c r="M982" s="184" t="n">
        <v>39950</v>
      </c>
      <c r="N982" s="184" t="n">
        <v>35955</v>
      </c>
      <c r="O982" s="186" t="s">
        <v>2357</v>
      </c>
      <c r="P982" s="187" t="n">
        <v>45942</v>
      </c>
    </row>
    <row r="983" customFormat="false" ht="51" hidden="false" customHeight="true" outlineLevel="0" collapsed="false">
      <c r="A983" s="181" t="s">
        <v>2358</v>
      </c>
      <c r="B983" s="182" t="n">
        <v>2317</v>
      </c>
      <c r="C983" s="183" t="n">
        <v>9453</v>
      </c>
      <c r="D983" s="181" t="s">
        <v>2066</v>
      </c>
      <c r="E983" s="181" t="s">
        <v>332</v>
      </c>
      <c r="F983" s="181" t="s">
        <v>333</v>
      </c>
      <c r="G983" s="181" t="s">
        <v>2292</v>
      </c>
      <c r="H983" s="181" t="s">
        <v>279</v>
      </c>
      <c r="I983" s="181" t="s">
        <v>241</v>
      </c>
      <c r="J983" s="184" t="n">
        <v>39390</v>
      </c>
      <c r="K983" s="184" t="n">
        <v>14780</v>
      </c>
      <c r="L983" s="185" t="n">
        <v>16</v>
      </c>
      <c r="M983" s="184" t="n">
        <v>24610</v>
      </c>
      <c r="N983" s="184" t="n">
        <v>20672.4</v>
      </c>
      <c r="O983" s="186" t="s">
        <v>2359</v>
      </c>
      <c r="P983" s="187" t="n">
        <v>45942</v>
      </c>
    </row>
    <row r="984" customFormat="false" ht="51" hidden="false" customHeight="true" outlineLevel="0" collapsed="false">
      <c r="A984" s="181" t="s">
        <v>2360</v>
      </c>
      <c r="B984" s="182" t="n">
        <v>2318</v>
      </c>
      <c r="C984" s="183" t="n">
        <v>9455</v>
      </c>
      <c r="D984" s="181" t="s">
        <v>2066</v>
      </c>
      <c r="E984" s="181" t="s">
        <v>288</v>
      </c>
      <c r="F984" s="181" t="s">
        <v>289</v>
      </c>
      <c r="G984" s="181" t="s">
        <v>2292</v>
      </c>
      <c r="H984" s="181" t="s">
        <v>279</v>
      </c>
      <c r="I984" s="181" t="s">
        <v>241</v>
      </c>
      <c r="J984" s="184" t="n">
        <v>37380</v>
      </c>
      <c r="K984" s="184" t="n">
        <v>14610</v>
      </c>
      <c r="L984" s="185" t="n">
        <v>13</v>
      </c>
      <c r="M984" s="184" t="n">
        <v>22770</v>
      </c>
      <c r="N984" s="184" t="n">
        <v>19809.9</v>
      </c>
      <c r="O984" s="186" t="s">
        <v>2361</v>
      </c>
      <c r="P984" s="187" t="n">
        <v>45942</v>
      </c>
    </row>
    <row r="985" customFormat="false" ht="51" hidden="false" customHeight="true" outlineLevel="0" collapsed="false">
      <c r="A985" s="181" t="s">
        <v>2362</v>
      </c>
      <c r="B985" s="182" t="n">
        <v>2320</v>
      </c>
      <c r="C985" s="183" t="n">
        <v>9459</v>
      </c>
      <c r="D985" s="181" t="s">
        <v>2066</v>
      </c>
      <c r="E985" s="181" t="s">
        <v>533</v>
      </c>
      <c r="F985" s="181" t="s">
        <v>534</v>
      </c>
      <c r="G985" s="181" t="s">
        <v>2292</v>
      </c>
      <c r="H985" s="181" t="s">
        <v>279</v>
      </c>
      <c r="I985" s="181" t="s">
        <v>241</v>
      </c>
      <c r="J985" s="184" t="n">
        <v>38580</v>
      </c>
      <c r="K985" s="184" t="n">
        <v>14490</v>
      </c>
      <c r="L985" s="185" t="n">
        <v>12</v>
      </c>
      <c r="M985" s="184" t="n">
        <v>24090</v>
      </c>
      <c r="N985" s="184" t="n">
        <v>21199.2</v>
      </c>
      <c r="O985" s="186" t="s">
        <v>2363</v>
      </c>
      <c r="P985" s="187" t="n">
        <v>45942</v>
      </c>
    </row>
    <row r="986" customFormat="false" ht="51" hidden="false" customHeight="true" outlineLevel="0" collapsed="false">
      <c r="A986" s="181" t="s">
        <v>2364</v>
      </c>
      <c r="B986" s="182" t="n">
        <v>2321</v>
      </c>
      <c r="C986" s="183" t="n">
        <v>9462</v>
      </c>
      <c r="D986" s="181" t="s">
        <v>2066</v>
      </c>
      <c r="E986" s="181" t="s">
        <v>901</v>
      </c>
      <c r="F986" s="181" t="s">
        <v>902</v>
      </c>
      <c r="G986" s="181" t="s">
        <v>2292</v>
      </c>
      <c r="H986" s="181" t="s">
        <v>279</v>
      </c>
      <c r="I986" s="181" t="s">
        <v>241</v>
      </c>
      <c r="J986" s="184" t="n">
        <v>35980</v>
      </c>
      <c r="K986" s="184" t="n">
        <v>14780</v>
      </c>
      <c r="L986" s="185" t="n">
        <v>7</v>
      </c>
      <c r="M986" s="184" t="n">
        <v>21200</v>
      </c>
      <c r="N986" s="184" t="n">
        <v>19716</v>
      </c>
      <c r="O986" s="186" t="s">
        <v>2365</v>
      </c>
      <c r="P986" s="187" t="n">
        <v>45942</v>
      </c>
    </row>
    <row r="987" customFormat="false" ht="51" hidden="false" customHeight="true" outlineLevel="0" collapsed="false">
      <c r="A987" s="181" t="s">
        <v>2366</v>
      </c>
      <c r="B987" s="182" t="n">
        <v>2323</v>
      </c>
      <c r="C987" s="183" t="n">
        <v>9410</v>
      </c>
      <c r="D987" s="181" t="s">
        <v>2066</v>
      </c>
      <c r="E987" s="181" t="s">
        <v>537</v>
      </c>
      <c r="F987" s="181" t="s">
        <v>538</v>
      </c>
      <c r="G987" s="181" t="s">
        <v>2292</v>
      </c>
      <c r="H987" s="181" t="s">
        <v>279</v>
      </c>
      <c r="I987" s="181" t="s">
        <v>241</v>
      </c>
      <c r="J987" s="184" t="n">
        <v>35870</v>
      </c>
      <c r="K987" s="184" t="n">
        <v>13850</v>
      </c>
      <c r="L987" s="185" t="n">
        <v>9</v>
      </c>
      <c r="M987" s="184" t="n">
        <v>22020</v>
      </c>
      <c r="N987" s="184" t="n">
        <v>20038.2</v>
      </c>
      <c r="O987" s="186" t="s">
        <v>2367</v>
      </c>
      <c r="P987" s="187" t="n">
        <v>45942</v>
      </c>
    </row>
    <row r="988" customFormat="false" ht="51" hidden="false" customHeight="true" outlineLevel="0" collapsed="false">
      <c r="A988" s="181" t="s">
        <v>2368</v>
      </c>
      <c r="B988" s="182" t="n">
        <v>2326</v>
      </c>
      <c r="C988" s="183" t="n">
        <v>9411</v>
      </c>
      <c r="D988" s="181" t="s">
        <v>2066</v>
      </c>
      <c r="E988" s="181" t="s">
        <v>529</v>
      </c>
      <c r="F988" s="181" t="s">
        <v>530</v>
      </c>
      <c r="G988" s="181" t="s">
        <v>2292</v>
      </c>
      <c r="H988" s="181" t="s">
        <v>279</v>
      </c>
      <c r="I988" s="181" t="s">
        <v>241</v>
      </c>
      <c r="J988" s="184" t="n">
        <v>37320</v>
      </c>
      <c r="K988" s="184" t="n">
        <v>14940</v>
      </c>
      <c r="L988" s="185" t="n">
        <v>10</v>
      </c>
      <c r="M988" s="184" t="n">
        <v>22380</v>
      </c>
      <c r="N988" s="184" t="n">
        <v>20142</v>
      </c>
      <c r="O988" s="186" t="s">
        <v>2369</v>
      </c>
      <c r="P988" s="187" t="n">
        <v>45942</v>
      </c>
    </row>
    <row r="989" customFormat="false" ht="51" hidden="false" customHeight="true" outlineLevel="0" collapsed="false">
      <c r="A989" s="181" t="s">
        <v>2372</v>
      </c>
      <c r="B989" s="182" t="n">
        <v>2327</v>
      </c>
      <c r="C989" s="183" t="n">
        <v>9412</v>
      </c>
      <c r="D989" s="181" t="s">
        <v>2066</v>
      </c>
      <c r="E989" s="181" t="s">
        <v>391</v>
      </c>
      <c r="F989" s="181" t="s">
        <v>392</v>
      </c>
      <c r="G989" s="181" t="s">
        <v>2292</v>
      </c>
      <c r="H989" s="181" t="s">
        <v>279</v>
      </c>
      <c r="I989" s="181" t="s">
        <v>241</v>
      </c>
      <c r="J989" s="184" t="n">
        <v>35520</v>
      </c>
      <c r="K989" s="184" t="n">
        <v>14470</v>
      </c>
      <c r="L989" s="185" t="n">
        <v>10</v>
      </c>
      <c r="M989" s="184" t="n">
        <v>21050</v>
      </c>
      <c r="N989" s="184" t="n">
        <v>18945</v>
      </c>
      <c r="O989" s="186" t="s">
        <v>2373</v>
      </c>
      <c r="P989" s="187" t="n">
        <v>45942</v>
      </c>
    </row>
    <row r="990" customFormat="false" ht="51" hidden="false" customHeight="true" outlineLevel="0" collapsed="false">
      <c r="A990" s="181" t="s">
        <v>2374</v>
      </c>
      <c r="B990" s="182" t="n">
        <v>2328</v>
      </c>
      <c r="C990" s="183" t="n">
        <v>9413</v>
      </c>
      <c r="D990" s="181" t="s">
        <v>2066</v>
      </c>
      <c r="E990" s="181" t="s">
        <v>549</v>
      </c>
      <c r="F990" s="181" t="s">
        <v>550</v>
      </c>
      <c r="G990" s="181" t="s">
        <v>2292</v>
      </c>
      <c r="H990" s="181" t="s">
        <v>279</v>
      </c>
      <c r="I990" s="181" t="s">
        <v>241</v>
      </c>
      <c r="J990" s="184" t="n">
        <v>42540</v>
      </c>
      <c r="K990" s="184" t="n">
        <v>15940</v>
      </c>
      <c r="L990" s="185" t="n">
        <v>8</v>
      </c>
      <c r="M990" s="184" t="n">
        <v>26600</v>
      </c>
      <c r="N990" s="184" t="n">
        <v>24472</v>
      </c>
      <c r="O990" s="186" t="s">
        <v>2375</v>
      </c>
      <c r="P990" s="187" t="n">
        <v>45942</v>
      </c>
    </row>
    <row r="991" customFormat="false" ht="51" hidden="false" customHeight="true" outlineLevel="0" collapsed="false">
      <c r="A991" s="181" t="s">
        <v>2376</v>
      </c>
      <c r="B991" s="182" t="n">
        <v>2333</v>
      </c>
      <c r="C991" s="183" t="n">
        <v>9416</v>
      </c>
      <c r="D991" s="181" t="s">
        <v>2066</v>
      </c>
      <c r="E991" s="181" t="s">
        <v>1027</v>
      </c>
      <c r="F991" s="181" t="s">
        <v>1028</v>
      </c>
      <c r="G991" s="181" t="s">
        <v>2292</v>
      </c>
      <c r="H991" s="181" t="s">
        <v>279</v>
      </c>
      <c r="I991" s="181" t="s">
        <v>241</v>
      </c>
      <c r="J991" s="184" t="n">
        <v>38860</v>
      </c>
      <c r="K991" s="184" t="n">
        <v>14960</v>
      </c>
      <c r="L991" s="185" t="n">
        <v>7</v>
      </c>
      <c r="M991" s="184" t="n">
        <v>23900</v>
      </c>
      <c r="N991" s="184" t="n">
        <v>22227</v>
      </c>
      <c r="O991" s="186" t="s">
        <v>2377</v>
      </c>
      <c r="P991" s="187" t="n">
        <v>45942</v>
      </c>
    </row>
    <row r="992" customFormat="false" ht="51" hidden="false" customHeight="true" outlineLevel="0" collapsed="false">
      <c r="A992" s="181" t="s">
        <v>2370</v>
      </c>
      <c r="B992" s="182" t="n">
        <v>2334</v>
      </c>
      <c r="C992" s="183" t="n">
        <v>9417</v>
      </c>
      <c r="D992" s="181" t="s">
        <v>2066</v>
      </c>
      <c r="E992" s="181" t="s">
        <v>1023</v>
      </c>
      <c r="F992" s="181" t="s">
        <v>1024</v>
      </c>
      <c r="G992" s="181" t="s">
        <v>2292</v>
      </c>
      <c r="H992" s="181" t="s">
        <v>279</v>
      </c>
      <c r="I992" s="181" t="s">
        <v>241</v>
      </c>
      <c r="J992" s="184" t="n">
        <v>36170</v>
      </c>
      <c r="K992" s="184" t="n">
        <v>14740</v>
      </c>
      <c r="L992" s="185" t="n">
        <v>6</v>
      </c>
      <c r="M992" s="184" t="n">
        <v>21430</v>
      </c>
      <c r="N992" s="184" t="n">
        <v>20144.2</v>
      </c>
      <c r="O992" s="186" t="s">
        <v>2371</v>
      </c>
      <c r="P992" s="187" t="n">
        <v>45942</v>
      </c>
    </row>
    <row r="993" customFormat="false" ht="51" hidden="false" customHeight="true" outlineLevel="0" collapsed="false">
      <c r="A993" s="181" t="s">
        <v>2382</v>
      </c>
      <c r="B993" s="182" t="n">
        <v>2335</v>
      </c>
      <c r="C993" s="183" t="n">
        <v>9415</v>
      </c>
      <c r="D993" s="181" t="s">
        <v>2066</v>
      </c>
      <c r="E993" s="181" t="s">
        <v>1019</v>
      </c>
      <c r="F993" s="181" t="s">
        <v>1020</v>
      </c>
      <c r="G993" s="181" t="s">
        <v>2292</v>
      </c>
      <c r="H993" s="181" t="s">
        <v>279</v>
      </c>
      <c r="I993" s="181" t="s">
        <v>241</v>
      </c>
      <c r="J993" s="184" t="n">
        <v>43410</v>
      </c>
      <c r="K993" s="184" t="n">
        <v>17080</v>
      </c>
      <c r="L993" s="185" t="n">
        <v>6</v>
      </c>
      <c r="M993" s="184" t="n">
        <v>26330</v>
      </c>
      <c r="N993" s="184" t="n">
        <v>24750.2</v>
      </c>
      <c r="O993" s="186" t="s">
        <v>2383</v>
      </c>
      <c r="P993" s="187" t="n">
        <v>45942</v>
      </c>
    </row>
    <row r="994" customFormat="false" ht="51" hidden="false" customHeight="true" outlineLevel="0" collapsed="false">
      <c r="A994" s="181" t="s">
        <v>2384</v>
      </c>
      <c r="B994" s="182" t="n">
        <v>2336</v>
      </c>
      <c r="C994" s="183" t="n">
        <v>9419</v>
      </c>
      <c r="D994" s="181" t="s">
        <v>2066</v>
      </c>
      <c r="E994" s="181" t="s">
        <v>541</v>
      </c>
      <c r="F994" s="181" t="s">
        <v>542</v>
      </c>
      <c r="G994" s="181" t="s">
        <v>2292</v>
      </c>
      <c r="H994" s="181" t="s">
        <v>279</v>
      </c>
      <c r="I994" s="181" t="s">
        <v>241</v>
      </c>
      <c r="J994" s="184" t="n">
        <v>40210</v>
      </c>
      <c r="K994" s="184" t="n">
        <v>14880</v>
      </c>
      <c r="L994" s="185" t="n">
        <v>4</v>
      </c>
      <c r="M994" s="184" t="n">
        <v>25330</v>
      </c>
      <c r="N994" s="184" t="n">
        <v>24316.8</v>
      </c>
      <c r="O994" s="186" t="s">
        <v>2385</v>
      </c>
      <c r="P994" s="187" t="n">
        <v>45942</v>
      </c>
    </row>
    <row r="995" customFormat="false" ht="51" hidden="false" customHeight="true" outlineLevel="0" collapsed="false">
      <c r="A995" s="181" t="s">
        <v>2388</v>
      </c>
      <c r="B995" s="182" t="n">
        <v>2338</v>
      </c>
      <c r="C995" s="183" t="n">
        <v>9470</v>
      </c>
      <c r="D995" s="181" t="s">
        <v>2066</v>
      </c>
      <c r="E995" s="181" t="s">
        <v>350</v>
      </c>
      <c r="F995" s="181" t="s">
        <v>351</v>
      </c>
      <c r="G995" s="181" t="s">
        <v>2292</v>
      </c>
      <c r="H995" s="181" t="s">
        <v>279</v>
      </c>
      <c r="I995" s="181" t="s">
        <v>241</v>
      </c>
      <c r="J995" s="184" t="n">
        <v>42970</v>
      </c>
      <c r="K995" s="184" t="n">
        <v>14970</v>
      </c>
      <c r="L995" s="185" t="n">
        <v>7</v>
      </c>
      <c r="M995" s="184" t="n">
        <v>28000</v>
      </c>
      <c r="N995" s="184" t="n">
        <v>26040</v>
      </c>
      <c r="O995" s="186" t="s">
        <v>2389</v>
      </c>
      <c r="P995" s="187" t="n">
        <v>45942</v>
      </c>
    </row>
    <row r="996" customFormat="false" ht="51" hidden="false" customHeight="true" outlineLevel="0" collapsed="false">
      <c r="A996" s="181" t="s">
        <v>2390</v>
      </c>
      <c r="B996" s="182" t="n">
        <v>2341</v>
      </c>
      <c r="C996" s="183" t="n">
        <v>8041</v>
      </c>
      <c r="D996" s="181" t="s">
        <v>2066</v>
      </c>
      <c r="E996" s="181" t="s">
        <v>373</v>
      </c>
      <c r="F996" s="181" t="s">
        <v>374</v>
      </c>
      <c r="G996" s="181" t="s">
        <v>2292</v>
      </c>
      <c r="H996" s="181" t="s">
        <v>279</v>
      </c>
      <c r="I996" s="181" t="s">
        <v>241</v>
      </c>
      <c r="J996" s="184" t="n">
        <v>39970</v>
      </c>
      <c r="K996" s="184" t="n">
        <v>14400</v>
      </c>
      <c r="L996" s="185" t="n">
        <v>12</v>
      </c>
      <c r="M996" s="184" t="n">
        <v>25570</v>
      </c>
      <c r="N996" s="184" t="n">
        <v>22501.6</v>
      </c>
      <c r="O996" s="186" t="s">
        <v>2391</v>
      </c>
      <c r="P996" s="187" t="n">
        <v>45942</v>
      </c>
    </row>
    <row r="997" customFormat="false" ht="51" hidden="false" customHeight="true" outlineLevel="0" collapsed="false">
      <c r="A997" s="181" t="s">
        <v>2378</v>
      </c>
      <c r="B997" s="182" t="n">
        <v>2342</v>
      </c>
      <c r="C997" s="183" t="n">
        <v>9476</v>
      </c>
      <c r="D997" s="181" t="s">
        <v>2066</v>
      </c>
      <c r="E997" s="181" t="s">
        <v>282</v>
      </c>
      <c r="F997" s="181" t="s">
        <v>283</v>
      </c>
      <c r="G997" s="181" t="s">
        <v>2292</v>
      </c>
      <c r="H997" s="181" t="s">
        <v>279</v>
      </c>
      <c r="I997" s="181" t="s">
        <v>241</v>
      </c>
      <c r="J997" s="184" t="n">
        <v>39290</v>
      </c>
      <c r="K997" s="184" t="n">
        <v>15100</v>
      </c>
      <c r="L997" s="185" t="n">
        <v>12</v>
      </c>
      <c r="M997" s="184" t="n">
        <v>24190</v>
      </c>
      <c r="N997" s="184" t="n">
        <v>21287.2</v>
      </c>
      <c r="O997" s="186" t="s">
        <v>2379</v>
      </c>
      <c r="P997" s="187" t="n">
        <v>45942</v>
      </c>
    </row>
    <row r="998" customFormat="false" ht="51" hidden="false" customHeight="true" outlineLevel="0" collapsed="false">
      <c r="A998" s="181" t="s">
        <v>2380</v>
      </c>
      <c r="B998" s="182" t="n">
        <v>2343</v>
      </c>
      <c r="C998" s="183" t="n">
        <v>9504</v>
      </c>
      <c r="D998" s="181" t="s">
        <v>2066</v>
      </c>
      <c r="E998" s="181" t="s">
        <v>439</v>
      </c>
      <c r="F998" s="181" t="s">
        <v>440</v>
      </c>
      <c r="G998" s="181" t="s">
        <v>2292</v>
      </c>
      <c r="H998" s="181" t="s">
        <v>279</v>
      </c>
      <c r="I998" s="181" t="s">
        <v>241</v>
      </c>
      <c r="J998" s="184" t="n">
        <v>39920</v>
      </c>
      <c r="K998" s="184" t="n">
        <v>16350</v>
      </c>
      <c r="L998" s="185" t="n">
        <v>7</v>
      </c>
      <c r="M998" s="184" t="n">
        <v>23570</v>
      </c>
      <c r="N998" s="184" t="n">
        <v>21920.1</v>
      </c>
      <c r="O998" s="186" t="s">
        <v>2381</v>
      </c>
      <c r="P998" s="187" t="n">
        <v>45942</v>
      </c>
    </row>
    <row r="999" customFormat="false" ht="51" hidden="false" customHeight="true" outlineLevel="0" collapsed="false">
      <c r="A999" s="181" t="s">
        <v>2386</v>
      </c>
      <c r="B999" s="182" t="n">
        <v>2344</v>
      </c>
      <c r="C999" s="183" t="n">
        <v>9505</v>
      </c>
      <c r="D999" s="181" t="s">
        <v>2066</v>
      </c>
      <c r="E999" s="181" t="s">
        <v>545</v>
      </c>
      <c r="F999" s="181" t="s">
        <v>546</v>
      </c>
      <c r="G999" s="181" t="s">
        <v>2292</v>
      </c>
      <c r="H999" s="181" t="s">
        <v>279</v>
      </c>
      <c r="I999" s="181" t="s">
        <v>241</v>
      </c>
      <c r="J999" s="184" t="n">
        <v>42460</v>
      </c>
      <c r="K999" s="184" t="n">
        <v>16030</v>
      </c>
      <c r="L999" s="185" t="n">
        <v>7</v>
      </c>
      <c r="M999" s="184" t="n">
        <v>26430</v>
      </c>
      <c r="N999" s="184" t="n">
        <v>24579.9</v>
      </c>
      <c r="O999" s="186" t="s">
        <v>2387</v>
      </c>
      <c r="P999" s="187" t="n">
        <v>45942</v>
      </c>
    </row>
    <row r="1000" customFormat="false" ht="51" hidden="false" customHeight="true" outlineLevel="0" collapsed="false">
      <c r="A1000" s="181" t="s">
        <v>2392</v>
      </c>
      <c r="B1000" s="182" t="n">
        <v>2346</v>
      </c>
      <c r="C1000" s="183" t="n">
        <v>9506</v>
      </c>
      <c r="D1000" s="181" t="s">
        <v>2066</v>
      </c>
      <c r="E1000" s="181" t="s">
        <v>431</v>
      </c>
      <c r="F1000" s="181" t="s">
        <v>432</v>
      </c>
      <c r="G1000" s="181" t="s">
        <v>2292</v>
      </c>
      <c r="H1000" s="181" t="s">
        <v>279</v>
      </c>
      <c r="I1000" s="181" t="s">
        <v>241</v>
      </c>
      <c r="J1000" s="184" t="n">
        <v>40740</v>
      </c>
      <c r="K1000" s="184" t="n">
        <v>16450</v>
      </c>
      <c r="L1000" s="185" t="n">
        <v>7</v>
      </c>
      <c r="M1000" s="184" t="n">
        <v>24290</v>
      </c>
      <c r="N1000" s="184" t="n">
        <v>22589.7</v>
      </c>
      <c r="O1000" s="186" t="s">
        <v>2393</v>
      </c>
      <c r="P1000" s="187" t="n">
        <v>45943</v>
      </c>
    </row>
    <row r="1001" customFormat="false" ht="51" hidden="false" customHeight="true" outlineLevel="0" collapsed="false">
      <c r="A1001" s="181" t="s">
        <v>2394</v>
      </c>
      <c r="B1001" s="182" t="n">
        <v>2347</v>
      </c>
      <c r="C1001" s="183" t="n">
        <v>9507</v>
      </c>
      <c r="D1001" s="181" t="s">
        <v>2066</v>
      </c>
      <c r="E1001" s="181" t="s">
        <v>435</v>
      </c>
      <c r="F1001" s="181" t="s">
        <v>436</v>
      </c>
      <c r="G1001" s="181" t="s">
        <v>2292</v>
      </c>
      <c r="H1001" s="181" t="s">
        <v>279</v>
      </c>
      <c r="I1001" s="181" t="s">
        <v>241</v>
      </c>
      <c r="J1001" s="184" t="n">
        <v>40490</v>
      </c>
      <c r="K1001" s="184" t="n">
        <v>16400</v>
      </c>
      <c r="L1001" s="185" t="n">
        <v>9</v>
      </c>
      <c r="M1001" s="184" t="n">
        <v>24090</v>
      </c>
      <c r="N1001" s="184" t="n">
        <v>21921.9</v>
      </c>
      <c r="O1001" s="186" t="s">
        <v>2395</v>
      </c>
      <c r="P1001" s="187" t="n">
        <v>45943</v>
      </c>
    </row>
    <row r="1002" customFormat="false" ht="51" hidden="false" customHeight="true" outlineLevel="0" collapsed="false">
      <c r="A1002" s="181" t="s">
        <v>2396</v>
      </c>
      <c r="B1002" s="182" t="n">
        <v>2348</v>
      </c>
      <c r="C1002" s="183" t="n">
        <v>9559</v>
      </c>
      <c r="D1002" s="181" t="s">
        <v>2066</v>
      </c>
      <c r="E1002" s="181" t="s">
        <v>549</v>
      </c>
      <c r="F1002" s="181" t="s">
        <v>550</v>
      </c>
      <c r="G1002" s="181" t="s">
        <v>3329</v>
      </c>
      <c r="H1002" s="181" t="s">
        <v>279</v>
      </c>
      <c r="I1002" s="181" t="s">
        <v>241</v>
      </c>
      <c r="J1002" s="184" t="n">
        <v>37520</v>
      </c>
      <c r="K1002" s="184" t="n">
        <v>15680</v>
      </c>
      <c r="L1002" s="185" t="n">
        <v>16</v>
      </c>
      <c r="M1002" s="184" t="n">
        <v>21840</v>
      </c>
      <c r="N1002" s="184" t="n">
        <v>18345.6</v>
      </c>
      <c r="O1002" s="186" t="s">
        <v>2397</v>
      </c>
      <c r="P1002" s="187" t="n">
        <v>45943</v>
      </c>
    </row>
    <row r="1003" customFormat="false" ht="51" hidden="false" customHeight="true" outlineLevel="0" collapsed="false">
      <c r="A1003" s="181" t="s">
        <v>2398</v>
      </c>
      <c r="B1003" s="182" t="n">
        <v>2350</v>
      </c>
      <c r="C1003" s="183" t="n">
        <v>1</v>
      </c>
      <c r="D1003" s="181" t="s">
        <v>2005</v>
      </c>
      <c r="E1003" s="181" t="s">
        <v>901</v>
      </c>
      <c r="F1003" s="181" t="s">
        <v>902</v>
      </c>
      <c r="G1003" s="181" t="s">
        <v>2049</v>
      </c>
      <c r="H1003" s="181" t="s">
        <v>279</v>
      </c>
      <c r="I1003" s="181" t="s">
        <v>240</v>
      </c>
      <c r="J1003" s="184" t="n">
        <v>35650</v>
      </c>
      <c r="K1003" s="184" t="n">
        <v>14740</v>
      </c>
      <c r="L1003" s="185" t="n">
        <v>29</v>
      </c>
      <c r="M1003" s="184" t="n">
        <v>20910</v>
      </c>
      <c r="N1003" s="184" t="n">
        <v>14846.1</v>
      </c>
      <c r="O1003" s="186" t="s">
        <v>2399</v>
      </c>
      <c r="P1003" s="187" t="n">
        <v>45943</v>
      </c>
    </row>
    <row r="1004" customFormat="false" ht="51" hidden="false" customHeight="true" outlineLevel="0" collapsed="false">
      <c r="A1004" s="181" t="s">
        <v>2400</v>
      </c>
      <c r="B1004" s="182" t="n">
        <v>2351</v>
      </c>
      <c r="C1004" s="183" t="n">
        <v>1</v>
      </c>
      <c r="D1004" s="181" t="s">
        <v>2401</v>
      </c>
      <c r="E1004" s="181" t="s">
        <v>387</v>
      </c>
      <c r="F1004" s="181" t="s">
        <v>388</v>
      </c>
      <c r="G1004" s="181" t="s">
        <v>2402</v>
      </c>
      <c r="H1004" s="181" t="s">
        <v>279</v>
      </c>
      <c r="I1004" s="181" t="s">
        <v>242</v>
      </c>
      <c r="J1004" s="184" t="n">
        <v>40030</v>
      </c>
      <c r="K1004" s="184" t="n">
        <v>15160</v>
      </c>
      <c r="L1004" s="185" t="n">
        <v>5</v>
      </c>
      <c r="M1004" s="184" t="n">
        <v>24870</v>
      </c>
      <c r="N1004" s="184" t="n">
        <v>23626.5</v>
      </c>
      <c r="O1004" s="186" t="s">
        <v>2403</v>
      </c>
      <c r="P1004" s="187" t="n">
        <v>45943</v>
      </c>
    </row>
    <row r="1005" customFormat="false" ht="51" hidden="false" customHeight="true" outlineLevel="0" collapsed="false">
      <c r="A1005" s="181" t="s">
        <v>2404</v>
      </c>
      <c r="B1005" s="182" t="n">
        <v>2353</v>
      </c>
      <c r="C1005" s="183" t="n">
        <v>2</v>
      </c>
      <c r="D1005" s="181" t="s">
        <v>2401</v>
      </c>
      <c r="E1005" s="181" t="s">
        <v>377</v>
      </c>
      <c r="F1005" s="181" t="s">
        <v>378</v>
      </c>
      <c r="G1005" s="181" t="s">
        <v>142</v>
      </c>
      <c r="H1005" s="181" t="s">
        <v>158</v>
      </c>
      <c r="I1005" s="181" t="s">
        <v>242</v>
      </c>
      <c r="J1005" s="184" t="n">
        <v>41510</v>
      </c>
      <c r="K1005" s="184" t="n">
        <v>15790</v>
      </c>
      <c r="L1005" s="185" t="n">
        <v>5</v>
      </c>
      <c r="M1005" s="184" t="n">
        <v>25720</v>
      </c>
      <c r="N1005" s="184" t="n">
        <v>24434</v>
      </c>
      <c r="O1005" s="186" t="s">
        <v>2405</v>
      </c>
      <c r="P1005" s="187" t="n">
        <v>45943</v>
      </c>
    </row>
    <row r="1006" customFormat="false" ht="51" hidden="false" customHeight="true" outlineLevel="0" collapsed="false">
      <c r="A1006" s="181" t="s">
        <v>2406</v>
      </c>
      <c r="B1006" s="182" t="n">
        <v>2355</v>
      </c>
      <c r="C1006" s="183" t="n">
        <v>3</v>
      </c>
      <c r="D1006" s="181" t="s">
        <v>2401</v>
      </c>
      <c r="E1006" s="181" t="s">
        <v>383</v>
      </c>
      <c r="F1006" s="181" t="s">
        <v>384</v>
      </c>
      <c r="G1006" s="181" t="s">
        <v>144</v>
      </c>
      <c r="H1006" s="181" t="s">
        <v>279</v>
      </c>
      <c r="I1006" s="181" t="s">
        <v>242</v>
      </c>
      <c r="J1006" s="184" t="n">
        <v>39040</v>
      </c>
      <c r="K1006" s="184" t="n">
        <v>15070</v>
      </c>
      <c r="L1006" s="185" t="n">
        <v>5</v>
      </c>
      <c r="M1006" s="184" t="n">
        <v>23970</v>
      </c>
      <c r="N1006" s="184" t="n">
        <v>22771.5</v>
      </c>
      <c r="O1006" s="186" t="s">
        <v>2407</v>
      </c>
      <c r="P1006" s="187" t="n">
        <v>45943</v>
      </c>
    </row>
    <row r="1007" customFormat="false" ht="51" hidden="false" customHeight="true" outlineLevel="0" collapsed="false">
      <c r="A1007" s="181" t="s">
        <v>2408</v>
      </c>
      <c r="B1007" s="182" t="n">
        <v>2363</v>
      </c>
      <c r="C1007" s="183" t="n">
        <v>4</v>
      </c>
      <c r="D1007" s="181" t="s">
        <v>2401</v>
      </c>
      <c r="E1007" s="181" t="s">
        <v>292</v>
      </c>
      <c r="F1007" s="181" t="s">
        <v>293</v>
      </c>
      <c r="G1007" s="181" t="s">
        <v>142</v>
      </c>
      <c r="H1007" s="181" t="s">
        <v>158</v>
      </c>
      <c r="I1007" s="181" t="s">
        <v>242</v>
      </c>
      <c r="J1007" s="184" t="n">
        <v>36500</v>
      </c>
      <c r="K1007" s="184" t="n">
        <v>13950</v>
      </c>
      <c r="L1007" s="185" t="n">
        <v>15</v>
      </c>
      <c r="M1007" s="184" t="n">
        <v>22550</v>
      </c>
      <c r="N1007" s="184" t="n">
        <v>19167.5</v>
      </c>
      <c r="O1007" s="186" t="s">
        <v>2409</v>
      </c>
      <c r="P1007" s="187" t="n">
        <v>45945</v>
      </c>
    </row>
    <row r="1008" customFormat="false" ht="51" hidden="false" customHeight="true" outlineLevel="0" collapsed="false">
      <c r="A1008" s="181" t="s">
        <v>2410</v>
      </c>
      <c r="B1008" s="182" t="n">
        <v>2364</v>
      </c>
      <c r="C1008" s="183" t="n">
        <v>5</v>
      </c>
      <c r="D1008" s="181" t="s">
        <v>2401</v>
      </c>
      <c r="E1008" s="181" t="s">
        <v>576</v>
      </c>
      <c r="F1008" s="181" t="s">
        <v>577</v>
      </c>
      <c r="G1008" s="181" t="s">
        <v>142</v>
      </c>
      <c r="H1008" s="181" t="s">
        <v>158</v>
      </c>
      <c r="I1008" s="181" t="s">
        <v>242</v>
      </c>
      <c r="J1008" s="184" t="n">
        <v>39090</v>
      </c>
      <c r="K1008" s="184" t="n">
        <v>14640</v>
      </c>
      <c r="L1008" s="185" t="n">
        <v>12</v>
      </c>
      <c r="M1008" s="184" t="n">
        <v>24450</v>
      </c>
      <c r="N1008" s="184" t="n">
        <v>21516</v>
      </c>
      <c r="O1008" s="186" t="s">
        <v>2411</v>
      </c>
      <c r="P1008" s="187" t="n">
        <v>45945</v>
      </c>
    </row>
    <row r="1009" customFormat="false" ht="51" hidden="false" customHeight="true" outlineLevel="0" collapsed="false">
      <c r="A1009" s="181" t="s">
        <v>2412</v>
      </c>
      <c r="B1009" s="182" t="n">
        <v>2365</v>
      </c>
      <c r="C1009" s="183" t="n">
        <v>6</v>
      </c>
      <c r="D1009" s="181" t="s">
        <v>2401</v>
      </c>
      <c r="E1009" s="181" t="s">
        <v>261</v>
      </c>
      <c r="F1009" s="181" t="s">
        <v>262</v>
      </c>
      <c r="G1009" s="181" t="s">
        <v>142</v>
      </c>
      <c r="H1009" s="181" t="s">
        <v>158</v>
      </c>
      <c r="I1009" s="181" t="s">
        <v>242</v>
      </c>
      <c r="J1009" s="184" t="n">
        <v>38780</v>
      </c>
      <c r="K1009" s="184" t="n">
        <v>15250</v>
      </c>
      <c r="L1009" s="185" t="n">
        <v>9</v>
      </c>
      <c r="M1009" s="184" t="n">
        <v>23530</v>
      </c>
      <c r="N1009" s="184" t="n">
        <v>21412.3</v>
      </c>
      <c r="O1009" s="186" t="s">
        <v>2413</v>
      </c>
      <c r="P1009" s="187" t="n">
        <v>45945</v>
      </c>
    </row>
    <row r="1010" customFormat="false" ht="51" hidden="false" customHeight="true" outlineLevel="0" collapsed="false">
      <c r="A1010" s="181" t="s">
        <v>2414</v>
      </c>
      <c r="B1010" s="182" t="n">
        <v>2366</v>
      </c>
      <c r="C1010" s="183" t="n">
        <v>7</v>
      </c>
      <c r="D1010" s="181" t="s">
        <v>2401</v>
      </c>
      <c r="E1010" s="181" t="s">
        <v>282</v>
      </c>
      <c r="F1010" s="181" t="s">
        <v>283</v>
      </c>
      <c r="G1010" s="181" t="s">
        <v>142</v>
      </c>
      <c r="H1010" s="181" t="s">
        <v>158</v>
      </c>
      <c r="I1010" s="181" t="s">
        <v>242</v>
      </c>
      <c r="J1010" s="184" t="n">
        <v>41350</v>
      </c>
      <c r="K1010" s="184" t="n">
        <v>15190</v>
      </c>
      <c r="L1010" s="185" t="n">
        <v>6</v>
      </c>
      <c r="M1010" s="184" t="n">
        <v>26160</v>
      </c>
      <c r="N1010" s="184" t="n">
        <v>24590.4</v>
      </c>
      <c r="O1010" s="186" t="s">
        <v>2415</v>
      </c>
      <c r="P1010" s="187" t="n">
        <v>45945</v>
      </c>
    </row>
    <row r="1011" customFormat="false" ht="51" hidden="false" customHeight="true" outlineLevel="0" collapsed="false">
      <c r="A1011" s="181" t="s">
        <v>2416</v>
      </c>
      <c r="B1011" s="182" t="n">
        <v>2367</v>
      </c>
      <c r="C1011" s="183" t="n">
        <v>8</v>
      </c>
      <c r="D1011" s="181" t="s">
        <v>2401</v>
      </c>
      <c r="E1011" s="181" t="s">
        <v>272</v>
      </c>
      <c r="F1011" s="181" t="s">
        <v>273</v>
      </c>
      <c r="G1011" s="181" t="s">
        <v>142</v>
      </c>
      <c r="H1011" s="181" t="s">
        <v>158</v>
      </c>
      <c r="I1011" s="181" t="s">
        <v>242</v>
      </c>
      <c r="J1011" s="184" t="n">
        <v>41760</v>
      </c>
      <c r="K1011" s="184" t="n">
        <v>15730</v>
      </c>
      <c r="L1011" s="185" t="n">
        <v>13</v>
      </c>
      <c r="M1011" s="184" t="n">
        <v>26030</v>
      </c>
      <c r="N1011" s="184" t="n">
        <v>22646.1</v>
      </c>
      <c r="O1011" s="186" t="s">
        <v>2417</v>
      </c>
      <c r="P1011" s="187" t="n">
        <v>45946</v>
      </c>
    </row>
    <row r="1012" customFormat="false" ht="51" hidden="false" customHeight="true" outlineLevel="0" collapsed="false">
      <c r="A1012" s="181" t="s">
        <v>2418</v>
      </c>
      <c r="B1012" s="182" t="n">
        <v>2368</v>
      </c>
      <c r="C1012" s="183" t="n">
        <v>9</v>
      </c>
      <c r="D1012" s="181" t="s">
        <v>2401</v>
      </c>
      <c r="E1012" s="181" t="s">
        <v>582</v>
      </c>
      <c r="F1012" s="181" t="s">
        <v>583</v>
      </c>
      <c r="G1012" s="181" t="s">
        <v>142</v>
      </c>
      <c r="H1012" s="181" t="s">
        <v>158</v>
      </c>
      <c r="I1012" s="181" t="s">
        <v>242</v>
      </c>
      <c r="J1012" s="184" t="n">
        <v>42560</v>
      </c>
      <c r="K1012" s="184" t="n">
        <v>14950</v>
      </c>
      <c r="L1012" s="185" t="n">
        <v>8</v>
      </c>
      <c r="M1012" s="184" t="n">
        <v>27610</v>
      </c>
      <c r="N1012" s="184" t="n">
        <v>25401.2</v>
      </c>
      <c r="O1012" s="186" t="s">
        <v>2419</v>
      </c>
      <c r="P1012" s="187" t="n">
        <v>45946</v>
      </c>
    </row>
    <row r="1013" customFormat="false" ht="51" hidden="false" customHeight="true" outlineLevel="0" collapsed="false">
      <c r="A1013" s="181" t="s">
        <v>2420</v>
      </c>
      <c r="B1013" s="182" t="n">
        <v>2369</v>
      </c>
      <c r="C1013" s="183" t="n">
        <v>10</v>
      </c>
      <c r="D1013" s="181" t="s">
        <v>2401</v>
      </c>
      <c r="E1013" s="181" t="s">
        <v>901</v>
      </c>
      <c r="F1013" s="181" t="s">
        <v>902</v>
      </c>
      <c r="G1013" s="181" t="s">
        <v>142</v>
      </c>
      <c r="H1013" s="181" t="s">
        <v>158</v>
      </c>
      <c r="I1013" s="181" t="s">
        <v>242</v>
      </c>
      <c r="J1013" s="184" t="n">
        <v>38420</v>
      </c>
      <c r="K1013" s="184" t="n">
        <v>14800</v>
      </c>
      <c r="L1013" s="185" t="n">
        <v>17</v>
      </c>
      <c r="M1013" s="184" t="n">
        <v>23620</v>
      </c>
      <c r="N1013" s="184" t="n">
        <v>19604.6</v>
      </c>
      <c r="O1013" s="186" t="s">
        <v>2421</v>
      </c>
      <c r="P1013" s="187" t="n">
        <v>45946</v>
      </c>
    </row>
    <row r="1014" customFormat="false" ht="51" hidden="false" customHeight="true" outlineLevel="0" collapsed="false">
      <c r="A1014" s="181" t="s">
        <v>2422</v>
      </c>
      <c r="B1014" s="182" t="n">
        <v>2370</v>
      </c>
      <c r="C1014" s="183" t="n">
        <v>11</v>
      </c>
      <c r="D1014" s="181" t="s">
        <v>2401</v>
      </c>
      <c r="E1014" s="181" t="s">
        <v>266</v>
      </c>
      <c r="F1014" s="181" t="s">
        <v>267</v>
      </c>
      <c r="G1014" s="181" t="s">
        <v>142</v>
      </c>
      <c r="H1014" s="181" t="s">
        <v>158</v>
      </c>
      <c r="I1014" s="181" t="s">
        <v>242</v>
      </c>
      <c r="J1014" s="184" t="n">
        <v>40190</v>
      </c>
      <c r="K1014" s="184" t="n">
        <v>15040</v>
      </c>
      <c r="L1014" s="185" t="n">
        <v>10</v>
      </c>
      <c r="M1014" s="184" t="n">
        <v>25150</v>
      </c>
      <c r="N1014" s="184" t="n">
        <v>22635</v>
      </c>
      <c r="O1014" s="186" t="s">
        <v>2423</v>
      </c>
      <c r="P1014" s="187" t="n">
        <v>45946</v>
      </c>
    </row>
    <row r="1015" customFormat="false" ht="51" hidden="false" customHeight="true" outlineLevel="0" collapsed="false">
      <c r="A1015" s="181" t="s">
        <v>3330</v>
      </c>
      <c r="B1015" s="182" t="n">
        <v>2371</v>
      </c>
      <c r="C1015" s="183" t="n">
        <v>12</v>
      </c>
      <c r="D1015" s="181" t="s">
        <v>2401</v>
      </c>
      <c r="E1015" s="181" t="s">
        <v>277</v>
      </c>
      <c r="F1015" s="181" t="s">
        <v>278</v>
      </c>
      <c r="G1015" s="181" t="s">
        <v>142</v>
      </c>
      <c r="H1015" s="181" t="s">
        <v>158</v>
      </c>
      <c r="I1015" s="181" t="s">
        <v>242</v>
      </c>
      <c r="J1015" s="184" t="n">
        <v>43730</v>
      </c>
      <c r="K1015" s="184" t="n">
        <v>15240</v>
      </c>
      <c r="L1015" s="185" t="n">
        <v>9</v>
      </c>
      <c r="M1015" s="184" t="n">
        <v>28490</v>
      </c>
      <c r="N1015" s="184" t="n">
        <v>25925.9</v>
      </c>
      <c r="O1015" s="186" t="s">
        <v>2425</v>
      </c>
      <c r="P1015" s="187" t="n">
        <v>45946</v>
      </c>
    </row>
    <row r="1016" customFormat="false" ht="51" hidden="false" customHeight="true" outlineLevel="0" collapsed="false">
      <c r="A1016" s="181" t="s">
        <v>2430</v>
      </c>
      <c r="B1016" s="182" t="n">
        <v>2372</v>
      </c>
      <c r="C1016" s="183" t="n">
        <v>13</v>
      </c>
      <c r="D1016" s="181" t="s">
        <v>2401</v>
      </c>
      <c r="E1016" s="181" t="s">
        <v>346</v>
      </c>
      <c r="F1016" s="181" t="s">
        <v>347</v>
      </c>
      <c r="G1016" s="181" t="s">
        <v>142</v>
      </c>
      <c r="H1016" s="181" t="s">
        <v>158</v>
      </c>
      <c r="I1016" s="181" t="s">
        <v>242</v>
      </c>
      <c r="J1016" s="184" t="n">
        <v>40790</v>
      </c>
      <c r="K1016" s="184" t="n">
        <v>15300</v>
      </c>
      <c r="L1016" s="185" t="n">
        <v>13</v>
      </c>
      <c r="M1016" s="184" t="n">
        <v>25490</v>
      </c>
      <c r="N1016" s="184" t="n">
        <v>22176.3</v>
      </c>
      <c r="O1016" s="186" t="s">
        <v>3331</v>
      </c>
      <c r="P1016" s="187" t="n">
        <v>45946</v>
      </c>
    </row>
    <row r="1017" customFormat="false" ht="51" hidden="false" customHeight="true" outlineLevel="0" collapsed="false">
      <c r="A1017" s="181" t="s">
        <v>2427</v>
      </c>
      <c r="B1017" s="182" t="n">
        <v>2373</v>
      </c>
      <c r="C1017" s="183" t="n">
        <v>14</v>
      </c>
      <c r="D1017" s="181" t="s">
        <v>2401</v>
      </c>
      <c r="E1017" s="181" t="s">
        <v>332</v>
      </c>
      <c r="F1017" s="181" t="s">
        <v>333</v>
      </c>
      <c r="G1017" s="181" t="s">
        <v>142</v>
      </c>
      <c r="H1017" s="181" t="s">
        <v>158</v>
      </c>
      <c r="I1017" s="181" t="s">
        <v>242</v>
      </c>
      <c r="J1017" s="184" t="n">
        <v>39590</v>
      </c>
      <c r="K1017" s="184" t="n">
        <v>14910</v>
      </c>
      <c r="L1017" s="185" t="n">
        <v>16</v>
      </c>
      <c r="M1017" s="184" t="n">
        <v>24680</v>
      </c>
      <c r="N1017" s="184" t="n">
        <v>20731.2</v>
      </c>
      <c r="O1017" s="186" t="s">
        <v>3332</v>
      </c>
      <c r="P1017" s="187" t="n">
        <v>45946</v>
      </c>
    </row>
    <row r="1018" customFormat="false" ht="51" hidden="false" customHeight="true" outlineLevel="0" collapsed="false">
      <c r="A1018" s="181" t="s">
        <v>2433</v>
      </c>
      <c r="B1018" s="182" t="n">
        <v>2378</v>
      </c>
      <c r="C1018" s="183" t="n">
        <v>15</v>
      </c>
      <c r="D1018" s="181" t="s">
        <v>2401</v>
      </c>
      <c r="E1018" s="181" t="s">
        <v>367</v>
      </c>
      <c r="F1018" s="181" t="s">
        <v>368</v>
      </c>
      <c r="G1018" s="181" t="s">
        <v>142</v>
      </c>
      <c r="H1018" s="181" t="s">
        <v>158</v>
      </c>
      <c r="I1018" s="181" t="s">
        <v>242</v>
      </c>
      <c r="J1018" s="184" t="n">
        <v>50820</v>
      </c>
      <c r="K1018" s="184" t="n">
        <v>18920</v>
      </c>
      <c r="L1018" s="185" t="n">
        <v>12</v>
      </c>
      <c r="M1018" s="184" t="n">
        <v>31900</v>
      </c>
      <c r="N1018" s="184" t="n">
        <v>28072</v>
      </c>
      <c r="O1018" s="186" t="s">
        <v>2434</v>
      </c>
      <c r="P1018" s="187" t="n">
        <v>45946</v>
      </c>
    </row>
    <row r="1019" customFormat="false" ht="51" hidden="false" customHeight="true" outlineLevel="0" collapsed="false">
      <c r="A1019" s="181" t="s">
        <v>2436</v>
      </c>
      <c r="B1019" s="182" t="n">
        <v>2380</v>
      </c>
      <c r="C1019" s="183" t="n">
        <v>16</v>
      </c>
      <c r="D1019" s="181" t="s">
        <v>2401</v>
      </c>
      <c r="E1019" s="181" t="s">
        <v>2351</v>
      </c>
      <c r="F1019" s="181" t="s">
        <v>2352</v>
      </c>
      <c r="G1019" s="181" t="s">
        <v>142</v>
      </c>
      <c r="H1019" s="181" t="s">
        <v>158</v>
      </c>
      <c r="I1019" s="181" t="s">
        <v>242</v>
      </c>
      <c r="J1019" s="184" t="n">
        <v>49390</v>
      </c>
      <c r="K1019" s="184" t="n">
        <v>17650</v>
      </c>
      <c r="L1019" s="185" t="n">
        <v>13</v>
      </c>
      <c r="M1019" s="184" t="n">
        <v>31740</v>
      </c>
      <c r="N1019" s="184" t="n">
        <v>27613.8</v>
      </c>
      <c r="O1019" s="186" t="s">
        <v>2437</v>
      </c>
      <c r="P1019" s="187" t="n">
        <v>45946</v>
      </c>
    </row>
    <row r="1020" customFormat="false" ht="51" hidden="false" customHeight="true" outlineLevel="0" collapsed="false">
      <c r="A1020" s="181" t="s">
        <v>2438</v>
      </c>
      <c r="B1020" s="182" t="n">
        <v>2385</v>
      </c>
      <c r="C1020" s="183" t="n">
        <v>17</v>
      </c>
      <c r="D1020" s="181" t="s">
        <v>2401</v>
      </c>
      <c r="E1020" s="181" t="s">
        <v>300</v>
      </c>
      <c r="F1020" s="181" t="s">
        <v>301</v>
      </c>
      <c r="G1020" s="181" t="s">
        <v>142</v>
      </c>
      <c r="H1020" s="181" t="s">
        <v>158</v>
      </c>
      <c r="I1020" s="181" t="s">
        <v>242</v>
      </c>
      <c r="J1020" s="184" t="n">
        <v>63670</v>
      </c>
      <c r="K1020" s="184" t="n">
        <v>21410</v>
      </c>
      <c r="L1020" s="185" t="n">
        <v>10</v>
      </c>
      <c r="M1020" s="184" t="n">
        <v>42260</v>
      </c>
      <c r="N1020" s="184" t="n">
        <v>38034</v>
      </c>
      <c r="O1020" s="186" t="s">
        <v>2439</v>
      </c>
      <c r="P1020" s="187" t="n">
        <v>45946</v>
      </c>
    </row>
    <row r="1021" customFormat="false" ht="51" hidden="false" customHeight="true" outlineLevel="0" collapsed="false">
      <c r="A1021" s="181" t="s">
        <v>2440</v>
      </c>
      <c r="B1021" s="182" t="n">
        <v>2387</v>
      </c>
      <c r="C1021" s="183" t="n">
        <v>18</v>
      </c>
      <c r="D1021" s="181" t="s">
        <v>2401</v>
      </c>
      <c r="E1021" s="181" t="s">
        <v>354</v>
      </c>
      <c r="F1021" s="181" t="s">
        <v>355</v>
      </c>
      <c r="G1021" s="181" t="s">
        <v>142</v>
      </c>
      <c r="H1021" s="181" t="s">
        <v>158</v>
      </c>
      <c r="I1021" s="181" t="s">
        <v>242</v>
      </c>
      <c r="J1021" s="184" t="n">
        <v>40550</v>
      </c>
      <c r="K1021" s="184" t="n">
        <v>14940</v>
      </c>
      <c r="L1021" s="185" t="n">
        <v>13</v>
      </c>
      <c r="M1021" s="184" t="n">
        <v>25610</v>
      </c>
      <c r="N1021" s="184" t="n">
        <v>22280.7</v>
      </c>
      <c r="O1021" s="186" t="s">
        <v>2441</v>
      </c>
      <c r="P1021" s="187" t="n">
        <v>45946</v>
      </c>
    </row>
    <row r="1022" customFormat="false" ht="51" hidden="false" customHeight="true" outlineLevel="0" collapsed="false">
      <c r="A1022" s="181" t="s">
        <v>2442</v>
      </c>
      <c r="B1022" s="182" t="n">
        <v>2388</v>
      </c>
      <c r="C1022" s="183" t="n">
        <v>20</v>
      </c>
      <c r="D1022" s="181" t="s">
        <v>2401</v>
      </c>
      <c r="E1022" s="181" t="s">
        <v>359</v>
      </c>
      <c r="F1022" s="181" t="s">
        <v>360</v>
      </c>
      <c r="G1022" s="181" t="s">
        <v>142</v>
      </c>
      <c r="H1022" s="181" t="s">
        <v>158</v>
      </c>
      <c r="I1022" s="181" t="s">
        <v>242</v>
      </c>
      <c r="J1022" s="184" t="n">
        <v>35970</v>
      </c>
      <c r="K1022" s="184" t="n">
        <v>15110</v>
      </c>
      <c r="L1022" s="185" t="n">
        <v>15</v>
      </c>
      <c r="M1022" s="184" t="n">
        <v>20860</v>
      </c>
      <c r="N1022" s="184" t="n">
        <v>17731</v>
      </c>
      <c r="O1022" s="186" t="s">
        <v>2443</v>
      </c>
      <c r="P1022" s="187" t="n">
        <v>45946</v>
      </c>
    </row>
    <row r="1023" customFormat="false" ht="51" hidden="false" customHeight="true" outlineLevel="0" collapsed="false">
      <c r="A1023" s="181" t="s">
        <v>2444</v>
      </c>
      <c r="B1023" s="182" t="n">
        <v>2389</v>
      </c>
      <c r="C1023" s="183" t="n">
        <v>19</v>
      </c>
      <c r="D1023" s="181" t="s">
        <v>2401</v>
      </c>
      <c r="E1023" s="181" t="s">
        <v>413</v>
      </c>
      <c r="F1023" s="181" t="s">
        <v>414</v>
      </c>
      <c r="G1023" s="181" t="s">
        <v>142</v>
      </c>
      <c r="H1023" s="181" t="s">
        <v>158</v>
      </c>
      <c r="I1023" s="181" t="s">
        <v>242</v>
      </c>
      <c r="J1023" s="184" t="n">
        <v>47070</v>
      </c>
      <c r="K1023" s="184" t="n">
        <v>15930</v>
      </c>
      <c r="L1023" s="185" t="n">
        <v>17</v>
      </c>
      <c r="M1023" s="184" t="n">
        <v>31140</v>
      </c>
      <c r="N1023" s="184" t="n">
        <v>25846.2</v>
      </c>
      <c r="O1023" s="186" t="s">
        <v>2445</v>
      </c>
      <c r="P1023" s="187" t="n">
        <v>45946</v>
      </c>
    </row>
    <row r="1024" customFormat="false" ht="51" hidden="false" customHeight="true" outlineLevel="0" collapsed="false">
      <c r="A1024" s="181" t="s">
        <v>2448</v>
      </c>
      <c r="B1024" s="182" t="n">
        <v>2390</v>
      </c>
      <c r="C1024" s="183" t="n">
        <v>22</v>
      </c>
      <c r="D1024" s="181" t="s">
        <v>2401</v>
      </c>
      <c r="E1024" s="181" t="s">
        <v>399</v>
      </c>
      <c r="F1024" s="181" t="s">
        <v>400</v>
      </c>
      <c r="G1024" s="181" t="s">
        <v>142</v>
      </c>
      <c r="H1024" s="181" t="s">
        <v>158</v>
      </c>
      <c r="I1024" s="181" t="s">
        <v>242</v>
      </c>
      <c r="J1024" s="184" t="n">
        <v>53680</v>
      </c>
      <c r="K1024" s="184" t="n">
        <v>19660</v>
      </c>
      <c r="L1024" s="185" t="n">
        <v>17</v>
      </c>
      <c r="M1024" s="184" t="n">
        <v>34020</v>
      </c>
      <c r="N1024" s="184" t="n">
        <v>28236.6</v>
      </c>
      <c r="O1024" s="186" t="s">
        <v>2449</v>
      </c>
      <c r="P1024" s="187" t="n">
        <v>45946</v>
      </c>
    </row>
    <row r="1025" customFormat="false" ht="51" hidden="false" customHeight="true" outlineLevel="0" collapsed="false">
      <c r="A1025" s="181" t="s">
        <v>2456</v>
      </c>
      <c r="B1025" s="182" t="n">
        <v>2393</v>
      </c>
      <c r="C1025" s="183" t="n">
        <v>21</v>
      </c>
      <c r="D1025" s="181" t="s">
        <v>2401</v>
      </c>
      <c r="E1025" s="181" t="s">
        <v>409</v>
      </c>
      <c r="F1025" s="181" t="s">
        <v>410</v>
      </c>
      <c r="G1025" s="181" t="s">
        <v>142</v>
      </c>
      <c r="H1025" s="181" t="s">
        <v>158</v>
      </c>
      <c r="I1025" s="181" t="s">
        <v>242</v>
      </c>
      <c r="J1025" s="184" t="n">
        <v>64850</v>
      </c>
      <c r="K1025" s="184" t="n">
        <v>24610</v>
      </c>
      <c r="L1025" s="185" t="n">
        <v>6</v>
      </c>
      <c r="M1025" s="184" t="n">
        <v>40240</v>
      </c>
      <c r="N1025" s="184" t="n">
        <v>37825.6</v>
      </c>
      <c r="O1025" s="186" t="s">
        <v>2457</v>
      </c>
      <c r="P1025" s="187" t="n">
        <v>45946</v>
      </c>
    </row>
    <row r="1026" customFormat="false" ht="51" hidden="false" customHeight="true" outlineLevel="0" collapsed="false">
      <c r="A1026" s="181" t="s">
        <v>2460</v>
      </c>
      <c r="B1026" s="182" t="n">
        <v>2394</v>
      </c>
      <c r="C1026" s="183" t="n">
        <v>23</v>
      </c>
      <c r="D1026" s="181" t="s">
        <v>2401</v>
      </c>
      <c r="E1026" s="181" t="s">
        <v>308</v>
      </c>
      <c r="F1026" s="181" t="s">
        <v>309</v>
      </c>
      <c r="G1026" s="181" t="s">
        <v>142</v>
      </c>
      <c r="H1026" s="181" t="s">
        <v>158</v>
      </c>
      <c r="I1026" s="181" t="s">
        <v>242</v>
      </c>
      <c r="J1026" s="184" t="n">
        <v>63210</v>
      </c>
      <c r="K1026" s="184" t="n">
        <v>24240</v>
      </c>
      <c r="L1026" s="185" t="n">
        <v>17</v>
      </c>
      <c r="M1026" s="184" t="n">
        <v>38970</v>
      </c>
      <c r="N1026" s="184" t="n">
        <v>32345.1</v>
      </c>
      <c r="O1026" s="186" t="s">
        <v>2461</v>
      </c>
      <c r="P1026" s="187" t="n">
        <v>45946</v>
      </c>
    </row>
    <row r="1027" customFormat="false" ht="51" hidden="false" customHeight="true" outlineLevel="0" collapsed="false">
      <c r="A1027" s="181" t="s">
        <v>2446</v>
      </c>
      <c r="B1027" s="182" t="n">
        <v>2395</v>
      </c>
      <c r="C1027" s="183" t="n">
        <v>25</v>
      </c>
      <c r="D1027" s="181" t="s">
        <v>2401</v>
      </c>
      <c r="E1027" s="181" t="s">
        <v>350</v>
      </c>
      <c r="F1027" s="181" t="s">
        <v>351</v>
      </c>
      <c r="G1027" s="181" t="s">
        <v>142</v>
      </c>
      <c r="H1027" s="181" t="s">
        <v>158</v>
      </c>
      <c r="I1027" s="181" t="s">
        <v>242</v>
      </c>
      <c r="J1027" s="184" t="n">
        <v>43820</v>
      </c>
      <c r="K1027" s="184" t="n">
        <v>15240</v>
      </c>
      <c r="L1027" s="185" t="n">
        <v>6</v>
      </c>
      <c r="M1027" s="184" t="n">
        <v>28580</v>
      </c>
      <c r="N1027" s="184" t="n">
        <v>26865.2</v>
      </c>
      <c r="O1027" s="186" t="s">
        <v>2447</v>
      </c>
      <c r="P1027" s="187" t="n">
        <v>45946</v>
      </c>
    </row>
    <row r="1028" customFormat="false" ht="51" hidden="false" customHeight="true" outlineLevel="0" collapsed="false">
      <c r="A1028" s="181" t="s">
        <v>2450</v>
      </c>
      <c r="B1028" s="182" t="n">
        <v>2396</v>
      </c>
      <c r="C1028" s="183" t="n">
        <v>24</v>
      </c>
      <c r="D1028" s="181" t="s">
        <v>2401</v>
      </c>
      <c r="E1028" s="181" t="s">
        <v>304</v>
      </c>
      <c r="F1028" s="181" t="s">
        <v>305</v>
      </c>
      <c r="G1028" s="181" t="s">
        <v>142</v>
      </c>
      <c r="H1028" s="181" t="s">
        <v>158</v>
      </c>
      <c r="I1028" s="181" t="s">
        <v>242</v>
      </c>
      <c r="J1028" s="184" t="n">
        <v>39450</v>
      </c>
      <c r="K1028" s="184" t="n">
        <v>15180</v>
      </c>
      <c r="L1028" s="185" t="n">
        <v>10</v>
      </c>
      <c r="M1028" s="184" t="n">
        <v>24270</v>
      </c>
      <c r="N1028" s="184" t="n">
        <v>21843</v>
      </c>
      <c r="O1028" s="186" t="s">
        <v>2451</v>
      </c>
      <c r="P1028" s="187" t="n">
        <v>45946</v>
      </c>
    </row>
    <row r="1029" customFormat="false" ht="51" hidden="false" customHeight="true" outlineLevel="0" collapsed="false">
      <c r="A1029" s="181" t="s">
        <v>2452</v>
      </c>
      <c r="B1029" s="182" t="n">
        <v>2398</v>
      </c>
      <c r="C1029" s="183" t="n">
        <v>27</v>
      </c>
      <c r="D1029" s="181" t="s">
        <v>2401</v>
      </c>
      <c r="E1029" s="181" t="s">
        <v>373</v>
      </c>
      <c r="F1029" s="181" t="s">
        <v>374</v>
      </c>
      <c r="G1029" s="181" t="s">
        <v>142</v>
      </c>
      <c r="H1029" s="181" t="s">
        <v>158</v>
      </c>
      <c r="I1029" s="181" t="s">
        <v>242</v>
      </c>
      <c r="J1029" s="184" t="n">
        <v>42810</v>
      </c>
      <c r="K1029" s="184" t="n">
        <v>14600</v>
      </c>
      <c r="L1029" s="185" t="n">
        <v>12</v>
      </c>
      <c r="M1029" s="184" t="n">
        <v>28210</v>
      </c>
      <c r="N1029" s="184" t="n">
        <v>24824.8</v>
      </c>
      <c r="O1029" s="186" t="s">
        <v>2453</v>
      </c>
      <c r="P1029" s="187" t="n">
        <v>45946</v>
      </c>
    </row>
    <row r="1030" customFormat="false" ht="51" hidden="false" customHeight="true" outlineLevel="0" collapsed="false">
      <c r="A1030" s="181" t="s">
        <v>2454</v>
      </c>
      <c r="B1030" s="182" t="n">
        <v>2399</v>
      </c>
      <c r="C1030" s="183" t="n">
        <v>26</v>
      </c>
      <c r="D1030" s="181" t="s">
        <v>2401</v>
      </c>
      <c r="E1030" s="181" t="s">
        <v>383</v>
      </c>
      <c r="F1030" s="181" t="s">
        <v>384</v>
      </c>
      <c r="G1030" s="181" t="s">
        <v>142</v>
      </c>
      <c r="H1030" s="181" t="s">
        <v>158</v>
      </c>
      <c r="I1030" s="181" t="s">
        <v>242</v>
      </c>
      <c r="J1030" s="184" t="n">
        <v>42560</v>
      </c>
      <c r="K1030" s="184" t="n">
        <v>15130</v>
      </c>
      <c r="L1030" s="185" t="n">
        <v>9</v>
      </c>
      <c r="M1030" s="184" t="n">
        <v>27430</v>
      </c>
      <c r="N1030" s="184" t="n">
        <v>24961.3</v>
      </c>
      <c r="O1030" s="186" t="s">
        <v>2455</v>
      </c>
      <c r="P1030" s="187" t="n">
        <v>45946</v>
      </c>
    </row>
    <row r="1031" customFormat="false" ht="51" hidden="false" customHeight="true" outlineLevel="0" collapsed="false">
      <c r="A1031" s="181" t="s">
        <v>2458</v>
      </c>
      <c r="B1031" s="182" t="n">
        <v>2401</v>
      </c>
      <c r="C1031" s="183" t="n">
        <v>28</v>
      </c>
      <c r="D1031" s="181" t="s">
        <v>2401</v>
      </c>
      <c r="E1031" s="181" t="s">
        <v>387</v>
      </c>
      <c r="F1031" s="181" t="s">
        <v>388</v>
      </c>
      <c r="G1031" s="181" t="s">
        <v>142</v>
      </c>
      <c r="H1031" s="181" t="s">
        <v>158</v>
      </c>
      <c r="I1031" s="181" t="s">
        <v>242</v>
      </c>
      <c r="J1031" s="184" t="n">
        <v>43310</v>
      </c>
      <c r="K1031" s="184" t="n">
        <v>15310</v>
      </c>
      <c r="L1031" s="185" t="n">
        <v>12</v>
      </c>
      <c r="M1031" s="184" t="n">
        <v>28000</v>
      </c>
      <c r="N1031" s="184" t="n">
        <v>24640</v>
      </c>
      <c r="O1031" s="186" t="s">
        <v>2459</v>
      </c>
      <c r="P1031" s="187" t="n">
        <v>45946</v>
      </c>
    </row>
    <row r="1032" customFormat="false" ht="51" hidden="false" customHeight="true" outlineLevel="0" collapsed="false">
      <c r="A1032" s="181" t="s">
        <v>2466</v>
      </c>
      <c r="B1032" s="182" t="n">
        <v>2402</v>
      </c>
      <c r="C1032" s="183" t="n">
        <v>29</v>
      </c>
      <c r="D1032" s="181" t="s">
        <v>2401</v>
      </c>
      <c r="E1032" s="181" t="s">
        <v>288</v>
      </c>
      <c r="F1032" s="181" t="s">
        <v>289</v>
      </c>
      <c r="G1032" s="181" t="s">
        <v>142</v>
      </c>
      <c r="H1032" s="181" t="s">
        <v>158</v>
      </c>
      <c r="I1032" s="181" t="s">
        <v>242</v>
      </c>
      <c r="J1032" s="184" t="n">
        <v>37530</v>
      </c>
      <c r="K1032" s="184" t="n">
        <v>14680</v>
      </c>
      <c r="L1032" s="185" t="n">
        <v>16</v>
      </c>
      <c r="M1032" s="184" t="n">
        <v>22850</v>
      </c>
      <c r="N1032" s="184" t="n">
        <v>19194</v>
      </c>
      <c r="O1032" s="186" t="s">
        <v>2467</v>
      </c>
      <c r="P1032" s="187" t="n">
        <v>45946</v>
      </c>
    </row>
    <row r="1033" customFormat="false" ht="51" hidden="false" customHeight="true" outlineLevel="0" collapsed="false">
      <c r="A1033" s="181" t="s">
        <v>2462</v>
      </c>
      <c r="B1033" s="182" t="n">
        <v>2403</v>
      </c>
      <c r="C1033" s="183" t="n">
        <v>30</v>
      </c>
      <c r="D1033" s="181" t="s">
        <v>2401</v>
      </c>
      <c r="E1033" s="181" t="s">
        <v>292</v>
      </c>
      <c r="F1033" s="181" t="s">
        <v>293</v>
      </c>
      <c r="G1033" s="181" t="s">
        <v>142</v>
      </c>
      <c r="H1033" s="181" t="s">
        <v>158</v>
      </c>
      <c r="I1033" s="181" t="s">
        <v>242</v>
      </c>
      <c r="J1033" s="184" t="n">
        <v>36800</v>
      </c>
      <c r="K1033" s="184" t="n">
        <v>13980</v>
      </c>
      <c r="L1033" s="185" t="n">
        <v>17</v>
      </c>
      <c r="M1033" s="184" t="n">
        <v>22820</v>
      </c>
      <c r="N1033" s="184" t="n">
        <v>18940.6</v>
      </c>
      <c r="O1033" s="186" t="s">
        <v>2463</v>
      </c>
      <c r="P1033" s="187" t="n">
        <v>45946</v>
      </c>
    </row>
    <row r="1034" customFormat="false" ht="51" hidden="false" customHeight="true" outlineLevel="0" collapsed="false">
      <c r="A1034" s="181" t="s">
        <v>2464</v>
      </c>
      <c r="B1034" s="182" t="n">
        <v>2405</v>
      </c>
      <c r="C1034" s="183" t="n">
        <v>31</v>
      </c>
      <c r="D1034" s="181" t="s">
        <v>2401</v>
      </c>
      <c r="E1034" s="181" t="s">
        <v>346</v>
      </c>
      <c r="F1034" s="181" t="s">
        <v>347</v>
      </c>
      <c r="G1034" s="181" t="s">
        <v>142</v>
      </c>
      <c r="H1034" s="181" t="s">
        <v>158</v>
      </c>
      <c r="I1034" s="181" t="s">
        <v>242</v>
      </c>
      <c r="J1034" s="184" t="n">
        <v>37870</v>
      </c>
      <c r="K1034" s="184" t="n">
        <v>15230</v>
      </c>
      <c r="L1034" s="185" t="n">
        <v>14</v>
      </c>
      <c r="M1034" s="184" t="n">
        <v>22640</v>
      </c>
      <c r="N1034" s="184" t="n">
        <v>19470.4</v>
      </c>
      <c r="O1034" s="186" t="s">
        <v>2465</v>
      </c>
      <c r="P1034" s="187" t="n">
        <v>45947</v>
      </c>
    </row>
    <row r="1035" customFormat="false" ht="51" hidden="false" customHeight="true" outlineLevel="0" collapsed="false">
      <c r="A1035" s="181" t="s">
        <v>2468</v>
      </c>
      <c r="B1035" s="182" t="n">
        <v>2406</v>
      </c>
      <c r="C1035" s="183" t="n">
        <v>32</v>
      </c>
      <c r="D1035" s="181" t="s">
        <v>2401</v>
      </c>
      <c r="E1035" s="181" t="s">
        <v>901</v>
      </c>
      <c r="F1035" s="181" t="s">
        <v>902</v>
      </c>
      <c r="G1035" s="181" t="s">
        <v>142</v>
      </c>
      <c r="H1035" s="181" t="s">
        <v>158</v>
      </c>
      <c r="I1035" s="181" t="s">
        <v>242</v>
      </c>
      <c r="J1035" s="184" t="n">
        <v>37820</v>
      </c>
      <c r="K1035" s="184" t="n">
        <v>14860</v>
      </c>
      <c r="L1035" s="185" t="n">
        <v>9</v>
      </c>
      <c r="M1035" s="184" t="n">
        <v>22960</v>
      </c>
      <c r="N1035" s="184" t="n">
        <v>20893.6</v>
      </c>
      <c r="O1035" s="186" t="s">
        <v>2469</v>
      </c>
      <c r="P1035" s="187" t="n">
        <v>45947</v>
      </c>
    </row>
    <row r="1036" customFormat="false" ht="51" hidden="false" customHeight="true" outlineLevel="0" collapsed="false">
      <c r="A1036" s="181" t="s">
        <v>2470</v>
      </c>
      <c r="B1036" s="182" t="n">
        <v>2407</v>
      </c>
      <c r="C1036" s="183" t="n">
        <v>33</v>
      </c>
      <c r="D1036" s="181" t="s">
        <v>2401</v>
      </c>
      <c r="E1036" s="181" t="s">
        <v>582</v>
      </c>
      <c r="F1036" s="181" t="s">
        <v>583</v>
      </c>
      <c r="G1036" s="181" t="s">
        <v>142</v>
      </c>
      <c r="H1036" s="181" t="s">
        <v>158</v>
      </c>
      <c r="I1036" s="181" t="s">
        <v>242</v>
      </c>
      <c r="J1036" s="184" t="n">
        <v>41270</v>
      </c>
      <c r="K1036" s="184" t="n">
        <v>14850</v>
      </c>
      <c r="L1036" s="185" t="n">
        <v>15</v>
      </c>
      <c r="M1036" s="184" t="n">
        <v>26420</v>
      </c>
      <c r="N1036" s="184" t="n">
        <v>22457</v>
      </c>
      <c r="O1036" s="186" t="s">
        <v>2471</v>
      </c>
      <c r="P1036" s="187" t="n">
        <v>45947</v>
      </c>
    </row>
    <row r="1037" customFormat="false" ht="51" hidden="false" customHeight="true" outlineLevel="0" collapsed="false">
      <c r="A1037" s="181" t="s">
        <v>2472</v>
      </c>
      <c r="B1037" s="182" t="n">
        <v>2408</v>
      </c>
      <c r="C1037" s="183" t="n">
        <v>34</v>
      </c>
      <c r="D1037" s="181" t="s">
        <v>2401</v>
      </c>
      <c r="E1037" s="181" t="s">
        <v>336</v>
      </c>
      <c r="F1037" s="181" t="s">
        <v>337</v>
      </c>
      <c r="G1037" s="181" t="s">
        <v>142</v>
      </c>
      <c r="H1037" s="181" t="s">
        <v>158</v>
      </c>
      <c r="I1037" s="181" t="s">
        <v>242</v>
      </c>
      <c r="J1037" s="184" t="n">
        <v>39310</v>
      </c>
      <c r="K1037" s="184" t="n">
        <v>14660</v>
      </c>
      <c r="L1037" s="185" t="n">
        <v>15</v>
      </c>
      <c r="M1037" s="184" t="n">
        <v>24650</v>
      </c>
      <c r="N1037" s="184" t="n">
        <v>20952.5</v>
      </c>
      <c r="O1037" s="186" t="s">
        <v>2473</v>
      </c>
      <c r="P1037" s="187" t="n">
        <v>45947</v>
      </c>
    </row>
    <row r="1038" customFormat="false" ht="51" hidden="false" customHeight="true" outlineLevel="0" collapsed="false">
      <c r="A1038" s="181" t="s">
        <v>2474</v>
      </c>
      <c r="B1038" s="182" t="n">
        <v>2409</v>
      </c>
      <c r="C1038" s="183" t="n">
        <v>35</v>
      </c>
      <c r="D1038" s="181" t="s">
        <v>2401</v>
      </c>
      <c r="E1038" s="181" t="s">
        <v>340</v>
      </c>
      <c r="F1038" s="181" t="s">
        <v>341</v>
      </c>
      <c r="G1038" s="181" t="s">
        <v>142</v>
      </c>
      <c r="H1038" s="181" t="s">
        <v>158</v>
      </c>
      <c r="I1038" s="181" t="s">
        <v>242</v>
      </c>
      <c r="J1038" s="184" t="n">
        <v>39690</v>
      </c>
      <c r="K1038" s="184" t="n">
        <v>15260</v>
      </c>
      <c r="L1038" s="185" t="n">
        <v>15</v>
      </c>
      <c r="M1038" s="184" t="n">
        <v>24430</v>
      </c>
      <c r="N1038" s="184" t="n">
        <v>20765.5</v>
      </c>
      <c r="O1038" s="186" t="s">
        <v>2475</v>
      </c>
      <c r="P1038" s="187" t="n">
        <v>45947</v>
      </c>
    </row>
    <row r="1039" customFormat="false" ht="51" hidden="false" customHeight="true" outlineLevel="0" collapsed="false">
      <c r="A1039" s="181" t="s">
        <v>2476</v>
      </c>
      <c r="B1039" s="182" t="n">
        <v>2410</v>
      </c>
      <c r="C1039" s="183" t="n">
        <v>36</v>
      </c>
      <c r="D1039" s="181" t="s">
        <v>2401</v>
      </c>
      <c r="E1039" s="181" t="s">
        <v>282</v>
      </c>
      <c r="F1039" s="181" t="s">
        <v>283</v>
      </c>
      <c r="G1039" s="181" t="s">
        <v>142</v>
      </c>
      <c r="H1039" s="181" t="s">
        <v>158</v>
      </c>
      <c r="I1039" s="181" t="s">
        <v>242</v>
      </c>
      <c r="J1039" s="184" t="n">
        <v>39480</v>
      </c>
      <c r="K1039" s="184" t="n">
        <v>15210</v>
      </c>
      <c r="L1039" s="185" t="n">
        <v>12</v>
      </c>
      <c r="M1039" s="184" t="n">
        <v>24270</v>
      </c>
      <c r="N1039" s="184" t="n">
        <v>21357.6</v>
      </c>
      <c r="O1039" s="186" t="s">
        <v>2477</v>
      </c>
      <c r="P1039" s="187" t="n">
        <v>45947</v>
      </c>
    </row>
    <row r="1040" customFormat="false" ht="51" hidden="false" customHeight="true" outlineLevel="0" collapsed="false">
      <c r="A1040" s="181" t="s">
        <v>2478</v>
      </c>
      <c r="B1040" s="182" t="n">
        <v>2412</v>
      </c>
      <c r="C1040" s="183" t="n">
        <v>39</v>
      </c>
      <c r="D1040" s="181" t="s">
        <v>2401</v>
      </c>
      <c r="E1040" s="181" t="s">
        <v>332</v>
      </c>
      <c r="F1040" s="181" t="s">
        <v>333</v>
      </c>
      <c r="G1040" s="181" t="s">
        <v>142</v>
      </c>
      <c r="H1040" s="181" t="s">
        <v>158</v>
      </c>
      <c r="I1040" s="181" t="s">
        <v>242</v>
      </c>
      <c r="J1040" s="184" t="n">
        <v>39070</v>
      </c>
      <c r="K1040" s="184" t="n">
        <v>14820</v>
      </c>
      <c r="L1040" s="185" t="n">
        <v>13</v>
      </c>
      <c r="M1040" s="184" t="n">
        <v>24250</v>
      </c>
      <c r="N1040" s="184" t="n">
        <v>21097.5</v>
      </c>
      <c r="O1040" s="186" t="s">
        <v>2479</v>
      </c>
      <c r="P1040" s="187" t="n">
        <v>45947</v>
      </c>
    </row>
    <row r="1041" customFormat="false" ht="51" hidden="false" customHeight="true" outlineLevel="0" collapsed="false">
      <c r="A1041" s="181" t="s">
        <v>2480</v>
      </c>
      <c r="B1041" s="182" t="n">
        <v>2420</v>
      </c>
      <c r="C1041" s="183" t="n">
        <v>37</v>
      </c>
      <c r="D1041" s="181" t="s">
        <v>2401</v>
      </c>
      <c r="E1041" s="181" t="s">
        <v>391</v>
      </c>
      <c r="F1041" s="181" t="s">
        <v>392</v>
      </c>
      <c r="G1041" s="181" t="s">
        <v>142</v>
      </c>
      <c r="H1041" s="181" t="s">
        <v>158</v>
      </c>
      <c r="I1041" s="181" t="s">
        <v>242</v>
      </c>
      <c r="J1041" s="184" t="n">
        <v>35460</v>
      </c>
      <c r="K1041" s="184" t="n">
        <v>14470</v>
      </c>
      <c r="L1041" s="185" t="n">
        <v>11</v>
      </c>
      <c r="M1041" s="184" t="n">
        <v>20990</v>
      </c>
      <c r="N1041" s="184" t="n">
        <v>18681.1</v>
      </c>
      <c r="O1041" s="186" t="s">
        <v>2481</v>
      </c>
      <c r="P1041" s="187" t="n">
        <v>45947</v>
      </c>
    </row>
    <row r="1042" customFormat="false" ht="51" hidden="false" customHeight="true" outlineLevel="0" collapsed="false">
      <c r="A1042" s="181" t="s">
        <v>2482</v>
      </c>
      <c r="B1042" s="182" t="n">
        <v>2422</v>
      </c>
      <c r="C1042" s="183" t="n">
        <v>38</v>
      </c>
      <c r="D1042" s="181" t="s">
        <v>2401</v>
      </c>
      <c r="E1042" s="181" t="s">
        <v>529</v>
      </c>
      <c r="F1042" s="181" t="s">
        <v>530</v>
      </c>
      <c r="G1042" s="181" t="s">
        <v>142</v>
      </c>
      <c r="H1042" s="181" t="s">
        <v>158</v>
      </c>
      <c r="I1042" s="181" t="s">
        <v>242</v>
      </c>
      <c r="J1042" s="184" t="n">
        <v>38040</v>
      </c>
      <c r="K1042" s="184" t="n">
        <v>14950</v>
      </c>
      <c r="L1042" s="185" t="n">
        <v>9</v>
      </c>
      <c r="M1042" s="184" t="n">
        <v>23090</v>
      </c>
      <c r="N1042" s="184" t="n">
        <v>21011.9</v>
      </c>
      <c r="O1042" s="186" t="s">
        <v>2483</v>
      </c>
      <c r="P1042" s="187" t="n">
        <v>45947</v>
      </c>
    </row>
    <row r="1043" customFormat="false" ht="51" hidden="false" customHeight="true" outlineLevel="0" collapsed="false">
      <c r="A1043" s="181" t="s">
        <v>2484</v>
      </c>
      <c r="B1043" s="182" t="n">
        <v>2423</v>
      </c>
      <c r="C1043" s="183" t="n">
        <v>40</v>
      </c>
      <c r="D1043" s="181" t="s">
        <v>2401</v>
      </c>
      <c r="E1043" s="181" t="s">
        <v>277</v>
      </c>
      <c r="F1043" s="181" t="s">
        <v>278</v>
      </c>
      <c r="G1043" s="181" t="s">
        <v>142</v>
      </c>
      <c r="H1043" s="181" t="s">
        <v>158</v>
      </c>
      <c r="I1043" s="181" t="s">
        <v>242</v>
      </c>
      <c r="J1043" s="184" t="n">
        <v>43530</v>
      </c>
      <c r="K1043" s="184" t="n">
        <v>15170</v>
      </c>
      <c r="L1043" s="185" t="n">
        <v>7</v>
      </c>
      <c r="M1043" s="184" t="n">
        <v>28360</v>
      </c>
      <c r="N1043" s="184" t="n">
        <v>26374.8</v>
      </c>
      <c r="O1043" s="186" t="s">
        <v>2485</v>
      </c>
      <c r="P1043" s="187" t="n">
        <v>45947</v>
      </c>
    </row>
    <row r="1044" customFormat="false" ht="51" hidden="false" customHeight="true" outlineLevel="0" collapsed="false">
      <c r="A1044" s="181" t="s">
        <v>2486</v>
      </c>
      <c r="B1044" s="182" t="n">
        <v>2425</v>
      </c>
      <c r="C1044" s="183" t="n">
        <v>41</v>
      </c>
      <c r="D1044" s="181" t="s">
        <v>2401</v>
      </c>
      <c r="E1044" s="181" t="s">
        <v>266</v>
      </c>
      <c r="F1044" s="181" t="s">
        <v>267</v>
      </c>
      <c r="G1044" s="181" t="s">
        <v>142</v>
      </c>
      <c r="H1044" s="181" t="s">
        <v>158</v>
      </c>
      <c r="I1044" s="181" t="s">
        <v>242</v>
      </c>
      <c r="J1044" s="184" t="n">
        <v>40890</v>
      </c>
      <c r="K1044" s="184" t="n">
        <v>15100</v>
      </c>
      <c r="L1044" s="185" t="n">
        <v>9</v>
      </c>
      <c r="M1044" s="184" t="n">
        <v>25790</v>
      </c>
      <c r="N1044" s="184" t="n">
        <v>23468.9</v>
      </c>
      <c r="O1044" s="186" t="s">
        <v>2487</v>
      </c>
      <c r="P1044" s="187" t="n">
        <v>45947</v>
      </c>
    </row>
    <row r="1045" customFormat="false" ht="51" hidden="false" customHeight="true" outlineLevel="0" collapsed="false">
      <c r="A1045" s="181" t="s">
        <v>2488</v>
      </c>
      <c r="B1045" s="182" t="n">
        <v>2426</v>
      </c>
      <c r="C1045" s="183" t="n">
        <v>1</v>
      </c>
      <c r="D1045" s="181" t="s">
        <v>2005</v>
      </c>
      <c r="E1045" s="181" t="s">
        <v>288</v>
      </c>
      <c r="F1045" s="181" t="s">
        <v>289</v>
      </c>
      <c r="G1045" s="181" t="s">
        <v>2049</v>
      </c>
      <c r="H1045" s="181" t="s">
        <v>279</v>
      </c>
      <c r="I1045" s="181" t="s">
        <v>240</v>
      </c>
      <c r="J1045" s="184" t="n">
        <v>38270</v>
      </c>
      <c r="K1045" s="184" t="n">
        <v>14850</v>
      </c>
      <c r="L1045" s="185" t="n">
        <v>34</v>
      </c>
      <c r="M1045" s="184" t="n">
        <v>23420</v>
      </c>
      <c r="N1045" s="184" t="n">
        <v>15457.2</v>
      </c>
      <c r="O1045" s="186" t="s">
        <v>2489</v>
      </c>
      <c r="P1045" s="187" t="n">
        <v>45947</v>
      </c>
    </row>
    <row r="1046" customFormat="false" ht="51" hidden="false" customHeight="true" outlineLevel="0" collapsed="false">
      <c r="A1046" s="181" t="s">
        <v>2490</v>
      </c>
      <c r="B1046" s="182" t="n">
        <v>2428</v>
      </c>
      <c r="C1046" s="183" t="n">
        <v>10008</v>
      </c>
      <c r="D1046" s="181" t="s">
        <v>2066</v>
      </c>
      <c r="E1046" s="181" t="s">
        <v>439</v>
      </c>
      <c r="F1046" s="181" t="s">
        <v>440</v>
      </c>
      <c r="G1046" s="181" t="s">
        <v>3329</v>
      </c>
      <c r="H1046" s="181" t="s">
        <v>279</v>
      </c>
      <c r="I1046" s="181" t="s">
        <v>241</v>
      </c>
      <c r="J1046" s="184" t="n">
        <v>41210</v>
      </c>
      <c r="K1046" s="184" t="n">
        <v>16330</v>
      </c>
      <c r="L1046" s="185" t="n">
        <v>18</v>
      </c>
      <c r="M1046" s="184" t="n">
        <v>24880</v>
      </c>
      <c r="N1046" s="184" t="n">
        <v>20401.6</v>
      </c>
      <c r="O1046" s="186" t="s">
        <v>2491</v>
      </c>
      <c r="P1046" s="187" t="n">
        <v>45947</v>
      </c>
    </row>
    <row r="1047" customFormat="false" ht="51" hidden="false" customHeight="true" outlineLevel="0" collapsed="false">
      <c r="A1047" s="181" t="s">
        <v>2492</v>
      </c>
      <c r="B1047" s="182" t="n">
        <v>2429</v>
      </c>
      <c r="C1047" s="183" t="n">
        <v>42</v>
      </c>
      <c r="D1047" s="181" t="s">
        <v>2401</v>
      </c>
      <c r="E1047" s="181" t="s">
        <v>272</v>
      </c>
      <c r="F1047" s="181" t="s">
        <v>273</v>
      </c>
      <c r="G1047" s="181" t="s">
        <v>142</v>
      </c>
      <c r="H1047" s="181" t="s">
        <v>158</v>
      </c>
      <c r="I1047" s="181" t="s">
        <v>242</v>
      </c>
      <c r="J1047" s="184" t="n">
        <v>42020</v>
      </c>
      <c r="K1047" s="184" t="n">
        <v>15700</v>
      </c>
      <c r="L1047" s="185" t="n">
        <v>10</v>
      </c>
      <c r="M1047" s="184" t="n">
        <v>26320</v>
      </c>
      <c r="N1047" s="184" t="n">
        <v>23688</v>
      </c>
      <c r="O1047" s="186" t="s">
        <v>2493</v>
      </c>
      <c r="P1047" s="187" t="n">
        <v>45947</v>
      </c>
    </row>
    <row r="1048" customFormat="false" ht="51" hidden="false" customHeight="true" outlineLevel="0" collapsed="false">
      <c r="A1048" s="181" t="s">
        <v>2494</v>
      </c>
      <c r="B1048" s="182" t="n">
        <v>2430</v>
      </c>
      <c r="C1048" s="183" t="n">
        <v>43</v>
      </c>
      <c r="D1048" s="181" t="s">
        <v>2401</v>
      </c>
      <c r="E1048" s="181" t="s">
        <v>576</v>
      </c>
      <c r="F1048" s="181" t="s">
        <v>577</v>
      </c>
      <c r="G1048" s="181" t="s">
        <v>142</v>
      </c>
      <c r="H1048" s="181" t="s">
        <v>158</v>
      </c>
      <c r="I1048" s="181" t="s">
        <v>242</v>
      </c>
      <c r="J1048" s="184" t="n">
        <v>38530</v>
      </c>
      <c r="K1048" s="184" t="n">
        <v>14580</v>
      </c>
      <c r="L1048" s="185" t="n">
        <v>8</v>
      </c>
      <c r="M1048" s="184" t="n">
        <v>23950</v>
      </c>
      <c r="N1048" s="184" t="n">
        <v>22034</v>
      </c>
      <c r="O1048" s="186" t="s">
        <v>2495</v>
      </c>
      <c r="P1048" s="187" t="n">
        <v>45947</v>
      </c>
    </row>
    <row r="1049" customFormat="false" ht="51" hidden="false" customHeight="true" outlineLevel="0" collapsed="false">
      <c r="A1049" s="181" t="s">
        <v>2496</v>
      </c>
      <c r="B1049" s="182" t="n">
        <v>2432</v>
      </c>
      <c r="C1049" s="183" t="n">
        <v>44</v>
      </c>
      <c r="D1049" s="181" t="s">
        <v>2401</v>
      </c>
      <c r="E1049" s="181" t="s">
        <v>261</v>
      </c>
      <c r="F1049" s="181" t="s">
        <v>262</v>
      </c>
      <c r="G1049" s="181" t="s">
        <v>142</v>
      </c>
      <c r="H1049" s="181" t="s">
        <v>158</v>
      </c>
      <c r="I1049" s="181" t="s">
        <v>242</v>
      </c>
      <c r="J1049" s="184" t="n">
        <v>37660</v>
      </c>
      <c r="K1049" s="184" t="n">
        <v>15240</v>
      </c>
      <c r="L1049" s="185" t="n">
        <v>10</v>
      </c>
      <c r="M1049" s="184" t="n">
        <v>22420</v>
      </c>
      <c r="N1049" s="184" t="n">
        <v>20178</v>
      </c>
      <c r="O1049" s="186" t="s">
        <v>2497</v>
      </c>
      <c r="P1049" s="187" t="n">
        <v>45947</v>
      </c>
    </row>
    <row r="1050" customFormat="false" ht="51" hidden="false" customHeight="true" outlineLevel="0" collapsed="false">
      <c r="A1050" s="181" t="s">
        <v>2498</v>
      </c>
      <c r="B1050" s="182" t="n">
        <v>2434</v>
      </c>
      <c r="C1050" s="183" t="n">
        <v>45</v>
      </c>
      <c r="D1050" s="181" t="s">
        <v>2401</v>
      </c>
      <c r="E1050" s="181" t="s">
        <v>367</v>
      </c>
      <c r="F1050" s="181" t="s">
        <v>368</v>
      </c>
      <c r="G1050" s="181" t="s">
        <v>142</v>
      </c>
      <c r="H1050" s="181" t="s">
        <v>158</v>
      </c>
      <c r="I1050" s="181" t="s">
        <v>242</v>
      </c>
      <c r="J1050" s="184" t="n">
        <v>50510</v>
      </c>
      <c r="K1050" s="184" t="n">
        <v>18770</v>
      </c>
      <c r="L1050" s="185" t="n">
        <v>8</v>
      </c>
      <c r="M1050" s="184" t="n">
        <v>31740</v>
      </c>
      <c r="N1050" s="184" t="n">
        <v>29200.8</v>
      </c>
      <c r="O1050" s="186" t="s">
        <v>2499</v>
      </c>
      <c r="P1050" s="187" t="n">
        <v>45948</v>
      </c>
    </row>
    <row r="1051" customFormat="false" ht="51" hidden="false" customHeight="true" outlineLevel="0" collapsed="false">
      <c r="A1051" s="181" t="s">
        <v>2500</v>
      </c>
      <c r="B1051" s="182" t="n">
        <v>2435</v>
      </c>
      <c r="C1051" s="183" t="n">
        <v>46</v>
      </c>
      <c r="D1051" s="181" t="s">
        <v>2401</v>
      </c>
      <c r="E1051" s="181" t="s">
        <v>2351</v>
      </c>
      <c r="F1051" s="181" t="s">
        <v>2352</v>
      </c>
      <c r="G1051" s="181" t="s">
        <v>142</v>
      </c>
      <c r="H1051" s="181" t="s">
        <v>158</v>
      </c>
      <c r="I1051" s="181" t="s">
        <v>242</v>
      </c>
      <c r="J1051" s="184" t="n">
        <v>47860</v>
      </c>
      <c r="K1051" s="184" t="n">
        <v>17550</v>
      </c>
      <c r="L1051" s="185" t="n">
        <v>9</v>
      </c>
      <c r="M1051" s="184" t="n">
        <v>30310</v>
      </c>
      <c r="N1051" s="184" t="n">
        <v>27582.1</v>
      </c>
      <c r="O1051" s="186" t="s">
        <v>2501</v>
      </c>
      <c r="P1051" s="187" t="n">
        <v>45948</v>
      </c>
    </row>
    <row r="1052" customFormat="false" ht="51" hidden="false" customHeight="true" outlineLevel="0" collapsed="false">
      <c r="A1052" s="181" t="s">
        <v>2502</v>
      </c>
      <c r="B1052" s="182" t="n">
        <v>2436</v>
      </c>
      <c r="C1052" s="183" t="n">
        <v>2</v>
      </c>
      <c r="D1052" s="181" t="s">
        <v>2401</v>
      </c>
      <c r="E1052" s="181" t="s">
        <v>377</v>
      </c>
      <c r="F1052" s="181" t="s">
        <v>378</v>
      </c>
      <c r="G1052" s="181" t="s">
        <v>142</v>
      </c>
      <c r="H1052" s="181" t="s">
        <v>158</v>
      </c>
      <c r="I1052" s="181" t="s">
        <v>242</v>
      </c>
      <c r="J1052" s="184" t="n">
        <v>43740</v>
      </c>
      <c r="K1052" s="184" t="n">
        <v>15820</v>
      </c>
      <c r="L1052" s="185" t="n">
        <v>13</v>
      </c>
      <c r="M1052" s="184" t="n">
        <v>27920</v>
      </c>
      <c r="N1052" s="184" t="n">
        <v>24290.4</v>
      </c>
      <c r="O1052" s="186" t="s">
        <v>2503</v>
      </c>
      <c r="P1052" s="187" t="n">
        <v>45948</v>
      </c>
    </row>
    <row r="1053" customFormat="false" ht="51" hidden="false" customHeight="true" outlineLevel="0" collapsed="false">
      <c r="A1053" s="181" t="s">
        <v>2504</v>
      </c>
      <c r="B1053" s="182" t="n">
        <v>2437</v>
      </c>
      <c r="C1053" s="183" t="n">
        <v>48</v>
      </c>
      <c r="D1053" s="181" t="s">
        <v>2401</v>
      </c>
      <c r="E1053" s="181" t="s">
        <v>300</v>
      </c>
      <c r="F1053" s="181" t="s">
        <v>301</v>
      </c>
      <c r="G1053" s="181" t="s">
        <v>144</v>
      </c>
      <c r="H1053" s="181" t="s">
        <v>158</v>
      </c>
      <c r="I1053" s="181" t="s">
        <v>242</v>
      </c>
      <c r="J1053" s="184" t="n">
        <v>62760</v>
      </c>
      <c r="K1053" s="184" t="n">
        <v>21360</v>
      </c>
      <c r="L1053" s="185" t="n">
        <v>14</v>
      </c>
      <c r="M1053" s="184" t="n">
        <v>41400</v>
      </c>
      <c r="N1053" s="184" t="n">
        <v>35604</v>
      </c>
      <c r="O1053" s="186" t="s">
        <v>2505</v>
      </c>
      <c r="P1053" s="187" t="n">
        <v>45948</v>
      </c>
    </row>
    <row r="1054" customFormat="false" ht="51" hidden="false" customHeight="true" outlineLevel="0" collapsed="false">
      <c r="A1054" s="181" t="s">
        <v>2506</v>
      </c>
      <c r="B1054" s="182" t="n">
        <v>2439</v>
      </c>
      <c r="C1054" s="183" t="n">
        <v>49</v>
      </c>
      <c r="D1054" s="181" t="s">
        <v>2401</v>
      </c>
      <c r="E1054" s="181" t="s">
        <v>413</v>
      </c>
      <c r="F1054" s="181" t="s">
        <v>414</v>
      </c>
      <c r="G1054" s="181" t="s">
        <v>144</v>
      </c>
      <c r="H1054" s="181" t="s">
        <v>158</v>
      </c>
      <c r="I1054" s="181" t="s">
        <v>242</v>
      </c>
      <c r="J1054" s="184" t="n">
        <v>46500</v>
      </c>
      <c r="K1054" s="184" t="n">
        <v>15850</v>
      </c>
      <c r="L1054" s="185" t="n">
        <v>11</v>
      </c>
      <c r="M1054" s="184" t="n">
        <v>30650</v>
      </c>
      <c r="N1054" s="184" t="n">
        <v>27278.5</v>
      </c>
      <c r="O1054" s="186" t="s">
        <v>2507</v>
      </c>
      <c r="P1054" s="187" t="n">
        <v>45948</v>
      </c>
    </row>
    <row r="1055" customFormat="false" ht="51" hidden="false" customHeight="true" outlineLevel="0" collapsed="false">
      <c r="A1055" s="181" t="s">
        <v>2508</v>
      </c>
      <c r="B1055" s="182" t="n">
        <v>2445</v>
      </c>
      <c r="C1055" s="183" t="n">
        <v>50</v>
      </c>
      <c r="D1055" s="181" t="s">
        <v>2401</v>
      </c>
      <c r="E1055" s="181" t="s">
        <v>399</v>
      </c>
      <c r="F1055" s="181" t="s">
        <v>400</v>
      </c>
      <c r="G1055" s="181" t="s">
        <v>144</v>
      </c>
      <c r="H1055" s="181" t="s">
        <v>158</v>
      </c>
      <c r="I1055" s="181" t="s">
        <v>242</v>
      </c>
      <c r="J1055" s="184" t="n">
        <v>54440</v>
      </c>
      <c r="K1055" s="184" t="n">
        <v>19540</v>
      </c>
      <c r="L1055" s="185" t="n">
        <v>16</v>
      </c>
      <c r="M1055" s="184" t="n">
        <v>34900</v>
      </c>
      <c r="N1055" s="184" t="n">
        <v>29316</v>
      </c>
      <c r="O1055" s="186" t="s">
        <v>2509</v>
      </c>
      <c r="P1055" s="187" t="n">
        <v>45948</v>
      </c>
    </row>
    <row r="1056" customFormat="false" ht="51" hidden="false" customHeight="true" outlineLevel="0" collapsed="false">
      <c r="A1056" s="181" t="s">
        <v>2510</v>
      </c>
      <c r="B1056" s="182" t="n">
        <v>2446</v>
      </c>
      <c r="C1056" s="183" t="n">
        <v>51</v>
      </c>
      <c r="D1056" s="181" t="s">
        <v>2401</v>
      </c>
      <c r="E1056" s="181" t="s">
        <v>409</v>
      </c>
      <c r="F1056" s="181" t="s">
        <v>410</v>
      </c>
      <c r="G1056" s="181" t="s">
        <v>144</v>
      </c>
      <c r="H1056" s="181" t="s">
        <v>158</v>
      </c>
      <c r="I1056" s="181" t="s">
        <v>242</v>
      </c>
      <c r="J1056" s="184" t="n">
        <v>64490</v>
      </c>
      <c r="K1056" s="184" t="n">
        <v>24530</v>
      </c>
      <c r="L1056" s="185" t="n">
        <v>8</v>
      </c>
      <c r="M1056" s="184" t="n">
        <v>39960</v>
      </c>
      <c r="N1056" s="184" t="n">
        <v>36763.2</v>
      </c>
      <c r="O1056" s="186" t="s">
        <v>2511</v>
      </c>
      <c r="P1056" s="187" t="n">
        <v>45948</v>
      </c>
    </row>
    <row r="1057" customFormat="false" ht="51" hidden="false" customHeight="true" outlineLevel="0" collapsed="false">
      <c r="A1057" s="181" t="s">
        <v>2512</v>
      </c>
      <c r="B1057" s="182" t="n">
        <v>2448</v>
      </c>
      <c r="C1057" s="183" t="n">
        <v>53</v>
      </c>
      <c r="D1057" s="181" t="s">
        <v>2401</v>
      </c>
      <c r="E1057" s="181" t="s">
        <v>350</v>
      </c>
      <c r="F1057" s="181" t="s">
        <v>351</v>
      </c>
      <c r="G1057" s="181" t="s">
        <v>144</v>
      </c>
      <c r="H1057" s="181" t="s">
        <v>158</v>
      </c>
      <c r="I1057" s="181" t="s">
        <v>242</v>
      </c>
      <c r="J1057" s="184" t="n">
        <v>43460</v>
      </c>
      <c r="K1057" s="184" t="n">
        <v>15070</v>
      </c>
      <c r="L1057" s="185" t="n">
        <v>13</v>
      </c>
      <c r="M1057" s="184" t="n">
        <v>28390</v>
      </c>
      <c r="N1057" s="184" t="n">
        <v>24699.3</v>
      </c>
      <c r="O1057" s="186" t="s">
        <v>2513</v>
      </c>
      <c r="P1057" s="187" t="n">
        <v>45948</v>
      </c>
    </row>
    <row r="1058" customFormat="false" ht="51" hidden="false" customHeight="true" outlineLevel="0" collapsed="false">
      <c r="A1058" s="181" t="s">
        <v>2514</v>
      </c>
      <c r="B1058" s="182" t="n">
        <v>2449</v>
      </c>
      <c r="C1058" s="183" t="n">
        <v>52</v>
      </c>
      <c r="D1058" s="181" t="s">
        <v>2401</v>
      </c>
      <c r="E1058" s="181" t="s">
        <v>308</v>
      </c>
      <c r="F1058" s="181" t="s">
        <v>309</v>
      </c>
      <c r="G1058" s="181" t="s">
        <v>144</v>
      </c>
      <c r="H1058" s="181" t="s">
        <v>158</v>
      </c>
      <c r="I1058" s="181" t="s">
        <v>242</v>
      </c>
      <c r="J1058" s="184" t="n">
        <v>60950</v>
      </c>
      <c r="K1058" s="184" t="n">
        <v>24240</v>
      </c>
      <c r="L1058" s="185" t="n">
        <v>50</v>
      </c>
      <c r="M1058" s="184" t="n">
        <v>36710</v>
      </c>
      <c r="N1058" s="184" t="n">
        <v>18355</v>
      </c>
      <c r="O1058" s="186" t="s">
        <v>2515</v>
      </c>
      <c r="P1058" s="187" t="n">
        <v>45948</v>
      </c>
    </row>
    <row r="1059" customFormat="false" ht="51" hidden="false" customHeight="true" outlineLevel="0" collapsed="false">
      <c r="A1059" s="181" t="s">
        <v>2516</v>
      </c>
      <c r="B1059" s="182" t="n">
        <v>2450</v>
      </c>
      <c r="C1059" s="183" t="n">
        <v>54</v>
      </c>
      <c r="D1059" s="181" t="s">
        <v>2401</v>
      </c>
      <c r="E1059" s="181" t="s">
        <v>373</v>
      </c>
      <c r="F1059" s="181" t="s">
        <v>374</v>
      </c>
      <c r="G1059" s="181" t="s">
        <v>144</v>
      </c>
      <c r="H1059" s="181" t="s">
        <v>158</v>
      </c>
      <c r="I1059" s="181" t="s">
        <v>242</v>
      </c>
      <c r="J1059" s="184" t="n">
        <v>41100</v>
      </c>
      <c r="K1059" s="184" t="n">
        <v>14440</v>
      </c>
      <c r="L1059" s="185" t="n">
        <v>10</v>
      </c>
      <c r="M1059" s="184" t="n">
        <v>26660</v>
      </c>
      <c r="N1059" s="184" t="n">
        <v>23994</v>
      </c>
      <c r="O1059" s="186" t="s">
        <v>2517</v>
      </c>
      <c r="P1059" s="187" t="n">
        <v>45948</v>
      </c>
    </row>
    <row r="1060" customFormat="false" ht="51" hidden="false" customHeight="true" outlineLevel="0" collapsed="false">
      <c r="A1060" s="181" t="s">
        <v>2518</v>
      </c>
      <c r="B1060" s="182" t="n">
        <v>2451</v>
      </c>
      <c r="C1060" s="183" t="n">
        <v>55</v>
      </c>
      <c r="D1060" s="181" t="s">
        <v>2401</v>
      </c>
      <c r="E1060" s="181" t="s">
        <v>383</v>
      </c>
      <c r="F1060" s="181" t="s">
        <v>384</v>
      </c>
      <c r="G1060" s="181" t="s">
        <v>144</v>
      </c>
      <c r="H1060" s="181" t="s">
        <v>158</v>
      </c>
      <c r="I1060" s="181" t="s">
        <v>242</v>
      </c>
      <c r="J1060" s="184" t="n">
        <v>40580</v>
      </c>
      <c r="K1060" s="184" t="n">
        <v>15010</v>
      </c>
      <c r="L1060" s="185" t="n">
        <v>11</v>
      </c>
      <c r="M1060" s="184" t="n">
        <v>25570</v>
      </c>
      <c r="N1060" s="184" t="n">
        <v>22757.3</v>
      </c>
      <c r="O1060" s="186" t="s">
        <v>2519</v>
      </c>
      <c r="P1060" s="187" t="n">
        <v>45948</v>
      </c>
    </row>
    <row r="1061" customFormat="false" ht="51" hidden="false" customHeight="true" outlineLevel="0" collapsed="false">
      <c r="A1061" s="181" t="s">
        <v>2520</v>
      </c>
      <c r="B1061" s="182" t="n">
        <v>2453</v>
      </c>
      <c r="C1061" s="183" t="n">
        <v>56</v>
      </c>
      <c r="D1061" s="181" t="s">
        <v>2401</v>
      </c>
      <c r="E1061" s="181" t="s">
        <v>387</v>
      </c>
      <c r="F1061" s="181" t="s">
        <v>388</v>
      </c>
      <c r="G1061" s="181" t="s">
        <v>144</v>
      </c>
      <c r="H1061" s="181" t="s">
        <v>158</v>
      </c>
      <c r="I1061" s="181" t="s">
        <v>242</v>
      </c>
      <c r="J1061" s="184" t="n">
        <v>41980</v>
      </c>
      <c r="K1061" s="184" t="n">
        <v>15250</v>
      </c>
      <c r="L1061" s="185" t="n">
        <v>39</v>
      </c>
      <c r="M1061" s="184" t="n">
        <v>26730</v>
      </c>
      <c r="N1061" s="184" t="n">
        <v>16305.3</v>
      </c>
      <c r="O1061" s="186" t="s">
        <v>2521</v>
      </c>
      <c r="P1061" s="187" t="n">
        <v>45948</v>
      </c>
    </row>
    <row r="1062" customFormat="false" ht="51" hidden="false" customHeight="true" outlineLevel="0" collapsed="false">
      <c r="A1062" s="181" t="s">
        <v>2522</v>
      </c>
      <c r="B1062" s="182" t="n">
        <v>2454</v>
      </c>
      <c r="C1062" s="183" t="n">
        <v>57</v>
      </c>
      <c r="D1062" s="181" t="s">
        <v>2401</v>
      </c>
      <c r="E1062" s="181" t="s">
        <v>901</v>
      </c>
      <c r="F1062" s="181" t="s">
        <v>902</v>
      </c>
      <c r="G1062" s="181" t="s">
        <v>144</v>
      </c>
      <c r="H1062" s="181" t="s">
        <v>158</v>
      </c>
      <c r="I1062" s="181" t="s">
        <v>242</v>
      </c>
      <c r="J1062" s="184" t="n">
        <v>36080</v>
      </c>
      <c r="K1062" s="184" t="n">
        <v>14880</v>
      </c>
      <c r="L1062" s="185" t="n">
        <v>24</v>
      </c>
      <c r="M1062" s="184" t="n">
        <v>21200</v>
      </c>
      <c r="N1062" s="184" t="n">
        <v>16112</v>
      </c>
      <c r="O1062" s="186" t="s">
        <v>2523</v>
      </c>
      <c r="P1062" s="187" t="n">
        <v>45948</v>
      </c>
    </row>
    <row r="1063" customFormat="false" ht="51" hidden="false" customHeight="true" outlineLevel="0" collapsed="false">
      <c r="A1063" s="181" t="s">
        <v>2524</v>
      </c>
      <c r="B1063" s="182" t="n">
        <v>2455</v>
      </c>
      <c r="C1063" s="183" t="n">
        <v>56</v>
      </c>
      <c r="D1063" s="181" t="s">
        <v>2401</v>
      </c>
      <c r="E1063" s="181" t="s">
        <v>340</v>
      </c>
      <c r="F1063" s="181" t="s">
        <v>341</v>
      </c>
      <c r="G1063" s="181" t="s">
        <v>144</v>
      </c>
      <c r="H1063" s="181" t="s">
        <v>158</v>
      </c>
      <c r="I1063" s="181" t="s">
        <v>242</v>
      </c>
      <c r="J1063" s="184" t="n">
        <v>40240</v>
      </c>
      <c r="K1063" s="184" t="n">
        <v>15140</v>
      </c>
      <c r="L1063" s="185" t="n">
        <v>27</v>
      </c>
      <c r="M1063" s="184" t="n">
        <v>25100</v>
      </c>
      <c r="N1063" s="184" t="n">
        <v>18323</v>
      </c>
      <c r="O1063" s="186" t="s">
        <v>2525</v>
      </c>
      <c r="P1063" s="187" t="n">
        <v>45948</v>
      </c>
    </row>
    <row r="1064" customFormat="false" ht="51" hidden="false" customHeight="true" outlineLevel="0" collapsed="false">
      <c r="A1064" s="181" t="s">
        <v>2526</v>
      </c>
      <c r="B1064" s="182" t="n">
        <v>2456</v>
      </c>
      <c r="C1064" s="183" t="n">
        <v>58</v>
      </c>
      <c r="D1064" s="181" t="s">
        <v>2401</v>
      </c>
      <c r="E1064" s="181" t="s">
        <v>336</v>
      </c>
      <c r="F1064" s="181" t="s">
        <v>337</v>
      </c>
      <c r="G1064" s="181" t="s">
        <v>144</v>
      </c>
      <c r="H1064" s="181" t="s">
        <v>158</v>
      </c>
      <c r="I1064" s="181" t="s">
        <v>242</v>
      </c>
      <c r="J1064" s="184" t="n">
        <v>39560</v>
      </c>
      <c r="K1064" s="184" t="n">
        <v>14640</v>
      </c>
      <c r="L1064" s="185" t="n">
        <v>17</v>
      </c>
      <c r="M1064" s="184" t="n">
        <v>24920</v>
      </c>
      <c r="N1064" s="184" t="n">
        <v>20683.6</v>
      </c>
      <c r="O1064" s="186" t="s">
        <v>2527</v>
      </c>
      <c r="P1064" s="187" t="n">
        <v>45948</v>
      </c>
    </row>
    <row r="1065" customFormat="false" ht="51" hidden="false" customHeight="true" outlineLevel="0" collapsed="false">
      <c r="A1065" s="181" t="s">
        <v>2528</v>
      </c>
      <c r="B1065" s="182" t="n">
        <v>2457</v>
      </c>
      <c r="C1065" s="183" t="n">
        <v>60</v>
      </c>
      <c r="D1065" s="181" t="s">
        <v>2401</v>
      </c>
      <c r="E1065" s="181" t="s">
        <v>282</v>
      </c>
      <c r="F1065" s="181" t="s">
        <v>283</v>
      </c>
      <c r="G1065" s="181" t="s">
        <v>144</v>
      </c>
      <c r="H1065" s="181" t="s">
        <v>158</v>
      </c>
      <c r="I1065" s="181" t="s">
        <v>242</v>
      </c>
      <c r="J1065" s="184" t="n">
        <v>40410</v>
      </c>
      <c r="K1065" s="184" t="n">
        <v>15220</v>
      </c>
      <c r="L1065" s="185" t="n">
        <v>4</v>
      </c>
      <c r="M1065" s="184" t="n">
        <v>25190</v>
      </c>
      <c r="N1065" s="184" t="n">
        <v>24182.4</v>
      </c>
      <c r="O1065" s="186" t="s">
        <v>2529</v>
      </c>
      <c r="P1065" s="187" t="n">
        <v>45948</v>
      </c>
    </row>
    <row r="1066" customFormat="false" ht="51" hidden="false" customHeight="true" outlineLevel="0" collapsed="false">
      <c r="A1066" s="181" t="s">
        <v>2532</v>
      </c>
      <c r="B1066" s="182" t="n">
        <v>2460</v>
      </c>
      <c r="C1066" s="183" t="n">
        <v>61</v>
      </c>
      <c r="D1066" s="181" t="s">
        <v>2401</v>
      </c>
      <c r="E1066" s="181" t="s">
        <v>277</v>
      </c>
      <c r="F1066" s="181" t="s">
        <v>278</v>
      </c>
      <c r="G1066" s="181" t="s">
        <v>144</v>
      </c>
      <c r="H1066" s="181" t="s">
        <v>158</v>
      </c>
      <c r="I1066" s="181" t="s">
        <v>242</v>
      </c>
      <c r="J1066" s="184" t="n">
        <v>42550</v>
      </c>
      <c r="K1066" s="184" t="n">
        <v>15310</v>
      </c>
      <c r="L1066" s="185" t="n">
        <v>10</v>
      </c>
      <c r="M1066" s="184" t="n">
        <v>27240</v>
      </c>
      <c r="N1066" s="184" t="n">
        <v>24516</v>
      </c>
      <c r="O1066" s="186" t="s">
        <v>2533</v>
      </c>
      <c r="P1066" s="187" t="n">
        <v>45948</v>
      </c>
    </row>
    <row r="1067" customFormat="false" ht="51" hidden="false" customHeight="true" outlineLevel="0" collapsed="false">
      <c r="A1067" s="181" t="s">
        <v>2538</v>
      </c>
      <c r="B1067" s="182" t="n">
        <v>2464</v>
      </c>
      <c r="C1067" s="183" t="n">
        <v>63</v>
      </c>
      <c r="D1067" s="181" t="s">
        <v>2401</v>
      </c>
      <c r="E1067" s="181" t="s">
        <v>529</v>
      </c>
      <c r="F1067" s="181" t="s">
        <v>530</v>
      </c>
      <c r="G1067" s="181" t="s">
        <v>144</v>
      </c>
      <c r="H1067" s="181" t="s">
        <v>158</v>
      </c>
      <c r="I1067" s="181" t="s">
        <v>242</v>
      </c>
      <c r="J1067" s="184" t="n">
        <v>36350</v>
      </c>
      <c r="K1067" s="184" t="n">
        <v>14960</v>
      </c>
      <c r="L1067" s="185" t="n">
        <v>7</v>
      </c>
      <c r="M1067" s="184" t="n">
        <v>21390</v>
      </c>
      <c r="N1067" s="184" t="n">
        <v>19892.7</v>
      </c>
      <c r="O1067" s="186" t="s">
        <v>2539</v>
      </c>
      <c r="P1067" s="187" t="n">
        <v>45948</v>
      </c>
    </row>
    <row r="1068" customFormat="false" ht="51" hidden="false" customHeight="true" outlineLevel="0" collapsed="false">
      <c r="A1068" s="181" t="s">
        <v>2540</v>
      </c>
      <c r="B1068" s="182" t="n">
        <v>2465</v>
      </c>
      <c r="C1068" s="183" t="n">
        <v>64</v>
      </c>
      <c r="D1068" s="181" t="s">
        <v>2401</v>
      </c>
      <c r="E1068" s="181" t="s">
        <v>391</v>
      </c>
      <c r="F1068" s="181" t="s">
        <v>392</v>
      </c>
      <c r="G1068" s="181" t="s">
        <v>144</v>
      </c>
      <c r="H1068" s="181" t="s">
        <v>158</v>
      </c>
      <c r="I1068" s="181" t="s">
        <v>242</v>
      </c>
      <c r="J1068" s="184" t="n">
        <v>35300</v>
      </c>
      <c r="K1068" s="184" t="n">
        <v>14520</v>
      </c>
      <c r="L1068" s="185" t="n">
        <v>39</v>
      </c>
      <c r="M1068" s="184" t="n">
        <v>20780</v>
      </c>
      <c r="N1068" s="184" t="n">
        <v>12675.8</v>
      </c>
      <c r="O1068" s="186" t="s">
        <v>2541</v>
      </c>
      <c r="P1068" s="187" t="n">
        <v>45949</v>
      </c>
    </row>
    <row r="1069" customFormat="false" ht="51" hidden="false" customHeight="true" outlineLevel="0" collapsed="false">
      <c r="A1069" s="181" t="s">
        <v>2542</v>
      </c>
      <c r="B1069" s="182" t="n">
        <v>2466</v>
      </c>
      <c r="C1069" s="183" t="n">
        <v>70</v>
      </c>
      <c r="D1069" s="181" t="s">
        <v>2401</v>
      </c>
      <c r="E1069" s="181" t="s">
        <v>272</v>
      </c>
      <c r="F1069" s="181" t="s">
        <v>273</v>
      </c>
      <c r="G1069" s="181" t="s">
        <v>144</v>
      </c>
      <c r="H1069" s="181" t="s">
        <v>158</v>
      </c>
      <c r="I1069" s="181" t="s">
        <v>242</v>
      </c>
      <c r="J1069" s="184" t="n">
        <v>39400</v>
      </c>
      <c r="K1069" s="184" t="n">
        <v>15610</v>
      </c>
      <c r="L1069" s="185" t="n">
        <v>7</v>
      </c>
      <c r="M1069" s="184" t="n">
        <v>23790</v>
      </c>
      <c r="N1069" s="184" t="n">
        <v>22124.7</v>
      </c>
      <c r="O1069" s="186" t="s">
        <v>2543</v>
      </c>
      <c r="P1069" s="187" t="n">
        <v>45949</v>
      </c>
    </row>
    <row r="1070" customFormat="false" ht="51" hidden="false" customHeight="true" outlineLevel="0" collapsed="false">
      <c r="A1070" s="181" t="s">
        <v>2534</v>
      </c>
      <c r="B1070" s="182" t="n">
        <v>2461</v>
      </c>
      <c r="C1070" s="183" t="n">
        <v>62</v>
      </c>
      <c r="D1070" s="181" t="s">
        <v>2401</v>
      </c>
      <c r="E1070" s="181" t="s">
        <v>266</v>
      </c>
      <c r="F1070" s="181" t="s">
        <v>267</v>
      </c>
      <c r="G1070" s="181" t="s">
        <v>144</v>
      </c>
      <c r="H1070" s="181" t="s">
        <v>158</v>
      </c>
      <c r="I1070" s="181" t="s">
        <v>242</v>
      </c>
      <c r="J1070" s="184" t="n">
        <v>37430</v>
      </c>
      <c r="K1070" s="184" t="n">
        <v>15010</v>
      </c>
      <c r="L1070" s="185" t="n">
        <v>17</v>
      </c>
      <c r="M1070" s="184" t="n">
        <v>22420</v>
      </c>
      <c r="N1070" s="184" t="n">
        <v>18608.6</v>
      </c>
      <c r="O1070" s="186" t="s">
        <v>2535</v>
      </c>
      <c r="P1070" s="187" t="n">
        <v>45948</v>
      </c>
    </row>
    <row r="1071" customFormat="false" ht="51" hidden="false" customHeight="true" outlineLevel="0" collapsed="false">
      <c r="A1071" s="181" t="s">
        <v>2546</v>
      </c>
      <c r="B1071" s="182" t="n">
        <v>2468</v>
      </c>
      <c r="C1071" s="183" t="n">
        <v>66</v>
      </c>
      <c r="D1071" s="181" t="s">
        <v>2401</v>
      </c>
      <c r="E1071" s="181" t="s">
        <v>332</v>
      </c>
      <c r="F1071" s="181" t="s">
        <v>333</v>
      </c>
      <c r="G1071" s="181" t="s">
        <v>144</v>
      </c>
      <c r="H1071" s="181" t="s">
        <v>158</v>
      </c>
      <c r="I1071" s="181" t="s">
        <v>242</v>
      </c>
      <c r="J1071" s="184" t="n">
        <v>40080</v>
      </c>
      <c r="K1071" s="184" t="n">
        <v>14840</v>
      </c>
      <c r="L1071" s="185" t="n">
        <v>6</v>
      </c>
      <c r="M1071" s="184" t="n">
        <v>25240</v>
      </c>
      <c r="N1071" s="184" t="n">
        <v>23725.6</v>
      </c>
      <c r="O1071" s="186" t="s">
        <v>2547</v>
      </c>
      <c r="P1071" s="187" t="n">
        <v>45949</v>
      </c>
    </row>
    <row r="1072" customFormat="false" ht="51" hidden="false" customHeight="true" outlineLevel="0" collapsed="false">
      <c r="A1072" s="181" t="s">
        <v>2530</v>
      </c>
      <c r="B1072" s="182" t="n">
        <v>2458</v>
      </c>
      <c r="C1072" s="183" t="n">
        <v>1</v>
      </c>
      <c r="D1072" s="181" t="s">
        <v>2005</v>
      </c>
      <c r="E1072" s="181" t="s">
        <v>292</v>
      </c>
      <c r="F1072" s="181" t="s">
        <v>293</v>
      </c>
      <c r="G1072" s="181" t="s">
        <v>2070</v>
      </c>
      <c r="H1072" s="181" t="s">
        <v>279</v>
      </c>
      <c r="I1072" s="181" t="s">
        <v>240</v>
      </c>
      <c r="J1072" s="184" t="n">
        <v>36250</v>
      </c>
      <c r="K1072" s="184" t="n">
        <v>14020</v>
      </c>
      <c r="L1072" s="185" t="n">
        <v>34</v>
      </c>
      <c r="M1072" s="184" t="n">
        <v>22230</v>
      </c>
      <c r="N1072" s="184" t="n">
        <v>14671.8</v>
      </c>
      <c r="O1072" s="186" t="s">
        <v>2531</v>
      </c>
      <c r="P1072" s="187" t="n">
        <v>45948</v>
      </c>
    </row>
    <row r="1073" customFormat="false" ht="51" hidden="false" customHeight="true" outlineLevel="0" collapsed="false">
      <c r="A1073" s="181" t="s">
        <v>2544</v>
      </c>
      <c r="B1073" s="182" t="n">
        <v>2467</v>
      </c>
      <c r="C1073" s="183" t="n">
        <v>3</v>
      </c>
      <c r="D1073" s="181" t="s">
        <v>2005</v>
      </c>
      <c r="E1073" s="181" t="s">
        <v>2351</v>
      </c>
      <c r="F1073" s="181" t="s">
        <v>2352</v>
      </c>
      <c r="G1073" s="181" t="s">
        <v>2070</v>
      </c>
      <c r="H1073" s="181" t="s">
        <v>279</v>
      </c>
      <c r="I1073" s="181" t="s">
        <v>240</v>
      </c>
      <c r="J1073" s="184" t="n">
        <v>26720</v>
      </c>
      <c r="K1073" s="184" t="n">
        <v>17640</v>
      </c>
      <c r="L1073" s="185" t="n">
        <v>5</v>
      </c>
      <c r="M1073" s="184" t="n">
        <v>9080</v>
      </c>
      <c r="N1073" s="184" t="n">
        <v>8626</v>
      </c>
      <c r="O1073" s="186" t="s">
        <v>2545</v>
      </c>
      <c r="P1073" s="187" t="n">
        <v>45949</v>
      </c>
    </row>
    <row r="1074" customFormat="false" ht="51" hidden="false" customHeight="true" outlineLevel="0" collapsed="false">
      <c r="A1074" s="181" t="s">
        <v>2536</v>
      </c>
      <c r="B1074" s="182" t="n">
        <v>2463</v>
      </c>
      <c r="C1074" s="183" t="n">
        <v>2</v>
      </c>
      <c r="D1074" s="181" t="s">
        <v>2005</v>
      </c>
      <c r="E1074" s="181" t="s">
        <v>367</v>
      </c>
      <c r="F1074" s="181" t="s">
        <v>368</v>
      </c>
      <c r="G1074" s="181" t="s">
        <v>2070</v>
      </c>
      <c r="H1074" s="181" t="s">
        <v>279</v>
      </c>
      <c r="I1074" s="181" t="s">
        <v>240</v>
      </c>
      <c r="J1074" s="184" t="n">
        <v>51770</v>
      </c>
      <c r="K1074" s="184" t="n">
        <v>18860</v>
      </c>
      <c r="L1074" s="185" t="n">
        <v>25</v>
      </c>
      <c r="M1074" s="184" t="n">
        <v>32910</v>
      </c>
      <c r="N1074" s="184" t="n">
        <v>24682.5</v>
      </c>
      <c r="O1074" s="186" t="s">
        <v>2537</v>
      </c>
      <c r="P1074" s="187" t="n">
        <v>45948</v>
      </c>
    </row>
    <row r="1075" customFormat="false" ht="51" hidden="false" customHeight="true" outlineLevel="0" collapsed="false">
      <c r="A1075" s="181" t="s">
        <v>2548</v>
      </c>
      <c r="B1075" s="182" t="n">
        <v>2469</v>
      </c>
      <c r="C1075" s="183" t="n">
        <v>65</v>
      </c>
      <c r="D1075" s="181" t="s">
        <v>2401</v>
      </c>
      <c r="E1075" s="181" t="s">
        <v>377</v>
      </c>
      <c r="F1075" s="181" t="s">
        <v>378</v>
      </c>
      <c r="G1075" s="181" t="s">
        <v>144</v>
      </c>
      <c r="H1075" s="181" t="s">
        <v>279</v>
      </c>
      <c r="I1075" s="181" t="s">
        <v>242</v>
      </c>
      <c r="J1075" s="184" t="n">
        <v>44210</v>
      </c>
      <c r="K1075" s="184" t="n">
        <v>15900</v>
      </c>
      <c r="L1075" s="185" t="n">
        <v>6</v>
      </c>
      <c r="M1075" s="184" t="n">
        <v>28310</v>
      </c>
      <c r="N1075" s="184" t="n">
        <v>26611.4</v>
      </c>
      <c r="O1075" s="186" t="s">
        <v>2549</v>
      </c>
      <c r="P1075" s="187" t="n">
        <v>45949</v>
      </c>
    </row>
    <row r="1076" customFormat="false" ht="51" hidden="false" customHeight="true" outlineLevel="0" collapsed="false">
      <c r="A1076" s="181" t="s">
        <v>2550</v>
      </c>
      <c r="B1076" s="182" t="n">
        <v>2470</v>
      </c>
      <c r="C1076" s="183" t="n">
        <v>67</v>
      </c>
      <c r="D1076" s="181" t="s">
        <v>2401</v>
      </c>
      <c r="E1076" s="181" t="s">
        <v>288</v>
      </c>
      <c r="F1076" s="181" t="s">
        <v>289</v>
      </c>
      <c r="G1076" s="181" t="s">
        <v>144</v>
      </c>
      <c r="H1076" s="181" t="s">
        <v>279</v>
      </c>
      <c r="I1076" s="181" t="s">
        <v>242</v>
      </c>
      <c r="J1076" s="184" t="n">
        <v>35440</v>
      </c>
      <c r="K1076" s="184" t="n">
        <v>14760</v>
      </c>
      <c r="L1076" s="185" t="n">
        <v>10</v>
      </c>
      <c r="M1076" s="184" t="n">
        <v>20680</v>
      </c>
      <c r="N1076" s="184" t="n">
        <v>18612</v>
      </c>
      <c r="O1076" s="186" t="s">
        <v>2551</v>
      </c>
      <c r="P1076" s="187" t="n">
        <v>45949</v>
      </c>
    </row>
    <row r="1077" customFormat="false" ht="51" hidden="false" customHeight="true" outlineLevel="0" collapsed="false">
      <c r="A1077" s="181" t="s">
        <v>2552</v>
      </c>
      <c r="B1077" s="182" t="n">
        <v>2471</v>
      </c>
      <c r="C1077" s="183" t="n">
        <v>69</v>
      </c>
      <c r="D1077" s="181" t="s">
        <v>2401</v>
      </c>
      <c r="E1077" s="181" t="s">
        <v>354</v>
      </c>
      <c r="F1077" s="181" t="s">
        <v>355</v>
      </c>
      <c r="G1077" s="181" t="s">
        <v>144</v>
      </c>
      <c r="H1077" s="181" t="s">
        <v>279</v>
      </c>
      <c r="I1077" s="181" t="s">
        <v>242</v>
      </c>
      <c r="J1077" s="184" t="n">
        <v>39110</v>
      </c>
      <c r="K1077" s="184" t="n">
        <v>14800</v>
      </c>
      <c r="L1077" s="185" t="n">
        <v>9</v>
      </c>
      <c r="M1077" s="184" t="n">
        <v>24310</v>
      </c>
      <c r="N1077" s="184" t="n">
        <v>22122.1</v>
      </c>
      <c r="O1077" s="186" t="s">
        <v>2553</v>
      </c>
      <c r="P1077" s="187" t="n">
        <v>45949</v>
      </c>
    </row>
    <row r="1078" customFormat="false" ht="51" hidden="false" customHeight="true" outlineLevel="0" collapsed="false">
      <c r="A1078" s="181" t="s">
        <v>2554</v>
      </c>
      <c r="B1078" s="182" t="n">
        <v>2472</v>
      </c>
      <c r="C1078" s="183" t="n">
        <v>68</v>
      </c>
      <c r="D1078" s="181" t="s">
        <v>2401</v>
      </c>
      <c r="E1078" s="181" t="s">
        <v>359</v>
      </c>
      <c r="F1078" s="181" t="s">
        <v>360</v>
      </c>
      <c r="G1078" s="181" t="s">
        <v>144</v>
      </c>
      <c r="H1078" s="181" t="s">
        <v>279</v>
      </c>
      <c r="I1078" s="181" t="s">
        <v>242</v>
      </c>
      <c r="J1078" s="184" t="n">
        <v>37550</v>
      </c>
      <c r="K1078" s="184" t="n">
        <v>14980</v>
      </c>
      <c r="L1078" s="185" t="n">
        <v>11</v>
      </c>
      <c r="M1078" s="184" t="n">
        <v>22570</v>
      </c>
      <c r="N1078" s="184" t="n">
        <v>20087.3</v>
      </c>
      <c r="O1078" s="186" t="s">
        <v>2555</v>
      </c>
      <c r="P1078" s="187" t="n">
        <v>45949</v>
      </c>
    </row>
    <row r="1079" customFormat="false" ht="51" hidden="false" customHeight="true" outlineLevel="0" collapsed="false">
      <c r="A1079" s="181" t="s">
        <v>2556</v>
      </c>
      <c r="B1079" s="182" t="n">
        <v>2480</v>
      </c>
      <c r="C1079" s="183" t="n">
        <v>1</v>
      </c>
      <c r="D1079" s="181" t="s">
        <v>2005</v>
      </c>
      <c r="E1079" s="181" t="s">
        <v>413</v>
      </c>
      <c r="F1079" s="181" t="s">
        <v>414</v>
      </c>
      <c r="G1079" s="181" t="s">
        <v>2070</v>
      </c>
      <c r="H1079" s="181" t="s">
        <v>279</v>
      </c>
      <c r="I1079" s="181" t="s">
        <v>240</v>
      </c>
      <c r="J1079" s="184" t="n">
        <v>47940</v>
      </c>
      <c r="K1079" s="184" t="n">
        <v>15740</v>
      </c>
      <c r="L1079" s="185" t="n">
        <v>22</v>
      </c>
      <c r="M1079" s="184" t="n">
        <v>32200</v>
      </c>
      <c r="N1079" s="184" t="n">
        <v>25116</v>
      </c>
      <c r="O1079" s="186" t="s">
        <v>2557</v>
      </c>
      <c r="P1079" s="187" t="n">
        <v>45949</v>
      </c>
    </row>
    <row r="1080" customFormat="false" ht="51" hidden="false" customHeight="true" outlineLevel="0" collapsed="false">
      <c r="A1080" s="181" t="s">
        <v>2558</v>
      </c>
      <c r="B1080" s="182" t="n">
        <v>2481</v>
      </c>
      <c r="C1080" s="183" t="n">
        <v>2</v>
      </c>
      <c r="D1080" s="181" t="s">
        <v>2005</v>
      </c>
      <c r="E1080" s="181" t="s">
        <v>576</v>
      </c>
      <c r="F1080" s="181" t="s">
        <v>577</v>
      </c>
      <c r="G1080" s="181" t="s">
        <v>2070</v>
      </c>
      <c r="H1080" s="181" t="s">
        <v>279</v>
      </c>
      <c r="I1080" s="181" t="s">
        <v>240</v>
      </c>
      <c r="J1080" s="184" t="n">
        <v>38970</v>
      </c>
      <c r="K1080" s="184" t="n">
        <v>14620</v>
      </c>
      <c r="L1080" s="185" t="n">
        <v>26</v>
      </c>
      <c r="M1080" s="184" t="n">
        <v>24350</v>
      </c>
      <c r="N1080" s="184" t="n">
        <v>18019</v>
      </c>
      <c r="O1080" s="186" t="s">
        <v>2559</v>
      </c>
      <c r="P1080" s="187" t="n">
        <v>45949</v>
      </c>
    </row>
    <row r="1081" customFormat="false" ht="51" hidden="false" customHeight="true" outlineLevel="0" collapsed="false">
      <c r="A1081" s="181" t="s">
        <v>2560</v>
      </c>
      <c r="B1081" s="182" t="n">
        <v>2483</v>
      </c>
      <c r="C1081" s="183" t="n">
        <v>3</v>
      </c>
      <c r="D1081" s="181" t="s">
        <v>2005</v>
      </c>
      <c r="E1081" s="181" t="s">
        <v>261</v>
      </c>
      <c r="F1081" s="181" t="s">
        <v>262</v>
      </c>
      <c r="G1081" s="181" t="s">
        <v>2070</v>
      </c>
      <c r="H1081" s="181" t="s">
        <v>279</v>
      </c>
      <c r="I1081" s="181" t="s">
        <v>240</v>
      </c>
      <c r="J1081" s="184" t="n">
        <v>39260</v>
      </c>
      <c r="K1081" s="184" t="n">
        <v>15280</v>
      </c>
      <c r="L1081" s="185" t="n">
        <v>37</v>
      </c>
      <c r="M1081" s="184" t="n">
        <v>23980</v>
      </c>
      <c r="N1081" s="184" t="n">
        <v>15107.4</v>
      </c>
      <c r="O1081" s="186" t="s">
        <v>2561</v>
      </c>
      <c r="P1081" s="187" t="n">
        <v>45949</v>
      </c>
    </row>
    <row r="1082" customFormat="false" ht="51" hidden="false" customHeight="true" outlineLevel="0" collapsed="false">
      <c r="A1082" s="181" t="s">
        <v>2566</v>
      </c>
      <c r="B1082" s="182" t="n">
        <v>2486</v>
      </c>
      <c r="C1082" s="183" t="n">
        <v>4</v>
      </c>
      <c r="D1082" s="181" t="s">
        <v>2005</v>
      </c>
      <c r="E1082" s="181" t="s">
        <v>582</v>
      </c>
      <c r="F1082" s="181" t="s">
        <v>583</v>
      </c>
      <c r="G1082" s="181" t="s">
        <v>2049</v>
      </c>
      <c r="H1082" s="181" t="s">
        <v>279</v>
      </c>
      <c r="I1082" s="181" t="s">
        <v>240</v>
      </c>
      <c r="J1082" s="184" t="n">
        <v>42460</v>
      </c>
      <c r="K1082" s="184" t="n">
        <v>15530</v>
      </c>
      <c r="L1082" s="185" t="n">
        <v>16</v>
      </c>
      <c r="M1082" s="184" t="n">
        <v>26930</v>
      </c>
      <c r="N1082" s="184" t="n">
        <v>22621.2</v>
      </c>
      <c r="O1082" s="186" t="s">
        <v>2567</v>
      </c>
      <c r="P1082" s="187" t="n">
        <v>45950</v>
      </c>
    </row>
    <row r="1083" customFormat="false" ht="51" hidden="false" customHeight="true" outlineLevel="0" collapsed="false">
      <c r="A1083" s="181" t="s">
        <v>2568</v>
      </c>
      <c r="B1083" s="182" t="n">
        <v>2487</v>
      </c>
      <c r="C1083" s="183" t="n">
        <v>71</v>
      </c>
      <c r="D1083" s="181" t="s">
        <v>2401</v>
      </c>
      <c r="E1083" s="181" t="s">
        <v>399</v>
      </c>
      <c r="F1083" s="181" t="s">
        <v>400</v>
      </c>
      <c r="G1083" s="181" t="s">
        <v>2402</v>
      </c>
      <c r="H1083" s="181" t="s">
        <v>279</v>
      </c>
      <c r="I1083" s="181" t="s">
        <v>242</v>
      </c>
      <c r="J1083" s="184" t="n">
        <v>39270</v>
      </c>
      <c r="K1083" s="184" t="n">
        <v>16020</v>
      </c>
      <c r="L1083" s="185" t="n">
        <v>7</v>
      </c>
      <c r="M1083" s="184" t="n">
        <v>23250</v>
      </c>
      <c r="N1083" s="184" t="n">
        <v>21622.5</v>
      </c>
      <c r="O1083" s="186" t="s">
        <v>2569</v>
      </c>
      <c r="P1083" s="187" t="n">
        <v>45950</v>
      </c>
    </row>
    <row r="1084" customFormat="false" ht="51" hidden="false" customHeight="true" outlineLevel="0" collapsed="false">
      <c r="A1084" s="181" t="s">
        <v>2562</v>
      </c>
      <c r="B1084" s="182" t="n">
        <v>2488</v>
      </c>
      <c r="C1084" s="183" t="n">
        <v>5</v>
      </c>
      <c r="D1084" s="181" t="s">
        <v>2005</v>
      </c>
      <c r="E1084" s="181" t="s">
        <v>409</v>
      </c>
      <c r="F1084" s="181" t="s">
        <v>410</v>
      </c>
      <c r="G1084" s="181" t="s">
        <v>2049</v>
      </c>
      <c r="H1084" s="181" t="s">
        <v>279</v>
      </c>
      <c r="I1084" s="181" t="s">
        <v>240</v>
      </c>
      <c r="J1084" s="184" t="n">
        <v>55660</v>
      </c>
      <c r="K1084" s="184" t="n">
        <v>24700</v>
      </c>
      <c r="L1084" s="185" t="n">
        <v>7</v>
      </c>
      <c r="M1084" s="184" t="n">
        <v>30960</v>
      </c>
      <c r="N1084" s="184" t="n">
        <v>28792.8</v>
      </c>
      <c r="O1084" s="186" t="s">
        <v>2563</v>
      </c>
      <c r="P1084" s="187" t="n">
        <v>45950</v>
      </c>
    </row>
    <row r="1085" customFormat="false" ht="51" hidden="false" customHeight="true" outlineLevel="0" collapsed="false">
      <c r="A1085" s="181" t="s">
        <v>2564</v>
      </c>
      <c r="B1085" s="182" t="n">
        <v>2489</v>
      </c>
      <c r="C1085" s="183" t="n">
        <v>72</v>
      </c>
      <c r="D1085" s="181" t="s">
        <v>2401</v>
      </c>
      <c r="E1085" s="181" t="s">
        <v>373</v>
      </c>
      <c r="F1085" s="181" t="s">
        <v>374</v>
      </c>
      <c r="G1085" s="181" t="s">
        <v>2402</v>
      </c>
      <c r="H1085" s="181" t="s">
        <v>279</v>
      </c>
      <c r="I1085" s="181" t="s">
        <v>242</v>
      </c>
      <c r="J1085" s="184" t="n">
        <v>39880</v>
      </c>
      <c r="K1085" s="184" t="n">
        <v>14610</v>
      </c>
      <c r="L1085" s="185" t="n">
        <v>10</v>
      </c>
      <c r="M1085" s="184" t="n">
        <v>25270</v>
      </c>
      <c r="N1085" s="184" t="n">
        <v>22743</v>
      </c>
      <c r="O1085" s="186" t="s">
        <v>2565</v>
      </c>
      <c r="P1085" s="187" t="n">
        <v>45950</v>
      </c>
    </row>
    <row r="1086" customFormat="false" ht="51" hidden="false" customHeight="true" outlineLevel="0" collapsed="false">
      <c r="A1086" s="181" t="s">
        <v>2570</v>
      </c>
      <c r="B1086" s="182" t="n">
        <v>2490</v>
      </c>
      <c r="C1086" s="183" t="n">
        <v>75</v>
      </c>
      <c r="D1086" s="181" t="s">
        <v>2401</v>
      </c>
      <c r="E1086" s="181" t="s">
        <v>383</v>
      </c>
      <c r="F1086" s="181" t="s">
        <v>384</v>
      </c>
      <c r="G1086" s="181" t="s">
        <v>2402</v>
      </c>
      <c r="H1086" s="181" t="s">
        <v>279</v>
      </c>
      <c r="I1086" s="181" t="s">
        <v>242</v>
      </c>
      <c r="J1086" s="184" t="n">
        <v>40450</v>
      </c>
      <c r="K1086" s="184" t="n">
        <v>15170</v>
      </c>
      <c r="L1086" s="185" t="n">
        <v>8</v>
      </c>
      <c r="M1086" s="184" t="n">
        <v>25280</v>
      </c>
      <c r="N1086" s="184" t="n">
        <v>23257.6</v>
      </c>
      <c r="O1086" s="186" t="s">
        <v>2571</v>
      </c>
      <c r="P1086" s="187" t="n">
        <v>45950</v>
      </c>
    </row>
    <row r="1087" customFormat="false" ht="51" hidden="false" customHeight="true" outlineLevel="0" collapsed="false">
      <c r="A1087" s="181" t="s">
        <v>2572</v>
      </c>
      <c r="B1087" s="182" t="n">
        <v>2491</v>
      </c>
      <c r="C1087" s="183" t="n">
        <v>76</v>
      </c>
      <c r="D1087" s="181" t="s">
        <v>2401</v>
      </c>
      <c r="E1087" s="181" t="s">
        <v>387</v>
      </c>
      <c r="F1087" s="181" t="s">
        <v>388</v>
      </c>
      <c r="G1087" s="181" t="s">
        <v>2402</v>
      </c>
      <c r="H1087" s="181" t="s">
        <v>279</v>
      </c>
      <c r="I1087" s="181" t="s">
        <v>242</v>
      </c>
      <c r="J1087" s="184" t="n">
        <v>43540</v>
      </c>
      <c r="K1087" s="184" t="n">
        <v>15370</v>
      </c>
      <c r="L1087" s="185" t="n">
        <v>15</v>
      </c>
      <c r="M1087" s="184" t="n">
        <v>28170</v>
      </c>
      <c r="N1087" s="184" t="n">
        <v>23944.5</v>
      </c>
      <c r="O1087" s="186" t="s">
        <v>2573</v>
      </c>
      <c r="P1087" s="187" t="n">
        <v>45950</v>
      </c>
    </row>
    <row r="1088" customFormat="false" ht="51" hidden="false" customHeight="true" outlineLevel="0" collapsed="false">
      <c r="A1088" s="181" t="s">
        <v>2574</v>
      </c>
      <c r="B1088" s="182" t="n">
        <v>2493</v>
      </c>
      <c r="C1088" s="183" t="n">
        <v>6</v>
      </c>
      <c r="D1088" s="181" t="s">
        <v>2005</v>
      </c>
      <c r="E1088" s="181" t="s">
        <v>350</v>
      </c>
      <c r="F1088" s="181" t="s">
        <v>351</v>
      </c>
      <c r="G1088" s="181" t="s">
        <v>2070</v>
      </c>
      <c r="H1088" s="181" t="s">
        <v>279</v>
      </c>
      <c r="I1088" s="181" t="s">
        <v>240</v>
      </c>
      <c r="J1088" s="184" t="n">
        <v>42980</v>
      </c>
      <c r="K1088" s="184" t="n">
        <v>15150</v>
      </c>
      <c r="L1088" s="185" t="n">
        <v>15</v>
      </c>
      <c r="M1088" s="184" t="n">
        <v>27830</v>
      </c>
      <c r="N1088" s="184" t="n">
        <v>23655.5</v>
      </c>
      <c r="O1088" s="186" t="s">
        <v>2575</v>
      </c>
      <c r="P1088" s="187" t="n">
        <v>45950</v>
      </c>
    </row>
    <row r="1089" customFormat="false" ht="51" hidden="false" customHeight="true" outlineLevel="0" collapsed="false">
      <c r="A1089" s="181" t="s">
        <v>2576</v>
      </c>
      <c r="B1089" s="182" t="n">
        <v>2495</v>
      </c>
      <c r="C1089" s="183" t="n">
        <v>7</v>
      </c>
      <c r="D1089" s="181" t="s">
        <v>2005</v>
      </c>
      <c r="E1089" s="181" t="s">
        <v>308</v>
      </c>
      <c r="F1089" s="181" t="s">
        <v>309</v>
      </c>
      <c r="G1089" s="181" t="s">
        <v>2070</v>
      </c>
      <c r="H1089" s="181" t="s">
        <v>279</v>
      </c>
      <c r="I1089" s="181" t="s">
        <v>240</v>
      </c>
      <c r="J1089" s="184" t="n">
        <v>49850</v>
      </c>
      <c r="K1089" s="184" t="n">
        <v>24270</v>
      </c>
      <c r="L1089" s="185" t="n">
        <v>36</v>
      </c>
      <c r="M1089" s="184" t="n">
        <v>25580</v>
      </c>
      <c r="N1089" s="184" t="n">
        <v>16371.2</v>
      </c>
      <c r="O1089" s="186" t="s">
        <v>2577</v>
      </c>
      <c r="P1089" s="187" t="n">
        <v>45950</v>
      </c>
    </row>
    <row r="1090" customFormat="false" ht="51" hidden="false" customHeight="true" outlineLevel="0" collapsed="false">
      <c r="A1090" s="181" t="s">
        <v>2578</v>
      </c>
      <c r="B1090" s="182" t="n">
        <v>2497</v>
      </c>
      <c r="C1090" s="183" t="n">
        <v>8</v>
      </c>
      <c r="D1090" s="181" t="s">
        <v>2005</v>
      </c>
      <c r="E1090" s="181" t="s">
        <v>282</v>
      </c>
      <c r="F1090" s="181" t="s">
        <v>283</v>
      </c>
      <c r="G1090" s="181" t="s">
        <v>2070</v>
      </c>
      <c r="H1090" s="181" t="s">
        <v>279</v>
      </c>
      <c r="I1090" s="181" t="s">
        <v>240</v>
      </c>
      <c r="J1090" s="184" t="n">
        <v>37800</v>
      </c>
      <c r="K1090" s="184" t="n">
        <v>15370</v>
      </c>
      <c r="L1090" s="185" t="n">
        <v>37</v>
      </c>
      <c r="M1090" s="184" t="n">
        <v>22430</v>
      </c>
      <c r="N1090" s="184" t="n">
        <v>14130.9</v>
      </c>
      <c r="O1090" s="186" t="s">
        <v>2579</v>
      </c>
      <c r="P1090" s="187" t="n">
        <v>45950</v>
      </c>
    </row>
    <row r="1091" customFormat="false" ht="51" hidden="false" customHeight="true" outlineLevel="0" collapsed="false">
      <c r="A1091" s="181" t="s">
        <v>2580</v>
      </c>
      <c r="B1091" s="182" t="n">
        <v>2498</v>
      </c>
      <c r="C1091" s="183" t="n">
        <v>77</v>
      </c>
      <c r="D1091" s="181" t="s">
        <v>2401</v>
      </c>
      <c r="E1091" s="181" t="s">
        <v>354</v>
      </c>
      <c r="F1091" s="181" t="s">
        <v>355</v>
      </c>
      <c r="G1091" s="181" t="s">
        <v>2402</v>
      </c>
      <c r="H1091" s="181" t="s">
        <v>279</v>
      </c>
      <c r="I1091" s="181" t="s">
        <v>242</v>
      </c>
      <c r="J1091" s="184" t="n">
        <v>38280</v>
      </c>
      <c r="K1091" s="184" t="n">
        <v>15030</v>
      </c>
      <c r="L1091" s="185" t="n">
        <v>22</v>
      </c>
      <c r="M1091" s="184" t="n">
        <v>23250</v>
      </c>
      <c r="N1091" s="184" t="n">
        <v>18135</v>
      </c>
      <c r="O1091" s="186" t="s">
        <v>2581</v>
      </c>
      <c r="P1091" s="187" t="n">
        <v>45950</v>
      </c>
    </row>
    <row r="1092" customFormat="false" ht="51" hidden="false" customHeight="true" outlineLevel="0" collapsed="false">
      <c r="A1092" s="181" t="s">
        <v>2582</v>
      </c>
      <c r="B1092" s="182" t="n">
        <v>2499</v>
      </c>
      <c r="C1092" s="183" t="n">
        <v>78</v>
      </c>
      <c r="D1092" s="181" t="s">
        <v>2401</v>
      </c>
      <c r="E1092" s="181" t="s">
        <v>359</v>
      </c>
      <c r="F1092" s="181" t="s">
        <v>360</v>
      </c>
      <c r="G1092" s="181" t="s">
        <v>2402</v>
      </c>
      <c r="H1092" s="181" t="s">
        <v>279</v>
      </c>
      <c r="I1092" s="181" t="s">
        <v>242</v>
      </c>
      <c r="J1092" s="184" t="n">
        <v>36970</v>
      </c>
      <c r="K1092" s="184" t="n">
        <v>15200</v>
      </c>
      <c r="L1092" s="185" t="n">
        <v>11</v>
      </c>
      <c r="M1092" s="184" t="n">
        <v>21770</v>
      </c>
      <c r="N1092" s="184" t="n">
        <v>19375.3</v>
      </c>
      <c r="O1092" s="186" t="s">
        <v>2583</v>
      </c>
      <c r="P1092" s="187" t="n">
        <v>45950</v>
      </c>
    </row>
    <row r="1093" customFormat="false" ht="51" hidden="false" customHeight="true" outlineLevel="0" collapsed="false">
      <c r="A1093" s="181" t="s">
        <v>2584</v>
      </c>
      <c r="B1093" s="182" t="n">
        <v>2501</v>
      </c>
      <c r="C1093" s="183" t="n">
        <v>79</v>
      </c>
      <c r="D1093" s="181" t="s">
        <v>2401</v>
      </c>
      <c r="E1093" s="181" t="s">
        <v>413</v>
      </c>
      <c r="F1093" s="181" t="s">
        <v>414</v>
      </c>
      <c r="G1093" s="181" t="s">
        <v>2402</v>
      </c>
      <c r="H1093" s="181" t="s">
        <v>279</v>
      </c>
      <c r="I1093" s="181" t="s">
        <v>242</v>
      </c>
      <c r="J1093" s="184" t="n">
        <v>45180</v>
      </c>
      <c r="K1093" s="184" t="n">
        <v>16220</v>
      </c>
      <c r="L1093" s="185" t="n">
        <v>12</v>
      </c>
      <c r="M1093" s="184" t="n">
        <v>28960</v>
      </c>
      <c r="N1093" s="184" t="n">
        <v>25484.8</v>
      </c>
      <c r="O1093" s="186" t="s">
        <v>2585</v>
      </c>
      <c r="P1093" s="187" t="n">
        <v>45950</v>
      </c>
    </row>
    <row r="1094" customFormat="false" ht="51" hidden="false" customHeight="true" outlineLevel="0" collapsed="false">
      <c r="A1094" s="181" t="s">
        <v>2586</v>
      </c>
      <c r="B1094" s="182" t="n">
        <v>2502</v>
      </c>
      <c r="C1094" s="183" t="n">
        <v>80</v>
      </c>
      <c r="D1094" s="181" t="s">
        <v>2401</v>
      </c>
      <c r="E1094" s="181" t="s">
        <v>277</v>
      </c>
      <c r="F1094" s="181" t="s">
        <v>278</v>
      </c>
      <c r="G1094" s="181" t="s">
        <v>2402</v>
      </c>
      <c r="H1094" s="181" t="s">
        <v>279</v>
      </c>
      <c r="I1094" s="181" t="s">
        <v>242</v>
      </c>
      <c r="J1094" s="184" t="n">
        <v>40060</v>
      </c>
      <c r="K1094" s="184" t="n">
        <v>15290</v>
      </c>
      <c r="L1094" s="185" t="n">
        <v>11</v>
      </c>
      <c r="M1094" s="184" t="n">
        <v>24770</v>
      </c>
      <c r="N1094" s="184" t="n">
        <v>22045.3</v>
      </c>
      <c r="O1094" s="186" t="s">
        <v>2587</v>
      </c>
      <c r="P1094" s="187" t="n">
        <v>45950</v>
      </c>
    </row>
    <row r="1095" customFormat="false" ht="51" hidden="false" customHeight="true" outlineLevel="0" collapsed="false">
      <c r="A1095" s="181" t="s">
        <v>3333</v>
      </c>
      <c r="B1095" s="182" t="n">
        <v>2503</v>
      </c>
      <c r="C1095" s="183" t="n">
        <v>81</v>
      </c>
      <c r="D1095" s="181" t="s">
        <v>2401</v>
      </c>
      <c r="E1095" s="181" t="s">
        <v>292</v>
      </c>
      <c r="F1095" s="181" t="s">
        <v>293</v>
      </c>
      <c r="G1095" s="181" t="s">
        <v>2402</v>
      </c>
      <c r="H1095" s="181" t="s">
        <v>279</v>
      </c>
      <c r="I1095" s="181" t="s">
        <v>242</v>
      </c>
      <c r="J1095" s="184" t="n">
        <v>35000</v>
      </c>
      <c r="K1095" s="184" t="n">
        <v>14040</v>
      </c>
      <c r="L1095" s="185" t="n">
        <v>17</v>
      </c>
      <c r="M1095" s="184" t="n">
        <v>20960</v>
      </c>
      <c r="N1095" s="184" t="n">
        <v>17396.8</v>
      </c>
      <c r="O1095" s="186" t="s">
        <v>2589</v>
      </c>
      <c r="P1095" s="187" t="n">
        <v>45951</v>
      </c>
    </row>
    <row r="1096" customFormat="false" ht="51" hidden="false" customHeight="true" outlineLevel="0" collapsed="false">
      <c r="A1096" s="181" t="s">
        <v>2590</v>
      </c>
      <c r="B1096" s="182" t="n">
        <v>2504</v>
      </c>
      <c r="C1096" s="183" t="n">
        <v>82</v>
      </c>
      <c r="D1096" s="181" t="s">
        <v>2401</v>
      </c>
      <c r="E1096" s="181" t="s">
        <v>332</v>
      </c>
      <c r="F1096" s="181" t="s">
        <v>333</v>
      </c>
      <c r="G1096" s="181" t="s">
        <v>2402</v>
      </c>
      <c r="H1096" s="181" t="s">
        <v>279</v>
      </c>
      <c r="I1096" s="181" t="s">
        <v>242</v>
      </c>
      <c r="J1096" s="184" t="n">
        <v>37350</v>
      </c>
      <c r="K1096" s="184" t="n">
        <v>14880</v>
      </c>
      <c r="L1096" s="185" t="n">
        <v>19</v>
      </c>
      <c r="M1096" s="184" t="n">
        <v>22470</v>
      </c>
      <c r="N1096" s="184" t="n">
        <v>18200.7</v>
      </c>
      <c r="O1096" s="186" t="s">
        <v>2591</v>
      </c>
      <c r="P1096" s="187" t="n">
        <v>45951</v>
      </c>
    </row>
    <row r="1097" customFormat="false" ht="51" hidden="false" customHeight="true" outlineLevel="0" collapsed="false">
      <c r="A1097" s="181" t="s">
        <v>2592</v>
      </c>
      <c r="B1097" s="182" t="n">
        <v>2505</v>
      </c>
      <c r="C1097" s="183" t="n">
        <v>83</v>
      </c>
      <c r="D1097" s="181" t="s">
        <v>2401</v>
      </c>
      <c r="E1097" s="181" t="s">
        <v>576</v>
      </c>
      <c r="F1097" s="181" t="s">
        <v>577</v>
      </c>
      <c r="G1097" s="181" t="s">
        <v>2402</v>
      </c>
      <c r="H1097" s="181" t="s">
        <v>279</v>
      </c>
      <c r="I1097" s="181" t="s">
        <v>242</v>
      </c>
      <c r="J1097" s="184" t="n">
        <v>38050</v>
      </c>
      <c r="K1097" s="184" t="n">
        <v>14640</v>
      </c>
      <c r="L1097" s="185" t="n">
        <v>12</v>
      </c>
      <c r="M1097" s="184" t="n">
        <v>23410</v>
      </c>
      <c r="N1097" s="184" t="n">
        <v>20600.8</v>
      </c>
      <c r="O1097" s="186" t="s">
        <v>2593</v>
      </c>
      <c r="P1097" s="187" t="n">
        <v>45951</v>
      </c>
    </row>
    <row r="1098" customFormat="false" ht="51" hidden="false" customHeight="true" outlineLevel="0" collapsed="false">
      <c r="A1098" s="181" t="s">
        <v>2594</v>
      </c>
      <c r="B1098" s="182" t="n">
        <v>2507</v>
      </c>
      <c r="C1098" s="183" t="n">
        <v>84</v>
      </c>
      <c r="D1098" s="181" t="s">
        <v>2401</v>
      </c>
      <c r="E1098" s="181" t="s">
        <v>261</v>
      </c>
      <c r="F1098" s="181" t="s">
        <v>262</v>
      </c>
      <c r="G1098" s="181" t="s">
        <v>2402</v>
      </c>
      <c r="H1098" s="181" t="s">
        <v>279</v>
      </c>
      <c r="I1098" s="181" t="s">
        <v>242</v>
      </c>
      <c r="J1098" s="184" t="n">
        <v>37520</v>
      </c>
      <c r="K1098" s="184" t="n">
        <v>15320</v>
      </c>
      <c r="L1098" s="185" t="n">
        <v>19</v>
      </c>
      <c r="M1098" s="184" t="n">
        <v>22200</v>
      </c>
      <c r="N1098" s="184" t="n">
        <v>17982</v>
      </c>
      <c r="O1098" s="186" t="s">
        <v>2595</v>
      </c>
      <c r="P1098" s="187" t="n">
        <v>45951</v>
      </c>
    </row>
    <row r="1099" customFormat="false" ht="51" hidden="false" customHeight="true" outlineLevel="0" collapsed="false">
      <c r="A1099" s="181" t="s">
        <v>2596</v>
      </c>
      <c r="B1099" s="182" t="n">
        <v>2508</v>
      </c>
      <c r="C1099" s="183" t="n">
        <v>85</v>
      </c>
      <c r="D1099" s="181" t="s">
        <v>2401</v>
      </c>
      <c r="E1099" s="181" t="s">
        <v>399</v>
      </c>
      <c r="F1099" s="181" t="s">
        <v>400</v>
      </c>
      <c r="G1099" s="181" t="s">
        <v>2402</v>
      </c>
      <c r="H1099" s="181" t="s">
        <v>279</v>
      </c>
      <c r="I1099" s="181" t="s">
        <v>242</v>
      </c>
      <c r="J1099" s="184" t="n">
        <v>40140</v>
      </c>
      <c r="K1099" s="184" t="n">
        <v>15910</v>
      </c>
      <c r="L1099" s="185" t="n">
        <v>15</v>
      </c>
      <c r="M1099" s="184" t="n">
        <v>24230</v>
      </c>
      <c r="N1099" s="184" t="n">
        <v>20595.5</v>
      </c>
      <c r="O1099" s="186" t="s">
        <v>2597</v>
      </c>
      <c r="P1099" s="187" t="n">
        <v>45951</v>
      </c>
    </row>
    <row r="1100" customFormat="false" ht="51" hidden="false" customHeight="true" outlineLevel="0" collapsed="false">
      <c r="A1100" s="181" t="s">
        <v>2598</v>
      </c>
      <c r="B1100" s="182" t="n">
        <v>2509</v>
      </c>
      <c r="C1100" s="183" t="n">
        <v>86</v>
      </c>
      <c r="D1100" s="181" t="s">
        <v>2401</v>
      </c>
      <c r="E1100" s="181" t="s">
        <v>582</v>
      </c>
      <c r="F1100" s="181" t="s">
        <v>583</v>
      </c>
      <c r="G1100" s="181" t="s">
        <v>2402</v>
      </c>
      <c r="H1100" s="181" t="s">
        <v>279</v>
      </c>
      <c r="I1100" s="181" t="s">
        <v>242</v>
      </c>
      <c r="J1100" s="184" t="n">
        <v>40400</v>
      </c>
      <c r="K1100" s="184" t="n">
        <v>15280</v>
      </c>
      <c r="L1100" s="185" t="n">
        <v>26</v>
      </c>
      <c r="M1100" s="184" t="n">
        <v>25120</v>
      </c>
      <c r="N1100" s="184" t="n">
        <v>18588.8</v>
      </c>
      <c r="O1100" s="186" t="s">
        <v>2599</v>
      </c>
      <c r="P1100" s="187" t="n">
        <v>45951</v>
      </c>
    </row>
    <row r="1101" customFormat="false" ht="51" hidden="false" customHeight="true" outlineLevel="0" collapsed="false">
      <c r="A1101" s="181" t="s">
        <v>2600</v>
      </c>
      <c r="B1101" s="182" t="n">
        <v>2511</v>
      </c>
      <c r="C1101" s="183" t="n">
        <v>87</v>
      </c>
      <c r="D1101" s="181" t="s">
        <v>2401</v>
      </c>
      <c r="E1101" s="181" t="s">
        <v>373</v>
      </c>
      <c r="F1101" s="181" t="s">
        <v>374</v>
      </c>
      <c r="G1101" s="181" t="s">
        <v>2402</v>
      </c>
      <c r="H1101" s="181" t="s">
        <v>279</v>
      </c>
      <c r="I1101" s="181" t="s">
        <v>242</v>
      </c>
      <c r="J1101" s="184" t="n">
        <v>40870</v>
      </c>
      <c r="K1101" s="184" t="n">
        <v>14480</v>
      </c>
      <c r="L1101" s="185" t="n">
        <v>16</v>
      </c>
      <c r="M1101" s="184" t="n">
        <v>26390</v>
      </c>
      <c r="N1101" s="184" t="n">
        <v>22167.6</v>
      </c>
      <c r="O1101" s="186" t="s">
        <v>2601</v>
      </c>
      <c r="P1101" s="187" t="n">
        <v>45951</v>
      </c>
    </row>
    <row r="1102" customFormat="false" ht="51" hidden="false" customHeight="true" outlineLevel="0" collapsed="false">
      <c r="A1102" s="181" t="s">
        <v>2602</v>
      </c>
      <c r="B1102" s="182" t="n">
        <v>2513</v>
      </c>
      <c r="C1102" s="183" t="n">
        <v>88</v>
      </c>
      <c r="D1102" s="181" t="s">
        <v>2401</v>
      </c>
      <c r="E1102" s="181" t="s">
        <v>391</v>
      </c>
      <c r="F1102" s="181" t="s">
        <v>392</v>
      </c>
      <c r="G1102" s="181" t="s">
        <v>2402</v>
      </c>
      <c r="H1102" s="181" t="s">
        <v>279</v>
      </c>
      <c r="I1102" s="181" t="s">
        <v>242</v>
      </c>
      <c r="J1102" s="184" t="n">
        <v>34330</v>
      </c>
      <c r="K1102" s="184" t="n">
        <v>14710</v>
      </c>
      <c r="L1102" s="185" t="n">
        <v>18</v>
      </c>
      <c r="M1102" s="184" t="n">
        <v>19620</v>
      </c>
      <c r="N1102" s="184" t="n">
        <v>16088.4</v>
      </c>
      <c r="O1102" s="186" t="s">
        <v>2603</v>
      </c>
      <c r="P1102" s="187" t="n">
        <v>45951</v>
      </c>
    </row>
    <row r="1103" customFormat="false" ht="51" hidden="false" customHeight="true" outlineLevel="0" collapsed="false">
      <c r="A1103" s="181" t="s">
        <v>2604</v>
      </c>
      <c r="B1103" s="182" t="n">
        <v>2518</v>
      </c>
      <c r="C1103" s="183" t="n">
        <v>89</v>
      </c>
      <c r="D1103" s="181" t="s">
        <v>2401</v>
      </c>
      <c r="E1103" s="181" t="s">
        <v>529</v>
      </c>
      <c r="F1103" s="181" t="s">
        <v>530</v>
      </c>
      <c r="G1103" s="181" t="s">
        <v>2402</v>
      </c>
      <c r="H1103" s="181" t="s">
        <v>279</v>
      </c>
      <c r="I1103" s="181" t="s">
        <v>242</v>
      </c>
      <c r="J1103" s="184" t="n">
        <v>34900</v>
      </c>
      <c r="K1103" s="184" t="n">
        <v>15120</v>
      </c>
      <c r="L1103" s="185" t="n">
        <v>13</v>
      </c>
      <c r="M1103" s="184" t="n">
        <v>19780</v>
      </c>
      <c r="N1103" s="184" t="n">
        <v>17208.6</v>
      </c>
      <c r="O1103" s="186" t="s">
        <v>2605</v>
      </c>
      <c r="P1103" s="187" t="n">
        <v>45951</v>
      </c>
    </row>
    <row r="1104" customFormat="false" ht="51" hidden="false" customHeight="true" outlineLevel="0" collapsed="false">
      <c r="A1104" s="181" t="s">
        <v>2606</v>
      </c>
      <c r="B1104" s="182" t="n">
        <v>2521</v>
      </c>
      <c r="C1104" s="183" t="n">
        <v>1</v>
      </c>
      <c r="D1104" s="181" t="s">
        <v>2005</v>
      </c>
      <c r="E1104" s="181" t="s">
        <v>304</v>
      </c>
      <c r="F1104" s="181" t="s">
        <v>305</v>
      </c>
      <c r="G1104" s="181" t="s">
        <v>2049</v>
      </c>
      <c r="H1104" s="181" t="s">
        <v>279</v>
      </c>
      <c r="I1104" s="181" t="s">
        <v>240</v>
      </c>
      <c r="J1104" s="184" t="n">
        <v>39290</v>
      </c>
      <c r="K1104" s="184" t="n">
        <v>15090</v>
      </c>
      <c r="L1104" s="185" t="n">
        <v>27</v>
      </c>
      <c r="M1104" s="184" t="n">
        <v>24200</v>
      </c>
      <c r="N1104" s="184" t="n">
        <v>17666</v>
      </c>
      <c r="O1104" s="186" t="s">
        <v>2607</v>
      </c>
      <c r="P1104" s="187" t="n">
        <v>45951</v>
      </c>
    </row>
    <row r="1105" customFormat="false" ht="51" hidden="false" customHeight="true" outlineLevel="0" collapsed="false">
      <c r="A1105" s="181" t="s">
        <v>2608</v>
      </c>
      <c r="B1105" s="182" t="n">
        <v>2523</v>
      </c>
      <c r="C1105" s="183" t="n">
        <v>92</v>
      </c>
      <c r="D1105" s="181" t="s">
        <v>2401</v>
      </c>
      <c r="E1105" s="181" t="s">
        <v>272</v>
      </c>
      <c r="F1105" s="181" t="s">
        <v>273</v>
      </c>
      <c r="G1105" s="181" t="s">
        <v>2402</v>
      </c>
      <c r="H1105" s="181" t="s">
        <v>279</v>
      </c>
      <c r="I1105" s="181" t="s">
        <v>242</v>
      </c>
      <c r="J1105" s="184" t="n">
        <v>39510</v>
      </c>
      <c r="K1105" s="184" t="n">
        <v>15800</v>
      </c>
      <c r="L1105" s="185" t="n">
        <v>5</v>
      </c>
      <c r="M1105" s="184" t="n">
        <v>23710</v>
      </c>
      <c r="N1105" s="184" t="n">
        <v>22524.5</v>
      </c>
      <c r="O1105" s="186" t="s">
        <v>2609</v>
      </c>
      <c r="P1105" s="187" t="n">
        <v>45951</v>
      </c>
    </row>
    <row r="1106" customFormat="false" ht="51" hidden="false" customHeight="true" outlineLevel="0" collapsed="false">
      <c r="A1106" s="181" t="s">
        <v>2610</v>
      </c>
      <c r="B1106" s="182" t="n">
        <v>2524</v>
      </c>
      <c r="C1106" s="183" t="n">
        <v>90</v>
      </c>
      <c r="D1106" s="181" t="s">
        <v>2401</v>
      </c>
      <c r="E1106" s="181" t="s">
        <v>383</v>
      </c>
      <c r="F1106" s="181" t="s">
        <v>384</v>
      </c>
      <c r="G1106" s="181" t="s">
        <v>2402</v>
      </c>
      <c r="H1106" s="181" t="s">
        <v>279</v>
      </c>
      <c r="I1106" s="181" t="s">
        <v>242</v>
      </c>
      <c r="J1106" s="184" t="n">
        <v>39990</v>
      </c>
      <c r="K1106" s="184" t="n">
        <v>15210</v>
      </c>
      <c r="L1106" s="185" t="n">
        <v>7</v>
      </c>
      <c r="M1106" s="184" t="n">
        <v>24780</v>
      </c>
      <c r="N1106" s="184" t="n">
        <v>23045.4</v>
      </c>
      <c r="O1106" s="186" t="s">
        <v>2611</v>
      </c>
      <c r="P1106" s="187" t="n">
        <v>45951</v>
      </c>
    </row>
    <row r="1107" customFormat="false" ht="51" hidden="false" customHeight="true" outlineLevel="0" collapsed="false">
      <c r="A1107" s="181" t="s">
        <v>2616</v>
      </c>
      <c r="B1107" s="182" t="n">
        <v>2525</v>
      </c>
      <c r="C1107" s="183" t="n">
        <v>91</v>
      </c>
      <c r="D1107" s="181" t="s">
        <v>2401</v>
      </c>
      <c r="E1107" s="181" t="s">
        <v>387</v>
      </c>
      <c r="F1107" s="181" t="s">
        <v>388</v>
      </c>
      <c r="G1107" s="181" t="s">
        <v>2402</v>
      </c>
      <c r="H1107" s="181" t="s">
        <v>279</v>
      </c>
      <c r="I1107" s="181" t="s">
        <v>242</v>
      </c>
      <c r="J1107" s="184" t="n">
        <v>42050</v>
      </c>
      <c r="K1107" s="184" t="n">
        <v>15420</v>
      </c>
      <c r="L1107" s="185" t="n">
        <v>28</v>
      </c>
      <c r="M1107" s="184" t="n">
        <v>26630</v>
      </c>
      <c r="N1107" s="184" t="n">
        <v>19173.6</v>
      </c>
      <c r="O1107" s="186" t="s">
        <v>2617</v>
      </c>
      <c r="P1107" s="187" t="n">
        <v>45951</v>
      </c>
    </row>
    <row r="1108" customFormat="false" ht="51" hidden="false" customHeight="true" outlineLevel="0" collapsed="false">
      <c r="A1108" s="181" t="s">
        <v>2622</v>
      </c>
      <c r="B1108" s="182" t="n">
        <v>2526</v>
      </c>
      <c r="C1108" s="183" t="n">
        <v>93</v>
      </c>
      <c r="D1108" s="181" t="s">
        <v>2401</v>
      </c>
      <c r="E1108" s="181" t="s">
        <v>350</v>
      </c>
      <c r="F1108" s="181" t="s">
        <v>351</v>
      </c>
      <c r="G1108" s="181" t="s">
        <v>2402</v>
      </c>
      <c r="H1108" s="181" t="s">
        <v>279</v>
      </c>
      <c r="I1108" s="181" t="s">
        <v>242</v>
      </c>
      <c r="J1108" s="184" t="n">
        <v>42910</v>
      </c>
      <c r="K1108" s="184" t="n">
        <v>15260</v>
      </c>
      <c r="L1108" s="185" t="n">
        <v>7</v>
      </c>
      <c r="M1108" s="184" t="n">
        <v>27650</v>
      </c>
      <c r="N1108" s="184" t="n">
        <v>25714.5</v>
      </c>
      <c r="O1108" s="186" t="s">
        <v>2623</v>
      </c>
      <c r="P1108" s="187" t="n">
        <v>45951</v>
      </c>
    </row>
    <row r="1109" customFormat="false" ht="51" hidden="false" customHeight="true" outlineLevel="0" collapsed="false">
      <c r="A1109" s="181" t="s">
        <v>2612</v>
      </c>
      <c r="B1109" s="182" t="n">
        <v>2527</v>
      </c>
      <c r="C1109" s="183" t="n">
        <v>94</v>
      </c>
      <c r="D1109" s="181" t="s">
        <v>2401</v>
      </c>
      <c r="E1109" s="181" t="s">
        <v>354</v>
      </c>
      <c r="F1109" s="181" t="s">
        <v>355</v>
      </c>
      <c r="G1109" s="181" t="s">
        <v>2402</v>
      </c>
      <c r="H1109" s="181" t="s">
        <v>279</v>
      </c>
      <c r="I1109" s="181" t="s">
        <v>242</v>
      </c>
      <c r="J1109" s="184" t="n">
        <v>39240</v>
      </c>
      <c r="K1109" s="184" t="n">
        <v>15010</v>
      </c>
      <c r="L1109" s="185" t="n">
        <v>13</v>
      </c>
      <c r="M1109" s="184" t="n">
        <v>24230</v>
      </c>
      <c r="N1109" s="184" t="n">
        <v>21080.1</v>
      </c>
      <c r="O1109" s="186" t="s">
        <v>2613</v>
      </c>
      <c r="P1109" s="187" t="n">
        <v>45951</v>
      </c>
    </row>
    <row r="1110" customFormat="false" ht="51" hidden="false" customHeight="true" outlineLevel="0" collapsed="false">
      <c r="A1110" s="181" t="s">
        <v>2614</v>
      </c>
      <c r="B1110" s="182" t="n">
        <v>2528</v>
      </c>
      <c r="C1110" s="183" t="n">
        <v>95</v>
      </c>
      <c r="D1110" s="181" t="s">
        <v>2401</v>
      </c>
      <c r="E1110" s="181" t="s">
        <v>359</v>
      </c>
      <c r="F1110" s="181" t="s">
        <v>360</v>
      </c>
      <c r="G1110" s="181" t="s">
        <v>2402</v>
      </c>
      <c r="H1110" s="181" t="s">
        <v>279</v>
      </c>
      <c r="I1110" s="181" t="s">
        <v>242</v>
      </c>
      <c r="J1110" s="184" t="n">
        <v>37070</v>
      </c>
      <c r="K1110" s="184" t="n">
        <v>15020</v>
      </c>
      <c r="L1110" s="185" t="n">
        <v>21</v>
      </c>
      <c r="M1110" s="184" t="n">
        <v>22050</v>
      </c>
      <c r="N1110" s="184" t="n">
        <v>17419.5</v>
      </c>
      <c r="O1110" s="186" t="s">
        <v>2615</v>
      </c>
      <c r="P1110" s="187" t="n">
        <v>45951</v>
      </c>
    </row>
    <row r="1111" customFormat="false" ht="51" hidden="false" customHeight="true" outlineLevel="0" collapsed="false">
      <c r="A1111" s="181" t="s">
        <v>2618</v>
      </c>
      <c r="B1111" s="182" t="n">
        <v>2530</v>
      </c>
      <c r="C1111" s="183" t="n">
        <v>97</v>
      </c>
      <c r="D1111" s="181" t="s">
        <v>2401</v>
      </c>
      <c r="E1111" s="181" t="s">
        <v>277</v>
      </c>
      <c r="F1111" s="181" t="s">
        <v>278</v>
      </c>
      <c r="G1111" s="181" t="s">
        <v>2402</v>
      </c>
      <c r="H1111" s="181" t="s">
        <v>279</v>
      </c>
      <c r="I1111" s="181" t="s">
        <v>242</v>
      </c>
      <c r="J1111" s="184" t="n">
        <v>42430</v>
      </c>
      <c r="K1111" s="184" t="n">
        <v>15310</v>
      </c>
      <c r="L1111" s="185" t="n">
        <v>7</v>
      </c>
      <c r="M1111" s="184" t="n">
        <v>27120</v>
      </c>
      <c r="N1111" s="184" t="n">
        <v>25221.6</v>
      </c>
      <c r="O1111" s="186" t="s">
        <v>2619</v>
      </c>
      <c r="P1111" s="187" t="n">
        <v>45951</v>
      </c>
    </row>
    <row r="1112" customFormat="false" ht="51" hidden="false" customHeight="true" outlineLevel="0" collapsed="false">
      <c r="A1112" s="181" t="s">
        <v>2620</v>
      </c>
      <c r="B1112" s="182" t="n">
        <v>2531</v>
      </c>
      <c r="C1112" s="183" t="n">
        <v>10324</v>
      </c>
      <c r="D1112" s="181" t="s">
        <v>2066</v>
      </c>
      <c r="E1112" s="181" t="s">
        <v>439</v>
      </c>
      <c r="F1112" s="181" t="s">
        <v>440</v>
      </c>
      <c r="G1112" s="181" t="s">
        <v>3329</v>
      </c>
      <c r="H1112" s="181" t="s">
        <v>279</v>
      </c>
      <c r="I1112" s="181" t="s">
        <v>241</v>
      </c>
      <c r="J1112" s="184" t="n">
        <v>39440</v>
      </c>
      <c r="K1112" s="184" t="n">
        <v>16350</v>
      </c>
      <c r="L1112" s="185" t="n">
        <v>15</v>
      </c>
      <c r="M1112" s="184" t="n">
        <v>23090</v>
      </c>
      <c r="N1112" s="184" t="n">
        <v>19626.5</v>
      </c>
      <c r="O1112" s="186" t="s">
        <v>2621</v>
      </c>
      <c r="P1112" s="187" t="n">
        <v>45951</v>
      </c>
    </row>
    <row r="1113" customFormat="false" ht="51" hidden="false" customHeight="true" outlineLevel="0" collapsed="false">
      <c r="A1113" s="181" t="s">
        <v>2624</v>
      </c>
      <c r="B1113" s="182" t="n">
        <v>2532</v>
      </c>
      <c r="C1113" s="183" t="n">
        <v>10325</v>
      </c>
      <c r="D1113" s="181" t="s">
        <v>2066</v>
      </c>
      <c r="E1113" s="181" t="s">
        <v>431</v>
      </c>
      <c r="F1113" s="181" t="s">
        <v>432</v>
      </c>
      <c r="G1113" s="181" t="s">
        <v>3329</v>
      </c>
      <c r="H1113" s="181" t="s">
        <v>279</v>
      </c>
      <c r="I1113" s="181" t="s">
        <v>241</v>
      </c>
      <c r="J1113" s="184" t="n">
        <v>40740</v>
      </c>
      <c r="K1113" s="184" t="n">
        <v>16460</v>
      </c>
      <c r="L1113" s="185" t="n">
        <v>11</v>
      </c>
      <c r="M1113" s="184" t="n">
        <v>24280</v>
      </c>
      <c r="N1113" s="184" t="n">
        <v>21609.2</v>
      </c>
      <c r="O1113" s="186" t="s">
        <v>2625</v>
      </c>
      <c r="P1113" s="187" t="n">
        <v>45951</v>
      </c>
    </row>
    <row r="1114" customFormat="false" ht="51" hidden="false" customHeight="true" outlineLevel="0" collapsed="false">
      <c r="A1114" s="181" t="s">
        <v>2626</v>
      </c>
      <c r="B1114" s="182" t="n">
        <v>2533</v>
      </c>
      <c r="C1114" s="183" t="n">
        <v>96</v>
      </c>
      <c r="D1114" s="181" t="s">
        <v>2401</v>
      </c>
      <c r="E1114" s="181" t="s">
        <v>413</v>
      </c>
      <c r="F1114" s="181" t="s">
        <v>414</v>
      </c>
      <c r="G1114" s="181" t="s">
        <v>2402</v>
      </c>
      <c r="H1114" s="181" t="s">
        <v>279</v>
      </c>
      <c r="I1114" s="181" t="s">
        <v>242</v>
      </c>
      <c r="J1114" s="184" t="n">
        <v>45390</v>
      </c>
      <c r="K1114" s="184" t="n">
        <v>16090</v>
      </c>
      <c r="L1114" s="185" t="n">
        <v>12</v>
      </c>
      <c r="M1114" s="184" t="n">
        <v>29300</v>
      </c>
      <c r="N1114" s="184" t="n">
        <v>25784</v>
      </c>
      <c r="O1114" s="186" t="s">
        <v>2627</v>
      </c>
      <c r="P1114" s="187" t="n">
        <v>45951</v>
      </c>
    </row>
    <row r="1115" customFormat="false" ht="51" hidden="false" customHeight="true" outlineLevel="0" collapsed="false">
      <c r="A1115" s="181" t="s">
        <v>2628</v>
      </c>
      <c r="B1115" s="182" t="n">
        <v>2535</v>
      </c>
      <c r="C1115" s="183" t="n">
        <v>10327</v>
      </c>
      <c r="D1115" s="181" t="s">
        <v>2066</v>
      </c>
      <c r="E1115" s="181" t="s">
        <v>549</v>
      </c>
      <c r="F1115" s="181" t="s">
        <v>550</v>
      </c>
      <c r="G1115" s="181" t="s">
        <v>3329</v>
      </c>
      <c r="H1115" s="181" t="s">
        <v>279</v>
      </c>
      <c r="I1115" s="181" t="s">
        <v>241</v>
      </c>
      <c r="J1115" s="184" t="n">
        <v>41850</v>
      </c>
      <c r="K1115" s="184" t="n">
        <v>15910</v>
      </c>
      <c r="L1115" s="185" t="n">
        <v>9</v>
      </c>
      <c r="M1115" s="184" t="n">
        <v>25940</v>
      </c>
      <c r="N1115" s="184" t="n">
        <v>23605.4</v>
      </c>
      <c r="O1115" s="186" t="s">
        <v>2629</v>
      </c>
      <c r="P1115" s="187" t="n">
        <v>45951</v>
      </c>
    </row>
    <row r="1116" customFormat="false" ht="51" hidden="false" customHeight="true" outlineLevel="0" collapsed="false">
      <c r="A1116" s="181" t="s">
        <v>2630</v>
      </c>
      <c r="B1116" s="182" t="n">
        <v>2536</v>
      </c>
      <c r="C1116" s="183" t="n">
        <v>10326</v>
      </c>
      <c r="D1116" s="181" t="s">
        <v>2066</v>
      </c>
      <c r="E1116" s="181" t="s">
        <v>541</v>
      </c>
      <c r="F1116" s="181" t="s">
        <v>542</v>
      </c>
      <c r="G1116" s="181" t="s">
        <v>3329</v>
      </c>
      <c r="H1116" s="181" t="s">
        <v>279</v>
      </c>
      <c r="I1116" s="181" t="s">
        <v>241</v>
      </c>
      <c r="J1116" s="184" t="n">
        <v>39980</v>
      </c>
      <c r="K1116" s="184" t="n">
        <v>14970</v>
      </c>
      <c r="L1116" s="185" t="n">
        <v>14</v>
      </c>
      <c r="M1116" s="184" t="n">
        <v>25010</v>
      </c>
      <c r="N1116" s="184" t="n">
        <v>21508.6</v>
      </c>
      <c r="O1116" s="186" t="s">
        <v>2631</v>
      </c>
      <c r="P1116" s="187" t="n">
        <v>45951</v>
      </c>
    </row>
    <row r="1117" customFormat="false" ht="51" hidden="false" customHeight="true" outlineLevel="0" collapsed="false">
      <c r="A1117" s="181" t="s">
        <v>2632</v>
      </c>
      <c r="B1117" s="182" t="n">
        <v>2537</v>
      </c>
      <c r="C1117" s="183" t="n">
        <v>10328</v>
      </c>
      <c r="D1117" s="181" t="s">
        <v>2066</v>
      </c>
      <c r="E1117" s="181" t="s">
        <v>545</v>
      </c>
      <c r="F1117" s="181" t="s">
        <v>546</v>
      </c>
      <c r="G1117" s="181" t="s">
        <v>3329</v>
      </c>
      <c r="H1117" s="181" t="s">
        <v>279</v>
      </c>
      <c r="I1117" s="181" t="s">
        <v>241</v>
      </c>
      <c r="J1117" s="184" t="n">
        <v>40600</v>
      </c>
      <c r="K1117" s="184" t="n">
        <v>16140</v>
      </c>
      <c r="L1117" s="185" t="n">
        <v>8</v>
      </c>
      <c r="M1117" s="184" t="n">
        <v>24460</v>
      </c>
      <c r="N1117" s="184" t="n">
        <v>22503.2</v>
      </c>
      <c r="O1117" s="186" t="s">
        <v>2633</v>
      </c>
      <c r="P1117" s="187" t="n">
        <v>45951</v>
      </c>
    </row>
    <row r="1118" customFormat="false" ht="51" hidden="false" customHeight="true" outlineLevel="0" collapsed="false">
      <c r="A1118" s="181" t="s">
        <v>2634</v>
      </c>
      <c r="B1118" s="182" t="n">
        <v>2540</v>
      </c>
      <c r="C1118" s="183" t="n">
        <v>10329</v>
      </c>
      <c r="D1118" s="181" t="s">
        <v>2066</v>
      </c>
      <c r="E1118" s="181" t="s">
        <v>537</v>
      </c>
      <c r="F1118" s="181" t="s">
        <v>538</v>
      </c>
      <c r="G1118" s="181" t="s">
        <v>3329</v>
      </c>
      <c r="H1118" s="181" t="s">
        <v>279</v>
      </c>
      <c r="I1118" s="181" t="s">
        <v>241</v>
      </c>
      <c r="J1118" s="184" t="n">
        <v>35810</v>
      </c>
      <c r="K1118" s="184" t="n">
        <v>13990</v>
      </c>
      <c r="L1118" s="185" t="n">
        <v>9</v>
      </c>
      <c r="M1118" s="184" t="n">
        <v>21820</v>
      </c>
      <c r="N1118" s="184" t="n">
        <v>19856.2</v>
      </c>
      <c r="O1118" s="186" t="s">
        <v>2635</v>
      </c>
      <c r="P1118" s="187" t="n">
        <v>45952</v>
      </c>
    </row>
    <row r="1119" customFormat="false" ht="51" hidden="false" customHeight="true" outlineLevel="0" collapsed="false">
      <c r="A1119" s="181" t="s">
        <v>2636</v>
      </c>
      <c r="B1119" s="182" t="n">
        <v>2541</v>
      </c>
      <c r="C1119" s="183" t="n">
        <v>10343</v>
      </c>
      <c r="D1119" s="181" t="s">
        <v>2066</v>
      </c>
      <c r="E1119" s="181" t="s">
        <v>533</v>
      </c>
      <c r="F1119" s="181" t="s">
        <v>534</v>
      </c>
      <c r="G1119" s="181" t="s">
        <v>3329</v>
      </c>
      <c r="H1119" s="181" t="s">
        <v>279</v>
      </c>
      <c r="I1119" s="181" t="s">
        <v>241</v>
      </c>
      <c r="J1119" s="184" t="n">
        <v>38400</v>
      </c>
      <c r="K1119" s="184" t="n">
        <v>14640</v>
      </c>
      <c r="L1119" s="185" t="n">
        <v>10</v>
      </c>
      <c r="M1119" s="184" t="n">
        <v>23760</v>
      </c>
      <c r="N1119" s="184" t="n">
        <v>21384</v>
      </c>
      <c r="O1119" s="186" t="s">
        <v>2637</v>
      </c>
      <c r="P1119" s="187" t="n">
        <v>45952</v>
      </c>
    </row>
    <row r="1120" customFormat="false" ht="51" hidden="false" customHeight="true" outlineLevel="0" collapsed="false">
      <c r="A1120" s="181" t="s">
        <v>2638</v>
      </c>
      <c r="B1120" s="182" t="n">
        <v>2542</v>
      </c>
      <c r="C1120" s="183" t="n">
        <v>10335</v>
      </c>
      <c r="D1120" s="181" t="s">
        <v>2066</v>
      </c>
      <c r="E1120" s="181" t="s">
        <v>282</v>
      </c>
      <c r="F1120" s="181" t="s">
        <v>283</v>
      </c>
      <c r="G1120" s="181" t="s">
        <v>3329</v>
      </c>
      <c r="H1120" s="181" t="s">
        <v>279</v>
      </c>
      <c r="I1120" s="181" t="s">
        <v>241</v>
      </c>
      <c r="J1120" s="184" t="n">
        <v>39480</v>
      </c>
      <c r="K1120" s="184" t="n">
        <v>15210</v>
      </c>
      <c r="L1120" s="185" t="n">
        <v>17</v>
      </c>
      <c r="M1120" s="184" t="n">
        <v>24270</v>
      </c>
      <c r="N1120" s="184" t="n">
        <v>20144.1</v>
      </c>
      <c r="O1120" s="186" t="s">
        <v>2639</v>
      </c>
      <c r="P1120" s="187" t="n">
        <v>45952</v>
      </c>
    </row>
    <row r="1121" customFormat="false" ht="51" hidden="false" customHeight="true" outlineLevel="0" collapsed="false">
      <c r="A1121" s="181" t="s">
        <v>2640</v>
      </c>
      <c r="B1121" s="182" t="n">
        <v>2544</v>
      </c>
      <c r="C1121" s="183" t="n">
        <v>10338</v>
      </c>
      <c r="D1121" s="181" t="s">
        <v>2066</v>
      </c>
      <c r="E1121" s="181" t="s">
        <v>1019</v>
      </c>
      <c r="F1121" s="181" t="s">
        <v>1020</v>
      </c>
      <c r="G1121" s="181" t="s">
        <v>3329</v>
      </c>
      <c r="H1121" s="181" t="s">
        <v>279</v>
      </c>
      <c r="I1121" s="181" t="s">
        <v>241</v>
      </c>
      <c r="J1121" s="184" t="n">
        <v>42400</v>
      </c>
      <c r="K1121" s="184" t="n">
        <v>17160</v>
      </c>
      <c r="L1121" s="185" t="n">
        <v>16</v>
      </c>
      <c r="M1121" s="184" t="n">
        <v>25240</v>
      </c>
      <c r="N1121" s="184" t="n">
        <v>21201.6</v>
      </c>
      <c r="O1121" s="186" t="s">
        <v>2641</v>
      </c>
      <c r="P1121" s="187" t="n">
        <v>45952</v>
      </c>
    </row>
    <row r="1122" customFormat="false" ht="51" hidden="false" customHeight="true" outlineLevel="0" collapsed="false">
      <c r="A1122" s="181" t="s">
        <v>2642</v>
      </c>
      <c r="B1122" s="182" t="n">
        <v>2545</v>
      </c>
      <c r="C1122" s="183" t="n">
        <v>10348</v>
      </c>
      <c r="D1122" s="181" t="s">
        <v>2066</v>
      </c>
      <c r="E1122" s="181" t="s">
        <v>1023</v>
      </c>
      <c r="F1122" s="181" t="s">
        <v>1024</v>
      </c>
      <c r="G1122" s="181" t="s">
        <v>3329</v>
      </c>
      <c r="H1122" s="181" t="s">
        <v>279</v>
      </c>
      <c r="I1122" s="181" t="s">
        <v>241</v>
      </c>
      <c r="J1122" s="184" t="n">
        <v>36500</v>
      </c>
      <c r="K1122" s="184" t="n">
        <v>14750</v>
      </c>
      <c r="L1122" s="185" t="n">
        <v>6</v>
      </c>
      <c r="M1122" s="184" t="n">
        <v>21750</v>
      </c>
      <c r="N1122" s="184" t="n">
        <v>20445</v>
      </c>
      <c r="O1122" s="186" t="s">
        <v>2643</v>
      </c>
      <c r="P1122" s="187" t="n">
        <v>45952</v>
      </c>
    </row>
    <row r="1123" customFormat="false" ht="51" hidden="false" customHeight="true" outlineLevel="0" collapsed="false">
      <c r="A1123" s="181" t="s">
        <v>2644</v>
      </c>
      <c r="B1123" s="182" t="n">
        <v>2546</v>
      </c>
      <c r="C1123" s="183" t="n">
        <v>10350</v>
      </c>
      <c r="D1123" s="181" t="s">
        <v>2066</v>
      </c>
      <c r="E1123" s="181" t="s">
        <v>1027</v>
      </c>
      <c r="F1123" s="181" t="s">
        <v>1028</v>
      </c>
      <c r="G1123" s="181" t="s">
        <v>3329</v>
      </c>
      <c r="H1123" s="181" t="s">
        <v>279</v>
      </c>
      <c r="I1123" s="181" t="s">
        <v>241</v>
      </c>
      <c r="J1123" s="184" t="n">
        <v>38610</v>
      </c>
      <c r="K1123" s="184" t="n">
        <v>15040</v>
      </c>
      <c r="L1123" s="185" t="n">
        <v>14</v>
      </c>
      <c r="M1123" s="184" t="n">
        <v>23570</v>
      </c>
      <c r="N1123" s="184" t="n">
        <v>20270.2</v>
      </c>
      <c r="O1123" s="186" t="s">
        <v>2645</v>
      </c>
      <c r="P1123" s="187" t="n">
        <v>45952</v>
      </c>
    </row>
    <row r="1124" customFormat="false" ht="51" hidden="false" customHeight="true" outlineLevel="0" collapsed="false">
      <c r="A1124" s="181" t="s">
        <v>2646</v>
      </c>
      <c r="B1124" s="182" t="n">
        <v>2548</v>
      </c>
      <c r="C1124" s="183" t="n">
        <v>10351</v>
      </c>
      <c r="D1124" s="181" t="s">
        <v>2066</v>
      </c>
      <c r="E1124" s="181" t="s">
        <v>409</v>
      </c>
      <c r="F1124" s="181" t="s">
        <v>410</v>
      </c>
      <c r="G1124" s="181" t="s">
        <v>3329</v>
      </c>
      <c r="H1124" s="181" t="s">
        <v>279</v>
      </c>
      <c r="I1124" s="181" t="s">
        <v>241</v>
      </c>
      <c r="J1124" s="184" t="n">
        <v>65670</v>
      </c>
      <c r="K1124" s="184" t="n">
        <v>24580</v>
      </c>
      <c r="L1124" s="185" t="n">
        <v>25</v>
      </c>
      <c r="M1124" s="184" t="n">
        <v>41090</v>
      </c>
      <c r="N1124" s="184" t="n">
        <v>30817.5</v>
      </c>
      <c r="O1124" s="186" t="s">
        <v>2647</v>
      </c>
      <c r="P1124" s="187" t="n">
        <v>45952</v>
      </c>
    </row>
    <row r="1125" customFormat="false" ht="51" hidden="false" customHeight="true" outlineLevel="0" collapsed="false">
      <c r="A1125" s="181" t="s">
        <v>2648</v>
      </c>
      <c r="B1125" s="182" t="n">
        <v>2550</v>
      </c>
      <c r="C1125" s="183" t="n">
        <v>10364</v>
      </c>
      <c r="D1125" s="181" t="s">
        <v>2066</v>
      </c>
      <c r="E1125" s="181" t="s">
        <v>2351</v>
      </c>
      <c r="F1125" s="181" t="s">
        <v>2352</v>
      </c>
      <c r="G1125" s="181" t="s">
        <v>3329</v>
      </c>
      <c r="H1125" s="181" t="s">
        <v>279</v>
      </c>
      <c r="I1125" s="181" t="s">
        <v>241</v>
      </c>
      <c r="J1125" s="184" t="n">
        <v>47450</v>
      </c>
      <c r="K1125" s="184" t="n">
        <v>17540</v>
      </c>
      <c r="L1125" s="185" t="n">
        <v>18</v>
      </c>
      <c r="M1125" s="184" t="n">
        <v>29910</v>
      </c>
      <c r="N1125" s="184" t="n">
        <v>24526.2</v>
      </c>
      <c r="O1125" s="186" t="s">
        <v>2649</v>
      </c>
      <c r="P1125" s="187" t="n">
        <v>45952</v>
      </c>
    </row>
    <row r="1126" customFormat="false" ht="51" hidden="false" customHeight="true" outlineLevel="0" collapsed="false">
      <c r="A1126" s="181" t="s">
        <v>2650</v>
      </c>
      <c r="B1126" s="182" t="n">
        <v>2534</v>
      </c>
      <c r="C1126" s="183" t="n">
        <v>2</v>
      </c>
      <c r="D1126" s="181" t="s">
        <v>2005</v>
      </c>
      <c r="E1126" s="181" t="s">
        <v>300</v>
      </c>
      <c r="F1126" s="181" t="s">
        <v>301</v>
      </c>
      <c r="G1126" s="181" t="s">
        <v>2049</v>
      </c>
      <c r="H1126" s="181" t="s">
        <v>158</v>
      </c>
      <c r="I1126" s="181" t="s">
        <v>240</v>
      </c>
      <c r="J1126" s="184" t="n">
        <v>27570</v>
      </c>
      <c r="K1126" s="184" t="n">
        <v>21520</v>
      </c>
      <c r="L1126" s="185" t="n">
        <v>12</v>
      </c>
      <c r="M1126" s="184" t="n">
        <v>6050</v>
      </c>
      <c r="N1126" s="184" t="n">
        <v>5324</v>
      </c>
      <c r="O1126" s="186" t="s">
        <v>2651</v>
      </c>
      <c r="P1126" s="187" t="n">
        <v>45951</v>
      </c>
    </row>
    <row r="1127" customFormat="false" ht="51" hidden="false" customHeight="true" outlineLevel="0" collapsed="false">
      <c r="A1127" s="181" t="s">
        <v>2652</v>
      </c>
      <c r="B1127" s="182" t="n">
        <v>2551</v>
      </c>
      <c r="C1127" s="183" t="n">
        <v>10361</v>
      </c>
      <c r="D1127" s="181" t="s">
        <v>2066</v>
      </c>
      <c r="E1127" s="181" t="s">
        <v>367</v>
      </c>
      <c r="F1127" s="181" t="s">
        <v>368</v>
      </c>
      <c r="G1127" s="181" t="s">
        <v>3329</v>
      </c>
      <c r="H1127" s="181" t="s">
        <v>279</v>
      </c>
      <c r="I1127" s="181" t="s">
        <v>241</v>
      </c>
      <c r="J1127" s="184" t="n">
        <v>51140</v>
      </c>
      <c r="K1127" s="184" t="n">
        <v>18760</v>
      </c>
      <c r="L1127" s="185" t="n">
        <v>12</v>
      </c>
      <c r="M1127" s="184" t="n">
        <v>32380</v>
      </c>
      <c r="N1127" s="184" t="n">
        <v>28494.4</v>
      </c>
      <c r="O1127" s="186" t="s">
        <v>2653</v>
      </c>
      <c r="P1127" s="187" t="n">
        <v>45952</v>
      </c>
    </row>
    <row r="1128" customFormat="false" ht="51" hidden="false" customHeight="true" outlineLevel="0" collapsed="false">
      <c r="A1128" s="181" t="s">
        <v>2654</v>
      </c>
      <c r="B1128" s="182" t="n">
        <v>2554</v>
      </c>
      <c r="C1128" s="183" t="n">
        <v>10401</v>
      </c>
      <c r="D1128" s="181" t="s">
        <v>2066</v>
      </c>
      <c r="E1128" s="181" t="s">
        <v>300</v>
      </c>
      <c r="F1128" s="181" t="s">
        <v>301</v>
      </c>
      <c r="G1128" s="181" t="s">
        <v>3329</v>
      </c>
      <c r="H1128" s="181" t="s">
        <v>279</v>
      </c>
      <c r="I1128" s="181" t="s">
        <v>241</v>
      </c>
      <c r="J1128" s="184" t="n">
        <v>62070</v>
      </c>
      <c r="K1128" s="184" t="n">
        <v>21360</v>
      </c>
      <c r="L1128" s="185" t="n">
        <v>7</v>
      </c>
      <c r="M1128" s="184" t="n">
        <v>40710</v>
      </c>
      <c r="N1128" s="184" t="n">
        <v>37860.3</v>
      </c>
      <c r="O1128" s="186" t="s">
        <v>2655</v>
      </c>
      <c r="P1128" s="187" t="n">
        <v>45952</v>
      </c>
    </row>
    <row r="1129" customFormat="false" ht="51" hidden="false" customHeight="true" outlineLevel="0" collapsed="false">
      <c r="A1129" s="181" t="s">
        <v>2656</v>
      </c>
      <c r="B1129" s="182" t="n">
        <v>2555</v>
      </c>
      <c r="C1129" s="183" t="n">
        <v>10384</v>
      </c>
      <c r="D1129" s="181" t="s">
        <v>2066</v>
      </c>
      <c r="E1129" s="181" t="s">
        <v>373</v>
      </c>
      <c r="F1129" s="181" t="s">
        <v>374</v>
      </c>
      <c r="G1129" s="181" t="s">
        <v>3329</v>
      </c>
      <c r="H1129" s="181" t="s">
        <v>279</v>
      </c>
      <c r="I1129" s="181" t="s">
        <v>241</v>
      </c>
      <c r="J1129" s="184" t="n">
        <v>42030</v>
      </c>
      <c r="K1129" s="184" t="n">
        <v>14450</v>
      </c>
      <c r="L1129" s="185" t="n">
        <v>19</v>
      </c>
      <c r="M1129" s="184" t="n">
        <v>27580</v>
      </c>
      <c r="N1129" s="184" t="n">
        <v>22339.8</v>
      </c>
      <c r="O1129" s="186" t="s">
        <v>2657</v>
      </c>
      <c r="P1129" s="187" t="n">
        <v>45952</v>
      </c>
    </row>
    <row r="1130" customFormat="false" ht="51" hidden="false" customHeight="true" outlineLevel="0" collapsed="false">
      <c r="A1130" s="181" t="s">
        <v>2658</v>
      </c>
      <c r="B1130" s="182" t="n">
        <v>2556</v>
      </c>
      <c r="C1130" s="183" t="n">
        <v>1</v>
      </c>
      <c r="D1130" s="181" t="s">
        <v>2005</v>
      </c>
      <c r="E1130" s="181" t="s">
        <v>288</v>
      </c>
      <c r="F1130" s="181" t="s">
        <v>289</v>
      </c>
      <c r="G1130" s="181" t="s">
        <v>2049</v>
      </c>
      <c r="H1130" s="181" t="s">
        <v>279</v>
      </c>
      <c r="I1130" s="181" t="s">
        <v>240</v>
      </c>
      <c r="J1130" s="184" t="n">
        <v>38420</v>
      </c>
      <c r="K1130" s="184" t="n">
        <v>14750</v>
      </c>
      <c r="L1130" s="185" t="n">
        <v>13</v>
      </c>
      <c r="M1130" s="184" t="n">
        <v>23670</v>
      </c>
      <c r="N1130" s="184" t="n">
        <v>20592.9</v>
      </c>
      <c r="O1130" s="186" t="s">
        <v>2659</v>
      </c>
      <c r="P1130" s="187" t="n">
        <v>45952</v>
      </c>
    </row>
    <row r="1131" customFormat="false" ht="51" hidden="false" customHeight="true" outlineLevel="0" collapsed="false">
      <c r="A1131" s="181" t="s">
        <v>2660</v>
      </c>
      <c r="B1131" s="182" t="n">
        <v>2557</v>
      </c>
      <c r="C1131" s="183" t="n">
        <v>10371</v>
      </c>
      <c r="D1131" s="181" t="s">
        <v>2066</v>
      </c>
      <c r="E1131" s="181" t="s">
        <v>435</v>
      </c>
      <c r="F1131" s="181" t="s">
        <v>436</v>
      </c>
      <c r="G1131" s="181" t="s">
        <v>3329</v>
      </c>
      <c r="H1131" s="181" t="s">
        <v>279</v>
      </c>
      <c r="I1131" s="181" t="s">
        <v>241</v>
      </c>
      <c r="J1131" s="184" t="n">
        <v>40550</v>
      </c>
      <c r="K1131" s="184" t="n">
        <v>16210</v>
      </c>
      <c r="L1131" s="185" t="n">
        <v>11</v>
      </c>
      <c r="M1131" s="184" t="n">
        <v>24340</v>
      </c>
      <c r="N1131" s="184" t="n">
        <v>21662.6</v>
      </c>
      <c r="O1131" s="186" t="s">
        <v>2661</v>
      </c>
      <c r="P1131" s="187" t="n">
        <v>45952</v>
      </c>
    </row>
    <row r="1132" customFormat="false" ht="51" hidden="false" customHeight="true" outlineLevel="0" collapsed="false">
      <c r="A1132" s="181" t="s">
        <v>2662</v>
      </c>
      <c r="B1132" s="182" t="n">
        <v>2558</v>
      </c>
      <c r="C1132" s="183" t="n">
        <v>2</v>
      </c>
      <c r="D1132" s="181" t="s">
        <v>2005</v>
      </c>
      <c r="E1132" s="181" t="s">
        <v>332</v>
      </c>
      <c r="F1132" s="181" t="s">
        <v>333</v>
      </c>
      <c r="G1132" s="181" t="s">
        <v>2006</v>
      </c>
      <c r="H1132" s="181" t="s">
        <v>279</v>
      </c>
      <c r="I1132" s="181" t="s">
        <v>240</v>
      </c>
      <c r="J1132" s="184" t="n">
        <v>39860</v>
      </c>
      <c r="K1132" s="184" t="n">
        <v>14870</v>
      </c>
      <c r="L1132" s="185" t="n">
        <v>15</v>
      </c>
      <c r="M1132" s="184" t="n">
        <v>24990</v>
      </c>
      <c r="N1132" s="184" t="n">
        <v>21241.5</v>
      </c>
      <c r="O1132" s="186" t="s">
        <v>2663</v>
      </c>
      <c r="P1132" s="187" t="n">
        <v>45952</v>
      </c>
    </row>
    <row r="1133" customFormat="false" ht="51" hidden="false" customHeight="true" outlineLevel="0" collapsed="false">
      <c r="A1133" s="181" t="s">
        <v>2670</v>
      </c>
      <c r="B1133" s="182" t="n">
        <v>2559</v>
      </c>
      <c r="C1133" s="183" t="n">
        <v>3</v>
      </c>
      <c r="D1133" s="181" t="s">
        <v>2005</v>
      </c>
      <c r="E1133" s="181" t="s">
        <v>292</v>
      </c>
      <c r="F1133" s="181" t="s">
        <v>293</v>
      </c>
      <c r="G1133" s="181" t="s">
        <v>2006</v>
      </c>
      <c r="H1133" s="181" t="s">
        <v>279</v>
      </c>
      <c r="I1133" s="181" t="s">
        <v>240</v>
      </c>
      <c r="J1133" s="184" t="n">
        <v>36500</v>
      </c>
      <c r="K1133" s="184" t="n">
        <v>13990</v>
      </c>
      <c r="L1133" s="185" t="n">
        <v>12</v>
      </c>
      <c r="M1133" s="184" t="n">
        <v>22510</v>
      </c>
      <c r="N1133" s="184" t="n">
        <v>19808.8</v>
      </c>
      <c r="O1133" s="186" t="s">
        <v>2671</v>
      </c>
      <c r="P1133" s="187" t="n">
        <v>45952</v>
      </c>
    </row>
    <row r="1134" customFormat="false" ht="51" hidden="false" customHeight="true" outlineLevel="0" collapsed="false">
      <c r="A1134" s="181" t="s">
        <v>2674</v>
      </c>
      <c r="B1134" s="182" t="n">
        <v>2560</v>
      </c>
      <c r="C1134" s="183" t="n">
        <v>10387</v>
      </c>
      <c r="D1134" s="181" t="s">
        <v>2066</v>
      </c>
      <c r="E1134" s="181" t="s">
        <v>582</v>
      </c>
      <c r="F1134" s="181" t="s">
        <v>583</v>
      </c>
      <c r="G1134" s="181" t="s">
        <v>3329</v>
      </c>
      <c r="H1134" s="181" t="s">
        <v>279</v>
      </c>
      <c r="I1134" s="181" t="s">
        <v>241</v>
      </c>
      <c r="J1134" s="184" t="n">
        <v>43350</v>
      </c>
      <c r="K1134" s="184" t="n">
        <v>14990</v>
      </c>
      <c r="L1134" s="185" t="n">
        <v>16</v>
      </c>
      <c r="M1134" s="184" t="n">
        <v>28360</v>
      </c>
      <c r="N1134" s="184" t="n">
        <v>23822.4</v>
      </c>
      <c r="O1134" s="186" t="s">
        <v>2675</v>
      </c>
      <c r="P1134" s="187" t="n">
        <v>45952</v>
      </c>
    </row>
    <row r="1135" customFormat="false" ht="51" hidden="false" customHeight="true" outlineLevel="0" collapsed="false">
      <c r="A1135" s="181" t="s">
        <v>2664</v>
      </c>
      <c r="B1135" s="182" t="n">
        <v>2562</v>
      </c>
      <c r="C1135" s="183" t="n">
        <v>10386</v>
      </c>
      <c r="D1135" s="181" t="s">
        <v>2066</v>
      </c>
      <c r="E1135" s="181" t="s">
        <v>399</v>
      </c>
      <c r="F1135" s="181" t="s">
        <v>400</v>
      </c>
      <c r="G1135" s="181" t="s">
        <v>3329</v>
      </c>
      <c r="H1135" s="181" t="s">
        <v>279</v>
      </c>
      <c r="I1135" s="181" t="s">
        <v>241</v>
      </c>
      <c r="J1135" s="184" t="n">
        <v>52800</v>
      </c>
      <c r="K1135" s="184" t="n">
        <v>19540</v>
      </c>
      <c r="L1135" s="185" t="n">
        <v>5</v>
      </c>
      <c r="M1135" s="184" t="n">
        <v>33260</v>
      </c>
      <c r="N1135" s="184" t="n">
        <v>31597</v>
      </c>
      <c r="O1135" s="186" t="s">
        <v>2665</v>
      </c>
      <c r="P1135" s="187" t="n">
        <v>45952</v>
      </c>
    </row>
    <row r="1136" customFormat="false" ht="51" hidden="false" customHeight="true" outlineLevel="0" collapsed="false">
      <c r="A1136" s="181" t="s">
        <v>2666</v>
      </c>
      <c r="B1136" s="182" t="n">
        <v>2563</v>
      </c>
      <c r="C1136" s="183" t="n">
        <v>10388</v>
      </c>
      <c r="D1136" s="181" t="s">
        <v>2066</v>
      </c>
      <c r="E1136" s="181" t="s">
        <v>308</v>
      </c>
      <c r="F1136" s="181" t="s">
        <v>309</v>
      </c>
      <c r="G1136" s="181" t="s">
        <v>3329</v>
      </c>
      <c r="H1136" s="181" t="s">
        <v>279</v>
      </c>
      <c r="I1136" s="181" t="s">
        <v>241</v>
      </c>
      <c r="J1136" s="184" t="n">
        <v>64590</v>
      </c>
      <c r="K1136" s="184" t="n">
        <v>24190</v>
      </c>
      <c r="L1136" s="185" t="n">
        <v>5</v>
      </c>
      <c r="M1136" s="184" t="n">
        <v>40400</v>
      </c>
      <c r="N1136" s="184" t="n">
        <v>38380</v>
      </c>
      <c r="O1136" s="186" t="s">
        <v>2667</v>
      </c>
      <c r="P1136" s="187" t="n">
        <v>45952</v>
      </c>
    </row>
    <row r="1137" customFormat="false" ht="51" hidden="false" customHeight="true" outlineLevel="0" collapsed="false">
      <c r="A1137" s="181" t="s">
        <v>2668</v>
      </c>
      <c r="B1137" s="182" t="n">
        <v>2564</v>
      </c>
      <c r="C1137" s="183" t="n">
        <v>10389</v>
      </c>
      <c r="D1137" s="181" t="s">
        <v>2066</v>
      </c>
      <c r="E1137" s="181" t="s">
        <v>304</v>
      </c>
      <c r="F1137" s="181" t="s">
        <v>305</v>
      </c>
      <c r="G1137" s="181" t="s">
        <v>3329</v>
      </c>
      <c r="H1137" s="181" t="s">
        <v>279</v>
      </c>
      <c r="I1137" s="181" t="s">
        <v>241</v>
      </c>
      <c r="J1137" s="184" t="n">
        <v>38780</v>
      </c>
      <c r="K1137" s="184" t="n">
        <v>15030</v>
      </c>
      <c r="L1137" s="185" t="n">
        <v>13</v>
      </c>
      <c r="M1137" s="184" t="n">
        <v>23750</v>
      </c>
      <c r="N1137" s="184" t="n">
        <v>20662.5</v>
      </c>
      <c r="O1137" s="186" t="s">
        <v>2669</v>
      </c>
      <c r="P1137" s="187" t="n">
        <v>45952</v>
      </c>
    </row>
    <row r="1138" customFormat="false" ht="51" hidden="false" customHeight="true" outlineLevel="0" collapsed="false">
      <c r="A1138" s="181" t="s">
        <v>2672</v>
      </c>
      <c r="B1138" s="182" t="n">
        <v>2565</v>
      </c>
      <c r="C1138" s="183" t="n">
        <v>4</v>
      </c>
      <c r="D1138" s="181" t="s">
        <v>2005</v>
      </c>
      <c r="E1138" s="181" t="s">
        <v>529</v>
      </c>
      <c r="F1138" s="181" t="s">
        <v>530</v>
      </c>
      <c r="G1138" s="181" t="s">
        <v>2006</v>
      </c>
      <c r="H1138" s="181" t="s">
        <v>279</v>
      </c>
      <c r="I1138" s="181" t="s">
        <v>240</v>
      </c>
      <c r="J1138" s="184" t="n">
        <v>36950</v>
      </c>
      <c r="K1138" s="184" t="n">
        <v>15050</v>
      </c>
      <c r="L1138" s="185" t="n">
        <v>22</v>
      </c>
      <c r="M1138" s="184" t="n">
        <v>21900</v>
      </c>
      <c r="N1138" s="184" t="n">
        <v>17082</v>
      </c>
      <c r="O1138" s="186" t="s">
        <v>2673</v>
      </c>
      <c r="P1138" s="187" t="n">
        <v>45952</v>
      </c>
    </row>
    <row r="1139" customFormat="false" ht="51" hidden="false" customHeight="true" outlineLevel="0" collapsed="false">
      <c r="A1139" s="181" t="s">
        <v>2676</v>
      </c>
      <c r="B1139" s="182" t="n">
        <v>2566</v>
      </c>
      <c r="C1139" s="183" t="n">
        <v>5</v>
      </c>
      <c r="D1139" s="181" t="s">
        <v>2005</v>
      </c>
      <c r="E1139" s="181" t="s">
        <v>391</v>
      </c>
      <c r="F1139" s="181" t="s">
        <v>392</v>
      </c>
      <c r="G1139" s="181" t="s">
        <v>2006</v>
      </c>
      <c r="H1139" s="181" t="s">
        <v>279</v>
      </c>
      <c r="I1139" s="181" t="s">
        <v>240</v>
      </c>
      <c r="J1139" s="184" t="n">
        <v>36060</v>
      </c>
      <c r="K1139" s="184" t="n">
        <v>14640</v>
      </c>
      <c r="L1139" s="185" t="n">
        <v>29</v>
      </c>
      <c r="M1139" s="184" t="n">
        <v>21420</v>
      </c>
      <c r="N1139" s="184" t="n">
        <v>15208.2</v>
      </c>
      <c r="O1139" s="186" t="s">
        <v>2677</v>
      </c>
      <c r="P1139" s="187" t="n">
        <v>45953</v>
      </c>
    </row>
    <row r="1140" customFormat="false" ht="51" hidden="false" customHeight="true" outlineLevel="0" collapsed="false">
      <c r="A1140" s="181" t="s">
        <v>2678</v>
      </c>
      <c r="B1140" s="182" t="n">
        <v>2567</v>
      </c>
      <c r="C1140" s="183" t="n">
        <v>10390</v>
      </c>
      <c r="D1140" s="181" t="s">
        <v>2066</v>
      </c>
      <c r="E1140" s="181" t="s">
        <v>576</v>
      </c>
      <c r="F1140" s="181" t="s">
        <v>577</v>
      </c>
      <c r="G1140" s="181" t="s">
        <v>3329</v>
      </c>
      <c r="H1140" s="181" t="s">
        <v>279</v>
      </c>
      <c r="I1140" s="181" t="s">
        <v>241</v>
      </c>
      <c r="J1140" s="184" t="n">
        <v>38200</v>
      </c>
      <c r="K1140" s="184" t="n">
        <v>14520</v>
      </c>
      <c r="L1140" s="185" t="n">
        <v>6</v>
      </c>
      <c r="M1140" s="184" t="n">
        <v>23680</v>
      </c>
      <c r="N1140" s="184" t="n">
        <v>22259.2</v>
      </c>
      <c r="O1140" s="186" t="s">
        <v>2679</v>
      </c>
      <c r="P1140" s="187" t="n">
        <v>45953</v>
      </c>
    </row>
    <row r="1141" customFormat="false" ht="51" hidden="false" customHeight="true" outlineLevel="0" collapsed="false">
      <c r="A1141" s="181" t="s">
        <v>2680</v>
      </c>
      <c r="B1141" s="182" t="n">
        <v>2568</v>
      </c>
      <c r="C1141" s="183" t="n">
        <v>10391</v>
      </c>
      <c r="D1141" s="181" t="s">
        <v>2066</v>
      </c>
      <c r="E1141" s="181" t="s">
        <v>261</v>
      </c>
      <c r="F1141" s="181" t="s">
        <v>262</v>
      </c>
      <c r="G1141" s="181" t="s">
        <v>3329</v>
      </c>
      <c r="H1141" s="181" t="s">
        <v>279</v>
      </c>
      <c r="I1141" s="181" t="s">
        <v>241</v>
      </c>
      <c r="J1141" s="184" t="n">
        <v>38670</v>
      </c>
      <c r="K1141" s="184" t="n">
        <v>15160</v>
      </c>
      <c r="L1141" s="185" t="n">
        <v>14</v>
      </c>
      <c r="M1141" s="184" t="n">
        <v>23510</v>
      </c>
      <c r="N1141" s="184" t="n">
        <v>20218.6</v>
      </c>
      <c r="O1141" s="186" t="s">
        <v>2681</v>
      </c>
      <c r="P1141" s="187" t="n">
        <v>45953</v>
      </c>
    </row>
    <row r="1142" customFormat="false" ht="51" hidden="false" customHeight="true" outlineLevel="0" collapsed="false">
      <c r="A1142" s="181" t="s">
        <v>2682</v>
      </c>
      <c r="B1142" s="182" t="n">
        <v>2569</v>
      </c>
      <c r="C1142" s="183" t="n">
        <v>6</v>
      </c>
      <c r="D1142" s="181" t="s">
        <v>2005</v>
      </c>
      <c r="E1142" s="181" t="s">
        <v>409</v>
      </c>
      <c r="F1142" s="181" t="s">
        <v>410</v>
      </c>
      <c r="G1142" s="181" t="s">
        <v>2070</v>
      </c>
      <c r="H1142" s="181" t="s">
        <v>279</v>
      </c>
      <c r="I1142" s="181" t="s">
        <v>240</v>
      </c>
      <c r="J1142" s="184" t="n">
        <v>65700</v>
      </c>
      <c r="K1142" s="184" t="n">
        <v>24510</v>
      </c>
      <c r="L1142" s="185" t="n">
        <v>16</v>
      </c>
      <c r="M1142" s="184" t="n">
        <v>41190</v>
      </c>
      <c r="N1142" s="184" t="n">
        <v>34599.6</v>
      </c>
      <c r="O1142" s="186" t="s">
        <v>2683</v>
      </c>
      <c r="P1142" s="187" t="n">
        <v>45953</v>
      </c>
    </row>
    <row r="1143" customFormat="false" ht="51" hidden="false" customHeight="true" outlineLevel="0" collapsed="false">
      <c r="A1143" s="181" t="s">
        <v>2684</v>
      </c>
      <c r="B1143" s="182" t="n">
        <v>2570</v>
      </c>
      <c r="C1143" s="183" t="n">
        <v>10392</v>
      </c>
      <c r="D1143" s="181" t="s">
        <v>2066</v>
      </c>
      <c r="E1143" s="181" t="s">
        <v>383</v>
      </c>
      <c r="F1143" s="181" t="s">
        <v>384</v>
      </c>
      <c r="G1143" s="181" t="s">
        <v>3329</v>
      </c>
      <c r="H1143" s="181" t="s">
        <v>279</v>
      </c>
      <c r="I1143" s="181" t="s">
        <v>241</v>
      </c>
      <c r="J1143" s="184" t="n">
        <v>40890</v>
      </c>
      <c r="K1143" s="184" t="n">
        <v>14910</v>
      </c>
      <c r="L1143" s="185" t="n">
        <v>5</v>
      </c>
      <c r="M1143" s="184" t="n">
        <v>25980</v>
      </c>
      <c r="N1143" s="184" t="n">
        <v>24681</v>
      </c>
      <c r="O1143" s="186" t="s">
        <v>2685</v>
      </c>
      <c r="P1143" s="187" t="n">
        <v>45953</v>
      </c>
    </row>
    <row r="1144" customFormat="false" ht="51" hidden="false" customHeight="true" outlineLevel="0" collapsed="false">
      <c r="A1144" s="181" t="s">
        <v>2686</v>
      </c>
      <c r="B1144" s="182" t="n">
        <v>2571</v>
      </c>
      <c r="C1144" s="183" t="n">
        <v>10393</v>
      </c>
      <c r="D1144" s="181" t="s">
        <v>2066</v>
      </c>
      <c r="E1144" s="181" t="s">
        <v>387</v>
      </c>
      <c r="F1144" s="181" t="s">
        <v>388</v>
      </c>
      <c r="G1144" s="181" t="s">
        <v>3329</v>
      </c>
      <c r="H1144" s="181" t="s">
        <v>279</v>
      </c>
      <c r="I1144" s="181" t="s">
        <v>241</v>
      </c>
      <c r="J1144" s="184" t="n">
        <v>43700</v>
      </c>
      <c r="K1144" s="184" t="n">
        <v>15110</v>
      </c>
      <c r="L1144" s="185" t="n">
        <v>9</v>
      </c>
      <c r="M1144" s="184" t="n">
        <v>28590</v>
      </c>
      <c r="N1144" s="184" t="n">
        <v>26016.9</v>
      </c>
      <c r="O1144" s="186" t="s">
        <v>2687</v>
      </c>
      <c r="P1144" s="187" t="n">
        <v>45953</v>
      </c>
    </row>
    <row r="1145" customFormat="false" ht="51" hidden="false" customHeight="true" outlineLevel="0" collapsed="false">
      <c r="A1145" s="181" t="s">
        <v>2688</v>
      </c>
      <c r="B1145" s="182" t="n">
        <v>2572</v>
      </c>
      <c r="C1145" s="183" t="n">
        <v>10394</v>
      </c>
      <c r="D1145" s="181" t="s">
        <v>2066</v>
      </c>
      <c r="E1145" s="181" t="s">
        <v>350</v>
      </c>
      <c r="F1145" s="181" t="s">
        <v>351</v>
      </c>
      <c r="G1145" s="181" t="s">
        <v>3329</v>
      </c>
      <c r="H1145" s="181" t="s">
        <v>279</v>
      </c>
      <c r="I1145" s="181" t="s">
        <v>241</v>
      </c>
      <c r="J1145" s="184" t="n">
        <v>44290</v>
      </c>
      <c r="K1145" s="184" t="n">
        <v>15070</v>
      </c>
      <c r="L1145" s="185" t="n">
        <v>10</v>
      </c>
      <c r="M1145" s="184" t="n">
        <v>29220</v>
      </c>
      <c r="N1145" s="184" t="n">
        <v>26298</v>
      </c>
      <c r="O1145" s="186" t="s">
        <v>2689</v>
      </c>
      <c r="P1145" s="187" t="n">
        <v>45953</v>
      </c>
    </row>
    <row r="1146" customFormat="false" ht="51" hidden="false" customHeight="true" outlineLevel="0" collapsed="false">
      <c r="A1146" s="181" t="s">
        <v>2700</v>
      </c>
      <c r="B1146" s="182" t="n">
        <v>2573</v>
      </c>
      <c r="C1146" s="183" t="n">
        <v>10395</v>
      </c>
      <c r="D1146" s="181" t="s">
        <v>2066</v>
      </c>
      <c r="E1146" s="181" t="s">
        <v>346</v>
      </c>
      <c r="F1146" s="181" t="s">
        <v>347</v>
      </c>
      <c r="G1146" s="181" t="s">
        <v>3329</v>
      </c>
      <c r="H1146" s="181" t="s">
        <v>279</v>
      </c>
      <c r="I1146" s="181" t="s">
        <v>241</v>
      </c>
      <c r="J1146" s="184" t="n">
        <v>39800</v>
      </c>
      <c r="K1146" s="184" t="n">
        <v>15050</v>
      </c>
      <c r="L1146" s="185" t="n">
        <v>12</v>
      </c>
      <c r="M1146" s="184" t="n">
        <v>24750</v>
      </c>
      <c r="N1146" s="184" t="n">
        <v>21780</v>
      </c>
      <c r="O1146" s="186" t="s">
        <v>2701</v>
      </c>
      <c r="P1146" s="187" t="n">
        <v>45953</v>
      </c>
    </row>
    <row r="1147" customFormat="false" ht="51" hidden="false" customHeight="true" outlineLevel="0" collapsed="false">
      <c r="A1147" s="181" t="s">
        <v>2692</v>
      </c>
      <c r="B1147" s="182" t="n">
        <v>2575</v>
      </c>
      <c r="C1147" s="183" t="n">
        <v>11</v>
      </c>
      <c r="D1147" s="181" t="s">
        <v>2005</v>
      </c>
      <c r="E1147" s="181" t="s">
        <v>288</v>
      </c>
      <c r="F1147" s="181" t="s">
        <v>289</v>
      </c>
      <c r="G1147" s="181" t="s">
        <v>2070</v>
      </c>
      <c r="H1147" s="181" t="s">
        <v>158</v>
      </c>
      <c r="I1147" s="181" t="s">
        <v>240</v>
      </c>
      <c r="J1147" s="184" t="n">
        <v>29340</v>
      </c>
      <c r="K1147" s="184" t="n">
        <v>14730</v>
      </c>
      <c r="L1147" s="185" t="n">
        <v>9</v>
      </c>
      <c r="M1147" s="184" t="n">
        <v>14610</v>
      </c>
      <c r="N1147" s="184" t="n">
        <v>13295.1</v>
      </c>
      <c r="O1147" s="186" t="s">
        <v>2693</v>
      </c>
      <c r="P1147" s="187" t="n">
        <v>45953</v>
      </c>
    </row>
    <row r="1148" customFormat="false" ht="51" hidden="false" customHeight="true" outlineLevel="0" collapsed="false">
      <c r="A1148" s="181" t="s">
        <v>2702</v>
      </c>
      <c r="B1148" s="182" t="n">
        <v>2576</v>
      </c>
      <c r="C1148" s="183" t="n">
        <v>10396</v>
      </c>
      <c r="D1148" s="181" t="s">
        <v>2066</v>
      </c>
      <c r="E1148" s="181" t="s">
        <v>377</v>
      </c>
      <c r="F1148" s="181" t="s">
        <v>378</v>
      </c>
      <c r="G1148" s="181" t="s">
        <v>3329</v>
      </c>
      <c r="H1148" s="181" t="s">
        <v>279</v>
      </c>
      <c r="I1148" s="181" t="s">
        <v>241</v>
      </c>
      <c r="J1148" s="184" t="n">
        <v>44690</v>
      </c>
      <c r="K1148" s="184" t="n">
        <v>15780</v>
      </c>
      <c r="L1148" s="185" t="n">
        <v>12</v>
      </c>
      <c r="M1148" s="184" t="n">
        <v>28910</v>
      </c>
      <c r="N1148" s="184" t="n">
        <v>25440.8</v>
      </c>
      <c r="O1148" s="186" t="s">
        <v>2703</v>
      </c>
      <c r="P1148" s="187" t="n">
        <v>45953</v>
      </c>
    </row>
    <row r="1149" customFormat="false" ht="51" hidden="false" customHeight="true" outlineLevel="0" collapsed="false">
      <c r="A1149" s="181" t="s">
        <v>2708</v>
      </c>
      <c r="B1149" s="182" t="n">
        <v>2580</v>
      </c>
      <c r="C1149" s="183" t="n">
        <v>10397</v>
      </c>
      <c r="D1149" s="181" t="s">
        <v>2066</v>
      </c>
      <c r="E1149" s="181" t="s">
        <v>336</v>
      </c>
      <c r="F1149" s="181" t="s">
        <v>337</v>
      </c>
      <c r="G1149" s="181" t="s">
        <v>3329</v>
      </c>
      <c r="H1149" s="181" t="s">
        <v>279</v>
      </c>
      <c r="I1149" s="181" t="s">
        <v>241</v>
      </c>
      <c r="J1149" s="184" t="n">
        <v>39390</v>
      </c>
      <c r="K1149" s="184" t="n">
        <v>14580</v>
      </c>
      <c r="L1149" s="185" t="n">
        <v>28</v>
      </c>
      <c r="M1149" s="184" t="n">
        <v>24810</v>
      </c>
      <c r="N1149" s="184" t="n">
        <v>17863.2</v>
      </c>
      <c r="O1149" s="186" t="s">
        <v>2709</v>
      </c>
      <c r="P1149" s="187" t="n">
        <v>45953</v>
      </c>
    </row>
    <row r="1150" customFormat="false" ht="51" hidden="false" customHeight="true" outlineLevel="0" collapsed="false">
      <c r="A1150" s="181" t="s">
        <v>2710</v>
      </c>
      <c r="B1150" s="182" t="n">
        <v>2581</v>
      </c>
      <c r="C1150" s="183" t="n">
        <v>10398</v>
      </c>
      <c r="D1150" s="181" t="s">
        <v>2066</v>
      </c>
      <c r="E1150" s="181" t="s">
        <v>340</v>
      </c>
      <c r="F1150" s="181" t="s">
        <v>341</v>
      </c>
      <c r="G1150" s="181" t="s">
        <v>3329</v>
      </c>
      <c r="H1150" s="181" t="s">
        <v>279</v>
      </c>
      <c r="I1150" s="181" t="s">
        <v>241</v>
      </c>
      <c r="J1150" s="184" t="n">
        <v>39540</v>
      </c>
      <c r="K1150" s="184" t="n">
        <v>15120</v>
      </c>
      <c r="L1150" s="185" t="n">
        <v>21</v>
      </c>
      <c r="M1150" s="184" t="n">
        <v>24420</v>
      </c>
      <c r="N1150" s="184" t="n">
        <v>19291.8</v>
      </c>
      <c r="O1150" s="186" t="s">
        <v>2711</v>
      </c>
      <c r="P1150" s="187" t="n">
        <v>45953</v>
      </c>
    </row>
    <row r="1151" customFormat="false" ht="51" hidden="false" customHeight="true" outlineLevel="0" collapsed="false">
      <c r="A1151" s="181" t="s">
        <v>2732</v>
      </c>
      <c r="B1151" s="182" t="n">
        <v>2584</v>
      </c>
      <c r="C1151" s="183" t="n">
        <v>10399</v>
      </c>
      <c r="D1151" s="181" t="s">
        <v>2066</v>
      </c>
      <c r="E1151" s="181" t="s">
        <v>354</v>
      </c>
      <c r="F1151" s="181" t="s">
        <v>355</v>
      </c>
      <c r="G1151" s="181" t="s">
        <v>3329</v>
      </c>
      <c r="H1151" s="181" t="s">
        <v>279</v>
      </c>
      <c r="I1151" s="181" t="s">
        <v>241</v>
      </c>
      <c r="J1151" s="184" t="n">
        <v>38940</v>
      </c>
      <c r="K1151" s="184" t="n">
        <v>14770</v>
      </c>
      <c r="L1151" s="185" t="n">
        <v>4</v>
      </c>
      <c r="M1151" s="184" t="n">
        <v>24170</v>
      </c>
      <c r="N1151" s="184" t="n">
        <v>23203.2</v>
      </c>
      <c r="O1151" s="186" t="s">
        <v>2733</v>
      </c>
      <c r="P1151" s="187" t="n">
        <v>45953</v>
      </c>
    </row>
    <row r="1152" customFormat="false" ht="51" hidden="false" customHeight="true" outlineLevel="0" collapsed="false">
      <c r="A1152" s="181" t="s">
        <v>2734</v>
      </c>
      <c r="B1152" s="182" t="n">
        <v>2587</v>
      </c>
      <c r="C1152" s="183" t="n">
        <v>10400</v>
      </c>
      <c r="D1152" s="181" t="s">
        <v>2066</v>
      </c>
      <c r="E1152" s="181" t="s">
        <v>359</v>
      </c>
      <c r="F1152" s="181" t="s">
        <v>360</v>
      </c>
      <c r="G1152" s="181" t="s">
        <v>3329</v>
      </c>
      <c r="H1152" s="181" t="s">
        <v>279</v>
      </c>
      <c r="I1152" s="181" t="s">
        <v>241</v>
      </c>
      <c r="J1152" s="184" t="n">
        <v>38070</v>
      </c>
      <c r="K1152" s="184" t="n">
        <v>15030</v>
      </c>
      <c r="L1152" s="185" t="n">
        <v>7</v>
      </c>
      <c r="M1152" s="184" t="n">
        <v>23040</v>
      </c>
      <c r="N1152" s="184" t="n">
        <v>21427.2</v>
      </c>
      <c r="O1152" s="186" t="s">
        <v>2735</v>
      </c>
      <c r="P1152" s="187" t="n">
        <v>45953</v>
      </c>
    </row>
    <row r="1153" customFormat="false" ht="51" hidden="false" customHeight="true" outlineLevel="0" collapsed="false">
      <c r="A1153" s="181" t="s">
        <v>2694</v>
      </c>
      <c r="B1153" s="182" t="n">
        <v>2590</v>
      </c>
      <c r="C1153" s="183" t="n">
        <v>9</v>
      </c>
      <c r="D1153" s="181" t="s">
        <v>2005</v>
      </c>
      <c r="E1153" s="181" t="s">
        <v>1027</v>
      </c>
      <c r="F1153" s="181" t="s">
        <v>1028</v>
      </c>
      <c r="G1153" s="181" t="s">
        <v>2049</v>
      </c>
      <c r="H1153" s="181" t="s">
        <v>158</v>
      </c>
      <c r="I1153" s="181" t="s">
        <v>240</v>
      </c>
      <c r="J1153" s="184" t="n">
        <v>39370</v>
      </c>
      <c r="K1153" s="184" t="n">
        <v>15070</v>
      </c>
      <c r="L1153" s="185" t="n">
        <v>24</v>
      </c>
      <c r="M1153" s="184" t="n">
        <v>24300</v>
      </c>
      <c r="N1153" s="184" t="n">
        <v>18468</v>
      </c>
      <c r="O1153" s="186" t="s">
        <v>2695</v>
      </c>
      <c r="P1153" s="187" t="n">
        <v>45953</v>
      </c>
    </row>
    <row r="1154" customFormat="false" ht="51" hidden="false" customHeight="true" outlineLevel="0" collapsed="false">
      <c r="A1154" s="181" t="s">
        <v>2696</v>
      </c>
      <c r="B1154" s="182" t="n">
        <v>2591</v>
      </c>
      <c r="C1154" s="183" t="n">
        <v>8</v>
      </c>
      <c r="D1154" s="181" t="s">
        <v>2005</v>
      </c>
      <c r="E1154" s="181" t="s">
        <v>1023</v>
      </c>
      <c r="F1154" s="181" t="s">
        <v>1024</v>
      </c>
      <c r="G1154" s="181" t="s">
        <v>2049</v>
      </c>
      <c r="H1154" s="181" t="s">
        <v>158</v>
      </c>
      <c r="I1154" s="181" t="s">
        <v>240</v>
      </c>
      <c r="J1154" s="184" t="n">
        <v>37650</v>
      </c>
      <c r="K1154" s="184" t="n">
        <v>14960</v>
      </c>
      <c r="L1154" s="185" t="n">
        <v>10</v>
      </c>
      <c r="M1154" s="184" t="n">
        <v>22690</v>
      </c>
      <c r="N1154" s="184" t="n">
        <v>20421</v>
      </c>
      <c r="O1154" s="186" t="s">
        <v>2697</v>
      </c>
      <c r="P1154" s="187" t="n">
        <v>45953</v>
      </c>
    </row>
    <row r="1155" customFormat="false" ht="51" hidden="false" customHeight="true" outlineLevel="0" collapsed="false">
      <c r="A1155" s="181" t="s">
        <v>2698</v>
      </c>
      <c r="B1155" s="182" t="n">
        <v>2592</v>
      </c>
      <c r="C1155" s="183" t="n">
        <v>10402</v>
      </c>
      <c r="D1155" s="181" t="s">
        <v>2066</v>
      </c>
      <c r="E1155" s="181" t="s">
        <v>277</v>
      </c>
      <c r="F1155" s="181" t="s">
        <v>278</v>
      </c>
      <c r="G1155" s="181" t="s">
        <v>3329</v>
      </c>
      <c r="H1155" s="181" t="s">
        <v>279</v>
      </c>
      <c r="I1155" s="181" t="s">
        <v>241</v>
      </c>
      <c r="J1155" s="184" t="n">
        <v>43410</v>
      </c>
      <c r="K1155" s="184" t="n">
        <v>15310</v>
      </c>
      <c r="L1155" s="185" t="n">
        <v>21</v>
      </c>
      <c r="M1155" s="184" t="n">
        <v>28100</v>
      </c>
      <c r="N1155" s="184" t="n">
        <v>22199</v>
      </c>
      <c r="O1155" s="186" t="s">
        <v>2699</v>
      </c>
      <c r="P1155" s="187" t="n">
        <v>45953</v>
      </c>
    </row>
    <row r="1156" customFormat="false" ht="51" hidden="false" customHeight="true" outlineLevel="0" collapsed="false">
      <c r="A1156" s="181" t="s">
        <v>2704</v>
      </c>
      <c r="B1156" s="182" t="n">
        <v>2593</v>
      </c>
      <c r="C1156" s="183" t="n">
        <v>10404</v>
      </c>
      <c r="D1156" s="181" t="s">
        <v>2066</v>
      </c>
      <c r="E1156" s="181" t="s">
        <v>439</v>
      </c>
      <c r="F1156" s="181" t="s">
        <v>440</v>
      </c>
      <c r="G1156" s="181" t="s">
        <v>3329</v>
      </c>
      <c r="H1156" s="181" t="s">
        <v>279</v>
      </c>
      <c r="I1156" s="181" t="s">
        <v>241</v>
      </c>
      <c r="J1156" s="184" t="n">
        <v>40070</v>
      </c>
      <c r="K1156" s="184" t="n">
        <v>16520</v>
      </c>
      <c r="L1156" s="185" t="n">
        <v>17</v>
      </c>
      <c r="M1156" s="184" t="n">
        <v>23550</v>
      </c>
      <c r="N1156" s="184" t="n">
        <v>19546.5</v>
      </c>
      <c r="O1156" s="186" t="s">
        <v>2705</v>
      </c>
      <c r="P1156" s="187" t="n">
        <v>45953</v>
      </c>
    </row>
    <row r="1157" customFormat="false" ht="51" hidden="false" customHeight="true" outlineLevel="0" collapsed="false">
      <c r="A1157" s="181" t="s">
        <v>2706</v>
      </c>
      <c r="B1157" s="182" t="n">
        <v>2594</v>
      </c>
      <c r="C1157" s="183" t="n">
        <v>10405</v>
      </c>
      <c r="D1157" s="181" t="s">
        <v>2066</v>
      </c>
      <c r="E1157" s="181" t="s">
        <v>431</v>
      </c>
      <c r="F1157" s="181" t="s">
        <v>432</v>
      </c>
      <c r="G1157" s="181" t="s">
        <v>3329</v>
      </c>
      <c r="H1157" s="181" t="s">
        <v>279</v>
      </c>
      <c r="I1157" s="181" t="s">
        <v>241</v>
      </c>
      <c r="J1157" s="184" t="n">
        <v>39890</v>
      </c>
      <c r="K1157" s="184" t="n">
        <v>16580</v>
      </c>
      <c r="L1157" s="185" t="n">
        <v>23</v>
      </c>
      <c r="M1157" s="184" t="n">
        <v>23310</v>
      </c>
      <c r="N1157" s="184" t="n">
        <v>17948.7</v>
      </c>
      <c r="O1157" s="186" t="s">
        <v>2707</v>
      </c>
      <c r="P1157" s="187" t="n">
        <v>45953</v>
      </c>
    </row>
    <row r="1158" customFormat="false" ht="51" hidden="false" customHeight="true" outlineLevel="0" collapsed="false">
      <c r="A1158" s="181" t="s">
        <v>2712</v>
      </c>
      <c r="B1158" s="182" t="n">
        <v>2595</v>
      </c>
      <c r="C1158" s="183" t="n">
        <v>98</v>
      </c>
      <c r="D1158" s="181" t="s">
        <v>2401</v>
      </c>
      <c r="E1158" s="181" t="s">
        <v>435</v>
      </c>
      <c r="F1158" s="181" t="s">
        <v>436</v>
      </c>
      <c r="G1158" s="181" t="s">
        <v>144</v>
      </c>
      <c r="H1158" s="181" t="s">
        <v>279</v>
      </c>
      <c r="I1158" s="181" t="s">
        <v>242</v>
      </c>
      <c r="J1158" s="184" t="n">
        <v>42440</v>
      </c>
      <c r="K1158" s="184" t="n">
        <v>16580</v>
      </c>
      <c r="L1158" s="185" t="n">
        <v>9</v>
      </c>
      <c r="M1158" s="184" t="n">
        <v>25860</v>
      </c>
      <c r="N1158" s="184" t="n">
        <v>23532.6</v>
      </c>
      <c r="O1158" s="186" t="s">
        <v>2713</v>
      </c>
      <c r="P1158" s="187" t="n">
        <v>45953</v>
      </c>
    </row>
    <row r="1159" customFormat="false" ht="51" hidden="false" customHeight="true" outlineLevel="0" collapsed="false">
      <c r="A1159" s="181" t="s">
        <v>2714</v>
      </c>
      <c r="B1159" s="182" t="n">
        <v>2596</v>
      </c>
      <c r="C1159" s="183" t="n">
        <v>101</v>
      </c>
      <c r="D1159" s="181" t="s">
        <v>2401</v>
      </c>
      <c r="E1159" s="181" t="s">
        <v>373</v>
      </c>
      <c r="F1159" s="181" t="s">
        <v>374</v>
      </c>
      <c r="G1159" s="181" t="s">
        <v>2715</v>
      </c>
      <c r="H1159" s="181" t="s">
        <v>279</v>
      </c>
      <c r="I1159" s="181" t="s">
        <v>242</v>
      </c>
      <c r="J1159" s="184" t="n">
        <v>41720</v>
      </c>
      <c r="K1159" s="184" t="n">
        <v>14690</v>
      </c>
      <c r="L1159" s="185" t="n">
        <v>20</v>
      </c>
      <c r="M1159" s="184" t="n">
        <v>27030</v>
      </c>
      <c r="N1159" s="184" t="n">
        <v>21624</v>
      </c>
      <c r="O1159" s="186" t="s">
        <v>2716</v>
      </c>
      <c r="P1159" s="187" t="n">
        <v>45953</v>
      </c>
    </row>
    <row r="1160" customFormat="false" ht="51" hidden="false" customHeight="true" outlineLevel="0" collapsed="false">
      <c r="A1160" s="181" t="s">
        <v>2717</v>
      </c>
      <c r="B1160" s="182" t="n">
        <v>2597</v>
      </c>
      <c r="C1160" s="183" t="n">
        <v>10406</v>
      </c>
      <c r="D1160" s="181" t="s">
        <v>2066</v>
      </c>
      <c r="E1160" s="181" t="s">
        <v>413</v>
      </c>
      <c r="F1160" s="181" t="s">
        <v>414</v>
      </c>
      <c r="G1160" s="181" t="s">
        <v>3329</v>
      </c>
      <c r="H1160" s="181" t="s">
        <v>279</v>
      </c>
      <c r="I1160" s="181" t="s">
        <v>241</v>
      </c>
      <c r="J1160" s="184" t="n">
        <v>47500</v>
      </c>
      <c r="K1160" s="184" t="n">
        <v>15870</v>
      </c>
      <c r="L1160" s="185" t="n">
        <v>12</v>
      </c>
      <c r="M1160" s="184" t="n">
        <v>31630</v>
      </c>
      <c r="N1160" s="184" t="n">
        <v>27834.4</v>
      </c>
      <c r="O1160" s="186" t="s">
        <v>2718</v>
      </c>
      <c r="P1160" s="187" t="n">
        <v>45953</v>
      </c>
    </row>
    <row r="1161" customFormat="false" ht="51" hidden="false" customHeight="true" outlineLevel="0" collapsed="false">
      <c r="A1161" s="181" t="s">
        <v>2719</v>
      </c>
      <c r="B1161" s="182" t="n">
        <v>2599</v>
      </c>
      <c r="C1161" s="183" t="n">
        <v>10422</v>
      </c>
      <c r="D1161" s="181" t="s">
        <v>2066</v>
      </c>
      <c r="E1161" s="181" t="s">
        <v>549</v>
      </c>
      <c r="F1161" s="181" t="s">
        <v>550</v>
      </c>
      <c r="G1161" s="181" t="s">
        <v>3329</v>
      </c>
      <c r="H1161" s="181" t="s">
        <v>279</v>
      </c>
      <c r="I1161" s="181" t="s">
        <v>241</v>
      </c>
      <c r="J1161" s="184" t="n">
        <v>42510</v>
      </c>
      <c r="K1161" s="184" t="n">
        <v>15760</v>
      </c>
      <c r="L1161" s="185" t="n">
        <v>6</v>
      </c>
      <c r="M1161" s="184" t="n">
        <v>26750</v>
      </c>
      <c r="N1161" s="184" t="n">
        <v>25145</v>
      </c>
      <c r="O1161" s="186" t="s">
        <v>2720</v>
      </c>
      <c r="P1161" s="187" t="n">
        <v>45953</v>
      </c>
    </row>
    <row r="1162" customFormat="false" ht="51" hidden="false" customHeight="true" outlineLevel="0" collapsed="false">
      <c r="A1162" s="181" t="s">
        <v>2690</v>
      </c>
      <c r="B1162" s="182" t="n">
        <v>2589</v>
      </c>
      <c r="C1162" s="183" t="n">
        <v>7</v>
      </c>
      <c r="D1162" s="181" t="s">
        <v>2005</v>
      </c>
      <c r="E1162" s="181" t="s">
        <v>1019</v>
      </c>
      <c r="F1162" s="181" t="s">
        <v>1020</v>
      </c>
      <c r="G1162" s="181" t="s">
        <v>2049</v>
      </c>
      <c r="H1162" s="181" t="s">
        <v>279</v>
      </c>
      <c r="I1162" s="181" t="s">
        <v>240</v>
      </c>
      <c r="J1162" s="184" t="n">
        <v>43490</v>
      </c>
      <c r="K1162" s="184" t="n">
        <v>17250</v>
      </c>
      <c r="L1162" s="185" t="n">
        <v>5</v>
      </c>
      <c r="M1162" s="184" t="n">
        <v>26240</v>
      </c>
      <c r="N1162" s="184" t="n">
        <v>24928</v>
      </c>
      <c r="O1162" s="186" t="s">
        <v>2691</v>
      </c>
      <c r="P1162" s="187" t="n">
        <v>45953</v>
      </c>
    </row>
    <row r="1163" customFormat="false" ht="51" hidden="false" customHeight="true" outlineLevel="0" collapsed="false">
      <c r="A1163" s="181" t="s">
        <v>2721</v>
      </c>
      <c r="B1163" s="182" t="n">
        <v>2600</v>
      </c>
      <c r="C1163" s="183" t="n">
        <v>99</v>
      </c>
      <c r="D1163" s="181" t="s">
        <v>2401</v>
      </c>
      <c r="E1163" s="181" t="s">
        <v>533</v>
      </c>
      <c r="F1163" s="181" t="s">
        <v>534</v>
      </c>
      <c r="G1163" s="181" t="s">
        <v>2402</v>
      </c>
      <c r="H1163" s="181" t="s">
        <v>279</v>
      </c>
      <c r="I1163" s="181" t="s">
        <v>242</v>
      </c>
      <c r="J1163" s="184" t="n">
        <v>39310</v>
      </c>
      <c r="K1163" s="184" t="n">
        <v>14640</v>
      </c>
      <c r="L1163" s="185" t="n">
        <v>13</v>
      </c>
      <c r="M1163" s="184" t="n">
        <v>24670</v>
      </c>
      <c r="N1163" s="184" t="n">
        <v>21462.9</v>
      </c>
      <c r="O1163" s="186" t="s">
        <v>2722</v>
      </c>
      <c r="P1163" s="187" t="n">
        <v>45953</v>
      </c>
    </row>
    <row r="1164" customFormat="false" ht="51" hidden="false" customHeight="true" outlineLevel="0" collapsed="false">
      <c r="A1164" s="181" t="s">
        <v>2723</v>
      </c>
      <c r="B1164" s="182" t="n">
        <v>2601</v>
      </c>
      <c r="C1164" s="183" t="n">
        <v>10429</v>
      </c>
      <c r="D1164" s="181" t="s">
        <v>2066</v>
      </c>
      <c r="E1164" s="181" t="s">
        <v>545</v>
      </c>
      <c r="F1164" s="181" t="s">
        <v>546</v>
      </c>
      <c r="G1164" s="181" t="s">
        <v>3329</v>
      </c>
      <c r="H1164" s="181" t="s">
        <v>279</v>
      </c>
      <c r="I1164" s="181" t="s">
        <v>241</v>
      </c>
      <c r="J1164" s="184" t="n">
        <v>42490</v>
      </c>
      <c r="K1164" s="184" t="n">
        <v>16080</v>
      </c>
      <c r="L1164" s="185" t="n">
        <v>9</v>
      </c>
      <c r="M1164" s="184" t="n">
        <v>26410</v>
      </c>
      <c r="N1164" s="184" t="n">
        <v>24033.1</v>
      </c>
      <c r="O1164" s="186" t="s">
        <v>2724</v>
      </c>
      <c r="P1164" s="187" t="n">
        <v>45953</v>
      </c>
    </row>
    <row r="1165" customFormat="false" ht="51" hidden="false" customHeight="true" outlineLevel="0" collapsed="false">
      <c r="A1165" s="181" t="s">
        <v>2725</v>
      </c>
      <c r="B1165" s="182" t="n">
        <v>2603</v>
      </c>
      <c r="C1165" s="183" t="n">
        <v>10424</v>
      </c>
      <c r="D1165" s="181" t="s">
        <v>2066</v>
      </c>
      <c r="E1165" s="181" t="s">
        <v>541</v>
      </c>
      <c r="F1165" s="181" t="s">
        <v>542</v>
      </c>
      <c r="G1165" s="181" t="s">
        <v>3329</v>
      </c>
      <c r="H1165" s="181" t="s">
        <v>279</v>
      </c>
      <c r="I1165" s="181" t="s">
        <v>241</v>
      </c>
      <c r="J1165" s="184" t="n">
        <v>40770</v>
      </c>
      <c r="K1165" s="184" t="n">
        <v>14910</v>
      </c>
      <c r="L1165" s="185" t="n">
        <v>22</v>
      </c>
      <c r="M1165" s="184" t="n">
        <v>25860</v>
      </c>
      <c r="N1165" s="184" t="n">
        <v>20170.8</v>
      </c>
      <c r="O1165" s="186" t="s">
        <v>2726</v>
      </c>
      <c r="P1165" s="187" t="n">
        <v>45953</v>
      </c>
    </row>
    <row r="1166" customFormat="false" ht="51" hidden="false" customHeight="true" outlineLevel="0" collapsed="false">
      <c r="A1166" s="181" t="s">
        <v>2727</v>
      </c>
      <c r="B1166" s="182" t="n">
        <v>2604</v>
      </c>
      <c r="C1166" s="183" t="n">
        <v>100</v>
      </c>
      <c r="D1166" s="181" t="s">
        <v>2401</v>
      </c>
      <c r="E1166" s="181" t="s">
        <v>537</v>
      </c>
      <c r="F1166" s="181" t="s">
        <v>538</v>
      </c>
      <c r="G1166" s="181" t="s">
        <v>2728</v>
      </c>
      <c r="H1166" s="181" t="s">
        <v>279</v>
      </c>
      <c r="I1166" s="181" t="s">
        <v>242</v>
      </c>
      <c r="J1166" s="184" t="n">
        <v>35540</v>
      </c>
      <c r="K1166" s="184" t="n">
        <v>13860</v>
      </c>
      <c r="L1166" s="185" t="n">
        <v>18</v>
      </c>
      <c r="M1166" s="184" t="n">
        <v>21680</v>
      </c>
      <c r="N1166" s="184" t="n">
        <v>17777.6</v>
      </c>
      <c r="O1166" s="186" t="s">
        <v>2729</v>
      </c>
      <c r="P1166" s="187" t="n">
        <v>45953</v>
      </c>
    </row>
    <row r="1167" customFormat="false" ht="51" hidden="false" customHeight="true" outlineLevel="0" collapsed="false">
      <c r="A1167" s="181" t="s">
        <v>2730</v>
      </c>
      <c r="B1167" s="182" t="n">
        <v>2605</v>
      </c>
      <c r="C1167" s="183" t="n">
        <v>10592</v>
      </c>
      <c r="D1167" s="181" t="s">
        <v>2066</v>
      </c>
      <c r="E1167" s="181" t="s">
        <v>282</v>
      </c>
      <c r="F1167" s="181" t="s">
        <v>283</v>
      </c>
      <c r="G1167" s="181" t="s">
        <v>3329</v>
      </c>
      <c r="H1167" s="181" t="s">
        <v>279</v>
      </c>
      <c r="I1167" s="181" t="s">
        <v>241</v>
      </c>
      <c r="J1167" s="184" t="n">
        <v>40040</v>
      </c>
      <c r="K1167" s="184" t="n">
        <v>15100</v>
      </c>
      <c r="L1167" s="185" t="n">
        <v>12</v>
      </c>
      <c r="M1167" s="184" t="n">
        <v>24940</v>
      </c>
      <c r="N1167" s="184" t="n">
        <v>21947.2</v>
      </c>
      <c r="O1167" s="186" t="s">
        <v>2731</v>
      </c>
      <c r="P1167" s="187" t="n">
        <v>45953</v>
      </c>
    </row>
    <row r="1168" customFormat="false" ht="51" hidden="false" customHeight="true" outlineLevel="0" collapsed="false">
      <c r="A1168" s="181" t="s">
        <v>2736</v>
      </c>
      <c r="B1168" s="182" t="n">
        <v>2606</v>
      </c>
      <c r="C1168" s="183" t="n">
        <v>10643</v>
      </c>
      <c r="D1168" s="181" t="s">
        <v>2066</v>
      </c>
      <c r="E1168" s="181" t="s">
        <v>266</v>
      </c>
      <c r="F1168" s="181" t="s">
        <v>267</v>
      </c>
      <c r="G1168" s="181" t="s">
        <v>3329</v>
      </c>
      <c r="H1168" s="181" t="s">
        <v>279</v>
      </c>
      <c r="I1168" s="181" t="s">
        <v>241</v>
      </c>
      <c r="J1168" s="184" t="n">
        <v>39190</v>
      </c>
      <c r="K1168" s="184" t="n">
        <v>15080</v>
      </c>
      <c r="L1168" s="185" t="n">
        <v>26</v>
      </c>
      <c r="M1168" s="184" t="n">
        <v>24110</v>
      </c>
      <c r="N1168" s="184" t="n">
        <v>17841.4</v>
      </c>
      <c r="O1168" s="186" t="s">
        <v>2737</v>
      </c>
      <c r="P1168" s="187" t="n">
        <v>45954</v>
      </c>
    </row>
    <row r="1169" customFormat="false" ht="51" hidden="false" customHeight="true" outlineLevel="0" collapsed="false">
      <c r="A1169" s="181" t="s">
        <v>2738</v>
      </c>
      <c r="B1169" s="182" t="n">
        <v>2607</v>
      </c>
      <c r="C1169" s="183" t="n">
        <v>10653</v>
      </c>
      <c r="D1169" s="181" t="s">
        <v>2066</v>
      </c>
      <c r="E1169" s="181" t="s">
        <v>399</v>
      </c>
      <c r="F1169" s="181" t="s">
        <v>400</v>
      </c>
      <c r="G1169" s="181" t="s">
        <v>3329</v>
      </c>
      <c r="H1169" s="181" t="s">
        <v>279</v>
      </c>
      <c r="I1169" s="181" t="s">
        <v>241</v>
      </c>
      <c r="J1169" s="184" t="n">
        <v>35510</v>
      </c>
      <c r="K1169" s="184" t="n">
        <v>19560</v>
      </c>
      <c r="L1169" s="185" t="n">
        <v>16</v>
      </c>
      <c r="M1169" s="184" t="n">
        <v>15950</v>
      </c>
      <c r="N1169" s="184" t="n">
        <v>13398</v>
      </c>
      <c r="O1169" s="186" t="s">
        <v>2739</v>
      </c>
      <c r="P1169" s="187" t="n">
        <v>45954</v>
      </c>
    </row>
    <row r="1170" customFormat="false" ht="51" hidden="false" customHeight="true" outlineLevel="0" collapsed="false">
      <c r="A1170" s="181" t="s">
        <v>2740</v>
      </c>
      <c r="B1170" s="182" t="n">
        <v>2613</v>
      </c>
      <c r="C1170" s="183" t="n">
        <v>10630</v>
      </c>
      <c r="D1170" s="181" t="s">
        <v>2066</v>
      </c>
      <c r="E1170" s="181" t="s">
        <v>1510</v>
      </c>
      <c r="F1170" s="181" t="s">
        <v>1511</v>
      </c>
      <c r="G1170" s="181" t="s">
        <v>3334</v>
      </c>
      <c r="H1170" s="181" t="s">
        <v>158</v>
      </c>
      <c r="I1170" s="181" t="s">
        <v>241</v>
      </c>
      <c r="J1170" s="184" t="n">
        <v>25770</v>
      </c>
      <c r="K1170" s="184" t="n">
        <v>14250</v>
      </c>
      <c r="L1170" s="185" t="n">
        <v>24</v>
      </c>
      <c r="M1170" s="184" t="n">
        <v>11520</v>
      </c>
      <c r="N1170" s="184" t="n">
        <v>8755.2</v>
      </c>
      <c r="O1170" s="186" t="s">
        <v>2741</v>
      </c>
      <c r="P1170" s="187" t="n">
        <v>45954</v>
      </c>
    </row>
    <row r="1171" customFormat="false" ht="51" hidden="false" customHeight="true" outlineLevel="0" collapsed="false">
      <c r="A1171" s="181" t="s">
        <v>2742</v>
      </c>
      <c r="B1171" s="182" t="n">
        <v>2614</v>
      </c>
      <c r="C1171" s="183" t="n">
        <v>104</v>
      </c>
      <c r="D1171" s="181" t="s">
        <v>2401</v>
      </c>
      <c r="E1171" s="181" t="s">
        <v>261</v>
      </c>
      <c r="F1171" s="181" t="s">
        <v>262</v>
      </c>
      <c r="G1171" s="181" t="s">
        <v>144</v>
      </c>
      <c r="H1171" s="181" t="s">
        <v>279</v>
      </c>
      <c r="I1171" s="181" t="s">
        <v>242</v>
      </c>
      <c r="J1171" s="184" t="n">
        <v>39360</v>
      </c>
      <c r="K1171" s="184" t="n">
        <v>15280</v>
      </c>
      <c r="L1171" s="185" t="n">
        <v>6</v>
      </c>
      <c r="M1171" s="184" t="n">
        <v>24080</v>
      </c>
      <c r="N1171" s="184" t="n">
        <v>22635.2</v>
      </c>
      <c r="O1171" s="186" t="s">
        <v>2743</v>
      </c>
      <c r="P1171" s="187" t="n">
        <v>45954</v>
      </c>
    </row>
    <row r="1172" customFormat="false" ht="51" hidden="false" customHeight="true" outlineLevel="0" collapsed="false">
      <c r="A1172" s="181" t="s">
        <v>2744</v>
      </c>
      <c r="B1172" s="182" t="n">
        <v>2615</v>
      </c>
      <c r="C1172" s="183" t="n">
        <v>107</v>
      </c>
      <c r="D1172" s="181" t="s">
        <v>2401</v>
      </c>
      <c r="E1172" s="181" t="s">
        <v>304</v>
      </c>
      <c r="F1172" s="181" t="s">
        <v>305</v>
      </c>
      <c r="G1172" s="181" t="s">
        <v>144</v>
      </c>
      <c r="H1172" s="181" t="s">
        <v>279</v>
      </c>
      <c r="I1172" s="181" t="s">
        <v>242</v>
      </c>
      <c r="J1172" s="184" t="n">
        <v>39860</v>
      </c>
      <c r="K1172" s="184" t="n">
        <v>15190</v>
      </c>
      <c r="L1172" s="185" t="n">
        <v>7</v>
      </c>
      <c r="M1172" s="184" t="n">
        <v>24670</v>
      </c>
      <c r="N1172" s="184" t="n">
        <v>22943.1</v>
      </c>
      <c r="O1172" s="186" t="s">
        <v>2745</v>
      </c>
      <c r="P1172" s="187" t="n">
        <v>45954</v>
      </c>
    </row>
    <row r="1173" customFormat="false" ht="51" hidden="false" customHeight="true" outlineLevel="0" collapsed="false">
      <c r="A1173" s="181" t="s">
        <v>2746</v>
      </c>
      <c r="B1173" s="182" t="n">
        <v>2617</v>
      </c>
      <c r="C1173" s="183" t="n">
        <v>105</v>
      </c>
      <c r="D1173" s="181" t="s">
        <v>2401</v>
      </c>
      <c r="E1173" s="181" t="s">
        <v>391</v>
      </c>
      <c r="F1173" s="181" t="s">
        <v>392</v>
      </c>
      <c r="G1173" s="181" t="s">
        <v>144</v>
      </c>
      <c r="H1173" s="181" t="s">
        <v>279</v>
      </c>
      <c r="I1173" s="181" t="s">
        <v>242</v>
      </c>
      <c r="J1173" s="184" t="n">
        <v>35770</v>
      </c>
      <c r="K1173" s="184" t="n">
        <v>14630</v>
      </c>
      <c r="L1173" s="185" t="n">
        <v>7</v>
      </c>
      <c r="M1173" s="184" t="n">
        <v>21140</v>
      </c>
      <c r="N1173" s="184" t="n">
        <v>19660.2</v>
      </c>
      <c r="O1173" s="186" t="s">
        <v>2747</v>
      </c>
      <c r="P1173" s="187" t="n">
        <v>45954</v>
      </c>
    </row>
    <row r="1174" customFormat="false" ht="51" hidden="false" customHeight="true" outlineLevel="0" collapsed="false">
      <c r="A1174" s="181" t="s">
        <v>2748</v>
      </c>
      <c r="B1174" s="182" t="n">
        <v>2618</v>
      </c>
      <c r="C1174" s="183" t="n">
        <v>102</v>
      </c>
      <c r="D1174" s="181" t="s">
        <v>2401</v>
      </c>
      <c r="E1174" s="181" t="s">
        <v>377</v>
      </c>
      <c r="F1174" s="181" t="s">
        <v>378</v>
      </c>
      <c r="G1174" s="181" t="s">
        <v>144</v>
      </c>
      <c r="H1174" s="181" t="s">
        <v>279</v>
      </c>
      <c r="I1174" s="181" t="s">
        <v>242</v>
      </c>
      <c r="J1174" s="184" t="n">
        <v>47420</v>
      </c>
      <c r="K1174" s="184" t="n">
        <v>15920</v>
      </c>
      <c r="L1174" s="185" t="n">
        <v>7</v>
      </c>
      <c r="M1174" s="184" t="n">
        <v>31500</v>
      </c>
      <c r="N1174" s="184" t="n">
        <v>29295</v>
      </c>
      <c r="O1174" s="186" t="s">
        <v>2749</v>
      </c>
      <c r="P1174" s="187" t="n">
        <v>45954</v>
      </c>
    </row>
    <row r="1175" customFormat="false" ht="51" hidden="false" customHeight="true" outlineLevel="0" collapsed="false">
      <c r="A1175" s="181" t="s">
        <v>2752</v>
      </c>
      <c r="B1175" s="182" t="n">
        <v>2620</v>
      </c>
      <c r="C1175" s="183" t="n">
        <v>109</v>
      </c>
      <c r="D1175" s="181" t="s">
        <v>2401</v>
      </c>
      <c r="E1175" s="181" t="s">
        <v>383</v>
      </c>
      <c r="F1175" s="181" t="s">
        <v>384</v>
      </c>
      <c r="G1175" s="181" t="s">
        <v>144</v>
      </c>
      <c r="H1175" s="181" t="s">
        <v>279</v>
      </c>
      <c r="I1175" s="181" t="s">
        <v>242</v>
      </c>
      <c r="J1175" s="184" t="n">
        <v>42450</v>
      </c>
      <c r="K1175" s="184" t="n">
        <v>15120</v>
      </c>
      <c r="L1175" s="185" t="n">
        <v>8</v>
      </c>
      <c r="M1175" s="184" t="n">
        <v>27330</v>
      </c>
      <c r="N1175" s="184" t="n">
        <v>25143.6</v>
      </c>
      <c r="O1175" s="186" t="s">
        <v>2753</v>
      </c>
      <c r="P1175" s="187" t="n">
        <v>45954</v>
      </c>
    </row>
    <row r="1176" customFormat="false" ht="51" hidden="false" customHeight="true" outlineLevel="0" collapsed="false">
      <c r="A1176" s="181" t="s">
        <v>2758</v>
      </c>
      <c r="B1176" s="182" t="n">
        <v>2621</v>
      </c>
      <c r="C1176" s="183" t="n">
        <v>108</v>
      </c>
      <c r="D1176" s="181" t="s">
        <v>2401</v>
      </c>
      <c r="E1176" s="181" t="s">
        <v>435</v>
      </c>
      <c r="F1176" s="181" t="s">
        <v>436</v>
      </c>
      <c r="G1176" s="181" t="s">
        <v>144</v>
      </c>
      <c r="H1176" s="181" t="s">
        <v>279</v>
      </c>
      <c r="I1176" s="181" t="s">
        <v>242</v>
      </c>
      <c r="J1176" s="184" t="n">
        <v>42930</v>
      </c>
      <c r="K1176" s="184" t="n">
        <v>16560</v>
      </c>
      <c r="L1176" s="185" t="n">
        <v>9</v>
      </c>
      <c r="M1176" s="184" t="n">
        <v>26370</v>
      </c>
      <c r="N1176" s="184" t="n">
        <v>23996.7</v>
      </c>
      <c r="O1176" s="186" t="s">
        <v>2759</v>
      </c>
      <c r="P1176" s="187" t="n">
        <v>45954</v>
      </c>
    </row>
    <row r="1177" customFormat="false" ht="51" hidden="false" customHeight="true" outlineLevel="0" collapsed="false">
      <c r="A1177" s="181" t="s">
        <v>2750</v>
      </c>
      <c r="B1177" s="182" t="n">
        <v>2623</v>
      </c>
      <c r="C1177" s="183" t="n">
        <v>110</v>
      </c>
      <c r="D1177" s="181" t="s">
        <v>2401</v>
      </c>
      <c r="E1177" s="181" t="s">
        <v>387</v>
      </c>
      <c r="F1177" s="181" t="s">
        <v>388</v>
      </c>
      <c r="G1177" s="181" t="s">
        <v>144</v>
      </c>
      <c r="H1177" s="181" t="s">
        <v>279</v>
      </c>
      <c r="I1177" s="181" t="s">
        <v>242</v>
      </c>
      <c r="J1177" s="184" t="n">
        <v>43580</v>
      </c>
      <c r="K1177" s="184" t="n">
        <v>15320</v>
      </c>
      <c r="L1177" s="185" t="n">
        <v>5</v>
      </c>
      <c r="M1177" s="184" t="n">
        <v>28260</v>
      </c>
      <c r="N1177" s="184" t="n">
        <v>26847</v>
      </c>
      <c r="O1177" s="186" t="s">
        <v>2751</v>
      </c>
      <c r="P1177" s="187" t="n">
        <v>45954</v>
      </c>
    </row>
    <row r="1178" customFormat="false" ht="51" hidden="false" customHeight="true" outlineLevel="0" collapsed="false">
      <c r="A1178" s="181" t="s">
        <v>2754</v>
      </c>
      <c r="B1178" s="182" t="n">
        <v>2624</v>
      </c>
      <c r="C1178" s="183" t="n">
        <v>111</v>
      </c>
      <c r="D1178" s="181" t="s">
        <v>2401</v>
      </c>
      <c r="E1178" s="181" t="s">
        <v>350</v>
      </c>
      <c r="F1178" s="181" t="s">
        <v>351</v>
      </c>
      <c r="G1178" s="181" t="s">
        <v>144</v>
      </c>
      <c r="H1178" s="181" t="s">
        <v>279</v>
      </c>
      <c r="I1178" s="181" t="s">
        <v>242</v>
      </c>
      <c r="J1178" s="184" t="n">
        <v>45360</v>
      </c>
      <c r="K1178" s="184" t="n">
        <v>15180</v>
      </c>
      <c r="L1178" s="185" t="n">
        <v>6</v>
      </c>
      <c r="M1178" s="184" t="n">
        <v>30180</v>
      </c>
      <c r="N1178" s="184" t="n">
        <v>28369.2</v>
      </c>
      <c r="O1178" s="186" t="s">
        <v>2755</v>
      </c>
      <c r="P1178" s="187" t="n">
        <v>45954</v>
      </c>
    </row>
    <row r="1179" customFormat="false" ht="51" hidden="false" customHeight="true" outlineLevel="0" collapsed="false">
      <c r="A1179" s="181" t="s">
        <v>2756</v>
      </c>
      <c r="B1179" s="182" t="n">
        <v>2625</v>
      </c>
      <c r="C1179" s="183" t="n">
        <v>106</v>
      </c>
      <c r="D1179" s="181" t="s">
        <v>2401</v>
      </c>
      <c r="E1179" s="181" t="s">
        <v>308</v>
      </c>
      <c r="F1179" s="181" t="s">
        <v>309</v>
      </c>
      <c r="G1179" s="181" t="s">
        <v>144</v>
      </c>
      <c r="H1179" s="181" t="s">
        <v>279</v>
      </c>
      <c r="I1179" s="181" t="s">
        <v>242</v>
      </c>
      <c r="J1179" s="184" t="n">
        <v>65370</v>
      </c>
      <c r="K1179" s="184" t="n">
        <v>24190</v>
      </c>
      <c r="L1179" s="185" t="n">
        <v>10</v>
      </c>
      <c r="M1179" s="184" t="n">
        <v>41180</v>
      </c>
      <c r="N1179" s="184" t="n">
        <v>37062</v>
      </c>
      <c r="O1179" s="186" t="s">
        <v>2757</v>
      </c>
      <c r="P1179" s="187" t="n">
        <v>45954</v>
      </c>
    </row>
    <row r="1180" customFormat="false" ht="51" hidden="false" customHeight="true" outlineLevel="0" collapsed="false">
      <c r="A1180" s="181" t="s">
        <v>2760</v>
      </c>
      <c r="B1180" s="182" t="n">
        <v>2626</v>
      </c>
      <c r="C1180" s="183" t="n">
        <v>112</v>
      </c>
      <c r="D1180" s="181" t="s">
        <v>2401</v>
      </c>
      <c r="E1180" s="181" t="s">
        <v>373</v>
      </c>
      <c r="F1180" s="181" t="s">
        <v>374</v>
      </c>
      <c r="G1180" s="181" t="s">
        <v>144</v>
      </c>
      <c r="H1180" s="181" t="s">
        <v>279</v>
      </c>
      <c r="I1180" s="181" t="s">
        <v>242</v>
      </c>
      <c r="J1180" s="184" t="n">
        <v>43030</v>
      </c>
      <c r="K1180" s="184" t="n">
        <v>14520</v>
      </c>
      <c r="L1180" s="185" t="n">
        <v>13</v>
      </c>
      <c r="M1180" s="184" t="n">
        <v>28510</v>
      </c>
      <c r="N1180" s="184" t="n">
        <v>24803.7</v>
      </c>
      <c r="O1180" s="186" t="s">
        <v>2761</v>
      </c>
      <c r="P1180" s="187" t="n">
        <v>45954</v>
      </c>
    </row>
    <row r="1181" customFormat="false" ht="51" hidden="false" customHeight="true" outlineLevel="0" collapsed="false">
      <c r="A1181" s="181" t="s">
        <v>2762</v>
      </c>
      <c r="B1181" s="182" t="n">
        <v>2629</v>
      </c>
      <c r="C1181" s="183" t="n">
        <v>115</v>
      </c>
      <c r="D1181" s="181" t="s">
        <v>2401</v>
      </c>
      <c r="E1181" s="181" t="s">
        <v>354</v>
      </c>
      <c r="F1181" s="181" t="s">
        <v>355</v>
      </c>
      <c r="G1181" s="181" t="s">
        <v>144</v>
      </c>
      <c r="H1181" s="181" t="s">
        <v>279</v>
      </c>
      <c r="I1181" s="181" t="s">
        <v>242</v>
      </c>
      <c r="J1181" s="184" t="n">
        <v>39760</v>
      </c>
      <c r="K1181" s="184" t="n">
        <v>14960</v>
      </c>
      <c r="L1181" s="185" t="n">
        <v>8</v>
      </c>
      <c r="M1181" s="184" t="n">
        <v>24800</v>
      </c>
      <c r="N1181" s="184" t="n">
        <v>22816</v>
      </c>
      <c r="O1181" s="186" t="s">
        <v>2763</v>
      </c>
      <c r="P1181" s="187" t="n">
        <v>45955</v>
      </c>
    </row>
    <row r="1182" customFormat="false" ht="51" hidden="false" customHeight="true" outlineLevel="0" collapsed="false">
      <c r="A1182" s="181" t="s">
        <v>2764</v>
      </c>
      <c r="B1182" s="182" t="n">
        <v>2630</v>
      </c>
      <c r="C1182" s="183" t="n">
        <v>114</v>
      </c>
      <c r="D1182" s="181" t="s">
        <v>2401</v>
      </c>
      <c r="E1182" s="181" t="s">
        <v>413</v>
      </c>
      <c r="F1182" s="181" t="s">
        <v>414</v>
      </c>
      <c r="G1182" s="181" t="s">
        <v>144</v>
      </c>
      <c r="H1182" s="181" t="s">
        <v>279</v>
      </c>
      <c r="I1182" s="181" t="s">
        <v>242</v>
      </c>
      <c r="J1182" s="184" t="n">
        <v>48380</v>
      </c>
      <c r="K1182" s="184" t="n">
        <v>16100</v>
      </c>
      <c r="L1182" s="185" t="n">
        <v>5</v>
      </c>
      <c r="M1182" s="184" t="n">
        <v>32280</v>
      </c>
      <c r="N1182" s="184" t="n">
        <v>30666</v>
      </c>
      <c r="O1182" s="186" t="s">
        <v>2765</v>
      </c>
      <c r="P1182" s="187" t="n">
        <v>45955</v>
      </c>
    </row>
    <row r="1183" customFormat="false" ht="51" hidden="false" customHeight="true" outlineLevel="0" collapsed="false">
      <c r="A1183" s="181" t="s">
        <v>2766</v>
      </c>
      <c r="B1183" s="182" t="n">
        <v>2631</v>
      </c>
      <c r="C1183" s="183" t="n">
        <v>103</v>
      </c>
      <c r="D1183" s="181" t="s">
        <v>2401</v>
      </c>
      <c r="E1183" s="181" t="s">
        <v>300</v>
      </c>
      <c r="F1183" s="181" t="s">
        <v>301</v>
      </c>
      <c r="G1183" s="181" t="s">
        <v>144</v>
      </c>
      <c r="H1183" s="181" t="s">
        <v>279</v>
      </c>
      <c r="I1183" s="181" t="s">
        <v>242</v>
      </c>
      <c r="J1183" s="184" t="n">
        <v>65510</v>
      </c>
      <c r="K1183" s="184" t="n">
        <v>21340</v>
      </c>
      <c r="L1183" s="185" t="n">
        <v>9</v>
      </c>
      <c r="M1183" s="184" t="n">
        <v>44170</v>
      </c>
      <c r="N1183" s="184" t="n">
        <v>40194.7</v>
      </c>
      <c r="O1183" s="186" t="s">
        <v>2767</v>
      </c>
      <c r="P1183" s="187" t="n">
        <v>45955</v>
      </c>
    </row>
    <row r="1184" customFormat="false" ht="51" hidden="false" customHeight="true" outlineLevel="0" collapsed="false">
      <c r="A1184" s="181" t="s">
        <v>2768</v>
      </c>
      <c r="B1184" s="182" t="n">
        <v>2632</v>
      </c>
      <c r="C1184" s="183" t="n">
        <v>116</v>
      </c>
      <c r="D1184" s="181" t="s">
        <v>2401</v>
      </c>
      <c r="E1184" s="181" t="s">
        <v>359</v>
      </c>
      <c r="F1184" s="181" t="s">
        <v>360</v>
      </c>
      <c r="G1184" s="181" t="s">
        <v>2402</v>
      </c>
      <c r="H1184" s="181" t="s">
        <v>279</v>
      </c>
      <c r="I1184" s="181" t="s">
        <v>242</v>
      </c>
      <c r="J1184" s="184" t="n">
        <v>36960</v>
      </c>
      <c r="K1184" s="184" t="n">
        <v>15100</v>
      </c>
      <c r="L1184" s="185" t="n">
        <v>36</v>
      </c>
      <c r="M1184" s="184" t="n">
        <v>21860</v>
      </c>
      <c r="N1184" s="184" t="n">
        <v>13990.4</v>
      </c>
      <c r="O1184" s="186" t="s">
        <v>2769</v>
      </c>
      <c r="P1184" s="187" t="n">
        <v>45955</v>
      </c>
    </row>
    <row r="1185" customFormat="false" ht="51" hidden="false" customHeight="true" outlineLevel="0" collapsed="false">
      <c r="A1185" s="181" t="s">
        <v>2770</v>
      </c>
      <c r="B1185" s="182" t="n">
        <v>2633</v>
      </c>
      <c r="C1185" s="183" t="n">
        <v>113</v>
      </c>
      <c r="D1185" s="181" t="s">
        <v>2401</v>
      </c>
      <c r="E1185" s="181" t="s">
        <v>409</v>
      </c>
      <c r="F1185" s="181" t="s">
        <v>410</v>
      </c>
      <c r="G1185" s="181" t="s">
        <v>2402</v>
      </c>
      <c r="H1185" s="181" t="s">
        <v>279</v>
      </c>
      <c r="I1185" s="181" t="s">
        <v>242</v>
      </c>
      <c r="J1185" s="184" t="n">
        <v>65120</v>
      </c>
      <c r="K1185" s="184" t="n">
        <v>24710</v>
      </c>
      <c r="L1185" s="185" t="n">
        <v>20</v>
      </c>
      <c r="M1185" s="184" t="n">
        <v>40410</v>
      </c>
      <c r="N1185" s="184" t="n">
        <v>32328</v>
      </c>
      <c r="O1185" s="186" t="s">
        <v>2771</v>
      </c>
      <c r="P1185" s="187" t="n">
        <v>45955</v>
      </c>
    </row>
    <row r="1186" customFormat="false" ht="51" hidden="false" customHeight="true" outlineLevel="0" collapsed="false">
      <c r="A1186" s="181" t="s">
        <v>2772</v>
      </c>
      <c r="B1186" s="182" t="n">
        <v>2634</v>
      </c>
      <c r="C1186" s="183" t="n">
        <v>117</v>
      </c>
      <c r="D1186" s="181" t="s">
        <v>2401</v>
      </c>
      <c r="E1186" s="181" t="s">
        <v>332</v>
      </c>
      <c r="F1186" s="181" t="s">
        <v>333</v>
      </c>
      <c r="G1186" s="181" t="s">
        <v>2402</v>
      </c>
      <c r="H1186" s="181" t="s">
        <v>279</v>
      </c>
      <c r="I1186" s="181" t="s">
        <v>242</v>
      </c>
      <c r="J1186" s="184" t="n">
        <v>40430</v>
      </c>
      <c r="K1186" s="184" t="n">
        <v>14910</v>
      </c>
      <c r="L1186" s="185" t="n">
        <v>15</v>
      </c>
      <c r="M1186" s="184" t="n">
        <v>25520</v>
      </c>
      <c r="N1186" s="184" t="n">
        <v>21692</v>
      </c>
      <c r="O1186" s="186" t="s">
        <v>2773</v>
      </c>
      <c r="P1186" s="187" t="n">
        <v>45955</v>
      </c>
    </row>
    <row r="1187" customFormat="false" ht="51" hidden="false" customHeight="true" outlineLevel="0" collapsed="false">
      <c r="A1187" s="181" t="s">
        <v>2774</v>
      </c>
      <c r="B1187" s="182" t="n">
        <v>2635</v>
      </c>
      <c r="C1187" s="183" t="n">
        <v>118</v>
      </c>
      <c r="D1187" s="181" t="s">
        <v>2401</v>
      </c>
      <c r="E1187" s="181" t="s">
        <v>288</v>
      </c>
      <c r="F1187" s="181" t="s">
        <v>289</v>
      </c>
      <c r="G1187" s="181" t="s">
        <v>2402</v>
      </c>
      <c r="H1187" s="181" t="s">
        <v>279</v>
      </c>
      <c r="I1187" s="181" t="s">
        <v>242</v>
      </c>
      <c r="J1187" s="184" t="n">
        <v>36670</v>
      </c>
      <c r="K1187" s="184" t="n">
        <v>14860</v>
      </c>
      <c r="L1187" s="185" t="n">
        <v>27</v>
      </c>
      <c r="M1187" s="184" t="n">
        <v>21810</v>
      </c>
      <c r="N1187" s="184" t="n">
        <v>15921.3</v>
      </c>
      <c r="O1187" s="186" t="s">
        <v>2775</v>
      </c>
      <c r="P1187" s="187" t="n">
        <v>45955</v>
      </c>
    </row>
    <row r="1188" customFormat="false" ht="51" hidden="false" customHeight="true" outlineLevel="0" collapsed="false">
      <c r="A1188" s="181" t="s">
        <v>2776</v>
      </c>
      <c r="B1188" s="182" t="n">
        <v>2636</v>
      </c>
      <c r="C1188" s="183" t="n">
        <v>119</v>
      </c>
      <c r="D1188" s="181" t="s">
        <v>2401</v>
      </c>
      <c r="E1188" s="181" t="s">
        <v>549</v>
      </c>
      <c r="F1188" s="181" t="s">
        <v>550</v>
      </c>
      <c r="G1188" s="181" t="s">
        <v>2402</v>
      </c>
      <c r="H1188" s="181" t="s">
        <v>279</v>
      </c>
      <c r="I1188" s="181" t="s">
        <v>242</v>
      </c>
      <c r="J1188" s="184" t="n">
        <v>41660</v>
      </c>
      <c r="K1188" s="184" t="n">
        <v>15900</v>
      </c>
      <c r="L1188" s="185" t="n">
        <v>9</v>
      </c>
      <c r="M1188" s="184" t="n">
        <v>25760</v>
      </c>
      <c r="N1188" s="184" t="n">
        <v>23441.6</v>
      </c>
      <c r="O1188" s="186" t="s">
        <v>2777</v>
      </c>
      <c r="P1188" s="187" t="n">
        <v>45955</v>
      </c>
    </row>
    <row r="1189" customFormat="false" ht="51" hidden="false" customHeight="true" outlineLevel="0" collapsed="false">
      <c r="A1189" s="181" t="s">
        <v>2778</v>
      </c>
      <c r="B1189" s="182" t="n">
        <v>2637</v>
      </c>
      <c r="C1189" s="183" t="n">
        <v>120</v>
      </c>
      <c r="D1189" s="181" t="s">
        <v>2401</v>
      </c>
      <c r="E1189" s="181" t="s">
        <v>367</v>
      </c>
      <c r="F1189" s="181" t="s">
        <v>368</v>
      </c>
      <c r="G1189" s="181" t="s">
        <v>2402</v>
      </c>
      <c r="H1189" s="181" t="s">
        <v>279</v>
      </c>
      <c r="I1189" s="181" t="s">
        <v>242</v>
      </c>
      <c r="J1189" s="184" t="n">
        <v>47570</v>
      </c>
      <c r="K1189" s="184" t="n">
        <v>18960</v>
      </c>
      <c r="L1189" s="185" t="n">
        <v>13</v>
      </c>
      <c r="M1189" s="184" t="n">
        <v>28610</v>
      </c>
      <c r="N1189" s="184" t="n">
        <v>24890.7</v>
      </c>
      <c r="O1189" s="186" t="s">
        <v>2779</v>
      </c>
      <c r="P1189" s="187" t="n">
        <v>45955</v>
      </c>
    </row>
    <row r="1190" customFormat="false" ht="51" hidden="false" customHeight="true" outlineLevel="0" collapsed="false">
      <c r="A1190" s="181" t="s">
        <v>2780</v>
      </c>
      <c r="B1190" s="182" t="n">
        <v>2638</v>
      </c>
      <c r="C1190" s="183" t="n">
        <v>122</v>
      </c>
      <c r="D1190" s="181" t="s">
        <v>2401</v>
      </c>
      <c r="E1190" s="181" t="s">
        <v>292</v>
      </c>
      <c r="F1190" s="181" t="s">
        <v>293</v>
      </c>
      <c r="G1190" s="181" t="s">
        <v>2402</v>
      </c>
      <c r="H1190" s="181" t="s">
        <v>279</v>
      </c>
      <c r="I1190" s="181" t="s">
        <v>242</v>
      </c>
      <c r="J1190" s="184" t="n">
        <v>35900</v>
      </c>
      <c r="K1190" s="184" t="n">
        <v>14090</v>
      </c>
      <c r="L1190" s="185" t="n">
        <v>9</v>
      </c>
      <c r="M1190" s="184" t="n">
        <v>21810</v>
      </c>
      <c r="N1190" s="184" t="n">
        <v>19847.1</v>
      </c>
      <c r="O1190" s="186" t="s">
        <v>2781</v>
      </c>
      <c r="P1190" s="187" t="n">
        <v>45955</v>
      </c>
    </row>
    <row r="1191" customFormat="false" ht="51" hidden="false" customHeight="true" outlineLevel="0" collapsed="false">
      <c r="A1191" s="181" t="s">
        <v>2782</v>
      </c>
      <c r="B1191" s="182" t="n">
        <v>2639</v>
      </c>
      <c r="C1191" s="183" t="n">
        <v>121</v>
      </c>
      <c r="D1191" s="181" t="s">
        <v>2401</v>
      </c>
      <c r="E1191" s="181" t="s">
        <v>2351</v>
      </c>
      <c r="F1191" s="181" t="s">
        <v>2352</v>
      </c>
      <c r="G1191" s="181" t="s">
        <v>2402</v>
      </c>
      <c r="H1191" s="181" t="s">
        <v>279</v>
      </c>
      <c r="I1191" s="181" t="s">
        <v>242</v>
      </c>
      <c r="J1191" s="184" t="n">
        <v>47350</v>
      </c>
      <c r="K1191" s="184" t="n">
        <v>17730</v>
      </c>
      <c r="L1191" s="185" t="n">
        <v>14</v>
      </c>
      <c r="M1191" s="184" t="n">
        <v>29620</v>
      </c>
      <c r="N1191" s="184" t="n">
        <v>25473.2</v>
      </c>
      <c r="O1191" s="186" t="s">
        <v>2783</v>
      </c>
      <c r="P1191" s="187" t="n">
        <v>45955</v>
      </c>
    </row>
    <row r="1192" customFormat="false" ht="51" hidden="false" customHeight="true" outlineLevel="0" collapsed="false">
      <c r="A1192" s="181" t="s">
        <v>2784</v>
      </c>
      <c r="B1192" s="182" t="n">
        <v>2642</v>
      </c>
      <c r="C1192" s="183" t="n">
        <v>123</v>
      </c>
      <c r="D1192" s="181" t="s">
        <v>2401</v>
      </c>
      <c r="E1192" s="181" t="s">
        <v>533</v>
      </c>
      <c r="F1192" s="181" t="s">
        <v>534</v>
      </c>
      <c r="G1192" s="181" t="s">
        <v>2402</v>
      </c>
      <c r="H1192" s="181" t="s">
        <v>279</v>
      </c>
      <c r="I1192" s="181" t="s">
        <v>242</v>
      </c>
      <c r="J1192" s="184" t="n">
        <v>39590</v>
      </c>
      <c r="K1192" s="184" t="n">
        <v>14630</v>
      </c>
      <c r="L1192" s="185" t="n">
        <v>7</v>
      </c>
      <c r="M1192" s="184" t="n">
        <v>24960</v>
      </c>
      <c r="N1192" s="184" t="n">
        <v>23212.8</v>
      </c>
      <c r="O1192" s="186" t="s">
        <v>2785</v>
      </c>
      <c r="P1192" s="187" t="n">
        <v>45955</v>
      </c>
    </row>
    <row r="1193" customFormat="false" ht="51" hidden="false" customHeight="true" outlineLevel="0" collapsed="false">
      <c r="A1193" s="181" t="s">
        <v>2786</v>
      </c>
      <c r="B1193" s="182" t="n">
        <v>2644</v>
      </c>
      <c r="C1193" s="183" t="n">
        <v>124</v>
      </c>
      <c r="D1193" s="181" t="s">
        <v>2401</v>
      </c>
      <c r="E1193" s="181" t="s">
        <v>336</v>
      </c>
      <c r="F1193" s="181" t="s">
        <v>337</v>
      </c>
      <c r="G1193" s="181" t="s">
        <v>2402</v>
      </c>
      <c r="H1193" s="181" t="s">
        <v>279</v>
      </c>
      <c r="I1193" s="181" t="s">
        <v>242</v>
      </c>
      <c r="J1193" s="184" t="n">
        <v>40220</v>
      </c>
      <c r="K1193" s="184" t="n">
        <v>14710</v>
      </c>
      <c r="L1193" s="185" t="n">
        <v>11</v>
      </c>
      <c r="M1193" s="184" t="n">
        <v>25510</v>
      </c>
      <c r="N1193" s="184" t="n">
        <v>22703.9</v>
      </c>
      <c r="O1193" s="186" t="s">
        <v>2787</v>
      </c>
      <c r="P1193" s="187" t="n">
        <v>45955</v>
      </c>
    </row>
    <row r="1194" customFormat="false" ht="51" hidden="false" customHeight="true" outlineLevel="0" collapsed="false">
      <c r="A1194" s="181" t="s">
        <v>2788</v>
      </c>
      <c r="B1194" s="182" t="n">
        <v>2645</v>
      </c>
      <c r="C1194" s="183" t="n">
        <v>125</v>
      </c>
      <c r="D1194" s="181" t="s">
        <v>2401</v>
      </c>
      <c r="E1194" s="181" t="s">
        <v>340</v>
      </c>
      <c r="F1194" s="181" t="s">
        <v>341</v>
      </c>
      <c r="G1194" s="181" t="s">
        <v>2402</v>
      </c>
      <c r="H1194" s="181" t="s">
        <v>279</v>
      </c>
      <c r="I1194" s="181" t="s">
        <v>242</v>
      </c>
      <c r="J1194" s="184" t="n">
        <v>39450</v>
      </c>
      <c r="K1194" s="184" t="n">
        <v>15280</v>
      </c>
      <c r="L1194" s="185" t="n">
        <v>9</v>
      </c>
      <c r="M1194" s="184" t="n">
        <v>24170</v>
      </c>
      <c r="N1194" s="184" t="n">
        <v>21994.7</v>
      </c>
      <c r="O1194" s="186" t="s">
        <v>2789</v>
      </c>
      <c r="P1194" s="187" t="n">
        <v>45955</v>
      </c>
    </row>
    <row r="1195" customFormat="false" ht="51" hidden="false" customHeight="true" outlineLevel="0" collapsed="false">
      <c r="A1195" s="181" t="s">
        <v>2790</v>
      </c>
      <c r="B1195" s="182" t="n">
        <v>2646</v>
      </c>
      <c r="C1195" s="183" t="n">
        <v>126</v>
      </c>
      <c r="D1195" s="181" t="s">
        <v>2401</v>
      </c>
      <c r="E1195" s="181" t="s">
        <v>545</v>
      </c>
      <c r="F1195" s="181" t="s">
        <v>546</v>
      </c>
      <c r="G1195" s="181" t="s">
        <v>2402</v>
      </c>
      <c r="H1195" s="181" t="s">
        <v>279</v>
      </c>
      <c r="I1195" s="181" t="s">
        <v>242</v>
      </c>
      <c r="J1195" s="184" t="n">
        <v>42790</v>
      </c>
      <c r="K1195" s="184" t="n">
        <v>16240</v>
      </c>
      <c r="L1195" s="185" t="n">
        <v>11</v>
      </c>
      <c r="M1195" s="184" t="n">
        <v>26550</v>
      </c>
      <c r="N1195" s="184" t="n">
        <v>23629.5</v>
      </c>
      <c r="O1195" s="186" t="s">
        <v>2791</v>
      </c>
      <c r="P1195" s="187" t="n">
        <v>45955</v>
      </c>
    </row>
    <row r="1196" customFormat="false" ht="51" hidden="false" customHeight="true" outlineLevel="0" collapsed="false">
      <c r="A1196" s="181" t="s">
        <v>2792</v>
      </c>
      <c r="B1196" s="182" t="n">
        <v>2648</v>
      </c>
      <c r="C1196" s="183" t="n">
        <v>127</v>
      </c>
      <c r="D1196" s="181" t="s">
        <v>2401</v>
      </c>
      <c r="E1196" s="181" t="s">
        <v>541</v>
      </c>
      <c r="F1196" s="181" t="s">
        <v>542</v>
      </c>
      <c r="G1196" s="181" t="s">
        <v>2402</v>
      </c>
      <c r="H1196" s="181" t="s">
        <v>279</v>
      </c>
      <c r="I1196" s="181" t="s">
        <v>242</v>
      </c>
      <c r="J1196" s="184" t="n">
        <v>40190</v>
      </c>
      <c r="K1196" s="184" t="n">
        <v>15090</v>
      </c>
      <c r="L1196" s="185" t="n">
        <v>8</v>
      </c>
      <c r="M1196" s="184" t="n">
        <v>25100</v>
      </c>
      <c r="N1196" s="184" t="n">
        <v>23092</v>
      </c>
      <c r="O1196" s="186" t="s">
        <v>2793</v>
      </c>
      <c r="P1196" s="187" t="n">
        <v>45955</v>
      </c>
    </row>
    <row r="1197" customFormat="false" ht="51" hidden="false" customHeight="true" outlineLevel="0" collapsed="false">
      <c r="A1197" s="181" t="s">
        <v>2794</v>
      </c>
      <c r="B1197" s="182" t="n">
        <v>2650</v>
      </c>
      <c r="C1197" s="183" t="n">
        <v>128</v>
      </c>
      <c r="D1197" s="181" t="s">
        <v>2401</v>
      </c>
      <c r="E1197" s="181" t="s">
        <v>537</v>
      </c>
      <c r="F1197" s="181" t="s">
        <v>538</v>
      </c>
      <c r="G1197" s="181" t="s">
        <v>2402</v>
      </c>
      <c r="H1197" s="181" t="s">
        <v>279</v>
      </c>
      <c r="I1197" s="181" t="s">
        <v>242</v>
      </c>
      <c r="J1197" s="184" t="n">
        <v>34860</v>
      </c>
      <c r="K1197" s="184" t="n">
        <v>13990</v>
      </c>
      <c r="L1197" s="185" t="n">
        <v>9</v>
      </c>
      <c r="M1197" s="184" t="n">
        <v>20870</v>
      </c>
      <c r="N1197" s="184" t="n">
        <v>18991.7</v>
      </c>
      <c r="O1197" s="186" t="s">
        <v>2795</v>
      </c>
      <c r="P1197" s="187" t="n">
        <v>45955</v>
      </c>
    </row>
    <row r="1198" customFormat="false" ht="51" hidden="false" customHeight="true" outlineLevel="0" collapsed="false">
      <c r="A1198" s="181" t="s">
        <v>2796</v>
      </c>
      <c r="B1198" s="182" t="n">
        <v>2652</v>
      </c>
      <c r="C1198" s="183" t="n">
        <v>129</v>
      </c>
      <c r="D1198" s="181" t="s">
        <v>2401</v>
      </c>
      <c r="E1198" s="181" t="s">
        <v>282</v>
      </c>
      <c r="F1198" s="181" t="s">
        <v>283</v>
      </c>
      <c r="G1198" s="181" t="s">
        <v>2402</v>
      </c>
      <c r="H1198" s="181" t="s">
        <v>279</v>
      </c>
      <c r="I1198" s="181" t="s">
        <v>242</v>
      </c>
      <c r="J1198" s="184" t="n">
        <v>39070</v>
      </c>
      <c r="K1198" s="184" t="n">
        <v>15260</v>
      </c>
      <c r="L1198" s="185" t="n">
        <v>15</v>
      </c>
      <c r="M1198" s="184" t="n">
        <v>23810</v>
      </c>
      <c r="N1198" s="184" t="n">
        <v>20238.5</v>
      </c>
      <c r="O1198" s="186" t="s">
        <v>2797</v>
      </c>
      <c r="P1198" s="187" t="n">
        <v>45955</v>
      </c>
    </row>
    <row r="1199" customFormat="false" ht="51" hidden="false" customHeight="true" outlineLevel="0" collapsed="false">
      <c r="A1199" s="181" t="s">
        <v>2800</v>
      </c>
      <c r="B1199" s="182" t="n">
        <v>2654</v>
      </c>
      <c r="C1199" s="183" t="n">
        <v>130</v>
      </c>
      <c r="D1199" s="181" t="s">
        <v>2401</v>
      </c>
      <c r="E1199" s="181" t="s">
        <v>399</v>
      </c>
      <c r="F1199" s="181" t="s">
        <v>400</v>
      </c>
      <c r="G1199" s="181" t="s">
        <v>2402</v>
      </c>
      <c r="H1199" s="181" t="s">
        <v>279</v>
      </c>
      <c r="I1199" s="181" t="s">
        <v>242</v>
      </c>
      <c r="J1199" s="184" t="n">
        <v>47720</v>
      </c>
      <c r="K1199" s="184" t="n">
        <v>19870</v>
      </c>
      <c r="L1199" s="185" t="n">
        <v>25</v>
      </c>
      <c r="M1199" s="184" t="n">
        <v>27850</v>
      </c>
      <c r="N1199" s="184" t="n">
        <v>20887.5</v>
      </c>
      <c r="O1199" s="186" t="s">
        <v>2801</v>
      </c>
      <c r="P1199" s="187" t="n">
        <v>45955</v>
      </c>
    </row>
    <row r="1200" customFormat="false" ht="51" hidden="false" customHeight="true" outlineLevel="0" collapsed="false">
      <c r="A1200" s="181" t="s">
        <v>2798</v>
      </c>
      <c r="B1200" s="182" t="n">
        <v>2655</v>
      </c>
      <c r="C1200" s="183" t="n">
        <v>131</v>
      </c>
      <c r="D1200" s="181" t="s">
        <v>2401</v>
      </c>
      <c r="E1200" s="181" t="s">
        <v>266</v>
      </c>
      <c r="F1200" s="181" t="s">
        <v>267</v>
      </c>
      <c r="G1200" s="181" t="s">
        <v>2402</v>
      </c>
      <c r="H1200" s="181" t="s">
        <v>279</v>
      </c>
      <c r="I1200" s="181" t="s">
        <v>242</v>
      </c>
      <c r="J1200" s="184" t="n">
        <v>37840</v>
      </c>
      <c r="K1200" s="184" t="n">
        <v>15190</v>
      </c>
      <c r="L1200" s="185" t="n">
        <v>11</v>
      </c>
      <c r="M1200" s="184" t="n">
        <v>22650</v>
      </c>
      <c r="N1200" s="184" t="n">
        <v>20158.5</v>
      </c>
      <c r="O1200" s="186" t="s">
        <v>2799</v>
      </c>
      <c r="P1200" s="187" t="n">
        <v>45955</v>
      </c>
    </row>
    <row r="1201" customFormat="false" ht="51" hidden="false" customHeight="true" outlineLevel="0" collapsed="false">
      <c r="A1201" s="181" t="s">
        <v>2802</v>
      </c>
      <c r="B1201" s="182" t="n">
        <v>2656</v>
      </c>
      <c r="C1201" s="183" t="n">
        <v>132</v>
      </c>
      <c r="D1201" s="181" t="s">
        <v>2401</v>
      </c>
      <c r="E1201" s="181" t="s">
        <v>261</v>
      </c>
      <c r="F1201" s="181" t="s">
        <v>262</v>
      </c>
      <c r="G1201" s="181" t="s">
        <v>2402</v>
      </c>
      <c r="H1201" s="181" t="s">
        <v>279</v>
      </c>
      <c r="I1201" s="181" t="s">
        <v>242</v>
      </c>
      <c r="J1201" s="184" t="n">
        <v>38140</v>
      </c>
      <c r="K1201" s="184" t="n">
        <v>15310</v>
      </c>
      <c r="L1201" s="185" t="n">
        <v>18</v>
      </c>
      <c r="M1201" s="184" t="n">
        <v>22830</v>
      </c>
      <c r="N1201" s="184" t="n">
        <v>18720.6</v>
      </c>
      <c r="O1201" s="186" t="s">
        <v>2803</v>
      </c>
      <c r="P1201" s="187" t="n">
        <v>45956</v>
      </c>
    </row>
    <row r="1202" customFormat="false" ht="51" hidden="false" customHeight="true" outlineLevel="0" collapsed="false">
      <c r="A1202" s="181" t="s">
        <v>2804</v>
      </c>
      <c r="B1202" s="182" t="n">
        <v>2657</v>
      </c>
      <c r="C1202" s="183" t="n">
        <v>133</v>
      </c>
      <c r="D1202" s="181" t="s">
        <v>2401</v>
      </c>
      <c r="E1202" s="181" t="s">
        <v>377</v>
      </c>
      <c r="F1202" s="181" t="s">
        <v>378</v>
      </c>
      <c r="G1202" s="181" t="s">
        <v>2402</v>
      </c>
      <c r="H1202" s="181" t="s">
        <v>279</v>
      </c>
      <c r="I1202" s="181" t="s">
        <v>242</v>
      </c>
      <c r="J1202" s="184" t="n">
        <v>42840</v>
      </c>
      <c r="K1202" s="184" t="n">
        <v>16220</v>
      </c>
      <c r="L1202" s="185" t="n">
        <v>12</v>
      </c>
      <c r="M1202" s="184" t="n">
        <v>26620</v>
      </c>
      <c r="N1202" s="184" t="n">
        <v>23425.6</v>
      </c>
      <c r="O1202" s="186" t="s">
        <v>2805</v>
      </c>
      <c r="P1202" s="187" t="n">
        <v>45956</v>
      </c>
    </row>
    <row r="1203" customFormat="false" ht="51" hidden="false" customHeight="true" outlineLevel="0" collapsed="false">
      <c r="A1203" s="181" t="s">
        <v>2806</v>
      </c>
      <c r="B1203" s="182" t="n">
        <v>2659</v>
      </c>
      <c r="C1203" s="183" t="n">
        <v>134</v>
      </c>
      <c r="D1203" s="181" t="s">
        <v>2401</v>
      </c>
      <c r="E1203" s="181" t="s">
        <v>383</v>
      </c>
      <c r="F1203" s="181" t="s">
        <v>384</v>
      </c>
      <c r="G1203" s="181" t="s">
        <v>2402</v>
      </c>
      <c r="H1203" s="181" t="s">
        <v>279</v>
      </c>
      <c r="I1203" s="181" t="s">
        <v>242</v>
      </c>
      <c r="J1203" s="184" t="n">
        <v>40760</v>
      </c>
      <c r="K1203" s="184" t="n">
        <v>15190</v>
      </c>
      <c r="L1203" s="185" t="n">
        <v>6</v>
      </c>
      <c r="M1203" s="184" t="n">
        <v>25570</v>
      </c>
      <c r="N1203" s="184" t="n">
        <v>24035.8</v>
      </c>
      <c r="O1203" s="186" t="s">
        <v>2807</v>
      </c>
      <c r="P1203" s="187" t="n">
        <v>45956</v>
      </c>
    </row>
    <row r="1204" customFormat="false" ht="51" hidden="false" customHeight="true" outlineLevel="0" collapsed="false">
      <c r="A1204" s="181" t="s">
        <v>2808</v>
      </c>
      <c r="B1204" s="182" t="n">
        <v>2660</v>
      </c>
      <c r="C1204" s="183" t="n">
        <v>135</v>
      </c>
      <c r="D1204" s="181" t="s">
        <v>2401</v>
      </c>
      <c r="E1204" s="181" t="s">
        <v>387</v>
      </c>
      <c r="F1204" s="181" t="s">
        <v>388</v>
      </c>
      <c r="G1204" s="181" t="s">
        <v>2402</v>
      </c>
      <c r="H1204" s="181" t="s">
        <v>279</v>
      </c>
      <c r="I1204" s="181" t="s">
        <v>242</v>
      </c>
      <c r="J1204" s="184" t="n">
        <v>42230</v>
      </c>
      <c r="K1204" s="184" t="n">
        <v>15350</v>
      </c>
      <c r="L1204" s="185" t="n">
        <v>11</v>
      </c>
      <c r="M1204" s="184" t="n">
        <v>26880</v>
      </c>
      <c r="N1204" s="184" t="n">
        <v>23923.2</v>
      </c>
      <c r="O1204" s="186" t="s">
        <v>2809</v>
      </c>
      <c r="P1204" s="187" t="n">
        <v>45956</v>
      </c>
    </row>
    <row r="1205" customFormat="false" ht="51" hidden="false" customHeight="true" outlineLevel="0" collapsed="false">
      <c r="A1205" s="181" t="s">
        <v>2810</v>
      </c>
      <c r="B1205" s="182" t="n">
        <v>2661</v>
      </c>
      <c r="C1205" s="183" t="n">
        <v>136</v>
      </c>
      <c r="D1205" s="181" t="s">
        <v>2401</v>
      </c>
      <c r="E1205" s="181" t="s">
        <v>350</v>
      </c>
      <c r="F1205" s="181" t="s">
        <v>351</v>
      </c>
      <c r="G1205" s="181" t="s">
        <v>2402</v>
      </c>
      <c r="H1205" s="181" t="s">
        <v>279</v>
      </c>
      <c r="I1205" s="181" t="s">
        <v>242</v>
      </c>
      <c r="J1205" s="184" t="n">
        <v>42640</v>
      </c>
      <c r="K1205" s="184" t="n">
        <v>15310</v>
      </c>
      <c r="L1205" s="185" t="n">
        <v>16</v>
      </c>
      <c r="M1205" s="184" t="n">
        <v>27330</v>
      </c>
      <c r="N1205" s="184" t="n">
        <v>22957.2</v>
      </c>
      <c r="O1205" s="186" t="s">
        <v>2811</v>
      </c>
      <c r="P1205" s="187" t="n">
        <v>45956</v>
      </c>
    </row>
    <row r="1206" customFormat="false" ht="51" hidden="false" customHeight="true" outlineLevel="0" collapsed="false">
      <c r="A1206" s="181" t="s">
        <v>2812</v>
      </c>
      <c r="B1206" s="182" t="n">
        <v>2662</v>
      </c>
      <c r="C1206" s="183" t="n">
        <v>137</v>
      </c>
      <c r="D1206" s="181" t="s">
        <v>2401</v>
      </c>
      <c r="E1206" s="181" t="s">
        <v>373</v>
      </c>
      <c r="F1206" s="181" t="s">
        <v>374</v>
      </c>
      <c r="G1206" s="181" t="s">
        <v>2402</v>
      </c>
      <c r="H1206" s="181" t="s">
        <v>279</v>
      </c>
      <c r="I1206" s="181" t="s">
        <v>242</v>
      </c>
      <c r="J1206" s="184" t="n">
        <v>41830</v>
      </c>
      <c r="K1206" s="184" t="n">
        <v>14660</v>
      </c>
      <c r="L1206" s="185" t="n">
        <v>5</v>
      </c>
      <c r="M1206" s="184" t="n">
        <v>27170</v>
      </c>
      <c r="N1206" s="184" t="n">
        <v>25811.5</v>
      </c>
      <c r="O1206" s="186" t="s">
        <v>2813</v>
      </c>
      <c r="P1206" s="187" t="n">
        <v>45956</v>
      </c>
    </row>
    <row r="1207" customFormat="false" ht="51" hidden="false" customHeight="true" outlineLevel="0" collapsed="false">
      <c r="A1207" s="181" t="s">
        <v>2814</v>
      </c>
      <c r="B1207" s="182" t="n">
        <v>2663</v>
      </c>
      <c r="C1207" s="183" t="n">
        <v>138</v>
      </c>
      <c r="D1207" s="181" t="s">
        <v>2401</v>
      </c>
      <c r="E1207" s="181" t="s">
        <v>354</v>
      </c>
      <c r="F1207" s="181" t="s">
        <v>355</v>
      </c>
      <c r="G1207" s="181" t="s">
        <v>2402</v>
      </c>
      <c r="H1207" s="181" t="s">
        <v>279</v>
      </c>
      <c r="I1207" s="181" t="s">
        <v>242</v>
      </c>
      <c r="J1207" s="184" t="n">
        <v>39500</v>
      </c>
      <c r="K1207" s="184" t="n">
        <v>14960</v>
      </c>
      <c r="L1207" s="185" t="n">
        <v>17</v>
      </c>
      <c r="M1207" s="184" t="n">
        <v>24540</v>
      </c>
      <c r="N1207" s="184" t="n">
        <v>20368.2</v>
      </c>
      <c r="O1207" s="186" t="s">
        <v>2815</v>
      </c>
      <c r="P1207" s="187" t="n">
        <v>45956</v>
      </c>
    </row>
    <row r="1208" customFormat="false" ht="51" hidden="false" customHeight="true" outlineLevel="0" collapsed="false">
      <c r="A1208" s="181" t="s">
        <v>2818</v>
      </c>
      <c r="B1208" s="182" t="n">
        <v>2664</v>
      </c>
      <c r="C1208" s="183" t="n">
        <v>139</v>
      </c>
      <c r="D1208" s="181" t="s">
        <v>2401</v>
      </c>
      <c r="E1208" s="181" t="s">
        <v>413</v>
      </c>
      <c r="F1208" s="181" t="s">
        <v>414</v>
      </c>
      <c r="G1208" s="181" t="s">
        <v>2402</v>
      </c>
      <c r="H1208" s="181" t="s">
        <v>279</v>
      </c>
      <c r="I1208" s="181" t="s">
        <v>242</v>
      </c>
      <c r="J1208" s="184" t="n">
        <v>47160</v>
      </c>
      <c r="K1208" s="184" t="n">
        <v>16140</v>
      </c>
      <c r="L1208" s="185" t="n">
        <v>10</v>
      </c>
      <c r="M1208" s="184" t="n">
        <v>31020</v>
      </c>
      <c r="N1208" s="184" t="n">
        <v>27918</v>
      </c>
      <c r="O1208" s="186" t="s">
        <v>2819</v>
      </c>
      <c r="P1208" s="187" t="n">
        <v>45956</v>
      </c>
    </row>
    <row r="1209" customFormat="false" ht="51" hidden="false" customHeight="true" outlineLevel="0" collapsed="false">
      <c r="A1209" s="181" t="s">
        <v>2820</v>
      </c>
      <c r="B1209" s="182" t="n">
        <v>2665</v>
      </c>
      <c r="C1209" s="183" t="n">
        <v>141</v>
      </c>
      <c r="D1209" s="181" t="s">
        <v>2401</v>
      </c>
      <c r="E1209" s="181" t="s">
        <v>359</v>
      </c>
      <c r="F1209" s="181" t="s">
        <v>360</v>
      </c>
      <c r="G1209" s="181" t="s">
        <v>2402</v>
      </c>
      <c r="H1209" s="181" t="s">
        <v>279</v>
      </c>
      <c r="I1209" s="181" t="s">
        <v>242</v>
      </c>
      <c r="J1209" s="184" t="n">
        <v>37460</v>
      </c>
      <c r="K1209" s="184" t="n">
        <v>15070</v>
      </c>
      <c r="L1209" s="185" t="n">
        <v>9</v>
      </c>
      <c r="M1209" s="184" t="n">
        <v>22390</v>
      </c>
      <c r="N1209" s="184" t="n">
        <v>20374.9</v>
      </c>
      <c r="O1209" s="186" t="s">
        <v>2821</v>
      </c>
      <c r="P1209" s="187" t="n">
        <v>45956</v>
      </c>
    </row>
    <row r="1210" customFormat="false" ht="51" hidden="false" customHeight="true" outlineLevel="0" collapsed="false">
      <c r="A1210" s="181" t="s">
        <v>2824</v>
      </c>
      <c r="B1210" s="182" t="n">
        <v>2666</v>
      </c>
      <c r="C1210" s="183" t="n">
        <v>143</v>
      </c>
      <c r="D1210" s="181" t="s">
        <v>2401</v>
      </c>
      <c r="E1210" s="181" t="s">
        <v>549</v>
      </c>
      <c r="F1210" s="181" t="s">
        <v>550</v>
      </c>
      <c r="G1210" s="181" t="s">
        <v>2402</v>
      </c>
      <c r="H1210" s="181" t="s">
        <v>279</v>
      </c>
      <c r="I1210" s="181" t="s">
        <v>242</v>
      </c>
      <c r="J1210" s="184" t="n">
        <v>39580</v>
      </c>
      <c r="K1210" s="184" t="n">
        <v>15960</v>
      </c>
      <c r="L1210" s="185" t="n">
        <v>14</v>
      </c>
      <c r="M1210" s="184" t="n">
        <v>23620</v>
      </c>
      <c r="N1210" s="184" t="n">
        <v>20313.2</v>
      </c>
      <c r="O1210" s="186" t="s">
        <v>2825</v>
      </c>
      <c r="P1210" s="187" t="n">
        <v>45956</v>
      </c>
    </row>
    <row r="1211" customFormat="false" ht="51" hidden="false" customHeight="true" outlineLevel="0" collapsed="false">
      <c r="A1211" s="181" t="s">
        <v>2830</v>
      </c>
      <c r="B1211" s="182" t="n">
        <v>2668</v>
      </c>
      <c r="C1211" s="183" t="n">
        <v>142</v>
      </c>
      <c r="D1211" s="181" t="s">
        <v>2401</v>
      </c>
      <c r="E1211" s="181" t="s">
        <v>409</v>
      </c>
      <c r="F1211" s="181" t="s">
        <v>410</v>
      </c>
      <c r="G1211" s="181" t="s">
        <v>2402</v>
      </c>
      <c r="H1211" s="181" t="s">
        <v>279</v>
      </c>
      <c r="I1211" s="181" t="s">
        <v>242</v>
      </c>
      <c r="J1211" s="184" t="n">
        <v>60070</v>
      </c>
      <c r="K1211" s="184" t="n">
        <v>24880</v>
      </c>
      <c r="L1211" s="185" t="n">
        <v>19</v>
      </c>
      <c r="M1211" s="184" t="n">
        <v>35190</v>
      </c>
      <c r="N1211" s="184" t="n">
        <v>28503.9</v>
      </c>
      <c r="O1211" s="186" t="s">
        <v>2831</v>
      </c>
      <c r="P1211" s="187" t="n">
        <v>45956</v>
      </c>
    </row>
    <row r="1212" customFormat="false" ht="51" hidden="false" customHeight="true" outlineLevel="0" collapsed="false">
      <c r="A1212" s="181" t="s">
        <v>2834</v>
      </c>
      <c r="B1212" s="182" t="n">
        <v>2669</v>
      </c>
      <c r="C1212" s="183" t="n">
        <v>140</v>
      </c>
      <c r="D1212" s="181" t="s">
        <v>2401</v>
      </c>
      <c r="E1212" s="181" t="s">
        <v>300</v>
      </c>
      <c r="F1212" s="181" t="s">
        <v>301</v>
      </c>
      <c r="G1212" s="181" t="s">
        <v>2402</v>
      </c>
      <c r="H1212" s="181" t="s">
        <v>279</v>
      </c>
      <c r="I1212" s="181" t="s">
        <v>242</v>
      </c>
      <c r="J1212" s="184" t="n">
        <v>57650</v>
      </c>
      <c r="K1212" s="184" t="n">
        <v>21550</v>
      </c>
      <c r="L1212" s="185" t="n">
        <v>12</v>
      </c>
      <c r="M1212" s="184" t="n">
        <v>36100</v>
      </c>
      <c r="N1212" s="184" t="n">
        <v>31768</v>
      </c>
      <c r="O1212" s="186" t="s">
        <v>2835</v>
      </c>
      <c r="P1212" s="187" t="n">
        <v>45956</v>
      </c>
    </row>
    <row r="1213" customFormat="false" ht="51" hidden="false" customHeight="true" outlineLevel="0" collapsed="false">
      <c r="A1213" s="181" t="s">
        <v>2836</v>
      </c>
      <c r="B1213" s="182" t="n">
        <v>2670</v>
      </c>
      <c r="C1213" s="183" t="n">
        <v>144</v>
      </c>
      <c r="D1213" s="181" t="s">
        <v>2401</v>
      </c>
      <c r="E1213" s="181" t="s">
        <v>582</v>
      </c>
      <c r="F1213" s="181" t="s">
        <v>583</v>
      </c>
      <c r="G1213" s="181" t="s">
        <v>2402</v>
      </c>
      <c r="H1213" s="181" t="s">
        <v>279</v>
      </c>
      <c r="I1213" s="181" t="s">
        <v>242</v>
      </c>
      <c r="J1213" s="184" t="n">
        <v>41370</v>
      </c>
      <c r="K1213" s="184" t="n">
        <v>15080</v>
      </c>
      <c r="L1213" s="185" t="n">
        <v>14</v>
      </c>
      <c r="M1213" s="184" t="n">
        <v>26290</v>
      </c>
      <c r="N1213" s="184" t="n">
        <v>22609.4</v>
      </c>
      <c r="O1213" s="186" t="s">
        <v>2837</v>
      </c>
      <c r="P1213" s="187" t="n">
        <v>45956</v>
      </c>
    </row>
    <row r="1214" customFormat="false" ht="51" hidden="false" customHeight="true" outlineLevel="0" collapsed="false">
      <c r="A1214" s="181" t="s">
        <v>2838</v>
      </c>
      <c r="B1214" s="182" t="n">
        <v>2671</v>
      </c>
      <c r="C1214" s="183" t="n">
        <v>145</v>
      </c>
      <c r="D1214" s="181" t="s">
        <v>2401</v>
      </c>
      <c r="E1214" s="181" t="s">
        <v>332</v>
      </c>
      <c r="F1214" s="181" t="s">
        <v>333</v>
      </c>
      <c r="G1214" s="181" t="s">
        <v>2402</v>
      </c>
      <c r="H1214" s="181" t="s">
        <v>279</v>
      </c>
      <c r="I1214" s="181" t="s">
        <v>242</v>
      </c>
      <c r="J1214" s="184" t="n">
        <v>39590</v>
      </c>
      <c r="K1214" s="184" t="n">
        <v>14960</v>
      </c>
      <c r="L1214" s="185" t="n">
        <v>16</v>
      </c>
      <c r="M1214" s="184" t="n">
        <v>24630</v>
      </c>
      <c r="N1214" s="184" t="n">
        <v>20689.2</v>
      </c>
      <c r="O1214" s="186" t="s">
        <v>2839</v>
      </c>
      <c r="P1214" s="187" t="n">
        <v>45956</v>
      </c>
    </row>
    <row r="1215" customFormat="false" ht="51" hidden="false" customHeight="true" outlineLevel="0" collapsed="false">
      <c r="A1215" s="181" t="s">
        <v>2846</v>
      </c>
      <c r="B1215" s="182" t="n">
        <v>2672</v>
      </c>
      <c r="C1215" s="183" t="n">
        <v>146</v>
      </c>
      <c r="D1215" s="181" t="s">
        <v>2401</v>
      </c>
      <c r="E1215" s="181" t="s">
        <v>346</v>
      </c>
      <c r="F1215" s="181" t="s">
        <v>347</v>
      </c>
      <c r="G1215" s="181" t="s">
        <v>2402</v>
      </c>
      <c r="H1215" s="181" t="s">
        <v>279</v>
      </c>
      <c r="I1215" s="181" t="s">
        <v>242</v>
      </c>
      <c r="J1215" s="184" t="n">
        <v>39870</v>
      </c>
      <c r="K1215" s="184" t="n">
        <v>15470</v>
      </c>
      <c r="L1215" s="185" t="n">
        <v>17</v>
      </c>
      <c r="M1215" s="184" t="n">
        <v>24400</v>
      </c>
      <c r="N1215" s="184" t="n">
        <v>20252</v>
      </c>
      <c r="O1215" s="186" t="s">
        <v>2847</v>
      </c>
      <c r="P1215" s="187" t="n">
        <v>45956</v>
      </c>
    </row>
    <row r="1216" customFormat="false" ht="51" hidden="false" customHeight="true" outlineLevel="0" collapsed="false">
      <c r="A1216" s="181" t="s">
        <v>2816</v>
      </c>
      <c r="B1216" s="182" t="n">
        <v>2674</v>
      </c>
      <c r="C1216" s="183" t="n">
        <v>147</v>
      </c>
      <c r="D1216" s="181" t="s">
        <v>2401</v>
      </c>
      <c r="E1216" s="181" t="s">
        <v>288</v>
      </c>
      <c r="F1216" s="181" t="s">
        <v>289</v>
      </c>
      <c r="G1216" s="181" t="s">
        <v>2402</v>
      </c>
      <c r="H1216" s="181" t="s">
        <v>279</v>
      </c>
      <c r="I1216" s="181" t="s">
        <v>242</v>
      </c>
      <c r="J1216" s="184" t="n">
        <v>37950</v>
      </c>
      <c r="K1216" s="184" t="n">
        <v>14920</v>
      </c>
      <c r="L1216" s="185" t="n">
        <v>12</v>
      </c>
      <c r="M1216" s="184" t="n">
        <v>23030</v>
      </c>
      <c r="N1216" s="184" t="n">
        <v>20266.4</v>
      </c>
      <c r="O1216" s="186" t="s">
        <v>2817</v>
      </c>
      <c r="P1216" s="187" t="n">
        <v>45956</v>
      </c>
    </row>
    <row r="1217" customFormat="false" ht="51" hidden="false" customHeight="true" outlineLevel="0" collapsed="false">
      <c r="A1217" s="181" t="s">
        <v>2822</v>
      </c>
      <c r="B1217" s="182" t="n">
        <v>2676</v>
      </c>
      <c r="C1217" s="183" t="n">
        <v>148</v>
      </c>
      <c r="D1217" s="181" t="s">
        <v>2401</v>
      </c>
      <c r="E1217" s="181" t="s">
        <v>304</v>
      </c>
      <c r="F1217" s="181" t="s">
        <v>305</v>
      </c>
      <c r="G1217" s="181" t="s">
        <v>2402</v>
      </c>
      <c r="H1217" s="181" t="s">
        <v>279</v>
      </c>
      <c r="I1217" s="181" t="s">
        <v>242</v>
      </c>
      <c r="J1217" s="184" t="n">
        <v>38650</v>
      </c>
      <c r="K1217" s="184" t="n">
        <v>15170</v>
      </c>
      <c r="L1217" s="185" t="n">
        <v>15</v>
      </c>
      <c r="M1217" s="184" t="n">
        <v>23480</v>
      </c>
      <c r="N1217" s="184" t="n">
        <v>19958</v>
      </c>
      <c r="O1217" s="186" t="s">
        <v>2823</v>
      </c>
      <c r="P1217" s="187" t="n">
        <v>45956</v>
      </c>
    </row>
    <row r="1218" customFormat="false" ht="51" hidden="false" customHeight="true" outlineLevel="0" collapsed="false">
      <c r="A1218" s="181" t="s">
        <v>2826</v>
      </c>
      <c r="B1218" s="182" t="n">
        <v>2679</v>
      </c>
      <c r="C1218" s="183" t="n">
        <v>150</v>
      </c>
      <c r="D1218" s="181" t="s">
        <v>2401</v>
      </c>
      <c r="E1218" s="181" t="s">
        <v>533</v>
      </c>
      <c r="F1218" s="181" t="s">
        <v>534</v>
      </c>
      <c r="G1218" s="181" t="s">
        <v>2402</v>
      </c>
      <c r="H1218" s="181" t="s">
        <v>279</v>
      </c>
      <c r="I1218" s="181" t="s">
        <v>242</v>
      </c>
      <c r="J1218" s="184" t="n">
        <v>38380</v>
      </c>
      <c r="K1218" s="184" t="n">
        <v>14800</v>
      </c>
      <c r="L1218" s="185" t="n">
        <v>20</v>
      </c>
      <c r="M1218" s="184" t="n">
        <v>23580</v>
      </c>
      <c r="N1218" s="184" t="n">
        <v>18864</v>
      </c>
      <c r="O1218" s="186" t="s">
        <v>2827</v>
      </c>
      <c r="P1218" s="187" t="n">
        <v>45956</v>
      </c>
    </row>
    <row r="1219" customFormat="false" ht="51" hidden="false" customHeight="true" outlineLevel="0" collapsed="false">
      <c r="A1219" s="181" t="s">
        <v>2828</v>
      </c>
      <c r="B1219" s="182" t="n">
        <v>2681</v>
      </c>
      <c r="C1219" s="183" t="n">
        <v>151</v>
      </c>
      <c r="D1219" s="181" t="s">
        <v>2401</v>
      </c>
      <c r="E1219" s="181" t="s">
        <v>545</v>
      </c>
      <c r="F1219" s="181" t="s">
        <v>546</v>
      </c>
      <c r="G1219" s="181" t="s">
        <v>2402</v>
      </c>
      <c r="H1219" s="181" t="s">
        <v>279</v>
      </c>
      <c r="I1219" s="181" t="s">
        <v>242</v>
      </c>
      <c r="J1219" s="184" t="n">
        <v>40120</v>
      </c>
      <c r="K1219" s="184" t="n">
        <v>16280</v>
      </c>
      <c r="L1219" s="185" t="n">
        <v>10</v>
      </c>
      <c r="M1219" s="184" t="n">
        <v>23840</v>
      </c>
      <c r="N1219" s="184" t="n">
        <v>21456</v>
      </c>
      <c r="O1219" s="186" t="s">
        <v>2829</v>
      </c>
      <c r="P1219" s="187" t="n">
        <v>45956</v>
      </c>
    </row>
    <row r="1220" customFormat="false" ht="51" hidden="false" customHeight="true" outlineLevel="0" collapsed="false">
      <c r="A1220" s="181" t="s">
        <v>2832</v>
      </c>
      <c r="B1220" s="182" t="n">
        <v>2682</v>
      </c>
      <c r="C1220" s="183" t="n">
        <v>152</v>
      </c>
      <c r="D1220" s="181" t="s">
        <v>2401</v>
      </c>
      <c r="E1220" s="181" t="s">
        <v>336</v>
      </c>
      <c r="F1220" s="181" t="s">
        <v>337</v>
      </c>
      <c r="G1220" s="181" t="s">
        <v>2402</v>
      </c>
      <c r="H1220" s="181" t="s">
        <v>279</v>
      </c>
      <c r="I1220" s="181" t="s">
        <v>242</v>
      </c>
      <c r="J1220" s="184" t="n">
        <v>38970</v>
      </c>
      <c r="K1220" s="184" t="n">
        <v>14770</v>
      </c>
      <c r="L1220" s="185" t="n">
        <v>21</v>
      </c>
      <c r="M1220" s="184" t="n">
        <v>24200</v>
      </c>
      <c r="N1220" s="184" t="n">
        <v>19118</v>
      </c>
      <c r="O1220" s="186" t="s">
        <v>2833</v>
      </c>
      <c r="P1220" s="187" t="n">
        <v>45956</v>
      </c>
    </row>
    <row r="1221" customFormat="false" ht="51" hidden="false" customHeight="true" outlineLevel="0" collapsed="false">
      <c r="A1221" s="181" t="s">
        <v>2840</v>
      </c>
      <c r="B1221" s="182" t="n">
        <v>2683</v>
      </c>
      <c r="C1221" s="183" t="n">
        <v>149</v>
      </c>
      <c r="D1221" s="181" t="s">
        <v>2401</v>
      </c>
      <c r="E1221" s="181" t="s">
        <v>308</v>
      </c>
      <c r="F1221" s="181" t="s">
        <v>309</v>
      </c>
      <c r="G1221" s="181" t="s">
        <v>2728</v>
      </c>
      <c r="H1221" s="181" t="s">
        <v>279</v>
      </c>
      <c r="I1221" s="181" t="s">
        <v>242</v>
      </c>
      <c r="J1221" s="184" t="n">
        <v>62600</v>
      </c>
      <c r="K1221" s="184" t="n">
        <v>24250</v>
      </c>
      <c r="L1221" s="185" t="n">
        <v>18</v>
      </c>
      <c r="M1221" s="184" t="n">
        <v>38350</v>
      </c>
      <c r="N1221" s="184" t="n">
        <v>31447</v>
      </c>
      <c r="O1221" s="186" t="s">
        <v>2841</v>
      </c>
      <c r="P1221" s="187" t="n">
        <v>45956</v>
      </c>
    </row>
    <row r="1222" customFormat="false" ht="51" hidden="false" customHeight="true" outlineLevel="0" collapsed="false">
      <c r="A1222" s="181" t="s">
        <v>2842</v>
      </c>
      <c r="B1222" s="182" t="n">
        <v>2685</v>
      </c>
      <c r="C1222" s="183" t="n">
        <v>154</v>
      </c>
      <c r="D1222" s="181" t="s">
        <v>2401</v>
      </c>
      <c r="E1222" s="181" t="s">
        <v>391</v>
      </c>
      <c r="F1222" s="181" t="s">
        <v>392</v>
      </c>
      <c r="G1222" s="181" t="s">
        <v>2728</v>
      </c>
      <c r="H1222" s="181" t="s">
        <v>279</v>
      </c>
      <c r="I1222" s="181" t="s">
        <v>242</v>
      </c>
      <c r="J1222" s="184" t="n">
        <v>34980</v>
      </c>
      <c r="K1222" s="184" t="n">
        <v>14840</v>
      </c>
      <c r="L1222" s="185" t="n">
        <v>18</v>
      </c>
      <c r="M1222" s="184" t="n">
        <v>20140</v>
      </c>
      <c r="N1222" s="184" t="n">
        <v>16514.8</v>
      </c>
      <c r="O1222" s="186" t="s">
        <v>2843</v>
      </c>
      <c r="P1222" s="187" t="n">
        <v>45956</v>
      </c>
    </row>
    <row r="1223" customFormat="false" ht="51" hidden="false" customHeight="true" outlineLevel="0" collapsed="false">
      <c r="A1223" s="181" t="s">
        <v>2844</v>
      </c>
      <c r="B1223" s="182" t="n">
        <v>2686</v>
      </c>
      <c r="C1223" s="183" t="n">
        <v>155</v>
      </c>
      <c r="D1223" s="181" t="s">
        <v>2401</v>
      </c>
      <c r="E1223" s="181" t="s">
        <v>537</v>
      </c>
      <c r="F1223" s="181" t="s">
        <v>538</v>
      </c>
      <c r="G1223" s="181" t="s">
        <v>2728</v>
      </c>
      <c r="H1223" s="181" t="s">
        <v>279</v>
      </c>
      <c r="I1223" s="181" t="s">
        <v>242</v>
      </c>
      <c r="J1223" s="184" t="n">
        <v>36390</v>
      </c>
      <c r="K1223" s="184" t="n">
        <v>14210</v>
      </c>
      <c r="L1223" s="185" t="n">
        <v>5</v>
      </c>
      <c r="M1223" s="184" t="n">
        <v>22180</v>
      </c>
      <c r="N1223" s="184" t="n">
        <v>21071</v>
      </c>
      <c r="O1223" s="186" t="s">
        <v>2845</v>
      </c>
      <c r="P1223" s="187" t="n">
        <v>45956</v>
      </c>
    </row>
    <row r="1224" customFormat="false" ht="51" hidden="false" customHeight="true" outlineLevel="0" collapsed="false">
      <c r="A1224" s="181" t="s">
        <v>2848</v>
      </c>
      <c r="B1224" s="182" t="n">
        <v>2688</v>
      </c>
      <c r="C1224" s="183" t="n">
        <v>153</v>
      </c>
      <c r="D1224" s="181" t="s">
        <v>2401</v>
      </c>
      <c r="E1224" s="181" t="s">
        <v>541</v>
      </c>
      <c r="F1224" s="181" t="s">
        <v>542</v>
      </c>
      <c r="G1224" s="181" t="s">
        <v>2728</v>
      </c>
      <c r="H1224" s="181" t="s">
        <v>279</v>
      </c>
      <c r="I1224" s="181" t="s">
        <v>242</v>
      </c>
      <c r="J1224" s="184" t="n">
        <v>39260</v>
      </c>
      <c r="K1224" s="184" t="n">
        <v>15160</v>
      </c>
      <c r="L1224" s="185" t="n">
        <v>5</v>
      </c>
      <c r="M1224" s="184" t="n">
        <v>24100</v>
      </c>
      <c r="N1224" s="184" t="n">
        <v>22895</v>
      </c>
      <c r="O1224" s="186" t="s">
        <v>2849</v>
      </c>
      <c r="P1224" s="187" t="n">
        <v>45956</v>
      </c>
    </row>
    <row r="1225" customFormat="false" ht="51" hidden="false" customHeight="true" outlineLevel="0" collapsed="false">
      <c r="A1225" s="181" t="s">
        <v>2850</v>
      </c>
      <c r="B1225" s="182" t="n">
        <v>2689</v>
      </c>
      <c r="C1225" s="183" t="n">
        <v>157</v>
      </c>
      <c r="D1225" s="181" t="s">
        <v>2401</v>
      </c>
      <c r="E1225" s="181" t="s">
        <v>266</v>
      </c>
      <c r="F1225" s="181" t="s">
        <v>267</v>
      </c>
      <c r="G1225" s="181" t="s">
        <v>2728</v>
      </c>
      <c r="H1225" s="181" t="s">
        <v>279</v>
      </c>
      <c r="I1225" s="181" t="s">
        <v>242</v>
      </c>
      <c r="J1225" s="184" t="n">
        <v>39280</v>
      </c>
      <c r="K1225" s="184" t="n">
        <v>15360</v>
      </c>
      <c r="L1225" s="185" t="n">
        <v>10</v>
      </c>
      <c r="M1225" s="184" t="n">
        <v>23920</v>
      </c>
      <c r="N1225" s="184" t="n">
        <v>21528</v>
      </c>
      <c r="O1225" s="186" t="s">
        <v>2851</v>
      </c>
      <c r="P1225" s="187" t="n">
        <v>45956</v>
      </c>
    </row>
    <row r="1226" customFormat="false" ht="51" hidden="false" customHeight="true" outlineLevel="0" collapsed="false">
      <c r="A1226" s="181" t="s">
        <v>2852</v>
      </c>
      <c r="B1226" s="182" t="n">
        <v>2691</v>
      </c>
      <c r="C1226" s="183" t="n">
        <v>156</v>
      </c>
      <c r="D1226" s="181" t="s">
        <v>2401</v>
      </c>
      <c r="E1226" s="181" t="s">
        <v>399</v>
      </c>
      <c r="F1226" s="181" t="s">
        <v>400</v>
      </c>
      <c r="G1226" s="181" t="s">
        <v>2728</v>
      </c>
      <c r="H1226" s="181" t="s">
        <v>279</v>
      </c>
      <c r="I1226" s="181" t="s">
        <v>242</v>
      </c>
      <c r="J1226" s="184" t="n">
        <v>53440</v>
      </c>
      <c r="K1226" s="184" t="n">
        <v>19890</v>
      </c>
      <c r="L1226" s="185" t="n">
        <v>11</v>
      </c>
      <c r="M1226" s="184" t="n">
        <v>33550</v>
      </c>
      <c r="N1226" s="184" t="n">
        <v>29859.5</v>
      </c>
      <c r="O1226" s="186" t="s">
        <v>2853</v>
      </c>
      <c r="P1226" s="187" t="n">
        <v>45956</v>
      </c>
    </row>
    <row r="1227" customFormat="false" ht="51" hidden="false" customHeight="true" outlineLevel="0" collapsed="false">
      <c r="A1227" s="181" t="s">
        <v>2860</v>
      </c>
      <c r="B1227" s="182" t="n">
        <v>2692</v>
      </c>
      <c r="C1227" s="183" t="n">
        <v>159</v>
      </c>
      <c r="D1227" s="181" t="s">
        <v>2401</v>
      </c>
      <c r="E1227" s="181" t="s">
        <v>383</v>
      </c>
      <c r="F1227" s="181" t="s">
        <v>384</v>
      </c>
      <c r="G1227" s="181" t="s">
        <v>2728</v>
      </c>
      <c r="H1227" s="181" t="s">
        <v>279</v>
      </c>
      <c r="I1227" s="181" t="s">
        <v>242</v>
      </c>
      <c r="J1227" s="184" t="n">
        <v>41170</v>
      </c>
      <c r="K1227" s="184" t="n">
        <v>15440</v>
      </c>
      <c r="L1227" s="185" t="n">
        <v>8</v>
      </c>
      <c r="M1227" s="184" t="n">
        <v>25730</v>
      </c>
      <c r="N1227" s="184" t="n">
        <v>23671.6</v>
      </c>
      <c r="O1227" s="186" t="s">
        <v>2861</v>
      </c>
      <c r="P1227" s="187" t="n">
        <v>45957</v>
      </c>
    </row>
    <row r="1228" customFormat="false" ht="51" hidden="false" customHeight="true" outlineLevel="0" collapsed="false">
      <c r="A1228" s="181" t="s">
        <v>2862</v>
      </c>
      <c r="B1228" s="182" t="n">
        <v>2695</v>
      </c>
      <c r="C1228" s="183" t="n">
        <v>160</v>
      </c>
      <c r="D1228" s="181" t="s">
        <v>2401</v>
      </c>
      <c r="E1228" s="181" t="s">
        <v>387</v>
      </c>
      <c r="F1228" s="181" t="s">
        <v>388</v>
      </c>
      <c r="G1228" s="181" t="s">
        <v>2728</v>
      </c>
      <c r="H1228" s="181" t="s">
        <v>279</v>
      </c>
      <c r="I1228" s="181" t="s">
        <v>242</v>
      </c>
      <c r="J1228" s="184" t="n">
        <v>43410</v>
      </c>
      <c r="K1228" s="184" t="n">
        <v>15450</v>
      </c>
      <c r="L1228" s="185" t="n">
        <v>9</v>
      </c>
      <c r="M1228" s="184" t="n">
        <v>27960</v>
      </c>
      <c r="N1228" s="184" t="n">
        <v>25443.6</v>
      </c>
      <c r="O1228" s="186" t="s">
        <v>2863</v>
      </c>
      <c r="P1228" s="187" t="n">
        <v>45957</v>
      </c>
    </row>
    <row r="1229" customFormat="false" ht="51" hidden="false" customHeight="true" outlineLevel="0" collapsed="false">
      <c r="A1229" s="181" t="s">
        <v>2866</v>
      </c>
      <c r="B1229" s="182" t="n">
        <v>2694</v>
      </c>
      <c r="C1229" s="183" t="n">
        <v>158</v>
      </c>
      <c r="D1229" s="181" t="s">
        <v>2401</v>
      </c>
      <c r="E1229" s="181" t="s">
        <v>377</v>
      </c>
      <c r="F1229" s="181" t="s">
        <v>378</v>
      </c>
      <c r="G1229" s="181" t="s">
        <v>2728</v>
      </c>
      <c r="H1229" s="181" t="s">
        <v>279</v>
      </c>
      <c r="I1229" s="181" t="s">
        <v>242</v>
      </c>
      <c r="J1229" s="184" t="n">
        <v>43310</v>
      </c>
      <c r="K1229" s="184" t="n">
        <v>15910</v>
      </c>
      <c r="L1229" s="185" t="n">
        <v>8</v>
      </c>
      <c r="M1229" s="184" t="n">
        <v>27400</v>
      </c>
      <c r="N1229" s="184" t="n">
        <v>25208</v>
      </c>
      <c r="O1229" s="186" t="s">
        <v>2867</v>
      </c>
      <c r="P1229" s="187" t="n">
        <v>45957</v>
      </c>
    </row>
    <row r="1230" customFormat="false" ht="51" hidden="false" customHeight="true" outlineLevel="0" collapsed="false">
      <c r="A1230" s="181" t="s">
        <v>2874</v>
      </c>
      <c r="B1230" s="182" t="n">
        <v>2697</v>
      </c>
      <c r="C1230" s="183" t="n">
        <v>161</v>
      </c>
      <c r="D1230" s="181" t="s">
        <v>2401</v>
      </c>
      <c r="E1230" s="181" t="s">
        <v>350</v>
      </c>
      <c r="F1230" s="181" t="s">
        <v>351</v>
      </c>
      <c r="G1230" s="181" t="s">
        <v>2728</v>
      </c>
      <c r="H1230" s="181" t="s">
        <v>279</v>
      </c>
      <c r="I1230" s="181" t="s">
        <v>242</v>
      </c>
      <c r="J1230" s="184" t="n">
        <v>43460</v>
      </c>
      <c r="K1230" s="184" t="n">
        <v>15230</v>
      </c>
      <c r="L1230" s="185" t="n">
        <v>9</v>
      </c>
      <c r="M1230" s="184" t="n">
        <v>28230</v>
      </c>
      <c r="N1230" s="184" t="n">
        <v>25689.3</v>
      </c>
      <c r="O1230" s="186" t="s">
        <v>2875</v>
      </c>
      <c r="P1230" s="187" t="n">
        <v>45957</v>
      </c>
    </row>
    <row r="1231" customFormat="false" ht="51" hidden="false" customHeight="true" outlineLevel="0" collapsed="false">
      <c r="A1231" s="181" t="s">
        <v>2878</v>
      </c>
      <c r="B1231" s="182" t="n">
        <v>2698</v>
      </c>
      <c r="C1231" s="183" t="n">
        <v>162</v>
      </c>
      <c r="D1231" s="181" t="s">
        <v>2401</v>
      </c>
      <c r="E1231" s="181" t="s">
        <v>373</v>
      </c>
      <c r="F1231" s="181" t="s">
        <v>374</v>
      </c>
      <c r="G1231" s="181" t="s">
        <v>2728</v>
      </c>
      <c r="H1231" s="181" t="s">
        <v>279</v>
      </c>
      <c r="I1231" s="181" t="s">
        <v>242</v>
      </c>
      <c r="J1231" s="184" t="n">
        <v>40650</v>
      </c>
      <c r="K1231" s="184" t="n">
        <v>14530</v>
      </c>
      <c r="L1231" s="185" t="n">
        <v>11</v>
      </c>
      <c r="M1231" s="184" t="n">
        <v>26120</v>
      </c>
      <c r="N1231" s="184" t="n">
        <v>23246.8</v>
      </c>
      <c r="O1231" s="186" t="s">
        <v>2879</v>
      </c>
      <c r="P1231" s="187" t="n">
        <v>45957</v>
      </c>
    </row>
    <row r="1232" customFormat="false" ht="51" hidden="false" customHeight="true" outlineLevel="0" collapsed="false">
      <c r="A1232" s="181" t="s">
        <v>2880</v>
      </c>
      <c r="B1232" s="182" t="n">
        <v>2703</v>
      </c>
      <c r="C1232" s="183" t="n">
        <v>163</v>
      </c>
      <c r="D1232" s="181" t="s">
        <v>2401</v>
      </c>
      <c r="E1232" s="181" t="s">
        <v>261</v>
      </c>
      <c r="F1232" s="181" t="s">
        <v>262</v>
      </c>
      <c r="G1232" s="181" t="s">
        <v>2728</v>
      </c>
      <c r="H1232" s="181" t="s">
        <v>279</v>
      </c>
      <c r="I1232" s="181" t="s">
        <v>242</v>
      </c>
      <c r="J1232" s="184" t="n">
        <v>38230</v>
      </c>
      <c r="K1232" s="184" t="n">
        <v>15680</v>
      </c>
      <c r="L1232" s="185" t="n">
        <v>7</v>
      </c>
      <c r="M1232" s="184" t="n">
        <v>22550</v>
      </c>
      <c r="N1232" s="184" t="n">
        <v>20971.5</v>
      </c>
      <c r="O1232" s="186" t="s">
        <v>2881</v>
      </c>
      <c r="P1232" s="187" t="n">
        <v>45957</v>
      </c>
    </row>
    <row r="1233" customFormat="false" ht="51" hidden="false" customHeight="true" outlineLevel="0" collapsed="false">
      <c r="A1233" s="181" t="s">
        <v>2854</v>
      </c>
      <c r="B1233" s="182" t="n">
        <v>2707</v>
      </c>
      <c r="C1233" s="183" t="n">
        <v>164</v>
      </c>
      <c r="D1233" s="181" t="s">
        <v>2401</v>
      </c>
      <c r="E1233" s="181" t="s">
        <v>367</v>
      </c>
      <c r="F1233" s="181" t="s">
        <v>368</v>
      </c>
      <c r="G1233" s="181" t="s">
        <v>2728</v>
      </c>
      <c r="H1233" s="181" t="s">
        <v>279</v>
      </c>
      <c r="I1233" s="181" t="s">
        <v>242</v>
      </c>
      <c r="J1233" s="184" t="n">
        <v>50770</v>
      </c>
      <c r="K1233" s="184" t="n">
        <v>18900</v>
      </c>
      <c r="L1233" s="185" t="n">
        <v>5</v>
      </c>
      <c r="M1233" s="184" t="n">
        <v>31870</v>
      </c>
      <c r="N1233" s="184" t="n">
        <v>30276.5</v>
      </c>
      <c r="O1233" s="186" t="s">
        <v>2855</v>
      </c>
      <c r="P1233" s="187" t="n">
        <v>45957</v>
      </c>
    </row>
    <row r="1234" customFormat="false" ht="51" hidden="false" customHeight="true" outlineLevel="0" collapsed="false">
      <c r="A1234" s="181" t="s">
        <v>2856</v>
      </c>
      <c r="B1234" s="182" t="n">
        <v>2712</v>
      </c>
      <c r="C1234" s="183" t="n">
        <v>165</v>
      </c>
      <c r="D1234" s="181" t="s">
        <v>2401</v>
      </c>
      <c r="E1234" s="181" t="s">
        <v>354</v>
      </c>
      <c r="F1234" s="181" t="s">
        <v>355</v>
      </c>
      <c r="G1234" s="181" t="s">
        <v>2728</v>
      </c>
      <c r="H1234" s="181" t="s">
        <v>279</v>
      </c>
      <c r="I1234" s="181" t="s">
        <v>242</v>
      </c>
      <c r="J1234" s="184" t="n">
        <v>39960</v>
      </c>
      <c r="K1234" s="184" t="n">
        <v>15130</v>
      </c>
      <c r="L1234" s="185" t="n">
        <v>7</v>
      </c>
      <c r="M1234" s="184" t="n">
        <v>24830</v>
      </c>
      <c r="N1234" s="184" t="n">
        <v>23091.9</v>
      </c>
      <c r="O1234" s="186" t="s">
        <v>2857</v>
      </c>
      <c r="P1234" s="187" t="n">
        <v>45957</v>
      </c>
    </row>
    <row r="1235" customFormat="false" ht="51" hidden="false" customHeight="true" outlineLevel="0" collapsed="false">
      <c r="A1235" s="181" t="s">
        <v>2858</v>
      </c>
      <c r="B1235" s="182" t="n">
        <v>2713</v>
      </c>
      <c r="C1235" s="183" t="n">
        <v>166</v>
      </c>
      <c r="D1235" s="181" t="s">
        <v>2401</v>
      </c>
      <c r="E1235" s="181" t="s">
        <v>359</v>
      </c>
      <c r="F1235" s="181" t="s">
        <v>360</v>
      </c>
      <c r="G1235" s="181" t="s">
        <v>2728</v>
      </c>
      <c r="H1235" s="181" t="s">
        <v>279</v>
      </c>
      <c r="I1235" s="181" t="s">
        <v>242</v>
      </c>
      <c r="J1235" s="184" t="n">
        <v>38270</v>
      </c>
      <c r="K1235" s="184" t="n">
        <v>15200</v>
      </c>
      <c r="L1235" s="185" t="n">
        <v>9</v>
      </c>
      <c r="M1235" s="184" t="n">
        <v>23070</v>
      </c>
      <c r="N1235" s="184" t="n">
        <v>20993.7</v>
      </c>
      <c r="O1235" s="186" t="s">
        <v>2859</v>
      </c>
      <c r="P1235" s="187" t="n">
        <v>45957</v>
      </c>
    </row>
    <row r="1236" customFormat="false" ht="51" hidden="false" customHeight="true" outlineLevel="0" collapsed="false">
      <c r="A1236" s="181" t="s">
        <v>2864</v>
      </c>
      <c r="B1236" s="182" t="n">
        <v>2715</v>
      </c>
      <c r="C1236" s="183" t="n">
        <v>167</v>
      </c>
      <c r="D1236" s="181" t="s">
        <v>2401</v>
      </c>
      <c r="E1236" s="181" t="s">
        <v>413</v>
      </c>
      <c r="F1236" s="181" t="s">
        <v>414</v>
      </c>
      <c r="G1236" s="181" t="s">
        <v>2728</v>
      </c>
      <c r="H1236" s="181" t="s">
        <v>279</v>
      </c>
      <c r="I1236" s="181" t="s">
        <v>242</v>
      </c>
      <c r="J1236" s="184" t="n">
        <v>47940</v>
      </c>
      <c r="K1236" s="184" t="n">
        <v>16130</v>
      </c>
      <c r="L1236" s="185" t="n">
        <v>10</v>
      </c>
      <c r="M1236" s="184" t="n">
        <v>31810</v>
      </c>
      <c r="N1236" s="184" t="n">
        <v>28629</v>
      </c>
      <c r="O1236" s="186" t="s">
        <v>2865</v>
      </c>
      <c r="P1236" s="187" t="n">
        <v>45957</v>
      </c>
    </row>
    <row r="1237" customFormat="false" ht="51" hidden="false" customHeight="true" outlineLevel="0" collapsed="false">
      <c r="A1237" s="181" t="s">
        <v>2868</v>
      </c>
      <c r="B1237" s="182" t="n">
        <v>2716</v>
      </c>
      <c r="C1237" s="183" t="n">
        <v>168</v>
      </c>
      <c r="D1237" s="181" t="s">
        <v>2401</v>
      </c>
      <c r="E1237" s="181" t="s">
        <v>277</v>
      </c>
      <c r="F1237" s="181" t="s">
        <v>278</v>
      </c>
      <c r="G1237" s="181" t="s">
        <v>2728</v>
      </c>
      <c r="H1237" s="181" t="s">
        <v>279</v>
      </c>
      <c r="I1237" s="181" t="s">
        <v>242</v>
      </c>
      <c r="J1237" s="184" t="n">
        <v>43360</v>
      </c>
      <c r="K1237" s="184" t="n">
        <v>15450</v>
      </c>
      <c r="L1237" s="185" t="n">
        <v>11</v>
      </c>
      <c r="M1237" s="184" t="n">
        <v>27910</v>
      </c>
      <c r="N1237" s="184" t="n">
        <v>24839.9</v>
      </c>
      <c r="O1237" s="186" t="s">
        <v>2869</v>
      </c>
      <c r="P1237" s="187" t="n">
        <v>45957</v>
      </c>
    </row>
    <row r="1238" customFormat="false" ht="51" hidden="false" customHeight="true" outlineLevel="0" collapsed="false">
      <c r="A1238" s="181" t="s">
        <v>2870</v>
      </c>
      <c r="B1238" s="182" t="n">
        <v>2718</v>
      </c>
      <c r="C1238" s="183" t="n">
        <v>169</v>
      </c>
      <c r="D1238" s="181" t="s">
        <v>2401</v>
      </c>
      <c r="E1238" s="181" t="s">
        <v>549</v>
      </c>
      <c r="F1238" s="181" t="s">
        <v>550</v>
      </c>
      <c r="G1238" s="181" t="s">
        <v>2728</v>
      </c>
      <c r="H1238" s="181" t="s">
        <v>279</v>
      </c>
      <c r="I1238" s="181" t="s">
        <v>242</v>
      </c>
      <c r="J1238" s="184" t="n">
        <v>41890</v>
      </c>
      <c r="K1238" s="184" t="n">
        <v>16080</v>
      </c>
      <c r="L1238" s="185" t="n">
        <v>9</v>
      </c>
      <c r="M1238" s="184" t="n">
        <v>25810</v>
      </c>
      <c r="N1238" s="184" t="n">
        <v>23487.1</v>
      </c>
      <c r="O1238" s="186" t="s">
        <v>2871</v>
      </c>
      <c r="P1238" s="187" t="n">
        <v>45957</v>
      </c>
    </row>
    <row r="1239" customFormat="false" ht="51" hidden="false" customHeight="true" outlineLevel="0" collapsed="false">
      <c r="A1239" s="181" t="s">
        <v>2872</v>
      </c>
      <c r="B1239" s="182" t="n">
        <v>2719</v>
      </c>
      <c r="C1239" s="183" t="n">
        <v>170</v>
      </c>
      <c r="D1239" s="181" t="s">
        <v>2401</v>
      </c>
      <c r="E1239" s="181" t="s">
        <v>409</v>
      </c>
      <c r="F1239" s="181" t="s">
        <v>410</v>
      </c>
      <c r="G1239" s="181" t="s">
        <v>2728</v>
      </c>
      <c r="H1239" s="181" t="s">
        <v>279</v>
      </c>
      <c r="I1239" s="181" t="s">
        <v>242</v>
      </c>
      <c r="J1239" s="184" t="n">
        <v>66710</v>
      </c>
      <c r="K1239" s="184" t="n">
        <v>24970</v>
      </c>
      <c r="L1239" s="185" t="n">
        <v>14</v>
      </c>
      <c r="M1239" s="184" t="n">
        <v>41740</v>
      </c>
      <c r="N1239" s="184" t="n">
        <v>35896.4</v>
      </c>
      <c r="O1239" s="186" t="s">
        <v>2873</v>
      </c>
      <c r="P1239" s="187" t="n">
        <v>45957</v>
      </c>
    </row>
    <row r="1240" customFormat="false" ht="51" hidden="false" customHeight="true" outlineLevel="0" collapsed="false">
      <c r="A1240" s="181" t="s">
        <v>2882</v>
      </c>
      <c r="B1240" s="182" t="n">
        <v>2721</v>
      </c>
      <c r="C1240" s="183" t="n">
        <v>174</v>
      </c>
      <c r="D1240" s="181" t="s">
        <v>2401</v>
      </c>
      <c r="E1240" s="181" t="s">
        <v>332</v>
      </c>
      <c r="F1240" s="181" t="s">
        <v>333</v>
      </c>
      <c r="G1240" s="181" t="s">
        <v>2728</v>
      </c>
      <c r="H1240" s="181" t="s">
        <v>279</v>
      </c>
      <c r="I1240" s="181" t="s">
        <v>242</v>
      </c>
      <c r="J1240" s="184" t="n">
        <v>37930</v>
      </c>
      <c r="K1240" s="184" t="n">
        <v>14950</v>
      </c>
      <c r="L1240" s="185" t="n">
        <v>6</v>
      </c>
      <c r="M1240" s="184" t="n">
        <v>22980</v>
      </c>
      <c r="N1240" s="184" t="n">
        <v>21601.2</v>
      </c>
      <c r="O1240" s="186" t="s">
        <v>2883</v>
      </c>
      <c r="P1240" s="187" t="n">
        <v>45957</v>
      </c>
    </row>
    <row r="1241" customFormat="false" ht="51" hidden="false" customHeight="true" outlineLevel="0" collapsed="false">
      <c r="A1241" s="181" t="s">
        <v>2884</v>
      </c>
      <c r="B1241" s="182" t="n">
        <v>2722</v>
      </c>
      <c r="C1241" s="183" t="n">
        <v>172</v>
      </c>
      <c r="D1241" s="181" t="s">
        <v>2401</v>
      </c>
      <c r="E1241" s="181" t="s">
        <v>300</v>
      </c>
      <c r="F1241" s="181" t="s">
        <v>301</v>
      </c>
      <c r="G1241" s="181" t="s">
        <v>2728</v>
      </c>
      <c r="H1241" s="181" t="s">
        <v>279</v>
      </c>
      <c r="I1241" s="181" t="s">
        <v>242</v>
      </c>
      <c r="J1241" s="184" t="n">
        <v>62830</v>
      </c>
      <c r="K1241" s="184" t="n">
        <v>21410</v>
      </c>
      <c r="L1241" s="185" t="n">
        <v>16</v>
      </c>
      <c r="M1241" s="184" t="n">
        <v>41420</v>
      </c>
      <c r="N1241" s="184" t="n">
        <v>34792.8</v>
      </c>
      <c r="O1241" s="186" t="s">
        <v>2885</v>
      </c>
      <c r="P1241" s="187" t="n">
        <v>45957</v>
      </c>
    </row>
    <row r="1242" customFormat="false" ht="51" hidden="false" customHeight="true" outlineLevel="0" collapsed="false">
      <c r="A1242" s="181" t="s">
        <v>2886</v>
      </c>
      <c r="B1242" s="182" t="n">
        <v>2724</v>
      </c>
      <c r="C1242" s="183" t="n">
        <v>175</v>
      </c>
      <c r="D1242" s="181" t="s">
        <v>2401</v>
      </c>
      <c r="E1242" s="181" t="s">
        <v>288</v>
      </c>
      <c r="F1242" s="181" t="s">
        <v>289</v>
      </c>
      <c r="G1242" s="181" t="s">
        <v>2728</v>
      </c>
      <c r="H1242" s="181" t="s">
        <v>279</v>
      </c>
      <c r="I1242" s="181" t="s">
        <v>242</v>
      </c>
      <c r="J1242" s="184" t="n">
        <v>36980</v>
      </c>
      <c r="K1242" s="184" t="n">
        <v>14950</v>
      </c>
      <c r="L1242" s="185" t="n">
        <v>6</v>
      </c>
      <c r="M1242" s="184" t="n">
        <v>22030</v>
      </c>
      <c r="N1242" s="184" t="n">
        <v>20708.2</v>
      </c>
      <c r="O1242" s="186" t="s">
        <v>2887</v>
      </c>
      <c r="P1242" s="187" t="n">
        <v>45957</v>
      </c>
    </row>
    <row r="1243" customFormat="false" ht="51" hidden="false" customHeight="true" outlineLevel="0" collapsed="false">
      <c r="A1243" s="181" t="s">
        <v>2876</v>
      </c>
      <c r="B1243" s="182" t="n">
        <v>2720</v>
      </c>
      <c r="C1243" s="183" t="n">
        <v>173</v>
      </c>
      <c r="D1243" s="181" t="s">
        <v>2401</v>
      </c>
      <c r="E1243" s="181" t="s">
        <v>582</v>
      </c>
      <c r="F1243" s="181" t="s">
        <v>583</v>
      </c>
      <c r="G1243" s="181" t="s">
        <v>2728</v>
      </c>
      <c r="H1243" s="181" t="s">
        <v>279</v>
      </c>
      <c r="I1243" s="181" t="s">
        <v>242</v>
      </c>
      <c r="J1243" s="184" t="n">
        <v>40500</v>
      </c>
      <c r="K1243" s="184" t="n">
        <v>15220</v>
      </c>
      <c r="L1243" s="185" t="n">
        <v>8</v>
      </c>
      <c r="M1243" s="184" t="n">
        <v>25280</v>
      </c>
      <c r="N1243" s="184" t="n">
        <v>23257.6</v>
      </c>
      <c r="O1243" s="186" t="s">
        <v>2877</v>
      </c>
      <c r="P1243" s="187" t="n">
        <v>45957</v>
      </c>
    </row>
    <row r="1244" customFormat="false" ht="51" hidden="false" customHeight="true" outlineLevel="0" collapsed="false">
      <c r="A1244" s="181" t="s">
        <v>2888</v>
      </c>
      <c r="B1244" s="182" t="n">
        <v>2725</v>
      </c>
      <c r="C1244" s="183" t="n">
        <v>176</v>
      </c>
      <c r="D1244" s="181" t="s">
        <v>2401</v>
      </c>
      <c r="E1244" s="181" t="s">
        <v>533</v>
      </c>
      <c r="F1244" s="181" t="s">
        <v>534</v>
      </c>
      <c r="G1244" s="181" t="s">
        <v>2728</v>
      </c>
      <c r="H1244" s="181" t="s">
        <v>279</v>
      </c>
      <c r="I1244" s="181" t="s">
        <v>242</v>
      </c>
      <c r="J1244" s="184" t="n">
        <v>39170</v>
      </c>
      <c r="K1244" s="184" t="n">
        <v>14840</v>
      </c>
      <c r="L1244" s="185" t="n">
        <v>5</v>
      </c>
      <c r="M1244" s="184" t="n">
        <v>24330</v>
      </c>
      <c r="N1244" s="184" t="n">
        <v>23113.5</v>
      </c>
      <c r="O1244" s="186" t="s">
        <v>2889</v>
      </c>
      <c r="P1244" s="187" t="n">
        <v>45957</v>
      </c>
    </row>
    <row r="1245" customFormat="false" ht="51" hidden="false" customHeight="true" outlineLevel="0" collapsed="false">
      <c r="A1245" s="181" t="s">
        <v>2890</v>
      </c>
      <c r="B1245" s="182" t="n">
        <v>2727</v>
      </c>
      <c r="C1245" s="183" t="n">
        <v>177</v>
      </c>
      <c r="D1245" s="181" t="s">
        <v>2401</v>
      </c>
      <c r="E1245" s="181" t="s">
        <v>545</v>
      </c>
      <c r="F1245" s="181" t="s">
        <v>546</v>
      </c>
      <c r="G1245" s="181" t="s">
        <v>2728</v>
      </c>
      <c r="H1245" s="181" t="s">
        <v>279</v>
      </c>
      <c r="I1245" s="181" t="s">
        <v>242</v>
      </c>
      <c r="J1245" s="184" t="n">
        <v>39930</v>
      </c>
      <c r="K1245" s="184" t="n">
        <v>16150</v>
      </c>
      <c r="L1245" s="185" t="n">
        <v>8</v>
      </c>
      <c r="M1245" s="184" t="n">
        <v>23780</v>
      </c>
      <c r="N1245" s="184" t="n">
        <v>21877.6</v>
      </c>
      <c r="O1245" s="186" t="s">
        <v>2891</v>
      </c>
      <c r="P1245" s="187" t="n">
        <v>45958</v>
      </c>
    </row>
    <row r="1246" customFormat="false" ht="51" hidden="false" customHeight="true" outlineLevel="0" collapsed="false">
      <c r="A1246" s="181" t="s">
        <v>2898</v>
      </c>
      <c r="B1246" s="182" t="n">
        <v>2728</v>
      </c>
      <c r="C1246" s="183" t="n">
        <v>178</v>
      </c>
      <c r="D1246" s="181" t="s">
        <v>2401</v>
      </c>
      <c r="E1246" s="181" t="s">
        <v>336</v>
      </c>
      <c r="F1246" s="181" t="s">
        <v>337</v>
      </c>
      <c r="G1246" s="181" t="s">
        <v>2728</v>
      </c>
      <c r="H1246" s="181" t="s">
        <v>279</v>
      </c>
      <c r="I1246" s="181" t="s">
        <v>242</v>
      </c>
      <c r="J1246" s="184" t="n">
        <v>39210</v>
      </c>
      <c r="K1246" s="184" t="n">
        <v>14730</v>
      </c>
      <c r="L1246" s="185" t="n">
        <v>10</v>
      </c>
      <c r="M1246" s="184" t="n">
        <v>24480</v>
      </c>
      <c r="N1246" s="184" t="n">
        <v>22032</v>
      </c>
      <c r="O1246" s="186" t="s">
        <v>2899</v>
      </c>
      <c r="P1246" s="187" t="n">
        <v>45958</v>
      </c>
    </row>
    <row r="1247" customFormat="false" ht="51" hidden="false" customHeight="true" outlineLevel="0" collapsed="false">
      <c r="A1247" s="181" t="s">
        <v>2900</v>
      </c>
      <c r="B1247" s="182" t="n">
        <v>2730</v>
      </c>
      <c r="C1247" s="183" t="n">
        <v>179</v>
      </c>
      <c r="D1247" s="181" t="s">
        <v>2401</v>
      </c>
      <c r="E1247" s="181" t="s">
        <v>292</v>
      </c>
      <c r="F1247" s="181" t="s">
        <v>293</v>
      </c>
      <c r="G1247" s="181" t="s">
        <v>2728</v>
      </c>
      <c r="H1247" s="181" t="s">
        <v>279</v>
      </c>
      <c r="I1247" s="181" t="s">
        <v>242</v>
      </c>
      <c r="J1247" s="184" t="n">
        <v>35840</v>
      </c>
      <c r="K1247" s="184" t="n">
        <v>14030</v>
      </c>
      <c r="L1247" s="185" t="n">
        <v>32</v>
      </c>
      <c r="M1247" s="184" t="n">
        <v>21810</v>
      </c>
      <c r="N1247" s="184" t="n">
        <v>14830.8</v>
      </c>
      <c r="O1247" s="186" t="s">
        <v>2901</v>
      </c>
      <c r="P1247" s="187" t="n">
        <v>45958</v>
      </c>
    </row>
    <row r="1248" customFormat="false" ht="51" hidden="false" customHeight="true" outlineLevel="0" collapsed="false">
      <c r="A1248" s="181" t="s">
        <v>2902</v>
      </c>
      <c r="B1248" s="182" t="n">
        <v>2733</v>
      </c>
      <c r="C1248" s="183" t="n">
        <v>180</v>
      </c>
      <c r="D1248" s="181" t="s">
        <v>2401</v>
      </c>
      <c r="E1248" s="181" t="s">
        <v>304</v>
      </c>
      <c r="F1248" s="181" t="s">
        <v>305</v>
      </c>
      <c r="G1248" s="181" t="s">
        <v>2728</v>
      </c>
      <c r="H1248" s="181" t="s">
        <v>279</v>
      </c>
      <c r="I1248" s="181" t="s">
        <v>242</v>
      </c>
      <c r="J1248" s="184" t="n">
        <v>39030</v>
      </c>
      <c r="K1248" s="184" t="n">
        <v>15220</v>
      </c>
      <c r="L1248" s="185" t="n">
        <v>8</v>
      </c>
      <c r="M1248" s="184" t="n">
        <v>23810</v>
      </c>
      <c r="N1248" s="184" t="n">
        <v>21905.2</v>
      </c>
      <c r="O1248" s="186" t="s">
        <v>2903</v>
      </c>
      <c r="P1248" s="187" t="n">
        <v>45958</v>
      </c>
    </row>
    <row r="1249" customFormat="false" ht="51" hidden="false" customHeight="true" outlineLevel="0" collapsed="false">
      <c r="A1249" s="181" t="s">
        <v>2904</v>
      </c>
      <c r="B1249" s="182" t="n">
        <v>2734</v>
      </c>
      <c r="C1249" s="183" t="n">
        <v>182</v>
      </c>
      <c r="D1249" s="181" t="s">
        <v>2401</v>
      </c>
      <c r="E1249" s="181" t="s">
        <v>537</v>
      </c>
      <c r="F1249" s="181" t="s">
        <v>538</v>
      </c>
      <c r="G1249" s="181" t="s">
        <v>2728</v>
      </c>
      <c r="H1249" s="181" t="s">
        <v>279</v>
      </c>
      <c r="I1249" s="181" t="s">
        <v>242</v>
      </c>
      <c r="J1249" s="184" t="n">
        <v>35240</v>
      </c>
      <c r="K1249" s="184" t="n">
        <v>14150</v>
      </c>
      <c r="L1249" s="185" t="n">
        <v>18</v>
      </c>
      <c r="M1249" s="184" t="n">
        <v>21090</v>
      </c>
      <c r="N1249" s="184" t="n">
        <v>17293.8</v>
      </c>
      <c r="O1249" s="186" t="s">
        <v>2905</v>
      </c>
      <c r="P1249" s="187" t="n">
        <v>45958</v>
      </c>
    </row>
    <row r="1250" customFormat="false" ht="51" hidden="false" customHeight="true" outlineLevel="0" collapsed="false">
      <c r="A1250" s="181" t="s">
        <v>2906</v>
      </c>
      <c r="B1250" s="182" t="n">
        <v>2735</v>
      </c>
      <c r="C1250" s="183" t="n">
        <v>183</v>
      </c>
      <c r="D1250" s="181" t="s">
        <v>2401</v>
      </c>
      <c r="E1250" s="181" t="s">
        <v>282</v>
      </c>
      <c r="F1250" s="181" t="s">
        <v>283</v>
      </c>
      <c r="G1250" s="181" t="s">
        <v>2728</v>
      </c>
      <c r="H1250" s="181" t="s">
        <v>279</v>
      </c>
      <c r="I1250" s="181" t="s">
        <v>242</v>
      </c>
      <c r="J1250" s="184" t="n">
        <v>39530</v>
      </c>
      <c r="K1250" s="184" t="n">
        <v>15200</v>
      </c>
      <c r="L1250" s="185" t="n">
        <v>20</v>
      </c>
      <c r="M1250" s="184" t="n">
        <v>24330</v>
      </c>
      <c r="N1250" s="184" t="n">
        <v>19464</v>
      </c>
      <c r="O1250" s="186" t="s">
        <v>2907</v>
      </c>
      <c r="P1250" s="187" t="n">
        <v>45958</v>
      </c>
    </row>
    <row r="1251" customFormat="false" ht="51" hidden="false" customHeight="true" outlineLevel="0" collapsed="false">
      <c r="A1251" s="181" t="s">
        <v>2908</v>
      </c>
      <c r="B1251" s="182" t="n">
        <v>2736</v>
      </c>
      <c r="C1251" s="183" t="n">
        <v>171</v>
      </c>
      <c r="D1251" s="181" t="s">
        <v>2401</v>
      </c>
      <c r="E1251" s="181" t="s">
        <v>340</v>
      </c>
      <c r="F1251" s="181" t="s">
        <v>341</v>
      </c>
      <c r="G1251" s="181" t="s">
        <v>2728</v>
      </c>
      <c r="H1251" s="181" t="s">
        <v>279</v>
      </c>
      <c r="I1251" s="181" t="s">
        <v>242</v>
      </c>
      <c r="J1251" s="184" t="n">
        <v>39290</v>
      </c>
      <c r="K1251" s="184" t="n">
        <v>15280</v>
      </c>
      <c r="L1251" s="185" t="n">
        <v>27</v>
      </c>
      <c r="M1251" s="184" t="n">
        <v>24010</v>
      </c>
      <c r="N1251" s="184" t="n">
        <v>17527.3</v>
      </c>
      <c r="O1251" s="186" t="s">
        <v>2909</v>
      </c>
      <c r="P1251" s="187" t="n">
        <v>45958</v>
      </c>
    </row>
    <row r="1252" customFormat="false" ht="51" hidden="false" customHeight="true" outlineLevel="0" collapsed="false">
      <c r="A1252" s="181" t="s">
        <v>2912</v>
      </c>
      <c r="B1252" s="182" t="n">
        <v>2737</v>
      </c>
      <c r="C1252" s="183" t="n">
        <v>184</v>
      </c>
      <c r="D1252" s="181" t="s">
        <v>2401</v>
      </c>
      <c r="E1252" s="181" t="s">
        <v>541</v>
      </c>
      <c r="F1252" s="181" t="s">
        <v>542</v>
      </c>
      <c r="G1252" s="181" t="s">
        <v>2728</v>
      </c>
      <c r="H1252" s="181" t="s">
        <v>279</v>
      </c>
      <c r="I1252" s="181" t="s">
        <v>242</v>
      </c>
      <c r="J1252" s="184" t="n">
        <v>40110</v>
      </c>
      <c r="K1252" s="184" t="n">
        <v>15070</v>
      </c>
      <c r="L1252" s="185" t="n">
        <v>14</v>
      </c>
      <c r="M1252" s="184" t="n">
        <v>25040</v>
      </c>
      <c r="N1252" s="184" t="n">
        <v>21534.4</v>
      </c>
      <c r="O1252" s="186" t="s">
        <v>2913</v>
      </c>
      <c r="P1252" s="187" t="n">
        <v>45958</v>
      </c>
    </row>
    <row r="1253" customFormat="false" ht="51" hidden="false" customHeight="true" outlineLevel="0" collapsed="false">
      <c r="A1253" s="181" t="s">
        <v>2910</v>
      </c>
      <c r="B1253" s="182" t="n">
        <v>2755</v>
      </c>
      <c r="C1253" s="183" t="n">
        <v>8206</v>
      </c>
      <c r="D1253" s="181" t="s">
        <v>2066</v>
      </c>
      <c r="E1253" s="181" t="s">
        <v>1646</v>
      </c>
      <c r="F1253" s="181" t="s">
        <v>1647</v>
      </c>
      <c r="G1253" s="181" t="s">
        <v>3334</v>
      </c>
      <c r="H1253" s="181" t="s">
        <v>158</v>
      </c>
      <c r="I1253" s="181" t="s">
        <v>241</v>
      </c>
      <c r="J1253" s="184" t="n">
        <v>30390</v>
      </c>
      <c r="K1253" s="184" t="n">
        <v>14430</v>
      </c>
      <c r="L1253" s="185" t="n">
        <v>17</v>
      </c>
      <c r="M1253" s="184" t="n">
        <v>15960</v>
      </c>
      <c r="N1253" s="184" t="n">
        <v>13246.8</v>
      </c>
      <c r="O1253" s="186" t="s">
        <v>2911</v>
      </c>
      <c r="P1253" s="187" t="n">
        <v>45958</v>
      </c>
    </row>
    <row r="1254" customFormat="false" ht="51" hidden="false" customHeight="true" outlineLevel="0" collapsed="false">
      <c r="A1254" s="181" t="s">
        <v>2914</v>
      </c>
      <c r="B1254" s="182" t="n">
        <v>2738</v>
      </c>
      <c r="C1254" s="183" t="n">
        <v>185</v>
      </c>
      <c r="D1254" s="181" t="s">
        <v>2401</v>
      </c>
      <c r="E1254" s="181" t="s">
        <v>2351</v>
      </c>
      <c r="F1254" s="181" t="s">
        <v>2352</v>
      </c>
      <c r="G1254" s="181" t="s">
        <v>2728</v>
      </c>
      <c r="H1254" s="181" t="s">
        <v>279</v>
      </c>
      <c r="I1254" s="181" t="s">
        <v>242</v>
      </c>
      <c r="J1254" s="184" t="n">
        <v>47920</v>
      </c>
      <c r="K1254" s="184" t="n">
        <v>17670</v>
      </c>
      <c r="L1254" s="185" t="n">
        <v>11</v>
      </c>
      <c r="M1254" s="184" t="n">
        <v>30250</v>
      </c>
      <c r="N1254" s="184" t="n">
        <v>26922.5</v>
      </c>
      <c r="O1254" s="186" t="s">
        <v>2915</v>
      </c>
      <c r="P1254" s="187" t="n">
        <v>45958</v>
      </c>
    </row>
    <row r="1255" customFormat="false" ht="51" hidden="false" customHeight="true" outlineLevel="0" collapsed="false">
      <c r="A1255" s="181" t="s">
        <v>2916</v>
      </c>
      <c r="B1255" s="182" t="n">
        <v>2739</v>
      </c>
      <c r="C1255" s="183" t="n">
        <v>186</v>
      </c>
      <c r="D1255" s="181" t="s">
        <v>2401</v>
      </c>
      <c r="E1255" s="181" t="s">
        <v>346</v>
      </c>
      <c r="F1255" s="181" t="s">
        <v>347</v>
      </c>
      <c r="G1255" s="181" t="s">
        <v>2728</v>
      </c>
      <c r="H1255" s="181" t="s">
        <v>279</v>
      </c>
      <c r="I1255" s="181" t="s">
        <v>242</v>
      </c>
      <c r="J1255" s="184" t="n">
        <v>38550</v>
      </c>
      <c r="K1255" s="184" t="n">
        <v>15300</v>
      </c>
      <c r="L1255" s="185" t="n">
        <v>12</v>
      </c>
      <c r="M1255" s="184" t="n">
        <v>23250</v>
      </c>
      <c r="N1255" s="184" t="n">
        <v>20460</v>
      </c>
      <c r="O1255" s="186" t="s">
        <v>2917</v>
      </c>
      <c r="P1255" s="187" t="n">
        <v>45958</v>
      </c>
    </row>
    <row r="1256" customFormat="false" ht="51" hidden="false" customHeight="true" outlineLevel="0" collapsed="false">
      <c r="A1256" s="181" t="s">
        <v>2920</v>
      </c>
      <c r="B1256" s="182" t="n">
        <v>2740</v>
      </c>
      <c r="C1256" s="183" t="n">
        <v>187</v>
      </c>
      <c r="D1256" s="181" t="s">
        <v>2401</v>
      </c>
      <c r="E1256" s="181" t="s">
        <v>399</v>
      </c>
      <c r="F1256" s="181" t="s">
        <v>400</v>
      </c>
      <c r="G1256" s="181" t="s">
        <v>2728</v>
      </c>
      <c r="H1256" s="181" t="s">
        <v>279</v>
      </c>
      <c r="I1256" s="181" t="s">
        <v>242</v>
      </c>
      <c r="J1256" s="184" t="n">
        <v>52090</v>
      </c>
      <c r="K1256" s="184" t="n">
        <v>19730</v>
      </c>
      <c r="L1256" s="185" t="n">
        <v>9</v>
      </c>
      <c r="M1256" s="184" t="n">
        <v>32360</v>
      </c>
      <c r="N1256" s="184" t="n">
        <v>29447.6</v>
      </c>
      <c r="O1256" s="186" t="s">
        <v>2921</v>
      </c>
      <c r="P1256" s="187" t="n">
        <v>45958</v>
      </c>
    </row>
    <row r="1257" customFormat="false" ht="51" hidden="false" customHeight="true" outlineLevel="0" collapsed="false">
      <c r="A1257" s="181" t="s">
        <v>2892</v>
      </c>
      <c r="B1257" s="182" t="n">
        <v>2743</v>
      </c>
      <c r="C1257" s="183" t="n">
        <v>188</v>
      </c>
      <c r="D1257" s="181" t="s">
        <v>2401</v>
      </c>
      <c r="E1257" s="181" t="s">
        <v>576</v>
      </c>
      <c r="F1257" s="181" t="s">
        <v>577</v>
      </c>
      <c r="G1257" s="181" t="s">
        <v>2728</v>
      </c>
      <c r="H1257" s="181" t="s">
        <v>279</v>
      </c>
      <c r="I1257" s="181" t="s">
        <v>242</v>
      </c>
      <c r="J1257" s="184" t="n">
        <v>38980</v>
      </c>
      <c r="K1257" s="184" t="n">
        <v>14630</v>
      </c>
      <c r="L1257" s="185" t="n">
        <v>10</v>
      </c>
      <c r="M1257" s="184" t="n">
        <v>24350</v>
      </c>
      <c r="N1257" s="184" t="n">
        <v>21915</v>
      </c>
      <c r="O1257" s="186" t="s">
        <v>2893</v>
      </c>
      <c r="P1257" s="187" t="n">
        <v>45958</v>
      </c>
    </row>
    <row r="1258" customFormat="false" ht="51" hidden="false" customHeight="true" outlineLevel="0" collapsed="false">
      <c r="A1258" s="181" t="s">
        <v>2922</v>
      </c>
      <c r="B1258" s="182" t="n">
        <v>2746</v>
      </c>
      <c r="C1258" s="183" t="n">
        <v>189</v>
      </c>
      <c r="D1258" s="181" t="s">
        <v>2401</v>
      </c>
      <c r="E1258" s="181" t="s">
        <v>266</v>
      </c>
      <c r="F1258" s="181" t="s">
        <v>267</v>
      </c>
      <c r="G1258" s="181" t="s">
        <v>2728</v>
      </c>
      <c r="H1258" s="181" t="s">
        <v>279</v>
      </c>
      <c r="I1258" s="181" t="s">
        <v>242</v>
      </c>
      <c r="J1258" s="184" t="n">
        <v>38570</v>
      </c>
      <c r="K1258" s="184" t="n">
        <v>15160</v>
      </c>
      <c r="L1258" s="185" t="n">
        <v>10</v>
      </c>
      <c r="M1258" s="184" t="n">
        <v>23410</v>
      </c>
      <c r="N1258" s="184" t="n">
        <v>21069</v>
      </c>
      <c r="O1258" s="186" t="s">
        <v>2923</v>
      </c>
      <c r="P1258" s="187" t="n">
        <v>45958</v>
      </c>
    </row>
    <row r="1259" customFormat="false" ht="51" hidden="false" customHeight="true" outlineLevel="0" collapsed="false">
      <c r="A1259" s="181" t="s">
        <v>2894</v>
      </c>
      <c r="B1259" s="182" t="n">
        <v>2747</v>
      </c>
      <c r="C1259" s="183" t="n">
        <v>190</v>
      </c>
      <c r="D1259" s="181" t="s">
        <v>2401</v>
      </c>
      <c r="E1259" s="181" t="s">
        <v>383</v>
      </c>
      <c r="F1259" s="181" t="s">
        <v>384</v>
      </c>
      <c r="G1259" s="181" t="s">
        <v>2728</v>
      </c>
      <c r="H1259" s="181" t="s">
        <v>279</v>
      </c>
      <c r="I1259" s="181" t="s">
        <v>242</v>
      </c>
      <c r="J1259" s="184" t="n">
        <v>40840</v>
      </c>
      <c r="K1259" s="184" t="n">
        <v>15090</v>
      </c>
      <c r="L1259" s="185" t="n">
        <v>7</v>
      </c>
      <c r="M1259" s="184" t="n">
        <v>25750</v>
      </c>
      <c r="N1259" s="184" t="n">
        <v>23947.5</v>
      </c>
      <c r="O1259" s="186" t="s">
        <v>2895</v>
      </c>
      <c r="P1259" s="187" t="n">
        <v>45958</v>
      </c>
    </row>
    <row r="1260" customFormat="false" ht="51" hidden="false" customHeight="true" outlineLevel="0" collapsed="false">
      <c r="A1260" s="181" t="s">
        <v>2896</v>
      </c>
      <c r="B1260" s="182" t="n">
        <v>2748</v>
      </c>
      <c r="C1260" s="183" t="n">
        <v>191</v>
      </c>
      <c r="D1260" s="181" t="s">
        <v>2401</v>
      </c>
      <c r="E1260" s="181" t="s">
        <v>377</v>
      </c>
      <c r="F1260" s="181" t="s">
        <v>378</v>
      </c>
      <c r="G1260" s="181" t="s">
        <v>2728</v>
      </c>
      <c r="H1260" s="181" t="s">
        <v>279</v>
      </c>
      <c r="I1260" s="181" t="s">
        <v>242</v>
      </c>
      <c r="J1260" s="184" t="n">
        <v>43030</v>
      </c>
      <c r="K1260" s="184" t="n">
        <v>15910</v>
      </c>
      <c r="L1260" s="185" t="n">
        <v>14</v>
      </c>
      <c r="M1260" s="184" t="n">
        <v>27120</v>
      </c>
      <c r="N1260" s="184" t="n">
        <v>23323.2</v>
      </c>
      <c r="O1260" s="186" t="s">
        <v>2897</v>
      </c>
      <c r="P1260" s="187" t="n">
        <v>45958</v>
      </c>
    </row>
    <row r="1261" customFormat="false" ht="51" hidden="false" customHeight="true" outlineLevel="0" collapsed="false">
      <c r="A1261" s="181" t="s">
        <v>2918</v>
      </c>
      <c r="B1261" s="182" t="n">
        <v>2758</v>
      </c>
      <c r="C1261" s="183" t="n">
        <v>203</v>
      </c>
      <c r="D1261" s="181" t="s">
        <v>2401</v>
      </c>
      <c r="E1261" s="181" t="s">
        <v>288</v>
      </c>
      <c r="F1261" s="181" t="s">
        <v>289</v>
      </c>
      <c r="G1261" s="181" t="s">
        <v>2715</v>
      </c>
      <c r="H1261" s="181" t="s">
        <v>279</v>
      </c>
      <c r="I1261" s="181" t="s">
        <v>242</v>
      </c>
      <c r="J1261" s="184" t="n">
        <v>34500</v>
      </c>
      <c r="K1261" s="184" t="n">
        <v>14970</v>
      </c>
      <c r="L1261" s="185" t="n">
        <v>5</v>
      </c>
      <c r="M1261" s="184" t="n">
        <v>19530</v>
      </c>
      <c r="N1261" s="184" t="n">
        <v>18553.5</v>
      </c>
      <c r="O1261" s="186" t="s">
        <v>2919</v>
      </c>
      <c r="P1261" s="187" t="n">
        <v>45958</v>
      </c>
    </row>
    <row r="1262" customFormat="false" ht="51" hidden="false" customHeight="true" outlineLevel="0" collapsed="false">
      <c r="A1262" s="181" t="s">
        <v>2924</v>
      </c>
      <c r="B1262" s="182" t="n">
        <v>2761</v>
      </c>
      <c r="C1262" s="183" t="n">
        <v>196</v>
      </c>
      <c r="D1262" s="181" t="s">
        <v>2401</v>
      </c>
      <c r="E1262" s="181" t="s">
        <v>413</v>
      </c>
      <c r="F1262" s="181" t="s">
        <v>414</v>
      </c>
      <c r="G1262" s="181" t="s">
        <v>2715</v>
      </c>
      <c r="H1262" s="181" t="s">
        <v>279</v>
      </c>
      <c r="I1262" s="181" t="s">
        <v>242</v>
      </c>
      <c r="J1262" s="184" t="n">
        <v>43680</v>
      </c>
      <c r="K1262" s="184" t="n">
        <v>16350</v>
      </c>
      <c r="L1262" s="185" t="n">
        <v>12</v>
      </c>
      <c r="M1262" s="184" t="n">
        <v>27330</v>
      </c>
      <c r="N1262" s="184" t="n">
        <v>24050.4</v>
      </c>
      <c r="O1262" s="186" t="s">
        <v>2925</v>
      </c>
      <c r="P1262" s="187" t="n">
        <v>45958</v>
      </c>
    </row>
    <row r="1263" customFormat="false" ht="51" hidden="false" customHeight="true" outlineLevel="0" collapsed="false">
      <c r="A1263" s="181" t="s">
        <v>2926</v>
      </c>
      <c r="B1263" s="182" t="n">
        <v>2762</v>
      </c>
      <c r="C1263" s="183" t="n">
        <v>193</v>
      </c>
      <c r="D1263" s="181" t="s">
        <v>2401</v>
      </c>
      <c r="E1263" s="181" t="s">
        <v>350</v>
      </c>
      <c r="F1263" s="181" t="s">
        <v>351</v>
      </c>
      <c r="G1263" s="181" t="s">
        <v>2715</v>
      </c>
      <c r="H1263" s="181" t="s">
        <v>279</v>
      </c>
      <c r="I1263" s="181" t="s">
        <v>242</v>
      </c>
      <c r="J1263" s="184" t="n">
        <v>39000</v>
      </c>
      <c r="K1263" s="184" t="n">
        <v>15240</v>
      </c>
      <c r="L1263" s="185" t="n">
        <v>14</v>
      </c>
      <c r="M1263" s="184" t="n">
        <v>23760</v>
      </c>
      <c r="N1263" s="184" t="n">
        <v>20433.6</v>
      </c>
      <c r="O1263" s="186" t="s">
        <v>2927</v>
      </c>
      <c r="P1263" s="187" t="n">
        <v>45959</v>
      </c>
    </row>
    <row r="1264" customFormat="false" ht="51" hidden="false" customHeight="true" outlineLevel="0" collapsed="false">
      <c r="A1264" s="181" t="s">
        <v>2928</v>
      </c>
      <c r="B1264" s="182" t="n">
        <v>2763</v>
      </c>
      <c r="C1264" s="183" t="n">
        <v>192</v>
      </c>
      <c r="D1264" s="181" t="s">
        <v>2401</v>
      </c>
      <c r="E1264" s="181" t="s">
        <v>387</v>
      </c>
      <c r="F1264" s="181" t="s">
        <v>388</v>
      </c>
      <c r="G1264" s="181" t="s">
        <v>2715</v>
      </c>
      <c r="H1264" s="181" t="s">
        <v>279</v>
      </c>
      <c r="I1264" s="181" t="s">
        <v>242</v>
      </c>
      <c r="J1264" s="184" t="n">
        <v>39910</v>
      </c>
      <c r="K1264" s="184" t="n">
        <v>15280</v>
      </c>
      <c r="L1264" s="185" t="n">
        <v>21</v>
      </c>
      <c r="M1264" s="184" t="n">
        <v>24630</v>
      </c>
      <c r="N1264" s="184" t="n">
        <v>19457.7</v>
      </c>
      <c r="O1264" s="186" t="s">
        <v>2929</v>
      </c>
      <c r="P1264" s="187" t="n">
        <v>45959</v>
      </c>
    </row>
    <row r="1265" customFormat="false" ht="51" hidden="false" customHeight="true" outlineLevel="0" collapsed="false">
      <c r="A1265" s="181" t="s">
        <v>2930</v>
      </c>
      <c r="B1265" s="182" t="n">
        <v>2764</v>
      </c>
      <c r="C1265" s="183" t="n">
        <v>194</v>
      </c>
      <c r="D1265" s="181" t="s">
        <v>2401</v>
      </c>
      <c r="E1265" s="181" t="s">
        <v>373</v>
      </c>
      <c r="F1265" s="181" t="s">
        <v>374</v>
      </c>
      <c r="G1265" s="181" t="s">
        <v>2715</v>
      </c>
      <c r="H1265" s="181" t="s">
        <v>279</v>
      </c>
      <c r="I1265" s="181" t="s">
        <v>242</v>
      </c>
      <c r="J1265" s="184" t="n">
        <v>37630</v>
      </c>
      <c r="K1265" s="184" t="n">
        <v>14510</v>
      </c>
      <c r="L1265" s="185" t="n">
        <v>20</v>
      </c>
      <c r="M1265" s="184" t="n">
        <v>23120</v>
      </c>
      <c r="N1265" s="184" t="n">
        <v>18496</v>
      </c>
      <c r="O1265" s="186" t="s">
        <v>2931</v>
      </c>
      <c r="P1265" s="187" t="n">
        <v>45959</v>
      </c>
    </row>
    <row r="1266" customFormat="false" ht="51" hidden="false" customHeight="true" outlineLevel="0" collapsed="false">
      <c r="A1266" s="181" t="s">
        <v>2932</v>
      </c>
      <c r="B1266" s="182" t="n">
        <v>2765</v>
      </c>
      <c r="C1266" s="183" t="n">
        <v>181</v>
      </c>
      <c r="D1266" s="181" t="s">
        <v>2401</v>
      </c>
      <c r="E1266" s="181" t="s">
        <v>308</v>
      </c>
      <c r="F1266" s="181" t="s">
        <v>309</v>
      </c>
      <c r="G1266" s="181" t="s">
        <v>2715</v>
      </c>
      <c r="H1266" s="181" t="s">
        <v>279</v>
      </c>
      <c r="I1266" s="181" t="s">
        <v>242</v>
      </c>
      <c r="J1266" s="184" t="n">
        <v>43510</v>
      </c>
      <c r="K1266" s="184" t="n">
        <v>24180</v>
      </c>
      <c r="L1266" s="185" t="n">
        <v>4</v>
      </c>
      <c r="M1266" s="184" t="n">
        <v>19330</v>
      </c>
      <c r="N1266" s="184" t="n">
        <v>18556.8</v>
      </c>
      <c r="O1266" s="186" t="s">
        <v>2933</v>
      </c>
      <c r="P1266" s="187" t="n">
        <v>45959</v>
      </c>
    </row>
    <row r="1267" customFormat="false" ht="51" hidden="false" customHeight="true" outlineLevel="0" collapsed="false">
      <c r="A1267" s="181" t="s">
        <v>2934</v>
      </c>
      <c r="B1267" s="182" t="n">
        <v>2766</v>
      </c>
      <c r="C1267" s="183" t="n">
        <v>195</v>
      </c>
      <c r="D1267" s="181" t="s">
        <v>2401</v>
      </c>
      <c r="E1267" s="181" t="s">
        <v>261</v>
      </c>
      <c r="F1267" s="181" t="s">
        <v>262</v>
      </c>
      <c r="G1267" s="181" t="s">
        <v>2715</v>
      </c>
      <c r="H1267" s="181" t="s">
        <v>279</v>
      </c>
      <c r="I1267" s="181" t="s">
        <v>242</v>
      </c>
      <c r="J1267" s="184" t="n">
        <v>36500</v>
      </c>
      <c r="K1267" s="184" t="n">
        <v>15380</v>
      </c>
      <c r="L1267" s="185" t="n">
        <v>6</v>
      </c>
      <c r="M1267" s="184" t="n">
        <v>21120</v>
      </c>
      <c r="N1267" s="184" t="n">
        <v>19852.8</v>
      </c>
      <c r="O1267" s="186" t="s">
        <v>2935</v>
      </c>
      <c r="P1267" s="187" t="n">
        <v>45959</v>
      </c>
    </row>
    <row r="1268" customFormat="false" ht="51" hidden="false" customHeight="true" outlineLevel="0" collapsed="false">
      <c r="A1268" s="181" t="s">
        <v>2938</v>
      </c>
      <c r="B1268" s="182" t="n">
        <v>2772</v>
      </c>
      <c r="C1268" s="183" t="n">
        <v>197</v>
      </c>
      <c r="D1268" s="181" t="s">
        <v>2401</v>
      </c>
      <c r="E1268" s="181" t="s">
        <v>277</v>
      </c>
      <c r="F1268" s="181" t="s">
        <v>278</v>
      </c>
      <c r="G1268" s="181" t="s">
        <v>2715</v>
      </c>
      <c r="H1268" s="181" t="s">
        <v>279</v>
      </c>
      <c r="I1268" s="181" t="s">
        <v>242</v>
      </c>
      <c r="J1268" s="184" t="n">
        <v>38740</v>
      </c>
      <c r="K1268" s="184" t="n">
        <v>15430</v>
      </c>
      <c r="L1268" s="185" t="n">
        <v>12</v>
      </c>
      <c r="M1268" s="184" t="n">
        <v>23310</v>
      </c>
      <c r="N1268" s="184" t="n">
        <v>20512.8</v>
      </c>
      <c r="O1268" s="186" t="s">
        <v>2939</v>
      </c>
      <c r="P1268" s="187" t="n">
        <v>45959</v>
      </c>
    </row>
    <row r="1269" customFormat="false" ht="51" hidden="false" customHeight="true" outlineLevel="0" collapsed="false">
      <c r="A1269" s="181" t="s">
        <v>2942</v>
      </c>
      <c r="B1269" s="182" t="n">
        <v>2773</v>
      </c>
      <c r="C1269" s="183" t="n">
        <v>198</v>
      </c>
      <c r="D1269" s="181" t="s">
        <v>2401</v>
      </c>
      <c r="E1269" s="181" t="s">
        <v>549</v>
      </c>
      <c r="F1269" s="181" t="s">
        <v>550</v>
      </c>
      <c r="G1269" s="181" t="s">
        <v>2715</v>
      </c>
      <c r="H1269" s="181" t="s">
        <v>279</v>
      </c>
      <c r="I1269" s="181" t="s">
        <v>242</v>
      </c>
      <c r="J1269" s="184" t="n">
        <v>39210</v>
      </c>
      <c r="K1269" s="184" t="n">
        <v>15840</v>
      </c>
      <c r="L1269" s="185" t="n">
        <v>6</v>
      </c>
      <c r="M1269" s="184" t="n">
        <v>23370</v>
      </c>
      <c r="N1269" s="184" t="n">
        <v>21967.8</v>
      </c>
      <c r="O1269" s="186" t="s">
        <v>2943</v>
      </c>
      <c r="P1269" s="187" t="n">
        <v>45959</v>
      </c>
    </row>
    <row r="1270" customFormat="false" ht="51" hidden="false" customHeight="true" outlineLevel="0" collapsed="false">
      <c r="A1270" s="181" t="s">
        <v>2948</v>
      </c>
      <c r="B1270" s="182" t="n">
        <v>2774</v>
      </c>
      <c r="C1270" s="183" t="n">
        <v>200</v>
      </c>
      <c r="D1270" s="181" t="s">
        <v>2401</v>
      </c>
      <c r="E1270" s="181" t="s">
        <v>582</v>
      </c>
      <c r="F1270" s="181" t="s">
        <v>583</v>
      </c>
      <c r="G1270" s="181" t="s">
        <v>2715</v>
      </c>
      <c r="H1270" s="181" t="s">
        <v>279</v>
      </c>
      <c r="I1270" s="181" t="s">
        <v>242</v>
      </c>
      <c r="J1270" s="184" t="n">
        <v>39740</v>
      </c>
      <c r="K1270" s="184" t="n">
        <v>15150</v>
      </c>
      <c r="L1270" s="185" t="n">
        <v>14</v>
      </c>
      <c r="M1270" s="184" t="n">
        <v>24590</v>
      </c>
      <c r="N1270" s="184" t="n">
        <v>21147.4</v>
      </c>
      <c r="O1270" s="186" t="s">
        <v>2949</v>
      </c>
      <c r="P1270" s="187" t="n">
        <v>45959</v>
      </c>
    </row>
    <row r="1271" customFormat="false" ht="51" hidden="false" customHeight="true" outlineLevel="0" collapsed="false">
      <c r="A1271" s="181" t="s">
        <v>2952</v>
      </c>
      <c r="B1271" s="182" t="n">
        <v>2775</v>
      </c>
      <c r="C1271" s="183" t="n">
        <v>201</v>
      </c>
      <c r="D1271" s="181" t="s">
        <v>2401</v>
      </c>
      <c r="E1271" s="181" t="s">
        <v>332</v>
      </c>
      <c r="F1271" s="181" t="s">
        <v>333</v>
      </c>
      <c r="G1271" s="181" t="s">
        <v>2715</v>
      </c>
      <c r="H1271" s="181" t="s">
        <v>279</v>
      </c>
      <c r="I1271" s="181" t="s">
        <v>242</v>
      </c>
      <c r="J1271" s="184" t="n">
        <v>37990</v>
      </c>
      <c r="K1271" s="184" t="n">
        <v>15020</v>
      </c>
      <c r="L1271" s="185" t="n">
        <v>14</v>
      </c>
      <c r="M1271" s="184" t="n">
        <v>22970</v>
      </c>
      <c r="N1271" s="184" t="n">
        <v>19754.2</v>
      </c>
      <c r="O1271" s="186" t="s">
        <v>2953</v>
      </c>
      <c r="P1271" s="187" t="n">
        <v>45959</v>
      </c>
    </row>
    <row r="1272" customFormat="false" ht="51" hidden="false" customHeight="true" outlineLevel="0" collapsed="false">
      <c r="A1272" s="181" t="s">
        <v>2936</v>
      </c>
      <c r="B1272" s="182" t="n">
        <v>2776</v>
      </c>
      <c r="C1272" s="183" t="n">
        <v>199</v>
      </c>
      <c r="D1272" s="181" t="s">
        <v>2401</v>
      </c>
      <c r="E1272" s="181" t="s">
        <v>409</v>
      </c>
      <c r="F1272" s="181" t="s">
        <v>410</v>
      </c>
      <c r="G1272" s="181" t="s">
        <v>2715</v>
      </c>
      <c r="H1272" s="181" t="s">
        <v>279</v>
      </c>
      <c r="I1272" s="181" t="s">
        <v>242</v>
      </c>
      <c r="J1272" s="184" t="n">
        <v>64100</v>
      </c>
      <c r="K1272" s="184" t="n">
        <v>24740</v>
      </c>
      <c r="L1272" s="185" t="n">
        <v>7</v>
      </c>
      <c r="M1272" s="184" t="n">
        <v>39360</v>
      </c>
      <c r="N1272" s="184" t="n">
        <v>36604.8</v>
      </c>
      <c r="O1272" s="186" t="s">
        <v>2937</v>
      </c>
      <c r="P1272" s="187" t="n">
        <v>45959</v>
      </c>
    </row>
    <row r="1273" customFormat="false" ht="51" hidden="false" customHeight="true" outlineLevel="0" collapsed="false">
      <c r="A1273" s="181" t="s">
        <v>2940</v>
      </c>
      <c r="B1273" s="182" t="n">
        <v>2777</v>
      </c>
      <c r="C1273" s="183" t="n">
        <v>202</v>
      </c>
      <c r="D1273" s="181" t="s">
        <v>2401</v>
      </c>
      <c r="E1273" s="181" t="s">
        <v>367</v>
      </c>
      <c r="F1273" s="181" t="s">
        <v>368</v>
      </c>
      <c r="G1273" s="181" t="s">
        <v>2715</v>
      </c>
      <c r="H1273" s="181" t="s">
        <v>279</v>
      </c>
      <c r="I1273" s="181" t="s">
        <v>242</v>
      </c>
      <c r="J1273" s="184" t="n">
        <v>50270</v>
      </c>
      <c r="K1273" s="184" t="n">
        <v>18920</v>
      </c>
      <c r="L1273" s="185" t="n">
        <v>9</v>
      </c>
      <c r="M1273" s="184" t="n">
        <v>31350</v>
      </c>
      <c r="N1273" s="184" t="n">
        <v>28528.5</v>
      </c>
      <c r="O1273" s="186" t="s">
        <v>2941</v>
      </c>
      <c r="P1273" s="187" t="n">
        <v>45959</v>
      </c>
    </row>
    <row r="1274" customFormat="false" ht="51" hidden="false" customHeight="true" outlineLevel="0" collapsed="false">
      <c r="A1274" s="181" t="s">
        <v>2944</v>
      </c>
      <c r="B1274" s="182" t="n">
        <v>2778</v>
      </c>
      <c r="C1274" s="183" t="n">
        <v>205</v>
      </c>
      <c r="D1274" s="181" t="s">
        <v>2401</v>
      </c>
      <c r="E1274" s="181" t="s">
        <v>533</v>
      </c>
      <c r="F1274" s="181" t="s">
        <v>534</v>
      </c>
      <c r="G1274" s="181" t="s">
        <v>2715</v>
      </c>
      <c r="H1274" s="181" t="s">
        <v>279</v>
      </c>
      <c r="I1274" s="181" t="s">
        <v>242</v>
      </c>
      <c r="J1274" s="184" t="n">
        <v>38130</v>
      </c>
      <c r="K1274" s="184" t="n">
        <v>14880</v>
      </c>
      <c r="L1274" s="185" t="n">
        <v>7</v>
      </c>
      <c r="M1274" s="184" t="n">
        <v>23250</v>
      </c>
      <c r="N1274" s="184" t="n">
        <v>21622.5</v>
      </c>
      <c r="O1274" s="186" t="s">
        <v>2945</v>
      </c>
      <c r="P1274" s="187" t="n">
        <v>45959</v>
      </c>
    </row>
    <row r="1275" customFormat="false" ht="51" hidden="false" customHeight="true" outlineLevel="0" collapsed="false">
      <c r="A1275" s="181" t="s">
        <v>2946</v>
      </c>
      <c r="B1275" s="182" t="n">
        <v>2779</v>
      </c>
      <c r="C1275" s="183" t="n">
        <v>206</v>
      </c>
      <c r="D1275" s="181" t="s">
        <v>2401</v>
      </c>
      <c r="E1275" s="181" t="s">
        <v>545</v>
      </c>
      <c r="F1275" s="181" t="s">
        <v>546</v>
      </c>
      <c r="G1275" s="181" t="s">
        <v>2715</v>
      </c>
      <c r="H1275" s="181" t="s">
        <v>279</v>
      </c>
      <c r="I1275" s="181" t="s">
        <v>242</v>
      </c>
      <c r="J1275" s="184" t="n">
        <v>41100</v>
      </c>
      <c r="K1275" s="184" t="n">
        <v>16280</v>
      </c>
      <c r="L1275" s="185" t="n">
        <v>14</v>
      </c>
      <c r="M1275" s="184" t="n">
        <v>24820</v>
      </c>
      <c r="N1275" s="184" t="n">
        <v>21345.2</v>
      </c>
      <c r="O1275" s="186" t="s">
        <v>2947</v>
      </c>
      <c r="P1275" s="187" t="n">
        <v>45959</v>
      </c>
    </row>
    <row r="1276" customFormat="false" ht="51" hidden="false" customHeight="true" outlineLevel="0" collapsed="false">
      <c r="A1276" s="181" t="s">
        <v>2950</v>
      </c>
      <c r="B1276" s="182" t="n">
        <v>2780</v>
      </c>
      <c r="C1276" s="183" t="n">
        <v>204</v>
      </c>
      <c r="D1276" s="181" t="s">
        <v>2401</v>
      </c>
      <c r="E1276" s="181" t="s">
        <v>537</v>
      </c>
      <c r="F1276" s="181" t="s">
        <v>538</v>
      </c>
      <c r="G1276" s="181" t="s">
        <v>2715</v>
      </c>
      <c r="H1276" s="181" t="s">
        <v>279</v>
      </c>
      <c r="I1276" s="181" t="s">
        <v>242</v>
      </c>
      <c r="J1276" s="184" t="n">
        <v>35310</v>
      </c>
      <c r="K1276" s="184" t="n">
        <v>14100</v>
      </c>
      <c r="L1276" s="185" t="n">
        <v>22</v>
      </c>
      <c r="M1276" s="184" t="n">
        <v>21210</v>
      </c>
      <c r="N1276" s="184" t="n">
        <v>16543.8</v>
      </c>
      <c r="O1276" s="186" t="s">
        <v>2951</v>
      </c>
      <c r="P1276" s="187" t="n">
        <v>45959</v>
      </c>
    </row>
    <row r="1277" customFormat="false" ht="51" hidden="false" customHeight="true" outlineLevel="0" collapsed="false">
      <c r="A1277" s="181" t="s">
        <v>2954</v>
      </c>
      <c r="B1277" s="182" t="n">
        <v>2781</v>
      </c>
      <c r="C1277" s="183" t="n">
        <v>207</v>
      </c>
      <c r="D1277" s="181" t="s">
        <v>2401</v>
      </c>
      <c r="E1277" s="181" t="s">
        <v>354</v>
      </c>
      <c r="F1277" s="181" t="s">
        <v>355</v>
      </c>
      <c r="G1277" s="181" t="s">
        <v>2715</v>
      </c>
      <c r="H1277" s="181" t="s">
        <v>279</v>
      </c>
      <c r="I1277" s="181" t="s">
        <v>242</v>
      </c>
      <c r="J1277" s="184" t="n">
        <v>39290</v>
      </c>
      <c r="K1277" s="184" t="n">
        <v>14960</v>
      </c>
      <c r="L1277" s="185" t="n">
        <v>14</v>
      </c>
      <c r="M1277" s="184" t="n">
        <v>24330</v>
      </c>
      <c r="N1277" s="184" t="n">
        <v>20923.8</v>
      </c>
      <c r="O1277" s="186" t="s">
        <v>2955</v>
      </c>
      <c r="P1277" s="187" t="n">
        <v>45960</v>
      </c>
    </row>
    <row r="1278" customFormat="false" ht="51" hidden="false" customHeight="true" outlineLevel="0" collapsed="false">
      <c r="A1278" s="181" t="s">
        <v>2956</v>
      </c>
      <c r="B1278" s="182" t="n">
        <v>2782</v>
      </c>
      <c r="C1278" s="183" t="n">
        <v>208</v>
      </c>
      <c r="D1278" s="181" t="s">
        <v>2401</v>
      </c>
      <c r="E1278" s="181" t="s">
        <v>359</v>
      </c>
      <c r="F1278" s="181" t="s">
        <v>360</v>
      </c>
      <c r="G1278" s="181" t="s">
        <v>2715</v>
      </c>
      <c r="H1278" s="181" t="s">
        <v>279</v>
      </c>
      <c r="I1278" s="181" t="s">
        <v>242</v>
      </c>
      <c r="J1278" s="184" t="n">
        <v>36590</v>
      </c>
      <c r="K1278" s="184" t="n">
        <v>15100</v>
      </c>
      <c r="L1278" s="185" t="n">
        <v>24</v>
      </c>
      <c r="M1278" s="184" t="n">
        <v>21490</v>
      </c>
      <c r="N1278" s="184" t="n">
        <v>16332.4</v>
      </c>
      <c r="O1278" s="186" t="s">
        <v>2957</v>
      </c>
      <c r="P1278" s="187" t="n">
        <v>45960</v>
      </c>
    </row>
    <row r="1279" customFormat="false" ht="51" hidden="false" customHeight="true" outlineLevel="0" collapsed="false">
      <c r="A1279" s="181" t="s">
        <v>2958</v>
      </c>
      <c r="B1279" s="182" t="n">
        <v>2783</v>
      </c>
      <c r="C1279" s="183" t="n">
        <v>209</v>
      </c>
      <c r="D1279" s="181" t="s">
        <v>2401</v>
      </c>
      <c r="E1279" s="181" t="s">
        <v>541</v>
      </c>
      <c r="F1279" s="181" t="s">
        <v>542</v>
      </c>
      <c r="G1279" s="181" t="s">
        <v>2715</v>
      </c>
      <c r="H1279" s="181" t="s">
        <v>279</v>
      </c>
      <c r="I1279" s="181" t="s">
        <v>242</v>
      </c>
      <c r="J1279" s="184" t="n">
        <v>39010</v>
      </c>
      <c r="K1279" s="184" t="n">
        <v>15210</v>
      </c>
      <c r="L1279" s="185" t="n">
        <v>21</v>
      </c>
      <c r="M1279" s="184" t="n">
        <v>23800</v>
      </c>
      <c r="N1279" s="184" t="n">
        <v>18802</v>
      </c>
      <c r="O1279" s="186" t="s">
        <v>2959</v>
      </c>
      <c r="P1279" s="187" t="n">
        <v>45960</v>
      </c>
    </row>
    <row r="1280" customFormat="false" ht="51" hidden="false" customHeight="true" outlineLevel="0" collapsed="false">
      <c r="A1280" s="181" t="s">
        <v>2960</v>
      </c>
      <c r="B1280" s="182" t="n">
        <v>2784</v>
      </c>
      <c r="C1280" s="183" t="n">
        <v>211</v>
      </c>
      <c r="D1280" s="181" t="s">
        <v>2401</v>
      </c>
      <c r="E1280" s="181" t="s">
        <v>304</v>
      </c>
      <c r="F1280" s="181" t="s">
        <v>305</v>
      </c>
      <c r="G1280" s="181" t="s">
        <v>2715</v>
      </c>
      <c r="H1280" s="181" t="s">
        <v>279</v>
      </c>
      <c r="I1280" s="181" t="s">
        <v>242</v>
      </c>
      <c r="J1280" s="184" t="n">
        <v>38810</v>
      </c>
      <c r="K1280" s="184" t="n">
        <v>15190</v>
      </c>
      <c r="L1280" s="185" t="n">
        <v>12</v>
      </c>
      <c r="M1280" s="184" t="n">
        <v>23620</v>
      </c>
      <c r="N1280" s="184" t="n">
        <v>20785.6</v>
      </c>
      <c r="O1280" s="186" t="s">
        <v>2961</v>
      </c>
      <c r="P1280" s="187" t="n">
        <v>45960</v>
      </c>
    </row>
    <row r="1281" customFormat="false" ht="51" hidden="false" customHeight="true" outlineLevel="0" collapsed="false">
      <c r="A1281" s="181" t="s">
        <v>2962</v>
      </c>
      <c r="B1281" s="182" t="n">
        <v>2785</v>
      </c>
      <c r="C1281" s="183" t="n">
        <v>210</v>
      </c>
      <c r="D1281" s="181" t="s">
        <v>2401</v>
      </c>
      <c r="E1281" s="181" t="s">
        <v>300</v>
      </c>
      <c r="F1281" s="181" t="s">
        <v>301</v>
      </c>
      <c r="G1281" s="181" t="s">
        <v>2715</v>
      </c>
      <c r="H1281" s="181" t="s">
        <v>279</v>
      </c>
      <c r="I1281" s="181" t="s">
        <v>242</v>
      </c>
      <c r="J1281" s="184" t="n">
        <v>59920</v>
      </c>
      <c r="K1281" s="184" t="n">
        <v>21330</v>
      </c>
      <c r="L1281" s="185" t="n">
        <v>24</v>
      </c>
      <c r="M1281" s="184" t="n">
        <v>38590</v>
      </c>
      <c r="N1281" s="184" t="n">
        <v>29328.4</v>
      </c>
      <c r="O1281" s="186" t="s">
        <v>2963</v>
      </c>
      <c r="P1281" s="187" t="n">
        <v>45960</v>
      </c>
    </row>
    <row r="1282" customFormat="false" ht="51" hidden="false" customHeight="true" outlineLevel="0" collapsed="false">
      <c r="A1282" s="181" t="s">
        <v>2964</v>
      </c>
      <c r="B1282" s="182" t="n">
        <v>2786</v>
      </c>
      <c r="C1282" s="183" t="n">
        <v>212</v>
      </c>
      <c r="D1282" s="181" t="s">
        <v>2401</v>
      </c>
      <c r="E1282" s="181" t="s">
        <v>399</v>
      </c>
      <c r="F1282" s="181" t="s">
        <v>400</v>
      </c>
      <c r="G1282" s="181" t="s">
        <v>2715</v>
      </c>
      <c r="H1282" s="181" t="s">
        <v>279</v>
      </c>
      <c r="I1282" s="181" t="s">
        <v>242</v>
      </c>
      <c r="J1282" s="184" t="n">
        <v>52000</v>
      </c>
      <c r="K1282" s="184" t="n">
        <v>19590</v>
      </c>
      <c r="L1282" s="185" t="n">
        <v>8</v>
      </c>
      <c r="M1282" s="184" t="n">
        <v>32410</v>
      </c>
      <c r="N1282" s="184" t="n">
        <v>29817.2</v>
      </c>
      <c r="O1282" s="186" t="s">
        <v>2965</v>
      </c>
      <c r="P1282" s="187" t="n">
        <v>45960</v>
      </c>
    </row>
    <row r="1283" customFormat="false" ht="51" hidden="false" customHeight="true" outlineLevel="0" collapsed="false">
      <c r="A1283" s="181" t="s">
        <v>2966</v>
      </c>
      <c r="B1283" s="182" t="n">
        <v>2787</v>
      </c>
      <c r="C1283" s="183" t="n">
        <v>213</v>
      </c>
      <c r="D1283" s="181" t="s">
        <v>2401</v>
      </c>
      <c r="E1283" s="181" t="s">
        <v>266</v>
      </c>
      <c r="F1283" s="181" t="s">
        <v>267</v>
      </c>
      <c r="G1283" s="181" t="s">
        <v>2715</v>
      </c>
      <c r="H1283" s="181" t="s">
        <v>279</v>
      </c>
      <c r="I1283" s="181" t="s">
        <v>242</v>
      </c>
      <c r="J1283" s="184" t="n">
        <v>38140</v>
      </c>
      <c r="K1283" s="184" t="n">
        <v>15080</v>
      </c>
      <c r="L1283" s="185" t="n">
        <v>11</v>
      </c>
      <c r="M1283" s="184" t="n">
        <v>23060</v>
      </c>
      <c r="N1283" s="184" t="n">
        <v>20523.4</v>
      </c>
      <c r="O1283" s="186" t="s">
        <v>2967</v>
      </c>
      <c r="P1283" s="187" t="n">
        <v>45960</v>
      </c>
    </row>
    <row r="1284" customFormat="false" ht="51" hidden="false" customHeight="true" outlineLevel="0" collapsed="false">
      <c r="A1284" s="181" t="s">
        <v>2968</v>
      </c>
      <c r="B1284" s="182" t="n">
        <v>2788</v>
      </c>
      <c r="C1284" s="183" t="n">
        <v>215</v>
      </c>
      <c r="D1284" s="181" t="s">
        <v>2401</v>
      </c>
      <c r="E1284" s="181" t="s">
        <v>377</v>
      </c>
      <c r="F1284" s="181" t="s">
        <v>378</v>
      </c>
      <c r="G1284" s="181" t="s">
        <v>2715</v>
      </c>
      <c r="H1284" s="181" t="s">
        <v>279</v>
      </c>
      <c r="I1284" s="181" t="s">
        <v>242</v>
      </c>
      <c r="J1284" s="184" t="n">
        <v>43040</v>
      </c>
      <c r="K1284" s="184" t="n">
        <v>16020</v>
      </c>
      <c r="L1284" s="185" t="n">
        <v>15</v>
      </c>
      <c r="M1284" s="184" t="n">
        <v>27020</v>
      </c>
      <c r="N1284" s="184" t="n">
        <v>22967</v>
      </c>
      <c r="O1284" s="186" t="s">
        <v>2969</v>
      </c>
      <c r="P1284" s="187" t="n">
        <v>45960</v>
      </c>
    </row>
    <row r="1285" customFormat="false" ht="51" hidden="false" customHeight="true" outlineLevel="0" collapsed="false">
      <c r="A1285" s="181" t="s">
        <v>2970</v>
      </c>
      <c r="B1285" s="182" t="n">
        <v>2790</v>
      </c>
      <c r="C1285" s="183" t="n">
        <v>214</v>
      </c>
      <c r="D1285" s="181" t="s">
        <v>2401</v>
      </c>
      <c r="E1285" s="181" t="s">
        <v>350</v>
      </c>
      <c r="F1285" s="181" t="s">
        <v>351</v>
      </c>
      <c r="G1285" s="181" t="s">
        <v>2715</v>
      </c>
      <c r="H1285" s="181" t="s">
        <v>279</v>
      </c>
      <c r="I1285" s="181" t="s">
        <v>242</v>
      </c>
      <c r="J1285" s="184" t="n">
        <v>40560</v>
      </c>
      <c r="K1285" s="184" t="n">
        <v>15130</v>
      </c>
      <c r="L1285" s="185" t="n">
        <v>16</v>
      </c>
      <c r="M1285" s="184" t="n">
        <v>25430</v>
      </c>
      <c r="N1285" s="184" t="n">
        <v>21361.2</v>
      </c>
      <c r="O1285" s="186" t="s">
        <v>2971</v>
      </c>
      <c r="P1285" s="187" t="n">
        <v>45960</v>
      </c>
    </row>
    <row r="1286" customFormat="false" ht="51" hidden="false" customHeight="true" outlineLevel="0" collapsed="false">
      <c r="A1286" s="181" t="s">
        <v>2972</v>
      </c>
      <c r="B1286" s="182" t="n">
        <v>2793</v>
      </c>
      <c r="C1286" s="183" t="n">
        <v>216</v>
      </c>
      <c r="D1286" s="181" t="s">
        <v>2401</v>
      </c>
      <c r="E1286" s="181" t="s">
        <v>387</v>
      </c>
      <c r="F1286" s="181" t="s">
        <v>388</v>
      </c>
      <c r="G1286" s="181" t="s">
        <v>2715</v>
      </c>
      <c r="H1286" s="181" t="s">
        <v>279</v>
      </c>
      <c r="I1286" s="181" t="s">
        <v>242</v>
      </c>
      <c r="J1286" s="184" t="n">
        <v>42970</v>
      </c>
      <c r="K1286" s="184" t="n">
        <v>15290</v>
      </c>
      <c r="L1286" s="185" t="n">
        <v>18</v>
      </c>
      <c r="M1286" s="184" t="n">
        <v>27680</v>
      </c>
      <c r="N1286" s="184" t="n">
        <v>22697.6</v>
      </c>
      <c r="O1286" s="186" t="s">
        <v>2973</v>
      </c>
      <c r="P1286" s="187" t="n">
        <v>45960</v>
      </c>
    </row>
    <row r="1287" customFormat="false" ht="51" hidden="false" customHeight="true" outlineLevel="0" collapsed="false">
      <c r="A1287" s="181" t="s">
        <v>2974</v>
      </c>
      <c r="B1287" s="182" t="n">
        <v>2795</v>
      </c>
      <c r="C1287" s="183" t="n">
        <v>217</v>
      </c>
      <c r="D1287" s="181" t="s">
        <v>2401</v>
      </c>
      <c r="E1287" s="181" t="s">
        <v>373</v>
      </c>
      <c r="F1287" s="181" t="s">
        <v>374</v>
      </c>
      <c r="G1287" s="181" t="s">
        <v>2715</v>
      </c>
      <c r="H1287" s="181" t="s">
        <v>279</v>
      </c>
      <c r="I1287" s="181" t="s">
        <v>242</v>
      </c>
      <c r="J1287" s="184" t="n">
        <v>38470</v>
      </c>
      <c r="K1287" s="184" t="n">
        <v>14670</v>
      </c>
      <c r="L1287" s="185" t="n">
        <v>8</v>
      </c>
      <c r="M1287" s="184" t="n">
        <v>23800</v>
      </c>
      <c r="N1287" s="184" t="n">
        <v>21896</v>
      </c>
      <c r="O1287" s="186" t="s">
        <v>2975</v>
      </c>
      <c r="P1287" s="187" t="n">
        <v>45960</v>
      </c>
    </row>
    <row r="1288" customFormat="false" ht="51" hidden="false" customHeight="true" outlineLevel="0" collapsed="false">
      <c r="A1288" s="181" t="s">
        <v>2976</v>
      </c>
      <c r="B1288" s="182" t="n">
        <v>2796</v>
      </c>
      <c r="C1288" s="183" t="n">
        <v>218</v>
      </c>
      <c r="D1288" s="181" t="s">
        <v>2401</v>
      </c>
      <c r="E1288" s="181" t="s">
        <v>413</v>
      </c>
      <c r="F1288" s="181" t="s">
        <v>414</v>
      </c>
      <c r="G1288" s="181" t="s">
        <v>2715</v>
      </c>
      <c r="H1288" s="181" t="s">
        <v>279</v>
      </c>
      <c r="I1288" s="181" t="s">
        <v>242</v>
      </c>
      <c r="J1288" s="184" t="n">
        <v>41540</v>
      </c>
      <c r="K1288" s="184" t="n">
        <v>16290</v>
      </c>
      <c r="L1288" s="185" t="n">
        <v>29</v>
      </c>
      <c r="M1288" s="184" t="n">
        <v>25250</v>
      </c>
      <c r="N1288" s="184" t="n">
        <v>17927.5</v>
      </c>
      <c r="O1288" s="186" t="s">
        <v>2977</v>
      </c>
      <c r="P1288" s="187" t="n">
        <v>45960</v>
      </c>
    </row>
    <row r="1289" customFormat="false" ht="51" hidden="false" customHeight="true" outlineLevel="0" collapsed="false">
      <c r="A1289" s="181" t="s">
        <v>2984</v>
      </c>
      <c r="B1289" s="182" t="n">
        <v>2797</v>
      </c>
      <c r="C1289" s="183" t="n">
        <v>219</v>
      </c>
      <c r="D1289" s="181" t="s">
        <v>2401</v>
      </c>
      <c r="E1289" s="181" t="s">
        <v>383</v>
      </c>
      <c r="F1289" s="181" t="s">
        <v>384</v>
      </c>
      <c r="G1289" s="181" t="s">
        <v>2715</v>
      </c>
      <c r="H1289" s="181" t="s">
        <v>279</v>
      </c>
      <c r="I1289" s="181" t="s">
        <v>242</v>
      </c>
      <c r="J1289" s="184" t="n">
        <v>38490</v>
      </c>
      <c r="K1289" s="184" t="n">
        <v>15230</v>
      </c>
      <c r="L1289" s="185" t="n">
        <v>14</v>
      </c>
      <c r="M1289" s="184" t="n">
        <v>23260</v>
      </c>
      <c r="N1289" s="184" t="n">
        <v>20003.6</v>
      </c>
      <c r="O1289" s="186" t="s">
        <v>2985</v>
      </c>
      <c r="P1289" s="187" t="n">
        <v>45960</v>
      </c>
    </row>
    <row r="1290" customFormat="false" ht="51" hidden="false" customHeight="true" outlineLevel="0" collapsed="false">
      <c r="A1290" s="181" t="s">
        <v>2986</v>
      </c>
      <c r="B1290" s="182" t="n">
        <v>2798</v>
      </c>
      <c r="C1290" s="183" t="n">
        <v>220</v>
      </c>
      <c r="D1290" s="181" t="s">
        <v>2401</v>
      </c>
      <c r="E1290" s="181" t="s">
        <v>308</v>
      </c>
      <c r="F1290" s="181" t="s">
        <v>309</v>
      </c>
      <c r="G1290" s="181" t="s">
        <v>2728</v>
      </c>
      <c r="H1290" s="181" t="s">
        <v>279</v>
      </c>
      <c r="I1290" s="181" t="s">
        <v>242</v>
      </c>
      <c r="J1290" s="184" t="n">
        <v>50670</v>
      </c>
      <c r="K1290" s="184" t="n">
        <v>24380</v>
      </c>
      <c r="L1290" s="185" t="n">
        <v>15</v>
      </c>
      <c r="M1290" s="184" t="n">
        <v>26290</v>
      </c>
      <c r="N1290" s="184" t="n">
        <v>22346.5</v>
      </c>
      <c r="O1290" s="186" t="s">
        <v>2987</v>
      </c>
      <c r="P1290" s="187" t="n">
        <v>45960</v>
      </c>
    </row>
    <row r="1291" customFormat="false" ht="51" hidden="false" customHeight="true" outlineLevel="0" collapsed="false">
      <c r="A1291" s="181" t="s">
        <v>2990</v>
      </c>
      <c r="B1291" s="182" t="n">
        <v>2799</v>
      </c>
      <c r="C1291" s="183" t="n">
        <v>11284</v>
      </c>
      <c r="D1291" s="181" t="s">
        <v>2066</v>
      </c>
      <c r="E1291" s="181" t="s">
        <v>576</v>
      </c>
      <c r="F1291" s="181" t="s">
        <v>577</v>
      </c>
      <c r="G1291" s="181" t="s">
        <v>3334</v>
      </c>
      <c r="H1291" s="181" t="s">
        <v>158</v>
      </c>
      <c r="I1291" s="181" t="s">
        <v>241</v>
      </c>
      <c r="J1291" s="184" t="n">
        <v>40270</v>
      </c>
      <c r="K1291" s="184" t="n">
        <v>14630</v>
      </c>
      <c r="L1291" s="185" t="n">
        <v>6</v>
      </c>
      <c r="M1291" s="184" t="n">
        <v>25640</v>
      </c>
      <c r="N1291" s="184" t="n">
        <v>24101.6</v>
      </c>
      <c r="O1291" s="186" t="s">
        <v>2991</v>
      </c>
      <c r="P1291" s="187" t="n">
        <v>45960</v>
      </c>
    </row>
    <row r="1292" customFormat="false" ht="51" hidden="false" customHeight="true" outlineLevel="0" collapsed="false">
      <c r="A1292" s="181" t="s">
        <v>2994</v>
      </c>
      <c r="B1292" s="182" t="n">
        <v>2800</v>
      </c>
      <c r="C1292" s="183" t="n">
        <v>11285</v>
      </c>
      <c r="D1292" s="181" t="s">
        <v>2066</v>
      </c>
      <c r="E1292" s="181" t="s">
        <v>261</v>
      </c>
      <c r="F1292" s="181" t="s">
        <v>262</v>
      </c>
      <c r="G1292" s="181" t="s">
        <v>3334</v>
      </c>
      <c r="H1292" s="181" t="s">
        <v>158</v>
      </c>
      <c r="I1292" s="181" t="s">
        <v>241</v>
      </c>
      <c r="J1292" s="184" t="n">
        <v>40310</v>
      </c>
      <c r="K1292" s="184" t="n">
        <v>15310</v>
      </c>
      <c r="L1292" s="185" t="n">
        <v>11</v>
      </c>
      <c r="M1292" s="184" t="n">
        <v>25000</v>
      </c>
      <c r="N1292" s="184" t="n">
        <v>22250</v>
      </c>
      <c r="O1292" s="186" t="s">
        <v>2995</v>
      </c>
      <c r="P1292" s="187" t="n">
        <v>45960</v>
      </c>
    </row>
    <row r="1293" customFormat="false" ht="51" hidden="false" customHeight="true" outlineLevel="0" collapsed="false">
      <c r="A1293" s="181" t="s">
        <v>2978</v>
      </c>
      <c r="B1293" s="182" t="n">
        <v>2801</v>
      </c>
      <c r="C1293" s="183" t="n">
        <v>11294</v>
      </c>
      <c r="D1293" s="181" t="s">
        <v>2066</v>
      </c>
      <c r="E1293" s="181" t="s">
        <v>282</v>
      </c>
      <c r="F1293" s="181" t="s">
        <v>283</v>
      </c>
      <c r="G1293" s="181" t="s">
        <v>3334</v>
      </c>
      <c r="H1293" s="181" t="s">
        <v>158</v>
      </c>
      <c r="I1293" s="181" t="s">
        <v>241</v>
      </c>
      <c r="J1293" s="184" t="n">
        <v>40300</v>
      </c>
      <c r="K1293" s="184" t="n">
        <v>15120</v>
      </c>
      <c r="L1293" s="185" t="n">
        <v>6</v>
      </c>
      <c r="M1293" s="184" t="n">
        <v>25180</v>
      </c>
      <c r="N1293" s="184" t="n">
        <v>23669.2</v>
      </c>
      <c r="O1293" s="186" t="s">
        <v>2979</v>
      </c>
      <c r="P1293" s="187" t="n">
        <v>45960</v>
      </c>
    </row>
    <row r="1294" customFormat="false" ht="51" hidden="false" customHeight="true" outlineLevel="0" collapsed="false">
      <c r="A1294" s="181" t="s">
        <v>2980</v>
      </c>
      <c r="B1294" s="182" t="n">
        <v>2802</v>
      </c>
      <c r="C1294" s="183" t="n">
        <v>221</v>
      </c>
      <c r="D1294" s="181" t="s">
        <v>2401</v>
      </c>
      <c r="E1294" s="181" t="s">
        <v>549</v>
      </c>
      <c r="F1294" s="181" t="s">
        <v>550</v>
      </c>
      <c r="G1294" s="181" t="s">
        <v>2728</v>
      </c>
      <c r="H1294" s="181" t="s">
        <v>279</v>
      </c>
      <c r="I1294" s="181" t="s">
        <v>242</v>
      </c>
      <c r="J1294" s="184" t="n">
        <v>38170</v>
      </c>
      <c r="K1294" s="184" t="n">
        <v>16110</v>
      </c>
      <c r="L1294" s="185" t="n">
        <v>6</v>
      </c>
      <c r="M1294" s="184" t="n">
        <v>22060</v>
      </c>
      <c r="N1294" s="184" t="n">
        <v>20736.4</v>
      </c>
      <c r="O1294" s="186" t="s">
        <v>2981</v>
      </c>
      <c r="P1294" s="187" t="n">
        <v>45960</v>
      </c>
    </row>
    <row r="1295" customFormat="false" ht="51" hidden="false" customHeight="true" outlineLevel="0" collapsed="false">
      <c r="A1295" s="181" t="s">
        <v>2982</v>
      </c>
      <c r="B1295" s="182" t="n">
        <v>2803</v>
      </c>
      <c r="C1295" s="183" t="n">
        <v>222</v>
      </c>
      <c r="D1295" s="181" t="s">
        <v>2401</v>
      </c>
      <c r="E1295" s="181" t="s">
        <v>409</v>
      </c>
      <c r="F1295" s="181" t="s">
        <v>410</v>
      </c>
      <c r="G1295" s="181" t="s">
        <v>2728</v>
      </c>
      <c r="H1295" s="181" t="s">
        <v>279</v>
      </c>
      <c r="I1295" s="181" t="s">
        <v>242</v>
      </c>
      <c r="J1295" s="184" t="n">
        <v>56080</v>
      </c>
      <c r="K1295" s="184" t="n">
        <v>24950</v>
      </c>
      <c r="L1295" s="185" t="n">
        <v>10</v>
      </c>
      <c r="M1295" s="184" t="n">
        <v>31130</v>
      </c>
      <c r="N1295" s="184" t="n">
        <v>28017</v>
      </c>
      <c r="O1295" s="186" t="s">
        <v>2983</v>
      </c>
      <c r="P1295" s="187" t="n">
        <v>45960</v>
      </c>
    </row>
    <row r="1296" customFormat="false" ht="51" hidden="false" customHeight="true" outlineLevel="0" collapsed="false">
      <c r="A1296" s="181" t="s">
        <v>2988</v>
      </c>
      <c r="B1296" s="182" t="n">
        <v>2804</v>
      </c>
      <c r="C1296" s="183" t="n">
        <v>223</v>
      </c>
      <c r="D1296" s="181" t="s">
        <v>2401</v>
      </c>
      <c r="E1296" s="181" t="s">
        <v>367</v>
      </c>
      <c r="F1296" s="181" t="s">
        <v>368</v>
      </c>
      <c r="G1296" s="181" t="s">
        <v>2728</v>
      </c>
      <c r="H1296" s="181" t="s">
        <v>279</v>
      </c>
      <c r="I1296" s="181" t="s">
        <v>242</v>
      </c>
      <c r="J1296" s="184" t="n">
        <v>48210</v>
      </c>
      <c r="K1296" s="184" t="n">
        <v>18970</v>
      </c>
      <c r="L1296" s="185" t="n">
        <v>4</v>
      </c>
      <c r="M1296" s="184" t="n">
        <v>29240</v>
      </c>
      <c r="N1296" s="184" t="n">
        <v>28070.4</v>
      </c>
      <c r="O1296" s="186" t="s">
        <v>2989</v>
      </c>
      <c r="P1296" s="187" t="n">
        <v>45960</v>
      </c>
    </row>
    <row r="1297" customFormat="false" ht="51" hidden="false" customHeight="true" outlineLevel="0" collapsed="false">
      <c r="A1297" s="181" t="s">
        <v>2992</v>
      </c>
      <c r="B1297" s="182" t="n">
        <v>2805</v>
      </c>
      <c r="C1297" s="183" t="n">
        <v>224</v>
      </c>
      <c r="D1297" s="181" t="s">
        <v>2401</v>
      </c>
      <c r="E1297" s="181" t="s">
        <v>533</v>
      </c>
      <c r="F1297" s="181" t="s">
        <v>534</v>
      </c>
      <c r="G1297" s="181" t="s">
        <v>2728</v>
      </c>
      <c r="H1297" s="181" t="s">
        <v>279</v>
      </c>
      <c r="I1297" s="181" t="s">
        <v>242</v>
      </c>
      <c r="J1297" s="184" t="n">
        <v>38220</v>
      </c>
      <c r="K1297" s="184" t="n">
        <v>14880</v>
      </c>
      <c r="L1297" s="185" t="n">
        <v>15</v>
      </c>
      <c r="M1297" s="184" t="n">
        <v>23340</v>
      </c>
      <c r="N1297" s="184" t="n">
        <v>19839</v>
      </c>
      <c r="O1297" s="186" t="s">
        <v>2993</v>
      </c>
      <c r="P1297" s="187" t="n">
        <v>45960</v>
      </c>
    </row>
    <row r="1298" customFormat="false" ht="51" hidden="false" customHeight="true" outlineLevel="0" collapsed="false">
      <c r="A1298" s="181" t="s">
        <v>2996</v>
      </c>
      <c r="B1298" s="182" t="n">
        <v>2806</v>
      </c>
      <c r="C1298" s="183" t="n">
        <v>225</v>
      </c>
      <c r="D1298" s="181" t="s">
        <v>2401</v>
      </c>
      <c r="E1298" s="181" t="s">
        <v>545</v>
      </c>
      <c r="F1298" s="181" t="s">
        <v>546</v>
      </c>
      <c r="G1298" s="181" t="s">
        <v>2728</v>
      </c>
      <c r="H1298" s="181" t="s">
        <v>279</v>
      </c>
      <c r="I1298" s="181" t="s">
        <v>242</v>
      </c>
      <c r="J1298" s="184" t="n">
        <v>40660</v>
      </c>
      <c r="K1298" s="184" t="n">
        <v>16440</v>
      </c>
      <c r="L1298" s="185" t="n">
        <v>9</v>
      </c>
      <c r="M1298" s="184" t="n">
        <v>24220</v>
      </c>
      <c r="N1298" s="184" t="n">
        <v>22040.2</v>
      </c>
      <c r="O1298" s="186" t="s">
        <v>2997</v>
      </c>
      <c r="P1298" s="187" t="n">
        <v>45961</v>
      </c>
    </row>
    <row r="1299" customFormat="false" ht="51" hidden="false" customHeight="true" outlineLevel="0" collapsed="false">
      <c r="A1299" s="181" t="s">
        <v>2998</v>
      </c>
      <c r="B1299" s="182" t="n">
        <v>2807</v>
      </c>
      <c r="C1299" s="183" t="n">
        <v>226</v>
      </c>
      <c r="D1299" s="181" t="s">
        <v>2401</v>
      </c>
      <c r="E1299" s="181" t="s">
        <v>537</v>
      </c>
      <c r="F1299" s="181" t="s">
        <v>538</v>
      </c>
      <c r="G1299" s="181" t="s">
        <v>2728</v>
      </c>
      <c r="H1299" s="181" t="s">
        <v>279</v>
      </c>
      <c r="I1299" s="181" t="s">
        <v>242</v>
      </c>
      <c r="J1299" s="184" t="n">
        <v>34970</v>
      </c>
      <c r="K1299" s="184" t="n">
        <v>14020</v>
      </c>
      <c r="L1299" s="185" t="n">
        <v>7</v>
      </c>
      <c r="M1299" s="184" t="n">
        <v>20950</v>
      </c>
      <c r="N1299" s="184" t="n">
        <v>19483.5</v>
      </c>
      <c r="O1299" s="186" t="s">
        <v>2999</v>
      </c>
      <c r="P1299" s="187" t="n">
        <v>45961</v>
      </c>
    </row>
    <row r="1300" customFormat="false" ht="51" hidden="false" customHeight="true" outlineLevel="0" collapsed="false">
      <c r="A1300" s="181" t="s">
        <v>3000</v>
      </c>
      <c r="B1300" s="182" t="n">
        <v>2808</v>
      </c>
      <c r="C1300" s="183" t="n">
        <v>227</v>
      </c>
      <c r="D1300" s="181" t="s">
        <v>2401</v>
      </c>
      <c r="E1300" s="181" t="s">
        <v>354</v>
      </c>
      <c r="F1300" s="181" t="s">
        <v>355</v>
      </c>
      <c r="G1300" s="181" t="s">
        <v>2728</v>
      </c>
      <c r="H1300" s="181" t="s">
        <v>279</v>
      </c>
      <c r="I1300" s="181" t="s">
        <v>242</v>
      </c>
      <c r="J1300" s="184" t="n">
        <v>38690</v>
      </c>
      <c r="K1300" s="184" t="n">
        <v>15060</v>
      </c>
      <c r="L1300" s="185" t="n">
        <v>7</v>
      </c>
      <c r="M1300" s="184" t="n">
        <v>23630</v>
      </c>
      <c r="N1300" s="184" t="n">
        <v>21975.9</v>
      </c>
      <c r="O1300" s="186" t="s">
        <v>3001</v>
      </c>
      <c r="P1300" s="187" t="n">
        <v>45961</v>
      </c>
    </row>
    <row r="1301" customFormat="false" ht="51" hidden="false" customHeight="true" outlineLevel="0" collapsed="false">
      <c r="A1301" s="181" t="s">
        <v>3002</v>
      </c>
      <c r="B1301" s="182" t="n">
        <v>2809</v>
      </c>
      <c r="C1301" s="183" t="n">
        <v>228</v>
      </c>
      <c r="D1301" s="181" t="s">
        <v>2401</v>
      </c>
      <c r="E1301" s="181" t="s">
        <v>359</v>
      </c>
      <c r="F1301" s="181" t="s">
        <v>360</v>
      </c>
      <c r="G1301" s="181" t="s">
        <v>2728</v>
      </c>
      <c r="H1301" s="181" t="s">
        <v>279</v>
      </c>
      <c r="I1301" s="181" t="s">
        <v>242</v>
      </c>
      <c r="J1301" s="184" t="n">
        <v>36990</v>
      </c>
      <c r="K1301" s="184" t="n">
        <v>15220</v>
      </c>
      <c r="L1301" s="185" t="n">
        <v>7</v>
      </c>
      <c r="M1301" s="184" t="n">
        <v>21770</v>
      </c>
      <c r="N1301" s="184" t="n">
        <v>20246.1</v>
      </c>
      <c r="O1301" s="186" t="s">
        <v>3003</v>
      </c>
      <c r="P1301" s="187" t="n">
        <v>45961</v>
      </c>
    </row>
    <row r="1302" customFormat="false" ht="51" hidden="false" customHeight="true" outlineLevel="0" collapsed="false">
      <c r="A1302" s="181" t="s">
        <v>3004</v>
      </c>
      <c r="B1302" s="182" t="n">
        <v>2810</v>
      </c>
      <c r="C1302" s="183" t="n">
        <v>229</v>
      </c>
      <c r="D1302" s="181" t="s">
        <v>2401</v>
      </c>
      <c r="E1302" s="181" t="s">
        <v>541</v>
      </c>
      <c r="F1302" s="181" t="s">
        <v>542</v>
      </c>
      <c r="G1302" s="181" t="s">
        <v>2728</v>
      </c>
      <c r="H1302" s="181" t="s">
        <v>279</v>
      </c>
      <c r="I1302" s="181" t="s">
        <v>242</v>
      </c>
      <c r="J1302" s="184" t="n">
        <v>38680</v>
      </c>
      <c r="K1302" s="184" t="n">
        <v>15130</v>
      </c>
      <c r="L1302" s="185" t="n">
        <v>5</v>
      </c>
      <c r="M1302" s="184" t="n">
        <v>23550</v>
      </c>
      <c r="N1302" s="184" t="n">
        <v>22372.5</v>
      </c>
      <c r="O1302" s="186" t="s">
        <v>3005</v>
      </c>
      <c r="P1302" s="187" t="n">
        <v>45961</v>
      </c>
    </row>
    <row r="1303" customFormat="false" ht="51" hidden="false" customHeight="true" outlineLevel="0" collapsed="false">
      <c r="A1303" s="181" t="s">
        <v>3006</v>
      </c>
      <c r="B1303" s="182" t="n">
        <v>2811</v>
      </c>
      <c r="C1303" s="183" t="n">
        <v>230</v>
      </c>
      <c r="D1303" s="181" t="s">
        <v>2401</v>
      </c>
      <c r="E1303" s="181" t="s">
        <v>288</v>
      </c>
      <c r="F1303" s="181" t="s">
        <v>289</v>
      </c>
      <c r="G1303" s="181" t="s">
        <v>2728</v>
      </c>
      <c r="H1303" s="181" t="s">
        <v>279</v>
      </c>
      <c r="I1303" s="181" t="s">
        <v>242</v>
      </c>
      <c r="J1303" s="184" t="n">
        <v>36090</v>
      </c>
      <c r="K1303" s="184" t="n">
        <v>15050</v>
      </c>
      <c r="L1303" s="185" t="n">
        <v>6</v>
      </c>
      <c r="M1303" s="184" t="n">
        <v>21040</v>
      </c>
      <c r="N1303" s="184" t="n">
        <v>19777.6</v>
      </c>
      <c r="O1303" s="186" t="s">
        <v>3007</v>
      </c>
      <c r="P1303" s="187" t="n">
        <v>45961</v>
      </c>
    </row>
    <row r="1304" customFormat="false" ht="51" hidden="false" customHeight="true" outlineLevel="0" collapsed="false">
      <c r="A1304" s="181" t="s">
        <v>3008</v>
      </c>
      <c r="B1304" s="182" t="n">
        <v>2812</v>
      </c>
      <c r="C1304" s="183" t="n">
        <v>231</v>
      </c>
      <c r="D1304" s="181" t="s">
        <v>2401</v>
      </c>
      <c r="E1304" s="181" t="s">
        <v>332</v>
      </c>
      <c r="F1304" s="181" t="s">
        <v>333</v>
      </c>
      <c r="G1304" s="181" t="s">
        <v>2728</v>
      </c>
      <c r="H1304" s="181" t="s">
        <v>279</v>
      </c>
      <c r="I1304" s="181" t="s">
        <v>242</v>
      </c>
      <c r="J1304" s="184" t="n">
        <v>39020</v>
      </c>
      <c r="K1304" s="184" t="n">
        <v>15140</v>
      </c>
      <c r="L1304" s="185" t="n">
        <v>8</v>
      </c>
      <c r="M1304" s="184" t="n">
        <v>23880</v>
      </c>
      <c r="N1304" s="184" t="n">
        <v>21969.6</v>
      </c>
      <c r="O1304" s="186" t="s">
        <v>3009</v>
      </c>
      <c r="P1304" s="187" t="n">
        <v>45961</v>
      </c>
    </row>
    <row r="1305" customFormat="false" ht="51" hidden="false" customHeight="true" outlineLevel="0" collapsed="false">
      <c r="A1305" s="181" t="s">
        <v>3010</v>
      </c>
      <c r="B1305" s="182" t="n">
        <v>2813</v>
      </c>
      <c r="C1305" s="183" t="n">
        <v>232</v>
      </c>
      <c r="D1305" s="181" t="s">
        <v>2401</v>
      </c>
      <c r="E1305" s="181" t="s">
        <v>336</v>
      </c>
      <c r="F1305" s="181" t="s">
        <v>337</v>
      </c>
      <c r="G1305" s="181" t="s">
        <v>2728</v>
      </c>
      <c r="H1305" s="181" t="s">
        <v>279</v>
      </c>
      <c r="I1305" s="181" t="s">
        <v>242</v>
      </c>
      <c r="J1305" s="184" t="n">
        <v>38890</v>
      </c>
      <c r="K1305" s="184" t="n">
        <v>14750</v>
      </c>
      <c r="L1305" s="185" t="n">
        <v>14</v>
      </c>
      <c r="M1305" s="184" t="n">
        <v>24140</v>
      </c>
      <c r="N1305" s="184" t="n">
        <v>20760.4</v>
      </c>
      <c r="O1305" s="186" t="s">
        <v>3011</v>
      </c>
      <c r="P1305" s="187" t="n">
        <v>45961</v>
      </c>
    </row>
    <row r="1306" customFormat="false" ht="51" hidden="false" customHeight="true" outlineLevel="0" collapsed="false">
      <c r="A1306" s="181" t="s">
        <v>3012</v>
      </c>
      <c r="B1306" s="182" t="n">
        <v>2816</v>
      </c>
      <c r="C1306" s="183" t="n">
        <v>233</v>
      </c>
      <c r="D1306" s="181" t="s">
        <v>2401</v>
      </c>
      <c r="E1306" s="181" t="s">
        <v>340</v>
      </c>
      <c r="F1306" s="181" t="s">
        <v>341</v>
      </c>
      <c r="G1306" s="181" t="s">
        <v>2728</v>
      </c>
      <c r="H1306" s="181" t="s">
        <v>279</v>
      </c>
      <c r="I1306" s="181" t="s">
        <v>242</v>
      </c>
      <c r="J1306" s="184" t="n">
        <v>37530</v>
      </c>
      <c r="K1306" s="184" t="n">
        <v>15190</v>
      </c>
      <c r="L1306" s="185" t="n">
        <v>17</v>
      </c>
      <c r="M1306" s="184" t="n">
        <v>22340</v>
      </c>
      <c r="N1306" s="184" t="n">
        <v>18542.2</v>
      </c>
      <c r="O1306" s="186" t="s">
        <v>3013</v>
      </c>
      <c r="P1306" s="187" t="n">
        <v>45961</v>
      </c>
    </row>
    <row r="1307" customFormat="false" ht="51" hidden="false" customHeight="true" outlineLevel="0" collapsed="false">
      <c r="A1307" s="181" t="s">
        <v>3014</v>
      </c>
      <c r="B1307" s="182" t="n">
        <v>2817</v>
      </c>
      <c r="C1307" s="183" t="n">
        <v>234</v>
      </c>
      <c r="D1307" s="181" t="s">
        <v>2401</v>
      </c>
      <c r="E1307" s="181" t="s">
        <v>391</v>
      </c>
      <c r="F1307" s="181" t="s">
        <v>392</v>
      </c>
      <c r="G1307" s="181" t="s">
        <v>2728</v>
      </c>
      <c r="H1307" s="181" t="s">
        <v>279</v>
      </c>
      <c r="I1307" s="181" t="s">
        <v>242</v>
      </c>
      <c r="J1307" s="184" t="n">
        <v>34350</v>
      </c>
      <c r="K1307" s="184" t="n">
        <v>14680</v>
      </c>
      <c r="L1307" s="185" t="n">
        <v>29</v>
      </c>
      <c r="M1307" s="184" t="n">
        <v>19670</v>
      </c>
      <c r="N1307" s="184" t="n">
        <v>13965.7</v>
      </c>
      <c r="O1307" s="186" t="s">
        <v>3015</v>
      </c>
      <c r="P1307" s="187" t="n">
        <v>45961</v>
      </c>
    </row>
    <row r="1308" customFormat="false" ht="51" hidden="false" customHeight="true" outlineLevel="0" collapsed="false">
      <c r="A1308" s="181" t="s">
        <v>3016</v>
      </c>
      <c r="B1308" s="182" t="n">
        <v>2818</v>
      </c>
      <c r="C1308" s="183" t="n">
        <v>235</v>
      </c>
      <c r="D1308" s="181" t="s">
        <v>2401</v>
      </c>
      <c r="E1308" s="181" t="s">
        <v>272</v>
      </c>
      <c r="F1308" s="181" t="s">
        <v>273</v>
      </c>
      <c r="G1308" s="181" t="s">
        <v>2728</v>
      </c>
      <c r="H1308" s="181" t="s">
        <v>279</v>
      </c>
      <c r="I1308" s="181" t="s">
        <v>242</v>
      </c>
      <c r="J1308" s="184" t="n">
        <v>38830</v>
      </c>
      <c r="K1308" s="184" t="n">
        <v>15730</v>
      </c>
      <c r="L1308" s="185" t="n">
        <v>5</v>
      </c>
      <c r="M1308" s="184" t="n">
        <v>23100</v>
      </c>
      <c r="N1308" s="184" t="n">
        <v>21945</v>
      </c>
      <c r="O1308" s="186" t="s">
        <v>3017</v>
      </c>
      <c r="P1308" s="187" t="n">
        <v>45961</v>
      </c>
    </row>
    <row r="1309" customFormat="false" ht="51" hidden="false" customHeight="true" outlineLevel="0" collapsed="false">
      <c r="A1309" s="181" t="s">
        <v>3018</v>
      </c>
      <c r="B1309" s="182" t="n">
        <v>2820</v>
      </c>
      <c r="C1309" s="183" t="n">
        <v>236</v>
      </c>
      <c r="D1309" s="181" t="s">
        <v>2401</v>
      </c>
      <c r="E1309" s="181" t="s">
        <v>399</v>
      </c>
      <c r="F1309" s="181" t="s">
        <v>400</v>
      </c>
      <c r="G1309" s="181" t="s">
        <v>2728</v>
      </c>
      <c r="H1309" s="181" t="s">
        <v>279</v>
      </c>
      <c r="I1309" s="181" t="s">
        <v>242</v>
      </c>
      <c r="J1309" s="184" t="n">
        <v>50150</v>
      </c>
      <c r="K1309" s="184" t="n">
        <v>19580</v>
      </c>
      <c r="L1309" s="185" t="n">
        <v>8</v>
      </c>
      <c r="M1309" s="184" t="n">
        <v>30570</v>
      </c>
      <c r="N1309" s="184" t="n">
        <v>28124.4</v>
      </c>
      <c r="O1309" s="186" t="s">
        <v>3019</v>
      </c>
      <c r="P1309" s="187" t="n">
        <v>45961</v>
      </c>
    </row>
    <row r="1310" customFormat="false" ht="51" hidden="false" customHeight="true" outlineLevel="0" collapsed="false">
      <c r="A1310" s="181" t="s">
        <v>3020</v>
      </c>
      <c r="B1310" s="182" t="n">
        <v>2821</v>
      </c>
      <c r="C1310" s="183" t="n">
        <v>238</v>
      </c>
      <c r="D1310" s="181" t="s">
        <v>2401</v>
      </c>
      <c r="E1310" s="181" t="s">
        <v>277</v>
      </c>
      <c r="F1310" s="181" t="s">
        <v>278</v>
      </c>
      <c r="G1310" s="181" t="s">
        <v>2728</v>
      </c>
      <c r="H1310" s="181" t="s">
        <v>279</v>
      </c>
      <c r="I1310" s="181" t="s">
        <v>242</v>
      </c>
      <c r="J1310" s="184" t="n">
        <v>42080</v>
      </c>
      <c r="K1310" s="184" t="n">
        <v>15350</v>
      </c>
      <c r="L1310" s="185" t="n">
        <v>8</v>
      </c>
      <c r="M1310" s="184" t="n">
        <v>26730</v>
      </c>
      <c r="N1310" s="184" t="n">
        <v>24591.6</v>
      </c>
      <c r="O1310" s="186" t="s">
        <v>3021</v>
      </c>
      <c r="P1310" s="187" t="n">
        <v>45961</v>
      </c>
    </row>
    <row r="1311" customFormat="false" ht="51" hidden="false" customHeight="true" outlineLevel="0" collapsed="false">
      <c r="A1311" s="181" t="s">
        <v>3022</v>
      </c>
      <c r="B1311" s="182" t="n">
        <v>2822</v>
      </c>
      <c r="C1311" s="183" t="n">
        <v>237</v>
      </c>
      <c r="D1311" s="181" t="s">
        <v>2401</v>
      </c>
      <c r="E1311" s="181" t="s">
        <v>300</v>
      </c>
      <c r="F1311" s="181" t="s">
        <v>301</v>
      </c>
      <c r="G1311" s="181" t="s">
        <v>2728</v>
      </c>
      <c r="H1311" s="181" t="s">
        <v>279</v>
      </c>
      <c r="I1311" s="181" t="s">
        <v>242</v>
      </c>
      <c r="J1311" s="184" t="n">
        <v>62880</v>
      </c>
      <c r="K1311" s="184" t="n">
        <v>21410</v>
      </c>
      <c r="L1311" s="185" t="n">
        <v>9</v>
      </c>
      <c r="M1311" s="184" t="n">
        <v>41470</v>
      </c>
      <c r="N1311" s="184" t="n">
        <v>37737.7</v>
      </c>
      <c r="O1311" s="186" t="s">
        <v>3023</v>
      </c>
      <c r="P1311" s="187" t="n">
        <v>45961</v>
      </c>
    </row>
    <row r="1312" customFormat="false" ht="51" hidden="false" customHeight="true" outlineLevel="0" collapsed="false">
      <c r="A1312" s="181" t="s">
        <v>3024</v>
      </c>
      <c r="B1312" s="182" t="n">
        <v>2823</v>
      </c>
      <c r="C1312" s="183" t="n">
        <v>239</v>
      </c>
      <c r="D1312" s="181" t="s">
        <v>2401</v>
      </c>
      <c r="E1312" s="181" t="s">
        <v>377</v>
      </c>
      <c r="F1312" s="181" t="s">
        <v>378</v>
      </c>
      <c r="G1312" s="181" t="s">
        <v>2728</v>
      </c>
      <c r="H1312" s="181" t="s">
        <v>279</v>
      </c>
      <c r="I1312" s="181" t="s">
        <v>242</v>
      </c>
      <c r="J1312" s="184" t="n">
        <v>44970</v>
      </c>
      <c r="K1312" s="184" t="n">
        <v>15990</v>
      </c>
      <c r="L1312" s="185" t="n">
        <v>13</v>
      </c>
      <c r="M1312" s="184" t="n">
        <v>28980</v>
      </c>
      <c r="N1312" s="184" t="n">
        <v>25212.6</v>
      </c>
      <c r="O1312" s="186" t="s">
        <v>3025</v>
      </c>
      <c r="P1312" s="187" t="n">
        <v>45961</v>
      </c>
    </row>
    <row r="1313" customFormat="false" ht="51" hidden="false" customHeight="true" outlineLevel="0" collapsed="false">
      <c r="A1313" s="181" t="s">
        <v>3026</v>
      </c>
      <c r="B1313" s="182" t="n">
        <v>2824</v>
      </c>
      <c r="C1313" s="183" t="n">
        <v>240</v>
      </c>
      <c r="D1313" s="181" t="s">
        <v>2401</v>
      </c>
      <c r="E1313" s="181" t="s">
        <v>350</v>
      </c>
      <c r="F1313" s="181" t="s">
        <v>351</v>
      </c>
      <c r="G1313" s="181" t="s">
        <v>2728</v>
      </c>
      <c r="H1313" s="181" t="s">
        <v>279</v>
      </c>
      <c r="I1313" s="181" t="s">
        <v>242</v>
      </c>
      <c r="J1313" s="184" t="n">
        <v>44250</v>
      </c>
      <c r="K1313" s="184" t="n">
        <v>15310</v>
      </c>
      <c r="L1313" s="185" t="n">
        <v>7</v>
      </c>
      <c r="M1313" s="184" t="n">
        <v>28940</v>
      </c>
      <c r="N1313" s="184" t="n">
        <v>26914.2</v>
      </c>
      <c r="O1313" s="186" t="s">
        <v>3027</v>
      </c>
      <c r="P1313" s="187" t="n">
        <v>45961</v>
      </c>
    </row>
    <row r="1314" customFormat="false" ht="51" hidden="false" customHeight="true" outlineLevel="0" collapsed="false">
      <c r="A1314" s="181" t="s">
        <v>3028</v>
      </c>
      <c r="B1314" s="182" t="n">
        <v>2825</v>
      </c>
      <c r="C1314" s="183" t="n">
        <v>241</v>
      </c>
      <c r="D1314" s="181" t="s">
        <v>2401</v>
      </c>
      <c r="E1314" s="181" t="s">
        <v>373</v>
      </c>
      <c r="F1314" s="181" t="s">
        <v>374</v>
      </c>
      <c r="G1314" s="181" t="s">
        <v>2728</v>
      </c>
      <c r="H1314" s="181" t="s">
        <v>279</v>
      </c>
      <c r="I1314" s="181" t="s">
        <v>242</v>
      </c>
      <c r="J1314" s="184" t="n">
        <v>42810</v>
      </c>
      <c r="K1314" s="184" t="n">
        <v>14590</v>
      </c>
      <c r="L1314" s="185" t="n">
        <v>4</v>
      </c>
      <c r="M1314" s="184" t="n">
        <v>28220</v>
      </c>
      <c r="N1314" s="184" t="n">
        <v>27091.2</v>
      </c>
      <c r="O1314" s="186" t="s">
        <v>3029</v>
      </c>
      <c r="P1314" s="187" t="n">
        <v>45961</v>
      </c>
    </row>
    <row r="1315" customFormat="false" ht="51" hidden="false" customHeight="true" outlineLevel="0" collapsed="false">
      <c r="A1315" s="181" t="s">
        <v>3030</v>
      </c>
      <c r="B1315" s="182" t="n">
        <v>2826</v>
      </c>
      <c r="C1315" s="183" t="n">
        <v>242</v>
      </c>
      <c r="D1315" s="181" t="s">
        <v>2401</v>
      </c>
      <c r="E1315" s="181" t="s">
        <v>387</v>
      </c>
      <c r="F1315" s="181" t="s">
        <v>388</v>
      </c>
      <c r="G1315" s="181" t="s">
        <v>2728</v>
      </c>
      <c r="H1315" s="181" t="s">
        <v>279</v>
      </c>
      <c r="I1315" s="181" t="s">
        <v>242</v>
      </c>
      <c r="J1315" s="184" t="n">
        <v>44670</v>
      </c>
      <c r="K1315" s="184" t="n">
        <v>15410</v>
      </c>
      <c r="L1315" s="185" t="n">
        <v>13</v>
      </c>
      <c r="M1315" s="184" t="n">
        <v>29260</v>
      </c>
      <c r="N1315" s="184" t="n">
        <v>25456.2</v>
      </c>
      <c r="O1315" s="186" t="s">
        <v>3031</v>
      </c>
      <c r="P1315" s="187" t="n">
        <v>45961</v>
      </c>
    </row>
    <row r="1316" customFormat="false" ht="51" hidden="false" customHeight="true" outlineLevel="0" collapsed="false">
      <c r="A1316" s="181" t="s">
        <v>3032</v>
      </c>
      <c r="B1316" s="182" t="n">
        <v>2828</v>
      </c>
      <c r="C1316" s="183" t="n">
        <v>244</v>
      </c>
      <c r="D1316" s="181" t="s">
        <v>2401</v>
      </c>
      <c r="E1316" s="181" t="s">
        <v>383</v>
      </c>
      <c r="F1316" s="181" t="s">
        <v>384</v>
      </c>
      <c r="G1316" s="181" t="s">
        <v>2728</v>
      </c>
      <c r="H1316" s="181" t="s">
        <v>279</v>
      </c>
      <c r="I1316" s="181" t="s">
        <v>242</v>
      </c>
      <c r="J1316" s="184" t="n">
        <v>42230</v>
      </c>
      <c r="K1316" s="184" t="n">
        <v>15100</v>
      </c>
      <c r="L1316" s="185" t="n">
        <v>9</v>
      </c>
      <c r="M1316" s="184" t="n">
        <v>27130</v>
      </c>
      <c r="N1316" s="184" t="n">
        <v>24688.3</v>
      </c>
      <c r="O1316" s="186" t="s">
        <v>3033</v>
      </c>
      <c r="P1316" s="187" t="n">
        <v>45961</v>
      </c>
    </row>
    <row r="1317" customFormat="false" ht="51" hidden="false" customHeight="true" outlineLevel="0" collapsed="false">
      <c r="A1317" s="181" t="s">
        <v>3034</v>
      </c>
      <c r="B1317" s="182" t="n">
        <v>2827</v>
      </c>
      <c r="C1317" s="183" t="n">
        <v>243</v>
      </c>
      <c r="D1317" s="181" t="s">
        <v>2401</v>
      </c>
      <c r="E1317" s="181" t="s">
        <v>413</v>
      </c>
      <c r="F1317" s="181" t="s">
        <v>414</v>
      </c>
      <c r="G1317" s="181" t="s">
        <v>2728</v>
      </c>
      <c r="H1317" s="181" t="s">
        <v>279</v>
      </c>
      <c r="I1317" s="181" t="s">
        <v>242</v>
      </c>
      <c r="J1317" s="184" t="n">
        <v>47460</v>
      </c>
      <c r="K1317" s="184" t="n">
        <v>16110</v>
      </c>
      <c r="L1317" s="185" t="n">
        <v>8</v>
      </c>
      <c r="M1317" s="184" t="n">
        <v>31350</v>
      </c>
      <c r="N1317" s="184" t="n">
        <v>28842</v>
      </c>
      <c r="O1317" s="186" t="s">
        <v>3035</v>
      </c>
      <c r="P1317" s="187" t="n">
        <v>45961</v>
      </c>
    </row>
    <row r="1318" customFormat="false" ht="51" hidden="false" customHeight="true" outlineLevel="0" collapsed="false">
      <c r="A1318" s="181" t="s">
        <v>3036</v>
      </c>
      <c r="B1318" s="182" t="n">
        <v>2829</v>
      </c>
      <c r="C1318" s="183" t="n">
        <v>246</v>
      </c>
      <c r="D1318" s="181" t="s">
        <v>2401</v>
      </c>
      <c r="E1318" s="181" t="s">
        <v>409</v>
      </c>
      <c r="F1318" s="181" t="s">
        <v>410</v>
      </c>
      <c r="G1318" s="181" t="s">
        <v>2728</v>
      </c>
      <c r="H1318" s="181" t="s">
        <v>279</v>
      </c>
      <c r="I1318" s="181" t="s">
        <v>242</v>
      </c>
      <c r="J1318" s="184" t="n">
        <v>65660</v>
      </c>
      <c r="K1318" s="184" t="n">
        <v>24820</v>
      </c>
      <c r="L1318" s="185" t="n">
        <v>10</v>
      </c>
      <c r="M1318" s="184" t="n">
        <v>40840</v>
      </c>
      <c r="N1318" s="184" t="n">
        <v>36756</v>
      </c>
      <c r="O1318" s="186" t="s">
        <v>3037</v>
      </c>
      <c r="P1318" s="187" t="n">
        <v>45961</v>
      </c>
    </row>
    <row r="1319" customFormat="false" ht="51" hidden="false" customHeight="true" outlineLevel="0" collapsed="false">
      <c r="A1319" s="181" t="s">
        <v>3038</v>
      </c>
      <c r="B1319" s="182" t="n">
        <v>2830</v>
      </c>
      <c r="C1319" s="183" t="n">
        <v>245</v>
      </c>
      <c r="D1319" s="181" t="s">
        <v>2401</v>
      </c>
      <c r="E1319" s="181" t="s">
        <v>549</v>
      </c>
      <c r="F1319" s="181" t="s">
        <v>550</v>
      </c>
      <c r="G1319" s="181" t="s">
        <v>2728</v>
      </c>
      <c r="H1319" s="181" t="s">
        <v>279</v>
      </c>
      <c r="I1319" s="181" t="s">
        <v>242</v>
      </c>
      <c r="J1319" s="184" t="n">
        <v>43100</v>
      </c>
      <c r="K1319" s="184" t="n">
        <v>15930</v>
      </c>
      <c r="L1319" s="185" t="n">
        <v>11</v>
      </c>
      <c r="M1319" s="184" t="n">
        <v>27170</v>
      </c>
      <c r="N1319" s="184" t="n">
        <v>24181.3</v>
      </c>
      <c r="O1319" s="186" t="s">
        <v>3039</v>
      </c>
      <c r="P1319" s="187" t="n">
        <v>45962</v>
      </c>
    </row>
    <row r="1320" customFormat="false" ht="51" hidden="false" customHeight="true" outlineLevel="0" collapsed="false">
      <c r="A1320" s="181" t="s">
        <v>3040</v>
      </c>
      <c r="B1320" s="182" t="n">
        <v>2831</v>
      </c>
      <c r="C1320" s="183" t="n">
        <v>247</v>
      </c>
      <c r="D1320" s="181" t="s">
        <v>2401</v>
      </c>
      <c r="E1320" s="181" t="s">
        <v>533</v>
      </c>
      <c r="F1320" s="181" t="s">
        <v>534</v>
      </c>
      <c r="G1320" s="181" t="s">
        <v>2728</v>
      </c>
      <c r="H1320" s="181" t="s">
        <v>279</v>
      </c>
      <c r="I1320" s="181" t="s">
        <v>242</v>
      </c>
      <c r="J1320" s="184" t="n">
        <v>39120</v>
      </c>
      <c r="K1320" s="184" t="n">
        <v>14840</v>
      </c>
      <c r="L1320" s="185" t="n">
        <v>23</v>
      </c>
      <c r="M1320" s="184" t="n">
        <v>24280</v>
      </c>
      <c r="N1320" s="184" t="n">
        <v>18695.6</v>
      </c>
      <c r="O1320" s="186" t="s">
        <v>3041</v>
      </c>
      <c r="P1320" s="187" t="n">
        <v>45962</v>
      </c>
    </row>
    <row r="1321" customFormat="false" ht="51" hidden="false" customHeight="true" outlineLevel="0" collapsed="false">
      <c r="A1321" s="181" t="s">
        <v>3042</v>
      </c>
      <c r="B1321" s="182" t="n">
        <v>2832</v>
      </c>
      <c r="C1321" s="183" t="n">
        <v>248</v>
      </c>
      <c r="D1321" s="181" t="s">
        <v>2401</v>
      </c>
      <c r="E1321" s="181" t="s">
        <v>537</v>
      </c>
      <c r="F1321" s="181" t="s">
        <v>538</v>
      </c>
      <c r="G1321" s="181" t="s">
        <v>2728</v>
      </c>
      <c r="H1321" s="181" t="s">
        <v>279</v>
      </c>
      <c r="I1321" s="181" t="s">
        <v>242</v>
      </c>
      <c r="J1321" s="184" t="n">
        <v>35970</v>
      </c>
      <c r="K1321" s="184" t="n">
        <v>14040</v>
      </c>
      <c r="L1321" s="185" t="n">
        <v>12</v>
      </c>
      <c r="M1321" s="184" t="n">
        <v>21930</v>
      </c>
      <c r="N1321" s="184" t="n">
        <v>19298.4</v>
      </c>
      <c r="O1321" s="186" t="s">
        <v>3043</v>
      </c>
      <c r="P1321" s="187" t="n">
        <v>45962</v>
      </c>
    </row>
    <row r="1322" customFormat="false" ht="51" hidden="false" customHeight="true" outlineLevel="0" collapsed="false">
      <c r="A1322" s="181" t="s">
        <v>3044</v>
      </c>
      <c r="B1322" s="182" t="n">
        <v>2833</v>
      </c>
      <c r="C1322" s="183" t="n">
        <v>250</v>
      </c>
      <c r="D1322" s="181" t="s">
        <v>2401</v>
      </c>
      <c r="E1322" s="181" t="s">
        <v>266</v>
      </c>
      <c r="F1322" s="181" t="s">
        <v>267</v>
      </c>
      <c r="G1322" s="181" t="s">
        <v>2715</v>
      </c>
      <c r="H1322" s="181" t="s">
        <v>279</v>
      </c>
      <c r="I1322" s="181" t="s">
        <v>242</v>
      </c>
      <c r="J1322" s="184" t="n">
        <v>37510</v>
      </c>
      <c r="K1322" s="184" t="n">
        <v>15240</v>
      </c>
      <c r="L1322" s="185" t="n">
        <v>8</v>
      </c>
      <c r="M1322" s="184" t="n">
        <v>22270</v>
      </c>
      <c r="N1322" s="184" t="n">
        <v>20488.4</v>
      </c>
      <c r="O1322" s="186" t="s">
        <v>3045</v>
      </c>
      <c r="P1322" s="187" t="n">
        <v>45962</v>
      </c>
    </row>
    <row r="1323" customFormat="false" ht="51" hidden="false" customHeight="true" outlineLevel="0" collapsed="false">
      <c r="A1323" s="181" t="s">
        <v>3046</v>
      </c>
      <c r="B1323" s="182" t="n">
        <v>2834</v>
      </c>
      <c r="C1323" s="183" t="n">
        <v>249</v>
      </c>
      <c r="D1323" s="181" t="s">
        <v>2401</v>
      </c>
      <c r="E1323" s="181" t="s">
        <v>282</v>
      </c>
      <c r="F1323" s="181" t="s">
        <v>283</v>
      </c>
      <c r="G1323" s="181" t="s">
        <v>2715</v>
      </c>
      <c r="H1323" s="181" t="s">
        <v>279</v>
      </c>
      <c r="I1323" s="181" t="s">
        <v>242</v>
      </c>
      <c r="J1323" s="184" t="n">
        <v>39390</v>
      </c>
      <c r="K1323" s="184" t="n">
        <v>15220</v>
      </c>
      <c r="L1323" s="185" t="n">
        <v>18</v>
      </c>
      <c r="M1323" s="184" t="n">
        <v>24170</v>
      </c>
      <c r="N1323" s="184" t="n">
        <v>19819.4</v>
      </c>
      <c r="O1323" s="186" t="s">
        <v>3047</v>
      </c>
      <c r="P1323" s="187" t="n">
        <v>45962</v>
      </c>
    </row>
    <row r="1324" customFormat="false" ht="51" hidden="false" customHeight="true" outlineLevel="0" collapsed="false">
      <c r="A1324" s="181" t="s">
        <v>3050</v>
      </c>
      <c r="B1324" s="182" t="n">
        <v>2836</v>
      </c>
      <c r="C1324" s="183" t="n">
        <v>252</v>
      </c>
      <c r="D1324" s="181" t="s">
        <v>2401</v>
      </c>
      <c r="E1324" s="181" t="s">
        <v>261</v>
      </c>
      <c r="F1324" s="181" t="s">
        <v>262</v>
      </c>
      <c r="G1324" s="181" t="s">
        <v>2715</v>
      </c>
      <c r="H1324" s="181" t="s">
        <v>279</v>
      </c>
      <c r="I1324" s="181" t="s">
        <v>242</v>
      </c>
      <c r="J1324" s="184" t="n">
        <v>39980</v>
      </c>
      <c r="K1324" s="184" t="n">
        <v>15310</v>
      </c>
      <c r="L1324" s="185" t="n">
        <v>12</v>
      </c>
      <c r="M1324" s="184" t="n">
        <v>24670</v>
      </c>
      <c r="N1324" s="184" t="n">
        <v>21709.6</v>
      </c>
      <c r="O1324" s="186" t="s">
        <v>3051</v>
      </c>
      <c r="P1324" s="187" t="n">
        <v>45962</v>
      </c>
    </row>
    <row r="1325" customFormat="false" ht="51" hidden="false" customHeight="true" outlineLevel="0" collapsed="false">
      <c r="A1325" s="181" t="s">
        <v>3052</v>
      </c>
      <c r="B1325" s="182" t="n">
        <v>2837</v>
      </c>
      <c r="C1325" s="183" t="n">
        <v>253</v>
      </c>
      <c r="D1325" s="181" t="s">
        <v>2401</v>
      </c>
      <c r="E1325" s="181" t="s">
        <v>354</v>
      </c>
      <c r="F1325" s="181" t="s">
        <v>355</v>
      </c>
      <c r="G1325" s="181" t="s">
        <v>2715</v>
      </c>
      <c r="H1325" s="181" t="s">
        <v>279</v>
      </c>
      <c r="I1325" s="181" t="s">
        <v>242</v>
      </c>
      <c r="J1325" s="184" t="n">
        <v>39610</v>
      </c>
      <c r="K1325" s="184" t="n">
        <v>14920</v>
      </c>
      <c r="L1325" s="185" t="n">
        <v>14</v>
      </c>
      <c r="M1325" s="184" t="n">
        <v>24690</v>
      </c>
      <c r="N1325" s="184" t="n">
        <v>21233.4</v>
      </c>
      <c r="O1325" s="186" t="s">
        <v>3053</v>
      </c>
      <c r="P1325" s="187" t="n">
        <v>45962</v>
      </c>
    </row>
    <row r="1326" customFormat="false" ht="51" hidden="false" customHeight="true" outlineLevel="0" collapsed="false">
      <c r="A1326" s="181" t="s">
        <v>3054</v>
      </c>
      <c r="B1326" s="182" t="n">
        <v>2844</v>
      </c>
      <c r="C1326" s="183" t="n">
        <v>254</v>
      </c>
      <c r="D1326" s="181" t="s">
        <v>2401</v>
      </c>
      <c r="E1326" s="181" t="s">
        <v>541</v>
      </c>
      <c r="F1326" s="181" t="s">
        <v>542</v>
      </c>
      <c r="G1326" s="181" t="s">
        <v>2715</v>
      </c>
      <c r="H1326" s="181" t="s">
        <v>279</v>
      </c>
      <c r="I1326" s="181" t="s">
        <v>242</v>
      </c>
      <c r="J1326" s="184" t="n">
        <v>39820</v>
      </c>
      <c r="K1326" s="184" t="n">
        <v>15190</v>
      </c>
      <c r="L1326" s="185" t="n">
        <v>6</v>
      </c>
      <c r="M1326" s="184" t="n">
        <v>24630</v>
      </c>
      <c r="N1326" s="184" t="n">
        <v>23152.2</v>
      </c>
      <c r="O1326" s="186" t="s">
        <v>3055</v>
      </c>
      <c r="P1326" s="187" t="n">
        <v>45962</v>
      </c>
    </row>
    <row r="1327" customFormat="false" ht="51" hidden="false" customHeight="true" outlineLevel="0" collapsed="false">
      <c r="A1327" s="181" t="s">
        <v>3068</v>
      </c>
      <c r="B1327" s="182" t="n">
        <v>2842</v>
      </c>
      <c r="C1327" s="183" t="n">
        <v>255</v>
      </c>
      <c r="D1327" s="181" t="s">
        <v>2401</v>
      </c>
      <c r="E1327" s="181" t="s">
        <v>367</v>
      </c>
      <c r="F1327" s="181" t="s">
        <v>368</v>
      </c>
      <c r="G1327" s="181" t="s">
        <v>2715</v>
      </c>
      <c r="H1327" s="181" t="s">
        <v>279</v>
      </c>
      <c r="I1327" s="181" t="s">
        <v>242</v>
      </c>
      <c r="J1327" s="184" t="n">
        <v>51070</v>
      </c>
      <c r="K1327" s="184" t="n">
        <v>18870</v>
      </c>
      <c r="L1327" s="185" t="n">
        <v>10</v>
      </c>
      <c r="M1327" s="184" t="n">
        <v>32200</v>
      </c>
      <c r="N1327" s="184" t="n">
        <v>28980</v>
      </c>
      <c r="O1327" s="186" t="s">
        <v>3069</v>
      </c>
      <c r="P1327" s="187" t="n">
        <v>45962</v>
      </c>
    </row>
    <row r="1328" customFormat="false" ht="51" hidden="false" customHeight="true" outlineLevel="0" collapsed="false">
      <c r="A1328" s="181" t="s">
        <v>3070</v>
      </c>
      <c r="B1328" s="182" t="n">
        <v>2846</v>
      </c>
      <c r="C1328" s="183" t="n">
        <v>256</v>
      </c>
      <c r="D1328" s="181" t="s">
        <v>2401</v>
      </c>
      <c r="E1328" s="181" t="s">
        <v>332</v>
      </c>
      <c r="F1328" s="181" t="s">
        <v>333</v>
      </c>
      <c r="G1328" s="181" t="s">
        <v>2715</v>
      </c>
      <c r="H1328" s="181" t="s">
        <v>279</v>
      </c>
      <c r="I1328" s="181" t="s">
        <v>242</v>
      </c>
      <c r="J1328" s="184" t="n">
        <v>40220</v>
      </c>
      <c r="K1328" s="184" t="n">
        <v>15070</v>
      </c>
      <c r="L1328" s="185" t="n">
        <v>13</v>
      </c>
      <c r="M1328" s="184" t="n">
        <v>25150</v>
      </c>
      <c r="N1328" s="184" t="n">
        <v>21880.5</v>
      </c>
      <c r="O1328" s="186" t="s">
        <v>3071</v>
      </c>
      <c r="P1328" s="187" t="n">
        <v>45962</v>
      </c>
    </row>
    <row r="1329" customFormat="false" ht="51" hidden="false" customHeight="true" outlineLevel="0" collapsed="false">
      <c r="A1329" s="181" t="s">
        <v>3076</v>
      </c>
      <c r="B1329" s="182" t="n">
        <v>2852</v>
      </c>
      <c r="C1329" s="183" t="n">
        <v>258</v>
      </c>
      <c r="D1329" s="181" t="s">
        <v>2401</v>
      </c>
      <c r="E1329" s="181" t="s">
        <v>304</v>
      </c>
      <c r="F1329" s="181" t="s">
        <v>305</v>
      </c>
      <c r="G1329" s="181" t="s">
        <v>2715</v>
      </c>
      <c r="H1329" s="181" t="s">
        <v>279</v>
      </c>
      <c r="I1329" s="181" t="s">
        <v>242</v>
      </c>
      <c r="J1329" s="184" t="n">
        <v>40860</v>
      </c>
      <c r="K1329" s="184" t="n">
        <v>15150</v>
      </c>
      <c r="L1329" s="185" t="n">
        <v>8</v>
      </c>
      <c r="M1329" s="184" t="n">
        <v>25710</v>
      </c>
      <c r="N1329" s="184" t="n">
        <v>23653.2</v>
      </c>
      <c r="O1329" s="186" t="s">
        <v>3077</v>
      </c>
      <c r="P1329" s="187" t="n">
        <v>45962</v>
      </c>
    </row>
    <row r="1330" customFormat="false" ht="51" hidden="false" customHeight="true" outlineLevel="0" collapsed="false">
      <c r="A1330" s="181" t="s">
        <v>3078</v>
      </c>
      <c r="B1330" s="182" t="n">
        <v>2858</v>
      </c>
      <c r="C1330" s="183" t="n">
        <v>271</v>
      </c>
      <c r="D1330" s="181" t="s">
        <v>2401</v>
      </c>
      <c r="E1330" s="181" t="s">
        <v>1646</v>
      </c>
      <c r="F1330" s="181" t="s">
        <v>1647</v>
      </c>
      <c r="G1330" s="181" t="s">
        <v>2715</v>
      </c>
      <c r="H1330" s="181" t="s">
        <v>279</v>
      </c>
      <c r="I1330" s="181" t="s">
        <v>242</v>
      </c>
      <c r="J1330" s="184" t="n">
        <v>29670</v>
      </c>
      <c r="K1330" s="184" t="n">
        <v>14320</v>
      </c>
      <c r="L1330" s="185" t="n">
        <v>10</v>
      </c>
      <c r="M1330" s="184" t="n">
        <v>15350</v>
      </c>
      <c r="N1330" s="184" t="n">
        <v>13815</v>
      </c>
      <c r="O1330" s="186" t="s">
        <v>3079</v>
      </c>
      <c r="P1330" s="187" t="n">
        <v>45962</v>
      </c>
    </row>
    <row r="1331" customFormat="false" ht="51" hidden="false" customHeight="true" outlineLevel="0" collapsed="false">
      <c r="A1331" s="181" t="s">
        <v>3088</v>
      </c>
      <c r="B1331" s="182" t="n">
        <v>2849</v>
      </c>
      <c r="C1331" s="183" t="n">
        <v>257</v>
      </c>
      <c r="D1331" s="181" t="s">
        <v>2401</v>
      </c>
      <c r="E1331" s="181" t="s">
        <v>308</v>
      </c>
      <c r="F1331" s="181" t="s">
        <v>309</v>
      </c>
      <c r="G1331" s="181" t="s">
        <v>2715</v>
      </c>
      <c r="H1331" s="181" t="s">
        <v>279</v>
      </c>
      <c r="I1331" s="181" t="s">
        <v>242</v>
      </c>
      <c r="J1331" s="184" t="n">
        <v>61960</v>
      </c>
      <c r="K1331" s="184" t="n">
        <v>24260</v>
      </c>
      <c r="L1331" s="185" t="n">
        <v>9</v>
      </c>
      <c r="M1331" s="184" t="n">
        <v>37700</v>
      </c>
      <c r="N1331" s="184" t="n">
        <v>34307</v>
      </c>
      <c r="O1331" s="186" t="s">
        <v>3089</v>
      </c>
      <c r="P1331" s="187" t="n">
        <v>45962</v>
      </c>
    </row>
    <row r="1332" customFormat="false" ht="51" hidden="false" customHeight="true" outlineLevel="0" collapsed="false">
      <c r="A1332" s="181" t="s">
        <v>3090</v>
      </c>
      <c r="B1332" s="182" t="n">
        <v>2853</v>
      </c>
      <c r="C1332" s="183" t="n">
        <v>259</v>
      </c>
      <c r="D1332" s="181" t="s">
        <v>2401</v>
      </c>
      <c r="E1332" s="181" t="s">
        <v>399</v>
      </c>
      <c r="F1332" s="181" t="s">
        <v>400</v>
      </c>
      <c r="G1332" s="181" t="s">
        <v>2715</v>
      </c>
      <c r="H1332" s="181" t="s">
        <v>279</v>
      </c>
      <c r="I1332" s="181" t="s">
        <v>242</v>
      </c>
      <c r="J1332" s="184" t="n">
        <v>52710</v>
      </c>
      <c r="K1332" s="184" t="n">
        <v>19690</v>
      </c>
      <c r="L1332" s="185" t="n">
        <v>8</v>
      </c>
      <c r="M1332" s="184" t="n">
        <v>33020</v>
      </c>
      <c r="N1332" s="184" t="n">
        <v>30378.4</v>
      </c>
      <c r="O1332" s="186" t="s">
        <v>3091</v>
      </c>
      <c r="P1332" s="187" t="n">
        <v>45962</v>
      </c>
    </row>
    <row r="1333" customFormat="false" ht="51" hidden="false" customHeight="true" outlineLevel="0" collapsed="false">
      <c r="A1333" s="181" t="s">
        <v>3056</v>
      </c>
      <c r="B1333" s="182" t="n">
        <v>2854</v>
      </c>
      <c r="C1333" s="183" t="n">
        <v>260</v>
      </c>
      <c r="D1333" s="181" t="s">
        <v>2401</v>
      </c>
      <c r="E1333" s="181" t="s">
        <v>582</v>
      </c>
      <c r="F1333" s="181" t="s">
        <v>583</v>
      </c>
      <c r="G1333" s="181" t="s">
        <v>2715</v>
      </c>
      <c r="H1333" s="181" t="s">
        <v>279</v>
      </c>
      <c r="I1333" s="181" t="s">
        <v>242</v>
      </c>
      <c r="J1333" s="184" t="n">
        <v>42170</v>
      </c>
      <c r="K1333" s="184" t="n">
        <v>15200</v>
      </c>
      <c r="L1333" s="185" t="n">
        <v>8</v>
      </c>
      <c r="M1333" s="184" t="n">
        <v>26970</v>
      </c>
      <c r="N1333" s="184" t="n">
        <v>24812.4</v>
      </c>
      <c r="O1333" s="186" t="s">
        <v>3057</v>
      </c>
      <c r="P1333" s="187" t="n">
        <v>45962</v>
      </c>
    </row>
    <row r="1334" customFormat="false" ht="51" hidden="false" customHeight="true" outlineLevel="0" collapsed="false">
      <c r="A1334" s="181" t="s">
        <v>3058</v>
      </c>
      <c r="B1334" s="182" t="n">
        <v>2855</v>
      </c>
      <c r="C1334" s="183" t="n">
        <v>261</v>
      </c>
      <c r="D1334" s="181" t="s">
        <v>2401</v>
      </c>
      <c r="E1334" s="181" t="s">
        <v>377</v>
      </c>
      <c r="F1334" s="181" t="s">
        <v>378</v>
      </c>
      <c r="G1334" s="181" t="s">
        <v>2715</v>
      </c>
      <c r="H1334" s="181" t="s">
        <v>279</v>
      </c>
      <c r="I1334" s="181" t="s">
        <v>242</v>
      </c>
      <c r="J1334" s="184" t="n">
        <v>43170</v>
      </c>
      <c r="K1334" s="184" t="n">
        <v>15860</v>
      </c>
      <c r="L1334" s="185" t="n">
        <v>8</v>
      </c>
      <c r="M1334" s="184" t="n">
        <v>27310</v>
      </c>
      <c r="N1334" s="184" t="n">
        <v>25125.2</v>
      </c>
      <c r="O1334" s="186" t="s">
        <v>3059</v>
      </c>
      <c r="P1334" s="187" t="n">
        <v>45962</v>
      </c>
    </row>
    <row r="1335" customFormat="false" ht="51" hidden="false" customHeight="true" outlineLevel="0" collapsed="false">
      <c r="A1335" s="181" t="s">
        <v>3060</v>
      </c>
      <c r="B1335" s="182" t="n">
        <v>2856</v>
      </c>
      <c r="C1335" s="183" t="n">
        <v>11480</v>
      </c>
      <c r="D1335" s="181" t="s">
        <v>2066</v>
      </c>
      <c r="E1335" s="181" t="s">
        <v>336</v>
      </c>
      <c r="F1335" s="181" t="s">
        <v>337</v>
      </c>
      <c r="G1335" s="181" t="s">
        <v>3334</v>
      </c>
      <c r="H1335" s="181" t="s">
        <v>158</v>
      </c>
      <c r="I1335" s="181" t="s">
        <v>241</v>
      </c>
      <c r="J1335" s="184" t="n">
        <v>40400</v>
      </c>
      <c r="K1335" s="184" t="n">
        <v>14630</v>
      </c>
      <c r="L1335" s="185" t="n">
        <v>15</v>
      </c>
      <c r="M1335" s="184" t="n">
        <v>25770</v>
      </c>
      <c r="N1335" s="184" t="n">
        <v>21904.5</v>
      </c>
      <c r="O1335" s="186" t="s">
        <v>3061</v>
      </c>
      <c r="P1335" s="187" t="n">
        <v>45962</v>
      </c>
    </row>
    <row r="1336" customFormat="false" ht="51" hidden="false" customHeight="true" outlineLevel="0" collapsed="false">
      <c r="A1336" s="181" t="s">
        <v>3062</v>
      </c>
      <c r="B1336" s="182" t="n">
        <v>2857</v>
      </c>
      <c r="C1336" s="183" t="n">
        <v>11482</v>
      </c>
      <c r="D1336" s="181" t="s">
        <v>2066</v>
      </c>
      <c r="E1336" s="181" t="s">
        <v>340</v>
      </c>
      <c r="F1336" s="181" t="s">
        <v>341</v>
      </c>
      <c r="G1336" s="181" t="s">
        <v>3334</v>
      </c>
      <c r="H1336" s="181" t="s">
        <v>158</v>
      </c>
      <c r="I1336" s="181" t="s">
        <v>241</v>
      </c>
      <c r="J1336" s="184" t="n">
        <v>41350</v>
      </c>
      <c r="K1336" s="184" t="n">
        <v>15130</v>
      </c>
      <c r="L1336" s="185" t="n">
        <v>8</v>
      </c>
      <c r="M1336" s="184" t="n">
        <v>26220</v>
      </c>
      <c r="N1336" s="184" t="n">
        <v>24122.4</v>
      </c>
      <c r="O1336" s="186" t="s">
        <v>3063</v>
      </c>
      <c r="P1336" s="187" t="n">
        <v>45962</v>
      </c>
    </row>
    <row r="1337" customFormat="false" ht="51" hidden="false" customHeight="true" outlineLevel="0" collapsed="false">
      <c r="A1337" s="181" t="s">
        <v>3064</v>
      </c>
      <c r="B1337" s="182" t="n">
        <v>2859</v>
      </c>
      <c r="C1337" s="183" t="n">
        <v>11499</v>
      </c>
      <c r="D1337" s="181" t="s">
        <v>2066</v>
      </c>
      <c r="E1337" s="181" t="s">
        <v>277</v>
      </c>
      <c r="F1337" s="181" t="s">
        <v>278</v>
      </c>
      <c r="G1337" s="181" t="s">
        <v>3334</v>
      </c>
      <c r="H1337" s="181" t="s">
        <v>158</v>
      </c>
      <c r="I1337" s="181" t="s">
        <v>241</v>
      </c>
      <c r="J1337" s="184" t="n">
        <v>43770</v>
      </c>
      <c r="K1337" s="184" t="n">
        <v>15270</v>
      </c>
      <c r="L1337" s="185" t="n">
        <v>8</v>
      </c>
      <c r="M1337" s="184" t="n">
        <v>28500</v>
      </c>
      <c r="N1337" s="184" t="n">
        <v>26220</v>
      </c>
      <c r="O1337" s="186" t="s">
        <v>3065</v>
      </c>
      <c r="P1337" s="187" t="n">
        <v>45962</v>
      </c>
    </row>
    <row r="1338" customFormat="false" ht="51" hidden="false" customHeight="true" outlineLevel="0" collapsed="false">
      <c r="A1338" s="181" t="s">
        <v>3066</v>
      </c>
      <c r="B1338" s="182" t="n">
        <v>2860</v>
      </c>
      <c r="C1338" s="183" t="n">
        <v>263</v>
      </c>
      <c r="D1338" s="181" t="s">
        <v>2401</v>
      </c>
      <c r="E1338" s="181" t="s">
        <v>350</v>
      </c>
      <c r="F1338" s="181" t="s">
        <v>351</v>
      </c>
      <c r="G1338" s="181" t="s">
        <v>2715</v>
      </c>
      <c r="H1338" s="181" t="s">
        <v>279</v>
      </c>
      <c r="I1338" s="181" t="s">
        <v>242</v>
      </c>
      <c r="J1338" s="184" t="n">
        <v>44900</v>
      </c>
      <c r="K1338" s="184" t="n">
        <v>15130</v>
      </c>
      <c r="L1338" s="185" t="n">
        <v>15</v>
      </c>
      <c r="M1338" s="184" t="n">
        <v>29770</v>
      </c>
      <c r="N1338" s="184" t="n">
        <v>25304.5</v>
      </c>
      <c r="O1338" s="186" t="s">
        <v>3067</v>
      </c>
      <c r="P1338" s="187" t="n">
        <v>45962</v>
      </c>
    </row>
    <row r="1339" customFormat="false" ht="51" hidden="false" customHeight="true" outlineLevel="0" collapsed="false">
      <c r="A1339" s="181" t="s">
        <v>3048</v>
      </c>
      <c r="B1339" s="182" t="n">
        <v>2835</v>
      </c>
      <c r="C1339" s="183" t="n">
        <v>251</v>
      </c>
      <c r="D1339" s="181" t="s">
        <v>2401</v>
      </c>
      <c r="E1339" s="181" t="s">
        <v>576</v>
      </c>
      <c r="F1339" s="181" t="s">
        <v>577</v>
      </c>
      <c r="G1339" s="181" t="s">
        <v>2715</v>
      </c>
      <c r="H1339" s="181" t="s">
        <v>279</v>
      </c>
      <c r="I1339" s="181" t="s">
        <v>242</v>
      </c>
      <c r="J1339" s="184" t="n">
        <v>37990</v>
      </c>
      <c r="K1339" s="184" t="n">
        <v>14660</v>
      </c>
      <c r="L1339" s="185" t="n">
        <v>16</v>
      </c>
      <c r="M1339" s="184" t="n">
        <v>23330</v>
      </c>
      <c r="N1339" s="184" t="n">
        <v>19597.2</v>
      </c>
      <c r="O1339" s="186" t="s">
        <v>3049</v>
      </c>
      <c r="P1339" s="187" t="n">
        <v>45962</v>
      </c>
    </row>
    <row r="1340" customFormat="false" ht="51" hidden="false" customHeight="true" outlineLevel="0" collapsed="false">
      <c r="A1340" s="181" t="s">
        <v>3072</v>
      </c>
      <c r="B1340" s="182" t="n">
        <v>2861</v>
      </c>
      <c r="C1340" s="183" t="n">
        <v>262</v>
      </c>
      <c r="D1340" s="181" t="s">
        <v>2401</v>
      </c>
      <c r="E1340" s="181" t="s">
        <v>300</v>
      </c>
      <c r="F1340" s="181" t="s">
        <v>301</v>
      </c>
      <c r="G1340" s="181" t="s">
        <v>2715</v>
      </c>
      <c r="H1340" s="181" t="s">
        <v>279</v>
      </c>
      <c r="I1340" s="181" t="s">
        <v>242</v>
      </c>
      <c r="J1340" s="184" t="n">
        <v>63860</v>
      </c>
      <c r="K1340" s="184" t="n">
        <v>21510</v>
      </c>
      <c r="L1340" s="185" t="n">
        <v>10</v>
      </c>
      <c r="M1340" s="184" t="n">
        <v>42350</v>
      </c>
      <c r="N1340" s="184" t="n">
        <v>38115</v>
      </c>
      <c r="O1340" s="186" t="s">
        <v>3073</v>
      </c>
      <c r="P1340" s="187" t="n">
        <v>45962</v>
      </c>
    </row>
    <row r="1341" customFormat="false" ht="51" hidden="false" customHeight="true" outlineLevel="0" collapsed="false">
      <c r="A1341" s="181" t="s">
        <v>3074</v>
      </c>
      <c r="B1341" s="182" t="n">
        <v>2862</v>
      </c>
      <c r="C1341" s="183" t="n">
        <v>265</v>
      </c>
      <c r="D1341" s="181" t="s">
        <v>2401</v>
      </c>
      <c r="E1341" s="181" t="s">
        <v>387</v>
      </c>
      <c r="F1341" s="181" t="s">
        <v>388</v>
      </c>
      <c r="G1341" s="181" t="s">
        <v>2715</v>
      </c>
      <c r="H1341" s="181" t="s">
        <v>279</v>
      </c>
      <c r="I1341" s="181" t="s">
        <v>242</v>
      </c>
      <c r="J1341" s="184" t="n">
        <v>45950</v>
      </c>
      <c r="K1341" s="184" t="n">
        <v>15380</v>
      </c>
      <c r="L1341" s="185" t="n">
        <v>7</v>
      </c>
      <c r="M1341" s="184" t="n">
        <v>30570</v>
      </c>
      <c r="N1341" s="184" t="n">
        <v>28430.1</v>
      </c>
      <c r="O1341" s="186" t="s">
        <v>3075</v>
      </c>
      <c r="P1341" s="187" t="n">
        <v>45962</v>
      </c>
    </row>
    <row r="1342" customFormat="false" ht="51" hidden="false" customHeight="true" outlineLevel="0" collapsed="false">
      <c r="A1342" s="181" t="s">
        <v>3080</v>
      </c>
      <c r="B1342" s="182" t="n">
        <v>2864</v>
      </c>
      <c r="C1342" s="183" t="n">
        <v>264</v>
      </c>
      <c r="D1342" s="181" t="s">
        <v>2401</v>
      </c>
      <c r="E1342" s="181" t="s">
        <v>288</v>
      </c>
      <c r="F1342" s="181" t="s">
        <v>289</v>
      </c>
      <c r="G1342" s="181" t="s">
        <v>2715</v>
      </c>
      <c r="H1342" s="181" t="s">
        <v>279</v>
      </c>
      <c r="I1342" s="181" t="s">
        <v>242</v>
      </c>
      <c r="J1342" s="184" t="n">
        <v>38830</v>
      </c>
      <c r="K1342" s="184" t="n">
        <v>14970</v>
      </c>
      <c r="L1342" s="185" t="n">
        <v>11</v>
      </c>
      <c r="M1342" s="184" t="n">
        <v>23860</v>
      </c>
      <c r="N1342" s="184" t="n">
        <v>21235.4</v>
      </c>
      <c r="O1342" s="186" t="s">
        <v>3081</v>
      </c>
      <c r="P1342" s="187" t="n">
        <v>45962</v>
      </c>
    </row>
    <row r="1343" customFormat="false" ht="51" hidden="false" customHeight="true" outlineLevel="0" collapsed="false">
      <c r="A1343" s="181" t="s">
        <v>3082</v>
      </c>
      <c r="B1343" s="182" t="n">
        <v>2865</v>
      </c>
      <c r="C1343" s="183" t="n">
        <v>266</v>
      </c>
      <c r="D1343" s="181" t="s">
        <v>2401</v>
      </c>
      <c r="E1343" s="181" t="s">
        <v>413</v>
      </c>
      <c r="F1343" s="181" t="s">
        <v>414</v>
      </c>
      <c r="G1343" s="181" t="s">
        <v>2715</v>
      </c>
      <c r="H1343" s="181" t="s">
        <v>279</v>
      </c>
      <c r="I1343" s="181" t="s">
        <v>242</v>
      </c>
      <c r="J1343" s="184" t="n">
        <v>49030</v>
      </c>
      <c r="K1343" s="184" t="n">
        <v>16210</v>
      </c>
      <c r="L1343" s="185" t="n">
        <v>6</v>
      </c>
      <c r="M1343" s="184" t="n">
        <v>32820</v>
      </c>
      <c r="N1343" s="184" t="n">
        <v>30850.8</v>
      </c>
      <c r="O1343" s="186" t="s">
        <v>3083</v>
      </c>
      <c r="P1343" s="187" t="n">
        <v>45962</v>
      </c>
    </row>
    <row r="1344" customFormat="false" ht="51" hidden="false" customHeight="true" outlineLevel="0" collapsed="false">
      <c r="A1344" s="181" t="s">
        <v>3084</v>
      </c>
      <c r="B1344" s="182" t="n">
        <v>2866</v>
      </c>
      <c r="C1344" s="183" t="n">
        <v>267</v>
      </c>
      <c r="D1344" s="181" t="s">
        <v>2401</v>
      </c>
      <c r="E1344" s="181" t="s">
        <v>383</v>
      </c>
      <c r="F1344" s="181" t="s">
        <v>384</v>
      </c>
      <c r="G1344" s="181" t="s">
        <v>2715</v>
      </c>
      <c r="H1344" s="181" t="s">
        <v>279</v>
      </c>
      <c r="I1344" s="181" t="s">
        <v>242</v>
      </c>
      <c r="J1344" s="184" t="n">
        <v>41610</v>
      </c>
      <c r="K1344" s="184" t="n">
        <v>15010</v>
      </c>
      <c r="L1344" s="185" t="n">
        <v>10</v>
      </c>
      <c r="M1344" s="184" t="n">
        <v>26600</v>
      </c>
      <c r="N1344" s="184" t="n">
        <v>23940</v>
      </c>
      <c r="O1344" s="186" t="s">
        <v>3085</v>
      </c>
      <c r="P1344" s="187" t="n">
        <v>45962</v>
      </c>
    </row>
    <row r="1345" customFormat="false" ht="51" hidden="false" customHeight="true" outlineLevel="0" collapsed="false">
      <c r="A1345" s="181" t="s">
        <v>3086</v>
      </c>
      <c r="B1345" s="182" t="n">
        <v>2867</v>
      </c>
      <c r="C1345" s="183" t="n">
        <v>269</v>
      </c>
      <c r="D1345" s="181" t="s">
        <v>2401</v>
      </c>
      <c r="E1345" s="181" t="s">
        <v>549</v>
      </c>
      <c r="F1345" s="181" t="s">
        <v>550</v>
      </c>
      <c r="G1345" s="181" t="s">
        <v>2715</v>
      </c>
      <c r="H1345" s="181" t="s">
        <v>279</v>
      </c>
      <c r="I1345" s="181" t="s">
        <v>242</v>
      </c>
      <c r="J1345" s="184" t="n">
        <v>44800</v>
      </c>
      <c r="K1345" s="184" t="n">
        <v>16020</v>
      </c>
      <c r="L1345" s="185" t="n">
        <v>6</v>
      </c>
      <c r="M1345" s="184" t="n">
        <v>28780</v>
      </c>
      <c r="N1345" s="184" t="n">
        <v>27053.2</v>
      </c>
      <c r="O1345" s="186" t="s">
        <v>3087</v>
      </c>
      <c r="P1345" s="187" t="n">
        <v>45962</v>
      </c>
    </row>
    <row r="1346" customFormat="false" ht="51" hidden="false" customHeight="true" outlineLevel="0" collapsed="false">
      <c r="A1346" s="181" t="s">
        <v>3092</v>
      </c>
      <c r="B1346" s="182" t="n">
        <v>2868</v>
      </c>
      <c r="C1346" s="183" t="n">
        <v>270</v>
      </c>
      <c r="D1346" s="181" t="s">
        <v>2401</v>
      </c>
      <c r="E1346" s="181" t="s">
        <v>533</v>
      </c>
      <c r="F1346" s="181" t="s">
        <v>534</v>
      </c>
      <c r="G1346" s="181" t="s">
        <v>2715</v>
      </c>
      <c r="H1346" s="181" t="s">
        <v>279</v>
      </c>
      <c r="I1346" s="181" t="s">
        <v>242</v>
      </c>
      <c r="J1346" s="184" t="n">
        <v>40230</v>
      </c>
      <c r="K1346" s="184" t="n">
        <v>14760</v>
      </c>
      <c r="L1346" s="185" t="n">
        <v>9</v>
      </c>
      <c r="M1346" s="184" t="n">
        <v>25470</v>
      </c>
      <c r="N1346" s="184" t="n">
        <v>23177.7</v>
      </c>
      <c r="O1346" s="186" t="s">
        <v>3093</v>
      </c>
      <c r="P1346" s="187" t="n">
        <v>45962</v>
      </c>
    </row>
    <row r="1347" customFormat="false" ht="51" hidden="false" customHeight="true" outlineLevel="0" collapsed="false">
      <c r="A1347" s="181" t="s">
        <v>3094</v>
      </c>
      <c r="B1347" s="182" t="n">
        <v>2869</v>
      </c>
      <c r="C1347" s="183" t="n">
        <v>274</v>
      </c>
      <c r="D1347" s="181" t="s">
        <v>2401</v>
      </c>
      <c r="E1347" s="181" t="s">
        <v>266</v>
      </c>
      <c r="F1347" s="181" t="s">
        <v>267</v>
      </c>
      <c r="G1347" s="181" t="s">
        <v>2715</v>
      </c>
      <c r="H1347" s="181" t="s">
        <v>279</v>
      </c>
      <c r="I1347" s="181" t="s">
        <v>242</v>
      </c>
      <c r="J1347" s="184" t="n">
        <v>40450</v>
      </c>
      <c r="K1347" s="184" t="n">
        <v>15080</v>
      </c>
      <c r="L1347" s="185" t="n">
        <v>31</v>
      </c>
      <c r="M1347" s="184" t="n">
        <v>25370</v>
      </c>
      <c r="N1347" s="184" t="n">
        <v>17505.3</v>
      </c>
      <c r="O1347" s="186" t="s">
        <v>3095</v>
      </c>
      <c r="P1347" s="187" t="n">
        <v>45962</v>
      </c>
    </row>
    <row r="1348" customFormat="false" ht="51" hidden="false" customHeight="true" outlineLevel="0" collapsed="false">
      <c r="A1348" s="181" t="s">
        <v>3112</v>
      </c>
      <c r="B1348" s="182" t="n">
        <v>2870</v>
      </c>
      <c r="C1348" s="183" t="n">
        <v>268</v>
      </c>
      <c r="D1348" s="181" t="s">
        <v>2401</v>
      </c>
      <c r="E1348" s="181" t="s">
        <v>409</v>
      </c>
      <c r="F1348" s="181" t="s">
        <v>410</v>
      </c>
      <c r="G1348" s="181" t="s">
        <v>2715</v>
      </c>
      <c r="H1348" s="181" t="s">
        <v>279</v>
      </c>
      <c r="I1348" s="181" t="s">
        <v>242</v>
      </c>
      <c r="J1348" s="184" t="n">
        <v>68260</v>
      </c>
      <c r="K1348" s="184" t="n">
        <v>24870</v>
      </c>
      <c r="L1348" s="185" t="n">
        <v>6</v>
      </c>
      <c r="M1348" s="184" t="n">
        <v>43390</v>
      </c>
      <c r="N1348" s="184" t="n">
        <v>40786.6</v>
      </c>
      <c r="O1348" s="186" t="s">
        <v>3113</v>
      </c>
      <c r="P1348" s="187" t="n">
        <v>45963</v>
      </c>
    </row>
    <row r="1349" customFormat="false" ht="51" hidden="false" customHeight="true" outlineLevel="0" collapsed="false">
      <c r="A1349" s="181" t="s">
        <v>3124</v>
      </c>
      <c r="B1349" s="182" t="n">
        <v>2871</v>
      </c>
      <c r="C1349" s="183" t="n">
        <v>273</v>
      </c>
      <c r="D1349" s="181" t="s">
        <v>2401</v>
      </c>
      <c r="E1349" s="181" t="s">
        <v>282</v>
      </c>
      <c r="F1349" s="181" t="s">
        <v>283</v>
      </c>
      <c r="G1349" s="181" t="s">
        <v>2715</v>
      </c>
      <c r="H1349" s="181" t="s">
        <v>279</v>
      </c>
      <c r="I1349" s="181" t="s">
        <v>242</v>
      </c>
      <c r="J1349" s="184" t="n">
        <v>41280</v>
      </c>
      <c r="K1349" s="184" t="n">
        <v>15280</v>
      </c>
      <c r="L1349" s="185" t="n">
        <v>7</v>
      </c>
      <c r="M1349" s="184" t="n">
        <v>26000</v>
      </c>
      <c r="N1349" s="184" t="n">
        <v>24180</v>
      </c>
      <c r="O1349" s="186" t="s">
        <v>3125</v>
      </c>
      <c r="P1349" s="187" t="n">
        <v>45963</v>
      </c>
    </row>
    <row r="1350" customFormat="false" ht="51" hidden="false" customHeight="true" outlineLevel="0" collapsed="false">
      <c r="A1350" s="181" t="s">
        <v>3126</v>
      </c>
      <c r="B1350" s="182" t="n">
        <v>2872</v>
      </c>
      <c r="C1350" s="183" t="n">
        <v>272</v>
      </c>
      <c r="D1350" s="181" t="s">
        <v>2401</v>
      </c>
      <c r="E1350" s="181" t="s">
        <v>537</v>
      </c>
      <c r="F1350" s="181" t="s">
        <v>538</v>
      </c>
      <c r="G1350" s="181" t="s">
        <v>2715</v>
      </c>
      <c r="H1350" s="181" t="s">
        <v>279</v>
      </c>
      <c r="I1350" s="181" t="s">
        <v>242</v>
      </c>
      <c r="J1350" s="184" t="n">
        <v>38420</v>
      </c>
      <c r="K1350" s="184" t="n">
        <v>14120</v>
      </c>
      <c r="L1350" s="185" t="n">
        <v>13</v>
      </c>
      <c r="M1350" s="184" t="n">
        <v>24300</v>
      </c>
      <c r="N1350" s="184" t="n">
        <v>21141</v>
      </c>
      <c r="O1350" s="186" t="s">
        <v>3127</v>
      </c>
      <c r="P1350" s="187" t="n">
        <v>45963</v>
      </c>
    </row>
    <row r="1351" customFormat="false" ht="51" hidden="false" customHeight="true" outlineLevel="0" collapsed="false">
      <c r="A1351" s="181" t="s">
        <v>3128</v>
      </c>
      <c r="B1351" s="182" t="n">
        <v>2874</v>
      </c>
      <c r="C1351" s="183" t="n">
        <v>276</v>
      </c>
      <c r="D1351" s="181" t="s">
        <v>2401</v>
      </c>
      <c r="E1351" s="181" t="s">
        <v>359</v>
      </c>
      <c r="F1351" s="181" t="s">
        <v>360</v>
      </c>
      <c r="G1351" s="181" t="s">
        <v>2715</v>
      </c>
      <c r="H1351" s="181" t="s">
        <v>279</v>
      </c>
      <c r="I1351" s="181" t="s">
        <v>242</v>
      </c>
      <c r="J1351" s="184" t="n">
        <v>38580</v>
      </c>
      <c r="K1351" s="184" t="n">
        <v>15060</v>
      </c>
      <c r="L1351" s="185" t="n">
        <v>24</v>
      </c>
      <c r="M1351" s="184" t="n">
        <v>23520</v>
      </c>
      <c r="N1351" s="184" t="n">
        <v>17875.2</v>
      </c>
      <c r="O1351" s="186" t="s">
        <v>3129</v>
      </c>
      <c r="P1351" s="187" t="n">
        <v>45963</v>
      </c>
    </row>
    <row r="1352" customFormat="false" ht="51" hidden="false" customHeight="true" outlineLevel="0" collapsed="false">
      <c r="A1352" s="181" t="s">
        <v>3130</v>
      </c>
      <c r="B1352" s="182" t="n">
        <v>2875</v>
      </c>
      <c r="C1352" s="183" t="n">
        <v>275</v>
      </c>
      <c r="D1352" s="181" t="s">
        <v>2401</v>
      </c>
      <c r="E1352" s="181" t="s">
        <v>354</v>
      </c>
      <c r="F1352" s="181" t="s">
        <v>355</v>
      </c>
      <c r="G1352" s="181" t="s">
        <v>2715</v>
      </c>
      <c r="H1352" s="181" t="s">
        <v>279</v>
      </c>
      <c r="I1352" s="181" t="s">
        <v>242</v>
      </c>
      <c r="J1352" s="184" t="n">
        <v>41060</v>
      </c>
      <c r="K1352" s="184" t="n">
        <v>15010</v>
      </c>
      <c r="L1352" s="185" t="n">
        <v>9</v>
      </c>
      <c r="M1352" s="184" t="n">
        <v>26050</v>
      </c>
      <c r="N1352" s="184" t="n">
        <v>23705.5</v>
      </c>
      <c r="O1352" s="186" t="s">
        <v>3131</v>
      </c>
      <c r="P1352" s="187" t="n">
        <v>45963</v>
      </c>
    </row>
    <row r="1353" customFormat="false" ht="51" hidden="false" customHeight="true" outlineLevel="0" collapsed="false">
      <c r="A1353" s="181" t="s">
        <v>3096</v>
      </c>
      <c r="B1353" s="182" t="n">
        <v>2873</v>
      </c>
      <c r="C1353" s="183" t="n">
        <v>279</v>
      </c>
      <c r="D1353" s="181" t="s">
        <v>2401</v>
      </c>
      <c r="E1353" s="181" t="s">
        <v>332</v>
      </c>
      <c r="F1353" s="181" t="s">
        <v>333</v>
      </c>
      <c r="G1353" s="181" t="s">
        <v>2715</v>
      </c>
      <c r="H1353" s="181" t="s">
        <v>279</v>
      </c>
      <c r="I1353" s="181" t="s">
        <v>242</v>
      </c>
      <c r="J1353" s="184" t="n">
        <v>40440</v>
      </c>
      <c r="K1353" s="184" t="n">
        <v>15020</v>
      </c>
      <c r="L1353" s="185" t="n">
        <v>23</v>
      </c>
      <c r="M1353" s="184" t="n">
        <v>25420</v>
      </c>
      <c r="N1353" s="184" t="n">
        <v>19573.4</v>
      </c>
      <c r="O1353" s="186" t="s">
        <v>3097</v>
      </c>
      <c r="P1353" s="187" t="n">
        <v>45963</v>
      </c>
    </row>
    <row r="1354" customFormat="false" ht="51" hidden="false" customHeight="true" outlineLevel="0" collapsed="false">
      <c r="A1354" s="181" t="s">
        <v>3104</v>
      </c>
      <c r="B1354" s="182" t="n">
        <v>2881</v>
      </c>
      <c r="C1354" s="183" t="n">
        <v>277</v>
      </c>
      <c r="D1354" s="181" t="s">
        <v>2401</v>
      </c>
      <c r="E1354" s="181" t="s">
        <v>367</v>
      </c>
      <c r="F1354" s="181" t="s">
        <v>368</v>
      </c>
      <c r="G1354" s="181" t="s">
        <v>2715</v>
      </c>
      <c r="H1354" s="181" t="s">
        <v>279</v>
      </c>
      <c r="I1354" s="181" t="s">
        <v>242</v>
      </c>
      <c r="J1354" s="184" t="n">
        <v>51190</v>
      </c>
      <c r="K1354" s="184" t="n">
        <v>18780</v>
      </c>
      <c r="L1354" s="185" t="n">
        <v>8</v>
      </c>
      <c r="M1354" s="184" t="n">
        <v>32410</v>
      </c>
      <c r="N1354" s="184" t="n">
        <v>29817.2</v>
      </c>
      <c r="O1354" s="186" t="s">
        <v>3105</v>
      </c>
      <c r="P1354" s="187" t="n">
        <v>45963</v>
      </c>
    </row>
    <row r="1355" customFormat="false" ht="51" hidden="false" customHeight="true" outlineLevel="0" collapsed="false">
      <c r="A1355" s="181" t="s">
        <v>3102</v>
      </c>
      <c r="B1355" s="182" t="n">
        <v>2880</v>
      </c>
      <c r="C1355" s="183" t="n">
        <v>278</v>
      </c>
      <c r="D1355" s="181" t="s">
        <v>2401</v>
      </c>
      <c r="E1355" s="181" t="s">
        <v>2351</v>
      </c>
      <c r="F1355" s="181" t="s">
        <v>2352</v>
      </c>
      <c r="G1355" s="181" t="s">
        <v>2715</v>
      </c>
      <c r="H1355" s="181" t="s">
        <v>279</v>
      </c>
      <c r="I1355" s="181" t="s">
        <v>242</v>
      </c>
      <c r="J1355" s="184" t="n">
        <v>48470</v>
      </c>
      <c r="K1355" s="184" t="n">
        <v>17490</v>
      </c>
      <c r="L1355" s="185" t="n">
        <v>11</v>
      </c>
      <c r="M1355" s="184" t="n">
        <v>30980</v>
      </c>
      <c r="N1355" s="184" t="n">
        <v>27572.2</v>
      </c>
      <c r="O1355" s="186" t="s">
        <v>3103</v>
      </c>
      <c r="P1355" s="187" t="n">
        <v>45963</v>
      </c>
    </row>
    <row r="1356" customFormat="false" ht="51" hidden="false" customHeight="true" outlineLevel="0" collapsed="false">
      <c r="A1356" s="181" t="s">
        <v>3106</v>
      </c>
      <c r="B1356" s="182" t="n">
        <v>2882</v>
      </c>
      <c r="C1356" s="183" t="n">
        <v>280</v>
      </c>
      <c r="D1356" s="181" t="s">
        <v>2401</v>
      </c>
      <c r="E1356" s="181" t="s">
        <v>399</v>
      </c>
      <c r="F1356" s="181" t="s">
        <v>400</v>
      </c>
      <c r="G1356" s="181" t="s">
        <v>2715</v>
      </c>
      <c r="H1356" s="181" t="s">
        <v>279</v>
      </c>
      <c r="I1356" s="181" t="s">
        <v>242</v>
      </c>
      <c r="J1356" s="184" t="n">
        <v>53920</v>
      </c>
      <c r="K1356" s="184" t="n">
        <v>19540</v>
      </c>
      <c r="L1356" s="185" t="n">
        <v>4</v>
      </c>
      <c r="M1356" s="184" t="n">
        <v>34380</v>
      </c>
      <c r="N1356" s="184" t="n">
        <v>33004.8</v>
      </c>
      <c r="O1356" s="186" t="s">
        <v>3107</v>
      </c>
      <c r="P1356" s="187" t="n">
        <v>45963</v>
      </c>
    </row>
    <row r="1357" customFormat="false" ht="51" hidden="false" customHeight="true" outlineLevel="0" collapsed="false">
      <c r="A1357" s="181" t="s">
        <v>3122</v>
      </c>
      <c r="B1357" s="182" t="n">
        <v>2889</v>
      </c>
      <c r="C1357" s="183" t="n">
        <v>281</v>
      </c>
      <c r="D1357" s="181" t="s">
        <v>2401</v>
      </c>
      <c r="E1357" s="181" t="s">
        <v>308</v>
      </c>
      <c r="F1357" s="181" t="s">
        <v>309</v>
      </c>
      <c r="G1357" s="181" t="s">
        <v>2715</v>
      </c>
      <c r="H1357" s="181" t="s">
        <v>279</v>
      </c>
      <c r="I1357" s="181" t="s">
        <v>242</v>
      </c>
      <c r="J1357" s="184" t="n">
        <v>63830</v>
      </c>
      <c r="K1357" s="184" t="n">
        <v>24290</v>
      </c>
      <c r="L1357" s="185" t="n">
        <v>9</v>
      </c>
      <c r="M1357" s="184" t="n">
        <v>39540</v>
      </c>
      <c r="N1357" s="184" t="n">
        <v>35981.4</v>
      </c>
      <c r="O1357" s="186" t="s">
        <v>3123</v>
      </c>
      <c r="P1357" s="187" t="n">
        <v>45963</v>
      </c>
    </row>
    <row r="1358" customFormat="false" ht="51" hidden="false" customHeight="true" outlineLevel="0" collapsed="false">
      <c r="A1358" s="181" t="s">
        <v>3098</v>
      </c>
      <c r="B1358" s="182" t="n">
        <v>2878</v>
      </c>
      <c r="C1358" s="183" t="n">
        <v>11576</v>
      </c>
      <c r="D1358" s="181" t="s">
        <v>2066</v>
      </c>
      <c r="E1358" s="181" t="s">
        <v>576</v>
      </c>
      <c r="F1358" s="181" t="s">
        <v>577</v>
      </c>
      <c r="G1358" s="181" t="s">
        <v>3334</v>
      </c>
      <c r="H1358" s="181" t="s">
        <v>158</v>
      </c>
      <c r="I1358" s="181" t="s">
        <v>241</v>
      </c>
      <c r="J1358" s="184" t="n">
        <v>38580</v>
      </c>
      <c r="K1358" s="184" t="n">
        <v>14540</v>
      </c>
      <c r="L1358" s="185" t="n">
        <v>13</v>
      </c>
      <c r="M1358" s="184" t="n">
        <v>24040</v>
      </c>
      <c r="N1358" s="184" t="n">
        <v>20914.8</v>
      </c>
      <c r="O1358" s="186" t="s">
        <v>3099</v>
      </c>
      <c r="P1358" s="187" t="n">
        <v>45963</v>
      </c>
    </row>
    <row r="1359" customFormat="false" ht="51" hidden="false" customHeight="true" outlineLevel="0" collapsed="false">
      <c r="A1359" s="181" t="s">
        <v>3100</v>
      </c>
      <c r="B1359" s="182" t="n">
        <v>2879</v>
      </c>
      <c r="C1359" s="183" t="n">
        <v>11577</v>
      </c>
      <c r="D1359" s="181" t="s">
        <v>2066</v>
      </c>
      <c r="E1359" s="181" t="s">
        <v>261</v>
      </c>
      <c r="F1359" s="181" t="s">
        <v>262</v>
      </c>
      <c r="G1359" s="181" t="s">
        <v>3334</v>
      </c>
      <c r="H1359" s="181" t="s">
        <v>158</v>
      </c>
      <c r="I1359" s="181" t="s">
        <v>241</v>
      </c>
      <c r="J1359" s="184" t="n">
        <v>39560</v>
      </c>
      <c r="K1359" s="184" t="n">
        <v>15220</v>
      </c>
      <c r="L1359" s="185" t="n">
        <v>9</v>
      </c>
      <c r="M1359" s="184" t="n">
        <v>24340</v>
      </c>
      <c r="N1359" s="184" t="n">
        <v>22149.4</v>
      </c>
      <c r="O1359" s="186" t="s">
        <v>3101</v>
      </c>
      <c r="P1359" s="187" t="n">
        <v>45963</v>
      </c>
    </row>
    <row r="1360" customFormat="false" ht="51" hidden="false" customHeight="true" outlineLevel="0" collapsed="false">
      <c r="A1360" s="181" t="s">
        <v>3108</v>
      </c>
      <c r="B1360" s="182" t="n">
        <v>2883</v>
      </c>
      <c r="C1360" s="183" t="n">
        <v>11579</v>
      </c>
      <c r="D1360" s="181" t="s">
        <v>2066</v>
      </c>
      <c r="E1360" s="181" t="s">
        <v>541</v>
      </c>
      <c r="F1360" s="181" t="s">
        <v>542</v>
      </c>
      <c r="G1360" s="181" t="s">
        <v>3334</v>
      </c>
      <c r="H1360" s="181" t="s">
        <v>158</v>
      </c>
      <c r="I1360" s="181" t="s">
        <v>241</v>
      </c>
      <c r="J1360" s="184" t="n">
        <v>41850</v>
      </c>
      <c r="K1360" s="184" t="n">
        <v>15050</v>
      </c>
      <c r="L1360" s="185" t="n">
        <v>12</v>
      </c>
      <c r="M1360" s="184" t="n">
        <v>26800</v>
      </c>
      <c r="N1360" s="184" t="n">
        <v>23584</v>
      </c>
      <c r="O1360" s="186" t="s">
        <v>3109</v>
      </c>
      <c r="P1360" s="187" t="n">
        <v>45963</v>
      </c>
    </row>
    <row r="1361" customFormat="false" ht="51" hidden="false" customHeight="true" outlineLevel="0" collapsed="false">
      <c r="A1361" s="181" t="s">
        <v>3114</v>
      </c>
      <c r="B1361" s="182" t="n">
        <v>2885</v>
      </c>
      <c r="C1361" s="183" t="n">
        <v>11602</v>
      </c>
      <c r="D1361" s="181" t="s">
        <v>2066</v>
      </c>
      <c r="E1361" s="181" t="s">
        <v>1019</v>
      </c>
      <c r="F1361" s="181" t="s">
        <v>1020</v>
      </c>
      <c r="G1361" s="181" t="s">
        <v>3334</v>
      </c>
      <c r="H1361" s="181" t="s">
        <v>158</v>
      </c>
      <c r="I1361" s="181" t="s">
        <v>241</v>
      </c>
      <c r="J1361" s="184" t="n">
        <v>43490</v>
      </c>
      <c r="K1361" s="184" t="n">
        <v>17170</v>
      </c>
      <c r="L1361" s="185" t="n">
        <v>8</v>
      </c>
      <c r="M1361" s="184" t="n">
        <v>26320</v>
      </c>
      <c r="N1361" s="184" t="n">
        <v>24214.4</v>
      </c>
      <c r="O1361" s="186" t="s">
        <v>3115</v>
      </c>
      <c r="P1361" s="187" t="n">
        <v>45963</v>
      </c>
    </row>
    <row r="1362" customFormat="false" ht="51" hidden="false" customHeight="true" outlineLevel="0" collapsed="false">
      <c r="A1362" s="181" t="s">
        <v>3116</v>
      </c>
      <c r="B1362" s="182" t="n">
        <v>2886</v>
      </c>
      <c r="C1362" s="183" t="n">
        <v>11601</v>
      </c>
      <c r="D1362" s="181" t="s">
        <v>2066</v>
      </c>
      <c r="E1362" s="181" t="s">
        <v>1027</v>
      </c>
      <c r="F1362" s="181" t="s">
        <v>1028</v>
      </c>
      <c r="G1362" s="181" t="s">
        <v>3334</v>
      </c>
      <c r="H1362" s="181" t="s">
        <v>158</v>
      </c>
      <c r="I1362" s="181" t="s">
        <v>241</v>
      </c>
      <c r="J1362" s="184" t="n">
        <v>40260</v>
      </c>
      <c r="K1362" s="184" t="n">
        <v>15000</v>
      </c>
      <c r="L1362" s="185" t="n">
        <v>11</v>
      </c>
      <c r="M1362" s="184" t="n">
        <v>25260</v>
      </c>
      <c r="N1362" s="184" t="n">
        <v>22481.4</v>
      </c>
      <c r="O1362" s="186" t="s">
        <v>3117</v>
      </c>
      <c r="P1362" s="187" t="n">
        <v>45963</v>
      </c>
    </row>
    <row r="1363" customFormat="false" ht="51" hidden="false" customHeight="true" outlineLevel="0" collapsed="false">
      <c r="A1363" s="181" t="s">
        <v>3118</v>
      </c>
      <c r="B1363" s="182" t="n">
        <v>2887</v>
      </c>
      <c r="C1363" s="183" t="n">
        <v>283</v>
      </c>
      <c r="D1363" s="181" t="s">
        <v>2401</v>
      </c>
      <c r="E1363" s="181" t="s">
        <v>582</v>
      </c>
      <c r="F1363" s="181" t="s">
        <v>583</v>
      </c>
      <c r="G1363" s="181" t="s">
        <v>2715</v>
      </c>
      <c r="H1363" s="181" t="s">
        <v>279</v>
      </c>
      <c r="I1363" s="181" t="s">
        <v>242</v>
      </c>
      <c r="J1363" s="184" t="n">
        <v>42850</v>
      </c>
      <c r="K1363" s="184" t="n">
        <v>14990</v>
      </c>
      <c r="L1363" s="185" t="n">
        <v>10</v>
      </c>
      <c r="M1363" s="184" t="n">
        <v>27860</v>
      </c>
      <c r="N1363" s="184" t="n">
        <v>25074</v>
      </c>
      <c r="O1363" s="186" t="s">
        <v>3119</v>
      </c>
      <c r="P1363" s="187" t="n">
        <v>45963</v>
      </c>
    </row>
    <row r="1364" customFormat="false" ht="51" hidden="false" customHeight="true" outlineLevel="0" collapsed="false">
      <c r="A1364" s="181" t="s">
        <v>3120</v>
      </c>
      <c r="B1364" s="182" t="n">
        <v>2888</v>
      </c>
      <c r="C1364" s="183" t="n">
        <v>284</v>
      </c>
      <c r="D1364" s="181" t="s">
        <v>2401</v>
      </c>
      <c r="E1364" s="181" t="s">
        <v>377</v>
      </c>
      <c r="F1364" s="181" t="s">
        <v>378</v>
      </c>
      <c r="G1364" s="181" t="s">
        <v>2715</v>
      </c>
      <c r="H1364" s="181" t="s">
        <v>279</v>
      </c>
      <c r="I1364" s="181" t="s">
        <v>242</v>
      </c>
      <c r="J1364" s="184" t="n">
        <v>45660</v>
      </c>
      <c r="K1364" s="184" t="n">
        <v>15970</v>
      </c>
      <c r="L1364" s="185" t="n">
        <v>7</v>
      </c>
      <c r="M1364" s="184" t="n">
        <v>29690</v>
      </c>
      <c r="N1364" s="184" t="n">
        <v>27611.7</v>
      </c>
      <c r="O1364" s="186" t="s">
        <v>3121</v>
      </c>
      <c r="P1364" s="187" t="n">
        <v>45963</v>
      </c>
    </row>
    <row r="1365" customFormat="false" ht="51" hidden="false" customHeight="true" outlineLevel="0" collapsed="false">
      <c r="A1365" s="181" t="s">
        <v>3110</v>
      </c>
      <c r="B1365" s="182" t="n">
        <v>2884</v>
      </c>
      <c r="C1365" s="183" t="n">
        <v>282</v>
      </c>
      <c r="D1365" s="181" t="s">
        <v>2401</v>
      </c>
      <c r="E1365" s="181" t="s">
        <v>304</v>
      </c>
      <c r="F1365" s="181" t="s">
        <v>305</v>
      </c>
      <c r="G1365" s="181" t="s">
        <v>2715</v>
      </c>
      <c r="H1365" s="181" t="s">
        <v>279</v>
      </c>
      <c r="I1365" s="181" t="s">
        <v>242</v>
      </c>
      <c r="J1365" s="184" t="n">
        <v>41350</v>
      </c>
      <c r="K1365" s="184" t="n">
        <v>15120</v>
      </c>
      <c r="L1365" s="185" t="n">
        <v>10</v>
      </c>
      <c r="M1365" s="184" t="n">
        <v>26230</v>
      </c>
      <c r="N1365" s="184" t="n">
        <v>23607</v>
      </c>
      <c r="O1365" s="186" t="s">
        <v>3111</v>
      </c>
      <c r="P1365" s="187" t="n">
        <v>45963</v>
      </c>
    </row>
    <row r="1366" customFormat="false" ht="51" hidden="false" customHeight="true" outlineLevel="0" collapsed="false">
      <c r="A1366" s="181" t="s">
        <v>3132</v>
      </c>
      <c r="B1366" s="182" t="n">
        <v>2890</v>
      </c>
      <c r="C1366" s="183" t="n">
        <v>286</v>
      </c>
      <c r="D1366" s="181" t="s">
        <v>2401</v>
      </c>
      <c r="E1366" s="181" t="s">
        <v>340</v>
      </c>
      <c r="F1366" s="181" t="s">
        <v>341</v>
      </c>
      <c r="G1366" s="181" t="s">
        <v>2715</v>
      </c>
      <c r="H1366" s="181" t="s">
        <v>279</v>
      </c>
      <c r="I1366" s="181" t="s">
        <v>242</v>
      </c>
      <c r="J1366" s="184" t="n">
        <v>41140</v>
      </c>
      <c r="K1366" s="184" t="n">
        <v>15260</v>
      </c>
      <c r="L1366" s="185" t="n">
        <v>5</v>
      </c>
      <c r="M1366" s="184" t="n">
        <v>25880</v>
      </c>
      <c r="N1366" s="184" t="n">
        <v>24586</v>
      </c>
      <c r="O1366" s="186" t="s">
        <v>3133</v>
      </c>
      <c r="P1366" s="187" t="n">
        <v>45963</v>
      </c>
    </row>
    <row r="1367" customFormat="false" ht="51" hidden="false" customHeight="true" outlineLevel="0" collapsed="false">
      <c r="A1367" s="181" t="s">
        <v>3142</v>
      </c>
      <c r="B1367" s="182" t="n">
        <v>2891</v>
      </c>
      <c r="C1367" s="183" t="n">
        <v>285</v>
      </c>
      <c r="D1367" s="181" t="s">
        <v>2401</v>
      </c>
      <c r="E1367" s="181" t="s">
        <v>336</v>
      </c>
      <c r="F1367" s="181" t="s">
        <v>337</v>
      </c>
      <c r="G1367" s="181" t="s">
        <v>2715</v>
      </c>
      <c r="H1367" s="181" t="s">
        <v>279</v>
      </c>
      <c r="I1367" s="181" t="s">
        <v>242</v>
      </c>
      <c r="J1367" s="184" t="n">
        <v>40350</v>
      </c>
      <c r="K1367" s="184" t="n">
        <v>14620</v>
      </c>
      <c r="L1367" s="185" t="n">
        <v>12</v>
      </c>
      <c r="M1367" s="184" t="n">
        <v>25730</v>
      </c>
      <c r="N1367" s="184" t="n">
        <v>22642.4</v>
      </c>
      <c r="O1367" s="186" t="s">
        <v>3143</v>
      </c>
      <c r="P1367" s="187" t="n">
        <v>45964</v>
      </c>
    </row>
    <row r="1368" customFormat="false" ht="51" hidden="false" customHeight="true" outlineLevel="0" collapsed="false">
      <c r="A1368" s="181" t="s">
        <v>3144</v>
      </c>
      <c r="B1368" s="182" t="n">
        <v>2896</v>
      </c>
      <c r="C1368" s="183" t="n">
        <v>287</v>
      </c>
      <c r="D1368" s="181" t="s">
        <v>2401</v>
      </c>
      <c r="E1368" s="181" t="s">
        <v>277</v>
      </c>
      <c r="F1368" s="181" t="s">
        <v>278</v>
      </c>
      <c r="G1368" s="181" t="s">
        <v>2715</v>
      </c>
      <c r="H1368" s="181" t="s">
        <v>279</v>
      </c>
      <c r="I1368" s="181" t="s">
        <v>242</v>
      </c>
      <c r="J1368" s="184" t="n">
        <v>42510</v>
      </c>
      <c r="K1368" s="184" t="n">
        <v>15310</v>
      </c>
      <c r="L1368" s="185" t="n">
        <v>3</v>
      </c>
      <c r="M1368" s="184" t="n">
        <v>27200</v>
      </c>
      <c r="N1368" s="184" t="n">
        <v>26384</v>
      </c>
      <c r="O1368" s="186" t="s">
        <v>3145</v>
      </c>
      <c r="P1368" s="187" t="n">
        <v>45964</v>
      </c>
    </row>
    <row r="1369" customFormat="false" ht="51" hidden="false" customHeight="true" outlineLevel="0" collapsed="false">
      <c r="A1369" s="181" t="s">
        <v>3148</v>
      </c>
      <c r="B1369" s="182" t="n">
        <v>2897</v>
      </c>
      <c r="C1369" s="183" t="n">
        <v>288</v>
      </c>
      <c r="D1369" s="181" t="s">
        <v>2401</v>
      </c>
      <c r="E1369" s="181" t="s">
        <v>350</v>
      </c>
      <c r="F1369" s="181" t="s">
        <v>351</v>
      </c>
      <c r="G1369" s="181" t="s">
        <v>2715</v>
      </c>
      <c r="H1369" s="181" t="s">
        <v>279</v>
      </c>
      <c r="I1369" s="181" t="s">
        <v>242</v>
      </c>
      <c r="J1369" s="184" t="n">
        <v>44190</v>
      </c>
      <c r="K1369" s="184" t="n">
        <v>15230</v>
      </c>
      <c r="L1369" s="185" t="n">
        <v>7</v>
      </c>
      <c r="M1369" s="184" t="n">
        <v>28960</v>
      </c>
      <c r="N1369" s="184" t="n">
        <v>26932.8</v>
      </c>
      <c r="O1369" s="186" t="s">
        <v>3149</v>
      </c>
      <c r="P1369" s="187" t="n">
        <v>45964</v>
      </c>
    </row>
    <row r="1370" customFormat="false" ht="51" hidden="false" customHeight="true" outlineLevel="0" collapsed="false">
      <c r="A1370" s="181" t="s">
        <v>3152</v>
      </c>
      <c r="B1370" s="182" t="n">
        <v>2898</v>
      </c>
      <c r="C1370" s="183" t="n">
        <v>290</v>
      </c>
      <c r="D1370" s="181" t="s">
        <v>2401</v>
      </c>
      <c r="E1370" s="181" t="s">
        <v>387</v>
      </c>
      <c r="F1370" s="181" t="s">
        <v>388</v>
      </c>
      <c r="G1370" s="181" t="s">
        <v>2715</v>
      </c>
      <c r="H1370" s="181" t="s">
        <v>279</v>
      </c>
      <c r="I1370" s="181" t="s">
        <v>242</v>
      </c>
      <c r="J1370" s="184" t="n">
        <v>45140</v>
      </c>
      <c r="K1370" s="184" t="n">
        <v>15240</v>
      </c>
      <c r="L1370" s="185" t="n">
        <v>13</v>
      </c>
      <c r="M1370" s="184" t="n">
        <v>29900</v>
      </c>
      <c r="N1370" s="184" t="n">
        <v>26013</v>
      </c>
      <c r="O1370" s="186" t="s">
        <v>3153</v>
      </c>
      <c r="P1370" s="187" t="n">
        <v>45964</v>
      </c>
    </row>
    <row r="1371" customFormat="false" ht="51" hidden="false" customHeight="true" outlineLevel="0" collapsed="false">
      <c r="A1371" s="181" t="s">
        <v>3158</v>
      </c>
      <c r="B1371" s="182" t="n">
        <v>2899</v>
      </c>
      <c r="C1371" s="183" t="n">
        <v>289</v>
      </c>
      <c r="D1371" s="181" t="s">
        <v>2401</v>
      </c>
      <c r="E1371" s="181" t="s">
        <v>292</v>
      </c>
      <c r="F1371" s="181" t="s">
        <v>293</v>
      </c>
      <c r="G1371" s="181" t="s">
        <v>2715</v>
      </c>
      <c r="H1371" s="181" t="s">
        <v>279</v>
      </c>
      <c r="I1371" s="181" t="s">
        <v>242</v>
      </c>
      <c r="J1371" s="184" t="n">
        <v>37060</v>
      </c>
      <c r="K1371" s="184" t="n">
        <v>13940</v>
      </c>
      <c r="L1371" s="185" t="n">
        <v>14</v>
      </c>
      <c r="M1371" s="184" t="n">
        <v>23120</v>
      </c>
      <c r="N1371" s="184" t="n">
        <v>19883.2</v>
      </c>
      <c r="O1371" s="186" t="s">
        <v>3159</v>
      </c>
      <c r="P1371" s="187" t="n">
        <v>45964</v>
      </c>
    </row>
    <row r="1372" customFormat="false" ht="51" hidden="false" customHeight="true" outlineLevel="0" collapsed="false">
      <c r="A1372" s="181" t="s">
        <v>3134</v>
      </c>
      <c r="B1372" s="182" t="n">
        <v>2900</v>
      </c>
      <c r="C1372" s="183" t="n">
        <v>291</v>
      </c>
      <c r="D1372" s="181" t="s">
        <v>2401</v>
      </c>
      <c r="E1372" s="181" t="s">
        <v>272</v>
      </c>
      <c r="F1372" s="181" t="s">
        <v>273</v>
      </c>
      <c r="G1372" s="181" t="s">
        <v>2715</v>
      </c>
      <c r="H1372" s="181" t="s">
        <v>279</v>
      </c>
      <c r="I1372" s="181" t="s">
        <v>242</v>
      </c>
      <c r="J1372" s="184" t="n">
        <v>40740</v>
      </c>
      <c r="K1372" s="184" t="n">
        <v>15700</v>
      </c>
      <c r="L1372" s="185" t="n">
        <v>15</v>
      </c>
      <c r="M1372" s="184" t="n">
        <v>25040</v>
      </c>
      <c r="N1372" s="184" t="n">
        <v>21284</v>
      </c>
      <c r="O1372" s="186" t="s">
        <v>3135</v>
      </c>
      <c r="P1372" s="187" t="n">
        <v>45964</v>
      </c>
    </row>
    <row r="1373" customFormat="false" ht="51" hidden="false" customHeight="true" outlineLevel="0" collapsed="false">
      <c r="A1373" s="181" t="s">
        <v>3136</v>
      </c>
      <c r="B1373" s="182" t="n">
        <v>2902</v>
      </c>
      <c r="C1373" s="183" t="n">
        <v>293</v>
      </c>
      <c r="D1373" s="181" t="s">
        <v>2401</v>
      </c>
      <c r="E1373" s="181" t="s">
        <v>413</v>
      </c>
      <c r="F1373" s="181" t="s">
        <v>414</v>
      </c>
      <c r="G1373" s="181" t="s">
        <v>2715</v>
      </c>
      <c r="H1373" s="181" t="s">
        <v>279</v>
      </c>
      <c r="I1373" s="181" t="s">
        <v>242</v>
      </c>
      <c r="J1373" s="184" t="n">
        <v>48850</v>
      </c>
      <c r="K1373" s="184" t="n">
        <v>16010</v>
      </c>
      <c r="L1373" s="185" t="n">
        <v>13</v>
      </c>
      <c r="M1373" s="184" t="n">
        <v>32840</v>
      </c>
      <c r="N1373" s="184" t="n">
        <v>28570.8</v>
      </c>
      <c r="O1373" s="186" t="s">
        <v>3137</v>
      </c>
      <c r="P1373" s="187" t="n">
        <v>45964</v>
      </c>
    </row>
    <row r="1374" customFormat="false" ht="51" hidden="false" customHeight="true" outlineLevel="0" collapsed="false">
      <c r="A1374" s="181" t="s">
        <v>3138</v>
      </c>
      <c r="B1374" s="182" t="n">
        <v>2903</v>
      </c>
      <c r="C1374" s="183" t="n">
        <v>294</v>
      </c>
      <c r="D1374" s="181" t="s">
        <v>2401</v>
      </c>
      <c r="E1374" s="181" t="s">
        <v>288</v>
      </c>
      <c r="F1374" s="181" t="s">
        <v>289</v>
      </c>
      <c r="G1374" s="181" t="s">
        <v>2715</v>
      </c>
      <c r="H1374" s="181" t="s">
        <v>279</v>
      </c>
      <c r="I1374" s="181" t="s">
        <v>242</v>
      </c>
      <c r="J1374" s="184" t="n">
        <v>40580</v>
      </c>
      <c r="K1374" s="184" t="n">
        <v>14920</v>
      </c>
      <c r="L1374" s="185" t="n">
        <v>13</v>
      </c>
      <c r="M1374" s="184" t="n">
        <v>25660</v>
      </c>
      <c r="N1374" s="184" t="n">
        <v>22324.2</v>
      </c>
      <c r="O1374" s="186" t="s">
        <v>3139</v>
      </c>
      <c r="P1374" s="187" t="n">
        <v>45964</v>
      </c>
    </row>
    <row r="1375" customFormat="false" ht="51" hidden="false" customHeight="true" outlineLevel="0" collapsed="false">
      <c r="A1375" s="181" t="s">
        <v>3146</v>
      </c>
      <c r="B1375" s="182" t="n">
        <v>2905</v>
      </c>
      <c r="C1375" s="183" t="n">
        <v>292</v>
      </c>
      <c r="D1375" s="181" t="s">
        <v>2401</v>
      </c>
      <c r="E1375" s="181" t="s">
        <v>300</v>
      </c>
      <c r="F1375" s="181" t="s">
        <v>301</v>
      </c>
      <c r="G1375" s="181" t="s">
        <v>2715</v>
      </c>
      <c r="H1375" s="181" t="s">
        <v>279</v>
      </c>
      <c r="I1375" s="181" t="s">
        <v>242</v>
      </c>
      <c r="J1375" s="184" t="n">
        <v>65330</v>
      </c>
      <c r="K1375" s="184" t="n">
        <v>21320</v>
      </c>
      <c r="L1375" s="185" t="n">
        <v>4</v>
      </c>
      <c r="M1375" s="184" t="n">
        <v>44010</v>
      </c>
      <c r="N1375" s="184" t="n">
        <v>42249.6</v>
      </c>
      <c r="O1375" s="186" t="s">
        <v>3147</v>
      </c>
      <c r="P1375" s="187" t="n">
        <v>45964</v>
      </c>
    </row>
    <row r="1376" customFormat="false" ht="51" hidden="false" customHeight="true" outlineLevel="0" collapsed="false">
      <c r="A1376" s="181" t="s">
        <v>3140</v>
      </c>
      <c r="B1376" s="182" t="n">
        <v>2904</v>
      </c>
      <c r="C1376" s="183" t="n">
        <v>295</v>
      </c>
      <c r="D1376" s="181" t="s">
        <v>2401</v>
      </c>
      <c r="E1376" s="181" t="s">
        <v>373</v>
      </c>
      <c r="F1376" s="181" t="s">
        <v>374</v>
      </c>
      <c r="G1376" s="181" t="s">
        <v>2715</v>
      </c>
      <c r="H1376" s="181" t="s">
        <v>279</v>
      </c>
      <c r="I1376" s="181" t="s">
        <v>242</v>
      </c>
      <c r="J1376" s="184" t="n">
        <v>45150</v>
      </c>
      <c r="K1376" s="184" t="n">
        <v>14660</v>
      </c>
      <c r="L1376" s="185" t="n">
        <v>13</v>
      </c>
      <c r="M1376" s="184" t="n">
        <v>30490</v>
      </c>
      <c r="N1376" s="184" t="n">
        <v>26526.3</v>
      </c>
      <c r="O1376" s="186" t="s">
        <v>3141</v>
      </c>
      <c r="P1376" s="187" t="n">
        <v>45964</v>
      </c>
    </row>
    <row r="1377" customFormat="false" ht="51" hidden="false" customHeight="true" outlineLevel="0" collapsed="false">
      <c r="A1377" s="181" t="s">
        <v>3150</v>
      </c>
      <c r="B1377" s="182" t="n">
        <v>2907</v>
      </c>
      <c r="C1377" s="183" t="n">
        <v>296</v>
      </c>
      <c r="D1377" s="181" t="s">
        <v>2401</v>
      </c>
      <c r="E1377" s="181" t="s">
        <v>383</v>
      </c>
      <c r="F1377" s="181" t="s">
        <v>384</v>
      </c>
      <c r="G1377" s="181" t="s">
        <v>2715</v>
      </c>
      <c r="H1377" s="181" t="s">
        <v>279</v>
      </c>
      <c r="I1377" s="181" t="s">
        <v>242</v>
      </c>
      <c r="J1377" s="184" t="n">
        <v>43790</v>
      </c>
      <c r="K1377" s="184" t="n">
        <v>15130</v>
      </c>
      <c r="L1377" s="185" t="n">
        <v>6</v>
      </c>
      <c r="M1377" s="184" t="n">
        <v>28660</v>
      </c>
      <c r="N1377" s="184" t="n">
        <v>26940.4</v>
      </c>
      <c r="O1377" s="186" t="s">
        <v>3151</v>
      </c>
      <c r="P1377" s="187" t="n">
        <v>45964</v>
      </c>
    </row>
    <row r="1378" customFormat="false" ht="51" hidden="false" customHeight="true" outlineLevel="0" collapsed="false">
      <c r="A1378" s="181" t="s">
        <v>3154</v>
      </c>
      <c r="B1378" s="182" t="n">
        <v>2908</v>
      </c>
      <c r="C1378" s="183" t="n">
        <v>298</v>
      </c>
      <c r="D1378" s="181" t="s">
        <v>2401</v>
      </c>
      <c r="E1378" s="181" t="s">
        <v>533</v>
      </c>
      <c r="F1378" s="181" t="s">
        <v>534</v>
      </c>
      <c r="G1378" s="181" t="s">
        <v>2715</v>
      </c>
      <c r="H1378" s="181" t="s">
        <v>279</v>
      </c>
      <c r="I1378" s="181" t="s">
        <v>242</v>
      </c>
      <c r="J1378" s="184" t="n">
        <v>39290</v>
      </c>
      <c r="K1378" s="184" t="n">
        <v>14810</v>
      </c>
      <c r="L1378" s="185" t="n">
        <v>6</v>
      </c>
      <c r="M1378" s="184" t="n">
        <v>24480</v>
      </c>
      <c r="N1378" s="184" t="n">
        <v>23011.2</v>
      </c>
      <c r="O1378" s="186" t="s">
        <v>3155</v>
      </c>
      <c r="P1378" s="187" t="n">
        <v>45964</v>
      </c>
    </row>
    <row r="1379" customFormat="false" ht="51" hidden="false" customHeight="true" outlineLevel="0" collapsed="false">
      <c r="A1379" s="181" t="s">
        <v>3156</v>
      </c>
      <c r="B1379" s="182" t="n">
        <v>2909</v>
      </c>
      <c r="C1379" s="183" t="n">
        <v>297</v>
      </c>
      <c r="D1379" s="181" t="s">
        <v>2401</v>
      </c>
      <c r="E1379" s="181" t="s">
        <v>549</v>
      </c>
      <c r="F1379" s="181" t="s">
        <v>550</v>
      </c>
      <c r="G1379" s="181" t="s">
        <v>2715</v>
      </c>
      <c r="H1379" s="181" t="s">
        <v>279</v>
      </c>
      <c r="I1379" s="181" t="s">
        <v>242</v>
      </c>
      <c r="J1379" s="184" t="n">
        <v>43960</v>
      </c>
      <c r="K1379" s="184" t="n">
        <v>15890</v>
      </c>
      <c r="L1379" s="185" t="n">
        <v>11</v>
      </c>
      <c r="M1379" s="184" t="n">
        <v>28070</v>
      </c>
      <c r="N1379" s="184" t="n">
        <v>24982.3</v>
      </c>
      <c r="O1379" s="186" t="s">
        <v>3157</v>
      </c>
      <c r="P1379" s="187" t="n">
        <v>45964</v>
      </c>
    </row>
    <row r="1380" customFormat="false" ht="51" hidden="false" customHeight="true" outlineLevel="0" collapsed="false">
      <c r="A1380" s="181" t="s">
        <v>3160</v>
      </c>
      <c r="B1380" s="182" t="n">
        <v>2910</v>
      </c>
      <c r="C1380" s="183" t="n">
        <v>299</v>
      </c>
      <c r="D1380" s="181" t="s">
        <v>2401</v>
      </c>
      <c r="E1380" s="181" t="s">
        <v>391</v>
      </c>
      <c r="F1380" s="181" t="s">
        <v>392</v>
      </c>
      <c r="G1380" s="181" t="s">
        <v>2715</v>
      </c>
      <c r="H1380" s="181" t="s">
        <v>279</v>
      </c>
      <c r="I1380" s="181" t="s">
        <v>242</v>
      </c>
      <c r="J1380" s="184" t="n">
        <v>36130</v>
      </c>
      <c r="K1380" s="184" t="n">
        <v>14640</v>
      </c>
      <c r="L1380" s="185" t="n">
        <v>14</v>
      </c>
      <c r="M1380" s="184" t="n">
        <v>21490</v>
      </c>
      <c r="N1380" s="184" t="n">
        <v>18481.4</v>
      </c>
      <c r="O1380" s="186" t="s">
        <v>3161</v>
      </c>
      <c r="P1380" s="187" t="n">
        <v>45964</v>
      </c>
    </row>
    <row r="1381" customFormat="false" ht="51" hidden="false" customHeight="true" outlineLevel="0" collapsed="false">
      <c r="A1381" s="181" t="s">
        <v>3166</v>
      </c>
      <c r="B1381" s="182" t="n">
        <v>2911</v>
      </c>
      <c r="C1381" s="183" t="n">
        <v>301</v>
      </c>
      <c r="D1381" s="181" t="s">
        <v>2401</v>
      </c>
      <c r="E1381" s="181" t="s">
        <v>282</v>
      </c>
      <c r="F1381" s="181" t="s">
        <v>283</v>
      </c>
      <c r="G1381" s="181" t="s">
        <v>2715</v>
      </c>
      <c r="H1381" s="181" t="s">
        <v>279</v>
      </c>
      <c r="I1381" s="181" t="s">
        <v>242</v>
      </c>
      <c r="J1381" s="184" t="n">
        <v>41260</v>
      </c>
      <c r="K1381" s="184" t="n">
        <v>15220</v>
      </c>
      <c r="L1381" s="185" t="n">
        <v>9</v>
      </c>
      <c r="M1381" s="184" t="n">
        <v>26040</v>
      </c>
      <c r="N1381" s="184" t="n">
        <v>23696.4</v>
      </c>
      <c r="O1381" s="186" t="s">
        <v>3167</v>
      </c>
      <c r="P1381" s="187" t="n">
        <v>45965</v>
      </c>
    </row>
    <row r="1382" customFormat="false" ht="51" hidden="false" customHeight="true" outlineLevel="0" collapsed="false">
      <c r="A1382" s="181" t="s">
        <v>3168</v>
      </c>
      <c r="B1382" s="182" t="n">
        <v>2913</v>
      </c>
      <c r="C1382" s="183" t="n">
        <v>302</v>
      </c>
      <c r="D1382" s="181" t="s">
        <v>2401</v>
      </c>
      <c r="E1382" s="181" t="s">
        <v>537</v>
      </c>
      <c r="F1382" s="181" t="s">
        <v>538</v>
      </c>
      <c r="G1382" s="181" t="s">
        <v>2715</v>
      </c>
      <c r="H1382" s="181" t="s">
        <v>279</v>
      </c>
      <c r="I1382" s="181" t="s">
        <v>242</v>
      </c>
      <c r="J1382" s="184" t="n">
        <v>36730</v>
      </c>
      <c r="K1382" s="184" t="n">
        <v>13980</v>
      </c>
      <c r="L1382" s="185" t="n">
        <v>17</v>
      </c>
      <c r="M1382" s="184" t="n">
        <v>22750</v>
      </c>
      <c r="N1382" s="184" t="n">
        <v>18882.5</v>
      </c>
      <c r="O1382" s="186" t="s">
        <v>3169</v>
      </c>
      <c r="P1382" s="187" t="n">
        <v>45965</v>
      </c>
    </row>
    <row r="1383" customFormat="false" ht="51" hidden="false" customHeight="true" outlineLevel="0" collapsed="false">
      <c r="A1383" s="181" t="s">
        <v>3172</v>
      </c>
      <c r="B1383" s="182" t="n">
        <v>2914</v>
      </c>
      <c r="C1383" s="183" t="n">
        <v>303</v>
      </c>
      <c r="D1383" s="181" t="s">
        <v>2401</v>
      </c>
      <c r="E1383" s="181" t="s">
        <v>354</v>
      </c>
      <c r="F1383" s="181" t="s">
        <v>355</v>
      </c>
      <c r="G1383" s="181" t="s">
        <v>2715</v>
      </c>
      <c r="H1383" s="181" t="s">
        <v>279</v>
      </c>
      <c r="I1383" s="181" t="s">
        <v>242</v>
      </c>
      <c r="J1383" s="184" t="n">
        <v>39450</v>
      </c>
      <c r="K1383" s="184" t="n">
        <v>14860</v>
      </c>
      <c r="L1383" s="185" t="n">
        <v>6</v>
      </c>
      <c r="M1383" s="184" t="n">
        <v>24590</v>
      </c>
      <c r="N1383" s="184" t="n">
        <v>23114.6</v>
      </c>
      <c r="O1383" s="186" t="s">
        <v>3173</v>
      </c>
      <c r="P1383" s="187" t="n">
        <v>45965</v>
      </c>
    </row>
    <row r="1384" customFormat="false" ht="51" hidden="false" customHeight="true" outlineLevel="0" collapsed="false">
      <c r="A1384" s="181" t="s">
        <v>3176</v>
      </c>
      <c r="B1384" s="182" t="n">
        <v>2915</v>
      </c>
      <c r="C1384" s="183" t="n">
        <v>300</v>
      </c>
      <c r="D1384" s="181" t="s">
        <v>2401</v>
      </c>
      <c r="E1384" s="181" t="s">
        <v>409</v>
      </c>
      <c r="F1384" s="181" t="s">
        <v>410</v>
      </c>
      <c r="G1384" s="181" t="s">
        <v>2715</v>
      </c>
      <c r="H1384" s="181" t="s">
        <v>279</v>
      </c>
      <c r="I1384" s="181" t="s">
        <v>242</v>
      </c>
      <c r="J1384" s="184" t="n">
        <v>68020</v>
      </c>
      <c r="K1384" s="184" t="n">
        <v>24790</v>
      </c>
      <c r="L1384" s="185" t="n">
        <v>10</v>
      </c>
      <c r="M1384" s="184" t="n">
        <v>43230</v>
      </c>
      <c r="N1384" s="184" t="n">
        <v>38907</v>
      </c>
      <c r="O1384" s="186" t="s">
        <v>3177</v>
      </c>
      <c r="P1384" s="187" t="n">
        <v>45965</v>
      </c>
    </row>
    <row r="1385" customFormat="false" ht="51" hidden="false" customHeight="true" outlineLevel="0" collapsed="false">
      <c r="A1385" s="181" t="s">
        <v>3178</v>
      </c>
      <c r="B1385" s="182" t="n">
        <v>2916</v>
      </c>
      <c r="C1385" s="183" t="n">
        <v>304</v>
      </c>
      <c r="D1385" s="181" t="s">
        <v>2401</v>
      </c>
      <c r="E1385" s="181" t="s">
        <v>359</v>
      </c>
      <c r="F1385" s="181" t="s">
        <v>360</v>
      </c>
      <c r="G1385" s="181" t="s">
        <v>2715</v>
      </c>
      <c r="H1385" s="181" t="s">
        <v>279</v>
      </c>
      <c r="I1385" s="181" t="s">
        <v>242</v>
      </c>
      <c r="J1385" s="184" t="n">
        <v>39940</v>
      </c>
      <c r="K1385" s="184" t="n">
        <v>15110</v>
      </c>
      <c r="L1385" s="185" t="n">
        <v>13</v>
      </c>
      <c r="M1385" s="184" t="n">
        <v>24830</v>
      </c>
      <c r="N1385" s="184" t="n">
        <v>21602.1</v>
      </c>
      <c r="O1385" s="186" t="s">
        <v>3179</v>
      </c>
      <c r="P1385" s="187" t="n">
        <v>45965</v>
      </c>
    </row>
    <row r="1386" customFormat="false" ht="51" hidden="false" customHeight="true" outlineLevel="0" collapsed="false">
      <c r="A1386" s="181" t="s">
        <v>3182</v>
      </c>
      <c r="B1386" s="182" t="n">
        <v>2917</v>
      </c>
      <c r="C1386" s="183" t="n">
        <v>306</v>
      </c>
      <c r="D1386" s="181" t="s">
        <v>2401</v>
      </c>
      <c r="E1386" s="181" t="s">
        <v>545</v>
      </c>
      <c r="F1386" s="181" t="s">
        <v>546</v>
      </c>
      <c r="G1386" s="181" t="s">
        <v>2715</v>
      </c>
      <c r="H1386" s="181" t="s">
        <v>279</v>
      </c>
      <c r="I1386" s="181" t="s">
        <v>242</v>
      </c>
      <c r="J1386" s="184" t="n">
        <v>43260</v>
      </c>
      <c r="K1386" s="184" t="n">
        <v>16300</v>
      </c>
      <c r="L1386" s="185" t="n">
        <v>8</v>
      </c>
      <c r="M1386" s="184" t="n">
        <v>26960</v>
      </c>
      <c r="N1386" s="184" t="n">
        <v>24803.2</v>
      </c>
      <c r="O1386" s="186" t="s">
        <v>3183</v>
      </c>
      <c r="P1386" s="187" t="n">
        <v>45965</v>
      </c>
    </row>
    <row r="1387" customFormat="false" ht="51" hidden="false" customHeight="true" outlineLevel="0" collapsed="false">
      <c r="A1387" s="181" t="s">
        <v>3184</v>
      </c>
      <c r="B1387" s="182" t="n">
        <v>2918</v>
      </c>
      <c r="C1387" s="183" t="n">
        <v>307</v>
      </c>
      <c r="D1387" s="181" t="s">
        <v>2401</v>
      </c>
      <c r="E1387" s="181" t="s">
        <v>576</v>
      </c>
      <c r="F1387" s="181" t="s">
        <v>577</v>
      </c>
      <c r="G1387" s="181" t="s">
        <v>2715</v>
      </c>
      <c r="H1387" s="181" t="s">
        <v>279</v>
      </c>
      <c r="I1387" s="181" t="s">
        <v>242</v>
      </c>
      <c r="J1387" s="184" t="n">
        <v>39590</v>
      </c>
      <c r="K1387" s="184" t="n">
        <v>14580</v>
      </c>
      <c r="L1387" s="185" t="n">
        <v>14</v>
      </c>
      <c r="M1387" s="184" t="n">
        <v>25010</v>
      </c>
      <c r="N1387" s="184" t="n">
        <v>21508.6</v>
      </c>
      <c r="O1387" s="186" t="s">
        <v>3185</v>
      </c>
      <c r="P1387" s="187" t="n">
        <v>45965</v>
      </c>
    </row>
    <row r="1388" customFormat="false" ht="51" hidden="false" customHeight="true" outlineLevel="0" collapsed="false">
      <c r="A1388" s="181" t="s">
        <v>3190</v>
      </c>
      <c r="B1388" s="182" t="n">
        <v>2919</v>
      </c>
      <c r="C1388" s="183" t="n">
        <v>308</v>
      </c>
      <c r="D1388" s="181" t="s">
        <v>2401</v>
      </c>
      <c r="E1388" s="181" t="s">
        <v>261</v>
      </c>
      <c r="F1388" s="181" t="s">
        <v>262</v>
      </c>
      <c r="G1388" s="181" t="s">
        <v>2715</v>
      </c>
      <c r="H1388" s="181" t="s">
        <v>279</v>
      </c>
      <c r="I1388" s="181" t="s">
        <v>242</v>
      </c>
      <c r="J1388" s="184" t="n">
        <v>40280</v>
      </c>
      <c r="K1388" s="184" t="n">
        <v>15270</v>
      </c>
      <c r="L1388" s="185" t="n">
        <v>10</v>
      </c>
      <c r="M1388" s="184" t="n">
        <v>25010</v>
      </c>
      <c r="N1388" s="184" t="n">
        <v>22509</v>
      </c>
      <c r="O1388" s="186" t="s">
        <v>3191</v>
      </c>
      <c r="P1388" s="187" t="n">
        <v>45965</v>
      </c>
    </row>
    <row r="1389" customFormat="false" ht="51" hidden="false" customHeight="true" outlineLevel="0" collapsed="false">
      <c r="A1389" s="181" t="s">
        <v>3162</v>
      </c>
      <c r="B1389" s="182" t="n">
        <v>2921</v>
      </c>
      <c r="C1389" s="183" t="n">
        <v>305</v>
      </c>
      <c r="D1389" s="181" t="s">
        <v>2401</v>
      </c>
      <c r="E1389" s="181" t="s">
        <v>399</v>
      </c>
      <c r="F1389" s="181" t="s">
        <v>400</v>
      </c>
      <c r="G1389" s="181" t="s">
        <v>2715</v>
      </c>
      <c r="H1389" s="181" t="s">
        <v>279</v>
      </c>
      <c r="I1389" s="181" t="s">
        <v>242</v>
      </c>
      <c r="J1389" s="184" t="n">
        <v>54770</v>
      </c>
      <c r="K1389" s="184" t="n">
        <v>19680</v>
      </c>
      <c r="L1389" s="185" t="n">
        <v>17</v>
      </c>
      <c r="M1389" s="184" t="n">
        <v>35090</v>
      </c>
      <c r="N1389" s="184" t="n">
        <v>29124.7</v>
      </c>
      <c r="O1389" s="186" t="s">
        <v>3163</v>
      </c>
      <c r="P1389" s="187" t="n">
        <v>45965</v>
      </c>
    </row>
    <row r="1390" customFormat="false" ht="51" hidden="false" customHeight="true" outlineLevel="0" collapsed="false">
      <c r="A1390" s="181" t="s">
        <v>3164</v>
      </c>
      <c r="B1390" s="182" t="n">
        <v>2922</v>
      </c>
      <c r="C1390" s="183" t="n">
        <v>309</v>
      </c>
      <c r="D1390" s="181" t="s">
        <v>2401</v>
      </c>
      <c r="E1390" s="181" t="s">
        <v>541</v>
      </c>
      <c r="F1390" s="181" t="s">
        <v>542</v>
      </c>
      <c r="G1390" s="181" t="s">
        <v>2715</v>
      </c>
      <c r="H1390" s="181" t="s">
        <v>279</v>
      </c>
      <c r="I1390" s="181" t="s">
        <v>242</v>
      </c>
      <c r="J1390" s="184" t="n">
        <v>41000</v>
      </c>
      <c r="K1390" s="184" t="n">
        <v>15130</v>
      </c>
      <c r="L1390" s="185" t="n">
        <v>4</v>
      </c>
      <c r="M1390" s="184" t="n">
        <v>25870</v>
      </c>
      <c r="N1390" s="184" t="n">
        <v>24835.2</v>
      </c>
      <c r="O1390" s="186" t="s">
        <v>3165</v>
      </c>
      <c r="P1390" s="187" t="n">
        <v>45965</v>
      </c>
    </row>
    <row r="1391" customFormat="false" ht="51" hidden="false" customHeight="true" outlineLevel="0" collapsed="false">
      <c r="A1391" s="181" t="s">
        <v>3170</v>
      </c>
      <c r="B1391" s="182" t="n">
        <v>2923</v>
      </c>
      <c r="C1391" s="183" t="n">
        <v>311</v>
      </c>
      <c r="D1391" s="181" t="s">
        <v>2401</v>
      </c>
      <c r="E1391" s="181" t="s">
        <v>332</v>
      </c>
      <c r="F1391" s="181" t="s">
        <v>333</v>
      </c>
      <c r="G1391" s="181" t="s">
        <v>2715</v>
      </c>
      <c r="H1391" s="181" t="s">
        <v>279</v>
      </c>
      <c r="I1391" s="181" t="s">
        <v>242</v>
      </c>
      <c r="J1391" s="184" t="n">
        <v>40350</v>
      </c>
      <c r="K1391" s="184" t="n">
        <v>14940</v>
      </c>
      <c r="L1391" s="185" t="n">
        <v>11</v>
      </c>
      <c r="M1391" s="184" t="n">
        <v>25410</v>
      </c>
      <c r="N1391" s="184" t="n">
        <v>22614.9</v>
      </c>
      <c r="O1391" s="186" t="s">
        <v>3171</v>
      </c>
      <c r="P1391" s="187" t="n">
        <v>45965</v>
      </c>
    </row>
    <row r="1392" customFormat="false" ht="51" hidden="false" customHeight="true" outlineLevel="0" collapsed="false">
      <c r="A1392" s="181" t="s">
        <v>3174</v>
      </c>
      <c r="B1392" s="182" t="n">
        <v>2924</v>
      </c>
      <c r="C1392" s="183" t="n">
        <v>310</v>
      </c>
      <c r="D1392" s="181" t="s">
        <v>2401</v>
      </c>
      <c r="E1392" s="181" t="s">
        <v>2351</v>
      </c>
      <c r="F1392" s="181" t="s">
        <v>2352</v>
      </c>
      <c r="G1392" s="181" t="s">
        <v>2715</v>
      </c>
      <c r="H1392" s="181" t="s">
        <v>279</v>
      </c>
      <c r="I1392" s="181" t="s">
        <v>242</v>
      </c>
      <c r="J1392" s="184" t="n">
        <v>48070</v>
      </c>
      <c r="K1392" s="184" t="n">
        <v>17560</v>
      </c>
      <c r="L1392" s="185" t="n">
        <v>16</v>
      </c>
      <c r="M1392" s="184" t="n">
        <v>30510</v>
      </c>
      <c r="N1392" s="184" t="n">
        <v>25628.4</v>
      </c>
      <c r="O1392" s="186" t="s">
        <v>3175</v>
      </c>
      <c r="P1392" s="187" t="n">
        <v>45965</v>
      </c>
    </row>
    <row r="1393" customFormat="false" ht="51" hidden="false" customHeight="true" outlineLevel="0" collapsed="false">
      <c r="A1393" s="181" t="s">
        <v>3180</v>
      </c>
      <c r="B1393" s="182" t="n">
        <v>2926</v>
      </c>
      <c r="C1393" s="183" t="n">
        <v>312</v>
      </c>
      <c r="D1393" s="181" t="s">
        <v>2401</v>
      </c>
      <c r="E1393" s="181" t="s">
        <v>266</v>
      </c>
      <c r="F1393" s="181" t="s">
        <v>267</v>
      </c>
      <c r="G1393" s="181" t="s">
        <v>2715</v>
      </c>
      <c r="H1393" s="181" t="s">
        <v>279</v>
      </c>
      <c r="I1393" s="181" t="s">
        <v>242</v>
      </c>
      <c r="J1393" s="184" t="n">
        <v>41640</v>
      </c>
      <c r="K1393" s="184" t="n">
        <v>15140</v>
      </c>
      <c r="L1393" s="185" t="n">
        <v>11</v>
      </c>
      <c r="M1393" s="184" t="n">
        <v>26500</v>
      </c>
      <c r="N1393" s="184" t="n">
        <v>23585</v>
      </c>
      <c r="O1393" s="186" t="s">
        <v>3181</v>
      </c>
      <c r="P1393" s="187" t="n">
        <v>45965</v>
      </c>
    </row>
    <row r="1394" customFormat="false" ht="51" hidden="false" customHeight="true" outlineLevel="0" collapsed="false">
      <c r="A1394" s="181" t="s">
        <v>3188</v>
      </c>
      <c r="B1394" s="182" t="n">
        <v>2928</v>
      </c>
      <c r="C1394" s="183" t="n">
        <v>313</v>
      </c>
      <c r="D1394" s="181" t="s">
        <v>2401</v>
      </c>
      <c r="E1394" s="181" t="s">
        <v>1019</v>
      </c>
      <c r="F1394" s="181" t="s">
        <v>1020</v>
      </c>
      <c r="G1394" s="181" t="s">
        <v>2715</v>
      </c>
      <c r="H1394" s="181" t="s">
        <v>279</v>
      </c>
      <c r="I1394" s="181" t="s">
        <v>242</v>
      </c>
      <c r="J1394" s="184" t="n">
        <v>46470</v>
      </c>
      <c r="K1394" s="184" t="n">
        <v>16990</v>
      </c>
      <c r="L1394" s="185" t="n">
        <v>8</v>
      </c>
      <c r="M1394" s="184" t="n">
        <v>29480</v>
      </c>
      <c r="N1394" s="184" t="n">
        <v>27121.6</v>
      </c>
      <c r="O1394" s="186" t="s">
        <v>3189</v>
      </c>
      <c r="P1394" s="187" t="n">
        <v>45965</v>
      </c>
    </row>
    <row r="1395" customFormat="false" ht="51" hidden="false" customHeight="true" outlineLevel="0" collapsed="false">
      <c r="A1395" s="181" t="s">
        <v>3186</v>
      </c>
      <c r="B1395" s="182" t="n">
        <v>2927</v>
      </c>
      <c r="C1395" s="183" t="n">
        <v>314</v>
      </c>
      <c r="D1395" s="181" t="s">
        <v>2401</v>
      </c>
      <c r="E1395" s="181" t="s">
        <v>1027</v>
      </c>
      <c r="F1395" s="181" t="s">
        <v>1028</v>
      </c>
      <c r="G1395" s="181" t="s">
        <v>2715</v>
      </c>
      <c r="H1395" s="181" t="s">
        <v>279</v>
      </c>
      <c r="I1395" s="181" t="s">
        <v>242</v>
      </c>
      <c r="J1395" s="184" t="n">
        <v>40160</v>
      </c>
      <c r="K1395" s="184" t="n">
        <v>14810</v>
      </c>
      <c r="L1395" s="185" t="n">
        <v>4</v>
      </c>
      <c r="M1395" s="184" t="n">
        <v>25350</v>
      </c>
      <c r="N1395" s="184" t="n">
        <v>24336</v>
      </c>
      <c r="O1395" s="186" t="s">
        <v>3187</v>
      </c>
      <c r="P1395" s="187" t="n">
        <v>45965</v>
      </c>
    </row>
    <row r="1396" customFormat="false" ht="51" hidden="false" customHeight="true" outlineLevel="0" collapsed="false">
      <c r="A1396" s="181" t="s">
        <v>3335</v>
      </c>
      <c r="B1396" s="182" t="n">
        <v>2929</v>
      </c>
      <c r="C1396" s="183" t="n">
        <v>8319</v>
      </c>
      <c r="D1396" s="181" t="s">
        <v>2066</v>
      </c>
      <c r="E1396" s="181" t="s">
        <v>277</v>
      </c>
      <c r="F1396" s="181" t="s">
        <v>278</v>
      </c>
      <c r="G1396" s="181" t="s">
        <v>3334</v>
      </c>
      <c r="H1396" s="181" t="s">
        <v>158</v>
      </c>
      <c r="I1396" s="181" t="s">
        <v>241</v>
      </c>
      <c r="J1396" s="184" t="n">
        <v>43270</v>
      </c>
      <c r="K1396" s="184" t="n">
        <v>15200</v>
      </c>
      <c r="L1396" s="185" t="n">
        <v>22</v>
      </c>
      <c r="M1396" s="184" t="n">
        <v>28070</v>
      </c>
      <c r="N1396" s="184" t="n">
        <v>21894.6</v>
      </c>
      <c r="O1396" s="186" t="s">
        <v>3193</v>
      </c>
      <c r="P1396" s="187" t="n">
        <v>45966</v>
      </c>
    </row>
    <row r="1397" customFormat="false" ht="51" hidden="false" customHeight="true" outlineLevel="0" collapsed="false">
      <c r="A1397" s="181" t="s">
        <v>3336</v>
      </c>
      <c r="B1397" s="182" t="n">
        <v>2930</v>
      </c>
      <c r="C1397" s="183" t="n">
        <v>8320</v>
      </c>
      <c r="D1397" s="181" t="s">
        <v>2066</v>
      </c>
      <c r="E1397" s="181" t="s">
        <v>350</v>
      </c>
      <c r="F1397" s="181" t="s">
        <v>351</v>
      </c>
      <c r="G1397" s="181" t="s">
        <v>3334</v>
      </c>
      <c r="H1397" s="181" t="s">
        <v>158</v>
      </c>
      <c r="I1397" s="181" t="s">
        <v>241</v>
      </c>
      <c r="J1397" s="184" t="n">
        <v>45580</v>
      </c>
      <c r="K1397" s="184" t="n">
        <v>15080</v>
      </c>
      <c r="L1397" s="185" t="n">
        <v>14</v>
      </c>
      <c r="M1397" s="184" t="n">
        <v>30500</v>
      </c>
      <c r="N1397" s="184" t="n">
        <v>26230</v>
      </c>
      <c r="O1397" s="186" t="s">
        <v>3195</v>
      </c>
      <c r="P1397" s="187" t="n">
        <v>45966</v>
      </c>
    </row>
    <row r="1398" customFormat="false" ht="51" hidden="false" customHeight="true" outlineLevel="0" collapsed="false">
      <c r="A1398" s="181" t="s">
        <v>3200</v>
      </c>
      <c r="B1398" s="182" t="n">
        <v>2931</v>
      </c>
      <c r="C1398" s="183" t="n">
        <v>8322</v>
      </c>
      <c r="D1398" s="181" t="s">
        <v>2066</v>
      </c>
      <c r="E1398" s="181" t="s">
        <v>292</v>
      </c>
      <c r="F1398" s="181" t="s">
        <v>293</v>
      </c>
      <c r="G1398" s="181" t="s">
        <v>3334</v>
      </c>
      <c r="H1398" s="181" t="s">
        <v>158</v>
      </c>
      <c r="I1398" s="181" t="s">
        <v>241</v>
      </c>
      <c r="J1398" s="184" t="n">
        <v>37080</v>
      </c>
      <c r="K1398" s="184" t="n">
        <v>13930</v>
      </c>
      <c r="L1398" s="185" t="n">
        <v>20</v>
      </c>
      <c r="M1398" s="184" t="n">
        <v>23150</v>
      </c>
      <c r="N1398" s="184" t="n">
        <v>18520</v>
      </c>
      <c r="O1398" s="186" t="s">
        <v>3201</v>
      </c>
      <c r="P1398" s="187" t="n">
        <v>45966</v>
      </c>
    </row>
    <row r="1399" customFormat="false" ht="51" hidden="false" customHeight="true" outlineLevel="0" collapsed="false">
      <c r="A1399" s="181" t="s">
        <v>3202</v>
      </c>
      <c r="B1399" s="182" t="n">
        <v>2933</v>
      </c>
      <c r="C1399" s="183" t="n">
        <v>8323</v>
      </c>
      <c r="D1399" s="181" t="s">
        <v>2066</v>
      </c>
      <c r="E1399" s="181" t="s">
        <v>377</v>
      </c>
      <c r="F1399" s="181" t="s">
        <v>378</v>
      </c>
      <c r="G1399" s="181" t="s">
        <v>3334</v>
      </c>
      <c r="H1399" s="181" t="s">
        <v>158</v>
      </c>
      <c r="I1399" s="181" t="s">
        <v>241</v>
      </c>
      <c r="J1399" s="184" t="n">
        <v>46390</v>
      </c>
      <c r="K1399" s="184" t="n">
        <v>15780</v>
      </c>
      <c r="L1399" s="185" t="n">
        <v>7</v>
      </c>
      <c r="M1399" s="184" t="n">
        <v>30610</v>
      </c>
      <c r="N1399" s="184" t="n">
        <v>28467.3</v>
      </c>
      <c r="O1399" s="186" t="s">
        <v>3203</v>
      </c>
      <c r="P1399" s="187" t="n">
        <v>45966</v>
      </c>
    </row>
    <row r="1400" customFormat="false" ht="51" hidden="false" customHeight="true" outlineLevel="0" collapsed="false">
      <c r="A1400" s="181" t="s">
        <v>3204</v>
      </c>
      <c r="B1400" s="182" t="n">
        <v>2934</v>
      </c>
      <c r="C1400" s="183" t="n">
        <v>8321</v>
      </c>
      <c r="D1400" s="181" t="s">
        <v>2066</v>
      </c>
      <c r="E1400" s="181" t="s">
        <v>308</v>
      </c>
      <c r="F1400" s="181" t="s">
        <v>309</v>
      </c>
      <c r="G1400" s="181" t="s">
        <v>3334</v>
      </c>
      <c r="H1400" s="181" t="s">
        <v>158</v>
      </c>
      <c r="I1400" s="181" t="s">
        <v>241</v>
      </c>
      <c r="J1400" s="184" t="n">
        <v>64280</v>
      </c>
      <c r="K1400" s="184" t="n">
        <v>24140</v>
      </c>
      <c r="L1400" s="185" t="n">
        <v>10</v>
      </c>
      <c r="M1400" s="184" t="n">
        <v>40140</v>
      </c>
      <c r="N1400" s="184" t="n">
        <v>36126</v>
      </c>
      <c r="O1400" s="186" t="s">
        <v>3205</v>
      </c>
      <c r="P1400" s="187" t="n">
        <v>45966</v>
      </c>
    </row>
    <row r="1401" customFormat="false" ht="51" hidden="false" customHeight="true" outlineLevel="0" collapsed="false">
      <c r="A1401" s="181" t="s">
        <v>3208</v>
      </c>
      <c r="B1401" s="182" t="n">
        <v>2935</v>
      </c>
      <c r="C1401" s="183" t="n">
        <v>8324</v>
      </c>
      <c r="D1401" s="181" t="s">
        <v>2066</v>
      </c>
      <c r="E1401" s="181" t="s">
        <v>304</v>
      </c>
      <c r="F1401" s="181" t="s">
        <v>305</v>
      </c>
      <c r="G1401" s="181" t="s">
        <v>3334</v>
      </c>
      <c r="H1401" s="181" t="s">
        <v>158</v>
      </c>
      <c r="I1401" s="181" t="s">
        <v>241</v>
      </c>
      <c r="J1401" s="184" t="n">
        <v>41600</v>
      </c>
      <c r="K1401" s="184" t="n">
        <v>15030</v>
      </c>
      <c r="L1401" s="185" t="n">
        <v>20</v>
      </c>
      <c r="M1401" s="184" t="n">
        <v>26570</v>
      </c>
      <c r="N1401" s="184" t="n">
        <v>21256</v>
      </c>
      <c r="O1401" s="186" t="s">
        <v>3209</v>
      </c>
      <c r="P1401" s="187" t="n">
        <v>45966</v>
      </c>
    </row>
    <row r="1402" customFormat="false" ht="51" hidden="false" customHeight="true" outlineLevel="0" collapsed="false">
      <c r="A1402" s="181" t="s">
        <v>3214</v>
      </c>
      <c r="B1402" s="182" t="n">
        <v>2938</v>
      </c>
      <c r="C1402" s="183" t="n">
        <v>8325</v>
      </c>
      <c r="D1402" s="181" t="s">
        <v>2066</v>
      </c>
      <c r="E1402" s="181" t="s">
        <v>300</v>
      </c>
      <c r="F1402" s="181" t="s">
        <v>301</v>
      </c>
      <c r="G1402" s="181" t="s">
        <v>3334</v>
      </c>
      <c r="H1402" s="181" t="s">
        <v>158</v>
      </c>
      <c r="I1402" s="181" t="s">
        <v>241</v>
      </c>
      <c r="J1402" s="184" t="n">
        <v>63940</v>
      </c>
      <c r="K1402" s="184" t="n">
        <v>21240</v>
      </c>
      <c r="L1402" s="185" t="n">
        <v>7</v>
      </c>
      <c r="M1402" s="184" t="n">
        <v>42700</v>
      </c>
      <c r="N1402" s="184" t="n">
        <v>39711</v>
      </c>
      <c r="O1402" s="186" t="s">
        <v>3215</v>
      </c>
      <c r="P1402" s="187" t="n">
        <v>45966</v>
      </c>
    </row>
    <row r="1403" customFormat="false" ht="51" hidden="false" customHeight="true" outlineLevel="0" collapsed="false">
      <c r="A1403" s="181" t="s">
        <v>3216</v>
      </c>
      <c r="B1403" s="182" t="n">
        <v>2952</v>
      </c>
      <c r="C1403" s="183" t="n">
        <v>319</v>
      </c>
      <c r="D1403" s="181" t="s">
        <v>2401</v>
      </c>
      <c r="E1403" s="181" t="s">
        <v>1646</v>
      </c>
      <c r="F1403" s="181" t="s">
        <v>1647</v>
      </c>
      <c r="G1403" s="181" t="s">
        <v>3217</v>
      </c>
      <c r="H1403" s="181" t="s">
        <v>279</v>
      </c>
      <c r="I1403" s="181" t="s">
        <v>242</v>
      </c>
      <c r="J1403" s="184" t="n">
        <v>27770</v>
      </c>
      <c r="K1403" s="184" t="n">
        <v>14360</v>
      </c>
      <c r="L1403" s="185" t="n">
        <v>22</v>
      </c>
      <c r="M1403" s="184" t="n">
        <v>13410</v>
      </c>
      <c r="N1403" s="184" t="n">
        <v>10459.8</v>
      </c>
      <c r="O1403" s="186" t="s">
        <v>3218</v>
      </c>
      <c r="P1403" s="187" t="n">
        <v>45966</v>
      </c>
    </row>
    <row r="1404" customFormat="false" ht="51" hidden="false" customHeight="true" outlineLevel="0" collapsed="false">
      <c r="A1404" s="181" t="s">
        <v>3219</v>
      </c>
      <c r="B1404" s="182" t="n">
        <v>2941</v>
      </c>
      <c r="C1404" s="183" t="n">
        <v>8326</v>
      </c>
      <c r="D1404" s="181" t="s">
        <v>2066</v>
      </c>
      <c r="E1404" s="181" t="s">
        <v>373</v>
      </c>
      <c r="F1404" s="181" t="s">
        <v>374</v>
      </c>
      <c r="G1404" s="181" t="s">
        <v>3334</v>
      </c>
      <c r="H1404" s="181" t="s">
        <v>158</v>
      </c>
      <c r="I1404" s="181" t="s">
        <v>241</v>
      </c>
      <c r="J1404" s="184" t="n">
        <v>44150</v>
      </c>
      <c r="K1404" s="184" t="n">
        <v>14480</v>
      </c>
      <c r="L1404" s="185" t="n">
        <v>14</v>
      </c>
      <c r="M1404" s="184" t="n">
        <v>29670</v>
      </c>
      <c r="N1404" s="184" t="n">
        <v>25516.2</v>
      </c>
      <c r="O1404" s="186" t="s">
        <v>3220</v>
      </c>
      <c r="P1404" s="187" t="n">
        <v>45966</v>
      </c>
    </row>
    <row r="1405" customFormat="false" ht="51" hidden="false" customHeight="true" outlineLevel="0" collapsed="false">
      <c r="A1405" s="181" t="s">
        <v>3196</v>
      </c>
      <c r="B1405" s="182" t="n">
        <v>2947</v>
      </c>
      <c r="C1405" s="183" t="n">
        <v>8327</v>
      </c>
      <c r="D1405" s="181" t="s">
        <v>2066</v>
      </c>
      <c r="E1405" s="181" t="s">
        <v>383</v>
      </c>
      <c r="F1405" s="181" t="s">
        <v>384</v>
      </c>
      <c r="G1405" s="181" t="s">
        <v>3334</v>
      </c>
      <c r="H1405" s="181" t="s">
        <v>158</v>
      </c>
      <c r="I1405" s="181" t="s">
        <v>241</v>
      </c>
      <c r="J1405" s="184" t="n">
        <v>42180</v>
      </c>
      <c r="K1405" s="184" t="n">
        <v>14980</v>
      </c>
      <c r="L1405" s="185" t="n">
        <v>24</v>
      </c>
      <c r="M1405" s="184" t="n">
        <v>27200</v>
      </c>
      <c r="N1405" s="184" t="n">
        <v>20672</v>
      </c>
      <c r="O1405" s="186" t="s">
        <v>3197</v>
      </c>
      <c r="P1405" s="187" t="n">
        <v>45966</v>
      </c>
    </row>
    <row r="1406" customFormat="false" ht="51" hidden="false" customHeight="true" outlineLevel="0" collapsed="false">
      <c r="A1406" s="181" t="s">
        <v>3198</v>
      </c>
      <c r="B1406" s="182" t="n">
        <v>2948</v>
      </c>
      <c r="C1406" s="183" t="n">
        <v>8328</v>
      </c>
      <c r="D1406" s="181" t="s">
        <v>2066</v>
      </c>
      <c r="E1406" s="181" t="s">
        <v>387</v>
      </c>
      <c r="F1406" s="181" t="s">
        <v>388</v>
      </c>
      <c r="G1406" s="181" t="s">
        <v>3334</v>
      </c>
      <c r="H1406" s="181" t="s">
        <v>158</v>
      </c>
      <c r="I1406" s="181" t="s">
        <v>241</v>
      </c>
      <c r="J1406" s="184" t="n">
        <v>46070</v>
      </c>
      <c r="K1406" s="184" t="n">
        <v>15250</v>
      </c>
      <c r="L1406" s="185" t="n">
        <v>27</v>
      </c>
      <c r="M1406" s="184" t="n">
        <v>30820</v>
      </c>
      <c r="N1406" s="184" t="n">
        <v>22498.6</v>
      </c>
      <c r="O1406" s="186" t="s">
        <v>3199</v>
      </c>
      <c r="P1406" s="187" t="n">
        <v>45966</v>
      </c>
    </row>
    <row r="1407" customFormat="false" ht="51" hidden="false" customHeight="true" outlineLevel="0" collapsed="false">
      <c r="A1407" s="181" t="s">
        <v>3206</v>
      </c>
      <c r="B1407" s="182" t="n">
        <v>2951</v>
      </c>
      <c r="C1407" s="183" t="n">
        <v>8329</v>
      </c>
      <c r="D1407" s="181" t="s">
        <v>2066</v>
      </c>
      <c r="E1407" s="181" t="s">
        <v>582</v>
      </c>
      <c r="F1407" s="181" t="s">
        <v>583</v>
      </c>
      <c r="G1407" s="181" t="s">
        <v>3334</v>
      </c>
      <c r="H1407" s="181" t="s">
        <v>158</v>
      </c>
      <c r="I1407" s="181" t="s">
        <v>241</v>
      </c>
      <c r="J1407" s="184" t="n">
        <v>43320</v>
      </c>
      <c r="K1407" s="184" t="n">
        <v>15010</v>
      </c>
      <c r="L1407" s="185" t="n">
        <v>20</v>
      </c>
      <c r="M1407" s="184" t="n">
        <v>28310</v>
      </c>
      <c r="N1407" s="184" t="n">
        <v>22648</v>
      </c>
      <c r="O1407" s="186" t="s">
        <v>3207</v>
      </c>
      <c r="P1407" s="187" t="n">
        <v>45966</v>
      </c>
    </row>
    <row r="1408" customFormat="false" ht="51" hidden="false" customHeight="true" outlineLevel="0" collapsed="false">
      <c r="A1408" s="181" t="s">
        <v>3210</v>
      </c>
      <c r="B1408" s="182" t="n">
        <v>2953</v>
      </c>
      <c r="C1408" s="183" t="n">
        <v>8330</v>
      </c>
      <c r="D1408" s="181" t="s">
        <v>2066</v>
      </c>
      <c r="E1408" s="181" t="s">
        <v>272</v>
      </c>
      <c r="F1408" s="181" t="s">
        <v>273</v>
      </c>
      <c r="G1408" s="181" t="s">
        <v>3334</v>
      </c>
      <c r="H1408" s="181" t="s">
        <v>158</v>
      </c>
      <c r="I1408" s="181" t="s">
        <v>241</v>
      </c>
      <c r="J1408" s="184" t="n">
        <v>40390</v>
      </c>
      <c r="K1408" s="184" t="n">
        <v>15640</v>
      </c>
      <c r="L1408" s="185" t="n">
        <v>18</v>
      </c>
      <c r="M1408" s="184" t="n">
        <v>24750</v>
      </c>
      <c r="N1408" s="184" t="n">
        <v>20295</v>
      </c>
      <c r="O1408" s="186" t="s">
        <v>3211</v>
      </c>
      <c r="P1408" s="187" t="n">
        <v>45966</v>
      </c>
    </row>
    <row r="1409" customFormat="false" ht="51" hidden="false" customHeight="true" outlineLevel="0" collapsed="false">
      <c r="A1409" s="181" t="s">
        <v>3212</v>
      </c>
      <c r="B1409" s="182" t="n">
        <v>2954</v>
      </c>
      <c r="C1409" s="183" t="n">
        <v>8333</v>
      </c>
      <c r="D1409" s="181" t="s">
        <v>2066</v>
      </c>
      <c r="E1409" s="181" t="s">
        <v>282</v>
      </c>
      <c r="F1409" s="181" t="s">
        <v>283</v>
      </c>
      <c r="G1409" s="181" t="s">
        <v>3334</v>
      </c>
      <c r="H1409" s="181" t="s">
        <v>158</v>
      </c>
      <c r="I1409" s="181" t="s">
        <v>241</v>
      </c>
      <c r="J1409" s="184" t="n">
        <v>40920</v>
      </c>
      <c r="K1409" s="184" t="n">
        <v>15110</v>
      </c>
      <c r="L1409" s="185" t="n">
        <v>24</v>
      </c>
      <c r="M1409" s="184" t="n">
        <v>25810</v>
      </c>
      <c r="N1409" s="184" t="n">
        <v>19615.6</v>
      </c>
      <c r="O1409" s="186" t="s">
        <v>3213</v>
      </c>
      <c r="P1409" s="187" t="n">
        <v>45966</v>
      </c>
    </row>
    <row r="1410" customFormat="false" ht="51" hidden="false" customHeight="true" outlineLevel="0" collapsed="false">
      <c r="A1410" s="181" t="s">
        <v>3221</v>
      </c>
      <c r="B1410" s="182" t="n">
        <v>2956</v>
      </c>
      <c r="C1410" s="183" t="n">
        <v>8334</v>
      </c>
      <c r="D1410" s="181" t="s">
        <v>2066</v>
      </c>
      <c r="E1410" s="181" t="s">
        <v>336</v>
      </c>
      <c r="F1410" s="181" t="s">
        <v>337</v>
      </c>
      <c r="G1410" s="181" t="s">
        <v>3334</v>
      </c>
      <c r="H1410" s="181" t="s">
        <v>158</v>
      </c>
      <c r="I1410" s="181" t="s">
        <v>241</v>
      </c>
      <c r="J1410" s="184" t="n">
        <v>40240</v>
      </c>
      <c r="K1410" s="184" t="n">
        <v>14610</v>
      </c>
      <c r="L1410" s="185" t="n">
        <v>18</v>
      </c>
      <c r="M1410" s="184" t="n">
        <v>25630</v>
      </c>
      <c r="N1410" s="184" t="n">
        <v>21016.6</v>
      </c>
      <c r="O1410" s="186" t="s">
        <v>3222</v>
      </c>
      <c r="P1410" s="187" t="n">
        <v>45966</v>
      </c>
    </row>
    <row r="1411" customFormat="false" ht="51" hidden="false" customHeight="true" outlineLevel="0" collapsed="false">
      <c r="A1411" s="181" t="s">
        <v>3223</v>
      </c>
      <c r="B1411" s="182" t="n">
        <v>2957</v>
      </c>
      <c r="C1411" s="183" t="n">
        <v>8335</v>
      </c>
      <c r="D1411" s="181" t="s">
        <v>2066</v>
      </c>
      <c r="E1411" s="181" t="s">
        <v>340</v>
      </c>
      <c r="F1411" s="181" t="s">
        <v>341</v>
      </c>
      <c r="G1411" s="181" t="s">
        <v>3334</v>
      </c>
      <c r="H1411" s="181" t="s">
        <v>158</v>
      </c>
      <c r="I1411" s="181" t="s">
        <v>241</v>
      </c>
      <c r="J1411" s="184" t="n">
        <v>41950</v>
      </c>
      <c r="K1411" s="184" t="n">
        <v>15140</v>
      </c>
      <c r="L1411" s="185" t="n">
        <v>11</v>
      </c>
      <c r="M1411" s="184" t="n">
        <v>26810</v>
      </c>
      <c r="N1411" s="184" t="n">
        <v>23860.9</v>
      </c>
      <c r="O1411" s="186" t="s">
        <v>3224</v>
      </c>
      <c r="P1411" s="187" t="n">
        <v>45966</v>
      </c>
    </row>
    <row r="1412" customFormat="false" ht="51" hidden="false" customHeight="true" outlineLevel="0" collapsed="false">
      <c r="A1412" s="181" t="s">
        <v>3225</v>
      </c>
      <c r="B1412" s="182" t="n">
        <v>2958</v>
      </c>
      <c r="C1412" s="183" t="n">
        <v>8337</v>
      </c>
      <c r="D1412" s="181" t="s">
        <v>2066</v>
      </c>
      <c r="E1412" s="181" t="s">
        <v>288</v>
      </c>
      <c r="F1412" s="181" t="s">
        <v>289</v>
      </c>
      <c r="G1412" s="181" t="s">
        <v>3334</v>
      </c>
      <c r="H1412" s="181" t="s">
        <v>158</v>
      </c>
      <c r="I1412" s="181" t="s">
        <v>241</v>
      </c>
      <c r="J1412" s="184" t="n">
        <v>39290</v>
      </c>
      <c r="K1412" s="184" t="n">
        <v>14770</v>
      </c>
      <c r="L1412" s="185" t="n">
        <v>25</v>
      </c>
      <c r="M1412" s="184" t="n">
        <v>24520</v>
      </c>
      <c r="N1412" s="184" t="n">
        <v>18390</v>
      </c>
      <c r="O1412" s="186" t="s">
        <v>3226</v>
      </c>
      <c r="P1412" s="187" t="n">
        <v>45967</v>
      </c>
    </row>
    <row r="1413" customFormat="false" ht="51" hidden="false" customHeight="true" outlineLevel="0" collapsed="false">
      <c r="A1413" s="181" t="s">
        <v>3233</v>
      </c>
      <c r="B1413" s="182" t="n">
        <v>2959</v>
      </c>
      <c r="C1413" s="183" t="n">
        <v>8339</v>
      </c>
      <c r="D1413" s="181" t="s">
        <v>2066</v>
      </c>
      <c r="E1413" s="181" t="s">
        <v>409</v>
      </c>
      <c r="F1413" s="181" t="s">
        <v>410</v>
      </c>
      <c r="G1413" s="181" t="s">
        <v>3334</v>
      </c>
      <c r="H1413" s="181" t="s">
        <v>158</v>
      </c>
      <c r="I1413" s="181" t="s">
        <v>241</v>
      </c>
      <c r="J1413" s="184" t="n">
        <v>66540</v>
      </c>
      <c r="K1413" s="184" t="n">
        <v>24550</v>
      </c>
      <c r="L1413" s="185" t="n">
        <v>20</v>
      </c>
      <c r="M1413" s="184" t="n">
        <v>41990</v>
      </c>
      <c r="N1413" s="184" t="n">
        <v>33592</v>
      </c>
      <c r="O1413" s="186" t="s">
        <v>3234</v>
      </c>
      <c r="P1413" s="187" t="n">
        <v>45967</v>
      </c>
    </row>
    <row r="1414" customFormat="false" ht="51" hidden="false" customHeight="true" outlineLevel="0" collapsed="false">
      <c r="A1414" s="181" t="s">
        <v>3235</v>
      </c>
      <c r="B1414" s="182" t="n">
        <v>2960</v>
      </c>
      <c r="C1414" s="183" t="n">
        <v>8342</v>
      </c>
      <c r="D1414" s="181" t="s">
        <v>2066</v>
      </c>
      <c r="E1414" s="181" t="s">
        <v>545</v>
      </c>
      <c r="F1414" s="181" t="s">
        <v>546</v>
      </c>
      <c r="G1414" s="181" t="s">
        <v>3334</v>
      </c>
      <c r="H1414" s="181" t="s">
        <v>158</v>
      </c>
      <c r="I1414" s="181" t="s">
        <v>241</v>
      </c>
      <c r="J1414" s="184" t="n">
        <v>43090</v>
      </c>
      <c r="K1414" s="184" t="n">
        <v>16200</v>
      </c>
      <c r="L1414" s="185" t="n">
        <v>8</v>
      </c>
      <c r="M1414" s="184" t="n">
        <v>26890</v>
      </c>
      <c r="N1414" s="184" t="n">
        <v>24738.8</v>
      </c>
      <c r="O1414" s="186" t="s">
        <v>3236</v>
      </c>
      <c r="P1414" s="187" t="n">
        <v>45967</v>
      </c>
    </row>
    <row r="1415" customFormat="false" ht="51" hidden="false" customHeight="true" outlineLevel="0" collapsed="false">
      <c r="A1415" s="181" t="s">
        <v>3241</v>
      </c>
      <c r="B1415" s="182" t="n">
        <v>2961</v>
      </c>
      <c r="C1415" s="183" t="n">
        <v>8340</v>
      </c>
      <c r="D1415" s="181" t="s">
        <v>2066</v>
      </c>
      <c r="E1415" s="181" t="s">
        <v>354</v>
      </c>
      <c r="F1415" s="181" t="s">
        <v>355</v>
      </c>
      <c r="G1415" s="181" t="s">
        <v>3334</v>
      </c>
      <c r="H1415" s="181" t="s">
        <v>158</v>
      </c>
      <c r="I1415" s="181" t="s">
        <v>241</v>
      </c>
      <c r="J1415" s="184" t="n">
        <v>40410</v>
      </c>
      <c r="K1415" s="184" t="n">
        <v>14810</v>
      </c>
      <c r="L1415" s="185" t="n">
        <v>27</v>
      </c>
      <c r="M1415" s="184" t="n">
        <v>25600</v>
      </c>
      <c r="N1415" s="184" t="n">
        <v>18688</v>
      </c>
      <c r="O1415" s="186" t="s">
        <v>3242</v>
      </c>
      <c r="P1415" s="187" t="n">
        <v>45967</v>
      </c>
    </row>
    <row r="1416" customFormat="false" ht="51" hidden="false" customHeight="true" outlineLevel="0" collapsed="false">
      <c r="A1416" s="181" t="s">
        <v>3243</v>
      </c>
      <c r="B1416" s="182" t="n">
        <v>2962</v>
      </c>
      <c r="C1416" s="183" t="n">
        <v>8341</v>
      </c>
      <c r="D1416" s="181" t="s">
        <v>2066</v>
      </c>
      <c r="E1416" s="181" t="s">
        <v>359</v>
      </c>
      <c r="F1416" s="181" t="s">
        <v>360</v>
      </c>
      <c r="G1416" s="181" t="s">
        <v>3334</v>
      </c>
      <c r="H1416" s="181" t="s">
        <v>158</v>
      </c>
      <c r="I1416" s="181" t="s">
        <v>241</v>
      </c>
      <c r="J1416" s="184" t="n">
        <v>38670</v>
      </c>
      <c r="K1416" s="184" t="n">
        <v>14980</v>
      </c>
      <c r="L1416" s="185" t="n">
        <v>27</v>
      </c>
      <c r="M1416" s="184" t="n">
        <v>23690</v>
      </c>
      <c r="N1416" s="184" t="n">
        <v>17293.7</v>
      </c>
      <c r="O1416" s="186" t="s">
        <v>3244</v>
      </c>
      <c r="P1416" s="187" t="n">
        <v>45967</v>
      </c>
    </row>
    <row r="1417" customFormat="false" ht="51" hidden="false" customHeight="true" outlineLevel="0" collapsed="false">
      <c r="A1417" s="181" t="s">
        <v>3245</v>
      </c>
      <c r="B1417" s="182" t="n">
        <v>2963</v>
      </c>
      <c r="C1417" s="183" t="n">
        <v>8344</v>
      </c>
      <c r="D1417" s="181" t="s">
        <v>2066</v>
      </c>
      <c r="E1417" s="181" t="s">
        <v>576</v>
      </c>
      <c r="F1417" s="181" t="s">
        <v>577</v>
      </c>
      <c r="G1417" s="181" t="s">
        <v>3334</v>
      </c>
      <c r="H1417" s="181" t="s">
        <v>158</v>
      </c>
      <c r="I1417" s="181" t="s">
        <v>241</v>
      </c>
      <c r="J1417" s="184" t="n">
        <v>39440</v>
      </c>
      <c r="K1417" s="184" t="n">
        <v>14550</v>
      </c>
      <c r="L1417" s="185" t="n">
        <v>30</v>
      </c>
      <c r="M1417" s="184" t="n">
        <v>24890</v>
      </c>
      <c r="N1417" s="184" t="n">
        <v>17423</v>
      </c>
      <c r="O1417" s="186" t="s">
        <v>3246</v>
      </c>
      <c r="P1417" s="187" t="n">
        <v>45967</v>
      </c>
    </row>
    <row r="1418" customFormat="false" ht="51" hidden="false" customHeight="true" outlineLevel="0" collapsed="false">
      <c r="A1418" s="181" t="s">
        <v>3247</v>
      </c>
      <c r="B1418" s="182" t="n">
        <v>2964</v>
      </c>
      <c r="C1418" s="183" t="n">
        <v>8345</v>
      </c>
      <c r="D1418" s="181" t="s">
        <v>2066</v>
      </c>
      <c r="E1418" s="181" t="s">
        <v>261</v>
      </c>
      <c r="F1418" s="181" t="s">
        <v>262</v>
      </c>
      <c r="G1418" s="181" t="s">
        <v>3334</v>
      </c>
      <c r="H1418" s="181" t="s">
        <v>158</v>
      </c>
      <c r="I1418" s="181" t="s">
        <v>241</v>
      </c>
      <c r="J1418" s="184" t="n">
        <v>39310</v>
      </c>
      <c r="K1418" s="184" t="n">
        <v>15230</v>
      </c>
      <c r="L1418" s="185" t="n">
        <v>14</v>
      </c>
      <c r="M1418" s="184" t="n">
        <v>24080</v>
      </c>
      <c r="N1418" s="184" t="n">
        <v>20708.8</v>
      </c>
      <c r="O1418" s="186" t="s">
        <v>3248</v>
      </c>
      <c r="P1418" s="187" t="n">
        <v>45967</v>
      </c>
    </row>
    <row r="1419" customFormat="false" ht="51" hidden="false" customHeight="true" outlineLevel="0" collapsed="false">
      <c r="A1419" s="181" t="s">
        <v>3227</v>
      </c>
      <c r="B1419" s="182" t="n">
        <v>2967</v>
      </c>
      <c r="C1419" s="183" t="n">
        <v>8348</v>
      </c>
      <c r="D1419" s="181" t="s">
        <v>2066</v>
      </c>
      <c r="E1419" s="181" t="s">
        <v>541</v>
      </c>
      <c r="F1419" s="181" t="s">
        <v>542</v>
      </c>
      <c r="G1419" s="181" t="s">
        <v>3334</v>
      </c>
      <c r="H1419" s="181" t="s">
        <v>158</v>
      </c>
      <c r="I1419" s="181" t="s">
        <v>241</v>
      </c>
      <c r="J1419" s="184" t="n">
        <v>41120</v>
      </c>
      <c r="K1419" s="184" t="n">
        <v>15020</v>
      </c>
      <c r="L1419" s="185" t="n">
        <v>14</v>
      </c>
      <c r="M1419" s="184" t="n">
        <v>26100</v>
      </c>
      <c r="N1419" s="184" t="n">
        <v>22446</v>
      </c>
      <c r="O1419" s="186" t="s">
        <v>3228</v>
      </c>
      <c r="P1419" s="187" t="n">
        <v>45967</v>
      </c>
    </row>
    <row r="1420" customFormat="false" ht="51" hidden="false" customHeight="true" outlineLevel="0" collapsed="false">
      <c r="A1420" s="181" t="s">
        <v>3229</v>
      </c>
      <c r="B1420" s="182" t="n">
        <v>2969</v>
      </c>
      <c r="C1420" s="183" t="n">
        <v>8353</v>
      </c>
      <c r="D1420" s="181" t="s">
        <v>2066</v>
      </c>
      <c r="E1420" s="181" t="s">
        <v>533</v>
      </c>
      <c r="F1420" s="181" t="s">
        <v>534</v>
      </c>
      <c r="G1420" s="181" t="s">
        <v>3334</v>
      </c>
      <c r="H1420" s="181" t="s">
        <v>158</v>
      </c>
      <c r="I1420" s="181" t="s">
        <v>241</v>
      </c>
      <c r="J1420" s="184" t="n">
        <v>40590</v>
      </c>
      <c r="K1420" s="184" t="n">
        <v>14790</v>
      </c>
      <c r="L1420" s="185" t="n">
        <v>13</v>
      </c>
      <c r="M1420" s="184" t="n">
        <v>25800</v>
      </c>
      <c r="N1420" s="184" t="n">
        <v>22446</v>
      </c>
      <c r="O1420" s="186" t="s">
        <v>3230</v>
      </c>
      <c r="P1420" s="187" t="n">
        <v>45967</v>
      </c>
    </row>
    <row r="1421" customFormat="false" ht="51" hidden="false" customHeight="true" outlineLevel="0" collapsed="false">
      <c r="A1421" s="181" t="s">
        <v>3231</v>
      </c>
      <c r="B1421" s="182" t="n">
        <v>2970</v>
      </c>
      <c r="C1421" s="183" t="n">
        <v>8354</v>
      </c>
      <c r="D1421" s="181" t="s">
        <v>2066</v>
      </c>
      <c r="E1421" s="181" t="s">
        <v>537</v>
      </c>
      <c r="F1421" s="181" t="s">
        <v>538</v>
      </c>
      <c r="G1421" s="181" t="s">
        <v>3334</v>
      </c>
      <c r="H1421" s="181" t="s">
        <v>158</v>
      </c>
      <c r="I1421" s="181" t="s">
        <v>241</v>
      </c>
      <c r="J1421" s="184" t="n">
        <v>37050</v>
      </c>
      <c r="K1421" s="184" t="n">
        <v>14120</v>
      </c>
      <c r="L1421" s="185" t="n">
        <v>27</v>
      </c>
      <c r="M1421" s="184" t="n">
        <v>22930</v>
      </c>
      <c r="N1421" s="184" t="n">
        <v>16738.9</v>
      </c>
      <c r="O1421" s="186" t="s">
        <v>3232</v>
      </c>
      <c r="P1421" s="187" t="n">
        <v>45967</v>
      </c>
    </row>
    <row r="1422" customFormat="false" ht="51" hidden="false" customHeight="true" outlineLevel="0" collapsed="false">
      <c r="A1422" s="181" t="s">
        <v>3237</v>
      </c>
      <c r="B1422" s="182" t="n">
        <v>2971</v>
      </c>
      <c r="C1422" s="183" t="n">
        <v>8010</v>
      </c>
      <c r="D1422" s="181" t="s">
        <v>2066</v>
      </c>
      <c r="E1422" s="181" t="s">
        <v>549</v>
      </c>
      <c r="F1422" s="181" t="s">
        <v>550</v>
      </c>
      <c r="G1422" s="181" t="s">
        <v>3334</v>
      </c>
      <c r="H1422" s="181" t="s">
        <v>158</v>
      </c>
      <c r="I1422" s="181" t="s">
        <v>241</v>
      </c>
      <c r="J1422" s="184" t="n">
        <v>43960</v>
      </c>
      <c r="K1422" s="184" t="n">
        <v>16200</v>
      </c>
      <c r="L1422" s="185" t="n">
        <v>13</v>
      </c>
      <c r="M1422" s="184" t="n">
        <v>27760</v>
      </c>
      <c r="N1422" s="184" t="n">
        <v>24151.2</v>
      </c>
      <c r="O1422" s="186" t="s">
        <v>3238</v>
      </c>
      <c r="P1422" s="187" t="n">
        <v>45967</v>
      </c>
    </row>
    <row r="1423" customFormat="false" ht="51" hidden="false" customHeight="true" outlineLevel="0" collapsed="false">
      <c r="A1423" s="181" t="s">
        <v>3239</v>
      </c>
      <c r="B1423" s="182" t="n">
        <v>2972</v>
      </c>
      <c r="C1423" s="183" t="n">
        <v>8355</v>
      </c>
      <c r="D1423" s="181" t="s">
        <v>2066</v>
      </c>
      <c r="E1423" s="181" t="s">
        <v>399</v>
      </c>
      <c r="F1423" s="181" t="s">
        <v>400</v>
      </c>
      <c r="G1423" s="181" t="s">
        <v>3334</v>
      </c>
      <c r="H1423" s="181" t="s">
        <v>158</v>
      </c>
      <c r="I1423" s="181" t="s">
        <v>241</v>
      </c>
      <c r="J1423" s="184" t="n">
        <v>52590</v>
      </c>
      <c r="K1423" s="184" t="n">
        <v>19380</v>
      </c>
      <c r="L1423" s="185" t="n">
        <v>8</v>
      </c>
      <c r="M1423" s="184" t="n">
        <v>33210</v>
      </c>
      <c r="N1423" s="184" t="n">
        <v>30553.2</v>
      </c>
      <c r="O1423" s="186" t="s">
        <v>3240</v>
      </c>
      <c r="P1423" s="187" t="n">
        <v>45967</v>
      </c>
    </row>
    <row r="1424" customFormat="false" ht="51" hidden="false" customHeight="true" outlineLevel="0" collapsed="false">
      <c r="A1424" s="181" t="s">
        <v>3249</v>
      </c>
      <c r="B1424" s="182" t="n">
        <v>2973</v>
      </c>
      <c r="C1424" s="183" t="n">
        <v>8387</v>
      </c>
      <c r="D1424" s="181" t="s">
        <v>2066</v>
      </c>
      <c r="E1424" s="181" t="s">
        <v>1019</v>
      </c>
      <c r="F1424" s="181" t="s">
        <v>1020</v>
      </c>
      <c r="G1424" s="181" t="s">
        <v>3334</v>
      </c>
      <c r="H1424" s="181" t="s">
        <v>158</v>
      </c>
      <c r="I1424" s="181" t="s">
        <v>241</v>
      </c>
      <c r="J1424" s="184" t="n">
        <v>45520</v>
      </c>
      <c r="K1424" s="184" t="n">
        <v>17120</v>
      </c>
      <c r="L1424" s="185" t="n">
        <v>5</v>
      </c>
      <c r="M1424" s="184" t="n">
        <v>28400</v>
      </c>
      <c r="N1424" s="184" t="n">
        <v>26980</v>
      </c>
      <c r="O1424" s="186" t="s">
        <v>3250</v>
      </c>
      <c r="P1424" s="187" t="n">
        <v>45967</v>
      </c>
    </row>
    <row r="1425" customFormat="false" ht="51" hidden="false" customHeight="true" outlineLevel="0" collapsed="false">
      <c r="A1425" s="181" t="s">
        <v>3251</v>
      </c>
      <c r="B1425" s="182" t="n">
        <v>2984</v>
      </c>
      <c r="C1425" s="183" t="n">
        <v>328</v>
      </c>
      <c r="D1425" s="181" t="s">
        <v>2401</v>
      </c>
      <c r="E1425" s="181" t="s">
        <v>1646</v>
      </c>
      <c r="F1425" s="181" t="s">
        <v>1647</v>
      </c>
      <c r="G1425" s="181" t="s">
        <v>3217</v>
      </c>
      <c r="H1425" s="181" t="s">
        <v>279</v>
      </c>
      <c r="I1425" s="181" t="s">
        <v>242</v>
      </c>
      <c r="J1425" s="184" t="n">
        <v>28290</v>
      </c>
      <c r="K1425" s="184" t="n">
        <v>14290</v>
      </c>
      <c r="L1425" s="185" t="n">
        <v>25</v>
      </c>
      <c r="M1425" s="184" t="n">
        <v>14000</v>
      </c>
      <c r="N1425" s="184" t="n">
        <v>10500</v>
      </c>
      <c r="O1425" s="186" t="s">
        <v>3252</v>
      </c>
      <c r="P1425" s="187" t="n">
        <v>45969</v>
      </c>
    </row>
    <row r="1426" customFormat="false" ht="51" hidden="false" customHeight="true" outlineLevel="0" collapsed="false">
      <c r="A1426" s="181" t="s">
        <v>3253</v>
      </c>
      <c r="B1426" s="182" t="n">
        <v>2986</v>
      </c>
      <c r="C1426" s="183" t="n">
        <v>320</v>
      </c>
      <c r="D1426" s="181" t="s">
        <v>2401</v>
      </c>
      <c r="E1426" s="181" t="s">
        <v>391</v>
      </c>
      <c r="F1426" s="181" t="s">
        <v>392</v>
      </c>
      <c r="G1426" s="181" t="s">
        <v>3217</v>
      </c>
      <c r="H1426" s="181" t="s">
        <v>279</v>
      </c>
      <c r="I1426" s="181" t="s">
        <v>242</v>
      </c>
      <c r="J1426" s="184" t="n">
        <v>34810</v>
      </c>
      <c r="K1426" s="184" t="n">
        <v>14650</v>
      </c>
      <c r="L1426" s="185" t="n">
        <v>24</v>
      </c>
      <c r="M1426" s="184" t="n">
        <v>20160</v>
      </c>
      <c r="N1426" s="184" t="n">
        <v>15321.6</v>
      </c>
      <c r="O1426" s="186" t="s">
        <v>3254</v>
      </c>
      <c r="P1426" s="187" t="n">
        <v>45969</v>
      </c>
    </row>
    <row r="1427" customFormat="false" ht="51" hidden="false" customHeight="true" outlineLevel="0" collapsed="false">
      <c r="A1427" s="181" t="s">
        <v>3255</v>
      </c>
      <c r="B1427" s="182" t="n">
        <v>2987</v>
      </c>
      <c r="C1427" s="183" t="n">
        <v>321</v>
      </c>
      <c r="D1427" s="181" t="s">
        <v>2401</v>
      </c>
      <c r="E1427" s="181" t="s">
        <v>529</v>
      </c>
      <c r="F1427" s="181" t="s">
        <v>530</v>
      </c>
      <c r="G1427" s="181" t="s">
        <v>3217</v>
      </c>
      <c r="H1427" s="181" t="s">
        <v>279</v>
      </c>
      <c r="I1427" s="181" t="s">
        <v>242</v>
      </c>
      <c r="J1427" s="184" t="n">
        <v>35670</v>
      </c>
      <c r="K1427" s="184" t="n">
        <v>15010</v>
      </c>
      <c r="L1427" s="185" t="n">
        <v>29</v>
      </c>
      <c r="M1427" s="184" t="n">
        <v>20660</v>
      </c>
      <c r="N1427" s="184" t="n">
        <v>14668.6</v>
      </c>
      <c r="O1427" s="186" t="s">
        <v>3256</v>
      </c>
      <c r="P1427" s="187" t="n">
        <v>45969</v>
      </c>
    </row>
    <row r="1428" customFormat="false" ht="51" hidden="false" customHeight="true" outlineLevel="0" collapsed="false">
      <c r="A1428" s="181" t="s">
        <v>3257</v>
      </c>
      <c r="B1428" s="182" t="n">
        <v>2989</v>
      </c>
      <c r="C1428" s="183" t="n">
        <v>322</v>
      </c>
      <c r="D1428" s="181" t="s">
        <v>2401</v>
      </c>
      <c r="E1428" s="181" t="s">
        <v>292</v>
      </c>
      <c r="F1428" s="181" t="s">
        <v>293</v>
      </c>
      <c r="G1428" s="181" t="s">
        <v>3217</v>
      </c>
      <c r="H1428" s="181" t="s">
        <v>279</v>
      </c>
      <c r="I1428" s="181" t="s">
        <v>242</v>
      </c>
      <c r="J1428" s="184" t="n">
        <v>35450</v>
      </c>
      <c r="K1428" s="184" t="n">
        <v>13920</v>
      </c>
      <c r="L1428" s="185" t="n">
        <v>29</v>
      </c>
      <c r="M1428" s="184" t="n">
        <v>21530</v>
      </c>
      <c r="N1428" s="184" t="n">
        <v>15286.3</v>
      </c>
      <c r="O1428" s="186" t="s">
        <v>3258</v>
      </c>
      <c r="P1428" s="187" t="n">
        <v>45969</v>
      </c>
    </row>
    <row r="1429" customFormat="false" ht="51" hidden="false" customHeight="true" outlineLevel="0" collapsed="false">
      <c r="A1429" s="181" t="s">
        <v>3259</v>
      </c>
      <c r="B1429" s="182" t="n">
        <v>2990</v>
      </c>
      <c r="C1429" s="183" t="n">
        <v>323</v>
      </c>
      <c r="D1429" s="181" t="s">
        <v>2401</v>
      </c>
      <c r="E1429" s="181" t="s">
        <v>266</v>
      </c>
      <c r="F1429" s="181" t="s">
        <v>267</v>
      </c>
      <c r="G1429" s="181" t="s">
        <v>3217</v>
      </c>
      <c r="H1429" s="181" t="s">
        <v>279</v>
      </c>
      <c r="I1429" s="181" t="s">
        <v>242</v>
      </c>
      <c r="J1429" s="184" t="n">
        <v>38240</v>
      </c>
      <c r="K1429" s="184" t="n">
        <v>15010</v>
      </c>
      <c r="L1429" s="185" t="n">
        <v>25</v>
      </c>
      <c r="M1429" s="184" t="n">
        <v>23230</v>
      </c>
      <c r="N1429" s="184" t="n">
        <v>17422.5</v>
      </c>
      <c r="O1429" s="186" t="s">
        <v>3260</v>
      </c>
      <c r="P1429" s="187" t="n">
        <v>45969</v>
      </c>
    </row>
    <row r="1430" customFormat="false" ht="51" hidden="false" customHeight="true" outlineLevel="0" collapsed="false">
      <c r="A1430" s="181" t="s">
        <v>3261</v>
      </c>
      <c r="B1430" s="182" t="n">
        <v>2991</v>
      </c>
      <c r="C1430" s="183" t="n">
        <v>324</v>
      </c>
      <c r="D1430" s="181" t="s">
        <v>2401</v>
      </c>
      <c r="E1430" s="181" t="s">
        <v>576</v>
      </c>
      <c r="F1430" s="181" t="s">
        <v>577</v>
      </c>
      <c r="G1430" s="181" t="s">
        <v>3217</v>
      </c>
      <c r="H1430" s="181" t="s">
        <v>279</v>
      </c>
      <c r="I1430" s="181" t="s">
        <v>242</v>
      </c>
      <c r="J1430" s="184" t="n">
        <v>37440</v>
      </c>
      <c r="K1430" s="184" t="n">
        <v>14610</v>
      </c>
      <c r="L1430" s="185" t="n">
        <v>32</v>
      </c>
      <c r="M1430" s="184" t="n">
        <v>22830</v>
      </c>
      <c r="N1430" s="184" t="n">
        <v>15524.4</v>
      </c>
      <c r="O1430" s="186" t="s">
        <v>3262</v>
      </c>
      <c r="P1430" s="187" t="n">
        <v>45969</v>
      </c>
    </row>
    <row r="1431" customFormat="false" ht="51" hidden="false" customHeight="true" outlineLevel="0" collapsed="false">
      <c r="A1431" s="181" t="s">
        <v>3263</v>
      </c>
      <c r="B1431" s="182" t="n">
        <v>2992</v>
      </c>
      <c r="C1431" s="183" t="n">
        <v>325</v>
      </c>
      <c r="D1431" s="181" t="s">
        <v>2401</v>
      </c>
      <c r="E1431" s="181" t="s">
        <v>261</v>
      </c>
      <c r="F1431" s="181" t="s">
        <v>262</v>
      </c>
      <c r="G1431" s="181" t="s">
        <v>3217</v>
      </c>
      <c r="H1431" s="181" t="s">
        <v>279</v>
      </c>
      <c r="I1431" s="181" t="s">
        <v>242</v>
      </c>
      <c r="J1431" s="184" t="n">
        <v>37700</v>
      </c>
      <c r="K1431" s="184" t="n">
        <v>15250</v>
      </c>
      <c r="L1431" s="185" t="n">
        <v>35</v>
      </c>
      <c r="M1431" s="184" t="n">
        <v>22450</v>
      </c>
      <c r="N1431" s="184" t="n">
        <v>14592.5</v>
      </c>
      <c r="O1431" s="186" t="s">
        <v>3264</v>
      </c>
      <c r="P1431" s="187" t="n">
        <v>45969</v>
      </c>
    </row>
    <row r="1432" customFormat="false" ht="51" hidden="false" customHeight="true" outlineLevel="0" collapsed="false">
      <c r="A1432" s="181" t="s">
        <v>3265</v>
      </c>
      <c r="B1432" s="182" t="n">
        <v>2993</v>
      </c>
      <c r="C1432" s="183" t="n">
        <v>326</v>
      </c>
      <c r="D1432" s="181" t="s">
        <v>2401</v>
      </c>
      <c r="E1432" s="181" t="s">
        <v>282</v>
      </c>
      <c r="F1432" s="181" t="s">
        <v>283</v>
      </c>
      <c r="G1432" s="181" t="s">
        <v>3217</v>
      </c>
      <c r="H1432" s="181" t="s">
        <v>279</v>
      </c>
      <c r="I1432" s="181" t="s">
        <v>242</v>
      </c>
      <c r="J1432" s="184" t="n">
        <v>38530</v>
      </c>
      <c r="K1432" s="184" t="n">
        <v>15180</v>
      </c>
      <c r="L1432" s="185" t="n">
        <v>23</v>
      </c>
      <c r="M1432" s="184" t="n">
        <v>23350</v>
      </c>
      <c r="N1432" s="184" t="n">
        <v>17979.5</v>
      </c>
      <c r="O1432" s="186" t="s">
        <v>3266</v>
      </c>
      <c r="P1432" s="187" t="n">
        <v>45969</v>
      </c>
    </row>
    <row r="1433" customFormat="false" ht="51" hidden="false" customHeight="true" outlineLevel="0" collapsed="false">
      <c r="A1433" s="181" t="s">
        <v>3267</v>
      </c>
      <c r="B1433" s="182" t="n">
        <v>2994</v>
      </c>
      <c r="C1433" s="183" t="n">
        <v>327</v>
      </c>
      <c r="D1433" s="181" t="s">
        <v>2401</v>
      </c>
      <c r="E1433" s="181" t="s">
        <v>332</v>
      </c>
      <c r="F1433" s="181" t="s">
        <v>333</v>
      </c>
      <c r="G1433" s="181" t="s">
        <v>3217</v>
      </c>
      <c r="H1433" s="181" t="s">
        <v>279</v>
      </c>
      <c r="I1433" s="181" t="s">
        <v>242</v>
      </c>
      <c r="J1433" s="184" t="n">
        <v>38760</v>
      </c>
      <c r="K1433" s="184" t="n">
        <v>15000</v>
      </c>
      <c r="L1433" s="185" t="n">
        <v>38</v>
      </c>
      <c r="M1433" s="184" t="n">
        <v>23760</v>
      </c>
      <c r="N1433" s="184" t="n">
        <v>14731.2</v>
      </c>
      <c r="O1433" s="186" t="s">
        <v>3268</v>
      </c>
      <c r="P1433" s="187" t="n">
        <v>45970</v>
      </c>
    </row>
    <row r="1434" customFormat="false" ht="51" hidden="false" customHeight="true" outlineLevel="0" collapsed="false">
      <c r="A1434" s="181" t="s">
        <v>3269</v>
      </c>
      <c r="B1434" s="182" t="n">
        <v>2995</v>
      </c>
      <c r="C1434" s="183" t="n">
        <v>329</v>
      </c>
      <c r="D1434" s="181" t="s">
        <v>2401</v>
      </c>
      <c r="E1434" s="181" t="s">
        <v>582</v>
      </c>
      <c r="F1434" s="181" t="s">
        <v>583</v>
      </c>
      <c r="G1434" s="181" t="s">
        <v>3217</v>
      </c>
      <c r="H1434" s="181" t="s">
        <v>279</v>
      </c>
      <c r="I1434" s="181" t="s">
        <v>242</v>
      </c>
      <c r="J1434" s="184" t="n">
        <v>40920</v>
      </c>
      <c r="K1434" s="184" t="n">
        <v>14930</v>
      </c>
      <c r="L1434" s="185" t="n">
        <v>24</v>
      </c>
      <c r="M1434" s="184" t="n">
        <v>25990</v>
      </c>
      <c r="N1434" s="184" t="n">
        <v>19752.4</v>
      </c>
      <c r="O1434" s="186" t="s">
        <v>3270</v>
      </c>
      <c r="P1434" s="187" t="n">
        <v>45970</v>
      </c>
    </row>
    <row r="1435" customFormat="false" ht="51" hidden="false" customHeight="true" outlineLevel="0" collapsed="false">
      <c r="A1435" s="181" t="s">
        <v>3271</v>
      </c>
      <c r="B1435" s="182" t="n">
        <v>2996</v>
      </c>
      <c r="C1435" s="183" t="n">
        <v>330</v>
      </c>
      <c r="D1435" s="181" t="s">
        <v>2401</v>
      </c>
      <c r="E1435" s="181" t="s">
        <v>272</v>
      </c>
      <c r="F1435" s="181" t="s">
        <v>273</v>
      </c>
      <c r="G1435" s="181" t="s">
        <v>3217</v>
      </c>
      <c r="H1435" s="181" t="s">
        <v>279</v>
      </c>
      <c r="I1435" s="181" t="s">
        <v>242</v>
      </c>
      <c r="J1435" s="184" t="n">
        <v>39980</v>
      </c>
      <c r="K1435" s="184" t="n">
        <v>15730</v>
      </c>
      <c r="L1435" s="185" t="n">
        <v>23</v>
      </c>
      <c r="M1435" s="184" t="n">
        <v>24250</v>
      </c>
      <c r="N1435" s="184" t="n">
        <v>18672.5</v>
      </c>
      <c r="O1435" s="186" t="s">
        <v>3272</v>
      </c>
      <c r="P1435" s="187" t="n">
        <v>45970</v>
      </c>
    </row>
    <row r="1436" customFormat="false" ht="51" hidden="false" customHeight="true" outlineLevel="0" collapsed="false">
      <c r="A1436" s="181" t="s">
        <v>3273</v>
      </c>
      <c r="B1436" s="182" t="n">
        <v>2997</v>
      </c>
      <c r="C1436" s="183" t="n">
        <v>332</v>
      </c>
      <c r="D1436" s="181" t="s">
        <v>2401</v>
      </c>
      <c r="E1436" s="181" t="s">
        <v>367</v>
      </c>
      <c r="F1436" s="181" t="s">
        <v>368</v>
      </c>
      <c r="G1436" s="181" t="s">
        <v>3217</v>
      </c>
      <c r="H1436" s="181" t="s">
        <v>279</v>
      </c>
      <c r="I1436" s="181" t="s">
        <v>242</v>
      </c>
      <c r="J1436" s="184" t="n">
        <v>49950</v>
      </c>
      <c r="K1436" s="184" t="n">
        <v>18900</v>
      </c>
      <c r="L1436" s="185" t="n">
        <v>28</v>
      </c>
      <c r="M1436" s="184" t="n">
        <v>31050</v>
      </c>
      <c r="N1436" s="184" t="n">
        <v>22356</v>
      </c>
      <c r="O1436" s="186" t="s">
        <v>3274</v>
      </c>
      <c r="P1436" s="187" t="n">
        <v>45970</v>
      </c>
    </row>
    <row r="1437" customFormat="false" ht="51" hidden="false" customHeight="true" outlineLevel="0" collapsed="false">
      <c r="A1437" s="181" t="s">
        <v>3275</v>
      </c>
      <c r="B1437" s="182" t="n">
        <v>2998</v>
      </c>
      <c r="C1437" s="183" t="n">
        <v>331</v>
      </c>
      <c r="D1437" s="181" t="s">
        <v>2401</v>
      </c>
      <c r="E1437" s="181" t="s">
        <v>300</v>
      </c>
      <c r="F1437" s="181" t="s">
        <v>301</v>
      </c>
      <c r="G1437" s="181" t="s">
        <v>3217</v>
      </c>
      <c r="H1437" s="181" t="s">
        <v>279</v>
      </c>
      <c r="I1437" s="181" t="s">
        <v>242</v>
      </c>
      <c r="J1437" s="184" t="n">
        <v>61810</v>
      </c>
      <c r="K1437" s="184" t="n">
        <v>21330</v>
      </c>
      <c r="L1437" s="185" t="n">
        <v>23</v>
      </c>
      <c r="M1437" s="184" t="n">
        <v>40480</v>
      </c>
      <c r="N1437" s="184" t="n">
        <v>31169.6</v>
      </c>
      <c r="O1437" s="186" t="s">
        <v>3276</v>
      </c>
      <c r="P1437" s="187" t="n">
        <v>45970</v>
      </c>
    </row>
    <row r="1438" customFormat="false" ht="51" hidden="false" customHeight="true" outlineLevel="0" collapsed="false">
      <c r="A1438" s="181" t="s">
        <v>3277</v>
      </c>
      <c r="B1438" s="182" t="n">
        <v>2999</v>
      </c>
      <c r="C1438" s="183" t="n">
        <v>333</v>
      </c>
      <c r="D1438" s="181" t="s">
        <v>2401</v>
      </c>
      <c r="E1438" s="181" t="s">
        <v>2351</v>
      </c>
      <c r="F1438" s="181" t="s">
        <v>2352</v>
      </c>
      <c r="G1438" s="181" t="s">
        <v>3217</v>
      </c>
      <c r="H1438" s="181" t="s">
        <v>279</v>
      </c>
      <c r="I1438" s="181" t="s">
        <v>242</v>
      </c>
      <c r="J1438" s="184" t="n">
        <v>44980</v>
      </c>
      <c r="K1438" s="184" t="n">
        <v>17590</v>
      </c>
      <c r="L1438" s="185" t="n">
        <v>37</v>
      </c>
      <c r="M1438" s="184" t="n">
        <v>27390</v>
      </c>
      <c r="N1438" s="184" t="n">
        <v>17255.7</v>
      </c>
      <c r="O1438" s="186" t="s">
        <v>3278</v>
      </c>
      <c r="P1438" s="187" t="n">
        <v>45970</v>
      </c>
    </row>
    <row r="1439" customFormat="false" ht="51" hidden="false" customHeight="true" outlineLevel="0" collapsed="false">
      <c r="A1439" s="181" t="s">
        <v>3279</v>
      </c>
      <c r="B1439" s="182" t="n">
        <v>3000</v>
      </c>
      <c r="C1439" s="183" t="n">
        <v>334</v>
      </c>
      <c r="D1439" s="181" t="s">
        <v>2401</v>
      </c>
      <c r="E1439" s="181" t="s">
        <v>277</v>
      </c>
      <c r="F1439" s="181" t="s">
        <v>278</v>
      </c>
      <c r="G1439" s="181" t="s">
        <v>3217</v>
      </c>
      <c r="H1439" s="181" t="s">
        <v>279</v>
      </c>
      <c r="I1439" s="181" t="s">
        <v>242</v>
      </c>
      <c r="J1439" s="184" t="n">
        <v>40940</v>
      </c>
      <c r="K1439" s="184" t="n">
        <v>15200</v>
      </c>
      <c r="L1439" s="185" t="n">
        <v>39</v>
      </c>
      <c r="M1439" s="184" t="n">
        <v>25740</v>
      </c>
      <c r="N1439" s="184" t="n">
        <v>15701.4</v>
      </c>
      <c r="O1439" s="186" t="s">
        <v>3280</v>
      </c>
      <c r="P1439" s="187" t="n">
        <v>45970</v>
      </c>
    </row>
    <row r="1440" customFormat="false" ht="51" hidden="false" customHeight="true" outlineLevel="0" collapsed="false">
      <c r="A1440" s="181" t="s">
        <v>3281</v>
      </c>
      <c r="B1440" s="182" t="n">
        <v>3001</v>
      </c>
      <c r="C1440" s="183" t="n">
        <v>335</v>
      </c>
      <c r="D1440" s="181" t="s">
        <v>2401</v>
      </c>
      <c r="E1440" s="181" t="s">
        <v>336</v>
      </c>
      <c r="F1440" s="181" t="s">
        <v>337</v>
      </c>
      <c r="G1440" s="181" t="s">
        <v>3217</v>
      </c>
      <c r="H1440" s="181" t="s">
        <v>279</v>
      </c>
      <c r="I1440" s="181" t="s">
        <v>242</v>
      </c>
      <c r="J1440" s="184" t="n">
        <v>38080</v>
      </c>
      <c r="K1440" s="184" t="n">
        <v>14600</v>
      </c>
      <c r="L1440" s="185" t="n">
        <v>34</v>
      </c>
      <c r="M1440" s="184" t="n">
        <v>23480</v>
      </c>
      <c r="N1440" s="184" t="n">
        <v>15496.8</v>
      </c>
      <c r="O1440" s="186" t="s">
        <v>3282</v>
      </c>
      <c r="P1440" s="187" t="n">
        <v>45970</v>
      </c>
    </row>
    <row r="1441" customFormat="false" ht="51" hidden="false" customHeight="true" outlineLevel="0" collapsed="false">
      <c r="A1441" s="181" t="s">
        <v>3283</v>
      </c>
      <c r="B1441" s="182" t="n">
        <v>3002</v>
      </c>
      <c r="C1441" s="183" t="n">
        <v>336</v>
      </c>
      <c r="D1441" s="181" t="s">
        <v>2401</v>
      </c>
      <c r="E1441" s="181" t="s">
        <v>340</v>
      </c>
      <c r="F1441" s="181" t="s">
        <v>341</v>
      </c>
      <c r="G1441" s="181" t="s">
        <v>3217</v>
      </c>
      <c r="H1441" s="181" t="s">
        <v>279</v>
      </c>
      <c r="I1441" s="181" t="s">
        <v>242</v>
      </c>
      <c r="J1441" s="184" t="n">
        <v>38030</v>
      </c>
      <c r="K1441" s="184" t="n">
        <v>15230</v>
      </c>
      <c r="L1441" s="185" t="n">
        <v>27</v>
      </c>
      <c r="M1441" s="184" t="n">
        <v>22800</v>
      </c>
      <c r="N1441" s="184" t="n">
        <v>16644</v>
      </c>
      <c r="O1441" s="186" t="s">
        <v>3284</v>
      </c>
      <c r="P1441" s="187" t="n">
        <v>45970</v>
      </c>
    </row>
    <row r="1442" customFormat="false" ht="51" hidden="false" customHeight="true" outlineLevel="0" collapsed="false">
      <c r="A1442" s="181" t="s">
        <v>3285</v>
      </c>
      <c r="B1442" s="182" t="n">
        <v>3003</v>
      </c>
      <c r="C1442" s="183" t="n">
        <v>337</v>
      </c>
      <c r="D1442" s="181" t="s">
        <v>2401</v>
      </c>
      <c r="E1442" s="181" t="s">
        <v>308</v>
      </c>
      <c r="F1442" s="181" t="s">
        <v>309</v>
      </c>
      <c r="G1442" s="181" t="s">
        <v>3217</v>
      </c>
      <c r="H1442" s="181" t="s">
        <v>279</v>
      </c>
      <c r="I1442" s="181" t="s">
        <v>242</v>
      </c>
      <c r="J1442" s="184" t="n">
        <v>62190</v>
      </c>
      <c r="K1442" s="184" t="n">
        <v>24320</v>
      </c>
      <c r="L1442" s="185" t="n">
        <v>23</v>
      </c>
      <c r="M1442" s="184" t="n">
        <v>37870</v>
      </c>
      <c r="N1442" s="184" t="n">
        <v>29159.9</v>
      </c>
      <c r="O1442" s="186" t="s">
        <v>3286</v>
      </c>
      <c r="P1442" s="187" t="n">
        <v>45970</v>
      </c>
    </row>
    <row r="1443" customFormat="false" ht="51" hidden="false" customHeight="true" outlineLevel="0" collapsed="false">
      <c r="A1443" s="181" t="s">
        <v>3287</v>
      </c>
      <c r="B1443" s="182" t="n">
        <v>3004</v>
      </c>
      <c r="C1443" s="183" t="n">
        <v>338</v>
      </c>
      <c r="D1443" s="181" t="s">
        <v>2401</v>
      </c>
      <c r="E1443" s="181" t="s">
        <v>350</v>
      </c>
      <c r="F1443" s="181" t="s">
        <v>351</v>
      </c>
      <c r="G1443" s="181" t="s">
        <v>3217</v>
      </c>
      <c r="H1443" s="181" t="s">
        <v>279</v>
      </c>
      <c r="I1443" s="181" t="s">
        <v>242</v>
      </c>
      <c r="J1443" s="184" t="n">
        <v>41780</v>
      </c>
      <c r="K1443" s="184" t="n">
        <v>15240</v>
      </c>
      <c r="L1443" s="185" t="n">
        <v>18</v>
      </c>
      <c r="M1443" s="184" t="n">
        <v>26540</v>
      </c>
      <c r="N1443" s="184" t="n">
        <v>21762.8</v>
      </c>
      <c r="O1443" s="186" t="s">
        <v>3288</v>
      </c>
      <c r="P1443" s="187" t="n">
        <v>45970</v>
      </c>
    </row>
    <row r="1444" customFormat="false" ht="51" hidden="false" customHeight="true" outlineLevel="0" collapsed="false">
      <c r="A1444" s="181" t="s">
        <v>3289</v>
      </c>
      <c r="B1444" s="182" t="n">
        <v>3005</v>
      </c>
      <c r="C1444" s="183" t="n">
        <v>339</v>
      </c>
      <c r="D1444" s="181" t="s">
        <v>2401</v>
      </c>
      <c r="E1444" s="181" t="s">
        <v>377</v>
      </c>
      <c r="F1444" s="181" t="s">
        <v>378</v>
      </c>
      <c r="G1444" s="181" t="s">
        <v>3217</v>
      </c>
      <c r="H1444" s="181" t="s">
        <v>279</v>
      </c>
      <c r="I1444" s="181" t="s">
        <v>242</v>
      </c>
      <c r="J1444" s="184" t="n">
        <v>43500</v>
      </c>
      <c r="K1444" s="184" t="n">
        <v>15920</v>
      </c>
      <c r="L1444" s="185" t="n">
        <v>23</v>
      </c>
      <c r="M1444" s="184" t="n">
        <v>27580</v>
      </c>
      <c r="N1444" s="184" t="n">
        <v>21236.6</v>
      </c>
      <c r="O1444" s="186" t="s">
        <v>3290</v>
      </c>
      <c r="P1444" s="187" t="n">
        <v>45970</v>
      </c>
    </row>
    <row r="1445" customFormat="false" ht="51" hidden="false" customHeight="true" outlineLevel="0" collapsed="false">
      <c r="A1445" s="181" t="s">
        <v>3291</v>
      </c>
      <c r="B1445" s="182" t="n">
        <v>3006</v>
      </c>
      <c r="C1445" s="183" t="n">
        <v>340</v>
      </c>
      <c r="D1445" s="181" t="s">
        <v>2401</v>
      </c>
      <c r="E1445" s="181" t="s">
        <v>373</v>
      </c>
      <c r="F1445" s="181" t="s">
        <v>374</v>
      </c>
      <c r="G1445" s="181" t="s">
        <v>3217</v>
      </c>
      <c r="H1445" s="181" t="s">
        <v>279</v>
      </c>
      <c r="I1445" s="181" t="s">
        <v>242</v>
      </c>
      <c r="J1445" s="184" t="n">
        <v>41930</v>
      </c>
      <c r="K1445" s="184" t="n">
        <v>14610</v>
      </c>
      <c r="L1445" s="185" t="n">
        <v>19</v>
      </c>
      <c r="M1445" s="184" t="n">
        <v>27320</v>
      </c>
      <c r="N1445" s="184" t="n">
        <v>22129.2</v>
      </c>
      <c r="O1445" s="186" t="s">
        <v>3292</v>
      </c>
      <c r="P1445" s="187" t="n">
        <v>45970</v>
      </c>
    </row>
    <row r="1446" customFormat="false" ht="51" hidden="false" customHeight="true" outlineLevel="0" collapsed="false">
      <c r="A1446" s="181" t="s">
        <v>3293</v>
      </c>
      <c r="B1446" s="182" t="n">
        <v>3008</v>
      </c>
      <c r="C1446" s="183" t="n">
        <v>341</v>
      </c>
      <c r="D1446" s="181" t="s">
        <v>2401</v>
      </c>
      <c r="E1446" s="181" t="s">
        <v>383</v>
      </c>
      <c r="F1446" s="181" t="s">
        <v>384</v>
      </c>
      <c r="G1446" s="181" t="s">
        <v>3217</v>
      </c>
      <c r="H1446" s="181" t="s">
        <v>279</v>
      </c>
      <c r="I1446" s="181" t="s">
        <v>242</v>
      </c>
      <c r="J1446" s="184" t="n">
        <v>40410</v>
      </c>
      <c r="K1446" s="184" t="n">
        <v>15120</v>
      </c>
      <c r="L1446" s="185" t="n">
        <v>21</v>
      </c>
      <c r="M1446" s="184" t="n">
        <v>25290</v>
      </c>
      <c r="N1446" s="184" t="n">
        <v>19979.1</v>
      </c>
      <c r="O1446" s="186" t="s">
        <v>3294</v>
      </c>
      <c r="P1446" s="187" t="n">
        <v>45970</v>
      </c>
    </row>
    <row r="1447" customFormat="false" ht="51" hidden="false" customHeight="true" outlineLevel="0" collapsed="false">
      <c r="A1447" s="181" t="s">
        <v>3295</v>
      </c>
      <c r="B1447" s="182" t="n">
        <v>3009</v>
      </c>
      <c r="C1447" s="183" t="n">
        <v>342</v>
      </c>
      <c r="D1447" s="181" t="s">
        <v>2401</v>
      </c>
      <c r="E1447" s="181" t="s">
        <v>387</v>
      </c>
      <c r="F1447" s="181" t="s">
        <v>388</v>
      </c>
      <c r="G1447" s="181" t="s">
        <v>3217</v>
      </c>
      <c r="H1447" s="181" t="s">
        <v>279</v>
      </c>
      <c r="I1447" s="181" t="s">
        <v>242</v>
      </c>
      <c r="J1447" s="184" t="n">
        <v>44030</v>
      </c>
      <c r="K1447" s="184" t="n">
        <v>15320</v>
      </c>
      <c r="L1447" s="185" t="n">
        <v>26</v>
      </c>
      <c r="M1447" s="184" t="n">
        <v>28710</v>
      </c>
      <c r="N1447" s="184" t="n">
        <v>21245.4</v>
      </c>
      <c r="O1447" s="186" t="s">
        <v>3296</v>
      </c>
      <c r="P1447" s="187" t="n">
        <v>45970</v>
      </c>
    </row>
    <row r="1448" customFormat="false" ht="51" hidden="false" customHeight="true" outlineLevel="0" collapsed="false">
      <c r="A1448" s="181" t="s">
        <v>3297</v>
      </c>
      <c r="B1448" s="182" t="n">
        <v>3010</v>
      </c>
      <c r="C1448" s="183" t="n">
        <v>343</v>
      </c>
      <c r="D1448" s="181" t="s">
        <v>2401</v>
      </c>
      <c r="E1448" s="181" t="s">
        <v>399</v>
      </c>
      <c r="F1448" s="181" t="s">
        <v>400</v>
      </c>
      <c r="G1448" s="181" t="s">
        <v>3217</v>
      </c>
      <c r="H1448" s="181" t="s">
        <v>279</v>
      </c>
      <c r="I1448" s="181" t="s">
        <v>242</v>
      </c>
      <c r="J1448" s="184" t="n">
        <v>52560</v>
      </c>
      <c r="K1448" s="184" t="n">
        <v>19660</v>
      </c>
      <c r="L1448" s="185" t="n">
        <v>40</v>
      </c>
      <c r="M1448" s="184" t="n">
        <v>32900</v>
      </c>
      <c r="N1448" s="184" t="n">
        <v>19740</v>
      </c>
      <c r="O1448" s="186" t="s">
        <v>3298</v>
      </c>
      <c r="P1448" s="187" t="n">
        <v>45970</v>
      </c>
    </row>
    <row r="1449" customFormat="false" ht="51" hidden="false" customHeight="true" outlineLevel="0" collapsed="false">
      <c r="A1449" s="181" t="s">
        <v>3299</v>
      </c>
      <c r="B1449" s="182" t="n">
        <v>3011</v>
      </c>
      <c r="C1449" s="183" t="n">
        <v>344</v>
      </c>
      <c r="D1449" s="181" t="s">
        <v>2401</v>
      </c>
      <c r="E1449" s="181" t="s">
        <v>409</v>
      </c>
      <c r="F1449" s="181" t="s">
        <v>410</v>
      </c>
      <c r="G1449" s="181" t="s">
        <v>3217</v>
      </c>
      <c r="H1449" s="181" t="s">
        <v>279</v>
      </c>
      <c r="I1449" s="181" t="s">
        <v>242</v>
      </c>
      <c r="J1449" s="184" t="n">
        <v>65320</v>
      </c>
      <c r="K1449" s="184" t="n">
        <v>24720</v>
      </c>
      <c r="L1449" s="185" t="n">
        <v>17</v>
      </c>
      <c r="M1449" s="184" t="n">
        <v>40600</v>
      </c>
      <c r="N1449" s="184" t="n">
        <v>33698</v>
      </c>
      <c r="O1449" s="186" t="s">
        <v>3300</v>
      </c>
      <c r="P1449" s="187" t="n">
        <v>45970</v>
      </c>
    </row>
    <row r="1450" customFormat="false" ht="51" hidden="false" customHeight="true" outlineLevel="0" collapsed="false">
      <c r="A1450" s="197" t="s">
        <v>3301</v>
      </c>
      <c r="B1450" s="198" t="n">
        <v>2932</v>
      </c>
      <c r="C1450" s="199" t="n">
        <v>8336</v>
      </c>
      <c r="D1450" s="197" t="s">
        <v>2066</v>
      </c>
      <c r="E1450" s="197" t="s">
        <v>413</v>
      </c>
      <c r="F1450" s="197" t="s">
        <v>414</v>
      </c>
      <c r="G1450" s="197" t="s">
        <v>3334</v>
      </c>
      <c r="H1450" s="197" t="s">
        <v>158</v>
      </c>
      <c r="I1450" s="197" t="s">
        <v>241</v>
      </c>
      <c r="J1450" s="200" t="n">
        <v>49130</v>
      </c>
      <c r="K1450" s="200" t="n">
        <v>15960</v>
      </c>
      <c r="L1450" s="201" t="n">
        <v>19</v>
      </c>
      <c r="M1450" s="200" t="n">
        <v>28130</v>
      </c>
      <c r="N1450" s="200" t="n">
        <v>22785.3</v>
      </c>
      <c r="O1450" s="202" t="s">
        <v>3302</v>
      </c>
      <c r="P1450" s="203" t="n">
        <v>45966</v>
      </c>
    </row>
    <row r="1451" customFormat="false" ht="51" hidden="false" customHeight="true" outlineLevel="0" collapsed="false">
      <c r="A1451" s="181" t="s">
        <v>3303</v>
      </c>
      <c r="B1451" s="182" t="n">
        <v>3012</v>
      </c>
      <c r="C1451" s="183" t="n">
        <v>345</v>
      </c>
      <c r="D1451" s="181" t="s">
        <v>2401</v>
      </c>
      <c r="E1451" s="181" t="s">
        <v>413</v>
      </c>
      <c r="F1451" s="181" t="s">
        <v>414</v>
      </c>
      <c r="G1451" s="181" t="s">
        <v>3217</v>
      </c>
      <c r="H1451" s="181" t="s">
        <v>279</v>
      </c>
      <c r="I1451" s="181" t="s">
        <v>242</v>
      </c>
      <c r="J1451" s="184" t="n">
        <v>46980</v>
      </c>
      <c r="K1451" s="184" t="n">
        <v>16090</v>
      </c>
      <c r="L1451" s="185" t="n">
        <v>26</v>
      </c>
      <c r="M1451" s="184" t="n">
        <v>30890</v>
      </c>
      <c r="N1451" s="184" t="n">
        <v>22858.6</v>
      </c>
      <c r="O1451" s="186" t="s">
        <v>3304</v>
      </c>
      <c r="P1451" s="187" t="n">
        <v>45970</v>
      </c>
    </row>
    <row r="1452" customFormat="false" ht="51" hidden="false" customHeight="true" outlineLevel="0" collapsed="false">
      <c r="A1452" s="181" t="s">
        <v>3305</v>
      </c>
      <c r="B1452" s="182" t="n">
        <v>3013</v>
      </c>
      <c r="C1452" s="183" t="n">
        <v>348</v>
      </c>
      <c r="D1452" s="181" t="s">
        <v>2401</v>
      </c>
      <c r="E1452" s="181" t="s">
        <v>292</v>
      </c>
      <c r="F1452" s="181" t="s">
        <v>293</v>
      </c>
      <c r="G1452" s="181" t="s">
        <v>3217</v>
      </c>
      <c r="H1452" s="181" t="s">
        <v>279</v>
      </c>
      <c r="I1452" s="181" t="s">
        <v>242</v>
      </c>
      <c r="J1452" s="184" t="n">
        <v>35360</v>
      </c>
      <c r="K1452" s="184" t="n">
        <v>13940</v>
      </c>
      <c r="L1452" s="185" t="n">
        <v>33</v>
      </c>
      <c r="M1452" s="184" t="n">
        <v>21420</v>
      </c>
      <c r="N1452" s="184" t="n">
        <v>14351.4</v>
      </c>
      <c r="O1452" s="186" t="s">
        <v>3306</v>
      </c>
      <c r="P1452" s="187" t="n">
        <v>45970</v>
      </c>
    </row>
    <row r="1453" customFormat="false" ht="51" hidden="false" customHeight="true" outlineLevel="0" collapsed="false">
      <c r="A1453" s="181" t="s">
        <v>3307</v>
      </c>
      <c r="B1453" s="182" t="n">
        <v>3014</v>
      </c>
      <c r="C1453" s="183" t="n">
        <v>347</v>
      </c>
      <c r="D1453" s="181" t="s">
        <v>2401</v>
      </c>
      <c r="E1453" s="181" t="s">
        <v>359</v>
      </c>
      <c r="F1453" s="181" t="s">
        <v>360</v>
      </c>
      <c r="G1453" s="181" t="s">
        <v>3217</v>
      </c>
      <c r="H1453" s="181" t="s">
        <v>279</v>
      </c>
      <c r="I1453" s="181" t="s">
        <v>242</v>
      </c>
      <c r="J1453" s="184" t="n">
        <v>37640</v>
      </c>
      <c r="K1453" s="184" t="n">
        <v>15090</v>
      </c>
      <c r="L1453" s="185" t="n">
        <v>47</v>
      </c>
      <c r="M1453" s="184" t="n">
        <v>22550</v>
      </c>
      <c r="N1453" s="184" t="n">
        <v>11951.5</v>
      </c>
      <c r="O1453" s="186" t="s">
        <v>3308</v>
      </c>
      <c r="P1453" s="187" t="n">
        <v>45970</v>
      </c>
    </row>
    <row r="1454" customFormat="false" ht="51" hidden="false" customHeight="true" outlineLevel="0" collapsed="false">
      <c r="A1454" s="181" t="s">
        <v>3309</v>
      </c>
      <c r="B1454" s="182" t="n">
        <v>3015</v>
      </c>
      <c r="C1454" s="183" t="n">
        <v>346</v>
      </c>
      <c r="D1454" s="181" t="s">
        <v>2401</v>
      </c>
      <c r="E1454" s="181" t="s">
        <v>354</v>
      </c>
      <c r="F1454" s="181" t="s">
        <v>355</v>
      </c>
      <c r="G1454" s="181" t="s">
        <v>3217</v>
      </c>
      <c r="H1454" s="181" t="s">
        <v>279</v>
      </c>
      <c r="I1454" s="181" t="s">
        <v>242</v>
      </c>
      <c r="J1454" s="184" t="n">
        <v>37810</v>
      </c>
      <c r="K1454" s="184" t="n">
        <v>14970</v>
      </c>
      <c r="L1454" s="185" t="n">
        <v>36</v>
      </c>
      <c r="M1454" s="184" t="n">
        <v>22840</v>
      </c>
      <c r="N1454" s="184" t="n">
        <v>14617.6</v>
      </c>
      <c r="O1454" s="186" t="s">
        <v>3310</v>
      </c>
      <c r="P1454" s="187" t="n">
        <v>45970</v>
      </c>
    </row>
    <row r="1455" customFormat="false" ht="51" hidden="false" customHeight="true" outlineLevel="0" collapsed="false">
      <c r="A1455" s="181" t="s">
        <v>3311</v>
      </c>
      <c r="B1455" s="182" t="n">
        <v>3016</v>
      </c>
      <c r="C1455" s="183" t="n">
        <v>349</v>
      </c>
      <c r="D1455" s="181" t="s">
        <v>2401</v>
      </c>
      <c r="E1455" s="181" t="s">
        <v>529</v>
      </c>
      <c r="F1455" s="181" t="s">
        <v>530</v>
      </c>
      <c r="G1455" s="181" t="s">
        <v>3217</v>
      </c>
      <c r="H1455" s="181" t="s">
        <v>279</v>
      </c>
      <c r="I1455" s="181" t="s">
        <v>242</v>
      </c>
      <c r="J1455" s="184" t="n">
        <v>36200</v>
      </c>
      <c r="K1455" s="184" t="n">
        <v>14980</v>
      </c>
      <c r="L1455" s="185" t="n">
        <v>39</v>
      </c>
      <c r="M1455" s="184" t="n">
        <v>21220</v>
      </c>
      <c r="N1455" s="184" t="n">
        <v>12944.2</v>
      </c>
      <c r="O1455" s="186" t="s">
        <v>3312</v>
      </c>
      <c r="P1455" s="187" t="n">
        <v>45970</v>
      </c>
    </row>
    <row r="1456" customFormat="false" ht="51" hidden="false" customHeight="true" outlineLevel="0" collapsed="false">
      <c r="A1456" s="181" t="s">
        <v>3313</v>
      </c>
      <c r="B1456" s="182" t="n">
        <v>3017</v>
      </c>
      <c r="C1456" s="183" t="n">
        <v>350</v>
      </c>
      <c r="D1456" s="181" t="s">
        <v>2401</v>
      </c>
      <c r="E1456" s="181" t="s">
        <v>391</v>
      </c>
      <c r="F1456" s="181" t="s">
        <v>392</v>
      </c>
      <c r="G1456" s="181" t="s">
        <v>3217</v>
      </c>
      <c r="H1456" s="181" t="s">
        <v>279</v>
      </c>
      <c r="I1456" s="181" t="s">
        <v>242</v>
      </c>
      <c r="J1456" s="184" t="n">
        <v>34090</v>
      </c>
      <c r="K1456" s="184" t="n">
        <v>14640</v>
      </c>
      <c r="L1456" s="185" t="n">
        <v>43</v>
      </c>
      <c r="M1456" s="184" t="n">
        <v>19450</v>
      </c>
      <c r="N1456" s="184" t="n">
        <v>11086.5</v>
      </c>
      <c r="O1456" s="186" t="s">
        <v>3314</v>
      </c>
      <c r="P1456" s="187" t="n">
        <v>45970</v>
      </c>
    </row>
    <row r="1457" customFormat="false" ht="51" hidden="false" customHeight="true" outlineLevel="0" collapsed="false">
      <c r="A1457" s="181" t="s">
        <v>3315</v>
      </c>
      <c r="B1457" s="182" t="n">
        <v>3018</v>
      </c>
      <c r="C1457" s="183" t="n">
        <v>351</v>
      </c>
      <c r="D1457" s="181" t="s">
        <v>2401</v>
      </c>
      <c r="E1457" s="181" t="s">
        <v>367</v>
      </c>
      <c r="F1457" s="181" t="s">
        <v>368</v>
      </c>
      <c r="G1457" s="181" t="s">
        <v>3217</v>
      </c>
      <c r="H1457" s="181" t="s">
        <v>279</v>
      </c>
      <c r="I1457" s="181" t="s">
        <v>242</v>
      </c>
      <c r="J1457" s="184" t="n">
        <v>50930</v>
      </c>
      <c r="K1457" s="184" t="n">
        <v>18800</v>
      </c>
      <c r="L1457" s="185" t="n">
        <v>27</v>
      </c>
      <c r="M1457" s="184" t="n">
        <v>32130</v>
      </c>
      <c r="N1457" s="184" t="n">
        <v>23454.9</v>
      </c>
      <c r="O1457" s="186" t="s">
        <v>3316</v>
      </c>
      <c r="P1457" s="187" t="n">
        <v>45970</v>
      </c>
    </row>
    <row r="1458" customFormat="false" ht="51" hidden="false" customHeight="true" outlineLevel="0" collapsed="false">
      <c r="A1458" s="181" t="s">
        <v>3317</v>
      </c>
      <c r="B1458" s="182" t="n">
        <v>3019</v>
      </c>
      <c r="C1458" s="183" t="n">
        <v>353</v>
      </c>
      <c r="D1458" s="181" t="s">
        <v>2401</v>
      </c>
      <c r="E1458" s="181" t="s">
        <v>266</v>
      </c>
      <c r="F1458" s="181" t="s">
        <v>267</v>
      </c>
      <c r="G1458" s="181" t="s">
        <v>3217</v>
      </c>
      <c r="H1458" s="181" t="s">
        <v>279</v>
      </c>
      <c r="I1458" s="181" t="s">
        <v>242</v>
      </c>
      <c r="J1458" s="184" t="n">
        <v>26840</v>
      </c>
      <c r="K1458" s="184" t="n">
        <v>14980</v>
      </c>
      <c r="L1458" s="185" t="n">
        <v>37</v>
      </c>
      <c r="M1458" s="184" t="n">
        <v>11860</v>
      </c>
      <c r="N1458" s="184" t="n">
        <v>7471.8</v>
      </c>
      <c r="O1458" s="186" t="s">
        <v>3318</v>
      </c>
      <c r="P1458" s="187" t="n">
        <v>45970</v>
      </c>
    </row>
    <row r="1459" customFormat="false" ht="51" hidden="false" customHeight="true" outlineLevel="0" collapsed="false">
      <c r="A1459" s="181" t="s">
        <v>3319</v>
      </c>
      <c r="B1459" s="182" t="n">
        <v>3020</v>
      </c>
      <c r="C1459" s="183" t="n">
        <v>352</v>
      </c>
      <c r="D1459" s="181" t="s">
        <v>2401</v>
      </c>
      <c r="E1459" s="181" t="s">
        <v>300</v>
      </c>
      <c r="F1459" s="181" t="s">
        <v>301</v>
      </c>
      <c r="G1459" s="181" t="s">
        <v>3217</v>
      </c>
      <c r="H1459" s="181" t="s">
        <v>279</v>
      </c>
      <c r="I1459" s="181" t="s">
        <v>242</v>
      </c>
      <c r="J1459" s="184" t="n">
        <v>45980</v>
      </c>
      <c r="K1459" s="184" t="n">
        <v>21380</v>
      </c>
      <c r="L1459" s="185" t="n">
        <v>35</v>
      </c>
      <c r="M1459" s="184" t="n">
        <v>24600</v>
      </c>
      <c r="N1459" s="184" t="n">
        <v>15990</v>
      </c>
      <c r="O1459" s="186" t="s">
        <v>3320</v>
      </c>
      <c r="P1459" s="187" t="n">
        <v>45970</v>
      </c>
    </row>
    <row r="1460" customFormat="false" ht="51" hidden="false" customHeight="true" outlineLevel="0" collapsed="false">
      <c r="A1460" s="197" t="s">
        <v>3321</v>
      </c>
      <c r="B1460" s="198" t="n">
        <v>2932</v>
      </c>
      <c r="C1460" s="199" t="n">
        <v>8336</v>
      </c>
      <c r="D1460" s="197" t="s">
        <v>2401</v>
      </c>
      <c r="E1460" s="197" t="s">
        <v>413</v>
      </c>
      <c r="F1460" s="197" t="s">
        <v>414</v>
      </c>
      <c r="G1460" s="197" t="s">
        <v>2715</v>
      </c>
      <c r="H1460" s="197" t="s">
        <v>158</v>
      </c>
      <c r="I1460" s="197" t="s">
        <v>242</v>
      </c>
      <c r="J1460" s="200" t="n">
        <v>49130</v>
      </c>
      <c r="K1460" s="200" t="n">
        <v>15960</v>
      </c>
      <c r="L1460" s="201" t="n">
        <v>19</v>
      </c>
      <c r="M1460" s="200" t="n">
        <v>5040</v>
      </c>
      <c r="N1460" s="200" t="n">
        <v>4082.4</v>
      </c>
      <c r="O1460" s="202" t="s">
        <v>3322</v>
      </c>
      <c r="P1460" s="203" t="n">
        <v>45966</v>
      </c>
    </row>
    <row r="1461" customFormat="false" ht="15" hidden="false" customHeight="false" outlineLevel="0" collapsed="false">
      <c r="A1461" s="181"/>
      <c r="B1461" s="181"/>
      <c r="C1461" s="181"/>
      <c r="D1461" s="181"/>
      <c r="E1461" s="181"/>
      <c r="F1461" s="181"/>
      <c r="G1461" s="181"/>
      <c r="H1461" s="181"/>
      <c r="I1461" s="181"/>
      <c r="J1461" s="186"/>
      <c r="K1461" s="186"/>
      <c r="L1461" s="186"/>
      <c r="M1461" s="184" t="n">
        <f aca="false">SUBTOTAL(109,M2:M1460)</f>
        <v>36342180</v>
      </c>
      <c r="N1461" s="184"/>
      <c r="O1461" s="186"/>
      <c r="P1461" s="18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4"/>
  <sheetViews>
    <sheetView showFormulas="false" showGridLines="false" showRowColHeaders="true" showZeros="true" rightToLeft="false" tabSelected="false" showOutlineSymbols="true" defaultGridColor="true" view="normal" topLeftCell="B1" colorId="64" zoomScale="90" zoomScaleNormal="90" zoomScalePageLayoutView="50" workbookViewId="0">
      <pane xSplit="0" ySplit="1" topLeftCell="A44" activePane="bottomLeft" state="frozen"/>
      <selection pane="topLeft" activeCell="B1" activeCellId="0" sqref="B1"/>
      <selection pane="bottomLeft" activeCell="J69" activeCellId="0" sqref="J69"/>
    </sheetView>
  </sheetViews>
  <sheetFormatPr defaultColWidth="8.859375" defaultRowHeight="11.25" customHeight="true" zeroHeight="false" outlineLevelRow="0" outlineLevelCol="0"/>
  <cols>
    <col collapsed="false" customWidth="true" hidden="false" outlineLevel="0" max="1" min="1" style="204" width="24.71"/>
    <col collapsed="false" customWidth="true" hidden="false" outlineLevel="0" max="2" min="2" style="204" width="15.71"/>
    <col collapsed="false" customWidth="true" hidden="true" outlineLevel="0" max="3" min="3" style="204" width="24.42"/>
    <col collapsed="false" customWidth="true" hidden="true" outlineLevel="0" max="4" min="4" style="204" width="9.42"/>
    <col collapsed="false" customWidth="true" hidden="false" outlineLevel="0" max="5" min="5" style="204" width="10.14"/>
    <col collapsed="false" customWidth="true" hidden="false" outlineLevel="0" max="6" min="6" style="205" width="13.57"/>
    <col collapsed="false" customWidth="true" hidden="false" outlineLevel="0" max="7" min="7" style="205" width="13.42"/>
    <col collapsed="false" customWidth="true" hidden="false" outlineLevel="0" max="8" min="8" style="204" width="7"/>
    <col collapsed="false" customWidth="true" hidden="false" outlineLevel="0" max="9" min="9" style="206" width="9.57"/>
    <col collapsed="false" customWidth="true" hidden="false" outlineLevel="0" max="10" min="10" style="204" width="13.57"/>
    <col collapsed="false" customWidth="true" hidden="false" outlineLevel="0" max="11" min="11" style="204" width="12.15"/>
    <col collapsed="false" customWidth="true" hidden="false" outlineLevel="0" max="12" min="12" style="207" width="10.57"/>
    <col collapsed="false" customWidth="true" hidden="false" outlineLevel="0" max="13" min="13" style="204" width="10.29"/>
    <col collapsed="false" customWidth="true" hidden="false" outlineLevel="0" max="14" min="14" style="208" width="8.71"/>
    <col collapsed="false" customWidth="false" hidden="false" outlineLevel="0" max="15" min="15" style="204" width="8.86"/>
    <col collapsed="false" customWidth="true" hidden="false" outlineLevel="0" max="16" min="16" style="209" width="9.14"/>
    <col collapsed="false" customWidth="true" hidden="false" outlineLevel="0" max="17" min="17" style="206" width="8"/>
    <col collapsed="false" customWidth="true" hidden="false" outlineLevel="0" max="18" min="18" style="206" width="7.42"/>
    <col collapsed="false" customWidth="true" hidden="false" outlineLevel="0" max="19" min="19" style="207" width="10"/>
    <col collapsed="false" customWidth="false" hidden="false" outlineLevel="0" max="20" min="20" style="210" width="8.86"/>
    <col collapsed="false" customWidth="false" hidden="false" outlineLevel="0" max="21" min="21" style="208" width="8.86"/>
    <col collapsed="false" customWidth="false" hidden="false" outlineLevel="0" max="22" min="22" style="210" width="8.86"/>
    <col collapsed="false" customWidth="true" hidden="false" outlineLevel="0" max="23" min="23" style="204" width="21.14"/>
    <col collapsed="false" customWidth="false" hidden="false" outlineLevel="0" max="24" min="24" style="204" width="8.86"/>
    <col collapsed="false" customWidth="true" hidden="false" outlineLevel="0" max="25" min="25" style="204" width="17.42"/>
    <col collapsed="false" customWidth="false" hidden="false" outlineLevel="0" max="16384" min="26" style="204" width="8.86"/>
  </cols>
  <sheetData>
    <row r="1" s="219" customFormat="true" ht="51.75" hidden="false" customHeight="true" outlineLevel="0" collapsed="false">
      <c r="A1" s="211" t="s">
        <v>74</v>
      </c>
      <c r="B1" s="211" t="s">
        <v>75</v>
      </c>
      <c r="C1" s="211" t="s">
        <v>3337</v>
      </c>
      <c r="D1" s="211" t="s">
        <v>3338</v>
      </c>
      <c r="E1" s="211" t="s">
        <v>3339</v>
      </c>
      <c r="F1" s="211" t="s">
        <v>3340</v>
      </c>
      <c r="G1" s="211" t="s">
        <v>3341</v>
      </c>
      <c r="H1" s="211" t="s">
        <v>79</v>
      </c>
      <c r="I1" s="212" t="s">
        <v>3342</v>
      </c>
      <c r="J1" s="211" t="s">
        <v>3343</v>
      </c>
      <c r="K1" s="211" t="s">
        <v>3344</v>
      </c>
      <c r="L1" s="213" t="s">
        <v>3345</v>
      </c>
      <c r="M1" s="214" t="s">
        <v>3346</v>
      </c>
      <c r="N1" s="215" t="s">
        <v>3347</v>
      </c>
      <c r="O1" s="214" t="s">
        <v>3348</v>
      </c>
      <c r="P1" s="216" t="s">
        <v>49</v>
      </c>
      <c r="Q1" s="217" t="s">
        <v>3349</v>
      </c>
      <c r="R1" s="217" t="s">
        <v>3350</v>
      </c>
      <c r="S1" s="213" t="s">
        <v>3351</v>
      </c>
      <c r="T1" s="218" t="s">
        <v>3352</v>
      </c>
      <c r="U1" s="215" t="s">
        <v>3353</v>
      </c>
      <c r="V1" s="218" t="s">
        <v>3354</v>
      </c>
      <c r="W1" s="214" t="s">
        <v>3355</v>
      </c>
    </row>
    <row r="2" customFormat="false" ht="23.25" hidden="false" customHeight="true" outlineLevel="0" collapsed="false">
      <c r="A2" s="220" t="s">
        <v>3356</v>
      </c>
      <c r="B2" s="220" t="s">
        <v>221</v>
      </c>
      <c r="C2" s="221" t="s">
        <v>3357</v>
      </c>
      <c r="D2" s="221" t="s">
        <v>520</v>
      </c>
      <c r="E2" s="221" t="s">
        <v>520</v>
      </c>
      <c r="F2" s="222" t="s">
        <v>3358</v>
      </c>
      <c r="G2" s="223" t="s">
        <v>3359</v>
      </c>
      <c r="H2" s="224" t="n">
        <v>42</v>
      </c>
      <c r="I2" s="225" t="n">
        <v>35</v>
      </c>
      <c r="J2" s="226" t="n">
        <v>23</v>
      </c>
      <c r="K2" s="226" t="n">
        <f aca="false">Таблица4[[#This Row],[Количество внесения, п.е.]]/Таблица4[[#This Row],[Площадь внесения, га]]</f>
        <v>0.657142857142857</v>
      </c>
      <c r="L2" s="227" t="n">
        <v>14</v>
      </c>
      <c r="M2" s="221" t="n">
        <f aca="false">Таблица4[[#This Row],[Урожайность план, т/га]]*Таблица4[[#This Row],[Площадь внесения, га]]</f>
        <v>490</v>
      </c>
      <c r="N2" s="228" t="n">
        <v>0.13</v>
      </c>
      <c r="O2" s="229" t="n">
        <f aca="false">Таблица4[[#This Row],[Валовый сбор план, т]]*(1-Таблица4[[#This Row],[Рефакция план, %]])</f>
        <v>426.3</v>
      </c>
      <c r="P2" s="230" t="n">
        <v>35</v>
      </c>
      <c r="Q2" s="231" t="n">
        <f aca="false">Таблица4[[#This Row],[Площадь внесения, га]]-Таблица4[[#This Row],[Площадь уборки, га]]</f>
        <v>0</v>
      </c>
      <c r="R2" s="231"/>
      <c r="S2" s="227" t="n">
        <f aca="false">IFERROR(Таблица4[[#This Row],[Валовый сбор факт, т]]/Таблица4[[#This Row],[Площадь уборки, га]], "-")</f>
        <v>12.3488571428571</v>
      </c>
      <c r="T2" s="229" t="n">
        <f aca="false">432210/1000</f>
        <v>432.21</v>
      </c>
      <c r="U2" s="228" t="n">
        <f aca="false">IFERROR(1-Таблица4[[#This Row],[Зачетный вес факт, т]]/Таблица4[[#This Row],[Валовый сбор факт, т]], "-")</f>
        <v>0.173309270956248</v>
      </c>
      <c r="V2" s="229" t="n">
        <f aca="false">357304/1000</f>
        <v>357.304</v>
      </c>
      <c r="W2" s="221"/>
    </row>
    <row r="3" customFormat="false" ht="23.25" hidden="false" customHeight="true" outlineLevel="0" collapsed="false">
      <c r="A3" s="220" t="s">
        <v>3356</v>
      </c>
      <c r="B3" s="220" t="s">
        <v>221</v>
      </c>
      <c r="C3" s="221" t="s">
        <v>97</v>
      </c>
      <c r="D3" s="221" t="s">
        <v>571</v>
      </c>
      <c r="E3" s="221" t="s">
        <v>571</v>
      </c>
      <c r="F3" s="222" t="s">
        <v>3358</v>
      </c>
      <c r="G3" s="223" t="n">
        <v>45883</v>
      </c>
      <c r="H3" s="224" t="n">
        <v>42</v>
      </c>
      <c r="I3" s="225" t="n">
        <v>7</v>
      </c>
      <c r="J3" s="226" t="n">
        <v>4.35</v>
      </c>
      <c r="K3" s="226" t="n">
        <f aca="false">Таблица4[[#This Row],[Количество внесения, п.е.]]/Таблица4[[#This Row],[Площадь внесения, га]]</f>
        <v>0.621428571428571</v>
      </c>
      <c r="L3" s="227" t="n">
        <v>14</v>
      </c>
      <c r="M3" s="221" t="n">
        <f aca="false">Таблица4[[#This Row],[Урожайность план, т/га]]*Таблица4[[#This Row],[Площадь внесения, га]]</f>
        <v>98</v>
      </c>
      <c r="N3" s="228" t="n">
        <v>0.13</v>
      </c>
      <c r="O3" s="229" t="n">
        <f aca="false">Таблица4[[#This Row],[Валовый сбор план, т]]*(1-Таблица4[[#This Row],[Рефакция план, %]])</f>
        <v>85.26</v>
      </c>
      <c r="P3" s="230" t="n">
        <v>7</v>
      </c>
      <c r="Q3" s="231" t="n">
        <f aca="false">Таблица4[[#This Row],[Площадь внесения, га]]-Таблица4[[#This Row],[Площадь уборки, га]]</f>
        <v>0</v>
      </c>
      <c r="R3" s="231"/>
      <c r="S3" s="227" t="n">
        <f aca="false">IFERROR(Таблица4[[#This Row],[Валовый сбор факт, т]]/Таблица4[[#This Row],[Площадь уборки, га]], "-")</f>
        <v>12.53</v>
      </c>
      <c r="T3" s="229" t="n">
        <f aca="false">87710/1000</f>
        <v>87.71</v>
      </c>
      <c r="U3" s="228" t="n">
        <f aca="false">IFERROR(1-Таблица4[[#This Row],[Зачетный вес факт, т]]/Таблица4[[#This Row],[Валовый сбор факт, т]], "-")</f>
        <v>0.149323908334283</v>
      </c>
      <c r="V3" s="229" t="n">
        <f aca="false">74612.8/1000</f>
        <v>74.6128</v>
      </c>
      <c r="W3" s="221"/>
    </row>
    <row r="4" customFormat="false" ht="23.25" hidden="false" customHeight="true" outlineLevel="0" collapsed="false">
      <c r="A4" s="220" t="s">
        <v>3356</v>
      </c>
      <c r="B4" s="220" t="s">
        <v>222</v>
      </c>
      <c r="C4" s="221" t="s">
        <v>3360</v>
      </c>
      <c r="D4" s="221" t="s">
        <v>3361</v>
      </c>
      <c r="E4" s="221" t="s">
        <v>3361</v>
      </c>
      <c r="F4" s="222" t="s">
        <v>3358</v>
      </c>
      <c r="G4" s="222" t="s">
        <v>3362</v>
      </c>
      <c r="H4" s="224" t="n">
        <v>78</v>
      </c>
      <c r="I4" s="225" t="n">
        <v>75</v>
      </c>
      <c r="J4" s="226" t="n">
        <v>48.7</v>
      </c>
      <c r="K4" s="226" t="n">
        <f aca="false">Таблица4[[#This Row],[Количество внесения, п.е.]]/Таблица4[[#This Row],[Площадь внесения, га]]</f>
        <v>0.649333333333333</v>
      </c>
      <c r="L4" s="227" t="n">
        <v>14</v>
      </c>
      <c r="M4" s="221" t="n">
        <f aca="false">Таблица4[[#This Row],[Урожайность план, т/га]]*Таблица4[[#This Row],[Площадь внесения, га]]</f>
        <v>1050</v>
      </c>
      <c r="N4" s="228" t="n">
        <v>0.13</v>
      </c>
      <c r="O4" s="229" t="n">
        <f aca="false">Таблица4[[#This Row],[Валовый сбор план, т]]*(1-Таблица4[[#This Row],[Рефакция план, %]])</f>
        <v>913.5</v>
      </c>
      <c r="P4" s="230" t="n">
        <v>75</v>
      </c>
      <c r="Q4" s="231" t="n">
        <f aca="false">Таблица4[[#This Row],[Площадь внесения, га]]-Таблица4[[#This Row],[Площадь уборки, га]]</f>
        <v>0</v>
      </c>
      <c r="R4" s="231"/>
      <c r="S4" s="227" t="n">
        <f aca="false">IFERROR(Таблица4[[#This Row],[Валовый сбор факт, т]]/Таблица4[[#This Row],[Площадь уборки, га]], "-")</f>
        <v>15.7948</v>
      </c>
      <c r="T4" s="229" t="n">
        <f aca="false">1184610/1000</f>
        <v>1184.61</v>
      </c>
      <c r="U4" s="228" t="n">
        <f aca="false">IFERROR(1-Таблица4[[#This Row],[Зачетный вес факт, т]]/Таблица4[[#This Row],[Валовый сбор факт, т]], "-")</f>
        <v>0.346596432581187</v>
      </c>
      <c r="V4" s="229" t="n">
        <f aca="false">774028.4/1000</f>
        <v>774.0284</v>
      </c>
      <c r="W4" s="221"/>
    </row>
    <row r="5" customFormat="false" ht="23.25" hidden="false" customHeight="true" outlineLevel="0" collapsed="false">
      <c r="A5" s="220" t="s">
        <v>3356</v>
      </c>
      <c r="B5" s="220" t="s">
        <v>222</v>
      </c>
      <c r="C5" s="221" t="s">
        <v>97</v>
      </c>
      <c r="D5" s="221" t="s">
        <v>571</v>
      </c>
      <c r="E5" s="221" t="s">
        <v>571</v>
      </c>
      <c r="F5" s="222" t="s">
        <v>3358</v>
      </c>
      <c r="G5" s="222" t="s">
        <v>3363</v>
      </c>
      <c r="H5" s="224" t="n">
        <v>78</v>
      </c>
      <c r="I5" s="225" t="n">
        <v>3</v>
      </c>
      <c r="J5" s="226" t="n">
        <v>2</v>
      </c>
      <c r="K5" s="226" t="n">
        <f aca="false">Таблица4[[#This Row],[Количество внесения, п.е.]]/Таблица4[[#This Row],[Площадь внесения, га]]</f>
        <v>0.666666666666667</v>
      </c>
      <c r="L5" s="227" t="n">
        <v>14</v>
      </c>
      <c r="M5" s="221" t="n">
        <f aca="false">Таблица4[[#This Row],[Урожайность план, т/га]]*Таблица4[[#This Row],[Площадь внесения, га]]</f>
        <v>42</v>
      </c>
      <c r="N5" s="228" t="n">
        <v>0.13</v>
      </c>
      <c r="O5" s="229" t="n">
        <f aca="false">Таблица4[[#This Row],[Валовый сбор план, т]]*(1-Таблица4[[#This Row],[Рефакция план, %]])</f>
        <v>36.54</v>
      </c>
      <c r="P5" s="230" t="n">
        <v>3</v>
      </c>
      <c r="Q5" s="231" t="n">
        <f aca="false">Таблица4[[#This Row],[Площадь внесения, га]]-Таблица4[[#This Row],[Площадь уборки, га]]</f>
        <v>0</v>
      </c>
      <c r="R5" s="231"/>
      <c r="S5" s="227" t="n">
        <f aca="false">IFERROR(Таблица4[[#This Row],[Валовый сбор факт, т]]/Таблица4[[#This Row],[Площадь уборки, га]], "-")</f>
        <v>39.6433333333333</v>
      </c>
      <c r="T5" s="229" t="n">
        <f aca="false">118930/1000</f>
        <v>118.93</v>
      </c>
      <c r="U5" s="228" t="n">
        <f aca="false">IFERROR(1-Таблица4[[#This Row],[Зачетный вес факт, т]]/Таблица4[[#This Row],[Валовый сбор факт, т]], "-")</f>
        <v>0.292696544185655</v>
      </c>
      <c r="V5" s="229" t="n">
        <f aca="false">84119.6/1000</f>
        <v>84.1196</v>
      </c>
      <c r="W5" s="221"/>
    </row>
    <row r="6" customFormat="false" ht="23.25" hidden="false" customHeight="true" outlineLevel="0" collapsed="false">
      <c r="A6" s="220" t="s">
        <v>3356</v>
      </c>
      <c r="B6" s="220" t="s">
        <v>223</v>
      </c>
      <c r="C6" s="221" t="s">
        <v>3360</v>
      </c>
      <c r="D6" s="221" t="s">
        <v>3361</v>
      </c>
      <c r="E6" s="221" t="s">
        <v>3361</v>
      </c>
      <c r="F6" s="222" t="s">
        <v>3358</v>
      </c>
      <c r="G6" s="223" t="n">
        <v>45883</v>
      </c>
      <c r="H6" s="224" t="n">
        <v>74</v>
      </c>
      <c r="I6" s="225" t="n">
        <v>25</v>
      </c>
      <c r="J6" s="226" t="n">
        <v>16.3</v>
      </c>
      <c r="K6" s="226" t="n">
        <f aca="false">Таблица4[[#This Row],[Количество внесения, п.е.]]/Таблица4[[#This Row],[Площадь внесения, га]]</f>
        <v>0.652</v>
      </c>
      <c r="L6" s="227" t="n">
        <v>14</v>
      </c>
      <c r="M6" s="221" t="n">
        <f aca="false">Таблица4[[#This Row],[Урожайность план, т/га]]*Таблица4[[#This Row],[Площадь внесения, га]]</f>
        <v>350</v>
      </c>
      <c r="N6" s="228" t="n">
        <v>0.13</v>
      </c>
      <c r="O6" s="229" t="n">
        <f aca="false">Таблица4[[#This Row],[Валовый сбор план, т]]*(1-Таблица4[[#This Row],[Рефакция план, %]])</f>
        <v>304.5</v>
      </c>
      <c r="P6" s="230" t="n">
        <v>1</v>
      </c>
      <c r="Q6" s="225" t="n">
        <f aca="false">Таблица4[[#This Row],[Площадь внесения, га]]-Таблица4[[#This Row],[Площадь уборки, га]]</f>
        <v>24</v>
      </c>
      <c r="R6" s="232" t="n">
        <f aca="false">Таблица4[[#This Row],[Остаток, га]]</f>
        <v>24</v>
      </c>
      <c r="S6" s="227" t="n">
        <f aca="false">IFERROR(Таблица4[[#This Row],[Валовый сбор факт, т]]/Таблица4[[#This Row],[Площадь уборки, га]], "-")</f>
        <v>21.64</v>
      </c>
      <c r="T6" s="229" t="n">
        <f aca="false">21640/1000</f>
        <v>21.64</v>
      </c>
      <c r="U6" s="228" t="n">
        <f aca="false">IFERROR(1-Таблица4[[#This Row],[Зачетный вес факт, т]]/Таблица4[[#This Row],[Валовый сбор факт, т]], "-")</f>
        <v>0.53</v>
      </c>
      <c r="V6" s="229" t="n">
        <f aca="false">10170.8/1000</f>
        <v>10.1708</v>
      </c>
      <c r="W6" s="221"/>
    </row>
    <row r="7" customFormat="false" ht="23.25" hidden="false" customHeight="true" outlineLevel="0" collapsed="false">
      <c r="A7" s="220" t="s">
        <v>3356</v>
      </c>
      <c r="B7" s="220" t="s">
        <v>223</v>
      </c>
      <c r="C7" s="221" t="s">
        <v>3364</v>
      </c>
      <c r="D7" s="221" t="s">
        <v>586</v>
      </c>
      <c r="E7" s="221" t="s">
        <v>586</v>
      </c>
      <c r="F7" s="222" t="s">
        <v>3358</v>
      </c>
      <c r="G7" s="223" t="n">
        <v>45883</v>
      </c>
      <c r="H7" s="224" t="n">
        <v>74</v>
      </c>
      <c r="I7" s="225" t="n">
        <v>49</v>
      </c>
      <c r="J7" s="226" t="n">
        <v>31.8</v>
      </c>
      <c r="K7" s="226" t="n">
        <f aca="false">Таблица4[[#This Row],[Количество внесения, п.е.]]/Таблица4[[#This Row],[Площадь внесения, га]]</f>
        <v>0.648979591836735</v>
      </c>
      <c r="L7" s="227" t="n">
        <v>14</v>
      </c>
      <c r="M7" s="221" t="n">
        <f aca="false">Таблица4[[#This Row],[Урожайность план, т/га]]*Таблица4[[#This Row],[Площадь внесения, га]]</f>
        <v>686</v>
      </c>
      <c r="N7" s="228" t="n">
        <v>0.13</v>
      </c>
      <c r="O7" s="229" t="n">
        <f aca="false">Таблица4[[#This Row],[Валовый сбор план, т]]*(1-Таблица4[[#This Row],[Рефакция план, %]])</f>
        <v>596.82</v>
      </c>
      <c r="P7" s="230" t="n">
        <v>1</v>
      </c>
      <c r="Q7" s="225" t="n">
        <f aca="false">Таблица4[[#This Row],[Площадь внесения, га]]-Таблица4[[#This Row],[Площадь уборки, га]]</f>
        <v>48</v>
      </c>
      <c r="R7" s="232" t="n">
        <f aca="false">Таблица4[[#This Row],[Остаток, га]]</f>
        <v>48</v>
      </c>
      <c r="S7" s="227" t="n">
        <f aca="false">IFERROR(Таблица4[[#This Row],[Валовый сбор факт, т]]/Таблица4[[#This Row],[Площадь уборки, га]], "-")</f>
        <v>20.29</v>
      </c>
      <c r="T7" s="229" t="n">
        <f aca="false">20290/1000</f>
        <v>20.29</v>
      </c>
      <c r="U7" s="228" t="n">
        <f aca="false">IFERROR(1-Таблица4[[#This Row],[Зачетный вес факт, т]]/Таблица4[[#This Row],[Валовый сбор факт, т]], "-")</f>
        <v>0.57</v>
      </c>
      <c r="V7" s="229" t="n">
        <f aca="false">8724.7/1000</f>
        <v>8.7247</v>
      </c>
      <c r="W7" s="221"/>
    </row>
    <row r="8" customFormat="false" ht="23.25" hidden="false" customHeight="true" outlineLevel="0" collapsed="false">
      <c r="A8" s="220" t="s">
        <v>3356</v>
      </c>
      <c r="B8" s="220" t="s">
        <v>224</v>
      </c>
      <c r="C8" s="221" t="s">
        <v>3365</v>
      </c>
      <c r="D8" s="221" t="s">
        <v>626</v>
      </c>
      <c r="E8" s="221" t="s">
        <v>626</v>
      </c>
      <c r="F8" s="222" t="s">
        <v>3358</v>
      </c>
      <c r="G8" s="223" t="n">
        <v>45887</v>
      </c>
      <c r="H8" s="224" t="n">
        <v>78</v>
      </c>
      <c r="I8" s="225" t="n">
        <v>18</v>
      </c>
      <c r="J8" s="226" t="n">
        <v>11.3</v>
      </c>
      <c r="K8" s="226" t="n">
        <f aca="false">Таблица4[[#This Row],[Количество внесения, п.е.]]/Таблица4[[#This Row],[Площадь внесения, га]]</f>
        <v>0.627777777777778</v>
      </c>
      <c r="L8" s="227" t="n">
        <v>14</v>
      </c>
      <c r="M8" s="221" t="n">
        <f aca="false">Таблица4[[#This Row],[Урожайность план, т/га]]*Таблица4[[#This Row],[Площадь внесения, га]]</f>
        <v>252</v>
      </c>
      <c r="N8" s="228" t="n">
        <v>0.13</v>
      </c>
      <c r="O8" s="229" t="n">
        <f aca="false">Таблица4[[#This Row],[Валовый сбор план, т]]*(1-Таблица4[[#This Row],[Рефакция план, %]])</f>
        <v>219.24</v>
      </c>
      <c r="P8" s="230" t="n">
        <v>18</v>
      </c>
      <c r="Q8" s="231" t="n">
        <f aca="false">Таблица4[[#This Row],[Площадь внесения, га]]-Таблица4[[#This Row],[Площадь уборки, га]]</f>
        <v>0</v>
      </c>
      <c r="R8" s="225"/>
      <c r="S8" s="227" t="n">
        <f aca="false">IFERROR(Таблица4[[#This Row],[Валовый сбор факт, т]]/Таблица4[[#This Row],[Площадь уборки, га]], "-")</f>
        <v>13.6888888888889</v>
      </c>
      <c r="T8" s="229" t="n">
        <f aca="false">246400/1000</f>
        <v>246.4</v>
      </c>
      <c r="U8" s="228" t="n">
        <f aca="false">IFERROR(1-Таблица4[[#This Row],[Зачетный вес факт, т]]/Таблица4[[#This Row],[Валовый сбор факт, т]], "-")</f>
        <v>0.189298701298701</v>
      </c>
      <c r="V8" s="229" t="n">
        <f aca="false">199756.8/1000</f>
        <v>199.7568</v>
      </c>
      <c r="W8" s="221"/>
    </row>
    <row r="9" customFormat="false" ht="23.25" hidden="false" customHeight="true" outlineLevel="0" collapsed="false">
      <c r="A9" s="220" t="s">
        <v>3356</v>
      </c>
      <c r="B9" s="220" t="s">
        <v>224</v>
      </c>
      <c r="C9" s="221" t="s">
        <v>3366</v>
      </c>
      <c r="D9" s="221" t="s">
        <v>607</v>
      </c>
      <c r="E9" s="221" t="s">
        <v>607</v>
      </c>
      <c r="F9" s="222" t="s">
        <v>3358</v>
      </c>
      <c r="G9" s="223" t="s">
        <v>3367</v>
      </c>
      <c r="H9" s="224" t="n">
        <v>78</v>
      </c>
      <c r="I9" s="225" t="n">
        <v>60</v>
      </c>
      <c r="J9" s="226" t="n">
        <v>39</v>
      </c>
      <c r="K9" s="226" t="n">
        <f aca="false">Таблица4[[#This Row],[Количество внесения, п.е.]]/Таблица4[[#This Row],[Площадь внесения, га]]</f>
        <v>0.65</v>
      </c>
      <c r="L9" s="227" t="n">
        <v>14</v>
      </c>
      <c r="M9" s="221" t="n">
        <f aca="false">Таблица4[[#This Row],[Урожайность план, т/га]]*Таблица4[[#This Row],[Площадь внесения, га]]</f>
        <v>840</v>
      </c>
      <c r="N9" s="228" t="n">
        <v>0.13</v>
      </c>
      <c r="O9" s="229" t="n">
        <f aca="false">Таблица4[[#This Row],[Валовый сбор план, т]]*(1-Таблица4[[#This Row],[Рефакция план, %]])</f>
        <v>730.8</v>
      </c>
      <c r="P9" s="230" t="n">
        <v>60</v>
      </c>
      <c r="Q9" s="231" t="n">
        <f aca="false">Таблица4[[#This Row],[Площадь внесения, га]]-Таблица4[[#This Row],[Площадь уборки, га]]</f>
        <v>0</v>
      </c>
      <c r="R9" s="225"/>
      <c r="S9" s="227" t="n">
        <f aca="false">IFERROR(Таблица4[[#This Row],[Валовый сбор факт, т]]/Таблица4[[#This Row],[Площадь уборки, га]], "-")</f>
        <v>18.7703333333333</v>
      </c>
      <c r="T9" s="229" t="n">
        <f aca="false">1126220/1000</f>
        <v>1126.22</v>
      </c>
      <c r="U9" s="228" t="n">
        <f aca="false">IFERROR(1-Таблица4[[#This Row],[Зачетный вес факт, т]]/Таблица4[[#This Row],[Валовый сбор факт, т]], "-")</f>
        <v>0.192425991369359</v>
      </c>
      <c r="V9" s="229" t="n">
        <f aca="false">909506/1000</f>
        <v>909.506</v>
      </c>
      <c r="W9" s="221"/>
    </row>
    <row r="10" customFormat="false" ht="23.25" hidden="false" customHeight="true" outlineLevel="0" collapsed="false">
      <c r="A10" s="220" t="s">
        <v>3356</v>
      </c>
      <c r="B10" s="220" t="s">
        <v>225</v>
      </c>
      <c r="C10" s="221" t="s">
        <v>3364</v>
      </c>
      <c r="D10" s="221" t="s">
        <v>586</v>
      </c>
      <c r="E10" s="221" t="s">
        <v>586</v>
      </c>
      <c r="F10" s="222" t="s">
        <v>3358</v>
      </c>
      <c r="G10" s="223" t="s">
        <v>3368</v>
      </c>
      <c r="H10" s="224" t="n">
        <v>78</v>
      </c>
      <c r="I10" s="225" t="n">
        <v>45</v>
      </c>
      <c r="J10" s="226" t="n">
        <v>29.2</v>
      </c>
      <c r="K10" s="226" t="n">
        <f aca="false">Таблица4[[#This Row],[Количество внесения, п.е.]]/Таблица4[[#This Row],[Площадь внесения, га]]</f>
        <v>0.648888888888889</v>
      </c>
      <c r="L10" s="227" t="n">
        <v>14</v>
      </c>
      <c r="M10" s="221" t="n">
        <f aca="false">Таблица4[[#This Row],[Урожайность план, т/га]]*Таблица4[[#This Row],[Площадь внесения, га]]</f>
        <v>630</v>
      </c>
      <c r="N10" s="228" t="n">
        <v>0.13</v>
      </c>
      <c r="O10" s="229" t="n">
        <f aca="false">Таблица4[[#This Row],[Валовый сбор план, т]]*(1-Таблица4[[#This Row],[Рефакция план, %]])</f>
        <v>548.1</v>
      </c>
      <c r="P10" s="230" t="n">
        <v>45</v>
      </c>
      <c r="Q10" s="231" t="n">
        <f aca="false">Таблица4[[#This Row],[Площадь внесения, га]]-Таблица4[[#This Row],[Площадь уборки, га]]</f>
        <v>0</v>
      </c>
      <c r="R10" s="225"/>
      <c r="S10" s="227" t="n">
        <f aca="false">IFERROR(Таблица4[[#This Row],[Валовый сбор факт, т]]/Таблица4[[#This Row],[Площадь уборки, га]], "-")</f>
        <v>13.2208888888889</v>
      </c>
      <c r="T10" s="229" t="n">
        <f aca="false">594940/1000</f>
        <v>594.94</v>
      </c>
      <c r="U10" s="228" t="n">
        <f aca="false">IFERROR(1-Таблица4[[#This Row],[Зачетный вес факт, т]]/Таблица4[[#This Row],[Валовый сбор факт, т]], "-")</f>
        <v>0.212318385047232</v>
      </c>
      <c r="V10" s="229" t="n">
        <f aca="false">468623.3/1000</f>
        <v>468.6233</v>
      </c>
      <c r="W10" s="221"/>
    </row>
    <row r="11" customFormat="false" ht="23.25" hidden="false" customHeight="true" outlineLevel="0" collapsed="false">
      <c r="A11" s="220" t="s">
        <v>3356</v>
      </c>
      <c r="B11" s="220" t="s">
        <v>225</v>
      </c>
      <c r="C11" s="221" t="s">
        <v>3365</v>
      </c>
      <c r="D11" s="221" t="s">
        <v>626</v>
      </c>
      <c r="E11" s="221" t="s">
        <v>626</v>
      </c>
      <c r="F11" s="222" t="s">
        <v>3358</v>
      </c>
      <c r="G11" s="223" t="s">
        <v>3368</v>
      </c>
      <c r="H11" s="224" t="n">
        <v>78</v>
      </c>
      <c r="I11" s="225" t="n">
        <v>33</v>
      </c>
      <c r="J11" s="226" t="n">
        <v>21.7</v>
      </c>
      <c r="K11" s="226" t="n">
        <f aca="false">Таблица4[[#This Row],[Количество внесения, п.е.]]/Таблица4[[#This Row],[Площадь внесения, га]]</f>
        <v>0.657575757575758</v>
      </c>
      <c r="L11" s="227" t="n">
        <v>14</v>
      </c>
      <c r="M11" s="221" t="n">
        <f aca="false">Таблица4[[#This Row],[Урожайность план, т/га]]*Таблица4[[#This Row],[Площадь внесения, га]]</f>
        <v>462</v>
      </c>
      <c r="N11" s="228" t="n">
        <v>0.13</v>
      </c>
      <c r="O11" s="229" t="n">
        <f aca="false">Таблица4[[#This Row],[Валовый сбор план, т]]*(1-Таблица4[[#This Row],[Рефакция план, %]])</f>
        <v>401.94</v>
      </c>
      <c r="P11" s="230" t="n">
        <v>33</v>
      </c>
      <c r="Q11" s="231" t="n">
        <f aca="false">Таблица4[[#This Row],[Площадь внесения, га]]-Таблица4[[#This Row],[Площадь уборки, га]]</f>
        <v>0</v>
      </c>
      <c r="R11" s="225"/>
      <c r="S11" s="227" t="n">
        <f aca="false">IFERROR(Таблица4[[#This Row],[Валовый сбор факт, т]]/Таблица4[[#This Row],[Площадь уборки, га]], "-")</f>
        <v>21.1869696969697</v>
      </c>
      <c r="T11" s="229" t="n">
        <f aca="false">699170/1000</f>
        <v>699.17</v>
      </c>
      <c r="U11" s="228" t="n">
        <f aca="false">IFERROR(1-Таблица4[[#This Row],[Зачетный вес факт, т]]/Таблица4[[#This Row],[Валовый сбор факт, т]], "-")</f>
        <v>0.229284723314788</v>
      </c>
      <c r="V11" s="229" t="n">
        <f aca="false">538861/1000</f>
        <v>538.861</v>
      </c>
      <c r="W11" s="221"/>
    </row>
    <row r="12" customFormat="false" ht="23.25" hidden="true" customHeight="true" outlineLevel="0" collapsed="false">
      <c r="A12" s="220" t="s">
        <v>3356</v>
      </c>
      <c r="B12" s="220" t="s">
        <v>226</v>
      </c>
      <c r="C12" s="221" t="s">
        <v>3364</v>
      </c>
      <c r="D12" s="221" t="s">
        <v>586</v>
      </c>
      <c r="E12" s="221"/>
      <c r="F12" s="222" t="s">
        <v>3369</v>
      </c>
      <c r="G12" s="222"/>
      <c r="H12" s="224" t="n">
        <v>68</v>
      </c>
      <c r="I12" s="225" t="n">
        <v>30.7</v>
      </c>
      <c r="J12" s="226" t="n">
        <v>20</v>
      </c>
      <c r="K12" s="226" t="n">
        <f aca="false">Таблица4[[#This Row],[Количество внесения, п.е.]]/Таблица4[[#This Row],[Площадь внесения, га]]</f>
        <v>0.651465798045603</v>
      </c>
      <c r="L12" s="227" t="n">
        <v>14</v>
      </c>
      <c r="M12" s="221" t="n">
        <f aca="false">Таблица4[[#This Row],[Урожайность план, т/га]]*Таблица4[[#This Row],[Площадь внесения, га]]</f>
        <v>429.8</v>
      </c>
      <c r="N12" s="228" t="n">
        <v>0.13</v>
      </c>
      <c r="O12" s="229" t="n">
        <f aca="false">Таблица4[[#This Row],[Валовый сбор план, т]]*(1-Таблица4[[#This Row],[Рефакция план, %]])</f>
        <v>373.926</v>
      </c>
      <c r="P12" s="225"/>
      <c r="Q12" s="231" t="n">
        <f aca="false">Таблица4[[#This Row],[Площадь внесения, га]]-Таблица4[[#This Row],[Площадь уборки, га]]</f>
        <v>30.7</v>
      </c>
      <c r="R12" s="225"/>
      <c r="S12" s="227" t="str">
        <f aca="false">IFERROR(Таблица4[[#This Row],[Валовый сбор факт, т]]/Таблица4[[#This Row],[Площадь уборки, га]], "-")</f>
        <v>-</v>
      </c>
      <c r="T12" s="229"/>
      <c r="U12" s="228" t="str">
        <f aca="false">IFERROR(1-Таблица4[[#This Row],[Зачетный вес факт, т]]/Таблица4[[#This Row],[Валовый сбор факт, т]], "-")</f>
        <v>-</v>
      </c>
      <c r="V12" s="229"/>
      <c r="W12" s="221"/>
    </row>
    <row r="13" customFormat="false" ht="23.25" hidden="true" customHeight="true" outlineLevel="0" collapsed="false">
      <c r="A13" s="220" t="s">
        <v>3356</v>
      </c>
      <c r="B13" s="220" t="s">
        <v>226</v>
      </c>
      <c r="C13" s="221" t="s">
        <v>105</v>
      </c>
      <c r="D13" s="221" t="s">
        <v>832</v>
      </c>
      <c r="E13" s="221"/>
      <c r="F13" s="222" t="s">
        <v>3369</v>
      </c>
      <c r="G13" s="222"/>
      <c r="H13" s="224" t="n">
        <v>68</v>
      </c>
      <c r="I13" s="225" t="n">
        <v>37.3</v>
      </c>
      <c r="J13" s="226" t="n">
        <v>24.2</v>
      </c>
      <c r="K13" s="226" t="n">
        <f aca="false">Таблица4[[#This Row],[Количество внесения, п.е.]]/Таблица4[[#This Row],[Площадь внесения, га]]</f>
        <v>0.648793565683646</v>
      </c>
      <c r="L13" s="227" t="n">
        <v>14</v>
      </c>
      <c r="M13" s="221" t="n">
        <f aca="false">Таблица4[[#This Row],[Урожайность план, т/га]]*Таблица4[[#This Row],[Площадь внесения, га]]</f>
        <v>522.2</v>
      </c>
      <c r="N13" s="228" t="n">
        <v>0.13</v>
      </c>
      <c r="O13" s="229" t="n">
        <f aca="false">Таблица4[[#This Row],[Валовый сбор план, т]]*(1-Таблица4[[#This Row],[Рефакция план, %]])</f>
        <v>454.314</v>
      </c>
      <c r="P13" s="225"/>
      <c r="Q13" s="231" t="n">
        <f aca="false">Таблица4[[#This Row],[Площадь внесения, га]]-Таблица4[[#This Row],[Площадь уборки, га]]</f>
        <v>37.3</v>
      </c>
      <c r="R13" s="225"/>
      <c r="S13" s="227" t="str">
        <f aca="false">IFERROR(Таблица4[[#This Row],[Валовый сбор факт, т]]/Таблица4[[#This Row],[Площадь уборки, га]], "-")</f>
        <v>-</v>
      </c>
      <c r="T13" s="229"/>
      <c r="U13" s="228" t="str">
        <f aca="false">IFERROR(1-Таблица4[[#This Row],[Зачетный вес факт, т]]/Таблица4[[#This Row],[Валовый сбор факт, т]], "-")</f>
        <v>-</v>
      </c>
      <c r="V13" s="229"/>
      <c r="W13" s="221"/>
    </row>
    <row r="14" customFormat="false" ht="23.25" hidden="false" customHeight="true" outlineLevel="0" collapsed="false">
      <c r="A14" s="220" t="s">
        <v>3356</v>
      </c>
      <c r="B14" s="220" t="s">
        <v>226</v>
      </c>
      <c r="C14" s="221"/>
      <c r="D14" s="221"/>
      <c r="E14" s="221" t="s">
        <v>586</v>
      </c>
      <c r="F14" s="222" t="s">
        <v>3369</v>
      </c>
      <c r="G14" s="223" t="n">
        <v>45900</v>
      </c>
      <c r="H14" s="224" t="n">
        <v>68</v>
      </c>
      <c r="I14" s="225" t="n">
        <v>30.7</v>
      </c>
      <c r="J14" s="226" t="n">
        <v>20</v>
      </c>
      <c r="K14" s="226" t="n">
        <f aca="false">Таблица4[[#This Row],[Количество внесения, п.е.]]/Таблица4[[#This Row],[Площадь внесения, га]]</f>
        <v>0.651465798045603</v>
      </c>
      <c r="L14" s="227" t="n">
        <v>14</v>
      </c>
      <c r="M14" s="221" t="n">
        <f aca="false">Таблица4[[#This Row],[Урожайность план, т/га]]*Таблица4[[#This Row],[Площадь внесения, га]]</f>
        <v>429.8</v>
      </c>
      <c r="N14" s="228" t="n">
        <v>0.13</v>
      </c>
      <c r="O14" s="229" t="n">
        <f aca="false">Таблица4[[#This Row],[Валовый сбор план, т]]*(1-Таблица4[[#This Row],[Рефакция план, %]])</f>
        <v>373.926</v>
      </c>
      <c r="P14" s="225" t="n">
        <v>30.7</v>
      </c>
      <c r="Q14" s="231" t="n">
        <f aca="false">Таблица4[[#This Row],[Площадь внесения, га]]-Таблица4[[#This Row],[Площадь уборки, га]]</f>
        <v>0</v>
      </c>
      <c r="R14" s="225"/>
      <c r="S14" s="227" t="n">
        <f aca="false">IFERROR(Таблица4[[#This Row],[Валовый сбор факт, т]]/Таблица4[[#This Row],[Площадь уборки, га]], "-")</f>
        <v>13.2895765472313</v>
      </c>
      <c r="T14" s="229" t="n">
        <f aca="false">407990/1000</f>
        <v>407.99</v>
      </c>
      <c r="U14" s="228" t="n">
        <f aca="false">IFERROR(1-Таблица4[[#This Row],[Зачетный вес факт, т]]/Таблица4[[#This Row],[Валовый сбор факт, т]], "-")</f>
        <v>0.117455574891541</v>
      </c>
      <c r="V14" s="229" t="n">
        <f aca="false">360069.3/1000</f>
        <v>360.0693</v>
      </c>
      <c r="W14" s="221"/>
    </row>
    <row r="15" customFormat="false" ht="23.25" hidden="false" customHeight="true" outlineLevel="0" collapsed="false">
      <c r="A15" s="220" t="s">
        <v>3356</v>
      </c>
      <c r="B15" s="220" t="s">
        <v>226</v>
      </c>
      <c r="C15" s="221"/>
      <c r="D15" s="221"/>
      <c r="E15" s="221" t="s">
        <v>832</v>
      </c>
      <c r="F15" s="222" t="s">
        <v>3369</v>
      </c>
      <c r="G15" s="223" t="n">
        <v>45900</v>
      </c>
      <c r="H15" s="224" t="n">
        <v>68</v>
      </c>
      <c r="I15" s="225" t="n">
        <v>11.3</v>
      </c>
      <c r="J15" s="226" t="n">
        <v>7.2</v>
      </c>
      <c r="K15" s="226" t="n">
        <f aca="false">Таблица4[[#This Row],[Количество внесения, п.е.]]/Таблица4[[#This Row],[Площадь внесения, га]]</f>
        <v>0.63716814159292</v>
      </c>
      <c r="L15" s="227" t="n">
        <v>14</v>
      </c>
      <c r="M15" s="221" t="n">
        <f aca="false">Таблица4[[#This Row],[Урожайность план, т/га]]*Таблица4[[#This Row],[Площадь внесения, га]]</f>
        <v>158.2</v>
      </c>
      <c r="N15" s="228" t="n">
        <v>0.13</v>
      </c>
      <c r="O15" s="229" t="n">
        <f aca="false">Таблица4[[#This Row],[Валовый сбор план, т]]*(1-Таблица4[[#This Row],[Рефакция план, %]])</f>
        <v>137.634</v>
      </c>
      <c r="P15" s="225" t="n">
        <v>11.3</v>
      </c>
      <c r="Q15" s="231" t="n">
        <v>0</v>
      </c>
      <c r="R15" s="225"/>
      <c r="S15" s="227" t="n">
        <f aca="false">IFERROR(Таблица4[[#This Row],[Валовый сбор факт, т]]/Таблица4[[#This Row],[Площадь уборки, га]], "-")</f>
        <v>15.8336283185841</v>
      </c>
      <c r="T15" s="229" t="n">
        <f aca="false">178920/1000</f>
        <v>178.92</v>
      </c>
      <c r="U15" s="228" t="n">
        <f aca="false">IFERROR(1-Таблица4[[#This Row],[Зачетный вес факт, т]]/Таблица4[[#This Row],[Валовый сбор факт, т]], "-")</f>
        <v>0.105888106416275</v>
      </c>
      <c r="V15" s="229" t="n">
        <f aca="false">159974.5/1000</f>
        <v>159.9745</v>
      </c>
      <c r="W15" s="221"/>
    </row>
    <row r="16" customFormat="false" ht="23.25" hidden="false" customHeight="true" outlineLevel="0" collapsed="false">
      <c r="A16" s="220" t="s">
        <v>113</v>
      </c>
      <c r="B16" s="220" t="s">
        <v>226</v>
      </c>
      <c r="C16" s="221"/>
      <c r="D16" s="221"/>
      <c r="E16" s="221" t="s">
        <v>279</v>
      </c>
      <c r="F16" s="222" t="s">
        <v>3370</v>
      </c>
      <c r="G16" s="223" t="n">
        <v>45903</v>
      </c>
      <c r="H16" s="224" t="n">
        <v>68</v>
      </c>
      <c r="I16" s="225" t="n">
        <v>26</v>
      </c>
      <c r="J16" s="226" t="n">
        <v>17</v>
      </c>
      <c r="K16" s="226" t="n">
        <f aca="false">Таблица4[[#This Row],[Количество внесения, п.е.]]/Таблица4[[#This Row],[Площадь внесения, га]]</f>
        <v>0.653846153846154</v>
      </c>
      <c r="L16" s="227" t="n">
        <v>20</v>
      </c>
      <c r="M16" s="221" t="n">
        <f aca="false">Таблица4[[#This Row],[Урожайность план, т/га]]*Таблица4[[#This Row],[Площадь внесения, га]]</f>
        <v>520</v>
      </c>
      <c r="N16" s="228" t="n">
        <v>0.13</v>
      </c>
      <c r="O16" s="229" t="n">
        <f aca="false">Таблица4[[#This Row],[Валовый сбор план, т]]*(1-Таблица4[[#This Row],[Рефакция план, %]])</f>
        <v>452.4</v>
      </c>
      <c r="P16" s="225" t="n">
        <v>26</v>
      </c>
      <c r="Q16" s="231" t="n">
        <f aca="false">Таблица4[[#This Row],[Площадь внесения, га]]-Таблица4[[#This Row],[Площадь уборки, га]]</f>
        <v>0</v>
      </c>
      <c r="R16" s="225"/>
      <c r="S16" s="227" t="n">
        <f aca="false">IFERROR(Таблица4[[#This Row],[Валовый сбор факт, т]]/Таблица4[[#This Row],[Площадь уборки, га]], "-")</f>
        <v>13.5803846153846</v>
      </c>
      <c r="T16" s="229" t="n">
        <f aca="false">353090/1000</f>
        <v>353.09</v>
      </c>
      <c r="U16" s="228" t="n">
        <f aca="false">IFERROR(1-Таблица4[[#This Row],[Зачетный вес факт, т]]/Таблица4[[#This Row],[Валовый сбор факт, т]], "-")</f>
        <v>0.137620436715851</v>
      </c>
      <c r="V16" s="229" t="n">
        <f aca="false">304497.6/1000</f>
        <v>304.4976</v>
      </c>
      <c r="W16" s="221"/>
    </row>
    <row r="17" customFormat="false" ht="23.25" hidden="false" customHeight="true" outlineLevel="0" collapsed="false">
      <c r="A17" s="220" t="s">
        <v>3356</v>
      </c>
      <c r="B17" s="220" t="s">
        <v>227</v>
      </c>
      <c r="C17" s="221" t="s">
        <v>3357</v>
      </c>
      <c r="D17" s="221" t="s">
        <v>520</v>
      </c>
      <c r="E17" s="221" t="s">
        <v>520</v>
      </c>
      <c r="F17" s="222" t="s">
        <v>3369</v>
      </c>
      <c r="G17" s="223" t="s">
        <v>3371</v>
      </c>
      <c r="H17" s="224" t="n">
        <v>56</v>
      </c>
      <c r="I17" s="225" t="n">
        <v>46</v>
      </c>
      <c r="J17" s="226" t="n">
        <v>31</v>
      </c>
      <c r="K17" s="226" t="n">
        <f aca="false">Таблица4[[#This Row],[Количество внесения, п.е.]]/Таблица4[[#This Row],[Площадь внесения, га]]</f>
        <v>0.673913043478261</v>
      </c>
      <c r="L17" s="227" t="n">
        <v>14</v>
      </c>
      <c r="M17" s="221" t="n">
        <f aca="false">Таблица4[[#This Row],[Урожайность план, т/га]]*Таблица4[[#This Row],[Площадь внесения, га]]</f>
        <v>644</v>
      </c>
      <c r="N17" s="228" t="n">
        <v>0.13</v>
      </c>
      <c r="O17" s="229" t="n">
        <f aca="false">Таблица4[[#This Row],[Валовый сбор план, т]]*(1-Таблица4[[#This Row],[Рефакция план, %]])</f>
        <v>560.28</v>
      </c>
      <c r="P17" s="225" t="n">
        <v>46</v>
      </c>
      <c r="Q17" s="231" t="n">
        <f aca="false">Таблица4[[#This Row],[Площадь внесения, га]]-Таблица4[[#This Row],[Площадь уборки, га]]</f>
        <v>0</v>
      </c>
      <c r="R17" s="225"/>
      <c r="S17" s="227" t="n">
        <f aca="false">IFERROR(Таблица4[[#This Row],[Валовый сбор факт, т]]/Таблица4[[#This Row],[Площадь уборки, га]], "-")</f>
        <v>18.0782608695652</v>
      </c>
      <c r="T17" s="229" t="n">
        <f aca="false">831600/1000</f>
        <v>831.6</v>
      </c>
      <c r="U17" s="228" t="n">
        <f aca="false">IFERROR(1-Таблица4[[#This Row],[Зачетный вес факт, т]]/Таблица4[[#This Row],[Валовый сбор факт, т]], "-")</f>
        <v>0.071183621933622</v>
      </c>
      <c r="V17" s="229" t="n">
        <f aca="false">772403.7/1000</f>
        <v>772.4037</v>
      </c>
      <c r="W17" s="221"/>
    </row>
    <row r="18" customFormat="false" ht="23.25" hidden="false" customHeight="true" outlineLevel="0" collapsed="false">
      <c r="A18" s="220" t="s">
        <v>3356</v>
      </c>
      <c r="B18" s="220" t="s">
        <v>227</v>
      </c>
      <c r="C18" s="221" t="s">
        <v>105</v>
      </c>
      <c r="D18" s="221" t="s">
        <v>832</v>
      </c>
      <c r="E18" s="221" t="s">
        <v>832</v>
      </c>
      <c r="F18" s="222" t="s">
        <v>3369</v>
      </c>
      <c r="G18" s="223" t="n">
        <v>45893</v>
      </c>
      <c r="H18" s="224" t="n">
        <v>56</v>
      </c>
      <c r="I18" s="225" t="n">
        <v>10</v>
      </c>
      <c r="J18" s="226" t="n">
        <v>6.4</v>
      </c>
      <c r="K18" s="226" t="n">
        <f aca="false">Таблица4[[#This Row],[Количество внесения, п.е.]]/Таблица4[[#This Row],[Площадь внесения, га]]</f>
        <v>0.64</v>
      </c>
      <c r="L18" s="227" t="n">
        <v>14</v>
      </c>
      <c r="M18" s="221" t="n">
        <f aca="false">Таблица4[[#This Row],[Урожайность план, т/га]]*Таблица4[[#This Row],[Площадь внесения, га]]</f>
        <v>140</v>
      </c>
      <c r="N18" s="228" t="n">
        <v>0.13</v>
      </c>
      <c r="O18" s="229" t="n">
        <f aca="false">Таблица4[[#This Row],[Валовый сбор план, т]]*(1-Таблица4[[#This Row],[Рефакция план, %]])</f>
        <v>121.8</v>
      </c>
      <c r="P18" s="225" t="n">
        <v>10</v>
      </c>
      <c r="Q18" s="231" t="n">
        <f aca="false">Таблица4[[#This Row],[Площадь внесения, га]]-Таблица4[[#This Row],[Площадь уборки, га]]</f>
        <v>0</v>
      </c>
      <c r="R18" s="225"/>
      <c r="S18" s="227" t="n">
        <f aca="false">IFERROR(Таблица4[[#This Row],[Валовый сбор факт, т]]/Таблица4[[#This Row],[Площадь уборки, га]], "-")</f>
        <v>19.676</v>
      </c>
      <c r="T18" s="229" t="n">
        <f aca="false">196760/1000</f>
        <v>196.76</v>
      </c>
      <c r="U18" s="228" t="n">
        <f aca="false">IFERROR(1-Таблица4[[#This Row],[Зачетный вес факт, т]]/Таблица4[[#This Row],[Валовый сбор факт, т]], "-")</f>
        <v>0.106900284610693</v>
      </c>
      <c r="V18" s="229" t="n">
        <f aca="false">175726.3/1000</f>
        <v>175.7263</v>
      </c>
      <c r="W18" s="221"/>
    </row>
    <row r="19" customFormat="false" ht="23.25" hidden="false" customHeight="true" outlineLevel="0" collapsed="false">
      <c r="A19" s="220" t="s">
        <v>3356</v>
      </c>
      <c r="B19" s="220" t="s">
        <v>228</v>
      </c>
      <c r="C19" s="221"/>
      <c r="D19" s="221"/>
      <c r="E19" s="221" t="s">
        <v>832</v>
      </c>
      <c r="F19" s="222" t="s">
        <v>3369</v>
      </c>
      <c r="G19" s="223" t="s">
        <v>3371</v>
      </c>
      <c r="H19" s="224" t="n">
        <v>118</v>
      </c>
      <c r="I19" s="225" t="n">
        <v>118</v>
      </c>
      <c r="J19" s="226" t="n">
        <v>76.4</v>
      </c>
      <c r="K19" s="226" t="n">
        <f aca="false">Таблица4[[#This Row],[Количество внесения, п.е.]]/Таблица4[[#This Row],[Площадь внесения, га]]</f>
        <v>0.647457627118644</v>
      </c>
      <c r="L19" s="227" t="n">
        <v>14</v>
      </c>
      <c r="M19" s="221" t="n">
        <f aca="false">Таблица4[[#This Row],[Урожайность план, т/га]]*Таблица4[[#This Row],[Площадь внесения, га]]</f>
        <v>1652</v>
      </c>
      <c r="N19" s="228" t="n">
        <v>0.13</v>
      </c>
      <c r="O19" s="229" t="n">
        <f aca="false">Таблица4[[#This Row],[Валовый сбор план, т]]*(1-Таблица4[[#This Row],[Рефакция план, %]])</f>
        <v>1437.24</v>
      </c>
      <c r="P19" s="225" t="n">
        <v>118</v>
      </c>
      <c r="Q19" s="231" t="n">
        <f aca="false">Таблица4[[#This Row],[Площадь внесения, га]]-Таблица4[[#This Row],[Площадь уборки, га]]</f>
        <v>0</v>
      </c>
      <c r="R19" s="225"/>
      <c r="S19" s="227" t="n">
        <f aca="false">IFERROR(Таблица4[[#This Row],[Валовый сбор факт, т]]/Таблица4[[#This Row],[Площадь уборки, га]], "-")</f>
        <v>18.203813559322</v>
      </c>
      <c r="T19" s="229" t="n">
        <f aca="false">2148050/1000</f>
        <v>2148.05</v>
      </c>
      <c r="U19" s="228" t="n">
        <f aca="false">IFERROR(1-Таблица4[[#This Row],[Зачетный вес факт, т]]/Таблица4[[#This Row],[Валовый сбор факт, т]], "-")</f>
        <v>0.127636973068597</v>
      </c>
      <c r="V19" s="229" t="n">
        <f aca="false">1873879.4/1000</f>
        <v>1873.8794</v>
      </c>
      <c r="W19" s="221"/>
    </row>
    <row r="20" customFormat="false" ht="23.25" hidden="true" customHeight="true" outlineLevel="0" collapsed="false">
      <c r="A20" s="220" t="s">
        <v>3356</v>
      </c>
      <c r="B20" s="220" t="s">
        <v>228</v>
      </c>
      <c r="C20" s="221" t="s">
        <v>105</v>
      </c>
      <c r="D20" s="221" t="s">
        <v>832</v>
      </c>
      <c r="E20" s="221"/>
      <c r="F20" s="222" t="s">
        <v>3369</v>
      </c>
      <c r="G20" s="223"/>
      <c r="H20" s="224" t="n">
        <v>92</v>
      </c>
      <c r="I20" s="225" t="n">
        <v>92</v>
      </c>
      <c r="J20" s="226" t="n">
        <v>59.4</v>
      </c>
      <c r="K20" s="226" t="n">
        <f aca="false">Таблица4[[#This Row],[Количество внесения, п.е.]]/Таблица4[[#This Row],[Площадь внесения, га]]</f>
        <v>0.645652173913043</v>
      </c>
      <c r="L20" s="227" t="n">
        <v>14</v>
      </c>
      <c r="M20" s="221" t="n">
        <f aca="false">Таблица4[[#This Row],[Урожайность план, т/га]]*Таблица4[[#This Row],[Площадь внесения, га]]</f>
        <v>1288</v>
      </c>
      <c r="N20" s="228" t="n">
        <v>0.13</v>
      </c>
      <c r="O20" s="229" t="n">
        <f aca="false">Таблица4[[#This Row],[Валовый сбор план, т]]*(1-Таблица4[[#This Row],[Рефакция план, %]])</f>
        <v>1120.56</v>
      </c>
      <c r="P20" s="225"/>
      <c r="Q20" s="225" t="n">
        <f aca="false">Таблица4[[#This Row],[Площадь внесения, га]]-Таблица4[[#This Row],[Площадь уборки, га]]</f>
        <v>92</v>
      </c>
      <c r="R20" s="225"/>
      <c r="S20" s="227" t="str">
        <f aca="false">IFERROR(Таблица4[[#This Row],[Валовый сбор факт, т]]/Таблица4[[#This Row],[Площадь уборки, га]], "-")</f>
        <v>-</v>
      </c>
      <c r="T20" s="229"/>
      <c r="U20" s="228" t="str">
        <f aca="false">IFERROR(1-Таблица4[[#This Row],[Зачетный вес факт, т]]/Таблица4[[#This Row],[Валовый сбор факт, т]], "-")</f>
        <v>-</v>
      </c>
      <c r="V20" s="229"/>
      <c r="W20" s="221"/>
    </row>
    <row r="21" customFormat="false" ht="23.25" hidden="true" customHeight="true" outlineLevel="0" collapsed="false">
      <c r="A21" s="220" t="s">
        <v>113</v>
      </c>
      <c r="B21" s="220" t="s">
        <v>228</v>
      </c>
      <c r="C21" s="221" t="s">
        <v>115</v>
      </c>
      <c r="D21" s="221" t="s">
        <v>279</v>
      </c>
      <c r="E21" s="221"/>
      <c r="F21" s="222" t="s">
        <v>3370</v>
      </c>
      <c r="G21" s="222"/>
      <c r="H21" s="224" t="n">
        <v>26</v>
      </c>
      <c r="I21" s="225" t="n">
        <v>26</v>
      </c>
      <c r="J21" s="226" t="n">
        <v>17</v>
      </c>
      <c r="K21" s="226" t="n">
        <f aca="false">Таблица4[[#This Row],[Количество внесения, п.е.]]/Таблица4[[#This Row],[Площадь внесения, га]]</f>
        <v>0.653846153846154</v>
      </c>
      <c r="L21" s="227" t="n">
        <v>20</v>
      </c>
      <c r="M21" s="221" t="n">
        <f aca="false">Таблица4[[#This Row],[Урожайность план, т/га]]*Таблица4[[#This Row],[Площадь внесения, га]]</f>
        <v>520</v>
      </c>
      <c r="N21" s="228" t="n">
        <v>0.13</v>
      </c>
      <c r="O21" s="229" t="n">
        <f aca="false">Таблица4[[#This Row],[Валовый сбор план, т]]*(1-Таблица4[[#This Row],[Рефакция план, %]])</f>
        <v>452.4</v>
      </c>
      <c r="P21" s="225"/>
      <c r="Q21" s="225" t="n">
        <f aca="false">Таблица4[[#This Row],[Площадь внесения, га]]-Таблица4[[#This Row],[Площадь уборки, га]]</f>
        <v>26</v>
      </c>
      <c r="R21" s="225"/>
      <c r="S21" s="227" t="str">
        <f aca="false">IFERROR(Таблица4[[#This Row],[Валовый сбор факт, т]]/Таблица4[[#This Row],[Площадь уборки, га]], "-")</f>
        <v>-</v>
      </c>
      <c r="T21" s="229"/>
      <c r="U21" s="228" t="str">
        <f aca="false">IFERROR(1-Таблица4[[#This Row],[Зачетный вес факт, т]]/Таблица4[[#This Row],[Валовый сбор факт, т]], "-")</f>
        <v>-</v>
      </c>
      <c r="V21" s="229"/>
      <c r="W21" s="221"/>
    </row>
    <row r="22" customFormat="false" ht="23.25" hidden="false" customHeight="true" outlineLevel="0" collapsed="false">
      <c r="A22" s="220" t="s">
        <v>113</v>
      </c>
      <c r="B22" s="220" t="s">
        <v>231</v>
      </c>
      <c r="C22" s="221" t="s">
        <v>115</v>
      </c>
      <c r="D22" s="221" t="s">
        <v>279</v>
      </c>
      <c r="E22" s="221" t="s">
        <v>279</v>
      </c>
      <c r="F22" s="222" t="s">
        <v>3372</v>
      </c>
      <c r="G22" s="222" t="s">
        <v>3373</v>
      </c>
      <c r="H22" s="224" t="n">
        <v>72</v>
      </c>
      <c r="I22" s="225" t="n">
        <v>72</v>
      </c>
      <c r="J22" s="226" t="n">
        <v>47</v>
      </c>
      <c r="K22" s="226" t="n">
        <f aca="false">Таблица4[[#This Row],[Количество внесения, п.е.]]/Таблица4[[#This Row],[Площадь внесения, га]]</f>
        <v>0.652777777777778</v>
      </c>
      <c r="L22" s="227" t="n">
        <v>20</v>
      </c>
      <c r="M22" s="221" t="n">
        <f aca="false">Таблица4[[#This Row],[Урожайность план, т/га]]*Таблица4[[#This Row],[Площадь внесения, га]]</f>
        <v>1440</v>
      </c>
      <c r="N22" s="228" t="n">
        <v>0.13</v>
      </c>
      <c r="O22" s="229" t="n">
        <f aca="false">Таблица4[[#This Row],[Валовый сбор план, т]]*(1-Таблица4[[#This Row],[Рефакция план, %]])</f>
        <v>1252.8</v>
      </c>
      <c r="P22" s="225" t="n">
        <v>72</v>
      </c>
      <c r="Q22" s="231" t="n">
        <f aca="false">Таблица4[[#This Row],[Площадь внесения, га]]-Таблица4[[#This Row],[Площадь уборки, га]]</f>
        <v>0</v>
      </c>
      <c r="R22" s="225"/>
      <c r="S22" s="227" t="n">
        <f aca="false">IFERROR(Таблица4[[#This Row],[Валовый сбор факт, т]]/Таблица4[[#This Row],[Площадь уборки, га]], "-")</f>
        <v>16.4691666666667</v>
      </c>
      <c r="T22" s="229" t="n">
        <f aca="false">1185780/1000</f>
        <v>1185.78</v>
      </c>
      <c r="U22" s="228" t="n">
        <f aca="false">IFERROR(1-Таблица4[[#This Row],[Зачетный вес факт, т]]/Таблица4[[#This Row],[Валовый сбор факт, т]], "-")</f>
        <v>0.134354939364806</v>
      </c>
      <c r="V22" s="229" t="n">
        <f aca="false">1026464.6/1000</f>
        <v>1026.4646</v>
      </c>
      <c r="W22" s="221"/>
    </row>
    <row r="23" customFormat="false" ht="23.25" hidden="false" customHeight="true" outlineLevel="0" collapsed="false">
      <c r="A23" s="220" t="s">
        <v>113</v>
      </c>
      <c r="B23" s="220" t="s">
        <v>232</v>
      </c>
      <c r="C23" s="221" t="s">
        <v>115</v>
      </c>
      <c r="D23" s="221" t="s">
        <v>279</v>
      </c>
      <c r="E23" s="221" t="s">
        <v>279</v>
      </c>
      <c r="F23" s="222" t="s">
        <v>3372</v>
      </c>
      <c r="G23" s="222" t="s">
        <v>3374</v>
      </c>
      <c r="H23" s="224" t="n">
        <v>72</v>
      </c>
      <c r="I23" s="225" t="n">
        <v>72</v>
      </c>
      <c r="J23" s="226" t="n">
        <v>47</v>
      </c>
      <c r="K23" s="226" t="n">
        <f aca="false">Таблица4[[#This Row],[Количество внесения, п.е.]]/Таблица4[[#This Row],[Площадь внесения, га]]</f>
        <v>0.652777777777778</v>
      </c>
      <c r="L23" s="227" t="n">
        <v>20</v>
      </c>
      <c r="M23" s="221" t="n">
        <f aca="false">Таблица4[[#This Row],[Урожайность план, т/га]]*Таблица4[[#This Row],[Площадь внесения, га]]</f>
        <v>1440</v>
      </c>
      <c r="N23" s="228" t="n">
        <v>0.13</v>
      </c>
      <c r="O23" s="229" t="n">
        <f aca="false">Таблица4[[#This Row],[Валовый сбор план, т]]*(1-Таблица4[[#This Row],[Рефакция план, %]])</f>
        <v>1252.8</v>
      </c>
      <c r="P23" s="225" t="n">
        <v>72</v>
      </c>
      <c r="Q23" s="231" t="n">
        <f aca="false">Таблица4[[#This Row],[Площадь внесения, га]]-Таблица4[[#This Row],[Площадь уборки, га]]</f>
        <v>0</v>
      </c>
      <c r="R23" s="225"/>
      <c r="S23" s="227" t="n">
        <f aca="false">IFERROR(Таблица4[[#This Row],[Валовый сбор факт, т]]/Таблица4[[#This Row],[Площадь уборки, га]], "-")</f>
        <v>14.4827777777778</v>
      </c>
      <c r="T23" s="229" t="n">
        <f aca="false">1042760/1000</f>
        <v>1042.76</v>
      </c>
      <c r="U23" s="228" t="n">
        <f aca="false">IFERROR(1-Таблица4[[#This Row],[Зачетный вес факт, т]]/Таблица4[[#This Row],[Валовый сбор факт, т]], "-")</f>
        <v>0.115938758678891</v>
      </c>
      <c r="V23" s="229" t="n">
        <f aca="false">921863.7/1000</f>
        <v>921.8637</v>
      </c>
      <c r="W23" s="221"/>
    </row>
    <row r="24" customFormat="false" ht="23.25" hidden="false" customHeight="true" outlineLevel="0" collapsed="false">
      <c r="A24" s="220" t="s">
        <v>113</v>
      </c>
      <c r="B24" s="220" t="s">
        <v>233</v>
      </c>
      <c r="C24" s="221" t="s">
        <v>115</v>
      </c>
      <c r="D24" s="221" t="s">
        <v>279</v>
      </c>
      <c r="E24" s="221" t="s">
        <v>279</v>
      </c>
      <c r="F24" s="222" t="s">
        <v>3372</v>
      </c>
      <c r="G24" s="222" t="s">
        <v>3375</v>
      </c>
      <c r="H24" s="224" t="n">
        <v>36</v>
      </c>
      <c r="I24" s="225" t="n">
        <v>36</v>
      </c>
      <c r="J24" s="226" t="n">
        <v>23.5</v>
      </c>
      <c r="K24" s="226" t="n">
        <f aca="false">Таблица4[[#This Row],[Количество внесения, п.е.]]/Таблица4[[#This Row],[Площадь внесения, га]]</f>
        <v>0.652777777777778</v>
      </c>
      <c r="L24" s="227" t="n">
        <v>20</v>
      </c>
      <c r="M24" s="221" t="n">
        <f aca="false">Таблица4[[#This Row],[Урожайность план, т/га]]*Таблица4[[#This Row],[Площадь внесения, га]]</f>
        <v>720</v>
      </c>
      <c r="N24" s="228" t="n">
        <v>0.13</v>
      </c>
      <c r="O24" s="229" t="n">
        <f aca="false">Таблица4[[#This Row],[Валовый сбор план, т]]*(1-Таблица4[[#This Row],[Рефакция план, %]])</f>
        <v>626.4</v>
      </c>
      <c r="P24" s="225" t="n">
        <v>36</v>
      </c>
      <c r="Q24" s="231" t="n">
        <f aca="false">Таблица4[[#This Row],[Площадь внесения, га]]-Таблица4[[#This Row],[Площадь уборки, га]]</f>
        <v>0</v>
      </c>
      <c r="R24" s="225"/>
      <c r="S24" s="227" t="n">
        <f aca="false">IFERROR(Таблица4[[#This Row],[Валовый сбор факт, т]]/Таблица4[[#This Row],[Площадь уборки, га]], "-")</f>
        <v>14.5411111111111</v>
      </c>
      <c r="T24" s="229" t="n">
        <f aca="false">523480/1000</f>
        <v>523.48</v>
      </c>
      <c r="U24" s="228" t="n">
        <f aca="false">IFERROR(1-Таблица4[[#This Row],[Зачетный вес факт, т]]/Таблица4[[#This Row],[Валовый сбор факт, т]], "-")</f>
        <v>0.118542064644304</v>
      </c>
      <c r="V24" s="229" t="n">
        <f aca="false">461425.6/1000</f>
        <v>461.4256</v>
      </c>
      <c r="W24" s="221"/>
    </row>
    <row r="25" customFormat="false" ht="23.25" hidden="false" customHeight="true" outlineLevel="0" collapsed="false">
      <c r="A25" s="220" t="s">
        <v>113</v>
      </c>
      <c r="B25" s="220" t="s">
        <v>234</v>
      </c>
      <c r="C25" s="221" t="s">
        <v>115</v>
      </c>
      <c r="D25" s="221" t="s">
        <v>279</v>
      </c>
      <c r="E25" s="221" t="s">
        <v>279</v>
      </c>
      <c r="F25" s="222" t="s">
        <v>3372</v>
      </c>
      <c r="G25" s="222" t="s">
        <v>3376</v>
      </c>
      <c r="H25" s="224" t="n">
        <v>36</v>
      </c>
      <c r="I25" s="225" t="n">
        <v>36</v>
      </c>
      <c r="J25" s="226" t="n">
        <v>23.6</v>
      </c>
      <c r="K25" s="226" t="n">
        <f aca="false">Таблица4[[#This Row],[Количество внесения, п.е.]]/Таблица4[[#This Row],[Площадь внесения, га]]</f>
        <v>0.655555555555556</v>
      </c>
      <c r="L25" s="227" t="n">
        <v>20</v>
      </c>
      <c r="M25" s="221" t="n">
        <f aca="false">Таблица4[[#This Row],[Урожайность план, т/га]]*Таблица4[[#This Row],[Площадь внесения, га]]</f>
        <v>720</v>
      </c>
      <c r="N25" s="228" t="n">
        <v>0.13</v>
      </c>
      <c r="O25" s="229" t="n">
        <f aca="false">Таблица4[[#This Row],[Валовый сбор план, т]]*(1-Таблица4[[#This Row],[Рефакция план, %]])</f>
        <v>626.4</v>
      </c>
      <c r="P25" s="225" t="n">
        <v>36</v>
      </c>
      <c r="Q25" s="231" t="n">
        <f aca="false">Таблица4[[#This Row],[Площадь внесения, га]]-Таблица4[[#This Row],[Площадь уборки, га]]</f>
        <v>0</v>
      </c>
      <c r="R25" s="225"/>
      <c r="S25" s="227" t="n">
        <f aca="false">IFERROR(Таблица4[[#This Row],[Валовый сбор факт, т]]/Таблица4[[#This Row],[Площадь уборки, га]], "-")</f>
        <v>16.3458333333333</v>
      </c>
      <c r="T25" s="229" t="n">
        <f aca="false">588450/1000</f>
        <v>588.45</v>
      </c>
      <c r="U25" s="228" t="n">
        <f aca="false">IFERROR(1-Таблица4[[#This Row],[Зачетный вес факт, т]]/Таблица4[[#This Row],[Валовый сбор факт, т]], "-")</f>
        <v>0.0753579743393662</v>
      </c>
      <c r="V25" s="229" t="n">
        <f aca="false">544105.6/1000</f>
        <v>544.1056</v>
      </c>
      <c r="W25" s="221"/>
    </row>
    <row r="26" customFormat="false" ht="23.25" hidden="false" customHeight="true" outlineLevel="0" collapsed="false">
      <c r="A26" s="220" t="s">
        <v>113</v>
      </c>
      <c r="B26" s="220" t="s">
        <v>235</v>
      </c>
      <c r="C26" s="221" t="s">
        <v>115</v>
      </c>
      <c r="D26" s="221" t="s">
        <v>279</v>
      </c>
      <c r="E26" s="221" t="s">
        <v>279</v>
      </c>
      <c r="F26" s="222" t="s">
        <v>3372</v>
      </c>
      <c r="G26" s="223" t="s">
        <v>3377</v>
      </c>
      <c r="H26" s="224" t="n">
        <v>29</v>
      </c>
      <c r="I26" s="225" t="n">
        <v>29</v>
      </c>
      <c r="J26" s="226" t="n">
        <v>19.1</v>
      </c>
      <c r="K26" s="226" t="n">
        <f aca="false">Таблица4[[#This Row],[Количество внесения, п.е.]]/Таблица4[[#This Row],[Площадь внесения, га]]</f>
        <v>0.658620689655173</v>
      </c>
      <c r="L26" s="227" t="n">
        <v>20</v>
      </c>
      <c r="M26" s="221" t="n">
        <f aca="false">Таблица4[[#This Row],[Урожайность план, т/га]]*Таблица4[[#This Row],[Площадь внесения, га]]</f>
        <v>580</v>
      </c>
      <c r="N26" s="228" t="n">
        <v>0.13</v>
      </c>
      <c r="O26" s="229" t="n">
        <f aca="false">Таблица4[[#This Row],[Валовый сбор план, т]]*(1-Таблица4[[#This Row],[Рефакция план, %]])</f>
        <v>504.6</v>
      </c>
      <c r="P26" s="225" t="n">
        <v>29</v>
      </c>
      <c r="Q26" s="231" t="n">
        <f aca="false">Таблица4[[#This Row],[Площадь внесения, га]]-Таблица4[[#This Row],[Площадь уборки, га]]</f>
        <v>0</v>
      </c>
      <c r="R26" s="225"/>
      <c r="S26" s="227" t="n">
        <f aca="false">IFERROR(Таблица4[[#This Row],[Валовый сбор факт, т]]/Таблица4[[#This Row],[Площадь уборки, га]], "-")</f>
        <v>16.2141379310345</v>
      </c>
      <c r="T26" s="229" t="n">
        <f aca="false">470210/1000</f>
        <v>470.21</v>
      </c>
      <c r="U26" s="228" t="n">
        <f aca="false">IFERROR(1-Таблица4[[#This Row],[Зачетный вес факт, т]]/Таблица4[[#This Row],[Валовый сбор факт, т]], "-")</f>
        <v>0.116849280108888</v>
      </c>
      <c r="V26" s="229" t="n">
        <f aca="false">415266.3/1000</f>
        <v>415.2663</v>
      </c>
      <c r="W26" s="221"/>
    </row>
    <row r="27" customFormat="false" ht="23.25" hidden="false" customHeight="true" outlineLevel="0" collapsed="false">
      <c r="A27" s="220" t="s">
        <v>113</v>
      </c>
      <c r="B27" s="220" t="s">
        <v>236</v>
      </c>
      <c r="C27" s="221" t="s">
        <v>115</v>
      </c>
      <c r="D27" s="221" t="s">
        <v>279</v>
      </c>
      <c r="E27" s="221" t="s">
        <v>279</v>
      </c>
      <c r="F27" s="222" t="s">
        <v>3372</v>
      </c>
      <c r="G27" s="223" t="s">
        <v>3378</v>
      </c>
      <c r="H27" s="224" t="n">
        <v>36</v>
      </c>
      <c r="I27" s="225" t="n">
        <v>36</v>
      </c>
      <c r="J27" s="226" t="n">
        <v>23.4</v>
      </c>
      <c r="K27" s="226" t="n">
        <f aca="false">Таблица4[[#This Row],[Количество внесения, п.е.]]/Таблица4[[#This Row],[Площадь внесения, га]]</f>
        <v>0.65</v>
      </c>
      <c r="L27" s="227" t="n">
        <v>20</v>
      </c>
      <c r="M27" s="221" t="n">
        <f aca="false">Таблица4[[#This Row],[Урожайность план, т/га]]*Таблица4[[#This Row],[Площадь внесения, га]]</f>
        <v>720</v>
      </c>
      <c r="N27" s="228" t="n">
        <v>0.13</v>
      </c>
      <c r="O27" s="229" t="n">
        <f aca="false">Таблица4[[#This Row],[Валовый сбор план, т]]*(1-Таблица4[[#This Row],[Рефакция план, %]])</f>
        <v>626.4</v>
      </c>
      <c r="P27" s="225" t="n">
        <v>36</v>
      </c>
      <c r="Q27" s="231" t="n">
        <f aca="false">Таблица4[[#This Row],[Площадь внесения, га]]-Таблица4[[#This Row],[Площадь уборки, га]]</f>
        <v>0</v>
      </c>
      <c r="R27" s="225"/>
      <c r="S27" s="227" t="n">
        <f aca="false">IFERROR(Таблица4[[#This Row],[Валовый сбор факт, т]]/Таблица4[[#This Row],[Площадь уборки, га]], "-")</f>
        <v>17.0955555555556</v>
      </c>
      <c r="T27" s="229" t="n">
        <f aca="false">615440/1000</f>
        <v>615.44</v>
      </c>
      <c r="U27" s="228" t="n">
        <f aca="false">IFERROR(1-Таблица4[[#This Row],[Зачетный вес факт, т]]/Таблица4[[#This Row],[Валовый сбор факт, т]], "-")</f>
        <v>0.0817795398414144</v>
      </c>
      <c r="V27" s="229" t="n">
        <f aca="false">565109.6/1000</f>
        <v>565.1096</v>
      </c>
      <c r="W27" s="221"/>
    </row>
    <row r="28" customFormat="false" ht="23.25" hidden="false" customHeight="true" outlineLevel="0" collapsed="false">
      <c r="A28" s="220" t="s">
        <v>113</v>
      </c>
      <c r="B28" s="220" t="s">
        <v>237</v>
      </c>
      <c r="C28" s="221" t="s">
        <v>115</v>
      </c>
      <c r="D28" s="221" t="s">
        <v>279</v>
      </c>
      <c r="E28" s="221" t="s">
        <v>279</v>
      </c>
      <c r="F28" s="222" t="s">
        <v>3372</v>
      </c>
      <c r="G28" s="223" t="s">
        <v>3379</v>
      </c>
      <c r="H28" s="224" t="n">
        <v>36</v>
      </c>
      <c r="I28" s="225" t="n">
        <v>36</v>
      </c>
      <c r="J28" s="226" t="n">
        <v>23.4</v>
      </c>
      <c r="K28" s="226" t="n">
        <f aca="false">Таблица4[[#This Row],[Количество внесения, п.е.]]/Таблица4[[#This Row],[Площадь внесения, га]]</f>
        <v>0.65</v>
      </c>
      <c r="L28" s="227" t="n">
        <v>20</v>
      </c>
      <c r="M28" s="221" t="n">
        <f aca="false">Таблица4[[#This Row],[Урожайность план, т/га]]*Таблица4[[#This Row],[Площадь внесения, га]]</f>
        <v>720</v>
      </c>
      <c r="N28" s="228" t="n">
        <v>0.13</v>
      </c>
      <c r="O28" s="229" t="n">
        <f aca="false">Таблица4[[#This Row],[Валовый сбор план, т]]*(1-Таблица4[[#This Row],[Рефакция план, %]])</f>
        <v>626.4</v>
      </c>
      <c r="P28" s="225" t="n">
        <v>36</v>
      </c>
      <c r="Q28" s="231" t="n">
        <f aca="false">Таблица4[[#This Row],[Площадь внесения, га]]-Таблица4[[#This Row],[Площадь уборки, га]]</f>
        <v>0</v>
      </c>
      <c r="R28" s="225"/>
      <c r="S28" s="227" t="n">
        <f aca="false">IFERROR(Таблица4[[#This Row],[Валовый сбор факт, т]]/Таблица4[[#This Row],[Площадь уборки, га]], "-")</f>
        <v>18.5141666666667</v>
      </c>
      <c r="T28" s="229" t="n">
        <f aca="false">666510/1000</f>
        <v>666.51</v>
      </c>
      <c r="U28" s="228" t="n">
        <f aca="false">IFERROR(1-Таблица4[[#This Row],[Зачетный вес факт, т]]/Таблица4[[#This Row],[Валовый сбор факт, т]], "-")</f>
        <v>0.09469280280866</v>
      </c>
      <c r="V28" s="229" t="n">
        <f aca="false">603396.3/1000</f>
        <v>603.3963</v>
      </c>
      <c r="W28" s="221"/>
    </row>
    <row r="29" customFormat="false" ht="23.25" hidden="false" customHeight="true" outlineLevel="0" collapsed="false">
      <c r="A29" s="220" t="s">
        <v>147</v>
      </c>
      <c r="B29" s="220" t="s">
        <v>103</v>
      </c>
      <c r="C29" s="221" t="s">
        <v>115</v>
      </c>
      <c r="D29" s="221" t="s">
        <v>279</v>
      </c>
      <c r="E29" s="221" t="s">
        <v>279</v>
      </c>
      <c r="F29" s="222" t="s">
        <v>3380</v>
      </c>
      <c r="G29" s="222"/>
      <c r="H29" s="224" t="n">
        <v>102</v>
      </c>
      <c r="I29" s="225" t="n">
        <v>63</v>
      </c>
      <c r="J29" s="226" t="n">
        <v>39</v>
      </c>
      <c r="K29" s="226" t="n">
        <f aca="false">Таблица4[[#This Row],[Количество внесения, п.е.]]/Таблица4[[#This Row],[Площадь внесения, га]]</f>
        <v>0.619047619047619</v>
      </c>
      <c r="L29" s="227" t="n">
        <v>18</v>
      </c>
      <c r="M29" s="221" t="n">
        <f aca="false">Таблица4[[#This Row],[Урожайность план, т/га]]*Таблица4[[#This Row],[Площадь внесения, га]]</f>
        <v>1134</v>
      </c>
      <c r="N29" s="228" t="n">
        <v>0.13</v>
      </c>
      <c r="O29" s="229" t="n">
        <f aca="false">Таблица4[[#This Row],[Валовый сбор план, т]]*(1-Таблица4[[#This Row],[Рефакция план, %]])</f>
        <v>986.58</v>
      </c>
      <c r="P29" s="225" t="n">
        <v>63</v>
      </c>
      <c r="Q29" s="231" t="n">
        <f aca="false">Таблица4[[#This Row],[Площадь внесения, га]]-Таблица4[[#This Row],[Площадь уборки, га]]</f>
        <v>0</v>
      </c>
      <c r="R29" s="225"/>
      <c r="S29" s="227" t="n">
        <f aca="false">IFERROR(Таблица4[[#This Row],[Валовый сбор факт, т]]/Таблица4[[#This Row],[Площадь уборки, га]], "-")</f>
        <v>14.0674603174603</v>
      </c>
      <c r="T29" s="229" t="n">
        <f aca="false">886250/1000</f>
        <v>886.25</v>
      </c>
      <c r="U29" s="228" t="n">
        <f aca="false">IFERROR(1-Таблица4[[#This Row],[Зачетный вес факт, т]]/Таблица4[[#This Row],[Валовый сбор факт, т]], "-")</f>
        <v>0.141251904090268</v>
      </c>
      <c r="V29" s="229" t="n">
        <f aca="false">761065.5/1000</f>
        <v>761.0655</v>
      </c>
      <c r="W29" s="221"/>
    </row>
    <row r="30" customFormat="false" ht="23.25" hidden="false" customHeight="true" outlineLevel="0" collapsed="false">
      <c r="A30" s="220" t="s">
        <v>147</v>
      </c>
      <c r="B30" s="220" t="s">
        <v>103</v>
      </c>
      <c r="C30" s="221" t="s">
        <v>87</v>
      </c>
      <c r="D30" s="221" t="s">
        <v>87</v>
      </c>
      <c r="E30" s="221" t="s">
        <v>87</v>
      </c>
      <c r="F30" s="222" t="s">
        <v>3380</v>
      </c>
      <c r="G30" s="222"/>
      <c r="H30" s="224" t="n">
        <v>102</v>
      </c>
      <c r="I30" s="225" t="n">
        <v>10</v>
      </c>
      <c r="J30" s="226" t="n">
        <v>50</v>
      </c>
      <c r="K30" s="226" t="n">
        <f aca="false">Таблица4[[#This Row],[Количество внесения, п.е.]]/Таблица4[[#This Row],[Площадь внесения, га]]</f>
        <v>5</v>
      </c>
      <c r="L30" s="227" t="n">
        <v>18</v>
      </c>
      <c r="M30" s="221" t="n">
        <f aca="false">Таблица4[[#This Row],[Урожайность план, т/га]]*Таблица4[[#This Row],[Площадь внесения, га]]</f>
        <v>180</v>
      </c>
      <c r="N30" s="228" t="n">
        <v>0.13</v>
      </c>
      <c r="O30" s="229" t="n">
        <f aca="false">Таблица4[[#This Row],[Валовый сбор план, т]]*(1-Таблица4[[#This Row],[Рефакция план, %]])</f>
        <v>156.6</v>
      </c>
      <c r="P30" s="225" t="n">
        <v>10</v>
      </c>
      <c r="Q30" s="231" t="n">
        <f aca="false">Таблица4[[#This Row],[Площадь внесения, га]]-Таблица4[[#This Row],[Площадь уборки, га]]</f>
        <v>0</v>
      </c>
      <c r="R30" s="225"/>
      <c r="S30" s="227" t="n">
        <f aca="false">IFERROR(Таблица4[[#This Row],[Валовый сбор факт, т]]/Таблица4[[#This Row],[Площадь уборки, га]], "-")</f>
        <v>12.924</v>
      </c>
      <c r="T30" s="229" t="n">
        <f aca="false">129240/1000</f>
        <v>129.24</v>
      </c>
      <c r="U30" s="228" t="n">
        <f aca="false">IFERROR(1-Таблица4[[#This Row],[Зачетный вес факт, т]]/Таблица4[[#This Row],[Валовый сбор факт, т]], "-")</f>
        <v>0.192548746518106</v>
      </c>
      <c r="V30" s="229" t="n">
        <f aca="false">104355/1000</f>
        <v>104.355</v>
      </c>
      <c r="W30" s="221"/>
    </row>
    <row r="31" customFormat="false" ht="23.25" hidden="false" customHeight="true" outlineLevel="0" collapsed="false">
      <c r="A31" s="220" t="s">
        <v>147</v>
      </c>
      <c r="B31" s="220" t="s">
        <v>103</v>
      </c>
      <c r="C31" s="221" t="s">
        <v>131</v>
      </c>
      <c r="D31" s="221" t="s">
        <v>87</v>
      </c>
      <c r="E31" s="221" t="s">
        <v>87</v>
      </c>
      <c r="F31" s="222" t="s">
        <v>3380</v>
      </c>
      <c r="G31" s="222"/>
      <c r="H31" s="224" t="n">
        <v>102</v>
      </c>
      <c r="I31" s="225" t="n">
        <v>29</v>
      </c>
      <c r="J31" s="226" t="n">
        <v>18.9</v>
      </c>
      <c r="K31" s="226" t="n">
        <f aca="false">Таблица4[[#This Row],[Количество внесения, п.е.]]/Таблица4[[#This Row],[Площадь внесения, га]]</f>
        <v>0.651724137931035</v>
      </c>
      <c r="L31" s="227" t="n">
        <v>18</v>
      </c>
      <c r="M31" s="221" t="n">
        <f aca="false">Таблица4[[#This Row],[Урожайность план, т/га]]*Таблица4[[#This Row],[Площадь внесения, га]]</f>
        <v>522</v>
      </c>
      <c r="N31" s="228" t="n">
        <v>0.13</v>
      </c>
      <c r="O31" s="229" t="n">
        <f aca="false">Таблица4[[#This Row],[Валовый сбор план, т]]*(1-Таблица4[[#This Row],[Рефакция план, %]])</f>
        <v>454.14</v>
      </c>
      <c r="P31" s="225" t="n">
        <v>29</v>
      </c>
      <c r="Q31" s="231" t="n">
        <f aca="false">Таблица4[[#This Row],[Площадь внесения, га]]-Таблица4[[#This Row],[Площадь уборки, га]]</f>
        <v>0</v>
      </c>
      <c r="R31" s="225"/>
      <c r="S31" s="227" t="n">
        <f aca="false">IFERROR(Таблица4[[#This Row],[Валовый сбор факт, т]]/Таблица4[[#This Row],[Площадь уборки, га]], "-")</f>
        <v>12.2358620689655</v>
      </c>
      <c r="T31" s="229" t="n">
        <f aca="false">354840/1000</f>
        <v>354.84</v>
      </c>
      <c r="U31" s="228" t="n">
        <f aca="false">IFERROR(1-Таблица4[[#This Row],[Зачетный вес факт, т]]/Таблица4[[#This Row],[Валовый сбор факт, т]], "-")</f>
        <v>0.137625972269192</v>
      </c>
      <c r="V31" s="229" t="n">
        <f aca="false">306004.8/1000</f>
        <v>306.0048</v>
      </c>
      <c r="W31" s="221"/>
    </row>
    <row r="32" customFormat="false" ht="23.25" hidden="false" customHeight="true" outlineLevel="0" collapsed="false">
      <c r="A32" s="220" t="s">
        <v>147</v>
      </c>
      <c r="B32" s="220" t="s">
        <v>1812</v>
      </c>
      <c r="C32" s="221" t="s">
        <v>131</v>
      </c>
      <c r="D32" s="221" t="s">
        <v>87</v>
      </c>
      <c r="E32" s="221" t="s">
        <v>87</v>
      </c>
      <c r="F32" s="222" t="s">
        <v>3380</v>
      </c>
      <c r="G32" s="222" t="s">
        <v>3381</v>
      </c>
      <c r="H32" s="224" t="n">
        <v>54</v>
      </c>
      <c r="I32" s="225" t="n">
        <v>54</v>
      </c>
      <c r="J32" s="226" t="n">
        <v>35.1</v>
      </c>
      <c r="K32" s="226" t="n">
        <f aca="false">Таблица4[[#This Row],[Количество внесения, п.е.]]/Таблица4[[#This Row],[Площадь внесения, га]]</f>
        <v>0.65</v>
      </c>
      <c r="L32" s="227" t="n">
        <v>18</v>
      </c>
      <c r="M32" s="221" t="n">
        <f aca="false">Таблица4[[#This Row],[Урожайность план, т/га]]*Таблица4[[#This Row],[Площадь внесения, га]]</f>
        <v>972</v>
      </c>
      <c r="N32" s="228" t="n">
        <v>0.13</v>
      </c>
      <c r="O32" s="229" t="n">
        <f aca="false">Таблица4[[#This Row],[Валовый сбор план, т]]*(1-Таблица4[[#This Row],[Рефакция план, %]])</f>
        <v>845.64</v>
      </c>
      <c r="P32" s="225" t="n">
        <v>54</v>
      </c>
      <c r="Q32" s="231" t="n">
        <f aca="false">Таблица4[[#This Row],[Площадь внесения, га]]-Таблица4[[#This Row],[Площадь уборки, га]]</f>
        <v>0</v>
      </c>
      <c r="R32" s="225"/>
      <c r="S32" s="227" t="n">
        <f aca="false">IFERROR(Таблица4[[#This Row],[Валовый сбор факт, т]]/Таблица4[[#This Row],[Площадь уборки, га]], "-")</f>
        <v>8.18</v>
      </c>
      <c r="T32" s="229" t="n">
        <f aca="false">441720/1000</f>
        <v>441.72</v>
      </c>
      <c r="U32" s="228" t="n">
        <f aca="false">IFERROR(1-Таблица4[[#This Row],[Зачетный вес факт, т]]/Таблица4[[#This Row],[Валовый сбор факт, т]], "-")</f>
        <v>0.27003192067373</v>
      </c>
      <c r="V32" s="229" t="n">
        <f aca="false">322441.5/1000</f>
        <v>322.4415</v>
      </c>
      <c r="W32" s="221"/>
    </row>
    <row r="33" customFormat="false" ht="23.25" hidden="false" customHeight="true" outlineLevel="0" collapsed="false">
      <c r="A33" s="220" t="s">
        <v>95</v>
      </c>
      <c r="B33" s="220" t="s">
        <v>3328</v>
      </c>
      <c r="C33" s="221" t="s">
        <v>316</v>
      </c>
      <c r="D33" s="221" t="s">
        <v>316</v>
      </c>
      <c r="E33" s="221" t="s">
        <v>316</v>
      </c>
      <c r="F33" s="222" t="s">
        <v>3382</v>
      </c>
      <c r="G33" s="223" t="n">
        <v>45929</v>
      </c>
      <c r="H33" s="224" t="n">
        <v>55</v>
      </c>
      <c r="I33" s="225" t="n">
        <v>4.5</v>
      </c>
      <c r="J33" s="226" t="n">
        <v>4</v>
      </c>
      <c r="K33" s="226" t="n">
        <f aca="false">Таблица4[[#This Row],[Количество внесения, п.е.]]/Таблица4[[#This Row],[Площадь внесения, га]]</f>
        <v>0.888888888888889</v>
      </c>
      <c r="L33" s="227" t="n">
        <v>14</v>
      </c>
      <c r="M33" s="221" t="n">
        <f aca="false">Таблица4[[#This Row],[Урожайность план, т/га]]*Таблица4[[#This Row],[Площадь внесения, га]]</f>
        <v>63</v>
      </c>
      <c r="N33" s="228" t="n">
        <v>0.13</v>
      </c>
      <c r="O33" s="229" t="n">
        <f aca="false">Таблица4[[#This Row],[Валовый сбор план, т]]*(1-Таблица4[[#This Row],[Рефакция план, %]])</f>
        <v>54.81</v>
      </c>
      <c r="P33" s="225" t="n">
        <v>4.5</v>
      </c>
      <c r="Q33" s="231" t="n">
        <f aca="false">Таблица4[[#This Row],[Площадь внесения, га]]-Таблица4[[#This Row],[Площадь уборки, га]]</f>
        <v>0</v>
      </c>
      <c r="R33" s="225"/>
      <c r="S33" s="227" t="n">
        <f aca="false">IFERROR(Таблица4[[#This Row],[Валовый сбор факт, т]]/Таблица4[[#This Row],[Площадь уборки, га]], "-")</f>
        <v>10.8044444444444</v>
      </c>
      <c r="T33" s="229" t="n">
        <f aca="false">48620/1000</f>
        <v>48.62</v>
      </c>
      <c r="U33" s="228" t="n">
        <f aca="false">IFERROR(1-Таблица4[[#This Row],[Зачетный вес факт, т]]/Таблица4[[#This Row],[Валовый сбор факт, т]], "-")</f>
        <v>0.304119703825586</v>
      </c>
      <c r="V33" s="229" t="n">
        <f aca="false">33833.7/1000</f>
        <v>33.8337</v>
      </c>
      <c r="W33" s="221"/>
    </row>
    <row r="34" customFormat="false" ht="23.25" hidden="false" customHeight="true" outlineLevel="0" collapsed="false">
      <c r="A34" s="220" t="s">
        <v>95</v>
      </c>
      <c r="B34" s="220" t="s">
        <v>3328</v>
      </c>
      <c r="C34" s="221" t="s">
        <v>3383</v>
      </c>
      <c r="D34" s="221" t="s">
        <v>1672</v>
      </c>
      <c r="E34" s="221" t="s">
        <v>1672</v>
      </c>
      <c r="F34" s="222" t="s">
        <v>3382</v>
      </c>
      <c r="G34" s="223" t="n">
        <v>45921</v>
      </c>
      <c r="H34" s="224" t="n">
        <v>55</v>
      </c>
      <c r="I34" s="225" t="n">
        <v>0.5</v>
      </c>
      <c r="J34" s="226" t="n">
        <v>0.43</v>
      </c>
      <c r="K34" s="226" t="n">
        <f aca="false">Таблица4[[#This Row],[Количество внесения, п.е.]]/Таблица4[[#This Row],[Площадь внесения, га]]</f>
        <v>0.86</v>
      </c>
      <c r="L34" s="227" t="n">
        <v>14</v>
      </c>
      <c r="M34" s="221" t="n">
        <f aca="false">Таблица4[[#This Row],[Урожайность план, т/га]]*Таблица4[[#This Row],[Площадь внесения, га]]</f>
        <v>7</v>
      </c>
      <c r="N34" s="228" t="n">
        <v>0.13</v>
      </c>
      <c r="O34" s="229" t="n">
        <f aca="false">Таблица4[[#This Row],[Валовый сбор план, т]]*(1-Таблица4[[#This Row],[Рефакция план, %]])</f>
        <v>6.09</v>
      </c>
      <c r="P34" s="225" t="n">
        <v>0.5</v>
      </c>
      <c r="Q34" s="231" t="n">
        <f aca="false">Таблица4[[#This Row],[Площадь внесения, га]]-Таблица4[[#This Row],[Площадь уборки, га]]</f>
        <v>0</v>
      </c>
      <c r="R34" s="225"/>
      <c r="S34" s="227" t="n">
        <f aca="false">IFERROR(Таблица4[[#This Row],[Валовый сбор факт, т]]/Таблица4[[#This Row],[Площадь уборки, га]], "-")</f>
        <v>4.43142857142857</v>
      </c>
      <c r="T34" s="229" t="n">
        <f aca="false">31020/1000*0.5/7</f>
        <v>2.21571428571429</v>
      </c>
      <c r="U34" s="228" t="n">
        <f aca="false">IFERROR(1-Таблица4[[#This Row],[Зачетный вес факт, т]]/Таблица4[[#This Row],[Валовый сбор факт, т]], "-")</f>
        <v>0.0558413926499033</v>
      </c>
      <c r="V34" s="229" t="n">
        <f aca="false">29287.8/1000*0.5/7</f>
        <v>2.09198571428571</v>
      </c>
      <c r="W34" s="221"/>
    </row>
    <row r="35" customFormat="false" ht="23.25" hidden="false" customHeight="true" outlineLevel="0" collapsed="false">
      <c r="A35" s="220" t="s">
        <v>95</v>
      </c>
      <c r="B35" s="220" t="s">
        <v>3328</v>
      </c>
      <c r="C35" s="221"/>
      <c r="D35" s="221"/>
      <c r="E35" s="221" t="s">
        <v>3384</v>
      </c>
      <c r="F35" s="222" t="s">
        <v>3382</v>
      </c>
      <c r="G35" s="222" t="s">
        <v>3385</v>
      </c>
      <c r="H35" s="224" t="n">
        <v>55</v>
      </c>
      <c r="I35" s="225" t="n">
        <v>50</v>
      </c>
      <c r="J35" s="226" t="n">
        <v>34.7</v>
      </c>
      <c r="K35" s="226" t="n">
        <f aca="false">Таблица4[[#This Row],[Количество внесения, п.е.]]/Таблица4[[#This Row],[Площадь внесения, га]]</f>
        <v>0.694</v>
      </c>
      <c r="L35" s="227" t="n">
        <v>14</v>
      </c>
      <c r="M35" s="221" t="n">
        <f aca="false">Таблица4[[#This Row],[Урожайность план, т/га]]*Таблица4[[#This Row],[Площадь внесения, га]]</f>
        <v>700</v>
      </c>
      <c r="N35" s="228" t="n">
        <v>0.13</v>
      </c>
      <c r="O35" s="229" t="n">
        <f aca="false">Таблица4[[#This Row],[Валовый сбор план, т]]*(1-Таблица4[[#This Row],[Рефакция план, %]])</f>
        <v>609</v>
      </c>
      <c r="P35" s="225" t="n">
        <v>50</v>
      </c>
      <c r="Q35" s="231" t="n">
        <f aca="false">Таблица4[[#This Row],[Площадь внесения, га]]-Таблица4[[#This Row],[Площадь уборки, га]]</f>
        <v>0</v>
      </c>
      <c r="R35" s="225"/>
      <c r="S35" s="227" t="n">
        <f aca="false">IFERROR(Таблица4[[#This Row],[Валовый сбор факт, т]]/Таблица4[[#This Row],[Площадь уборки, га]], "-")</f>
        <v>9.425</v>
      </c>
      <c r="T35" s="229" t="n">
        <f aca="false">471250/1000</f>
        <v>471.25</v>
      </c>
      <c r="U35" s="228" t="n">
        <f aca="false">IFERROR(1-Таблица4[[#This Row],[Зачетный вес факт, т]]/Таблица4[[#This Row],[Валовый сбор факт, т]], "-")</f>
        <v>0.235538461538462</v>
      </c>
      <c r="V35" s="229" t="n">
        <f aca="false">360252.5/1000</f>
        <v>360.2525</v>
      </c>
      <c r="W35" s="221"/>
    </row>
    <row r="36" customFormat="false" ht="23.25" hidden="false" customHeight="true" outlineLevel="0" collapsed="false">
      <c r="A36" s="220" t="s">
        <v>95</v>
      </c>
      <c r="B36" s="220" t="s">
        <v>1512</v>
      </c>
      <c r="C36" s="221" t="s">
        <v>97</v>
      </c>
      <c r="D36" s="221" t="s">
        <v>571</v>
      </c>
      <c r="E36" s="221" t="s">
        <v>571</v>
      </c>
      <c r="F36" s="222" t="s">
        <v>3382</v>
      </c>
      <c r="G36" s="223" t="n">
        <v>45901</v>
      </c>
      <c r="H36" s="224" t="n">
        <v>8</v>
      </c>
      <c r="I36" s="225" t="n">
        <v>1.5</v>
      </c>
      <c r="J36" s="226" t="n">
        <v>0.15</v>
      </c>
      <c r="K36" s="226" t="n">
        <f aca="false">Таблица4[[#This Row],[Количество внесения, п.е.]]/Таблица4[[#This Row],[Площадь внесения, га]]</f>
        <v>0.1</v>
      </c>
      <c r="L36" s="227" t="n">
        <v>14</v>
      </c>
      <c r="M36" s="221" t="n">
        <f aca="false">Таблица4[[#This Row],[Урожайность план, т/га]]*Таблица4[[#This Row],[Площадь внесения, га]]</f>
        <v>21</v>
      </c>
      <c r="N36" s="228" t="n">
        <v>0.13</v>
      </c>
      <c r="O36" s="229" t="n">
        <f aca="false">Таблица4[[#This Row],[Валовый сбор план, т]]*(1-Таблица4[[#This Row],[Рефакция план, %]])</f>
        <v>18.27</v>
      </c>
      <c r="P36" s="225" t="n">
        <v>1.5</v>
      </c>
      <c r="Q36" s="231" t="n">
        <f aca="false">Таблица4[[#This Row],[Площадь внесения, га]]-Таблица4[[#This Row],[Площадь уборки, га]]</f>
        <v>0</v>
      </c>
      <c r="R36" s="225"/>
      <c r="S36" s="227" t="n">
        <f aca="false">IFERROR(Таблица4[[#This Row],[Валовый сбор факт, т]]/Таблица4[[#This Row],[Площадь уборки, га]], "-")</f>
        <v>0</v>
      </c>
      <c r="T36" s="229"/>
      <c r="U36" s="228" t="str">
        <f aca="false">IFERROR(1-Таблица4[[#This Row],[Зачетный вес факт, т]]/Таблица4[[#This Row],[Валовый сбор факт, т]], "-")</f>
        <v>-</v>
      </c>
      <c r="V36" s="229"/>
      <c r="W36" s="221" t="s">
        <v>3386</v>
      </c>
    </row>
    <row r="37" customFormat="false" ht="23.25" hidden="false" customHeight="true" outlineLevel="0" collapsed="false">
      <c r="A37" s="220" t="s">
        <v>95</v>
      </c>
      <c r="B37" s="220" t="s">
        <v>1512</v>
      </c>
      <c r="C37" s="221" t="s">
        <v>3383</v>
      </c>
      <c r="D37" s="221" t="s">
        <v>1672</v>
      </c>
      <c r="E37" s="221" t="s">
        <v>1672</v>
      </c>
      <c r="F37" s="222" t="s">
        <v>3382</v>
      </c>
      <c r="G37" s="223" t="n">
        <v>45921</v>
      </c>
      <c r="H37" s="224" t="n">
        <v>8</v>
      </c>
      <c r="I37" s="225" t="n">
        <v>6.5</v>
      </c>
      <c r="J37" s="226" t="n">
        <v>0.57</v>
      </c>
      <c r="K37" s="226" t="n">
        <f aca="false">Таблица4[[#This Row],[Количество внесения, п.е.]]/Таблица4[[#This Row],[Площадь внесения, га]]</f>
        <v>0.0876923076923077</v>
      </c>
      <c r="L37" s="227" t="n">
        <v>14</v>
      </c>
      <c r="M37" s="221" t="n">
        <f aca="false">Таблица4[[#This Row],[Урожайность план, т/га]]*Таблица4[[#This Row],[Площадь внесения, га]]</f>
        <v>91</v>
      </c>
      <c r="N37" s="228" t="n">
        <v>0.13</v>
      </c>
      <c r="O37" s="229" t="n">
        <f aca="false">Таблица4[[#This Row],[Валовый сбор план, т]]*(1-Таблица4[[#This Row],[Рефакция план, %]])</f>
        <v>79.17</v>
      </c>
      <c r="P37" s="225" t="n">
        <v>6.5</v>
      </c>
      <c r="Q37" s="231" t="n">
        <f aca="false">Таблица4[[#This Row],[Площадь внесения, га]]-Таблица4[[#This Row],[Площадь уборки, га]]</f>
        <v>0</v>
      </c>
      <c r="R37" s="225"/>
      <c r="S37" s="227" t="n">
        <f aca="false">IFERROR(Таблица4[[#This Row],[Валовый сбор факт, т]]/Таблица4[[#This Row],[Площадь уборки, га]], "-")</f>
        <v>4.43142857142857</v>
      </c>
      <c r="T37" s="229" t="n">
        <f aca="false">31020/1000*6.5/7</f>
        <v>28.8042857142857</v>
      </c>
      <c r="U37" s="228" t="n">
        <f aca="false">IFERROR(1-Таблица4[[#This Row],[Зачетный вес факт, т]]/Таблица4[[#This Row],[Валовый сбор факт, т]], "-")</f>
        <v>0.0558413926499034</v>
      </c>
      <c r="V37" s="229" t="n">
        <f aca="false">29287.8/1000*6.5/7</f>
        <v>27.1958142857143</v>
      </c>
      <c r="W37" s="221"/>
    </row>
    <row r="38" customFormat="false" ht="23.25" hidden="false" customHeight="true" outlineLevel="0" collapsed="false">
      <c r="A38" s="220" t="s">
        <v>3387</v>
      </c>
      <c r="B38" s="220" t="s">
        <v>1900</v>
      </c>
      <c r="C38" s="221" t="s">
        <v>115</v>
      </c>
      <c r="D38" s="221" t="s">
        <v>279</v>
      </c>
      <c r="E38" s="221" t="s">
        <v>279</v>
      </c>
      <c r="F38" s="222" t="s">
        <v>3388</v>
      </c>
      <c r="G38" s="223" t="s">
        <v>3389</v>
      </c>
      <c r="H38" s="224" t="n">
        <v>58</v>
      </c>
      <c r="I38" s="225" t="n">
        <v>58</v>
      </c>
      <c r="J38" s="226" t="n">
        <v>37.7</v>
      </c>
      <c r="K38" s="226" t="n">
        <f aca="false">Таблица4[[#This Row],[Количество внесения, п.е.]]/Таблица4[[#This Row],[Площадь внесения, га]]</f>
        <v>0.65</v>
      </c>
      <c r="L38" s="227" t="n">
        <v>18</v>
      </c>
      <c r="M38" s="221" t="n">
        <f aca="false">Таблица4[[#This Row],[Урожайность план, т/га]]*Таблица4[[#This Row],[Площадь внесения, га]]</f>
        <v>1044</v>
      </c>
      <c r="N38" s="228" t="n">
        <v>0.13</v>
      </c>
      <c r="O38" s="229" t="n">
        <f aca="false">Таблица4[[#This Row],[Валовый сбор план, т]]*(1-Таблица4[[#This Row],[Рефакция план, %]])</f>
        <v>908.28</v>
      </c>
      <c r="P38" s="225" t="n">
        <v>58</v>
      </c>
      <c r="Q38" s="231" t="n">
        <f aca="false">Таблица4[[#This Row],[Площадь внесения, га]]-Таблица4[[#This Row],[Площадь уборки, га]]</f>
        <v>0</v>
      </c>
      <c r="R38" s="225"/>
      <c r="S38" s="227" t="n">
        <f aca="false">IFERROR(Таблица4[[#This Row],[Валовый сбор факт, т]]/Таблица4[[#This Row],[Площадь уборки, га]], "-")</f>
        <v>14.303275862069</v>
      </c>
      <c r="T38" s="229" t="n">
        <f aca="false">829590/1000</f>
        <v>829.59</v>
      </c>
      <c r="U38" s="228" t="n">
        <f aca="false">IFERROR(1-Таблица4[[#This Row],[Зачетный вес факт, т]]/Таблица4[[#This Row],[Валовый сбор факт, т]], "-")</f>
        <v>0.115935341554262</v>
      </c>
      <c r="V38" s="229" t="n">
        <f aca="false">733411.2/1000</f>
        <v>733.4112</v>
      </c>
      <c r="W38" s="221"/>
    </row>
    <row r="39" customFormat="false" ht="23.25" hidden="false" customHeight="true" outlineLevel="0" collapsed="false">
      <c r="A39" s="220" t="s">
        <v>3387</v>
      </c>
      <c r="B39" s="220" t="s">
        <v>1932</v>
      </c>
      <c r="C39" s="221" t="s">
        <v>115</v>
      </c>
      <c r="D39" s="221" t="s">
        <v>279</v>
      </c>
      <c r="E39" s="221" t="s">
        <v>279</v>
      </c>
      <c r="F39" s="222" t="s">
        <v>3388</v>
      </c>
      <c r="G39" s="223" t="n">
        <v>45932</v>
      </c>
      <c r="H39" s="224" t="n">
        <v>41</v>
      </c>
      <c r="I39" s="225" t="n">
        <v>41</v>
      </c>
      <c r="J39" s="226" t="n">
        <v>26.6</v>
      </c>
      <c r="K39" s="226" t="n">
        <f aca="false">Таблица4[[#This Row],[Количество внесения, п.е.]]/Таблица4[[#This Row],[Площадь внесения, га]]</f>
        <v>0.648780487804878</v>
      </c>
      <c r="L39" s="227" t="n">
        <v>18</v>
      </c>
      <c r="M39" s="221" t="n">
        <f aca="false">Таблица4[[#This Row],[Урожайность план, т/га]]*Таблица4[[#This Row],[Площадь внесения, га]]</f>
        <v>738</v>
      </c>
      <c r="N39" s="228" t="n">
        <v>0.13</v>
      </c>
      <c r="O39" s="229" t="n">
        <f aca="false">Таблица4[[#This Row],[Валовый сбор план, т]]*(1-Таблица4[[#This Row],[Рефакция план, %]])</f>
        <v>642.06</v>
      </c>
      <c r="P39" s="225" t="n">
        <v>41</v>
      </c>
      <c r="Q39" s="231" t="n">
        <f aca="false">Таблица4[[#This Row],[Площадь внесения, га]]-Таблица4[[#This Row],[Площадь уборки, га]]</f>
        <v>0</v>
      </c>
      <c r="R39" s="225"/>
      <c r="S39" s="227" t="n">
        <f aca="false">IFERROR(Таблица4[[#This Row],[Валовый сбор факт, т]]/Таблица4[[#This Row],[Площадь уборки, га]], "-")</f>
        <v>12.2973170731707</v>
      </c>
      <c r="T39" s="229" t="n">
        <f aca="false">504190/1000</f>
        <v>504.19</v>
      </c>
      <c r="U39" s="228" t="n">
        <f aca="false">IFERROR(1-Таблица4[[#This Row],[Зачетный вес факт, т]]/Таблица4[[#This Row],[Валовый сбор факт, т]], "-")</f>
        <v>0.113532795176422</v>
      </c>
      <c r="V39" s="229" t="n">
        <f aca="false">446947.9/1000</f>
        <v>446.9479</v>
      </c>
      <c r="W39" s="221"/>
    </row>
    <row r="40" customFormat="false" ht="23.25" hidden="false" customHeight="true" outlineLevel="0" collapsed="false">
      <c r="A40" s="220" t="s">
        <v>3387</v>
      </c>
      <c r="B40" s="220" t="s">
        <v>1687</v>
      </c>
      <c r="C40" s="221" t="s">
        <v>115</v>
      </c>
      <c r="D40" s="221" t="s">
        <v>279</v>
      </c>
      <c r="E40" s="221" t="s">
        <v>279</v>
      </c>
      <c r="F40" s="222" t="s">
        <v>3388</v>
      </c>
      <c r="G40" s="223" t="s">
        <v>3390</v>
      </c>
      <c r="H40" s="224" t="n">
        <v>26</v>
      </c>
      <c r="I40" s="225" t="n">
        <v>26</v>
      </c>
      <c r="J40" s="226" t="n">
        <v>16.7</v>
      </c>
      <c r="K40" s="226" t="n">
        <f aca="false">Таблица4[[#This Row],[Количество внесения, п.е.]]/Таблица4[[#This Row],[Площадь внесения, га]]</f>
        <v>0.642307692307692</v>
      </c>
      <c r="L40" s="227" t="n">
        <v>18</v>
      </c>
      <c r="M40" s="221" t="n">
        <f aca="false">Таблица4[[#This Row],[Урожайность план, т/га]]*Таблица4[[#This Row],[Площадь внесения, га]]</f>
        <v>468</v>
      </c>
      <c r="N40" s="228" t="n">
        <v>0.13</v>
      </c>
      <c r="O40" s="229" t="n">
        <f aca="false">Таблица4[[#This Row],[Валовый сбор план, т]]*(1-Таблица4[[#This Row],[Рефакция план, %]])</f>
        <v>407.16</v>
      </c>
      <c r="P40" s="225" t="n">
        <v>26</v>
      </c>
      <c r="Q40" s="231" t="n">
        <f aca="false">Таблица4[[#This Row],[Площадь внесения, га]]-Таблица4[[#This Row],[Площадь уборки, га]]</f>
        <v>0</v>
      </c>
      <c r="R40" s="225"/>
      <c r="S40" s="227" t="n">
        <f aca="false">IFERROR(Таблица4[[#This Row],[Валовый сбор факт, т]]/Таблица4[[#This Row],[Площадь уборки, га]], "-")</f>
        <v>20.2638461538462</v>
      </c>
      <c r="T40" s="229" t="n">
        <f aca="false">526860/1000</f>
        <v>526.86</v>
      </c>
      <c r="U40" s="228" t="n">
        <f aca="false">IFERROR(1-Таблица4[[#This Row],[Зачетный вес факт, т]]/Таблица4[[#This Row],[Валовый сбор факт, т]], "-")</f>
        <v>0.0875898720722773</v>
      </c>
      <c r="V40" s="229" t="n">
        <f aca="false">480712.4/1000</f>
        <v>480.7124</v>
      </c>
      <c r="W40" s="221"/>
    </row>
    <row r="41" customFormat="false" ht="23.25" hidden="false" customHeight="true" outlineLevel="0" collapsed="false">
      <c r="A41" s="220" t="s">
        <v>3391</v>
      </c>
      <c r="B41" s="220" t="s">
        <v>2006</v>
      </c>
      <c r="C41" s="221" t="s">
        <v>115</v>
      </c>
      <c r="D41" s="221" t="s">
        <v>279</v>
      </c>
      <c r="E41" s="221" t="s">
        <v>279</v>
      </c>
      <c r="F41" s="222" t="s">
        <v>3392</v>
      </c>
      <c r="G41" s="223" t="n">
        <v>45934</v>
      </c>
      <c r="H41" s="233" t="n">
        <v>51.4</v>
      </c>
      <c r="I41" s="225" t="n">
        <v>51.4</v>
      </c>
      <c r="J41" s="226" t="n">
        <v>34</v>
      </c>
      <c r="K41" s="226" t="n">
        <f aca="false">Таблица4[[#This Row],[Количество внесения, п.е.]]/Таблица4[[#This Row],[Площадь внесения, га]]</f>
        <v>0.66147859922179</v>
      </c>
      <c r="L41" s="227" t="n">
        <v>18</v>
      </c>
      <c r="M41" s="225" t="n">
        <f aca="false">Таблица4[[#This Row],[Урожайность план, т/га]]*Таблица4[[#This Row],[Площадь внесения, га]]</f>
        <v>925.2</v>
      </c>
      <c r="N41" s="228" t="n">
        <v>0.13</v>
      </c>
      <c r="O41" s="229" t="n">
        <f aca="false">Таблица4[[#This Row],[Валовый сбор план, т]]*(1-Таблица4[[#This Row],[Рефакция план, %]])</f>
        <v>804.924</v>
      </c>
      <c r="P41" s="225" t="n">
        <v>51.4</v>
      </c>
      <c r="Q41" s="231" t="n">
        <f aca="false">Таблица4[[#This Row],[Площадь внесения, га]]-Таблица4[[#This Row],[Площадь уборки, га]]</f>
        <v>0</v>
      </c>
      <c r="R41" s="225"/>
      <c r="S41" s="227" t="n">
        <f aca="false">IFERROR(Таблица4[[#This Row],[Валовый сбор факт, т]]/Таблица4[[#This Row],[Площадь уборки, га]], "-")</f>
        <v>11.2733463035019</v>
      </c>
      <c r="T41" s="229" t="n">
        <f aca="false">579450/1000</f>
        <v>579.45</v>
      </c>
      <c r="U41" s="228" t="n">
        <f aca="false">IFERROR(1-Таблица4[[#This Row],[Зачетный вес факт, т]]/Таблица4[[#This Row],[Валовый сбор факт, т]], "-")</f>
        <v>0.142581758564156</v>
      </c>
      <c r="V41" s="229" t="n">
        <f aca="false">496831/1000</f>
        <v>496.831</v>
      </c>
      <c r="W41" s="221"/>
    </row>
    <row r="42" customFormat="false" ht="23.25" hidden="false" customHeight="true" outlineLevel="0" collapsed="false">
      <c r="A42" s="220" t="s">
        <v>3391</v>
      </c>
      <c r="B42" s="220" t="s">
        <v>2049</v>
      </c>
      <c r="C42" s="221" t="s">
        <v>115</v>
      </c>
      <c r="D42" s="221" t="s">
        <v>279</v>
      </c>
      <c r="E42" s="221" t="s">
        <v>279</v>
      </c>
      <c r="F42" s="222" t="s">
        <v>3392</v>
      </c>
      <c r="G42" s="223" t="n">
        <v>45934</v>
      </c>
      <c r="H42" s="233" t="n">
        <v>51.5</v>
      </c>
      <c r="I42" s="225" t="n">
        <v>51.5</v>
      </c>
      <c r="J42" s="226" t="n">
        <v>34</v>
      </c>
      <c r="K42" s="226" t="n">
        <f aca="false">Таблица4[[#This Row],[Количество внесения, п.е.]]/Таблица4[[#This Row],[Площадь внесения, га]]</f>
        <v>0.660194174757282</v>
      </c>
      <c r="L42" s="227" t="n">
        <v>18</v>
      </c>
      <c r="M42" s="225" t="n">
        <f aca="false">Таблица4[[#This Row],[Урожайность план, т/га]]*Таблица4[[#This Row],[Площадь внесения, га]]</f>
        <v>927</v>
      </c>
      <c r="N42" s="228" t="n">
        <v>0.13</v>
      </c>
      <c r="O42" s="229" t="n">
        <f aca="false">Таблица4[[#This Row],[Валовый сбор план, т]]*(1-Таблица4[[#This Row],[Рефакция план, %]])</f>
        <v>806.49</v>
      </c>
      <c r="P42" s="225" t="n">
        <v>51.5</v>
      </c>
      <c r="Q42" s="231" t="n">
        <f aca="false">Таблица4[[#This Row],[Площадь внесения, га]]-Таблица4[[#This Row],[Площадь уборки, га]]</f>
        <v>0</v>
      </c>
      <c r="R42" s="225"/>
      <c r="S42" s="227" t="n">
        <f aca="false">IFERROR(Таблица4[[#This Row],[Валовый сбор факт, т]]/Таблица4[[#This Row],[Площадь уборки, га]], "-")</f>
        <v>15.5168932038835</v>
      </c>
      <c r="T42" s="229" t="n">
        <f aca="false">799120/1000</f>
        <v>799.12</v>
      </c>
      <c r="U42" s="228" t="n">
        <f aca="false">IFERROR(1-Таблица4[[#This Row],[Зачетный вес факт, т]]/Таблица4[[#This Row],[Валовый сбор факт, т]], "-")</f>
        <v>0.160791871058164</v>
      </c>
      <c r="V42" s="229" t="n">
        <f aca="false">670628/1000</f>
        <v>670.628</v>
      </c>
      <c r="W42" s="221"/>
    </row>
    <row r="43" customFormat="false" ht="23.25" hidden="false" customHeight="true" outlineLevel="0" collapsed="false">
      <c r="A43" s="220" t="s">
        <v>3391</v>
      </c>
      <c r="B43" s="220" t="s">
        <v>2070</v>
      </c>
      <c r="C43" s="221" t="s">
        <v>83</v>
      </c>
      <c r="D43" s="221" t="s">
        <v>158</v>
      </c>
      <c r="E43" s="221" t="s">
        <v>158</v>
      </c>
      <c r="F43" s="222" t="s">
        <v>3392</v>
      </c>
      <c r="G43" s="223" t="s">
        <v>3393</v>
      </c>
      <c r="H43" s="233" t="n">
        <v>77.1</v>
      </c>
      <c r="I43" s="225" t="n">
        <v>44.8</v>
      </c>
      <c r="J43" s="226" t="n">
        <v>58</v>
      </c>
      <c r="K43" s="226" t="n">
        <f aca="false">Таблица4[[#This Row],[Количество внесения, п.е.]]/Таблица4[[#This Row],[Площадь внесения, га]]</f>
        <v>1.29464285714286</v>
      </c>
      <c r="L43" s="227" t="n">
        <v>18</v>
      </c>
      <c r="M43" s="225" t="n">
        <f aca="false">Таблица4[[#This Row],[Урожайность план, т/га]]*Таблица4[[#This Row],[Площадь внесения, га]]</f>
        <v>806.4</v>
      </c>
      <c r="N43" s="228" t="n">
        <v>0.13</v>
      </c>
      <c r="O43" s="229" t="n">
        <f aca="false">Таблица4[[#This Row],[Валовый сбор план, т]]*(1-Таблица4[[#This Row],[Рефакция план, %]])</f>
        <v>701.568</v>
      </c>
      <c r="P43" s="225" t="n">
        <v>44.8</v>
      </c>
      <c r="Q43" s="231" t="n">
        <f aca="false">Таблица4[[#This Row],[Площадь внесения, га]]-Таблица4[[#This Row],[Площадь уборки, га]]</f>
        <v>0</v>
      </c>
      <c r="R43" s="225"/>
      <c r="S43" s="227" t="n">
        <f aca="false">IFERROR(Таблица4[[#This Row],[Валовый сбор факт, т]]/Таблица4[[#This Row],[Площадь уборки, га]], "-")</f>
        <v>6.5734375</v>
      </c>
      <c r="T43" s="229" t="n">
        <f aca="false">294490/1000</f>
        <v>294.49</v>
      </c>
      <c r="U43" s="228" t="n">
        <f aca="false">IFERROR(1-Таблица4[[#This Row],[Зачетный вес факт, т]]/Таблица4[[#This Row],[Валовый сбор факт, т]], "-")</f>
        <v>0.106545213759381</v>
      </c>
      <c r="V43" s="229" t="n">
        <f aca="false">263113.5/1000</f>
        <v>263.1135</v>
      </c>
      <c r="W43" s="221"/>
    </row>
    <row r="44" customFormat="false" ht="23.25" hidden="false" customHeight="true" outlineLevel="0" collapsed="false">
      <c r="A44" s="220" t="s">
        <v>3391</v>
      </c>
      <c r="B44" s="220" t="s">
        <v>2070</v>
      </c>
      <c r="C44" s="221" t="s">
        <v>3394</v>
      </c>
      <c r="D44" s="221" t="s">
        <v>2071</v>
      </c>
      <c r="E44" s="221" t="s">
        <v>2071</v>
      </c>
      <c r="F44" s="222" t="s">
        <v>3392</v>
      </c>
      <c r="G44" s="223" t="n">
        <v>45935</v>
      </c>
      <c r="H44" s="233" t="n">
        <v>77.1</v>
      </c>
      <c r="I44" s="225" t="n">
        <v>32.3</v>
      </c>
      <c r="J44" s="226" t="n">
        <v>20</v>
      </c>
      <c r="K44" s="226" t="n">
        <f aca="false">Таблица4[[#This Row],[Количество внесения, п.е.]]/Таблица4[[#This Row],[Площадь внесения, га]]</f>
        <v>0.619195046439629</v>
      </c>
      <c r="L44" s="227" t="n">
        <v>18</v>
      </c>
      <c r="M44" s="225" t="n">
        <f aca="false">Таблица4[[#This Row],[Урожайность план, т/га]]*Таблица4[[#This Row],[Площадь внесения, га]]</f>
        <v>581.4</v>
      </c>
      <c r="N44" s="228" t="n">
        <v>0.13</v>
      </c>
      <c r="O44" s="229" t="n">
        <f aca="false">Таблица4[[#This Row],[Валовый сбор план, т]]*(1-Таблица4[[#This Row],[Рефакция план, %]])</f>
        <v>505.818</v>
      </c>
      <c r="P44" s="225" t="n">
        <v>32.3</v>
      </c>
      <c r="Q44" s="231" t="n">
        <f aca="false">Таблица4[[#This Row],[Площадь внесения, га]]-Таблица4[[#This Row],[Площадь уборки, га]]</f>
        <v>0</v>
      </c>
      <c r="R44" s="225"/>
      <c r="S44" s="227" t="n">
        <f aca="false">IFERROR(Таблица4[[#This Row],[Валовый сбор факт, т]]/Таблица4[[#This Row],[Площадь уборки, га]], "-")</f>
        <v>15.8411764705882</v>
      </c>
      <c r="T44" s="229" t="n">
        <f aca="false">511670/1000</f>
        <v>511.67</v>
      </c>
      <c r="U44" s="228" t="n">
        <f aca="false">IFERROR(1-Таблица4[[#This Row],[Зачетный вес факт, т]]/Таблица4[[#This Row],[Валовый сбор факт, т]], "-")</f>
        <v>0.112140051204878</v>
      </c>
      <c r="V44" s="229" t="n">
        <f aca="false">454291.3/1000</f>
        <v>454.2913</v>
      </c>
      <c r="W44" s="221"/>
    </row>
    <row r="45" customFormat="false" ht="23.25" hidden="false" customHeight="true" outlineLevel="0" collapsed="false">
      <c r="A45" s="220" t="s">
        <v>3391</v>
      </c>
      <c r="B45" s="220" t="s">
        <v>3395</v>
      </c>
      <c r="C45" s="221"/>
      <c r="D45" s="221" t="s">
        <v>279</v>
      </c>
      <c r="E45" s="221" t="s">
        <v>279</v>
      </c>
      <c r="F45" s="222" t="s">
        <v>3396</v>
      </c>
      <c r="G45" s="223" t="s">
        <v>3397</v>
      </c>
      <c r="H45" s="224" t="n">
        <v>88</v>
      </c>
      <c r="I45" s="225" t="n">
        <f aca="false">88/57*51</f>
        <v>78.7368421052632</v>
      </c>
      <c r="J45" s="226" t="n">
        <v>51</v>
      </c>
      <c r="K45" s="226" t="n">
        <f aca="false">Таблица4[[#This Row],[Количество внесения, п.е.]]/Таблица4[[#This Row],[Площадь внесения, га]]</f>
        <v>0.647727272727273</v>
      </c>
      <c r="L45" s="227" t="n">
        <v>18</v>
      </c>
      <c r="M45" s="225" t="n">
        <f aca="false">Таблица4[[#This Row],[Урожайность план, т/га]]*Таблица4[[#This Row],[Площадь внесения, га]]</f>
        <v>1417.26315789474</v>
      </c>
      <c r="N45" s="228" t="n">
        <v>0.13</v>
      </c>
      <c r="O45" s="229" t="n">
        <f aca="false">Таблица4[[#This Row],[Валовый сбор план, т]]*(1-Таблица4[[#This Row],[Рефакция план, %]])</f>
        <v>1233.01894736842</v>
      </c>
      <c r="P45" s="225" t="n">
        <v>78.7</v>
      </c>
      <c r="Q45" s="231" t="n">
        <f aca="false">Таблица4[[#This Row],[Площадь внесения, га]]-Таблица4[[#This Row],[Площадь уборки, га]]</f>
        <v>0.0368421052631476</v>
      </c>
      <c r="R45" s="225"/>
      <c r="S45" s="227" t="n">
        <f aca="false">IFERROR(Таблица4[[#This Row],[Валовый сбор факт, т]]/Таблица4[[#This Row],[Площадь уборки, га]], "-")</f>
        <v>8.36175349428208</v>
      </c>
      <c r="T45" s="229" t="n">
        <f aca="false">658070/1000</f>
        <v>658.07</v>
      </c>
      <c r="U45" s="228" t="n">
        <f aca="false">IFERROR(1-Таблица4[[#This Row],[Зачетный вес факт, т]]/Таблица4[[#This Row],[Валовый сбор факт, т]], "-")</f>
        <v>0.192631786891972</v>
      </c>
      <c r="V45" s="229" t="n">
        <f aca="false">531304.8/1000</f>
        <v>531.3048</v>
      </c>
      <c r="W45" s="221"/>
    </row>
    <row r="46" customFormat="false" ht="23.25" hidden="false" customHeight="true" outlineLevel="0" collapsed="false">
      <c r="A46" s="220" t="s">
        <v>3391</v>
      </c>
      <c r="B46" s="220" t="s">
        <v>3395</v>
      </c>
      <c r="C46" s="221"/>
      <c r="D46" s="221" t="s">
        <v>158</v>
      </c>
      <c r="E46" s="221" t="s">
        <v>158</v>
      </c>
      <c r="F46" s="222" t="s">
        <v>3396</v>
      </c>
      <c r="G46" s="222" t="s">
        <v>3398</v>
      </c>
      <c r="H46" s="224" t="n">
        <v>88</v>
      </c>
      <c r="I46" s="225" t="n">
        <f aca="false">88-I45</f>
        <v>9.26315789473685</v>
      </c>
      <c r="J46" s="226" t="n">
        <v>12</v>
      </c>
      <c r="K46" s="226" t="n">
        <f aca="false">Таблица4[[#This Row],[Количество внесения, п.е.]]/Таблица4[[#This Row],[Площадь внесения, га]]</f>
        <v>1.29545454545454</v>
      </c>
      <c r="L46" s="227" t="n">
        <v>18</v>
      </c>
      <c r="M46" s="225" t="n">
        <f aca="false">Таблица4[[#This Row],[Урожайность план, т/га]]*Таблица4[[#This Row],[Площадь внесения, га]]</f>
        <v>166.736842105263</v>
      </c>
      <c r="N46" s="228" t="n">
        <v>0.13</v>
      </c>
      <c r="O46" s="229" t="n">
        <f aca="false">Таблица4[[#This Row],[Валовый сбор план, т]]*(1-Таблица4[[#This Row],[Рефакция план, %]])</f>
        <v>145.061052631579</v>
      </c>
      <c r="P46" s="225" t="n">
        <v>9.3</v>
      </c>
      <c r="Q46" s="231" t="n">
        <f aca="false">Таблица4[[#This Row],[Площадь внесения, га]]-Таблица4[[#This Row],[Площадь уборки, га]]</f>
        <v>-0.0368421052631511</v>
      </c>
      <c r="R46" s="225"/>
      <c r="S46" s="227" t="n">
        <f aca="false">IFERROR(Таблица4[[#This Row],[Валовый сбор факт, т]]/Таблица4[[#This Row],[Площадь уборки, га]], "-")</f>
        <v>40.8989247311828</v>
      </c>
      <c r="T46" s="229" t="n">
        <f aca="false">380360/1000</f>
        <v>380.36</v>
      </c>
      <c r="U46" s="228" t="n">
        <f aca="false">IFERROR(1-Таблица4[[#This Row],[Зачетный вес факт, т]]/Таблица4[[#This Row],[Валовый сбор факт, т]], "-")</f>
        <v>0.105945945945946</v>
      </c>
      <c r="V46" s="229" t="n">
        <f aca="false">340062.4/1000</f>
        <v>340.0624</v>
      </c>
      <c r="W46" s="221"/>
    </row>
    <row r="47" customFormat="false" ht="23.25" hidden="false" customHeight="true" outlineLevel="0" collapsed="false">
      <c r="A47" s="220" t="s">
        <v>125</v>
      </c>
      <c r="B47" s="220" t="s">
        <v>2292</v>
      </c>
      <c r="C47" s="221" t="s">
        <v>115</v>
      </c>
      <c r="D47" s="221" t="s">
        <v>279</v>
      </c>
      <c r="E47" s="221" t="s">
        <v>279</v>
      </c>
      <c r="F47" s="222" t="s">
        <v>3399</v>
      </c>
      <c r="G47" s="222" t="s">
        <v>3400</v>
      </c>
      <c r="H47" s="233" t="n">
        <v>73.7</v>
      </c>
      <c r="I47" s="225" t="n">
        <v>73.7</v>
      </c>
      <c r="J47" s="226" t="n">
        <v>47.9</v>
      </c>
      <c r="K47" s="226" t="n">
        <f aca="false">Таблица4[[#This Row],[Количество внесения, п.е.]]/Таблица4[[#This Row],[Площадь внесения, га]]</f>
        <v>0.649932157394844</v>
      </c>
      <c r="L47" s="227" t="n">
        <v>17</v>
      </c>
      <c r="M47" s="221" t="n">
        <f aca="false">Таблица4[[#This Row],[Урожайность план, т/га]]*Таблица4[[#This Row],[Площадь внесения, га]]</f>
        <v>1252.9</v>
      </c>
      <c r="N47" s="228" t="n">
        <v>0.13</v>
      </c>
      <c r="O47" s="229" t="n">
        <f aca="false">Таблица4[[#This Row],[Валовый сбор план, т]]*(1-Таблица4[[#This Row],[Рефакция план, %]])</f>
        <v>1090.023</v>
      </c>
      <c r="P47" s="225" t="n">
        <v>73.7</v>
      </c>
      <c r="Q47" s="231" t="n">
        <f aca="false">Таблица4[[#This Row],[Площадь внесения, га]]-Таблица4[[#This Row],[Площадь уборки, га]]</f>
        <v>0</v>
      </c>
      <c r="R47" s="225"/>
      <c r="S47" s="227" t="n">
        <f aca="false">IFERROR(Таблица4[[#This Row],[Валовый сбор факт, т]]/Таблица4[[#This Row],[Площадь уборки, га]], "-")</f>
        <v>15.6796472184532</v>
      </c>
      <c r="T47" s="229" t="n">
        <f aca="false">1155590/1000</f>
        <v>1155.59</v>
      </c>
      <c r="U47" s="228" t="n">
        <f aca="false">IFERROR(1-Таблица4[[#This Row],[Зачетный вес факт, т]]/Таблица4[[#This Row],[Валовый сбор факт, т]], "-")</f>
        <v>0.0841111466869736</v>
      </c>
      <c r="V47" s="229" t="n">
        <f aca="false">1058392/1000</f>
        <v>1058.392</v>
      </c>
      <c r="W47" s="221"/>
    </row>
    <row r="48" customFormat="false" ht="23.25" hidden="false" customHeight="true" outlineLevel="0" collapsed="false">
      <c r="A48" s="220" t="s">
        <v>125</v>
      </c>
      <c r="B48" s="220" t="s">
        <v>3329</v>
      </c>
      <c r="C48" s="221" t="s">
        <v>115</v>
      </c>
      <c r="D48" s="221" t="s">
        <v>279</v>
      </c>
      <c r="E48" s="221" t="s">
        <v>279</v>
      </c>
      <c r="F48" s="222" t="s">
        <v>3399</v>
      </c>
      <c r="G48" s="222" t="s">
        <v>3401</v>
      </c>
      <c r="H48" s="233" t="n">
        <v>73.3</v>
      </c>
      <c r="I48" s="225" t="n">
        <v>73.3</v>
      </c>
      <c r="J48" s="226" t="n">
        <v>48.1</v>
      </c>
      <c r="K48" s="226" t="n">
        <f aca="false">Таблица4[[#This Row],[Количество внесения, п.е.]]/Таблица4[[#This Row],[Площадь внесения, га]]</f>
        <v>0.656207366984993</v>
      </c>
      <c r="L48" s="227" t="n">
        <v>17</v>
      </c>
      <c r="M48" s="221" t="n">
        <f aca="false">Таблица4[[#This Row],[Урожайность план, т/га]]*Таблица4[[#This Row],[Площадь внесения, га]]</f>
        <v>1246.1</v>
      </c>
      <c r="N48" s="228" t="n">
        <v>0.13</v>
      </c>
      <c r="O48" s="229" t="n">
        <f aca="false">Таблица4[[#This Row],[Валовый сбор план, т]]*(1-Таблица4[[#This Row],[Рефакция план, %]])</f>
        <v>1084.107</v>
      </c>
      <c r="P48" s="225" t="n">
        <v>73.3</v>
      </c>
      <c r="Q48" s="231" t="n">
        <f aca="false">Таблица4[[#This Row],[Площадь внесения, га]]-Таблица4[[#This Row],[Площадь уборки, га]]</f>
        <v>0</v>
      </c>
      <c r="R48" s="225"/>
      <c r="S48" s="227" t="n">
        <f aca="false">IFERROR(Таблица4[[#This Row],[Валовый сбор факт, т]]/Таблица4[[#This Row],[Площадь уборки, га]], "-")</f>
        <v>15.8714870395634</v>
      </c>
      <c r="T48" s="229" t="n">
        <f aca="false">1163380/1000</f>
        <v>1163.38</v>
      </c>
      <c r="U48" s="228" t="n">
        <f aca="false">IFERROR(1-Таблица4[[#This Row],[Зачетный вес факт, т]]/Таблица4[[#This Row],[Валовый сбор факт, т]], "-")</f>
        <v>0.132177792294865</v>
      </c>
      <c r="V48" s="229" t="n">
        <f aca="false">1009607/1000</f>
        <v>1009.607</v>
      </c>
      <c r="W48" s="221"/>
    </row>
    <row r="49" customFormat="false" ht="23.25" hidden="false" customHeight="true" outlineLevel="0" collapsed="false">
      <c r="A49" s="220" t="s">
        <v>125</v>
      </c>
      <c r="B49" s="220" t="s">
        <v>2067</v>
      </c>
      <c r="C49" s="221" t="s">
        <v>115</v>
      </c>
      <c r="D49" s="221" t="s">
        <v>279</v>
      </c>
      <c r="E49" s="221" t="s">
        <v>279</v>
      </c>
      <c r="F49" s="222" t="s">
        <v>3399</v>
      </c>
      <c r="G49" s="223" t="s">
        <v>3402</v>
      </c>
      <c r="H49" s="233" t="n">
        <v>75.4</v>
      </c>
      <c r="I49" s="225" t="n">
        <v>75.4</v>
      </c>
      <c r="J49" s="226" t="n">
        <v>49</v>
      </c>
      <c r="K49" s="226" t="n">
        <f aca="false">Таблица4[[#This Row],[Количество внесения, п.е.]]/Таблица4[[#This Row],[Площадь внесения, га]]</f>
        <v>0.649867374005305</v>
      </c>
      <c r="L49" s="227" t="n">
        <v>17</v>
      </c>
      <c r="M49" s="221" t="n">
        <f aca="false">Таблица4[[#This Row],[Урожайность план, т/га]]*Таблица4[[#This Row],[Площадь внесения, га]]</f>
        <v>1281.8</v>
      </c>
      <c r="N49" s="228" t="n">
        <v>0.13</v>
      </c>
      <c r="O49" s="229" t="n">
        <f aca="false">Таблица4[[#This Row],[Валовый сбор план, т]]*(1-Таблица4[[#This Row],[Рефакция план, %]])</f>
        <v>1115.166</v>
      </c>
      <c r="P49" s="225" t="n">
        <v>75.4</v>
      </c>
      <c r="Q49" s="231" t="n">
        <f aca="false">Таблица4[[#This Row],[Площадь внесения, га]]-Таблица4[[#This Row],[Площадь уборки, га]]</f>
        <v>0</v>
      </c>
      <c r="R49" s="225"/>
      <c r="S49" s="227" t="n">
        <f aca="false">IFERROR(Таблица4[[#This Row],[Валовый сбор факт, т]]/Таблица4[[#This Row],[Площадь уборки, га]], "-")</f>
        <v>16.3631299734748</v>
      </c>
      <c r="T49" s="229" t="n">
        <f aca="false">1233780/1000</f>
        <v>1233.78</v>
      </c>
      <c r="U49" s="228" t="n">
        <f aca="false">IFERROR(1-Таблица4[[#This Row],[Зачетный вес факт, т]]/Таблица4[[#This Row],[Валовый сбор факт, т]], "-")</f>
        <v>0.0893048193357</v>
      </c>
      <c r="V49" s="229" t="n">
        <f aca="false">1123597.5/1000</f>
        <v>1123.5975</v>
      </c>
      <c r="W49" s="221"/>
    </row>
    <row r="50" customFormat="false" ht="23.25" hidden="false" customHeight="true" outlineLevel="0" collapsed="false">
      <c r="A50" s="220" t="s">
        <v>125</v>
      </c>
      <c r="B50" s="220" t="s">
        <v>3334</v>
      </c>
      <c r="C50" s="221" t="s">
        <v>83</v>
      </c>
      <c r="D50" s="221" t="s">
        <v>158</v>
      </c>
      <c r="E50" s="221" t="s">
        <v>158</v>
      </c>
      <c r="F50" s="222" t="s">
        <v>3399</v>
      </c>
      <c r="G50" s="222" t="s">
        <v>3403</v>
      </c>
      <c r="H50" s="233" t="n">
        <v>74.6</v>
      </c>
      <c r="I50" s="225" t="n">
        <v>74.6</v>
      </c>
      <c r="J50" s="226" t="n">
        <v>98</v>
      </c>
      <c r="K50" s="226" t="n">
        <f aca="false">Таблица4[[#This Row],[Количество внесения, п.е.]]/Таблица4[[#This Row],[Площадь внесения, га]]</f>
        <v>1.31367292225201</v>
      </c>
      <c r="L50" s="227" t="n">
        <v>17</v>
      </c>
      <c r="M50" s="221" t="n">
        <f aca="false">Таблица4[[#This Row],[Урожайность план, т/га]]*Таблица4[[#This Row],[Площадь внесения, га]]</f>
        <v>1268.2</v>
      </c>
      <c r="N50" s="228" t="n">
        <v>0.13</v>
      </c>
      <c r="O50" s="229" t="n">
        <f aca="false">Таблица4[[#This Row],[Валовый сбор план, т]]*(1-Таблица4[[#This Row],[Рефакция план, %]])</f>
        <v>1103.334</v>
      </c>
      <c r="P50" s="225" t="n">
        <v>74.6</v>
      </c>
      <c r="Q50" s="231" t="n">
        <f aca="false">Таблица4[[#This Row],[Площадь внесения, га]]-Таблица4[[#This Row],[Площадь уборки, га]]</f>
        <v>0</v>
      </c>
      <c r="R50" s="225"/>
      <c r="S50" s="227" t="n">
        <f aca="false">IFERROR(Таблица4[[#This Row],[Валовый сбор факт, т]]/Таблица4[[#This Row],[Площадь уборки, га]], "-")</f>
        <v>15.2184946380697</v>
      </c>
      <c r="T50" s="229" t="n">
        <f aca="false">1135299.7/1000</f>
        <v>1135.2997</v>
      </c>
      <c r="U50" s="228" t="n">
        <f aca="false">IFERROR(1-Таблица4[[#This Row],[Зачетный вес факт, т]]/Таблица4[[#This Row],[Валовый сбор факт, т]], "-")</f>
        <v>0.151860605618058</v>
      </c>
      <c r="V50" s="229" t="n">
        <f aca="false">962892.4/1000</f>
        <v>962.8924</v>
      </c>
      <c r="W50" s="221"/>
    </row>
    <row r="51" customFormat="false" ht="23.25" hidden="false" customHeight="true" outlineLevel="0" collapsed="false">
      <c r="A51" s="220" t="s">
        <v>135</v>
      </c>
      <c r="B51" s="220" t="s">
        <v>2402</v>
      </c>
      <c r="C51" s="221" t="s">
        <v>115</v>
      </c>
      <c r="D51" s="221" t="s">
        <v>279</v>
      </c>
      <c r="E51" s="221" t="s">
        <v>279</v>
      </c>
      <c r="F51" s="222" t="s">
        <v>3404</v>
      </c>
      <c r="G51" s="223" t="s">
        <v>3405</v>
      </c>
      <c r="H51" s="224" t="n">
        <v>75</v>
      </c>
      <c r="I51" s="225" t="n">
        <v>75</v>
      </c>
      <c r="J51" s="226" t="n">
        <v>50</v>
      </c>
      <c r="K51" s="226" t="n">
        <f aca="false">Таблица4[[#This Row],[Количество внесения, п.е.]]/Таблица4[[#This Row],[Площадь внесения, га]]</f>
        <v>0.666666666666667</v>
      </c>
      <c r="L51" s="227" t="n">
        <v>19</v>
      </c>
      <c r="M51" s="221" t="n">
        <f aca="false">Таблица4[[#This Row],[Урожайность план, т/га]]*Таблица4[[#This Row],[Площадь внесения, га]]</f>
        <v>1425</v>
      </c>
      <c r="N51" s="228" t="n">
        <v>0.13</v>
      </c>
      <c r="O51" s="229" t="n">
        <f aca="false">Таблица4[[#This Row],[Валовый сбор план, т]]*(1-Таблица4[[#This Row],[Рефакция план, %]])</f>
        <v>1239.75</v>
      </c>
      <c r="P51" s="225" t="n">
        <v>75</v>
      </c>
      <c r="Q51" s="231" t="n">
        <f aca="false">Таблица4[[#This Row],[Площадь внесения, га]]-Таблица4[[#This Row],[Площадь уборки, га]]</f>
        <v>0</v>
      </c>
      <c r="R51" s="225"/>
      <c r="S51" s="227" t="n">
        <f aca="false">IFERROR(Таблица4[[#This Row],[Валовый сбор факт, т]]/Таблица4[[#This Row],[Площадь уборки, га]], "-")</f>
        <v>21.5932</v>
      </c>
      <c r="T51" s="229" t="n">
        <f aca="false">1619490/1000</f>
        <v>1619.49</v>
      </c>
      <c r="U51" s="228" t="n">
        <f aca="false">IFERROR(1-Таблица4[[#This Row],[Зачетный вес факт, т]]/Таблица4[[#This Row],[Валовый сбор факт, т]], "-")</f>
        <v>0.139039882926106</v>
      </c>
      <c r="V51" s="229" t="n">
        <f aca="false">1394316.3/1000</f>
        <v>1394.3163</v>
      </c>
      <c r="W51" s="221"/>
    </row>
    <row r="52" customFormat="false" ht="23.25" hidden="false" customHeight="true" outlineLevel="0" collapsed="false">
      <c r="A52" s="220" t="s">
        <v>135</v>
      </c>
      <c r="B52" s="220" t="s">
        <v>2728</v>
      </c>
      <c r="C52" s="221" t="s">
        <v>115</v>
      </c>
      <c r="D52" s="221" t="s">
        <v>279</v>
      </c>
      <c r="E52" s="221" t="s">
        <v>279</v>
      </c>
      <c r="F52" s="222" t="s">
        <v>3404</v>
      </c>
      <c r="G52" s="222" t="s">
        <v>3406</v>
      </c>
      <c r="H52" s="224" t="n">
        <v>83</v>
      </c>
      <c r="I52" s="225" t="n">
        <v>83</v>
      </c>
      <c r="J52" s="226" t="n">
        <v>56</v>
      </c>
      <c r="K52" s="226" t="n">
        <f aca="false">Таблица4[[#This Row],[Количество внесения, п.е.]]/Таблица4[[#This Row],[Площадь внесения, га]]</f>
        <v>0.674698795180723</v>
      </c>
      <c r="L52" s="227" t="n">
        <v>19</v>
      </c>
      <c r="M52" s="221" t="n">
        <f aca="false">Таблица4[[#This Row],[Урожайность план, т/га]]*Таблица4[[#This Row],[Площадь внесения, га]]</f>
        <v>1577</v>
      </c>
      <c r="N52" s="228" t="n">
        <v>0.13</v>
      </c>
      <c r="O52" s="229" t="n">
        <f aca="false">Таблица4[[#This Row],[Валовый сбор план, т]]*(1-Таблица4[[#This Row],[Рефакция план, %]])</f>
        <v>1371.99</v>
      </c>
      <c r="P52" s="225" t="n">
        <v>83</v>
      </c>
      <c r="Q52" s="231" t="n">
        <f aca="false">Таблица4[[#This Row],[Площадь внесения, га]]-Таблица4[[#This Row],[Площадь уборки, га]]</f>
        <v>0</v>
      </c>
      <c r="R52" s="225"/>
      <c r="S52" s="227" t="n">
        <f aca="false">IFERROR(Таблица4[[#This Row],[Валовый сбор факт, т]]/Таблица4[[#This Row],[Площадь уборки, га]], "-")</f>
        <v>22.2479518072289</v>
      </c>
      <c r="T52" s="229" t="n">
        <f aca="false">1846580/1000</f>
        <v>1846.58</v>
      </c>
      <c r="U52" s="228" t="n">
        <f aca="false">IFERROR(1-Таблица4[[#This Row],[Зачетный вес факт, т]]/Таблица4[[#This Row],[Валовый сбор факт, т]], "-")</f>
        <v>0.107651767050439</v>
      </c>
      <c r="V52" s="229" t="n">
        <f aca="false">1647792.4/1000</f>
        <v>1647.7924</v>
      </c>
      <c r="W52" s="221"/>
    </row>
    <row r="53" customFormat="false" ht="23.25" hidden="false" customHeight="true" outlineLevel="0" collapsed="false">
      <c r="A53" s="220" t="s">
        <v>135</v>
      </c>
      <c r="B53" s="220" t="s">
        <v>3217</v>
      </c>
      <c r="C53" s="221" t="s">
        <v>115</v>
      </c>
      <c r="D53" s="221" t="s">
        <v>279</v>
      </c>
      <c r="E53" s="221" t="s">
        <v>279</v>
      </c>
      <c r="F53" s="222" t="s">
        <v>3404</v>
      </c>
      <c r="G53" s="223" t="n">
        <v>45966</v>
      </c>
      <c r="H53" s="224" t="n">
        <v>45</v>
      </c>
      <c r="I53" s="225" t="n">
        <v>45</v>
      </c>
      <c r="J53" s="226" t="n">
        <v>30</v>
      </c>
      <c r="K53" s="226" t="n">
        <f aca="false">Таблица4[[#This Row],[Количество внесения, п.е.]]/Таблица4[[#This Row],[Площадь внесения, га]]</f>
        <v>0.666666666666667</v>
      </c>
      <c r="L53" s="227" t="n">
        <v>19</v>
      </c>
      <c r="M53" s="221" t="n">
        <f aca="false">Таблица4[[#This Row],[Урожайность план, т/га]]*Таблица4[[#This Row],[Площадь внесения, га]]</f>
        <v>855</v>
      </c>
      <c r="N53" s="228" t="n">
        <v>0.13</v>
      </c>
      <c r="O53" s="229" t="n">
        <f aca="false">Таблица4[[#This Row],[Валовый сбор план, т]]*(1-Таблица4[[#This Row],[Рефакция план, %]])</f>
        <v>743.85</v>
      </c>
      <c r="P53" s="225" t="n">
        <v>45</v>
      </c>
      <c r="Q53" s="231" t="n">
        <f aca="false">Таблица4[[#This Row],[Площадь внесения, га]]-Таблица4[[#This Row],[Площадь уборки, га]]</f>
        <v>0</v>
      </c>
      <c r="R53" s="225"/>
      <c r="S53" s="227" t="n">
        <f aca="false">IFERROR(Таблица4[[#This Row],[Валовый сбор факт, т]]/Таблица4[[#This Row],[Площадь уборки, га]], "-")</f>
        <v>19.5628888888889</v>
      </c>
      <c r="T53" s="229" t="n">
        <f aca="false">880330/1000</f>
        <v>880.33</v>
      </c>
      <c r="U53" s="228" t="n">
        <f aca="false">IFERROR(1-Таблица4[[#This Row],[Зачетный вес факт, т]]/Таблица4[[#This Row],[Валовый сбор факт, т]], "-")</f>
        <v>0.287537287153681</v>
      </c>
      <c r="V53" s="229" t="n">
        <f aca="false">627202.3/1000</f>
        <v>627.2023</v>
      </c>
      <c r="W53" s="221"/>
    </row>
    <row r="54" customFormat="false" ht="23.25" hidden="false" customHeight="true" outlineLevel="0" collapsed="false">
      <c r="A54" s="220" t="s">
        <v>135</v>
      </c>
      <c r="B54" s="220" t="s">
        <v>2715</v>
      </c>
      <c r="C54" s="221" t="s">
        <v>115</v>
      </c>
      <c r="D54" s="221" t="s">
        <v>279</v>
      </c>
      <c r="E54" s="221" t="s">
        <v>279</v>
      </c>
      <c r="F54" s="222" t="s">
        <v>3404</v>
      </c>
      <c r="G54" s="222" t="s">
        <v>3407</v>
      </c>
      <c r="H54" s="224" t="n">
        <v>140</v>
      </c>
      <c r="I54" s="225" t="n">
        <v>140</v>
      </c>
      <c r="J54" s="226" t="n">
        <v>94</v>
      </c>
      <c r="K54" s="226" t="n">
        <f aca="false">Таблица4[[#This Row],[Количество внесения, п.е.]]/Таблица4[[#This Row],[Площадь внесения, га]]</f>
        <v>0.671428571428571</v>
      </c>
      <c r="L54" s="227" t="n">
        <v>19</v>
      </c>
      <c r="M54" s="221" t="n">
        <f aca="false">Таблица4[[#This Row],[Урожайность план, т/га]]*Таблица4[[#This Row],[Площадь внесения, га]]</f>
        <v>2660</v>
      </c>
      <c r="N54" s="228" t="n">
        <v>0.13</v>
      </c>
      <c r="O54" s="229" t="n">
        <f aca="false">Таблица4[[#This Row],[Валовый сбор план, т]]*(1-Таблица4[[#This Row],[Рефакция план, %]])</f>
        <v>2314.2</v>
      </c>
      <c r="P54" s="225" t="n">
        <v>140</v>
      </c>
      <c r="Q54" s="231" t="n">
        <f aca="false">Таблица4[[#This Row],[Площадь внесения, га]]-Таблица4[[#This Row],[Площадь уборки, га]]</f>
        <v>0</v>
      </c>
      <c r="R54" s="225"/>
      <c r="S54" s="227" t="n">
        <f aca="false">IFERROR(Таблица4[[#This Row],[Валовый сбор факт, т]]/Таблица4[[#This Row],[Площадь уборки, га]], "-")</f>
        <v>18.6144285714286</v>
      </c>
      <c r="T54" s="229" t="n">
        <f aca="false">2606020/1000</f>
        <v>2606.02</v>
      </c>
      <c r="U54" s="228" t="n">
        <f aca="false">IFERROR(1-Таблица4[[#This Row],[Зачетный вес факт, т]]/Таблица4[[#This Row],[Валовый сбор факт, т]], "-")</f>
        <v>0.115309514124988</v>
      </c>
      <c r="V54" s="229" t="n">
        <f aca="false">2305521.1/1000</f>
        <v>2305.5211</v>
      </c>
      <c r="W54" s="221"/>
    </row>
    <row r="55" customFormat="false" ht="23.25" hidden="false" customHeight="true" outlineLevel="0" collapsed="false">
      <c r="A55" s="220" t="s">
        <v>135</v>
      </c>
      <c r="B55" s="220" t="s">
        <v>144</v>
      </c>
      <c r="C55" s="221" t="s">
        <v>83</v>
      </c>
      <c r="D55" s="221" t="s">
        <v>158</v>
      </c>
      <c r="E55" s="221" t="s">
        <v>158</v>
      </c>
      <c r="F55" s="222" t="s">
        <v>3404</v>
      </c>
      <c r="G55" s="223" t="s">
        <v>3408</v>
      </c>
      <c r="H55" s="224" t="n">
        <v>55</v>
      </c>
      <c r="I55" s="225" t="n">
        <v>22</v>
      </c>
      <c r="J55" s="226" t="n">
        <v>29</v>
      </c>
      <c r="K55" s="226" t="n">
        <f aca="false">Таблица4[[#This Row],[Количество внесения, п.е.]]/Таблица4[[#This Row],[Площадь внесения, га]]</f>
        <v>1.31818181818182</v>
      </c>
      <c r="L55" s="227" t="n">
        <v>19</v>
      </c>
      <c r="M55" s="221" t="n">
        <f aca="false">Таблица4[[#This Row],[Урожайность план, т/га]]*Таблица4[[#This Row],[Площадь внесения, га]]</f>
        <v>418</v>
      </c>
      <c r="N55" s="228" t="n">
        <v>0.13</v>
      </c>
      <c r="O55" s="229" t="n">
        <f aca="false">Таблица4[[#This Row],[Валовый сбор план, т]]*(1-Таблица4[[#This Row],[Рефакция план, %]])</f>
        <v>363.66</v>
      </c>
      <c r="P55" s="225" t="n">
        <v>22</v>
      </c>
      <c r="Q55" s="231" t="n">
        <f aca="false">Таблица4[[#This Row],[Площадь внесения, га]]-Таблица4[[#This Row],[Площадь уборки, га]]</f>
        <v>0</v>
      </c>
      <c r="R55" s="225"/>
      <c r="S55" s="227" t="n">
        <f aca="false">IFERROR(Таблица4[[#This Row],[Валовый сбор факт, т]]/Таблица4[[#This Row],[Площадь уборки, га]], "-")</f>
        <v>24.0109090909091</v>
      </c>
      <c r="T55" s="229" t="n">
        <f aca="false">528240/1000</f>
        <v>528.24</v>
      </c>
      <c r="U55" s="228" t="n">
        <f aca="false">IFERROR(1-Таблица4[[#This Row],[Зачетный вес факт, т]]/Таблица4[[#This Row],[Валовый сбор факт, т]], "-")</f>
        <v>0.17477472361048</v>
      </c>
      <c r="V55" s="229" t="n">
        <f aca="false">435917/1000</f>
        <v>435.917</v>
      </c>
      <c r="W55" s="221"/>
    </row>
    <row r="56" customFormat="false" ht="23.25" hidden="false" customHeight="true" outlineLevel="0" collapsed="false">
      <c r="A56" s="220" t="s">
        <v>135</v>
      </c>
      <c r="B56" s="220" t="s">
        <v>144</v>
      </c>
      <c r="C56" s="221" t="s">
        <v>115</v>
      </c>
      <c r="D56" s="221" t="s">
        <v>279</v>
      </c>
      <c r="E56" s="221" t="s">
        <v>279</v>
      </c>
      <c r="F56" s="222" t="s">
        <v>3404</v>
      </c>
      <c r="G56" s="223" t="s">
        <v>3409</v>
      </c>
      <c r="H56" s="224" t="n">
        <v>55</v>
      </c>
      <c r="I56" s="225" t="n">
        <v>33</v>
      </c>
      <c r="J56" s="226" t="n">
        <v>22</v>
      </c>
      <c r="K56" s="226" t="n">
        <f aca="false">Таблица4[[#This Row],[Количество внесения, п.е.]]/Таблица4[[#This Row],[Площадь внесения, га]]</f>
        <v>0.666666666666667</v>
      </c>
      <c r="L56" s="227" t="n">
        <v>19</v>
      </c>
      <c r="M56" s="221" t="n">
        <f aca="false">Таблица4[[#This Row],[Урожайность план, т/га]]*Таблица4[[#This Row],[Площадь внесения, га]]</f>
        <v>627</v>
      </c>
      <c r="N56" s="228" t="n">
        <v>0.13</v>
      </c>
      <c r="O56" s="229" t="n">
        <f aca="false">Таблица4[[#This Row],[Валовый сбор план, т]]*(1-Таблица4[[#This Row],[Рефакция план, %]])</f>
        <v>545.49</v>
      </c>
      <c r="P56" s="225" t="n">
        <v>33</v>
      </c>
      <c r="Q56" s="231" t="n">
        <f aca="false">Таблица4[[#This Row],[Площадь внесения, га]]-Таблица4[[#This Row],[Площадь уборки, га]]</f>
        <v>0</v>
      </c>
      <c r="R56" s="225"/>
      <c r="S56" s="227" t="n">
        <f aca="false">IFERROR(Таблица4[[#This Row],[Валовый сбор факт, т]]/Таблица4[[#This Row],[Площадь уборки, га]], "-")</f>
        <v>16.0657575757576</v>
      </c>
      <c r="T56" s="229" t="n">
        <f aca="false">530170/1000</f>
        <v>530.17</v>
      </c>
      <c r="U56" s="228" t="n">
        <f aca="false">IFERROR(1-Таблица4[[#This Row],[Зачетный вес факт, т]]/Таблица4[[#This Row],[Валовый сбор факт, т]], "-")</f>
        <v>0.0792217590584152</v>
      </c>
      <c r="V56" s="229" t="n">
        <f aca="false">488169/1000</f>
        <v>488.169</v>
      </c>
      <c r="W56" s="221"/>
    </row>
    <row r="57" customFormat="false" ht="23.25" hidden="false" customHeight="true" outlineLevel="0" collapsed="false">
      <c r="A57" s="220" t="s">
        <v>135</v>
      </c>
      <c r="B57" s="220" t="s">
        <v>142</v>
      </c>
      <c r="C57" s="221" t="s">
        <v>83</v>
      </c>
      <c r="D57" s="221" t="s">
        <v>158</v>
      </c>
      <c r="E57" s="221" t="s">
        <v>158</v>
      </c>
      <c r="F57" s="222" t="s">
        <v>3404</v>
      </c>
      <c r="G57" s="222" t="s">
        <v>3410</v>
      </c>
      <c r="H57" s="224" t="n">
        <v>53</v>
      </c>
      <c r="I57" s="225" t="n">
        <v>53</v>
      </c>
      <c r="J57" s="226" t="n">
        <v>69</v>
      </c>
      <c r="K57" s="226" t="n">
        <f aca="false">Таблица4[[#This Row],[Количество внесения, п.е.]]/Таблица4[[#This Row],[Площадь внесения, га]]</f>
        <v>1.30188679245283</v>
      </c>
      <c r="L57" s="227" t="n">
        <v>19</v>
      </c>
      <c r="M57" s="221" t="n">
        <f aca="false">Таблица4[[#This Row],[Урожайность план, т/га]]*Таблица4[[#This Row],[Площадь внесения, га]]</f>
        <v>1007</v>
      </c>
      <c r="N57" s="228" t="n">
        <v>0.13</v>
      </c>
      <c r="O57" s="229" t="n">
        <f aca="false">Таблица4[[#This Row],[Валовый сбор план, т]]*(1-Таблица4[[#This Row],[Рефакция план, %]])</f>
        <v>876.09</v>
      </c>
      <c r="P57" s="225" t="n">
        <v>53</v>
      </c>
      <c r="Q57" s="231" t="n">
        <f aca="false">Таблица4[[#This Row],[Площадь внесения, га]]-Таблица4[[#This Row],[Площадь уборки, га]]</f>
        <v>0</v>
      </c>
      <c r="R57" s="225"/>
      <c r="S57" s="227" t="n">
        <f aca="false">IFERROR(Таблица4[[#This Row],[Валовый сбор факт, т]]/Таблица4[[#This Row],[Площадь уборки, га]], "-")</f>
        <v>22.8847169811321</v>
      </c>
      <c r="T57" s="229" t="n">
        <f aca="false">1212890/1000</f>
        <v>1212.89</v>
      </c>
      <c r="U57" s="228" t="n">
        <f aca="false">IFERROR(1-Таблица4[[#This Row],[Зачетный вес факт, т]]/Таблица4[[#This Row],[Валовый сбор факт, т]], "-")</f>
        <v>0.115337334795406</v>
      </c>
      <c r="V57" s="229" t="n">
        <f aca="false">1072998.5/1000</f>
        <v>1072.9985</v>
      </c>
      <c r="W57" s="221"/>
    </row>
    <row r="58" customFormat="false" ht="11.25" hidden="false" customHeight="false" outlineLevel="0" collapsed="false">
      <c r="A58" s="220"/>
      <c r="B58" s="221"/>
      <c r="C58" s="221"/>
      <c r="D58" s="221"/>
      <c r="E58" s="221"/>
      <c r="F58" s="222"/>
      <c r="G58" s="222"/>
      <c r="H58" s="224"/>
      <c r="I58" s="225" t="n">
        <f aca="false">SUBTOTAL(109,Таблица4[Площадь внесения, га])</f>
        <v>2269</v>
      </c>
      <c r="J58" s="225" t="n">
        <f aca="false">SUBTOTAL(109,Таблица4[Количество внесения, п.е.])</f>
        <v>1658.2</v>
      </c>
      <c r="K58" s="226" t="n">
        <f aca="false">Таблица4[[#Totals],[Количество внесения, п.е.]]/Таблица4[[#Totals],[Площадь внесения, га]]</f>
        <v>0.730806522697224</v>
      </c>
      <c r="L58" s="227" t="n">
        <f aca="false">Таблица4[[#Totals],[Валовый сбор план, т]]/Таблица4[[#Totals],[Площадь внесения, га]]</f>
        <v>17.2613486117232</v>
      </c>
      <c r="M58" s="229" t="n">
        <f aca="false">SUBTOTAL(109,Таблица4[Валовый сбор план, т])</f>
        <v>39166</v>
      </c>
      <c r="N58" s="228" t="n">
        <f aca="false">1-Таблица4[[#Totals],[Зачетный вес план, т]]/Таблица4[[#Totals],[Валовый сбор план, т]]</f>
        <v>0.13</v>
      </c>
      <c r="O58" s="229" t="n">
        <f aca="false">SUBTOTAL(109,Таблица4[Зачетный вес план, т])</f>
        <v>34074.42</v>
      </c>
      <c r="P58" s="230" t="n">
        <f aca="false">SUBTOTAL(109,Таблица4[Площадь уборки, га])</f>
        <v>2197</v>
      </c>
      <c r="Q58" s="225" t="n">
        <f aca="false">SUBTOTAL(109,Таблица4[Остаток, га])</f>
        <v>72</v>
      </c>
      <c r="R58" s="225" t="n">
        <f aca="false">SUBTOTAL(109,Таблица4[в т.ч. Бросили, га])</f>
        <v>72</v>
      </c>
      <c r="S58" s="227" t="n">
        <f aca="false">Таблица4[[#Totals],[Валовый сбор факт, т]]/Таблица4[[#Totals],[Площадь уборки, га]]</f>
        <v>15.9761810195721</v>
      </c>
      <c r="T58" s="229" t="n">
        <f aca="false">SUBTOTAL(109,Таблица4[Валовый сбор факт, т])</f>
        <v>35099.6697</v>
      </c>
      <c r="U58" s="228" t="n">
        <f aca="false">1-Таблица4[[#Totals],[Зачетный вес факт, т]]/Таблица4[[#Totals],[Валовый сбор факт, т]]</f>
        <v>0.143272886696139</v>
      </c>
      <c r="V58" s="229" t="n">
        <f aca="false">SUBTOTAL(109,Таблица4[Зачетный вес факт, т])</f>
        <v>30070.8387</v>
      </c>
    </row>
    <row r="63" customFormat="false" ht="11.25" hidden="false" customHeight="false" outlineLevel="0" collapsed="false">
      <c r="U63" s="234"/>
    </row>
    <row r="74" customFormat="false" ht="26.1" hidden="false" customHeight="false" outlineLevel="0" collapsed="false">
      <c r="G74" s="205" t="s">
        <v>3411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67171"/>
    <pageSetUpPr fitToPage="true"/>
  </sheetPr>
  <dimension ref="A2:U30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K4" activeCellId="0" sqref="K4"/>
    </sheetView>
  </sheetViews>
  <sheetFormatPr defaultColWidth="9.1484375" defaultRowHeight="14.25" customHeight="true" zeroHeight="false" outlineLevelRow="0" outlineLevelCol="1"/>
  <cols>
    <col collapsed="false" customWidth="true" hidden="false" outlineLevel="0" max="1" min="1" style="89" width="3.29"/>
    <col collapsed="false" customWidth="true" hidden="false" outlineLevel="0" max="2" min="2" style="89" width="46.29"/>
    <col collapsed="false" customWidth="true" hidden="false" outlineLevel="0" max="7" min="3" style="89" width="14.57"/>
    <col collapsed="false" customWidth="true" hidden="false" outlineLevel="0" max="9" min="8" style="89" width="18.57"/>
    <col collapsed="false" customWidth="true" hidden="false" outlineLevel="0" max="10" min="10" style="89" width="10.85"/>
    <col collapsed="false" customWidth="true" hidden="false" outlineLevel="0" max="11" min="11" style="89" width="15.29"/>
    <col collapsed="false" customWidth="true" hidden="false" outlineLevel="1" max="12" min="12" style="89" width="18.86"/>
    <col collapsed="false" customWidth="true" hidden="false" outlineLevel="1" max="13" min="13" style="89" width="12.15"/>
    <col collapsed="false" customWidth="true" hidden="false" outlineLevel="1" max="14" min="14" style="89" width="21.29"/>
    <col collapsed="false" customWidth="false" hidden="false" outlineLevel="1" max="15" min="15" style="90" width="9.14"/>
    <col collapsed="false" customWidth="true" hidden="false" outlineLevel="0" max="16" min="16" style="89" width="12.29"/>
    <col collapsed="false" customWidth="true" hidden="true" outlineLevel="1" max="17" min="17" style="89" width="16.71"/>
    <col collapsed="false" customWidth="true" hidden="true" outlineLevel="1" max="18" min="18" style="89" width="17.57"/>
    <col collapsed="false" customWidth="true" hidden="false" outlineLevel="0" max="19" min="19" style="89" width="18.86"/>
    <col collapsed="false" customWidth="true" hidden="false" outlineLevel="0" max="20" min="20" style="89" width="17.57"/>
    <col collapsed="false" customWidth="true" hidden="false" outlineLevel="0" max="21" min="21" style="89" width="26.15"/>
    <col collapsed="false" customWidth="true" hidden="false" outlineLevel="0" max="22" min="22" style="89" width="11.71"/>
    <col collapsed="false" customWidth="true" hidden="false" outlineLevel="0" max="24" min="23" style="89" width="14.42"/>
    <col collapsed="false" customWidth="false" hidden="false" outlineLevel="0" max="16384" min="25" style="89" width="9.14"/>
  </cols>
  <sheetData>
    <row r="2" customFormat="false" ht="60" hidden="false" customHeight="true" outlineLevel="0" collapsed="false">
      <c r="B2" s="91" t="s">
        <v>3412</v>
      </c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2"/>
    </row>
    <row r="3" customFormat="false" ht="39.55" hidden="false" customHeight="false" outlineLevel="0" collapsed="false">
      <c r="C3" s="235" t="s">
        <v>36</v>
      </c>
      <c r="H3" s="94"/>
      <c r="I3" s="94"/>
      <c r="J3" s="94"/>
      <c r="K3" s="236" t="s">
        <v>3413</v>
      </c>
      <c r="L3" s="236" t="s">
        <v>75</v>
      </c>
      <c r="M3" s="236" t="s">
        <v>168</v>
      </c>
      <c r="N3" s="236" t="s">
        <v>76</v>
      </c>
      <c r="O3" s="236" t="s">
        <v>169</v>
      </c>
      <c r="P3" s="236" t="s">
        <v>18</v>
      </c>
      <c r="Q3" s="236" t="s">
        <v>170</v>
      </c>
      <c r="R3" s="236" t="s">
        <v>171</v>
      </c>
      <c r="S3" s="237" t="s">
        <v>172</v>
      </c>
      <c r="T3" s="238" t="s">
        <v>173</v>
      </c>
    </row>
    <row r="4" customFormat="false" ht="21.75" hidden="false" customHeight="true" outlineLevel="0" collapsed="false">
      <c r="B4" s="97" t="s">
        <v>174</v>
      </c>
      <c r="C4" s="98" t="s">
        <v>175</v>
      </c>
      <c r="D4" s="98" t="s">
        <v>176</v>
      </c>
      <c r="E4" s="98" t="s">
        <v>62</v>
      </c>
      <c r="F4" s="98" t="s">
        <v>63</v>
      </c>
      <c r="G4" s="98" t="s">
        <v>64</v>
      </c>
      <c r="H4" s="98" t="s">
        <v>65</v>
      </c>
      <c r="I4" s="239" t="s">
        <v>66</v>
      </c>
      <c r="J4" s="240"/>
      <c r="K4" s="241" t="n">
        <v>46238</v>
      </c>
      <c r="L4" s="99" t="s">
        <v>98</v>
      </c>
      <c r="M4" s="100" t="n">
        <v>58</v>
      </c>
      <c r="N4" s="242" t="s">
        <v>263</v>
      </c>
      <c r="O4" s="101" t="n">
        <v>16</v>
      </c>
      <c r="P4" s="100" t="n">
        <v>15</v>
      </c>
      <c r="Q4" s="102"/>
      <c r="R4" s="103"/>
      <c r="S4" s="243" t="n">
        <v>279000</v>
      </c>
      <c r="T4" s="244" t="n">
        <v>18.6</v>
      </c>
    </row>
    <row r="5" s="90" customFormat="true" ht="21.75" hidden="false" customHeight="true" outlineLevel="0" collapsed="false">
      <c r="B5" s="105" t="s">
        <v>12</v>
      </c>
      <c r="C5" s="106" t="n">
        <v>44067</v>
      </c>
      <c r="D5" s="106" t="n">
        <v>44427</v>
      </c>
      <c r="E5" s="106" t="n">
        <v>44800</v>
      </c>
      <c r="F5" s="106" t="n">
        <v>45184</v>
      </c>
      <c r="G5" s="106" t="n">
        <v>45522</v>
      </c>
      <c r="H5" s="106" t="n">
        <v>45916</v>
      </c>
      <c r="I5" s="240" t="n">
        <f aca="false">+K4</f>
        <v>46238</v>
      </c>
      <c r="J5" s="240"/>
      <c r="K5" s="241" t="n">
        <v>46239</v>
      </c>
      <c r="L5" s="99" t="s">
        <v>98</v>
      </c>
      <c r="M5" s="100" t="n">
        <v>58</v>
      </c>
      <c r="N5" s="242" t="s">
        <v>263</v>
      </c>
      <c r="O5" s="101" t="n">
        <v>23</v>
      </c>
      <c r="P5" s="100" t="n">
        <v>19</v>
      </c>
      <c r="Q5" s="102"/>
      <c r="R5" s="103"/>
      <c r="S5" s="243" t="n">
        <v>436590</v>
      </c>
      <c r="T5" s="245" t="n">
        <v>22.9784210526316</v>
      </c>
    </row>
    <row r="6" customFormat="false" ht="21.75" hidden="false" customHeight="true" outlineLevel="0" collapsed="false">
      <c r="B6" s="105" t="s">
        <v>20</v>
      </c>
      <c r="C6" s="106" t="n">
        <v>44097</v>
      </c>
      <c r="D6" s="106" t="n">
        <v>44458</v>
      </c>
      <c r="E6" s="106" t="n">
        <v>44825</v>
      </c>
      <c r="F6" s="106" t="n">
        <v>45201</v>
      </c>
      <c r="G6" s="106" t="n">
        <v>45538</v>
      </c>
      <c r="H6" s="106" t="n">
        <v>45931</v>
      </c>
      <c r="I6" s="240"/>
      <c r="J6" s="240"/>
      <c r="K6" s="241" t="n">
        <v>46239</v>
      </c>
      <c r="L6" s="99" t="s">
        <v>3414</v>
      </c>
      <c r="M6" s="100" t="n">
        <v>59</v>
      </c>
      <c r="N6" s="242" t="s">
        <v>263</v>
      </c>
      <c r="O6" s="101" t="n">
        <v>2</v>
      </c>
      <c r="P6" s="100" t="n">
        <v>1.5</v>
      </c>
      <c r="Q6" s="102"/>
      <c r="R6" s="103"/>
      <c r="S6" s="243" t="n">
        <v>30550</v>
      </c>
      <c r="T6" s="245" t="n">
        <v>20.3666666666667</v>
      </c>
      <c r="U6" s="246" t="s">
        <v>3415</v>
      </c>
    </row>
    <row r="7" customFormat="false" ht="21.75" hidden="false" customHeight="true" outlineLevel="0" collapsed="false">
      <c r="B7" s="105" t="s">
        <v>178</v>
      </c>
      <c r="C7" s="111" t="n">
        <f aca="false">IF(C6=0,"-",C6-C5+1)</f>
        <v>31</v>
      </c>
      <c r="D7" s="111" t="n">
        <f aca="false">IF(D6=0,"-",D6-D5+1)</f>
        <v>32</v>
      </c>
      <c r="E7" s="111" t="n">
        <f aca="false">IF(E6=0,"-",E6-E5+1)</f>
        <v>26</v>
      </c>
      <c r="F7" s="111" t="n">
        <f aca="false">IF(F6=0,"-",F6-F5+1)</f>
        <v>18</v>
      </c>
      <c r="G7" s="111" t="n">
        <f aca="false">IF(G6=0,"-",G6-G5+1)</f>
        <v>17</v>
      </c>
      <c r="H7" s="111" t="n">
        <f aca="false">IF(H6=0,"-",H6-H5+1)</f>
        <v>16</v>
      </c>
      <c r="I7" s="247" t="str">
        <f aca="false">IF(I6=0,"-",I6-I5+1)</f>
        <v>-</v>
      </c>
      <c r="J7" s="240"/>
      <c r="K7" s="241" t="n">
        <v>46240</v>
      </c>
      <c r="L7" s="99" t="s">
        <v>98</v>
      </c>
      <c r="M7" s="100" t="n">
        <v>58</v>
      </c>
      <c r="N7" s="242" t="s">
        <v>263</v>
      </c>
      <c r="O7" s="101" t="n">
        <v>20</v>
      </c>
      <c r="P7" s="100" t="n">
        <v>24</v>
      </c>
      <c r="Q7" s="102"/>
      <c r="R7" s="103"/>
      <c r="S7" s="243" t="n">
        <v>426170</v>
      </c>
      <c r="T7" s="245" t="n">
        <v>17.7570833333333</v>
      </c>
    </row>
    <row r="8" customFormat="false" ht="21.75" hidden="false" customHeight="true" outlineLevel="0" collapsed="false">
      <c r="B8" s="105" t="s">
        <v>179</v>
      </c>
      <c r="C8" s="111" t="n">
        <v>20</v>
      </c>
      <c r="D8" s="111" t="n">
        <v>18</v>
      </c>
      <c r="E8" s="111" t="n">
        <v>17</v>
      </c>
      <c r="F8" s="111" t="n">
        <v>7</v>
      </c>
      <c r="G8" s="111" t="n">
        <v>13</v>
      </c>
      <c r="H8" s="111" t="n">
        <v>16</v>
      </c>
      <c r="I8" s="247"/>
      <c r="J8" s="240"/>
      <c r="K8" s="241" t="n">
        <v>46240</v>
      </c>
      <c r="L8" s="99" t="s">
        <v>3414</v>
      </c>
      <c r="M8" s="100" t="n">
        <v>59</v>
      </c>
      <c r="N8" s="242" t="s">
        <v>263</v>
      </c>
      <c r="O8" s="101" t="n">
        <v>8</v>
      </c>
      <c r="P8" s="100" t="n">
        <v>7</v>
      </c>
      <c r="Q8" s="102"/>
      <c r="R8" s="103"/>
      <c r="S8" s="243" t="n">
        <v>163640</v>
      </c>
      <c r="T8" s="245" t="n">
        <v>23.3771428571429</v>
      </c>
    </row>
    <row r="9" customFormat="false" ht="21.75" hidden="false" customHeight="true" outlineLevel="0" collapsed="false">
      <c r="B9" s="105" t="s">
        <v>181</v>
      </c>
      <c r="C9" s="112"/>
      <c r="D9" s="112"/>
      <c r="E9" s="112"/>
      <c r="F9" s="112"/>
      <c r="G9" s="112" t="s">
        <v>3416</v>
      </c>
      <c r="H9" s="112" t="s">
        <v>3417</v>
      </c>
      <c r="I9" s="248" t="s">
        <v>182</v>
      </c>
      <c r="J9" s="240"/>
      <c r="K9" s="241" t="n">
        <v>46241</v>
      </c>
      <c r="L9" s="99" t="s">
        <v>3414</v>
      </c>
      <c r="M9" s="100" t="n">
        <v>59</v>
      </c>
      <c r="N9" s="242" t="s">
        <v>263</v>
      </c>
      <c r="O9" s="101" t="n">
        <v>26</v>
      </c>
      <c r="P9" s="100" t="n">
        <v>27.5</v>
      </c>
      <c r="Q9" s="102"/>
      <c r="R9" s="103"/>
      <c r="S9" s="243" t="n">
        <v>491940</v>
      </c>
      <c r="T9" s="245" t="n">
        <v>17.8887272727273</v>
      </c>
    </row>
    <row r="10" customFormat="false" ht="21.75" hidden="false" customHeight="true" outlineLevel="0" collapsed="false">
      <c r="B10" s="105" t="s">
        <v>187</v>
      </c>
      <c r="C10" s="117" t="n">
        <v>6271.2</v>
      </c>
      <c r="D10" s="117" t="n">
        <v>4487.5</v>
      </c>
      <c r="E10" s="117" t="n">
        <v>4513.01</v>
      </c>
      <c r="F10" s="117" t="n">
        <v>1950.56</v>
      </c>
      <c r="G10" s="117" t="n">
        <v>3707.36</v>
      </c>
      <c r="H10" s="117" t="n">
        <v>550.89</v>
      </c>
      <c r="I10" s="249" t="n">
        <f aca="false">S16/1000</f>
        <v>1827.89</v>
      </c>
      <c r="K10" s="99"/>
      <c r="L10" s="99"/>
      <c r="M10" s="100"/>
      <c r="N10" s="242"/>
      <c r="O10" s="101"/>
      <c r="P10" s="100"/>
      <c r="Q10" s="102"/>
      <c r="R10" s="103"/>
      <c r="S10" s="243"/>
      <c r="T10" s="245" t="str">
        <f aca="false">IFERROR(S10/1000/P10, "-")</f>
        <v>-</v>
      </c>
    </row>
    <row r="11" customFormat="false" ht="21.75" hidden="false" customHeight="true" outlineLevel="0" collapsed="false">
      <c r="B11" s="105" t="s">
        <v>191</v>
      </c>
      <c r="C11" s="119" t="n">
        <v>411</v>
      </c>
      <c r="D11" s="119" t="n">
        <v>315</v>
      </c>
      <c r="E11" s="119" t="n">
        <v>400</v>
      </c>
      <c r="F11" s="119" t="n">
        <v>142.7</v>
      </c>
      <c r="G11" s="119" t="n">
        <v>482</v>
      </c>
      <c r="H11" s="119" t="n">
        <v>63</v>
      </c>
      <c r="I11" s="250" t="n">
        <v>136</v>
      </c>
      <c r="K11" s="99"/>
      <c r="L11" s="99"/>
      <c r="M11" s="100"/>
      <c r="N11" s="242"/>
      <c r="O11" s="101"/>
      <c r="P11" s="100"/>
      <c r="Q11" s="102"/>
      <c r="R11" s="103"/>
      <c r="S11" s="243"/>
      <c r="T11" s="245" t="str">
        <f aca="false">IFERROR(S11/1000/P11, "-")</f>
        <v>-</v>
      </c>
    </row>
    <row r="12" customFormat="false" ht="21.75" hidden="false" customHeight="true" outlineLevel="0" collapsed="false">
      <c r="B12" s="105" t="s">
        <v>18</v>
      </c>
      <c r="C12" s="119" t="n">
        <v>411</v>
      </c>
      <c r="D12" s="119" t="n">
        <v>315</v>
      </c>
      <c r="E12" s="119" t="n">
        <v>400</v>
      </c>
      <c r="F12" s="119" t="n">
        <v>142.7</v>
      </c>
      <c r="G12" s="119" t="n">
        <v>459</v>
      </c>
      <c r="H12" s="119" t="n">
        <v>63</v>
      </c>
      <c r="I12" s="250" t="n">
        <f aca="false">P16</f>
        <v>94</v>
      </c>
      <c r="K12" s="99"/>
      <c r="L12" s="99"/>
      <c r="M12" s="100"/>
      <c r="N12" s="242"/>
      <c r="O12" s="101"/>
      <c r="P12" s="100"/>
      <c r="Q12" s="102"/>
      <c r="R12" s="103"/>
      <c r="S12" s="243"/>
      <c r="T12" s="245" t="str">
        <f aca="false">IFERROR(S12/1000/P12, "-")</f>
        <v>-</v>
      </c>
    </row>
    <row r="13" customFormat="false" ht="21.75" hidden="false" customHeight="true" outlineLevel="0" collapsed="false">
      <c r="B13" s="105" t="s">
        <v>195</v>
      </c>
      <c r="C13" s="251" t="n">
        <f aca="false">C10/C12</f>
        <v>15.2583941605839</v>
      </c>
      <c r="D13" s="251" t="n">
        <f aca="false">D10/D12</f>
        <v>14.2460317460317</v>
      </c>
      <c r="E13" s="251" t="n">
        <f aca="false">E10/E12</f>
        <v>11.282525</v>
      </c>
      <c r="F13" s="251" t="n">
        <f aca="false">F10/F12</f>
        <v>13.6689558514366</v>
      </c>
      <c r="G13" s="252" t="n">
        <f aca="false">G10/G12</f>
        <v>8.07703703703704</v>
      </c>
      <c r="H13" s="252" t="n">
        <f aca="false">H10/H12</f>
        <v>8.74428571428572</v>
      </c>
      <c r="I13" s="253" t="n">
        <f aca="false">I10/I12</f>
        <v>19.4456382978723</v>
      </c>
      <c r="K13" s="99"/>
      <c r="L13" s="99"/>
      <c r="M13" s="100"/>
      <c r="N13" s="100"/>
      <c r="O13" s="101"/>
      <c r="P13" s="100"/>
      <c r="Q13" s="102"/>
      <c r="R13" s="103"/>
      <c r="S13" s="243"/>
      <c r="T13" s="245" t="str">
        <f aca="false">IFERROR(S13/1000/P13, "-")</f>
        <v>-</v>
      </c>
    </row>
    <row r="14" customFormat="false" ht="21.75" hidden="false" customHeight="true" outlineLevel="0" collapsed="false">
      <c r="B14" s="105"/>
      <c r="C14" s="121"/>
      <c r="D14" s="121"/>
      <c r="E14" s="121"/>
      <c r="F14" s="121"/>
      <c r="G14" s="121"/>
      <c r="K14" s="99"/>
      <c r="L14" s="99"/>
      <c r="M14" s="100"/>
      <c r="N14" s="100"/>
      <c r="O14" s="101"/>
      <c r="P14" s="100"/>
      <c r="Q14" s="102"/>
      <c r="R14" s="103"/>
      <c r="S14" s="243"/>
      <c r="T14" s="245" t="str">
        <f aca="false">IFERROR(S14/1000/P14, "-")</f>
        <v>-</v>
      </c>
    </row>
    <row r="15" customFormat="false" ht="21.75" hidden="false" customHeight="true" outlineLevel="0" collapsed="false">
      <c r="A15" s="122"/>
      <c r="B15" s="105"/>
      <c r="C15" s="133"/>
      <c r="K15" s="99"/>
      <c r="L15" s="99"/>
      <c r="M15" s="100"/>
      <c r="N15" s="242"/>
      <c r="O15" s="101"/>
      <c r="P15" s="100"/>
      <c r="Q15" s="102"/>
      <c r="R15" s="103"/>
      <c r="S15" s="243"/>
      <c r="T15" s="245" t="str">
        <f aca="false">IFERROR(S15/1000/P15, "-")</f>
        <v>-</v>
      </c>
    </row>
    <row r="16" customFormat="false" ht="21.75" hidden="false" customHeight="true" outlineLevel="0" collapsed="false">
      <c r="B16" s="123" t="s">
        <v>3418</v>
      </c>
      <c r="C16" s="124"/>
      <c r="D16" s="124"/>
      <c r="E16" s="124"/>
      <c r="K16" s="236" t="s">
        <v>149</v>
      </c>
      <c r="L16" s="236"/>
      <c r="M16" s="236"/>
      <c r="N16" s="236"/>
      <c r="O16" s="236" t="n">
        <f aca="false">SUM(O4:O15)</f>
        <v>95</v>
      </c>
      <c r="P16" s="254" t="n">
        <f aca="false">SUM(P4:P15)</f>
        <v>94</v>
      </c>
      <c r="Q16" s="255" t="n">
        <f aca="false">SUM(Q4:Q15)</f>
        <v>0</v>
      </c>
      <c r="R16" s="256" t="n">
        <f aca="false">Q16/P16/100</f>
        <v>0</v>
      </c>
      <c r="S16" s="255" t="n">
        <f aca="false">SUM(S4:S15)</f>
        <v>1827890</v>
      </c>
      <c r="T16" s="257" t="n">
        <f aca="false">S16/P16/1000</f>
        <v>19.4456382978723</v>
      </c>
    </row>
    <row r="17" customFormat="false" ht="21.75" hidden="false" customHeight="true" outlineLevel="0" collapsed="false">
      <c r="B17" s="105" t="s">
        <v>16</v>
      </c>
      <c r="C17" s="117" t="n">
        <f aca="false">15*I11</f>
        <v>2040</v>
      </c>
      <c r="D17" s="251" t="n">
        <f aca="false">C17/E17</f>
        <v>15</v>
      </c>
      <c r="E17" s="258" t="n">
        <f aca="false">I11</f>
        <v>136</v>
      </c>
    </row>
    <row r="18" customFormat="false" ht="21.75" hidden="false" customHeight="true" outlineLevel="0" collapsed="false">
      <c r="B18" s="259" t="s">
        <v>17</v>
      </c>
      <c r="C18" s="143" t="n">
        <f aca="false">S16/1000</f>
        <v>1827.89</v>
      </c>
      <c r="D18" s="260" t="n">
        <f aca="false">IFERROR(C18/E18,)</f>
        <v>19.4456382978723</v>
      </c>
      <c r="E18" s="261" t="n">
        <f aca="false">P16</f>
        <v>94</v>
      </c>
    </row>
    <row r="19" customFormat="false" ht="21.75" hidden="false" customHeight="true" outlineLevel="0" collapsed="false">
      <c r="B19" s="105" t="s">
        <v>204</v>
      </c>
      <c r="C19" s="133" t="n">
        <f aca="false">C18/C17</f>
        <v>0.896024509803922</v>
      </c>
      <c r="D19" s="134"/>
      <c r="E19" s="262"/>
    </row>
    <row r="20" s="89" customFormat="true" ht="21.75" hidden="false" customHeight="true" outlineLevel="0" collapsed="false">
      <c r="B20" s="105" t="s">
        <v>205</v>
      </c>
      <c r="C20" s="133" t="n">
        <f aca="false">IFERROR(E18/E17, )</f>
        <v>0.691176470588235</v>
      </c>
    </row>
    <row r="21" s="89" customFormat="true" ht="21.75" hidden="false" customHeight="true" outlineLevel="0" collapsed="false"/>
    <row r="22" customFormat="false" ht="21.75" hidden="false" customHeight="true" outlineLevel="0" collapsed="false">
      <c r="S22" s="110"/>
    </row>
    <row r="23" customFormat="false" ht="21.75" hidden="false" customHeight="true" outlineLevel="0" collapsed="false">
      <c r="S23" s="110"/>
    </row>
    <row r="30" customFormat="false" ht="14.25" hidden="false" customHeight="false" outlineLevel="0" collapsed="false">
      <c r="G30" s="89" t="s">
        <v>3419</v>
      </c>
    </row>
  </sheetData>
  <mergeCells count="1">
    <mergeCell ref="B2:S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9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0" activePane="bottomLeft" state="frozen"/>
      <selection pane="topLeft" activeCell="A1" activeCellId="0" sqref="A1"/>
      <selection pane="bottomLeft" activeCell="C29" activeCellId="0" sqref="C29"/>
    </sheetView>
  </sheetViews>
  <sheetFormatPr defaultColWidth="8.00390625" defaultRowHeight="15" customHeight="true" zeroHeight="false" outlineLevelRow="0" outlineLevelCol="0"/>
  <cols>
    <col collapsed="false" customWidth="true" hidden="false" outlineLevel="0" max="1" min="1" style="0" width="24.42"/>
    <col collapsed="false" customWidth="true" hidden="false" outlineLevel="0" max="2" min="2" style="0" width="15.85"/>
    <col collapsed="false" customWidth="true" hidden="false" outlineLevel="0" max="3" min="3" style="0" width="9.42"/>
    <col collapsed="false" customWidth="true" hidden="false" outlineLevel="0" max="4" min="4" style="0" width="14"/>
    <col collapsed="false" customWidth="true" hidden="false" outlineLevel="0" max="5" min="5" style="0" width="12.71"/>
    <col collapsed="false" customWidth="true" hidden="false" outlineLevel="0" max="6" min="6" style="0" width="12.42"/>
    <col collapsed="false" customWidth="true" hidden="false" outlineLevel="0" max="7" min="7" style="0" width="10.71"/>
    <col collapsed="false" customWidth="true" hidden="false" outlineLevel="0" max="8" min="8" style="0" width="9.86"/>
    <col collapsed="false" customWidth="true" hidden="false" outlineLevel="0" max="9" min="9" style="0" width="21.43"/>
    <col collapsed="false" customWidth="true" hidden="false" outlineLevel="0" max="10" min="10" style="0" width="12"/>
    <col collapsed="false" customWidth="true" hidden="false" outlineLevel="0" max="11" min="11" style="15" width="13.71"/>
    <col collapsed="false" customWidth="true" hidden="false" outlineLevel="0" max="12" min="12" style="0" width="13.15"/>
    <col collapsed="false" customWidth="true" hidden="false" outlineLevel="0" max="13" min="13" style="263" width="11.71"/>
    <col collapsed="false" customWidth="true" hidden="false" outlineLevel="0" max="14" min="14" style="0" width="13"/>
    <col collapsed="false" customWidth="true" hidden="false" outlineLevel="0" max="15" min="15" style="0" width="11.71"/>
    <col collapsed="false" customWidth="true" hidden="false" outlineLevel="0" max="16" min="16" style="0" width="13.29"/>
    <col collapsed="false" customWidth="true" hidden="false" outlineLevel="0" max="17" min="17" style="0" width="14"/>
    <col collapsed="false" customWidth="true" hidden="false" outlineLevel="0" max="18" min="18" style="0" width="15.85"/>
    <col collapsed="false" customWidth="true" hidden="false" outlineLevel="0" max="19" min="19" style="0" width="13.29"/>
    <col collapsed="false" customWidth="true" hidden="false" outlineLevel="0" max="20" min="20" style="15" width="12.29"/>
    <col collapsed="false" customWidth="true" hidden="false" outlineLevel="0" max="21" min="21" style="15" width="16.43"/>
    <col collapsed="false" customWidth="true" hidden="false" outlineLevel="0" max="208" min="208" style="0" width="1.57"/>
    <col collapsed="false" customWidth="true" hidden="false" outlineLevel="0" max="209" min="209" style="0" width="48.29"/>
    <col collapsed="false" customWidth="true" hidden="false" outlineLevel="0" max="210" min="210" style="0" width="13.29"/>
    <col collapsed="false" customWidth="true" hidden="false" outlineLevel="0" max="211" min="211" style="0" width="18.29"/>
    <col collapsed="false" customWidth="true" hidden="false" outlineLevel="0" max="212" min="212" style="0" width="18.57"/>
    <col collapsed="false" customWidth="true" hidden="false" outlineLevel="0" max="213" min="213" style="0" width="12.71"/>
    <col collapsed="false" customWidth="true" hidden="false" outlineLevel="0" max="214" min="214" style="0" width="10.85"/>
    <col collapsed="false" customWidth="true" hidden="false" outlineLevel="0" max="215" min="215" style="0" width="16.29"/>
    <col collapsed="false" customWidth="true" hidden="false" outlineLevel="0" max="216" min="216" style="0" width="8.15"/>
    <col collapsed="false" customWidth="true" hidden="false" outlineLevel="0" max="221" min="217" style="0" width="11.71"/>
    <col collapsed="false" customWidth="true" hidden="false" outlineLevel="0" max="222" min="222" style="0" width="15.85"/>
    <col collapsed="false" customWidth="true" hidden="false" outlineLevel="0" max="464" min="464" style="0" width="1.57"/>
    <col collapsed="false" customWidth="true" hidden="false" outlineLevel="0" max="465" min="465" style="0" width="48.29"/>
    <col collapsed="false" customWidth="true" hidden="false" outlineLevel="0" max="466" min="466" style="0" width="13.29"/>
    <col collapsed="false" customWidth="true" hidden="false" outlineLevel="0" max="467" min="467" style="0" width="18.29"/>
    <col collapsed="false" customWidth="true" hidden="false" outlineLevel="0" max="468" min="468" style="0" width="18.57"/>
    <col collapsed="false" customWidth="true" hidden="false" outlineLevel="0" max="469" min="469" style="0" width="12.71"/>
    <col collapsed="false" customWidth="true" hidden="false" outlineLevel="0" max="470" min="470" style="0" width="10.85"/>
    <col collapsed="false" customWidth="true" hidden="false" outlineLevel="0" max="471" min="471" style="0" width="16.29"/>
    <col collapsed="false" customWidth="true" hidden="false" outlineLevel="0" max="472" min="472" style="0" width="8.15"/>
    <col collapsed="false" customWidth="true" hidden="false" outlineLevel="0" max="477" min="473" style="0" width="11.71"/>
    <col collapsed="false" customWidth="true" hidden="false" outlineLevel="0" max="478" min="478" style="0" width="15.85"/>
    <col collapsed="false" customWidth="true" hidden="false" outlineLevel="0" max="720" min="720" style="0" width="1.57"/>
    <col collapsed="false" customWidth="true" hidden="false" outlineLevel="0" max="721" min="721" style="0" width="48.29"/>
    <col collapsed="false" customWidth="true" hidden="false" outlineLevel="0" max="722" min="722" style="0" width="13.29"/>
    <col collapsed="false" customWidth="true" hidden="false" outlineLevel="0" max="723" min="723" style="0" width="18.29"/>
    <col collapsed="false" customWidth="true" hidden="false" outlineLevel="0" max="724" min="724" style="0" width="18.57"/>
    <col collapsed="false" customWidth="true" hidden="false" outlineLevel="0" max="725" min="725" style="0" width="12.71"/>
    <col collapsed="false" customWidth="true" hidden="false" outlineLevel="0" max="726" min="726" style="0" width="10.85"/>
    <col collapsed="false" customWidth="true" hidden="false" outlineLevel="0" max="727" min="727" style="0" width="16.29"/>
    <col collapsed="false" customWidth="true" hidden="false" outlineLevel="0" max="728" min="728" style="0" width="8.15"/>
    <col collapsed="false" customWidth="true" hidden="false" outlineLevel="0" max="733" min="729" style="0" width="11.71"/>
    <col collapsed="false" customWidth="true" hidden="false" outlineLevel="0" max="734" min="734" style="0" width="15.85"/>
    <col collapsed="false" customWidth="true" hidden="false" outlineLevel="0" max="976" min="976" style="0" width="1.57"/>
    <col collapsed="false" customWidth="true" hidden="false" outlineLevel="0" max="977" min="977" style="0" width="48.29"/>
    <col collapsed="false" customWidth="true" hidden="false" outlineLevel="0" max="978" min="978" style="0" width="13.29"/>
    <col collapsed="false" customWidth="true" hidden="false" outlineLevel="0" max="979" min="979" style="0" width="18.29"/>
    <col collapsed="false" customWidth="true" hidden="false" outlineLevel="0" max="980" min="980" style="0" width="18.57"/>
    <col collapsed="false" customWidth="true" hidden="false" outlineLevel="0" max="981" min="981" style="0" width="12.71"/>
    <col collapsed="false" customWidth="true" hidden="false" outlineLevel="0" max="982" min="982" style="0" width="10.85"/>
    <col collapsed="false" customWidth="true" hidden="false" outlineLevel="0" max="983" min="983" style="0" width="16.29"/>
    <col collapsed="false" customWidth="true" hidden="false" outlineLevel="0" max="984" min="984" style="0" width="8.15"/>
    <col collapsed="false" customWidth="true" hidden="false" outlineLevel="0" max="989" min="985" style="0" width="11.71"/>
    <col collapsed="false" customWidth="true" hidden="false" outlineLevel="0" max="990" min="990" style="0" width="15.85"/>
    <col collapsed="false" customWidth="true" hidden="false" outlineLevel="0" max="1232" min="1232" style="0" width="1.57"/>
    <col collapsed="false" customWidth="true" hidden="false" outlineLevel="0" max="1233" min="1233" style="0" width="48.29"/>
    <col collapsed="false" customWidth="true" hidden="false" outlineLevel="0" max="1234" min="1234" style="0" width="13.29"/>
    <col collapsed="false" customWidth="true" hidden="false" outlineLevel="0" max="1235" min="1235" style="0" width="18.29"/>
    <col collapsed="false" customWidth="true" hidden="false" outlineLevel="0" max="1236" min="1236" style="0" width="18.57"/>
    <col collapsed="false" customWidth="true" hidden="false" outlineLevel="0" max="1237" min="1237" style="0" width="12.71"/>
    <col collapsed="false" customWidth="true" hidden="false" outlineLevel="0" max="1238" min="1238" style="0" width="10.85"/>
    <col collapsed="false" customWidth="true" hidden="false" outlineLevel="0" max="1239" min="1239" style="0" width="16.29"/>
    <col collapsed="false" customWidth="true" hidden="false" outlineLevel="0" max="1240" min="1240" style="0" width="8.15"/>
    <col collapsed="false" customWidth="true" hidden="false" outlineLevel="0" max="1245" min="1241" style="0" width="11.71"/>
    <col collapsed="false" customWidth="true" hidden="false" outlineLevel="0" max="1246" min="1246" style="0" width="15.85"/>
    <col collapsed="false" customWidth="true" hidden="false" outlineLevel="0" max="1488" min="1488" style="0" width="1.57"/>
    <col collapsed="false" customWidth="true" hidden="false" outlineLevel="0" max="1489" min="1489" style="0" width="48.29"/>
    <col collapsed="false" customWidth="true" hidden="false" outlineLevel="0" max="1490" min="1490" style="0" width="13.29"/>
    <col collapsed="false" customWidth="true" hidden="false" outlineLevel="0" max="1491" min="1491" style="0" width="18.29"/>
    <col collapsed="false" customWidth="true" hidden="false" outlineLevel="0" max="1492" min="1492" style="0" width="18.57"/>
    <col collapsed="false" customWidth="true" hidden="false" outlineLevel="0" max="1493" min="1493" style="0" width="12.71"/>
    <col collapsed="false" customWidth="true" hidden="false" outlineLevel="0" max="1494" min="1494" style="0" width="10.85"/>
    <col collapsed="false" customWidth="true" hidden="false" outlineLevel="0" max="1495" min="1495" style="0" width="16.29"/>
    <col collapsed="false" customWidth="true" hidden="false" outlineLevel="0" max="1496" min="1496" style="0" width="8.15"/>
    <col collapsed="false" customWidth="true" hidden="false" outlineLevel="0" max="1501" min="1497" style="0" width="11.71"/>
    <col collapsed="false" customWidth="true" hidden="false" outlineLevel="0" max="1502" min="1502" style="0" width="15.85"/>
    <col collapsed="false" customWidth="true" hidden="false" outlineLevel="0" max="1744" min="1744" style="0" width="1.57"/>
    <col collapsed="false" customWidth="true" hidden="false" outlineLevel="0" max="1745" min="1745" style="0" width="48.29"/>
    <col collapsed="false" customWidth="true" hidden="false" outlineLevel="0" max="1746" min="1746" style="0" width="13.29"/>
    <col collapsed="false" customWidth="true" hidden="false" outlineLevel="0" max="1747" min="1747" style="0" width="18.29"/>
    <col collapsed="false" customWidth="true" hidden="false" outlineLevel="0" max="1748" min="1748" style="0" width="18.57"/>
    <col collapsed="false" customWidth="true" hidden="false" outlineLevel="0" max="1749" min="1749" style="0" width="12.71"/>
    <col collapsed="false" customWidth="true" hidden="false" outlineLevel="0" max="1750" min="1750" style="0" width="10.85"/>
    <col collapsed="false" customWidth="true" hidden="false" outlineLevel="0" max="1751" min="1751" style="0" width="16.29"/>
    <col collapsed="false" customWidth="true" hidden="false" outlineLevel="0" max="1752" min="1752" style="0" width="8.15"/>
    <col collapsed="false" customWidth="true" hidden="false" outlineLevel="0" max="1757" min="1753" style="0" width="11.71"/>
    <col collapsed="false" customWidth="true" hidden="false" outlineLevel="0" max="1758" min="1758" style="0" width="15.85"/>
    <col collapsed="false" customWidth="true" hidden="false" outlineLevel="0" max="2000" min="2000" style="0" width="1.57"/>
    <col collapsed="false" customWidth="true" hidden="false" outlineLevel="0" max="2001" min="2001" style="0" width="48.29"/>
    <col collapsed="false" customWidth="true" hidden="false" outlineLevel="0" max="2002" min="2002" style="0" width="13.29"/>
    <col collapsed="false" customWidth="true" hidden="false" outlineLevel="0" max="2003" min="2003" style="0" width="18.29"/>
    <col collapsed="false" customWidth="true" hidden="false" outlineLevel="0" max="2004" min="2004" style="0" width="18.57"/>
    <col collapsed="false" customWidth="true" hidden="false" outlineLevel="0" max="2005" min="2005" style="0" width="12.71"/>
    <col collapsed="false" customWidth="true" hidden="false" outlineLevel="0" max="2006" min="2006" style="0" width="10.85"/>
    <col collapsed="false" customWidth="true" hidden="false" outlineLevel="0" max="2007" min="2007" style="0" width="16.29"/>
    <col collapsed="false" customWidth="true" hidden="false" outlineLevel="0" max="2008" min="2008" style="0" width="8.15"/>
    <col collapsed="false" customWidth="true" hidden="false" outlineLevel="0" max="2013" min="2009" style="0" width="11.71"/>
    <col collapsed="false" customWidth="true" hidden="false" outlineLevel="0" max="2014" min="2014" style="0" width="15.85"/>
    <col collapsed="false" customWidth="true" hidden="false" outlineLevel="0" max="2256" min="2256" style="0" width="1.57"/>
    <col collapsed="false" customWidth="true" hidden="false" outlineLevel="0" max="2257" min="2257" style="0" width="48.29"/>
    <col collapsed="false" customWidth="true" hidden="false" outlineLevel="0" max="2258" min="2258" style="0" width="13.29"/>
    <col collapsed="false" customWidth="true" hidden="false" outlineLevel="0" max="2259" min="2259" style="0" width="18.29"/>
    <col collapsed="false" customWidth="true" hidden="false" outlineLevel="0" max="2260" min="2260" style="0" width="18.57"/>
    <col collapsed="false" customWidth="true" hidden="false" outlineLevel="0" max="2261" min="2261" style="0" width="12.71"/>
    <col collapsed="false" customWidth="true" hidden="false" outlineLevel="0" max="2262" min="2262" style="0" width="10.85"/>
    <col collapsed="false" customWidth="true" hidden="false" outlineLevel="0" max="2263" min="2263" style="0" width="16.29"/>
    <col collapsed="false" customWidth="true" hidden="false" outlineLevel="0" max="2264" min="2264" style="0" width="8.15"/>
    <col collapsed="false" customWidth="true" hidden="false" outlineLevel="0" max="2269" min="2265" style="0" width="11.71"/>
    <col collapsed="false" customWidth="true" hidden="false" outlineLevel="0" max="2270" min="2270" style="0" width="15.85"/>
    <col collapsed="false" customWidth="true" hidden="false" outlineLevel="0" max="2512" min="2512" style="0" width="1.57"/>
    <col collapsed="false" customWidth="true" hidden="false" outlineLevel="0" max="2513" min="2513" style="0" width="48.29"/>
    <col collapsed="false" customWidth="true" hidden="false" outlineLevel="0" max="2514" min="2514" style="0" width="13.29"/>
    <col collapsed="false" customWidth="true" hidden="false" outlineLevel="0" max="2515" min="2515" style="0" width="18.29"/>
    <col collapsed="false" customWidth="true" hidden="false" outlineLevel="0" max="2516" min="2516" style="0" width="18.57"/>
    <col collapsed="false" customWidth="true" hidden="false" outlineLevel="0" max="2517" min="2517" style="0" width="12.71"/>
    <col collapsed="false" customWidth="true" hidden="false" outlineLevel="0" max="2518" min="2518" style="0" width="10.85"/>
    <col collapsed="false" customWidth="true" hidden="false" outlineLevel="0" max="2519" min="2519" style="0" width="16.29"/>
    <col collapsed="false" customWidth="true" hidden="false" outlineLevel="0" max="2520" min="2520" style="0" width="8.15"/>
    <col collapsed="false" customWidth="true" hidden="false" outlineLevel="0" max="2525" min="2521" style="0" width="11.71"/>
    <col collapsed="false" customWidth="true" hidden="false" outlineLevel="0" max="2526" min="2526" style="0" width="15.85"/>
    <col collapsed="false" customWidth="true" hidden="false" outlineLevel="0" max="2768" min="2768" style="0" width="1.57"/>
    <col collapsed="false" customWidth="true" hidden="false" outlineLevel="0" max="2769" min="2769" style="0" width="48.29"/>
    <col collapsed="false" customWidth="true" hidden="false" outlineLevel="0" max="2770" min="2770" style="0" width="13.29"/>
    <col collapsed="false" customWidth="true" hidden="false" outlineLevel="0" max="2771" min="2771" style="0" width="18.29"/>
    <col collapsed="false" customWidth="true" hidden="false" outlineLevel="0" max="2772" min="2772" style="0" width="18.57"/>
    <col collapsed="false" customWidth="true" hidden="false" outlineLevel="0" max="2773" min="2773" style="0" width="12.71"/>
    <col collapsed="false" customWidth="true" hidden="false" outlineLevel="0" max="2774" min="2774" style="0" width="10.85"/>
    <col collapsed="false" customWidth="true" hidden="false" outlineLevel="0" max="2775" min="2775" style="0" width="16.29"/>
    <col collapsed="false" customWidth="true" hidden="false" outlineLevel="0" max="2776" min="2776" style="0" width="8.15"/>
    <col collapsed="false" customWidth="true" hidden="false" outlineLevel="0" max="2781" min="2777" style="0" width="11.71"/>
    <col collapsed="false" customWidth="true" hidden="false" outlineLevel="0" max="2782" min="2782" style="0" width="15.85"/>
    <col collapsed="false" customWidth="true" hidden="false" outlineLevel="0" max="3024" min="3024" style="0" width="1.57"/>
    <col collapsed="false" customWidth="true" hidden="false" outlineLevel="0" max="3025" min="3025" style="0" width="48.29"/>
    <col collapsed="false" customWidth="true" hidden="false" outlineLevel="0" max="3026" min="3026" style="0" width="13.29"/>
    <col collapsed="false" customWidth="true" hidden="false" outlineLevel="0" max="3027" min="3027" style="0" width="18.29"/>
    <col collapsed="false" customWidth="true" hidden="false" outlineLevel="0" max="3028" min="3028" style="0" width="18.57"/>
    <col collapsed="false" customWidth="true" hidden="false" outlineLevel="0" max="3029" min="3029" style="0" width="12.71"/>
    <col collapsed="false" customWidth="true" hidden="false" outlineLevel="0" max="3030" min="3030" style="0" width="10.85"/>
    <col collapsed="false" customWidth="true" hidden="false" outlineLevel="0" max="3031" min="3031" style="0" width="16.29"/>
    <col collapsed="false" customWidth="true" hidden="false" outlineLevel="0" max="3032" min="3032" style="0" width="8.15"/>
    <col collapsed="false" customWidth="true" hidden="false" outlineLevel="0" max="3037" min="3033" style="0" width="11.71"/>
    <col collapsed="false" customWidth="true" hidden="false" outlineLevel="0" max="3038" min="3038" style="0" width="15.85"/>
    <col collapsed="false" customWidth="true" hidden="false" outlineLevel="0" max="3280" min="3280" style="0" width="1.57"/>
    <col collapsed="false" customWidth="true" hidden="false" outlineLevel="0" max="3281" min="3281" style="0" width="48.29"/>
    <col collapsed="false" customWidth="true" hidden="false" outlineLevel="0" max="3282" min="3282" style="0" width="13.29"/>
    <col collapsed="false" customWidth="true" hidden="false" outlineLevel="0" max="3283" min="3283" style="0" width="18.29"/>
    <col collapsed="false" customWidth="true" hidden="false" outlineLevel="0" max="3284" min="3284" style="0" width="18.57"/>
    <col collapsed="false" customWidth="true" hidden="false" outlineLevel="0" max="3285" min="3285" style="0" width="12.71"/>
    <col collapsed="false" customWidth="true" hidden="false" outlineLevel="0" max="3286" min="3286" style="0" width="10.85"/>
    <col collapsed="false" customWidth="true" hidden="false" outlineLevel="0" max="3287" min="3287" style="0" width="16.29"/>
    <col collapsed="false" customWidth="true" hidden="false" outlineLevel="0" max="3288" min="3288" style="0" width="8.15"/>
    <col collapsed="false" customWidth="true" hidden="false" outlineLevel="0" max="3293" min="3289" style="0" width="11.71"/>
    <col collapsed="false" customWidth="true" hidden="false" outlineLevel="0" max="3294" min="3294" style="0" width="15.85"/>
    <col collapsed="false" customWidth="true" hidden="false" outlineLevel="0" max="3536" min="3536" style="0" width="1.57"/>
    <col collapsed="false" customWidth="true" hidden="false" outlineLevel="0" max="3537" min="3537" style="0" width="48.29"/>
    <col collapsed="false" customWidth="true" hidden="false" outlineLevel="0" max="3538" min="3538" style="0" width="13.29"/>
    <col collapsed="false" customWidth="true" hidden="false" outlineLevel="0" max="3539" min="3539" style="0" width="18.29"/>
    <col collapsed="false" customWidth="true" hidden="false" outlineLevel="0" max="3540" min="3540" style="0" width="18.57"/>
    <col collapsed="false" customWidth="true" hidden="false" outlineLevel="0" max="3541" min="3541" style="0" width="12.71"/>
    <col collapsed="false" customWidth="true" hidden="false" outlineLevel="0" max="3542" min="3542" style="0" width="10.85"/>
    <col collapsed="false" customWidth="true" hidden="false" outlineLevel="0" max="3543" min="3543" style="0" width="16.29"/>
    <col collapsed="false" customWidth="true" hidden="false" outlineLevel="0" max="3544" min="3544" style="0" width="8.15"/>
    <col collapsed="false" customWidth="true" hidden="false" outlineLevel="0" max="3549" min="3545" style="0" width="11.71"/>
    <col collapsed="false" customWidth="true" hidden="false" outlineLevel="0" max="3550" min="3550" style="0" width="15.85"/>
    <col collapsed="false" customWidth="true" hidden="false" outlineLevel="0" max="3792" min="3792" style="0" width="1.57"/>
    <col collapsed="false" customWidth="true" hidden="false" outlineLevel="0" max="3793" min="3793" style="0" width="48.29"/>
    <col collapsed="false" customWidth="true" hidden="false" outlineLevel="0" max="3794" min="3794" style="0" width="13.29"/>
    <col collapsed="false" customWidth="true" hidden="false" outlineLevel="0" max="3795" min="3795" style="0" width="18.29"/>
    <col collapsed="false" customWidth="true" hidden="false" outlineLevel="0" max="3796" min="3796" style="0" width="18.57"/>
    <col collapsed="false" customWidth="true" hidden="false" outlineLevel="0" max="3797" min="3797" style="0" width="12.71"/>
    <col collapsed="false" customWidth="true" hidden="false" outlineLevel="0" max="3798" min="3798" style="0" width="10.85"/>
    <col collapsed="false" customWidth="true" hidden="false" outlineLevel="0" max="3799" min="3799" style="0" width="16.29"/>
    <col collapsed="false" customWidth="true" hidden="false" outlineLevel="0" max="3800" min="3800" style="0" width="8.15"/>
    <col collapsed="false" customWidth="true" hidden="false" outlineLevel="0" max="3805" min="3801" style="0" width="11.71"/>
    <col collapsed="false" customWidth="true" hidden="false" outlineLevel="0" max="3806" min="3806" style="0" width="15.85"/>
    <col collapsed="false" customWidth="true" hidden="false" outlineLevel="0" max="4048" min="4048" style="0" width="1.57"/>
    <col collapsed="false" customWidth="true" hidden="false" outlineLevel="0" max="4049" min="4049" style="0" width="48.29"/>
    <col collapsed="false" customWidth="true" hidden="false" outlineLevel="0" max="4050" min="4050" style="0" width="13.29"/>
    <col collapsed="false" customWidth="true" hidden="false" outlineLevel="0" max="4051" min="4051" style="0" width="18.29"/>
    <col collapsed="false" customWidth="true" hidden="false" outlineLevel="0" max="4052" min="4052" style="0" width="18.57"/>
    <col collapsed="false" customWidth="true" hidden="false" outlineLevel="0" max="4053" min="4053" style="0" width="12.71"/>
    <col collapsed="false" customWidth="true" hidden="false" outlineLevel="0" max="4054" min="4054" style="0" width="10.85"/>
    <col collapsed="false" customWidth="true" hidden="false" outlineLevel="0" max="4055" min="4055" style="0" width="16.29"/>
    <col collapsed="false" customWidth="true" hidden="false" outlineLevel="0" max="4056" min="4056" style="0" width="8.15"/>
    <col collapsed="false" customWidth="true" hidden="false" outlineLevel="0" max="4061" min="4057" style="0" width="11.71"/>
    <col collapsed="false" customWidth="true" hidden="false" outlineLevel="0" max="4062" min="4062" style="0" width="15.85"/>
    <col collapsed="false" customWidth="true" hidden="false" outlineLevel="0" max="4304" min="4304" style="0" width="1.57"/>
    <col collapsed="false" customWidth="true" hidden="false" outlineLevel="0" max="4305" min="4305" style="0" width="48.29"/>
    <col collapsed="false" customWidth="true" hidden="false" outlineLevel="0" max="4306" min="4306" style="0" width="13.29"/>
    <col collapsed="false" customWidth="true" hidden="false" outlineLevel="0" max="4307" min="4307" style="0" width="18.29"/>
    <col collapsed="false" customWidth="true" hidden="false" outlineLevel="0" max="4308" min="4308" style="0" width="18.57"/>
    <col collapsed="false" customWidth="true" hidden="false" outlineLevel="0" max="4309" min="4309" style="0" width="12.71"/>
    <col collapsed="false" customWidth="true" hidden="false" outlineLevel="0" max="4310" min="4310" style="0" width="10.85"/>
    <col collapsed="false" customWidth="true" hidden="false" outlineLevel="0" max="4311" min="4311" style="0" width="16.29"/>
    <col collapsed="false" customWidth="true" hidden="false" outlineLevel="0" max="4312" min="4312" style="0" width="8.15"/>
    <col collapsed="false" customWidth="true" hidden="false" outlineLevel="0" max="4317" min="4313" style="0" width="11.71"/>
    <col collapsed="false" customWidth="true" hidden="false" outlineLevel="0" max="4318" min="4318" style="0" width="15.85"/>
    <col collapsed="false" customWidth="true" hidden="false" outlineLevel="0" max="4560" min="4560" style="0" width="1.57"/>
    <col collapsed="false" customWidth="true" hidden="false" outlineLevel="0" max="4561" min="4561" style="0" width="48.29"/>
    <col collapsed="false" customWidth="true" hidden="false" outlineLevel="0" max="4562" min="4562" style="0" width="13.29"/>
    <col collapsed="false" customWidth="true" hidden="false" outlineLevel="0" max="4563" min="4563" style="0" width="18.29"/>
    <col collapsed="false" customWidth="true" hidden="false" outlineLevel="0" max="4564" min="4564" style="0" width="18.57"/>
    <col collapsed="false" customWidth="true" hidden="false" outlineLevel="0" max="4565" min="4565" style="0" width="12.71"/>
    <col collapsed="false" customWidth="true" hidden="false" outlineLevel="0" max="4566" min="4566" style="0" width="10.85"/>
    <col collapsed="false" customWidth="true" hidden="false" outlineLevel="0" max="4567" min="4567" style="0" width="16.29"/>
    <col collapsed="false" customWidth="true" hidden="false" outlineLevel="0" max="4568" min="4568" style="0" width="8.15"/>
    <col collapsed="false" customWidth="true" hidden="false" outlineLevel="0" max="4573" min="4569" style="0" width="11.71"/>
    <col collapsed="false" customWidth="true" hidden="false" outlineLevel="0" max="4574" min="4574" style="0" width="15.85"/>
    <col collapsed="false" customWidth="true" hidden="false" outlineLevel="0" max="4816" min="4816" style="0" width="1.57"/>
    <col collapsed="false" customWidth="true" hidden="false" outlineLevel="0" max="4817" min="4817" style="0" width="48.29"/>
    <col collapsed="false" customWidth="true" hidden="false" outlineLevel="0" max="4818" min="4818" style="0" width="13.29"/>
    <col collapsed="false" customWidth="true" hidden="false" outlineLevel="0" max="4819" min="4819" style="0" width="18.29"/>
    <col collapsed="false" customWidth="true" hidden="false" outlineLevel="0" max="4820" min="4820" style="0" width="18.57"/>
    <col collapsed="false" customWidth="true" hidden="false" outlineLevel="0" max="4821" min="4821" style="0" width="12.71"/>
    <col collapsed="false" customWidth="true" hidden="false" outlineLevel="0" max="4822" min="4822" style="0" width="10.85"/>
    <col collapsed="false" customWidth="true" hidden="false" outlineLevel="0" max="4823" min="4823" style="0" width="16.29"/>
    <col collapsed="false" customWidth="true" hidden="false" outlineLevel="0" max="4824" min="4824" style="0" width="8.15"/>
    <col collapsed="false" customWidth="true" hidden="false" outlineLevel="0" max="4829" min="4825" style="0" width="11.71"/>
    <col collapsed="false" customWidth="true" hidden="false" outlineLevel="0" max="4830" min="4830" style="0" width="15.85"/>
    <col collapsed="false" customWidth="true" hidden="false" outlineLevel="0" max="5072" min="5072" style="0" width="1.57"/>
    <col collapsed="false" customWidth="true" hidden="false" outlineLevel="0" max="5073" min="5073" style="0" width="48.29"/>
    <col collapsed="false" customWidth="true" hidden="false" outlineLevel="0" max="5074" min="5074" style="0" width="13.29"/>
    <col collapsed="false" customWidth="true" hidden="false" outlineLevel="0" max="5075" min="5075" style="0" width="18.29"/>
    <col collapsed="false" customWidth="true" hidden="false" outlineLevel="0" max="5076" min="5076" style="0" width="18.57"/>
    <col collapsed="false" customWidth="true" hidden="false" outlineLevel="0" max="5077" min="5077" style="0" width="12.71"/>
    <col collapsed="false" customWidth="true" hidden="false" outlineLevel="0" max="5078" min="5078" style="0" width="10.85"/>
    <col collapsed="false" customWidth="true" hidden="false" outlineLevel="0" max="5079" min="5079" style="0" width="16.29"/>
    <col collapsed="false" customWidth="true" hidden="false" outlineLevel="0" max="5080" min="5080" style="0" width="8.15"/>
    <col collapsed="false" customWidth="true" hidden="false" outlineLevel="0" max="5085" min="5081" style="0" width="11.71"/>
    <col collapsed="false" customWidth="true" hidden="false" outlineLevel="0" max="5086" min="5086" style="0" width="15.85"/>
    <col collapsed="false" customWidth="true" hidden="false" outlineLevel="0" max="5328" min="5328" style="0" width="1.57"/>
    <col collapsed="false" customWidth="true" hidden="false" outlineLevel="0" max="5329" min="5329" style="0" width="48.29"/>
    <col collapsed="false" customWidth="true" hidden="false" outlineLevel="0" max="5330" min="5330" style="0" width="13.29"/>
    <col collapsed="false" customWidth="true" hidden="false" outlineLevel="0" max="5331" min="5331" style="0" width="18.29"/>
    <col collapsed="false" customWidth="true" hidden="false" outlineLevel="0" max="5332" min="5332" style="0" width="18.57"/>
    <col collapsed="false" customWidth="true" hidden="false" outlineLevel="0" max="5333" min="5333" style="0" width="12.71"/>
    <col collapsed="false" customWidth="true" hidden="false" outlineLevel="0" max="5334" min="5334" style="0" width="10.85"/>
    <col collapsed="false" customWidth="true" hidden="false" outlineLevel="0" max="5335" min="5335" style="0" width="16.29"/>
    <col collapsed="false" customWidth="true" hidden="false" outlineLevel="0" max="5336" min="5336" style="0" width="8.15"/>
    <col collapsed="false" customWidth="true" hidden="false" outlineLevel="0" max="5341" min="5337" style="0" width="11.71"/>
    <col collapsed="false" customWidth="true" hidden="false" outlineLevel="0" max="5342" min="5342" style="0" width="15.85"/>
    <col collapsed="false" customWidth="true" hidden="false" outlineLevel="0" max="5584" min="5584" style="0" width="1.57"/>
    <col collapsed="false" customWidth="true" hidden="false" outlineLevel="0" max="5585" min="5585" style="0" width="48.29"/>
    <col collapsed="false" customWidth="true" hidden="false" outlineLevel="0" max="5586" min="5586" style="0" width="13.29"/>
    <col collapsed="false" customWidth="true" hidden="false" outlineLevel="0" max="5587" min="5587" style="0" width="18.29"/>
    <col collapsed="false" customWidth="true" hidden="false" outlineLevel="0" max="5588" min="5588" style="0" width="18.57"/>
    <col collapsed="false" customWidth="true" hidden="false" outlineLevel="0" max="5589" min="5589" style="0" width="12.71"/>
    <col collapsed="false" customWidth="true" hidden="false" outlineLevel="0" max="5590" min="5590" style="0" width="10.85"/>
    <col collapsed="false" customWidth="true" hidden="false" outlineLevel="0" max="5591" min="5591" style="0" width="16.29"/>
    <col collapsed="false" customWidth="true" hidden="false" outlineLevel="0" max="5592" min="5592" style="0" width="8.15"/>
    <col collapsed="false" customWidth="true" hidden="false" outlineLevel="0" max="5597" min="5593" style="0" width="11.71"/>
    <col collapsed="false" customWidth="true" hidden="false" outlineLevel="0" max="5598" min="5598" style="0" width="15.85"/>
    <col collapsed="false" customWidth="true" hidden="false" outlineLevel="0" max="5840" min="5840" style="0" width="1.57"/>
    <col collapsed="false" customWidth="true" hidden="false" outlineLevel="0" max="5841" min="5841" style="0" width="48.29"/>
    <col collapsed="false" customWidth="true" hidden="false" outlineLevel="0" max="5842" min="5842" style="0" width="13.29"/>
    <col collapsed="false" customWidth="true" hidden="false" outlineLevel="0" max="5843" min="5843" style="0" width="18.29"/>
    <col collapsed="false" customWidth="true" hidden="false" outlineLevel="0" max="5844" min="5844" style="0" width="18.57"/>
    <col collapsed="false" customWidth="true" hidden="false" outlineLevel="0" max="5845" min="5845" style="0" width="12.71"/>
    <col collapsed="false" customWidth="true" hidden="false" outlineLevel="0" max="5846" min="5846" style="0" width="10.85"/>
    <col collapsed="false" customWidth="true" hidden="false" outlineLevel="0" max="5847" min="5847" style="0" width="16.29"/>
    <col collapsed="false" customWidth="true" hidden="false" outlineLevel="0" max="5848" min="5848" style="0" width="8.15"/>
    <col collapsed="false" customWidth="true" hidden="false" outlineLevel="0" max="5853" min="5849" style="0" width="11.71"/>
    <col collapsed="false" customWidth="true" hidden="false" outlineLevel="0" max="5854" min="5854" style="0" width="15.85"/>
    <col collapsed="false" customWidth="true" hidden="false" outlineLevel="0" max="6096" min="6096" style="0" width="1.57"/>
    <col collapsed="false" customWidth="true" hidden="false" outlineLevel="0" max="6097" min="6097" style="0" width="48.29"/>
    <col collapsed="false" customWidth="true" hidden="false" outlineLevel="0" max="6098" min="6098" style="0" width="13.29"/>
    <col collapsed="false" customWidth="true" hidden="false" outlineLevel="0" max="6099" min="6099" style="0" width="18.29"/>
    <col collapsed="false" customWidth="true" hidden="false" outlineLevel="0" max="6100" min="6100" style="0" width="18.57"/>
    <col collapsed="false" customWidth="true" hidden="false" outlineLevel="0" max="6101" min="6101" style="0" width="12.71"/>
    <col collapsed="false" customWidth="true" hidden="false" outlineLevel="0" max="6102" min="6102" style="0" width="10.85"/>
    <col collapsed="false" customWidth="true" hidden="false" outlineLevel="0" max="6103" min="6103" style="0" width="16.29"/>
    <col collapsed="false" customWidth="true" hidden="false" outlineLevel="0" max="6104" min="6104" style="0" width="8.15"/>
    <col collapsed="false" customWidth="true" hidden="false" outlineLevel="0" max="6109" min="6105" style="0" width="11.71"/>
    <col collapsed="false" customWidth="true" hidden="false" outlineLevel="0" max="6110" min="6110" style="0" width="15.85"/>
    <col collapsed="false" customWidth="true" hidden="false" outlineLevel="0" max="6352" min="6352" style="0" width="1.57"/>
    <col collapsed="false" customWidth="true" hidden="false" outlineLevel="0" max="6353" min="6353" style="0" width="48.29"/>
    <col collapsed="false" customWidth="true" hidden="false" outlineLevel="0" max="6354" min="6354" style="0" width="13.29"/>
    <col collapsed="false" customWidth="true" hidden="false" outlineLevel="0" max="6355" min="6355" style="0" width="18.29"/>
    <col collapsed="false" customWidth="true" hidden="false" outlineLevel="0" max="6356" min="6356" style="0" width="18.57"/>
    <col collapsed="false" customWidth="true" hidden="false" outlineLevel="0" max="6357" min="6357" style="0" width="12.71"/>
    <col collapsed="false" customWidth="true" hidden="false" outlineLevel="0" max="6358" min="6358" style="0" width="10.85"/>
    <col collapsed="false" customWidth="true" hidden="false" outlineLevel="0" max="6359" min="6359" style="0" width="16.29"/>
    <col collapsed="false" customWidth="true" hidden="false" outlineLevel="0" max="6360" min="6360" style="0" width="8.15"/>
    <col collapsed="false" customWidth="true" hidden="false" outlineLevel="0" max="6365" min="6361" style="0" width="11.71"/>
    <col collapsed="false" customWidth="true" hidden="false" outlineLevel="0" max="6366" min="6366" style="0" width="15.85"/>
    <col collapsed="false" customWidth="true" hidden="false" outlineLevel="0" max="6608" min="6608" style="0" width="1.57"/>
    <col collapsed="false" customWidth="true" hidden="false" outlineLevel="0" max="6609" min="6609" style="0" width="48.29"/>
    <col collapsed="false" customWidth="true" hidden="false" outlineLevel="0" max="6610" min="6610" style="0" width="13.29"/>
    <col collapsed="false" customWidth="true" hidden="false" outlineLevel="0" max="6611" min="6611" style="0" width="18.29"/>
    <col collapsed="false" customWidth="true" hidden="false" outlineLevel="0" max="6612" min="6612" style="0" width="18.57"/>
    <col collapsed="false" customWidth="true" hidden="false" outlineLevel="0" max="6613" min="6613" style="0" width="12.71"/>
    <col collapsed="false" customWidth="true" hidden="false" outlineLevel="0" max="6614" min="6614" style="0" width="10.85"/>
    <col collapsed="false" customWidth="true" hidden="false" outlineLevel="0" max="6615" min="6615" style="0" width="16.29"/>
    <col collapsed="false" customWidth="true" hidden="false" outlineLevel="0" max="6616" min="6616" style="0" width="8.15"/>
    <col collapsed="false" customWidth="true" hidden="false" outlineLevel="0" max="6621" min="6617" style="0" width="11.71"/>
    <col collapsed="false" customWidth="true" hidden="false" outlineLevel="0" max="6622" min="6622" style="0" width="15.85"/>
    <col collapsed="false" customWidth="true" hidden="false" outlineLevel="0" max="6864" min="6864" style="0" width="1.57"/>
    <col collapsed="false" customWidth="true" hidden="false" outlineLevel="0" max="6865" min="6865" style="0" width="48.29"/>
    <col collapsed="false" customWidth="true" hidden="false" outlineLevel="0" max="6866" min="6866" style="0" width="13.29"/>
    <col collapsed="false" customWidth="true" hidden="false" outlineLevel="0" max="6867" min="6867" style="0" width="18.29"/>
    <col collapsed="false" customWidth="true" hidden="false" outlineLevel="0" max="6868" min="6868" style="0" width="18.57"/>
    <col collapsed="false" customWidth="true" hidden="false" outlineLevel="0" max="6869" min="6869" style="0" width="12.71"/>
    <col collapsed="false" customWidth="true" hidden="false" outlineLevel="0" max="6870" min="6870" style="0" width="10.85"/>
    <col collapsed="false" customWidth="true" hidden="false" outlineLevel="0" max="6871" min="6871" style="0" width="16.29"/>
    <col collapsed="false" customWidth="true" hidden="false" outlineLevel="0" max="6872" min="6872" style="0" width="8.15"/>
    <col collapsed="false" customWidth="true" hidden="false" outlineLevel="0" max="6877" min="6873" style="0" width="11.71"/>
    <col collapsed="false" customWidth="true" hidden="false" outlineLevel="0" max="6878" min="6878" style="0" width="15.85"/>
    <col collapsed="false" customWidth="true" hidden="false" outlineLevel="0" max="7120" min="7120" style="0" width="1.57"/>
    <col collapsed="false" customWidth="true" hidden="false" outlineLevel="0" max="7121" min="7121" style="0" width="48.29"/>
    <col collapsed="false" customWidth="true" hidden="false" outlineLevel="0" max="7122" min="7122" style="0" width="13.29"/>
    <col collapsed="false" customWidth="true" hidden="false" outlineLevel="0" max="7123" min="7123" style="0" width="18.29"/>
    <col collapsed="false" customWidth="true" hidden="false" outlineLevel="0" max="7124" min="7124" style="0" width="18.57"/>
    <col collapsed="false" customWidth="true" hidden="false" outlineLevel="0" max="7125" min="7125" style="0" width="12.71"/>
    <col collapsed="false" customWidth="true" hidden="false" outlineLevel="0" max="7126" min="7126" style="0" width="10.85"/>
    <col collapsed="false" customWidth="true" hidden="false" outlineLevel="0" max="7127" min="7127" style="0" width="16.29"/>
    <col collapsed="false" customWidth="true" hidden="false" outlineLevel="0" max="7128" min="7128" style="0" width="8.15"/>
    <col collapsed="false" customWidth="true" hidden="false" outlineLevel="0" max="7133" min="7129" style="0" width="11.71"/>
    <col collapsed="false" customWidth="true" hidden="false" outlineLevel="0" max="7134" min="7134" style="0" width="15.85"/>
    <col collapsed="false" customWidth="true" hidden="false" outlineLevel="0" max="7376" min="7376" style="0" width="1.57"/>
    <col collapsed="false" customWidth="true" hidden="false" outlineLevel="0" max="7377" min="7377" style="0" width="48.29"/>
    <col collapsed="false" customWidth="true" hidden="false" outlineLevel="0" max="7378" min="7378" style="0" width="13.29"/>
    <col collapsed="false" customWidth="true" hidden="false" outlineLevel="0" max="7379" min="7379" style="0" width="18.29"/>
    <col collapsed="false" customWidth="true" hidden="false" outlineLevel="0" max="7380" min="7380" style="0" width="18.57"/>
    <col collapsed="false" customWidth="true" hidden="false" outlineLevel="0" max="7381" min="7381" style="0" width="12.71"/>
    <col collapsed="false" customWidth="true" hidden="false" outlineLevel="0" max="7382" min="7382" style="0" width="10.85"/>
    <col collapsed="false" customWidth="true" hidden="false" outlineLevel="0" max="7383" min="7383" style="0" width="16.29"/>
    <col collapsed="false" customWidth="true" hidden="false" outlineLevel="0" max="7384" min="7384" style="0" width="8.15"/>
    <col collapsed="false" customWidth="true" hidden="false" outlineLevel="0" max="7389" min="7385" style="0" width="11.71"/>
    <col collapsed="false" customWidth="true" hidden="false" outlineLevel="0" max="7390" min="7390" style="0" width="15.85"/>
    <col collapsed="false" customWidth="true" hidden="false" outlineLevel="0" max="7632" min="7632" style="0" width="1.57"/>
    <col collapsed="false" customWidth="true" hidden="false" outlineLevel="0" max="7633" min="7633" style="0" width="48.29"/>
    <col collapsed="false" customWidth="true" hidden="false" outlineLevel="0" max="7634" min="7634" style="0" width="13.29"/>
    <col collapsed="false" customWidth="true" hidden="false" outlineLevel="0" max="7635" min="7635" style="0" width="18.29"/>
    <col collapsed="false" customWidth="true" hidden="false" outlineLevel="0" max="7636" min="7636" style="0" width="18.57"/>
    <col collapsed="false" customWidth="true" hidden="false" outlineLevel="0" max="7637" min="7637" style="0" width="12.71"/>
    <col collapsed="false" customWidth="true" hidden="false" outlineLevel="0" max="7638" min="7638" style="0" width="10.85"/>
    <col collapsed="false" customWidth="true" hidden="false" outlineLevel="0" max="7639" min="7639" style="0" width="16.29"/>
    <col collapsed="false" customWidth="true" hidden="false" outlineLevel="0" max="7640" min="7640" style="0" width="8.15"/>
    <col collapsed="false" customWidth="true" hidden="false" outlineLevel="0" max="7645" min="7641" style="0" width="11.71"/>
    <col collapsed="false" customWidth="true" hidden="false" outlineLevel="0" max="7646" min="7646" style="0" width="15.85"/>
    <col collapsed="false" customWidth="true" hidden="false" outlineLevel="0" max="7888" min="7888" style="0" width="1.57"/>
    <col collapsed="false" customWidth="true" hidden="false" outlineLevel="0" max="7889" min="7889" style="0" width="48.29"/>
    <col collapsed="false" customWidth="true" hidden="false" outlineLevel="0" max="7890" min="7890" style="0" width="13.29"/>
    <col collapsed="false" customWidth="true" hidden="false" outlineLevel="0" max="7891" min="7891" style="0" width="18.29"/>
    <col collapsed="false" customWidth="true" hidden="false" outlineLevel="0" max="7892" min="7892" style="0" width="18.57"/>
    <col collapsed="false" customWidth="true" hidden="false" outlineLevel="0" max="7893" min="7893" style="0" width="12.71"/>
    <col collapsed="false" customWidth="true" hidden="false" outlineLevel="0" max="7894" min="7894" style="0" width="10.85"/>
    <col collapsed="false" customWidth="true" hidden="false" outlineLevel="0" max="7895" min="7895" style="0" width="16.29"/>
    <col collapsed="false" customWidth="true" hidden="false" outlineLevel="0" max="7896" min="7896" style="0" width="8.15"/>
    <col collapsed="false" customWidth="true" hidden="false" outlineLevel="0" max="7901" min="7897" style="0" width="11.71"/>
    <col collapsed="false" customWidth="true" hidden="false" outlineLevel="0" max="7902" min="7902" style="0" width="15.85"/>
    <col collapsed="false" customWidth="true" hidden="false" outlineLevel="0" max="8144" min="8144" style="0" width="1.57"/>
    <col collapsed="false" customWidth="true" hidden="false" outlineLevel="0" max="8145" min="8145" style="0" width="48.29"/>
    <col collapsed="false" customWidth="true" hidden="false" outlineLevel="0" max="8146" min="8146" style="0" width="13.29"/>
    <col collapsed="false" customWidth="true" hidden="false" outlineLevel="0" max="8147" min="8147" style="0" width="18.29"/>
    <col collapsed="false" customWidth="true" hidden="false" outlineLevel="0" max="8148" min="8148" style="0" width="18.57"/>
    <col collapsed="false" customWidth="true" hidden="false" outlineLevel="0" max="8149" min="8149" style="0" width="12.71"/>
    <col collapsed="false" customWidth="true" hidden="false" outlineLevel="0" max="8150" min="8150" style="0" width="10.85"/>
    <col collapsed="false" customWidth="true" hidden="false" outlineLevel="0" max="8151" min="8151" style="0" width="16.29"/>
    <col collapsed="false" customWidth="true" hidden="false" outlineLevel="0" max="8152" min="8152" style="0" width="8.15"/>
    <col collapsed="false" customWidth="true" hidden="false" outlineLevel="0" max="8157" min="8153" style="0" width="11.71"/>
    <col collapsed="false" customWidth="true" hidden="false" outlineLevel="0" max="8158" min="8158" style="0" width="15.85"/>
    <col collapsed="false" customWidth="true" hidden="false" outlineLevel="0" max="8400" min="8400" style="0" width="1.57"/>
    <col collapsed="false" customWidth="true" hidden="false" outlineLevel="0" max="8401" min="8401" style="0" width="48.29"/>
    <col collapsed="false" customWidth="true" hidden="false" outlineLevel="0" max="8402" min="8402" style="0" width="13.29"/>
    <col collapsed="false" customWidth="true" hidden="false" outlineLevel="0" max="8403" min="8403" style="0" width="18.29"/>
    <col collapsed="false" customWidth="true" hidden="false" outlineLevel="0" max="8404" min="8404" style="0" width="18.57"/>
    <col collapsed="false" customWidth="true" hidden="false" outlineLevel="0" max="8405" min="8405" style="0" width="12.71"/>
    <col collapsed="false" customWidth="true" hidden="false" outlineLevel="0" max="8406" min="8406" style="0" width="10.85"/>
    <col collapsed="false" customWidth="true" hidden="false" outlineLevel="0" max="8407" min="8407" style="0" width="16.29"/>
    <col collapsed="false" customWidth="true" hidden="false" outlineLevel="0" max="8408" min="8408" style="0" width="8.15"/>
    <col collapsed="false" customWidth="true" hidden="false" outlineLevel="0" max="8413" min="8409" style="0" width="11.71"/>
    <col collapsed="false" customWidth="true" hidden="false" outlineLevel="0" max="8414" min="8414" style="0" width="15.85"/>
    <col collapsed="false" customWidth="true" hidden="false" outlineLevel="0" max="8656" min="8656" style="0" width="1.57"/>
    <col collapsed="false" customWidth="true" hidden="false" outlineLevel="0" max="8657" min="8657" style="0" width="48.29"/>
    <col collapsed="false" customWidth="true" hidden="false" outlineLevel="0" max="8658" min="8658" style="0" width="13.29"/>
    <col collapsed="false" customWidth="true" hidden="false" outlineLevel="0" max="8659" min="8659" style="0" width="18.29"/>
    <col collapsed="false" customWidth="true" hidden="false" outlineLevel="0" max="8660" min="8660" style="0" width="18.57"/>
    <col collapsed="false" customWidth="true" hidden="false" outlineLevel="0" max="8661" min="8661" style="0" width="12.71"/>
    <col collapsed="false" customWidth="true" hidden="false" outlineLevel="0" max="8662" min="8662" style="0" width="10.85"/>
    <col collapsed="false" customWidth="true" hidden="false" outlineLevel="0" max="8663" min="8663" style="0" width="16.29"/>
    <col collapsed="false" customWidth="true" hidden="false" outlineLevel="0" max="8664" min="8664" style="0" width="8.15"/>
    <col collapsed="false" customWidth="true" hidden="false" outlineLevel="0" max="8669" min="8665" style="0" width="11.71"/>
    <col collapsed="false" customWidth="true" hidden="false" outlineLevel="0" max="8670" min="8670" style="0" width="15.85"/>
    <col collapsed="false" customWidth="true" hidden="false" outlineLevel="0" max="8912" min="8912" style="0" width="1.57"/>
    <col collapsed="false" customWidth="true" hidden="false" outlineLevel="0" max="8913" min="8913" style="0" width="48.29"/>
    <col collapsed="false" customWidth="true" hidden="false" outlineLevel="0" max="8914" min="8914" style="0" width="13.29"/>
    <col collapsed="false" customWidth="true" hidden="false" outlineLevel="0" max="8915" min="8915" style="0" width="18.29"/>
    <col collapsed="false" customWidth="true" hidden="false" outlineLevel="0" max="8916" min="8916" style="0" width="18.57"/>
    <col collapsed="false" customWidth="true" hidden="false" outlineLevel="0" max="8917" min="8917" style="0" width="12.71"/>
    <col collapsed="false" customWidth="true" hidden="false" outlineLevel="0" max="8918" min="8918" style="0" width="10.85"/>
    <col collapsed="false" customWidth="true" hidden="false" outlineLevel="0" max="8919" min="8919" style="0" width="16.29"/>
    <col collapsed="false" customWidth="true" hidden="false" outlineLevel="0" max="8920" min="8920" style="0" width="8.15"/>
    <col collapsed="false" customWidth="true" hidden="false" outlineLevel="0" max="8925" min="8921" style="0" width="11.71"/>
    <col collapsed="false" customWidth="true" hidden="false" outlineLevel="0" max="8926" min="8926" style="0" width="15.85"/>
    <col collapsed="false" customWidth="true" hidden="false" outlineLevel="0" max="9168" min="9168" style="0" width="1.57"/>
    <col collapsed="false" customWidth="true" hidden="false" outlineLevel="0" max="9169" min="9169" style="0" width="48.29"/>
    <col collapsed="false" customWidth="true" hidden="false" outlineLevel="0" max="9170" min="9170" style="0" width="13.29"/>
    <col collapsed="false" customWidth="true" hidden="false" outlineLevel="0" max="9171" min="9171" style="0" width="18.29"/>
    <col collapsed="false" customWidth="true" hidden="false" outlineLevel="0" max="9172" min="9172" style="0" width="18.57"/>
    <col collapsed="false" customWidth="true" hidden="false" outlineLevel="0" max="9173" min="9173" style="0" width="12.71"/>
    <col collapsed="false" customWidth="true" hidden="false" outlineLevel="0" max="9174" min="9174" style="0" width="10.85"/>
    <col collapsed="false" customWidth="true" hidden="false" outlineLevel="0" max="9175" min="9175" style="0" width="16.29"/>
    <col collapsed="false" customWidth="true" hidden="false" outlineLevel="0" max="9176" min="9176" style="0" width="8.15"/>
    <col collapsed="false" customWidth="true" hidden="false" outlineLevel="0" max="9181" min="9177" style="0" width="11.71"/>
    <col collapsed="false" customWidth="true" hidden="false" outlineLevel="0" max="9182" min="9182" style="0" width="15.85"/>
    <col collapsed="false" customWidth="true" hidden="false" outlineLevel="0" max="9424" min="9424" style="0" width="1.57"/>
    <col collapsed="false" customWidth="true" hidden="false" outlineLevel="0" max="9425" min="9425" style="0" width="48.29"/>
    <col collapsed="false" customWidth="true" hidden="false" outlineLevel="0" max="9426" min="9426" style="0" width="13.29"/>
    <col collapsed="false" customWidth="true" hidden="false" outlineLevel="0" max="9427" min="9427" style="0" width="18.29"/>
    <col collapsed="false" customWidth="true" hidden="false" outlineLevel="0" max="9428" min="9428" style="0" width="18.57"/>
    <col collapsed="false" customWidth="true" hidden="false" outlineLevel="0" max="9429" min="9429" style="0" width="12.71"/>
    <col collapsed="false" customWidth="true" hidden="false" outlineLevel="0" max="9430" min="9430" style="0" width="10.85"/>
    <col collapsed="false" customWidth="true" hidden="false" outlineLevel="0" max="9431" min="9431" style="0" width="16.29"/>
    <col collapsed="false" customWidth="true" hidden="false" outlineLevel="0" max="9432" min="9432" style="0" width="8.15"/>
    <col collapsed="false" customWidth="true" hidden="false" outlineLevel="0" max="9437" min="9433" style="0" width="11.71"/>
    <col collapsed="false" customWidth="true" hidden="false" outlineLevel="0" max="9438" min="9438" style="0" width="15.85"/>
    <col collapsed="false" customWidth="true" hidden="false" outlineLevel="0" max="9680" min="9680" style="0" width="1.57"/>
    <col collapsed="false" customWidth="true" hidden="false" outlineLevel="0" max="9681" min="9681" style="0" width="48.29"/>
    <col collapsed="false" customWidth="true" hidden="false" outlineLevel="0" max="9682" min="9682" style="0" width="13.29"/>
    <col collapsed="false" customWidth="true" hidden="false" outlineLevel="0" max="9683" min="9683" style="0" width="18.29"/>
    <col collapsed="false" customWidth="true" hidden="false" outlineLevel="0" max="9684" min="9684" style="0" width="18.57"/>
    <col collapsed="false" customWidth="true" hidden="false" outlineLevel="0" max="9685" min="9685" style="0" width="12.71"/>
    <col collapsed="false" customWidth="true" hidden="false" outlineLevel="0" max="9686" min="9686" style="0" width="10.85"/>
    <col collapsed="false" customWidth="true" hidden="false" outlineLevel="0" max="9687" min="9687" style="0" width="16.29"/>
    <col collapsed="false" customWidth="true" hidden="false" outlineLevel="0" max="9688" min="9688" style="0" width="8.15"/>
    <col collapsed="false" customWidth="true" hidden="false" outlineLevel="0" max="9693" min="9689" style="0" width="11.71"/>
    <col collapsed="false" customWidth="true" hidden="false" outlineLevel="0" max="9694" min="9694" style="0" width="15.85"/>
    <col collapsed="false" customWidth="true" hidden="false" outlineLevel="0" max="9936" min="9936" style="0" width="1.57"/>
    <col collapsed="false" customWidth="true" hidden="false" outlineLevel="0" max="9937" min="9937" style="0" width="48.29"/>
    <col collapsed="false" customWidth="true" hidden="false" outlineLevel="0" max="9938" min="9938" style="0" width="13.29"/>
    <col collapsed="false" customWidth="true" hidden="false" outlineLevel="0" max="9939" min="9939" style="0" width="18.29"/>
    <col collapsed="false" customWidth="true" hidden="false" outlineLevel="0" max="9940" min="9940" style="0" width="18.57"/>
    <col collapsed="false" customWidth="true" hidden="false" outlineLevel="0" max="9941" min="9941" style="0" width="12.71"/>
    <col collapsed="false" customWidth="true" hidden="false" outlineLevel="0" max="9942" min="9942" style="0" width="10.85"/>
    <col collapsed="false" customWidth="true" hidden="false" outlineLevel="0" max="9943" min="9943" style="0" width="16.29"/>
    <col collapsed="false" customWidth="true" hidden="false" outlineLevel="0" max="9944" min="9944" style="0" width="8.15"/>
    <col collapsed="false" customWidth="true" hidden="false" outlineLevel="0" max="9949" min="9945" style="0" width="11.71"/>
    <col collapsed="false" customWidth="true" hidden="false" outlineLevel="0" max="9950" min="9950" style="0" width="15.85"/>
    <col collapsed="false" customWidth="true" hidden="false" outlineLevel="0" max="10192" min="10192" style="0" width="1.57"/>
    <col collapsed="false" customWidth="true" hidden="false" outlineLevel="0" max="10193" min="10193" style="0" width="48.29"/>
    <col collapsed="false" customWidth="true" hidden="false" outlineLevel="0" max="10194" min="10194" style="0" width="13.29"/>
    <col collapsed="false" customWidth="true" hidden="false" outlineLevel="0" max="10195" min="10195" style="0" width="18.29"/>
    <col collapsed="false" customWidth="true" hidden="false" outlineLevel="0" max="10196" min="10196" style="0" width="18.57"/>
    <col collapsed="false" customWidth="true" hidden="false" outlineLevel="0" max="10197" min="10197" style="0" width="12.71"/>
    <col collapsed="false" customWidth="true" hidden="false" outlineLevel="0" max="10198" min="10198" style="0" width="10.85"/>
    <col collapsed="false" customWidth="true" hidden="false" outlineLevel="0" max="10199" min="10199" style="0" width="16.29"/>
    <col collapsed="false" customWidth="true" hidden="false" outlineLevel="0" max="10200" min="10200" style="0" width="8.15"/>
    <col collapsed="false" customWidth="true" hidden="false" outlineLevel="0" max="10205" min="10201" style="0" width="11.71"/>
    <col collapsed="false" customWidth="true" hidden="false" outlineLevel="0" max="10206" min="10206" style="0" width="15.85"/>
    <col collapsed="false" customWidth="true" hidden="false" outlineLevel="0" max="10448" min="10448" style="0" width="1.57"/>
    <col collapsed="false" customWidth="true" hidden="false" outlineLevel="0" max="10449" min="10449" style="0" width="48.29"/>
    <col collapsed="false" customWidth="true" hidden="false" outlineLevel="0" max="10450" min="10450" style="0" width="13.29"/>
    <col collapsed="false" customWidth="true" hidden="false" outlineLevel="0" max="10451" min="10451" style="0" width="18.29"/>
    <col collapsed="false" customWidth="true" hidden="false" outlineLevel="0" max="10452" min="10452" style="0" width="18.57"/>
    <col collapsed="false" customWidth="true" hidden="false" outlineLevel="0" max="10453" min="10453" style="0" width="12.71"/>
    <col collapsed="false" customWidth="true" hidden="false" outlineLevel="0" max="10454" min="10454" style="0" width="10.85"/>
    <col collapsed="false" customWidth="true" hidden="false" outlineLevel="0" max="10455" min="10455" style="0" width="16.29"/>
    <col collapsed="false" customWidth="true" hidden="false" outlineLevel="0" max="10456" min="10456" style="0" width="8.15"/>
    <col collapsed="false" customWidth="true" hidden="false" outlineLevel="0" max="10461" min="10457" style="0" width="11.71"/>
    <col collapsed="false" customWidth="true" hidden="false" outlineLevel="0" max="10462" min="10462" style="0" width="15.85"/>
    <col collapsed="false" customWidth="true" hidden="false" outlineLevel="0" max="10704" min="10704" style="0" width="1.57"/>
    <col collapsed="false" customWidth="true" hidden="false" outlineLevel="0" max="10705" min="10705" style="0" width="48.29"/>
    <col collapsed="false" customWidth="true" hidden="false" outlineLevel="0" max="10706" min="10706" style="0" width="13.29"/>
    <col collapsed="false" customWidth="true" hidden="false" outlineLevel="0" max="10707" min="10707" style="0" width="18.29"/>
    <col collapsed="false" customWidth="true" hidden="false" outlineLevel="0" max="10708" min="10708" style="0" width="18.57"/>
    <col collapsed="false" customWidth="true" hidden="false" outlineLevel="0" max="10709" min="10709" style="0" width="12.71"/>
    <col collapsed="false" customWidth="true" hidden="false" outlineLevel="0" max="10710" min="10710" style="0" width="10.85"/>
    <col collapsed="false" customWidth="true" hidden="false" outlineLevel="0" max="10711" min="10711" style="0" width="16.29"/>
    <col collapsed="false" customWidth="true" hidden="false" outlineLevel="0" max="10712" min="10712" style="0" width="8.15"/>
    <col collapsed="false" customWidth="true" hidden="false" outlineLevel="0" max="10717" min="10713" style="0" width="11.71"/>
    <col collapsed="false" customWidth="true" hidden="false" outlineLevel="0" max="10718" min="10718" style="0" width="15.85"/>
    <col collapsed="false" customWidth="true" hidden="false" outlineLevel="0" max="10960" min="10960" style="0" width="1.57"/>
    <col collapsed="false" customWidth="true" hidden="false" outlineLevel="0" max="10961" min="10961" style="0" width="48.29"/>
    <col collapsed="false" customWidth="true" hidden="false" outlineLevel="0" max="10962" min="10962" style="0" width="13.29"/>
    <col collapsed="false" customWidth="true" hidden="false" outlineLevel="0" max="10963" min="10963" style="0" width="18.29"/>
    <col collapsed="false" customWidth="true" hidden="false" outlineLevel="0" max="10964" min="10964" style="0" width="18.57"/>
    <col collapsed="false" customWidth="true" hidden="false" outlineLevel="0" max="10965" min="10965" style="0" width="12.71"/>
    <col collapsed="false" customWidth="true" hidden="false" outlineLevel="0" max="10966" min="10966" style="0" width="10.85"/>
    <col collapsed="false" customWidth="true" hidden="false" outlineLevel="0" max="10967" min="10967" style="0" width="16.29"/>
    <col collapsed="false" customWidth="true" hidden="false" outlineLevel="0" max="10968" min="10968" style="0" width="8.15"/>
    <col collapsed="false" customWidth="true" hidden="false" outlineLevel="0" max="10973" min="10969" style="0" width="11.71"/>
    <col collapsed="false" customWidth="true" hidden="false" outlineLevel="0" max="10974" min="10974" style="0" width="15.85"/>
    <col collapsed="false" customWidth="true" hidden="false" outlineLevel="0" max="11216" min="11216" style="0" width="1.57"/>
    <col collapsed="false" customWidth="true" hidden="false" outlineLevel="0" max="11217" min="11217" style="0" width="48.29"/>
    <col collapsed="false" customWidth="true" hidden="false" outlineLevel="0" max="11218" min="11218" style="0" width="13.29"/>
    <col collapsed="false" customWidth="true" hidden="false" outlineLevel="0" max="11219" min="11219" style="0" width="18.29"/>
    <col collapsed="false" customWidth="true" hidden="false" outlineLevel="0" max="11220" min="11220" style="0" width="18.57"/>
    <col collapsed="false" customWidth="true" hidden="false" outlineLevel="0" max="11221" min="11221" style="0" width="12.71"/>
    <col collapsed="false" customWidth="true" hidden="false" outlineLevel="0" max="11222" min="11222" style="0" width="10.85"/>
    <col collapsed="false" customWidth="true" hidden="false" outlineLevel="0" max="11223" min="11223" style="0" width="16.29"/>
    <col collapsed="false" customWidth="true" hidden="false" outlineLevel="0" max="11224" min="11224" style="0" width="8.15"/>
    <col collapsed="false" customWidth="true" hidden="false" outlineLevel="0" max="11229" min="11225" style="0" width="11.71"/>
    <col collapsed="false" customWidth="true" hidden="false" outlineLevel="0" max="11230" min="11230" style="0" width="15.85"/>
    <col collapsed="false" customWidth="true" hidden="false" outlineLevel="0" max="11472" min="11472" style="0" width="1.57"/>
    <col collapsed="false" customWidth="true" hidden="false" outlineLevel="0" max="11473" min="11473" style="0" width="48.29"/>
    <col collapsed="false" customWidth="true" hidden="false" outlineLevel="0" max="11474" min="11474" style="0" width="13.29"/>
    <col collapsed="false" customWidth="true" hidden="false" outlineLevel="0" max="11475" min="11475" style="0" width="18.29"/>
    <col collapsed="false" customWidth="true" hidden="false" outlineLevel="0" max="11476" min="11476" style="0" width="18.57"/>
    <col collapsed="false" customWidth="true" hidden="false" outlineLevel="0" max="11477" min="11477" style="0" width="12.71"/>
    <col collapsed="false" customWidth="true" hidden="false" outlineLevel="0" max="11478" min="11478" style="0" width="10.85"/>
    <col collapsed="false" customWidth="true" hidden="false" outlineLevel="0" max="11479" min="11479" style="0" width="16.29"/>
    <col collapsed="false" customWidth="true" hidden="false" outlineLevel="0" max="11480" min="11480" style="0" width="8.15"/>
    <col collapsed="false" customWidth="true" hidden="false" outlineLevel="0" max="11485" min="11481" style="0" width="11.71"/>
    <col collapsed="false" customWidth="true" hidden="false" outlineLevel="0" max="11486" min="11486" style="0" width="15.85"/>
    <col collapsed="false" customWidth="true" hidden="false" outlineLevel="0" max="11728" min="11728" style="0" width="1.57"/>
    <col collapsed="false" customWidth="true" hidden="false" outlineLevel="0" max="11729" min="11729" style="0" width="48.29"/>
    <col collapsed="false" customWidth="true" hidden="false" outlineLevel="0" max="11730" min="11730" style="0" width="13.29"/>
    <col collapsed="false" customWidth="true" hidden="false" outlineLevel="0" max="11731" min="11731" style="0" width="18.29"/>
    <col collapsed="false" customWidth="true" hidden="false" outlineLevel="0" max="11732" min="11732" style="0" width="18.57"/>
    <col collapsed="false" customWidth="true" hidden="false" outlineLevel="0" max="11733" min="11733" style="0" width="12.71"/>
    <col collapsed="false" customWidth="true" hidden="false" outlineLevel="0" max="11734" min="11734" style="0" width="10.85"/>
    <col collapsed="false" customWidth="true" hidden="false" outlineLevel="0" max="11735" min="11735" style="0" width="16.29"/>
    <col collapsed="false" customWidth="true" hidden="false" outlineLevel="0" max="11736" min="11736" style="0" width="8.15"/>
    <col collapsed="false" customWidth="true" hidden="false" outlineLevel="0" max="11741" min="11737" style="0" width="11.71"/>
    <col collapsed="false" customWidth="true" hidden="false" outlineLevel="0" max="11742" min="11742" style="0" width="15.85"/>
    <col collapsed="false" customWidth="true" hidden="false" outlineLevel="0" max="11984" min="11984" style="0" width="1.57"/>
    <col collapsed="false" customWidth="true" hidden="false" outlineLevel="0" max="11985" min="11985" style="0" width="48.29"/>
    <col collapsed="false" customWidth="true" hidden="false" outlineLevel="0" max="11986" min="11986" style="0" width="13.29"/>
    <col collapsed="false" customWidth="true" hidden="false" outlineLevel="0" max="11987" min="11987" style="0" width="18.29"/>
    <col collapsed="false" customWidth="true" hidden="false" outlineLevel="0" max="11988" min="11988" style="0" width="18.57"/>
    <col collapsed="false" customWidth="true" hidden="false" outlineLevel="0" max="11989" min="11989" style="0" width="12.71"/>
    <col collapsed="false" customWidth="true" hidden="false" outlineLevel="0" max="11990" min="11990" style="0" width="10.85"/>
    <col collapsed="false" customWidth="true" hidden="false" outlineLevel="0" max="11991" min="11991" style="0" width="16.29"/>
    <col collapsed="false" customWidth="true" hidden="false" outlineLevel="0" max="11992" min="11992" style="0" width="8.15"/>
    <col collapsed="false" customWidth="true" hidden="false" outlineLevel="0" max="11997" min="11993" style="0" width="11.71"/>
    <col collapsed="false" customWidth="true" hidden="false" outlineLevel="0" max="11998" min="11998" style="0" width="15.85"/>
    <col collapsed="false" customWidth="true" hidden="false" outlineLevel="0" max="12240" min="12240" style="0" width="1.57"/>
    <col collapsed="false" customWidth="true" hidden="false" outlineLevel="0" max="12241" min="12241" style="0" width="48.29"/>
    <col collapsed="false" customWidth="true" hidden="false" outlineLevel="0" max="12242" min="12242" style="0" width="13.29"/>
    <col collapsed="false" customWidth="true" hidden="false" outlineLevel="0" max="12243" min="12243" style="0" width="18.29"/>
    <col collapsed="false" customWidth="true" hidden="false" outlineLevel="0" max="12244" min="12244" style="0" width="18.57"/>
    <col collapsed="false" customWidth="true" hidden="false" outlineLevel="0" max="12245" min="12245" style="0" width="12.71"/>
    <col collapsed="false" customWidth="true" hidden="false" outlineLevel="0" max="12246" min="12246" style="0" width="10.85"/>
    <col collapsed="false" customWidth="true" hidden="false" outlineLevel="0" max="12247" min="12247" style="0" width="16.29"/>
    <col collapsed="false" customWidth="true" hidden="false" outlineLevel="0" max="12248" min="12248" style="0" width="8.15"/>
    <col collapsed="false" customWidth="true" hidden="false" outlineLevel="0" max="12253" min="12249" style="0" width="11.71"/>
    <col collapsed="false" customWidth="true" hidden="false" outlineLevel="0" max="12254" min="12254" style="0" width="15.85"/>
    <col collapsed="false" customWidth="true" hidden="false" outlineLevel="0" max="12496" min="12496" style="0" width="1.57"/>
    <col collapsed="false" customWidth="true" hidden="false" outlineLevel="0" max="12497" min="12497" style="0" width="48.29"/>
    <col collapsed="false" customWidth="true" hidden="false" outlineLevel="0" max="12498" min="12498" style="0" width="13.29"/>
    <col collapsed="false" customWidth="true" hidden="false" outlineLevel="0" max="12499" min="12499" style="0" width="18.29"/>
    <col collapsed="false" customWidth="true" hidden="false" outlineLevel="0" max="12500" min="12500" style="0" width="18.57"/>
    <col collapsed="false" customWidth="true" hidden="false" outlineLevel="0" max="12501" min="12501" style="0" width="12.71"/>
    <col collapsed="false" customWidth="true" hidden="false" outlineLevel="0" max="12502" min="12502" style="0" width="10.85"/>
    <col collapsed="false" customWidth="true" hidden="false" outlineLevel="0" max="12503" min="12503" style="0" width="16.29"/>
    <col collapsed="false" customWidth="true" hidden="false" outlineLevel="0" max="12504" min="12504" style="0" width="8.15"/>
    <col collapsed="false" customWidth="true" hidden="false" outlineLevel="0" max="12509" min="12505" style="0" width="11.71"/>
    <col collapsed="false" customWidth="true" hidden="false" outlineLevel="0" max="12510" min="12510" style="0" width="15.85"/>
    <col collapsed="false" customWidth="true" hidden="false" outlineLevel="0" max="12752" min="12752" style="0" width="1.57"/>
    <col collapsed="false" customWidth="true" hidden="false" outlineLevel="0" max="12753" min="12753" style="0" width="48.29"/>
    <col collapsed="false" customWidth="true" hidden="false" outlineLevel="0" max="12754" min="12754" style="0" width="13.29"/>
    <col collapsed="false" customWidth="true" hidden="false" outlineLevel="0" max="12755" min="12755" style="0" width="18.29"/>
    <col collapsed="false" customWidth="true" hidden="false" outlineLevel="0" max="12756" min="12756" style="0" width="18.57"/>
    <col collapsed="false" customWidth="true" hidden="false" outlineLevel="0" max="12757" min="12757" style="0" width="12.71"/>
    <col collapsed="false" customWidth="true" hidden="false" outlineLevel="0" max="12758" min="12758" style="0" width="10.85"/>
    <col collapsed="false" customWidth="true" hidden="false" outlineLevel="0" max="12759" min="12759" style="0" width="16.29"/>
    <col collapsed="false" customWidth="true" hidden="false" outlineLevel="0" max="12760" min="12760" style="0" width="8.15"/>
    <col collapsed="false" customWidth="true" hidden="false" outlineLevel="0" max="12765" min="12761" style="0" width="11.71"/>
    <col collapsed="false" customWidth="true" hidden="false" outlineLevel="0" max="12766" min="12766" style="0" width="15.85"/>
    <col collapsed="false" customWidth="true" hidden="false" outlineLevel="0" max="13008" min="13008" style="0" width="1.57"/>
    <col collapsed="false" customWidth="true" hidden="false" outlineLevel="0" max="13009" min="13009" style="0" width="48.29"/>
    <col collapsed="false" customWidth="true" hidden="false" outlineLevel="0" max="13010" min="13010" style="0" width="13.29"/>
    <col collapsed="false" customWidth="true" hidden="false" outlineLevel="0" max="13011" min="13011" style="0" width="18.29"/>
    <col collapsed="false" customWidth="true" hidden="false" outlineLevel="0" max="13012" min="13012" style="0" width="18.57"/>
    <col collapsed="false" customWidth="true" hidden="false" outlineLevel="0" max="13013" min="13013" style="0" width="12.71"/>
    <col collapsed="false" customWidth="true" hidden="false" outlineLevel="0" max="13014" min="13014" style="0" width="10.85"/>
    <col collapsed="false" customWidth="true" hidden="false" outlineLevel="0" max="13015" min="13015" style="0" width="16.29"/>
    <col collapsed="false" customWidth="true" hidden="false" outlineLevel="0" max="13016" min="13016" style="0" width="8.15"/>
    <col collapsed="false" customWidth="true" hidden="false" outlineLevel="0" max="13021" min="13017" style="0" width="11.71"/>
    <col collapsed="false" customWidth="true" hidden="false" outlineLevel="0" max="13022" min="13022" style="0" width="15.85"/>
    <col collapsed="false" customWidth="true" hidden="false" outlineLevel="0" max="13264" min="13264" style="0" width="1.57"/>
    <col collapsed="false" customWidth="true" hidden="false" outlineLevel="0" max="13265" min="13265" style="0" width="48.29"/>
    <col collapsed="false" customWidth="true" hidden="false" outlineLevel="0" max="13266" min="13266" style="0" width="13.29"/>
    <col collapsed="false" customWidth="true" hidden="false" outlineLevel="0" max="13267" min="13267" style="0" width="18.29"/>
    <col collapsed="false" customWidth="true" hidden="false" outlineLevel="0" max="13268" min="13268" style="0" width="18.57"/>
    <col collapsed="false" customWidth="true" hidden="false" outlineLevel="0" max="13269" min="13269" style="0" width="12.71"/>
    <col collapsed="false" customWidth="true" hidden="false" outlineLevel="0" max="13270" min="13270" style="0" width="10.85"/>
    <col collapsed="false" customWidth="true" hidden="false" outlineLevel="0" max="13271" min="13271" style="0" width="16.29"/>
    <col collapsed="false" customWidth="true" hidden="false" outlineLevel="0" max="13272" min="13272" style="0" width="8.15"/>
    <col collapsed="false" customWidth="true" hidden="false" outlineLevel="0" max="13277" min="13273" style="0" width="11.71"/>
    <col collapsed="false" customWidth="true" hidden="false" outlineLevel="0" max="13278" min="13278" style="0" width="15.85"/>
    <col collapsed="false" customWidth="true" hidden="false" outlineLevel="0" max="13520" min="13520" style="0" width="1.57"/>
    <col collapsed="false" customWidth="true" hidden="false" outlineLevel="0" max="13521" min="13521" style="0" width="48.29"/>
    <col collapsed="false" customWidth="true" hidden="false" outlineLevel="0" max="13522" min="13522" style="0" width="13.29"/>
    <col collapsed="false" customWidth="true" hidden="false" outlineLevel="0" max="13523" min="13523" style="0" width="18.29"/>
    <col collapsed="false" customWidth="true" hidden="false" outlineLevel="0" max="13524" min="13524" style="0" width="18.57"/>
    <col collapsed="false" customWidth="true" hidden="false" outlineLevel="0" max="13525" min="13525" style="0" width="12.71"/>
    <col collapsed="false" customWidth="true" hidden="false" outlineLevel="0" max="13526" min="13526" style="0" width="10.85"/>
    <col collapsed="false" customWidth="true" hidden="false" outlineLevel="0" max="13527" min="13527" style="0" width="16.29"/>
    <col collapsed="false" customWidth="true" hidden="false" outlineLevel="0" max="13528" min="13528" style="0" width="8.15"/>
    <col collapsed="false" customWidth="true" hidden="false" outlineLevel="0" max="13533" min="13529" style="0" width="11.71"/>
    <col collapsed="false" customWidth="true" hidden="false" outlineLevel="0" max="13534" min="13534" style="0" width="15.85"/>
    <col collapsed="false" customWidth="true" hidden="false" outlineLevel="0" max="13776" min="13776" style="0" width="1.57"/>
    <col collapsed="false" customWidth="true" hidden="false" outlineLevel="0" max="13777" min="13777" style="0" width="48.29"/>
    <col collapsed="false" customWidth="true" hidden="false" outlineLevel="0" max="13778" min="13778" style="0" width="13.29"/>
    <col collapsed="false" customWidth="true" hidden="false" outlineLevel="0" max="13779" min="13779" style="0" width="18.29"/>
    <col collapsed="false" customWidth="true" hidden="false" outlineLevel="0" max="13780" min="13780" style="0" width="18.57"/>
    <col collapsed="false" customWidth="true" hidden="false" outlineLevel="0" max="13781" min="13781" style="0" width="12.71"/>
    <col collapsed="false" customWidth="true" hidden="false" outlineLevel="0" max="13782" min="13782" style="0" width="10.85"/>
    <col collapsed="false" customWidth="true" hidden="false" outlineLevel="0" max="13783" min="13783" style="0" width="16.29"/>
    <col collapsed="false" customWidth="true" hidden="false" outlineLevel="0" max="13784" min="13784" style="0" width="8.15"/>
    <col collapsed="false" customWidth="true" hidden="false" outlineLevel="0" max="13789" min="13785" style="0" width="11.71"/>
    <col collapsed="false" customWidth="true" hidden="false" outlineLevel="0" max="13790" min="13790" style="0" width="15.85"/>
    <col collapsed="false" customWidth="true" hidden="false" outlineLevel="0" max="14032" min="14032" style="0" width="1.57"/>
    <col collapsed="false" customWidth="true" hidden="false" outlineLevel="0" max="14033" min="14033" style="0" width="48.29"/>
    <col collapsed="false" customWidth="true" hidden="false" outlineLevel="0" max="14034" min="14034" style="0" width="13.29"/>
    <col collapsed="false" customWidth="true" hidden="false" outlineLevel="0" max="14035" min="14035" style="0" width="18.29"/>
    <col collapsed="false" customWidth="true" hidden="false" outlineLevel="0" max="14036" min="14036" style="0" width="18.57"/>
    <col collapsed="false" customWidth="true" hidden="false" outlineLevel="0" max="14037" min="14037" style="0" width="12.71"/>
    <col collapsed="false" customWidth="true" hidden="false" outlineLevel="0" max="14038" min="14038" style="0" width="10.85"/>
    <col collapsed="false" customWidth="true" hidden="false" outlineLevel="0" max="14039" min="14039" style="0" width="16.29"/>
    <col collapsed="false" customWidth="true" hidden="false" outlineLevel="0" max="14040" min="14040" style="0" width="8.15"/>
    <col collapsed="false" customWidth="true" hidden="false" outlineLevel="0" max="14045" min="14041" style="0" width="11.71"/>
    <col collapsed="false" customWidth="true" hidden="false" outlineLevel="0" max="14046" min="14046" style="0" width="15.85"/>
    <col collapsed="false" customWidth="true" hidden="false" outlineLevel="0" max="14288" min="14288" style="0" width="1.57"/>
    <col collapsed="false" customWidth="true" hidden="false" outlineLevel="0" max="14289" min="14289" style="0" width="48.29"/>
    <col collapsed="false" customWidth="true" hidden="false" outlineLevel="0" max="14290" min="14290" style="0" width="13.29"/>
    <col collapsed="false" customWidth="true" hidden="false" outlineLevel="0" max="14291" min="14291" style="0" width="18.29"/>
    <col collapsed="false" customWidth="true" hidden="false" outlineLevel="0" max="14292" min="14292" style="0" width="18.57"/>
    <col collapsed="false" customWidth="true" hidden="false" outlineLevel="0" max="14293" min="14293" style="0" width="12.71"/>
    <col collapsed="false" customWidth="true" hidden="false" outlineLevel="0" max="14294" min="14294" style="0" width="10.85"/>
    <col collapsed="false" customWidth="true" hidden="false" outlineLevel="0" max="14295" min="14295" style="0" width="16.29"/>
    <col collapsed="false" customWidth="true" hidden="false" outlineLevel="0" max="14296" min="14296" style="0" width="8.15"/>
    <col collapsed="false" customWidth="true" hidden="false" outlineLevel="0" max="14301" min="14297" style="0" width="11.71"/>
    <col collapsed="false" customWidth="true" hidden="false" outlineLevel="0" max="14302" min="14302" style="0" width="15.85"/>
    <col collapsed="false" customWidth="true" hidden="false" outlineLevel="0" max="14544" min="14544" style="0" width="1.57"/>
    <col collapsed="false" customWidth="true" hidden="false" outlineLevel="0" max="14545" min="14545" style="0" width="48.29"/>
    <col collapsed="false" customWidth="true" hidden="false" outlineLevel="0" max="14546" min="14546" style="0" width="13.29"/>
    <col collapsed="false" customWidth="true" hidden="false" outlineLevel="0" max="14547" min="14547" style="0" width="18.29"/>
    <col collapsed="false" customWidth="true" hidden="false" outlineLevel="0" max="14548" min="14548" style="0" width="18.57"/>
    <col collapsed="false" customWidth="true" hidden="false" outlineLevel="0" max="14549" min="14549" style="0" width="12.71"/>
    <col collapsed="false" customWidth="true" hidden="false" outlineLevel="0" max="14550" min="14550" style="0" width="10.85"/>
    <col collapsed="false" customWidth="true" hidden="false" outlineLevel="0" max="14551" min="14551" style="0" width="16.29"/>
    <col collapsed="false" customWidth="true" hidden="false" outlineLevel="0" max="14552" min="14552" style="0" width="8.15"/>
    <col collapsed="false" customWidth="true" hidden="false" outlineLevel="0" max="14557" min="14553" style="0" width="11.71"/>
    <col collapsed="false" customWidth="true" hidden="false" outlineLevel="0" max="14558" min="14558" style="0" width="15.85"/>
    <col collapsed="false" customWidth="true" hidden="false" outlineLevel="0" max="14800" min="14800" style="0" width="1.57"/>
    <col collapsed="false" customWidth="true" hidden="false" outlineLevel="0" max="14801" min="14801" style="0" width="48.29"/>
    <col collapsed="false" customWidth="true" hidden="false" outlineLevel="0" max="14802" min="14802" style="0" width="13.29"/>
    <col collapsed="false" customWidth="true" hidden="false" outlineLevel="0" max="14803" min="14803" style="0" width="18.29"/>
    <col collapsed="false" customWidth="true" hidden="false" outlineLevel="0" max="14804" min="14804" style="0" width="18.57"/>
    <col collapsed="false" customWidth="true" hidden="false" outlineLevel="0" max="14805" min="14805" style="0" width="12.71"/>
    <col collapsed="false" customWidth="true" hidden="false" outlineLevel="0" max="14806" min="14806" style="0" width="10.85"/>
    <col collapsed="false" customWidth="true" hidden="false" outlineLevel="0" max="14807" min="14807" style="0" width="16.29"/>
    <col collapsed="false" customWidth="true" hidden="false" outlineLevel="0" max="14808" min="14808" style="0" width="8.15"/>
    <col collapsed="false" customWidth="true" hidden="false" outlineLevel="0" max="14813" min="14809" style="0" width="11.71"/>
    <col collapsed="false" customWidth="true" hidden="false" outlineLevel="0" max="14814" min="14814" style="0" width="15.85"/>
    <col collapsed="false" customWidth="true" hidden="false" outlineLevel="0" max="15056" min="15056" style="0" width="1.57"/>
    <col collapsed="false" customWidth="true" hidden="false" outlineLevel="0" max="15057" min="15057" style="0" width="48.29"/>
    <col collapsed="false" customWidth="true" hidden="false" outlineLevel="0" max="15058" min="15058" style="0" width="13.29"/>
    <col collapsed="false" customWidth="true" hidden="false" outlineLevel="0" max="15059" min="15059" style="0" width="18.29"/>
    <col collapsed="false" customWidth="true" hidden="false" outlineLevel="0" max="15060" min="15060" style="0" width="18.57"/>
    <col collapsed="false" customWidth="true" hidden="false" outlineLevel="0" max="15061" min="15061" style="0" width="12.71"/>
    <col collapsed="false" customWidth="true" hidden="false" outlineLevel="0" max="15062" min="15062" style="0" width="10.85"/>
    <col collapsed="false" customWidth="true" hidden="false" outlineLevel="0" max="15063" min="15063" style="0" width="16.29"/>
    <col collapsed="false" customWidth="true" hidden="false" outlineLevel="0" max="15064" min="15064" style="0" width="8.15"/>
    <col collapsed="false" customWidth="true" hidden="false" outlineLevel="0" max="15069" min="15065" style="0" width="11.71"/>
    <col collapsed="false" customWidth="true" hidden="false" outlineLevel="0" max="15070" min="15070" style="0" width="15.85"/>
    <col collapsed="false" customWidth="true" hidden="false" outlineLevel="0" max="15312" min="15312" style="0" width="1.57"/>
    <col collapsed="false" customWidth="true" hidden="false" outlineLevel="0" max="15313" min="15313" style="0" width="48.29"/>
    <col collapsed="false" customWidth="true" hidden="false" outlineLevel="0" max="15314" min="15314" style="0" width="13.29"/>
    <col collapsed="false" customWidth="true" hidden="false" outlineLevel="0" max="15315" min="15315" style="0" width="18.29"/>
    <col collapsed="false" customWidth="true" hidden="false" outlineLevel="0" max="15316" min="15316" style="0" width="18.57"/>
    <col collapsed="false" customWidth="true" hidden="false" outlineLevel="0" max="15317" min="15317" style="0" width="12.71"/>
    <col collapsed="false" customWidth="true" hidden="false" outlineLevel="0" max="15318" min="15318" style="0" width="10.85"/>
    <col collapsed="false" customWidth="true" hidden="false" outlineLevel="0" max="15319" min="15319" style="0" width="16.29"/>
    <col collapsed="false" customWidth="true" hidden="false" outlineLevel="0" max="15320" min="15320" style="0" width="8.15"/>
    <col collapsed="false" customWidth="true" hidden="false" outlineLevel="0" max="15325" min="15321" style="0" width="11.71"/>
    <col collapsed="false" customWidth="true" hidden="false" outlineLevel="0" max="15326" min="15326" style="0" width="15.85"/>
    <col collapsed="false" customWidth="true" hidden="false" outlineLevel="0" max="15568" min="15568" style="0" width="1.57"/>
    <col collapsed="false" customWidth="true" hidden="false" outlineLevel="0" max="15569" min="15569" style="0" width="48.29"/>
    <col collapsed="false" customWidth="true" hidden="false" outlineLevel="0" max="15570" min="15570" style="0" width="13.29"/>
    <col collapsed="false" customWidth="true" hidden="false" outlineLevel="0" max="15571" min="15571" style="0" width="18.29"/>
    <col collapsed="false" customWidth="true" hidden="false" outlineLevel="0" max="15572" min="15572" style="0" width="18.57"/>
    <col collapsed="false" customWidth="true" hidden="false" outlineLevel="0" max="15573" min="15573" style="0" width="12.71"/>
    <col collapsed="false" customWidth="true" hidden="false" outlineLevel="0" max="15574" min="15574" style="0" width="10.85"/>
    <col collapsed="false" customWidth="true" hidden="false" outlineLevel="0" max="15575" min="15575" style="0" width="16.29"/>
    <col collapsed="false" customWidth="true" hidden="false" outlineLevel="0" max="15576" min="15576" style="0" width="8.15"/>
    <col collapsed="false" customWidth="true" hidden="false" outlineLevel="0" max="15581" min="15577" style="0" width="11.71"/>
    <col collapsed="false" customWidth="true" hidden="false" outlineLevel="0" max="15582" min="15582" style="0" width="15.85"/>
    <col collapsed="false" customWidth="true" hidden="false" outlineLevel="0" max="15824" min="15824" style="0" width="1.57"/>
    <col collapsed="false" customWidth="true" hidden="false" outlineLevel="0" max="15825" min="15825" style="0" width="48.29"/>
    <col collapsed="false" customWidth="true" hidden="false" outlineLevel="0" max="15826" min="15826" style="0" width="13.29"/>
    <col collapsed="false" customWidth="true" hidden="false" outlineLevel="0" max="15827" min="15827" style="0" width="18.29"/>
    <col collapsed="false" customWidth="true" hidden="false" outlineLevel="0" max="15828" min="15828" style="0" width="18.57"/>
    <col collapsed="false" customWidth="true" hidden="false" outlineLevel="0" max="15829" min="15829" style="0" width="12.71"/>
    <col collapsed="false" customWidth="true" hidden="false" outlineLevel="0" max="15830" min="15830" style="0" width="10.85"/>
    <col collapsed="false" customWidth="true" hidden="false" outlineLevel="0" max="15831" min="15831" style="0" width="16.29"/>
    <col collapsed="false" customWidth="true" hidden="false" outlineLevel="0" max="15832" min="15832" style="0" width="8.15"/>
    <col collapsed="false" customWidth="true" hidden="false" outlineLevel="0" max="15837" min="15833" style="0" width="11.71"/>
    <col collapsed="false" customWidth="true" hidden="false" outlineLevel="0" max="15838" min="15838" style="0" width="15.85"/>
    <col collapsed="false" customWidth="true" hidden="false" outlineLevel="0" max="16080" min="16080" style="0" width="1.57"/>
    <col collapsed="false" customWidth="true" hidden="false" outlineLevel="0" max="16081" min="16081" style="0" width="48.29"/>
    <col collapsed="false" customWidth="true" hidden="false" outlineLevel="0" max="16082" min="16082" style="0" width="13.29"/>
    <col collapsed="false" customWidth="true" hidden="false" outlineLevel="0" max="16083" min="16083" style="0" width="18.29"/>
    <col collapsed="false" customWidth="true" hidden="false" outlineLevel="0" max="16084" min="16084" style="0" width="18.57"/>
    <col collapsed="false" customWidth="true" hidden="false" outlineLevel="0" max="16085" min="16085" style="0" width="12.71"/>
    <col collapsed="false" customWidth="true" hidden="false" outlineLevel="0" max="16086" min="16086" style="0" width="10.85"/>
    <col collapsed="false" customWidth="true" hidden="false" outlineLevel="0" max="16087" min="16087" style="0" width="16.29"/>
    <col collapsed="false" customWidth="true" hidden="false" outlineLevel="0" max="16088" min="16088" style="0" width="8.15"/>
    <col collapsed="false" customWidth="true" hidden="false" outlineLevel="0" max="16093" min="16089" style="0" width="11.71"/>
    <col collapsed="false" customWidth="true" hidden="false" outlineLevel="0" max="16094" min="16094" style="0" width="15.85"/>
  </cols>
  <sheetData>
    <row r="1" s="266" customFormat="true" ht="60" hidden="false" customHeight="true" outlineLevel="0" collapsed="false">
      <c r="A1" s="177" t="s">
        <v>244</v>
      </c>
      <c r="B1" s="177" t="s">
        <v>245</v>
      </c>
      <c r="C1" s="177" t="s">
        <v>246</v>
      </c>
      <c r="D1" s="177" t="s">
        <v>211</v>
      </c>
      <c r="E1" s="177" t="s">
        <v>247</v>
      </c>
      <c r="F1" s="177" t="s">
        <v>248</v>
      </c>
      <c r="G1" s="177" t="s">
        <v>249</v>
      </c>
      <c r="H1" s="177" t="s">
        <v>250</v>
      </c>
      <c r="I1" s="177" t="s">
        <v>251</v>
      </c>
      <c r="J1" s="264" t="s">
        <v>69</v>
      </c>
      <c r="K1" s="265" t="s">
        <v>3420</v>
      </c>
      <c r="L1" s="264" t="s">
        <v>49</v>
      </c>
      <c r="M1" s="264" t="s">
        <v>3421</v>
      </c>
      <c r="N1" s="177" t="s">
        <v>252</v>
      </c>
      <c r="O1" s="177" t="s">
        <v>253</v>
      </c>
      <c r="P1" s="177" t="s">
        <v>254</v>
      </c>
      <c r="Q1" s="177" t="s">
        <v>255</v>
      </c>
      <c r="R1" s="177" t="s">
        <v>256</v>
      </c>
      <c r="S1" s="264" t="s">
        <v>257</v>
      </c>
      <c r="T1" s="265" t="s">
        <v>213</v>
      </c>
      <c r="U1" s="265" t="s">
        <v>3355</v>
      </c>
    </row>
    <row r="2" customFormat="false" ht="38.25" hidden="false" customHeight="true" outlineLevel="0" collapsed="false">
      <c r="A2" s="267" t="s">
        <v>3422</v>
      </c>
      <c r="B2" s="182" t="n">
        <v>913</v>
      </c>
      <c r="C2" s="183" t="s">
        <v>3423</v>
      </c>
      <c r="D2" s="181" t="s">
        <v>1509</v>
      </c>
      <c r="E2" s="181" t="s">
        <v>3424</v>
      </c>
      <c r="F2" s="181" t="s">
        <v>1511</v>
      </c>
      <c r="G2" s="181" t="s">
        <v>98</v>
      </c>
      <c r="H2" s="181" t="s">
        <v>263</v>
      </c>
      <c r="I2" s="181" t="s">
        <v>3425</v>
      </c>
      <c r="J2" s="268"/>
      <c r="K2" s="269" t="n">
        <v>46237</v>
      </c>
      <c r="L2" s="267" t="n">
        <f aca="false">15*Таблица247[[#This Row],[Вес нетто]]/279000</f>
        <v>0.72258064516129</v>
      </c>
      <c r="M2" s="270" t="n">
        <v>1</v>
      </c>
      <c r="N2" s="184" t="n">
        <v>27710</v>
      </c>
      <c r="O2" s="184" t="n">
        <v>14270</v>
      </c>
      <c r="P2" s="185" t="n">
        <v>10</v>
      </c>
      <c r="Q2" s="184" t="n">
        <v>13440</v>
      </c>
      <c r="R2" s="184" t="n">
        <v>12096</v>
      </c>
      <c r="S2" s="186"/>
      <c r="T2" s="187"/>
      <c r="U2" s="187"/>
    </row>
    <row r="3" customFormat="false" ht="38.25" hidden="false" customHeight="true" outlineLevel="0" collapsed="false">
      <c r="A3" s="181" t="s">
        <v>3426</v>
      </c>
      <c r="B3" s="182" t="n">
        <v>916</v>
      </c>
      <c r="C3" s="183" t="s">
        <v>3427</v>
      </c>
      <c r="D3" s="181" t="s">
        <v>1509</v>
      </c>
      <c r="E3" s="181" t="s">
        <v>3424</v>
      </c>
      <c r="F3" s="181" t="s">
        <v>1511</v>
      </c>
      <c r="G3" s="181" t="s">
        <v>98</v>
      </c>
      <c r="H3" s="181" t="s">
        <v>263</v>
      </c>
      <c r="I3" s="181" t="s">
        <v>3425</v>
      </c>
      <c r="J3" s="268"/>
      <c r="K3" s="269" t="n">
        <v>46237</v>
      </c>
      <c r="L3" s="267" t="n">
        <f aca="false">15*Таблица247[[#This Row],[Вес нетто]]/279000</f>
        <v>0.740860215053763</v>
      </c>
      <c r="M3" s="270" t="n">
        <v>1</v>
      </c>
      <c r="N3" s="184" t="n">
        <v>28040</v>
      </c>
      <c r="O3" s="184" t="n">
        <v>14260</v>
      </c>
      <c r="P3" s="185" t="n">
        <v>5</v>
      </c>
      <c r="Q3" s="184" t="n">
        <v>13780</v>
      </c>
      <c r="R3" s="184" t="n">
        <v>13091</v>
      </c>
      <c r="S3" s="186"/>
      <c r="T3" s="187"/>
      <c r="U3" s="187"/>
    </row>
    <row r="4" customFormat="false" ht="38.25" hidden="false" customHeight="true" outlineLevel="0" collapsed="false">
      <c r="A4" s="181" t="s">
        <v>3428</v>
      </c>
      <c r="B4" s="182" t="n">
        <v>920</v>
      </c>
      <c r="C4" s="183" t="s">
        <v>3429</v>
      </c>
      <c r="D4" s="181" t="s">
        <v>1509</v>
      </c>
      <c r="E4" s="181" t="s">
        <v>3424</v>
      </c>
      <c r="F4" s="181" t="s">
        <v>1511</v>
      </c>
      <c r="G4" s="181" t="s">
        <v>98</v>
      </c>
      <c r="H4" s="181" t="s">
        <v>263</v>
      </c>
      <c r="I4" s="181" t="s">
        <v>3425</v>
      </c>
      <c r="J4" s="268"/>
      <c r="K4" s="269" t="n">
        <v>46237</v>
      </c>
      <c r="L4" s="267" t="n">
        <f aca="false">15*Таблица247[[#This Row],[Вес нетто]]/279000</f>
        <v>0.706989247311828</v>
      </c>
      <c r="M4" s="270" t="n">
        <v>1</v>
      </c>
      <c r="N4" s="184" t="n">
        <v>27390</v>
      </c>
      <c r="O4" s="184" t="n">
        <v>14240</v>
      </c>
      <c r="P4" s="185" t="n">
        <v>8</v>
      </c>
      <c r="Q4" s="184" t="n">
        <v>13150</v>
      </c>
      <c r="R4" s="184" t="n">
        <v>12098</v>
      </c>
      <c r="S4" s="186"/>
      <c r="T4" s="187"/>
      <c r="U4" s="187"/>
    </row>
    <row r="5" customFormat="false" ht="38.25" hidden="false" customHeight="true" outlineLevel="0" collapsed="false">
      <c r="A5" s="181" t="s">
        <v>3430</v>
      </c>
      <c r="B5" s="182" t="n">
        <v>922</v>
      </c>
      <c r="C5" s="183" t="s">
        <v>3431</v>
      </c>
      <c r="D5" s="181" t="s">
        <v>1509</v>
      </c>
      <c r="E5" s="181" t="s">
        <v>292</v>
      </c>
      <c r="F5" s="181" t="s">
        <v>3432</v>
      </c>
      <c r="G5" s="181" t="s">
        <v>98</v>
      </c>
      <c r="H5" s="181" t="s">
        <v>263</v>
      </c>
      <c r="I5" s="181" t="s">
        <v>3425</v>
      </c>
      <c r="J5" s="268"/>
      <c r="K5" s="269" t="n">
        <v>46237</v>
      </c>
      <c r="L5" s="267" t="n">
        <f aca="false">15*Таблица247[[#This Row],[Вес нетто]]/279000</f>
        <v>1.11182795698925</v>
      </c>
      <c r="M5" s="270" t="n">
        <v>1</v>
      </c>
      <c r="N5" s="184" t="n">
        <v>36520</v>
      </c>
      <c r="O5" s="184" t="n">
        <v>15840</v>
      </c>
      <c r="P5" s="185" t="n">
        <v>5</v>
      </c>
      <c r="Q5" s="184" t="n">
        <v>20680</v>
      </c>
      <c r="R5" s="184" t="n">
        <v>19646</v>
      </c>
      <c r="S5" s="186"/>
      <c r="T5" s="187"/>
      <c r="U5" s="187"/>
    </row>
    <row r="6" customFormat="false" ht="38.25" hidden="false" customHeight="true" outlineLevel="0" collapsed="false">
      <c r="A6" s="181" t="s">
        <v>3433</v>
      </c>
      <c r="B6" s="182" t="n">
        <v>923</v>
      </c>
      <c r="C6" s="183" t="s">
        <v>3434</v>
      </c>
      <c r="D6" s="181" t="s">
        <v>1509</v>
      </c>
      <c r="E6" s="181" t="s">
        <v>261</v>
      </c>
      <c r="F6" s="181" t="s">
        <v>262</v>
      </c>
      <c r="G6" s="181" t="s">
        <v>98</v>
      </c>
      <c r="H6" s="181" t="s">
        <v>263</v>
      </c>
      <c r="I6" s="181" t="s">
        <v>3425</v>
      </c>
      <c r="J6" s="268"/>
      <c r="K6" s="269" t="n">
        <v>46237</v>
      </c>
      <c r="L6" s="267" t="n">
        <f aca="false">15*Таблица247[[#This Row],[Вес нетто]]/279000</f>
        <v>1.08709677419355</v>
      </c>
      <c r="M6" s="270" t="n">
        <v>1</v>
      </c>
      <c r="N6" s="184" t="n">
        <v>35390</v>
      </c>
      <c r="O6" s="184" t="n">
        <v>15170</v>
      </c>
      <c r="P6" s="185" t="n">
        <v>7</v>
      </c>
      <c r="Q6" s="184" t="n">
        <v>20220</v>
      </c>
      <c r="R6" s="184" t="n">
        <v>18804.6</v>
      </c>
      <c r="S6" s="186"/>
      <c r="T6" s="187"/>
      <c r="U6" s="187"/>
    </row>
    <row r="7" customFormat="false" ht="38.25" hidden="false" customHeight="true" outlineLevel="0" collapsed="false">
      <c r="A7" s="181" t="s">
        <v>3435</v>
      </c>
      <c r="B7" s="182" t="n">
        <v>924</v>
      </c>
      <c r="C7" s="183" t="s">
        <v>3436</v>
      </c>
      <c r="D7" s="181" t="s">
        <v>1509</v>
      </c>
      <c r="E7" s="181" t="s">
        <v>3424</v>
      </c>
      <c r="F7" s="181" t="s">
        <v>1511</v>
      </c>
      <c r="G7" s="181" t="s">
        <v>98</v>
      </c>
      <c r="H7" s="181" t="s">
        <v>263</v>
      </c>
      <c r="I7" s="181" t="s">
        <v>3425</v>
      </c>
      <c r="J7" s="268"/>
      <c r="K7" s="269" t="n">
        <v>46237</v>
      </c>
      <c r="L7" s="267" t="n">
        <f aca="false">15*Таблица247[[#This Row],[Вес нетто]]/279000</f>
        <v>0.677956989247312</v>
      </c>
      <c r="M7" s="270" t="n">
        <v>1</v>
      </c>
      <c r="N7" s="184" t="n">
        <v>26820</v>
      </c>
      <c r="O7" s="184" t="n">
        <v>14210</v>
      </c>
      <c r="P7" s="185" t="n">
        <v>6</v>
      </c>
      <c r="Q7" s="184" t="n">
        <v>12610</v>
      </c>
      <c r="R7" s="184" t="n">
        <v>11853.4</v>
      </c>
      <c r="S7" s="186"/>
      <c r="T7" s="187"/>
      <c r="U7" s="187"/>
    </row>
    <row r="8" customFormat="false" ht="38.25" hidden="false" customHeight="true" outlineLevel="0" collapsed="false">
      <c r="A8" s="181" t="s">
        <v>3437</v>
      </c>
      <c r="B8" s="182" t="n">
        <v>925</v>
      </c>
      <c r="C8" s="183" t="n">
        <v>7</v>
      </c>
      <c r="D8" s="181" t="s">
        <v>1509</v>
      </c>
      <c r="E8" s="181" t="s">
        <v>332</v>
      </c>
      <c r="F8" s="181" t="s">
        <v>333</v>
      </c>
      <c r="G8" s="181" t="s">
        <v>98</v>
      </c>
      <c r="H8" s="181" t="s">
        <v>263</v>
      </c>
      <c r="I8" s="181" t="s">
        <v>3425</v>
      </c>
      <c r="J8" s="268"/>
      <c r="K8" s="269" t="n">
        <v>46237</v>
      </c>
      <c r="L8" s="267" t="n">
        <f aca="false">15*Таблица247[[#This Row],[Вес нетто]]/279000</f>
        <v>1.11666666666667</v>
      </c>
      <c r="M8" s="270" t="n">
        <v>1</v>
      </c>
      <c r="N8" s="184" t="n">
        <v>35680</v>
      </c>
      <c r="O8" s="184" t="n">
        <v>14910</v>
      </c>
      <c r="P8" s="185" t="n">
        <v>7</v>
      </c>
      <c r="Q8" s="184" t="n">
        <v>20770</v>
      </c>
      <c r="R8" s="184" t="n">
        <v>19316.1</v>
      </c>
      <c r="S8" s="186"/>
      <c r="T8" s="187"/>
      <c r="U8" s="187"/>
    </row>
    <row r="9" customFormat="false" ht="38.25" hidden="false" customHeight="true" outlineLevel="0" collapsed="false">
      <c r="A9" s="181" t="s">
        <v>3438</v>
      </c>
      <c r="B9" s="182" t="n">
        <v>927</v>
      </c>
      <c r="C9" s="183" t="n">
        <v>8</v>
      </c>
      <c r="D9" s="181" t="s">
        <v>1509</v>
      </c>
      <c r="E9" s="181" t="s">
        <v>261</v>
      </c>
      <c r="F9" s="181" t="s">
        <v>262</v>
      </c>
      <c r="G9" s="181" t="s">
        <v>98</v>
      </c>
      <c r="H9" s="181" t="s">
        <v>263</v>
      </c>
      <c r="I9" s="181" t="s">
        <v>3425</v>
      </c>
      <c r="J9" s="268"/>
      <c r="K9" s="269" t="n">
        <v>46237</v>
      </c>
      <c r="L9" s="267" t="n">
        <f aca="false">15*Таблица247[[#This Row],[Вес нетто]]/279000</f>
        <v>1.14462365591398</v>
      </c>
      <c r="M9" s="270" t="n">
        <v>1</v>
      </c>
      <c r="N9" s="184" t="n">
        <v>36460</v>
      </c>
      <c r="O9" s="184" t="n">
        <v>15170</v>
      </c>
      <c r="P9" s="185" t="n">
        <v>9</v>
      </c>
      <c r="Q9" s="184" t="n">
        <v>21290</v>
      </c>
      <c r="R9" s="184" t="n">
        <v>19373.9</v>
      </c>
      <c r="S9" s="186"/>
      <c r="T9" s="187"/>
      <c r="U9" s="187"/>
    </row>
    <row r="10" customFormat="false" ht="38.25" hidden="false" customHeight="true" outlineLevel="0" collapsed="false">
      <c r="A10" s="181" t="s">
        <v>3439</v>
      </c>
      <c r="B10" s="182" t="n">
        <v>929</v>
      </c>
      <c r="C10" s="183" t="n">
        <v>9</v>
      </c>
      <c r="D10" s="181" t="s">
        <v>1509</v>
      </c>
      <c r="E10" s="181" t="s">
        <v>3424</v>
      </c>
      <c r="F10" s="181" t="s">
        <v>1511</v>
      </c>
      <c r="G10" s="181" t="s">
        <v>98</v>
      </c>
      <c r="H10" s="181" t="s">
        <v>263</v>
      </c>
      <c r="I10" s="181" t="s">
        <v>3425</v>
      </c>
      <c r="J10" s="268"/>
      <c r="K10" s="269" t="n">
        <v>46237</v>
      </c>
      <c r="L10" s="267" t="n">
        <f aca="false">15*Таблица247[[#This Row],[Вес нетто]]/279000</f>
        <v>0.728494623655914</v>
      </c>
      <c r="M10" s="270" t="n">
        <v>1</v>
      </c>
      <c r="N10" s="184" t="n">
        <v>27770</v>
      </c>
      <c r="O10" s="184" t="n">
        <v>14220</v>
      </c>
      <c r="P10" s="185" t="n">
        <v>8</v>
      </c>
      <c r="Q10" s="184" t="n">
        <v>13550</v>
      </c>
      <c r="R10" s="184" t="n">
        <v>12466</v>
      </c>
      <c r="S10" s="186"/>
      <c r="T10" s="187"/>
      <c r="U10" s="187"/>
    </row>
    <row r="11" customFormat="false" ht="38.25" hidden="false" customHeight="true" outlineLevel="0" collapsed="false">
      <c r="A11" s="181" t="s">
        <v>3440</v>
      </c>
      <c r="B11" s="182" t="n">
        <v>930</v>
      </c>
      <c r="C11" s="183" t="n">
        <v>10</v>
      </c>
      <c r="D11" s="181" t="s">
        <v>1509</v>
      </c>
      <c r="E11" s="181" t="s">
        <v>332</v>
      </c>
      <c r="F11" s="181" t="s">
        <v>333</v>
      </c>
      <c r="G11" s="181" t="s">
        <v>98</v>
      </c>
      <c r="H11" s="181" t="s">
        <v>263</v>
      </c>
      <c r="I11" s="181" t="s">
        <v>3425</v>
      </c>
      <c r="J11" s="268"/>
      <c r="K11" s="269" t="n">
        <v>46237</v>
      </c>
      <c r="L11" s="267" t="n">
        <f aca="false">15*Таблица247[[#This Row],[Вес нетто]]/279000</f>
        <v>1.18118279569892</v>
      </c>
      <c r="M11" s="270" t="n">
        <v>1</v>
      </c>
      <c r="N11" s="184" t="n">
        <v>36850</v>
      </c>
      <c r="O11" s="184" t="n">
        <v>14880</v>
      </c>
      <c r="P11" s="185" t="n">
        <v>6</v>
      </c>
      <c r="Q11" s="184" t="n">
        <v>21970</v>
      </c>
      <c r="R11" s="184" t="n">
        <v>20651.8</v>
      </c>
      <c r="S11" s="186"/>
      <c r="T11" s="187"/>
      <c r="U11" s="187"/>
    </row>
    <row r="12" customFormat="false" ht="38.25" hidden="false" customHeight="true" outlineLevel="0" collapsed="false">
      <c r="A12" s="181" t="s">
        <v>3441</v>
      </c>
      <c r="B12" s="182" t="n">
        <v>931</v>
      </c>
      <c r="C12" s="183" t="n">
        <v>11</v>
      </c>
      <c r="D12" s="181" t="s">
        <v>1509</v>
      </c>
      <c r="E12" s="181" t="s">
        <v>261</v>
      </c>
      <c r="F12" s="181" t="s">
        <v>262</v>
      </c>
      <c r="G12" s="181" t="s">
        <v>98</v>
      </c>
      <c r="H12" s="181" t="s">
        <v>263</v>
      </c>
      <c r="I12" s="181" t="s">
        <v>3425</v>
      </c>
      <c r="J12" s="268"/>
      <c r="K12" s="269" t="n">
        <v>46237</v>
      </c>
      <c r="L12" s="267" t="n">
        <f aca="false">15*Таблица247[[#This Row],[Вес нетто]]/279000</f>
        <v>1.12311827956989</v>
      </c>
      <c r="M12" s="270" t="n">
        <v>1</v>
      </c>
      <c r="N12" s="184" t="n">
        <v>36050</v>
      </c>
      <c r="O12" s="184" t="n">
        <v>15160</v>
      </c>
      <c r="P12" s="185" t="n">
        <v>9</v>
      </c>
      <c r="Q12" s="184" t="n">
        <v>20890</v>
      </c>
      <c r="R12" s="184" t="n">
        <v>19009.9</v>
      </c>
      <c r="S12" s="186"/>
      <c r="T12" s="187"/>
      <c r="U12" s="187"/>
    </row>
    <row r="13" customFormat="false" ht="38.25" hidden="false" customHeight="true" outlineLevel="0" collapsed="false">
      <c r="A13" s="181" t="s">
        <v>3442</v>
      </c>
      <c r="B13" s="182" t="n">
        <v>933</v>
      </c>
      <c r="C13" s="183" t="n">
        <v>12</v>
      </c>
      <c r="D13" s="181" t="s">
        <v>1509</v>
      </c>
      <c r="E13" s="181" t="s">
        <v>3424</v>
      </c>
      <c r="F13" s="181" t="s">
        <v>1511</v>
      </c>
      <c r="G13" s="181" t="s">
        <v>98</v>
      </c>
      <c r="H13" s="181" t="s">
        <v>263</v>
      </c>
      <c r="I13" s="181" t="s">
        <v>3425</v>
      </c>
      <c r="J13" s="268"/>
      <c r="K13" s="269" t="n">
        <v>46237</v>
      </c>
      <c r="L13" s="267" t="n">
        <f aca="false">15*Таблица247[[#This Row],[Вес нетто]]/279000</f>
        <v>0.701075268817204</v>
      </c>
      <c r="M13" s="270" t="n">
        <v>1</v>
      </c>
      <c r="N13" s="184" t="n">
        <v>27260</v>
      </c>
      <c r="O13" s="184" t="n">
        <v>14220</v>
      </c>
      <c r="P13" s="185" t="n">
        <v>7</v>
      </c>
      <c r="Q13" s="184" t="n">
        <v>13040</v>
      </c>
      <c r="R13" s="184" t="n">
        <v>12127.2</v>
      </c>
      <c r="S13" s="186"/>
      <c r="T13" s="187"/>
      <c r="U13" s="187"/>
    </row>
    <row r="14" customFormat="false" ht="38.25" hidden="false" customHeight="true" outlineLevel="0" collapsed="false">
      <c r="A14" s="181" t="s">
        <v>3443</v>
      </c>
      <c r="B14" s="182" t="n">
        <v>934</v>
      </c>
      <c r="C14" s="183" t="n">
        <v>13</v>
      </c>
      <c r="D14" s="181" t="s">
        <v>1509</v>
      </c>
      <c r="E14" s="181" t="s">
        <v>332</v>
      </c>
      <c r="F14" s="181" t="s">
        <v>333</v>
      </c>
      <c r="G14" s="181" t="s">
        <v>98</v>
      </c>
      <c r="H14" s="181" t="s">
        <v>263</v>
      </c>
      <c r="I14" s="181" t="s">
        <v>3425</v>
      </c>
      <c r="J14" s="268"/>
      <c r="K14" s="269" t="n">
        <v>46237</v>
      </c>
      <c r="L14" s="267" t="n">
        <f aca="false">15*Таблица247[[#This Row],[Вес нетто]]/279000</f>
        <v>1.14731182795699</v>
      </c>
      <c r="M14" s="270" t="n">
        <v>1</v>
      </c>
      <c r="N14" s="184" t="n">
        <v>36220</v>
      </c>
      <c r="O14" s="184" t="n">
        <v>14880</v>
      </c>
      <c r="P14" s="185" t="n">
        <v>6</v>
      </c>
      <c r="Q14" s="184" t="n">
        <v>21340</v>
      </c>
      <c r="R14" s="184" t="n">
        <v>20059.6</v>
      </c>
      <c r="S14" s="186"/>
      <c r="T14" s="187"/>
      <c r="U14" s="187"/>
    </row>
    <row r="15" customFormat="false" ht="38.25" hidden="false" customHeight="true" outlineLevel="0" collapsed="false">
      <c r="A15" s="181" t="s">
        <v>3444</v>
      </c>
      <c r="B15" s="182" t="n">
        <v>935</v>
      </c>
      <c r="C15" s="183" t="n">
        <v>14</v>
      </c>
      <c r="D15" s="181" t="s">
        <v>1509</v>
      </c>
      <c r="E15" s="181" t="s">
        <v>261</v>
      </c>
      <c r="F15" s="181" t="s">
        <v>262</v>
      </c>
      <c r="G15" s="181" t="s">
        <v>98</v>
      </c>
      <c r="H15" s="181" t="s">
        <v>263</v>
      </c>
      <c r="I15" s="181" t="s">
        <v>3425</v>
      </c>
      <c r="J15" s="268"/>
      <c r="K15" s="269" t="n">
        <v>46237</v>
      </c>
      <c r="L15" s="267" t="n">
        <f aca="false">15*Таблица247[[#This Row],[Вес нетто]]/279000</f>
        <v>1.08655913978495</v>
      </c>
      <c r="M15" s="270" t="n">
        <v>1</v>
      </c>
      <c r="N15" s="184" t="n">
        <v>35400</v>
      </c>
      <c r="O15" s="184" t="n">
        <v>15190</v>
      </c>
      <c r="P15" s="185" t="n">
        <v>6</v>
      </c>
      <c r="Q15" s="184" t="n">
        <v>20210</v>
      </c>
      <c r="R15" s="184" t="n">
        <v>18997.4</v>
      </c>
      <c r="S15" s="186"/>
      <c r="T15" s="187"/>
      <c r="U15" s="187"/>
    </row>
    <row r="16" customFormat="false" ht="38.25" hidden="false" customHeight="true" outlineLevel="0" collapsed="false">
      <c r="A16" s="181" t="s">
        <v>3445</v>
      </c>
      <c r="B16" s="182" t="n">
        <v>937</v>
      </c>
      <c r="C16" s="183" t="n">
        <v>15</v>
      </c>
      <c r="D16" s="181" t="s">
        <v>1509</v>
      </c>
      <c r="E16" s="181" t="s">
        <v>3424</v>
      </c>
      <c r="F16" s="181" t="s">
        <v>1511</v>
      </c>
      <c r="G16" s="181" t="s">
        <v>98</v>
      </c>
      <c r="H16" s="181" t="s">
        <v>263</v>
      </c>
      <c r="I16" s="181" t="s">
        <v>3425</v>
      </c>
      <c r="J16" s="268"/>
      <c r="K16" s="269" t="n">
        <v>46237</v>
      </c>
      <c r="L16" s="267" t="n">
        <f aca="false">15*Таблица247[[#This Row],[Вес нетто]]/279000</f>
        <v>0.658064516129032</v>
      </c>
      <c r="M16" s="270" t="n">
        <v>1</v>
      </c>
      <c r="N16" s="184" t="n">
        <v>26450</v>
      </c>
      <c r="O16" s="184" t="n">
        <v>14210</v>
      </c>
      <c r="P16" s="185" t="n">
        <v>8</v>
      </c>
      <c r="Q16" s="184" t="n">
        <v>12240</v>
      </c>
      <c r="R16" s="184" t="n">
        <v>11260.8</v>
      </c>
      <c r="S16" s="186"/>
      <c r="T16" s="187"/>
      <c r="U16" s="187"/>
    </row>
    <row r="17" customFormat="false" ht="38.25" hidden="false" customHeight="true" outlineLevel="0" collapsed="false">
      <c r="A17" s="181" t="s">
        <v>3446</v>
      </c>
      <c r="B17" s="182" t="n">
        <v>938</v>
      </c>
      <c r="C17" s="183" t="n">
        <v>16</v>
      </c>
      <c r="D17" s="181" t="s">
        <v>1509</v>
      </c>
      <c r="E17" s="181" t="s">
        <v>332</v>
      </c>
      <c r="F17" s="181" t="s">
        <v>333</v>
      </c>
      <c r="G17" s="181" t="s">
        <v>98</v>
      </c>
      <c r="H17" s="181" t="s">
        <v>263</v>
      </c>
      <c r="I17" s="181" t="s">
        <v>3425</v>
      </c>
      <c r="J17" s="267"/>
      <c r="K17" s="269" t="n">
        <v>46237</v>
      </c>
      <c r="L17" s="267" t="n">
        <f aca="false">15*Таблица247[[#This Row],[Вес нетто]]/279000</f>
        <v>1.06559139784946</v>
      </c>
      <c r="M17" s="270" t="n">
        <v>1</v>
      </c>
      <c r="N17" s="184" t="n">
        <v>34690</v>
      </c>
      <c r="O17" s="184" t="n">
        <v>14870</v>
      </c>
      <c r="P17" s="185" t="n">
        <v>8</v>
      </c>
      <c r="Q17" s="184" t="n">
        <v>19820</v>
      </c>
      <c r="R17" s="184" t="n">
        <v>18234.4</v>
      </c>
      <c r="S17" s="184"/>
      <c r="T17" s="187"/>
      <c r="U17" s="187"/>
    </row>
    <row r="18" customFormat="false" ht="38.25" hidden="false" customHeight="true" outlineLevel="0" collapsed="false">
      <c r="A18" s="181" t="s">
        <v>3447</v>
      </c>
      <c r="B18" s="182" t="n">
        <v>940</v>
      </c>
      <c r="C18" s="183" t="n">
        <v>17</v>
      </c>
      <c r="D18" s="181" t="s">
        <v>1509</v>
      </c>
      <c r="E18" s="181" t="s">
        <v>261</v>
      </c>
      <c r="F18" s="181" t="s">
        <v>262</v>
      </c>
      <c r="G18" s="181" t="s">
        <v>98</v>
      </c>
      <c r="H18" s="181" t="s">
        <v>263</v>
      </c>
      <c r="I18" s="181" t="s">
        <v>3425</v>
      </c>
      <c r="J18" s="267"/>
      <c r="K18" s="269" t="n">
        <v>46238</v>
      </c>
      <c r="L18" s="267" t="n">
        <f aca="false">19*Таблица247[[#This Row],[Вес нетто]]/436590</f>
        <v>0.924345495774067</v>
      </c>
      <c r="M18" s="270" t="n">
        <v>2</v>
      </c>
      <c r="N18" s="184" t="n">
        <v>36390</v>
      </c>
      <c r="O18" s="184" t="n">
        <v>15150</v>
      </c>
      <c r="P18" s="185" t="n">
        <v>10</v>
      </c>
      <c r="Q18" s="184" t="n">
        <v>21240</v>
      </c>
      <c r="R18" s="184" t="n">
        <v>19116</v>
      </c>
      <c r="S18" s="184"/>
      <c r="T18" s="187"/>
      <c r="U18" s="187"/>
    </row>
    <row r="19" customFormat="false" ht="38.25" hidden="false" customHeight="true" outlineLevel="0" collapsed="false">
      <c r="A19" s="181" t="s">
        <v>3448</v>
      </c>
      <c r="B19" s="182" t="n">
        <v>942</v>
      </c>
      <c r="C19" s="183" t="n">
        <v>18</v>
      </c>
      <c r="D19" s="181" t="s">
        <v>1509</v>
      </c>
      <c r="E19" s="181" t="s">
        <v>1646</v>
      </c>
      <c r="F19" s="181" t="s">
        <v>1647</v>
      </c>
      <c r="G19" s="181" t="s">
        <v>98</v>
      </c>
      <c r="H19" s="181" t="s">
        <v>263</v>
      </c>
      <c r="I19" s="181" t="s">
        <v>3425</v>
      </c>
      <c r="J19" s="267"/>
      <c r="K19" s="269" t="n">
        <v>46238</v>
      </c>
      <c r="L19" s="267" t="n">
        <f aca="false">19*Таблица247[[#This Row],[Вес нетто]]/436590</f>
        <v>0.568359330264092</v>
      </c>
      <c r="M19" s="270" t="n">
        <v>2</v>
      </c>
      <c r="N19" s="184" t="n">
        <v>27460</v>
      </c>
      <c r="O19" s="184" t="n">
        <v>14400</v>
      </c>
      <c r="P19" s="185" t="n">
        <v>11</v>
      </c>
      <c r="Q19" s="184" t="n">
        <v>13060</v>
      </c>
      <c r="R19" s="184" t="n">
        <v>11623.4</v>
      </c>
      <c r="S19" s="184"/>
      <c r="T19" s="187"/>
      <c r="U19" s="187"/>
    </row>
    <row r="20" customFormat="false" ht="38.25" hidden="false" customHeight="true" outlineLevel="0" collapsed="false">
      <c r="A20" s="181" t="s">
        <v>3449</v>
      </c>
      <c r="B20" s="182" t="n">
        <v>943</v>
      </c>
      <c r="C20" s="183" t="n">
        <v>19</v>
      </c>
      <c r="D20" s="181" t="s">
        <v>1509</v>
      </c>
      <c r="E20" s="181" t="s">
        <v>288</v>
      </c>
      <c r="F20" s="181" t="s">
        <v>289</v>
      </c>
      <c r="G20" s="181" t="s">
        <v>98</v>
      </c>
      <c r="H20" s="181" t="s">
        <v>263</v>
      </c>
      <c r="I20" s="181" t="s">
        <v>3425</v>
      </c>
      <c r="J20" s="267"/>
      <c r="K20" s="269" t="n">
        <v>46238</v>
      </c>
      <c r="L20" s="267" t="n">
        <f aca="false">19*Таблица247[[#This Row],[Вес нетто]]/436590</f>
        <v>0.863853959092054</v>
      </c>
      <c r="M20" s="270" t="n">
        <v>2</v>
      </c>
      <c r="N20" s="184" t="n">
        <v>34170</v>
      </c>
      <c r="O20" s="184" t="n">
        <v>14320</v>
      </c>
      <c r="P20" s="185" t="n">
        <v>4</v>
      </c>
      <c r="Q20" s="184" t="n">
        <v>19850</v>
      </c>
      <c r="R20" s="184" t="n">
        <v>19056</v>
      </c>
      <c r="S20" s="184"/>
      <c r="T20" s="187"/>
      <c r="U20" s="187"/>
    </row>
    <row r="21" customFormat="false" ht="38.25" hidden="false" customHeight="true" outlineLevel="0" collapsed="false">
      <c r="A21" s="181" t="s">
        <v>3450</v>
      </c>
      <c r="B21" s="182" t="n">
        <v>944</v>
      </c>
      <c r="C21" s="183" t="n">
        <v>20</v>
      </c>
      <c r="D21" s="181" t="s">
        <v>1509</v>
      </c>
      <c r="E21" s="181" t="s">
        <v>277</v>
      </c>
      <c r="F21" s="181" t="s">
        <v>278</v>
      </c>
      <c r="G21" s="181" t="s">
        <v>98</v>
      </c>
      <c r="H21" s="181" t="s">
        <v>263</v>
      </c>
      <c r="I21" s="181" t="s">
        <v>3425</v>
      </c>
      <c r="J21" s="267"/>
      <c r="K21" s="269" t="n">
        <v>46238</v>
      </c>
      <c r="L21" s="267" t="n">
        <f aca="false">19*Таблица247[[#This Row],[Вес нетто]]/436590</f>
        <v>1.08362536933966</v>
      </c>
      <c r="M21" s="270" t="n">
        <v>2</v>
      </c>
      <c r="N21" s="184" t="n">
        <v>39970</v>
      </c>
      <c r="O21" s="184" t="n">
        <v>15070</v>
      </c>
      <c r="P21" s="185" t="n">
        <v>6</v>
      </c>
      <c r="Q21" s="184" t="n">
        <v>24900</v>
      </c>
      <c r="R21" s="184" t="n">
        <v>23406</v>
      </c>
      <c r="S21" s="184"/>
      <c r="T21" s="187"/>
      <c r="U21" s="187"/>
    </row>
    <row r="22" customFormat="false" ht="38.25" hidden="false" customHeight="true" outlineLevel="0" collapsed="false">
      <c r="A22" s="181" t="s">
        <v>3451</v>
      </c>
      <c r="B22" s="182" t="n">
        <v>946</v>
      </c>
      <c r="C22" s="183" t="n">
        <v>21</v>
      </c>
      <c r="D22" s="181" t="s">
        <v>1509</v>
      </c>
      <c r="E22" s="181" t="s">
        <v>266</v>
      </c>
      <c r="F22" s="181" t="s">
        <v>267</v>
      </c>
      <c r="G22" s="181" t="s">
        <v>98</v>
      </c>
      <c r="H22" s="181" t="s">
        <v>263</v>
      </c>
      <c r="I22" s="181" t="s">
        <v>3425</v>
      </c>
      <c r="J22" s="267"/>
      <c r="K22" s="269" t="n">
        <v>46238</v>
      </c>
      <c r="L22" s="267" t="n">
        <f aca="false">19*Таблица247[[#This Row],[Вес нетто]]/436590</f>
        <v>0.970040541469113</v>
      </c>
      <c r="M22" s="270" t="n">
        <v>2</v>
      </c>
      <c r="N22" s="184" t="n">
        <v>37620</v>
      </c>
      <c r="O22" s="184" t="n">
        <v>15330</v>
      </c>
      <c r="P22" s="185" t="n">
        <v>4</v>
      </c>
      <c r="Q22" s="184" t="n">
        <v>22290</v>
      </c>
      <c r="R22" s="184" t="n">
        <v>21398.4</v>
      </c>
      <c r="S22" s="184"/>
      <c r="T22" s="187"/>
      <c r="U22" s="187"/>
    </row>
    <row r="23" customFormat="false" ht="38.25" hidden="false" customHeight="true" outlineLevel="0" collapsed="false">
      <c r="A23" s="181" t="s">
        <v>3452</v>
      </c>
      <c r="B23" s="182" t="n">
        <v>947</v>
      </c>
      <c r="C23" s="183" t="n">
        <v>22</v>
      </c>
      <c r="D23" s="181" t="s">
        <v>1509</v>
      </c>
      <c r="E23" s="181" t="s">
        <v>1646</v>
      </c>
      <c r="F23" s="181" t="s">
        <v>1647</v>
      </c>
      <c r="G23" s="181" t="s">
        <v>98</v>
      </c>
      <c r="H23" s="181" t="s">
        <v>263</v>
      </c>
      <c r="I23" s="181" t="s">
        <v>3425</v>
      </c>
      <c r="J23" s="267"/>
      <c r="K23" s="269" t="n">
        <v>46238</v>
      </c>
      <c r="L23" s="267" t="n">
        <f aca="false">19*Таблица247[[#This Row],[Вес нетто]]/436590</f>
        <v>0.586202157630729</v>
      </c>
      <c r="M23" s="270" t="n">
        <v>2</v>
      </c>
      <c r="N23" s="184" t="n">
        <v>27880</v>
      </c>
      <c r="O23" s="184" t="n">
        <v>14410</v>
      </c>
      <c r="P23" s="185" t="n">
        <v>3</v>
      </c>
      <c r="Q23" s="184" t="n">
        <v>13470</v>
      </c>
      <c r="R23" s="184" t="n">
        <v>13065.9</v>
      </c>
      <c r="S23" s="184"/>
      <c r="T23" s="187"/>
      <c r="U23" s="187"/>
    </row>
    <row r="24" customFormat="false" ht="38.25" hidden="false" customHeight="true" outlineLevel="0" collapsed="false">
      <c r="A24" s="181" t="s">
        <v>3453</v>
      </c>
      <c r="B24" s="182" t="n">
        <v>949</v>
      </c>
      <c r="C24" s="183" t="n">
        <v>23</v>
      </c>
      <c r="D24" s="181" t="s">
        <v>1509</v>
      </c>
      <c r="E24" s="181" t="s">
        <v>288</v>
      </c>
      <c r="F24" s="181" t="s">
        <v>289</v>
      </c>
      <c r="G24" s="181" t="s">
        <v>98</v>
      </c>
      <c r="H24" s="181" t="s">
        <v>263</v>
      </c>
      <c r="I24" s="181" t="s">
        <v>3425</v>
      </c>
      <c r="J24" s="267"/>
      <c r="K24" s="269" t="n">
        <v>46238</v>
      </c>
      <c r="L24" s="267" t="n">
        <f aca="false">19*Таблица247[[#This Row],[Вес нетто]]/436590</f>
        <v>0.928697404887881</v>
      </c>
      <c r="M24" s="270" t="n">
        <v>2</v>
      </c>
      <c r="N24" s="184" t="n">
        <v>35810</v>
      </c>
      <c r="O24" s="184" t="n">
        <v>14470</v>
      </c>
      <c r="P24" s="185" t="n">
        <v>14</v>
      </c>
      <c r="Q24" s="184" t="n">
        <v>21340</v>
      </c>
      <c r="R24" s="184" t="n">
        <v>18352.4</v>
      </c>
      <c r="S24" s="184"/>
      <c r="T24" s="187"/>
      <c r="U24" s="187"/>
    </row>
    <row r="25" customFormat="false" ht="38.25" hidden="false" customHeight="true" outlineLevel="0" collapsed="false">
      <c r="A25" s="181" t="s">
        <v>3454</v>
      </c>
      <c r="B25" s="182" t="n">
        <v>950</v>
      </c>
      <c r="C25" s="183" t="n">
        <v>24</v>
      </c>
      <c r="D25" s="181" t="s">
        <v>1509</v>
      </c>
      <c r="E25" s="181" t="s">
        <v>277</v>
      </c>
      <c r="F25" s="181" t="s">
        <v>278</v>
      </c>
      <c r="G25" s="181" t="s">
        <v>98</v>
      </c>
      <c r="H25" s="181" t="s">
        <v>263</v>
      </c>
      <c r="I25" s="181" t="s">
        <v>3425</v>
      </c>
      <c r="J25" s="267"/>
      <c r="K25" s="269" t="n">
        <v>46238</v>
      </c>
      <c r="L25" s="267" t="n">
        <f aca="false">19*Таблица247[[#This Row],[Вес нетто]]/436590</f>
        <v>1.09494033303557</v>
      </c>
      <c r="M25" s="270" t="n">
        <v>2</v>
      </c>
      <c r="N25" s="184" t="n">
        <v>40230</v>
      </c>
      <c r="O25" s="184" t="n">
        <v>15070</v>
      </c>
      <c r="P25" s="185" t="n">
        <v>5</v>
      </c>
      <c r="Q25" s="184" t="n">
        <v>25160</v>
      </c>
      <c r="R25" s="184" t="n">
        <v>23902</v>
      </c>
      <c r="S25" s="184"/>
      <c r="T25" s="187"/>
      <c r="U25" s="187"/>
    </row>
    <row r="26" customFormat="false" ht="38.25" hidden="false" customHeight="true" outlineLevel="0" collapsed="false">
      <c r="A26" s="181" t="s">
        <v>3455</v>
      </c>
      <c r="B26" s="182" t="n">
        <v>952</v>
      </c>
      <c r="C26" s="183" t="n">
        <v>26</v>
      </c>
      <c r="D26" s="181" t="s">
        <v>1509</v>
      </c>
      <c r="E26" s="181" t="s">
        <v>1646</v>
      </c>
      <c r="F26" s="181" t="s">
        <v>1647</v>
      </c>
      <c r="G26" s="181" t="s">
        <v>98</v>
      </c>
      <c r="H26" s="181" t="s">
        <v>263</v>
      </c>
      <c r="I26" s="181" t="s">
        <v>3425</v>
      </c>
      <c r="J26" s="267"/>
      <c r="K26" s="269" t="n">
        <v>46238</v>
      </c>
      <c r="L26" s="267" t="n">
        <f aca="false">19*Таблица247[[#This Row],[Вес нетто]]/436590</f>
        <v>0.567488948441329</v>
      </c>
      <c r="M26" s="270" t="n">
        <v>2</v>
      </c>
      <c r="N26" s="184" t="n">
        <v>27470</v>
      </c>
      <c r="O26" s="184" t="n">
        <v>14430</v>
      </c>
      <c r="P26" s="185" t="n">
        <v>8</v>
      </c>
      <c r="Q26" s="184" t="n">
        <v>13040</v>
      </c>
      <c r="R26" s="184" t="n">
        <v>11996.8</v>
      </c>
      <c r="S26" s="184"/>
      <c r="T26" s="187"/>
      <c r="U26" s="187"/>
    </row>
    <row r="27" customFormat="false" ht="38.25" hidden="false" customHeight="true" outlineLevel="0" collapsed="false">
      <c r="A27" s="181" t="s">
        <v>3456</v>
      </c>
      <c r="B27" s="182" t="n">
        <v>951</v>
      </c>
      <c r="C27" s="183" t="n">
        <v>25</v>
      </c>
      <c r="D27" s="181" t="s">
        <v>1509</v>
      </c>
      <c r="E27" s="181" t="s">
        <v>266</v>
      </c>
      <c r="F27" s="181" t="s">
        <v>267</v>
      </c>
      <c r="G27" s="181" t="s">
        <v>98</v>
      </c>
      <c r="H27" s="181" t="s">
        <v>263</v>
      </c>
      <c r="I27" s="181" t="s">
        <v>3425</v>
      </c>
      <c r="J27" s="267"/>
      <c r="K27" s="269" t="n">
        <v>46238</v>
      </c>
      <c r="L27" s="267" t="n">
        <f aca="false">19*Таблица247[[#This Row],[Вес нетто]]/436590</f>
        <v>0.95045695045695</v>
      </c>
      <c r="M27" s="270" t="n">
        <v>2</v>
      </c>
      <c r="N27" s="184" t="n">
        <v>37150</v>
      </c>
      <c r="O27" s="184" t="n">
        <v>15310</v>
      </c>
      <c r="P27" s="185" t="n">
        <v>6</v>
      </c>
      <c r="Q27" s="184" t="n">
        <v>21840</v>
      </c>
      <c r="R27" s="184" t="n">
        <v>20529.6</v>
      </c>
      <c r="S27" s="184"/>
      <c r="T27" s="187"/>
      <c r="U27" s="187"/>
    </row>
    <row r="28" customFormat="false" ht="38.25" hidden="false" customHeight="true" outlineLevel="0" collapsed="false">
      <c r="A28" s="181" t="s">
        <v>3457</v>
      </c>
      <c r="B28" s="182" t="n">
        <v>955</v>
      </c>
      <c r="C28" s="183" t="n">
        <v>27</v>
      </c>
      <c r="D28" s="181" t="s">
        <v>1509</v>
      </c>
      <c r="E28" s="181" t="s">
        <v>288</v>
      </c>
      <c r="F28" s="181" t="s">
        <v>289</v>
      </c>
      <c r="G28" s="181" t="s">
        <v>3414</v>
      </c>
      <c r="H28" s="181" t="s">
        <v>263</v>
      </c>
      <c r="I28" s="181" t="s">
        <v>3425</v>
      </c>
      <c r="J28" s="267"/>
      <c r="K28" s="269" t="n">
        <v>46238</v>
      </c>
      <c r="L28" s="267" t="n">
        <f aca="false">1.5*Таблица247[[#This Row],[Вес нетто]]/30550</f>
        <v>1.19263502454992</v>
      </c>
      <c r="M28" s="270" t="n">
        <v>2</v>
      </c>
      <c r="N28" s="184" t="n">
        <v>38760</v>
      </c>
      <c r="O28" s="184" t="n">
        <v>14470</v>
      </c>
      <c r="P28" s="185" t="n">
        <v>17</v>
      </c>
      <c r="Q28" s="184" t="n">
        <v>24290</v>
      </c>
      <c r="R28" s="184" t="n">
        <v>20160.7</v>
      </c>
      <c r="S28" s="184"/>
      <c r="T28" s="187"/>
      <c r="U28" s="187"/>
    </row>
    <row r="29" customFormat="false" ht="38.25" hidden="false" customHeight="true" outlineLevel="0" collapsed="false">
      <c r="A29" s="181" t="s">
        <v>3458</v>
      </c>
      <c r="B29" s="182" t="n">
        <v>956</v>
      </c>
      <c r="C29" s="183" t="n">
        <v>28</v>
      </c>
      <c r="D29" s="181" t="s">
        <v>1509</v>
      </c>
      <c r="E29" s="181" t="s">
        <v>1646</v>
      </c>
      <c r="F29" s="181" t="s">
        <v>1647</v>
      </c>
      <c r="G29" s="181" t="s">
        <v>98</v>
      </c>
      <c r="H29" s="181" t="s">
        <v>263</v>
      </c>
      <c r="I29" s="181" t="s">
        <v>3425</v>
      </c>
      <c r="J29" s="267"/>
      <c r="K29" s="269" t="n">
        <v>46238</v>
      </c>
      <c r="L29" s="267" t="n">
        <f aca="false">19*Таблица247[[#This Row],[Вес нетто]]/436590</f>
        <v>0.282003710575139</v>
      </c>
      <c r="M29" s="270" t="n">
        <v>2</v>
      </c>
      <c r="N29" s="184" t="n">
        <v>27170</v>
      </c>
      <c r="O29" s="184" t="n">
        <v>20690</v>
      </c>
      <c r="P29" s="185" t="n">
        <v>9</v>
      </c>
      <c r="Q29" s="184" t="n">
        <v>6480</v>
      </c>
      <c r="R29" s="184" t="n">
        <v>5896.8</v>
      </c>
      <c r="S29" s="184"/>
      <c r="T29" s="187"/>
      <c r="U29" s="187"/>
    </row>
    <row r="30" customFormat="false" ht="38.25" hidden="false" customHeight="true" outlineLevel="0" collapsed="false">
      <c r="A30" s="181" t="s">
        <v>3459</v>
      </c>
      <c r="B30" s="182" t="n">
        <v>959</v>
      </c>
      <c r="C30" s="183" t="n">
        <v>28</v>
      </c>
      <c r="D30" s="181" t="s">
        <v>1509</v>
      </c>
      <c r="E30" s="181" t="s">
        <v>1646</v>
      </c>
      <c r="F30" s="181" t="s">
        <v>1647</v>
      </c>
      <c r="G30" s="181" t="s">
        <v>3414</v>
      </c>
      <c r="H30" s="181" t="s">
        <v>263</v>
      </c>
      <c r="I30" s="181" t="s">
        <v>3425</v>
      </c>
      <c r="J30" s="267"/>
      <c r="K30" s="269" t="n">
        <v>46238</v>
      </c>
      <c r="L30" s="267" t="n">
        <f aca="false">1.5*Таблица247[[#This Row],[Вес нетто]]/30550</f>
        <v>0.307364975450082</v>
      </c>
      <c r="M30" s="270" t="n">
        <v>2</v>
      </c>
      <c r="N30" s="184" t="n">
        <v>20690</v>
      </c>
      <c r="O30" s="184" t="n">
        <v>14430</v>
      </c>
      <c r="P30" s="185" t="n">
        <v>7</v>
      </c>
      <c r="Q30" s="184" t="n">
        <v>6260</v>
      </c>
      <c r="R30" s="184" t="n">
        <v>5821.8</v>
      </c>
      <c r="S30" s="184"/>
      <c r="T30" s="187"/>
      <c r="U30" s="187"/>
    </row>
    <row r="31" customFormat="false" ht="38.25" hidden="false" customHeight="true" outlineLevel="0" collapsed="false">
      <c r="A31" s="181" t="s">
        <v>3460</v>
      </c>
      <c r="B31" s="182" t="n">
        <v>957</v>
      </c>
      <c r="C31" s="183" t="n">
        <v>29</v>
      </c>
      <c r="D31" s="181" t="s">
        <v>1509</v>
      </c>
      <c r="E31" s="181" t="s">
        <v>277</v>
      </c>
      <c r="F31" s="181" t="s">
        <v>278</v>
      </c>
      <c r="G31" s="181" t="s">
        <v>98</v>
      </c>
      <c r="H31" s="181" t="s">
        <v>263</v>
      </c>
      <c r="I31" s="181" t="s">
        <v>3425</v>
      </c>
      <c r="J31" s="267"/>
      <c r="K31" s="269" t="n">
        <v>46238</v>
      </c>
      <c r="L31" s="267" t="n">
        <f aca="false">19*Таблица247[[#This Row],[Вес нетто]]/436590</f>
        <v>1.12627407865503</v>
      </c>
      <c r="M31" s="270" t="n">
        <v>2</v>
      </c>
      <c r="N31" s="184" t="n">
        <v>40950</v>
      </c>
      <c r="O31" s="184" t="n">
        <v>15070</v>
      </c>
      <c r="P31" s="185" t="n">
        <v>7</v>
      </c>
      <c r="Q31" s="184" t="n">
        <v>25880</v>
      </c>
      <c r="R31" s="184" t="n">
        <v>24068.4</v>
      </c>
      <c r="S31" s="184"/>
      <c r="T31" s="187"/>
      <c r="U31" s="187"/>
    </row>
    <row r="32" customFormat="false" ht="38.25" hidden="false" customHeight="true" outlineLevel="0" collapsed="false">
      <c r="A32" s="181" t="s">
        <v>3461</v>
      </c>
      <c r="B32" s="182" t="n">
        <v>963</v>
      </c>
      <c r="C32" s="183" t="n">
        <v>33</v>
      </c>
      <c r="D32" s="181" t="s">
        <v>1509</v>
      </c>
      <c r="E32" s="181" t="s">
        <v>277</v>
      </c>
      <c r="F32" s="181" t="s">
        <v>278</v>
      </c>
      <c r="G32" s="181" t="s">
        <v>98</v>
      </c>
      <c r="H32" s="181" t="s">
        <v>263</v>
      </c>
      <c r="I32" s="181" t="s">
        <v>3425</v>
      </c>
      <c r="J32" s="267"/>
      <c r="K32" s="269" t="n">
        <v>46238</v>
      </c>
      <c r="L32" s="267" t="n">
        <f aca="false">19*Таблица247[[#This Row],[Вес нетто]]/436590</f>
        <v>0.96917015964635</v>
      </c>
      <c r="M32" s="270" t="n">
        <v>2</v>
      </c>
      <c r="N32" s="184" t="n">
        <v>37330</v>
      </c>
      <c r="O32" s="184" t="n">
        <v>15060</v>
      </c>
      <c r="P32" s="185" t="n">
        <v>7</v>
      </c>
      <c r="Q32" s="184" t="n">
        <v>22270</v>
      </c>
      <c r="R32" s="184" t="n">
        <v>20711.1</v>
      </c>
      <c r="S32" s="184"/>
      <c r="T32" s="187"/>
      <c r="U32" s="187"/>
    </row>
    <row r="33" customFormat="false" ht="38.25" hidden="false" customHeight="true" outlineLevel="0" collapsed="false">
      <c r="A33" s="181" t="s">
        <v>3462</v>
      </c>
      <c r="B33" s="182" t="n">
        <v>960</v>
      </c>
      <c r="C33" s="183" t="n">
        <v>30</v>
      </c>
      <c r="D33" s="181" t="s">
        <v>1509</v>
      </c>
      <c r="E33" s="181" t="s">
        <v>266</v>
      </c>
      <c r="F33" s="181" t="s">
        <v>267</v>
      </c>
      <c r="G33" s="181" t="s">
        <v>98</v>
      </c>
      <c r="H33" s="181" t="s">
        <v>263</v>
      </c>
      <c r="I33" s="181" t="s">
        <v>3425</v>
      </c>
      <c r="J33" s="267"/>
      <c r="K33" s="269" t="n">
        <v>46238</v>
      </c>
      <c r="L33" s="267" t="n">
        <f aca="false">19*Таблица247[[#This Row],[Вес нетто]]/436590</f>
        <v>0.973086877848783</v>
      </c>
      <c r="M33" s="270" t="n">
        <v>2</v>
      </c>
      <c r="N33" s="184" t="n">
        <v>37660</v>
      </c>
      <c r="O33" s="184" t="n">
        <v>15300</v>
      </c>
      <c r="P33" s="185" t="n">
        <v>4</v>
      </c>
      <c r="Q33" s="184" t="n">
        <v>22360</v>
      </c>
      <c r="R33" s="184" t="n">
        <v>21465.6</v>
      </c>
      <c r="S33" s="184"/>
      <c r="T33" s="187"/>
      <c r="U33" s="187"/>
    </row>
    <row r="34" customFormat="false" ht="38.25" hidden="false" customHeight="true" outlineLevel="0" collapsed="false">
      <c r="A34" s="181" t="s">
        <v>3463</v>
      </c>
      <c r="B34" s="182" t="n">
        <v>961</v>
      </c>
      <c r="C34" s="183" t="n">
        <v>31</v>
      </c>
      <c r="D34" s="181" t="s">
        <v>1509</v>
      </c>
      <c r="E34" s="181" t="s">
        <v>288</v>
      </c>
      <c r="F34" s="181" t="s">
        <v>289</v>
      </c>
      <c r="G34" s="181" t="s">
        <v>98</v>
      </c>
      <c r="H34" s="181" t="s">
        <v>263</v>
      </c>
      <c r="I34" s="181" t="s">
        <v>3425</v>
      </c>
      <c r="J34" s="267"/>
      <c r="K34" s="269" t="n">
        <v>46238</v>
      </c>
      <c r="L34" s="267" t="n">
        <f aca="false">19*Таблица247[[#This Row],[Вес нетто]]/436590</f>
        <v>1.01573558716416</v>
      </c>
      <c r="M34" s="270" t="n">
        <v>2</v>
      </c>
      <c r="N34" s="184" t="n">
        <v>37800</v>
      </c>
      <c r="O34" s="184" t="n">
        <v>14460</v>
      </c>
      <c r="P34" s="185" t="n">
        <v>4</v>
      </c>
      <c r="Q34" s="184" t="n">
        <v>23340</v>
      </c>
      <c r="R34" s="184" t="n">
        <v>22406.4</v>
      </c>
      <c r="S34" s="184"/>
      <c r="T34" s="187"/>
      <c r="U34" s="187"/>
    </row>
    <row r="35" customFormat="false" ht="38.25" hidden="false" customHeight="true" outlineLevel="0" collapsed="false">
      <c r="A35" s="181" t="s">
        <v>3464</v>
      </c>
      <c r="B35" s="182" t="n">
        <v>962</v>
      </c>
      <c r="C35" s="183" t="n">
        <v>32</v>
      </c>
      <c r="D35" s="181" t="s">
        <v>1509</v>
      </c>
      <c r="E35" s="181" t="s">
        <v>1646</v>
      </c>
      <c r="F35" s="181" t="s">
        <v>1647</v>
      </c>
      <c r="G35" s="181" t="s">
        <v>98</v>
      </c>
      <c r="H35" s="181" t="s">
        <v>263</v>
      </c>
      <c r="I35" s="181" t="s">
        <v>3425</v>
      </c>
      <c r="J35" s="267"/>
      <c r="K35" s="269" t="n">
        <v>46238</v>
      </c>
      <c r="L35" s="267" t="n">
        <f aca="false">19*Таблица247[[#This Row],[Вес нетто]]/436590</f>
        <v>0.519182757277995</v>
      </c>
      <c r="M35" s="270" t="n">
        <v>2</v>
      </c>
      <c r="N35" s="184" t="n">
        <v>26350</v>
      </c>
      <c r="O35" s="184" t="n">
        <v>14420</v>
      </c>
      <c r="P35" s="185" t="n">
        <v>4</v>
      </c>
      <c r="Q35" s="184" t="n">
        <v>11930</v>
      </c>
      <c r="R35" s="184" t="n">
        <v>11452.8</v>
      </c>
      <c r="S35" s="184"/>
      <c r="T35" s="187"/>
      <c r="U35" s="187"/>
    </row>
    <row r="36" customFormat="false" ht="38.25" hidden="false" customHeight="true" outlineLevel="0" collapsed="false">
      <c r="A36" s="181" t="s">
        <v>3465</v>
      </c>
      <c r="B36" s="182" t="n">
        <v>964</v>
      </c>
      <c r="C36" s="183" t="n">
        <v>34</v>
      </c>
      <c r="D36" s="181" t="s">
        <v>1509</v>
      </c>
      <c r="E36" s="181" t="s">
        <v>266</v>
      </c>
      <c r="F36" s="181" t="s">
        <v>267</v>
      </c>
      <c r="G36" s="181" t="s">
        <v>98</v>
      </c>
      <c r="H36" s="181" t="s">
        <v>263</v>
      </c>
      <c r="I36" s="181" t="s">
        <v>3425</v>
      </c>
      <c r="J36" s="267"/>
      <c r="K36" s="269" t="n">
        <v>46238</v>
      </c>
      <c r="L36" s="267" t="n">
        <f aca="false">19*Таблица247[[#This Row],[Вес нетто]]/436590</f>
        <v>0.994411232506471</v>
      </c>
      <c r="M36" s="270" t="n">
        <v>2</v>
      </c>
      <c r="N36" s="184" t="n">
        <v>38150</v>
      </c>
      <c r="O36" s="184" t="n">
        <v>15300</v>
      </c>
      <c r="P36" s="185" t="n">
        <v>9</v>
      </c>
      <c r="Q36" s="184" t="n">
        <v>22850</v>
      </c>
      <c r="R36" s="184" t="n">
        <v>20793.5</v>
      </c>
      <c r="S36" s="184"/>
      <c r="T36" s="187"/>
    </row>
    <row r="37" customFormat="false" ht="38.25" hidden="false" customHeight="true" outlineLevel="0" collapsed="false">
      <c r="A37" s="181" t="s">
        <v>3466</v>
      </c>
      <c r="B37" s="182" t="n">
        <v>966</v>
      </c>
      <c r="C37" s="183" t="n">
        <v>35</v>
      </c>
      <c r="D37" s="181" t="s">
        <v>1509</v>
      </c>
      <c r="E37" s="181" t="s">
        <v>288</v>
      </c>
      <c r="F37" s="181" t="s">
        <v>289</v>
      </c>
      <c r="G37" s="181" t="s">
        <v>98</v>
      </c>
      <c r="H37" s="181" t="s">
        <v>263</v>
      </c>
      <c r="I37" s="181" t="s">
        <v>3425</v>
      </c>
      <c r="J37" s="267"/>
      <c r="K37" s="269" t="n">
        <v>46238</v>
      </c>
      <c r="L37" s="267" t="n">
        <f aca="false">19*Таблица247[[#This Row],[Вес нетто]]/436590</f>
        <v>0.962207105064248</v>
      </c>
      <c r="M37" s="270" t="n">
        <v>2</v>
      </c>
      <c r="N37" s="184" t="n">
        <v>36540</v>
      </c>
      <c r="O37" s="184" t="n">
        <v>14430</v>
      </c>
      <c r="P37" s="185" t="n">
        <v>7</v>
      </c>
      <c r="Q37" s="184" t="n">
        <v>22110</v>
      </c>
      <c r="R37" s="184" t="n">
        <v>20562.3</v>
      </c>
      <c r="S37" s="184"/>
      <c r="T37" s="187"/>
    </row>
    <row r="38" customFormat="false" ht="38.25" hidden="false" customHeight="true" outlineLevel="0" collapsed="false">
      <c r="A38" s="181" t="s">
        <v>3467</v>
      </c>
      <c r="B38" s="182" t="n">
        <v>967</v>
      </c>
      <c r="C38" s="183" t="n">
        <v>36</v>
      </c>
      <c r="D38" s="181" t="s">
        <v>1509</v>
      </c>
      <c r="E38" s="181" t="s">
        <v>1646</v>
      </c>
      <c r="F38" s="181" t="s">
        <v>1647</v>
      </c>
      <c r="G38" s="181" t="s">
        <v>98</v>
      </c>
      <c r="H38" s="181" t="s">
        <v>263</v>
      </c>
      <c r="I38" s="181" t="s">
        <v>3425</v>
      </c>
      <c r="J38" s="267"/>
      <c r="K38" s="269" t="n">
        <v>46238</v>
      </c>
      <c r="L38" s="267" t="n">
        <f aca="false">19*Таблица247[[#This Row],[Вес нетто]]/436590</f>
        <v>0.550951693808837</v>
      </c>
      <c r="M38" s="270" t="n">
        <v>2</v>
      </c>
      <c r="N38" s="184" t="n">
        <v>27070</v>
      </c>
      <c r="O38" s="184" t="n">
        <v>14410</v>
      </c>
      <c r="P38" s="185" t="n">
        <v>4</v>
      </c>
      <c r="Q38" s="184" t="n">
        <v>12660</v>
      </c>
      <c r="R38" s="184" t="n">
        <v>12153.6</v>
      </c>
      <c r="S38" s="184"/>
      <c r="T38" s="187"/>
    </row>
    <row r="39" customFormat="false" ht="38.25" hidden="false" customHeight="true" outlineLevel="0" collapsed="false">
      <c r="A39" s="181" t="s">
        <v>3468</v>
      </c>
      <c r="B39" s="182" t="n">
        <v>970</v>
      </c>
      <c r="C39" s="183" t="n">
        <v>39</v>
      </c>
      <c r="D39" s="181" t="s">
        <v>1509</v>
      </c>
      <c r="E39" s="181" t="s">
        <v>323</v>
      </c>
      <c r="F39" s="181" t="s">
        <v>289</v>
      </c>
      <c r="G39" s="181" t="s">
        <v>98</v>
      </c>
      <c r="H39" s="181" t="s">
        <v>263</v>
      </c>
      <c r="I39" s="181" t="s">
        <v>3425</v>
      </c>
      <c r="J39" s="267"/>
      <c r="K39" s="269" t="n">
        <v>46238</v>
      </c>
      <c r="L39" s="267" t="n">
        <f aca="false">19*Таблица247[[#This Row],[Вес нетто]]/436590</f>
        <v>0.558785130213702</v>
      </c>
      <c r="M39" s="270" t="n">
        <v>2</v>
      </c>
      <c r="N39" s="184" t="n">
        <v>37790</v>
      </c>
      <c r="O39" s="184" t="n">
        <v>24950</v>
      </c>
      <c r="P39" s="185" t="n">
        <v>5</v>
      </c>
      <c r="Q39" s="184" t="n">
        <v>12840</v>
      </c>
      <c r="R39" s="184" t="n">
        <v>12198</v>
      </c>
      <c r="S39" s="184"/>
      <c r="T39" s="187"/>
    </row>
    <row r="40" customFormat="false" ht="38.25" hidden="false" customHeight="true" outlineLevel="0" collapsed="false">
      <c r="A40" s="181" t="s">
        <v>3469</v>
      </c>
      <c r="B40" s="182" t="n">
        <v>968</v>
      </c>
      <c r="C40" s="183" t="n">
        <v>37</v>
      </c>
      <c r="D40" s="181" t="s">
        <v>1509</v>
      </c>
      <c r="E40" s="181" t="s">
        <v>277</v>
      </c>
      <c r="F40" s="181" t="s">
        <v>278</v>
      </c>
      <c r="G40" s="181" t="s">
        <v>98</v>
      </c>
      <c r="H40" s="181" t="s">
        <v>263</v>
      </c>
      <c r="I40" s="181" t="s">
        <v>3425</v>
      </c>
      <c r="J40" s="267"/>
      <c r="K40" s="269" t="n">
        <v>46238</v>
      </c>
      <c r="L40" s="267" t="n">
        <f aca="false">19*Таблица247[[#This Row],[Вес нетто]]/436590</f>
        <v>1.00398543255686</v>
      </c>
      <c r="M40" s="270" t="n">
        <v>2</v>
      </c>
      <c r="N40" s="184" t="n">
        <v>38220</v>
      </c>
      <c r="O40" s="184" t="n">
        <v>15150</v>
      </c>
      <c r="P40" s="185" t="n">
        <v>3</v>
      </c>
      <c r="Q40" s="184" t="n">
        <v>23070</v>
      </c>
      <c r="R40" s="184" t="n">
        <v>22377.9</v>
      </c>
      <c r="S40" s="184"/>
      <c r="T40" s="187"/>
    </row>
    <row r="41" customFormat="false" ht="38.25" hidden="false" customHeight="true" outlineLevel="0" collapsed="false">
      <c r="A41" s="181" t="s">
        <v>3470</v>
      </c>
      <c r="B41" s="182" t="n">
        <v>969</v>
      </c>
      <c r="C41" s="183" t="n">
        <v>38</v>
      </c>
      <c r="D41" s="181" t="s">
        <v>1509</v>
      </c>
      <c r="E41" s="181" t="s">
        <v>266</v>
      </c>
      <c r="F41" s="181" t="s">
        <v>267</v>
      </c>
      <c r="G41" s="181" t="s">
        <v>98</v>
      </c>
      <c r="H41" s="181" t="s">
        <v>263</v>
      </c>
      <c r="I41" s="181" t="s">
        <v>3425</v>
      </c>
      <c r="J41" s="267"/>
      <c r="K41" s="269" t="n">
        <v>46238</v>
      </c>
      <c r="L41" s="267" t="n">
        <f aca="false">19*Таблица247[[#This Row],[Вес нетто]]/436590</f>
        <v>0.930002977622025</v>
      </c>
      <c r="M41" s="270" t="n">
        <v>2</v>
      </c>
      <c r="N41" s="184" t="n">
        <v>36670</v>
      </c>
      <c r="O41" s="184" t="n">
        <v>15300</v>
      </c>
      <c r="P41" s="185" t="n">
        <v>5</v>
      </c>
      <c r="Q41" s="184" t="n">
        <v>21370</v>
      </c>
      <c r="R41" s="184" t="n">
        <v>20301.5</v>
      </c>
      <c r="S41" s="184"/>
      <c r="T41" s="187"/>
    </row>
    <row r="42" customFormat="false" ht="38.25" hidden="false" customHeight="true" outlineLevel="0" collapsed="false">
      <c r="A42" s="181" t="s">
        <v>3471</v>
      </c>
      <c r="B42" s="182" t="n">
        <v>971</v>
      </c>
      <c r="C42" s="183" t="n">
        <v>40</v>
      </c>
      <c r="D42" s="181" t="s">
        <v>1509</v>
      </c>
      <c r="E42" s="181" t="s">
        <v>1646</v>
      </c>
      <c r="F42" s="181" t="s">
        <v>1647</v>
      </c>
      <c r="G42" s="181" t="s">
        <v>98</v>
      </c>
      <c r="H42" s="181" t="s">
        <v>263</v>
      </c>
      <c r="I42" s="181" t="s">
        <v>3425</v>
      </c>
      <c r="J42" s="267"/>
      <c r="K42" s="269" t="n">
        <v>46238</v>
      </c>
      <c r="L42" s="267" t="n">
        <f aca="false">19*Таблица247[[#This Row],[Вес нетто]]/436590</f>
        <v>0.576192766668957</v>
      </c>
      <c r="M42" s="270" t="n">
        <v>2</v>
      </c>
      <c r="N42" s="184" t="n">
        <v>27640</v>
      </c>
      <c r="O42" s="184" t="n">
        <v>14400</v>
      </c>
      <c r="P42" s="185" t="n">
        <v>4</v>
      </c>
      <c r="Q42" s="184" t="n">
        <v>13240</v>
      </c>
      <c r="R42" s="184" t="n">
        <v>12710.4</v>
      </c>
      <c r="S42" s="184"/>
      <c r="T42" s="187"/>
    </row>
    <row r="43" customFormat="false" ht="38.25" hidden="false" customHeight="true" outlineLevel="0" collapsed="false">
      <c r="A43" s="181" t="s">
        <v>3472</v>
      </c>
      <c r="B43" s="182" t="n">
        <v>972</v>
      </c>
      <c r="C43" s="183" t="n">
        <v>41</v>
      </c>
      <c r="D43" s="181" t="s">
        <v>1509</v>
      </c>
      <c r="E43" s="181" t="s">
        <v>277</v>
      </c>
      <c r="F43" s="181" t="s">
        <v>278</v>
      </c>
      <c r="G43" s="181" t="s">
        <v>98</v>
      </c>
      <c r="H43" s="181" t="s">
        <v>263</v>
      </c>
      <c r="I43" s="181" t="s">
        <v>3425</v>
      </c>
      <c r="J43" s="267"/>
      <c r="K43" s="269" t="n">
        <v>46239</v>
      </c>
      <c r="L43" s="267" t="n">
        <f aca="false">24*Таблица247[[#This Row],[Вес нетто]]/426170</f>
        <v>1.35213647136119</v>
      </c>
      <c r="M43" s="270" t="n">
        <v>3</v>
      </c>
      <c r="N43" s="184" t="n">
        <v>39170</v>
      </c>
      <c r="O43" s="184" t="n">
        <v>15160</v>
      </c>
      <c r="P43" s="185" t="n">
        <v>5</v>
      </c>
      <c r="Q43" s="184" t="n">
        <v>24010</v>
      </c>
      <c r="R43" s="184" t="n">
        <v>22809.5</v>
      </c>
      <c r="S43" s="184"/>
      <c r="T43" s="187"/>
    </row>
    <row r="44" customFormat="false" ht="38.25" hidden="false" customHeight="true" outlineLevel="0" collapsed="false">
      <c r="A44" s="181" t="s">
        <v>3473</v>
      </c>
      <c r="B44" s="182" t="n">
        <v>975</v>
      </c>
      <c r="C44" s="183" t="n">
        <v>42</v>
      </c>
      <c r="D44" s="181" t="s">
        <v>1509</v>
      </c>
      <c r="E44" s="181" t="s">
        <v>272</v>
      </c>
      <c r="F44" s="181" t="s">
        <v>273</v>
      </c>
      <c r="G44" s="181" t="s">
        <v>98</v>
      </c>
      <c r="H44" s="181" t="s">
        <v>263</v>
      </c>
      <c r="I44" s="181" t="s">
        <v>3425</v>
      </c>
      <c r="J44" s="267"/>
      <c r="K44" s="269" t="n">
        <v>46239</v>
      </c>
      <c r="L44" s="267" t="n">
        <f aca="false">24*Таблица247[[#This Row],[Вес нетто]]/426170</f>
        <v>1.25076847267522</v>
      </c>
      <c r="M44" s="270" t="n">
        <v>3</v>
      </c>
      <c r="N44" s="184" t="n">
        <v>37890</v>
      </c>
      <c r="O44" s="184" t="n">
        <v>15680</v>
      </c>
      <c r="P44" s="185" t="n">
        <v>4</v>
      </c>
      <c r="Q44" s="184" t="n">
        <v>22210</v>
      </c>
      <c r="R44" s="184" t="n">
        <v>21321.6</v>
      </c>
      <c r="S44" s="184"/>
      <c r="T44" s="187"/>
    </row>
    <row r="45" customFormat="false" ht="38.25" hidden="false" customHeight="true" outlineLevel="0" collapsed="false">
      <c r="A45" s="181" t="s">
        <v>3474</v>
      </c>
      <c r="B45" s="182" t="n">
        <v>976</v>
      </c>
      <c r="C45" s="183" t="n">
        <v>43</v>
      </c>
      <c r="D45" s="181" t="s">
        <v>1509</v>
      </c>
      <c r="E45" s="181" t="s">
        <v>3475</v>
      </c>
      <c r="F45" s="181" t="s">
        <v>3476</v>
      </c>
      <c r="G45" s="181" t="s">
        <v>98</v>
      </c>
      <c r="H45" s="181" t="s">
        <v>263</v>
      </c>
      <c r="I45" s="181" t="s">
        <v>3425</v>
      </c>
      <c r="J45" s="267"/>
      <c r="K45" s="269" t="n">
        <v>46239</v>
      </c>
      <c r="L45" s="267" t="n">
        <f aca="false">24*Таблица247[[#This Row],[Вес нетто]]/426170</f>
        <v>1.28117887228101</v>
      </c>
      <c r="M45" s="270" t="n">
        <v>3</v>
      </c>
      <c r="N45" s="184" t="n">
        <v>38270</v>
      </c>
      <c r="O45" s="184" t="n">
        <v>15520</v>
      </c>
      <c r="P45" s="185" t="n">
        <v>4</v>
      </c>
      <c r="Q45" s="184" t="n">
        <v>22750</v>
      </c>
      <c r="R45" s="184" t="n">
        <v>21840</v>
      </c>
      <c r="S45" s="184"/>
      <c r="T45" s="187"/>
    </row>
    <row r="46" customFormat="false" ht="38.25" hidden="false" customHeight="true" outlineLevel="0" collapsed="false">
      <c r="A46" s="181" t="s">
        <v>3477</v>
      </c>
      <c r="B46" s="182" t="n">
        <v>978</v>
      </c>
      <c r="C46" s="183" t="n">
        <v>46</v>
      </c>
      <c r="D46" s="181" t="s">
        <v>1509</v>
      </c>
      <c r="E46" s="181" t="s">
        <v>288</v>
      </c>
      <c r="F46" s="181" t="s">
        <v>289</v>
      </c>
      <c r="G46" s="181" t="s">
        <v>98</v>
      </c>
      <c r="H46" s="181" t="s">
        <v>263</v>
      </c>
      <c r="I46" s="181" t="s">
        <v>3425</v>
      </c>
      <c r="J46" s="267"/>
      <c r="K46" s="269" t="n">
        <v>46239</v>
      </c>
      <c r="L46" s="267" t="n">
        <f aca="false">24*Таблица247[[#This Row],[Вес нетто]]/426170</f>
        <v>0.593002792312927</v>
      </c>
      <c r="M46" s="270" t="n">
        <v>3</v>
      </c>
      <c r="N46" s="184" t="n">
        <v>24940</v>
      </c>
      <c r="O46" s="184" t="n">
        <v>14410</v>
      </c>
      <c r="P46" s="185" t="n">
        <v>5</v>
      </c>
      <c r="Q46" s="184" t="n">
        <v>10530</v>
      </c>
      <c r="R46" s="184" t="n">
        <v>10003.5</v>
      </c>
      <c r="S46" s="184"/>
      <c r="T46" s="187"/>
      <c r="U46" s="15" t="s">
        <v>3478</v>
      </c>
    </row>
    <row r="47" customFormat="false" ht="38.25" hidden="false" customHeight="true" outlineLevel="0" collapsed="false">
      <c r="A47" s="181" t="s">
        <v>3479</v>
      </c>
      <c r="B47" s="182" t="n">
        <v>977</v>
      </c>
      <c r="C47" s="183" t="n">
        <v>44</v>
      </c>
      <c r="D47" s="181" t="s">
        <v>1509</v>
      </c>
      <c r="E47" s="181" t="s">
        <v>3480</v>
      </c>
      <c r="F47" s="181" t="s">
        <v>3481</v>
      </c>
      <c r="G47" s="181" t="s">
        <v>98</v>
      </c>
      <c r="H47" s="181" t="s">
        <v>263</v>
      </c>
      <c r="I47" s="181" t="s">
        <v>3425</v>
      </c>
      <c r="J47" s="267"/>
      <c r="K47" s="269" t="n">
        <v>46239</v>
      </c>
      <c r="L47" s="267" t="n">
        <f aca="false">24*Таблица247[[#This Row],[Вес нетто]]/426170</f>
        <v>1.29751038318042</v>
      </c>
      <c r="M47" s="270" t="n">
        <v>3</v>
      </c>
      <c r="N47" s="184" t="n">
        <v>39310</v>
      </c>
      <c r="O47" s="184" t="n">
        <v>16270</v>
      </c>
      <c r="P47" s="185" t="n">
        <v>8</v>
      </c>
      <c r="Q47" s="184" t="n">
        <v>23040</v>
      </c>
      <c r="R47" s="184" t="n">
        <v>21196.8</v>
      </c>
      <c r="S47" s="184"/>
      <c r="T47" s="187"/>
    </row>
    <row r="48" customFormat="false" ht="38.25" hidden="false" customHeight="true" outlineLevel="0" collapsed="false">
      <c r="A48" s="181" t="s">
        <v>3482</v>
      </c>
      <c r="B48" s="182" t="n">
        <v>980</v>
      </c>
      <c r="C48" s="183" t="n">
        <v>45</v>
      </c>
      <c r="D48" s="181" t="s">
        <v>1509</v>
      </c>
      <c r="E48" s="181" t="s">
        <v>3424</v>
      </c>
      <c r="F48" s="181" t="s">
        <v>1511</v>
      </c>
      <c r="G48" s="181" t="s">
        <v>98</v>
      </c>
      <c r="H48" s="181" t="s">
        <v>263</v>
      </c>
      <c r="I48" s="181" t="s">
        <v>3425</v>
      </c>
      <c r="J48" s="267"/>
      <c r="K48" s="269" t="n">
        <v>46239</v>
      </c>
      <c r="L48" s="267" t="n">
        <f aca="false">24*Таблица247[[#This Row],[Вес нетто]]/426170</f>
        <v>0.723091723959922</v>
      </c>
      <c r="M48" s="270" t="n">
        <v>3</v>
      </c>
      <c r="N48" s="184" t="n">
        <v>27120</v>
      </c>
      <c r="O48" s="184" t="n">
        <v>14280</v>
      </c>
      <c r="P48" s="185" t="n">
        <v>3</v>
      </c>
      <c r="Q48" s="184" t="n">
        <v>12840</v>
      </c>
      <c r="R48" s="184" t="n">
        <v>12454.8</v>
      </c>
      <c r="S48" s="184"/>
      <c r="T48" s="187"/>
    </row>
    <row r="49" customFormat="false" ht="38.25" hidden="false" customHeight="true" outlineLevel="0" collapsed="false">
      <c r="A49" s="181" t="s">
        <v>3483</v>
      </c>
      <c r="B49" s="182" t="n">
        <v>983</v>
      </c>
      <c r="C49" s="183" t="n">
        <v>47</v>
      </c>
      <c r="D49" s="181" t="s">
        <v>1509</v>
      </c>
      <c r="E49" s="181" t="s">
        <v>3475</v>
      </c>
      <c r="F49" s="181" t="s">
        <v>3476</v>
      </c>
      <c r="G49" s="181" t="s">
        <v>98</v>
      </c>
      <c r="H49" s="181" t="s">
        <v>263</v>
      </c>
      <c r="I49" s="181" t="s">
        <v>3425</v>
      </c>
      <c r="J49" s="267"/>
      <c r="K49" s="269" t="n">
        <v>46239</v>
      </c>
      <c r="L49" s="267" t="n">
        <f aca="false">24*Таблица247[[#This Row],[Вес нетто]]/426170</f>
        <v>1.35776802684375</v>
      </c>
      <c r="M49" s="270" t="n">
        <v>3</v>
      </c>
      <c r="N49" s="184" t="n">
        <v>39820</v>
      </c>
      <c r="O49" s="184" t="n">
        <v>15710</v>
      </c>
      <c r="P49" s="185" t="n">
        <v>8</v>
      </c>
      <c r="Q49" s="184" t="n">
        <v>24110</v>
      </c>
      <c r="R49" s="184" t="n">
        <v>22181.2</v>
      </c>
      <c r="S49" s="184"/>
      <c r="T49" s="187"/>
    </row>
    <row r="50" customFormat="false" ht="38.25" hidden="false" customHeight="true" outlineLevel="0" collapsed="false">
      <c r="A50" s="181" t="s">
        <v>3484</v>
      </c>
      <c r="B50" s="182" t="n">
        <v>984</v>
      </c>
      <c r="C50" s="183" t="n">
        <v>48</v>
      </c>
      <c r="D50" s="181" t="s">
        <v>1509</v>
      </c>
      <c r="E50" s="181" t="s">
        <v>272</v>
      </c>
      <c r="F50" s="181" t="s">
        <v>273</v>
      </c>
      <c r="G50" s="181" t="s">
        <v>98</v>
      </c>
      <c r="H50" s="181" t="s">
        <v>263</v>
      </c>
      <c r="I50" s="181" t="s">
        <v>3425</v>
      </c>
      <c r="J50" s="267"/>
      <c r="K50" s="269" t="n">
        <v>46239</v>
      </c>
      <c r="L50" s="267" t="n">
        <f aca="false">24*Таблица247[[#This Row],[Вес нетто]]/426170</f>
        <v>1.18882136236713</v>
      </c>
      <c r="M50" s="270" t="n">
        <v>3</v>
      </c>
      <c r="N50" s="184" t="n">
        <v>36770</v>
      </c>
      <c r="O50" s="184" t="n">
        <v>15660</v>
      </c>
      <c r="P50" s="185" t="n">
        <v>9</v>
      </c>
      <c r="Q50" s="184" t="n">
        <v>21110</v>
      </c>
      <c r="R50" s="184" t="n">
        <v>19210.1</v>
      </c>
      <c r="S50" s="184"/>
      <c r="T50" s="187"/>
    </row>
    <row r="51" customFormat="false" ht="38.25" hidden="false" customHeight="true" outlineLevel="0" collapsed="false">
      <c r="A51" s="181" t="s">
        <v>3485</v>
      </c>
      <c r="B51" s="182" t="n">
        <v>985</v>
      </c>
      <c r="C51" s="183" t="n">
        <v>49</v>
      </c>
      <c r="D51" s="181" t="s">
        <v>1509</v>
      </c>
      <c r="E51" s="181" t="s">
        <v>3480</v>
      </c>
      <c r="F51" s="181" t="s">
        <v>3481</v>
      </c>
      <c r="G51" s="181" t="s">
        <v>98</v>
      </c>
      <c r="H51" s="181" t="s">
        <v>263</v>
      </c>
      <c r="I51" s="181" t="s">
        <v>3425</v>
      </c>
      <c r="J51" s="267"/>
      <c r="K51" s="269" t="n">
        <v>46239</v>
      </c>
      <c r="L51" s="267" t="n">
        <f aca="false">24*Таблица247[[#This Row],[Вес нетто]]/426170</f>
        <v>1.40056784851116</v>
      </c>
      <c r="M51" s="270" t="n">
        <v>3</v>
      </c>
      <c r="N51" s="184" t="n">
        <v>41140</v>
      </c>
      <c r="O51" s="184" t="n">
        <v>16270</v>
      </c>
      <c r="P51" s="185" t="n">
        <v>5</v>
      </c>
      <c r="Q51" s="184" t="n">
        <v>24870</v>
      </c>
      <c r="R51" s="184" t="n">
        <v>23626.5</v>
      </c>
      <c r="S51" s="184"/>
      <c r="T51" s="187"/>
    </row>
    <row r="52" customFormat="false" ht="38.25" hidden="false" customHeight="true" outlineLevel="0" collapsed="false">
      <c r="A52" s="181" t="s">
        <v>3486</v>
      </c>
      <c r="B52" s="182" t="n">
        <v>987</v>
      </c>
      <c r="C52" s="183" t="n">
        <v>50</v>
      </c>
      <c r="D52" s="181" t="s">
        <v>1509</v>
      </c>
      <c r="E52" s="181" t="s">
        <v>3475</v>
      </c>
      <c r="F52" s="181" t="s">
        <v>3476</v>
      </c>
      <c r="G52" s="181" t="s">
        <v>98</v>
      </c>
      <c r="H52" s="181" t="s">
        <v>263</v>
      </c>
      <c r="I52" s="181" t="s">
        <v>3425</v>
      </c>
      <c r="J52" s="267"/>
      <c r="K52" s="269" t="n">
        <v>46239</v>
      </c>
      <c r="L52" s="267" t="n">
        <f aca="false">24*Таблица247[[#This Row],[Вес нетто]]/426170</f>
        <v>1.36565220451932</v>
      </c>
      <c r="M52" s="270" t="n">
        <v>3</v>
      </c>
      <c r="N52" s="184" t="n">
        <v>40160</v>
      </c>
      <c r="O52" s="184" t="n">
        <v>15910</v>
      </c>
      <c r="P52" s="185" t="n">
        <v>3</v>
      </c>
      <c r="Q52" s="184" t="n">
        <v>24250</v>
      </c>
      <c r="R52" s="184" t="n">
        <v>23522.5</v>
      </c>
      <c r="S52" s="184"/>
      <c r="T52" s="187"/>
    </row>
    <row r="53" customFormat="false" ht="35.05" hidden="false" customHeight="false" outlineLevel="0" collapsed="false">
      <c r="A53" s="181" t="s">
        <v>3487</v>
      </c>
      <c r="B53" s="182" t="n">
        <v>988</v>
      </c>
      <c r="C53" s="183" t="n">
        <v>51</v>
      </c>
      <c r="D53" s="181" t="s">
        <v>1509</v>
      </c>
      <c r="E53" s="181" t="s">
        <v>3424</v>
      </c>
      <c r="F53" s="181" t="s">
        <v>1511</v>
      </c>
      <c r="G53" s="181" t="s">
        <v>98</v>
      </c>
      <c r="H53" s="181" t="s">
        <v>263</v>
      </c>
      <c r="I53" s="181" t="s">
        <v>3425</v>
      </c>
      <c r="J53" s="267"/>
      <c r="K53" s="269" t="n">
        <v>46239</v>
      </c>
      <c r="L53" s="267" t="n">
        <f aca="false">24*Таблица247[[#This Row],[Вес нетто]]/426170</f>
        <v>0.708449679705282</v>
      </c>
      <c r="M53" s="270" t="n">
        <v>3</v>
      </c>
      <c r="N53" s="184" t="n">
        <v>26850</v>
      </c>
      <c r="O53" s="184" t="n">
        <v>14270</v>
      </c>
      <c r="P53" s="185" t="n">
        <v>5</v>
      </c>
      <c r="Q53" s="184" t="n">
        <v>12580</v>
      </c>
      <c r="R53" s="184" t="n">
        <v>11951</v>
      </c>
      <c r="S53" s="184"/>
      <c r="T53" s="187"/>
    </row>
    <row r="54" customFormat="false" ht="35.05" hidden="false" customHeight="false" outlineLevel="0" collapsed="false">
      <c r="A54" s="181" t="s">
        <v>3488</v>
      </c>
      <c r="B54" s="182" t="n">
        <v>989</v>
      </c>
      <c r="C54" s="183" t="n">
        <v>52</v>
      </c>
      <c r="D54" s="181" t="s">
        <v>1509</v>
      </c>
      <c r="E54" s="181" t="s">
        <v>272</v>
      </c>
      <c r="F54" s="181" t="s">
        <v>273</v>
      </c>
      <c r="G54" s="181" t="s">
        <v>98</v>
      </c>
      <c r="H54" s="181" t="s">
        <v>263</v>
      </c>
      <c r="I54" s="181" t="s">
        <v>3425</v>
      </c>
      <c r="J54" s="267"/>
      <c r="K54" s="269" t="n">
        <v>46239</v>
      </c>
      <c r="L54" s="267" t="n">
        <f aca="false">24*Таблица247[[#This Row],[Вес нетто]]/426170</f>
        <v>1.30764718304902</v>
      </c>
      <c r="M54" s="270" t="n">
        <v>3</v>
      </c>
      <c r="N54" s="184" t="n">
        <v>38860</v>
      </c>
      <c r="O54" s="184" t="n">
        <v>15640</v>
      </c>
      <c r="P54" s="185" t="n">
        <v>4</v>
      </c>
      <c r="Q54" s="184" t="n">
        <v>23220</v>
      </c>
      <c r="R54" s="184" t="n">
        <v>22291.2</v>
      </c>
      <c r="S54" s="184"/>
      <c r="T54" s="187"/>
    </row>
    <row r="55" customFormat="false" ht="35.05" hidden="false" customHeight="false" outlineLevel="0" collapsed="false">
      <c r="A55" s="181" t="s">
        <v>3489</v>
      </c>
      <c r="B55" s="182" t="n">
        <v>990</v>
      </c>
      <c r="C55" s="183" t="n">
        <v>53</v>
      </c>
      <c r="D55" s="181" t="s">
        <v>1509</v>
      </c>
      <c r="E55" s="181" t="s">
        <v>3480</v>
      </c>
      <c r="F55" s="181" t="s">
        <v>3481</v>
      </c>
      <c r="G55" s="181" t="s">
        <v>98</v>
      </c>
      <c r="H55" s="181" t="s">
        <v>263</v>
      </c>
      <c r="I55" s="181" t="s">
        <v>3425</v>
      </c>
      <c r="J55" s="267"/>
      <c r="K55" s="269" t="n">
        <v>46239</v>
      </c>
      <c r="L55" s="267" t="n">
        <f aca="false">24*Таблица247[[#This Row],[Вес нетто]]/426170</f>
        <v>1.37409953774315</v>
      </c>
      <c r="M55" s="270" t="n">
        <v>3</v>
      </c>
      <c r="N55" s="184" t="n">
        <v>40560</v>
      </c>
      <c r="O55" s="184" t="n">
        <v>16160</v>
      </c>
      <c r="P55" s="185" t="n">
        <v>4</v>
      </c>
      <c r="Q55" s="184" t="n">
        <v>24400</v>
      </c>
      <c r="R55" s="184" t="n">
        <v>23424</v>
      </c>
      <c r="S55" s="184"/>
      <c r="T55" s="187"/>
    </row>
    <row r="56" customFormat="false" ht="35.05" hidden="false" customHeight="false" outlineLevel="0" collapsed="false">
      <c r="A56" s="181" t="s">
        <v>3490</v>
      </c>
      <c r="B56" s="182" t="n">
        <v>991</v>
      </c>
      <c r="C56" s="183" t="n">
        <v>54</v>
      </c>
      <c r="D56" s="181" t="s">
        <v>1509</v>
      </c>
      <c r="E56" s="181" t="s">
        <v>3475</v>
      </c>
      <c r="F56" s="181" t="s">
        <v>3476</v>
      </c>
      <c r="G56" s="181" t="s">
        <v>98</v>
      </c>
      <c r="H56" s="181" t="s">
        <v>263</v>
      </c>
      <c r="I56" s="181" t="s">
        <v>3425</v>
      </c>
      <c r="J56" s="267"/>
      <c r="K56" s="269" t="n">
        <v>46239</v>
      </c>
      <c r="L56" s="267" t="n">
        <f aca="false">24*Таблица247[[#This Row],[Вес нетто]]/426170</f>
        <v>1.40338362625243</v>
      </c>
      <c r="M56" s="270" t="n">
        <v>3</v>
      </c>
      <c r="N56" s="184" t="n">
        <v>40310</v>
      </c>
      <c r="O56" s="184" t="n">
        <v>15390</v>
      </c>
      <c r="P56" s="185" t="n">
        <v>5</v>
      </c>
      <c r="Q56" s="184" t="n">
        <v>24920</v>
      </c>
      <c r="R56" s="184" t="n">
        <v>23674</v>
      </c>
      <c r="S56" s="184"/>
      <c r="T56" s="187"/>
    </row>
    <row r="57" customFormat="false" ht="35.05" hidden="false" customHeight="false" outlineLevel="0" collapsed="false">
      <c r="A57" s="181" t="s">
        <v>3491</v>
      </c>
      <c r="B57" s="182" t="n">
        <v>992</v>
      </c>
      <c r="C57" s="183" t="n">
        <v>55</v>
      </c>
      <c r="D57" s="181" t="s">
        <v>1509</v>
      </c>
      <c r="E57" s="181" t="s">
        <v>3424</v>
      </c>
      <c r="F57" s="181" t="s">
        <v>1511</v>
      </c>
      <c r="G57" s="181" t="s">
        <v>98</v>
      </c>
      <c r="H57" s="181" t="s">
        <v>263</v>
      </c>
      <c r="I57" s="181" t="s">
        <v>3425</v>
      </c>
      <c r="J57" s="267"/>
      <c r="K57" s="269" t="n">
        <v>46239</v>
      </c>
      <c r="L57" s="267" t="n">
        <f aca="false">24*Таблица247[[#This Row],[Вес нетто]]/426170</f>
        <v>0.760259990144778</v>
      </c>
      <c r="M57" s="270" t="n">
        <v>3</v>
      </c>
      <c r="N57" s="184" t="n">
        <v>27750</v>
      </c>
      <c r="O57" s="184" t="n">
        <v>14250</v>
      </c>
      <c r="P57" s="185" t="n">
        <v>3</v>
      </c>
      <c r="Q57" s="184" t="n">
        <v>13500</v>
      </c>
      <c r="R57" s="184" t="n">
        <v>13095</v>
      </c>
      <c r="S57" s="184"/>
      <c r="T57" s="187"/>
    </row>
    <row r="58" customFormat="false" ht="35.05" hidden="false" customHeight="false" outlineLevel="0" collapsed="false">
      <c r="A58" s="181" t="s">
        <v>3492</v>
      </c>
      <c r="B58" s="182" t="n">
        <v>993</v>
      </c>
      <c r="C58" s="183" t="n">
        <v>56</v>
      </c>
      <c r="D58" s="181" t="s">
        <v>1509</v>
      </c>
      <c r="E58" s="181" t="s">
        <v>272</v>
      </c>
      <c r="F58" s="181" t="s">
        <v>273</v>
      </c>
      <c r="G58" s="181" t="s">
        <v>98</v>
      </c>
      <c r="H58" s="181" t="s">
        <v>263</v>
      </c>
      <c r="I58" s="181" t="s">
        <v>3425</v>
      </c>
      <c r="J58" s="267"/>
      <c r="K58" s="269" t="n">
        <v>46239</v>
      </c>
      <c r="L58" s="267" t="n">
        <f aca="false">24*Таблица247[[#This Row],[Вес нетто]]/426170</f>
        <v>1.48053593636342</v>
      </c>
      <c r="M58" s="270" t="n">
        <v>3</v>
      </c>
      <c r="N58" s="184" t="n">
        <v>41910</v>
      </c>
      <c r="O58" s="184" t="n">
        <v>15620</v>
      </c>
      <c r="P58" s="185" t="n">
        <v>5</v>
      </c>
      <c r="Q58" s="184" t="n">
        <v>26290</v>
      </c>
      <c r="R58" s="184" t="n">
        <v>24975.5</v>
      </c>
      <c r="S58" s="184"/>
      <c r="T58" s="187"/>
    </row>
    <row r="59" customFormat="false" ht="35.05" hidden="false" customHeight="false" outlineLevel="0" collapsed="false">
      <c r="A59" s="181" t="s">
        <v>3493</v>
      </c>
      <c r="B59" s="182" t="n">
        <v>994</v>
      </c>
      <c r="C59" s="183" t="n">
        <v>57</v>
      </c>
      <c r="D59" s="181" t="s">
        <v>1509</v>
      </c>
      <c r="E59" s="181" t="s">
        <v>3480</v>
      </c>
      <c r="F59" s="181" t="s">
        <v>3481</v>
      </c>
      <c r="G59" s="181" t="s">
        <v>98</v>
      </c>
      <c r="H59" s="181" t="s">
        <v>263</v>
      </c>
      <c r="I59" s="181" t="s">
        <v>3425</v>
      </c>
      <c r="J59" s="267"/>
      <c r="K59" s="269" t="n">
        <v>46239</v>
      </c>
      <c r="L59" s="267" t="n">
        <f aca="false">24*Таблица247[[#This Row],[Вес нетто]]/426170</f>
        <v>1.45068869230589</v>
      </c>
      <c r="M59" s="270" t="n">
        <v>3</v>
      </c>
      <c r="N59" s="184" t="n">
        <v>41980</v>
      </c>
      <c r="O59" s="184" t="n">
        <v>16220</v>
      </c>
      <c r="P59" s="185" t="n">
        <v>7</v>
      </c>
      <c r="Q59" s="184" t="n">
        <v>25760</v>
      </c>
      <c r="R59" s="184" t="n">
        <v>23956.8</v>
      </c>
      <c r="S59" s="184"/>
      <c r="T59" s="187"/>
    </row>
    <row r="60" customFormat="false" ht="35.05" hidden="false" customHeight="false" outlineLevel="0" collapsed="false">
      <c r="A60" s="181" t="s">
        <v>3494</v>
      </c>
      <c r="B60" s="182" t="n">
        <v>997</v>
      </c>
      <c r="C60" s="183" t="n">
        <v>60</v>
      </c>
      <c r="D60" s="181" t="s">
        <v>1509</v>
      </c>
      <c r="E60" s="181" t="s">
        <v>272</v>
      </c>
      <c r="F60" s="181" t="s">
        <v>273</v>
      </c>
      <c r="G60" s="181" t="s">
        <v>98</v>
      </c>
      <c r="H60" s="181" t="s">
        <v>263</v>
      </c>
      <c r="I60" s="181" t="s">
        <v>3425</v>
      </c>
      <c r="J60" s="267"/>
      <c r="K60" s="269" t="n">
        <v>46239</v>
      </c>
      <c r="L60" s="267" t="n">
        <f aca="false">24*Таблица247[[#This Row],[Вес нетто]]/426170</f>
        <v>1.22542647300373</v>
      </c>
      <c r="M60" s="270" t="n">
        <v>3</v>
      </c>
      <c r="N60" s="184" t="n">
        <v>37360</v>
      </c>
      <c r="O60" s="184" t="n">
        <v>15600</v>
      </c>
      <c r="P60" s="185" t="n">
        <v>5</v>
      </c>
      <c r="Q60" s="184" t="n">
        <v>21760</v>
      </c>
      <c r="R60" s="184" t="n">
        <v>20672</v>
      </c>
      <c r="S60" s="184"/>
      <c r="T60" s="187"/>
    </row>
    <row r="61" customFormat="false" ht="35.05" hidden="false" customHeight="false" outlineLevel="0" collapsed="false">
      <c r="A61" s="181" t="s">
        <v>3495</v>
      </c>
      <c r="B61" s="182" t="n">
        <v>995</v>
      </c>
      <c r="C61" s="183" t="n">
        <v>58</v>
      </c>
      <c r="D61" s="181" t="s">
        <v>1509</v>
      </c>
      <c r="E61" s="181" t="s">
        <v>3475</v>
      </c>
      <c r="F61" s="181" t="s">
        <v>3476</v>
      </c>
      <c r="G61" s="181" t="s">
        <v>98</v>
      </c>
      <c r="H61" s="181" t="s">
        <v>263</v>
      </c>
      <c r="I61" s="181" t="s">
        <v>3425</v>
      </c>
      <c r="J61" s="267"/>
      <c r="K61" s="269" t="n">
        <v>46239</v>
      </c>
      <c r="L61" s="267" t="n">
        <f aca="false">24*Таблица247[[#This Row],[Вес нетто]]/426170</f>
        <v>1.31834713846587</v>
      </c>
      <c r="M61" s="270" t="n">
        <v>3</v>
      </c>
      <c r="N61" s="184" t="n">
        <v>39290</v>
      </c>
      <c r="O61" s="184" t="n">
        <v>15880</v>
      </c>
      <c r="P61" s="185" t="n">
        <v>7</v>
      </c>
      <c r="Q61" s="184" t="n">
        <v>23410</v>
      </c>
      <c r="R61" s="184" t="n">
        <v>21771.3</v>
      </c>
      <c r="S61" s="184"/>
      <c r="T61" s="187"/>
    </row>
    <row r="62" customFormat="false" ht="35.05" hidden="false" customHeight="false" outlineLevel="0" collapsed="false">
      <c r="A62" s="181" t="s">
        <v>3496</v>
      </c>
      <c r="B62" s="182" t="n">
        <v>996</v>
      </c>
      <c r="C62" s="183" t="n">
        <v>59</v>
      </c>
      <c r="D62" s="181" t="s">
        <v>1509</v>
      </c>
      <c r="E62" s="181" t="s">
        <v>3424</v>
      </c>
      <c r="F62" s="181" t="s">
        <v>1511</v>
      </c>
      <c r="G62" s="181" t="s">
        <v>98</v>
      </c>
      <c r="H62" s="181" t="s">
        <v>263</v>
      </c>
      <c r="I62" s="181" t="s">
        <v>3425</v>
      </c>
      <c r="J62" s="267"/>
      <c r="K62" s="269" t="n">
        <v>46239</v>
      </c>
      <c r="L62" s="267" t="n">
        <f aca="false">24*Таблица247[[#This Row],[Вес нетто]]/426170</f>
        <v>0.645939413848934</v>
      </c>
      <c r="M62" s="270" t="n">
        <v>3</v>
      </c>
      <c r="N62" s="184" t="n">
        <v>25710</v>
      </c>
      <c r="O62" s="184" t="n">
        <v>14240</v>
      </c>
      <c r="P62" s="185" t="n">
        <v>6</v>
      </c>
      <c r="Q62" s="184" t="n">
        <v>11470</v>
      </c>
      <c r="R62" s="184" t="n">
        <v>10781.8</v>
      </c>
      <c r="S62" s="184"/>
      <c r="T62" s="187"/>
    </row>
    <row r="63" customFormat="false" ht="35.05" hidden="false" customHeight="false" outlineLevel="0" collapsed="false">
      <c r="A63" s="181" t="s">
        <v>3497</v>
      </c>
      <c r="B63" s="182" t="n">
        <v>998</v>
      </c>
      <c r="C63" s="183" t="n">
        <v>61</v>
      </c>
      <c r="D63" s="181" t="s">
        <v>1509</v>
      </c>
      <c r="E63" s="181" t="s">
        <v>3480</v>
      </c>
      <c r="F63" s="181" t="s">
        <v>3481</v>
      </c>
      <c r="G63" s="181" t="s">
        <v>3414</v>
      </c>
      <c r="H63" s="181" t="s">
        <v>263</v>
      </c>
      <c r="I63" s="181" t="s">
        <v>3425</v>
      </c>
      <c r="J63" s="267"/>
      <c r="K63" s="269" t="n">
        <v>46239</v>
      </c>
      <c r="L63" s="267" t="n">
        <f aca="false">7*Таблица247[[#This Row],[Вес нетто]]/163640</f>
        <v>0.433757027621608</v>
      </c>
      <c r="M63" s="270" t="n">
        <v>3</v>
      </c>
      <c r="N63" s="184" t="n">
        <v>35490</v>
      </c>
      <c r="O63" s="184" t="n">
        <v>25350</v>
      </c>
      <c r="P63" s="185" t="n">
        <v>6</v>
      </c>
      <c r="Q63" s="184" t="n">
        <v>10140</v>
      </c>
      <c r="R63" s="184" t="n">
        <v>9531.6</v>
      </c>
      <c r="S63" s="184"/>
      <c r="T63" s="187"/>
    </row>
    <row r="64" customFormat="false" ht="35.05" hidden="false" customHeight="false" outlineLevel="0" collapsed="false">
      <c r="A64" s="181" t="s">
        <v>3498</v>
      </c>
      <c r="B64" s="182" t="n">
        <v>999</v>
      </c>
      <c r="C64" s="183" t="n">
        <v>61</v>
      </c>
      <c r="D64" s="181" t="s">
        <v>1509</v>
      </c>
      <c r="E64" s="181" t="s">
        <v>3480</v>
      </c>
      <c r="F64" s="181" t="s">
        <v>3481</v>
      </c>
      <c r="G64" s="181" t="s">
        <v>98</v>
      </c>
      <c r="H64" s="181" t="s">
        <v>263</v>
      </c>
      <c r="I64" s="181" t="s">
        <v>3425</v>
      </c>
      <c r="J64" s="267"/>
      <c r="K64" s="269" t="n">
        <v>46239</v>
      </c>
      <c r="L64" s="267" t="n">
        <f aca="false">24*Таблица247[[#This Row],[Вес нетто]]/426170</f>
        <v>0.514724171105428</v>
      </c>
      <c r="M64" s="270" t="n">
        <v>3</v>
      </c>
      <c r="N64" s="184" t="n">
        <v>25350</v>
      </c>
      <c r="O64" s="184" t="n">
        <v>16210</v>
      </c>
      <c r="P64" s="185" t="n">
        <v>4</v>
      </c>
      <c r="Q64" s="184" t="n">
        <v>9140</v>
      </c>
      <c r="R64" s="184" t="n">
        <v>8774.4</v>
      </c>
      <c r="S64" s="184"/>
      <c r="T64" s="187"/>
    </row>
    <row r="65" customFormat="false" ht="35.05" hidden="false" customHeight="false" outlineLevel="0" collapsed="false">
      <c r="A65" s="181" t="s">
        <v>3499</v>
      </c>
      <c r="B65" s="182" t="n">
        <v>1000</v>
      </c>
      <c r="C65" s="183" t="n">
        <v>62</v>
      </c>
      <c r="D65" s="181" t="s">
        <v>1509</v>
      </c>
      <c r="E65" s="181" t="s">
        <v>3475</v>
      </c>
      <c r="F65" s="181" t="s">
        <v>3476</v>
      </c>
      <c r="G65" s="181" t="s">
        <v>3414</v>
      </c>
      <c r="H65" s="181" t="s">
        <v>263</v>
      </c>
      <c r="I65" s="181" t="s">
        <v>3425</v>
      </c>
      <c r="J65" s="267"/>
      <c r="K65" s="269" t="n">
        <v>46239</v>
      </c>
      <c r="L65" s="267" t="n">
        <f aca="false">7*Таблица247[[#This Row],[Вес нетто]]/163640</f>
        <v>0.893180151552188</v>
      </c>
      <c r="M65" s="270" t="n">
        <v>3</v>
      </c>
      <c r="N65" s="184" t="n">
        <v>36750</v>
      </c>
      <c r="O65" s="184" t="n">
        <v>15870</v>
      </c>
      <c r="P65" s="185" t="n">
        <v>7</v>
      </c>
      <c r="Q65" s="184" t="n">
        <v>20880</v>
      </c>
      <c r="R65" s="184" t="n">
        <v>19418.4</v>
      </c>
      <c r="S65" s="184"/>
      <c r="T65" s="187"/>
    </row>
    <row r="66" customFormat="false" ht="35.05" hidden="false" customHeight="false" outlineLevel="0" collapsed="false">
      <c r="A66" s="181" t="s">
        <v>3500</v>
      </c>
      <c r="B66" s="182" t="n">
        <v>1001</v>
      </c>
      <c r="C66" s="183" t="n">
        <v>63</v>
      </c>
      <c r="D66" s="181" t="s">
        <v>1509</v>
      </c>
      <c r="E66" s="181" t="s">
        <v>3424</v>
      </c>
      <c r="F66" s="181" t="s">
        <v>1511</v>
      </c>
      <c r="G66" s="181" t="s">
        <v>3414</v>
      </c>
      <c r="H66" s="181" t="s">
        <v>263</v>
      </c>
      <c r="I66" s="181" t="s">
        <v>3425</v>
      </c>
      <c r="J66" s="267"/>
      <c r="K66" s="269" t="n">
        <v>46239</v>
      </c>
      <c r="L66" s="267" t="n">
        <f aca="false">7*Таблица247[[#This Row],[Вес нетто]]/163640</f>
        <v>0.439745783427035</v>
      </c>
      <c r="M66" s="270" t="n">
        <v>3</v>
      </c>
      <c r="N66" s="184" t="n">
        <v>24540</v>
      </c>
      <c r="O66" s="184" t="n">
        <v>14260</v>
      </c>
      <c r="P66" s="185" t="n">
        <v>7</v>
      </c>
      <c r="Q66" s="184" t="n">
        <v>10280</v>
      </c>
      <c r="R66" s="184" t="n">
        <v>9560.4</v>
      </c>
      <c r="S66" s="184"/>
      <c r="T66" s="187"/>
    </row>
    <row r="67" customFormat="false" ht="35.05" hidden="false" customHeight="false" outlineLevel="0" collapsed="false">
      <c r="A67" s="181" t="s">
        <v>3501</v>
      </c>
      <c r="B67" s="182" t="n">
        <v>1003</v>
      </c>
      <c r="C67" s="183" t="n">
        <v>64</v>
      </c>
      <c r="D67" s="181" t="s">
        <v>1509</v>
      </c>
      <c r="E67" s="181" t="s">
        <v>272</v>
      </c>
      <c r="F67" s="181" t="s">
        <v>273</v>
      </c>
      <c r="G67" s="181" t="s">
        <v>3414</v>
      </c>
      <c r="H67" s="181" t="s">
        <v>263</v>
      </c>
      <c r="I67" s="181" t="s">
        <v>3425</v>
      </c>
      <c r="J67" s="267"/>
      <c r="K67" s="269" t="n">
        <v>46239</v>
      </c>
      <c r="L67" s="267" t="n">
        <f aca="false">7*Таблица247[[#This Row],[Вес нетто]]/163640</f>
        <v>0.895746761183085</v>
      </c>
      <c r="M67" s="270" t="n">
        <v>3</v>
      </c>
      <c r="N67" s="184" t="n">
        <v>36540</v>
      </c>
      <c r="O67" s="184" t="n">
        <v>15600</v>
      </c>
      <c r="P67" s="185" t="n">
        <v>6</v>
      </c>
      <c r="Q67" s="184" t="n">
        <v>20940</v>
      </c>
      <c r="R67" s="184" t="n">
        <v>19683.6</v>
      </c>
      <c r="S67" s="184"/>
      <c r="T67" s="187"/>
    </row>
    <row r="68" customFormat="false" ht="35.05" hidden="false" customHeight="false" outlineLevel="0" collapsed="false">
      <c r="A68" s="181" t="s">
        <v>3502</v>
      </c>
      <c r="B68" s="182" t="n">
        <v>1004</v>
      </c>
      <c r="C68" s="183" t="n">
        <v>65</v>
      </c>
      <c r="D68" s="181" t="s">
        <v>1509</v>
      </c>
      <c r="E68" s="181" t="s">
        <v>3480</v>
      </c>
      <c r="F68" s="181" t="s">
        <v>3481</v>
      </c>
      <c r="G68" s="181" t="s">
        <v>3414</v>
      </c>
      <c r="H68" s="181" t="s">
        <v>263</v>
      </c>
      <c r="I68" s="181" t="s">
        <v>3425</v>
      </c>
      <c r="J68" s="267"/>
      <c r="K68" s="269" t="n">
        <v>46239</v>
      </c>
      <c r="L68" s="267" t="n">
        <f aca="false">7*Таблица247[[#This Row],[Вес нетто]]/163640</f>
        <v>0.966756294304571</v>
      </c>
      <c r="M68" s="270" t="n">
        <v>3</v>
      </c>
      <c r="N68" s="184" t="n">
        <v>38810</v>
      </c>
      <c r="O68" s="184" t="n">
        <v>16210</v>
      </c>
      <c r="P68" s="185" t="n">
        <v>6</v>
      </c>
      <c r="Q68" s="184" t="n">
        <v>22600</v>
      </c>
      <c r="R68" s="184" t="n">
        <v>21244</v>
      </c>
      <c r="S68" s="184"/>
      <c r="T68" s="187"/>
    </row>
    <row r="69" customFormat="false" ht="35.05" hidden="false" customHeight="false" outlineLevel="0" collapsed="false">
      <c r="A69" s="181" t="s">
        <v>3503</v>
      </c>
      <c r="B69" s="182" t="n">
        <v>1007</v>
      </c>
      <c r="C69" s="183" t="n">
        <v>68</v>
      </c>
      <c r="D69" s="181" t="s">
        <v>1509</v>
      </c>
      <c r="E69" s="181" t="s">
        <v>272</v>
      </c>
      <c r="F69" s="181" t="s">
        <v>273</v>
      </c>
      <c r="G69" s="181" t="s">
        <v>3414</v>
      </c>
      <c r="H69" s="181" t="s">
        <v>263</v>
      </c>
      <c r="I69" s="181" t="s">
        <v>3425</v>
      </c>
      <c r="J69" s="267"/>
      <c r="K69" s="269" t="n">
        <v>46239</v>
      </c>
      <c r="L69" s="267" t="n">
        <f aca="false">7*Таблица247[[#This Row],[Вес нетто]]/163640</f>
        <v>0.881202639941335</v>
      </c>
      <c r="M69" s="270" t="n">
        <v>3</v>
      </c>
      <c r="N69" s="184" t="n">
        <v>36220</v>
      </c>
      <c r="O69" s="184" t="n">
        <v>15620</v>
      </c>
      <c r="P69" s="185" t="n">
        <v>4</v>
      </c>
      <c r="Q69" s="184" t="n">
        <v>20600</v>
      </c>
      <c r="R69" s="184" t="n">
        <v>19776</v>
      </c>
      <c r="S69" s="184"/>
      <c r="T69" s="187"/>
    </row>
    <row r="70" customFormat="false" ht="35.05" hidden="false" customHeight="false" outlineLevel="0" collapsed="false">
      <c r="A70" s="181" t="s">
        <v>3504</v>
      </c>
      <c r="B70" s="182" t="n">
        <v>1005</v>
      </c>
      <c r="C70" s="183" t="n">
        <v>66</v>
      </c>
      <c r="D70" s="181" t="s">
        <v>1509</v>
      </c>
      <c r="E70" s="181" t="s">
        <v>3475</v>
      </c>
      <c r="F70" s="181" t="s">
        <v>3476</v>
      </c>
      <c r="G70" s="181" t="s">
        <v>3414</v>
      </c>
      <c r="H70" s="181" t="s">
        <v>263</v>
      </c>
      <c r="I70" s="181" t="s">
        <v>3425</v>
      </c>
      <c r="J70" s="267"/>
      <c r="K70" s="269" t="n">
        <v>46239</v>
      </c>
      <c r="L70" s="267" t="n">
        <f aca="false">7*Таблица247[[#This Row],[Вес нетто]]/163640</f>
        <v>0.945795648985578</v>
      </c>
      <c r="M70" s="270" t="n">
        <v>3</v>
      </c>
      <c r="N70" s="184" t="n">
        <v>38050</v>
      </c>
      <c r="O70" s="184" t="n">
        <v>15940</v>
      </c>
      <c r="P70" s="185" t="n">
        <v>4</v>
      </c>
      <c r="Q70" s="184" t="n">
        <v>22110</v>
      </c>
      <c r="R70" s="184" t="n">
        <v>21225.6</v>
      </c>
      <c r="S70" s="184"/>
      <c r="T70" s="187"/>
    </row>
    <row r="71" customFormat="false" ht="35.05" hidden="false" customHeight="false" outlineLevel="0" collapsed="false">
      <c r="A71" s="181" t="s">
        <v>3505</v>
      </c>
      <c r="B71" s="182" t="n">
        <v>1008</v>
      </c>
      <c r="C71" s="183" t="n">
        <v>69</v>
      </c>
      <c r="D71" s="181" t="s">
        <v>1509</v>
      </c>
      <c r="E71" s="181" t="s">
        <v>3480</v>
      </c>
      <c r="F71" s="181" t="s">
        <v>3481</v>
      </c>
      <c r="G71" s="181" t="s">
        <v>3414</v>
      </c>
      <c r="H71" s="181" t="s">
        <v>263</v>
      </c>
      <c r="I71" s="181" t="s">
        <v>3425</v>
      </c>
      <c r="J71" s="267"/>
      <c r="K71" s="269" t="n">
        <v>46239</v>
      </c>
      <c r="L71" s="267" t="n">
        <f aca="false">7*Таблица247[[#This Row],[Вес нетто]]/163640</f>
        <v>1.02921046198973</v>
      </c>
      <c r="M71" s="270" t="n">
        <v>3</v>
      </c>
      <c r="N71" s="184" t="n">
        <v>40260</v>
      </c>
      <c r="O71" s="184" t="n">
        <v>16200</v>
      </c>
      <c r="P71" s="185" t="n">
        <v>3</v>
      </c>
      <c r="Q71" s="184" t="n">
        <v>24060</v>
      </c>
      <c r="R71" s="184" t="n">
        <v>23338.2</v>
      </c>
      <c r="S71" s="184"/>
      <c r="T71" s="187"/>
    </row>
    <row r="72" customFormat="false" ht="35.05" hidden="false" customHeight="false" outlineLevel="0" collapsed="false">
      <c r="A72" s="181" t="s">
        <v>3506</v>
      </c>
      <c r="B72" s="182" t="n">
        <v>1006</v>
      </c>
      <c r="C72" s="183" t="n">
        <v>67</v>
      </c>
      <c r="D72" s="181" t="s">
        <v>1509</v>
      </c>
      <c r="E72" s="181" t="s">
        <v>3424</v>
      </c>
      <c r="F72" s="181" t="s">
        <v>1511</v>
      </c>
      <c r="G72" s="181" t="s">
        <v>3414</v>
      </c>
      <c r="H72" s="181" t="s">
        <v>263</v>
      </c>
      <c r="I72" s="181" t="s">
        <v>3425</v>
      </c>
      <c r="J72" s="267"/>
      <c r="K72" s="269" t="n">
        <v>46239</v>
      </c>
      <c r="L72" s="267" t="n">
        <f aca="false">7*Таблица247[[#This Row],[Вес нетто]]/163640</f>
        <v>0.514605230994867</v>
      </c>
      <c r="M72" s="270" t="n">
        <v>3</v>
      </c>
      <c r="N72" s="184" t="n">
        <v>26280</v>
      </c>
      <c r="O72" s="184" t="n">
        <v>14250</v>
      </c>
      <c r="P72" s="185" t="n">
        <v>5</v>
      </c>
      <c r="Q72" s="184" t="n">
        <v>12030</v>
      </c>
      <c r="R72" s="184" t="n">
        <v>11428.5</v>
      </c>
      <c r="S72" s="184"/>
      <c r="T72" s="187"/>
      <c r="U72" s="187"/>
    </row>
    <row r="73" customFormat="false" ht="35.05" hidden="false" customHeight="false" outlineLevel="0" collapsed="false">
      <c r="A73" s="181" t="s">
        <v>3507</v>
      </c>
      <c r="B73" s="182" t="n">
        <v>1013</v>
      </c>
      <c r="C73" s="183" t="n">
        <v>70</v>
      </c>
      <c r="D73" s="181" t="s">
        <v>1509</v>
      </c>
      <c r="E73" s="181" t="s">
        <v>261</v>
      </c>
      <c r="F73" s="181" t="s">
        <v>262</v>
      </c>
      <c r="G73" s="181" t="s">
        <v>3414</v>
      </c>
      <c r="H73" s="181" t="s">
        <v>263</v>
      </c>
      <c r="I73" s="181" t="s">
        <v>3425</v>
      </c>
      <c r="J73" s="267"/>
      <c r="K73" s="269" t="n">
        <v>46240</v>
      </c>
      <c r="L73" s="267" t="n">
        <f aca="false">27.5*Таблица247[[#This Row],[Вес нетто]]/491940</f>
        <v>1.18566288571777</v>
      </c>
      <c r="M73" s="270" t="n">
        <v>4</v>
      </c>
      <c r="N73" s="184" t="n">
        <v>36320</v>
      </c>
      <c r="O73" s="184" t="n">
        <v>15110</v>
      </c>
      <c r="P73" s="185" t="n">
        <v>5</v>
      </c>
      <c r="Q73" s="184" t="n">
        <v>21210</v>
      </c>
      <c r="R73" s="184" t="n">
        <v>20149.5</v>
      </c>
      <c r="S73" s="184"/>
      <c r="T73" s="187"/>
      <c r="U73" s="187"/>
    </row>
    <row r="74" customFormat="false" ht="35.05" hidden="false" customHeight="false" outlineLevel="0" collapsed="false">
      <c r="A74" s="181" t="s">
        <v>3508</v>
      </c>
      <c r="B74" s="182" t="n">
        <v>1014</v>
      </c>
      <c r="C74" s="183" t="n">
        <v>71</v>
      </c>
      <c r="D74" s="181" t="s">
        <v>1509</v>
      </c>
      <c r="E74" s="181" t="s">
        <v>332</v>
      </c>
      <c r="F74" s="181" t="s">
        <v>333</v>
      </c>
      <c r="G74" s="181" t="s">
        <v>3414</v>
      </c>
      <c r="H74" s="181" t="s">
        <v>263</v>
      </c>
      <c r="I74" s="181" t="s">
        <v>3425</v>
      </c>
      <c r="J74" s="267"/>
      <c r="K74" s="269" t="n">
        <v>46240</v>
      </c>
      <c r="L74" s="267" t="n">
        <f aca="false">27.5*Таблица247[[#This Row],[Вес нетто]]/491940</f>
        <v>1.20858234744074</v>
      </c>
      <c r="M74" s="270" t="n">
        <v>4</v>
      </c>
      <c r="N74" s="184" t="n">
        <v>36470</v>
      </c>
      <c r="O74" s="184" t="n">
        <v>14850</v>
      </c>
      <c r="P74" s="185" t="n">
        <v>4</v>
      </c>
      <c r="Q74" s="184" t="n">
        <v>21620</v>
      </c>
      <c r="R74" s="184" t="n">
        <v>20755.2</v>
      </c>
      <c r="S74" s="184"/>
      <c r="T74" s="187"/>
      <c r="U74" s="187"/>
    </row>
    <row r="75" customFormat="false" ht="35.05" hidden="false" customHeight="false" outlineLevel="0" collapsed="false">
      <c r="A75" s="181" t="s">
        <v>3509</v>
      </c>
      <c r="B75" s="182" t="n">
        <v>1016</v>
      </c>
      <c r="C75" s="183" t="n">
        <v>72</v>
      </c>
      <c r="D75" s="181" t="s">
        <v>1509</v>
      </c>
      <c r="E75" s="181" t="s">
        <v>266</v>
      </c>
      <c r="F75" s="181" t="s">
        <v>267</v>
      </c>
      <c r="G75" s="181" t="s">
        <v>3414</v>
      </c>
      <c r="H75" s="181" t="s">
        <v>263</v>
      </c>
      <c r="I75" s="181" t="s">
        <v>3425</v>
      </c>
      <c r="J75" s="267"/>
      <c r="K75" s="269" t="n">
        <v>46240</v>
      </c>
      <c r="L75" s="267" t="n">
        <f aca="false">27.5*Таблица247[[#This Row],[Вес нетто]]/491940</f>
        <v>1.22870675285604</v>
      </c>
      <c r="M75" s="270" t="n">
        <v>4</v>
      </c>
      <c r="N75" s="184" t="n">
        <v>37220</v>
      </c>
      <c r="O75" s="184" t="n">
        <v>15240</v>
      </c>
      <c r="P75" s="185" t="n">
        <v>3</v>
      </c>
      <c r="Q75" s="184" t="n">
        <v>21980</v>
      </c>
      <c r="R75" s="184" t="n">
        <v>21320.6</v>
      </c>
      <c r="S75" s="184"/>
      <c r="T75" s="187"/>
      <c r="U75" s="187"/>
    </row>
    <row r="76" customFormat="false" ht="35.05" hidden="false" customHeight="false" outlineLevel="0" collapsed="false">
      <c r="A76" s="181" t="s">
        <v>3510</v>
      </c>
      <c r="B76" s="182" t="n">
        <v>1017</v>
      </c>
      <c r="C76" s="183" t="n">
        <v>73</v>
      </c>
      <c r="D76" s="181" t="s">
        <v>1509</v>
      </c>
      <c r="E76" s="181" t="s">
        <v>1646</v>
      </c>
      <c r="F76" s="181" t="s">
        <v>1647</v>
      </c>
      <c r="G76" s="181" t="s">
        <v>3414</v>
      </c>
      <c r="H76" s="181" t="s">
        <v>263</v>
      </c>
      <c r="I76" s="181" t="s">
        <v>3425</v>
      </c>
      <c r="J76" s="267"/>
      <c r="K76" s="269" t="n">
        <v>46240</v>
      </c>
      <c r="L76" s="267" t="n">
        <f aca="false">27.5*Таблица247[[#This Row],[Вес нетто]]/491940</f>
        <v>0.705472212058381</v>
      </c>
      <c r="M76" s="270" t="n">
        <v>4</v>
      </c>
      <c r="N76" s="184" t="n">
        <v>26900</v>
      </c>
      <c r="O76" s="184" t="n">
        <v>14280</v>
      </c>
      <c r="P76" s="185" t="n">
        <v>2</v>
      </c>
      <c r="Q76" s="184" t="n">
        <v>12620</v>
      </c>
      <c r="R76" s="184" t="n">
        <v>12367.6</v>
      </c>
      <c r="S76" s="184"/>
      <c r="T76" s="187"/>
      <c r="U76" s="187"/>
    </row>
    <row r="77" customFormat="false" ht="35.05" hidden="false" customHeight="false" outlineLevel="0" collapsed="false">
      <c r="A77" s="181" t="s">
        <v>3511</v>
      </c>
      <c r="B77" s="182" t="n">
        <v>1018</v>
      </c>
      <c r="C77" s="183" t="n">
        <v>74</v>
      </c>
      <c r="D77" s="181" t="s">
        <v>1509</v>
      </c>
      <c r="E77" s="181" t="s">
        <v>261</v>
      </c>
      <c r="F77" s="181" t="s">
        <v>262</v>
      </c>
      <c r="G77" s="181" t="s">
        <v>3414</v>
      </c>
      <c r="H77" s="181" t="s">
        <v>263</v>
      </c>
      <c r="I77" s="181" t="s">
        <v>3425</v>
      </c>
      <c r="J77" s="267"/>
      <c r="K77" s="269" t="n">
        <v>46240</v>
      </c>
      <c r="L77" s="267" t="n">
        <f aca="false">27.5*Таблица247[[#This Row],[Вес нетто]]/491940</f>
        <v>1.20299223482539</v>
      </c>
      <c r="M77" s="270" t="n">
        <v>4</v>
      </c>
      <c r="N77" s="184" t="n">
        <v>36620</v>
      </c>
      <c r="O77" s="184" t="n">
        <v>15100</v>
      </c>
      <c r="P77" s="185" t="n">
        <v>2</v>
      </c>
      <c r="Q77" s="184" t="n">
        <v>21520</v>
      </c>
      <c r="R77" s="184" t="n">
        <v>21089.6</v>
      </c>
      <c r="S77" s="184"/>
      <c r="T77" s="187"/>
      <c r="U77" s="187"/>
    </row>
    <row r="78" customFormat="false" ht="35.05" hidden="false" customHeight="false" outlineLevel="0" collapsed="false">
      <c r="A78" s="181" t="s">
        <v>3512</v>
      </c>
      <c r="B78" s="182" t="n">
        <v>1019</v>
      </c>
      <c r="C78" s="183" t="n">
        <v>75</v>
      </c>
      <c r="D78" s="181" t="s">
        <v>1509</v>
      </c>
      <c r="E78" s="181" t="s">
        <v>332</v>
      </c>
      <c r="F78" s="181" t="s">
        <v>333</v>
      </c>
      <c r="G78" s="181" t="s">
        <v>3414</v>
      </c>
      <c r="H78" s="181" t="s">
        <v>263</v>
      </c>
      <c r="I78" s="181" t="s">
        <v>3425</v>
      </c>
      <c r="J78" s="267"/>
      <c r="K78" s="269" t="n">
        <v>46240</v>
      </c>
      <c r="L78" s="267" t="n">
        <f aca="false">27.5*Таблица247[[#This Row],[Вес нетто]]/491940</f>
        <v>1.2141724600561</v>
      </c>
      <c r="M78" s="270" t="n">
        <v>4</v>
      </c>
      <c r="N78" s="184" t="n">
        <v>36560</v>
      </c>
      <c r="O78" s="184" t="n">
        <v>14840</v>
      </c>
      <c r="P78" s="185" t="n">
        <v>5</v>
      </c>
      <c r="Q78" s="184" t="n">
        <v>21720</v>
      </c>
      <c r="R78" s="184" t="n">
        <v>20634</v>
      </c>
      <c r="S78" s="184"/>
      <c r="T78" s="187"/>
      <c r="U78" s="187"/>
    </row>
    <row r="79" customFormat="false" ht="35.05" hidden="false" customHeight="false" outlineLevel="0" collapsed="false">
      <c r="A79" s="181" t="s">
        <v>3513</v>
      </c>
      <c r="B79" s="182" t="n">
        <v>1020</v>
      </c>
      <c r="C79" s="183" t="n">
        <v>76</v>
      </c>
      <c r="D79" s="181" t="s">
        <v>1509</v>
      </c>
      <c r="E79" s="181" t="s">
        <v>266</v>
      </c>
      <c r="F79" s="181" t="s">
        <v>267</v>
      </c>
      <c r="G79" s="181" t="s">
        <v>3414</v>
      </c>
      <c r="H79" s="181" t="s">
        <v>263</v>
      </c>
      <c r="I79" s="181" t="s">
        <v>3425</v>
      </c>
      <c r="J79" s="267"/>
      <c r="K79" s="269" t="n">
        <v>46240</v>
      </c>
      <c r="L79" s="267" t="n">
        <f aca="false">27.5*Таблица247[[#This Row],[Вес нетто]]/491940</f>
        <v>1.2622474285482</v>
      </c>
      <c r="M79" s="270" t="n">
        <v>4</v>
      </c>
      <c r="N79" s="184" t="n">
        <v>37800</v>
      </c>
      <c r="O79" s="184" t="n">
        <v>15220</v>
      </c>
      <c r="P79" s="185" t="n">
        <v>2</v>
      </c>
      <c r="Q79" s="184" t="n">
        <v>22580</v>
      </c>
      <c r="R79" s="184" t="n">
        <v>22128.4</v>
      </c>
      <c r="S79" s="184"/>
      <c r="T79" s="187"/>
      <c r="U79" s="187"/>
    </row>
    <row r="80" customFormat="false" ht="35.05" hidden="false" customHeight="false" outlineLevel="0" collapsed="false">
      <c r="A80" s="181" t="s">
        <v>3514</v>
      </c>
      <c r="B80" s="182" t="n">
        <v>1022</v>
      </c>
      <c r="C80" s="183" t="n">
        <v>77</v>
      </c>
      <c r="D80" s="181" t="s">
        <v>1509</v>
      </c>
      <c r="E80" s="181" t="s">
        <v>1646</v>
      </c>
      <c r="F80" s="181" t="s">
        <v>1647</v>
      </c>
      <c r="G80" s="181" t="s">
        <v>3414</v>
      </c>
      <c r="H80" s="181" t="s">
        <v>263</v>
      </c>
      <c r="I80" s="181" t="s">
        <v>3425</v>
      </c>
      <c r="J80" s="267"/>
      <c r="K80" s="269" t="n">
        <v>46240</v>
      </c>
      <c r="L80" s="267" t="n">
        <f aca="false">27.5*Таблица247[[#This Row],[Вес нетто]]/491940</f>
        <v>0.675844615196975</v>
      </c>
      <c r="M80" s="270" t="n">
        <v>4</v>
      </c>
      <c r="N80" s="184" t="n">
        <v>26490</v>
      </c>
      <c r="O80" s="184" t="n">
        <v>14400</v>
      </c>
      <c r="P80" s="185" t="n">
        <v>6</v>
      </c>
      <c r="Q80" s="184" t="n">
        <v>12090</v>
      </c>
      <c r="R80" s="184" t="n">
        <v>11364.6</v>
      </c>
      <c r="S80" s="184"/>
      <c r="T80" s="187"/>
      <c r="U80" s="187"/>
    </row>
    <row r="81" customFormat="false" ht="35.05" hidden="false" customHeight="false" outlineLevel="0" collapsed="false">
      <c r="A81" s="181" t="s">
        <v>3515</v>
      </c>
      <c r="B81" s="182" t="n">
        <v>1023</v>
      </c>
      <c r="C81" s="183" t="n">
        <v>78</v>
      </c>
      <c r="D81" s="181" t="s">
        <v>1509</v>
      </c>
      <c r="E81" s="181" t="s">
        <v>261</v>
      </c>
      <c r="F81" s="181" t="s">
        <v>262</v>
      </c>
      <c r="G81" s="181" t="s">
        <v>3414</v>
      </c>
      <c r="H81" s="181" t="s">
        <v>263</v>
      </c>
      <c r="I81" s="181" t="s">
        <v>3425</v>
      </c>
      <c r="J81" s="267"/>
      <c r="K81" s="269" t="n">
        <v>46240</v>
      </c>
      <c r="L81" s="267" t="n">
        <f aca="false">27.5*Таблица247[[#This Row],[Вес нетто]]/491940</f>
        <v>1.21473147131764</v>
      </c>
      <c r="M81" s="270" t="n">
        <v>4</v>
      </c>
      <c r="N81" s="184" t="n">
        <v>36840</v>
      </c>
      <c r="O81" s="184" t="n">
        <v>15110</v>
      </c>
      <c r="P81" s="185" t="n">
        <v>6</v>
      </c>
      <c r="Q81" s="184" t="n">
        <v>21730</v>
      </c>
      <c r="R81" s="184" t="n">
        <v>20426.2</v>
      </c>
      <c r="S81" s="184"/>
      <c r="T81" s="187"/>
      <c r="U81" s="187"/>
    </row>
    <row r="82" customFormat="false" ht="35.05" hidden="false" customHeight="false" outlineLevel="0" collapsed="false">
      <c r="A82" s="181" t="s">
        <v>3516</v>
      </c>
      <c r="B82" s="182" t="n">
        <v>1024</v>
      </c>
      <c r="C82" s="183" t="n">
        <v>79</v>
      </c>
      <c r="D82" s="181" t="s">
        <v>1509</v>
      </c>
      <c r="E82" s="181" t="s">
        <v>332</v>
      </c>
      <c r="F82" s="181" t="s">
        <v>333</v>
      </c>
      <c r="G82" s="181" t="s">
        <v>3414</v>
      </c>
      <c r="H82" s="181" t="s">
        <v>263</v>
      </c>
      <c r="I82" s="181" t="s">
        <v>3425</v>
      </c>
      <c r="J82" s="267"/>
      <c r="K82" s="269" t="n">
        <v>46240</v>
      </c>
      <c r="L82" s="267" t="n">
        <f aca="false">27.5*Таблица247[[#This Row],[Вес нетто]]/491940</f>
        <v>1.2281477415945</v>
      </c>
      <c r="M82" s="270" t="n">
        <v>4</v>
      </c>
      <c r="N82" s="184" t="n">
        <v>36800</v>
      </c>
      <c r="O82" s="184" t="n">
        <v>14830</v>
      </c>
      <c r="P82" s="185" t="n">
        <v>7</v>
      </c>
      <c r="Q82" s="184" t="n">
        <v>21970</v>
      </c>
      <c r="R82" s="184" t="n">
        <v>20432.1</v>
      </c>
      <c r="S82" s="184"/>
      <c r="T82" s="187"/>
      <c r="U82" s="187"/>
    </row>
    <row r="83" customFormat="false" ht="35.05" hidden="false" customHeight="false" outlineLevel="0" collapsed="false">
      <c r="A83" s="181" t="s">
        <v>3517</v>
      </c>
      <c r="B83" s="182" t="n">
        <v>1025</v>
      </c>
      <c r="C83" s="183" t="n">
        <v>80</v>
      </c>
      <c r="D83" s="181" t="s">
        <v>1509</v>
      </c>
      <c r="E83" s="181" t="s">
        <v>266</v>
      </c>
      <c r="F83" s="181" t="s">
        <v>267</v>
      </c>
      <c r="G83" s="181" t="s">
        <v>3414</v>
      </c>
      <c r="H83" s="181" t="s">
        <v>263</v>
      </c>
      <c r="I83" s="181" t="s">
        <v>3425</v>
      </c>
      <c r="J83" s="267"/>
      <c r="K83" s="269" t="n">
        <v>46240</v>
      </c>
      <c r="L83" s="267" t="n">
        <f aca="false">27.5*Таблица247[[#This Row],[Вес нетто]]/491940</f>
        <v>1.26057039476359</v>
      </c>
      <c r="M83" s="270" t="n">
        <v>4</v>
      </c>
      <c r="N83" s="184" t="n">
        <v>37750</v>
      </c>
      <c r="O83" s="184" t="n">
        <v>15200</v>
      </c>
      <c r="P83" s="185" t="n">
        <v>7</v>
      </c>
      <c r="Q83" s="184" t="n">
        <v>22550</v>
      </c>
      <c r="R83" s="184" t="n">
        <v>20971.5</v>
      </c>
      <c r="S83" s="184"/>
      <c r="T83" s="187"/>
      <c r="U83" s="187"/>
    </row>
    <row r="84" customFormat="false" ht="35.05" hidden="false" customHeight="false" outlineLevel="0" collapsed="false">
      <c r="A84" s="181" t="s">
        <v>3518</v>
      </c>
      <c r="B84" s="182" t="n">
        <v>1026</v>
      </c>
      <c r="C84" s="183" t="n">
        <v>81</v>
      </c>
      <c r="D84" s="181" t="s">
        <v>1509</v>
      </c>
      <c r="E84" s="181" t="s">
        <v>1646</v>
      </c>
      <c r="F84" s="181" t="s">
        <v>1647</v>
      </c>
      <c r="G84" s="181" t="s">
        <v>3414</v>
      </c>
      <c r="H84" s="181" t="s">
        <v>263</v>
      </c>
      <c r="I84" s="181" t="s">
        <v>3425</v>
      </c>
      <c r="J84" s="267"/>
      <c r="K84" s="269" t="n">
        <v>46240</v>
      </c>
      <c r="L84" s="267" t="n">
        <f aca="false">27.5*Таблица247[[#This Row],[Вес нетто]]/491940</f>
        <v>0.925722649103549</v>
      </c>
      <c r="M84" s="270" t="n">
        <v>4</v>
      </c>
      <c r="N84" s="184" t="n">
        <v>30950</v>
      </c>
      <c r="O84" s="184" t="n">
        <v>14390</v>
      </c>
      <c r="P84" s="185" t="n">
        <v>5</v>
      </c>
      <c r="Q84" s="184" t="n">
        <v>16560</v>
      </c>
      <c r="R84" s="184" t="n">
        <v>15732</v>
      </c>
      <c r="S84" s="184"/>
      <c r="T84" s="187"/>
      <c r="U84" s="187"/>
    </row>
    <row r="85" customFormat="false" ht="35.05" hidden="false" customHeight="false" outlineLevel="0" collapsed="false">
      <c r="A85" s="181" t="s">
        <v>3519</v>
      </c>
      <c r="B85" s="182" t="n">
        <v>1027</v>
      </c>
      <c r="C85" s="183" t="n">
        <v>82</v>
      </c>
      <c r="D85" s="181" t="s">
        <v>1509</v>
      </c>
      <c r="E85" s="181" t="s">
        <v>261</v>
      </c>
      <c r="F85" s="181" t="s">
        <v>262</v>
      </c>
      <c r="G85" s="181" t="s">
        <v>3414</v>
      </c>
      <c r="H85" s="181" t="s">
        <v>263</v>
      </c>
      <c r="I85" s="181" t="s">
        <v>3425</v>
      </c>
      <c r="J85" s="267"/>
      <c r="K85" s="269" t="n">
        <v>46240</v>
      </c>
      <c r="L85" s="267" t="n">
        <f aca="false">27.5*Таблица247[[#This Row],[Вес нетто]]/491940</f>
        <v>1.11634548928731</v>
      </c>
      <c r="M85" s="270" t="n">
        <v>4</v>
      </c>
      <c r="N85" s="184" t="n">
        <v>35040</v>
      </c>
      <c r="O85" s="184" t="n">
        <v>15070</v>
      </c>
      <c r="P85" s="185" t="n">
        <v>6</v>
      </c>
      <c r="Q85" s="184" t="n">
        <v>19970</v>
      </c>
      <c r="R85" s="184" t="n">
        <v>18771.8</v>
      </c>
      <c r="S85" s="184"/>
      <c r="T85" s="187"/>
      <c r="U85" s="187"/>
    </row>
    <row r="86" customFormat="false" ht="35.05" hidden="false" customHeight="false" outlineLevel="0" collapsed="false">
      <c r="A86" s="181" t="s">
        <v>3520</v>
      </c>
      <c r="B86" s="182" t="n">
        <v>1029</v>
      </c>
      <c r="C86" s="183" t="n">
        <v>83</v>
      </c>
      <c r="D86" s="181" t="s">
        <v>1509</v>
      </c>
      <c r="E86" s="181" t="s">
        <v>332</v>
      </c>
      <c r="F86" s="181" t="s">
        <v>333</v>
      </c>
      <c r="G86" s="181" t="s">
        <v>3414</v>
      </c>
      <c r="H86" s="181" t="s">
        <v>263</v>
      </c>
      <c r="I86" s="181" t="s">
        <v>3425</v>
      </c>
      <c r="J86" s="267"/>
      <c r="K86" s="269" t="n">
        <v>46240</v>
      </c>
      <c r="L86" s="267" t="n">
        <f aca="false">27.5*Таблица247[[#This Row],[Вес нетто]]/491940</f>
        <v>0.949760133349596</v>
      </c>
      <c r="M86" s="270" t="n">
        <v>4</v>
      </c>
      <c r="N86" s="184" t="n">
        <v>31810</v>
      </c>
      <c r="O86" s="184" t="n">
        <v>14820</v>
      </c>
      <c r="P86" s="185" t="n">
        <v>5</v>
      </c>
      <c r="Q86" s="184" t="n">
        <v>16990</v>
      </c>
      <c r="R86" s="184" t="n">
        <v>16140.5</v>
      </c>
      <c r="S86" s="184"/>
      <c r="T86" s="187"/>
      <c r="U86" s="187"/>
    </row>
    <row r="87" customFormat="false" ht="35.05" hidden="false" customHeight="false" outlineLevel="0" collapsed="false">
      <c r="A87" s="181" t="s">
        <v>3521</v>
      </c>
      <c r="B87" s="182" t="n">
        <v>1030</v>
      </c>
      <c r="C87" s="183" t="n">
        <v>84</v>
      </c>
      <c r="D87" s="181" t="s">
        <v>1509</v>
      </c>
      <c r="E87" s="181" t="s">
        <v>266</v>
      </c>
      <c r="F87" s="181" t="s">
        <v>267</v>
      </c>
      <c r="G87" s="181" t="s">
        <v>3414</v>
      </c>
      <c r="H87" s="181" t="s">
        <v>263</v>
      </c>
      <c r="I87" s="181" t="s">
        <v>3425</v>
      </c>
      <c r="J87" s="267"/>
      <c r="K87" s="269" t="n">
        <v>46240</v>
      </c>
      <c r="L87" s="267" t="n">
        <f aca="false">27.5*Таблица247[[#This Row],[Вес нетто]]/491940</f>
        <v>1.2560983046713</v>
      </c>
      <c r="M87" s="270" t="n">
        <v>4</v>
      </c>
      <c r="N87" s="184" t="n">
        <v>37660</v>
      </c>
      <c r="O87" s="184" t="n">
        <v>15190</v>
      </c>
      <c r="P87" s="185" t="n">
        <v>9</v>
      </c>
      <c r="Q87" s="184" t="n">
        <v>22470</v>
      </c>
      <c r="R87" s="184" t="n">
        <v>20447.7</v>
      </c>
      <c r="S87" s="184"/>
      <c r="T87" s="187"/>
      <c r="U87" s="187"/>
    </row>
    <row r="88" customFormat="false" ht="35.05" hidden="false" customHeight="false" outlineLevel="0" collapsed="false">
      <c r="A88" s="181" t="s">
        <v>3522</v>
      </c>
      <c r="B88" s="182" t="n">
        <v>1033</v>
      </c>
      <c r="C88" s="183" t="n">
        <v>87</v>
      </c>
      <c r="D88" s="181" t="s">
        <v>1509</v>
      </c>
      <c r="E88" s="181" t="s">
        <v>332</v>
      </c>
      <c r="F88" s="181" t="s">
        <v>333</v>
      </c>
      <c r="G88" s="181" t="s">
        <v>3414</v>
      </c>
      <c r="H88" s="181" t="s">
        <v>263</v>
      </c>
      <c r="I88" s="181" t="s">
        <v>3425</v>
      </c>
      <c r="J88" s="267"/>
      <c r="K88" s="269" t="n">
        <v>46240</v>
      </c>
      <c r="L88" s="267" t="n">
        <f aca="false">27.5*Таблица247[[#This Row],[Вес нетто]]/491940</f>
        <v>1.06268040817986</v>
      </c>
      <c r="M88" s="270" t="n">
        <v>4</v>
      </c>
      <c r="N88" s="184" t="n">
        <v>33810</v>
      </c>
      <c r="O88" s="184" t="n">
        <v>14800</v>
      </c>
      <c r="P88" s="185" t="n">
        <v>7</v>
      </c>
      <c r="Q88" s="184" t="n">
        <v>19010</v>
      </c>
      <c r="R88" s="184" t="n">
        <v>17679.3</v>
      </c>
      <c r="S88" s="184"/>
      <c r="T88" s="187"/>
      <c r="U88" s="187"/>
    </row>
    <row r="89" customFormat="false" ht="35.05" hidden="false" customHeight="false" outlineLevel="0" collapsed="false">
      <c r="A89" s="181" t="s">
        <v>3523</v>
      </c>
      <c r="B89" s="182" t="n">
        <v>1031</v>
      </c>
      <c r="C89" s="183" t="n">
        <v>85</v>
      </c>
      <c r="D89" s="181" t="s">
        <v>1509</v>
      </c>
      <c r="E89" s="181" t="s">
        <v>1646</v>
      </c>
      <c r="F89" s="181" t="s">
        <v>1647</v>
      </c>
      <c r="G89" s="181" t="s">
        <v>3414</v>
      </c>
      <c r="H89" s="181" t="s">
        <v>263</v>
      </c>
      <c r="I89" s="181" t="s">
        <v>3425</v>
      </c>
      <c r="J89" s="267"/>
      <c r="K89" s="269" t="n">
        <v>46240</v>
      </c>
      <c r="L89" s="267" t="n">
        <f aca="false">27.5*Таблица247[[#This Row],[Вес нетто]]/491940</f>
        <v>0.645098995812497</v>
      </c>
      <c r="M89" s="270" t="n">
        <v>4</v>
      </c>
      <c r="N89" s="184" t="n">
        <v>25920</v>
      </c>
      <c r="O89" s="184" t="n">
        <v>14380</v>
      </c>
      <c r="P89" s="185" t="n">
        <v>4</v>
      </c>
      <c r="Q89" s="184" t="n">
        <v>11540</v>
      </c>
      <c r="R89" s="184" t="n">
        <v>11078.4</v>
      </c>
      <c r="S89" s="184"/>
      <c r="T89" s="187"/>
      <c r="U89" s="187"/>
    </row>
    <row r="90" customFormat="false" ht="35.05" hidden="false" customHeight="false" outlineLevel="0" collapsed="false">
      <c r="A90" s="181" t="s">
        <v>3524</v>
      </c>
      <c r="B90" s="182" t="n">
        <v>1032</v>
      </c>
      <c r="C90" s="183" t="n">
        <v>86</v>
      </c>
      <c r="D90" s="181" t="s">
        <v>1509</v>
      </c>
      <c r="E90" s="181" t="s">
        <v>261</v>
      </c>
      <c r="F90" s="181" t="s">
        <v>262</v>
      </c>
      <c r="G90" s="181" t="s">
        <v>3414</v>
      </c>
      <c r="H90" s="181" t="s">
        <v>263</v>
      </c>
      <c r="I90" s="181" t="s">
        <v>3425</v>
      </c>
      <c r="J90" s="267"/>
      <c r="K90" s="269" t="n">
        <v>46240</v>
      </c>
      <c r="L90" s="267" t="n">
        <f aca="false">27.5*Таблица247[[#This Row],[Вес нетто]]/491940</f>
        <v>0.962617392364923</v>
      </c>
      <c r="M90" s="270" t="n">
        <v>4</v>
      </c>
      <c r="N90" s="184" t="n">
        <v>32280</v>
      </c>
      <c r="O90" s="184" t="n">
        <v>15060</v>
      </c>
      <c r="P90" s="185" t="n">
        <v>4</v>
      </c>
      <c r="Q90" s="184" t="n">
        <v>17220</v>
      </c>
      <c r="R90" s="184" t="n">
        <v>16531.2</v>
      </c>
      <c r="S90" s="184"/>
      <c r="T90" s="187"/>
      <c r="U90" s="187"/>
    </row>
    <row r="91" customFormat="false" ht="35.05" hidden="false" customHeight="false" outlineLevel="0" collapsed="false">
      <c r="A91" s="181" t="s">
        <v>3525</v>
      </c>
      <c r="B91" s="182" t="n">
        <v>1034</v>
      </c>
      <c r="C91" s="183" t="n">
        <v>88</v>
      </c>
      <c r="D91" s="181" t="s">
        <v>1509</v>
      </c>
      <c r="E91" s="181" t="s">
        <v>266</v>
      </c>
      <c r="F91" s="181" t="s">
        <v>267</v>
      </c>
      <c r="G91" s="181" t="s">
        <v>3414</v>
      </c>
      <c r="H91" s="181" t="s">
        <v>263</v>
      </c>
      <c r="I91" s="181" t="s">
        <v>3425</v>
      </c>
      <c r="J91" s="267"/>
      <c r="K91" s="269" t="n">
        <v>46240</v>
      </c>
      <c r="L91" s="267" t="n">
        <f aca="false">27.5*Таблица247[[#This Row],[Вес нетто]]/491940</f>
        <v>1.20075618977924</v>
      </c>
      <c r="M91" s="270" t="n">
        <v>4</v>
      </c>
      <c r="N91" s="184" t="n">
        <v>36650</v>
      </c>
      <c r="O91" s="184" t="n">
        <v>15170</v>
      </c>
      <c r="P91" s="185" t="n">
        <v>6</v>
      </c>
      <c r="Q91" s="184" t="n">
        <v>21480</v>
      </c>
      <c r="R91" s="184" t="n">
        <v>20191.2</v>
      </c>
      <c r="S91" s="184"/>
      <c r="T91" s="187"/>
      <c r="U91" s="187"/>
    </row>
    <row r="92" customFormat="false" ht="35.05" hidden="false" customHeight="false" outlineLevel="0" collapsed="false">
      <c r="A92" s="181" t="s">
        <v>3526</v>
      </c>
      <c r="B92" s="182" t="n">
        <v>1035</v>
      </c>
      <c r="C92" s="183" t="n">
        <v>89</v>
      </c>
      <c r="D92" s="181" t="s">
        <v>1509</v>
      </c>
      <c r="E92" s="181" t="s">
        <v>1646</v>
      </c>
      <c r="F92" s="181" t="s">
        <v>1647</v>
      </c>
      <c r="G92" s="181" t="s">
        <v>3414</v>
      </c>
      <c r="H92" s="181" t="s">
        <v>263</v>
      </c>
      <c r="I92" s="181" t="s">
        <v>3425</v>
      </c>
      <c r="J92" s="267"/>
      <c r="K92" s="269" t="n">
        <v>46240</v>
      </c>
      <c r="L92" s="267" t="n">
        <f aca="false">27.5*Таблица247[[#This Row],[Вес нетто]]/491940</f>
        <v>0.720565516119852</v>
      </c>
      <c r="M92" s="270" t="n">
        <v>4</v>
      </c>
      <c r="N92" s="184" t="n">
        <v>27290</v>
      </c>
      <c r="O92" s="184" t="n">
        <v>14400</v>
      </c>
      <c r="P92" s="185" t="n">
        <v>5</v>
      </c>
      <c r="Q92" s="184" t="n">
        <v>12890</v>
      </c>
      <c r="R92" s="184" t="n">
        <v>12245.5</v>
      </c>
      <c r="S92" s="184"/>
      <c r="T92" s="187"/>
      <c r="U92" s="187"/>
    </row>
    <row r="93" customFormat="false" ht="35.05" hidden="false" customHeight="false" outlineLevel="0" collapsed="false">
      <c r="A93" s="181" t="s">
        <v>3527</v>
      </c>
      <c r="B93" s="182" t="n">
        <v>1036</v>
      </c>
      <c r="C93" s="183" t="n">
        <v>90</v>
      </c>
      <c r="D93" s="181" t="s">
        <v>1509</v>
      </c>
      <c r="E93" s="181" t="s">
        <v>261</v>
      </c>
      <c r="F93" s="181" t="s">
        <v>262</v>
      </c>
      <c r="G93" s="181" t="s">
        <v>3414</v>
      </c>
      <c r="H93" s="181" t="s">
        <v>263</v>
      </c>
      <c r="I93" s="181" t="s">
        <v>3425</v>
      </c>
      <c r="J93" s="267"/>
      <c r="K93" s="269" t="n">
        <v>46240</v>
      </c>
      <c r="L93" s="267" t="n">
        <f aca="false">27.5*Таблица247[[#This Row],[Вес нетто]]/491940</f>
        <v>1.10628328657966</v>
      </c>
      <c r="M93" s="270" t="n">
        <v>4</v>
      </c>
      <c r="N93" s="184" t="n">
        <v>34860</v>
      </c>
      <c r="O93" s="184" t="n">
        <v>15070</v>
      </c>
      <c r="P93" s="185" t="n">
        <v>3</v>
      </c>
      <c r="Q93" s="184" t="n">
        <v>19790</v>
      </c>
      <c r="R93" s="184" t="n">
        <v>19196.3</v>
      </c>
      <c r="S93" s="184"/>
      <c r="T93" s="187"/>
      <c r="U93" s="187"/>
    </row>
    <row r="94" customFormat="false" ht="35.05" hidden="false" customHeight="false" outlineLevel="0" collapsed="false">
      <c r="A94" s="181" t="s">
        <v>3528</v>
      </c>
      <c r="B94" s="182" t="n">
        <v>1037</v>
      </c>
      <c r="C94" s="183" t="n">
        <v>91</v>
      </c>
      <c r="D94" s="181" t="s">
        <v>1509</v>
      </c>
      <c r="E94" s="181" t="s">
        <v>332</v>
      </c>
      <c r="F94" s="181" t="s">
        <v>333</v>
      </c>
      <c r="G94" s="181" t="s">
        <v>3414</v>
      </c>
      <c r="H94" s="181" t="s">
        <v>263</v>
      </c>
      <c r="I94" s="181" t="s">
        <v>3425</v>
      </c>
      <c r="J94" s="267"/>
      <c r="K94" s="269" t="n">
        <v>46240</v>
      </c>
      <c r="L94" s="267" t="n">
        <f aca="false">27.5*Таблица247[[#This Row],[Вес нетто]]/491940</f>
        <v>1.13758791722568</v>
      </c>
      <c r="M94" s="270" t="n">
        <v>4</v>
      </c>
      <c r="N94" s="184" t="n">
        <v>35150</v>
      </c>
      <c r="O94" s="184" t="n">
        <v>14800</v>
      </c>
      <c r="P94" s="185" t="n">
        <v>6</v>
      </c>
      <c r="Q94" s="184" t="n">
        <v>20350</v>
      </c>
      <c r="R94" s="184" t="n">
        <v>19129</v>
      </c>
      <c r="S94" s="184"/>
      <c r="T94" s="187"/>
      <c r="U94" s="187"/>
    </row>
    <row r="95" customFormat="false" ht="35.05" hidden="false" customHeight="false" outlineLevel="0" collapsed="false">
      <c r="A95" s="181" t="s">
        <v>3529</v>
      </c>
      <c r="B95" s="182" t="n">
        <v>1039</v>
      </c>
      <c r="C95" s="183" t="n">
        <v>92</v>
      </c>
      <c r="D95" s="181" t="s">
        <v>1509</v>
      </c>
      <c r="E95" s="181" t="s">
        <v>266</v>
      </c>
      <c r="F95" s="181" t="s">
        <v>267</v>
      </c>
      <c r="G95" s="181" t="s">
        <v>3414</v>
      </c>
      <c r="H95" s="181" t="s">
        <v>263</v>
      </c>
      <c r="I95" s="181" t="s">
        <v>3425</v>
      </c>
      <c r="J95" s="267"/>
      <c r="K95" s="269" t="n">
        <v>46240</v>
      </c>
      <c r="L95" s="267" t="n">
        <f aca="false">27.5*Таблица247[[#This Row],[Вес нетто]]/491940</f>
        <v>1.20299223482539</v>
      </c>
      <c r="M95" s="270" t="n">
        <v>4</v>
      </c>
      <c r="N95" s="184" t="n">
        <v>36730</v>
      </c>
      <c r="O95" s="184" t="n">
        <v>15210</v>
      </c>
      <c r="P95" s="185" t="n">
        <v>3</v>
      </c>
      <c r="Q95" s="184" t="n">
        <v>21520</v>
      </c>
      <c r="R95" s="184" t="n">
        <v>20874.4</v>
      </c>
      <c r="S95" s="184"/>
      <c r="T95" s="187"/>
      <c r="U95" s="187"/>
    </row>
    <row r="96" customFormat="false" ht="35.05" hidden="false" customHeight="false" outlineLevel="0" collapsed="false">
      <c r="A96" s="181" t="s">
        <v>3530</v>
      </c>
      <c r="B96" s="182" t="n">
        <v>1040</v>
      </c>
      <c r="C96" s="183" t="n">
        <v>93</v>
      </c>
      <c r="D96" s="181" t="s">
        <v>1509</v>
      </c>
      <c r="E96" s="181" t="s">
        <v>1646</v>
      </c>
      <c r="F96" s="181" t="s">
        <v>1647</v>
      </c>
      <c r="G96" s="181" t="s">
        <v>3414</v>
      </c>
      <c r="H96" s="181" t="s">
        <v>263</v>
      </c>
      <c r="I96" s="181" t="s">
        <v>3425</v>
      </c>
      <c r="J96" s="267"/>
      <c r="K96" s="269" t="n">
        <v>46240</v>
      </c>
      <c r="L96" s="267" t="n">
        <f aca="false">27.5*Таблица247[[#This Row],[Вес нетто]]/491940</f>
        <v>0.670813513843152</v>
      </c>
      <c r="M96" s="270" t="n">
        <v>4</v>
      </c>
      <c r="N96" s="184" t="n">
        <v>26400</v>
      </c>
      <c r="O96" s="184" t="n">
        <v>14400</v>
      </c>
      <c r="P96" s="185" t="n">
        <v>4</v>
      </c>
      <c r="Q96" s="184" t="n">
        <v>12000</v>
      </c>
      <c r="R96" s="184" t="n">
        <v>11520</v>
      </c>
      <c r="S96" s="184"/>
      <c r="T96" s="187"/>
      <c r="U96" s="187"/>
    </row>
    <row r="97" customFormat="false" ht="35.05" hidden="false" customHeight="false" outlineLevel="0" collapsed="false">
      <c r="A97" s="181" t="s">
        <v>3531</v>
      </c>
      <c r="B97" s="182" t="n">
        <v>1041</v>
      </c>
      <c r="C97" s="183" t="n">
        <v>94</v>
      </c>
      <c r="D97" s="181" t="s">
        <v>1509</v>
      </c>
      <c r="E97" s="181" t="s">
        <v>261</v>
      </c>
      <c r="F97" s="181" t="s">
        <v>262</v>
      </c>
      <c r="G97" s="181" t="s">
        <v>3414</v>
      </c>
      <c r="H97" s="181" t="s">
        <v>263</v>
      </c>
      <c r="I97" s="181" t="s">
        <v>3425</v>
      </c>
      <c r="J97" s="267"/>
      <c r="K97" s="269" t="n">
        <v>46240</v>
      </c>
      <c r="L97" s="267" t="n">
        <f aca="false">27.5*Таблица247[[#This Row],[Вес нетто]]/491940</f>
        <v>1.11131438793349</v>
      </c>
      <c r="M97" s="270" t="n">
        <v>4</v>
      </c>
      <c r="N97" s="184" t="n">
        <v>34930</v>
      </c>
      <c r="O97" s="184" t="n">
        <v>15050</v>
      </c>
      <c r="P97" s="185" t="n">
        <v>5</v>
      </c>
      <c r="Q97" s="184" t="n">
        <v>19880</v>
      </c>
      <c r="R97" s="184" t="n">
        <v>18886</v>
      </c>
      <c r="S97" s="184"/>
      <c r="T97" s="187"/>
      <c r="U97" s="187"/>
    </row>
    <row r="98" customFormat="false" ht="35.05" hidden="false" customHeight="false" outlineLevel="0" collapsed="false">
      <c r="A98" s="181" t="s">
        <v>3532</v>
      </c>
      <c r="B98" s="182" t="n">
        <v>1042</v>
      </c>
      <c r="C98" s="183" t="n">
        <v>95</v>
      </c>
      <c r="D98" s="181" t="s">
        <v>1509</v>
      </c>
      <c r="E98" s="181" t="s">
        <v>332</v>
      </c>
      <c r="F98" s="181" t="s">
        <v>333</v>
      </c>
      <c r="G98" s="181" t="s">
        <v>3414</v>
      </c>
      <c r="H98" s="181" t="s">
        <v>263</v>
      </c>
      <c r="I98" s="181" t="s">
        <v>3425</v>
      </c>
      <c r="J98" s="267"/>
      <c r="K98" s="269" t="n">
        <v>46240</v>
      </c>
      <c r="L98" s="267" t="n">
        <f aca="false">27.5*Таблица247[[#This Row],[Вес нетто]]/491940</f>
        <v>1.04423303654917</v>
      </c>
      <c r="M98" s="270" t="n">
        <v>4</v>
      </c>
      <c r="N98" s="184" t="n">
        <v>33480</v>
      </c>
      <c r="O98" s="184" t="n">
        <v>14800</v>
      </c>
      <c r="P98" s="185" t="n">
        <v>6</v>
      </c>
      <c r="Q98" s="184" t="n">
        <v>18680</v>
      </c>
      <c r="R98" s="184" t="n">
        <v>17559.2</v>
      </c>
      <c r="S98" s="184"/>
      <c r="T98" s="187"/>
      <c r="U98" s="187"/>
    </row>
    <row r="99" customFormat="false" ht="15" hidden="false" customHeight="false" outlineLevel="0" collapsed="false">
      <c r="A99" s="181"/>
      <c r="B99" s="182"/>
      <c r="C99" s="183"/>
      <c r="D99" s="181"/>
      <c r="E99" s="181"/>
      <c r="F99" s="181"/>
      <c r="G99" s="181"/>
      <c r="H99" s="181"/>
      <c r="I99" s="181"/>
      <c r="J99" s="267"/>
      <c r="K99" s="269"/>
      <c r="L99" s="267" t="n">
        <f aca="false">SUBTOTAL(109,Таблица247[Площадь уборки, га])</f>
        <v>94</v>
      </c>
      <c r="M99" s="184"/>
      <c r="N99" s="184"/>
      <c r="O99" s="184"/>
      <c r="P99" s="185"/>
      <c r="Q99" s="184" t="n">
        <f aca="false">SUBTOTAL(109,Таблица247[Вес нетто])</f>
        <v>1827890</v>
      </c>
      <c r="R99" s="184" t="n">
        <f aca="false">SUBTOTAL(109,Таблица247[Зачетный вес])</f>
        <v>1720975</v>
      </c>
      <c r="S99" s="184"/>
      <c r="T99" s="18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461"/>
  <sheetViews>
    <sheetView showFormulas="false" showGridLines="false" showRowColHeaders="true" showZeros="true" rightToLeft="false" tabSelected="false" showOutlineSymbols="true" defaultGridColor="true" view="normal" topLeftCell="C1" colorId="64" zoomScale="70" zoomScaleNormal="70" zoomScalePageLayoutView="100" workbookViewId="0">
      <pane xSplit="0" ySplit="1" topLeftCell="A1068" activePane="bottomLeft" state="frozen"/>
      <selection pane="topLeft" activeCell="C1" activeCellId="0" sqref="C1"/>
      <selection pane="bottomLeft" activeCell="I1483" activeCellId="0" sqref="I1483"/>
    </sheetView>
  </sheetViews>
  <sheetFormatPr defaultColWidth="8.00390625" defaultRowHeight="15" customHeight="true" zeroHeight="false" outlineLevelRow="0" outlineLevelCol="0"/>
  <cols>
    <col collapsed="false" customWidth="true" hidden="false" outlineLevel="0" max="1" min="1" style="0" width="32.86"/>
    <col collapsed="false" customWidth="true" hidden="false" outlineLevel="0" max="2" min="2" style="0" width="15.85"/>
    <col collapsed="false" customWidth="true" hidden="false" outlineLevel="0" max="3" min="3" style="0" width="9.42"/>
    <col collapsed="false" customWidth="true" hidden="false" outlineLevel="0" max="4" min="4" style="0" width="14"/>
    <col collapsed="false" customWidth="true" hidden="false" outlineLevel="0" max="5" min="5" style="0" width="12.71"/>
    <col collapsed="false" customWidth="true" hidden="false" outlineLevel="0" max="6" min="6" style="0" width="14.42"/>
    <col collapsed="false" customWidth="true" hidden="false" outlineLevel="0" max="7" min="7" style="0" width="10.71"/>
    <col collapsed="false" customWidth="true" hidden="false" outlineLevel="0" max="8" min="8" style="0" width="12.86"/>
    <col collapsed="false" customWidth="true" hidden="false" outlineLevel="0" max="9" min="9" style="0" width="23.42"/>
    <col collapsed="false" customWidth="true" hidden="false" outlineLevel="0" max="10" min="10" style="0" width="15.42"/>
    <col collapsed="false" customWidth="true" hidden="false" outlineLevel="0" max="11" min="11" style="15" width="15.42"/>
    <col collapsed="false" customWidth="true" hidden="false" outlineLevel="0" max="12" min="12" style="0" width="15.42"/>
    <col collapsed="false" customWidth="true" hidden="false" outlineLevel="0" max="13" min="13" style="263" width="22"/>
    <col collapsed="false" customWidth="true" hidden="false" outlineLevel="0" max="14" min="14" style="0" width="13"/>
    <col collapsed="false" customWidth="true" hidden="false" outlineLevel="0" max="15" min="15" style="0" width="11.71"/>
    <col collapsed="false" customWidth="true" hidden="false" outlineLevel="0" max="16" min="16" style="0" width="9.86"/>
    <col collapsed="false" customWidth="true" hidden="false" outlineLevel="0" max="17" min="17" style="0" width="14"/>
    <col collapsed="false" customWidth="true" hidden="false" outlineLevel="0" max="18" min="18" style="0" width="15.85"/>
    <col collapsed="false" customWidth="true" hidden="false" outlineLevel="0" max="19" min="19" style="0" width="13.29"/>
    <col collapsed="false" customWidth="true" hidden="false" outlineLevel="0" max="20" min="20" style="15" width="12.29"/>
    <col collapsed="false" customWidth="true" hidden="false" outlineLevel="0" max="208" min="208" style="0" width="1.57"/>
    <col collapsed="false" customWidth="true" hidden="false" outlineLevel="0" max="209" min="209" style="0" width="48.29"/>
    <col collapsed="false" customWidth="true" hidden="false" outlineLevel="0" max="210" min="210" style="0" width="13.29"/>
    <col collapsed="false" customWidth="true" hidden="false" outlineLevel="0" max="211" min="211" style="0" width="18.29"/>
    <col collapsed="false" customWidth="true" hidden="false" outlineLevel="0" max="212" min="212" style="0" width="18.57"/>
    <col collapsed="false" customWidth="true" hidden="false" outlineLevel="0" max="213" min="213" style="0" width="12.71"/>
    <col collapsed="false" customWidth="true" hidden="false" outlineLevel="0" max="214" min="214" style="0" width="10.85"/>
    <col collapsed="false" customWidth="true" hidden="false" outlineLevel="0" max="215" min="215" style="0" width="16.29"/>
    <col collapsed="false" customWidth="true" hidden="false" outlineLevel="0" max="216" min="216" style="0" width="8.15"/>
    <col collapsed="false" customWidth="true" hidden="false" outlineLevel="0" max="221" min="217" style="0" width="11.71"/>
    <col collapsed="false" customWidth="true" hidden="false" outlineLevel="0" max="222" min="222" style="0" width="15.85"/>
    <col collapsed="false" customWidth="true" hidden="false" outlineLevel="0" max="464" min="464" style="0" width="1.57"/>
    <col collapsed="false" customWidth="true" hidden="false" outlineLevel="0" max="465" min="465" style="0" width="48.29"/>
    <col collapsed="false" customWidth="true" hidden="false" outlineLevel="0" max="466" min="466" style="0" width="13.29"/>
    <col collapsed="false" customWidth="true" hidden="false" outlineLevel="0" max="467" min="467" style="0" width="18.29"/>
    <col collapsed="false" customWidth="true" hidden="false" outlineLevel="0" max="468" min="468" style="0" width="18.57"/>
    <col collapsed="false" customWidth="true" hidden="false" outlineLevel="0" max="469" min="469" style="0" width="12.71"/>
    <col collapsed="false" customWidth="true" hidden="false" outlineLevel="0" max="470" min="470" style="0" width="10.85"/>
    <col collapsed="false" customWidth="true" hidden="false" outlineLevel="0" max="471" min="471" style="0" width="16.29"/>
    <col collapsed="false" customWidth="true" hidden="false" outlineLevel="0" max="472" min="472" style="0" width="8.15"/>
    <col collapsed="false" customWidth="true" hidden="false" outlineLevel="0" max="477" min="473" style="0" width="11.71"/>
    <col collapsed="false" customWidth="true" hidden="false" outlineLevel="0" max="478" min="478" style="0" width="15.85"/>
    <col collapsed="false" customWidth="true" hidden="false" outlineLevel="0" max="720" min="720" style="0" width="1.57"/>
    <col collapsed="false" customWidth="true" hidden="false" outlineLevel="0" max="721" min="721" style="0" width="48.29"/>
    <col collapsed="false" customWidth="true" hidden="false" outlineLevel="0" max="722" min="722" style="0" width="13.29"/>
    <col collapsed="false" customWidth="true" hidden="false" outlineLevel="0" max="723" min="723" style="0" width="18.29"/>
    <col collapsed="false" customWidth="true" hidden="false" outlineLevel="0" max="724" min="724" style="0" width="18.57"/>
    <col collapsed="false" customWidth="true" hidden="false" outlineLevel="0" max="725" min="725" style="0" width="12.71"/>
    <col collapsed="false" customWidth="true" hidden="false" outlineLevel="0" max="726" min="726" style="0" width="10.85"/>
    <col collapsed="false" customWidth="true" hidden="false" outlineLevel="0" max="727" min="727" style="0" width="16.29"/>
    <col collapsed="false" customWidth="true" hidden="false" outlineLevel="0" max="728" min="728" style="0" width="8.15"/>
    <col collapsed="false" customWidth="true" hidden="false" outlineLevel="0" max="733" min="729" style="0" width="11.71"/>
    <col collapsed="false" customWidth="true" hidden="false" outlineLevel="0" max="734" min="734" style="0" width="15.85"/>
    <col collapsed="false" customWidth="true" hidden="false" outlineLevel="0" max="976" min="976" style="0" width="1.57"/>
    <col collapsed="false" customWidth="true" hidden="false" outlineLevel="0" max="977" min="977" style="0" width="48.29"/>
    <col collapsed="false" customWidth="true" hidden="false" outlineLevel="0" max="978" min="978" style="0" width="13.29"/>
    <col collapsed="false" customWidth="true" hidden="false" outlineLevel="0" max="979" min="979" style="0" width="18.29"/>
    <col collapsed="false" customWidth="true" hidden="false" outlineLevel="0" max="980" min="980" style="0" width="18.57"/>
    <col collapsed="false" customWidth="true" hidden="false" outlineLevel="0" max="981" min="981" style="0" width="12.71"/>
    <col collapsed="false" customWidth="true" hidden="false" outlineLevel="0" max="982" min="982" style="0" width="10.85"/>
    <col collapsed="false" customWidth="true" hidden="false" outlineLevel="0" max="983" min="983" style="0" width="16.29"/>
    <col collapsed="false" customWidth="true" hidden="false" outlineLevel="0" max="984" min="984" style="0" width="8.15"/>
    <col collapsed="false" customWidth="true" hidden="false" outlineLevel="0" max="989" min="985" style="0" width="11.71"/>
    <col collapsed="false" customWidth="true" hidden="false" outlineLevel="0" max="990" min="990" style="0" width="15.85"/>
    <col collapsed="false" customWidth="true" hidden="false" outlineLevel="0" max="1232" min="1232" style="0" width="1.57"/>
    <col collapsed="false" customWidth="true" hidden="false" outlineLevel="0" max="1233" min="1233" style="0" width="48.29"/>
    <col collapsed="false" customWidth="true" hidden="false" outlineLevel="0" max="1234" min="1234" style="0" width="13.29"/>
    <col collapsed="false" customWidth="true" hidden="false" outlineLevel="0" max="1235" min="1235" style="0" width="18.29"/>
    <col collapsed="false" customWidth="true" hidden="false" outlineLevel="0" max="1236" min="1236" style="0" width="18.57"/>
    <col collapsed="false" customWidth="true" hidden="false" outlineLevel="0" max="1237" min="1237" style="0" width="12.71"/>
    <col collapsed="false" customWidth="true" hidden="false" outlineLevel="0" max="1238" min="1238" style="0" width="10.85"/>
    <col collapsed="false" customWidth="true" hidden="false" outlineLevel="0" max="1239" min="1239" style="0" width="16.29"/>
    <col collapsed="false" customWidth="true" hidden="false" outlineLevel="0" max="1240" min="1240" style="0" width="8.15"/>
    <col collapsed="false" customWidth="true" hidden="false" outlineLevel="0" max="1245" min="1241" style="0" width="11.71"/>
    <col collapsed="false" customWidth="true" hidden="false" outlineLevel="0" max="1246" min="1246" style="0" width="15.85"/>
    <col collapsed="false" customWidth="true" hidden="false" outlineLevel="0" max="1488" min="1488" style="0" width="1.57"/>
    <col collapsed="false" customWidth="true" hidden="false" outlineLevel="0" max="1489" min="1489" style="0" width="48.29"/>
    <col collapsed="false" customWidth="true" hidden="false" outlineLevel="0" max="1490" min="1490" style="0" width="13.29"/>
    <col collapsed="false" customWidth="true" hidden="false" outlineLevel="0" max="1491" min="1491" style="0" width="18.29"/>
    <col collapsed="false" customWidth="true" hidden="false" outlineLevel="0" max="1492" min="1492" style="0" width="18.57"/>
    <col collapsed="false" customWidth="true" hidden="false" outlineLevel="0" max="1493" min="1493" style="0" width="12.71"/>
    <col collapsed="false" customWidth="true" hidden="false" outlineLevel="0" max="1494" min="1494" style="0" width="10.85"/>
    <col collapsed="false" customWidth="true" hidden="false" outlineLevel="0" max="1495" min="1495" style="0" width="16.29"/>
    <col collapsed="false" customWidth="true" hidden="false" outlineLevel="0" max="1496" min="1496" style="0" width="8.15"/>
    <col collapsed="false" customWidth="true" hidden="false" outlineLevel="0" max="1501" min="1497" style="0" width="11.71"/>
    <col collapsed="false" customWidth="true" hidden="false" outlineLevel="0" max="1502" min="1502" style="0" width="15.85"/>
    <col collapsed="false" customWidth="true" hidden="false" outlineLevel="0" max="1744" min="1744" style="0" width="1.57"/>
    <col collapsed="false" customWidth="true" hidden="false" outlineLevel="0" max="1745" min="1745" style="0" width="48.29"/>
    <col collapsed="false" customWidth="true" hidden="false" outlineLevel="0" max="1746" min="1746" style="0" width="13.29"/>
    <col collapsed="false" customWidth="true" hidden="false" outlineLevel="0" max="1747" min="1747" style="0" width="18.29"/>
    <col collapsed="false" customWidth="true" hidden="false" outlineLevel="0" max="1748" min="1748" style="0" width="18.57"/>
    <col collapsed="false" customWidth="true" hidden="false" outlineLevel="0" max="1749" min="1749" style="0" width="12.71"/>
    <col collapsed="false" customWidth="true" hidden="false" outlineLevel="0" max="1750" min="1750" style="0" width="10.85"/>
    <col collapsed="false" customWidth="true" hidden="false" outlineLevel="0" max="1751" min="1751" style="0" width="16.29"/>
    <col collapsed="false" customWidth="true" hidden="false" outlineLevel="0" max="1752" min="1752" style="0" width="8.15"/>
    <col collapsed="false" customWidth="true" hidden="false" outlineLevel="0" max="1757" min="1753" style="0" width="11.71"/>
    <col collapsed="false" customWidth="true" hidden="false" outlineLevel="0" max="1758" min="1758" style="0" width="15.85"/>
    <col collapsed="false" customWidth="true" hidden="false" outlineLevel="0" max="2000" min="2000" style="0" width="1.57"/>
    <col collapsed="false" customWidth="true" hidden="false" outlineLevel="0" max="2001" min="2001" style="0" width="48.29"/>
    <col collapsed="false" customWidth="true" hidden="false" outlineLevel="0" max="2002" min="2002" style="0" width="13.29"/>
    <col collapsed="false" customWidth="true" hidden="false" outlineLevel="0" max="2003" min="2003" style="0" width="18.29"/>
    <col collapsed="false" customWidth="true" hidden="false" outlineLevel="0" max="2004" min="2004" style="0" width="18.57"/>
    <col collapsed="false" customWidth="true" hidden="false" outlineLevel="0" max="2005" min="2005" style="0" width="12.71"/>
    <col collapsed="false" customWidth="true" hidden="false" outlineLevel="0" max="2006" min="2006" style="0" width="10.85"/>
    <col collapsed="false" customWidth="true" hidden="false" outlineLevel="0" max="2007" min="2007" style="0" width="16.29"/>
    <col collapsed="false" customWidth="true" hidden="false" outlineLevel="0" max="2008" min="2008" style="0" width="8.15"/>
    <col collapsed="false" customWidth="true" hidden="false" outlineLevel="0" max="2013" min="2009" style="0" width="11.71"/>
    <col collapsed="false" customWidth="true" hidden="false" outlineLevel="0" max="2014" min="2014" style="0" width="15.85"/>
    <col collapsed="false" customWidth="true" hidden="false" outlineLevel="0" max="2256" min="2256" style="0" width="1.57"/>
    <col collapsed="false" customWidth="true" hidden="false" outlineLevel="0" max="2257" min="2257" style="0" width="48.29"/>
    <col collapsed="false" customWidth="true" hidden="false" outlineLevel="0" max="2258" min="2258" style="0" width="13.29"/>
    <col collapsed="false" customWidth="true" hidden="false" outlineLevel="0" max="2259" min="2259" style="0" width="18.29"/>
    <col collapsed="false" customWidth="true" hidden="false" outlineLevel="0" max="2260" min="2260" style="0" width="18.57"/>
    <col collapsed="false" customWidth="true" hidden="false" outlineLevel="0" max="2261" min="2261" style="0" width="12.71"/>
    <col collapsed="false" customWidth="true" hidden="false" outlineLevel="0" max="2262" min="2262" style="0" width="10.85"/>
    <col collapsed="false" customWidth="true" hidden="false" outlineLevel="0" max="2263" min="2263" style="0" width="16.29"/>
    <col collapsed="false" customWidth="true" hidden="false" outlineLevel="0" max="2264" min="2264" style="0" width="8.15"/>
    <col collapsed="false" customWidth="true" hidden="false" outlineLevel="0" max="2269" min="2265" style="0" width="11.71"/>
    <col collapsed="false" customWidth="true" hidden="false" outlineLevel="0" max="2270" min="2270" style="0" width="15.85"/>
    <col collapsed="false" customWidth="true" hidden="false" outlineLevel="0" max="2512" min="2512" style="0" width="1.57"/>
    <col collapsed="false" customWidth="true" hidden="false" outlineLevel="0" max="2513" min="2513" style="0" width="48.29"/>
    <col collapsed="false" customWidth="true" hidden="false" outlineLevel="0" max="2514" min="2514" style="0" width="13.29"/>
    <col collapsed="false" customWidth="true" hidden="false" outlineLevel="0" max="2515" min="2515" style="0" width="18.29"/>
    <col collapsed="false" customWidth="true" hidden="false" outlineLevel="0" max="2516" min="2516" style="0" width="18.57"/>
    <col collapsed="false" customWidth="true" hidden="false" outlineLevel="0" max="2517" min="2517" style="0" width="12.71"/>
    <col collapsed="false" customWidth="true" hidden="false" outlineLevel="0" max="2518" min="2518" style="0" width="10.85"/>
    <col collapsed="false" customWidth="true" hidden="false" outlineLevel="0" max="2519" min="2519" style="0" width="16.29"/>
    <col collapsed="false" customWidth="true" hidden="false" outlineLevel="0" max="2520" min="2520" style="0" width="8.15"/>
    <col collapsed="false" customWidth="true" hidden="false" outlineLevel="0" max="2525" min="2521" style="0" width="11.71"/>
    <col collapsed="false" customWidth="true" hidden="false" outlineLevel="0" max="2526" min="2526" style="0" width="15.85"/>
    <col collapsed="false" customWidth="true" hidden="false" outlineLevel="0" max="2768" min="2768" style="0" width="1.57"/>
    <col collapsed="false" customWidth="true" hidden="false" outlineLevel="0" max="2769" min="2769" style="0" width="48.29"/>
    <col collapsed="false" customWidth="true" hidden="false" outlineLevel="0" max="2770" min="2770" style="0" width="13.29"/>
    <col collapsed="false" customWidth="true" hidden="false" outlineLevel="0" max="2771" min="2771" style="0" width="18.29"/>
    <col collapsed="false" customWidth="true" hidden="false" outlineLevel="0" max="2772" min="2772" style="0" width="18.57"/>
    <col collapsed="false" customWidth="true" hidden="false" outlineLevel="0" max="2773" min="2773" style="0" width="12.71"/>
    <col collapsed="false" customWidth="true" hidden="false" outlineLevel="0" max="2774" min="2774" style="0" width="10.85"/>
    <col collapsed="false" customWidth="true" hidden="false" outlineLevel="0" max="2775" min="2775" style="0" width="16.29"/>
    <col collapsed="false" customWidth="true" hidden="false" outlineLevel="0" max="2776" min="2776" style="0" width="8.15"/>
    <col collapsed="false" customWidth="true" hidden="false" outlineLevel="0" max="2781" min="2777" style="0" width="11.71"/>
    <col collapsed="false" customWidth="true" hidden="false" outlineLevel="0" max="2782" min="2782" style="0" width="15.85"/>
    <col collapsed="false" customWidth="true" hidden="false" outlineLevel="0" max="3024" min="3024" style="0" width="1.57"/>
    <col collapsed="false" customWidth="true" hidden="false" outlineLevel="0" max="3025" min="3025" style="0" width="48.29"/>
    <col collapsed="false" customWidth="true" hidden="false" outlineLevel="0" max="3026" min="3026" style="0" width="13.29"/>
    <col collapsed="false" customWidth="true" hidden="false" outlineLevel="0" max="3027" min="3027" style="0" width="18.29"/>
    <col collapsed="false" customWidth="true" hidden="false" outlineLevel="0" max="3028" min="3028" style="0" width="18.57"/>
    <col collapsed="false" customWidth="true" hidden="false" outlineLevel="0" max="3029" min="3029" style="0" width="12.71"/>
    <col collapsed="false" customWidth="true" hidden="false" outlineLevel="0" max="3030" min="3030" style="0" width="10.85"/>
    <col collapsed="false" customWidth="true" hidden="false" outlineLevel="0" max="3031" min="3031" style="0" width="16.29"/>
    <col collapsed="false" customWidth="true" hidden="false" outlineLevel="0" max="3032" min="3032" style="0" width="8.15"/>
    <col collapsed="false" customWidth="true" hidden="false" outlineLevel="0" max="3037" min="3033" style="0" width="11.71"/>
    <col collapsed="false" customWidth="true" hidden="false" outlineLevel="0" max="3038" min="3038" style="0" width="15.85"/>
    <col collapsed="false" customWidth="true" hidden="false" outlineLevel="0" max="3280" min="3280" style="0" width="1.57"/>
    <col collapsed="false" customWidth="true" hidden="false" outlineLevel="0" max="3281" min="3281" style="0" width="48.29"/>
    <col collapsed="false" customWidth="true" hidden="false" outlineLevel="0" max="3282" min="3282" style="0" width="13.29"/>
    <col collapsed="false" customWidth="true" hidden="false" outlineLevel="0" max="3283" min="3283" style="0" width="18.29"/>
    <col collapsed="false" customWidth="true" hidden="false" outlineLevel="0" max="3284" min="3284" style="0" width="18.57"/>
    <col collapsed="false" customWidth="true" hidden="false" outlineLevel="0" max="3285" min="3285" style="0" width="12.71"/>
    <col collapsed="false" customWidth="true" hidden="false" outlineLevel="0" max="3286" min="3286" style="0" width="10.85"/>
    <col collapsed="false" customWidth="true" hidden="false" outlineLevel="0" max="3287" min="3287" style="0" width="16.29"/>
    <col collapsed="false" customWidth="true" hidden="false" outlineLevel="0" max="3288" min="3288" style="0" width="8.15"/>
    <col collapsed="false" customWidth="true" hidden="false" outlineLevel="0" max="3293" min="3289" style="0" width="11.71"/>
    <col collapsed="false" customWidth="true" hidden="false" outlineLevel="0" max="3294" min="3294" style="0" width="15.85"/>
    <col collapsed="false" customWidth="true" hidden="false" outlineLevel="0" max="3536" min="3536" style="0" width="1.57"/>
    <col collapsed="false" customWidth="true" hidden="false" outlineLevel="0" max="3537" min="3537" style="0" width="48.29"/>
    <col collapsed="false" customWidth="true" hidden="false" outlineLevel="0" max="3538" min="3538" style="0" width="13.29"/>
    <col collapsed="false" customWidth="true" hidden="false" outlineLevel="0" max="3539" min="3539" style="0" width="18.29"/>
    <col collapsed="false" customWidth="true" hidden="false" outlineLevel="0" max="3540" min="3540" style="0" width="18.57"/>
    <col collapsed="false" customWidth="true" hidden="false" outlineLevel="0" max="3541" min="3541" style="0" width="12.71"/>
    <col collapsed="false" customWidth="true" hidden="false" outlineLevel="0" max="3542" min="3542" style="0" width="10.85"/>
    <col collapsed="false" customWidth="true" hidden="false" outlineLevel="0" max="3543" min="3543" style="0" width="16.29"/>
    <col collapsed="false" customWidth="true" hidden="false" outlineLevel="0" max="3544" min="3544" style="0" width="8.15"/>
    <col collapsed="false" customWidth="true" hidden="false" outlineLevel="0" max="3549" min="3545" style="0" width="11.71"/>
    <col collapsed="false" customWidth="true" hidden="false" outlineLevel="0" max="3550" min="3550" style="0" width="15.85"/>
    <col collapsed="false" customWidth="true" hidden="false" outlineLevel="0" max="3792" min="3792" style="0" width="1.57"/>
    <col collapsed="false" customWidth="true" hidden="false" outlineLevel="0" max="3793" min="3793" style="0" width="48.29"/>
    <col collapsed="false" customWidth="true" hidden="false" outlineLevel="0" max="3794" min="3794" style="0" width="13.29"/>
    <col collapsed="false" customWidth="true" hidden="false" outlineLevel="0" max="3795" min="3795" style="0" width="18.29"/>
    <col collapsed="false" customWidth="true" hidden="false" outlineLevel="0" max="3796" min="3796" style="0" width="18.57"/>
    <col collapsed="false" customWidth="true" hidden="false" outlineLevel="0" max="3797" min="3797" style="0" width="12.71"/>
    <col collapsed="false" customWidth="true" hidden="false" outlineLevel="0" max="3798" min="3798" style="0" width="10.85"/>
    <col collapsed="false" customWidth="true" hidden="false" outlineLevel="0" max="3799" min="3799" style="0" width="16.29"/>
    <col collapsed="false" customWidth="true" hidden="false" outlineLevel="0" max="3800" min="3800" style="0" width="8.15"/>
    <col collapsed="false" customWidth="true" hidden="false" outlineLevel="0" max="3805" min="3801" style="0" width="11.71"/>
    <col collapsed="false" customWidth="true" hidden="false" outlineLevel="0" max="3806" min="3806" style="0" width="15.85"/>
    <col collapsed="false" customWidth="true" hidden="false" outlineLevel="0" max="4048" min="4048" style="0" width="1.57"/>
    <col collapsed="false" customWidth="true" hidden="false" outlineLevel="0" max="4049" min="4049" style="0" width="48.29"/>
    <col collapsed="false" customWidth="true" hidden="false" outlineLevel="0" max="4050" min="4050" style="0" width="13.29"/>
    <col collapsed="false" customWidth="true" hidden="false" outlineLevel="0" max="4051" min="4051" style="0" width="18.29"/>
    <col collapsed="false" customWidth="true" hidden="false" outlineLevel="0" max="4052" min="4052" style="0" width="18.57"/>
    <col collapsed="false" customWidth="true" hidden="false" outlineLevel="0" max="4053" min="4053" style="0" width="12.71"/>
    <col collapsed="false" customWidth="true" hidden="false" outlineLevel="0" max="4054" min="4054" style="0" width="10.85"/>
    <col collapsed="false" customWidth="true" hidden="false" outlineLevel="0" max="4055" min="4055" style="0" width="16.29"/>
    <col collapsed="false" customWidth="true" hidden="false" outlineLevel="0" max="4056" min="4056" style="0" width="8.15"/>
    <col collapsed="false" customWidth="true" hidden="false" outlineLevel="0" max="4061" min="4057" style="0" width="11.71"/>
    <col collapsed="false" customWidth="true" hidden="false" outlineLevel="0" max="4062" min="4062" style="0" width="15.85"/>
    <col collapsed="false" customWidth="true" hidden="false" outlineLevel="0" max="4304" min="4304" style="0" width="1.57"/>
    <col collapsed="false" customWidth="true" hidden="false" outlineLevel="0" max="4305" min="4305" style="0" width="48.29"/>
    <col collapsed="false" customWidth="true" hidden="false" outlineLevel="0" max="4306" min="4306" style="0" width="13.29"/>
    <col collapsed="false" customWidth="true" hidden="false" outlineLevel="0" max="4307" min="4307" style="0" width="18.29"/>
    <col collapsed="false" customWidth="true" hidden="false" outlineLevel="0" max="4308" min="4308" style="0" width="18.57"/>
    <col collapsed="false" customWidth="true" hidden="false" outlineLevel="0" max="4309" min="4309" style="0" width="12.71"/>
    <col collapsed="false" customWidth="true" hidden="false" outlineLevel="0" max="4310" min="4310" style="0" width="10.85"/>
    <col collapsed="false" customWidth="true" hidden="false" outlineLevel="0" max="4311" min="4311" style="0" width="16.29"/>
    <col collapsed="false" customWidth="true" hidden="false" outlineLevel="0" max="4312" min="4312" style="0" width="8.15"/>
    <col collapsed="false" customWidth="true" hidden="false" outlineLevel="0" max="4317" min="4313" style="0" width="11.71"/>
    <col collapsed="false" customWidth="true" hidden="false" outlineLevel="0" max="4318" min="4318" style="0" width="15.85"/>
    <col collapsed="false" customWidth="true" hidden="false" outlineLevel="0" max="4560" min="4560" style="0" width="1.57"/>
    <col collapsed="false" customWidth="true" hidden="false" outlineLevel="0" max="4561" min="4561" style="0" width="48.29"/>
    <col collapsed="false" customWidth="true" hidden="false" outlineLevel="0" max="4562" min="4562" style="0" width="13.29"/>
    <col collapsed="false" customWidth="true" hidden="false" outlineLevel="0" max="4563" min="4563" style="0" width="18.29"/>
    <col collapsed="false" customWidth="true" hidden="false" outlineLevel="0" max="4564" min="4564" style="0" width="18.57"/>
    <col collapsed="false" customWidth="true" hidden="false" outlineLevel="0" max="4565" min="4565" style="0" width="12.71"/>
    <col collapsed="false" customWidth="true" hidden="false" outlineLevel="0" max="4566" min="4566" style="0" width="10.85"/>
    <col collapsed="false" customWidth="true" hidden="false" outlineLevel="0" max="4567" min="4567" style="0" width="16.29"/>
    <col collapsed="false" customWidth="true" hidden="false" outlineLevel="0" max="4568" min="4568" style="0" width="8.15"/>
    <col collapsed="false" customWidth="true" hidden="false" outlineLevel="0" max="4573" min="4569" style="0" width="11.71"/>
    <col collapsed="false" customWidth="true" hidden="false" outlineLevel="0" max="4574" min="4574" style="0" width="15.85"/>
    <col collapsed="false" customWidth="true" hidden="false" outlineLevel="0" max="4816" min="4816" style="0" width="1.57"/>
    <col collapsed="false" customWidth="true" hidden="false" outlineLevel="0" max="4817" min="4817" style="0" width="48.29"/>
    <col collapsed="false" customWidth="true" hidden="false" outlineLevel="0" max="4818" min="4818" style="0" width="13.29"/>
    <col collapsed="false" customWidth="true" hidden="false" outlineLevel="0" max="4819" min="4819" style="0" width="18.29"/>
    <col collapsed="false" customWidth="true" hidden="false" outlineLevel="0" max="4820" min="4820" style="0" width="18.57"/>
    <col collapsed="false" customWidth="true" hidden="false" outlineLevel="0" max="4821" min="4821" style="0" width="12.71"/>
    <col collapsed="false" customWidth="true" hidden="false" outlineLevel="0" max="4822" min="4822" style="0" width="10.85"/>
    <col collapsed="false" customWidth="true" hidden="false" outlineLevel="0" max="4823" min="4823" style="0" width="16.29"/>
    <col collapsed="false" customWidth="true" hidden="false" outlineLevel="0" max="4824" min="4824" style="0" width="8.15"/>
    <col collapsed="false" customWidth="true" hidden="false" outlineLevel="0" max="4829" min="4825" style="0" width="11.71"/>
    <col collapsed="false" customWidth="true" hidden="false" outlineLevel="0" max="4830" min="4830" style="0" width="15.85"/>
    <col collapsed="false" customWidth="true" hidden="false" outlineLevel="0" max="5072" min="5072" style="0" width="1.57"/>
    <col collapsed="false" customWidth="true" hidden="false" outlineLevel="0" max="5073" min="5073" style="0" width="48.29"/>
    <col collapsed="false" customWidth="true" hidden="false" outlineLevel="0" max="5074" min="5074" style="0" width="13.29"/>
    <col collapsed="false" customWidth="true" hidden="false" outlineLevel="0" max="5075" min="5075" style="0" width="18.29"/>
    <col collapsed="false" customWidth="true" hidden="false" outlineLevel="0" max="5076" min="5076" style="0" width="18.57"/>
    <col collapsed="false" customWidth="true" hidden="false" outlineLevel="0" max="5077" min="5077" style="0" width="12.71"/>
    <col collapsed="false" customWidth="true" hidden="false" outlineLevel="0" max="5078" min="5078" style="0" width="10.85"/>
    <col collapsed="false" customWidth="true" hidden="false" outlineLevel="0" max="5079" min="5079" style="0" width="16.29"/>
    <col collapsed="false" customWidth="true" hidden="false" outlineLevel="0" max="5080" min="5080" style="0" width="8.15"/>
    <col collapsed="false" customWidth="true" hidden="false" outlineLevel="0" max="5085" min="5081" style="0" width="11.71"/>
    <col collapsed="false" customWidth="true" hidden="false" outlineLevel="0" max="5086" min="5086" style="0" width="15.85"/>
    <col collapsed="false" customWidth="true" hidden="false" outlineLevel="0" max="5328" min="5328" style="0" width="1.57"/>
    <col collapsed="false" customWidth="true" hidden="false" outlineLevel="0" max="5329" min="5329" style="0" width="48.29"/>
    <col collapsed="false" customWidth="true" hidden="false" outlineLevel="0" max="5330" min="5330" style="0" width="13.29"/>
    <col collapsed="false" customWidth="true" hidden="false" outlineLevel="0" max="5331" min="5331" style="0" width="18.29"/>
    <col collapsed="false" customWidth="true" hidden="false" outlineLevel="0" max="5332" min="5332" style="0" width="18.57"/>
    <col collapsed="false" customWidth="true" hidden="false" outlineLevel="0" max="5333" min="5333" style="0" width="12.71"/>
    <col collapsed="false" customWidth="true" hidden="false" outlineLevel="0" max="5334" min="5334" style="0" width="10.85"/>
    <col collapsed="false" customWidth="true" hidden="false" outlineLevel="0" max="5335" min="5335" style="0" width="16.29"/>
    <col collapsed="false" customWidth="true" hidden="false" outlineLevel="0" max="5336" min="5336" style="0" width="8.15"/>
    <col collapsed="false" customWidth="true" hidden="false" outlineLevel="0" max="5341" min="5337" style="0" width="11.71"/>
    <col collapsed="false" customWidth="true" hidden="false" outlineLevel="0" max="5342" min="5342" style="0" width="15.85"/>
    <col collapsed="false" customWidth="true" hidden="false" outlineLevel="0" max="5584" min="5584" style="0" width="1.57"/>
    <col collapsed="false" customWidth="true" hidden="false" outlineLevel="0" max="5585" min="5585" style="0" width="48.29"/>
    <col collapsed="false" customWidth="true" hidden="false" outlineLevel="0" max="5586" min="5586" style="0" width="13.29"/>
    <col collapsed="false" customWidth="true" hidden="false" outlineLevel="0" max="5587" min="5587" style="0" width="18.29"/>
    <col collapsed="false" customWidth="true" hidden="false" outlineLevel="0" max="5588" min="5588" style="0" width="18.57"/>
    <col collapsed="false" customWidth="true" hidden="false" outlineLevel="0" max="5589" min="5589" style="0" width="12.71"/>
    <col collapsed="false" customWidth="true" hidden="false" outlineLevel="0" max="5590" min="5590" style="0" width="10.85"/>
    <col collapsed="false" customWidth="true" hidden="false" outlineLevel="0" max="5591" min="5591" style="0" width="16.29"/>
    <col collapsed="false" customWidth="true" hidden="false" outlineLevel="0" max="5592" min="5592" style="0" width="8.15"/>
    <col collapsed="false" customWidth="true" hidden="false" outlineLevel="0" max="5597" min="5593" style="0" width="11.71"/>
    <col collapsed="false" customWidth="true" hidden="false" outlineLevel="0" max="5598" min="5598" style="0" width="15.85"/>
    <col collapsed="false" customWidth="true" hidden="false" outlineLevel="0" max="5840" min="5840" style="0" width="1.57"/>
    <col collapsed="false" customWidth="true" hidden="false" outlineLevel="0" max="5841" min="5841" style="0" width="48.29"/>
    <col collapsed="false" customWidth="true" hidden="false" outlineLevel="0" max="5842" min="5842" style="0" width="13.29"/>
    <col collapsed="false" customWidth="true" hidden="false" outlineLevel="0" max="5843" min="5843" style="0" width="18.29"/>
    <col collapsed="false" customWidth="true" hidden="false" outlineLevel="0" max="5844" min="5844" style="0" width="18.57"/>
    <col collapsed="false" customWidth="true" hidden="false" outlineLevel="0" max="5845" min="5845" style="0" width="12.71"/>
    <col collapsed="false" customWidth="true" hidden="false" outlineLevel="0" max="5846" min="5846" style="0" width="10.85"/>
    <col collapsed="false" customWidth="true" hidden="false" outlineLevel="0" max="5847" min="5847" style="0" width="16.29"/>
    <col collapsed="false" customWidth="true" hidden="false" outlineLevel="0" max="5848" min="5848" style="0" width="8.15"/>
    <col collapsed="false" customWidth="true" hidden="false" outlineLevel="0" max="5853" min="5849" style="0" width="11.71"/>
    <col collapsed="false" customWidth="true" hidden="false" outlineLevel="0" max="5854" min="5854" style="0" width="15.85"/>
    <col collapsed="false" customWidth="true" hidden="false" outlineLevel="0" max="6096" min="6096" style="0" width="1.57"/>
    <col collapsed="false" customWidth="true" hidden="false" outlineLevel="0" max="6097" min="6097" style="0" width="48.29"/>
    <col collapsed="false" customWidth="true" hidden="false" outlineLevel="0" max="6098" min="6098" style="0" width="13.29"/>
    <col collapsed="false" customWidth="true" hidden="false" outlineLevel="0" max="6099" min="6099" style="0" width="18.29"/>
    <col collapsed="false" customWidth="true" hidden="false" outlineLevel="0" max="6100" min="6100" style="0" width="18.57"/>
    <col collapsed="false" customWidth="true" hidden="false" outlineLevel="0" max="6101" min="6101" style="0" width="12.71"/>
    <col collapsed="false" customWidth="true" hidden="false" outlineLevel="0" max="6102" min="6102" style="0" width="10.85"/>
    <col collapsed="false" customWidth="true" hidden="false" outlineLevel="0" max="6103" min="6103" style="0" width="16.29"/>
    <col collapsed="false" customWidth="true" hidden="false" outlineLevel="0" max="6104" min="6104" style="0" width="8.15"/>
    <col collapsed="false" customWidth="true" hidden="false" outlineLevel="0" max="6109" min="6105" style="0" width="11.71"/>
    <col collapsed="false" customWidth="true" hidden="false" outlineLevel="0" max="6110" min="6110" style="0" width="15.85"/>
    <col collapsed="false" customWidth="true" hidden="false" outlineLevel="0" max="6352" min="6352" style="0" width="1.57"/>
    <col collapsed="false" customWidth="true" hidden="false" outlineLevel="0" max="6353" min="6353" style="0" width="48.29"/>
    <col collapsed="false" customWidth="true" hidden="false" outlineLevel="0" max="6354" min="6354" style="0" width="13.29"/>
    <col collapsed="false" customWidth="true" hidden="false" outlineLevel="0" max="6355" min="6355" style="0" width="18.29"/>
    <col collapsed="false" customWidth="true" hidden="false" outlineLevel="0" max="6356" min="6356" style="0" width="18.57"/>
    <col collapsed="false" customWidth="true" hidden="false" outlineLevel="0" max="6357" min="6357" style="0" width="12.71"/>
    <col collapsed="false" customWidth="true" hidden="false" outlineLevel="0" max="6358" min="6358" style="0" width="10.85"/>
    <col collapsed="false" customWidth="true" hidden="false" outlineLevel="0" max="6359" min="6359" style="0" width="16.29"/>
    <col collapsed="false" customWidth="true" hidden="false" outlineLevel="0" max="6360" min="6360" style="0" width="8.15"/>
    <col collapsed="false" customWidth="true" hidden="false" outlineLevel="0" max="6365" min="6361" style="0" width="11.71"/>
    <col collapsed="false" customWidth="true" hidden="false" outlineLevel="0" max="6366" min="6366" style="0" width="15.85"/>
    <col collapsed="false" customWidth="true" hidden="false" outlineLevel="0" max="6608" min="6608" style="0" width="1.57"/>
    <col collapsed="false" customWidth="true" hidden="false" outlineLevel="0" max="6609" min="6609" style="0" width="48.29"/>
    <col collapsed="false" customWidth="true" hidden="false" outlineLevel="0" max="6610" min="6610" style="0" width="13.29"/>
    <col collapsed="false" customWidth="true" hidden="false" outlineLevel="0" max="6611" min="6611" style="0" width="18.29"/>
    <col collapsed="false" customWidth="true" hidden="false" outlineLevel="0" max="6612" min="6612" style="0" width="18.57"/>
    <col collapsed="false" customWidth="true" hidden="false" outlineLevel="0" max="6613" min="6613" style="0" width="12.71"/>
    <col collapsed="false" customWidth="true" hidden="false" outlineLevel="0" max="6614" min="6614" style="0" width="10.85"/>
    <col collapsed="false" customWidth="true" hidden="false" outlineLevel="0" max="6615" min="6615" style="0" width="16.29"/>
    <col collapsed="false" customWidth="true" hidden="false" outlineLevel="0" max="6616" min="6616" style="0" width="8.15"/>
    <col collapsed="false" customWidth="true" hidden="false" outlineLevel="0" max="6621" min="6617" style="0" width="11.71"/>
    <col collapsed="false" customWidth="true" hidden="false" outlineLevel="0" max="6622" min="6622" style="0" width="15.85"/>
    <col collapsed="false" customWidth="true" hidden="false" outlineLevel="0" max="6864" min="6864" style="0" width="1.57"/>
    <col collapsed="false" customWidth="true" hidden="false" outlineLevel="0" max="6865" min="6865" style="0" width="48.29"/>
    <col collapsed="false" customWidth="true" hidden="false" outlineLevel="0" max="6866" min="6866" style="0" width="13.29"/>
    <col collapsed="false" customWidth="true" hidden="false" outlineLevel="0" max="6867" min="6867" style="0" width="18.29"/>
    <col collapsed="false" customWidth="true" hidden="false" outlineLevel="0" max="6868" min="6868" style="0" width="18.57"/>
    <col collapsed="false" customWidth="true" hidden="false" outlineLevel="0" max="6869" min="6869" style="0" width="12.71"/>
    <col collapsed="false" customWidth="true" hidden="false" outlineLevel="0" max="6870" min="6870" style="0" width="10.85"/>
    <col collapsed="false" customWidth="true" hidden="false" outlineLevel="0" max="6871" min="6871" style="0" width="16.29"/>
    <col collapsed="false" customWidth="true" hidden="false" outlineLevel="0" max="6872" min="6872" style="0" width="8.15"/>
    <col collapsed="false" customWidth="true" hidden="false" outlineLevel="0" max="6877" min="6873" style="0" width="11.71"/>
    <col collapsed="false" customWidth="true" hidden="false" outlineLevel="0" max="6878" min="6878" style="0" width="15.85"/>
    <col collapsed="false" customWidth="true" hidden="false" outlineLevel="0" max="7120" min="7120" style="0" width="1.57"/>
    <col collapsed="false" customWidth="true" hidden="false" outlineLevel="0" max="7121" min="7121" style="0" width="48.29"/>
    <col collapsed="false" customWidth="true" hidden="false" outlineLevel="0" max="7122" min="7122" style="0" width="13.29"/>
    <col collapsed="false" customWidth="true" hidden="false" outlineLevel="0" max="7123" min="7123" style="0" width="18.29"/>
    <col collapsed="false" customWidth="true" hidden="false" outlineLevel="0" max="7124" min="7124" style="0" width="18.57"/>
    <col collapsed="false" customWidth="true" hidden="false" outlineLevel="0" max="7125" min="7125" style="0" width="12.71"/>
    <col collapsed="false" customWidth="true" hidden="false" outlineLevel="0" max="7126" min="7126" style="0" width="10.85"/>
    <col collapsed="false" customWidth="true" hidden="false" outlineLevel="0" max="7127" min="7127" style="0" width="16.29"/>
    <col collapsed="false" customWidth="true" hidden="false" outlineLevel="0" max="7128" min="7128" style="0" width="8.15"/>
    <col collapsed="false" customWidth="true" hidden="false" outlineLevel="0" max="7133" min="7129" style="0" width="11.71"/>
    <col collapsed="false" customWidth="true" hidden="false" outlineLevel="0" max="7134" min="7134" style="0" width="15.85"/>
    <col collapsed="false" customWidth="true" hidden="false" outlineLevel="0" max="7376" min="7376" style="0" width="1.57"/>
    <col collapsed="false" customWidth="true" hidden="false" outlineLevel="0" max="7377" min="7377" style="0" width="48.29"/>
    <col collapsed="false" customWidth="true" hidden="false" outlineLevel="0" max="7378" min="7378" style="0" width="13.29"/>
    <col collapsed="false" customWidth="true" hidden="false" outlineLevel="0" max="7379" min="7379" style="0" width="18.29"/>
    <col collapsed="false" customWidth="true" hidden="false" outlineLevel="0" max="7380" min="7380" style="0" width="18.57"/>
    <col collapsed="false" customWidth="true" hidden="false" outlineLevel="0" max="7381" min="7381" style="0" width="12.71"/>
    <col collapsed="false" customWidth="true" hidden="false" outlineLevel="0" max="7382" min="7382" style="0" width="10.85"/>
    <col collapsed="false" customWidth="true" hidden="false" outlineLevel="0" max="7383" min="7383" style="0" width="16.29"/>
    <col collapsed="false" customWidth="true" hidden="false" outlineLevel="0" max="7384" min="7384" style="0" width="8.15"/>
    <col collapsed="false" customWidth="true" hidden="false" outlineLevel="0" max="7389" min="7385" style="0" width="11.71"/>
    <col collapsed="false" customWidth="true" hidden="false" outlineLevel="0" max="7390" min="7390" style="0" width="15.85"/>
    <col collapsed="false" customWidth="true" hidden="false" outlineLevel="0" max="7632" min="7632" style="0" width="1.57"/>
    <col collapsed="false" customWidth="true" hidden="false" outlineLevel="0" max="7633" min="7633" style="0" width="48.29"/>
    <col collapsed="false" customWidth="true" hidden="false" outlineLevel="0" max="7634" min="7634" style="0" width="13.29"/>
    <col collapsed="false" customWidth="true" hidden="false" outlineLevel="0" max="7635" min="7635" style="0" width="18.29"/>
    <col collapsed="false" customWidth="true" hidden="false" outlineLevel="0" max="7636" min="7636" style="0" width="18.57"/>
    <col collapsed="false" customWidth="true" hidden="false" outlineLevel="0" max="7637" min="7637" style="0" width="12.71"/>
    <col collapsed="false" customWidth="true" hidden="false" outlineLevel="0" max="7638" min="7638" style="0" width="10.85"/>
    <col collapsed="false" customWidth="true" hidden="false" outlineLevel="0" max="7639" min="7639" style="0" width="16.29"/>
    <col collapsed="false" customWidth="true" hidden="false" outlineLevel="0" max="7640" min="7640" style="0" width="8.15"/>
    <col collapsed="false" customWidth="true" hidden="false" outlineLevel="0" max="7645" min="7641" style="0" width="11.71"/>
    <col collapsed="false" customWidth="true" hidden="false" outlineLevel="0" max="7646" min="7646" style="0" width="15.85"/>
    <col collapsed="false" customWidth="true" hidden="false" outlineLevel="0" max="7888" min="7888" style="0" width="1.57"/>
    <col collapsed="false" customWidth="true" hidden="false" outlineLevel="0" max="7889" min="7889" style="0" width="48.29"/>
    <col collapsed="false" customWidth="true" hidden="false" outlineLevel="0" max="7890" min="7890" style="0" width="13.29"/>
    <col collapsed="false" customWidth="true" hidden="false" outlineLevel="0" max="7891" min="7891" style="0" width="18.29"/>
    <col collapsed="false" customWidth="true" hidden="false" outlineLevel="0" max="7892" min="7892" style="0" width="18.57"/>
    <col collapsed="false" customWidth="true" hidden="false" outlineLevel="0" max="7893" min="7893" style="0" width="12.71"/>
    <col collapsed="false" customWidth="true" hidden="false" outlineLevel="0" max="7894" min="7894" style="0" width="10.85"/>
    <col collapsed="false" customWidth="true" hidden="false" outlineLevel="0" max="7895" min="7895" style="0" width="16.29"/>
    <col collapsed="false" customWidth="true" hidden="false" outlineLevel="0" max="7896" min="7896" style="0" width="8.15"/>
    <col collapsed="false" customWidth="true" hidden="false" outlineLevel="0" max="7901" min="7897" style="0" width="11.71"/>
    <col collapsed="false" customWidth="true" hidden="false" outlineLevel="0" max="7902" min="7902" style="0" width="15.85"/>
    <col collapsed="false" customWidth="true" hidden="false" outlineLevel="0" max="8144" min="8144" style="0" width="1.57"/>
    <col collapsed="false" customWidth="true" hidden="false" outlineLevel="0" max="8145" min="8145" style="0" width="48.29"/>
    <col collapsed="false" customWidth="true" hidden="false" outlineLevel="0" max="8146" min="8146" style="0" width="13.29"/>
    <col collapsed="false" customWidth="true" hidden="false" outlineLevel="0" max="8147" min="8147" style="0" width="18.29"/>
    <col collapsed="false" customWidth="true" hidden="false" outlineLevel="0" max="8148" min="8148" style="0" width="18.57"/>
    <col collapsed="false" customWidth="true" hidden="false" outlineLevel="0" max="8149" min="8149" style="0" width="12.71"/>
    <col collapsed="false" customWidth="true" hidden="false" outlineLevel="0" max="8150" min="8150" style="0" width="10.85"/>
    <col collapsed="false" customWidth="true" hidden="false" outlineLevel="0" max="8151" min="8151" style="0" width="16.29"/>
    <col collapsed="false" customWidth="true" hidden="false" outlineLevel="0" max="8152" min="8152" style="0" width="8.15"/>
    <col collapsed="false" customWidth="true" hidden="false" outlineLevel="0" max="8157" min="8153" style="0" width="11.71"/>
    <col collapsed="false" customWidth="true" hidden="false" outlineLevel="0" max="8158" min="8158" style="0" width="15.85"/>
    <col collapsed="false" customWidth="true" hidden="false" outlineLevel="0" max="8400" min="8400" style="0" width="1.57"/>
    <col collapsed="false" customWidth="true" hidden="false" outlineLevel="0" max="8401" min="8401" style="0" width="48.29"/>
    <col collapsed="false" customWidth="true" hidden="false" outlineLevel="0" max="8402" min="8402" style="0" width="13.29"/>
    <col collapsed="false" customWidth="true" hidden="false" outlineLevel="0" max="8403" min="8403" style="0" width="18.29"/>
    <col collapsed="false" customWidth="true" hidden="false" outlineLevel="0" max="8404" min="8404" style="0" width="18.57"/>
    <col collapsed="false" customWidth="true" hidden="false" outlineLevel="0" max="8405" min="8405" style="0" width="12.71"/>
    <col collapsed="false" customWidth="true" hidden="false" outlineLevel="0" max="8406" min="8406" style="0" width="10.85"/>
    <col collapsed="false" customWidth="true" hidden="false" outlineLevel="0" max="8407" min="8407" style="0" width="16.29"/>
    <col collapsed="false" customWidth="true" hidden="false" outlineLevel="0" max="8408" min="8408" style="0" width="8.15"/>
    <col collapsed="false" customWidth="true" hidden="false" outlineLevel="0" max="8413" min="8409" style="0" width="11.71"/>
    <col collapsed="false" customWidth="true" hidden="false" outlineLevel="0" max="8414" min="8414" style="0" width="15.85"/>
    <col collapsed="false" customWidth="true" hidden="false" outlineLevel="0" max="8656" min="8656" style="0" width="1.57"/>
    <col collapsed="false" customWidth="true" hidden="false" outlineLevel="0" max="8657" min="8657" style="0" width="48.29"/>
    <col collapsed="false" customWidth="true" hidden="false" outlineLevel="0" max="8658" min="8658" style="0" width="13.29"/>
    <col collapsed="false" customWidth="true" hidden="false" outlineLevel="0" max="8659" min="8659" style="0" width="18.29"/>
    <col collapsed="false" customWidth="true" hidden="false" outlineLevel="0" max="8660" min="8660" style="0" width="18.57"/>
    <col collapsed="false" customWidth="true" hidden="false" outlineLevel="0" max="8661" min="8661" style="0" width="12.71"/>
    <col collapsed="false" customWidth="true" hidden="false" outlineLevel="0" max="8662" min="8662" style="0" width="10.85"/>
    <col collapsed="false" customWidth="true" hidden="false" outlineLevel="0" max="8663" min="8663" style="0" width="16.29"/>
    <col collapsed="false" customWidth="true" hidden="false" outlineLevel="0" max="8664" min="8664" style="0" width="8.15"/>
    <col collapsed="false" customWidth="true" hidden="false" outlineLevel="0" max="8669" min="8665" style="0" width="11.71"/>
    <col collapsed="false" customWidth="true" hidden="false" outlineLevel="0" max="8670" min="8670" style="0" width="15.85"/>
    <col collapsed="false" customWidth="true" hidden="false" outlineLevel="0" max="8912" min="8912" style="0" width="1.57"/>
    <col collapsed="false" customWidth="true" hidden="false" outlineLevel="0" max="8913" min="8913" style="0" width="48.29"/>
    <col collapsed="false" customWidth="true" hidden="false" outlineLevel="0" max="8914" min="8914" style="0" width="13.29"/>
    <col collapsed="false" customWidth="true" hidden="false" outlineLevel="0" max="8915" min="8915" style="0" width="18.29"/>
    <col collapsed="false" customWidth="true" hidden="false" outlineLevel="0" max="8916" min="8916" style="0" width="18.57"/>
    <col collapsed="false" customWidth="true" hidden="false" outlineLevel="0" max="8917" min="8917" style="0" width="12.71"/>
    <col collapsed="false" customWidth="true" hidden="false" outlineLevel="0" max="8918" min="8918" style="0" width="10.85"/>
    <col collapsed="false" customWidth="true" hidden="false" outlineLevel="0" max="8919" min="8919" style="0" width="16.29"/>
    <col collapsed="false" customWidth="true" hidden="false" outlineLevel="0" max="8920" min="8920" style="0" width="8.15"/>
    <col collapsed="false" customWidth="true" hidden="false" outlineLevel="0" max="8925" min="8921" style="0" width="11.71"/>
    <col collapsed="false" customWidth="true" hidden="false" outlineLevel="0" max="8926" min="8926" style="0" width="15.85"/>
    <col collapsed="false" customWidth="true" hidden="false" outlineLevel="0" max="9168" min="9168" style="0" width="1.57"/>
    <col collapsed="false" customWidth="true" hidden="false" outlineLevel="0" max="9169" min="9169" style="0" width="48.29"/>
    <col collapsed="false" customWidth="true" hidden="false" outlineLevel="0" max="9170" min="9170" style="0" width="13.29"/>
    <col collapsed="false" customWidth="true" hidden="false" outlineLevel="0" max="9171" min="9171" style="0" width="18.29"/>
    <col collapsed="false" customWidth="true" hidden="false" outlineLevel="0" max="9172" min="9172" style="0" width="18.57"/>
    <col collapsed="false" customWidth="true" hidden="false" outlineLevel="0" max="9173" min="9173" style="0" width="12.71"/>
    <col collapsed="false" customWidth="true" hidden="false" outlineLevel="0" max="9174" min="9174" style="0" width="10.85"/>
    <col collapsed="false" customWidth="true" hidden="false" outlineLevel="0" max="9175" min="9175" style="0" width="16.29"/>
    <col collapsed="false" customWidth="true" hidden="false" outlineLevel="0" max="9176" min="9176" style="0" width="8.15"/>
    <col collapsed="false" customWidth="true" hidden="false" outlineLevel="0" max="9181" min="9177" style="0" width="11.71"/>
    <col collapsed="false" customWidth="true" hidden="false" outlineLevel="0" max="9182" min="9182" style="0" width="15.85"/>
    <col collapsed="false" customWidth="true" hidden="false" outlineLevel="0" max="9424" min="9424" style="0" width="1.57"/>
    <col collapsed="false" customWidth="true" hidden="false" outlineLevel="0" max="9425" min="9425" style="0" width="48.29"/>
    <col collapsed="false" customWidth="true" hidden="false" outlineLevel="0" max="9426" min="9426" style="0" width="13.29"/>
    <col collapsed="false" customWidth="true" hidden="false" outlineLevel="0" max="9427" min="9427" style="0" width="18.29"/>
    <col collapsed="false" customWidth="true" hidden="false" outlineLevel="0" max="9428" min="9428" style="0" width="18.57"/>
    <col collapsed="false" customWidth="true" hidden="false" outlineLevel="0" max="9429" min="9429" style="0" width="12.71"/>
    <col collapsed="false" customWidth="true" hidden="false" outlineLevel="0" max="9430" min="9430" style="0" width="10.85"/>
    <col collapsed="false" customWidth="true" hidden="false" outlineLevel="0" max="9431" min="9431" style="0" width="16.29"/>
    <col collapsed="false" customWidth="true" hidden="false" outlineLevel="0" max="9432" min="9432" style="0" width="8.15"/>
    <col collapsed="false" customWidth="true" hidden="false" outlineLevel="0" max="9437" min="9433" style="0" width="11.71"/>
    <col collapsed="false" customWidth="true" hidden="false" outlineLevel="0" max="9438" min="9438" style="0" width="15.85"/>
    <col collapsed="false" customWidth="true" hidden="false" outlineLevel="0" max="9680" min="9680" style="0" width="1.57"/>
    <col collapsed="false" customWidth="true" hidden="false" outlineLevel="0" max="9681" min="9681" style="0" width="48.29"/>
    <col collapsed="false" customWidth="true" hidden="false" outlineLevel="0" max="9682" min="9682" style="0" width="13.29"/>
    <col collapsed="false" customWidth="true" hidden="false" outlineLevel="0" max="9683" min="9683" style="0" width="18.29"/>
    <col collapsed="false" customWidth="true" hidden="false" outlineLevel="0" max="9684" min="9684" style="0" width="18.57"/>
    <col collapsed="false" customWidth="true" hidden="false" outlineLevel="0" max="9685" min="9685" style="0" width="12.71"/>
    <col collapsed="false" customWidth="true" hidden="false" outlineLevel="0" max="9686" min="9686" style="0" width="10.85"/>
    <col collapsed="false" customWidth="true" hidden="false" outlineLevel="0" max="9687" min="9687" style="0" width="16.29"/>
    <col collapsed="false" customWidth="true" hidden="false" outlineLevel="0" max="9688" min="9688" style="0" width="8.15"/>
    <col collapsed="false" customWidth="true" hidden="false" outlineLevel="0" max="9693" min="9689" style="0" width="11.71"/>
    <col collapsed="false" customWidth="true" hidden="false" outlineLevel="0" max="9694" min="9694" style="0" width="15.85"/>
    <col collapsed="false" customWidth="true" hidden="false" outlineLevel="0" max="9936" min="9936" style="0" width="1.57"/>
    <col collapsed="false" customWidth="true" hidden="false" outlineLevel="0" max="9937" min="9937" style="0" width="48.29"/>
    <col collapsed="false" customWidth="true" hidden="false" outlineLevel="0" max="9938" min="9938" style="0" width="13.29"/>
    <col collapsed="false" customWidth="true" hidden="false" outlineLevel="0" max="9939" min="9939" style="0" width="18.29"/>
    <col collapsed="false" customWidth="true" hidden="false" outlineLevel="0" max="9940" min="9940" style="0" width="18.57"/>
    <col collapsed="false" customWidth="true" hidden="false" outlineLevel="0" max="9941" min="9941" style="0" width="12.71"/>
    <col collapsed="false" customWidth="true" hidden="false" outlineLevel="0" max="9942" min="9942" style="0" width="10.85"/>
    <col collapsed="false" customWidth="true" hidden="false" outlineLevel="0" max="9943" min="9943" style="0" width="16.29"/>
    <col collapsed="false" customWidth="true" hidden="false" outlineLevel="0" max="9944" min="9944" style="0" width="8.15"/>
    <col collapsed="false" customWidth="true" hidden="false" outlineLevel="0" max="9949" min="9945" style="0" width="11.71"/>
    <col collapsed="false" customWidth="true" hidden="false" outlineLevel="0" max="9950" min="9950" style="0" width="15.85"/>
    <col collapsed="false" customWidth="true" hidden="false" outlineLevel="0" max="10192" min="10192" style="0" width="1.57"/>
    <col collapsed="false" customWidth="true" hidden="false" outlineLevel="0" max="10193" min="10193" style="0" width="48.29"/>
    <col collapsed="false" customWidth="true" hidden="false" outlineLevel="0" max="10194" min="10194" style="0" width="13.29"/>
    <col collapsed="false" customWidth="true" hidden="false" outlineLevel="0" max="10195" min="10195" style="0" width="18.29"/>
    <col collapsed="false" customWidth="true" hidden="false" outlineLevel="0" max="10196" min="10196" style="0" width="18.57"/>
    <col collapsed="false" customWidth="true" hidden="false" outlineLevel="0" max="10197" min="10197" style="0" width="12.71"/>
    <col collapsed="false" customWidth="true" hidden="false" outlineLevel="0" max="10198" min="10198" style="0" width="10.85"/>
    <col collapsed="false" customWidth="true" hidden="false" outlineLevel="0" max="10199" min="10199" style="0" width="16.29"/>
    <col collapsed="false" customWidth="true" hidden="false" outlineLevel="0" max="10200" min="10200" style="0" width="8.15"/>
    <col collapsed="false" customWidth="true" hidden="false" outlineLevel="0" max="10205" min="10201" style="0" width="11.71"/>
    <col collapsed="false" customWidth="true" hidden="false" outlineLevel="0" max="10206" min="10206" style="0" width="15.85"/>
    <col collapsed="false" customWidth="true" hidden="false" outlineLevel="0" max="10448" min="10448" style="0" width="1.57"/>
    <col collapsed="false" customWidth="true" hidden="false" outlineLevel="0" max="10449" min="10449" style="0" width="48.29"/>
    <col collapsed="false" customWidth="true" hidden="false" outlineLevel="0" max="10450" min="10450" style="0" width="13.29"/>
    <col collapsed="false" customWidth="true" hidden="false" outlineLevel="0" max="10451" min="10451" style="0" width="18.29"/>
    <col collapsed="false" customWidth="true" hidden="false" outlineLevel="0" max="10452" min="10452" style="0" width="18.57"/>
    <col collapsed="false" customWidth="true" hidden="false" outlineLevel="0" max="10453" min="10453" style="0" width="12.71"/>
    <col collapsed="false" customWidth="true" hidden="false" outlineLevel="0" max="10454" min="10454" style="0" width="10.85"/>
    <col collapsed="false" customWidth="true" hidden="false" outlineLevel="0" max="10455" min="10455" style="0" width="16.29"/>
    <col collapsed="false" customWidth="true" hidden="false" outlineLevel="0" max="10456" min="10456" style="0" width="8.15"/>
    <col collapsed="false" customWidth="true" hidden="false" outlineLevel="0" max="10461" min="10457" style="0" width="11.71"/>
    <col collapsed="false" customWidth="true" hidden="false" outlineLevel="0" max="10462" min="10462" style="0" width="15.85"/>
    <col collapsed="false" customWidth="true" hidden="false" outlineLevel="0" max="10704" min="10704" style="0" width="1.57"/>
    <col collapsed="false" customWidth="true" hidden="false" outlineLevel="0" max="10705" min="10705" style="0" width="48.29"/>
    <col collapsed="false" customWidth="true" hidden="false" outlineLevel="0" max="10706" min="10706" style="0" width="13.29"/>
    <col collapsed="false" customWidth="true" hidden="false" outlineLevel="0" max="10707" min="10707" style="0" width="18.29"/>
    <col collapsed="false" customWidth="true" hidden="false" outlineLevel="0" max="10708" min="10708" style="0" width="18.57"/>
    <col collapsed="false" customWidth="true" hidden="false" outlineLevel="0" max="10709" min="10709" style="0" width="12.71"/>
    <col collapsed="false" customWidth="true" hidden="false" outlineLevel="0" max="10710" min="10710" style="0" width="10.85"/>
    <col collapsed="false" customWidth="true" hidden="false" outlineLevel="0" max="10711" min="10711" style="0" width="16.29"/>
    <col collapsed="false" customWidth="true" hidden="false" outlineLevel="0" max="10712" min="10712" style="0" width="8.15"/>
    <col collapsed="false" customWidth="true" hidden="false" outlineLevel="0" max="10717" min="10713" style="0" width="11.71"/>
    <col collapsed="false" customWidth="true" hidden="false" outlineLevel="0" max="10718" min="10718" style="0" width="15.85"/>
    <col collapsed="false" customWidth="true" hidden="false" outlineLevel="0" max="10960" min="10960" style="0" width="1.57"/>
    <col collapsed="false" customWidth="true" hidden="false" outlineLevel="0" max="10961" min="10961" style="0" width="48.29"/>
    <col collapsed="false" customWidth="true" hidden="false" outlineLevel="0" max="10962" min="10962" style="0" width="13.29"/>
    <col collapsed="false" customWidth="true" hidden="false" outlineLevel="0" max="10963" min="10963" style="0" width="18.29"/>
    <col collapsed="false" customWidth="true" hidden="false" outlineLevel="0" max="10964" min="10964" style="0" width="18.57"/>
    <col collapsed="false" customWidth="true" hidden="false" outlineLevel="0" max="10965" min="10965" style="0" width="12.71"/>
    <col collapsed="false" customWidth="true" hidden="false" outlineLevel="0" max="10966" min="10966" style="0" width="10.85"/>
    <col collapsed="false" customWidth="true" hidden="false" outlineLevel="0" max="10967" min="10967" style="0" width="16.29"/>
    <col collapsed="false" customWidth="true" hidden="false" outlineLevel="0" max="10968" min="10968" style="0" width="8.15"/>
    <col collapsed="false" customWidth="true" hidden="false" outlineLevel="0" max="10973" min="10969" style="0" width="11.71"/>
    <col collapsed="false" customWidth="true" hidden="false" outlineLevel="0" max="10974" min="10974" style="0" width="15.85"/>
    <col collapsed="false" customWidth="true" hidden="false" outlineLevel="0" max="11216" min="11216" style="0" width="1.57"/>
    <col collapsed="false" customWidth="true" hidden="false" outlineLevel="0" max="11217" min="11217" style="0" width="48.29"/>
    <col collapsed="false" customWidth="true" hidden="false" outlineLevel="0" max="11218" min="11218" style="0" width="13.29"/>
    <col collapsed="false" customWidth="true" hidden="false" outlineLevel="0" max="11219" min="11219" style="0" width="18.29"/>
    <col collapsed="false" customWidth="true" hidden="false" outlineLevel="0" max="11220" min="11220" style="0" width="18.57"/>
    <col collapsed="false" customWidth="true" hidden="false" outlineLevel="0" max="11221" min="11221" style="0" width="12.71"/>
    <col collapsed="false" customWidth="true" hidden="false" outlineLevel="0" max="11222" min="11222" style="0" width="10.85"/>
    <col collapsed="false" customWidth="true" hidden="false" outlineLevel="0" max="11223" min="11223" style="0" width="16.29"/>
    <col collapsed="false" customWidth="true" hidden="false" outlineLevel="0" max="11224" min="11224" style="0" width="8.15"/>
    <col collapsed="false" customWidth="true" hidden="false" outlineLevel="0" max="11229" min="11225" style="0" width="11.71"/>
    <col collapsed="false" customWidth="true" hidden="false" outlineLevel="0" max="11230" min="11230" style="0" width="15.85"/>
    <col collapsed="false" customWidth="true" hidden="false" outlineLevel="0" max="11472" min="11472" style="0" width="1.57"/>
    <col collapsed="false" customWidth="true" hidden="false" outlineLevel="0" max="11473" min="11473" style="0" width="48.29"/>
    <col collapsed="false" customWidth="true" hidden="false" outlineLevel="0" max="11474" min="11474" style="0" width="13.29"/>
    <col collapsed="false" customWidth="true" hidden="false" outlineLevel="0" max="11475" min="11475" style="0" width="18.29"/>
    <col collapsed="false" customWidth="true" hidden="false" outlineLevel="0" max="11476" min="11476" style="0" width="18.57"/>
    <col collapsed="false" customWidth="true" hidden="false" outlineLevel="0" max="11477" min="11477" style="0" width="12.71"/>
    <col collapsed="false" customWidth="true" hidden="false" outlineLevel="0" max="11478" min="11478" style="0" width="10.85"/>
    <col collapsed="false" customWidth="true" hidden="false" outlineLevel="0" max="11479" min="11479" style="0" width="16.29"/>
    <col collapsed="false" customWidth="true" hidden="false" outlineLevel="0" max="11480" min="11480" style="0" width="8.15"/>
    <col collapsed="false" customWidth="true" hidden="false" outlineLevel="0" max="11485" min="11481" style="0" width="11.71"/>
    <col collapsed="false" customWidth="true" hidden="false" outlineLevel="0" max="11486" min="11486" style="0" width="15.85"/>
    <col collapsed="false" customWidth="true" hidden="false" outlineLevel="0" max="11728" min="11728" style="0" width="1.57"/>
    <col collapsed="false" customWidth="true" hidden="false" outlineLevel="0" max="11729" min="11729" style="0" width="48.29"/>
    <col collapsed="false" customWidth="true" hidden="false" outlineLevel="0" max="11730" min="11730" style="0" width="13.29"/>
    <col collapsed="false" customWidth="true" hidden="false" outlineLevel="0" max="11731" min="11731" style="0" width="18.29"/>
    <col collapsed="false" customWidth="true" hidden="false" outlineLevel="0" max="11732" min="11732" style="0" width="18.57"/>
    <col collapsed="false" customWidth="true" hidden="false" outlineLevel="0" max="11733" min="11733" style="0" width="12.71"/>
    <col collapsed="false" customWidth="true" hidden="false" outlineLevel="0" max="11734" min="11734" style="0" width="10.85"/>
    <col collapsed="false" customWidth="true" hidden="false" outlineLevel="0" max="11735" min="11735" style="0" width="16.29"/>
    <col collapsed="false" customWidth="true" hidden="false" outlineLevel="0" max="11736" min="11736" style="0" width="8.15"/>
    <col collapsed="false" customWidth="true" hidden="false" outlineLevel="0" max="11741" min="11737" style="0" width="11.71"/>
    <col collapsed="false" customWidth="true" hidden="false" outlineLevel="0" max="11742" min="11742" style="0" width="15.85"/>
    <col collapsed="false" customWidth="true" hidden="false" outlineLevel="0" max="11984" min="11984" style="0" width="1.57"/>
    <col collapsed="false" customWidth="true" hidden="false" outlineLevel="0" max="11985" min="11985" style="0" width="48.29"/>
    <col collapsed="false" customWidth="true" hidden="false" outlineLevel="0" max="11986" min="11986" style="0" width="13.29"/>
    <col collapsed="false" customWidth="true" hidden="false" outlineLevel="0" max="11987" min="11987" style="0" width="18.29"/>
    <col collapsed="false" customWidth="true" hidden="false" outlineLevel="0" max="11988" min="11988" style="0" width="18.57"/>
    <col collapsed="false" customWidth="true" hidden="false" outlineLevel="0" max="11989" min="11989" style="0" width="12.71"/>
    <col collapsed="false" customWidth="true" hidden="false" outlineLevel="0" max="11990" min="11990" style="0" width="10.85"/>
    <col collapsed="false" customWidth="true" hidden="false" outlineLevel="0" max="11991" min="11991" style="0" width="16.29"/>
    <col collapsed="false" customWidth="true" hidden="false" outlineLevel="0" max="11992" min="11992" style="0" width="8.15"/>
    <col collapsed="false" customWidth="true" hidden="false" outlineLevel="0" max="11997" min="11993" style="0" width="11.71"/>
    <col collapsed="false" customWidth="true" hidden="false" outlineLevel="0" max="11998" min="11998" style="0" width="15.85"/>
    <col collapsed="false" customWidth="true" hidden="false" outlineLevel="0" max="12240" min="12240" style="0" width="1.57"/>
    <col collapsed="false" customWidth="true" hidden="false" outlineLevel="0" max="12241" min="12241" style="0" width="48.29"/>
    <col collapsed="false" customWidth="true" hidden="false" outlineLevel="0" max="12242" min="12242" style="0" width="13.29"/>
    <col collapsed="false" customWidth="true" hidden="false" outlineLevel="0" max="12243" min="12243" style="0" width="18.29"/>
    <col collapsed="false" customWidth="true" hidden="false" outlineLevel="0" max="12244" min="12244" style="0" width="18.57"/>
    <col collapsed="false" customWidth="true" hidden="false" outlineLevel="0" max="12245" min="12245" style="0" width="12.71"/>
    <col collapsed="false" customWidth="true" hidden="false" outlineLevel="0" max="12246" min="12246" style="0" width="10.85"/>
    <col collapsed="false" customWidth="true" hidden="false" outlineLevel="0" max="12247" min="12247" style="0" width="16.29"/>
    <col collapsed="false" customWidth="true" hidden="false" outlineLevel="0" max="12248" min="12248" style="0" width="8.15"/>
    <col collapsed="false" customWidth="true" hidden="false" outlineLevel="0" max="12253" min="12249" style="0" width="11.71"/>
    <col collapsed="false" customWidth="true" hidden="false" outlineLevel="0" max="12254" min="12254" style="0" width="15.85"/>
    <col collapsed="false" customWidth="true" hidden="false" outlineLevel="0" max="12496" min="12496" style="0" width="1.57"/>
    <col collapsed="false" customWidth="true" hidden="false" outlineLevel="0" max="12497" min="12497" style="0" width="48.29"/>
    <col collapsed="false" customWidth="true" hidden="false" outlineLevel="0" max="12498" min="12498" style="0" width="13.29"/>
    <col collapsed="false" customWidth="true" hidden="false" outlineLevel="0" max="12499" min="12499" style="0" width="18.29"/>
    <col collapsed="false" customWidth="true" hidden="false" outlineLevel="0" max="12500" min="12500" style="0" width="18.57"/>
    <col collapsed="false" customWidth="true" hidden="false" outlineLevel="0" max="12501" min="12501" style="0" width="12.71"/>
    <col collapsed="false" customWidth="true" hidden="false" outlineLevel="0" max="12502" min="12502" style="0" width="10.85"/>
    <col collapsed="false" customWidth="true" hidden="false" outlineLevel="0" max="12503" min="12503" style="0" width="16.29"/>
    <col collapsed="false" customWidth="true" hidden="false" outlineLevel="0" max="12504" min="12504" style="0" width="8.15"/>
    <col collapsed="false" customWidth="true" hidden="false" outlineLevel="0" max="12509" min="12505" style="0" width="11.71"/>
    <col collapsed="false" customWidth="true" hidden="false" outlineLevel="0" max="12510" min="12510" style="0" width="15.85"/>
    <col collapsed="false" customWidth="true" hidden="false" outlineLevel="0" max="12752" min="12752" style="0" width="1.57"/>
    <col collapsed="false" customWidth="true" hidden="false" outlineLevel="0" max="12753" min="12753" style="0" width="48.29"/>
    <col collapsed="false" customWidth="true" hidden="false" outlineLevel="0" max="12754" min="12754" style="0" width="13.29"/>
    <col collapsed="false" customWidth="true" hidden="false" outlineLevel="0" max="12755" min="12755" style="0" width="18.29"/>
    <col collapsed="false" customWidth="true" hidden="false" outlineLevel="0" max="12756" min="12756" style="0" width="18.57"/>
    <col collapsed="false" customWidth="true" hidden="false" outlineLevel="0" max="12757" min="12757" style="0" width="12.71"/>
    <col collapsed="false" customWidth="true" hidden="false" outlineLevel="0" max="12758" min="12758" style="0" width="10.85"/>
    <col collapsed="false" customWidth="true" hidden="false" outlineLevel="0" max="12759" min="12759" style="0" width="16.29"/>
    <col collapsed="false" customWidth="true" hidden="false" outlineLevel="0" max="12760" min="12760" style="0" width="8.15"/>
    <col collapsed="false" customWidth="true" hidden="false" outlineLevel="0" max="12765" min="12761" style="0" width="11.71"/>
    <col collapsed="false" customWidth="true" hidden="false" outlineLevel="0" max="12766" min="12766" style="0" width="15.85"/>
    <col collapsed="false" customWidth="true" hidden="false" outlineLevel="0" max="13008" min="13008" style="0" width="1.57"/>
    <col collapsed="false" customWidth="true" hidden="false" outlineLevel="0" max="13009" min="13009" style="0" width="48.29"/>
    <col collapsed="false" customWidth="true" hidden="false" outlineLevel="0" max="13010" min="13010" style="0" width="13.29"/>
    <col collapsed="false" customWidth="true" hidden="false" outlineLevel="0" max="13011" min="13011" style="0" width="18.29"/>
    <col collapsed="false" customWidth="true" hidden="false" outlineLevel="0" max="13012" min="13012" style="0" width="18.57"/>
    <col collapsed="false" customWidth="true" hidden="false" outlineLevel="0" max="13013" min="13013" style="0" width="12.71"/>
    <col collapsed="false" customWidth="true" hidden="false" outlineLevel="0" max="13014" min="13014" style="0" width="10.85"/>
    <col collapsed="false" customWidth="true" hidden="false" outlineLevel="0" max="13015" min="13015" style="0" width="16.29"/>
    <col collapsed="false" customWidth="true" hidden="false" outlineLevel="0" max="13016" min="13016" style="0" width="8.15"/>
    <col collapsed="false" customWidth="true" hidden="false" outlineLevel="0" max="13021" min="13017" style="0" width="11.71"/>
    <col collapsed="false" customWidth="true" hidden="false" outlineLevel="0" max="13022" min="13022" style="0" width="15.85"/>
    <col collapsed="false" customWidth="true" hidden="false" outlineLevel="0" max="13264" min="13264" style="0" width="1.57"/>
    <col collapsed="false" customWidth="true" hidden="false" outlineLevel="0" max="13265" min="13265" style="0" width="48.29"/>
    <col collapsed="false" customWidth="true" hidden="false" outlineLevel="0" max="13266" min="13266" style="0" width="13.29"/>
    <col collapsed="false" customWidth="true" hidden="false" outlineLevel="0" max="13267" min="13267" style="0" width="18.29"/>
    <col collapsed="false" customWidth="true" hidden="false" outlineLevel="0" max="13268" min="13268" style="0" width="18.57"/>
    <col collapsed="false" customWidth="true" hidden="false" outlineLevel="0" max="13269" min="13269" style="0" width="12.71"/>
    <col collapsed="false" customWidth="true" hidden="false" outlineLevel="0" max="13270" min="13270" style="0" width="10.85"/>
    <col collapsed="false" customWidth="true" hidden="false" outlineLevel="0" max="13271" min="13271" style="0" width="16.29"/>
    <col collapsed="false" customWidth="true" hidden="false" outlineLevel="0" max="13272" min="13272" style="0" width="8.15"/>
    <col collapsed="false" customWidth="true" hidden="false" outlineLevel="0" max="13277" min="13273" style="0" width="11.71"/>
    <col collapsed="false" customWidth="true" hidden="false" outlineLevel="0" max="13278" min="13278" style="0" width="15.85"/>
    <col collapsed="false" customWidth="true" hidden="false" outlineLevel="0" max="13520" min="13520" style="0" width="1.57"/>
    <col collapsed="false" customWidth="true" hidden="false" outlineLevel="0" max="13521" min="13521" style="0" width="48.29"/>
    <col collapsed="false" customWidth="true" hidden="false" outlineLevel="0" max="13522" min="13522" style="0" width="13.29"/>
    <col collapsed="false" customWidth="true" hidden="false" outlineLevel="0" max="13523" min="13523" style="0" width="18.29"/>
    <col collapsed="false" customWidth="true" hidden="false" outlineLevel="0" max="13524" min="13524" style="0" width="18.57"/>
    <col collapsed="false" customWidth="true" hidden="false" outlineLevel="0" max="13525" min="13525" style="0" width="12.71"/>
    <col collapsed="false" customWidth="true" hidden="false" outlineLevel="0" max="13526" min="13526" style="0" width="10.85"/>
    <col collapsed="false" customWidth="true" hidden="false" outlineLevel="0" max="13527" min="13527" style="0" width="16.29"/>
    <col collapsed="false" customWidth="true" hidden="false" outlineLevel="0" max="13528" min="13528" style="0" width="8.15"/>
    <col collapsed="false" customWidth="true" hidden="false" outlineLevel="0" max="13533" min="13529" style="0" width="11.71"/>
    <col collapsed="false" customWidth="true" hidden="false" outlineLevel="0" max="13534" min="13534" style="0" width="15.85"/>
    <col collapsed="false" customWidth="true" hidden="false" outlineLevel="0" max="13776" min="13776" style="0" width="1.57"/>
    <col collapsed="false" customWidth="true" hidden="false" outlineLevel="0" max="13777" min="13777" style="0" width="48.29"/>
    <col collapsed="false" customWidth="true" hidden="false" outlineLevel="0" max="13778" min="13778" style="0" width="13.29"/>
    <col collapsed="false" customWidth="true" hidden="false" outlineLevel="0" max="13779" min="13779" style="0" width="18.29"/>
    <col collapsed="false" customWidth="true" hidden="false" outlineLevel="0" max="13780" min="13780" style="0" width="18.57"/>
    <col collapsed="false" customWidth="true" hidden="false" outlineLevel="0" max="13781" min="13781" style="0" width="12.71"/>
    <col collapsed="false" customWidth="true" hidden="false" outlineLevel="0" max="13782" min="13782" style="0" width="10.85"/>
    <col collapsed="false" customWidth="true" hidden="false" outlineLevel="0" max="13783" min="13783" style="0" width="16.29"/>
    <col collapsed="false" customWidth="true" hidden="false" outlineLevel="0" max="13784" min="13784" style="0" width="8.15"/>
    <col collapsed="false" customWidth="true" hidden="false" outlineLevel="0" max="13789" min="13785" style="0" width="11.71"/>
    <col collapsed="false" customWidth="true" hidden="false" outlineLevel="0" max="13790" min="13790" style="0" width="15.85"/>
    <col collapsed="false" customWidth="true" hidden="false" outlineLevel="0" max="14032" min="14032" style="0" width="1.57"/>
    <col collapsed="false" customWidth="true" hidden="false" outlineLevel="0" max="14033" min="14033" style="0" width="48.29"/>
    <col collapsed="false" customWidth="true" hidden="false" outlineLevel="0" max="14034" min="14034" style="0" width="13.29"/>
    <col collapsed="false" customWidth="true" hidden="false" outlineLevel="0" max="14035" min="14035" style="0" width="18.29"/>
    <col collapsed="false" customWidth="true" hidden="false" outlineLevel="0" max="14036" min="14036" style="0" width="18.57"/>
    <col collapsed="false" customWidth="true" hidden="false" outlineLevel="0" max="14037" min="14037" style="0" width="12.71"/>
    <col collapsed="false" customWidth="true" hidden="false" outlineLevel="0" max="14038" min="14038" style="0" width="10.85"/>
    <col collapsed="false" customWidth="true" hidden="false" outlineLevel="0" max="14039" min="14039" style="0" width="16.29"/>
    <col collapsed="false" customWidth="true" hidden="false" outlineLevel="0" max="14040" min="14040" style="0" width="8.15"/>
    <col collapsed="false" customWidth="true" hidden="false" outlineLevel="0" max="14045" min="14041" style="0" width="11.71"/>
    <col collapsed="false" customWidth="true" hidden="false" outlineLevel="0" max="14046" min="14046" style="0" width="15.85"/>
    <col collapsed="false" customWidth="true" hidden="false" outlineLevel="0" max="14288" min="14288" style="0" width="1.57"/>
    <col collapsed="false" customWidth="true" hidden="false" outlineLevel="0" max="14289" min="14289" style="0" width="48.29"/>
    <col collapsed="false" customWidth="true" hidden="false" outlineLevel="0" max="14290" min="14290" style="0" width="13.29"/>
    <col collapsed="false" customWidth="true" hidden="false" outlineLevel="0" max="14291" min="14291" style="0" width="18.29"/>
    <col collapsed="false" customWidth="true" hidden="false" outlineLevel="0" max="14292" min="14292" style="0" width="18.57"/>
    <col collapsed="false" customWidth="true" hidden="false" outlineLevel="0" max="14293" min="14293" style="0" width="12.71"/>
    <col collapsed="false" customWidth="true" hidden="false" outlineLevel="0" max="14294" min="14294" style="0" width="10.85"/>
    <col collapsed="false" customWidth="true" hidden="false" outlineLevel="0" max="14295" min="14295" style="0" width="16.29"/>
    <col collapsed="false" customWidth="true" hidden="false" outlineLevel="0" max="14296" min="14296" style="0" width="8.15"/>
    <col collapsed="false" customWidth="true" hidden="false" outlineLevel="0" max="14301" min="14297" style="0" width="11.71"/>
    <col collapsed="false" customWidth="true" hidden="false" outlineLevel="0" max="14302" min="14302" style="0" width="15.85"/>
    <col collapsed="false" customWidth="true" hidden="false" outlineLevel="0" max="14544" min="14544" style="0" width="1.57"/>
    <col collapsed="false" customWidth="true" hidden="false" outlineLevel="0" max="14545" min="14545" style="0" width="48.29"/>
    <col collapsed="false" customWidth="true" hidden="false" outlineLevel="0" max="14546" min="14546" style="0" width="13.29"/>
    <col collapsed="false" customWidth="true" hidden="false" outlineLevel="0" max="14547" min="14547" style="0" width="18.29"/>
    <col collapsed="false" customWidth="true" hidden="false" outlineLevel="0" max="14548" min="14548" style="0" width="18.57"/>
    <col collapsed="false" customWidth="true" hidden="false" outlineLevel="0" max="14549" min="14549" style="0" width="12.71"/>
    <col collapsed="false" customWidth="true" hidden="false" outlineLevel="0" max="14550" min="14550" style="0" width="10.85"/>
    <col collapsed="false" customWidth="true" hidden="false" outlineLevel="0" max="14551" min="14551" style="0" width="16.29"/>
    <col collapsed="false" customWidth="true" hidden="false" outlineLevel="0" max="14552" min="14552" style="0" width="8.15"/>
    <col collapsed="false" customWidth="true" hidden="false" outlineLevel="0" max="14557" min="14553" style="0" width="11.71"/>
    <col collapsed="false" customWidth="true" hidden="false" outlineLevel="0" max="14558" min="14558" style="0" width="15.85"/>
    <col collapsed="false" customWidth="true" hidden="false" outlineLevel="0" max="14800" min="14800" style="0" width="1.57"/>
    <col collapsed="false" customWidth="true" hidden="false" outlineLevel="0" max="14801" min="14801" style="0" width="48.29"/>
    <col collapsed="false" customWidth="true" hidden="false" outlineLevel="0" max="14802" min="14802" style="0" width="13.29"/>
    <col collapsed="false" customWidth="true" hidden="false" outlineLevel="0" max="14803" min="14803" style="0" width="18.29"/>
    <col collapsed="false" customWidth="true" hidden="false" outlineLevel="0" max="14804" min="14804" style="0" width="18.57"/>
    <col collapsed="false" customWidth="true" hidden="false" outlineLevel="0" max="14805" min="14805" style="0" width="12.71"/>
    <col collapsed="false" customWidth="true" hidden="false" outlineLevel="0" max="14806" min="14806" style="0" width="10.85"/>
    <col collapsed="false" customWidth="true" hidden="false" outlineLevel="0" max="14807" min="14807" style="0" width="16.29"/>
    <col collapsed="false" customWidth="true" hidden="false" outlineLevel="0" max="14808" min="14808" style="0" width="8.15"/>
    <col collapsed="false" customWidth="true" hidden="false" outlineLevel="0" max="14813" min="14809" style="0" width="11.71"/>
    <col collapsed="false" customWidth="true" hidden="false" outlineLevel="0" max="14814" min="14814" style="0" width="15.85"/>
    <col collapsed="false" customWidth="true" hidden="false" outlineLevel="0" max="15056" min="15056" style="0" width="1.57"/>
    <col collapsed="false" customWidth="true" hidden="false" outlineLevel="0" max="15057" min="15057" style="0" width="48.29"/>
    <col collapsed="false" customWidth="true" hidden="false" outlineLevel="0" max="15058" min="15058" style="0" width="13.29"/>
    <col collapsed="false" customWidth="true" hidden="false" outlineLevel="0" max="15059" min="15059" style="0" width="18.29"/>
    <col collapsed="false" customWidth="true" hidden="false" outlineLevel="0" max="15060" min="15060" style="0" width="18.57"/>
    <col collapsed="false" customWidth="true" hidden="false" outlineLevel="0" max="15061" min="15061" style="0" width="12.71"/>
    <col collapsed="false" customWidth="true" hidden="false" outlineLevel="0" max="15062" min="15062" style="0" width="10.85"/>
    <col collapsed="false" customWidth="true" hidden="false" outlineLevel="0" max="15063" min="15063" style="0" width="16.29"/>
    <col collapsed="false" customWidth="true" hidden="false" outlineLevel="0" max="15064" min="15064" style="0" width="8.15"/>
    <col collapsed="false" customWidth="true" hidden="false" outlineLevel="0" max="15069" min="15065" style="0" width="11.71"/>
    <col collapsed="false" customWidth="true" hidden="false" outlineLevel="0" max="15070" min="15070" style="0" width="15.85"/>
    <col collapsed="false" customWidth="true" hidden="false" outlineLevel="0" max="15312" min="15312" style="0" width="1.57"/>
    <col collapsed="false" customWidth="true" hidden="false" outlineLevel="0" max="15313" min="15313" style="0" width="48.29"/>
    <col collapsed="false" customWidth="true" hidden="false" outlineLevel="0" max="15314" min="15314" style="0" width="13.29"/>
    <col collapsed="false" customWidth="true" hidden="false" outlineLevel="0" max="15315" min="15315" style="0" width="18.29"/>
    <col collapsed="false" customWidth="true" hidden="false" outlineLevel="0" max="15316" min="15316" style="0" width="18.57"/>
    <col collapsed="false" customWidth="true" hidden="false" outlineLevel="0" max="15317" min="15317" style="0" width="12.71"/>
    <col collapsed="false" customWidth="true" hidden="false" outlineLevel="0" max="15318" min="15318" style="0" width="10.85"/>
    <col collapsed="false" customWidth="true" hidden="false" outlineLevel="0" max="15319" min="15319" style="0" width="16.29"/>
    <col collapsed="false" customWidth="true" hidden="false" outlineLevel="0" max="15320" min="15320" style="0" width="8.15"/>
    <col collapsed="false" customWidth="true" hidden="false" outlineLevel="0" max="15325" min="15321" style="0" width="11.71"/>
    <col collapsed="false" customWidth="true" hidden="false" outlineLevel="0" max="15326" min="15326" style="0" width="15.85"/>
    <col collapsed="false" customWidth="true" hidden="false" outlineLevel="0" max="15568" min="15568" style="0" width="1.57"/>
    <col collapsed="false" customWidth="true" hidden="false" outlineLevel="0" max="15569" min="15569" style="0" width="48.29"/>
    <col collapsed="false" customWidth="true" hidden="false" outlineLevel="0" max="15570" min="15570" style="0" width="13.29"/>
    <col collapsed="false" customWidth="true" hidden="false" outlineLevel="0" max="15571" min="15571" style="0" width="18.29"/>
    <col collapsed="false" customWidth="true" hidden="false" outlineLevel="0" max="15572" min="15572" style="0" width="18.57"/>
    <col collapsed="false" customWidth="true" hidden="false" outlineLevel="0" max="15573" min="15573" style="0" width="12.71"/>
    <col collapsed="false" customWidth="true" hidden="false" outlineLevel="0" max="15574" min="15574" style="0" width="10.85"/>
    <col collapsed="false" customWidth="true" hidden="false" outlineLevel="0" max="15575" min="15575" style="0" width="16.29"/>
    <col collapsed="false" customWidth="true" hidden="false" outlineLevel="0" max="15576" min="15576" style="0" width="8.15"/>
    <col collapsed="false" customWidth="true" hidden="false" outlineLevel="0" max="15581" min="15577" style="0" width="11.71"/>
    <col collapsed="false" customWidth="true" hidden="false" outlineLevel="0" max="15582" min="15582" style="0" width="15.85"/>
    <col collapsed="false" customWidth="true" hidden="false" outlineLevel="0" max="15824" min="15824" style="0" width="1.57"/>
    <col collapsed="false" customWidth="true" hidden="false" outlineLevel="0" max="15825" min="15825" style="0" width="48.29"/>
    <col collapsed="false" customWidth="true" hidden="false" outlineLevel="0" max="15826" min="15826" style="0" width="13.29"/>
    <col collapsed="false" customWidth="true" hidden="false" outlineLevel="0" max="15827" min="15827" style="0" width="18.29"/>
    <col collapsed="false" customWidth="true" hidden="false" outlineLevel="0" max="15828" min="15828" style="0" width="18.57"/>
    <col collapsed="false" customWidth="true" hidden="false" outlineLevel="0" max="15829" min="15829" style="0" width="12.71"/>
    <col collapsed="false" customWidth="true" hidden="false" outlineLevel="0" max="15830" min="15830" style="0" width="10.85"/>
    <col collapsed="false" customWidth="true" hidden="false" outlineLevel="0" max="15831" min="15831" style="0" width="16.29"/>
    <col collapsed="false" customWidth="true" hidden="false" outlineLevel="0" max="15832" min="15832" style="0" width="8.15"/>
    <col collapsed="false" customWidth="true" hidden="false" outlineLevel="0" max="15837" min="15833" style="0" width="11.71"/>
    <col collapsed="false" customWidth="true" hidden="false" outlineLevel="0" max="15838" min="15838" style="0" width="15.85"/>
    <col collapsed="false" customWidth="true" hidden="false" outlineLevel="0" max="16080" min="16080" style="0" width="1.57"/>
    <col collapsed="false" customWidth="true" hidden="false" outlineLevel="0" max="16081" min="16081" style="0" width="48.29"/>
    <col collapsed="false" customWidth="true" hidden="false" outlineLevel="0" max="16082" min="16082" style="0" width="13.29"/>
    <col collapsed="false" customWidth="true" hidden="false" outlineLevel="0" max="16083" min="16083" style="0" width="18.29"/>
    <col collapsed="false" customWidth="true" hidden="false" outlineLevel="0" max="16084" min="16084" style="0" width="18.57"/>
    <col collapsed="false" customWidth="true" hidden="false" outlineLevel="0" max="16085" min="16085" style="0" width="12.71"/>
    <col collapsed="false" customWidth="true" hidden="false" outlineLevel="0" max="16086" min="16086" style="0" width="10.85"/>
    <col collapsed="false" customWidth="true" hidden="false" outlineLevel="0" max="16087" min="16087" style="0" width="16.29"/>
    <col collapsed="false" customWidth="true" hidden="false" outlineLevel="0" max="16088" min="16088" style="0" width="8.15"/>
    <col collapsed="false" customWidth="true" hidden="false" outlineLevel="0" max="16093" min="16089" style="0" width="11.71"/>
    <col collapsed="false" customWidth="true" hidden="false" outlineLevel="0" max="16094" min="16094" style="0" width="15.85"/>
  </cols>
  <sheetData>
    <row r="1" s="266" customFormat="true" ht="60" hidden="false" customHeight="true" outlineLevel="0" collapsed="false">
      <c r="A1" s="177" t="s">
        <v>244</v>
      </c>
      <c r="B1" s="177" t="s">
        <v>245</v>
      </c>
      <c r="C1" s="177" t="s">
        <v>246</v>
      </c>
      <c r="D1" s="177" t="s">
        <v>211</v>
      </c>
      <c r="E1" s="177" t="s">
        <v>247</v>
      </c>
      <c r="F1" s="177" t="s">
        <v>248</v>
      </c>
      <c r="G1" s="177" t="s">
        <v>249</v>
      </c>
      <c r="H1" s="177" t="s">
        <v>250</v>
      </c>
      <c r="I1" s="177" t="s">
        <v>251</v>
      </c>
      <c r="J1" s="177" t="s">
        <v>3533</v>
      </c>
      <c r="K1" s="178" t="s">
        <v>3420</v>
      </c>
      <c r="L1" s="177" t="s">
        <v>49</v>
      </c>
      <c r="M1" s="177" t="s">
        <v>3534</v>
      </c>
      <c r="N1" s="177" t="s">
        <v>252</v>
      </c>
      <c r="O1" s="177" t="s">
        <v>253</v>
      </c>
      <c r="P1" s="177" t="s">
        <v>254</v>
      </c>
      <c r="Q1" s="177" t="s">
        <v>255</v>
      </c>
      <c r="R1" s="177" t="s">
        <v>256</v>
      </c>
      <c r="S1" s="177" t="s">
        <v>257</v>
      </c>
      <c r="T1" s="178" t="s">
        <v>213</v>
      </c>
    </row>
    <row r="2" customFormat="false" ht="38.25" hidden="true" customHeight="true" outlineLevel="0" collapsed="false">
      <c r="A2" s="267" t="s">
        <v>259</v>
      </c>
      <c r="B2" s="182" t="n">
        <v>819</v>
      </c>
      <c r="C2" s="183" t="n">
        <v>15</v>
      </c>
      <c r="D2" s="181" t="s">
        <v>260</v>
      </c>
      <c r="E2" s="181" t="s">
        <v>261</v>
      </c>
      <c r="F2" s="181" t="s">
        <v>262</v>
      </c>
      <c r="G2" s="181"/>
      <c r="H2" s="181" t="s">
        <v>263</v>
      </c>
      <c r="I2" s="181" t="s">
        <v>238</v>
      </c>
      <c r="J2" s="267" t="n">
        <v>21190</v>
      </c>
      <c r="K2" s="269"/>
      <c r="L2" s="267" t="n">
        <v>0</v>
      </c>
      <c r="M2" s="184" t="n">
        <v>0</v>
      </c>
      <c r="N2" s="184" t="n">
        <v>36230</v>
      </c>
      <c r="O2" s="184" t="n">
        <v>15040</v>
      </c>
      <c r="P2" s="185" t="n">
        <v>5</v>
      </c>
      <c r="Q2" s="184" t="n">
        <v>21190</v>
      </c>
      <c r="R2" s="184" t="n">
        <v>20130.5</v>
      </c>
      <c r="S2" s="186" t="s">
        <v>264</v>
      </c>
      <c r="T2" s="187" t="n">
        <v>45873</v>
      </c>
    </row>
    <row r="3" customFormat="false" ht="38.25" hidden="true" customHeight="true" outlineLevel="0" collapsed="false">
      <c r="A3" s="181" t="s">
        <v>265</v>
      </c>
      <c r="B3" s="182" t="n">
        <v>820</v>
      </c>
      <c r="C3" s="183" t="n">
        <v>14</v>
      </c>
      <c r="D3" s="181" t="s">
        <v>260</v>
      </c>
      <c r="E3" s="181" t="s">
        <v>266</v>
      </c>
      <c r="F3" s="181" t="s">
        <v>267</v>
      </c>
      <c r="G3" s="181"/>
      <c r="H3" s="181" t="s">
        <v>263</v>
      </c>
      <c r="I3" s="181" t="s">
        <v>238</v>
      </c>
      <c r="J3" s="267" t="n">
        <v>22180</v>
      </c>
      <c r="K3" s="269"/>
      <c r="L3" s="267" t="n">
        <v>0</v>
      </c>
      <c r="M3" s="184" t="n">
        <v>0</v>
      </c>
      <c r="N3" s="184" t="n">
        <v>37090</v>
      </c>
      <c r="O3" s="184" t="n">
        <v>14910</v>
      </c>
      <c r="P3" s="185" t="n">
        <v>7</v>
      </c>
      <c r="Q3" s="184" t="n">
        <v>22180</v>
      </c>
      <c r="R3" s="184" t="n">
        <v>20627.4</v>
      </c>
      <c r="S3" s="186" t="s">
        <v>268</v>
      </c>
      <c r="T3" s="187" t="n">
        <v>45873</v>
      </c>
    </row>
    <row r="4" customFormat="false" ht="38.25" hidden="true" customHeight="true" outlineLevel="0" collapsed="false">
      <c r="A4" s="181" t="s">
        <v>269</v>
      </c>
      <c r="B4" s="182" t="n">
        <v>823</v>
      </c>
      <c r="C4" s="183" t="n">
        <v>29</v>
      </c>
      <c r="D4" s="181" t="s">
        <v>260</v>
      </c>
      <c r="E4" s="181" t="s">
        <v>261</v>
      </c>
      <c r="F4" s="181" t="s">
        <v>262</v>
      </c>
      <c r="G4" s="181"/>
      <c r="H4" s="181" t="s">
        <v>263</v>
      </c>
      <c r="I4" s="181" t="s">
        <v>238</v>
      </c>
      <c r="J4" s="267" t="n">
        <v>22800</v>
      </c>
      <c r="K4" s="269"/>
      <c r="L4" s="267" t="n">
        <v>0</v>
      </c>
      <c r="M4" s="184" t="n">
        <v>0</v>
      </c>
      <c r="N4" s="184" t="n">
        <v>37890</v>
      </c>
      <c r="O4" s="184" t="n">
        <v>15090</v>
      </c>
      <c r="P4" s="185" t="n">
        <v>5</v>
      </c>
      <c r="Q4" s="184" t="n">
        <v>22800</v>
      </c>
      <c r="R4" s="184" t="n">
        <v>21660</v>
      </c>
      <c r="S4" s="186" t="s">
        <v>270</v>
      </c>
      <c r="T4" s="187" t="n">
        <v>45875</v>
      </c>
    </row>
    <row r="5" customFormat="false" ht="38.25" hidden="true" customHeight="true" outlineLevel="0" collapsed="false">
      <c r="A5" s="181" t="s">
        <v>271</v>
      </c>
      <c r="B5" s="182" t="n">
        <v>824</v>
      </c>
      <c r="C5" s="183" t="n">
        <v>30</v>
      </c>
      <c r="D5" s="181" t="s">
        <v>260</v>
      </c>
      <c r="E5" s="181" t="s">
        <v>272</v>
      </c>
      <c r="F5" s="181" t="s">
        <v>273</v>
      </c>
      <c r="G5" s="181"/>
      <c r="H5" s="181" t="s">
        <v>263</v>
      </c>
      <c r="I5" s="181" t="s">
        <v>238</v>
      </c>
      <c r="J5" s="267" t="n">
        <v>21770</v>
      </c>
      <c r="K5" s="269"/>
      <c r="L5" s="267" t="n">
        <v>0</v>
      </c>
      <c r="M5" s="184" t="n">
        <v>0</v>
      </c>
      <c r="N5" s="184" t="n">
        <v>37200</v>
      </c>
      <c r="O5" s="184" t="n">
        <v>15430</v>
      </c>
      <c r="P5" s="185" t="n">
        <v>6</v>
      </c>
      <c r="Q5" s="184" t="n">
        <v>21770</v>
      </c>
      <c r="R5" s="184" t="n">
        <v>20463.8</v>
      </c>
      <c r="S5" s="186" t="s">
        <v>274</v>
      </c>
      <c r="T5" s="187" t="n">
        <v>45875</v>
      </c>
    </row>
    <row r="6" customFormat="false" ht="38.25" hidden="true" customHeight="true" outlineLevel="0" collapsed="false">
      <c r="A6" s="181" t="s">
        <v>275</v>
      </c>
      <c r="B6" s="182" t="n">
        <v>829</v>
      </c>
      <c r="C6" s="183" t="n">
        <v>83</v>
      </c>
      <c r="D6" s="181" t="s">
        <v>276</v>
      </c>
      <c r="E6" s="181" t="s">
        <v>277</v>
      </c>
      <c r="F6" s="181" t="s">
        <v>278</v>
      </c>
      <c r="G6" s="181"/>
      <c r="H6" s="181" t="s">
        <v>279</v>
      </c>
      <c r="I6" s="181" t="s">
        <v>229</v>
      </c>
      <c r="J6" s="267" t="n">
        <v>26780</v>
      </c>
      <c r="K6" s="269"/>
      <c r="L6" s="267" t="n">
        <v>0</v>
      </c>
      <c r="M6" s="184" t="n">
        <v>0</v>
      </c>
      <c r="N6" s="184" t="n">
        <v>41870</v>
      </c>
      <c r="O6" s="184" t="n">
        <v>15090</v>
      </c>
      <c r="P6" s="185" t="n">
        <v>8</v>
      </c>
      <c r="Q6" s="184" t="n">
        <v>26780</v>
      </c>
      <c r="R6" s="184" t="n">
        <v>24637.6</v>
      </c>
      <c r="S6" s="186" t="s">
        <v>280</v>
      </c>
      <c r="T6" s="187" t="n">
        <v>45875</v>
      </c>
    </row>
    <row r="7" customFormat="false" ht="38.25" hidden="true" customHeight="true" outlineLevel="0" collapsed="false">
      <c r="A7" s="181" t="s">
        <v>281</v>
      </c>
      <c r="B7" s="182" t="n">
        <v>834</v>
      </c>
      <c r="C7" s="183" t="n">
        <v>84</v>
      </c>
      <c r="D7" s="181" t="s">
        <v>276</v>
      </c>
      <c r="E7" s="181" t="s">
        <v>282</v>
      </c>
      <c r="F7" s="181" t="s">
        <v>283</v>
      </c>
      <c r="G7" s="181"/>
      <c r="H7" s="181" t="s">
        <v>279</v>
      </c>
      <c r="I7" s="181" t="s">
        <v>229</v>
      </c>
      <c r="J7" s="267" t="n">
        <v>22500</v>
      </c>
      <c r="K7" s="269"/>
      <c r="L7" s="267" t="n">
        <v>0</v>
      </c>
      <c r="M7" s="184" t="n">
        <v>0</v>
      </c>
      <c r="N7" s="184" t="n">
        <v>37590</v>
      </c>
      <c r="O7" s="184" t="n">
        <v>15090</v>
      </c>
      <c r="P7" s="185" t="n">
        <v>7</v>
      </c>
      <c r="Q7" s="184" t="n">
        <v>22500</v>
      </c>
      <c r="R7" s="184" t="n">
        <v>20925</v>
      </c>
      <c r="S7" s="186" t="s">
        <v>284</v>
      </c>
      <c r="T7" s="187" t="n">
        <v>45875</v>
      </c>
    </row>
    <row r="8" customFormat="false" ht="38.25" hidden="true" customHeight="true" outlineLevel="0" collapsed="false">
      <c r="A8" s="181" t="s">
        <v>285</v>
      </c>
      <c r="B8" s="182" t="n">
        <v>836</v>
      </c>
      <c r="C8" s="183" t="n">
        <v>85</v>
      </c>
      <c r="D8" s="181" t="s">
        <v>276</v>
      </c>
      <c r="E8" s="181" t="s">
        <v>266</v>
      </c>
      <c r="F8" s="181" t="s">
        <v>267</v>
      </c>
      <c r="G8" s="181"/>
      <c r="H8" s="181" t="s">
        <v>279</v>
      </c>
      <c r="I8" s="181" t="s">
        <v>229</v>
      </c>
      <c r="J8" s="267" t="n">
        <v>23820</v>
      </c>
      <c r="K8" s="269"/>
      <c r="L8" s="267" t="n">
        <v>0</v>
      </c>
      <c r="M8" s="184" t="n">
        <v>0</v>
      </c>
      <c r="N8" s="184" t="n">
        <v>38810</v>
      </c>
      <c r="O8" s="184" t="n">
        <v>14990</v>
      </c>
      <c r="P8" s="185" t="n">
        <v>5</v>
      </c>
      <c r="Q8" s="184" t="n">
        <v>23820</v>
      </c>
      <c r="R8" s="184" t="n">
        <v>22629</v>
      </c>
      <c r="S8" s="186" t="s">
        <v>286</v>
      </c>
      <c r="T8" s="187" t="n">
        <v>45875</v>
      </c>
    </row>
    <row r="9" customFormat="false" ht="38.25" hidden="true" customHeight="true" outlineLevel="0" collapsed="false">
      <c r="A9" s="181" t="s">
        <v>287</v>
      </c>
      <c r="B9" s="182" t="n">
        <v>837</v>
      </c>
      <c r="C9" s="183" t="n">
        <v>86</v>
      </c>
      <c r="D9" s="181" t="s">
        <v>276</v>
      </c>
      <c r="E9" s="181" t="s">
        <v>288</v>
      </c>
      <c r="F9" s="181" t="s">
        <v>289</v>
      </c>
      <c r="G9" s="181"/>
      <c r="H9" s="181" t="s">
        <v>279</v>
      </c>
      <c r="I9" s="181" t="s">
        <v>229</v>
      </c>
      <c r="J9" s="267" t="n">
        <v>22690</v>
      </c>
      <c r="K9" s="269"/>
      <c r="L9" s="267" t="n">
        <v>0</v>
      </c>
      <c r="M9" s="184" t="n">
        <v>0</v>
      </c>
      <c r="N9" s="184" t="n">
        <v>37320</v>
      </c>
      <c r="O9" s="184" t="n">
        <v>14630</v>
      </c>
      <c r="P9" s="185" t="n">
        <v>6</v>
      </c>
      <c r="Q9" s="184" t="n">
        <v>22690</v>
      </c>
      <c r="R9" s="184" t="n">
        <v>21328.6</v>
      </c>
      <c r="S9" s="186" t="s">
        <v>290</v>
      </c>
      <c r="T9" s="187" t="n">
        <v>45875</v>
      </c>
    </row>
    <row r="10" customFormat="false" ht="38.25" hidden="true" customHeight="true" outlineLevel="0" collapsed="false">
      <c r="A10" s="181" t="s">
        <v>291</v>
      </c>
      <c r="B10" s="182" t="n">
        <v>838</v>
      </c>
      <c r="C10" s="183" t="n">
        <v>39</v>
      </c>
      <c r="D10" s="181" t="s">
        <v>260</v>
      </c>
      <c r="E10" s="181" t="s">
        <v>292</v>
      </c>
      <c r="F10" s="181" t="s">
        <v>293</v>
      </c>
      <c r="G10" s="181"/>
      <c r="H10" s="181" t="s">
        <v>263</v>
      </c>
      <c r="I10" s="181" t="s">
        <v>238</v>
      </c>
      <c r="J10" s="267" t="n">
        <v>23660</v>
      </c>
      <c r="K10" s="269"/>
      <c r="L10" s="267" t="n">
        <v>0</v>
      </c>
      <c r="M10" s="184" t="n">
        <v>0</v>
      </c>
      <c r="N10" s="184" t="n">
        <v>37560</v>
      </c>
      <c r="O10" s="184" t="n">
        <v>13900</v>
      </c>
      <c r="P10" s="185" t="n">
        <v>7</v>
      </c>
      <c r="Q10" s="184" t="n">
        <v>23660</v>
      </c>
      <c r="R10" s="184" t="n">
        <v>22003.8</v>
      </c>
      <c r="S10" s="186" t="s">
        <v>294</v>
      </c>
      <c r="T10" s="187" t="n">
        <v>45876</v>
      </c>
    </row>
    <row r="11" customFormat="false" ht="38.25" hidden="true" customHeight="true" outlineLevel="0" collapsed="false">
      <c r="A11" s="181" t="s">
        <v>295</v>
      </c>
      <c r="B11" s="182" t="n">
        <v>839</v>
      </c>
      <c r="C11" s="183" t="n">
        <v>41</v>
      </c>
      <c r="D11" s="181" t="s">
        <v>260</v>
      </c>
      <c r="E11" s="181" t="s">
        <v>296</v>
      </c>
      <c r="F11" s="181" t="s">
        <v>297</v>
      </c>
      <c r="G11" s="181"/>
      <c r="H11" s="181" t="s">
        <v>263</v>
      </c>
      <c r="I11" s="181" t="s">
        <v>238</v>
      </c>
      <c r="J11" s="267" t="n">
        <v>26220</v>
      </c>
      <c r="K11" s="269"/>
      <c r="L11" s="267" t="n">
        <v>0</v>
      </c>
      <c r="M11" s="184" t="n">
        <v>0</v>
      </c>
      <c r="N11" s="184" t="n">
        <v>41540</v>
      </c>
      <c r="O11" s="184" t="n">
        <v>15320</v>
      </c>
      <c r="P11" s="185" t="n">
        <v>7</v>
      </c>
      <c r="Q11" s="184" t="n">
        <v>26220</v>
      </c>
      <c r="R11" s="184" t="n">
        <v>24384.6</v>
      </c>
      <c r="S11" s="186" t="s">
        <v>298</v>
      </c>
      <c r="T11" s="187" t="n">
        <v>45876</v>
      </c>
    </row>
    <row r="12" customFormat="false" ht="38.25" hidden="true" customHeight="true" outlineLevel="0" collapsed="false">
      <c r="A12" s="181" t="s">
        <v>303</v>
      </c>
      <c r="B12" s="182" t="n">
        <v>848</v>
      </c>
      <c r="C12" s="183" t="n">
        <v>90</v>
      </c>
      <c r="D12" s="181" t="s">
        <v>276</v>
      </c>
      <c r="E12" s="181" t="s">
        <v>304</v>
      </c>
      <c r="F12" s="181" t="s">
        <v>305</v>
      </c>
      <c r="G12" s="181"/>
      <c r="H12" s="181" t="s">
        <v>279</v>
      </c>
      <c r="I12" s="181" t="s">
        <v>229</v>
      </c>
      <c r="J12" s="267" t="n">
        <v>24380</v>
      </c>
      <c r="K12" s="269"/>
      <c r="L12" s="267" t="n">
        <v>0</v>
      </c>
      <c r="M12" s="184" t="n">
        <v>0</v>
      </c>
      <c r="N12" s="184" t="n">
        <v>39360</v>
      </c>
      <c r="O12" s="184" t="n">
        <v>14980</v>
      </c>
      <c r="P12" s="185" t="n">
        <v>10</v>
      </c>
      <c r="Q12" s="184" t="n">
        <v>24380</v>
      </c>
      <c r="R12" s="184" t="n">
        <v>21942</v>
      </c>
      <c r="S12" s="186" t="s">
        <v>306</v>
      </c>
      <c r="T12" s="187" t="n">
        <v>45876</v>
      </c>
    </row>
    <row r="13" customFormat="false" ht="38.25" hidden="true" customHeight="true" outlineLevel="0" collapsed="false">
      <c r="A13" s="181" t="s">
        <v>307</v>
      </c>
      <c r="B13" s="182" t="n">
        <v>849</v>
      </c>
      <c r="C13" s="183" t="n">
        <v>88</v>
      </c>
      <c r="D13" s="181" t="s">
        <v>276</v>
      </c>
      <c r="E13" s="181" t="s">
        <v>308</v>
      </c>
      <c r="F13" s="181" t="s">
        <v>309</v>
      </c>
      <c r="G13" s="181"/>
      <c r="H13" s="181" t="s">
        <v>279</v>
      </c>
      <c r="I13" s="181" t="s">
        <v>229</v>
      </c>
      <c r="J13" s="267" t="n">
        <v>42190</v>
      </c>
      <c r="K13" s="269"/>
      <c r="L13" s="267" t="n">
        <v>0</v>
      </c>
      <c r="M13" s="184" t="n">
        <v>0</v>
      </c>
      <c r="N13" s="184" t="n">
        <v>66280</v>
      </c>
      <c r="O13" s="184" t="n">
        <v>24090</v>
      </c>
      <c r="P13" s="185" t="n">
        <v>14</v>
      </c>
      <c r="Q13" s="184" t="n">
        <v>42190</v>
      </c>
      <c r="R13" s="184" t="n">
        <v>36283.4</v>
      </c>
      <c r="S13" s="186" t="s">
        <v>310</v>
      </c>
      <c r="T13" s="187" t="n">
        <v>45876</v>
      </c>
    </row>
    <row r="14" customFormat="false" ht="38.25" hidden="true" customHeight="true" outlineLevel="0" collapsed="false">
      <c r="A14" s="181" t="s">
        <v>311</v>
      </c>
      <c r="B14" s="182" t="n">
        <v>850</v>
      </c>
      <c r="C14" s="183" t="n">
        <v>91</v>
      </c>
      <c r="D14" s="181" t="s">
        <v>276</v>
      </c>
      <c r="E14" s="181" t="s">
        <v>277</v>
      </c>
      <c r="F14" s="181" t="s">
        <v>278</v>
      </c>
      <c r="G14" s="181"/>
      <c r="H14" s="181" t="s">
        <v>279</v>
      </c>
      <c r="I14" s="181" t="s">
        <v>229</v>
      </c>
      <c r="J14" s="267" t="n">
        <v>27290</v>
      </c>
      <c r="K14" s="269"/>
      <c r="L14" s="267" t="n">
        <v>0</v>
      </c>
      <c r="M14" s="184" t="n">
        <v>0</v>
      </c>
      <c r="N14" s="184" t="n">
        <v>42400</v>
      </c>
      <c r="O14" s="184" t="n">
        <v>15110</v>
      </c>
      <c r="P14" s="185" t="n">
        <v>11</v>
      </c>
      <c r="Q14" s="184" t="n">
        <v>27290</v>
      </c>
      <c r="R14" s="184" t="n">
        <v>24288.1</v>
      </c>
      <c r="S14" s="186" t="s">
        <v>312</v>
      </c>
      <c r="T14" s="187" t="n">
        <v>45876</v>
      </c>
    </row>
    <row r="15" customFormat="false" ht="38.25" hidden="true" customHeight="true" outlineLevel="0" collapsed="false">
      <c r="A15" s="181" t="s">
        <v>315</v>
      </c>
      <c r="B15" s="182" t="n">
        <v>853</v>
      </c>
      <c r="C15" s="183" t="n">
        <v>92</v>
      </c>
      <c r="D15" s="181" t="s">
        <v>276</v>
      </c>
      <c r="E15" s="181" t="s">
        <v>282</v>
      </c>
      <c r="F15" s="181" t="s">
        <v>283</v>
      </c>
      <c r="G15" s="181"/>
      <c r="H15" s="181" t="s">
        <v>316</v>
      </c>
      <c r="I15" s="181" t="s">
        <v>229</v>
      </c>
      <c r="J15" s="267" t="n">
        <v>23280</v>
      </c>
      <c r="K15" s="269"/>
      <c r="L15" s="267" t="n">
        <v>0</v>
      </c>
      <c r="M15" s="184" t="n">
        <v>0</v>
      </c>
      <c r="N15" s="184" t="n">
        <v>38360</v>
      </c>
      <c r="O15" s="184" t="n">
        <v>15080</v>
      </c>
      <c r="P15" s="185" t="n">
        <v>6</v>
      </c>
      <c r="Q15" s="184" t="n">
        <v>23280</v>
      </c>
      <c r="R15" s="184" t="n">
        <v>21883.2</v>
      </c>
      <c r="S15" s="186" t="s">
        <v>317</v>
      </c>
      <c r="T15" s="187" t="n">
        <v>45876</v>
      </c>
    </row>
    <row r="16" customFormat="false" ht="38.25" hidden="true" customHeight="true" outlineLevel="0" collapsed="false">
      <c r="A16" s="181" t="s">
        <v>320</v>
      </c>
      <c r="B16" s="182" t="n">
        <v>855</v>
      </c>
      <c r="C16" s="183" t="n">
        <v>93</v>
      </c>
      <c r="D16" s="181" t="s">
        <v>276</v>
      </c>
      <c r="E16" s="181" t="s">
        <v>266</v>
      </c>
      <c r="F16" s="181" t="s">
        <v>267</v>
      </c>
      <c r="G16" s="181"/>
      <c r="H16" s="181" t="s">
        <v>316</v>
      </c>
      <c r="I16" s="181" t="s">
        <v>229</v>
      </c>
      <c r="J16" s="267" t="n">
        <v>24170</v>
      </c>
      <c r="K16" s="269"/>
      <c r="L16" s="267" t="n">
        <v>0</v>
      </c>
      <c r="M16" s="184" t="n">
        <v>0</v>
      </c>
      <c r="N16" s="184" t="n">
        <v>39290</v>
      </c>
      <c r="O16" s="184" t="n">
        <v>15120</v>
      </c>
      <c r="P16" s="185" t="n">
        <v>8</v>
      </c>
      <c r="Q16" s="184" t="n">
        <v>24170</v>
      </c>
      <c r="R16" s="184" t="n">
        <v>22236.4</v>
      </c>
      <c r="S16" s="186" t="s">
        <v>321</v>
      </c>
      <c r="T16" s="187" t="n">
        <v>45876</v>
      </c>
    </row>
    <row r="17" customFormat="false" ht="38.25" hidden="true" customHeight="true" outlineLevel="0" collapsed="false">
      <c r="A17" s="181" t="s">
        <v>313</v>
      </c>
      <c r="B17" s="182" t="n">
        <v>851</v>
      </c>
      <c r="C17" s="183" t="n">
        <v>45</v>
      </c>
      <c r="D17" s="181" t="s">
        <v>260</v>
      </c>
      <c r="E17" s="181" t="s">
        <v>261</v>
      </c>
      <c r="F17" s="181" t="s">
        <v>262</v>
      </c>
      <c r="G17" s="181"/>
      <c r="H17" s="181" t="s">
        <v>263</v>
      </c>
      <c r="I17" s="181" t="s">
        <v>238</v>
      </c>
      <c r="J17" s="267" t="n">
        <v>22990</v>
      </c>
      <c r="K17" s="269"/>
      <c r="L17" s="267" t="n">
        <v>0</v>
      </c>
      <c r="M17" s="184" t="n">
        <v>0</v>
      </c>
      <c r="N17" s="184" t="n">
        <v>38060</v>
      </c>
      <c r="O17" s="184" t="n">
        <v>15070</v>
      </c>
      <c r="P17" s="185" t="n">
        <v>5</v>
      </c>
      <c r="Q17" s="184" t="n">
        <v>22990</v>
      </c>
      <c r="R17" s="184" t="n">
        <v>21840.5</v>
      </c>
      <c r="S17" s="186" t="s">
        <v>314</v>
      </c>
      <c r="T17" s="187" t="n">
        <v>45876</v>
      </c>
    </row>
    <row r="18" customFormat="false" ht="38.25" hidden="true" customHeight="true" outlineLevel="0" collapsed="false">
      <c r="A18" s="181" t="s">
        <v>299</v>
      </c>
      <c r="B18" s="182" t="n">
        <v>847</v>
      </c>
      <c r="C18" s="183" t="n">
        <v>89</v>
      </c>
      <c r="D18" s="181" t="s">
        <v>276</v>
      </c>
      <c r="E18" s="181" t="s">
        <v>300</v>
      </c>
      <c r="F18" s="181" t="s">
        <v>301</v>
      </c>
      <c r="G18" s="181"/>
      <c r="H18" s="181" t="s">
        <v>279</v>
      </c>
      <c r="I18" s="181" t="s">
        <v>229</v>
      </c>
      <c r="J18" s="267" t="n">
        <v>35050</v>
      </c>
      <c r="K18" s="269"/>
      <c r="L18" s="267" t="n">
        <v>0</v>
      </c>
      <c r="M18" s="184" t="n">
        <v>0</v>
      </c>
      <c r="N18" s="184" t="n">
        <v>56030</v>
      </c>
      <c r="O18" s="184" t="n">
        <v>20980</v>
      </c>
      <c r="P18" s="185" t="n">
        <v>6</v>
      </c>
      <c r="Q18" s="184" t="n">
        <v>35050</v>
      </c>
      <c r="R18" s="184" t="n">
        <v>32947</v>
      </c>
      <c r="S18" s="186" t="s">
        <v>302</v>
      </c>
      <c r="T18" s="187" t="n">
        <v>45876</v>
      </c>
    </row>
    <row r="19" customFormat="false" ht="38.25" hidden="true" customHeight="true" outlineLevel="0" collapsed="false">
      <c r="A19" s="181" t="s">
        <v>322</v>
      </c>
      <c r="B19" s="182" t="n">
        <v>856</v>
      </c>
      <c r="C19" s="183" t="n">
        <v>95</v>
      </c>
      <c r="D19" s="181" t="s">
        <v>276</v>
      </c>
      <c r="E19" s="181" t="s">
        <v>323</v>
      </c>
      <c r="F19" s="181" t="s">
        <v>289</v>
      </c>
      <c r="G19" s="181"/>
      <c r="H19" s="181" t="s">
        <v>316</v>
      </c>
      <c r="I19" s="181" t="s">
        <v>229</v>
      </c>
      <c r="J19" s="267" t="n">
        <v>24270</v>
      </c>
      <c r="K19" s="269"/>
      <c r="L19" s="267" t="n">
        <v>0</v>
      </c>
      <c r="M19" s="184" t="n">
        <v>0</v>
      </c>
      <c r="N19" s="184" t="n">
        <v>38920</v>
      </c>
      <c r="O19" s="184" t="n">
        <v>14650</v>
      </c>
      <c r="P19" s="185" t="n">
        <v>7</v>
      </c>
      <c r="Q19" s="184" t="n">
        <v>24270</v>
      </c>
      <c r="R19" s="184" t="n">
        <v>22571.1</v>
      </c>
      <c r="S19" s="186" t="s">
        <v>324</v>
      </c>
      <c r="T19" s="187" t="n">
        <v>45876</v>
      </c>
    </row>
    <row r="20" customFormat="false" ht="38.25" hidden="true" customHeight="true" outlineLevel="0" collapsed="false">
      <c r="A20" s="181" t="s">
        <v>318</v>
      </c>
      <c r="B20" s="182" t="n">
        <v>854</v>
      </c>
      <c r="C20" s="183" t="n">
        <v>44</v>
      </c>
      <c r="D20" s="181" t="s">
        <v>260</v>
      </c>
      <c r="E20" s="181" t="s">
        <v>272</v>
      </c>
      <c r="F20" s="181" t="s">
        <v>273</v>
      </c>
      <c r="G20" s="181"/>
      <c r="H20" s="181" t="s">
        <v>263</v>
      </c>
      <c r="I20" s="181" t="s">
        <v>238</v>
      </c>
      <c r="J20" s="267" t="n">
        <v>21900</v>
      </c>
      <c r="K20" s="269"/>
      <c r="L20" s="267" t="n">
        <v>0</v>
      </c>
      <c r="M20" s="184" t="n">
        <v>0</v>
      </c>
      <c r="N20" s="184" t="n">
        <v>37360</v>
      </c>
      <c r="O20" s="184" t="n">
        <v>15460</v>
      </c>
      <c r="P20" s="185" t="n">
        <v>12</v>
      </c>
      <c r="Q20" s="184" t="n">
        <v>21900</v>
      </c>
      <c r="R20" s="184" t="n">
        <v>19272</v>
      </c>
      <c r="S20" s="186" t="s">
        <v>319</v>
      </c>
      <c r="T20" s="187" t="n">
        <v>45876</v>
      </c>
    </row>
    <row r="21" customFormat="false" ht="38.25" hidden="true" customHeight="true" outlineLevel="0" collapsed="false">
      <c r="A21" s="181" t="s">
        <v>325</v>
      </c>
      <c r="B21" s="182" t="n">
        <v>861</v>
      </c>
      <c r="C21" s="183" t="n">
        <v>9456</v>
      </c>
      <c r="D21" s="181" t="s">
        <v>3325</v>
      </c>
      <c r="E21" s="181" t="s">
        <v>292</v>
      </c>
      <c r="F21" s="181" t="s">
        <v>293</v>
      </c>
      <c r="G21" s="181" t="s">
        <v>222</v>
      </c>
      <c r="H21" s="181" t="s">
        <v>327</v>
      </c>
      <c r="I21" s="181" t="s">
        <v>220</v>
      </c>
      <c r="J21" s="267"/>
      <c r="K21" s="269" t="n">
        <v>45877</v>
      </c>
      <c r="L21" s="267" t="n">
        <v>1</v>
      </c>
      <c r="M21" s="184" t="s">
        <v>222</v>
      </c>
      <c r="N21" s="184" t="n">
        <v>34410</v>
      </c>
      <c r="O21" s="184" t="n">
        <v>13910</v>
      </c>
      <c r="P21" s="185" t="n">
        <v>34</v>
      </c>
      <c r="Q21" s="184" t="n">
        <v>20500</v>
      </c>
      <c r="R21" s="184" t="n">
        <v>13530</v>
      </c>
      <c r="S21" s="186" t="s">
        <v>328</v>
      </c>
      <c r="T21" s="187" t="n">
        <v>45878</v>
      </c>
    </row>
    <row r="22" customFormat="false" ht="38.25" hidden="true" customHeight="true" outlineLevel="0" collapsed="false">
      <c r="A22" s="181" t="s">
        <v>329</v>
      </c>
      <c r="B22" s="182" t="n">
        <v>862</v>
      </c>
      <c r="C22" s="183" t="n">
        <v>9458</v>
      </c>
      <c r="D22" s="181" t="s">
        <v>3325</v>
      </c>
      <c r="E22" s="181" t="s">
        <v>277</v>
      </c>
      <c r="F22" s="181" t="s">
        <v>278</v>
      </c>
      <c r="G22" s="181" t="s">
        <v>222</v>
      </c>
      <c r="H22" s="181" t="s">
        <v>327</v>
      </c>
      <c r="I22" s="181" t="s">
        <v>220</v>
      </c>
      <c r="J22" s="267"/>
      <c r="K22" s="269" t="n">
        <v>45877</v>
      </c>
      <c r="L22" s="267" t="n">
        <v>1.1</v>
      </c>
      <c r="M22" s="184" t="s">
        <v>222</v>
      </c>
      <c r="N22" s="184" t="n">
        <v>36660</v>
      </c>
      <c r="O22" s="184" t="n">
        <v>15050</v>
      </c>
      <c r="P22" s="185" t="n">
        <v>26</v>
      </c>
      <c r="Q22" s="184" t="n">
        <v>21610</v>
      </c>
      <c r="R22" s="184" t="n">
        <v>15991.4</v>
      </c>
      <c r="S22" s="186" t="s">
        <v>330</v>
      </c>
      <c r="T22" s="187" t="n">
        <v>45878</v>
      </c>
    </row>
    <row r="23" customFormat="false" ht="38.25" hidden="true" customHeight="true" outlineLevel="0" collapsed="false">
      <c r="A23" s="181" t="s">
        <v>331</v>
      </c>
      <c r="B23" s="182" t="n">
        <v>863</v>
      </c>
      <c r="C23" s="183" t="n">
        <v>9460</v>
      </c>
      <c r="D23" s="181" t="s">
        <v>3325</v>
      </c>
      <c r="E23" s="181" t="s">
        <v>332</v>
      </c>
      <c r="F23" s="181" t="s">
        <v>333</v>
      </c>
      <c r="G23" s="181" t="s">
        <v>222</v>
      </c>
      <c r="H23" s="181" t="s">
        <v>327</v>
      </c>
      <c r="I23" s="181" t="s">
        <v>220</v>
      </c>
      <c r="J23" s="267"/>
      <c r="K23" s="269" t="n">
        <v>45877</v>
      </c>
      <c r="L23" s="267" t="n">
        <v>1.1</v>
      </c>
      <c r="M23" s="184" t="s">
        <v>222</v>
      </c>
      <c r="N23" s="184" t="n">
        <v>36320</v>
      </c>
      <c r="O23" s="184" t="n">
        <v>14710</v>
      </c>
      <c r="P23" s="185" t="n">
        <v>28</v>
      </c>
      <c r="Q23" s="184" t="n">
        <v>21610</v>
      </c>
      <c r="R23" s="184" t="n">
        <v>15559.2</v>
      </c>
      <c r="S23" s="186" t="s">
        <v>334</v>
      </c>
      <c r="T23" s="187" t="n">
        <v>45878</v>
      </c>
    </row>
    <row r="24" customFormat="false" ht="38.25" hidden="true" customHeight="true" outlineLevel="0" collapsed="false">
      <c r="A24" s="181" t="s">
        <v>335</v>
      </c>
      <c r="B24" s="182" t="n">
        <v>864</v>
      </c>
      <c r="C24" s="183" t="n">
        <v>9462</v>
      </c>
      <c r="D24" s="181" t="s">
        <v>3325</v>
      </c>
      <c r="E24" s="181" t="s">
        <v>336</v>
      </c>
      <c r="F24" s="181" t="s">
        <v>337</v>
      </c>
      <c r="G24" s="181" t="s">
        <v>222</v>
      </c>
      <c r="H24" s="181" t="s">
        <v>327</v>
      </c>
      <c r="I24" s="181" t="s">
        <v>220</v>
      </c>
      <c r="J24" s="267"/>
      <c r="K24" s="269" t="n">
        <v>45877</v>
      </c>
      <c r="L24" s="267" t="n">
        <v>0.9</v>
      </c>
      <c r="M24" s="184" t="s">
        <v>222</v>
      </c>
      <c r="N24" s="184" t="n">
        <v>33220</v>
      </c>
      <c r="O24" s="184" t="n">
        <v>14490</v>
      </c>
      <c r="P24" s="185" t="n">
        <v>38</v>
      </c>
      <c r="Q24" s="184" t="n">
        <v>18730</v>
      </c>
      <c r="R24" s="184" t="n">
        <v>11612.6</v>
      </c>
      <c r="S24" s="186" t="s">
        <v>338</v>
      </c>
      <c r="T24" s="187" t="n">
        <v>45878</v>
      </c>
    </row>
    <row r="25" customFormat="false" ht="38.25" hidden="true" customHeight="true" outlineLevel="0" collapsed="false">
      <c r="A25" s="181" t="s">
        <v>339</v>
      </c>
      <c r="B25" s="182" t="n">
        <v>865</v>
      </c>
      <c r="C25" s="183" t="n">
        <v>9464</v>
      </c>
      <c r="D25" s="181" t="s">
        <v>3325</v>
      </c>
      <c r="E25" s="181" t="s">
        <v>340</v>
      </c>
      <c r="F25" s="181" t="s">
        <v>341</v>
      </c>
      <c r="G25" s="181" t="s">
        <v>222</v>
      </c>
      <c r="H25" s="181" t="s">
        <v>327</v>
      </c>
      <c r="I25" s="181" t="s">
        <v>220</v>
      </c>
      <c r="J25" s="267"/>
      <c r="K25" s="269" t="n">
        <v>45877</v>
      </c>
      <c r="L25" s="267" t="n">
        <v>1</v>
      </c>
      <c r="M25" s="184" t="s">
        <v>222</v>
      </c>
      <c r="N25" s="184" t="n">
        <v>36050</v>
      </c>
      <c r="O25" s="184" t="n">
        <v>15040</v>
      </c>
      <c r="P25" s="185" t="n">
        <v>35</v>
      </c>
      <c r="Q25" s="184" t="n">
        <v>21010</v>
      </c>
      <c r="R25" s="184" t="n">
        <v>13656.5</v>
      </c>
      <c r="S25" s="186" t="s">
        <v>342</v>
      </c>
      <c r="T25" s="187" t="n">
        <v>45878</v>
      </c>
    </row>
    <row r="26" customFormat="false" ht="38.25" hidden="true" customHeight="true" outlineLevel="0" collapsed="false">
      <c r="A26" s="181" t="s">
        <v>343</v>
      </c>
      <c r="B26" s="182" t="n">
        <v>866</v>
      </c>
      <c r="C26" s="183" t="n">
        <v>9466</v>
      </c>
      <c r="D26" s="181" t="s">
        <v>3325</v>
      </c>
      <c r="E26" s="181" t="s">
        <v>282</v>
      </c>
      <c r="F26" s="181" t="s">
        <v>283</v>
      </c>
      <c r="G26" s="181" t="s">
        <v>222</v>
      </c>
      <c r="H26" s="181" t="s">
        <v>327</v>
      </c>
      <c r="I26" s="181" t="s">
        <v>220</v>
      </c>
      <c r="J26" s="267"/>
      <c r="K26" s="269" t="n">
        <v>45877</v>
      </c>
      <c r="L26" s="267" t="n">
        <v>1</v>
      </c>
      <c r="M26" s="184" t="s">
        <v>222</v>
      </c>
      <c r="N26" s="184" t="n">
        <v>36350</v>
      </c>
      <c r="O26" s="184" t="n">
        <v>15040</v>
      </c>
      <c r="P26" s="185" t="n">
        <v>22</v>
      </c>
      <c r="Q26" s="184" t="n">
        <v>21310</v>
      </c>
      <c r="R26" s="184" t="n">
        <v>16621.8</v>
      </c>
      <c r="S26" s="186" t="s">
        <v>344</v>
      </c>
      <c r="T26" s="187" t="n">
        <v>45878</v>
      </c>
    </row>
    <row r="27" customFormat="false" ht="38.25" hidden="true" customHeight="true" outlineLevel="0" collapsed="false">
      <c r="A27" s="181" t="s">
        <v>345</v>
      </c>
      <c r="B27" s="182" t="n">
        <v>867</v>
      </c>
      <c r="C27" s="183" t="n">
        <v>9468</v>
      </c>
      <c r="D27" s="181" t="s">
        <v>3325</v>
      </c>
      <c r="E27" s="181" t="s">
        <v>346</v>
      </c>
      <c r="F27" s="181" t="s">
        <v>347</v>
      </c>
      <c r="G27" s="181" t="s">
        <v>222</v>
      </c>
      <c r="H27" s="181" t="s">
        <v>327</v>
      </c>
      <c r="I27" s="181" t="s">
        <v>220</v>
      </c>
      <c r="J27" s="267"/>
      <c r="K27" s="269" t="n">
        <v>45877</v>
      </c>
      <c r="L27" s="267" t="n">
        <v>0.9</v>
      </c>
      <c r="M27" s="184" t="s">
        <v>222</v>
      </c>
      <c r="N27" s="184" t="n">
        <v>33750</v>
      </c>
      <c r="O27" s="184" t="n">
        <v>15000</v>
      </c>
      <c r="P27" s="185" t="n">
        <v>30</v>
      </c>
      <c r="Q27" s="184" t="n">
        <v>18750</v>
      </c>
      <c r="R27" s="184" t="n">
        <v>13125</v>
      </c>
      <c r="S27" s="186" t="s">
        <v>348</v>
      </c>
      <c r="T27" s="187" t="n">
        <v>45878</v>
      </c>
    </row>
    <row r="28" customFormat="false" ht="38.25" hidden="true" customHeight="true" outlineLevel="0" collapsed="false">
      <c r="A28" s="181" t="s">
        <v>349</v>
      </c>
      <c r="B28" s="182" t="n">
        <v>868</v>
      </c>
      <c r="C28" s="183" t="n">
        <v>9470</v>
      </c>
      <c r="D28" s="181" t="s">
        <v>3325</v>
      </c>
      <c r="E28" s="181" t="s">
        <v>350</v>
      </c>
      <c r="F28" s="181" t="s">
        <v>351</v>
      </c>
      <c r="G28" s="181" t="s">
        <v>222</v>
      </c>
      <c r="H28" s="181" t="s">
        <v>327</v>
      </c>
      <c r="I28" s="181" t="s">
        <v>220</v>
      </c>
      <c r="J28" s="267"/>
      <c r="K28" s="269" t="n">
        <v>45877</v>
      </c>
      <c r="L28" s="267" t="n">
        <v>1</v>
      </c>
      <c r="M28" s="184" t="s">
        <v>222</v>
      </c>
      <c r="N28" s="184" t="n">
        <v>34870</v>
      </c>
      <c r="O28" s="184" t="n">
        <v>14920</v>
      </c>
      <c r="P28" s="185" t="n">
        <v>39</v>
      </c>
      <c r="Q28" s="184" t="n">
        <v>19950</v>
      </c>
      <c r="R28" s="184" t="n">
        <v>12169.5</v>
      </c>
      <c r="S28" s="186" t="s">
        <v>352</v>
      </c>
      <c r="T28" s="187" t="n">
        <v>45878</v>
      </c>
    </row>
    <row r="29" customFormat="false" ht="38.25" hidden="true" customHeight="true" outlineLevel="0" collapsed="false">
      <c r="A29" s="181" t="s">
        <v>353</v>
      </c>
      <c r="B29" s="182" t="n">
        <v>869</v>
      </c>
      <c r="C29" s="183" t="n">
        <v>9472</v>
      </c>
      <c r="D29" s="181" t="s">
        <v>3325</v>
      </c>
      <c r="E29" s="181" t="s">
        <v>354</v>
      </c>
      <c r="F29" s="181" t="s">
        <v>355</v>
      </c>
      <c r="G29" s="181" t="s">
        <v>222</v>
      </c>
      <c r="H29" s="181" t="s">
        <v>327</v>
      </c>
      <c r="I29" s="181" t="s">
        <v>220</v>
      </c>
      <c r="J29" s="267"/>
      <c r="K29" s="269" t="n">
        <v>45877</v>
      </c>
      <c r="L29" s="267" t="n">
        <v>1</v>
      </c>
      <c r="M29" s="184" t="s">
        <v>222</v>
      </c>
      <c r="N29" s="184" t="n">
        <v>35140</v>
      </c>
      <c r="O29" s="184" t="n">
        <v>14710</v>
      </c>
      <c r="P29" s="185" t="n">
        <v>26</v>
      </c>
      <c r="Q29" s="184" t="n">
        <v>20430</v>
      </c>
      <c r="R29" s="184" t="n">
        <v>15118.2</v>
      </c>
      <c r="S29" s="186" t="s">
        <v>356</v>
      </c>
      <c r="T29" s="187" t="n">
        <v>45878</v>
      </c>
    </row>
    <row r="30" customFormat="false" ht="38.25" hidden="true" customHeight="true" outlineLevel="0" collapsed="false">
      <c r="A30" s="181" t="s">
        <v>357</v>
      </c>
      <c r="B30" s="182" t="n">
        <v>870</v>
      </c>
      <c r="C30" s="181" t="s">
        <v>358</v>
      </c>
      <c r="D30" s="181" t="s">
        <v>3325</v>
      </c>
      <c r="E30" s="181" t="s">
        <v>359</v>
      </c>
      <c r="F30" s="181" t="s">
        <v>360</v>
      </c>
      <c r="G30" s="181" t="s">
        <v>222</v>
      </c>
      <c r="H30" s="181" t="s">
        <v>327</v>
      </c>
      <c r="I30" s="181" t="s">
        <v>220</v>
      </c>
      <c r="J30" s="267"/>
      <c r="K30" s="269" t="n">
        <v>45878</v>
      </c>
      <c r="L30" s="267" t="n">
        <v>1.6</v>
      </c>
      <c r="M30" s="184" t="s">
        <v>222</v>
      </c>
      <c r="N30" s="184" t="n">
        <v>33680</v>
      </c>
      <c r="O30" s="184" t="n">
        <v>14870</v>
      </c>
      <c r="P30" s="185" t="n">
        <v>43</v>
      </c>
      <c r="Q30" s="184" t="n">
        <v>18810</v>
      </c>
      <c r="R30" s="184" t="n">
        <v>10721.7</v>
      </c>
      <c r="S30" s="186" t="s">
        <v>361</v>
      </c>
      <c r="T30" s="187" t="n">
        <v>45878</v>
      </c>
    </row>
    <row r="31" customFormat="false" ht="38.25" hidden="true" customHeight="true" outlineLevel="0" collapsed="false">
      <c r="A31" s="181" t="s">
        <v>362</v>
      </c>
      <c r="B31" s="182" t="n">
        <v>872</v>
      </c>
      <c r="C31" s="183" t="n">
        <v>9478</v>
      </c>
      <c r="D31" s="181" t="s">
        <v>3325</v>
      </c>
      <c r="E31" s="181" t="s">
        <v>304</v>
      </c>
      <c r="F31" s="181" t="s">
        <v>305</v>
      </c>
      <c r="G31" s="181" t="s">
        <v>222</v>
      </c>
      <c r="H31" s="181" t="s">
        <v>327</v>
      </c>
      <c r="I31" s="181" t="s">
        <v>220</v>
      </c>
      <c r="J31" s="267"/>
      <c r="K31" s="269" t="n">
        <v>45878</v>
      </c>
      <c r="L31" s="267" t="n">
        <v>1.9</v>
      </c>
      <c r="M31" s="184" t="s">
        <v>222</v>
      </c>
      <c r="N31" s="184" t="n">
        <v>36760</v>
      </c>
      <c r="O31" s="184" t="n">
        <v>14950</v>
      </c>
      <c r="P31" s="185" t="n">
        <v>44</v>
      </c>
      <c r="Q31" s="184" t="n">
        <v>21810</v>
      </c>
      <c r="R31" s="184" t="n">
        <v>12213.6</v>
      </c>
      <c r="S31" s="186" t="s">
        <v>363</v>
      </c>
      <c r="T31" s="187" t="n">
        <v>45879</v>
      </c>
    </row>
    <row r="32" customFormat="false" ht="38.25" hidden="true" customHeight="true" outlineLevel="0" collapsed="false">
      <c r="A32" s="181" t="s">
        <v>364</v>
      </c>
      <c r="B32" s="182" t="n">
        <v>874</v>
      </c>
      <c r="C32" s="183" t="n">
        <v>9476</v>
      </c>
      <c r="D32" s="181" t="s">
        <v>3325</v>
      </c>
      <c r="E32" s="181" t="s">
        <v>300</v>
      </c>
      <c r="F32" s="181" t="s">
        <v>301</v>
      </c>
      <c r="G32" s="181" t="s">
        <v>222</v>
      </c>
      <c r="H32" s="181" t="s">
        <v>327</v>
      </c>
      <c r="I32" s="181" t="s">
        <v>220</v>
      </c>
      <c r="J32" s="267"/>
      <c r="K32" s="269" t="n">
        <v>45878</v>
      </c>
      <c r="L32" s="267" t="n">
        <v>2.2</v>
      </c>
      <c r="M32" s="184" t="s">
        <v>222</v>
      </c>
      <c r="N32" s="184" t="n">
        <v>46180</v>
      </c>
      <c r="O32" s="184" t="n">
        <v>20940</v>
      </c>
      <c r="P32" s="185" t="n">
        <v>21</v>
      </c>
      <c r="Q32" s="184" t="n">
        <v>25240</v>
      </c>
      <c r="R32" s="184" t="n">
        <v>19939.6</v>
      </c>
      <c r="S32" s="186" t="s">
        <v>365</v>
      </c>
      <c r="T32" s="187" t="n">
        <v>45879</v>
      </c>
    </row>
    <row r="33" customFormat="false" ht="38.25" hidden="true" customHeight="true" outlineLevel="0" collapsed="false">
      <c r="A33" s="181" t="s">
        <v>366</v>
      </c>
      <c r="B33" s="182" t="n">
        <v>875</v>
      </c>
      <c r="C33" s="183" t="n">
        <v>9480</v>
      </c>
      <c r="D33" s="181" t="s">
        <v>3325</v>
      </c>
      <c r="E33" s="181" t="s">
        <v>367</v>
      </c>
      <c r="F33" s="181" t="s">
        <v>368</v>
      </c>
      <c r="G33" s="181" t="s">
        <v>222</v>
      </c>
      <c r="H33" s="181" t="s">
        <v>327</v>
      </c>
      <c r="I33" s="181" t="s">
        <v>220</v>
      </c>
      <c r="J33" s="267"/>
      <c r="K33" s="269" t="n">
        <v>45878</v>
      </c>
      <c r="L33" s="267" t="n">
        <v>2.3</v>
      </c>
      <c r="M33" s="184" t="s">
        <v>222</v>
      </c>
      <c r="N33" s="184" t="n">
        <v>45100</v>
      </c>
      <c r="O33" s="184" t="n">
        <v>18610</v>
      </c>
      <c r="P33" s="185" t="n">
        <v>24</v>
      </c>
      <c r="Q33" s="184" t="n">
        <v>26490</v>
      </c>
      <c r="R33" s="184" t="n">
        <v>20132.4</v>
      </c>
      <c r="S33" s="186" t="s">
        <v>369</v>
      </c>
      <c r="T33" s="187" t="n">
        <v>45879</v>
      </c>
    </row>
    <row r="34" customFormat="false" ht="38.25" hidden="true" customHeight="true" outlineLevel="0" collapsed="false">
      <c r="A34" s="181" t="s">
        <v>370</v>
      </c>
      <c r="B34" s="182" t="n">
        <v>876</v>
      </c>
      <c r="C34" s="183" t="n">
        <v>9482</v>
      </c>
      <c r="D34" s="181" t="s">
        <v>3325</v>
      </c>
      <c r="E34" s="181" t="s">
        <v>288</v>
      </c>
      <c r="F34" s="181" t="s">
        <v>289</v>
      </c>
      <c r="G34" s="181" t="s">
        <v>222</v>
      </c>
      <c r="H34" s="181" t="s">
        <v>327</v>
      </c>
      <c r="I34" s="181" t="s">
        <v>220</v>
      </c>
      <c r="J34" s="267"/>
      <c r="K34" s="269" t="n">
        <v>45878</v>
      </c>
      <c r="L34" s="267" t="n">
        <v>1.6</v>
      </c>
      <c r="M34" s="184" t="s">
        <v>222</v>
      </c>
      <c r="N34" s="184" t="n">
        <v>33760</v>
      </c>
      <c r="O34" s="184" t="n">
        <v>14600</v>
      </c>
      <c r="P34" s="185" t="n">
        <v>17</v>
      </c>
      <c r="Q34" s="184" t="n">
        <v>19160</v>
      </c>
      <c r="R34" s="184" t="n">
        <v>15902.8</v>
      </c>
      <c r="S34" s="186" t="s">
        <v>371</v>
      </c>
      <c r="T34" s="187" t="n">
        <v>45879</v>
      </c>
    </row>
    <row r="35" customFormat="false" ht="38.25" hidden="true" customHeight="true" outlineLevel="0" collapsed="false">
      <c r="A35" s="181" t="s">
        <v>372</v>
      </c>
      <c r="B35" s="182" t="n">
        <v>877</v>
      </c>
      <c r="C35" s="183" t="n">
        <v>9484</v>
      </c>
      <c r="D35" s="181" t="s">
        <v>3325</v>
      </c>
      <c r="E35" s="181" t="s">
        <v>373</v>
      </c>
      <c r="F35" s="181" t="s">
        <v>374</v>
      </c>
      <c r="G35" s="181" t="s">
        <v>222</v>
      </c>
      <c r="H35" s="181" t="s">
        <v>327</v>
      </c>
      <c r="I35" s="181" t="s">
        <v>220</v>
      </c>
      <c r="J35" s="267"/>
      <c r="K35" s="269" t="n">
        <v>45878</v>
      </c>
      <c r="L35" s="267" t="n">
        <v>1.9</v>
      </c>
      <c r="M35" s="184" t="s">
        <v>222</v>
      </c>
      <c r="N35" s="184" t="n">
        <v>36930</v>
      </c>
      <c r="O35" s="184" t="n">
        <v>14240</v>
      </c>
      <c r="P35" s="185" t="n">
        <v>40</v>
      </c>
      <c r="Q35" s="184" t="n">
        <v>22690</v>
      </c>
      <c r="R35" s="184" t="n">
        <v>13614</v>
      </c>
      <c r="S35" s="186" t="s">
        <v>375</v>
      </c>
      <c r="T35" s="187" t="n">
        <v>45879</v>
      </c>
    </row>
    <row r="36" customFormat="false" ht="38.25" hidden="true" customHeight="true" outlineLevel="0" collapsed="false">
      <c r="A36" s="181" t="s">
        <v>376</v>
      </c>
      <c r="B36" s="182" t="n">
        <v>878</v>
      </c>
      <c r="C36" s="183" t="n">
        <v>9486</v>
      </c>
      <c r="D36" s="181" t="s">
        <v>3325</v>
      </c>
      <c r="E36" s="181" t="s">
        <v>377</v>
      </c>
      <c r="F36" s="181" t="s">
        <v>378</v>
      </c>
      <c r="G36" s="181" t="s">
        <v>222</v>
      </c>
      <c r="H36" s="181" t="s">
        <v>327</v>
      </c>
      <c r="I36" s="181" t="s">
        <v>220</v>
      </c>
      <c r="J36" s="267"/>
      <c r="K36" s="269" t="n">
        <v>45878</v>
      </c>
      <c r="L36" s="267" t="n">
        <v>2</v>
      </c>
      <c r="M36" s="184" t="s">
        <v>222</v>
      </c>
      <c r="N36" s="184" t="n">
        <v>38770</v>
      </c>
      <c r="O36" s="184" t="n">
        <v>15600</v>
      </c>
      <c r="P36" s="185" t="n">
        <v>31</v>
      </c>
      <c r="Q36" s="184" t="n">
        <v>23170</v>
      </c>
      <c r="R36" s="184" t="n">
        <v>15987.3</v>
      </c>
      <c r="S36" s="186" t="s">
        <v>379</v>
      </c>
      <c r="T36" s="187" t="n">
        <v>45879</v>
      </c>
    </row>
    <row r="37" customFormat="false" ht="38.25" hidden="true" customHeight="true" outlineLevel="0" collapsed="false">
      <c r="A37" s="181" t="s">
        <v>380</v>
      </c>
      <c r="B37" s="182" t="n">
        <v>879</v>
      </c>
      <c r="C37" s="183" t="n">
        <v>9492</v>
      </c>
      <c r="D37" s="181" t="s">
        <v>3325</v>
      </c>
      <c r="E37" s="181" t="s">
        <v>277</v>
      </c>
      <c r="F37" s="181" t="s">
        <v>278</v>
      </c>
      <c r="G37" s="181" t="s">
        <v>222</v>
      </c>
      <c r="H37" s="181" t="s">
        <v>327</v>
      </c>
      <c r="I37" s="181" t="s">
        <v>220</v>
      </c>
      <c r="J37" s="267"/>
      <c r="K37" s="269" t="n">
        <v>45878</v>
      </c>
      <c r="L37" s="267" t="n">
        <v>1.9</v>
      </c>
      <c r="M37" s="184" t="s">
        <v>222</v>
      </c>
      <c r="N37" s="184" t="n">
        <v>37280</v>
      </c>
      <c r="O37" s="184" t="n">
        <v>15070</v>
      </c>
      <c r="P37" s="185" t="n">
        <v>49</v>
      </c>
      <c r="Q37" s="184" t="n">
        <v>22210</v>
      </c>
      <c r="R37" s="184" t="n">
        <v>11327.1</v>
      </c>
      <c r="S37" s="186" t="s">
        <v>381</v>
      </c>
      <c r="T37" s="187" t="n">
        <v>45879</v>
      </c>
    </row>
    <row r="38" customFormat="false" ht="38.25" hidden="true" customHeight="true" outlineLevel="0" collapsed="false">
      <c r="A38" s="181" t="s">
        <v>382</v>
      </c>
      <c r="B38" s="182" t="n">
        <v>880</v>
      </c>
      <c r="C38" s="183" t="n">
        <v>9488</v>
      </c>
      <c r="D38" s="181" t="s">
        <v>3325</v>
      </c>
      <c r="E38" s="181" t="s">
        <v>383</v>
      </c>
      <c r="F38" s="181" t="s">
        <v>384</v>
      </c>
      <c r="G38" s="181" t="s">
        <v>222</v>
      </c>
      <c r="H38" s="181" t="s">
        <v>327</v>
      </c>
      <c r="I38" s="181" t="s">
        <v>220</v>
      </c>
      <c r="J38" s="267"/>
      <c r="K38" s="269" t="n">
        <v>45878</v>
      </c>
      <c r="L38" s="267" t="n">
        <v>2</v>
      </c>
      <c r="M38" s="184" t="s">
        <v>222</v>
      </c>
      <c r="N38" s="184" t="n">
        <v>37960</v>
      </c>
      <c r="O38" s="184" t="n">
        <v>14900</v>
      </c>
      <c r="P38" s="185" t="n">
        <v>48</v>
      </c>
      <c r="Q38" s="184" t="n">
        <v>23060</v>
      </c>
      <c r="R38" s="184" t="n">
        <v>11991.2</v>
      </c>
      <c r="S38" s="186" t="s">
        <v>385</v>
      </c>
      <c r="T38" s="187" t="n">
        <v>45879</v>
      </c>
    </row>
    <row r="39" customFormat="false" ht="38.25" hidden="true" customHeight="true" outlineLevel="0" collapsed="false">
      <c r="A39" s="181" t="s">
        <v>386</v>
      </c>
      <c r="B39" s="182" t="n">
        <v>881</v>
      </c>
      <c r="C39" s="183" t="n">
        <v>9490</v>
      </c>
      <c r="D39" s="181" t="s">
        <v>3325</v>
      </c>
      <c r="E39" s="181" t="s">
        <v>387</v>
      </c>
      <c r="F39" s="181" t="s">
        <v>388</v>
      </c>
      <c r="G39" s="181" t="s">
        <v>222</v>
      </c>
      <c r="H39" s="181" t="s">
        <v>327</v>
      </c>
      <c r="I39" s="181" t="s">
        <v>220</v>
      </c>
      <c r="J39" s="267"/>
      <c r="K39" s="269" t="n">
        <v>45878</v>
      </c>
      <c r="L39" s="267" t="n">
        <v>1.8</v>
      </c>
      <c r="M39" s="184" t="s">
        <v>222</v>
      </c>
      <c r="N39" s="184" t="n">
        <v>36110</v>
      </c>
      <c r="O39" s="184" t="n">
        <v>14930</v>
      </c>
      <c r="P39" s="185" t="n">
        <v>49</v>
      </c>
      <c r="Q39" s="184" t="n">
        <v>21180</v>
      </c>
      <c r="R39" s="184" t="n">
        <v>10801.8</v>
      </c>
      <c r="S39" s="186" t="s">
        <v>389</v>
      </c>
      <c r="T39" s="187" t="n">
        <v>45879</v>
      </c>
    </row>
    <row r="40" customFormat="false" ht="38.25" hidden="true" customHeight="true" outlineLevel="0" collapsed="false">
      <c r="A40" s="181" t="s">
        <v>390</v>
      </c>
      <c r="B40" s="182" t="n">
        <v>883</v>
      </c>
      <c r="C40" s="183" t="n">
        <v>9494</v>
      </c>
      <c r="D40" s="181" t="s">
        <v>3325</v>
      </c>
      <c r="E40" s="181" t="s">
        <v>391</v>
      </c>
      <c r="F40" s="181" t="s">
        <v>392</v>
      </c>
      <c r="G40" s="181" t="s">
        <v>222</v>
      </c>
      <c r="H40" s="181" t="s">
        <v>327</v>
      </c>
      <c r="I40" s="181" t="s">
        <v>220</v>
      </c>
      <c r="J40" s="267"/>
      <c r="K40" s="269" t="n">
        <v>45878</v>
      </c>
      <c r="L40" s="267" t="n">
        <v>1.6</v>
      </c>
      <c r="M40" s="184" t="s">
        <v>222</v>
      </c>
      <c r="N40" s="184" t="n">
        <v>32690</v>
      </c>
      <c r="O40" s="184" t="n">
        <v>14460</v>
      </c>
      <c r="P40" s="185" t="n">
        <v>46</v>
      </c>
      <c r="Q40" s="184" t="n">
        <v>18230</v>
      </c>
      <c r="R40" s="184" t="n">
        <v>9844.2</v>
      </c>
      <c r="S40" s="186" t="s">
        <v>393</v>
      </c>
      <c r="T40" s="187" t="n">
        <v>45879</v>
      </c>
    </row>
    <row r="41" customFormat="false" ht="38.25" hidden="true" customHeight="true" outlineLevel="0" collapsed="false">
      <c r="A41" s="181" t="s">
        <v>394</v>
      </c>
      <c r="B41" s="182" t="n">
        <v>884</v>
      </c>
      <c r="C41" s="183" t="n">
        <v>9498</v>
      </c>
      <c r="D41" s="181" t="s">
        <v>3325</v>
      </c>
      <c r="E41" s="181" t="s">
        <v>282</v>
      </c>
      <c r="F41" s="181" t="s">
        <v>283</v>
      </c>
      <c r="G41" s="181" t="s">
        <v>222</v>
      </c>
      <c r="H41" s="181" t="s">
        <v>327</v>
      </c>
      <c r="I41" s="181" t="s">
        <v>220</v>
      </c>
      <c r="J41" s="267"/>
      <c r="K41" s="269" t="n">
        <v>45878</v>
      </c>
      <c r="L41" s="267" t="n">
        <v>1.7</v>
      </c>
      <c r="M41" s="184" t="s">
        <v>222</v>
      </c>
      <c r="N41" s="184" t="n">
        <v>34460</v>
      </c>
      <c r="O41" s="184" t="n">
        <v>15060</v>
      </c>
      <c r="P41" s="185" t="n">
        <v>45</v>
      </c>
      <c r="Q41" s="184" t="n">
        <v>19400</v>
      </c>
      <c r="R41" s="184" t="n">
        <v>10670</v>
      </c>
      <c r="S41" s="186" t="s">
        <v>395</v>
      </c>
      <c r="T41" s="187" t="n">
        <v>45879</v>
      </c>
    </row>
    <row r="42" customFormat="false" ht="38.25" hidden="true" customHeight="true" outlineLevel="0" collapsed="false">
      <c r="A42" s="181" t="s">
        <v>396</v>
      </c>
      <c r="B42" s="182" t="n">
        <v>885</v>
      </c>
      <c r="C42" s="183" t="n">
        <v>9500</v>
      </c>
      <c r="D42" s="181" t="s">
        <v>3325</v>
      </c>
      <c r="E42" s="181" t="s">
        <v>346</v>
      </c>
      <c r="F42" s="181" t="s">
        <v>347</v>
      </c>
      <c r="G42" s="181" t="s">
        <v>222</v>
      </c>
      <c r="H42" s="181" t="s">
        <v>327</v>
      </c>
      <c r="I42" s="181" t="s">
        <v>220</v>
      </c>
      <c r="J42" s="267"/>
      <c r="K42" s="269" t="n">
        <v>45878</v>
      </c>
      <c r="L42" s="267" t="n">
        <v>1.6</v>
      </c>
      <c r="M42" s="184" t="s">
        <v>222</v>
      </c>
      <c r="N42" s="184" t="n">
        <v>34010</v>
      </c>
      <c r="O42" s="184" t="n">
        <v>14840</v>
      </c>
      <c r="P42" s="185" t="n">
        <v>37</v>
      </c>
      <c r="Q42" s="184" t="n">
        <v>19170</v>
      </c>
      <c r="R42" s="184" t="n">
        <v>12077.1</v>
      </c>
      <c r="S42" s="186" t="s">
        <v>397</v>
      </c>
      <c r="T42" s="187" t="n">
        <v>45879</v>
      </c>
    </row>
    <row r="43" customFormat="false" ht="38.25" hidden="true" customHeight="true" outlineLevel="0" collapsed="false">
      <c r="A43" s="181" t="s">
        <v>398</v>
      </c>
      <c r="B43" s="182" t="n">
        <v>887</v>
      </c>
      <c r="C43" s="183" t="n">
        <v>9502</v>
      </c>
      <c r="D43" s="181" t="s">
        <v>3325</v>
      </c>
      <c r="E43" s="181" t="s">
        <v>399</v>
      </c>
      <c r="F43" s="181" t="s">
        <v>400</v>
      </c>
      <c r="G43" s="181" t="s">
        <v>222</v>
      </c>
      <c r="H43" s="181" t="s">
        <v>327</v>
      </c>
      <c r="I43" s="181" t="s">
        <v>220</v>
      </c>
      <c r="J43" s="267"/>
      <c r="K43" s="269" t="n">
        <v>45879</v>
      </c>
      <c r="L43" s="267" t="n">
        <v>1.3</v>
      </c>
      <c r="M43" s="184" t="s">
        <v>222</v>
      </c>
      <c r="N43" s="184" t="n">
        <v>37300</v>
      </c>
      <c r="O43" s="184" t="n">
        <v>15680</v>
      </c>
      <c r="P43" s="185" t="n">
        <v>45</v>
      </c>
      <c r="Q43" s="184" t="n">
        <v>21620</v>
      </c>
      <c r="R43" s="184" t="n">
        <v>11891</v>
      </c>
      <c r="S43" s="186" t="s">
        <v>401</v>
      </c>
      <c r="T43" s="187" t="n">
        <v>45879</v>
      </c>
    </row>
    <row r="44" customFormat="false" ht="38.25" hidden="true" customHeight="true" outlineLevel="0" collapsed="false">
      <c r="A44" s="181" t="s">
        <v>402</v>
      </c>
      <c r="B44" s="182" t="n">
        <v>888</v>
      </c>
      <c r="C44" s="183" t="n">
        <v>9496</v>
      </c>
      <c r="D44" s="181" t="s">
        <v>3325</v>
      </c>
      <c r="E44" s="181" t="s">
        <v>308</v>
      </c>
      <c r="F44" s="181" t="s">
        <v>309</v>
      </c>
      <c r="G44" s="181" t="s">
        <v>222</v>
      </c>
      <c r="H44" s="181" t="s">
        <v>327</v>
      </c>
      <c r="I44" s="181" t="s">
        <v>220</v>
      </c>
      <c r="J44" s="267"/>
      <c r="K44" s="269" t="n">
        <v>45879</v>
      </c>
      <c r="L44" s="267" t="n">
        <v>2.2</v>
      </c>
      <c r="M44" s="184" t="s">
        <v>222</v>
      </c>
      <c r="N44" s="184" t="n">
        <v>59720</v>
      </c>
      <c r="O44" s="184" t="n">
        <v>24020</v>
      </c>
      <c r="P44" s="185" t="n">
        <v>44</v>
      </c>
      <c r="Q44" s="184" t="n">
        <v>35700</v>
      </c>
      <c r="R44" s="184" t="n">
        <v>19992</v>
      </c>
      <c r="S44" s="186" t="s">
        <v>403</v>
      </c>
      <c r="T44" s="187" t="n">
        <v>45879</v>
      </c>
    </row>
    <row r="45" customFormat="false" ht="38.25" hidden="true" customHeight="true" outlineLevel="0" collapsed="false">
      <c r="A45" s="181" t="s">
        <v>404</v>
      </c>
      <c r="B45" s="182" t="n">
        <v>889</v>
      </c>
      <c r="C45" s="183" t="n">
        <v>9504</v>
      </c>
      <c r="D45" s="181" t="s">
        <v>3325</v>
      </c>
      <c r="E45" s="181" t="s">
        <v>350</v>
      </c>
      <c r="F45" s="181" t="s">
        <v>351</v>
      </c>
      <c r="G45" s="181" t="s">
        <v>222</v>
      </c>
      <c r="H45" s="181" t="s">
        <v>327</v>
      </c>
      <c r="I45" s="181" t="s">
        <v>220</v>
      </c>
      <c r="J45" s="267"/>
      <c r="K45" s="269" t="n">
        <v>45879</v>
      </c>
      <c r="L45" s="267" t="n">
        <v>1.5</v>
      </c>
      <c r="M45" s="184" t="s">
        <v>222</v>
      </c>
      <c r="N45" s="184" t="n">
        <v>40070</v>
      </c>
      <c r="O45" s="184" t="n">
        <v>14930</v>
      </c>
      <c r="P45" s="185" t="n">
        <v>42</v>
      </c>
      <c r="Q45" s="184" t="n">
        <v>25140</v>
      </c>
      <c r="R45" s="184" t="n">
        <v>14581.2</v>
      </c>
      <c r="S45" s="186" t="s">
        <v>405</v>
      </c>
      <c r="T45" s="187" t="n">
        <v>45879</v>
      </c>
    </row>
    <row r="46" customFormat="false" ht="38.25" hidden="true" customHeight="true" outlineLevel="0" collapsed="false">
      <c r="A46" s="181" t="s">
        <v>406</v>
      </c>
      <c r="B46" s="182" t="n">
        <v>890</v>
      </c>
      <c r="C46" s="183" t="n">
        <v>9506</v>
      </c>
      <c r="D46" s="181" t="s">
        <v>3325</v>
      </c>
      <c r="E46" s="181" t="s">
        <v>354</v>
      </c>
      <c r="F46" s="181" t="s">
        <v>355</v>
      </c>
      <c r="G46" s="181" t="s">
        <v>222</v>
      </c>
      <c r="H46" s="181" t="s">
        <v>327</v>
      </c>
      <c r="I46" s="181" t="s">
        <v>220</v>
      </c>
      <c r="J46" s="267"/>
      <c r="K46" s="269" t="n">
        <v>45879</v>
      </c>
      <c r="L46" s="267" t="n">
        <v>1.4</v>
      </c>
      <c r="M46" s="184" t="s">
        <v>222</v>
      </c>
      <c r="N46" s="184" t="n">
        <v>37670</v>
      </c>
      <c r="O46" s="184" t="n">
        <v>14710</v>
      </c>
      <c r="P46" s="185" t="n">
        <v>46</v>
      </c>
      <c r="Q46" s="184" t="n">
        <v>22960</v>
      </c>
      <c r="R46" s="184" t="n">
        <v>12398.4</v>
      </c>
      <c r="S46" s="186" t="s">
        <v>407</v>
      </c>
      <c r="T46" s="187" t="n">
        <v>45879</v>
      </c>
    </row>
    <row r="47" customFormat="false" ht="38.25" hidden="true" customHeight="true" outlineLevel="0" collapsed="false">
      <c r="A47" s="181" t="s">
        <v>408</v>
      </c>
      <c r="B47" s="182" t="n">
        <v>891</v>
      </c>
      <c r="C47" s="183" t="n">
        <v>9508</v>
      </c>
      <c r="D47" s="181" t="s">
        <v>3325</v>
      </c>
      <c r="E47" s="181" t="s">
        <v>409</v>
      </c>
      <c r="F47" s="181" t="s">
        <v>410</v>
      </c>
      <c r="G47" s="181" t="s">
        <v>222</v>
      </c>
      <c r="H47" s="181" t="s">
        <v>327</v>
      </c>
      <c r="I47" s="181" t="s">
        <v>220</v>
      </c>
      <c r="J47" s="267"/>
      <c r="K47" s="269" t="n">
        <v>45879</v>
      </c>
      <c r="L47" s="267" t="n">
        <v>1.6</v>
      </c>
      <c r="M47" s="184" t="s">
        <v>222</v>
      </c>
      <c r="N47" s="184" t="n">
        <v>49720</v>
      </c>
      <c r="O47" s="184" t="n">
        <v>23560</v>
      </c>
      <c r="P47" s="185" t="n">
        <v>46</v>
      </c>
      <c r="Q47" s="184" t="n">
        <v>26160</v>
      </c>
      <c r="R47" s="184" t="n">
        <v>14126.4</v>
      </c>
      <c r="S47" s="186" t="s">
        <v>411</v>
      </c>
      <c r="T47" s="187" t="n">
        <v>45879</v>
      </c>
    </row>
    <row r="48" customFormat="false" ht="38.25" hidden="true" customHeight="true" outlineLevel="0" collapsed="false">
      <c r="A48" s="181" t="s">
        <v>412</v>
      </c>
      <c r="B48" s="182" t="n">
        <v>892</v>
      </c>
      <c r="C48" s="183" t="n">
        <v>9510</v>
      </c>
      <c r="D48" s="181" t="s">
        <v>3325</v>
      </c>
      <c r="E48" s="181" t="s">
        <v>413</v>
      </c>
      <c r="F48" s="181" t="s">
        <v>414</v>
      </c>
      <c r="G48" s="181" t="s">
        <v>222</v>
      </c>
      <c r="H48" s="181" t="s">
        <v>327</v>
      </c>
      <c r="I48" s="181" t="s">
        <v>220</v>
      </c>
      <c r="J48" s="267"/>
      <c r="K48" s="269" t="n">
        <v>45879</v>
      </c>
      <c r="L48" s="267" t="n">
        <v>1.5</v>
      </c>
      <c r="M48" s="184" t="s">
        <v>222</v>
      </c>
      <c r="N48" s="184" t="n">
        <v>40530</v>
      </c>
      <c r="O48" s="184" t="n">
        <v>15550</v>
      </c>
      <c r="P48" s="185" t="n">
        <v>47</v>
      </c>
      <c r="Q48" s="184" t="n">
        <v>24980</v>
      </c>
      <c r="R48" s="184" t="n">
        <v>13239.4</v>
      </c>
      <c r="S48" s="186" t="s">
        <v>415</v>
      </c>
      <c r="T48" s="187" t="n">
        <v>45879</v>
      </c>
    </row>
    <row r="49" customFormat="false" ht="38.25" hidden="true" customHeight="true" outlineLevel="0" collapsed="false">
      <c r="A49" s="181" t="s">
        <v>416</v>
      </c>
      <c r="B49" s="182" t="n">
        <v>893</v>
      </c>
      <c r="C49" s="183" t="n">
        <v>9512</v>
      </c>
      <c r="D49" s="181" t="s">
        <v>3325</v>
      </c>
      <c r="E49" s="181" t="s">
        <v>359</v>
      </c>
      <c r="F49" s="181" t="s">
        <v>360</v>
      </c>
      <c r="G49" s="181" t="s">
        <v>222</v>
      </c>
      <c r="H49" s="181" t="s">
        <v>327</v>
      </c>
      <c r="I49" s="181" t="s">
        <v>220</v>
      </c>
      <c r="J49" s="267"/>
      <c r="K49" s="269" t="n">
        <v>45879</v>
      </c>
      <c r="L49" s="267" t="n">
        <v>1.3</v>
      </c>
      <c r="M49" s="184" t="s">
        <v>222</v>
      </c>
      <c r="N49" s="184" t="n">
        <v>35910</v>
      </c>
      <c r="O49" s="184" t="n">
        <v>14880</v>
      </c>
      <c r="P49" s="185" t="n">
        <v>11</v>
      </c>
      <c r="Q49" s="184" t="n">
        <v>21030</v>
      </c>
      <c r="R49" s="184" t="n">
        <v>18716.7</v>
      </c>
      <c r="S49" s="186" t="s">
        <v>417</v>
      </c>
      <c r="T49" s="187" t="n">
        <v>45879</v>
      </c>
    </row>
    <row r="50" customFormat="false" ht="38.25" hidden="true" customHeight="true" outlineLevel="0" collapsed="false">
      <c r="A50" s="181" t="s">
        <v>418</v>
      </c>
      <c r="B50" s="182" t="n">
        <v>894</v>
      </c>
      <c r="C50" s="183" t="n">
        <v>9514</v>
      </c>
      <c r="D50" s="181" t="s">
        <v>3325</v>
      </c>
      <c r="E50" s="181" t="s">
        <v>266</v>
      </c>
      <c r="F50" s="181" t="s">
        <v>267</v>
      </c>
      <c r="G50" s="181" t="s">
        <v>222</v>
      </c>
      <c r="H50" s="181" t="s">
        <v>327</v>
      </c>
      <c r="I50" s="181" t="s">
        <v>220</v>
      </c>
      <c r="J50" s="267"/>
      <c r="K50" s="269" t="n">
        <v>45879</v>
      </c>
      <c r="L50" s="267" t="n">
        <v>1.4</v>
      </c>
      <c r="M50" s="184" t="s">
        <v>222</v>
      </c>
      <c r="N50" s="184" t="n">
        <v>38150</v>
      </c>
      <c r="O50" s="184" t="n">
        <v>14910</v>
      </c>
      <c r="P50" s="185" t="n">
        <v>43</v>
      </c>
      <c r="Q50" s="184" t="n">
        <v>23240</v>
      </c>
      <c r="R50" s="184" t="n">
        <v>13246.8</v>
      </c>
      <c r="S50" s="186" t="s">
        <v>419</v>
      </c>
      <c r="T50" s="187" t="n">
        <v>45879</v>
      </c>
    </row>
    <row r="51" customFormat="false" ht="38.25" hidden="true" customHeight="true" outlineLevel="0" collapsed="false">
      <c r="A51" s="181" t="s">
        <v>420</v>
      </c>
      <c r="B51" s="182" t="n">
        <v>895</v>
      </c>
      <c r="C51" s="183" t="n">
        <v>9516</v>
      </c>
      <c r="D51" s="181" t="s">
        <v>3325</v>
      </c>
      <c r="E51" s="181" t="s">
        <v>296</v>
      </c>
      <c r="F51" s="181" t="s">
        <v>297</v>
      </c>
      <c r="G51" s="181" t="s">
        <v>222</v>
      </c>
      <c r="H51" s="181" t="s">
        <v>327</v>
      </c>
      <c r="I51" s="181" t="s">
        <v>220</v>
      </c>
      <c r="J51" s="267"/>
      <c r="K51" s="269" t="n">
        <v>45879</v>
      </c>
      <c r="L51" s="267" t="n">
        <v>1.5</v>
      </c>
      <c r="M51" s="184" t="s">
        <v>222</v>
      </c>
      <c r="N51" s="184" t="n">
        <v>39770</v>
      </c>
      <c r="O51" s="184" t="n">
        <v>15410</v>
      </c>
      <c r="P51" s="185" t="n">
        <v>26</v>
      </c>
      <c r="Q51" s="184" t="n">
        <v>24360</v>
      </c>
      <c r="R51" s="184" t="n">
        <v>18026.4</v>
      </c>
      <c r="S51" s="186" t="s">
        <v>421</v>
      </c>
      <c r="T51" s="187" t="n">
        <v>45880</v>
      </c>
    </row>
    <row r="52" customFormat="false" ht="38.25" hidden="true" customHeight="true" outlineLevel="0" collapsed="false">
      <c r="A52" s="181" t="s">
        <v>422</v>
      </c>
      <c r="B52" s="182" t="n">
        <v>896</v>
      </c>
      <c r="C52" s="183" t="n">
        <v>9518</v>
      </c>
      <c r="D52" s="181" t="s">
        <v>3325</v>
      </c>
      <c r="E52" s="181" t="s">
        <v>261</v>
      </c>
      <c r="F52" s="181" t="s">
        <v>262</v>
      </c>
      <c r="G52" s="181" t="s">
        <v>222</v>
      </c>
      <c r="H52" s="181" t="s">
        <v>327</v>
      </c>
      <c r="I52" s="181" t="s">
        <v>220</v>
      </c>
      <c r="J52" s="267"/>
      <c r="K52" s="269" t="n">
        <v>45879</v>
      </c>
      <c r="L52" s="267" t="n">
        <v>1.3</v>
      </c>
      <c r="M52" s="184" t="s">
        <v>222</v>
      </c>
      <c r="N52" s="184" t="n">
        <v>37270</v>
      </c>
      <c r="O52" s="184" t="n">
        <v>15080</v>
      </c>
      <c r="P52" s="185" t="n">
        <v>31</v>
      </c>
      <c r="Q52" s="184" t="n">
        <v>22190</v>
      </c>
      <c r="R52" s="184" t="n">
        <v>15311.1</v>
      </c>
      <c r="S52" s="186" t="s">
        <v>423</v>
      </c>
      <c r="T52" s="187" t="n">
        <v>45880</v>
      </c>
    </row>
    <row r="53" customFormat="false" ht="38.25" hidden="true" customHeight="true" outlineLevel="0" collapsed="false">
      <c r="A53" s="181" t="s">
        <v>424</v>
      </c>
      <c r="B53" s="182" t="n">
        <v>897</v>
      </c>
      <c r="C53" s="183" t="n">
        <v>9520</v>
      </c>
      <c r="D53" s="181" t="s">
        <v>3325</v>
      </c>
      <c r="E53" s="181" t="s">
        <v>336</v>
      </c>
      <c r="F53" s="181" t="s">
        <v>337</v>
      </c>
      <c r="G53" s="181" t="s">
        <v>222</v>
      </c>
      <c r="H53" s="181" t="s">
        <v>327</v>
      </c>
      <c r="I53" s="181" t="s">
        <v>220</v>
      </c>
      <c r="J53" s="267"/>
      <c r="K53" s="269" t="n">
        <v>45879</v>
      </c>
      <c r="L53" s="267" t="n">
        <v>1.4</v>
      </c>
      <c r="M53" s="184" t="s">
        <v>222</v>
      </c>
      <c r="N53" s="184" t="n">
        <v>37590</v>
      </c>
      <c r="O53" s="184" t="n">
        <v>14500</v>
      </c>
      <c r="P53" s="185" t="n">
        <v>47</v>
      </c>
      <c r="Q53" s="184" t="n">
        <v>23090</v>
      </c>
      <c r="R53" s="184" t="n">
        <v>12237.7</v>
      </c>
      <c r="S53" s="186" t="s">
        <v>425</v>
      </c>
      <c r="T53" s="187" t="n">
        <v>45880</v>
      </c>
    </row>
    <row r="54" customFormat="false" ht="38.25" hidden="true" customHeight="true" outlineLevel="0" collapsed="false">
      <c r="A54" s="181" t="s">
        <v>426</v>
      </c>
      <c r="B54" s="182" t="n">
        <v>898</v>
      </c>
      <c r="C54" s="183" t="n">
        <v>9522</v>
      </c>
      <c r="D54" s="181" t="s">
        <v>3325</v>
      </c>
      <c r="E54" s="181" t="s">
        <v>340</v>
      </c>
      <c r="F54" s="181" t="s">
        <v>341</v>
      </c>
      <c r="G54" s="181" t="s">
        <v>222</v>
      </c>
      <c r="H54" s="181" t="s">
        <v>327</v>
      </c>
      <c r="I54" s="181" t="s">
        <v>220</v>
      </c>
      <c r="J54" s="267"/>
      <c r="K54" s="269" t="n">
        <v>45879</v>
      </c>
      <c r="L54" s="267" t="n">
        <v>1.4</v>
      </c>
      <c r="M54" s="184" t="s">
        <v>222</v>
      </c>
      <c r="N54" s="184" t="n">
        <v>37450</v>
      </c>
      <c r="O54" s="184" t="n">
        <v>15050</v>
      </c>
      <c r="P54" s="185" t="n">
        <v>32</v>
      </c>
      <c r="Q54" s="184" t="n">
        <v>22400</v>
      </c>
      <c r="R54" s="184" t="n">
        <v>15232</v>
      </c>
      <c r="S54" s="186" t="s">
        <v>427</v>
      </c>
      <c r="T54" s="187" t="n">
        <v>45880</v>
      </c>
    </row>
    <row r="55" customFormat="false" ht="38.25" hidden="true" customHeight="true" outlineLevel="0" collapsed="false">
      <c r="A55" s="181" t="s">
        <v>428</v>
      </c>
      <c r="B55" s="182" t="n">
        <v>899</v>
      </c>
      <c r="C55" s="183" t="n">
        <v>9524</v>
      </c>
      <c r="D55" s="181" t="s">
        <v>3325</v>
      </c>
      <c r="E55" s="181" t="s">
        <v>332</v>
      </c>
      <c r="F55" s="181" t="s">
        <v>333</v>
      </c>
      <c r="G55" s="181" t="s">
        <v>222</v>
      </c>
      <c r="H55" s="181" t="s">
        <v>327</v>
      </c>
      <c r="I55" s="181" t="s">
        <v>220</v>
      </c>
      <c r="J55" s="267"/>
      <c r="K55" s="269" t="n">
        <v>45879</v>
      </c>
      <c r="L55" s="267" t="n">
        <v>1.4</v>
      </c>
      <c r="M55" s="184" t="s">
        <v>222</v>
      </c>
      <c r="N55" s="184" t="n">
        <v>37010</v>
      </c>
      <c r="O55" s="184" t="n">
        <v>14660</v>
      </c>
      <c r="P55" s="185" t="n">
        <v>28</v>
      </c>
      <c r="Q55" s="184" t="n">
        <v>22350</v>
      </c>
      <c r="R55" s="184" t="n">
        <v>16092</v>
      </c>
      <c r="S55" s="186" t="s">
        <v>429</v>
      </c>
      <c r="T55" s="187" t="n">
        <v>45880</v>
      </c>
    </row>
    <row r="56" customFormat="false" ht="38.25" hidden="true" customHeight="true" outlineLevel="0" collapsed="false">
      <c r="A56" s="181" t="s">
        <v>430</v>
      </c>
      <c r="B56" s="182" t="n">
        <v>900</v>
      </c>
      <c r="C56" s="183" t="n">
        <v>9526</v>
      </c>
      <c r="D56" s="181" t="s">
        <v>3325</v>
      </c>
      <c r="E56" s="181" t="s">
        <v>431</v>
      </c>
      <c r="F56" s="181" t="s">
        <v>432</v>
      </c>
      <c r="G56" s="181" t="s">
        <v>222</v>
      </c>
      <c r="H56" s="181" t="s">
        <v>327</v>
      </c>
      <c r="I56" s="181" t="s">
        <v>220</v>
      </c>
      <c r="J56" s="267"/>
      <c r="K56" s="269" t="n">
        <v>45879</v>
      </c>
      <c r="L56" s="267" t="n">
        <v>1.4</v>
      </c>
      <c r="M56" s="184" t="s">
        <v>222</v>
      </c>
      <c r="N56" s="184" t="n">
        <v>39320</v>
      </c>
      <c r="O56" s="184" t="n">
        <v>16640</v>
      </c>
      <c r="P56" s="185" t="n">
        <v>34</v>
      </c>
      <c r="Q56" s="184" t="n">
        <v>22680</v>
      </c>
      <c r="R56" s="184" t="n">
        <v>14968.8</v>
      </c>
      <c r="S56" s="186" t="s">
        <v>433</v>
      </c>
      <c r="T56" s="187" t="n">
        <v>45880</v>
      </c>
    </row>
    <row r="57" customFormat="false" ht="38.25" hidden="true" customHeight="true" outlineLevel="0" collapsed="false">
      <c r="A57" s="181" t="s">
        <v>434</v>
      </c>
      <c r="B57" s="182" t="n">
        <v>901</v>
      </c>
      <c r="C57" s="183" t="n">
        <v>9528</v>
      </c>
      <c r="D57" s="181" t="s">
        <v>3325</v>
      </c>
      <c r="E57" s="181" t="s">
        <v>435</v>
      </c>
      <c r="F57" s="181" t="s">
        <v>436</v>
      </c>
      <c r="G57" s="181" t="s">
        <v>222</v>
      </c>
      <c r="H57" s="181" t="s">
        <v>327</v>
      </c>
      <c r="I57" s="181" t="s">
        <v>220</v>
      </c>
      <c r="J57" s="267"/>
      <c r="K57" s="269" t="n">
        <v>45879</v>
      </c>
      <c r="L57" s="267" t="n">
        <v>1.3</v>
      </c>
      <c r="M57" s="184" t="s">
        <v>222</v>
      </c>
      <c r="N57" s="184" t="n">
        <v>37420</v>
      </c>
      <c r="O57" s="184" t="n">
        <v>16330</v>
      </c>
      <c r="P57" s="185" t="n">
        <v>35</v>
      </c>
      <c r="Q57" s="184" t="n">
        <v>21090</v>
      </c>
      <c r="R57" s="184" t="n">
        <v>13708.5</v>
      </c>
      <c r="S57" s="186" t="s">
        <v>437</v>
      </c>
      <c r="T57" s="187" t="n">
        <v>45880</v>
      </c>
    </row>
    <row r="58" customFormat="false" ht="38.25" hidden="true" customHeight="true" outlineLevel="0" collapsed="false">
      <c r="A58" s="181" t="s">
        <v>438</v>
      </c>
      <c r="B58" s="182" t="n">
        <v>903</v>
      </c>
      <c r="C58" s="183" t="n">
        <v>9530</v>
      </c>
      <c r="D58" s="181" t="s">
        <v>3325</v>
      </c>
      <c r="E58" s="181" t="s">
        <v>439</v>
      </c>
      <c r="F58" s="181" t="s">
        <v>440</v>
      </c>
      <c r="G58" s="181" t="s">
        <v>222</v>
      </c>
      <c r="H58" s="181" t="s">
        <v>327</v>
      </c>
      <c r="I58" s="181" t="s">
        <v>220</v>
      </c>
      <c r="J58" s="267"/>
      <c r="K58" s="269" t="n">
        <v>45879</v>
      </c>
      <c r="L58" s="267" t="n">
        <v>1.3</v>
      </c>
      <c r="M58" s="184" t="s">
        <v>222</v>
      </c>
      <c r="N58" s="184" t="n">
        <v>37790</v>
      </c>
      <c r="O58" s="184" t="n">
        <v>16490</v>
      </c>
      <c r="P58" s="185" t="n">
        <v>37</v>
      </c>
      <c r="Q58" s="184" t="n">
        <v>21300</v>
      </c>
      <c r="R58" s="184" t="n">
        <v>13419</v>
      </c>
      <c r="S58" s="186" t="s">
        <v>441</v>
      </c>
      <c r="T58" s="187" t="n">
        <v>45880</v>
      </c>
    </row>
    <row r="59" customFormat="false" ht="38.25" hidden="true" customHeight="true" outlineLevel="0" collapsed="false">
      <c r="A59" s="181" t="s">
        <v>442</v>
      </c>
      <c r="B59" s="182" t="n">
        <v>904</v>
      </c>
      <c r="C59" s="183" t="n">
        <v>9532</v>
      </c>
      <c r="D59" s="181" t="s">
        <v>3325</v>
      </c>
      <c r="E59" s="181" t="s">
        <v>277</v>
      </c>
      <c r="F59" s="181" t="s">
        <v>278</v>
      </c>
      <c r="G59" s="181" t="s">
        <v>222</v>
      </c>
      <c r="H59" s="181" t="s">
        <v>327</v>
      </c>
      <c r="I59" s="181" t="s">
        <v>220</v>
      </c>
      <c r="J59" s="267"/>
      <c r="K59" s="269" t="n">
        <v>45879</v>
      </c>
      <c r="L59" s="267" t="n">
        <v>1.5</v>
      </c>
      <c r="M59" s="184" t="s">
        <v>222</v>
      </c>
      <c r="N59" s="184" t="n">
        <v>39060</v>
      </c>
      <c r="O59" s="184" t="n">
        <v>15080</v>
      </c>
      <c r="P59" s="185" t="n">
        <v>29</v>
      </c>
      <c r="Q59" s="184" t="n">
        <v>23980</v>
      </c>
      <c r="R59" s="184" t="n">
        <v>17025.8</v>
      </c>
      <c r="S59" s="186" t="s">
        <v>443</v>
      </c>
      <c r="T59" s="187" t="n">
        <v>45880</v>
      </c>
    </row>
    <row r="60" customFormat="false" ht="38.25" hidden="true" customHeight="true" outlineLevel="0" collapsed="false">
      <c r="A60" s="181" t="s">
        <v>444</v>
      </c>
      <c r="B60" s="182" t="n">
        <v>905</v>
      </c>
      <c r="C60" s="183" t="n">
        <v>9534</v>
      </c>
      <c r="D60" s="181" t="s">
        <v>3325</v>
      </c>
      <c r="E60" s="181" t="s">
        <v>367</v>
      </c>
      <c r="F60" s="181" t="s">
        <v>368</v>
      </c>
      <c r="G60" s="181" t="s">
        <v>222</v>
      </c>
      <c r="H60" s="181" t="s">
        <v>327</v>
      </c>
      <c r="I60" s="181" t="s">
        <v>220</v>
      </c>
      <c r="J60" s="267"/>
      <c r="K60" s="269" t="n">
        <v>45879</v>
      </c>
      <c r="L60" s="267" t="n">
        <v>1.6</v>
      </c>
      <c r="M60" s="184" t="s">
        <v>222</v>
      </c>
      <c r="N60" s="184" t="n">
        <v>44540</v>
      </c>
      <c r="O60" s="184" t="n">
        <v>18590</v>
      </c>
      <c r="P60" s="185" t="n">
        <v>37</v>
      </c>
      <c r="Q60" s="184" t="n">
        <v>25950</v>
      </c>
      <c r="R60" s="184" t="n">
        <v>16348.5</v>
      </c>
      <c r="S60" s="186" t="s">
        <v>445</v>
      </c>
      <c r="T60" s="187" t="n">
        <v>45880</v>
      </c>
    </row>
    <row r="61" customFormat="false" ht="38.25" hidden="true" customHeight="true" outlineLevel="0" collapsed="false">
      <c r="A61" s="181" t="s">
        <v>446</v>
      </c>
      <c r="B61" s="182" t="n">
        <v>906</v>
      </c>
      <c r="C61" s="183" t="n">
        <v>9536</v>
      </c>
      <c r="D61" s="181" t="s">
        <v>3325</v>
      </c>
      <c r="E61" s="181" t="s">
        <v>300</v>
      </c>
      <c r="F61" s="181" t="s">
        <v>301</v>
      </c>
      <c r="G61" s="181" t="s">
        <v>222</v>
      </c>
      <c r="H61" s="181" t="s">
        <v>327</v>
      </c>
      <c r="I61" s="181" t="s">
        <v>220</v>
      </c>
      <c r="J61" s="267"/>
      <c r="K61" s="269" t="n">
        <v>45879</v>
      </c>
      <c r="L61" s="267" t="n">
        <v>1.9</v>
      </c>
      <c r="M61" s="184" t="s">
        <v>222</v>
      </c>
      <c r="N61" s="184" t="n">
        <v>51520</v>
      </c>
      <c r="O61" s="184" t="n">
        <v>20900</v>
      </c>
      <c r="P61" s="185" t="n">
        <v>40</v>
      </c>
      <c r="Q61" s="184" t="n">
        <v>30620</v>
      </c>
      <c r="R61" s="184" t="n">
        <v>18372</v>
      </c>
      <c r="S61" s="186" t="s">
        <v>447</v>
      </c>
      <c r="T61" s="187" t="n">
        <v>45880</v>
      </c>
    </row>
    <row r="62" customFormat="false" ht="38.25" hidden="true" customHeight="true" outlineLevel="0" collapsed="false">
      <c r="A62" s="181" t="s">
        <v>448</v>
      </c>
      <c r="B62" s="182" t="n">
        <v>909</v>
      </c>
      <c r="C62" s="183" t="n">
        <v>9540</v>
      </c>
      <c r="D62" s="181" t="s">
        <v>3325</v>
      </c>
      <c r="E62" s="181" t="s">
        <v>292</v>
      </c>
      <c r="F62" s="181" t="s">
        <v>293</v>
      </c>
      <c r="G62" s="181" t="s">
        <v>222</v>
      </c>
      <c r="H62" s="181" t="s">
        <v>327</v>
      </c>
      <c r="I62" s="181" t="s">
        <v>220</v>
      </c>
      <c r="J62" s="267"/>
      <c r="K62" s="269" t="n">
        <v>45880</v>
      </c>
      <c r="L62" s="267" t="n">
        <v>1.2</v>
      </c>
      <c r="M62" s="184" t="s">
        <v>222</v>
      </c>
      <c r="N62" s="184" t="n">
        <v>36720</v>
      </c>
      <c r="O62" s="184" t="n">
        <v>13890</v>
      </c>
      <c r="P62" s="185" t="n">
        <v>30</v>
      </c>
      <c r="Q62" s="184" t="n">
        <v>22830</v>
      </c>
      <c r="R62" s="184" t="n">
        <v>15981</v>
      </c>
      <c r="S62" s="186" t="s">
        <v>449</v>
      </c>
      <c r="T62" s="187" t="n">
        <v>45880</v>
      </c>
    </row>
    <row r="63" customFormat="false" ht="38.25" hidden="true" customHeight="true" outlineLevel="0" collapsed="false">
      <c r="A63" s="181" t="s">
        <v>450</v>
      </c>
      <c r="B63" s="182" t="n">
        <v>910</v>
      </c>
      <c r="C63" s="183" t="n">
        <v>9538</v>
      </c>
      <c r="D63" s="181" t="s">
        <v>3325</v>
      </c>
      <c r="E63" s="181" t="s">
        <v>377</v>
      </c>
      <c r="F63" s="181" t="s">
        <v>378</v>
      </c>
      <c r="G63" s="181" t="s">
        <v>222</v>
      </c>
      <c r="H63" s="181" t="s">
        <v>327</v>
      </c>
      <c r="I63" s="181" t="s">
        <v>220</v>
      </c>
      <c r="J63" s="267"/>
      <c r="K63" s="269" t="n">
        <v>45880</v>
      </c>
      <c r="L63" s="267" t="n">
        <v>1.3</v>
      </c>
      <c r="M63" s="184" t="s">
        <v>222</v>
      </c>
      <c r="N63" s="184" t="n">
        <v>39340</v>
      </c>
      <c r="O63" s="184" t="n">
        <v>15570</v>
      </c>
      <c r="P63" s="185" t="n">
        <v>21</v>
      </c>
      <c r="Q63" s="184" t="n">
        <v>23770</v>
      </c>
      <c r="R63" s="184" t="n">
        <v>18778.3</v>
      </c>
      <c r="S63" s="186" t="s">
        <v>451</v>
      </c>
      <c r="T63" s="187" t="n">
        <v>45880</v>
      </c>
    </row>
    <row r="64" customFormat="false" ht="38.25" hidden="true" customHeight="true" outlineLevel="0" collapsed="false">
      <c r="A64" s="181" t="s">
        <v>452</v>
      </c>
      <c r="B64" s="182" t="n">
        <v>911</v>
      </c>
      <c r="C64" s="183" t="n">
        <v>9542</v>
      </c>
      <c r="D64" s="181" t="s">
        <v>3325</v>
      </c>
      <c r="E64" s="181" t="s">
        <v>399</v>
      </c>
      <c r="F64" s="181" t="s">
        <v>400</v>
      </c>
      <c r="G64" s="181" t="s">
        <v>222</v>
      </c>
      <c r="H64" s="181" t="s">
        <v>327</v>
      </c>
      <c r="I64" s="181" t="s">
        <v>220</v>
      </c>
      <c r="J64" s="267"/>
      <c r="K64" s="269" t="n">
        <v>45880</v>
      </c>
      <c r="L64" s="267" t="n">
        <v>1.2</v>
      </c>
      <c r="M64" s="184" t="s">
        <v>222</v>
      </c>
      <c r="N64" s="184" t="n">
        <v>37550</v>
      </c>
      <c r="O64" s="184" t="n">
        <v>15560</v>
      </c>
      <c r="P64" s="185" t="n">
        <v>21</v>
      </c>
      <c r="Q64" s="184" t="n">
        <v>21990</v>
      </c>
      <c r="R64" s="184" t="n">
        <v>17372.1</v>
      </c>
      <c r="S64" s="186" t="s">
        <v>453</v>
      </c>
      <c r="T64" s="187" t="n">
        <v>45880</v>
      </c>
    </row>
    <row r="65" customFormat="false" ht="38.25" hidden="true" customHeight="true" outlineLevel="0" collapsed="false">
      <c r="A65" s="181" t="s">
        <v>454</v>
      </c>
      <c r="B65" s="182" t="n">
        <v>912</v>
      </c>
      <c r="C65" s="183" t="n">
        <v>29985</v>
      </c>
      <c r="D65" s="181" t="s">
        <v>3325</v>
      </c>
      <c r="E65" s="181" t="s">
        <v>308</v>
      </c>
      <c r="F65" s="181" t="s">
        <v>309</v>
      </c>
      <c r="G65" s="181" t="s">
        <v>222</v>
      </c>
      <c r="H65" s="181" t="s">
        <v>327</v>
      </c>
      <c r="I65" s="181" t="s">
        <v>220</v>
      </c>
      <c r="J65" s="267"/>
      <c r="K65" s="269" t="n">
        <v>45880</v>
      </c>
      <c r="L65" s="267" t="n">
        <v>1.3</v>
      </c>
      <c r="M65" s="184" t="s">
        <v>222</v>
      </c>
      <c r="N65" s="184" t="n">
        <v>48510</v>
      </c>
      <c r="O65" s="184" t="n">
        <v>23920</v>
      </c>
      <c r="P65" s="185" t="n">
        <v>31</v>
      </c>
      <c r="Q65" s="184" t="n">
        <v>24590</v>
      </c>
      <c r="R65" s="184" t="n">
        <v>16967.1</v>
      </c>
      <c r="S65" s="186" t="s">
        <v>455</v>
      </c>
      <c r="T65" s="187" t="n">
        <v>45881</v>
      </c>
    </row>
    <row r="66" customFormat="false" ht="38.25" hidden="true" customHeight="true" outlineLevel="0" collapsed="false">
      <c r="A66" s="181" t="s">
        <v>456</v>
      </c>
      <c r="B66" s="182" t="n">
        <v>913</v>
      </c>
      <c r="C66" s="183" t="n">
        <v>29987</v>
      </c>
      <c r="D66" s="181" t="s">
        <v>3325</v>
      </c>
      <c r="E66" s="181" t="s">
        <v>304</v>
      </c>
      <c r="F66" s="181" t="s">
        <v>305</v>
      </c>
      <c r="G66" s="181" t="s">
        <v>222</v>
      </c>
      <c r="H66" s="181" t="s">
        <v>327</v>
      </c>
      <c r="I66" s="181" t="s">
        <v>220</v>
      </c>
      <c r="J66" s="267"/>
      <c r="K66" s="269" t="n">
        <v>45880</v>
      </c>
      <c r="L66" s="267" t="n">
        <v>1.1</v>
      </c>
      <c r="M66" s="184" t="s">
        <v>222</v>
      </c>
      <c r="N66" s="184" t="n">
        <v>36020</v>
      </c>
      <c r="O66" s="184" t="n">
        <v>14870</v>
      </c>
      <c r="P66" s="185" t="n">
        <v>23</v>
      </c>
      <c r="Q66" s="184" t="n">
        <v>21150</v>
      </c>
      <c r="R66" s="184" t="n">
        <v>16285.5</v>
      </c>
      <c r="S66" s="186" t="s">
        <v>457</v>
      </c>
      <c r="T66" s="187" t="n">
        <v>45881</v>
      </c>
    </row>
    <row r="67" customFormat="false" ht="38.25" hidden="true" customHeight="true" outlineLevel="0" collapsed="false">
      <c r="A67" s="181" t="s">
        <v>458</v>
      </c>
      <c r="B67" s="182" t="n">
        <v>914</v>
      </c>
      <c r="C67" s="183" t="n">
        <v>29991</v>
      </c>
      <c r="D67" s="181" t="s">
        <v>3325</v>
      </c>
      <c r="E67" s="181" t="s">
        <v>350</v>
      </c>
      <c r="F67" s="181" t="s">
        <v>351</v>
      </c>
      <c r="G67" s="181" t="s">
        <v>222</v>
      </c>
      <c r="H67" s="181" t="s">
        <v>327</v>
      </c>
      <c r="I67" s="181" t="s">
        <v>220</v>
      </c>
      <c r="J67" s="267"/>
      <c r="K67" s="269" t="n">
        <v>45880</v>
      </c>
      <c r="L67" s="267" t="n">
        <v>1.4</v>
      </c>
      <c r="M67" s="184" t="s">
        <v>222</v>
      </c>
      <c r="N67" s="184" t="n">
        <v>40380</v>
      </c>
      <c r="O67" s="184" t="n">
        <v>14930</v>
      </c>
      <c r="P67" s="185" t="n">
        <v>31</v>
      </c>
      <c r="Q67" s="184" t="n">
        <v>25450</v>
      </c>
      <c r="R67" s="184" t="n">
        <v>17560.5</v>
      </c>
      <c r="S67" s="186" t="s">
        <v>459</v>
      </c>
      <c r="T67" s="187" t="n">
        <v>45881</v>
      </c>
    </row>
    <row r="68" customFormat="false" ht="38.25" hidden="true" customHeight="true" outlineLevel="0" collapsed="false">
      <c r="A68" s="181" t="s">
        <v>460</v>
      </c>
      <c r="B68" s="182" t="n">
        <v>915</v>
      </c>
      <c r="C68" s="183" t="n">
        <v>29993</v>
      </c>
      <c r="D68" s="181" t="s">
        <v>3325</v>
      </c>
      <c r="E68" s="181" t="s">
        <v>354</v>
      </c>
      <c r="F68" s="181" t="s">
        <v>355</v>
      </c>
      <c r="G68" s="181" t="s">
        <v>222</v>
      </c>
      <c r="H68" s="181" t="s">
        <v>327</v>
      </c>
      <c r="I68" s="181" t="s">
        <v>220</v>
      </c>
      <c r="J68" s="267"/>
      <c r="K68" s="269" t="n">
        <v>45880</v>
      </c>
      <c r="L68" s="267" t="n">
        <v>1.2</v>
      </c>
      <c r="M68" s="184" t="s">
        <v>222</v>
      </c>
      <c r="N68" s="184" t="n">
        <v>37570</v>
      </c>
      <c r="O68" s="184" t="n">
        <v>14680</v>
      </c>
      <c r="P68" s="185" t="n">
        <v>32</v>
      </c>
      <c r="Q68" s="184" t="n">
        <v>22890</v>
      </c>
      <c r="R68" s="184" t="n">
        <v>15565.2</v>
      </c>
      <c r="S68" s="186" t="s">
        <v>461</v>
      </c>
      <c r="T68" s="187" t="n">
        <v>45881</v>
      </c>
    </row>
    <row r="69" customFormat="false" ht="38.25" hidden="true" customHeight="true" outlineLevel="0" collapsed="false">
      <c r="A69" s="181" t="s">
        <v>462</v>
      </c>
      <c r="B69" s="182" t="n">
        <v>916</v>
      </c>
      <c r="C69" s="183" t="n">
        <v>29997</v>
      </c>
      <c r="D69" s="181" t="s">
        <v>3325</v>
      </c>
      <c r="E69" s="181" t="s">
        <v>413</v>
      </c>
      <c r="F69" s="181" t="s">
        <v>414</v>
      </c>
      <c r="G69" s="181" t="s">
        <v>222</v>
      </c>
      <c r="H69" s="181" t="s">
        <v>327</v>
      </c>
      <c r="I69" s="181" t="s">
        <v>220</v>
      </c>
      <c r="J69" s="267"/>
      <c r="K69" s="269" t="n">
        <v>45880</v>
      </c>
      <c r="L69" s="267" t="n">
        <v>1.4</v>
      </c>
      <c r="M69" s="184" t="s">
        <v>222</v>
      </c>
      <c r="N69" s="184" t="n">
        <v>41630</v>
      </c>
      <c r="O69" s="184" t="n">
        <v>15440</v>
      </c>
      <c r="P69" s="185" t="n">
        <v>40</v>
      </c>
      <c r="Q69" s="184" t="n">
        <v>26190</v>
      </c>
      <c r="R69" s="184" t="n">
        <v>15714</v>
      </c>
      <c r="S69" s="186" t="s">
        <v>463</v>
      </c>
      <c r="T69" s="187" t="n">
        <v>45881</v>
      </c>
    </row>
    <row r="70" customFormat="false" ht="38.25" hidden="true" customHeight="true" outlineLevel="0" collapsed="false">
      <c r="A70" s="181" t="s">
        <v>464</v>
      </c>
      <c r="B70" s="182" t="n">
        <v>917</v>
      </c>
      <c r="C70" s="183" t="n">
        <v>29995</v>
      </c>
      <c r="D70" s="181" t="s">
        <v>3325</v>
      </c>
      <c r="E70" s="181" t="s">
        <v>409</v>
      </c>
      <c r="F70" s="181" t="s">
        <v>410</v>
      </c>
      <c r="G70" s="181" t="s">
        <v>222</v>
      </c>
      <c r="H70" s="181" t="s">
        <v>327</v>
      </c>
      <c r="I70" s="181" t="s">
        <v>220</v>
      </c>
      <c r="J70" s="267"/>
      <c r="K70" s="269" t="n">
        <v>45880</v>
      </c>
      <c r="L70" s="267" t="n">
        <v>1.3</v>
      </c>
      <c r="M70" s="184" t="s">
        <v>222</v>
      </c>
      <c r="N70" s="184" t="n">
        <v>48220</v>
      </c>
      <c r="O70" s="184" t="n">
        <v>23430</v>
      </c>
      <c r="P70" s="185" t="n">
        <v>34</v>
      </c>
      <c r="Q70" s="184" t="n">
        <v>24790</v>
      </c>
      <c r="R70" s="184" t="n">
        <v>16361.4</v>
      </c>
      <c r="S70" s="186" t="s">
        <v>465</v>
      </c>
      <c r="T70" s="187" t="n">
        <v>45881</v>
      </c>
    </row>
    <row r="71" customFormat="false" ht="38.25" hidden="true" customHeight="true" outlineLevel="0" collapsed="false">
      <c r="A71" s="181" t="s">
        <v>466</v>
      </c>
      <c r="B71" s="182" t="n">
        <v>920</v>
      </c>
      <c r="C71" s="183" t="n">
        <v>29999</v>
      </c>
      <c r="D71" s="181" t="s">
        <v>3325</v>
      </c>
      <c r="E71" s="181" t="s">
        <v>383</v>
      </c>
      <c r="F71" s="181" t="s">
        <v>384</v>
      </c>
      <c r="G71" s="181" t="s">
        <v>222</v>
      </c>
      <c r="H71" s="181" t="s">
        <v>327</v>
      </c>
      <c r="I71" s="181" t="s">
        <v>220</v>
      </c>
      <c r="J71" s="267"/>
      <c r="K71" s="269" t="n">
        <v>45880</v>
      </c>
      <c r="L71" s="267" t="n">
        <v>1.3</v>
      </c>
      <c r="M71" s="184" t="s">
        <v>222</v>
      </c>
      <c r="N71" s="184" t="n">
        <v>38530</v>
      </c>
      <c r="O71" s="184" t="n">
        <v>14860</v>
      </c>
      <c r="P71" s="185" t="n">
        <v>31</v>
      </c>
      <c r="Q71" s="184" t="n">
        <v>23670</v>
      </c>
      <c r="R71" s="184" t="n">
        <v>16332.3</v>
      </c>
      <c r="S71" s="186" t="s">
        <v>467</v>
      </c>
      <c r="T71" s="187" t="n">
        <v>45881</v>
      </c>
    </row>
    <row r="72" customFormat="false" ht="38.25" hidden="true" customHeight="true" outlineLevel="0" collapsed="false">
      <c r="A72" s="181" t="s">
        <v>468</v>
      </c>
      <c r="B72" s="182" t="n">
        <v>921</v>
      </c>
      <c r="C72" s="189" t="n">
        <v>30001</v>
      </c>
      <c r="D72" s="181" t="s">
        <v>3325</v>
      </c>
      <c r="E72" s="181" t="s">
        <v>387</v>
      </c>
      <c r="F72" s="181" t="s">
        <v>388</v>
      </c>
      <c r="G72" s="181" t="s">
        <v>222</v>
      </c>
      <c r="H72" s="181" t="s">
        <v>327</v>
      </c>
      <c r="I72" s="181" t="s">
        <v>220</v>
      </c>
      <c r="J72" s="267"/>
      <c r="K72" s="269" t="n">
        <v>45880</v>
      </c>
      <c r="L72" s="267" t="n">
        <v>1</v>
      </c>
      <c r="M72" s="184" t="s">
        <v>222</v>
      </c>
      <c r="N72" s="184" t="n">
        <v>36940</v>
      </c>
      <c r="O72" s="184" t="n">
        <v>15010</v>
      </c>
      <c r="P72" s="185" t="n">
        <v>29</v>
      </c>
      <c r="Q72" s="184" t="n">
        <v>21930</v>
      </c>
      <c r="R72" s="184" t="n">
        <v>15570.3</v>
      </c>
      <c r="S72" s="186" t="s">
        <v>469</v>
      </c>
      <c r="T72" s="187" t="n">
        <v>45881</v>
      </c>
    </row>
    <row r="73" customFormat="false" ht="38.25" hidden="true" customHeight="true" outlineLevel="0" collapsed="false">
      <c r="A73" s="181" t="s">
        <v>470</v>
      </c>
      <c r="B73" s="182" t="n">
        <v>924</v>
      </c>
      <c r="C73" s="183" t="n">
        <v>110</v>
      </c>
      <c r="D73" s="181" t="s">
        <v>276</v>
      </c>
      <c r="E73" s="181" t="s">
        <v>266</v>
      </c>
      <c r="F73" s="181" t="s">
        <v>267</v>
      </c>
      <c r="G73" s="181"/>
      <c r="H73" s="181" t="s">
        <v>471</v>
      </c>
      <c r="I73" s="181" t="s">
        <v>238</v>
      </c>
      <c r="J73" s="267" t="n">
        <v>27540</v>
      </c>
      <c r="K73" s="269"/>
      <c r="L73" s="267" t="n">
        <v>0</v>
      </c>
      <c r="M73" s="184" t="n">
        <v>0</v>
      </c>
      <c r="N73" s="184" t="n">
        <v>40080</v>
      </c>
      <c r="O73" s="184" t="n">
        <v>15110</v>
      </c>
      <c r="P73" s="185" t="n">
        <v>20</v>
      </c>
      <c r="Q73" s="184" t="n">
        <v>24970</v>
      </c>
      <c r="R73" s="184" t="n">
        <v>19976</v>
      </c>
      <c r="S73" s="186" t="s">
        <v>472</v>
      </c>
      <c r="T73" s="187" t="n">
        <v>45881</v>
      </c>
    </row>
    <row r="74" customFormat="false" ht="38.25" hidden="true" customHeight="true" outlineLevel="0" collapsed="false">
      <c r="A74" s="181" t="s">
        <v>473</v>
      </c>
      <c r="B74" s="182" t="n">
        <v>925</v>
      </c>
      <c r="C74" s="183" t="n">
        <v>111</v>
      </c>
      <c r="D74" s="181" t="s">
        <v>276</v>
      </c>
      <c r="E74" s="181" t="s">
        <v>261</v>
      </c>
      <c r="F74" s="181" t="s">
        <v>262</v>
      </c>
      <c r="G74" s="181"/>
      <c r="H74" s="181" t="s">
        <v>471</v>
      </c>
      <c r="I74" s="181" t="s">
        <v>238</v>
      </c>
      <c r="J74" s="267" t="n">
        <v>26740</v>
      </c>
      <c r="K74" s="269"/>
      <c r="L74" s="267" t="n">
        <v>0</v>
      </c>
      <c r="M74" s="184" t="n">
        <v>0</v>
      </c>
      <c r="N74" s="184" t="n">
        <v>39940</v>
      </c>
      <c r="O74" s="184" t="n">
        <v>15110</v>
      </c>
      <c r="P74" s="185" t="n">
        <v>4</v>
      </c>
      <c r="Q74" s="184" t="n">
        <v>24830</v>
      </c>
      <c r="R74" s="184" t="n">
        <v>23836.8</v>
      </c>
      <c r="S74" s="186" t="s">
        <v>474</v>
      </c>
      <c r="T74" s="187" t="n">
        <v>45881</v>
      </c>
    </row>
    <row r="75" customFormat="false" ht="38.25" hidden="true" customHeight="true" outlineLevel="0" collapsed="false">
      <c r="A75" s="181" t="s">
        <v>475</v>
      </c>
      <c r="B75" s="182" t="n">
        <v>926</v>
      </c>
      <c r="C75" s="183" t="n">
        <v>112</v>
      </c>
      <c r="D75" s="181" t="s">
        <v>276</v>
      </c>
      <c r="E75" s="181" t="s">
        <v>336</v>
      </c>
      <c r="F75" s="181" t="s">
        <v>337</v>
      </c>
      <c r="G75" s="181"/>
      <c r="H75" s="181" t="s">
        <v>471</v>
      </c>
      <c r="I75" s="181" t="s">
        <v>238</v>
      </c>
      <c r="J75" s="267" t="n">
        <v>24970</v>
      </c>
      <c r="K75" s="269"/>
      <c r="L75" s="267" t="n">
        <v>0</v>
      </c>
      <c r="M75" s="184" t="n">
        <v>0</v>
      </c>
      <c r="N75" s="184" t="n">
        <v>42080</v>
      </c>
      <c r="O75" s="184" t="n">
        <v>14540</v>
      </c>
      <c r="P75" s="185" t="n">
        <v>4</v>
      </c>
      <c r="Q75" s="184" t="n">
        <v>27540</v>
      </c>
      <c r="R75" s="184" t="n">
        <v>26438.4</v>
      </c>
      <c r="S75" s="186" t="s">
        <v>476</v>
      </c>
      <c r="T75" s="187" t="n">
        <v>45881</v>
      </c>
    </row>
    <row r="76" customFormat="false" ht="38.25" hidden="true" customHeight="true" outlineLevel="0" collapsed="false">
      <c r="A76" s="181" t="s">
        <v>489</v>
      </c>
      <c r="B76" s="182" t="n">
        <v>935</v>
      </c>
      <c r="C76" s="183" t="n">
        <v>119</v>
      </c>
      <c r="D76" s="181" t="s">
        <v>276</v>
      </c>
      <c r="E76" s="181" t="s">
        <v>300</v>
      </c>
      <c r="F76" s="181" t="s">
        <v>301</v>
      </c>
      <c r="G76" s="181"/>
      <c r="H76" s="181" t="s">
        <v>471</v>
      </c>
      <c r="I76" s="181" t="s">
        <v>238</v>
      </c>
      <c r="J76" s="267" t="n">
        <v>25530</v>
      </c>
      <c r="K76" s="269"/>
      <c r="L76" s="267" t="n">
        <v>0</v>
      </c>
      <c r="M76" s="184" t="n">
        <v>0</v>
      </c>
      <c r="N76" s="184" t="n">
        <v>56270</v>
      </c>
      <c r="O76" s="184" t="n">
        <v>20960</v>
      </c>
      <c r="P76" s="185" t="n">
        <v>19</v>
      </c>
      <c r="Q76" s="184" t="n">
        <v>35310</v>
      </c>
      <c r="R76" s="184" t="n">
        <v>28601.1</v>
      </c>
      <c r="S76" s="186" t="s">
        <v>490</v>
      </c>
      <c r="T76" s="187" t="n">
        <v>45882</v>
      </c>
    </row>
    <row r="77" customFormat="false" ht="38.25" hidden="true" customHeight="true" outlineLevel="0" collapsed="false">
      <c r="A77" s="181" t="s">
        <v>487</v>
      </c>
      <c r="B77" s="182" t="n">
        <v>934</v>
      </c>
      <c r="C77" s="183" t="n">
        <v>118</v>
      </c>
      <c r="D77" s="181" t="s">
        <v>276</v>
      </c>
      <c r="E77" s="181" t="s">
        <v>332</v>
      </c>
      <c r="F77" s="181" t="s">
        <v>333</v>
      </c>
      <c r="G77" s="181"/>
      <c r="H77" s="181" t="s">
        <v>471</v>
      </c>
      <c r="I77" s="181" t="s">
        <v>238</v>
      </c>
      <c r="J77" s="267" t="n">
        <v>29270</v>
      </c>
      <c r="K77" s="269"/>
      <c r="L77" s="267" t="n">
        <v>0</v>
      </c>
      <c r="M77" s="184" t="n">
        <v>0</v>
      </c>
      <c r="N77" s="184" t="n">
        <v>40290</v>
      </c>
      <c r="O77" s="184" t="n">
        <v>14760</v>
      </c>
      <c r="P77" s="185" t="n">
        <v>34</v>
      </c>
      <c r="Q77" s="184" t="n">
        <v>25530</v>
      </c>
      <c r="R77" s="184" t="n">
        <v>16849.8</v>
      </c>
      <c r="S77" s="186" t="s">
        <v>488</v>
      </c>
      <c r="T77" s="187" t="n">
        <v>45882</v>
      </c>
    </row>
    <row r="78" customFormat="false" ht="38.25" hidden="true" customHeight="true" outlineLevel="0" collapsed="false">
      <c r="A78" s="181" t="s">
        <v>477</v>
      </c>
      <c r="B78" s="182" t="n">
        <v>927</v>
      </c>
      <c r="C78" s="183" t="n">
        <v>113</v>
      </c>
      <c r="D78" s="181" t="s">
        <v>276</v>
      </c>
      <c r="E78" s="181" t="s">
        <v>340</v>
      </c>
      <c r="F78" s="181" t="s">
        <v>341</v>
      </c>
      <c r="G78" s="181"/>
      <c r="H78" s="181" t="s">
        <v>471</v>
      </c>
      <c r="I78" s="181" t="s">
        <v>238</v>
      </c>
      <c r="J78" s="267" t="n">
        <v>24830</v>
      </c>
      <c r="K78" s="269"/>
      <c r="L78" s="267" t="n">
        <v>0</v>
      </c>
      <c r="M78" s="184" t="n">
        <v>0</v>
      </c>
      <c r="N78" s="184" t="n">
        <v>41830</v>
      </c>
      <c r="O78" s="184" t="n">
        <v>15090</v>
      </c>
      <c r="P78" s="185" t="n">
        <v>3</v>
      </c>
      <c r="Q78" s="184" t="n">
        <v>26740</v>
      </c>
      <c r="R78" s="184" t="n">
        <v>25937.8</v>
      </c>
      <c r="S78" s="186" t="s">
        <v>478</v>
      </c>
      <c r="T78" s="187" t="n">
        <v>45881</v>
      </c>
    </row>
    <row r="79" customFormat="false" ht="38.25" hidden="true" customHeight="true" outlineLevel="0" collapsed="false">
      <c r="A79" s="181" t="s">
        <v>485</v>
      </c>
      <c r="B79" s="182" t="n">
        <v>933</v>
      </c>
      <c r="C79" s="183" t="n">
        <v>117</v>
      </c>
      <c r="D79" s="181" t="s">
        <v>276</v>
      </c>
      <c r="E79" s="181" t="s">
        <v>350</v>
      </c>
      <c r="F79" s="181" t="s">
        <v>351</v>
      </c>
      <c r="G79" s="181"/>
      <c r="H79" s="181" t="s">
        <v>471</v>
      </c>
      <c r="I79" s="181" t="s">
        <v>238</v>
      </c>
      <c r="J79" s="267" t="n">
        <v>27940</v>
      </c>
      <c r="K79" s="269"/>
      <c r="L79" s="267" t="n">
        <v>0</v>
      </c>
      <c r="M79" s="184" t="n">
        <v>0</v>
      </c>
      <c r="N79" s="184" t="n">
        <v>42950</v>
      </c>
      <c r="O79" s="184" t="n">
        <v>15010</v>
      </c>
      <c r="P79" s="185" t="n">
        <v>22</v>
      </c>
      <c r="Q79" s="184" t="n">
        <v>27940</v>
      </c>
      <c r="R79" s="184" t="n">
        <v>21793.2</v>
      </c>
      <c r="S79" s="186" t="s">
        <v>486</v>
      </c>
      <c r="T79" s="187" t="n">
        <v>45882</v>
      </c>
    </row>
    <row r="80" customFormat="false" ht="38.25" hidden="true" customHeight="true" outlineLevel="0" collapsed="false">
      <c r="A80" s="181" t="s">
        <v>483</v>
      </c>
      <c r="B80" s="182" t="n">
        <v>932</v>
      </c>
      <c r="C80" s="183" t="n">
        <v>116</v>
      </c>
      <c r="D80" s="181" t="s">
        <v>276</v>
      </c>
      <c r="E80" s="181" t="s">
        <v>377</v>
      </c>
      <c r="F80" s="181" t="s">
        <v>378</v>
      </c>
      <c r="G80" s="181"/>
      <c r="H80" s="181" t="s">
        <v>471</v>
      </c>
      <c r="I80" s="181" t="s">
        <v>238</v>
      </c>
      <c r="J80" s="267" t="n">
        <v>35310</v>
      </c>
      <c r="K80" s="269"/>
      <c r="L80" s="267" t="n">
        <v>0</v>
      </c>
      <c r="M80" s="184" t="n">
        <v>0</v>
      </c>
      <c r="N80" s="184" t="n">
        <v>44940</v>
      </c>
      <c r="O80" s="184" t="n">
        <v>15670</v>
      </c>
      <c r="P80" s="185" t="n">
        <v>20</v>
      </c>
      <c r="Q80" s="184" t="n">
        <v>29270</v>
      </c>
      <c r="R80" s="184" t="n">
        <v>23416</v>
      </c>
      <c r="S80" s="186" t="s">
        <v>484</v>
      </c>
      <c r="T80" s="187" t="n">
        <v>45882</v>
      </c>
    </row>
    <row r="81" customFormat="false" ht="38.25" hidden="true" customHeight="true" outlineLevel="0" collapsed="false">
      <c r="A81" s="181" t="s">
        <v>481</v>
      </c>
      <c r="B81" s="182" t="n">
        <v>931</v>
      </c>
      <c r="C81" s="183" t="n">
        <v>115</v>
      </c>
      <c r="D81" s="181" t="s">
        <v>276</v>
      </c>
      <c r="E81" s="181" t="s">
        <v>367</v>
      </c>
      <c r="F81" s="181" t="s">
        <v>368</v>
      </c>
      <c r="G81" s="181"/>
      <c r="H81" s="181" t="s">
        <v>471</v>
      </c>
      <c r="I81" s="181" t="s">
        <v>238</v>
      </c>
      <c r="J81" s="267" t="n">
        <v>31170</v>
      </c>
      <c r="K81" s="269"/>
      <c r="L81" s="267" t="n">
        <v>0</v>
      </c>
      <c r="M81" s="184" t="n">
        <v>0</v>
      </c>
      <c r="N81" s="184" t="n">
        <v>49870</v>
      </c>
      <c r="O81" s="184" t="n">
        <v>18700</v>
      </c>
      <c r="P81" s="185" t="n">
        <v>32</v>
      </c>
      <c r="Q81" s="184" t="n">
        <v>31170</v>
      </c>
      <c r="R81" s="184" t="n">
        <v>21195.6</v>
      </c>
      <c r="S81" s="186" t="s">
        <v>482</v>
      </c>
      <c r="T81" s="187" t="n">
        <v>45881</v>
      </c>
    </row>
    <row r="82" customFormat="false" ht="38.25" hidden="true" customHeight="true" outlineLevel="0" collapsed="false">
      <c r="A82" s="181" t="s">
        <v>479</v>
      </c>
      <c r="B82" s="182" t="n">
        <v>930</v>
      </c>
      <c r="C82" s="183" t="n">
        <v>114</v>
      </c>
      <c r="D82" s="181" t="s">
        <v>276</v>
      </c>
      <c r="E82" s="181" t="s">
        <v>277</v>
      </c>
      <c r="F82" s="181" t="s">
        <v>278</v>
      </c>
      <c r="G82" s="181"/>
      <c r="H82" s="181" t="s">
        <v>471</v>
      </c>
      <c r="I82" s="181" t="s">
        <v>238</v>
      </c>
      <c r="J82" s="267" t="n">
        <v>28380</v>
      </c>
      <c r="K82" s="269"/>
      <c r="L82" s="267" t="n">
        <v>0</v>
      </c>
      <c r="M82" s="184" t="n">
        <v>0</v>
      </c>
      <c r="N82" s="184" t="n">
        <v>43510</v>
      </c>
      <c r="O82" s="184" t="n">
        <v>15130</v>
      </c>
      <c r="P82" s="185" t="n">
        <v>22</v>
      </c>
      <c r="Q82" s="184" t="n">
        <v>28380</v>
      </c>
      <c r="R82" s="184" t="n">
        <v>22136.4</v>
      </c>
      <c r="S82" s="186" t="s">
        <v>480</v>
      </c>
      <c r="T82" s="187" t="n">
        <v>45881</v>
      </c>
    </row>
    <row r="83" customFormat="false" ht="38.25" hidden="true" customHeight="true" outlineLevel="0" collapsed="false">
      <c r="A83" s="181" t="s">
        <v>493</v>
      </c>
      <c r="B83" s="182" t="n">
        <v>937</v>
      </c>
      <c r="C83" s="183" t="n">
        <v>120</v>
      </c>
      <c r="D83" s="181" t="s">
        <v>276</v>
      </c>
      <c r="E83" s="181" t="s">
        <v>304</v>
      </c>
      <c r="F83" s="181" t="s">
        <v>305</v>
      </c>
      <c r="G83" s="181"/>
      <c r="H83" s="181" t="s">
        <v>471</v>
      </c>
      <c r="I83" s="181" t="s">
        <v>238</v>
      </c>
      <c r="J83" s="267" t="n">
        <v>28900</v>
      </c>
      <c r="K83" s="269"/>
      <c r="L83" s="267" t="n">
        <v>0</v>
      </c>
      <c r="M83" s="184" t="n">
        <v>0</v>
      </c>
      <c r="N83" s="184" t="n">
        <v>39300</v>
      </c>
      <c r="O83" s="184" t="n">
        <v>14950</v>
      </c>
      <c r="P83" s="185" t="n">
        <v>13</v>
      </c>
      <c r="Q83" s="184" t="n">
        <v>24350</v>
      </c>
      <c r="R83" s="184" t="n">
        <v>21184.5</v>
      </c>
      <c r="S83" s="186" t="s">
        <v>494</v>
      </c>
      <c r="T83" s="187" t="n">
        <v>45882</v>
      </c>
    </row>
    <row r="84" customFormat="false" ht="38.25" hidden="true" customHeight="true" outlineLevel="0" collapsed="false">
      <c r="A84" s="181" t="s">
        <v>495</v>
      </c>
      <c r="B84" s="182" t="n">
        <v>939</v>
      </c>
      <c r="C84" s="183" t="n">
        <v>122</v>
      </c>
      <c r="D84" s="181" t="s">
        <v>276</v>
      </c>
      <c r="E84" s="181" t="s">
        <v>409</v>
      </c>
      <c r="F84" s="181" t="s">
        <v>410</v>
      </c>
      <c r="G84" s="181"/>
      <c r="H84" s="181" t="s">
        <v>471</v>
      </c>
      <c r="I84" s="181" t="s">
        <v>238</v>
      </c>
      <c r="J84" s="267" t="n">
        <v>27460</v>
      </c>
      <c r="K84" s="269"/>
      <c r="L84" s="267" t="n">
        <v>0</v>
      </c>
      <c r="M84" s="184" t="n">
        <v>0</v>
      </c>
      <c r="N84" s="184" t="n">
        <v>52350</v>
      </c>
      <c r="O84" s="184" t="n">
        <v>23450</v>
      </c>
      <c r="P84" s="185" t="n">
        <v>10</v>
      </c>
      <c r="Q84" s="184" t="n">
        <v>28900</v>
      </c>
      <c r="R84" s="184" t="n">
        <v>26010</v>
      </c>
      <c r="S84" s="186" t="s">
        <v>496</v>
      </c>
      <c r="T84" s="187" t="n">
        <v>45882</v>
      </c>
    </row>
    <row r="85" customFormat="false" ht="38.25" hidden="true" customHeight="true" outlineLevel="0" collapsed="false">
      <c r="A85" s="181" t="s">
        <v>497</v>
      </c>
      <c r="B85" s="182" t="n">
        <v>940</v>
      </c>
      <c r="C85" s="183" t="n">
        <v>123</v>
      </c>
      <c r="D85" s="181" t="s">
        <v>276</v>
      </c>
      <c r="E85" s="181" t="s">
        <v>413</v>
      </c>
      <c r="F85" s="181" t="s">
        <v>414</v>
      </c>
      <c r="G85" s="181"/>
      <c r="H85" s="181" t="s">
        <v>471</v>
      </c>
      <c r="I85" s="181" t="s">
        <v>238</v>
      </c>
      <c r="J85" s="267" t="n">
        <v>39440</v>
      </c>
      <c r="K85" s="269"/>
      <c r="L85" s="267" t="n">
        <v>0</v>
      </c>
      <c r="M85" s="184" t="n">
        <v>0</v>
      </c>
      <c r="N85" s="184" t="n">
        <v>43100</v>
      </c>
      <c r="O85" s="184" t="n">
        <v>15640</v>
      </c>
      <c r="P85" s="185" t="n">
        <v>15</v>
      </c>
      <c r="Q85" s="184" t="n">
        <v>27460</v>
      </c>
      <c r="R85" s="184" t="n">
        <v>23341</v>
      </c>
      <c r="S85" s="186" t="s">
        <v>498</v>
      </c>
      <c r="T85" s="187" t="n">
        <v>45882</v>
      </c>
    </row>
    <row r="86" customFormat="false" ht="38.25" hidden="true" customHeight="true" outlineLevel="0" collapsed="false">
      <c r="A86" s="181" t="s">
        <v>491</v>
      </c>
      <c r="B86" s="182" t="n">
        <v>936</v>
      </c>
      <c r="C86" s="183" t="n">
        <v>121</v>
      </c>
      <c r="D86" s="181" t="s">
        <v>276</v>
      </c>
      <c r="E86" s="181" t="s">
        <v>308</v>
      </c>
      <c r="F86" s="181" t="s">
        <v>309</v>
      </c>
      <c r="G86" s="181"/>
      <c r="H86" s="181" t="s">
        <v>471</v>
      </c>
      <c r="I86" s="181" t="s">
        <v>238</v>
      </c>
      <c r="J86" s="267" t="n">
        <v>24350</v>
      </c>
      <c r="K86" s="269"/>
      <c r="L86" s="267" t="n">
        <v>0</v>
      </c>
      <c r="M86" s="184" t="n">
        <v>0</v>
      </c>
      <c r="N86" s="184" t="n">
        <v>63600</v>
      </c>
      <c r="O86" s="184" t="n">
        <v>24160</v>
      </c>
      <c r="P86" s="185" t="n">
        <v>10</v>
      </c>
      <c r="Q86" s="184" t="n">
        <v>39440</v>
      </c>
      <c r="R86" s="184" t="n">
        <v>35496</v>
      </c>
      <c r="S86" s="186" t="s">
        <v>492</v>
      </c>
      <c r="T86" s="187" t="n">
        <v>45882</v>
      </c>
    </row>
    <row r="87" customFormat="false" ht="38.25" hidden="true" customHeight="true" outlineLevel="0" collapsed="false">
      <c r="A87" s="181" t="s">
        <v>499</v>
      </c>
      <c r="B87" s="182" t="n">
        <v>941</v>
      </c>
      <c r="C87" s="183" t="n">
        <v>124</v>
      </c>
      <c r="D87" s="181" t="s">
        <v>276</v>
      </c>
      <c r="E87" s="181" t="s">
        <v>383</v>
      </c>
      <c r="F87" s="181" t="s">
        <v>384</v>
      </c>
      <c r="G87" s="181"/>
      <c r="H87" s="181" t="s">
        <v>471</v>
      </c>
      <c r="I87" s="181" t="s">
        <v>238</v>
      </c>
      <c r="J87" s="267" t="n">
        <v>26530</v>
      </c>
      <c r="K87" s="269"/>
      <c r="L87" s="267" t="n">
        <v>0</v>
      </c>
      <c r="M87" s="184" t="n">
        <v>0</v>
      </c>
      <c r="N87" s="184" t="n">
        <v>41440</v>
      </c>
      <c r="O87" s="184" t="n">
        <v>14910</v>
      </c>
      <c r="P87" s="185" t="n">
        <v>9</v>
      </c>
      <c r="Q87" s="184" t="n">
        <v>26530</v>
      </c>
      <c r="R87" s="184" t="n">
        <v>24142.3</v>
      </c>
      <c r="S87" s="186" t="s">
        <v>500</v>
      </c>
      <c r="T87" s="187" t="n">
        <v>45882</v>
      </c>
    </row>
    <row r="88" customFormat="false" ht="38.25" hidden="true" customHeight="true" outlineLevel="0" collapsed="false">
      <c r="A88" s="181" t="s">
        <v>501</v>
      </c>
      <c r="B88" s="182" t="n">
        <v>942</v>
      </c>
      <c r="C88" s="183" t="n">
        <v>125</v>
      </c>
      <c r="D88" s="181" t="s">
        <v>276</v>
      </c>
      <c r="E88" s="181" t="s">
        <v>387</v>
      </c>
      <c r="F88" s="181" t="s">
        <v>388</v>
      </c>
      <c r="G88" s="181"/>
      <c r="H88" s="181" t="s">
        <v>471</v>
      </c>
      <c r="I88" s="181" t="s">
        <v>238</v>
      </c>
      <c r="J88" s="267" t="n">
        <v>25020</v>
      </c>
      <c r="K88" s="269"/>
      <c r="L88" s="267" t="n">
        <v>0</v>
      </c>
      <c r="M88" s="184" t="n">
        <v>0</v>
      </c>
      <c r="N88" s="184" t="n">
        <v>40150</v>
      </c>
      <c r="O88" s="184" t="n">
        <v>15130</v>
      </c>
      <c r="P88" s="185" t="n">
        <v>9</v>
      </c>
      <c r="Q88" s="184" t="n">
        <v>25020</v>
      </c>
      <c r="R88" s="184" t="n">
        <v>22768.2</v>
      </c>
      <c r="S88" s="186" t="s">
        <v>502</v>
      </c>
      <c r="T88" s="187" t="n">
        <v>45882</v>
      </c>
    </row>
    <row r="89" customFormat="false" ht="38.25" hidden="true" customHeight="true" outlineLevel="0" collapsed="false">
      <c r="A89" s="181" t="s">
        <v>503</v>
      </c>
      <c r="B89" s="182" t="n">
        <v>944</v>
      </c>
      <c r="C89" s="183" t="n">
        <v>127</v>
      </c>
      <c r="D89" s="181" t="s">
        <v>276</v>
      </c>
      <c r="E89" s="181" t="s">
        <v>288</v>
      </c>
      <c r="F89" s="181" t="s">
        <v>289</v>
      </c>
      <c r="G89" s="181"/>
      <c r="H89" s="181" t="s">
        <v>471</v>
      </c>
      <c r="I89" s="181" t="s">
        <v>238</v>
      </c>
      <c r="J89" s="267" t="n">
        <v>24770</v>
      </c>
      <c r="K89" s="269"/>
      <c r="L89" s="267" t="n">
        <v>0</v>
      </c>
      <c r="M89" s="184" t="n">
        <v>0</v>
      </c>
      <c r="N89" s="184" t="n">
        <v>39350</v>
      </c>
      <c r="O89" s="184" t="n">
        <v>14580</v>
      </c>
      <c r="P89" s="185" t="n">
        <v>13</v>
      </c>
      <c r="Q89" s="184" t="n">
        <v>24770</v>
      </c>
      <c r="R89" s="184" t="n">
        <v>21549.9</v>
      </c>
      <c r="S89" s="186" t="s">
        <v>504</v>
      </c>
      <c r="T89" s="187" t="n">
        <v>45882</v>
      </c>
    </row>
    <row r="90" customFormat="false" ht="38.25" hidden="true" customHeight="true" outlineLevel="0" collapsed="false">
      <c r="A90" s="181" t="s">
        <v>505</v>
      </c>
      <c r="B90" s="182" t="n">
        <v>945</v>
      </c>
      <c r="C90" s="183" t="n">
        <v>126</v>
      </c>
      <c r="D90" s="181" t="s">
        <v>276</v>
      </c>
      <c r="E90" s="181" t="s">
        <v>399</v>
      </c>
      <c r="F90" s="181" t="s">
        <v>400</v>
      </c>
      <c r="G90" s="181"/>
      <c r="H90" s="181" t="s">
        <v>471</v>
      </c>
      <c r="I90" s="181" t="s">
        <v>238</v>
      </c>
      <c r="J90" s="267" t="n">
        <v>32190</v>
      </c>
      <c r="K90" s="269"/>
      <c r="L90" s="267" t="n">
        <v>0</v>
      </c>
      <c r="M90" s="184" t="n">
        <v>0</v>
      </c>
      <c r="N90" s="184" t="n">
        <v>51680</v>
      </c>
      <c r="O90" s="184" t="n">
        <v>19490</v>
      </c>
      <c r="P90" s="185" t="n">
        <v>4</v>
      </c>
      <c r="Q90" s="184" t="n">
        <v>32190</v>
      </c>
      <c r="R90" s="184" t="n">
        <v>30902.4</v>
      </c>
      <c r="S90" s="186" t="s">
        <v>506</v>
      </c>
      <c r="T90" s="187" t="n">
        <v>45882</v>
      </c>
    </row>
    <row r="91" customFormat="false" ht="38.25" hidden="true" customHeight="true" outlineLevel="0" collapsed="false">
      <c r="A91" s="181" t="s">
        <v>507</v>
      </c>
      <c r="B91" s="182" t="n">
        <v>946</v>
      </c>
      <c r="C91" s="183" t="n">
        <v>129</v>
      </c>
      <c r="D91" s="181" t="s">
        <v>276</v>
      </c>
      <c r="E91" s="181" t="s">
        <v>292</v>
      </c>
      <c r="F91" s="181" t="s">
        <v>293</v>
      </c>
      <c r="G91" s="181"/>
      <c r="H91" s="181" t="s">
        <v>471</v>
      </c>
      <c r="I91" s="181" t="s">
        <v>238</v>
      </c>
      <c r="J91" s="267" t="n">
        <v>24480</v>
      </c>
      <c r="K91" s="269"/>
      <c r="L91" s="267" t="n">
        <v>0</v>
      </c>
      <c r="M91" s="184" t="n">
        <v>0</v>
      </c>
      <c r="N91" s="184" t="n">
        <v>38460</v>
      </c>
      <c r="O91" s="184" t="n">
        <v>13980</v>
      </c>
      <c r="P91" s="185" t="n">
        <v>5</v>
      </c>
      <c r="Q91" s="184" t="n">
        <v>24480</v>
      </c>
      <c r="R91" s="184" t="n">
        <v>23256</v>
      </c>
      <c r="S91" s="186" t="s">
        <v>508</v>
      </c>
      <c r="T91" s="187" t="n">
        <v>45882</v>
      </c>
    </row>
    <row r="92" customFormat="false" ht="38.25" hidden="true" customHeight="true" outlineLevel="0" collapsed="false">
      <c r="A92" s="181" t="s">
        <v>509</v>
      </c>
      <c r="B92" s="182" t="n">
        <v>947</v>
      </c>
      <c r="C92" s="183" t="n">
        <v>131</v>
      </c>
      <c r="D92" s="181" t="s">
        <v>276</v>
      </c>
      <c r="E92" s="181" t="s">
        <v>296</v>
      </c>
      <c r="F92" s="181" t="s">
        <v>297</v>
      </c>
      <c r="G92" s="181"/>
      <c r="H92" s="181" t="s">
        <v>471</v>
      </c>
      <c r="I92" s="181" t="s">
        <v>238</v>
      </c>
      <c r="J92" s="267" t="n">
        <v>26040</v>
      </c>
      <c r="K92" s="269"/>
      <c r="L92" s="267" t="n">
        <v>0</v>
      </c>
      <c r="M92" s="184" t="n">
        <v>0</v>
      </c>
      <c r="N92" s="184" t="n">
        <v>43230</v>
      </c>
      <c r="O92" s="184" t="n">
        <v>15390</v>
      </c>
      <c r="P92" s="185" t="n">
        <v>4</v>
      </c>
      <c r="Q92" s="184" t="n">
        <v>27840</v>
      </c>
      <c r="R92" s="184" t="n">
        <v>26726.4</v>
      </c>
      <c r="S92" s="186" t="s">
        <v>510</v>
      </c>
      <c r="T92" s="187" t="n">
        <v>45882</v>
      </c>
    </row>
    <row r="93" customFormat="false" ht="38.25" hidden="true" customHeight="true" outlineLevel="0" collapsed="false">
      <c r="A93" s="181" t="s">
        <v>511</v>
      </c>
      <c r="B93" s="182" t="n">
        <v>948</v>
      </c>
      <c r="C93" s="183" t="n">
        <v>110</v>
      </c>
      <c r="D93" s="181" t="s">
        <v>276</v>
      </c>
      <c r="E93" s="181" t="s">
        <v>266</v>
      </c>
      <c r="F93" s="181" t="s">
        <v>267</v>
      </c>
      <c r="G93" s="181"/>
      <c r="H93" s="181" t="s">
        <v>471</v>
      </c>
      <c r="I93" s="181" t="s">
        <v>238</v>
      </c>
      <c r="J93" s="267" t="n">
        <v>27840</v>
      </c>
      <c r="K93" s="269"/>
      <c r="L93" s="267" t="n">
        <v>0</v>
      </c>
      <c r="M93" s="184" t="n">
        <v>0</v>
      </c>
      <c r="N93" s="184" t="n">
        <v>41550</v>
      </c>
      <c r="O93" s="184" t="n">
        <v>15130</v>
      </c>
      <c r="P93" s="185" t="n">
        <v>10</v>
      </c>
      <c r="Q93" s="184" t="n">
        <v>26420</v>
      </c>
      <c r="R93" s="184" t="n">
        <v>23778</v>
      </c>
      <c r="S93" s="186" t="s">
        <v>512</v>
      </c>
      <c r="T93" s="187" t="n">
        <v>45882</v>
      </c>
    </row>
    <row r="94" customFormat="false" ht="38.25" hidden="true" customHeight="true" outlineLevel="0" collapsed="false">
      <c r="A94" s="181" t="s">
        <v>513</v>
      </c>
      <c r="B94" s="182" t="n">
        <v>949</v>
      </c>
      <c r="C94" s="183" t="n">
        <v>132</v>
      </c>
      <c r="D94" s="181" t="s">
        <v>276</v>
      </c>
      <c r="E94" s="181" t="s">
        <v>277</v>
      </c>
      <c r="F94" s="181" t="s">
        <v>278</v>
      </c>
      <c r="G94" s="181"/>
      <c r="H94" s="181" t="s">
        <v>471</v>
      </c>
      <c r="I94" s="181" t="s">
        <v>238</v>
      </c>
      <c r="J94" s="267" t="n">
        <v>26420</v>
      </c>
      <c r="K94" s="269"/>
      <c r="L94" s="267" t="n">
        <v>0</v>
      </c>
      <c r="M94" s="184" t="n">
        <v>0</v>
      </c>
      <c r="N94" s="184" t="n">
        <v>41190</v>
      </c>
      <c r="O94" s="184" t="n">
        <v>15150</v>
      </c>
      <c r="P94" s="185" t="n">
        <v>18</v>
      </c>
      <c r="Q94" s="184" t="n">
        <v>26040</v>
      </c>
      <c r="R94" s="184" t="n">
        <v>21352.8</v>
      </c>
      <c r="S94" s="186" t="s">
        <v>514</v>
      </c>
      <c r="T94" s="187" t="n">
        <v>45882</v>
      </c>
    </row>
    <row r="95" customFormat="false" ht="38.25" hidden="true" customHeight="true" outlineLevel="0" collapsed="false">
      <c r="A95" s="181" t="s">
        <v>515</v>
      </c>
      <c r="B95" s="182" t="n">
        <v>950</v>
      </c>
      <c r="C95" s="183" t="n">
        <v>135</v>
      </c>
      <c r="D95" s="181" t="s">
        <v>276</v>
      </c>
      <c r="E95" s="181" t="s">
        <v>336</v>
      </c>
      <c r="F95" s="181" t="s">
        <v>337</v>
      </c>
      <c r="G95" s="181"/>
      <c r="H95" s="181" t="s">
        <v>471</v>
      </c>
      <c r="I95" s="181" t="s">
        <v>238</v>
      </c>
      <c r="J95" s="267" t="n">
        <v>29060</v>
      </c>
      <c r="K95" s="269"/>
      <c r="L95" s="267" t="n">
        <v>0</v>
      </c>
      <c r="M95" s="184" t="n">
        <v>0</v>
      </c>
      <c r="N95" s="184" t="n">
        <v>43580</v>
      </c>
      <c r="O95" s="184" t="n">
        <v>14520</v>
      </c>
      <c r="P95" s="185" t="n">
        <v>17</v>
      </c>
      <c r="Q95" s="184" t="n">
        <v>29060</v>
      </c>
      <c r="R95" s="184" t="n">
        <v>24119.8</v>
      </c>
      <c r="S95" s="186" t="s">
        <v>516</v>
      </c>
      <c r="T95" s="187" t="n">
        <v>45883</v>
      </c>
    </row>
    <row r="96" customFormat="false" ht="38.25" hidden="true" customHeight="true" outlineLevel="0" collapsed="false">
      <c r="A96" s="181" t="s">
        <v>517</v>
      </c>
      <c r="B96" s="182" t="n">
        <v>951</v>
      </c>
      <c r="C96" s="183" t="n">
        <v>136</v>
      </c>
      <c r="D96" s="181" t="s">
        <v>276</v>
      </c>
      <c r="E96" s="181" t="s">
        <v>340</v>
      </c>
      <c r="F96" s="181" t="s">
        <v>341</v>
      </c>
      <c r="G96" s="181"/>
      <c r="H96" s="181" t="s">
        <v>471</v>
      </c>
      <c r="I96" s="181" t="s">
        <v>238</v>
      </c>
      <c r="J96" s="267" t="n">
        <v>27120</v>
      </c>
      <c r="K96" s="269"/>
      <c r="L96" s="267" t="n">
        <v>0</v>
      </c>
      <c r="M96" s="184" t="n">
        <v>0</v>
      </c>
      <c r="N96" s="184" t="n">
        <v>42250</v>
      </c>
      <c r="O96" s="184" t="n">
        <v>15130</v>
      </c>
      <c r="P96" s="185" t="n">
        <v>4</v>
      </c>
      <c r="Q96" s="184" t="n">
        <v>27120</v>
      </c>
      <c r="R96" s="184" t="n">
        <v>26035.2</v>
      </c>
      <c r="S96" s="186" t="s">
        <v>518</v>
      </c>
      <c r="T96" s="187" t="n">
        <v>45883</v>
      </c>
    </row>
    <row r="97" customFormat="false" ht="38.25" hidden="true" customHeight="true" outlineLevel="0" collapsed="false">
      <c r="A97" s="181" t="s">
        <v>519</v>
      </c>
      <c r="B97" s="182" t="n">
        <v>952</v>
      </c>
      <c r="C97" s="183" t="n">
        <v>30004</v>
      </c>
      <c r="D97" s="181" t="s">
        <v>3325</v>
      </c>
      <c r="E97" s="181" t="s">
        <v>282</v>
      </c>
      <c r="F97" s="181" t="s">
        <v>283</v>
      </c>
      <c r="G97" s="181" t="s">
        <v>221</v>
      </c>
      <c r="H97" s="181" t="s">
        <v>520</v>
      </c>
      <c r="I97" s="181" t="s">
        <v>220</v>
      </c>
      <c r="J97" s="267"/>
      <c r="K97" s="269" t="n">
        <v>45882</v>
      </c>
      <c r="L97" s="267" t="n">
        <v>1.4</v>
      </c>
      <c r="M97" s="184" t="s">
        <v>221</v>
      </c>
      <c r="N97" s="184" t="n">
        <v>35530</v>
      </c>
      <c r="O97" s="184" t="n">
        <v>15060</v>
      </c>
      <c r="P97" s="185" t="n">
        <v>6</v>
      </c>
      <c r="Q97" s="184" t="n">
        <v>20470</v>
      </c>
      <c r="R97" s="184" t="n">
        <v>19241.8</v>
      </c>
      <c r="S97" s="186" t="s">
        <v>521</v>
      </c>
      <c r="T97" s="187" t="n">
        <v>45883</v>
      </c>
    </row>
    <row r="98" customFormat="false" ht="38.25" hidden="true" customHeight="true" outlineLevel="0" collapsed="false">
      <c r="A98" s="181" t="s">
        <v>522</v>
      </c>
      <c r="B98" s="182" t="n">
        <v>953</v>
      </c>
      <c r="C98" s="183" t="n">
        <v>30006</v>
      </c>
      <c r="D98" s="181" t="s">
        <v>3325</v>
      </c>
      <c r="E98" s="181" t="s">
        <v>346</v>
      </c>
      <c r="F98" s="181" t="s">
        <v>347</v>
      </c>
      <c r="G98" s="181" t="s">
        <v>221</v>
      </c>
      <c r="H98" s="181" t="s">
        <v>520</v>
      </c>
      <c r="I98" s="181" t="s">
        <v>220</v>
      </c>
      <c r="J98" s="267"/>
      <c r="K98" s="269" t="n">
        <v>45882</v>
      </c>
      <c r="L98" s="267" t="n">
        <v>1.4</v>
      </c>
      <c r="M98" s="184" t="s">
        <v>221</v>
      </c>
      <c r="N98" s="184" t="n">
        <v>36240</v>
      </c>
      <c r="O98" s="184" t="n">
        <v>14980</v>
      </c>
      <c r="P98" s="185" t="n">
        <v>16</v>
      </c>
      <c r="Q98" s="184" t="n">
        <v>21260</v>
      </c>
      <c r="R98" s="184" t="n">
        <v>17858.4</v>
      </c>
      <c r="S98" s="186" t="s">
        <v>523</v>
      </c>
      <c r="T98" s="187" t="n">
        <v>45883</v>
      </c>
    </row>
    <row r="99" customFormat="false" ht="38.25" hidden="true" customHeight="true" outlineLevel="0" collapsed="false">
      <c r="A99" s="181" t="s">
        <v>524</v>
      </c>
      <c r="B99" s="182" t="n">
        <v>954</v>
      </c>
      <c r="C99" s="183" t="n">
        <v>30017</v>
      </c>
      <c r="D99" s="181" t="s">
        <v>3325</v>
      </c>
      <c r="E99" s="181" t="s">
        <v>359</v>
      </c>
      <c r="F99" s="181" t="s">
        <v>360</v>
      </c>
      <c r="G99" s="181" t="s">
        <v>221</v>
      </c>
      <c r="H99" s="181" t="s">
        <v>520</v>
      </c>
      <c r="I99" s="181" t="s">
        <v>220</v>
      </c>
      <c r="J99" s="267"/>
      <c r="K99" s="269" t="n">
        <v>45882</v>
      </c>
      <c r="L99" s="267" t="n">
        <v>1.3</v>
      </c>
      <c r="M99" s="184" t="s">
        <v>221</v>
      </c>
      <c r="N99" s="184" t="n">
        <v>34280</v>
      </c>
      <c r="O99" s="184" t="n">
        <v>14870</v>
      </c>
      <c r="P99" s="185" t="n">
        <v>16</v>
      </c>
      <c r="Q99" s="184" t="n">
        <v>19410</v>
      </c>
      <c r="R99" s="184" t="n">
        <v>16304.4</v>
      </c>
      <c r="S99" s="186" t="s">
        <v>525</v>
      </c>
      <c r="T99" s="187" t="n">
        <v>45883</v>
      </c>
    </row>
    <row r="100" customFormat="false" ht="38.25" hidden="true" customHeight="true" outlineLevel="0" collapsed="false">
      <c r="A100" s="181" t="s">
        <v>526</v>
      </c>
      <c r="B100" s="182" t="n">
        <v>955</v>
      </c>
      <c r="C100" s="183" t="n">
        <v>30043</v>
      </c>
      <c r="D100" s="181" t="s">
        <v>3325</v>
      </c>
      <c r="E100" s="181" t="s">
        <v>391</v>
      </c>
      <c r="F100" s="181" t="s">
        <v>392</v>
      </c>
      <c r="G100" s="181" t="s">
        <v>221</v>
      </c>
      <c r="H100" s="181" t="s">
        <v>520</v>
      </c>
      <c r="I100" s="181" t="s">
        <v>220</v>
      </c>
      <c r="J100" s="267"/>
      <c r="K100" s="269" t="n">
        <v>45882</v>
      </c>
      <c r="L100" s="267" t="n">
        <v>1.3</v>
      </c>
      <c r="M100" s="184" t="s">
        <v>221</v>
      </c>
      <c r="N100" s="184" t="n">
        <v>33340</v>
      </c>
      <c r="O100" s="184" t="n">
        <v>14470</v>
      </c>
      <c r="P100" s="185" t="n">
        <v>29</v>
      </c>
      <c r="Q100" s="184" t="n">
        <v>18870</v>
      </c>
      <c r="R100" s="184" t="n">
        <v>13397.7</v>
      </c>
      <c r="S100" s="186" t="s">
        <v>527</v>
      </c>
      <c r="T100" s="187" t="n">
        <v>45883</v>
      </c>
    </row>
    <row r="101" customFormat="false" ht="38.25" hidden="true" customHeight="true" outlineLevel="0" collapsed="false">
      <c r="A101" s="181" t="s">
        <v>528</v>
      </c>
      <c r="B101" s="182" t="n">
        <v>956</v>
      </c>
      <c r="C101" s="183" t="n">
        <v>30045</v>
      </c>
      <c r="D101" s="181" t="s">
        <v>3325</v>
      </c>
      <c r="E101" s="181" t="s">
        <v>529</v>
      </c>
      <c r="F101" s="181" t="s">
        <v>530</v>
      </c>
      <c r="G101" s="181" t="s">
        <v>221</v>
      </c>
      <c r="H101" s="181" t="s">
        <v>520</v>
      </c>
      <c r="I101" s="181" t="s">
        <v>220</v>
      </c>
      <c r="J101" s="267"/>
      <c r="K101" s="269" t="n">
        <v>45882</v>
      </c>
      <c r="L101" s="267" t="n">
        <v>1.3</v>
      </c>
      <c r="M101" s="184" t="s">
        <v>221</v>
      </c>
      <c r="N101" s="184" t="n">
        <v>33680</v>
      </c>
      <c r="O101" s="184" t="n">
        <v>14890</v>
      </c>
      <c r="P101" s="185" t="n">
        <v>12</v>
      </c>
      <c r="Q101" s="184" t="n">
        <v>18790</v>
      </c>
      <c r="R101" s="184" t="n">
        <v>16535.2</v>
      </c>
      <c r="S101" s="186" t="s">
        <v>531</v>
      </c>
      <c r="T101" s="187" t="n">
        <v>45883</v>
      </c>
    </row>
    <row r="102" customFormat="false" ht="38.25" hidden="true" customHeight="true" outlineLevel="0" collapsed="false">
      <c r="A102" s="181" t="s">
        <v>532</v>
      </c>
      <c r="B102" s="182" t="n">
        <v>958</v>
      </c>
      <c r="C102" s="183" t="n">
        <v>30091</v>
      </c>
      <c r="D102" s="181" t="s">
        <v>3325</v>
      </c>
      <c r="E102" s="181" t="s">
        <v>533</v>
      </c>
      <c r="F102" s="181" t="s">
        <v>534</v>
      </c>
      <c r="G102" s="181" t="s">
        <v>221</v>
      </c>
      <c r="H102" s="181" t="s">
        <v>520</v>
      </c>
      <c r="I102" s="181" t="s">
        <v>220</v>
      </c>
      <c r="J102" s="267"/>
      <c r="K102" s="269" t="n">
        <v>45882</v>
      </c>
      <c r="L102" s="267" t="n">
        <v>1.5</v>
      </c>
      <c r="M102" s="184" t="s">
        <v>221</v>
      </c>
      <c r="N102" s="184" t="n">
        <v>37090</v>
      </c>
      <c r="O102" s="184" t="n">
        <v>14660</v>
      </c>
      <c r="P102" s="185" t="n">
        <v>20</v>
      </c>
      <c r="Q102" s="184" t="n">
        <v>22430</v>
      </c>
      <c r="R102" s="184" t="n">
        <v>17944</v>
      </c>
      <c r="S102" s="186" t="s">
        <v>535</v>
      </c>
      <c r="T102" s="187" t="n">
        <v>45883</v>
      </c>
    </row>
    <row r="103" customFormat="false" ht="38.25" hidden="true" customHeight="true" outlineLevel="0" collapsed="false">
      <c r="A103" s="181" t="s">
        <v>536</v>
      </c>
      <c r="B103" s="182" t="n">
        <v>959</v>
      </c>
      <c r="C103" s="183" t="n">
        <v>30089</v>
      </c>
      <c r="D103" s="181" t="s">
        <v>3325</v>
      </c>
      <c r="E103" s="181" t="s">
        <v>537</v>
      </c>
      <c r="F103" s="181" t="s">
        <v>538</v>
      </c>
      <c r="G103" s="181" t="s">
        <v>221</v>
      </c>
      <c r="H103" s="181" t="s">
        <v>520</v>
      </c>
      <c r="I103" s="181" t="s">
        <v>220</v>
      </c>
      <c r="J103" s="267"/>
      <c r="K103" s="269" t="n">
        <v>45882</v>
      </c>
      <c r="L103" s="267" t="n">
        <v>1.3</v>
      </c>
      <c r="M103" s="184" t="s">
        <v>221</v>
      </c>
      <c r="N103" s="184" t="n">
        <v>33150</v>
      </c>
      <c r="O103" s="184" t="n">
        <v>14010</v>
      </c>
      <c r="P103" s="185" t="n">
        <v>20</v>
      </c>
      <c r="Q103" s="184" t="n">
        <v>19140</v>
      </c>
      <c r="R103" s="184" t="n">
        <v>15312</v>
      </c>
      <c r="S103" s="186" t="s">
        <v>539</v>
      </c>
      <c r="T103" s="187" t="n">
        <v>45883</v>
      </c>
    </row>
    <row r="104" customFormat="false" ht="38.25" hidden="true" customHeight="true" outlineLevel="0" collapsed="false">
      <c r="A104" s="181" t="s">
        <v>540</v>
      </c>
      <c r="B104" s="182" t="n">
        <v>961</v>
      </c>
      <c r="C104" s="183" t="n">
        <v>30093</v>
      </c>
      <c r="D104" s="181" t="s">
        <v>3325</v>
      </c>
      <c r="E104" s="181" t="s">
        <v>541</v>
      </c>
      <c r="F104" s="181" t="s">
        <v>542</v>
      </c>
      <c r="G104" s="181" t="s">
        <v>221</v>
      </c>
      <c r="H104" s="181" t="s">
        <v>520</v>
      </c>
      <c r="I104" s="181" t="s">
        <v>220</v>
      </c>
      <c r="J104" s="267"/>
      <c r="K104" s="269" t="n">
        <v>45882</v>
      </c>
      <c r="L104" s="267" t="n">
        <v>1.4</v>
      </c>
      <c r="M104" s="184" t="s">
        <v>221</v>
      </c>
      <c r="N104" s="184" t="n">
        <v>36520</v>
      </c>
      <c r="O104" s="184" t="n">
        <v>14980</v>
      </c>
      <c r="P104" s="185" t="n">
        <v>21</v>
      </c>
      <c r="Q104" s="184" t="n">
        <v>21540</v>
      </c>
      <c r="R104" s="184" t="n">
        <v>17016.6</v>
      </c>
      <c r="S104" s="186" t="s">
        <v>543</v>
      </c>
      <c r="T104" s="187" t="n">
        <v>45883</v>
      </c>
    </row>
    <row r="105" customFormat="false" ht="38.25" hidden="true" customHeight="true" outlineLevel="0" collapsed="false">
      <c r="A105" s="181" t="s">
        <v>544</v>
      </c>
      <c r="B105" s="182" t="n">
        <v>962</v>
      </c>
      <c r="C105" s="183" t="n">
        <v>30095</v>
      </c>
      <c r="D105" s="181" t="s">
        <v>3325</v>
      </c>
      <c r="E105" s="181" t="s">
        <v>545</v>
      </c>
      <c r="F105" s="181" t="s">
        <v>546</v>
      </c>
      <c r="G105" s="181" t="s">
        <v>221</v>
      </c>
      <c r="H105" s="181" t="s">
        <v>520</v>
      </c>
      <c r="I105" s="181" t="s">
        <v>220</v>
      </c>
      <c r="J105" s="267"/>
      <c r="K105" s="269" t="n">
        <v>45882</v>
      </c>
      <c r="L105" s="267" t="n">
        <v>1.6</v>
      </c>
      <c r="M105" s="184" t="s">
        <v>221</v>
      </c>
      <c r="N105" s="184" t="n">
        <v>39640</v>
      </c>
      <c r="O105" s="184" t="n">
        <v>16100</v>
      </c>
      <c r="P105" s="185" t="n">
        <v>13</v>
      </c>
      <c r="Q105" s="184" t="n">
        <v>23540</v>
      </c>
      <c r="R105" s="184" t="n">
        <v>20479.8</v>
      </c>
      <c r="S105" s="186" t="s">
        <v>547</v>
      </c>
      <c r="T105" s="187" t="n">
        <v>45883</v>
      </c>
    </row>
    <row r="106" customFormat="false" ht="38.25" hidden="true" customHeight="true" outlineLevel="0" collapsed="false">
      <c r="A106" s="181" t="s">
        <v>548</v>
      </c>
      <c r="B106" s="182" t="n">
        <v>964</v>
      </c>
      <c r="C106" s="183" t="n">
        <v>30097</v>
      </c>
      <c r="D106" s="181" t="s">
        <v>3325</v>
      </c>
      <c r="E106" s="181" t="s">
        <v>549</v>
      </c>
      <c r="F106" s="181" t="s">
        <v>550</v>
      </c>
      <c r="G106" s="181" t="s">
        <v>221</v>
      </c>
      <c r="H106" s="181" t="s">
        <v>520</v>
      </c>
      <c r="I106" s="181" t="s">
        <v>220</v>
      </c>
      <c r="J106" s="267"/>
      <c r="K106" s="269" t="n">
        <v>45882</v>
      </c>
      <c r="L106" s="267" t="n">
        <v>1.6</v>
      </c>
      <c r="M106" s="184" t="s">
        <v>221</v>
      </c>
      <c r="N106" s="184" t="n">
        <v>39460</v>
      </c>
      <c r="O106" s="184" t="n">
        <v>15920</v>
      </c>
      <c r="P106" s="185" t="n">
        <v>12</v>
      </c>
      <c r="Q106" s="184" t="n">
        <v>23540</v>
      </c>
      <c r="R106" s="184" t="n">
        <v>20715.2</v>
      </c>
      <c r="S106" s="186" t="s">
        <v>551</v>
      </c>
      <c r="T106" s="187" t="n">
        <v>45883</v>
      </c>
    </row>
    <row r="107" customFormat="false" ht="38.25" hidden="true" customHeight="true" outlineLevel="0" collapsed="false">
      <c r="A107" s="181" t="s">
        <v>552</v>
      </c>
      <c r="B107" s="182" t="n">
        <v>967</v>
      </c>
      <c r="C107" s="183" t="n">
        <v>30099</v>
      </c>
      <c r="D107" s="181" t="s">
        <v>3325</v>
      </c>
      <c r="E107" s="181" t="s">
        <v>350</v>
      </c>
      <c r="F107" s="181" t="s">
        <v>351</v>
      </c>
      <c r="G107" s="181" t="s">
        <v>221</v>
      </c>
      <c r="H107" s="181" t="s">
        <v>520</v>
      </c>
      <c r="I107" s="181" t="s">
        <v>220</v>
      </c>
      <c r="J107" s="267"/>
      <c r="K107" s="269" t="n">
        <v>45883</v>
      </c>
      <c r="L107" s="267" t="n">
        <v>2.4</v>
      </c>
      <c r="M107" s="184" t="s">
        <v>221</v>
      </c>
      <c r="N107" s="184" t="n">
        <v>40140</v>
      </c>
      <c r="O107" s="184" t="n">
        <v>14920</v>
      </c>
      <c r="P107" s="185" t="n">
        <v>37</v>
      </c>
      <c r="Q107" s="184" t="n">
        <v>25220</v>
      </c>
      <c r="R107" s="184" t="n">
        <v>15888.6</v>
      </c>
      <c r="S107" s="186" t="s">
        <v>553</v>
      </c>
      <c r="T107" s="187" t="n">
        <v>45883</v>
      </c>
    </row>
    <row r="108" customFormat="false" ht="38.25" hidden="true" customHeight="true" outlineLevel="0" collapsed="false">
      <c r="A108" s="181" t="s">
        <v>554</v>
      </c>
      <c r="B108" s="182" t="n">
        <v>968</v>
      </c>
      <c r="C108" s="183" t="n">
        <v>30101</v>
      </c>
      <c r="D108" s="181" t="s">
        <v>3325</v>
      </c>
      <c r="E108" s="181" t="s">
        <v>377</v>
      </c>
      <c r="F108" s="181" t="s">
        <v>378</v>
      </c>
      <c r="G108" s="181" t="s">
        <v>221</v>
      </c>
      <c r="H108" s="181" t="s">
        <v>520</v>
      </c>
      <c r="I108" s="181" t="s">
        <v>220</v>
      </c>
      <c r="J108" s="267"/>
      <c r="K108" s="269" t="n">
        <v>45883</v>
      </c>
      <c r="L108" s="267" t="n">
        <v>2.4</v>
      </c>
      <c r="M108" s="184" t="s">
        <v>221</v>
      </c>
      <c r="N108" s="184" t="n">
        <v>41240</v>
      </c>
      <c r="O108" s="184" t="n">
        <v>15590</v>
      </c>
      <c r="P108" s="185" t="n">
        <v>19</v>
      </c>
      <c r="Q108" s="184" t="n">
        <v>25650</v>
      </c>
      <c r="R108" s="184" t="n">
        <v>20776.5</v>
      </c>
      <c r="S108" s="186" t="s">
        <v>555</v>
      </c>
      <c r="T108" s="187" t="n">
        <v>45883</v>
      </c>
    </row>
    <row r="109" customFormat="false" ht="38.25" hidden="true" customHeight="true" outlineLevel="0" collapsed="false">
      <c r="A109" s="181" t="s">
        <v>556</v>
      </c>
      <c r="B109" s="182" t="n">
        <v>969</v>
      </c>
      <c r="C109" s="183" t="n">
        <v>30103</v>
      </c>
      <c r="D109" s="181" t="s">
        <v>3325</v>
      </c>
      <c r="E109" s="181" t="s">
        <v>439</v>
      </c>
      <c r="F109" s="181" t="s">
        <v>440</v>
      </c>
      <c r="G109" s="181" t="s">
        <v>221</v>
      </c>
      <c r="H109" s="181" t="s">
        <v>520</v>
      </c>
      <c r="I109" s="181" t="s">
        <v>220</v>
      </c>
      <c r="J109" s="267"/>
      <c r="K109" s="269" t="n">
        <v>45883</v>
      </c>
      <c r="L109" s="267" t="n">
        <v>2.1</v>
      </c>
      <c r="M109" s="184" t="s">
        <v>221</v>
      </c>
      <c r="N109" s="184" t="n">
        <v>38470</v>
      </c>
      <c r="O109" s="184" t="n">
        <v>16400</v>
      </c>
      <c r="P109" s="185" t="n">
        <v>6</v>
      </c>
      <c r="Q109" s="184" t="n">
        <v>22070</v>
      </c>
      <c r="R109" s="184" t="n">
        <v>20745.8</v>
      </c>
      <c r="S109" s="186" t="s">
        <v>557</v>
      </c>
      <c r="T109" s="187" t="n">
        <v>45883</v>
      </c>
    </row>
    <row r="110" customFormat="false" ht="38.25" hidden="true" customHeight="true" outlineLevel="0" collapsed="false">
      <c r="A110" s="181" t="s">
        <v>558</v>
      </c>
      <c r="B110" s="182" t="n">
        <v>970</v>
      </c>
      <c r="C110" s="183" t="n">
        <v>30105</v>
      </c>
      <c r="D110" s="181" t="s">
        <v>3325</v>
      </c>
      <c r="E110" s="181" t="s">
        <v>399</v>
      </c>
      <c r="F110" s="181" t="s">
        <v>400</v>
      </c>
      <c r="G110" s="181" t="s">
        <v>221</v>
      </c>
      <c r="H110" s="181" t="s">
        <v>520</v>
      </c>
      <c r="I110" s="181" t="s">
        <v>220</v>
      </c>
      <c r="J110" s="267"/>
      <c r="K110" s="269" t="n">
        <v>45883</v>
      </c>
      <c r="L110" s="267" t="n">
        <v>2.3</v>
      </c>
      <c r="M110" s="184" t="s">
        <v>221</v>
      </c>
      <c r="N110" s="184" t="n">
        <v>43920</v>
      </c>
      <c r="O110" s="184" t="n">
        <v>19310</v>
      </c>
      <c r="P110" s="185" t="n">
        <v>19</v>
      </c>
      <c r="Q110" s="184" t="n">
        <v>24610</v>
      </c>
      <c r="R110" s="184" t="n">
        <v>19934.1</v>
      </c>
      <c r="S110" s="186" t="s">
        <v>559</v>
      </c>
      <c r="T110" s="187" t="n">
        <v>45883</v>
      </c>
    </row>
    <row r="111" customFormat="false" ht="38.25" hidden="true" customHeight="true" outlineLevel="0" collapsed="false">
      <c r="A111" s="181" t="s">
        <v>560</v>
      </c>
      <c r="B111" s="182" t="n">
        <v>971</v>
      </c>
      <c r="C111" s="183" t="n">
        <v>30115</v>
      </c>
      <c r="D111" s="181" t="s">
        <v>3325</v>
      </c>
      <c r="E111" s="181" t="s">
        <v>413</v>
      </c>
      <c r="F111" s="181" t="s">
        <v>414</v>
      </c>
      <c r="G111" s="181" t="s">
        <v>221</v>
      </c>
      <c r="H111" s="181" t="s">
        <v>520</v>
      </c>
      <c r="I111" s="181" t="s">
        <v>220</v>
      </c>
      <c r="J111" s="267"/>
      <c r="K111" s="269" t="n">
        <v>45883</v>
      </c>
      <c r="L111" s="267" t="n">
        <v>2.5</v>
      </c>
      <c r="M111" s="184" t="s">
        <v>221</v>
      </c>
      <c r="N111" s="184" t="n">
        <v>41820</v>
      </c>
      <c r="O111" s="184" t="n">
        <v>15540</v>
      </c>
      <c r="P111" s="185" t="n">
        <v>10</v>
      </c>
      <c r="Q111" s="184" t="n">
        <v>26280</v>
      </c>
      <c r="R111" s="184" t="n">
        <v>23652</v>
      </c>
      <c r="S111" s="186" t="s">
        <v>561</v>
      </c>
      <c r="T111" s="187" t="n">
        <v>45883</v>
      </c>
    </row>
    <row r="112" customFormat="false" ht="38.25" hidden="true" customHeight="true" outlineLevel="0" collapsed="false">
      <c r="A112" s="181" t="s">
        <v>564</v>
      </c>
      <c r="B112" s="182" t="n">
        <v>973</v>
      </c>
      <c r="C112" s="183" t="n">
        <v>30107</v>
      </c>
      <c r="D112" s="181" t="s">
        <v>3325</v>
      </c>
      <c r="E112" s="181" t="s">
        <v>308</v>
      </c>
      <c r="F112" s="181" t="s">
        <v>309</v>
      </c>
      <c r="G112" s="181" t="s">
        <v>221</v>
      </c>
      <c r="H112" s="181" t="s">
        <v>520</v>
      </c>
      <c r="I112" s="181" t="s">
        <v>220</v>
      </c>
      <c r="J112" s="267"/>
      <c r="K112" s="269" t="n">
        <v>45883</v>
      </c>
      <c r="L112" s="267" t="n">
        <v>2.2</v>
      </c>
      <c r="M112" s="184" t="s">
        <v>221</v>
      </c>
      <c r="N112" s="184" t="n">
        <v>47570</v>
      </c>
      <c r="O112" s="184" t="n">
        <v>24050</v>
      </c>
      <c r="P112" s="185" t="n">
        <v>23</v>
      </c>
      <c r="Q112" s="184" t="n">
        <v>23520</v>
      </c>
      <c r="R112" s="184" t="n">
        <v>18110.4</v>
      </c>
      <c r="S112" s="186" t="s">
        <v>565</v>
      </c>
      <c r="T112" s="187" t="n">
        <v>45884</v>
      </c>
    </row>
    <row r="113" customFormat="false" ht="38.25" hidden="true" customHeight="true" outlineLevel="0" collapsed="false">
      <c r="A113" s="181" t="s">
        <v>562</v>
      </c>
      <c r="B113" s="182" t="n">
        <v>972</v>
      </c>
      <c r="C113" s="183" t="n">
        <v>30113</v>
      </c>
      <c r="D113" s="181" t="s">
        <v>3325</v>
      </c>
      <c r="E113" s="181" t="s">
        <v>409</v>
      </c>
      <c r="F113" s="181" t="s">
        <v>410</v>
      </c>
      <c r="G113" s="181" t="s">
        <v>221</v>
      </c>
      <c r="H113" s="181" t="s">
        <v>520</v>
      </c>
      <c r="I113" s="181" t="s">
        <v>220</v>
      </c>
      <c r="J113" s="267"/>
      <c r="K113" s="269" t="n">
        <v>45883</v>
      </c>
      <c r="L113" s="267" t="n">
        <v>2.5</v>
      </c>
      <c r="M113" s="184" t="s">
        <v>221</v>
      </c>
      <c r="N113" s="184" t="n">
        <v>50440</v>
      </c>
      <c r="O113" s="184" t="n">
        <v>24130</v>
      </c>
      <c r="P113" s="185" t="n">
        <v>15</v>
      </c>
      <c r="Q113" s="184" t="n">
        <v>26310</v>
      </c>
      <c r="R113" s="184" t="n">
        <v>22363.5</v>
      </c>
      <c r="S113" s="186" t="s">
        <v>563</v>
      </c>
      <c r="T113" s="187" t="n">
        <v>45883</v>
      </c>
    </row>
    <row r="114" customFormat="false" ht="38.25" hidden="true" customHeight="true" outlineLevel="0" collapsed="false">
      <c r="A114" s="181" t="s">
        <v>566</v>
      </c>
      <c r="B114" s="182" t="n">
        <v>974</v>
      </c>
      <c r="C114" s="183" t="n">
        <v>30109</v>
      </c>
      <c r="D114" s="181" t="s">
        <v>3325</v>
      </c>
      <c r="E114" s="181" t="s">
        <v>304</v>
      </c>
      <c r="F114" s="181" t="s">
        <v>305</v>
      </c>
      <c r="G114" s="181" t="s">
        <v>221</v>
      </c>
      <c r="H114" s="181" t="s">
        <v>520</v>
      </c>
      <c r="I114" s="181" t="s">
        <v>220</v>
      </c>
      <c r="J114" s="267"/>
      <c r="K114" s="269" t="n">
        <v>45883</v>
      </c>
      <c r="L114" s="267" t="n">
        <v>2.1</v>
      </c>
      <c r="M114" s="184" t="s">
        <v>221</v>
      </c>
      <c r="N114" s="184" t="n">
        <v>36940</v>
      </c>
      <c r="O114" s="184" t="n">
        <v>14830</v>
      </c>
      <c r="P114" s="185" t="n">
        <v>15</v>
      </c>
      <c r="Q114" s="184" t="n">
        <v>22110</v>
      </c>
      <c r="R114" s="184" t="n">
        <v>18793.5</v>
      </c>
      <c r="S114" s="186" t="s">
        <v>567</v>
      </c>
      <c r="T114" s="187" t="n">
        <v>45884</v>
      </c>
    </row>
    <row r="115" customFormat="false" ht="38.25" hidden="true" customHeight="true" outlineLevel="0" collapsed="false">
      <c r="A115" s="181" t="s">
        <v>568</v>
      </c>
      <c r="B115" s="182" t="n">
        <v>975</v>
      </c>
      <c r="C115" s="183" t="n">
        <v>30111</v>
      </c>
      <c r="D115" s="181" t="s">
        <v>3325</v>
      </c>
      <c r="E115" s="181" t="s">
        <v>300</v>
      </c>
      <c r="F115" s="181" t="s">
        <v>301</v>
      </c>
      <c r="G115" s="181" t="s">
        <v>221</v>
      </c>
      <c r="H115" s="181" t="s">
        <v>520</v>
      </c>
      <c r="I115" s="181" t="s">
        <v>220</v>
      </c>
      <c r="J115" s="267"/>
      <c r="K115" s="269" t="n">
        <v>45883</v>
      </c>
      <c r="L115" s="267" t="n">
        <v>2.4</v>
      </c>
      <c r="M115" s="184" t="s">
        <v>221</v>
      </c>
      <c r="N115" s="184" t="n">
        <v>48340</v>
      </c>
      <c r="O115" s="184" t="n">
        <v>20890</v>
      </c>
      <c r="P115" s="185" t="n">
        <v>19</v>
      </c>
      <c r="Q115" s="184" t="n">
        <v>27450</v>
      </c>
      <c r="R115" s="184" t="n">
        <v>22234.5</v>
      </c>
      <c r="S115" s="186" t="s">
        <v>569</v>
      </c>
      <c r="T115" s="187" t="n">
        <v>45884</v>
      </c>
    </row>
    <row r="116" customFormat="false" ht="38.25" hidden="true" customHeight="true" outlineLevel="0" collapsed="false">
      <c r="A116" s="181" t="s">
        <v>570</v>
      </c>
      <c r="B116" s="182" t="n">
        <v>976</v>
      </c>
      <c r="C116" s="183" t="n">
        <v>30121</v>
      </c>
      <c r="D116" s="181" t="s">
        <v>3325</v>
      </c>
      <c r="E116" s="181" t="s">
        <v>383</v>
      </c>
      <c r="F116" s="181" t="s">
        <v>384</v>
      </c>
      <c r="G116" s="181" t="s">
        <v>221</v>
      </c>
      <c r="H116" s="181" t="s">
        <v>571</v>
      </c>
      <c r="I116" s="181" t="s">
        <v>220</v>
      </c>
      <c r="J116" s="267"/>
      <c r="K116" s="269" t="n">
        <v>45883</v>
      </c>
      <c r="L116" s="267" t="n">
        <v>1.9</v>
      </c>
      <c r="M116" s="184" t="s">
        <v>221</v>
      </c>
      <c r="N116" s="184" t="n">
        <v>38190</v>
      </c>
      <c r="O116" s="184" t="n">
        <v>14870</v>
      </c>
      <c r="P116" s="185" t="n">
        <v>17</v>
      </c>
      <c r="Q116" s="184" t="n">
        <v>23320</v>
      </c>
      <c r="R116" s="184" t="n">
        <v>19355.6</v>
      </c>
      <c r="S116" s="186" t="s">
        <v>572</v>
      </c>
      <c r="T116" s="187" t="n">
        <v>45884</v>
      </c>
    </row>
    <row r="117" customFormat="false" ht="38.25" hidden="true" customHeight="true" outlineLevel="0" collapsed="false">
      <c r="A117" s="181" t="s">
        <v>573</v>
      </c>
      <c r="B117" s="182" t="n">
        <v>977</v>
      </c>
      <c r="C117" s="183" t="n">
        <v>30123</v>
      </c>
      <c r="D117" s="181" t="s">
        <v>3325</v>
      </c>
      <c r="E117" s="181" t="s">
        <v>387</v>
      </c>
      <c r="F117" s="181" t="s">
        <v>388</v>
      </c>
      <c r="G117" s="181" t="s">
        <v>221</v>
      </c>
      <c r="H117" s="181" t="s">
        <v>571</v>
      </c>
      <c r="I117" s="181" t="s">
        <v>220</v>
      </c>
      <c r="J117" s="267"/>
      <c r="K117" s="269" t="n">
        <v>45883</v>
      </c>
      <c r="L117" s="267" t="n">
        <v>1.8</v>
      </c>
      <c r="M117" s="184" t="s">
        <v>221</v>
      </c>
      <c r="N117" s="184" t="n">
        <v>37190</v>
      </c>
      <c r="O117" s="184" t="n">
        <v>14880</v>
      </c>
      <c r="P117" s="185" t="n">
        <v>8</v>
      </c>
      <c r="Q117" s="184" t="n">
        <v>22310</v>
      </c>
      <c r="R117" s="184" t="n">
        <v>20525.2</v>
      </c>
      <c r="S117" s="186" t="s">
        <v>574</v>
      </c>
      <c r="T117" s="187" t="n">
        <v>45884</v>
      </c>
    </row>
    <row r="118" customFormat="false" ht="38.25" hidden="true" customHeight="true" outlineLevel="0" collapsed="false">
      <c r="A118" s="181" t="s">
        <v>575</v>
      </c>
      <c r="B118" s="182" t="n">
        <v>978</v>
      </c>
      <c r="C118" s="183" t="n">
        <v>30119</v>
      </c>
      <c r="D118" s="181" t="s">
        <v>3325</v>
      </c>
      <c r="E118" s="181" t="s">
        <v>576</v>
      </c>
      <c r="F118" s="181" t="s">
        <v>577</v>
      </c>
      <c r="G118" s="181" t="s">
        <v>221</v>
      </c>
      <c r="H118" s="181" t="s">
        <v>571</v>
      </c>
      <c r="I118" s="181" t="s">
        <v>220</v>
      </c>
      <c r="J118" s="267"/>
      <c r="K118" s="269" t="n">
        <v>45883</v>
      </c>
      <c r="L118" s="267" t="n">
        <v>1.8</v>
      </c>
      <c r="M118" s="184" t="s">
        <v>221</v>
      </c>
      <c r="N118" s="184" t="n">
        <v>37120</v>
      </c>
      <c r="O118" s="184" t="n">
        <v>14460</v>
      </c>
      <c r="P118" s="185" t="n">
        <v>23</v>
      </c>
      <c r="Q118" s="184" t="n">
        <v>22660</v>
      </c>
      <c r="R118" s="184" t="n">
        <v>17448.2</v>
      </c>
      <c r="S118" s="186" t="s">
        <v>578</v>
      </c>
      <c r="T118" s="187" t="n">
        <v>45884</v>
      </c>
    </row>
    <row r="119" customFormat="false" ht="38.25" hidden="true" customHeight="true" outlineLevel="0" collapsed="false">
      <c r="A119" s="181" t="s">
        <v>581</v>
      </c>
      <c r="B119" s="182" t="n">
        <v>980</v>
      </c>
      <c r="C119" s="183" t="n">
        <v>30129</v>
      </c>
      <c r="D119" s="181" t="s">
        <v>3325</v>
      </c>
      <c r="E119" s="181" t="s">
        <v>582</v>
      </c>
      <c r="F119" s="181" t="s">
        <v>583</v>
      </c>
      <c r="G119" s="181" t="s">
        <v>221</v>
      </c>
      <c r="H119" s="181" t="s">
        <v>571</v>
      </c>
      <c r="I119" s="181" t="s">
        <v>220</v>
      </c>
      <c r="J119" s="267"/>
      <c r="K119" s="269" t="n">
        <v>45883</v>
      </c>
      <c r="L119" s="267" t="n">
        <v>1.5</v>
      </c>
      <c r="M119" s="184" t="s">
        <v>221</v>
      </c>
      <c r="N119" s="184" t="n">
        <v>34000</v>
      </c>
      <c r="O119" s="184" t="n">
        <v>14580</v>
      </c>
      <c r="P119" s="185" t="n">
        <v>11</v>
      </c>
      <c r="Q119" s="184" t="n">
        <v>19420</v>
      </c>
      <c r="R119" s="184" t="n">
        <v>17283.8</v>
      </c>
      <c r="S119" s="186" t="s">
        <v>584</v>
      </c>
      <c r="T119" s="187" t="n">
        <v>45884</v>
      </c>
    </row>
    <row r="120" customFormat="false" ht="38.25" hidden="true" customHeight="true" outlineLevel="0" collapsed="false">
      <c r="A120" s="181" t="s">
        <v>585</v>
      </c>
      <c r="B120" s="182" t="n">
        <v>981</v>
      </c>
      <c r="C120" s="183" t="n">
        <v>30125</v>
      </c>
      <c r="D120" s="181" t="s">
        <v>3325</v>
      </c>
      <c r="E120" s="181" t="s">
        <v>266</v>
      </c>
      <c r="F120" s="181" t="s">
        <v>267</v>
      </c>
      <c r="G120" s="181" t="s">
        <v>223</v>
      </c>
      <c r="H120" s="181" t="s">
        <v>586</v>
      </c>
      <c r="I120" s="181" t="s">
        <v>220</v>
      </c>
      <c r="J120" s="267"/>
      <c r="K120" s="269" t="n">
        <v>45883</v>
      </c>
      <c r="L120" s="267" t="n">
        <v>1</v>
      </c>
      <c r="M120" s="184" t="s">
        <v>223</v>
      </c>
      <c r="N120" s="184" t="n">
        <v>35220</v>
      </c>
      <c r="O120" s="184" t="n">
        <v>14930</v>
      </c>
      <c r="P120" s="185" t="n">
        <v>57</v>
      </c>
      <c r="Q120" s="184" t="n">
        <v>20290</v>
      </c>
      <c r="R120" s="184" t="n">
        <v>8724.7</v>
      </c>
      <c r="S120" s="186" t="s">
        <v>587</v>
      </c>
      <c r="T120" s="187" t="n">
        <v>45884</v>
      </c>
    </row>
    <row r="121" customFormat="false" ht="38.25" hidden="true" customHeight="true" outlineLevel="0" collapsed="false">
      <c r="A121" s="181" t="s">
        <v>588</v>
      </c>
      <c r="B121" s="182" t="n">
        <v>982</v>
      </c>
      <c r="C121" s="183" t="n">
        <v>30127</v>
      </c>
      <c r="D121" s="181" t="s">
        <v>3325</v>
      </c>
      <c r="E121" s="181" t="s">
        <v>261</v>
      </c>
      <c r="F121" s="181" t="s">
        <v>262</v>
      </c>
      <c r="G121" s="181" t="s">
        <v>222</v>
      </c>
      <c r="H121" s="181" t="s">
        <v>571</v>
      </c>
      <c r="I121" s="181" t="s">
        <v>220</v>
      </c>
      <c r="J121" s="267"/>
      <c r="K121" s="269" t="n">
        <v>45883</v>
      </c>
      <c r="L121" s="267" t="n">
        <v>0.3</v>
      </c>
      <c r="M121" s="184" t="s">
        <v>222</v>
      </c>
      <c r="N121" s="184" t="n">
        <v>37560</v>
      </c>
      <c r="O121" s="184" t="n">
        <v>15090</v>
      </c>
      <c r="P121" s="185" t="n">
        <v>10</v>
      </c>
      <c r="Q121" s="184" t="n">
        <v>22470</v>
      </c>
      <c r="R121" s="184" t="n">
        <v>20223</v>
      </c>
      <c r="S121" s="186" t="s">
        <v>589</v>
      </c>
      <c r="T121" s="187" t="n">
        <v>45884</v>
      </c>
    </row>
    <row r="122" customFormat="false" ht="38.25" hidden="true" customHeight="true" outlineLevel="0" collapsed="false">
      <c r="A122" s="181" t="s">
        <v>579</v>
      </c>
      <c r="B122" s="182" t="n">
        <v>979</v>
      </c>
      <c r="C122" s="183" t="n">
        <v>30131</v>
      </c>
      <c r="D122" s="181" t="s">
        <v>3325</v>
      </c>
      <c r="E122" s="181" t="s">
        <v>332</v>
      </c>
      <c r="F122" s="181" t="s">
        <v>333</v>
      </c>
      <c r="G122" s="181" t="s">
        <v>223</v>
      </c>
      <c r="H122" s="181" t="s">
        <v>327</v>
      </c>
      <c r="I122" s="181" t="s">
        <v>220</v>
      </c>
      <c r="J122" s="267"/>
      <c r="K122" s="269" t="n">
        <v>45883</v>
      </c>
      <c r="L122" s="267" t="n">
        <v>1</v>
      </c>
      <c r="M122" s="184" t="s">
        <v>223</v>
      </c>
      <c r="N122" s="184" t="n">
        <v>36340</v>
      </c>
      <c r="O122" s="184" t="n">
        <v>14700</v>
      </c>
      <c r="P122" s="185" t="n">
        <v>53</v>
      </c>
      <c r="Q122" s="184" t="n">
        <v>21640</v>
      </c>
      <c r="R122" s="184" t="n">
        <v>10170.8</v>
      </c>
      <c r="S122" s="186" t="s">
        <v>580</v>
      </c>
      <c r="T122" s="187" t="n">
        <v>45884</v>
      </c>
    </row>
    <row r="123" customFormat="false" ht="38.25" hidden="true" customHeight="true" outlineLevel="0" collapsed="false">
      <c r="A123" s="181" t="s">
        <v>590</v>
      </c>
      <c r="B123" s="182" t="n">
        <v>983</v>
      </c>
      <c r="C123" s="183" t="n">
        <v>30133</v>
      </c>
      <c r="D123" s="181" t="s">
        <v>3325</v>
      </c>
      <c r="E123" s="181" t="s">
        <v>277</v>
      </c>
      <c r="F123" s="181" t="s">
        <v>278</v>
      </c>
      <c r="G123" s="181" t="s">
        <v>222</v>
      </c>
      <c r="H123" s="181" t="s">
        <v>571</v>
      </c>
      <c r="I123" s="181" t="s">
        <v>220</v>
      </c>
      <c r="J123" s="267"/>
      <c r="K123" s="269" t="n">
        <v>45883</v>
      </c>
      <c r="L123" s="267" t="n">
        <v>0.3</v>
      </c>
      <c r="M123" s="184" t="s">
        <v>222</v>
      </c>
      <c r="N123" s="184" t="n">
        <v>37490</v>
      </c>
      <c r="O123" s="184" t="n">
        <v>15070</v>
      </c>
      <c r="P123" s="185" t="n">
        <v>25</v>
      </c>
      <c r="Q123" s="184" t="n">
        <v>22420</v>
      </c>
      <c r="R123" s="184" t="n">
        <v>16815</v>
      </c>
      <c r="S123" s="186" t="s">
        <v>591</v>
      </c>
      <c r="T123" s="187" t="n">
        <v>45884</v>
      </c>
    </row>
    <row r="124" customFormat="false" ht="38.25" hidden="true" customHeight="true" outlineLevel="0" collapsed="false">
      <c r="A124" s="181" t="s">
        <v>592</v>
      </c>
      <c r="B124" s="182" t="n">
        <v>984</v>
      </c>
      <c r="C124" s="183" t="n">
        <v>30103</v>
      </c>
      <c r="D124" s="181" t="s">
        <v>3325</v>
      </c>
      <c r="E124" s="181" t="s">
        <v>439</v>
      </c>
      <c r="F124" s="181" t="s">
        <v>440</v>
      </c>
      <c r="G124" s="181" t="s">
        <v>222</v>
      </c>
      <c r="H124" s="181" t="s">
        <v>571</v>
      </c>
      <c r="I124" s="181" t="s">
        <v>220</v>
      </c>
      <c r="J124" s="267"/>
      <c r="K124" s="269" t="n">
        <v>45883</v>
      </c>
      <c r="L124" s="267" t="n">
        <v>0.3</v>
      </c>
      <c r="M124" s="184" t="s">
        <v>222</v>
      </c>
      <c r="N124" s="184" t="n">
        <v>39300</v>
      </c>
      <c r="O124" s="184" t="n">
        <v>16400</v>
      </c>
      <c r="P124" s="185" t="n">
        <v>35</v>
      </c>
      <c r="Q124" s="184" t="n">
        <v>22900</v>
      </c>
      <c r="R124" s="184" t="n">
        <v>14885</v>
      </c>
      <c r="S124" s="186" t="s">
        <v>593</v>
      </c>
      <c r="T124" s="187" t="n">
        <v>45884</v>
      </c>
    </row>
    <row r="125" customFormat="false" ht="38.25" hidden="true" customHeight="true" outlineLevel="0" collapsed="false">
      <c r="A125" s="181" t="s">
        <v>594</v>
      </c>
      <c r="B125" s="182" t="n">
        <v>990</v>
      </c>
      <c r="C125" s="183" t="n">
        <v>30137</v>
      </c>
      <c r="D125" s="181" t="s">
        <v>3325</v>
      </c>
      <c r="E125" s="181" t="s">
        <v>545</v>
      </c>
      <c r="F125" s="181" t="s">
        <v>546</v>
      </c>
      <c r="G125" s="181" t="s">
        <v>222</v>
      </c>
      <c r="H125" s="181" t="s">
        <v>571</v>
      </c>
      <c r="I125" s="181" t="s">
        <v>220</v>
      </c>
      <c r="J125" s="267"/>
      <c r="K125" s="269" t="n">
        <v>45884</v>
      </c>
      <c r="L125" s="267" t="n">
        <v>1</v>
      </c>
      <c r="M125" s="184" t="s">
        <v>222</v>
      </c>
      <c r="N125" s="184" t="n">
        <v>41480</v>
      </c>
      <c r="O125" s="184" t="n">
        <v>16090</v>
      </c>
      <c r="P125" s="185" t="n">
        <v>31</v>
      </c>
      <c r="Q125" s="184" t="n">
        <v>25390</v>
      </c>
      <c r="R125" s="184" t="n">
        <v>17519.1</v>
      </c>
      <c r="S125" s="186" t="s">
        <v>595</v>
      </c>
      <c r="T125" s="187" t="n">
        <v>45884</v>
      </c>
    </row>
    <row r="126" customFormat="false" ht="38.25" hidden="true" customHeight="true" outlineLevel="0" collapsed="false">
      <c r="A126" s="181" t="s">
        <v>596</v>
      </c>
      <c r="B126" s="182" t="n">
        <v>991</v>
      </c>
      <c r="C126" s="183" t="n">
        <v>128</v>
      </c>
      <c r="D126" s="181" t="s">
        <v>260</v>
      </c>
      <c r="E126" s="181" t="s">
        <v>336</v>
      </c>
      <c r="F126" s="181" t="s">
        <v>337</v>
      </c>
      <c r="G126" s="181"/>
      <c r="H126" s="181" t="s">
        <v>263</v>
      </c>
      <c r="I126" s="181" t="s">
        <v>238</v>
      </c>
      <c r="J126" s="267" t="n">
        <v>22390</v>
      </c>
      <c r="K126" s="269"/>
      <c r="L126" s="267" t="n">
        <v>0</v>
      </c>
      <c r="M126" s="184" t="n">
        <v>0</v>
      </c>
      <c r="N126" s="184" t="n">
        <v>36890</v>
      </c>
      <c r="O126" s="184" t="n">
        <v>14500</v>
      </c>
      <c r="P126" s="185" t="n">
        <v>8</v>
      </c>
      <c r="Q126" s="184" t="n">
        <v>22390</v>
      </c>
      <c r="R126" s="184" t="n">
        <v>20598.8</v>
      </c>
      <c r="S126" s="186" t="s">
        <v>597</v>
      </c>
      <c r="T126" s="187" t="n">
        <v>45884</v>
      </c>
    </row>
    <row r="127" customFormat="false" ht="38.25" hidden="true" customHeight="true" outlineLevel="0" collapsed="false">
      <c r="A127" s="181" t="s">
        <v>600</v>
      </c>
      <c r="B127" s="182" t="n">
        <v>993</v>
      </c>
      <c r="C127" s="183" t="n">
        <v>30142</v>
      </c>
      <c r="D127" s="181" t="s">
        <v>3325</v>
      </c>
      <c r="E127" s="181" t="s">
        <v>549</v>
      </c>
      <c r="F127" s="181" t="s">
        <v>550</v>
      </c>
      <c r="G127" s="181" t="s">
        <v>222</v>
      </c>
      <c r="H127" s="181" t="s">
        <v>571</v>
      </c>
      <c r="I127" s="181" t="s">
        <v>220</v>
      </c>
      <c r="J127" s="267"/>
      <c r="K127" s="269" t="n">
        <v>45884</v>
      </c>
      <c r="L127" s="267" t="n">
        <v>1.1</v>
      </c>
      <c r="M127" s="184" t="s">
        <v>222</v>
      </c>
      <c r="N127" s="184" t="n">
        <v>41680</v>
      </c>
      <c r="O127" s="184" t="n">
        <v>15930</v>
      </c>
      <c r="P127" s="185" t="n">
        <v>43</v>
      </c>
      <c r="Q127" s="184" t="n">
        <v>25750</v>
      </c>
      <c r="R127" s="184" t="n">
        <v>14677.5</v>
      </c>
      <c r="S127" s="186" t="s">
        <v>601</v>
      </c>
      <c r="T127" s="187" t="n">
        <v>45884</v>
      </c>
    </row>
    <row r="128" customFormat="false" ht="38.25" hidden="true" customHeight="true" outlineLevel="0" collapsed="false">
      <c r="A128" s="181" t="s">
        <v>598</v>
      </c>
      <c r="B128" s="182" t="n">
        <v>992</v>
      </c>
      <c r="C128" s="183" t="n">
        <v>129</v>
      </c>
      <c r="D128" s="181" t="s">
        <v>260</v>
      </c>
      <c r="E128" s="181" t="s">
        <v>340</v>
      </c>
      <c r="F128" s="181" t="s">
        <v>341</v>
      </c>
      <c r="G128" s="181"/>
      <c r="H128" s="181" t="s">
        <v>263</v>
      </c>
      <c r="I128" s="181" t="s">
        <v>238</v>
      </c>
      <c r="J128" s="267" t="n">
        <v>22950</v>
      </c>
      <c r="K128" s="269"/>
      <c r="L128" s="267" t="n">
        <v>0</v>
      </c>
      <c r="M128" s="184" t="n">
        <v>0</v>
      </c>
      <c r="N128" s="184" t="n">
        <v>38030</v>
      </c>
      <c r="O128" s="184" t="n">
        <v>15080</v>
      </c>
      <c r="P128" s="185" t="n">
        <v>5</v>
      </c>
      <c r="Q128" s="184" t="n">
        <v>22950</v>
      </c>
      <c r="R128" s="184" t="n">
        <v>21802.5</v>
      </c>
      <c r="S128" s="186" t="s">
        <v>599</v>
      </c>
      <c r="T128" s="187" t="n">
        <v>45884</v>
      </c>
    </row>
    <row r="129" customFormat="false" ht="38.25" hidden="true" customHeight="true" outlineLevel="0" collapsed="false">
      <c r="A129" s="181" t="s">
        <v>602</v>
      </c>
      <c r="B129" s="182" t="n">
        <v>995</v>
      </c>
      <c r="C129" s="183" t="n">
        <v>132</v>
      </c>
      <c r="D129" s="181" t="s">
        <v>260</v>
      </c>
      <c r="E129" s="181" t="s">
        <v>282</v>
      </c>
      <c r="F129" s="181" t="s">
        <v>283</v>
      </c>
      <c r="G129" s="181"/>
      <c r="H129" s="181" t="s">
        <v>263</v>
      </c>
      <c r="I129" s="181" t="s">
        <v>238</v>
      </c>
      <c r="J129" s="267" t="n">
        <v>24190</v>
      </c>
      <c r="K129" s="269"/>
      <c r="L129" s="267" t="n">
        <v>0</v>
      </c>
      <c r="M129" s="184" t="n">
        <v>0</v>
      </c>
      <c r="N129" s="184" t="n">
        <v>39230</v>
      </c>
      <c r="O129" s="184" t="n">
        <v>15040</v>
      </c>
      <c r="P129" s="185" t="n">
        <v>11</v>
      </c>
      <c r="Q129" s="184" t="n">
        <v>24190</v>
      </c>
      <c r="R129" s="184" t="n">
        <v>21529.1</v>
      </c>
      <c r="S129" s="186" t="s">
        <v>603</v>
      </c>
      <c r="T129" s="187" t="n">
        <v>45884</v>
      </c>
    </row>
    <row r="130" customFormat="false" ht="38.25" hidden="true" customHeight="true" outlineLevel="0" collapsed="false">
      <c r="A130" s="181" t="s">
        <v>604</v>
      </c>
      <c r="B130" s="182" t="n">
        <v>996</v>
      </c>
      <c r="C130" s="183" t="n">
        <v>133</v>
      </c>
      <c r="D130" s="181" t="s">
        <v>260</v>
      </c>
      <c r="E130" s="181" t="s">
        <v>296</v>
      </c>
      <c r="F130" s="181" t="s">
        <v>297</v>
      </c>
      <c r="G130" s="181"/>
      <c r="H130" s="181" t="s">
        <v>263</v>
      </c>
      <c r="I130" s="181" t="s">
        <v>238</v>
      </c>
      <c r="J130" s="267" t="n">
        <v>22570</v>
      </c>
      <c r="K130" s="269"/>
      <c r="L130" s="267" t="n">
        <v>0</v>
      </c>
      <c r="M130" s="184" t="n">
        <v>0</v>
      </c>
      <c r="N130" s="184" t="n">
        <v>38110</v>
      </c>
      <c r="O130" s="184" t="n">
        <v>15540</v>
      </c>
      <c r="P130" s="185" t="n">
        <v>11</v>
      </c>
      <c r="Q130" s="184" t="n">
        <v>22570</v>
      </c>
      <c r="R130" s="184" t="n">
        <v>20087.3</v>
      </c>
      <c r="S130" s="186" t="s">
        <v>605</v>
      </c>
      <c r="T130" s="187" t="n">
        <v>45884</v>
      </c>
    </row>
    <row r="131" customFormat="false" ht="38.25" hidden="true" customHeight="true" outlineLevel="0" collapsed="false">
      <c r="A131" s="181" t="s">
        <v>606</v>
      </c>
      <c r="B131" s="182" t="n">
        <v>999</v>
      </c>
      <c r="C131" s="183" t="n">
        <v>300194</v>
      </c>
      <c r="D131" s="181" t="s">
        <v>3325</v>
      </c>
      <c r="E131" s="181" t="s">
        <v>533</v>
      </c>
      <c r="F131" s="181" t="s">
        <v>534</v>
      </c>
      <c r="G131" s="181" t="s">
        <v>224</v>
      </c>
      <c r="H131" s="181" t="s">
        <v>607</v>
      </c>
      <c r="I131" s="181" t="s">
        <v>220</v>
      </c>
      <c r="J131" s="267"/>
      <c r="K131" s="269" t="n">
        <v>45886</v>
      </c>
      <c r="L131" s="267" t="n">
        <v>1.9</v>
      </c>
      <c r="M131" s="184" t="s">
        <v>224</v>
      </c>
      <c r="N131" s="184" t="n">
        <v>40930</v>
      </c>
      <c r="O131" s="184" t="n">
        <v>14640</v>
      </c>
      <c r="P131" s="185" t="n">
        <v>25</v>
      </c>
      <c r="Q131" s="184" t="n">
        <v>26290</v>
      </c>
      <c r="R131" s="184" t="n">
        <v>19717.5</v>
      </c>
      <c r="S131" s="186" t="s">
        <v>608</v>
      </c>
      <c r="T131" s="187" t="n">
        <v>45887</v>
      </c>
    </row>
    <row r="132" customFormat="false" ht="38.25" hidden="true" customHeight="true" outlineLevel="0" collapsed="false">
      <c r="A132" s="181" t="s">
        <v>609</v>
      </c>
      <c r="B132" s="182" t="n">
        <v>1000</v>
      </c>
      <c r="C132" s="183" t="n">
        <v>30196</v>
      </c>
      <c r="D132" s="181" t="s">
        <v>3325</v>
      </c>
      <c r="E132" s="181" t="s">
        <v>537</v>
      </c>
      <c r="F132" s="181" t="s">
        <v>538</v>
      </c>
      <c r="G132" s="181" t="s">
        <v>224</v>
      </c>
      <c r="H132" s="181" t="s">
        <v>607</v>
      </c>
      <c r="I132" s="181" t="s">
        <v>220</v>
      </c>
      <c r="J132" s="267"/>
      <c r="K132" s="269" t="n">
        <v>45886</v>
      </c>
      <c r="L132" s="267" t="n">
        <v>1.5</v>
      </c>
      <c r="M132" s="184" t="s">
        <v>224</v>
      </c>
      <c r="N132" s="184" t="n">
        <v>35510</v>
      </c>
      <c r="O132" s="184" t="n">
        <v>14020</v>
      </c>
      <c r="P132" s="185" t="n">
        <v>16</v>
      </c>
      <c r="Q132" s="184" t="n">
        <v>21490</v>
      </c>
      <c r="R132" s="184" t="n">
        <v>18051.6</v>
      </c>
      <c r="S132" s="186" t="s">
        <v>610</v>
      </c>
      <c r="T132" s="187" t="n">
        <v>45887</v>
      </c>
    </row>
    <row r="133" customFormat="false" ht="38.25" hidden="true" customHeight="true" outlineLevel="0" collapsed="false">
      <c r="A133" s="181" t="s">
        <v>613</v>
      </c>
      <c r="B133" s="182" t="n">
        <v>1002</v>
      </c>
      <c r="C133" s="183" t="n">
        <v>30202</v>
      </c>
      <c r="D133" s="181" t="s">
        <v>3325</v>
      </c>
      <c r="E133" s="181" t="s">
        <v>545</v>
      </c>
      <c r="F133" s="181" t="s">
        <v>546</v>
      </c>
      <c r="G133" s="181" t="s">
        <v>224</v>
      </c>
      <c r="H133" s="181" t="s">
        <v>607</v>
      </c>
      <c r="I133" s="181" t="s">
        <v>220</v>
      </c>
      <c r="J133" s="267"/>
      <c r="K133" s="269" t="n">
        <v>45886</v>
      </c>
      <c r="L133" s="267" t="n">
        <v>1.8</v>
      </c>
      <c r="M133" s="184" t="s">
        <v>224</v>
      </c>
      <c r="N133" s="184" t="n">
        <v>41350</v>
      </c>
      <c r="O133" s="184" t="n">
        <v>16110</v>
      </c>
      <c r="P133" s="185" t="n">
        <v>24</v>
      </c>
      <c r="Q133" s="184" t="n">
        <v>25240</v>
      </c>
      <c r="R133" s="184" t="n">
        <v>19182.4</v>
      </c>
      <c r="S133" s="186" t="s">
        <v>614</v>
      </c>
      <c r="T133" s="187" t="n">
        <v>45887</v>
      </c>
    </row>
    <row r="134" customFormat="false" ht="38.25" hidden="true" customHeight="true" outlineLevel="0" collapsed="false">
      <c r="A134" s="181" t="s">
        <v>615</v>
      </c>
      <c r="B134" s="182" t="n">
        <v>1006</v>
      </c>
      <c r="C134" s="183" t="n">
        <v>30204</v>
      </c>
      <c r="D134" s="181" t="s">
        <v>3325</v>
      </c>
      <c r="E134" s="181" t="s">
        <v>277</v>
      </c>
      <c r="F134" s="181" t="s">
        <v>278</v>
      </c>
      <c r="G134" s="181" t="s">
        <v>224</v>
      </c>
      <c r="H134" s="181" t="s">
        <v>607</v>
      </c>
      <c r="I134" s="181" t="s">
        <v>220</v>
      </c>
      <c r="J134" s="267"/>
      <c r="K134" s="269" t="n">
        <v>45886</v>
      </c>
      <c r="L134" s="267" t="n">
        <v>1.8</v>
      </c>
      <c r="M134" s="184" t="s">
        <v>224</v>
      </c>
      <c r="N134" s="184" t="n">
        <v>41020</v>
      </c>
      <c r="O134" s="184" t="n">
        <v>15090</v>
      </c>
      <c r="P134" s="185" t="n">
        <v>24</v>
      </c>
      <c r="Q134" s="184" t="n">
        <v>25930</v>
      </c>
      <c r="R134" s="184" t="n">
        <v>19706.8</v>
      </c>
      <c r="S134" s="186" t="s">
        <v>616</v>
      </c>
      <c r="T134" s="187" t="n">
        <v>45887</v>
      </c>
    </row>
    <row r="135" customFormat="false" ht="38.25" hidden="true" customHeight="true" outlineLevel="0" collapsed="false">
      <c r="A135" s="181" t="s">
        <v>617</v>
      </c>
      <c r="B135" s="182" t="n">
        <v>1008</v>
      </c>
      <c r="C135" s="183" t="n">
        <v>30206</v>
      </c>
      <c r="D135" s="181" t="s">
        <v>3325</v>
      </c>
      <c r="E135" s="181" t="s">
        <v>439</v>
      </c>
      <c r="F135" s="181" t="s">
        <v>440</v>
      </c>
      <c r="G135" s="181" t="s">
        <v>224</v>
      </c>
      <c r="H135" s="181" t="s">
        <v>607</v>
      </c>
      <c r="I135" s="181" t="s">
        <v>220</v>
      </c>
      <c r="J135" s="267"/>
      <c r="K135" s="269" t="n">
        <v>45886</v>
      </c>
      <c r="L135" s="267" t="n">
        <v>1.6</v>
      </c>
      <c r="M135" s="184" t="s">
        <v>224</v>
      </c>
      <c r="N135" s="184" t="n">
        <v>39670</v>
      </c>
      <c r="O135" s="184" t="n">
        <v>16400</v>
      </c>
      <c r="P135" s="185" t="n">
        <v>42</v>
      </c>
      <c r="Q135" s="184" t="n">
        <v>23270</v>
      </c>
      <c r="R135" s="184" t="n">
        <v>13496.6</v>
      </c>
      <c r="S135" s="186" t="s">
        <v>618</v>
      </c>
      <c r="T135" s="187" t="n">
        <v>45887</v>
      </c>
    </row>
    <row r="136" customFormat="false" ht="38.25" hidden="true" customHeight="true" outlineLevel="0" collapsed="false">
      <c r="A136" s="181" t="s">
        <v>611</v>
      </c>
      <c r="B136" s="182" t="n">
        <v>1001</v>
      </c>
      <c r="C136" s="183" t="n">
        <v>30200</v>
      </c>
      <c r="D136" s="181" t="s">
        <v>3325</v>
      </c>
      <c r="E136" s="181" t="s">
        <v>549</v>
      </c>
      <c r="F136" s="181" t="s">
        <v>550</v>
      </c>
      <c r="G136" s="181" t="s">
        <v>224</v>
      </c>
      <c r="H136" s="181" t="s">
        <v>607</v>
      </c>
      <c r="I136" s="181" t="s">
        <v>220</v>
      </c>
      <c r="J136" s="267"/>
      <c r="K136" s="269" t="n">
        <v>45886</v>
      </c>
      <c r="L136" s="267" t="n">
        <v>1.8</v>
      </c>
      <c r="M136" s="184" t="s">
        <v>224</v>
      </c>
      <c r="N136" s="184" t="n">
        <v>41280</v>
      </c>
      <c r="O136" s="184" t="n">
        <v>15930</v>
      </c>
      <c r="P136" s="185" t="n">
        <v>30</v>
      </c>
      <c r="Q136" s="184" t="n">
        <v>25350</v>
      </c>
      <c r="R136" s="184" t="n">
        <v>17745</v>
      </c>
      <c r="S136" s="186" t="s">
        <v>612</v>
      </c>
      <c r="T136" s="187" t="n">
        <v>45887</v>
      </c>
    </row>
    <row r="137" customFormat="false" ht="38.25" hidden="true" customHeight="true" outlineLevel="0" collapsed="false">
      <c r="A137" s="181" t="s">
        <v>619</v>
      </c>
      <c r="B137" s="182" t="n">
        <v>1009</v>
      </c>
      <c r="C137" s="183" t="n">
        <v>30208</v>
      </c>
      <c r="D137" s="181" t="s">
        <v>3325</v>
      </c>
      <c r="E137" s="181" t="s">
        <v>431</v>
      </c>
      <c r="F137" s="181" t="s">
        <v>432</v>
      </c>
      <c r="G137" s="181" t="s">
        <v>224</v>
      </c>
      <c r="H137" s="181" t="s">
        <v>607</v>
      </c>
      <c r="I137" s="181" t="s">
        <v>220</v>
      </c>
      <c r="J137" s="267"/>
      <c r="K137" s="269" t="n">
        <v>45886</v>
      </c>
      <c r="L137" s="267" t="n">
        <v>1.6</v>
      </c>
      <c r="M137" s="184" t="s">
        <v>224</v>
      </c>
      <c r="N137" s="184" t="n">
        <v>38520</v>
      </c>
      <c r="O137" s="184" t="n">
        <v>16630</v>
      </c>
      <c r="P137" s="185" t="n">
        <v>28</v>
      </c>
      <c r="Q137" s="184" t="n">
        <v>21890</v>
      </c>
      <c r="R137" s="184" t="n">
        <v>15760.8</v>
      </c>
      <c r="S137" s="186" t="s">
        <v>620</v>
      </c>
      <c r="T137" s="187" t="n">
        <v>45887</v>
      </c>
    </row>
    <row r="138" customFormat="false" ht="38.25" hidden="true" customHeight="true" outlineLevel="0" collapsed="false">
      <c r="A138" s="181" t="s">
        <v>621</v>
      </c>
      <c r="B138" s="182" t="n">
        <v>1011</v>
      </c>
      <c r="C138" s="183" t="n">
        <v>30198</v>
      </c>
      <c r="D138" s="181" t="s">
        <v>3325</v>
      </c>
      <c r="E138" s="181" t="s">
        <v>541</v>
      </c>
      <c r="F138" s="181" t="s">
        <v>542</v>
      </c>
      <c r="G138" s="181" t="s">
        <v>224</v>
      </c>
      <c r="H138" s="181" t="s">
        <v>607</v>
      </c>
      <c r="I138" s="181" t="s">
        <v>220</v>
      </c>
      <c r="J138" s="267"/>
      <c r="K138" s="269" t="n">
        <v>45887</v>
      </c>
      <c r="L138" s="267" t="n">
        <v>2</v>
      </c>
      <c r="M138" s="184" t="s">
        <v>224</v>
      </c>
      <c r="N138" s="184" t="n">
        <v>40460</v>
      </c>
      <c r="O138" s="184" t="n">
        <v>14970</v>
      </c>
      <c r="P138" s="185" t="n">
        <v>28</v>
      </c>
      <c r="Q138" s="184" t="n">
        <v>25490</v>
      </c>
      <c r="R138" s="184" t="n">
        <v>18352.8</v>
      </c>
      <c r="S138" s="186" t="s">
        <v>622</v>
      </c>
      <c r="T138" s="187" t="n">
        <v>45887</v>
      </c>
    </row>
    <row r="139" customFormat="false" ht="38.25" hidden="true" customHeight="true" outlineLevel="0" collapsed="false">
      <c r="A139" s="181" t="s">
        <v>623</v>
      </c>
      <c r="B139" s="182" t="n">
        <v>1012</v>
      </c>
      <c r="C139" s="183" t="n">
        <v>30210</v>
      </c>
      <c r="D139" s="181" t="s">
        <v>3325</v>
      </c>
      <c r="E139" s="181" t="s">
        <v>435</v>
      </c>
      <c r="F139" s="181" t="s">
        <v>436</v>
      </c>
      <c r="G139" s="181" t="s">
        <v>225</v>
      </c>
      <c r="H139" s="181" t="s">
        <v>586</v>
      </c>
      <c r="I139" s="181" t="s">
        <v>220</v>
      </c>
      <c r="J139" s="267"/>
      <c r="K139" s="269" t="n">
        <v>45887</v>
      </c>
      <c r="L139" s="267" t="n">
        <v>2</v>
      </c>
      <c r="M139" s="184" t="s">
        <v>225</v>
      </c>
      <c r="N139" s="184" t="n">
        <v>39420</v>
      </c>
      <c r="O139" s="184" t="n">
        <v>16570</v>
      </c>
      <c r="P139" s="185" t="n">
        <v>25</v>
      </c>
      <c r="Q139" s="184" t="n">
        <v>22850</v>
      </c>
      <c r="R139" s="184" t="n">
        <v>17137.5</v>
      </c>
      <c r="S139" s="186" t="s">
        <v>624</v>
      </c>
      <c r="T139" s="187" t="n">
        <v>45887</v>
      </c>
    </row>
    <row r="140" customFormat="false" ht="38.25" hidden="true" customHeight="true" outlineLevel="0" collapsed="false">
      <c r="A140" s="181" t="s">
        <v>625</v>
      </c>
      <c r="B140" s="182" t="n">
        <v>1013</v>
      </c>
      <c r="C140" s="183" t="n">
        <v>30212</v>
      </c>
      <c r="D140" s="181" t="s">
        <v>3325</v>
      </c>
      <c r="E140" s="181" t="s">
        <v>350</v>
      </c>
      <c r="F140" s="181" t="s">
        <v>351</v>
      </c>
      <c r="G140" s="181" t="s">
        <v>225</v>
      </c>
      <c r="H140" s="181" t="s">
        <v>626</v>
      </c>
      <c r="I140" s="181" t="s">
        <v>220</v>
      </c>
      <c r="J140" s="267"/>
      <c r="K140" s="269" t="n">
        <v>45887</v>
      </c>
      <c r="L140" s="267" t="n">
        <v>2</v>
      </c>
      <c r="M140" s="184" t="s">
        <v>225</v>
      </c>
      <c r="N140" s="184" t="n">
        <v>41950</v>
      </c>
      <c r="O140" s="184" t="n">
        <v>14980</v>
      </c>
      <c r="P140" s="185" t="n">
        <v>17</v>
      </c>
      <c r="Q140" s="184" t="n">
        <v>26970</v>
      </c>
      <c r="R140" s="184" t="n">
        <v>22385.1</v>
      </c>
      <c r="S140" s="186" t="s">
        <v>627</v>
      </c>
      <c r="T140" s="187" t="n">
        <v>45887</v>
      </c>
    </row>
    <row r="141" customFormat="false" ht="38.25" hidden="true" customHeight="true" outlineLevel="0" collapsed="false">
      <c r="A141" s="181" t="s">
        <v>628</v>
      </c>
      <c r="B141" s="182" t="n">
        <v>1016</v>
      </c>
      <c r="C141" s="183" t="n">
        <v>30220</v>
      </c>
      <c r="D141" s="181" t="s">
        <v>3325</v>
      </c>
      <c r="E141" s="181" t="s">
        <v>399</v>
      </c>
      <c r="F141" s="181" t="s">
        <v>400</v>
      </c>
      <c r="G141" s="181" t="s">
        <v>224</v>
      </c>
      <c r="H141" s="181" t="s">
        <v>626</v>
      </c>
      <c r="I141" s="181" t="s">
        <v>220</v>
      </c>
      <c r="J141" s="267"/>
      <c r="K141" s="269" t="n">
        <v>45887</v>
      </c>
      <c r="L141" s="267" t="n">
        <v>2</v>
      </c>
      <c r="M141" s="184" t="s">
        <v>224</v>
      </c>
      <c r="N141" s="184" t="n">
        <v>46680</v>
      </c>
      <c r="O141" s="184" t="n">
        <v>19370</v>
      </c>
      <c r="P141" s="185" t="n">
        <v>19</v>
      </c>
      <c r="Q141" s="184" t="n">
        <v>27310</v>
      </c>
      <c r="R141" s="184" t="n">
        <v>22121.1</v>
      </c>
      <c r="S141" s="186" t="s">
        <v>629</v>
      </c>
      <c r="T141" s="187" t="n">
        <v>45888</v>
      </c>
    </row>
    <row r="142" customFormat="false" ht="38.25" hidden="true" customHeight="true" outlineLevel="0" collapsed="false">
      <c r="A142" s="181" t="s">
        <v>630</v>
      </c>
      <c r="B142" s="182" t="n">
        <v>1017</v>
      </c>
      <c r="C142" s="183" t="n">
        <v>30222</v>
      </c>
      <c r="D142" s="181" t="s">
        <v>3325</v>
      </c>
      <c r="E142" s="181" t="s">
        <v>409</v>
      </c>
      <c r="F142" s="181" t="s">
        <v>410</v>
      </c>
      <c r="G142" s="181" t="s">
        <v>224</v>
      </c>
      <c r="H142" s="181" t="s">
        <v>626</v>
      </c>
      <c r="I142" s="181" t="s">
        <v>220</v>
      </c>
      <c r="J142" s="267"/>
      <c r="K142" s="269" t="n">
        <v>45887</v>
      </c>
      <c r="L142" s="267" t="n">
        <v>1.6</v>
      </c>
      <c r="M142" s="184" t="s">
        <v>224</v>
      </c>
      <c r="N142" s="184" t="n">
        <v>46150</v>
      </c>
      <c r="O142" s="184" t="n">
        <v>24180</v>
      </c>
      <c r="P142" s="185" t="n">
        <v>24</v>
      </c>
      <c r="Q142" s="184" t="n">
        <v>21970</v>
      </c>
      <c r="R142" s="184" t="n">
        <v>16697.2</v>
      </c>
      <c r="S142" s="186" t="s">
        <v>631</v>
      </c>
      <c r="T142" s="187" t="n">
        <v>45888</v>
      </c>
    </row>
    <row r="143" customFormat="false" ht="38.25" hidden="true" customHeight="true" outlineLevel="0" collapsed="false">
      <c r="A143" s="181" t="s">
        <v>632</v>
      </c>
      <c r="B143" s="182" t="n">
        <v>1018</v>
      </c>
      <c r="C143" s="183" t="n">
        <v>30224</v>
      </c>
      <c r="D143" s="181" t="s">
        <v>3325</v>
      </c>
      <c r="E143" s="181" t="s">
        <v>413</v>
      </c>
      <c r="F143" s="181" t="s">
        <v>414</v>
      </c>
      <c r="G143" s="181" t="s">
        <v>224</v>
      </c>
      <c r="H143" s="181" t="s">
        <v>626</v>
      </c>
      <c r="I143" s="181" t="s">
        <v>220</v>
      </c>
      <c r="J143" s="267"/>
      <c r="K143" s="269" t="n">
        <v>45887</v>
      </c>
      <c r="L143" s="267" t="n">
        <v>2</v>
      </c>
      <c r="M143" s="184" t="s">
        <v>224</v>
      </c>
      <c r="N143" s="184" t="n">
        <v>42960</v>
      </c>
      <c r="O143" s="184" t="n">
        <v>15580</v>
      </c>
      <c r="P143" s="185" t="n">
        <v>26</v>
      </c>
      <c r="Q143" s="184" t="n">
        <v>27380</v>
      </c>
      <c r="R143" s="184" t="n">
        <v>20261.2</v>
      </c>
      <c r="S143" s="186" t="s">
        <v>633</v>
      </c>
      <c r="T143" s="187" t="n">
        <v>45888</v>
      </c>
    </row>
    <row r="144" customFormat="false" ht="38.25" hidden="true" customHeight="true" outlineLevel="0" collapsed="false">
      <c r="A144" s="181" t="s">
        <v>634</v>
      </c>
      <c r="B144" s="182" t="n">
        <v>1019</v>
      </c>
      <c r="C144" s="183" t="n">
        <v>30216</v>
      </c>
      <c r="D144" s="181" t="s">
        <v>3325</v>
      </c>
      <c r="E144" s="181" t="s">
        <v>354</v>
      </c>
      <c r="F144" s="181" t="s">
        <v>355</v>
      </c>
      <c r="G144" s="181" t="s">
        <v>224</v>
      </c>
      <c r="H144" s="181" t="s">
        <v>626</v>
      </c>
      <c r="I144" s="181" t="s">
        <v>220</v>
      </c>
      <c r="J144" s="267"/>
      <c r="K144" s="269" t="n">
        <v>45887</v>
      </c>
      <c r="L144" s="267" t="n">
        <v>1.8</v>
      </c>
      <c r="M144" s="184" t="s">
        <v>224</v>
      </c>
      <c r="N144" s="184" t="n">
        <v>39190</v>
      </c>
      <c r="O144" s="184" t="n">
        <v>14720</v>
      </c>
      <c r="P144" s="185" t="n">
        <v>15</v>
      </c>
      <c r="Q144" s="184" t="n">
        <v>24470</v>
      </c>
      <c r="R144" s="184" t="n">
        <v>20799.5</v>
      </c>
      <c r="S144" s="186" t="s">
        <v>635</v>
      </c>
      <c r="T144" s="187" t="n">
        <v>45888</v>
      </c>
    </row>
    <row r="145" customFormat="false" ht="38.25" hidden="true" customHeight="true" outlineLevel="0" collapsed="false">
      <c r="A145" s="181" t="s">
        <v>636</v>
      </c>
      <c r="B145" s="182" t="n">
        <v>1020</v>
      </c>
      <c r="C145" s="183" t="n">
        <v>30214</v>
      </c>
      <c r="D145" s="181" t="s">
        <v>3325</v>
      </c>
      <c r="E145" s="181" t="s">
        <v>359</v>
      </c>
      <c r="F145" s="181" t="s">
        <v>360</v>
      </c>
      <c r="G145" s="181" t="s">
        <v>224</v>
      </c>
      <c r="H145" s="181" t="s">
        <v>626</v>
      </c>
      <c r="I145" s="181" t="s">
        <v>220</v>
      </c>
      <c r="J145" s="267"/>
      <c r="K145" s="269" t="n">
        <v>45887</v>
      </c>
      <c r="L145" s="267" t="n">
        <v>1.6</v>
      </c>
      <c r="M145" s="184" t="s">
        <v>224</v>
      </c>
      <c r="N145" s="184" t="n">
        <v>36580</v>
      </c>
      <c r="O145" s="184" t="n">
        <v>14790</v>
      </c>
      <c r="P145" s="185" t="n">
        <v>23</v>
      </c>
      <c r="Q145" s="184" t="n">
        <v>21790</v>
      </c>
      <c r="R145" s="184" t="n">
        <v>16778.3</v>
      </c>
      <c r="S145" s="186" t="s">
        <v>637</v>
      </c>
      <c r="T145" s="187" t="n">
        <v>45888</v>
      </c>
    </row>
    <row r="146" customFormat="false" ht="38.25" hidden="true" customHeight="true" outlineLevel="0" collapsed="false">
      <c r="A146" s="181" t="s">
        <v>638</v>
      </c>
      <c r="B146" s="182" t="n">
        <v>1023</v>
      </c>
      <c r="C146" s="183" t="n">
        <v>30218</v>
      </c>
      <c r="D146" s="181" t="s">
        <v>3325</v>
      </c>
      <c r="E146" s="181" t="s">
        <v>377</v>
      </c>
      <c r="F146" s="181" t="s">
        <v>378</v>
      </c>
      <c r="G146" s="181" t="s">
        <v>224</v>
      </c>
      <c r="H146" s="181" t="s">
        <v>626</v>
      </c>
      <c r="I146" s="181" t="s">
        <v>220</v>
      </c>
      <c r="J146" s="267"/>
      <c r="K146" s="269" t="n">
        <v>45887</v>
      </c>
      <c r="L146" s="267" t="n">
        <v>1.9</v>
      </c>
      <c r="M146" s="184" t="s">
        <v>224</v>
      </c>
      <c r="N146" s="184" t="n">
        <v>42140</v>
      </c>
      <c r="O146" s="184" t="n">
        <v>15570</v>
      </c>
      <c r="P146" s="185" t="n">
        <v>22</v>
      </c>
      <c r="Q146" s="184" t="n">
        <v>26570</v>
      </c>
      <c r="R146" s="184" t="n">
        <v>20724.6</v>
      </c>
      <c r="S146" s="186" t="s">
        <v>639</v>
      </c>
      <c r="T146" s="187" t="n">
        <v>45888</v>
      </c>
    </row>
    <row r="147" customFormat="false" ht="38.25" hidden="true" customHeight="true" outlineLevel="0" collapsed="false">
      <c r="A147" s="181" t="s">
        <v>640</v>
      </c>
      <c r="B147" s="182" t="n">
        <v>1028</v>
      </c>
      <c r="C147" s="183" t="n">
        <v>30238</v>
      </c>
      <c r="D147" s="181" t="s">
        <v>3325</v>
      </c>
      <c r="E147" s="181" t="s">
        <v>576</v>
      </c>
      <c r="F147" s="181" t="s">
        <v>577</v>
      </c>
      <c r="G147" s="181" t="s">
        <v>224</v>
      </c>
      <c r="H147" s="181" t="s">
        <v>626</v>
      </c>
      <c r="I147" s="181" t="s">
        <v>220</v>
      </c>
      <c r="J147" s="267"/>
      <c r="K147" s="269" t="n">
        <v>45887</v>
      </c>
      <c r="L147" s="267" t="n">
        <v>1.8</v>
      </c>
      <c r="M147" s="184" t="s">
        <v>224</v>
      </c>
      <c r="N147" s="184" t="n">
        <v>38420</v>
      </c>
      <c r="O147" s="184" t="n">
        <v>14410</v>
      </c>
      <c r="P147" s="185" t="n">
        <v>11</v>
      </c>
      <c r="Q147" s="184" t="n">
        <v>24010</v>
      </c>
      <c r="R147" s="184" t="n">
        <v>21368.9</v>
      </c>
      <c r="S147" s="186" t="s">
        <v>641</v>
      </c>
      <c r="T147" s="187" t="n">
        <v>45888</v>
      </c>
    </row>
    <row r="148" customFormat="false" ht="38.25" hidden="true" customHeight="true" outlineLevel="0" collapsed="false">
      <c r="A148" s="181" t="s">
        <v>644</v>
      </c>
      <c r="B148" s="182" t="n">
        <v>1030</v>
      </c>
      <c r="C148" s="183" t="n">
        <v>30228</v>
      </c>
      <c r="D148" s="181" t="s">
        <v>3325</v>
      </c>
      <c r="E148" s="181" t="s">
        <v>387</v>
      </c>
      <c r="F148" s="181" t="s">
        <v>388</v>
      </c>
      <c r="G148" s="181" t="s">
        <v>224</v>
      </c>
      <c r="H148" s="181" t="s">
        <v>626</v>
      </c>
      <c r="I148" s="181" t="s">
        <v>220</v>
      </c>
      <c r="J148" s="267"/>
      <c r="K148" s="269" t="n">
        <v>45887</v>
      </c>
      <c r="L148" s="267" t="n">
        <v>1.9</v>
      </c>
      <c r="M148" s="184" t="s">
        <v>224</v>
      </c>
      <c r="N148" s="184" t="n">
        <v>40310</v>
      </c>
      <c r="O148" s="184" t="n">
        <v>14970</v>
      </c>
      <c r="P148" s="185" t="n">
        <v>18</v>
      </c>
      <c r="Q148" s="184" t="n">
        <v>25340</v>
      </c>
      <c r="R148" s="184" t="n">
        <v>20778.8</v>
      </c>
      <c r="S148" s="186" t="s">
        <v>645</v>
      </c>
      <c r="T148" s="187" t="n">
        <v>45888</v>
      </c>
    </row>
    <row r="149" customFormat="false" ht="38.25" hidden="true" customHeight="true" outlineLevel="0" collapsed="false">
      <c r="A149" s="181" t="s">
        <v>642</v>
      </c>
      <c r="B149" s="182" t="n">
        <v>1029</v>
      </c>
      <c r="C149" s="183" t="n">
        <v>30226</v>
      </c>
      <c r="D149" s="181" t="s">
        <v>3325</v>
      </c>
      <c r="E149" s="181" t="s">
        <v>383</v>
      </c>
      <c r="F149" s="181" t="s">
        <v>384</v>
      </c>
      <c r="G149" s="181" t="s">
        <v>224</v>
      </c>
      <c r="H149" s="181" t="s">
        <v>626</v>
      </c>
      <c r="I149" s="181" t="s">
        <v>220</v>
      </c>
      <c r="J149" s="267"/>
      <c r="K149" s="269" t="n">
        <v>45887</v>
      </c>
      <c r="L149" s="267" t="n">
        <v>1.8</v>
      </c>
      <c r="M149" s="184" t="s">
        <v>224</v>
      </c>
      <c r="N149" s="184" t="n">
        <v>39390</v>
      </c>
      <c r="O149" s="184" t="n">
        <v>14830</v>
      </c>
      <c r="P149" s="185" t="n">
        <v>13</v>
      </c>
      <c r="Q149" s="184" t="n">
        <v>24560</v>
      </c>
      <c r="R149" s="184" t="n">
        <v>21367.2</v>
      </c>
      <c r="S149" s="186" t="s">
        <v>643</v>
      </c>
      <c r="T149" s="187" t="n">
        <v>45888</v>
      </c>
    </row>
    <row r="150" customFormat="false" ht="38.25" hidden="true" customHeight="true" outlineLevel="0" collapsed="false">
      <c r="A150" s="181" t="s">
        <v>646</v>
      </c>
      <c r="B150" s="182" t="n">
        <v>1031</v>
      </c>
      <c r="C150" s="183" t="n">
        <v>30232</v>
      </c>
      <c r="D150" s="181" t="s">
        <v>3325</v>
      </c>
      <c r="E150" s="181" t="s">
        <v>261</v>
      </c>
      <c r="F150" s="181" t="s">
        <v>262</v>
      </c>
      <c r="G150" s="181" t="s">
        <v>224</v>
      </c>
      <c r="H150" s="181" t="s">
        <v>626</v>
      </c>
      <c r="I150" s="181" t="s">
        <v>220</v>
      </c>
      <c r="J150" s="267"/>
      <c r="K150" s="269" t="n">
        <v>45887</v>
      </c>
      <c r="L150" s="267" t="n">
        <v>1.6</v>
      </c>
      <c r="M150" s="184" t="s">
        <v>224</v>
      </c>
      <c r="N150" s="184" t="n">
        <v>38060</v>
      </c>
      <c r="O150" s="184" t="n">
        <v>15060</v>
      </c>
      <c r="P150" s="185" t="n">
        <v>18</v>
      </c>
      <c r="Q150" s="184" t="n">
        <v>23000</v>
      </c>
      <c r="R150" s="184" t="n">
        <v>18860</v>
      </c>
      <c r="S150" s="186" t="s">
        <v>647</v>
      </c>
      <c r="T150" s="187" t="n">
        <v>45888</v>
      </c>
    </row>
    <row r="151" customFormat="false" ht="38.25" hidden="true" customHeight="true" outlineLevel="0" collapsed="false">
      <c r="A151" s="181" t="s">
        <v>648</v>
      </c>
      <c r="B151" s="182" t="n">
        <v>1032</v>
      </c>
      <c r="C151" s="183" t="n">
        <v>30230</v>
      </c>
      <c r="D151" s="181" t="s">
        <v>3325</v>
      </c>
      <c r="E151" s="181" t="s">
        <v>266</v>
      </c>
      <c r="F151" s="181" t="s">
        <v>267</v>
      </c>
      <c r="G151" s="181" t="s">
        <v>225</v>
      </c>
      <c r="H151" s="181" t="s">
        <v>586</v>
      </c>
      <c r="I151" s="181" t="s">
        <v>220</v>
      </c>
      <c r="J151" s="267"/>
      <c r="K151" s="187" t="n">
        <v>45888</v>
      </c>
      <c r="L151" s="267" t="n">
        <v>1.7</v>
      </c>
      <c r="M151" s="184" t="s">
        <v>225</v>
      </c>
      <c r="N151" s="184" t="n">
        <v>38010</v>
      </c>
      <c r="O151" s="184" t="n">
        <v>14900</v>
      </c>
      <c r="P151" s="185" t="n">
        <v>13</v>
      </c>
      <c r="Q151" s="184" t="n">
        <v>23110</v>
      </c>
      <c r="R151" s="184" t="n">
        <v>20105.7</v>
      </c>
      <c r="S151" s="186" t="s">
        <v>649</v>
      </c>
      <c r="T151" s="187" t="n">
        <v>45888</v>
      </c>
    </row>
    <row r="152" customFormat="false" ht="38.25" hidden="true" customHeight="true" outlineLevel="0" collapsed="false">
      <c r="A152" s="181" t="s">
        <v>650</v>
      </c>
      <c r="B152" s="182" t="n">
        <v>1033</v>
      </c>
      <c r="C152" s="183" t="n">
        <v>30234</v>
      </c>
      <c r="D152" s="181" t="s">
        <v>3325</v>
      </c>
      <c r="E152" s="181" t="s">
        <v>272</v>
      </c>
      <c r="F152" s="181" t="s">
        <v>273</v>
      </c>
      <c r="G152" s="181" t="s">
        <v>225</v>
      </c>
      <c r="H152" s="181" t="s">
        <v>586</v>
      </c>
      <c r="I152" s="181" t="s">
        <v>220</v>
      </c>
      <c r="J152" s="267"/>
      <c r="K152" s="187" t="n">
        <v>45888</v>
      </c>
      <c r="L152" s="267" t="n">
        <v>1.6</v>
      </c>
      <c r="M152" s="184" t="s">
        <v>225</v>
      </c>
      <c r="N152" s="184" t="n">
        <v>37880</v>
      </c>
      <c r="O152" s="184" t="n">
        <v>15550</v>
      </c>
      <c r="P152" s="185" t="n">
        <v>11</v>
      </c>
      <c r="Q152" s="184" t="n">
        <v>22330</v>
      </c>
      <c r="R152" s="184" t="n">
        <v>19873.7</v>
      </c>
      <c r="S152" s="186" t="s">
        <v>651</v>
      </c>
      <c r="T152" s="187" t="n">
        <v>45888</v>
      </c>
    </row>
    <row r="153" customFormat="false" ht="38.25" hidden="true" customHeight="true" outlineLevel="0" collapsed="false">
      <c r="A153" s="181" t="s">
        <v>652</v>
      </c>
      <c r="B153" s="182" t="n">
        <v>1034</v>
      </c>
      <c r="C153" s="183" t="n">
        <v>30240</v>
      </c>
      <c r="D153" s="181" t="s">
        <v>3325</v>
      </c>
      <c r="E153" s="181" t="s">
        <v>582</v>
      </c>
      <c r="F153" s="181" t="s">
        <v>583</v>
      </c>
      <c r="G153" s="181" t="s">
        <v>225</v>
      </c>
      <c r="H153" s="181" t="s">
        <v>586</v>
      </c>
      <c r="I153" s="181" t="s">
        <v>220</v>
      </c>
      <c r="J153" s="267"/>
      <c r="K153" s="187" t="n">
        <v>45888</v>
      </c>
      <c r="L153" s="267" t="n">
        <v>1.7</v>
      </c>
      <c r="M153" s="184" t="s">
        <v>225</v>
      </c>
      <c r="N153" s="184" t="n">
        <v>38060</v>
      </c>
      <c r="O153" s="184" t="n">
        <v>14680</v>
      </c>
      <c r="P153" s="185" t="n">
        <v>4</v>
      </c>
      <c r="Q153" s="184" t="n">
        <v>23380</v>
      </c>
      <c r="R153" s="184" t="n">
        <v>22444.8</v>
      </c>
      <c r="S153" s="186" t="s">
        <v>653</v>
      </c>
      <c r="T153" s="187" t="n">
        <v>45888</v>
      </c>
    </row>
    <row r="154" customFormat="false" ht="38.25" hidden="true" customHeight="true" outlineLevel="0" collapsed="false">
      <c r="A154" s="181" t="s">
        <v>654</v>
      </c>
      <c r="B154" s="182" t="n">
        <v>1035</v>
      </c>
      <c r="C154" s="183" t="n">
        <v>30252</v>
      </c>
      <c r="D154" s="181" t="s">
        <v>3325</v>
      </c>
      <c r="E154" s="181" t="s">
        <v>336</v>
      </c>
      <c r="F154" s="181" t="s">
        <v>337</v>
      </c>
      <c r="G154" s="181" t="s">
        <v>225</v>
      </c>
      <c r="H154" s="181" t="s">
        <v>586</v>
      </c>
      <c r="I154" s="181" t="s">
        <v>220</v>
      </c>
      <c r="J154" s="267"/>
      <c r="K154" s="187" t="n">
        <v>45888</v>
      </c>
      <c r="L154" s="267" t="n">
        <v>1.6</v>
      </c>
      <c r="M154" s="184" t="s">
        <v>225</v>
      </c>
      <c r="N154" s="184" t="n">
        <v>37270</v>
      </c>
      <c r="O154" s="184" t="n">
        <v>14440</v>
      </c>
      <c r="P154" s="185" t="n">
        <v>28</v>
      </c>
      <c r="Q154" s="184" t="n">
        <v>22830</v>
      </c>
      <c r="R154" s="184" t="n">
        <v>16437.6</v>
      </c>
      <c r="S154" s="186" t="s">
        <v>655</v>
      </c>
      <c r="T154" s="187" t="n">
        <v>45888</v>
      </c>
    </row>
    <row r="155" customFormat="false" ht="38.25" hidden="true" customHeight="true" outlineLevel="0" collapsed="false">
      <c r="A155" s="181" t="s">
        <v>656</v>
      </c>
      <c r="B155" s="182" t="n">
        <v>1036</v>
      </c>
      <c r="C155" s="183" t="n">
        <v>30254</v>
      </c>
      <c r="D155" s="181" t="s">
        <v>3325</v>
      </c>
      <c r="E155" s="181" t="s">
        <v>340</v>
      </c>
      <c r="F155" s="181" t="s">
        <v>341</v>
      </c>
      <c r="G155" s="181" t="s">
        <v>225</v>
      </c>
      <c r="H155" s="181" t="s">
        <v>586</v>
      </c>
      <c r="I155" s="181" t="s">
        <v>220</v>
      </c>
      <c r="J155" s="267"/>
      <c r="K155" s="187" t="n">
        <v>45888</v>
      </c>
      <c r="L155" s="267" t="n">
        <v>1.7</v>
      </c>
      <c r="M155" s="184" t="s">
        <v>225</v>
      </c>
      <c r="N155" s="184" t="n">
        <v>38360</v>
      </c>
      <c r="O155" s="184" t="n">
        <v>15030</v>
      </c>
      <c r="P155" s="185" t="n">
        <v>24</v>
      </c>
      <c r="Q155" s="184" t="n">
        <v>23330</v>
      </c>
      <c r="R155" s="184" t="n">
        <v>17730.8</v>
      </c>
      <c r="S155" s="186" t="s">
        <v>657</v>
      </c>
      <c r="T155" s="187" t="n">
        <v>45888</v>
      </c>
    </row>
    <row r="156" customFormat="false" ht="38.25" hidden="true" customHeight="true" outlineLevel="0" collapsed="false">
      <c r="A156" s="181" t="s">
        <v>658</v>
      </c>
      <c r="B156" s="182" t="n">
        <v>1037</v>
      </c>
      <c r="C156" s="183" t="n">
        <v>30268</v>
      </c>
      <c r="D156" s="181" t="s">
        <v>3325</v>
      </c>
      <c r="E156" s="181" t="s">
        <v>549</v>
      </c>
      <c r="F156" s="181" t="s">
        <v>550</v>
      </c>
      <c r="G156" s="181" t="s">
        <v>225</v>
      </c>
      <c r="H156" s="181" t="s">
        <v>586</v>
      </c>
      <c r="I156" s="181" t="s">
        <v>220</v>
      </c>
      <c r="J156" s="267"/>
      <c r="K156" s="187" t="n">
        <v>45888</v>
      </c>
      <c r="L156" s="267" t="n">
        <v>1.9</v>
      </c>
      <c r="M156" s="184" t="s">
        <v>225</v>
      </c>
      <c r="N156" s="184" t="n">
        <v>42150</v>
      </c>
      <c r="O156" s="184" t="n">
        <v>15710</v>
      </c>
      <c r="P156" s="185" t="n">
        <v>18</v>
      </c>
      <c r="Q156" s="184" t="n">
        <v>26440</v>
      </c>
      <c r="R156" s="184" t="n">
        <v>21680.8</v>
      </c>
      <c r="S156" s="186" t="s">
        <v>659</v>
      </c>
      <c r="T156" s="187" t="n">
        <v>45888</v>
      </c>
    </row>
    <row r="157" customFormat="false" ht="38.25" hidden="true" customHeight="true" outlineLevel="0" collapsed="false">
      <c r="A157" s="181" t="s">
        <v>660</v>
      </c>
      <c r="B157" s="182" t="n">
        <v>1038</v>
      </c>
      <c r="C157" s="183" t="n">
        <v>30288</v>
      </c>
      <c r="D157" s="181" t="s">
        <v>3325</v>
      </c>
      <c r="E157" s="181" t="s">
        <v>545</v>
      </c>
      <c r="F157" s="181" t="s">
        <v>546</v>
      </c>
      <c r="G157" s="181" t="s">
        <v>225</v>
      </c>
      <c r="H157" s="181" t="s">
        <v>586</v>
      </c>
      <c r="I157" s="181" t="s">
        <v>220</v>
      </c>
      <c r="J157" s="267"/>
      <c r="K157" s="187" t="n">
        <v>45888</v>
      </c>
      <c r="L157" s="267" t="n">
        <v>1.9</v>
      </c>
      <c r="M157" s="184" t="s">
        <v>225</v>
      </c>
      <c r="N157" s="184" t="n">
        <v>42350</v>
      </c>
      <c r="O157" s="184" t="n">
        <v>16110</v>
      </c>
      <c r="P157" s="185" t="n">
        <v>21</v>
      </c>
      <c r="Q157" s="184" t="n">
        <v>26240</v>
      </c>
      <c r="R157" s="184" t="n">
        <v>20729.6</v>
      </c>
      <c r="S157" s="186" t="s">
        <v>661</v>
      </c>
      <c r="T157" s="187" t="n">
        <v>45888</v>
      </c>
    </row>
    <row r="158" customFormat="false" ht="38.25" hidden="true" customHeight="true" outlineLevel="0" collapsed="false">
      <c r="A158" s="181" t="s">
        <v>662</v>
      </c>
      <c r="B158" s="182" t="n">
        <v>1039</v>
      </c>
      <c r="C158" s="183" t="n">
        <v>30290</v>
      </c>
      <c r="D158" s="181" t="s">
        <v>3325</v>
      </c>
      <c r="E158" s="181" t="s">
        <v>533</v>
      </c>
      <c r="F158" s="181" t="s">
        <v>534</v>
      </c>
      <c r="G158" s="181" t="s">
        <v>225</v>
      </c>
      <c r="H158" s="181" t="s">
        <v>586</v>
      </c>
      <c r="I158" s="181" t="s">
        <v>220</v>
      </c>
      <c r="J158" s="267"/>
      <c r="K158" s="187" t="n">
        <v>45888</v>
      </c>
      <c r="L158" s="267" t="n">
        <v>1.8</v>
      </c>
      <c r="M158" s="184" t="s">
        <v>225</v>
      </c>
      <c r="N158" s="184" t="n">
        <v>39940</v>
      </c>
      <c r="O158" s="184" t="n">
        <v>14660</v>
      </c>
      <c r="P158" s="185" t="n">
        <v>32</v>
      </c>
      <c r="Q158" s="184" t="n">
        <v>25280</v>
      </c>
      <c r="R158" s="184" t="n">
        <v>17190.4</v>
      </c>
      <c r="S158" s="186" t="s">
        <v>663</v>
      </c>
      <c r="T158" s="187" t="n">
        <v>45888</v>
      </c>
    </row>
    <row r="159" customFormat="false" ht="38.25" hidden="true" customHeight="true" outlineLevel="0" collapsed="false">
      <c r="A159" s="181" t="s">
        <v>664</v>
      </c>
      <c r="B159" s="182" t="n">
        <v>1040</v>
      </c>
      <c r="C159" s="183" t="n">
        <v>30293</v>
      </c>
      <c r="D159" s="181" t="s">
        <v>3325</v>
      </c>
      <c r="E159" s="181" t="s">
        <v>541</v>
      </c>
      <c r="F159" s="181" t="s">
        <v>542</v>
      </c>
      <c r="G159" s="181" t="s">
        <v>225</v>
      </c>
      <c r="H159" s="181" t="s">
        <v>586</v>
      </c>
      <c r="I159" s="181" t="s">
        <v>220</v>
      </c>
      <c r="J159" s="267"/>
      <c r="K159" s="187" t="n">
        <v>45888</v>
      </c>
      <c r="L159" s="267" t="n">
        <v>1.8</v>
      </c>
      <c r="M159" s="184" t="s">
        <v>225</v>
      </c>
      <c r="N159" s="184" t="n">
        <v>40180</v>
      </c>
      <c r="O159" s="184" t="n">
        <v>14980</v>
      </c>
      <c r="P159" s="185" t="n">
        <v>31</v>
      </c>
      <c r="Q159" s="184" t="n">
        <v>25200</v>
      </c>
      <c r="R159" s="184" t="n">
        <v>17388</v>
      </c>
      <c r="S159" s="186" t="s">
        <v>665</v>
      </c>
      <c r="T159" s="187" t="n">
        <v>45888</v>
      </c>
    </row>
    <row r="160" customFormat="false" ht="38.25" hidden="true" customHeight="true" outlineLevel="0" collapsed="false">
      <c r="A160" s="181" t="s">
        <v>666</v>
      </c>
      <c r="B160" s="182" t="n">
        <v>1041</v>
      </c>
      <c r="C160" s="183" t="n">
        <v>30300</v>
      </c>
      <c r="D160" s="181" t="s">
        <v>3325</v>
      </c>
      <c r="E160" s="181" t="s">
        <v>435</v>
      </c>
      <c r="F160" s="181" t="s">
        <v>436</v>
      </c>
      <c r="G160" s="181" t="s">
        <v>225</v>
      </c>
      <c r="H160" s="181" t="s">
        <v>586</v>
      </c>
      <c r="I160" s="181" t="s">
        <v>220</v>
      </c>
      <c r="J160" s="267"/>
      <c r="K160" s="187" t="n">
        <v>45888</v>
      </c>
      <c r="L160" s="267" t="n">
        <v>1.6</v>
      </c>
      <c r="M160" s="184" t="s">
        <v>225</v>
      </c>
      <c r="N160" s="184" t="n">
        <v>38660</v>
      </c>
      <c r="O160" s="184" t="n">
        <v>16320</v>
      </c>
      <c r="P160" s="185" t="n">
        <v>15</v>
      </c>
      <c r="Q160" s="184" t="n">
        <v>22340</v>
      </c>
      <c r="R160" s="184" t="n">
        <v>18989</v>
      </c>
      <c r="S160" s="186" t="s">
        <v>667</v>
      </c>
      <c r="T160" s="187" t="n">
        <v>45889</v>
      </c>
    </row>
    <row r="161" customFormat="false" ht="38.25" hidden="true" customHeight="true" outlineLevel="0" collapsed="false">
      <c r="A161" s="181" t="s">
        <v>668</v>
      </c>
      <c r="B161" s="182" t="n">
        <v>1042</v>
      </c>
      <c r="C161" s="183" t="n">
        <v>30302</v>
      </c>
      <c r="D161" s="181" t="s">
        <v>3325</v>
      </c>
      <c r="E161" s="181" t="s">
        <v>431</v>
      </c>
      <c r="F161" s="181" t="s">
        <v>432</v>
      </c>
      <c r="G161" s="181" t="s">
        <v>225</v>
      </c>
      <c r="H161" s="181" t="s">
        <v>586</v>
      </c>
      <c r="I161" s="181" t="s">
        <v>220</v>
      </c>
      <c r="J161" s="267"/>
      <c r="K161" s="187" t="n">
        <v>45888</v>
      </c>
      <c r="L161" s="267" t="n">
        <v>1.6</v>
      </c>
      <c r="M161" s="184" t="s">
        <v>225</v>
      </c>
      <c r="N161" s="184" t="n">
        <v>39010</v>
      </c>
      <c r="O161" s="184" t="n">
        <v>16650</v>
      </c>
      <c r="P161" s="185" t="n">
        <v>22</v>
      </c>
      <c r="Q161" s="184" t="n">
        <v>22360</v>
      </c>
      <c r="R161" s="184" t="n">
        <v>17440.8</v>
      </c>
      <c r="S161" s="186" t="s">
        <v>669</v>
      </c>
      <c r="T161" s="187" t="n">
        <v>45889</v>
      </c>
    </row>
    <row r="162" customFormat="false" ht="38.25" hidden="true" customHeight="true" outlineLevel="0" collapsed="false">
      <c r="A162" s="181" t="s">
        <v>670</v>
      </c>
      <c r="B162" s="182" t="n">
        <v>1043</v>
      </c>
      <c r="C162" s="183" t="n">
        <v>30304</v>
      </c>
      <c r="D162" s="181" t="s">
        <v>3325</v>
      </c>
      <c r="E162" s="181" t="s">
        <v>439</v>
      </c>
      <c r="F162" s="181" t="s">
        <v>440</v>
      </c>
      <c r="G162" s="181" t="s">
        <v>225</v>
      </c>
      <c r="H162" s="181" t="s">
        <v>586</v>
      </c>
      <c r="I162" s="181" t="s">
        <v>220</v>
      </c>
      <c r="J162" s="267"/>
      <c r="K162" s="187" t="n">
        <v>45888</v>
      </c>
      <c r="L162" s="267" t="n">
        <v>1.6</v>
      </c>
      <c r="M162" s="184" t="s">
        <v>225</v>
      </c>
      <c r="N162" s="184" t="n">
        <v>38980</v>
      </c>
      <c r="O162" s="184" t="n">
        <v>16370</v>
      </c>
      <c r="P162" s="185" t="n">
        <v>18</v>
      </c>
      <c r="Q162" s="184" t="n">
        <v>22610</v>
      </c>
      <c r="R162" s="184" t="n">
        <v>18540.2</v>
      </c>
      <c r="S162" s="186" t="s">
        <v>671</v>
      </c>
      <c r="T162" s="187" t="n">
        <v>45889</v>
      </c>
    </row>
    <row r="163" customFormat="false" ht="38.25" hidden="true" customHeight="true" outlineLevel="0" collapsed="false">
      <c r="A163" s="181" t="s">
        <v>672</v>
      </c>
      <c r="B163" s="182" t="n">
        <v>1044</v>
      </c>
      <c r="C163" s="183" t="n">
        <v>30306</v>
      </c>
      <c r="D163" s="181" t="s">
        <v>3325</v>
      </c>
      <c r="E163" s="181" t="s">
        <v>537</v>
      </c>
      <c r="F163" s="181" t="s">
        <v>538</v>
      </c>
      <c r="G163" s="181" t="s">
        <v>225</v>
      </c>
      <c r="H163" s="181" t="s">
        <v>586</v>
      </c>
      <c r="I163" s="181" t="s">
        <v>220</v>
      </c>
      <c r="J163" s="267"/>
      <c r="K163" s="187" t="n">
        <v>45888</v>
      </c>
      <c r="L163" s="267" t="n">
        <v>1.6</v>
      </c>
      <c r="M163" s="184" t="s">
        <v>225</v>
      </c>
      <c r="N163" s="184" t="n">
        <v>35740</v>
      </c>
      <c r="O163" s="184" t="n">
        <v>14020</v>
      </c>
      <c r="P163" s="185" t="n">
        <v>26</v>
      </c>
      <c r="Q163" s="184" t="n">
        <v>21720</v>
      </c>
      <c r="R163" s="184" t="n">
        <v>16072.8</v>
      </c>
      <c r="S163" s="186" t="s">
        <v>673</v>
      </c>
      <c r="T163" s="187" t="n">
        <v>45889</v>
      </c>
    </row>
    <row r="164" customFormat="false" ht="38.25" hidden="true" customHeight="true" outlineLevel="0" collapsed="false">
      <c r="A164" s="181" t="s">
        <v>674</v>
      </c>
      <c r="B164" s="182" t="n">
        <v>1045</v>
      </c>
      <c r="C164" s="183" t="n">
        <v>30314</v>
      </c>
      <c r="D164" s="181" t="s">
        <v>3325</v>
      </c>
      <c r="E164" s="181" t="s">
        <v>282</v>
      </c>
      <c r="F164" s="181" t="s">
        <v>283</v>
      </c>
      <c r="G164" s="181" t="s">
        <v>225</v>
      </c>
      <c r="H164" s="181" t="s">
        <v>586</v>
      </c>
      <c r="I164" s="181" t="s">
        <v>220</v>
      </c>
      <c r="J164" s="267"/>
      <c r="K164" s="187" t="n">
        <v>45888</v>
      </c>
      <c r="L164" s="267" t="n">
        <v>1.6</v>
      </c>
      <c r="M164" s="184" t="s">
        <v>225</v>
      </c>
      <c r="N164" s="184" t="n">
        <v>37570</v>
      </c>
      <c r="O164" s="184" t="n">
        <v>15030</v>
      </c>
      <c r="P164" s="185" t="n">
        <v>18</v>
      </c>
      <c r="Q164" s="184" t="n">
        <v>22540</v>
      </c>
      <c r="R164" s="184" t="n">
        <v>18482.8</v>
      </c>
      <c r="S164" s="186" t="s">
        <v>675</v>
      </c>
      <c r="T164" s="187" t="n">
        <v>45889</v>
      </c>
    </row>
    <row r="165" customFormat="false" ht="38.25" hidden="true" customHeight="true" outlineLevel="0" collapsed="false">
      <c r="A165" s="181" t="s">
        <v>676</v>
      </c>
      <c r="B165" s="182" t="n">
        <v>1046</v>
      </c>
      <c r="C165" s="183" t="n">
        <v>30320</v>
      </c>
      <c r="D165" s="181" t="s">
        <v>3325</v>
      </c>
      <c r="E165" s="181" t="s">
        <v>292</v>
      </c>
      <c r="F165" s="181" t="s">
        <v>293</v>
      </c>
      <c r="G165" s="181" t="s">
        <v>225</v>
      </c>
      <c r="H165" s="181" t="s">
        <v>586</v>
      </c>
      <c r="I165" s="181" t="s">
        <v>220</v>
      </c>
      <c r="J165" s="267"/>
      <c r="K165" s="187" t="n">
        <v>45888</v>
      </c>
      <c r="L165" s="267" t="n">
        <v>1.6</v>
      </c>
      <c r="M165" s="184" t="s">
        <v>225</v>
      </c>
      <c r="N165" s="184" t="n">
        <v>35480</v>
      </c>
      <c r="O165" s="184" t="n">
        <v>13900</v>
      </c>
      <c r="P165" s="185" t="n">
        <v>30</v>
      </c>
      <c r="Q165" s="184" t="n">
        <v>21580</v>
      </c>
      <c r="R165" s="184" t="n">
        <v>15106</v>
      </c>
      <c r="S165" s="186" t="s">
        <v>677</v>
      </c>
      <c r="T165" s="187" t="n">
        <v>45889</v>
      </c>
    </row>
    <row r="166" customFormat="false" ht="38.25" hidden="true" customHeight="true" outlineLevel="0" collapsed="false">
      <c r="A166" s="181" t="s">
        <v>678</v>
      </c>
      <c r="B166" s="182" t="n">
        <v>1047</v>
      </c>
      <c r="C166" s="183" t="n">
        <v>30322</v>
      </c>
      <c r="D166" s="181" t="s">
        <v>3325</v>
      </c>
      <c r="E166" s="181" t="s">
        <v>332</v>
      </c>
      <c r="F166" s="181" t="s">
        <v>333</v>
      </c>
      <c r="G166" s="181" t="s">
        <v>225</v>
      </c>
      <c r="H166" s="181" t="s">
        <v>586</v>
      </c>
      <c r="I166" s="181" t="s">
        <v>220</v>
      </c>
      <c r="J166" s="267"/>
      <c r="K166" s="187" t="n">
        <v>45888</v>
      </c>
      <c r="L166" s="267" t="n">
        <v>1.7</v>
      </c>
      <c r="M166" s="184" t="s">
        <v>225</v>
      </c>
      <c r="N166" s="184" t="n">
        <v>37680</v>
      </c>
      <c r="O166" s="184" t="n">
        <v>14670</v>
      </c>
      <c r="P166" s="185" t="n">
        <v>27</v>
      </c>
      <c r="Q166" s="184" t="n">
        <v>23010</v>
      </c>
      <c r="R166" s="184" t="n">
        <v>16797.3</v>
      </c>
      <c r="S166" s="186" t="s">
        <v>679</v>
      </c>
      <c r="T166" s="187" t="n">
        <v>45889</v>
      </c>
    </row>
    <row r="167" customFormat="false" ht="38.25" hidden="true" customHeight="true" outlineLevel="0" collapsed="false">
      <c r="A167" s="181" t="s">
        <v>680</v>
      </c>
      <c r="B167" s="182" t="n">
        <v>1048</v>
      </c>
      <c r="C167" s="183" t="n">
        <v>30324</v>
      </c>
      <c r="D167" s="181" t="s">
        <v>3325</v>
      </c>
      <c r="E167" s="181" t="s">
        <v>277</v>
      </c>
      <c r="F167" s="181" t="s">
        <v>278</v>
      </c>
      <c r="G167" s="181" t="s">
        <v>225</v>
      </c>
      <c r="H167" s="181" t="s">
        <v>586</v>
      </c>
      <c r="I167" s="181" t="s">
        <v>220</v>
      </c>
      <c r="J167" s="267"/>
      <c r="K167" s="187" t="n">
        <v>45888</v>
      </c>
      <c r="L167" s="267" t="n">
        <v>1.7</v>
      </c>
      <c r="M167" s="184" t="s">
        <v>225</v>
      </c>
      <c r="N167" s="184" t="n">
        <v>39070</v>
      </c>
      <c r="O167" s="184" t="n">
        <v>15060</v>
      </c>
      <c r="P167" s="185" t="n">
        <v>23</v>
      </c>
      <c r="Q167" s="184" t="n">
        <v>24010</v>
      </c>
      <c r="R167" s="184" t="n">
        <v>18487.7</v>
      </c>
      <c r="S167" s="186" t="s">
        <v>681</v>
      </c>
      <c r="T167" s="187" t="n">
        <v>45889</v>
      </c>
    </row>
    <row r="168" customFormat="false" ht="38.25" hidden="true" customHeight="true" outlineLevel="0" collapsed="false">
      <c r="A168" s="181" t="s">
        <v>682</v>
      </c>
      <c r="B168" s="182" t="n">
        <v>1049</v>
      </c>
      <c r="C168" s="183" t="n">
        <v>30334</v>
      </c>
      <c r="D168" s="181" t="s">
        <v>3325</v>
      </c>
      <c r="E168" s="181" t="s">
        <v>529</v>
      </c>
      <c r="F168" s="181" t="s">
        <v>530</v>
      </c>
      <c r="G168" s="181" t="s">
        <v>225</v>
      </c>
      <c r="H168" s="181" t="s">
        <v>586</v>
      </c>
      <c r="I168" s="181" t="s">
        <v>220</v>
      </c>
      <c r="J168" s="267"/>
      <c r="K168" s="187" t="n">
        <v>45888</v>
      </c>
      <c r="L168" s="267" t="n">
        <v>1.5</v>
      </c>
      <c r="M168" s="184" t="s">
        <v>225</v>
      </c>
      <c r="N168" s="184" t="n">
        <v>35760</v>
      </c>
      <c r="O168" s="184" t="n">
        <v>14840</v>
      </c>
      <c r="P168" s="185" t="n">
        <v>18</v>
      </c>
      <c r="Q168" s="184" t="n">
        <v>20920</v>
      </c>
      <c r="R168" s="184" t="n">
        <v>17154.4</v>
      </c>
      <c r="S168" s="186" t="s">
        <v>683</v>
      </c>
      <c r="T168" s="187" t="n">
        <v>45889</v>
      </c>
    </row>
    <row r="169" customFormat="false" ht="38.25" hidden="true" customHeight="true" outlineLevel="0" collapsed="false">
      <c r="A169" s="181" t="s">
        <v>684</v>
      </c>
      <c r="B169" s="182" t="n">
        <v>1050</v>
      </c>
      <c r="C169" s="183" t="n">
        <v>30336</v>
      </c>
      <c r="D169" s="181" t="s">
        <v>3325</v>
      </c>
      <c r="E169" s="181" t="s">
        <v>391</v>
      </c>
      <c r="F169" s="181" t="s">
        <v>392</v>
      </c>
      <c r="G169" s="181" t="s">
        <v>225</v>
      </c>
      <c r="H169" s="181" t="s">
        <v>586</v>
      </c>
      <c r="I169" s="181" t="s">
        <v>220</v>
      </c>
      <c r="J169" s="267"/>
      <c r="K169" s="187" t="n">
        <v>45888</v>
      </c>
      <c r="L169" s="267" t="n">
        <v>1.5</v>
      </c>
      <c r="M169" s="184" t="s">
        <v>225</v>
      </c>
      <c r="N169" s="184" t="n">
        <v>35020</v>
      </c>
      <c r="O169" s="184" t="n">
        <v>14490</v>
      </c>
      <c r="P169" s="185" t="n">
        <v>32</v>
      </c>
      <c r="Q169" s="184" t="n">
        <v>20530</v>
      </c>
      <c r="R169" s="184" t="n">
        <v>13960.4</v>
      </c>
      <c r="S169" s="186" t="s">
        <v>685</v>
      </c>
      <c r="T169" s="187" t="n">
        <v>45889</v>
      </c>
    </row>
    <row r="170" customFormat="false" ht="38.25" hidden="true" customHeight="true" outlineLevel="0" collapsed="false">
      <c r="A170" s="181" t="s">
        <v>686</v>
      </c>
      <c r="B170" s="182" t="n">
        <v>1051</v>
      </c>
      <c r="C170" s="183" t="n">
        <v>30342</v>
      </c>
      <c r="D170" s="181" t="s">
        <v>3325</v>
      </c>
      <c r="E170" s="181" t="s">
        <v>373</v>
      </c>
      <c r="F170" s="181" t="s">
        <v>374</v>
      </c>
      <c r="G170" s="181" t="s">
        <v>225</v>
      </c>
      <c r="H170" s="181" t="s">
        <v>586</v>
      </c>
      <c r="I170" s="181" t="s">
        <v>220</v>
      </c>
      <c r="J170" s="267"/>
      <c r="K170" s="187" t="n">
        <v>45888</v>
      </c>
      <c r="L170" s="267" t="n">
        <v>1.5</v>
      </c>
      <c r="M170" s="184" t="s">
        <v>225</v>
      </c>
      <c r="N170" s="184" t="n">
        <v>35250</v>
      </c>
      <c r="O170" s="184" t="n">
        <v>14220</v>
      </c>
      <c r="P170" s="185" t="n">
        <v>9</v>
      </c>
      <c r="Q170" s="184" t="n">
        <v>21030</v>
      </c>
      <c r="R170" s="184" t="n">
        <v>19137.3</v>
      </c>
      <c r="S170" s="186" t="s">
        <v>687</v>
      </c>
      <c r="T170" s="187" t="n">
        <v>45889</v>
      </c>
    </row>
    <row r="171" customFormat="false" ht="38.25" hidden="true" customHeight="true" outlineLevel="0" collapsed="false">
      <c r="A171" s="181" t="s">
        <v>688</v>
      </c>
      <c r="B171" s="182" t="n">
        <v>1053</v>
      </c>
      <c r="C171" s="183" t="n">
        <v>30339</v>
      </c>
      <c r="D171" s="181" t="s">
        <v>3325</v>
      </c>
      <c r="E171" s="181" t="s">
        <v>288</v>
      </c>
      <c r="F171" s="181" t="s">
        <v>289</v>
      </c>
      <c r="G171" s="181" t="s">
        <v>225</v>
      </c>
      <c r="H171" s="181" t="s">
        <v>586</v>
      </c>
      <c r="I171" s="181" t="s">
        <v>220</v>
      </c>
      <c r="J171" s="267"/>
      <c r="K171" s="187" t="n">
        <v>45888</v>
      </c>
      <c r="L171" s="267" t="n">
        <v>1.6</v>
      </c>
      <c r="M171" s="184" t="s">
        <v>225</v>
      </c>
      <c r="N171" s="184" t="n">
        <v>36080</v>
      </c>
      <c r="O171" s="184" t="n">
        <v>14530</v>
      </c>
      <c r="P171" s="185" t="n">
        <v>31</v>
      </c>
      <c r="Q171" s="184" t="n">
        <v>21550</v>
      </c>
      <c r="R171" s="184" t="n">
        <v>14869.5</v>
      </c>
      <c r="S171" s="186" t="s">
        <v>689</v>
      </c>
      <c r="T171" s="187" t="n">
        <v>45889</v>
      </c>
    </row>
    <row r="172" customFormat="false" ht="38.25" hidden="true" customHeight="true" outlineLevel="0" collapsed="false">
      <c r="A172" s="181" t="s">
        <v>690</v>
      </c>
      <c r="B172" s="182" t="n">
        <v>1054</v>
      </c>
      <c r="C172" s="183" t="n">
        <v>30344</v>
      </c>
      <c r="D172" s="181" t="s">
        <v>3325</v>
      </c>
      <c r="E172" s="181" t="s">
        <v>354</v>
      </c>
      <c r="F172" s="181" t="s">
        <v>355</v>
      </c>
      <c r="G172" s="181" t="s">
        <v>225</v>
      </c>
      <c r="H172" s="181" t="s">
        <v>586</v>
      </c>
      <c r="I172" s="181" t="s">
        <v>220</v>
      </c>
      <c r="J172" s="267"/>
      <c r="K172" s="187" t="n">
        <v>45888</v>
      </c>
      <c r="L172" s="267" t="n">
        <v>1.6</v>
      </c>
      <c r="M172" s="184" t="s">
        <v>225</v>
      </c>
      <c r="N172" s="184" t="n">
        <v>37510</v>
      </c>
      <c r="O172" s="184" t="n">
        <v>14760</v>
      </c>
      <c r="P172" s="185" t="n">
        <v>21</v>
      </c>
      <c r="Q172" s="184" t="n">
        <v>22750</v>
      </c>
      <c r="R172" s="184" t="n">
        <v>17972.5</v>
      </c>
      <c r="S172" s="186" t="s">
        <v>691</v>
      </c>
      <c r="T172" s="187" t="n">
        <v>45889</v>
      </c>
    </row>
    <row r="173" customFormat="false" ht="38.25" hidden="true" customHeight="true" outlineLevel="0" collapsed="false">
      <c r="A173" s="181" t="s">
        <v>692</v>
      </c>
      <c r="B173" s="182" t="n">
        <v>1055</v>
      </c>
      <c r="C173" s="183" t="n">
        <v>30346</v>
      </c>
      <c r="D173" s="181" t="s">
        <v>3325</v>
      </c>
      <c r="E173" s="181" t="s">
        <v>359</v>
      </c>
      <c r="F173" s="181" t="s">
        <v>360</v>
      </c>
      <c r="G173" s="181" t="s">
        <v>225</v>
      </c>
      <c r="H173" s="181" t="s">
        <v>586</v>
      </c>
      <c r="I173" s="181" t="s">
        <v>220</v>
      </c>
      <c r="J173" s="267"/>
      <c r="K173" s="187" t="n">
        <v>45888</v>
      </c>
      <c r="L173" s="267" t="n">
        <v>1.5</v>
      </c>
      <c r="M173" s="184" t="s">
        <v>225</v>
      </c>
      <c r="N173" s="184" t="n">
        <v>35760</v>
      </c>
      <c r="O173" s="184" t="n">
        <v>14860</v>
      </c>
      <c r="P173" s="185" t="n">
        <v>24</v>
      </c>
      <c r="Q173" s="184" t="n">
        <v>20900</v>
      </c>
      <c r="R173" s="184" t="n">
        <v>15884</v>
      </c>
      <c r="S173" s="186" t="s">
        <v>693</v>
      </c>
      <c r="T173" s="187" t="n">
        <v>45889</v>
      </c>
    </row>
    <row r="174" customFormat="false" ht="38.25" hidden="true" customHeight="true" outlineLevel="0" collapsed="false">
      <c r="A174" s="181" t="s">
        <v>694</v>
      </c>
      <c r="B174" s="182" t="n">
        <v>1059</v>
      </c>
      <c r="C174" s="183" t="n">
        <v>30111</v>
      </c>
      <c r="D174" s="181" t="s">
        <v>3325</v>
      </c>
      <c r="E174" s="181" t="s">
        <v>300</v>
      </c>
      <c r="F174" s="181" t="s">
        <v>301</v>
      </c>
      <c r="G174" s="181" t="s">
        <v>225</v>
      </c>
      <c r="H174" s="181" t="s">
        <v>626</v>
      </c>
      <c r="I174" s="181" t="s">
        <v>220</v>
      </c>
      <c r="J174" s="267"/>
      <c r="K174" s="187" t="n">
        <v>45889</v>
      </c>
      <c r="L174" s="267" t="n">
        <v>0.9</v>
      </c>
      <c r="M174" s="184" t="s">
        <v>225</v>
      </c>
      <c r="N174" s="184" t="n">
        <v>40000</v>
      </c>
      <c r="O174" s="184" t="n">
        <v>20920</v>
      </c>
      <c r="P174" s="185" t="n">
        <v>36</v>
      </c>
      <c r="Q174" s="184" t="n">
        <v>19080</v>
      </c>
      <c r="R174" s="184" t="n">
        <v>12211.2</v>
      </c>
      <c r="S174" s="186" t="s">
        <v>695</v>
      </c>
      <c r="T174" s="187" t="n">
        <v>45889</v>
      </c>
    </row>
    <row r="175" customFormat="false" ht="38.25" hidden="true" customHeight="true" outlineLevel="0" collapsed="false">
      <c r="A175" s="181" t="s">
        <v>696</v>
      </c>
      <c r="B175" s="182" t="n">
        <v>1060</v>
      </c>
      <c r="C175" s="183" t="n">
        <v>30348</v>
      </c>
      <c r="D175" s="181" t="s">
        <v>3325</v>
      </c>
      <c r="E175" s="181" t="s">
        <v>377</v>
      </c>
      <c r="F175" s="181" t="s">
        <v>378</v>
      </c>
      <c r="G175" s="181" t="s">
        <v>225</v>
      </c>
      <c r="H175" s="181" t="s">
        <v>586</v>
      </c>
      <c r="I175" s="181" t="s">
        <v>220</v>
      </c>
      <c r="J175" s="267"/>
      <c r="K175" s="187" t="n">
        <v>45889</v>
      </c>
      <c r="L175" s="267" t="n">
        <v>2.7</v>
      </c>
      <c r="M175" s="184" t="s">
        <v>225</v>
      </c>
      <c r="N175" s="184" t="n">
        <v>40560</v>
      </c>
      <c r="O175" s="184" t="n">
        <v>15670</v>
      </c>
      <c r="P175" s="185" t="n">
        <v>14</v>
      </c>
      <c r="Q175" s="184" t="n">
        <v>24890</v>
      </c>
      <c r="R175" s="184" t="n">
        <v>21405.4</v>
      </c>
      <c r="S175" s="186" t="s">
        <v>697</v>
      </c>
      <c r="T175" s="187" t="n">
        <v>45889</v>
      </c>
    </row>
    <row r="176" customFormat="false" ht="38.25" hidden="true" customHeight="true" outlineLevel="0" collapsed="false">
      <c r="A176" s="181" t="s">
        <v>698</v>
      </c>
      <c r="B176" s="182" t="n">
        <v>1062</v>
      </c>
      <c r="C176" s="183" t="n">
        <v>30350</v>
      </c>
      <c r="D176" s="181" t="s">
        <v>3325</v>
      </c>
      <c r="E176" s="181" t="s">
        <v>308</v>
      </c>
      <c r="F176" s="181" t="s">
        <v>309</v>
      </c>
      <c r="G176" s="181" t="s">
        <v>225</v>
      </c>
      <c r="H176" s="181" t="s">
        <v>586</v>
      </c>
      <c r="I176" s="181" t="s">
        <v>220</v>
      </c>
      <c r="J176" s="267"/>
      <c r="K176" s="187" t="n">
        <v>45889</v>
      </c>
      <c r="L176" s="267" t="n">
        <v>2.4</v>
      </c>
      <c r="M176" s="184" t="s">
        <v>225</v>
      </c>
      <c r="N176" s="184" t="n">
        <v>45250</v>
      </c>
      <c r="O176" s="184" t="n">
        <v>24040</v>
      </c>
      <c r="P176" s="185" t="n">
        <v>17</v>
      </c>
      <c r="Q176" s="184" t="n">
        <v>21210</v>
      </c>
      <c r="R176" s="184" t="n">
        <v>17604.3</v>
      </c>
      <c r="S176" s="186" t="s">
        <v>699</v>
      </c>
      <c r="T176" s="187" t="n">
        <v>45889</v>
      </c>
    </row>
    <row r="177" customFormat="false" ht="38.25" hidden="true" customHeight="true" outlineLevel="0" collapsed="false">
      <c r="A177" s="181" t="s">
        <v>700</v>
      </c>
      <c r="B177" s="182" t="n">
        <v>1063</v>
      </c>
      <c r="C177" s="183" t="n">
        <v>30352</v>
      </c>
      <c r="D177" s="181" t="s">
        <v>3325</v>
      </c>
      <c r="E177" s="181" t="s">
        <v>304</v>
      </c>
      <c r="F177" s="181" t="s">
        <v>305</v>
      </c>
      <c r="G177" s="181" t="s">
        <v>225</v>
      </c>
      <c r="H177" s="181" t="s">
        <v>626</v>
      </c>
      <c r="I177" s="181" t="s">
        <v>220</v>
      </c>
      <c r="J177" s="267"/>
      <c r="K177" s="187" t="n">
        <v>45889</v>
      </c>
      <c r="L177" s="267" t="n">
        <v>1.1</v>
      </c>
      <c r="M177" s="184" t="s">
        <v>225</v>
      </c>
      <c r="N177" s="184" t="n">
        <v>37750</v>
      </c>
      <c r="O177" s="184" t="n">
        <v>14850</v>
      </c>
      <c r="P177" s="185" t="n">
        <v>14</v>
      </c>
      <c r="Q177" s="184" t="n">
        <v>22900</v>
      </c>
      <c r="R177" s="184" t="n">
        <v>19694</v>
      </c>
      <c r="S177" s="186" t="s">
        <v>701</v>
      </c>
      <c r="T177" s="187" t="n">
        <v>45889</v>
      </c>
    </row>
    <row r="178" customFormat="false" ht="38.25" hidden="true" customHeight="true" outlineLevel="0" collapsed="false">
      <c r="A178" s="181" t="s">
        <v>702</v>
      </c>
      <c r="B178" s="182" t="n">
        <v>1064</v>
      </c>
      <c r="C178" s="183" t="n">
        <v>30356</v>
      </c>
      <c r="D178" s="181" t="s">
        <v>3325</v>
      </c>
      <c r="E178" s="181" t="s">
        <v>383</v>
      </c>
      <c r="F178" s="181" t="s">
        <v>384</v>
      </c>
      <c r="G178" s="181" t="s">
        <v>225</v>
      </c>
      <c r="H178" s="181" t="s">
        <v>626</v>
      </c>
      <c r="I178" s="181" t="s">
        <v>220</v>
      </c>
      <c r="J178" s="267"/>
      <c r="K178" s="187" t="n">
        <v>45889</v>
      </c>
      <c r="L178" s="267" t="n">
        <v>1.1</v>
      </c>
      <c r="M178" s="184" t="s">
        <v>225</v>
      </c>
      <c r="N178" s="184" t="n">
        <v>39150</v>
      </c>
      <c r="O178" s="184" t="n">
        <v>14840</v>
      </c>
      <c r="P178" s="185" t="n">
        <v>22</v>
      </c>
      <c r="Q178" s="184" t="n">
        <v>24310</v>
      </c>
      <c r="R178" s="184" t="n">
        <v>18961.8</v>
      </c>
      <c r="S178" s="186" t="s">
        <v>703</v>
      </c>
      <c r="T178" s="187" t="n">
        <v>45889</v>
      </c>
    </row>
    <row r="179" customFormat="false" ht="38.25" hidden="true" customHeight="true" outlineLevel="0" collapsed="false">
      <c r="A179" s="181" t="s">
        <v>704</v>
      </c>
      <c r="B179" s="182" t="n">
        <v>1065</v>
      </c>
      <c r="C179" s="183" t="n">
        <v>30358</v>
      </c>
      <c r="D179" s="181" t="s">
        <v>3325</v>
      </c>
      <c r="E179" s="181" t="s">
        <v>387</v>
      </c>
      <c r="F179" s="181" t="s">
        <v>388</v>
      </c>
      <c r="G179" s="181" t="s">
        <v>225</v>
      </c>
      <c r="H179" s="181" t="s">
        <v>626</v>
      </c>
      <c r="I179" s="181" t="s">
        <v>220</v>
      </c>
      <c r="J179" s="267"/>
      <c r="K179" s="187" t="n">
        <v>45889</v>
      </c>
      <c r="L179" s="267" t="n">
        <v>1.2</v>
      </c>
      <c r="M179" s="184" t="s">
        <v>225</v>
      </c>
      <c r="N179" s="184" t="n">
        <v>40680</v>
      </c>
      <c r="O179" s="184" t="n">
        <v>14900</v>
      </c>
      <c r="P179" s="185" t="n">
        <v>21</v>
      </c>
      <c r="Q179" s="184" t="n">
        <v>25780</v>
      </c>
      <c r="R179" s="184" t="n">
        <v>20366.2</v>
      </c>
      <c r="S179" s="186" t="s">
        <v>705</v>
      </c>
      <c r="T179" s="187" t="n">
        <v>45889</v>
      </c>
    </row>
    <row r="180" customFormat="false" ht="38.25" hidden="true" customHeight="true" outlineLevel="0" collapsed="false">
      <c r="A180" s="181" t="s">
        <v>706</v>
      </c>
      <c r="B180" s="182" t="n">
        <v>1066</v>
      </c>
      <c r="C180" s="183" t="n">
        <v>30360</v>
      </c>
      <c r="D180" s="181" t="s">
        <v>3325</v>
      </c>
      <c r="E180" s="181" t="s">
        <v>399</v>
      </c>
      <c r="F180" s="181" t="s">
        <v>400</v>
      </c>
      <c r="G180" s="181" t="s">
        <v>225</v>
      </c>
      <c r="H180" s="181" t="s">
        <v>626</v>
      </c>
      <c r="I180" s="181" t="s">
        <v>220</v>
      </c>
      <c r="J180" s="267"/>
      <c r="K180" s="187" t="n">
        <v>45889</v>
      </c>
      <c r="L180" s="267" t="n">
        <v>1.2</v>
      </c>
      <c r="M180" s="184" t="s">
        <v>225</v>
      </c>
      <c r="N180" s="184" t="n">
        <v>45370</v>
      </c>
      <c r="O180" s="184" t="n">
        <v>19350</v>
      </c>
      <c r="P180" s="185" t="n">
        <v>32</v>
      </c>
      <c r="Q180" s="184" t="n">
        <v>26020</v>
      </c>
      <c r="R180" s="184" t="n">
        <v>17693.6</v>
      </c>
      <c r="S180" s="186" t="s">
        <v>707</v>
      </c>
      <c r="T180" s="187" t="n">
        <v>45889</v>
      </c>
    </row>
    <row r="181" customFormat="false" ht="38.25" hidden="true" customHeight="true" outlineLevel="0" collapsed="false">
      <c r="A181" s="181" t="s">
        <v>708</v>
      </c>
      <c r="B181" s="182" t="n">
        <v>1067</v>
      </c>
      <c r="C181" s="183" t="n">
        <v>30362</v>
      </c>
      <c r="D181" s="181" t="s">
        <v>3325</v>
      </c>
      <c r="E181" s="181" t="s">
        <v>336</v>
      </c>
      <c r="F181" s="181" t="s">
        <v>337</v>
      </c>
      <c r="G181" s="181" t="s">
        <v>225</v>
      </c>
      <c r="H181" s="181" t="s">
        <v>626</v>
      </c>
      <c r="I181" s="181" t="s">
        <v>220</v>
      </c>
      <c r="J181" s="267"/>
      <c r="K181" s="187" t="n">
        <v>45889</v>
      </c>
      <c r="L181" s="267" t="n">
        <v>1.1</v>
      </c>
      <c r="M181" s="184" t="s">
        <v>225</v>
      </c>
      <c r="N181" s="184" t="n">
        <v>38240</v>
      </c>
      <c r="O181" s="184" t="n">
        <v>14490</v>
      </c>
      <c r="P181" s="185" t="n">
        <v>42</v>
      </c>
      <c r="Q181" s="184" t="n">
        <v>23750</v>
      </c>
      <c r="R181" s="184" t="n">
        <v>13775</v>
      </c>
      <c r="S181" s="186" t="s">
        <v>709</v>
      </c>
      <c r="T181" s="187" t="n">
        <v>45890</v>
      </c>
    </row>
    <row r="182" customFormat="false" ht="38.25" hidden="true" customHeight="true" outlineLevel="0" collapsed="false">
      <c r="A182" s="181" t="s">
        <v>710</v>
      </c>
      <c r="B182" s="182" t="n">
        <v>1068</v>
      </c>
      <c r="C182" s="183" t="n">
        <v>30364</v>
      </c>
      <c r="D182" s="181" t="s">
        <v>3325</v>
      </c>
      <c r="E182" s="181" t="s">
        <v>340</v>
      </c>
      <c r="F182" s="181" t="s">
        <v>341</v>
      </c>
      <c r="G182" s="181" t="s">
        <v>225</v>
      </c>
      <c r="H182" s="181" t="s">
        <v>626</v>
      </c>
      <c r="I182" s="181" t="s">
        <v>220</v>
      </c>
      <c r="J182" s="267"/>
      <c r="K182" s="187" t="n">
        <v>45889</v>
      </c>
      <c r="L182" s="267" t="n">
        <v>1.1</v>
      </c>
      <c r="M182" s="184" t="s">
        <v>225</v>
      </c>
      <c r="N182" s="184" t="n">
        <v>38700</v>
      </c>
      <c r="O182" s="184" t="n">
        <v>15070</v>
      </c>
      <c r="P182" s="185" t="n">
        <v>21</v>
      </c>
      <c r="Q182" s="184" t="n">
        <v>23630</v>
      </c>
      <c r="R182" s="184" t="n">
        <v>18667.7</v>
      </c>
      <c r="S182" s="186" t="s">
        <v>711</v>
      </c>
      <c r="T182" s="187" t="n">
        <v>45890</v>
      </c>
    </row>
    <row r="183" customFormat="false" ht="38.25" hidden="true" customHeight="true" outlineLevel="0" collapsed="false">
      <c r="A183" s="181" t="s">
        <v>712</v>
      </c>
      <c r="B183" s="182" t="n">
        <v>1069</v>
      </c>
      <c r="C183" s="183" t="n">
        <v>30368</v>
      </c>
      <c r="D183" s="181" t="s">
        <v>3325</v>
      </c>
      <c r="E183" s="181" t="s">
        <v>409</v>
      </c>
      <c r="F183" s="181" t="s">
        <v>410</v>
      </c>
      <c r="G183" s="181" t="s">
        <v>225</v>
      </c>
      <c r="H183" s="181" t="s">
        <v>626</v>
      </c>
      <c r="I183" s="181" t="s">
        <v>220</v>
      </c>
      <c r="J183" s="267"/>
      <c r="K183" s="187" t="n">
        <v>45889</v>
      </c>
      <c r="L183" s="267" t="n">
        <v>1.1</v>
      </c>
      <c r="M183" s="184" t="s">
        <v>225</v>
      </c>
      <c r="N183" s="184" t="n">
        <v>46560</v>
      </c>
      <c r="O183" s="184" t="n">
        <v>24080</v>
      </c>
      <c r="P183" s="185" t="n">
        <v>29</v>
      </c>
      <c r="Q183" s="184" t="n">
        <v>22480</v>
      </c>
      <c r="R183" s="184" t="n">
        <v>15960.8</v>
      </c>
      <c r="S183" s="186" t="s">
        <v>713</v>
      </c>
      <c r="T183" s="187" t="n">
        <v>45890</v>
      </c>
    </row>
    <row r="184" customFormat="false" ht="38.25" hidden="true" customHeight="true" outlineLevel="0" collapsed="false">
      <c r="A184" s="181" t="s">
        <v>714</v>
      </c>
      <c r="B184" s="182" t="n">
        <v>1070</v>
      </c>
      <c r="C184" s="183" t="n">
        <v>30366</v>
      </c>
      <c r="D184" s="181" t="s">
        <v>3325</v>
      </c>
      <c r="E184" s="181" t="s">
        <v>413</v>
      </c>
      <c r="F184" s="181" t="s">
        <v>414</v>
      </c>
      <c r="G184" s="181" t="s">
        <v>225</v>
      </c>
      <c r="H184" s="181" t="s">
        <v>626</v>
      </c>
      <c r="I184" s="181" t="s">
        <v>220</v>
      </c>
      <c r="J184" s="267"/>
      <c r="K184" s="187" t="n">
        <v>45889</v>
      </c>
      <c r="L184" s="267" t="n">
        <v>1.2</v>
      </c>
      <c r="M184" s="184" t="s">
        <v>225</v>
      </c>
      <c r="N184" s="184" t="n">
        <v>40610</v>
      </c>
      <c r="O184" s="184" t="n">
        <v>15510</v>
      </c>
      <c r="P184" s="185" t="n">
        <v>22</v>
      </c>
      <c r="Q184" s="184" t="n">
        <v>25100</v>
      </c>
      <c r="R184" s="184" t="n">
        <v>19578</v>
      </c>
      <c r="S184" s="186" t="s">
        <v>715</v>
      </c>
      <c r="T184" s="187" t="n">
        <v>45890</v>
      </c>
    </row>
    <row r="185" customFormat="false" ht="38.25" hidden="true" customHeight="true" outlineLevel="0" collapsed="false">
      <c r="A185" s="181" t="s">
        <v>716</v>
      </c>
      <c r="B185" s="182" t="n">
        <v>1071</v>
      </c>
      <c r="C185" s="183" t="n">
        <v>30371</v>
      </c>
      <c r="D185" s="181" t="s">
        <v>3325</v>
      </c>
      <c r="E185" s="181" t="s">
        <v>266</v>
      </c>
      <c r="F185" s="181" t="s">
        <v>267</v>
      </c>
      <c r="G185" s="181" t="s">
        <v>225</v>
      </c>
      <c r="H185" s="181" t="s">
        <v>626</v>
      </c>
      <c r="I185" s="181" t="s">
        <v>220</v>
      </c>
      <c r="J185" s="267"/>
      <c r="K185" s="187" t="n">
        <v>45889</v>
      </c>
      <c r="L185" s="267" t="n">
        <v>1.1</v>
      </c>
      <c r="M185" s="184" t="s">
        <v>225</v>
      </c>
      <c r="N185" s="184" t="n">
        <v>39330</v>
      </c>
      <c r="O185" s="184" t="n">
        <v>14940</v>
      </c>
      <c r="P185" s="185" t="n">
        <v>48</v>
      </c>
      <c r="Q185" s="184" t="n">
        <v>24390</v>
      </c>
      <c r="R185" s="184" t="n">
        <v>12682.8</v>
      </c>
      <c r="S185" s="186" t="s">
        <v>717</v>
      </c>
      <c r="T185" s="187" t="n">
        <v>45890</v>
      </c>
    </row>
    <row r="186" customFormat="false" ht="38.25" hidden="true" customHeight="true" outlineLevel="0" collapsed="false">
      <c r="A186" s="181" t="s">
        <v>718</v>
      </c>
      <c r="B186" s="182" t="n">
        <v>1072</v>
      </c>
      <c r="C186" s="183" t="n">
        <v>30373</v>
      </c>
      <c r="D186" s="181" t="s">
        <v>3325</v>
      </c>
      <c r="E186" s="181" t="s">
        <v>261</v>
      </c>
      <c r="F186" s="181" t="s">
        <v>262</v>
      </c>
      <c r="G186" s="181" t="s">
        <v>225</v>
      </c>
      <c r="H186" s="181" t="s">
        <v>626</v>
      </c>
      <c r="I186" s="181" t="s">
        <v>220</v>
      </c>
      <c r="J186" s="267"/>
      <c r="K186" s="187" t="n">
        <v>45889</v>
      </c>
      <c r="L186" s="267" t="n">
        <v>1.1</v>
      </c>
      <c r="M186" s="184" t="s">
        <v>225</v>
      </c>
      <c r="N186" s="184" t="n">
        <v>38070</v>
      </c>
      <c r="O186" s="184" t="n">
        <v>15070</v>
      </c>
      <c r="P186" s="185" t="n">
        <v>24</v>
      </c>
      <c r="Q186" s="184" t="n">
        <v>23000</v>
      </c>
      <c r="R186" s="184" t="n">
        <v>17480</v>
      </c>
      <c r="S186" s="186" t="s">
        <v>719</v>
      </c>
      <c r="T186" s="187" t="n">
        <v>45890</v>
      </c>
    </row>
    <row r="187" customFormat="false" ht="38.25" hidden="true" customHeight="true" outlineLevel="0" collapsed="false">
      <c r="A187" s="181" t="s">
        <v>720</v>
      </c>
      <c r="B187" s="182" t="n">
        <v>1073</v>
      </c>
      <c r="C187" s="183" t="n">
        <v>30387</v>
      </c>
      <c r="D187" s="181" t="s">
        <v>3325</v>
      </c>
      <c r="E187" s="181" t="s">
        <v>533</v>
      </c>
      <c r="F187" s="181" t="s">
        <v>534</v>
      </c>
      <c r="G187" s="181" t="s">
        <v>225</v>
      </c>
      <c r="H187" s="181" t="s">
        <v>626</v>
      </c>
      <c r="I187" s="181" t="s">
        <v>220</v>
      </c>
      <c r="J187" s="267"/>
      <c r="K187" s="187" t="n">
        <v>45889</v>
      </c>
      <c r="L187" s="267" t="n">
        <v>1.2</v>
      </c>
      <c r="M187" s="184" t="s">
        <v>225</v>
      </c>
      <c r="N187" s="184" t="n">
        <v>40100</v>
      </c>
      <c r="O187" s="184" t="n">
        <v>14700</v>
      </c>
      <c r="P187" s="185" t="n">
        <v>14</v>
      </c>
      <c r="Q187" s="184" t="n">
        <v>25400</v>
      </c>
      <c r="R187" s="184" t="n">
        <v>21844</v>
      </c>
      <c r="S187" s="186" t="s">
        <v>721</v>
      </c>
      <c r="T187" s="187" t="n">
        <v>45890</v>
      </c>
    </row>
    <row r="188" customFormat="false" ht="38.25" hidden="true" customHeight="true" outlineLevel="0" collapsed="false">
      <c r="A188" s="181" t="s">
        <v>722</v>
      </c>
      <c r="B188" s="182" t="n">
        <v>1074</v>
      </c>
      <c r="C188" s="183" t="n">
        <v>30381</v>
      </c>
      <c r="D188" s="181" t="s">
        <v>3325</v>
      </c>
      <c r="E188" s="181" t="s">
        <v>272</v>
      </c>
      <c r="F188" s="181" t="s">
        <v>273</v>
      </c>
      <c r="G188" s="181" t="s">
        <v>225</v>
      </c>
      <c r="H188" s="181" t="s">
        <v>626</v>
      </c>
      <c r="I188" s="181" t="s">
        <v>220</v>
      </c>
      <c r="J188" s="267"/>
      <c r="K188" s="187" t="n">
        <v>45889</v>
      </c>
      <c r="L188" s="267" t="n">
        <v>1.1</v>
      </c>
      <c r="M188" s="184" t="s">
        <v>225</v>
      </c>
      <c r="N188" s="184" t="n">
        <v>39280</v>
      </c>
      <c r="O188" s="184" t="n">
        <v>15600</v>
      </c>
      <c r="P188" s="185" t="n">
        <v>26</v>
      </c>
      <c r="Q188" s="184" t="n">
        <v>23680</v>
      </c>
      <c r="R188" s="184" t="n">
        <v>17523.2</v>
      </c>
      <c r="S188" s="186" t="s">
        <v>723</v>
      </c>
      <c r="T188" s="187" t="n">
        <v>45890</v>
      </c>
    </row>
    <row r="189" customFormat="false" ht="38.25" hidden="true" customHeight="true" outlineLevel="0" collapsed="false">
      <c r="A189" s="181" t="s">
        <v>724</v>
      </c>
      <c r="B189" s="182" t="n">
        <v>1075</v>
      </c>
      <c r="C189" s="183" t="n">
        <v>30402</v>
      </c>
      <c r="D189" s="181" t="s">
        <v>3325</v>
      </c>
      <c r="E189" s="181" t="s">
        <v>439</v>
      </c>
      <c r="F189" s="181" t="s">
        <v>440</v>
      </c>
      <c r="G189" s="181" t="s">
        <v>225</v>
      </c>
      <c r="H189" s="181" t="s">
        <v>626</v>
      </c>
      <c r="I189" s="181" t="s">
        <v>220</v>
      </c>
      <c r="J189" s="267"/>
      <c r="K189" s="187" t="n">
        <v>45889</v>
      </c>
      <c r="L189" s="267" t="n">
        <v>1.2</v>
      </c>
      <c r="M189" s="184" t="s">
        <v>225</v>
      </c>
      <c r="N189" s="184" t="n">
        <v>41400</v>
      </c>
      <c r="O189" s="184" t="n">
        <v>16410</v>
      </c>
      <c r="P189" s="185" t="n">
        <v>18</v>
      </c>
      <c r="Q189" s="184" t="n">
        <v>24990</v>
      </c>
      <c r="R189" s="184" t="n">
        <v>20491.8</v>
      </c>
      <c r="S189" s="186" t="s">
        <v>725</v>
      </c>
      <c r="T189" s="187" t="n">
        <v>45890</v>
      </c>
    </row>
    <row r="190" customFormat="false" ht="38.25" hidden="true" customHeight="true" outlineLevel="0" collapsed="false">
      <c r="A190" s="181" t="s">
        <v>726</v>
      </c>
      <c r="B190" s="182" t="n">
        <v>1076</v>
      </c>
      <c r="C190" s="183" t="n">
        <v>30395</v>
      </c>
      <c r="D190" s="181" t="s">
        <v>3325</v>
      </c>
      <c r="E190" s="181" t="s">
        <v>435</v>
      </c>
      <c r="F190" s="181" t="s">
        <v>436</v>
      </c>
      <c r="G190" s="181" t="s">
        <v>225</v>
      </c>
      <c r="H190" s="181" t="s">
        <v>626</v>
      </c>
      <c r="I190" s="181" t="s">
        <v>220</v>
      </c>
      <c r="J190" s="267"/>
      <c r="K190" s="187" t="n">
        <v>45889</v>
      </c>
      <c r="L190" s="267" t="n">
        <v>1.1</v>
      </c>
      <c r="M190" s="184" t="s">
        <v>225</v>
      </c>
      <c r="N190" s="184" t="n">
        <v>39500</v>
      </c>
      <c r="O190" s="184" t="n">
        <v>16470</v>
      </c>
      <c r="P190" s="185" t="n">
        <v>17</v>
      </c>
      <c r="Q190" s="184" t="n">
        <v>23030</v>
      </c>
      <c r="R190" s="184" t="n">
        <v>19114.9</v>
      </c>
      <c r="S190" s="186" t="s">
        <v>727</v>
      </c>
      <c r="T190" s="187" t="n">
        <v>45890</v>
      </c>
    </row>
    <row r="191" customFormat="false" ht="38.25" hidden="true" customHeight="true" outlineLevel="0" collapsed="false">
      <c r="A191" s="181" t="s">
        <v>728</v>
      </c>
      <c r="B191" s="182" t="n">
        <v>1077</v>
      </c>
      <c r="C191" s="183" t="n">
        <v>30397</v>
      </c>
      <c r="D191" s="181" t="s">
        <v>3325</v>
      </c>
      <c r="E191" s="181" t="s">
        <v>431</v>
      </c>
      <c r="F191" s="181" t="s">
        <v>432</v>
      </c>
      <c r="G191" s="181" t="s">
        <v>225</v>
      </c>
      <c r="H191" s="181" t="s">
        <v>626</v>
      </c>
      <c r="I191" s="181" t="s">
        <v>220</v>
      </c>
      <c r="J191" s="267"/>
      <c r="K191" s="187" t="n">
        <v>45889</v>
      </c>
      <c r="L191" s="267" t="n">
        <v>1.1</v>
      </c>
      <c r="M191" s="184" t="s">
        <v>225</v>
      </c>
      <c r="N191" s="184" t="n">
        <v>39010</v>
      </c>
      <c r="O191" s="184" t="n">
        <v>16550</v>
      </c>
      <c r="P191" s="185" t="n">
        <v>13</v>
      </c>
      <c r="Q191" s="184" t="n">
        <v>22460</v>
      </c>
      <c r="R191" s="184" t="n">
        <v>19540.2</v>
      </c>
      <c r="S191" s="186" t="s">
        <v>729</v>
      </c>
      <c r="T191" s="187" t="n">
        <v>45890</v>
      </c>
    </row>
    <row r="192" customFormat="false" ht="38.25" hidden="true" customHeight="true" outlineLevel="0" collapsed="false">
      <c r="A192" s="181" t="s">
        <v>730</v>
      </c>
      <c r="B192" s="182" t="n">
        <v>1078</v>
      </c>
      <c r="C192" s="183" t="n">
        <v>30393</v>
      </c>
      <c r="D192" s="181" t="s">
        <v>3325</v>
      </c>
      <c r="E192" s="181" t="s">
        <v>545</v>
      </c>
      <c r="F192" s="181" t="s">
        <v>546</v>
      </c>
      <c r="G192" s="181" t="s">
        <v>225</v>
      </c>
      <c r="H192" s="181" t="s">
        <v>626</v>
      </c>
      <c r="I192" s="181" t="s">
        <v>220</v>
      </c>
      <c r="J192" s="267"/>
      <c r="K192" s="187" t="n">
        <v>45889</v>
      </c>
      <c r="L192" s="267" t="n">
        <v>1.3</v>
      </c>
      <c r="M192" s="184" t="s">
        <v>225</v>
      </c>
      <c r="N192" s="184" t="n">
        <v>43490</v>
      </c>
      <c r="O192" s="184" t="n">
        <v>16120</v>
      </c>
      <c r="P192" s="185" t="n">
        <v>20</v>
      </c>
      <c r="Q192" s="184" t="n">
        <v>27370</v>
      </c>
      <c r="R192" s="184" t="n">
        <v>21896</v>
      </c>
      <c r="S192" s="186" t="s">
        <v>731</v>
      </c>
      <c r="T192" s="187" t="n">
        <v>45890</v>
      </c>
    </row>
    <row r="193" customFormat="false" ht="38.25" hidden="true" customHeight="true" outlineLevel="0" collapsed="false">
      <c r="A193" s="181" t="s">
        <v>732</v>
      </c>
      <c r="B193" s="182" t="n">
        <v>1080</v>
      </c>
      <c r="C193" s="183" t="n">
        <v>30404</v>
      </c>
      <c r="D193" s="181" t="s">
        <v>3325</v>
      </c>
      <c r="E193" s="181" t="s">
        <v>549</v>
      </c>
      <c r="F193" s="181" t="s">
        <v>550</v>
      </c>
      <c r="G193" s="181" t="s">
        <v>225</v>
      </c>
      <c r="H193" s="181" t="s">
        <v>626</v>
      </c>
      <c r="I193" s="181" t="s">
        <v>220</v>
      </c>
      <c r="J193" s="267"/>
      <c r="K193" s="187" t="n">
        <v>45889</v>
      </c>
      <c r="L193" s="267" t="n">
        <v>1.2</v>
      </c>
      <c r="M193" s="184" t="s">
        <v>225</v>
      </c>
      <c r="N193" s="184" t="n">
        <v>41080</v>
      </c>
      <c r="O193" s="184" t="n">
        <v>15960</v>
      </c>
      <c r="P193" s="185" t="n">
        <v>28</v>
      </c>
      <c r="Q193" s="184" t="n">
        <v>25120</v>
      </c>
      <c r="R193" s="184" t="n">
        <v>18086.4</v>
      </c>
      <c r="S193" s="186" t="s">
        <v>733</v>
      </c>
      <c r="T193" s="187" t="n">
        <v>45890</v>
      </c>
    </row>
    <row r="194" customFormat="false" ht="38.25" hidden="true" customHeight="true" outlineLevel="0" collapsed="false">
      <c r="A194" s="181" t="s">
        <v>734</v>
      </c>
      <c r="B194" s="182" t="n">
        <v>1081</v>
      </c>
      <c r="C194" s="183" t="n">
        <v>30406</v>
      </c>
      <c r="D194" s="181" t="s">
        <v>3325</v>
      </c>
      <c r="E194" s="181" t="s">
        <v>541</v>
      </c>
      <c r="F194" s="181" t="s">
        <v>542</v>
      </c>
      <c r="G194" s="181" t="s">
        <v>225</v>
      </c>
      <c r="H194" s="181" t="s">
        <v>626</v>
      </c>
      <c r="I194" s="181" t="s">
        <v>220</v>
      </c>
      <c r="J194" s="267"/>
      <c r="K194" s="187" t="n">
        <v>45889</v>
      </c>
      <c r="L194" s="267" t="n">
        <v>1.2</v>
      </c>
      <c r="M194" s="184" t="s">
        <v>225</v>
      </c>
      <c r="N194" s="184" t="n">
        <v>41280</v>
      </c>
      <c r="O194" s="184" t="n">
        <v>15000</v>
      </c>
      <c r="P194" s="185" t="n">
        <v>19</v>
      </c>
      <c r="Q194" s="184" t="n">
        <v>26280</v>
      </c>
      <c r="R194" s="184" t="n">
        <v>21286.8</v>
      </c>
      <c r="S194" s="186" t="s">
        <v>735</v>
      </c>
      <c r="T194" s="187" t="n">
        <v>45890</v>
      </c>
    </row>
    <row r="195" customFormat="false" ht="38.25" hidden="true" customHeight="true" outlineLevel="0" collapsed="false">
      <c r="A195" s="181" t="s">
        <v>736</v>
      </c>
      <c r="B195" s="182" t="n">
        <v>1083</v>
      </c>
      <c r="C195" s="183" t="n">
        <v>30410</v>
      </c>
      <c r="D195" s="181" t="s">
        <v>3325</v>
      </c>
      <c r="E195" s="181" t="s">
        <v>282</v>
      </c>
      <c r="F195" s="181" t="s">
        <v>283</v>
      </c>
      <c r="G195" s="181" t="s">
        <v>225</v>
      </c>
      <c r="H195" s="181" t="s">
        <v>626</v>
      </c>
      <c r="I195" s="181" t="s">
        <v>220</v>
      </c>
      <c r="J195" s="267"/>
      <c r="K195" s="187" t="n">
        <v>45889</v>
      </c>
      <c r="L195" s="267" t="n">
        <v>1.1</v>
      </c>
      <c r="M195" s="184" t="s">
        <v>225</v>
      </c>
      <c r="N195" s="184" t="n">
        <v>38850</v>
      </c>
      <c r="O195" s="184" t="n">
        <v>15040</v>
      </c>
      <c r="P195" s="185" t="n">
        <v>16</v>
      </c>
      <c r="Q195" s="184" t="n">
        <v>23810</v>
      </c>
      <c r="R195" s="184" t="n">
        <v>20000.4</v>
      </c>
      <c r="S195" s="186" t="s">
        <v>737</v>
      </c>
      <c r="T195" s="187" t="n">
        <v>45890</v>
      </c>
    </row>
    <row r="196" customFormat="false" ht="38.25" hidden="true" customHeight="true" outlineLevel="0" collapsed="false">
      <c r="A196" s="181" t="s">
        <v>738</v>
      </c>
      <c r="B196" s="182" t="n">
        <v>1084</v>
      </c>
      <c r="C196" s="183" t="n">
        <v>30408</v>
      </c>
      <c r="D196" s="181" t="s">
        <v>3325</v>
      </c>
      <c r="E196" s="181" t="s">
        <v>537</v>
      </c>
      <c r="F196" s="181" t="s">
        <v>538</v>
      </c>
      <c r="G196" s="181" t="s">
        <v>225</v>
      </c>
      <c r="H196" s="181" t="s">
        <v>626</v>
      </c>
      <c r="I196" s="181" t="s">
        <v>220</v>
      </c>
      <c r="J196" s="267"/>
      <c r="K196" s="187" t="n">
        <v>45889</v>
      </c>
      <c r="L196" s="267" t="n">
        <v>1</v>
      </c>
      <c r="M196" s="184" t="s">
        <v>225</v>
      </c>
      <c r="N196" s="184" t="n">
        <v>35950</v>
      </c>
      <c r="O196" s="184" t="n">
        <v>13990</v>
      </c>
      <c r="P196" s="185" t="n">
        <v>29</v>
      </c>
      <c r="Q196" s="184" t="n">
        <v>21960</v>
      </c>
      <c r="R196" s="184" t="n">
        <v>15591.6</v>
      </c>
      <c r="S196" s="186" t="s">
        <v>739</v>
      </c>
      <c r="T196" s="187" t="n">
        <v>45890</v>
      </c>
    </row>
    <row r="197" customFormat="false" ht="38.25" hidden="true" customHeight="true" outlineLevel="0" collapsed="false">
      <c r="A197" s="181" t="s">
        <v>740</v>
      </c>
      <c r="B197" s="182" t="n">
        <v>1086</v>
      </c>
      <c r="C197" s="183" t="n">
        <v>30414</v>
      </c>
      <c r="D197" s="181" t="s">
        <v>3325</v>
      </c>
      <c r="E197" s="181" t="s">
        <v>350</v>
      </c>
      <c r="F197" s="181" t="s">
        <v>351</v>
      </c>
      <c r="G197" s="181" t="s">
        <v>225</v>
      </c>
      <c r="H197" s="181" t="s">
        <v>626</v>
      </c>
      <c r="I197" s="181" t="s">
        <v>220</v>
      </c>
      <c r="J197" s="267"/>
      <c r="K197" s="187" t="n">
        <v>45889</v>
      </c>
      <c r="L197" s="267" t="n">
        <v>1.1</v>
      </c>
      <c r="M197" s="184" t="s">
        <v>225</v>
      </c>
      <c r="N197" s="184" t="n">
        <v>38680</v>
      </c>
      <c r="O197" s="184" t="n">
        <v>14950</v>
      </c>
      <c r="P197" s="185" t="n">
        <v>13</v>
      </c>
      <c r="Q197" s="184" t="n">
        <v>23730</v>
      </c>
      <c r="R197" s="184" t="n">
        <v>20645.1</v>
      </c>
      <c r="S197" s="186" t="s">
        <v>741</v>
      </c>
      <c r="T197" s="187" t="n">
        <v>45890</v>
      </c>
    </row>
    <row r="198" customFormat="false" ht="38.25" hidden="true" customHeight="true" outlineLevel="0" collapsed="false">
      <c r="A198" s="181" t="s">
        <v>742</v>
      </c>
      <c r="B198" s="182" t="n">
        <v>1089</v>
      </c>
      <c r="C198" s="183" t="n">
        <v>30412</v>
      </c>
      <c r="D198" s="181" t="s">
        <v>3325</v>
      </c>
      <c r="E198" s="181" t="s">
        <v>277</v>
      </c>
      <c r="F198" s="181" t="s">
        <v>278</v>
      </c>
      <c r="G198" s="181" t="s">
        <v>225</v>
      </c>
      <c r="H198" s="181" t="s">
        <v>626</v>
      </c>
      <c r="I198" s="181" t="s">
        <v>220</v>
      </c>
      <c r="J198" s="267"/>
      <c r="K198" s="187" t="n">
        <v>45889</v>
      </c>
      <c r="L198" s="267" t="n">
        <v>1.2</v>
      </c>
      <c r="M198" s="184" t="s">
        <v>225</v>
      </c>
      <c r="N198" s="184" t="n">
        <v>41370</v>
      </c>
      <c r="O198" s="184" t="n">
        <v>15200</v>
      </c>
      <c r="P198" s="185" t="n">
        <v>21</v>
      </c>
      <c r="Q198" s="184" t="n">
        <v>26170</v>
      </c>
      <c r="R198" s="184" t="n">
        <v>20674.3</v>
      </c>
      <c r="S198" s="186" t="s">
        <v>743</v>
      </c>
      <c r="T198" s="187" t="n">
        <v>45890</v>
      </c>
    </row>
    <row r="199" customFormat="false" ht="38.25" hidden="true" customHeight="true" outlineLevel="0" collapsed="false">
      <c r="A199" s="181" t="s">
        <v>744</v>
      </c>
      <c r="B199" s="182" t="n">
        <v>1090</v>
      </c>
      <c r="C199" s="183" t="n">
        <v>30416</v>
      </c>
      <c r="D199" s="181" t="s">
        <v>3325</v>
      </c>
      <c r="E199" s="181" t="s">
        <v>346</v>
      </c>
      <c r="F199" s="181" t="s">
        <v>347</v>
      </c>
      <c r="G199" s="181" t="s">
        <v>225</v>
      </c>
      <c r="H199" s="181" t="s">
        <v>626</v>
      </c>
      <c r="I199" s="181" t="s">
        <v>220</v>
      </c>
      <c r="J199" s="267"/>
      <c r="K199" s="187" t="n">
        <v>45889</v>
      </c>
      <c r="L199" s="267" t="n">
        <v>1</v>
      </c>
      <c r="M199" s="184" t="s">
        <v>225</v>
      </c>
      <c r="N199" s="184" t="n">
        <v>37510</v>
      </c>
      <c r="O199" s="184" t="n">
        <v>15090</v>
      </c>
      <c r="P199" s="185" t="n">
        <v>15</v>
      </c>
      <c r="Q199" s="184" t="n">
        <v>22420</v>
      </c>
      <c r="R199" s="184" t="n">
        <v>19057</v>
      </c>
      <c r="S199" s="186" t="s">
        <v>745</v>
      </c>
      <c r="T199" s="187" t="n">
        <v>45890</v>
      </c>
    </row>
    <row r="200" customFormat="false" ht="38.25" hidden="true" customHeight="true" outlineLevel="0" collapsed="false">
      <c r="A200" s="181" t="s">
        <v>746</v>
      </c>
      <c r="B200" s="182" t="n">
        <v>1093</v>
      </c>
      <c r="C200" s="183" t="n">
        <v>30418</v>
      </c>
      <c r="D200" s="181" t="s">
        <v>3325</v>
      </c>
      <c r="E200" s="181" t="s">
        <v>292</v>
      </c>
      <c r="F200" s="181" t="s">
        <v>293</v>
      </c>
      <c r="G200" s="181" t="s">
        <v>225</v>
      </c>
      <c r="H200" s="181" t="s">
        <v>626</v>
      </c>
      <c r="I200" s="181" t="s">
        <v>220</v>
      </c>
      <c r="J200" s="267"/>
      <c r="K200" s="269" t="n">
        <v>45891</v>
      </c>
      <c r="L200" s="267" t="n">
        <v>1</v>
      </c>
      <c r="M200" s="184" t="s">
        <v>225</v>
      </c>
      <c r="N200" s="184" t="n">
        <v>37500</v>
      </c>
      <c r="O200" s="184" t="n">
        <v>13900</v>
      </c>
      <c r="P200" s="185" t="n">
        <v>28</v>
      </c>
      <c r="Q200" s="184" t="n">
        <v>23600</v>
      </c>
      <c r="R200" s="184" t="n">
        <v>16992</v>
      </c>
      <c r="S200" s="184" t="s">
        <v>747</v>
      </c>
      <c r="T200" s="187" t="n">
        <v>45891</v>
      </c>
    </row>
    <row r="201" customFormat="false" ht="38.25" hidden="true" customHeight="true" outlineLevel="0" collapsed="false">
      <c r="A201" s="181" t="s">
        <v>748</v>
      </c>
      <c r="B201" s="182" t="n">
        <v>1094</v>
      </c>
      <c r="C201" s="183" t="n">
        <v>30420</v>
      </c>
      <c r="D201" s="181" t="s">
        <v>3325</v>
      </c>
      <c r="E201" s="181" t="s">
        <v>332</v>
      </c>
      <c r="F201" s="181" t="s">
        <v>333</v>
      </c>
      <c r="G201" s="181" t="s">
        <v>225</v>
      </c>
      <c r="H201" s="181" t="s">
        <v>626</v>
      </c>
      <c r="I201" s="181" t="s">
        <v>220</v>
      </c>
      <c r="J201" s="267"/>
      <c r="K201" s="269" t="n">
        <v>45891</v>
      </c>
      <c r="L201" s="267" t="n">
        <v>1</v>
      </c>
      <c r="M201" s="184" t="s">
        <v>225</v>
      </c>
      <c r="N201" s="184" t="n">
        <v>38700</v>
      </c>
      <c r="O201" s="184" t="n">
        <v>14690</v>
      </c>
      <c r="P201" s="185" t="n">
        <v>26</v>
      </c>
      <c r="Q201" s="184" t="n">
        <v>24010</v>
      </c>
      <c r="R201" s="184" t="n">
        <v>17767.4</v>
      </c>
      <c r="S201" s="184" t="s">
        <v>749</v>
      </c>
      <c r="T201" s="187" t="n">
        <v>45891</v>
      </c>
    </row>
    <row r="202" customFormat="false" ht="38.25" hidden="true" customHeight="true" outlineLevel="0" collapsed="false">
      <c r="A202" s="181" t="s">
        <v>750</v>
      </c>
      <c r="B202" s="182" t="n">
        <v>1095</v>
      </c>
      <c r="C202" s="183" t="n">
        <v>30424</v>
      </c>
      <c r="D202" s="181" t="s">
        <v>3325</v>
      </c>
      <c r="E202" s="181" t="s">
        <v>582</v>
      </c>
      <c r="F202" s="181" t="s">
        <v>583</v>
      </c>
      <c r="G202" s="181" t="s">
        <v>225</v>
      </c>
      <c r="H202" s="181" t="s">
        <v>626</v>
      </c>
      <c r="I202" s="181" t="s">
        <v>220</v>
      </c>
      <c r="J202" s="267"/>
      <c r="K202" s="269" t="n">
        <v>45891</v>
      </c>
      <c r="L202" s="267" t="n">
        <v>1</v>
      </c>
      <c r="M202" s="184" t="s">
        <v>225</v>
      </c>
      <c r="N202" s="184" t="n">
        <v>38520</v>
      </c>
      <c r="O202" s="184" t="n">
        <v>14700</v>
      </c>
      <c r="P202" s="185" t="n">
        <v>11</v>
      </c>
      <c r="Q202" s="184" t="n">
        <v>23820</v>
      </c>
      <c r="R202" s="184" t="n">
        <v>21199.8</v>
      </c>
      <c r="S202" s="184" t="s">
        <v>751</v>
      </c>
      <c r="T202" s="187" t="n">
        <v>45891</v>
      </c>
    </row>
    <row r="203" customFormat="false" ht="38.25" hidden="true" customHeight="true" outlineLevel="0" collapsed="false">
      <c r="A203" s="181" t="s">
        <v>752</v>
      </c>
      <c r="B203" s="182" t="n">
        <v>1096</v>
      </c>
      <c r="C203" s="183" t="n">
        <v>30422</v>
      </c>
      <c r="D203" s="181" t="s">
        <v>3325</v>
      </c>
      <c r="E203" s="181" t="s">
        <v>373</v>
      </c>
      <c r="F203" s="181" t="s">
        <v>374</v>
      </c>
      <c r="G203" s="181" t="s">
        <v>225</v>
      </c>
      <c r="H203" s="181" t="s">
        <v>626</v>
      </c>
      <c r="I203" s="181" t="s">
        <v>220</v>
      </c>
      <c r="J203" s="267"/>
      <c r="K203" s="269" t="n">
        <v>45891</v>
      </c>
      <c r="L203" s="267" t="n">
        <v>1</v>
      </c>
      <c r="M203" s="184" t="s">
        <v>225</v>
      </c>
      <c r="N203" s="184" t="n">
        <v>38090</v>
      </c>
      <c r="O203" s="184" t="n">
        <v>14180</v>
      </c>
      <c r="P203" s="185" t="n">
        <v>26</v>
      </c>
      <c r="Q203" s="184" t="n">
        <v>23910</v>
      </c>
      <c r="R203" s="184" t="n">
        <v>17693.4</v>
      </c>
      <c r="S203" s="184" t="s">
        <v>753</v>
      </c>
      <c r="T203" s="187" t="n">
        <v>45891</v>
      </c>
    </row>
    <row r="204" customFormat="false" ht="38.25" hidden="true" customHeight="true" outlineLevel="0" collapsed="false">
      <c r="A204" s="181" t="s">
        <v>754</v>
      </c>
      <c r="B204" s="182" t="n">
        <v>1100</v>
      </c>
      <c r="C204" s="183" t="n">
        <v>30435</v>
      </c>
      <c r="D204" s="181" t="s">
        <v>3325</v>
      </c>
      <c r="E204" s="181" t="s">
        <v>261</v>
      </c>
      <c r="F204" s="181" t="s">
        <v>262</v>
      </c>
      <c r="G204" s="181" t="s">
        <v>224</v>
      </c>
      <c r="H204" s="181" t="s">
        <v>607</v>
      </c>
      <c r="I204" s="181" t="s">
        <v>220</v>
      </c>
      <c r="J204" s="267"/>
      <c r="K204" s="269" t="n">
        <v>45891</v>
      </c>
      <c r="L204" s="267" t="n">
        <v>1.1</v>
      </c>
      <c r="M204" s="184" t="s">
        <v>224</v>
      </c>
      <c r="N204" s="184" t="n">
        <v>38690</v>
      </c>
      <c r="O204" s="184" t="n">
        <v>15060</v>
      </c>
      <c r="P204" s="185" t="n">
        <v>5</v>
      </c>
      <c r="Q204" s="184" t="n">
        <v>23630</v>
      </c>
      <c r="R204" s="184" t="n">
        <v>22448.5</v>
      </c>
      <c r="S204" s="184" t="s">
        <v>755</v>
      </c>
      <c r="T204" s="187" t="n">
        <v>45891</v>
      </c>
    </row>
    <row r="205" customFormat="false" ht="38.25" hidden="true" customHeight="true" outlineLevel="0" collapsed="false">
      <c r="A205" s="181" t="s">
        <v>756</v>
      </c>
      <c r="B205" s="182" t="n">
        <v>1101</v>
      </c>
      <c r="C205" s="183" t="n">
        <v>30437</v>
      </c>
      <c r="D205" s="181" t="s">
        <v>3325</v>
      </c>
      <c r="E205" s="181" t="s">
        <v>272</v>
      </c>
      <c r="F205" s="181" t="s">
        <v>273</v>
      </c>
      <c r="G205" s="181" t="s">
        <v>224</v>
      </c>
      <c r="H205" s="181" t="s">
        <v>607</v>
      </c>
      <c r="I205" s="181" t="s">
        <v>220</v>
      </c>
      <c r="J205" s="267"/>
      <c r="K205" s="269" t="n">
        <v>45891</v>
      </c>
      <c r="L205" s="267" t="n">
        <v>1.1</v>
      </c>
      <c r="M205" s="184" t="s">
        <v>224</v>
      </c>
      <c r="N205" s="184" t="n">
        <v>39190</v>
      </c>
      <c r="O205" s="184" t="n">
        <v>15620</v>
      </c>
      <c r="P205" s="185" t="n">
        <v>19</v>
      </c>
      <c r="Q205" s="184" t="n">
        <v>23570</v>
      </c>
      <c r="R205" s="184" t="n">
        <v>19091.7</v>
      </c>
      <c r="S205" s="184" t="s">
        <v>757</v>
      </c>
      <c r="T205" s="187" t="n">
        <v>45891</v>
      </c>
    </row>
    <row r="206" customFormat="false" ht="38.25" hidden="true" customHeight="true" outlineLevel="0" collapsed="false">
      <c r="A206" s="181" t="s">
        <v>758</v>
      </c>
      <c r="B206" s="182" t="n">
        <v>1102</v>
      </c>
      <c r="C206" s="183" t="n">
        <v>30439</v>
      </c>
      <c r="D206" s="181" t="s">
        <v>3325</v>
      </c>
      <c r="E206" s="181" t="s">
        <v>296</v>
      </c>
      <c r="F206" s="181" t="s">
        <v>297</v>
      </c>
      <c r="G206" s="181" t="s">
        <v>224</v>
      </c>
      <c r="H206" s="181" t="s">
        <v>607</v>
      </c>
      <c r="I206" s="181" t="s">
        <v>220</v>
      </c>
      <c r="J206" s="267"/>
      <c r="K206" s="269" t="n">
        <v>45891</v>
      </c>
      <c r="L206" s="267" t="n">
        <v>1</v>
      </c>
      <c r="M206" s="184" t="s">
        <v>224</v>
      </c>
      <c r="N206" s="184" t="n">
        <v>38090</v>
      </c>
      <c r="O206" s="184" t="n">
        <v>15410</v>
      </c>
      <c r="P206" s="185" t="n">
        <v>11</v>
      </c>
      <c r="Q206" s="184" t="n">
        <v>22680</v>
      </c>
      <c r="R206" s="184" t="n">
        <v>20185.2</v>
      </c>
      <c r="S206" s="184" t="s">
        <v>759</v>
      </c>
      <c r="T206" s="187" t="n">
        <v>45891</v>
      </c>
    </row>
    <row r="207" customFormat="false" ht="38.25" hidden="true" customHeight="true" outlineLevel="0" collapsed="false">
      <c r="A207" s="181" t="s">
        <v>760</v>
      </c>
      <c r="B207" s="182" t="n">
        <v>1103</v>
      </c>
      <c r="C207" s="183" t="n">
        <v>30445</v>
      </c>
      <c r="D207" s="181" t="s">
        <v>3325</v>
      </c>
      <c r="E207" s="181" t="s">
        <v>533</v>
      </c>
      <c r="F207" s="181" t="s">
        <v>534</v>
      </c>
      <c r="G207" s="269" t="s">
        <v>224</v>
      </c>
      <c r="H207" s="181" t="s">
        <v>607</v>
      </c>
      <c r="I207" s="181" t="s">
        <v>220</v>
      </c>
      <c r="J207" s="267"/>
      <c r="K207" s="269" t="n">
        <v>45891</v>
      </c>
      <c r="L207" s="267" t="n">
        <v>1.2</v>
      </c>
      <c r="M207" s="184" t="s">
        <v>224</v>
      </c>
      <c r="N207" s="184" t="n">
        <v>41220</v>
      </c>
      <c r="O207" s="184" t="n">
        <v>14700</v>
      </c>
      <c r="P207" s="185" t="n">
        <v>34</v>
      </c>
      <c r="Q207" s="184" t="n">
        <v>26520</v>
      </c>
      <c r="R207" s="184" t="n">
        <v>17503.2</v>
      </c>
      <c r="S207" s="184" t="s">
        <v>761</v>
      </c>
      <c r="T207" s="187" t="n">
        <v>45892</v>
      </c>
    </row>
    <row r="208" customFormat="false" ht="38.25" hidden="true" customHeight="true" outlineLevel="0" collapsed="false">
      <c r="A208" s="181" t="s">
        <v>764</v>
      </c>
      <c r="B208" s="182" t="n">
        <v>1105</v>
      </c>
      <c r="C208" s="183" t="n">
        <v>30452</v>
      </c>
      <c r="D208" s="181" t="s">
        <v>3325</v>
      </c>
      <c r="E208" s="181" t="s">
        <v>537</v>
      </c>
      <c r="F208" s="181" t="s">
        <v>538</v>
      </c>
      <c r="G208" s="269" t="s">
        <v>224</v>
      </c>
      <c r="H208" s="181" t="s">
        <v>607</v>
      </c>
      <c r="I208" s="181" t="s">
        <v>220</v>
      </c>
      <c r="J208" s="267"/>
      <c r="K208" s="269" t="n">
        <v>45891</v>
      </c>
      <c r="L208" s="267" t="n">
        <v>1</v>
      </c>
      <c r="M208" s="184" t="s">
        <v>224</v>
      </c>
      <c r="N208" s="184" t="n">
        <v>36340</v>
      </c>
      <c r="O208" s="184" t="n">
        <v>13930</v>
      </c>
      <c r="P208" s="185" t="n">
        <v>8</v>
      </c>
      <c r="Q208" s="184" t="n">
        <v>22410</v>
      </c>
      <c r="R208" s="184" t="n">
        <v>20617.2</v>
      </c>
      <c r="S208" s="184" t="s">
        <v>765</v>
      </c>
      <c r="T208" s="187" t="n">
        <v>45892</v>
      </c>
    </row>
    <row r="209" customFormat="false" ht="38.25" hidden="true" customHeight="true" outlineLevel="0" collapsed="false">
      <c r="A209" s="181" t="s">
        <v>766</v>
      </c>
      <c r="B209" s="182" t="n">
        <v>1106</v>
      </c>
      <c r="C209" s="183" t="n">
        <v>30447</v>
      </c>
      <c r="D209" s="181" t="s">
        <v>3325</v>
      </c>
      <c r="E209" s="181" t="s">
        <v>541</v>
      </c>
      <c r="F209" s="181" t="s">
        <v>542</v>
      </c>
      <c r="G209" s="269" t="s">
        <v>224</v>
      </c>
      <c r="H209" s="181" t="s">
        <v>607</v>
      </c>
      <c r="I209" s="181" t="s">
        <v>220</v>
      </c>
      <c r="J209" s="267"/>
      <c r="K209" s="269" t="n">
        <v>45891</v>
      </c>
      <c r="L209" s="267" t="n">
        <v>1.2</v>
      </c>
      <c r="M209" s="184" t="s">
        <v>224</v>
      </c>
      <c r="N209" s="184" t="n">
        <v>40950</v>
      </c>
      <c r="O209" s="184" t="n">
        <v>14980</v>
      </c>
      <c r="P209" s="185" t="n">
        <v>12</v>
      </c>
      <c r="Q209" s="184" t="n">
        <v>25970</v>
      </c>
      <c r="R209" s="184" t="n">
        <v>22853.6</v>
      </c>
      <c r="S209" s="184" t="s">
        <v>767</v>
      </c>
      <c r="T209" s="187" t="n">
        <v>45892</v>
      </c>
    </row>
    <row r="210" customFormat="false" ht="38.25" hidden="true" customHeight="true" outlineLevel="0" collapsed="false">
      <c r="A210" s="181" t="s">
        <v>762</v>
      </c>
      <c r="B210" s="182" t="n">
        <v>1104</v>
      </c>
      <c r="C210" s="183" t="n">
        <v>30450</v>
      </c>
      <c r="D210" s="181" t="s">
        <v>3325</v>
      </c>
      <c r="E210" s="181" t="s">
        <v>549</v>
      </c>
      <c r="F210" s="181" t="s">
        <v>550</v>
      </c>
      <c r="G210" s="269" t="s">
        <v>224</v>
      </c>
      <c r="H210" s="181" t="s">
        <v>607</v>
      </c>
      <c r="I210" s="181" t="s">
        <v>220</v>
      </c>
      <c r="J210" s="267"/>
      <c r="K210" s="269" t="n">
        <v>45891</v>
      </c>
      <c r="L210" s="267" t="n">
        <v>1.2</v>
      </c>
      <c r="M210" s="184" t="s">
        <v>224</v>
      </c>
      <c r="N210" s="184" t="n">
        <v>42500</v>
      </c>
      <c r="O210" s="184" t="n">
        <v>15930</v>
      </c>
      <c r="P210" s="185" t="n">
        <v>10</v>
      </c>
      <c r="Q210" s="184" t="n">
        <v>26570</v>
      </c>
      <c r="R210" s="184" t="n">
        <v>23913</v>
      </c>
      <c r="S210" s="184" t="s">
        <v>763</v>
      </c>
      <c r="T210" s="187" t="n">
        <v>45892</v>
      </c>
    </row>
    <row r="211" customFormat="false" ht="38.25" hidden="true" customHeight="true" outlineLevel="0" collapsed="false">
      <c r="A211" s="181" t="s">
        <v>768</v>
      </c>
      <c r="B211" s="182" t="n">
        <v>1107</v>
      </c>
      <c r="C211" s="183" t="n">
        <v>30454</v>
      </c>
      <c r="D211" s="181" t="s">
        <v>3325</v>
      </c>
      <c r="E211" s="181" t="s">
        <v>545</v>
      </c>
      <c r="F211" s="181" t="s">
        <v>546</v>
      </c>
      <c r="G211" s="269" t="s">
        <v>224</v>
      </c>
      <c r="H211" s="181" t="s">
        <v>607</v>
      </c>
      <c r="I211" s="181" t="s">
        <v>220</v>
      </c>
      <c r="J211" s="267"/>
      <c r="K211" s="269" t="n">
        <v>45891</v>
      </c>
      <c r="L211" s="267" t="n">
        <v>1.2</v>
      </c>
      <c r="M211" s="184" t="s">
        <v>224</v>
      </c>
      <c r="N211" s="184" t="n">
        <v>42720</v>
      </c>
      <c r="O211" s="184" t="n">
        <v>16100</v>
      </c>
      <c r="P211" s="185" t="n">
        <v>8</v>
      </c>
      <c r="Q211" s="184" t="n">
        <v>26620</v>
      </c>
      <c r="R211" s="184" t="n">
        <v>24490.4</v>
      </c>
      <c r="S211" s="184" t="s">
        <v>769</v>
      </c>
      <c r="T211" s="187" t="n">
        <v>45892</v>
      </c>
    </row>
    <row r="212" customFormat="false" ht="38.25" hidden="true" customHeight="true" outlineLevel="0" collapsed="false">
      <c r="A212" s="181" t="s">
        <v>770</v>
      </c>
      <c r="B212" s="182" t="n">
        <v>1108</v>
      </c>
      <c r="C212" s="183" t="n">
        <v>30456</v>
      </c>
      <c r="D212" s="181" t="s">
        <v>3325</v>
      </c>
      <c r="E212" s="181" t="s">
        <v>282</v>
      </c>
      <c r="F212" s="181" t="s">
        <v>283</v>
      </c>
      <c r="G212" s="269" t="s">
        <v>224</v>
      </c>
      <c r="H212" s="181" t="s">
        <v>607</v>
      </c>
      <c r="I212" s="181" t="s">
        <v>220</v>
      </c>
      <c r="J212" s="267"/>
      <c r="K212" s="269" t="n">
        <v>45891</v>
      </c>
      <c r="L212" s="267" t="n">
        <v>1.1</v>
      </c>
      <c r="M212" s="184" t="s">
        <v>224</v>
      </c>
      <c r="N212" s="184" t="n">
        <v>39680</v>
      </c>
      <c r="O212" s="184" t="n">
        <v>15040</v>
      </c>
      <c r="P212" s="185" t="n">
        <v>31</v>
      </c>
      <c r="Q212" s="184" t="n">
        <v>24640</v>
      </c>
      <c r="R212" s="184" t="n">
        <v>17001.6</v>
      </c>
      <c r="S212" s="184" t="s">
        <v>771</v>
      </c>
      <c r="T212" s="187" t="n">
        <v>45892</v>
      </c>
    </row>
    <row r="213" customFormat="false" ht="38.25" hidden="true" customHeight="true" outlineLevel="0" collapsed="false">
      <c r="A213" s="181" t="s">
        <v>772</v>
      </c>
      <c r="B213" s="182" t="n">
        <v>1109</v>
      </c>
      <c r="C213" s="183" t="n">
        <v>30458</v>
      </c>
      <c r="D213" s="181" t="s">
        <v>3325</v>
      </c>
      <c r="E213" s="181" t="s">
        <v>350</v>
      </c>
      <c r="F213" s="181" t="s">
        <v>351</v>
      </c>
      <c r="G213" s="269" t="s">
        <v>224</v>
      </c>
      <c r="H213" s="181" t="s">
        <v>607</v>
      </c>
      <c r="I213" s="181" t="s">
        <v>220</v>
      </c>
      <c r="J213" s="267"/>
      <c r="K213" s="269" t="n">
        <v>45891</v>
      </c>
      <c r="L213" s="267" t="n">
        <v>1.3</v>
      </c>
      <c r="M213" s="184" t="s">
        <v>224</v>
      </c>
      <c r="N213" s="184" t="n">
        <v>42860</v>
      </c>
      <c r="O213" s="184" t="n">
        <v>14940</v>
      </c>
      <c r="P213" s="185" t="n">
        <v>15</v>
      </c>
      <c r="Q213" s="184" t="n">
        <v>27920</v>
      </c>
      <c r="R213" s="184" t="n">
        <v>23732</v>
      </c>
      <c r="S213" s="184" t="s">
        <v>773</v>
      </c>
      <c r="T213" s="187" t="n">
        <v>45892</v>
      </c>
    </row>
    <row r="214" customFormat="false" ht="38.25" hidden="true" customHeight="true" outlineLevel="0" collapsed="false">
      <c r="A214" s="181" t="s">
        <v>774</v>
      </c>
      <c r="B214" s="182" t="n">
        <v>1110</v>
      </c>
      <c r="C214" s="183" t="n">
        <v>30460</v>
      </c>
      <c r="D214" s="181" t="s">
        <v>3325</v>
      </c>
      <c r="E214" s="181" t="s">
        <v>377</v>
      </c>
      <c r="F214" s="181" t="s">
        <v>378</v>
      </c>
      <c r="G214" s="269" t="s">
        <v>224</v>
      </c>
      <c r="H214" s="181" t="s">
        <v>607</v>
      </c>
      <c r="I214" s="181" t="s">
        <v>220</v>
      </c>
      <c r="J214" s="267"/>
      <c r="K214" s="269" t="n">
        <v>45891</v>
      </c>
      <c r="L214" s="267" t="n">
        <v>1.2</v>
      </c>
      <c r="M214" s="184" t="s">
        <v>224</v>
      </c>
      <c r="N214" s="184" t="n">
        <v>41830</v>
      </c>
      <c r="O214" s="184" t="n">
        <v>15570</v>
      </c>
      <c r="P214" s="185" t="n">
        <v>8</v>
      </c>
      <c r="Q214" s="184" t="n">
        <v>26260</v>
      </c>
      <c r="R214" s="184" t="n">
        <v>24159.2</v>
      </c>
      <c r="S214" s="184" t="s">
        <v>775</v>
      </c>
      <c r="T214" s="187" t="n">
        <v>45892</v>
      </c>
    </row>
    <row r="215" customFormat="false" ht="38.25" hidden="true" customHeight="true" outlineLevel="0" collapsed="false">
      <c r="A215" s="181" t="s">
        <v>776</v>
      </c>
      <c r="B215" s="182" t="n">
        <v>1111</v>
      </c>
      <c r="C215" s="183" t="n">
        <v>30463</v>
      </c>
      <c r="D215" s="181" t="s">
        <v>3325</v>
      </c>
      <c r="E215" s="181" t="s">
        <v>399</v>
      </c>
      <c r="F215" s="181" t="s">
        <v>400</v>
      </c>
      <c r="G215" s="269" t="s">
        <v>224</v>
      </c>
      <c r="H215" s="181" t="s">
        <v>607</v>
      </c>
      <c r="I215" s="181" t="s">
        <v>220</v>
      </c>
      <c r="J215" s="267"/>
      <c r="K215" s="269" t="n">
        <v>45891</v>
      </c>
      <c r="L215" s="267" t="n">
        <v>1.2</v>
      </c>
      <c r="M215" s="184" t="s">
        <v>224</v>
      </c>
      <c r="N215" s="184" t="n">
        <v>45680</v>
      </c>
      <c r="O215" s="184" t="n">
        <v>19410</v>
      </c>
      <c r="P215" s="185" t="n">
        <v>13</v>
      </c>
      <c r="Q215" s="184" t="n">
        <v>26270</v>
      </c>
      <c r="R215" s="184" t="n">
        <v>22854.9</v>
      </c>
      <c r="S215" s="184" t="s">
        <v>777</v>
      </c>
      <c r="T215" s="187" t="n">
        <v>45892</v>
      </c>
    </row>
    <row r="216" customFormat="false" ht="38.25" hidden="true" customHeight="true" outlineLevel="0" collapsed="false">
      <c r="A216" s="181" t="s">
        <v>778</v>
      </c>
      <c r="B216" s="182" t="n">
        <v>1113</v>
      </c>
      <c r="C216" s="183" t="n">
        <v>30466</v>
      </c>
      <c r="D216" s="181" t="s">
        <v>3325</v>
      </c>
      <c r="E216" s="181" t="s">
        <v>391</v>
      </c>
      <c r="F216" s="181" t="s">
        <v>392</v>
      </c>
      <c r="G216" s="269" t="s">
        <v>224</v>
      </c>
      <c r="H216" s="181" t="s">
        <v>607</v>
      </c>
      <c r="I216" s="181" t="s">
        <v>220</v>
      </c>
      <c r="J216" s="267"/>
      <c r="K216" s="269" t="n">
        <v>45891</v>
      </c>
      <c r="L216" s="267" t="n">
        <v>0.9</v>
      </c>
      <c r="M216" s="184" t="s">
        <v>224</v>
      </c>
      <c r="N216" s="184" t="n">
        <v>35190</v>
      </c>
      <c r="O216" s="184" t="n">
        <v>14480</v>
      </c>
      <c r="P216" s="185" t="n">
        <v>16</v>
      </c>
      <c r="Q216" s="184" t="n">
        <v>20710</v>
      </c>
      <c r="R216" s="184" t="n">
        <v>17396.4</v>
      </c>
      <c r="S216" s="184" t="s">
        <v>779</v>
      </c>
      <c r="T216" s="187" t="n">
        <v>45892</v>
      </c>
    </row>
    <row r="217" customFormat="false" ht="38.25" hidden="true" customHeight="true" outlineLevel="0" collapsed="false">
      <c r="A217" s="181" t="s">
        <v>780</v>
      </c>
      <c r="B217" s="182" t="n">
        <v>1114</v>
      </c>
      <c r="C217" s="183" t="n">
        <v>30468</v>
      </c>
      <c r="D217" s="181" t="s">
        <v>3325</v>
      </c>
      <c r="E217" s="181" t="s">
        <v>529</v>
      </c>
      <c r="F217" s="181" t="s">
        <v>530</v>
      </c>
      <c r="G217" s="181" t="s">
        <v>224</v>
      </c>
      <c r="H217" s="181" t="s">
        <v>607</v>
      </c>
      <c r="I217" s="181" t="s">
        <v>220</v>
      </c>
      <c r="J217" s="267"/>
      <c r="K217" s="269" t="n">
        <v>45891</v>
      </c>
      <c r="L217" s="267" t="n">
        <v>1</v>
      </c>
      <c r="M217" s="184" t="s">
        <v>224</v>
      </c>
      <c r="N217" s="184" t="n">
        <v>35870</v>
      </c>
      <c r="O217" s="184" t="n">
        <v>14810</v>
      </c>
      <c r="P217" s="185" t="n">
        <v>12</v>
      </c>
      <c r="Q217" s="184" t="n">
        <v>21060</v>
      </c>
      <c r="R217" s="184" t="n">
        <v>18532.8</v>
      </c>
      <c r="S217" s="184" t="s">
        <v>781</v>
      </c>
      <c r="T217" s="187" t="n">
        <v>45892</v>
      </c>
    </row>
    <row r="218" customFormat="false" ht="38.25" hidden="true" customHeight="true" outlineLevel="0" collapsed="false">
      <c r="A218" s="181" t="s">
        <v>782</v>
      </c>
      <c r="B218" s="182" t="n">
        <v>1115</v>
      </c>
      <c r="C218" s="183" t="n">
        <v>30470</v>
      </c>
      <c r="D218" s="181" t="s">
        <v>3325</v>
      </c>
      <c r="E218" s="181" t="s">
        <v>354</v>
      </c>
      <c r="F218" s="181" t="s">
        <v>355</v>
      </c>
      <c r="G218" s="181" t="s">
        <v>224</v>
      </c>
      <c r="H218" s="181" t="s">
        <v>607</v>
      </c>
      <c r="I218" s="181" t="s">
        <v>220</v>
      </c>
      <c r="J218" s="267"/>
      <c r="K218" s="269" t="n">
        <v>45891</v>
      </c>
      <c r="L218" s="267" t="n">
        <v>1.1</v>
      </c>
      <c r="M218" s="184" t="s">
        <v>224</v>
      </c>
      <c r="N218" s="184" t="n">
        <v>39240</v>
      </c>
      <c r="O218" s="184" t="n">
        <v>14740</v>
      </c>
      <c r="P218" s="185" t="n">
        <v>12</v>
      </c>
      <c r="Q218" s="184" t="n">
        <v>24500</v>
      </c>
      <c r="R218" s="184" t="n">
        <v>21560</v>
      </c>
      <c r="S218" s="184" t="s">
        <v>783</v>
      </c>
      <c r="T218" s="187" t="n">
        <v>45892</v>
      </c>
    </row>
    <row r="219" customFormat="false" ht="38.25" hidden="true" customHeight="true" outlineLevel="0" collapsed="false">
      <c r="A219" s="181" t="s">
        <v>784</v>
      </c>
      <c r="B219" s="182" t="n">
        <v>1116</v>
      </c>
      <c r="C219" s="183" t="n">
        <v>30472</v>
      </c>
      <c r="D219" s="181" t="s">
        <v>3325</v>
      </c>
      <c r="E219" s="181" t="s">
        <v>359</v>
      </c>
      <c r="F219" s="181" t="s">
        <v>360</v>
      </c>
      <c r="G219" s="181" t="s">
        <v>224</v>
      </c>
      <c r="H219" s="181" t="s">
        <v>607</v>
      </c>
      <c r="I219" s="181" t="s">
        <v>220</v>
      </c>
      <c r="J219" s="267"/>
      <c r="K219" s="269" t="n">
        <v>45891</v>
      </c>
      <c r="L219" s="267" t="n">
        <v>1</v>
      </c>
      <c r="M219" s="184" t="s">
        <v>224</v>
      </c>
      <c r="N219" s="184" t="n">
        <v>37010</v>
      </c>
      <c r="O219" s="184" t="n">
        <v>14880</v>
      </c>
      <c r="P219" s="185" t="n">
        <v>16</v>
      </c>
      <c r="Q219" s="184" t="n">
        <v>22130</v>
      </c>
      <c r="R219" s="184" t="n">
        <v>18589.2</v>
      </c>
      <c r="S219" s="184" t="s">
        <v>785</v>
      </c>
      <c r="T219" s="187" t="n">
        <v>45892</v>
      </c>
    </row>
    <row r="220" customFormat="false" ht="38.25" hidden="true" customHeight="true" outlineLevel="0" collapsed="false">
      <c r="A220" s="181" t="s">
        <v>786</v>
      </c>
      <c r="B220" s="182" t="n">
        <v>1117</v>
      </c>
      <c r="C220" s="183" t="n">
        <v>30474</v>
      </c>
      <c r="D220" s="181" t="s">
        <v>3325</v>
      </c>
      <c r="E220" s="181" t="s">
        <v>277</v>
      </c>
      <c r="F220" s="181" t="s">
        <v>278</v>
      </c>
      <c r="G220" s="181" t="s">
        <v>224</v>
      </c>
      <c r="H220" s="181" t="s">
        <v>607</v>
      </c>
      <c r="I220" s="181" t="s">
        <v>220</v>
      </c>
      <c r="J220" s="267"/>
      <c r="K220" s="269" t="n">
        <v>45891</v>
      </c>
      <c r="L220" s="267" t="n">
        <v>1.1</v>
      </c>
      <c r="M220" s="184" t="s">
        <v>224</v>
      </c>
      <c r="N220" s="184" t="n">
        <v>40460</v>
      </c>
      <c r="O220" s="184" t="n">
        <v>15160</v>
      </c>
      <c r="P220" s="185" t="n">
        <v>10</v>
      </c>
      <c r="Q220" s="184" t="n">
        <v>25300</v>
      </c>
      <c r="R220" s="184" t="n">
        <v>22770</v>
      </c>
      <c r="S220" s="184" t="s">
        <v>787</v>
      </c>
      <c r="T220" s="187" t="n">
        <v>45892</v>
      </c>
    </row>
    <row r="221" customFormat="false" ht="38.25" hidden="true" customHeight="true" outlineLevel="0" collapsed="false">
      <c r="A221" s="181" t="s">
        <v>788</v>
      </c>
      <c r="B221" s="182" t="n">
        <v>1119</v>
      </c>
      <c r="C221" s="183" t="n">
        <v>30476</v>
      </c>
      <c r="D221" s="181" t="s">
        <v>3325</v>
      </c>
      <c r="E221" s="181" t="s">
        <v>336</v>
      </c>
      <c r="F221" s="181" t="s">
        <v>337</v>
      </c>
      <c r="G221" s="181" t="s">
        <v>224</v>
      </c>
      <c r="H221" s="181" t="s">
        <v>607</v>
      </c>
      <c r="I221" s="181" t="s">
        <v>220</v>
      </c>
      <c r="J221" s="267"/>
      <c r="K221" s="269" t="n">
        <v>45891</v>
      </c>
      <c r="L221" s="267" t="n">
        <v>1.1</v>
      </c>
      <c r="M221" s="184" t="s">
        <v>224</v>
      </c>
      <c r="N221" s="184" t="n">
        <v>39090</v>
      </c>
      <c r="O221" s="184" t="n">
        <v>14470</v>
      </c>
      <c r="P221" s="185" t="n">
        <v>21</v>
      </c>
      <c r="Q221" s="184" t="n">
        <v>24620</v>
      </c>
      <c r="R221" s="184" t="n">
        <v>19449.8</v>
      </c>
      <c r="S221" s="184" t="s">
        <v>789</v>
      </c>
      <c r="T221" s="187" t="n">
        <v>45892</v>
      </c>
    </row>
    <row r="222" customFormat="false" ht="38.25" hidden="true" customHeight="true" outlineLevel="0" collapsed="false">
      <c r="A222" s="181" t="s">
        <v>790</v>
      </c>
      <c r="B222" s="182" t="n">
        <v>1120</v>
      </c>
      <c r="C222" s="183" t="n">
        <v>30478</v>
      </c>
      <c r="D222" s="181" t="s">
        <v>3325</v>
      </c>
      <c r="E222" s="181" t="s">
        <v>340</v>
      </c>
      <c r="F222" s="181" t="s">
        <v>341</v>
      </c>
      <c r="G222" s="181" t="s">
        <v>224</v>
      </c>
      <c r="H222" s="181" t="s">
        <v>607</v>
      </c>
      <c r="I222" s="181" t="s">
        <v>220</v>
      </c>
      <c r="J222" s="267"/>
      <c r="K222" s="269" t="n">
        <v>45892</v>
      </c>
      <c r="L222" s="267" t="n">
        <v>1.3</v>
      </c>
      <c r="M222" s="184" t="s">
        <v>224</v>
      </c>
      <c r="N222" s="184" t="n">
        <v>39520</v>
      </c>
      <c r="O222" s="184" t="n">
        <v>15010</v>
      </c>
      <c r="P222" s="185" t="n">
        <v>23</v>
      </c>
      <c r="Q222" s="184" t="n">
        <v>24510</v>
      </c>
      <c r="R222" s="184" t="n">
        <v>18872.7</v>
      </c>
      <c r="S222" s="184" t="s">
        <v>791</v>
      </c>
      <c r="T222" s="187" t="n">
        <v>45892</v>
      </c>
    </row>
    <row r="223" customFormat="false" ht="38.25" hidden="true" customHeight="true" outlineLevel="0" collapsed="false">
      <c r="A223" s="181" t="s">
        <v>792</v>
      </c>
      <c r="B223" s="182" t="n">
        <v>1121</v>
      </c>
      <c r="C223" s="183" t="n">
        <v>30493</v>
      </c>
      <c r="D223" s="181" t="s">
        <v>3325</v>
      </c>
      <c r="E223" s="181" t="s">
        <v>288</v>
      </c>
      <c r="F223" s="181" t="s">
        <v>289</v>
      </c>
      <c r="G223" s="181" t="s">
        <v>224</v>
      </c>
      <c r="H223" s="181" t="s">
        <v>607</v>
      </c>
      <c r="I223" s="181" t="s">
        <v>220</v>
      </c>
      <c r="J223" s="267"/>
      <c r="K223" s="269" t="n">
        <v>45892</v>
      </c>
      <c r="L223" s="267" t="n">
        <v>1.3</v>
      </c>
      <c r="M223" s="184" t="s">
        <v>224</v>
      </c>
      <c r="N223" s="184" t="n">
        <v>38880</v>
      </c>
      <c r="O223" s="184" t="n">
        <v>14540</v>
      </c>
      <c r="P223" s="185" t="n">
        <v>13</v>
      </c>
      <c r="Q223" s="184" t="n">
        <v>24340</v>
      </c>
      <c r="R223" s="184" t="n">
        <v>21175.8</v>
      </c>
      <c r="S223" s="184" t="s">
        <v>793</v>
      </c>
      <c r="T223" s="187" t="n">
        <v>45892</v>
      </c>
    </row>
    <row r="224" customFormat="false" ht="38.25" hidden="true" customHeight="true" outlineLevel="0" collapsed="false">
      <c r="A224" s="181" t="s">
        <v>794</v>
      </c>
      <c r="B224" s="182" t="n">
        <v>1122</v>
      </c>
      <c r="C224" s="183" t="n">
        <v>30482</v>
      </c>
      <c r="D224" s="181" t="s">
        <v>3325</v>
      </c>
      <c r="E224" s="181" t="s">
        <v>409</v>
      </c>
      <c r="F224" s="181" t="s">
        <v>410</v>
      </c>
      <c r="G224" s="181" t="s">
        <v>224</v>
      </c>
      <c r="H224" s="181" t="s">
        <v>607</v>
      </c>
      <c r="I224" s="181" t="s">
        <v>220</v>
      </c>
      <c r="J224" s="267"/>
      <c r="K224" s="269" t="n">
        <v>45892</v>
      </c>
      <c r="L224" s="267" t="n">
        <v>1.2</v>
      </c>
      <c r="M224" s="184" t="s">
        <v>224</v>
      </c>
      <c r="N224" s="184" t="n">
        <v>46960</v>
      </c>
      <c r="O224" s="184" t="n">
        <v>24190</v>
      </c>
      <c r="P224" s="185" t="n">
        <v>16</v>
      </c>
      <c r="Q224" s="184" t="n">
        <v>22770</v>
      </c>
      <c r="R224" s="184" t="n">
        <v>19126.8</v>
      </c>
      <c r="S224" s="184" t="s">
        <v>795</v>
      </c>
      <c r="T224" s="187" t="n">
        <v>45892</v>
      </c>
    </row>
    <row r="225" customFormat="false" ht="38.25" hidden="true" customHeight="true" outlineLevel="0" collapsed="false">
      <c r="A225" s="181" t="s">
        <v>796</v>
      </c>
      <c r="B225" s="182" t="n">
        <v>1123</v>
      </c>
      <c r="C225" s="183" t="n">
        <v>30486</v>
      </c>
      <c r="D225" s="181" t="s">
        <v>3325</v>
      </c>
      <c r="E225" s="181" t="s">
        <v>346</v>
      </c>
      <c r="F225" s="181" t="s">
        <v>347</v>
      </c>
      <c r="G225" s="181" t="s">
        <v>224</v>
      </c>
      <c r="H225" s="181" t="s">
        <v>607</v>
      </c>
      <c r="I225" s="181" t="s">
        <v>220</v>
      </c>
      <c r="J225" s="267"/>
      <c r="K225" s="269" t="n">
        <v>45892</v>
      </c>
      <c r="L225" s="267" t="n">
        <v>1.3</v>
      </c>
      <c r="M225" s="184" t="s">
        <v>224</v>
      </c>
      <c r="N225" s="184" t="n">
        <v>38870</v>
      </c>
      <c r="O225" s="184" t="n">
        <v>15070</v>
      </c>
      <c r="P225" s="185" t="n">
        <v>14</v>
      </c>
      <c r="Q225" s="184" t="n">
        <v>23800</v>
      </c>
      <c r="R225" s="184" t="n">
        <v>20468</v>
      </c>
      <c r="S225" s="184" t="s">
        <v>797</v>
      </c>
      <c r="T225" s="187" t="n">
        <v>45892</v>
      </c>
    </row>
    <row r="226" customFormat="false" ht="38.25" hidden="true" customHeight="true" outlineLevel="0" collapsed="false">
      <c r="A226" s="181" t="s">
        <v>798</v>
      </c>
      <c r="B226" s="182" t="n">
        <v>1124</v>
      </c>
      <c r="C226" s="183" t="n">
        <v>30484</v>
      </c>
      <c r="D226" s="181" t="s">
        <v>3325</v>
      </c>
      <c r="E226" s="181" t="s">
        <v>413</v>
      </c>
      <c r="F226" s="181" t="s">
        <v>414</v>
      </c>
      <c r="G226" s="181" t="s">
        <v>224</v>
      </c>
      <c r="H226" s="181" t="s">
        <v>607</v>
      </c>
      <c r="I226" s="181" t="s">
        <v>220</v>
      </c>
      <c r="J226" s="267"/>
      <c r="K226" s="269" t="n">
        <v>45892</v>
      </c>
      <c r="L226" s="267" t="n">
        <v>1.5</v>
      </c>
      <c r="M226" s="184" t="s">
        <v>224</v>
      </c>
      <c r="N226" s="184" t="n">
        <v>43090</v>
      </c>
      <c r="O226" s="184" t="n">
        <v>15620</v>
      </c>
      <c r="P226" s="185" t="n">
        <v>17</v>
      </c>
      <c r="Q226" s="184" t="n">
        <v>27470</v>
      </c>
      <c r="R226" s="184" t="n">
        <v>22800.1</v>
      </c>
      <c r="S226" s="184" t="s">
        <v>799</v>
      </c>
      <c r="T226" s="187" t="n">
        <v>45892</v>
      </c>
    </row>
    <row r="227" customFormat="false" ht="38.25" hidden="true" customHeight="true" outlineLevel="0" collapsed="false">
      <c r="A227" s="181" t="s">
        <v>800</v>
      </c>
      <c r="B227" s="182" t="n">
        <v>1125</v>
      </c>
      <c r="C227" s="183" t="n">
        <v>30488</v>
      </c>
      <c r="D227" s="181" t="s">
        <v>3325</v>
      </c>
      <c r="E227" s="181" t="s">
        <v>439</v>
      </c>
      <c r="F227" s="181" t="s">
        <v>440</v>
      </c>
      <c r="G227" s="181" t="s">
        <v>224</v>
      </c>
      <c r="H227" s="181" t="s">
        <v>607</v>
      </c>
      <c r="I227" s="181" t="s">
        <v>220</v>
      </c>
      <c r="J227" s="267"/>
      <c r="K227" s="269" t="n">
        <v>45892</v>
      </c>
      <c r="L227" s="267" t="n">
        <v>1.3</v>
      </c>
      <c r="M227" s="184" t="s">
        <v>224</v>
      </c>
      <c r="N227" s="184" t="n">
        <v>41090</v>
      </c>
      <c r="O227" s="184" t="n">
        <v>16410</v>
      </c>
      <c r="P227" s="185" t="n">
        <v>13</v>
      </c>
      <c r="Q227" s="184" t="n">
        <v>24680</v>
      </c>
      <c r="R227" s="184" t="n">
        <v>21471.6</v>
      </c>
      <c r="S227" s="184" t="s">
        <v>801</v>
      </c>
      <c r="T227" s="187" t="n">
        <v>45892</v>
      </c>
    </row>
    <row r="228" customFormat="false" ht="38.25" hidden="true" customHeight="true" outlineLevel="0" collapsed="false">
      <c r="A228" s="181" t="s">
        <v>802</v>
      </c>
      <c r="B228" s="182" t="n">
        <v>1128</v>
      </c>
      <c r="C228" s="183" t="n">
        <v>30490</v>
      </c>
      <c r="D228" s="181" t="s">
        <v>3325</v>
      </c>
      <c r="E228" s="181" t="s">
        <v>431</v>
      </c>
      <c r="F228" s="181" t="s">
        <v>432</v>
      </c>
      <c r="G228" s="181" t="s">
        <v>224</v>
      </c>
      <c r="H228" s="181" t="s">
        <v>607</v>
      </c>
      <c r="I228" s="181" t="s">
        <v>220</v>
      </c>
      <c r="J228" s="267"/>
      <c r="K228" s="269" t="n">
        <v>45892</v>
      </c>
      <c r="L228" s="267" t="n">
        <v>1.3</v>
      </c>
      <c r="M228" s="184" t="s">
        <v>224</v>
      </c>
      <c r="N228" s="184" t="n">
        <v>41150</v>
      </c>
      <c r="O228" s="184" t="n">
        <v>16540</v>
      </c>
      <c r="P228" s="185" t="n">
        <v>8</v>
      </c>
      <c r="Q228" s="184" t="n">
        <v>24610</v>
      </c>
      <c r="R228" s="184" t="n">
        <v>22641.2</v>
      </c>
      <c r="S228" s="184" t="s">
        <v>803</v>
      </c>
      <c r="T228" s="187" t="n">
        <v>45892</v>
      </c>
    </row>
    <row r="229" customFormat="false" ht="38.25" hidden="true" customHeight="true" outlineLevel="0" collapsed="false">
      <c r="A229" s="181" t="s">
        <v>804</v>
      </c>
      <c r="B229" s="182" t="n">
        <v>1129</v>
      </c>
      <c r="C229" s="183" t="n">
        <v>30492</v>
      </c>
      <c r="D229" s="181" t="s">
        <v>3325</v>
      </c>
      <c r="E229" s="181" t="s">
        <v>435</v>
      </c>
      <c r="F229" s="181" t="s">
        <v>436</v>
      </c>
      <c r="G229" s="181" t="s">
        <v>224</v>
      </c>
      <c r="H229" s="181" t="s">
        <v>607</v>
      </c>
      <c r="I229" s="181" t="s">
        <v>220</v>
      </c>
      <c r="J229" s="267"/>
      <c r="K229" s="269" t="n">
        <v>45892</v>
      </c>
      <c r="L229" s="267" t="n">
        <v>1.3</v>
      </c>
      <c r="M229" s="184" t="s">
        <v>224</v>
      </c>
      <c r="N229" s="184" t="n">
        <v>40180</v>
      </c>
      <c r="O229" s="184" t="n">
        <v>16440</v>
      </c>
      <c r="P229" s="185" t="n">
        <v>12</v>
      </c>
      <c r="Q229" s="184" t="n">
        <v>23740</v>
      </c>
      <c r="R229" s="184" t="n">
        <v>20891.2</v>
      </c>
      <c r="S229" s="184" t="s">
        <v>805</v>
      </c>
      <c r="T229" s="187" t="n">
        <v>45892</v>
      </c>
    </row>
    <row r="230" customFormat="false" ht="38.25" hidden="true" customHeight="true" outlineLevel="0" collapsed="false">
      <c r="A230" s="181" t="s">
        <v>806</v>
      </c>
      <c r="B230" s="182" t="n">
        <v>1130</v>
      </c>
      <c r="C230" s="183" t="n">
        <v>30495</v>
      </c>
      <c r="D230" s="181" t="s">
        <v>3325</v>
      </c>
      <c r="E230" s="181" t="s">
        <v>282</v>
      </c>
      <c r="F230" s="181" t="s">
        <v>283</v>
      </c>
      <c r="G230" s="181" t="s">
        <v>224</v>
      </c>
      <c r="H230" s="181" t="s">
        <v>607</v>
      </c>
      <c r="I230" s="181" t="s">
        <v>220</v>
      </c>
      <c r="J230" s="267"/>
      <c r="K230" s="269" t="n">
        <v>45892</v>
      </c>
      <c r="L230" s="267" t="n">
        <v>1.3</v>
      </c>
      <c r="M230" s="184" t="s">
        <v>224</v>
      </c>
      <c r="N230" s="184" t="n">
        <v>38900</v>
      </c>
      <c r="O230" s="184" t="n">
        <v>15020</v>
      </c>
      <c r="P230" s="185" t="n">
        <v>20</v>
      </c>
      <c r="Q230" s="184" t="n">
        <v>23880</v>
      </c>
      <c r="R230" s="184" t="n">
        <v>19104</v>
      </c>
      <c r="S230" s="184" t="s">
        <v>807</v>
      </c>
      <c r="T230" s="187" t="n">
        <v>45892</v>
      </c>
    </row>
    <row r="231" customFormat="false" ht="38.25" hidden="true" customHeight="true" outlineLevel="0" collapsed="false">
      <c r="A231" s="181" t="s">
        <v>808</v>
      </c>
      <c r="B231" s="182" t="n">
        <v>1131</v>
      </c>
      <c r="C231" s="183" t="n">
        <v>30497</v>
      </c>
      <c r="D231" s="181" t="s">
        <v>3325</v>
      </c>
      <c r="E231" s="181" t="s">
        <v>373</v>
      </c>
      <c r="F231" s="181" t="s">
        <v>374</v>
      </c>
      <c r="G231" s="181" t="s">
        <v>224</v>
      </c>
      <c r="H231" s="181" t="s">
        <v>607</v>
      </c>
      <c r="I231" s="181" t="s">
        <v>220</v>
      </c>
      <c r="J231" s="267"/>
      <c r="K231" s="269" t="n">
        <v>45892</v>
      </c>
      <c r="L231" s="267" t="n">
        <v>1.2</v>
      </c>
      <c r="M231" s="184" t="s">
        <v>224</v>
      </c>
      <c r="N231" s="184" t="n">
        <v>37650</v>
      </c>
      <c r="O231" s="184" t="n">
        <v>14180</v>
      </c>
      <c r="P231" s="185" t="n">
        <v>28</v>
      </c>
      <c r="Q231" s="184" t="n">
        <v>23470</v>
      </c>
      <c r="R231" s="184" t="n">
        <v>16898.4</v>
      </c>
      <c r="S231" s="184" t="s">
        <v>809</v>
      </c>
      <c r="T231" s="187" t="n">
        <v>45892</v>
      </c>
    </row>
    <row r="232" customFormat="false" ht="38.25" hidden="true" customHeight="true" outlineLevel="0" collapsed="false">
      <c r="A232" s="181" t="s">
        <v>810</v>
      </c>
      <c r="B232" s="182" t="n">
        <v>1132</v>
      </c>
      <c r="C232" s="183" t="n">
        <v>30499</v>
      </c>
      <c r="D232" s="181" t="s">
        <v>3325</v>
      </c>
      <c r="E232" s="181" t="s">
        <v>296</v>
      </c>
      <c r="F232" s="181" t="s">
        <v>297</v>
      </c>
      <c r="G232" s="181" t="s">
        <v>224</v>
      </c>
      <c r="H232" s="181" t="s">
        <v>607</v>
      </c>
      <c r="I232" s="181" t="s">
        <v>220</v>
      </c>
      <c r="J232" s="267"/>
      <c r="K232" s="269" t="n">
        <v>45892</v>
      </c>
      <c r="L232" s="267" t="n">
        <v>1.2</v>
      </c>
      <c r="M232" s="184" t="s">
        <v>224</v>
      </c>
      <c r="N232" s="184" t="n">
        <v>37840</v>
      </c>
      <c r="O232" s="184" t="n">
        <v>15440</v>
      </c>
      <c r="P232" s="185" t="n">
        <v>18</v>
      </c>
      <c r="Q232" s="184" t="n">
        <v>22400</v>
      </c>
      <c r="R232" s="184" t="n">
        <v>18368</v>
      </c>
      <c r="S232" s="184" t="s">
        <v>811</v>
      </c>
      <c r="T232" s="187" t="n">
        <v>45892</v>
      </c>
    </row>
    <row r="233" customFormat="false" ht="38.25" hidden="true" customHeight="true" outlineLevel="0" collapsed="false">
      <c r="A233" s="181" t="s">
        <v>812</v>
      </c>
      <c r="B233" s="182" t="n">
        <v>1133</v>
      </c>
      <c r="C233" s="183" t="n">
        <v>30501</v>
      </c>
      <c r="D233" s="181" t="s">
        <v>3325</v>
      </c>
      <c r="E233" s="181" t="s">
        <v>261</v>
      </c>
      <c r="F233" s="181" t="s">
        <v>262</v>
      </c>
      <c r="G233" s="181" t="s">
        <v>224</v>
      </c>
      <c r="H233" s="181" t="s">
        <v>607</v>
      </c>
      <c r="I233" s="181" t="s">
        <v>220</v>
      </c>
      <c r="J233" s="267"/>
      <c r="K233" s="269" t="n">
        <v>45892</v>
      </c>
      <c r="L233" s="267" t="n">
        <v>1.2</v>
      </c>
      <c r="M233" s="184" t="s">
        <v>224</v>
      </c>
      <c r="N233" s="184" t="n">
        <v>38290</v>
      </c>
      <c r="O233" s="184" t="n">
        <v>15070</v>
      </c>
      <c r="P233" s="185" t="n">
        <v>20</v>
      </c>
      <c r="Q233" s="184" t="n">
        <v>23220</v>
      </c>
      <c r="R233" s="184" t="n">
        <v>18576</v>
      </c>
      <c r="S233" s="184" t="s">
        <v>813</v>
      </c>
      <c r="T233" s="187" t="n">
        <v>45892</v>
      </c>
    </row>
    <row r="234" customFormat="false" ht="38.25" hidden="true" customHeight="true" outlineLevel="0" collapsed="false">
      <c r="A234" s="181" t="s">
        <v>814</v>
      </c>
      <c r="B234" s="182" t="n">
        <v>1134</v>
      </c>
      <c r="C234" s="183" t="n">
        <v>30503</v>
      </c>
      <c r="D234" s="181" t="s">
        <v>3325</v>
      </c>
      <c r="E234" s="181" t="s">
        <v>350</v>
      </c>
      <c r="F234" s="181" t="s">
        <v>351</v>
      </c>
      <c r="G234" s="181" t="s">
        <v>224</v>
      </c>
      <c r="H234" s="181" t="s">
        <v>607</v>
      </c>
      <c r="I234" s="181" t="s">
        <v>220</v>
      </c>
      <c r="J234" s="267"/>
      <c r="K234" s="269" t="n">
        <v>45892</v>
      </c>
      <c r="L234" s="267" t="n">
        <v>1.5</v>
      </c>
      <c r="M234" s="184" t="s">
        <v>224</v>
      </c>
      <c r="N234" s="184" t="n">
        <v>43070</v>
      </c>
      <c r="O234" s="184" t="n">
        <v>14990</v>
      </c>
      <c r="P234" s="185" t="n">
        <v>19</v>
      </c>
      <c r="Q234" s="184" t="n">
        <v>28080</v>
      </c>
      <c r="R234" s="184" t="n">
        <v>22744.8</v>
      </c>
      <c r="S234" s="184" t="s">
        <v>815</v>
      </c>
      <c r="T234" s="187" t="n">
        <v>45893</v>
      </c>
    </row>
    <row r="235" customFormat="false" ht="38.25" hidden="true" customHeight="true" outlineLevel="0" collapsed="false">
      <c r="A235" s="181" t="s">
        <v>816</v>
      </c>
      <c r="B235" s="182" t="n">
        <v>1135</v>
      </c>
      <c r="C235" s="183" t="n">
        <v>30505</v>
      </c>
      <c r="D235" s="181" t="s">
        <v>3325</v>
      </c>
      <c r="E235" s="181" t="s">
        <v>377</v>
      </c>
      <c r="F235" s="181" t="s">
        <v>378</v>
      </c>
      <c r="G235" s="181" t="s">
        <v>224</v>
      </c>
      <c r="H235" s="181" t="s">
        <v>607</v>
      </c>
      <c r="I235" s="181" t="s">
        <v>220</v>
      </c>
      <c r="J235" s="267"/>
      <c r="K235" s="269" t="n">
        <v>45892</v>
      </c>
      <c r="L235" s="267" t="n">
        <v>1.4</v>
      </c>
      <c r="M235" s="184" t="s">
        <v>224</v>
      </c>
      <c r="N235" s="184" t="n">
        <v>42130</v>
      </c>
      <c r="O235" s="184" t="n">
        <v>15620</v>
      </c>
      <c r="P235" s="185" t="n">
        <v>18</v>
      </c>
      <c r="Q235" s="184" t="n">
        <v>26510</v>
      </c>
      <c r="R235" s="184" t="n">
        <v>21738.2</v>
      </c>
      <c r="S235" s="184" t="s">
        <v>817</v>
      </c>
      <c r="T235" s="187" t="n">
        <v>45893</v>
      </c>
    </row>
    <row r="236" customFormat="false" ht="38.25" hidden="true" customHeight="true" outlineLevel="0" collapsed="false">
      <c r="A236" s="181" t="s">
        <v>818</v>
      </c>
      <c r="B236" s="182" t="n">
        <v>1136</v>
      </c>
      <c r="C236" s="183" t="n">
        <v>30507</v>
      </c>
      <c r="D236" s="181" t="s">
        <v>3325</v>
      </c>
      <c r="E236" s="181" t="s">
        <v>387</v>
      </c>
      <c r="F236" s="181" t="s">
        <v>388</v>
      </c>
      <c r="G236" s="181" t="s">
        <v>224</v>
      </c>
      <c r="H236" s="181" t="s">
        <v>607</v>
      </c>
      <c r="I236" s="181" t="s">
        <v>220</v>
      </c>
      <c r="J236" s="267"/>
      <c r="K236" s="269" t="n">
        <v>45892</v>
      </c>
      <c r="L236" s="267" t="n">
        <v>1.4</v>
      </c>
      <c r="M236" s="184" t="s">
        <v>224</v>
      </c>
      <c r="N236" s="184" t="n">
        <v>41410</v>
      </c>
      <c r="O236" s="184" t="n">
        <v>14950</v>
      </c>
      <c r="P236" s="185" t="n">
        <v>18</v>
      </c>
      <c r="Q236" s="184" t="n">
        <v>26460</v>
      </c>
      <c r="R236" s="184" t="n">
        <v>21697.2</v>
      </c>
      <c r="S236" s="184" t="s">
        <v>819</v>
      </c>
      <c r="T236" s="187" t="n">
        <v>45893</v>
      </c>
    </row>
    <row r="237" customFormat="false" ht="38.25" hidden="true" customHeight="true" outlineLevel="0" collapsed="false">
      <c r="A237" s="181" t="s">
        <v>820</v>
      </c>
      <c r="B237" s="182" t="n">
        <v>1137</v>
      </c>
      <c r="C237" s="183" t="n">
        <v>30511</v>
      </c>
      <c r="D237" s="181" t="s">
        <v>3325</v>
      </c>
      <c r="E237" s="181" t="s">
        <v>537</v>
      </c>
      <c r="F237" s="181" t="s">
        <v>538</v>
      </c>
      <c r="G237" s="181" t="s">
        <v>224</v>
      </c>
      <c r="H237" s="181" t="s">
        <v>607</v>
      </c>
      <c r="I237" s="181" t="s">
        <v>220</v>
      </c>
      <c r="J237" s="267"/>
      <c r="K237" s="269" t="n">
        <v>45892</v>
      </c>
      <c r="L237" s="267" t="n">
        <v>1.1</v>
      </c>
      <c r="M237" s="184" t="s">
        <v>224</v>
      </c>
      <c r="N237" s="184" t="n">
        <v>34530</v>
      </c>
      <c r="O237" s="184" t="n">
        <v>13970</v>
      </c>
      <c r="P237" s="185" t="n">
        <v>16</v>
      </c>
      <c r="Q237" s="184" t="n">
        <v>20560</v>
      </c>
      <c r="R237" s="184" t="n">
        <v>17270.4</v>
      </c>
      <c r="S237" s="184" t="s">
        <v>821</v>
      </c>
      <c r="T237" s="187" t="n">
        <v>45893</v>
      </c>
    </row>
    <row r="238" customFormat="false" ht="38.25" hidden="true" customHeight="true" outlineLevel="0" collapsed="false">
      <c r="A238" s="181" t="s">
        <v>822</v>
      </c>
      <c r="B238" s="182" t="n">
        <v>1138</v>
      </c>
      <c r="C238" s="183" t="n">
        <v>30509</v>
      </c>
      <c r="D238" s="181" t="s">
        <v>3325</v>
      </c>
      <c r="E238" s="181" t="s">
        <v>272</v>
      </c>
      <c r="F238" s="181" t="s">
        <v>273</v>
      </c>
      <c r="G238" s="181" t="s">
        <v>224</v>
      </c>
      <c r="H238" s="181" t="s">
        <v>607</v>
      </c>
      <c r="I238" s="181" t="s">
        <v>220</v>
      </c>
      <c r="J238" s="267"/>
      <c r="K238" s="269" t="n">
        <v>45892</v>
      </c>
      <c r="L238" s="267" t="n">
        <v>1.2</v>
      </c>
      <c r="M238" s="184" t="s">
        <v>224</v>
      </c>
      <c r="N238" s="184" t="n">
        <v>38160</v>
      </c>
      <c r="O238" s="184" t="n">
        <v>15620</v>
      </c>
      <c r="P238" s="185" t="n">
        <v>49</v>
      </c>
      <c r="Q238" s="184" t="n">
        <v>22540</v>
      </c>
      <c r="R238" s="184" t="n">
        <v>11495.4</v>
      </c>
      <c r="S238" s="184" t="s">
        <v>823</v>
      </c>
      <c r="T238" s="187" t="n">
        <v>45893</v>
      </c>
    </row>
    <row r="239" customFormat="false" ht="38.25" hidden="true" customHeight="true" outlineLevel="0" collapsed="false">
      <c r="A239" s="181" t="s">
        <v>824</v>
      </c>
      <c r="B239" s="182" t="n">
        <v>1139</v>
      </c>
      <c r="C239" s="183" t="n">
        <v>30515</v>
      </c>
      <c r="D239" s="181" t="s">
        <v>3325</v>
      </c>
      <c r="E239" s="181" t="s">
        <v>533</v>
      </c>
      <c r="F239" s="181" t="s">
        <v>534</v>
      </c>
      <c r="G239" s="181" t="s">
        <v>224</v>
      </c>
      <c r="H239" s="181" t="s">
        <v>607</v>
      </c>
      <c r="I239" s="181" t="s">
        <v>220</v>
      </c>
      <c r="J239" s="267"/>
      <c r="K239" s="269" t="n">
        <v>45892</v>
      </c>
      <c r="L239" s="267" t="n">
        <v>1.4</v>
      </c>
      <c r="M239" s="184" t="s">
        <v>224</v>
      </c>
      <c r="N239" s="184" t="n">
        <v>40750</v>
      </c>
      <c r="O239" s="184" t="n">
        <v>14690</v>
      </c>
      <c r="P239" s="185" t="n">
        <v>26</v>
      </c>
      <c r="Q239" s="184" t="n">
        <v>26060</v>
      </c>
      <c r="R239" s="184" t="n">
        <v>19284.4</v>
      </c>
      <c r="S239" s="184" t="s">
        <v>825</v>
      </c>
      <c r="T239" s="187" t="n">
        <v>45893</v>
      </c>
    </row>
    <row r="240" customFormat="false" ht="38.25" hidden="true" customHeight="true" outlineLevel="0" collapsed="false">
      <c r="A240" s="181" t="s">
        <v>826</v>
      </c>
      <c r="B240" s="182" t="n">
        <v>1140</v>
      </c>
      <c r="C240" s="183" t="n">
        <v>30517</v>
      </c>
      <c r="D240" s="181" t="s">
        <v>3325</v>
      </c>
      <c r="E240" s="181" t="s">
        <v>541</v>
      </c>
      <c r="F240" s="181" t="s">
        <v>542</v>
      </c>
      <c r="G240" s="181" t="s">
        <v>224</v>
      </c>
      <c r="H240" s="181" t="s">
        <v>607</v>
      </c>
      <c r="I240" s="181" t="s">
        <v>220</v>
      </c>
      <c r="J240" s="267"/>
      <c r="K240" s="269" t="n">
        <v>45892</v>
      </c>
      <c r="L240" s="267" t="n">
        <v>1.3</v>
      </c>
      <c r="M240" s="184" t="s">
        <v>224</v>
      </c>
      <c r="N240" s="184" t="n">
        <v>38680</v>
      </c>
      <c r="O240" s="184" t="n">
        <v>15030</v>
      </c>
      <c r="P240" s="185" t="n">
        <v>27</v>
      </c>
      <c r="Q240" s="184" t="n">
        <v>23650</v>
      </c>
      <c r="R240" s="184" t="n">
        <v>17264.5</v>
      </c>
      <c r="S240" s="184" t="s">
        <v>827</v>
      </c>
      <c r="T240" s="187" t="n">
        <v>45893</v>
      </c>
    </row>
    <row r="241" customFormat="false" ht="38.25" hidden="true" customHeight="true" outlineLevel="0" collapsed="false">
      <c r="A241" s="181" t="s">
        <v>828</v>
      </c>
      <c r="B241" s="182" t="n">
        <v>1141</v>
      </c>
      <c r="C241" s="183" t="n">
        <v>30513</v>
      </c>
      <c r="D241" s="181" t="s">
        <v>3325</v>
      </c>
      <c r="E241" s="181" t="s">
        <v>399</v>
      </c>
      <c r="F241" s="181" t="s">
        <v>400</v>
      </c>
      <c r="G241" s="181" t="s">
        <v>224</v>
      </c>
      <c r="H241" s="181" t="s">
        <v>607</v>
      </c>
      <c r="I241" s="181" t="s">
        <v>220</v>
      </c>
      <c r="J241" s="267"/>
      <c r="K241" s="269" t="n">
        <v>45892</v>
      </c>
      <c r="L241" s="267" t="n">
        <v>1.3</v>
      </c>
      <c r="M241" s="184" t="s">
        <v>224</v>
      </c>
      <c r="N241" s="184" t="n">
        <v>46570</v>
      </c>
      <c r="O241" s="184" t="n">
        <v>19430</v>
      </c>
      <c r="P241" s="185" t="n">
        <v>32</v>
      </c>
      <c r="Q241" s="184" t="n">
        <v>27140</v>
      </c>
      <c r="R241" s="184" t="n">
        <v>18455.2</v>
      </c>
      <c r="S241" s="184" t="s">
        <v>829</v>
      </c>
      <c r="T241" s="187" t="n">
        <v>45893</v>
      </c>
    </row>
    <row r="242" customFormat="false" ht="38.25" hidden="true" customHeight="true" outlineLevel="0" collapsed="false">
      <c r="A242" s="181" t="s">
        <v>830</v>
      </c>
      <c r="B242" s="182" t="n">
        <v>1153</v>
      </c>
      <c r="C242" s="183" t="n">
        <v>58126</v>
      </c>
      <c r="D242" s="181" t="s">
        <v>3326</v>
      </c>
      <c r="E242" s="181" t="s">
        <v>549</v>
      </c>
      <c r="F242" s="181" t="s">
        <v>550</v>
      </c>
      <c r="G242" s="181" t="s">
        <v>227</v>
      </c>
      <c r="H242" s="181" t="s">
        <v>832</v>
      </c>
      <c r="I242" s="181" t="s">
        <v>220</v>
      </c>
      <c r="J242" s="267"/>
      <c r="K242" s="269" t="n">
        <v>45893</v>
      </c>
      <c r="L242" s="267" t="n">
        <v>1.5</v>
      </c>
      <c r="M242" s="184" t="s">
        <v>227</v>
      </c>
      <c r="N242" s="184" t="n">
        <v>42180</v>
      </c>
      <c r="O242" s="184" t="n">
        <v>15890</v>
      </c>
      <c r="P242" s="185" t="n">
        <v>13</v>
      </c>
      <c r="Q242" s="184" t="n">
        <v>26290</v>
      </c>
      <c r="R242" s="184" t="n">
        <v>22872.3</v>
      </c>
      <c r="S242" s="184" t="s">
        <v>833</v>
      </c>
      <c r="T242" s="187" t="n">
        <v>45893</v>
      </c>
    </row>
    <row r="243" customFormat="false" ht="38.25" hidden="true" customHeight="true" outlineLevel="0" collapsed="false">
      <c r="A243" s="181" t="s">
        <v>834</v>
      </c>
      <c r="B243" s="182" t="n">
        <v>1154</v>
      </c>
      <c r="C243" s="183" t="n">
        <v>58128</v>
      </c>
      <c r="D243" s="181" t="s">
        <v>3326</v>
      </c>
      <c r="E243" s="181" t="s">
        <v>545</v>
      </c>
      <c r="F243" s="181" t="s">
        <v>546</v>
      </c>
      <c r="G243" s="181" t="s">
        <v>227</v>
      </c>
      <c r="H243" s="181" t="s">
        <v>520</v>
      </c>
      <c r="I243" s="181" t="s">
        <v>220</v>
      </c>
      <c r="J243" s="267"/>
      <c r="K243" s="269" t="n">
        <v>45893</v>
      </c>
      <c r="L243" s="267" t="n">
        <v>1.5</v>
      </c>
      <c r="M243" s="184" t="s">
        <v>227</v>
      </c>
      <c r="N243" s="184" t="n">
        <v>41280</v>
      </c>
      <c r="O243" s="184" t="n">
        <v>16080</v>
      </c>
      <c r="P243" s="185" t="n">
        <v>14</v>
      </c>
      <c r="Q243" s="184" t="n">
        <v>25200</v>
      </c>
      <c r="R243" s="184" t="n">
        <v>21672</v>
      </c>
      <c r="S243" s="184" t="s">
        <v>835</v>
      </c>
      <c r="T243" s="187" t="n">
        <v>45893</v>
      </c>
    </row>
    <row r="244" customFormat="false" ht="38.25" hidden="true" customHeight="true" outlineLevel="0" collapsed="false">
      <c r="A244" s="181" t="s">
        <v>836</v>
      </c>
      <c r="B244" s="182" t="n">
        <v>1155</v>
      </c>
      <c r="C244" s="183" t="n">
        <v>58106</v>
      </c>
      <c r="D244" s="181" t="s">
        <v>3326</v>
      </c>
      <c r="E244" s="181" t="s">
        <v>277</v>
      </c>
      <c r="F244" s="181" t="s">
        <v>278</v>
      </c>
      <c r="G244" s="181" t="s">
        <v>228</v>
      </c>
      <c r="H244" s="181" t="s">
        <v>832</v>
      </c>
      <c r="I244" s="181" t="s">
        <v>220</v>
      </c>
      <c r="J244" s="267"/>
      <c r="K244" s="269" t="n">
        <v>45893</v>
      </c>
      <c r="L244" s="267" t="n">
        <v>1.5</v>
      </c>
      <c r="M244" s="184" t="s">
        <v>228</v>
      </c>
      <c r="N244" s="184" t="n">
        <v>41600</v>
      </c>
      <c r="O244" s="184" t="n">
        <v>15190</v>
      </c>
      <c r="P244" s="185" t="n">
        <v>21</v>
      </c>
      <c r="Q244" s="184" t="n">
        <v>26410</v>
      </c>
      <c r="R244" s="184" t="n">
        <v>20863.9</v>
      </c>
      <c r="S244" s="184" t="s">
        <v>837</v>
      </c>
      <c r="T244" s="187" t="n">
        <v>45893</v>
      </c>
    </row>
    <row r="245" customFormat="false" ht="38.25" hidden="true" customHeight="true" outlineLevel="0" collapsed="false">
      <c r="A245" s="181" t="s">
        <v>838</v>
      </c>
      <c r="B245" s="182" t="n">
        <v>1156</v>
      </c>
      <c r="C245" s="183" t="n">
        <v>58110</v>
      </c>
      <c r="D245" s="181" t="s">
        <v>3326</v>
      </c>
      <c r="E245" s="181" t="s">
        <v>354</v>
      </c>
      <c r="F245" s="181" t="s">
        <v>355</v>
      </c>
      <c r="G245" s="181" t="s">
        <v>228</v>
      </c>
      <c r="H245" s="181" t="s">
        <v>832</v>
      </c>
      <c r="I245" s="181" t="s">
        <v>220</v>
      </c>
      <c r="J245" s="267"/>
      <c r="K245" s="269" t="n">
        <v>45893</v>
      </c>
      <c r="L245" s="267" t="n">
        <v>1.3</v>
      </c>
      <c r="M245" s="184" t="s">
        <v>228</v>
      </c>
      <c r="N245" s="184" t="n">
        <v>38150</v>
      </c>
      <c r="O245" s="184" t="n">
        <v>14700</v>
      </c>
      <c r="P245" s="185" t="n">
        <v>16</v>
      </c>
      <c r="Q245" s="184" t="n">
        <v>23450</v>
      </c>
      <c r="R245" s="184" t="n">
        <v>19698</v>
      </c>
      <c r="S245" s="184" t="s">
        <v>839</v>
      </c>
      <c r="T245" s="187" t="n">
        <v>45893</v>
      </c>
    </row>
    <row r="246" customFormat="false" ht="38.25" hidden="true" customHeight="true" outlineLevel="0" collapsed="false">
      <c r="A246" s="181" t="s">
        <v>840</v>
      </c>
      <c r="B246" s="182" t="n">
        <v>1157</v>
      </c>
      <c r="C246" s="183" t="n">
        <v>58108</v>
      </c>
      <c r="D246" s="181" t="s">
        <v>3326</v>
      </c>
      <c r="E246" s="181" t="s">
        <v>359</v>
      </c>
      <c r="F246" s="181" t="s">
        <v>360</v>
      </c>
      <c r="G246" s="181" t="s">
        <v>228</v>
      </c>
      <c r="H246" s="181" t="s">
        <v>832</v>
      </c>
      <c r="I246" s="181" t="s">
        <v>220</v>
      </c>
      <c r="J246" s="267"/>
      <c r="K246" s="269" t="n">
        <v>45893</v>
      </c>
      <c r="L246" s="267" t="n">
        <v>1.3</v>
      </c>
      <c r="M246" s="184" t="s">
        <v>228</v>
      </c>
      <c r="N246" s="184" t="n">
        <v>37570</v>
      </c>
      <c r="O246" s="184" t="n">
        <v>14870</v>
      </c>
      <c r="P246" s="185" t="n">
        <v>18</v>
      </c>
      <c r="Q246" s="184" t="n">
        <v>22700</v>
      </c>
      <c r="R246" s="184" t="n">
        <v>18614</v>
      </c>
      <c r="S246" s="184" t="s">
        <v>841</v>
      </c>
      <c r="T246" s="187" t="n">
        <v>45893</v>
      </c>
    </row>
    <row r="247" customFormat="false" ht="38.25" hidden="true" customHeight="true" outlineLevel="0" collapsed="false">
      <c r="A247" s="181" t="s">
        <v>842</v>
      </c>
      <c r="B247" s="182" t="n">
        <v>1158</v>
      </c>
      <c r="C247" s="183" t="n">
        <v>58112</v>
      </c>
      <c r="D247" s="181" t="s">
        <v>3326</v>
      </c>
      <c r="E247" s="181" t="s">
        <v>409</v>
      </c>
      <c r="F247" s="181" t="s">
        <v>410</v>
      </c>
      <c r="G247" s="181" t="s">
        <v>228</v>
      </c>
      <c r="H247" s="181" t="s">
        <v>832</v>
      </c>
      <c r="I247" s="181" t="s">
        <v>220</v>
      </c>
      <c r="J247" s="267"/>
      <c r="K247" s="269" t="n">
        <v>45893</v>
      </c>
      <c r="L247" s="267" t="n">
        <v>1.3</v>
      </c>
      <c r="M247" s="184" t="s">
        <v>228</v>
      </c>
      <c r="N247" s="184" t="n">
        <v>46580</v>
      </c>
      <c r="O247" s="184" t="n">
        <v>24100</v>
      </c>
      <c r="P247" s="185" t="n">
        <v>26</v>
      </c>
      <c r="Q247" s="184" t="n">
        <v>22480</v>
      </c>
      <c r="R247" s="184" t="n">
        <v>16635.2</v>
      </c>
      <c r="S247" s="184" t="s">
        <v>843</v>
      </c>
      <c r="T247" s="187" t="n">
        <v>45893</v>
      </c>
    </row>
    <row r="248" customFormat="false" ht="38.25" hidden="true" customHeight="true" outlineLevel="0" collapsed="false">
      <c r="A248" s="181" t="s">
        <v>844</v>
      </c>
      <c r="B248" s="182" t="n">
        <v>1159</v>
      </c>
      <c r="C248" s="183" t="n">
        <v>58114</v>
      </c>
      <c r="D248" s="181" t="s">
        <v>3326</v>
      </c>
      <c r="E248" s="181" t="s">
        <v>413</v>
      </c>
      <c r="F248" s="181" t="s">
        <v>414</v>
      </c>
      <c r="G248" s="181" t="s">
        <v>228</v>
      </c>
      <c r="H248" s="181" t="s">
        <v>832</v>
      </c>
      <c r="I248" s="181" t="s">
        <v>220</v>
      </c>
      <c r="J248" s="267"/>
      <c r="K248" s="269" t="n">
        <v>45893</v>
      </c>
      <c r="L248" s="267" t="n">
        <v>1.5</v>
      </c>
      <c r="M248" s="184" t="s">
        <v>228</v>
      </c>
      <c r="N248" s="184" t="n">
        <v>42310</v>
      </c>
      <c r="O248" s="184" t="n">
        <v>15520</v>
      </c>
      <c r="P248" s="185" t="n">
        <v>34</v>
      </c>
      <c r="Q248" s="184" t="n">
        <v>26790</v>
      </c>
      <c r="R248" s="184" t="n">
        <v>17681.4</v>
      </c>
      <c r="S248" s="184" t="s">
        <v>845</v>
      </c>
      <c r="T248" s="187" t="n">
        <v>45893</v>
      </c>
    </row>
    <row r="249" customFormat="false" ht="38.25" hidden="true" customHeight="true" outlineLevel="0" collapsed="false">
      <c r="A249" s="181" t="s">
        <v>846</v>
      </c>
      <c r="B249" s="182" t="n">
        <v>1160</v>
      </c>
      <c r="C249" s="183" t="n">
        <v>58116</v>
      </c>
      <c r="D249" s="181" t="s">
        <v>3326</v>
      </c>
      <c r="E249" s="181" t="s">
        <v>336</v>
      </c>
      <c r="F249" s="181" t="s">
        <v>337</v>
      </c>
      <c r="G249" s="181" t="s">
        <v>228</v>
      </c>
      <c r="H249" s="181" t="s">
        <v>832</v>
      </c>
      <c r="I249" s="181" t="s">
        <v>220</v>
      </c>
      <c r="J249" s="267"/>
      <c r="K249" s="269" t="n">
        <v>45893</v>
      </c>
      <c r="L249" s="267" t="n">
        <v>1.4</v>
      </c>
      <c r="M249" s="184" t="s">
        <v>228</v>
      </c>
      <c r="N249" s="184" t="n">
        <v>38570</v>
      </c>
      <c r="O249" s="184" t="n">
        <v>14470</v>
      </c>
      <c r="P249" s="185" t="n">
        <v>24</v>
      </c>
      <c r="Q249" s="184" t="n">
        <v>24100</v>
      </c>
      <c r="R249" s="184" t="n">
        <v>18316</v>
      </c>
      <c r="S249" s="184" t="s">
        <v>847</v>
      </c>
      <c r="T249" s="187" t="n">
        <v>45894</v>
      </c>
    </row>
    <row r="250" customFormat="false" ht="38.25" hidden="true" customHeight="true" outlineLevel="0" collapsed="false">
      <c r="A250" s="181" t="s">
        <v>848</v>
      </c>
      <c r="B250" s="182" t="n">
        <v>1161</v>
      </c>
      <c r="C250" s="183" t="n">
        <v>58118</v>
      </c>
      <c r="D250" s="181" t="s">
        <v>3326</v>
      </c>
      <c r="E250" s="181" t="s">
        <v>340</v>
      </c>
      <c r="F250" s="181" t="s">
        <v>341</v>
      </c>
      <c r="G250" s="181" t="s">
        <v>228</v>
      </c>
      <c r="H250" s="181" t="s">
        <v>832</v>
      </c>
      <c r="I250" s="181" t="s">
        <v>220</v>
      </c>
      <c r="J250" s="267"/>
      <c r="K250" s="269" t="n">
        <v>45893</v>
      </c>
      <c r="L250" s="267" t="n">
        <v>1.4</v>
      </c>
      <c r="M250" s="184" t="s">
        <v>228</v>
      </c>
      <c r="N250" s="184" t="n">
        <v>39320</v>
      </c>
      <c r="O250" s="184" t="n">
        <v>15070</v>
      </c>
      <c r="P250" s="185" t="n">
        <v>26</v>
      </c>
      <c r="Q250" s="184" t="n">
        <v>24250</v>
      </c>
      <c r="R250" s="184" t="n">
        <v>17945</v>
      </c>
      <c r="S250" s="184" t="s">
        <v>849</v>
      </c>
      <c r="T250" s="187" t="n">
        <v>45894</v>
      </c>
    </row>
    <row r="251" customFormat="false" ht="38.25" hidden="true" customHeight="true" outlineLevel="0" collapsed="false">
      <c r="A251" s="181" t="s">
        <v>850</v>
      </c>
      <c r="B251" s="182" t="n">
        <v>1162</v>
      </c>
      <c r="C251" s="183" t="n">
        <v>58120</v>
      </c>
      <c r="D251" s="181" t="s">
        <v>3326</v>
      </c>
      <c r="E251" s="181" t="s">
        <v>439</v>
      </c>
      <c r="F251" s="181" t="s">
        <v>440</v>
      </c>
      <c r="G251" s="181" t="s">
        <v>228</v>
      </c>
      <c r="H251" s="181" t="s">
        <v>832</v>
      </c>
      <c r="I251" s="181" t="s">
        <v>220</v>
      </c>
      <c r="J251" s="267"/>
      <c r="K251" s="269" t="n">
        <v>45893</v>
      </c>
      <c r="L251" s="267" t="n">
        <v>1.4</v>
      </c>
      <c r="M251" s="184" t="s">
        <v>228</v>
      </c>
      <c r="N251" s="184" t="n">
        <v>40430</v>
      </c>
      <c r="O251" s="184" t="n">
        <v>16390</v>
      </c>
      <c r="P251" s="185" t="n">
        <v>29</v>
      </c>
      <c r="Q251" s="184" t="n">
        <v>24040</v>
      </c>
      <c r="R251" s="184" t="n">
        <v>17068.4</v>
      </c>
      <c r="S251" s="184" t="s">
        <v>851</v>
      </c>
      <c r="T251" s="187" t="n">
        <v>45894</v>
      </c>
    </row>
    <row r="252" customFormat="false" ht="38.25" hidden="true" customHeight="true" outlineLevel="0" collapsed="false">
      <c r="A252" s="181" t="s">
        <v>852</v>
      </c>
      <c r="B252" s="182" t="n">
        <v>1163</v>
      </c>
      <c r="C252" s="183" t="n">
        <v>58122</v>
      </c>
      <c r="D252" s="181" t="s">
        <v>3326</v>
      </c>
      <c r="E252" s="181" t="s">
        <v>431</v>
      </c>
      <c r="F252" s="181" t="s">
        <v>432</v>
      </c>
      <c r="G252" s="181" t="s">
        <v>228</v>
      </c>
      <c r="H252" s="181" t="s">
        <v>832</v>
      </c>
      <c r="I252" s="181" t="s">
        <v>220</v>
      </c>
      <c r="J252" s="267"/>
      <c r="K252" s="269" t="n">
        <v>45893</v>
      </c>
      <c r="L252" s="267" t="n">
        <v>1.3</v>
      </c>
      <c r="M252" s="184" t="s">
        <v>228</v>
      </c>
      <c r="N252" s="184" t="n">
        <v>38750</v>
      </c>
      <c r="O252" s="184" t="n">
        <v>16580</v>
      </c>
      <c r="P252" s="185" t="n">
        <v>33</v>
      </c>
      <c r="Q252" s="184" t="n">
        <v>22170</v>
      </c>
      <c r="R252" s="184" t="n">
        <v>14853.9</v>
      </c>
      <c r="S252" s="184" t="s">
        <v>853</v>
      </c>
      <c r="T252" s="187" t="n">
        <v>45894</v>
      </c>
    </row>
    <row r="253" customFormat="false" ht="38.25" hidden="true" customHeight="true" outlineLevel="0" collapsed="false">
      <c r="A253" s="181" t="s">
        <v>854</v>
      </c>
      <c r="B253" s="182" t="n">
        <v>1164</v>
      </c>
      <c r="C253" s="183" t="n">
        <v>58124</v>
      </c>
      <c r="D253" s="181" t="s">
        <v>3326</v>
      </c>
      <c r="E253" s="181" t="s">
        <v>435</v>
      </c>
      <c r="F253" s="181" t="s">
        <v>436</v>
      </c>
      <c r="G253" s="181" t="s">
        <v>228</v>
      </c>
      <c r="H253" s="181" t="s">
        <v>832</v>
      </c>
      <c r="I253" s="181" t="s">
        <v>220</v>
      </c>
      <c r="J253" s="267"/>
      <c r="K253" s="269" t="n">
        <v>45893</v>
      </c>
      <c r="L253" s="267" t="n">
        <v>1.3</v>
      </c>
      <c r="M253" s="184" t="s">
        <v>228</v>
      </c>
      <c r="N253" s="184" t="n">
        <v>39920</v>
      </c>
      <c r="O253" s="184" t="n">
        <v>16380</v>
      </c>
      <c r="P253" s="185" t="n">
        <v>36</v>
      </c>
      <c r="Q253" s="184" t="n">
        <v>23540</v>
      </c>
      <c r="R253" s="184" t="n">
        <v>15065.6</v>
      </c>
      <c r="S253" s="184" t="s">
        <v>855</v>
      </c>
      <c r="T253" s="187" t="n">
        <v>45894</v>
      </c>
    </row>
    <row r="254" customFormat="false" ht="38.25" hidden="true" customHeight="true" outlineLevel="0" collapsed="false">
      <c r="A254" s="181" t="s">
        <v>856</v>
      </c>
      <c r="B254" s="182" t="n">
        <v>1165</v>
      </c>
      <c r="C254" s="183" t="n">
        <v>58154</v>
      </c>
      <c r="D254" s="181" t="s">
        <v>3326</v>
      </c>
      <c r="E254" s="181" t="s">
        <v>308</v>
      </c>
      <c r="F254" s="181" t="s">
        <v>309</v>
      </c>
      <c r="G254" s="181" t="s">
        <v>228</v>
      </c>
      <c r="H254" s="181" t="s">
        <v>832</v>
      </c>
      <c r="I254" s="181" t="s">
        <v>220</v>
      </c>
      <c r="J254" s="267"/>
      <c r="K254" s="269" t="n">
        <v>45893</v>
      </c>
      <c r="L254" s="267" t="n">
        <v>1.2</v>
      </c>
      <c r="M254" s="184" t="s">
        <v>228</v>
      </c>
      <c r="N254" s="184" t="n">
        <v>45140</v>
      </c>
      <c r="O254" s="184" t="n">
        <v>24130</v>
      </c>
      <c r="P254" s="185" t="n">
        <v>40</v>
      </c>
      <c r="Q254" s="184" t="n">
        <v>21010</v>
      </c>
      <c r="R254" s="184" t="n">
        <v>12606</v>
      </c>
      <c r="S254" s="184" t="s">
        <v>857</v>
      </c>
      <c r="T254" s="187" t="n">
        <v>45894</v>
      </c>
    </row>
    <row r="255" customFormat="false" ht="38.25" hidden="true" customHeight="true" outlineLevel="0" collapsed="false">
      <c r="A255" s="181" t="s">
        <v>858</v>
      </c>
      <c r="B255" s="182" t="n">
        <v>1174</v>
      </c>
      <c r="C255" s="183" t="n">
        <v>58156</v>
      </c>
      <c r="D255" s="181" t="s">
        <v>3326</v>
      </c>
      <c r="E255" s="181" t="s">
        <v>377</v>
      </c>
      <c r="F255" s="181" t="s">
        <v>378</v>
      </c>
      <c r="G255" s="181" t="s">
        <v>228</v>
      </c>
      <c r="H255" s="181" t="s">
        <v>832</v>
      </c>
      <c r="I255" s="181" t="s">
        <v>220</v>
      </c>
      <c r="J255" s="267"/>
      <c r="K255" s="187" t="n">
        <v>45894</v>
      </c>
      <c r="L255" s="267" t="n">
        <v>1</v>
      </c>
      <c r="M255" s="184" t="s">
        <v>228</v>
      </c>
      <c r="N255" s="184" t="n">
        <v>35480</v>
      </c>
      <c r="O255" s="184" t="n">
        <v>15610</v>
      </c>
      <c r="P255" s="185" t="n">
        <v>20</v>
      </c>
      <c r="Q255" s="184" t="n">
        <v>19870</v>
      </c>
      <c r="R255" s="184" t="n">
        <v>15896</v>
      </c>
      <c r="S255" s="184" t="s">
        <v>859</v>
      </c>
      <c r="T255" s="187" t="n">
        <v>45894</v>
      </c>
    </row>
    <row r="256" customFormat="false" ht="38.25" hidden="true" customHeight="true" outlineLevel="0" collapsed="false">
      <c r="A256" s="181" t="s">
        <v>860</v>
      </c>
      <c r="B256" s="182" t="n">
        <v>1175</v>
      </c>
      <c r="C256" s="183" t="n">
        <v>59158</v>
      </c>
      <c r="D256" s="181" t="s">
        <v>3326</v>
      </c>
      <c r="E256" s="181" t="s">
        <v>288</v>
      </c>
      <c r="F256" s="181" t="s">
        <v>289</v>
      </c>
      <c r="G256" s="181" t="s">
        <v>228</v>
      </c>
      <c r="H256" s="181" t="s">
        <v>832</v>
      </c>
      <c r="I256" s="181" t="s">
        <v>220</v>
      </c>
      <c r="J256" s="267"/>
      <c r="K256" s="187" t="n">
        <v>45894</v>
      </c>
      <c r="L256" s="267" t="n">
        <v>1.1</v>
      </c>
      <c r="M256" s="184" t="s">
        <v>228</v>
      </c>
      <c r="N256" s="184" t="n">
        <v>36080</v>
      </c>
      <c r="O256" s="184" t="n">
        <v>14590</v>
      </c>
      <c r="P256" s="185" t="n">
        <v>25</v>
      </c>
      <c r="Q256" s="184" t="n">
        <v>21490</v>
      </c>
      <c r="R256" s="184" t="n">
        <v>16117.5</v>
      </c>
      <c r="S256" s="184" t="s">
        <v>861</v>
      </c>
      <c r="T256" s="187" t="n">
        <v>45894</v>
      </c>
    </row>
    <row r="257" customFormat="false" ht="38.25" hidden="true" customHeight="true" outlineLevel="0" collapsed="false">
      <c r="A257" s="181" t="s">
        <v>862</v>
      </c>
      <c r="B257" s="182" t="n">
        <v>1176</v>
      </c>
      <c r="C257" s="183" t="n">
        <v>58162</v>
      </c>
      <c r="D257" s="181" t="s">
        <v>3326</v>
      </c>
      <c r="E257" s="181" t="s">
        <v>373</v>
      </c>
      <c r="F257" s="181" t="s">
        <v>374</v>
      </c>
      <c r="G257" s="181" t="s">
        <v>228</v>
      </c>
      <c r="H257" s="181" t="s">
        <v>832</v>
      </c>
      <c r="I257" s="181" t="s">
        <v>220</v>
      </c>
      <c r="J257" s="267"/>
      <c r="K257" s="187" t="n">
        <v>45894</v>
      </c>
      <c r="L257" s="267" t="n">
        <v>1.3</v>
      </c>
      <c r="M257" s="184" t="s">
        <v>228</v>
      </c>
      <c r="N257" s="184" t="n">
        <v>39500</v>
      </c>
      <c r="O257" s="184" t="n">
        <v>14430</v>
      </c>
      <c r="P257" s="185" t="n">
        <v>27</v>
      </c>
      <c r="Q257" s="184" t="n">
        <v>25070</v>
      </c>
      <c r="R257" s="184" t="n">
        <v>18301.1</v>
      </c>
      <c r="S257" s="184" t="s">
        <v>863</v>
      </c>
      <c r="T257" s="187" t="n">
        <v>45894</v>
      </c>
    </row>
    <row r="258" customFormat="false" ht="38.25" hidden="true" customHeight="true" outlineLevel="0" collapsed="false">
      <c r="A258" s="181" t="s">
        <v>864</v>
      </c>
      <c r="B258" s="182" t="n">
        <v>1177</v>
      </c>
      <c r="C258" s="183" t="n">
        <v>58167</v>
      </c>
      <c r="D258" s="181" t="s">
        <v>3326</v>
      </c>
      <c r="E258" s="181" t="s">
        <v>387</v>
      </c>
      <c r="F258" s="181" t="s">
        <v>388</v>
      </c>
      <c r="G258" s="181" t="s">
        <v>228</v>
      </c>
      <c r="H258" s="181" t="s">
        <v>832</v>
      </c>
      <c r="I258" s="181" t="s">
        <v>220</v>
      </c>
      <c r="J258" s="267"/>
      <c r="K258" s="187" t="n">
        <v>45894</v>
      </c>
      <c r="L258" s="267" t="n">
        <v>1.3</v>
      </c>
      <c r="M258" s="184" t="s">
        <v>228</v>
      </c>
      <c r="N258" s="184" t="n">
        <v>39030</v>
      </c>
      <c r="O258" s="184" t="n">
        <v>14970</v>
      </c>
      <c r="P258" s="185" t="n">
        <v>26</v>
      </c>
      <c r="Q258" s="184" t="n">
        <v>24060</v>
      </c>
      <c r="R258" s="184" t="n">
        <v>17804.4</v>
      </c>
      <c r="S258" s="184" t="s">
        <v>865</v>
      </c>
      <c r="T258" s="187" t="n">
        <v>45894</v>
      </c>
    </row>
    <row r="259" customFormat="false" ht="38.25" hidden="true" customHeight="true" outlineLevel="0" collapsed="false">
      <c r="A259" s="181" t="s">
        <v>866</v>
      </c>
      <c r="B259" s="182" t="n">
        <v>1178</v>
      </c>
      <c r="C259" s="183" t="n">
        <v>58171</v>
      </c>
      <c r="D259" s="181" t="s">
        <v>3326</v>
      </c>
      <c r="E259" s="181" t="s">
        <v>300</v>
      </c>
      <c r="F259" s="181" t="s">
        <v>301</v>
      </c>
      <c r="G259" s="181" t="s">
        <v>228</v>
      </c>
      <c r="H259" s="181" t="s">
        <v>832</v>
      </c>
      <c r="I259" s="181" t="s">
        <v>220</v>
      </c>
      <c r="J259" s="267"/>
      <c r="K259" s="187" t="n">
        <v>45894</v>
      </c>
      <c r="L259" s="267" t="n">
        <v>1.3</v>
      </c>
      <c r="M259" s="184" t="s">
        <v>228</v>
      </c>
      <c r="N259" s="184" t="n">
        <v>46750</v>
      </c>
      <c r="O259" s="184" t="n">
        <v>20970</v>
      </c>
      <c r="P259" s="185" t="n">
        <v>21</v>
      </c>
      <c r="Q259" s="184" t="n">
        <v>25780</v>
      </c>
      <c r="R259" s="184" t="n">
        <v>20366.2</v>
      </c>
      <c r="S259" s="184" t="s">
        <v>867</v>
      </c>
      <c r="T259" s="187" t="n">
        <v>45894</v>
      </c>
    </row>
    <row r="260" customFormat="false" ht="38.25" hidden="true" customHeight="true" outlineLevel="0" collapsed="false">
      <c r="A260" s="181" t="s">
        <v>868</v>
      </c>
      <c r="B260" s="182" t="n">
        <v>1179</v>
      </c>
      <c r="C260" s="183" t="n">
        <v>58180</v>
      </c>
      <c r="D260" s="181" t="s">
        <v>3326</v>
      </c>
      <c r="E260" s="181" t="s">
        <v>541</v>
      </c>
      <c r="F260" s="181" t="s">
        <v>542</v>
      </c>
      <c r="G260" s="181" t="s">
        <v>228</v>
      </c>
      <c r="H260" s="181" t="s">
        <v>832</v>
      </c>
      <c r="I260" s="181" t="s">
        <v>220</v>
      </c>
      <c r="J260" s="267"/>
      <c r="K260" s="187" t="n">
        <v>45894</v>
      </c>
      <c r="L260" s="267" t="n">
        <v>1.2</v>
      </c>
      <c r="M260" s="184" t="s">
        <v>228</v>
      </c>
      <c r="N260" s="184" t="n">
        <v>38020</v>
      </c>
      <c r="O260" s="184" t="n">
        <v>15000</v>
      </c>
      <c r="P260" s="185" t="n">
        <v>18</v>
      </c>
      <c r="Q260" s="184" t="n">
        <v>23020</v>
      </c>
      <c r="R260" s="184" t="n">
        <v>18876.4</v>
      </c>
      <c r="S260" s="184" t="s">
        <v>869</v>
      </c>
      <c r="T260" s="187" t="n">
        <v>45895</v>
      </c>
    </row>
    <row r="261" customFormat="false" ht="38.25" hidden="true" customHeight="true" outlineLevel="0" collapsed="false">
      <c r="A261" s="181" t="s">
        <v>870</v>
      </c>
      <c r="B261" s="182" t="n">
        <v>1180</v>
      </c>
      <c r="C261" s="183" t="n">
        <v>58186</v>
      </c>
      <c r="D261" s="181" t="s">
        <v>3326</v>
      </c>
      <c r="E261" s="181" t="s">
        <v>332</v>
      </c>
      <c r="F261" s="181" t="s">
        <v>333</v>
      </c>
      <c r="G261" s="181" t="s">
        <v>228</v>
      </c>
      <c r="H261" s="181" t="s">
        <v>832</v>
      </c>
      <c r="I261" s="181" t="s">
        <v>220</v>
      </c>
      <c r="J261" s="267"/>
      <c r="K261" s="187" t="n">
        <v>45894</v>
      </c>
      <c r="L261" s="267" t="n">
        <v>1.1</v>
      </c>
      <c r="M261" s="184" t="s">
        <v>228</v>
      </c>
      <c r="N261" s="184" t="n">
        <v>35880</v>
      </c>
      <c r="O261" s="184" t="n">
        <v>14730</v>
      </c>
      <c r="P261" s="185" t="n">
        <v>15</v>
      </c>
      <c r="Q261" s="184" t="n">
        <v>21150</v>
      </c>
      <c r="R261" s="184" t="n">
        <v>17977.5</v>
      </c>
      <c r="S261" s="184" t="s">
        <v>871</v>
      </c>
      <c r="T261" s="187" t="n">
        <v>45895</v>
      </c>
    </row>
    <row r="262" customFormat="false" ht="38.25" hidden="true" customHeight="true" outlineLevel="0" collapsed="false">
      <c r="A262" s="181" t="s">
        <v>872</v>
      </c>
      <c r="B262" s="182" t="n">
        <v>1181</v>
      </c>
      <c r="C262" s="183" t="n">
        <v>58188</v>
      </c>
      <c r="D262" s="181" t="s">
        <v>3326</v>
      </c>
      <c r="E262" s="181" t="s">
        <v>533</v>
      </c>
      <c r="F262" s="181" t="s">
        <v>534</v>
      </c>
      <c r="G262" s="181" t="s">
        <v>228</v>
      </c>
      <c r="H262" s="181" t="s">
        <v>832</v>
      </c>
      <c r="I262" s="181" t="s">
        <v>220</v>
      </c>
      <c r="J262" s="267"/>
      <c r="K262" s="187" t="n">
        <v>45894</v>
      </c>
      <c r="L262" s="267" t="n">
        <v>1.3</v>
      </c>
      <c r="M262" s="184" t="s">
        <v>228</v>
      </c>
      <c r="N262" s="184" t="n">
        <v>39250</v>
      </c>
      <c r="O262" s="184" t="n">
        <v>14660</v>
      </c>
      <c r="P262" s="185" t="n">
        <v>12</v>
      </c>
      <c r="Q262" s="184" t="n">
        <v>24590</v>
      </c>
      <c r="R262" s="184" t="n">
        <v>21639.2</v>
      </c>
      <c r="S262" s="184" t="s">
        <v>873</v>
      </c>
      <c r="T262" s="187" t="n">
        <v>45895</v>
      </c>
    </row>
    <row r="263" customFormat="false" ht="38.25" hidden="true" customHeight="true" outlineLevel="0" collapsed="false">
      <c r="A263" s="181" t="s">
        <v>874</v>
      </c>
      <c r="B263" s="182" t="n">
        <v>1182</v>
      </c>
      <c r="C263" s="183" t="n">
        <v>58182</v>
      </c>
      <c r="D263" s="181" t="s">
        <v>3326</v>
      </c>
      <c r="E263" s="181" t="s">
        <v>354</v>
      </c>
      <c r="F263" s="181" t="s">
        <v>355</v>
      </c>
      <c r="G263" s="181" t="s">
        <v>228</v>
      </c>
      <c r="H263" s="181" t="s">
        <v>832</v>
      </c>
      <c r="I263" s="181" t="s">
        <v>220</v>
      </c>
      <c r="J263" s="267"/>
      <c r="K263" s="187" t="n">
        <v>45894</v>
      </c>
      <c r="L263" s="267" t="n">
        <v>1.2</v>
      </c>
      <c r="M263" s="184" t="s">
        <v>228</v>
      </c>
      <c r="N263" s="184" t="n">
        <v>37970</v>
      </c>
      <c r="O263" s="184" t="n">
        <v>14700</v>
      </c>
      <c r="P263" s="185" t="n">
        <v>12</v>
      </c>
      <c r="Q263" s="184" t="n">
        <v>23270</v>
      </c>
      <c r="R263" s="184" t="n">
        <v>20477.6</v>
      </c>
      <c r="S263" s="184" t="s">
        <v>875</v>
      </c>
      <c r="T263" s="187" t="n">
        <v>45895</v>
      </c>
    </row>
    <row r="264" customFormat="false" ht="38.25" hidden="true" customHeight="true" outlineLevel="0" collapsed="false">
      <c r="A264" s="181" t="s">
        <v>876</v>
      </c>
      <c r="B264" s="182" t="n">
        <v>1183</v>
      </c>
      <c r="C264" s="183" t="n">
        <v>58184</v>
      </c>
      <c r="D264" s="181" t="s">
        <v>3326</v>
      </c>
      <c r="E264" s="181" t="s">
        <v>359</v>
      </c>
      <c r="F264" s="181" t="s">
        <v>360</v>
      </c>
      <c r="G264" s="181" t="s">
        <v>228</v>
      </c>
      <c r="H264" s="181" t="s">
        <v>832</v>
      </c>
      <c r="I264" s="181" t="s">
        <v>220</v>
      </c>
      <c r="J264" s="267"/>
      <c r="K264" s="187" t="n">
        <v>45894</v>
      </c>
      <c r="L264" s="267" t="n">
        <v>1.1</v>
      </c>
      <c r="M264" s="184" t="s">
        <v>228</v>
      </c>
      <c r="N264" s="184" t="n">
        <v>35660</v>
      </c>
      <c r="O264" s="184" t="n">
        <v>14900</v>
      </c>
      <c r="P264" s="185" t="n">
        <v>16</v>
      </c>
      <c r="Q264" s="184" t="n">
        <v>20760</v>
      </c>
      <c r="R264" s="184" t="n">
        <v>17438.4</v>
      </c>
      <c r="S264" s="184" t="s">
        <v>877</v>
      </c>
      <c r="T264" s="187" t="n">
        <v>45895</v>
      </c>
    </row>
    <row r="265" customFormat="false" ht="38.25" hidden="true" customHeight="true" outlineLevel="0" collapsed="false">
      <c r="A265" s="181" t="s">
        <v>878</v>
      </c>
      <c r="B265" s="182" t="n">
        <v>1184</v>
      </c>
      <c r="C265" s="183" t="n">
        <v>58192</v>
      </c>
      <c r="D265" s="181" t="s">
        <v>3326</v>
      </c>
      <c r="E265" s="181" t="s">
        <v>545</v>
      </c>
      <c r="F265" s="181" t="s">
        <v>546</v>
      </c>
      <c r="G265" s="181" t="s">
        <v>228</v>
      </c>
      <c r="H265" s="181" t="s">
        <v>832</v>
      </c>
      <c r="I265" s="181" t="s">
        <v>220</v>
      </c>
      <c r="J265" s="267"/>
      <c r="K265" s="187" t="n">
        <v>45894</v>
      </c>
      <c r="L265" s="267" t="n">
        <v>1.3</v>
      </c>
      <c r="M265" s="184" t="s">
        <v>228</v>
      </c>
      <c r="N265" s="184" t="n">
        <v>41750</v>
      </c>
      <c r="O265" s="184" t="n">
        <v>16150</v>
      </c>
      <c r="P265" s="185" t="n">
        <v>13</v>
      </c>
      <c r="Q265" s="184" t="n">
        <v>25600</v>
      </c>
      <c r="R265" s="184" t="n">
        <v>22272</v>
      </c>
      <c r="S265" s="184" t="s">
        <v>879</v>
      </c>
      <c r="T265" s="187" t="n">
        <v>45895</v>
      </c>
    </row>
    <row r="266" customFormat="false" ht="38.25" hidden="true" customHeight="true" outlineLevel="0" collapsed="false">
      <c r="A266" s="181" t="s">
        <v>880</v>
      </c>
      <c r="B266" s="182" t="n">
        <v>1185</v>
      </c>
      <c r="C266" s="183" t="n">
        <v>58190</v>
      </c>
      <c r="D266" s="181" t="s">
        <v>3326</v>
      </c>
      <c r="E266" s="181" t="s">
        <v>537</v>
      </c>
      <c r="F266" s="181" t="s">
        <v>538</v>
      </c>
      <c r="G266" s="181" t="s">
        <v>228</v>
      </c>
      <c r="H266" s="181" t="s">
        <v>832</v>
      </c>
      <c r="I266" s="181" t="s">
        <v>220</v>
      </c>
      <c r="J266" s="267"/>
      <c r="K266" s="187" t="n">
        <v>45894</v>
      </c>
      <c r="L266" s="267" t="n">
        <v>1.1</v>
      </c>
      <c r="M266" s="184" t="s">
        <v>228</v>
      </c>
      <c r="N266" s="184" t="n">
        <v>35590</v>
      </c>
      <c r="O266" s="184" t="n">
        <v>13980</v>
      </c>
      <c r="P266" s="185" t="n">
        <v>12</v>
      </c>
      <c r="Q266" s="184" t="n">
        <v>21610</v>
      </c>
      <c r="R266" s="184" t="n">
        <v>19016.8</v>
      </c>
      <c r="S266" s="184" t="s">
        <v>881</v>
      </c>
      <c r="T266" s="187" t="n">
        <v>45895</v>
      </c>
    </row>
    <row r="267" customFormat="false" ht="38.25" hidden="true" customHeight="true" outlineLevel="0" collapsed="false">
      <c r="A267" s="181" t="s">
        <v>882</v>
      </c>
      <c r="B267" s="182" t="n">
        <v>1186</v>
      </c>
      <c r="C267" s="183" t="n">
        <v>58194</v>
      </c>
      <c r="D267" s="181" t="s">
        <v>3326</v>
      </c>
      <c r="E267" s="181" t="s">
        <v>549</v>
      </c>
      <c r="F267" s="181" t="s">
        <v>550</v>
      </c>
      <c r="G267" s="181" t="s">
        <v>228</v>
      </c>
      <c r="H267" s="181" t="s">
        <v>832</v>
      </c>
      <c r="I267" s="181" t="s">
        <v>220</v>
      </c>
      <c r="J267" s="267"/>
      <c r="K267" s="187" t="n">
        <v>45894</v>
      </c>
      <c r="L267" s="267" t="n">
        <v>1.3</v>
      </c>
      <c r="M267" s="184" t="s">
        <v>228</v>
      </c>
      <c r="N267" s="184" t="n">
        <v>41240</v>
      </c>
      <c r="O267" s="184" t="n">
        <v>15930</v>
      </c>
      <c r="P267" s="185" t="n">
        <v>12</v>
      </c>
      <c r="Q267" s="184" t="n">
        <v>25310</v>
      </c>
      <c r="R267" s="184" t="n">
        <v>22272.8</v>
      </c>
      <c r="S267" s="184" t="s">
        <v>883</v>
      </c>
      <c r="T267" s="187" t="n">
        <v>45895</v>
      </c>
    </row>
    <row r="268" customFormat="false" ht="38.25" hidden="true" customHeight="true" outlineLevel="0" collapsed="false">
      <c r="A268" s="181" t="s">
        <v>884</v>
      </c>
      <c r="B268" s="182" t="n">
        <v>1188</v>
      </c>
      <c r="C268" s="183" t="n">
        <v>58196</v>
      </c>
      <c r="D268" s="181" t="s">
        <v>3326</v>
      </c>
      <c r="E268" s="181" t="s">
        <v>346</v>
      </c>
      <c r="F268" s="181" t="s">
        <v>347</v>
      </c>
      <c r="G268" s="181" t="s">
        <v>228</v>
      </c>
      <c r="H268" s="181" t="s">
        <v>832</v>
      </c>
      <c r="I268" s="181" t="s">
        <v>220</v>
      </c>
      <c r="J268" s="267"/>
      <c r="K268" s="187" t="n">
        <v>45894</v>
      </c>
      <c r="L268" s="267" t="n">
        <v>1.2</v>
      </c>
      <c r="M268" s="184" t="s">
        <v>228</v>
      </c>
      <c r="N268" s="184" t="n">
        <v>37590</v>
      </c>
      <c r="O268" s="184" t="n">
        <v>14940</v>
      </c>
      <c r="P268" s="185" t="n">
        <v>16</v>
      </c>
      <c r="Q268" s="184" t="n">
        <v>22650</v>
      </c>
      <c r="R268" s="184" t="n">
        <v>19026</v>
      </c>
      <c r="S268" s="184" t="s">
        <v>885</v>
      </c>
      <c r="T268" s="187" t="n">
        <v>45895</v>
      </c>
    </row>
    <row r="269" customFormat="false" ht="38.25" hidden="true" customHeight="true" outlineLevel="0" collapsed="false">
      <c r="A269" s="181" t="s">
        <v>886</v>
      </c>
      <c r="B269" s="182" t="n">
        <v>1190</v>
      </c>
      <c r="C269" s="183" t="n">
        <v>58208</v>
      </c>
      <c r="D269" s="181" t="s">
        <v>3326</v>
      </c>
      <c r="E269" s="181" t="s">
        <v>529</v>
      </c>
      <c r="F269" s="181" t="s">
        <v>530</v>
      </c>
      <c r="G269" s="181" t="s">
        <v>228</v>
      </c>
      <c r="H269" s="181" t="s">
        <v>832</v>
      </c>
      <c r="I269" s="181" t="s">
        <v>220</v>
      </c>
      <c r="J269" s="267"/>
      <c r="K269" s="187" t="n">
        <v>45894</v>
      </c>
      <c r="L269" s="267" t="n">
        <v>1.1</v>
      </c>
      <c r="M269" s="184" t="s">
        <v>228</v>
      </c>
      <c r="N269" s="184" t="n">
        <v>36240</v>
      </c>
      <c r="O269" s="184" t="n">
        <v>14830</v>
      </c>
      <c r="P269" s="185" t="n">
        <v>5</v>
      </c>
      <c r="Q269" s="184" t="n">
        <v>21410</v>
      </c>
      <c r="R269" s="184" t="n">
        <v>20339.5</v>
      </c>
      <c r="S269" s="184" t="s">
        <v>887</v>
      </c>
      <c r="T269" s="187" t="n">
        <v>45895</v>
      </c>
    </row>
    <row r="270" customFormat="false" ht="38.25" hidden="true" customHeight="true" outlineLevel="0" collapsed="false">
      <c r="A270" s="181" t="s">
        <v>888</v>
      </c>
      <c r="B270" s="182" t="n">
        <v>1191</v>
      </c>
      <c r="C270" s="183" t="n">
        <v>58210</v>
      </c>
      <c r="D270" s="181" t="s">
        <v>3326</v>
      </c>
      <c r="E270" s="181" t="s">
        <v>391</v>
      </c>
      <c r="F270" s="181" t="s">
        <v>392</v>
      </c>
      <c r="G270" s="181" t="s">
        <v>228</v>
      </c>
      <c r="H270" s="181" t="s">
        <v>832</v>
      </c>
      <c r="I270" s="181" t="s">
        <v>220</v>
      </c>
      <c r="J270" s="267"/>
      <c r="K270" s="187" t="n">
        <v>45894</v>
      </c>
      <c r="L270" s="267" t="n">
        <v>1.1</v>
      </c>
      <c r="M270" s="184" t="s">
        <v>228</v>
      </c>
      <c r="N270" s="184" t="n">
        <v>34770</v>
      </c>
      <c r="O270" s="184" t="n">
        <v>14480</v>
      </c>
      <c r="P270" s="185" t="n">
        <v>6</v>
      </c>
      <c r="Q270" s="184" t="n">
        <v>20290</v>
      </c>
      <c r="R270" s="184" t="n">
        <v>19072.6</v>
      </c>
      <c r="S270" s="184" t="s">
        <v>889</v>
      </c>
      <c r="T270" s="187" t="n">
        <v>45895</v>
      </c>
    </row>
    <row r="271" customFormat="false" ht="38.25" hidden="true" customHeight="true" outlineLevel="0" collapsed="false">
      <c r="A271" s="181" t="s">
        <v>890</v>
      </c>
      <c r="B271" s="182" t="n">
        <v>1192</v>
      </c>
      <c r="C271" s="183" t="n">
        <v>58213</v>
      </c>
      <c r="D271" s="181" t="s">
        <v>3326</v>
      </c>
      <c r="E271" s="181" t="s">
        <v>277</v>
      </c>
      <c r="F271" s="181" t="s">
        <v>278</v>
      </c>
      <c r="G271" s="181" t="s">
        <v>228</v>
      </c>
      <c r="H271" s="181" t="s">
        <v>832</v>
      </c>
      <c r="I271" s="181" t="s">
        <v>220</v>
      </c>
      <c r="J271" s="267"/>
      <c r="K271" s="187" t="n">
        <v>45894</v>
      </c>
      <c r="L271" s="267" t="n">
        <v>1.4</v>
      </c>
      <c r="M271" s="184" t="s">
        <v>228</v>
      </c>
      <c r="N271" s="184" t="n">
        <v>41230</v>
      </c>
      <c r="O271" s="184" t="n">
        <v>15190</v>
      </c>
      <c r="P271" s="185" t="n">
        <v>5</v>
      </c>
      <c r="Q271" s="184" t="n">
        <v>26040</v>
      </c>
      <c r="R271" s="184" t="n">
        <v>24738</v>
      </c>
      <c r="S271" s="184" t="s">
        <v>891</v>
      </c>
      <c r="T271" s="187" t="n">
        <v>45895</v>
      </c>
    </row>
    <row r="272" customFormat="false" ht="38.25" hidden="true" customHeight="true" outlineLevel="0" collapsed="false">
      <c r="A272" s="181" t="s">
        <v>892</v>
      </c>
      <c r="B272" s="182" t="n">
        <v>1193</v>
      </c>
      <c r="C272" s="183" t="n">
        <v>58217</v>
      </c>
      <c r="D272" s="181" t="s">
        <v>3326</v>
      </c>
      <c r="E272" s="181" t="s">
        <v>308</v>
      </c>
      <c r="F272" s="181" t="s">
        <v>309</v>
      </c>
      <c r="G272" s="181" t="s">
        <v>228</v>
      </c>
      <c r="H272" s="181" t="s">
        <v>832</v>
      </c>
      <c r="I272" s="181" t="s">
        <v>220</v>
      </c>
      <c r="J272" s="267"/>
      <c r="K272" s="187" t="n">
        <v>45894</v>
      </c>
      <c r="L272" s="267" t="n">
        <v>1.1</v>
      </c>
      <c r="M272" s="184" t="s">
        <v>228</v>
      </c>
      <c r="N272" s="184" t="n">
        <v>45590</v>
      </c>
      <c r="O272" s="184" t="n">
        <v>24080</v>
      </c>
      <c r="P272" s="185" t="n">
        <v>6</v>
      </c>
      <c r="Q272" s="184" t="n">
        <v>21510</v>
      </c>
      <c r="R272" s="184" t="n">
        <v>20219.4</v>
      </c>
      <c r="S272" s="184" t="s">
        <v>893</v>
      </c>
      <c r="T272" s="187" t="n">
        <v>45895</v>
      </c>
    </row>
    <row r="273" customFormat="false" ht="38.25" hidden="true" customHeight="true" outlineLevel="0" collapsed="false">
      <c r="A273" s="181" t="s">
        <v>894</v>
      </c>
      <c r="B273" s="182" t="n">
        <v>1194</v>
      </c>
      <c r="C273" s="183" t="n">
        <v>58215</v>
      </c>
      <c r="D273" s="181" t="s">
        <v>3326</v>
      </c>
      <c r="E273" s="181" t="s">
        <v>292</v>
      </c>
      <c r="F273" s="181" t="s">
        <v>293</v>
      </c>
      <c r="G273" s="181" t="s">
        <v>228</v>
      </c>
      <c r="H273" s="181" t="s">
        <v>832</v>
      </c>
      <c r="I273" s="181" t="s">
        <v>220</v>
      </c>
      <c r="J273" s="267"/>
      <c r="K273" s="187" t="n">
        <v>45894</v>
      </c>
      <c r="L273" s="267" t="n">
        <v>1.2</v>
      </c>
      <c r="M273" s="184" t="s">
        <v>228</v>
      </c>
      <c r="N273" s="184" t="n">
        <v>36300</v>
      </c>
      <c r="O273" s="184" t="n">
        <v>13930</v>
      </c>
      <c r="P273" s="185" t="n">
        <v>5</v>
      </c>
      <c r="Q273" s="184" t="n">
        <v>22370</v>
      </c>
      <c r="R273" s="184" t="n">
        <v>21251.5</v>
      </c>
      <c r="S273" s="184" t="s">
        <v>895</v>
      </c>
      <c r="T273" s="187" t="n">
        <v>45895</v>
      </c>
    </row>
    <row r="274" customFormat="false" ht="38.25" hidden="true" customHeight="true" outlineLevel="0" collapsed="false">
      <c r="A274" s="181" t="s">
        <v>896</v>
      </c>
      <c r="B274" s="182" t="n">
        <v>1195</v>
      </c>
      <c r="C274" s="183" t="n">
        <v>58219</v>
      </c>
      <c r="D274" s="181" t="s">
        <v>3326</v>
      </c>
      <c r="E274" s="181" t="s">
        <v>399</v>
      </c>
      <c r="F274" s="181" t="s">
        <v>400</v>
      </c>
      <c r="G274" s="181" t="s">
        <v>228</v>
      </c>
      <c r="H274" s="181" t="s">
        <v>832</v>
      </c>
      <c r="I274" s="181" t="s">
        <v>220</v>
      </c>
      <c r="J274" s="267"/>
      <c r="K274" s="187" t="n">
        <v>45894</v>
      </c>
      <c r="L274" s="267" t="n">
        <v>1.3</v>
      </c>
      <c r="M274" s="184" t="s">
        <v>228</v>
      </c>
      <c r="N274" s="184" t="n">
        <v>44000</v>
      </c>
      <c r="O274" s="184" t="n">
        <v>19360</v>
      </c>
      <c r="P274" s="185" t="n">
        <v>7</v>
      </c>
      <c r="Q274" s="184" t="n">
        <v>24640</v>
      </c>
      <c r="R274" s="184" t="n">
        <v>22915.2</v>
      </c>
      <c r="S274" s="184" t="s">
        <v>897</v>
      </c>
      <c r="T274" s="187" t="n">
        <v>45895</v>
      </c>
    </row>
    <row r="275" customFormat="false" ht="57.45" hidden="true" customHeight="false" outlineLevel="0" collapsed="false">
      <c r="A275" s="181" t="s">
        <v>898</v>
      </c>
      <c r="B275" s="182" t="n">
        <v>1196</v>
      </c>
      <c r="C275" s="183" t="n">
        <v>58221</v>
      </c>
      <c r="D275" s="181" t="s">
        <v>3326</v>
      </c>
      <c r="E275" s="181" t="s">
        <v>576</v>
      </c>
      <c r="F275" s="181" t="s">
        <v>577</v>
      </c>
      <c r="G275" s="181" t="s">
        <v>228</v>
      </c>
      <c r="H275" s="181" t="s">
        <v>832</v>
      </c>
      <c r="I275" s="181" t="s">
        <v>220</v>
      </c>
      <c r="J275" s="267"/>
      <c r="K275" s="187" t="n">
        <v>45895</v>
      </c>
      <c r="L275" s="267" t="n">
        <v>1.1</v>
      </c>
      <c r="M275" s="184" t="s">
        <v>228</v>
      </c>
      <c r="N275" s="184" t="n">
        <v>37250</v>
      </c>
      <c r="O275" s="184" t="n">
        <v>14460</v>
      </c>
      <c r="P275" s="185" t="n">
        <v>12</v>
      </c>
      <c r="Q275" s="184" t="n">
        <v>22790</v>
      </c>
      <c r="R275" s="184" t="n">
        <v>20055.2</v>
      </c>
      <c r="S275" s="184" t="s">
        <v>899</v>
      </c>
      <c r="T275" s="187" t="n">
        <v>45895</v>
      </c>
    </row>
    <row r="276" customFormat="false" ht="57.45" hidden="true" customHeight="false" outlineLevel="0" collapsed="false">
      <c r="A276" s="181" t="s">
        <v>900</v>
      </c>
      <c r="B276" s="182" t="n">
        <v>1199</v>
      </c>
      <c r="C276" s="183" t="n">
        <v>58229</v>
      </c>
      <c r="D276" s="181" t="s">
        <v>3326</v>
      </c>
      <c r="E276" s="181" t="s">
        <v>901</v>
      </c>
      <c r="F276" s="181" t="s">
        <v>902</v>
      </c>
      <c r="G276" s="181" t="s">
        <v>228</v>
      </c>
      <c r="H276" s="181" t="s">
        <v>832</v>
      </c>
      <c r="I276" s="181" t="s">
        <v>220</v>
      </c>
      <c r="J276" s="267"/>
      <c r="K276" s="187" t="n">
        <v>45895</v>
      </c>
      <c r="L276" s="267" t="n">
        <v>1.1</v>
      </c>
      <c r="M276" s="184" t="s">
        <v>228</v>
      </c>
      <c r="N276" s="184" t="n">
        <v>37210</v>
      </c>
      <c r="O276" s="184" t="n">
        <v>14650</v>
      </c>
      <c r="P276" s="185" t="n">
        <v>9</v>
      </c>
      <c r="Q276" s="184" t="n">
        <v>22560</v>
      </c>
      <c r="R276" s="184" t="n">
        <v>20529.6</v>
      </c>
      <c r="S276" s="184" t="s">
        <v>903</v>
      </c>
      <c r="T276" s="187" t="n">
        <v>45895</v>
      </c>
    </row>
    <row r="277" customFormat="false" ht="57.45" hidden="true" customHeight="false" outlineLevel="0" collapsed="false">
      <c r="A277" s="181" t="s">
        <v>904</v>
      </c>
      <c r="B277" s="182" t="n">
        <v>1200</v>
      </c>
      <c r="C277" s="183" t="n">
        <v>58223</v>
      </c>
      <c r="D277" s="181" t="s">
        <v>3326</v>
      </c>
      <c r="E277" s="181" t="s">
        <v>261</v>
      </c>
      <c r="F277" s="181" t="s">
        <v>262</v>
      </c>
      <c r="G277" s="181" t="s">
        <v>228</v>
      </c>
      <c r="H277" s="181" t="s">
        <v>832</v>
      </c>
      <c r="I277" s="181" t="s">
        <v>220</v>
      </c>
      <c r="J277" s="267"/>
      <c r="K277" s="187" t="n">
        <v>45895</v>
      </c>
      <c r="L277" s="267" t="n">
        <v>1.2</v>
      </c>
      <c r="M277" s="184" t="s">
        <v>228</v>
      </c>
      <c r="N277" s="184" t="n">
        <v>38480</v>
      </c>
      <c r="O277" s="184" t="n">
        <v>15090</v>
      </c>
      <c r="P277" s="185" t="n">
        <v>10</v>
      </c>
      <c r="Q277" s="184" t="n">
        <v>23390</v>
      </c>
      <c r="R277" s="184" t="n">
        <v>21051</v>
      </c>
      <c r="S277" s="184" t="s">
        <v>905</v>
      </c>
      <c r="T277" s="187" t="n">
        <v>45895</v>
      </c>
    </row>
    <row r="278" customFormat="false" ht="57.45" hidden="true" customHeight="false" outlineLevel="0" collapsed="false">
      <c r="A278" s="181" t="s">
        <v>906</v>
      </c>
      <c r="B278" s="182" t="n">
        <v>1201</v>
      </c>
      <c r="C278" s="183" t="n">
        <v>58225</v>
      </c>
      <c r="D278" s="181" t="s">
        <v>3326</v>
      </c>
      <c r="E278" s="181" t="s">
        <v>272</v>
      </c>
      <c r="F278" s="181" t="s">
        <v>273</v>
      </c>
      <c r="G278" s="181" t="s">
        <v>228</v>
      </c>
      <c r="H278" s="181" t="s">
        <v>832</v>
      </c>
      <c r="I278" s="181" t="s">
        <v>220</v>
      </c>
      <c r="J278" s="267"/>
      <c r="K278" s="187" t="n">
        <v>45895</v>
      </c>
      <c r="L278" s="267" t="n">
        <v>1.2</v>
      </c>
      <c r="M278" s="184" t="s">
        <v>228</v>
      </c>
      <c r="N278" s="184" t="n">
        <v>39700</v>
      </c>
      <c r="O278" s="184" t="n">
        <v>15590</v>
      </c>
      <c r="P278" s="185" t="n">
        <v>14</v>
      </c>
      <c r="Q278" s="184" t="n">
        <v>24110</v>
      </c>
      <c r="R278" s="184" t="n">
        <v>20734.6</v>
      </c>
      <c r="S278" s="184" t="s">
        <v>907</v>
      </c>
      <c r="T278" s="187" t="n">
        <v>45895</v>
      </c>
    </row>
    <row r="279" customFormat="false" ht="57.45" hidden="true" customHeight="false" outlineLevel="0" collapsed="false">
      <c r="A279" s="181" t="s">
        <v>908</v>
      </c>
      <c r="B279" s="182" t="n">
        <v>1202</v>
      </c>
      <c r="C279" s="183" t="n">
        <v>58227</v>
      </c>
      <c r="D279" s="181" t="s">
        <v>3326</v>
      </c>
      <c r="E279" s="181" t="s">
        <v>296</v>
      </c>
      <c r="F279" s="181" t="s">
        <v>297</v>
      </c>
      <c r="G279" s="181" t="s">
        <v>228</v>
      </c>
      <c r="H279" s="181" t="s">
        <v>832</v>
      </c>
      <c r="I279" s="181" t="s">
        <v>220</v>
      </c>
      <c r="J279" s="267"/>
      <c r="K279" s="187" t="n">
        <v>45895</v>
      </c>
      <c r="L279" s="267" t="n">
        <v>1.2</v>
      </c>
      <c r="M279" s="184" t="s">
        <v>228</v>
      </c>
      <c r="N279" s="184" t="n">
        <v>39860</v>
      </c>
      <c r="O279" s="184" t="n">
        <v>15400</v>
      </c>
      <c r="P279" s="185" t="n">
        <v>13</v>
      </c>
      <c r="Q279" s="184" t="n">
        <v>24460</v>
      </c>
      <c r="R279" s="184" t="n">
        <v>21280.2</v>
      </c>
      <c r="S279" s="184" t="s">
        <v>909</v>
      </c>
      <c r="T279" s="187" t="n">
        <v>45895</v>
      </c>
    </row>
    <row r="280" customFormat="false" ht="57.45" hidden="true" customHeight="false" outlineLevel="0" collapsed="false">
      <c r="A280" s="181" t="s">
        <v>910</v>
      </c>
      <c r="B280" s="182" t="n">
        <v>1203</v>
      </c>
      <c r="C280" s="183" t="n">
        <v>58233</v>
      </c>
      <c r="D280" s="181" t="s">
        <v>3326</v>
      </c>
      <c r="E280" s="181" t="s">
        <v>377</v>
      </c>
      <c r="F280" s="181" t="s">
        <v>378</v>
      </c>
      <c r="G280" s="181" t="s">
        <v>228</v>
      </c>
      <c r="H280" s="181" t="s">
        <v>832</v>
      </c>
      <c r="I280" s="181" t="s">
        <v>220</v>
      </c>
      <c r="J280" s="267"/>
      <c r="K280" s="187" t="n">
        <v>45895</v>
      </c>
      <c r="L280" s="267" t="n">
        <v>1.3</v>
      </c>
      <c r="M280" s="184" t="s">
        <v>228</v>
      </c>
      <c r="N280" s="184" t="n">
        <v>41290</v>
      </c>
      <c r="O280" s="184" t="n">
        <v>15600</v>
      </c>
      <c r="P280" s="185" t="n">
        <v>7</v>
      </c>
      <c r="Q280" s="184" t="n">
        <v>25690</v>
      </c>
      <c r="R280" s="184" t="n">
        <v>23891.7</v>
      </c>
      <c r="S280" s="184" t="s">
        <v>911</v>
      </c>
      <c r="T280" s="187" t="n">
        <v>45895</v>
      </c>
    </row>
    <row r="281" customFormat="false" ht="57.45" hidden="true" customHeight="false" outlineLevel="0" collapsed="false">
      <c r="A281" s="181" t="s">
        <v>912</v>
      </c>
      <c r="B281" s="182" t="n">
        <v>1204</v>
      </c>
      <c r="C281" s="183" t="n">
        <v>582311</v>
      </c>
      <c r="D281" s="181" t="s">
        <v>3326</v>
      </c>
      <c r="E281" s="181" t="s">
        <v>383</v>
      </c>
      <c r="F281" s="181" t="s">
        <v>384</v>
      </c>
      <c r="G281" s="181" t="s">
        <v>228</v>
      </c>
      <c r="H281" s="181" t="s">
        <v>832</v>
      </c>
      <c r="I281" s="181" t="s">
        <v>220</v>
      </c>
      <c r="J281" s="267"/>
      <c r="K281" s="187" t="n">
        <v>45895</v>
      </c>
      <c r="L281" s="267" t="n">
        <v>1.2</v>
      </c>
      <c r="M281" s="184" t="s">
        <v>228</v>
      </c>
      <c r="N281" s="184" t="n">
        <v>39520</v>
      </c>
      <c r="O281" s="184" t="n">
        <v>14840</v>
      </c>
      <c r="P281" s="185" t="n">
        <v>8</v>
      </c>
      <c r="Q281" s="184" t="n">
        <v>24680</v>
      </c>
      <c r="R281" s="184" t="n">
        <v>22705.6</v>
      </c>
      <c r="S281" s="184" t="s">
        <v>913</v>
      </c>
      <c r="T281" s="187" t="n">
        <v>45895</v>
      </c>
    </row>
    <row r="282" customFormat="false" ht="57.45" hidden="true" customHeight="false" outlineLevel="0" collapsed="false">
      <c r="A282" s="181" t="s">
        <v>914</v>
      </c>
      <c r="B282" s="182" t="n">
        <v>1205</v>
      </c>
      <c r="C282" s="183" t="n">
        <v>58235</v>
      </c>
      <c r="D282" s="181" t="s">
        <v>3326</v>
      </c>
      <c r="E282" s="181" t="s">
        <v>409</v>
      </c>
      <c r="F282" s="181" t="s">
        <v>410</v>
      </c>
      <c r="G282" s="181" t="s">
        <v>228</v>
      </c>
      <c r="H282" s="181" t="s">
        <v>832</v>
      </c>
      <c r="I282" s="181" t="s">
        <v>220</v>
      </c>
      <c r="J282" s="267"/>
      <c r="K282" s="187" t="n">
        <v>45895</v>
      </c>
      <c r="L282" s="267" t="n">
        <v>1.1</v>
      </c>
      <c r="M282" s="184" t="s">
        <v>228</v>
      </c>
      <c r="N282" s="184" t="n">
        <v>46950</v>
      </c>
      <c r="O282" s="184" t="n">
        <v>24200</v>
      </c>
      <c r="P282" s="185" t="n">
        <v>6.9</v>
      </c>
      <c r="Q282" s="184" t="n">
        <v>22750</v>
      </c>
      <c r="R282" s="184" t="n">
        <v>21191</v>
      </c>
      <c r="S282" s="184" t="s">
        <v>915</v>
      </c>
      <c r="T282" s="187" t="n">
        <v>45895</v>
      </c>
    </row>
    <row r="283" customFormat="false" ht="57.45" hidden="true" customHeight="false" outlineLevel="0" collapsed="false">
      <c r="A283" s="181" t="s">
        <v>916</v>
      </c>
      <c r="B283" s="182" t="n">
        <v>1206</v>
      </c>
      <c r="C283" s="183" t="n">
        <v>58237</v>
      </c>
      <c r="D283" s="181" t="s">
        <v>3326</v>
      </c>
      <c r="E283" s="181" t="s">
        <v>413</v>
      </c>
      <c r="F283" s="181" t="s">
        <v>414</v>
      </c>
      <c r="G283" s="181" t="s">
        <v>228</v>
      </c>
      <c r="H283" s="181" t="s">
        <v>832</v>
      </c>
      <c r="I283" s="181" t="s">
        <v>220</v>
      </c>
      <c r="J283" s="267"/>
      <c r="K283" s="187" t="n">
        <v>45895</v>
      </c>
      <c r="L283" s="267" t="n">
        <v>1.4</v>
      </c>
      <c r="M283" s="184" t="s">
        <v>228</v>
      </c>
      <c r="N283" s="184" t="n">
        <v>43250</v>
      </c>
      <c r="O283" s="184" t="n">
        <v>15620</v>
      </c>
      <c r="P283" s="185" t="n">
        <v>14</v>
      </c>
      <c r="Q283" s="184" t="n">
        <v>27630</v>
      </c>
      <c r="R283" s="184" t="n">
        <v>23761.8</v>
      </c>
      <c r="S283" s="184" t="s">
        <v>917</v>
      </c>
      <c r="T283" s="187" t="n">
        <v>45895</v>
      </c>
    </row>
    <row r="284" customFormat="false" ht="57.45" hidden="true" customHeight="false" outlineLevel="0" collapsed="false">
      <c r="A284" s="181" t="s">
        <v>918</v>
      </c>
      <c r="B284" s="182" t="n">
        <v>1207</v>
      </c>
      <c r="C284" s="183" t="n">
        <v>58241</v>
      </c>
      <c r="D284" s="181" t="s">
        <v>3326</v>
      </c>
      <c r="E284" s="181" t="s">
        <v>373</v>
      </c>
      <c r="F284" s="181" t="s">
        <v>374</v>
      </c>
      <c r="G284" s="181" t="s">
        <v>228</v>
      </c>
      <c r="H284" s="181" t="s">
        <v>832</v>
      </c>
      <c r="I284" s="181" t="s">
        <v>220</v>
      </c>
      <c r="J284" s="267"/>
      <c r="K284" s="187" t="n">
        <v>45895</v>
      </c>
      <c r="L284" s="267" t="n">
        <v>1.2</v>
      </c>
      <c r="M284" s="184" t="s">
        <v>228</v>
      </c>
      <c r="N284" s="184" t="n">
        <v>37680</v>
      </c>
      <c r="O284" s="184" t="n">
        <v>14200</v>
      </c>
      <c r="P284" s="185" t="n">
        <v>14</v>
      </c>
      <c r="Q284" s="184" t="n">
        <v>23480</v>
      </c>
      <c r="R284" s="184" t="n">
        <v>20192.8</v>
      </c>
      <c r="S284" s="184" t="s">
        <v>919</v>
      </c>
      <c r="T284" s="187" t="n">
        <v>45895</v>
      </c>
    </row>
    <row r="285" customFormat="false" ht="57.45" hidden="true" customHeight="false" outlineLevel="0" collapsed="false">
      <c r="A285" s="181" t="s">
        <v>920</v>
      </c>
      <c r="B285" s="182" t="n">
        <v>1208</v>
      </c>
      <c r="C285" s="183" t="n">
        <v>58239</v>
      </c>
      <c r="D285" s="181" t="s">
        <v>3326</v>
      </c>
      <c r="E285" s="181" t="s">
        <v>582</v>
      </c>
      <c r="F285" s="181" t="s">
        <v>583</v>
      </c>
      <c r="G285" s="181" t="s">
        <v>228</v>
      </c>
      <c r="H285" s="181" t="s">
        <v>832</v>
      </c>
      <c r="I285" s="181" t="s">
        <v>220</v>
      </c>
      <c r="J285" s="267"/>
      <c r="K285" s="187" t="n">
        <v>45895</v>
      </c>
      <c r="L285" s="267" t="n">
        <v>1.2</v>
      </c>
      <c r="M285" s="184" t="s">
        <v>228</v>
      </c>
      <c r="N285" s="184" t="n">
        <v>38290</v>
      </c>
      <c r="O285" s="184" t="n">
        <v>14760</v>
      </c>
      <c r="P285" s="185" t="n">
        <v>12</v>
      </c>
      <c r="Q285" s="184" t="n">
        <v>23530</v>
      </c>
      <c r="R285" s="184" t="n">
        <v>20706.4</v>
      </c>
      <c r="S285" s="184" t="s">
        <v>921</v>
      </c>
      <c r="T285" s="187" t="n">
        <v>45895</v>
      </c>
    </row>
    <row r="286" customFormat="false" ht="57.45" hidden="true" customHeight="false" outlineLevel="0" collapsed="false">
      <c r="A286" s="181" t="s">
        <v>922</v>
      </c>
      <c r="B286" s="182" t="n">
        <v>1209</v>
      </c>
      <c r="C286" s="183" t="n">
        <v>58243</v>
      </c>
      <c r="D286" s="181" t="s">
        <v>3326</v>
      </c>
      <c r="E286" s="181" t="s">
        <v>439</v>
      </c>
      <c r="F286" s="181" t="s">
        <v>440</v>
      </c>
      <c r="G286" s="181" t="s">
        <v>228</v>
      </c>
      <c r="H286" s="181" t="s">
        <v>832</v>
      </c>
      <c r="I286" s="181" t="s">
        <v>220</v>
      </c>
      <c r="J286" s="267"/>
      <c r="K286" s="187" t="n">
        <v>45895</v>
      </c>
      <c r="L286" s="267" t="n">
        <v>1.2</v>
      </c>
      <c r="M286" s="184" t="s">
        <v>228</v>
      </c>
      <c r="N286" s="184" t="n">
        <v>39770</v>
      </c>
      <c r="O286" s="184" t="n">
        <v>16320</v>
      </c>
      <c r="P286" s="185" t="n">
        <v>15</v>
      </c>
      <c r="Q286" s="184" t="n">
        <v>23450</v>
      </c>
      <c r="R286" s="184" t="n">
        <v>19932.5</v>
      </c>
      <c r="S286" s="184" t="s">
        <v>923</v>
      </c>
      <c r="T286" s="187" t="n">
        <v>45895</v>
      </c>
    </row>
    <row r="287" customFormat="false" ht="57.45" hidden="true" customHeight="false" outlineLevel="0" collapsed="false">
      <c r="A287" s="181" t="s">
        <v>924</v>
      </c>
      <c r="B287" s="182" t="n">
        <v>1210</v>
      </c>
      <c r="C287" s="183" t="n">
        <v>58247</v>
      </c>
      <c r="D287" s="181" t="s">
        <v>3326</v>
      </c>
      <c r="E287" s="181" t="s">
        <v>431</v>
      </c>
      <c r="F287" s="181" t="s">
        <v>432</v>
      </c>
      <c r="G287" s="181" t="s">
        <v>228</v>
      </c>
      <c r="H287" s="181" t="s">
        <v>832</v>
      </c>
      <c r="I287" s="181" t="s">
        <v>220</v>
      </c>
      <c r="J287" s="267"/>
      <c r="K287" s="187" t="n">
        <v>45895</v>
      </c>
      <c r="L287" s="267" t="n">
        <v>1.2</v>
      </c>
      <c r="M287" s="184" t="s">
        <v>228</v>
      </c>
      <c r="N287" s="184" t="n">
        <v>39810</v>
      </c>
      <c r="O287" s="184" t="n">
        <v>16660</v>
      </c>
      <c r="P287" s="185" t="n">
        <v>12</v>
      </c>
      <c r="Q287" s="184" t="n">
        <v>23150</v>
      </c>
      <c r="R287" s="184" t="n">
        <v>20372</v>
      </c>
      <c r="S287" s="184" t="s">
        <v>925</v>
      </c>
      <c r="T287" s="187" t="n">
        <v>45896</v>
      </c>
    </row>
    <row r="288" customFormat="false" ht="57.45" hidden="true" customHeight="false" outlineLevel="0" collapsed="false">
      <c r="A288" s="181" t="s">
        <v>926</v>
      </c>
      <c r="B288" s="182" t="n">
        <v>1211</v>
      </c>
      <c r="C288" s="183" t="n">
        <v>58245</v>
      </c>
      <c r="D288" s="181" t="s">
        <v>3326</v>
      </c>
      <c r="E288" s="181" t="s">
        <v>435</v>
      </c>
      <c r="F288" s="181" t="s">
        <v>436</v>
      </c>
      <c r="G288" s="181" t="s">
        <v>228</v>
      </c>
      <c r="H288" s="181" t="s">
        <v>832</v>
      </c>
      <c r="I288" s="181" t="s">
        <v>220</v>
      </c>
      <c r="J288" s="267"/>
      <c r="K288" s="187" t="n">
        <v>45895</v>
      </c>
      <c r="L288" s="267" t="n">
        <v>1.2</v>
      </c>
      <c r="M288" s="184" t="s">
        <v>228</v>
      </c>
      <c r="N288" s="184" t="n">
        <v>40020</v>
      </c>
      <c r="O288" s="184" t="n">
        <v>16460</v>
      </c>
      <c r="P288" s="185" t="n">
        <v>10</v>
      </c>
      <c r="Q288" s="184" t="n">
        <v>23560</v>
      </c>
      <c r="R288" s="184" t="n">
        <v>21204</v>
      </c>
      <c r="S288" s="184" t="s">
        <v>927</v>
      </c>
      <c r="T288" s="187" t="n">
        <v>45896</v>
      </c>
    </row>
    <row r="289" customFormat="false" ht="57.45" hidden="true" customHeight="false" outlineLevel="0" collapsed="false">
      <c r="A289" s="181" t="s">
        <v>928</v>
      </c>
      <c r="B289" s="182" t="n">
        <v>1212</v>
      </c>
      <c r="C289" s="183" t="n">
        <v>58257</v>
      </c>
      <c r="D289" s="181" t="s">
        <v>3326</v>
      </c>
      <c r="E289" s="181" t="s">
        <v>336</v>
      </c>
      <c r="F289" s="181" t="s">
        <v>337</v>
      </c>
      <c r="G289" s="181" t="s">
        <v>228</v>
      </c>
      <c r="H289" s="181" t="s">
        <v>832</v>
      </c>
      <c r="I289" s="181" t="s">
        <v>220</v>
      </c>
      <c r="J289" s="267"/>
      <c r="K289" s="187" t="n">
        <v>45895</v>
      </c>
      <c r="L289" s="267" t="n">
        <v>1.2</v>
      </c>
      <c r="M289" s="184" t="s">
        <v>228</v>
      </c>
      <c r="N289" s="184" t="n">
        <v>38540</v>
      </c>
      <c r="O289" s="184" t="n">
        <v>14470</v>
      </c>
      <c r="P289" s="185" t="n">
        <v>9</v>
      </c>
      <c r="Q289" s="184" t="n">
        <v>24070</v>
      </c>
      <c r="R289" s="184" t="n">
        <v>21903.7</v>
      </c>
      <c r="S289" s="184" t="s">
        <v>929</v>
      </c>
      <c r="T289" s="187" t="n">
        <v>45896</v>
      </c>
    </row>
    <row r="290" customFormat="false" ht="57.45" hidden="true" customHeight="false" outlineLevel="0" collapsed="false">
      <c r="A290" s="181" t="s">
        <v>930</v>
      </c>
      <c r="B290" s="182" t="n">
        <v>1213</v>
      </c>
      <c r="C290" s="183" t="n">
        <v>58259</v>
      </c>
      <c r="D290" s="181" t="s">
        <v>3326</v>
      </c>
      <c r="E290" s="181" t="s">
        <v>340</v>
      </c>
      <c r="F290" s="181" t="s">
        <v>341</v>
      </c>
      <c r="G290" s="181" t="s">
        <v>228</v>
      </c>
      <c r="H290" s="181" t="s">
        <v>832</v>
      </c>
      <c r="I290" s="181" t="s">
        <v>220</v>
      </c>
      <c r="J290" s="267"/>
      <c r="K290" s="187" t="n">
        <v>45895</v>
      </c>
      <c r="L290" s="267" t="n">
        <v>1.2</v>
      </c>
      <c r="M290" s="184" t="s">
        <v>228</v>
      </c>
      <c r="N290" s="184" t="n">
        <v>39720</v>
      </c>
      <c r="O290" s="184" t="n">
        <v>15040</v>
      </c>
      <c r="P290" s="185" t="n">
        <v>10</v>
      </c>
      <c r="Q290" s="184" t="n">
        <v>24680</v>
      </c>
      <c r="R290" s="184" t="n">
        <v>22212</v>
      </c>
      <c r="S290" s="184" t="s">
        <v>931</v>
      </c>
      <c r="T290" s="187" t="n">
        <v>45896</v>
      </c>
    </row>
    <row r="291" customFormat="false" ht="57.45" hidden="true" customHeight="false" outlineLevel="0" collapsed="false">
      <c r="A291" s="181" t="s">
        <v>932</v>
      </c>
      <c r="B291" s="182" t="n">
        <v>1214</v>
      </c>
      <c r="C291" s="183" t="n">
        <v>58269</v>
      </c>
      <c r="D291" s="181" t="s">
        <v>3326</v>
      </c>
      <c r="E291" s="181" t="s">
        <v>387</v>
      </c>
      <c r="F291" s="181" t="s">
        <v>388</v>
      </c>
      <c r="G291" s="181" t="s">
        <v>228</v>
      </c>
      <c r="H291" s="181" t="s">
        <v>832</v>
      </c>
      <c r="I291" s="181" t="s">
        <v>220</v>
      </c>
      <c r="J291" s="267"/>
      <c r="K291" s="187" t="n">
        <v>45895</v>
      </c>
      <c r="L291" s="267" t="n">
        <v>1.3</v>
      </c>
      <c r="M291" s="184" t="s">
        <v>228</v>
      </c>
      <c r="N291" s="184" t="n">
        <v>39760</v>
      </c>
      <c r="O291" s="184" t="n">
        <v>14960</v>
      </c>
      <c r="P291" s="185" t="n">
        <v>9</v>
      </c>
      <c r="Q291" s="184" t="n">
        <v>24800</v>
      </c>
      <c r="R291" s="184" t="n">
        <v>22568</v>
      </c>
      <c r="S291" s="184" t="s">
        <v>933</v>
      </c>
      <c r="T291" s="187" t="n">
        <v>45896</v>
      </c>
    </row>
    <row r="292" customFormat="false" ht="57.45" hidden="true" customHeight="false" outlineLevel="0" collapsed="false">
      <c r="A292" s="181" t="s">
        <v>934</v>
      </c>
      <c r="B292" s="182" t="n">
        <v>1220</v>
      </c>
      <c r="C292" s="183" t="n">
        <v>58291</v>
      </c>
      <c r="D292" s="181" t="s">
        <v>3326</v>
      </c>
      <c r="E292" s="181" t="s">
        <v>308</v>
      </c>
      <c r="F292" s="181" t="s">
        <v>309</v>
      </c>
      <c r="G292" s="181" t="s">
        <v>228</v>
      </c>
      <c r="H292" s="181" t="s">
        <v>832</v>
      </c>
      <c r="I292" s="181" t="s">
        <v>220</v>
      </c>
      <c r="J292" s="267"/>
      <c r="K292" s="187" t="n">
        <v>45895</v>
      </c>
      <c r="L292" s="267" t="n">
        <v>1.1</v>
      </c>
      <c r="M292" s="184" t="s">
        <v>228</v>
      </c>
      <c r="N292" s="184" t="n">
        <v>46130</v>
      </c>
      <c r="O292" s="184" t="n">
        <v>24070</v>
      </c>
      <c r="P292" s="185" t="n">
        <v>6</v>
      </c>
      <c r="Q292" s="184" t="n">
        <v>22060</v>
      </c>
      <c r="R292" s="184" t="n">
        <v>20736.4</v>
      </c>
      <c r="S292" s="184" t="s">
        <v>935</v>
      </c>
      <c r="T292" s="187" t="n">
        <v>45896</v>
      </c>
    </row>
    <row r="293" customFormat="false" ht="57.45" hidden="true" customHeight="false" outlineLevel="0" collapsed="false">
      <c r="A293" s="181" t="s">
        <v>936</v>
      </c>
      <c r="B293" s="182" t="n">
        <v>1221</v>
      </c>
      <c r="C293" s="183" t="n">
        <v>28289</v>
      </c>
      <c r="D293" s="181" t="s">
        <v>3326</v>
      </c>
      <c r="E293" s="181" t="s">
        <v>277</v>
      </c>
      <c r="F293" s="181" t="s">
        <v>278</v>
      </c>
      <c r="G293" s="181" t="s">
        <v>228</v>
      </c>
      <c r="H293" s="181" t="s">
        <v>832</v>
      </c>
      <c r="I293" s="181" t="s">
        <v>220</v>
      </c>
      <c r="J293" s="267"/>
      <c r="K293" s="187" t="n">
        <v>45895</v>
      </c>
      <c r="L293" s="267" t="n">
        <v>1.4</v>
      </c>
      <c r="M293" s="184" t="s">
        <v>228</v>
      </c>
      <c r="N293" s="184" t="n">
        <v>42090</v>
      </c>
      <c r="O293" s="184" t="n">
        <v>15150</v>
      </c>
      <c r="P293" s="185" t="n">
        <v>9</v>
      </c>
      <c r="Q293" s="184" t="n">
        <v>26940</v>
      </c>
      <c r="R293" s="184" t="n">
        <v>24515.4</v>
      </c>
      <c r="S293" s="184" t="s">
        <v>937</v>
      </c>
      <c r="T293" s="187" t="n">
        <v>45896</v>
      </c>
    </row>
    <row r="294" customFormat="false" ht="57.45" hidden="true" customHeight="false" outlineLevel="0" collapsed="false">
      <c r="A294" s="181" t="s">
        <v>938</v>
      </c>
      <c r="B294" s="182" t="n">
        <v>1222</v>
      </c>
      <c r="C294" s="183" t="n">
        <v>58285</v>
      </c>
      <c r="D294" s="181" t="s">
        <v>3326</v>
      </c>
      <c r="E294" s="181" t="s">
        <v>346</v>
      </c>
      <c r="F294" s="181" t="s">
        <v>347</v>
      </c>
      <c r="G294" s="181" t="s">
        <v>228</v>
      </c>
      <c r="H294" s="181" t="s">
        <v>832</v>
      </c>
      <c r="I294" s="181" t="s">
        <v>220</v>
      </c>
      <c r="J294" s="267"/>
      <c r="K294" s="187" t="n">
        <v>45896</v>
      </c>
      <c r="L294" s="267" t="n">
        <v>1.2</v>
      </c>
      <c r="M294" s="184" t="s">
        <v>228</v>
      </c>
      <c r="N294" s="184" t="n">
        <v>39220</v>
      </c>
      <c r="O294" s="184" t="n">
        <v>14940</v>
      </c>
      <c r="P294" s="185" t="n">
        <v>5</v>
      </c>
      <c r="Q294" s="184" t="n">
        <v>24280</v>
      </c>
      <c r="R294" s="184" t="n">
        <v>23066</v>
      </c>
      <c r="S294" s="184" t="s">
        <v>939</v>
      </c>
      <c r="T294" s="187" t="n">
        <v>45896</v>
      </c>
    </row>
    <row r="295" customFormat="false" ht="57.45" hidden="true" customHeight="false" outlineLevel="0" collapsed="false">
      <c r="A295" s="181" t="s">
        <v>940</v>
      </c>
      <c r="B295" s="182" t="n">
        <v>1224</v>
      </c>
      <c r="C295" s="183" t="n">
        <v>58283</v>
      </c>
      <c r="D295" s="181" t="s">
        <v>3326</v>
      </c>
      <c r="E295" s="181" t="s">
        <v>300</v>
      </c>
      <c r="F295" s="181" t="s">
        <v>301</v>
      </c>
      <c r="G295" s="181" t="s">
        <v>228</v>
      </c>
      <c r="H295" s="181" t="s">
        <v>832</v>
      </c>
      <c r="I295" s="181" t="s">
        <v>220</v>
      </c>
      <c r="J295" s="267"/>
      <c r="K295" s="187" t="n">
        <v>45896</v>
      </c>
      <c r="L295" s="267" t="n">
        <v>1.3</v>
      </c>
      <c r="M295" s="184" t="s">
        <v>228</v>
      </c>
      <c r="N295" s="184" t="n">
        <v>47210</v>
      </c>
      <c r="O295" s="184" t="n">
        <v>20860</v>
      </c>
      <c r="P295" s="185" t="n">
        <v>10</v>
      </c>
      <c r="Q295" s="184" t="n">
        <v>26350</v>
      </c>
      <c r="R295" s="184" t="n">
        <v>23715</v>
      </c>
      <c r="S295" s="184" t="s">
        <v>941</v>
      </c>
      <c r="T295" s="187" t="n">
        <v>45896</v>
      </c>
    </row>
    <row r="296" customFormat="false" ht="57.45" hidden="true" customHeight="false" outlineLevel="0" collapsed="false">
      <c r="A296" s="181" t="s">
        <v>942</v>
      </c>
      <c r="B296" s="182" t="n">
        <v>1225</v>
      </c>
      <c r="C296" s="183" t="n">
        <v>58287</v>
      </c>
      <c r="D296" s="181" t="s">
        <v>3326</v>
      </c>
      <c r="E296" s="181" t="s">
        <v>288</v>
      </c>
      <c r="F296" s="181" t="s">
        <v>289</v>
      </c>
      <c r="G296" s="181" t="s">
        <v>228</v>
      </c>
      <c r="H296" s="181" t="s">
        <v>832</v>
      </c>
      <c r="I296" s="181" t="s">
        <v>220</v>
      </c>
      <c r="J296" s="267"/>
      <c r="K296" s="187" t="n">
        <v>45896</v>
      </c>
      <c r="L296" s="267" t="n">
        <v>1</v>
      </c>
      <c r="M296" s="184" t="s">
        <v>228</v>
      </c>
      <c r="N296" s="184" t="n">
        <v>36100</v>
      </c>
      <c r="O296" s="184" t="n">
        <v>14590</v>
      </c>
      <c r="P296" s="185" t="n">
        <v>7</v>
      </c>
      <c r="Q296" s="184" t="n">
        <v>21510</v>
      </c>
      <c r="R296" s="184" t="n">
        <v>20004.3</v>
      </c>
      <c r="S296" s="184" t="s">
        <v>943</v>
      </c>
      <c r="T296" s="187" t="n">
        <v>45896</v>
      </c>
    </row>
    <row r="297" customFormat="false" ht="57.45" hidden="true" customHeight="false" outlineLevel="0" collapsed="false">
      <c r="A297" s="181" t="s">
        <v>944</v>
      </c>
      <c r="B297" s="182" t="n">
        <v>1238</v>
      </c>
      <c r="C297" s="183" t="n">
        <v>58293</v>
      </c>
      <c r="D297" s="181" t="s">
        <v>3326</v>
      </c>
      <c r="E297" s="181" t="s">
        <v>541</v>
      </c>
      <c r="F297" s="181" t="s">
        <v>542</v>
      </c>
      <c r="G297" s="181" t="s">
        <v>228</v>
      </c>
      <c r="H297" s="181" t="s">
        <v>832</v>
      </c>
      <c r="I297" s="181" t="s">
        <v>220</v>
      </c>
      <c r="J297" s="267"/>
      <c r="K297" s="187" t="n">
        <v>45895</v>
      </c>
      <c r="L297" s="267" t="n">
        <v>1.3</v>
      </c>
      <c r="M297" s="184" t="s">
        <v>228</v>
      </c>
      <c r="N297" s="184" t="n">
        <v>39860</v>
      </c>
      <c r="O297" s="184" t="n">
        <v>14970</v>
      </c>
      <c r="P297" s="185" t="n">
        <v>7</v>
      </c>
      <c r="Q297" s="184" t="n">
        <v>24890</v>
      </c>
      <c r="R297" s="184" t="n">
        <v>23147.7</v>
      </c>
      <c r="S297" s="184" t="s">
        <v>945</v>
      </c>
      <c r="T297" s="187" t="n">
        <v>45896</v>
      </c>
    </row>
    <row r="298" customFormat="false" ht="57.45" hidden="true" customHeight="false" outlineLevel="0" collapsed="false">
      <c r="A298" s="181" t="s">
        <v>946</v>
      </c>
      <c r="B298" s="182" t="n">
        <v>1241</v>
      </c>
      <c r="C298" s="183" t="n">
        <v>58295</v>
      </c>
      <c r="D298" s="181" t="s">
        <v>3326</v>
      </c>
      <c r="E298" s="181" t="s">
        <v>399</v>
      </c>
      <c r="F298" s="181" t="s">
        <v>400</v>
      </c>
      <c r="G298" s="181" t="s">
        <v>228</v>
      </c>
      <c r="H298" s="181" t="s">
        <v>832</v>
      </c>
      <c r="I298" s="181" t="s">
        <v>220</v>
      </c>
      <c r="J298" s="267"/>
      <c r="K298" s="187" t="n">
        <v>45895</v>
      </c>
      <c r="L298" s="267" t="n">
        <v>1.3</v>
      </c>
      <c r="M298" s="184" t="s">
        <v>228</v>
      </c>
      <c r="N298" s="184" t="n">
        <v>45160</v>
      </c>
      <c r="O298" s="184" t="n">
        <v>19260</v>
      </c>
      <c r="P298" s="185" t="n">
        <v>9</v>
      </c>
      <c r="Q298" s="184" t="n">
        <v>25900</v>
      </c>
      <c r="R298" s="184" t="n">
        <v>23569</v>
      </c>
      <c r="S298" s="184" t="s">
        <v>947</v>
      </c>
      <c r="T298" s="187" t="n">
        <v>45896</v>
      </c>
    </row>
    <row r="299" customFormat="false" ht="57.45" hidden="true" customHeight="false" outlineLevel="0" collapsed="false">
      <c r="A299" s="181" t="s">
        <v>948</v>
      </c>
      <c r="B299" s="182" t="n">
        <v>1242</v>
      </c>
      <c r="C299" s="183" t="n">
        <v>58297</v>
      </c>
      <c r="D299" s="181" t="s">
        <v>3326</v>
      </c>
      <c r="E299" s="181" t="s">
        <v>545</v>
      </c>
      <c r="F299" s="181" t="s">
        <v>546</v>
      </c>
      <c r="G299" s="181" t="s">
        <v>228</v>
      </c>
      <c r="H299" s="181" t="s">
        <v>832</v>
      </c>
      <c r="I299" s="181" t="s">
        <v>220</v>
      </c>
      <c r="J299" s="267"/>
      <c r="K299" s="187" t="n">
        <v>45895</v>
      </c>
      <c r="L299" s="267" t="n">
        <v>1.3</v>
      </c>
      <c r="M299" s="184" t="s">
        <v>228</v>
      </c>
      <c r="N299" s="184" t="n">
        <v>42720</v>
      </c>
      <c r="O299" s="184" t="n">
        <v>16110</v>
      </c>
      <c r="P299" s="185" t="n">
        <v>5</v>
      </c>
      <c r="Q299" s="184" t="n">
        <v>26610</v>
      </c>
      <c r="R299" s="184" t="n">
        <v>25279.5</v>
      </c>
      <c r="S299" s="184" t="s">
        <v>949</v>
      </c>
      <c r="T299" s="187" t="n">
        <v>45896</v>
      </c>
    </row>
    <row r="300" customFormat="false" ht="57.45" hidden="true" customHeight="false" outlineLevel="0" collapsed="false">
      <c r="A300" s="181" t="s">
        <v>950</v>
      </c>
      <c r="B300" s="182" t="n">
        <v>1243</v>
      </c>
      <c r="C300" s="183" t="n">
        <v>58299</v>
      </c>
      <c r="D300" s="181" t="s">
        <v>3326</v>
      </c>
      <c r="E300" s="181" t="s">
        <v>549</v>
      </c>
      <c r="F300" s="181" t="s">
        <v>550</v>
      </c>
      <c r="G300" s="181" t="s">
        <v>228</v>
      </c>
      <c r="H300" s="181" t="s">
        <v>832</v>
      </c>
      <c r="I300" s="181" t="s">
        <v>220</v>
      </c>
      <c r="J300" s="267"/>
      <c r="K300" s="269" t="n">
        <v>45896</v>
      </c>
      <c r="L300" s="267" t="n">
        <v>1.3</v>
      </c>
      <c r="M300" s="184" t="s">
        <v>228</v>
      </c>
      <c r="N300" s="184" t="n">
        <v>42160</v>
      </c>
      <c r="O300" s="184" t="n">
        <v>15910</v>
      </c>
      <c r="P300" s="185" t="n">
        <v>7</v>
      </c>
      <c r="Q300" s="184" t="n">
        <v>26250</v>
      </c>
      <c r="R300" s="184" t="n">
        <v>24412.5</v>
      </c>
      <c r="S300" s="184" t="s">
        <v>951</v>
      </c>
      <c r="T300" s="187" t="n">
        <v>45896</v>
      </c>
    </row>
    <row r="301" customFormat="false" ht="57.45" hidden="true" customHeight="false" outlineLevel="0" collapsed="false">
      <c r="A301" s="181" t="s">
        <v>952</v>
      </c>
      <c r="B301" s="182" t="n">
        <v>1244</v>
      </c>
      <c r="C301" s="183" t="n">
        <v>58301</v>
      </c>
      <c r="D301" s="181" t="s">
        <v>3326</v>
      </c>
      <c r="E301" s="181" t="s">
        <v>533</v>
      </c>
      <c r="F301" s="181" t="s">
        <v>534</v>
      </c>
      <c r="G301" s="181" t="s">
        <v>228</v>
      </c>
      <c r="H301" s="181" t="s">
        <v>832</v>
      </c>
      <c r="I301" s="181" t="s">
        <v>220</v>
      </c>
      <c r="J301" s="267"/>
      <c r="K301" s="269" t="n">
        <v>45896</v>
      </c>
      <c r="L301" s="267" t="n">
        <v>1.2</v>
      </c>
      <c r="M301" s="184" t="s">
        <v>228</v>
      </c>
      <c r="N301" s="184" t="n">
        <v>40130</v>
      </c>
      <c r="O301" s="184" t="n">
        <v>14630</v>
      </c>
      <c r="P301" s="185" t="n">
        <v>6</v>
      </c>
      <c r="Q301" s="184" t="n">
        <v>25500</v>
      </c>
      <c r="R301" s="184" t="n">
        <v>23970</v>
      </c>
      <c r="S301" s="184" t="s">
        <v>953</v>
      </c>
      <c r="T301" s="187" t="n">
        <v>45896</v>
      </c>
    </row>
    <row r="302" customFormat="false" ht="57.45" hidden="true" customHeight="false" outlineLevel="0" collapsed="false">
      <c r="A302" s="181" t="s">
        <v>954</v>
      </c>
      <c r="B302" s="182" t="n">
        <v>1246</v>
      </c>
      <c r="C302" s="183" t="n">
        <v>58326</v>
      </c>
      <c r="D302" s="181" t="s">
        <v>3326</v>
      </c>
      <c r="E302" s="181" t="s">
        <v>282</v>
      </c>
      <c r="F302" s="181" t="s">
        <v>283</v>
      </c>
      <c r="G302" s="181" t="s">
        <v>228</v>
      </c>
      <c r="H302" s="181" t="s">
        <v>832</v>
      </c>
      <c r="I302" s="181" t="s">
        <v>220</v>
      </c>
      <c r="J302" s="267"/>
      <c r="K302" s="269" t="n">
        <v>45896</v>
      </c>
      <c r="L302" s="267" t="n">
        <v>1.1</v>
      </c>
      <c r="M302" s="184" t="s">
        <v>228</v>
      </c>
      <c r="N302" s="184" t="n">
        <v>38600</v>
      </c>
      <c r="O302" s="184" t="n">
        <v>15060</v>
      </c>
      <c r="P302" s="185" t="n">
        <v>10</v>
      </c>
      <c r="Q302" s="184" t="n">
        <v>23540</v>
      </c>
      <c r="R302" s="184" t="n">
        <v>21186</v>
      </c>
      <c r="S302" s="184" t="s">
        <v>955</v>
      </c>
      <c r="T302" s="187" t="n">
        <v>45896</v>
      </c>
    </row>
    <row r="303" customFormat="false" ht="57.45" hidden="true" customHeight="false" outlineLevel="0" collapsed="false">
      <c r="A303" s="181" t="s">
        <v>956</v>
      </c>
      <c r="B303" s="182" t="n">
        <v>1247</v>
      </c>
      <c r="C303" s="183" t="n">
        <v>58328</v>
      </c>
      <c r="D303" s="181" t="s">
        <v>3326</v>
      </c>
      <c r="E303" s="181" t="s">
        <v>332</v>
      </c>
      <c r="F303" s="181" t="s">
        <v>333</v>
      </c>
      <c r="G303" s="181" t="s">
        <v>228</v>
      </c>
      <c r="H303" s="181" t="s">
        <v>832</v>
      </c>
      <c r="I303" s="181" t="s">
        <v>220</v>
      </c>
      <c r="J303" s="267"/>
      <c r="K303" s="269" t="n">
        <v>45896</v>
      </c>
      <c r="L303" s="267" t="n">
        <v>1.1</v>
      </c>
      <c r="M303" s="184" t="s">
        <v>228</v>
      </c>
      <c r="N303" s="184" t="n">
        <v>38260</v>
      </c>
      <c r="O303" s="184" t="n">
        <v>14710</v>
      </c>
      <c r="P303" s="185" t="n">
        <v>14</v>
      </c>
      <c r="Q303" s="184" t="n">
        <v>23550</v>
      </c>
      <c r="R303" s="184" t="n">
        <v>20253</v>
      </c>
      <c r="S303" s="184" t="s">
        <v>957</v>
      </c>
      <c r="T303" s="187" t="n">
        <v>45896</v>
      </c>
    </row>
    <row r="304" customFormat="false" ht="57.45" hidden="true" customHeight="false" outlineLevel="0" collapsed="false">
      <c r="A304" s="181" t="s">
        <v>958</v>
      </c>
      <c r="B304" s="182" t="n">
        <v>1248</v>
      </c>
      <c r="C304" s="183" t="n">
        <v>58313</v>
      </c>
      <c r="D304" s="181" t="s">
        <v>3326</v>
      </c>
      <c r="E304" s="181" t="s">
        <v>409</v>
      </c>
      <c r="F304" s="181" t="s">
        <v>410</v>
      </c>
      <c r="G304" s="181" t="s">
        <v>228</v>
      </c>
      <c r="H304" s="181" t="s">
        <v>832</v>
      </c>
      <c r="I304" s="181" t="s">
        <v>220</v>
      </c>
      <c r="J304" s="267"/>
      <c r="K304" s="269" t="n">
        <v>45896</v>
      </c>
      <c r="L304" s="267" t="n">
        <v>1.1</v>
      </c>
      <c r="M304" s="184" t="s">
        <v>228</v>
      </c>
      <c r="N304" s="184" t="n">
        <v>47150</v>
      </c>
      <c r="O304" s="184" t="n">
        <v>24110</v>
      </c>
      <c r="P304" s="185" t="n">
        <v>8</v>
      </c>
      <c r="Q304" s="184" t="n">
        <v>23040</v>
      </c>
      <c r="R304" s="184" t="n">
        <v>21196.8</v>
      </c>
      <c r="S304" s="184" t="s">
        <v>959</v>
      </c>
      <c r="T304" s="187" t="n">
        <v>45896</v>
      </c>
    </row>
    <row r="305" customFormat="false" ht="57.45" hidden="true" customHeight="false" outlineLevel="0" collapsed="false">
      <c r="A305" s="181" t="s">
        <v>960</v>
      </c>
      <c r="B305" s="182" t="n">
        <v>1249</v>
      </c>
      <c r="C305" s="183" t="n">
        <v>58315</v>
      </c>
      <c r="D305" s="181" t="s">
        <v>3326</v>
      </c>
      <c r="E305" s="181" t="s">
        <v>413</v>
      </c>
      <c r="F305" s="181" t="s">
        <v>414</v>
      </c>
      <c r="G305" s="181" t="s">
        <v>228</v>
      </c>
      <c r="H305" s="181" t="s">
        <v>832</v>
      </c>
      <c r="I305" s="181" t="s">
        <v>220</v>
      </c>
      <c r="J305" s="267"/>
      <c r="K305" s="269" t="n">
        <v>45896</v>
      </c>
      <c r="L305" s="267" t="n">
        <v>1.3</v>
      </c>
      <c r="M305" s="184" t="s">
        <v>228</v>
      </c>
      <c r="N305" s="184" t="n">
        <v>42290</v>
      </c>
      <c r="O305" s="184" t="n">
        <v>15520</v>
      </c>
      <c r="P305" s="185" t="n">
        <v>12</v>
      </c>
      <c r="Q305" s="184" t="n">
        <v>26770</v>
      </c>
      <c r="R305" s="184" t="n">
        <v>23557.6</v>
      </c>
      <c r="S305" s="184" t="s">
        <v>961</v>
      </c>
      <c r="T305" s="187" t="n">
        <v>45896</v>
      </c>
    </row>
    <row r="306" customFormat="false" ht="57.45" hidden="true" customHeight="false" outlineLevel="0" collapsed="false">
      <c r="A306" s="181" t="s">
        <v>962</v>
      </c>
      <c r="B306" s="182" t="n">
        <v>1250</v>
      </c>
      <c r="C306" s="183" t="n">
        <v>58330</v>
      </c>
      <c r="D306" s="181" t="s">
        <v>3326</v>
      </c>
      <c r="E306" s="181" t="s">
        <v>377</v>
      </c>
      <c r="F306" s="181" t="s">
        <v>378</v>
      </c>
      <c r="G306" s="181" t="s">
        <v>228</v>
      </c>
      <c r="H306" s="181" t="s">
        <v>832</v>
      </c>
      <c r="I306" s="181" t="s">
        <v>220</v>
      </c>
      <c r="J306" s="267"/>
      <c r="K306" s="269" t="n">
        <v>45896</v>
      </c>
      <c r="L306" s="267" t="n">
        <v>1.2</v>
      </c>
      <c r="M306" s="184" t="s">
        <v>228</v>
      </c>
      <c r="N306" s="184" t="n">
        <v>39940</v>
      </c>
      <c r="O306" s="184" t="n">
        <v>15590</v>
      </c>
      <c r="P306" s="185" t="n">
        <v>12</v>
      </c>
      <c r="Q306" s="184" t="n">
        <v>24350</v>
      </c>
      <c r="R306" s="184" t="n">
        <v>21428</v>
      </c>
      <c r="S306" s="184" t="s">
        <v>963</v>
      </c>
      <c r="T306" s="187" t="n">
        <v>45896</v>
      </c>
    </row>
    <row r="307" customFormat="false" ht="57.45" hidden="true" customHeight="false" outlineLevel="0" collapsed="false">
      <c r="A307" s="181" t="s">
        <v>964</v>
      </c>
      <c r="B307" s="182" t="n">
        <v>1251</v>
      </c>
      <c r="C307" s="183" t="n">
        <v>58332</v>
      </c>
      <c r="D307" s="181" t="s">
        <v>3326</v>
      </c>
      <c r="E307" s="181" t="s">
        <v>383</v>
      </c>
      <c r="F307" s="181" t="s">
        <v>384</v>
      </c>
      <c r="G307" s="181" t="s">
        <v>228</v>
      </c>
      <c r="H307" s="181" t="s">
        <v>832</v>
      </c>
      <c r="I307" s="181" t="s">
        <v>220</v>
      </c>
      <c r="J307" s="267"/>
      <c r="K307" s="269" t="n">
        <v>45896</v>
      </c>
      <c r="L307" s="267" t="n">
        <v>1.2</v>
      </c>
      <c r="M307" s="184" t="s">
        <v>228</v>
      </c>
      <c r="N307" s="184" t="n">
        <v>39850</v>
      </c>
      <c r="O307" s="184" t="n">
        <v>14810</v>
      </c>
      <c r="P307" s="185" t="n">
        <v>10</v>
      </c>
      <c r="Q307" s="184" t="n">
        <v>25040</v>
      </c>
      <c r="R307" s="184" t="n">
        <v>22536</v>
      </c>
      <c r="S307" s="184" t="s">
        <v>965</v>
      </c>
      <c r="T307" s="187" t="n">
        <v>45896</v>
      </c>
    </row>
    <row r="308" customFormat="false" ht="57.45" hidden="true" customHeight="false" outlineLevel="0" collapsed="false">
      <c r="A308" s="181" t="s">
        <v>966</v>
      </c>
      <c r="B308" s="182" t="n">
        <v>1252</v>
      </c>
      <c r="C308" s="183" t="n">
        <v>58334</v>
      </c>
      <c r="D308" s="181" t="s">
        <v>3326</v>
      </c>
      <c r="E308" s="181" t="s">
        <v>576</v>
      </c>
      <c r="F308" s="181" t="s">
        <v>577</v>
      </c>
      <c r="G308" s="181" t="s">
        <v>228</v>
      </c>
      <c r="H308" s="181" t="s">
        <v>832</v>
      </c>
      <c r="I308" s="181" t="s">
        <v>220</v>
      </c>
      <c r="J308" s="267"/>
      <c r="K308" s="269" t="n">
        <v>45896</v>
      </c>
      <c r="L308" s="267" t="n">
        <v>1.2</v>
      </c>
      <c r="M308" s="184" t="s">
        <v>228</v>
      </c>
      <c r="N308" s="184" t="n">
        <v>38890</v>
      </c>
      <c r="O308" s="184" t="n">
        <v>14430</v>
      </c>
      <c r="P308" s="185" t="n">
        <v>14</v>
      </c>
      <c r="Q308" s="184" t="n">
        <v>24460</v>
      </c>
      <c r="R308" s="184" t="n">
        <v>21035.6</v>
      </c>
      <c r="S308" s="184" t="s">
        <v>967</v>
      </c>
      <c r="T308" s="187" t="n">
        <v>45896</v>
      </c>
    </row>
    <row r="309" customFormat="false" ht="57.45" hidden="true" customHeight="false" outlineLevel="0" collapsed="false">
      <c r="A309" s="181" t="s">
        <v>968</v>
      </c>
      <c r="B309" s="182" t="n">
        <v>1253</v>
      </c>
      <c r="C309" s="183" t="n">
        <v>58336</v>
      </c>
      <c r="D309" s="181" t="s">
        <v>3326</v>
      </c>
      <c r="E309" s="181" t="s">
        <v>261</v>
      </c>
      <c r="F309" s="181" t="s">
        <v>262</v>
      </c>
      <c r="G309" s="181" t="s">
        <v>228</v>
      </c>
      <c r="H309" s="181" t="s">
        <v>832</v>
      </c>
      <c r="I309" s="181" t="s">
        <v>220</v>
      </c>
      <c r="J309" s="267"/>
      <c r="K309" s="269" t="n">
        <v>45896</v>
      </c>
      <c r="L309" s="267" t="n">
        <v>1.1</v>
      </c>
      <c r="M309" s="184" t="s">
        <v>228</v>
      </c>
      <c r="N309" s="184" t="n">
        <v>38490</v>
      </c>
      <c r="O309" s="184" t="n">
        <v>15020</v>
      </c>
      <c r="P309" s="185" t="n">
        <v>13</v>
      </c>
      <c r="Q309" s="184" t="n">
        <v>23470</v>
      </c>
      <c r="R309" s="184" t="n">
        <v>20418.9</v>
      </c>
      <c r="S309" s="184" t="s">
        <v>969</v>
      </c>
      <c r="T309" s="187" t="n">
        <v>45896</v>
      </c>
    </row>
    <row r="310" customFormat="false" ht="57.45" hidden="true" customHeight="false" outlineLevel="0" collapsed="false">
      <c r="A310" s="181" t="s">
        <v>970</v>
      </c>
      <c r="B310" s="182" t="n">
        <v>1254</v>
      </c>
      <c r="C310" s="183" t="n">
        <v>58338</v>
      </c>
      <c r="D310" s="181" t="s">
        <v>3326</v>
      </c>
      <c r="E310" s="181" t="s">
        <v>537</v>
      </c>
      <c r="F310" s="181" t="s">
        <v>538</v>
      </c>
      <c r="G310" s="181" t="s">
        <v>228</v>
      </c>
      <c r="H310" s="181" t="s">
        <v>832</v>
      </c>
      <c r="I310" s="181" t="s">
        <v>220</v>
      </c>
      <c r="J310" s="267"/>
      <c r="K310" s="269" t="n">
        <v>45896</v>
      </c>
      <c r="L310" s="267" t="n">
        <v>1.1</v>
      </c>
      <c r="M310" s="184" t="s">
        <v>228</v>
      </c>
      <c r="N310" s="184" t="n">
        <v>36410</v>
      </c>
      <c r="O310" s="184" t="n">
        <v>13950</v>
      </c>
      <c r="P310" s="185" t="n">
        <v>9</v>
      </c>
      <c r="Q310" s="184" t="n">
        <v>22460</v>
      </c>
      <c r="R310" s="184" t="n">
        <v>20438.6</v>
      </c>
      <c r="S310" s="184" t="s">
        <v>971</v>
      </c>
      <c r="T310" s="187" t="n">
        <v>45896</v>
      </c>
    </row>
    <row r="311" customFormat="false" ht="57.45" hidden="true" customHeight="false" outlineLevel="0" collapsed="false">
      <c r="A311" s="181" t="s">
        <v>976</v>
      </c>
      <c r="B311" s="182" t="n">
        <v>1257</v>
      </c>
      <c r="C311" s="183" t="n">
        <v>58366</v>
      </c>
      <c r="D311" s="181" t="s">
        <v>3326</v>
      </c>
      <c r="E311" s="181" t="s">
        <v>272</v>
      </c>
      <c r="F311" s="181" t="s">
        <v>273</v>
      </c>
      <c r="G311" s="181" t="s">
        <v>228</v>
      </c>
      <c r="H311" s="181" t="s">
        <v>832</v>
      </c>
      <c r="I311" s="181" t="s">
        <v>220</v>
      </c>
      <c r="J311" s="267"/>
      <c r="K311" s="269" t="n">
        <v>45896</v>
      </c>
      <c r="L311" s="267" t="n">
        <v>1.1</v>
      </c>
      <c r="M311" s="184" t="s">
        <v>228</v>
      </c>
      <c r="N311" s="184" t="n">
        <v>38040</v>
      </c>
      <c r="O311" s="184" t="n">
        <v>15600</v>
      </c>
      <c r="P311" s="185" t="n">
        <v>9</v>
      </c>
      <c r="Q311" s="184" t="n">
        <v>22440</v>
      </c>
      <c r="R311" s="184" t="n">
        <v>20420.4</v>
      </c>
      <c r="S311" s="184" t="s">
        <v>977</v>
      </c>
      <c r="T311" s="187" t="n">
        <v>45897</v>
      </c>
    </row>
    <row r="312" s="181" customFormat="true" ht="57.45" hidden="true" customHeight="false" outlineLevel="0" collapsed="false">
      <c r="A312" s="181" t="s">
        <v>972</v>
      </c>
      <c r="B312" s="182" t="n">
        <v>1255</v>
      </c>
      <c r="C312" s="183" t="n">
        <v>58346</v>
      </c>
      <c r="D312" s="181" t="s">
        <v>3326</v>
      </c>
      <c r="E312" s="181" t="s">
        <v>292</v>
      </c>
      <c r="F312" s="181" t="s">
        <v>293</v>
      </c>
      <c r="G312" s="181" t="s">
        <v>228</v>
      </c>
      <c r="H312" s="181" t="s">
        <v>832</v>
      </c>
      <c r="I312" s="181" t="s">
        <v>220</v>
      </c>
      <c r="J312" s="267"/>
      <c r="K312" s="269" t="n">
        <v>45896</v>
      </c>
      <c r="L312" s="267" t="n">
        <v>1.1</v>
      </c>
      <c r="M312" s="184" t="s">
        <v>228</v>
      </c>
      <c r="N312" s="184" t="n">
        <v>36810</v>
      </c>
      <c r="O312" s="184" t="n">
        <v>13910</v>
      </c>
      <c r="P312" s="185" t="n">
        <v>13</v>
      </c>
      <c r="Q312" s="184" t="n">
        <v>22900</v>
      </c>
      <c r="R312" s="184" t="n">
        <v>19923</v>
      </c>
      <c r="S312" s="184" t="s">
        <v>973</v>
      </c>
      <c r="T312" s="187" t="n">
        <v>45897</v>
      </c>
      <c r="U312" s="184"/>
      <c r="V312" s="184"/>
      <c r="W312" s="184"/>
      <c r="X312" s="187"/>
      <c r="Y312" s="188"/>
      <c r="AA312" s="182"/>
      <c r="AB312" s="183"/>
      <c r="AI312" s="267"/>
      <c r="AJ312" s="269"/>
      <c r="AK312" s="267"/>
      <c r="AL312" s="184"/>
      <c r="AM312" s="184"/>
      <c r="AN312" s="185"/>
      <c r="AO312" s="184"/>
      <c r="AP312" s="184"/>
      <c r="AQ312" s="184"/>
      <c r="AR312" s="187"/>
      <c r="AS312" s="188"/>
      <c r="AU312" s="182"/>
      <c r="AV312" s="183"/>
      <c r="BC312" s="267"/>
      <c r="BD312" s="269"/>
      <c r="BE312" s="267"/>
      <c r="BF312" s="184"/>
      <c r="BG312" s="184"/>
      <c r="BH312" s="185"/>
      <c r="BI312" s="184"/>
      <c r="BJ312" s="184"/>
      <c r="BK312" s="184"/>
      <c r="BL312" s="187"/>
      <c r="BM312" s="188"/>
      <c r="BO312" s="182"/>
      <c r="BP312" s="183"/>
      <c r="BW312" s="267"/>
      <c r="BX312" s="269"/>
      <c r="BY312" s="267"/>
      <c r="BZ312" s="184"/>
      <c r="CA312" s="184"/>
      <c r="CB312" s="185"/>
      <c r="CC312" s="184"/>
      <c r="CD312" s="184"/>
      <c r="CE312" s="184"/>
      <c r="CF312" s="187"/>
      <c r="CG312" s="188"/>
      <c r="CI312" s="182"/>
      <c r="CJ312" s="183"/>
      <c r="CQ312" s="267"/>
      <c r="CR312" s="269"/>
      <c r="CS312" s="267"/>
      <c r="CT312" s="184"/>
      <c r="CU312" s="184"/>
      <c r="CV312" s="185"/>
      <c r="CW312" s="184"/>
      <c r="CX312" s="184"/>
      <c r="CY312" s="184"/>
      <c r="CZ312" s="187"/>
      <c r="DA312" s="188"/>
      <c r="DC312" s="182"/>
      <c r="DD312" s="183"/>
      <c r="DK312" s="267"/>
      <c r="DL312" s="269"/>
      <c r="DM312" s="267"/>
      <c r="DN312" s="184"/>
      <c r="DO312" s="184"/>
      <c r="DP312" s="185"/>
      <c r="DQ312" s="184"/>
      <c r="DR312" s="184"/>
      <c r="DS312" s="184"/>
      <c r="DT312" s="187"/>
      <c r="DU312" s="188"/>
      <c r="DW312" s="182"/>
      <c r="DX312" s="183"/>
      <c r="EE312" s="267"/>
      <c r="EF312" s="269"/>
      <c r="EG312" s="267"/>
      <c r="EH312" s="184"/>
      <c r="EI312" s="184"/>
      <c r="EJ312" s="185"/>
      <c r="EK312" s="184"/>
      <c r="EL312" s="184"/>
      <c r="EM312" s="184"/>
      <c r="EN312" s="187"/>
      <c r="EO312" s="188"/>
      <c r="EQ312" s="182"/>
      <c r="ER312" s="183"/>
      <c r="EY312" s="267"/>
      <c r="EZ312" s="269"/>
      <c r="FA312" s="267"/>
      <c r="FB312" s="184"/>
      <c r="FC312" s="184"/>
      <c r="FD312" s="185"/>
      <c r="FE312" s="184"/>
      <c r="FF312" s="184"/>
      <c r="FG312" s="184"/>
      <c r="FH312" s="187"/>
      <c r="FI312" s="188"/>
      <c r="FK312" s="182"/>
      <c r="FL312" s="183"/>
      <c r="FS312" s="267"/>
      <c r="FT312" s="269"/>
      <c r="FU312" s="267"/>
      <c r="FV312" s="184"/>
      <c r="FW312" s="184"/>
      <c r="FX312" s="185"/>
      <c r="FY312" s="184"/>
      <c r="FZ312" s="184"/>
      <c r="GA312" s="184"/>
      <c r="GB312" s="187"/>
      <c r="GC312" s="188"/>
      <c r="GE312" s="182"/>
      <c r="GF312" s="183"/>
      <c r="GM312" s="267"/>
      <c r="GN312" s="269"/>
      <c r="GO312" s="267"/>
      <c r="GP312" s="184"/>
      <c r="GQ312" s="184"/>
      <c r="GR312" s="185"/>
      <c r="GS312" s="184"/>
      <c r="GT312" s="184"/>
      <c r="GU312" s="184"/>
      <c r="GV312" s="187"/>
      <c r="GW312" s="188"/>
      <c r="GY312" s="182"/>
      <c r="GZ312" s="183"/>
      <c r="HG312" s="267"/>
      <c r="HH312" s="269"/>
      <c r="HI312" s="267"/>
      <c r="HJ312" s="184"/>
      <c r="HK312" s="184"/>
      <c r="HL312" s="185"/>
      <c r="HM312" s="184"/>
      <c r="HN312" s="184"/>
      <c r="HO312" s="184"/>
      <c r="HP312" s="187"/>
      <c r="HQ312" s="188"/>
      <c r="HS312" s="182"/>
      <c r="HT312" s="183"/>
      <c r="IA312" s="267"/>
      <c r="IB312" s="269"/>
      <c r="IC312" s="267"/>
      <c r="ID312" s="184"/>
      <c r="IE312" s="184"/>
      <c r="IF312" s="185"/>
      <c r="IG312" s="184"/>
      <c r="IH312" s="184"/>
      <c r="II312" s="184"/>
      <c r="IJ312" s="187"/>
      <c r="IK312" s="188"/>
      <c r="IM312" s="182"/>
      <c r="IN312" s="183"/>
      <c r="IU312" s="267"/>
      <c r="IV312" s="269"/>
      <c r="IW312" s="267"/>
      <c r="IX312" s="184"/>
      <c r="IY312" s="184"/>
      <c r="IZ312" s="185"/>
      <c r="JA312" s="184"/>
      <c r="JB312" s="184"/>
      <c r="JC312" s="184"/>
      <c r="JD312" s="187"/>
      <c r="JE312" s="188"/>
      <c r="JG312" s="182"/>
      <c r="JH312" s="183"/>
      <c r="JO312" s="267"/>
      <c r="JP312" s="269"/>
      <c r="JQ312" s="267"/>
      <c r="JR312" s="184"/>
      <c r="JS312" s="184"/>
      <c r="JT312" s="185"/>
      <c r="JU312" s="184"/>
      <c r="JV312" s="184"/>
      <c r="JW312" s="184"/>
      <c r="JX312" s="187"/>
      <c r="JY312" s="188"/>
      <c r="KA312" s="182"/>
      <c r="KB312" s="183"/>
      <c r="KI312" s="267"/>
      <c r="KJ312" s="269"/>
      <c r="KK312" s="267"/>
      <c r="KL312" s="184"/>
      <c r="KM312" s="184"/>
      <c r="KN312" s="185"/>
      <c r="KO312" s="184"/>
      <c r="KP312" s="184"/>
      <c r="KQ312" s="184"/>
      <c r="KR312" s="187"/>
      <c r="KS312" s="188"/>
      <c r="KU312" s="182"/>
      <c r="KV312" s="183"/>
      <c r="LC312" s="267"/>
      <c r="LD312" s="269"/>
      <c r="LE312" s="267"/>
      <c r="LF312" s="184"/>
      <c r="LG312" s="184"/>
      <c r="LH312" s="185"/>
      <c r="LI312" s="184"/>
      <c r="LJ312" s="184"/>
      <c r="LK312" s="184"/>
      <c r="LL312" s="187"/>
      <c r="LM312" s="188"/>
      <c r="LO312" s="182"/>
      <c r="LP312" s="183"/>
      <c r="LW312" s="267"/>
      <c r="LX312" s="269"/>
      <c r="LY312" s="267"/>
      <c r="LZ312" s="184"/>
      <c r="MA312" s="184"/>
      <c r="MB312" s="185"/>
      <c r="MC312" s="184"/>
      <c r="MD312" s="184"/>
      <c r="ME312" s="184"/>
      <c r="MF312" s="187"/>
      <c r="MG312" s="188"/>
      <c r="MI312" s="182"/>
      <c r="MJ312" s="183"/>
      <c r="MQ312" s="267"/>
      <c r="MR312" s="269"/>
      <c r="MS312" s="267"/>
      <c r="MT312" s="184"/>
      <c r="MU312" s="184"/>
      <c r="MV312" s="185"/>
      <c r="MW312" s="184"/>
      <c r="MX312" s="184"/>
      <c r="MY312" s="184"/>
      <c r="MZ312" s="187"/>
      <c r="NA312" s="188"/>
      <c r="NC312" s="182"/>
      <c r="ND312" s="183"/>
      <c r="NK312" s="267"/>
      <c r="NL312" s="269"/>
      <c r="NM312" s="267"/>
      <c r="NN312" s="184"/>
      <c r="NO312" s="184"/>
      <c r="NP312" s="185"/>
      <c r="NQ312" s="184"/>
      <c r="NR312" s="184"/>
      <c r="NS312" s="184"/>
      <c r="NT312" s="187"/>
      <c r="NU312" s="188"/>
      <c r="NW312" s="182"/>
      <c r="NX312" s="183"/>
      <c r="OE312" s="267"/>
      <c r="OF312" s="269"/>
      <c r="OG312" s="267"/>
      <c r="OH312" s="184"/>
      <c r="OI312" s="184"/>
      <c r="OJ312" s="185"/>
      <c r="OK312" s="184"/>
      <c r="OL312" s="184"/>
      <c r="OM312" s="184"/>
      <c r="ON312" s="187"/>
      <c r="OO312" s="188"/>
      <c r="OQ312" s="182"/>
      <c r="OR312" s="183"/>
      <c r="OY312" s="267"/>
      <c r="OZ312" s="269"/>
      <c r="PA312" s="267"/>
      <c r="PB312" s="184"/>
      <c r="PC312" s="184"/>
      <c r="PD312" s="185"/>
      <c r="PE312" s="184"/>
      <c r="PF312" s="184"/>
      <c r="PG312" s="184"/>
      <c r="PH312" s="187"/>
      <c r="PI312" s="188"/>
      <c r="PK312" s="182"/>
      <c r="PL312" s="183"/>
      <c r="PS312" s="267"/>
      <c r="PT312" s="269"/>
      <c r="PU312" s="267"/>
      <c r="PV312" s="184"/>
      <c r="PW312" s="184"/>
      <c r="PX312" s="185"/>
      <c r="PY312" s="184"/>
      <c r="PZ312" s="184"/>
      <c r="QA312" s="184"/>
      <c r="QB312" s="187"/>
      <c r="QC312" s="188"/>
      <c r="QE312" s="182"/>
      <c r="QF312" s="183"/>
      <c r="QM312" s="267"/>
      <c r="QN312" s="269"/>
      <c r="QO312" s="267"/>
      <c r="QP312" s="184"/>
      <c r="QQ312" s="184"/>
      <c r="QR312" s="185"/>
      <c r="QS312" s="184"/>
      <c r="QT312" s="184"/>
      <c r="QU312" s="184"/>
      <c r="QV312" s="187"/>
      <c r="QW312" s="188"/>
      <c r="QY312" s="182"/>
      <c r="QZ312" s="183"/>
      <c r="RG312" s="267"/>
      <c r="RH312" s="269"/>
      <c r="RI312" s="267"/>
      <c r="RJ312" s="184"/>
      <c r="RK312" s="184"/>
      <c r="RL312" s="185"/>
      <c r="RM312" s="184"/>
      <c r="RN312" s="184"/>
      <c r="RO312" s="184"/>
      <c r="RP312" s="187"/>
      <c r="RQ312" s="188"/>
      <c r="RS312" s="182"/>
      <c r="RT312" s="183"/>
      <c r="SA312" s="267"/>
      <c r="SB312" s="269"/>
      <c r="SC312" s="267"/>
      <c r="SD312" s="184"/>
      <c r="SE312" s="184"/>
      <c r="SF312" s="185"/>
      <c r="SG312" s="184"/>
      <c r="SH312" s="184"/>
      <c r="SI312" s="184"/>
      <c r="SJ312" s="187"/>
      <c r="SK312" s="188"/>
      <c r="SM312" s="182"/>
      <c r="SN312" s="183"/>
      <c r="SU312" s="267"/>
      <c r="SV312" s="269"/>
      <c r="SW312" s="267"/>
      <c r="SX312" s="184"/>
      <c r="SY312" s="184"/>
      <c r="SZ312" s="185"/>
      <c r="TA312" s="184"/>
      <c r="TB312" s="184"/>
      <c r="TC312" s="184"/>
      <c r="TD312" s="187"/>
      <c r="TE312" s="188"/>
      <c r="TG312" s="182"/>
      <c r="TH312" s="183"/>
      <c r="TO312" s="267"/>
      <c r="TP312" s="269"/>
      <c r="TQ312" s="267"/>
      <c r="TR312" s="184"/>
      <c r="TS312" s="184"/>
      <c r="TT312" s="185"/>
      <c r="TU312" s="184"/>
      <c r="TV312" s="184"/>
      <c r="TW312" s="184"/>
      <c r="TX312" s="187"/>
      <c r="TY312" s="188"/>
      <c r="UA312" s="182"/>
      <c r="UB312" s="183"/>
      <c r="UI312" s="267"/>
      <c r="UJ312" s="269"/>
      <c r="UK312" s="267"/>
      <c r="UL312" s="184"/>
      <c r="UM312" s="184"/>
      <c r="UN312" s="185"/>
      <c r="UO312" s="184"/>
      <c r="UP312" s="184"/>
      <c r="UQ312" s="184"/>
      <c r="UR312" s="187"/>
      <c r="US312" s="188"/>
      <c r="UU312" s="182"/>
      <c r="UV312" s="183"/>
      <c r="VC312" s="267"/>
      <c r="VD312" s="269"/>
      <c r="VE312" s="267"/>
      <c r="VF312" s="184"/>
      <c r="VG312" s="184"/>
      <c r="VH312" s="185"/>
      <c r="VI312" s="184"/>
      <c r="VJ312" s="184"/>
      <c r="VK312" s="184"/>
      <c r="VL312" s="187"/>
      <c r="VM312" s="188"/>
      <c r="VO312" s="182"/>
      <c r="VP312" s="183"/>
      <c r="VW312" s="267"/>
      <c r="VX312" s="269"/>
      <c r="VY312" s="267"/>
      <c r="VZ312" s="184"/>
      <c r="WA312" s="184"/>
      <c r="WB312" s="185"/>
      <c r="WC312" s="184"/>
      <c r="WD312" s="184"/>
      <c r="WE312" s="184"/>
      <c r="WF312" s="187"/>
      <c r="WG312" s="188"/>
      <c r="WI312" s="182"/>
      <c r="WJ312" s="183"/>
      <c r="WQ312" s="267"/>
      <c r="WR312" s="269"/>
      <c r="WS312" s="267"/>
      <c r="WT312" s="184"/>
      <c r="WU312" s="184"/>
      <c r="WV312" s="185"/>
      <c r="WW312" s="184"/>
      <c r="WX312" s="184"/>
      <c r="WY312" s="184"/>
      <c r="WZ312" s="187"/>
      <c r="XA312" s="188"/>
      <c r="XC312" s="182"/>
      <c r="XD312" s="183"/>
      <c r="XK312" s="267"/>
      <c r="XL312" s="269"/>
      <c r="XM312" s="267"/>
      <c r="XN312" s="184"/>
      <c r="XO312" s="184"/>
      <c r="XP312" s="185"/>
      <c r="XQ312" s="184"/>
      <c r="XR312" s="184"/>
      <c r="XS312" s="184"/>
      <c r="XT312" s="187"/>
      <c r="XU312" s="188"/>
      <c r="XW312" s="182"/>
      <c r="XX312" s="183"/>
      <c r="YE312" s="267"/>
      <c r="YF312" s="269"/>
      <c r="YG312" s="267"/>
      <c r="YH312" s="184"/>
      <c r="YI312" s="184"/>
      <c r="YJ312" s="185"/>
      <c r="YK312" s="184"/>
      <c r="YL312" s="184"/>
      <c r="YM312" s="184"/>
      <c r="YN312" s="187"/>
      <c r="YO312" s="188"/>
      <c r="YQ312" s="182"/>
      <c r="YR312" s="183"/>
      <c r="YY312" s="267"/>
      <c r="YZ312" s="269"/>
      <c r="ZA312" s="267"/>
      <c r="ZB312" s="184"/>
      <c r="ZC312" s="184"/>
      <c r="ZD312" s="185"/>
      <c r="ZE312" s="184"/>
      <c r="ZF312" s="184"/>
      <c r="ZG312" s="184"/>
      <c r="ZH312" s="187"/>
      <c r="ZI312" s="188"/>
      <c r="ZK312" s="182"/>
      <c r="ZL312" s="183"/>
      <c r="ZS312" s="267"/>
      <c r="ZT312" s="269"/>
      <c r="ZU312" s="267"/>
      <c r="ZV312" s="184"/>
      <c r="ZW312" s="184"/>
      <c r="ZX312" s="185"/>
      <c r="ZY312" s="184"/>
      <c r="ZZ312" s="184"/>
      <c r="AAA312" s="184"/>
      <c r="AAB312" s="187"/>
      <c r="AAC312" s="188"/>
      <c r="AAE312" s="182"/>
      <c r="AAF312" s="183"/>
      <c r="AAM312" s="267"/>
      <c r="AAN312" s="269"/>
      <c r="AAO312" s="267"/>
      <c r="AAP312" s="184"/>
      <c r="AAQ312" s="184"/>
      <c r="AAR312" s="185"/>
      <c r="AAS312" s="184"/>
      <c r="AAT312" s="184"/>
      <c r="AAU312" s="184"/>
      <c r="AAV312" s="187"/>
      <c r="AAW312" s="188"/>
      <c r="AAY312" s="182"/>
      <c r="AAZ312" s="183"/>
      <c r="ABG312" s="267"/>
      <c r="ABH312" s="269"/>
      <c r="ABI312" s="267"/>
      <c r="ABJ312" s="184"/>
      <c r="ABK312" s="184"/>
      <c r="ABL312" s="185"/>
      <c r="ABM312" s="184"/>
      <c r="ABN312" s="184"/>
      <c r="ABO312" s="184"/>
      <c r="ABP312" s="187"/>
      <c r="ABQ312" s="188"/>
      <c r="ABS312" s="182"/>
      <c r="ABT312" s="183"/>
      <c r="ACA312" s="267"/>
      <c r="ACB312" s="269"/>
      <c r="ACC312" s="267"/>
      <c r="ACD312" s="184"/>
      <c r="ACE312" s="184"/>
      <c r="ACF312" s="185"/>
      <c r="ACG312" s="184"/>
      <c r="ACH312" s="184"/>
      <c r="ACI312" s="184"/>
      <c r="ACJ312" s="187"/>
      <c r="ACK312" s="188"/>
      <c r="ACM312" s="182"/>
      <c r="ACN312" s="183"/>
      <c r="ACU312" s="267"/>
      <c r="ACV312" s="269"/>
      <c r="ACW312" s="267"/>
      <c r="ACX312" s="184"/>
      <c r="ACY312" s="184"/>
      <c r="ACZ312" s="185"/>
      <c r="ADA312" s="184"/>
      <c r="ADB312" s="184"/>
      <c r="ADC312" s="184"/>
      <c r="ADD312" s="187"/>
      <c r="ADE312" s="188"/>
      <c r="ADG312" s="182"/>
      <c r="ADH312" s="183"/>
      <c r="ADO312" s="267"/>
      <c r="ADP312" s="269"/>
      <c r="ADQ312" s="267"/>
      <c r="ADR312" s="184"/>
      <c r="ADS312" s="184"/>
      <c r="ADT312" s="185"/>
      <c r="ADU312" s="184"/>
      <c r="ADV312" s="184"/>
      <c r="ADW312" s="184"/>
      <c r="ADX312" s="187"/>
      <c r="ADY312" s="188"/>
      <c r="AEA312" s="182"/>
      <c r="AEB312" s="183"/>
      <c r="AEI312" s="267"/>
      <c r="AEJ312" s="269"/>
      <c r="AEK312" s="267"/>
      <c r="AEL312" s="184"/>
      <c r="AEM312" s="184"/>
      <c r="AEN312" s="185"/>
      <c r="AEO312" s="184"/>
      <c r="AEP312" s="184"/>
      <c r="AEQ312" s="184"/>
      <c r="AER312" s="187"/>
      <c r="AES312" s="188"/>
      <c r="AEU312" s="182"/>
      <c r="AEV312" s="183"/>
      <c r="AFC312" s="267"/>
      <c r="AFD312" s="269"/>
      <c r="AFE312" s="267"/>
      <c r="AFF312" s="184"/>
      <c r="AFG312" s="184"/>
      <c r="AFH312" s="185"/>
      <c r="AFI312" s="184"/>
      <c r="AFJ312" s="184"/>
      <c r="AFK312" s="184"/>
      <c r="AFL312" s="187"/>
      <c r="AFM312" s="188"/>
      <c r="AFO312" s="182"/>
      <c r="AFP312" s="183"/>
      <c r="AFW312" s="267"/>
      <c r="AFX312" s="269"/>
      <c r="AFY312" s="267"/>
      <c r="AFZ312" s="184"/>
      <c r="AGA312" s="184"/>
      <c r="AGB312" s="185"/>
      <c r="AGC312" s="184"/>
      <c r="AGD312" s="184"/>
      <c r="AGE312" s="184"/>
      <c r="AGF312" s="187"/>
      <c r="AGG312" s="188"/>
      <c r="AGI312" s="182"/>
      <c r="AGJ312" s="183"/>
      <c r="AGQ312" s="267"/>
      <c r="AGR312" s="269"/>
      <c r="AGS312" s="267"/>
      <c r="AGT312" s="184"/>
      <c r="AGU312" s="184"/>
      <c r="AGV312" s="185"/>
      <c r="AGW312" s="184"/>
      <c r="AGX312" s="184"/>
      <c r="AGY312" s="184"/>
      <c r="AGZ312" s="187"/>
      <c r="AHA312" s="188"/>
      <c r="AHC312" s="182"/>
      <c r="AHD312" s="183"/>
      <c r="AHK312" s="267"/>
      <c r="AHL312" s="269"/>
      <c r="AHM312" s="267"/>
      <c r="AHN312" s="184"/>
      <c r="AHO312" s="184"/>
      <c r="AHP312" s="185"/>
      <c r="AHQ312" s="184"/>
      <c r="AHR312" s="184"/>
      <c r="AHS312" s="184"/>
      <c r="AHT312" s="187"/>
      <c r="AHU312" s="188"/>
      <c r="AHW312" s="182"/>
      <c r="AHX312" s="183"/>
      <c r="AIE312" s="267"/>
      <c r="AIF312" s="269"/>
      <c r="AIG312" s="267"/>
      <c r="AIH312" s="184"/>
      <c r="AII312" s="184"/>
      <c r="AIJ312" s="185"/>
      <c r="AIK312" s="184"/>
      <c r="AIL312" s="184"/>
      <c r="AIM312" s="184"/>
      <c r="AIN312" s="187"/>
      <c r="AIO312" s="188"/>
      <c r="AIQ312" s="182"/>
      <c r="AIR312" s="183"/>
      <c r="AIY312" s="267"/>
      <c r="AIZ312" s="269"/>
      <c r="AJA312" s="267"/>
      <c r="AJB312" s="184"/>
      <c r="AJC312" s="184"/>
      <c r="AJD312" s="185"/>
      <c r="AJE312" s="184"/>
      <c r="AJF312" s="184"/>
      <c r="AJG312" s="184"/>
      <c r="AJH312" s="187"/>
      <c r="AJI312" s="188"/>
      <c r="AJK312" s="182"/>
      <c r="AJL312" s="183"/>
      <c r="AJS312" s="267"/>
      <c r="AJT312" s="269"/>
      <c r="AJU312" s="267"/>
      <c r="AJV312" s="184"/>
      <c r="AJW312" s="184"/>
      <c r="AJX312" s="185"/>
      <c r="AJY312" s="184"/>
      <c r="AJZ312" s="184"/>
      <c r="AKA312" s="184"/>
      <c r="AKB312" s="187"/>
      <c r="AKC312" s="188"/>
      <c r="AKE312" s="182"/>
      <c r="AKF312" s="183"/>
      <c r="AKM312" s="267"/>
      <c r="AKN312" s="269"/>
      <c r="AKO312" s="267"/>
      <c r="AKP312" s="184"/>
      <c r="AKQ312" s="184"/>
      <c r="AKR312" s="185"/>
      <c r="AKS312" s="184"/>
      <c r="AKT312" s="184"/>
      <c r="AKU312" s="184"/>
      <c r="AKV312" s="187"/>
      <c r="AKW312" s="188"/>
      <c r="AKY312" s="182"/>
      <c r="AKZ312" s="183"/>
      <c r="ALG312" s="267"/>
      <c r="ALH312" s="269"/>
      <c r="ALI312" s="267"/>
      <c r="ALJ312" s="184"/>
      <c r="ALK312" s="184"/>
      <c r="ALL312" s="185"/>
      <c r="ALM312" s="184"/>
      <c r="ALN312" s="184"/>
      <c r="ALO312" s="184"/>
      <c r="ALP312" s="187"/>
      <c r="ALQ312" s="188"/>
      <c r="ALS312" s="182"/>
      <c r="ALT312" s="183"/>
      <c r="AMA312" s="267"/>
      <c r="AMB312" s="269"/>
      <c r="AMC312" s="267"/>
      <c r="AMD312" s="184"/>
      <c r="AME312" s="184"/>
      <c r="AMF312" s="185"/>
      <c r="AMG312" s="184"/>
      <c r="AMH312" s="184"/>
      <c r="AMI312" s="184"/>
      <c r="AMJ312" s="187"/>
      <c r="AMK312" s="188"/>
      <c r="AMM312" s="182"/>
      <c r="AMN312" s="183"/>
      <c r="AMU312" s="267"/>
      <c r="AMV312" s="269"/>
      <c r="AMW312" s="267"/>
      <c r="AMX312" s="184"/>
      <c r="AMY312" s="184"/>
      <c r="AMZ312" s="185"/>
      <c r="ANA312" s="184"/>
      <c r="ANB312" s="184"/>
      <c r="ANC312" s="184"/>
      <c r="AND312" s="187"/>
      <c r="ANE312" s="188"/>
      <c r="ANG312" s="182"/>
      <c r="ANH312" s="183"/>
      <c r="ANO312" s="267"/>
      <c r="ANP312" s="269"/>
      <c r="ANQ312" s="267"/>
      <c r="ANR312" s="184"/>
      <c r="ANS312" s="184"/>
      <c r="ANT312" s="185"/>
      <c r="ANU312" s="184"/>
      <c r="ANV312" s="184"/>
      <c r="ANW312" s="184"/>
      <c r="ANX312" s="187"/>
      <c r="ANY312" s="188"/>
      <c r="AOA312" s="182"/>
      <c r="AOB312" s="183"/>
      <c r="AOI312" s="267"/>
      <c r="AOJ312" s="269"/>
      <c r="AOK312" s="267"/>
      <c r="AOL312" s="184"/>
      <c r="AOM312" s="184"/>
      <c r="AON312" s="185"/>
      <c r="AOO312" s="184"/>
      <c r="AOP312" s="184"/>
      <c r="AOQ312" s="184"/>
      <c r="AOR312" s="187"/>
      <c r="AOS312" s="188"/>
      <c r="AOU312" s="182"/>
      <c r="AOV312" s="183"/>
      <c r="APC312" s="267"/>
      <c r="APD312" s="269"/>
      <c r="APE312" s="267"/>
      <c r="APF312" s="184"/>
      <c r="APG312" s="184"/>
      <c r="APH312" s="185"/>
      <c r="API312" s="184"/>
      <c r="APJ312" s="184"/>
      <c r="APK312" s="184"/>
      <c r="APL312" s="187"/>
      <c r="APM312" s="188"/>
      <c r="APO312" s="182"/>
      <c r="APP312" s="183"/>
      <c r="APW312" s="267"/>
      <c r="APX312" s="269"/>
      <c r="APY312" s="267"/>
      <c r="APZ312" s="184"/>
      <c r="AQA312" s="184"/>
      <c r="AQB312" s="185"/>
      <c r="AQC312" s="184"/>
      <c r="AQD312" s="184"/>
      <c r="AQE312" s="184"/>
      <c r="AQF312" s="187"/>
      <c r="AQG312" s="188"/>
      <c r="AQI312" s="182"/>
      <c r="AQJ312" s="183"/>
      <c r="AQQ312" s="267"/>
      <c r="AQR312" s="269"/>
      <c r="AQS312" s="267"/>
      <c r="AQT312" s="184"/>
      <c r="AQU312" s="184"/>
      <c r="AQV312" s="185"/>
      <c r="AQW312" s="184"/>
      <c r="AQX312" s="184"/>
      <c r="AQY312" s="184"/>
      <c r="AQZ312" s="187"/>
      <c r="ARA312" s="188"/>
      <c r="ARC312" s="182"/>
      <c r="ARD312" s="183"/>
      <c r="ARK312" s="267"/>
      <c r="ARL312" s="269"/>
      <c r="ARM312" s="267"/>
      <c r="ARN312" s="184"/>
      <c r="ARO312" s="184"/>
      <c r="ARP312" s="185"/>
      <c r="ARQ312" s="184"/>
      <c r="ARR312" s="184"/>
      <c r="ARS312" s="184"/>
      <c r="ART312" s="187"/>
      <c r="ARU312" s="188"/>
      <c r="ARW312" s="182"/>
      <c r="ARX312" s="183"/>
      <c r="ASE312" s="267"/>
      <c r="ASF312" s="269"/>
      <c r="ASG312" s="267"/>
      <c r="ASH312" s="184"/>
      <c r="ASI312" s="184"/>
      <c r="ASJ312" s="185"/>
      <c r="ASK312" s="184"/>
      <c r="ASL312" s="184"/>
      <c r="ASM312" s="184"/>
      <c r="ASN312" s="187"/>
      <c r="ASO312" s="188"/>
      <c r="ASQ312" s="182"/>
      <c r="ASR312" s="183"/>
      <c r="ASY312" s="267"/>
      <c r="ASZ312" s="269"/>
      <c r="ATA312" s="267"/>
      <c r="ATB312" s="184"/>
      <c r="ATC312" s="184"/>
      <c r="ATD312" s="185"/>
      <c r="ATE312" s="184"/>
      <c r="ATF312" s="184"/>
      <c r="ATG312" s="184"/>
      <c r="ATH312" s="187"/>
      <c r="ATI312" s="188"/>
      <c r="ATK312" s="182"/>
      <c r="ATL312" s="183"/>
      <c r="ATS312" s="267"/>
      <c r="ATT312" s="269"/>
      <c r="ATU312" s="267"/>
      <c r="ATV312" s="184"/>
      <c r="ATW312" s="184"/>
      <c r="ATX312" s="185"/>
      <c r="ATY312" s="184"/>
      <c r="ATZ312" s="184"/>
      <c r="AUA312" s="184"/>
      <c r="AUB312" s="187"/>
      <c r="AUC312" s="188"/>
      <c r="AUE312" s="182"/>
      <c r="AUF312" s="183"/>
      <c r="AUM312" s="267"/>
      <c r="AUN312" s="269"/>
      <c r="AUO312" s="267"/>
      <c r="AUP312" s="184"/>
      <c r="AUQ312" s="184"/>
      <c r="AUR312" s="185"/>
      <c r="AUS312" s="184"/>
      <c r="AUT312" s="184"/>
      <c r="AUU312" s="184"/>
      <c r="AUV312" s="187"/>
      <c r="AUW312" s="188"/>
      <c r="AUY312" s="182"/>
      <c r="AUZ312" s="183"/>
      <c r="AVG312" s="267"/>
      <c r="AVH312" s="269"/>
      <c r="AVI312" s="267"/>
      <c r="AVJ312" s="184"/>
      <c r="AVK312" s="184"/>
      <c r="AVL312" s="185"/>
      <c r="AVM312" s="184"/>
      <c r="AVN312" s="184"/>
      <c r="AVO312" s="184"/>
      <c r="AVP312" s="187"/>
      <c r="AVQ312" s="188"/>
      <c r="AVS312" s="182"/>
      <c r="AVT312" s="183"/>
      <c r="AWA312" s="267"/>
      <c r="AWB312" s="269"/>
      <c r="AWC312" s="267"/>
      <c r="AWD312" s="184"/>
      <c r="AWE312" s="184"/>
      <c r="AWF312" s="185"/>
      <c r="AWG312" s="184"/>
      <c r="AWH312" s="184"/>
      <c r="AWI312" s="184"/>
      <c r="AWJ312" s="187"/>
      <c r="AWK312" s="188"/>
      <c r="AWM312" s="182"/>
      <c r="AWN312" s="183"/>
      <c r="AWU312" s="267"/>
      <c r="AWV312" s="269"/>
      <c r="AWW312" s="267"/>
      <c r="AWX312" s="184"/>
      <c r="AWY312" s="184"/>
      <c r="AWZ312" s="185"/>
      <c r="AXA312" s="184"/>
      <c r="AXB312" s="184"/>
      <c r="AXC312" s="184"/>
      <c r="AXD312" s="187"/>
      <c r="AXE312" s="188"/>
      <c r="AXG312" s="182"/>
      <c r="AXH312" s="183"/>
      <c r="AXO312" s="267"/>
      <c r="AXP312" s="269"/>
      <c r="AXQ312" s="267"/>
      <c r="AXR312" s="184"/>
      <c r="AXS312" s="184"/>
      <c r="AXT312" s="185"/>
      <c r="AXU312" s="184"/>
      <c r="AXV312" s="184"/>
      <c r="AXW312" s="184"/>
      <c r="AXX312" s="187"/>
      <c r="AXY312" s="188"/>
      <c r="AYA312" s="182"/>
      <c r="AYB312" s="183"/>
      <c r="AYI312" s="267"/>
      <c r="AYJ312" s="269"/>
      <c r="AYK312" s="267"/>
      <c r="AYL312" s="184"/>
      <c r="AYM312" s="184"/>
      <c r="AYN312" s="185"/>
      <c r="AYO312" s="184"/>
      <c r="AYP312" s="184"/>
      <c r="AYQ312" s="184"/>
      <c r="AYR312" s="187"/>
      <c r="AYS312" s="188"/>
      <c r="AYU312" s="182"/>
      <c r="AYV312" s="183"/>
      <c r="AZC312" s="267"/>
      <c r="AZD312" s="269"/>
      <c r="AZE312" s="267"/>
      <c r="AZF312" s="184"/>
      <c r="AZG312" s="184"/>
      <c r="AZH312" s="185"/>
      <c r="AZI312" s="184"/>
      <c r="AZJ312" s="184"/>
      <c r="AZK312" s="184"/>
      <c r="AZL312" s="187"/>
      <c r="AZM312" s="188"/>
      <c r="AZO312" s="182"/>
      <c r="AZP312" s="183"/>
      <c r="AZW312" s="267"/>
      <c r="AZX312" s="269"/>
      <c r="AZY312" s="267"/>
      <c r="AZZ312" s="184"/>
      <c r="BAA312" s="184"/>
      <c r="BAB312" s="185"/>
      <c r="BAC312" s="184"/>
      <c r="BAD312" s="184"/>
      <c r="BAE312" s="184"/>
      <c r="BAF312" s="187"/>
      <c r="BAG312" s="188"/>
      <c r="BAI312" s="182"/>
      <c r="BAJ312" s="183"/>
      <c r="BAQ312" s="267"/>
      <c r="BAR312" s="269"/>
      <c r="BAS312" s="267"/>
      <c r="BAT312" s="184"/>
      <c r="BAU312" s="184"/>
      <c r="BAV312" s="185"/>
      <c r="BAW312" s="184"/>
      <c r="BAX312" s="184"/>
      <c r="BAY312" s="184"/>
      <c r="BAZ312" s="187"/>
      <c r="BBA312" s="188"/>
      <c r="BBC312" s="182"/>
      <c r="BBD312" s="183"/>
      <c r="BBK312" s="267"/>
      <c r="BBL312" s="269"/>
      <c r="BBM312" s="267"/>
      <c r="BBN312" s="184"/>
      <c r="BBO312" s="184"/>
      <c r="BBP312" s="185"/>
      <c r="BBQ312" s="184"/>
      <c r="BBR312" s="184"/>
      <c r="BBS312" s="184"/>
      <c r="BBT312" s="187"/>
      <c r="BBU312" s="188"/>
      <c r="BBW312" s="182"/>
      <c r="BBX312" s="183"/>
      <c r="BCE312" s="267"/>
      <c r="BCF312" s="269"/>
      <c r="BCG312" s="267"/>
      <c r="BCH312" s="184"/>
      <c r="BCI312" s="184"/>
      <c r="BCJ312" s="185"/>
      <c r="BCK312" s="184"/>
      <c r="BCL312" s="184"/>
      <c r="BCM312" s="184"/>
      <c r="BCN312" s="187"/>
      <c r="BCO312" s="188"/>
      <c r="BCQ312" s="182"/>
      <c r="BCR312" s="183"/>
      <c r="BCY312" s="267"/>
      <c r="BCZ312" s="269"/>
      <c r="BDA312" s="267"/>
      <c r="BDB312" s="184"/>
      <c r="BDC312" s="184"/>
      <c r="BDD312" s="185"/>
      <c r="BDE312" s="184"/>
      <c r="BDF312" s="184"/>
      <c r="BDG312" s="184"/>
      <c r="BDH312" s="187"/>
      <c r="BDI312" s="188"/>
      <c r="BDK312" s="182"/>
      <c r="BDL312" s="183"/>
      <c r="BDS312" s="267"/>
      <c r="BDT312" s="269"/>
      <c r="BDU312" s="267"/>
      <c r="BDV312" s="184"/>
      <c r="BDW312" s="184"/>
      <c r="BDX312" s="185"/>
      <c r="BDY312" s="184"/>
      <c r="BDZ312" s="184"/>
      <c r="BEA312" s="184"/>
      <c r="BEB312" s="187"/>
      <c r="BEC312" s="188"/>
      <c r="BEE312" s="182"/>
      <c r="BEF312" s="183"/>
      <c r="BEM312" s="267"/>
      <c r="BEN312" s="269"/>
      <c r="BEO312" s="267"/>
      <c r="BEP312" s="184"/>
      <c r="BEQ312" s="184"/>
      <c r="BER312" s="185"/>
      <c r="BES312" s="184"/>
      <c r="BET312" s="184"/>
      <c r="BEU312" s="184"/>
      <c r="BEV312" s="187"/>
      <c r="BEW312" s="188"/>
      <c r="BEY312" s="182"/>
      <c r="BEZ312" s="183"/>
      <c r="BFG312" s="267"/>
      <c r="BFH312" s="269"/>
      <c r="BFI312" s="267"/>
      <c r="BFJ312" s="184"/>
      <c r="BFK312" s="184"/>
      <c r="BFL312" s="185"/>
      <c r="BFM312" s="184"/>
      <c r="BFN312" s="184"/>
      <c r="BFO312" s="184"/>
      <c r="BFP312" s="187"/>
      <c r="BFQ312" s="188"/>
      <c r="BFS312" s="182"/>
      <c r="BFT312" s="183"/>
      <c r="BGA312" s="267"/>
      <c r="BGB312" s="269"/>
      <c r="BGC312" s="267"/>
      <c r="BGD312" s="184"/>
      <c r="BGE312" s="184"/>
      <c r="BGF312" s="185"/>
      <c r="BGG312" s="184"/>
      <c r="BGH312" s="184"/>
      <c r="BGI312" s="184"/>
      <c r="BGJ312" s="187"/>
      <c r="BGK312" s="188"/>
      <c r="BGM312" s="182"/>
      <c r="BGN312" s="183"/>
      <c r="BGU312" s="267"/>
      <c r="BGV312" s="269"/>
      <c r="BGW312" s="267"/>
      <c r="BGX312" s="184"/>
      <c r="BGY312" s="184"/>
      <c r="BGZ312" s="185"/>
      <c r="BHA312" s="184"/>
      <c r="BHB312" s="184"/>
      <c r="BHC312" s="184"/>
      <c r="BHD312" s="187"/>
      <c r="BHE312" s="188"/>
      <c r="BHG312" s="182"/>
      <c r="BHH312" s="183"/>
      <c r="BHO312" s="267"/>
      <c r="BHP312" s="269"/>
      <c r="BHQ312" s="267"/>
      <c r="BHR312" s="184"/>
      <c r="BHS312" s="184"/>
      <c r="BHT312" s="185"/>
      <c r="BHU312" s="184"/>
      <c r="BHV312" s="184"/>
      <c r="BHW312" s="184"/>
      <c r="BHX312" s="187"/>
      <c r="BHY312" s="188"/>
      <c r="BIA312" s="182"/>
      <c r="BIB312" s="183"/>
      <c r="BII312" s="267"/>
      <c r="BIJ312" s="269"/>
      <c r="BIK312" s="267"/>
      <c r="BIL312" s="184"/>
      <c r="BIM312" s="184"/>
      <c r="BIN312" s="185"/>
      <c r="BIO312" s="184"/>
      <c r="BIP312" s="184"/>
      <c r="BIQ312" s="184"/>
      <c r="BIR312" s="187"/>
      <c r="BIS312" s="188"/>
      <c r="BIU312" s="182"/>
      <c r="BIV312" s="183"/>
      <c r="BJC312" s="267"/>
      <c r="BJD312" s="269"/>
      <c r="BJE312" s="267"/>
      <c r="BJF312" s="184"/>
      <c r="BJG312" s="184"/>
      <c r="BJH312" s="185"/>
      <c r="BJI312" s="184"/>
      <c r="BJJ312" s="184"/>
      <c r="BJK312" s="184"/>
      <c r="BJL312" s="187"/>
      <c r="BJM312" s="188"/>
      <c r="BJO312" s="182"/>
      <c r="BJP312" s="183"/>
      <c r="BJW312" s="267"/>
      <c r="BJX312" s="269"/>
      <c r="BJY312" s="267"/>
      <c r="BJZ312" s="184"/>
      <c r="BKA312" s="184"/>
      <c r="BKB312" s="185"/>
      <c r="BKC312" s="184"/>
      <c r="BKD312" s="184"/>
      <c r="BKE312" s="184"/>
      <c r="BKF312" s="187"/>
      <c r="BKG312" s="188"/>
      <c r="BKI312" s="182"/>
      <c r="BKJ312" s="183"/>
      <c r="BKQ312" s="267"/>
      <c r="BKR312" s="269"/>
      <c r="BKS312" s="267"/>
      <c r="BKT312" s="184"/>
      <c r="BKU312" s="184"/>
      <c r="BKV312" s="185"/>
      <c r="BKW312" s="184"/>
      <c r="BKX312" s="184"/>
      <c r="BKY312" s="184"/>
      <c r="BKZ312" s="187"/>
      <c r="BLA312" s="188"/>
      <c r="BLC312" s="182"/>
      <c r="BLD312" s="183"/>
      <c r="BLK312" s="267"/>
      <c r="BLL312" s="269"/>
      <c r="BLM312" s="267"/>
      <c r="BLN312" s="184"/>
      <c r="BLO312" s="184"/>
      <c r="BLP312" s="185"/>
      <c r="BLQ312" s="184"/>
      <c r="BLR312" s="184"/>
      <c r="BLS312" s="184"/>
      <c r="BLT312" s="187"/>
      <c r="BLU312" s="188"/>
      <c r="BLW312" s="182"/>
      <c r="BLX312" s="183"/>
      <c r="BME312" s="267"/>
      <c r="BMF312" s="269"/>
      <c r="BMG312" s="267"/>
      <c r="BMH312" s="184"/>
      <c r="BMI312" s="184"/>
      <c r="BMJ312" s="185"/>
      <c r="BMK312" s="184"/>
      <c r="BML312" s="184"/>
      <c r="BMM312" s="184"/>
      <c r="BMN312" s="187"/>
      <c r="BMO312" s="188"/>
      <c r="BMQ312" s="182"/>
      <c r="BMR312" s="183"/>
      <c r="BMY312" s="267"/>
      <c r="BMZ312" s="269"/>
      <c r="BNA312" s="267"/>
      <c r="BNB312" s="184"/>
      <c r="BNC312" s="184"/>
      <c r="BND312" s="185"/>
      <c r="BNE312" s="184"/>
      <c r="BNF312" s="184"/>
      <c r="BNG312" s="184"/>
      <c r="BNH312" s="187"/>
      <c r="BNI312" s="188"/>
      <c r="BNK312" s="182"/>
      <c r="BNL312" s="183"/>
      <c r="BNS312" s="267"/>
      <c r="BNT312" s="269"/>
      <c r="BNU312" s="267"/>
      <c r="BNV312" s="184"/>
      <c r="BNW312" s="184"/>
      <c r="BNX312" s="185"/>
      <c r="BNY312" s="184"/>
      <c r="BNZ312" s="184"/>
      <c r="BOA312" s="184"/>
      <c r="BOB312" s="187"/>
      <c r="BOC312" s="188"/>
      <c r="BOE312" s="182"/>
      <c r="BOF312" s="183"/>
      <c r="BOM312" s="267"/>
      <c r="BON312" s="269"/>
      <c r="BOO312" s="267"/>
      <c r="BOP312" s="184"/>
      <c r="BOQ312" s="184"/>
      <c r="BOR312" s="185"/>
      <c r="BOS312" s="184"/>
      <c r="BOT312" s="184"/>
      <c r="BOU312" s="184"/>
      <c r="BOV312" s="187"/>
      <c r="BOW312" s="188"/>
      <c r="BOY312" s="182"/>
      <c r="BOZ312" s="183"/>
      <c r="BPG312" s="267"/>
      <c r="BPH312" s="269"/>
      <c r="BPI312" s="267"/>
      <c r="BPJ312" s="184"/>
      <c r="BPK312" s="184"/>
      <c r="BPL312" s="185"/>
      <c r="BPM312" s="184"/>
      <c r="BPN312" s="184"/>
      <c r="BPO312" s="184"/>
      <c r="BPP312" s="187"/>
      <c r="BPQ312" s="188"/>
      <c r="BPS312" s="182"/>
      <c r="BPT312" s="183"/>
      <c r="BQA312" s="267"/>
      <c r="BQB312" s="269"/>
      <c r="BQC312" s="267"/>
      <c r="BQD312" s="184"/>
      <c r="BQE312" s="184"/>
      <c r="BQF312" s="185"/>
      <c r="BQG312" s="184"/>
      <c r="BQH312" s="184"/>
      <c r="BQI312" s="184"/>
      <c r="BQJ312" s="187"/>
      <c r="BQK312" s="188"/>
      <c r="BQM312" s="182"/>
      <c r="BQN312" s="183"/>
      <c r="BQU312" s="267"/>
      <c r="BQV312" s="269"/>
      <c r="BQW312" s="267"/>
      <c r="BQX312" s="184"/>
      <c r="BQY312" s="184"/>
      <c r="BQZ312" s="185"/>
      <c r="BRA312" s="184"/>
      <c r="BRB312" s="184"/>
      <c r="BRC312" s="184"/>
      <c r="BRD312" s="187"/>
      <c r="BRE312" s="188"/>
      <c r="BRG312" s="182"/>
      <c r="BRH312" s="183"/>
      <c r="BRO312" s="267"/>
      <c r="BRP312" s="269"/>
      <c r="BRQ312" s="267"/>
      <c r="BRR312" s="184"/>
      <c r="BRS312" s="184"/>
      <c r="BRT312" s="185"/>
      <c r="BRU312" s="184"/>
      <c r="BRV312" s="184"/>
      <c r="BRW312" s="184"/>
      <c r="BRX312" s="187"/>
      <c r="BRY312" s="188"/>
      <c r="BSA312" s="182"/>
      <c r="BSB312" s="183"/>
      <c r="BSI312" s="267"/>
      <c r="BSJ312" s="269"/>
      <c r="BSK312" s="267"/>
      <c r="BSL312" s="184"/>
      <c r="BSM312" s="184"/>
      <c r="BSN312" s="185"/>
      <c r="BSO312" s="184"/>
      <c r="BSP312" s="184"/>
      <c r="BSQ312" s="184"/>
      <c r="BSR312" s="187"/>
      <c r="BSS312" s="188"/>
      <c r="BSU312" s="182"/>
      <c r="BSV312" s="183"/>
      <c r="BTC312" s="267"/>
      <c r="BTD312" s="269"/>
      <c r="BTE312" s="267"/>
      <c r="BTF312" s="184"/>
      <c r="BTG312" s="184"/>
      <c r="BTH312" s="185"/>
      <c r="BTI312" s="184"/>
      <c r="BTJ312" s="184"/>
      <c r="BTK312" s="184"/>
      <c r="BTL312" s="187"/>
      <c r="BTM312" s="188"/>
      <c r="BTO312" s="182"/>
      <c r="BTP312" s="183"/>
      <c r="BTW312" s="267"/>
      <c r="BTX312" s="269"/>
      <c r="BTY312" s="267"/>
      <c r="BTZ312" s="184"/>
      <c r="BUA312" s="184"/>
      <c r="BUB312" s="185"/>
      <c r="BUC312" s="184"/>
      <c r="BUD312" s="184"/>
      <c r="BUE312" s="184"/>
      <c r="BUF312" s="187"/>
      <c r="BUG312" s="188"/>
      <c r="BUI312" s="182"/>
      <c r="BUJ312" s="183"/>
      <c r="BUQ312" s="267"/>
      <c r="BUR312" s="269"/>
      <c r="BUS312" s="267"/>
      <c r="BUT312" s="184"/>
      <c r="BUU312" s="184"/>
      <c r="BUV312" s="185"/>
      <c r="BUW312" s="184"/>
      <c r="BUX312" s="184"/>
      <c r="BUY312" s="184"/>
      <c r="BUZ312" s="187"/>
      <c r="BVA312" s="188"/>
      <c r="BVC312" s="182"/>
      <c r="BVD312" s="183"/>
      <c r="BVK312" s="267"/>
      <c r="BVL312" s="269"/>
      <c r="BVM312" s="267"/>
      <c r="BVN312" s="184"/>
      <c r="BVO312" s="184"/>
      <c r="BVP312" s="185"/>
      <c r="BVQ312" s="184"/>
      <c r="BVR312" s="184"/>
      <c r="BVS312" s="184"/>
      <c r="BVT312" s="187"/>
      <c r="BVU312" s="188"/>
      <c r="BVW312" s="182"/>
      <c r="BVX312" s="183"/>
      <c r="BWE312" s="267"/>
      <c r="BWF312" s="269"/>
      <c r="BWG312" s="267"/>
      <c r="BWH312" s="184"/>
      <c r="BWI312" s="184"/>
      <c r="BWJ312" s="185"/>
      <c r="BWK312" s="184"/>
      <c r="BWL312" s="184"/>
      <c r="BWM312" s="184"/>
      <c r="BWN312" s="187"/>
      <c r="BWO312" s="188"/>
      <c r="BWQ312" s="182"/>
      <c r="BWR312" s="183"/>
      <c r="BWY312" s="267"/>
      <c r="BWZ312" s="269"/>
      <c r="BXA312" s="267"/>
      <c r="BXB312" s="184"/>
      <c r="BXC312" s="184"/>
      <c r="BXD312" s="185"/>
      <c r="BXE312" s="184"/>
      <c r="BXF312" s="184"/>
      <c r="BXG312" s="184"/>
      <c r="BXH312" s="187"/>
      <c r="BXI312" s="188"/>
      <c r="BXK312" s="182"/>
      <c r="BXL312" s="183"/>
      <c r="BXS312" s="267"/>
      <c r="BXT312" s="269"/>
      <c r="BXU312" s="267"/>
      <c r="BXV312" s="184"/>
      <c r="BXW312" s="184"/>
      <c r="BXX312" s="185"/>
      <c r="BXY312" s="184"/>
      <c r="BXZ312" s="184"/>
      <c r="BYA312" s="184"/>
      <c r="BYB312" s="187"/>
      <c r="BYC312" s="188"/>
      <c r="BYE312" s="182"/>
      <c r="BYF312" s="183"/>
      <c r="BYM312" s="267"/>
      <c r="BYN312" s="269"/>
      <c r="BYO312" s="267"/>
      <c r="BYP312" s="184"/>
      <c r="BYQ312" s="184"/>
      <c r="BYR312" s="185"/>
      <c r="BYS312" s="184"/>
      <c r="BYT312" s="184"/>
      <c r="BYU312" s="184"/>
      <c r="BYV312" s="187"/>
      <c r="BYW312" s="188"/>
      <c r="BYY312" s="182"/>
      <c r="BYZ312" s="183"/>
      <c r="BZG312" s="267"/>
      <c r="BZH312" s="269"/>
      <c r="BZI312" s="267"/>
      <c r="BZJ312" s="184"/>
      <c r="BZK312" s="184"/>
      <c r="BZL312" s="185"/>
      <c r="BZM312" s="184"/>
      <c r="BZN312" s="184"/>
      <c r="BZO312" s="184"/>
      <c r="BZP312" s="187"/>
      <c r="BZQ312" s="188"/>
      <c r="BZS312" s="182"/>
      <c r="BZT312" s="183"/>
      <c r="CAA312" s="267"/>
      <c r="CAB312" s="269"/>
      <c r="CAC312" s="267"/>
      <c r="CAD312" s="184"/>
      <c r="CAE312" s="184"/>
      <c r="CAF312" s="185"/>
      <c r="CAG312" s="184"/>
      <c r="CAH312" s="184"/>
      <c r="CAI312" s="184"/>
      <c r="CAJ312" s="187"/>
      <c r="CAK312" s="188"/>
      <c r="CAM312" s="182"/>
      <c r="CAN312" s="183"/>
      <c r="CAU312" s="267"/>
      <c r="CAV312" s="269"/>
      <c r="CAW312" s="267"/>
      <c r="CAX312" s="184"/>
      <c r="CAY312" s="184"/>
      <c r="CAZ312" s="185"/>
      <c r="CBA312" s="184"/>
      <c r="CBB312" s="184"/>
      <c r="CBC312" s="184"/>
      <c r="CBD312" s="187"/>
      <c r="CBE312" s="188"/>
      <c r="CBG312" s="182"/>
      <c r="CBH312" s="183"/>
      <c r="CBO312" s="267"/>
      <c r="CBP312" s="269"/>
      <c r="CBQ312" s="267"/>
      <c r="CBR312" s="184"/>
      <c r="CBS312" s="184"/>
      <c r="CBT312" s="185"/>
      <c r="CBU312" s="184"/>
      <c r="CBV312" s="184"/>
      <c r="CBW312" s="184"/>
      <c r="CBX312" s="187"/>
      <c r="CBY312" s="188"/>
      <c r="CCA312" s="182"/>
      <c r="CCB312" s="183"/>
      <c r="CCI312" s="267"/>
      <c r="CCJ312" s="269"/>
      <c r="CCK312" s="267"/>
      <c r="CCL312" s="184"/>
      <c r="CCM312" s="184"/>
      <c r="CCN312" s="185"/>
      <c r="CCO312" s="184"/>
      <c r="CCP312" s="184"/>
      <c r="CCQ312" s="184"/>
      <c r="CCR312" s="187"/>
      <c r="CCS312" s="188"/>
      <c r="CCU312" s="182"/>
      <c r="CCV312" s="183"/>
      <c r="CDC312" s="267"/>
      <c r="CDD312" s="269"/>
      <c r="CDE312" s="267"/>
      <c r="CDF312" s="184"/>
      <c r="CDG312" s="184"/>
      <c r="CDH312" s="185"/>
      <c r="CDI312" s="184"/>
      <c r="CDJ312" s="184"/>
      <c r="CDK312" s="184"/>
      <c r="CDL312" s="187"/>
      <c r="CDM312" s="188"/>
      <c r="CDO312" s="182"/>
      <c r="CDP312" s="183"/>
      <c r="CDW312" s="267"/>
      <c r="CDX312" s="269"/>
      <c r="CDY312" s="267"/>
      <c r="CDZ312" s="184"/>
      <c r="CEA312" s="184"/>
      <c r="CEB312" s="185"/>
      <c r="CEC312" s="184"/>
      <c r="CED312" s="184"/>
      <c r="CEE312" s="184"/>
      <c r="CEF312" s="187"/>
      <c r="CEG312" s="188"/>
      <c r="CEI312" s="182"/>
      <c r="CEJ312" s="183"/>
      <c r="CEQ312" s="267"/>
      <c r="CER312" s="269"/>
      <c r="CES312" s="267"/>
      <c r="CET312" s="184"/>
      <c r="CEU312" s="184"/>
      <c r="CEV312" s="185"/>
      <c r="CEW312" s="184"/>
      <c r="CEX312" s="184"/>
      <c r="CEY312" s="184"/>
      <c r="CEZ312" s="187"/>
      <c r="CFA312" s="188"/>
      <c r="CFC312" s="182"/>
      <c r="CFD312" s="183"/>
      <c r="CFK312" s="267"/>
      <c r="CFL312" s="269"/>
      <c r="CFM312" s="267"/>
      <c r="CFN312" s="184"/>
      <c r="CFO312" s="184"/>
      <c r="CFP312" s="185"/>
      <c r="CFQ312" s="184"/>
      <c r="CFR312" s="184"/>
      <c r="CFS312" s="184"/>
      <c r="CFT312" s="187"/>
      <c r="CFU312" s="188"/>
      <c r="CFW312" s="182"/>
      <c r="CFX312" s="183"/>
      <c r="CGE312" s="267"/>
      <c r="CGF312" s="269"/>
      <c r="CGG312" s="267"/>
      <c r="CGH312" s="184"/>
      <c r="CGI312" s="184"/>
      <c r="CGJ312" s="185"/>
      <c r="CGK312" s="184"/>
      <c r="CGL312" s="184"/>
      <c r="CGM312" s="184"/>
      <c r="CGN312" s="187"/>
      <c r="CGO312" s="188"/>
      <c r="CGQ312" s="182"/>
      <c r="CGR312" s="183"/>
      <c r="CGY312" s="267"/>
      <c r="CGZ312" s="269"/>
      <c r="CHA312" s="267"/>
      <c r="CHB312" s="184"/>
      <c r="CHC312" s="184"/>
      <c r="CHD312" s="185"/>
      <c r="CHE312" s="184"/>
      <c r="CHF312" s="184"/>
      <c r="CHG312" s="184"/>
      <c r="CHH312" s="187"/>
      <c r="CHI312" s="188"/>
      <c r="CHK312" s="182"/>
      <c r="CHL312" s="183"/>
      <c r="CHS312" s="267"/>
      <c r="CHT312" s="269"/>
      <c r="CHU312" s="267"/>
      <c r="CHV312" s="184"/>
      <c r="CHW312" s="184"/>
      <c r="CHX312" s="185"/>
      <c r="CHY312" s="184"/>
      <c r="CHZ312" s="184"/>
      <c r="CIA312" s="184"/>
      <c r="CIB312" s="187"/>
      <c r="CIC312" s="188"/>
      <c r="CIE312" s="182"/>
      <c r="CIF312" s="183"/>
      <c r="CIM312" s="267"/>
      <c r="CIN312" s="269"/>
      <c r="CIO312" s="267"/>
      <c r="CIP312" s="184"/>
      <c r="CIQ312" s="184"/>
      <c r="CIR312" s="185"/>
      <c r="CIS312" s="184"/>
      <c r="CIT312" s="184"/>
      <c r="CIU312" s="184"/>
      <c r="CIV312" s="187"/>
      <c r="CIW312" s="188"/>
      <c r="CIY312" s="182"/>
      <c r="CIZ312" s="183"/>
      <c r="CJG312" s="267"/>
      <c r="CJH312" s="269"/>
      <c r="CJI312" s="267"/>
      <c r="CJJ312" s="184"/>
      <c r="CJK312" s="184"/>
      <c r="CJL312" s="185"/>
      <c r="CJM312" s="184"/>
      <c r="CJN312" s="184"/>
      <c r="CJO312" s="184"/>
      <c r="CJP312" s="187"/>
      <c r="CJQ312" s="188"/>
      <c r="CJS312" s="182"/>
      <c r="CJT312" s="183"/>
      <c r="CKA312" s="267"/>
      <c r="CKB312" s="269"/>
      <c r="CKC312" s="267"/>
      <c r="CKD312" s="184"/>
      <c r="CKE312" s="184"/>
      <c r="CKF312" s="185"/>
      <c r="CKG312" s="184"/>
      <c r="CKH312" s="184"/>
      <c r="CKI312" s="184"/>
      <c r="CKJ312" s="187"/>
      <c r="CKK312" s="188"/>
      <c r="CKM312" s="182"/>
      <c r="CKN312" s="183"/>
      <c r="CKU312" s="267"/>
      <c r="CKV312" s="269"/>
      <c r="CKW312" s="267"/>
      <c r="CKX312" s="184"/>
      <c r="CKY312" s="184"/>
      <c r="CKZ312" s="185"/>
      <c r="CLA312" s="184"/>
      <c r="CLB312" s="184"/>
      <c r="CLC312" s="184"/>
      <c r="CLD312" s="187"/>
      <c r="CLE312" s="188"/>
      <c r="CLG312" s="182"/>
      <c r="CLH312" s="183"/>
      <c r="CLO312" s="267"/>
      <c r="CLP312" s="269"/>
      <c r="CLQ312" s="267"/>
      <c r="CLR312" s="184"/>
      <c r="CLS312" s="184"/>
      <c r="CLT312" s="185"/>
      <c r="CLU312" s="184"/>
      <c r="CLV312" s="184"/>
      <c r="CLW312" s="184"/>
      <c r="CLX312" s="187"/>
      <c r="CLY312" s="188"/>
      <c r="CMA312" s="182"/>
      <c r="CMB312" s="183"/>
      <c r="CMI312" s="267"/>
      <c r="CMJ312" s="269"/>
      <c r="CMK312" s="267"/>
      <c r="CML312" s="184"/>
      <c r="CMM312" s="184"/>
      <c r="CMN312" s="185"/>
      <c r="CMO312" s="184"/>
      <c r="CMP312" s="184"/>
      <c r="CMQ312" s="184"/>
      <c r="CMR312" s="187"/>
      <c r="CMS312" s="188"/>
      <c r="CMU312" s="182"/>
      <c r="CMV312" s="183"/>
      <c r="CNC312" s="267"/>
      <c r="CND312" s="269"/>
      <c r="CNE312" s="267"/>
      <c r="CNF312" s="184"/>
      <c r="CNG312" s="184"/>
      <c r="CNH312" s="185"/>
      <c r="CNI312" s="184"/>
      <c r="CNJ312" s="184"/>
      <c r="CNK312" s="184"/>
      <c r="CNL312" s="187"/>
      <c r="CNM312" s="188"/>
      <c r="CNO312" s="182"/>
      <c r="CNP312" s="183"/>
      <c r="CNW312" s="267"/>
      <c r="CNX312" s="269"/>
      <c r="CNY312" s="267"/>
      <c r="CNZ312" s="184"/>
      <c r="COA312" s="184"/>
      <c r="COB312" s="185"/>
      <c r="COC312" s="184"/>
      <c r="COD312" s="184"/>
      <c r="COE312" s="184"/>
      <c r="COF312" s="187"/>
      <c r="COG312" s="188"/>
      <c r="COI312" s="182"/>
      <c r="COJ312" s="183"/>
      <c r="COQ312" s="267"/>
      <c r="COR312" s="269"/>
      <c r="COS312" s="267"/>
      <c r="COT312" s="184"/>
      <c r="COU312" s="184"/>
      <c r="COV312" s="185"/>
      <c r="COW312" s="184"/>
      <c r="COX312" s="184"/>
      <c r="COY312" s="184"/>
      <c r="COZ312" s="187"/>
      <c r="CPA312" s="188"/>
      <c r="CPC312" s="182"/>
      <c r="CPD312" s="183"/>
      <c r="CPK312" s="267"/>
      <c r="CPL312" s="269"/>
      <c r="CPM312" s="267"/>
      <c r="CPN312" s="184"/>
      <c r="CPO312" s="184"/>
      <c r="CPP312" s="185"/>
      <c r="CPQ312" s="184"/>
      <c r="CPR312" s="184"/>
      <c r="CPS312" s="184"/>
      <c r="CPT312" s="187"/>
      <c r="CPU312" s="188"/>
      <c r="CPW312" s="182"/>
      <c r="CPX312" s="183"/>
      <c r="CQE312" s="267"/>
      <c r="CQF312" s="269"/>
      <c r="CQG312" s="267"/>
      <c r="CQH312" s="184"/>
      <c r="CQI312" s="184"/>
      <c r="CQJ312" s="185"/>
      <c r="CQK312" s="184"/>
      <c r="CQL312" s="184"/>
      <c r="CQM312" s="184"/>
      <c r="CQN312" s="187"/>
      <c r="CQO312" s="188"/>
      <c r="CQQ312" s="182"/>
      <c r="CQR312" s="183"/>
      <c r="CQY312" s="267"/>
      <c r="CQZ312" s="269"/>
      <c r="CRA312" s="267"/>
      <c r="CRB312" s="184"/>
      <c r="CRC312" s="184"/>
      <c r="CRD312" s="185"/>
      <c r="CRE312" s="184"/>
      <c r="CRF312" s="184"/>
      <c r="CRG312" s="184"/>
      <c r="CRH312" s="187"/>
      <c r="CRI312" s="188"/>
      <c r="CRK312" s="182"/>
      <c r="CRL312" s="183"/>
      <c r="CRS312" s="267"/>
      <c r="CRT312" s="269"/>
      <c r="CRU312" s="267"/>
      <c r="CRV312" s="184"/>
      <c r="CRW312" s="184"/>
      <c r="CRX312" s="185"/>
      <c r="CRY312" s="184"/>
      <c r="CRZ312" s="184"/>
      <c r="CSA312" s="184"/>
      <c r="CSB312" s="187"/>
      <c r="CSC312" s="188"/>
      <c r="CSE312" s="182"/>
      <c r="CSF312" s="183"/>
      <c r="CSM312" s="267"/>
      <c r="CSN312" s="269"/>
      <c r="CSO312" s="267"/>
      <c r="CSP312" s="184"/>
      <c r="CSQ312" s="184"/>
      <c r="CSR312" s="185"/>
      <c r="CSS312" s="184"/>
      <c r="CST312" s="184"/>
      <c r="CSU312" s="184"/>
      <c r="CSV312" s="187"/>
      <c r="CSW312" s="188"/>
      <c r="CSY312" s="182"/>
      <c r="CSZ312" s="183"/>
      <c r="CTG312" s="267"/>
      <c r="CTH312" s="269"/>
      <c r="CTI312" s="267"/>
      <c r="CTJ312" s="184"/>
      <c r="CTK312" s="184"/>
      <c r="CTL312" s="185"/>
      <c r="CTM312" s="184"/>
      <c r="CTN312" s="184"/>
      <c r="CTO312" s="184"/>
      <c r="CTP312" s="187"/>
      <c r="CTQ312" s="188"/>
      <c r="CTS312" s="182"/>
      <c r="CTT312" s="183"/>
      <c r="CUA312" s="267"/>
      <c r="CUB312" s="269"/>
      <c r="CUC312" s="267"/>
      <c r="CUD312" s="184"/>
      <c r="CUE312" s="184"/>
      <c r="CUF312" s="185"/>
      <c r="CUG312" s="184"/>
      <c r="CUH312" s="184"/>
      <c r="CUI312" s="184"/>
      <c r="CUJ312" s="187"/>
      <c r="CUK312" s="188"/>
      <c r="CUM312" s="182"/>
      <c r="CUN312" s="183"/>
      <c r="CUU312" s="267"/>
      <c r="CUV312" s="269"/>
      <c r="CUW312" s="267"/>
      <c r="CUX312" s="184"/>
      <c r="CUY312" s="184"/>
      <c r="CUZ312" s="185"/>
      <c r="CVA312" s="184"/>
      <c r="CVB312" s="184"/>
      <c r="CVC312" s="184"/>
      <c r="CVD312" s="187"/>
      <c r="CVE312" s="188"/>
      <c r="CVG312" s="182"/>
      <c r="CVH312" s="183"/>
      <c r="CVO312" s="267"/>
      <c r="CVP312" s="269"/>
      <c r="CVQ312" s="267"/>
      <c r="CVR312" s="184"/>
      <c r="CVS312" s="184"/>
      <c r="CVT312" s="185"/>
      <c r="CVU312" s="184"/>
      <c r="CVV312" s="184"/>
      <c r="CVW312" s="184"/>
      <c r="CVX312" s="187"/>
      <c r="CVY312" s="188"/>
      <c r="CWA312" s="182"/>
      <c r="CWB312" s="183"/>
      <c r="CWI312" s="267"/>
      <c r="CWJ312" s="269"/>
      <c r="CWK312" s="267"/>
      <c r="CWL312" s="184"/>
      <c r="CWM312" s="184"/>
      <c r="CWN312" s="185"/>
      <c r="CWO312" s="184"/>
      <c r="CWP312" s="184"/>
      <c r="CWQ312" s="184"/>
      <c r="CWR312" s="187"/>
      <c r="CWS312" s="188"/>
      <c r="CWU312" s="182"/>
      <c r="CWV312" s="183"/>
      <c r="CXC312" s="267"/>
      <c r="CXD312" s="269"/>
      <c r="CXE312" s="267"/>
      <c r="CXF312" s="184"/>
      <c r="CXG312" s="184"/>
      <c r="CXH312" s="185"/>
      <c r="CXI312" s="184"/>
      <c r="CXJ312" s="184"/>
      <c r="CXK312" s="184"/>
      <c r="CXL312" s="187"/>
      <c r="CXM312" s="188"/>
      <c r="CXO312" s="182"/>
      <c r="CXP312" s="183"/>
      <c r="CXW312" s="267"/>
      <c r="CXX312" s="269"/>
      <c r="CXY312" s="267"/>
      <c r="CXZ312" s="184"/>
      <c r="CYA312" s="184"/>
      <c r="CYB312" s="185"/>
      <c r="CYC312" s="184"/>
      <c r="CYD312" s="184"/>
      <c r="CYE312" s="184"/>
      <c r="CYF312" s="187"/>
      <c r="CYG312" s="188"/>
      <c r="CYI312" s="182"/>
      <c r="CYJ312" s="183"/>
      <c r="CYQ312" s="267"/>
      <c r="CYR312" s="269"/>
      <c r="CYS312" s="267"/>
      <c r="CYT312" s="184"/>
      <c r="CYU312" s="184"/>
      <c r="CYV312" s="185"/>
      <c r="CYW312" s="184"/>
      <c r="CYX312" s="184"/>
      <c r="CYY312" s="184"/>
      <c r="CYZ312" s="187"/>
      <c r="CZA312" s="188"/>
      <c r="CZC312" s="182"/>
      <c r="CZD312" s="183"/>
      <c r="CZK312" s="267"/>
      <c r="CZL312" s="269"/>
      <c r="CZM312" s="267"/>
      <c r="CZN312" s="184"/>
      <c r="CZO312" s="184"/>
      <c r="CZP312" s="185"/>
      <c r="CZQ312" s="184"/>
      <c r="CZR312" s="184"/>
      <c r="CZS312" s="184"/>
      <c r="CZT312" s="187"/>
      <c r="CZU312" s="188"/>
      <c r="CZW312" s="182"/>
      <c r="CZX312" s="183"/>
      <c r="DAE312" s="267"/>
      <c r="DAF312" s="269"/>
      <c r="DAG312" s="267"/>
      <c r="DAH312" s="184"/>
      <c r="DAI312" s="184"/>
      <c r="DAJ312" s="185"/>
      <c r="DAK312" s="184"/>
      <c r="DAL312" s="184"/>
      <c r="DAM312" s="184"/>
      <c r="DAN312" s="187"/>
      <c r="DAO312" s="188"/>
      <c r="DAQ312" s="182"/>
      <c r="DAR312" s="183"/>
      <c r="DAY312" s="267"/>
      <c r="DAZ312" s="269"/>
      <c r="DBA312" s="267"/>
      <c r="DBB312" s="184"/>
      <c r="DBC312" s="184"/>
      <c r="DBD312" s="185"/>
      <c r="DBE312" s="184"/>
      <c r="DBF312" s="184"/>
      <c r="DBG312" s="184"/>
      <c r="DBH312" s="187"/>
      <c r="DBI312" s="188"/>
      <c r="DBK312" s="182"/>
      <c r="DBL312" s="183"/>
      <c r="DBS312" s="267"/>
      <c r="DBT312" s="269"/>
      <c r="DBU312" s="267"/>
      <c r="DBV312" s="184"/>
      <c r="DBW312" s="184"/>
      <c r="DBX312" s="185"/>
      <c r="DBY312" s="184"/>
      <c r="DBZ312" s="184"/>
      <c r="DCA312" s="184"/>
      <c r="DCB312" s="187"/>
      <c r="DCC312" s="188"/>
      <c r="DCE312" s="182"/>
      <c r="DCF312" s="183"/>
      <c r="DCM312" s="267"/>
      <c r="DCN312" s="269"/>
      <c r="DCO312" s="267"/>
      <c r="DCP312" s="184"/>
      <c r="DCQ312" s="184"/>
      <c r="DCR312" s="185"/>
      <c r="DCS312" s="184"/>
      <c r="DCT312" s="184"/>
      <c r="DCU312" s="184"/>
      <c r="DCV312" s="187"/>
      <c r="DCW312" s="188"/>
      <c r="DCY312" s="182"/>
      <c r="DCZ312" s="183"/>
      <c r="DDG312" s="267"/>
      <c r="DDH312" s="269"/>
      <c r="DDI312" s="267"/>
      <c r="DDJ312" s="184"/>
      <c r="DDK312" s="184"/>
      <c r="DDL312" s="185"/>
      <c r="DDM312" s="184"/>
      <c r="DDN312" s="184"/>
      <c r="DDO312" s="184"/>
      <c r="DDP312" s="187"/>
      <c r="DDQ312" s="188"/>
      <c r="DDS312" s="182"/>
      <c r="DDT312" s="183"/>
      <c r="DEA312" s="267"/>
      <c r="DEB312" s="269"/>
      <c r="DEC312" s="267"/>
      <c r="DED312" s="184"/>
      <c r="DEE312" s="184"/>
      <c r="DEF312" s="185"/>
      <c r="DEG312" s="184"/>
      <c r="DEH312" s="184"/>
      <c r="DEI312" s="184"/>
      <c r="DEJ312" s="187"/>
      <c r="DEK312" s="188"/>
      <c r="DEM312" s="182"/>
      <c r="DEN312" s="183"/>
      <c r="DEU312" s="267"/>
      <c r="DEV312" s="269"/>
      <c r="DEW312" s="267"/>
      <c r="DEX312" s="184"/>
      <c r="DEY312" s="184"/>
      <c r="DEZ312" s="185"/>
      <c r="DFA312" s="184"/>
      <c r="DFB312" s="184"/>
      <c r="DFC312" s="184"/>
      <c r="DFD312" s="187"/>
      <c r="DFE312" s="188"/>
      <c r="DFG312" s="182"/>
      <c r="DFH312" s="183"/>
      <c r="DFO312" s="267"/>
      <c r="DFP312" s="269"/>
      <c r="DFQ312" s="267"/>
      <c r="DFR312" s="184"/>
      <c r="DFS312" s="184"/>
      <c r="DFT312" s="185"/>
      <c r="DFU312" s="184"/>
      <c r="DFV312" s="184"/>
      <c r="DFW312" s="184"/>
      <c r="DFX312" s="187"/>
      <c r="DFY312" s="188"/>
      <c r="DGA312" s="182"/>
      <c r="DGB312" s="183"/>
      <c r="DGI312" s="267"/>
      <c r="DGJ312" s="269"/>
      <c r="DGK312" s="267"/>
      <c r="DGL312" s="184"/>
      <c r="DGM312" s="184"/>
      <c r="DGN312" s="185"/>
      <c r="DGO312" s="184"/>
      <c r="DGP312" s="184"/>
      <c r="DGQ312" s="184"/>
      <c r="DGR312" s="187"/>
      <c r="DGS312" s="188"/>
      <c r="DGU312" s="182"/>
      <c r="DGV312" s="183"/>
      <c r="DHC312" s="267"/>
      <c r="DHD312" s="269"/>
      <c r="DHE312" s="267"/>
      <c r="DHF312" s="184"/>
      <c r="DHG312" s="184"/>
      <c r="DHH312" s="185"/>
      <c r="DHI312" s="184"/>
      <c r="DHJ312" s="184"/>
      <c r="DHK312" s="184"/>
      <c r="DHL312" s="187"/>
      <c r="DHM312" s="188"/>
      <c r="DHO312" s="182"/>
      <c r="DHP312" s="183"/>
      <c r="DHW312" s="267"/>
      <c r="DHX312" s="269"/>
      <c r="DHY312" s="267"/>
      <c r="DHZ312" s="184"/>
      <c r="DIA312" s="184"/>
      <c r="DIB312" s="185"/>
      <c r="DIC312" s="184"/>
      <c r="DID312" s="184"/>
      <c r="DIE312" s="184"/>
      <c r="DIF312" s="187"/>
      <c r="DIG312" s="188"/>
      <c r="DII312" s="182"/>
      <c r="DIJ312" s="183"/>
      <c r="DIQ312" s="267"/>
      <c r="DIR312" s="269"/>
      <c r="DIS312" s="267"/>
      <c r="DIT312" s="184"/>
      <c r="DIU312" s="184"/>
      <c r="DIV312" s="185"/>
      <c r="DIW312" s="184"/>
      <c r="DIX312" s="184"/>
      <c r="DIY312" s="184"/>
      <c r="DIZ312" s="187"/>
      <c r="DJA312" s="188"/>
      <c r="DJC312" s="182"/>
      <c r="DJD312" s="183"/>
      <c r="DJK312" s="267"/>
      <c r="DJL312" s="269"/>
      <c r="DJM312" s="267"/>
      <c r="DJN312" s="184"/>
      <c r="DJO312" s="184"/>
      <c r="DJP312" s="185"/>
      <c r="DJQ312" s="184"/>
      <c r="DJR312" s="184"/>
      <c r="DJS312" s="184"/>
      <c r="DJT312" s="187"/>
      <c r="DJU312" s="188"/>
      <c r="DJW312" s="182"/>
      <c r="DJX312" s="183"/>
      <c r="DKE312" s="267"/>
      <c r="DKF312" s="269"/>
      <c r="DKG312" s="267"/>
      <c r="DKH312" s="184"/>
      <c r="DKI312" s="184"/>
      <c r="DKJ312" s="185"/>
      <c r="DKK312" s="184"/>
      <c r="DKL312" s="184"/>
      <c r="DKM312" s="184"/>
      <c r="DKN312" s="187"/>
      <c r="DKO312" s="188"/>
      <c r="DKQ312" s="182"/>
      <c r="DKR312" s="183"/>
      <c r="DKY312" s="267"/>
      <c r="DKZ312" s="269"/>
      <c r="DLA312" s="267"/>
      <c r="DLB312" s="184"/>
      <c r="DLC312" s="184"/>
      <c r="DLD312" s="185"/>
      <c r="DLE312" s="184"/>
      <c r="DLF312" s="184"/>
      <c r="DLG312" s="184"/>
      <c r="DLH312" s="187"/>
      <c r="DLI312" s="188"/>
      <c r="DLK312" s="182"/>
      <c r="DLL312" s="183"/>
      <c r="DLS312" s="267"/>
      <c r="DLT312" s="269"/>
      <c r="DLU312" s="267"/>
      <c r="DLV312" s="184"/>
      <c r="DLW312" s="184"/>
      <c r="DLX312" s="185"/>
      <c r="DLY312" s="184"/>
      <c r="DLZ312" s="184"/>
      <c r="DMA312" s="184"/>
      <c r="DMB312" s="187"/>
      <c r="DMC312" s="188"/>
      <c r="DME312" s="182"/>
      <c r="DMF312" s="183"/>
      <c r="DMM312" s="267"/>
      <c r="DMN312" s="269"/>
      <c r="DMO312" s="267"/>
      <c r="DMP312" s="184"/>
      <c r="DMQ312" s="184"/>
      <c r="DMR312" s="185"/>
      <c r="DMS312" s="184"/>
      <c r="DMT312" s="184"/>
      <c r="DMU312" s="184"/>
      <c r="DMV312" s="187"/>
      <c r="DMW312" s="188"/>
      <c r="DMY312" s="182"/>
      <c r="DMZ312" s="183"/>
      <c r="DNG312" s="267"/>
      <c r="DNH312" s="269"/>
      <c r="DNI312" s="267"/>
      <c r="DNJ312" s="184"/>
      <c r="DNK312" s="184"/>
      <c r="DNL312" s="185"/>
      <c r="DNM312" s="184"/>
      <c r="DNN312" s="184"/>
      <c r="DNO312" s="184"/>
      <c r="DNP312" s="187"/>
      <c r="DNQ312" s="188"/>
      <c r="DNS312" s="182"/>
      <c r="DNT312" s="183"/>
      <c r="DOA312" s="267"/>
      <c r="DOB312" s="269"/>
      <c r="DOC312" s="267"/>
      <c r="DOD312" s="184"/>
      <c r="DOE312" s="184"/>
      <c r="DOF312" s="185"/>
      <c r="DOG312" s="184"/>
      <c r="DOH312" s="184"/>
      <c r="DOI312" s="184"/>
      <c r="DOJ312" s="187"/>
      <c r="DOK312" s="188"/>
      <c r="DOM312" s="182"/>
      <c r="DON312" s="183"/>
      <c r="DOU312" s="267"/>
      <c r="DOV312" s="269"/>
      <c r="DOW312" s="267"/>
      <c r="DOX312" s="184"/>
      <c r="DOY312" s="184"/>
      <c r="DOZ312" s="185"/>
      <c r="DPA312" s="184"/>
      <c r="DPB312" s="184"/>
      <c r="DPC312" s="184"/>
      <c r="DPD312" s="187"/>
      <c r="DPE312" s="188"/>
      <c r="DPG312" s="182"/>
      <c r="DPH312" s="183"/>
      <c r="DPO312" s="267"/>
      <c r="DPP312" s="269"/>
      <c r="DPQ312" s="267"/>
      <c r="DPR312" s="184"/>
      <c r="DPS312" s="184"/>
      <c r="DPT312" s="185"/>
      <c r="DPU312" s="184"/>
      <c r="DPV312" s="184"/>
      <c r="DPW312" s="184"/>
      <c r="DPX312" s="187"/>
      <c r="DPY312" s="188"/>
      <c r="DQA312" s="182"/>
      <c r="DQB312" s="183"/>
      <c r="DQI312" s="267"/>
      <c r="DQJ312" s="269"/>
      <c r="DQK312" s="267"/>
      <c r="DQL312" s="184"/>
      <c r="DQM312" s="184"/>
      <c r="DQN312" s="185"/>
      <c r="DQO312" s="184"/>
      <c r="DQP312" s="184"/>
      <c r="DQQ312" s="184"/>
      <c r="DQR312" s="187"/>
      <c r="DQS312" s="188"/>
      <c r="DQU312" s="182"/>
      <c r="DQV312" s="183"/>
      <c r="DRC312" s="267"/>
      <c r="DRD312" s="269"/>
      <c r="DRE312" s="267"/>
      <c r="DRF312" s="184"/>
      <c r="DRG312" s="184"/>
      <c r="DRH312" s="185"/>
      <c r="DRI312" s="184"/>
      <c r="DRJ312" s="184"/>
      <c r="DRK312" s="184"/>
      <c r="DRL312" s="187"/>
      <c r="DRM312" s="188"/>
      <c r="DRO312" s="182"/>
      <c r="DRP312" s="183"/>
      <c r="DRW312" s="267"/>
      <c r="DRX312" s="269"/>
      <c r="DRY312" s="267"/>
      <c r="DRZ312" s="184"/>
      <c r="DSA312" s="184"/>
      <c r="DSB312" s="185"/>
      <c r="DSC312" s="184"/>
      <c r="DSD312" s="184"/>
      <c r="DSE312" s="184"/>
      <c r="DSF312" s="187"/>
      <c r="DSG312" s="188"/>
      <c r="DSI312" s="182"/>
      <c r="DSJ312" s="183"/>
      <c r="DSQ312" s="267"/>
      <c r="DSR312" s="269"/>
      <c r="DSS312" s="267"/>
      <c r="DST312" s="184"/>
      <c r="DSU312" s="184"/>
      <c r="DSV312" s="185"/>
      <c r="DSW312" s="184"/>
      <c r="DSX312" s="184"/>
      <c r="DSY312" s="184"/>
      <c r="DSZ312" s="187"/>
      <c r="DTA312" s="188"/>
      <c r="DTC312" s="182"/>
      <c r="DTD312" s="183"/>
      <c r="DTK312" s="267"/>
      <c r="DTL312" s="269"/>
      <c r="DTM312" s="267"/>
      <c r="DTN312" s="184"/>
      <c r="DTO312" s="184"/>
      <c r="DTP312" s="185"/>
      <c r="DTQ312" s="184"/>
      <c r="DTR312" s="184"/>
      <c r="DTS312" s="184"/>
      <c r="DTT312" s="187"/>
      <c r="DTU312" s="188"/>
      <c r="DTW312" s="182"/>
      <c r="DTX312" s="183"/>
      <c r="DUE312" s="267"/>
      <c r="DUF312" s="269"/>
      <c r="DUG312" s="267"/>
      <c r="DUH312" s="184"/>
      <c r="DUI312" s="184"/>
      <c r="DUJ312" s="185"/>
      <c r="DUK312" s="184"/>
      <c r="DUL312" s="184"/>
      <c r="DUM312" s="184"/>
      <c r="DUN312" s="187"/>
      <c r="DUO312" s="188"/>
      <c r="DUQ312" s="182"/>
      <c r="DUR312" s="183"/>
      <c r="DUY312" s="267"/>
      <c r="DUZ312" s="269"/>
      <c r="DVA312" s="267"/>
      <c r="DVB312" s="184"/>
      <c r="DVC312" s="184"/>
      <c r="DVD312" s="185"/>
      <c r="DVE312" s="184"/>
      <c r="DVF312" s="184"/>
      <c r="DVG312" s="184"/>
      <c r="DVH312" s="187"/>
      <c r="DVI312" s="188"/>
      <c r="DVK312" s="182"/>
      <c r="DVL312" s="183"/>
      <c r="DVS312" s="267"/>
      <c r="DVT312" s="269"/>
      <c r="DVU312" s="267"/>
      <c r="DVV312" s="184"/>
      <c r="DVW312" s="184"/>
      <c r="DVX312" s="185"/>
      <c r="DVY312" s="184"/>
      <c r="DVZ312" s="184"/>
      <c r="DWA312" s="184"/>
      <c r="DWB312" s="187"/>
      <c r="DWC312" s="188"/>
      <c r="DWE312" s="182"/>
      <c r="DWF312" s="183"/>
      <c r="DWM312" s="267"/>
      <c r="DWN312" s="269"/>
      <c r="DWO312" s="267"/>
      <c r="DWP312" s="184"/>
      <c r="DWQ312" s="184"/>
      <c r="DWR312" s="185"/>
      <c r="DWS312" s="184"/>
      <c r="DWT312" s="184"/>
      <c r="DWU312" s="184"/>
      <c r="DWV312" s="187"/>
      <c r="DWW312" s="188"/>
      <c r="DWY312" s="182"/>
      <c r="DWZ312" s="183"/>
      <c r="DXG312" s="267"/>
      <c r="DXH312" s="269"/>
      <c r="DXI312" s="267"/>
      <c r="DXJ312" s="184"/>
      <c r="DXK312" s="184"/>
      <c r="DXL312" s="185"/>
      <c r="DXM312" s="184"/>
      <c r="DXN312" s="184"/>
      <c r="DXO312" s="184"/>
      <c r="DXP312" s="187"/>
      <c r="DXQ312" s="188"/>
      <c r="DXS312" s="182"/>
      <c r="DXT312" s="183"/>
      <c r="DYA312" s="267"/>
      <c r="DYB312" s="269"/>
      <c r="DYC312" s="267"/>
      <c r="DYD312" s="184"/>
      <c r="DYE312" s="184"/>
      <c r="DYF312" s="185"/>
      <c r="DYG312" s="184"/>
      <c r="DYH312" s="184"/>
      <c r="DYI312" s="184"/>
      <c r="DYJ312" s="187"/>
      <c r="DYK312" s="188"/>
      <c r="DYM312" s="182"/>
      <c r="DYN312" s="183"/>
      <c r="DYU312" s="267"/>
      <c r="DYV312" s="269"/>
      <c r="DYW312" s="267"/>
      <c r="DYX312" s="184"/>
      <c r="DYY312" s="184"/>
      <c r="DYZ312" s="185"/>
      <c r="DZA312" s="184"/>
      <c r="DZB312" s="184"/>
      <c r="DZC312" s="184"/>
      <c r="DZD312" s="187"/>
      <c r="DZE312" s="188"/>
      <c r="DZG312" s="182"/>
      <c r="DZH312" s="183"/>
      <c r="DZO312" s="267"/>
      <c r="DZP312" s="269"/>
      <c r="DZQ312" s="267"/>
      <c r="DZR312" s="184"/>
      <c r="DZS312" s="184"/>
      <c r="DZT312" s="185"/>
      <c r="DZU312" s="184"/>
      <c r="DZV312" s="184"/>
      <c r="DZW312" s="184"/>
      <c r="DZX312" s="187"/>
      <c r="DZY312" s="188"/>
      <c r="EAA312" s="182"/>
      <c r="EAB312" s="183"/>
      <c r="EAI312" s="267"/>
      <c r="EAJ312" s="269"/>
      <c r="EAK312" s="267"/>
      <c r="EAL312" s="184"/>
      <c r="EAM312" s="184"/>
      <c r="EAN312" s="185"/>
      <c r="EAO312" s="184"/>
      <c r="EAP312" s="184"/>
      <c r="EAQ312" s="184"/>
      <c r="EAR312" s="187"/>
      <c r="EAS312" s="188"/>
      <c r="EAU312" s="182"/>
      <c r="EAV312" s="183"/>
      <c r="EBC312" s="267"/>
      <c r="EBD312" s="269"/>
      <c r="EBE312" s="267"/>
      <c r="EBF312" s="184"/>
      <c r="EBG312" s="184"/>
      <c r="EBH312" s="185"/>
      <c r="EBI312" s="184"/>
      <c r="EBJ312" s="184"/>
      <c r="EBK312" s="184"/>
      <c r="EBL312" s="187"/>
      <c r="EBM312" s="188"/>
      <c r="EBO312" s="182"/>
      <c r="EBP312" s="183"/>
      <c r="EBW312" s="267"/>
      <c r="EBX312" s="269"/>
      <c r="EBY312" s="267"/>
      <c r="EBZ312" s="184"/>
      <c r="ECA312" s="184"/>
      <c r="ECB312" s="185"/>
      <c r="ECC312" s="184"/>
      <c r="ECD312" s="184"/>
      <c r="ECE312" s="184"/>
      <c r="ECF312" s="187"/>
      <c r="ECG312" s="188"/>
      <c r="ECI312" s="182"/>
      <c r="ECJ312" s="183"/>
      <c r="ECQ312" s="267"/>
      <c r="ECR312" s="269"/>
      <c r="ECS312" s="267"/>
      <c r="ECT312" s="184"/>
      <c r="ECU312" s="184"/>
      <c r="ECV312" s="185"/>
      <c r="ECW312" s="184"/>
      <c r="ECX312" s="184"/>
      <c r="ECY312" s="184"/>
      <c r="ECZ312" s="187"/>
      <c r="EDA312" s="188"/>
      <c r="EDC312" s="182"/>
      <c r="EDD312" s="183"/>
      <c r="EDK312" s="267"/>
      <c r="EDL312" s="269"/>
      <c r="EDM312" s="267"/>
      <c r="EDN312" s="184"/>
      <c r="EDO312" s="184"/>
      <c r="EDP312" s="185"/>
      <c r="EDQ312" s="184"/>
      <c r="EDR312" s="184"/>
      <c r="EDS312" s="184"/>
      <c r="EDT312" s="187"/>
      <c r="EDU312" s="188"/>
      <c r="EDW312" s="182"/>
      <c r="EDX312" s="183"/>
      <c r="EEE312" s="267"/>
      <c r="EEF312" s="269"/>
      <c r="EEG312" s="267"/>
      <c r="EEH312" s="184"/>
      <c r="EEI312" s="184"/>
      <c r="EEJ312" s="185"/>
      <c r="EEK312" s="184"/>
      <c r="EEL312" s="184"/>
      <c r="EEM312" s="184"/>
      <c r="EEN312" s="187"/>
      <c r="EEO312" s="188"/>
      <c r="EEQ312" s="182"/>
      <c r="EER312" s="183"/>
      <c r="EEY312" s="267"/>
      <c r="EEZ312" s="269"/>
      <c r="EFA312" s="267"/>
      <c r="EFB312" s="184"/>
      <c r="EFC312" s="184"/>
      <c r="EFD312" s="185"/>
      <c r="EFE312" s="184"/>
      <c r="EFF312" s="184"/>
      <c r="EFG312" s="184"/>
      <c r="EFH312" s="187"/>
      <c r="EFI312" s="188"/>
      <c r="EFK312" s="182"/>
      <c r="EFL312" s="183"/>
      <c r="EFS312" s="267"/>
      <c r="EFT312" s="269"/>
      <c r="EFU312" s="267"/>
      <c r="EFV312" s="184"/>
      <c r="EFW312" s="184"/>
      <c r="EFX312" s="185"/>
      <c r="EFY312" s="184"/>
      <c r="EFZ312" s="184"/>
      <c r="EGA312" s="184"/>
      <c r="EGB312" s="187"/>
      <c r="EGC312" s="188"/>
      <c r="EGE312" s="182"/>
      <c r="EGF312" s="183"/>
      <c r="EGM312" s="267"/>
      <c r="EGN312" s="269"/>
      <c r="EGO312" s="267"/>
      <c r="EGP312" s="184"/>
      <c r="EGQ312" s="184"/>
      <c r="EGR312" s="185"/>
      <c r="EGS312" s="184"/>
      <c r="EGT312" s="184"/>
      <c r="EGU312" s="184"/>
      <c r="EGV312" s="187"/>
      <c r="EGW312" s="188"/>
      <c r="EGY312" s="182"/>
      <c r="EGZ312" s="183"/>
      <c r="EHG312" s="267"/>
      <c r="EHH312" s="269"/>
      <c r="EHI312" s="267"/>
      <c r="EHJ312" s="184"/>
      <c r="EHK312" s="184"/>
      <c r="EHL312" s="185"/>
      <c r="EHM312" s="184"/>
      <c r="EHN312" s="184"/>
      <c r="EHO312" s="184"/>
      <c r="EHP312" s="187"/>
      <c r="EHQ312" s="188"/>
      <c r="EHS312" s="182"/>
      <c r="EHT312" s="183"/>
      <c r="EIA312" s="267"/>
      <c r="EIB312" s="269"/>
      <c r="EIC312" s="267"/>
      <c r="EID312" s="184"/>
      <c r="EIE312" s="184"/>
      <c r="EIF312" s="185"/>
      <c r="EIG312" s="184"/>
      <c r="EIH312" s="184"/>
      <c r="EII312" s="184"/>
      <c r="EIJ312" s="187"/>
      <c r="EIK312" s="188"/>
      <c r="EIM312" s="182"/>
      <c r="EIN312" s="183"/>
      <c r="EIU312" s="267"/>
      <c r="EIV312" s="269"/>
      <c r="EIW312" s="267"/>
      <c r="EIX312" s="184"/>
      <c r="EIY312" s="184"/>
      <c r="EIZ312" s="185"/>
      <c r="EJA312" s="184"/>
      <c r="EJB312" s="184"/>
      <c r="EJC312" s="184"/>
      <c r="EJD312" s="187"/>
      <c r="EJE312" s="188"/>
      <c r="EJG312" s="182"/>
      <c r="EJH312" s="183"/>
      <c r="EJO312" s="267"/>
      <c r="EJP312" s="269"/>
      <c r="EJQ312" s="267"/>
      <c r="EJR312" s="184"/>
      <c r="EJS312" s="184"/>
      <c r="EJT312" s="185"/>
      <c r="EJU312" s="184"/>
      <c r="EJV312" s="184"/>
      <c r="EJW312" s="184"/>
      <c r="EJX312" s="187"/>
      <c r="EJY312" s="188"/>
      <c r="EKA312" s="182"/>
      <c r="EKB312" s="183"/>
      <c r="EKI312" s="267"/>
      <c r="EKJ312" s="269"/>
      <c r="EKK312" s="267"/>
      <c r="EKL312" s="184"/>
      <c r="EKM312" s="184"/>
      <c r="EKN312" s="185"/>
      <c r="EKO312" s="184"/>
      <c r="EKP312" s="184"/>
      <c r="EKQ312" s="184"/>
      <c r="EKR312" s="187"/>
      <c r="EKS312" s="188"/>
      <c r="EKU312" s="182"/>
      <c r="EKV312" s="183"/>
      <c r="ELC312" s="267"/>
      <c r="ELD312" s="269"/>
      <c r="ELE312" s="267"/>
      <c r="ELF312" s="184"/>
      <c r="ELG312" s="184"/>
      <c r="ELH312" s="185"/>
      <c r="ELI312" s="184"/>
      <c r="ELJ312" s="184"/>
      <c r="ELK312" s="184"/>
      <c r="ELL312" s="187"/>
      <c r="ELM312" s="188"/>
      <c r="ELO312" s="182"/>
      <c r="ELP312" s="183"/>
      <c r="ELW312" s="267"/>
      <c r="ELX312" s="269"/>
      <c r="ELY312" s="267"/>
      <c r="ELZ312" s="184"/>
      <c r="EMA312" s="184"/>
      <c r="EMB312" s="185"/>
      <c r="EMC312" s="184"/>
      <c r="EMD312" s="184"/>
      <c r="EME312" s="184"/>
      <c r="EMF312" s="187"/>
      <c r="EMG312" s="188"/>
      <c r="EMI312" s="182"/>
      <c r="EMJ312" s="183"/>
      <c r="EMQ312" s="267"/>
      <c r="EMR312" s="269"/>
      <c r="EMS312" s="267"/>
      <c r="EMT312" s="184"/>
      <c r="EMU312" s="184"/>
      <c r="EMV312" s="185"/>
      <c r="EMW312" s="184"/>
      <c r="EMX312" s="184"/>
      <c r="EMY312" s="184"/>
      <c r="EMZ312" s="187"/>
      <c r="ENA312" s="188"/>
      <c r="ENC312" s="182"/>
      <c r="END312" s="183"/>
      <c r="ENK312" s="267"/>
      <c r="ENL312" s="269"/>
      <c r="ENM312" s="267"/>
      <c r="ENN312" s="184"/>
      <c r="ENO312" s="184"/>
      <c r="ENP312" s="185"/>
      <c r="ENQ312" s="184"/>
      <c r="ENR312" s="184"/>
      <c r="ENS312" s="184"/>
      <c r="ENT312" s="187"/>
      <c r="ENU312" s="188"/>
      <c r="ENW312" s="182"/>
      <c r="ENX312" s="183"/>
      <c r="EOE312" s="267"/>
      <c r="EOF312" s="269"/>
      <c r="EOG312" s="267"/>
      <c r="EOH312" s="184"/>
      <c r="EOI312" s="184"/>
      <c r="EOJ312" s="185"/>
      <c r="EOK312" s="184"/>
      <c r="EOL312" s="184"/>
      <c r="EOM312" s="184"/>
      <c r="EON312" s="187"/>
      <c r="EOO312" s="188"/>
      <c r="EOQ312" s="182"/>
      <c r="EOR312" s="183"/>
      <c r="EOY312" s="267"/>
      <c r="EOZ312" s="269"/>
      <c r="EPA312" s="267"/>
      <c r="EPB312" s="184"/>
      <c r="EPC312" s="184"/>
      <c r="EPD312" s="185"/>
      <c r="EPE312" s="184"/>
      <c r="EPF312" s="184"/>
      <c r="EPG312" s="184"/>
      <c r="EPH312" s="187"/>
      <c r="EPI312" s="188"/>
      <c r="EPK312" s="182"/>
      <c r="EPL312" s="183"/>
      <c r="EPS312" s="267"/>
      <c r="EPT312" s="269"/>
      <c r="EPU312" s="267"/>
      <c r="EPV312" s="184"/>
      <c r="EPW312" s="184"/>
      <c r="EPX312" s="185"/>
      <c r="EPY312" s="184"/>
      <c r="EPZ312" s="184"/>
      <c r="EQA312" s="184"/>
      <c r="EQB312" s="187"/>
      <c r="EQC312" s="188"/>
      <c r="EQE312" s="182"/>
      <c r="EQF312" s="183"/>
      <c r="EQM312" s="267"/>
      <c r="EQN312" s="269"/>
      <c r="EQO312" s="267"/>
      <c r="EQP312" s="184"/>
      <c r="EQQ312" s="184"/>
      <c r="EQR312" s="185"/>
      <c r="EQS312" s="184"/>
      <c r="EQT312" s="184"/>
      <c r="EQU312" s="184"/>
      <c r="EQV312" s="187"/>
      <c r="EQW312" s="188"/>
      <c r="EQY312" s="182"/>
      <c r="EQZ312" s="183"/>
      <c r="ERG312" s="267"/>
      <c r="ERH312" s="269"/>
      <c r="ERI312" s="267"/>
      <c r="ERJ312" s="184"/>
      <c r="ERK312" s="184"/>
      <c r="ERL312" s="185"/>
      <c r="ERM312" s="184"/>
      <c r="ERN312" s="184"/>
      <c r="ERO312" s="184"/>
      <c r="ERP312" s="187"/>
      <c r="ERQ312" s="188"/>
      <c r="ERS312" s="182"/>
      <c r="ERT312" s="183"/>
      <c r="ESA312" s="267"/>
      <c r="ESB312" s="269"/>
      <c r="ESC312" s="267"/>
      <c r="ESD312" s="184"/>
      <c r="ESE312" s="184"/>
      <c r="ESF312" s="185"/>
      <c r="ESG312" s="184"/>
      <c r="ESH312" s="184"/>
      <c r="ESI312" s="184"/>
      <c r="ESJ312" s="187"/>
      <c r="ESK312" s="188"/>
      <c r="ESM312" s="182"/>
      <c r="ESN312" s="183"/>
      <c r="ESU312" s="267"/>
      <c r="ESV312" s="269"/>
      <c r="ESW312" s="267"/>
      <c r="ESX312" s="184"/>
      <c r="ESY312" s="184"/>
      <c r="ESZ312" s="185"/>
      <c r="ETA312" s="184"/>
      <c r="ETB312" s="184"/>
      <c r="ETC312" s="184"/>
      <c r="ETD312" s="187"/>
      <c r="ETE312" s="188"/>
      <c r="ETG312" s="182"/>
      <c r="ETH312" s="183"/>
      <c r="ETO312" s="267"/>
      <c r="ETP312" s="269"/>
      <c r="ETQ312" s="267"/>
      <c r="ETR312" s="184"/>
      <c r="ETS312" s="184"/>
      <c r="ETT312" s="185"/>
      <c r="ETU312" s="184"/>
      <c r="ETV312" s="184"/>
      <c r="ETW312" s="184"/>
      <c r="ETX312" s="187"/>
      <c r="ETY312" s="188"/>
      <c r="EUA312" s="182"/>
      <c r="EUB312" s="183"/>
      <c r="EUI312" s="267"/>
      <c r="EUJ312" s="269"/>
      <c r="EUK312" s="267"/>
      <c r="EUL312" s="184"/>
      <c r="EUM312" s="184"/>
      <c r="EUN312" s="185"/>
      <c r="EUO312" s="184"/>
      <c r="EUP312" s="184"/>
      <c r="EUQ312" s="184"/>
      <c r="EUR312" s="187"/>
      <c r="EUS312" s="188"/>
      <c r="EUU312" s="182"/>
      <c r="EUV312" s="183"/>
      <c r="EVC312" s="267"/>
      <c r="EVD312" s="269"/>
      <c r="EVE312" s="267"/>
      <c r="EVF312" s="184"/>
      <c r="EVG312" s="184"/>
      <c r="EVH312" s="185"/>
      <c r="EVI312" s="184"/>
      <c r="EVJ312" s="184"/>
      <c r="EVK312" s="184"/>
      <c r="EVL312" s="187"/>
      <c r="EVM312" s="188"/>
      <c r="EVO312" s="182"/>
      <c r="EVP312" s="183"/>
      <c r="EVW312" s="267"/>
      <c r="EVX312" s="269"/>
      <c r="EVY312" s="267"/>
      <c r="EVZ312" s="184"/>
      <c r="EWA312" s="184"/>
      <c r="EWB312" s="185"/>
      <c r="EWC312" s="184"/>
      <c r="EWD312" s="184"/>
      <c r="EWE312" s="184"/>
      <c r="EWF312" s="187"/>
      <c r="EWG312" s="188"/>
      <c r="EWI312" s="182"/>
      <c r="EWJ312" s="183"/>
      <c r="EWQ312" s="267"/>
      <c r="EWR312" s="269"/>
      <c r="EWS312" s="267"/>
      <c r="EWT312" s="184"/>
      <c r="EWU312" s="184"/>
      <c r="EWV312" s="185"/>
      <c r="EWW312" s="184"/>
      <c r="EWX312" s="184"/>
      <c r="EWY312" s="184"/>
      <c r="EWZ312" s="187"/>
      <c r="EXA312" s="188"/>
      <c r="EXC312" s="182"/>
      <c r="EXD312" s="183"/>
      <c r="EXK312" s="267"/>
      <c r="EXL312" s="269"/>
      <c r="EXM312" s="267"/>
      <c r="EXN312" s="184"/>
      <c r="EXO312" s="184"/>
      <c r="EXP312" s="185"/>
      <c r="EXQ312" s="184"/>
      <c r="EXR312" s="184"/>
      <c r="EXS312" s="184"/>
      <c r="EXT312" s="187"/>
      <c r="EXU312" s="188"/>
      <c r="EXW312" s="182"/>
      <c r="EXX312" s="183"/>
      <c r="EYE312" s="267"/>
      <c r="EYF312" s="269"/>
      <c r="EYG312" s="267"/>
      <c r="EYH312" s="184"/>
      <c r="EYI312" s="184"/>
      <c r="EYJ312" s="185"/>
      <c r="EYK312" s="184"/>
      <c r="EYL312" s="184"/>
      <c r="EYM312" s="184"/>
      <c r="EYN312" s="187"/>
      <c r="EYO312" s="188"/>
      <c r="EYQ312" s="182"/>
      <c r="EYR312" s="183"/>
      <c r="EYY312" s="267"/>
      <c r="EYZ312" s="269"/>
      <c r="EZA312" s="267"/>
      <c r="EZB312" s="184"/>
      <c r="EZC312" s="184"/>
      <c r="EZD312" s="185"/>
      <c r="EZE312" s="184"/>
      <c r="EZF312" s="184"/>
      <c r="EZG312" s="184"/>
      <c r="EZH312" s="187"/>
      <c r="EZI312" s="188"/>
      <c r="EZK312" s="182"/>
      <c r="EZL312" s="183"/>
      <c r="EZS312" s="267"/>
      <c r="EZT312" s="269"/>
      <c r="EZU312" s="267"/>
      <c r="EZV312" s="184"/>
      <c r="EZW312" s="184"/>
      <c r="EZX312" s="185"/>
      <c r="EZY312" s="184"/>
      <c r="EZZ312" s="184"/>
      <c r="FAA312" s="184"/>
      <c r="FAB312" s="187"/>
      <c r="FAC312" s="188"/>
      <c r="FAE312" s="182"/>
      <c r="FAF312" s="183"/>
      <c r="FAM312" s="267"/>
      <c r="FAN312" s="269"/>
      <c r="FAO312" s="267"/>
      <c r="FAP312" s="184"/>
      <c r="FAQ312" s="184"/>
      <c r="FAR312" s="185"/>
      <c r="FAS312" s="184"/>
      <c r="FAT312" s="184"/>
      <c r="FAU312" s="184"/>
      <c r="FAV312" s="187"/>
      <c r="FAW312" s="188"/>
      <c r="FAY312" s="182"/>
      <c r="FAZ312" s="183"/>
      <c r="FBG312" s="267"/>
      <c r="FBH312" s="269"/>
      <c r="FBI312" s="267"/>
      <c r="FBJ312" s="184"/>
      <c r="FBK312" s="184"/>
      <c r="FBL312" s="185"/>
      <c r="FBM312" s="184"/>
      <c r="FBN312" s="184"/>
      <c r="FBO312" s="184"/>
      <c r="FBP312" s="187"/>
      <c r="FBQ312" s="188"/>
      <c r="FBS312" s="182"/>
      <c r="FBT312" s="183"/>
      <c r="FCA312" s="267"/>
      <c r="FCB312" s="269"/>
      <c r="FCC312" s="267"/>
      <c r="FCD312" s="184"/>
      <c r="FCE312" s="184"/>
      <c r="FCF312" s="185"/>
      <c r="FCG312" s="184"/>
      <c r="FCH312" s="184"/>
      <c r="FCI312" s="184"/>
      <c r="FCJ312" s="187"/>
      <c r="FCK312" s="188"/>
      <c r="FCM312" s="182"/>
      <c r="FCN312" s="183"/>
      <c r="FCU312" s="267"/>
      <c r="FCV312" s="269"/>
      <c r="FCW312" s="267"/>
      <c r="FCX312" s="184"/>
      <c r="FCY312" s="184"/>
      <c r="FCZ312" s="185"/>
      <c r="FDA312" s="184"/>
      <c r="FDB312" s="184"/>
      <c r="FDC312" s="184"/>
      <c r="FDD312" s="187"/>
      <c r="FDE312" s="188"/>
      <c r="FDG312" s="182"/>
      <c r="FDH312" s="183"/>
      <c r="FDO312" s="267"/>
      <c r="FDP312" s="269"/>
      <c r="FDQ312" s="267"/>
      <c r="FDR312" s="184"/>
      <c r="FDS312" s="184"/>
      <c r="FDT312" s="185"/>
      <c r="FDU312" s="184"/>
      <c r="FDV312" s="184"/>
      <c r="FDW312" s="184"/>
      <c r="FDX312" s="187"/>
      <c r="FDY312" s="188"/>
      <c r="FEA312" s="182"/>
      <c r="FEB312" s="183"/>
      <c r="FEI312" s="267"/>
      <c r="FEJ312" s="269"/>
      <c r="FEK312" s="267"/>
      <c r="FEL312" s="184"/>
      <c r="FEM312" s="184"/>
      <c r="FEN312" s="185"/>
      <c r="FEO312" s="184"/>
      <c r="FEP312" s="184"/>
      <c r="FEQ312" s="184"/>
      <c r="FER312" s="187"/>
      <c r="FES312" s="188"/>
      <c r="FEU312" s="182"/>
      <c r="FEV312" s="183"/>
      <c r="FFC312" s="267"/>
      <c r="FFD312" s="269"/>
      <c r="FFE312" s="267"/>
      <c r="FFF312" s="184"/>
      <c r="FFG312" s="184"/>
      <c r="FFH312" s="185"/>
      <c r="FFI312" s="184"/>
      <c r="FFJ312" s="184"/>
      <c r="FFK312" s="184"/>
      <c r="FFL312" s="187"/>
      <c r="FFM312" s="188"/>
      <c r="FFO312" s="182"/>
      <c r="FFP312" s="183"/>
      <c r="FFW312" s="267"/>
      <c r="FFX312" s="269"/>
      <c r="FFY312" s="267"/>
      <c r="FFZ312" s="184"/>
      <c r="FGA312" s="184"/>
      <c r="FGB312" s="185"/>
      <c r="FGC312" s="184"/>
      <c r="FGD312" s="184"/>
      <c r="FGE312" s="184"/>
      <c r="FGF312" s="187"/>
      <c r="FGG312" s="188"/>
      <c r="FGI312" s="182"/>
      <c r="FGJ312" s="183"/>
      <c r="FGQ312" s="267"/>
      <c r="FGR312" s="269"/>
      <c r="FGS312" s="267"/>
      <c r="FGT312" s="184"/>
      <c r="FGU312" s="184"/>
      <c r="FGV312" s="185"/>
      <c r="FGW312" s="184"/>
      <c r="FGX312" s="184"/>
      <c r="FGY312" s="184"/>
      <c r="FGZ312" s="187"/>
      <c r="FHA312" s="188"/>
      <c r="FHC312" s="182"/>
      <c r="FHD312" s="183"/>
      <c r="FHK312" s="267"/>
      <c r="FHL312" s="269"/>
      <c r="FHM312" s="267"/>
      <c r="FHN312" s="184"/>
      <c r="FHO312" s="184"/>
      <c r="FHP312" s="185"/>
      <c r="FHQ312" s="184"/>
      <c r="FHR312" s="184"/>
      <c r="FHS312" s="184"/>
      <c r="FHT312" s="187"/>
      <c r="FHU312" s="188"/>
      <c r="FHW312" s="182"/>
      <c r="FHX312" s="183"/>
      <c r="FIE312" s="267"/>
      <c r="FIF312" s="269"/>
      <c r="FIG312" s="267"/>
      <c r="FIH312" s="184"/>
      <c r="FII312" s="184"/>
      <c r="FIJ312" s="185"/>
      <c r="FIK312" s="184"/>
      <c r="FIL312" s="184"/>
      <c r="FIM312" s="184"/>
      <c r="FIN312" s="187"/>
      <c r="FIO312" s="188"/>
      <c r="FIQ312" s="182"/>
      <c r="FIR312" s="183"/>
      <c r="FIY312" s="267"/>
      <c r="FIZ312" s="269"/>
      <c r="FJA312" s="267"/>
      <c r="FJB312" s="184"/>
      <c r="FJC312" s="184"/>
      <c r="FJD312" s="185"/>
      <c r="FJE312" s="184"/>
      <c r="FJF312" s="184"/>
      <c r="FJG312" s="184"/>
      <c r="FJH312" s="187"/>
      <c r="FJI312" s="188"/>
      <c r="FJK312" s="182"/>
      <c r="FJL312" s="183"/>
      <c r="FJS312" s="267"/>
      <c r="FJT312" s="269"/>
      <c r="FJU312" s="267"/>
      <c r="FJV312" s="184"/>
      <c r="FJW312" s="184"/>
      <c r="FJX312" s="185"/>
      <c r="FJY312" s="184"/>
      <c r="FJZ312" s="184"/>
      <c r="FKA312" s="184"/>
      <c r="FKB312" s="187"/>
      <c r="FKC312" s="188"/>
      <c r="FKE312" s="182"/>
      <c r="FKF312" s="183"/>
      <c r="FKM312" s="267"/>
      <c r="FKN312" s="269"/>
      <c r="FKO312" s="267"/>
      <c r="FKP312" s="184"/>
      <c r="FKQ312" s="184"/>
      <c r="FKR312" s="185"/>
      <c r="FKS312" s="184"/>
      <c r="FKT312" s="184"/>
      <c r="FKU312" s="184"/>
      <c r="FKV312" s="187"/>
      <c r="FKW312" s="188"/>
      <c r="FKY312" s="182"/>
      <c r="FKZ312" s="183"/>
      <c r="FLG312" s="267"/>
      <c r="FLH312" s="269"/>
      <c r="FLI312" s="267"/>
      <c r="FLJ312" s="184"/>
      <c r="FLK312" s="184"/>
      <c r="FLL312" s="185"/>
      <c r="FLM312" s="184"/>
      <c r="FLN312" s="184"/>
      <c r="FLO312" s="184"/>
      <c r="FLP312" s="187"/>
      <c r="FLQ312" s="188"/>
      <c r="FLS312" s="182"/>
      <c r="FLT312" s="183"/>
      <c r="FMA312" s="267"/>
      <c r="FMB312" s="269"/>
      <c r="FMC312" s="267"/>
      <c r="FMD312" s="184"/>
      <c r="FME312" s="184"/>
      <c r="FMF312" s="185"/>
      <c r="FMG312" s="184"/>
      <c r="FMH312" s="184"/>
      <c r="FMI312" s="184"/>
      <c r="FMJ312" s="187"/>
      <c r="FMK312" s="188"/>
      <c r="FMM312" s="182"/>
      <c r="FMN312" s="183"/>
      <c r="FMU312" s="267"/>
      <c r="FMV312" s="269"/>
      <c r="FMW312" s="267"/>
      <c r="FMX312" s="184"/>
      <c r="FMY312" s="184"/>
      <c r="FMZ312" s="185"/>
      <c r="FNA312" s="184"/>
      <c r="FNB312" s="184"/>
      <c r="FNC312" s="184"/>
      <c r="FND312" s="187"/>
      <c r="FNE312" s="188"/>
      <c r="FNG312" s="182"/>
      <c r="FNH312" s="183"/>
      <c r="FNO312" s="267"/>
      <c r="FNP312" s="269"/>
      <c r="FNQ312" s="267"/>
      <c r="FNR312" s="184"/>
      <c r="FNS312" s="184"/>
      <c r="FNT312" s="185"/>
      <c r="FNU312" s="184"/>
      <c r="FNV312" s="184"/>
      <c r="FNW312" s="184"/>
      <c r="FNX312" s="187"/>
      <c r="FNY312" s="188"/>
      <c r="FOA312" s="182"/>
      <c r="FOB312" s="183"/>
      <c r="FOI312" s="267"/>
      <c r="FOJ312" s="269"/>
      <c r="FOK312" s="267"/>
      <c r="FOL312" s="184"/>
      <c r="FOM312" s="184"/>
      <c r="FON312" s="185"/>
      <c r="FOO312" s="184"/>
      <c r="FOP312" s="184"/>
      <c r="FOQ312" s="184"/>
      <c r="FOR312" s="187"/>
      <c r="FOS312" s="188"/>
      <c r="FOU312" s="182"/>
      <c r="FOV312" s="183"/>
      <c r="FPC312" s="267"/>
      <c r="FPD312" s="269"/>
      <c r="FPE312" s="267"/>
      <c r="FPF312" s="184"/>
      <c r="FPG312" s="184"/>
      <c r="FPH312" s="185"/>
      <c r="FPI312" s="184"/>
      <c r="FPJ312" s="184"/>
      <c r="FPK312" s="184"/>
      <c r="FPL312" s="187"/>
      <c r="FPM312" s="188"/>
      <c r="FPO312" s="182"/>
      <c r="FPP312" s="183"/>
      <c r="FPW312" s="267"/>
      <c r="FPX312" s="269"/>
      <c r="FPY312" s="267"/>
      <c r="FPZ312" s="184"/>
      <c r="FQA312" s="184"/>
      <c r="FQB312" s="185"/>
      <c r="FQC312" s="184"/>
      <c r="FQD312" s="184"/>
      <c r="FQE312" s="184"/>
      <c r="FQF312" s="187"/>
      <c r="FQG312" s="188"/>
      <c r="FQI312" s="182"/>
      <c r="FQJ312" s="183"/>
      <c r="FQQ312" s="267"/>
      <c r="FQR312" s="269"/>
      <c r="FQS312" s="267"/>
      <c r="FQT312" s="184"/>
      <c r="FQU312" s="184"/>
      <c r="FQV312" s="185"/>
      <c r="FQW312" s="184"/>
      <c r="FQX312" s="184"/>
      <c r="FQY312" s="184"/>
      <c r="FQZ312" s="187"/>
      <c r="FRA312" s="188"/>
      <c r="FRC312" s="182"/>
      <c r="FRD312" s="183"/>
      <c r="FRK312" s="267"/>
      <c r="FRL312" s="269"/>
      <c r="FRM312" s="267"/>
      <c r="FRN312" s="184"/>
      <c r="FRO312" s="184"/>
      <c r="FRP312" s="185"/>
      <c r="FRQ312" s="184"/>
      <c r="FRR312" s="184"/>
      <c r="FRS312" s="184"/>
      <c r="FRT312" s="187"/>
      <c r="FRU312" s="188"/>
      <c r="FRW312" s="182"/>
      <c r="FRX312" s="183"/>
      <c r="FSE312" s="267"/>
      <c r="FSF312" s="269"/>
      <c r="FSG312" s="267"/>
      <c r="FSH312" s="184"/>
      <c r="FSI312" s="184"/>
      <c r="FSJ312" s="185"/>
      <c r="FSK312" s="184"/>
      <c r="FSL312" s="184"/>
      <c r="FSM312" s="184"/>
      <c r="FSN312" s="187"/>
      <c r="FSO312" s="188"/>
      <c r="FSQ312" s="182"/>
      <c r="FSR312" s="183"/>
      <c r="FSY312" s="267"/>
      <c r="FSZ312" s="269"/>
      <c r="FTA312" s="267"/>
      <c r="FTB312" s="184"/>
      <c r="FTC312" s="184"/>
      <c r="FTD312" s="185"/>
      <c r="FTE312" s="184"/>
      <c r="FTF312" s="184"/>
      <c r="FTG312" s="184"/>
      <c r="FTH312" s="187"/>
      <c r="FTI312" s="188"/>
      <c r="FTK312" s="182"/>
      <c r="FTL312" s="183"/>
      <c r="FTS312" s="267"/>
      <c r="FTT312" s="269"/>
      <c r="FTU312" s="267"/>
      <c r="FTV312" s="184"/>
      <c r="FTW312" s="184"/>
      <c r="FTX312" s="185"/>
      <c r="FTY312" s="184"/>
      <c r="FTZ312" s="184"/>
      <c r="FUA312" s="184"/>
      <c r="FUB312" s="187"/>
      <c r="FUC312" s="188"/>
      <c r="FUE312" s="182"/>
      <c r="FUF312" s="183"/>
      <c r="FUM312" s="267"/>
      <c r="FUN312" s="269"/>
      <c r="FUO312" s="267"/>
      <c r="FUP312" s="184"/>
      <c r="FUQ312" s="184"/>
      <c r="FUR312" s="185"/>
      <c r="FUS312" s="184"/>
      <c r="FUT312" s="184"/>
      <c r="FUU312" s="184"/>
      <c r="FUV312" s="187"/>
      <c r="FUW312" s="188"/>
      <c r="FUY312" s="182"/>
      <c r="FUZ312" s="183"/>
      <c r="FVG312" s="267"/>
      <c r="FVH312" s="269"/>
      <c r="FVI312" s="267"/>
      <c r="FVJ312" s="184"/>
      <c r="FVK312" s="184"/>
      <c r="FVL312" s="185"/>
      <c r="FVM312" s="184"/>
      <c r="FVN312" s="184"/>
      <c r="FVO312" s="184"/>
      <c r="FVP312" s="187"/>
      <c r="FVQ312" s="188"/>
      <c r="FVS312" s="182"/>
      <c r="FVT312" s="183"/>
      <c r="FWA312" s="267"/>
      <c r="FWB312" s="269"/>
      <c r="FWC312" s="267"/>
      <c r="FWD312" s="184"/>
      <c r="FWE312" s="184"/>
      <c r="FWF312" s="185"/>
      <c r="FWG312" s="184"/>
      <c r="FWH312" s="184"/>
      <c r="FWI312" s="184"/>
      <c r="FWJ312" s="187"/>
      <c r="FWK312" s="188"/>
      <c r="FWM312" s="182"/>
      <c r="FWN312" s="183"/>
      <c r="FWU312" s="267"/>
      <c r="FWV312" s="269"/>
      <c r="FWW312" s="267"/>
      <c r="FWX312" s="184"/>
      <c r="FWY312" s="184"/>
      <c r="FWZ312" s="185"/>
      <c r="FXA312" s="184"/>
      <c r="FXB312" s="184"/>
      <c r="FXC312" s="184"/>
      <c r="FXD312" s="187"/>
      <c r="FXE312" s="188"/>
      <c r="FXG312" s="182"/>
      <c r="FXH312" s="183"/>
      <c r="FXO312" s="267"/>
      <c r="FXP312" s="269"/>
      <c r="FXQ312" s="267"/>
      <c r="FXR312" s="184"/>
      <c r="FXS312" s="184"/>
      <c r="FXT312" s="185"/>
      <c r="FXU312" s="184"/>
      <c r="FXV312" s="184"/>
      <c r="FXW312" s="184"/>
      <c r="FXX312" s="187"/>
      <c r="FXY312" s="188"/>
      <c r="FYA312" s="182"/>
      <c r="FYB312" s="183"/>
      <c r="FYI312" s="267"/>
      <c r="FYJ312" s="269"/>
      <c r="FYK312" s="267"/>
      <c r="FYL312" s="184"/>
      <c r="FYM312" s="184"/>
      <c r="FYN312" s="185"/>
      <c r="FYO312" s="184"/>
      <c r="FYP312" s="184"/>
      <c r="FYQ312" s="184"/>
      <c r="FYR312" s="187"/>
      <c r="FYS312" s="188"/>
      <c r="FYU312" s="182"/>
      <c r="FYV312" s="183"/>
      <c r="FZC312" s="267"/>
      <c r="FZD312" s="269"/>
      <c r="FZE312" s="267"/>
      <c r="FZF312" s="184"/>
      <c r="FZG312" s="184"/>
      <c r="FZH312" s="185"/>
      <c r="FZI312" s="184"/>
      <c r="FZJ312" s="184"/>
      <c r="FZK312" s="184"/>
      <c r="FZL312" s="187"/>
      <c r="FZM312" s="188"/>
      <c r="FZO312" s="182"/>
      <c r="FZP312" s="183"/>
      <c r="FZW312" s="267"/>
      <c r="FZX312" s="269"/>
      <c r="FZY312" s="267"/>
      <c r="FZZ312" s="184"/>
      <c r="GAA312" s="184"/>
      <c r="GAB312" s="185"/>
      <c r="GAC312" s="184"/>
      <c r="GAD312" s="184"/>
      <c r="GAE312" s="184"/>
      <c r="GAF312" s="187"/>
      <c r="GAG312" s="188"/>
      <c r="GAI312" s="182"/>
      <c r="GAJ312" s="183"/>
      <c r="GAQ312" s="267"/>
      <c r="GAR312" s="269"/>
      <c r="GAS312" s="267"/>
      <c r="GAT312" s="184"/>
      <c r="GAU312" s="184"/>
      <c r="GAV312" s="185"/>
      <c r="GAW312" s="184"/>
      <c r="GAX312" s="184"/>
      <c r="GAY312" s="184"/>
      <c r="GAZ312" s="187"/>
      <c r="GBA312" s="188"/>
      <c r="GBC312" s="182"/>
      <c r="GBD312" s="183"/>
      <c r="GBK312" s="267"/>
      <c r="GBL312" s="269"/>
      <c r="GBM312" s="267"/>
      <c r="GBN312" s="184"/>
      <c r="GBO312" s="184"/>
      <c r="GBP312" s="185"/>
      <c r="GBQ312" s="184"/>
      <c r="GBR312" s="184"/>
      <c r="GBS312" s="184"/>
      <c r="GBT312" s="187"/>
      <c r="GBU312" s="188"/>
      <c r="GBW312" s="182"/>
      <c r="GBX312" s="183"/>
      <c r="GCE312" s="267"/>
      <c r="GCF312" s="269"/>
      <c r="GCG312" s="267"/>
      <c r="GCH312" s="184"/>
      <c r="GCI312" s="184"/>
      <c r="GCJ312" s="185"/>
      <c r="GCK312" s="184"/>
      <c r="GCL312" s="184"/>
      <c r="GCM312" s="184"/>
      <c r="GCN312" s="187"/>
      <c r="GCO312" s="188"/>
      <c r="GCQ312" s="182"/>
      <c r="GCR312" s="183"/>
      <c r="GCY312" s="267"/>
      <c r="GCZ312" s="269"/>
      <c r="GDA312" s="267"/>
      <c r="GDB312" s="184"/>
      <c r="GDC312" s="184"/>
      <c r="GDD312" s="185"/>
      <c r="GDE312" s="184"/>
      <c r="GDF312" s="184"/>
      <c r="GDG312" s="184"/>
      <c r="GDH312" s="187"/>
      <c r="GDI312" s="188"/>
      <c r="GDK312" s="182"/>
      <c r="GDL312" s="183"/>
      <c r="GDS312" s="267"/>
      <c r="GDT312" s="269"/>
      <c r="GDU312" s="267"/>
      <c r="GDV312" s="184"/>
      <c r="GDW312" s="184"/>
      <c r="GDX312" s="185"/>
      <c r="GDY312" s="184"/>
      <c r="GDZ312" s="184"/>
      <c r="GEA312" s="184"/>
      <c r="GEB312" s="187"/>
      <c r="GEC312" s="188"/>
      <c r="GEE312" s="182"/>
      <c r="GEF312" s="183"/>
      <c r="GEM312" s="267"/>
      <c r="GEN312" s="269"/>
      <c r="GEO312" s="267"/>
      <c r="GEP312" s="184"/>
      <c r="GEQ312" s="184"/>
      <c r="GER312" s="185"/>
      <c r="GES312" s="184"/>
      <c r="GET312" s="184"/>
      <c r="GEU312" s="184"/>
      <c r="GEV312" s="187"/>
      <c r="GEW312" s="188"/>
      <c r="GEY312" s="182"/>
      <c r="GEZ312" s="183"/>
      <c r="GFG312" s="267"/>
      <c r="GFH312" s="269"/>
      <c r="GFI312" s="267"/>
      <c r="GFJ312" s="184"/>
      <c r="GFK312" s="184"/>
      <c r="GFL312" s="185"/>
      <c r="GFM312" s="184"/>
      <c r="GFN312" s="184"/>
      <c r="GFO312" s="184"/>
      <c r="GFP312" s="187"/>
      <c r="GFQ312" s="188"/>
      <c r="GFS312" s="182"/>
      <c r="GFT312" s="183"/>
      <c r="GGA312" s="267"/>
      <c r="GGB312" s="269"/>
      <c r="GGC312" s="267"/>
      <c r="GGD312" s="184"/>
      <c r="GGE312" s="184"/>
      <c r="GGF312" s="185"/>
      <c r="GGG312" s="184"/>
      <c r="GGH312" s="184"/>
      <c r="GGI312" s="184"/>
      <c r="GGJ312" s="187"/>
      <c r="GGK312" s="188"/>
      <c r="GGM312" s="182"/>
      <c r="GGN312" s="183"/>
      <c r="GGU312" s="267"/>
      <c r="GGV312" s="269"/>
      <c r="GGW312" s="267"/>
      <c r="GGX312" s="184"/>
      <c r="GGY312" s="184"/>
      <c r="GGZ312" s="185"/>
      <c r="GHA312" s="184"/>
      <c r="GHB312" s="184"/>
      <c r="GHC312" s="184"/>
      <c r="GHD312" s="187"/>
      <c r="GHE312" s="188"/>
      <c r="GHG312" s="182"/>
      <c r="GHH312" s="183"/>
      <c r="GHO312" s="267"/>
      <c r="GHP312" s="269"/>
      <c r="GHQ312" s="267"/>
      <c r="GHR312" s="184"/>
      <c r="GHS312" s="184"/>
      <c r="GHT312" s="185"/>
      <c r="GHU312" s="184"/>
      <c r="GHV312" s="184"/>
      <c r="GHW312" s="184"/>
      <c r="GHX312" s="187"/>
      <c r="GHY312" s="188"/>
      <c r="GIA312" s="182"/>
      <c r="GIB312" s="183"/>
      <c r="GII312" s="267"/>
      <c r="GIJ312" s="269"/>
      <c r="GIK312" s="267"/>
      <c r="GIL312" s="184"/>
      <c r="GIM312" s="184"/>
      <c r="GIN312" s="185"/>
      <c r="GIO312" s="184"/>
      <c r="GIP312" s="184"/>
      <c r="GIQ312" s="184"/>
      <c r="GIR312" s="187"/>
      <c r="GIS312" s="188"/>
      <c r="GIU312" s="182"/>
      <c r="GIV312" s="183"/>
      <c r="GJC312" s="267"/>
      <c r="GJD312" s="269"/>
      <c r="GJE312" s="267"/>
      <c r="GJF312" s="184"/>
      <c r="GJG312" s="184"/>
      <c r="GJH312" s="185"/>
      <c r="GJI312" s="184"/>
      <c r="GJJ312" s="184"/>
      <c r="GJK312" s="184"/>
      <c r="GJL312" s="187"/>
      <c r="GJM312" s="188"/>
      <c r="GJO312" s="182"/>
      <c r="GJP312" s="183"/>
      <c r="GJW312" s="267"/>
      <c r="GJX312" s="269"/>
      <c r="GJY312" s="267"/>
      <c r="GJZ312" s="184"/>
      <c r="GKA312" s="184"/>
      <c r="GKB312" s="185"/>
      <c r="GKC312" s="184"/>
      <c r="GKD312" s="184"/>
      <c r="GKE312" s="184"/>
      <c r="GKF312" s="187"/>
      <c r="GKG312" s="188"/>
      <c r="GKI312" s="182"/>
      <c r="GKJ312" s="183"/>
      <c r="GKQ312" s="267"/>
      <c r="GKR312" s="269"/>
      <c r="GKS312" s="267"/>
      <c r="GKT312" s="184"/>
      <c r="GKU312" s="184"/>
      <c r="GKV312" s="185"/>
      <c r="GKW312" s="184"/>
      <c r="GKX312" s="184"/>
      <c r="GKY312" s="184"/>
      <c r="GKZ312" s="187"/>
      <c r="GLA312" s="188"/>
      <c r="GLC312" s="182"/>
      <c r="GLD312" s="183"/>
      <c r="GLK312" s="267"/>
      <c r="GLL312" s="269"/>
      <c r="GLM312" s="267"/>
      <c r="GLN312" s="184"/>
      <c r="GLO312" s="184"/>
      <c r="GLP312" s="185"/>
      <c r="GLQ312" s="184"/>
      <c r="GLR312" s="184"/>
      <c r="GLS312" s="184"/>
      <c r="GLT312" s="187"/>
      <c r="GLU312" s="188"/>
      <c r="GLW312" s="182"/>
      <c r="GLX312" s="183"/>
      <c r="GME312" s="267"/>
      <c r="GMF312" s="269"/>
      <c r="GMG312" s="267"/>
      <c r="GMH312" s="184"/>
      <c r="GMI312" s="184"/>
      <c r="GMJ312" s="185"/>
      <c r="GMK312" s="184"/>
      <c r="GML312" s="184"/>
      <c r="GMM312" s="184"/>
      <c r="GMN312" s="187"/>
      <c r="GMO312" s="188"/>
      <c r="GMQ312" s="182"/>
      <c r="GMR312" s="183"/>
      <c r="GMY312" s="267"/>
      <c r="GMZ312" s="269"/>
      <c r="GNA312" s="267"/>
      <c r="GNB312" s="184"/>
      <c r="GNC312" s="184"/>
      <c r="GND312" s="185"/>
      <c r="GNE312" s="184"/>
      <c r="GNF312" s="184"/>
      <c r="GNG312" s="184"/>
      <c r="GNH312" s="187"/>
      <c r="GNI312" s="188"/>
      <c r="GNK312" s="182"/>
      <c r="GNL312" s="183"/>
      <c r="GNS312" s="267"/>
      <c r="GNT312" s="269"/>
      <c r="GNU312" s="267"/>
      <c r="GNV312" s="184"/>
      <c r="GNW312" s="184"/>
      <c r="GNX312" s="185"/>
      <c r="GNY312" s="184"/>
      <c r="GNZ312" s="184"/>
      <c r="GOA312" s="184"/>
      <c r="GOB312" s="187"/>
      <c r="GOC312" s="188"/>
      <c r="GOE312" s="182"/>
      <c r="GOF312" s="183"/>
      <c r="GOM312" s="267"/>
      <c r="GON312" s="269"/>
      <c r="GOO312" s="267"/>
      <c r="GOP312" s="184"/>
      <c r="GOQ312" s="184"/>
      <c r="GOR312" s="185"/>
      <c r="GOS312" s="184"/>
      <c r="GOT312" s="184"/>
      <c r="GOU312" s="184"/>
      <c r="GOV312" s="187"/>
      <c r="GOW312" s="188"/>
      <c r="GOY312" s="182"/>
      <c r="GOZ312" s="183"/>
      <c r="GPG312" s="267"/>
      <c r="GPH312" s="269"/>
      <c r="GPI312" s="267"/>
      <c r="GPJ312" s="184"/>
      <c r="GPK312" s="184"/>
      <c r="GPL312" s="185"/>
      <c r="GPM312" s="184"/>
      <c r="GPN312" s="184"/>
      <c r="GPO312" s="184"/>
      <c r="GPP312" s="187"/>
      <c r="GPQ312" s="188"/>
      <c r="GPS312" s="182"/>
      <c r="GPT312" s="183"/>
      <c r="GQA312" s="267"/>
      <c r="GQB312" s="269"/>
      <c r="GQC312" s="267"/>
      <c r="GQD312" s="184"/>
      <c r="GQE312" s="184"/>
      <c r="GQF312" s="185"/>
      <c r="GQG312" s="184"/>
      <c r="GQH312" s="184"/>
      <c r="GQI312" s="184"/>
      <c r="GQJ312" s="187"/>
      <c r="GQK312" s="188"/>
      <c r="GQM312" s="182"/>
      <c r="GQN312" s="183"/>
      <c r="GQU312" s="267"/>
      <c r="GQV312" s="269"/>
      <c r="GQW312" s="267"/>
      <c r="GQX312" s="184"/>
      <c r="GQY312" s="184"/>
      <c r="GQZ312" s="185"/>
      <c r="GRA312" s="184"/>
      <c r="GRB312" s="184"/>
      <c r="GRC312" s="184"/>
      <c r="GRD312" s="187"/>
      <c r="GRE312" s="188"/>
      <c r="GRG312" s="182"/>
      <c r="GRH312" s="183"/>
      <c r="GRO312" s="267"/>
      <c r="GRP312" s="269"/>
      <c r="GRQ312" s="267"/>
      <c r="GRR312" s="184"/>
      <c r="GRS312" s="184"/>
      <c r="GRT312" s="185"/>
      <c r="GRU312" s="184"/>
      <c r="GRV312" s="184"/>
      <c r="GRW312" s="184"/>
      <c r="GRX312" s="187"/>
      <c r="GRY312" s="188"/>
      <c r="GSA312" s="182"/>
      <c r="GSB312" s="183"/>
      <c r="GSI312" s="267"/>
      <c r="GSJ312" s="269"/>
      <c r="GSK312" s="267"/>
      <c r="GSL312" s="184"/>
      <c r="GSM312" s="184"/>
      <c r="GSN312" s="185"/>
      <c r="GSO312" s="184"/>
      <c r="GSP312" s="184"/>
      <c r="GSQ312" s="184"/>
      <c r="GSR312" s="187"/>
      <c r="GSS312" s="188"/>
      <c r="GSU312" s="182"/>
      <c r="GSV312" s="183"/>
      <c r="GTC312" s="267"/>
      <c r="GTD312" s="269"/>
      <c r="GTE312" s="267"/>
      <c r="GTF312" s="184"/>
      <c r="GTG312" s="184"/>
      <c r="GTH312" s="185"/>
      <c r="GTI312" s="184"/>
      <c r="GTJ312" s="184"/>
      <c r="GTK312" s="184"/>
      <c r="GTL312" s="187"/>
      <c r="GTM312" s="188"/>
      <c r="GTO312" s="182"/>
      <c r="GTP312" s="183"/>
      <c r="GTW312" s="267"/>
      <c r="GTX312" s="269"/>
      <c r="GTY312" s="267"/>
      <c r="GTZ312" s="184"/>
      <c r="GUA312" s="184"/>
      <c r="GUB312" s="185"/>
      <c r="GUC312" s="184"/>
      <c r="GUD312" s="184"/>
      <c r="GUE312" s="184"/>
      <c r="GUF312" s="187"/>
      <c r="GUG312" s="188"/>
      <c r="GUI312" s="182"/>
      <c r="GUJ312" s="183"/>
      <c r="GUQ312" s="267"/>
      <c r="GUR312" s="269"/>
      <c r="GUS312" s="267"/>
      <c r="GUT312" s="184"/>
      <c r="GUU312" s="184"/>
      <c r="GUV312" s="185"/>
      <c r="GUW312" s="184"/>
      <c r="GUX312" s="184"/>
      <c r="GUY312" s="184"/>
      <c r="GUZ312" s="187"/>
      <c r="GVA312" s="188"/>
      <c r="GVC312" s="182"/>
      <c r="GVD312" s="183"/>
      <c r="GVK312" s="267"/>
      <c r="GVL312" s="269"/>
      <c r="GVM312" s="267"/>
      <c r="GVN312" s="184"/>
      <c r="GVO312" s="184"/>
      <c r="GVP312" s="185"/>
      <c r="GVQ312" s="184"/>
      <c r="GVR312" s="184"/>
      <c r="GVS312" s="184"/>
      <c r="GVT312" s="187"/>
      <c r="GVU312" s="188"/>
      <c r="GVW312" s="182"/>
      <c r="GVX312" s="183"/>
      <c r="GWE312" s="267"/>
      <c r="GWF312" s="269"/>
      <c r="GWG312" s="267"/>
      <c r="GWH312" s="184"/>
      <c r="GWI312" s="184"/>
      <c r="GWJ312" s="185"/>
      <c r="GWK312" s="184"/>
      <c r="GWL312" s="184"/>
      <c r="GWM312" s="184"/>
      <c r="GWN312" s="187"/>
      <c r="GWO312" s="188"/>
      <c r="GWQ312" s="182"/>
      <c r="GWR312" s="183"/>
      <c r="GWY312" s="267"/>
      <c r="GWZ312" s="269"/>
      <c r="GXA312" s="267"/>
      <c r="GXB312" s="184"/>
      <c r="GXC312" s="184"/>
      <c r="GXD312" s="185"/>
      <c r="GXE312" s="184"/>
      <c r="GXF312" s="184"/>
      <c r="GXG312" s="184"/>
      <c r="GXH312" s="187"/>
      <c r="GXI312" s="188"/>
      <c r="GXK312" s="182"/>
      <c r="GXL312" s="183"/>
      <c r="GXS312" s="267"/>
      <c r="GXT312" s="269"/>
      <c r="GXU312" s="267"/>
      <c r="GXV312" s="184"/>
      <c r="GXW312" s="184"/>
      <c r="GXX312" s="185"/>
      <c r="GXY312" s="184"/>
      <c r="GXZ312" s="184"/>
      <c r="GYA312" s="184"/>
      <c r="GYB312" s="187"/>
      <c r="GYC312" s="188"/>
      <c r="GYE312" s="182"/>
      <c r="GYF312" s="183"/>
      <c r="GYM312" s="267"/>
      <c r="GYN312" s="269"/>
      <c r="GYO312" s="267"/>
      <c r="GYP312" s="184"/>
      <c r="GYQ312" s="184"/>
      <c r="GYR312" s="185"/>
      <c r="GYS312" s="184"/>
      <c r="GYT312" s="184"/>
      <c r="GYU312" s="184"/>
      <c r="GYV312" s="187"/>
      <c r="GYW312" s="188"/>
      <c r="GYY312" s="182"/>
      <c r="GYZ312" s="183"/>
      <c r="GZG312" s="267"/>
      <c r="GZH312" s="269"/>
      <c r="GZI312" s="267"/>
      <c r="GZJ312" s="184"/>
      <c r="GZK312" s="184"/>
      <c r="GZL312" s="185"/>
      <c r="GZM312" s="184"/>
      <c r="GZN312" s="184"/>
      <c r="GZO312" s="184"/>
      <c r="GZP312" s="187"/>
      <c r="GZQ312" s="188"/>
      <c r="GZS312" s="182"/>
      <c r="GZT312" s="183"/>
      <c r="HAA312" s="267"/>
      <c r="HAB312" s="269"/>
      <c r="HAC312" s="267"/>
      <c r="HAD312" s="184"/>
      <c r="HAE312" s="184"/>
      <c r="HAF312" s="185"/>
      <c r="HAG312" s="184"/>
      <c r="HAH312" s="184"/>
      <c r="HAI312" s="184"/>
      <c r="HAJ312" s="187"/>
      <c r="HAK312" s="188"/>
      <c r="HAM312" s="182"/>
      <c r="HAN312" s="183"/>
      <c r="HAU312" s="267"/>
      <c r="HAV312" s="269"/>
      <c r="HAW312" s="267"/>
      <c r="HAX312" s="184"/>
      <c r="HAY312" s="184"/>
      <c r="HAZ312" s="185"/>
      <c r="HBA312" s="184"/>
      <c r="HBB312" s="184"/>
      <c r="HBC312" s="184"/>
      <c r="HBD312" s="187"/>
      <c r="HBE312" s="188"/>
      <c r="HBG312" s="182"/>
      <c r="HBH312" s="183"/>
      <c r="HBO312" s="267"/>
      <c r="HBP312" s="269"/>
      <c r="HBQ312" s="267"/>
      <c r="HBR312" s="184"/>
      <c r="HBS312" s="184"/>
      <c r="HBT312" s="185"/>
      <c r="HBU312" s="184"/>
      <c r="HBV312" s="184"/>
      <c r="HBW312" s="184"/>
      <c r="HBX312" s="187"/>
      <c r="HBY312" s="188"/>
      <c r="HCA312" s="182"/>
      <c r="HCB312" s="183"/>
      <c r="HCI312" s="267"/>
      <c r="HCJ312" s="269"/>
      <c r="HCK312" s="267"/>
      <c r="HCL312" s="184"/>
      <c r="HCM312" s="184"/>
      <c r="HCN312" s="185"/>
      <c r="HCO312" s="184"/>
      <c r="HCP312" s="184"/>
      <c r="HCQ312" s="184"/>
      <c r="HCR312" s="187"/>
      <c r="HCS312" s="188"/>
      <c r="HCU312" s="182"/>
      <c r="HCV312" s="183"/>
      <c r="HDC312" s="267"/>
      <c r="HDD312" s="269"/>
      <c r="HDE312" s="267"/>
      <c r="HDF312" s="184"/>
      <c r="HDG312" s="184"/>
      <c r="HDH312" s="185"/>
      <c r="HDI312" s="184"/>
      <c r="HDJ312" s="184"/>
      <c r="HDK312" s="184"/>
      <c r="HDL312" s="187"/>
      <c r="HDM312" s="188"/>
      <c r="HDO312" s="182"/>
      <c r="HDP312" s="183"/>
      <c r="HDW312" s="267"/>
      <c r="HDX312" s="269"/>
      <c r="HDY312" s="267"/>
      <c r="HDZ312" s="184"/>
      <c r="HEA312" s="184"/>
      <c r="HEB312" s="185"/>
      <c r="HEC312" s="184"/>
      <c r="HED312" s="184"/>
      <c r="HEE312" s="184"/>
      <c r="HEF312" s="187"/>
      <c r="HEG312" s="188"/>
      <c r="HEI312" s="182"/>
      <c r="HEJ312" s="183"/>
      <c r="HEQ312" s="267"/>
      <c r="HER312" s="269"/>
      <c r="HES312" s="267"/>
      <c r="HET312" s="184"/>
      <c r="HEU312" s="184"/>
      <c r="HEV312" s="185"/>
      <c r="HEW312" s="184"/>
      <c r="HEX312" s="184"/>
      <c r="HEY312" s="184"/>
      <c r="HEZ312" s="187"/>
      <c r="HFA312" s="188"/>
      <c r="HFC312" s="182"/>
      <c r="HFD312" s="183"/>
      <c r="HFK312" s="267"/>
      <c r="HFL312" s="269"/>
      <c r="HFM312" s="267"/>
      <c r="HFN312" s="184"/>
      <c r="HFO312" s="184"/>
      <c r="HFP312" s="185"/>
      <c r="HFQ312" s="184"/>
      <c r="HFR312" s="184"/>
      <c r="HFS312" s="184"/>
      <c r="HFT312" s="187"/>
      <c r="HFU312" s="188"/>
      <c r="HFW312" s="182"/>
      <c r="HFX312" s="183"/>
      <c r="HGE312" s="267"/>
      <c r="HGF312" s="269"/>
      <c r="HGG312" s="267"/>
      <c r="HGH312" s="184"/>
      <c r="HGI312" s="184"/>
      <c r="HGJ312" s="185"/>
      <c r="HGK312" s="184"/>
      <c r="HGL312" s="184"/>
      <c r="HGM312" s="184"/>
      <c r="HGN312" s="187"/>
      <c r="HGO312" s="188"/>
      <c r="HGQ312" s="182"/>
      <c r="HGR312" s="183"/>
      <c r="HGY312" s="267"/>
      <c r="HGZ312" s="269"/>
      <c r="HHA312" s="267"/>
      <c r="HHB312" s="184"/>
      <c r="HHC312" s="184"/>
      <c r="HHD312" s="185"/>
      <c r="HHE312" s="184"/>
      <c r="HHF312" s="184"/>
      <c r="HHG312" s="184"/>
      <c r="HHH312" s="187"/>
      <c r="HHI312" s="188"/>
      <c r="HHK312" s="182"/>
      <c r="HHL312" s="183"/>
      <c r="HHS312" s="267"/>
      <c r="HHT312" s="269"/>
      <c r="HHU312" s="267"/>
      <c r="HHV312" s="184"/>
      <c r="HHW312" s="184"/>
      <c r="HHX312" s="185"/>
      <c r="HHY312" s="184"/>
      <c r="HHZ312" s="184"/>
      <c r="HIA312" s="184"/>
      <c r="HIB312" s="187"/>
      <c r="HIC312" s="188"/>
      <c r="HIE312" s="182"/>
      <c r="HIF312" s="183"/>
      <c r="HIM312" s="267"/>
      <c r="HIN312" s="269"/>
      <c r="HIO312" s="267"/>
      <c r="HIP312" s="184"/>
      <c r="HIQ312" s="184"/>
      <c r="HIR312" s="185"/>
      <c r="HIS312" s="184"/>
      <c r="HIT312" s="184"/>
      <c r="HIU312" s="184"/>
      <c r="HIV312" s="187"/>
      <c r="HIW312" s="188"/>
      <c r="HIY312" s="182"/>
      <c r="HIZ312" s="183"/>
      <c r="HJG312" s="267"/>
      <c r="HJH312" s="269"/>
      <c r="HJI312" s="267"/>
      <c r="HJJ312" s="184"/>
      <c r="HJK312" s="184"/>
      <c r="HJL312" s="185"/>
      <c r="HJM312" s="184"/>
      <c r="HJN312" s="184"/>
      <c r="HJO312" s="184"/>
      <c r="HJP312" s="187"/>
      <c r="HJQ312" s="188"/>
      <c r="HJS312" s="182"/>
      <c r="HJT312" s="183"/>
      <c r="HKA312" s="267"/>
      <c r="HKB312" s="269"/>
      <c r="HKC312" s="267"/>
      <c r="HKD312" s="184"/>
      <c r="HKE312" s="184"/>
      <c r="HKF312" s="185"/>
      <c r="HKG312" s="184"/>
      <c r="HKH312" s="184"/>
      <c r="HKI312" s="184"/>
      <c r="HKJ312" s="187"/>
      <c r="HKK312" s="188"/>
      <c r="HKM312" s="182"/>
      <c r="HKN312" s="183"/>
      <c r="HKU312" s="267"/>
      <c r="HKV312" s="269"/>
      <c r="HKW312" s="267"/>
      <c r="HKX312" s="184"/>
      <c r="HKY312" s="184"/>
      <c r="HKZ312" s="185"/>
      <c r="HLA312" s="184"/>
      <c r="HLB312" s="184"/>
      <c r="HLC312" s="184"/>
      <c r="HLD312" s="187"/>
      <c r="HLE312" s="188"/>
      <c r="HLG312" s="182"/>
      <c r="HLH312" s="183"/>
      <c r="HLO312" s="267"/>
      <c r="HLP312" s="269"/>
      <c r="HLQ312" s="267"/>
      <c r="HLR312" s="184"/>
      <c r="HLS312" s="184"/>
      <c r="HLT312" s="185"/>
      <c r="HLU312" s="184"/>
      <c r="HLV312" s="184"/>
      <c r="HLW312" s="184"/>
      <c r="HLX312" s="187"/>
      <c r="HLY312" s="188"/>
      <c r="HMA312" s="182"/>
      <c r="HMB312" s="183"/>
      <c r="HMI312" s="267"/>
      <c r="HMJ312" s="269"/>
      <c r="HMK312" s="267"/>
      <c r="HML312" s="184"/>
      <c r="HMM312" s="184"/>
      <c r="HMN312" s="185"/>
      <c r="HMO312" s="184"/>
      <c r="HMP312" s="184"/>
      <c r="HMQ312" s="184"/>
      <c r="HMR312" s="187"/>
      <c r="HMS312" s="188"/>
      <c r="HMU312" s="182"/>
      <c r="HMV312" s="183"/>
      <c r="HNC312" s="267"/>
      <c r="HND312" s="269"/>
      <c r="HNE312" s="267"/>
      <c r="HNF312" s="184"/>
      <c r="HNG312" s="184"/>
      <c r="HNH312" s="185"/>
      <c r="HNI312" s="184"/>
      <c r="HNJ312" s="184"/>
      <c r="HNK312" s="184"/>
      <c r="HNL312" s="187"/>
      <c r="HNM312" s="188"/>
      <c r="HNO312" s="182"/>
      <c r="HNP312" s="183"/>
      <c r="HNW312" s="267"/>
      <c r="HNX312" s="269"/>
      <c r="HNY312" s="267"/>
      <c r="HNZ312" s="184"/>
      <c r="HOA312" s="184"/>
      <c r="HOB312" s="185"/>
      <c r="HOC312" s="184"/>
      <c r="HOD312" s="184"/>
      <c r="HOE312" s="184"/>
      <c r="HOF312" s="187"/>
      <c r="HOG312" s="188"/>
      <c r="HOI312" s="182"/>
      <c r="HOJ312" s="183"/>
      <c r="HOQ312" s="267"/>
      <c r="HOR312" s="269"/>
      <c r="HOS312" s="267"/>
      <c r="HOT312" s="184"/>
      <c r="HOU312" s="184"/>
      <c r="HOV312" s="185"/>
      <c r="HOW312" s="184"/>
      <c r="HOX312" s="184"/>
      <c r="HOY312" s="184"/>
      <c r="HOZ312" s="187"/>
      <c r="HPA312" s="188"/>
      <c r="HPC312" s="182"/>
      <c r="HPD312" s="183"/>
      <c r="HPK312" s="267"/>
      <c r="HPL312" s="269"/>
      <c r="HPM312" s="267"/>
      <c r="HPN312" s="184"/>
      <c r="HPO312" s="184"/>
      <c r="HPP312" s="185"/>
      <c r="HPQ312" s="184"/>
      <c r="HPR312" s="184"/>
      <c r="HPS312" s="184"/>
      <c r="HPT312" s="187"/>
      <c r="HPU312" s="188"/>
      <c r="HPW312" s="182"/>
      <c r="HPX312" s="183"/>
      <c r="HQE312" s="267"/>
      <c r="HQF312" s="269"/>
      <c r="HQG312" s="267"/>
      <c r="HQH312" s="184"/>
      <c r="HQI312" s="184"/>
      <c r="HQJ312" s="185"/>
      <c r="HQK312" s="184"/>
      <c r="HQL312" s="184"/>
      <c r="HQM312" s="184"/>
      <c r="HQN312" s="187"/>
      <c r="HQO312" s="188"/>
      <c r="HQQ312" s="182"/>
      <c r="HQR312" s="183"/>
      <c r="HQY312" s="267"/>
      <c r="HQZ312" s="269"/>
      <c r="HRA312" s="267"/>
      <c r="HRB312" s="184"/>
      <c r="HRC312" s="184"/>
      <c r="HRD312" s="185"/>
      <c r="HRE312" s="184"/>
      <c r="HRF312" s="184"/>
      <c r="HRG312" s="184"/>
      <c r="HRH312" s="187"/>
      <c r="HRI312" s="188"/>
      <c r="HRK312" s="182"/>
      <c r="HRL312" s="183"/>
      <c r="HRS312" s="267"/>
      <c r="HRT312" s="269"/>
      <c r="HRU312" s="267"/>
      <c r="HRV312" s="184"/>
      <c r="HRW312" s="184"/>
      <c r="HRX312" s="185"/>
      <c r="HRY312" s="184"/>
      <c r="HRZ312" s="184"/>
      <c r="HSA312" s="184"/>
      <c r="HSB312" s="187"/>
      <c r="HSC312" s="188"/>
      <c r="HSE312" s="182"/>
      <c r="HSF312" s="183"/>
      <c r="HSM312" s="267"/>
      <c r="HSN312" s="269"/>
      <c r="HSO312" s="267"/>
      <c r="HSP312" s="184"/>
      <c r="HSQ312" s="184"/>
      <c r="HSR312" s="185"/>
      <c r="HSS312" s="184"/>
      <c r="HST312" s="184"/>
      <c r="HSU312" s="184"/>
      <c r="HSV312" s="187"/>
      <c r="HSW312" s="188"/>
      <c r="HSY312" s="182"/>
      <c r="HSZ312" s="183"/>
      <c r="HTG312" s="267"/>
      <c r="HTH312" s="269"/>
      <c r="HTI312" s="267"/>
      <c r="HTJ312" s="184"/>
      <c r="HTK312" s="184"/>
      <c r="HTL312" s="185"/>
      <c r="HTM312" s="184"/>
      <c r="HTN312" s="184"/>
      <c r="HTO312" s="184"/>
      <c r="HTP312" s="187"/>
      <c r="HTQ312" s="188"/>
      <c r="HTS312" s="182"/>
      <c r="HTT312" s="183"/>
      <c r="HUA312" s="267"/>
      <c r="HUB312" s="269"/>
      <c r="HUC312" s="267"/>
      <c r="HUD312" s="184"/>
      <c r="HUE312" s="184"/>
      <c r="HUF312" s="185"/>
      <c r="HUG312" s="184"/>
      <c r="HUH312" s="184"/>
      <c r="HUI312" s="184"/>
      <c r="HUJ312" s="187"/>
      <c r="HUK312" s="188"/>
      <c r="HUM312" s="182"/>
      <c r="HUN312" s="183"/>
      <c r="HUU312" s="267"/>
      <c r="HUV312" s="269"/>
      <c r="HUW312" s="267"/>
      <c r="HUX312" s="184"/>
      <c r="HUY312" s="184"/>
      <c r="HUZ312" s="185"/>
      <c r="HVA312" s="184"/>
      <c r="HVB312" s="184"/>
      <c r="HVC312" s="184"/>
      <c r="HVD312" s="187"/>
      <c r="HVE312" s="188"/>
      <c r="HVG312" s="182"/>
      <c r="HVH312" s="183"/>
      <c r="HVO312" s="267"/>
      <c r="HVP312" s="269"/>
      <c r="HVQ312" s="267"/>
      <c r="HVR312" s="184"/>
      <c r="HVS312" s="184"/>
      <c r="HVT312" s="185"/>
      <c r="HVU312" s="184"/>
      <c r="HVV312" s="184"/>
      <c r="HVW312" s="184"/>
      <c r="HVX312" s="187"/>
      <c r="HVY312" s="188"/>
      <c r="HWA312" s="182"/>
      <c r="HWB312" s="183"/>
      <c r="HWI312" s="267"/>
      <c r="HWJ312" s="269"/>
      <c r="HWK312" s="267"/>
      <c r="HWL312" s="184"/>
      <c r="HWM312" s="184"/>
      <c r="HWN312" s="185"/>
      <c r="HWO312" s="184"/>
      <c r="HWP312" s="184"/>
      <c r="HWQ312" s="184"/>
      <c r="HWR312" s="187"/>
      <c r="HWS312" s="188"/>
      <c r="HWU312" s="182"/>
      <c r="HWV312" s="183"/>
      <c r="HXC312" s="267"/>
      <c r="HXD312" s="269"/>
      <c r="HXE312" s="267"/>
      <c r="HXF312" s="184"/>
      <c r="HXG312" s="184"/>
      <c r="HXH312" s="185"/>
      <c r="HXI312" s="184"/>
      <c r="HXJ312" s="184"/>
      <c r="HXK312" s="184"/>
      <c r="HXL312" s="187"/>
      <c r="HXM312" s="188"/>
      <c r="HXO312" s="182"/>
      <c r="HXP312" s="183"/>
      <c r="HXW312" s="267"/>
      <c r="HXX312" s="269"/>
      <c r="HXY312" s="267"/>
      <c r="HXZ312" s="184"/>
      <c r="HYA312" s="184"/>
      <c r="HYB312" s="185"/>
      <c r="HYC312" s="184"/>
      <c r="HYD312" s="184"/>
      <c r="HYE312" s="184"/>
      <c r="HYF312" s="187"/>
      <c r="HYG312" s="188"/>
      <c r="HYI312" s="182"/>
      <c r="HYJ312" s="183"/>
      <c r="HYQ312" s="267"/>
      <c r="HYR312" s="269"/>
      <c r="HYS312" s="267"/>
      <c r="HYT312" s="184"/>
      <c r="HYU312" s="184"/>
      <c r="HYV312" s="185"/>
      <c r="HYW312" s="184"/>
      <c r="HYX312" s="184"/>
      <c r="HYY312" s="184"/>
      <c r="HYZ312" s="187"/>
      <c r="HZA312" s="188"/>
      <c r="HZC312" s="182"/>
      <c r="HZD312" s="183"/>
      <c r="HZK312" s="267"/>
      <c r="HZL312" s="269"/>
      <c r="HZM312" s="267"/>
      <c r="HZN312" s="184"/>
      <c r="HZO312" s="184"/>
      <c r="HZP312" s="185"/>
      <c r="HZQ312" s="184"/>
      <c r="HZR312" s="184"/>
      <c r="HZS312" s="184"/>
      <c r="HZT312" s="187"/>
      <c r="HZU312" s="188"/>
      <c r="HZW312" s="182"/>
      <c r="HZX312" s="183"/>
      <c r="IAE312" s="267"/>
      <c r="IAF312" s="269"/>
      <c r="IAG312" s="267"/>
      <c r="IAH312" s="184"/>
      <c r="IAI312" s="184"/>
      <c r="IAJ312" s="185"/>
      <c r="IAK312" s="184"/>
      <c r="IAL312" s="184"/>
      <c r="IAM312" s="184"/>
      <c r="IAN312" s="187"/>
      <c r="IAO312" s="188"/>
      <c r="IAQ312" s="182"/>
      <c r="IAR312" s="183"/>
      <c r="IAY312" s="267"/>
      <c r="IAZ312" s="269"/>
      <c r="IBA312" s="267"/>
      <c r="IBB312" s="184"/>
      <c r="IBC312" s="184"/>
      <c r="IBD312" s="185"/>
      <c r="IBE312" s="184"/>
      <c r="IBF312" s="184"/>
      <c r="IBG312" s="184"/>
      <c r="IBH312" s="187"/>
      <c r="IBI312" s="188"/>
      <c r="IBK312" s="182"/>
      <c r="IBL312" s="183"/>
      <c r="IBS312" s="267"/>
      <c r="IBT312" s="269"/>
      <c r="IBU312" s="267"/>
      <c r="IBV312" s="184"/>
      <c r="IBW312" s="184"/>
      <c r="IBX312" s="185"/>
      <c r="IBY312" s="184"/>
      <c r="IBZ312" s="184"/>
      <c r="ICA312" s="184"/>
      <c r="ICB312" s="187"/>
      <c r="ICC312" s="188"/>
      <c r="ICE312" s="182"/>
      <c r="ICF312" s="183"/>
      <c r="ICM312" s="267"/>
      <c r="ICN312" s="269"/>
      <c r="ICO312" s="267"/>
      <c r="ICP312" s="184"/>
      <c r="ICQ312" s="184"/>
      <c r="ICR312" s="185"/>
      <c r="ICS312" s="184"/>
      <c r="ICT312" s="184"/>
      <c r="ICU312" s="184"/>
      <c r="ICV312" s="187"/>
      <c r="ICW312" s="188"/>
      <c r="ICY312" s="182"/>
      <c r="ICZ312" s="183"/>
      <c r="IDG312" s="267"/>
      <c r="IDH312" s="269"/>
      <c r="IDI312" s="267"/>
      <c r="IDJ312" s="184"/>
      <c r="IDK312" s="184"/>
      <c r="IDL312" s="185"/>
      <c r="IDM312" s="184"/>
      <c r="IDN312" s="184"/>
      <c r="IDO312" s="184"/>
      <c r="IDP312" s="187"/>
      <c r="IDQ312" s="188"/>
      <c r="IDS312" s="182"/>
      <c r="IDT312" s="183"/>
      <c r="IEA312" s="267"/>
      <c r="IEB312" s="269"/>
      <c r="IEC312" s="267"/>
      <c r="IED312" s="184"/>
      <c r="IEE312" s="184"/>
      <c r="IEF312" s="185"/>
      <c r="IEG312" s="184"/>
      <c r="IEH312" s="184"/>
      <c r="IEI312" s="184"/>
      <c r="IEJ312" s="187"/>
      <c r="IEK312" s="188"/>
      <c r="IEM312" s="182"/>
      <c r="IEN312" s="183"/>
      <c r="IEU312" s="267"/>
      <c r="IEV312" s="269"/>
      <c r="IEW312" s="267"/>
      <c r="IEX312" s="184"/>
      <c r="IEY312" s="184"/>
      <c r="IEZ312" s="185"/>
      <c r="IFA312" s="184"/>
      <c r="IFB312" s="184"/>
      <c r="IFC312" s="184"/>
      <c r="IFD312" s="187"/>
      <c r="IFE312" s="188"/>
      <c r="IFG312" s="182"/>
      <c r="IFH312" s="183"/>
      <c r="IFO312" s="267"/>
      <c r="IFP312" s="269"/>
      <c r="IFQ312" s="267"/>
      <c r="IFR312" s="184"/>
      <c r="IFS312" s="184"/>
      <c r="IFT312" s="185"/>
      <c r="IFU312" s="184"/>
      <c r="IFV312" s="184"/>
      <c r="IFW312" s="184"/>
      <c r="IFX312" s="187"/>
      <c r="IFY312" s="188"/>
      <c r="IGA312" s="182"/>
      <c r="IGB312" s="183"/>
      <c r="IGI312" s="267"/>
      <c r="IGJ312" s="269"/>
      <c r="IGK312" s="267"/>
      <c r="IGL312" s="184"/>
      <c r="IGM312" s="184"/>
      <c r="IGN312" s="185"/>
      <c r="IGO312" s="184"/>
      <c r="IGP312" s="184"/>
      <c r="IGQ312" s="184"/>
      <c r="IGR312" s="187"/>
      <c r="IGS312" s="188"/>
      <c r="IGU312" s="182"/>
      <c r="IGV312" s="183"/>
      <c r="IHC312" s="267"/>
      <c r="IHD312" s="269"/>
      <c r="IHE312" s="267"/>
      <c r="IHF312" s="184"/>
      <c r="IHG312" s="184"/>
      <c r="IHH312" s="185"/>
      <c r="IHI312" s="184"/>
      <c r="IHJ312" s="184"/>
      <c r="IHK312" s="184"/>
      <c r="IHL312" s="187"/>
      <c r="IHM312" s="188"/>
      <c r="IHO312" s="182"/>
      <c r="IHP312" s="183"/>
      <c r="IHW312" s="267"/>
      <c r="IHX312" s="269"/>
      <c r="IHY312" s="267"/>
      <c r="IHZ312" s="184"/>
      <c r="IIA312" s="184"/>
      <c r="IIB312" s="185"/>
      <c r="IIC312" s="184"/>
      <c r="IID312" s="184"/>
      <c r="IIE312" s="184"/>
      <c r="IIF312" s="187"/>
      <c r="IIG312" s="188"/>
      <c r="III312" s="182"/>
      <c r="IIJ312" s="183"/>
      <c r="IIQ312" s="267"/>
      <c r="IIR312" s="269"/>
      <c r="IIS312" s="267"/>
      <c r="IIT312" s="184"/>
      <c r="IIU312" s="184"/>
      <c r="IIV312" s="185"/>
      <c r="IIW312" s="184"/>
      <c r="IIX312" s="184"/>
      <c r="IIY312" s="184"/>
      <c r="IIZ312" s="187"/>
      <c r="IJA312" s="188"/>
      <c r="IJC312" s="182"/>
      <c r="IJD312" s="183"/>
      <c r="IJK312" s="267"/>
      <c r="IJL312" s="269"/>
      <c r="IJM312" s="267"/>
      <c r="IJN312" s="184"/>
      <c r="IJO312" s="184"/>
      <c r="IJP312" s="185"/>
      <c r="IJQ312" s="184"/>
      <c r="IJR312" s="184"/>
      <c r="IJS312" s="184"/>
      <c r="IJT312" s="187"/>
      <c r="IJU312" s="188"/>
      <c r="IJW312" s="182"/>
      <c r="IJX312" s="183"/>
      <c r="IKE312" s="267"/>
      <c r="IKF312" s="269"/>
      <c r="IKG312" s="267"/>
      <c r="IKH312" s="184"/>
      <c r="IKI312" s="184"/>
      <c r="IKJ312" s="185"/>
      <c r="IKK312" s="184"/>
      <c r="IKL312" s="184"/>
      <c r="IKM312" s="184"/>
      <c r="IKN312" s="187"/>
      <c r="IKO312" s="188"/>
      <c r="IKQ312" s="182"/>
      <c r="IKR312" s="183"/>
      <c r="IKY312" s="267"/>
      <c r="IKZ312" s="269"/>
      <c r="ILA312" s="267"/>
      <c r="ILB312" s="184"/>
      <c r="ILC312" s="184"/>
      <c r="ILD312" s="185"/>
      <c r="ILE312" s="184"/>
      <c r="ILF312" s="184"/>
      <c r="ILG312" s="184"/>
      <c r="ILH312" s="187"/>
      <c r="ILI312" s="188"/>
      <c r="ILK312" s="182"/>
      <c r="ILL312" s="183"/>
      <c r="ILS312" s="267"/>
      <c r="ILT312" s="269"/>
      <c r="ILU312" s="267"/>
      <c r="ILV312" s="184"/>
      <c r="ILW312" s="184"/>
      <c r="ILX312" s="185"/>
      <c r="ILY312" s="184"/>
      <c r="ILZ312" s="184"/>
      <c r="IMA312" s="184"/>
      <c r="IMB312" s="187"/>
      <c r="IMC312" s="188"/>
      <c r="IME312" s="182"/>
      <c r="IMF312" s="183"/>
      <c r="IMM312" s="267"/>
      <c r="IMN312" s="269"/>
      <c r="IMO312" s="267"/>
      <c r="IMP312" s="184"/>
      <c r="IMQ312" s="184"/>
      <c r="IMR312" s="185"/>
      <c r="IMS312" s="184"/>
      <c r="IMT312" s="184"/>
      <c r="IMU312" s="184"/>
      <c r="IMV312" s="187"/>
      <c r="IMW312" s="188"/>
      <c r="IMY312" s="182"/>
      <c r="IMZ312" s="183"/>
      <c r="ING312" s="267"/>
      <c r="INH312" s="269"/>
      <c r="INI312" s="267"/>
      <c r="INJ312" s="184"/>
      <c r="INK312" s="184"/>
      <c r="INL312" s="185"/>
      <c r="INM312" s="184"/>
      <c r="INN312" s="184"/>
      <c r="INO312" s="184"/>
      <c r="INP312" s="187"/>
      <c r="INQ312" s="188"/>
      <c r="INS312" s="182"/>
      <c r="INT312" s="183"/>
      <c r="IOA312" s="267"/>
      <c r="IOB312" s="269"/>
      <c r="IOC312" s="267"/>
      <c r="IOD312" s="184"/>
      <c r="IOE312" s="184"/>
      <c r="IOF312" s="185"/>
      <c r="IOG312" s="184"/>
      <c r="IOH312" s="184"/>
      <c r="IOI312" s="184"/>
      <c r="IOJ312" s="187"/>
      <c r="IOK312" s="188"/>
      <c r="IOM312" s="182"/>
      <c r="ION312" s="183"/>
      <c r="IOU312" s="267"/>
      <c r="IOV312" s="269"/>
      <c r="IOW312" s="267"/>
      <c r="IOX312" s="184"/>
      <c r="IOY312" s="184"/>
      <c r="IOZ312" s="185"/>
      <c r="IPA312" s="184"/>
      <c r="IPB312" s="184"/>
      <c r="IPC312" s="184"/>
      <c r="IPD312" s="187"/>
      <c r="IPE312" s="188"/>
      <c r="IPG312" s="182"/>
      <c r="IPH312" s="183"/>
      <c r="IPO312" s="267"/>
      <c r="IPP312" s="269"/>
      <c r="IPQ312" s="267"/>
      <c r="IPR312" s="184"/>
      <c r="IPS312" s="184"/>
      <c r="IPT312" s="185"/>
      <c r="IPU312" s="184"/>
      <c r="IPV312" s="184"/>
      <c r="IPW312" s="184"/>
      <c r="IPX312" s="187"/>
      <c r="IPY312" s="188"/>
      <c r="IQA312" s="182"/>
      <c r="IQB312" s="183"/>
      <c r="IQI312" s="267"/>
      <c r="IQJ312" s="269"/>
      <c r="IQK312" s="267"/>
      <c r="IQL312" s="184"/>
      <c r="IQM312" s="184"/>
      <c r="IQN312" s="185"/>
      <c r="IQO312" s="184"/>
      <c r="IQP312" s="184"/>
      <c r="IQQ312" s="184"/>
      <c r="IQR312" s="187"/>
      <c r="IQS312" s="188"/>
      <c r="IQU312" s="182"/>
      <c r="IQV312" s="183"/>
      <c r="IRC312" s="267"/>
      <c r="IRD312" s="269"/>
      <c r="IRE312" s="267"/>
      <c r="IRF312" s="184"/>
      <c r="IRG312" s="184"/>
      <c r="IRH312" s="185"/>
      <c r="IRI312" s="184"/>
      <c r="IRJ312" s="184"/>
      <c r="IRK312" s="184"/>
      <c r="IRL312" s="187"/>
      <c r="IRM312" s="188"/>
      <c r="IRO312" s="182"/>
      <c r="IRP312" s="183"/>
      <c r="IRW312" s="267"/>
      <c r="IRX312" s="269"/>
      <c r="IRY312" s="267"/>
      <c r="IRZ312" s="184"/>
      <c r="ISA312" s="184"/>
      <c r="ISB312" s="185"/>
      <c r="ISC312" s="184"/>
      <c r="ISD312" s="184"/>
      <c r="ISE312" s="184"/>
      <c r="ISF312" s="187"/>
      <c r="ISG312" s="188"/>
      <c r="ISI312" s="182"/>
      <c r="ISJ312" s="183"/>
      <c r="ISQ312" s="267"/>
      <c r="ISR312" s="269"/>
      <c r="ISS312" s="267"/>
      <c r="IST312" s="184"/>
      <c r="ISU312" s="184"/>
      <c r="ISV312" s="185"/>
      <c r="ISW312" s="184"/>
      <c r="ISX312" s="184"/>
      <c r="ISY312" s="184"/>
      <c r="ISZ312" s="187"/>
      <c r="ITA312" s="188"/>
      <c r="ITC312" s="182"/>
      <c r="ITD312" s="183"/>
      <c r="ITK312" s="267"/>
      <c r="ITL312" s="269"/>
      <c r="ITM312" s="267"/>
      <c r="ITN312" s="184"/>
      <c r="ITO312" s="184"/>
      <c r="ITP312" s="185"/>
      <c r="ITQ312" s="184"/>
      <c r="ITR312" s="184"/>
      <c r="ITS312" s="184"/>
      <c r="ITT312" s="187"/>
      <c r="ITU312" s="188"/>
      <c r="ITW312" s="182"/>
      <c r="ITX312" s="183"/>
      <c r="IUE312" s="267"/>
      <c r="IUF312" s="269"/>
      <c r="IUG312" s="267"/>
      <c r="IUH312" s="184"/>
      <c r="IUI312" s="184"/>
      <c r="IUJ312" s="185"/>
      <c r="IUK312" s="184"/>
      <c r="IUL312" s="184"/>
      <c r="IUM312" s="184"/>
      <c r="IUN312" s="187"/>
      <c r="IUO312" s="188"/>
      <c r="IUQ312" s="182"/>
      <c r="IUR312" s="183"/>
      <c r="IUY312" s="267"/>
      <c r="IUZ312" s="269"/>
      <c r="IVA312" s="267"/>
      <c r="IVB312" s="184"/>
      <c r="IVC312" s="184"/>
      <c r="IVD312" s="185"/>
      <c r="IVE312" s="184"/>
      <c r="IVF312" s="184"/>
      <c r="IVG312" s="184"/>
      <c r="IVH312" s="187"/>
      <c r="IVI312" s="188"/>
      <c r="IVK312" s="182"/>
      <c r="IVL312" s="183"/>
      <c r="IVS312" s="267"/>
      <c r="IVT312" s="269"/>
      <c r="IVU312" s="267"/>
      <c r="IVV312" s="184"/>
      <c r="IVW312" s="184"/>
      <c r="IVX312" s="185"/>
      <c r="IVY312" s="184"/>
      <c r="IVZ312" s="184"/>
      <c r="IWA312" s="184"/>
      <c r="IWB312" s="187"/>
      <c r="IWC312" s="188"/>
      <c r="IWE312" s="182"/>
      <c r="IWF312" s="183"/>
      <c r="IWM312" s="267"/>
      <c r="IWN312" s="269"/>
      <c r="IWO312" s="267"/>
      <c r="IWP312" s="184"/>
      <c r="IWQ312" s="184"/>
      <c r="IWR312" s="185"/>
      <c r="IWS312" s="184"/>
      <c r="IWT312" s="184"/>
      <c r="IWU312" s="184"/>
      <c r="IWV312" s="187"/>
      <c r="IWW312" s="188"/>
      <c r="IWY312" s="182"/>
      <c r="IWZ312" s="183"/>
      <c r="IXG312" s="267"/>
      <c r="IXH312" s="269"/>
      <c r="IXI312" s="267"/>
      <c r="IXJ312" s="184"/>
      <c r="IXK312" s="184"/>
      <c r="IXL312" s="185"/>
      <c r="IXM312" s="184"/>
      <c r="IXN312" s="184"/>
      <c r="IXO312" s="184"/>
      <c r="IXP312" s="187"/>
      <c r="IXQ312" s="188"/>
      <c r="IXS312" s="182"/>
      <c r="IXT312" s="183"/>
      <c r="IYA312" s="267"/>
      <c r="IYB312" s="269"/>
      <c r="IYC312" s="267"/>
      <c r="IYD312" s="184"/>
      <c r="IYE312" s="184"/>
      <c r="IYF312" s="185"/>
      <c r="IYG312" s="184"/>
      <c r="IYH312" s="184"/>
      <c r="IYI312" s="184"/>
      <c r="IYJ312" s="187"/>
      <c r="IYK312" s="188"/>
      <c r="IYM312" s="182"/>
      <c r="IYN312" s="183"/>
      <c r="IYU312" s="267"/>
      <c r="IYV312" s="269"/>
      <c r="IYW312" s="267"/>
      <c r="IYX312" s="184"/>
      <c r="IYY312" s="184"/>
      <c r="IYZ312" s="185"/>
      <c r="IZA312" s="184"/>
      <c r="IZB312" s="184"/>
      <c r="IZC312" s="184"/>
      <c r="IZD312" s="187"/>
      <c r="IZE312" s="188"/>
      <c r="IZG312" s="182"/>
      <c r="IZH312" s="183"/>
      <c r="IZO312" s="267"/>
      <c r="IZP312" s="269"/>
      <c r="IZQ312" s="267"/>
      <c r="IZR312" s="184"/>
      <c r="IZS312" s="184"/>
      <c r="IZT312" s="185"/>
      <c r="IZU312" s="184"/>
      <c r="IZV312" s="184"/>
      <c r="IZW312" s="184"/>
      <c r="IZX312" s="187"/>
      <c r="IZY312" s="188"/>
      <c r="JAA312" s="182"/>
      <c r="JAB312" s="183"/>
      <c r="JAI312" s="267"/>
      <c r="JAJ312" s="269"/>
      <c r="JAK312" s="267"/>
      <c r="JAL312" s="184"/>
      <c r="JAM312" s="184"/>
      <c r="JAN312" s="185"/>
      <c r="JAO312" s="184"/>
      <c r="JAP312" s="184"/>
      <c r="JAQ312" s="184"/>
      <c r="JAR312" s="187"/>
      <c r="JAS312" s="188"/>
      <c r="JAU312" s="182"/>
      <c r="JAV312" s="183"/>
      <c r="JBC312" s="267"/>
      <c r="JBD312" s="269"/>
      <c r="JBE312" s="267"/>
      <c r="JBF312" s="184"/>
      <c r="JBG312" s="184"/>
      <c r="JBH312" s="185"/>
      <c r="JBI312" s="184"/>
      <c r="JBJ312" s="184"/>
      <c r="JBK312" s="184"/>
      <c r="JBL312" s="187"/>
      <c r="JBM312" s="188"/>
      <c r="JBO312" s="182"/>
      <c r="JBP312" s="183"/>
      <c r="JBW312" s="267"/>
      <c r="JBX312" s="269"/>
      <c r="JBY312" s="267"/>
      <c r="JBZ312" s="184"/>
      <c r="JCA312" s="184"/>
      <c r="JCB312" s="185"/>
      <c r="JCC312" s="184"/>
      <c r="JCD312" s="184"/>
      <c r="JCE312" s="184"/>
      <c r="JCF312" s="187"/>
      <c r="JCG312" s="188"/>
      <c r="JCI312" s="182"/>
      <c r="JCJ312" s="183"/>
      <c r="JCQ312" s="267"/>
      <c r="JCR312" s="269"/>
      <c r="JCS312" s="267"/>
      <c r="JCT312" s="184"/>
      <c r="JCU312" s="184"/>
      <c r="JCV312" s="185"/>
      <c r="JCW312" s="184"/>
      <c r="JCX312" s="184"/>
      <c r="JCY312" s="184"/>
      <c r="JCZ312" s="187"/>
      <c r="JDA312" s="188"/>
      <c r="JDC312" s="182"/>
      <c r="JDD312" s="183"/>
      <c r="JDK312" s="267"/>
      <c r="JDL312" s="269"/>
      <c r="JDM312" s="267"/>
      <c r="JDN312" s="184"/>
      <c r="JDO312" s="184"/>
      <c r="JDP312" s="185"/>
      <c r="JDQ312" s="184"/>
      <c r="JDR312" s="184"/>
      <c r="JDS312" s="184"/>
      <c r="JDT312" s="187"/>
      <c r="JDU312" s="188"/>
      <c r="JDW312" s="182"/>
      <c r="JDX312" s="183"/>
      <c r="JEE312" s="267"/>
      <c r="JEF312" s="269"/>
      <c r="JEG312" s="267"/>
      <c r="JEH312" s="184"/>
      <c r="JEI312" s="184"/>
      <c r="JEJ312" s="185"/>
      <c r="JEK312" s="184"/>
      <c r="JEL312" s="184"/>
      <c r="JEM312" s="184"/>
      <c r="JEN312" s="187"/>
      <c r="JEO312" s="188"/>
      <c r="JEQ312" s="182"/>
      <c r="JER312" s="183"/>
      <c r="JEY312" s="267"/>
      <c r="JEZ312" s="269"/>
      <c r="JFA312" s="267"/>
      <c r="JFB312" s="184"/>
      <c r="JFC312" s="184"/>
      <c r="JFD312" s="185"/>
      <c r="JFE312" s="184"/>
      <c r="JFF312" s="184"/>
      <c r="JFG312" s="184"/>
      <c r="JFH312" s="187"/>
      <c r="JFI312" s="188"/>
      <c r="JFK312" s="182"/>
      <c r="JFL312" s="183"/>
      <c r="JFS312" s="267"/>
      <c r="JFT312" s="269"/>
      <c r="JFU312" s="267"/>
      <c r="JFV312" s="184"/>
      <c r="JFW312" s="184"/>
      <c r="JFX312" s="185"/>
      <c r="JFY312" s="184"/>
      <c r="JFZ312" s="184"/>
      <c r="JGA312" s="184"/>
      <c r="JGB312" s="187"/>
      <c r="JGC312" s="188"/>
      <c r="JGE312" s="182"/>
      <c r="JGF312" s="183"/>
      <c r="JGM312" s="267"/>
      <c r="JGN312" s="269"/>
      <c r="JGO312" s="267"/>
      <c r="JGP312" s="184"/>
      <c r="JGQ312" s="184"/>
      <c r="JGR312" s="185"/>
      <c r="JGS312" s="184"/>
      <c r="JGT312" s="184"/>
      <c r="JGU312" s="184"/>
      <c r="JGV312" s="187"/>
      <c r="JGW312" s="188"/>
      <c r="JGY312" s="182"/>
      <c r="JGZ312" s="183"/>
      <c r="JHG312" s="267"/>
      <c r="JHH312" s="269"/>
      <c r="JHI312" s="267"/>
      <c r="JHJ312" s="184"/>
      <c r="JHK312" s="184"/>
      <c r="JHL312" s="185"/>
      <c r="JHM312" s="184"/>
      <c r="JHN312" s="184"/>
      <c r="JHO312" s="184"/>
      <c r="JHP312" s="187"/>
      <c r="JHQ312" s="188"/>
      <c r="JHS312" s="182"/>
      <c r="JHT312" s="183"/>
      <c r="JIA312" s="267"/>
      <c r="JIB312" s="269"/>
      <c r="JIC312" s="267"/>
      <c r="JID312" s="184"/>
      <c r="JIE312" s="184"/>
      <c r="JIF312" s="185"/>
      <c r="JIG312" s="184"/>
      <c r="JIH312" s="184"/>
      <c r="JII312" s="184"/>
      <c r="JIJ312" s="187"/>
      <c r="JIK312" s="188"/>
      <c r="JIM312" s="182"/>
      <c r="JIN312" s="183"/>
      <c r="JIU312" s="267"/>
      <c r="JIV312" s="269"/>
      <c r="JIW312" s="267"/>
      <c r="JIX312" s="184"/>
      <c r="JIY312" s="184"/>
      <c r="JIZ312" s="185"/>
      <c r="JJA312" s="184"/>
      <c r="JJB312" s="184"/>
      <c r="JJC312" s="184"/>
      <c r="JJD312" s="187"/>
      <c r="JJE312" s="188"/>
      <c r="JJG312" s="182"/>
      <c r="JJH312" s="183"/>
      <c r="JJO312" s="267"/>
      <c r="JJP312" s="269"/>
      <c r="JJQ312" s="267"/>
      <c r="JJR312" s="184"/>
      <c r="JJS312" s="184"/>
      <c r="JJT312" s="185"/>
      <c r="JJU312" s="184"/>
      <c r="JJV312" s="184"/>
      <c r="JJW312" s="184"/>
      <c r="JJX312" s="187"/>
      <c r="JJY312" s="188"/>
      <c r="JKA312" s="182"/>
      <c r="JKB312" s="183"/>
      <c r="JKI312" s="267"/>
      <c r="JKJ312" s="269"/>
      <c r="JKK312" s="267"/>
      <c r="JKL312" s="184"/>
      <c r="JKM312" s="184"/>
      <c r="JKN312" s="185"/>
      <c r="JKO312" s="184"/>
      <c r="JKP312" s="184"/>
      <c r="JKQ312" s="184"/>
      <c r="JKR312" s="187"/>
      <c r="JKS312" s="188"/>
      <c r="JKU312" s="182"/>
      <c r="JKV312" s="183"/>
      <c r="JLC312" s="267"/>
      <c r="JLD312" s="269"/>
      <c r="JLE312" s="267"/>
      <c r="JLF312" s="184"/>
      <c r="JLG312" s="184"/>
      <c r="JLH312" s="185"/>
      <c r="JLI312" s="184"/>
      <c r="JLJ312" s="184"/>
      <c r="JLK312" s="184"/>
      <c r="JLL312" s="187"/>
      <c r="JLM312" s="188"/>
      <c r="JLO312" s="182"/>
      <c r="JLP312" s="183"/>
      <c r="JLW312" s="267"/>
      <c r="JLX312" s="269"/>
      <c r="JLY312" s="267"/>
      <c r="JLZ312" s="184"/>
      <c r="JMA312" s="184"/>
      <c r="JMB312" s="185"/>
      <c r="JMC312" s="184"/>
      <c r="JMD312" s="184"/>
      <c r="JME312" s="184"/>
      <c r="JMF312" s="187"/>
      <c r="JMG312" s="188"/>
      <c r="JMI312" s="182"/>
      <c r="JMJ312" s="183"/>
      <c r="JMQ312" s="267"/>
      <c r="JMR312" s="269"/>
      <c r="JMS312" s="267"/>
      <c r="JMT312" s="184"/>
      <c r="JMU312" s="184"/>
      <c r="JMV312" s="185"/>
      <c r="JMW312" s="184"/>
      <c r="JMX312" s="184"/>
      <c r="JMY312" s="184"/>
      <c r="JMZ312" s="187"/>
      <c r="JNA312" s="188"/>
      <c r="JNC312" s="182"/>
      <c r="JND312" s="183"/>
      <c r="JNK312" s="267"/>
      <c r="JNL312" s="269"/>
      <c r="JNM312" s="267"/>
      <c r="JNN312" s="184"/>
      <c r="JNO312" s="184"/>
      <c r="JNP312" s="185"/>
      <c r="JNQ312" s="184"/>
      <c r="JNR312" s="184"/>
      <c r="JNS312" s="184"/>
      <c r="JNT312" s="187"/>
      <c r="JNU312" s="188"/>
      <c r="JNW312" s="182"/>
      <c r="JNX312" s="183"/>
      <c r="JOE312" s="267"/>
      <c r="JOF312" s="269"/>
      <c r="JOG312" s="267"/>
      <c r="JOH312" s="184"/>
      <c r="JOI312" s="184"/>
      <c r="JOJ312" s="185"/>
      <c r="JOK312" s="184"/>
      <c r="JOL312" s="184"/>
      <c r="JOM312" s="184"/>
      <c r="JON312" s="187"/>
      <c r="JOO312" s="188"/>
      <c r="JOQ312" s="182"/>
      <c r="JOR312" s="183"/>
      <c r="JOY312" s="267"/>
      <c r="JOZ312" s="269"/>
      <c r="JPA312" s="267"/>
      <c r="JPB312" s="184"/>
      <c r="JPC312" s="184"/>
      <c r="JPD312" s="185"/>
      <c r="JPE312" s="184"/>
      <c r="JPF312" s="184"/>
      <c r="JPG312" s="184"/>
      <c r="JPH312" s="187"/>
      <c r="JPI312" s="188"/>
      <c r="JPK312" s="182"/>
      <c r="JPL312" s="183"/>
      <c r="JPS312" s="267"/>
      <c r="JPT312" s="269"/>
      <c r="JPU312" s="267"/>
      <c r="JPV312" s="184"/>
      <c r="JPW312" s="184"/>
      <c r="JPX312" s="185"/>
      <c r="JPY312" s="184"/>
      <c r="JPZ312" s="184"/>
      <c r="JQA312" s="184"/>
      <c r="JQB312" s="187"/>
      <c r="JQC312" s="188"/>
      <c r="JQE312" s="182"/>
      <c r="JQF312" s="183"/>
      <c r="JQM312" s="267"/>
      <c r="JQN312" s="269"/>
      <c r="JQO312" s="267"/>
      <c r="JQP312" s="184"/>
      <c r="JQQ312" s="184"/>
      <c r="JQR312" s="185"/>
      <c r="JQS312" s="184"/>
      <c r="JQT312" s="184"/>
      <c r="JQU312" s="184"/>
      <c r="JQV312" s="187"/>
      <c r="JQW312" s="188"/>
      <c r="JQY312" s="182"/>
      <c r="JQZ312" s="183"/>
      <c r="JRG312" s="267"/>
      <c r="JRH312" s="269"/>
      <c r="JRI312" s="267"/>
      <c r="JRJ312" s="184"/>
      <c r="JRK312" s="184"/>
      <c r="JRL312" s="185"/>
      <c r="JRM312" s="184"/>
      <c r="JRN312" s="184"/>
      <c r="JRO312" s="184"/>
      <c r="JRP312" s="187"/>
      <c r="JRQ312" s="188"/>
      <c r="JRS312" s="182"/>
      <c r="JRT312" s="183"/>
      <c r="JSA312" s="267"/>
      <c r="JSB312" s="269"/>
      <c r="JSC312" s="267"/>
      <c r="JSD312" s="184"/>
      <c r="JSE312" s="184"/>
      <c r="JSF312" s="185"/>
      <c r="JSG312" s="184"/>
      <c r="JSH312" s="184"/>
      <c r="JSI312" s="184"/>
      <c r="JSJ312" s="187"/>
      <c r="JSK312" s="188"/>
      <c r="JSM312" s="182"/>
      <c r="JSN312" s="183"/>
      <c r="JSU312" s="267"/>
      <c r="JSV312" s="269"/>
      <c r="JSW312" s="267"/>
      <c r="JSX312" s="184"/>
      <c r="JSY312" s="184"/>
      <c r="JSZ312" s="185"/>
      <c r="JTA312" s="184"/>
      <c r="JTB312" s="184"/>
      <c r="JTC312" s="184"/>
      <c r="JTD312" s="187"/>
      <c r="JTE312" s="188"/>
      <c r="JTG312" s="182"/>
      <c r="JTH312" s="183"/>
      <c r="JTO312" s="267"/>
      <c r="JTP312" s="269"/>
      <c r="JTQ312" s="267"/>
      <c r="JTR312" s="184"/>
      <c r="JTS312" s="184"/>
      <c r="JTT312" s="185"/>
      <c r="JTU312" s="184"/>
      <c r="JTV312" s="184"/>
      <c r="JTW312" s="184"/>
      <c r="JTX312" s="187"/>
      <c r="JTY312" s="188"/>
      <c r="JUA312" s="182"/>
      <c r="JUB312" s="183"/>
      <c r="JUI312" s="267"/>
      <c r="JUJ312" s="269"/>
      <c r="JUK312" s="267"/>
      <c r="JUL312" s="184"/>
      <c r="JUM312" s="184"/>
      <c r="JUN312" s="185"/>
      <c r="JUO312" s="184"/>
      <c r="JUP312" s="184"/>
      <c r="JUQ312" s="184"/>
      <c r="JUR312" s="187"/>
      <c r="JUS312" s="188"/>
      <c r="JUU312" s="182"/>
      <c r="JUV312" s="183"/>
      <c r="JVC312" s="267"/>
      <c r="JVD312" s="269"/>
      <c r="JVE312" s="267"/>
      <c r="JVF312" s="184"/>
      <c r="JVG312" s="184"/>
      <c r="JVH312" s="185"/>
      <c r="JVI312" s="184"/>
      <c r="JVJ312" s="184"/>
      <c r="JVK312" s="184"/>
      <c r="JVL312" s="187"/>
      <c r="JVM312" s="188"/>
      <c r="JVO312" s="182"/>
      <c r="JVP312" s="183"/>
      <c r="JVW312" s="267"/>
      <c r="JVX312" s="269"/>
      <c r="JVY312" s="267"/>
      <c r="JVZ312" s="184"/>
      <c r="JWA312" s="184"/>
      <c r="JWB312" s="185"/>
      <c r="JWC312" s="184"/>
      <c r="JWD312" s="184"/>
      <c r="JWE312" s="184"/>
      <c r="JWF312" s="187"/>
      <c r="JWG312" s="188"/>
      <c r="JWI312" s="182"/>
      <c r="JWJ312" s="183"/>
      <c r="JWQ312" s="267"/>
      <c r="JWR312" s="269"/>
      <c r="JWS312" s="267"/>
      <c r="JWT312" s="184"/>
      <c r="JWU312" s="184"/>
      <c r="JWV312" s="185"/>
      <c r="JWW312" s="184"/>
      <c r="JWX312" s="184"/>
      <c r="JWY312" s="184"/>
      <c r="JWZ312" s="187"/>
      <c r="JXA312" s="188"/>
      <c r="JXC312" s="182"/>
      <c r="JXD312" s="183"/>
      <c r="JXK312" s="267"/>
      <c r="JXL312" s="269"/>
      <c r="JXM312" s="267"/>
      <c r="JXN312" s="184"/>
      <c r="JXO312" s="184"/>
      <c r="JXP312" s="185"/>
      <c r="JXQ312" s="184"/>
      <c r="JXR312" s="184"/>
      <c r="JXS312" s="184"/>
      <c r="JXT312" s="187"/>
      <c r="JXU312" s="188"/>
      <c r="JXW312" s="182"/>
      <c r="JXX312" s="183"/>
      <c r="JYE312" s="267"/>
      <c r="JYF312" s="269"/>
      <c r="JYG312" s="267"/>
      <c r="JYH312" s="184"/>
      <c r="JYI312" s="184"/>
      <c r="JYJ312" s="185"/>
      <c r="JYK312" s="184"/>
      <c r="JYL312" s="184"/>
      <c r="JYM312" s="184"/>
      <c r="JYN312" s="187"/>
      <c r="JYO312" s="188"/>
      <c r="JYQ312" s="182"/>
      <c r="JYR312" s="183"/>
      <c r="JYY312" s="267"/>
      <c r="JYZ312" s="269"/>
      <c r="JZA312" s="267"/>
      <c r="JZB312" s="184"/>
      <c r="JZC312" s="184"/>
      <c r="JZD312" s="185"/>
      <c r="JZE312" s="184"/>
      <c r="JZF312" s="184"/>
      <c r="JZG312" s="184"/>
      <c r="JZH312" s="187"/>
      <c r="JZI312" s="188"/>
      <c r="JZK312" s="182"/>
      <c r="JZL312" s="183"/>
      <c r="JZS312" s="267"/>
      <c r="JZT312" s="269"/>
      <c r="JZU312" s="267"/>
      <c r="JZV312" s="184"/>
      <c r="JZW312" s="184"/>
      <c r="JZX312" s="185"/>
      <c r="JZY312" s="184"/>
      <c r="JZZ312" s="184"/>
      <c r="KAA312" s="184"/>
      <c r="KAB312" s="187"/>
      <c r="KAC312" s="188"/>
      <c r="KAE312" s="182"/>
      <c r="KAF312" s="183"/>
      <c r="KAM312" s="267"/>
      <c r="KAN312" s="269"/>
      <c r="KAO312" s="267"/>
      <c r="KAP312" s="184"/>
      <c r="KAQ312" s="184"/>
      <c r="KAR312" s="185"/>
      <c r="KAS312" s="184"/>
      <c r="KAT312" s="184"/>
      <c r="KAU312" s="184"/>
      <c r="KAV312" s="187"/>
      <c r="KAW312" s="188"/>
      <c r="KAY312" s="182"/>
      <c r="KAZ312" s="183"/>
      <c r="KBG312" s="267"/>
      <c r="KBH312" s="269"/>
      <c r="KBI312" s="267"/>
      <c r="KBJ312" s="184"/>
      <c r="KBK312" s="184"/>
      <c r="KBL312" s="185"/>
      <c r="KBM312" s="184"/>
      <c r="KBN312" s="184"/>
      <c r="KBO312" s="184"/>
      <c r="KBP312" s="187"/>
      <c r="KBQ312" s="188"/>
      <c r="KBS312" s="182"/>
      <c r="KBT312" s="183"/>
      <c r="KCA312" s="267"/>
      <c r="KCB312" s="269"/>
      <c r="KCC312" s="267"/>
      <c r="KCD312" s="184"/>
      <c r="KCE312" s="184"/>
      <c r="KCF312" s="185"/>
      <c r="KCG312" s="184"/>
      <c r="KCH312" s="184"/>
      <c r="KCI312" s="184"/>
      <c r="KCJ312" s="187"/>
      <c r="KCK312" s="188"/>
      <c r="KCM312" s="182"/>
      <c r="KCN312" s="183"/>
      <c r="KCU312" s="267"/>
      <c r="KCV312" s="269"/>
      <c r="KCW312" s="267"/>
      <c r="KCX312" s="184"/>
      <c r="KCY312" s="184"/>
      <c r="KCZ312" s="185"/>
      <c r="KDA312" s="184"/>
      <c r="KDB312" s="184"/>
      <c r="KDC312" s="184"/>
      <c r="KDD312" s="187"/>
      <c r="KDE312" s="188"/>
      <c r="KDG312" s="182"/>
      <c r="KDH312" s="183"/>
      <c r="KDO312" s="267"/>
      <c r="KDP312" s="269"/>
      <c r="KDQ312" s="267"/>
      <c r="KDR312" s="184"/>
      <c r="KDS312" s="184"/>
      <c r="KDT312" s="185"/>
      <c r="KDU312" s="184"/>
      <c r="KDV312" s="184"/>
      <c r="KDW312" s="184"/>
      <c r="KDX312" s="187"/>
      <c r="KDY312" s="188"/>
      <c r="KEA312" s="182"/>
      <c r="KEB312" s="183"/>
      <c r="KEI312" s="267"/>
      <c r="KEJ312" s="269"/>
      <c r="KEK312" s="267"/>
      <c r="KEL312" s="184"/>
      <c r="KEM312" s="184"/>
      <c r="KEN312" s="185"/>
      <c r="KEO312" s="184"/>
      <c r="KEP312" s="184"/>
      <c r="KEQ312" s="184"/>
      <c r="KER312" s="187"/>
      <c r="KES312" s="188"/>
      <c r="KEU312" s="182"/>
      <c r="KEV312" s="183"/>
      <c r="KFC312" s="267"/>
      <c r="KFD312" s="269"/>
      <c r="KFE312" s="267"/>
      <c r="KFF312" s="184"/>
      <c r="KFG312" s="184"/>
      <c r="KFH312" s="185"/>
      <c r="KFI312" s="184"/>
      <c r="KFJ312" s="184"/>
      <c r="KFK312" s="184"/>
      <c r="KFL312" s="187"/>
      <c r="KFM312" s="188"/>
      <c r="KFO312" s="182"/>
      <c r="KFP312" s="183"/>
      <c r="KFW312" s="267"/>
      <c r="KFX312" s="269"/>
      <c r="KFY312" s="267"/>
      <c r="KFZ312" s="184"/>
      <c r="KGA312" s="184"/>
      <c r="KGB312" s="185"/>
      <c r="KGC312" s="184"/>
      <c r="KGD312" s="184"/>
      <c r="KGE312" s="184"/>
      <c r="KGF312" s="187"/>
      <c r="KGG312" s="188"/>
      <c r="KGI312" s="182"/>
      <c r="KGJ312" s="183"/>
      <c r="KGQ312" s="267"/>
      <c r="KGR312" s="269"/>
      <c r="KGS312" s="267"/>
      <c r="KGT312" s="184"/>
      <c r="KGU312" s="184"/>
      <c r="KGV312" s="185"/>
      <c r="KGW312" s="184"/>
      <c r="KGX312" s="184"/>
      <c r="KGY312" s="184"/>
      <c r="KGZ312" s="187"/>
      <c r="KHA312" s="188"/>
      <c r="KHC312" s="182"/>
      <c r="KHD312" s="183"/>
      <c r="KHK312" s="267"/>
      <c r="KHL312" s="269"/>
      <c r="KHM312" s="267"/>
      <c r="KHN312" s="184"/>
      <c r="KHO312" s="184"/>
      <c r="KHP312" s="185"/>
      <c r="KHQ312" s="184"/>
      <c r="KHR312" s="184"/>
      <c r="KHS312" s="184"/>
      <c r="KHT312" s="187"/>
      <c r="KHU312" s="188"/>
      <c r="KHW312" s="182"/>
      <c r="KHX312" s="183"/>
      <c r="KIE312" s="267"/>
      <c r="KIF312" s="269"/>
      <c r="KIG312" s="267"/>
      <c r="KIH312" s="184"/>
      <c r="KII312" s="184"/>
      <c r="KIJ312" s="185"/>
      <c r="KIK312" s="184"/>
      <c r="KIL312" s="184"/>
      <c r="KIM312" s="184"/>
      <c r="KIN312" s="187"/>
      <c r="KIO312" s="188"/>
      <c r="KIQ312" s="182"/>
      <c r="KIR312" s="183"/>
      <c r="KIY312" s="267"/>
      <c r="KIZ312" s="269"/>
      <c r="KJA312" s="267"/>
      <c r="KJB312" s="184"/>
      <c r="KJC312" s="184"/>
      <c r="KJD312" s="185"/>
      <c r="KJE312" s="184"/>
      <c r="KJF312" s="184"/>
      <c r="KJG312" s="184"/>
      <c r="KJH312" s="187"/>
      <c r="KJI312" s="188"/>
      <c r="KJK312" s="182"/>
      <c r="KJL312" s="183"/>
      <c r="KJS312" s="267"/>
      <c r="KJT312" s="269"/>
      <c r="KJU312" s="267"/>
      <c r="KJV312" s="184"/>
      <c r="KJW312" s="184"/>
      <c r="KJX312" s="185"/>
      <c r="KJY312" s="184"/>
      <c r="KJZ312" s="184"/>
      <c r="KKA312" s="184"/>
      <c r="KKB312" s="187"/>
      <c r="KKC312" s="188"/>
      <c r="KKE312" s="182"/>
      <c r="KKF312" s="183"/>
      <c r="KKM312" s="267"/>
      <c r="KKN312" s="269"/>
      <c r="KKO312" s="267"/>
      <c r="KKP312" s="184"/>
      <c r="KKQ312" s="184"/>
      <c r="KKR312" s="185"/>
      <c r="KKS312" s="184"/>
      <c r="KKT312" s="184"/>
      <c r="KKU312" s="184"/>
      <c r="KKV312" s="187"/>
      <c r="KKW312" s="188"/>
      <c r="KKY312" s="182"/>
      <c r="KKZ312" s="183"/>
      <c r="KLG312" s="267"/>
      <c r="KLH312" s="269"/>
      <c r="KLI312" s="267"/>
      <c r="KLJ312" s="184"/>
      <c r="KLK312" s="184"/>
      <c r="KLL312" s="185"/>
      <c r="KLM312" s="184"/>
      <c r="KLN312" s="184"/>
      <c r="KLO312" s="184"/>
      <c r="KLP312" s="187"/>
      <c r="KLQ312" s="188"/>
      <c r="KLS312" s="182"/>
      <c r="KLT312" s="183"/>
      <c r="KMA312" s="267"/>
      <c r="KMB312" s="269"/>
      <c r="KMC312" s="267"/>
      <c r="KMD312" s="184"/>
      <c r="KME312" s="184"/>
      <c r="KMF312" s="185"/>
      <c r="KMG312" s="184"/>
      <c r="KMH312" s="184"/>
      <c r="KMI312" s="184"/>
      <c r="KMJ312" s="187"/>
      <c r="KMK312" s="188"/>
      <c r="KMM312" s="182"/>
      <c r="KMN312" s="183"/>
      <c r="KMU312" s="267"/>
      <c r="KMV312" s="269"/>
      <c r="KMW312" s="267"/>
      <c r="KMX312" s="184"/>
      <c r="KMY312" s="184"/>
      <c r="KMZ312" s="185"/>
      <c r="KNA312" s="184"/>
      <c r="KNB312" s="184"/>
      <c r="KNC312" s="184"/>
      <c r="KND312" s="187"/>
      <c r="KNE312" s="188"/>
      <c r="KNG312" s="182"/>
      <c r="KNH312" s="183"/>
      <c r="KNO312" s="267"/>
      <c r="KNP312" s="269"/>
      <c r="KNQ312" s="267"/>
      <c r="KNR312" s="184"/>
      <c r="KNS312" s="184"/>
      <c r="KNT312" s="185"/>
      <c r="KNU312" s="184"/>
      <c r="KNV312" s="184"/>
      <c r="KNW312" s="184"/>
      <c r="KNX312" s="187"/>
      <c r="KNY312" s="188"/>
      <c r="KOA312" s="182"/>
      <c r="KOB312" s="183"/>
      <c r="KOI312" s="267"/>
      <c r="KOJ312" s="269"/>
      <c r="KOK312" s="267"/>
      <c r="KOL312" s="184"/>
      <c r="KOM312" s="184"/>
      <c r="KON312" s="185"/>
      <c r="KOO312" s="184"/>
      <c r="KOP312" s="184"/>
      <c r="KOQ312" s="184"/>
      <c r="KOR312" s="187"/>
      <c r="KOS312" s="188"/>
      <c r="KOU312" s="182"/>
      <c r="KOV312" s="183"/>
      <c r="KPC312" s="267"/>
      <c r="KPD312" s="269"/>
      <c r="KPE312" s="267"/>
      <c r="KPF312" s="184"/>
      <c r="KPG312" s="184"/>
      <c r="KPH312" s="185"/>
      <c r="KPI312" s="184"/>
      <c r="KPJ312" s="184"/>
      <c r="KPK312" s="184"/>
      <c r="KPL312" s="187"/>
      <c r="KPM312" s="188"/>
      <c r="KPO312" s="182"/>
      <c r="KPP312" s="183"/>
      <c r="KPW312" s="267"/>
      <c r="KPX312" s="269"/>
      <c r="KPY312" s="267"/>
      <c r="KPZ312" s="184"/>
      <c r="KQA312" s="184"/>
      <c r="KQB312" s="185"/>
      <c r="KQC312" s="184"/>
      <c r="KQD312" s="184"/>
      <c r="KQE312" s="184"/>
      <c r="KQF312" s="187"/>
      <c r="KQG312" s="188"/>
      <c r="KQI312" s="182"/>
      <c r="KQJ312" s="183"/>
      <c r="KQQ312" s="267"/>
      <c r="KQR312" s="269"/>
      <c r="KQS312" s="267"/>
      <c r="KQT312" s="184"/>
      <c r="KQU312" s="184"/>
      <c r="KQV312" s="185"/>
      <c r="KQW312" s="184"/>
      <c r="KQX312" s="184"/>
      <c r="KQY312" s="184"/>
      <c r="KQZ312" s="187"/>
      <c r="KRA312" s="188"/>
      <c r="KRC312" s="182"/>
      <c r="KRD312" s="183"/>
      <c r="KRK312" s="267"/>
      <c r="KRL312" s="269"/>
      <c r="KRM312" s="267"/>
      <c r="KRN312" s="184"/>
      <c r="KRO312" s="184"/>
      <c r="KRP312" s="185"/>
      <c r="KRQ312" s="184"/>
      <c r="KRR312" s="184"/>
      <c r="KRS312" s="184"/>
      <c r="KRT312" s="187"/>
      <c r="KRU312" s="188"/>
      <c r="KRW312" s="182"/>
      <c r="KRX312" s="183"/>
      <c r="KSE312" s="267"/>
      <c r="KSF312" s="269"/>
      <c r="KSG312" s="267"/>
      <c r="KSH312" s="184"/>
      <c r="KSI312" s="184"/>
      <c r="KSJ312" s="185"/>
      <c r="KSK312" s="184"/>
      <c r="KSL312" s="184"/>
      <c r="KSM312" s="184"/>
      <c r="KSN312" s="187"/>
      <c r="KSO312" s="188"/>
      <c r="KSQ312" s="182"/>
      <c r="KSR312" s="183"/>
      <c r="KSY312" s="267"/>
      <c r="KSZ312" s="269"/>
      <c r="KTA312" s="267"/>
      <c r="KTB312" s="184"/>
      <c r="KTC312" s="184"/>
      <c r="KTD312" s="185"/>
      <c r="KTE312" s="184"/>
      <c r="KTF312" s="184"/>
      <c r="KTG312" s="184"/>
      <c r="KTH312" s="187"/>
      <c r="KTI312" s="188"/>
      <c r="KTK312" s="182"/>
      <c r="KTL312" s="183"/>
      <c r="KTS312" s="267"/>
      <c r="KTT312" s="269"/>
      <c r="KTU312" s="267"/>
      <c r="KTV312" s="184"/>
      <c r="KTW312" s="184"/>
      <c r="KTX312" s="185"/>
      <c r="KTY312" s="184"/>
      <c r="KTZ312" s="184"/>
      <c r="KUA312" s="184"/>
      <c r="KUB312" s="187"/>
      <c r="KUC312" s="188"/>
      <c r="KUE312" s="182"/>
      <c r="KUF312" s="183"/>
      <c r="KUM312" s="267"/>
      <c r="KUN312" s="269"/>
      <c r="KUO312" s="267"/>
      <c r="KUP312" s="184"/>
      <c r="KUQ312" s="184"/>
      <c r="KUR312" s="185"/>
      <c r="KUS312" s="184"/>
      <c r="KUT312" s="184"/>
      <c r="KUU312" s="184"/>
      <c r="KUV312" s="187"/>
      <c r="KUW312" s="188"/>
      <c r="KUY312" s="182"/>
      <c r="KUZ312" s="183"/>
      <c r="KVG312" s="267"/>
      <c r="KVH312" s="269"/>
      <c r="KVI312" s="267"/>
      <c r="KVJ312" s="184"/>
      <c r="KVK312" s="184"/>
      <c r="KVL312" s="185"/>
      <c r="KVM312" s="184"/>
      <c r="KVN312" s="184"/>
      <c r="KVO312" s="184"/>
      <c r="KVP312" s="187"/>
      <c r="KVQ312" s="188"/>
      <c r="KVS312" s="182"/>
      <c r="KVT312" s="183"/>
      <c r="KWA312" s="267"/>
      <c r="KWB312" s="269"/>
      <c r="KWC312" s="267"/>
      <c r="KWD312" s="184"/>
      <c r="KWE312" s="184"/>
      <c r="KWF312" s="185"/>
      <c r="KWG312" s="184"/>
      <c r="KWH312" s="184"/>
      <c r="KWI312" s="184"/>
      <c r="KWJ312" s="187"/>
      <c r="KWK312" s="188"/>
      <c r="KWM312" s="182"/>
      <c r="KWN312" s="183"/>
      <c r="KWU312" s="267"/>
      <c r="KWV312" s="269"/>
      <c r="KWW312" s="267"/>
      <c r="KWX312" s="184"/>
      <c r="KWY312" s="184"/>
      <c r="KWZ312" s="185"/>
      <c r="KXA312" s="184"/>
      <c r="KXB312" s="184"/>
      <c r="KXC312" s="184"/>
      <c r="KXD312" s="187"/>
      <c r="KXE312" s="188"/>
      <c r="KXG312" s="182"/>
      <c r="KXH312" s="183"/>
      <c r="KXO312" s="267"/>
      <c r="KXP312" s="269"/>
      <c r="KXQ312" s="267"/>
      <c r="KXR312" s="184"/>
      <c r="KXS312" s="184"/>
      <c r="KXT312" s="185"/>
      <c r="KXU312" s="184"/>
      <c r="KXV312" s="184"/>
      <c r="KXW312" s="184"/>
      <c r="KXX312" s="187"/>
      <c r="KXY312" s="188"/>
      <c r="KYA312" s="182"/>
      <c r="KYB312" s="183"/>
      <c r="KYI312" s="267"/>
      <c r="KYJ312" s="269"/>
      <c r="KYK312" s="267"/>
      <c r="KYL312" s="184"/>
      <c r="KYM312" s="184"/>
      <c r="KYN312" s="185"/>
      <c r="KYO312" s="184"/>
      <c r="KYP312" s="184"/>
      <c r="KYQ312" s="184"/>
      <c r="KYR312" s="187"/>
      <c r="KYS312" s="188"/>
      <c r="KYU312" s="182"/>
      <c r="KYV312" s="183"/>
      <c r="KZC312" s="267"/>
      <c r="KZD312" s="269"/>
      <c r="KZE312" s="267"/>
      <c r="KZF312" s="184"/>
      <c r="KZG312" s="184"/>
      <c r="KZH312" s="185"/>
      <c r="KZI312" s="184"/>
      <c r="KZJ312" s="184"/>
      <c r="KZK312" s="184"/>
      <c r="KZL312" s="187"/>
      <c r="KZM312" s="188"/>
      <c r="KZO312" s="182"/>
      <c r="KZP312" s="183"/>
      <c r="KZW312" s="267"/>
      <c r="KZX312" s="269"/>
      <c r="KZY312" s="267"/>
      <c r="KZZ312" s="184"/>
      <c r="LAA312" s="184"/>
      <c r="LAB312" s="185"/>
      <c r="LAC312" s="184"/>
      <c r="LAD312" s="184"/>
      <c r="LAE312" s="184"/>
      <c r="LAF312" s="187"/>
      <c r="LAG312" s="188"/>
      <c r="LAI312" s="182"/>
      <c r="LAJ312" s="183"/>
      <c r="LAQ312" s="267"/>
      <c r="LAR312" s="269"/>
      <c r="LAS312" s="267"/>
      <c r="LAT312" s="184"/>
      <c r="LAU312" s="184"/>
      <c r="LAV312" s="185"/>
      <c r="LAW312" s="184"/>
      <c r="LAX312" s="184"/>
      <c r="LAY312" s="184"/>
      <c r="LAZ312" s="187"/>
      <c r="LBA312" s="188"/>
      <c r="LBC312" s="182"/>
      <c r="LBD312" s="183"/>
      <c r="LBK312" s="267"/>
      <c r="LBL312" s="269"/>
      <c r="LBM312" s="267"/>
      <c r="LBN312" s="184"/>
      <c r="LBO312" s="184"/>
      <c r="LBP312" s="185"/>
      <c r="LBQ312" s="184"/>
      <c r="LBR312" s="184"/>
      <c r="LBS312" s="184"/>
      <c r="LBT312" s="187"/>
      <c r="LBU312" s="188"/>
      <c r="LBW312" s="182"/>
      <c r="LBX312" s="183"/>
      <c r="LCE312" s="267"/>
      <c r="LCF312" s="269"/>
      <c r="LCG312" s="267"/>
      <c r="LCH312" s="184"/>
      <c r="LCI312" s="184"/>
      <c r="LCJ312" s="185"/>
      <c r="LCK312" s="184"/>
      <c r="LCL312" s="184"/>
      <c r="LCM312" s="184"/>
      <c r="LCN312" s="187"/>
      <c r="LCO312" s="188"/>
      <c r="LCQ312" s="182"/>
      <c r="LCR312" s="183"/>
      <c r="LCY312" s="267"/>
      <c r="LCZ312" s="269"/>
      <c r="LDA312" s="267"/>
      <c r="LDB312" s="184"/>
      <c r="LDC312" s="184"/>
      <c r="LDD312" s="185"/>
      <c r="LDE312" s="184"/>
      <c r="LDF312" s="184"/>
      <c r="LDG312" s="184"/>
      <c r="LDH312" s="187"/>
      <c r="LDI312" s="188"/>
      <c r="LDK312" s="182"/>
      <c r="LDL312" s="183"/>
      <c r="LDS312" s="267"/>
      <c r="LDT312" s="269"/>
      <c r="LDU312" s="267"/>
      <c r="LDV312" s="184"/>
      <c r="LDW312" s="184"/>
      <c r="LDX312" s="185"/>
      <c r="LDY312" s="184"/>
      <c r="LDZ312" s="184"/>
      <c r="LEA312" s="184"/>
      <c r="LEB312" s="187"/>
      <c r="LEC312" s="188"/>
      <c r="LEE312" s="182"/>
      <c r="LEF312" s="183"/>
      <c r="LEM312" s="267"/>
      <c r="LEN312" s="269"/>
      <c r="LEO312" s="267"/>
      <c r="LEP312" s="184"/>
      <c r="LEQ312" s="184"/>
      <c r="LER312" s="185"/>
      <c r="LES312" s="184"/>
      <c r="LET312" s="184"/>
      <c r="LEU312" s="184"/>
      <c r="LEV312" s="187"/>
      <c r="LEW312" s="188"/>
      <c r="LEY312" s="182"/>
      <c r="LEZ312" s="183"/>
      <c r="LFG312" s="267"/>
      <c r="LFH312" s="269"/>
      <c r="LFI312" s="267"/>
      <c r="LFJ312" s="184"/>
      <c r="LFK312" s="184"/>
      <c r="LFL312" s="185"/>
      <c r="LFM312" s="184"/>
      <c r="LFN312" s="184"/>
      <c r="LFO312" s="184"/>
      <c r="LFP312" s="187"/>
      <c r="LFQ312" s="188"/>
      <c r="LFS312" s="182"/>
      <c r="LFT312" s="183"/>
      <c r="LGA312" s="267"/>
      <c r="LGB312" s="269"/>
      <c r="LGC312" s="267"/>
      <c r="LGD312" s="184"/>
      <c r="LGE312" s="184"/>
      <c r="LGF312" s="185"/>
      <c r="LGG312" s="184"/>
      <c r="LGH312" s="184"/>
      <c r="LGI312" s="184"/>
      <c r="LGJ312" s="187"/>
      <c r="LGK312" s="188"/>
      <c r="LGM312" s="182"/>
      <c r="LGN312" s="183"/>
      <c r="LGU312" s="267"/>
      <c r="LGV312" s="269"/>
      <c r="LGW312" s="267"/>
      <c r="LGX312" s="184"/>
      <c r="LGY312" s="184"/>
      <c r="LGZ312" s="185"/>
      <c r="LHA312" s="184"/>
      <c r="LHB312" s="184"/>
      <c r="LHC312" s="184"/>
      <c r="LHD312" s="187"/>
      <c r="LHE312" s="188"/>
      <c r="LHG312" s="182"/>
      <c r="LHH312" s="183"/>
      <c r="LHO312" s="267"/>
      <c r="LHP312" s="269"/>
      <c r="LHQ312" s="267"/>
      <c r="LHR312" s="184"/>
      <c r="LHS312" s="184"/>
      <c r="LHT312" s="185"/>
      <c r="LHU312" s="184"/>
      <c r="LHV312" s="184"/>
      <c r="LHW312" s="184"/>
      <c r="LHX312" s="187"/>
      <c r="LHY312" s="188"/>
      <c r="LIA312" s="182"/>
      <c r="LIB312" s="183"/>
      <c r="LII312" s="267"/>
      <c r="LIJ312" s="269"/>
      <c r="LIK312" s="267"/>
      <c r="LIL312" s="184"/>
      <c r="LIM312" s="184"/>
      <c r="LIN312" s="185"/>
      <c r="LIO312" s="184"/>
      <c r="LIP312" s="184"/>
      <c r="LIQ312" s="184"/>
      <c r="LIR312" s="187"/>
      <c r="LIS312" s="188"/>
      <c r="LIU312" s="182"/>
      <c r="LIV312" s="183"/>
      <c r="LJC312" s="267"/>
      <c r="LJD312" s="269"/>
      <c r="LJE312" s="267"/>
      <c r="LJF312" s="184"/>
      <c r="LJG312" s="184"/>
      <c r="LJH312" s="185"/>
      <c r="LJI312" s="184"/>
      <c r="LJJ312" s="184"/>
      <c r="LJK312" s="184"/>
      <c r="LJL312" s="187"/>
      <c r="LJM312" s="188"/>
      <c r="LJO312" s="182"/>
      <c r="LJP312" s="183"/>
      <c r="LJW312" s="267"/>
      <c r="LJX312" s="269"/>
      <c r="LJY312" s="267"/>
      <c r="LJZ312" s="184"/>
      <c r="LKA312" s="184"/>
      <c r="LKB312" s="185"/>
      <c r="LKC312" s="184"/>
      <c r="LKD312" s="184"/>
      <c r="LKE312" s="184"/>
      <c r="LKF312" s="187"/>
      <c r="LKG312" s="188"/>
      <c r="LKI312" s="182"/>
      <c r="LKJ312" s="183"/>
      <c r="LKQ312" s="267"/>
      <c r="LKR312" s="269"/>
      <c r="LKS312" s="267"/>
      <c r="LKT312" s="184"/>
      <c r="LKU312" s="184"/>
      <c r="LKV312" s="185"/>
      <c r="LKW312" s="184"/>
      <c r="LKX312" s="184"/>
      <c r="LKY312" s="184"/>
      <c r="LKZ312" s="187"/>
      <c r="LLA312" s="188"/>
      <c r="LLC312" s="182"/>
      <c r="LLD312" s="183"/>
      <c r="LLK312" s="267"/>
      <c r="LLL312" s="269"/>
      <c r="LLM312" s="267"/>
      <c r="LLN312" s="184"/>
      <c r="LLO312" s="184"/>
      <c r="LLP312" s="185"/>
      <c r="LLQ312" s="184"/>
      <c r="LLR312" s="184"/>
      <c r="LLS312" s="184"/>
      <c r="LLT312" s="187"/>
      <c r="LLU312" s="188"/>
      <c r="LLW312" s="182"/>
      <c r="LLX312" s="183"/>
      <c r="LME312" s="267"/>
      <c r="LMF312" s="269"/>
      <c r="LMG312" s="267"/>
      <c r="LMH312" s="184"/>
      <c r="LMI312" s="184"/>
      <c r="LMJ312" s="185"/>
      <c r="LMK312" s="184"/>
      <c r="LML312" s="184"/>
      <c r="LMM312" s="184"/>
      <c r="LMN312" s="187"/>
      <c r="LMO312" s="188"/>
      <c r="LMQ312" s="182"/>
      <c r="LMR312" s="183"/>
      <c r="LMY312" s="267"/>
      <c r="LMZ312" s="269"/>
      <c r="LNA312" s="267"/>
      <c r="LNB312" s="184"/>
      <c r="LNC312" s="184"/>
      <c r="LND312" s="185"/>
      <c r="LNE312" s="184"/>
      <c r="LNF312" s="184"/>
      <c r="LNG312" s="184"/>
      <c r="LNH312" s="187"/>
      <c r="LNI312" s="188"/>
      <c r="LNK312" s="182"/>
      <c r="LNL312" s="183"/>
      <c r="LNS312" s="267"/>
      <c r="LNT312" s="269"/>
      <c r="LNU312" s="267"/>
      <c r="LNV312" s="184"/>
      <c r="LNW312" s="184"/>
      <c r="LNX312" s="185"/>
      <c r="LNY312" s="184"/>
      <c r="LNZ312" s="184"/>
      <c r="LOA312" s="184"/>
      <c r="LOB312" s="187"/>
      <c r="LOC312" s="188"/>
      <c r="LOE312" s="182"/>
      <c r="LOF312" s="183"/>
      <c r="LOM312" s="267"/>
      <c r="LON312" s="269"/>
      <c r="LOO312" s="267"/>
      <c r="LOP312" s="184"/>
      <c r="LOQ312" s="184"/>
      <c r="LOR312" s="185"/>
      <c r="LOS312" s="184"/>
      <c r="LOT312" s="184"/>
      <c r="LOU312" s="184"/>
      <c r="LOV312" s="187"/>
      <c r="LOW312" s="188"/>
      <c r="LOY312" s="182"/>
      <c r="LOZ312" s="183"/>
      <c r="LPG312" s="267"/>
      <c r="LPH312" s="269"/>
      <c r="LPI312" s="267"/>
      <c r="LPJ312" s="184"/>
      <c r="LPK312" s="184"/>
      <c r="LPL312" s="185"/>
      <c r="LPM312" s="184"/>
      <c r="LPN312" s="184"/>
      <c r="LPO312" s="184"/>
      <c r="LPP312" s="187"/>
      <c r="LPQ312" s="188"/>
      <c r="LPS312" s="182"/>
      <c r="LPT312" s="183"/>
      <c r="LQA312" s="267"/>
      <c r="LQB312" s="269"/>
      <c r="LQC312" s="267"/>
      <c r="LQD312" s="184"/>
      <c r="LQE312" s="184"/>
      <c r="LQF312" s="185"/>
      <c r="LQG312" s="184"/>
      <c r="LQH312" s="184"/>
      <c r="LQI312" s="184"/>
      <c r="LQJ312" s="187"/>
      <c r="LQK312" s="188"/>
      <c r="LQM312" s="182"/>
      <c r="LQN312" s="183"/>
      <c r="LQU312" s="267"/>
      <c r="LQV312" s="269"/>
      <c r="LQW312" s="267"/>
      <c r="LQX312" s="184"/>
      <c r="LQY312" s="184"/>
      <c r="LQZ312" s="185"/>
      <c r="LRA312" s="184"/>
      <c r="LRB312" s="184"/>
      <c r="LRC312" s="184"/>
      <c r="LRD312" s="187"/>
      <c r="LRE312" s="188"/>
      <c r="LRG312" s="182"/>
      <c r="LRH312" s="183"/>
      <c r="LRO312" s="267"/>
      <c r="LRP312" s="269"/>
      <c r="LRQ312" s="267"/>
      <c r="LRR312" s="184"/>
      <c r="LRS312" s="184"/>
      <c r="LRT312" s="185"/>
      <c r="LRU312" s="184"/>
      <c r="LRV312" s="184"/>
      <c r="LRW312" s="184"/>
      <c r="LRX312" s="187"/>
      <c r="LRY312" s="188"/>
      <c r="LSA312" s="182"/>
      <c r="LSB312" s="183"/>
      <c r="LSI312" s="267"/>
      <c r="LSJ312" s="269"/>
      <c r="LSK312" s="267"/>
      <c r="LSL312" s="184"/>
      <c r="LSM312" s="184"/>
      <c r="LSN312" s="185"/>
      <c r="LSO312" s="184"/>
      <c r="LSP312" s="184"/>
      <c r="LSQ312" s="184"/>
      <c r="LSR312" s="187"/>
      <c r="LSS312" s="188"/>
      <c r="LSU312" s="182"/>
      <c r="LSV312" s="183"/>
      <c r="LTC312" s="267"/>
      <c r="LTD312" s="269"/>
      <c r="LTE312" s="267"/>
      <c r="LTF312" s="184"/>
      <c r="LTG312" s="184"/>
      <c r="LTH312" s="185"/>
      <c r="LTI312" s="184"/>
      <c r="LTJ312" s="184"/>
      <c r="LTK312" s="184"/>
      <c r="LTL312" s="187"/>
      <c r="LTM312" s="188"/>
      <c r="LTO312" s="182"/>
      <c r="LTP312" s="183"/>
      <c r="LTW312" s="267"/>
      <c r="LTX312" s="269"/>
      <c r="LTY312" s="267"/>
      <c r="LTZ312" s="184"/>
      <c r="LUA312" s="184"/>
      <c r="LUB312" s="185"/>
      <c r="LUC312" s="184"/>
      <c r="LUD312" s="184"/>
      <c r="LUE312" s="184"/>
      <c r="LUF312" s="187"/>
      <c r="LUG312" s="188"/>
      <c r="LUI312" s="182"/>
      <c r="LUJ312" s="183"/>
      <c r="LUQ312" s="267"/>
      <c r="LUR312" s="269"/>
      <c r="LUS312" s="267"/>
      <c r="LUT312" s="184"/>
      <c r="LUU312" s="184"/>
      <c r="LUV312" s="185"/>
      <c r="LUW312" s="184"/>
      <c r="LUX312" s="184"/>
      <c r="LUY312" s="184"/>
      <c r="LUZ312" s="187"/>
      <c r="LVA312" s="188"/>
      <c r="LVC312" s="182"/>
      <c r="LVD312" s="183"/>
      <c r="LVK312" s="267"/>
      <c r="LVL312" s="269"/>
      <c r="LVM312" s="267"/>
      <c r="LVN312" s="184"/>
      <c r="LVO312" s="184"/>
      <c r="LVP312" s="185"/>
      <c r="LVQ312" s="184"/>
      <c r="LVR312" s="184"/>
      <c r="LVS312" s="184"/>
      <c r="LVT312" s="187"/>
      <c r="LVU312" s="188"/>
      <c r="LVW312" s="182"/>
      <c r="LVX312" s="183"/>
      <c r="LWE312" s="267"/>
      <c r="LWF312" s="269"/>
      <c r="LWG312" s="267"/>
      <c r="LWH312" s="184"/>
      <c r="LWI312" s="184"/>
      <c r="LWJ312" s="185"/>
      <c r="LWK312" s="184"/>
      <c r="LWL312" s="184"/>
      <c r="LWM312" s="184"/>
      <c r="LWN312" s="187"/>
      <c r="LWO312" s="188"/>
      <c r="LWQ312" s="182"/>
      <c r="LWR312" s="183"/>
      <c r="LWY312" s="267"/>
      <c r="LWZ312" s="269"/>
      <c r="LXA312" s="267"/>
      <c r="LXB312" s="184"/>
      <c r="LXC312" s="184"/>
      <c r="LXD312" s="185"/>
      <c r="LXE312" s="184"/>
      <c r="LXF312" s="184"/>
      <c r="LXG312" s="184"/>
      <c r="LXH312" s="187"/>
      <c r="LXI312" s="188"/>
      <c r="LXK312" s="182"/>
      <c r="LXL312" s="183"/>
      <c r="LXS312" s="267"/>
      <c r="LXT312" s="269"/>
      <c r="LXU312" s="267"/>
      <c r="LXV312" s="184"/>
      <c r="LXW312" s="184"/>
      <c r="LXX312" s="185"/>
      <c r="LXY312" s="184"/>
      <c r="LXZ312" s="184"/>
      <c r="LYA312" s="184"/>
      <c r="LYB312" s="187"/>
      <c r="LYC312" s="188"/>
      <c r="LYE312" s="182"/>
      <c r="LYF312" s="183"/>
      <c r="LYM312" s="267"/>
      <c r="LYN312" s="269"/>
      <c r="LYO312" s="267"/>
      <c r="LYP312" s="184"/>
      <c r="LYQ312" s="184"/>
      <c r="LYR312" s="185"/>
      <c r="LYS312" s="184"/>
      <c r="LYT312" s="184"/>
      <c r="LYU312" s="184"/>
      <c r="LYV312" s="187"/>
      <c r="LYW312" s="188"/>
      <c r="LYY312" s="182"/>
      <c r="LYZ312" s="183"/>
      <c r="LZG312" s="267"/>
      <c r="LZH312" s="269"/>
      <c r="LZI312" s="267"/>
      <c r="LZJ312" s="184"/>
      <c r="LZK312" s="184"/>
      <c r="LZL312" s="185"/>
      <c r="LZM312" s="184"/>
      <c r="LZN312" s="184"/>
      <c r="LZO312" s="184"/>
      <c r="LZP312" s="187"/>
      <c r="LZQ312" s="188"/>
      <c r="LZS312" s="182"/>
      <c r="LZT312" s="183"/>
      <c r="MAA312" s="267"/>
      <c r="MAB312" s="269"/>
      <c r="MAC312" s="267"/>
      <c r="MAD312" s="184"/>
      <c r="MAE312" s="184"/>
      <c r="MAF312" s="185"/>
      <c r="MAG312" s="184"/>
      <c r="MAH312" s="184"/>
      <c r="MAI312" s="184"/>
      <c r="MAJ312" s="187"/>
      <c r="MAK312" s="188"/>
      <c r="MAM312" s="182"/>
      <c r="MAN312" s="183"/>
      <c r="MAU312" s="267"/>
      <c r="MAV312" s="269"/>
      <c r="MAW312" s="267"/>
      <c r="MAX312" s="184"/>
      <c r="MAY312" s="184"/>
      <c r="MAZ312" s="185"/>
      <c r="MBA312" s="184"/>
      <c r="MBB312" s="184"/>
      <c r="MBC312" s="184"/>
      <c r="MBD312" s="187"/>
      <c r="MBE312" s="188"/>
      <c r="MBG312" s="182"/>
      <c r="MBH312" s="183"/>
      <c r="MBO312" s="267"/>
      <c r="MBP312" s="269"/>
      <c r="MBQ312" s="267"/>
      <c r="MBR312" s="184"/>
      <c r="MBS312" s="184"/>
      <c r="MBT312" s="185"/>
      <c r="MBU312" s="184"/>
      <c r="MBV312" s="184"/>
      <c r="MBW312" s="184"/>
      <c r="MBX312" s="187"/>
      <c r="MBY312" s="188"/>
      <c r="MCA312" s="182"/>
      <c r="MCB312" s="183"/>
      <c r="MCI312" s="267"/>
      <c r="MCJ312" s="269"/>
      <c r="MCK312" s="267"/>
      <c r="MCL312" s="184"/>
      <c r="MCM312" s="184"/>
      <c r="MCN312" s="185"/>
      <c r="MCO312" s="184"/>
      <c r="MCP312" s="184"/>
      <c r="MCQ312" s="184"/>
      <c r="MCR312" s="187"/>
      <c r="MCS312" s="188"/>
      <c r="MCU312" s="182"/>
      <c r="MCV312" s="183"/>
      <c r="MDC312" s="267"/>
      <c r="MDD312" s="269"/>
      <c r="MDE312" s="267"/>
      <c r="MDF312" s="184"/>
      <c r="MDG312" s="184"/>
      <c r="MDH312" s="185"/>
      <c r="MDI312" s="184"/>
      <c r="MDJ312" s="184"/>
      <c r="MDK312" s="184"/>
      <c r="MDL312" s="187"/>
      <c r="MDM312" s="188"/>
      <c r="MDO312" s="182"/>
      <c r="MDP312" s="183"/>
      <c r="MDW312" s="267"/>
      <c r="MDX312" s="269"/>
      <c r="MDY312" s="267"/>
      <c r="MDZ312" s="184"/>
      <c r="MEA312" s="184"/>
      <c r="MEB312" s="185"/>
      <c r="MEC312" s="184"/>
      <c r="MED312" s="184"/>
      <c r="MEE312" s="184"/>
      <c r="MEF312" s="187"/>
      <c r="MEG312" s="188"/>
      <c r="MEI312" s="182"/>
      <c r="MEJ312" s="183"/>
      <c r="MEQ312" s="267"/>
      <c r="MER312" s="269"/>
      <c r="MES312" s="267"/>
      <c r="MET312" s="184"/>
      <c r="MEU312" s="184"/>
      <c r="MEV312" s="185"/>
      <c r="MEW312" s="184"/>
      <c r="MEX312" s="184"/>
      <c r="MEY312" s="184"/>
      <c r="MEZ312" s="187"/>
      <c r="MFA312" s="188"/>
      <c r="MFC312" s="182"/>
      <c r="MFD312" s="183"/>
      <c r="MFK312" s="267"/>
      <c r="MFL312" s="269"/>
      <c r="MFM312" s="267"/>
      <c r="MFN312" s="184"/>
      <c r="MFO312" s="184"/>
      <c r="MFP312" s="185"/>
      <c r="MFQ312" s="184"/>
      <c r="MFR312" s="184"/>
      <c r="MFS312" s="184"/>
      <c r="MFT312" s="187"/>
      <c r="MFU312" s="188"/>
      <c r="MFW312" s="182"/>
      <c r="MFX312" s="183"/>
      <c r="MGE312" s="267"/>
      <c r="MGF312" s="269"/>
      <c r="MGG312" s="267"/>
      <c r="MGH312" s="184"/>
      <c r="MGI312" s="184"/>
      <c r="MGJ312" s="185"/>
      <c r="MGK312" s="184"/>
      <c r="MGL312" s="184"/>
      <c r="MGM312" s="184"/>
      <c r="MGN312" s="187"/>
      <c r="MGO312" s="188"/>
      <c r="MGQ312" s="182"/>
      <c r="MGR312" s="183"/>
      <c r="MGY312" s="267"/>
      <c r="MGZ312" s="269"/>
      <c r="MHA312" s="267"/>
      <c r="MHB312" s="184"/>
      <c r="MHC312" s="184"/>
      <c r="MHD312" s="185"/>
      <c r="MHE312" s="184"/>
      <c r="MHF312" s="184"/>
      <c r="MHG312" s="184"/>
      <c r="MHH312" s="187"/>
      <c r="MHI312" s="188"/>
      <c r="MHK312" s="182"/>
      <c r="MHL312" s="183"/>
      <c r="MHS312" s="267"/>
      <c r="MHT312" s="269"/>
      <c r="MHU312" s="267"/>
      <c r="MHV312" s="184"/>
      <c r="MHW312" s="184"/>
      <c r="MHX312" s="185"/>
      <c r="MHY312" s="184"/>
      <c r="MHZ312" s="184"/>
      <c r="MIA312" s="184"/>
      <c r="MIB312" s="187"/>
      <c r="MIC312" s="188"/>
      <c r="MIE312" s="182"/>
      <c r="MIF312" s="183"/>
      <c r="MIM312" s="267"/>
      <c r="MIN312" s="269"/>
      <c r="MIO312" s="267"/>
      <c r="MIP312" s="184"/>
      <c r="MIQ312" s="184"/>
      <c r="MIR312" s="185"/>
      <c r="MIS312" s="184"/>
      <c r="MIT312" s="184"/>
      <c r="MIU312" s="184"/>
      <c r="MIV312" s="187"/>
      <c r="MIW312" s="188"/>
      <c r="MIY312" s="182"/>
      <c r="MIZ312" s="183"/>
      <c r="MJG312" s="267"/>
      <c r="MJH312" s="269"/>
      <c r="MJI312" s="267"/>
      <c r="MJJ312" s="184"/>
      <c r="MJK312" s="184"/>
      <c r="MJL312" s="185"/>
      <c r="MJM312" s="184"/>
      <c r="MJN312" s="184"/>
      <c r="MJO312" s="184"/>
      <c r="MJP312" s="187"/>
      <c r="MJQ312" s="188"/>
      <c r="MJS312" s="182"/>
      <c r="MJT312" s="183"/>
      <c r="MKA312" s="267"/>
      <c r="MKB312" s="269"/>
      <c r="MKC312" s="267"/>
      <c r="MKD312" s="184"/>
      <c r="MKE312" s="184"/>
      <c r="MKF312" s="185"/>
      <c r="MKG312" s="184"/>
      <c r="MKH312" s="184"/>
      <c r="MKI312" s="184"/>
      <c r="MKJ312" s="187"/>
      <c r="MKK312" s="188"/>
      <c r="MKM312" s="182"/>
      <c r="MKN312" s="183"/>
      <c r="MKU312" s="267"/>
      <c r="MKV312" s="269"/>
      <c r="MKW312" s="267"/>
      <c r="MKX312" s="184"/>
      <c r="MKY312" s="184"/>
      <c r="MKZ312" s="185"/>
      <c r="MLA312" s="184"/>
      <c r="MLB312" s="184"/>
      <c r="MLC312" s="184"/>
      <c r="MLD312" s="187"/>
      <c r="MLE312" s="188"/>
      <c r="MLG312" s="182"/>
      <c r="MLH312" s="183"/>
      <c r="MLO312" s="267"/>
      <c r="MLP312" s="269"/>
      <c r="MLQ312" s="267"/>
      <c r="MLR312" s="184"/>
      <c r="MLS312" s="184"/>
      <c r="MLT312" s="185"/>
      <c r="MLU312" s="184"/>
      <c r="MLV312" s="184"/>
      <c r="MLW312" s="184"/>
      <c r="MLX312" s="187"/>
      <c r="MLY312" s="188"/>
      <c r="MMA312" s="182"/>
      <c r="MMB312" s="183"/>
      <c r="MMI312" s="267"/>
      <c r="MMJ312" s="269"/>
      <c r="MMK312" s="267"/>
      <c r="MML312" s="184"/>
      <c r="MMM312" s="184"/>
      <c r="MMN312" s="185"/>
      <c r="MMO312" s="184"/>
      <c r="MMP312" s="184"/>
      <c r="MMQ312" s="184"/>
      <c r="MMR312" s="187"/>
      <c r="MMS312" s="188"/>
      <c r="MMU312" s="182"/>
      <c r="MMV312" s="183"/>
      <c r="MNC312" s="267"/>
      <c r="MND312" s="269"/>
      <c r="MNE312" s="267"/>
      <c r="MNF312" s="184"/>
      <c r="MNG312" s="184"/>
      <c r="MNH312" s="185"/>
      <c r="MNI312" s="184"/>
      <c r="MNJ312" s="184"/>
      <c r="MNK312" s="184"/>
      <c r="MNL312" s="187"/>
      <c r="MNM312" s="188"/>
      <c r="MNO312" s="182"/>
      <c r="MNP312" s="183"/>
      <c r="MNW312" s="267"/>
      <c r="MNX312" s="269"/>
      <c r="MNY312" s="267"/>
      <c r="MNZ312" s="184"/>
      <c r="MOA312" s="184"/>
      <c r="MOB312" s="185"/>
      <c r="MOC312" s="184"/>
      <c r="MOD312" s="184"/>
      <c r="MOE312" s="184"/>
      <c r="MOF312" s="187"/>
      <c r="MOG312" s="188"/>
      <c r="MOI312" s="182"/>
      <c r="MOJ312" s="183"/>
      <c r="MOQ312" s="267"/>
      <c r="MOR312" s="269"/>
      <c r="MOS312" s="267"/>
      <c r="MOT312" s="184"/>
      <c r="MOU312" s="184"/>
      <c r="MOV312" s="185"/>
      <c r="MOW312" s="184"/>
      <c r="MOX312" s="184"/>
      <c r="MOY312" s="184"/>
      <c r="MOZ312" s="187"/>
      <c r="MPA312" s="188"/>
      <c r="MPC312" s="182"/>
      <c r="MPD312" s="183"/>
      <c r="MPK312" s="267"/>
      <c r="MPL312" s="269"/>
      <c r="MPM312" s="267"/>
      <c r="MPN312" s="184"/>
      <c r="MPO312" s="184"/>
      <c r="MPP312" s="185"/>
      <c r="MPQ312" s="184"/>
      <c r="MPR312" s="184"/>
      <c r="MPS312" s="184"/>
      <c r="MPT312" s="187"/>
      <c r="MPU312" s="188"/>
      <c r="MPW312" s="182"/>
      <c r="MPX312" s="183"/>
      <c r="MQE312" s="267"/>
      <c r="MQF312" s="269"/>
      <c r="MQG312" s="267"/>
      <c r="MQH312" s="184"/>
      <c r="MQI312" s="184"/>
      <c r="MQJ312" s="185"/>
      <c r="MQK312" s="184"/>
      <c r="MQL312" s="184"/>
      <c r="MQM312" s="184"/>
      <c r="MQN312" s="187"/>
      <c r="MQO312" s="188"/>
      <c r="MQQ312" s="182"/>
      <c r="MQR312" s="183"/>
      <c r="MQY312" s="267"/>
      <c r="MQZ312" s="269"/>
      <c r="MRA312" s="267"/>
      <c r="MRB312" s="184"/>
      <c r="MRC312" s="184"/>
      <c r="MRD312" s="185"/>
      <c r="MRE312" s="184"/>
      <c r="MRF312" s="184"/>
      <c r="MRG312" s="184"/>
      <c r="MRH312" s="187"/>
      <c r="MRI312" s="188"/>
      <c r="MRK312" s="182"/>
      <c r="MRL312" s="183"/>
      <c r="MRS312" s="267"/>
      <c r="MRT312" s="269"/>
      <c r="MRU312" s="267"/>
      <c r="MRV312" s="184"/>
      <c r="MRW312" s="184"/>
      <c r="MRX312" s="185"/>
      <c r="MRY312" s="184"/>
      <c r="MRZ312" s="184"/>
      <c r="MSA312" s="184"/>
      <c r="MSB312" s="187"/>
      <c r="MSC312" s="188"/>
      <c r="MSE312" s="182"/>
      <c r="MSF312" s="183"/>
      <c r="MSM312" s="267"/>
      <c r="MSN312" s="269"/>
      <c r="MSO312" s="267"/>
      <c r="MSP312" s="184"/>
      <c r="MSQ312" s="184"/>
      <c r="MSR312" s="185"/>
      <c r="MSS312" s="184"/>
      <c r="MST312" s="184"/>
      <c r="MSU312" s="184"/>
      <c r="MSV312" s="187"/>
      <c r="MSW312" s="188"/>
      <c r="MSY312" s="182"/>
      <c r="MSZ312" s="183"/>
      <c r="MTG312" s="267"/>
      <c r="MTH312" s="269"/>
      <c r="MTI312" s="267"/>
      <c r="MTJ312" s="184"/>
      <c r="MTK312" s="184"/>
      <c r="MTL312" s="185"/>
      <c r="MTM312" s="184"/>
      <c r="MTN312" s="184"/>
      <c r="MTO312" s="184"/>
      <c r="MTP312" s="187"/>
      <c r="MTQ312" s="188"/>
      <c r="MTS312" s="182"/>
      <c r="MTT312" s="183"/>
      <c r="MUA312" s="267"/>
      <c r="MUB312" s="269"/>
      <c r="MUC312" s="267"/>
      <c r="MUD312" s="184"/>
      <c r="MUE312" s="184"/>
      <c r="MUF312" s="185"/>
      <c r="MUG312" s="184"/>
      <c r="MUH312" s="184"/>
      <c r="MUI312" s="184"/>
      <c r="MUJ312" s="187"/>
      <c r="MUK312" s="188"/>
      <c r="MUM312" s="182"/>
      <c r="MUN312" s="183"/>
      <c r="MUU312" s="267"/>
      <c r="MUV312" s="269"/>
      <c r="MUW312" s="267"/>
      <c r="MUX312" s="184"/>
      <c r="MUY312" s="184"/>
      <c r="MUZ312" s="185"/>
      <c r="MVA312" s="184"/>
      <c r="MVB312" s="184"/>
      <c r="MVC312" s="184"/>
      <c r="MVD312" s="187"/>
      <c r="MVE312" s="188"/>
      <c r="MVG312" s="182"/>
      <c r="MVH312" s="183"/>
      <c r="MVO312" s="267"/>
      <c r="MVP312" s="269"/>
      <c r="MVQ312" s="267"/>
      <c r="MVR312" s="184"/>
      <c r="MVS312" s="184"/>
      <c r="MVT312" s="185"/>
      <c r="MVU312" s="184"/>
      <c r="MVV312" s="184"/>
      <c r="MVW312" s="184"/>
      <c r="MVX312" s="187"/>
      <c r="MVY312" s="188"/>
      <c r="MWA312" s="182"/>
      <c r="MWB312" s="183"/>
      <c r="MWI312" s="267"/>
      <c r="MWJ312" s="269"/>
      <c r="MWK312" s="267"/>
      <c r="MWL312" s="184"/>
      <c r="MWM312" s="184"/>
      <c r="MWN312" s="185"/>
      <c r="MWO312" s="184"/>
      <c r="MWP312" s="184"/>
      <c r="MWQ312" s="184"/>
      <c r="MWR312" s="187"/>
      <c r="MWS312" s="188"/>
      <c r="MWU312" s="182"/>
      <c r="MWV312" s="183"/>
      <c r="MXC312" s="267"/>
      <c r="MXD312" s="269"/>
      <c r="MXE312" s="267"/>
      <c r="MXF312" s="184"/>
      <c r="MXG312" s="184"/>
      <c r="MXH312" s="185"/>
      <c r="MXI312" s="184"/>
      <c r="MXJ312" s="184"/>
      <c r="MXK312" s="184"/>
      <c r="MXL312" s="187"/>
      <c r="MXM312" s="188"/>
      <c r="MXO312" s="182"/>
      <c r="MXP312" s="183"/>
      <c r="MXW312" s="267"/>
      <c r="MXX312" s="269"/>
      <c r="MXY312" s="267"/>
      <c r="MXZ312" s="184"/>
      <c r="MYA312" s="184"/>
      <c r="MYB312" s="185"/>
      <c r="MYC312" s="184"/>
      <c r="MYD312" s="184"/>
      <c r="MYE312" s="184"/>
      <c r="MYF312" s="187"/>
      <c r="MYG312" s="188"/>
      <c r="MYI312" s="182"/>
      <c r="MYJ312" s="183"/>
      <c r="MYQ312" s="267"/>
      <c r="MYR312" s="269"/>
      <c r="MYS312" s="267"/>
      <c r="MYT312" s="184"/>
      <c r="MYU312" s="184"/>
      <c r="MYV312" s="185"/>
      <c r="MYW312" s="184"/>
      <c r="MYX312" s="184"/>
      <c r="MYY312" s="184"/>
      <c r="MYZ312" s="187"/>
      <c r="MZA312" s="188"/>
      <c r="MZC312" s="182"/>
      <c r="MZD312" s="183"/>
      <c r="MZK312" s="267"/>
      <c r="MZL312" s="269"/>
      <c r="MZM312" s="267"/>
      <c r="MZN312" s="184"/>
      <c r="MZO312" s="184"/>
      <c r="MZP312" s="185"/>
      <c r="MZQ312" s="184"/>
      <c r="MZR312" s="184"/>
      <c r="MZS312" s="184"/>
      <c r="MZT312" s="187"/>
      <c r="MZU312" s="188"/>
      <c r="MZW312" s="182"/>
      <c r="MZX312" s="183"/>
      <c r="NAE312" s="267"/>
      <c r="NAF312" s="269"/>
      <c r="NAG312" s="267"/>
      <c r="NAH312" s="184"/>
      <c r="NAI312" s="184"/>
      <c r="NAJ312" s="185"/>
      <c r="NAK312" s="184"/>
      <c r="NAL312" s="184"/>
      <c r="NAM312" s="184"/>
      <c r="NAN312" s="187"/>
      <c r="NAO312" s="188"/>
      <c r="NAQ312" s="182"/>
      <c r="NAR312" s="183"/>
      <c r="NAY312" s="267"/>
      <c r="NAZ312" s="269"/>
      <c r="NBA312" s="267"/>
      <c r="NBB312" s="184"/>
      <c r="NBC312" s="184"/>
      <c r="NBD312" s="185"/>
      <c r="NBE312" s="184"/>
      <c r="NBF312" s="184"/>
      <c r="NBG312" s="184"/>
      <c r="NBH312" s="187"/>
      <c r="NBI312" s="188"/>
      <c r="NBK312" s="182"/>
      <c r="NBL312" s="183"/>
      <c r="NBS312" s="267"/>
      <c r="NBT312" s="269"/>
      <c r="NBU312" s="267"/>
      <c r="NBV312" s="184"/>
      <c r="NBW312" s="184"/>
      <c r="NBX312" s="185"/>
      <c r="NBY312" s="184"/>
      <c r="NBZ312" s="184"/>
      <c r="NCA312" s="184"/>
      <c r="NCB312" s="187"/>
      <c r="NCC312" s="188"/>
      <c r="NCE312" s="182"/>
      <c r="NCF312" s="183"/>
      <c r="NCM312" s="267"/>
      <c r="NCN312" s="269"/>
      <c r="NCO312" s="267"/>
      <c r="NCP312" s="184"/>
      <c r="NCQ312" s="184"/>
      <c r="NCR312" s="185"/>
      <c r="NCS312" s="184"/>
      <c r="NCT312" s="184"/>
      <c r="NCU312" s="184"/>
      <c r="NCV312" s="187"/>
      <c r="NCW312" s="188"/>
      <c r="NCY312" s="182"/>
      <c r="NCZ312" s="183"/>
      <c r="NDG312" s="267"/>
      <c r="NDH312" s="269"/>
      <c r="NDI312" s="267"/>
      <c r="NDJ312" s="184"/>
      <c r="NDK312" s="184"/>
      <c r="NDL312" s="185"/>
      <c r="NDM312" s="184"/>
      <c r="NDN312" s="184"/>
      <c r="NDO312" s="184"/>
      <c r="NDP312" s="187"/>
      <c r="NDQ312" s="188"/>
      <c r="NDS312" s="182"/>
      <c r="NDT312" s="183"/>
      <c r="NEA312" s="267"/>
      <c r="NEB312" s="269"/>
      <c r="NEC312" s="267"/>
      <c r="NED312" s="184"/>
      <c r="NEE312" s="184"/>
      <c r="NEF312" s="185"/>
      <c r="NEG312" s="184"/>
      <c r="NEH312" s="184"/>
      <c r="NEI312" s="184"/>
      <c r="NEJ312" s="187"/>
      <c r="NEK312" s="188"/>
      <c r="NEM312" s="182"/>
      <c r="NEN312" s="183"/>
      <c r="NEU312" s="267"/>
      <c r="NEV312" s="269"/>
      <c r="NEW312" s="267"/>
      <c r="NEX312" s="184"/>
      <c r="NEY312" s="184"/>
      <c r="NEZ312" s="185"/>
      <c r="NFA312" s="184"/>
      <c r="NFB312" s="184"/>
      <c r="NFC312" s="184"/>
      <c r="NFD312" s="187"/>
      <c r="NFE312" s="188"/>
      <c r="NFG312" s="182"/>
      <c r="NFH312" s="183"/>
      <c r="NFO312" s="267"/>
      <c r="NFP312" s="269"/>
      <c r="NFQ312" s="267"/>
      <c r="NFR312" s="184"/>
      <c r="NFS312" s="184"/>
      <c r="NFT312" s="185"/>
      <c r="NFU312" s="184"/>
      <c r="NFV312" s="184"/>
      <c r="NFW312" s="184"/>
      <c r="NFX312" s="187"/>
      <c r="NFY312" s="188"/>
      <c r="NGA312" s="182"/>
      <c r="NGB312" s="183"/>
      <c r="NGI312" s="267"/>
      <c r="NGJ312" s="269"/>
      <c r="NGK312" s="267"/>
      <c r="NGL312" s="184"/>
      <c r="NGM312" s="184"/>
      <c r="NGN312" s="185"/>
      <c r="NGO312" s="184"/>
      <c r="NGP312" s="184"/>
      <c r="NGQ312" s="184"/>
      <c r="NGR312" s="187"/>
      <c r="NGS312" s="188"/>
      <c r="NGU312" s="182"/>
      <c r="NGV312" s="183"/>
      <c r="NHC312" s="267"/>
      <c r="NHD312" s="269"/>
      <c r="NHE312" s="267"/>
      <c r="NHF312" s="184"/>
      <c r="NHG312" s="184"/>
      <c r="NHH312" s="185"/>
      <c r="NHI312" s="184"/>
      <c r="NHJ312" s="184"/>
      <c r="NHK312" s="184"/>
      <c r="NHL312" s="187"/>
      <c r="NHM312" s="188"/>
      <c r="NHO312" s="182"/>
      <c r="NHP312" s="183"/>
      <c r="NHW312" s="267"/>
      <c r="NHX312" s="269"/>
      <c r="NHY312" s="267"/>
      <c r="NHZ312" s="184"/>
      <c r="NIA312" s="184"/>
      <c r="NIB312" s="185"/>
      <c r="NIC312" s="184"/>
      <c r="NID312" s="184"/>
      <c r="NIE312" s="184"/>
      <c r="NIF312" s="187"/>
      <c r="NIG312" s="188"/>
      <c r="NII312" s="182"/>
      <c r="NIJ312" s="183"/>
      <c r="NIQ312" s="267"/>
      <c r="NIR312" s="269"/>
      <c r="NIS312" s="267"/>
      <c r="NIT312" s="184"/>
      <c r="NIU312" s="184"/>
      <c r="NIV312" s="185"/>
      <c r="NIW312" s="184"/>
      <c r="NIX312" s="184"/>
      <c r="NIY312" s="184"/>
      <c r="NIZ312" s="187"/>
      <c r="NJA312" s="188"/>
      <c r="NJC312" s="182"/>
      <c r="NJD312" s="183"/>
      <c r="NJK312" s="267"/>
      <c r="NJL312" s="269"/>
      <c r="NJM312" s="267"/>
      <c r="NJN312" s="184"/>
      <c r="NJO312" s="184"/>
      <c r="NJP312" s="185"/>
      <c r="NJQ312" s="184"/>
      <c r="NJR312" s="184"/>
      <c r="NJS312" s="184"/>
      <c r="NJT312" s="187"/>
      <c r="NJU312" s="188"/>
      <c r="NJW312" s="182"/>
      <c r="NJX312" s="183"/>
      <c r="NKE312" s="267"/>
      <c r="NKF312" s="269"/>
      <c r="NKG312" s="267"/>
      <c r="NKH312" s="184"/>
      <c r="NKI312" s="184"/>
      <c r="NKJ312" s="185"/>
      <c r="NKK312" s="184"/>
      <c r="NKL312" s="184"/>
      <c r="NKM312" s="184"/>
      <c r="NKN312" s="187"/>
      <c r="NKO312" s="188"/>
      <c r="NKQ312" s="182"/>
      <c r="NKR312" s="183"/>
      <c r="NKY312" s="267"/>
      <c r="NKZ312" s="269"/>
      <c r="NLA312" s="267"/>
      <c r="NLB312" s="184"/>
      <c r="NLC312" s="184"/>
      <c r="NLD312" s="185"/>
      <c r="NLE312" s="184"/>
      <c r="NLF312" s="184"/>
      <c r="NLG312" s="184"/>
      <c r="NLH312" s="187"/>
      <c r="NLI312" s="188"/>
      <c r="NLK312" s="182"/>
      <c r="NLL312" s="183"/>
      <c r="NLS312" s="267"/>
      <c r="NLT312" s="269"/>
      <c r="NLU312" s="267"/>
      <c r="NLV312" s="184"/>
      <c r="NLW312" s="184"/>
      <c r="NLX312" s="185"/>
      <c r="NLY312" s="184"/>
      <c r="NLZ312" s="184"/>
      <c r="NMA312" s="184"/>
      <c r="NMB312" s="187"/>
      <c r="NMC312" s="188"/>
      <c r="NME312" s="182"/>
      <c r="NMF312" s="183"/>
      <c r="NMM312" s="267"/>
      <c r="NMN312" s="269"/>
      <c r="NMO312" s="267"/>
      <c r="NMP312" s="184"/>
      <c r="NMQ312" s="184"/>
      <c r="NMR312" s="185"/>
      <c r="NMS312" s="184"/>
      <c r="NMT312" s="184"/>
      <c r="NMU312" s="184"/>
      <c r="NMV312" s="187"/>
      <c r="NMW312" s="188"/>
      <c r="NMY312" s="182"/>
      <c r="NMZ312" s="183"/>
      <c r="NNG312" s="267"/>
      <c r="NNH312" s="269"/>
      <c r="NNI312" s="267"/>
      <c r="NNJ312" s="184"/>
      <c r="NNK312" s="184"/>
      <c r="NNL312" s="185"/>
      <c r="NNM312" s="184"/>
      <c r="NNN312" s="184"/>
      <c r="NNO312" s="184"/>
      <c r="NNP312" s="187"/>
      <c r="NNQ312" s="188"/>
      <c r="NNS312" s="182"/>
      <c r="NNT312" s="183"/>
      <c r="NOA312" s="267"/>
      <c r="NOB312" s="269"/>
      <c r="NOC312" s="267"/>
      <c r="NOD312" s="184"/>
      <c r="NOE312" s="184"/>
      <c r="NOF312" s="185"/>
      <c r="NOG312" s="184"/>
      <c r="NOH312" s="184"/>
      <c r="NOI312" s="184"/>
      <c r="NOJ312" s="187"/>
      <c r="NOK312" s="188"/>
      <c r="NOM312" s="182"/>
      <c r="NON312" s="183"/>
      <c r="NOU312" s="267"/>
      <c r="NOV312" s="269"/>
      <c r="NOW312" s="267"/>
      <c r="NOX312" s="184"/>
      <c r="NOY312" s="184"/>
      <c r="NOZ312" s="185"/>
      <c r="NPA312" s="184"/>
      <c r="NPB312" s="184"/>
      <c r="NPC312" s="184"/>
      <c r="NPD312" s="187"/>
      <c r="NPE312" s="188"/>
      <c r="NPG312" s="182"/>
      <c r="NPH312" s="183"/>
      <c r="NPO312" s="267"/>
      <c r="NPP312" s="269"/>
      <c r="NPQ312" s="267"/>
      <c r="NPR312" s="184"/>
      <c r="NPS312" s="184"/>
      <c r="NPT312" s="185"/>
      <c r="NPU312" s="184"/>
      <c r="NPV312" s="184"/>
      <c r="NPW312" s="184"/>
      <c r="NPX312" s="187"/>
      <c r="NPY312" s="188"/>
      <c r="NQA312" s="182"/>
      <c r="NQB312" s="183"/>
      <c r="NQI312" s="267"/>
      <c r="NQJ312" s="269"/>
      <c r="NQK312" s="267"/>
      <c r="NQL312" s="184"/>
      <c r="NQM312" s="184"/>
      <c r="NQN312" s="185"/>
      <c r="NQO312" s="184"/>
      <c r="NQP312" s="184"/>
      <c r="NQQ312" s="184"/>
      <c r="NQR312" s="187"/>
      <c r="NQS312" s="188"/>
      <c r="NQU312" s="182"/>
      <c r="NQV312" s="183"/>
      <c r="NRC312" s="267"/>
      <c r="NRD312" s="269"/>
      <c r="NRE312" s="267"/>
      <c r="NRF312" s="184"/>
      <c r="NRG312" s="184"/>
      <c r="NRH312" s="185"/>
      <c r="NRI312" s="184"/>
      <c r="NRJ312" s="184"/>
      <c r="NRK312" s="184"/>
      <c r="NRL312" s="187"/>
      <c r="NRM312" s="188"/>
      <c r="NRO312" s="182"/>
      <c r="NRP312" s="183"/>
      <c r="NRW312" s="267"/>
      <c r="NRX312" s="269"/>
      <c r="NRY312" s="267"/>
      <c r="NRZ312" s="184"/>
      <c r="NSA312" s="184"/>
      <c r="NSB312" s="185"/>
      <c r="NSC312" s="184"/>
      <c r="NSD312" s="184"/>
      <c r="NSE312" s="184"/>
      <c r="NSF312" s="187"/>
      <c r="NSG312" s="188"/>
      <c r="NSI312" s="182"/>
      <c r="NSJ312" s="183"/>
      <c r="NSQ312" s="267"/>
      <c r="NSR312" s="269"/>
      <c r="NSS312" s="267"/>
      <c r="NST312" s="184"/>
      <c r="NSU312" s="184"/>
      <c r="NSV312" s="185"/>
      <c r="NSW312" s="184"/>
      <c r="NSX312" s="184"/>
      <c r="NSY312" s="184"/>
      <c r="NSZ312" s="187"/>
      <c r="NTA312" s="188"/>
      <c r="NTC312" s="182"/>
      <c r="NTD312" s="183"/>
      <c r="NTK312" s="267"/>
      <c r="NTL312" s="269"/>
      <c r="NTM312" s="267"/>
      <c r="NTN312" s="184"/>
      <c r="NTO312" s="184"/>
      <c r="NTP312" s="185"/>
      <c r="NTQ312" s="184"/>
      <c r="NTR312" s="184"/>
      <c r="NTS312" s="184"/>
      <c r="NTT312" s="187"/>
      <c r="NTU312" s="188"/>
      <c r="NTW312" s="182"/>
      <c r="NTX312" s="183"/>
      <c r="NUE312" s="267"/>
      <c r="NUF312" s="269"/>
      <c r="NUG312" s="267"/>
      <c r="NUH312" s="184"/>
      <c r="NUI312" s="184"/>
      <c r="NUJ312" s="185"/>
      <c r="NUK312" s="184"/>
      <c r="NUL312" s="184"/>
      <c r="NUM312" s="184"/>
      <c r="NUN312" s="187"/>
      <c r="NUO312" s="188"/>
      <c r="NUQ312" s="182"/>
      <c r="NUR312" s="183"/>
      <c r="NUY312" s="267"/>
      <c r="NUZ312" s="269"/>
      <c r="NVA312" s="267"/>
      <c r="NVB312" s="184"/>
      <c r="NVC312" s="184"/>
      <c r="NVD312" s="185"/>
      <c r="NVE312" s="184"/>
      <c r="NVF312" s="184"/>
      <c r="NVG312" s="184"/>
      <c r="NVH312" s="187"/>
      <c r="NVI312" s="188"/>
      <c r="NVK312" s="182"/>
      <c r="NVL312" s="183"/>
      <c r="NVS312" s="267"/>
      <c r="NVT312" s="269"/>
      <c r="NVU312" s="267"/>
      <c r="NVV312" s="184"/>
      <c r="NVW312" s="184"/>
      <c r="NVX312" s="185"/>
      <c r="NVY312" s="184"/>
      <c r="NVZ312" s="184"/>
      <c r="NWA312" s="184"/>
      <c r="NWB312" s="187"/>
      <c r="NWC312" s="188"/>
      <c r="NWE312" s="182"/>
      <c r="NWF312" s="183"/>
      <c r="NWM312" s="267"/>
      <c r="NWN312" s="269"/>
      <c r="NWO312" s="267"/>
      <c r="NWP312" s="184"/>
      <c r="NWQ312" s="184"/>
      <c r="NWR312" s="185"/>
      <c r="NWS312" s="184"/>
      <c r="NWT312" s="184"/>
      <c r="NWU312" s="184"/>
      <c r="NWV312" s="187"/>
      <c r="NWW312" s="188"/>
      <c r="NWY312" s="182"/>
      <c r="NWZ312" s="183"/>
      <c r="NXG312" s="267"/>
      <c r="NXH312" s="269"/>
      <c r="NXI312" s="267"/>
      <c r="NXJ312" s="184"/>
      <c r="NXK312" s="184"/>
      <c r="NXL312" s="185"/>
      <c r="NXM312" s="184"/>
      <c r="NXN312" s="184"/>
      <c r="NXO312" s="184"/>
      <c r="NXP312" s="187"/>
      <c r="NXQ312" s="188"/>
      <c r="NXS312" s="182"/>
      <c r="NXT312" s="183"/>
      <c r="NYA312" s="267"/>
      <c r="NYB312" s="269"/>
      <c r="NYC312" s="267"/>
      <c r="NYD312" s="184"/>
      <c r="NYE312" s="184"/>
      <c r="NYF312" s="185"/>
      <c r="NYG312" s="184"/>
      <c r="NYH312" s="184"/>
      <c r="NYI312" s="184"/>
      <c r="NYJ312" s="187"/>
      <c r="NYK312" s="188"/>
      <c r="NYM312" s="182"/>
      <c r="NYN312" s="183"/>
      <c r="NYU312" s="267"/>
      <c r="NYV312" s="269"/>
      <c r="NYW312" s="267"/>
      <c r="NYX312" s="184"/>
      <c r="NYY312" s="184"/>
      <c r="NYZ312" s="185"/>
      <c r="NZA312" s="184"/>
      <c r="NZB312" s="184"/>
      <c r="NZC312" s="184"/>
      <c r="NZD312" s="187"/>
      <c r="NZE312" s="188"/>
      <c r="NZG312" s="182"/>
      <c r="NZH312" s="183"/>
      <c r="NZO312" s="267"/>
      <c r="NZP312" s="269"/>
      <c r="NZQ312" s="267"/>
      <c r="NZR312" s="184"/>
      <c r="NZS312" s="184"/>
      <c r="NZT312" s="185"/>
      <c r="NZU312" s="184"/>
      <c r="NZV312" s="184"/>
      <c r="NZW312" s="184"/>
      <c r="NZX312" s="187"/>
      <c r="NZY312" s="188"/>
      <c r="OAA312" s="182"/>
      <c r="OAB312" s="183"/>
      <c r="OAI312" s="267"/>
      <c r="OAJ312" s="269"/>
      <c r="OAK312" s="267"/>
      <c r="OAL312" s="184"/>
      <c r="OAM312" s="184"/>
      <c r="OAN312" s="185"/>
      <c r="OAO312" s="184"/>
      <c r="OAP312" s="184"/>
      <c r="OAQ312" s="184"/>
      <c r="OAR312" s="187"/>
      <c r="OAS312" s="188"/>
      <c r="OAU312" s="182"/>
      <c r="OAV312" s="183"/>
      <c r="OBC312" s="267"/>
      <c r="OBD312" s="269"/>
      <c r="OBE312" s="267"/>
      <c r="OBF312" s="184"/>
      <c r="OBG312" s="184"/>
      <c r="OBH312" s="185"/>
      <c r="OBI312" s="184"/>
      <c r="OBJ312" s="184"/>
      <c r="OBK312" s="184"/>
      <c r="OBL312" s="187"/>
      <c r="OBM312" s="188"/>
      <c r="OBO312" s="182"/>
      <c r="OBP312" s="183"/>
      <c r="OBW312" s="267"/>
      <c r="OBX312" s="269"/>
      <c r="OBY312" s="267"/>
      <c r="OBZ312" s="184"/>
      <c r="OCA312" s="184"/>
      <c r="OCB312" s="185"/>
      <c r="OCC312" s="184"/>
      <c r="OCD312" s="184"/>
      <c r="OCE312" s="184"/>
      <c r="OCF312" s="187"/>
      <c r="OCG312" s="188"/>
      <c r="OCI312" s="182"/>
      <c r="OCJ312" s="183"/>
      <c r="OCQ312" s="267"/>
      <c r="OCR312" s="269"/>
      <c r="OCS312" s="267"/>
      <c r="OCT312" s="184"/>
      <c r="OCU312" s="184"/>
      <c r="OCV312" s="185"/>
      <c r="OCW312" s="184"/>
      <c r="OCX312" s="184"/>
      <c r="OCY312" s="184"/>
      <c r="OCZ312" s="187"/>
      <c r="ODA312" s="188"/>
      <c r="ODC312" s="182"/>
      <c r="ODD312" s="183"/>
      <c r="ODK312" s="267"/>
      <c r="ODL312" s="269"/>
      <c r="ODM312" s="267"/>
      <c r="ODN312" s="184"/>
      <c r="ODO312" s="184"/>
      <c r="ODP312" s="185"/>
      <c r="ODQ312" s="184"/>
      <c r="ODR312" s="184"/>
      <c r="ODS312" s="184"/>
      <c r="ODT312" s="187"/>
      <c r="ODU312" s="188"/>
      <c r="ODW312" s="182"/>
      <c r="ODX312" s="183"/>
      <c r="OEE312" s="267"/>
      <c r="OEF312" s="269"/>
      <c r="OEG312" s="267"/>
      <c r="OEH312" s="184"/>
      <c r="OEI312" s="184"/>
      <c r="OEJ312" s="185"/>
      <c r="OEK312" s="184"/>
      <c r="OEL312" s="184"/>
      <c r="OEM312" s="184"/>
      <c r="OEN312" s="187"/>
      <c r="OEO312" s="188"/>
      <c r="OEQ312" s="182"/>
      <c r="OER312" s="183"/>
      <c r="OEY312" s="267"/>
      <c r="OEZ312" s="269"/>
      <c r="OFA312" s="267"/>
      <c r="OFB312" s="184"/>
      <c r="OFC312" s="184"/>
      <c r="OFD312" s="185"/>
      <c r="OFE312" s="184"/>
      <c r="OFF312" s="184"/>
      <c r="OFG312" s="184"/>
      <c r="OFH312" s="187"/>
      <c r="OFI312" s="188"/>
      <c r="OFK312" s="182"/>
      <c r="OFL312" s="183"/>
      <c r="OFS312" s="267"/>
      <c r="OFT312" s="269"/>
      <c r="OFU312" s="267"/>
      <c r="OFV312" s="184"/>
      <c r="OFW312" s="184"/>
      <c r="OFX312" s="185"/>
      <c r="OFY312" s="184"/>
      <c r="OFZ312" s="184"/>
      <c r="OGA312" s="184"/>
      <c r="OGB312" s="187"/>
      <c r="OGC312" s="188"/>
      <c r="OGE312" s="182"/>
      <c r="OGF312" s="183"/>
      <c r="OGM312" s="267"/>
      <c r="OGN312" s="269"/>
      <c r="OGO312" s="267"/>
      <c r="OGP312" s="184"/>
      <c r="OGQ312" s="184"/>
      <c r="OGR312" s="185"/>
      <c r="OGS312" s="184"/>
      <c r="OGT312" s="184"/>
      <c r="OGU312" s="184"/>
      <c r="OGV312" s="187"/>
      <c r="OGW312" s="188"/>
      <c r="OGY312" s="182"/>
      <c r="OGZ312" s="183"/>
      <c r="OHG312" s="267"/>
      <c r="OHH312" s="269"/>
      <c r="OHI312" s="267"/>
      <c r="OHJ312" s="184"/>
      <c r="OHK312" s="184"/>
      <c r="OHL312" s="185"/>
      <c r="OHM312" s="184"/>
      <c r="OHN312" s="184"/>
      <c r="OHO312" s="184"/>
      <c r="OHP312" s="187"/>
      <c r="OHQ312" s="188"/>
      <c r="OHS312" s="182"/>
      <c r="OHT312" s="183"/>
      <c r="OIA312" s="267"/>
      <c r="OIB312" s="269"/>
      <c r="OIC312" s="267"/>
      <c r="OID312" s="184"/>
      <c r="OIE312" s="184"/>
      <c r="OIF312" s="185"/>
      <c r="OIG312" s="184"/>
      <c r="OIH312" s="184"/>
      <c r="OII312" s="184"/>
      <c r="OIJ312" s="187"/>
      <c r="OIK312" s="188"/>
      <c r="OIM312" s="182"/>
      <c r="OIN312" s="183"/>
      <c r="OIU312" s="267"/>
      <c r="OIV312" s="269"/>
      <c r="OIW312" s="267"/>
      <c r="OIX312" s="184"/>
      <c r="OIY312" s="184"/>
      <c r="OIZ312" s="185"/>
      <c r="OJA312" s="184"/>
      <c r="OJB312" s="184"/>
      <c r="OJC312" s="184"/>
      <c r="OJD312" s="187"/>
      <c r="OJE312" s="188"/>
      <c r="OJG312" s="182"/>
      <c r="OJH312" s="183"/>
      <c r="OJO312" s="267"/>
      <c r="OJP312" s="269"/>
      <c r="OJQ312" s="267"/>
      <c r="OJR312" s="184"/>
      <c r="OJS312" s="184"/>
      <c r="OJT312" s="185"/>
      <c r="OJU312" s="184"/>
      <c r="OJV312" s="184"/>
      <c r="OJW312" s="184"/>
      <c r="OJX312" s="187"/>
      <c r="OJY312" s="188"/>
      <c r="OKA312" s="182"/>
      <c r="OKB312" s="183"/>
      <c r="OKI312" s="267"/>
      <c r="OKJ312" s="269"/>
      <c r="OKK312" s="267"/>
      <c r="OKL312" s="184"/>
      <c r="OKM312" s="184"/>
      <c r="OKN312" s="185"/>
      <c r="OKO312" s="184"/>
      <c r="OKP312" s="184"/>
      <c r="OKQ312" s="184"/>
      <c r="OKR312" s="187"/>
      <c r="OKS312" s="188"/>
      <c r="OKU312" s="182"/>
      <c r="OKV312" s="183"/>
      <c r="OLC312" s="267"/>
      <c r="OLD312" s="269"/>
      <c r="OLE312" s="267"/>
      <c r="OLF312" s="184"/>
      <c r="OLG312" s="184"/>
      <c r="OLH312" s="185"/>
      <c r="OLI312" s="184"/>
      <c r="OLJ312" s="184"/>
      <c r="OLK312" s="184"/>
      <c r="OLL312" s="187"/>
      <c r="OLM312" s="188"/>
      <c r="OLO312" s="182"/>
      <c r="OLP312" s="183"/>
      <c r="OLW312" s="267"/>
      <c r="OLX312" s="269"/>
      <c r="OLY312" s="267"/>
      <c r="OLZ312" s="184"/>
      <c r="OMA312" s="184"/>
      <c r="OMB312" s="185"/>
      <c r="OMC312" s="184"/>
      <c r="OMD312" s="184"/>
      <c r="OME312" s="184"/>
      <c r="OMF312" s="187"/>
      <c r="OMG312" s="188"/>
      <c r="OMI312" s="182"/>
      <c r="OMJ312" s="183"/>
      <c r="OMQ312" s="267"/>
      <c r="OMR312" s="269"/>
      <c r="OMS312" s="267"/>
      <c r="OMT312" s="184"/>
      <c r="OMU312" s="184"/>
      <c r="OMV312" s="185"/>
      <c r="OMW312" s="184"/>
      <c r="OMX312" s="184"/>
      <c r="OMY312" s="184"/>
      <c r="OMZ312" s="187"/>
      <c r="ONA312" s="188"/>
      <c r="ONC312" s="182"/>
      <c r="OND312" s="183"/>
      <c r="ONK312" s="267"/>
      <c r="ONL312" s="269"/>
      <c r="ONM312" s="267"/>
      <c r="ONN312" s="184"/>
      <c r="ONO312" s="184"/>
      <c r="ONP312" s="185"/>
      <c r="ONQ312" s="184"/>
      <c r="ONR312" s="184"/>
      <c r="ONS312" s="184"/>
      <c r="ONT312" s="187"/>
      <c r="ONU312" s="188"/>
      <c r="ONW312" s="182"/>
      <c r="ONX312" s="183"/>
      <c r="OOE312" s="267"/>
      <c r="OOF312" s="269"/>
      <c r="OOG312" s="267"/>
      <c r="OOH312" s="184"/>
      <c r="OOI312" s="184"/>
      <c r="OOJ312" s="185"/>
      <c r="OOK312" s="184"/>
      <c r="OOL312" s="184"/>
      <c r="OOM312" s="184"/>
      <c r="OON312" s="187"/>
      <c r="OOO312" s="188"/>
      <c r="OOQ312" s="182"/>
      <c r="OOR312" s="183"/>
      <c r="OOY312" s="267"/>
      <c r="OOZ312" s="269"/>
      <c r="OPA312" s="267"/>
      <c r="OPB312" s="184"/>
      <c r="OPC312" s="184"/>
      <c r="OPD312" s="185"/>
      <c r="OPE312" s="184"/>
      <c r="OPF312" s="184"/>
      <c r="OPG312" s="184"/>
      <c r="OPH312" s="187"/>
      <c r="OPI312" s="188"/>
      <c r="OPK312" s="182"/>
      <c r="OPL312" s="183"/>
      <c r="OPS312" s="267"/>
      <c r="OPT312" s="269"/>
      <c r="OPU312" s="267"/>
      <c r="OPV312" s="184"/>
      <c r="OPW312" s="184"/>
      <c r="OPX312" s="185"/>
      <c r="OPY312" s="184"/>
      <c r="OPZ312" s="184"/>
      <c r="OQA312" s="184"/>
      <c r="OQB312" s="187"/>
      <c r="OQC312" s="188"/>
      <c r="OQE312" s="182"/>
      <c r="OQF312" s="183"/>
      <c r="OQM312" s="267"/>
      <c r="OQN312" s="269"/>
      <c r="OQO312" s="267"/>
      <c r="OQP312" s="184"/>
      <c r="OQQ312" s="184"/>
      <c r="OQR312" s="185"/>
      <c r="OQS312" s="184"/>
      <c r="OQT312" s="184"/>
      <c r="OQU312" s="184"/>
      <c r="OQV312" s="187"/>
      <c r="OQW312" s="188"/>
      <c r="OQY312" s="182"/>
      <c r="OQZ312" s="183"/>
      <c r="ORG312" s="267"/>
      <c r="ORH312" s="269"/>
      <c r="ORI312" s="267"/>
      <c r="ORJ312" s="184"/>
      <c r="ORK312" s="184"/>
      <c r="ORL312" s="185"/>
      <c r="ORM312" s="184"/>
      <c r="ORN312" s="184"/>
      <c r="ORO312" s="184"/>
      <c r="ORP312" s="187"/>
      <c r="ORQ312" s="188"/>
      <c r="ORS312" s="182"/>
      <c r="ORT312" s="183"/>
      <c r="OSA312" s="267"/>
      <c r="OSB312" s="269"/>
      <c r="OSC312" s="267"/>
      <c r="OSD312" s="184"/>
      <c r="OSE312" s="184"/>
      <c r="OSF312" s="185"/>
      <c r="OSG312" s="184"/>
      <c r="OSH312" s="184"/>
      <c r="OSI312" s="184"/>
      <c r="OSJ312" s="187"/>
      <c r="OSK312" s="188"/>
      <c r="OSM312" s="182"/>
      <c r="OSN312" s="183"/>
      <c r="OSU312" s="267"/>
      <c r="OSV312" s="269"/>
      <c r="OSW312" s="267"/>
      <c r="OSX312" s="184"/>
      <c r="OSY312" s="184"/>
      <c r="OSZ312" s="185"/>
      <c r="OTA312" s="184"/>
      <c r="OTB312" s="184"/>
      <c r="OTC312" s="184"/>
      <c r="OTD312" s="187"/>
      <c r="OTE312" s="188"/>
      <c r="OTG312" s="182"/>
      <c r="OTH312" s="183"/>
      <c r="OTO312" s="267"/>
      <c r="OTP312" s="269"/>
      <c r="OTQ312" s="267"/>
      <c r="OTR312" s="184"/>
      <c r="OTS312" s="184"/>
      <c r="OTT312" s="185"/>
      <c r="OTU312" s="184"/>
      <c r="OTV312" s="184"/>
      <c r="OTW312" s="184"/>
      <c r="OTX312" s="187"/>
      <c r="OTY312" s="188"/>
      <c r="OUA312" s="182"/>
      <c r="OUB312" s="183"/>
      <c r="OUI312" s="267"/>
      <c r="OUJ312" s="269"/>
      <c r="OUK312" s="267"/>
      <c r="OUL312" s="184"/>
      <c r="OUM312" s="184"/>
      <c r="OUN312" s="185"/>
      <c r="OUO312" s="184"/>
      <c r="OUP312" s="184"/>
      <c r="OUQ312" s="184"/>
      <c r="OUR312" s="187"/>
      <c r="OUS312" s="188"/>
      <c r="OUU312" s="182"/>
      <c r="OUV312" s="183"/>
      <c r="OVC312" s="267"/>
      <c r="OVD312" s="269"/>
      <c r="OVE312" s="267"/>
      <c r="OVF312" s="184"/>
      <c r="OVG312" s="184"/>
      <c r="OVH312" s="185"/>
      <c r="OVI312" s="184"/>
      <c r="OVJ312" s="184"/>
      <c r="OVK312" s="184"/>
      <c r="OVL312" s="187"/>
      <c r="OVM312" s="188"/>
      <c r="OVO312" s="182"/>
      <c r="OVP312" s="183"/>
      <c r="OVW312" s="267"/>
      <c r="OVX312" s="269"/>
      <c r="OVY312" s="267"/>
      <c r="OVZ312" s="184"/>
      <c r="OWA312" s="184"/>
      <c r="OWB312" s="185"/>
      <c r="OWC312" s="184"/>
      <c r="OWD312" s="184"/>
      <c r="OWE312" s="184"/>
      <c r="OWF312" s="187"/>
      <c r="OWG312" s="188"/>
      <c r="OWI312" s="182"/>
      <c r="OWJ312" s="183"/>
      <c r="OWQ312" s="267"/>
      <c r="OWR312" s="269"/>
      <c r="OWS312" s="267"/>
      <c r="OWT312" s="184"/>
      <c r="OWU312" s="184"/>
      <c r="OWV312" s="185"/>
      <c r="OWW312" s="184"/>
      <c r="OWX312" s="184"/>
      <c r="OWY312" s="184"/>
      <c r="OWZ312" s="187"/>
      <c r="OXA312" s="188"/>
      <c r="OXC312" s="182"/>
      <c r="OXD312" s="183"/>
      <c r="OXK312" s="267"/>
      <c r="OXL312" s="269"/>
      <c r="OXM312" s="267"/>
      <c r="OXN312" s="184"/>
      <c r="OXO312" s="184"/>
      <c r="OXP312" s="185"/>
      <c r="OXQ312" s="184"/>
      <c r="OXR312" s="184"/>
      <c r="OXS312" s="184"/>
      <c r="OXT312" s="187"/>
      <c r="OXU312" s="188"/>
      <c r="OXW312" s="182"/>
      <c r="OXX312" s="183"/>
      <c r="OYE312" s="267"/>
      <c r="OYF312" s="269"/>
      <c r="OYG312" s="267"/>
      <c r="OYH312" s="184"/>
      <c r="OYI312" s="184"/>
      <c r="OYJ312" s="185"/>
      <c r="OYK312" s="184"/>
      <c r="OYL312" s="184"/>
      <c r="OYM312" s="184"/>
      <c r="OYN312" s="187"/>
      <c r="OYO312" s="188"/>
      <c r="OYQ312" s="182"/>
      <c r="OYR312" s="183"/>
      <c r="OYY312" s="267"/>
      <c r="OYZ312" s="269"/>
      <c r="OZA312" s="267"/>
      <c r="OZB312" s="184"/>
      <c r="OZC312" s="184"/>
      <c r="OZD312" s="185"/>
      <c r="OZE312" s="184"/>
      <c r="OZF312" s="184"/>
      <c r="OZG312" s="184"/>
      <c r="OZH312" s="187"/>
      <c r="OZI312" s="188"/>
      <c r="OZK312" s="182"/>
      <c r="OZL312" s="183"/>
      <c r="OZS312" s="267"/>
      <c r="OZT312" s="269"/>
      <c r="OZU312" s="267"/>
      <c r="OZV312" s="184"/>
      <c r="OZW312" s="184"/>
      <c r="OZX312" s="185"/>
      <c r="OZY312" s="184"/>
      <c r="OZZ312" s="184"/>
      <c r="PAA312" s="184"/>
      <c r="PAB312" s="187"/>
      <c r="PAC312" s="188"/>
      <c r="PAE312" s="182"/>
      <c r="PAF312" s="183"/>
      <c r="PAM312" s="267"/>
      <c r="PAN312" s="269"/>
      <c r="PAO312" s="267"/>
      <c r="PAP312" s="184"/>
      <c r="PAQ312" s="184"/>
      <c r="PAR312" s="185"/>
      <c r="PAS312" s="184"/>
      <c r="PAT312" s="184"/>
      <c r="PAU312" s="184"/>
      <c r="PAV312" s="187"/>
      <c r="PAW312" s="188"/>
      <c r="PAY312" s="182"/>
      <c r="PAZ312" s="183"/>
      <c r="PBG312" s="267"/>
      <c r="PBH312" s="269"/>
      <c r="PBI312" s="267"/>
      <c r="PBJ312" s="184"/>
      <c r="PBK312" s="184"/>
      <c r="PBL312" s="185"/>
      <c r="PBM312" s="184"/>
      <c r="PBN312" s="184"/>
      <c r="PBO312" s="184"/>
      <c r="PBP312" s="187"/>
      <c r="PBQ312" s="188"/>
      <c r="PBS312" s="182"/>
      <c r="PBT312" s="183"/>
      <c r="PCA312" s="267"/>
      <c r="PCB312" s="269"/>
      <c r="PCC312" s="267"/>
      <c r="PCD312" s="184"/>
      <c r="PCE312" s="184"/>
      <c r="PCF312" s="185"/>
      <c r="PCG312" s="184"/>
      <c r="PCH312" s="184"/>
      <c r="PCI312" s="184"/>
      <c r="PCJ312" s="187"/>
      <c r="PCK312" s="188"/>
      <c r="PCM312" s="182"/>
      <c r="PCN312" s="183"/>
      <c r="PCU312" s="267"/>
      <c r="PCV312" s="269"/>
      <c r="PCW312" s="267"/>
      <c r="PCX312" s="184"/>
      <c r="PCY312" s="184"/>
      <c r="PCZ312" s="185"/>
      <c r="PDA312" s="184"/>
      <c r="PDB312" s="184"/>
      <c r="PDC312" s="184"/>
      <c r="PDD312" s="187"/>
      <c r="PDE312" s="188"/>
      <c r="PDG312" s="182"/>
      <c r="PDH312" s="183"/>
      <c r="PDO312" s="267"/>
      <c r="PDP312" s="269"/>
      <c r="PDQ312" s="267"/>
      <c r="PDR312" s="184"/>
      <c r="PDS312" s="184"/>
      <c r="PDT312" s="185"/>
      <c r="PDU312" s="184"/>
      <c r="PDV312" s="184"/>
      <c r="PDW312" s="184"/>
      <c r="PDX312" s="187"/>
      <c r="PDY312" s="188"/>
      <c r="PEA312" s="182"/>
      <c r="PEB312" s="183"/>
      <c r="PEI312" s="267"/>
      <c r="PEJ312" s="269"/>
      <c r="PEK312" s="267"/>
      <c r="PEL312" s="184"/>
      <c r="PEM312" s="184"/>
      <c r="PEN312" s="185"/>
      <c r="PEO312" s="184"/>
      <c r="PEP312" s="184"/>
      <c r="PEQ312" s="184"/>
      <c r="PER312" s="187"/>
      <c r="PES312" s="188"/>
      <c r="PEU312" s="182"/>
      <c r="PEV312" s="183"/>
      <c r="PFC312" s="267"/>
      <c r="PFD312" s="269"/>
      <c r="PFE312" s="267"/>
      <c r="PFF312" s="184"/>
      <c r="PFG312" s="184"/>
      <c r="PFH312" s="185"/>
      <c r="PFI312" s="184"/>
      <c r="PFJ312" s="184"/>
      <c r="PFK312" s="184"/>
      <c r="PFL312" s="187"/>
      <c r="PFM312" s="188"/>
      <c r="PFO312" s="182"/>
      <c r="PFP312" s="183"/>
      <c r="PFW312" s="267"/>
      <c r="PFX312" s="269"/>
      <c r="PFY312" s="267"/>
      <c r="PFZ312" s="184"/>
      <c r="PGA312" s="184"/>
      <c r="PGB312" s="185"/>
      <c r="PGC312" s="184"/>
      <c r="PGD312" s="184"/>
      <c r="PGE312" s="184"/>
      <c r="PGF312" s="187"/>
      <c r="PGG312" s="188"/>
      <c r="PGI312" s="182"/>
      <c r="PGJ312" s="183"/>
      <c r="PGQ312" s="267"/>
      <c r="PGR312" s="269"/>
      <c r="PGS312" s="267"/>
      <c r="PGT312" s="184"/>
      <c r="PGU312" s="184"/>
      <c r="PGV312" s="185"/>
      <c r="PGW312" s="184"/>
      <c r="PGX312" s="184"/>
      <c r="PGY312" s="184"/>
      <c r="PGZ312" s="187"/>
      <c r="PHA312" s="188"/>
      <c r="PHC312" s="182"/>
      <c r="PHD312" s="183"/>
      <c r="PHK312" s="267"/>
      <c r="PHL312" s="269"/>
      <c r="PHM312" s="267"/>
      <c r="PHN312" s="184"/>
      <c r="PHO312" s="184"/>
      <c r="PHP312" s="185"/>
      <c r="PHQ312" s="184"/>
      <c r="PHR312" s="184"/>
      <c r="PHS312" s="184"/>
      <c r="PHT312" s="187"/>
      <c r="PHU312" s="188"/>
      <c r="PHW312" s="182"/>
      <c r="PHX312" s="183"/>
      <c r="PIE312" s="267"/>
      <c r="PIF312" s="269"/>
      <c r="PIG312" s="267"/>
      <c r="PIH312" s="184"/>
      <c r="PII312" s="184"/>
      <c r="PIJ312" s="185"/>
      <c r="PIK312" s="184"/>
      <c r="PIL312" s="184"/>
      <c r="PIM312" s="184"/>
      <c r="PIN312" s="187"/>
      <c r="PIO312" s="188"/>
      <c r="PIQ312" s="182"/>
      <c r="PIR312" s="183"/>
      <c r="PIY312" s="267"/>
      <c r="PIZ312" s="269"/>
      <c r="PJA312" s="267"/>
      <c r="PJB312" s="184"/>
      <c r="PJC312" s="184"/>
      <c r="PJD312" s="185"/>
      <c r="PJE312" s="184"/>
      <c r="PJF312" s="184"/>
      <c r="PJG312" s="184"/>
      <c r="PJH312" s="187"/>
      <c r="PJI312" s="188"/>
      <c r="PJK312" s="182"/>
      <c r="PJL312" s="183"/>
      <c r="PJS312" s="267"/>
      <c r="PJT312" s="269"/>
      <c r="PJU312" s="267"/>
      <c r="PJV312" s="184"/>
      <c r="PJW312" s="184"/>
      <c r="PJX312" s="185"/>
      <c r="PJY312" s="184"/>
      <c r="PJZ312" s="184"/>
      <c r="PKA312" s="184"/>
      <c r="PKB312" s="187"/>
      <c r="PKC312" s="188"/>
      <c r="PKE312" s="182"/>
      <c r="PKF312" s="183"/>
      <c r="PKM312" s="267"/>
      <c r="PKN312" s="269"/>
      <c r="PKO312" s="267"/>
      <c r="PKP312" s="184"/>
      <c r="PKQ312" s="184"/>
      <c r="PKR312" s="185"/>
      <c r="PKS312" s="184"/>
      <c r="PKT312" s="184"/>
      <c r="PKU312" s="184"/>
      <c r="PKV312" s="187"/>
      <c r="PKW312" s="188"/>
      <c r="PKY312" s="182"/>
      <c r="PKZ312" s="183"/>
      <c r="PLG312" s="267"/>
      <c r="PLH312" s="269"/>
      <c r="PLI312" s="267"/>
      <c r="PLJ312" s="184"/>
      <c r="PLK312" s="184"/>
      <c r="PLL312" s="185"/>
      <c r="PLM312" s="184"/>
      <c r="PLN312" s="184"/>
      <c r="PLO312" s="184"/>
      <c r="PLP312" s="187"/>
      <c r="PLQ312" s="188"/>
      <c r="PLS312" s="182"/>
      <c r="PLT312" s="183"/>
      <c r="PMA312" s="267"/>
      <c r="PMB312" s="269"/>
      <c r="PMC312" s="267"/>
      <c r="PMD312" s="184"/>
      <c r="PME312" s="184"/>
      <c r="PMF312" s="185"/>
      <c r="PMG312" s="184"/>
      <c r="PMH312" s="184"/>
      <c r="PMI312" s="184"/>
      <c r="PMJ312" s="187"/>
      <c r="PMK312" s="188"/>
      <c r="PMM312" s="182"/>
      <c r="PMN312" s="183"/>
      <c r="PMU312" s="267"/>
      <c r="PMV312" s="269"/>
      <c r="PMW312" s="267"/>
      <c r="PMX312" s="184"/>
      <c r="PMY312" s="184"/>
      <c r="PMZ312" s="185"/>
      <c r="PNA312" s="184"/>
      <c r="PNB312" s="184"/>
      <c r="PNC312" s="184"/>
      <c r="PND312" s="187"/>
      <c r="PNE312" s="188"/>
      <c r="PNG312" s="182"/>
      <c r="PNH312" s="183"/>
      <c r="PNO312" s="267"/>
      <c r="PNP312" s="269"/>
      <c r="PNQ312" s="267"/>
      <c r="PNR312" s="184"/>
      <c r="PNS312" s="184"/>
      <c r="PNT312" s="185"/>
      <c r="PNU312" s="184"/>
      <c r="PNV312" s="184"/>
      <c r="PNW312" s="184"/>
      <c r="PNX312" s="187"/>
      <c r="PNY312" s="188"/>
      <c r="POA312" s="182"/>
      <c r="POB312" s="183"/>
      <c r="POI312" s="267"/>
      <c r="POJ312" s="269"/>
      <c r="POK312" s="267"/>
      <c r="POL312" s="184"/>
      <c r="POM312" s="184"/>
      <c r="PON312" s="185"/>
      <c r="POO312" s="184"/>
      <c r="POP312" s="184"/>
      <c r="POQ312" s="184"/>
      <c r="POR312" s="187"/>
      <c r="POS312" s="188"/>
      <c r="POU312" s="182"/>
      <c r="POV312" s="183"/>
      <c r="PPC312" s="267"/>
      <c r="PPD312" s="269"/>
      <c r="PPE312" s="267"/>
      <c r="PPF312" s="184"/>
      <c r="PPG312" s="184"/>
      <c r="PPH312" s="185"/>
      <c r="PPI312" s="184"/>
      <c r="PPJ312" s="184"/>
      <c r="PPK312" s="184"/>
      <c r="PPL312" s="187"/>
      <c r="PPM312" s="188"/>
      <c r="PPO312" s="182"/>
      <c r="PPP312" s="183"/>
      <c r="PPW312" s="267"/>
      <c r="PPX312" s="269"/>
      <c r="PPY312" s="267"/>
      <c r="PPZ312" s="184"/>
      <c r="PQA312" s="184"/>
      <c r="PQB312" s="185"/>
      <c r="PQC312" s="184"/>
      <c r="PQD312" s="184"/>
      <c r="PQE312" s="184"/>
      <c r="PQF312" s="187"/>
      <c r="PQG312" s="188"/>
      <c r="PQI312" s="182"/>
      <c r="PQJ312" s="183"/>
      <c r="PQQ312" s="267"/>
      <c r="PQR312" s="269"/>
      <c r="PQS312" s="267"/>
      <c r="PQT312" s="184"/>
      <c r="PQU312" s="184"/>
      <c r="PQV312" s="185"/>
      <c r="PQW312" s="184"/>
      <c r="PQX312" s="184"/>
      <c r="PQY312" s="184"/>
      <c r="PQZ312" s="187"/>
      <c r="PRA312" s="188"/>
      <c r="PRC312" s="182"/>
      <c r="PRD312" s="183"/>
      <c r="PRK312" s="267"/>
      <c r="PRL312" s="269"/>
      <c r="PRM312" s="267"/>
      <c r="PRN312" s="184"/>
      <c r="PRO312" s="184"/>
      <c r="PRP312" s="185"/>
      <c r="PRQ312" s="184"/>
      <c r="PRR312" s="184"/>
      <c r="PRS312" s="184"/>
      <c r="PRT312" s="187"/>
      <c r="PRU312" s="188"/>
      <c r="PRW312" s="182"/>
      <c r="PRX312" s="183"/>
      <c r="PSE312" s="267"/>
      <c r="PSF312" s="269"/>
      <c r="PSG312" s="267"/>
      <c r="PSH312" s="184"/>
      <c r="PSI312" s="184"/>
      <c r="PSJ312" s="185"/>
      <c r="PSK312" s="184"/>
      <c r="PSL312" s="184"/>
      <c r="PSM312" s="184"/>
      <c r="PSN312" s="187"/>
      <c r="PSO312" s="188"/>
      <c r="PSQ312" s="182"/>
      <c r="PSR312" s="183"/>
      <c r="PSY312" s="267"/>
      <c r="PSZ312" s="269"/>
      <c r="PTA312" s="267"/>
      <c r="PTB312" s="184"/>
      <c r="PTC312" s="184"/>
      <c r="PTD312" s="185"/>
      <c r="PTE312" s="184"/>
      <c r="PTF312" s="184"/>
      <c r="PTG312" s="184"/>
      <c r="PTH312" s="187"/>
      <c r="PTI312" s="188"/>
      <c r="PTK312" s="182"/>
      <c r="PTL312" s="183"/>
      <c r="PTS312" s="267"/>
      <c r="PTT312" s="269"/>
      <c r="PTU312" s="267"/>
      <c r="PTV312" s="184"/>
      <c r="PTW312" s="184"/>
      <c r="PTX312" s="185"/>
      <c r="PTY312" s="184"/>
      <c r="PTZ312" s="184"/>
      <c r="PUA312" s="184"/>
      <c r="PUB312" s="187"/>
      <c r="PUC312" s="188"/>
      <c r="PUE312" s="182"/>
      <c r="PUF312" s="183"/>
      <c r="PUM312" s="267"/>
      <c r="PUN312" s="269"/>
      <c r="PUO312" s="267"/>
      <c r="PUP312" s="184"/>
      <c r="PUQ312" s="184"/>
      <c r="PUR312" s="185"/>
      <c r="PUS312" s="184"/>
      <c r="PUT312" s="184"/>
      <c r="PUU312" s="184"/>
      <c r="PUV312" s="187"/>
      <c r="PUW312" s="188"/>
      <c r="PUY312" s="182"/>
      <c r="PUZ312" s="183"/>
      <c r="PVG312" s="267"/>
      <c r="PVH312" s="269"/>
      <c r="PVI312" s="267"/>
      <c r="PVJ312" s="184"/>
      <c r="PVK312" s="184"/>
      <c r="PVL312" s="185"/>
      <c r="PVM312" s="184"/>
      <c r="PVN312" s="184"/>
      <c r="PVO312" s="184"/>
      <c r="PVP312" s="187"/>
      <c r="PVQ312" s="188"/>
      <c r="PVS312" s="182"/>
      <c r="PVT312" s="183"/>
      <c r="PWA312" s="267"/>
      <c r="PWB312" s="269"/>
      <c r="PWC312" s="267"/>
      <c r="PWD312" s="184"/>
      <c r="PWE312" s="184"/>
      <c r="PWF312" s="185"/>
      <c r="PWG312" s="184"/>
      <c r="PWH312" s="184"/>
      <c r="PWI312" s="184"/>
      <c r="PWJ312" s="187"/>
      <c r="PWK312" s="188"/>
      <c r="PWM312" s="182"/>
      <c r="PWN312" s="183"/>
      <c r="PWU312" s="267"/>
      <c r="PWV312" s="269"/>
      <c r="PWW312" s="267"/>
      <c r="PWX312" s="184"/>
      <c r="PWY312" s="184"/>
      <c r="PWZ312" s="185"/>
      <c r="PXA312" s="184"/>
      <c r="PXB312" s="184"/>
      <c r="PXC312" s="184"/>
      <c r="PXD312" s="187"/>
      <c r="PXE312" s="188"/>
      <c r="PXG312" s="182"/>
      <c r="PXH312" s="183"/>
      <c r="PXO312" s="267"/>
      <c r="PXP312" s="269"/>
      <c r="PXQ312" s="267"/>
      <c r="PXR312" s="184"/>
      <c r="PXS312" s="184"/>
      <c r="PXT312" s="185"/>
      <c r="PXU312" s="184"/>
      <c r="PXV312" s="184"/>
      <c r="PXW312" s="184"/>
      <c r="PXX312" s="187"/>
      <c r="PXY312" s="188"/>
      <c r="PYA312" s="182"/>
      <c r="PYB312" s="183"/>
      <c r="PYI312" s="267"/>
      <c r="PYJ312" s="269"/>
      <c r="PYK312" s="267"/>
      <c r="PYL312" s="184"/>
      <c r="PYM312" s="184"/>
      <c r="PYN312" s="185"/>
      <c r="PYO312" s="184"/>
      <c r="PYP312" s="184"/>
      <c r="PYQ312" s="184"/>
      <c r="PYR312" s="187"/>
      <c r="PYS312" s="188"/>
      <c r="PYU312" s="182"/>
      <c r="PYV312" s="183"/>
      <c r="PZC312" s="267"/>
      <c r="PZD312" s="269"/>
      <c r="PZE312" s="267"/>
      <c r="PZF312" s="184"/>
      <c r="PZG312" s="184"/>
      <c r="PZH312" s="185"/>
      <c r="PZI312" s="184"/>
      <c r="PZJ312" s="184"/>
      <c r="PZK312" s="184"/>
      <c r="PZL312" s="187"/>
      <c r="PZM312" s="188"/>
      <c r="PZO312" s="182"/>
      <c r="PZP312" s="183"/>
      <c r="PZW312" s="267"/>
      <c r="PZX312" s="269"/>
      <c r="PZY312" s="267"/>
      <c r="PZZ312" s="184"/>
      <c r="QAA312" s="184"/>
      <c r="QAB312" s="185"/>
      <c r="QAC312" s="184"/>
      <c r="QAD312" s="184"/>
      <c r="QAE312" s="184"/>
      <c r="QAF312" s="187"/>
      <c r="QAG312" s="188"/>
      <c r="QAI312" s="182"/>
      <c r="QAJ312" s="183"/>
      <c r="QAQ312" s="267"/>
      <c r="QAR312" s="269"/>
      <c r="QAS312" s="267"/>
      <c r="QAT312" s="184"/>
      <c r="QAU312" s="184"/>
      <c r="QAV312" s="185"/>
      <c r="QAW312" s="184"/>
      <c r="QAX312" s="184"/>
      <c r="QAY312" s="184"/>
      <c r="QAZ312" s="187"/>
      <c r="QBA312" s="188"/>
      <c r="QBC312" s="182"/>
      <c r="QBD312" s="183"/>
      <c r="QBK312" s="267"/>
      <c r="QBL312" s="269"/>
      <c r="QBM312" s="267"/>
      <c r="QBN312" s="184"/>
      <c r="QBO312" s="184"/>
      <c r="QBP312" s="185"/>
      <c r="QBQ312" s="184"/>
      <c r="QBR312" s="184"/>
      <c r="QBS312" s="184"/>
      <c r="QBT312" s="187"/>
      <c r="QBU312" s="188"/>
      <c r="QBW312" s="182"/>
      <c r="QBX312" s="183"/>
      <c r="QCE312" s="267"/>
      <c r="QCF312" s="269"/>
      <c r="QCG312" s="267"/>
      <c r="QCH312" s="184"/>
      <c r="QCI312" s="184"/>
      <c r="QCJ312" s="185"/>
      <c r="QCK312" s="184"/>
      <c r="QCL312" s="184"/>
      <c r="QCM312" s="184"/>
      <c r="QCN312" s="187"/>
      <c r="QCO312" s="188"/>
      <c r="QCQ312" s="182"/>
      <c r="QCR312" s="183"/>
      <c r="QCY312" s="267"/>
      <c r="QCZ312" s="269"/>
      <c r="QDA312" s="267"/>
      <c r="QDB312" s="184"/>
      <c r="QDC312" s="184"/>
      <c r="QDD312" s="185"/>
      <c r="QDE312" s="184"/>
      <c r="QDF312" s="184"/>
      <c r="QDG312" s="184"/>
      <c r="QDH312" s="187"/>
      <c r="QDI312" s="188"/>
      <c r="QDK312" s="182"/>
      <c r="QDL312" s="183"/>
      <c r="QDS312" s="267"/>
      <c r="QDT312" s="269"/>
      <c r="QDU312" s="267"/>
      <c r="QDV312" s="184"/>
      <c r="QDW312" s="184"/>
      <c r="QDX312" s="185"/>
      <c r="QDY312" s="184"/>
      <c r="QDZ312" s="184"/>
      <c r="QEA312" s="184"/>
      <c r="QEB312" s="187"/>
      <c r="QEC312" s="188"/>
      <c r="QEE312" s="182"/>
      <c r="QEF312" s="183"/>
      <c r="QEM312" s="267"/>
      <c r="QEN312" s="269"/>
      <c r="QEO312" s="267"/>
      <c r="QEP312" s="184"/>
      <c r="QEQ312" s="184"/>
      <c r="QER312" s="185"/>
      <c r="QES312" s="184"/>
      <c r="QET312" s="184"/>
      <c r="QEU312" s="184"/>
      <c r="QEV312" s="187"/>
      <c r="QEW312" s="188"/>
      <c r="QEY312" s="182"/>
      <c r="QEZ312" s="183"/>
      <c r="QFG312" s="267"/>
      <c r="QFH312" s="269"/>
      <c r="QFI312" s="267"/>
      <c r="QFJ312" s="184"/>
      <c r="QFK312" s="184"/>
      <c r="QFL312" s="185"/>
      <c r="QFM312" s="184"/>
      <c r="QFN312" s="184"/>
      <c r="QFO312" s="184"/>
      <c r="QFP312" s="187"/>
      <c r="QFQ312" s="188"/>
      <c r="QFS312" s="182"/>
      <c r="QFT312" s="183"/>
      <c r="QGA312" s="267"/>
      <c r="QGB312" s="269"/>
      <c r="QGC312" s="267"/>
      <c r="QGD312" s="184"/>
      <c r="QGE312" s="184"/>
      <c r="QGF312" s="185"/>
      <c r="QGG312" s="184"/>
      <c r="QGH312" s="184"/>
      <c r="QGI312" s="184"/>
      <c r="QGJ312" s="187"/>
      <c r="QGK312" s="188"/>
      <c r="QGM312" s="182"/>
      <c r="QGN312" s="183"/>
      <c r="QGU312" s="267"/>
      <c r="QGV312" s="269"/>
      <c r="QGW312" s="267"/>
      <c r="QGX312" s="184"/>
      <c r="QGY312" s="184"/>
      <c r="QGZ312" s="185"/>
      <c r="QHA312" s="184"/>
      <c r="QHB312" s="184"/>
      <c r="QHC312" s="184"/>
      <c r="QHD312" s="187"/>
      <c r="QHE312" s="188"/>
      <c r="QHG312" s="182"/>
      <c r="QHH312" s="183"/>
      <c r="QHO312" s="267"/>
      <c r="QHP312" s="269"/>
      <c r="QHQ312" s="267"/>
      <c r="QHR312" s="184"/>
      <c r="QHS312" s="184"/>
      <c r="QHT312" s="185"/>
      <c r="QHU312" s="184"/>
      <c r="QHV312" s="184"/>
      <c r="QHW312" s="184"/>
      <c r="QHX312" s="187"/>
      <c r="QHY312" s="188"/>
      <c r="QIA312" s="182"/>
      <c r="QIB312" s="183"/>
      <c r="QII312" s="267"/>
      <c r="QIJ312" s="269"/>
      <c r="QIK312" s="267"/>
      <c r="QIL312" s="184"/>
      <c r="QIM312" s="184"/>
      <c r="QIN312" s="185"/>
      <c r="QIO312" s="184"/>
      <c r="QIP312" s="184"/>
      <c r="QIQ312" s="184"/>
      <c r="QIR312" s="187"/>
      <c r="QIS312" s="188"/>
      <c r="QIU312" s="182"/>
      <c r="QIV312" s="183"/>
      <c r="QJC312" s="267"/>
      <c r="QJD312" s="269"/>
      <c r="QJE312" s="267"/>
      <c r="QJF312" s="184"/>
      <c r="QJG312" s="184"/>
      <c r="QJH312" s="185"/>
      <c r="QJI312" s="184"/>
      <c r="QJJ312" s="184"/>
      <c r="QJK312" s="184"/>
      <c r="QJL312" s="187"/>
      <c r="QJM312" s="188"/>
      <c r="QJO312" s="182"/>
      <c r="QJP312" s="183"/>
      <c r="QJW312" s="267"/>
      <c r="QJX312" s="269"/>
      <c r="QJY312" s="267"/>
      <c r="QJZ312" s="184"/>
      <c r="QKA312" s="184"/>
      <c r="QKB312" s="185"/>
      <c r="QKC312" s="184"/>
      <c r="QKD312" s="184"/>
      <c r="QKE312" s="184"/>
      <c r="QKF312" s="187"/>
      <c r="QKG312" s="188"/>
      <c r="QKI312" s="182"/>
      <c r="QKJ312" s="183"/>
      <c r="QKQ312" s="267"/>
      <c r="QKR312" s="269"/>
      <c r="QKS312" s="267"/>
      <c r="QKT312" s="184"/>
      <c r="QKU312" s="184"/>
      <c r="QKV312" s="185"/>
      <c r="QKW312" s="184"/>
      <c r="QKX312" s="184"/>
      <c r="QKY312" s="184"/>
      <c r="QKZ312" s="187"/>
      <c r="QLA312" s="188"/>
      <c r="QLC312" s="182"/>
      <c r="QLD312" s="183"/>
      <c r="QLK312" s="267"/>
      <c r="QLL312" s="269"/>
      <c r="QLM312" s="267"/>
      <c r="QLN312" s="184"/>
      <c r="QLO312" s="184"/>
      <c r="QLP312" s="185"/>
      <c r="QLQ312" s="184"/>
      <c r="QLR312" s="184"/>
      <c r="QLS312" s="184"/>
      <c r="QLT312" s="187"/>
      <c r="QLU312" s="188"/>
      <c r="QLW312" s="182"/>
      <c r="QLX312" s="183"/>
      <c r="QME312" s="267"/>
      <c r="QMF312" s="269"/>
      <c r="QMG312" s="267"/>
      <c r="QMH312" s="184"/>
      <c r="QMI312" s="184"/>
      <c r="QMJ312" s="185"/>
      <c r="QMK312" s="184"/>
      <c r="QML312" s="184"/>
      <c r="QMM312" s="184"/>
      <c r="QMN312" s="187"/>
      <c r="QMO312" s="188"/>
      <c r="QMQ312" s="182"/>
      <c r="QMR312" s="183"/>
      <c r="QMY312" s="267"/>
      <c r="QMZ312" s="269"/>
      <c r="QNA312" s="267"/>
      <c r="QNB312" s="184"/>
      <c r="QNC312" s="184"/>
      <c r="QND312" s="185"/>
      <c r="QNE312" s="184"/>
      <c r="QNF312" s="184"/>
      <c r="QNG312" s="184"/>
      <c r="QNH312" s="187"/>
      <c r="QNI312" s="188"/>
      <c r="QNK312" s="182"/>
      <c r="QNL312" s="183"/>
      <c r="QNS312" s="267"/>
      <c r="QNT312" s="269"/>
      <c r="QNU312" s="267"/>
      <c r="QNV312" s="184"/>
      <c r="QNW312" s="184"/>
      <c r="QNX312" s="185"/>
      <c r="QNY312" s="184"/>
      <c r="QNZ312" s="184"/>
      <c r="QOA312" s="184"/>
      <c r="QOB312" s="187"/>
      <c r="QOC312" s="188"/>
      <c r="QOE312" s="182"/>
      <c r="QOF312" s="183"/>
      <c r="QOM312" s="267"/>
      <c r="QON312" s="269"/>
      <c r="QOO312" s="267"/>
      <c r="QOP312" s="184"/>
      <c r="QOQ312" s="184"/>
      <c r="QOR312" s="185"/>
      <c r="QOS312" s="184"/>
      <c r="QOT312" s="184"/>
      <c r="QOU312" s="184"/>
      <c r="QOV312" s="187"/>
      <c r="QOW312" s="188"/>
      <c r="QOY312" s="182"/>
      <c r="QOZ312" s="183"/>
      <c r="QPG312" s="267"/>
      <c r="QPH312" s="269"/>
      <c r="QPI312" s="267"/>
      <c r="QPJ312" s="184"/>
      <c r="QPK312" s="184"/>
      <c r="QPL312" s="185"/>
      <c r="QPM312" s="184"/>
      <c r="QPN312" s="184"/>
      <c r="QPO312" s="184"/>
      <c r="QPP312" s="187"/>
      <c r="QPQ312" s="188"/>
      <c r="QPS312" s="182"/>
      <c r="QPT312" s="183"/>
      <c r="QQA312" s="267"/>
      <c r="QQB312" s="269"/>
      <c r="QQC312" s="267"/>
      <c r="QQD312" s="184"/>
      <c r="QQE312" s="184"/>
      <c r="QQF312" s="185"/>
      <c r="QQG312" s="184"/>
      <c r="QQH312" s="184"/>
      <c r="QQI312" s="184"/>
      <c r="QQJ312" s="187"/>
      <c r="QQK312" s="188"/>
      <c r="QQM312" s="182"/>
      <c r="QQN312" s="183"/>
      <c r="QQU312" s="267"/>
      <c r="QQV312" s="269"/>
      <c r="QQW312" s="267"/>
      <c r="QQX312" s="184"/>
      <c r="QQY312" s="184"/>
      <c r="QQZ312" s="185"/>
      <c r="QRA312" s="184"/>
      <c r="QRB312" s="184"/>
      <c r="QRC312" s="184"/>
      <c r="QRD312" s="187"/>
      <c r="QRE312" s="188"/>
      <c r="QRG312" s="182"/>
      <c r="QRH312" s="183"/>
      <c r="QRO312" s="267"/>
      <c r="QRP312" s="269"/>
      <c r="QRQ312" s="267"/>
      <c r="QRR312" s="184"/>
      <c r="QRS312" s="184"/>
      <c r="QRT312" s="185"/>
      <c r="QRU312" s="184"/>
      <c r="QRV312" s="184"/>
      <c r="QRW312" s="184"/>
      <c r="QRX312" s="187"/>
      <c r="QRY312" s="188"/>
      <c r="QSA312" s="182"/>
      <c r="QSB312" s="183"/>
      <c r="QSI312" s="267"/>
      <c r="QSJ312" s="269"/>
      <c r="QSK312" s="267"/>
      <c r="QSL312" s="184"/>
      <c r="QSM312" s="184"/>
      <c r="QSN312" s="185"/>
      <c r="QSO312" s="184"/>
      <c r="QSP312" s="184"/>
      <c r="QSQ312" s="184"/>
      <c r="QSR312" s="187"/>
      <c r="QSS312" s="188"/>
      <c r="QSU312" s="182"/>
      <c r="QSV312" s="183"/>
      <c r="QTC312" s="267"/>
      <c r="QTD312" s="269"/>
      <c r="QTE312" s="267"/>
      <c r="QTF312" s="184"/>
      <c r="QTG312" s="184"/>
      <c r="QTH312" s="185"/>
      <c r="QTI312" s="184"/>
      <c r="QTJ312" s="184"/>
      <c r="QTK312" s="184"/>
      <c r="QTL312" s="187"/>
      <c r="QTM312" s="188"/>
      <c r="QTO312" s="182"/>
      <c r="QTP312" s="183"/>
      <c r="QTW312" s="267"/>
      <c r="QTX312" s="269"/>
      <c r="QTY312" s="267"/>
      <c r="QTZ312" s="184"/>
      <c r="QUA312" s="184"/>
      <c r="QUB312" s="185"/>
      <c r="QUC312" s="184"/>
      <c r="QUD312" s="184"/>
      <c r="QUE312" s="184"/>
      <c r="QUF312" s="187"/>
      <c r="QUG312" s="188"/>
      <c r="QUI312" s="182"/>
      <c r="QUJ312" s="183"/>
      <c r="QUQ312" s="267"/>
      <c r="QUR312" s="269"/>
      <c r="QUS312" s="267"/>
      <c r="QUT312" s="184"/>
      <c r="QUU312" s="184"/>
      <c r="QUV312" s="185"/>
      <c r="QUW312" s="184"/>
      <c r="QUX312" s="184"/>
      <c r="QUY312" s="184"/>
      <c r="QUZ312" s="187"/>
      <c r="QVA312" s="188"/>
      <c r="QVC312" s="182"/>
      <c r="QVD312" s="183"/>
      <c r="QVK312" s="267"/>
      <c r="QVL312" s="269"/>
      <c r="QVM312" s="267"/>
      <c r="QVN312" s="184"/>
      <c r="QVO312" s="184"/>
      <c r="QVP312" s="185"/>
      <c r="QVQ312" s="184"/>
      <c r="QVR312" s="184"/>
      <c r="QVS312" s="184"/>
      <c r="QVT312" s="187"/>
      <c r="QVU312" s="188"/>
      <c r="QVW312" s="182"/>
      <c r="QVX312" s="183"/>
      <c r="QWE312" s="267"/>
      <c r="QWF312" s="269"/>
      <c r="QWG312" s="267"/>
      <c r="QWH312" s="184"/>
      <c r="QWI312" s="184"/>
      <c r="QWJ312" s="185"/>
      <c r="QWK312" s="184"/>
      <c r="QWL312" s="184"/>
      <c r="QWM312" s="184"/>
      <c r="QWN312" s="187"/>
      <c r="QWO312" s="188"/>
      <c r="QWQ312" s="182"/>
      <c r="QWR312" s="183"/>
      <c r="QWY312" s="267"/>
      <c r="QWZ312" s="269"/>
      <c r="QXA312" s="267"/>
      <c r="QXB312" s="184"/>
      <c r="QXC312" s="184"/>
      <c r="QXD312" s="185"/>
      <c r="QXE312" s="184"/>
      <c r="QXF312" s="184"/>
      <c r="QXG312" s="184"/>
      <c r="QXH312" s="187"/>
      <c r="QXI312" s="188"/>
      <c r="QXK312" s="182"/>
      <c r="QXL312" s="183"/>
      <c r="QXS312" s="267"/>
      <c r="QXT312" s="269"/>
      <c r="QXU312" s="267"/>
      <c r="QXV312" s="184"/>
      <c r="QXW312" s="184"/>
      <c r="QXX312" s="185"/>
      <c r="QXY312" s="184"/>
      <c r="QXZ312" s="184"/>
      <c r="QYA312" s="184"/>
      <c r="QYB312" s="187"/>
      <c r="QYC312" s="188"/>
      <c r="QYE312" s="182"/>
      <c r="QYF312" s="183"/>
      <c r="QYM312" s="267"/>
      <c r="QYN312" s="269"/>
      <c r="QYO312" s="267"/>
      <c r="QYP312" s="184"/>
      <c r="QYQ312" s="184"/>
      <c r="QYR312" s="185"/>
      <c r="QYS312" s="184"/>
      <c r="QYT312" s="184"/>
      <c r="QYU312" s="184"/>
      <c r="QYV312" s="187"/>
      <c r="QYW312" s="188"/>
      <c r="QYY312" s="182"/>
      <c r="QYZ312" s="183"/>
      <c r="QZG312" s="267"/>
      <c r="QZH312" s="269"/>
      <c r="QZI312" s="267"/>
      <c r="QZJ312" s="184"/>
      <c r="QZK312" s="184"/>
      <c r="QZL312" s="185"/>
      <c r="QZM312" s="184"/>
      <c r="QZN312" s="184"/>
      <c r="QZO312" s="184"/>
      <c r="QZP312" s="187"/>
      <c r="QZQ312" s="188"/>
      <c r="QZS312" s="182"/>
      <c r="QZT312" s="183"/>
      <c r="RAA312" s="267"/>
      <c r="RAB312" s="269"/>
      <c r="RAC312" s="267"/>
      <c r="RAD312" s="184"/>
      <c r="RAE312" s="184"/>
      <c r="RAF312" s="185"/>
      <c r="RAG312" s="184"/>
      <c r="RAH312" s="184"/>
      <c r="RAI312" s="184"/>
      <c r="RAJ312" s="187"/>
      <c r="RAK312" s="188"/>
      <c r="RAM312" s="182"/>
      <c r="RAN312" s="183"/>
      <c r="RAU312" s="267"/>
      <c r="RAV312" s="269"/>
      <c r="RAW312" s="267"/>
      <c r="RAX312" s="184"/>
      <c r="RAY312" s="184"/>
      <c r="RAZ312" s="185"/>
      <c r="RBA312" s="184"/>
      <c r="RBB312" s="184"/>
      <c r="RBC312" s="184"/>
      <c r="RBD312" s="187"/>
      <c r="RBE312" s="188"/>
      <c r="RBG312" s="182"/>
      <c r="RBH312" s="183"/>
      <c r="RBO312" s="267"/>
      <c r="RBP312" s="269"/>
      <c r="RBQ312" s="267"/>
      <c r="RBR312" s="184"/>
      <c r="RBS312" s="184"/>
      <c r="RBT312" s="185"/>
      <c r="RBU312" s="184"/>
      <c r="RBV312" s="184"/>
      <c r="RBW312" s="184"/>
      <c r="RBX312" s="187"/>
      <c r="RBY312" s="188"/>
      <c r="RCA312" s="182"/>
      <c r="RCB312" s="183"/>
      <c r="RCI312" s="267"/>
      <c r="RCJ312" s="269"/>
      <c r="RCK312" s="267"/>
      <c r="RCL312" s="184"/>
      <c r="RCM312" s="184"/>
      <c r="RCN312" s="185"/>
      <c r="RCO312" s="184"/>
      <c r="RCP312" s="184"/>
      <c r="RCQ312" s="184"/>
      <c r="RCR312" s="187"/>
      <c r="RCS312" s="188"/>
      <c r="RCU312" s="182"/>
      <c r="RCV312" s="183"/>
      <c r="RDC312" s="267"/>
      <c r="RDD312" s="269"/>
      <c r="RDE312" s="267"/>
      <c r="RDF312" s="184"/>
      <c r="RDG312" s="184"/>
      <c r="RDH312" s="185"/>
      <c r="RDI312" s="184"/>
      <c r="RDJ312" s="184"/>
      <c r="RDK312" s="184"/>
      <c r="RDL312" s="187"/>
      <c r="RDM312" s="188"/>
      <c r="RDO312" s="182"/>
      <c r="RDP312" s="183"/>
      <c r="RDW312" s="267"/>
      <c r="RDX312" s="269"/>
      <c r="RDY312" s="267"/>
      <c r="RDZ312" s="184"/>
      <c r="REA312" s="184"/>
      <c r="REB312" s="185"/>
      <c r="REC312" s="184"/>
      <c r="RED312" s="184"/>
      <c r="REE312" s="184"/>
      <c r="REF312" s="187"/>
      <c r="REG312" s="188"/>
      <c r="REI312" s="182"/>
      <c r="REJ312" s="183"/>
      <c r="REQ312" s="267"/>
      <c r="RER312" s="269"/>
      <c r="RES312" s="267"/>
      <c r="RET312" s="184"/>
      <c r="REU312" s="184"/>
      <c r="REV312" s="185"/>
      <c r="REW312" s="184"/>
      <c r="REX312" s="184"/>
      <c r="REY312" s="184"/>
      <c r="REZ312" s="187"/>
      <c r="RFA312" s="188"/>
      <c r="RFC312" s="182"/>
      <c r="RFD312" s="183"/>
      <c r="RFK312" s="267"/>
      <c r="RFL312" s="269"/>
      <c r="RFM312" s="267"/>
      <c r="RFN312" s="184"/>
      <c r="RFO312" s="184"/>
      <c r="RFP312" s="185"/>
      <c r="RFQ312" s="184"/>
      <c r="RFR312" s="184"/>
      <c r="RFS312" s="184"/>
      <c r="RFT312" s="187"/>
      <c r="RFU312" s="188"/>
      <c r="RFW312" s="182"/>
      <c r="RFX312" s="183"/>
      <c r="RGE312" s="267"/>
      <c r="RGF312" s="269"/>
      <c r="RGG312" s="267"/>
      <c r="RGH312" s="184"/>
      <c r="RGI312" s="184"/>
      <c r="RGJ312" s="185"/>
      <c r="RGK312" s="184"/>
      <c r="RGL312" s="184"/>
      <c r="RGM312" s="184"/>
      <c r="RGN312" s="187"/>
      <c r="RGO312" s="188"/>
      <c r="RGQ312" s="182"/>
      <c r="RGR312" s="183"/>
      <c r="RGY312" s="267"/>
      <c r="RGZ312" s="269"/>
      <c r="RHA312" s="267"/>
      <c r="RHB312" s="184"/>
      <c r="RHC312" s="184"/>
      <c r="RHD312" s="185"/>
      <c r="RHE312" s="184"/>
      <c r="RHF312" s="184"/>
      <c r="RHG312" s="184"/>
      <c r="RHH312" s="187"/>
      <c r="RHI312" s="188"/>
      <c r="RHK312" s="182"/>
      <c r="RHL312" s="183"/>
      <c r="RHS312" s="267"/>
      <c r="RHT312" s="269"/>
      <c r="RHU312" s="267"/>
      <c r="RHV312" s="184"/>
      <c r="RHW312" s="184"/>
      <c r="RHX312" s="185"/>
      <c r="RHY312" s="184"/>
      <c r="RHZ312" s="184"/>
      <c r="RIA312" s="184"/>
      <c r="RIB312" s="187"/>
      <c r="RIC312" s="188"/>
      <c r="RIE312" s="182"/>
      <c r="RIF312" s="183"/>
      <c r="RIM312" s="267"/>
      <c r="RIN312" s="269"/>
      <c r="RIO312" s="267"/>
      <c r="RIP312" s="184"/>
      <c r="RIQ312" s="184"/>
      <c r="RIR312" s="185"/>
      <c r="RIS312" s="184"/>
      <c r="RIT312" s="184"/>
      <c r="RIU312" s="184"/>
      <c r="RIV312" s="187"/>
      <c r="RIW312" s="188"/>
      <c r="RIY312" s="182"/>
      <c r="RIZ312" s="183"/>
      <c r="RJG312" s="267"/>
      <c r="RJH312" s="269"/>
      <c r="RJI312" s="267"/>
      <c r="RJJ312" s="184"/>
      <c r="RJK312" s="184"/>
      <c r="RJL312" s="185"/>
      <c r="RJM312" s="184"/>
      <c r="RJN312" s="184"/>
      <c r="RJO312" s="184"/>
      <c r="RJP312" s="187"/>
      <c r="RJQ312" s="188"/>
      <c r="RJS312" s="182"/>
      <c r="RJT312" s="183"/>
      <c r="RKA312" s="267"/>
      <c r="RKB312" s="269"/>
      <c r="RKC312" s="267"/>
      <c r="RKD312" s="184"/>
      <c r="RKE312" s="184"/>
      <c r="RKF312" s="185"/>
      <c r="RKG312" s="184"/>
      <c r="RKH312" s="184"/>
      <c r="RKI312" s="184"/>
      <c r="RKJ312" s="187"/>
      <c r="RKK312" s="188"/>
      <c r="RKM312" s="182"/>
      <c r="RKN312" s="183"/>
      <c r="RKU312" s="267"/>
      <c r="RKV312" s="269"/>
      <c r="RKW312" s="267"/>
      <c r="RKX312" s="184"/>
      <c r="RKY312" s="184"/>
      <c r="RKZ312" s="185"/>
      <c r="RLA312" s="184"/>
      <c r="RLB312" s="184"/>
      <c r="RLC312" s="184"/>
      <c r="RLD312" s="187"/>
      <c r="RLE312" s="188"/>
      <c r="RLG312" s="182"/>
      <c r="RLH312" s="183"/>
      <c r="RLO312" s="267"/>
      <c r="RLP312" s="269"/>
      <c r="RLQ312" s="267"/>
      <c r="RLR312" s="184"/>
      <c r="RLS312" s="184"/>
      <c r="RLT312" s="185"/>
      <c r="RLU312" s="184"/>
      <c r="RLV312" s="184"/>
      <c r="RLW312" s="184"/>
      <c r="RLX312" s="187"/>
      <c r="RLY312" s="188"/>
      <c r="RMA312" s="182"/>
      <c r="RMB312" s="183"/>
      <c r="RMI312" s="267"/>
      <c r="RMJ312" s="269"/>
      <c r="RMK312" s="267"/>
      <c r="RML312" s="184"/>
      <c r="RMM312" s="184"/>
      <c r="RMN312" s="185"/>
      <c r="RMO312" s="184"/>
      <c r="RMP312" s="184"/>
      <c r="RMQ312" s="184"/>
      <c r="RMR312" s="187"/>
      <c r="RMS312" s="188"/>
      <c r="RMU312" s="182"/>
      <c r="RMV312" s="183"/>
      <c r="RNC312" s="267"/>
      <c r="RND312" s="269"/>
      <c r="RNE312" s="267"/>
      <c r="RNF312" s="184"/>
      <c r="RNG312" s="184"/>
      <c r="RNH312" s="185"/>
      <c r="RNI312" s="184"/>
      <c r="RNJ312" s="184"/>
      <c r="RNK312" s="184"/>
      <c r="RNL312" s="187"/>
      <c r="RNM312" s="188"/>
      <c r="RNO312" s="182"/>
      <c r="RNP312" s="183"/>
      <c r="RNW312" s="267"/>
      <c r="RNX312" s="269"/>
      <c r="RNY312" s="267"/>
      <c r="RNZ312" s="184"/>
      <c r="ROA312" s="184"/>
      <c r="ROB312" s="185"/>
      <c r="ROC312" s="184"/>
      <c r="ROD312" s="184"/>
      <c r="ROE312" s="184"/>
      <c r="ROF312" s="187"/>
      <c r="ROG312" s="188"/>
      <c r="ROI312" s="182"/>
      <c r="ROJ312" s="183"/>
      <c r="ROQ312" s="267"/>
      <c r="ROR312" s="269"/>
      <c r="ROS312" s="267"/>
      <c r="ROT312" s="184"/>
      <c r="ROU312" s="184"/>
      <c r="ROV312" s="185"/>
      <c r="ROW312" s="184"/>
      <c r="ROX312" s="184"/>
      <c r="ROY312" s="184"/>
      <c r="ROZ312" s="187"/>
      <c r="RPA312" s="188"/>
      <c r="RPC312" s="182"/>
      <c r="RPD312" s="183"/>
      <c r="RPK312" s="267"/>
      <c r="RPL312" s="269"/>
      <c r="RPM312" s="267"/>
      <c r="RPN312" s="184"/>
      <c r="RPO312" s="184"/>
      <c r="RPP312" s="185"/>
      <c r="RPQ312" s="184"/>
      <c r="RPR312" s="184"/>
      <c r="RPS312" s="184"/>
      <c r="RPT312" s="187"/>
      <c r="RPU312" s="188"/>
      <c r="RPW312" s="182"/>
      <c r="RPX312" s="183"/>
      <c r="RQE312" s="267"/>
      <c r="RQF312" s="269"/>
      <c r="RQG312" s="267"/>
      <c r="RQH312" s="184"/>
      <c r="RQI312" s="184"/>
      <c r="RQJ312" s="185"/>
      <c r="RQK312" s="184"/>
      <c r="RQL312" s="184"/>
      <c r="RQM312" s="184"/>
      <c r="RQN312" s="187"/>
      <c r="RQO312" s="188"/>
      <c r="RQQ312" s="182"/>
      <c r="RQR312" s="183"/>
      <c r="RQY312" s="267"/>
      <c r="RQZ312" s="269"/>
      <c r="RRA312" s="267"/>
      <c r="RRB312" s="184"/>
      <c r="RRC312" s="184"/>
      <c r="RRD312" s="185"/>
      <c r="RRE312" s="184"/>
      <c r="RRF312" s="184"/>
      <c r="RRG312" s="184"/>
      <c r="RRH312" s="187"/>
      <c r="RRI312" s="188"/>
      <c r="RRK312" s="182"/>
      <c r="RRL312" s="183"/>
      <c r="RRS312" s="267"/>
      <c r="RRT312" s="269"/>
      <c r="RRU312" s="267"/>
      <c r="RRV312" s="184"/>
      <c r="RRW312" s="184"/>
      <c r="RRX312" s="185"/>
      <c r="RRY312" s="184"/>
      <c r="RRZ312" s="184"/>
      <c r="RSA312" s="184"/>
      <c r="RSB312" s="187"/>
      <c r="RSC312" s="188"/>
      <c r="RSE312" s="182"/>
      <c r="RSF312" s="183"/>
      <c r="RSM312" s="267"/>
      <c r="RSN312" s="269"/>
      <c r="RSO312" s="267"/>
      <c r="RSP312" s="184"/>
      <c r="RSQ312" s="184"/>
      <c r="RSR312" s="185"/>
      <c r="RSS312" s="184"/>
      <c r="RST312" s="184"/>
      <c r="RSU312" s="184"/>
      <c r="RSV312" s="187"/>
      <c r="RSW312" s="188"/>
      <c r="RSY312" s="182"/>
      <c r="RSZ312" s="183"/>
      <c r="RTG312" s="267"/>
      <c r="RTH312" s="269"/>
      <c r="RTI312" s="267"/>
      <c r="RTJ312" s="184"/>
      <c r="RTK312" s="184"/>
      <c r="RTL312" s="185"/>
      <c r="RTM312" s="184"/>
      <c r="RTN312" s="184"/>
      <c r="RTO312" s="184"/>
      <c r="RTP312" s="187"/>
      <c r="RTQ312" s="188"/>
      <c r="RTS312" s="182"/>
      <c r="RTT312" s="183"/>
      <c r="RUA312" s="267"/>
      <c r="RUB312" s="269"/>
      <c r="RUC312" s="267"/>
      <c r="RUD312" s="184"/>
      <c r="RUE312" s="184"/>
      <c r="RUF312" s="185"/>
      <c r="RUG312" s="184"/>
      <c r="RUH312" s="184"/>
      <c r="RUI312" s="184"/>
      <c r="RUJ312" s="187"/>
      <c r="RUK312" s="188"/>
      <c r="RUM312" s="182"/>
      <c r="RUN312" s="183"/>
      <c r="RUU312" s="267"/>
      <c r="RUV312" s="269"/>
      <c r="RUW312" s="267"/>
      <c r="RUX312" s="184"/>
      <c r="RUY312" s="184"/>
      <c r="RUZ312" s="185"/>
      <c r="RVA312" s="184"/>
      <c r="RVB312" s="184"/>
      <c r="RVC312" s="184"/>
      <c r="RVD312" s="187"/>
      <c r="RVE312" s="188"/>
      <c r="RVG312" s="182"/>
      <c r="RVH312" s="183"/>
      <c r="RVO312" s="267"/>
      <c r="RVP312" s="269"/>
      <c r="RVQ312" s="267"/>
      <c r="RVR312" s="184"/>
      <c r="RVS312" s="184"/>
      <c r="RVT312" s="185"/>
      <c r="RVU312" s="184"/>
      <c r="RVV312" s="184"/>
      <c r="RVW312" s="184"/>
      <c r="RVX312" s="187"/>
      <c r="RVY312" s="188"/>
      <c r="RWA312" s="182"/>
      <c r="RWB312" s="183"/>
      <c r="RWI312" s="267"/>
      <c r="RWJ312" s="269"/>
      <c r="RWK312" s="267"/>
      <c r="RWL312" s="184"/>
      <c r="RWM312" s="184"/>
      <c r="RWN312" s="185"/>
      <c r="RWO312" s="184"/>
      <c r="RWP312" s="184"/>
      <c r="RWQ312" s="184"/>
      <c r="RWR312" s="187"/>
      <c r="RWS312" s="188"/>
      <c r="RWU312" s="182"/>
      <c r="RWV312" s="183"/>
      <c r="RXC312" s="267"/>
      <c r="RXD312" s="269"/>
      <c r="RXE312" s="267"/>
      <c r="RXF312" s="184"/>
      <c r="RXG312" s="184"/>
      <c r="RXH312" s="185"/>
      <c r="RXI312" s="184"/>
      <c r="RXJ312" s="184"/>
      <c r="RXK312" s="184"/>
      <c r="RXL312" s="187"/>
      <c r="RXM312" s="188"/>
      <c r="RXO312" s="182"/>
      <c r="RXP312" s="183"/>
      <c r="RXW312" s="267"/>
      <c r="RXX312" s="269"/>
      <c r="RXY312" s="267"/>
      <c r="RXZ312" s="184"/>
      <c r="RYA312" s="184"/>
      <c r="RYB312" s="185"/>
      <c r="RYC312" s="184"/>
      <c r="RYD312" s="184"/>
      <c r="RYE312" s="184"/>
      <c r="RYF312" s="187"/>
      <c r="RYG312" s="188"/>
      <c r="RYI312" s="182"/>
      <c r="RYJ312" s="183"/>
      <c r="RYQ312" s="267"/>
      <c r="RYR312" s="269"/>
      <c r="RYS312" s="267"/>
      <c r="RYT312" s="184"/>
      <c r="RYU312" s="184"/>
      <c r="RYV312" s="185"/>
      <c r="RYW312" s="184"/>
      <c r="RYX312" s="184"/>
      <c r="RYY312" s="184"/>
      <c r="RYZ312" s="187"/>
      <c r="RZA312" s="188"/>
      <c r="RZC312" s="182"/>
      <c r="RZD312" s="183"/>
      <c r="RZK312" s="267"/>
      <c r="RZL312" s="269"/>
      <c r="RZM312" s="267"/>
      <c r="RZN312" s="184"/>
      <c r="RZO312" s="184"/>
      <c r="RZP312" s="185"/>
      <c r="RZQ312" s="184"/>
      <c r="RZR312" s="184"/>
      <c r="RZS312" s="184"/>
      <c r="RZT312" s="187"/>
      <c r="RZU312" s="188"/>
      <c r="RZW312" s="182"/>
      <c r="RZX312" s="183"/>
      <c r="SAE312" s="267"/>
      <c r="SAF312" s="269"/>
      <c r="SAG312" s="267"/>
      <c r="SAH312" s="184"/>
      <c r="SAI312" s="184"/>
      <c r="SAJ312" s="185"/>
      <c r="SAK312" s="184"/>
      <c r="SAL312" s="184"/>
      <c r="SAM312" s="184"/>
      <c r="SAN312" s="187"/>
      <c r="SAO312" s="188"/>
      <c r="SAQ312" s="182"/>
      <c r="SAR312" s="183"/>
      <c r="SAY312" s="267"/>
      <c r="SAZ312" s="269"/>
      <c r="SBA312" s="267"/>
      <c r="SBB312" s="184"/>
      <c r="SBC312" s="184"/>
      <c r="SBD312" s="185"/>
      <c r="SBE312" s="184"/>
      <c r="SBF312" s="184"/>
      <c r="SBG312" s="184"/>
      <c r="SBH312" s="187"/>
      <c r="SBI312" s="188"/>
      <c r="SBK312" s="182"/>
      <c r="SBL312" s="183"/>
      <c r="SBS312" s="267"/>
      <c r="SBT312" s="269"/>
      <c r="SBU312" s="267"/>
      <c r="SBV312" s="184"/>
      <c r="SBW312" s="184"/>
      <c r="SBX312" s="185"/>
      <c r="SBY312" s="184"/>
      <c r="SBZ312" s="184"/>
      <c r="SCA312" s="184"/>
      <c r="SCB312" s="187"/>
      <c r="SCC312" s="188"/>
      <c r="SCE312" s="182"/>
      <c r="SCF312" s="183"/>
      <c r="SCM312" s="267"/>
      <c r="SCN312" s="269"/>
      <c r="SCO312" s="267"/>
      <c r="SCP312" s="184"/>
      <c r="SCQ312" s="184"/>
      <c r="SCR312" s="185"/>
      <c r="SCS312" s="184"/>
      <c r="SCT312" s="184"/>
      <c r="SCU312" s="184"/>
      <c r="SCV312" s="187"/>
      <c r="SCW312" s="188"/>
      <c r="SCY312" s="182"/>
      <c r="SCZ312" s="183"/>
      <c r="SDG312" s="267"/>
      <c r="SDH312" s="269"/>
      <c r="SDI312" s="267"/>
      <c r="SDJ312" s="184"/>
      <c r="SDK312" s="184"/>
      <c r="SDL312" s="185"/>
      <c r="SDM312" s="184"/>
      <c r="SDN312" s="184"/>
      <c r="SDO312" s="184"/>
      <c r="SDP312" s="187"/>
      <c r="SDQ312" s="188"/>
      <c r="SDS312" s="182"/>
      <c r="SDT312" s="183"/>
      <c r="SEA312" s="267"/>
      <c r="SEB312" s="269"/>
      <c r="SEC312" s="267"/>
      <c r="SED312" s="184"/>
      <c r="SEE312" s="184"/>
      <c r="SEF312" s="185"/>
      <c r="SEG312" s="184"/>
      <c r="SEH312" s="184"/>
      <c r="SEI312" s="184"/>
      <c r="SEJ312" s="187"/>
      <c r="SEK312" s="188"/>
      <c r="SEM312" s="182"/>
      <c r="SEN312" s="183"/>
      <c r="SEU312" s="267"/>
      <c r="SEV312" s="269"/>
      <c r="SEW312" s="267"/>
      <c r="SEX312" s="184"/>
      <c r="SEY312" s="184"/>
      <c r="SEZ312" s="185"/>
      <c r="SFA312" s="184"/>
      <c r="SFB312" s="184"/>
      <c r="SFC312" s="184"/>
      <c r="SFD312" s="187"/>
      <c r="SFE312" s="188"/>
      <c r="SFG312" s="182"/>
      <c r="SFH312" s="183"/>
      <c r="SFO312" s="267"/>
      <c r="SFP312" s="269"/>
      <c r="SFQ312" s="267"/>
      <c r="SFR312" s="184"/>
      <c r="SFS312" s="184"/>
      <c r="SFT312" s="185"/>
      <c r="SFU312" s="184"/>
      <c r="SFV312" s="184"/>
      <c r="SFW312" s="184"/>
      <c r="SFX312" s="187"/>
      <c r="SFY312" s="188"/>
      <c r="SGA312" s="182"/>
      <c r="SGB312" s="183"/>
      <c r="SGI312" s="267"/>
      <c r="SGJ312" s="269"/>
      <c r="SGK312" s="267"/>
      <c r="SGL312" s="184"/>
      <c r="SGM312" s="184"/>
      <c r="SGN312" s="185"/>
      <c r="SGO312" s="184"/>
      <c r="SGP312" s="184"/>
      <c r="SGQ312" s="184"/>
      <c r="SGR312" s="187"/>
      <c r="SGS312" s="188"/>
      <c r="SGU312" s="182"/>
      <c r="SGV312" s="183"/>
      <c r="SHC312" s="267"/>
      <c r="SHD312" s="269"/>
      <c r="SHE312" s="267"/>
      <c r="SHF312" s="184"/>
      <c r="SHG312" s="184"/>
      <c r="SHH312" s="185"/>
      <c r="SHI312" s="184"/>
      <c r="SHJ312" s="184"/>
      <c r="SHK312" s="184"/>
      <c r="SHL312" s="187"/>
      <c r="SHM312" s="188"/>
      <c r="SHO312" s="182"/>
      <c r="SHP312" s="183"/>
      <c r="SHW312" s="267"/>
      <c r="SHX312" s="269"/>
      <c r="SHY312" s="267"/>
      <c r="SHZ312" s="184"/>
      <c r="SIA312" s="184"/>
      <c r="SIB312" s="185"/>
      <c r="SIC312" s="184"/>
      <c r="SID312" s="184"/>
      <c r="SIE312" s="184"/>
      <c r="SIF312" s="187"/>
      <c r="SIG312" s="188"/>
      <c r="SII312" s="182"/>
      <c r="SIJ312" s="183"/>
      <c r="SIQ312" s="267"/>
      <c r="SIR312" s="269"/>
      <c r="SIS312" s="267"/>
      <c r="SIT312" s="184"/>
      <c r="SIU312" s="184"/>
      <c r="SIV312" s="185"/>
      <c r="SIW312" s="184"/>
      <c r="SIX312" s="184"/>
      <c r="SIY312" s="184"/>
      <c r="SIZ312" s="187"/>
      <c r="SJA312" s="188"/>
      <c r="SJC312" s="182"/>
      <c r="SJD312" s="183"/>
      <c r="SJK312" s="267"/>
      <c r="SJL312" s="269"/>
      <c r="SJM312" s="267"/>
      <c r="SJN312" s="184"/>
      <c r="SJO312" s="184"/>
      <c r="SJP312" s="185"/>
      <c r="SJQ312" s="184"/>
      <c r="SJR312" s="184"/>
      <c r="SJS312" s="184"/>
      <c r="SJT312" s="187"/>
      <c r="SJU312" s="188"/>
      <c r="SJW312" s="182"/>
      <c r="SJX312" s="183"/>
      <c r="SKE312" s="267"/>
      <c r="SKF312" s="269"/>
      <c r="SKG312" s="267"/>
      <c r="SKH312" s="184"/>
      <c r="SKI312" s="184"/>
      <c r="SKJ312" s="185"/>
      <c r="SKK312" s="184"/>
      <c r="SKL312" s="184"/>
      <c r="SKM312" s="184"/>
      <c r="SKN312" s="187"/>
      <c r="SKO312" s="188"/>
      <c r="SKQ312" s="182"/>
      <c r="SKR312" s="183"/>
      <c r="SKY312" s="267"/>
      <c r="SKZ312" s="269"/>
      <c r="SLA312" s="267"/>
      <c r="SLB312" s="184"/>
      <c r="SLC312" s="184"/>
      <c r="SLD312" s="185"/>
      <c r="SLE312" s="184"/>
      <c r="SLF312" s="184"/>
      <c r="SLG312" s="184"/>
      <c r="SLH312" s="187"/>
      <c r="SLI312" s="188"/>
      <c r="SLK312" s="182"/>
      <c r="SLL312" s="183"/>
      <c r="SLS312" s="267"/>
      <c r="SLT312" s="269"/>
      <c r="SLU312" s="267"/>
      <c r="SLV312" s="184"/>
      <c r="SLW312" s="184"/>
      <c r="SLX312" s="185"/>
      <c r="SLY312" s="184"/>
      <c r="SLZ312" s="184"/>
      <c r="SMA312" s="184"/>
      <c r="SMB312" s="187"/>
      <c r="SMC312" s="188"/>
      <c r="SME312" s="182"/>
      <c r="SMF312" s="183"/>
      <c r="SMM312" s="267"/>
      <c r="SMN312" s="269"/>
      <c r="SMO312" s="267"/>
      <c r="SMP312" s="184"/>
      <c r="SMQ312" s="184"/>
      <c r="SMR312" s="185"/>
      <c r="SMS312" s="184"/>
      <c r="SMT312" s="184"/>
      <c r="SMU312" s="184"/>
      <c r="SMV312" s="187"/>
      <c r="SMW312" s="188"/>
      <c r="SMY312" s="182"/>
      <c r="SMZ312" s="183"/>
      <c r="SNG312" s="267"/>
      <c r="SNH312" s="269"/>
      <c r="SNI312" s="267"/>
      <c r="SNJ312" s="184"/>
      <c r="SNK312" s="184"/>
      <c r="SNL312" s="185"/>
      <c r="SNM312" s="184"/>
      <c r="SNN312" s="184"/>
      <c r="SNO312" s="184"/>
      <c r="SNP312" s="187"/>
      <c r="SNQ312" s="188"/>
      <c r="SNS312" s="182"/>
      <c r="SNT312" s="183"/>
      <c r="SOA312" s="267"/>
      <c r="SOB312" s="269"/>
      <c r="SOC312" s="267"/>
      <c r="SOD312" s="184"/>
      <c r="SOE312" s="184"/>
      <c r="SOF312" s="185"/>
      <c r="SOG312" s="184"/>
      <c r="SOH312" s="184"/>
      <c r="SOI312" s="184"/>
      <c r="SOJ312" s="187"/>
      <c r="SOK312" s="188"/>
      <c r="SOM312" s="182"/>
      <c r="SON312" s="183"/>
      <c r="SOU312" s="267"/>
      <c r="SOV312" s="269"/>
      <c r="SOW312" s="267"/>
      <c r="SOX312" s="184"/>
      <c r="SOY312" s="184"/>
      <c r="SOZ312" s="185"/>
      <c r="SPA312" s="184"/>
      <c r="SPB312" s="184"/>
      <c r="SPC312" s="184"/>
      <c r="SPD312" s="187"/>
      <c r="SPE312" s="188"/>
      <c r="SPG312" s="182"/>
      <c r="SPH312" s="183"/>
      <c r="SPO312" s="267"/>
      <c r="SPP312" s="269"/>
      <c r="SPQ312" s="267"/>
      <c r="SPR312" s="184"/>
      <c r="SPS312" s="184"/>
      <c r="SPT312" s="185"/>
      <c r="SPU312" s="184"/>
      <c r="SPV312" s="184"/>
      <c r="SPW312" s="184"/>
      <c r="SPX312" s="187"/>
      <c r="SPY312" s="188"/>
      <c r="SQA312" s="182"/>
      <c r="SQB312" s="183"/>
      <c r="SQI312" s="267"/>
      <c r="SQJ312" s="269"/>
      <c r="SQK312" s="267"/>
      <c r="SQL312" s="184"/>
      <c r="SQM312" s="184"/>
      <c r="SQN312" s="185"/>
      <c r="SQO312" s="184"/>
      <c r="SQP312" s="184"/>
      <c r="SQQ312" s="184"/>
      <c r="SQR312" s="187"/>
      <c r="SQS312" s="188"/>
      <c r="SQU312" s="182"/>
      <c r="SQV312" s="183"/>
      <c r="SRC312" s="267"/>
      <c r="SRD312" s="269"/>
      <c r="SRE312" s="267"/>
      <c r="SRF312" s="184"/>
      <c r="SRG312" s="184"/>
      <c r="SRH312" s="185"/>
      <c r="SRI312" s="184"/>
      <c r="SRJ312" s="184"/>
      <c r="SRK312" s="184"/>
      <c r="SRL312" s="187"/>
      <c r="SRM312" s="188"/>
      <c r="SRO312" s="182"/>
      <c r="SRP312" s="183"/>
      <c r="SRW312" s="267"/>
      <c r="SRX312" s="269"/>
      <c r="SRY312" s="267"/>
      <c r="SRZ312" s="184"/>
      <c r="SSA312" s="184"/>
      <c r="SSB312" s="185"/>
      <c r="SSC312" s="184"/>
      <c r="SSD312" s="184"/>
      <c r="SSE312" s="184"/>
      <c r="SSF312" s="187"/>
      <c r="SSG312" s="188"/>
      <c r="SSI312" s="182"/>
      <c r="SSJ312" s="183"/>
      <c r="SSQ312" s="267"/>
      <c r="SSR312" s="269"/>
      <c r="SSS312" s="267"/>
      <c r="SST312" s="184"/>
      <c r="SSU312" s="184"/>
      <c r="SSV312" s="185"/>
      <c r="SSW312" s="184"/>
      <c r="SSX312" s="184"/>
      <c r="SSY312" s="184"/>
      <c r="SSZ312" s="187"/>
      <c r="STA312" s="188"/>
      <c r="STC312" s="182"/>
      <c r="STD312" s="183"/>
      <c r="STK312" s="267"/>
      <c r="STL312" s="269"/>
      <c r="STM312" s="267"/>
      <c r="STN312" s="184"/>
      <c r="STO312" s="184"/>
      <c r="STP312" s="185"/>
      <c r="STQ312" s="184"/>
      <c r="STR312" s="184"/>
      <c r="STS312" s="184"/>
      <c r="STT312" s="187"/>
      <c r="STU312" s="188"/>
      <c r="STW312" s="182"/>
      <c r="STX312" s="183"/>
      <c r="SUE312" s="267"/>
      <c r="SUF312" s="269"/>
      <c r="SUG312" s="267"/>
      <c r="SUH312" s="184"/>
      <c r="SUI312" s="184"/>
      <c r="SUJ312" s="185"/>
      <c r="SUK312" s="184"/>
      <c r="SUL312" s="184"/>
      <c r="SUM312" s="184"/>
      <c r="SUN312" s="187"/>
      <c r="SUO312" s="188"/>
      <c r="SUQ312" s="182"/>
      <c r="SUR312" s="183"/>
      <c r="SUY312" s="267"/>
      <c r="SUZ312" s="269"/>
      <c r="SVA312" s="267"/>
      <c r="SVB312" s="184"/>
      <c r="SVC312" s="184"/>
      <c r="SVD312" s="185"/>
      <c r="SVE312" s="184"/>
      <c r="SVF312" s="184"/>
      <c r="SVG312" s="184"/>
      <c r="SVH312" s="187"/>
      <c r="SVI312" s="188"/>
      <c r="SVK312" s="182"/>
      <c r="SVL312" s="183"/>
      <c r="SVS312" s="267"/>
      <c r="SVT312" s="269"/>
      <c r="SVU312" s="267"/>
      <c r="SVV312" s="184"/>
      <c r="SVW312" s="184"/>
      <c r="SVX312" s="185"/>
      <c r="SVY312" s="184"/>
      <c r="SVZ312" s="184"/>
      <c r="SWA312" s="184"/>
      <c r="SWB312" s="187"/>
      <c r="SWC312" s="188"/>
      <c r="SWE312" s="182"/>
      <c r="SWF312" s="183"/>
      <c r="SWM312" s="267"/>
      <c r="SWN312" s="269"/>
      <c r="SWO312" s="267"/>
      <c r="SWP312" s="184"/>
      <c r="SWQ312" s="184"/>
      <c r="SWR312" s="185"/>
      <c r="SWS312" s="184"/>
      <c r="SWT312" s="184"/>
      <c r="SWU312" s="184"/>
      <c r="SWV312" s="187"/>
      <c r="SWW312" s="188"/>
      <c r="SWY312" s="182"/>
      <c r="SWZ312" s="183"/>
      <c r="SXG312" s="267"/>
      <c r="SXH312" s="269"/>
      <c r="SXI312" s="267"/>
      <c r="SXJ312" s="184"/>
      <c r="SXK312" s="184"/>
      <c r="SXL312" s="185"/>
      <c r="SXM312" s="184"/>
      <c r="SXN312" s="184"/>
      <c r="SXO312" s="184"/>
      <c r="SXP312" s="187"/>
      <c r="SXQ312" s="188"/>
      <c r="SXS312" s="182"/>
      <c r="SXT312" s="183"/>
      <c r="SYA312" s="267"/>
      <c r="SYB312" s="269"/>
      <c r="SYC312" s="267"/>
      <c r="SYD312" s="184"/>
      <c r="SYE312" s="184"/>
      <c r="SYF312" s="185"/>
      <c r="SYG312" s="184"/>
      <c r="SYH312" s="184"/>
      <c r="SYI312" s="184"/>
      <c r="SYJ312" s="187"/>
      <c r="SYK312" s="188"/>
      <c r="SYM312" s="182"/>
      <c r="SYN312" s="183"/>
      <c r="SYU312" s="267"/>
      <c r="SYV312" s="269"/>
      <c r="SYW312" s="267"/>
      <c r="SYX312" s="184"/>
      <c r="SYY312" s="184"/>
      <c r="SYZ312" s="185"/>
      <c r="SZA312" s="184"/>
      <c r="SZB312" s="184"/>
      <c r="SZC312" s="184"/>
      <c r="SZD312" s="187"/>
      <c r="SZE312" s="188"/>
      <c r="SZG312" s="182"/>
      <c r="SZH312" s="183"/>
      <c r="SZO312" s="267"/>
      <c r="SZP312" s="269"/>
      <c r="SZQ312" s="267"/>
      <c r="SZR312" s="184"/>
      <c r="SZS312" s="184"/>
      <c r="SZT312" s="185"/>
      <c r="SZU312" s="184"/>
      <c r="SZV312" s="184"/>
      <c r="SZW312" s="184"/>
      <c r="SZX312" s="187"/>
      <c r="SZY312" s="188"/>
      <c r="TAA312" s="182"/>
      <c r="TAB312" s="183"/>
      <c r="TAI312" s="267"/>
      <c r="TAJ312" s="269"/>
      <c r="TAK312" s="267"/>
      <c r="TAL312" s="184"/>
      <c r="TAM312" s="184"/>
      <c r="TAN312" s="185"/>
      <c r="TAO312" s="184"/>
      <c r="TAP312" s="184"/>
      <c r="TAQ312" s="184"/>
      <c r="TAR312" s="187"/>
      <c r="TAS312" s="188"/>
      <c r="TAU312" s="182"/>
      <c r="TAV312" s="183"/>
      <c r="TBC312" s="267"/>
      <c r="TBD312" s="269"/>
      <c r="TBE312" s="267"/>
      <c r="TBF312" s="184"/>
      <c r="TBG312" s="184"/>
      <c r="TBH312" s="185"/>
      <c r="TBI312" s="184"/>
      <c r="TBJ312" s="184"/>
      <c r="TBK312" s="184"/>
      <c r="TBL312" s="187"/>
      <c r="TBM312" s="188"/>
      <c r="TBO312" s="182"/>
      <c r="TBP312" s="183"/>
      <c r="TBW312" s="267"/>
      <c r="TBX312" s="269"/>
      <c r="TBY312" s="267"/>
      <c r="TBZ312" s="184"/>
      <c r="TCA312" s="184"/>
      <c r="TCB312" s="185"/>
      <c r="TCC312" s="184"/>
      <c r="TCD312" s="184"/>
      <c r="TCE312" s="184"/>
      <c r="TCF312" s="187"/>
      <c r="TCG312" s="188"/>
      <c r="TCI312" s="182"/>
      <c r="TCJ312" s="183"/>
      <c r="TCQ312" s="267"/>
      <c r="TCR312" s="269"/>
      <c r="TCS312" s="267"/>
      <c r="TCT312" s="184"/>
      <c r="TCU312" s="184"/>
      <c r="TCV312" s="185"/>
      <c r="TCW312" s="184"/>
      <c r="TCX312" s="184"/>
      <c r="TCY312" s="184"/>
      <c r="TCZ312" s="187"/>
      <c r="TDA312" s="188"/>
      <c r="TDC312" s="182"/>
      <c r="TDD312" s="183"/>
      <c r="TDK312" s="267"/>
      <c r="TDL312" s="269"/>
      <c r="TDM312" s="267"/>
      <c r="TDN312" s="184"/>
      <c r="TDO312" s="184"/>
      <c r="TDP312" s="185"/>
      <c r="TDQ312" s="184"/>
      <c r="TDR312" s="184"/>
      <c r="TDS312" s="184"/>
      <c r="TDT312" s="187"/>
      <c r="TDU312" s="188"/>
      <c r="TDW312" s="182"/>
      <c r="TDX312" s="183"/>
      <c r="TEE312" s="267"/>
      <c r="TEF312" s="269"/>
      <c r="TEG312" s="267"/>
      <c r="TEH312" s="184"/>
      <c r="TEI312" s="184"/>
      <c r="TEJ312" s="185"/>
      <c r="TEK312" s="184"/>
      <c r="TEL312" s="184"/>
      <c r="TEM312" s="184"/>
      <c r="TEN312" s="187"/>
      <c r="TEO312" s="188"/>
      <c r="TEQ312" s="182"/>
      <c r="TER312" s="183"/>
      <c r="TEY312" s="267"/>
      <c r="TEZ312" s="269"/>
      <c r="TFA312" s="267"/>
      <c r="TFB312" s="184"/>
      <c r="TFC312" s="184"/>
      <c r="TFD312" s="185"/>
      <c r="TFE312" s="184"/>
      <c r="TFF312" s="184"/>
      <c r="TFG312" s="184"/>
      <c r="TFH312" s="187"/>
      <c r="TFI312" s="188"/>
      <c r="TFK312" s="182"/>
      <c r="TFL312" s="183"/>
      <c r="TFS312" s="267"/>
      <c r="TFT312" s="269"/>
      <c r="TFU312" s="267"/>
      <c r="TFV312" s="184"/>
      <c r="TFW312" s="184"/>
      <c r="TFX312" s="185"/>
      <c r="TFY312" s="184"/>
      <c r="TFZ312" s="184"/>
      <c r="TGA312" s="184"/>
      <c r="TGB312" s="187"/>
      <c r="TGC312" s="188"/>
      <c r="TGE312" s="182"/>
      <c r="TGF312" s="183"/>
      <c r="TGM312" s="267"/>
      <c r="TGN312" s="269"/>
      <c r="TGO312" s="267"/>
      <c r="TGP312" s="184"/>
      <c r="TGQ312" s="184"/>
      <c r="TGR312" s="185"/>
      <c r="TGS312" s="184"/>
      <c r="TGT312" s="184"/>
      <c r="TGU312" s="184"/>
      <c r="TGV312" s="187"/>
      <c r="TGW312" s="188"/>
      <c r="TGY312" s="182"/>
      <c r="TGZ312" s="183"/>
      <c r="THG312" s="267"/>
      <c r="THH312" s="269"/>
      <c r="THI312" s="267"/>
      <c r="THJ312" s="184"/>
      <c r="THK312" s="184"/>
      <c r="THL312" s="185"/>
      <c r="THM312" s="184"/>
      <c r="THN312" s="184"/>
      <c r="THO312" s="184"/>
      <c r="THP312" s="187"/>
      <c r="THQ312" s="188"/>
      <c r="THS312" s="182"/>
      <c r="THT312" s="183"/>
      <c r="TIA312" s="267"/>
      <c r="TIB312" s="269"/>
      <c r="TIC312" s="267"/>
      <c r="TID312" s="184"/>
      <c r="TIE312" s="184"/>
      <c r="TIF312" s="185"/>
      <c r="TIG312" s="184"/>
      <c r="TIH312" s="184"/>
      <c r="TII312" s="184"/>
      <c r="TIJ312" s="187"/>
      <c r="TIK312" s="188"/>
      <c r="TIM312" s="182"/>
      <c r="TIN312" s="183"/>
      <c r="TIU312" s="267"/>
      <c r="TIV312" s="269"/>
      <c r="TIW312" s="267"/>
      <c r="TIX312" s="184"/>
      <c r="TIY312" s="184"/>
      <c r="TIZ312" s="185"/>
      <c r="TJA312" s="184"/>
      <c r="TJB312" s="184"/>
      <c r="TJC312" s="184"/>
      <c r="TJD312" s="187"/>
      <c r="TJE312" s="188"/>
      <c r="TJG312" s="182"/>
      <c r="TJH312" s="183"/>
      <c r="TJO312" s="267"/>
      <c r="TJP312" s="269"/>
      <c r="TJQ312" s="267"/>
      <c r="TJR312" s="184"/>
      <c r="TJS312" s="184"/>
      <c r="TJT312" s="185"/>
      <c r="TJU312" s="184"/>
      <c r="TJV312" s="184"/>
      <c r="TJW312" s="184"/>
      <c r="TJX312" s="187"/>
      <c r="TJY312" s="188"/>
      <c r="TKA312" s="182"/>
      <c r="TKB312" s="183"/>
      <c r="TKI312" s="267"/>
      <c r="TKJ312" s="269"/>
      <c r="TKK312" s="267"/>
      <c r="TKL312" s="184"/>
      <c r="TKM312" s="184"/>
      <c r="TKN312" s="185"/>
      <c r="TKO312" s="184"/>
      <c r="TKP312" s="184"/>
      <c r="TKQ312" s="184"/>
      <c r="TKR312" s="187"/>
      <c r="TKS312" s="188"/>
      <c r="TKU312" s="182"/>
      <c r="TKV312" s="183"/>
      <c r="TLC312" s="267"/>
      <c r="TLD312" s="269"/>
      <c r="TLE312" s="267"/>
      <c r="TLF312" s="184"/>
      <c r="TLG312" s="184"/>
      <c r="TLH312" s="185"/>
      <c r="TLI312" s="184"/>
      <c r="TLJ312" s="184"/>
      <c r="TLK312" s="184"/>
      <c r="TLL312" s="187"/>
      <c r="TLM312" s="188"/>
      <c r="TLO312" s="182"/>
      <c r="TLP312" s="183"/>
      <c r="TLW312" s="267"/>
      <c r="TLX312" s="269"/>
      <c r="TLY312" s="267"/>
      <c r="TLZ312" s="184"/>
      <c r="TMA312" s="184"/>
      <c r="TMB312" s="185"/>
      <c r="TMC312" s="184"/>
      <c r="TMD312" s="184"/>
      <c r="TME312" s="184"/>
      <c r="TMF312" s="187"/>
      <c r="TMG312" s="188"/>
      <c r="TMI312" s="182"/>
      <c r="TMJ312" s="183"/>
      <c r="TMQ312" s="267"/>
      <c r="TMR312" s="269"/>
      <c r="TMS312" s="267"/>
      <c r="TMT312" s="184"/>
      <c r="TMU312" s="184"/>
      <c r="TMV312" s="185"/>
      <c r="TMW312" s="184"/>
      <c r="TMX312" s="184"/>
      <c r="TMY312" s="184"/>
      <c r="TMZ312" s="187"/>
      <c r="TNA312" s="188"/>
      <c r="TNC312" s="182"/>
      <c r="TND312" s="183"/>
      <c r="TNK312" s="267"/>
      <c r="TNL312" s="269"/>
      <c r="TNM312" s="267"/>
      <c r="TNN312" s="184"/>
      <c r="TNO312" s="184"/>
      <c r="TNP312" s="185"/>
      <c r="TNQ312" s="184"/>
      <c r="TNR312" s="184"/>
      <c r="TNS312" s="184"/>
      <c r="TNT312" s="187"/>
      <c r="TNU312" s="188"/>
      <c r="TNW312" s="182"/>
      <c r="TNX312" s="183"/>
      <c r="TOE312" s="267"/>
      <c r="TOF312" s="269"/>
      <c r="TOG312" s="267"/>
      <c r="TOH312" s="184"/>
      <c r="TOI312" s="184"/>
      <c r="TOJ312" s="185"/>
      <c r="TOK312" s="184"/>
      <c r="TOL312" s="184"/>
      <c r="TOM312" s="184"/>
      <c r="TON312" s="187"/>
      <c r="TOO312" s="188"/>
      <c r="TOQ312" s="182"/>
      <c r="TOR312" s="183"/>
      <c r="TOY312" s="267"/>
      <c r="TOZ312" s="269"/>
      <c r="TPA312" s="267"/>
      <c r="TPB312" s="184"/>
      <c r="TPC312" s="184"/>
      <c r="TPD312" s="185"/>
      <c r="TPE312" s="184"/>
      <c r="TPF312" s="184"/>
      <c r="TPG312" s="184"/>
      <c r="TPH312" s="187"/>
      <c r="TPI312" s="188"/>
      <c r="TPK312" s="182"/>
      <c r="TPL312" s="183"/>
      <c r="TPS312" s="267"/>
      <c r="TPT312" s="269"/>
      <c r="TPU312" s="267"/>
      <c r="TPV312" s="184"/>
      <c r="TPW312" s="184"/>
      <c r="TPX312" s="185"/>
      <c r="TPY312" s="184"/>
      <c r="TPZ312" s="184"/>
      <c r="TQA312" s="184"/>
      <c r="TQB312" s="187"/>
      <c r="TQC312" s="188"/>
      <c r="TQE312" s="182"/>
      <c r="TQF312" s="183"/>
      <c r="TQM312" s="267"/>
      <c r="TQN312" s="269"/>
      <c r="TQO312" s="267"/>
      <c r="TQP312" s="184"/>
      <c r="TQQ312" s="184"/>
      <c r="TQR312" s="185"/>
      <c r="TQS312" s="184"/>
      <c r="TQT312" s="184"/>
      <c r="TQU312" s="184"/>
      <c r="TQV312" s="187"/>
      <c r="TQW312" s="188"/>
      <c r="TQY312" s="182"/>
      <c r="TQZ312" s="183"/>
      <c r="TRG312" s="267"/>
      <c r="TRH312" s="269"/>
      <c r="TRI312" s="267"/>
      <c r="TRJ312" s="184"/>
      <c r="TRK312" s="184"/>
      <c r="TRL312" s="185"/>
      <c r="TRM312" s="184"/>
      <c r="TRN312" s="184"/>
      <c r="TRO312" s="184"/>
      <c r="TRP312" s="187"/>
      <c r="TRQ312" s="188"/>
      <c r="TRS312" s="182"/>
      <c r="TRT312" s="183"/>
      <c r="TSA312" s="267"/>
      <c r="TSB312" s="269"/>
      <c r="TSC312" s="267"/>
      <c r="TSD312" s="184"/>
      <c r="TSE312" s="184"/>
      <c r="TSF312" s="185"/>
      <c r="TSG312" s="184"/>
      <c r="TSH312" s="184"/>
      <c r="TSI312" s="184"/>
      <c r="TSJ312" s="187"/>
      <c r="TSK312" s="188"/>
      <c r="TSM312" s="182"/>
      <c r="TSN312" s="183"/>
      <c r="TSU312" s="267"/>
      <c r="TSV312" s="269"/>
      <c r="TSW312" s="267"/>
      <c r="TSX312" s="184"/>
      <c r="TSY312" s="184"/>
      <c r="TSZ312" s="185"/>
      <c r="TTA312" s="184"/>
      <c r="TTB312" s="184"/>
      <c r="TTC312" s="184"/>
      <c r="TTD312" s="187"/>
      <c r="TTE312" s="188"/>
      <c r="TTG312" s="182"/>
      <c r="TTH312" s="183"/>
      <c r="TTO312" s="267"/>
      <c r="TTP312" s="269"/>
      <c r="TTQ312" s="267"/>
      <c r="TTR312" s="184"/>
      <c r="TTS312" s="184"/>
      <c r="TTT312" s="185"/>
      <c r="TTU312" s="184"/>
      <c r="TTV312" s="184"/>
      <c r="TTW312" s="184"/>
      <c r="TTX312" s="187"/>
      <c r="TTY312" s="188"/>
      <c r="TUA312" s="182"/>
      <c r="TUB312" s="183"/>
      <c r="TUI312" s="267"/>
      <c r="TUJ312" s="269"/>
      <c r="TUK312" s="267"/>
      <c r="TUL312" s="184"/>
      <c r="TUM312" s="184"/>
      <c r="TUN312" s="185"/>
      <c r="TUO312" s="184"/>
      <c r="TUP312" s="184"/>
      <c r="TUQ312" s="184"/>
      <c r="TUR312" s="187"/>
      <c r="TUS312" s="188"/>
      <c r="TUU312" s="182"/>
      <c r="TUV312" s="183"/>
      <c r="TVC312" s="267"/>
      <c r="TVD312" s="269"/>
      <c r="TVE312" s="267"/>
      <c r="TVF312" s="184"/>
      <c r="TVG312" s="184"/>
      <c r="TVH312" s="185"/>
      <c r="TVI312" s="184"/>
      <c r="TVJ312" s="184"/>
      <c r="TVK312" s="184"/>
      <c r="TVL312" s="187"/>
      <c r="TVM312" s="188"/>
      <c r="TVO312" s="182"/>
      <c r="TVP312" s="183"/>
      <c r="TVW312" s="267"/>
      <c r="TVX312" s="269"/>
      <c r="TVY312" s="267"/>
      <c r="TVZ312" s="184"/>
      <c r="TWA312" s="184"/>
      <c r="TWB312" s="185"/>
      <c r="TWC312" s="184"/>
      <c r="TWD312" s="184"/>
      <c r="TWE312" s="184"/>
      <c r="TWF312" s="187"/>
      <c r="TWG312" s="188"/>
      <c r="TWI312" s="182"/>
      <c r="TWJ312" s="183"/>
      <c r="TWQ312" s="267"/>
      <c r="TWR312" s="269"/>
      <c r="TWS312" s="267"/>
      <c r="TWT312" s="184"/>
      <c r="TWU312" s="184"/>
      <c r="TWV312" s="185"/>
      <c r="TWW312" s="184"/>
      <c r="TWX312" s="184"/>
      <c r="TWY312" s="184"/>
      <c r="TWZ312" s="187"/>
      <c r="TXA312" s="188"/>
      <c r="TXC312" s="182"/>
      <c r="TXD312" s="183"/>
      <c r="TXK312" s="267"/>
      <c r="TXL312" s="269"/>
      <c r="TXM312" s="267"/>
      <c r="TXN312" s="184"/>
      <c r="TXO312" s="184"/>
      <c r="TXP312" s="185"/>
      <c r="TXQ312" s="184"/>
      <c r="TXR312" s="184"/>
      <c r="TXS312" s="184"/>
      <c r="TXT312" s="187"/>
      <c r="TXU312" s="188"/>
      <c r="TXW312" s="182"/>
      <c r="TXX312" s="183"/>
      <c r="TYE312" s="267"/>
      <c r="TYF312" s="269"/>
      <c r="TYG312" s="267"/>
      <c r="TYH312" s="184"/>
      <c r="TYI312" s="184"/>
      <c r="TYJ312" s="185"/>
      <c r="TYK312" s="184"/>
      <c r="TYL312" s="184"/>
      <c r="TYM312" s="184"/>
      <c r="TYN312" s="187"/>
      <c r="TYO312" s="188"/>
      <c r="TYQ312" s="182"/>
      <c r="TYR312" s="183"/>
      <c r="TYY312" s="267"/>
      <c r="TYZ312" s="269"/>
      <c r="TZA312" s="267"/>
      <c r="TZB312" s="184"/>
      <c r="TZC312" s="184"/>
      <c r="TZD312" s="185"/>
      <c r="TZE312" s="184"/>
      <c r="TZF312" s="184"/>
      <c r="TZG312" s="184"/>
      <c r="TZH312" s="187"/>
      <c r="TZI312" s="188"/>
      <c r="TZK312" s="182"/>
      <c r="TZL312" s="183"/>
      <c r="TZS312" s="267"/>
      <c r="TZT312" s="269"/>
      <c r="TZU312" s="267"/>
      <c r="TZV312" s="184"/>
      <c r="TZW312" s="184"/>
      <c r="TZX312" s="185"/>
      <c r="TZY312" s="184"/>
      <c r="TZZ312" s="184"/>
      <c r="UAA312" s="184"/>
      <c r="UAB312" s="187"/>
      <c r="UAC312" s="188"/>
      <c r="UAE312" s="182"/>
      <c r="UAF312" s="183"/>
      <c r="UAM312" s="267"/>
      <c r="UAN312" s="269"/>
      <c r="UAO312" s="267"/>
      <c r="UAP312" s="184"/>
      <c r="UAQ312" s="184"/>
      <c r="UAR312" s="185"/>
      <c r="UAS312" s="184"/>
      <c r="UAT312" s="184"/>
      <c r="UAU312" s="184"/>
      <c r="UAV312" s="187"/>
      <c r="UAW312" s="188"/>
      <c r="UAY312" s="182"/>
      <c r="UAZ312" s="183"/>
      <c r="UBG312" s="267"/>
      <c r="UBH312" s="269"/>
      <c r="UBI312" s="267"/>
      <c r="UBJ312" s="184"/>
      <c r="UBK312" s="184"/>
      <c r="UBL312" s="185"/>
      <c r="UBM312" s="184"/>
      <c r="UBN312" s="184"/>
      <c r="UBO312" s="184"/>
      <c r="UBP312" s="187"/>
      <c r="UBQ312" s="188"/>
      <c r="UBS312" s="182"/>
      <c r="UBT312" s="183"/>
      <c r="UCA312" s="267"/>
      <c r="UCB312" s="269"/>
      <c r="UCC312" s="267"/>
      <c r="UCD312" s="184"/>
      <c r="UCE312" s="184"/>
      <c r="UCF312" s="185"/>
      <c r="UCG312" s="184"/>
      <c r="UCH312" s="184"/>
      <c r="UCI312" s="184"/>
      <c r="UCJ312" s="187"/>
      <c r="UCK312" s="188"/>
      <c r="UCM312" s="182"/>
      <c r="UCN312" s="183"/>
      <c r="UCU312" s="267"/>
      <c r="UCV312" s="269"/>
      <c r="UCW312" s="267"/>
      <c r="UCX312" s="184"/>
      <c r="UCY312" s="184"/>
      <c r="UCZ312" s="185"/>
      <c r="UDA312" s="184"/>
      <c r="UDB312" s="184"/>
      <c r="UDC312" s="184"/>
      <c r="UDD312" s="187"/>
      <c r="UDE312" s="188"/>
      <c r="UDG312" s="182"/>
      <c r="UDH312" s="183"/>
      <c r="UDO312" s="267"/>
      <c r="UDP312" s="269"/>
      <c r="UDQ312" s="267"/>
      <c r="UDR312" s="184"/>
      <c r="UDS312" s="184"/>
      <c r="UDT312" s="185"/>
      <c r="UDU312" s="184"/>
      <c r="UDV312" s="184"/>
      <c r="UDW312" s="184"/>
      <c r="UDX312" s="187"/>
      <c r="UDY312" s="188"/>
      <c r="UEA312" s="182"/>
      <c r="UEB312" s="183"/>
      <c r="UEI312" s="267"/>
      <c r="UEJ312" s="269"/>
      <c r="UEK312" s="267"/>
      <c r="UEL312" s="184"/>
      <c r="UEM312" s="184"/>
      <c r="UEN312" s="185"/>
      <c r="UEO312" s="184"/>
      <c r="UEP312" s="184"/>
      <c r="UEQ312" s="184"/>
      <c r="UER312" s="187"/>
      <c r="UES312" s="188"/>
      <c r="UEU312" s="182"/>
      <c r="UEV312" s="183"/>
      <c r="UFC312" s="267"/>
      <c r="UFD312" s="269"/>
      <c r="UFE312" s="267"/>
      <c r="UFF312" s="184"/>
      <c r="UFG312" s="184"/>
      <c r="UFH312" s="185"/>
      <c r="UFI312" s="184"/>
      <c r="UFJ312" s="184"/>
      <c r="UFK312" s="184"/>
      <c r="UFL312" s="187"/>
      <c r="UFM312" s="188"/>
      <c r="UFO312" s="182"/>
      <c r="UFP312" s="183"/>
      <c r="UFW312" s="267"/>
      <c r="UFX312" s="269"/>
      <c r="UFY312" s="267"/>
      <c r="UFZ312" s="184"/>
      <c r="UGA312" s="184"/>
      <c r="UGB312" s="185"/>
      <c r="UGC312" s="184"/>
      <c r="UGD312" s="184"/>
      <c r="UGE312" s="184"/>
      <c r="UGF312" s="187"/>
      <c r="UGG312" s="188"/>
      <c r="UGI312" s="182"/>
      <c r="UGJ312" s="183"/>
      <c r="UGQ312" s="267"/>
      <c r="UGR312" s="269"/>
      <c r="UGS312" s="267"/>
      <c r="UGT312" s="184"/>
      <c r="UGU312" s="184"/>
      <c r="UGV312" s="185"/>
      <c r="UGW312" s="184"/>
      <c r="UGX312" s="184"/>
      <c r="UGY312" s="184"/>
      <c r="UGZ312" s="187"/>
      <c r="UHA312" s="188"/>
      <c r="UHC312" s="182"/>
      <c r="UHD312" s="183"/>
      <c r="UHK312" s="267"/>
      <c r="UHL312" s="269"/>
      <c r="UHM312" s="267"/>
      <c r="UHN312" s="184"/>
      <c r="UHO312" s="184"/>
      <c r="UHP312" s="185"/>
      <c r="UHQ312" s="184"/>
      <c r="UHR312" s="184"/>
      <c r="UHS312" s="184"/>
      <c r="UHT312" s="187"/>
      <c r="UHU312" s="188"/>
      <c r="UHW312" s="182"/>
      <c r="UHX312" s="183"/>
      <c r="UIE312" s="267"/>
      <c r="UIF312" s="269"/>
      <c r="UIG312" s="267"/>
      <c r="UIH312" s="184"/>
      <c r="UII312" s="184"/>
      <c r="UIJ312" s="185"/>
      <c r="UIK312" s="184"/>
      <c r="UIL312" s="184"/>
      <c r="UIM312" s="184"/>
      <c r="UIN312" s="187"/>
      <c r="UIO312" s="188"/>
      <c r="UIQ312" s="182"/>
      <c r="UIR312" s="183"/>
      <c r="UIY312" s="267"/>
      <c r="UIZ312" s="269"/>
      <c r="UJA312" s="267"/>
      <c r="UJB312" s="184"/>
      <c r="UJC312" s="184"/>
      <c r="UJD312" s="185"/>
      <c r="UJE312" s="184"/>
      <c r="UJF312" s="184"/>
      <c r="UJG312" s="184"/>
      <c r="UJH312" s="187"/>
      <c r="UJI312" s="188"/>
      <c r="UJK312" s="182"/>
      <c r="UJL312" s="183"/>
      <c r="UJS312" s="267"/>
      <c r="UJT312" s="269"/>
      <c r="UJU312" s="267"/>
      <c r="UJV312" s="184"/>
      <c r="UJW312" s="184"/>
      <c r="UJX312" s="185"/>
      <c r="UJY312" s="184"/>
      <c r="UJZ312" s="184"/>
      <c r="UKA312" s="184"/>
      <c r="UKB312" s="187"/>
      <c r="UKC312" s="188"/>
      <c r="UKE312" s="182"/>
      <c r="UKF312" s="183"/>
      <c r="UKM312" s="267"/>
      <c r="UKN312" s="269"/>
      <c r="UKO312" s="267"/>
      <c r="UKP312" s="184"/>
      <c r="UKQ312" s="184"/>
      <c r="UKR312" s="185"/>
      <c r="UKS312" s="184"/>
      <c r="UKT312" s="184"/>
      <c r="UKU312" s="184"/>
      <c r="UKV312" s="187"/>
      <c r="UKW312" s="188"/>
      <c r="UKY312" s="182"/>
      <c r="UKZ312" s="183"/>
      <c r="ULG312" s="267"/>
      <c r="ULH312" s="269"/>
      <c r="ULI312" s="267"/>
      <c r="ULJ312" s="184"/>
      <c r="ULK312" s="184"/>
      <c r="ULL312" s="185"/>
      <c r="ULM312" s="184"/>
      <c r="ULN312" s="184"/>
      <c r="ULO312" s="184"/>
      <c r="ULP312" s="187"/>
      <c r="ULQ312" s="188"/>
      <c r="ULS312" s="182"/>
      <c r="ULT312" s="183"/>
      <c r="UMA312" s="267"/>
      <c r="UMB312" s="269"/>
      <c r="UMC312" s="267"/>
      <c r="UMD312" s="184"/>
      <c r="UME312" s="184"/>
      <c r="UMF312" s="185"/>
      <c r="UMG312" s="184"/>
      <c r="UMH312" s="184"/>
      <c r="UMI312" s="184"/>
      <c r="UMJ312" s="187"/>
      <c r="UMK312" s="188"/>
      <c r="UMM312" s="182"/>
      <c r="UMN312" s="183"/>
      <c r="UMU312" s="267"/>
      <c r="UMV312" s="269"/>
      <c r="UMW312" s="267"/>
      <c r="UMX312" s="184"/>
      <c r="UMY312" s="184"/>
      <c r="UMZ312" s="185"/>
      <c r="UNA312" s="184"/>
      <c r="UNB312" s="184"/>
      <c r="UNC312" s="184"/>
      <c r="UND312" s="187"/>
      <c r="UNE312" s="188"/>
      <c r="UNG312" s="182"/>
      <c r="UNH312" s="183"/>
      <c r="UNO312" s="267"/>
      <c r="UNP312" s="269"/>
      <c r="UNQ312" s="267"/>
      <c r="UNR312" s="184"/>
      <c r="UNS312" s="184"/>
      <c r="UNT312" s="185"/>
      <c r="UNU312" s="184"/>
      <c r="UNV312" s="184"/>
      <c r="UNW312" s="184"/>
      <c r="UNX312" s="187"/>
      <c r="UNY312" s="188"/>
      <c r="UOA312" s="182"/>
      <c r="UOB312" s="183"/>
      <c r="UOI312" s="267"/>
      <c r="UOJ312" s="269"/>
      <c r="UOK312" s="267"/>
      <c r="UOL312" s="184"/>
      <c r="UOM312" s="184"/>
      <c r="UON312" s="185"/>
      <c r="UOO312" s="184"/>
      <c r="UOP312" s="184"/>
      <c r="UOQ312" s="184"/>
      <c r="UOR312" s="187"/>
      <c r="UOS312" s="188"/>
      <c r="UOU312" s="182"/>
      <c r="UOV312" s="183"/>
      <c r="UPC312" s="267"/>
      <c r="UPD312" s="269"/>
      <c r="UPE312" s="267"/>
      <c r="UPF312" s="184"/>
      <c r="UPG312" s="184"/>
      <c r="UPH312" s="185"/>
      <c r="UPI312" s="184"/>
      <c r="UPJ312" s="184"/>
      <c r="UPK312" s="184"/>
      <c r="UPL312" s="187"/>
      <c r="UPM312" s="188"/>
      <c r="UPO312" s="182"/>
      <c r="UPP312" s="183"/>
      <c r="UPW312" s="267"/>
      <c r="UPX312" s="269"/>
      <c r="UPY312" s="267"/>
      <c r="UPZ312" s="184"/>
      <c r="UQA312" s="184"/>
      <c r="UQB312" s="185"/>
      <c r="UQC312" s="184"/>
      <c r="UQD312" s="184"/>
      <c r="UQE312" s="184"/>
      <c r="UQF312" s="187"/>
      <c r="UQG312" s="188"/>
      <c r="UQI312" s="182"/>
      <c r="UQJ312" s="183"/>
      <c r="UQQ312" s="267"/>
      <c r="UQR312" s="269"/>
      <c r="UQS312" s="267"/>
      <c r="UQT312" s="184"/>
      <c r="UQU312" s="184"/>
      <c r="UQV312" s="185"/>
      <c r="UQW312" s="184"/>
      <c r="UQX312" s="184"/>
      <c r="UQY312" s="184"/>
      <c r="UQZ312" s="187"/>
      <c r="URA312" s="188"/>
      <c r="URC312" s="182"/>
      <c r="URD312" s="183"/>
      <c r="URK312" s="267"/>
      <c r="URL312" s="269"/>
      <c r="URM312" s="267"/>
      <c r="URN312" s="184"/>
      <c r="URO312" s="184"/>
      <c r="URP312" s="185"/>
      <c r="URQ312" s="184"/>
      <c r="URR312" s="184"/>
      <c r="URS312" s="184"/>
      <c r="URT312" s="187"/>
      <c r="URU312" s="188"/>
      <c r="URW312" s="182"/>
      <c r="URX312" s="183"/>
      <c r="USE312" s="267"/>
      <c r="USF312" s="269"/>
      <c r="USG312" s="267"/>
      <c r="USH312" s="184"/>
      <c r="USI312" s="184"/>
      <c r="USJ312" s="185"/>
      <c r="USK312" s="184"/>
      <c r="USL312" s="184"/>
      <c r="USM312" s="184"/>
      <c r="USN312" s="187"/>
      <c r="USO312" s="188"/>
      <c r="USQ312" s="182"/>
      <c r="USR312" s="183"/>
      <c r="USY312" s="267"/>
      <c r="USZ312" s="269"/>
      <c r="UTA312" s="267"/>
      <c r="UTB312" s="184"/>
      <c r="UTC312" s="184"/>
      <c r="UTD312" s="185"/>
      <c r="UTE312" s="184"/>
      <c r="UTF312" s="184"/>
      <c r="UTG312" s="184"/>
      <c r="UTH312" s="187"/>
      <c r="UTI312" s="188"/>
      <c r="UTK312" s="182"/>
      <c r="UTL312" s="183"/>
      <c r="UTS312" s="267"/>
      <c r="UTT312" s="269"/>
      <c r="UTU312" s="267"/>
      <c r="UTV312" s="184"/>
      <c r="UTW312" s="184"/>
      <c r="UTX312" s="185"/>
      <c r="UTY312" s="184"/>
      <c r="UTZ312" s="184"/>
      <c r="UUA312" s="184"/>
      <c r="UUB312" s="187"/>
      <c r="UUC312" s="188"/>
      <c r="UUE312" s="182"/>
      <c r="UUF312" s="183"/>
      <c r="UUM312" s="267"/>
      <c r="UUN312" s="269"/>
      <c r="UUO312" s="267"/>
      <c r="UUP312" s="184"/>
      <c r="UUQ312" s="184"/>
      <c r="UUR312" s="185"/>
      <c r="UUS312" s="184"/>
      <c r="UUT312" s="184"/>
      <c r="UUU312" s="184"/>
      <c r="UUV312" s="187"/>
      <c r="UUW312" s="188"/>
      <c r="UUY312" s="182"/>
      <c r="UUZ312" s="183"/>
      <c r="UVG312" s="267"/>
      <c r="UVH312" s="269"/>
      <c r="UVI312" s="267"/>
      <c r="UVJ312" s="184"/>
      <c r="UVK312" s="184"/>
      <c r="UVL312" s="185"/>
      <c r="UVM312" s="184"/>
      <c r="UVN312" s="184"/>
      <c r="UVO312" s="184"/>
      <c r="UVP312" s="187"/>
      <c r="UVQ312" s="188"/>
      <c r="UVS312" s="182"/>
      <c r="UVT312" s="183"/>
      <c r="UWA312" s="267"/>
      <c r="UWB312" s="269"/>
      <c r="UWC312" s="267"/>
      <c r="UWD312" s="184"/>
      <c r="UWE312" s="184"/>
      <c r="UWF312" s="185"/>
      <c r="UWG312" s="184"/>
      <c r="UWH312" s="184"/>
      <c r="UWI312" s="184"/>
      <c r="UWJ312" s="187"/>
      <c r="UWK312" s="188"/>
      <c r="UWM312" s="182"/>
      <c r="UWN312" s="183"/>
      <c r="UWU312" s="267"/>
      <c r="UWV312" s="269"/>
      <c r="UWW312" s="267"/>
      <c r="UWX312" s="184"/>
      <c r="UWY312" s="184"/>
      <c r="UWZ312" s="185"/>
      <c r="UXA312" s="184"/>
      <c r="UXB312" s="184"/>
      <c r="UXC312" s="184"/>
      <c r="UXD312" s="187"/>
      <c r="UXE312" s="188"/>
      <c r="UXG312" s="182"/>
      <c r="UXH312" s="183"/>
      <c r="UXO312" s="267"/>
      <c r="UXP312" s="269"/>
      <c r="UXQ312" s="267"/>
      <c r="UXR312" s="184"/>
      <c r="UXS312" s="184"/>
      <c r="UXT312" s="185"/>
      <c r="UXU312" s="184"/>
      <c r="UXV312" s="184"/>
      <c r="UXW312" s="184"/>
      <c r="UXX312" s="187"/>
      <c r="UXY312" s="188"/>
      <c r="UYA312" s="182"/>
      <c r="UYB312" s="183"/>
      <c r="UYI312" s="267"/>
      <c r="UYJ312" s="269"/>
      <c r="UYK312" s="267"/>
      <c r="UYL312" s="184"/>
      <c r="UYM312" s="184"/>
      <c r="UYN312" s="185"/>
      <c r="UYO312" s="184"/>
      <c r="UYP312" s="184"/>
      <c r="UYQ312" s="184"/>
      <c r="UYR312" s="187"/>
      <c r="UYS312" s="188"/>
      <c r="UYU312" s="182"/>
      <c r="UYV312" s="183"/>
      <c r="UZC312" s="267"/>
      <c r="UZD312" s="269"/>
      <c r="UZE312" s="267"/>
      <c r="UZF312" s="184"/>
      <c r="UZG312" s="184"/>
      <c r="UZH312" s="185"/>
      <c r="UZI312" s="184"/>
      <c r="UZJ312" s="184"/>
      <c r="UZK312" s="184"/>
      <c r="UZL312" s="187"/>
      <c r="UZM312" s="188"/>
      <c r="UZO312" s="182"/>
      <c r="UZP312" s="183"/>
      <c r="UZW312" s="267"/>
      <c r="UZX312" s="269"/>
      <c r="UZY312" s="267"/>
      <c r="UZZ312" s="184"/>
      <c r="VAA312" s="184"/>
      <c r="VAB312" s="185"/>
      <c r="VAC312" s="184"/>
      <c r="VAD312" s="184"/>
      <c r="VAE312" s="184"/>
      <c r="VAF312" s="187"/>
      <c r="VAG312" s="188"/>
      <c r="VAI312" s="182"/>
      <c r="VAJ312" s="183"/>
      <c r="VAQ312" s="267"/>
      <c r="VAR312" s="269"/>
      <c r="VAS312" s="267"/>
      <c r="VAT312" s="184"/>
      <c r="VAU312" s="184"/>
      <c r="VAV312" s="185"/>
      <c r="VAW312" s="184"/>
      <c r="VAX312" s="184"/>
      <c r="VAY312" s="184"/>
      <c r="VAZ312" s="187"/>
      <c r="VBA312" s="188"/>
      <c r="VBC312" s="182"/>
      <c r="VBD312" s="183"/>
      <c r="VBK312" s="267"/>
      <c r="VBL312" s="269"/>
      <c r="VBM312" s="267"/>
      <c r="VBN312" s="184"/>
      <c r="VBO312" s="184"/>
      <c r="VBP312" s="185"/>
      <c r="VBQ312" s="184"/>
      <c r="VBR312" s="184"/>
      <c r="VBS312" s="184"/>
      <c r="VBT312" s="187"/>
      <c r="VBU312" s="188"/>
      <c r="VBW312" s="182"/>
      <c r="VBX312" s="183"/>
      <c r="VCE312" s="267"/>
      <c r="VCF312" s="269"/>
      <c r="VCG312" s="267"/>
      <c r="VCH312" s="184"/>
      <c r="VCI312" s="184"/>
      <c r="VCJ312" s="185"/>
      <c r="VCK312" s="184"/>
      <c r="VCL312" s="184"/>
      <c r="VCM312" s="184"/>
      <c r="VCN312" s="187"/>
      <c r="VCO312" s="188"/>
      <c r="VCQ312" s="182"/>
      <c r="VCR312" s="183"/>
      <c r="VCY312" s="267"/>
      <c r="VCZ312" s="269"/>
      <c r="VDA312" s="267"/>
      <c r="VDB312" s="184"/>
      <c r="VDC312" s="184"/>
      <c r="VDD312" s="185"/>
      <c r="VDE312" s="184"/>
      <c r="VDF312" s="184"/>
      <c r="VDG312" s="184"/>
      <c r="VDH312" s="187"/>
      <c r="VDI312" s="188"/>
      <c r="VDK312" s="182"/>
      <c r="VDL312" s="183"/>
      <c r="VDS312" s="267"/>
      <c r="VDT312" s="269"/>
      <c r="VDU312" s="267"/>
      <c r="VDV312" s="184"/>
      <c r="VDW312" s="184"/>
      <c r="VDX312" s="185"/>
      <c r="VDY312" s="184"/>
      <c r="VDZ312" s="184"/>
      <c r="VEA312" s="184"/>
      <c r="VEB312" s="187"/>
      <c r="VEC312" s="188"/>
      <c r="VEE312" s="182"/>
      <c r="VEF312" s="183"/>
      <c r="VEM312" s="267"/>
      <c r="VEN312" s="269"/>
      <c r="VEO312" s="267"/>
      <c r="VEP312" s="184"/>
      <c r="VEQ312" s="184"/>
      <c r="VER312" s="185"/>
      <c r="VES312" s="184"/>
      <c r="VET312" s="184"/>
      <c r="VEU312" s="184"/>
      <c r="VEV312" s="187"/>
      <c r="VEW312" s="188"/>
      <c r="VEY312" s="182"/>
      <c r="VEZ312" s="183"/>
      <c r="VFG312" s="267"/>
      <c r="VFH312" s="269"/>
      <c r="VFI312" s="267"/>
      <c r="VFJ312" s="184"/>
      <c r="VFK312" s="184"/>
      <c r="VFL312" s="185"/>
      <c r="VFM312" s="184"/>
      <c r="VFN312" s="184"/>
      <c r="VFO312" s="184"/>
      <c r="VFP312" s="187"/>
      <c r="VFQ312" s="188"/>
      <c r="VFS312" s="182"/>
      <c r="VFT312" s="183"/>
      <c r="VGA312" s="267"/>
      <c r="VGB312" s="269"/>
      <c r="VGC312" s="267"/>
      <c r="VGD312" s="184"/>
      <c r="VGE312" s="184"/>
      <c r="VGF312" s="185"/>
      <c r="VGG312" s="184"/>
      <c r="VGH312" s="184"/>
      <c r="VGI312" s="184"/>
      <c r="VGJ312" s="187"/>
      <c r="VGK312" s="188"/>
      <c r="VGM312" s="182"/>
      <c r="VGN312" s="183"/>
      <c r="VGU312" s="267"/>
      <c r="VGV312" s="269"/>
      <c r="VGW312" s="267"/>
      <c r="VGX312" s="184"/>
      <c r="VGY312" s="184"/>
      <c r="VGZ312" s="185"/>
      <c r="VHA312" s="184"/>
      <c r="VHB312" s="184"/>
      <c r="VHC312" s="184"/>
      <c r="VHD312" s="187"/>
      <c r="VHE312" s="188"/>
      <c r="VHG312" s="182"/>
      <c r="VHH312" s="183"/>
      <c r="VHO312" s="267"/>
      <c r="VHP312" s="269"/>
      <c r="VHQ312" s="267"/>
      <c r="VHR312" s="184"/>
      <c r="VHS312" s="184"/>
      <c r="VHT312" s="185"/>
      <c r="VHU312" s="184"/>
      <c r="VHV312" s="184"/>
      <c r="VHW312" s="184"/>
      <c r="VHX312" s="187"/>
      <c r="VHY312" s="188"/>
      <c r="VIA312" s="182"/>
      <c r="VIB312" s="183"/>
      <c r="VII312" s="267"/>
      <c r="VIJ312" s="269"/>
      <c r="VIK312" s="267"/>
      <c r="VIL312" s="184"/>
      <c r="VIM312" s="184"/>
      <c r="VIN312" s="185"/>
      <c r="VIO312" s="184"/>
      <c r="VIP312" s="184"/>
      <c r="VIQ312" s="184"/>
      <c r="VIR312" s="187"/>
      <c r="VIS312" s="188"/>
      <c r="VIU312" s="182"/>
      <c r="VIV312" s="183"/>
      <c r="VJC312" s="267"/>
      <c r="VJD312" s="269"/>
      <c r="VJE312" s="267"/>
      <c r="VJF312" s="184"/>
      <c r="VJG312" s="184"/>
      <c r="VJH312" s="185"/>
      <c r="VJI312" s="184"/>
      <c r="VJJ312" s="184"/>
      <c r="VJK312" s="184"/>
      <c r="VJL312" s="187"/>
      <c r="VJM312" s="188"/>
      <c r="VJO312" s="182"/>
      <c r="VJP312" s="183"/>
      <c r="VJW312" s="267"/>
      <c r="VJX312" s="269"/>
      <c r="VJY312" s="267"/>
      <c r="VJZ312" s="184"/>
      <c r="VKA312" s="184"/>
      <c r="VKB312" s="185"/>
      <c r="VKC312" s="184"/>
      <c r="VKD312" s="184"/>
      <c r="VKE312" s="184"/>
      <c r="VKF312" s="187"/>
      <c r="VKG312" s="188"/>
      <c r="VKI312" s="182"/>
      <c r="VKJ312" s="183"/>
      <c r="VKQ312" s="267"/>
      <c r="VKR312" s="269"/>
      <c r="VKS312" s="267"/>
      <c r="VKT312" s="184"/>
      <c r="VKU312" s="184"/>
      <c r="VKV312" s="185"/>
      <c r="VKW312" s="184"/>
      <c r="VKX312" s="184"/>
      <c r="VKY312" s="184"/>
      <c r="VKZ312" s="187"/>
      <c r="VLA312" s="188"/>
      <c r="VLC312" s="182"/>
      <c r="VLD312" s="183"/>
      <c r="VLK312" s="267"/>
      <c r="VLL312" s="269"/>
      <c r="VLM312" s="267"/>
      <c r="VLN312" s="184"/>
      <c r="VLO312" s="184"/>
      <c r="VLP312" s="185"/>
      <c r="VLQ312" s="184"/>
      <c r="VLR312" s="184"/>
      <c r="VLS312" s="184"/>
      <c r="VLT312" s="187"/>
      <c r="VLU312" s="188"/>
      <c r="VLW312" s="182"/>
      <c r="VLX312" s="183"/>
      <c r="VME312" s="267"/>
      <c r="VMF312" s="269"/>
      <c r="VMG312" s="267"/>
      <c r="VMH312" s="184"/>
      <c r="VMI312" s="184"/>
      <c r="VMJ312" s="185"/>
      <c r="VMK312" s="184"/>
      <c r="VML312" s="184"/>
      <c r="VMM312" s="184"/>
      <c r="VMN312" s="187"/>
      <c r="VMO312" s="188"/>
      <c r="VMQ312" s="182"/>
      <c r="VMR312" s="183"/>
      <c r="VMY312" s="267"/>
      <c r="VMZ312" s="269"/>
      <c r="VNA312" s="267"/>
      <c r="VNB312" s="184"/>
      <c r="VNC312" s="184"/>
      <c r="VND312" s="185"/>
      <c r="VNE312" s="184"/>
      <c r="VNF312" s="184"/>
      <c r="VNG312" s="184"/>
      <c r="VNH312" s="187"/>
      <c r="VNI312" s="188"/>
      <c r="VNK312" s="182"/>
      <c r="VNL312" s="183"/>
      <c r="VNS312" s="267"/>
      <c r="VNT312" s="269"/>
      <c r="VNU312" s="267"/>
      <c r="VNV312" s="184"/>
      <c r="VNW312" s="184"/>
      <c r="VNX312" s="185"/>
      <c r="VNY312" s="184"/>
      <c r="VNZ312" s="184"/>
      <c r="VOA312" s="184"/>
      <c r="VOB312" s="187"/>
      <c r="VOC312" s="188"/>
      <c r="VOE312" s="182"/>
      <c r="VOF312" s="183"/>
      <c r="VOM312" s="267"/>
      <c r="VON312" s="269"/>
      <c r="VOO312" s="267"/>
      <c r="VOP312" s="184"/>
      <c r="VOQ312" s="184"/>
      <c r="VOR312" s="185"/>
      <c r="VOS312" s="184"/>
      <c r="VOT312" s="184"/>
      <c r="VOU312" s="184"/>
      <c r="VOV312" s="187"/>
      <c r="VOW312" s="188"/>
      <c r="VOY312" s="182"/>
      <c r="VOZ312" s="183"/>
      <c r="VPG312" s="267"/>
      <c r="VPH312" s="269"/>
      <c r="VPI312" s="267"/>
      <c r="VPJ312" s="184"/>
      <c r="VPK312" s="184"/>
      <c r="VPL312" s="185"/>
      <c r="VPM312" s="184"/>
      <c r="VPN312" s="184"/>
      <c r="VPO312" s="184"/>
      <c r="VPP312" s="187"/>
      <c r="VPQ312" s="188"/>
      <c r="VPS312" s="182"/>
      <c r="VPT312" s="183"/>
      <c r="VQA312" s="267"/>
      <c r="VQB312" s="269"/>
      <c r="VQC312" s="267"/>
      <c r="VQD312" s="184"/>
      <c r="VQE312" s="184"/>
      <c r="VQF312" s="185"/>
      <c r="VQG312" s="184"/>
      <c r="VQH312" s="184"/>
      <c r="VQI312" s="184"/>
      <c r="VQJ312" s="187"/>
      <c r="VQK312" s="188"/>
      <c r="VQM312" s="182"/>
      <c r="VQN312" s="183"/>
      <c r="VQU312" s="267"/>
      <c r="VQV312" s="269"/>
      <c r="VQW312" s="267"/>
      <c r="VQX312" s="184"/>
      <c r="VQY312" s="184"/>
      <c r="VQZ312" s="185"/>
      <c r="VRA312" s="184"/>
      <c r="VRB312" s="184"/>
      <c r="VRC312" s="184"/>
      <c r="VRD312" s="187"/>
      <c r="VRE312" s="188"/>
      <c r="VRG312" s="182"/>
      <c r="VRH312" s="183"/>
      <c r="VRO312" s="267"/>
      <c r="VRP312" s="269"/>
      <c r="VRQ312" s="267"/>
      <c r="VRR312" s="184"/>
      <c r="VRS312" s="184"/>
      <c r="VRT312" s="185"/>
      <c r="VRU312" s="184"/>
      <c r="VRV312" s="184"/>
      <c r="VRW312" s="184"/>
      <c r="VRX312" s="187"/>
      <c r="VRY312" s="188"/>
      <c r="VSA312" s="182"/>
      <c r="VSB312" s="183"/>
      <c r="VSI312" s="267"/>
      <c r="VSJ312" s="269"/>
      <c r="VSK312" s="267"/>
      <c r="VSL312" s="184"/>
      <c r="VSM312" s="184"/>
      <c r="VSN312" s="185"/>
      <c r="VSO312" s="184"/>
      <c r="VSP312" s="184"/>
      <c r="VSQ312" s="184"/>
      <c r="VSR312" s="187"/>
      <c r="VSS312" s="188"/>
      <c r="VSU312" s="182"/>
      <c r="VSV312" s="183"/>
      <c r="VTC312" s="267"/>
      <c r="VTD312" s="269"/>
      <c r="VTE312" s="267"/>
      <c r="VTF312" s="184"/>
      <c r="VTG312" s="184"/>
      <c r="VTH312" s="185"/>
      <c r="VTI312" s="184"/>
      <c r="VTJ312" s="184"/>
      <c r="VTK312" s="184"/>
      <c r="VTL312" s="187"/>
      <c r="VTM312" s="188"/>
      <c r="VTO312" s="182"/>
      <c r="VTP312" s="183"/>
      <c r="VTW312" s="267"/>
      <c r="VTX312" s="269"/>
      <c r="VTY312" s="267"/>
      <c r="VTZ312" s="184"/>
      <c r="VUA312" s="184"/>
      <c r="VUB312" s="185"/>
      <c r="VUC312" s="184"/>
      <c r="VUD312" s="184"/>
      <c r="VUE312" s="184"/>
      <c r="VUF312" s="187"/>
      <c r="VUG312" s="188"/>
      <c r="VUI312" s="182"/>
      <c r="VUJ312" s="183"/>
      <c r="VUQ312" s="267"/>
      <c r="VUR312" s="269"/>
      <c r="VUS312" s="267"/>
      <c r="VUT312" s="184"/>
      <c r="VUU312" s="184"/>
      <c r="VUV312" s="185"/>
      <c r="VUW312" s="184"/>
      <c r="VUX312" s="184"/>
      <c r="VUY312" s="184"/>
      <c r="VUZ312" s="187"/>
      <c r="VVA312" s="188"/>
      <c r="VVC312" s="182"/>
      <c r="VVD312" s="183"/>
      <c r="VVK312" s="267"/>
      <c r="VVL312" s="269"/>
      <c r="VVM312" s="267"/>
      <c r="VVN312" s="184"/>
      <c r="VVO312" s="184"/>
      <c r="VVP312" s="185"/>
      <c r="VVQ312" s="184"/>
      <c r="VVR312" s="184"/>
      <c r="VVS312" s="184"/>
      <c r="VVT312" s="187"/>
      <c r="VVU312" s="188"/>
      <c r="VVW312" s="182"/>
      <c r="VVX312" s="183"/>
      <c r="VWE312" s="267"/>
      <c r="VWF312" s="269"/>
      <c r="VWG312" s="267"/>
      <c r="VWH312" s="184"/>
      <c r="VWI312" s="184"/>
      <c r="VWJ312" s="185"/>
      <c r="VWK312" s="184"/>
      <c r="VWL312" s="184"/>
      <c r="VWM312" s="184"/>
      <c r="VWN312" s="187"/>
      <c r="VWO312" s="188"/>
      <c r="VWQ312" s="182"/>
      <c r="VWR312" s="183"/>
      <c r="VWY312" s="267"/>
      <c r="VWZ312" s="269"/>
      <c r="VXA312" s="267"/>
      <c r="VXB312" s="184"/>
      <c r="VXC312" s="184"/>
      <c r="VXD312" s="185"/>
      <c r="VXE312" s="184"/>
      <c r="VXF312" s="184"/>
      <c r="VXG312" s="184"/>
      <c r="VXH312" s="187"/>
      <c r="VXI312" s="188"/>
      <c r="VXK312" s="182"/>
      <c r="VXL312" s="183"/>
      <c r="VXS312" s="267"/>
      <c r="VXT312" s="269"/>
      <c r="VXU312" s="267"/>
      <c r="VXV312" s="184"/>
      <c r="VXW312" s="184"/>
      <c r="VXX312" s="185"/>
      <c r="VXY312" s="184"/>
      <c r="VXZ312" s="184"/>
      <c r="VYA312" s="184"/>
      <c r="VYB312" s="187"/>
      <c r="VYC312" s="188"/>
      <c r="VYE312" s="182"/>
      <c r="VYF312" s="183"/>
      <c r="VYM312" s="267"/>
      <c r="VYN312" s="269"/>
      <c r="VYO312" s="267"/>
      <c r="VYP312" s="184"/>
      <c r="VYQ312" s="184"/>
      <c r="VYR312" s="185"/>
      <c r="VYS312" s="184"/>
      <c r="VYT312" s="184"/>
      <c r="VYU312" s="184"/>
      <c r="VYV312" s="187"/>
      <c r="VYW312" s="188"/>
      <c r="VYY312" s="182"/>
      <c r="VYZ312" s="183"/>
      <c r="VZG312" s="267"/>
      <c r="VZH312" s="269"/>
      <c r="VZI312" s="267"/>
      <c r="VZJ312" s="184"/>
      <c r="VZK312" s="184"/>
      <c r="VZL312" s="185"/>
      <c r="VZM312" s="184"/>
      <c r="VZN312" s="184"/>
      <c r="VZO312" s="184"/>
      <c r="VZP312" s="187"/>
      <c r="VZQ312" s="188"/>
      <c r="VZS312" s="182"/>
      <c r="VZT312" s="183"/>
      <c r="WAA312" s="267"/>
      <c r="WAB312" s="269"/>
      <c r="WAC312" s="267"/>
      <c r="WAD312" s="184"/>
      <c r="WAE312" s="184"/>
      <c r="WAF312" s="185"/>
      <c r="WAG312" s="184"/>
      <c r="WAH312" s="184"/>
      <c r="WAI312" s="184"/>
      <c r="WAJ312" s="187"/>
      <c r="WAK312" s="188"/>
      <c r="WAM312" s="182"/>
      <c r="WAN312" s="183"/>
      <c r="WAU312" s="267"/>
      <c r="WAV312" s="269"/>
      <c r="WAW312" s="267"/>
      <c r="WAX312" s="184"/>
      <c r="WAY312" s="184"/>
      <c r="WAZ312" s="185"/>
      <c r="WBA312" s="184"/>
      <c r="WBB312" s="184"/>
      <c r="WBC312" s="184"/>
      <c r="WBD312" s="187"/>
      <c r="WBE312" s="188"/>
      <c r="WBG312" s="182"/>
      <c r="WBH312" s="183"/>
      <c r="WBO312" s="267"/>
      <c r="WBP312" s="269"/>
      <c r="WBQ312" s="267"/>
      <c r="WBR312" s="184"/>
      <c r="WBS312" s="184"/>
      <c r="WBT312" s="185"/>
      <c r="WBU312" s="184"/>
      <c r="WBV312" s="184"/>
      <c r="WBW312" s="184"/>
      <c r="WBX312" s="187"/>
      <c r="WBY312" s="188"/>
      <c r="WCA312" s="182"/>
      <c r="WCB312" s="183"/>
      <c r="WCI312" s="267"/>
      <c r="WCJ312" s="269"/>
      <c r="WCK312" s="267"/>
      <c r="WCL312" s="184"/>
      <c r="WCM312" s="184"/>
      <c r="WCN312" s="185"/>
      <c r="WCO312" s="184"/>
      <c r="WCP312" s="184"/>
      <c r="WCQ312" s="184"/>
      <c r="WCR312" s="187"/>
      <c r="WCS312" s="188"/>
      <c r="WCU312" s="182"/>
      <c r="WCV312" s="183"/>
      <c r="WDC312" s="267"/>
      <c r="WDD312" s="269"/>
      <c r="WDE312" s="267"/>
      <c r="WDF312" s="184"/>
      <c r="WDG312" s="184"/>
      <c r="WDH312" s="185"/>
      <c r="WDI312" s="184"/>
      <c r="WDJ312" s="184"/>
      <c r="WDK312" s="184"/>
      <c r="WDL312" s="187"/>
      <c r="WDM312" s="188"/>
      <c r="WDO312" s="182"/>
      <c r="WDP312" s="183"/>
      <c r="WDW312" s="267"/>
      <c r="WDX312" s="269"/>
      <c r="WDY312" s="267"/>
      <c r="WDZ312" s="184"/>
      <c r="WEA312" s="184"/>
      <c r="WEB312" s="185"/>
      <c r="WEC312" s="184"/>
      <c r="WED312" s="184"/>
      <c r="WEE312" s="184"/>
      <c r="WEF312" s="187"/>
      <c r="WEG312" s="188"/>
      <c r="WEI312" s="182"/>
      <c r="WEJ312" s="183"/>
      <c r="WEQ312" s="267"/>
      <c r="WER312" s="269"/>
      <c r="WES312" s="267"/>
      <c r="WET312" s="184"/>
      <c r="WEU312" s="184"/>
      <c r="WEV312" s="185"/>
      <c r="WEW312" s="184"/>
      <c r="WEX312" s="184"/>
      <c r="WEY312" s="184"/>
      <c r="WEZ312" s="187"/>
      <c r="WFA312" s="188"/>
      <c r="WFC312" s="182"/>
      <c r="WFD312" s="183"/>
      <c r="WFK312" s="267"/>
      <c r="WFL312" s="269"/>
      <c r="WFM312" s="267"/>
      <c r="WFN312" s="184"/>
      <c r="WFO312" s="184"/>
      <c r="WFP312" s="185"/>
      <c r="WFQ312" s="184"/>
      <c r="WFR312" s="184"/>
      <c r="WFS312" s="184"/>
      <c r="WFT312" s="187"/>
      <c r="WFU312" s="188"/>
      <c r="WFW312" s="182"/>
      <c r="WFX312" s="183"/>
      <c r="WGE312" s="267"/>
      <c r="WGF312" s="269"/>
      <c r="WGG312" s="267"/>
      <c r="WGH312" s="184"/>
      <c r="WGI312" s="184"/>
      <c r="WGJ312" s="185"/>
      <c r="WGK312" s="184"/>
      <c r="WGL312" s="184"/>
      <c r="WGM312" s="184"/>
      <c r="WGN312" s="187"/>
      <c r="WGO312" s="188"/>
      <c r="WGQ312" s="182"/>
      <c r="WGR312" s="183"/>
      <c r="WGY312" s="267"/>
      <c r="WGZ312" s="269"/>
      <c r="WHA312" s="267"/>
      <c r="WHB312" s="184"/>
      <c r="WHC312" s="184"/>
      <c r="WHD312" s="185"/>
      <c r="WHE312" s="184"/>
      <c r="WHF312" s="184"/>
      <c r="WHG312" s="184"/>
      <c r="WHH312" s="187"/>
      <c r="WHI312" s="188"/>
      <c r="WHK312" s="182"/>
      <c r="WHL312" s="183"/>
      <c r="WHS312" s="267"/>
      <c r="WHT312" s="269"/>
      <c r="WHU312" s="267"/>
      <c r="WHV312" s="184"/>
      <c r="WHW312" s="184"/>
      <c r="WHX312" s="185"/>
      <c r="WHY312" s="184"/>
      <c r="WHZ312" s="184"/>
      <c r="WIA312" s="184"/>
      <c r="WIB312" s="187"/>
      <c r="WIC312" s="188"/>
      <c r="WIE312" s="182"/>
      <c r="WIF312" s="183"/>
      <c r="WIM312" s="267"/>
      <c r="WIN312" s="269"/>
      <c r="WIO312" s="267"/>
      <c r="WIP312" s="184"/>
      <c r="WIQ312" s="184"/>
      <c r="WIR312" s="185"/>
      <c r="WIS312" s="184"/>
      <c r="WIT312" s="184"/>
      <c r="WIU312" s="184"/>
      <c r="WIV312" s="187"/>
      <c r="WIW312" s="188"/>
      <c r="WIY312" s="182"/>
      <c r="WIZ312" s="183"/>
      <c r="WJG312" s="267"/>
      <c r="WJH312" s="269"/>
      <c r="WJI312" s="267"/>
      <c r="WJJ312" s="184"/>
      <c r="WJK312" s="184"/>
      <c r="WJL312" s="185"/>
      <c r="WJM312" s="184"/>
      <c r="WJN312" s="184"/>
      <c r="WJO312" s="184"/>
      <c r="WJP312" s="187"/>
      <c r="WJQ312" s="188"/>
      <c r="WJS312" s="182"/>
      <c r="WJT312" s="183"/>
      <c r="WKA312" s="267"/>
      <c r="WKB312" s="269"/>
      <c r="WKC312" s="267"/>
      <c r="WKD312" s="184"/>
      <c r="WKE312" s="184"/>
      <c r="WKF312" s="185"/>
      <c r="WKG312" s="184"/>
      <c r="WKH312" s="184"/>
      <c r="WKI312" s="184"/>
      <c r="WKJ312" s="187"/>
      <c r="WKK312" s="188"/>
      <c r="WKM312" s="182"/>
      <c r="WKN312" s="183"/>
      <c r="WKU312" s="267"/>
      <c r="WKV312" s="269"/>
      <c r="WKW312" s="267"/>
      <c r="WKX312" s="184"/>
      <c r="WKY312" s="184"/>
      <c r="WKZ312" s="185"/>
      <c r="WLA312" s="184"/>
      <c r="WLB312" s="184"/>
      <c r="WLC312" s="184"/>
      <c r="WLD312" s="187"/>
      <c r="WLE312" s="188"/>
      <c r="WLG312" s="182"/>
      <c r="WLH312" s="183"/>
      <c r="WLO312" s="267"/>
      <c r="WLP312" s="269"/>
      <c r="WLQ312" s="267"/>
      <c r="WLR312" s="184"/>
      <c r="WLS312" s="184"/>
      <c r="WLT312" s="185"/>
      <c r="WLU312" s="184"/>
      <c r="WLV312" s="184"/>
      <c r="WLW312" s="184"/>
      <c r="WLX312" s="187"/>
      <c r="WLY312" s="188"/>
      <c r="WMA312" s="182"/>
      <c r="WMB312" s="183"/>
      <c r="WMI312" s="267"/>
      <c r="WMJ312" s="269"/>
      <c r="WMK312" s="267"/>
      <c r="WML312" s="184"/>
      <c r="WMM312" s="184"/>
      <c r="WMN312" s="185"/>
      <c r="WMO312" s="184"/>
      <c r="WMP312" s="184"/>
      <c r="WMQ312" s="184"/>
      <c r="WMR312" s="187"/>
      <c r="WMS312" s="188"/>
      <c r="WMU312" s="182"/>
      <c r="WMV312" s="183"/>
      <c r="WNC312" s="267"/>
      <c r="WND312" s="269"/>
      <c r="WNE312" s="267"/>
      <c r="WNF312" s="184"/>
      <c r="WNG312" s="184"/>
      <c r="WNH312" s="185"/>
      <c r="WNI312" s="184"/>
      <c r="WNJ312" s="184"/>
      <c r="WNK312" s="184"/>
      <c r="WNL312" s="187"/>
      <c r="WNM312" s="188"/>
      <c r="WNO312" s="182"/>
      <c r="WNP312" s="183"/>
      <c r="WNW312" s="267"/>
      <c r="WNX312" s="269"/>
      <c r="WNY312" s="267"/>
      <c r="WNZ312" s="184"/>
      <c r="WOA312" s="184"/>
      <c r="WOB312" s="185"/>
      <c r="WOC312" s="184"/>
      <c r="WOD312" s="184"/>
      <c r="WOE312" s="184"/>
      <c r="WOF312" s="187"/>
      <c r="WOG312" s="188"/>
      <c r="WOI312" s="182"/>
      <c r="WOJ312" s="183"/>
      <c r="WOQ312" s="267"/>
      <c r="WOR312" s="269"/>
      <c r="WOS312" s="267"/>
      <c r="WOT312" s="184"/>
      <c r="WOU312" s="184"/>
      <c r="WOV312" s="185"/>
      <c r="WOW312" s="184"/>
      <c r="WOX312" s="184"/>
      <c r="WOY312" s="184"/>
      <c r="WOZ312" s="187"/>
      <c r="WPA312" s="188"/>
      <c r="WPC312" s="182"/>
      <c r="WPD312" s="183"/>
      <c r="WPK312" s="267"/>
      <c r="WPL312" s="269"/>
      <c r="WPM312" s="267"/>
      <c r="WPN312" s="184"/>
      <c r="WPO312" s="184"/>
      <c r="WPP312" s="185"/>
      <c r="WPQ312" s="184"/>
      <c r="WPR312" s="184"/>
      <c r="WPS312" s="184"/>
      <c r="WPT312" s="187"/>
      <c r="WPU312" s="188"/>
      <c r="WPW312" s="182"/>
      <c r="WPX312" s="183"/>
      <c r="WQE312" s="267"/>
      <c r="WQF312" s="269"/>
      <c r="WQG312" s="267"/>
      <c r="WQH312" s="184"/>
      <c r="WQI312" s="184"/>
      <c r="WQJ312" s="185"/>
      <c r="WQK312" s="184"/>
      <c r="WQL312" s="184"/>
      <c r="WQM312" s="184"/>
      <c r="WQN312" s="187"/>
      <c r="WQO312" s="188"/>
      <c r="WQQ312" s="182"/>
      <c r="WQR312" s="183"/>
      <c r="WQY312" s="267"/>
      <c r="WQZ312" s="269"/>
      <c r="WRA312" s="267"/>
      <c r="WRB312" s="184"/>
      <c r="WRC312" s="184"/>
      <c r="WRD312" s="185"/>
      <c r="WRE312" s="184"/>
      <c r="WRF312" s="184"/>
      <c r="WRG312" s="184"/>
      <c r="WRH312" s="187"/>
      <c r="WRI312" s="188"/>
      <c r="WRK312" s="182"/>
      <c r="WRL312" s="183"/>
      <c r="WRS312" s="267"/>
      <c r="WRT312" s="269"/>
      <c r="WRU312" s="267"/>
      <c r="WRV312" s="184"/>
      <c r="WRW312" s="184"/>
      <c r="WRX312" s="185"/>
      <c r="WRY312" s="184"/>
      <c r="WRZ312" s="184"/>
      <c r="WSA312" s="184"/>
      <c r="WSB312" s="187"/>
      <c r="WSC312" s="188"/>
      <c r="WSE312" s="182"/>
      <c r="WSF312" s="183"/>
      <c r="WSM312" s="267"/>
      <c r="WSN312" s="269"/>
      <c r="WSO312" s="267"/>
      <c r="WSP312" s="184"/>
      <c r="WSQ312" s="184"/>
      <c r="WSR312" s="185"/>
      <c r="WSS312" s="184"/>
      <c r="WST312" s="184"/>
      <c r="WSU312" s="184"/>
      <c r="WSV312" s="187"/>
      <c r="WSW312" s="188"/>
      <c r="WSY312" s="182"/>
      <c r="WSZ312" s="183"/>
      <c r="WTG312" s="267"/>
      <c r="WTH312" s="269"/>
      <c r="WTI312" s="267"/>
      <c r="WTJ312" s="184"/>
      <c r="WTK312" s="184"/>
      <c r="WTL312" s="185"/>
      <c r="WTM312" s="184"/>
      <c r="WTN312" s="184"/>
      <c r="WTO312" s="184"/>
      <c r="WTP312" s="187"/>
      <c r="WTQ312" s="188"/>
      <c r="WTS312" s="182"/>
      <c r="WTT312" s="183"/>
      <c r="WUA312" s="267"/>
      <c r="WUB312" s="269"/>
      <c r="WUC312" s="267"/>
      <c r="WUD312" s="184"/>
      <c r="WUE312" s="184"/>
      <c r="WUF312" s="185"/>
      <c r="WUG312" s="184"/>
      <c r="WUH312" s="184"/>
      <c r="WUI312" s="184"/>
      <c r="WUJ312" s="187"/>
      <c r="WUK312" s="188"/>
      <c r="WUM312" s="182"/>
      <c r="WUN312" s="183"/>
      <c r="WUU312" s="267"/>
      <c r="WUV312" s="269"/>
      <c r="WUW312" s="267"/>
      <c r="WUX312" s="184"/>
      <c r="WUY312" s="184"/>
      <c r="WUZ312" s="185"/>
      <c r="WVA312" s="184"/>
      <c r="WVB312" s="184"/>
      <c r="WVC312" s="184"/>
      <c r="WVD312" s="187"/>
      <c r="WVE312" s="188"/>
      <c r="WVG312" s="182"/>
      <c r="WVH312" s="183"/>
      <c r="WVO312" s="267"/>
      <c r="WVP312" s="269"/>
      <c r="WVQ312" s="267"/>
      <c r="WVR312" s="184"/>
      <c r="WVS312" s="184"/>
      <c r="WVT312" s="185"/>
      <c r="WVU312" s="184"/>
      <c r="WVV312" s="184"/>
      <c r="WVW312" s="184"/>
      <c r="WVX312" s="187"/>
      <c r="WVY312" s="188"/>
      <c r="WWA312" s="182"/>
      <c r="WWB312" s="183"/>
      <c r="WWI312" s="267"/>
      <c r="WWJ312" s="269"/>
      <c r="WWK312" s="267"/>
      <c r="WWL312" s="184"/>
      <c r="WWM312" s="184"/>
      <c r="WWN312" s="185"/>
      <c r="WWO312" s="184"/>
      <c r="WWP312" s="184"/>
      <c r="WWQ312" s="184"/>
      <c r="WWR312" s="187"/>
      <c r="WWS312" s="188"/>
      <c r="WWU312" s="182"/>
      <c r="WWV312" s="183"/>
      <c r="WXC312" s="267"/>
      <c r="WXD312" s="269"/>
      <c r="WXE312" s="267"/>
      <c r="WXF312" s="184"/>
      <c r="WXG312" s="184"/>
      <c r="WXH312" s="185"/>
      <c r="WXI312" s="184"/>
      <c r="WXJ312" s="184"/>
      <c r="WXK312" s="184"/>
      <c r="WXL312" s="187"/>
      <c r="WXM312" s="188"/>
      <c r="WXO312" s="182"/>
      <c r="WXP312" s="183"/>
      <c r="WXW312" s="267"/>
      <c r="WXX312" s="269"/>
      <c r="WXY312" s="267"/>
      <c r="WXZ312" s="184"/>
      <c r="WYA312" s="184"/>
      <c r="WYB312" s="185"/>
      <c r="WYC312" s="184"/>
      <c r="WYD312" s="184"/>
      <c r="WYE312" s="184"/>
      <c r="WYF312" s="187"/>
      <c r="WYG312" s="188"/>
      <c r="WYI312" s="182"/>
      <c r="WYJ312" s="183"/>
      <c r="WYQ312" s="267"/>
      <c r="WYR312" s="269"/>
      <c r="WYS312" s="267"/>
      <c r="WYT312" s="184"/>
      <c r="WYU312" s="184"/>
      <c r="WYV312" s="185"/>
      <c r="WYW312" s="184"/>
      <c r="WYX312" s="184"/>
      <c r="WYY312" s="184"/>
      <c r="WYZ312" s="187"/>
      <c r="WZA312" s="188"/>
      <c r="WZC312" s="182"/>
      <c r="WZD312" s="183"/>
      <c r="WZK312" s="267"/>
      <c r="WZL312" s="269"/>
      <c r="WZM312" s="267"/>
      <c r="WZN312" s="184"/>
      <c r="WZO312" s="184"/>
      <c r="WZP312" s="185"/>
      <c r="WZQ312" s="184"/>
      <c r="WZR312" s="184"/>
      <c r="WZS312" s="184"/>
      <c r="WZT312" s="187"/>
      <c r="WZU312" s="188"/>
      <c r="WZW312" s="182"/>
      <c r="WZX312" s="183"/>
      <c r="XAE312" s="267"/>
      <c r="XAF312" s="269"/>
      <c r="XAG312" s="267"/>
      <c r="XAH312" s="184"/>
      <c r="XAI312" s="184"/>
      <c r="XAJ312" s="185"/>
      <c r="XAK312" s="184"/>
      <c r="XAL312" s="184"/>
      <c r="XAM312" s="184"/>
      <c r="XAN312" s="187"/>
      <c r="XAO312" s="188"/>
      <c r="XAQ312" s="182"/>
      <c r="XAR312" s="183"/>
      <c r="XAY312" s="267"/>
      <c r="XAZ312" s="269"/>
      <c r="XBA312" s="267"/>
      <c r="XBB312" s="184"/>
      <c r="XBC312" s="184"/>
      <c r="XBD312" s="185"/>
      <c r="XBE312" s="184"/>
      <c r="XBF312" s="184"/>
      <c r="XBG312" s="184"/>
      <c r="XBH312" s="187"/>
      <c r="XBI312" s="188"/>
      <c r="XBK312" s="182"/>
      <c r="XBL312" s="183"/>
      <c r="XBS312" s="267"/>
      <c r="XBT312" s="269"/>
      <c r="XBU312" s="267"/>
      <c r="XBV312" s="184"/>
      <c r="XBW312" s="184"/>
      <c r="XBX312" s="185"/>
      <c r="XBY312" s="184"/>
      <c r="XBZ312" s="184"/>
      <c r="XCA312" s="184"/>
      <c r="XCB312" s="187"/>
      <c r="XCC312" s="188"/>
      <c r="XCE312" s="182"/>
      <c r="XCF312" s="183"/>
      <c r="XCM312" s="267"/>
      <c r="XCN312" s="269"/>
      <c r="XCO312" s="267"/>
      <c r="XCP312" s="184"/>
      <c r="XCQ312" s="184"/>
      <c r="XCR312" s="185"/>
      <c r="XCS312" s="184"/>
      <c r="XCT312" s="184"/>
      <c r="XCU312" s="184"/>
      <c r="XCV312" s="187"/>
      <c r="XCW312" s="188"/>
      <c r="XCY312" s="182"/>
      <c r="XCZ312" s="183"/>
      <c r="XDG312" s="267"/>
      <c r="XDH312" s="269"/>
      <c r="XDI312" s="267"/>
      <c r="XDJ312" s="184"/>
      <c r="XDK312" s="184"/>
      <c r="XDL312" s="185"/>
      <c r="XDM312" s="184"/>
      <c r="XDN312" s="184"/>
      <c r="XDO312" s="184"/>
      <c r="XDP312" s="187"/>
      <c r="XDQ312" s="188"/>
      <c r="XDS312" s="182"/>
      <c r="XDT312" s="183"/>
      <c r="XEA312" s="267"/>
      <c r="XEB312" s="269"/>
      <c r="XEC312" s="267"/>
      <c r="XED312" s="184"/>
      <c r="XEE312" s="184"/>
      <c r="XEF312" s="185"/>
      <c r="XEG312" s="184"/>
      <c r="XEH312" s="184"/>
      <c r="XEI312" s="184"/>
      <c r="XEJ312" s="187"/>
      <c r="XEK312" s="188"/>
      <c r="XEM312" s="182"/>
      <c r="XEN312" s="0"/>
      <c r="XEO312" s="0"/>
      <c r="XEP312" s="0"/>
      <c r="XEQ312" s="0"/>
      <c r="XER312" s="0"/>
      <c r="XES312" s="0"/>
      <c r="XET312" s="0"/>
      <c r="XEU312" s="0"/>
      <c r="XEV312" s="0"/>
      <c r="XEW312" s="0"/>
      <c r="XEX312" s="0"/>
      <c r="XEY312" s="0"/>
      <c r="XEZ312" s="0"/>
      <c r="XFA312" s="0"/>
      <c r="XFB312" s="0"/>
      <c r="XFC312" s="0"/>
      <c r="XFD312" s="0"/>
    </row>
    <row r="313" customFormat="false" ht="57.45" hidden="true" customHeight="false" outlineLevel="0" collapsed="false">
      <c r="A313" s="181" t="s">
        <v>974</v>
      </c>
      <c r="B313" s="182" t="n">
        <v>1256</v>
      </c>
      <c r="C313" s="183" t="n">
        <v>58354</v>
      </c>
      <c r="D313" s="181" t="s">
        <v>3326</v>
      </c>
      <c r="E313" s="181" t="s">
        <v>439</v>
      </c>
      <c r="F313" s="181" t="s">
        <v>440</v>
      </c>
      <c r="G313" s="181" t="s">
        <v>228</v>
      </c>
      <c r="H313" s="181" t="s">
        <v>832</v>
      </c>
      <c r="I313" s="181" t="s">
        <v>220</v>
      </c>
      <c r="J313" s="267"/>
      <c r="K313" s="269" t="n">
        <v>45896</v>
      </c>
      <c r="L313" s="267" t="n">
        <v>1.1</v>
      </c>
      <c r="M313" s="184" t="s">
        <v>228</v>
      </c>
      <c r="N313" s="184" t="n">
        <v>39570</v>
      </c>
      <c r="O313" s="184" t="n">
        <v>16130</v>
      </c>
      <c r="P313" s="185" t="n">
        <v>12</v>
      </c>
      <c r="Q313" s="184" t="n">
        <v>23440</v>
      </c>
      <c r="R313" s="184" t="n">
        <v>20627.2</v>
      </c>
      <c r="S313" s="184" t="s">
        <v>975</v>
      </c>
      <c r="T313" s="187" t="n">
        <v>45897</v>
      </c>
    </row>
    <row r="314" customFormat="false" ht="57.45" hidden="true" customHeight="false" outlineLevel="0" collapsed="false">
      <c r="A314" s="181" t="s">
        <v>978</v>
      </c>
      <c r="B314" s="182" t="n">
        <v>1258</v>
      </c>
      <c r="C314" s="183" t="n">
        <v>58368</v>
      </c>
      <c r="D314" s="181" t="s">
        <v>3326</v>
      </c>
      <c r="E314" s="181" t="s">
        <v>582</v>
      </c>
      <c r="F314" s="181" t="s">
        <v>583</v>
      </c>
      <c r="G314" s="181" t="s">
        <v>228</v>
      </c>
      <c r="H314" s="181" t="s">
        <v>832</v>
      </c>
      <c r="I314" s="181" t="s">
        <v>220</v>
      </c>
      <c r="J314" s="267"/>
      <c r="K314" s="269" t="n">
        <v>45896</v>
      </c>
      <c r="L314" s="267" t="n">
        <v>1.1</v>
      </c>
      <c r="M314" s="184" t="s">
        <v>228</v>
      </c>
      <c r="N314" s="184" t="n">
        <v>36840</v>
      </c>
      <c r="O314" s="184" t="n">
        <v>14740</v>
      </c>
      <c r="P314" s="185" t="n">
        <v>9</v>
      </c>
      <c r="Q314" s="184" t="n">
        <v>22100</v>
      </c>
      <c r="R314" s="184" t="n">
        <v>20111</v>
      </c>
      <c r="S314" s="184" t="s">
        <v>979</v>
      </c>
      <c r="T314" s="187" t="n">
        <v>45897</v>
      </c>
    </row>
    <row r="315" customFormat="false" ht="57.45" hidden="true" customHeight="false" outlineLevel="0" collapsed="false">
      <c r="A315" s="181" t="s">
        <v>980</v>
      </c>
      <c r="B315" s="182" t="n">
        <v>1259</v>
      </c>
      <c r="C315" s="183" t="n">
        <v>58370</v>
      </c>
      <c r="D315" s="181" t="s">
        <v>3326</v>
      </c>
      <c r="E315" s="181" t="s">
        <v>431</v>
      </c>
      <c r="F315" s="181" t="s">
        <v>432</v>
      </c>
      <c r="G315" s="181" t="s">
        <v>228</v>
      </c>
      <c r="H315" s="181" t="s">
        <v>832</v>
      </c>
      <c r="I315" s="181" t="s">
        <v>220</v>
      </c>
      <c r="J315" s="267"/>
      <c r="K315" s="269" t="n">
        <v>45896</v>
      </c>
      <c r="L315" s="267" t="n">
        <v>1.2</v>
      </c>
      <c r="M315" s="184" t="s">
        <v>228</v>
      </c>
      <c r="N315" s="184" t="n">
        <v>40480</v>
      </c>
      <c r="O315" s="184" t="n">
        <v>16670</v>
      </c>
      <c r="P315" s="185" t="n">
        <v>5</v>
      </c>
      <c r="Q315" s="184" t="n">
        <v>23810</v>
      </c>
      <c r="R315" s="184" t="n">
        <v>22619.5</v>
      </c>
      <c r="S315" s="184" t="s">
        <v>981</v>
      </c>
      <c r="T315" s="187" t="n">
        <v>45897</v>
      </c>
    </row>
    <row r="316" customFormat="false" ht="57.45" hidden="true" customHeight="false" outlineLevel="0" collapsed="false">
      <c r="A316" s="181" t="s">
        <v>982</v>
      </c>
      <c r="B316" s="182" t="n">
        <v>1260</v>
      </c>
      <c r="C316" s="183" t="n">
        <v>58373</v>
      </c>
      <c r="D316" s="181" t="s">
        <v>3326</v>
      </c>
      <c r="E316" s="181" t="s">
        <v>435</v>
      </c>
      <c r="F316" s="181" t="s">
        <v>436</v>
      </c>
      <c r="G316" s="181" t="s">
        <v>228</v>
      </c>
      <c r="H316" s="181" t="s">
        <v>832</v>
      </c>
      <c r="I316" s="181" t="s">
        <v>220</v>
      </c>
      <c r="J316" s="267"/>
      <c r="K316" s="269" t="n">
        <v>45896</v>
      </c>
      <c r="L316" s="267" t="n">
        <v>1.1</v>
      </c>
      <c r="M316" s="184" t="s">
        <v>228</v>
      </c>
      <c r="N316" s="184" t="n">
        <v>39730</v>
      </c>
      <c r="O316" s="184" t="n">
        <v>16540</v>
      </c>
      <c r="P316" s="185" t="n">
        <v>9</v>
      </c>
      <c r="Q316" s="184" t="n">
        <v>23190</v>
      </c>
      <c r="R316" s="184" t="n">
        <v>21102.9</v>
      </c>
      <c r="S316" s="184" t="s">
        <v>983</v>
      </c>
      <c r="T316" s="187" t="n">
        <v>45897</v>
      </c>
    </row>
    <row r="317" customFormat="false" ht="57.45" hidden="true" customHeight="false" outlineLevel="0" collapsed="false">
      <c r="A317" s="181" t="s">
        <v>984</v>
      </c>
      <c r="B317" s="182" t="n">
        <v>1262</v>
      </c>
      <c r="C317" s="183" t="n">
        <v>58380</v>
      </c>
      <c r="D317" s="181" t="s">
        <v>3326</v>
      </c>
      <c r="E317" s="181" t="s">
        <v>336</v>
      </c>
      <c r="F317" s="181" t="s">
        <v>337</v>
      </c>
      <c r="G317" s="181" t="s">
        <v>228</v>
      </c>
      <c r="H317" s="181" t="s">
        <v>832</v>
      </c>
      <c r="I317" s="181" t="s">
        <v>220</v>
      </c>
      <c r="J317" s="267"/>
      <c r="K317" s="269" t="n">
        <v>45896</v>
      </c>
      <c r="L317" s="267" t="n">
        <v>1.1</v>
      </c>
      <c r="M317" s="184" t="s">
        <v>228</v>
      </c>
      <c r="N317" s="184" t="n">
        <v>37960</v>
      </c>
      <c r="O317" s="184" t="n">
        <v>14480</v>
      </c>
      <c r="P317" s="185" t="n">
        <v>17</v>
      </c>
      <c r="Q317" s="184" t="n">
        <v>23480</v>
      </c>
      <c r="R317" s="184" t="n">
        <v>19488.4</v>
      </c>
      <c r="S317" s="184" t="s">
        <v>985</v>
      </c>
      <c r="T317" s="187" t="n">
        <v>45897</v>
      </c>
    </row>
    <row r="318" customFormat="false" ht="57.45" hidden="true" customHeight="false" outlineLevel="0" collapsed="false">
      <c r="A318" s="181" t="s">
        <v>986</v>
      </c>
      <c r="B318" s="182" t="n">
        <v>1263</v>
      </c>
      <c r="C318" s="183" t="n">
        <v>58382</v>
      </c>
      <c r="D318" s="181" t="s">
        <v>3326</v>
      </c>
      <c r="E318" s="181" t="s">
        <v>340</v>
      </c>
      <c r="F318" s="181" t="s">
        <v>341</v>
      </c>
      <c r="G318" s="181" t="s">
        <v>228</v>
      </c>
      <c r="H318" s="181" t="s">
        <v>832</v>
      </c>
      <c r="I318" s="181" t="s">
        <v>220</v>
      </c>
      <c r="J318" s="267"/>
      <c r="K318" s="269" t="n">
        <v>45896</v>
      </c>
      <c r="L318" s="267" t="n">
        <v>1.1</v>
      </c>
      <c r="M318" s="184" t="s">
        <v>228</v>
      </c>
      <c r="N318" s="184" t="n">
        <v>38440</v>
      </c>
      <c r="O318" s="184" t="n">
        <v>15070</v>
      </c>
      <c r="P318" s="185" t="n">
        <v>8</v>
      </c>
      <c r="Q318" s="184" t="n">
        <v>23370</v>
      </c>
      <c r="R318" s="184" t="n">
        <v>21500.4</v>
      </c>
      <c r="S318" s="184" t="s">
        <v>987</v>
      </c>
      <c r="T318" s="187" t="n">
        <v>45897</v>
      </c>
    </row>
    <row r="319" customFormat="false" ht="57.45" hidden="true" customHeight="false" outlineLevel="0" collapsed="false">
      <c r="A319" s="181" t="s">
        <v>990</v>
      </c>
      <c r="B319" s="182" t="n">
        <v>1267</v>
      </c>
      <c r="C319" s="183" t="n">
        <v>58389</v>
      </c>
      <c r="D319" s="181" t="s">
        <v>3326</v>
      </c>
      <c r="E319" s="181" t="s">
        <v>391</v>
      </c>
      <c r="F319" s="181" t="s">
        <v>392</v>
      </c>
      <c r="G319" s="181" t="s">
        <v>228</v>
      </c>
      <c r="H319" s="181" t="s">
        <v>832</v>
      </c>
      <c r="I319" s="181" t="s">
        <v>220</v>
      </c>
      <c r="J319" s="267"/>
      <c r="K319" s="269" t="n">
        <v>45896</v>
      </c>
      <c r="L319" s="267" t="n">
        <v>1</v>
      </c>
      <c r="M319" s="184" t="s">
        <v>228</v>
      </c>
      <c r="N319" s="184" t="n">
        <v>34920</v>
      </c>
      <c r="O319" s="184" t="n">
        <v>14470</v>
      </c>
      <c r="P319" s="185" t="n">
        <v>11</v>
      </c>
      <c r="Q319" s="184" t="n">
        <v>20450</v>
      </c>
      <c r="R319" s="184" t="n">
        <v>18200.5</v>
      </c>
      <c r="S319" s="184" t="s">
        <v>991</v>
      </c>
      <c r="T319" s="187" t="n">
        <v>45897</v>
      </c>
    </row>
    <row r="320" customFormat="false" ht="57.45" hidden="true" customHeight="false" outlineLevel="0" collapsed="false">
      <c r="A320" s="181" t="s">
        <v>992</v>
      </c>
      <c r="B320" s="182" t="n">
        <v>1268</v>
      </c>
      <c r="C320" s="183" t="n">
        <v>58391</v>
      </c>
      <c r="D320" s="181" t="s">
        <v>3326</v>
      </c>
      <c r="E320" s="181" t="s">
        <v>529</v>
      </c>
      <c r="F320" s="181" t="s">
        <v>530</v>
      </c>
      <c r="G320" s="181" t="s">
        <v>228</v>
      </c>
      <c r="H320" s="181" t="s">
        <v>832</v>
      </c>
      <c r="I320" s="181" t="s">
        <v>220</v>
      </c>
      <c r="J320" s="267"/>
      <c r="K320" s="269" t="n">
        <v>45896</v>
      </c>
      <c r="L320" s="267" t="n">
        <v>1</v>
      </c>
      <c r="M320" s="184" t="s">
        <v>228</v>
      </c>
      <c r="N320" s="184" t="n">
        <v>36340</v>
      </c>
      <c r="O320" s="184" t="n">
        <v>14830</v>
      </c>
      <c r="P320" s="185" t="n">
        <v>10</v>
      </c>
      <c r="Q320" s="184" t="n">
        <v>21510</v>
      </c>
      <c r="R320" s="184" t="n">
        <v>19359</v>
      </c>
      <c r="S320" s="184" t="s">
        <v>993</v>
      </c>
      <c r="T320" s="187" t="n">
        <v>45897</v>
      </c>
    </row>
    <row r="321" customFormat="false" ht="57.45" hidden="true" customHeight="false" outlineLevel="0" collapsed="false">
      <c r="A321" s="181" t="s">
        <v>988</v>
      </c>
      <c r="B321" s="182" t="n">
        <v>1266</v>
      </c>
      <c r="C321" s="183" t="n">
        <v>58397</v>
      </c>
      <c r="D321" s="181" t="s">
        <v>3326</v>
      </c>
      <c r="E321" s="181" t="s">
        <v>277</v>
      </c>
      <c r="F321" s="181" t="s">
        <v>278</v>
      </c>
      <c r="G321" s="181" t="s">
        <v>228</v>
      </c>
      <c r="H321" s="181" t="s">
        <v>832</v>
      </c>
      <c r="I321" s="181" t="s">
        <v>220</v>
      </c>
      <c r="J321" s="267"/>
      <c r="K321" s="269" t="n">
        <v>45896</v>
      </c>
      <c r="L321" s="267" t="n">
        <v>1.2</v>
      </c>
      <c r="M321" s="184" t="s">
        <v>228</v>
      </c>
      <c r="N321" s="184" t="n">
        <v>40560</v>
      </c>
      <c r="O321" s="184" t="n">
        <v>15180</v>
      </c>
      <c r="P321" s="185" t="n">
        <v>6</v>
      </c>
      <c r="Q321" s="184" t="n">
        <v>25380</v>
      </c>
      <c r="R321" s="184" t="n">
        <v>23857.2</v>
      </c>
      <c r="S321" s="184" t="s">
        <v>989</v>
      </c>
      <c r="T321" s="187" t="n">
        <v>45897</v>
      </c>
    </row>
    <row r="322" customFormat="false" ht="57.45" hidden="true" customHeight="false" outlineLevel="0" collapsed="false">
      <c r="A322" s="181" t="s">
        <v>994</v>
      </c>
      <c r="B322" s="182" t="n">
        <v>1284</v>
      </c>
      <c r="C322" s="183" t="n">
        <v>58407</v>
      </c>
      <c r="D322" s="181" t="s">
        <v>3326</v>
      </c>
      <c r="E322" s="181" t="s">
        <v>308</v>
      </c>
      <c r="F322" s="181" t="s">
        <v>309</v>
      </c>
      <c r="G322" s="181" t="s">
        <v>228</v>
      </c>
      <c r="H322" s="181" t="s">
        <v>832</v>
      </c>
      <c r="I322" s="181" t="s">
        <v>220</v>
      </c>
      <c r="J322" s="267"/>
      <c r="K322" s="269" t="n">
        <v>45896</v>
      </c>
      <c r="L322" s="267" t="n">
        <v>1.1</v>
      </c>
      <c r="M322" s="184" t="s">
        <v>228</v>
      </c>
      <c r="N322" s="184" t="n">
        <v>46980</v>
      </c>
      <c r="O322" s="184" t="n">
        <v>24070</v>
      </c>
      <c r="P322" s="185" t="n">
        <v>11</v>
      </c>
      <c r="Q322" s="184" t="n">
        <v>22910</v>
      </c>
      <c r="R322" s="184" t="n">
        <v>20389.9</v>
      </c>
      <c r="S322" s="184" t="s">
        <v>995</v>
      </c>
      <c r="T322" s="187" t="n">
        <v>45897</v>
      </c>
    </row>
    <row r="323" customFormat="false" ht="57.45" hidden="true" customHeight="false" outlineLevel="0" collapsed="false">
      <c r="A323" s="181" t="s">
        <v>996</v>
      </c>
      <c r="B323" s="182" t="n">
        <v>1286</v>
      </c>
      <c r="C323" s="183" t="n">
        <v>58413</v>
      </c>
      <c r="D323" s="181" t="s">
        <v>3326</v>
      </c>
      <c r="E323" s="181" t="s">
        <v>350</v>
      </c>
      <c r="F323" s="181" t="s">
        <v>351</v>
      </c>
      <c r="G323" s="181" t="s">
        <v>228</v>
      </c>
      <c r="H323" s="181" t="s">
        <v>832</v>
      </c>
      <c r="I323" s="181" t="s">
        <v>220</v>
      </c>
      <c r="J323" s="267"/>
      <c r="K323" s="269" t="n">
        <v>45896</v>
      </c>
      <c r="L323" s="267" t="n">
        <v>1.2</v>
      </c>
      <c r="M323" s="184" t="s">
        <v>228</v>
      </c>
      <c r="N323" s="184" t="n">
        <v>39230</v>
      </c>
      <c r="O323" s="184" t="n">
        <v>14950</v>
      </c>
      <c r="P323" s="185" t="n">
        <v>12</v>
      </c>
      <c r="Q323" s="184" t="n">
        <v>24280</v>
      </c>
      <c r="R323" s="184" t="n">
        <v>21366.4</v>
      </c>
      <c r="S323" s="184" t="s">
        <v>997</v>
      </c>
      <c r="T323" s="187" t="n">
        <v>45897</v>
      </c>
    </row>
    <row r="324" customFormat="false" ht="57.45" hidden="true" customHeight="false" outlineLevel="0" collapsed="false">
      <c r="A324" s="181" t="s">
        <v>998</v>
      </c>
      <c r="B324" s="182" t="n">
        <v>1288</v>
      </c>
      <c r="C324" s="183" t="n">
        <v>58411</v>
      </c>
      <c r="D324" s="181" t="s">
        <v>3326</v>
      </c>
      <c r="E324" s="181" t="s">
        <v>373</v>
      </c>
      <c r="F324" s="181" t="s">
        <v>374</v>
      </c>
      <c r="G324" s="181" t="s">
        <v>228</v>
      </c>
      <c r="H324" s="181" t="s">
        <v>832</v>
      </c>
      <c r="I324" s="181" t="s">
        <v>220</v>
      </c>
      <c r="J324" s="267"/>
      <c r="K324" s="269" t="n">
        <v>45897</v>
      </c>
      <c r="L324" s="267" t="n">
        <v>2</v>
      </c>
      <c r="M324" s="184" t="s">
        <v>228</v>
      </c>
      <c r="N324" s="184" t="n">
        <v>37910</v>
      </c>
      <c r="O324" s="184" t="n">
        <v>14200</v>
      </c>
      <c r="P324" s="185" t="n">
        <v>8</v>
      </c>
      <c r="Q324" s="184" t="n">
        <v>23710</v>
      </c>
      <c r="R324" s="184" t="n">
        <v>21813.2</v>
      </c>
      <c r="S324" s="184" t="s">
        <v>999</v>
      </c>
      <c r="T324" s="187" t="n">
        <v>45897</v>
      </c>
    </row>
    <row r="325" customFormat="false" ht="57.45" hidden="true" customHeight="false" outlineLevel="0" collapsed="false">
      <c r="A325" s="181" t="s">
        <v>1000</v>
      </c>
      <c r="B325" s="182" t="n">
        <v>1289</v>
      </c>
      <c r="C325" s="183" t="n">
        <v>58416</v>
      </c>
      <c r="D325" s="181" t="s">
        <v>3326</v>
      </c>
      <c r="E325" s="181" t="s">
        <v>541</v>
      </c>
      <c r="F325" s="181" t="s">
        <v>542</v>
      </c>
      <c r="G325" s="181" t="s">
        <v>228</v>
      </c>
      <c r="H325" s="181" t="s">
        <v>832</v>
      </c>
      <c r="I325" s="181" t="s">
        <v>220</v>
      </c>
      <c r="J325" s="267"/>
      <c r="K325" s="269" t="n">
        <v>45897</v>
      </c>
      <c r="L325" s="267" t="n">
        <v>2.2</v>
      </c>
      <c r="M325" s="184" t="s">
        <v>228</v>
      </c>
      <c r="N325" s="184" t="n">
        <v>40490</v>
      </c>
      <c r="O325" s="184" t="n">
        <v>14970</v>
      </c>
      <c r="P325" s="185" t="n">
        <v>15</v>
      </c>
      <c r="Q325" s="184" t="n">
        <v>25520</v>
      </c>
      <c r="R325" s="184" t="n">
        <v>21692</v>
      </c>
      <c r="S325" s="184" t="s">
        <v>1001</v>
      </c>
      <c r="T325" s="187" t="n">
        <v>45897</v>
      </c>
    </row>
    <row r="326" customFormat="false" ht="57.45" hidden="true" customHeight="false" outlineLevel="0" collapsed="false">
      <c r="A326" s="181" t="s">
        <v>1002</v>
      </c>
      <c r="B326" s="182" t="n">
        <v>1291</v>
      </c>
      <c r="C326" s="183" t="n">
        <v>58418</v>
      </c>
      <c r="D326" s="181" t="s">
        <v>3326</v>
      </c>
      <c r="E326" s="181" t="s">
        <v>288</v>
      </c>
      <c r="F326" s="181" t="s">
        <v>289</v>
      </c>
      <c r="G326" s="181" t="s">
        <v>228</v>
      </c>
      <c r="H326" s="181" t="s">
        <v>832</v>
      </c>
      <c r="I326" s="181" t="s">
        <v>220</v>
      </c>
      <c r="J326" s="267"/>
      <c r="K326" s="269" t="n">
        <v>45897</v>
      </c>
      <c r="L326" s="267" t="n">
        <v>2</v>
      </c>
      <c r="M326" s="184" t="s">
        <v>228</v>
      </c>
      <c r="N326" s="184" t="n">
        <v>38590</v>
      </c>
      <c r="O326" s="184" t="n">
        <v>14560</v>
      </c>
      <c r="P326" s="185" t="n">
        <v>13</v>
      </c>
      <c r="Q326" s="184" t="n">
        <v>24030</v>
      </c>
      <c r="R326" s="184" t="n">
        <v>20906.1</v>
      </c>
      <c r="S326" s="184" t="s">
        <v>1003</v>
      </c>
      <c r="T326" s="187" t="n">
        <v>45897</v>
      </c>
    </row>
    <row r="327" customFormat="false" ht="57.45" hidden="true" customHeight="false" outlineLevel="0" collapsed="false">
      <c r="A327" s="181" t="s">
        <v>1004</v>
      </c>
      <c r="B327" s="182" t="n">
        <v>1292</v>
      </c>
      <c r="C327" s="183" t="n">
        <v>58420</v>
      </c>
      <c r="D327" s="181" t="s">
        <v>3326</v>
      </c>
      <c r="E327" s="181" t="s">
        <v>399</v>
      </c>
      <c r="F327" s="181" t="s">
        <v>400</v>
      </c>
      <c r="G327" s="181" t="s">
        <v>228</v>
      </c>
      <c r="H327" s="181" t="s">
        <v>832</v>
      </c>
      <c r="I327" s="181" t="s">
        <v>220</v>
      </c>
      <c r="J327" s="267"/>
      <c r="K327" s="269" t="n">
        <v>45897</v>
      </c>
      <c r="L327" s="267" t="n">
        <v>2.3</v>
      </c>
      <c r="M327" s="184" t="s">
        <v>228</v>
      </c>
      <c r="N327" s="184" t="n">
        <v>46960</v>
      </c>
      <c r="O327" s="184" t="n">
        <v>19350</v>
      </c>
      <c r="P327" s="185" t="n">
        <v>6</v>
      </c>
      <c r="Q327" s="184" t="n">
        <v>27610</v>
      </c>
      <c r="R327" s="184" t="n">
        <v>25953.4</v>
      </c>
      <c r="S327" s="184" t="s">
        <v>1005</v>
      </c>
      <c r="T327" s="187" t="n">
        <v>45897</v>
      </c>
    </row>
    <row r="328" customFormat="false" ht="57.45" hidden="true" customHeight="false" outlineLevel="0" collapsed="false">
      <c r="A328" s="181" t="s">
        <v>1006</v>
      </c>
      <c r="B328" s="182" t="n">
        <v>1293</v>
      </c>
      <c r="C328" s="183" t="n">
        <v>58432</v>
      </c>
      <c r="D328" s="181" t="s">
        <v>3326</v>
      </c>
      <c r="E328" s="181" t="s">
        <v>282</v>
      </c>
      <c r="F328" s="181" t="s">
        <v>283</v>
      </c>
      <c r="G328" s="181" t="s">
        <v>228</v>
      </c>
      <c r="H328" s="181" t="s">
        <v>832</v>
      </c>
      <c r="I328" s="181" t="s">
        <v>220</v>
      </c>
      <c r="J328" s="267"/>
      <c r="K328" s="269" t="n">
        <v>45897</v>
      </c>
      <c r="L328" s="267" t="n">
        <v>2</v>
      </c>
      <c r="M328" s="184" t="s">
        <v>228</v>
      </c>
      <c r="N328" s="184" t="n">
        <v>39220</v>
      </c>
      <c r="O328" s="184" t="n">
        <v>15040</v>
      </c>
      <c r="P328" s="185" t="n">
        <v>6</v>
      </c>
      <c r="Q328" s="184" t="n">
        <v>24180</v>
      </c>
      <c r="R328" s="184" t="n">
        <v>22729.2</v>
      </c>
      <c r="S328" s="184" t="s">
        <v>1007</v>
      </c>
      <c r="T328" s="187" t="n">
        <v>45897</v>
      </c>
    </row>
    <row r="329" customFormat="false" ht="57.45" hidden="true" customHeight="false" outlineLevel="0" collapsed="false">
      <c r="A329" s="181" t="s">
        <v>1008</v>
      </c>
      <c r="B329" s="182" t="n">
        <v>1294</v>
      </c>
      <c r="C329" s="183" t="n">
        <v>58427</v>
      </c>
      <c r="D329" s="181" t="s">
        <v>3326</v>
      </c>
      <c r="E329" s="181" t="s">
        <v>387</v>
      </c>
      <c r="F329" s="181" t="s">
        <v>388</v>
      </c>
      <c r="G329" s="181" t="s">
        <v>228</v>
      </c>
      <c r="H329" s="181" t="s">
        <v>832</v>
      </c>
      <c r="I329" s="181" t="s">
        <v>220</v>
      </c>
      <c r="J329" s="267"/>
      <c r="K329" s="269" t="n">
        <v>45897</v>
      </c>
      <c r="L329" s="267" t="n">
        <v>2</v>
      </c>
      <c r="M329" s="184" t="s">
        <v>228</v>
      </c>
      <c r="N329" s="184" t="n">
        <v>39160</v>
      </c>
      <c r="O329" s="184" t="n">
        <v>14970</v>
      </c>
      <c r="P329" s="185" t="n">
        <v>7</v>
      </c>
      <c r="Q329" s="184" t="n">
        <v>24190</v>
      </c>
      <c r="R329" s="184" t="n">
        <v>22496.7</v>
      </c>
      <c r="S329" s="184" t="s">
        <v>1009</v>
      </c>
      <c r="T329" s="187" t="n">
        <v>45897</v>
      </c>
    </row>
    <row r="330" customFormat="false" ht="57.45" hidden="true" customHeight="false" outlineLevel="0" collapsed="false">
      <c r="A330" s="181" t="s">
        <v>1010</v>
      </c>
      <c r="B330" s="182" t="n">
        <v>1295</v>
      </c>
      <c r="C330" s="183" t="n">
        <v>58437</v>
      </c>
      <c r="D330" s="181" t="s">
        <v>3326</v>
      </c>
      <c r="E330" s="181" t="s">
        <v>533</v>
      </c>
      <c r="F330" s="181" t="s">
        <v>534</v>
      </c>
      <c r="G330" s="181" t="s">
        <v>228</v>
      </c>
      <c r="H330" s="181" t="s">
        <v>832</v>
      </c>
      <c r="I330" s="181" t="s">
        <v>220</v>
      </c>
      <c r="J330" s="267"/>
      <c r="K330" s="269" t="n">
        <v>45897</v>
      </c>
      <c r="L330" s="267" t="n">
        <v>2.2</v>
      </c>
      <c r="M330" s="184" t="s">
        <v>228</v>
      </c>
      <c r="N330" s="184" t="n">
        <v>40960</v>
      </c>
      <c r="O330" s="184" t="n">
        <v>14620</v>
      </c>
      <c r="P330" s="185" t="n">
        <v>7</v>
      </c>
      <c r="Q330" s="184" t="n">
        <v>26340</v>
      </c>
      <c r="R330" s="184" t="n">
        <v>24496.2</v>
      </c>
      <c r="S330" s="184" t="s">
        <v>1011</v>
      </c>
      <c r="T330" s="187" t="n">
        <v>45897</v>
      </c>
    </row>
    <row r="331" customFormat="false" ht="57.45" hidden="true" customHeight="false" outlineLevel="0" collapsed="false">
      <c r="A331" s="181" t="s">
        <v>1012</v>
      </c>
      <c r="B331" s="182" t="n">
        <v>1296</v>
      </c>
      <c r="C331" s="183" t="n">
        <v>58425</v>
      </c>
      <c r="D331" s="181" t="s">
        <v>3326</v>
      </c>
      <c r="E331" s="181" t="s">
        <v>549</v>
      </c>
      <c r="F331" s="181" t="s">
        <v>550</v>
      </c>
      <c r="G331" s="181" t="s">
        <v>228</v>
      </c>
      <c r="H331" s="181" t="s">
        <v>832</v>
      </c>
      <c r="I331" s="181" t="s">
        <v>220</v>
      </c>
      <c r="J331" s="267"/>
      <c r="K331" s="269" t="n">
        <v>45897</v>
      </c>
      <c r="L331" s="267" t="n">
        <v>2.2</v>
      </c>
      <c r="M331" s="184" t="s">
        <v>228</v>
      </c>
      <c r="N331" s="184" t="n">
        <v>41180</v>
      </c>
      <c r="O331" s="184" t="n">
        <v>15670</v>
      </c>
      <c r="P331" s="185" t="n">
        <v>9</v>
      </c>
      <c r="Q331" s="184" t="n">
        <v>25510</v>
      </c>
      <c r="R331" s="184" t="n">
        <v>23214.1</v>
      </c>
      <c r="S331" s="184" t="s">
        <v>1013</v>
      </c>
      <c r="T331" s="187" t="n">
        <v>45897</v>
      </c>
    </row>
    <row r="332" customFormat="false" ht="57.45" hidden="true" customHeight="false" outlineLevel="0" collapsed="false">
      <c r="A332" s="181" t="s">
        <v>1014</v>
      </c>
      <c r="B332" s="182" t="n">
        <v>1297</v>
      </c>
      <c r="C332" s="183" t="n">
        <v>58440</v>
      </c>
      <c r="D332" s="181" t="s">
        <v>3326</v>
      </c>
      <c r="E332" s="181" t="s">
        <v>377</v>
      </c>
      <c r="F332" s="181" t="s">
        <v>378</v>
      </c>
      <c r="G332" s="181" t="s">
        <v>228</v>
      </c>
      <c r="H332" s="181" t="s">
        <v>832</v>
      </c>
      <c r="I332" s="181" t="s">
        <v>220</v>
      </c>
      <c r="J332" s="267"/>
      <c r="K332" s="269" t="n">
        <v>45897</v>
      </c>
      <c r="L332" s="267" t="n">
        <v>2.2</v>
      </c>
      <c r="M332" s="184" t="s">
        <v>228</v>
      </c>
      <c r="N332" s="184" t="n">
        <v>39780</v>
      </c>
      <c r="O332" s="184" t="n">
        <v>15580</v>
      </c>
      <c r="P332" s="185" t="n">
        <v>6</v>
      </c>
      <c r="Q332" s="184" t="n">
        <v>24200</v>
      </c>
      <c r="R332" s="184" t="n">
        <v>22748</v>
      </c>
      <c r="S332" s="184" t="s">
        <v>1015</v>
      </c>
      <c r="T332" s="187" t="n">
        <v>45897</v>
      </c>
    </row>
    <row r="333" customFormat="false" ht="57.45" hidden="true" customHeight="false" outlineLevel="0" collapsed="false">
      <c r="A333" s="181" t="s">
        <v>1016</v>
      </c>
      <c r="B333" s="182" t="n">
        <v>1298</v>
      </c>
      <c r="C333" s="183" t="n">
        <v>58448</v>
      </c>
      <c r="D333" s="181" t="s">
        <v>3326</v>
      </c>
      <c r="E333" s="181" t="s">
        <v>545</v>
      </c>
      <c r="F333" s="181" t="s">
        <v>546</v>
      </c>
      <c r="G333" s="181" t="s">
        <v>228</v>
      </c>
      <c r="H333" s="181" t="s">
        <v>832</v>
      </c>
      <c r="I333" s="181" t="s">
        <v>220</v>
      </c>
      <c r="J333" s="267"/>
      <c r="K333" s="269" t="n">
        <v>45897</v>
      </c>
      <c r="L333" s="267" t="n">
        <v>2.3</v>
      </c>
      <c r="M333" s="184" t="s">
        <v>228</v>
      </c>
      <c r="N333" s="184" t="n">
        <v>42440</v>
      </c>
      <c r="O333" s="184" t="n">
        <v>16120</v>
      </c>
      <c r="P333" s="185" t="n">
        <v>6</v>
      </c>
      <c r="Q333" s="184" t="n">
        <v>26320</v>
      </c>
      <c r="R333" s="184" t="n">
        <v>24740.8</v>
      </c>
      <c r="S333" s="184" t="s">
        <v>1017</v>
      </c>
      <c r="T333" s="187" t="n">
        <v>45897</v>
      </c>
    </row>
    <row r="334" customFormat="false" ht="57.45" hidden="true" customHeight="false" outlineLevel="0" collapsed="false">
      <c r="A334" s="181" t="s">
        <v>1018</v>
      </c>
      <c r="B334" s="182" t="n">
        <v>1300</v>
      </c>
      <c r="C334" s="183" t="n">
        <v>58445</v>
      </c>
      <c r="D334" s="181" t="s">
        <v>3326</v>
      </c>
      <c r="E334" s="181" t="s">
        <v>1019</v>
      </c>
      <c r="F334" s="181" t="s">
        <v>1020</v>
      </c>
      <c r="G334" s="181" t="s">
        <v>227</v>
      </c>
      <c r="H334" s="181" t="s">
        <v>520</v>
      </c>
      <c r="I334" s="181" t="s">
        <v>220</v>
      </c>
      <c r="J334" s="267"/>
      <c r="K334" s="269" t="n">
        <v>45897</v>
      </c>
      <c r="L334" s="267" t="n">
        <v>1.4</v>
      </c>
      <c r="M334" s="184" t="s">
        <v>227</v>
      </c>
      <c r="N334" s="184" t="n">
        <v>43980</v>
      </c>
      <c r="O334" s="184" t="n">
        <v>17080</v>
      </c>
      <c r="P334" s="185" t="n">
        <v>13</v>
      </c>
      <c r="Q334" s="184" t="n">
        <v>26900</v>
      </c>
      <c r="R334" s="184" t="n">
        <v>23403</v>
      </c>
      <c r="S334" s="184" t="s">
        <v>1021</v>
      </c>
      <c r="T334" s="187" t="n">
        <v>45898</v>
      </c>
    </row>
    <row r="335" customFormat="false" ht="57.45" hidden="true" customHeight="false" outlineLevel="0" collapsed="false">
      <c r="A335" s="181" t="s">
        <v>1022</v>
      </c>
      <c r="B335" s="182" t="n">
        <v>1302</v>
      </c>
      <c r="C335" s="183" t="n">
        <v>58450</v>
      </c>
      <c r="D335" s="181" t="s">
        <v>3326</v>
      </c>
      <c r="E335" s="181" t="s">
        <v>1023</v>
      </c>
      <c r="F335" s="181" t="s">
        <v>1024</v>
      </c>
      <c r="G335" s="181" t="s">
        <v>227</v>
      </c>
      <c r="H335" s="181" t="s">
        <v>520</v>
      </c>
      <c r="I335" s="181" t="s">
        <v>220</v>
      </c>
      <c r="J335" s="267"/>
      <c r="K335" s="269" t="n">
        <v>45897</v>
      </c>
      <c r="L335" s="267" t="n">
        <v>1.1</v>
      </c>
      <c r="M335" s="184" t="s">
        <v>227</v>
      </c>
      <c r="N335" s="184" t="n">
        <v>35120</v>
      </c>
      <c r="O335" s="184" t="n">
        <v>14740</v>
      </c>
      <c r="P335" s="185" t="n">
        <v>8</v>
      </c>
      <c r="Q335" s="184" t="n">
        <v>20380</v>
      </c>
      <c r="R335" s="184" t="n">
        <v>18749.6</v>
      </c>
      <c r="S335" s="184" t="s">
        <v>1025</v>
      </c>
      <c r="T335" s="187" t="n">
        <v>45898</v>
      </c>
    </row>
    <row r="336" customFormat="false" ht="57.45" hidden="true" customHeight="false" outlineLevel="0" collapsed="false">
      <c r="A336" s="181" t="s">
        <v>1026</v>
      </c>
      <c r="B336" s="182" t="n">
        <v>1303</v>
      </c>
      <c r="C336" s="183" t="n">
        <v>58452</v>
      </c>
      <c r="D336" s="181" t="s">
        <v>3326</v>
      </c>
      <c r="E336" s="181" t="s">
        <v>1027</v>
      </c>
      <c r="F336" s="181" t="s">
        <v>1028</v>
      </c>
      <c r="G336" s="181" t="s">
        <v>227</v>
      </c>
      <c r="H336" s="181" t="s">
        <v>520</v>
      </c>
      <c r="I336" s="181" t="s">
        <v>220</v>
      </c>
      <c r="J336" s="267"/>
      <c r="K336" s="269" t="n">
        <v>45897</v>
      </c>
      <c r="L336" s="267" t="n">
        <v>1.2</v>
      </c>
      <c r="M336" s="184" t="s">
        <v>227</v>
      </c>
      <c r="N336" s="184" t="n">
        <v>37730</v>
      </c>
      <c r="O336" s="184" t="n">
        <v>14970</v>
      </c>
      <c r="P336" s="185" t="n">
        <v>6</v>
      </c>
      <c r="Q336" s="184" t="n">
        <v>22760</v>
      </c>
      <c r="R336" s="184" t="n">
        <v>21394.4</v>
      </c>
      <c r="S336" s="184" t="s">
        <v>1029</v>
      </c>
      <c r="T336" s="187" t="n">
        <v>45898</v>
      </c>
    </row>
    <row r="337" customFormat="false" ht="57.45" hidden="true" customHeight="false" outlineLevel="0" collapsed="false">
      <c r="A337" s="181" t="s">
        <v>1030</v>
      </c>
      <c r="B337" s="182" t="n">
        <v>1304</v>
      </c>
      <c r="C337" s="183" t="n">
        <v>58523</v>
      </c>
      <c r="D337" s="181" t="s">
        <v>3326</v>
      </c>
      <c r="E337" s="181" t="s">
        <v>292</v>
      </c>
      <c r="F337" s="181" t="s">
        <v>293</v>
      </c>
      <c r="G337" s="181" t="s">
        <v>227</v>
      </c>
      <c r="H337" s="181" t="s">
        <v>520</v>
      </c>
      <c r="I337" s="181" t="s">
        <v>220</v>
      </c>
      <c r="J337" s="267"/>
      <c r="K337" s="269" t="n">
        <v>45897</v>
      </c>
      <c r="L337" s="267" t="n">
        <v>1.2</v>
      </c>
      <c r="M337" s="184" t="s">
        <v>227</v>
      </c>
      <c r="N337" s="184" t="n">
        <v>36380</v>
      </c>
      <c r="O337" s="184" t="n">
        <v>13920</v>
      </c>
      <c r="P337" s="185" t="n">
        <v>7</v>
      </c>
      <c r="Q337" s="184" t="n">
        <v>22460</v>
      </c>
      <c r="R337" s="184" t="n">
        <v>20887.8</v>
      </c>
      <c r="S337" s="184" t="s">
        <v>1031</v>
      </c>
      <c r="T337" s="187" t="n">
        <v>45898</v>
      </c>
    </row>
    <row r="338" customFormat="false" ht="57.45" hidden="true" customHeight="false" outlineLevel="0" collapsed="false">
      <c r="A338" s="181" t="s">
        <v>1032</v>
      </c>
      <c r="B338" s="182" t="n">
        <v>1305</v>
      </c>
      <c r="C338" s="183" t="n">
        <v>58492</v>
      </c>
      <c r="D338" s="181" t="s">
        <v>3326</v>
      </c>
      <c r="E338" s="181" t="s">
        <v>300</v>
      </c>
      <c r="F338" s="181" t="s">
        <v>301</v>
      </c>
      <c r="G338" s="181" t="s">
        <v>227</v>
      </c>
      <c r="H338" s="181" t="s">
        <v>520</v>
      </c>
      <c r="I338" s="181" t="s">
        <v>220</v>
      </c>
      <c r="J338" s="267"/>
      <c r="K338" s="269" t="n">
        <v>45897</v>
      </c>
      <c r="L338" s="267" t="n">
        <v>1.3</v>
      </c>
      <c r="M338" s="184" t="s">
        <v>227</v>
      </c>
      <c r="N338" s="184" t="n">
        <v>45120</v>
      </c>
      <c r="O338" s="184" t="n">
        <v>20860</v>
      </c>
      <c r="P338" s="185" t="n">
        <v>8</v>
      </c>
      <c r="Q338" s="184" t="n">
        <v>24260</v>
      </c>
      <c r="R338" s="184" t="n">
        <v>22319.2</v>
      </c>
      <c r="S338" s="184" t="s">
        <v>1033</v>
      </c>
      <c r="T338" s="187" t="n">
        <v>45898</v>
      </c>
    </row>
    <row r="339" customFormat="false" ht="57.45" hidden="true" customHeight="false" outlineLevel="0" collapsed="false">
      <c r="A339" s="181" t="s">
        <v>1034</v>
      </c>
      <c r="B339" s="182" t="n">
        <v>1306</v>
      </c>
      <c r="C339" s="183" t="n">
        <v>58462</v>
      </c>
      <c r="D339" s="181" t="s">
        <v>3326</v>
      </c>
      <c r="E339" s="181" t="s">
        <v>537</v>
      </c>
      <c r="F339" s="181" t="s">
        <v>538</v>
      </c>
      <c r="G339" s="181" t="s">
        <v>227</v>
      </c>
      <c r="H339" s="181" t="s">
        <v>520</v>
      </c>
      <c r="I339" s="181" t="s">
        <v>220</v>
      </c>
      <c r="J339" s="267"/>
      <c r="K339" s="269" t="n">
        <v>45897</v>
      </c>
      <c r="L339" s="267" t="n">
        <v>1.2</v>
      </c>
      <c r="M339" s="184" t="s">
        <v>227</v>
      </c>
      <c r="N339" s="184" t="n">
        <v>35850</v>
      </c>
      <c r="O339" s="184" t="n">
        <v>13980</v>
      </c>
      <c r="P339" s="185" t="n">
        <v>8</v>
      </c>
      <c r="Q339" s="184" t="n">
        <v>21870</v>
      </c>
      <c r="R339" s="184" t="n">
        <v>20120.4</v>
      </c>
      <c r="S339" s="184" t="s">
        <v>1035</v>
      </c>
      <c r="T339" s="187" t="n">
        <v>45898</v>
      </c>
    </row>
    <row r="340" customFormat="false" ht="57.45" hidden="true" customHeight="false" outlineLevel="0" collapsed="false">
      <c r="A340" s="181" t="s">
        <v>1036</v>
      </c>
      <c r="B340" s="182" t="n">
        <v>1307</v>
      </c>
      <c r="C340" s="183" t="n">
        <v>58525</v>
      </c>
      <c r="D340" s="181" t="s">
        <v>3326</v>
      </c>
      <c r="E340" s="181" t="s">
        <v>346</v>
      </c>
      <c r="F340" s="181" t="s">
        <v>347</v>
      </c>
      <c r="G340" s="181" t="s">
        <v>227</v>
      </c>
      <c r="H340" s="181" t="s">
        <v>520</v>
      </c>
      <c r="I340" s="181" t="s">
        <v>220</v>
      </c>
      <c r="J340" s="267"/>
      <c r="K340" s="269" t="n">
        <v>45897</v>
      </c>
      <c r="L340" s="267" t="n">
        <v>1.2</v>
      </c>
      <c r="M340" s="184" t="s">
        <v>227</v>
      </c>
      <c r="N340" s="184" t="n">
        <v>37740</v>
      </c>
      <c r="O340" s="184" t="n">
        <v>15030</v>
      </c>
      <c r="P340" s="185" t="n">
        <v>4</v>
      </c>
      <c r="Q340" s="184" t="n">
        <v>22710</v>
      </c>
      <c r="R340" s="184" t="n">
        <v>21801.6</v>
      </c>
      <c r="S340" s="184" t="s">
        <v>1037</v>
      </c>
      <c r="T340" s="187" t="n">
        <v>45898</v>
      </c>
    </row>
    <row r="341" s="181" customFormat="true" ht="57.45" hidden="true" customHeight="false" outlineLevel="0" collapsed="false">
      <c r="A341" s="181" t="s">
        <v>1038</v>
      </c>
      <c r="B341" s="182" t="n">
        <v>1311</v>
      </c>
      <c r="C341" s="183" t="n">
        <v>58535</v>
      </c>
      <c r="D341" s="181" t="s">
        <v>3326</v>
      </c>
      <c r="E341" s="181" t="s">
        <v>409</v>
      </c>
      <c r="F341" s="181" t="s">
        <v>410</v>
      </c>
      <c r="G341" s="181" t="s">
        <v>227</v>
      </c>
      <c r="H341" s="181" t="s">
        <v>520</v>
      </c>
      <c r="I341" s="181" t="s">
        <v>220</v>
      </c>
      <c r="J341" s="267"/>
      <c r="K341" s="269" t="n">
        <v>45897</v>
      </c>
      <c r="L341" s="267" t="n">
        <v>1.2</v>
      </c>
      <c r="M341" s="184" t="s">
        <v>227</v>
      </c>
      <c r="N341" s="184" t="n">
        <v>47000</v>
      </c>
      <c r="O341" s="184" t="n">
        <v>24160</v>
      </c>
      <c r="P341" s="185" t="n">
        <v>6</v>
      </c>
      <c r="Q341" s="184" t="n">
        <v>22840</v>
      </c>
      <c r="R341" s="184" t="n">
        <v>21469.6</v>
      </c>
      <c r="S341" s="184" t="s">
        <v>1039</v>
      </c>
      <c r="T341" s="187" t="n">
        <v>45898</v>
      </c>
      <c r="U341" s="184"/>
      <c r="V341" s="184"/>
      <c r="W341" s="184"/>
      <c r="X341" s="187"/>
      <c r="Y341" s="188"/>
      <c r="AA341" s="182"/>
      <c r="AB341" s="183"/>
      <c r="AI341" s="267"/>
      <c r="AJ341" s="269"/>
      <c r="AK341" s="267"/>
      <c r="AL341" s="184"/>
      <c r="AM341" s="184"/>
      <c r="AN341" s="185"/>
      <c r="AO341" s="184"/>
      <c r="AP341" s="184"/>
      <c r="AQ341" s="184"/>
      <c r="AR341" s="187"/>
      <c r="AS341" s="188"/>
      <c r="AU341" s="182"/>
      <c r="AV341" s="183"/>
      <c r="BC341" s="267"/>
      <c r="BD341" s="269"/>
      <c r="BE341" s="267"/>
      <c r="BF341" s="184"/>
      <c r="BG341" s="184"/>
      <c r="BH341" s="185"/>
      <c r="BI341" s="184"/>
      <c r="BJ341" s="184"/>
      <c r="BK341" s="184"/>
      <c r="BL341" s="187"/>
      <c r="BM341" s="188"/>
      <c r="BO341" s="182"/>
      <c r="BP341" s="183"/>
      <c r="BW341" s="267"/>
      <c r="BX341" s="269"/>
      <c r="BY341" s="267"/>
      <c r="BZ341" s="184"/>
      <c r="CA341" s="184"/>
      <c r="CB341" s="185"/>
      <c r="CC341" s="184"/>
      <c r="CD341" s="184"/>
      <c r="CE341" s="184"/>
      <c r="CF341" s="187"/>
      <c r="CG341" s="188"/>
      <c r="CI341" s="182"/>
      <c r="CJ341" s="183"/>
      <c r="CQ341" s="267"/>
      <c r="CR341" s="269"/>
      <c r="CS341" s="267"/>
      <c r="CT341" s="184"/>
      <c r="CU341" s="184"/>
      <c r="CV341" s="185"/>
      <c r="CW341" s="184"/>
      <c r="CX341" s="184"/>
      <c r="CY341" s="184"/>
      <c r="CZ341" s="187"/>
      <c r="DA341" s="188"/>
      <c r="DC341" s="182"/>
      <c r="DD341" s="183"/>
      <c r="DK341" s="267"/>
      <c r="DL341" s="269"/>
      <c r="DM341" s="267"/>
      <c r="DN341" s="184"/>
      <c r="DO341" s="184"/>
      <c r="DP341" s="185"/>
      <c r="DQ341" s="184"/>
      <c r="DR341" s="184"/>
      <c r="DS341" s="184"/>
      <c r="DT341" s="187"/>
      <c r="DU341" s="188"/>
      <c r="DW341" s="182"/>
      <c r="DX341" s="183"/>
      <c r="EE341" s="267"/>
      <c r="EF341" s="269"/>
      <c r="EG341" s="267"/>
      <c r="EH341" s="184"/>
      <c r="EI341" s="184"/>
      <c r="EJ341" s="185"/>
      <c r="EK341" s="184"/>
      <c r="EL341" s="184"/>
      <c r="EM341" s="184"/>
      <c r="EN341" s="187"/>
      <c r="EO341" s="188"/>
      <c r="EQ341" s="182"/>
      <c r="ER341" s="183"/>
      <c r="EY341" s="267"/>
      <c r="EZ341" s="269"/>
      <c r="FA341" s="267"/>
      <c r="FB341" s="184"/>
      <c r="FC341" s="184"/>
      <c r="FD341" s="185"/>
      <c r="FE341" s="184"/>
      <c r="FF341" s="184"/>
      <c r="FG341" s="184"/>
      <c r="FH341" s="187"/>
      <c r="FI341" s="188"/>
      <c r="FK341" s="182"/>
      <c r="FL341" s="183"/>
      <c r="FS341" s="267"/>
      <c r="FT341" s="269"/>
      <c r="FU341" s="267"/>
      <c r="FV341" s="184"/>
      <c r="FW341" s="184"/>
      <c r="FX341" s="185"/>
      <c r="FY341" s="184"/>
      <c r="FZ341" s="184"/>
      <c r="GA341" s="184"/>
      <c r="GB341" s="187"/>
      <c r="GC341" s="188"/>
      <c r="GE341" s="182"/>
      <c r="GF341" s="183"/>
      <c r="GM341" s="267"/>
      <c r="GN341" s="269"/>
      <c r="GO341" s="267"/>
      <c r="GP341" s="184"/>
      <c r="GQ341" s="184"/>
      <c r="GR341" s="185"/>
      <c r="GS341" s="184"/>
      <c r="GT341" s="184"/>
      <c r="GU341" s="184"/>
      <c r="GV341" s="187"/>
      <c r="GW341" s="188"/>
      <c r="GY341" s="182"/>
      <c r="GZ341" s="183"/>
      <c r="HG341" s="267"/>
      <c r="HH341" s="269"/>
      <c r="HI341" s="267"/>
      <c r="HJ341" s="184"/>
      <c r="HK341" s="184"/>
      <c r="HL341" s="185"/>
      <c r="HM341" s="184"/>
      <c r="HN341" s="184"/>
      <c r="HO341" s="184"/>
      <c r="HP341" s="187"/>
      <c r="HQ341" s="188"/>
      <c r="HS341" s="182"/>
      <c r="HT341" s="183"/>
      <c r="IA341" s="267"/>
      <c r="IB341" s="269"/>
      <c r="IC341" s="267"/>
      <c r="ID341" s="184"/>
      <c r="IE341" s="184"/>
      <c r="IF341" s="185"/>
      <c r="IG341" s="184"/>
      <c r="IH341" s="184"/>
      <c r="II341" s="184"/>
      <c r="IJ341" s="187"/>
      <c r="IK341" s="188"/>
      <c r="IM341" s="182"/>
      <c r="IN341" s="183"/>
      <c r="IU341" s="267"/>
      <c r="IV341" s="269"/>
      <c r="IW341" s="267"/>
      <c r="IX341" s="184"/>
      <c r="IY341" s="184"/>
      <c r="IZ341" s="185"/>
      <c r="JA341" s="184"/>
      <c r="JB341" s="184"/>
      <c r="JC341" s="184"/>
      <c r="JD341" s="187"/>
      <c r="JE341" s="188"/>
      <c r="JG341" s="182"/>
      <c r="JH341" s="183"/>
      <c r="JO341" s="267"/>
      <c r="JP341" s="269"/>
      <c r="JQ341" s="267"/>
      <c r="JR341" s="184"/>
      <c r="JS341" s="184"/>
      <c r="JT341" s="185"/>
      <c r="JU341" s="184"/>
      <c r="JV341" s="184"/>
      <c r="JW341" s="184"/>
      <c r="JX341" s="187"/>
      <c r="JY341" s="188"/>
      <c r="KA341" s="182"/>
      <c r="KB341" s="183"/>
      <c r="KI341" s="267"/>
      <c r="KJ341" s="269"/>
      <c r="KK341" s="267"/>
      <c r="KL341" s="184"/>
      <c r="KM341" s="184"/>
      <c r="KN341" s="185"/>
      <c r="KO341" s="184"/>
      <c r="KP341" s="184"/>
      <c r="KQ341" s="184"/>
      <c r="KR341" s="187"/>
      <c r="KS341" s="188"/>
      <c r="KU341" s="182"/>
      <c r="KV341" s="183"/>
      <c r="LC341" s="267"/>
      <c r="LD341" s="269"/>
      <c r="LE341" s="267"/>
      <c r="LF341" s="184"/>
      <c r="LG341" s="184"/>
      <c r="LH341" s="185"/>
      <c r="LI341" s="184"/>
      <c r="LJ341" s="184"/>
      <c r="LK341" s="184"/>
      <c r="LL341" s="187"/>
      <c r="LM341" s="188"/>
      <c r="LO341" s="182"/>
      <c r="LP341" s="183"/>
      <c r="LW341" s="267"/>
      <c r="LX341" s="269"/>
      <c r="LY341" s="267"/>
      <c r="LZ341" s="184"/>
      <c r="MA341" s="184"/>
      <c r="MB341" s="185"/>
      <c r="MC341" s="184"/>
      <c r="MD341" s="184"/>
      <c r="ME341" s="184"/>
      <c r="MF341" s="187"/>
      <c r="MG341" s="188"/>
      <c r="MI341" s="182"/>
      <c r="MJ341" s="183"/>
      <c r="MQ341" s="267"/>
      <c r="MR341" s="269"/>
      <c r="MS341" s="267"/>
      <c r="MT341" s="184"/>
      <c r="MU341" s="184"/>
      <c r="MV341" s="185"/>
      <c r="MW341" s="184"/>
      <c r="MX341" s="184"/>
      <c r="MY341" s="184"/>
      <c r="MZ341" s="187"/>
      <c r="NA341" s="188"/>
      <c r="NC341" s="182"/>
      <c r="ND341" s="183"/>
      <c r="NK341" s="267"/>
      <c r="NL341" s="269"/>
      <c r="NM341" s="267"/>
      <c r="NN341" s="184"/>
      <c r="NO341" s="184"/>
      <c r="NP341" s="185"/>
      <c r="NQ341" s="184"/>
      <c r="NR341" s="184"/>
      <c r="NS341" s="184"/>
      <c r="NT341" s="187"/>
      <c r="NU341" s="188"/>
      <c r="NW341" s="182"/>
      <c r="NX341" s="183"/>
      <c r="OE341" s="267"/>
      <c r="OF341" s="269"/>
      <c r="OG341" s="267"/>
      <c r="OH341" s="184"/>
      <c r="OI341" s="184"/>
      <c r="OJ341" s="185"/>
      <c r="OK341" s="184"/>
      <c r="OL341" s="184"/>
      <c r="OM341" s="184"/>
      <c r="ON341" s="187"/>
      <c r="OO341" s="188"/>
      <c r="OQ341" s="182"/>
      <c r="OR341" s="183"/>
      <c r="OY341" s="267"/>
      <c r="OZ341" s="269"/>
      <c r="PA341" s="267"/>
      <c r="PB341" s="184"/>
      <c r="PC341" s="184"/>
      <c r="PD341" s="185"/>
      <c r="PE341" s="184"/>
      <c r="PF341" s="184"/>
      <c r="PG341" s="184"/>
      <c r="PH341" s="187"/>
      <c r="PI341" s="188"/>
      <c r="PK341" s="182"/>
      <c r="PL341" s="183"/>
      <c r="PS341" s="267"/>
      <c r="PT341" s="269"/>
      <c r="PU341" s="267"/>
      <c r="PV341" s="184"/>
      <c r="PW341" s="184"/>
      <c r="PX341" s="185"/>
      <c r="PY341" s="184"/>
      <c r="PZ341" s="184"/>
      <c r="QA341" s="184"/>
      <c r="QB341" s="187"/>
      <c r="QC341" s="188"/>
      <c r="QE341" s="182"/>
      <c r="QF341" s="183"/>
      <c r="QM341" s="267"/>
      <c r="QN341" s="269"/>
      <c r="QO341" s="267"/>
      <c r="QP341" s="184"/>
      <c r="QQ341" s="184"/>
      <c r="QR341" s="185"/>
      <c r="QS341" s="184"/>
      <c r="QT341" s="184"/>
      <c r="QU341" s="184"/>
      <c r="QV341" s="187"/>
      <c r="QW341" s="188"/>
      <c r="QY341" s="182"/>
      <c r="QZ341" s="183"/>
      <c r="RG341" s="267"/>
      <c r="RH341" s="269"/>
      <c r="RI341" s="267"/>
      <c r="RJ341" s="184"/>
      <c r="RK341" s="184"/>
      <c r="RL341" s="185"/>
      <c r="RM341" s="184"/>
      <c r="RN341" s="184"/>
      <c r="RO341" s="184"/>
      <c r="RP341" s="187"/>
      <c r="RQ341" s="188"/>
      <c r="RS341" s="182"/>
      <c r="RT341" s="183"/>
      <c r="SA341" s="267"/>
      <c r="SB341" s="269"/>
      <c r="SC341" s="267"/>
      <c r="SD341" s="184"/>
      <c r="SE341" s="184"/>
      <c r="SF341" s="185"/>
      <c r="SG341" s="184"/>
      <c r="SH341" s="184"/>
      <c r="SI341" s="184"/>
      <c r="SJ341" s="187"/>
      <c r="SK341" s="188"/>
      <c r="SM341" s="182"/>
      <c r="SN341" s="183"/>
      <c r="SU341" s="267"/>
      <c r="SV341" s="269"/>
      <c r="SW341" s="267"/>
      <c r="SX341" s="184"/>
      <c r="SY341" s="184"/>
      <c r="SZ341" s="185"/>
      <c r="TA341" s="184"/>
      <c r="TB341" s="184"/>
      <c r="TC341" s="184"/>
      <c r="TD341" s="187"/>
      <c r="TE341" s="188"/>
      <c r="TG341" s="182"/>
      <c r="TH341" s="183"/>
      <c r="TO341" s="267"/>
      <c r="TP341" s="269"/>
      <c r="TQ341" s="267"/>
      <c r="TR341" s="184"/>
      <c r="TS341" s="184"/>
      <c r="TT341" s="185"/>
      <c r="TU341" s="184"/>
      <c r="TV341" s="184"/>
      <c r="TW341" s="184"/>
      <c r="TX341" s="187"/>
      <c r="TY341" s="188"/>
      <c r="UA341" s="182"/>
      <c r="UB341" s="183"/>
      <c r="UI341" s="267"/>
      <c r="UJ341" s="269"/>
      <c r="UK341" s="267"/>
      <c r="UL341" s="184"/>
      <c r="UM341" s="184"/>
      <c r="UN341" s="185"/>
      <c r="UO341" s="184"/>
      <c r="UP341" s="184"/>
      <c r="UQ341" s="184"/>
      <c r="UR341" s="187"/>
      <c r="US341" s="188"/>
      <c r="UU341" s="182"/>
      <c r="UV341" s="183"/>
      <c r="VC341" s="267"/>
      <c r="VD341" s="269"/>
      <c r="VE341" s="267"/>
      <c r="VF341" s="184"/>
      <c r="VG341" s="184"/>
      <c r="VH341" s="185"/>
      <c r="VI341" s="184"/>
      <c r="VJ341" s="184"/>
      <c r="VK341" s="184"/>
      <c r="VL341" s="187"/>
      <c r="VM341" s="188"/>
      <c r="VO341" s="182"/>
      <c r="VP341" s="183"/>
      <c r="VW341" s="267"/>
      <c r="VX341" s="269"/>
      <c r="VY341" s="267"/>
      <c r="VZ341" s="184"/>
      <c r="WA341" s="184"/>
      <c r="WB341" s="185"/>
      <c r="WC341" s="184"/>
      <c r="WD341" s="184"/>
      <c r="WE341" s="184"/>
      <c r="WF341" s="187"/>
      <c r="WG341" s="188"/>
      <c r="WI341" s="182"/>
      <c r="WJ341" s="183"/>
      <c r="WQ341" s="267"/>
      <c r="WR341" s="269"/>
      <c r="WS341" s="267"/>
      <c r="WT341" s="184"/>
      <c r="WU341" s="184"/>
      <c r="WV341" s="185"/>
      <c r="WW341" s="184"/>
      <c r="WX341" s="184"/>
      <c r="WY341" s="184"/>
      <c r="WZ341" s="187"/>
      <c r="XA341" s="188"/>
      <c r="XC341" s="182"/>
      <c r="XD341" s="183"/>
      <c r="XK341" s="267"/>
      <c r="XL341" s="269"/>
      <c r="XM341" s="267"/>
      <c r="XN341" s="184"/>
      <c r="XO341" s="184"/>
      <c r="XP341" s="185"/>
      <c r="XQ341" s="184"/>
      <c r="XR341" s="184"/>
      <c r="XS341" s="184"/>
      <c r="XT341" s="187"/>
      <c r="XU341" s="188"/>
      <c r="XW341" s="182"/>
      <c r="XX341" s="183"/>
      <c r="YE341" s="267"/>
      <c r="YF341" s="269"/>
      <c r="YG341" s="267"/>
      <c r="YH341" s="184"/>
      <c r="YI341" s="184"/>
      <c r="YJ341" s="185"/>
      <c r="YK341" s="184"/>
      <c r="YL341" s="184"/>
      <c r="YM341" s="184"/>
      <c r="YN341" s="187"/>
      <c r="YO341" s="188"/>
      <c r="YQ341" s="182"/>
      <c r="YR341" s="183"/>
      <c r="YY341" s="267"/>
      <c r="YZ341" s="269"/>
      <c r="ZA341" s="267"/>
      <c r="ZB341" s="184"/>
      <c r="ZC341" s="184"/>
      <c r="ZD341" s="185"/>
      <c r="ZE341" s="184"/>
      <c r="ZF341" s="184"/>
      <c r="ZG341" s="184"/>
      <c r="ZH341" s="187"/>
      <c r="ZI341" s="188"/>
      <c r="ZK341" s="182"/>
      <c r="ZL341" s="183"/>
      <c r="ZS341" s="267"/>
      <c r="ZT341" s="269"/>
      <c r="ZU341" s="267"/>
      <c r="ZV341" s="184"/>
      <c r="ZW341" s="184"/>
      <c r="ZX341" s="185"/>
      <c r="ZY341" s="184"/>
      <c r="ZZ341" s="184"/>
      <c r="AAA341" s="184"/>
      <c r="AAB341" s="187"/>
      <c r="AAC341" s="188"/>
      <c r="AAE341" s="182"/>
      <c r="AAF341" s="183"/>
      <c r="AAM341" s="267"/>
      <c r="AAN341" s="269"/>
      <c r="AAO341" s="267"/>
      <c r="AAP341" s="184"/>
      <c r="AAQ341" s="184"/>
      <c r="AAR341" s="185"/>
      <c r="AAS341" s="184"/>
      <c r="AAT341" s="184"/>
      <c r="AAU341" s="184"/>
      <c r="AAV341" s="187"/>
      <c r="AAW341" s="188"/>
      <c r="AAY341" s="182"/>
      <c r="AAZ341" s="183"/>
      <c r="ABG341" s="267"/>
      <c r="ABH341" s="269"/>
      <c r="ABI341" s="267"/>
      <c r="ABJ341" s="184"/>
      <c r="ABK341" s="184"/>
      <c r="ABL341" s="185"/>
      <c r="ABM341" s="184"/>
      <c r="ABN341" s="184"/>
      <c r="ABO341" s="184"/>
      <c r="ABP341" s="187"/>
      <c r="ABQ341" s="188"/>
      <c r="ABS341" s="182"/>
      <c r="ABT341" s="183"/>
      <c r="ACA341" s="267"/>
      <c r="ACB341" s="269"/>
      <c r="ACC341" s="267"/>
      <c r="ACD341" s="184"/>
      <c r="ACE341" s="184"/>
      <c r="ACF341" s="185"/>
      <c r="ACG341" s="184"/>
      <c r="ACH341" s="184"/>
      <c r="ACI341" s="184"/>
      <c r="ACJ341" s="187"/>
      <c r="ACK341" s="188"/>
      <c r="ACM341" s="182"/>
      <c r="ACN341" s="183"/>
      <c r="ACU341" s="267"/>
      <c r="ACV341" s="269"/>
      <c r="ACW341" s="267"/>
      <c r="ACX341" s="184"/>
      <c r="ACY341" s="184"/>
      <c r="ACZ341" s="185"/>
      <c r="ADA341" s="184"/>
      <c r="ADB341" s="184"/>
      <c r="ADC341" s="184"/>
      <c r="ADD341" s="187"/>
      <c r="ADE341" s="188"/>
      <c r="ADG341" s="182"/>
      <c r="ADH341" s="183"/>
      <c r="ADO341" s="267"/>
      <c r="ADP341" s="269"/>
      <c r="ADQ341" s="267"/>
      <c r="ADR341" s="184"/>
      <c r="ADS341" s="184"/>
      <c r="ADT341" s="185"/>
      <c r="ADU341" s="184"/>
      <c r="ADV341" s="184"/>
      <c r="ADW341" s="184"/>
      <c r="ADX341" s="187"/>
      <c r="ADY341" s="188"/>
      <c r="AEA341" s="182"/>
      <c r="AEB341" s="183"/>
      <c r="AEI341" s="267"/>
      <c r="AEJ341" s="269"/>
      <c r="AEK341" s="267"/>
      <c r="AEL341" s="184"/>
      <c r="AEM341" s="184"/>
      <c r="AEN341" s="185"/>
      <c r="AEO341" s="184"/>
      <c r="AEP341" s="184"/>
      <c r="AEQ341" s="184"/>
      <c r="AER341" s="187"/>
      <c r="AES341" s="188"/>
      <c r="AEU341" s="182"/>
      <c r="AEV341" s="183"/>
      <c r="AFC341" s="267"/>
      <c r="AFD341" s="269"/>
      <c r="AFE341" s="267"/>
      <c r="AFF341" s="184"/>
      <c r="AFG341" s="184"/>
      <c r="AFH341" s="185"/>
      <c r="AFI341" s="184"/>
      <c r="AFJ341" s="184"/>
      <c r="AFK341" s="184"/>
      <c r="AFL341" s="187"/>
      <c r="AFM341" s="188"/>
      <c r="AFO341" s="182"/>
      <c r="AFP341" s="183"/>
      <c r="AFW341" s="267"/>
      <c r="AFX341" s="269"/>
      <c r="AFY341" s="267"/>
      <c r="AFZ341" s="184"/>
      <c r="AGA341" s="184"/>
      <c r="AGB341" s="185"/>
      <c r="AGC341" s="184"/>
      <c r="AGD341" s="184"/>
      <c r="AGE341" s="184"/>
      <c r="AGF341" s="187"/>
      <c r="AGG341" s="188"/>
      <c r="AGI341" s="182"/>
      <c r="AGJ341" s="183"/>
      <c r="AGQ341" s="267"/>
      <c r="AGR341" s="269"/>
      <c r="AGS341" s="267"/>
      <c r="AGT341" s="184"/>
      <c r="AGU341" s="184"/>
      <c r="AGV341" s="185"/>
      <c r="AGW341" s="184"/>
      <c r="AGX341" s="184"/>
      <c r="AGY341" s="184"/>
      <c r="AGZ341" s="187"/>
      <c r="AHA341" s="188"/>
      <c r="AHC341" s="182"/>
      <c r="AHD341" s="183"/>
      <c r="AHK341" s="267"/>
      <c r="AHL341" s="269"/>
      <c r="AHM341" s="267"/>
      <c r="AHN341" s="184"/>
      <c r="AHO341" s="184"/>
      <c r="AHP341" s="185"/>
      <c r="AHQ341" s="184"/>
      <c r="AHR341" s="184"/>
      <c r="AHS341" s="184"/>
      <c r="AHT341" s="187"/>
      <c r="AHU341" s="188"/>
      <c r="AHW341" s="182"/>
      <c r="AHX341" s="183"/>
      <c r="AIE341" s="267"/>
      <c r="AIF341" s="269"/>
      <c r="AIG341" s="267"/>
      <c r="AIH341" s="184"/>
      <c r="AII341" s="184"/>
      <c r="AIJ341" s="185"/>
      <c r="AIK341" s="184"/>
      <c r="AIL341" s="184"/>
      <c r="AIM341" s="184"/>
      <c r="AIN341" s="187"/>
      <c r="AIO341" s="188"/>
      <c r="AIQ341" s="182"/>
      <c r="AIR341" s="183"/>
      <c r="AIY341" s="267"/>
      <c r="AIZ341" s="269"/>
      <c r="AJA341" s="267"/>
      <c r="AJB341" s="184"/>
      <c r="AJC341" s="184"/>
      <c r="AJD341" s="185"/>
      <c r="AJE341" s="184"/>
      <c r="AJF341" s="184"/>
      <c r="AJG341" s="184"/>
      <c r="AJH341" s="187"/>
      <c r="AJI341" s="188"/>
      <c r="AJK341" s="182"/>
      <c r="AJL341" s="183"/>
      <c r="AJS341" s="267"/>
      <c r="AJT341" s="269"/>
      <c r="AJU341" s="267"/>
      <c r="AJV341" s="184"/>
      <c r="AJW341" s="184"/>
      <c r="AJX341" s="185"/>
      <c r="AJY341" s="184"/>
      <c r="AJZ341" s="184"/>
      <c r="AKA341" s="184"/>
      <c r="AKB341" s="187"/>
      <c r="AKC341" s="188"/>
      <c r="AKE341" s="182"/>
      <c r="AKF341" s="183"/>
      <c r="AKM341" s="267"/>
      <c r="AKN341" s="269"/>
      <c r="AKO341" s="267"/>
      <c r="AKP341" s="184"/>
      <c r="AKQ341" s="184"/>
      <c r="AKR341" s="185"/>
      <c r="AKS341" s="184"/>
      <c r="AKT341" s="184"/>
      <c r="AKU341" s="184"/>
      <c r="AKV341" s="187"/>
      <c r="AKW341" s="188"/>
      <c r="AKY341" s="182"/>
      <c r="AKZ341" s="183"/>
      <c r="ALG341" s="267"/>
      <c r="ALH341" s="269"/>
      <c r="ALI341" s="267"/>
      <c r="ALJ341" s="184"/>
      <c r="ALK341" s="184"/>
      <c r="ALL341" s="185"/>
      <c r="ALM341" s="184"/>
      <c r="ALN341" s="184"/>
      <c r="ALO341" s="184"/>
      <c r="ALP341" s="187"/>
      <c r="ALQ341" s="188"/>
      <c r="ALS341" s="182"/>
      <c r="ALT341" s="183"/>
      <c r="AMA341" s="267"/>
      <c r="AMB341" s="269"/>
      <c r="AMC341" s="267"/>
      <c r="AMD341" s="184"/>
      <c r="AME341" s="184"/>
      <c r="AMF341" s="185"/>
      <c r="AMG341" s="184"/>
      <c r="AMH341" s="184"/>
      <c r="AMI341" s="184"/>
      <c r="AMJ341" s="187"/>
      <c r="AMK341" s="188"/>
      <c r="AMM341" s="182"/>
      <c r="AMN341" s="183"/>
      <c r="AMU341" s="267"/>
      <c r="AMV341" s="269"/>
      <c r="AMW341" s="267"/>
      <c r="AMX341" s="184"/>
      <c r="AMY341" s="184"/>
      <c r="AMZ341" s="185"/>
      <c r="ANA341" s="184"/>
      <c r="ANB341" s="184"/>
      <c r="ANC341" s="184"/>
      <c r="AND341" s="187"/>
      <c r="ANE341" s="188"/>
      <c r="ANG341" s="182"/>
      <c r="ANH341" s="183"/>
      <c r="ANO341" s="267"/>
      <c r="ANP341" s="269"/>
      <c r="ANQ341" s="267"/>
      <c r="ANR341" s="184"/>
      <c r="ANS341" s="184"/>
      <c r="ANT341" s="185"/>
      <c r="ANU341" s="184"/>
      <c r="ANV341" s="184"/>
      <c r="ANW341" s="184"/>
      <c r="ANX341" s="187"/>
      <c r="ANY341" s="188"/>
      <c r="AOA341" s="182"/>
      <c r="AOB341" s="183"/>
      <c r="AOI341" s="267"/>
      <c r="AOJ341" s="269"/>
      <c r="AOK341" s="267"/>
      <c r="AOL341" s="184"/>
      <c r="AOM341" s="184"/>
      <c r="AON341" s="185"/>
      <c r="AOO341" s="184"/>
      <c r="AOP341" s="184"/>
      <c r="AOQ341" s="184"/>
      <c r="AOR341" s="187"/>
      <c r="AOS341" s="188"/>
      <c r="AOU341" s="182"/>
      <c r="AOV341" s="183"/>
      <c r="APC341" s="267"/>
      <c r="APD341" s="269"/>
      <c r="APE341" s="267"/>
      <c r="APF341" s="184"/>
      <c r="APG341" s="184"/>
      <c r="APH341" s="185"/>
      <c r="API341" s="184"/>
      <c r="APJ341" s="184"/>
      <c r="APK341" s="184"/>
      <c r="APL341" s="187"/>
      <c r="APM341" s="188"/>
      <c r="APO341" s="182"/>
      <c r="APP341" s="183"/>
      <c r="APW341" s="267"/>
      <c r="APX341" s="269"/>
      <c r="APY341" s="267"/>
      <c r="APZ341" s="184"/>
      <c r="AQA341" s="184"/>
      <c r="AQB341" s="185"/>
      <c r="AQC341" s="184"/>
      <c r="AQD341" s="184"/>
      <c r="AQE341" s="184"/>
      <c r="AQF341" s="187"/>
      <c r="AQG341" s="188"/>
      <c r="AQI341" s="182"/>
      <c r="AQJ341" s="183"/>
      <c r="AQQ341" s="267"/>
      <c r="AQR341" s="269"/>
      <c r="AQS341" s="267"/>
      <c r="AQT341" s="184"/>
      <c r="AQU341" s="184"/>
      <c r="AQV341" s="185"/>
      <c r="AQW341" s="184"/>
      <c r="AQX341" s="184"/>
      <c r="AQY341" s="184"/>
      <c r="AQZ341" s="187"/>
      <c r="ARA341" s="188"/>
      <c r="ARC341" s="182"/>
      <c r="ARD341" s="183"/>
      <c r="ARK341" s="267"/>
      <c r="ARL341" s="269"/>
      <c r="ARM341" s="267"/>
      <c r="ARN341" s="184"/>
      <c r="ARO341" s="184"/>
      <c r="ARP341" s="185"/>
      <c r="ARQ341" s="184"/>
      <c r="ARR341" s="184"/>
      <c r="ARS341" s="184"/>
      <c r="ART341" s="187"/>
      <c r="ARU341" s="188"/>
      <c r="ARW341" s="182"/>
      <c r="ARX341" s="183"/>
      <c r="ASE341" s="267"/>
      <c r="ASF341" s="269"/>
      <c r="ASG341" s="267"/>
      <c r="ASH341" s="184"/>
      <c r="ASI341" s="184"/>
      <c r="ASJ341" s="185"/>
      <c r="ASK341" s="184"/>
      <c r="ASL341" s="184"/>
      <c r="ASM341" s="184"/>
      <c r="ASN341" s="187"/>
      <c r="ASO341" s="188"/>
      <c r="ASQ341" s="182"/>
      <c r="ASR341" s="183"/>
      <c r="ASY341" s="267"/>
      <c r="ASZ341" s="269"/>
      <c r="ATA341" s="267"/>
      <c r="ATB341" s="184"/>
      <c r="ATC341" s="184"/>
      <c r="ATD341" s="185"/>
      <c r="ATE341" s="184"/>
      <c r="ATF341" s="184"/>
      <c r="ATG341" s="184"/>
      <c r="ATH341" s="187"/>
      <c r="ATI341" s="188"/>
      <c r="ATK341" s="182"/>
      <c r="ATL341" s="183"/>
      <c r="ATS341" s="267"/>
      <c r="ATT341" s="269"/>
      <c r="ATU341" s="267"/>
      <c r="ATV341" s="184"/>
      <c r="ATW341" s="184"/>
      <c r="ATX341" s="185"/>
      <c r="ATY341" s="184"/>
      <c r="ATZ341" s="184"/>
      <c r="AUA341" s="184"/>
      <c r="AUB341" s="187"/>
      <c r="AUC341" s="188"/>
      <c r="AUE341" s="182"/>
      <c r="AUF341" s="183"/>
      <c r="AUM341" s="267"/>
      <c r="AUN341" s="269"/>
      <c r="AUO341" s="267"/>
      <c r="AUP341" s="184"/>
      <c r="AUQ341" s="184"/>
      <c r="AUR341" s="185"/>
      <c r="AUS341" s="184"/>
      <c r="AUT341" s="184"/>
      <c r="AUU341" s="184"/>
      <c r="AUV341" s="187"/>
      <c r="AUW341" s="188"/>
      <c r="AUY341" s="182"/>
      <c r="AUZ341" s="183"/>
      <c r="AVG341" s="267"/>
      <c r="AVH341" s="269"/>
      <c r="AVI341" s="267"/>
      <c r="AVJ341" s="184"/>
      <c r="AVK341" s="184"/>
      <c r="AVL341" s="185"/>
      <c r="AVM341" s="184"/>
      <c r="AVN341" s="184"/>
      <c r="AVO341" s="184"/>
      <c r="AVP341" s="187"/>
      <c r="AVQ341" s="188"/>
      <c r="AVS341" s="182"/>
      <c r="AVT341" s="183"/>
      <c r="AWA341" s="267"/>
      <c r="AWB341" s="269"/>
      <c r="AWC341" s="267"/>
      <c r="AWD341" s="184"/>
      <c r="AWE341" s="184"/>
      <c r="AWF341" s="185"/>
      <c r="AWG341" s="184"/>
      <c r="AWH341" s="184"/>
      <c r="AWI341" s="184"/>
      <c r="AWJ341" s="187"/>
      <c r="AWK341" s="188"/>
      <c r="AWM341" s="182"/>
      <c r="AWN341" s="183"/>
      <c r="AWU341" s="267"/>
      <c r="AWV341" s="269"/>
      <c r="AWW341" s="267"/>
      <c r="AWX341" s="184"/>
      <c r="AWY341" s="184"/>
      <c r="AWZ341" s="185"/>
      <c r="AXA341" s="184"/>
      <c r="AXB341" s="184"/>
      <c r="AXC341" s="184"/>
      <c r="AXD341" s="187"/>
      <c r="AXE341" s="188"/>
      <c r="AXG341" s="182"/>
      <c r="AXH341" s="183"/>
      <c r="AXO341" s="267"/>
      <c r="AXP341" s="269"/>
      <c r="AXQ341" s="267"/>
      <c r="AXR341" s="184"/>
      <c r="AXS341" s="184"/>
      <c r="AXT341" s="185"/>
      <c r="AXU341" s="184"/>
      <c r="AXV341" s="184"/>
      <c r="AXW341" s="184"/>
      <c r="AXX341" s="187"/>
      <c r="AXY341" s="188"/>
      <c r="AYA341" s="182"/>
      <c r="AYB341" s="183"/>
      <c r="AYI341" s="267"/>
      <c r="AYJ341" s="269"/>
      <c r="AYK341" s="267"/>
      <c r="AYL341" s="184"/>
      <c r="AYM341" s="184"/>
      <c r="AYN341" s="185"/>
      <c r="AYO341" s="184"/>
      <c r="AYP341" s="184"/>
      <c r="AYQ341" s="184"/>
      <c r="AYR341" s="187"/>
      <c r="AYS341" s="188"/>
      <c r="AYU341" s="182"/>
      <c r="AYV341" s="183"/>
      <c r="AZC341" s="267"/>
      <c r="AZD341" s="269"/>
      <c r="AZE341" s="267"/>
      <c r="AZF341" s="184"/>
      <c r="AZG341" s="184"/>
      <c r="AZH341" s="185"/>
      <c r="AZI341" s="184"/>
      <c r="AZJ341" s="184"/>
      <c r="AZK341" s="184"/>
      <c r="AZL341" s="187"/>
      <c r="AZM341" s="188"/>
      <c r="AZO341" s="182"/>
      <c r="AZP341" s="183"/>
      <c r="AZW341" s="267"/>
      <c r="AZX341" s="269"/>
      <c r="AZY341" s="267"/>
      <c r="AZZ341" s="184"/>
      <c r="BAA341" s="184"/>
      <c r="BAB341" s="185"/>
      <c r="BAC341" s="184"/>
      <c r="BAD341" s="184"/>
      <c r="BAE341" s="184"/>
      <c r="BAF341" s="187"/>
      <c r="BAG341" s="188"/>
      <c r="BAI341" s="182"/>
      <c r="BAJ341" s="183"/>
      <c r="BAQ341" s="267"/>
      <c r="BAR341" s="269"/>
      <c r="BAS341" s="267"/>
      <c r="BAT341" s="184"/>
      <c r="BAU341" s="184"/>
      <c r="BAV341" s="185"/>
      <c r="BAW341" s="184"/>
      <c r="BAX341" s="184"/>
      <c r="BAY341" s="184"/>
      <c r="BAZ341" s="187"/>
      <c r="BBA341" s="188"/>
      <c r="BBC341" s="182"/>
      <c r="BBD341" s="183"/>
      <c r="BBK341" s="267"/>
      <c r="BBL341" s="269"/>
      <c r="BBM341" s="267"/>
      <c r="BBN341" s="184"/>
      <c r="BBO341" s="184"/>
      <c r="BBP341" s="185"/>
      <c r="BBQ341" s="184"/>
      <c r="BBR341" s="184"/>
      <c r="BBS341" s="184"/>
      <c r="BBT341" s="187"/>
      <c r="BBU341" s="188"/>
      <c r="BBW341" s="182"/>
      <c r="BBX341" s="183"/>
      <c r="BCE341" s="267"/>
      <c r="BCF341" s="269"/>
      <c r="BCG341" s="267"/>
      <c r="BCH341" s="184"/>
      <c r="BCI341" s="184"/>
      <c r="BCJ341" s="185"/>
      <c r="BCK341" s="184"/>
      <c r="BCL341" s="184"/>
      <c r="BCM341" s="184"/>
      <c r="BCN341" s="187"/>
      <c r="BCO341" s="188"/>
      <c r="BCQ341" s="182"/>
      <c r="BCR341" s="183"/>
      <c r="BCY341" s="267"/>
      <c r="BCZ341" s="269"/>
      <c r="BDA341" s="267"/>
      <c r="BDB341" s="184"/>
      <c r="BDC341" s="184"/>
      <c r="BDD341" s="185"/>
      <c r="BDE341" s="184"/>
      <c r="BDF341" s="184"/>
      <c r="BDG341" s="184"/>
      <c r="BDH341" s="187"/>
      <c r="BDI341" s="188"/>
      <c r="BDK341" s="182"/>
      <c r="BDL341" s="183"/>
      <c r="BDS341" s="267"/>
      <c r="BDT341" s="269"/>
      <c r="BDU341" s="267"/>
      <c r="BDV341" s="184"/>
      <c r="BDW341" s="184"/>
      <c r="BDX341" s="185"/>
      <c r="BDY341" s="184"/>
      <c r="BDZ341" s="184"/>
      <c r="BEA341" s="184"/>
      <c r="BEB341" s="187"/>
      <c r="BEC341" s="188"/>
      <c r="BEE341" s="182"/>
      <c r="BEF341" s="183"/>
      <c r="BEM341" s="267"/>
      <c r="BEN341" s="269"/>
      <c r="BEO341" s="267"/>
      <c r="BEP341" s="184"/>
      <c r="BEQ341" s="184"/>
      <c r="BER341" s="185"/>
      <c r="BES341" s="184"/>
      <c r="BET341" s="184"/>
      <c r="BEU341" s="184"/>
      <c r="BEV341" s="187"/>
      <c r="BEW341" s="188"/>
      <c r="BEY341" s="182"/>
      <c r="BEZ341" s="183"/>
      <c r="BFG341" s="267"/>
      <c r="BFH341" s="269"/>
      <c r="BFI341" s="267"/>
      <c r="BFJ341" s="184"/>
      <c r="BFK341" s="184"/>
      <c r="BFL341" s="185"/>
      <c r="BFM341" s="184"/>
      <c r="BFN341" s="184"/>
      <c r="BFO341" s="184"/>
      <c r="BFP341" s="187"/>
      <c r="BFQ341" s="188"/>
      <c r="BFS341" s="182"/>
      <c r="BFT341" s="183"/>
      <c r="BGA341" s="267"/>
      <c r="BGB341" s="269"/>
      <c r="BGC341" s="267"/>
      <c r="BGD341" s="184"/>
      <c r="BGE341" s="184"/>
      <c r="BGF341" s="185"/>
      <c r="BGG341" s="184"/>
      <c r="BGH341" s="184"/>
      <c r="BGI341" s="184"/>
      <c r="BGJ341" s="187"/>
      <c r="BGK341" s="188"/>
      <c r="BGM341" s="182"/>
      <c r="BGN341" s="183"/>
      <c r="BGU341" s="267"/>
      <c r="BGV341" s="269"/>
      <c r="BGW341" s="267"/>
      <c r="BGX341" s="184"/>
      <c r="BGY341" s="184"/>
      <c r="BGZ341" s="185"/>
      <c r="BHA341" s="184"/>
      <c r="BHB341" s="184"/>
      <c r="BHC341" s="184"/>
      <c r="BHD341" s="187"/>
      <c r="BHE341" s="188"/>
      <c r="BHG341" s="182"/>
      <c r="BHH341" s="183"/>
      <c r="BHO341" s="267"/>
      <c r="BHP341" s="269"/>
      <c r="BHQ341" s="267"/>
      <c r="BHR341" s="184"/>
      <c r="BHS341" s="184"/>
      <c r="BHT341" s="185"/>
      <c r="BHU341" s="184"/>
      <c r="BHV341" s="184"/>
      <c r="BHW341" s="184"/>
      <c r="BHX341" s="187"/>
      <c r="BHY341" s="188"/>
      <c r="BIA341" s="182"/>
      <c r="BIB341" s="183"/>
      <c r="BII341" s="267"/>
      <c r="BIJ341" s="269"/>
      <c r="BIK341" s="267"/>
      <c r="BIL341" s="184"/>
      <c r="BIM341" s="184"/>
      <c r="BIN341" s="185"/>
      <c r="BIO341" s="184"/>
      <c r="BIP341" s="184"/>
      <c r="BIQ341" s="184"/>
      <c r="BIR341" s="187"/>
      <c r="BIS341" s="188"/>
      <c r="BIU341" s="182"/>
      <c r="BIV341" s="183"/>
      <c r="BJC341" s="267"/>
      <c r="BJD341" s="269"/>
      <c r="BJE341" s="267"/>
      <c r="BJF341" s="184"/>
      <c r="BJG341" s="184"/>
      <c r="BJH341" s="185"/>
      <c r="BJI341" s="184"/>
      <c r="BJJ341" s="184"/>
      <c r="BJK341" s="184"/>
      <c r="BJL341" s="187"/>
      <c r="BJM341" s="188"/>
      <c r="BJO341" s="182"/>
      <c r="BJP341" s="183"/>
      <c r="BJW341" s="267"/>
      <c r="BJX341" s="269"/>
      <c r="BJY341" s="267"/>
      <c r="BJZ341" s="184"/>
      <c r="BKA341" s="184"/>
      <c r="BKB341" s="185"/>
      <c r="BKC341" s="184"/>
      <c r="BKD341" s="184"/>
      <c r="BKE341" s="184"/>
      <c r="BKF341" s="187"/>
      <c r="BKG341" s="188"/>
      <c r="BKI341" s="182"/>
      <c r="BKJ341" s="183"/>
      <c r="BKQ341" s="267"/>
      <c r="BKR341" s="269"/>
      <c r="BKS341" s="267"/>
      <c r="BKT341" s="184"/>
      <c r="BKU341" s="184"/>
      <c r="BKV341" s="185"/>
      <c r="BKW341" s="184"/>
      <c r="BKX341" s="184"/>
      <c r="BKY341" s="184"/>
      <c r="BKZ341" s="187"/>
      <c r="BLA341" s="188"/>
      <c r="BLC341" s="182"/>
      <c r="BLD341" s="183"/>
      <c r="BLK341" s="267"/>
      <c r="BLL341" s="269"/>
      <c r="BLM341" s="267"/>
      <c r="BLN341" s="184"/>
      <c r="BLO341" s="184"/>
      <c r="BLP341" s="185"/>
      <c r="BLQ341" s="184"/>
      <c r="BLR341" s="184"/>
      <c r="BLS341" s="184"/>
      <c r="BLT341" s="187"/>
      <c r="BLU341" s="188"/>
      <c r="BLW341" s="182"/>
      <c r="BLX341" s="183"/>
      <c r="BME341" s="267"/>
      <c r="BMF341" s="269"/>
      <c r="BMG341" s="267"/>
      <c r="BMH341" s="184"/>
      <c r="BMI341" s="184"/>
      <c r="BMJ341" s="185"/>
      <c r="BMK341" s="184"/>
      <c r="BML341" s="184"/>
      <c r="BMM341" s="184"/>
      <c r="BMN341" s="187"/>
      <c r="BMO341" s="188"/>
      <c r="BMQ341" s="182"/>
      <c r="BMR341" s="183"/>
      <c r="BMY341" s="267"/>
      <c r="BMZ341" s="269"/>
      <c r="BNA341" s="267"/>
      <c r="BNB341" s="184"/>
      <c r="BNC341" s="184"/>
      <c r="BND341" s="185"/>
      <c r="BNE341" s="184"/>
      <c r="BNF341" s="184"/>
      <c r="BNG341" s="184"/>
      <c r="BNH341" s="187"/>
      <c r="BNI341" s="188"/>
      <c r="BNK341" s="182"/>
      <c r="BNL341" s="183"/>
      <c r="BNS341" s="267"/>
      <c r="BNT341" s="269"/>
      <c r="BNU341" s="267"/>
      <c r="BNV341" s="184"/>
      <c r="BNW341" s="184"/>
      <c r="BNX341" s="185"/>
      <c r="BNY341" s="184"/>
      <c r="BNZ341" s="184"/>
      <c r="BOA341" s="184"/>
      <c r="BOB341" s="187"/>
      <c r="BOC341" s="188"/>
      <c r="BOE341" s="182"/>
      <c r="BOF341" s="183"/>
      <c r="BOM341" s="267"/>
      <c r="BON341" s="269"/>
      <c r="BOO341" s="267"/>
      <c r="BOP341" s="184"/>
      <c r="BOQ341" s="184"/>
      <c r="BOR341" s="185"/>
      <c r="BOS341" s="184"/>
      <c r="BOT341" s="184"/>
      <c r="BOU341" s="184"/>
      <c r="BOV341" s="187"/>
      <c r="BOW341" s="188"/>
      <c r="BOY341" s="182"/>
      <c r="BOZ341" s="183"/>
      <c r="BPG341" s="267"/>
      <c r="BPH341" s="269"/>
      <c r="BPI341" s="267"/>
      <c r="BPJ341" s="184"/>
      <c r="BPK341" s="184"/>
      <c r="BPL341" s="185"/>
      <c r="BPM341" s="184"/>
      <c r="BPN341" s="184"/>
      <c r="BPO341" s="184"/>
      <c r="BPP341" s="187"/>
      <c r="BPQ341" s="188"/>
      <c r="BPS341" s="182"/>
      <c r="BPT341" s="183"/>
      <c r="BQA341" s="267"/>
      <c r="BQB341" s="269"/>
      <c r="BQC341" s="267"/>
      <c r="BQD341" s="184"/>
      <c r="BQE341" s="184"/>
      <c r="BQF341" s="185"/>
      <c r="BQG341" s="184"/>
      <c r="BQH341" s="184"/>
      <c r="BQI341" s="184"/>
      <c r="BQJ341" s="187"/>
      <c r="BQK341" s="188"/>
      <c r="BQM341" s="182"/>
      <c r="BQN341" s="183"/>
      <c r="BQU341" s="267"/>
      <c r="BQV341" s="269"/>
      <c r="BQW341" s="267"/>
      <c r="BQX341" s="184"/>
      <c r="BQY341" s="184"/>
      <c r="BQZ341" s="185"/>
      <c r="BRA341" s="184"/>
      <c r="BRB341" s="184"/>
      <c r="BRC341" s="184"/>
      <c r="BRD341" s="187"/>
      <c r="BRE341" s="188"/>
      <c r="BRG341" s="182"/>
      <c r="BRH341" s="183"/>
      <c r="BRO341" s="267"/>
      <c r="BRP341" s="269"/>
      <c r="BRQ341" s="267"/>
      <c r="BRR341" s="184"/>
      <c r="BRS341" s="184"/>
      <c r="BRT341" s="185"/>
      <c r="BRU341" s="184"/>
      <c r="BRV341" s="184"/>
      <c r="BRW341" s="184"/>
      <c r="BRX341" s="187"/>
      <c r="BRY341" s="188"/>
      <c r="BSA341" s="182"/>
      <c r="BSB341" s="183"/>
      <c r="BSI341" s="267"/>
      <c r="BSJ341" s="269"/>
      <c r="BSK341" s="267"/>
      <c r="BSL341" s="184"/>
      <c r="BSM341" s="184"/>
      <c r="BSN341" s="185"/>
      <c r="BSO341" s="184"/>
      <c r="BSP341" s="184"/>
      <c r="BSQ341" s="184"/>
      <c r="BSR341" s="187"/>
      <c r="BSS341" s="188"/>
      <c r="BSU341" s="182"/>
      <c r="BSV341" s="183"/>
      <c r="BTC341" s="267"/>
      <c r="BTD341" s="269"/>
      <c r="BTE341" s="267"/>
      <c r="BTF341" s="184"/>
      <c r="BTG341" s="184"/>
      <c r="BTH341" s="185"/>
      <c r="BTI341" s="184"/>
      <c r="BTJ341" s="184"/>
      <c r="BTK341" s="184"/>
      <c r="BTL341" s="187"/>
      <c r="BTM341" s="188"/>
      <c r="BTO341" s="182"/>
      <c r="BTP341" s="183"/>
      <c r="BTW341" s="267"/>
      <c r="BTX341" s="269"/>
      <c r="BTY341" s="267"/>
      <c r="BTZ341" s="184"/>
      <c r="BUA341" s="184"/>
      <c r="BUB341" s="185"/>
      <c r="BUC341" s="184"/>
      <c r="BUD341" s="184"/>
      <c r="BUE341" s="184"/>
      <c r="BUF341" s="187"/>
      <c r="BUG341" s="188"/>
      <c r="BUI341" s="182"/>
      <c r="BUJ341" s="183"/>
      <c r="BUQ341" s="267"/>
      <c r="BUR341" s="269"/>
      <c r="BUS341" s="267"/>
      <c r="BUT341" s="184"/>
      <c r="BUU341" s="184"/>
      <c r="BUV341" s="185"/>
      <c r="BUW341" s="184"/>
      <c r="BUX341" s="184"/>
      <c r="BUY341" s="184"/>
      <c r="BUZ341" s="187"/>
      <c r="BVA341" s="188"/>
      <c r="BVC341" s="182"/>
      <c r="BVD341" s="183"/>
      <c r="BVK341" s="267"/>
      <c r="BVL341" s="269"/>
      <c r="BVM341" s="267"/>
      <c r="BVN341" s="184"/>
      <c r="BVO341" s="184"/>
      <c r="BVP341" s="185"/>
      <c r="BVQ341" s="184"/>
      <c r="BVR341" s="184"/>
      <c r="BVS341" s="184"/>
      <c r="BVT341" s="187"/>
      <c r="BVU341" s="188"/>
      <c r="BVW341" s="182"/>
      <c r="BVX341" s="183"/>
      <c r="BWE341" s="267"/>
      <c r="BWF341" s="269"/>
      <c r="BWG341" s="267"/>
      <c r="BWH341" s="184"/>
      <c r="BWI341" s="184"/>
      <c r="BWJ341" s="185"/>
      <c r="BWK341" s="184"/>
      <c r="BWL341" s="184"/>
      <c r="BWM341" s="184"/>
      <c r="BWN341" s="187"/>
      <c r="BWO341" s="188"/>
      <c r="BWQ341" s="182"/>
      <c r="BWR341" s="183"/>
      <c r="BWY341" s="267"/>
      <c r="BWZ341" s="269"/>
      <c r="BXA341" s="267"/>
      <c r="BXB341" s="184"/>
      <c r="BXC341" s="184"/>
      <c r="BXD341" s="185"/>
      <c r="BXE341" s="184"/>
      <c r="BXF341" s="184"/>
      <c r="BXG341" s="184"/>
      <c r="BXH341" s="187"/>
      <c r="BXI341" s="188"/>
      <c r="BXK341" s="182"/>
      <c r="BXL341" s="183"/>
      <c r="BXS341" s="267"/>
      <c r="BXT341" s="269"/>
      <c r="BXU341" s="267"/>
      <c r="BXV341" s="184"/>
      <c r="BXW341" s="184"/>
      <c r="BXX341" s="185"/>
      <c r="BXY341" s="184"/>
      <c r="BXZ341" s="184"/>
      <c r="BYA341" s="184"/>
      <c r="BYB341" s="187"/>
      <c r="BYC341" s="188"/>
      <c r="BYE341" s="182"/>
      <c r="BYF341" s="183"/>
      <c r="BYM341" s="267"/>
      <c r="BYN341" s="269"/>
      <c r="BYO341" s="267"/>
      <c r="BYP341" s="184"/>
      <c r="BYQ341" s="184"/>
      <c r="BYR341" s="185"/>
      <c r="BYS341" s="184"/>
      <c r="BYT341" s="184"/>
      <c r="BYU341" s="184"/>
      <c r="BYV341" s="187"/>
      <c r="BYW341" s="188"/>
      <c r="BYY341" s="182"/>
      <c r="BYZ341" s="183"/>
      <c r="BZG341" s="267"/>
      <c r="BZH341" s="269"/>
      <c r="BZI341" s="267"/>
      <c r="BZJ341" s="184"/>
      <c r="BZK341" s="184"/>
      <c r="BZL341" s="185"/>
      <c r="BZM341" s="184"/>
      <c r="BZN341" s="184"/>
      <c r="BZO341" s="184"/>
      <c r="BZP341" s="187"/>
      <c r="BZQ341" s="188"/>
      <c r="BZS341" s="182"/>
      <c r="BZT341" s="183"/>
      <c r="CAA341" s="267"/>
      <c r="CAB341" s="269"/>
      <c r="CAC341" s="267"/>
      <c r="CAD341" s="184"/>
      <c r="CAE341" s="184"/>
      <c r="CAF341" s="185"/>
      <c r="CAG341" s="184"/>
      <c r="CAH341" s="184"/>
      <c r="CAI341" s="184"/>
      <c r="CAJ341" s="187"/>
      <c r="CAK341" s="188"/>
      <c r="CAM341" s="182"/>
      <c r="CAN341" s="183"/>
      <c r="CAU341" s="267"/>
      <c r="CAV341" s="269"/>
      <c r="CAW341" s="267"/>
      <c r="CAX341" s="184"/>
      <c r="CAY341" s="184"/>
      <c r="CAZ341" s="185"/>
      <c r="CBA341" s="184"/>
      <c r="CBB341" s="184"/>
      <c r="CBC341" s="184"/>
      <c r="CBD341" s="187"/>
      <c r="CBE341" s="188"/>
      <c r="CBG341" s="182"/>
      <c r="CBH341" s="183"/>
      <c r="CBO341" s="267"/>
      <c r="CBP341" s="269"/>
      <c r="CBQ341" s="267"/>
      <c r="CBR341" s="184"/>
      <c r="CBS341" s="184"/>
      <c r="CBT341" s="185"/>
      <c r="CBU341" s="184"/>
      <c r="CBV341" s="184"/>
      <c r="CBW341" s="184"/>
      <c r="CBX341" s="187"/>
      <c r="CBY341" s="188"/>
      <c r="CCA341" s="182"/>
      <c r="CCB341" s="183"/>
      <c r="CCI341" s="267"/>
      <c r="CCJ341" s="269"/>
      <c r="CCK341" s="267"/>
      <c r="CCL341" s="184"/>
      <c r="CCM341" s="184"/>
      <c r="CCN341" s="185"/>
      <c r="CCO341" s="184"/>
      <c r="CCP341" s="184"/>
      <c r="CCQ341" s="184"/>
      <c r="CCR341" s="187"/>
      <c r="CCS341" s="188"/>
      <c r="CCU341" s="182"/>
      <c r="CCV341" s="183"/>
      <c r="CDC341" s="267"/>
      <c r="CDD341" s="269"/>
      <c r="CDE341" s="267"/>
      <c r="CDF341" s="184"/>
      <c r="CDG341" s="184"/>
      <c r="CDH341" s="185"/>
      <c r="CDI341" s="184"/>
      <c r="CDJ341" s="184"/>
      <c r="CDK341" s="184"/>
      <c r="CDL341" s="187"/>
      <c r="CDM341" s="188"/>
      <c r="CDO341" s="182"/>
      <c r="CDP341" s="183"/>
      <c r="CDW341" s="267"/>
      <c r="CDX341" s="269"/>
      <c r="CDY341" s="267"/>
      <c r="CDZ341" s="184"/>
      <c r="CEA341" s="184"/>
      <c r="CEB341" s="185"/>
      <c r="CEC341" s="184"/>
      <c r="CED341" s="184"/>
      <c r="CEE341" s="184"/>
      <c r="CEF341" s="187"/>
      <c r="CEG341" s="188"/>
      <c r="CEI341" s="182"/>
      <c r="CEJ341" s="183"/>
      <c r="CEQ341" s="267"/>
      <c r="CER341" s="269"/>
      <c r="CES341" s="267"/>
      <c r="CET341" s="184"/>
      <c r="CEU341" s="184"/>
      <c r="CEV341" s="185"/>
      <c r="CEW341" s="184"/>
      <c r="CEX341" s="184"/>
      <c r="CEY341" s="184"/>
      <c r="CEZ341" s="187"/>
      <c r="CFA341" s="188"/>
      <c r="CFC341" s="182"/>
      <c r="CFD341" s="183"/>
      <c r="CFK341" s="267"/>
      <c r="CFL341" s="269"/>
      <c r="CFM341" s="267"/>
      <c r="CFN341" s="184"/>
      <c r="CFO341" s="184"/>
      <c r="CFP341" s="185"/>
      <c r="CFQ341" s="184"/>
      <c r="CFR341" s="184"/>
      <c r="CFS341" s="184"/>
      <c r="CFT341" s="187"/>
      <c r="CFU341" s="188"/>
      <c r="CFW341" s="182"/>
      <c r="CFX341" s="183"/>
      <c r="CGE341" s="267"/>
      <c r="CGF341" s="269"/>
      <c r="CGG341" s="267"/>
      <c r="CGH341" s="184"/>
      <c r="CGI341" s="184"/>
      <c r="CGJ341" s="185"/>
      <c r="CGK341" s="184"/>
      <c r="CGL341" s="184"/>
      <c r="CGM341" s="184"/>
      <c r="CGN341" s="187"/>
      <c r="CGO341" s="188"/>
      <c r="CGQ341" s="182"/>
      <c r="CGR341" s="183"/>
      <c r="CGY341" s="267"/>
      <c r="CGZ341" s="269"/>
      <c r="CHA341" s="267"/>
      <c r="CHB341" s="184"/>
      <c r="CHC341" s="184"/>
      <c r="CHD341" s="185"/>
      <c r="CHE341" s="184"/>
      <c r="CHF341" s="184"/>
      <c r="CHG341" s="184"/>
      <c r="CHH341" s="187"/>
      <c r="CHI341" s="188"/>
      <c r="CHK341" s="182"/>
      <c r="CHL341" s="183"/>
      <c r="CHS341" s="267"/>
      <c r="CHT341" s="269"/>
      <c r="CHU341" s="267"/>
      <c r="CHV341" s="184"/>
      <c r="CHW341" s="184"/>
      <c r="CHX341" s="185"/>
      <c r="CHY341" s="184"/>
      <c r="CHZ341" s="184"/>
      <c r="CIA341" s="184"/>
      <c r="CIB341" s="187"/>
      <c r="CIC341" s="188"/>
      <c r="CIE341" s="182"/>
      <c r="CIF341" s="183"/>
      <c r="CIM341" s="267"/>
      <c r="CIN341" s="269"/>
      <c r="CIO341" s="267"/>
      <c r="CIP341" s="184"/>
      <c r="CIQ341" s="184"/>
      <c r="CIR341" s="185"/>
      <c r="CIS341" s="184"/>
      <c r="CIT341" s="184"/>
      <c r="CIU341" s="184"/>
      <c r="CIV341" s="187"/>
      <c r="CIW341" s="188"/>
      <c r="CIY341" s="182"/>
      <c r="CIZ341" s="183"/>
      <c r="CJG341" s="267"/>
      <c r="CJH341" s="269"/>
      <c r="CJI341" s="267"/>
      <c r="CJJ341" s="184"/>
      <c r="CJK341" s="184"/>
      <c r="CJL341" s="185"/>
      <c r="CJM341" s="184"/>
      <c r="CJN341" s="184"/>
      <c r="CJO341" s="184"/>
      <c r="CJP341" s="187"/>
      <c r="CJQ341" s="188"/>
      <c r="CJS341" s="182"/>
      <c r="CJT341" s="183"/>
      <c r="CKA341" s="267"/>
      <c r="CKB341" s="269"/>
      <c r="CKC341" s="267"/>
      <c r="CKD341" s="184"/>
      <c r="CKE341" s="184"/>
      <c r="CKF341" s="185"/>
      <c r="CKG341" s="184"/>
      <c r="CKH341" s="184"/>
      <c r="CKI341" s="184"/>
      <c r="CKJ341" s="187"/>
      <c r="CKK341" s="188"/>
      <c r="CKM341" s="182"/>
      <c r="CKN341" s="183"/>
      <c r="CKU341" s="267"/>
      <c r="CKV341" s="269"/>
      <c r="CKW341" s="267"/>
      <c r="CKX341" s="184"/>
      <c r="CKY341" s="184"/>
      <c r="CKZ341" s="185"/>
      <c r="CLA341" s="184"/>
      <c r="CLB341" s="184"/>
      <c r="CLC341" s="184"/>
      <c r="CLD341" s="187"/>
      <c r="CLE341" s="188"/>
      <c r="CLG341" s="182"/>
      <c r="CLH341" s="183"/>
      <c r="CLO341" s="267"/>
      <c r="CLP341" s="269"/>
      <c r="CLQ341" s="267"/>
      <c r="CLR341" s="184"/>
      <c r="CLS341" s="184"/>
      <c r="CLT341" s="185"/>
      <c r="CLU341" s="184"/>
      <c r="CLV341" s="184"/>
      <c r="CLW341" s="184"/>
      <c r="CLX341" s="187"/>
      <c r="CLY341" s="188"/>
      <c r="CMA341" s="182"/>
      <c r="CMB341" s="183"/>
      <c r="CMI341" s="267"/>
      <c r="CMJ341" s="269"/>
      <c r="CMK341" s="267"/>
      <c r="CML341" s="184"/>
      <c r="CMM341" s="184"/>
      <c r="CMN341" s="185"/>
      <c r="CMO341" s="184"/>
      <c r="CMP341" s="184"/>
      <c r="CMQ341" s="184"/>
      <c r="CMR341" s="187"/>
      <c r="CMS341" s="188"/>
      <c r="CMU341" s="182"/>
      <c r="CMV341" s="183"/>
      <c r="CNC341" s="267"/>
      <c r="CND341" s="269"/>
      <c r="CNE341" s="267"/>
      <c r="CNF341" s="184"/>
      <c r="CNG341" s="184"/>
      <c r="CNH341" s="185"/>
      <c r="CNI341" s="184"/>
      <c r="CNJ341" s="184"/>
      <c r="CNK341" s="184"/>
      <c r="CNL341" s="187"/>
      <c r="CNM341" s="188"/>
      <c r="CNO341" s="182"/>
      <c r="CNP341" s="183"/>
      <c r="CNW341" s="267"/>
      <c r="CNX341" s="269"/>
      <c r="CNY341" s="267"/>
      <c r="CNZ341" s="184"/>
      <c r="COA341" s="184"/>
      <c r="COB341" s="185"/>
      <c r="COC341" s="184"/>
      <c r="COD341" s="184"/>
      <c r="COE341" s="184"/>
      <c r="COF341" s="187"/>
      <c r="COG341" s="188"/>
      <c r="COI341" s="182"/>
      <c r="COJ341" s="183"/>
      <c r="COQ341" s="267"/>
      <c r="COR341" s="269"/>
      <c r="COS341" s="267"/>
      <c r="COT341" s="184"/>
      <c r="COU341" s="184"/>
      <c r="COV341" s="185"/>
      <c r="COW341" s="184"/>
      <c r="COX341" s="184"/>
      <c r="COY341" s="184"/>
      <c r="COZ341" s="187"/>
      <c r="CPA341" s="188"/>
      <c r="CPC341" s="182"/>
      <c r="CPD341" s="183"/>
      <c r="CPK341" s="267"/>
      <c r="CPL341" s="269"/>
      <c r="CPM341" s="267"/>
      <c r="CPN341" s="184"/>
      <c r="CPO341" s="184"/>
      <c r="CPP341" s="185"/>
      <c r="CPQ341" s="184"/>
      <c r="CPR341" s="184"/>
      <c r="CPS341" s="184"/>
      <c r="CPT341" s="187"/>
      <c r="CPU341" s="188"/>
      <c r="CPW341" s="182"/>
      <c r="CPX341" s="183"/>
      <c r="CQE341" s="267"/>
      <c r="CQF341" s="269"/>
      <c r="CQG341" s="267"/>
      <c r="CQH341" s="184"/>
      <c r="CQI341" s="184"/>
      <c r="CQJ341" s="185"/>
      <c r="CQK341" s="184"/>
      <c r="CQL341" s="184"/>
      <c r="CQM341" s="184"/>
      <c r="CQN341" s="187"/>
      <c r="CQO341" s="188"/>
      <c r="CQQ341" s="182"/>
      <c r="CQR341" s="183"/>
      <c r="CQY341" s="267"/>
      <c r="CQZ341" s="269"/>
      <c r="CRA341" s="267"/>
      <c r="CRB341" s="184"/>
      <c r="CRC341" s="184"/>
      <c r="CRD341" s="185"/>
      <c r="CRE341" s="184"/>
      <c r="CRF341" s="184"/>
      <c r="CRG341" s="184"/>
      <c r="CRH341" s="187"/>
      <c r="CRI341" s="188"/>
      <c r="CRK341" s="182"/>
      <c r="CRL341" s="183"/>
      <c r="CRS341" s="267"/>
      <c r="CRT341" s="269"/>
      <c r="CRU341" s="267"/>
      <c r="CRV341" s="184"/>
      <c r="CRW341" s="184"/>
      <c r="CRX341" s="185"/>
      <c r="CRY341" s="184"/>
      <c r="CRZ341" s="184"/>
      <c r="CSA341" s="184"/>
      <c r="CSB341" s="187"/>
      <c r="CSC341" s="188"/>
      <c r="CSE341" s="182"/>
      <c r="CSF341" s="183"/>
      <c r="CSM341" s="267"/>
      <c r="CSN341" s="269"/>
      <c r="CSO341" s="267"/>
      <c r="CSP341" s="184"/>
      <c r="CSQ341" s="184"/>
      <c r="CSR341" s="185"/>
      <c r="CSS341" s="184"/>
      <c r="CST341" s="184"/>
      <c r="CSU341" s="184"/>
      <c r="CSV341" s="187"/>
      <c r="CSW341" s="188"/>
      <c r="CSY341" s="182"/>
      <c r="CSZ341" s="183"/>
      <c r="CTG341" s="267"/>
      <c r="CTH341" s="269"/>
      <c r="CTI341" s="267"/>
      <c r="CTJ341" s="184"/>
      <c r="CTK341" s="184"/>
      <c r="CTL341" s="185"/>
      <c r="CTM341" s="184"/>
      <c r="CTN341" s="184"/>
      <c r="CTO341" s="184"/>
      <c r="CTP341" s="187"/>
      <c r="CTQ341" s="188"/>
      <c r="CTS341" s="182"/>
      <c r="CTT341" s="183"/>
      <c r="CUA341" s="267"/>
      <c r="CUB341" s="269"/>
      <c r="CUC341" s="267"/>
      <c r="CUD341" s="184"/>
      <c r="CUE341" s="184"/>
      <c r="CUF341" s="185"/>
      <c r="CUG341" s="184"/>
      <c r="CUH341" s="184"/>
      <c r="CUI341" s="184"/>
      <c r="CUJ341" s="187"/>
      <c r="CUK341" s="188"/>
      <c r="CUM341" s="182"/>
      <c r="CUN341" s="183"/>
      <c r="CUU341" s="267"/>
      <c r="CUV341" s="269"/>
      <c r="CUW341" s="267"/>
      <c r="CUX341" s="184"/>
      <c r="CUY341" s="184"/>
      <c r="CUZ341" s="185"/>
      <c r="CVA341" s="184"/>
      <c r="CVB341" s="184"/>
      <c r="CVC341" s="184"/>
      <c r="CVD341" s="187"/>
      <c r="CVE341" s="188"/>
      <c r="CVG341" s="182"/>
      <c r="CVH341" s="183"/>
      <c r="CVO341" s="267"/>
      <c r="CVP341" s="269"/>
      <c r="CVQ341" s="267"/>
      <c r="CVR341" s="184"/>
      <c r="CVS341" s="184"/>
      <c r="CVT341" s="185"/>
      <c r="CVU341" s="184"/>
      <c r="CVV341" s="184"/>
      <c r="CVW341" s="184"/>
      <c r="CVX341" s="187"/>
      <c r="CVY341" s="188"/>
      <c r="CWA341" s="182"/>
      <c r="CWB341" s="183"/>
      <c r="CWI341" s="267"/>
      <c r="CWJ341" s="269"/>
      <c r="CWK341" s="267"/>
      <c r="CWL341" s="184"/>
      <c r="CWM341" s="184"/>
      <c r="CWN341" s="185"/>
      <c r="CWO341" s="184"/>
      <c r="CWP341" s="184"/>
      <c r="CWQ341" s="184"/>
      <c r="CWR341" s="187"/>
      <c r="CWS341" s="188"/>
      <c r="CWU341" s="182"/>
      <c r="CWV341" s="183"/>
      <c r="CXC341" s="267"/>
      <c r="CXD341" s="269"/>
      <c r="CXE341" s="267"/>
      <c r="CXF341" s="184"/>
      <c r="CXG341" s="184"/>
      <c r="CXH341" s="185"/>
      <c r="CXI341" s="184"/>
      <c r="CXJ341" s="184"/>
      <c r="CXK341" s="184"/>
      <c r="CXL341" s="187"/>
      <c r="CXM341" s="188"/>
      <c r="CXO341" s="182"/>
      <c r="CXP341" s="183"/>
      <c r="CXW341" s="267"/>
      <c r="CXX341" s="269"/>
      <c r="CXY341" s="267"/>
      <c r="CXZ341" s="184"/>
      <c r="CYA341" s="184"/>
      <c r="CYB341" s="185"/>
      <c r="CYC341" s="184"/>
      <c r="CYD341" s="184"/>
      <c r="CYE341" s="184"/>
      <c r="CYF341" s="187"/>
      <c r="CYG341" s="188"/>
      <c r="CYI341" s="182"/>
      <c r="CYJ341" s="183"/>
      <c r="CYQ341" s="267"/>
      <c r="CYR341" s="269"/>
      <c r="CYS341" s="267"/>
      <c r="CYT341" s="184"/>
      <c r="CYU341" s="184"/>
      <c r="CYV341" s="185"/>
      <c r="CYW341" s="184"/>
      <c r="CYX341" s="184"/>
      <c r="CYY341" s="184"/>
      <c r="CYZ341" s="187"/>
      <c r="CZA341" s="188"/>
      <c r="CZC341" s="182"/>
      <c r="CZD341" s="183"/>
      <c r="CZK341" s="267"/>
      <c r="CZL341" s="269"/>
      <c r="CZM341" s="267"/>
      <c r="CZN341" s="184"/>
      <c r="CZO341" s="184"/>
      <c r="CZP341" s="185"/>
      <c r="CZQ341" s="184"/>
      <c r="CZR341" s="184"/>
      <c r="CZS341" s="184"/>
      <c r="CZT341" s="187"/>
      <c r="CZU341" s="188"/>
      <c r="CZW341" s="182"/>
      <c r="CZX341" s="183"/>
      <c r="DAE341" s="267"/>
      <c r="DAF341" s="269"/>
      <c r="DAG341" s="267"/>
      <c r="DAH341" s="184"/>
      <c r="DAI341" s="184"/>
      <c r="DAJ341" s="185"/>
      <c r="DAK341" s="184"/>
      <c r="DAL341" s="184"/>
      <c r="DAM341" s="184"/>
      <c r="DAN341" s="187"/>
      <c r="DAO341" s="188"/>
      <c r="DAQ341" s="182"/>
      <c r="DAR341" s="183"/>
      <c r="DAY341" s="267"/>
      <c r="DAZ341" s="269"/>
      <c r="DBA341" s="267"/>
      <c r="DBB341" s="184"/>
      <c r="DBC341" s="184"/>
      <c r="DBD341" s="185"/>
      <c r="DBE341" s="184"/>
      <c r="DBF341" s="184"/>
      <c r="DBG341" s="184"/>
      <c r="DBH341" s="187"/>
      <c r="DBI341" s="188"/>
      <c r="DBK341" s="182"/>
      <c r="DBL341" s="183"/>
      <c r="DBS341" s="267"/>
      <c r="DBT341" s="269"/>
      <c r="DBU341" s="267"/>
      <c r="DBV341" s="184"/>
      <c r="DBW341" s="184"/>
      <c r="DBX341" s="185"/>
      <c r="DBY341" s="184"/>
      <c r="DBZ341" s="184"/>
      <c r="DCA341" s="184"/>
      <c r="DCB341" s="187"/>
      <c r="DCC341" s="188"/>
      <c r="DCE341" s="182"/>
      <c r="DCF341" s="183"/>
      <c r="DCM341" s="267"/>
      <c r="DCN341" s="269"/>
      <c r="DCO341" s="267"/>
      <c r="DCP341" s="184"/>
      <c r="DCQ341" s="184"/>
      <c r="DCR341" s="185"/>
      <c r="DCS341" s="184"/>
      <c r="DCT341" s="184"/>
      <c r="DCU341" s="184"/>
      <c r="DCV341" s="187"/>
      <c r="DCW341" s="188"/>
      <c r="DCY341" s="182"/>
      <c r="DCZ341" s="183"/>
      <c r="DDG341" s="267"/>
      <c r="DDH341" s="269"/>
      <c r="DDI341" s="267"/>
      <c r="DDJ341" s="184"/>
      <c r="DDK341" s="184"/>
      <c r="DDL341" s="185"/>
      <c r="DDM341" s="184"/>
      <c r="DDN341" s="184"/>
      <c r="DDO341" s="184"/>
      <c r="DDP341" s="187"/>
      <c r="DDQ341" s="188"/>
      <c r="DDS341" s="182"/>
      <c r="DDT341" s="183"/>
      <c r="DEA341" s="267"/>
      <c r="DEB341" s="269"/>
      <c r="DEC341" s="267"/>
      <c r="DED341" s="184"/>
      <c r="DEE341" s="184"/>
      <c r="DEF341" s="185"/>
      <c r="DEG341" s="184"/>
      <c r="DEH341" s="184"/>
      <c r="DEI341" s="184"/>
      <c r="DEJ341" s="187"/>
      <c r="DEK341" s="188"/>
      <c r="DEM341" s="182"/>
      <c r="DEN341" s="183"/>
      <c r="DEU341" s="267"/>
      <c r="DEV341" s="269"/>
      <c r="DEW341" s="267"/>
      <c r="DEX341" s="184"/>
      <c r="DEY341" s="184"/>
      <c r="DEZ341" s="185"/>
      <c r="DFA341" s="184"/>
      <c r="DFB341" s="184"/>
      <c r="DFC341" s="184"/>
      <c r="DFD341" s="187"/>
      <c r="DFE341" s="188"/>
      <c r="DFG341" s="182"/>
      <c r="DFH341" s="183"/>
      <c r="DFO341" s="267"/>
      <c r="DFP341" s="269"/>
      <c r="DFQ341" s="267"/>
      <c r="DFR341" s="184"/>
      <c r="DFS341" s="184"/>
      <c r="DFT341" s="185"/>
      <c r="DFU341" s="184"/>
      <c r="DFV341" s="184"/>
      <c r="DFW341" s="184"/>
      <c r="DFX341" s="187"/>
      <c r="DFY341" s="188"/>
      <c r="DGA341" s="182"/>
      <c r="DGB341" s="183"/>
      <c r="DGI341" s="267"/>
      <c r="DGJ341" s="269"/>
      <c r="DGK341" s="267"/>
      <c r="DGL341" s="184"/>
      <c r="DGM341" s="184"/>
      <c r="DGN341" s="185"/>
      <c r="DGO341" s="184"/>
      <c r="DGP341" s="184"/>
      <c r="DGQ341" s="184"/>
      <c r="DGR341" s="187"/>
      <c r="DGS341" s="188"/>
      <c r="DGU341" s="182"/>
      <c r="DGV341" s="183"/>
      <c r="DHC341" s="267"/>
      <c r="DHD341" s="269"/>
      <c r="DHE341" s="267"/>
      <c r="DHF341" s="184"/>
      <c r="DHG341" s="184"/>
      <c r="DHH341" s="185"/>
      <c r="DHI341" s="184"/>
      <c r="DHJ341" s="184"/>
      <c r="DHK341" s="184"/>
      <c r="DHL341" s="187"/>
      <c r="DHM341" s="188"/>
      <c r="DHO341" s="182"/>
      <c r="DHP341" s="183"/>
      <c r="DHW341" s="267"/>
      <c r="DHX341" s="269"/>
      <c r="DHY341" s="267"/>
      <c r="DHZ341" s="184"/>
      <c r="DIA341" s="184"/>
      <c r="DIB341" s="185"/>
      <c r="DIC341" s="184"/>
      <c r="DID341" s="184"/>
      <c r="DIE341" s="184"/>
      <c r="DIF341" s="187"/>
      <c r="DIG341" s="188"/>
      <c r="DII341" s="182"/>
      <c r="DIJ341" s="183"/>
      <c r="DIQ341" s="267"/>
      <c r="DIR341" s="269"/>
      <c r="DIS341" s="267"/>
      <c r="DIT341" s="184"/>
      <c r="DIU341" s="184"/>
      <c r="DIV341" s="185"/>
      <c r="DIW341" s="184"/>
      <c r="DIX341" s="184"/>
      <c r="DIY341" s="184"/>
      <c r="DIZ341" s="187"/>
      <c r="DJA341" s="188"/>
      <c r="DJC341" s="182"/>
      <c r="DJD341" s="183"/>
      <c r="DJK341" s="267"/>
      <c r="DJL341" s="269"/>
      <c r="DJM341" s="267"/>
      <c r="DJN341" s="184"/>
      <c r="DJO341" s="184"/>
      <c r="DJP341" s="185"/>
      <c r="DJQ341" s="184"/>
      <c r="DJR341" s="184"/>
      <c r="DJS341" s="184"/>
      <c r="DJT341" s="187"/>
      <c r="DJU341" s="188"/>
      <c r="DJW341" s="182"/>
      <c r="DJX341" s="183"/>
      <c r="DKE341" s="267"/>
      <c r="DKF341" s="269"/>
      <c r="DKG341" s="267"/>
      <c r="DKH341" s="184"/>
      <c r="DKI341" s="184"/>
      <c r="DKJ341" s="185"/>
      <c r="DKK341" s="184"/>
      <c r="DKL341" s="184"/>
      <c r="DKM341" s="184"/>
      <c r="DKN341" s="187"/>
      <c r="DKO341" s="188"/>
      <c r="DKQ341" s="182"/>
      <c r="DKR341" s="183"/>
      <c r="DKY341" s="267"/>
      <c r="DKZ341" s="269"/>
      <c r="DLA341" s="267"/>
      <c r="DLB341" s="184"/>
      <c r="DLC341" s="184"/>
      <c r="DLD341" s="185"/>
      <c r="DLE341" s="184"/>
      <c r="DLF341" s="184"/>
      <c r="DLG341" s="184"/>
      <c r="DLH341" s="187"/>
      <c r="DLI341" s="188"/>
      <c r="DLK341" s="182"/>
      <c r="DLL341" s="183"/>
      <c r="DLS341" s="267"/>
      <c r="DLT341" s="269"/>
      <c r="DLU341" s="267"/>
      <c r="DLV341" s="184"/>
      <c r="DLW341" s="184"/>
      <c r="DLX341" s="185"/>
      <c r="DLY341" s="184"/>
      <c r="DLZ341" s="184"/>
      <c r="DMA341" s="184"/>
      <c r="DMB341" s="187"/>
      <c r="DMC341" s="188"/>
      <c r="DME341" s="182"/>
      <c r="DMF341" s="183"/>
      <c r="DMM341" s="267"/>
      <c r="DMN341" s="269"/>
      <c r="DMO341" s="267"/>
      <c r="DMP341" s="184"/>
      <c r="DMQ341" s="184"/>
      <c r="DMR341" s="185"/>
      <c r="DMS341" s="184"/>
      <c r="DMT341" s="184"/>
      <c r="DMU341" s="184"/>
      <c r="DMV341" s="187"/>
      <c r="DMW341" s="188"/>
      <c r="DMY341" s="182"/>
      <c r="DMZ341" s="183"/>
      <c r="DNG341" s="267"/>
      <c r="DNH341" s="269"/>
      <c r="DNI341" s="267"/>
      <c r="DNJ341" s="184"/>
      <c r="DNK341" s="184"/>
      <c r="DNL341" s="185"/>
      <c r="DNM341" s="184"/>
      <c r="DNN341" s="184"/>
      <c r="DNO341" s="184"/>
      <c r="DNP341" s="187"/>
      <c r="DNQ341" s="188"/>
      <c r="DNS341" s="182"/>
      <c r="DNT341" s="183"/>
      <c r="DOA341" s="267"/>
      <c r="DOB341" s="269"/>
      <c r="DOC341" s="267"/>
      <c r="DOD341" s="184"/>
      <c r="DOE341" s="184"/>
      <c r="DOF341" s="185"/>
      <c r="DOG341" s="184"/>
      <c r="DOH341" s="184"/>
      <c r="DOI341" s="184"/>
      <c r="DOJ341" s="187"/>
      <c r="DOK341" s="188"/>
      <c r="DOM341" s="182"/>
      <c r="DON341" s="183"/>
      <c r="DOU341" s="267"/>
      <c r="DOV341" s="269"/>
      <c r="DOW341" s="267"/>
      <c r="DOX341" s="184"/>
      <c r="DOY341" s="184"/>
      <c r="DOZ341" s="185"/>
      <c r="DPA341" s="184"/>
      <c r="DPB341" s="184"/>
      <c r="DPC341" s="184"/>
      <c r="DPD341" s="187"/>
      <c r="DPE341" s="188"/>
      <c r="DPG341" s="182"/>
      <c r="DPH341" s="183"/>
      <c r="DPO341" s="267"/>
      <c r="DPP341" s="269"/>
      <c r="DPQ341" s="267"/>
      <c r="DPR341" s="184"/>
      <c r="DPS341" s="184"/>
      <c r="DPT341" s="185"/>
      <c r="DPU341" s="184"/>
      <c r="DPV341" s="184"/>
      <c r="DPW341" s="184"/>
      <c r="DPX341" s="187"/>
      <c r="DPY341" s="188"/>
      <c r="DQA341" s="182"/>
      <c r="DQB341" s="183"/>
      <c r="DQI341" s="267"/>
      <c r="DQJ341" s="269"/>
      <c r="DQK341" s="267"/>
      <c r="DQL341" s="184"/>
      <c r="DQM341" s="184"/>
      <c r="DQN341" s="185"/>
      <c r="DQO341" s="184"/>
      <c r="DQP341" s="184"/>
      <c r="DQQ341" s="184"/>
      <c r="DQR341" s="187"/>
      <c r="DQS341" s="188"/>
      <c r="DQU341" s="182"/>
      <c r="DQV341" s="183"/>
      <c r="DRC341" s="267"/>
      <c r="DRD341" s="269"/>
      <c r="DRE341" s="267"/>
      <c r="DRF341" s="184"/>
      <c r="DRG341" s="184"/>
      <c r="DRH341" s="185"/>
      <c r="DRI341" s="184"/>
      <c r="DRJ341" s="184"/>
      <c r="DRK341" s="184"/>
      <c r="DRL341" s="187"/>
      <c r="DRM341" s="188"/>
      <c r="DRO341" s="182"/>
      <c r="DRP341" s="183"/>
      <c r="DRW341" s="267"/>
      <c r="DRX341" s="269"/>
      <c r="DRY341" s="267"/>
      <c r="DRZ341" s="184"/>
      <c r="DSA341" s="184"/>
      <c r="DSB341" s="185"/>
      <c r="DSC341" s="184"/>
      <c r="DSD341" s="184"/>
      <c r="DSE341" s="184"/>
      <c r="DSF341" s="187"/>
      <c r="DSG341" s="188"/>
      <c r="DSI341" s="182"/>
      <c r="DSJ341" s="183"/>
      <c r="DSQ341" s="267"/>
      <c r="DSR341" s="269"/>
      <c r="DSS341" s="267"/>
      <c r="DST341" s="184"/>
      <c r="DSU341" s="184"/>
      <c r="DSV341" s="185"/>
      <c r="DSW341" s="184"/>
      <c r="DSX341" s="184"/>
      <c r="DSY341" s="184"/>
      <c r="DSZ341" s="187"/>
      <c r="DTA341" s="188"/>
      <c r="DTC341" s="182"/>
      <c r="DTD341" s="183"/>
      <c r="DTK341" s="267"/>
      <c r="DTL341" s="269"/>
      <c r="DTM341" s="267"/>
      <c r="DTN341" s="184"/>
      <c r="DTO341" s="184"/>
      <c r="DTP341" s="185"/>
      <c r="DTQ341" s="184"/>
      <c r="DTR341" s="184"/>
      <c r="DTS341" s="184"/>
      <c r="DTT341" s="187"/>
      <c r="DTU341" s="188"/>
      <c r="DTW341" s="182"/>
      <c r="DTX341" s="183"/>
      <c r="DUE341" s="267"/>
      <c r="DUF341" s="269"/>
      <c r="DUG341" s="267"/>
      <c r="DUH341" s="184"/>
      <c r="DUI341" s="184"/>
      <c r="DUJ341" s="185"/>
      <c r="DUK341" s="184"/>
      <c r="DUL341" s="184"/>
      <c r="DUM341" s="184"/>
      <c r="DUN341" s="187"/>
      <c r="DUO341" s="188"/>
      <c r="DUQ341" s="182"/>
      <c r="DUR341" s="183"/>
      <c r="DUY341" s="267"/>
      <c r="DUZ341" s="269"/>
      <c r="DVA341" s="267"/>
      <c r="DVB341" s="184"/>
      <c r="DVC341" s="184"/>
      <c r="DVD341" s="185"/>
      <c r="DVE341" s="184"/>
      <c r="DVF341" s="184"/>
      <c r="DVG341" s="184"/>
      <c r="DVH341" s="187"/>
      <c r="DVI341" s="188"/>
      <c r="DVK341" s="182"/>
      <c r="DVL341" s="183"/>
      <c r="DVS341" s="267"/>
      <c r="DVT341" s="269"/>
      <c r="DVU341" s="267"/>
      <c r="DVV341" s="184"/>
      <c r="DVW341" s="184"/>
      <c r="DVX341" s="185"/>
      <c r="DVY341" s="184"/>
      <c r="DVZ341" s="184"/>
      <c r="DWA341" s="184"/>
      <c r="DWB341" s="187"/>
      <c r="DWC341" s="188"/>
      <c r="DWE341" s="182"/>
      <c r="DWF341" s="183"/>
      <c r="DWM341" s="267"/>
      <c r="DWN341" s="269"/>
      <c r="DWO341" s="267"/>
      <c r="DWP341" s="184"/>
      <c r="DWQ341" s="184"/>
      <c r="DWR341" s="185"/>
      <c r="DWS341" s="184"/>
      <c r="DWT341" s="184"/>
      <c r="DWU341" s="184"/>
      <c r="DWV341" s="187"/>
      <c r="DWW341" s="188"/>
      <c r="DWY341" s="182"/>
      <c r="DWZ341" s="183"/>
      <c r="DXG341" s="267"/>
      <c r="DXH341" s="269"/>
      <c r="DXI341" s="267"/>
      <c r="DXJ341" s="184"/>
      <c r="DXK341" s="184"/>
      <c r="DXL341" s="185"/>
      <c r="DXM341" s="184"/>
      <c r="DXN341" s="184"/>
      <c r="DXO341" s="184"/>
      <c r="DXP341" s="187"/>
      <c r="DXQ341" s="188"/>
      <c r="DXS341" s="182"/>
      <c r="DXT341" s="183"/>
      <c r="DYA341" s="267"/>
      <c r="DYB341" s="269"/>
      <c r="DYC341" s="267"/>
      <c r="DYD341" s="184"/>
      <c r="DYE341" s="184"/>
      <c r="DYF341" s="185"/>
      <c r="DYG341" s="184"/>
      <c r="DYH341" s="184"/>
      <c r="DYI341" s="184"/>
      <c r="DYJ341" s="187"/>
      <c r="DYK341" s="188"/>
      <c r="DYM341" s="182"/>
      <c r="DYN341" s="183"/>
      <c r="DYU341" s="267"/>
      <c r="DYV341" s="269"/>
      <c r="DYW341" s="267"/>
      <c r="DYX341" s="184"/>
      <c r="DYY341" s="184"/>
      <c r="DYZ341" s="185"/>
      <c r="DZA341" s="184"/>
      <c r="DZB341" s="184"/>
      <c r="DZC341" s="184"/>
      <c r="DZD341" s="187"/>
      <c r="DZE341" s="188"/>
      <c r="DZG341" s="182"/>
      <c r="DZH341" s="183"/>
      <c r="DZO341" s="267"/>
      <c r="DZP341" s="269"/>
      <c r="DZQ341" s="267"/>
      <c r="DZR341" s="184"/>
      <c r="DZS341" s="184"/>
      <c r="DZT341" s="185"/>
      <c r="DZU341" s="184"/>
      <c r="DZV341" s="184"/>
      <c r="DZW341" s="184"/>
      <c r="DZX341" s="187"/>
      <c r="DZY341" s="188"/>
      <c r="EAA341" s="182"/>
      <c r="EAB341" s="183"/>
      <c r="EAI341" s="267"/>
      <c r="EAJ341" s="269"/>
      <c r="EAK341" s="267"/>
      <c r="EAL341" s="184"/>
      <c r="EAM341" s="184"/>
      <c r="EAN341" s="185"/>
      <c r="EAO341" s="184"/>
      <c r="EAP341" s="184"/>
      <c r="EAQ341" s="184"/>
      <c r="EAR341" s="187"/>
      <c r="EAS341" s="188"/>
      <c r="EAU341" s="182"/>
      <c r="EAV341" s="183"/>
      <c r="EBC341" s="267"/>
      <c r="EBD341" s="269"/>
      <c r="EBE341" s="267"/>
      <c r="EBF341" s="184"/>
      <c r="EBG341" s="184"/>
      <c r="EBH341" s="185"/>
      <c r="EBI341" s="184"/>
      <c r="EBJ341" s="184"/>
      <c r="EBK341" s="184"/>
      <c r="EBL341" s="187"/>
      <c r="EBM341" s="188"/>
      <c r="EBO341" s="182"/>
      <c r="EBP341" s="183"/>
      <c r="EBW341" s="267"/>
      <c r="EBX341" s="269"/>
      <c r="EBY341" s="267"/>
      <c r="EBZ341" s="184"/>
      <c r="ECA341" s="184"/>
      <c r="ECB341" s="185"/>
      <c r="ECC341" s="184"/>
      <c r="ECD341" s="184"/>
      <c r="ECE341" s="184"/>
      <c r="ECF341" s="187"/>
      <c r="ECG341" s="188"/>
      <c r="ECI341" s="182"/>
      <c r="ECJ341" s="183"/>
      <c r="ECQ341" s="267"/>
      <c r="ECR341" s="269"/>
      <c r="ECS341" s="267"/>
      <c r="ECT341" s="184"/>
      <c r="ECU341" s="184"/>
      <c r="ECV341" s="185"/>
      <c r="ECW341" s="184"/>
      <c r="ECX341" s="184"/>
      <c r="ECY341" s="184"/>
      <c r="ECZ341" s="187"/>
      <c r="EDA341" s="188"/>
      <c r="EDC341" s="182"/>
      <c r="EDD341" s="183"/>
      <c r="EDK341" s="267"/>
      <c r="EDL341" s="269"/>
      <c r="EDM341" s="267"/>
      <c r="EDN341" s="184"/>
      <c r="EDO341" s="184"/>
      <c r="EDP341" s="185"/>
      <c r="EDQ341" s="184"/>
      <c r="EDR341" s="184"/>
      <c r="EDS341" s="184"/>
      <c r="EDT341" s="187"/>
      <c r="EDU341" s="188"/>
      <c r="EDW341" s="182"/>
      <c r="EDX341" s="183"/>
      <c r="EEE341" s="267"/>
      <c r="EEF341" s="269"/>
      <c r="EEG341" s="267"/>
      <c r="EEH341" s="184"/>
      <c r="EEI341" s="184"/>
      <c r="EEJ341" s="185"/>
      <c r="EEK341" s="184"/>
      <c r="EEL341" s="184"/>
      <c r="EEM341" s="184"/>
      <c r="EEN341" s="187"/>
      <c r="EEO341" s="188"/>
      <c r="EEQ341" s="182"/>
      <c r="EER341" s="183"/>
      <c r="EEY341" s="267"/>
      <c r="EEZ341" s="269"/>
      <c r="EFA341" s="267"/>
      <c r="EFB341" s="184"/>
      <c r="EFC341" s="184"/>
      <c r="EFD341" s="185"/>
      <c r="EFE341" s="184"/>
      <c r="EFF341" s="184"/>
      <c r="EFG341" s="184"/>
      <c r="EFH341" s="187"/>
      <c r="EFI341" s="188"/>
      <c r="EFK341" s="182"/>
      <c r="EFL341" s="183"/>
      <c r="EFS341" s="267"/>
      <c r="EFT341" s="269"/>
      <c r="EFU341" s="267"/>
      <c r="EFV341" s="184"/>
      <c r="EFW341" s="184"/>
      <c r="EFX341" s="185"/>
      <c r="EFY341" s="184"/>
      <c r="EFZ341" s="184"/>
      <c r="EGA341" s="184"/>
      <c r="EGB341" s="187"/>
      <c r="EGC341" s="188"/>
      <c r="EGE341" s="182"/>
      <c r="EGF341" s="183"/>
      <c r="EGM341" s="267"/>
      <c r="EGN341" s="269"/>
      <c r="EGO341" s="267"/>
      <c r="EGP341" s="184"/>
      <c r="EGQ341" s="184"/>
      <c r="EGR341" s="185"/>
      <c r="EGS341" s="184"/>
      <c r="EGT341" s="184"/>
      <c r="EGU341" s="184"/>
      <c r="EGV341" s="187"/>
      <c r="EGW341" s="188"/>
      <c r="EGY341" s="182"/>
      <c r="EGZ341" s="183"/>
      <c r="EHG341" s="267"/>
      <c r="EHH341" s="269"/>
      <c r="EHI341" s="267"/>
      <c r="EHJ341" s="184"/>
      <c r="EHK341" s="184"/>
      <c r="EHL341" s="185"/>
      <c r="EHM341" s="184"/>
      <c r="EHN341" s="184"/>
      <c r="EHO341" s="184"/>
      <c r="EHP341" s="187"/>
      <c r="EHQ341" s="188"/>
      <c r="EHS341" s="182"/>
      <c r="EHT341" s="183"/>
      <c r="EIA341" s="267"/>
      <c r="EIB341" s="269"/>
      <c r="EIC341" s="267"/>
      <c r="EID341" s="184"/>
      <c r="EIE341" s="184"/>
      <c r="EIF341" s="185"/>
      <c r="EIG341" s="184"/>
      <c r="EIH341" s="184"/>
      <c r="EII341" s="184"/>
      <c r="EIJ341" s="187"/>
      <c r="EIK341" s="188"/>
      <c r="EIM341" s="182"/>
      <c r="EIN341" s="183"/>
      <c r="EIU341" s="267"/>
      <c r="EIV341" s="269"/>
      <c r="EIW341" s="267"/>
      <c r="EIX341" s="184"/>
      <c r="EIY341" s="184"/>
      <c r="EIZ341" s="185"/>
      <c r="EJA341" s="184"/>
      <c r="EJB341" s="184"/>
      <c r="EJC341" s="184"/>
      <c r="EJD341" s="187"/>
      <c r="EJE341" s="188"/>
      <c r="EJG341" s="182"/>
      <c r="EJH341" s="183"/>
      <c r="EJO341" s="267"/>
      <c r="EJP341" s="269"/>
      <c r="EJQ341" s="267"/>
      <c r="EJR341" s="184"/>
      <c r="EJS341" s="184"/>
      <c r="EJT341" s="185"/>
      <c r="EJU341" s="184"/>
      <c r="EJV341" s="184"/>
      <c r="EJW341" s="184"/>
      <c r="EJX341" s="187"/>
      <c r="EJY341" s="188"/>
      <c r="EKA341" s="182"/>
      <c r="EKB341" s="183"/>
      <c r="EKI341" s="267"/>
      <c r="EKJ341" s="269"/>
      <c r="EKK341" s="267"/>
      <c r="EKL341" s="184"/>
      <c r="EKM341" s="184"/>
      <c r="EKN341" s="185"/>
      <c r="EKO341" s="184"/>
      <c r="EKP341" s="184"/>
      <c r="EKQ341" s="184"/>
      <c r="EKR341" s="187"/>
      <c r="EKS341" s="188"/>
      <c r="EKU341" s="182"/>
      <c r="EKV341" s="183"/>
      <c r="ELC341" s="267"/>
      <c r="ELD341" s="269"/>
      <c r="ELE341" s="267"/>
      <c r="ELF341" s="184"/>
      <c r="ELG341" s="184"/>
      <c r="ELH341" s="185"/>
      <c r="ELI341" s="184"/>
      <c r="ELJ341" s="184"/>
      <c r="ELK341" s="184"/>
      <c r="ELL341" s="187"/>
      <c r="ELM341" s="188"/>
      <c r="ELO341" s="182"/>
      <c r="ELP341" s="183"/>
      <c r="ELW341" s="267"/>
      <c r="ELX341" s="269"/>
      <c r="ELY341" s="267"/>
      <c r="ELZ341" s="184"/>
      <c r="EMA341" s="184"/>
      <c r="EMB341" s="185"/>
      <c r="EMC341" s="184"/>
      <c r="EMD341" s="184"/>
      <c r="EME341" s="184"/>
      <c r="EMF341" s="187"/>
      <c r="EMG341" s="188"/>
      <c r="EMI341" s="182"/>
      <c r="EMJ341" s="183"/>
      <c r="EMQ341" s="267"/>
      <c r="EMR341" s="269"/>
      <c r="EMS341" s="267"/>
      <c r="EMT341" s="184"/>
      <c r="EMU341" s="184"/>
      <c r="EMV341" s="185"/>
      <c r="EMW341" s="184"/>
      <c r="EMX341" s="184"/>
      <c r="EMY341" s="184"/>
      <c r="EMZ341" s="187"/>
      <c r="ENA341" s="188"/>
      <c r="ENC341" s="182"/>
      <c r="END341" s="183"/>
      <c r="ENK341" s="267"/>
      <c r="ENL341" s="269"/>
      <c r="ENM341" s="267"/>
      <c r="ENN341" s="184"/>
      <c r="ENO341" s="184"/>
      <c r="ENP341" s="185"/>
      <c r="ENQ341" s="184"/>
      <c r="ENR341" s="184"/>
      <c r="ENS341" s="184"/>
      <c r="ENT341" s="187"/>
      <c r="ENU341" s="188"/>
      <c r="ENW341" s="182"/>
      <c r="ENX341" s="183"/>
      <c r="EOE341" s="267"/>
      <c r="EOF341" s="269"/>
      <c r="EOG341" s="267"/>
      <c r="EOH341" s="184"/>
      <c r="EOI341" s="184"/>
      <c r="EOJ341" s="185"/>
      <c r="EOK341" s="184"/>
      <c r="EOL341" s="184"/>
      <c r="EOM341" s="184"/>
      <c r="EON341" s="187"/>
      <c r="EOO341" s="188"/>
      <c r="EOQ341" s="182"/>
      <c r="EOR341" s="183"/>
      <c r="EOY341" s="267"/>
      <c r="EOZ341" s="269"/>
      <c r="EPA341" s="267"/>
      <c r="EPB341" s="184"/>
      <c r="EPC341" s="184"/>
      <c r="EPD341" s="185"/>
      <c r="EPE341" s="184"/>
      <c r="EPF341" s="184"/>
      <c r="EPG341" s="184"/>
      <c r="EPH341" s="187"/>
      <c r="EPI341" s="188"/>
      <c r="EPK341" s="182"/>
      <c r="EPL341" s="183"/>
      <c r="EPS341" s="267"/>
      <c r="EPT341" s="269"/>
      <c r="EPU341" s="267"/>
      <c r="EPV341" s="184"/>
      <c r="EPW341" s="184"/>
      <c r="EPX341" s="185"/>
      <c r="EPY341" s="184"/>
      <c r="EPZ341" s="184"/>
      <c r="EQA341" s="184"/>
      <c r="EQB341" s="187"/>
      <c r="EQC341" s="188"/>
      <c r="EQE341" s="182"/>
      <c r="EQF341" s="183"/>
      <c r="EQM341" s="267"/>
      <c r="EQN341" s="269"/>
      <c r="EQO341" s="267"/>
      <c r="EQP341" s="184"/>
      <c r="EQQ341" s="184"/>
      <c r="EQR341" s="185"/>
      <c r="EQS341" s="184"/>
      <c r="EQT341" s="184"/>
      <c r="EQU341" s="184"/>
      <c r="EQV341" s="187"/>
      <c r="EQW341" s="188"/>
      <c r="EQY341" s="182"/>
      <c r="EQZ341" s="183"/>
      <c r="ERG341" s="267"/>
      <c r="ERH341" s="269"/>
      <c r="ERI341" s="267"/>
      <c r="ERJ341" s="184"/>
      <c r="ERK341" s="184"/>
      <c r="ERL341" s="185"/>
      <c r="ERM341" s="184"/>
      <c r="ERN341" s="184"/>
      <c r="ERO341" s="184"/>
      <c r="ERP341" s="187"/>
      <c r="ERQ341" s="188"/>
      <c r="ERS341" s="182"/>
      <c r="ERT341" s="183"/>
      <c r="ESA341" s="267"/>
      <c r="ESB341" s="269"/>
      <c r="ESC341" s="267"/>
      <c r="ESD341" s="184"/>
      <c r="ESE341" s="184"/>
      <c r="ESF341" s="185"/>
      <c r="ESG341" s="184"/>
      <c r="ESH341" s="184"/>
      <c r="ESI341" s="184"/>
      <c r="ESJ341" s="187"/>
      <c r="ESK341" s="188"/>
      <c r="ESM341" s="182"/>
      <c r="ESN341" s="183"/>
      <c r="ESU341" s="267"/>
      <c r="ESV341" s="269"/>
      <c r="ESW341" s="267"/>
      <c r="ESX341" s="184"/>
      <c r="ESY341" s="184"/>
      <c r="ESZ341" s="185"/>
      <c r="ETA341" s="184"/>
      <c r="ETB341" s="184"/>
      <c r="ETC341" s="184"/>
      <c r="ETD341" s="187"/>
      <c r="ETE341" s="188"/>
      <c r="ETG341" s="182"/>
      <c r="ETH341" s="183"/>
      <c r="ETO341" s="267"/>
      <c r="ETP341" s="269"/>
      <c r="ETQ341" s="267"/>
      <c r="ETR341" s="184"/>
      <c r="ETS341" s="184"/>
      <c r="ETT341" s="185"/>
      <c r="ETU341" s="184"/>
      <c r="ETV341" s="184"/>
      <c r="ETW341" s="184"/>
      <c r="ETX341" s="187"/>
      <c r="ETY341" s="188"/>
      <c r="EUA341" s="182"/>
      <c r="EUB341" s="183"/>
      <c r="EUI341" s="267"/>
      <c r="EUJ341" s="269"/>
      <c r="EUK341" s="267"/>
      <c r="EUL341" s="184"/>
      <c r="EUM341" s="184"/>
      <c r="EUN341" s="185"/>
      <c r="EUO341" s="184"/>
      <c r="EUP341" s="184"/>
      <c r="EUQ341" s="184"/>
      <c r="EUR341" s="187"/>
      <c r="EUS341" s="188"/>
      <c r="EUU341" s="182"/>
      <c r="EUV341" s="183"/>
      <c r="EVC341" s="267"/>
      <c r="EVD341" s="269"/>
      <c r="EVE341" s="267"/>
      <c r="EVF341" s="184"/>
      <c r="EVG341" s="184"/>
      <c r="EVH341" s="185"/>
      <c r="EVI341" s="184"/>
      <c r="EVJ341" s="184"/>
      <c r="EVK341" s="184"/>
      <c r="EVL341" s="187"/>
      <c r="EVM341" s="188"/>
      <c r="EVO341" s="182"/>
      <c r="EVP341" s="183"/>
      <c r="EVW341" s="267"/>
      <c r="EVX341" s="269"/>
      <c r="EVY341" s="267"/>
      <c r="EVZ341" s="184"/>
      <c r="EWA341" s="184"/>
      <c r="EWB341" s="185"/>
      <c r="EWC341" s="184"/>
      <c r="EWD341" s="184"/>
      <c r="EWE341" s="184"/>
      <c r="EWF341" s="187"/>
      <c r="EWG341" s="188"/>
      <c r="EWI341" s="182"/>
      <c r="EWJ341" s="183"/>
      <c r="EWQ341" s="267"/>
      <c r="EWR341" s="269"/>
      <c r="EWS341" s="267"/>
      <c r="EWT341" s="184"/>
      <c r="EWU341" s="184"/>
      <c r="EWV341" s="185"/>
      <c r="EWW341" s="184"/>
      <c r="EWX341" s="184"/>
      <c r="EWY341" s="184"/>
      <c r="EWZ341" s="187"/>
      <c r="EXA341" s="188"/>
      <c r="EXC341" s="182"/>
      <c r="EXD341" s="183"/>
      <c r="EXK341" s="267"/>
      <c r="EXL341" s="269"/>
      <c r="EXM341" s="267"/>
      <c r="EXN341" s="184"/>
      <c r="EXO341" s="184"/>
      <c r="EXP341" s="185"/>
      <c r="EXQ341" s="184"/>
      <c r="EXR341" s="184"/>
      <c r="EXS341" s="184"/>
      <c r="EXT341" s="187"/>
      <c r="EXU341" s="188"/>
      <c r="EXW341" s="182"/>
      <c r="EXX341" s="183"/>
      <c r="EYE341" s="267"/>
      <c r="EYF341" s="269"/>
      <c r="EYG341" s="267"/>
      <c r="EYH341" s="184"/>
      <c r="EYI341" s="184"/>
      <c r="EYJ341" s="185"/>
      <c r="EYK341" s="184"/>
      <c r="EYL341" s="184"/>
      <c r="EYM341" s="184"/>
      <c r="EYN341" s="187"/>
      <c r="EYO341" s="188"/>
      <c r="EYQ341" s="182"/>
      <c r="EYR341" s="183"/>
      <c r="EYY341" s="267"/>
      <c r="EYZ341" s="269"/>
      <c r="EZA341" s="267"/>
      <c r="EZB341" s="184"/>
      <c r="EZC341" s="184"/>
      <c r="EZD341" s="185"/>
      <c r="EZE341" s="184"/>
      <c r="EZF341" s="184"/>
      <c r="EZG341" s="184"/>
      <c r="EZH341" s="187"/>
      <c r="EZI341" s="188"/>
      <c r="EZK341" s="182"/>
      <c r="EZL341" s="183"/>
      <c r="EZS341" s="267"/>
      <c r="EZT341" s="269"/>
      <c r="EZU341" s="267"/>
      <c r="EZV341" s="184"/>
      <c r="EZW341" s="184"/>
      <c r="EZX341" s="185"/>
      <c r="EZY341" s="184"/>
      <c r="EZZ341" s="184"/>
      <c r="FAA341" s="184"/>
      <c r="FAB341" s="187"/>
      <c r="FAC341" s="188"/>
      <c r="FAE341" s="182"/>
      <c r="FAF341" s="183"/>
      <c r="FAM341" s="267"/>
      <c r="FAN341" s="269"/>
      <c r="FAO341" s="267"/>
      <c r="FAP341" s="184"/>
      <c r="FAQ341" s="184"/>
      <c r="FAR341" s="185"/>
      <c r="FAS341" s="184"/>
      <c r="FAT341" s="184"/>
      <c r="FAU341" s="184"/>
      <c r="FAV341" s="187"/>
      <c r="FAW341" s="188"/>
      <c r="FAY341" s="182"/>
      <c r="FAZ341" s="183"/>
      <c r="FBG341" s="267"/>
      <c r="FBH341" s="269"/>
      <c r="FBI341" s="267"/>
      <c r="FBJ341" s="184"/>
      <c r="FBK341" s="184"/>
      <c r="FBL341" s="185"/>
      <c r="FBM341" s="184"/>
      <c r="FBN341" s="184"/>
      <c r="FBO341" s="184"/>
      <c r="FBP341" s="187"/>
      <c r="FBQ341" s="188"/>
      <c r="FBS341" s="182"/>
      <c r="FBT341" s="183"/>
      <c r="FCA341" s="267"/>
      <c r="FCB341" s="269"/>
      <c r="FCC341" s="267"/>
      <c r="FCD341" s="184"/>
      <c r="FCE341" s="184"/>
      <c r="FCF341" s="185"/>
      <c r="FCG341" s="184"/>
      <c r="FCH341" s="184"/>
      <c r="FCI341" s="184"/>
      <c r="FCJ341" s="187"/>
      <c r="FCK341" s="188"/>
      <c r="FCM341" s="182"/>
      <c r="FCN341" s="183"/>
      <c r="FCU341" s="267"/>
      <c r="FCV341" s="269"/>
      <c r="FCW341" s="267"/>
      <c r="FCX341" s="184"/>
      <c r="FCY341" s="184"/>
      <c r="FCZ341" s="185"/>
      <c r="FDA341" s="184"/>
      <c r="FDB341" s="184"/>
      <c r="FDC341" s="184"/>
      <c r="FDD341" s="187"/>
      <c r="FDE341" s="188"/>
      <c r="FDG341" s="182"/>
      <c r="FDH341" s="183"/>
      <c r="FDO341" s="267"/>
      <c r="FDP341" s="269"/>
      <c r="FDQ341" s="267"/>
      <c r="FDR341" s="184"/>
      <c r="FDS341" s="184"/>
      <c r="FDT341" s="185"/>
      <c r="FDU341" s="184"/>
      <c r="FDV341" s="184"/>
      <c r="FDW341" s="184"/>
      <c r="FDX341" s="187"/>
      <c r="FDY341" s="188"/>
      <c r="FEA341" s="182"/>
      <c r="FEB341" s="183"/>
      <c r="FEI341" s="267"/>
      <c r="FEJ341" s="269"/>
      <c r="FEK341" s="267"/>
      <c r="FEL341" s="184"/>
      <c r="FEM341" s="184"/>
      <c r="FEN341" s="185"/>
      <c r="FEO341" s="184"/>
      <c r="FEP341" s="184"/>
      <c r="FEQ341" s="184"/>
      <c r="FER341" s="187"/>
      <c r="FES341" s="188"/>
      <c r="FEU341" s="182"/>
      <c r="FEV341" s="183"/>
      <c r="FFC341" s="267"/>
      <c r="FFD341" s="269"/>
      <c r="FFE341" s="267"/>
      <c r="FFF341" s="184"/>
      <c r="FFG341" s="184"/>
      <c r="FFH341" s="185"/>
      <c r="FFI341" s="184"/>
      <c r="FFJ341" s="184"/>
      <c r="FFK341" s="184"/>
      <c r="FFL341" s="187"/>
      <c r="FFM341" s="188"/>
      <c r="FFO341" s="182"/>
      <c r="FFP341" s="183"/>
      <c r="FFW341" s="267"/>
      <c r="FFX341" s="269"/>
      <c r="FFY341" s="267"/>
      <c r="FFZ341" s="184"/>
      <c r="FGA341" s="184"/>
      <c r="FGB341" s="185"/>
      <c r="FGC341" s="184"/>
      <c r="FGD341" s="184"/>
      <c r="FGE341" s="184"/>
      <c r="FGF341" s="187"/>
      <c r="FGG341" s="188"/>
      <c r="FGI341" s="182"/>
      <c r="FGJ341" s="183"/>
      <c r="FGQ341" s="267"/>
      <c r="FGR341" s="269"/>
      <c r="FGS341" s="267"/>
      <c r="FGT341" s="184"/>
      <c r="FGU341" s="184"/>
      <c r="FGV341" s="185"/>
      <c r="FGW341" s="184"/>
      <c r="FGX341" s="184"/>
      <c r="FGY341" s="184"/>
      <c r="FGZ341" s="187"/>
      <c r="FHA341" s="188"/>
      <c r="FHC341" s="182"/>
      <c r="FHD341" s="183"/>
      <c r="FHK341" s="267"/>
      <c r="FHL341" s="269"/>
      <c r="FHM341" s="267"/>
      <c r="FHN341" s="184"/>
      <c r="FHO341" s="184"/>
      <c r="FHP341" s="185"/>
      <c r="FHQ341" s="184"/>
      <c r="FHR341" s="184"/>
      <c r="FHS341" s="184"/>
      <c r="FHT341" s="187"/>
      <c r="FHU341" s="188"/>
      <c r="FHW341" s="182"/>
      <c r="FHX341" s="183"/>
      <c r="FIE341" s="267"/>
      <c r="FIF341" s="269"/>
      <c r="FIG341" s="267"/>
      <c r="FIH341" s="184"/>
      <c r="FII341" s="184"/>
      <c r="FIJ341" s="185"/>
      <c r="FIK341" s="184"/>
      <c r="FIL341" s="184"/>
      <c r="FIM341" s="184"/>
      <c r="FIN341" s="187"/>
      <c r="FIO341" s="188"/>
      <c r="FIQ341" s="182"/>
      <c r="FIR341" s="183"/>
      <c r="FIY341" s="267"/>
      <c r="FIZ341" s="269"/>
      <c r="FJA341" s="267"/>
      <c r="FJB341" s="184"/>
      <c r="FJC341" s="184"/>
      <c r="FJD341" s="185"/>
      <c r="FJE341" s="184"/>
      <c r="FJF341" s="184"/>
      <c r="FJG341" s="184"/>
      <c r="FJH341" s="187"/>
      <c r="FJI341" s="188"/>
      <c r="FJK341" s="182"/>
      <c r="FJL341" s="183"/>
      <c r="FJS341" s="267"/>
      <c r="FJT341" s="269"/>
      <c r="FJU341" s="267"/>
      <c r="FJV341" s="184"/>
      <c r="FJW341" s="184"/>
      <c r="FJX341" s="185"/>
      <c r="FJY341" s="184"/>
      <c r="FJZ341" s="184"/>
      <c r="FKA341" s="184"/>
      <c r="FKB341" s="187"/>
      <c r="FKC341" s="188"/>
      <c r="FKE341" s="182"/>
      <c r="FKF341" s="183"/>
      <c r="FKM341" s="267"/>
      <c r="FKN341" s="269"/>
      <c r="FKO341" s="267"/>
      <c r="FKP341" s="184"/>
      <c r="FKQ341" s="184"/>
      <c r="FKR341" s="185"/>
      <c r="FKS341" s="184"/>
      <c r="FKT341" s="184"/>
      <c r="FKU341" s="184"/>
      <c r="FKV341" s="187"/>
      <c r="FKW341" s="188"/>
      <c r="FKY341" s="182"/>
      <c r="FKZ341" s="183"/>
      <c r="FLG341" s="267"/>
      <c r="FLH341" s="269"/>
      <c r="FLI341" s="267"/>
      <c r="FLJ341" s="184"/>
      <c r="FLK341" s="184"/>
      <c r="FLL341" s="185"/>
      <c r="FLM341" s="184"/>
      <c r="FLN341" s="184"/>
      <c r="FLO341" s="184"/>
      <c r="FLP341" s="187"/>
      <c r="FLQ341" s="188"/>
      <c r="FLS341" s="182"/>
      <c r="FLT341" s="183"/>
      <c r="FMA341" s="267"/>
      <c r="FMB341" s="269"/>
      <c r="FMC341" s="267"/>
      <c r="FMD341" s="184"/>
      <c r="FME341" s="184"/>
      <c r="FMF341" s="185"/>
      <c r="FMG341" s="184"/>
      <c r="FMH341" s="184"/>
      <c r="FMI341" s="184"/>
      <c r="FMJ341" s="187"/>
      <c r="FMK341" s="188"/>
      <c r="FMM341" s="182"/>
      <c r="FMN341" s="183"/>
      <c r="FMU341" s="267"/>
      <c r="FMV341" s="269"/>
      <c r="FMW341" s="267"/>
      <c r="FMX341" s="184"/>
      <c r="FMY341" s="184"/>
      <c r="FMZ341" s="185"/>
      <c r="FNA341" s="184"/>
      <c r="FNB341" s="184"/>
      <c r="FNC341" s="184"/>
      <c r="FND341" s="187"/>
      <c r="FNE341" s="188"/>
      <c r="FNG341" s="182"/>
      <c r="FNH341" s="183"/>
      <c r="FNO341" s="267"/>
      <c r="FNP341" s="269"/>
      <c r="FNQ341" s="267"/>
      <c r="FNR341" s="184"/>
      <c r="FNS341" s="184"/>
      <c r="FNT341" s="185"/>
      <c r="FNU341" s="184"/>
      <c r="FNV341" s="184"/>
      <c r="FNW341" s="184"/>
      <c r="FNX341" s="187"/>
      <c r="FNY341" s="188"/>
      <c r="FOA341" s="182"/>
      <c r="FOB341" s="183"/>
      <c r="FOI341" s="267"/>
      <c r="FOJ341" s="269"/>
      <c r="FOK341" s="267"/>
      <c r="FOL341" s="184"/>
      <c r="FOM341" s="184"/>
      <c r="FON341" s="185"/>
      <c r="FOO341" s="184"/>
      <c r="FOP341" s="184"/>
      <c r="FOQ341" s="184"/>
      <c r="FOR341" s="187"/>
      <c r="FOS341" s="188"/>
      <c r="FOU341" s="182"/>
      <c r="FOV341" s="183"/>
      <c r="FPC341" s="267"/>
      <c r="FPD341" s="269"/>
      <c r="FPE341" s="267"/>
      <c r="FPF341" s="184"/>
      <c r="FPG341" s="184"/>
      <c r="FPH341" s="185"/>
      <c r="FPI341" s="184"/>
      <c r="FPJ341" s="184"/>
      <c r="FPK341" s="184"/>
      <c r="FPL341" s="187"/>
      <c r="FPM341" s="188"/>
      <c r="FPO341" s="182"/>
      <c r="FPP341" s="183"/>
      <c r="FPW341" s="267"/>
      <c r="FPX341" s="269"/>
      <c r="FPY341" s="267"/>
      <c r="FPZ341" s="184"/>
      <c r="FQA341" s="184"/>
      <c r="FQB341" s="185"/>
      <c r="FQC341" s="184"/>
      <c r="FQD341" s="184"/>
      <c r="FQE341" s="184"/>
      <c r="FQF341" s="187"/>
      <c r="FQG341" s="188"/>
      <c r="FQI341" s="182"/>
      <c r="FQJ341" s="183"/>
      <c r="FQQ341" s="267"/>
      <c r="FQR341" s="269"/>
      <c r="FQS341" s="267"/>
      <c r="FQT341" s="184"/>
      <c r="FQU341" s="184"/>
      <c r="FQV341" s="185"/>
      <c r="FQW341" s="184"/>
      <c r="FQX341" s="184"/>
      <c r="FQY341" s="184"/>
      <c r="FQZ341" s="187"/>
      <c r="FRA341" s="188"/>
      <c r="FRC341" s="182"/>
      <c r="FRD341" s="183"/>
      <c r="FRK341" s="267"/>
      <c r="FRL341" s="269"/>
      <c r="FRM341" s="267"/>
      <c r="FRN341" s="184"/>
      <c r="FRO341" s="184"/>
      <c r="FRP341" s="185"/>
      <c r="FRQ341" s="184"/>
      <c r="FRR341" s="184"/>
      <c r="FRS341" s="184"/>
      <c r="FRT341" s="187"/>
      <c r="FRU341" s="188"/>
      <c r="FRW341" s="182"/>
      <c r="FRX341" s="183"/>
      <c r="FSE341" s="267"/>
      <c r="FSF341" s="269"/>
      <c r="FSG341" s="267"/>
      <c r="FSH341" s="184"/>
      <c r="FSI341" s="184"/>
      <c r="FSJ341" s="185"/>
      <c r="FSK341" s="184"/>
      <c r="FSL341" s="184"/>
      <c r="FSM341" s="184"/>
      <c r="FSN341" s="187"/>
      <c r="FSO341" s="188"/>
      <c r="FSQ341" s="182"/>
      <c r="FSR341" s="183"/>
      <c r="FSY341" s="267"/>
      <c r="FSZ341" s="269"/>
      <c r="FTA341" s="267"/>
      <c r="FTB341" s="184"/>
      <c r="FTC341" s="184"/>
      <c r="FTD341" s="185"/>
      <c r="FTE341" s="184"/>
      <c r="FTF341" s="184"/>
      <c r="FTG341" s="184"/>
      <c r="FTH341" s="187"/>
      <c r="FTI341" s="188"/>
      <c r="FTK341" s="182"/>
      <c r="FTL341" s="183"/>
      <c r="FTS341" s="267"/>
      <c r="FTT341" s="269"/>
      <c r="FTU341" s="267"/>
      <c r="FTV341" s="184"/>
      <c r="FTW341" s="184"/>
      <c r="FTX341" s="185"/>
      <c r="FTY341" s="184"/>
      <c r="FTZ341" s="184"/>
      <c r="FUA341" s="184"/>
      <c r="FUB341" s="187"/>
      <c r="FUC341" s="188"/>
      <c r="FUE341" s="182"/>
      <c r="FUF341" s="183"/>
      <c r="FUM341" s="267"/>
      <c r="FUN341" s="269"/>
      <c r="FUO341" s="267"/>
      <c r="FUP341" s="184"/>
      <c r="FUQ341" s="184"/>
      <c r="FUR341" s="185"/>
      <c r="FUS341" s="184"/>
      <c r="FUT341" s="184"/>
      <c r="FUU341" s="184"/>
      <c r="FUV341" s="187"/>
      <c r="FUW341" s="188"/>
      <c r="FUY341" s="182"/>
      <c r="FUZ341" s="183"/>
      <c r="FVG341" s="267"/>
      <c r="FVH341" s="269"/>
      <c r="FVI341" s="267"/>
      <c r="FVJ341" s="184"/>
      <c r="FVK341" s="184"/>
      <c r="FVL341" s="185"/>
      <c r="FVM341" s="184"/>
      <c r="FVN341" s="184"/>
      <c r="FVO341" s="184"/>
      <c r="FVP341" s="187"/>
      <c r="FVQ341" s="188"/>
      <c r="FVS341" s="182"/>
      <c r="FVT341" s="183"/>
      <c r="FWA341" s="267"/>
      <c r="FWB341" s="269"/>
      <c r="FWC341" s="267"/>
      <c r="FWD341" s="184"/>
      <c r="FWE341" s="184"/>
      <c r="FWF341" s="185"/>
      <c r="FWG341" s="184"/>
      <c r="FWH341" s="184"/>
      <c r="FWI341" s="184"/>
      <c r="FWJ341" s="187"/>
      <c r="FWK341" s="188"/>
      <c r="FWM341" s="182"/>
      <c r="FWN341" s="183"/>
      <c r="FWU341" s="267"/>
      <c r="FWV341" s="269"/>
      <c r="FWW341" s="267"/>
      <c r="FWX341" s="184"/>
      <c r="FWY341" s="184"/>
      <c r="FWZ341" s="185"/>
      <c r="FXA341" s="184"/>
      <c r="FXB341" s="184"/>
      <c r="FXC341" s="184"/>
      <c r="FXD341" s="187"/>
      <c r="FXE341" s="188"/>
      <c r="FXG341" s="182"/>
      <c r="FXH341" s="183"/>
      <c r="FXO341" s="267"/>
      <c r="FXP341" s="269"/>
      <c r="FXQ341" s="267"/>
      <c r="FXR341" s="184"/>
      <c r="FXS341" s="184"/>
      <c r="FXT341" s="185"/>
      <c r="FXU341" s="184"/>
      <c r="FXV341" s="184"/>
      <c r="FXW341" s="184"/>
      <c r="FXX341" s="187"/>
      <c r="FXY341" s="188"/>
      <c r="FYA341" s="182"/>
      <c r="FYB341" s="183"/>
      <c r="FYI341" s="267"/>
      <c r="FYJ341" s="269"/>
      <c r="FYK341" s="267"/>
      <c r="FYL341" s="184"/>
      <c r="FYM341" s="184"/>
      <c r="FYN341" s="185"/>
      <c r="FYO341" s="184"/>
      <c r="FYP341" s="184"/>
      <c r="FYQ341" s="184"/>
      <c r="FYR341" s="187"/>
      <c r="FYS341" s="188"/>
      <c r="FYU341" s="182"/>
      <c r="FYV341" s="183"/>
      <c r="FZC341" s="267"/>
      <c r="FZD341" s="269"/>
      <c r="FZE341" s="267"/>
      <c r="FZF341" s="184"/>
      <c r="FZG341" s="184"/>
      <c r="FZH341" s="185"/>
      <c r="FZI341" s="184"/>
      <c r="FZJ341" s="184"/>
      <c r="FZK341" s="184"/>
      <c r="FZL341" s="187"/>
      <c r="FZM341" s="188"/>
      <c r="FZO341" s="182"/>
      <c r="FZP341" s="183"/>
      <c r="FZW341" s="267"/>
      <c r="FZX341" s="269"/>
      <c r="FZY341" s="267"/>
      <c r="FZZ341" s="184"/>
      <c r="GAA341" s="184"/>
      <c r="GAB341" s="185"/>
      <c r="GAC341" s="184"/>
      <c r="GAD341" s="184"/>
      <c r="GAE341" s="184"/>
      <c r="GAF341" s="187"/>
      <c r="GAG341" s="188"/>
      <c r="GAI341" s="182"/>
      <c r="GAJ341" s="183"/>
      <c r="GAQ341" s="267"/>
      <c r="GAR341" s="269"/>
      <c r="GAS341" s="267"/>
      <c r="GAT341" s="184"/>
      <c r="GAU341" s="184"/>
      <c r="GAV341" s="185"/>
      <c r="GAW341" s="184"/>
      <c r="GAX341" s="184"/>
      <c r="GAY341" s="184"/>
      <c r="GAZ341" s="187"/>
      <c r="GBA341" s="188"/>
      <c r="GBC341" s="182"/>
      <c r="GBD341" s="183"/>
      <c r="GBK341" s="267"/>
      <c r="GBL341" s="269"/>
      <c r="GBM341" s="267"/>
      <c r="GBN341" s="184"/>
      <c r="GBO341" s="184"/>
      <c r="GBP341" s="185"/>
      <c r="GBQ341" s="184"/>
      <c r="GBR341" s="184"/>
      <c r="GBS341" s="184"/>
      <c r="GBT341" s="187"/>
      <c r="GBU341" s="188"/>
      <c r="GBW341" s="182"/>
      <c r="GBX341" s="183"/>
      <c r="GCE341" s="267"/>
      <c r="GCF341" s="269"/>
      <c r="GCG341" s="267"/>
      <c r="GCH341" s="184"/>
      <c r="GCI341" s="184"/>
      <c r="GCJ341" s="185"/>
      <c r="GCK341" s="184"/>
      <c r="GCL341" s="184"/>
      <c r="GCM341" s="184"/>
      <c r="GCN341" s="187"/>
      <c r="GCO341" s="188"/>
      <c r="GCQ341" s="182"/>
      <c r="GCR341" s="183"/>
      <c r="GCY341" s="267"/>
      <c r="GCZ341" s="269"/>
      <c r="GDA341" s="267"/>
      <c r="GDB341" s="184"/>
      <c r="GDC341" s="184"/>
      <c r="GDD341" s="185"/>
      <c r="GDE341" s="184"/>
      <c r="GDF341" s="184"/>
      <c r="GDG341" s="184"/>
      <c r="GDH341" s="187"/>
      <c r="GDI341" s="188"/>
      <c r="GDK341" s="182"/>
      <c r="GDL341" s="183"/>
      <c r="GDS341" s="267"/>
      <c r="GDT341" s="269"/>
      <c r="GDU341" s="267"/>
      <c r="GDV341" s="184"/>
      <c r="GDW341" s="184"/>
      <c r="GDX341" s="185"/>
      <c r="GDY341" s="184"/>
      <c r="GDZ341" s="184"/>
      <c r="GEA341" s="184"/>
      <c r="GEB341" s="187"/>
      <c r="GEC341" s="188"/>
      <c r="GEE341" s="182"/>
      <c r="GEF341" s="183"/>
      <c r="GEM341" s="267"/>
      <c r="GEN341" s="269"/>
      <c r="GEO341" s="267"/>
      <c r="GEP341" s="184"/>
      <c r="GEQ341" s="184"/>
      <c r="GER341" s="185"/>
      <c r="GES341" s="184"/>
      <c r="GET341" s="184"/>
      <c r="GEU341" s="184"/>
      <c r="GEV341" s="187"/>
      <c r="GEW341" s="188"/>
      <c r="GEY341" s="182"/>
      <c r="GEZ341" s="183"/>
      <c r="GFG341" s="267"/>
      <c r="GFH341" s="269"/>
      <c r="GFI341" s="267"/>
      <c r="GFJ341" s="184"/>
      <c r="GFK341" s="184"/>
      <c r="GFL341" s="185"/>
      <c r="GFM341" s="184"/>
      <c r="GFN341" s="184"/>
      <c r="GFO341" s="184"/>
      <c r="GFP341" s="187"/>
      <c r="GFQ341" s="188"/>
      <c r="GFS341" s="182"/>
      <c r="GFT341" s="183"/>
      <c r="GGA341" s="267"/>
      <c r="GGB341" s="269"/>
      <c r="GGC341" s="267"/>
      <c r="GGD341" s="184"/>
      <c r="GGE341" s="184"/>
      <c r="GGF341" s="185"/>
      <c r="GGG341" s="184"/>
      <c r="GGH341" s="184"/>
      <c r="GGI341" s="184"/>
      <c r="GGJ341" s="187"/>
      <c r="GGK341" s="188"/>
      <c r="GGM341" s="182"/>
      <c r="GGN341" s="183"/>
      <c r="GGU341" s="267"/>
      <c r="GGV341" s="269"/>
      <c r="GGW341" s="267"/>
      <c r="GGX341" s="184"/>
      <c r="GGY341" s="184"/>
      <c r="GGZ341" s="185"/>
      <c r="GHA341" s="184"/>
      <c r="GHB341" s="184"/>
      <c r="GHC341" s="184"/>
      <c r="GHD341" s="187"/>
      <c r="GHE341" s="188"/>
      <c r="GHG341" s="182"/>
      <c r="GHH341" s="183"/>
      <c r="GHO341" s="267"/>
      <c r="GHP341" s="269"/>
      <c r="GHQ341" s="267"/>
      <c r="GHR341" s="184"/>
      <c r="GHS341" s="184"/>
      <c r="GHT341" s="185"/>
      <c r="GHU341" s="184"/>
      <c r="GHV341" s="184"/>
      <c r="GHW341" s="184"/>
      <c r="GHX341" s="187"/>
      <c r="GHY341" s="188"/>
      <c r="GIA341" s="182"/>
      <c r="GIB341" s="183"/>
      <c r="GII341" s="267"/>
      <c r="GIJ341" s="269"/>
      <c r="GIK341" s="267"/>
      <c r="GIL341" s="184"/>
      <c r="GIM341" s="184"/>
      <c r="GIN341" s="185"/>
      <c r="GIO341" s="184"/>
      <c r="GIP341" s="184"/>
      <c r="GIQ341" s="184"/>
      <c r="GIR341" s="187"/>
      <c r="GIS341" s="188"/>
      <c r="GIU341" s="182"/>
      <c r="GIV341" s="183"/>
      <c r="GJC341" s="267"/>
      <c r="GJD341" s="269"/>
      <c r="GJE341" s="267"/>
      <c r="GJF341" s="184"/>
      <c r="GJG341" s="184"/>
      <c r="GJH341" s="185"/>
      <c r="GJI341" s="184"/>
      <c r="GJJ341" s="184"/>
      <c r="GJK341" s="184"/>
      <c r="GJL341" s="187"/>
      <c r="GJM341" s="188"/>
      <c r="GJO341" s="182"/>
      <c r="GJP341" s="183"/>
      <c r="GJW341" s="267"/>
      <c r="GJX341" s="269"/>
      <c r="GJY341" s="267"/>
      <c r="GJZ341" s="184"/>
      <c r="GKA341" s="184"/>
      <c r="GKB341" s="185"/>
      <c r="GKC341" s="184"/>
      <c r="GKD341" s="184"/>
      <c r="GKE341" s="184"/>
      <c r="GKF341" s="187"/>
      <c r="GKG341" s="188"/>
      <c r="GKI341" s="182"/>
      <c r="GKJ341" s="183"/>
      <c r="GKQ341" s="267"/>
      <c r="GKR341" s="269"/>
      <c r="GKS341" s="267"/>
      <c r="GKT341" s="184"/>
      <c r="GKU341" s="184"/>
      <c r="GKV341" s="185"/>
      <c r="GKW341" s="184"/>
      <c r="GKX341" s="184"/>
      <c r="GKY341" s="184"/>
      <c r="GKZ341" s="187"/>
      <c r="GLA341" s="188"/>
      <c r="GLC341" s="182"/>
      <c r="GLD341" s="183"/>
      <c r="GLK341" s="267"/>
      <c r="GLL341" s="269"/>
      <c r="GLM341" s="267"/>
      <c r="GLN341" s="184"/>
      <c r="GLO341" s="184"/>
      <c r="GLP341" s="185"/>
      <c r="GLQ341" s="184"/>
      <c r="GLR341" s="184"/>
      <c r="GLS341" s="184"/>
      <c r="GLT341" s="187"/>
      <c r="GLU341" s="188"/>
      <c r="GLW341" s="182"/>
      <c r="GLX341" s="183"/>
      <c r="GME341" s="267"/>
      <c r="GMF341" s="269"/>
      <c r="GMG341" s="267"/>
      <c r="GMH341" s="184"/>
      <c r="GMI341" s="184"/>
      <c r="GMJ341" s="185"/>
      <c r="GMK341" s="184"/>
      <c r="GML341" s="184"/>
      <c r="GMM341" s="184"/>
      <c r="GMN341" s="187"/>
      <c r="GMO341" s="188"/>
      <c r="GMQ341" s="182"/>
      <c r="GMR341" s="183"/>
      <c r="GMY341" s="267"/>
      <c r="GMZ341" s="269"/>
      <c r="GNA341" s="267"/>
      <c r="GNB341" s="184"/>
      <c r="GNC341" s="184"/>
      <c r="GND341" s="185"/>
      <c r="GNE341" s="184"/>
      <c r="GNF341" s="184"/>
      <c r="GNG341" s="184"/>
      <c r="GNH341" s="187"/>
      <c r="GNI341" s="188"/>
      <c r="GNK341" s="182"/>
      <c r="GNL341" s="183"/>
      <c r="GNS341" s="267"/>
      <c r="GNT341" s="269"/>
      <c r="GNU341" s="267"/>
      <c r="GNV341" s="184"/>
      <c r="GNW341" s="184"/>
      <c r="GNX341" s="185"/>
      <c r="GNY341" s="184"/>
      <c r="GNZ341" s="184"/>
      <c r="GOA341" s="184"/>
      <c r="GOB341" s="187"/>
      <c r="GOC341" s="188"/>
      <c r="GOE341" s="182"/>
      <c r="GOF341" s="183"/>
      <c r="GOM341" s="267"/>
      <c r="GON341" s="269"/>
      <c r="GOO341" s="267"/>
      <c r="GOP341" s="184"/>
      <c r="GOQ341" s="184"/>
      <c r="GOR341" s="185"/>
      <c r="GOS341" s="184"/>
      <c r="GOT341" s="184"/>
      <c r="GOU341" s="184"/>
      <c r="GOV341" s="187"/>
      <c r="GOW341" s="188"/>
      <c r="GOY341" s="182"/>
      <c r="GOZ341" s="183"/>
      <c r="GPG341" s="267"/>
      <c r="GPH341" s="269"/>
      <c r="GPI341" s="267"/>
      <c r="GPJ341" s="184"/>
      <c r="GPK341" s="184"/>
      <c r="GPL341" s="185"/>
      <c r="GPM341" s="184"/>
      <c r="GPN341" s="184"/>
      <c r="GPO341" s="184"/>
      <c r="GPP341" s="187"/>
      <c r="GPQ341" s="188"/>
      <c r="GPS341" s="182"/>
      <c r="GPT341" s="183"/>
      <c r="GQA341" s="267"/>
      <c r="GQB341" s="269"/>
      <c r="GQC341" s="267"/>
      <c r="GQD341" s="184"/>
      <c r="GQE341" s="184"/>
      <c r="GQF341" s="185"/>
      <c r="GQG341" s="184"/>
      <c r="GQH341" s="184"/>
      <c r="GQI341" s="184"/>
      <c r="GQJ341" s="187"/>
      <c r="GQK341" s="188"/>
      <c r="GQM341" s="182"/>
      <c r="GQN341" s="183"/>
      <c r="GQU341" s="267"/>
      <c r="GQV341" s="269"/>
      <c r="GQW341" s="267"/>
      <c r="GQX341" s="184"/>
      <c r="GQY341" s="184"/>
      <c r="GQZ341" s="185"/>
      <c r="GRA341" s="184"/>
      <c r="GRB341" s="184"/>
      <c r="GRC341" s="184"/>
      <c r="GRD341" s="187"/>
      <c r="GRE341" s="188"/>
      <c r="GRG341" s="182"/>
      <c r="GRH341" s="183"/>
      <c r="GRO341" s="267"/>
      <c r="GRP341" s="269"/>
      <c r="GRQ341" s="267"/>
      <c r="GRR341" s="184"/>
      <c r="GRS341" s="184"/>
      <c r="GRT341" s="185"/>
      <c r="GRU341" s="184"/>
      <c r="GRV341" s="184"/>
      <c r="GRW341" s="184"/>
      <c r="GRX341" s="187"/>
      <c r="GRY341" s="188"/>
      <c r="GSA341" s="182"/>
      <c r="GSB341" s="183"/>
      <c r="GSI341" s="267"/>
      <c r="GSJ341" s="269"/>
      <c r="GSK341" s="267"/>
      <c r="GSL341" s="184"/>
      <c r="GSM341" s="184"/>
      <c r="GSN341" s="185"/>
      <c r="GSO341" s="184"/>
      <c r="GSP341" s="184"/>
      <c r="GSQ341" s="184"/>
      <c r="GSR341" s="187"/>
      <c r="GSS341" s="188"/>
      <c r="GSU341" s="182"/>
      <c r="GSV341" s="183"/>
      <c r="GTC341" s="267"/>
      <c r="GTD341" s="269"/>
      <c r="GTE341" s="267"/>
      <c r="GTF341" s="184"/>
      <c r="GTG341" s="184"/>
      <c r="GTH341" s="185"/>
      <c r="GTI341" s="184"/>
      <c r="GTJ341" s="184"/>
      <c r="GTK341" s="184"/>
      <c r="GTL341" s="187"/>
      <c r="GTM341" s="188"/>
      <c r="GTO341" s="182"/>
      <c r="GTP341" s="183"/>
      <c r="GTW341" s="267"/>
      <c r="GTX341" s="269"/>
      <c r="GTY341" s="267"/>
      <c r="GTZ341" s="184"/>
      <c r="GUA341" s="184"/>
      <c r="GUB341" s="185"/>
      <c r="GUC341" s="184"/>
      <c r="GUD341" s="184"/>
      <c r="GUE341" s="184"/>
      <c r="GUF341" s="187"/>
      <c r="GUG341" s="188"/>
      <c r="GUI341" s="182"/>
      <c r="GUJ341" s="183"/>
      <c r="GUQ341" s="267"/>
      <c r="GUR341" s="269"/>
      <c r="GUS341" s="267"/>
      <c r="GUT341" s="184"/>
      <c r="GUU341" s="184"/>
      <c r="GUV341" s="185"/>
      <c r="GUW341" s="184"/>
      <c r="GUX341" s="184"/>
      <c r="GUY341" s="184"/>
      <c r="GUZ341" s="187"/>
      <c r="GVA341" s="188"/>
      <c r="GVC341" s="182"/>
      <c r="GVD341" s="183"/>
      <c r="GVK341" s="267"/>
      <c r="GVL341" s="269"/>
      <c r="GVM341" s="267"/>
      <c r="GVN341" s="184"/>
      <c r="GVO341" s="184"/>
      <c r="GVP341" s="185"/>
      <c r="GVQ341" s="184"/>
      <c r="GVR341" s="184"/>
      <c r="GVS341" s="184"/>
      <c r="GVT341" s="187"/>
      <c r="GVU341" s="188"/>
      <c r="GVW341" s="182"/>
      <c r="GVX341" s="183"/>
      <c r="GWE341" s="267"/>
      <c r="GWF341" s="269"/>
      <c r="GWG341" s="267"/>
      <c r="GWH341" s="184"/>
      <c r="GWI341" s="184"/>
      <c r="GWJ341" s="185"/>
      <c r="GWK341" s="184"/>
      <c r="GWL341" s="184"/>
      <c r="GWM341" s="184"/>
      <c r="GWN341" s="187"/>
      <c r="GWO341" s="188"/>
      <c r="GWQ341" s="182"/>
      <c r="GWR341" s="183"/>
      <c r="GWY341" s="267"/>
      <c r="GWZ341" s="269"/>
      <c r="GXA341" s="267"/>
      <c r="GXB341" s="184"/>
      <c r="GXC341" s="184"/>
      <c r="GXD341" s="185"/>
      <c r="GXE341" s="184"/>
      <c r="GXF341" s="184"/>
      <c r="GXG341" s="184"/>
      <c r="GXH341" s="187"/>
      <c r="GXI341" s="188"/>
      <c r="GXK341" s="182"/>
      <c r="GXL341" s="183"/>
      <c r="GXS341" s="267"/>
      <c r="GXT341" s="269"/>
      <c r="GXU341" s="267"/>
      <c r="GXV341" s="184"/>
      <c r="GXW341" s="184"/>
      <c r="GXX341" s="185"/>
      <c r="GXY341" s="184"/>
      <c r="GXZ341" s="184"/>
      <c r="GYA341" s="184"/>
      <c r="GYB341" s="187"/>
      <c r="GYC341" s="188"/>
      <c r="GYE341" s="182"/>
      <c r="GYF341" s="183"/>
      <c r="GYM341" s="267"/>
      <c r="GYN341" s="269"/>
      <c r="GYO341" s="267"/>
      <c r="GYP341" s="184"/>
      <c r="GYQ341" s="184"/>
      <c r="GYR341" s="185"/>
      <c r="GYS341" s="184"/>
      <c r="GYT341" s="184"/>
      <c r="GYU341" s="184"/>
      <c r="GYV341" s="187"/>
      <c r="GYW341" s="188"/>
      <c r="GYY341" s="182"/>
      <c r="GYZ341" s="183"/>
      <c r="GZG341" s="267"/>
      <c r="GZH341" s="269"/>
      <c r="GZI341" s="267"/>
      <c r="GZJ341" s="184"/>
      <c r="GZK341" s="184"/>
      <c r="GZL341" s="185"/>
      <c r="GZM341" s="184"/>
      <c r="GZN341" s="184"/>
      <c r="GZO341" s="184"/>
      <c r="GZP341" s="187"/>
      <c r="GZQ341" s="188"/>
      <c r="GZS341" s="182"/>
      <c r="GZT341" s="183"/>
      <c r="HAA341" s="267"/>
      <c r="HAB341" s="269"/>
      <c r="HAC341" s="267"/>
      <c r="HAD341" s="184"/>
      <c r="HAE341" s="184"/>
      <c r="HAF341" s="185"/>
      <c r="HAG341" s="184"/>
      <c r="HAH341" s="184"/>
      <c r="HAI341" s="184"/>
      <c r="HAJ341" s="187"/>
      <c r="HAK341" s="188"/>
      <c r="HAM341" s="182"/>
      <c r="HAN341" s="183"/>
      <c r="HAU341" s="267"/>
      <c r="HAV341" s="269"/>
      <c r="HAW341" s="267"/>
      <c r="HAX341" s="184"/>
      <c r="HAY341" s="184"/>
      <c r="HAZ341" s="185"/>
      <c r="HBA341" s="184"/>
      <c r="HBB341" s="184"/>
      <c r="HBC341" s="184"/>
      <c r="HBD341" s="187"/>
      <c r="HBE341" s="188"/>
      <c r="HBG341" s="182"/>
      <c r="HBH341" s="183"/>
      <c r="HBO341" s="267"/>
      <c r="HBP341" s="269"/>
      <c r="HBQ341" s="267"/>
      <c r="HBR341" s="184"/>
      <c r="HBS341" s="184"/>
      <c r="HBT341" s="185"/>
      <c r="HBU341" s="184"/>
      <c r="HBV341" s="184"/>
      <c r="HBW341" s="184"/>
      <c r="HBX341" s="187"/>
      <c r="HBY341" s="188"/>
      <c r="HCA341" s="182"/>
      <c r="HCB341" s="183"/>
      <c r="HCI341" s="267"/>
      <c r="HCJ341" s="269"/>
      <c r="HCK341" s="267"/>
      <c r="HCL341" s="184"/>
      <c r="HCM341" s="184"/>
      <c r="HCN341" s="185"/>
      <c r="HCO341" s="184"/>
      <c r="HCP341" s="184"/>
      <c r="HCQ341" s="184"/>
      <c r="HCR341" s="187"/>
      <c r="HCS341" s="188"/>
      <c r="HCU341" s="182"/>
      <c r="HCV341" s="183"/>
      <c r="HDC341" s="267"/>
      <c r="HDD341" s="269"/>
      <c r="HDE341" s="267"/>
      <c r="HDF341" s="184"/>
      <c r="HDG341" s="184"/>
      <c r="HDH341" s="185"/>
      <c r="HDI341" s="184"/>
      <c r="HDJ341" s="184"/>
      <c r="HDK341" s="184"/>
      <c r="HDL341" s="187"/>
      <c r="HDM341" s="188"/>
      <c r="HDO341" s="182"/>
      <c r="HDP341" s="183"/>
      <c r="HDW341" s="267"/>
      <c r="HDX341" s="269"/>
      <c r="HDY341" s="267"/>
      <c r="HDZ341" s="184"/>
      <c r="HEA341" s="184"/>
      <c r="HEB341" s="185"/>
      <c r="HEC341" s="184"/>
      <c r="HED341" s="184"/>
      <c r="HEE341" s="184"/>
      <c r="HEF341" s="187"/>
      <c r="HEG341" s="188"/>
      <c r="HEI341" s="182"/>
      <c r="HEJ341" s="183"/>
      <c r="HEQ341" s="267"/>
      <c r="HER341" s="269"/>
      <c r="HES341" s="267"/>
      <c r="HET341" s="184"/>
      <c r="HEU341" s="184"/>
      <c r="HEV341" s="185"/>
      <c r="HEW341" s="184"/>
      <c r="HEX341" s="184"/>
      <c r="HEY341" s="184"/>
      <c r="HEZ341" s="187"/>
      <c r="HFA341" s="188"/>
      <c r="HFC341" s="182"/>
      <c r="HFD341" s="183"/>
      <c r="HFK341" s="267"/>
      <c r="HFL341" s="269"/>
      <c r="HFM341" s="267"/>
      <c r="HFN341" s="184"/>
      <c r="HFO341" s="184"/>
      <c r="HFP341" s="185"/>
      <c r="HFQ341" s="184"/>
      <c r="HFR341" s="184"/>
      <c r="HFS341" s="184"/>
      <c r="HFT341" s="187"/>
      <c r="HFU341" s="188"/>
      <c r="HFW341" s="182"/>
      <c r="HFX341" s="183"/>
      <c r="HGE341" s="267"/>
      <c r="HGF341" s="269"/>
      <c r="HGG341" s="267"/>
      <c r="HGH341" s="184"/>
      <c r="HGI341" s="184"/>
      <c r="HGJ341" s="185"/>
      <c r="HGK341" s="184"/>
      <c r="HGL341" s="184"/>
      <c r="HGM341" s="184"/>
      <c r="HGN341" s="187"/>
      <c r="HGO341" s="188"/>
      <c r="HGQ341" s="182"/>
      <c r="HGR341" s="183"/>
      <c r="HGY341" s="267"/>
      <c r="HGZ341" s="269"/>
      <c r="HHA341" s="267"/>
      <c r="HHB341" s="184"/>
      <c r="HHC341" s="184"/>
      <c r="HHD341" s="185"/>
      <c r="HHE341" s="184"/>
      <c r="HHF341" s="184"/>
      <c r="HHG341" s="184"/>
      <c r="HHH341" s="187"/>
      <c r="HHI341" s="188"/>
      <c r="HHK341" s="182"/>
      <c r="HHL341" s="183"/>
      <c r="HHS341" s="267"/>
      <c r="HHT341" s="269"/>
      <c r="HHU341" s="267"/>
      <c r="HHV341" s="184"/>
      <c r="HHW341" s="184"/>
      <c r="HHX341" s="185"/>
      <c r="HHY341" s="184"/>
      <c r="HHZ341" s="184"/>
      <c r="HIA341" s="184"/>
      <c r="HIB341" s="187"/>
      <c r="HIC341" s="188"/>
      <c r="HIE341" s="182"/>
      <c r="HIF341" s="183"/>
      <c r="HIM341" s="267"/>
      <c r="HIN341" s="269"/>
      <c r="HIO341" s="267"/>
      <c r="HIP341" s="184"/>
      <c r="HIQ341" s="184"/>
      <c r="HIR341" s="185"/>
      <c r="HIS341" s="184"/>
      <c r="HIT341" s="184"/>
      <c r="HIU341" s="184"/>
      <c r="HIV341" s="187"/>
      <c r="HIW341" s="188"/>
      <c r="HIY341" s="182"/>
      <c r="HIZ341" s="183"/>
      <c r="HJG341" s="267"/>
      <c r="HJH341" s="269"/>
      <c r="HJI341" s="267"/>
      <c r="HJJ341" s="184"/>
      <c r="HJK341" s="184"/>
      <c r="HJL341" s="185"/>
      <c r="HJM341" s="184"/>
      <c r="HJN341" s="184"/>
      <c r="HJO341" s="184"/>
      <c r="HJP341" s="187"/>
      <c r="HJQ341" s="188"/>
      <c r="HJS341" s="182"/>
      <c r="HJT341" s="183"/>
      <c r="HKA341" s="267"/>
      <c r="HKB341" s="269"/>
      <c r="HKC341" s="267"/>
      <c r="HKD341" s="184"/>
      <c r="HKE341" s="184"/>
      <c r="HKF341" s="185"/>
      <c r="HKG341" s="184"/>
      <c r="HKH341" s="184"/>
      <c r="HKI341" s="184"/>
      <c r="HKJ341" s="187"/>
      <c r="HKK341" s="188"/>
      <c r="HKM341" s="182"/>
      <c r="HKN341" s="183"/>
      <c r="HKU341" s="267"/>
      <c r="HKV341" s="269"/>
      <c r="HKW341" s="267"/>
      <c r="HKX341" s="184"/>
      <c r="HKY341" s="184"/>
      <c r="HKZ341" s="185"/>
      <c r="HLA341" s="184"/>
      <c r="HLB341" s="184"/>
      <c r="HLC341" s="184"/>
      <c r="HLD341" s="187"/>
      <c r="HLE341" s="188"/>
      <c r="HLG341" s="182"/>
      <c r="HLH341" s="183"/>
      <c r="HLO341" s="267"/>
      <c r="HLP341" s="269"/>
      <c r="HLQ341" s="267"/>
      <c r="HLR341" s="184"/>
      <c r="HLS341" s="184"/>
      <c r="HLT341" s="185"/>
      <c r="HLU341" s="184"/>
      <c r="HLV341" s="184"/>
      <c r="HLW341" s="184"/>
      <c r="HLX341" s="187"/>
      <c r="HLY341" s="188"/>
      <c r="HMA341" s="182"/>
      <c r="HMB341" s="183"/>
      <c r="HMI341" s="267"/>
      <c r="HMJ341" s="269"/>
      <c r="HMK341" s="267"/>
      <c r="HML341" s="184"/>
      <c r="HMM341" s="184"/>
      <c r="HMN341" s="185"/>
      <c r="HMO341" s="184"/>
      <c r="HMP341" s="184"/>
      <c r="HMQ341" s="184"/>
      <c r="HMR341" s="187"/>
      <c r="HMS341" s="188"/>
      <c r="HMU341" s="182"/>
      <c r="HMV341" s="183"/>
      <c r="HNC341" s="267"/>
      <c r="HND341" s="269"/>
      <c r="HNE341" s="267"/>
      <c r="HNF341" s="184"/>
      <c r="HNG341" s="184"/>
      <c r="HNH341" s="185"/>
      <c r="HNI341" s="184"/>
      <c r="HNJ341" s="184"/>
      <c r="HNK341" s="184"/>
      <c r="HNL341" s="187"/>
      <c r="HNM341" s="188"/>
      <c r="HNO341" s="182"/>
      <c r="HNP341" s="183"/>
      <c r="HNW341" s="267"/>
      <c r="HNX341" s="269"/>
      <c r="HNY341" s="267"/>
      <c r="HNZ341" s="184"/>
      <c r="HOA341" s="184"/>
      <c r="HOB341" s="185"/>
      <c r="HOC341" s="184"/>
      <c r="HOD341" s="184"/>
      <c r="HOE341" s="184"/>
      <c r="HOF341" s="187"/>
      <c r="HOG341" s="188"/>
      <c r="HOI341" s="182"/>
      <c r="HOJ341" s="183"/>
      <c r="HOQ341" s="267"/>
      <c r="HOR341" s="269"/>
      <c r="HOS341" s="267"/>
      <c r="HOT341" s="184"/>
      <c r="HOU341" s="184"/>
      <c r="HOV341" s="185"/>
      <c r="HOW341" s="184"/>
      <c r="HOX341" s="184"/>
      <c r="HOY341" s="184"/>
      <c r="HOZ341" s="187"/>
      <c r="HPA341" s="188"/>
      <c r="HPC341" s="182"/>
      <c r="HPD341" s="183"/>
      <c r="HPK341" s="267"/>
      <c r="HPL341" s="269"/>
      <c r="HPM341" s="267"/>
      <c r="HPN341" s="184"/>
      <c r="HPO341" s="184"/>
      <c r="HPP341" s="185"/>
      <c r="HPQ341" s="184"/>
      <c r="HPR341" s="184"/>
      <c r="HPS341" s="184"/>
      <c r="HPT341" s="187"/>
      <c r="HPU341" s="188"/>
      <c r="HPW341" s="182"/>
      <c r="HPX341" s="183"/>
      <c r="HQE341" s="267"/>
      <c r="HQF341" s="269"/>
      <c r="HQG341" s="267"/>
      <c r="HQH341" s="184"/>
      <c r="HQI341" s="184"/>
      <c r="HQJ341" s="185"/>
      <c r="HQK341" s="184"/>
      <c r="HQL341" s="184"/>
      <c r="HQM341" s="184"/>
      <c r="HQN341" s="187"/>
      <c r="HQO341" s="188"/>
      <c r="HQQ341" s="182"/>
      <c r="HQR341" s="183"/>
      <c r="HQY341" s="267"/>
      <c r="HQZ341" s="269"/>
      <c r="HRA341" s="267"/>
      <c r="HRB341" s="184"/>
      <c r="HRC341" s="184"/>
      <c r="HRD341" s="185"/>
      <c r="HRE341" s="184"/>
      <c r="HRF341" s="184"/>
      <c r="HRG341" s="184"/>
      <c r="HRH341" s="187"/>
      <c r="HRI341" s="188"/>
      <c r="HRK341" s="182"/>
      <c r="HRL341" s="183"/>
      <c r="HRS341" s="267"/>
      <c r="HRT341" s="269"/>
      <c r="HRU341" s="267"/>
      <c r="HRV341" s="184"/>
      <c r="HRW341" s="184"/>
      <c r="HRX341" s="185"/>
      <c r="HRY341" s="184"/>
      <c r="HRZ341" s="184"/>
      <c r="HSA341" s="184"/>
      <c r="HSB341" s="187"/>
      <c r="HSC341" s="188"/>
      <c r="HSE341" s="182"/>
      <c r="HSF341" s="183"/>
      <c r="HSM341" s="267"/>
      <c r="HSN341" s="269"/>
      <c r="HSO341" s="267"/>
      <c r="HSP341" s="184"/>
      <c r="HSQ341" s="184"/>
      <c r="HSR341" s="185"/>
      <c r="HSS341" s="184"/>
      <c r="HST341" s="184"/>
      <c r="HSU341" s="184"/>
      <c r="HSV341" s="187"/>
      <c r="HSW341" s="188"/>
      <c r="HSY341" s="182"/>
      <c r="HSZ341" s="183"/>
      <c r="HTG341" s="267"/>
      <c r="HTH341" s="269"/>
      <c r="HTI341" s="267"/>
      <c r="HTJ341" s="184"/>
      <c r="HTK341" s="184"/>
      <c r="HTL341" s="185"/>
      <c r="HTM341" s="184"/>
      <c r="HTN341" s="184"/>
      <c r="HTO341" s="184"/>
      <c r="HTP341" s="187"/>
      <c r="HTQ341" s="188"/>
      <c r="HTS341" s="182"/>
      <c r="HTT341" s="183"/>
      <c r="HUA341" s="267"/>
      <c r="HUB341" s="269"/>
      <c r="HUC341" s="267"/>
      <c r="HUD341" s="184"/>
      <c r="HUE341" s="184"/>
      <c r="HUF341" s="185"/>
      <c r="HUG341" s="184"/>
      <c r="HUH341" s="184"/>
      <c r="HUI341" s="184"/>
      <c r="HUJ341" s="187"/>
      <c r="HUK341" s="188"/>
      <c r="HUM341" s="182"/>
      <c r="HUN341" s="183"/>
      <c r="HUU341" s="267"/>
      <c r="HUV341" s="269"/>
      <c r="HUW341" s="267"/>
      <c r="HUX341" s="184"/>
      <c r="HUY341" s="184"/>
      <c r="HUZ341" s="185"/>
      <c r="HVA341" s="184"/>
      <c r="HVB341" s="184"/>
      <c r="HVC341" s="184"/>
      <c r="HVD341" s="187"/>
      <c r="HVE341" s="188"/>
      <c r="HVG341" s="182"/>
      <c r="HVH341" s="183"/>
      <c r="HVO341" s="267"/>
      <c r="HVP341" s="269"/>
      <c r="HVQ341" s="267"/>
      <c r="HVR341" s="184"/>
      <c r="HVS341" s="184"/>
      <c r="HVT341" s="185"/>
      <c r="HVU341" s="184"/>
      <c r="HVV341" s="184"/>
      <c r="HVW341" s="184"/>
      <c r="HVX341" s="187"/>
      <c r="HVY341" s="188"/>
      <c r="HWA341" s="182"/>
      <c r="HWB341" s="183"/>
      <c r="HWI341" s="267"/>
      <c r="HWJ341" s="269"/>
      <c r="HWK341" s="267"/>
      <c r="HWL341" s="184"/>
      <c r="HWM341" s="184"/>
      <c r="HWN341" s="185"/>
      <c r="HWO341" s="184"/>
      <c r="HWP341" s="184"/>
      <c r="HWQ341" s="184"/>
      <c r="HWR341" s="187"/>
      <c r="HWS341" s="188"/>
      <c r="HWU341" s="182"/>
      <c r="HWV341" s="183"/>
      <c r="HXC341" s="267"/>
      <c r="HXD341" s="269"/>
      <c r="HXE341" s="267"/>
      <c r="HXF341" s="184"/>
      <c r="HXG341" s="184"/>
      <c r="HXH341" s="185"/>
      <c r="HXI341" s="184"/>
      <c r="HXJ341" s="184"/>
      <c r="HXK341" s="184"/>
      <c r="HXL341" s="187"/>
      <c r="HXM341" s="188"/>
      <c r="HXO341" s="182"/>
      <c r="HXP341" s="183"/>
      <c r="HXW341" s="267"/>
      <c r="HXX341" s="269"/>
      <c r="HXY341" s="267"/>
      <c r="HXZ341" s="184"/>
      <c r="HYA341" s="184"/>
      <c r="HYB341" s="185"/>
      <c r="HYC341" s="184"/>
      <c r="HYD341" s="184"/>
      <c r="HYE341" s="184"/>
      <c r="HYF341" s="187"/>
      <c r="HYG341" s="188"/>
      <c r="HYI341" s="182"/>
      <c r="HYJ341" s="183"/>
      <c r="HYQ341" s="267"/>
      <c r="HYR341" s="269"/>
      <c r="HYS341" s="267"/>
      <c r="HYT341" s="184"/>
      <c r="HYU341" s="184"/>
      <c r="HYV341" s="185"/>
      <c r="HYW341" s="184"/>
      <c r="HYX341" s="184"/>
      <c r="HYY341" s="184"/>
      <c r="HYZ341" s="187"/>
      <c r="HZA341" s="188"/>
      <c r="HZC341" s="182"/>
      <c r="HZD341" s="183"/>
      <c r="HZK341" s="267"/>
      <c r="HZL341" s="269"/>
      <c r="HZM341" s="267"/>
      <c r="HZN341" s="184"/>
      <c r="HZO341" s="184"/>
      <c r="HZP341" s="185"/>
      <c r="HZQ341" s="184"/>
      <c r="HZR341" s="184"/>
      <c r="HZS341" s="184"/>
      <c r="HZT341" s="187"/>
      <c r="HZU341" s="188"/>
      <c r="HZW341" s="182"/>
      <c r="HZX341" s="183"/>
      <c r="IAE341" s="267"/>
      <c r="IAF341" s="269"/>
      <c r="IAG341" s="267"/>
      <c r="IAH341" s="184"/>
      <c r="IAI341" s="184"/>
      <c r="IAJ341" s="185"/>
      <c r="IAK341" s="184"/>
      <c r="IAL341" s="184"/>
      <c r="IAM341" s="184"/>
      <c r="IAN341" s="187"/>
      <c r="IAO341" s="188"/>
      <c r="IAQ341" s="182"/>
      <c r="IAR341" s="183"/>
      <c r="IAY341" s="267"/>
      <c r="IAZ341" s="269"/>
      <c r="IBA341" s="267"/>
      <c r="IBB341" s="184"/>
      <c r="IBC341" s="184"/>
      <c r="IBD341" s="185"/>
      <c r="IBE341" s="184"/>
      <c r="IBF341" s="184"/>
      <c r="IBG341" s="184"/>
      <c r="IBH341" s="187"/>
      <c r="IBI341" s="188"/>
      <c r="IBK341" s="182"/>
      <c r="IBL341" s="183"/>
      <c r="IBS341" s="267"/>
      <c r="IBT341" s="269"/>
      <c r="IBU341" s="267"/>
      <c r="IBV341" s="184"/>
      <c r="IBW341" s="184"/>
      <c r="IBX341" s="185"/>
      <c r="IBY341" s="184"/>
      <c r="IBZ341" s="184"/>
      <c r="ICA341" s="184"/>
      <c r="ICB341" s="187"/>
      <c r="ICC341" s="188"/>
      <c r="ICE341" s="182"/>
      <c r="ICF341" s="183"/>
      <c r="ICM341" s="267"/>
      <c r="ICN341" s="269"/>
      <c r="ICO341" s="267"/>
      <c r="ICP341" s="184"/>
      <c r="ICQ341" s="184"/>
      <c r="ICR341" s="185"/>
      <c r="ICS341" s="184"/>
      <c r="ICT341" s="184"/>
      <c r="ICU341" s="184"/>
      <c r="ICV341" s="187"/>
      <c r="ICW341" s="188"/>
      <c r="ICY341" s="182"/>
      <c r="ICZ341" s="183"/>
      <c r="IDG341" s="267"/>
      <c r="IDH341" s="269"/>
      <c r="IDI341" s="267"/>
      <c r="IDJ341" s="184"/>
      <c r="IDK341" s="184"/>
      <c r="IDL341" s="185"/>
      <c r="IDM341" s="184"/>
      <c r="IDN341" s="184"/>
      <c r="IDO341" s="184"/>
      <c r="IDP341" s="187"/>
      <c r="IDQ341" s="188"/>
      <c r="IDS341" s="182"/>
      <c r="IDT341" s="183"/>
      <c r="IEA341" s="267"/>
      <c r="IEB341" s="269"/>
      <c r="IEC341" s="267"/>
      <c r="IED341" s="184"/>
      <c r="IEE341" s="184"/>
      <c r="IEF341" s="185"/>
      <c r="IEG341" s="184"/>
      <c r="IEH341" s="184"/>
      <c r="IEI341" s="184"/>
      <c r="IEJ341" s="187"/>
      <c r="IEK341" s="188"/>
      <c r="IEM341" s="182"/>
      <c r="IEN341" s="183"/>
      <c r="IEU341" s="267"/>
      <c r="IEV341" s="269"/>
      <c r="IEW341" s="267"/>
      <c r="IEX341" s="184"/>
      <c r="IEY341" s="184"/>
      <c r="IEZ341" s="185"/>
      <c r="IFA341" s="184"/>
      <c r="IFB341" s="184"/>
      <c r="IFC341" s="184"/>
      <c r="IFD341" s="187"/>
      <c r="IFE341" s="188"/>
      <c r="IFG341" s="182"/>
      <c r="IFH341" s="183"/>
      <c r="IFO341" s="267"/>
      <c r="IFP341" s="269"/>
      <c r="IFQ341" s="267"/>
      <c r="IFR341" s="184"/>
      <c r="IFS341" s="184"/>
      <c r="IFT341" s="185"/>
      <c r="IFU341" s="184"/>
      <c r="IFV341" s="184"/>
      <c r="IFW341" s="184"/>
      <c r="IFX341" s="187"/>
      <c r="IFY341" s="188"/>
      <c r="IGA341" s="182"/>
      <c r="IGB341" s="183"/>
      <c r="IGI341" s="267"/>
      <c r="IGJ341" s="269"/>
      <c r="IGK341" s="267"/>
      <c r="IGL341" s="184"/>
      <c r="IGM341" s="184"/>
      <c r="IGN341" s="185"/>
      <c r="IGO341" s="184"/>
      <c r="IGP341" s="184"/>
      <c r="IGQ341" s="184"/>
      <c r="IGR341" s="187"/>
      <c r="IGS341" s="188"/>
      <c r="IGU341" s="182"/>
      <c r="IGV341" s="183"/>
      <c r="IHC341" s="267"/>
      <c r="IHD341" s="269"/>
      <c r="IHE341" s="267"/>
      <c r="IHF341" s="184"/>
      <c r="IHG341" s="184"/>
      <c r="IHH341" s="185"/>
      <c r="IHI341" s="184"/>
      <c r="IHJ341" s="184"/>
      <c r="IHK341" s="184"/>
      <c r="IHL341" s="187"/>
      <c r="IHM341" s="188"/>
      <c r="IHO341" s="182"/>
      <c r="IHP341" s="183"/>
      <c r="IHW341" s="267"/>
      <c r="IHX341" s="269"/>
      <c r="IHY341" s="267"/>
      <c r="IHZ341" s="184"/>
      <c r="IIA341" s="184"/>
      <c r="IIB341" s="185"/>
      <c r="IIC341" s="184"/>
      <c r="IID341" s="184"/>
      <c r="IIE341" s="184"/>
      <c r="IIF341" s="187"/>
      <c r="IIG341" s="188"/>
      <c r="III341" s="182"/>
      <c r="IIJ341" s="183"/>
      <c r="IIQ341" s="267"/>
      <c r="IIR341" s="269"/>
      <c r="IIS341" s="267"/>
      <c r="IIT341" s="184"/>
      <c r="IIU341" s="184"/>
      <c r="IIV341" s="185"/>
      <c r="IIW341" s="184"/>
      <c r="IIX341" s="184"/>
      <c r="IIY341" s="184"/>
      <c r="IIZ341" s="187"/>
      <c r="IJA341" s="188"/>
      <c r="IJC341" s="182"/>
      <c r="IJD341" s="183"/>
      <c r="IJK341" s="267"/>
      <c r="IJL341" s="269"/>
      <c r="IJM341" s="267"/>
      <c r="IJN341" s="184"/>
      <c r="IJO341" s="184"/>
      <c r="IJP341" s="185"/>
      <c r="IJQ341" s="184"/>
      <c r="IJR341" s="184"/>
      <c r="IJS341" s="184"/>
      <c r="IJT341" s="187"/>
      <c r="IJU341" s="188"/>
      <c r="IJW341" s="182"/>
      <c r="IJX341" s="183"/>
      <c r="IKE341" s="267"/>
      <c r="IKF341" s="269"/>
      <c r="IKG341" s="267"/>
      <c r="IKH341" s="184"/>
      <c r="IKI341" s="184"/>
      <c r="IKJ341" s="185"/>
      <c r="IKK341" s="184"/>
      <c r="IKL341" s="184"/>
      <c r="IKM341" s="184"/>
      <c r="IKN341" s="187"/>
      <c r="IKO341" s="188"/>
      <c r="IKQ341" s="182"/>
      <c r="IKR341" s="183"/>
      <c r="IKY341" s="267"/>
      <c r="IKZ341" s="269"/>
      <c r="ILA341" s="267"/>
      <c r="ILB341" s="184"/>
      <c r="ILC341" s="184"/>
      <c r="ILD341" s="185"/>
      <c r="ILE341" s="184"/>
      <c r="ILF341" s="184"/>
      <c r="ILG341" s="184"/>
      <c r="ILH341" s="187"/>
      <c r="ILI341" s="188"/>
      <c r="ILK341" s="182"/>
      <c r="ILL341" s="183"/>
      <c r="ILS341" s="267"/>
      <c r="ILT341" s="269"/>
      <c r="ILU341" s="267"/>
      <c r="ILV341" s="184"/>
      <c r="ILW341" s="184"/>
      <c r="ILX341" s="185"/>
      <c r="ILY341" s="184"/>
      <c r="ILZ341" s="184"/>
      <c r="IMA341" s="184"/>
      <c r="IMB341" s="187"/>
      <c r="IMC341" s="188"/>
      <c r="IME341" s="182"/>
      <c r="IMF341" s="183"/>
      <c r="IMM341" s="267"/>
      <c r="IMN341" s="269"/>
      <c r="IMO341" s="267"/>
      <c r="IMP341" s="184"/>
      <c r="IMQ341" s="184"/>
      <c r="IMR341" s="185"/>
      <c r="IMS341" s="184"/>
      <c r="IMT341" s="184"/>
      <c r="IMU341" s="184"/>
      <c r="IMV341" s="187"/>
      <c r="IMW341" s="188"/>
      <c r="IMY341" s="182"/>
      <c r="IMZ341" s="183"/>
      <c r="ING341" s="267"/>
      <c r="INH341" s="269"/>
      <c r="INI341" s="267"/>
      <c r="INJ341" s="184"/>
      <c r="INK341" s="184"/>
      <c r="INL341" s="185"/>
      <c r="INM341" s="184"/>
      <c r="INN341" s="184"/>
      <c r="INO341" s="184"/>
      <c r="INP341" s="187"/>
      <c r="INQ341" s="188"/>
      <c r="INS341" s="182"/>
      <c r="INT341" s="183"/>
      <c r="IOA341" s="267"/>
      <c r="IOB341" s="269"/>
      <c r="IOC341" s="267"/>
      <c r="IOD341" s="184"/>
      <c r="IOE341" s="184"/>
      <c r="IOF341" s="185"/>
      <c r="IOG341" s="184"/>
      <c r="IOH341" s="184"/>
      <c r="IOI341" s="184"/>
      <c r="IOJ341" s="187"/>
      <c r="IOK341" s="188"/>
      <c r="IOM341" s="182"/>
      <c r="ION341" s="183"/>
      <c r="IOU341" s="267"/>
      <c r="IOV341" s="269"/>
      <c r="IOW341" s="267"/>
      <c r="IOX341" s="184"/>
      <c r="IOY341" s="184"/>
      <c r="IOZ341" s="185"/>
      <c r="IPA341" s="184"/>
      <c r="IPB341" s="184"/>
      <c r="IPC341" s="184"/>
      <c r="IPD341" s="187"/>
      <c r="IPE341" s="188"/>
      <c r="IPG341" s="182"/>
      <c r="IPH341" s="183"/>
      <c r="IPO341" s="267"/>
      <c r="IPP341" s="269"/>
      <c r="IPQ341" s="267"/>
      <c r="IPR341" s="184"/>
      <c r="IPS341" s="184"/>
      <c r="IPT341" s="185"/>
      <c r="IPU341" s="184"/>
      <c r="IPV341" s="184"/>
      <c r="IPW341" s="184"/>
      <c r="IPX341" s="187"/>
      <c r="IPY341" s="188"/>
      <c r="IQA341" s="182"/>
      <c r="IQB341" s="183"/>
      <c r="IQI341" s="267"/>
      <c r="IQJ341" s="269"/>
      <c r="IQK341" s="267"/>
      <c r="IQL341" s="184"/>
      <c r="IQM341" s="184"/>
      <c r="IQN341" s="185"/>
      <c r="IQO341" s="184"/>
      <c r="IQP341" s="184"/>
      <c r="IQQ341" s="184"/>
      <c r="IQR341" s="187"/>
      <c r="IQS341" s="188"/>
      <c r="IQU341" s="182"/>
      <c r="IQV341" s="183"/>
      <c r="IRC341" s="267"/>
      <c r="IRD341" s="269"/>
      <c r="IRE341" s="267"/>
      <c r="IRF341" s="184"/>
      <c r="IRG341" s="184"/>
      <c r="IRH341" s="185"/>
      <c r="IRI341" s="184"/>
      <c r="IRJ341" s="184"/>
      <c r="IRK341" s="184"/>
      <c r="IRL341" s="187"/>
      <c r="IRM341" s="188"/>
      <c r="IRO341" s="182"/>
      <c r="IRP341" s="183"/>
      <c r="IRW341" s="267"/>
      <c r="IRX341" s="269"/>
      <c r="IRY341" s="267"/>
      <c r="IRZ341" s="184"/>
      <c r="ISA341" s="184"/>
      <c r="ISB341" s="185"/>
      <c r="ISC341" s="184"/>
      <c r="ISD341" s="184"/>
      <c r="ISE341" s="184"/>
      <c r="ISF341" s="187"/>
      <c r="ISG341" s="188"/>
      <c r="ISI341" s="182"/>
      <c r="ISJ341" s="183"/>
      <c r="ISQ341" s="267"/>
      <c r="ISR341" s="269"/>
      <c r="ISS341" s="267"/>
      <c r="IST341" s="184"/>
      <c r="ISU341" s="184"/>
      <c r="ISV341" s="185"/>
      <c r="ISW341" s="184"/>
      <c r="ISX341" s="184"/>
      <c r="ISY341" s="184"/>
      <c r="ISZ341" s="187"/>
      <c r="ITA341" s="188"/>
      <c r="ITC341" s="182"/>
      <c r="ITD341" s="183"/>
      <c r="ITK341" s="267"/>
      <c r="ITL341" s="269"/>
      <c r="ITM341" s="267"/>
      <c r="ITN341" s="184"/>
      <c r="ITO341" s="184"/>
      <c r="ITP341" s="185"/>
      <c r="ITQ341" s="184"/>
      <c r="ITR341" s="184"/>
      <c r="ITS341" s="184"/>
      <c r="ITT341" s="187"/>
      <c r="ITU341" s="188"/>
      <c r="ITW341" s="182"/>
      <c r="ITX341" s="183"/>
      <c r="IUE341" s="267"/>
      <c r="IUF341" s="269"/>
      <c r="IUG341" s="267"/>
      <c r="IUH341" s="184"/>
      <c r="IUI341" s="184"/>
      <c r="IUJ341" s="185"/>
      <c r="IUK341" s="184"/>
      <c r="IUL341" s="184"/>
      <c r="IUM341" s="184"/>
      <c r="IUN341" s="187"/>
      <c r="IUO341" s="188"/>
      <c r="IUQ341" s="182"/>
      <c r="IUR341" s="183"/>
      <c r="IUY341" s="267"/>
      <c r="IUZ341" s="269"/>
      <c r="IVA341" s="267"/>
      <c r="IVB341" s="184"/>
      <c r="IVC341" s="184"/>
      <c r="IVD341" s="185"/>
      <c r="IVE341" s="184"/>
      <c r="IVF341" s="184"/>
      <c r="IVG341" s="184"/>
      <c r="IVH341" s="187"/>
      <c r="IVI341" s="188"/>
      <c r="IVK341" s="182"/>
      <c r="IVL341" s="183"/>
      <c r="IVS341" s="267"/>
      <c r="IVT341" s="269"/>
      <c r="IVU341" s="267"/>
      <c r="IVV341" s="184"/>
      <c r="IVW341" s="184"/>
      <c r="IVX341" s="185"/>
      <c r="IVY341" s="184"/>
      <c r="IVZ341" s="184"/>
      <c r="IWA341" s="184"/>
      <c r="IWB341" s="187"/>
      <c r="IWC341" s="188"/>
      <c r="IWE341" s="182"/>
      <c r="IWF341" s="183"/>
      <c r="IWM341" s="267"/>
      <c r="IWN341" s="269"/>
      <c r="IWO341" s="267"/>
      <c r="IWP341" s="184"/>
      <c r="IWQ341" s="184"/>
      <c r="IWR341" s="185"/>
      <c r="IWS341" s="184"/>
      <c r="IWT341" s="184"/>
      <c r="IWU341" s="184"/>
      <c r="IWV341" s="187"/>
      <c r="IWW341" s="188"/>
      <c r="IWY341" s="182"/>
      <c r="IWZ341" s="183"/>
      <c r="IXG341" s="267"/>
      <c r="IXH341" s="269"/>
      <c r="IXI341" s="267"/>
      <c r="IXJ341" s="184"/>
      <c r="IXK341" s="184"/>
      <c r="IXL341" s="185"/>
      <c r="IXM341" s="184"/>
      <c r="IXN341" s="184"/>
      <c r="IXO341" s="184"/>
      <c r="IXP341" s="187"/>
      <c r="IXQ341" s="188"/>
      <c r="IXS341" s="182"/>
      <c r="IXT341" s="183"/>
      <c r="IYA341" s="267"/>
      <c r="IYB341" s="269"/>
      <c r="IYC341" s="267"/>
      <c r="IYD341" s="184"/>
      <c r="IYE341" s="184"/>
      <c r="IYF341" s="185"/>
      <c r="IYG341" s="184"/>
      <c r="IYH341" s="184"/>
      <c r="IYI341" s="184"/>
      <c r="IYJ341" s="187"/>
      <c r="IYK341" s="188"/>
      <c r="IYM341" s="182"/>
      <c r="IYN341" s="183"/>
      <c r="IYU341" s="267"/>
      <c r="IYV341" s="269"/>
      <c r="IYW341" s="267"/>
      <c r="IYX341" s="184"/>
      <c r="IYY341" s="184"/>
      <c r="IYZ341" s="185"/>
      <c r="IZA341" s="184"/>
      <c r="IZB341" s="184"/>
      <c r="IZC341" s="184"/>
      <c r="IZD341" s="187"/>
      <c r="IZE341" s="188"/>
      <c r="IZG341" s="182"/>
      <c r="IZH341" s="183"/>
      <c r="IZO341" s="267"/>
      <c r="IZP341" s="269"/>
      <c r="IZQ341" s="267"/>
      <c r="IZR341" s="184"/>
      <c r="IZS341" s="184"/>
      <c r="IZT341" s="185"/>
      <c r="IZU341" s="184"/>
      <c r="IZV341" s="184"/>
      <c r="IZW341" s="184"/>
      <c r="IZX341" s="187"/>
      <c r="IZY341" s="188"/>
      <c r="JAA341" s="182"/>
      <c r="JAB341" s="183"/>
      <c r="JAI341" s="267"/>
      <c r="JAJ341" s="269"/>
      <c r="JAK341" s="267"/>
      <c r="JAL341" s="184"/>
      <c r="JAM341" s="184"/>
      <c r="JAN341" s="185"/>
      <c r="JAO341" s="184"/>
      <c r="JAP341" s="184"/>
      <c r="JAQ341" s="184"/>
      <c r="JAR341" s="187"/>
      <c r="JAS341" s="188"/>
      <c r="JAU341" s="182"/>
      <c r="JAV341" s="183"/>
      <c r="JBC341" s="267"/>
      <c r="JBD341" s="269"/>
      <c r="JBE341" s="267"/>
      <c r="JBF341" s="184"/>
      <c r="JBG341" s="184"/>
      <c r="JBH341" s="185"/>
      <c r="JBI341" s="184"/>
      <c r="JBJ341" s="184"/>
      <c r="JBK341" s="184"/>
      <c r="JBL341" s="187"/>
      <c r="JBM341" s="188"/>
      <c r="JBO341" s="182"/>
      <c r="JBP341" s="183"/>
      <c r="JBW341" s="267"/>
      <c r="JBX341" s="269"/>
      <c r="JBY341" s="267"/>
      <c r="JBZ341" s="184"/>
      <c r="JCA341" s="184"/>
      <c r="JCB341" s="185"/>
      <c r="JCC341" s="184"/>
      <c r="JCD341" s="184"/>
      <c r="JCE341" s="184"/>
      <c r="JCF341" s="187"/>
      <c r="JCG341" s="188"/>
      <c r="JCI341" s="182"/>
      <c r="JCJ341" s="183"/>
      <c r="JCQ341" s="267"/>
      <c r="JCR341" s="269"/>
      <c r="JCS341" s="267"/>
      <c r="JCT341" s="184"/>
      <c r="JCU341" s="184"/>
      <c r="JCV341" s="185"/>
      <c r="JCW341" s="184"/>
      <c r="JCX341" s="184"/>
      <c r="JCY341" s="184"/>
      <c r="JCZ341" s="187"/>
      <c r="JDA341" s="188"/>
      <c r="JDC341" s="182"/>
      <c r="JDD341" s="183"/>
      <c r="JDK341" s="267"/>
      <c r="JDL341" s="269"/>
      <c r="JDM341" s="267"/>
      <c r="JDN341" s="184"/>
      <c r="JDO341" s="184"/>
      <c r="JDP341" s="185"/>
      <c r="JDQ341" s="184"/>
      <c r="JDR341" s="184"/>
      <c r="JDS341" s="184"/>
      <c r="JDT341" s="187"/>
      <c r="JDU341" s="188"/>
      <c r="JDW341" s="182"/>
      <c r="JDX341" s="183"/>
      <c r="JEE341" s="267"/>
      <c r="JEF341" s="269"/>
      <c r="JEG341" s="267"/>
      <c r="JEH341" s="184"/>
      <c r="JEI341" s="184"/>
      <c r="JEJ341" s="185"/>
      <c r="JEK341" s="184"/>
      <c r="JEL341" s="184"/>
      <c r="JEM341" s="184"/>
      <c r="JEN341" s="187"/>
      <c r="JEO341" s="188"/>
      <c r="JEQ341" s="182"/>
      <c r="JER341" s="183"/>
      <c r="JEY341" s="267"/>
      <c r="JEZ341" s="269"/>
      <c r="JFA341" s="267"/>
      <c r="JFB341" s="184"/>
      <c r="JFC341" s="184"/>
      <c r="JFD341" s="185"/>
      <c r="JFE341" s="184"/>
      <c r="JFF341" s="184"/>
      <c r="JFG341" s="184"/>
      <c r="JFH341" s="187"/>
      <c r="JFI341" s="188"/>
      <c r="JFK341" s="182"/>
      <c r="JFL341" s="183"/>
      <c r="JFS341" s="267"/>
      <c r="JFT341" s="269"/>
      <c r="JFU341" s="267"/>
      <c r="JFV341" s="184"/>
      <c r="JFW341" s="184"/>
      <c r="JFX341" s="185"/>
      <c r="JFY341" s="184"/>
      <c r="JFZ341" s="184"/>
      <c r="JGA341" s="184"/>
      <c r="JGB341" s="187"/>
      <c r="JGC341" s="188"/>
      <c r="JGE341" s="182"/>
      <c r="JGF341" s="183"/>
      <c r="JGM341" s="267"/>
      <c r="JGN341" s="269"/>
      <c r="JGO341" s="267"/>
      <c r="JGP341" s="184"/>
      <c r="JGQ341" s="184"/>
      <c r="JGR341" s="185"/>
      <c r="JGS341" s="184"/>
      <c r="JGT341" s="184"/>
      <c r="JGU341" s="184"/>
      <c r="JGV341" s="187"/>
      <c r="JGW341" s="188"/>
      <c r="JGY341" s="182"/>
      <c r="JGZ341" s="183"/>
      <c r="JHG341" s="267"/>
      <c r="JHH341" s="269"/>
      <c r="JHI341" s="267"/>
      <c r="JHJ341" s="184"/>
      <c r="JHK341" s="184"/>
      <c r="JHL341" s="185"/>
      <c r="JHM341" s="184"/>
      <c r="JHN341" s="184"/>
      <c r="JHO341" s="184"/>
      <c r="JHP341" s="187"/>
      <c r="JHQ341" s="188"/>
      <c r="JHS341" s="182"/>
      <c r="JHT341" s="183"/>
      <c r="JIA341" s="267"/>
      <c r="JIB341" s="269"/>
      <c r="JIC341" s="267"/>
      <c r="JID341" s="184"/>
      <c r="JIE341" s="184"/>
      <c r="JIF341" s="185"/>
      <c r="JIG341" s="184"/>
      <c r="JIH341" s="184"/>
      <c r="JII341" s="184"/>
      <c r="JIJ341" s="187"/>
      <c r="JIK341" s="188"/>
      <c r="JIM341" s="182"/>
      <c r="JIN341" s="183"/>
      <c r="JIU341" s="267"/>
      <c r="JIV341" s="269"/>
      <c r="JIW341" s="267"/>
      <c r="JIX341" s="184"/>
      <c r="JIY341" s="184"/>
      <c r="JIZ341" s="185"/>
      <c r="JJA341" s="184"/>
      <c r="JJB341" s="184"/>
      <c r="JJC341" s="184"/>
      <c r="JJD341" s="187"/>
      <c r="JJE341" s="188"/>
      <c r="JJG341" s="182"/>
      <c r="JJH341" s="183"/>
      <c r="JJO341" s="267"/>
      <c r="JJP341" s="269"/>
      <c r="JJQ341" s="267"/>
      <c r="JJR341" s="184"/>
      <c r="JJS341" s="184"/>
      <c r="JJT341" s="185"/>
      <c r="JJU341" s="184"/>
      <c r="JJV341" s="184"/>
      <c r="JJW341" s="184"/>
      <c r="JJX341" s="187"/>
      <c r="JJY341" s="188"/>
      <c r="JKA341" s="182"/>
      <c r="JKB341" s="183"/>
      <c r="JKI341" s="267"/>
      <c r="JKJ341" s="269"/>
      <c r="JKK341" s="267"/>
      <c r="JKL341" s="184"/>
      <c r="JKM341" s="184"/>
      <c r="JKN341" s="185"/>
      <c r="JKO341" s="184"/>
      <c r="JKP341" s="184"/>
      <c r="JKQ341" s="184"/>
      <c r="JKR341" s="187"/>
      <c r="JKS341" s="188"/>
      <c r="JKU341" s="182"/>
      <c r="JKV341" s="183"/>
      <c r="JLC341" s="267"/>
      <c r="JLD341" s="269"/>
      <c r="JLE341" s="267"/>
      <c r="JLF341" s="184"/>
      <c r="JLG341" s="184"/>
      <c r="JLH341" s="185"/>
      <c r="JLI341" s="184"/>
      <c r="JLJ341" s="184"/>
      <c r="JLK341" s="184"/>
      <c r="JLL341" s="187"/>
      <c r="JLM341" s="188"/>
      <c r="JLO341" s="182"/>
      <c r="JLP341" s="183"/>
      <c r="JLW341" s="267"/>
      <c r="JLX341" s="269"/>
      <c r="JLY341" s="267"/>
      <c r="JLZ341" s="184"/>
      <c r="JMA341" s="184"/>
      <c r="JMB341" s="185"/>
      <c r="JMC341" s="184"/>
      <c r="JMD341" s="184"/>
      <c r="JME341" s="184"/>
      <c r="JMF341" s="187"/>
      <c r="JMG341" s="188"/>
      <c r="JMI341" s="182"/>
      <c r="JMJ341" s="183"/>
      <c r="JMQ341" s="267"/>
      <c r="JMR341" s="269"/>
      <c r="JMS341" s="267"/>
      <c r="JMT341" s="184"/>
      <c r="JMU341" s="184"/>
      <c r="JMV341" s="185"/>
      <c r="JMW341" s="184"/>
      <c r="JMX341" s="184"/>
      <c r="JMY341" s="184"/>
      <c r="JMZ341" s="187"/>
      <c r="JNA341" s="188"/>
      <c r="JNC341" s="182"/>
      <c r="JND341" s="183"/>
      <c r="JNK341" s="267"/>
      <c r="JNL341" s="269"/>
      <c r="JNM341" s="267"/>
      <c r="JNN341" s="184"/>
      <c r="JNO341" s="184"/>
      <c r="JNP341" s="185"/>
      <c r="JNQ341" s="184"/>
      <c r="JNR341" s="184"/>
      <c r="JNS341" s="184"/>
      <c r="JNT341" s="187"/>
      <c r="JNU341" s="188"/>
      <c r="JNW341" s="182"/>
      <c r="JNX341" s="183"/>
      <c r="JOE341" s="267"/>
      <c r="JOF341" s="269"/>
      <c r="JOG341" s="267"/>
      <c r="JOH341" s="184"/>
      <c r="JOI341" s="184"/>
      <c r="JOJ341" s="185"/>
      <c r="JOK341" s="184"/>
      <c r="JOL341" s="184"/>
      <c r="JOM341" s="184"/>
      <c r="JON341" s="187"/>
      <c r="JOO341" s="188"/>
      <c r="JOQ341" s="182"/>
      <c r="JOR341" s="183"/>
      <c r="JOY341" s="267"/>
      <c r="JOZ341" s="269"/>
      <c r="JPA341" s="267"/>
      <c r="JPB341" s="184"/>
      <c r="JPC341" s="184"/>
      <c r="JPD341" s="185"/>
      <c r="JPE341" s="184"/>
      <c r="JPF341" s="184"/>
      <c r="JPG341" s="184"/>
      <c r="JPH341" s="187"/>
      <c r="JPI341" s="188"/>
      <c r="JPK341" s="182"/>
      <c r="JPL341" s="183"/>
      <c r="JPS341" s="267"/>
      <c r="JPT341" s="269"/>
      <c r="JPU341" s="267"/>
      <c r="JPV341" s="184"/>
      <c r="JPW341" s="184"/>
      <c r="JPX341" s="185"/>
      <c r="JPY341" s="184"/>
      <c r="JPZ341" s="184"/>
      <c r="JQA341" s="184"/>
      <c r="JQB341" s="187"/>
      <c r="JQC341" s="188"/>
      <c r="JQE341" s="182"/>
      <c r="JQF341" s="183"/>
      <c r="JQM341" s="267"/>
      <c r="JQN341" s="269"/>
      <c r="JQO341" s="267"/>
      <c r="JQP341" s="184"/>
      <c r="JQQ341" s="184"/>
      <c r="JQR341" s="185"/>
      <c r="JQS341" s="184"/>
      <c r="JQT341" s="184"/>
      <c r="JQU341" s="184"/>
      <c r="JQV341" s="187"/>
      <c r="JQW341" s="188"/>
      <c r="JQY341" s="182"/>
      <c r="JQZ341" s="183"/>
      <c r="JRG341" s="267"/>
      <c r="JRH341" s="269"/>
      <c r="JRI341" s="267"/>
      <c r="JRJ341" s="184"/>
      <c r="JRK341" s="184"/>
      <c r="JRL341" s="185"/>
      <c r="JRM341" s="184"/>
      <c r="JRN341" s="184"/>
      <c r="JRO341" s="184"/>
      <c r="JRP341" s="187"/>
      <c r="JRQ341" s="188"/>
      <c r="JRS341" s="182"/>
      <c r="JRT341" s="183"/>
      <c r="JSA341" s="267"/>
      <c r="JSB341" s="269"/>
      <c r="JSC341" s="267"/>
      <c r="JSD341" s="184"/>
      <c r="JSE341" s="184"/>
      <c r="JSF341" s="185"/>
      <c r="JSG341" s="184"/>
      <c r="JSH341" s="184"/>
      <c r="JSI341" s="184"/>
      <c r="JSJ341" s="187"/>
      <c r="JSK341" s="188"/>
      <c r="JSM341" s="182"/>
      <c r="JSN341" s="183"/>
      <c r="JSU341" s="267"/>
      <c r="JSV341" s="269"/>
      <c r="JSW341" s="267"/>
      <c r="JSX341" s="184"/>
      <c r="JSY341" s="184"/>
      <c r="JSZ341" s="185"/>
      <c r="JTA341" s="184"/>
      <c r="JTB341" s="184"/>
      <c r="JTC341" s="184"/>
      <c r="JTD341" s="187"/>
      <c r="JTE341" s="188"/>
      <c r="JTG341" s="182"/>
      <c r="JTH341" s="183"/>
      <c r="JTO341" s="267"/>
      <c r="JTP341" s="269"/>
      <c r="JTQ341" s="267"/>
      <c r="JTR341" s="184"/>
      <c r="JTS341" s="184"/>
      <c r="JTT341" s="185"/>
      <c r="JTU341" s="184"/>
      <c r="JTV341" s="184"/>
      <c r="JTW341" s="184"/>
      <c r="JTX341" s="187"/>
      <c r="JTY341" s="188"/>
      <c r="JUA341" s="182"/>
      <c r="JUB341" s="183"/>
      <c r="JUI341" s="267"/>
      <c r="JUJ341" s="269"/>
      <c r="JUK341" s="267"/>
      <c r="JUL341" s="184"/>
      <c r="JUM341" s="184"/>
      <c r="JUN341" s="185"/>
      <c r="JUO341" s="184"/>
      <c r="JUP341" s="184"/>
      <c r="JUQ341" s="184"/>
      <c r="JUR341" s="187"/>
      <c r="JUS341" s="188"/>
      <c r="JUU341" s="182"/>
      <c r="JUV341" s="183"/>
      <c r="JVC341" s="267"/>
      <c r="JVD341" s="269"/>
      <c r="JVE341" s="267"/>
      <c r="JVF341" s="184"/>
      <c r="JVG341" s="184"/>
      <c r="JVH341" s="185"/>
      <c r="JVI341" s="184"/>
      <c r="JVJ341" s="184"/>
      <c r="JVK341" s="184"/>
      <c r="JVL341" s="187"/>
      <c r="JVM341" s="188"/>
      <c r="JVO341" s="182"/>
      <c r="JVP341" s="183"/>
      <c r="JVW341" s="267"/>
      <c r="JVX341" s="269"/>
      <c r="JVY341" s="267"/>
      <c r="JVZ341" s="184"/>
      <c r="JWA341" s="184"/>
      <c r="JWB341" s="185"/>
      <c r="JWC341" s="184"/>
      <c r="JWD341" s="184"/>
      <c r="JWE341" s="184"/>
      <c r="JWF341" s="187"/>
      <c r="JWG341" s="188"/>
      <c r="JWI341" s="182"/>
      <c r="JWJ341" s="183"/>
      <c r="JWQ341" s="267"/>
      <c r="JWR341" s="269"/>
      <c r="JWS341" s="267"/>
      <c r="JWT341" s="184"/>
      <c r="JWU341" s="184"/>
      <c r="JWV341" s="185"/>
      <c r="JWW341" s="184"/>
      <c r="JWX341" s="184"/>
      <c r="JWY341" s="184"/>
      <c r="JWZ341" s="187"/>
      <c r="JXA341" s="188"/>
      <c r="JXC341" s="182"/>
      <c r="JXD341" s="183"/>
      <c r="JXK341" s="267"/>
      <c r="JXL341" s="269"/>
      <c r="JXM341" s="267"/>
      <c r="JXN341" s="184"/>
      <c r="JXO341" s="184"/>
      <c r="JXP341" s="185"/>
      <c r="JXQ341" s="184"/>
      <c r="JXR341" s="184"/>
      <c r="JXS341" s="184"/>
      <c r="JXT341" s="187"/>
      <c r="JXU341" s="188"/>
      <c r="JXW341" s="182"/>
      <c r="JXX341" s="183"/>
      <c r="JYE341" s="267"/>
      <c r="JYF341" s="269"/>
      <c r="JYG341" s="267"/>
      <c r="JYH341" s="184"/>
      <c r="JYI341" s="184"/>
      <c r="JYJ341" s="185"/>
      <c r="JYK341" s="184"/>
      <c r="JYL341" s="184"/>
      <c r="JYM341" s="184"/>
      <c r="JYN341" s="187"/>
      <c r="JYO341" s="188"/>
      <c r="JYQ341" s="182"/>
      <c r="JYR341" s="183"/>
      <c r="JYY341" s="267"/>
      <c r="JYZ341" s="269"/>
      <c r="JZA341" s="267"/>
      <c r="JZB341" s="184"/>
      <c r="JZC341" s="184"/>
      <c r="JZD341" s="185"/>
      <c r="JZE341" s="184"/>
      <c r="JZF341" s="184"/>
      <c r="JZG341" s="184"/>
      <c r="JZH341" s="187"/>
      <c r="JZI341" s="188"/>
      <c r="JZK341" s="182"/>
      <c r="JZL341" s="183"/>
      <c r="JZS341" s="267"/>
      <c r="JZT341" s="269"/>
      <c r="JZU341" s="267"/>
      <c r="JZV341" s="184"/>
      <c r="JZW341" s="184"/>
      <c r="JZX341" s="185"/>
      <c r="JZY341" s="184"/>
      <c r="JZZ341" s="184"/>
      <c r="KAA341" s="184"/>
      <c r="KAB341" s="187"/>
      <c r="KAC341" s="188"/>
      <c r="KAE341" s="182"/>
      <c r="KAF341" s="183"/>
      <c r="KAM341" s="267"/>
      <c r="KAN341" s="269"/>
      <c r="KAO341" s="267"/>
      <c r="KAP341" s="184"/>
      <c r="KAQ341" s="184"/>
      <c r="KAR341" s="185"/>
      <c r="KAS341" s="184"/>
      <c r="KAT341" s="184"/>
      <c r="KAU341" s="184"/>
      <c r="KAV341" s="187"/>
      <c r="KAW341" s="188"/>
      <c r="KAY341" s="182"/>
      <c r="KAZ341" s="183"/>
      <c r="KBG341" s="267"/>
      <c r="KBH341" s="269"/>
      <c r="KBI341" s="267"/>
      <c r="KBJ341" s="184"/>
      <c r="KBK341" s="184"/>
      <c r="KBL341" s="185"/>
      <c r="KBM341" s="184"/>
      <c r="KBN341" s="184"/>
      <c r="KBO341" s="184"/>
      <c r="KBP341" s="187"/>
      <c r="KBQ341" s="188"/>
      <c r="KBS341" s="182"/>
      <c r="KBT341" s="183"/>
      <c r="KCA341" s="267"/>
      <c r="KCB341" s="269"/>
      <c r="KCC341" s="267"/>
      <c r="KCD341" s="184"/>
      <c r="KCE341" s="184"/>
      <c r="KCF341" s="185"/>
      <c r="KCG341" s="184"/>
      <c r="KCH341" s="184"/>
      <c r="KCI341" s="184"/>
      <c r="KCJ341" s="187"/>
      <c r="KCK341" s="188"/>
      <c r="KCM341" s="182"/>
      <c r="KCN341" s="183"/>
      <c r="KCU341" s="267"/>
      <c r="KCV341" s="269"/>
      <c r="KCW341" s="267"/>
      <c r="KCX341" s="184"/>
      <c r="KCY341" s="184"/>
      <c r="KCZ341" s="185"/>
      <c r="KDA341" s="184"/>
      <c r="KDB341" s="184"/>
      <c r="KDC341" s="184"/>
      <c r="KDD341" s="187"/>
      <c r="KDE341" s="188"/>
      <c r="KDG341" s="182"/>
      <c r="KDH341" s="183"/>
      <c r="KDO341" s="267"/>
      <c r="KDP341" s="269"/>
      <c r="KDQ341" s="267"/>
      <c r="KDR341" s="184"/>
      <c r="KDS341" s="184"/>
      <c r="KDT341" s="185"/>
      <c r="KDU341" s="184"/>
      <c r="KDV341" s="184"/>
      <c r="KDW341" s="184"/>
      <c r="KDX341" s="187"/>
      <c r="KDY341" s="188"/>
      <c r="KEA341" s="182"/>
      <c r="KEB341" s="183"/>
      <c r="KEI341" s="267"/>
      <c r="KEJ341" s="269"/>
      <c r="KEK341" s="267"/>
      <c r="KEL341" s="184"/>
      <c r="KEM341" s="184"/>
      <c r="KEN341" s="185"/>
      <c r="KEO341" s="184"/>
      <c r="KEP341" s="184"/>
      <c r="KEQ341" s="184"/>
      <c r="KER341" s="187"/>
      <c r="KES341" s="188"/>
      <c r="KEU341" s="182"/>
      <c r="KEV341" s="183"/>
      <c r="KFC341" s="267"/>
      <c r="KFD341" s="269"/>
      <c r="KFE341" s="267"/>
      <c r="KFF341" s="184"/>
      <c r="KFG341" s="184"/>
      <c r="KFH341" s="185"/>
      <c r="KFI341" s="184"/>
      <c r="KFJ341" s="184"/>
      <c r="KFK341" s="184"/>
      <c r="KFL341" s="187"/>
      <c r="KFM341" s="188"/>
      <c r="KFO341" s="182"/>
      <c r="KFP341" s="183"/>
      <c r="KFW341" s="267"/>
      <c r="KFX341" s="269"/>
      <c r="KFY341" s="267"/>
      <c r="KFZ341" s="184"/>
      <c r="KGA341" s="184"/>
      <c r="KGB341" s="185"/>
      <c r="KGC341" s="184"/>
      <c r="KGD341" s="184"/>
      <c r="KGE341" s="184"/>
      <c r="KGF341" s="187"/>
      <c r="KGG341" s="188"/>
      <c r="KGI341" s="182"/>
      <c r="KGJ341" s="183"/>
      <c r="KGQ341" s="267"/>
      <c r="KGR341" s="269"/>
      <c r="KGS341" s="267"/>
      <c r="KGT341" s="184"/>
      <c r="KGU341" s="184"/>
      <c r="KGV341" s="185"/>
      <c r="KGW341" s="184"/>
      <c r="KGX341" s="184"/>
      <c r="KGY341" s="184"/>
      <c r="KGZ341" s="187"/>
      <c r="KHA341" s="188"/>
      <c r="KHC341" s="182"/>
      <c r="KHD341" s="183"/>
      <c r="KHK341" s="267"/>
      <c r="KHL341" s="269"/>
      <c r="KHM341" s="267"/>
      <c r="KHN341" s="184"/>
      <c r="KHO341" s="184"/>
      <c r="KHP341" s="185"/>
      <c r="KHQ341" s="184"/>
      <c r="KHR341" s="184"/>
      <c r="KHS341" s="184"/>
      <c r="KHT341" s="187"/>
      <c r="KHU341" s="188"/>
      <c r="KHW341" s="182"/>
      <c r="KHX341" s="183"/>
      <c r="KIE341" s="267"/>
      <c r="KIF341" s="269"/>
      <c r="KIG341" s="267"/>
      <c r="KIH341" s="184"/>
      <c r="KII341" s="184"/>
      <c r="KIJ341" s="185"/>
      <c r="KIK341" s="184"/>
      <c r="KIL341" s="184"/>
      <c r="KIM341" s="184"/>
      <c r="KIN341" s="187"/>
      <c r="KIO341" s="188"/>
      <c r="KIQ341" s="182"/>
      <c r="KIR341" s="183"/>
      <c r="KIY341" s="267"/>
      <c r="KIZ341" s="269"/>
      <c r="KJA341" s="267"/>
      <c r="KJB341" s="184"/>
      <c r="KJC341" s="184"/>
      <c r="KJD341" s="185"/>
      <c r="KJE341" s="184"/>
      <c r="KJF341" s="184"/>
      <c r="KJG341" s="184"/>
      <c r="KJH341" s="187"/>
      <c r="KJI341" s="188"/>
      <c r="KJK341" s="182"/>
      <c r="KJL341" s="183"/>
      <c r="KJS341" s="267"/>
      <c r="KJT341" s="269"/>
      <c r="KJU341" s="267"/>
      <c r="KJV341" s="184"/>
      <c r="KJW341" s="184"/>
      <c r="KJX341" s="185"/>
      <c r="KJY341" s="184"/>
      <c r="KJZ341" s="184"/>
      <c r="KKA341" s="184"/>
      <c r="KKB341" s="187"/>
      <c r="KKC341" s="188"/>
      <c r="KKE341" s="182"/>
      <c r="KKF341" s="183"/>
      <c r="KKM341" s="267"/>
      <c r="KKN341" s="269"/>
      <c r="KKO341" s="267"/>
      <c r="KKP341" s="184"/>
      <c r="KKQ341" s="184"/>
      <c r="KKR341" s="185"/>
      <c r="KKS341" s="184"/>
      <c r="KKT341" s="184"/>
      <c r="KKU341" s="184"/>
      <c r="KKV341" s="187"/>
      <c r="KKW341" s="188"/>
      <c r="KKY341" s="182"/>
      <c r="KKZ341" s="183"/>
      <c r="KLG341" s="267"/>
      <c r="KLH341" s="269"/>
      <c r="KLI341" s="267"/>
      <c r="KLJ341" s="184"/>
      <c r="KLK341" s="184"/>
      <c r="KLL341" s="185"/>
      <c r="KLM341" s="184"/>
      <c r="KLN341" s="184"/>
      <c r="KLO341" s="184"/>
      <c r="KLP341" s="187"/>
      <c r="KLQ341" s="188"/>
      <c r="KLS341" s="182"/>
      <c r="KLT341" s="183"/>
      <c r="KMA341" s="267"/>
      <c r="KMB341" s="269"/>
      <c r="KMC341" s="267"/>
      <c r="KMD341" s="184"/>
      <c r="KME341" s="184"/>
      <c r="KMF341" s="185"/>
      <c r="KMG341" s="184"/>
      <c r="KMH341" s="184"/>
      <c r="KMI341" s="184"/>
      <c r="KMJ341" s="187"/>
      <c r="KMK341" s="188"/>
      <c r="KMM341" s="182"/>
      <c r="KMN341" s="183"/>
      <c r="KMU341" s="267"/>
      <c r="KMV341" s="269"/>
      <c r="KMW341" s="267"/>
      <c r="KMX341" s="184"/>
      <c r="KMY341" s="184"/>
      <c r="KMZ341" s="185"/>
      <c r="KNA341" s="184"/>
      <c r="KNB341" s="184"/>
      <c r="KNC341" s="184"/>
      <c r="KND341" s="187"/>
      <c r="KNE341" s="188"/>
      <c r="KNG341" s="182"/>
      <c r="KNH341" s="183"/>
      <c r="KNO341" s="267"/>
      <c r="KNP341" s="269"/>
      <c r="KNQ341" s="267"/>
      <c r="KNR341" s="184"/>
      <c r="KNS341" s="184"/>
      <c r="KNT341" s="185"/>
      <c r="KNU341" s="184"/>
      <c r="KNV341" s="184"/>
      <c r="KNW341" s="184"/>
      <c r="KNX341" s="187"/>
      <c r="KNY341" s="188"/>
      <c r="KOA341" s="182"/>
      <c r="KOB341" s="183"/>
      <c r="KOI341" s="267"/>
      <c r="KOJ341" s="269"/>
      <c r="KOK341" s="267"/>
      <c r="KOL341" s="184"/>
      <c r="KOM341" s="184"/>
      <c r="KON341" s="185"/>
      <c r="KOO341" s="184"/>
      <c r="KOP341" s="184"/>
      <c r="KOQ341" s="184"/>
      <c r="KOR341" s="187"/>
      <c r="KOS341" s="188"/>
      <c r="KOU341" s="182"/>
      <c r="KOV341" s="183"/>
      <c r="KPC341" s="267"/>
      <c r="KPD341" s="269"/>
      <c r="KPE341" s="267"/>
      <c r="KPF341" s="184"/>
      <c r="KPG341" s="184"/>
      <c r="KPH341" s="185"/>
      <c r="KPI341" s="184"/>
      <c r="KPJ341" s="184"/>
      <c r="KPK341" s="184"/>
      <c r="KPL341" s="187"/>
      <c r="KPM341" s="188"/>
      <c r="KPO341" s="182"/>
      <c r="KPP341" s="183"/>
      <c r="KPW341" s="267"/>
      <c r="KPX341" s="269"/>
      <c r="KPY341" s="267"/>
      <c r="KPZ341" s="184"/>
      <c r="KQA341" s="184"/>
      <c r="KQB341" s="185"/>
      <c r="KQC341" s="184"/>
      <c r="KQD341" s="184"/>
      <c r="KQE341" s="184"/>
      <c r="KQF341" s="187"/>
      <c r="KQG341" s="188"/>
      <c r="KQI341" s="182"/>
      <c r="KQJ341" s="183"/>
      <c r="KQQ341" s="267"/>
      <c r="KQR341" s="269"/>
      <c r="KQS341" s="267"/>
      <c r="KQT341" s="184"/>
      <c r="KQU341" s="184"/>
      <c r="KQV341" s="185"/>
      <c r="KQW341" s="184"/>
      <c r="KQX341" s="184"/>
      <c r="KQY341" s="184"/>
      <c r="KQZ341" s="187"/>
      <c r="KRA341" s="188"/>
      <c r="KRC341" s="182"/>
      <c r="KRD341" s="183"/>
      <c r="KRK341" s="267"/>
      <c r="KRL341" s="269"/>
      <c r="KRM341" s="267"/>
      <c r="KRN341" s="184"/>
      <c r="KRO341" s="184"/>
      <c r="KRP341" s="185"/>
      <c r="KRQ341" s="184"/>
      <c r="KRR341" s="184"/>
      <c r="KRS341" s="184"/>
      <c r="KRT341" s="187"/>
      <c r="KRU341" s="188"/>
      <c r="KRW341" s="182"/>
      <c r="KRX341" s="183"/>
      <c r="KSE341" s="267"/>
      <c r="KSF341" s="269"/>
      <c r="KSG341" s="267"/>
      <c r="KSH341" s="184"/>
      <c r="KSI341" s="184"/>
      <c r="KSJ341" s="185"/>
      <c r="KSK341" s="184"/>
      <c r="KSL341" s="184"/>
      <c r="KSM341" s="184"/>
      <c r="KSN341" s="187"/>
      <c r="KSO341" s="188"/>
      <c r="KSQ341" s="182"/>
      <c r="KSR341" s="183"/>
      <c r="KSY341" s="267"/>
      <c r="KSZ341" s="269"/>
      <c r="KTA341" s="267"/>
      <c r="KTB341" s="184"/>
      <c r="KTC341" s="184"/>
      <c r="KTD341" s="185"/>
      <c r="KTE341" s="184"/>
      <c r="KTF341" s="184"/>
      <c r="KTG341" s="184"/>
      <c r="KTH341" s="187"/>
      <c r="KTI341" s="188"/>
      <c r="KTK341" s="182"/>
      <c r="KTL341" s="183"/>
      <c r="KTS341" s="267"/>
      <c r="KTT341" s="269"/>
      <c r="KTU341" s="267"/>
      <c r="KTV341" s="184"/>
      <c r="KTW341" s="184"/>
      <c r="KTX341" s="185"/>
      <c r="KTY341" s="184"/>
      <c r="KTZ341" s="184"/>
      <c r="KUA341" s="184"/>
      <c r="KUB341" s="187"/>
      <c r="KUC341" s="188"/>
      <c r="KUE341" s="182"/>
      <c r="KUF341" s="183"/>
      <c r="KUM341" s="267"/>
      <c r="KUN341" s="269"/>
      <c r="KUO341" s="267"/>
      <c r="KUP341" s="184"/>
      <c r="KUQ341" s="184"/>
      <c r="KUR341" s="185"/>
      <c r="KUS341" s="184"/>
      <c r="KUT341" s="184"/>
      <c r="KUU341" s="184"/>
      <c r="KUV341" s="187"/>
      <c r="KUW341" s="188"/>
      <c r="KUY341" s="182"/>
      <c r="KUZ341" s="183"/>
      <c r="KVG341" s="267"/>
      <c r="KVH341" s="269"/>
      <c r="KVI341" s="267"/>
      <c r="KVJ341" s="184"/>
      <c r="KVK341" s="184"/>
      <c r="KVL341" s="185"/>
      <c r="KVM341" s="184"/>
      <c r="KVN341" s="184"/>
      <c r="KVO341" s="184"/>
      <c r="KVP341" s="187"/>
      <c r="KVQ341" s="188"/>
      <c r="KVS341" s="182"/>
      <c r="KVT341" s="183"/>
      <c r="KWA341" s="267"/>
      <c r="KWB341" s="269"/>
      <c r="KWC341" s="267"/>
      <c r="KWD341" s="184"/>
      <c r="KWE341" s="184"/>
      <c r="KWF341" s="185"/>
      <c r="KWG341" s="184"/>
      <c r="KWH341" s="184"/>
      <c r="KWI341" s="184"/>
      <c r="KWJ341" s="187"/>
      <c r="KWK341" s="188"/>
      <c r="KWM341" s="182"/>
      <c r="KWN341" s="183"/>
      <c r="KWU341" s="267"/>
      <c r="KWV341" s="269"/>
      <c r="KWW341" s="267"/>
      <c r="KWX341" s="184"/>
      <c r="KWY341" s="184"/>
      <c r="KWZ341" s="185"/>
      <c r="KXA341" s="184"/>
      <c r="KXB341" s="184"/>
      <c r="KXC341" s="184"/>
      <c r="KXD341" s="187"/>
      <c r="KXE341" s="188"/>
      <c r="KXG341" s="182"/>
      <c r="KXH341" s="183"/>
      <c r="KXO341" s="267"/>
      <c r="KXP341" s="269"/>
      <c r="KXQ341" s="267"/>
      <c r="KXR341" s="184"/>
      <c r="KXS341" s="184"/>
      <c r="KXT341" s="185"/>
      <c r="KXU341" s="184"/>
      <c r="KXV341" s="184"/>
      <c r="KXW341" s="184"/>
      <c r="KXX341" s="187"/>
      <c r="KXY341" s="188"/>
      <c r="KYA341" s="182"/>
      <c r="KYB341" s="183"/>
      <c r="KYI341" s="267"/>
      <c r="KYJ341" s="269"/>
      <c r="KYK341" s="267"/>
      <c r="KYL341" s="184"/>
      <c r="KYM341" s="184"/>
      <c r="KYN341" s="185"/>
      <c r="KYO341" s="184"/>
      <c r="KYP341" s="184"/>
      <c r="KYQ341" s="184"/>
      <c r="KYR341" s="187"/>
      <c r="KYS341" s="188"/>
      <c r="KYU341" s="182"/>
      <c r="KYV341" s="183"/>
      <c r="KZC341" s="267"/>
      <c r="KZD341" s="269"/>
      <c r="KZE341" s="267"/>
      <c r="KZF341" s="184"/>
      <c r="KZG341" s="184"/>
      <c r="KZH341" s="185"/>
      <c r="KZI341" s="184"/>
      <c r="KZJ341" s="184"/>
      <c r="KZK341" s="184"/>
      <c r="KZL341" s="187"/>
      <c r="KZM341" s="188"/>
      <c r="KZO341" s="182"/>
      <c r="KZP341" s="183"/>
      <c r="KZW341" s="267"/>
      <c r="KZX341" s="269"/>
      <c r="KZY341" s="267"/>
      <c r="KZZ341" s="184"/>
      <c r="LAA341" s="184"/>
      <c r="LAB341" s="185"/>
      <c r="LAC341" s="184"/>
      <c r="LAD341" s="184"/>
      <c r="LAE341" s="184"/>
      <c r="LAF341" s="187"/>
      <c r="LAG341" s="188"/>
      <c r="LAI341" s="182"/>
      <c r="LAJ341" s="183"/>
      <c r="LAQ341" s="267"/>
      <c r="LAR341" s="269"/>
      <c r="LAS341" s="267"/>
      <c r="LAT341" s="184"/>
      <c r="LAU341" s="184"/>
      <c r="LAV341" s="185"/>
      <c r="LAW341" s="184"/>
      <c r="LAX341" s="184"/>
      <c r="LAY341" s="184"/>
      <c r="LAZ341" s="187"/>
      <c r="LBA341" s="188"/>
      <c r="LBC341" s="182"/>
      <c r="LBD341" s="183"/>
      <c r="LBK341" s="267"/>
      <c r="LBL341" s="269"/>
      <c r="LBM341" s="267"/>
      <c r="LBN341" s="184"/>
      <c r="LBO341" s="184"/>
      <c r="LBP341" s="185"/>
      <c r="LBQ341" s="184"/>
      <c r="LBR341" s="184"/>
      <c r="LBS341" s="184"/>
      <c r="LBT341" s="187"/>
      <c r="LBU341" s="188"/>
      <c r="LBW341" s="182"/>
      <c r="LBX341" s="183"/>
      <c r="LCE341" s="267"/>
      <c r="LCF341" s="269"/>
      <c r="LCG341" s="267"/>
      <c r="LCH341" s="184"/>
      <c r="LCI341" s="184"/>
      <c r="LCJ341" s="185"/>
      <c r="LCK341" s="184"/>
      <c r="LCL341" s="184"/>
      <c r="LCM341" s="184"/>
      <c r="LCN341" s="187"/>
      <c r="LCO341" s="188"/>
      <c r="LCQ341" s="182"/>
      <c r="LCR341" s="183"/>
      <c r="LCY341" s="267"/>
      <c r="LCZ341" s="269"/>
      <c r="LDA341" s="267"/>
      <c r="LDB341" s="184"/>
      <c r="LDC341" s="184"/>
      <c r="LDD341" s="185"/>
      <c r="LDE341" s="184"/>
      <c r="LDF341" s="184"/>
      <c r="LDG341" s="184"/>
      <c r="LDH341" s="187"/>
      <c r="LDI341" s="188"/>
      <c r="LDK341" s="182"/>
      <c r="LDL341" s="183"/>
      <c r="LDS341" s="267"/>
      <c r="LDT341" s="269"/>
      <c r="LDU341" s="267"/>
      <c r="LDV341" s="184"/>
      <c r="LDW341" s="184"/>
      <c r="LDX341" s="185"/>
      <c r="LDY341" s="184"/>
      <c r="LDZ341" s="184"/>
      <c r="LEA341" s="184"/>
      <c r="LEB341" s="187"/>
      <c r="LEC341" s="188"/>
      <c r="LEE341" s="182"/>
      <c r="LEF341" s="183"/>
      <c r="LEM341" s="267"/>
      <c r="LEN341" s="269"/>
      <c r="LEO341" s="267"/>
      <c r="LEP341" s="184"/>
      <c r="LEQ341" s="184"/>
      <c r="LER341" s="185"/>
      <c r="LES341" s="184"/>
      <c r="LET341" s="184"/>
      <c r="LEU341" s="184"/>
      <c r="LEV341" s="187"/>
      <c r="LEW341" s="188"/>
      <c r="LEY341" s="182"/>
      <c r="LEZ341" s="183"/>
      <c r="LFG341" s="267"/>
      <c r="LFH341" s="269"/>
      <c r="LFI341" s="267"/>
      <c r="LFJ341" s="184"/>
      <c r="LFK341" s="184"/>
      <c r="LFL341" s="185"/>
      <c r="LFM341" s="184"/>
      <c r="LFN341" s="184"/>
      <c r="LFO341" s="184"/>
      <c r="LFP341" s="187"/>
      <c r="LFQ341" s="188"/>
      <c r="LFS341" s="182"/>
      <c r="LFT341" s="183"/>
      <c r="LGA341" s="267"/>
      <c r="LGB341" s="269"/>
      <c r="LGC341" s="267"/>
      <c r="LGD341" s="184"/>
      <c r="LGE341" s="184"/>
      <c r="LGF341" s="185"/>
      <c r="LGG341" s="184"/>
      <c r="LGH341" s="184"/>
      <c r="LGI341" s="184"/>
      <c r="LGJ341" s="187"/>
      <c r="LGK341" s="188"/>
      <c r="LGM341" s="182"/>
      <c r="LGN341" s="183"/>
      <c r="LGU341" s="267"/>
      <c r="LGV341" s="269"/>
      <c r="LGW341" s="267"/>
      <c r="LGX341" s="184"/>
      <c r="LGY341" s="184"/>
      <c r="LGZ341" s="185"/>
      <c r="LHA341" s="184"/>
      <c r="LHB341" s="184"/>
      <c r="LHC341" s="184"/>
      <c r="LHD341" s="187"/>
      <c r="LHE341" s="188"/>
      <c r="LHG341" s="182"/>
      <c r="LHH341" s="183"/>
      <c r="LHO341" s="267"/>
      <c r="LHP341" s="269"/>
      <c r="LHQ341" s="267"/>
      <c r="LHR341" s="184"/>
      <c r="LHS341" s="184"/>
      <c r="LHT341" s="185"/>
      <c r="LHU341" s="184"/>
      <c r="LHV341" s="184"/>
      <c r="LHW341" s="184"/>
      <c r="LHX341" s="187"/>
      <c r="LHY341" s="188"/>
      <c r="LIA341" s="182"/>
      <c r="LIB341" s="183"/>
      <c r="LII341" s="267"/>
      <c r="LIJ341" s="269"/>
      <c r="LIK341" s="267"/>
      <c r="LIL341" s="184"/>
      <c r="LIM341" s="184"/>
      <c r="LIN341" s="185"/>
      <c r="LIO341" s="184"/>
      <c r="LIP341" s="184"/>
      <c r="LIQ341" s="184"/>
      <c r="LIR341" s="187"/>
      <c r="LIS341" s="188"/>
      <c r="LIU341" s="182"/>
      <c r="LIV341" s="183"/>
      <c r="LJC341" s="267"/>
      <c r="LJD341" s="269"/>
      <c r="LJE341" s="267"/>
      <c r="LJF341" s="184"/>
      <c r="LJG341" s="184"/>
      <c r="LJH341" s="185"/>
      <c r="LJI341" s="184"/>
      <c r="LJJ341" s="184"/>
      <c r="LJK341" s="184"/>
      <c r="LJL341" s="187"/>
      <c r="LJM341" s="188"/>
      <c r="LJO341" s="182"/>
      <c r="LJP341" s="183"/>
      <c r="LJW341" s="267"/>
      <c r="LJX341" s="269"/>
      <c r="LJY341" s="267"/>
      <c r="LJZ341" s="184"/>
      <c r="LKA341" s="184"/>
      <c r="LKB341" s="185"/>
      <c r="LKC341" s="184"/>
      <c r="LKD341" s="184"/>
      <c r="LKE341" s="184"/>
      <c r="LKF341" s="187"/>
      <c r="LKG341" s="188"/>
      <c r="LKI341" s="182"/>
      <c r="LKJ341" s="183"/>
      <c r="LKQ341" s="267"/>
      <c r="LKR341" s="269"/>
      <c r="LKS341" s="267"/>
      <c r="LKT341" s="184"/>
      <c r="LKU341" s="184"/>
      <c r="LKV341" s="185"/>
      <c r="LKW341" s="184"/>
      <c r="LKX341" s="184"/>
      <c r="LKY341" s="184"/>
      <c r="LKZ341" s="187"/>
      <c r="LLA341" s="188"/>
      <c r="LLC341" s="182"/>
      <c r="LLD341" s="183"/>
      <c r="LLK341" s="267"/>
      <c r="LLL341" s="269"/>
      <c r="LLM341" s="267"/>
      <c r="LLN341" s="184"/>
      <c r="LLO341" s="184"/>
      <c r="LLP341" s="185"/>
      <c r="LLQ341" s="184"/>
      <c r="LLR341" s="184"/>
      <c r="LLS341" s="184"/>
      <c r="LLT341" s="187"/>
      <c r="LLU341" s="188"/>
      <c r="LLW341" s="182"/>
      <c r="LLX341" s="183"/>
      <c r="LME341" s="267"/>
      <c r="LMF341" s="269"/>
      <c r="LMG341" s="267"/>
      <c r="LMH341" s="184"/>
      <c r="LMI341" s="184"/>
      <c r="LMJ341" s="185"/>
      <c r="LMK341" s="184"/>
      <c r="LML341" s="184"/>
      <c r="LMM341" s="184"/>
      <c r="LMN341" s="187"/>
      <c r="LMO341" s="188"/>
      <c r="LMQ341" s="182"/>
      <c r="LMR341" s="183"/>
      <c r="LMY341" s="267"/>
      <c r="LMZ341" s="269"/>
      <c r="LNA341" s="267"/>
      <c r="LNB341" s="184"/>
      <c r="LNC341" s="184"/>
      <c r="LND341" s="185"/>
      <c r="LNE341" s="184"/>
      <c r="LNF341" s="184"/>
      <c r="LNG341" s="184"/>
      <c r="LNH341" s="187"/>
      <c r="LNI341" s="188"/>
      <c r="LNK341" s="182"/>
      <c r="LNL341" s="183"/>
      <c r="LNS341" s="267"/>
      <c r="LNT341" s="269"/>
      <c r="LNU341" s="267"/>
      <c r="LNV341" s="184"/>
      <c r="LNW341" s="184"/>
      <c r="LNX341" s="185"/>
      <c r="LNY341" s="184"/>
      <c r="LNZ341" s="184"/>
      <c r="LOA341" s="184"/>
      <c r="LOB341" s="187"/>
      <c r="LOC341" s="188"/>
      <c r="LOE341" s="182"/>
      <c r="LOF341" s="183"/>
      <c r="LOM341" s="267"/>
      <c r="LON341" s="269"/>
      <c r="LOO341" s="267"/>
      <c r="LOP341" s="184"/>
      <c r="LOQ341" s="184"/>
      <c r="LOR341" s="185"/>
      <c r="LOS341" s="184"/>
      <c r="LOT341" s="184"/>
      <c r="LOU341" s="184"/>
      <c r="LOV341" s="187"/>
      <c r="LOW341" s="188"/>
      <c r="LOY341" s="182"/>
      <c r="LOZ341" s="183"/>
      <c r="LPG341" s="267"/>
      <c r="LPH341" s="269"/>
      <c r="LPI341" s="267"/>
      <c r="LPJ341" s="184"/>
      <c r="LPK341" s="184"/>
      <c r="LPL341" s="185"/>
      <c r="LPM341" s="184"/>
      <c r="LPN341" s="184"/>
      <c r="LPO341" s="184"/>
      <c r="LPP341" s="187"/>
      <c r="LPQ341" s="188"/>
      <c r="LPS341" s="182"/>
      <c r="LPT341" s="183"/>
      <c r="LQA341" s="267"/>
      <c r="LQB341" s="269"/>
      <c r="LQC341" s="267"/>
      <c r="LQD341" s="184"/>
      <c r="LQE341" s="184"/>
      <c r="LQF341" s="185"/>
      <c r="LQG341" s="184"/>
      <c r="LQH341" s="184"/>
      <c r="LQI341" s="184"/>
      <c r="LQJ341" s="187"/>
      <c r="LQK341" s="188"/>
      <c r="LQM341" s="182"/>
      <c r="LQN341" s="183"/>
      <c r="LQU341" s="267"/>
      <c r="LQV341" s="269"/>
      <c r="LQW341" s="267"/>
      <c r="LQX341" s="184"/>
      <c r="LQY341" s="184"/>
      <c r="LQZ341" s="185"/>
      <c r="LRA341" s="184"/>
      <c r="LRB341" s="184"/>
      <c r="LRC341" s="184"/>
      <c r="LRD341" s="187"/>
      <c r="LRE341" s="188"/>
      <c r="LRG341" s="182"/>
      <c r="LRH341" s="183"/>
      <c r="LRO341" s="267"/>
      <c r="LRP341" s="269"/>
      <c r="LRQ341" s="267"/>
      <c r="LRR341" s="184"/>
      <c r="LRS341" s="184"/>
      <c r="LRT341" s="185"/>
      <c r="LRU341" s="184"/>
      <c r="LRV341" s="184"/>
      <c r="LRW341" s="184"/>
      <c r="LRX341" s="187"/>
      <c r="LRY341" s="188"/>
      <c r="LSA341" s="182"/>
      <c r="LSB341" s="183"/>
      <c r="LSI341" s="267"/>
      <c r="LSJ341" s="269"/>
      <c r="LSK341" s="267"/>
      <c r="LSL341" s="184"/>
      <c r="LSM341" s="184"/>
      <c r="LSN341" s="185"/>
      <c r="LSO341" s="184"/>
      <c r="LSP341" s="184"/>
      <c r="LSQ341" s="184"/>
      <c r="LSR341" s="187"/>
      <c r="LSS341" s="188"/>
      <c r="LSU341" s="182"/>
      <c r="LSV341" s="183"/>
      <c r="LTC341" s="267"/>
      <c r="LTD341" s="269"/>
      <c r="LTE341" s="267"/>
      <c r="LTF341" s="184"/>
      <c r="LTG341" s="184"/>
      <c r="LTH341" s="185"/>
      <c r="LTI341" s="184"/>
      <c r="LTJ341" s="184"/>
      <c r="LTK341" s="184"/>
      <c r="LTL341" s="187"/>
      <c r="LTM341" s="188"/>
      <c r="LTO341" s="182"/>
      <c r="LTP341" s="183"/>
      <c r="LTW341" s="267"/>
      <c r="LTX341" s="269"/>
      <c r="LTY341" s="267"/>
      <c r="LTZ341" s="184"/>
      <c r="LUA341" s="184"/>
      <c r="LUB341" s="185"/>
      <c r="LUC341" s="184"/>
      <c r="LUD341" s="184"/>
      <c r="LUE341" s="184"/>
      <c r="LUF341" s="187"/>
      <c r="LUG341" s="188"/>
      <c r="LUI341" s="182"/>
      <c r="LUJ341" s="183"/>
      <c r="LUQ341" s="267"/>
      <c r="LUR341" s="269"/>
      <c r="LUS341" s="267"/>
      <c r="LUT341" s="184"/>
      <c r="LUU341" s="184"/>
      <c r="LUV341" s="185"/>
      <c r="LUW341" s="184"/>
      <c r="LUX341" s="184"/>
      <c r="LUY341" s="184"/>
      <c r="LUZ341" s="187"/>
      <c r="LVA341" s="188"/>
      <c r="LVC341" s="182"/>
      <c r="LVD341" s="183"/>
      <c r="LVK341" s="267"/>
      <c r="LVL341" s="269"/>
      <c r="LVM341" s="267"/>
      <c r="LVN341" s="184"/>
      <c r="LVO341" s="184"/>
      <c r="LVP341" s="185"/>
      <c r="LVQ341" s="184"/>
      <c r="LVR341" s="184"/>
      <c r="LVS341" s="184"/>
      <c r="LVT341" s="187"/>
      <c r="LVU341" s="188"/>
      <c r="LVW341" s="182"/>
      <c r="LVX341" s="183"/>
      <c r="LWE341" s="267"/>
      <c r="LWF341" s="269"/>
      <c r="LWG341" s="267"/>
      <c r="LWH341" s="184"/>
      <c r="LWI341" s="184"/>
      <c r="LWJ341" s="185"/>
      <c r="LWK341" s="184"/>
      <c r="LWL341" s="184"/>
      <c r="LWM341" s="184"/>
      <c r="LWN341" s="187"/>
      <c r="LWO341" s="188"/>
      <c r="LWQ341" s="182"/>
      <c r="LWR341" s="183"/>
      <c r="LWY341" s="267"/>
      <c r="LWZ341" s="269"/>
      <c r="LXA341" s="267"/>
      <c r="LXB341" s="184"/>
      <c r="LXC341" s="184"/>
      <c r="LXD341" s="185"/>
      <c r="LXE341" s="184"/>
      <c r="LXF341" s="184"/>
      <c r="LXG341" s="184"/>
      <c r="LXH341" s="187"/>
      <c r="LXI341" s="188"/>
      <c r="LXK341" s="182"/>
      <c r="LXL341" s="183"/>
      <c r="LXS341" s="267"/>
      <c r="LXT341" s="269"/>
      <c r="LXU341" s="267"/>
      <c r="LXV341" s="184"/>
      <c r="LXW341" s="184"/>
      <c r="LXX341" s="185"/>
      <c r="LXY341" s="184"/>
      <c r="LXZ341" s="184"/>
      <c r="LYA341" s="184"/>
      <c r="LYB341" s="187"/>
      <c r="LYC341" s="188"/>
      <c r="LYE341" s="182"/>
      <c r="LYF341" s="183"/>
      <c r="LYM341" s="267"/>
      <c r="LYN341" s="269"/>
      <c r="LYO341" s="267"/>
      <c r="LYP341" s="184"/>
      <c r="LYQ341" s="184"/>
      <c r="LYR341" s="185"/>
      <c r="LYS341" s="184"/>
      <c r="LYT341" s="184"/>
      <c r="LYU341" s="184"/>
      <c r="LYV341" s="187"/>
      <c r="LYW341" s="188"/>
      <c r="LYY341" s="182"/>
      <c r="LYZ341" s="183"/>
      <c r="LZG341" s="267"/>
      <c r="LZH341" s="269"/>
      <c r="LZI341" s="267"/>
      <c r="LZJ341" s="184"/>
      <c r="LZK341" s="184"/>
      <c r="LZL341" s="185"/>
      <c r="LZM341" s="184"/>
      <c r="LZN341" s="184"/>
      <c r="LZO341" s="184"/>
      <c r="LZP341" s="187"/>
      <c r="LZQ341" s="188"/>
      <c r="LZS341" s="182"/>
      <c r="LZT341" s="183"/>
      <c r="MAA341" s="267"/>
      <c r="MAB341" s="269"/>
      <c r="MAC341" s="267"/>
      <c r="MAD341" s="184"/>
      <c r="MAE341" s="184"/>
      <c r="MAF341" s="185"/>
      <c r="MAG341" s="184"/>
      <c r="MAH341" s="184"/>
      <c r="MAI341" s="184"/>
      <c r="MAJ341" s="187"/>
      <c r="MAK341" s="188"/>
      <c r="MAM341" s="182"/>
      <c r="MAN341" s="183"/>
      <c r="MAU341" s="267"/>
      <c r="MAV341" s="269"/>
      <c r="MAW341" s="267"/>
      <c r="MAX341" s="184"/>
      <c r="MAY341" s="184"/>
      <c r="MAZ341" s="185"/>
      <c r="MBA341" s="184"/>
      <c r="MBB341" s="184"/>
      <c r="MBC341" s="184"/>
      <c r="MBD341" s="187"/>
      <c r="MBE341" s="188"/>
      <c r="MBG341" s="182"/>
      <c r="MBH341" s="183"/>
      <c r="MBO341" s="267"/>
      <c r="MBP341" s="269"/>
      <c r="MBQ341" s="267"/>
      <c r="MBR341" s="184"/>
      <c r="MBS341" s="184"/>
      <c r="MBT341" s="185"/>
      <c r="MBU341" s="184"/>
      <c r="MBV341" s="184"/>
      <c r="MBW341" s="184"/>
      <c r="MBX341" s="187"/>
      <c r="MBY341" s="188"/>
      <c r="MCA341" s="182"/>
      <c r="MCB341" s="183"/>
      <c r="MCI341" s="267"/>
      <c r="MCJ341" s="269"/>
      <c r="MCK341" s="267"/>
      <c r="MCL341" s="184"/>
      <c r="MCM341" s="184"/>
      <c r="MCN341" s="185"/>
      <c r="MCO341" s="184"/>
      <c r="MCP341" s="184"/>
      <c r="MCQ341" s="184"/>
      <c r="MCR341" s="187"/>
      <c r="MCS341" s="188"/>
      <c r="MCU341" s="182"/>
      <c r="MCV341" s="183"/>
      <c r="MDC341" s="267"/>
      <c r="MDD341" s="269"/>
      <c r="MDE341" s="267"/>
      <c r="MDF341" s="184"/>
      <c r="MDG341" s="184"/>
      <c r="MDH341" s="185"/>
      <c r="MDI341" s="184"/>
      <c r="MDJ341" s="184"/>
      <c r="MDK341" s="184"/>
      <c r="MDL341" s="187"/>
      <c r="MDM341" s="188"/>
      <c r="MDO341" s="182"/>
      <c r="MDP341" s="183"/>
      <c r="MDW341" s="267"/>
      <c r="MDX341" s="269"/>
      <c r="MDY341" s="267"/>
      <c r="MDZ341" s="184"/>
      <c r="MEA341" s="184"/>
      <c r="MEB341" s="185"/>
      <c r="MEC341" s="184"/>
      <c r="MED341" s="184"/>
      <c r="MEE341" s="184"/>
      <c r="MEF341" s="187"/>
      <c r="MEG341" s="188"/>
      <c r="MEI341" s="182"/>
      <c r="MEJ341" s="183"/>
      <c r="MEQ341" s="267"/>
      <c r="MER341" s="269"/>
      <c r="MES341" s="267"/>
      <c r="MET341" s="184"/>
      <c r="MEU341" s="184"/>
      <c r="MEV341" s="185"/>
      <c r="MEW341" s="184"/>
      <c r="MEX341" s="184"/>
      <c r="MEY341" s="184"/>
      <c r="MEZ341" s="187"/>
      <c r="MFA341" s="188"/>
      <c r="MFC341" s="182"/>
      <c r="MFD341" s="183"/>
      <c r="MFK341" s="267"/>
      <c r="MFL341" s="269"/>
      <c r="MFM341" s="267"/>
      <c r="MFN341" s="184"/>
      <c r="MFO341" s="184"/>
      <c r="MFP341" s="185"/>
      <c r="MFQ341" s="184"/>
      <c r="MFR341" s="184"/>
      <c r="MFS341" s="184"/>
      <c r="MFT341" s="187"/>
      <c r="MFU341" s="188"/>
      <c r="MFW341" s="182"/>
      <c r="MFX341" s="183"/>
      <c r="MGE341" s="267"/>
      <c r="MGF341" s="269"/>
      <c r="MGG341" s="267"/>
      <c r="MGH341" s="184"/>
      <c r="MGI341" s="184"/>
      <c r="MGJ341" s="185"/>
      <c r="MGK341" s="184"/>
      <c r="MGL341" s="184"/>
      <c r="MGM341" s="184"/>
      <c r="MGN341" s="187"/>
      <c r="MGO341" s="188"/>
      <c r="MGQ341" s="182"/>
      <c r="MGR341" s="183"/>
      <c r="MGY341" s="267"/>
      <c r="MGZ341" s="269"/>
      <c r="MHA341" s="267"/>
      <c r="MHB341" s="184"/>
      <c r="MHC341" s="184"/>
      <c r="MHD341" s="185"/>
      <c r="MHE341" s="184"/>
      <c r="MHF341" s="184"/>
      <c r="MHG341" s="184"/>
      <c r="MHH341" s="187"/>
      <c r="MHI341" s="188"/>
      <c r="MHK341" s="182"/>
      <c r="MHL341" s="183"/>
      <c r="MHS341" s="267"/>
      <c r="MHT341" s="269"/>
      <c r="MHU341" s="267"/>
      <c r="MHV341" s="184"/>
      <c r="MHW341" s="184"/>
      <c r="MHX341" s="185"/>
      <c r="MHY341" s="184"/>
      <c r="MHZ341" s="184"/>
      <c r="MIA341" s="184"/>
      <c r="MIB341" s="187"/>
      <c r="MIC341" s="188"/>
      <c r="MIE341" s="182"/>
      <c r="MIF341" s="183"/>
      <c r="MIM341" s="267"/>
      <c r="MIN341" s="269"/>
      <c r="MIO341" s="267"/>
      <c r="MIP341" s="184"/>
      <c r="MIQ341" s="184"/>
      <c r="MIR341" s="185"/>
      <c r="MIS341" s="184"/>
      <c r="MIT341" s="184"/>
      <c r="MIU341" s="184"/>
      <c r="MIV341" s="187"/>
      <c r="MIW341" s="188"/>
      <c r="MIY341" s="182"/>
      <c r="MIZ341" s="183"/>
      <c r="MJG341" s="267"/>
      <c r="MJH341" s="269"/>
      <c r="MJI341" s="267"/>
      <c r="MJJ341" s="184"/>
      <c r="MJK341" s="184"/>
      <c r="MJL341" s="185"/>
      <c r="MJM341" s="184"/>
      <c r="MJN341" s="184"/>
      <c r="MJO341" s="184"/>
      <c r="MJP341" s="187"/>
      <c r="MJQ341" s="188"/>
      <c r="MJS341" s="182"/>
      <c r="MJT341" s="183"/>
      <c r="MKA341" s="267"/>
      <c r="MKB341" s="269"/>
      <c r="MKC341" s="267"/>
      <c r="MKD341" s="184"/>
      <c r="MKE341" s="184"/>
      <c r="MKF341" s="185"/>
      <c r="MKG341" s="184"/>
      <c r="MKH341" s="184"/>
      <c r="MKI341" s="184"/>
      <c r="MKJ341" s="187"/>
      <c r="MKK341" s="188"/>
      <c r="MKM341" s="182"/>
      <c r="MKN341" s="183"/>
      <c r="MKU341" s="267"/>
      <c r="MKV341" s="269"/>
      <c r="MKW341" s="267"/>
      <c r="MKX341" s="184"/>
      <c r="MKY341" s="184"/>
      <c r="MKZ341" s="185"/>
      <c r="MLA341" s="184"/>
      <c r="MLB341" s="184"/>
      <c r="MLC341" s="184"/>
      <c r="MLD341" s="187"/>
      <c r="MLE341" s="188"/>
      <c r="MLG341" s="182"/>
      <c r="MLH341" s="183"/>
      <c r="MLO341" s="267"/>
      <c r="MLP341" s="269"/>
      <c r="MLQ341" s="267"/>
      <c r="MLR341" s="184"/>
      <c r="MLS341" s="184"/>
      <c r="MLT341" s="185"/>
      <c r="MLU341" s="184"/>
      <c r="MLV341" s="184"/>
      <c r="MLW341" s="184"/>
      <c r="MLX341" s="187"/>
      <c r="MLY341" s="188"/>
      <c r="MMA341" s="182"/>
      <c r="MMB341" s="183"/>
      <c r="MMI341" s="267"/>
      <c r="MMJ341" s="269"/>
      <c r="MMK341" s="267"/>
      <c r="MML341" s="184"/>
      <c r="MMM341" s="184"/>
      <c r="MMN341" s="185"/>
      <c r="MMO341" s="184"/>
      <c r="MMP341" s="184"/>
      <c r="MMQ341" s="184"/>
      <c r="MMR341" s="187"/>
      <c r="MMS341" s="188"/>
      <c r="MMU341" s="182"/>
      <c r="MMV341" s="183"/>
      <c r="MNC341" s="267"/>
      <c r="MND341" s="269"/>
      <c r="MNE341" s="267"/>
      <c r="MNF341" s="184"/>
      <c r="MNG341" s="184"/>
      <c r="MNH341" s="185"/>
      <c r="MNI341" s="184"/>
      <c r="MNJ341" s="184"/>
      <c r="MNK341" s="184"/>
      <c r="MNL341" s="187"/>
      <c r="MNM341" s="188"/>
      <c r="MNO341" s="182"/>
      <c r="MNP341" s="183"/>
      <c r="MNW341" s="267"/>
      <c r="MNX341" s="269"/>
      <c r="MNY341" s="267"/>
      <c r="MNZ341" s="184"/>
      <c r="MOA341" s="184"/>
      <c r="MOB341" s="185"/>
      <c r="MOC341" s="184"/>
      <c r="MOD341" s="184"/>
      <c r="MOE341" s="184"/>
      <c r="MOF341" s="187"/>
      <c r="MOG341" s="188"/>
      <c r="MOI341" s="182"/>
      <c r="MOJ341" s="183"/>
      <c r="MOQ341" s="267"/>
      <c r="MOR341" s="269"/>
      <c r="MOS341" s="267"/>
      <c r="MOT341" s="184"/>
      <c r="MOU341" s="184"/>
      <c r="MOV341" s="185"/>
      <c r="MOW341" s="184"/>
      <c r="MOX341" s="184"/>
      <c r="MOY341" s="184"/>
      <c r="MOZ341" s="187"/>
      <c r="MPA341" s="188"/>
      <c r="MPC341" s="182"/>
      <c r="MPD341" s="183"/>
      <c r="MPK341" s="267"/>
      <c r="MPL341" s="269"/>
      <c r="MPM341" s="267"/>
      <c r="MPN341" s="184"/>
      <c r="MPO341" s="184"/>
      <c r="MPP341" s="185"/>
      <c r="MPQ341" s="184"/>
      <c r="MPR341" s="184"/>
      <c r="MPS341" s="184"/>
      <c r="MPT341" s="187"/>
      <c r="MPU341" s="188"/>
      <c r="MPW341" s="182"/>
      <c r="MPX341" s="183"/>
      <c r="MQE341" s="267"/>
      <c r="MQF341" s="269"/>
      <c r="MQG341" s="267"/>
      <c r="MQH341" s="184"/>
      <c r="MQI341" s="184"/>
      <c r="MQJ341" s="185"/>
      <c r="MQK341" s="184"/>
      <c r="MQL341" s="184"/>
      <c r="MQM341" s="184"/>
      <c r="MQN341" s="187"/>
      <c r="MQO341" s="188"/>
      <c r="MQQ341" s="182"/>
      <c r="MQR341" s="183"/>
      <c r="MQY341" s="267"/>
      <c r="MQZ341" s="269"/>
      <c r="MRA341" s="267"/>
      <c r="MRB341" s="184"/>
      <c r="MRC341" s="184"/>
      <c r="MRD341" s="185"/>
      <c r="MRE341" s="184"/>
      <c r="MRF341" s="184"/>
      <c r="MRG341" s="184"/>
      <c r="MRH341" s="187"/>
      <c r="MRI341" s="188"/>
      <c r="MRK341" s="182"/>
      <c r="MRL341" s="183"/>
      <c r="MRS341" s="267"/>
      <c r="MRT341" s="269"/>
      <c r="MRU341" s="267"/>
      <c r="MRV341" s="184"/>
      <c r="MRW341" s="184"/>
      <c r="MRX341" s="185"/>
      <c r="MRY341" s="184"/>
      <c r="MRZ341" s="184"/>
      <c r="MSA341" s="184"/>
      <c r="MSB341" s="187"/>
      <c r="MSC341" s="188"/>
      <c r="MSE341" s="182"/>
      <c r="MSF341" s="183"/>
      <c r="MSM341" s="267"/>
      <c r="MSN341" s="269"/>
      <c r="MSO341" s="267"/>
      <c r="MSP341" s="184"/>
      <c r="MSQ341" s="184"/>
      <c r="MSR341" s="185"/>
      <c r="MSS341" s="184"/>
      <c r="MST341" s="184"/>
      <c r="MSU341" s="184"/>
      <c r="MSV341" s="187"/>
      <c r="MSW341" s="188"/>
      <c r="MSY341" s="182"/>
      <c r="MSZ341" s="183"/>
      <c r="MTG341" s="267"/>
      <c r="MTH341" s="269"/>
      <c r="MTI341" s="267"/>
      <c r="MTJ341" s="184"/>
      <c r="MTK341" s="184"/>
      <c r="MTL341" s="185"/>
      <c r="MTM341" s="184"/>
      <c r="MTN341" s="184"/>
      <c r="MTO341" s="184"/>
      <c r="MTP341" s="187"/>
      <c r="MTQ341" s="188"/>
      <c r="MTS341" s="182"/>
      <c r="MTT341" s="183"/>
      <c r="MUA341" s="267"/>
      <c r="MUB341" s="269"/>
      <c r="MUC341" s="267"/>
      <c r="MUD341" s="184"/>
      <c r="MUE341" s="184"/>
      <c r="MUF341" s="185"/>
      <c r="MUG341" s="184"/>
      <c r="MUH341" s="184"/>
      <c r="MUI341" s="184"/>
      <c r="MUJ341" s="187"/>
      <c r="MUK341" s="188"/>
      <c r="MUM341" s="182"/>
      <c r="MUN341" s="183"/>
      <c r="MUU341" s="267"/>
      <c r="MUV341" s="269"/>
      <c r="MUW341" s="267"/>
      <c r="MUX341" s="184"/>
      <c r="MUY341" s="184"/>
      <c r="MUZ341" s="185"/>
      <c r="MVA341" s="184"/>
      <c r="MVB341" s="184"/>
      <c r="MVC341" s="184"/>
      <c r="MVD341" s="187"/>
      <c r="MVE341" s="188"/>
      <c r="MVG341" s="182"/>
      <c r="MVH341" s="183"/>
      <c r="MVO341" s="267"/>
      <c r="MVP341" s="269"/>
      <c r="MVQ341" s="267"/>
      <c r="MVR341" s="184"/>
      <c r="MVS341" s="184"/>
      <c r="MVT341" s="185"/>
      <c r="MVU341" s="184"/>
      <c r="MVV341" s="184"/>
      <c r="MVW341" s="184"/>
      <c r="MVX341" s="187"/>
      <c r="MVY341" s="188"/>
      <c r="MWA341" s="182"/>
      <c r="MWB341" s="183"/>
      <c r="MWI341" s="267"/>
      <c r="MWJ341" s="269"/>
      <c r="MWK341" s="267"/>
      <c r="MWL341" s="184"/>
      <c r="MWM341" s="184"/>
      <c r="MWN341" s="185"/>
      <c r="MWO341" s="184"/>
      <c r="MWP341" s="184"/>
      <c r="MWQ341" s="184"/>
      <c r="MWR341" s="187"/>
      <c r="MWS341" s="188"/>
      <c r="MWU341" s="182"/>
      <c r="MWV341" s="183"/>
      <c r="MXC341" s="267"/>
      <c r="MXD341" s="269"/>
      <c r="MXE341" s="267"/>
      <c r="MXF341" s="184"/>
      <c r="MXG341" s="184"/>
      <c r="MXH341" s="185"/>
      <c r="MXI341" s="184"/>
      <c r="MXJ341" s="184"/>
      <c r="MXK341" s="184"/>
      <c r="MXL341" s="187"/>
      <c r="MXM341" s="188"/>
      <c r="MXO341" s="182"/>
      <c r="MXP341" s="183"/>
      <c r="MXW341" s="267"/>
      <c r="MXX341" s="269"/>
      <c r="MXY341" s="267"/>
      <c r="MXZ341" s="184"/>
      <c r="MYA341" s="184"/>
      <c r="MYB341" s="185"/>
      <c r="MYC341" s="184"/>
      <c r="MYD341" s="184"/>
      <c r="MYE341" s="184"/>
      <c r="MYF341" s="187"/>
      <c r="MYG341" s="188"/>
      <c r="MYI341" s="182"/>
      <c r="MYJ341" s="183"/>
      <c r="MYQ341" s="267"/>
      <c r="MYR341" s="269"/>
      <c r="MYS341" s="267"/>
      <c r="MYT341" s="184"/>
      <c r="MYU341" s="184"/>
      <c r="MYV341" s="185"/>
      <c r="MYW341" s="184"/>
      <c r="MYX341" s="184"/>
      <c r="MYY341" s="184"/>
      <c r="MYZ341" s="187"/>
      <c r="MZA341" s="188"/>
      <c r="MZC341" s="182"/>
      <c r="MZD341" s="183"/>
      <c r="MZK341" s="267"/>
      <c r="MZL341" s="269"/>
      <c r="MZM341" s="267"/>
      <c r="MZN341" s="184"/>
      <c r="MZO341" s="184"/>
      <c r="MZP341" s="185"/>
      <c r="MZQ341" s="184"/>
      <c r="MZR341" s="184"/>
      <c r="MZS341" s="184"/>
      <c r="MZT341" s="187"/>
      <c r="MZU341" s="188"/>
      <c r="MZW341" s="182"/>
      <c r="MZX341" s="183"/>
      <c r="NAE341" s="267"/>
      <c r="NAF341" s="269"/>
      <c r="NAG341" s="267"/>
      <c r="NAH341" s="184"/>
      <c r="NAI341" s="184"/>
      <c r="NAJ341" s="185"/>
      <c r="NAK341" s="184"/>
      <c r="NAL341" s="184"/>
      <c r="NAM341" s="184"/>
      <c r="NAN341" s="187"/>
      <c r="NAO341" s="188"/>
      <c r="NAQ341" s="182"/>
      <c r="NAR341" s="183"/>
      <c r="NAY341" s="267"/>
      <c r="NAZ341" s="269"/>
      <c r="NBA341" s="267"/>
      <c r="NBB341" s="184"/>
      <c r="NBC341" s="184"/>
      <c r="NBD341" s="185"/>
      <c r="NBE341" s="184"/>
      <c r="NBF341" s="184"/>
      <c r="NBG341" s="184"/>
      <c r="NBH341" s="187"/>
      <c r="NBI341" s="188"/>
      <c r="NBK341" s="182"/>
      <c r="NBL341" s="183"/>
      <c r="NBS341" s="267"/>
      <c r="NBT341" s="269"/>
      <c r="NBU341" s="267"/>
      <c r="NBV341" s="184"/>
      <c r="NBW341" s="184"/>
      <c r="NBX341" s="185"/>
      <c r="NBY341" s="184"/>
      <c r="NBZ341" s="184"/>
      <c r="NCA341" s="184"/>
      <c r="NCB341" s="187"/>
      <c r="NCC341" s="188"/>
      <c r="NCE341" s="182"/>
      <c r="NCF341" s="183"/>
      <c r="NCM341" s="267"/>
      <c r="NCN341" s="269"/>
      <c r="NCO341" s="267"/>
      <c r="NCP341" s="184"/>
      <c r="NCQ341" s="184"/>
      <c r="NCR341" s="185"/>
      <c r="NCS341" s="184"/>
      <c r="NCT341" s="184"/>
      <c r="NCU341" s="184"/>
      <c r="NCV341" s="187"/>
      <c r="NCW341" s="188"/>
      <c r="NCY341" s="182"/>
      <c r="NCZ341" s="183"/>
      <c r="NDG341" s="267"/>
      <c r="NDH341" s="269"/>
      <c r="NDI341" s="267"/>
      <c r="NDJ341" s="184"/>
      <c r="NDK341" s="184"/>
      <c r="NDL341" s="185"/>
      <c r="NDM341" s="184"/>
      <c r="NDN341" s="184"/>
      <c r="NDO341" s="184"/>
      <c r="NDP341" s="187"/>
      <c r="NDQ341" s="188"/>
      <c r="NDS341" s="182"/>
      <c r="NDT341" s="183"/>
      <c r="NEA341" s="267"/>
      <c r="NEB341" s="269"/>
      <c r="NEC341" s="267"/>
      <c r="NED341" s="184"/>
      <c r="NEE341" s="184"/>
      <c r="NEF341" s="185"/>
      <c r="NEG341" s="184"/>
      <c r="NEH341" s="184"/>
      <c r="NEI341" s="184"/>
      <c r="NEJ341" s="187"/>
      <c r="NEK341" s="188"/>
      <c r="NEM341" s="182"/>
      <c r="NEN341" s="183"/>
      <c r="NEU341" s="267"/>
      <c r="NEV341" s="269"/>
      <c r="NEW341" s="267"/>
      <c r="NEX341" s="184"/>
      <c r="NEY341" s="184"/>
      <c r="NEZ341" s="185"/>
      <c r="NFA341" s="184"/>
      <c r="NFB341" s="184"/>
      <c r="NFC341" s="184"/>
      <c r="NFD341" s="187"/>
      <c r="NFE341" s="188"/>
      <c r="NFG341" s="182"/>
      <c r="NFH341" s="183"/>
      <c r="NFO341" s="267"/>
      <c r="NFP341" s="269"/>
      <c r="NFQ341" s="267"/>
      <c r="NFR341" s="184"/>
      <c r="NFS341" s="184"/>
      <c r="NFT341" s="185"/>
      <c r="NFU341" s="184"/>
      <c r="NFV341" s="184"/>
      <c r="NFW341" s="184"/>
      <c r="NFX341" s="187"/>
      <c r="NFY341" s="188"/>
      <c r="NGA341" s="182"/>
      <c r="NGB341" s="183"/>
      <c r="NGI341" s="267"/>
      <c r="NGJ341" s="269"/>
      <c r="NGK341" s="267"/>
      <c r="NGL341" s="184"/>
      <c r="NGM341" s="184"/>
      <c r="NGN341" s="185"/>
      <c r="NGO341" s="184"/>
      <c r="NGP341" s="184"/>
      <c r="NGQ341" s="184"/>
      <c r="NGR341" s="187"/>
      <c r="NGS341" s="188"/>
      <c r="NGU341" s="182"/>
      <c r="NGV341" s="183"/>
      <c r="NHC341" s="267"/>
      <c r="NHD341" s="269"/>
      <c r="NHE341" s="267"/>
      <c r="NHF341" s="184"/>
      <c r="NHG341" s="184"/>
      <c r="NHH341" s="185"/>
      <c r="NHI341" s="184"/>
      <c r="NHJ341" s="184"/>
      <c r="NHK341" s="184"/>
      <c r="NHL341" s="187"/>
      <c r="NHM341" s="188"/>
      <c r="NHO341" s="182"/>
      <c r="NHP341" s="183"/>
      <c r="NHW341" s="267"/>
      <c r="NHX341" s="269"/>
      <c r="NHY341" s="267"/>
      <c r="NHZ341" s="184"/>
      <c r="NIA341" s="184"/>
      <c r="NIB341" s="185"/>
      <c r="NIC341" s="184"/>
      <c r="NID341" s="184"/>
      <c r="NIE341" s="184"/>
      <c r="NIF341" s="187"/>
      <c r="NIG341" s="188"/>
      <c r="NII341" s="182"/>
      <c r="NIJ341" s="183"/>
      <c r="NIQ341" s="267"/>
      <c r="NIR341" s="269"/>
      <c r="NIS341" s="267"/>
      <c r="NIT341" s="184"/>
      <c r="NIU341" s="184"/>
      <c r="NIV341" s="185"/>
      <c r="NIW341" s="184"/>
      <c r="NIX341" s="184"/>
      <c r="NIY341" s="184"/>
      <c r="NIZ341" s="187"/>
      <c r="NJA341" s="188"/>
      <c r="NJC341" s="182"/>
      <c r="NJD341" s="183"/>
      <c r="NJK341" s="267"/>
      <c r="NJL341" s="269"/>
      <c r="NJM341" s="267"/>
      <c r="NJN341" s="184"/>
      <c r="NJO341" s="184"/>
      <c r="NJP341" s="185"/>
      <c r="NJQ341" s="184"/>
      <c r="NJR341" s="184"/>
      <c r="NJS341" s="184"/>
      <c r="NJT341" s="187"/>
      <c r="NJU341" s="188"/>
      <c r="NJW341" s="182"/>
      <c r="NJX341" s="183"/>
      <c r="NKE341" s="267"/>
      <c r="NKF341" s="269"/>
      <c r="NKG341" s="267"/>
      <c r="NKH341" s="184"/>
      <c r="NKI341" s="184"/>
      <c r="NKJ341" s="185"/>
      <c r="NKK341" s="184"/>
      <c r="NKL341" s="184"/>
      <c r="NKM341" s="184"/>
      <c r="NKN341" s="187"/>
      <c r="NKO341" s="188"/>
      <c r="NKQ341" s="182"/>
      <c r="NKR341" s="183"/>
      <c r="NKY341" s="267"/>
      <c r="NKZ341" s="269"/>
      <c r="NLA341" s="267"/>
      <c r="NLB341" s="184"/>
      <c r="NLC341" s="184"/>
      <c r="NLD341" s="185"/>
      <c r="NLE341" s="184"/>
      <c r="NLF341" s="184"/>
      <c r="NLG341" s="184"/>
      <c r="NLH341" s="187"/>
      <c r="NLI341" s="188"/>
      <c r="NLK341" s="182"/>
      <c r="NLL341" s="183"/>
      <c r="NLS341" s="267"/>
      <c r="NLT341" s="269"/>
      <c r="NLU341" s="267"/>
      <c r="NLV341" s="184"/>
      <c r="NLW341" s="184"/>
      <c r="NLX341" s="185"/>
      <c r="NLY341" s="184"/>
      <c r="NLZ341" s="184"/>
      <c r="NMA341" s="184"/>
      <c r="NMB341" s="187"/>
      <c r="NMC341" s="188"/>
      <c r="NME341" s="182"/>
      <c r="NMF341" s="183"/>
      <c r="NMM341" s="267"/>
      <c r="NMN341" s="269"/>
      <c r="NMO341" s="267"/>
      <c r="NMP341" s="184"/>
      <c r="NMQ341" s="184"/>
      <c r="NMR341" s="185"/>
      <c r="NMS341" s="184"/>
      <c r="NMT341" s="184"/>
      <c r="NMU341" s="184"/>
      <c r="NMV341" s="187"/>
      <c r="NMW341" s="188"/>
      <c r="NMY341" s="182"/>
      <c r="NMZ341" s="183"/>
      <c r="NNG341" s="267"/>
      <c r="NNH341" s="269"/>
      <c r="NNI341" s="267"/>
      <c r="NNJ341" s="184"/>
      <c r="NNK341" s="184"/>
      <c r="NNL341" s="185"/>
      <c r="NNM341" s="184"/>
      <c r="NNN341" s="184"/>
      <c r="NNO341" s="184"/>
      <c r="NNP341" s="187"/>
      <c r="NNQ341" s="188"/>
      <c r="NNS341" s="182"/>
      <c r="NNT341" s="183"/>
      <c r="NOA341" s="267"/>
      <c r="NOB341" s="269"/>
      <c r="NOC341" s="267"/>
      <c r="NOD341" s="184"/>
      <c r="NOE341" s="184"/>
      <c r="NOF341" s="185"/>
      <c r="NOG341" s="184"/>
      <c r="NOH341" s="184"/>
      <c r="NOI341" s="184"/>
      <c r="NOJ341" s="187"/>
      <c r="NOK341" s="188"/>
      <c r="NOM341" s="182"/>
      <c r="NON341" s="183"/>
      <c r="NOU341" s="267"/>
      <c r="NOV341" s="269"/>
      <c r="NOW341" s="267"/>
      <c r="NOX341" s="184"/>
      <c r="NOY341" s="184"/>
      <c r="NOZ341" s="185"/>
      <c r="NPA341" s="184"/>
      <c r="NPB341" s="184"/>
      <c r="NPC341" s="184"/>
      <c r="NPD341" s="187"/>
      <c r="NPE341" s="188"/>
      <c r="NPG341" s="182"/>
      <c r="NPH341" s="183"/>
      <c r="NPO341" s="267"/>
      <c r="NPP341" s="269"/>
      <c r="NPQ341" s="267"/>
      <c r="NPR341" s="184"/>
      <c r="NPS341" s="184"/>
      <c r="NPT341" s="185"/>
      <c r="NPU341" s="184"/>
      <c r="NPV341" s="184"/>
      <c r="NPW341" s="184"/>
      <c r="NPX341" s="187"/>
      <c r="NPY341" s="188"/>
      <c r="NQA341" s="182"/>
      <c r="NQB341" s="183"/>
      <c r="NQI341" s="267"/>
      <c r="NQJ341" s="269"/>
      <c r="NQK341" s="267"/>
      <c r="NQL341" s="184"/>
      <c r="NQM341" s="184"/>
      <c r="NQN341" s="185"/>
      <c r="NQO341" s="184"/>
      <c r="NQP341" s="184"/>
      <c r="NQQ341" s="184"/>
      <c r="NQR341" s="187"/>
      <c r="NQS341" s="188"/>
      <c r="NQU341" s="182"/>
      <c r="NQV341" s="183"/>
      <c r="NRC341" s="267"/>
      <c r="NRD341" s="269"/>
      <c r="NRE341" s="267"/>
      <c r="NRF341" s="184"/>
      <c r="NRG341" s="184"/>
      <c r="NRH341" s="185"/>
      <c r="NRI341" s="184"/>
      <c r="NRJ341" s="184"/>
      <c r="NRK341" s="184"/>
      <c r="NRL341" s="187"/>
      <c r="NRM341" s="188"/>
      <c r="NRO341" s="182"/>
      <c r="NRP341" s="183"/>
      <c r="NRW341" s="267"/>
      <c r="NRX341" s="269"/>
      <c r="NRY341" s="267"/>
      <c r="NRZ341" s="184"/>
      <c r="NSA341" s="184"/>
      <c r="NSB341" s="185"/>
      <c r="NSC341" s="184"/>
      <c r="NSD341" s="184"/>
      <c r="NSE341" s="184"/>
      <c r="NSF341" s="187"/>
      <c r="NSG341" s="188"/>
      <c r="NSI341" s="182"/>
      <c r="NSJ341" s="183"/>
      <c r="NSQ341" s="267"/>
      <c r="NSR341" s="269"/>
      <c r="NSS341" s="267"/>
      <c r="NST341" s="184"/>
      <c r="NSU341" s="184"/>
      <c r="NSV341" s="185"/>
      <c r="NSW341" s="184"/>
      <c r="NSX341" s="184"/>
      <c r="NSY341" s="184"/>
      <c r="NSZ341" s="187"/>
      <c r="NTA341" s="188"/>
      <c r="NTC341" s="182"/>
      <c r="NTD341" s="183"/>
      <c r="NTK341" s="267"/>
      <c r="NTL341" s="269"/>
      <c r="NTM341" s="267"/>
      <c r="NTN341" s="184"/>
      <c r="NTO341" s="184"/>
      <c r="NTP341" s="185"/>
      <c r="NTQ341" s="184"/>
      <c r="NTR341" s="184"/>
      <c r="NTS341" s="184"/>
      <c r="NTT341" s="187"/>
      <c r="NTU341" s="188"/>
      <c r="NTW341" s="182"/>
      <c r="NTX341" s="183"/>
      <c r="NUE341" s="267"/>
      <c r="NUF341" s="269"/>
      <c r="NUG341" s="267"/>
      <c r="NUH341" s="184"/>
      <c r="NUI341" s="184"/>
      <c r="NUJ341" s="185"/>
      <c r="NUK341" s="184"/>
      <c r="NUL341" s="184"/>
      <c r="NUM341" s="184"/>
      <c r="NUN341" s="187"/>
      <c r="NUO341" s="188"/>
      <c r="NUQ341" s="182"/>
      <c r="NUR341" s="183"/>
      <c r="NUY341" s="267"/>
      <c r="NUZ341" s="269"/>
      <c r="NVA341" s="267"/>
      <c r="NVB341" s="184"/>
      <c r="NVC341" s="184"/>
      <c r="NVD341" s="185"/>
      <c r="NVE341" s="184"/>
      <c r="NVF341" s="184"/>
      <c r="NVG341" s="184"/>
      <c r="NVH341" s="187"/>
      <c r="NVI341" s="188"/>
      <c r="NVK341" s="182"/>
      <c r="NVL341" s="183"/>
      <c r="NVS341" s="267"/>
      <c r="NVT341" s="269"/>
      <c r="NVU341" s="267"/>
      <c r="NVV341" s="184"/>
      <c r="NVW341" s="184"/>
      <c r="NVX341" s="185"/>
      <c r="NVY341" s="184"/>
      <c r="NVZ341" s="184"/>
      <c r="NWA341" s="184"/>
      <c r="NWB341" s="187"/>
      <c r="NWC341" s="188"/>
      <c r="NWE341" s="182"/>
      <c r="NWF341" s="183"/>
      <c r="NWM341" s="267"/>
      <c r="NWN341" s="269"/>
      <c r="NWO341" s="267"/>
      <c r="NWP341" s="184"/>
      <c r="NWQ341" s="184"/>
      <c r="NWR341" s="185"/>
      <c r="NWS341" s="184"/>
      <c r="NWT341" s="184"/>
      <c r="NWU341" s="184"/>
      <c r="NWV341" s="187"/>
      <c r="NWW341" s="188"/>
      <c r="NWY341" s="182"/>
      <c r="NWZ341" s="183"/>
      <c r="NXG341" s="267"/>
      <c r="NXH341" s="269"/>
      <c r="NXI341" s="267"/>
      <c r="NXJ341" s="184"/>
      <c r="NXK341" s="184"/>
      <c r="NXL341" s="185"/>
      <c r="NXM341" s="184"/>
      <c r="NXN341" s="184"/>
      <c r="NXO341" s="184"/>
      <c r="NXP341" s="187"/>
      <c r="NXQ341" s="188"/>
      <c r="NXS341" s="182"/>
      <c r="NXT341" s="183"/>
      <c r="NYA341" s="267"/>
      <c r="NYB341" s="269"/>
      <c r="NYC341" s="267"/>
      <c r="NYD341" s="184"/>
      <c r="NYE341" s="184"/>
      <c r="NYF341" s="185"/>
      <c r="NYG341" s="184"/>
      <c r="NYH341" s="184"/>
      <c r="NYI341" s="184"/>
      <c r="NYJ341" s="187"/>
      <c r="NYK341" s="188"/>
      <c r="NYM341" s="182"/>
      <c r="NYN341" s="183"/>
      <c r="NYU341" s="267"/>
      <c r="NYV341" s="269"/>
      <c r="NYW341" s="267"/>
      <c r="NYX341" s="184"/>
      <c r="NYY341" s="184"/>
      <c r="NYZ341" s="185"/>
      <c r="NZA341" s="184"/>
      <c r="NZB341" s="184"/>
      <c r="NZC341" s="184"/>
      <c r="NZD341" s="187"/>
      <c r="NZE341" s="188"/>
      <c r="NZG341" s="182"/>
      <c r="NZH341" s="183"/>
      <c r="NZO341" s="267"/>
      <c r="NZP341" s="269"/>
      <c r="NZQ341" s="267"/>
      <c r="NZR341" s="184"/>
      <c r="NZS341" s="184"/>
      <c r="NZT341" s="185"/>
      <c r="NZU341" s="184"/>
      <c r="NZV341" s="184"/>
      <c r="NZW341" s="184"/>
      <c r="NZX341" s="187"/>
      <c r="NZY341" s="188"/>
      <c r="OAA341" s="182"/>
      <c r="OAB341" s="183"/>
      <c r="OAI341" s="267"/>
      <c r="OAJ341" s="269"/>
      <c r="OAK341" s="267"/>
      <c r="OAL341" s="184"/>
      <c r="OAM341" s="184"/>
      <c r="OAN341" s="185"/>
      <c r="OAO341" s="184"/>
      <c r="OAP341" s="184"/>
      <c r="OAQ341" s="184"/>
      <c r="OAR341" s="187"/>
      <c r="OAS341" s="188"/>
      <c r="OAU341" s="182"/>
      <c r="OAV341" s="183"/>
      <c r="OBC341" s="267"/>
      <c r="OBD341" s="269"/>
      <c r="OBE341" s="267"/>
      <c r="OBF341" s="184"/>
      <c r="OBG341" s="184"/>
      <c r="OBH341" s="185"/>
      <c r="OBI341" s="184"/>
      <c r="OBJ341" s="184"/>
      <c r="OBK341" s="184"/>
      <c r="OBL341" s="187"/>
      <c r="OBM341" s="188"/>
      <c r="OBO341" s="182"/>
      <c r="OBP341" s="183"/>
      <c r="OBW341" s="267"/>
      <c r="OBX341" s="269"/>
      <c r="OBY341" s="267"/>
      <c r="OBZ341" s="184"/>
      <c r="OCA341" s="184"/>
      <c r="OCB341" s="185"/>
      <c r="OCC341" s="184"/>
      <c r="OCD341" s="184"/>
      <c r="OCE341" s="184"/>
      <c r="OCF341" s="187"/>
      <c r="OCG341" s="188"/>
      <c r="OCI341" s="182"/>
      <c r="OCJ341" s="183"/>
      <c r="OCQ341" s="267"/>
      <c r="OCR341" s="269"/>
      <c r="OCS341" s="267"/>
      <c r="OCT341" s="184"/>
      <c r="OCU341" s="184"/>
      <c r="OCV341" s="185"/>
      <c r="OCW341" s="184"/>
      <c r="OCX341" s="184"/>
      <c r="OCY341" s="184"/>
      <c r="OCZ341" s="187"/>
      <c r="ODA341" s="188"/>
      <c r="ODC341" s="182"/>
      <c r="ODD341" s="183"/>
      <c r="ODK341" s="267"/>
      <c r="ODL341" s="269"/>
      <c r="ODM341" s="267"/>
      <c r="ODN341" s="184"/>
      <c r="ODO341" s="184"/>
      <c r="ODP341" s="185"/>
      <c r="ODQ341" s="184"/>
      <c r="ODR341" s="184"/>
      <c r="ODS341" s="184"/>
      <c r="ODT341" s="187"/>
      <c r="ODU341" s="188"/>
      <c r="ODW341" s="182"/>
      <c r="ODX341" s="183"/>
      <c r="OEE341" s="267"/>
      <c r="OEF341" s="269"/>
      <c r="OEG341" s="267"/>
      <c r="OEH341" s="184"/>
      <c r="OEI341" s="184"/>
      <c r="OEJ341" s="185"/>
      <c r="OEK341" s="184"/>
      <c r="OEL341" s="184"/>
      <c r="OEM341" s="184"/>
      <c r="OEN341" s="187"/>
      <c r="OEO341" s="188"/>
      <c r="OEQ341" s="182"/>
      <c r="OER341" s="183"/>
      <c r="OEY341" s="267"/>
      <c r="OEZ341" s="269"/>
      <c r="OFA341" s="267"/>
      <c r="OFB341" s="184"/>
      <c r="OFC341" s="184"/>
      <c r="OFD341" s="185"/>
      <c r="OFE341" s="184"/>
      <c r="OFF341" s="184"/>
      <c r="OFG341" s="184"/>
      <c r="OFH341" s="187"/>
      <c r="OFI341" s="188"/>
      <c r="OFK341" s="182"/>
      <c r="OFL341" s="183"/>
      <c r="OFS341" s="267"/>
      <c r="OFT341" s="269"/>
      <c r="OFU341" s="267"/>
      <c r="OFV341" s="184"/>
      <c r="OFW341" s="184"/>
      <c r="OFX341" s="185"/>
      <c r="OFY341" s="184"/>
      <c r="OFZ341" s="184"/>
      <c r="OGA341" s="184"/>
      <c r="OGB341" s="187"/>
      <c r="OGC341" s="188"/>
      <c r="OGE341" s="182"/>
      <c r="OGF341" s="183"/>
      <c r="OGM341" s="267"/>
      <c r="OGN341" s="269"/>
      <c r="OGO341" s="267"/>
      <c r="OGP341" s="184"/>
      <c r="OGQ341" s="184"/>
      <c r="OGR341" s="185"/>
      <c r="OGS341" s="184"/>
      <c r="OGT341" s="184"/>
      <c r="OGU341" s="184"/>
      <c r="OGV341" s="187"/>
      <c r="OGW341" s="188"/>
      <c r="OGY341" s="182"/>
      <c r="OGZ341" s="183"/>
      <c r="OHG341" s="267"/>
      <c r="OHH341" s="269"/>
      <c r="OHI341" s="267"/>
      <c r="OHJ341" s="184"/>
      <c r="OHK341" s="184"/>
      <c r="OHL341" s="185"/>
      <c r="OHM341" s="184"/>
      <c r="OHN341" s="184"/>
      <c r="OHO341" s="184"/>
      <c r="OHP341" s="187"/>
      <c r="OHQ341" s="188"/>
      <c r="OHS341" s="182"/>
      <c r="OHT341" s="183"/>
      <c r="OIA341" s="267"/>
      <c r="OIB341" s="269"/>
      <c r="OIC341" s="267"/>
      <c r="OID341" s="184"/>
      <c r="OIE341" s="184"/>
      <c r="OIF341" s="185"/>
      <c r="OIG341" s="184"/>
      <c r="OIH341" s="184"/>
      <c r="OII341" s="184"/>
      <c r="OIJ341" s="187"/>
      <c r="OIK341" s="188"/>
      <c r="OIM341" s="182"/>
      <c r="OIN341" s="183"/>
      <c r="OIU341" s="267"/>
      <c r="OIV341" s="269"/>
      <c r="OIW341" s="267"/>
      <c r="OIX341" s="184"/>
      <c r="OIY341" s="184"/>
      <c r="OIZ341" s="185"/>
      <c r="OJA341" s="184"/>
      <c r="OJB341" s="184"/>
      <c r="OJC341" s="184"/>
      <c r="OJD341" s="187"/>
      <c r="OJE341" s="188"/>
      <c r="OJG341" s="182"/>
      <c r="OJH341" s="183"/>
      <c r="OJO341" s="267"/>
      <c r="OJP341" s="269"/>
      <c r="OJQ341" s="267"/>
      <c r="OJR341" s="184"/>
      <c r="OJS341" s="184"/>
      <c r="OJT341" s="185"/>
      <c r="OJU341" s="184"/>
      <c r="OJV341" s="184"/>
      <c r="OJW341" s="184"/>
      <c r="OJX341" s="187"/>
      <c r="OJY341" s="188"/>
      <c r="OKA341" s="182"/>
      <c r="OKB341" s="183"/>
      <c r="OKI341" s="267"/>
      <c r="OKJ341" s="269"/>
      <c r="OKK341" s="267"/>
      <c r="OKL341" s="184"/>
      <c r="OKM341" s="184"/>
      <c r="OKN341" s="185"/>
      <c r="OKO341" s="184"/>
      <c r="OKP341" s="184"/>
      <c r="OKQ341" s="184"/>
      <c r="OKR341" s="187"/>
      <c r="OKS341" s="188"/>
      <c r="OKU341" s="182"/>
      <c r="OKV341" s="183"/>
      <c r="OLC341" s="267"/>
      <c r="OLD341" s="269"/>
      <c r="OLE341" s="267"/>
      <c r="OLF341" s="184"/>
      <c r="OLG341" s="184"/>
      <c r="OLH341" s="185"/>
      <c r="OLI341" s="184"/>
      <c r="OLJ341" s="184"/>
      <c r="OLK341" s="184"/>
      <c r="OLL341" s="187"/>
      <c r="OLM341" s="188"/>
      <c r="OLO341" s="182"/>
      <c r="OLP341" s="183"/>
      <c r="OLW341" s="267"/>
      <c r="OLX341" s="269"/>
      <c r="OLY341" s="267"/>
      <c r="OLZ341" s="184"/>
      <c r="OMA341" s="184"/>
      <c r="OMB341" s="185"/>
      <c r="OMC341" s="184"/>
      <c r="OMD341" s="184"/>
      <c r="OME341" s="184"/>
      <c r="OMF341" s="187"/>
      <c r="OMG341" s="188"/>
      <c r="OMI341" s="182"/>
      <c r="OMJ341" s="183"/>
      <c r="OMQ341" s="267"/>
      <c r="OMR341" s="269"/>
      <c r="OMS341" s="267"/>
      <c r="OMT341" s="184"/>
      <c r="OMU341" s="184"/>
      <c r="OMV341" s="185"/>
      <c r="OMW341" s="184"/>
      <c r="OMX341" s="184"/>
      <c r="OMY341" s="184"/>
      <c r="OMZ341" s="187"/>
      <c r="ONA341" s="188"/>
      <c r="ONC341" s="182"/>
      <c r="OND341" s="183"/>
      <c r="ONK341" s="267"/>
      <c r="ONL341" s="269"/>
      <c r="ONM341" s="267"/>
      <c r="ONN341" s="184"/>
      <c r="ONO341" s="184"/>
      <c r="ONP341" s="185"/>
      <c r="ONQ341" s="184"/>
      <c r="ONR341" s="184"/>
      <c r="ONS341" s="184"/>
      <c r="ONT341" s="187"/>
      <c r="ONU341" s="188"/>
      <c r="ONW341" s="182"/>
      <c r="ONX341" s="183"/>
      <c r="OOE341" s="267"/>
      <c r="OOF341" s="269"/>
      <c r="OOG341" s="267"/>
      <c r="OOH341" s="184"/>
      <c r="OOI341" s="184"/>
      <c r="OOJ341" s="185"/>
      <c r="OOK341" s="184"/>
      <c r="OOL341" s="184"/>
      <c r="OOM341" s="184"/>
      <c r="OON341" s="187"/>
      <c r="OOO341" s="188"/>
      <c r="OOQ341" s="182"/>
      <c r="OOR341" s="183"/>
      <c r="OOY341" s="267"/>
      <c r="OOZ341" s="269"/>
      <c r="OPA341" s="267"/>
      <c r="OPB341" s="184"/>
      <c r="OPC341" s="184"/>
      <c r="OPD341" s="185"/>
      <c r="OPE341" s="184"/>
      <c r="OPF341" s="184"/>
      <c r="OPG341" s="184"/>
      <c r="OPH341" s="187"/>
      <c r="OPI341" s="188"/>
      <c r="OPK341" s="182"/>
      <c r="OPL341" s="183"/>
      <c r="OPS341" s="267"/>
      <c r="OPT341" s="269"/>
      <c r="OPU341" s="267"/>
      <c r="OPV341" s="184"/>
      <c r="OPW341" s="184"/>
      <c r="OPX341" s="185"/>
      <c r="OPY341" s="184"/>
      <c r="OPZ341" s="184"/>
      <c r="OQA341" s="184"/>
      <c r="OQB341" s="187"/>
      <c r="OQC341" s="188"/>
      <c r="OQE341" s="182"/>
      <c r="OQF341" s="183"/>
      <c r="OQM341" s="267"/>
      <c r="OQN341" s="269"/>
      <c r="OQO341" s="267"/>
      <c r="OQP341" s="184"/>
      <c r="OQQ341" s="184"/>
      <c r="OQR341" s="185"/>
      <c r="OQS341" s="184"/>
      <c r="OQT341" s="184"/>
      <c r="OQU341" s="184"/>
      <c r="OQV341" s="187"/>
      <c r="OQW341" s="188"/>
      <c r="OQY341" s="182"/>
      <c r="OQZ341" s="183"/>
      <c r="ORG341" s="267"/>
      <c r="ORH341" s="269"/>
      <c r="ORI341" s="267"/>
      <c r="ORJ341" s="184"/>
      <c r="ORK341" s="184"/>
      <c r="ORL341" s="185"/>
      <c r="ORM341" s="184"/>
      <c r="ORN341" s="184"/>
      <c r="ORO341" s="184"/>
      <c r="ORP341" s="187"/>
      <c r="ORQ341" s="188"/>
      <c r="ORS341" s="182"/>
      <c r="ORT341" s="183"/>
      <c r="OSA341" s="267"/>
      <c r="OSB341" s="269"/>
      <c r="OSC341" s="267"/>
      <c r="OSD341" s="184"/>
      <c r="OSE341" s="184"/>
      <c r="OSF341" s="185"/>
      <c r="OSG341" s="184"/>
      <c r="OSH341" s="184"/>
      <c r="OSI341" s="184"/>
      <c r="OSJ341" s="187"/>
      <c r="OSK341" s="188"/>
      <c r="OSM341" s="182"/>
      <c r="OSN341" s="183"/>
      <c r="OSU341" s="267"/>
      <c r="OSV341" s="269"/>
      <c r="OSW341" s="267"/>
      <c r="OSX341" s="184"/>
      <c r="OSY341" s="184"/>
      <c r="OSZ341" s="185"/>
      <c r="OTA341" s="184"/>
      <c r="OTB341" s="184"/>
      <c r="OTC341" s="184"/>
      <c r="OTD341" s="187"/>
      <c r="OTE341" s="188"/>
      <c r="OTG341" s="182"/>
      <c r="OTH341" s="183"/>
      <c r="OTO341" s="267"/>
      <c r="OTP341" s="269"/>
      <c r="OTQ341" s="267"/>
      <c r="OTR341" s="184"/>
      <c r="OTS341" s="184"/>
      <c r="OTT341" s="185"/>
      <c r="OTU341" s="184"/>
      <c r="OTV341" s="184"/>
      <c r="OTW341" s="184"/>
      <c r="OTX341" s="187"/>
      <c r="OTY341" s="188"/>
      <c r="OUA341" s="182"/>
      <c r="OUB341" s="183"/>
      <c r="OUI341" s="267"/>
      <c r="OUJ341" s="269"/>
      <c r="OUK341" s="267"/>
      <c r="OUL341" s="184"/>
      <c r="OUM341" s="184"/>
      <c r="OUN341" s="185"/>
      <c r="OUO341" s="184"/>
      <c r="OUP341" s="184"/>
      <c r="OUQ341" s="184"/>
      <c r="OUR341" s="187"/>
      <c r="OUS341" s="188"/>
      <c r="OUU341" s="182"/>
      <c r="OUV341" s="183"/>
      <c r="OVC341" s="267"/>
      <c r="OVD341" s="269"/>
      <c r="OVE341" s="267"/>
      <c r="OVF341" s="184"/>
      <c r="OVG341" s="184"/>
      <c r="OVH341" s="185"/>
      <c r="OVI341" s="184"/>
      <c r="OVJ341" s="184"/>
      <c r="OVK341" s="184"/>
      <c r="OVL341" s="187"/>
      <c r="OVM341" s="188"/>
      <c r="OVO341" s="182"/>
      <c r="OVP341" s="183"/>
      <c r="OVW341" s="267"/>
      <c r="OVX341" s="269"/>
      <c r="OVY341" s="267"/>
      <c r="OVZ341" s="184"/>
      <c r="OWA341" s="184"/>
      <c r="OWB341" s="185"/>
      <c r="OWC341" s="184"/>
      <c r="OWD341" s="184"/>
      <c r="OWE341" s="184"/>
      <c r="OWF341" s="187"/>
      <c r="OWG341" s="188"/>
      <c r="OWI341" s="182"/>
      <c r="OWJ341" s="183"/>
      <c r="OWQ341" s="267"/>
      <c r="OWR341" s="269"/>
      <c r="OWS341" s="267"/>
      <c r="OWT341" s="184"/>
      <c r="OWU341" s="184"/>
      <c r="OWV341" s="185"/>
      <c r="OWW341" s="184"/>
      <c r="OWX341" s="184"/>
      <c r="OWY341" s="184"/>
      <c r="OWZ341" s="187"/>
      <c r="OXA341" s="188"/>
      <c r="OXC341" s="182"/>
      <c r="OXD341" s="183"/>
      <c r="OXK341" s="267"/>
      <c r="OXL341" s="269"/>
      <c r="OXM341" s="267"/>
      <c r="OXN341" s="184"/>
      <c r="OXO341" s="184"/>
      <c r="OXP341" s="185"/>
      <c r="OXQ341" s="184"/>
      <c r="OXR341" s="184"/>
      <c r="OXS341" s="184"/>
      <c r="OXT341" s="187"/>
      <c r="OXU341" s="188"/>
      <c r="OXW341" s="182"/>
      <c r="OXX341" s="183"/>
      <c r="OYE341" s="267"/>
      <c r="OYF341" s="269"/>
      <c r="OYG341" s="267"/>
      <c r="OYH341" s="184"/>
      <c r="OYI341" s="184"/>
      <c r="OYJ341" s="185"/>
      <c r="OYK341" s="184"/>
      <c r="OYL341" s="184"/>
      <c r="OYM341" s="184"/>
      <c r="OYN341" s="187"/>
      <c r="OYO341" s="188"/>
      <c r="OYQ341" s="182"/>
      <c r="OYR341" s="183"/>
      <c r="OYY341" s="267"/>
      <c r="OYZ341" s="269"/>
      <c r="OZA341" s="267"/>
      <c r="OZB341" s="184"/>
      <c r="OZC341" s="184"/>
      <c r="OZD341" s="185"/>
      <c r="OZE341" s="184"/>
      <c r="OZF341" s="184"/>
      <c r="OZG341" s="184"/>
      <c r="OZH341" s="187"/>
      <c r="OZI341" s="188"/>
      <c r="OZK341" s="182"/>
      <c r="OZL341" s="183"/>
      <c r="OZS341" s="267"/>
      <c r="OZT341" s="269"/>
      <c r="OZU341" s="267"/>
      <c r="OZV341" s="184"/>
      <c r="OZW341" s="184"/>
      <c r="OZX341" s="185"/>
      <c r="OZY341" s="184"/>
      <c r="OZZ341" s="184"/>
      <c r="PAA341" s="184"/>
      <c r="PAB341" s="187"/>
      <c r="PAC341" s="188"/>
      <c r="PAE341" s="182"/>
      <c r="PAF341" s="183"/>
      <c r="PAM341" s="267"/>
      <c r="PAN341" s="269"/>
      <c r="PAO341" s="267"/>
      <c r="PAP341" s="184"/>
      <c r="PAQ341" s="184"/>
      <c r="PAR341" s="185"/>
      <c r="PAS341" s="184"/>
      <c r="PAT341" s="184"/>
      <c r="PAU341" s="184"/>
      <c r="PAV341" s="187"/>
      <c r="PAW341" s="188"/>
      <c r="PAY341" s="182"/>
      <c r="PAZ341" s="183"/>
      <c r="PBG341" s="267"/>
      <c r="PBH341" s="269"/>
      <c r="PBI341" s="267"/>
      <c r="PBJ341" s="184"/>
      <c r="PBK341" s="184"/>
      <c r="PBL341" s="185"/>
      <c r="PBM341" s="184"/>
      <c r="PBN341" s="184"/>
      <c r="PBO341" s="184"/>
      <c r="PBP341" s="187"/>
      <c r="PBQ341" s="188"/>
      <c r="PBS341" s="182"/>
      <c r="PBT341" s="183"/>
      <c r="PCA341" s="267"/>
      <c r="PCB341" s="269"/>
      <c r="PCC341" s="267"/>
      <c r="PCD341" s="184"/>
      <c r="PCE341" s="184"/>
      <c r="PCF341" s="185"/>
      <c r="PCG341" s="184"/>
      <c r="PCH341" s="184"/>
      <c r="PCI341" s="184"/>
      <c r="PCJ341" s="187"/>
      <c r="PCK341" s="188"/>
      <c r="PCM341" s="182"/>
      <c r="PCN341" s="183"/>
      <c r="PCU341" s="267"/>
      <c r="PCV341" s="269"/>
      <c r="PCW341" s="267"/>
      <c r="PCX341" s="184"/>
      <c r="PCY341" s="184"/>
      <c r="PCZ341" s="185"/>
      <c r="PDA341" s="184"/>
      <c r="PDB341" s="184"/>
      <c r="PDC341" s="184"/>
      <c r="PDD341" s="187"/>
      <c r="PDE341" s="188"/>
      <c r="PDG341" s="182"/>
      <c r="PDH341" s="183"/>
      <c r="PDO341" s="267"/>
      <c r="PDP341" s="269"/>
      <c r="PDQ341" s="267"/>
      <c r="PDR341" s="184"/>
      <c r="PDS341" s="184"/>
      <c r="PDT341" s="185"/>
      <c r="PDU341" s="184"/>
      <c r="PDV341" s="184"/>
      <c r="PDW341" s="184"/>
      <c r="PDX341" s="187"/>
      <c r="PDY341" s="188"/>
      <c r="PEA341" s="182"/>
      <c r="PEB341" s="183"/>
      <c r="PEI341" s="267"/>
      <c r="PEJ341" s="269"/>
      <c r="PEK341" s="267"/>
      <c r="PEL341" s="184"/>
      <c r="PEM341" s="184"/>
      <c r="PEN341" s="185"/>
      <c r="PEO341" s="184"/>
      <c r="PEP341" s="184"/>
      <c r="PEQ341" s="184"/>
      <c r="PER341" s="187"/>
      <c r="PES341" s="188"/>
      <c r="PEU341" s="182"/>
      <c r="PEV341" s="183"/>
      <c r="PFC341" s="267"/>
      <c r="PFD341" s="269"/>
      <c r="PFE341" s="267"/>
      <c r="PFF341" s="184"/>
      <c r="PFG341" s="184"/>
      <c r="PFH341" s="185"/>
      <c r="PFI341" s="184"/>
      <c r="PFJ341" s="184"/>
      <c r="PFK341" s="184"/>
      <c r="PFL341" s="187"/>
      <c r="PFM341" s="188"/>
      <c r="PFO341" s="182"/>
      <c r="PFP341" s="183"/>
      <c r="PFW341" s="267"/>
      <c r="PFX341" s="269"/>
      <c r="PFY341" s="267"/>
      <c r="PFZ341" s="184"/>
      <c r="PGA341" s="184"/>
      <c r="PGB341" s="185"/>
      <c r="PGC341" s="184"/>
      <c r="PGD341" s="184"/>
      <c r="PGE341" s="184"/>
      <c r="PGF341" s="187"/>
      <c r="PGG341" s="188"/>
      <c r="PGI341" s="182"/>
      <c r="PGJ341" s="183"/>
      <c r="PGQ341" s="267"/>
      <c r="PGR341" s="269"/>
      <c r="PGS341" s="267"/>
      <c r="PGT341" s="184"/>
      <c r="PGU341" s="184"/>
      <c r="PGV341" s="185"/>
      <c r="PGW341" s="184"/>
      <c r="PGX341" s="184"/>
      <c r="PGY341" s="184"/>
      <c r="PGZ341" s="187"/>
      <c r="PHA341" s="188"/>
      <c r="PHC341" s="182"/>
      <c r="PHD341" s="183"/>
      <c r="PHK341" s="267"/>
      <c r="PHL341" s="269"/>
      <c r="PHM341" s="267"/>
      <c r="PHN341" s="184"/>
      <c r="PHO341" s="184"/>
      <c r="PHP341" s="185"/>
      <c r="PHQ341" s="184"/>
      <c r="PHR341" s="184"/>
      <c r="PHS341" s="184"/>
      <c r="PHT341" s="187"/>
      <c r="PHU341" s="188"/>
      <c r="PHW341" s="182"/>
      <c r="PHX341" s="183"/>
      <c r="PIE341" s="267"/>
      <c r="PIF341" s="269"/>
      <c r="PIG341" s="267"/>
      <c r="PIH341" s="184"/>
      <c r="PII341" s="184"/>
      <c r="PIJ341" s="185"/>
      <c r="PIK341" s="184"/>
      <c r="PIL341" s="184"/>
      <c r="PIM341" s="184"/>
      <c r="PIN341" s="187"/>
      <c r="PIO341" s="188"/>
      <c r="PIQ341" s="182"/>
      <c r="PIR341" s="183"/>
      <c r="PIY341" s="267"/>
      <c r="PIZ341" s="269"/>
      <c r="PJA341" s="267"/>
      <c r="PJB341" s="184"/>
      <c r="PJC341" s="184"/>
      <c r="PJD341" s="185"/>
      <c r="PJE341" s="184"/>
      <c r="PJF341" s="184"/>
      <c r="PJG341" s="184"/>
      <c r="PJH341" s="187"/>
      <c r="PJI341" s="188"/>
      <c r="PJK341" s="182"/>
      <c r="PJL341" s="183"/>
      <c r="PJS341" s="267"/>
      <c r="PJT341" s="269"/>
      <c r="PJU341" s="267"/>
      <c r="PJV341" s="184"/>
      <c r="PJW341" s="184"/>
      <c r="PJX341" s="185"/>
      <c r="PJY341" s="184"/>
      <c r="PJZ341" s="184"/>
      <c r="PKA341" s="184"/>
      <c r="PKB341" s="187"/>
      <c r="PKC341" s="188"/>
      <c r="PKE341" s="182"/>
      <c r="PKF341" s="183"/>
      <c r="PKM341" s="267"/>
      <c r="PKN341" s="269"/>
      <c r="PKO341" s="267"/>
      <c r="PKP341" s="184"/>
      <c r="PKQ341" s="184"/>
      <c r="PKR341" s="185"/>
      <c r="PKS341" s="184"/>
      <c r="PKT341" s="184"/>
      <c r="PKU341" s="184"/>
      <c r="PKV341" s="187"/>
      <c r="PKW341" s="188"/>
      <c r="PKY341" s="182"/>
      <c r="PKZ341" s="183"/>
      <c r="PLG341" s="267"/>
      <c r="PLH341" s="269"/>
      <c r="PLI341" s="267"/>
      <c r="PLJ341" s="184"/>
      <c r="PLK341" s="184"/>
      <c r="PLL341" s="185"/>
      <c r="PLM341" s="184"/>
      <c r="PLN341" s="184"/>
      <c r="PLO341" s="184"/>
      <c r="PLP341" s="187"/>
      <c r="PLQ341" s="188"/>
      <c r="PLS341" s="182"/>
      <c r="PLT341" s="183"/>
      <c r="PMA341" s="267"/>
      <c r="PMB341" s="269"/>
      <c r="PMC341" s="267"/>
      <c r="PMD341" s="184"/>
      <c r="PME341" s="184"/>
      <c r="PMF341" s="185"/>
      <c r="PMG341" s="184"/>
      <c r="PMH341" s="184"/>
      <c r="PMI341" s="184"/>
      <c r="PMJ341" s="187"/>
      <c r="PMK341" s="188"/>
      <c r="PMM341" s="182"/>
      <c r="PMN341" s="183"/>
      <c r="PMU341" s="267"/>
      <c r="PMV341" s="269"/>
      <c r="PMW341" s="267"/>
      <c r="PMX341" s="184"/>
      <c r="PMY341" s="184"/>
      <c r="PMZ341" s="185"/>
      <c r="PNA341" s="184"/>
      <c r="PNB341" s="184"/>
      <c r="PNC341" s="184"/>
      <c r="PND341" s="187"/>
      <c r="PNE341" s="188"/>
      <c r="PNG341" s="182"/>
      <c r="PNH341" s="183"/>
      <c r="PNO341" s="267"/>
      <c r="PNP341" s="269"/>
      <c r="PNQ341" s="267"/>
      <c r="PNR341" s="184"/>
      <c r="PNS341" s="184"/>
      <c r="PNT341" s="185"/>
      <c r="PNU341" s="184"/>
      <c r="PNV341" s="184"/>
      <c r="PNW341" s="184"/>
      <c r="PNX341" s="187"/>
      <c r="PNY341" s="188"/>
      <c r="POA341" s="182"/>
      <c r="POB341" s="183"/>
      <c r="POI341" s="267"/>
      <c r="POJ341" s="269"/>
      <c r="POK341" s="267"/>
      <c r="POL341" s="184"/>
      <c r="POM341" s="184"/>
      <c r="PON341" s="185"/>
      <c r="POO341" s="184"/>
      <c r="POP341" s="184"/>
      <c r="POQ341" s="184"/>
      <c r="POR341" s="187"/>
      <c r="POS341" s="188"/>
      <c r="POU341" s="182"/>
      <c r="POV341" s="183"/>
      <c r="PPC341" s="267"/>
      <c r="PPD341" s="269"/>
      <c r="PPE341" s="267"/>
      <c r="PPF341" s="184"/>
      <c r="PPG341" s="184"/>
      <c r="PPH341" s="185"/>
      <c r="PPI341" s="184"/>
      <c r="PPJ341" s="184"/>
      <c r="PPK341" s="184"/>
      <c r="PPL341" s="187"/>
      <c r="PPM341" s="188"/>
      <c r="PPO341" s="182"/>
      <c r="PPP341" s="183"/>
      <c r="PPW341" s="267"/>
      <c r="PPX341" s="269"/>
      <c r="PPY341" s="267"/>
      <c r="PPZ341" s="184"/>
      <c r="PQA341" s="184"/>
      <c r="PQB341" s="185"/>
      <c r="PQC341" s="184"/>
      <c r="PQD341" s="184"/>
      <c r="PQE341" s="184"/>
      <c r="PQF341" s="187"/>
      <c r="PQG341" s="188"/>
      <c r="PQI341" s="182"/>
      <c r="PQJ341" s="183"/>
      <c r="PQQ341" s="267"/>
      <c r="PQR341" s="269"/>
      <c r="PQS341" s="267"/>
      <c r="PQT341" s="184"/>
      <c r="PQU341" s="184"/>
      <c r="PQV341" s="185"/>
      <c r="PQW341" s="184"/>
      <c r="PQX341" s="184"/>
      <c r="PQY341" s="184"/>
      <c r="PQZ341" s="187"/>
      <c r="PRA341" s="188"/>
      <c r="PRC341" s="182"/>
      <c r="PRD341" s="183"/>
      <c r="PRK341" s="267"/>
      <c r="PRL341" s="269"/>
      <c r="PRM341" s="267"/>
      <c r="PRN341" s="184"/>
      <c r="PRO341" s="184"/>
      <c r="PRP341" s="185"/>
      <c r="PRQ341" s="184"/>
      <c r="PRR341" s="184"/>
      <c r="PRS341" s="184"/>
      <c r="PRT341" s="187"/>
      <c r="PRU341" s="188"/>
      <c r="PRW341" s="182"/>
      <c r="PRX341" s="183"/>
      <c r="PSE341" s="267"/>
      <c r="PSF341" s="269"/>
      <c r="PSG341" s="267"/>
      <c r="PSH341" s="184"/>
      <c r="PSI341" s="184"/>
      <c r="PSJ341" s="185"/>
      <c r="PSK341" s="184"/>
      <c r="PSL341" s="184"/>
      <c r="PSM341" s="184"/>
      <c r="PSN341" s="187"/>
      <c r="PSO341" s="188"/>
      <c r="PSQ341" s="182"/>
      <c r="PSR341" s="183"/>
      <c r="PSY341" s="267"/>
      <c r="PSZ341" s="269"/>
      <c r="PTA341" s="267"/>
      <c r="PTB341" s="184"/>
      <c r="PTC341" s="184"/>
      <c r="PTD341" s="185"/>
      <c r="PTE341" s="184"/>
      <c r="PTF341" s="184"/>
      <c r="PTG341" s="184"/>
      <c r="PTH341" s="187"/>
      <c r="PTI341" s="188"/>
      <c r="PTK341" s="182"/>
      <c r="PTL341" s="183"/>
      <c r="PTS341" s="267"/>
      <c r="PTT341" s="269"/>
      <c r="PTU341" s="267"/>
      <c r="PTV341" s="184"/>
      <c r="PTW341" s="184"/>
      <c r="PTX341" s="185"/>
      <c r="PTY341" s="184"/>
      <c r="PTZ341" s="184"/>
      <c r="PUA341" s="184"/>
      <c r="PUB341" s="187"/>
      <c r="PUC341" s="188"/>
      <c r="PUE341" s="182"/>
      <c r="PUF341" s="183"/>
      <c r="PUM341" s="267"/>
      <c r="PUN341" s="269"/>
      <c r="PUO341" s="267"/>
      <c r="PUP341" s="184"/>
      <c r="PUQ341" s="184"/>
      <c r="PUR341" s="185"/>
      <c r="PUS341" s="184"/>
      <c r="PUT341" s="184"/>
      <c r="PUU341" s="184"/>
      <c r="PUV341" s="187"/>
      <c r="PUW341" s="188"/>
      <c r="PUY341" s="182"/>
      <c r="PUZ341" s="183"/>
      <c r="PVG341" s="267"/>
      <c r="PVH341" s="269"/>
      <c r="PVI341" s="267"/>
      <c r="PVJ341" s="184"/>
      <c r="PVK341" s="184"/>
      <c r="PVL341" s="185"/>
      <c r="PVM341" s="184"/>
      <c r="PVN341" s="184"/>
      <c r="PVO341" s="184"/>
      <c r="PVP341" s="187"/>
      <c r="PVQ341" s="188"/>
      <c r="PVS341" s="182"/>
      <c r="PVT341" s="183"/>
      <c r="PWA341" s="267"/>
      <c r="PWB341" s="269"/>
      <c r="PWC341" s="267"/>
      <c r="PWD341" s="184"/>
      <c r="PWE341" s="184"/>
      <c r="PWF341" s="185"/>
      <c r="PWG341" s="184"/>
      <c r="PWH341" s="184"/>
      <c r="PWI341" s="184"/>
      <c r="PWJ341" s="187"/>
      <c r="PWK341" s="188"/>
      <c r="PWM341" s="182"/>
      <c r="PWN341" s="183"/>
      <c r="PWU341" s="267"/>
      <c r="PWV341" s="269"/>
      <c r="PWW341" s="267"/>
      <c r="PWX341" s="184"/>
      <c r="PWY341" s="184"/>
      <c r="PWZ341" s="185"/>
      <c r="PXA341" s="184"/>
      <c r="PXB341" s="184"/>
      <c r="PXC341" s="184"/>
      <c r="PXD341" s="187"/>
      <c r="PXE341" s="188"/>
      <c r="PXG341" s="182"/>
      <c r="PXH341" s="183"/>
      <c r="PXO341" s="267"/>
      <c r="PXP341" s="269"/>
      <c r="PXQ341" s="267"/>
      <c r="PXR341" s="184"/>
      <c r="PXS341" s="184"/>
      <c r="PXT341" s="185"/>
      <c r="PXU341" s="184"/>
      <c r="PXV341" s="184"/>
      <c r="PXW341" s="184"/>
      <c r="PXX341" s="187"/>
      <c r="PXY341" s="188"/>
      <c r="PYA341" s="182"/>
      <c r="PYB341" s="183"/>
      <c r="PYI341" s="267"/>
      <c r="PYJ341" s="269"/>
      <c r="PYK341" s="267"/>
      <c r="PYL341" s="184"/>
      <c r="PYM341" s="184"/>
      <c r="PYN341" s="185"/>
      <c r="PYO341" s="184"/>
      <c r="PYP341" s="184"/>
      <c r="PYQ341" s="184"/>
      <c r="PYR341" s="187"/>
      <c r="PYS341" s="188"/>
      <c r="PYU341" s="182"/>
      <c r="PYV341" s="183"/>
      <c r="PZC341" s="267"/>
      <c r="PZD341" s="269"/>
      <c r="PZE341" s="267"/>
      <c r="PZF341" s="184"/>
      <c r="PZG341" s="184"/>
      <c r="PZH341" s="185"/>
      <c r="PZI341" s="184"/>
      <c r="PZJ341" s="184"/>
      <c r="PZK341" s="184"/>
      <c r="PZL341" s="187"/>
      <c r="PZM341" s="188"/>
      <c r="PZO341" s="182"/>
      <c r="PZP341" s="183"/>
      <c r="PZW341" s="267"/>
      <c r="PZX341" s="269"/>
      <c r="PZY341" s="267"/>
      <c r="PZZ341" s="184"/>
      <c r="QAA341" s="184"/>
      <c r="QAB341" s="185"/>
      <c r="QAC341" s="184"/>
      <c r="QAD341" s="184"/>
      <c r="QAE341" s="184"/>
      <c r="QAF341" s="187"/>
      <c r="QAG341" s="188"/>
      <c r="QAI341" s="182"/>
      <c r="QAJ341" s="183"/>
      <c r="QAQ341" s="267"/>
      <c r="QAR341" s="269"/>
      <c r="QAS341" s="267"/>
      <c r="QAT341" s="184"/>
      <c r="QAU341" s="184"/>
      <c r="QAV341" s="185"/>
      <c r="QAW341" s="184"/>
      <c r="QAX341" s="184"/>
      <c r="QAY341" s="184"/>
      <c r="QAZ341" s="187"/>
      <c r="QBA341" s="188"/>
      <c r="QBC341" s="182"/>
      <c r="QBD341" s="183"/>
      <c r="QBK341" s="267"/>
      <c r="QBL341" s="269"/>
      <c r="QBM341" s="267"/>
      <c r="QBN341" s="184"/>
      <c r="QBO341" s="184"/>
      <c r="QBP341" s="185"/>
      <c r="QBQ341" s="184"/>
      <c r="QBR341" s="184"/>
      <c r="QBS341" s="184"/>
      <c r="QBT341" s="187"/>
      <c r="QBU341" s="188"/>
      <c r="QBW341" s="182"/>
      <c r="QBX341" s="183"/>
      <c r="QCE341" s="267"/>
      <c r="QCF341" s="269"/>
      <c r="QCG341" s="267"/>
      <c r="QCH341" s="184"/>
      <c r="QCI341" s="184"/>
      <c r="QCJ341" s="185"/>
      <c r="QCK341" s="184"/>
      <c r="QCL341" s="184"/>
      <c r="QCM341" s="184"/>
      <c r="QCN341" s="187"/>
      <c r="QCO341" s="188"/>
      <c r="QCQ341" s="182"/>
      <c r="QCR341" s="183"/>
      <c r="QCY341" s="267"/>
      <c r="QCZ341" s="269"/>
      <c r="QDA341" s="267"/>
      <c r="QDB341" s="184"/>
      <c r="QDC341" s="184"/>
      <c r="QDD341" s="185"/>
      <c r="QDE341" s="184"/>
      <c r="QDF341" s="184"/>
      <c r="QDG341" s="184"/>
      <c r="QDH341" s="187"/>
      <c r="QDI341" s="188"/>
      <c r="QDK341" s="182"/>
      <c r="QDL341" s="183"/>
      <c r="QDS341" s="267"/>
      <c r="QDT341" s="269"/>
      <c r="QDU341" s="267"/>
      <c r="QDV341" s="184"/>
      <c r="QDW341" s="184"/>
      <c r="QDX341" s="185"/>
      <c r="QDY341" s="184"/>
      <c r="QDZ341" s="184"/>
      <c r="QEA341" s="184"/>
      <c r="QEB341" s="187"/>
      <c r="QEC341" s="188"/>
      <c r="QEE341" s="182"/>
      <c r="QEF341" s="183"/>
      <c r="QEM341" s="267"/>
      <c r="QEN341" s="269"/>
      <c r="QEO341" s="267"/>
      <c r="QEP341" s="184"/>
      <c r="QEQ341" s="184"/>
      <c r="QER341" s="185"/>
      <c r="QES341" s="184"/>
      <c r="QET341" s="184"/>
      <c r="QEU341" s="184"/>
      <c r="QEV341" s="187"/>
      <c r="QEW341" s="188"/>
      <c r="QEY341" s="182"/>
      <c r="QEZ341" s="183"/>
      <c r="QFG341" s="267"/>
      <c r="QFH341" s="269"/>
      <c r="QFI341" s="267"/>
      <c r="QFJ341" s="184"/>
      <c r="QFK341" s="184"/>
      <c r="QFL341" s="185"/>
      <c r="QFM341" s="184"/>
      <c r="QFN341" s="184"/>
      <c r="QFO341" s="184"/>
      <c r="QFP341" s="187"/>
      <c r="QFQ341" s="188"/>
      <c r="QFS341" s="182"/>
      <c r="QFT341" s="183"/>
      <c r="QGA341" s="267"/>
      <c r="QGB341" s="269"/>
      <c r="QGC341" s="267"/>
      <c r="QGD341" s="184"/>
      <c r="QGE341" s="184"/>
      <c r="QGF341" s="185"/>
      <c r="QGG341" s="184"/>
      <c r="QGH341" s="184"/>
      <c r="QGI341" s="184"/>
      <c r="QGJ341" s="187"/>
      <c r="QGK341" s="188"/>
      <c r="QGM341" s="182"/>
      <c r="QGN341" s="183"/>
      <c r="QGU341" s="267"/>
      <c r="QGV341" s="269"/>
      <c r="QGW341" s="267"/>
      <c r="QGX341" s="184"/>
      <c r="QGY341" s="184"/>
      <c r="QGZ341" s="185"/>
      <c r="QHA341" s="184"/>
      <c r="QHB341" s="184"/>
      <c r="QHC341" s="184"/>
      <c r="QHD341" s="187"/>
      <c r="QHE341" s="188"/>
      <c r="QHG341" s="182"/>
      <c r="QHH341" s="183"/>
      <c r="QHO341" s="267"/>
      <c r="QHP341" s="269"/>
      <c r="QHQ341" s="267"/>
      <c r="QHR341" s="184"/>
      <c r="QHS341" s="184"/>
      <c r="QHT341" s="185"/>
      <c r="QHU341" s="184"/>
      <c r="QHV341" s="184"/>
      <c r="QHW341" s="184"/>
      <c r="QHX341" s="187"/>
      <c r="QHY341" s="188"/>
      <c r="QIA341" s="182"/>
      <c r="QIB341" s="183"/>
      <c r="QII341" s="267"/>
      <c r="QIJ341" s="269"/>
      <c r="QIK341" s="267"/>
      <c r="QIL341" s="184"/>
      <c r="QIM341" s="184"/>
      <c r="QIN341" s="185"/>
      <c r="QIO341" s="184"/>
      <c r="QIP341" s="184"/>
      <c r="QIQ341" s="184"/>
      <c r="QIR341" s="187"/>
      <c r="QIS341" s="188"/>
      <c r="QIU341" s="182"/>
      <c r="QIV341" s="183"/>
      <c r="QJC341" s="267"/>
      <c r="QJD341" s="269"/>
      <c r="QJE341" s="267"/>
      <c r="QJF341" s="184"/>
      <c r="QJG341" s="184"/>
      <c r="QJH341" s="185"/>
      <c r="QJI341" s="184"/>
      <c r="QJJ341" s="184"/>
      <c r="QJK341" s="184"/>
      <c r="QJL341" s="187"/>
      <c r="QJM341" s="188"/>
      <c r="QJO341" s="182"/>
      <c r="QJP341" s="183"/>
      <c r="QJW341" s="267"/>
      <c r="QJX341" s="269"/>
      <c r="QJY341" s="267"/>
      <c r="QJZ341" s="184"/>
      <c r="QKA341" s="184"/>
      <c r="QKB341" s="185"/>
      <c r="QKC341" s="184"/>
      <c r="QKD341" s="184"/>
      <c r="QKE341" s="184"/>
      <c r="QKF341" s="187"/>
      <c r="QKG341" s="188"/>
      <c r="QKI341" s="182"/>
      <c r="QKJ341" s="183"/>
      <c r="QKQ341" s="267"/>
      <c r="QKR341" s="269"/>
      <c r="QKS341" s="267"/>
      <c r="QKT341" s="184"/>
      <c r="QKU341" s="184"/>
      <c r="QKV341" s="185"/>
      <c r="QKW341" s="184"/>
      <c r="QKX341" s="184"/>
      <c r="QKY341" s="184"/>
      <c r="QKZ341" s="187"/>
      <c r="QLA341" s="188"/>
      <c r="QLC341" s="182"/>
      <c r="QLD341" s="183"/>
      <c r="QLK341" s="267"/>
      <c r="QLL341" s="269"/>
      <c r="QLM341" s="267"/>
      <c r="QLN341" s="184"/>
      <c r="QLO341" s="184"/>
      <c r="QLP341" s="185"/>
      <c r="QLQ341" s="184"/>
      <c r="QLR341" s="184"/>
      <c r="QLS341" s="184"/>
      <c r="QLT341" s="187"/>
      <c r="QLU341" s="188"/>
      <c r="QLW341" s="182"/>
      <c r="QLX341" s="183"/>
      <c r="QME341" s="267"/>
      <c r="QMF341" s="269"/>
      <c r="QMG341" s="267"/>
      <c r="QMH341" s="184"/>
      <c r="QMI341" s="184"/>
      <c r="QMJ341" s="185"/>
      <c r="QMK341" s="184"/>
      <c r="QML341" s="184"/>
      <c r="QMM341" s="184"/>
      <c r="QMN341" s="187"/>
      <c r="QMO341" s="188"/>
      <c r="QMQ341" s="182"/>
      <c r="QMR341" s="183"/>
      <c r="QMY341" s="267"/>
      <c r="QMZ341" s="269"/>
      <c r="QNA341" s="267"/>
      <c r="QNB341" s="184"/>
      <c r="QNC341" s="184"/>
      <c r="QND341" s="185"/>
      <c r="QNE341" s="184"/>
      <c r="QNF341" s="184"/>
      <c r="QNG341" s="184"/>
      <c r="QNH341" s="187"/>
      <c r="QNI341" s="188"/>
      <c r="QNK341" s="182"/>
      <c r="QNL341" s="183"/>
      <c r="QNS341" s="267"/>
      <c r="QNT341" s="269"/>
      <c r="QNU341" s="267"/>
      <c r="QNV341" s="184"/>
      <c r="QNW341" s="184"/>
      <c r="QNX341" s="185"/>
      <c r="QNY341" s="184"/>
      <c r="QNZ341" s="184"/>
      <c r="QOA341" s="184"/>
      <c r="QOB341" s="187"/>
      <c r="QOC341" s="188"/>
      <c r="QOE341" s="182"/>
      <c r="QOF341" s="183"/>
      <c r="QOM341" s="267"/>
      <c r="QON341" s="269"/>
      <c r="QOO341" s="267"/>
      <c r="QOP341" s="184"/>
      <c r="QOQ341" s="184"/>
      <c r="QOR341" s="185"/>
      <c r="QOS341" s="184"/>
      <c r="QOT341" s="184"/>
      <c r="QOU341" s="184"/>
      <c r="QOV341" s="187"/>
      <c r="QOW341" s="188"/>
      <c r="QOY341" s="182"/>
      <c r="QOZ341" s="183"/>
      <c r="QPG341" s="267"/>
      <c r="QPH341" s="269"/>
      <c r="QPI341" s="267"/>
      <c r="QPJ341" s="184"/>
      <c r="QPK341" s="184"/>
      <c r="QPL341" s="185"/>
      <c r="QPM341" s="184"/>
      <c r="QPN341" s="184"/>
      <c r="QPO341" s="184"/>
      <c r="QPP341" s="187"/>
      <c r="QPQ341" s="188"/>
      <c r="QPS341" s="182"/>
      <c r="QPT341" s="183"/>
      <c r="QQA341" s="267"/>
      <c r="QQB341" s="269"/>
      <c r="QQC341" s="267"/>
      <c r="QQD341" s="184"/>
      <c r="QQE341" s="184"/>
      <c r="QQF341" s="185"/>
      <c r="QQG341" s="184"/>
      <c r="QQH341" s="184"/>
      <c r="QQI341" s="184"/>
      <c r="QQJ341" s="187"/>
      <c r="QQK341" s="188"/>
      <c r="QQM341" s="182"/>
      <c r="QQN341" s="183"/>
      <c r="QQU341" s="267"/>
      <c r="QQV341" s="269"/>
      <c r="QQW341" s="267"/>
      <c r="QQX341" s="184"/>
      <c r="QQY341" s="184"/>
      <c r="QQZ341" s="185"/>
      <c r="QRA341" s="184"/>
      <c r="QRB341" s="184"/>
      <c r="QRC341" s="184"/>
      <c r="QRD341" s="187"/>
      <c r="QRE341" s="188"/>
      <c r="QRG341" s="182"/>
      <c r="QRH341" s="183"/>
      <c r="QRO341" s="267"/>
      <c r="QRP341" s="269"/>
      <c r="QRQ341" s="267"/>
      <c r="QRR341" s="184"/>
      <c r="QRS341" s="184"/>
      <c r="QRT341" s="185"/>
      <c r="QRU341" s="184"/>
      <c r="QRV341" s="184"/>
      <c r="QRW341" s="184"/>
      <c r="QRX341" s="187"/>
      <c r="QRY341" s="188"/>
      <c r="QSA341" s="182"/>
      <c r="QSB341" s="183"/>
      <c r="QSI341" s="267"/>
      <c r="QSJ341" s="269"/>
      <c r="QSK341" s="267"/>
      <c r="QSL341" s="184"/>
      <c r="QSM341" s="184"/>
      <c r="QSN341" s="185"/>
      <c r="QSO341" s="184"/>
      <c r="QSP341" s="184"/>
      <c r="QSQ341" s="184"/>
      <c r="QSR341" s="187"/>
      <c r="QSS341" s="188"/>
      <c r="QSU341" s="182"/>
      <c r="QSV341" s="183"/>
      <c r="QTC341" s="267"/>
      <c r="QTD341" s="269"/>
      <c r="QTE341" s="267"/>
      <c r="QTF341" s="184"/>
      <c r="QTG341" s="184"/>
      <c r="QTH341" s="185"/>
      <c r="QTI341" s="184"/>
      <c r="QTJ341" s="184"/>
      <c r="QTK341" s="184"/>
      <c r="QTL341" s="187"/>
      <c r="QTM341" s="188"/>
      <c r="QTO341" s="182"/>
      <c r="QTP341" s="183"/>
      <c r="QTW341" s="267"/>
      <c r="QTX341" s="269"/>
      <c r="QTY341" s="267"/>
      <c r="QTZ341" s="184"/>
      <c r="QUA341" s="184"/>
      <c r="QUB341" s="185"/>
      <c r="QUC341" s="184"/>
      <c r="QUD341" s="184"/>
      <c r="QUE341" s="184"/>
      <c r="QUF341" s="187"/>
      <c r="QUG341" s="188"/>
      <c r="QUI341" s="182"/>
      <c r="QUJ341" s="183"/>
      <c r="QUQ341" s="267"/>
      <c r="QUR341" s="269"/>
      <c r="QUS341" s="267"/>
      <c r="QUT341" s="184"/>
      <c r="QUU341" s="184"/>
      <c r="QUV341" s="185"/>
      <c r="QUW341" s="184"/>
      <c r="QUX341" s="184"/>
      <c r="QUY341" s="184"/>
      <c r="QUZ341" s="187"/>
      <c r="QVA341" s="188"/>
      <c r="QVC341" s="182"/>
      <c r="QVD341" s="183"/>
      <c r="QVK341" s="267"/>
      <c r="QVL341" s="269"/>
      <c r="QVM341" s="267"/>
      <c r="QVN341" s="184"/>
      <c r="QVO341" s="184"/>
      <c r="QVP341" s="185"/>
      <c r="QVQ341" s="184"/>
      <c r="QVR341" s="184"/>
      <c r="QVS341" s="184"/>
      <c r="QVT341" s="187"/>
      <c r="QVU341" s="188"/>
      <c r="QVW341" s="182"/>
      <c r="QVX341" s="183"/>
      <c r="QWE341" s="267"/>
      <c r="QWF341" s="269"/>
      <c r="QWG341" s="267"/>
      <c r="QWH341" s="184"/>
      <c r="QWI341" s="184"/>
      <c r="QWJ341" s="185"/>
      <c r="QWK341" s="184"/>
      <c r="QWL341" s="184"/>
      <c r="QWM341" s="184"/>
      <c r="QWN341" s="187"/>
      <c r="QWO341" s="188"/>
      <c r="QWQ341" s="182"/>
      <c r="QWR341" s="183"/>
      <c r="QWY341" s="267"/>
      <c r="QWZ341" s="269"/>
      <c r="QXA341" s="267"/>
      <c r="QXB341" s="184"/>
      <c r="QXC341" s="184"/>
      <c r="QXD341" s="185"/>
      <c r="QXE341" s="184"/>
      <c r="QXF341" s="184"/>
      <c r="QXG341" s="184"/>
      <c r="QXH341" s="187"/>
      <c r="QXI341" s="188"/>
      <c r="QXK341" s="182"/>
      <c r="QXL341" s="183"/>
      <c r="QXS341" s="267"/>
      <c r="QXT341" s="269"/>
      <c r="QXU341" s="267"/>
      <c r="QXV341" s="184"/>
      <c r="QXW341" s="184"/>
      <c r="QXX341" s="185"/>
      <c r="QXY341" s="184"/>
      <c r="QXZ341" s="184"/>
      <c r="QYA341" s="184"/>
      <c r="QYB341" s="187"/>
      <c r="QYC341" s="188"/>
      <c r="QYE341" s="182"/>
      <c r="QYF341" s="183"/>
      <c r="QYM341" s="267"/>
      <c r="QYN341" s="269"/>
      <c r="QYO341" s="267"/>
      <c r="QYP341" s="184"/>
      <c r="QYQ341" s="184"/>
      <c r="QYR341" s="185"/>
      <c r="QYS341" s="184"/>
      <c r="QYT341" s="184"/>
      <c r="QYU341" s="184"/>
      <c r="QYV341" s="187"/>
      <c r="QYW341" s="188"/>
      <c r="QYY341" s="182"/>
      <c r="QYZ341" s="183"/>
      <c r="QZG341" s="267"/>
      <c r="QZH341" s="269"/>
      <c r="QZI341" s="267"/>
      <c r="QZJ341" s="184"/>
      <c r="QZK341" s="184"/>
      <c r="QZL341" s="185"/>
      <c r="QZM341" s="184"/>
      <c r="QZN341" s="184"/>
      <c r="QZO341" s="184"/>
      <c r="QZP341" s="187"/>
      <c r="QZQ341" s="188"/>
      <c r="QZS341" s="182"/>
      <c r="QZT341" s="183"/>
      <c r="RAA341" s="267"/>
      <c r="RAB341" s="269"/>
      <c r="RAC341" s="267"/>
      <c r="RAD341" s="184"/>
      <c r="RAE341" s="184"/>
      <c r="RAF341" s="185"/>
      <c r="RAG341" s="184"/>
      <c r="RAH341" s="184"/>
      <c r="RAI341" s="184"/>
      <c r="RAJ341" s="187"/>
      <c r="RAK341" s="188"/>
      <c r="RAM341" s="182"/>
      <c r="RAN341" s="183"/>
      <c r="RAU341" s="267"/>
      <c r="RAV341" s="269"/>
      <c r="RAW341" s="267"/>
      <c r="RAX341" s="184"/>
      <c r="RAY341" s="184"/>
      <c r="RAZ341" s="185"/>
      <c r="RBA341" s="184"/>
      <c r="RBB341" s="184"/>
      <c r="RBC341" s="184"/>
      <c r="RBD341" s="187"/>
      <c r="RBE341" s="188"/>
      <c r="RBG341" s="182"/>
      <c r="RBH341" s="183"/>
      <c r="RBO341" s="267"/>
      <c r="RBP341" s="269"/>
      <c r="RBQ341" s="267"/>
      <c r="RBR341" s="184"/>
      <c r="RBS341" s="184"/>
      <c r="RBT341" s="185"/>
      <c r="RBU341" s="184"/>
      <c r="RBV341" s="184"/>
      <c r="RBW341" s="184"/>
      <c r="RBX341" s="187"/>
      <c r="RBY341" s="188"/>
      <c r="RCA341" s="182"/>
      <c r="RCB341" s="183"/>
      <c r="RCI341" s="267"/>
      <c r="RCJ341" s="269"/>
      <c r="RCK341" s="267"/>
      <c r="RCL341" s="184"/>
      <c r="RCM341" s="184"/>
      <c r="RCN341" s="185"/>
      <c r="RCO341" s="184"/>
      <c r="RCP341" s="184"/>
      <c r="RCQ341" s="184"/>
      <c r="RCR341" s="187"/>
      <c r="RCS341" s="188"/>
      <c r="RCU341" s="182"/>
      <c r="RCV341" s="183"/>
      <c r="RDC341" s="267"/>
      <c r="RDD341" s="269"/>
      <c r="RDE341" s="267"/>
      <c r="RDF341" s="184"/>
      <c r="RDG341" s="184"/>
      <c r="RDH341" s="185"/>
      <c r="RDI341" s="184"/>
      <c r="RDJ341" s="184"/>
      <c r="RDK341" s="184"/>
      <c r="RDL341" s="187"/>
      <c r="RDM341" s="188"/>
      <c r="RDO341" s="182"/>
      <c r="RDP341" s="183"/>
      <c r="RDW341" s="267"/>
      <c r="RDX341" s="269"/>
      <c r="RDY341" s="267"/>
      <c r="RDZ341" s="184"/>
      <c r="REA341" s="184"/>
      <c r="REB341" s="185"/>
      <c r="REC341" s="184"/>
      <c r="RED341" s="184"/>
      <c r="REE341" s="184"/>
      <c r="REF341" s="187"/>
      <c r="REG341" s="188"/>
      <c r="REI341" s="182"/>
      <c r="REJ341" s="183"/>
      <c r="REQ341" s="267"/>
      <c r="RER341" s="269"/>
      <c r="RES341" s="267"/>
      <c r="RET341" s="184"/>
      <c r="REU341" s="184"/>
      <c r="REV341" s="185"/>
      <c r="REW341" s="184"/>
      <c r="REX341" s="184"/>
      <c r="REY341" s="184"/>
      <c r="REZ341" s="187"/>
      <c r="RFA341" s="188"/>
      <c r="RFC341" s="182"/>
      <c r="RFD341" s="183"/>
      <c r="RFK341" s="267"/>
      <c r="RFL341" s="269"/>
      <c r="RFM341" s="267"/>
      <c r="RFN341" s="184"/>
      <c r="RFO341" s="184"/>
      <c r="RFP341" s="185"/>
      <c r="RFQ341" s="184"/>
      <c r="RFR341" s="184"/>
      <c r="RFS341" s="184"/>
      <c r="RFT341" s="187"/>
      <c r="RFU341" s="188"/>
      <c r="RFW341" s="182"/>
      <c r="RFX341" s="183"/>
      <c r="RGE341" s="267"/>
      <c r="RGF341" s="269"/>
      <c r="RGG341" s="267"/>
      <c r="RGH341" s="184"/>
      <c r="RGI341" s="184"/>
      <c r="RGJ341" s="185"/>
      <c r="RGK341" s="184"/>
      <c r="RGL341" s="184"/>
      <c r="RGM341" s="184"/>
      <c r="RGN341" s="187"/>
      <c r="RGO341" s="188"/>
      <c r="RGQ341" s="182"/>
      <c r="RGR341" s="183"/>
      <c r="RGY341" s="267"/>
      <c r="RGZ341" s="269"/>
      <c r="RHA341" s="267"/>
      <c r="RHB341" s="184"/>
      <c r="RHC341" s="184"/>
      <c r="RHD341" s="185"/>
      <c r="RHE341" s="184"/>
      <c r="RHF341" s="184"/>
      <c r="RHG341" s="184"/>
      <c r="RHH341" s="187"/>
      <c r="RHI341" s="188"/>
      <c r="RHK341" s="182"/>
      <c r="RHL341" s="183"/>
      <c r="RHS341" s="267"/>
      <c r="RHT341" s="269"/>
      <c r="RHU341" s="267"/>
      <c r="RHV341" s="184"/>
      <c r="RHW341" s="184"/>
      <c r="RHX341" s="185"/>
      <c r="RHY341" s="184"/>
      <c r="RHZ341" s="184"/>
      <c r="RIA341" s="184"/>
      <c r="RIB341" s="187"/>
      <c r="RIC341" s="188"/>
      <c r="RIE341" s="182"/>
      <c r="RIF341" s="183"/>
      <c r="RIM341" s="267"/>
      <c r="RIN341" s="269"/>
      <c r="RIO341" s="267"/>
      <c r="RIP341" s="184"/>
      <c r="RIQ341" s="184"/>
      <c r="RIR341" s="185"/>
      <c r="RIS341" s="184"/>
      <c r="RIT341" s="184"/>
      <c r="RIU341" s="184"/>
      <c r="RIV341" s="187"/>
      <c r="RIW341" s="188"/>
      <c r="RIY341" s="182"/>
      <c r="RIZ341" s="183"/>
      <c r="RJG341" s="267"/>
      <c r="RJH341" s="269"/>
      <c r="RJI341" s="267"/>
      <c r="RJJ341" s="184"/>
      <c r="RJK341" s="184"/>
      <c r="RJL341" s="185"/>
      <c r="RJM341" s="184"/>
      <c r="RJN341" s="184"/>
      <c r="RJO341" s="184"/>
      <c r="RJP341" s="187"/>
      <c r="RJQ341" s="188"/>
      <c r="RJS341" s="182"/>
      <c r="RJT341" s="183"/>
      <c r="RKA341" s="267"/>
      <c r="RKB341" s="269"/>
      <c r="RKC341" s="267"/>
      <c r="RKD341" s="184"/>
      <c r="RKE341" s="184"/>
      <c r="RKF341" s="185"/>
      <c r="RKG341" s="184"/>
      <c r="RKH341" s="184"/>
      <c r="RKI341" s="184"/>
      <c r="RKJ341" s="187"/>
      <c r="RKK341" s="188"/>
      <c r="RKM341" s="182"/>
      <c r="RKN341" s="183"/>
      <c r="RKU341" s="267"/>
      <c r="RKV341" s="269"/>
      <c r="RKW341" s="267"/>
      <c r="RKX341" s="184"/>
      <c r="RKY341" s="184"/>
      <c r="RKZ341" s="185"/>
      <c r="RLA341" s="184"/>
      <c r="RLB341" s="184"/>
      <c r="RLC341" s="184"/>
      <c r="RLD341" s="187"/>
      <c r="RLE341" s="188"/>
      <c r="RLG341" s="182"/>
      <c r="RLH341" s="183"/>
      <c r="RLO341" s="267"/>
      <c r="RLP341" s="269"/>
      <c r="RLQ341" s="267"/>
      <c r="RLR341" s="184"/>
      <c r="RLS341" s="184"/>
      <c r="RLT341" s="185"/>
      <c r="RLU341" s="184"/>
      <c r="RLV341" s="184"/>
      <c r="RLW341" s="184"/>
      <c r="RLX341" s="187"/>
      <c r="RLY341" s="188"/>
      <c r="RMA341" s="182"/>
      <c r="RMB341" s="183"/>
      <c r="RMI341" s="267"/>
      <c r="RMJ341" s="269"/>
      <c r="RMK341" s="267"/>
      <c r="RML341" s="184"/>
      <c r="RMM341" s="184"/>
      <c r="RMN341" s="185"/>
      <c r="RMO341" s="184"/>
      <c r="RMP341" s="184"/>
      <c r="RMQ341" s="184"/>
      <c r="RMR341" s="187"/>
      <c r="RMS341" s="188"/>
      <c r="RMU341" s="182"/>
      <c r="RMV341" s="183"/>
      <c r="RNC341" s="267"/>
      <c r="RND341" s="269"/>
      <c r="RNE341" s="267"/>
      <c r="RNF341" s="184"/>
      <c r="RNG341" s="184"/>
      <c r="RNH341" s="185"/>
      <c r="RNI341" s="184"/>
      <c r="RNJ341" s="184"/>
      <c r="RNK341" s="184"/>
      <c r="RNL341" s="187"/>
      <c r="RNM341" s="188"/>
      <c r="RNO341" s="182"/>
      <c r="RNP341" s="183"/>
      <c r="RNW341" s="267"/>
      <c r="RNX341" s="269"/>
      <c r="RNY341" s="267"/>
      <c r="RNZ341" s="184"/>
      <c r="ROA341" s="184"/>
      <c r="ROB341" s="185"/>
      <c r="ROC341" s="184"/>
      <c r="ROD341" s="184"/>
      <c r="ROE341" s="184"/>
      <c r="ROF341" s="187"/>
      <c r="ROG341" s="188"/>
      <c r="ROI341" s="182"/>
      <c r="ROJ341" s="183"/>
      <c r="ROQ341" s="267"/>
      <c r="ROR341" s="269"/>
      <c r="ROS341" s="267"/>
      <c r="ROT341" s="184"/>
      <c r="ROU341" s="184"/>
      <c r="ROV341" s="185"/>
      <c r="ROW341" s="184"/>
      <c r="ROX341" s="184"/>
      <c r="ROY341" s="184"/>
      <c r="ROZ341" s="187"/>
      <c r="RPA341" s="188"/>
      <c r="RPC341" s="182"/>
      <c r="RPD341" s="183"/>
      <c r="RPK341" s="267"/>
      <c r="RPL341" s="269"/>
      <c r="RPM341" s="267"/>
      <c r="RPN341" s="184"/>
      <c r="RPO341" s="184"/>
      <c r="RPP341" s="185"/>
      <c r="RPQ341" s="184"/>
      <c r="RPR341" s="184"/>
      <c r="RPS341" s="184"/>
      <c r="RPT341" s="187"/>
      <c r="RPU341" s="188"/>
      <c r="RPW341" s="182"/>
      <c r="RPX341" s="183"/>
      <c r="RQE341" s="267"/>
      <c r="RQF341" s="269"/>
      <c r="RQG341" s="267"/>
      <c r="RQH341" s="184"/>
      <c r="RQI341" s="184"/>
      <c r="RQJ341" s="185"/>
      <c r="RQK341" s="184"/>
      <c r="RQL341" s="184"/>
      <c r="RQM341" s="184"/>
      <c r="RQN341" s="187"/>
      <c r="RQO341" s="188"/>
      <c r="RQQ341" s="182"/>
      <c r="RQR341" s="183"/>
      <c r="RQY341" s="267"/>
      <c r="RQZ341" s="269"/>
      <c r="RRA341" s="267"/>
      <c r="RRB341" s="184"/>
      <c r="RRC341" s="184"/>
      <c r="RRD341" s="185"/>
      <c r="RRE341" s="184"/>
      <c r="RRF341" s="184"/>
      <c r="RRG341" s="184"/>
      <c r="RRH341" s="187"/>
      <c r="RRI341" s="188"/>
      <c r="RRK341" s="182"/>
      <c r="RRL341" s="183"/>
      <c r="RRS341" s="267"/>
      <c r="RRT341" s="269"/>
      <c r="RRU341" s="267"/>
      <c r="RRV341" s="184"/>
      <c r="RRW341" s="184"/>
      <c r="RRX341" s="185"/>
      <c r="RRY341" s="184"/>
      <c r="RRZ341" s="184"/>
      <c r="RSA341" s="184"/>
      <c r="RSB341" s="187"/>
      <c r="RSC341" s="188"/>
      <c r="RSE341" s="182"/>
      <c r="RSF341" s="183"/>
      <c r="RSM341" s="267"/>
      <c r="RSN341" s="269"/>
      <c r="RSO341" s="267"/>
      <c r="RSP341" s="184"/>
      <c r="RSQ341" s="184"/>
      <c r="RSR341" s="185"/>
      <c r="RSS341" s="184"/>
      <c r="RST341" s="184"/>
      <c r="RSU341" s="184"/>
      <c r="RSV341" s="187"/>
      <c r="RSW341" s="188"/>
      <c r="RSY341" s="182"/>
      <c r="RSZ341" s="183"/>
      <c r="RTG341" s="267"/>
      <c r="RTH341" s="269"/>
      <c r="RTI341" s="267"/>
      <c r="RTJ341" s="184"/>
      <c r="RTK341" s="184"/>
      <c r="RTL341" s="185"/>
      <c r="RTM341" s="184"/>
      <c r="RTN341" s="184"/>
      <c r="RTO341" s="184"/>
      <c r="RTP341" s="187"/>
      <c r="RTQ341" s="188"/>
      <c r="RTS341" s="182"/>
      <c r="RTT341" s="183"/>
      <c r="RUA341" s="267"/>
      <c r="RUB341" s="269"/>
      <c r="RUC341" s="267"/>
      <c r="RUD341" s="184"/>
      <c r="RUE341" s="184"/>
      <c r="RUF341" s="185"/>
      <c r="RUG341" s="184"/>
      <c r="RUH341" s="184"/>
      <c r="RUI341" s="184"/>
      <c r="RUJ341" s="187"/>
      <c r="RUK341" s="188"/>
      <c r="RUM341" s="182"/>
      <c r="RUN341" s="183"/>
      <c r="RUU341" s="267"/>
      <c r="RUV341" s="269"/>
      <c r="RUW341" s="267"/>
      <c r="RUX341" s="184"/>
      <c r="RUY341" s="184"/>
      <c r="RUZ341" s="185"/>
      <c r="RVA341" s="184"/>
      <c r="RVB341" s="184"/>
      <c r="RVC341" s="184"/>
      <c r="RVD341" s="187"/>
      <c r="RVE341" s="188"/>
      <c r="RVG341" s="182"/>
      <c r="RVH341" s="183"/>
      <c r="RVO341" s="267"/>
      <c r="RVP341" s="269"/>
      <c r="RVQ341" s="267"/>
      <c r="RVR341" s="184"/>
      <c r="RVS341" s="184"/>
      <c r="RVT341" s="185"/>
      <c r="RVU341" s="184"/>
      <c r="RVV341" s="184"/>
      <c r="RVW341" s="184"/>
      <c r="RVX341" s="187"/>
      <c r="RVY341" s="188"/>
      <c r="RWA341" s="182"/>
      <c r="RWB341" s="183"/>
      <c r="RWI341" s="267"/>
      <c r="RWJ341" s="269"/>
      <c r="RWK341" s="267"/>
      <c r="RWL341" s="184"/>
      <c r="RWM341" s="184"/>
      <c r="RWN341" s="185"/>
      <c r="RWO341" s="184"/>
      <c r="RWP341" s="184"/>
      <c r="RWQ341" s="184"/>
      <c r="RWR341" s="187"/>
      <c r="RWS341" s="188"/>
      <c r="RWU341" s="182"/>
      <c r="RWV341" s="183"/>
      <c r="RXC341" s="267"/>
      <c r="RXD341" s="269"/>
      <c r="RXE341" s="267"/>
      <c r="RXF341" s="184"/>
      <c r="RXG341" s="184"/>
      <c r="RXH341" s="185"/>
      <c r="RXI341" s="184"/>
      <c r="RXJ341" s="184"/>
      <c r="RXK341" s="184"/>
      <c r="RXL341" s="187"/>
      <c r="RXM341" s="188"/>
      <c r="RXO341" s="182"/>
      <c r="RXP341" s="183"/>
      <c r="RXW341" s="267"/>
      <c r="RXX341" s="269"/>
      <c r="RXY341" s="267"/>
      <c r="RXZ341" s="184"/>
      <c r="RYA341" s="184"/>
      <c r="RYB341" s="185"/>
      <c r="RYC341" s="184"/>
      <c r="RYD341" s="184"/>
      <c r="RYE341" s="184"/>
      <c r="RYF341" s="187"/>
      <c r="RYG341" s="188"/>
      <c r="RYI341" s="182"/>
      <c r="RYJ341" s="183"/>
      <c r="RYQ341" s="267"/>
      <c r="RYR341" s="269"/>
      <c r="RYS341" s="267"/>
      <c r="RYT341" s="184"/>
      <c r="RYU341" s="184"/>
      <c r="RYV341" s="185"/>
      <c r="RYW341" s="184"/>
      <c r="RYX341" s="184"/>
      <c r="RYY341" s="184"/>
      <c r="RYZ341" s="187"/>
      <c r="RZA341" s="188"/>
      <c r="RZC341" s="182"/>
      <c r="RZD341" s="183"/>
      <c r="RZK341" s="267"/>
      <c r="RZL341" s="269"/>
      <c r="RZM341" s="267"/>
      <c r="RZN341" s="184"/>
      <c r="RZO341" s="184"/>
      <c r="RZP341" s="185"/>
      <c r="RZQ341" s="184"/>
      <c r="RZR341" s="184"/>
      <c r="RZS341" s="184"/>
      <c r="RZT341" s="187"/>
      <c r="RZU341" s="188"/>
      <c r="RZW341" s="182"/>
      <c r="RZX341" s="183"/>
      <c r="SAE341" s="267"/>
      <c r="SAF341" s="269"/>
      <c r="SAG341" s="267"/>
      <c r="SAH341" s="184"/>
      <c r="SAI341" s="184"/>
      <c r="SAJ341" s="185"/>
      <c r="SAK341" s="184"/>
      <c r="SAL341" s="184"/>
      <c r="SAM341" s="184"/>
      <c r="SAN341" s="187"/>
      <c r="SAO341" s="188"/>
      <c r="SAQ341" s="182"/>
      <c r="SAR341" s="183"/>
      <c r="SAY341" s="267"/>
      <c r="SAZ341" s="269"/>
      <c r="SBA341" s="267"/>
      <c r="SBB341" s="184"/>
      <c r="SBC341" s="184"/>
      <c r="SBD341" s="185"/>
      <c r="SBE341" s="184"/>
      <c r="SBF341" s="184"/>
      <c r="SBG341" s="184"/>
      <c r="SBH341" s="187"/>
      <c r="SBI341" s="188"/>
      <c r="SBK341" s="182"/>
      <c r="SBL341" s="183"/>
      <c r="SBS341" s="267"/>
      <c r="SBT341" s="269"/>
      <c r="SBU341" s="267"/>
      <c r="SBV341" s="184"/>
      <c r="SBW341" s="184"/>
      <c r="SBX341" s="185"/>
      <c r="SBY341" s="184"/>
      <c r="SBZ341" s="184"/>
      <c r="SCA341" s="184"/>
      <c r="SCB341" s="187"/>
      <c r="SCC341" s="188"/>
      <c r="SCE341" s="182"/>
      <c r="SCF341" s="183"/>
      <c r="SCM341" s="267"/>
      <c r="SCN341" s="269"/>
      <c r="SCO341" s="267"/>
      <c r="SCP341" s="184"/>
      <c r="SCQ341" s="184"/>
      <c r="SCR341" s="185"/>
      <c r="SCS341" s="184"/>
      <c r="SCT341" s="184"/>
      <c r="SCU341" s="184"/>
      <c r="SCV341" s="187"/>
      <c r="SCW341" s="188"/>
      <c r="SCY341" s="182"/>
      <c r="SCZ341" s="183"/>
      <c r="SDG341" s="267"/>
      <c r="SDH341" s="269"/>
      <c r="SDI341" s="267"/>
      <c r="SDJ341" s="184"/>
      <c r="SDK341" s="184"/>
      <c r="SDL341" s="185"/>
      <c r="SDM341" s="184"/>
      <c r="SDN341" s="184"/>
      <c r="SDO341" s="184"/>
      <c r="SDP341" s="187"/>
      <c r="SDQ341" s="188"/>
      <c r="SDS341" s="182"/>
      <c r="SDT341" s="183"/>
      <c r="SEA341" s="267"/>
      <c r="SEB341" s="269"/>
      <c r="SEC341" s="267"/>
      <c r="SED341" s="184"/>
      <c r="SEE341" s="184"/>
      <c r="SEF341" s="185"/>
      <c r="SEG341" s="184"/>
      <c r="SEH341" s="184"/>
      <c r="SEI341" s="184"/>
      <c r="SEJ341" s="187"/>
      <c r="SEK341" s="188"/>
      <c r="SEM341" s="182"/>
      <c r="SEN341" s="183"/>
      <c r="SEU341" s="267"/>
      <c r="SEV341" s="269"/>
      <c r="SEW341" s="267"/>
      <c r="SEX341" s="184"/>
      <c r="SEY341" s="184"/>
      <c r="SEZ341" s="185"/>
      <c r="SFA341" s="184"/>
      <c r="SFB341" s="184"/>
      <c r="SFC341" s="184"/>
      <c r="SFD341" s="187"/>
      <c r="SFE341" s="188"/>
      <c r="SFG341" s="182"/>
      <c r="SFH341" s="183"/>
      <c r="SFO341" s="267"/>
      <c r="SFP341" s="269"/>
      <c r="SFQ341" s="267"/>
      <c r="SFR341" s="184"/>
      <c r="SFS341" s="184"/>
      <c r="SFT341" s="185"/>
      <c r="SFU341" s="184"/>
      <c r="SFV341" s="184"/>
      <c r="SFW341" s="184"/>
      <c r="SFX341" s="187"/>
      <c r="SFY341" s="188"/>
      <c r="SGA341" s="182"/>
      <c r="SGB341" s="183"/>
      <c r="SGI341" s="267"/>
      <c r="SGJ341" s="269"/>
      <c r="SGK341" s="267"/>
      <c r="SGL341" s="184"/>
      <c r="SGM341" s="184"/>
      <c r="SGN341" s="185"/>
      <c r="SGO341" s="184"/>
      <c r="SGP341" s="184"/>
      <c r="SGQ341" s="184"/>
      <c r="SGR341" s="187"/>
      <c r="SGS341" s="188"/>
      <c r="SGU341" s="182"/>
      <c r="SGV341" s="183"/>
      <c r="SHC341" s="267"/>
      <c r="SHD341" s="269"/>
      <c r="SHE341" s="267"/>
      <c r="SHF341" s="184"/>
      <c r="SHG341" s="184"/>
      <c r="SHH341" s="185"/>
      <c r="SHI341" s="184"/>
      <c r="SHJ341" s="184"/>
      <c r="SHK341" s="184"/>
      <c r="SHL341" s="187"/>
      <c r="SHM341" s="188"/>
      <c r="SHO341" s="182"/>
      <c r="SHP341" s="183"/>
      <c r="SHW341" s="267"/>
      <c r="SHX341" s="269"/>
      <c r="SHY341" s="267"/>
      <c r="SHZ341" s="184"/>
      <c r="SIA341" s="184"/>
      <c r="SIB341" s="185"/>
      <c r="SIC341" s="184"/>
      <c r="SID341" s="184"/>
      <c r="SIE341" s="184"/>
      <c r="SIF341" s="187"/>
      <c r="SIG341" s="188"/>
      <c r="SII341" s="182"/>
      <c r="SIJ341" s="183"/>
      <c r="SIQ341" s="267"/>
      <c r="SIR341" s="269"/>
      <c r="SIS341" s="267"/>
      <c r="SIT341" s="184"/>
      <c r="SIU341" s="184"/>
      <c r="SIV341" s="185"/>
      <c r="SIW341" s="184"/>
      <c r="SIX341" s="184"/>
      <c r="SIY341" s="184"/>
      <c r="SIZ341" s="187"/>
      <c r="SJA341" s="188"/>
      <c r="SJC341" s="182"/>
      <c r="SJD341" s="183"/>
      <c r="SJK341" s="267"/>
      <c r="SJL341" s="269"/>
      <c r="SJM341" s="267"/>
      <c r="SJN341" s="184"/>
      <c r="SJO341" s="184"/>
      <c r="SJP341" s="185"/>
      <c r="SJQ341" s="184"/>
      <c r="SJR341" s="184"/>
      <c r="SJS341" s="184"/>
      <c r="SJT341" s="187"/>
      <c r="SJU341" s="188"/>
      <c r="SJW341" s="182"/>
      <c r="SJX341" s="183"/>
      <c r="SKE341" s="267"/>
      <c r="SKF341" s="269"/>
      <c r="SKG341" s="267"/>
      <c r="SKH341" s="184"/>
      <c r="SKI341" s="184"/>
      <c r="SKJ341" s="185"/>
      <c r="SKK341" s="184"/>
      <c r="SKL341" s="184"/>
      <c r="SKM341" s="184"/>
      <c r="SKN341" s="187"/>
      <c r="SKO341" s="188"/>
      <c r="SKQ341" s="182"/>
      <c r="SKR341" s="183"/>
      <c r="SKY341" s="267"/>
      <c r="SKZ341" s="269"/>
      <c r="SLA341" s="267"/>
      <c r="SLB341" s="184"/>
      <c r="SLC341" s="184"/>
      <c r="SLD341" s="185"/>
      <c r="SLE341" s="184"/>
      <c r="SLF341" s="184"/>
      <c r="SLG341" s="184"/>
      <c r="SLH341" s="187"/>
      <c r="SLI341" s="188"/>
      <c r="SLK341" s="182"/>
      <c r="SLL341" s="183"/>
      <c r="SLS341" s="267"/>
      <c r="SLT341" s="269"/>
      <c r="SLU341" s="267"/>
      <c r="SLV341" s="184"/>
      <c r="SLW341" s="184"/>
      <c r="SLX341" s="185"/>
      <c r="SLY341" s="184"/>
      <c r="SLZ341" s="184"/>
      <c r="SMA341" s="184"/>
      <c r="SMB341" s="187"/>
      <c r="SMC341" s="188"/>
      <c r="SME341" s="182"/>
      <c r="SMF341" s="183"/>
      <c r="SMM341" s="267"/>
      <c r="SMN341" s="269"/>
      <c r="SMO341" s="267"/>
      <c r="SMP341" s="184"/>
      <c r="SMQ341" s="184"/>
      <c r="SMR341" s="185"/>
      <c r="SMS341" s="184"/>
      <c r="SMT341" s="184"/>
      <c r="SMU341" s="184"/>
      <c r="SMV341" s="187"/>
      <c r="SMW341" s="188"/>
      <c r="SMY341" s="182"/>
      <c r="SMZ341" s="183"/>
      <c r="SNG341" s="267"/>
      <c r="SNH341" s="269"/>
      <c r="SNI341" s="267"/>
      <c r="SNJ341" s="184"/>
      <c r="SNK341" s="184"/>
      <c r="SNL341" s="185"/>
      <c r="SNM341" s="184"/>
      <c r="SNN341" s="184"/>
      <c r="SNO341" s="184"/>
      <c r="SNP341" s="187"/>
      <c r="SNQ341" s="188"/>
      <c r="SNS341" s="182"/>
      <c r="SNT341" s="183"/>
      <c r="SOA341" s="267"/>
      <c r="SOB341" s="269"/>
      <c r="SOC341" s="267"/>
      <c r="SOD341" s="184"/>
      <c r="SOE341" s="184"/>
      <c r="SOF341" s="185"/>
      <c r="SOG341" s="184"/>
      <c r="SOH341" s="184"/>
      <c r="SOI341" s="184"/>
      <c r="SOJ341" s="187"/>
      <c r="SOK341" s="188"/>
      <c r="SOM341" s="182"/>
      <c r="SON341" s="183"/>
      <c r="SOU341" s="267"/>
      <c r="SOV341" s="269"/>
      <c r="SOW341" s="267"/>
      <c r="SOX341" s="184"/>
      <c r="SOY341" s="184"/>
      <c r="SOZ341" s="185"/>
      <c r="SPA341" s="184"/>
      <c r="SPB341" s="184"/>
      <c r="SPC341" s="184"/>
      <c r="SPD341" s="187"/>
      <c r="SPE341" s="188"/>
      <c r="SPG341" s="182"/>
      <c r="SPH341" s="183"/>
      <c r="SPO341" s="267"/>
      <c r="SPP341" s="269"/>
      <c r="SPQ341" s="267"/>
      <c r="SPR341" s="184"/>
      <c r="SPS341" s="184"/>
      <c r="SPT341" s="185"/>
      <c r="SPU341" s="184"/>
      <c r="SPV341" s="184"/>
      <c r="SPW341" s="184"/>
      <c r="SPX341" s="187"/>
      <c r="SPY341" s="188"/>
      <c r="SQA341" s="182"/>
      <c r="SQB341" s="183"/>
      <c r="SQI341" s="267"/>
      <c r="SQJ341" s="269"/>
      <c r="SQK341" s="267"/>
      <c r="SQL341" s="184"/>
      <c r="SQM341" s="184"/>
      <c r="SQN341" s="185"/>
      <c r="SQO341" s="184"/>
      <c r="SQP341" s="184"/>
      <c r="SQQ341" s="184"/>
      <c r="SQR341" s="187"/>
      <c r="SQS341" s="188"/>
      <c r="SQU341" s="182"/>
      <c r="SQV341" s="183"/>
      <c r="SRC341" s="267"/>
      <c r="SRD341" s="269"/>
      <c r="SRE341" s="267"/>
      <c r="SRF341" s="184"/>
      <c r="SRG341" s="184"/>
      <c r="SRH341" s="185"/>
      <c r="SRI341" s="184"/>
      <c r="SRJ341" s="184"/>
      <c r="SRK341" s="184"/>
      <c r="SRL341" s="187"/>
      <c r="SRM341" s="188"/>
      <c r="SRO341" s="182"/>
      <c r="SRP341" s="183"/>
      <c r="SRW341" s="267"/>
      <c r="SRX341" s="269"/>
      <c r="SRY341" s="267"/>
      <c r="SRZ341" s="184"/>
      <c r="SSA341" s="184"/>
      <c r="SSB341" s="185"/>
      <c r="SSC341" s="184"/>
      <c r="SSD341" s="184"/>
      <c r="SSE341" s="184"/>
      <c r="SSF341" s="187"/>
      <c r="SSG341" s="188"/>
      <c r="SSI341" s="182"/>
      <c r="SSJ341" s="183"/>
      <c r="SSQ341" s="267"/>
      <c r="SSR341" s="269"/>
      <c r="SSS341" s="267"/>
      <c r="SST341" s="184"/>
      <c r="SSU341" s="184"/>
      <c r="SSV341" s="185"/>
      <c r="SSW341" s="184"/>
      <c r="SSX341" s="184"/>
      <c r="SSY341" s="184"/>
      <c r="SSZ341" s="187"/>
      <c r="STA341" s="188"/>
      <c r="STC341" s="182"/>
      <c r="STD341" s="183"/>
      <c r="STK341" s="267"/>
      <c r="STL341" s="269"/>
      <c r="STM341" s="267"/>
      <c r="STN341" s="184"/>
      <c r="STO341" s="184"/>
      <c r="STP341" s="185"/>
      <c r="STQ341" s="184"/>
      <c r="STR341" s="184"/>
      <c r="STS341" s="184"/>
      <c r="STT341" s="187"/>
      <c r="STU341" s="188"/>
      <c r="STW341" s="182"/>
      <c r="STX341" s="183"/>
      <c r="SUE341" s="267"/>
      <c r="SUF341" s="269"/>
      <c r="SUG341" s="267"/>
      <c r="SUH341" s="184"/>
      <c r="SUI341" s="184"/>
      <c r="SUJ341" s="185"/>
      <c r="SUK341" s="184"/>
      <c r="SUL341" s="184"/>
      <c r="SUM341" s="184"/>
      <c r="SUN341" s="187"/>
      <c r="SUO341" s="188"/>
      <c r="SUQ341" s="182"/>
      <c r="SUR341" s="183"/>
      <c r="SUY341" s="267"/>
      <c r="SUZ341" s="269"/>
      <c r="SVA341" s="267"/>
      <c r="SVB341" s="184"/>
      <c r="SVC341" s="184"/>
      <c r="SVD341" s="185"/>
      <c r="SVE341" s="184"/>
      <c r="SVF341" s="184"/>
      <c r="SVG341" s="184"/>
      <c r="SVH341" s="187"/>
      <c r="SVI341" s="188"/>
      <c r="SVK341" s="182"/>
      <c r="SVL341" s="183"/>
      <c r="SVS341" s="267"/>
      <c r="SVT341" s="269"/>
      <c r="SVU341" s="267"/>
      <c r="SVV341" s="184"/>
      <c r="SVW341" s="184"/>
      <c r="SVX341" s="185"/>
      <c r="SVY341" s="184"/>
      <c r="SVZ341" s="184"/>
      <c r="SWA341" s="184"/>
      <c r="SWB341" s="187"/>
      <c r="SWC341" s="188"/>
      <c r="SWE341" s="182"/>
      <c r="SWF341" s="183"/>
      <c r="SWM341" s="267"/>
      <c r="SWN341" s="269"/>
      <c r="SWO341" s="267"/>
      <c r="SWP341" s="184"/>
      <c r="SWQ341" s="184"/>
      <c r="SWR341" s="185"/>
      <c r="SWS341" s="184"/>
      <c r="SWT341" s="184"/>
      <c r="SWU341" s="184"/>
      <c r="SWV341" s="187"/>
      <c r="SWW341" s="188"/>
      <c r="SWY341" s="182"/>
      <c r="SWZ341" s="183"/>
      <c r="SXG341" s="267"/>
      <c r="SXH341" s="269"/>
      <c r="SXI341" s="267"/>
      <c r="SXJ341" s="184"/>
      <c r="SXK341" s="184"/>
      <c r="SXL341" s="185"/>
      <c r="SXM341" s="184"/>
      <c r="SXN341" s="184"/>
      <c r="SXO341" s="184"/>
      <c r="SXP341" s="187"/>
      <c r="SXQ341" s="188"/>
      <c r="SXS341" s="182"/>
      <c r="SXT341" s="183"/>
      <c r="SYA341" s="267"/>
      <c r="SYB341" s="269"/>
      <c r="SYC341" s="267"/>
      <c r="SYD341" s="184"/>
      <c r="SYE341" s="184"/>
      <c r="SYF341" s="185"/>
      <c r="SYG341" s="184"/>
      <c r="SYH341" s="184"/>
      <c r="SYI341" s="184"/>
      <c r="SYJ341" s="187"/>
      <c r="SYK341" s="188"/>
      <c r="SYM341" s="182"/>
      <c r="SYN341" s="183"/>
      <c r="SYU341" s="267"/>
      <c r="SYV341" s="269"/>
      <c r="SYW341" s="267"/>
      <c r="SYX341" s="184"/>
      <c r="SYY341" s="184"/>
      <c r="SYZ341" s="185"/>
      <c r="SZA341" s="184"/>
      <c r="SZB341" s="184"/>
      <c r="SZC341" s="184"/>
      <c r="SZD341" s="187"/>
      <c r="SZE341" s="188"/>
      <c r="SZG341" s="182"/>
      <c r="SZH341" s="183"/>
      <c r="SZO341" s="267"/>
      <c r="SZP341" s="269"/>
      <c r="SZQ341" s="267"/>
      <c r="SZR341" s="184"/>
      <c r="SZS341" s="184"/>
      <c r="SZT341" s="185"/>
      <c r="SZU341" s="184"/>
      <c r="SZV341" s="184"/>
      <c r="SZW341" s="184"/>
      <c r="SZX341" s="187"/>
      <c r="SZY341" s="188"/>
      <c r="TAA341" s="182"/>
      <c r="TAB341" s="183"/>
      <c r="TAI341" s="267"/>
      <c r="TAJ341" s="269"/>
      <c r="TAK341" s="267"/>
      <c r="TAL341" s="184"/>
      <c r="TAM341" s="184"/>
      <c r="TAN341" s="185"/>
      <c r="TAO341" s="184"/>
      <c r="TAP341" s="184"/>
      <c r="TAQ341" s="184"/>
      <c r="TAR341" s="187"/>
      <c r="TAS341" s="188"/>
      <c r="TAU341" s="182"/>
      <c r="TAV341" s="183"/>
      <c r="TBC341" s="267"/>
      <c r="TBD341" s="269"/>
      <c r="TBE341" s="267"/>
      <c r="TBF341" s="184"/>
      <c r="TBG341" s="184"/>
      <c r="TBH341" s="185"/>
      <c r="TBI341" s="184"/>
      <c r="TBJ341" s="184"/>
      <c r="TBK341" s="184"/>
      <c r="TBL341" s="187"/>
      <c r="TBM341" s="188"/>
      <c r="TBO341" s="182"/>
      <c r="TBP341" s="183"/>
      <c r="TBW341" s="267"/>
      <c r="TBX341" s="269"/>
      <c r="TBY341" s="267"/>
      <c r="TBZ341" s="184"/>
      <c r="TCA341" s="184"/>
      <c r="TCB341" s="185"/>
      <c r="TCC341" s="184"/>
      <c r="TCD341" s="184"/>
      <c r="TCE341" s="184"/>
      <c r="TCF341" s="187"/>
      <c r="TCG341" s="188"/>
      <c r="TCI341" s="182"/>
      <c r="TCJ341" s="183"/>
      <c r="TCQ341" s="267"/>
      <c r="TCR341" s="269"/>
      <c r="TCS341" s="267"/>
      <c r="TCT341" s="184"/>
      <c r="TCU341" s="184"/>
      <c r="TCV341" s="185"/>
      <c r="TCW341" s="184"/>
      <c r="TCX341" s="184"/>
      <c r="TCY341" s="184"/>
      <c r="TCZ341" s="187"/>
      <c r="TDA341" s="188"/>
      <c r="TDC341" s="182"/>
      <c r="TDD341" s="183"/>
      <c r="TDK341" s="267"/>
      <c r="TDL341" s="269"/>
      <c r="TDM341" s="267"/>
      <c r="TDN341" s="184"/>
      <c r="TDO341" s="184"/>
      <c r="TDP341" s="185"/>
      <c r="TDQ341" s="184"/>
      <c r="TDR341" s="184"/>
      <c r="TDS341" s="184"/>
      <c r="TDT341" s="187"/>
      <c r="TDU341" s="188"/>
      <c r="TDW341" s="182"/>
      <c r="TDX341" s="183"/>
      <c r="TEE341" s="267"/>
      <c r="TEF341" s="269"/>
      <c r="TEG341" s="267"/>
      <c r="TEH341" s="184"/>
      <c r="TEI341" s="184"/>
      <c r="TEJ341" s="185"/>
      <c r="TEK341" s="184"/>
      <c r="TEL341" s="184"/>
      <c r="TEM341" s="184"/>
      <c r="TEN341" s="187"/>
      <c r="TEO341" s="188"/>
      <c r="TEQ341" s="182"/>
      <c r="TER341" s="183"/>
      <c r="TEY341" s="267"/>
      <c r="TEZ341" s="269"/>
      <c r="TFA341" s="267"/>
      <c r="TFB341" s="184"/>
      <c r="TFC341" s="184"/>
      <c r="TFD341" s="185"/>
      <c r="TFE341" s="184"/>
      <c r="TFF341" s="184"/>
      <c r="TFG341" s="184"/>
      <c r="TFH341" s="187"/>
      <c r="TFI341" s="188"/>
      <c r="TFK341" s="182"/>
      <c r="TFL341" s="183"/>
      <c r="TFS341" s="267"/>
      <c r="TFT341" s="269"/>
      <c r="TFU341" s="267"/>
      <c r="TFV341" s="184"/>
      <c r="TFW341" s="184"/>
      <c r="TFX341" s="185"/>
      <c r="TFY341" s="184"/>
      <c r="TFZ341" s="184"/>
      <c r="TGA341" s="184"/>
      <c r="TGB341" s="187"/>
      <c r="TGC341" s="188"/>
      <c r="TGE341" s="182"/>
      <c r="TGF341" s="183"/>
      <c r="TGM341" s="267"/>
      <c r="TGN341" s="269"/>
      <c r="TGO341" s="267"/>
      <c r="TGP341" s="184"/>
      <c r="TGQ341" s="184"/>
      <c r="TGR341" s="185"/>
      <c r="TGS341" s="184"/>
      <c r="TGT341" s="184"/>
      <c r="TGU341" s="184"/>
      <c r="TGV341" s="187"/>
      <c r="TGW341" s="188"/>
      <c r="TGY341" s="182"/>
      <c r="TGZ341" s="183"/>
      <c r="THG341" s="267"/>
      <c r="THH341" s="269"/>
      <c r="THI341" s="267"/>
      <c r="THJ341" s="184"/>
      <c r="THK341" s="184"/>
      <c r="THL341" s="185"/>
      <c r="THM341" s="184"/>
      <c r="THN341" s="184"/>
      <c r="THO341" s="184"/>
      <c r="THP341" s="187"/>
      <c r="THQ341" s="188"/>
      <c r="THS341" s="182"/>
      <c r="THT341" s="183"/>
      <c r="TIA341" s="267"/>
      <c r="TIB341" s="269"/>
      <c r="TIC341" s="267"/>
      <c r="TID341" s="184"/>
      <c r="TIE341" s="184"/>
      <c r="TIF341" s="185"/>
      <c r="TIG341" s="184"/>
      <c r="TIH341" s="184"/>
      <c r="TII341" s="184"/>
      <c r="TIJ341" s="187"/>
      <c r="TIK341" s="188"/>
      <c r="TIM341" s="182"/>
      <c r="TIN341" s="183"/>
      <c r="TIU341" s="267"/>
      <c r="TIV341" s="269"/>
      <c r="TIW341" s="267"/>
      <c r="TIX341" s="184"/>
      <c r="TIY341" s="184"/>
      <c r="TIZ341" s="185"/>
      <c r="TJA341" s="184"/>
      <c r="TJB341" s="184"/>
      <c r="TJC341" s="184"/>
      <c r="TJD341" s="187"/>
      <c r="TJE341" s="188"/>
      <c r="TJG341" s="182"/>
      <c r="TJH341" s="183"/>
      <c r="TJO341" s="267"/>
      <c r="TJP341" s="269"/>
      <c r="TJQ341" s="267"/>
      <c r="TJR341" s="184"/>
      <c r="TJS341" s="184"/>
      <c r="TJT341" s="185"/>
      <c r="TJU341" s="184"/>
      <c r="TJV341" s="184"/>
      <c r="TJW341" s="184"/>
      <c r="TJX341" s="187"/>
      <c r="TJY341" s="188"/>
      <c r="TKA341" s="182"/>
      <c r="TKB341" s="183"/>
      <c r="TKI341" s="267"/>
      <c r="TKJ341" s="269"/>
      <c r="TKK341" s="267"/>
      <c r="TKL341" s="184"/>
      <c r="TKM341" s="184"/>
      <c r="TKN341" s="185"/>
      <c r="TKO341" s="184"/>
      <c r="TKP341" s="184"/>
      <c r="TKQ341" s="184"/>
      <c r="TKR341" s="187"/>
      <c r="TKS341" s="188"/>
      <c r="TKU341" s="182"/>
      <c r="TKV341" s="183"/>
      <c r="TLC341" s="267"/>
      <c r="TLD341" s="269"/>
      <c r="TLE341" s="267"/>
      <c r="TLF341" s="184"/>
      <c r="TLG341" s="184"/>
      <c r="TLH341" s="185"/>
      <c r="TLI341" s="184"/>
      <c r="TLJ341" s="184"/>
      <c r="TLK341" s="184"/>
      <c r="TLL341" s="187"/>
      <c r="TLM341" s="188"/>
      <c r="TLO341" s="182"/>
      <c r="TLP341" s="183"/>
      <c r="TLW341" s="267"/>
      <c r="TLX341" s="269"/>
      <c r="TLY341" s="267"/>
      <c r="TLZ341" s="184"/>
      <c r="TMA341" s="184"/>
      <c r="TMB341" s="185"/>
      <c r="TMC341" s="184"/>
      <c r="TMD341" s="184"/>
      <c r="TME341" s="184"/>
      <c r="TMF341" s="187"/>
      <c r="TMG341" s="188"/>
      <c r="TMI341" s="182"/>
      <c r="TMJ341" s="183"/>
      <c r="TMQ341" s="267"/>
      <c r="TMR341" s="269"/>
      <c r="TMS341" s="267"/>
      <c r="TMT341" s="184"/>
      <c r="TMU341" s="184"/>
      <c r="TMV341" s="185"/>
      <c r="TMW341" s="184"/>
      <c r="TMX341" s="184"/>
      <c r="TMY341" s="184"/>
      <c r="TMZ341" s="187"/>
      <c r="TNA341" s="188"/>
      <c r="TNC341" s="182"/>
      <c r="TND341" s="183"/>
      <c r="TNK341" s="267"/>
      <c r="TNL341" s="269"/>
      <c r="TNM341" s="267"/>
      <c r="TNN341" s="184"/>
      <c r="TNO341" s="184"/>
      <c r="TNP341" s="185"/>
      <c r="TNQ341" s="184"/>
      <c r="TNR341" s="184"/>
      <c r="TNS341" s="184"/>
      <c r="TNT341" s="187"/>
      <c r="TNU341" s="188"/>
      <c r="TNW341" s="182"/>
      <c r="TNX341" s="183"/>
      <c r="TOE341" s="267"/>
      <c r="TOF341" s="269"/>
      <c r="TOG341" s="267"/>
      <c r="TOH341" s="184"/>
      <c r="TOI341" s="184"/>
      <c r="TOJ341" s="185"/>
      <c r="TOK341" s="184"/>
      <c r="TOL341" s="184"/>
      <c r="TOM341" s="184"/>
      <c r="TON341" s="187"/>
      <c r="TOO341" s="188"/>
      <c r="TOQ341" s="182"/>
      <c r="TOR341" s="183"/>
      <c r="TOY341" s="267"/>
      <c r="TOZ341" s="269"/>
      <c r="TPA341" s="267"/>
      <c r="TPB341" s="184"/>
      <c r="TPC341" s="184"/>
      <c r="TPD341" s="185"/>
      <c r="TPE341" s="184"/>
      <c r="TPF341" s="184"/>
      <c r="TPG341" s="184"/>
      <c r="TPH341" s="187"/>
      <c r="TPI341" s="188"/>
      <c r="TPK341" s="182"/>
      <c r="TPL341" s="183"/>
      <c r="TPS341" s="267"/>
      <c r="TPT341" s="269"/>
      <c r="TPU341" s="267"/>
      <c r="TPV341" s="184"/>
      <c r="TPW341" s="184"/>
      <c r="TPX341" s="185"/>
      <c r="TPY341" s="184"/>
      <c r="TPZ341" s="184"/>
      <c r="TQA341" s="184"/>
      <c r="TQB341" s="187"/>
      <c r="TQC341" s="188"/>
      <c r="TQE341" s="182"/>
      <c r="TQF341" s="183"/>
      <c r="TQM341" s="267"/>
      <c r="TQN341" s="269"/>
      <c r="TQO341" s="267"/>
      <c r="TQP341" s="184"/>
      <c r="TQQ341" s="184"/>
      <c r="TQR341" s="185"/>
      <c r="TQS341" s="184"/>
      <c r="TQT341" s="184"/>
      <c r="TQU341" s="184"/>
      <c r="TQV341" s="187"/>
      <c r="TQW341" s="188"/>
      <c r="TQY341" s="182"/>
      <c r="TQZ341" s="183"/>
      <c r="TRG341" s="267"/>
      <c r="TRH341" s="269"/>
      <c r="TRI341" s="267"/>
      <c r="TRJ341" s="184"/>
      <c r="TRK341" s="184"/>
      <c r="TRL341" s="185"/>
      <c r="TRM341" s="184"/>
      <c r="TRN341" s="184"/>
      <c r="TRO341" s="184"/>
      <c r="TRP341" s="187"/>
      <c r="TRQ341" s="188"/>
      <c r="TRS341" s="182"/>
      <c r="TRT341" s="183"/>
      <c r="TSA341" s="267"/>
      <c r="TSB341" s="269"/>
      <c r="TSC341" s="267"/>
      <c r="TSD341" s="184"/>
      <c r="TSE341" s="184"/>
      <c r="TSF341" s="185"/>
      <c r="TSG341" s="184"/>
      <c r="TSH341" s="184"/>
      <c r="TSI341" s="184"/>
      <c r="TSJ341" s="187"/>
      <c r="TSK341" s="188"/>
      <c r="TSM341" s="182"/>
      <c r="TSN341" s="183"/>
      <c r="TSU341" s="267"/>
      <c r="TSV341" s="269"/>
      <c r="TSW341" s="267"/>
      <c r="TSX341" s="184"/>
      <c r="TSY341" s="184"/>
      <c r="TSZ341" s="185"/>
      <c r="TTA341" s="184"/>
      <c r="TTB341" s="184"/>
      <c r="TTC341" s="184"/>
      <c r="TTD341" s="187"/>
      <c r="TTE341" s="188"/>
      <c r="TTG341" s="182"/>
      <c r="TTH341" s="183"/>
      <c r="TTO341" s="267"/>
      <c r="TTP341" s="269"/>
      <c r="TTQ341" s="267"/>
      <c r="TTR341" s="184"/>
      <c r="TTS341" s="184"/>
      <c r="TTT341" s="185"/>
      <c r="TTU341" s="184"/>
      <c r="TTV341" s="184"/>
      <c r="TTW341" s="184"/>
      <c r="TTX341" s="187"/>
      <c r="TTY341" s="188"/>
      <c r="TUA341" s="182"/>
      <c r="TUB341" s="183"/>
      <c r="TUI341" s="267"/>
      <c r="TUJ341" s="269"/>
      <c r="TUK341" s="267"/>
      <c r="TUL341" s="184"/>
      <c r="TUM341" s="184"/>
      <c r="TUN341" s="185"/>
      <c r="TUO341" s="184"/>
      <c r="TUP341" s="184"/>
      <c r="TUQ341" s="184"/>
      <c r="TUR341" s="187"/>
      <c r="TUS341" s="188"/>
      <c r="TUU341" s="182"/>
      <c r="TUV341" s="183"/>
      <c r="TVC341" s="267"/>
      <c r="TVD341" s="269"/>
      <c r="TVE341" s="267"/>
      <c r="TVF341" s="184"/>
      <c r="TVG341" s="184"/>
      <c r="TVH341" s="185"/>
      <c r="TVI341" s="184"/>
      <c r="TVJ341" s="184"/>
      <c r="TVK341" s="184"/>
      <c r="TVL341" s="187"/>
      <c r="TVM341" s="188"/>
      <c r="TVO341" s="182"/>
      <c r="TVP341" s="183"/>
      <c r="TVW341" s="267"/>
      <c r="TVX341" s="269"/>
      <c r="TVY341" s="267"/>
      <c r="TVZ341" s="184"/>
      <c r="TWA341" s="184"/>
      <c r="TWB341" s="185"/>
      <c r="TWC341" s="184"/>
      <c r="TWD341" s="184"/>
      <c r="TWE341" s="184"/>
      <c r="TWF341" s="187"/>
      <c r="TWG341" s="188"/>
      <c r="TWI341" s="182"/>
      <c r="TWJ341" s="183"/>
      <c r="TWQ341" s="267"/>
      <c r="TWR341" s="269"/>
      <c r="TWS341" s="267"/>
      <c r="TWT341" s="184"/>
      <c r="TWU341" s="184"/>
      <c r="TWV341" s="185"/>
      <c r="TWW341" s="184"/>
      <c r="TWX341" s="184"/>
      <c r="TWY341" s="184"/>
      <c r="TWZ341" s="187"/>
      <c r="TXA341" s="188"/>
      <c r="TXC341" s="182"/>
      <c r="TXD341" s="183"/>
      <c r="TXK341" s="267"/>
      <c r="TXL341" s="269"/>
      <c r="TXM341" s="267"/>
      <c r="TXN341" s="184"/>
      <c r="TXO341" s="184"/>
      <c r="TXP341" s="185"/>
      <c r="TXQ341" s="184"/>
      <c r="TXR341" s="184"/>
      <c r="TXS341" s="184"/>
      <c r="TXT341" s="187"/>
      <c r="TXU341" s="188"/>
      <c r="TXW341" s="182"/>
      <c r="TXX341" s="183"/>
      <c r="TYE341" s="267"/>
      <c r="TYF341" s="269"/>
      <c r="TYG341" s="267"/>
      <c r="TYH341" s="184"/>
      <c r="TYI341" s="184"/>
      <c r="TYJ341" s="185"/>
      <c r="TYK341" s="184"/>
      <c r="TYL341" s="184"/>
      <c r="TYM341" s="184"/>
      <c r="TYN341" s="187"/>
      <c r="TYO341" s="188"/>
      <c r="TYQ341" s="182"/>
      <c r="TYR341" s="183"/>
      <c r="TYY341" s="267"/>
      <c r="TYZ341" s="269"/>
      <c r="TZA341" s="267"/>
      <c r="TZB341" s="184"/>
      <c r="TZC341" s="184"/>
      <c r="TZD341" s="185"/>
      <c r="TZE341" s="184"/>
      <c r="TZF341" s="184"/>
      <c r="TZG341" s="184"/>
      <c r="TZH341" s="187"/>
      <c r="TZI341" s="188"/>
      <c r="TZK341" s="182"/>
      <c r="TZL341" s="183"/>
      <c r="TZS341" s="267"/>
      <c r="TZT341" s="269"/>
      <c r="TZU341" s="267"/>
      <c r="TZV341" s="184"/>
      <c r="TZW341" s="184"/>
      <c r="TZX341" s="185"/>
      <c r="TZY341" s="184"/>
      <c r="TZZ341" s="184"/>
      <c r="UAA341" s="184"/>
      <c r="UAB341" s="187"/>
      <c r="UAC341" s="188"/>
      <c r="UAE341" s="182"/>
      <c r="UAF341" s="183"/>
      <c r="UAM341" s="267"/>
      <c r="UAN341" s="269"/>
      <c r="UAO341" s="267"/>
      <c r="UAP341" s="184"/>
      <c r="UAQ341" s="184"/>
      <c r="UAR341" s="185"/>
      <c r="UAS341" s="184"/>
      <c r="UAT341" s="184"/>
      <c r="UAU341" s="184"/>
      <c r="UAV341" s="187"/>
      <c r="UAW341" s="188"/>
      <c r="UAY341" s="182"/>
      <c r="UAZ341" s="183"/>
      <c r="UBG341" s="267"/>
      <c r="UBH341" s="269"/>
      <c r="UBI341" s="267"/>
      <c r="UBJ341" s="184"/>
      <c r="UBK341" s="184"/>
      <c r="UBL341" s="185"/>
      <c r="UBM341" s="184"/>
      <c r="UBN341" s="184"/>
      <c r="UBO341" s="184"/>
      <c r="UBP341" s="187"/>
      <c r="UBQ341" s="188"/>
      <c r="UBS341" s="182"/>
      <c r="UBT341" s="183"/>
      <c r="UCA341" s="267"/>
      <c r="UCB341" s="269"/>
      <c r="UCC341" s="267"/>
      <c r="UCD341" s="184"/>
      <c r="UCE341" s="184"/>
      <c r="UCF341" s="185"/>
      <c r="UCG341" s="184"/>
      <c r="UCH341" s="184"/>
      <c r="UCI341" s="184"/>
      <c r="UCJ341" s="187"/>
      <c r="UCK341" s="188"/>
      <c r="UCM341" s="182"/>
      <c r="UCN341" s="183"/>
      <c r="UCU341" s="267"/>
      <c r="UCV341" s="269"/>
      <c r="UCW341" s="267"/>
      <c r="UCX341" s="184"/>
      <c r="UCY341" s="184"/>
      <c r="UCZ341" s="185"/>
      <c r="UDA341" s="184"/>
      <c r="UDB341" s="184"/>
      <c r="UDC341" s="184"/>
      <c r="UDD341" s="187"/>
      <c r="UDE341" s="188"/>
      <c r="UDG341" s="182"/>
      <c r="UDH341" s="183"/>
      <c r="UDO341" s="267"/>
      <c r="UDP341" s="269"/>
      <c r="UDQ341" s="267"/>
      <c r="UDR341" s="184"/>
      <c r="UDS341" s="184"/>
      <c r="UDT341" s="185"/>
      <c r="UDU341" s="184"/>
      <c r="UDV341" s="184"/>
      <c r="UDW341" s="184"/>
      <c r="UDX341" s="187"/>
      <c r="UDY341" s="188"/>
      <c r="UEA341" s="182"/>
      <c r="UEB341" s="183"/>
      <c r="UEI341" s="267"/>
      <c r="UEJ341" s="269"/>
      <c r="UEK341" s="267"/>
      <c r="UEL341" s="184"/>
      <c r="UEM341" s="184"/>
      <c r="UEN341" s="185"/>
      <c r="UEO341" s="184"/>
      <c r="UEP341" s="184"/>
      <c r="UEQ341" s="184"/>
      <c r="UER341" s="187"/>
      <c r="UES341" s="188"/>
      <c r="UEU341" s="182"/>
      <c r="UEV341" s="183"/>
      <c r="UFC341" s="267"/>
      <c r="UFD341" s="269"/>
      <c r="UFE341" s="267"/>
      <c r="UFF341" s="184"/>
      <c r="UFG341" s="184"/>
      <c r="UFH341" s="185"/>
      <c r="UFI341" s="184"/>
      <c r="UFJ341" s="184"/>
      <c r="UFK341" s="184"/>
      <c r="UFL341" s="187"/>
      <c r="UFM341" s="188"/>
      <c r="UFO341" s="182"/>
      <c r="UFP341" s="183"/>
      <c r="UFW341" s="267"/>
      <c r="UFX341" s="269"/>
      <c r="UFY341" s="267"/>
      <c r="UFZ341" s="184"/>
      <c r="UGA341" s="184"/>
      <c r="UGB341" s="185"/>
      <c r="UGC341" s="184"/>
      <c r="UGD341" s="184"/>
      <c r="UGE341" s="184"/>
      <c r="UGF341" s="187"/>
      <c r="UGG341" s="188"/>
      <c r="UGI341" s="182"/>
      <c r="UGJ341" s="183"/>
      <c r="UGQ341" s="267"/>
      <c r="UGR341" s="269"/>
      <c r="UGS341" s="267"/>
      <c r="UGT341" s="184"/>
      <c r="UGU341" s="184"/>
      <c r="UGV341" s="185"/>
      <c r="UGW341" s="184"/>
      <c r="UGX341" s="184"/>
      <c r="UGY341" s="184"/>
      <c r="UGZ341" s="187"/>
      <c r="UHA341" s="188"/>
      <c r="UHC341" s="182"/>
      <c r="UHD341" s="183"/>
      <c r="UHK341" s="267"/>
      <c r="UHL341" s="269"/>
      <c r="UHM341" s="267"/>
      <c r="UHN341" s="184"/>
      <c r="UHO341" s="184"/>
      <c r="UHP341" s="185"/>
      <c r="UHQ341" s="184"/>
      <c r="UHR341" s="184"/>
      <c r="UHS341" s="184"/>
      <c r="UHT341" s="187"/>
      <c r="UHU341" s="188"/>
      <c r="UHW341" s="182"/>
      <c r="UHX341" s="183"/>
      <c r="UIE341" s="267"/>
      <c r="UIF341" s="269"/>
      <c r="UIG341" s="267"/>
      <c r="UIH341" s="184"/>
      <c r="UII341" s="184"/>
      <c r="UIJ341" s="185"/>
      <c r="UIK341" s="184"/>
      <c r="UIL341" s="184"/>
      <c r="UIM341" s="184"/>
      <c r="UIN341" s="187"/>
      <c r="UIO341" s="188"/>
      <c r="UIQ341" s="182"/>
      <c r="UIR341" s="183"/>
      <c r="UIY341" s="267"/>
      <c r="UIZ341" s="269"/>
      <c r="UJA341" s="267"/>
      <c r="UJB341" s="184"/>
      <c r="UJC341" s="184"/>
      <c r="UJD341" s="185"/>
      <c r="UJE341" s="184"/>
      <c r="UJF341" s="184"/>
      <c r="UJG341" s="184"/>
      <c r="UJH341" s="187"/>
      <c r="UJI341" s="188"/>
      <c r="UJK341" s="182"/>
      <c r="UJL341" s="183"/>
      <c r="UJS341" s="267"/>
      <c r="UJT341" s="269"/>
      <c r="UJU341" s="267"/>
      <c r="UJV341" s="184"/>
      <c r="UJW341" s="184"/>
      <c r="UJX341" s="185"/>
      <c r="UJY341" s="184"/>
      <c r="UJZ341" s="184"/>
      <c r="UKA341" s="184"/>
      <c r="UKB341" s="187"/>
      <c r="UKC341" s="188"/>
      <c r="UKE341" s="182"/>
      <c r="UKF341" s="183"/>
      <c r="UKM341" s="267"/>
      <c r="UKN341" s="269"/>
      <c r="UKO341" s="267"/>
      <c r="UKP341" s="184"/>
      <c r="UKQ341" s="184"/>
      <c r="UKR341" s="185"/>
      <c r="UKS341" s="184"/>
      <c r="UKT341" s="184"/>
      <c r="UKU341" s="184"/>
      <c r="UKV341" s="187"/>
      <c r="UKW341" s="188"/>
      <c r="UKY341" s="182"/>
      <c r="UKZ341" s="183"/>
      <c r="ULG341" s="267"/>
      <c r="ULH341" s="269"/>
      <c r="ULI341" s="267"/>
      <c r="ULJ341" s="184"/>
      <c r="ULK341" s="184"/>
      <c r="ULL341" s="185"/>
      <c r="ULM341" s="184"/>
      <c r="ULN341" s="184"/>
      <c r="ULO341" s="184"/>
      <c r="ULP341" s="187"/>
      <c r="ULQ341" s="188"/>
      <c r="ULS341" s="182"/>
      <c r="ULT341" s="183"/>
      <c r="UMA341" s="267"/>
      <c r="UMB341" s="269"/>
      <c r="UMC341" s="267"/>
      <c r="UMD341" s="184"/>
      <c r="UME341" s="184"/>
      <c r="UMF341" s="185"/>
      <c r="UMG341" s="184"/>
      <c r="UMH341" s="184"/>
      <c r="UMI341" s="184"/>
      <c r="UMJ341" s="187"/>
      <c r="UMK341" s="188"/>
      <c r="UMM341" s="182"/>
      <c r="UMN341" s="183"/>
      <c r="UMU341" s="267"/>
      <c r="UMV341" s="269"/>
      <c r="UMW341" s="267"/>
      <c r="UMX341" s="184"/>
      <c r="UMY341" s="184"/>
      <c r="UMZ341" s="185"/>
      <c r="UNA341" s="184"/>
      <c r="UNB341" s="184"/>
      <c r="UNC341" s="184"/>
      <c r="UND341" s="187"/>
      <c r="UNE341" s="188"/>
      <c r="UNG341" s="182"/>
      <c r="UNH341" s="183"/>
      <c r="UNO341" s="267"/>
      <c r="UNP341" s="269"/>
      <c r="UNQ341" s="267"/>
      <c r="UNR341" s="184"/>
      <c r="UNS341" s="184"/>
      <c r="UNT341" s="185"/>
      <c r="UNU341" s="184"/>
      <c r="UNV341" s="184"/>
      <c r="UNW341" s="184"/>
      <c r="UNX341" s="187"/>
      <c r="UNY341" s="188"/>
      <c r="UOA341" s="182"/>
      <c r="UOB341" s="183"/>
      <c r="UOI341" s="267"/>
      <c r="UOJ341" s="269"/>
      <c r="UOK341" s="267"/>
      <c r="UOL341" s="184"/>
      <c r="UOM341" s="184"/>
      <c r="UON341" s="185"/>
      <c r="UOO341" s="184"/>
      <c r="UOP341" s="184"/>
      <c r="UOQ341" s="184"/>
      <c r="UOR341" s="187"/>
      <c r="UOS341" s="188"/>
      <c r="UOU341" s="182"/>
      <c r="UOV341" s="183"/>
      <c r="UPC341" s="267"/>
      <c r="UPD341" s="269"/>
      <c r="UPE341" s="267"/>
      <c r="UPF341" s="184"/>
      <c r="UPG341" s="184"/>
      <c r="UPH341" s="185"/>
      <c r="UPI341" s="184"/>
      <c r="UPJ341" s="184"/>
      <c r="UPK341" s="184"/>
      <c r="UPL341" s="187"/>
      <c r="UPM341" s="188"/>
      <c r="UPO341" s="182"/>
      <c r="UPP341" s="183"/>
      <c r="UPW341" s="267"/>
      <c r="UPX341" s="269"/>
      <c r="UPY341" s="267"/>
      <c r="UPZ341" s="184"/>
      <c r="UQA341" s="184"/>
      <c r="UQB341" s="185"/>
      <c r="UQC341" s="184"/>
      <c r="UQD341" s="184"/>
      <c r="UQE341" s="184"/>
      <c r="UQF341" s="187"/>
      <c r="UQG341" s="188"/>
      <c r="UQI341" s="182"/>
      <c r="UQJ341" s="183"/>
      <c r="UQQ341" s="267"/>
      <c r="UQR341" s="269"/>
      <c r="UQS341" s="267"/>
      <c r="UQT341" s="184"/>
      <c r="UQU341" s="184"/>
      <c r="UQV341" s="185"/>
      <c r="UQW341" s="184"/>
      <c r="UQX341" s="184"/>
      <c r="UQY341" s="184"/>
      <c r="UQZ341" s="187"/>
      <c r="URA341" s="188"/>
      <c r="URC341" s="182"/>
      <c r="URD341" s="183"/>
      <c r="URK341" s="267"/>
      <c r="URL341" s="269"/>
      <c r="URM341" s="267"/>
      <c r="URN341" s="184"/>
      <c r="URO341" s="184"/>
      <c r="URP341" s="185"/>
      <c r="URQ341" s="184"/>
      <c r="URR341" s="184"/>
      <c r="URS341" s="184"/>
      <c r="URT341" s="187"/>
      <c r="URU341" s="188"/>
      <c r="URW341" s="182"/>
      <c r="URX341" s="183"/>
      <c r="USE341" s="267"/>
      <c r="USF341" s="269"/>
      <c r="USG341" s="267"/>
      <c r="USH341" s="184"/>
      <c r="USI341" s="184"/>
      <c r="USJ341" s="185"/>
      <c r="USK341" s="184"/>
      <c r="USL341" s="184"/>
      <c r="USM341" s="184"/>
      <c r="USN341" s="187"/>
      <c r="USO341" s="188"/>
      <c r="USQ341" s="182"/>
      <c r="USR341" s="183"/>
      <c r="USY341" s="267"/>
      <c r="USZ341" s="269"/>
      <c r="UTA341" s="267"/>
      <c r="UTB341" s="184"/>
      <c r="UTC341" s="184"/>
      <c r="UTD341" s="185"/>
      <c r="UTE341" s="184"/>
      <c r="UTF341" s="184"/>
      <c r="UTG341" s="184"/>
      <c r="UTH341" s="187"/>
      <c r="UTI341" s="188"/>
      <c r="UTK341" s="182"/>
      <c r="UTL341" s="183"/>
      <c r="UTS341" s="267"/>
      <c r="UTT341" s="269"/>
      <c r="UTU341" s="267"/>
      <c r="UTV341" s="184"/>
      <c r="UTW341" s="184"/>
      <c r="UTX341" s="185"/>
      <c r="UTY341" s="184"/>
      <c r="UTZ341" s="184"/>
      <c r="UUA341" s="184"/>
      <c r="UUB341" s="187"/>
      <c r="UUC341" s="188"/>
      <c r="UUE341" s="182"/>
      <c r="UUF341" s="183"/>
      <c r="UUM341" s="267"/>
      <c r="UUN341" s="269"/>
      <c r="UUO341" s="267"/>
      <c r="UUP341" s="184"/>
      <c r="UUQ341" s="184"/>
      <c r="UUR341" s="185"/>
      <c r="UUS341" s="184"/>
      <c r="UUT341" s="184"/>
      <c r="UUU341" s="184"/>
      <c r="UUV341" s="187"/>
      <c r="UUW341" s="188"/>
      <c r="UUY341" s="182"/>
      <c r="UUZ341" s="183"/>
      <c r="UVG341" s="267"/>
      <c r="UVH341" s="269"/>
      <c r="UVI341" s="267"/>
      <c r="UVJ341" s="184"/>
      <c r="UVK341" s="184"/>
      <c r="UVL341" s="185"/>
      <c r="UVM341" s="184"/>
      <c r="UVN341" s="184"/>
      <c r="UVO341" s="184"/>
      <c r="UVP341" s="187"/>
      <c r="UVQ341" s="188"/>
      <c r="UVS341" s="182"/>
      <c r="UVT341" s="183"/>
      <c r="UWA341" s="267"/>
      <c r="UWB341" s="269"/>
      <c r="UWC341" s="267"/>
      <c r="UWD341" s="184"/>
      <c r="UWE341" s="184"/>
      <c r="UWF341" s="185"/>
      <c r="UWG341" s="184"/>
      <c r="UWH341" s="184"/>
      <c r="UWI341" s="184"/>
      <c r="UWJ341" s="187"/>
      <c r="UWK341" s="188"/>
      <c r="UWM341" s="182"/>
      <c r="UWN341" s="183"/>
      <c r="UWU341" s="267"/>
      <c r="UWV341" s="269"/>
      <c r="UWW341" s="267"/>
      <c r="UWX341" s="184"/>
      <c r="UWY341" s="184"/>
      <c r="UWZ341" s="185"/>
      <c r="UXA341" s="184"/>
      <c r="UXB341" s="184"/>
      <c r="UXC341" s="184"/>
      <c r="UXD341" s="187"/>
      <c r="UXE341" s="188"/>
      <c r="UXG341" s="182"/>
      <c r="UXH341" s="183"/>
      <c r="UXO341" s="267"/>
      <c r="UXP341" s="269"/>
      <c r="UXQ341" s="267"/>
      <c r="UXR341" s="184"/>
      <c r="UXS341" s="184"/>
      <c r="UXT341" s="185"/>
      <c r="UXU341" s="184"/>
      <c r="UXV341" s="184"/>
      <c r="UXW341" s="184"/>
      <c r="UXX341" s="187"/>
      <c r="UXY341" s="188"/>
      <c r="UYA341" s="182"/>
      <c r="UYB341" s="183"/>
      <c r="UYI341" s="267"/>
      <c r="UYJ341" s="269"/>
      <c r="UYK341" s="267"/>
      <c r="UYL341" s="184"/>
      <c r="UYM341" s="184"/>
      <c r="UYN341" s="185"/>
      <c r="UYO341" s="184"/>
      <c r="UYP341" s="184"/>
      <c r="UYQ341" s="184"/>
      <c r="UYR341" s="187"/>
      <c r="UYS341" s="188"/>
      <c r="UYU341" s="182"/>
      <c r="UYV341" s="183"/>
      <c r="UZC341" s="267"/>
      <c r="UZD341" s="269"/>
      <c r="UZE341" s="267"/>
      <c r="UZF341" s="184"/>
      <c r="UZG341" s="184"/>
      <c r="UZH341" s="185"/>
      <c r="UZI341" s="184"/>
      <c r="UZJ341" s="184"/>
      <c r="UZK341" s="184"/>
      <c r="UZL341" s="187"/>
      <c r="UZM341" s="188"/>
      <c r="UZO341" s="182"/>
      <c r="UZP341" s="183"/>
      <c r="UZW341" s="267"/>
      <c r="UZX341" s="269"/>
      <c r="UZY341" s="267"/>
      <c r="UZZ341" s="184"/>
      <c r="VAA341" s="184"/>
      <c r="VAB341" s="185"/>
      <c r="VAC341" s="184"/>
      <c r="VAD341" s="184"/>
      <c r="VAE341" s="184"/>
      <c r="VAF341" s="187"/>
      <c r="VAG341" s="188"/>
      <c r="VAI341" s="182"/>
      <c r="VAJ341" s="183"/>
      <c r="VAQ341" s="267"/>
      <c r="VAR341" s="269"/>
      <c r="VAS341" s="267"/>
      <c r="VAT341" s="184"/>
      <c r="VAU341" s="184"/>
      <c r="VAV341" s="185"/>
      <c r="VAW341" s="184"/>
      <c r="VAX341" s="184"/>
      <c r="VAY341" s="184"/>
      <c r="VAZ341" s="187"/>
      <c r="VBA341" s="188"/>
      <c r="VBC341" s="182"/>
      <c r="VBD341" s="183"/>
      <c r="VBK341" s="267"/>
      <c r="VBL341" s="269"/>
      <c r="VBM341" s="267"/>
      <c r="VBN341" s="184"/>
      <c r="VBO341" s="184"/>
      <c r="VBP341" s="185"/>
      <c r="VBQ341" s="184"/>
      <c r="VBR341" s="184"/>
      <c r="VBS341" s="184"/>
      <c r="VBT341" s="187"/>
      <c r="VBU341" s="188"/>
      <c r="VBW341" s="182"/>
      <c r="VBX341" s="183"/>
      <c r="VCE341" s="267"/>
      <c r="VCF341" s="269"/>
      <c r="VCG341" s="267"/>
      <c r="VCH341" s="184"/>
      <c r="VCI341" s="184"/>
      <c r="VCJ341" s="185"/>
      <c r="VCK341" s="184"/>
      <c r="VCL341" s="184"/>
      <c r="VCM341" s="184"/>
      <c r="VCN341" s="187"/>
      <c r="VCO341" s="188"/>
      <c r="VCQ341" s="182"/>
      <c r="VCR341" s="183"/>
      <c r="VCY341" s="267"/>
      <c r="VCZ341" s="269"/>
      <c r="VDA341" s="267"/>
      <c r="VDB341" s="184"/>
      <c r="VDC341" s="184"/>
      <c r="VDD341" s="185"/>
      <c r="VDE341" s="184"/>
      <c r="VDF341" s="184"/>
      <c r="VDG341" s="184"/>
      <c r="VDH341" s="187"/>
      <c r="VDI341" s="188"/>
      <c r="VDK341" s="182"/>
      <c r="VDL341" s="183"/>
      <c r="VDS341" s="267"/>
      <c r="VDT341" s="269"/>
      <c r="VDU341" s="267"/>
      <c r="VDV341" s="184"/>
      <c r="VDW341" s="184"/>
      <c r="VDX341" s="185"/>
      <c r="VDY341" s="184"/>
      <c r="VDZ341" s="184"/>
      <c r="VEA341" s="184"/>
      <c r="VEB341" s="187"/>
      <c r="VEC341" s="188"/>
      <c r="VEE341" s="182"/>
      <c r="VEF341" s="183"/>
      <c r="VEM341" s="267"/>
      <c r="VEN341" s="269"/>
      <c r="VEO341" s="267"/>
      <c r="VEP341" s="184"/>
      <c r="VEQ341" s="184"/>
      <c r="VER341" s="185"/>
      <c r="VES341" s="184"/>
      <c r="VET341" s="184"/>
      <c r="VEU341" s="184"/>
      <c r="VEV341" s="187"/>
      <c r="VEW341" s="188"/>
      <c r="VEY341" s="182"/>
      <c r="VEZ341" s="183"/>
      <c r="VFG341" s="267"/>
      <c r="VFH341" s="269"/>
      <c r="VFI341" s="267"/>
      <c r="VFJ341" s="184"/>
      <c r="VFK341" s="184"/>
      <c r="VFL341" s="185"/>
      <c r="VFM341" s="184"/>
      <c r="VFN341" s="184"/>
      <c r="VFO341" s="184"/>
      <c r="VFP341" s="187"/>
      <c r="VFQ341" s="188"/>
      <c r="VFS341" s="182"/>
      <c r="VFT341" s="183"/>
      <c r="VGA341" s="267"/>
      <c r="VGB341" s="269"/>
      <c r="VGC341" s="267"/>
      <c r="VGD341" s="184"/>
      <c r="VGE341" s="184"/>
      <c r="VGF341" s="185"/>
      <c r="VGG341" s="184"/>
      <c r="VGH341" s="184"/>
      <c r="VGI341" s="184"/>
      <c r="VGJ341" s="187"/>
      <c r="VGK341" s="188"/>
      <c r="VGM341" s="182"/>
      <c r="VGN341" s="183"/>
      <c r="VGU341" s="267"/>
      <c r="VGV341" s="269"/>
      <c r="VGW341" s="267"/>
      <c r="VGX341" s="184"/>
      <c r="VGY341" s="184"/>
      <c r="VGZ341" s="185"/>
      <c r="VHA341" s="184"/>
      <c r="VHB341" s="184"/>
      <c r="VHC341" s="184"/>
      <c r="VHD341" s="187"/>
      <c r="VHE341" s="188"/>
      <c r="VHG341" s="182"/>
      <c r="VHH341" s="183"/>
      <c r="VHO341" s="267"/>
      <c r="VHP341" s="269"/>
      <c r="VHQ341" s="267"/>
      <c r="VHR341" s="184"/>
      <c r="VHS341" s="184"/>
      <c r="VHT341" s="185"/>
      <c r="VHU341" s="184"/>
      <c r="VHV341" s="184"/>
      <c r="VHW341" s="184"/>
      <c r="VHX341" s="187"/>
      <c r="VHY341" s="188"/>
      <c r="VIA341" s="182"/>
      <c r="VIB341" s="183"/>
      <c r="VII341" s="267"/>
      <c r="VIJ341" s="269"/>
      <c r="VIK341" s="267"/>
      <c r="VIL341" s="184"/>
      <c r="VIM341" s="184"/>
      <c r="VIN341" s="185"/>
      <c r="VIO341" s="184"/>
      <c r="VIP341" s="184"/>
      <c r="VIQ341" s="184"/>
      <c r="VIR341" s="187"/>
      <c r="VIS341" s="188"/>
      <c r="VIU341" s="182"/>
      <c r="VIV341" s="183"/>
      <c r="VJC341" s="267"/>
      <c r="VJD341" s="269"/>
      <c r="VJE341" s="267"/>
      <c r="VJF341" s="184"/>
      <c r="VJG341" s="184"/>
      <c r="VJH341" s="185"/>
      <c r="VJI341" s="184"/>
      <c r="VJJ341" s="184"/>
      <c r="VJK341" s="184"/>
      <c r="VJL341" s="187"/>
      <c r="VJM341" s="188"/>
      <c r="VJO341" s="182"/>
      <c r="VJP341" s="183"/>
      <c r="VJW341" s="267"/>
      <c r="VJX341" s="269"/>
      <c r="VJY341" s="267"/>
      <c r="VJZ341" s="184"/>
      <c r="VKA341" s="184"/>
      <c r="VKB341" s="185"/>
      <c r="VKC341" s="184"/>
      <c r="VKD341" s="184"/>
      <c r="VKE341" s="184"/>
      <c r="VKF341" s="187"/>
      <c r="VKG341" s="188"/>
      <c r="VKI341" s="182"/>
      <c r="VKJ341" s="183"/>
      <c r="VKQ341" s="267"/>
      <c r="VKR341" s="269"/>
      <c r="VKS341" s="267"/>
      <c r="VKT341" s="184"/>
      <c r="VKU341" s="184"/>
      <c r="VKV341" s="185"/>
      <c r="VKW341" s="184"/>
      <c r="VKX341" s="184"/>
      <c r="VKY341" s="184"/>
      <c r="VKZ341" s="187"/>
      <c r="VLA341" s="188"/>
      <c r="VLC341" s="182"/>
      <c r="VLD341" s="183"/>
      <c r="VLK341" s="267"/>
      <c r="VLL341" s="269"/>
      <c r="VLM341" s="267"/>
      <c r="VLN341" s="184"/>
      <c r="VLO341" s="184"/>
      <c r="VLP341" s="185"/>
      <c r="VLQ341" s="184"/>
      <c r="VLR341" s="184"/>
      <c r="VLS341" s="184"/>
      <c r="VLT341" s="187"/>
      <c r="VLU341" s="188"/>
      <c r="VLW341" s="182"/>
      <c r="VLX341" s="183"/>
      <c r="VME341" s="267"/>
      <c r="VMF341" s="269"/>
      <c r="VMG341" s="267"/>
      <c r="VMH341" s="184"/>
      <c r="VMI341" s="184"/>
      <c r="VMJ341" s="185"/>
      <c r="VMK341" s="184"/>
      <c r="VML341" s="184"/>
      <c r="VMM341" s="184"/>
      <c r="VMN341" s="187"/>
      <c r="VMO341" s="188"/>
      <c r="VMQ341" s="182"/>
      <c r="VMR341" s="183"/>
      <c r="VMY341" s="267"/>
      <c r="VMZ341" s="269"/>
      <c r="VNA341" s="267"/>
      <c r="VNB341" s="184"/>
      <c r="VNC341" s="184"/>
      <c r="VND341" s="185"/>
      <c r="VNE341" s="184"/>
      <c r="VNF341" s="184"/>
      <c r="VNG341" s="184"/>
      <c r="VNH341" s="187"/>
      <c r="VNI341" s="188"/>
      <c r="VNK341" s="182"/>
      <c r="VNL341" s="183"/>
      <c r="VNS341" s="267"/>
      <c r="VNT341" s="269"/>
      <c r="VNU341" s="267"/>
      <c r="VNV341" s="184"/>
      <c r="VNW341" s="184"/>
      <c r="VNX341" s="185"/>
      <c r="VNY341" s="184"/>
      <c r="VNZ341" s="184"/>
      <c r="VOA341" s="184"/>
      <c r="VOB341" s="187"/>
      <c r="VOC341" s="188"/>
      <c r="VOE341" s="182"/>
      <c r="VOF341" s="183"/>
      <c r="VOM341" s="267"/>
      <c r="VON341" s="269"/>
      <c r="VOO341" s="267"/>
      <c r="VOP341" s="184"/>
      <c r="VOQ341" s="184"/>
      <c r="VOR341" s="185"/>
      <c r="VOS341" s="184"/>
      <c r="VOT341" s="184"/>
      <c r="VOU341" s="184"/>
      <c r="VOV341" s="187"/>
      <c r="VOW341" s="188"/>
      <c r="VOY341" s="182"/>
      <c r="VOZ341" s="183"/>
      <c r="VPG341" s="267"/>
      <c r="VPH341" s="269"/>
      <c r="VPI341" s="267"/>
      <c r="VPJ341" s="184"/>
      <c r="VPK341" s="184"/>
      <c r="VPL341" s="185"/>
      <c r="VPM341" s="184"/>
      <c r="VPN341" s="184"/>
      <c r="VPO341" s="184"/>
      <c r="VPP341" s="187"/>
      <c r="VPQ341" s="188"/>
      <c r="VPS341" s="182"/>
      <c r="VPT341" s="183"/>
      <c r="VQA341" s="267"/>
      <c r="VQB341" s="269"/>
      <c r="VQC341" s="267"/>
      <c r="VQD341" s="184"/>
      <c r="VQE341" s="184"/>
      <c r="VQF341" s="185"/>
      <c r="VQG341" s="184"/>
      <c r="VQH341" s="184"/>
      <c r="VQI341" s="184"/>
      <c r="VQJ341" s="187"/>
      <c r="VQK341" s="188"/>
      <c r="VQM341" s="182"/>
      <c r="VQN341" s="183"/>
      <c r="VQU341" s="267"/>
      <c r="VQV341" s="269"/>
      <c r="VQW341" s="267"/>
      <c r="VQX341" s="184"/>
      <c r="VQY341" s="184"/>
      <c r="VQZ341" s="185"/>
      <c r="VRA341" s="184"/>
      <c r="VRB341" s="184"/>
      <c r="VRC341" s="184"/>
      <c r="VRD341" s="187"/>
      <c r="VRE341" s="188"/>
      <c r="VRG341" s="182"/>
      <c r="VRH341" s="183"/>
      <c r="VRO341" s="267"/>
      <c r="VRP341" s="269"/>
      <c r="VRQ341" s="267"/>
      <c r="VRR341" s="184"/>
      <c r="VRS341" s="184"/>
      <c r="VRT341" s="185"/>
      <c r="VRU341" s="184"/>
      <c r="VRV341" s="184"/>
      <c r="VRW341" s="184"/>
      <c r="VRX341" s="187"/>
      <c r="VRY341" s="188"/>
      <c r="VSA341" s="182"/>
      <c r="VSB341" s="183"/>
      <c r="VSI341" s="267"/>
      <c r="VSJ341" s="269"/>
      <c r="VSK341" s="267"/>
      <c r="VSL341" s="184"/>
      <c r="VSM341" s="184"/>
      <c r="VSN341" s="185"/>
      <c r="VSO341" s="184"/>
      <c r="VSP341" s="184"/>
      <c r="VSQ341" s="184"/>
      <c r="VSR341" s="187"/>
      <c r="VSS341" s="188"/>
      <c r="VSU341" s="182"/>
      <c r="VSV341" s="183"/>
      <c r="VTC341" s="267"/>
      <c r="VTD341" s="269"/>
      <c r="VTE341" s="267"/>
      <c r="VTF341" s="184"/>
      <c r="VTG341" s="184"/>
      <c r="VTH341" s="185"/>
      <c r="VTI341" s="184"/>
      <c r="VTJ341" s="184"/>
      <c r="VTK341" s="184"/>
      <c r="VTL341" s="187"/>
      <c r="VTM341" s="188"/>
      <c r="VTO341" s="182"/>
      <c r="VTP341" s="183"/>
      <c r="VTW341" s="267"/>
      <c r="VTX341" s="269"/>
      <c r="VTY341" s="267"/>
      <c r="VTZ341" s="184"/>
      <c r="VUA341" s="184"/>
      <c r="VUB341" s="185"/>
      <c r="VUC341" s="184"/>
      <c r="VUD341" s="184"/>
      <c r="VUE341" s="184"/>
      <c r="VUF341" s="187"/>
      <c r="VUG341" s="188"/>
      <c r="VUI341" s="182"/>
      <c r="VUJ341" s="183"/>
      <c r="VUQ341" s="267"/>
      <c r="VUR341" s="269"/>
      <c r="VUS341" s="267"/>
      <c r="VUT341" s="184"/>
      <c r="VUU341" s="184"/>
      <c r="VUV341" s="185"/>
      <c r="VUW341" s="184"/>
      <c r="VUX341" s="184"/>
      <c r="VUY341" s="184"/>
      <c r="VUZ341" s="187"/>
      <c r="VVA341" s="188"/>
      <c r="VVC341" s="182"/>
      <c r="VVD341" s="183"/>
      <c r="VVK341" s="267"/>
      <c r="VVL341" s="269"/>
      <c r="VVM341" s="267"/>
      <c r="VVN341" s="184"/>
      <c r="VVO341" s="184"/>
      <c r="VVP341" s="185"/>
      <c r="VVQ341" s="184"/>
      <c r="VVR341" s="184"/>
      <c r="VVS341" s="184"/>
      <c r="VVT341" s="187"/>
      <c r="VVU341" s="188"/>
      <c r="VVW341" s="182"/>
      <c r="VVX341" s="183"/>
      <c r="VWE341" s="267"/>
      <c r="VWF341" s="269"/>
      <c r="VWG341" s="267"/>
      <c r="VWH341" s="184"/>
      <c r="VWI341" s="184"/>
      <c r="VWJ341" s="185"/>
      <c r="VWK341" s="184"/>
      <c r="VWL341" s="184"/>
      <c r="VWM341" s="184"/>
      <c r="VWN341" s="187"/>
      <c r="VWO341" s="188"/>
      <c r="VWQ341" s="182"/>
      <c r="VWR341" s="183"/>
      <c r="VWY341" s="267"/>
      <c r="VWZ341" s="269"/>
      <c r="VXA341" s="267"/>
      <c r="VXB341" s="184"/>
      <c r="VXC341" s="184"/>
      <c r="VXD341" s="185"/>
      <c r="VXE341" s="184"/>
      <c r="VXF341" s="184"/>
      <c r="VXG341" s="184"/>
      <c r="VXH341" s="187"/>
      <c r="VXI341" s="188"/>
      <c r="VXK341" s="182"/>
      <c r="VXL341" s="183"/>
      <c r="VXS341" s="267"/>
      <c r="VXT341" s="269"/>
      <c r="VXU341" s="267"/>
      <c r="VXV341" s="184"/>
      <c r="VXW341" s="184"/>
      <c r="VXX341" s="185"/>
      <c r="VXY341" s="184"/>
      <c r="VXZ341" s="184"/>
      <c r="VYA341" s="184"/>
      <c r="VYB341" s="187"/>
      <c r="VYC341" s="188"/>
      <c r="VYE341" s="182"/>
      <c r="VYF341" s="183"/>
      <c r="VYM341" s="267"/>
      <c r="VYN341" s="269"/>
      <c r="VYO341" s="267"/>
      <c r="VYP341" s="184"/>
      <c r="VYQ341" s="184"/>
      <c r="VYR341" s="185"/>
      <c r="VYS341" s="184"/>
      <c r="VYT341" s="184"/>
      <c r="VYU341" s="184"/>
      <c r="VYV341" s="187"/>
      <c r="VYW341" s="188"/>
      <c r="VYY341" s="182"/>
      <c r="VYZ341" s="183"/>
      <c r="VZG341" s="267"/>
      <c r="VZH341" s="269"/>
      <c r="VZI341" s="267"/>
      <c r="VZJ341" s="184"/>
      <c r="VZK341" s="184"/>
      <c r="VZL341" s="185"/>
      <c r="VZM341" s="184"/>
      <c r="VZN341" s="184"/>
      <c r="VZO341" s="184"/>
      <c r="VZP341" s="187"/>
      <c r="VZQ341" s="188"/>
      <c r="VZS341" s="182"/>
      <c r="VZT341" s="183"/>
      <c r="WAA341" s="267"/>
      <c r="WAB341" s="269"/>
      <c r="WAC341" s="267"/>
      <c r="WAD341" s="184"/>
      <c r="WAE341" s="184"/>
      <c r="WAF341" s="185"/>
      <c r="WAG341" s="184"/>
      <c r="WAH341" s="184"/>
      <c r="WAI341" s="184"/>
      <c r="WAJ341" s="187"/>
      <c r="WAK341" s="188"/>
      <c r="WAM341" s="182"/>
      <c r="WAN341" s="183"/>
      <c r="WAU341" s="267"/>
      <c r="WAV341" s="269"/>
      <c r="WAW341" s="267"/>
      <c r="WAX341" s="184"/>
      <c r="WAY341" s="184"/>
      <c r="WAZ341" s="185"/>
      <c r="WBA341" s="184"/>
      <c r="WBB341" s="184"/>
      <c r="WBC341" s="184"/>
      <c r="WBD341" s="187"/>
      <c r="WBE341" s="188"/>
      <c r="WBG341" s="182"/>
      <c r="WBH341" s="183"/>
      <c r="WBO341" s="267"/>
      <c r="WBP341" s="269"/>
      <c r="WBQ341" s="267"/>
      <c r="WBR341" s="184"/>
      <c r="WBS341" s="184"/>
      <c r="WBT341" s="185"/>
      <c r="WBU341" s="184"/>
      <c r="WBV341" s="184"/>
      <c r="WBW341" s="184"/>
      <c r="WBX341" s="187"/>
      <c r="WBY341" s="188"/>
      <c r="WCA341" s="182"/>
      <c r="WCB341" s="183"/>
      <c r="WCI341" s="267"/>
      <c r="WCJ341" s="269"/>
      <c r="WCK341" s="267"/>
      <c r="WCL341" s="184"/>
      <c r="WCM341" s="184"/>
      <c r="WCN341" s="185"/>
      <c r="WCO341" s="184"/>
      <c r="WCP341" s="184"/>
      <c r="WCQ341" s="184"/>
      <c r="WCR341" s="187"/>
      <c r="WCS341" s="188"/>
      <c r="WCU341" s="182"/>
      <c r="WCV341" s="183"/>
      <c r="WDC341" s="267"/>
      <c r="WDD341" s="269"/>
      <c r="WDE341" s="267"/>
      <c r="WDF341" s="184"/>
      <c r="WDG341" s="184"/>
      <c r="WDH341" s="185"/>
      <c r="WDI341" s="184"/>
      <c r="WDJ341" s="184"/>
      <c r="WDK341" s="184"/>
      <c r="WDL341" s="187"/>
      <c r="WDM341" s="188"/>
      <c r="WDO341" s="182"/>
      <c r="WDP341" s="183"/>
      <c r="WDW341" s="267"/>
      <c r="WDX341" s="269"/>
      <c r="WDY341" s="267"/>
      <c r="WDZ341" s="184"/>
      <c r="WEA341" s="184"/>
      <c r="WEB341" s="185"/>
      <c r="WEC341" s="184"/>
      <c r="WED341" s="184"/>
      <c r="WEE341" s="184"/>
      <c r="WEF341" s="187"/>
      <c r="WEG341" s="188"/>
      <c r="WEI341" s="182"/>
      <c r="WEJ341" s="183"/>
      <c r="WEQ341" s="267"/>
      <c r="WER341" s="269"/>
      <c r="WES341" s="267"/>
      <c r="WET341" s="184"/>
      <c r="WEU341" s="184"/>
      <c r="WEV341" s="185"/>
      <c r="WEW341" s="184"/>
      <c r="WEX341" s="184"/>
      <c r="WEY341" s="184"/>
      <c r="WEZ341" s="187"/>
      <c r="WFA341" s="188"/>
      <c r="WFC341" s="182"/>
      <c r="WFD341" s="183"/>
      <c r="WFK341" s="267"/>
      <c r="WFL341" s="269"/>
      <c r="WFM341" s="267"/>
      <c r="WFN341" s="184"/>
      <c r="WFO341" s="184"/>
      <c r="WFP341" s="185"/>
      <c r="WFQ341" s="184"/>
      <c r="WFR341" s="184"/>
      <c r="WFS341" s="184"/>
      <c r="WFT341" s="187"/>
      <c r="WFU341" s="188"/>
      <c r="WFW341" s="182"/>
      <c r="WFX341" s="183"/>
      <c r="WGE341" s="267"/>
      <c r="WGF341" s="269"/>
      <c r="WGG341" s="267"/>
      <c r="WGH341" s="184"/>
      <c r="WGI341" s="184"/>
      <c r="WGJ341" s="185"/>
      <c r="WGK341" s="184"/>
      <c r="WGL341" s="184"/>
      <c r="WGM341" s="184"/>
      <c r="WGN341" s="187"/>
      <c r="WGO341" s="188"/>
      <c r="WGQ341" s="182"/>
      <c r="WGR341" s="183"/>
      <c r="WGY341" s="267"/>
      <c r="WGZ341" s="269"/>
      <c r="WHA341" s="267"/>
      <c r="WHB341" s="184"/>
      <c r="WHC341" s="184"/>
      <c r="WHD341" s="185"/>
      <c r="WHE341" s="184"/>
      <c r="WHF341" s="184"/>
      <c r="WHG341" s="184"/>
      <c r="WHH341" s="187"/>
      <c r="WHI341" s="188"/>
      <c r="WHK341" s="182"/>
      <c r="WHL341" s="183"/>
      <c r="WHS341" s="267"/>
      <c r="WHT341" s="269"/>
      <c r="WHU341" s="267"/>
      <c r="WHV341" s="184"/>
      <c r="WHW341" s="184"/>
      <c r="WHX341" s="185"/>
      <c r="WHY341" s="184"/>
      <c r="WHZ341" s="184"/>
      <c r="WIA341" s="184"/>
      <c r="WIB341" s="187"/>
      <c r="WIC341" s="188"/>
      <c r="WIE341" s="182"/>
      <c r="WIF341" s="183"/>
      <c r="WIM341" s="267"/>
      <c r="WIN341" s="269"/>
      <c r="WIO341" s="267"/>
      <c r="WIP341" s="184"/>
      <c r="WIQ341" s="184"/>
      <c r="WIR341" s="185"/>
      <c r="WIS341" s="184"/>
      <c r="WIT341" s="184"/>
      <c r="WIU341" s="184"/>
      <c r="WIV341" s="187"/>
      <c r="WIW341" s="188"/>
      <c r="WIY341" s="182"/>
      <c r="WIZ341" s="183"/>
      <c r="WJG341" s="267"/>
      <c r="WJH341" s="269"/>
      <c r="WJI341" s="267"/>
      <c r="WJJ341" s="184"/>
      <c r="WJK341" s="184"/>
      <c r="WJL341" s="185"/>
      <c r="WJM341" s="184"/>
      <c r="WJN341" s="184"/>
      <c r="WJO341" s="184"/>
      <c r="WJP341" s="187"/>
      <c r="WJQ341" s="188"/>
      <c r="WJS341" s="182"/>
      <c r="WJT341" s="183"/>
      <c r="WKA341" s="267"/>
      <c r="WKB341" s="269"/>
      <c r="WKC341" s="267"/>
      <c r="WKD341" s="184"/>
      <c r="WKE341" s="184"/>
      <c r="WKF341" s="185"/>
      <c r="WKG341" s="184"/>
      <c r="WKH341" s="184"/>
      <c r="WKI341" s="184"/>
      <c r="WKJ341" s="187"/>
      <c r="WKK341" s="188"/>
      <c r="WKM341" s="182"/>
      <c r="WKN341" s="183"/>
      <c r="WKU341" s="267"/>
      <c r="WKV341" s="269"/>
      <c r="WKW341" s="267"/>
      <c r="WKX341" s="184"/>
      <c r="WKY341" s="184"/>
      <c r="WKZ341" s="185"/>
      <c r="WLA341" s="184"/>
      <c r="WLB341" s="184"/>
      <c r="WLC341" s="184"/>
      <c r="WLD341" s="187"/>
      <c r="WLE341" s="188"/>
      <c r="WLG341" s="182"/>
      <c r="WLH341" s="183"/>
      <c r="WLO341" s="267"/>
      <c r="WLP341" s="269"/>
      <c r="WLQ341" s="267"/>
      <c r="WLR341" s="184"/>
      <c r="WLS341" s="184"/>
      <c r="WLT341" s="185"/>
      <c r="WLU341" s="184"/>
      <c r="WLV341" s="184"/>
      <c r="WLW341" s="184"/>
      <c r="WLX341" s="187"/>
      <c r="WLY341" s="188"/>
      <c r="WMA341" s="182"/>
      <c r="WMB341" s="183"/>
      <c r="WMI341" s="267"/>
      <c r="WMJ341" s="269"/>
      <c r="WMK341" s="267"/>
      <c r="WML341" s="184"/>
      <c r="WMM341" s="184"/>
      <c r="WMN341" s="185"/>
      <c r="WMO341" s="184"/>
      <c r="WMP341" s="184"/>
      <c r="WMQ341" s="184"/>
      <c r="WMR341" s="187"/>
      <c r="WMS341" s="188"/>
      <c r="WMU341" s="182"/>
      <c r="WMV341" s="183"/>
      <c r="WNC341" s="267"/>
      <c r="WND341" s="269"/>
      <c r="WNE341" s="267"/>
      <c r="WNF341" s="184"/>
      <c r="WNG341" s="184"/>
      <c r="WNH341" s="185"/>
      <c r="WNI341" s="184"/>
      <c r="WNJ341" s="184"/>
      <c r="WNK341" s="184"/>
      <c r="WNL341" s="187"/>
      <c r="WNM341" s="188"/>
      <c r="WNO341" s="182"/>
      <c r="WNP341" s="183"/>
      <c r="WNW341" s="267"/>
      <c r="WNX341" s="269"/>
      <c r="WNY341" s="267"/>
      <c r="WNZ341" s="184"/>
      <c r="WOA341" s="184"/>
      <c r="WOB341" s="185"/>
      <c r="WOC341" s="184"/>
      <c r="WOD341" s="184"/>
      <c r="WOE341" s="184"/>
      <c r="WOF341" s="187"/>
      <c r="WOG341" s="188"/>
      <c r="WOI341" s="182"/>
      <c r="WOJ341" s="183"/>
      <c r="WOQ341" s="267"/>
      <c r="WOR341" s="269"/>
      <c r="WOS341" s="267"/>
      <c r="WOT341" s="184"/>
      <c r="WOU341" s="184"/>
      <c r="WOV341" s="185"/>
      <c r="WOW341" s="184"/>
      <c r="WOX341" s="184"/>
      <c r="WOY341" s="184"/>
      <c r="WOZ341" s="187"/>
      <c r="WPA341" s="188"/>
      <c r="WPC341" s="182"/>
      <c r="WPD341" s="183"/>
      <c r="WPK341" s="267"/>
      <c r="WPL341" s="269"/>
      <c r="WPM341" s="267"/>
      <c r="WPN341" s="184"/>
      <c r="WPO341" s="184"/>
      <c r="WPP341" s="185"/>
      <c r="WPQ341" s="184"/>
      <c r="WPR341" s="184"/>
      <c r="WPS341" s="184"/>
      <c r="WPT341" s="187"/>
      <c r="WPU341" s="188"/>
      <c r="WPW341" s="182"/>
      <c r="WPX341" s="183"/>
      <c r="WQE341" s="267"/>
      <c r="WQF341" s="269"/>
      <c r="WQG341" s="267"/>
      <c r="WQH341" s="184"/>
      <c r="WQI341" s="184"/>
      <c r="WQJ341" s="185"/>
      <c r="WQK341" s="184"/>
      <c r="WQL341" s="184"/>
      <c r="WQM341" s="184"/>
      <c r="WQN341" s="187"/>
      <c r="WQO341" s="188"/>
      <c r="WQQ341" s="182"/>
      <c r="WQR341" s="183"/>
      <c r="WQY341" s="267"/>
      <c r="WQZ341" s="269"/>
      <c r="WRA341" s="267"/>
      <c r="WRB341" s="184"/>
      <c r="WRC341" s="184"/>
      <c r="WRD341" s="185"/>
      <c r="WRE341" s="184"/>
      <c r="WRF341" s="184"/>
      <c r="WRG341" s="184"/>
      <c r="WRH341" s="187"/>
      <c r="WRI341" s="188"/>
      <c r="WRK341" s="182"/>
      <c r="WRL341" s="183"/>
      <c r="WRS341" s="267"/>
      <c r="WRT341" s="269"/>
      <c r="WRU341" s="267"/>
      <c r="WRV341" s="184"/>
      <c r="WRW341" s="184"/>
      <c r="WRX341" s="185"/>
      <c r="WRY341" s="184"/>
      <c r="WRZ341" s="184"/>
      <c r="WSA341" s="184"/>
      <c r="WSB341" s="187"/>
      <c r="WSC341" s="188"/>
      <c r="WSE341" s="182"/>
      <c r="WSF341" s="183"/>
      <c r="WSM341" s="267"/>
      <c r="WSN341" s="269"/>
      <c r="WSO341" s="267"/>
      <c r="WSP341" s="184"/>
      <c r="WSQ341" s="184"/>
      <c r="WSR341" s="185"/>
      <c r="WSS341" s="184"/>
      <c r="WST341" s="184"/>
      <c r="WSU341" s="184"/>
      <c r="WSV341" s="187"/>
      <c r="WSW341" s="188"/>
      <c r="WSY341" s="182"/>
      <c r="WSZ341" s="183"/>
      <c r="WTG341" s="267"/>
      <c r="WTH341" s="269"/>
      <c r="WTI341" s="267"/>
      <c r="WTJ341" s="184"/>
      <c r="WTK341" s="184"/>
      <c r="WTL341" s="185"/>
      <c r="WTM341" s="184"/>
      <c r="WTN341" s="184"/>
      <c r="WTO341" s="184"/>
      <c r="WTP341" s="187"/>
      <c r="WTQ341" s="188"/>
      <c r="WTS341" s="182"/>
      <c r="WTT341" s="183"/>
      <c r="WUA341" s="267"/>
      <c r="WUB341" s="269"/>
      <c r="WUC341" s="267"/>
      <c r="WUD341" s="184"/>
      <c r="WUE341" s="184"/>
      <c r="WUF341" s="185"/>
      <c r="WUG341" s="184"/>
      <c r="WUH341" s="184"/>
      <c r="WUI341" s="184"/>
      <c r="WUJ341" s="187"/>
      <c r="WUK341" s="188"/>
      <c r="WUM341" s="182"/>
      <c r="WUN341" s="183"/>
      <c r="WUU341" s="267"/>
      <c r="WUV341" s="269"/>
      <c r="WUW341" s="267"/>
      <c r="WUX341" s="184"/>
      <c r="WUY341" s="184"/>
      <c r="WUZ341" s="185"/>
      <c r="WVA341" s="184"/>
      <c r="WVB341" s="184"/>
      <c r="WVC341" s="184"/>
      <c r="WVD341" s="187"/>
      <c r="WVE341" s="188"/>
      <c r="WVG341" s="182"/>
      <c r="WVH341" s="183"/>
      <c r="WVO341" s="267"/>
      <c r="WVP341" s="269"/>
      <c r="WVQ341" s="267"/>
      <c r="WVR341" s="184"/>
      <c r="WVS341" s="184"/>
      <c r="WVT341" s="185"/>
      <c r="WVU341" s="184"/>
      <c r="WVV341" s="184"/>
      <c r="WVW341" s="184"/>
      <c r="WVX341" s="187"/>
      <c r="WVY341" s="188"/>
      <c r="WWA341" s="182"/>
      <c r="WWB341" s="183"/>
      <c r="WWI341" s="267"/>
      <c r="WWJ341" s="269"/>
      <c r="WWK341" s="267"/>
      <c r="WWL341" s="184"/>
      <c r="WWM341" s="184"/>
      <c r="WWN341" s="185"/>
      <c r="WWO341" s="184"/>
      <c r="WWP341" s="184"/>
      <c r="WWQ341" s="184"/>
      <c r="WWR341" s="187"/>
      <c r="WWS341" s="188"/>
      <c r="WWU341" s="182"/>
      <c r="WWV341" s="183"/>
      <c r="WXC341" s="267"/>
      <c r="WXD341" s="269"/>
      <c r="WXE341" s="267"/>
      <c r="WXF341" s="184"/>
      <c r="WXG341" s="184"/>
      <c r="WXH341" s="185"/>
      <c r="WXI341" s="184"/>
      <c r="WXJ341" s="184"/>
      <c r="WXK341" s="184"/>
      <c r="WXL341" s="187"/>
      <c r="WXM341" s="188"/>
      <c r="WXO341" s="182"/>
      <c r="WXP341" s="183"/>
      <c r="WXW341" s="267"/>
      <c r="WXX341" s="269"/>
      <c r="WXY341" s="267"/>
      <c r="WXZ341" s="184"/>
      <c r="WYA341" s="184"/>
      <c r="WYB341" s="185"/>
      <c r="WYC341" s="184"/>
      <c r="WYD341" s="184"/>
      <c r="WYE341" s="184"/>
      <c r="WYF341" s="187"/>
      <c r="WYG341" s="188"/>
      <c r="WYI341" s="182"/>
      <c r="WYJ341" s="183"/>
      <c r="WYQ341" s="267"/>
      <c r="WYR341" s="269"/>
      <c r="WYS341" s="267"/>
      <c r="WYT341" s="184"/>
      <c r="WYU341" s="184"/>
      <c r="WYV341" s="185"/>
      <c r="WYW341" s="184"/>
      <c r="WYX341" s="184"/>
      <c r="WYY341" s="184"/>
      <c r="WYZ341" s="187"/>
      <c r="WZA341" s="188"/>
      <c r="WZC341" s="182"/>
      <c r="WZD341" s="183"/>
      <c r="WZK341" s="267"/>
      <c r="WZL341" s="269"/>
      <c r="WZM341" s="267"/>
      <c r="WZN341" s="184"/>
      <c r="WZO341" s="184"/>
      <c r="WZP341" s="185"/>
      <c r="WZQ341" s="184"/>
      <c r="WZR341" s="184"/>
      <c r="WZS341" s="184"/>
      <c r="WZT341" s="187"/>
      <c r="WZU341" s="188"/>
      <c r="WZW341" s="182"/>
      <c r="WZX341" s="183"/>
      <c r="XAE341" s="267"/>
      <c r="XAF341" s="269"/>
      <c r="XAG341" s="267"/>
      <c r="XAH341" s="184"/>
      <c r="XAI341" s="184"/>
      <c r="XAJ341" s="185"/>
      <c r="XAK341" s="184"/>
      <c r="XAL341" s="184"/>
      <c r="XAM341" s="184"/>
      <c r="XAN341" s="187"/>
      <c r="XAO341" s="188"/>
      <c r="XAQ341" s="182"/>
      <c r="XAR341" s="183"/>
      <c r="XAY341" s="267"/>
      <c r="XAZ341" s="269"/>
      <c r="XBA341" s="267"/>
      <c r="XBB341" s="184"/>
      <c r="XBC341" s="184"/>
      <c r="XBD341" s="185"/>
      <c r="XBE341" s="184"/>
      <c r="XBF341" s="184"/>
      <c r="XBG341" s="184"/>
      <c r="XBH341" s="187"/>
      <c r="XBI341" s="188"/>
      <c r="XBK341" s="182"/>
      <c r="XBL341" s="183"/>
      <c r="XBS341" s="267"/>
      <c r="XBT341" s="269"/>
      <c r="XBU341" s="267"/>
      <c r="XBV341" s="184"/>
      <c r="XBW341" s="184"/>
      <c r="XBX341" s="185"/>
      <c r="XBY341" s="184"/>
      <c r="XBZ341" s="184"/>
      <c r="XCA341" s="184"/>
      <c r="XCB341" s="187"/>
      <c r="XCC341" s="188"/>
      <c r="XCE341" s="182"/>
      <c r="XCF341" s="183"/>
      <c r="XCM341" s="267"/>
      <c r="XCN341" s="269"/>
      <c r="XCO341" s="267"/>
      <c r="XCP341" s="184"/>
      <c r="XCQ341" s="184"/>
      <c r="XCR341" s="185"/>
      <c r="XCS341" s="184"/>
      <c r="XCT341" s="184"/>
      <c r="XCU341" s="184"/>
      <c r="XCV341" s="187"/>
      <c r="XCW341" s="188"/>
      <c r="XCY341" s="182"/>
      <c r="XCZ341" s="183"/>
      <c r="XDG341" s="267"/>
      <c r="XDH341" s="269"/>
      <c r="XDI341" s="267"/>
      <c r="XDJ341" s="184"/>
      <c r="XDK341" s="184"/>
      <c r="XDL341" s="185"/>
      <c r="XDM341" s="184"/>
      <c r="XDN341" s="184"/>
      <c r="XDO341" s="184"/>
      <c r="XDP341" s="187"/>
      <c r="XDQ341" s="188"/>
      <c r="XDS341" s="182"/>
      <c r="XDT341" s="183"/>
      <c r="XEA341" s="267"/>
      <c r="XEB341" s="269"/>
      <c r="XEC341" s="267"/>
      <c r="XED341" s="184"/>
      <c r="XEE341" s="184"/>
      <c r="XEF341" s="185"/>
      <c r="XEG341" s="184"/>
      <c r="XEH341" s="184"/>
      <c r="XEI341" s="184"/>
      <c r="XEJ341" s="187"/>
      <c r="XEK341" s="188"/>
      <c r="XEM341" s="182"/>
      <c r="XEN341" s="0"/>
      <c r="XEO341" s="0"/>
      <c r="XEP341" s="0"/>
      <c r="XEQ341" s="0"/>
      <c r="XER341" s="0"/>
      <c r="XES341" s="0"/>
      <c r="XET341" s="0"/>
      <c r="XEU341" s="0"/>
      <c r="XEV341" s="0"/>
      <c r="XEW341" s="0"/>
      <c r="XEX341" s="0"/>
      <c r="XEY341" s="0"/>
      <c r="XEZ341" s="0"/>
      <c r="XFA341" s="0"/>
      <c r="XFB341" s="0"/>
      <c r="XFC341" s="0"/>
      <c r="XFD341" s="0"/>
    </row>
    <row r="342" customFormat="false" ht="57.45" hidden="true" customHeight="false" outlineLevel="0" collapsed="false">
      <c r="A342" s="181" t="s">
        <v>1040</v>
      </c>
      <c r="B342" s="182" t="n">
        <v>1312</v>
      </c>
      <c r="C342" s="183" t="n">
        <v>58513</v>
      </c>
      <c r="D342" s="181" t="s">
        <v>3326</v>
      </c>
      <c r="E342" s="181" t="s">
        <v>413</v>
      </c>
      <c r="F342" s="181" t="s">
        <v>414</v>
      </c>
      <c r="G342" s="181" t="s">
        <v>227</v>
      </c>
      <c r="H342" s="181" t="s">
        <v>520</v>
      </c>
      <c r="I342" s="181" t="s">
        <v>220</v>
      </c>
      <c r="J342" s="267"/>
      <c r="K342" s="269" t="n">
        <v>45897</v>
      </c>
      <c r="L342" s="267" t="n">
        <v>1.4</v>
      </c>
      <c r="M342" s="184" t="s">
        <v>227</v>
      </c>
      <c r="N342" s="184" t="n">
        <v>42350</v>
      </c>
      <c r="O342" s="184" t="n">
        <v>15590</v>
      </c>
      <c r="P342" s="185" t="n">
        <v>6</v>
      </c>
      <c r="Q342" s="184" t="n">
        <v>26760</v>
      </c>
      <c r="R342" s="184" t="n">
        <v>25154.4</v>
      </c>
      <c r="S342" s="184" t="s">
        <v>1041</v>
      </c>
      <c r="T342" s="187" t="n">
        <v>45898</v>
      </c>
    </row>
    <row r="343" customFormat="false" ht="57.45" hidden="true" customHeight="false" outlineLevel="0" collapsed="false">
      <c r="A343" s="181" t="s">
        <v>1042</v>
      </c>
      <c r="B343" s="182" t="n">
        <v>1314</v>
      </c>
      <c r="C343" s="183" t="n">
        <v>58537</v>
      </c>
      <c r="D343" s="181" t="s">
        <v>3326</v>
      </c>
      <c r="E343" s="181" t="s">
        <v>354</v>
      </c>
      <c r="F343" s="181" t="s">
        <v>355</v>
      </c>
      <c r="G343" s="181" t="s">
        <v>227</v>
      </c>
      <c r="H343" s="181" t="s">
        <v>520</v>
      </c>
      <c r="I343" s="181" t="s">
        <v>220</v>
      </c>
      <c r="J343" s="267"/>
      <c r="K343" s="269" t="n">
        <v>45897</v>
      </c>
      <c r="L343" s="267" t="n">
        <v>1.2</v>
      </c>
      <c r="M343" s="184" t="s">
        <v>227</v>
      </c>
      <c r="N343" s="184" t="n">
        <v>36610</v>
      </c>
      <c r="O343" s="184" t="n">
        <v>14740</v>
      </c>
      <c r="P343" s="185" t="n">
        <v>6</v>
      </c>
      <c r="Q343" s="184" t="n">
        <v>21870</v>
      </c>
      <c r="R343" s="184" t="n">
        <v>20557.8</v>
      </c>
      <c r="S343" s="184" t="s">
        <v>1043</v>
      </c>
      <c r="T343" s="187" t="n">
        <v>45898</v>
      </c>
    </row>
    <row r="344" customFormat="false" ht="57.45" hidden="true" customHeight="false" outlineLevel="0" collapsed="false">
      <c r="A344" s="181" t="s">
        <v>1044</v>
      </c>
      <c r="B344" s="182" t="n">
        <v>1315</v>
      </c>
      <c r="C344" s="183" t="n">
        <v>58539</v>
      </c>
      <c r="D344" s="181" t="s">
        <v>3326</v>
      </c>
      <c r="E344" s="181" t="s">
        <v>359</v>
      </c>
      <c r="F344" s="181" t="s">
        <v>360</v>
      </c>
      <c r="G344" s="181" t="s">
        <v>227</v>
      </c>
      <c r="H344" s="181" t="s">
        <v>520</v>
      </c>
      <c r="I344" s="181" t="s">
        <v>220</v>
      </c>
      <c r="J344" s="267"/>
      <c r="K344" s="269" t="n">
        <v>45897</v>
      </c>
      <c r="L344" s="267" t="n">
        <v>1.2</v>
      </c>
      <c r="M344" s="184" t="s">
        <v>227</v>
      </c>
      <c r="N344" s="184" t="n">
        <v>37510</v>
      </c>
      <c r="O344" s="184" t="n">
        <v>14910</v>
      </c>
      <c r="P344" s="185" t="n">
        <v>8</v>
      </c>
      <c r="Q344" s="184" t="n">
        <v>22600</v>
      </c>
      <c r="R344" s="184" t="n">
        <v>20792</v>
      </c>
      <c r="S344" s="184" t="s">
        <v>1045</v>
      </c>
      <c r="T344" s="187" t="n">
        <v>45898</v>
      </c>
    </row>
    <row r="345" customFormat="false" ht="57.45" hidden="true" customHeight="false" outlineLevel="0" collapsed="false">
      <c r="A345" s="181" t="s">
        <v>1046</v>
      </c>
      <c r="B345" s="182" t="n">
        <v>1332</v>
      </c>
      <c r="C345" s="183" t="n">
        <v>58542</v>
      </c>
      <c r="D345" s="181" t="s">
        <v>3326</v>
      </c>
      <c r="E345" s="181" t="s">
        <v>576</v>
      </c>
      <c r="F345" s="181" t="s">
        <v>577</v>
      </c>
      <c r="G345" s="181" t="s">
        <v>227</v>
      </c>
      <c r="H345" s="181" t="s">
        <v>520</v>
      </c>
      <c r="I345" s="181" t="s">
        <v>220</v>
      </c>
      <c r="J345" s="267"/>
      <c r="K345" s="269" t="n">
        <v>45898</v>
      </c>
      <c r="L345" s="267" t="n">
        <v>1.4</v>
      </c>
      <c r="M345" s="184" t="s">
        <v>227</v>
      </c>
      <c r="N345" s="184" t="n">
        <v>38140</v>
      </c>
      <c r="O345" s="184" t="n">
        <v>14430</v>
      </c>
      <c r="P345" s="185" t="n">
        <v>6</v>
      </c>
      <c r="Q345" s="184" t="n">
        <v>23710</v>
      </c>
      <c r="R345" s="184" t="n">
        <v>22287.4</v>
      </c>
      <c r="S345" s="184" t="s">
        <v>1047</v>
      </c>
      <c r="T345" s="187" t="n">
        <v>45898</v>
      </c>
    </row>
    <row r="346" customFormat="false" ht="57.45" hidden="true" customHeight="false" outlineLevel="0" collapsed="false">
      <c r="A346" s="181" t="s">
        <v>1048</v>
      </c>
      <c r="B346" s="182" t="n">
        <v>1333</v>
      </c>
      <c r="C346" s="183" t="n">
        <v>58544</v>
      </c>
      <c r="D346" s="181" t="s">
        <v>3326</v>
      </c>
      <c r="E346" s="181" t="s">
        <v>261</v>
      </c>
      <c r="F346" s="181" t="s">
        <v>262</v>
      </c>
      <c r="G346" s="181" t="s">
        <v>227</v>
      </c>
      <c r="H346" s="181" t="s">
        <v>520</v>
      </c>
      <c r="I346" s="181" t="s">
        <v>220</v>
      </c>
      <c r="J346" s="267"/>
      <c r="K346" s="269" t="n">
        <v>45898</v>
      </c>
      <c r="L346" s="267" t="n">
        <v>1.4</v>
      </c>
      <c r="M346" s="184" t="s">
        <v>227</v>
      </c>
      <c r="N346" s="184" t="n">
        <v>38140</v>
      </c>
      <c r="O346" s="184" t="n">
        <v>15040</v>
      </c>
      <c r="P346" s="185" t="n">
        <v>5</v>
      </c>
      <c r="Q346" s="184" t="n">
        <v>23100</v>
      </c>
      <c r="R346" s="184" t="n">
        <v>21945</v>
      </c>
      <c r="S346" s="184" t="s">
        <v>1049</v>
      </c>
      <c r="T346" s="187" t="n">
        <v>45898</v>
      </c>
    </row>
    <row r="347" customFormat="false" ht="57.45" hidden="true" customHeight="false" outlineLevel="0" collapsed="false">
      <c r="A347" s="181" t="s">
        <v>1050</v>
      </c>
      <c r="B347" s="182" t="n">
        <v>1335</v>
      </c>
      <c r="C347" s="183" t="n">
        <v>58509</v>
      </c>
      <c r="D347" s="181" t="s">
        <v>3326</v>
      </c>
      <c r="E347" s="181" t="s">
        <v>340</v>
      </c>
      <c r="F347" s="181" t="s">
        <v>341</v>
      </c>
      <c r="G347" s="181" t="s">
        <v>227</v>
      </c>
      <c r="H347" s="181" t="s">
        <v>520</v>
      </c>
      <c r="I347" s="181" t="s">
        <v>220</v>
      </c>
      <c r="J347" s="267"/>
      <c r="K347" s="269" t="n">
        <v>45898</v>
      </c>
      <c r="L347" s="267" t="n">
        <v>1.4</v>
      </c>
      <c r="M347" s="184" t="s">
        <v>227</v>
      </c>
      <c r="N347" s="184" t="n">
        <v>38340</v>
      </c>
      <c r="O347" s="184" t="n">
        <v>15030</v>
      </c>
      <c r="P347" s="185" t="n">
        <v>6</v>
      </c>
      <c r="Q347" s="184" t="n">
        <v>23310</v>
      </c>
      <c r="R347" s="184" t="n">
        <v>21911.4</v>
      </c>
      <c r="S347" s="184" t="s">
        <v>1051</v>
      </c>
      <c r="T347" s="187" t="n">
        <v>45898</v>
      </c>
    </row>
    <row r="348" customFormat="false" ht="57.45" hidden="true" customHeight="false" outlineLevel="0" collapsed="false">
      <c r="A348" s="181" t="s">
        <v>1052</v>
      </c>
      <c r="B348" s="182" t="n">
        <v>1336</v>
      </c>
      <c r="C348" s="183" t="n">
        <v>58511</v>
      </c>
      <c r="D348" s="181" t="s">
        <v>3326</v>
      </c>
      <c r="E348" s="181" t="s">
        <v>1053</v>
      </c>
      <c r="F348" s="181" t="s">
        <v>337</v>
      </c>
      <c r="G348" s="181" t="s">
        <v>227</v>
      </c>
      <c r="H348" s="181" t="s">
        <v>520</v>
      </c>
      <c r="I348" s="181" t="s">
        <v>220</v>
      </c>
      <c r="J348" s="267"/>
      <c r="K348" s="269" t="n">
        <v>45898</v>
      </c>
      <c r="L348" s="267" t="n">
        <v>1.4</v>
      </c>
      <c r="M348" s="184" t="s">
        <v>227</v>
      </c>
      <c r="N348" s="184" t="n">
        <v>37500</v>
      </c>
      <c r="O348" s="184" t="n">
        <v>14450</v>
      </c>
      <c r="P348" s="185" t="n">
        <v>8</v>
      </c>
      <c r="Q348" s="184" t="n">
        <v>23050</v>
      </c>
      <c r="R348" s="184" t="n">
        <v>21206</v>
      </c>
      <c r="S348" s="184" t="s">
        <v>1054</v>
      </c>
      <c r="T348" s="187" t="n">
        <v>45898</v>
      </c>
    </row>
    <row r="349" customFormat="false" ht="57.45" hidden="true" customHeight="false" outlineLevel="0" collapsed="false">
      <c r="A349" s="181" t="s">
        <v>1055</v>
      </c>
      <c r="B349" s="182" t="n">
        <v>1337</v>
      </c>
      <c r="C349" s="183" t="n">
        <v>58546</v>
      </c>
      <c r="D349" s="181" t="s">
        <v>3326</v>
      </c>
      <c r="E349" s="181" t="s">
        <v>296</v>
      </c>
      <c r="F349" s="181" t="s">
        <v>297</v>
      </c>
      <c r="G349" s="181" t="s">
        <v>227</v>
      </c>
      <c r="H349" s="181" t="s">
        <v>520</v>
      </c>
      <c r="I349" s="181" t="s">
        <v>220</v>
      </c>
      <c r="J349" s="267"/>
      <c r="K349" s="269" t="n">
        <v>45898</v>
      </c>
      <c r="L349" s="267" t="n">
        <v>1.4</v>
      </c>
      <c r="M349" s="184" t="s">
        <v>227</v>
      </c>
      <c r="N349" s="184" t="n">
        <v>38710</v>
      </c>
      <c r="O349" s="184" t="n">
        <v>15400</v>
      </c>
      <c r="P349" s="185" t="n">
        <v>4</v>
      </c>
      <c r="Q349" s="184" t="n">
        <v>23310</v>
      </c>
      <c r="R349" s="184" t="n">
        <v>22377.6</v>
      </c>
      <c r="S349" s="184" t="s">
        <v>1056</v>
      </c>
      <c r="T349" s="187" t="n">
        <v>45898</v>
      </c>
    </row>
    <row r="350" customFormat="false" ht="57.45" hidden="true" customHeight="false" outlineLevel="0" collapsed="false">
      <c r="A350" s="181" t="s">
        <v>1057</v>
      </c>
      <c r="B350" s="182" t="n">
        <v>1338</v>
      </c>
      <c r="C350" s="183" t="n">
        <v>58548</v>
      </c>
      <c r="D350" s="181" t="s">
        <v>3326</v>
      </c>
      <c r="E350" s="181" t="s">
        <v>266</v>
      </c>
      <c r="F350" s="181" t="s">
        <v>267</v>
      </c>
      <c r="G350" s="181" t="s">
        <v>227</v>
      </c>
      <c r="H350" s="181" t="s">
        <v>520</v>
      </c>
      <c r="I350" s="181" t="s">
        <v>220</v>
      </c>
      <c r="J350" s="267"/>
      <c r="K350" s="269" t="n">
        <v>45898</v>
      </c>
      <c r="L350" s="267" t="n">
        <v>1.5</v>
      </c>
      <c r="M350" s="184" t="s">
        <v>227</v>
      </c>
      <c r="N350" s="184" t="n">
        <v>39510</v>
      </c>
      <c r="O350" s="184" t="n">
        <v>14930</v>
      </c>
      <c r="P350" s="185" t="n">
        <v>7</v>
      </c>
      <c r="Q350" s="184" t="n">
        <v>24580</v>
      </c>
      <c r="R350" s="184" t="n">
        <v>22859.4</v>
      </c>
      <c r="S350" s="184" t="s">
        <v>1058</v>
      </c>
      <c r="T350" s="187" t="n">
        <v>45898</v>
      </c>
    </row>
    <row r="351" customFormat="false" ht="57.45" hidden="true" customHeight="false" outlineLevel="0" collapsed="false">
      <c r="A351" s="181" t="s">
        <v>1059</v>
      </c>
      <c r="B351" s="182" t="n">
        <v>1339</v>
      </c>
      <c r="C351" s="183" t="n">
        <v>58552</v>
      </c>
      <c r="D351" s="181" t="s">
        <v>3326</v>
      </c>
      <c r="E351" s="181" t="s">
        <v>350</v>
      </c>
      <c r="F351" s="181" t="s">
        <v>351</v>
      </c>
      <c r="G351" s="181" t="s">
        <v>227</v>
      </c>
      <c r="H351" s="181" t="s">
        <v>520</v>
      </c>
      <c r="I351" s="181" t="s">
        <v>220</v>
      </c>
      <c r="J351" s="267"/>
      <c r="K351" s="269" t="n">
        <v>45898</v>
      </c>
      <c r="L351" s="267" t="n">
        <v>1.5</v>
      </c>
      <c r="M351" s="184" t="s">
        <v>227</v>
      </c>
      <c r="N351" s="184" t="n">
        <v>39920</v>
      </c>
      <c r="O351" s="184" t="n">
        <v>14980</v>
      </c>
      <c r="P351" s="185" t="n">
        <v>9</v>
      </c>
      <c r="Q351" s="184" t="n">
        <v>24940</v>
      </c>
      <c r="R351" s="184" t="n">
        <v>22695.4</v>
      </c>
      <c r="S351" s="184" t="s">
        <v>1060</v>
      </c>
      <c r="T351" s="187" t="n">
        <v>45898</v>
      </c>
    </row>
    <row r="352" customFormat="false" ht="57.45" hidden="true" customHeight="false" outlineLevel="0" collapsed="false">
      <c r="A352" s="181" t="s">
        <v>1061</v>
      </c>
      <c r="B352" s="182" t="n">
        <v>1340</v>
      </c>
      <c r="C352" s="183" t="n">
        <v>58550</v>
      </c>
      <c r="D352" s="181" t="s">
        <v>3326</v>
      </c>
      <c r="E352" s="181" t="s">
        <v>373</v>
      </c>
      <c r="F352" s="181" t="s">
        <v>374</v>
      </c>
      <c r="G352" s="181" t="s">
        <v>227</v>
      </c>
      <c r="H352" s="181" t="s">
        <v>520</v>
      </c>
      <c r="I352" s="181" t="s">
        <v>220</v>
      </c>
      <c r="J352" s="267"/>
      <c r="K352" s="269" t="n">
        <v>45898</v>
      </c>
      <c r="L352" s="267" t="n">
        <v>1.4</v>
      </c>
      <c r="M352" s="184" t="s">
        <v>227</v>
      </c>
      <c r="N352" s="184" t="n">
        <v>37500</v>
      </c>
      <c r="O352" s="184" t="n">
        <v>14230</v>
      </c>
      <c r="P352" s="185" t="n">
        <v>6</v>
      </c>
      <c r="Q352" s="184" t="n">
        <v>23270</v>
      </c>
      <c r="R352" s="184" t="n">
        <v>21873.8</v>
      </c>
      <c r="S352" s="184" t="s">
        <v>1062</v>
      </c>
      <c r="T352" s="187" t="n">
        <v>45898</v>
      </c>
    </row>
    <row r="353" customFormat="false" ht="57.45" hidden="true" customHeight="false" outlineLevel="0" collapsed="false">
      <c r="A353" s="181" t="s">
        <v>1063</v>
      </c>
      <c r="B353" s="182" t="n">
        <v>1341</v>
      </c>
      <c r="C353" s="183" t="n">
        <v>58554</v>
      </c>
      <c r="D353" s="181" t="s">
        <v>3326</v>
      </c>
      <c r="E353" s="181" t="s">
        <v>272</v>
      </c>
      <c r="F353" s="181" t="s">
        <v>273</v>
      </c>
      <c r="G353" s="181" t="s">
        <v>227</v>
      </c>
      <c r="H353" s="181" t="s">
        <v>520</v>
      </c>
      <c r="I353" s="181" t="s">
        <v>220</v>
      </c>
      <c r="J353" s="267"/>
      <c r="K353" s="269" t="n">
        <v>45898</v>
      </c>
      <c r="L353" s="267" t="n">
        <v>1.4</v>
      </c>
      <c r="M353" s="184" t="s">
        <v>227</v>
      </c>
      <c r="N353" s="184" t="n">
        <v>38670</v>
      </c>
      <c r="O353" s="184" t="n">
        <v>15590</v>
      </c>
      <c r="P353" s="185" t="n">
        <v>8</v>
      </c>
      <c r="Q353" s="184" t="n">
        <v>23080</v>
      </c>
      <c r="R353" s="184" t="n">
        <v>21233.6</v>
      </c>
      <c r="S353" s="184" t="s">
        <v>1064</v>
      </c>
      <c r="T353" s="187" t="n">
        <v>45899</v>
      </c>
    </row>
    <row r="354" customFormat="false" ht="57.45" hidden="true" customHeight="false" outlineLevel="0" collapsed="false">
      <c r="A354" s="181" t="s">
        <v>1065</v>
      </c>
      <c r="B354" s="182" t="n">
        <v>1342</v>
      </c>
      <c r="C354" s="183" t="n">
        <v>58556</v>
      </c>
      <c r="D354" s="181" t="s">
        <v>3326</v>
      </c>
      <c r="E354" s="181" t="s">
        <v>582</v>
      </c>
      <c r="F354" s="181" t="s">
        <v>583</v>
      </c>
      <c r="G354" s="181" t="s">
        <v>227</v>
      </c>
      <c r="H354" s="181" t="s">
        <v>520</v>
      </c>
      <c r="I354" s="181" t="s">
        <v>220</v>
      </c>
      <c r="J354" s="267"/>
      <c r="K354" s="269" t="n">
        <v>45898</v>
      </c>
      <c r="L354" s="267" t="n">
        <v>1.4</v>
      </c>
      <c r="M354" s="184" t="s">
        <v>227</v>
      </c>
      <c r="N354" s="184" t="n">
        <v>37010</v>
      </c>
      <c r="O354" s="184" t="n">
        <v>14710</v>
      </c>
      <c r="P354" s="185" t="n">
        <v>3</v>
      </c>
      <c r="Q354" s="184" t="n">
        <v>22300</v>
      </c>
      <c r="R354" s="184" t="n">
        <v>21631</v>
      </c>
      <c r="S354" s="184" t="s">
        <v>1066</v>
      </c>
      <c r="T354" s="187" t="n">
        <v>45899</v>
      </c>
    </row>
    <row r="355" customFormat="false" ht="57.45" hidden="true" customHeight="false" outlineLevel="0" collapsed="false">
      <c r="A355" s="181" t="s">
        <v>1067</v>
      </c>
      <c r="B355" s="182" t="n">
        <v>1343</v>
      </c>
      <c r="C355" s="183" t="n">
        <v>58558</v>
      </c>
      <c r="D355" s="181" t="s">
        <v>3326</v>
      </c>
      <c r="E355" s="181" t="s">
        <v>439</v>
      </c>
      <c r="F355" s="181" t="s">
        <v>440</v>
      </c>
      <c r="G355" s="181" t="s">
        <v>227</v>
      </c>
      <c r="H355" s="181" t="s">
        <v>520</v>
      </c>
      <c r="I355" s="181" t="s">
        <v>220</v>
      </c>
      <c r="J355" s="267"/>
      <c r="K355" s="269" t="n">
        <v>45898</v>
      </c>
      <c r="L355" s="267" t="n">
        <v>1.5</v>
      </c>
      <c r="M355" s="184" t="s">
        <v>227</v>
      </c>
      <c r="N355" s="184" t="n">
        <v>40570</v>
      </c>
      <c r="O355" s="184" t="n">
        <v>16370</v>
      </c>
      <c r="P355" s="185" t="n">
        <v>5</v>
      </c>
      <c r="Q355" s="184" t="n">
        <v>24200</v>
      </c>
      <c r="R355" s="184" t="n">
        <v>22990</v>
      </c>
      <c r="S355" s="184" t="s">
        <v>1068</v>
      </c>
      <c r="T355" s="187" t="n">
        <v>45899</v>
      </c>
    </row>
    <row r="356" customFormat="false" ht="57.45" hidden="true" customHeight="false" outlineLevel="0" collapsed="false">
      <c r="A356" s="181" t="s">
        <v>1069</v>
      </c>
      <c r="B356" s="182" t="n">
        <v>1345</v>
      </c>
      <c r="C356" s="183" t="n">
        <v>58560</v>
      </c>
      <c r="D356" s="181" t="s">
        <v>3326</v>
      </c>
      <c r="E356" s="181" t="s">
        <v>399</v>
      </c>
      <c r="F356" s="181" t="s">
        <v>400</v>
      </c>
      <c r="G356" s="181" t="s">
        <v>227</v>
      </c>
      <c r="H356" s="181" t="s">
        <v>520</v>
      </c>
      <c r="I356" s="181" t="s">
        <v>220</v>
      </c>
      <c r="J356" s="267"/>
      <c r="K356" s="269" t="n">
        <v>45898</v>
      </c>
      <c r="L356" s="267" t="n">
        <v>1.6</v>
      </c>
      <c r="M356" s="184" t="s">
        <v>227</v>
      </c>
      <c r="N356" s="184" t="n">
        <v>45080</v>
      </c>
      <c r="O356" s="184" t="n">
        <v>19250</v>
      </c>
      <c r="P356" s="185" t="n">
        <v>9</v>
      </c>
      <c r="Q356" s="184" t="n">
        <v>25830</v>
      </c>
      <c r="R356" s="184" t="n">
        <v>23505.3</v>
      </c>
      <c r="S356" s="184" t="s">
        <v>1070</v>
      </c>
      <c r="T356" s="187" t="n">
        <v>45899</v>
      </c>
    </row>
    <row r="357" customFormat="false" ht="57.45" hidden="true" customHeight="false" outlineLevel="0" collapsed="false">
      <c r="A357" s="181" t="s">
        <v>1071</v>
      </c>
      <c r="B357" s="182" t="n">
        <v>1346</v>
      </c>
      <c r="C357" s="183" t="n">
        <v>58562</v>
      </c>
      <c r="D357" s="181" t="s">
        <v>3326</v>
      </c>
      <c r="E357" s="181" t="s">
        <v>431</v>
      </c>
      <c r="F357" s="181" t="s">
        <v>432</v>
      </c>
      <c r="G357" s="181" t="s">
        <v>227</v>
      </c>
      <c r="H357" s="181" t="s">
        <v>520</v>
      </c>
      <c r="I357" s="181" t="s">
        <v>220</v>
      </c>
      <c r="J357" s="267"/>
      <c r="K357" s="269" t="n">
        <v>45898</v>
      </c>
      <c r="L357" s="267" t="n">
        <v>1.4</v>
      </c>
      <c r="M357" s="184" t="s">
        <v>227</v>
      </c>
      <c r="N357" s="184" t="n">
        <v>40030</v>
      </c>
      <c r="O357" s="184" t="n">
        <v>16630</v>
      </c>
      <c r="P357" s="185" t="n">
        <v>7</v>
      </c>
      <c r="Q357" s="184" t="n">
        <v>23400</v>
      </c>
      <c r="R357" s="184" t="n">
        <v>21762</v>
      </c>
      <c r="S357" s="184" t="s">
        <v>1072</v>
      </c>
      <c r="T357" s="187" t="n">
        <v>45899</v>
      </c>
    </row>
    <row r="358" customFormat="false" ht="57.45" hidden="true" customHeight="false" outlineLevel="0" collapsed="false">
      <c r="A358" s="181" t="s">
        <v>1073</v>
      </c>
      <c r="B358" s="182" t="n">
        <v>1347</v>
      </c>
      <c r="C358" s="183" t="n">
        <v>58579</v>
      </c>
      <c r="D358" s="181" t="s">
        <v>3326</v>
      </c>
      <c r="E358" s="181" t="s">
        <v>282</v>
      </c>
      <c r="F358" s="181" t="s">
        <v>283</v>
      </c>
      <c r="G358" s="181" t="s">
        <v>227</v>
      </c>
      <c r="H358" s="181" t="s">
        <v>520</v>
      </c>
      <c r="I358" s="181" t="s">
        <v>220</v>
      </c>
      <c r="J358" s="267"/>
      <c r="K358" s="269" t="n">
        <v>45898</v>
      </c>
      <c r="L358" s="267" t="n">
        <v>1.4</v>
      </c>
      <c r="M358" s="184" t="s">
        <v>227</v>
      </c>
      <c r="N358" s="184" t="n">
        <v>38330</v>
      </c>
      <c r="O358" s="184" t="n">
        <v>15050</v>
      </c>
      <c r="P358" s="185" t="n">
        <v>5</v>
      </c>
      <c r="Q358" s="184" t="n">
        <v>23280</v>
      </c>
      <c r="R358" s="184" t="n">
        <v>22116</v>
      </c>
      <c r="S358" s="184" t="s">
        <v>1074</v>
      </c>
      <c r="T358" s="187" t="n">
        <v>45899</v>
      </c>
    </row>
    <row r="359" customFormat="false" ht="57.45" hidden="true" customHeight="false" outlineLevel="0" collapsed="false">
      <c r="A359" s="181" t="s">
        <v>1075</v>
      </c>
      <c r="B359" s="182" t="n">
        <v>1348</v>
      </c>
      <c r="C359" s="183" t="n">
        <v>58573</v>
      </c>
      <c r="D359" s="181" t="s">
        <v>3326</v>
      </c>
      <c r="E359" s="181" t="s">
        <v>435</v>
      </c>
      <c r="F359" s="181" t="s">
        <v>436</v>
      </c>
      <c r="G359" s="181" t="s">
        <v>227</v>
      </c>
      <c r="H359" s="181" t="s">
        <v>520</v>
      </c>
      <c r="I359" s="181" t="s">
        <v>220</v>
      </c>
      <c r="J359" s="267"/>
      <c r="K359" s="269" t="n">
        <v>45898</v>
      </c>
      <c r="L359" s="267" t="n">
        <v>1.4</v>
      </c>
      <c r="M359" s="184" t="s">
        <v>227</v>
      </c>
      <c r="N359" s="184" t="n">
        <v>39890</v>
      </c>
      <c r="O359" s="184" t="n">
        <v>16530</v>
      </c>
      <c r="P359" s="185" t="n">
        <v>5</v>
      </c>
      <c r="Q359" s="184" t="n">
        <v>23360</v>
      </c>
      <c r="R359" s="184" t="n">
        <v>22192</v>
      </c>
      <c r="S359" s="184" t="s">
        <v>1076</v>
      </c>
      <c r="T359" s="187" t="n">
        <v>45899</v>
      </c>
    </row>
    <row r="360" customFormat="false" ht="57.45" hidden="true" customHeight="false" outlineLevel="0" collapsed="false">
      <c r="A360" s="181" t="s">
        <v>1077</v>
      </c>
      <c r="B360" s="182" t="n">
        <v>1349</v>
      </c>
      <c r="C360" s="183" t="n">
        <v>58600</v>
      </c>
      <c r="D360" s="181" t="s">
        <v>3326</v>
      </c>
      <c r="E360" s="181" t="s">
        <v>332</v>
      </c>
      <c r="F360" s="181" t="s">
        <v>333</v>
      </c>
      <c r="G360" s="181" t="s">
        <v>227</v>
      </c>
      <c r="H360" s="181" t="s">
        <v>520</v>
      </c>
      <c r="I360" s="181" t="s">
        <v>220</v>
      </c>
      <c r="J360" s="267"/>
      <c r="K360" s="269" t="n">
        <v>45898</v>
      </c>
      <c r="L360" s="267" t="n">
        <v>1.4</v>
      </c>
      <c r="M360" s="184" t="s">
        <v>227</v>
      </c>
      <c r="N360" s="184" t="n">
        <v>37300</v>
      </c>
      <c r="O360" s="184" t="n">
        <v>14700</v>
      </c>
      <c r="P360" s="185" t="n">
        <v>5</v>
      </c>
      <c r="Q360" s="184" t="n">
        <v>22600</v>
      </c>
      <c r="R360" s="184" t="n">
        <v>21470</v>
      </c>
      <c r="S360" s="184" t="s">
        <v>1078</v>
      </c>
      <c r="T360" s="187" t="n">
        <v>45899</v>
      </c>
    </row>
    <row r="361" customFormat="false" ht="57.45" hidden="true" customHeight="false" outlineLevel="0" collapsed="false">
      <c r="A361" s="181" t="s">
        <v>1079</v>
      </c>
      <c r="B361" s="182" t="n">
        <v>1350</v>
      </c>
      <c r="C361" s="183" t="n">
        <v>58581</v>
      </c>
      <c r="D361" s="181" t="s">
        <v>3326</v>
      </c>
      <c r="E361" s="181" t="s">
        <v>387</v>
      </c>
      <c r="F361" s="181" t="s">
        <v>388</v>
      </c>
      <c r="G361" s="181" t="s">
        <v>227</v>
      </c>
      <c r="H361" s="181" t="s">
        <v>520</v>
      </c>
      <c r="I361" s="181" t="s">
        <v>220</v>
      </c>
      <c r="J361" s="267"/>
      <c r="K361" s="269" t="n">
        <v>45898</v>
      </c>
      <c r="L361" s="267" t="n">
        <v>1.4</v>
      </c>
      <c r="M361" s="184" t="s">
        <v>227</v>
      </c>
      <c r="N361" s="184" t="n">
        <v>38480</v>
      </c>
      <c r="O361" s="184" t="n">
        <v>14960</v>
      </c>
      <c r="P361" s="185" t="n">
        <v>6</v>
      </c>
      <c r="Q361" s="184" t="n">
        <v>23520</v>
      </c>
      <c r="R361" s="184" t="n">
        <v>22108.8</v>
      </c>
      <c r="S361" s="184" t="s">
        <v>1080</v>
      </c>
      <c r="T361" s="187" t="n">
        <v>45899</v>
      </c>
    </row>
    <row r="362" customFormat="false" ht="57.45" hidden="true" customHeight="false" outlineLevel="0" collapsed="false">
      <c r="A362" s="181" t="s">
        <v>1081</v>
      </c>
      <c r="B362" s="182" t="n">
        <v>1356</v>
      </c>
      <c r="C362" s="183" t="n">
        <v>58604</v>
      </c>
      <c r="D362" s="181" t="s">
        <v>3326</v>
      </c>
      <c r="E362" s="181" t="s">
        <v>545</v>
      </c>
      <c r="F362" s="181" t="s">
        <v>546</v>
      </c>
      <c r="G362" s="181" t="s">
        <v>227</v>
      </c>
      <c r="H362" s="181" t="s">
        <v>520</v>
      </c>
      <c r="I362" s="181" t="s">
        <v>220</v>
      </c>
      <c r="J362" s="267"/>
      <c r="K362" s="269" t="n">
        <v>45898</v>
      </c>
      <c r="L362" s="267" t="n">
        <v>1.5</v>
      </c>
      <c r="M362" s="184" t="s">
        <v>227</v>
      </c>
      <c r="N362" s="184" t="n">
        <v>41450</v>
      </c>
      <c r="O362" s="184" t="n">
        <v>16100</v>
      </c>
      <c r="P362" s="185" t="n">
        <v>10</v>
      </c>
      <c r="Q362" s="184" t="n">
        <v>25350</v>
      </c>
      <c r="R362" s="184" t="n">
        <v>22815</v>
      </c>
      <c r="S362" s="184" t="s">
        <v>1082</v>
      </c>
      <c r="T362" s="187" t="n">
        <v>45899</v>
      </c>
    </row>
    <row r="363" customFormat="false" ht="57.45" hidden="true" customHeight="false" outlineLevel="0" collapsed="false">
      <c r="A363" s="181" t="s">
        <v>1083</v>
      </c>
      <c r="B363" s="182" t="n">
        <v>1357</v>
      </c>
      <c r="C363" s="183" t="n">
        <v>58606</v>
      </c>
      <c r="D363" s="181" t="s">
        <v>3326</v>
      </c>
      <c r="E363" s="181" t="s">
        <v>377</v>
      </c>
      <c r="F363" s="181" t="s">
        <v>378</v>
      </c>
      <c r="G363" s="181" t="s">
        <v>227</v>
      </c>
      <c r="H363" s="181" t="s">
        <v>520</v>
      </c>
      <c r="I363" s="181" t="s">
        <v>220</v>
      </c>
      <c r="J363" s="267"/>
      <c r="K363" s="269" t="n">
        <v>45898</v>
      </c>
      <c r="L363" s="267" t="n">
        <v>1.5</v>
      </c>
      <c r="M363" s="184" t="s">
        <v>227</v>
      </c>
      <c r="N363" s="184" t="n">
        <v>39380</v>
      </c>
      <c r="O363" s="184" t="n">
        <v>15570</v>
      </c>
      <c r="P363" s="185" t="n">
        <v>7</v>
      </c>
      <c r="Q363" s="184" t="n">
        <v>23810</v>
      </c>
      <c r="R363" s="184" t="n">
        <v>22143.3</v>
      </c>
      <c r="S363" s="184" t="s">
        <v>1084</v>
      </c>
      <c r="T363" s="187" t="n">
        <v>45899</v>
      </c>
    </row>
    <row r="364" customFormat="false" ht="57.45" hidden="true" customHeight="false" outlineLevel="0" collapsed="false">
      <c r="A364" s="181" t="s">
        <v>1085</v>
      </c>
      <c r="B364" s="182" t="n">
        <v>1358</v>
      </c>
      <c r="C364" s="183" t="n">
        <v>58616</v>
      </c>
      <c r="D364" s="181" t="s">
        <v>3326</v>
      </c>
      <c r="E364" s="181" t="s">
        <v>549</v>
      </c>
      <c r="F364" s="181" t="s">
        <v>550</v>
      </c>
      <c r="G364" s="181" t="s">
        <v>227</v>
      </c>
      <c r="H364" s="181" t="s">
        <v>520</v>
      </c>
      <c r="I364" s="181" t="s">
        <v>220</v>
      </c>
      <c r="J364" s="267"/>
      <c r="K364" s="269" t="n">
        <v>45898</v>
      </c>
      <c r="L364" s="267" t="n">
        <v>1.5</v>
      </c>
      <c r="M364" s="184" t="s">
        <v>227</v>
      </c>
      <c r="N364" s="184" t="n">
        <v>40820</v>
      </c>
      <c r="O364" s="184" t="n">
        <v>15930</v>
      </c>
      <c r="P364" s="185" t="n">
        <v>8</v>
      </c>
      <c r="Q364" s="184" t="n">
        <v>24890</v>
      </c>
      <c r="R364" s="184" t="n">
        <v>22898.8</v>
      </c>
      <c r="S364" s="184" t="s">
        <v>1086</v>
      </c>
      <c r="T364" s="187" t="n">
        <v>45899</v>
      </c>
    </row>
    <row r="365" customFormat="false" ht="57.45" hidden="true" customHeight="false" outlineLevel="0" collapsed="false">
      <c r="A365" s="181" t="s">
        <v>1087</v>
      </c>
      <c r="B365" s="182" t="n">
        <v>1360</v>
      </c>
      <c r="C365" s="183" t="n">
        <v>58618</v>
      </c>
      <c r="D365" s="181" t="s">
        <v>3326</v>
      </c>
      <c r="E365" s="181" t="s">
        <v>277</v>
      </c>
      <c r="F365" s="181" t="s">
        <v>278</v>
      </c>
      <c r="G365" s="181" t="s">
        <v>227</v>
      </c>
      <c r="H365" s="181" t="s">
        <v>520</v>
      </c>
      <c r="I365" s="181" t="s">
        <v>220</v>
      </c>
      <c r="J365" s="267"/>
      <c r="K365" s="269" t="n">
        <v>45899</v>
      </c>
      <c r="L365" s="267" t="n">
        <v>0.7</v>
      </c>
      <c r="M365" s="184" t="s">
        <v>227</v>
      </c>
      <c r="N365" s="184" t="n">
        <v>41880</v>
      </c>
      <c r="O365" s="184" t="n">
        <v>15140</v>
      </c>
      <c r="P365" s="185" t="n">
        <v>7</v>
      </c>
      <c r="Q365" s="184" t="n">
        <v>26740</v>
      </c>
      <c r="R365" s="184" t="n">
        <v>24868.2</v>
      </c>
      <c r="S365" s="184" t="s">
        <v>1088</v>
      </c>
      <c r="T365" s="187" t="n">
        <v>45899</v>
      </c>
    </row>
    <row r="366" customFormat="false" ht="57.45" hidden="true" customHeight="false" outlineLevel="0" collapsed="false">
      <c r="A366" s="181" t="s">
        <v>1089</v>
      </c>
      <c r="B366" s="182" t="n">
        <v>1362</v>
      </c>
      <c r="C366" s="183" t="n">
        <v>58620</v>
      </c>
      <c r="D366" s="181" t="s">
        <v>3326</v>
      </c>
      <c r="E366" s="181" t="s">
        <v>533</v>
      </c>
      <c r="F366" s="181" t="s">
        <v>534</v>
      </c>
      <c r="G366" s="181" t="s">
        <v>227</v>
      </c>
      <c r="H366" s="181" t="s">
        <v>520</v>
      </c>
      <c r="I366" s="181" t="s">
        <v>220</v>
      </c>
      <c r="J366" s="267"/>
      <c r="K366" s="269" t="n">
        <v>45899</v>
      </c>
      <c r="L366" s="267" t="n">
        <v>0.7</v>
      </c>
      <c r="M366" s="184" t="s">
        <v>227</v>
      </c>
      <c r="N366" s="184" t="n">
        <v>39830</v>
      </c>
      <c r="O366" s="184" t="n">
        <v>14600</v>
      </c>
      <c r="P366" s="185" t="n">
        <v>6</v>
      </c>
      <c r="Q366" s="184" t="n">
        <v>25230</v>
      </c>
      <c r="R366" s="184" t="n">
        <v>23716.2</v>
      </c>
      <c r="S366" s="184" t="s">
        <v>1090</v>
      </c>
      <c r="T366" s="187" t="n">
        <v>45899</v>
      </c>
    </row>
    <row r="367" customFormat="false" ht="57.45" hidden="true" customHeight="false" outlineLevel="0" collapsed="false">
      <c r="A367" s="181" t="s">
        <v>1091</v>
      </c>
      <c r="B367" s="182" t="n">
        <v>1363</v>
      </c>
      <c r="C367" s="183" t="n">
        <v>58624</v>
      </c>
      <c r="D367" s="181" t="s">
        <v>3326</v>
      </c>
      <c r="E367" s="181" t="s">
        <v>300</v>
      </c>
      <c r="F367" s="181" t="s">
        <v>301</v>
      </c>
      <c r="G367" s="181" t="s">
        <v>227</v>
      </c>
      <c r="H367" s="181" t="s">
        <v>520</v>
      </c>
      <c r="I367" s="181" t="s">
        <v>220</v>
      </c>
      <c r="J367" s="267"/>
      <c r="K367" s="269" t="n">
        <v>45899</v>
      </c>
      <c r="L367" s="267" t="n">
        <v>0.7</v>
      </c>
      <c r="M367" s="184" t="s">
        <v>227</v>
      </c>
      <c r="N367" s="184" t="n">
        <v>45060</v>
      </c>
      <c r="O367" s="184" t="n">
        <v>20930</v>
      </c>
      <c r="P367" s="185" t="n">
        <v>11</v>
      </c>
      <c r="Q367" s="184" t="n">
        <v>24130</v>
      </c>
      <c r="R367" s="184" t="n">
        <v>21475.7</v>
      </c>
      <c r="S367" s="184" t="s">
        <v>1092</v>
      </c>
      <c r="T367" s="187" t="n">
        <v>45899</v>
      </c>
    </row>
    <row r="368" customFormat="false" ht="57.45" hidden="true" customHeight="false" outlineLevel="0" collapsed="false">
      <c r="A368" s="181" t="s">
        <v>1093</v>
      </c>
      <c r="B368" s="182" t="n">
        <v>1364</v>
      </c>
      <c r="C368" s="183" t="n">
        <v>58626</v>
      </c>
      <c r="D368" s="181" t="s">
        <v>3326</v>
      </c>
      <c r="E368" s="181" t="s">
        <v>541</v>
      </c>
      <c r="F368" s="181" t="s">
        <v>542</v>
      </c>
      <c r="G368" s="181" t="s">
        <v>227</v>
      </c>
      <c r="H368" s="181" t="s">
        <v>832</v>
      </c>
      <c r="I368" s="181" t="s">
        <v>220</v>
      </c>
      <c r="J368" s="267"/>
      <c r="K368" s="269" t="n">
        <v>45899</v>
      </c>
      <c r="L368" s="267" t="n">
        <v>1.3</v>
      </c>
      <c r="M368" s="184" t="s">
        <v>227</v>
      </c>
      <c r="N368" s="184" t="n">
        <v>40770</v>
      </c>
      <c r="O368" s="184" t="n">
        <v>14940</v>
      </c>
      <c r="P368" s="185" t="n">
        <v>12</v>
      </c>
      <c r="Q368" s="184" t="n">
        <v>25830</v>
      </c>
      <c r="R368" s="184" t="n">
        <v>22730.4</v>
      </c>
      <c r="S368" s="184" t="s">
        <v>1094</v>
      </c>
      <c r="T368" s="187" t="n">
        <v>45899</v>
      </c>
    </row>
    <row r="369" customFormat="false" ht="57.45" hidden="true" customHeight="false" outlineLevel="0" collapsed="false">
      <c r="A369" s="181" t="s">
        <v>1095</v>
      </c>
      <c r="B369" s="182" t="n">
        <v>1365</v>
      </c>
      <c r="C369" s="183" t="n">
        <v>58628</v>
      </c>
      <c r="D369" s="181" t="s">
        <v>3326</v>
      </c>
      <c r="E369" s="181" t="s">
        <v>288</v>
      </c>
      <c r="F369" s="181" t="s">
        <v>289</v>
      </c>
      <c r="G369" s="181" t="s">
        <v>227</v>
      </c>
      <c r="H369" s="181" t="s">
        <v>832</v>
      </c>
      <c r="I369" s="181" t="s">
        <v>220</v>
      </c>
      <c r="J369" s="267"/>
      <c r="K369" s="269" t="n">
        <v>45899</v>
      </c>
      <c r="L369" s="267" t="n">
        <v>1.1</v>
      </c>
      <c r="M369" s="184" t="s">
        <v>227</v>
      </c>
      <c r="N369" s="184" t="n">
        <v>37480</v>
      </c>
      <c r="O369" s="184" t="n">
        <v>14540</v>
      </c>
      <c r="P369" s="185" t="n">
        <v>13</v>
      </c>
      <c r="Q369" s="184" t="n">
        <v>22940</v>
      </c>
      <c r="R369" s="184" t="n">
        <v>19957.8</v>
      </c>
      <c r="S369" s="184" t="s">
        <v>1096</v>
      </c>
      <c r="T369" s="187" t="n">
        <v>45899</v>
      </c>
    </row>
    <row r="370" customFormat="false" ht="57.45" hidden="true" customHeight="false" outlineLevel="0" collapsed="false">
      <c r="A370" s="181" t="s">
        <v>1099</v>
      </c>
      <c r="B370" s="182" t="n">
        <v>1367</v>
      </c>
      <c r="C370" s="183" t="n">
        <v>58632</v>
      </c>
      <c r="D370" s="181" t="s">
        <v>3326</v>
      </c>
      <c r="E370" s="181" t="s">
        <v>1027</v>
      </c>
      <c r="F370" s="181" t="s">
        <v>1028</v>
      </c>
      <c r="G370" s="181" t="s">
        <v>227</v>
      </c>
      <c r="H370" s="181" t="s">
        <v>832</v>
      </c>
      <c r="I370" s="181" t="s">
        <v>220</v>
      </c>
      <c r="J370" s="267"/>
      <c r="K370" s="269" t="n">
        <v>45899</v>
      </c>
      <c r="L370" s="267" t="n">
        <v>1.2</v>
      </c>
      <c r="M370" s="184" t="s">
        <v>227</v>
      </c>
      <c r="N370" s="184" t="n">
        <v>38810</v>
      </c>
      <c r="O370" s="184" t="n">
        <v>14800</v>
      </c>
      <c r="P370" s="185" t="n">
        <v>9</v>
      </c>
      <c r="Q370" s="184" t="n">
        <v>24010</v>
      </c>
      <c r="R370" s="184" t="n">
        <v>21849.1</v>
      </c>
      <c r="S370" s="184" t="s">
        <v>1100</v>
      </c>
      <c r="T370" s="187" t="n">
        <v>45900</v>
      </c>
    </row>
    <row r="371" customFormat="false" ht="57.45" hidden="true" customHeight="false" outlineLevel="0" collapsed="false">
      <c r="A371" s="181" t="s">
        <v>1097</v>
      </c>
      <c r="B371" s="182" t="n">
        <v>1366</v>
      </c>
      <c r="C371" s="183" t="n">
        <v>58630</v>
      </c>
      <c r="D371" s="181" t="s">
        <v>3326</v>
      </c>
      <c r="E371" s="181" t="s">
        <v>1019</v>
      </c>
      <c r="F371" s="181" t="s">
        <v>1020</v>
      </c>
      <c r="G371" s="181" t="s">
        <v>227</v>
      </c>
      <c r="H371" s="181" t="s">
        <v>832</v>
      </c>
      <c r="I371" s="181" t="s">
        <v>220</v>
      </c>
      <c r="J371" s="267"/>
      <c r="K371" s="269" t="n">
        <v>45899</v>
      </c>
      <c r="L371" s="267" t="n">
        <v>1.2</v>
      </c>
      <c r="M371" s="184" t="s">
        <v>227</v>
      </c>
      <c r="N371" s="184" t="n">
        <v>41850</v>
      </c>
      <c r="O371" s="184" t="n">
        <v>17020</v>
      </c>
      <c r="P371" s="185" t="n">
        <v>8</v>
      </c>
      <c r="Q371" s="184" t="n">
        <v>24830</v>
      </c>
      <c r="R371" s="184" t="n">
        <v>22843.6</v>
      </c>
      <c r="S371" s="184" t="s">
        <v>1098</v>
      </c>
      <c r="T371" s="187" t="n">
        <v>45899</v>
      </c>
    </row>
    <row r="372" customFormat="false" ht="57.45" hidden="true" customHeight="false" outlineLevel="0" collapsed="false">
      <c r="A372" s="181" t="s">
        <v>1101</v>
      </c>
      <c r="B372" s="182" t="n">
        <v>1368</v>
      </c>
      <c r="C372" s="183" t="n">
        <v>58634</v>
      </c>
      <c r="D372" s="181" t="s">
        <v>3326</v>
      </c>
      <c r="E372" s="181" t="s">
        <v>1023</v>
      </c>
      <c r="F372" s="181" t="s">
        <v>1024</v>
      </c>
      <c r="G372" s="181" t="s">
        <v>227</v>
      </c>
      <c r="H372" s="181" t="s">
        <v>832</v>
      </c>
      <c r="I372" s="181" t="s">
        <v>220</v>
      </c>
      <c r="J372" s="267"/>
      <c r="K372" s="269" t="n">
        <v>45899</v>
      </c>
      <c r="L372" s="267" t="n">
        <v>1.1</v>
      </c>
      <c r="M372" s="184" t="s">
        <v>227</v>
      </c>
      <c r="N372" s="184" t="n">
        <v>36860</v>
      </c>
      <c r="O372" s="184" t="n">
        <v>14770</v>
      </c>
      <c r="P372" s="185" t="n">
        <v>9</v>
      </c>
      <c r="Q372" s="184" t="n">
        <v>22090</v>
      </c>
      <c r="R372" s="184" t="n">
        <v>20101.9</v>
      </c>
      <c r="S372" s="184" t="s">
        <v>1102</v>
      </c>
      <c r="T372" s="187" t="n">
        <v>45900</v>
      </c>
    </row>
    <row r="373" customFormat="false" ht="57.45" hidden="true" customHeight="false" outlineLevel="0" collapsed="false">
      <c r="A373" s="181" t="s">
        <v>1103</v>
      </c>
      <c r="B373" s="182" t="n">
        <v>1369</v>
      </c>
      <c r="C373" s="183" t="n">
        <v>58636</v>
      </c>
      <c r="D373" s="181" t="s">
        <v>3326</v>
      </c>
      <c r="E373" s="181" t="s">
        <v>409</v>
      </c>
      <c r="F373" s="181" t="s">
        <v>410</v>
      </c>
      <c r="G373" s="181" t="s">
        <v>227</v>
      </c>
      <c r="H373" s="181" t="s">
        <v>832</v>
      </c>
      <c r="I373" s="181" t="s">
        <v>220</v>
      </c>
      <c r="J373" s="267"/>
      <c r="K373" s="269" t="n">
        <v>45899</v>
      </c>
      <c r="L373" s="267" t="n">
        <v>1.2</v>
      </c>
      <c r="M373" s="184" t="s">
        <v>227</v>
      </c>
      <c r="N373" s="184" t="n">
        <v>47140</v>
      </c>
      <c r="O373" s="184" t="n">
        <v>24020</v>
      </c>
      <c r="P373" s="185" t="n">
        <v>9</v>
      </c>
      <c r="Q373" s="184" t="n">
        <v>23120</v>
      </c>
      <c r="R373" s="184" t="n">
        <v>21039.2</v>
      </c>
      <c r="S373" s="184" t="s">
        <v>1104</v>
      </c>
      <c r="T373" s="187" t="n">
        <v>45900</v>
      </c>
    </row>
    <row r="374" customFormat="false" ht="57.45" hidden="true" customHeight="false" outlineLevel="0" collapsed="false">
      <c r="A374" s="181" t="s">
        <v>1105</v>
      </c>
      <c r="B374" s="182" t="n">
        <v>1370</v>
      </c>
      <c r="C374" s="183" t="n">
        <v>58638</v>
      </c>
      <c r="D374" s="181" t="s">
        <v>3326</v>
      </c>
      <c r="E374" s="181" t="s">
        <v>413</v>
      </c>
      <c r="F374" s="181" t="s">
        <v>414</v>
      </c>
      <c r="G374" s="181" t="s">
        <v>227</v>
      </c>
      <c r="H374" s="181" t="s">
        <v>832</v>
      </c>
      <c r="I374" s="181" t="s">
        <v>220</v>
      </c>
      <c r="J374" s="267"/>
      <c r="K374" s="269" t="n">
        <v>45899</v>
      </c>
      <c r="L374" s="267" t="n">
        <v>1.4</v>
      </c>
      <c r="M374" s="184" t="s">
        <v>227</v>
      </c>
      <c r="N374" s="184" t="n">
        <v>43170</v>
      </c>
      <c r="O374" s="184" t="n">
        <v>15520</v>
      </c>
      <c r="P374" s="185" t="n">
        <v>12</v>
      </c>
      <c r="Q374" s="184" t="n">
        <v>27650</v>
      </c>
      <c r="R374" s="184" t="n">
        <v>24332</v>
      </c>
      <c r="S374" s="184" t="s">
        <v>1106</v>
      </c>
      <c r="T374" s="187" t="n">
        <v>45900</v>
      </c>
    </row>
    <row r="375" customFormat="false" ht="57.45" hidden="true" customHeight="false" outlineLevel="0" collapsed="false">
      <c r="A375" s="181" t="s">
        <v>1107</v>
      </c>
      <c r="B375" s="182" t="n">
        <v>1371</v>
      </c>
      <c r="C375" s="183" t="n">
        <v>58640</v>
      </c>
      <c r="D375" s="181" t="s">
        <v>3326</v>
      </c>
      <c r="E375" s="181" t="s">
        <v>354</v>
      </c>
      <c r="F375" s="181" t="s">
        <v>355</v>
      </c>
      <c r="G375" s="181" t="s">
        <v>226</v>
      </c>
      <c r="H375" s="181" t="s">
        <v>586</v>
      </c>
      <c r="I375" s="181" t="s">
        <v>220</v>
      </c>
      <c r="J375" s="267"/>
      <c r="K375" s="269" t="n">
        <v>45899</v>
      </c>
      <c r="L375" s="267" t="n">
        <v>1.5</v>
      </c>
      <c r="M375" s="184" t="s">
        <v>226</v>
      </c>
      <c r="N375" s="184" t="n">
        <v>37630</v>
      </c>
      <c r="O375" s="184" t="n">
        <v>14730</v>
      </c>
      <c r="P375" s="185" t="n">
        <v>8</v>
      </c>
      <c r="Q375" s="184" t="n">
        <v>22900</v>
      </c>
      <c r="R375" s="184" t="n">
        <v>21068</v>
      </c>
      <c r="S375" s="184" t="s">
        <v>1108</v>
      </c>
      <c r="T375" s="187" t="n">
        <v>45900</v>
      </c>
    </row>
    <row r="376" customFormat="false" ht="57.45" hidden="true" customHeight="false" outlineLevel="0" collapsed="false">
      <c r="A376" s="181" t="s">
        <v>1109</v>
      </c>
      <c r="B376" s="182" t="n">
        <v>1372</v>
      </c>
      <c r="C376" s="183" t="n">
        <v>58642</v>
      </c>
      <c r="D376" s="181" t="s">
        <v>3326</v>
      </c>
      <c r="E376" s="181" t="s">
        <v>359</v>
      </c>
      <c r="F376" s="181" t="s">
        <v>360</v>
      </c>
      <c r="G376" s="181" t="s">
        <v>226</v>
      </c>
      <c r="H376" s="181" t="s">
        <v>586</v>
      </c>
      <c r="I376" s="181" t="s">
        <v>220</v>
      </c>
      <c r="J376" s="267"/>
      <c r="K376" s="269" t="n">
        <v>45899</v>
      </c>
      <c r="L376" s="267" t="n">
        <v>1.5</v>
      </c>
      <c r="M376" s="184" t="s">
        <v>226</v>
      </c>
      <c r="N376" s="184" t="n">
        <v>36920</v>
      </c>
      <c r="O376" s="184" t="n">
        <v>14860</v>
      </c>
      <c r="P376" s="185" t="n">
        <v>19</v>
      </c>
      <c r="Q376" s="184" t="n">
        <v>22060</v>
      </c>
      <c r="R376" s="184" t="n">
        <v>17868.6</v>
      </c>
      <c r="S376" s="184" t="s">
        <v>1110</v>
      </c>
      <c r="T376" s="187" t="n">
        <v>45900</v>
      </c>
    </row>
    <row r="377" customFormat="false" ht="57.45" hidden="true" customHeight="false" outlineLevel="0" collapsed="false">
      <c r="A377" s="181" t="s">
        <v>1111</v>
      </c>
      <c r="B377" s="182" t="n">
        <v>1373</v>
      </c>
      <c r="C377" s="183" t="n">
        <v>58648</v>
      </c>
      <c r="D377" s="181" t="s">
        <v>3326</v>
      </c>
      <c r="E377" s="181" t="s">
        <v>537</v>
      </c>
      <c r="F377" s="181" t="s">
        <v>538</v>
      </c>
      <c r="G377" s="181" t="s">
        <v>226</v>
      </c>
      <c r="H377" s="181" t="s">
        <v>586</v>
      </c>
      <c r="I377" s="181" t="s">
        <v>220</v>
      </c>
      <c r="J377" s="267"/>
      <c r="K377" s="269" t="n">
        <v>45899</v>
      </c>
      <c r="L377" s="267" t="n">
        <v>1.4</v>
      </c>
      <c r="M377" s="184" t="s">
        <v>226</v>
      </c>
      <c r="N377" s="184" t="n">
        <v>35040</v>
      </c>
      <c r="O377" s="184" t="n">
        <v>13970</v>
      </c>
      <c r="P377" s="185" t="n">
        <v>9</v>
      </c>
      <c r="Q377" s="184" t="n">
        <v>21070</v>
      </c>
      <c r="R377" s="184" t="n">
        <v>19173.7</v>
      </c>
      <c r="S377" s="184" t="s">
        <v>1112</v>
      </c>
      <c r="T377" s="187" t="n">
        <v>45900</v>
      </c>
    </row>
    <row r="378" customFormat="false" ht="57.45" hidden="true" customHeight="false" outlineLevel="0" collapsed="false">
      <c r="A378" s="181" t="s">
        <v>1113</v>
      </c>
      <c r="B378" s="182" t="n">
        <v>1374</v>
      </c>
      <c r="C378" s="183" t="n">
        <v>58644</v>
      </c>
      <c r="D378" s="181" t="s">
        <v>3326</v>
      </c>
      <c r="E378" s="181" t="s">
        <v>350</v>
      </c>
      <c r="F378" s="181" t="s">
        <v>351</v>
      </c>
      <c r="G378" s="181" t="s">
        <v>226</v>
      </c>
      <c r="H378" s="181" t="s">
        <v>586</v>
      </c>
      <c r="I378" s="181" t="s">
        <v>220</v>
      </c>
      <c r="J378" s="267"/>
      <c r="K378" s="269" t="n">
        <v>45899</v>
      </c>
      <c r="L378" s="267" t="n">
        <v>1.7</v>
      </c>
      <c r="M378" s="184" t="s">
        <v>226</v>
      </c>
      <c r="N378" s="184" t="n">
        <v>40520</v>
      </c>
      <c r="O378" s="184" t="n">
        <v>14960</v>
      </c>
      <c r="P378" s="185" t="n">
        <v>7</v>
      </c>
      <c r="Q378" s="184" t="n">
        <v>25560</v>
      </c>
      <c r="R378" s="184" t="n">
        <v>23770.8</v>
      </c>
      <c r="S378" s="184" t="s">
        <v>1114</v>
      </c>
      <c r="T378" s="187" t="n">
        <v>45900</v>
      </c>
    </row>
    <row r="379" customFormat="false" ht="57.45" hidden="true" customHeight="false" outlineLevel="0" collapsed="false">
      <c r="A379" s="181" t="s">
        <v>1115</v>
      </c>
      <c r="B379" s="182" t="n">
        <v>1375</v>
      </c>
      <c r="C379" s="183" t="n">
        <v>58655</v>
      </c>
      <c r="D379" s="181" t="s">
        <v>3326</v>
      </c>
      <c r="E379" s="181" t="s">
        <v>439</v>
      </c>
      <c r="F379" s="181" t="s">
        <v>440</v>
      </c>
      <c r="G379" s="181" t="s">
        <v>226</v>
      </c>
      <c r="H379" s="181" t="s">
        <v>586</v>
      </c>
      <c r="I379" s="181" t="s">
        <v>220</v>
      </c>
      <c r="J379" s="267"/>
      <c r="K379" s="269" t="n">
        <v>45899</v>
      </c>
      <c r="L379" s="267" t="n">
        <v>1.5</v>
      </c>
      <c r="M379" s="184" t="s">
        <v>226</v>
      </c>
      <c r="N379" s="184" t="n">
        <v>39010</v>
      </c>
      <c r="O379" s="184" t="n">
        <v>16270</v>
      </c>
      <c r="P379" s="185" t="n">
        <v>16</v>
      </c>
      <c r="Q379" s="184" t="n">
        <v>22740</v>
      </c>
      <c r="R379" s="184" t="n">
        <v>19101.6</v>
      </c>
      <c r="S379" s="184" t="s">
        <v>1116</v>
      </c>
      <c r="T379" s="187" t="n">
        <v>45900</v>
      </c>
    </row>
    <row r="380" customFormat="false" ht="57.45" hidden="true" customHeight="false" outlineLevel="0" collapsed="false">
      <c r="A380" s="181" t="s">
        <v>1117</v>
      </c>
      <c r="B380" s="182" t="n">
        <v>1378</v>
      </c>
      <c r="C380" s="183" t="n">
        <v>58664</v>
      </c>
      <c r="D380" s="181" t="s">
        <v>3326</v>
      </c>
      <c r="E380" s="181" t="s">
        <v>340</v>
      </c>
      <c r="F380" s="181" t="s">
        <v>341</v>
      </c>
      <c r="G380" s="181" t="s">
        <v>226</v>
      </c>
      <c r="H380" s="181" t="s">
        <v>586</v>
      </c>
      <c r="I380" s="181" t="s">
        <v>220</v>
      </c>
      <c r="J380" s="267"/>
      <c r="K380" s="269" t="n">
        <v>45899</v>
      </c>
      <c r="L380" s="267" t="n">
        <v>1.6</v>
      </c>
      <c r="M380" s="184" t="s">
        <v>226</v>
      </c>
      <c r="N380" s="184" t="n">
        <v>38240</v>
      </c>
      <c r="O380" s="184" t="n">
        <v>15010</v>
      </c>
      <c r="P380" s="185" t="n">
        <v>9</v>
      </c>
      <c r="Q380" s="184" t="n">
        <v>23230</v>
      </c>
      <c r="R380" s="184" t="n">
        <v>21139.3</v>
      </c>
      <c r="S380" s="184" t="s">
        <v>1118</v>
      </c>
      <c r="T380" s="187" t="n">
        <v>45900</v>
      </c>
    </row>
    <row r="381" customFormat="false" ht="57.45" hidden="true" customHeight="false" outlineLevel="0" collapsed="false">
      <c r="A381" s="181" t="s">
        <v>1119</v>
      </c>
      <c r="B381" s="182" t="n">
        <v>1379</v>
      </c>
      <c r="C381" s="183" t="n">
        <v>58666</v>
      </c>
      <c r="D381" s="181" t="s">
        <v>3326</v>
      </c>
      <c r="E381" s="181" t="s">
        <v>1053</v>
      </c>
      <c r="F381" s="181" t="s">
        <v>337</v>
      </c>
      <c r="G381" s="181" t="s">
        <v>226</v>
      </c>
      <c r="H381" s="181" t="s">
        <v>586</v>
      </c>
      <c r="I381" s="181" t="s">
        <v>220</v>
      </c>
      <c r="J381" s="267"/>
      <c r="K381" s="269" t="n">
        <v>45899</v>
      </c>
      <c r="L381" s="267" t="n">
        <v>1.5</v>
      </c>
      <c r="M381" s="184" t="s">
        <v>226</v>
      </c>
      <c r="N381" s="184" t="n">
        <v>36400</v>
      </c>
      <c r="O381" s="184" t="n">
        <v>14440</v>
      </c>
      <c r="P381" s="185" t="n">
        <v>6</v>
      </c>
      <c r="Q381" s="184" t="n">
        <v>21960</v>
      </c>
      <c r="R381" s="184" t="n">
        <v>20642.4</v>
      </c>
      <c r="S381" s="184" t="s">
        <v>1120</v>
      </c>
      <c r="T381" s="187" t="n">
        <v>45900</v>
      </c>
    </row>
    <row r="382" customFormat="false" ht="57.45" hidden="true" customHeight="false" outlineLevel="0" collapsed="false">
      <c r="A382" s="181" t="s">
        <v>1121</v>
      </c>
      <c r="B382" s="182" t="n">
        <v>1383</v>
      </c>
      <c r="C382" s="183" t="n">
        <v>58668</v>
      </c>
      <c r="D382" s="181" t="s">
        <v>3326</v>
      </c>
      <c r="E382" s="181" t="s">
        <v>576</v>
      </c>
      <c r="F382" s="181" t="s">
        <v>577</v>
      </c>
      <c r="G382" s="181" t="s">
        <v>226</v>
      </c>
      <c r="H382" s="181" t="s">
        <v>586</v>
      </c>
      <c r="I382" s="181" t="s">
        <v>220</v>
      </c>
      <c r="J382" s="267"/>
      <c r="K382" s="269" t="n">
        <v>45899</v>
      </c>
      <c r="L382" s="267" t="n">
        <v>1.5</v>
      </c>
      <c r="M382" s="184" t="s">
        <v>226</v>
      </c>
      <c r="N382" s="184" t="n">
        <v>36500</v>
      </c>
      <c r="O382" s="184" t="n">
        <v>14400</v>
      </c>
      <c r="P382" s="185" t="n">
        <v>7</v>
      </c>
      <c r="Q382" s="184" t="n">
        <v>22100</v>
      </c>
      <c r="R382" s="184" t="n">
        <v>20553</v>
      </c>
      <c r="S382" s="184" t="s">
        <v>1122</v>
      </c>
      <c r="T382" s="187" t="n">
        <v>45900</v>
      </c>
    </row>
    <row r="383" customFormat="false" ht="57.45" hidden="true" customHeight="false" outlineLevel="0" collapsed="false">
      <c r="A383" s="181" t="s">
        <v>1123</v>
      </c>
      <c r="B383" s="182" t="n">
        <v>1384</v>
      </c>
      <c r="C383" s="183" t="n">
        <v>58670</v>
      </c>
      <c r="D383" s="181" t="s">
        <v>3326</v>
      </c>
      <c r="E383" s="181" t="s">
        <v>261</v>
      </c>
      <c r="F383" s="181" t="s">
        <v>262</v>
      </c>
      <c r="G383" s="181" t="s">
        <v>226</v>
      </c>
      <c r="H383" s="181" t="s">
        <v>586</v>
      </c>
      <c r="I383" s="181" t="s">
        <v>220</v>
      </c>
      <c r="J383" s="267"/>
      <c r="K383" s="269" t="n">
        <v>45899</v>
      </c>
      <c r="L383" s="267" t="n">
        <v>1.5</v>
      </c>
      <c r="M383" s="184" t="s">
        <v>226</v>
      </c>
      <c r="N383" s="184" t="n">
        <v>37270</v>
      </c>
      <c r="O383" s="184" t="n">
        <v>15010</v>
      </c>
      <c r="P383" s="185" t="n">
        <v>11</v>
      </c>
      <c r="Q383" s="184" t="n">
        <v>22260</v>
      </c>
      <c r="R383" s="184" t="n">
        <v>19811.4</v>
      </c>
      <c r="S383" s="184" t="s">
        <v>1124</v>
      </c>
      <c r="T383" s="187" t="n">
        <v>45900</v>
      </c>
    </row>
    <row r="384" customFormat="false" ht="57.45" hidden="true" customHeight="false" outlineLevel="0" collapsed="false">
      <c r="A384" s="181" t="s">
        <v>1125</v>
      </c>
      <c r="B384" s="182" t="n">
        <v>1385</v>
      </c>
      <c r="C384" s="183" t="n">
        <v>58673</v>
      </c>
      <c r="D384" s="181" t="s">
        <v>3326</v>
      </c>
      <c r="E384" s="181" t="s">
        <v>296</v>
      </c>
      <c r="F384" s="181" t="s">
        <v>297</v>
      </c>
      <c r="G384" s="181" t="s">
        <v>226</v>
      </c>
      <c r="H384" s="181" t="s">
        <v>586</v>
      </c>
      <c r="I384" s="181" t="s">
        <v>220</v>
      </c>
      <c r="J384" s="267"/>
      <c r="K384" s="269" t="n">
        <v>45900</v>
      </c>
      <c r="L384" s="267" t="n">
        <v>1.9</v>
      </c>
      <c r="M384" s="184" t="s">
        <v>226</v>
      </c>
      <c r="N384" s="184" t="n">
        <v>37610</v>
      </c>
      <c r="O384" s="184" t="n">
        <v>15390</v>
      </c>
      <c r="P384" s="185" t="n">
        <v>13</v>
      </c>
      <c r="Q384" s="184" t="n">
        <v>22220</v>
      </c>
      <c r="R384" s="184" t="n">
        <v>19331.4</v>
      </c>
      <c r="S384" s="184" t="s">
        <v>1126</v>
      </c>
      <c r="T384" s="187" t="n">
        <v>45900</v>
      </c>
    </row>
    <row r="385" customFormat="false" ht="57.45" hidden="true" customHeight="false" outlineLevel="0" collapsed="false">
      <c r="A385" s="181" t="s">
        <v>1127</v>
      </c>
      <c r="B385" s="182" t="n">
        <v>1386</v>
      </c>
      <c r="C385" s="183" t="n">
        <v>58679</v>
      </c>
      <c r="D385" s="181" t="s">
        <v>3326</v>
      </c>
      <c r="E385" s="181" t="s">
        <v>272</v>
      </c>
      <c r="F385" s="181" t="s">
        <v>273</v>
      </c>
      <c r="G385" s="181" t="s">
        <v>226</v>
      </c>
      <c r="H385" s="181" t="s">
        <v>586</v>
      </c>
      <c r="I385" s="181" t="s">
        <v>220</v>
      </c>
      <c r="J385" s="267"/>
      <c r="K385" s="269" t="n">
        <v>45900</v>
      </c>
      <c r="L385" s="267" t="n">
        <v>1.8</v>
      </c>
      <c r="M385" s="184" t="s">
        <v>226</v>
      </c>
      <c r="N385" s="184" t="n">
        <v>37190</v>
      </c>
      <c r="O385" s="184" t="n">
        <v>15550</v>
      </c>
      <c r="P385" s="185" t="n">
        <v>13</v>
      </c>
      <c r="Q385" s="184" t="n">
        <v>21640</v>
      </c>
      <c r="R385" s="184" t="n">
        <v>18826.8</v>
      </c>
      <c r="S385" s="184" t="s">
        <v>1128</v>
      </c>
      <c r="T385" s="187" t="n">
        <v>45900</v>
      </c>
    </row>
    <row r="386" customFormat="false" ht="57.45" hidden="true" customHeight="false" outlineLevel="0" collapsed="false">
      <c r="A386" s="181" t="s">
        <v>1129</v>
      </c>
      <c r="B386" s="182" t="n">
        <v>1387</v>
      </c>
      <c r="C386" s="183" t="n">
        <v>58681</v>
      </c>
      <c r="D386" s="181" t="s">
        <v>3326</v>
      </c>
      <c r="E386" s="181" t="s">
        <v>431</v>
      </c>
      <c r="F386" s="181" t="s">
        <v>432</v>
      </c>
      <c r="G386" s="181" t="s">
        <v>226</v>
      </c>
      <c r="H386" s="181" t="s">
        <v>586</v>
      </c>
      <c r="I386" s="181" t="s">
        <v>220</v>
      </c>
      <c r="J386" s="267"/>
      <c r="K386" s="269" t="n">
        <v>45900</v>
      </c>
      <c r="L386" s="267" t="n">
        <v>1.9</v>
      </c>
      <c r="M386" s="184" t="s">
        <v>226</v>
      </c>
      <c r="N386" s="184" t="n">
        <v>39270</v>
      </c>
      <c r="O386" s="184" t="n">
        <v>16580</v>
      </c>
      <c r="P386" s="185" t="n">
        <v>18</v>
      </c>
      <c r="Q386" s="184" t="n">
        <v>22690</v>
      </c>
      <c r="R386" s="184" t="n">
        <v>18605.8</v>
      </c>
      <c r="S386" s="184" t="s">
        <v>1130</v>
      </c>
      <c r="T386" s="187" t="n">
        <v>45900</v>
      </c>
    </row>
    <row r="387" customFormat="false" ht="57.45" hidden="true" customHeight="false" outlineLevel="0" collapsed="false">
      <c r="A387" s="181" t="s">
        <v>1131</v>
      </c>
      <c r="B387" s="182" t="n">
        <v>1388</v>
      </c>
      <c r="C387" s="183" t="n">
        <v>58677</v>
      </c>
      <c r="D387" s="181" t="s">
        <v>3326</v>
      </c>
      <c r="E387" s="181" t="s">
        <v>582</v>
      </c>
      <c r="F387" s="181" t="s">
        <v>583</v>
      </c>
      <c r="G387" s="181" t="s">
        <v>226</v>
      </c>
      <c r="H387" s="181" t="s">
        <v>586</v>
      </c>
      <c r="I387" s="181" t="s">
        <v>220</v>
      </c>
      <c r="J387" s="267"/>
      <c r="K387" s="269" t="n">
        <v>45900</v>
      </c>
      <c r="L387" s="267" t="n">
        <v>1.9</v>
      </c>
      <c r="M387" s="184" t="s">
        <v>226</v>
      </c>
      <c r="N387" s="184" t="n">
        <v>37730</v>
      </c>
      <c r="O387" s="184" t="n">
        <v>14630</v>
      </c>
      <c r="P387" s="185" t="n">
        <v>15</v>
      </c>
      <c r="Q387" s="184" t="n">
        <v>23100</v>
      </c>
      <c r="R387" s="184" t="n">
        <v>19635</v>
      </c>
      <c r="S387" s="184" t="s">
        <v>1132</v>
      </c>
      <c r="T387" s="187" t="n">
        <v>45900</v>
      </c>
    </row>
    <row r="388" customFormat="false" ht="57.45" hidden="true" customHeight="false" outlineLevel="0" collapsed="false">
      <c r="A388" s="181" t="s">
        <v>1133</v>
      </c>
      <c r="B388" s="182" t="n">
        <v>1389</v>
      </c>
      <c r="C388" s="183" t="n">
        <v>58683</v>
      </c>
      <c r="D388" s="181" t="s">
        <v>3326</v>
      </c>
      <c r="E388" s="181" t="s">
        <v>435</v>
      </c>
      <c r="F388" s="181" t="s">
        <v>436</v>
      </c>
      <c r="G388" s="181" t="s">
        <v>226</v>
      </c>
      <c r="H388" s="181" t="s">
        <v>586</v>
      </c>
      <c r="I388" s="181" t="s">
        <v>220</v>
      </c>
      <c r="J388" s="267"/>
      <c r="K388" s="269" t="n">
        <v>45900</v>
      </c>
      <c r="L388" s="267" t="n">
        <v>1.8</v>
      </c>
      <c r="M388" s="184" t="s">
        <v>226</v>
      </c>
      <c r="N388" s="184" t="n">
        <v>38810</v>
      </c>
      <c r="O388" s="184" t="n">
        <v>16620</v>
      </c>
      <c r="P388" s="185" t="n">
        <v>23</v>
      </c>
      <c r="Q388" s="184" t="n">
        <v>22190</v>
      </c>
      <c r="R388" s="184" t="n">
        <v>17086.3</v>
      </c>
      <c r="S388" s="184" t="s">
        <v>1134</v>
      </c>
      <c r="T388" s="187" t="n">
        <v>45900</v>
      </c>
    </row>
    <row r="389" customFormat="false" ht="57.45" hidden="true" customHeight="false" outlineLevel="0" collapsed="false">
      <c r="A389" s="181" t="s">
        <v>1135</v>
      </c>
      <c r="B389" s="182" t="n">
        <v>1391</v>
      </c>
      <c r="C389" s="183" t="n">
        <v>58685</v>
      </c>
      <c r="D389" s="181" t="s">
        <v>3326</v>
      </c>
      <c r="E389" s="181" t="s">
        <v>391</v>
      </c>
      <c r="F389" s="181" t="s">
        <v>392</v>
      </c>
      <c r="G389" s="181" t="s">
        <v>226</v>
      </c>
      <c r="H389" s="181" t="s">
        <v>586</v>
      </c>
      <c r="I389" s="181" t="s">
        <v>220</v>
      </c>
      <c r="J389" s="267"/>
      <c r="K389" s="269" t="n">
        <v>45900</v>
      </c>
      <c r="L389" s="267" t="n">
        <v>1.7</v>
      </c>
      <c r="M389" s="184" t="s">
        <v>226</v>
      </c>
      <c r="N389" s="184" t="n">
        <v>34720</v>
      </c>
      <c r="O389" s="184" t="n">
        <v>14450</v>
      </c>
      <c r="P389" s="185" t="n">
        <v>7</v>
      </c>
      <c r="Q389" s="184" t="n">
        <v>20270</v>
      </c>
      <c r="R389" s="184" t="n">
        <v>18851.1</v>
      </c>
      <c r="S389" s="184" t="s">
        <v>1136</v>
      </c>
      <c r="T389" s="187" t="n">
        <v>45900</v>
      </c>
    </row>
    <row r="390" customFormat="false" ht="57.45" hidden="true" customHeight="false" outlineLevel="0" collapsed="false">
      <c r="A390" s="181" t="s">
        <v>1137</v>
      </c>
      <c r="B390" s="182" t="n">
        <v>1392</v>
      </c>
      <c r="C390" s="183" t="n">
        <v>58687</v>
      </c>
      <c r="D390" s="181" t="s">
        <v>3326</v>
      </c>
      <c r="E390" s="181" t="s">
        <v>387</v>
      </c>
      <c r="F390" s="181" t="s">
        <v>388</v>
      </c>
      <c r="G390" s="181" t="s">
        <v>226</v>
      </c>
      <c r="H390" s="181" t="s">
        <v>586</v>
      </c>
      <c r="I390" s="181" t="s">
        <v>220</v>
      </c>
      <c r="J390" s="267"/>
      <c r="K390" s="269" t="n">
        <v>45900</v>
      </c>
      <c r="L390" s="267" t="n">
        <v>2</v>
      </c>
      <c r="M390" s="184" t="s">
        <v>226</v>
      </c>
      <c r="N390" s="184" t="n">
        <v>39190</v>
      </c>
      <c r="O390" s="184" t="n">
        <v>14920</v>
      </c>
      <c r="P390" s="185" t="n">
        <v>7</v>
      </c>
      <c r="Q390" s="184" t="n">
        <v>24270</v>
      </c>
      <c r="R390" s="184" t="n">
        <v>22571.1</v>
      </c>
      <c r="S390" s="184" t="s">
        <v>1138</v>
      </c>
      <c r="T390" s="187" t="n">
        <v>45900</v>
      </c>
    </row>
    <row r="391" customFormat="false" ht="57.45" hidden="true" customHeight="false" outlineLevel="0" collapsed="false">
      <c r="A391" s="181" t="s">
        <v>1139</v>
      </c>
      <c r="B391" s="182" t="n">
        <v>1393</v>
      </c>
      <c r="C391" s="183" t="n">
        <v>58689</v>
      </c>
      <c r="D391" s="181" t="s">
        <v>3326</v>
      </c>
      <c r="E391" s="181" t="s">
        <v>377</v>
      </c>
      <c r="F391" s="181" t="s">
        <v>378</v>
      </c>
      <c r="G391" s="181" t="s">
        <v>226</v>
      </c>
      <c r="H391" s="181" t="s">
        <v>586</v>
      </c>
      <c r="I391" s="181" t="s">
        <v>220</v>
      </c>
      <c r="J391" s="267"/>
      <c r="K391" s="269" t="n">
        <v>45900</v>
      </c>
      <c r="L391" s="267" t="n">
        <v>2.1</v>
      </c>
      <c r="M391" s="184" t="s">
        <v>226</v>
      </c>
      <c r="N391" s="184" t="n">
        <v>40230</v>
      </c>
      <c r="O391" s="184" t="n">
        <v>15600</v>
      </c>
      <c r="P391" s="185" t="n">
        <v>10</v>
      </c>
      <c r="Q391" s="184" t="n">
        <v>24630</v>
      </c>
      <c r="R391" s="184" t="n">
        <v>22167</v>
      </c>
      <c r="S391" s="184" t="s">
        <v>1140</v>
      </c>
      <c r="T391" s="187" t="n">
        <v>45900</v>
      </c>
    </row>
    <row r="392" customFormat="false" ht="57.45" hidden="true" customHeight="false" outlineLevel="0" collapsed="false">
      <c r="A392" s="181" t="s">
        <v>1141</v>
      </c>
      <c r="B392" s="182" t="n">
        <v>1394</v>
      </c>
      <c r="C392" s="183" t="n">
        <v>58691</v>
      </c>
      <c r="D392" s="181" t="s">
        <v>3326</v>
      </c>
      <c r="E392" s="181" t="s">
        <v>266</v>
      </c>
      <c r="F392" s="181" t="s">
        <v>267</v>
      </c>
      <c r="G392" s="181" t="s">
        <v>226</v>
      </c>
      <c r="H392" s="181" t="s">
        <v>586</v>
      </c>
      <c r="I392" s="181" t="s">
        <v>220</v>
      </c>
      <c r="J392" s="267"/>
      <c r="K392" s="269" t="n">
        <v>45900</v>
      </c>
      <c r="L392" s="267" t="n">
        <v>1.9</v>
      </c>
      <c r="M392" s="184" t="s">
        <v>226</v>
      </c>
      <c r="N392" s="184" t="n">
        <v>37980</v>
      </c>
      <c r="O392" s="184" t="n">
        <v>14880</v>
      </c>
      <c r="P392" s="185" t="n">
        <v>14</v>
      </c>
      <c r="Q392" s="184" t="n">
        <v>23100</v>
      </c>
      <c r="R392" s="184" t="n">
        <v>19866</v>
      </c>
      <c r="S392" s="184" t="s">
        <v>1142</v>
      </c>
      <c r="T392" s="187" t="n">
        <v>45900</v>
      </c>
    </row>
    <row r="393" customFormat="false" ht="57.45" hidden="true" customHeight="false" outlineLevel="0" collapsed="false">
      <c r="A393" s="181" t="s">
        <v>1143</v>
      </c>
      <c r="B393" s="182" t="n">
        <v>1395</v>
      </c>
      <c r="C393" s="183" t="n">
        <v>58693</v>
      </c>
      <c r="D393" s="181" t="s">
        <v>3326</v>
      </c>
      <c r="E393" s="181" t="s">
        <v>332</v>
      </c>
      <c r="F393" s="181" t="s">
        <v>333</v>
      </c>
      <c r="G393" s="181" t="s">
        <v>226</v>
      </c>
      <c r="H393" s="181" t="s">
        <v>832</v>
      </c>
      <c r="I393" s="181" t="s">
        <v>220</v>
      </c>
      <c r="J393" s="267"/>
      <c r="K393" s="269" t="n">
        <v>45900</v>
      </c>
      <c r="L393" s="267" t="n">
        <v>1.5</v>
      </c>
      <c r="M393" s="184" t="s">
        <v>226</v>
      </c>
      <c r="N393" s="184" t="n">
        <v>37800</v>
      </c>
      <c r="O393" s="184" t="n">
        <v>14680</v>
      </c>
      <c r="P393" s="185" t="n">
        <v>10</v>
      </c>
      <c r="Q393" s="184" t="n">
        <v>23120</v>
      </c>
      <c r="R393" s="184" t="n">
        <v>20808</v>
      </c>
      <c r="S393" s="184" t="s">
        <v>1144</v>
      </c>
      <c r="T393" s="187" t="n">
        <v>45900</v>
      </c>
    </row>
    <row r="394" customFormat="false" ht="57.45" hidden="true" customHeight="false" outlineLevel="0" collapsed="false">
      <c r="A394" s="181" t="s">
        <v>1145</v>
      </c>
      <c r="B394" s="182" t="n">
        <v>1397</v>
      </c>
      <c r="C394" s="183" t="n">
        <v>58697</v>
      </c>
      <c r="D394" s="181" t="s">
        <v>3326</v>
      </c>
      <c r="E394" s="181" t="s">
        <v>541</v>
      </c>
      <c r="F394" s="181" t="s">
        <v>542</v>
      </c>
      <c r="G394" s="181" t="s">
        <v>226</v>
      </c>
      <c r="H394" s="181" t="s">
        <v>832</v>
      </c>
      <c r="I394" s="181" t="s">
        <v>220</v>
      </c>
      <c r="J394" s="267"/>
      <c r="K394" s="269" t="n">
        <v>45900</v>
      </c>
      <c r="L394" s="267" t="n">
        <v>1.6</v>
      </c>
      <c r="M394" s="184" t="s">
        <v>226</v>
      </c>
      <c r="N394" s="184" t="n">
        <v>39790</v>
      </c>
      <c r="O394" s="184" t="n">
        <v>14970</v>
      </c>
      <c r="P394" s="185" t="n">
        <v>15</v>
      </c>
      <c r="Q394" s="184" t="n">
        <v>24820</v>
      </c>
      <c r="R394" s="184" t="n">
        <v>21097</v>
      </c>
      <c r="S394" s="184" t="s">
        <v>1146</v>
      </c>
      <c r="T394" s="187" t="n">
        <v>45901</v>
      </c>
    </row>
    <row r="395" customFormat="false" ht="57.45" hidden="true" customHeight="false" outlineLevel="0" collapsed="false">
      <c r="A395" s="181" t="s">
        <v>1147</v>
      </c>
      <c r="B395" s="182" t="n">
        <v>1398</v>
      </c>
      <c r="C395" s="183" t="n">
        <v>58695</v>
      </c>
      <c r="D395" s="181" t="s">
        <v>3326</v>
      </c>
      <c r="E395" s="181" t="s">
        <v>399</v>
      </c>
      <c r="F395" s="181" t="s">
        <v>400</v>
      </c>
      <c r="G395" s="181" t="s">
        <v>226</v>
      </c>
      <c r="H395" s="181" t="s">
        <v>832</v>
      </c>
      <c r="I395" s="181" t="s">
        <v>220</v>
      </c>
      <c r="J395" s="267"/>
      <c r="K395" s="269" t="n">
        <v>45900</v>
      </c>
      <c r="L395" s="267" t="n">
        <v>1.7</v>
      </c>
      <c r="M395" s="184" t="s">
        <v>226</v>
      </c>
      <c r="N395" s="184" t="n">
        <v>46220</v>
      </c>
      <c r="O395" s="184" t="n">
        <v>19330</v>
      </c>
      <c r="P395" s="185" t="n">
        <v>10</v>
      </c>
      <c r="Q395" s="184" t="n">
        <v>26890</v>
      </c>
      <c r="R395" s="184" t="n">
        <v>24201</v>
      </c>
      <c r="S395" s="184" t="s">
        <v>1148</v>
      </c>
      <c r="T395" s="187" t="n">
        <v>45901</v>
      </c>
    </row>
    <row r="396" customFormat="false" ht="57.45" hidden="true" customHeight="false" outlineLevel="0" collapsed="false">
      <c r="A396" s="181" t="s">
        <v>1149</v>
      </c>
      <c r="B396" s="182" t="n">
        <v>1399</v>
      </c>
      <c r="C396" s="183" t="n">
        <v>58699</v>
      </c>
      <c r="D396" s="181" t="s">
        <v>3326</v>
      </c>
      <c r="E396" s="181" t="s">
        <v>549</v>
      </c>
      <c r="F396" s="181" t="s">
        <v>550</v>
      </c>
      <c r="G396" s="181" t="s">
        <v>226</v>
      </c>
      <c r="H396" s="181" t="s">
        <v>832</v>
      </c>
      <c r="I396" s="181" t="s">
        <v>220</v>
      </c>
      <c r="J396" s="267"/>
      <c r="K396" s="269" t="n">
        <v>45900</v>
      </c>
      <c r="L396" s="267" t="n">
        <v>1.6</v>
      </c>
      <c r="M396" s="184" t="s">
        <v>226</v>
      </c>
      <c r="N396" s="184" t="n">
        <v>41690</v>
      </c>
      <c r="O396" s="184" t="n">
        <v>15650</v>
      </c>
      <c r="P396" s="185" t="n">
        <v>8</v>
      </c>
      <c r="Q396" s="184" t="n">
        <v>26040</v>
      </c>
      <c r="R396" s="184" t="n">
        <v>23956.8</v>
      </c>
      <c r="S396" s="184" t="s">
        <v>1150</v>
      </c>
      <c r="T396" s="187" t="n">
        <v>45901</v>
      </c>
    </row>
    <row r="397" customFormat="false" ht="57.45" hidden="true" customHeight="false" outlineLevel="0" collapsed="false">
      <c r="A397" s="181" t="s">
        <v>1151</v>
      </c>
      <c r="B397" s="182" t="n">
        <v>1400</v>
      </c>
      <c r="C397" s="183" t="n">
        <v>58701</v>
      </c>
      <c r="D397" s="181" t="s">
        <v>3326</v>
      </c>
      <c r="E397" s="181" t="s">
        <v>282</v>
      </c>
      <c r="F397" s="181" t="s">
        <v>283</v>
      </c>
      <c r="G397" s="181" t="s">
        <v>226</v>
      </c>
      <c r="H397" s="181" t="s">
        <v>832</v>
      </c>
      <c r="I397" s="181" t="s">
        <v>220</v>
      </c>
      <c r="J397" s="267"/>
      <c r="K397" s="269" t="n">
        <v>45900</v>
      </c>
      <c r="L397" s="267" t="n">
        <v>1.5</v>
      </c>
      <c r="M397" s="184" t="s">
        <v>226</v>
      </c>
      <c r="N397" s="184" t="n">
        <v>38130</v>
      </c>
      <c r="O397" s="184" t="n">
        <v>15050</v>
      </c>
      <c r="P397" s="185" t="n">
        <v>10</v>
      </c>
      <c r="Q397" s="184" t="n">
        <v>23080</v>
      </c>
      <c r="R397" s="184" t="n">
        <v>20772</v>
      </c>
      <c r="S397" s="184" t="s">
        <v>1152</v>
      </c>
      <c r="T397" s="187" t="n">
        <v>45901</v>
      </c>
    </row>
    <row r="398" customFormat="false" ht="57.45" hidden="true" customHeight="false" outlineLevel="0" collapsed="false">
      <c r="A398" s="181" t="s">
        <v>1155</v>
      </c>
      <c r="B398" s="182" t="n">
        <v>1402</v>
      </c>
      <c r="C398" s="183" t="n">
        <v>58707</v>
      </c>
      <c r="D398" s="181" t="s">
        <v>3326</v>
      </c>
      <c r="E398" s="181" t="s">
        <v>1027</v>
      </c>
      <c r="F398" s="181" t="s">
        <v>1028</v>
      </c>
      <c r="G398" s="181" t="s">
        <v>226</v>
      </c>
      <c r="H398" s="181" t="s">
        <v>832</v>
      </c>
      <c r="I398" s="181" t="s">
        <v>220</v>
      </c>
      <c r="J398" s="267"/>
      <c r="K398" s="269" t="n">
        <v>45900</v>
      </c>
      <c r="L398" s="267" t="n">
        <v>0.4</v>
      </c>
      <c r="M398" s="184" t="s">
        <v>226</v>
      </c>
      <c r="N398" s="184" t="n">
        <v>15790</v>
      </c>
      <c r="O398" s="184" t="n">
        <v>10120</v>
      </c>
      <c r="P398" s="185" t="n">
        <v>7</v>
      </c>
      <c r="Q398" s="184" t="n">
        <v>5670</v>
      </c>
      <c r="R398" s="184" t="n">
        <v>5273.1</v>
      </c>
      <c r="S398" s="184" t="s">
        <v>1156</v>
      </c>
      <c r="T398" s="187" t="n">
        <v>45901</v>
      </c>
    </row>
    <row r="399" customFormat="false" ht="57.45" hidden="true" customHeight="false" outlineLevel="0" collapsed="false">
      <c r="A399" s="181" t="s">
        <v>1153</v>
      </c>
      <c r="B399" s="182" t="n">
        <v>1401</v>
      </c>
      <c r="C399" s="183" t="n">
        <v>58703</v>
      </c>
      <c r="D399" s="181" t="s">
        <v>3326</v>
      </c>
      <c r="E399" s="181" t="s">
        <v>533</v>
      </c>
      <c r="F399" s="181" t="s">
        <v>534</v>
      </c>
      <c r="G399" s="181" t="s">
        <v>226</v>
      </c>
      <c r="H399" s="181" t="s">
        <v>832</v>
      </c>
      <c r="I399" s="181" t="s">
        <v>220</v>
      </c>
      <c r="J399" s="267"/>
      <c r="K399" s="269" t="n">
        <v>45900</v>
      </c>
      <c r="L399" s="267" t="n">
        <v>1.5</v>
      </c>
      <c r="M399" s="184" t="s">
        <v>226</v>
      </c>
      <c r="N399" s="184" t="n">
        <v>39010</v>
      </c>
      <c r="O399" s="184" t="n">
        <v>14620</v>
      </c>
      <c r="P399" s="185" t="n">
        <v>9</v>
      </c>
      <c r="Q399" s="184" t="n">
        <v>24390</v>
      </c>
      <c r="R399" s="184" t="n">
        <v>22194.9</v>
      </c>
      <c r="S399" s="184" t="s">
        <v>1154</v>
      </c>
      <c r="T399" s="187" t="n">
        <v>45901</v>
      </c>
    </row>
    <row r="400" customFormat="false" ht="57.45" hidden="true" customHeight="false" outlineLevel="0" collapsed="false">
      <c r="A400" s="181" t="s">
        <v>1157</v>
      </c>
      <c r="B400" s="182" t="n">
        <v>1403</v>
      </c>
      <c r="C400" s="183" t="n">
        <v>58705</v>
      </c>
      <c r="D400" s="181" t="s">
        <v>3326</v>
      </c>
      <c r="E400" s="181" t="s">
        <v>545</v>
      </c>
      <c r="F400" s="181" t="s">
        <v>546</v>
      </c>
      <c r="G400" s="181" t="s">
        <v>226</v>
      </c>
      <c r="H400" s="181" t="s">
        <v>832</v>
      </c>
      <c r="I400" s="181" t="s">
        <v>220</v>
      </c>
      <c r="J400" s="267"/>
      <c r="K400" s="269" t="n">
        <v>45900</v>
      </c>
      <c r="L400" s="267" t="n">
        <v>1.5</v>
      </c>
      <c r="M400" s="184" t="s">
        <v>226</v>
      </c>
      <c r="N400" s="184" t="n">
        <v>41010</v>
      </c>
      <c r="O400" s="184" t="n">
        <v>16100</v>
      </c>
      <c r="P400" s="185" t="n">
        <v>13</v>
      </c>
      <c r="Q400" s="184" t="n">
        <v>24910</v>
      </c>
      <c r="R400" s="184" t="n">
        <v>21671.7</v>
      </c>
      <c r="S400" s="184" t="s">
        <v>1158</v>
      </c>
      <c r="T400" s="187" t="n">
        <v>45901</v>
      </c>
    </row>
    <row r="401" customFormat="false" ht="46.25" hidden="true" customHeight="false" outlineLevel="0" collapsed="false">
      <c r="A401" s="181" t="s">
        <v>1189</v>
      </c>
      <c r="B401" s="182" t="n">
        <v>1434</v>
      </c>
      <c r="C401" s="183" t="n">
        <v>36952</v>
      </c>
      <c r="D401" s="181" t="s">
        <v>3327</v>
      </c>
      <c r="E401" s="181" t="s">
        <v>292</v>
      </c>
      <c r="F401" s="181" t="s">
        <v>293</v>
      </c>
      <c r="G401" s="181" t="s">
        <v>236</v>
      </c>
      <c r="H401" s="181" t="s">
        <v>279</v>
      </c>
      <c r="I401" s="181" t="s">
        <v>230</v>
      </c>
      <c r="J401" s="267"/>
      <c r="K401" s="269" t="n">
        <v>45904</v>
      </c>
      <c r="L401" s="267" t="n">
        <v>1.6</v>
      </c>
      <c r="M401" s="184" t="s">
        <v>236</v>
      </c>
      <c r="N401" s="184" t="n">
        <v>35120</v>
      </c>
      <c r="O401" s="184" t="n">
        <v>13890</v>
      </c>
      <c r="P401" s="185" t="n">
        <v>8</v>
      </c>
      <c r="Q401" s="184" t="n">
        <v>21230</v>
      </c>
      <c r="R401" s="184" t="n">
        <v>19531.6</v>
      </c>
      <c r="S401" s="184" t="s">
        <v>1191</v>
      </c>
      <c r="T401" s="187" t="n">
        <v>45905</v>
      </c>
    </row>
    <row r="402" customFormat="false" ht="46.25" hidden="true" customHeight="false" outlineLevel="0" collapsed="false">
      <c r="A402" s="181" t="s">
        <v>1192</v>
      </c>
      <c r="B402" s="182" t="n">
        <v>1435</v>
      </c>
      <c r="C402" s="183" t="n">
        <v>36939</v>
      </c>
      <c r="D402" s="181" t="s">
        <v>3327</v>
      </c>
      <c r="E402" s="181" t="s">
        <v>1019</v>
      </c>
      <c r="F402" s="181" t="s">
        <v>1020</v>
      </c>
      <c r="G402" s="181" t="s">
        <v>236</v>
      </c>
      <c r="H402" s="181" t="s">
        <v>279</v>
      </c>
      <c r="I402" s="181" t="s">
        <v>230</v>
      </c>
      <c r="J402" s="267"/>
      <c r="K402" s="269" t="n">
        <v>45904</v>
      </c>
      <c r="L402" s="267" t="n">
        <v>1.9</v>
      </c>
      <c r="M402" s="184" t="s">
        <v>236</v>
      </c>
      <c r="N402" s="184" t="n">
        <v>42640</v>
      </c>
      <c r="O402" s="184" t="n">
        <v>17080</v>
      </c>
      <c r="P402" s="185" t="n">
        <v>8</v>
      </c>
      <c r="Q402" s="184" t="n">
        <v>25560</v>
      </c>
      <c r="R402" s="184" t="n">
        <v>23515.2</v>
      </c>
      <c r="S402" s="184" t="s">
        <v>1193</v>
      </c>
      <c r="T402" s="187" t="n">
        <v>45905</v>
      </c>
    </row>
    <row r="403" customFormat="false" ht="46.25" hidden="true" customHeight="false" outlineLevel="0" collapsed="false">
      <c r="A403" s="181" t="s">
        <v>1194</v>
      </c>
      <c r="B403" s="182" t="n">
        <v>1436</v>
      </c>
      <c r="C403" s="183" t="n">
        <v>36946</v>
      </c>
      <c r="D403" s="181" t="s">
        <v>3327</v>
      </c>
      <c r="E403" s="181" t="s">
        <v>1023</v>
      </c>
      <c r="F403" s="181" t="s">
        <v>1024</v>
      </c>
      <c r="G403" s="181" t="s">
        <v>236</v>
      </c>
      <c r="H403" s="181" t="s">
        <v>279</v>
      </c>
      <c r="I403" s="181" t="s">
        <v>230</v>
      </c>
      <c r="J403" s="267"/>
      <c r="K403" s="269" t="n">
        <v>45904</v>
      </c>
      <c r="L403" s="267" t="n">
        <v>1.6</v>
      </c>
      <c r="M403" s="184" t="s">
        <v>236</v>
      </c>
      <c r="N403" s="184" t="n">
        <v>36340</v>
      </c>
      <c r="O403" s="184" t="n">
        <v>14730</v>
      </c>
      <c r="P403" s="185" t="n">
        <v>4</v>
      </c>
      <c r="Q403" s="184" t="n">
        <v>21610</v>
      </c>
      <c r="R403" s="184" t="n">
        <v>20745.6</v>
      </c>
      <c r="S403" s="184" t="s">
        <v>1195</v>
      </c>
      <c r="T403" s="187" t="n">
        <v>45905</v>
      </c>
    </row>
    <row r="404" customFormat="false" ht="46.25" hidden="true" customHeight="false" outlineLevel="0" collapsed="false">
      <c r="A404" s="181" t="s">
        <v>1196</v>
      </c>
      <c r="B404" s="182" t="n">
        <v>1437</v>
      </c>
      <c r="C404" s="183" t="n">
        <v>36948</v>
      </c>
      <c r="D404" s="181" t="s">
        <v>3327</v>
      </c>
      <c r="E404" s="181" t="s">
        <v>1027</v>
      </c>
      <c r="F404" s="181" t="s">
        <v>1028</v>
      </c>
      <c r="G404" s="181" t="s">
        <v>236</v>
      </c>
      <c r="H404" s="181" t="s">
        <v>279</v>
      </c>
      <c r="I404" s="181" t="s">
        <v>230</v>
      </c>
      <c r="J404" s="267"/>
      <c r="K404" s="269" t="n">
        <v>45904</v>
      </c>
      <c r="L404" s="267" t="n">
        <v>1.7</v>
      </c>
      <c r="M404" s="184" t="s">
        <v>236</v>
      </c>
      <c r="N404" s="184" t="n">
        <v>37830</v>
      </c>
      <c r="O404" s="184" t="n">
        <v>14970</v>
      </c>
      <c r="P404" s="185" t="n">
        <v>5</v>
      </c>
      <c r="Q404" s="184" t="n">
        <v>22860</v>
      </c>
      <c r="R404" s="184" t="n">
        <v>21717</v>
      </c>
      <c r="S404" s="184" t="s">
        <v>1197</v>
      </c>
      <c r="T404" s="187" t="n">
        <v>45905</v>
      </c>
    </row>
    <row r="405" customFormat="false" ht="46.25" hidden="true" customHeight="false" outlineLevel="0" collapsed="false">
      <c r="A405" s="181" t="s">
        <v>1198</v>
      </c>
      <c r="B405" s="182" t="n">
        <v>1438</v>
      </c>
      <c r="C405" s="183" t="n">
        <v>36959</v>
      </c>
      <c r="D405" s="181" t="s">
        <v>3327</v>
      </c>
      <c r="E405" s="181" t="s">
        <v>277</v>
      </c>
      <c r="F405" s="181" t="s">
        <v>278</v>
      </c>
      <c r="G405" s="181" t="s">
        <v>236</v>
      </c>
      <c r="H405" s="181" t="s">
        <v>279</v>
      </c>
      <c r="I405" s="181" t="s">
        <v>230</v>
      </c>
      <c r="J405" s="267"/>
      <c r="K405" s="269" t="n">
        <v>45904</v>
      </c>
      <c r="L405" s="267" t="n">
        <v>2</v>
      </c>
      <c r="M405" s="184" t="s">
        <v>236</v>
      </c>
      <c r="N405" s="184" t="n">
        <v>41640</v>
      </c>
      <c r="O405" s="184" t="n">
        <v>15070</v>
      </c>
      <c r="P405" s="185" t="n">
        <v>4</v>
      </c>
      <c r="Q405" s="184" t="n">
        <v>26570</v>
      </c>
      <c r="R405" s="184" t="n">
        <v>25507.2</v>
      </c>
      <c r="S405" s="184" t="s">
        <v>1199</v>
      </c>
      <c r="T405" s="187" t="n">
        <v>45905</v>
      </c>
    </row>
    <row r="406" customFormat="false" ht="46.25" hidden="true" customHeight="false" outlineLevel="0" collapsed="false">
      <c r="A406" s="181" t="s">
        <v>1200</v>
      </c>
      <c r="B406" s="182" t="n">
        <v>1439</v>
      </c>
      <c r="C406" s="183" t="n">
        <v>36955</v>
      </c>
      <c r="D406" s="181" t="s">
        <v>3327</v>
      </c>
      <c r="E406" s="181" t="s">
        <v>431</v>
      </c>
      <c r="F406" s="181" t="s">
        <v>432</v>
      </c>
      <c r="G406" s="181" t="s">
        <v>236</v>
      </c>
      <c r="H406" s="181" t="s">
        <v>279</v>
      </c>
      <c r="I406" s="181" t="s">
        <v>230</v>
      </c>
      <c r="J406" s="267"/>
      <c r="K406" s="269" t="n">
        <v>45904</v>
      </c>
      <c r="L406" s="267" t="n">
        <v>1.7</v>
      </c>
      <c r="M406" s="184" t="s">
        <v>236</v>
      </c>
      <c r="N406" s="184" t="n">
        <v>39910</v>
      </c>
      <c r="O406" s="184" t="n">
        <v>16520</v>
      </c>
      <c r="P406" s="185" t="n">
        <v>5</v>
      </c>
      <c r="Q406" s="184" t="n">
        <v>23390</v>
      </c>
      <c r="R406" s="184" t="n">
        <v>22220.5</v>
      </c>
      <c r="S406" s="184" t="s">
        <v>1201</v>
      </c>
      <c r="T406" s="187" t="n">
        <v>45905</v>
      </c>
    </row>
    <row r="407" customFormat="false" ht="46.25" hidden="true" customHeight="false" outlineLevel="0" collapsed="false">
      <c r="A407" s="181" t="s">
        <v>1202</v>
      </c>
      <c r="B407" s="182" t="n">
        <v>1441</v>
      </c>
      <c r="C407" s="183" t="n">
        <v>36961</v>
      </c>
      <c r="D407" s="181" t="s">
        <v>3327</v>
      </c>
      <c r="E407" s="181" t="s">
        <v>350</v>
      </c>
      <c r="F407" s="181" t="s">
        <v>351</v>
      </c>
      <c r="G407" s="181" t="s">
        <v>236</v>
      </c>
      <c r="H407" s="181" t="s">
        <v>279</v>
      </c>
      <c r="I407" s="181" t="s">
        <v>230</v>
      </c>
      <c r="J407" s="267"/>
      <c r="K407" s="269" t="n">
        <v>45904</v>
      </c>
      <c r="L407" s="267" t="n">
        <v>2</v>
      </c>
      <c r="M407" s="184" t="s">
        <v>236</v>
      </c>
      <c r="N407" s="184" t="n">
        <v>41890</v>
      </c>
      <c r="O407" s="184" t="n">
        <v>14870</v>
      </c>
      <c r="P407" s="185" t="n">
        <v>4</v>
      </c>
      <c r="Q407" s="184" t="n">
        <v>27020</v>
      </c>
      <c r="R407" s="184" t="n">
        <v>25939.2</v>
      </c>
      <c r="S407" s="184" t="s">
        <v>1203</v>
      </c>
      <c r="T407" s="187" t="n">
        <v>45905</v>
      </c>
    </row>
    <row r="408" customFormat="false" ht="46.25" hidden="true" customHeight="false" outlineLevel="0" collapsed="false">
      <c r="A408" s="181" t="s">
        <v>1204</v>
      </c>
      <c r="B408" s="182" t="n">
        <v>1442</v>
      </c>
      <c r="C408" s="183" t="n">
        <v>36963</v>
      </c>
      <c r="D408" s="181" t="s">
        <v>3327</v>
      </c>
      <c r="E408" s="181" t="s">
        <v>373</v>
      </c>
      <c r="F408" s="181" t="s">
        <v>374</v>
      </c>
      <c r="G408" s="181" t="s">
        <v>236</v>
      </c>
      <c r="H408" s="181" t="s">
        <v>279</v>
      </c>
      <c r="I408" s="181" t="s">
        <v>230</v>
      </c>
      <c r="J408" s="267"/>
      <c r="K408" s="269" t="n">
        <v>45904</v>
      </c>
      <c r="L408" s="267" t="n">
        <v>1.7</v>
      </c>
      <c r="M408" s="184" t="s">
        <v>236</v>
      </c>
      <c r="N408" s="184" t="n">
        <v>37360</v>
      </c>
      <c r="O408" s="184" t="n">
        <v>14230</v>
      </c>
      <c r="P408" s="185" t="n">
        <v>6</v>
      </c>
      <c r="Q408" s="184" t="n">
        <v>23130</v>
      </c>
      <c r="R408" s="184" t="n">
        <v>21742.2</v>
      </c>
      <c r="S408" s="184" t="s">
        <v>1205</v>
      </c>
      <c r="T408" s="187" t="n">
        <v>45905</v>
      </c>
    </row>
    <row r="409" customFormat="false" ht="46.25" hidden="true" customHeight="false" outlineLevel="0" collapsed="false">
      <c r="A409" s="181" t="s">
        <v>1206</v>
      </c>
      <c r="B409" s="182" t="n">
        <v>1443</v>
      </c>
      <c r="C409" s="183" t="n">
        <v>36965</v>
      </c>
      <c r="D409" s="181" t="s">
        <v>3327</v>
      </c>
      <c r="E409" s="181" t="s">
        <v>377</v>
      </c>
      <c r="F409" s="181" t="s">
        <v>378</v>
      </c>
      <c r="G409" s="181" t="s">
        <v>236</v>
      </c>
      <c r="H409" s="181" t="s">
        <v>279</v>
      </c>
      <c r="I409" s="181" t="s">
        <v>230</v>
      </c>
      <c r="J409" s="267"/>
      <c r="K409" s="269" t="n">
        <v>45904</v>
      </c>
      <c r="L409" s="267" t="n">
        <v>1.9</v>
      </c>
      <c r="M409" s="184" t="s">
        <v>236</v>
      </c>
      <c r="N409" s="184" t="n">
        <v>41100</v>
      </c>
      <c r="O409" s="184" t="n">
        <v>15530</v>
      </c>
      <c r="P409" s="185" t="n">
        <v>6</v>
      </c>
      <c r="Q409" s="184" t="n">
        <v>25570</v>
      </c>
      <c r="R409" s="184" t="n">
        <v>24035.8</v>
      </c>
      <c r="S409" s="184" t="s">
        <v>1207</v>
      </c>
      <c r="T409" s="187" t="n">
        <v>45905</v>
      </c>
    </row>
    <row r="410" customFormat="false" ht="57.45" hidden="true" customHeight="false" outlineLevel="0" collapsed="false">
      <c r="A410" s="181" t="s">
        <v>1159</v>
      </c>
      <c r="B410" s="182" t="n">
        <v>1412</v>
      </c>
      <c r="C410" s="183" t="n">
        <v>77183</v>
      </c>
      <c r="D410" s="181" t="s">
        <v>3326</v>
      </c>
      <c r="E410" s="181" t="s">
        <v>282</v>
      </c>
      <c r="F410" s="181" t="s">
        <v>283</v>
      </c>
      <c r="G410" s="181" t="s">
        <v>226</v>
      </c>
      <c r="H410" s="181" t="s">
        <v>279</v>
      </c>
      <c r="I410" s="181" t="s">
        <v>230</v>
      </c>
      <c r="J410" s="267"/>
      <c r="K410" s="269" t="n">
        <v>45903</v>
      </c>
      <c r="L410" s="267" t="n">
        <v>1.7</v>
      </c>
      <c r="M410" s="184" t="s">
        <v>226</v>
      </c>
      <c r="N410" s="184" t="n">
        <v>37800</v>
      </c>
      <c r="O410" s="184" t="n">
        <v>15030</v>
      </c>
      <c r="P410" s="185" t="n">
        <v>23</v>
      </c>
      <c r="Q410" s="184" t="n">
        <v>22770</v>
      </c>
      <c r="R410" s="184" t="n">
        <v>17532.9</v>
      </c>
      <c r="S410" s="184" t="s">
        <v>1160</v>
      </c>
      <c r="T410" s="187" t="n">
        <v>45903</v>
      </c>
    </row>
    <row r="411" customFormat="false" ht="46.25" hidden="true" customHeight="false" outlineLevel="0" collapsed="false">
      <c r="A411" s="181" t="s">
        <v>1208</v>
      </c>
      <c r="B411" s="182" t="n">
        <v>1445</v>
      </c>
      <c r="C411" s="183" t="n">
        <v>36969</v>
      </c>
      <c r="D411" s="181" t="s">
        <v>3327</v>
      </c>
      <c r="E411" s="181" t="s">
        <v>332</v>
      </c>
      <c r="F411" s="181" t="s">
        <v>333</v>
      </c>
      <c r="G411" s="181" t="s">
        <v>236</v>
      </c>
      <c r="H411" s="181" t="s">
        <v>279</v>
      </c>
      <c r="I411" s="181" t="s">
        <v>230</v>
      </c>
      <c r="J411" s="267"/>
      <c r="K411" s="269" t="n">
        <v>45904</v>
      </c>
      <c r="L411" s="267" t="n">
        <v>1.7</v>
      </c>
      <c r="M411" s="184" t="s">
        <v>236</v>
      </c>
      <c r="N411" s="184" t="n">
        <v>38140</v>
      </c>
      <c r="O411" s="184" t="n">
        <v>14690</v>
      </c>
      <c r="P411" s="185" t="n">
        <v>9</v>
      </c>
      <c r="Q411" s="184" t="n">
        <v>23450</v>
      </c>
      <c r="R411" s="184" t="n">
        <v>21339.5</v>
      </c>
      <c r="S411" s="184" t="s">
        <v>1209</v>
      </c>
      <c r="T411" s="187" t="n">
        <v>45905</v>
      </c>
    </row>
    <row r="412" customFormat="false" ht="57.45" hidden="true" customHeight="false" outlineLevel="0" collapsed="false">
      <c r="A412" s="181" t="s">
        <v>1161</v>
      </c>
      <c r="B412" s="182" t="n">
        <v>1414</v>
      </c>
      <c r="C412" s="183" t="n">
        <v>77185</v>
      </c>
      <c r="D412" s="181" t="s">
        <v>3326</v>
      </c>
      <c r="E412" s="181" t="s">
        <v>277</v>
      </c>
      <c r="F412" s="181" t="s">
        <v>278</v>
      </c>
      <c r="G412" s="181" t="s">
        <v>226</v>
      </c>
      <c r="H412" s="181" t="s">
        <v>279</v>
      </c>
      <c r="I412" s="181" t="s">
        <v>230</v>
      </c>
      <c r="J412" s="267"/>
      <c r="K412" s="269" t="n">
        <v>45903</v>
      </c>
      <c r="L412" s="267" t="n">
        <v>1.9</v>
      </c>
      <c r="M412" s="184" t="s">
        <v>226</v>
      </c>
      <c r="N412" s="184" t="n">
        <v>41570</v>
      </c>
      <c r="O412" s="184" t="n">
        <v>15090</v>
      </c>
      <c r="P412" s="185" t="n">
        <v>15</v>
      </c>
      <c r="Q412" s="184" t="n">
        <v>26480</v>
      </c>
      <c r="R412" s="184" t="n">
        <v>22508</v>
      </c>
      <c r="S412" s="184" t="s">
        <v>1162</v>
      </c>
      <c r="T412" s="187" t="n">
        <v>45903</v>
      </c>
    </row>
    <row r="413" customFormat="false" ht="57.45" hidden="true" customHeight="false" outlineLevel="0" collapsed="false">
      <c r="A413" s="181" t="s">
        <v>1163</v>
      </c>
      <c r="B413" s="182" t="n">
        <v>1416</v>
      </c>
      <c r="C413" s="183" t="n">
        <v>77187</v>
      </c>
      <c r="D413" s="181" t="s">
        <v>3326</v>
      </c>
      <c r="E413" s="181" t="s">
        <v>300</v>
      </c>
      <c r="F413" s="181" t="s">
        <v>301</v>
      </c>
      <c r="G413" s="181" t="s">
        <v>226</v>
      </c>
      <c r="H413" s="181" t="s">
        <v>279</v>
      </c>
      <c r="I413" s="181" t="s">
        <v>230</v>
      </c>
      <c r="J413" s="267"/>
      <c r="K413" s="269" t="n">
        <v>45903</v>
      </c>
      <c r="L413" s="267" t="n">
        <v>1.8</v>
      </c>
      <c r="M413" s="184" t="s">
        <v>226</v>
      </c>
      <c r="N413" s="184" t="n">
        <v>45070</v>
      </c>
      <c r="O413" s="184" t="n">
        <v>20980</v>
      </c>
      <c r="P413" s="185" t="n">
        <v>16</v>
      </c>
      <c r="Q413" s="184" t="n">
        <v>24090</v>
      </c>
      <c r="R413" s="184" t="n">
        <v>20235.6</v>
      </c>
      <c r="S413" s="184" t="s">
        <v>1164</v>
      </c>
      <c r="T413" s="187" t="n">
        <v>45903</v>
      </c>
    </row>
    <row r="414" customFormat="false" ht="57.45" hidden="true" customHeight="false" outlineLevel="0" collapsed="false">
      <c r="A414" s="181" t="s">
        <v>1165</v>
      </c>
      <c r="B414" s="182" t="n">
        <v>1417</v>
      </c>
      <c r="C414" s="183" t="n">
        <v>77191</v>
      </c>
      <c r="D414" s="181" t="s">
        <v>3326</v>
      </c>
      <c r="E414" s="181" t="s">
        <v>308</v>
      </c>
      <c r="F414" s="181" t="s">
        <v>309</v>
      </c>
      <c r="G414" s="181" t="s">
        <v>226</v>
      </c>
      <c r="H414" s="181" t="s">
        <v>279</v>
      </c>
      <c r="I414" s="181" t="s">
        <v>230</v>
      </c>
      <c r="J414" s="267"/>
      <c r="K414" s="269" t="n">
        <v>45903</v>
      </c>
      <c r="L414" s="267" t="n">
        <v>1.7</v>
      </c>
      <c r="M414" s="184" t="s">
        <v>226</v>
      </c>
      <c r="N414" s="184" t="n">
        <v>46470</v>
      </c>
      <c r="O414" s="184" t="n">
        <v>24050</v>
      </c>
      <c r="P414" s="185" t="n">
        <v>21</v>
      </c>
      <c r="Q414" s="184" t="n">
        <v>22420</v>
      </c>
      <c r="R414" s="184" t="n">
        <v>17711.8</v>
      </c>
      <c r="S414" s="184" t="s">
        <v>1166</v>
      </c>
      <c r="T414" s="187" t="n">
        <v>45903</v>
      </c>
    </row>
    <row r="415" customFormat="false" ht="57.45" hidden="true" customHeight="false" outlineLevel="0" collapsed="false">
      <c r="A415" s="181" t="s">
        <v>1167</v>
      </c>
      <c r="B415" s="182" t="n">
        <v>1418</v>
      </c>
      <c r="C415" s="183" t="n">
        <v>77189</v>
      </c>
      <c r="D415" s="181" t="s">
        <v>3326</v>
      </c>
      <c r="E415" s="181" t="s">
        <v>304</v>
      </c>
      <c r="F415" s="181" t="s">
        <v>305</v>
      </c>
      <c r="G415" s="181" t="s">
        <v>226</v>
      </c>
      <c r="H415" s="181" t="s">
        <v>279</v>
      </c>
      <c r="I415" s="181" t="s">
        <v>230</v>
      </c>
      <c r="J415" s="267"/>
      <c r="K415" s="269" t="n">
        <v>45903</v>
      </c>
      <c r="L415" s="267" t="n">
        <v>1.7</v>
      </c>
      <c r="M415" s="184" t="s">
        <v>226</v>
      </c>
      <c r="N415" s="184" t="n">
        <v>38410</v>
      </c>
      <c r="O415" s="184" t="n">
        <v>14850</v>
      </c>
      <c r="P415" s="185" t="n">
        <v>14</v>
      </c>
      <c r="Q415" s="184" t="n">
        <v>23560</v>
      </c>
      <c r="R415" s="184" t="n">
        <v>20261.6</v>
      </c>
      <c r="S415" s="184" t="s">
        <v>1168</v>
      </c>
      <c r="T415" s="187" t="n">
        <v>45903</v>
      </c>
    </row>
    <row r="416" customFormat="false" ht="57.45" hidden="true" customHeight="false" outlineLevel="0" collapsed="false">
      <c r="A416" s="181" t="s">
        <v>1169</v>
      </c>
      <c r="B416" s="182" t="n">
        <v>1420</v>
      </c>
      <c r="C416" s="183" t="n">
        <v>77193</v>
      </c>
      <c r="D416" s="181" t="s">
        <v>3326</v>
      </c>
      <c r="E416" s="181" t="s">
        <v>545</v>
      </c>
      <c r="F416" s="181" t="s">
        <v>546</v>
      </c>
      <c r="G416" s="181" t="s">
        <v>226</v>
      </c>
      <c r="H416" s="181" t="s">
        <v>279</v>
      </c>
      <c r="I416" s="181" t="s">
        <v>230</v>
      </c>
      <c r="J416" s="267"/>
      <c r="K416" s="269" t="n">
        <v>45903</v>
      </c>
      <c r="L416" s="267" t="n">
        <v>2</v>
      </c>
      <c r="M416" s="184" t="s">
        <v>226</v>
      </c>
      <c r="N416" s="184" t="n">
        <v>42640</v>
      </c>
      <c r="O416" s="184" t="n">
        <v>16100</v>
      </c>
      <c r="P416" s="185" t="n">
        <v>11</v>
      </c>
      <c r="Q416" s="184" t="n">
        <v>26540</v>
      </c>
      <c r="R416" s="184" t="n">
        <v>23620.6</v>
      </c>
      <c r="S416" s="184" t="s">
        <v>1170</v>
      </c>
      <c r="T416" s="187" t="n">
        <v>45903</v>
      </c>
    </row>
    <row r="417" customFormat="false" ht="57.45" hidden="true" customHeight="false" outlineLevel="0" collapsed="false">
      <c r="A417" s="181" t="s">
        <v>1171</v>
      </c>
      <c r="B417" s="182" t="n">
        <v>1421</v>
      </c>
      <c r="C417" s="183" t="n">
        <v>77195</v>
      </c>
      <c r="D417" s="181" t="s">
        <v>3326</v>
      </c>
      <c r="E417" s="181" t="s">
        <v>537</v>
      </c>
      <c r="F417" s="181" t="s">
        <v>538</v>
      </c>
      <c r="G417" s="181" t="s">
        <v>226</v>
      </c>
      <c r="H417" s="181" t="s">
        <v>279</v>
      </c>
      <c r="I417" s="181" t="s">
        <v>230</v>
      </c>
      <c r="J417" s="267"/>
      <c r="K417" s="269" t="n">
        <v>45903</v>
      </c>
      <c r="L417" s="267" t="n">
        <v>1.6</v>
      </c>
      <c r="M417" s="184" t="s">
        <v>226</v>
      </c>
      <c r="N417" s="184" t="n">
        <v>36260</v>
      </c>
      <c r="O417" s="184" t="n">
        <v>13970</v>
      </c>
      <c r="P417" s="185" t="n">
        <v>10</v>
      </c>
      <c r="Q417" s="184" t="n">
        <v>22290</v>
      </c>
      <c r="R417" s="184" t="n">
        <v>20061</v>
      </c>
      <c r="S417" s="184" t="s">
        <v>1172</v>
      </c>
      <c r="T417" s="187" t="n">
        <v>45903</v>
      </c>
    </row>
    <row r="418" customFormat="false" ht="57.45" hidden="true" customHeight="false" outlineLevel="0" collapsed="false">
      <c r="A418" s="181" t="s">
        <v>1187</v>
      </c>
      <c r="B418" s="182" t="n">
        <v>1432</v>
      </c>
      <c r="C418" s="183" t="n">
        <v>77262</v>
      </c>
      <c r="D418" s="181" t="s">
        <v>3326</v>
      </c>
      <c r="E418" s="181" t="s">
        <v>439</v>
      </c>
      <c r="F418" s="181" t="s">
        <v>440</v>
      </c>
      <c r="G418" s="181" t="s">
        <v>226</v>
      </c>
      <c r="H418" s="181" t="s">
        <v>279</v>
      </c>
      <c r="I418" s="181" t="s">
        <v>230</v>
      </c>
      <c r="J418" s="267"/>
      <c r="K418" s="269" t="n">
        <v>45903</v>
      </c>
      <c r="L418" s="267" t="n">
        <v>0.8</v>
      </c>
      <c r="M418" s="184" t="s">
        <v>226</v>
      </c>
      <c r="N418" s="184" t="n">
        <v>21410</v>
      </c>
      <c r="O418" s="184" t="n">
        <v>10720</v>
      </c>
      <c r="P418" s="185" t="n">
        <v>6</v>
      </c>
      <c r="Q418" s="184" t="n">
        <v>10690</v>
      </c>
      <c r="R418" s="184" t="n">
        <v>10048.6</v>
      </c>
      <c r="S418" s="184" t="s">
        <v>1188</v>
      </c>
      <c r="T418" s="187" t="n">
        <v>45904</v>
      </c>
    </row>
    <row r="419" customFormat="false" ht="57.45" hidden="true" customHeight="false" outlineLevel="0" collapsed="false">
      <c r="A419" s="181" t="s">
        <v>1173</v>
      </c>
      <c r="B419" s="182" t="n">
        <v>1422</v>
      </c>
      <c r="C419" s="183" t="n">
        <v>77199</v>
      </c>
      <c r="D419" s="181" t="s">
        <v>3326</v>
      </c>
      <c r="E419" s="181" t="s">
        <v>533</v>
      </c>
      <c r="F419" s="181" t="s">
        <v>534</v>
      </c>
      <c r="G419" s="181" t="s">
        <v>226</v>
      </c>
      <c r="H419" s="181" t="s">
        <v>279</v>
      </c>
      <c r="I419" s="181" t="s">
        <v>230</v>
      </c>
      <c r="J419" s="267"/>
      <c r="K419" s="269" t="n">
        <v>45903</v>
      </c>
      <c r="L419" s="267" t="n">
        <v>1.9</v>
      </c>
      <c r="M419" s="184" t="s">
        <v>226</v>
      </c>
      <c r="N419" s="184" t="n">
        <v>39940</v>
      </c>
      <c r="O419" s="184" t="n">
        <v>14610</v>
      </c>
      <c r="P419" s="185" t="n">
        <v>17</v>
      </c>
      <c r="Q419" s="184" t="n">
        <v>25330</v>
      </c>
      <c r="R419" s="184" t="n">
        <v>21023.9</v>
      </c>
      <c r="S419" s="184" t="s">
        <v>1174</v>
      </c>
      <c r="T419" s="187" t="n">
        <v>45903</v>
      </c>
    </row>
    <row r="420" customFormat="false" ht="57.45" hidden="true" customHeight="false" outlineLevel="0" collapsed="false">
      <c r="A420" s="181" t="s">
        <v>1185</v>
      </c>
      <c r="B420" s="182" t="n">
        <v>1431</v>
      </c>
      <c r="C420" s="183" t="n">
        <v>77247</v>
      </c>
      <c r="D420" s="181" t="s">
        <v>3326</v>
      </c>
      <c r="E420" s="181" t="s">
        <v>582</v>
      </c>
      <c r="F420" s="181" t="s">
        <v>583</v>
      </c>
      <c r="G420" s="181" t="s">
        <v>226</v>
      </c>
      <c r="H420" s="181" t="s">
        <v>279</v>
      </c>
      <c r="I420" s="181" t="s">
        <v>230</v>
      </c>
      <c r="J420" s="267"/>
      <c r="K420" s="269" t="n">
        <v>45903</v>
      </c>
      <c r="L420" s="267" t="n">
        <v>1.7</v>
      </c>
      <c r="M420" s="184" t="s">
        <v>226</v>
      </c>
      <c r="N420" s="184" t="n">
        <v>37890</v>
      </c>
      <c r="O420" s="184" t="n">
        <v>14660</v>
      </c>
      <c r="P420" s="185" t="n">
        <v>7</v>
      </c>
      <c r="Q420" s="184" t="n">
        <v>23230</v>
      </c>
      <c r="R420" s="184" t="n">
        <v>21603.9</v>
      </c>
      <c r="S420" s="184" t="s">
        <v>1186</v>
      </c>
      <c r="T420" s="187" t="n">
        <v>45904</v>
      </c>
    </row>
    <row r="421" customFormat="false" ht="57.45" hidden="true" customHeight="false" outlineLevel="0" collapsed="false">
      <c r="A421" s="181" t="s">
        <v>1183</v>
      </c>
      <c r="B421" s="182" t="n">
        <v>1429</v>
      </c>
      <c r="C421" s="183" t="n">
        <v>77245</v>
      </c>
      <c r="D421" s="181" t="s">
        <v>3326</v>
      </c>
      <c r="E421" s="181" t="s">
        <v>272</v>
      </c>
      <c r="F421" s="181" t="s">
        <v>273</v>
      </c>
      <c r="G421" s="181" t="s">
        <v>226</v>
      </c>
      <c r="H421" s="181" t="s">
        <v>279</v>
      </c>
      <c r="I421" s="181" t="s">
        <v>230</v>
      </c>
      <c r="J421" s="267"/>
      <c r="K421" s="269" t="n">
        <v>45903</v>
      </c>
      <c r="L421" s="267" t="n">
        <v>1.7</v>
      </c>
      <c r="M421" s="184" t="s">
        <v>226</v>
      </c>
      <c r="N421" s="184" t="n">
        <v>39270</v>
      </c>
      <c r="O421" s="184" t="n">
        <v>15580</v>
      </c>
      <c r="P421" s="185" t="n">
        <v>5</v>
      </c>
      <c r="Q421" s="184" t="n">
        <v>23690</v>
      </c>
      <c r="R421" s="184" t="n">
        <v>22506</v>
      </c>
      <c r="S421" s="184" t="s">
        <v>1184</v>
      </c>
      <c r="T421" s="187" t="n">
        <v>45904</v>
      </c>
    </row>
    <row r="422" customFormat="false" ht="57.45" hidden="true" customHeight="false" outlineLevel="0" collapsed="false">
      <c r="A422" s="181" t="s">
        <v>1175</v>
      </c>
      <c r="B422" s="182" t="n">
        <v>1423</v>
      </c>
      <c r="C422" s="183" t="n">
        <v>77197</v>
      </c>
      <c r="D422" s="181" t="s">
        <v>3326</v>
      </c>
      <c r="E422" s="181" t="s">
        <v>549</v>
      </c>
      <c r="F422" s="181" t="s">
        <v>550</v>
      </c>
      <c r="G422" s="181" t="s">
        <v>226</v>
      </c>
      <c r="H422" s="181" t="s">
        <v>279</v>
      </c>
      <c r="I422" s="181" t="s">
        <v>230</v>
      </c>
      <c r="J422" s="267"/>
      <c r="K422" s="269" t="n">
        <v>45903</v>
      </c>
      <c r="L422" s="267" t="n">
        <v>2</v>
      </c>
      <c r="M422" s="184" t="s">
        <v>226</v>
      </c>
      <c r="N422" s="184" t="n">
        <v>42970</v>
      </c>
      <c r="O422" s="184" t="n">
        <v>15890</v>
      </c>
      <c r="P422" s="185" t="n">
        <v>17</v>
      </c>
      <c r="Q422" s="184" t="n">
        <v>27080</v>
      </c>
      <c r="R422" s="184" t="n">
        <v>22476.4</v>
      </c>
      <c r="S422" s="184" t="s">
        <v>1176</v>
      </c>
      <c r="T422" s="187" t="n">
        <v>45904</v>
      </c>
    </row>
    <row r="423" customFormat="false" ht="57.45" hidden="true" customHeight="false" outlineLevel="0" collapsed="false">
      <c r="A423" s="181" t="s">
        <v>1181</v>
      </c>
      <c r="B423" s="182" t="n">
        <v>1426</v>
      </c>
      <c r="C423" s="183" t="n">
        <v>77237</v>
      </c>
      <c r="D423" s="181" t="s">
        <v>3326</v>
      </c>
      <c r="E423" s="181" t="s">
        <v>296</v>
      </c>
      <c r="F423" s="181" t="s">
        <v>297</v>
      </c>
      <c r="G423" s="181" t="s">
        <v>226</v>
      </c>
      <c r="H423" s="181" t="s">
        <v>279</v>
      </c>
      <c r="I423" s="181" t="s">
        <v>230</v>
      </c>
      <c r="J423" s="267"/>
      <c r="K423" s="269" t="n">
        <v>45903</v>
      </c>
      <c r="L423" s="267" t="n">
        <v>1.8</v>
      </c>
      <c r="M423" s="184" t="s">
        <v>226</v>
      </c>
      <c r="N423" s="184" t="n">
        <v>40090</v>
      </c>
      <c r="O423" s="184" t="n">
        <v>15360</v>
      </c>
      <c r="P423" s="185" t="n">
        <v>9</v>
      </c>
      <c r="Q423" s="184" t="n">
        <v>24730</v>
      </c>
      <c r="R423" s="184" t="n">
        <v>22504.3</v>
      </c>
      <c r="S423" s="184" t="s">
        <v>1182</v>
      </c>
      <c r="T423" s="187" t="n">
        <v>45904</v>
      </c>
    </row>
    <row r="424" customFormat="false" ht="57.45" hidden="true" customHeight="false" outlineLevel="0" collapsed="false">
      <c r="A424" s="181" t="s">
        <v>1179</v>
      </c>
      <c r="B424" s="182" t="n">
        <v>1425</v>
      </c>
      <c r="C424" s="183" t="n">
        <v>77235</v>
      </c>
      <c r="D424" s="181" t="s">
        <v>3326</v>
      </c>
      <c r="E424" s="181" t="s">
        <v>266</v>
      </c>
      <c r="F424" s="181" t="s">
        <v>267</v>
      </c>
      <c r="G424" s="181" t="s">
        <v>226</v>
      </c>
      <c r="H424" s="181" t="s">
        <v>279</v>
      </c>
      <c r="I424" s="181" t="s">
        <v>230</v>
      </c>
      <c r="J424" s="267"/>
      <c r="K424" s="269" t="n">
        <v>45903</v>
      </c>
      <c r="L424" s="267" t="n">
        <v>1.8</v>
      </c>
      <c r="M424" s="184" t="s">
        <v>226</v>
      </c>
      <c r="N424" s="184" t="n">
        <v>39210</v>
      </c>
      <c r="O424" s="184" t="n">
        <v>14870</v>
      </c>
      <c r="P424" s="185" t="n">
        <v>15</v>
      </c>
      <c r="Q424" s="184" t="n">
        <v>24340</v>
      </c>
      <c r="R424" s="184" t="n">
        <v>20689</v>
      </c>
      <c r="S424" s="184" t="s">
        <v>1180</v>
      </c>
      <c r="T424" s="187" t="n">
        <v>45904</v>
      </c>
    </row>
    <row r="425" customFormat="false" ht="57.45" hidden="true" customHeight="false" outlineLevel="0" collapsed="false">
      <c r="A425" s="181" t="s">
        <v>1177</v>
      </c>
      <c r="B425" s="182" t="n">
        <v>1424</v>
      </c>
      <c r="C425" s="183" t="n">
        <v>77201</v>
      </c>
      <c r="D425" s="181" t="s">
        <v>3326</v>
      </c>
      <c r="E425" s="181" t="s">
        <v>541</v>
      </c>
      <c r="F425" s="181" t="s">
        <v>542</v>
      </c>
      <c r="G425" s="181" t="s">
        <v>226</v>
      </c>
      <c r="H425" s="181" t="s">
        <v>279</v>
      </c>
      <c r="I425" s="181" t="s">
        <v>230</v>
      </c>
      <c r="J425" s="267"/>
      <c r="K425" s="269" t="n">
        <v>45903</v>
      </c>
      <c r="L425" s="267" t="n">
        <v>1.9</v>
      </c>
      <c r="M425" s="184" t="s">
        <v>226</v>
      </c>
      <c r="N425" s="184" t="n">
        <v>40780</v>
      </c>
      <c r="O425" s="184" t="n">
        <v>14930</v>
      </c>
      <c r="P425" s="185" t="n">
        <v>16</v>
      </c>
      <c r="Q425" s="184" t="n">
        <v>25850</v>
      </c>
      <c r="R425" s="184" t="n">
        <v>21714</v>
      </c>
      <c r="S425" s="184" t="s">
        <v>1178</v>
      </c>
      <c r="T425" s="187" t="n">
        <v>45904</v>
      </c>
    </row>
    <row r="426" customFormat="false" ht="46.25" hidden="true" customHeight="false" outlineLevel="0" collapsed="false">
      <c r="A426" s="181" t="s">
        <v>1210</v>
      </c>
      <c r="B426" s="182" t="n">
        <v>1446</v>
      </c>
      <c r="C426" s="183" t="n">
        <v>36971</v>
      </c>
      <c r="D426" s="181" t="s">
        <v>3327</v>
      </c>
      <c r="E426" s="181" t="s">
        <v>288</v>
      </c>
      <c r="F426" s="181" t="s">
        <v>289</v>
      </c>
      <c r="G426" s="181" t="s">
        <v>236</v>
      </c>
      <c r="H426" s="181" t="s">
        <v>279</v>
      </c>
      <c r="I426" s="181" t="s">
        <v>230</v>
      </c>
      <c r="J426" s="267"/>
      <c r="K426" s="269" t="n">
        <v>45904</v>
      </c>
      <c r="L426" s="267" t="n">
        <v>1.7</v>
      </c>
      <c r="M426" s="184" t="s">
        <v>236</v>
      </c>
      <c r="N426" s="184" t="n">
        <v>37710</v>
      </c>
      <c r="O426" s="184" t="n">
        <v>14560</v>
      </c>
      <c r="P426" s="185" t="n">
        <v>5</v>
      </c>
      <c r="Q426" s="184" t="n">
        <v>23150</v>
      </c>
      <c r="R426" s="184" t="n">
        <v>21992.5</v>
      </c>
      <c r="S426" s="184" t="s">
        <v>1211</v>
      </c>
      <c r="T426" s="187" t="n">
        <v>45905</v>
      </c>
    </row>
    <row r="427" customFormat="false" ht="46.25" hidden="true" customHeight="false" outlineLevel="0" collapsed="false">
      <c r="A427" s="181" t="s">
        <v>1212</v>
      </c>
      <c r="B427" s="182" t="n">
        <v>1447</v>
      </c>
      <c r="C427" s="183" t="n">
        <v>36973</v>
      </c>
      <c r="D427" s="181" t="s">
        <v>3327</v>
      </c>
      <c r="E427" s="181" t="s">
        <v>409</v>
      </c>
      <c r="F427" s="181" t="s">
        <v>410</v>
      </c>
      <c r="G427" s="181" t="s">
        <v>236</v>
      </c>
      <c r="H427" s="181" t="s">
        <v>279</v>
      </c>
      <c r="I427" s="181" t="s">
        <v>230</v>
      </c>
      <c r="J427" s="267"/>
      <c r="K427" s="269" t="n">
        <v>45904</v>
      </c>
      <c r="L427" s="267" t="n">
        <v>2.2</v>
      </c>
      <c r="M427" s="184" t="s">
        <v>236</v>
      </c>
      <c r="N427" s="184" t="n">
        <v>54310</v>
      </c>
      <c r="O427" s="184" t="n">
        <v>24080</v>
      </c>
      <c r="P427" s="185" t="n">
        <v>8</v>
      </c>
      <c r="Q427" s="184" t="n">
        <v>30230</v>
      </c>
      <c r="R427" s="184" t="n">
        <v>27811.6</v>
      </c>
      <c r="S427" s="184" t="s">
        <v>1213</v>
      </c>
      <c r="T427" s="187" t="n">
        <v>45905</v>
      </c>
    </row>
    <row r="428" customFormat="false" ht="46.25" hidden="true" customHeight="false" outlineLevel="0" collapsed="false">
      <c r="A428" s="181" t="s">
        <v>1214</v>
      </c>
      <c r="B428" s="182" t="n">
        <v>1448</v>
      </c>
      <c r="C428" s="183" t="n">
        <v>36975</v>
      </c>
      <c r="D428" s="181" t="s">
        <v>3327</v>
      </c>
      <c r="E428" s="181" t="s">
        <v>413</v>
      </c>
      <c r="F428" s="181" t="s">
        <v>414</v>
      </c>
      <c r="G428" s="181" t="s">
        <v>236</v>
      </c>
      <c r="H428" s="181" t="s">
        <v>279</v>
      </c>
      <c r="I428" s="181" t="s">
        <v>230</v>
      </c>
      <c r="J428" s="267"/>
      <c r="K428" s="269" t="n">
        <v>45904</v>
      </c>
      <c r="L428" s="267" t="n">
        <v>2.1</v>
      </c>
      <c r="M428" s="184" t="s">
        <v>236</v>
      </c>
      <c r="N428" s="184" t="n">
        <v>43750</v>
      </c>
      <c r="O428" s="184" t="n">
        <v>15540</v>
      </c>
      <c r="P428" s="185" t="n">
        <v>10</v>
      </c>
      <c r="Q428" s="184" t="n">
        <v>28210</v>
      </c>
      <c r="R428" s="184" t="n">
        <v>25389</v>
      </c>
      <c r="S428" s="184" t="s">
        <v>1215</v>
      </c>
      <c r="T428" s="187" t="n">
        <v>45905</v>
      </c>
    </row>
    <row r="429" customFormat="false" ht="46.25" hidden="true" customHeight="false" outlineLevel="0" collapsed="false">
      <c r="A429" s="181" t="s">
        <v>1216</v>
      </c>
      <c r="B429" s="182" t="n">
        <v>1449</v>
      </c>
      <c r="C429" s="183" t="n">
        <v>36967</v>
      </c>
      <c r="D429" s="181" t="s">
        <v>3327</v>
      </c>
      <c r="E429" s="181" t="s">
        <v>537</v>
      </c>
      <c r="F429" s="181" t="s">
        <v>538</v>
      </c>
      <c r="G429" s="181" t="s">
        <v>236</v>
      </c>
      <c r="H429" s="181" t="s">
        <v>279</v>
      </c>
      <c r="I429" s="181" t="s">
        <v>230</v>
      </c>
      <c r="J429" s="267"/>
      <c r="K429" s="269" t="n">
        <v>45904</v>
      </c>
      <c r="L429" s="267" t="n">
        <v>1.6</v>
      </c>
      <c r="M429" s="184" t="s">
        <v>236</v>
      </c>
      <c r="N429" s="184" t="n">
        <v>35210</v>
      </c>
      <c r="O429" s="184" t="n">
        <v>13910</v>
      </c>
      <c r="P429" s="185" t="n">
        <v>11</v>
      </c>
      <c r="Q429" s="184" t="n">
        <v>21300</v>
      </c>
      <c r="R429" s="184" t="n">
        <v>18957</v>
      </c>
      <c r="S429" s="184" t="s">
        <v>1217</v>
      </c>
      <c r="T429" s="187" t="n">
        <v>45905</v>
      </c>
    </row>
    <row r="430" customFormat="false" ht="46.25" hidden="true" customHeight="false" outlineLevel="0" collapsed="false">
      <c r="A430" s="181" t="s">
        <v>1218</v>
      </c>
      <c r="B430" s="182" t="n">
        <v>1452</v>
      </c>
      <c r="C430" s="183" t="n">
        <v>36957</v>
      </c>
      <c r="D430" s="181" t="s">
        <v>3327</v>
      </c>
      <c r="E430" s="181" t="s">
        <v>435</v>
      </c>
      <c r="F430" s="181" t="s">
        <v>436</v>
      </c>
      <c r="G430" s="181" t="s">
        <v>236</v>
      </c>
      <c r="H430" s="181" t="s">
        <v>279</v>
      </c>
      <c r="I430" s="181" t="s">
        <v>230</v>
      </c>
      <c r="J430" s="267"/>
      <c r="K430" s="269" t="n">
        <v>45905</v>
      </c>
      <c r="L430" s="267" t="n">
        <v>0.5</v>
      </c>
      <c r="M430" s="184" t="s">
        <v>236</v>
      </c>
      <c r="N430" s="184" t="n">
        <v>38410</v>
      </c>
      <c r="O430" s="184" t="n">
        <v>16270</v>
      </c>
      <c r="P430" s="185" t="n">
        <v>12</v>
      </c>
      <c r="Q430" s="184" t="n">
        <v>22140</v>
      </c>
      <c r="R430" s="184" t="n">
        <v>19483.2</v>
      </c>
      <c r="S430" s="184" t="s">
        <v>1219</v>
      </c>
      <c r="T430" s="187" t="n">
        <v>45905</v>
      </c>
    </row>
    <row r="431" customFormat="false" ht="46.25" hidden="true" customHeight="false" outlineLevel="0" collapsed="false">
      <c r="A431" s="181" t="s">
        <v>1220</v>
      </c>
      <c r="B431" s="182" t="n">
        <v>1454</v>
      </c>
      <c r="C431" s="183" t="n">
        <v>58695</v>
      </c>
      <c r="D431" s="181" t="s">
        <v>3327</v>
      </c>
      <c r="E431" s="181" t="s">
        <v>399</v>
      </c>
      <c r="F431" s="181" t="s">
        <v>400</v>
      </c>
      <c r="G431" s="181" t="s">
        <v>236</v>
      </c>
      <c r="H431" s="181" t="s">
        <v>279</v>
      </c>
      <c r="I431" s="181" t="s">
        <v>230</v>
      </c>
      <c r="J431" s="267"/>
      <c r="K431" s="269" t="n">
        <v>45905</v>
      </c>
      <c r="L431" s="267" t="n">
        <v>0.7</v>
      </c>
      <c r="M431" s="184" t="s">
        <v>236</v>
      </c>
      <c r="N431" s="184" t="n">
        <v>50040</v>
      </c>
      <c r="O431" s="184" t="n">
        <v>19260</v>
      </c>
      <c r="P431" s="185" t="n">
        <v>8</v>
      </c>
      <c r="Q431" s="184" t="n">
        <v>30780</v>
      </c>
      <c r="R431" s="184" t="n">
        <v>28317.6</v>
      </c>
      <c r="S431" s="184" t="s">
        <v>1221</v>
      </c>
      <c r="T431" s="187" t="n">
        <v>45905</v>
      </c>
    </row>
    <row r="432" customFormat="false" ht="46.25" hidden="true" customHeight="false" outlineLevel="0" collapsed="false">
      <c r="A432" s="181" t="s">
        <v>1222</v>
      </c>
      <c r="B432" s="182" t="n">
        <v>1455</v>
      </c>
      <c r="C432" s="183" t="n">
        <v>58640</v>
      </c>
      <c r="D432" s="181" t="s">
        <v>3327</v>
      </c>
      <c r="E432" s="181" t="s">
        <v>354</v>
      </c>
      <c r="F432" s="181" t="s">
        <v>355</v>
      </c>
      <c r="G432" s="181" t="s">
        <v>236</v>
      </c>
      <c r="H432" s="181" t="s">
        <v>279</v>
      </c>
      <c r="I432" s="181" t="s">
        <v>230</v>
      </c>
      <c r="J432" s="267"/>
      <c r="K432" s="269" t="n">
        <v>45904</v>
      </c>
      <c r="L432" s="267" t="n">
        <v>1.7</v>
      </c>
      <c r="M432" s="184" t="s">
        <v>236</v>
      </c>
      <c r="N432" s="184" t="n">
        <v>38320</v>
      </c>
      <c r="O432" s="184" t="n">
        <v>14660</v>
      </c>
      <c r="P432" s="185" t="n">
        <v>14</v>
      </c>
      <c r="Q432" s="184" t="n">
        <v>23660</v>
      </c>
      <c r="R432" s="184" t="n">
        <v>20347.6</v>
      </c>
      <c r="S432" s="184" t="s">
        <v>1223</v>
      </c>
      <c r="T432" s="187" t="n">
        <v>45905</v>
      </c>
    </row>
    <row r="433" customFormat="false" ht="46.25" hidden="true" customHeight="false" outlineLevel="0" collapsed="false">
      <c r="A433" s="181" t="s">
        <v>1224</v>
      </c>
      <c r="B433" s="182" t="n">
        <v>1456</v>
      </c>
      <c r="C433" s="183" t="n">
        <v>58642</v>
      </c>
      <c r="D433" s="181" t="s">
        <v>3327</v>
      </c>
      <c r="E433" s="181" t="s">
        <v>359</v>
      </c>
      <c r="F433" s="181" t="s">
        <v>360</v>
      </c>
      <c r="G433" s="181" t="s">
        <v>236</v>
      </c>
      <c r="H433" s="181" t="s">
        <v>279</v>
      </c>
      <c r="I433" s="181" t="s">
        <v>230</v>
      </c>
      <c r="J433" s="267"/>
      <c r="K433" s="269" t="n">
        <v>45904</v>
      </c>
      <c r="L433" s="267" t="n">
        <v>1.6</v>
      </c>
      <c r="M433" s="184" t="s">
        <v>236</v>
      </c>
      <c r="N433" s="184" t="n">
        <v>36840</v>
      </c>
      <c r="O433" s="184" t="n">
        <v>14820</v>
      </c>
      <c r="P433" s="185" t="n">
        <v>7</v>
      </c>
      <c r="Q433" s="184" t="n">
        <v>22020</v>
      </c>
      <c r="R433" s="184" t="n">
        <v>20478.6</v>
      </c>
      <c r="S433" s="184" t="s">
        <v>1225</v>
      </c>
      <c r="T433" s="187" t="n">
        <v>45905</v>
      </c>
    </row>
    <row r="434" customFormat="false" ht="46.25" hidden="true" customHeight="false" outlineLevel="0" collapsed="false">
      <c r="A434" s="181" t="s">
        <v>1228</v>
      </c>
      <c r="B434" s="182" t="n">
        <v>1458</v>
      </c>
      <c r="C434" s="183" t="n">
        <v>36985</v>
      </c>
      <c r="D434" s="181" t="s">
        <v>3327</v>
      </c>
      <c r="E434" s="181" t="s">
        <v>1053</v>
      </c>
      <c r="F434" s="181" t="s">
        <v>337</v>
      </c>
      <c r="G434" s="181" t="s">
        <v>236</v>
      </c>
      <c r="H434" s="181" t="s">
        <v>279</v>
      </c>
      <c r="I434" s="181" t="s">
        <v>230</v>
      </c>
      <c r="J434" s="267"/>
      <c r="K434" s="269" t="n">
        <v>45904</v>
      </c>
      <c r="L434" s="267" t="n">
        <v>1.6</v>
      </c>
      <c r="M434" s="184" t="s">
        <v>236</v>
      </c>
      <c r="N434" s="184" t="n">
        <v>36040</v>
      </c>
      <c r="O434" s="184" t="n">
        <v>14480</v>
      </c>
      <c r="P434" s="185" t="n">
        <v>14</v>
      </c>
      <c r="Q434" s="184" t="n">
        <v>21560</v>
      </c>
      <c r="R434" s="184" t="n">
        <v>18541.6</v>
      </c>
      <c r="S434" s="184" t="s">
        <v>1229</v>
      </c>
      <c r="T434" s="187" t="n">
        <v>45905</v>
      </c>
    </row>
    <row r="435" customFormat="false" ht="46.25" hidden="true" customHeight="false" outlineLevel="0" collapsed="false">
      <c r="A435" s="181" t="s">
        <v>1230</v>
      </c>
      <c r="B435" s="182" t="n">
        <v>1459</v>
      </c>
      <c r="C435" s="183" t="n">
        <v>36987</v>
      </c>
      <c r="D435" s="181" t="s">
        <v>3327</v>
      </c>
      <c r="E435" s="181" t="s">
        <v>308</v>
      </c>
      <c r="F435" s="181" t="s">
        <v>309</v>
      </c>
      <c r="G435" s="181" t="s">
        <v>236</v>
      </c>
      <c r="H435" s="181" t="s">
        <v>279</v>
      </c>
      <c r="I435" s="181" t="s">
        <v>230</v>
      </c>
      <c r="J435" s="267"/>
      <c r="K435" s="269" t="n">
        <v>45905</v>
      </c>
      <c r="L435" s="267" t="n">
        <v>0.5</v>
      </c>
      <c r="M435" s="184" t="s">
        <v>236</v>
      </c>
      <c r="N435" s="184" t="n">
        <v>47260</v>
      </c>
      <c r="O435" s="184" t="n">
        <v>23990</v>
      </c>
      <c r="P435" s="185" t="n">
        <v>19</v>
      </c>
      <c r="Q435" s="184" t="n">
        <v>23270</v>
      </c>
      <c r="R435" s="184" t="n">
        <v>18848.7</v>
      </c>
      <c r="S435" s="184" t="s">
        <v>1231</v>
      </c>
      <c r="T435" s="187" t="n">
        <v>45905</v>
      </c>
    </row>
    <row r="436" customFormat="false" ht="46.25" hidden="true" customHeight="false" outlineLevel="0" collapsed="false">
      <c r="A436" s="181" t="s">
        <v>1232</v>
      </c>
      <c r="B436" s="182" t="n">
        <v>1460</v>
      </c>
      <c r="C436" s="183" t="n">
        <v>36989</v>
      </c>
      <c r="D436" s="181" t="s">
        <v>3327</v>
      </c>
      <c r="E436" s="181" t="s">
        <v>304</v>
      </c>
      <c r="F436" s="181" t="s">
        <v>305</v>
      </c>
      <c r="G436" s="181" t="s">
        <v>236</v>
      </c>
      <c r="H436" s="181" t="s">
        <v>279</v>
      </c>
      <c r="I436" s="181" t="s">
        <v>230</v>
      </c>
      <c r="J436" s="267"/>
      <c r="K436" s="269" t="n">
        <v>45905</v>
      </c>
      <c r="L436" s="267" t="n">
        <v>0.5</v>
      </c>
      <c r="M436" s="184" t="s">
        <v>236</v>
      </c>
      <c r="N436" s="184" t="n">
        <v>37430</v>
      </c>
      <c r="O436" s="184" t="n">
        <v>14840</v>
      </c>
      <c r="P436" s="185" t="n">
        <v>11</v>
      </c>
      <c r="Q436" s="184" t="n">
        <v>22590</v>
      </c>
      <c r="R436" s="184" t="n">
        <v>20105.1</v>
      </c>
      <c r="S436" s="184" t="s">
        <v>1233</v>
      </c>
      <c r="T436" s="187" t="n">
        <v>45905</v>
      </c>
    </row>
    <row r="437" customFormat="false" ht="46.25" hidden="true" customHeight="false" outlineLevel="0" collapsed="false">
      <c r="A437" s="181" t="s">
        <v>1234</v>
      </c>
      <c r="B437" s="182" t="n">
        <v>1462</v>
      </c>
      <c r="C437" s="183" t="n">
        <v>36991</v>
      </c>
      <c r="D437" s="181" t="s">
        <v>3327</v>
      </c>
      <c r="E437" s="181" t="s">
        <v>300</v>
      </c>
      <c r="F437" s="181" t="s">
        <v>301</v>
      </c>
      <c r="G437" s="181" t="s">
        <v>236</v>
      </c>
      <c r="H437" s="181" t="s">
        <v>279</v>
      </c>
      <c r="I437" s="181" t="s">
        <v>230</v>
      </c>
      <c r="J437" s="267"/>
      <c r="K437" s="269" t="n">
        <v>45905</v>
      </c>
      <c r="L437" s="267" t="n">
        <v>0.7</v>
      </c>
      <c r="M437" s="184" t="s">
        <v>236</v>
      </c>
      <c r="N437" s="184" t="n">
        <v>51650</v>
      </c>
      <c r="O437" s="184" t="n">
        <v>20960</v>
      </c>
      <c r="P437" s="185" t="n">
        <v>5</v>
      </c>
      <c r="Q437" s="184" t="n">
        <v>30690</v>
      </c>
      <c r="R437" s="184" t="n">
        <v>29155.5</v>
      </c>
      <c r="S437" s="184" t="s">
        <v>1235</v>
      </c>
      <c r="T437" s="187" t="n">
        <v>45905</v>
      </c>
    </row>
    <row r="438" customFormat="false" ht="46.25" hidden="true" customHeight="false" outlineLevel="0" collapsed="false">
      <c r="A438" s="181" t="s">
        <v>1236</v>
      </c>
      <c r="B438" s="182" t="n">
        <v>1463</v>
      </c>
      <c r="C438" s="183" t="n">
        <v>36993</v>
      </c>
      <c r="D438" s="181" t="s">
        <v>3327</v>
      </c>
      <c r="E438" s="181" t="s">
        <v>383</v>
      </c>
      <c r="F438" s="181" t="s">
        <v>384</v>
      </c>
      <c r="G438" s="181" t="s">
        <v>236</v>
      </c>
      <c r="H438" s="181" t="s">
        <v>279</v>
      </c>
      <c r="I438" s="181" t="s">
        <v>230</v>
      </c>
      <c r="J438" s="267"/>
      <c r="K438" s="269" t="n">
        <v>45905</v>
      </c>
      <c r="L438" s="267" t="n">
        <v>0.5</v>
      </c>
      <c r="M438" s="184" t="s">
        <v>236</v>
      </c>
      <c r="N438" s="184" t="n">
        <v>39560</v>
      </c>
      <c r="O438" s="184" t="n">
        <v>14810</v>
      </c>
      <c r="P438" s="185" t="n">
        <v>8</v>
      </c>
      <c r="Q438" s="184" t="n">
        <v>24750</v>
      </c>
      <c r="R438" s="184" t="n">
        <v>22770</v>
      </c>
      <c r="S438" s="184" t="s">
        <v>1237</v>
      </c>
      <c r="T438" s="187" t="n">
        <v>45905</v>
      </c>
    </row>
    <row r="439" customFormat="false" ht="46.25" hidden="true" customHeight="false" outlineLevel="0" collapsed="false">
      <c r="A439" s="181" t="s">
        <v>1226</v>
      </c>
      <c r="B439" s="182" t="n">
        <v>1457</v>
      </c>
      <c r="C439" s="183" t="n">
        <v>36983</v>
      </c>
      <c r="D439" s="181" t="s">
        <v>3327</v>
      </c>
      <c r="E439" s="181" t="s">
        <v>340</v>
      </c>
      <c r="F439" s="181" t="s">
        <v>341</v>
      </c>
      <c r="G439" s="181" t="s">
        <v>236</v>
      </c>
      <c r="H439" s="181" t="s">
        <v>279</v>
      </c>
      <c r="I439" s="181" t="s">
        <v>230</v>
      </c>
      <c r="J439" s="267"/>
      <c r="K439" s="269" t="n">
        <v>45904</v>
      </c>
      <c r="L439" s="267" t="n">
        <v>1.8</v>
      </c>
      <c r="M439" s="184" t="s">
        <v>236</v>
      </c>
      <c r="N439" s="184" t="n">
        <v>39030</v>
      </c>
      <c r="O439" s="184" t="n">
        <v>14990</v>
      </c>
      <c r="P439" s="185" t="n">
        <v>7</v>
      </c>
      <c r="Q439" s="184" t="n">
        <v>24040</v>
      </c>
      <c r="R439" s="184" t="n">
        <v>22357.2</v>
      </c>
      <c r="S439" s="184" t="s">
        <v>1227</v>
      </c>
      <c r="T439" s="187" t="n">
        <v>45905</v>
      </c>
    </row>
    <row r="440" customFormat="false" ht="46.25" hidden="true" customHeight="false" outlineLevel="0" collapsed="false">
      <c r="A440" s="181" t="s">
        <v>1238</v>
      </c>
      <c r="B440" s="182" t="n">
        <v>1464</v>
      </c>
      <c r="C440" s="183" t="n">
        <v>36995</v>
      </c>
      <c r="D440" s="181" t="s">
        <v>3327</v>
      </c>
      <c r="E440" s="181" t="s">
        <v>387</v>
      </c>
      <c r="F440" s="181" t="s">
        <v>388</v>
      </c>
      <c r="G440" s="181" t="s">
        <v>236</v>
      </c>
      <c r="H440" s="181" t="s">
        <v>279</v>
      </c>
      <c r="I440" s="181" t="s">
        <v>230</v>
      </c>
      <c r="J440" s="267"/>
      <c r="K440" s="269" t="n">
        <v>45905</v>
      </c>
      <c r="L440" s="267" t="n">
        <v>0.5</v>
      </c>
      <c r="M440" s="184" t="s">
        <v>236</v>
      </c>
      <c r="N440" s="184" t="n">
        <v>41610</v>
      </c>
      <c r="O440" s="184" t="n">
        <v>14950</v>
      </c>
      <c r="P440" s="185" t="n">
        <v>9</v>
      </c>
      <c r="Q440" s="184" t="n">
        <v>26660</v>
      </c>
      <c r="R440" s="184" t="n">
        <v>24260.6</v>
      </c>
      <c r="S440" s="184" t="s">
        <v>1239</v>
      </c>
      <c r="T440" s="187" t="n">
        <v>45905</v>
      </c>
    </row>
    <row r="441" customFormat="false" ht="46.25" hidden="true" customHeight="false" outlineLevel="0" collapsed="false">
      <c r="A441" s="181" t="s">
        <v>1240</v>
      </c>
      <c r="B441" s="182" t="n">
        <v>1468</v>
      </c>
      <c r="C441" s="183" t="n">
        <v>37137</v>
      </c>
      <c r="D441" s="181" t="s">
        <v>3327</v>
      </c>
      <c r="E441" s="181" t="s">
        <v>545</v>
      </c>
      <c r="F441" s="181" t="s">
        <v>546</v>
      </c>
      <c r="G441" s="181" t="s">
        <v>232</v>
      </c>
      <c r="H441" s="181" t="s">
        <v>279</v>
      </c>
      <c r="I441" s="181" t="s">
        <v>230</v>
      </c>
      <c r="J441" s="267"/>
      <c r="K441" s="269" t="n">
        <v>45907</v>
      </c>
      <c r="L441" s="267" t="n">
        <v>2</v>
      </c>
      <c r="M441" s="184" t="s">
        <v>232</v>
      </c>
      <c r="N441" s="184" t="n">
        <v>42420</v>
      </c>
      <c r="O441" s="184" t="n">
        <v>16040</v>
      </c>
      <c r="P441" s="185" t="n">
        <v>11</v>
      </c>
      <c r="Q441" s="184" t="n">
        <v>26380</v>
      </c>
      <c r="R441" s="184" t="n">
        <v>23478.2</v>
      </c>
      <c r="S441" s="184" t="s">
        <v>1241</v>
      </c>
      <c r="T441" s="187" t="n">
        <v>45907</v>
      </c>
    </row>
    <row r="442" customFormat="false" ht="46.25" hidden="true" customHeight="false" outlineLevel="0" collapsed="false">
      <c r="A442" s="181" t="s">
        <v>1242</v>
      </c>
      <c r="B442" s="182" t="n">
        <v>1469</v>
      </c>
      <c r="C442" s="183" t="n">
        <v>37139</v>
      </c>
      <c r="D442" s="181" t="s">
        <v>3327</v>
      </c>
      <c r="E442" s="181" t="s">
        <v>549</v>
      </c>
      <c r="F442" s="181" t="s">
        <v>550</v>
      </c>
      <c r="G442" s="181" t="s">
        <v>232</v>
      </c>
      <c r="H442" s="181" t="s">
        <v>279</v>
      </c>
      <c r="I442" s="181" t="s">
        <v>230</v>
      </c>
      <c r="J442" s="267"/>
      <c r="K442" s="269" t="n">
        <v>45907</v>
      </c>
      <c r="L442" s="267" t="n">
        <v>2</v>
      </c>
      <c r="M442" s="184" t="s">
        <v>232</v>
      </c>
      <c r="N442" s="184" t="n">
        <v>41610</v>
      </c>
      <c r="O442" s="184" t="n">
        <v>15860</v>
      </c>
      <c r="P442" s="185" t="n">
        <v>24</v>
      </c>
      <c r="Q442" s="184" t="n">
        <v>25750</v>
      </c>
      <c r="R442" s="184" t="n">
        <v>19570</v>
      </c>
      <c r="S442" s="184" t="s">
        <v>1243</v>
      </c>
      <c r="T442" s="187" t="n">
        <v>45907</v>
      </c>
    </row>
    <row r="443" customFormat="false" ht="46.25" hidden="true" customHeight="false" outlineLevel="0" collapsed="false">
      <c r="A443" s="181" t="s">
        <v>1244</v>
      </c>
      <c r="B443" s="182" t="n">
        <v>1470</v>
      </c>
      <c r="C443" s="183" t="n">
        <v>37141</v>
      </c>
      <c r="D443" s="181" t="s">
        <v>3327</v>
      </c>
      <c r="E443" s="181" t="s">
        <v>533</v>
      </c>
      <c r="F443" s="181" t="s">
        <v>534</v>
      </c>
      <c r="G443" s="181" t="s">
        <v>232</v>
      </c>
      <c r="H443" s="181" t="s">
        <v>279</v>
      </c>
      <c r="I443" s="181" t="s">
        <v>230</v>
      </c>
      <c r="J443" s="267"/>
      <c r="K443" s="269" t="n">
        <v>45907</v>
      </c>
      <c r="L443" s="267" t="n">
        <v>1.9</v>
      </c>
      <c r="M443" s="184" t="s">
        <v>232</v>
      </c>
      <c r="N443" s="184" t="n">
        <v>39610</v>
      </c>
      <c r="O443" s="184" t="n">
        <v>14530</v>
      </c>
      <c r="P443" s="185" t="n">
        <v>15</v>
      </c>
      <c r="Q443" s="184" t="n">
        <v>25080</v>
      </c>
      <c r="R443" s="184" t="n">
        <v>21318</v>
      </c>
      <c r="S443" s="184" t="s">
        <v>1245</v>
      </c>
      <c r="T443" s="187" t="n">
        <v>45907</v>
      </c>
    </row>
    <row r="444" customFormat="false" ht="46.25" hidden="true" customHeight="false" outlineLevel="0" collapsed="false">
      <c r="A444" s="181" t="s">
        <v>1246</v>
      </c>
      <c r="B444" s="182" t="n">
        <v>1471</v>
      </c>
      <c r="C444" s="183" t="n">
        <v>37143</v>
      </c>
      <c r="D444" s="181" t="s">
        <v>3327</v>
      </c>
      <c r="E444" s="181" t="s">
        <v>541</v>
      </c>
      <c r="F444" s="181" t="s">
        <v>542</v>
      </c>
      <c r="G444" s="181" t="s">
        <v>232</v>
      </c>
      <c r="H444" s="181" t="s">
        <v>279</v>
      </c>
      <c r="I444" s="181" t="s">
        <v>230</v>
      </c>
      <c r="J444" s="267"/>
      <c r="K444" s="269" t="n">
        <v>45907</v>
      </c>
      <c r="L444" s="267" t="n">
        <v>1.9</v>
      </c>
      <c r="M444" s="184" t="s">
        <v>232</v>
      </c>
      <c r="N444" s="184" t="n">
        <v>39580</v>
      </c>
      <c r="O444" s="184" t="n">
        <v>14880</v>
      </c>
      <c r="P444" s="185" t="n">
        <v>14</v>
      </c>
      <c r="Q444" s="184" t="n">
        <v>24700</v>
      </c>
      <c r="R444" s="184" t="n">
        <v>21242</v>
      </c>
      <c r="S444" s="184" t="s">
        <v>1247</v>
      </c>
      <c r="T444" s="187" t="n">
        <v>45908</v>
      </c>
    </row>
    <row r="445" customFormat="false" ht="46.25" hidden="true" customHeight="false" outlineLevel="0" collapsed="false">
      <c r="A445" s="181" t="s">
        <v>1248</v>
      </c>
      <c r="B445" s="182" t="n">
        <v>1472</v>
      </c>
      <c r="C445" s="183" t="n">
        <v>37149</v>
      </c>
      <c r="D445" s="181" t="s">
        <v>3327</v>
      </c>
      <c r="E445" s="181" t="s">
        <v>1027</v>
      </c>
      <c r="F445" s="181" t="s">
        <v>1028</v>
      </c>
      <c r="G445" s="181" t="s">
        <v>232</v>
      </c>
      <c r="H445" s="181" t="s">
        <v>279</v>
      </c>
      <c r="I445" s="181" t="s">
        <v>230</v>
      </c>
      <c r="J445" s="267"/>
      <c r="K445" s="269" t="n">
        <v>45907</v>
      </c>
      <c r="L445" s="267" t="n">
        <v>1.8</v>
      </c>
      <c r="M445" s="184" t="s">
        <v>232</v>
      </c>
      <c r="N445" s="184" t="n">
        <v>38850</v>
      </c>
      <c r="O445" s="184" t="n">
        <v>14940</v>
      </c>
      <c r="P445" s="185" t="n">
        <v>20</v>
      </c>
      <c r="Q445" s="184" t="n">
        <v>23910</v>
      </c>
      <c r="R445" s="184" t="n">
        <v>19128</v>
      </c>
      <c r="S445" s="184" t="s">
        <v>1249</v>
      </c>
      <c r="T445" s="187" t="n">
        <v>45908</v>
      </c>
    </row>
    <row r="446" customFormat="false" ht="46.25" hidden="true" customHeight="false" outlineLevel="0" collapsed="false">
      <c r="A446" s="181" t="s">
        <v>1250</v>
      </c>
      <c r="B446" s="182" t="n">
        <v>1473</v>
      </c>
      <c r="C446" s="183" t="n">
        <v>37145</v>
      </c>
      <c r="D446" s="181" t="s">
        <v>3327</v>
      </c>
      <c r="E446" s="181" t="s">
        <v>1019</v>
      </c>
      <c r="F446" s="181" t="s">
        <v>1020</v>
      </c>
      <c r="G446" s="181" t="s">
        <v>232</v>
      </c>
      <c r="H446" s="181" t="s">
        <v>279</v>
      </c>
      <c r="I446" s="181" t="s">
        <v>230</v>
      </c>
      <c r="J446" s="267"/>
      <c r="K446" s="269" t="n">
        <v>45907</v>
      </c>
      <c r="L446" s="267" t="n">
        <v>2</v>
      </c>
      <c r="M446" s="184" t="s">
        <v>232</v>
      </c>
      <c r="N446" s="184" t="n">
        <v>42930</v>
      </c>
      <c r="O446" s="184" t="n">
        <v>17090</v>
      </c>
      <c r="P446" s="185" t="n">
        <v>16</v>
      </c>
      <c r="Q446" s="184" t="n">
        <v>25840</v>
      </c>
      <c r="R446" s="184" t="n">
        <v>21705.6</v>
      </c>
      <c r="S446" s="184" t="s">
        <v>1251</v>
      </c>
      <c r="T446" s="187" t="n">
        <v>45908</v>
      </c>
    </row>
    <row r="447" customFormat="false" ht="46.25" hidden="true" customHeight="false" outlineLevel="0" collapsed="false">
      <c r="A447" s="181" t="s">
        <v>1252</v>
      </c>
      <c r="B447" s="182" t="n">
        <v>1474</v>
      </c>
      <c r="C447" s="183" t="n">
        <v>37147</v>
      </c>
      <c r="D447" s="181" t="s">
        <v>3327</v>
      </c>
      <c r="E447" s="181" t="s">
        <v>1023</v>
      </c>
      <c r="F447" s="181" t="s">
        <v>1024</v>
      </c>
      <c r="G447" s="181" t="s">
        <v>232</v>
      </c>
      <c r="H447" s="181" t="s">
        <v>279</v>
      </c>
      <c r="I447" s="181" t="s">
        <v>230</v>
      </c>
      <c r="J447" s="267"/>
      <c r="K447" s="269" t="n">
        <v>45907</v>
      </c>
      <c r="L447" s="267" t="n">
        <v>1.6</v>
      </c>
      <c r="M447" s="184" t="s">
        <v>232</v>
      </c>
      <c r="N447" s="184" t="n">
        <v>36570</v>
      </c>
      <c r="O447" s="184" t="n">
        <v>14800</v>
      </c>
      <c r="P447" s="185" t="n">
        <v>9</v>
      </c>
      <c r="Q447" s="184" t="n">
        <v>21770</v>
      </c>
      <c r="R447" s="184" t="n">
        <v>19810.7</v>
      </c>
      <c r="S447" s="184" t="s">
        <v>1253</v>
      </c>
      <c r="T447" s="187" t="n">
        <v>45908</v>
      </c>
    </row>
    <row r="448" customFormat="false" ht="46.25" hidden="true" customHeight="false" outlineLevel="0" collapsed="false">
      <c r="A448" s="181" t="s">
        <v>1254</v>
      </c>
      <c r="B448" s="182" t="n">
        <v>1475</v>
      </c>
      <c r="C448" s="183" t="n">
        <v>37153</v>
      </c>
      <c r="D448" s="181" t="s">
        <v>3327</v>
      </c>
      <c r="E448" s="181" t="s">
        <v>439</v>
      </c>
      <c r="F448" s="181" t="s">
        <v>440</v>
      </c>
      <c r="G448" s="181" t="s">
        <v>232</v>
      </c>
      <c r="H448" s="181" t="s">
        <v>279</v>
      </c>
      <c r="I448" s="181" t="s">
        <v>230</v>
      </c>
      <c r="J448" s="267"/>
      <c r="K448" s="269" t="n">
        <v>45907</v>
      </c>
      <c r="L448" s="267" t="n">
        <v>1.7</v>
      </c>
      <c r="M448" s="184" t="s">
        <v>232</v>
      </c>
      <c r="N448" s="184" t="n">
        <v>39260</v>
      </c>
      <c r="O448" s="184" t="n">
        <v>16260</v>
      </c>
      <c r="P448" s="185" t="n">
        <v>6</v>
      </c>
      <c r="Q448" s="184" t="n">
        <v>23000</v>
      </c>
      <c r="R448" s="184" t="n">
        <v>21620</v>
      </c>
      <c r="S448" s="184" t="s">
        <v>1255</v>
      </c>
      <c r="T448" s="187" t="n">
        <v>45908</v>
      </c>
    </row>
    <row r="449" customFormat="false" ht="46.25" hidden="true" customHeight="false" outlineLevel="0" collapsed="false">
      <c r="A449" s="181" t="s">
        <v>1256</v>
      </c>
      <c r="B449" s="182" t="n">
        <v>1476</v>
      </c>
      <c r="C449" s="183" t="n">
        <v>37155</v>
      </c>
      <c r="D449" s="181" t="s">
        <v>3327</v>
      </c>
      <c r="E449" s="181" t="s">
        <v>292</v>
      </c>
      <c r="F449" s="181" t="s">
        <v>293</v>
      </c>
      <c r="G449" s="181" t="s">
        <v>232</v>
      </c>
      <c r="H449" s="181" t="s">
        <v>279</v>
      </c>
      <c r="I449" s="181" t="s">
        <v>230</v>
      </c>
      <c r="J449" s="267"/>
      <c r="K449" s="269" t="n">
        <v>45907</v>
      </c>
      <c r="L449" s="267" t="n">
        <v>1.7</v>
      </c>
      <c r="M449" s="184" t="s">
        <v>232</v>
      </c>
      <c r="N449" s="184" t="n">
        <v>35730</v>
      </c>
      <c r="O449" s="184" t="n">
        <v>13880</v>
      </c>
      <c r="P449" s="185" t="n">
        <v>21</v>
      </c>
      <c r="Q449" s="184" t="n">
        <v>21850</v>
      </c>
      <c r="R449" s="184" t="n">
        <v>17261.5</v>
      </c>
      <c r="S449" s="184" t="s">
        <v>1257</v>
      </c>
      <c r="T449" s="187" t="n">
        <v>45908</v>
      </c>
    </row>
    <row r="450" customFormat="false" ht="46.25" hidden="true" customHeight="false" outlineLevel="0" collapsed="false">
      <c r="A450" s="181" t="s">
        <v>1258</v>
      </c>
      <c r="B450" s="182" t="n">
        <v>1477</v>
      </c>
      <c r="C450" s="183" t="n">
        <v>37151</v>
      </c>
      <c r="D450" s="181" t="s">
        <v>3327</v>
      </c>
      <c r="E450" s="181" t="s">
        <v>537</v>
      </c>
      <c r="F450" s="181" t="s">
        <v>538</v>
      </c>
      <c r="G450" s="181" t="s">
        <v>232</v>
      </c>
      <c r="H450" s="181" t="s">
        <v>279</v>
      </c>
      <c r="I450" s="181" t="s">
        <v>230</v>
      </c>
      <c r="J450" s="267"/>
      <c r="K450" s="269" t="n">
        <v>45907</v>
      </c>
      <c r="L450" s="267" t="n">
        <v>1.6</v>
      </c>
      <c r="M450" s="184" t="s">
        <v>232</v>
      </c>
      <c r="N450" s="184" t="n">
        <v>35690</v>
      </c>
      <c r="O450" s="184" t="n">
        <v>13930</v>
      </c>
      <c r="P450" s="185" t="n">
        <v>15</v>
      </c>
      <c r="Q450" s="184" t="n">
        <v>21760</v>
      </c>
      <c r="R450" s="184" t="n">
        <v>18496</v>
      </c>
      <c r="S450" s="184" t="s">
        <v>1259</v>
      </c>
      <c r="T450" s="187" t="n">
        <v>45908</v>
      </c>
    </row>
    <row r="451" customFormat="false" ht="46.25" hidden="true" customHeight="false" outlineLevel="0" collapsed="false">
      <c r="A451" s="181" t="s">
        <v>1260</v>
      </c>
      <c r="B451" s="182" t="n">
        <v>1479</v>
      </c>
      <c r="C451" s="183" t="n">
        <v>37157</v>
      </c>
      <c r="D451" s="181" t="s">
        <v>3327</v>
      </c>
      <c r="E451" s="181" t="s">
        <v>277</v>
      </c>
      <c r="F451" s="181" t="s">
        <v>278</v>
      </c>
      <c r="G451" s="181" t="s">
        <v>232</v>
      </c>
      <c r="H451" s="181" t="s">
        <v>279</v>
      </c>
      <c r="I451" s="181" t="s">
        <v>230</v>
      </c>
      <c r="J451" s="267"/>
      <c r="K451" s="269" t="n">
        <v>45907</v>
      </c>
      <c r="L451" s="267" t="n">
        <v>2</v>
      </c>
      <c r="M451" s="184" t="s">
        <v>232</v>
      </c>
      <c r="N451" s="184" t="n">
        <v>41690</v>
      </c>
      <c r="O451" s="184" t="n">
        <v>15070</v>
      </c>
      <c r="P451" s="185" t="n">
        <v>16</v>
      </c>
      <c r="Q451" s="184" t="n">
        <v>26620</v>
      </c>
      <c r="R451" s="184" t="n">
        <v>22360.8</v>
      </c>
      <c r="S451" s="184" t="s">
        <v>1261</v>
      </c>
      <c r="T451" s="187" t="n">
        <v>45908</v>
      </c>
    </row>
    <row r="452" customFormat="false" ht="46.25" hidden="true" customHeight="false" outlineLevel="0" collapsed="false">
      <c r="A452" s="181" t="s">
        <v>1262</v>
      </c>
      <c r="B452" s="182" t="n">
        <v>1482</v>
      </c>
      <c r="C452" s="183" t="n">
        <v>37159</v>
      </c>
      <c r="D452" s="181" t="s">
        <v>3327</v>
      </c>
      <c r="E452" s="181" t="s">
        <v>431</v>
      </c>
      <c r="F452" s="181" t="s">
        <v>432</v>
      </c>
      <c r="G452" s="181" t="s">
        <v>232</v>
      </c>
      <c r="H452" s="181" t="s">
        <v>279</v>
      </c>
      <c r="I452" s="181" t="s">
        <v>230</v>
      </c>
      <c r="J452" s="267"/>
      <c r="K452" s="269" t="n">
        <v>45907</v>
      </c>
      <c r="L452" s="267" t="n">
        <v>1.8</v>
      </c>
      <c r="M452" s="184" t="s">
        <v>232</v>
      </c>
      <c r="N452" s="184" t="n">
        <v>40420</v>
      </c>
      <c r="O452" s="184" t="n">
        <v>16500</v>
      </c>
      <c r="P452" s="185" t="n">
        <v>12</v>
      </c>
      <c r="Q452" s="184" t="n">
        <v>23920</v>
      </c>
      <c r="R452" s="184" t="n">
        <v>21049.6</v>
      </c>
      <c r="S452" s="184" t="s">
        <v>1263</v>
      </c>
      <c r="T452" s="187" t="n">
        <v>45908</v>
      </c>
    </row>
    <row r="453" customFormat="false" ht="46.25" hidden="true" customHeight="false" outlineLevel="0" collapsed="false">
      <c r="A453" s="181" t="s">
        <v>1264</v>
      </c>
      <c r="B453" s="182" t="n">
        <v>1483</v>
      </c>
      <c r="C453" s="183" t="n">
        <v>37161</v>
      </c>
      <c r="D453" s="181" t="s">
        <v>3327</v>
      </c>
      <c r="E453" s="181" t="s">
        <v>435</v>
      </c>
      <c r="F453" s="181" t="s">
        <v>436</v>
      </c>
      <c r="G453" s="181" t="s">
        <v>232</v>
      </c>
      <c r="H453" s="181" t="s">
        <v>279</v>
      </c>
      <c r="I453" s="181" t="s">
        <v>230</v>
      </c>
      <c r="J453" s="267"/>
      <c r="K453" s="269" t="n">
        <v>45907</v>
      </c>
      <c r="L453" s="267" t="n">
        <v>1.7</v>
      </c>
      <c r="M453" s="184" t="s">
        <v>232</v>
      </c>
      <c r="N453" s="184" t="n">
        <v>38710</v>
      </c>
      <c r="O453" s="184" t="n">
        <v>16310</v>
      </c>
      <c r="P453" s="185" t="n">
        <v>19</v>
      </c>
      <c r="Q453" s="184" t="n">
        <v>22400</v>
      </c>
      <c r="R453" s="184" t="n">
        <v>18144</v>
      </c>
      <c r="S453" s="184" t="s">
        <v>1265</v>
      </c>
      <c r="T453" s="187" t="n">
        <v>45908</v>
      </c>
    </row>
    <row r="454" customFormat="false" ht="46.25" hidden="true" customHeight="false" outlineLevel="0" collapsed="false">
      <c r="A454" s="181" t="s">
        <v>1266</v>
      </c>
      <c r="B454" s="182" t="n">
        <v>1487</v>
      </c>
      <c r="C454" s="183" t="n">
        <v>37163</v>
      </c>
      <c r="D454" s="181" t="s">
        <v>3327</v>
      </c>
      <c r="E454" s="181" t="s">
        <v>261</v>
      </c>
      <c r="F454" s="181" t="s">
        <v>262</v>
      </c>
      <c r="G454" s="181" t="s">
        <v>232</v>
      </c>
      <c r="H454" s="181" t="s">
        <v>279</v>
      </c>
      <c r="I454" s="181" t="s">
        <v>230</v>
      </c>
      <c r="J454" s="267"/>
      <c r="K454" s="269" t="n">
        <v>45907</v>
      </c>
      <c r="L454" s="267" t="n">
        <v>1.8</v>
      </c>
      <c r="M454" s="184" t="s">
        <v>232</v>
      </c>
      <c r="N454" s="184" t="n">
        <v>38340</v>
      </c>
      <c r="O454" s="184" t="n">
        <v>15030</v>
      </c>
      <c r="P454" s="185" t="n">
        <v>11</v>
      </c>
      <c r="Q454" s="184" t="n">
        <v>23310</v>
      </c>
      <c r="R454" s="184" t="n">
        <v>20745.9</v>
      </c>
      <c r="S454" s="184" t="s">
        <v>1267</v>
      </c>
      <c r="T454" s="187" t="n">
        <v>45908</v>
      </c>
    </row>
    <row r="455" customFormat="false" ht="46.25" hidden="true" customHeight="false" outlineLevel="0" collapsed="false">
      <c r="A455" s="181" t="s">
        <v>1268</v>
      </c>
      <c r="B455" s="182" t="n">
        <v>1488</v>
      </c>
      <c r="C455" s="183" t="n">
        <v>37167</v>
      </c>
      <c r="D455" s="181" t="s">
        <v>3327</v>
      </c>
      <c r="E455" s="181" t="s">
        <v>272</v>
      </c>
      <c r="F455" s="181" t="s">
        <v>273</v>
      </c>
      <c r="G455" s="181" t="s">
        <v>232</v>
      </c>
      <c r="H455" s="181" t="s">
        <v>279</v>
      </c>
      <c r="I455" s="181" t="s">
        <v>230</v>
      </c>
      <c r="J455" s="267"/>
      <c r="K455" s="269" t="n">
        <v>45907</v>
      </c>
      <c r="L455" s="267" t="n">
        <v>1.7</v>
      </c>
      <c r="M455" s="184" t="s">
        <v>232</v>
      </c>
      <c r="N455" s="184" t="n">
        <v>38340</v>
      </c>
      <c r="O455" s="184" t="n">
        <v>15540</v>
      </c>
      <c r="P455" s="185" t="n">
        <v>15</v>
      </c>
      <c r="Q455" s="184" t="n">
        <v>22800</v>
      </c>
      <c r="R455" s="184" t="n">
        <v>19380</v>
      </c>
      <c r="S455" s="184" t="s">
        <v>1269</v>
      </c>
      <c r="T455" s="187" t="n">
        <v>45908</v>
      </c>
    </row>
    <row r="456" customFormat="false" ht="46.25" hidden="true" customHeight="false" outlineLevel="0" collapsed="false">
      <c r="A456" s="181" t="s">
        <v>1270</v>
      </c>
      <c r="B456" s="182" t="n">
        <v>1489</v>
      </c>
      <c r="C456" s="183" t="n">
        <v>37165</v>
      </c>
      <c r="D456" s="181" t="s">
        <v>3327</v>
      </c>
      <c r="E456" s="181" t="s">
        <v>282</v>
      </c>
      <c r="F456" s="181" t="s">
        <v>283</v>
      </c>
      <c r="G456" s="181" t="s">
        <v>232</v>
      </c>
      <c r="H456" s="181" t="s">
        <v>279</v>
      </c>
      <c r="I456" s="181" t="s">
        <v>230</v>
      </c>
      <c r="J456" s="267"/>
      <c r="K456" s="269" t="n">
        <v>45907</v>
      </c>
      <c r="L456" s="267" t="n">
        <v>1.9</v>
      </c>
      <c r="M456" s="184" t="s">
        <v>232</v>
      </c>
      <c r="N456" s="184" t="n">
        <v>39840</v>
      </c>
      <c r="O456" s="184" t="n">
        <v>15030</v>
      </c>
      <c r="P456" s="185" t="n">
        <v>14</v>
      </c>
      <c r="Q456" s="184" t="n">
        <v>24810</v>
      </c>
      <c r="R456" s="184" t="n">
        <v>21336.6</v>
      </c>
      <c r="S456" s="184" t="s">
        <v>1271</v>
      </c>
      <c r="T456" s="187" t="n">
        <v>45908</v>
      </c>
    </row>
    <row r="457" customFormat="false" ht="46.25" hidden="true" customHeight="false" outlineLevel="0" collapsed="false">
      <c r="A457" s="181" t="s">
        <v>1272</v>
      </c>
      <c r="B457" s="182" t="n">
        <v>1491</v>
      </c>
      <c r="C457" s="183" t="n">
        <v>37169</v>
      </c>
      <c r="D457" s="181" t="s">
        <v>3327</v>
      </c>
      <c r="E457" s="181" t="s">
        <v>582</v>
      </c>
      <c r="F457" s="181" t="s">
        <v>583</v>
      </c>
      <c r="G457" s="181" t="s">
        <v>232</v>
      </c>
      <c r="H457" s="181" t="s">
        <v>279</v>
      </c>
      <c r="I457" s="181" t="s">
        <v>230</v>
      </c>
      <c r="J457" s="267"/>
      <c r="K457" s="269" t="n">
        <v>45907</v>
      </c>
      <c r="L457" s="267" t="n">
        <v>1.8</v>
      </c>
      <c r="M457" s="184" t="s">
        <v>232</v>
      </c>
      <c r="N457" s="184" t="n">
        <v>38090</v>
      </c>
      <c r="O457" s="184" t="n">
        <v>14680</v>
      </c>
      <c r="P457" s="185" t="n">
        <v>9</v>
      </c>
      <c r="Q457" s="184" t="n">
        <v>23410</v>
      </c>
      <c r="R457" s="184" t="n">
        <v>21303.1</v>
      </c>
      <c r="S457" s="184" t="s">
        <v>1273</v>
      </c>
      <c r="T457" s="187" t="n">
        <v>45908</v>
      </c>
    </row>
    <row r="458" customFormat="false" ht="46.25" hidden="true" customHeight="false" outlineLevel="0" collapsed="false">
      <c r="A458" s="181" t="s">
        <v>1274</v>
      </c>
      <c r="B458" s="182" t="n">
        <v>1494</v>
      </c>
      <c r="C458" s="183" t="n">
        <v>37171</v>
      </c>
      <c r="D458" s="181" t="s">
        <v>3327</v>
      </c>
      <c r="E458" s="181" t="s">
        <v>332</v>
      </c>
      <c r="F458" s="181" t="s">
        <v>333</v>
      </c>
      <c r="G458" s="181" t="s">
        <v>232</v>
      </c>
      <c r="H458" s="181" t="s">
        <v>279</v>
      </c>
      <c r="I458" s="181" t="s">
        <v>230</v>
      </c>
      <c r="J458" s="267"/>
      <c r="K458" s="269" t="n">
        <v>45907</v>
      </c>
      <c r="L458" s="267" t="n">
        <v>1.7</v>
      </c>
      <c r="M458" s="184" t="s">
        <v>232</v>
      </c>
      <c r="N458" s="184" t="n">
        <v>37670</v>
      </c>
      <c r="O458" s="184" t="n">
        <v>14680</v>
      </c>
      <c r="P458" s="185" t="n">
        <v>8</v>
      </c>
      <c r="Q458" s="184" t="n">
        <v>22990</v>
      </c>
      <c r="R458" s="184" t="n">
        <v>21150.8</v>
      </c>
      <c r="S458" s="184" t="s">
        <v>1275</v>
      </c>
      <c r="T458" s="187" t="n">
        <v>45908</v>
      </c>
    </row>
    <row r="459" customFormat="false" ht="46.25" hidden="true" customHeight="false" outlineLevel="0" collapsed="false">
      <c r="A459" s="181" t="s">
        <v>1276</v>
      </c>
      <c r="B459" s="182" t="n">
        <v>1495</v>
      </c>
      <c r="C459" s="183" t="n">
        <v>37173</v>
      </c>
      <c r="D459" s="181" t="s">
        <v>3327</v>
      </c>
      <c r="E459" s="181" t="s">
        <v>266</v>
      </c>
      <c r="F459" s="181" t="s">
        <v>267</v>
      </c>
      <c r="G459" s="181" t="s">
        <v>232</v>
      </c>
      <c r="H459" s="181" t="s">
        <v>279</v>
      </c>
      <c r="I459" s="181" t="s">
        <v>230</v>
      </c>
      <c r="J459" s="267"/>
      <c r="K459" s="269" t="n">
        <v>45907</v>
      </c>
      <c r="L459" s="267" t="n">
        <v>1.9</v>
      </c>
      <c r="M459" s="184" t="s">
        <v>232</v>
      </c>
      <c r="N459" s="184" t="n">
        <v>39320</v>
      </c>
      <c r="O459" s="184" t="n">
        <v>14830</v>
      </c>
      <c r="P459" s="185" t="n">
        <v>9</v>
      </c>
      <c r="Q459" s="184" t="n">
        <v>24490</v>
      </c>
      <c r="R459" s="184" t="n">
        <v>22285.9</v>
      </c>
      <c r="S459" s="184" t="s">
        <v>1277</v>
      </c>
      <c r="T459" s="187" t="n">
        <v>45908</v>
      </c>
    </row>
    <row r="460" customFormat="false" ht="46.25" hidden="true" customHeight="false" outlineLevel="0" collapsed="false">
      <c r="A460" s="181" t="s">
        <v>1278</v>
      </c>
      <c r="B460" s="182" t="n">
        <v>1496</v>
      </c>
      <c r="C460" s="183" t="n">
        <v>37175</v>
      </c>
      <c r="D460" s="181" t="s">
        <v>3327</v>
      </c>
      <c r="E460" s="181" t="s">
        <v>901</v>
      </c>
      <c r="F460" s="181" t="s">
        <v>902</v>
      </c>
      <c r="G460" s="181" t="s">
        <v>232</v>
      </c>
      <c r="H460" s="181" t="s">
        <v>279</v>
      </c>
      <c r="I460" s="181" t="s">
        <v>230</v>
      </c>
      <c r="J460" s="267"/>
      <c r="K460" s="269" t="n">
        <v>45907</v>
      </c>
      <c r="L460" s="267" t="n">
        <v>1.6</v>
      </c>
      <c r="M460" s="184" t="s">
        <v>232</v>
      </c>
      <c r="N460" s="184" t="n">
        <v>35230</v>
      </c>
      <c r="O460" s="184" t="n">
        <v>14680</v>
      </c>
      <c r="P460" s="185" t="n">
        <v>12</v>
      </c>
      <c r="Q460" s="184" t="n">
        <v>20550</v>
      </c>
      <c r="R460" s="184" t="n">
        <v>18084</v>
      </c>
      <c r="S460" s="184" t="s">
        <v>1279</v>
      </c>
      <c r="T460" s="187" t="n">
        <v>45908</v>
      </c>
    </row>
    <row r="461" customFormat="false" ht="46.25" hidden="true" customHeight="false" outlineLevel="0" collapsed="false">
      <c r="A461" s="181" t="s">
        <v>1280</v>
      </c>
      <c r="B461" s="182" t="n">
        <v>1500</v>
      </c>
      <c r="C461" s="183" t="n">
        <v>37177</v>
      </c>
      <c r="D461" s="181" t="s">
        <v>3327</v>
      </c>
      <c r="E461" s="181" t="s">
        <v>336</v>
      </c>
      <c r="F461" s="181" t="s">
        <v>337</v>
      </c>
      <c r="G461" s="181" t="s">
        <v>232</v>
      </c>
      <c r="H461" s="181" t="s">
        <v>279</v>
      </c>
      <c r="I461" s="181" t="s">
        <v>230</v>
      </c>
      <c r="J461" s="267"/>
      <c r="K461" s="269" t="n">
        <v>45908</v>
      </c>
      <c r="L461" s="267" t="n">
        <v>1.6</v>
      </c>
      <c r="M461" s="184" t="s">
        <v>232</v>
      </c>
      <c r="N461" s="184" t="n">
        <v>39450</v>
      </c>
      <c r="O461" s="184" t="n">
        <v>14520</v>
      </c>
      <c r="P461" s="185" t="n">
        <v>6</v>
      </c>
      <c r="Q461" s="184" t="n">
        <v>24930</v>
      </c>
      <c r="R461" s="184" t="n">
        <v>23434.2</v>
      </c>
      <c r="S461" s="184" t="s">
        <v>1281</v>
      </c>
      <c r="T461" s="187" t="n">
        <v>45908</v>
      </c>
    </row>
    <row r="462" customFormat="false" ht="46.25" hidden="true" customHeight="false" outlineLevel="0" collapsed="false">
      <c r="A462" s="181" t="s">
        <v>1282</v>
      </c>
      <c r="B462" s="182" t="n">
        <v>1501</v>
      </c>
      <c r="C462" s="183" t="n">
        <v>37179</v>
      </c>
      <c r="D462" s="181" t="s">
        <v>3327</v>
      </c>
      <c r="E462" s="181" t="s">
        <v>340</v>
      </c>
      <c r="F462" s="181" t="s">
        <v>341</v>
      </c>
      <c r="G462" s="181" t="s">
        <v>232</v>
      </c>
      <c r="H462" s="181" t="s">
        <v>279</v>
      </c>
      <c r="I462" s="181" t="s">
        <v>230</v>
      </c>
      <c r="J462" s="267"/>
      <c r="K462" s="269" t="n">
        <v>45908</v>
      </c>
      <c r="L462" s="267" t="n">
        <v>1.6</v>
      </c>
      <c r="M462" s="184" t="s">
        <v>232</v>
      </c>
      <c r="N462" s="184" t="n">
        <v>40120</v>
      </c>
      <c r="O462" s="184" t="n">
        <v>14970</v>
      </c>
      <c r="P462" s="185" t="n">
        <v>7</v>
      </c>
      <c r="Q462" s="184" t="n">
        <v>25150</v>
      </c>
      <c r="R462" s="184" t="n">
        <v>23389.5</v>
      </c>
      <c r="S462" s="184" t="s">
        <v>1283</v>
      </c>
      <c r="T462" s="187" t="n">
        <v>45908</v>
      </c>
    </row>
    <row r="463" customFormat="false" ht="46.25" hidden="true" customHeight="false" outlineLevel="0" collapsed="false">
      <c r="A463" s="181" t="s">
        <v>1284</v>
      </c>
      <c r="B463" s="182" t="n">
        <v>1503</v>
      </c>
      <c r="C463" s="183" t="n">
        <v>37181</v>
      </c>
      <c r="D463" s="181" t="s">
        <v>3327</v>
      </c>
      <c r="E463" s="181" t="s">
        <v>529</v>
      </c>
      <c r="F463" s="181" t="s">
        <v>530</v>
      </c>
      <c r="G463" s="181" t="s">
        <v>232</v>
      </c>
      <c r="H463" s="181" t="s">
        <v>279</v>
      </c>
      <c r="I463" s="181" t="s">
        <v>230</v>
      </c>
      <c r="J463" s="267"/>
      <c r="K463" s="269" t="n">
        <v>45908</v>
      </c>
      <c r="L463" s="267" t="n">
        <v>1.3</v>
      </c>
      <c r="M463" s="184" t="s">
        <v>232</v>
      </c>
      <c r="N463" s="184" t="n">
        <v>36000</v>
      </c>
      <c r="O463" s="184" t="n">
        <v>14780</v>
      </c>
      <c r="P463" s="185" t="n">
        <v>6</v>
      </c>
      <c r="Q463" s="184" t="n">
        <v>21220</v>
      </c>
      <c r="R463" s="184" t="n">
        <v>19946.8</v>
      </c>
      <c r="S463" s="184" t="s">
        <v>1285</v>
      </c>
      <c r="T463" s="187" t="n">
        <v>45908</v>
      </c>
    </row>
    <row r="464" customFormat="false" ht="46.25" hidden="true" customHeight="false" outlineLevel="0" collapsed="false">
      <c r="A464" s="181" t="s">
        <v>1286</v>
      </c>
      <c r="B464" s="182" t="n">
        <v>1504</v>
      </c>
      <c r="C464" s="183" t="n">
        <v>37183</v>
      </c>
      <c r="D464" s="181" t="s">
        <v>3327</v>
      </c>
      <c r="E464" s="181" t="s">
        <v>346</v>
      </c>
      <c r="F464" s="181" t="s">
        <v>347</v>
      </c>
      <c r="G464" s="181" t="s">
        <v>232</v>
      </c>
      <c r="H464" s="181" t="s">
        <v>279</v>
      </c>
      <c r="I464" s="181" t="s">
        <v>230</v>
      </c>
      <c r="J464" s="267"/>
      <c r="K464" s="269" t="n">
        <v>45908</v>
      </c>
      <c r="L464" s="267" t="n">
        <v>1.5</v>
      </c>
      <c r="M464" s="184" t="s">
        <v>232</v>
      </c>
      <c r="N464" s="184" t="n">
        <v>37990</v>
      </c>
      <c r="O464" s="184" t="n">
        <v>14940</v>
      </c>
      <c r="P464" s="185" t="n">
        <v>15</v>
      </c>
      <c r="Q464" s="184" t="n">
        <v>23050</v>
      </c>
      <c r="R464" s="184" t="n">
        <v>19592.5</v>
      </c>
      <c r="S464" s="184" t="s">
        <v>1287</v>
      </c>
      <c r="T464" s="187" t="n">
        <v>45908</v>
      </c>
    </row>
    <row r="465" customFormat="false" ht="46.25" hidden="true" customHeight="false" outlineLevel="0" collapsed="false">
      <c r="A465" s="181" t="s">
        <v>1288</v>
      </c>
      <c r="B465" s="182" t="n">
        <v>1506</v>
      </c>
      <c r="C465" s="183" t="n">
        <v>37189</v>
      </c>
      <c r="D465" s="181" t="s">
        <v>3327</v>
      </c>
      <c r="E465" s="181" t="s">
        <v>1289</v>
      </c>
      <c r="F465" s="181" t="s">
        <v>1290</v>
      </c>
      <c r="G465" s="181" t="s">
        <v>232</v>
      </c>
      <c r="H465" s="181" t="s">
        <v>279</v>
      </c>
      <c r="I465" s="181" t="s">
        <v>230</v>
      </c>
      <c r="J465" s="267"/>
      <c r="K465" s="269" t="n">
        <v>45908</v>
      </c>
      <c r="L465" s="267" t="n">
        <v>1.5</v>
      </c>
      <c r="M465" s="184" t="s">
        <v>232</v>
      </c>
      <c r="N465" s="184" t="n">
        <v>39020</v>
      </c>
      <c r="O465" s="184" t="n">
        <v>15630</v>
      </c>
      <c r="P465" s="185" t="n">
        <v>14</v>
      </c>
      <c r="Q465" s="184" t="n">
        <v>23390</v>
      </c>
      <c r="R465" s="184" t="n">
        <v>20115.4</v>
      </c>
      <c r="S465" s="184" t="s">
        <v>1291</v>
      </c>
      <c r="T465" s="187" t="n">
        <v>45908</v>
      </c>
    </row>
    <row r="466" customFormat="false" ht="46.25" hidden="true" customHeight="false" outlineLevel="0" collapsed="false">
      <c r="A466" s="181" t="s">
        <v>1292</v>
      </c>
      <c r="B466" s="182" t="n">
        <v>1507</v>
      </c>
      <c r="C466" s="183" t="n">
        <v>37187</v>
      </c>
      <c r="D466" s="181" t="s">
        <v>3327</v>
      </c>
      <c r="E466" s="181" t="s">
        <v>350</v>
      </c>
      <c r="F466" s="181" t="s">
        <v>351</v>
      </c>
      <c r="G466" s="181" t="s">
        <v>232</v>
      </c>
      <c r="H466" s="181" t="s">
        <v>279</v>
      </c>
      <c r="I466" s="181" t="s">
        <v>230</v>
      </c>
      <c r="J466" s="267"/>
      <c r="K466" s="269" t="n">
        <v>45908</v>
      </c>
      <c r="L466" s="267" t="n">
        <v>1.8</v>
      </c>
      <c r="M466" s="184" t="s">
        <v>232</v>
      </c>
      <c r="N466" s="184" t="n">
        <v>43120</v>
      </c>
      <c r="O466" s="184" t="n">
        <v>14890</v>
      </c>
      <c r="P466" s="185" t="n">
        <v>7</v>
      </c>
      <c r="Q466" s="184" t="n">
        <v>28230</v>
      </c>
      <c r="R466" s="184" t="n">
        <v>26253.9</v>
      </c>
      <c r="S466" s="184" t="s">
        <v>1293</v>
      </c>
      <c r="T466" s="187" t="n">
        <v>45908</v>
      </c>
    </row>
    <row r="467" customFormat="false" ht="46.25" hidden="true" customHeight="false" outlineLevel="0" collapsed="false">
      <c r="A467" s="181" t="s">
        <v>1294</v>
      </c>
      <c r="B467" s="182" t="n">
        <v>1508</v>
      </c>
      <c r="C467" s="183" t="n">
        <v>37185</v>
      </c>
      <c r="D467" s="181" t="s">
        <v>3327</v>
      </c>
      <c r="E467" s="181" t="s">
        <v>377</v>
      </c>
      <c r="F467" s="181" t="s">
        <v>378</v>
      </c>
      <c r="G467" s="181" t="s">
        <v>232</v>
      </c>
      <c r="H467" s="181" t="s">
        <v>279</v>
      </c>
      <c r="I467" s="181" t="s">
        <v>230</v>
      </c>
      <c r="J467" s="267"/>
      <c r="K467" s="269" t="n">
        <v>45908</v>
      </c>
      <c r="L467" s="267" t="n">
        <v>1.7</v>
      </c>
      <c r="M467" s="184" t="s">
        <v>232</v>
      </c>
      <c r="N467" s="184" t="n">
        <v>41580</v>
      </c>
      <c r="O467" s="184" t="n">
        <v>15500</v>
      </c>
      <c r="P467" s="185" t="n">
        <v>14</v>
      </c>
      <c r="Q467" s="184" t="n">
        <v>26080</v>
      </c>
      <c r="R467" s="184" t="n">
        <v>22428.8</v>
      </c>
      <c r="S467" s="184" t="s">
        <v>1295</v>
      </c>
      <c r="T467" s="187" t="n">
        <v>45908</v>
      </c>
    </row>
    <row r="468" customFormat="false" ht="46.25" hidden="true" customHeight="false" outlineLevel="0" collapsed="false">
      <c r="A468" s="181" t="s">
        <v>1296</v>
      </c>
      <c r="B468" s="182" t="n">
        <v>1509</v>
      </c>
      <c r="C468" s="183" t="n">
        <v>37195</v>
      </c>
      <c r="D468" s="181" t="s">
        <v>3327</v>
      </c>
      <c r="E468" s="181" t="s">
        <v>399</v>
      </c>
      <c r="F468" s="181" t="s">
        <v>400</v>
      </c>
      <c r="G468" s="181" t="s">
        <v>232</v>
      </c>
      <c r="H468" s="181" t="s">
        <v>279</v>
      </c>
      <c r="I468" s="181" t="s">
        <v>230</v>
      </c>
      <c r="J468" s="267"/>
      <c r="K468" s="269" t="n">
        <v>45908</v>
      </c>
      <c r="L468" s="267" t="n">
        <v>2.1</v>
      </c>
      <c r="M468" s="184" t="s">
        <v>232</v>
      </c>
      <c r="N468" s="184" t="n">
        <v>52150</v>
      </c>
      <c r="O468" s="184" t="n">
        <v>19280</v>
      </c>
      <c r="P468" s="185" t="n">
        <v>9</v>
      </c>
      <c r="Q468" s="184" t="n">
        <v>32870</v>
      </c>
      <c r="R468" s="184" t="n">
        <v>29911.7</v>
      </c>
      <c r="S468" s="184" t="s">
        <v>1297</v>
      </c>
      <c r="T468" s="187" t="n">
        <v>45908</v>
      </c>
    </row>
    <row r="469" customFormat="false" ht="46.25" hidden="true" customHeight="false" outlineLevel="0" collapsed="false">
      <c r="A469" s="181" t="s">
        <v>1298</v>
      </c>
      <c r="B469" s="182" t="n">
        <v>1510</v>
      </c>
      <c r="C469" s="183" t="n">
        <v>37197</v>
      </c>
      <c r="D469" s="181" t="s">
        <v>3327</v>
      </c>
      <c r="E469" s="181" t="s">
        <v>373</v>
      </c>
      <c r="F469" s="181" t="s">
        <v>374</v>
      </c>
      <c r="G469" s="181" t="s">
        <v>232</v>
      </c>
      <c r="H469" s="181" t="s">
        <v>279</v>
      </c>
      <c r="I469" s="181" t="s">
        <v>230</v>
      </c>
      <c r="J469" s="267"/>
      <c r="K469" s="269" t="n">
        <v>45908</v>
      </c>
      <c r="L469" s="267" t="n">
        <v>1.5</v>
      </c>
      <c r="M469" s="184" t="s">
        <v>232</v>
      </c>
      <c r="N469" s="184" t="n">
        <v>38480</v>
      </c>
      <c r="O469" s="184" t="n">
        <v>14190</v>
      </c>
      <c r="P469" s="185" t="n">
        <v>11</v>
      </c>
      <c r="Q469" s="184" t="n">
        <v>24290</v>
      </c>
      <c r="R469" s="184" t="n">
        <v>21618.1</v>
      </c>
      <c r="S469" s="184" t="s">
        <v>1299</v>
      </c>
      <c r="T469" s="187" t="n">
        <v>45908</v>
      </c>
    </row>
    <row r="470" customFormat="false" ht="46.25" hidden="true" customHeight="false" outlineLevel="0" collapsed="false">
      <c r="A470" s="181" t="s">
        <v>1300</v>
      </c>
      <c r="B470" s="182" t="n">
        <v>1511</v>
      </c>
      <c r="C470" s="183" t="n">
        <v>37191</v>
      </c>
      <c r="D470" s="181" t="s">
        <v>3327</v>
      </c>
      <c r="E470" s="181" t="s">
        <v>383</v>
      </c>
      <c r="F470" s="181" t="s">
        <v>384</v>
      </c>
      <c r="G470" s="181" t="s">
        <v>232</v>
      </c>
      <c r="H470" s="181" t="s">
        <v>279</v>
      </c>
      <c r="I470" s="181" t="s">
        <v>230</v>
      </c>
      <c r="J470" s="267"/>
      <c r="K470" s="269" t="n">
        <v>45908</v>
      </c>
      <c r="L470" s="267" t="n">
        <v>1.6</v>
      </c>
      <c r="M470" s="184" t="s">
        <v>232</v>
      </c>
      <c r="N470" s="184" t="n">
        <v>40490</v>
      </c>
      <c r="O470" s="184" t="n">
        <v>14790</v>
      </c>
      <c r="P470" s="185" t="n">
        <v>5</v>
      </c>
      <c r="Q470" s="184" t="n">
        <v>25700</v>
      </c>
      <c r="R470" s="184" t="n">
        <v>24415</v>
      </c>
      <c r="S470" s="184" t="s">
        <v>1301</v>
      </c>
      <c r="T470" s="187" t="n">
        <v>45908</v>
      </c>
    </row>
    <row r="471" customFormat="false" ht="46.25" hidden="true" customHeight="false" outlineLevel="0" collapsed="false">
      <c r="A471" s="181" t="s">
        <v>1302</v>
      </c>
      <c r="B471" s="182" t="n">
        <v>1512</v>
      </c>
      <c r="C471" s="183" t="n">
        <v>37193</v>
      </c>
      <c r="D471" s="181" t="s">
        <v>3327</v>
      </c>
      <c r="E471" s="181" t="s">
        <v>387</v>
      </c>
      <c r="F471" s="181" t="s">
        <v>388</v>
      </c>
      <c r="G471" s="181" t="s">
        <v>232</v>
      </c>
      <c r="H471" s="181" t="s">
        <v>279</v>
      </c>
      <c r="I471" s="181" t="s">
        <v>230</v>
      </c>
      <c r="J471" s="267"/>
      <c r="K471" s="269" t="n">
        <v>45908</v>
      </c>
      <c r="L471" s="267" t="n">
        <v>1.5</v>
      </c>
      <c r="M471" s="184" t="s">
        <v>232</v>
      </c>
      <c r="N471" s="184" t="n">
        <v>38990</v>
      </c>
      <c r="O471" s="184" t="n">
        <v>14890</v>
      </c>
      <c r="P471" s="185" t="n">
        <v>12</v>
      </c>
      <c r="Q471" s="184" t="n">
        <v>24100</v>
      </c>
      <c r="R471" s="184" t="n">
        <v>21208</v>
      </c>
      <c r="S471" s="184" t="s">
        <v>1303</v>
      </c>
      <c r="T471" s="187" t="n">
        <v>45908</v>
      </c>
    </row>
    <row r="472" customFormat="false" ht="46.25" hidden="true" customHeight="false" outlineLevel="0" collapsed="false">
      <c r="A472" s="181" t="s">
        <v>1304</v>
      </c>
      <c r="B472" s="182" t="n">
        <v>1513</v>
      </c>
      <c r="C472" s="183" t="n">
        <v>37199</v>
      </c>
      <c r="D472" s="181" t="s">
        <v>3327</v>
      </c>
      <c r="E472" s="181" t="s">
        <v>354</v>
      </c>
      <c r="F472" s="181" t="s">
        <v>355</v>
      </c>
      <c r="G472" s="181" t="s">
        <v>232</v>
      </c>
      <c r="H472" s="181" t="s">
        <v>279</v>
      </c>
      <c r="I472" s="181" t="s">
        <v>230</v>
      </c>
      <c r="J472" s="267"/>
      <c r="K472" s="269" t="n">
        <v>45908</v>
      </c>
      <c r="L472" s="267" t="n">
        <v>1.5</v>
      </c>
      <c r="M472" s="184" t="s">
        <v>232</v>
      </c>
      <c r="N472" s="184" t="n">
        <v>37570</v>
      </c>
      <c r="O472" s="184" t="n">
        <v>14680</v>
      </c>
      <c r="P472" s="185" t="n">
        <v>10</v>
      </c>
      <c r="Q472" s="184" t="n">
        <v>22890</v>
      </c>
      <c r="R472" s="184" t="n">
        <v>20601</v>
      </c>
      <c r="S472" s="184" t="s">
        <v>1305</v>
      </c>
      <c r="T472" s="187" t="n">
        <v>45909</v>
      </c>
    </row>
    <row r="473" customFormat="false" ht="46.25" hidden="true" customHeight="false" outlineLevel="0" collapsed="false">
      <c r="A473" s="181" t="s">
        <v>1306</v>
      </c>
      <c r="B473" s="182" t="n">
        <v>1514</v>
      </c>
      <c r="C473" s="183" t="n">
        <v>37204</v>
      </c>
      <c r="D473" s="181" t="s">
        <v>3327</v>
      </c>
      <c r="E473" s="181" t="s">
        <v>359</v>
      </c>
      <c r="F473" s="181" t="s">
        <v>360</v>
      </c>
      <c r="G473" s="181" t="s">
        <v>232</v>
      </c>
      <c r="H473" s="181" t="s">
        <v>279</v>
      </c>
      <c r="I473" s="181" t="s">
        <v>230</v>
      </c>
      <c r="J473" s="267"/>
      <c r="K473" s="269" t="n">
        <v>45908</v>
      </c>
      <c r="L473" s="267" t="n">
        <v>1.4</v>
      </c>
      <c r="M473" s="184" t="s">
        <v>232</v>
      </c>
      <c r="N473" s="184" t="n">
        <v>36160</v>
      </c>
      <c r="O473" s="184" t="n">
        <v>14800</v>
      </c>
      <c r="P473" s="185" t="n">
        <v>7</v>
      </c>
      <c r="Q473" s="184" t="n">
        <v>21360</v>
      </c>
      <c r="R473" s="184" t="n">
        <v>19864.8</v>
      </c>
      <c r="S473" s="184" t="s">
        <v>1307</v>
      </c>
      <c r="T473" s="187" t="n">
        <v>45909</v>
      </c>
    </row>
    <row r="474" customFormat="false" ht="46.25" hidden="true" customHeight="false" outlineLevel="0" collapsed="false">
      <c r="A474" s="181" t="s">
        <v>1308</v>
      </c>
      <c r="B474" s="182" t="n">
        <v>1515</v>
      </c>
      <c r="C474" s="183" t="n">
        <v>37224</v>
      </c>
      <c r="D474" s="181" t="s">
        <v>3327</v>
      </c>
      <c r="E474" s="181" t="s">
        <v>1309</v>
      </c>
      <c r="F474" s="181" t="s">
        <v>1310</v>
      </c>
      <c r="G474" s="181" t="s">
        <v>232</v>
      </c>
      <c r="H474" s="181" t="s">
        <v>279</v>
      </c>
      <c r="I474" s="181" t="s">
        <v>230</v>
      </c>
      <c r="J474" s="267"/>
      <c r="K474" s="269" t="n">
        <v>45908</v>
      </c>
      <c r="L474" s="267" t="n">
        <v>1.5</v>
      </c>
      <c r="M474" s="184" t="s">
        <v>232</v>
      </c>
      <c r="N474" s="184" t="n">
        <v>39140</v>
      </c>
      <c r="O474" s="184" t="n">
        <v>15480</v>
      </c>
      <c r="P474" s="185" t="n">
        <v>9</v>
      </c>
      <c r="Q474" s="184" t="n">
        <v>23660</v>
      </c>
      <c r="R474" s="184" t="n">
        <v>21530.6</v>
      </c>
      <c r="S474" s="184" t="s">
        <v>1311</v>
      </c>
      <c r="T474" s="187" t="n">
        <v>45909</v>
      </c>
    </row>
    <row r="475" customFormat="false" ht="46.25" hidden="true" customHeight="false" outlineLevel="0" collapsed="false">
      <c r="A475" s="181" t="s">
        <v>1312</v>
      </c>
      <c r="B475" s="182" t="n">
        <v>1516</v>
      </c>
      <c r="C475" s="183" t="n">
        <v>37257</v>
      </c>
      <c r="D475" s="181" t="s">
        <v>3327</v>
      </c>
      <c r="E475" s="181" t="s">
        <v>545</v>
      </c>
      <c r="F475" s="181" t="s">
        <v>546</v>
      </c>
      <c r="G475" s="181" t="s">
        <v>232</v>
      </c>
      <c r="H475" s="181" t="s">
        <v>279</v>
      </c>
      <c r="I475" s="181" t="s">
        <v>230</v>
      </c>
      <c r="J475" s="267"/>
      <c r="K475" s="269" t="n">
        <v>45908</v>
      </c>
      <c r="L475" s="267" t="n">
        <v>1.7</v>
      </c>
      <c r="M475" s="184" t="s">
        <v>232</v>
      </c>
      <c r="N475" s="184" t="n">
        <v>42950</v>
      </c>
      <c r="O475" s="184" t="n">
        <v>16050</v>
      </c>
      <c r="P475" s="185" t="n">
        <v>8</v>
      </c>
      <c r="Q475" s="184" t="n">
        <v>26900</v>
      </c>
      <c r="R475" s="184" t="n">
        <v>24748</v>
      </c>
      <c r="S475" s="184" t="s">
        <v>1313</v>
      </c>
      <c r="T475" s="187" t="n">
        <v>45909</v>
      </c>
    </row>
    <row r="476" customFormat="false" ht="46.25" hidden="true" customHeight="false" outlineLevel="0" collapsed="false">
      <c r="A476" s="181" t="s">
        <v>1314</v>
      </c>
      <c r="B476" s="182" t="n">
        <v>1518</v>
      </c>
      <c r="C476" s="183" t="n">
        <v>37247</v>
      </c>
      <c r="D476" s="181" t="s">
        <v>3327</v>
      </c>
      <c r="E476" s="181" t="s">
        <v>288</v>
      </c>
      <c r="F476" s="181" t="s">
        <v>289</v>
      </c>
      <c r="G476" s="181" t="s">
        <v>232</v>
      </c>
      <c r="H476" s="181" t="s">
        <v>279</v>
      </c>
      <c r="I476" s="181" t="s">
        <v>230</v>
      </c>
      <c r="J476" s="267"/>
      <c r="K476" s="269" t="n">
        <v>45908</v>
      </c>
      <c r="L476" s="267" t="n">
        <v>1.4</v>
      </c>
      <c r="M476" s="184" t="s">
        <v>232</v>
      </c>
      <c r="N476" s="184" t="n">
        <v>36290</v>
      </c>
      <c r="O476" s="184" t="n">
        <v>14540</v>
      </c>
      <c r="P476" s="185" t="n">
        <v>7</v>
      </c>
      <c r="Q476" s="184" t="n">
        <v>21750</v>
      </c>
      <c r="R476" s="184" t="n">
        <v>20227.5</v>
      </c>
      <c r="S476" s="184" t="s">
        <v>1315</v>
      </c>
      <c r="T476" s="187" t="n">
        <v>45909</v>
      </c>
    </row>
    <row r="477" customFormat="false" ht="46.25" hidden="true" customHeight="false" outlineLevel="0" collapsed="false">
      <c r="A477" s="181" t="s">
        <v>1316</v>
      </c>
      <c r="B477" s="182" t="n">
        <v>1519</v>
      </c>
      <c r="C477" s="183" t="n">
        <v>37263</v>
      </c>
      <c r="D477" s="181" t="s">
        <v>3327</v>
      </c>
      <c r="E477" s="181" t="s">
        <v>439</v>
      </c>
      <c r="F477" s="181" t="s">
        <v>440</v>
      </c>
      <c r="G477" s="181" t="s">
        <v>232</v>
      </c>
      <c r="H477" s="181" t="s">
        <v>279</v>
      </c>
      <c r="I477" s="181" t="s">
        <v>230</v>
      </c>
      <c r="J477" s="267"/>
      <c r="K477" s="269" t="n">
        <v>45908</v>
      </c>
      <c r="L477" s="267" t="n">
        <v>1.5</v>
      </c>
      <c r="M477" s="184" t="s">
        <v>232</v>
      </c>
      <c r="N477" s="184" t="n">
        <v>40640</v>
      </c>
      <c r="O477" s="184" t="n">
        <v>16300</v>
      </c>
      <c r="P477" s="185" t="n">
        <v>10</v>
      </c>
      <c r="Q477" s="184" t="n">
        <v>24340</v>
      </c>
      <c r="R477" s="184" t="n">
        <v>21906</v>
      </c>
      <c r="S477" s="184" t="s">
        <v>1317</v>
      </c>
      <c r="T477" s="187" t="n">
        <v>45909</v>
      </c>
    </row>
    <row r="478" customFormat="false" ht="46.25" hidden="true" customHeight="false" outlineLevel="0" collapsed="false">
      <c r="A478" s="181" t="s">
        <v>1318</v>
      </c>
      <c r="B478" s="182" t="n">
        <v>1520</v>
      </c>
      <c r="C478" s="183" t="n">
        <v>37259</v>
      </c>
      <c r="D478" s="181" t="s">
        <v>3327</v>
      </c>
      <c r="E478" s="181" t="s">
        <v>541</v>
      </c>
      <c r="F478" s="181" t="s">
        <v>542</v>
      </c>
      <c r="G478" s="181" t="s">
        <v>232</v>
      </c>
      <c r="H478" s="181" t="s">
        <v>279</v>
      </c>
      <c r="I478" s="181" t="s">
        <v>230</v>
      </c>
      <c r="J478" s="267"/>
      <c r="K478" s="269" t="n">
        <v>45908</v>
      </c>
      <c r="L478" s="267" t="n">
        <v>1.6</v>
      </c>
      <c r="M478" s="184" t="s">
        <v>232</v>
      </c>
      <c r="N478" s="184" t="n">
        <v>40300</v>
      </c>
      <c r="O478" s="184" t="n">
        <v>14910</v>
      </c>
      <c r="P478" s="185" t="n">
        <v>12</v>
      </c>
      <c r="Q478" s="184" t="n">
        <v>25390</v>
      </c>
      <c r="R478" s="184" t="n">
        <v>22343.2</v>
      </c>
      <c r="S478" s="184" t="s">
        <v>1319</v>
      </c>
      <c r="T478" s="187" t="n">
        <v>45909</v>
      </c>
    </row>
    <row r="479" customFormat="false" ht="46.25" hidden="true" customHeight="false" outlineLevel="0" collapsed="false">
      <c r="A479" s="181" t="s">
        <v>1320</v>
      </c>
      <c r="B479" s="182" t="n">
        <v>1521</v>
      </c>
      <c r="C479" s="183" t="n">
        <v>37261</v>
      </c>
      <c r="D479" s="181" t="s">
        <v>3327</v>
      </c>
      <c r="E479" s="181" t="s">
        <v>549</v>
      </c>
      <c r="F479" s="181" t="s">
        <v>550</v>
      </c>
      <c r="G479" s="181" t="s">
        <v>232</v>
      </c>
      <c r="H479" s="181" t="s">
        <v>279</v>
      </c>
      <c r="I479" s="181" t="s">
        <v>230</v>
      </c>
      <c r="J479" s="267"/>
      <c r="K479" s="269" t="n">
        <v>45908</v>
      </c>
      <c r="L479" s="267" t="n">
        <v>1.8</v>
      </c>
      <c r="M479" s="184" t="s">
        <v>232</v>
      </c>
      <c r="N479" s="184" t="n">
        <v>43550</v>
      </c>
      <c r="O479" s="184" t="n">
        <v>15910</v>
      </c>
      <c r="P479" s="185" t="n">
        <v>8</v>
      </c>
      <c r="Q479" s="184" t="n">
        <v>27640</v>
      </c>
      <c r="R479" s="184" t="n">
        <v>25428.8</v>
      </c>
      <c r="S479" s="184" t="s">
        <v>1321</v>
      </c>
      <c r="T479" s="187" t="n">
        <v>45909</v>
      </c>
    </row>
    <row r="480" customFormat="false" ht="46.25" hidden="true" customHeight="false" outlineLevel="0" collapsed="false">
      <c r="A480" s="181" t="s">
        <v>1330</v>
      </c>
      <c r="B480" s="182" t="n">
        <v>1528</v>
      </c>
      <c r="C480" s="183" t="n">
        <v>37267</v>
      </c>
      <c r="D480" s="181" t="s">
        <v>3327</v>
      </c>
      <c r="E480" s="181" t="s">
        <v>435</v>
      </c>
      <c r="F480" s="181" t="s">
        <v>436</v>
      </c>
      <c r="G480" s="181" t="s">
        <v>237</v>
      </c>
      <c r="H480" s="181" t="s">
        <v>279</v>
      </c>
      <c r="I480" s="181" t="s">
        <v>230</v>
      </c>
      <c r="J480" s="267"/>
      <c r="K480" s="269" t="n">
        <v>45908</v>
      </c>
      <c r="L480" s="267" t="n">
        <v>1.8</v>
      </c>
      <c r="M480" s="184" t="s">
        <v>237</v>
      </c>
      <c r="N480" s="184" t="n">
        <v>40620</v>
      </c>
      <c r="O480" s="184" t="n">
        <v>16320</v>
      </c>
      <c r="P480" s="185" t="n">
        <v>7</v>
      </c>
      <c r="Q480" s="184" t="n">
        <v>24300</v>
      </c>
      <c r="R480" s="184" t="n">
        <v>22599</v>
      </c>
      <c r="S480" s="184" t="s">
        <v>1331</v>
      </c>
      <c r="T480" s="187" t="n">
        <v>45909</v>
      </c>
    </row>
    <row r="481" customFormat="false" ht="46.25" hidden="true" customHeight="false" outlineLevel="0" collapsed="false">
      <c r="A481" s="181" t="s">
        <v>1322</v>
      </c>
      <c r="B481" s="182" t="n">
        <v>1522</v>
      </c>
      <c r="C481" s="183" t="n">
        <v>37251</v>
      </c>
      <c r="D481" s="181" t="s">
        <v>3327</v>
      </c>
      <c r="E481" s="181" t="s">
        <v>1019</v>
      </c>
      <c r="F481" s="181" t="s">
        <v>1020</v>
      </c>
      <c r="G481" s="181" t="s">
        <v>232</v>
      </c>
      <c r="H481" s="181" t="s">
        <v>279</v>
      </c>
      <c r="I481" s="181" t="s">
        <v>230</v>
      </c>
      <c r="J481" s="267"/>
      <c r="K481" s="269" t="n">
        <v>45908</v>
      </c>
      <c r="L481" s="267" t="n">
        <v>1.7</v>
      </c>
      <c r="M481" s="184" t="s">
        <v>232</v>
      </c>
      <c r="N481" s="184" t="n">
        <v>43010</v>
      </c>
      <c r="O481" s="184" t="n">
        <v>16860</v>
      </c>
      <c r="P481" s="185" t="n">
        <v>9</v>
      </c>
      <c r="Q481" s="184" t="n">
        <v>26150</v>
      </c>
      <c r="R481" s="184" t="n">
        <v>23796.5</v>
      </c>
      <c r="S481" s="184" t="s">
        <v>1323</v>
      </c>
      <c r="T481" s="187" t="n">
        <v>45909</v>
      </c>
    </row>
    <row r="482" customFormat="false" ht="46.25" hidden="true" customHeight="false" outlineLevel="0" collapsed="false">
      <c r="A482" s="181" t="s">
        <v>1324</v>
      </c>
      <c r="B482" s="182" t="n">
        <v>1523</v>
      </c>
      <c r="C482" s="183" t="n">
        <v>37253</v>
      </c>
      <c r="D482" s="181" t="s">
        <v>3327</v>
      </c>
      <c r="E482" s="181" t="s">
        <v>1027</v>
      </c>
      <c r="F482" s="181" t="s">
        <v>1028</v>
      </c>
      <c r="G482" s="181" t="s">
        <v>232</v>
      </c>
      <c r="H482" s="181" t="s">
        <v>279</v>
      </c>
      <c r="I482" s="181" t="s">
        <v>230</v>
      </c>
      <c r="J482" s="267"/>
      <c r="K482" s="269" t="n">
        <v>45908</v>
      </c>
      <c r="L482" s="267" t="n">
        <v>1.5</v>
      </c>
      <c r="M482" s="184" t="s">
        <v>232</v>
      </c>
      <c r="N482" s="184" t="n">
        <v>38590</v>
      </c>
      <c r="O482" s="184" t="n">
        <v>14990</v>
      </c>
      <c r="P482" s="185" t="n">
        <v>15</v>
      </c>
      <c r="Q482" s="184" t="n">
        <v>23600</v>
      </c>
      <c r="R482" s="184" t="n">
        <v>20060</v>
      </c>
      <c r="S482" s="184" t="s">
        <v>1325</v>
      </c>
      <c r="T482" s="187" t="n">
        <v>45909</v>
      </c>
    </row>
    <row r="483" customFormat="false" ht="46.25" hidden="true" customHeight="false" outlineLevel="0" collapsed="false">
      <c r="A483" s="181" t="s">
        <v>1326</v>
      </c>
      <c r="B483" s="182" t="n">
        <v>1524</v>
      </c>
      <c r="C483" s="183" t="n">
        <v>37255</v>
      </c>
      <c r="D483" s="181" t="s">
        <v>3327</v>
      </c>
      <c r="E483" s="181" t="s">
        <v>1023</v>
      </c>
      <c r="F483" s="181" t="s">
        <v>1024</v>
      </c>
      <c r="G483" s="181" t="s">
        <v>232</v>
      </c>
      <c r="H483" s="181" t="s">
        <v>279</v>
      </c>
      <c r="I483" s="181" t="s">
        <v>230</v>
      </c>
      <c r="J483" s="267"/>
      <c r="K483" s="269" t="n">
        <v>45908</v>
      </c>
      <c r="L483" s="267" t="n">
        <v>1.4</v>
      </c>
      <c r="M483" s="184" t="s">
        <v>232</v>
      </c>
      <c r="N483" s="184" t="n">
        <v>36670</v>
      </c>
      <c r="O483" s="184" t="n">
        <v>14750</v>
      </c>
      <c r="P483" s="185" t="n">
        <v>10</v>
      </c>
      <c r="Q483" s="184" t="n">
        <v>21920</v>
      </c>
      <c r="R483" s="184" t="n">
        <v>19728</v>
      </c>
      <c r="S483" s="184" t="s">
        <v>1327</v>
      </c>
      <c r="T483" s="187" t="n">
        <v>45909</v>
      </c>
    </row>
    <row r="484" customFormat="false" ht="46.25" hidden="true" customHeight="false" outlineLevel="0" collapsed="false">
      <c r="A484" s="181" t="s">
        <v>1328</v>
      </c>
      <c r="B484" s="182" t="n">
        <v>1527</v>
      </c>
      <c r="C484" s="183" t="n">
        <v>37265</v>
      </c>
      <c r="D484" s="181" t="s">
        <v>3327</v>
      </c>
      <c r="E484" s="181" t="s">
        <v>431</v>
      </c>
      <c r="F484" s="181" t="s">
        <v>432</v>
      </c>
      <c r="G484" s="181" t="s">
        <v>232</v>
      </c>
      <c r="H484" s="181" t="s">
        <v>279</v>
      </c>
      <c r="I484" s="181" t="s">
        <v>230</v>
      </c>
      <c r="J484" s="267"/>
      <c r="K484" s="269" t="n">
        <v>45908</v>
      </c>
      <c r="L484" s="267" t="n">
        <v>1.2</v>
      </c>
      <c r="M484" s="184" t="s">
        <v>232</v>
      </c>
      <c r="N484" s="184" t="n">
        <v>39300</v>
      </c>
      <c r="O484" s="184" t="n">
        <v>16490</v>
      </c>
      <c r="P484" s="185" t="n">
        <v>13</v>
      </c>
      <c r="Q484" s="184" t="n">
        <v>22810</v>
      </c>
      <c r="R484" s="184" t="n">
        <v>19844.7</v>
      </c>
      <c r="S484" s="184" t="s">
        <v>1329</v>
      </c>
      <c r="T484" s="187" t="n">
        <v>45909</v>
      </c>
    </row>
    <row r="485" customFormat="false" ht="46.25" hidden="true" customHeight="false" outlineLevel="0" collapsed="false">
      <c r="A485" s="181" t="s">
        <v>1332</v>
      </c>
      <c r="B485" s="182" t="n">
        <v>1531</v>
      </c>
      <c r="C485" s="183" t="n">
        <v>37269</v>
      </c>
      <c r="D485" s="181" t="s">
        <v>3327</v>
      </c>
      <c r="E485" s="181" t="s">
        <v>409</v>
      </c>
      <c r="F485" s="181" t="s">
        <v>410</v>
      </c>
      <c r="G485" s="181" t="s">
        <v>237</v>
      </c>
      <c r="H485" s="181" t="s">
        <v>279</v>
      </c>
      <c r="I485" s="181" t="s">
        <v>230</v>
      </c>
      <c r="J485" s="267"/>
      <c r="K485" s="269" t="n">
        <v>45908</v>
      </c>
      <c r="L485" s="267" t="n">
        <v>2.1</v>
      </c>
      <c r="M485" s="184" t="s">
        <v>237</v>
      </c>
      <c r="N485" s="184" t="n">
        <v>52810</v>
      </c>
      <c r="O485" s="184" t="n">
        <v>24090</v>
      </c>
      <c r="P485" s="185" t="n">
        <v>11</v>
      </c>
      <c r="Q485" s="184" t="n">
        <v>28720</v>
      </c>
      <c r="R485" s="184" t="n">
        <v>25560.8</v>
      </c>
      <c r="S485" s="184" t="s">
        <v>1333</v>
      </c>
      <c r="T485" s="187" t="n">
        <v>45909</v>
      </c>
    </row>
    <row r="486" customFormat="false" ht="46.25" hidden="true" customHeight="false" outlineLevel="0" collapsed="false">
      <c r="A486" s="181" t="s">
        <v>1334</v>
      </c>
      <c r="B486" s="182" t="n">
        <v>1532</v>
      </c>
      <c r="C486" s="183" t="n">
        <v>37271</v>
      </c>
      <c r="D486" s="181" t="s">
        <v>3327</v>
      </c>
      <c r="E486" s="181" t="s">
        <v>413</v>
      </c>
      <c r="F486" s="181" t="s">
        <v>414</v>
      </c>
      <c r="G486" s="181" t="s">
        <v>237</v>
      </c>
      <c r="H486" s="181" t="s">
        <v>279</v>
      </c>
      <c r="I486" s="181" t="s">
        <v>230</v>
      </c>
      <c r="J486" s="267"/>
      <c r="K486" s="269" t="n">
        <v>45908</v>
      </c>
      <c r="L486" s="267" t="n">
        <v>2.1</v>
      </c>
      <c r="M486" s="184" t="s">
        <v>237</v>
      </c>
      <c r="N486" s="184" t="n">
        <v>44390</v>
      </c>
      <c r="O486" s="184" t="n">
        <v>15510</v>
      </c>
      <c r="P486" s="185" t="n">
        <v>4</v>
      </c>
      <c r="Q486" s="184" t="n">
        <v>28880</v>
      </c>
      <c r="R486" s="184" t="n">
        <v>27724.8</v>
      </c>
      <c r="S486" s="184" t="s">
        <v>1335</v>
      </c>
      <c r="T486" s="187" t="n">
        <v>45909</v>
      </c>
    </row>
    <row r="487" customFormat="false" ht="46.25" hidden="true" customHeight="false" outlineLevel="0" collapsed="false">
      <c r="A487" s="181" t="s">
        <v>1336</v>
      </c>
      <c r="B487" s="182" t="n">
        <v>1541</v>
      </c>
      <c r="C487" s="183" t="n">
        <v>37275</v>
      </c>
      <c r="D487" s="181" t="s">
        <v>3327</v>
      </c>
      <c r="E487" s="181" t="s">
        <v>304</v>
      </c>
      <c r="F487" s="181" t="s">
        <v>305</v>
      </c>
      <c r="G487" s="181" t="s">
        <v>237</v>
      </c>
      <c r="H487" s="181" t="s">
        <v>279</v>
      </c>
      <c r="I487" s="181" t="s">
        <v>230</v>
      </c>
      <c r="J487" s="267"/>
      <c r="K487" s="269" t="n">
        <v>45909</v>
      </c>
      <c r="L487" s="267" t="n">
        <v>1.3</v>
      </c>
      <c r="M487" s="184" t="s">
        <v>237</v>
      </c>
      <c r="N487" s="184" t="n">
        <v>39830</v>
      </c>
      <c r="O487" s="184" t="n">
        <v>15060</v>
      </c>
      <c r="P487" s="185" t="n">
        <v>9</v>
      </c>
      <c r="Q487" s="184" t="n">
        <v>24770</v>
      </c>
      <c r="R487" s="184" t="n">
        <v>22540.7</v>
      </c>
      <c r="S487" s="184" t="s">
        <v>1337</v>
      </c>
      <c r="T487" s="187" t="n">
        <v>45909</v>
      </c>
    </row>
    <row r="488" customFormat="false" ht="46.25" hidden="true" customHeight="false" outlineLevel="0" collapsed="false">
      <c r="A488" s="181" t="s">
        <v>1338</v>
      </c>
      <c r="B488" s="182" t="n">
        <v>1542</v>
      </c>
      <c r="C488" s="183" t="n">
        <v>37277</v>
      </c>
      <c r="D488" s="181" t="s">
        <v>3327</v>
      </c>
      <c r="E488" s="181" t="s">
        <v>277</v>
      </c>
      <c r="F488" s="181" t="s">
        <v>278</v>
      </c>
      <c r="G488" s="181" t="s">
        <v>237</v>
      </c>
      <c r="H488" s="181" t="s">
        <v>279</v>
      </c>
      <c r="I488" s="181" t="s">
        <v>230</v>
      </c>
      <c r="J488" s="267"/>
      <c r="K488" s="269" t="n">
        <v>45909</v>
      </c>
      <c r="L488" s="267" t="n">
        <v>1.4</v>
      </c>
      <c r="M488" s="184" t="s">
        <v>237</v>
      </c>
      <c r="N488" s="184" t="n">
        <v>41750</v>
      </c>
      <c r="O488" s="184" t="n">
        <v>15110</v>
      </c>
      <c r="P488" s="185" t="n">
        <v>12</v>
      </c>
      <c r="Q488" s="184" t="n">
        <v>26640</v>
      </c>
      <c r="R488" s="184" t="n">
        <v>23443.2</v>
      </c>
      <c r="S488" s="184" t="s">
        <v>1339</v>
      </c>
      <c r="T488" s="187" t="n">
        <v>45909</v>
      </c>
    </row>
    <row r="489" customFormat="false" ht="46.25" hidden="true" customHeight="false" outlineLevel="0" collapsed="false">
      <c r="A489" s="181" t="s">
        <v>1340</v>
      </c>
      <c r="B489" s="182" t="n">
        <v>1543</v>
      </c>
      <c r="C489" s="183" t="n">
        <v>37273</v>
      </c>
      <c r="D489" s="181" t="s">
        <v>3327</v>
      </c>
      <c r="E489" s="181" t="s">
        <v>308</v>
      </c>
      <c r="F489" s="181" t="s">
        <v>309</v>
      </c>
      <c r="G489" s="181" t="s">
        <v>237</v>
      </c>
      <c r="H489" s="181" t="s">
        <v>279</v>
      </c>
      <c r="I489" s="181" t="s">
        <v>230</v>
      </c>
      <c r="J489" s="267"/>
      <c r="K489" s="269" t="n">
        <v>45909</v>
      </c>
      <c r="L489" s="267" t="n">
        <v>1.8</v>
      </c>
      <c r="M489" s="184" t="s">
        <v>237</v>
      </c>
      <c r="N489" s="184" t="n">
        <v>58480</v>
      </c>
      <c r="O489" s="184" t="n">
        <v>24100</v>
      </c>
      <c r="P489" s="185" t="n">
        <v>12</v>
      </c>
      <c r="Q489" s="184" t="n">
        <v>34380</v>
      </c>
      <c r="R489" s="184" t="n">
        <v>30254.4</v>
      </c>
      <c r="S489" s="184" t="s">
        <v>1341</v>
      </c>
      <c r="T489" s="187" t="n">
        <v>45909</v>
      </c>
    </row>
    <row r="490" customFormat="false" ht="46.25" hidden="true" customHeight="false" outlineLevel="0" collapsed="false">
      <c r="A490" s="181" t="s">
        <v>1342</v>
      </c>
      <c r="B490" s="182" t="n">
        <v>1544</v>
      </c>
      <c r="C490" s="183" t="n">
        <v>37279</v>
      </c>
      <c r="D490" s="181" t="s">
        <v>3327</v>
      </c>
      <c r="E490" s="181" t="s">
        <v>300</v>
      </c>
      <c r="F490" s="181" t="s">
        <v>301</v>
      </c>
      <c r="G490" s="181" t="s">
        <v>237</v>
      </c>
      <c r="H490" s="181" t="s">
        <v>279</v>
      </c>
      <c r="I490" s="181" t="s">
        <v>230</v>
      </c>
      <c r="J490" s="267"/>
      <c r="K490" s="269" t="n">
        <v>45909</v>
      </c>
      <c r="L490" s="267" t="n">
        <v>1.7</v>
      </c>
      <c r="M490" s="184" t="s">
        <v>237</v>
      </c>
      <c r="N490" s="184" t="n">
        <v>52910</v>
      </c>
      <c r="O490" s="184" t="n">
        <v>20890</v>
      </c>
      <c r="P490" s="185" t="n">
        <v>9</v>
      </c>
      <c r="Q490" s="184" t="n">
        <v>32020</v>
      </c>
      <c r="R490" s="184" t="n">
        <v>29138.2</v>
      </c>
      <c r="S490" s="184" t="s">
        <v>1343</v>
      </c>
      <c r="T490" s="187" t="n">
        <v>45909</v>
      </c>
    </row>
    <row r="491" customFormat="false" ht="46.25" hidden="true" customHeight="false" outlineLevel="0" collapsed="false">
      <c r="A491" s="181" t="s">
        <v>1344</v>
      </c>
      <c r="B491" s="182" t="n">
        <v>1545</v>
      </c>
      <c r="C491" s="183" t="n">
        <v>37288</v>
      </c>
      <c r="D491" s="181" t="s">
        <v>3327</v>
      </c>
      <c r="E491" s="181" t="s">
        <v>576</v>
      </c>
      <c r="F491" s="181" t="s">
        <v>577</v>
      </c>
      <c r="G491" s="181" t="s">
        <v>237</v>
      </c>
      <c r="H491" s="181" t="s">
        <v>279</v>
      </c>
      <c r="I491" s="181" t="s">
        <v>230</v>
      </c>
      <c r="J491" s="267"/>
      <c r="K491" s="269" t="n">
        <v>45909</v>
      </c>
      <c r="L491" s="267" t="n">
        <v>1.3</v>
      </c>
      <c r="M491" s="184" t="s">
        <v>237</v>
      </c>
      <c r="N491" s="184" t="n">
        <v>39090</v>
      </c>
      <c r="O491" s="184" t="n">
        <v>14460</v>
      </c>
      <c r="P491" s="185" t="n">
        <v>8</v>
      </c>
      <c r="Q491" s="184" t="n">
        <v>24630</v>
      </c>
      <c r="R491" s="184" t="n">
        <v>22659.6</v>
      </c>
      <c r="S491" s="184" t="s">
        <v>1345</v>
      </c>
      <c r="T491" s="187" t="n">
        <v>45909</v>
      </c>
    </row>
    <row r="492" customFormat="false" ht="46.25" hidden="true" customHeight="false" outlineLevel="0" collapsed="false">
      <c r="A492" s="181" t="s">
        <v>1346</v>
      </c>
      <c r="B492" s="182" t="n">
        <v>1546</v>
      </c>
      <c r="C492" s="183" t="n">
        <v>37281</v>
      </c>
      <c r="D492" s="181" t="s">
        <v>3327</v>
      </c>
      <c r="E492" s="181" t="s">
        <v>282</v>
      </c>
      <c r="F492" s="181" t="s">
        <v>283</v>
      </c>
      <c r="G492" s="181" t="s">
        <v>237</v>
      </c>
      <c r="H492" s="181" t="s">
        <v>279</v>
      </c>
      <c r="I492" s="181" t="s">
        <v>230</v>
      </c>
      <c r="J492" s="267"/>
      <c r="K492" s="269" t="n">
        <v>45909</v>
      </c>
      <c r="L492" s="267" t="n">
        <v>1.2</v>
      </c>
      <c r="M492" s="184" t="s">
        <v>237</v>
      </c>
      <c r="N492" s="184" t="n">
        <v>38440</v>
      </c>
      <c r="O492" s="184" t="n">
        <v>15080</v>
      </c>
      <c r="P492" s="185" t="n">
        <v>8</v>
      </c>
      <c r="Q492" s="184" t="n">
        <v>23360</v>
      </c>
      <c r="R492" s="184" t="n">
        <v>21491.2</v>
      </c>
      <c r="S492" s="184" t="s">
        <v>1347</v>
      </c>
      <c r="T492" s="187" t="n">
        <v>45909</v>
      </c>
    </row>
    <row r="493" customFormat="false" ht="46.25" hidden="true" customHeight="false" outlineLevel="0" collapsed="false">
      <c r="A493" s="181" t="s">
        <v>1348</v>
      </c>
      <c r="B493" s="182" t="n">
        <v>1549</v>
      </c>
      <c r="C493" s="183" t="n">
        <v>37290</v>
      </c>
      <c r="D493" s="181" t="s">
        <v>3327</v>
      </c>
      <c r="E493" s="181" t="s">
        <v>272</v>
      </c>
      <c r="F493" s="181" t="s">
        <v>273</v>
      </c>
      <c r="G493" s="181" t="s">
        <v>237</v>
      </c>
      <c r="H493" s="181" t="s">
        <v>279</v>
      </c>
      <c r="I493" s="181" t="s">
        <v>230</v>
      </c>
      <c r="J493" s="267"/>
      <c r="K493" s="269" t="n">
        <v>45909</v>
      </c>
      <c r="L493" s="267" t="n">
        <v>1.3</v>
      </c>
      <c r="M493" s="184" t="s">
        <v>237</v>
      </c>
      <c r="N493" s="184" t="n">
        <v>40000</v>
      </c>
      <c r="O493" s="184" t="n">
        <v>15560</v>
      </c>
      <c r="P493" s="185" t="n">
        <v>7</v>
      </c>
      <c r="Q493" s="184" t="n">
        <v>24440</v>
      </c>
      <c r="R493" s="184" t="n">
        <v>22729.2</v>
      </c>
      <c r="S493" s="184" t="s">
        <v>1349</v>
      </c>
      <c r="T493" s="187" t="n">
        <v>45909</v>
      </c>
    </row>
    <row r="494" customFormat="false" ht="46.25" hidden="true" customHeight="false" outlineLevel="0" collapsed="false">
      <c r="A494" s="181" t="s">
        <v>1350</v>
      </c>
      <c r="B494" s="182" t="n">
        <v>1556</v>
      </c>
      <c r="C494" s="183" t="n">
        <v>37300</v>
      </c>
      <c r="D494" s="181" t="s">
        <v>3327</v>
      </c>
      <c r="E494" s="181" t="s">
        <v>533</v>
      </c>
      <c r="F494" s="181" t="s">
        <v>534</v>
      </c>
      <c r="G494" s="181" t="s">
        <v>237</v>
      </c>
      <c r="H494" s="181" t="s">
        <v>279</v>
      </c>
      <c r="I494" s="181" t="s">
        <v>230</v>
      </c>
      <c r="J494" s="267"/>
      <c r="K494" s="269" t="n">
        <v>45911</v>
      </c>
      <c r="L494" s="267" t="n">
        <v>1.3</v>
      </c>
      <c r="M494" s="184" t="s">
        <v>237</v>
      </c>
      <c r="N494" s="184" t="n">
        <v>40910</v>
      </c>
      <c r="O494" s="184" t="n">
        <v>14520</v>
      </c>
      <c r="P494" s="185" t="n">
        <v>12</v>
      </c>
      <c r="Q494" s="184" t="n">
        <v>26390</v>
      </c>
      <c r="R494" s="184" t="n">
        <v>23223.2</v>
      </c>
      <c r="S494" s="184" t="s">
        <v>1351</v>
      </c>
      <c r="T494" s="187" t="n">
        <v>45912</v>
      </c>
    </row>
    <row r="495" customFormat="false" ht="46.25" hidden="true" customHeight="false" outlineLevel="0" collapsed="false">
      <c r="A495" s="181" t="s">
        <v>1352</v>
      </c>
      <c r="B495" s="182" t="n">
        <v>1558</v>
      </c>
      <c r="C495" s="183" t="n">
        <v>37306</v>
      </c>
      <c r="D495" s="181" t="s">
        <v>3327</v>
      </c>
      <c r="E495" s="181" t="s">
        <v>1289</v>
      </c>
      <c r="F495" s="181" t="s">
        <v>1290</v>
      </c>
      <c r="G495" s="181" t="s">
        <v>237</v>
      </c>
      <c r="H495" s="181" t="s">
        <v>279</v>
      </c>
      <c r="I495" s="181" t="s">
        <v>230</v>
      </c>
      <c r="J495" s="267"/>
      <c r="K495" s="269" t="n">
        <v>45911</v>
      </c>
      <c r="L495" s="267" t="n">
        <v>1.3</v>
      </c>
      <c r="M495" s="184" t="s">
        <v>237</v>
      </c>
      <c r="N495" s="184" t="n">
        <v>40600</v>
      </c>
      <c r="O495" s="184" t="n">
        <v>15710</v>
      </c>
      <c r="P495" s="185" t="n">
        <v>9</v>
      </c>
      <c r="Q495" s="184" t="n">
        <v>24890</v>
      </c>
      <c r="R495" s="184" t="n">
        <v>22649.9</v>
      </c>
      <c r="S495" s="184" t="s">
        <v>1353</v>
      </c>
      <c r="T495" s="187" t="n">
        <v>45912</v>
      </c>
    </row>
    <row r="496" customFormat="false" ht="46.25" hidden="true" customHeight="false" outlineLevel="0" collapsed="false">
      <c r="A496" s="181" t="s">
        <v>1356</v>
      </c>
      <c r="B496" s="182" t="n">
        <v>1560</v>
      </c>
      <c r="C496" s="183" t="n">
        <v>37302</v>
      </c>
      <c r="D496" s="181" t="s">
        <v>3327</v>
      </c>
      <c r="E496" s="181" t="s">
        <v>1309</v>
      </c>
      <c r="F496" s="181" t="s">
        <v>1310</v>
      </c>
      <c r="G496" s="181" t="s">
        <v>237</v>
      </c>
      <c r="H496" s="181" t="s">
        <v>279</v>
      </c>
      <c r="I496" s="181" t="s">
        <v>230</v>
      </c>
      <c r="J496" s="267"/>
      <c r="K496" s="269" t="n">
        <v>45911</v>
      </c>
      <c r="L496" s="267" t="n">
        <v>1.2</v>
      </c>
      <c r="M496" s="184" t="s">
        <v>237</v>
      </c>
      <c r="N496" s="184" t="n">
        <v>39700</v>
      </c>
      <c r="O496" s="184" t="n">
        <v>15550</v>
      </c>
      <c r="P496" s="185" t="n">
        <v>10</v>
      </c>
      <c r="Q496" s="184" t="n">
        <v>24150</v>
      </c>
      <c r="R496" s="184" t="n">
        <v>21735</v>
      </c>
      <c r="S496" s="184" t="s">
        <v>1357</v>
      </c>
      <c r="T496" s="187" t="n">
        <v>45912</v>
      </c>
    </row>
    <row r="497" customFormat="false" ht="46.25" hidden="true" customHeight="false" outlineLevel="0" collapsed="false">
      <c r="A497" s="181" t="s">
        <v>1354</v>
      </c>
      <c r="B497" s="182" t="n">
        <v>1559</v>
      </c>
      <c r="C497" s="183" t="n">
        <v>37304</v>
      </c>
      <c r="D497" s="181" t="s">
        <v>3327</v>
      </c>
      <c r="E497" s="181" t="s">
        <v>901</v>
      </c>
      <c r="F497" s="181" t="s">
        <v>902</v>
      </c>
      <c r="G497" s="181" t="s">
        <v>237</v>
      </c>
      <c r="H497" s="181" t="s">
        <v>279</v>
      </c>
      <c r="I497" s="181" t="s">
        <v>230</v>
      </c>
      <c r="J497" s="267"/>
      <c r="K497" s="269" t="n">
        <v>45911</v>
      </c>
      <c r="L497" s="267" t="n">
        <v>1.2</v>
      </c>
      <c r="M497" s="184" t="s">
        <v>237</v>
      </c>
      <c r="N497" s="184" t="n">
        <v>37430</v>
      </c>
      <c r="O497" s="184" t="n">
        <v>14730</v>
      </c>
      <c r="P497" s="185" t="n">
        <v>9</v>
      </c>
      <c r="Q497" s="184" t="n">
        <v>22700</v>
      </c>
      <c r="R497" s="184" t="n">
        <v>20657</v>
      </c>
      <c r="S497" s="184" t="s">
        <v>1355</v>
      </c>
      <c r="T497" s="187" t="n">
        <v>45912</v>
      </c>
    </row>
    <row r="498" customFormat="false" ht="46.25" hidden="true" customHeight="false" outlineLevel="0" collapsed="false">
      <c r="A498" s="181" t="s">
        <v>1358</v>
      </c>
      <c r="B498" s="182" t="n">
        <v>1561</v>
      </c>
      <c r="C498" s="183" t="n">
        <v>37310</v>
      </c>
      <c r="D498" s="181" t="s">
        <v>3327</v>
      </c>
      <c r="E498" s="181" t="s">
        <v>350</v>
      </c>
      <c r="F498" s="181" t="s">
        <v>351</v>
      </c>
      <c r="G498" s="181" t="s">
        <v>237</v>
      </c>
      <c r="H498" s="181" t="s">
        <v>279</v>
      </c>
      <c r="I498" s="181" t="s">
        <v>230</v>
      </c>
      <c r="J498" s="267"/>
      <c r="K498" s="269" t="n">
        <v>45911</v>
      </c>
      <c r="L498" s="267" t="n">
        <v>1.4</v>
      </c>
      <c r="M498" s="184" t="s">
        <v>237</v>
      </c>
      <c r="N498" s="184" t="n">
        <v>42430</v>
      </c>
      <c r="O498" s="184" t="n">
        <v>14900</v>
      </c>
      <c r="P498" s="185" t="n">
        <v>7</v>
      </c>
      <c r="Q498" s="184" t="n">
        <v>27530</v>
      </c>
      <c r="R498" s="184" t="n">
        <v>25602.9</v>
      </c>
      <c r="S498" s="184" t="s">
        <v>1359</v>
      </c>
      <c r="T498" s="187" t="n">
        <v>45912</v>
      </c>
    </row>
    <row r="499" customFormat="false" ht="46.25" hidden="true" customHeight="false" outlineLevel="0" collapsed="false">
      <c r="A499" s="181" t="s">
        <v>1360</v>
      </c>
      <c r="B499" s="182" t="n">
        <v>1562</v>
      </c>
      <c r="C499" s="183" t="n">
        <v>37312</v>
      </c>
      <c r="D499" s="181" t="s">
        <v>3327</v>
      </c>
      <c r="E499" s="181" t="s">
        <v>373</v>
      </c>
      <c r="F499" s="181" t="s">
        <v>374</v>
      </c>
      <c r="G499" s="181" t="s">
        <v>237</v>
      </c>
      <c r="H499" s="181" t="s">
        <v>279</v>
      </c>
      <c r="I499" s="181" t="s">
        <v>230</v>
      </c>
      <c r="J499" s="267"/>
      <c r="K499" s="269" t="n">
        <v>45911</v>
      </c>
      <c r="L499" s="267" t="n">
        <v>1.2</v>
      </c>
      <c r="M499" s="184" t="s">
        <v>237</v>
      </c>
      <c r="N499" s="184" t="n">
        <v>38530</v>
      </c>
      <c r="O499" s="184" t="n">
        <v>14170</v>
      </c>
      <c r="P499" s="185" t="n">
        <v>6</v>
      </c>
      <c r="Q499" s="184" t="n">
        <v>24360</v>
      </c>
      <c r="R499" s="184" t="n">
        <v>22898.4</v>
      </c>
      <c r="S499" s="184" t="s">
        <v>1361</v>
      </c>
      <c r="T499" s="187" t="n">
        <v>45912</v>
      </c>
    </row>
    <row r="500" customFormat="false" ht="46.25" hidden="true" customHeight="false" outlineLevel="0" collapsed="false">
      <c r="A500" s="181" t="s">
        <v>1362</v>
      </c>
      <c r="B500" s="182" t="n">
        <v>1563</v>
      </c>
      <c r="C500" s="183" t="n">
        <v>37308</v>
      </c>
      <c r="D500" s="181" t="s">
        <v>3327</v>
      </c>
      <c r="E500" s="181" t="s">
        <v>377</v>
      </c>
      <c r="F500" s="181" t="s">
        <v>378</v>
      </c>
      <c r="G500" s="181" t="s">
        <v>237</v>
      </c>
      <c r="H500" s="181" t="s">
        <v>279</v>
      </c>
      <c r="I500" s="181" t="s">
        <v>230</v>
      </c>
      <c r="J500" s="267"/>
      <c r="K500" s="269" t="n">
        <v>45911</v>
      </c>
      <c r="L500" s="267" t="n">
        <v>1.4</v>
      </c>
      <c r="M500" s="184" t="s">
        <v>237</v>
      </c>
      <c r="N500" s="184" t="n">
        <v>42220</v>
      </c>
      <c r="O500" s="184" t="n">
        <v>15550</v>
      </c>
      <c r="P500" s="185" t="n">
        <v>8</v>
      </c>
      <c r="Q500" s="184" t="n">
        <v>26670</v>
      </c>
      <c r="R500" s="184" t="n">
        <v>24536.4</v>
      </c>
      <c r="S500" s="184" t="s">
        <v>1363</v>
      </c>
      <c r="T500" s="187" t="n">
        <v>45912</v>
      </c>
    </row>
    <row r="501" customFormat="false" ht="46.25" hidden="true" customHeight="false" outlineLevel="0" collapsed="false">
      <c r="A501" s="181" t="s">
        <v>1364</v>
      </c>
      <c r="B501" s="182" t="n">
        <v>1564</v>
      </c>
      <c r="C501" s="183" t="n">
        <v>37314</v>
      </c>
      <c r="D501" s="181" t="s">
        <v>3327</v>
      </c>
      <c r="E501" s="181" t="s">
        <v>354</v>
      </c>
      <c r="F501" s="181" t="s">
        <v>355</v>
      </c>
      <c r="G501" s="181" t="s">
        <v>237</v>
      </c>
      <c r="H501" s="181" t="s">
        <v>279</v>
      </c>
      <c r="I501" s="181" t="s">
        <v>230</v>
      </c>
      <c r="J501" s="267"/>
      <c r="K501" s="269" t="n">
        <v>45911</v>
      </c>
      <c r="L501" s="267" t="n">
        <v>1.1</v>
      </c>
      <c r="M501" s="184" t="s">
        <v>237</v>
      </c>
      <c r="N501" s="184" t="n">
        <v>37070</v>
      </c>
      <c r="O501" s="184" t="n">
        <v>14680</v>
      </c>
      <c r="P501" s="185" t="n">
        <v>8</v>
      </c>
      <c r="Q501" s="184" t="n">
        <v>22390</v>
      </c>
      <c r="R501" s="184" t="n">
        <v>20598.8</v>
      </c>
      <c r="S501" s="184" t="s">
        <v>1365</v>
      </c>
      <c r="T501" s="187" t="n">
        <v>45912</v>
      </c>
    </row>
    <row r="502" customFormat="false" ht="46.25" hidden="true" customHeight="false" outlineLevel="0" collapsed="false">
      <c r="A502" s="181" t="s">
        <v>1366</v>
      </c>
      <c r="B502" s="182" t="n">
        <v>1565</v>
      </c>
      <c r="C502" s="183" t="n">
        <v>37316</v>
      </c>
      <c r="D502" s="181" t="s">
        <v>3327</v>
      </c>
      <c r="E502" s="181" t="s">
        <v>292</v>
      </c>
      <c r="F502" s="181" t="s">
        <v>293</v>
      </c>
      <c r="G502" s="181" t="s">
        <v>237</v>
      </c>
      <c r="H502" s="181" t="s">
        <v>279</v>
      </c>
      <c r="I502" s="181" t="s">
        <v>230</v>
      </c>
      <c r="J502" s="267"/>
      <c r="K502" s="269" t="n">
        <v>45911</v>
      </c>
      <c r="L502" s="267" t="n">
        <v>1.1</v>
      </c>
      <c r="M502" s="184" t="s">
        <v>237</v>
      </c>
      <c r="N502" s="184" t="n">
        <v>36000</v>
      </c>
      <c r="O502" s="184" t="n">
        <v>13860</v>
      </c>
      <c r="P502" s="185" t="n">
        <v>11</v>
      </c>
      <c r="Q502" s="184" t="n">
        <v>22140</v>
      </c>
      <c r="R502" s="184" t="n">
        <v>19704.6</v>
      </c>
      <c r="S502" s="184" t="s">
        <v>1367</v>
      </c>
      <c r="T502" s="187" t="n">
        <v>45912</v>
      </c>
    </row>
    <row r="503" customFormat="false" ht="46.25" hidden="true" customHeight="false" outlineLevel="0" collapsed="false">
      <c r="A503" s="181" t="s">
        <v>1368</v>
      </c>
      <c r="B503" s="182" t="n">
        <v>1566</v>
      </c>
      <c r="C503" s="183" t="n">
        <v>37320</v>
      </c>
      <c r="D503" s="181" t="s">
        <v>3327</v>
      </c>
      <c r="E503" s="181" t="s">
        <v>266</v>
      </c>
      <c r="F503" s="181" t="s">
        <v>267</v>
      </c>
      <c r="G503" s="181" t="s">
        <v>237</v>
      </c>
      <c r="H503" s="181" t="s">
        <v>279</v>
      </c>
      <c r="I503" s="181" t="s">
        <v>230</v>
      </c>
      <c r="J503" s="267"/>
      <c r="K503" s="269" t="n">
        <v>45911</v>
      </c>
      <c r="L503" s="267" t="n">
        <v>1.2</v>
      </c>
      <c r="M503" s="184" t="s">
        <v>237</v>
      </c>
      <c r="N503" s="184" t="n">
        <v>38520</v>
      </c>
      <c r="O503" s="184" t="n">
        <v>14850</v>
      </c>
      <c r="P503" s="185" t="n">
        <v>7</v>
      </c>
      <c r="Q503" s="184" t="n">
        <v>23670</v>
      </c>
      <c r="R503" s="184" t="n">
        <v>22013.1</v>
      </c>
      <c r="S503" s="184" t="s">
        <v>1369</v>
      </c>
      <c r="T503" s="187" t="n">
        <v>45912</v>
      </c>
    </row>
    <row r="504" customFormat="false" ht="46.25" hidden="true" customHeight="false" outlineLevel="0" collapsed="false">
      <c r="A504" s="181" t="s">
        <v>1370</v>
      </c>
      <c r="B504" s="182" t="n">
        <v>1567</v>
      </c>
      <c r="C504" s="183" t="n">
        <v>37322</v>
      </c>
      <c r="D504" s="181" t="s">
        <v>3327</v>
      </c>
      <c r="E504" s="181" t="s">
        <v>261</v>
      </c>
      <c r="F504" s="181" t="s">
        <v>262</v>
      </c>
      <c r="G504" s="181" t="s">
        <v>237</v>
      </c>
      <c r="H504" s="181" t="s">
        <v>279</v>
      </c>
      <c r="I504" s="181" t="s">
        <v>230</v>
      </c>
      <c r="J504" s="267"/>
      <c r="K504" s="269" t="n">
        <v>45911</v>
      </c>
      <c r="L504" s="267" t="n">
        <v>1.2</v>
      </c>
      <c r="M504" s="184" t="s">
        <v>237</v>
      </c>
      <c r="N504" s="184" t="n">
        <v>38600</v>
      </c>
      <c r="O504" s="184" t="n">
        <v>15070</v>
      </c>
      <c r="P504" s="185" t="n">
        <v>14</v>
      </c>
      <c r="Q504" s="184" t="n">
        <v>23530</v>
      </c>
      <c r="R504" s="184" t="n">
        <v>20235.8</v>
      </c>
      <c r="S504" s="184" t="s">
        <v>1371</v>
      </c>
      <c r="T504" s="187" t="n">
        <v>45912</v>
      </c>
    </row>
    <row r="505" customFormat="false" ht="46.25" hidden="true" customHeight="false" outlineLevel="0" collapsed="false">
      <c r="A505" s="181" t="s">
        <v>1372</v>
      </c>
      <c r="B505" s="182" t="n">
        <v>1568</v>
      </c>
      <c r="C505" s="183" t="n">
        <v>37324</v>
      </c>
      <c r="D505" s="181" t="s">
        <v>3327</v>
      </c>
      <c r="E505" s="181" t="s">
        <v>296</v>
      </c>
      <c r="F505" s="181" t="s">
        <v>297</v>
      </c>
      <c r="G505" s="181" t="s">
        <v>237</v>
      </c>
      <c r="H505" s="181" t="s">
        <v>279</v>
      </c>
      <c r="I505" s="181" t="s">
        <v>230</v>
      </c>
      <c r="J505" s="267"/>
      <c r="K505" s="269" t="n">
        <v>45911</v>
      </c>
      <c r="L505" s="267" t="n">
        <v>1.2</v>
      </c>
      <c r="M505" s="184" t="s">
        <v>237</v>
      </c>
      <c r="N505" s="184" t="n">
        <v>39790</v>
      </c>
      <c r="O505" s="184" t="n">
        <v>15420</v>
      </c>
      <c r="P505" s="185" t="n">
        <v>11</v>
      </c>
      <c r="Q505" s="184" t="n">
        <v>24370</v>
      </c>
      <c r="R505" s="184" t="n">
        <v>21689.3</v>
      </c>
      <c r="S505" s="184" t="s">
        <v>1373</v>
      </c>
      <c r="T505" s="187" t="n">
        <v>45912</v>
      </c>
    </row>
    <row r="506" customFormat="false" ht="46.25" hidden="true" customHeight="false" outlineLevel="0" collapsed="false">
      <c r="A506" s="181" t="s">
        <v>1376</v>
      </c>
      <c r="B506" s="182" t="n">
        <v>1570</v>
      </c>
      <c r="C506" s="183" t="n">
        <v>37344</v>
      </c>
      <c r="D506" s="181" t="s">
        <v>3327</v>
      </c>
      <c r="E506" s="181" t="s">
        <v>1019</v>
      </c>
      <c r="F506" s="181" t="s">
        <v>1020</v>
      </c>
      <c r="G506" s="181" t="s">
        <v>237</v>
      </c>
      <c r="H506" s="181" t="s">
        <v>279</v>
      </c>
      <c r="I506" s="181" t="s">
        <v>230</v>
      </c>
      <c r="J506" s="267"/>
      <c r="K506" s="269" t="n">
        <v>45911</v>
      </c>
      <c r="L506" s="267" t="n">
        <v>1.3</v>
      </c>
      <c r="M506" s="184" t="s">
        <v>237</v>
      </c>
      <c r="N506" s="184" t="n">
        <v>41800</v>
      </c>
      <c r="O506" s="184" t="n">
        <v>16740</v>
      </c>
      <c r="P506" s="185" t="n">
        <v>9</v>
      </c>
      <c r="Q506" s="184" t="n">
        <v>25060</v>
      </c>
      <c r="R506" s="184" t="n">
        <v>22804.6</v>
      </c>
      <c r="S506" s="184" t="s">
        <v>1377</v>
      </c>
      <c r="T506" s="187" t="n">
        <v>45912</v>
      </c>
    </row>
    <row r="507" customFormat="false" ht="46.25" hidden="true" customHeight="false" outlineLevel="0" collapsed="false">
      <c r="A507" s="181" t="s">
        <v>1374</v>
      </c>
      <c r="B507" s="182" t="n">
        <v>1569</v>
      </c>
      <c r="C507" s="183" t="n">
        <v>37346</v>
      </c>
      <c r="D507" s="181" t="s">
        <v>3327</v>
      </c>
      <c r="E507" s="181" t="s">
        <v>1027</v>
      </c>
      <c r="F507" s="181" t="s">
        <v>1028</v>
      </c>
      <c r="G507" s="181" t="s">
        <v>237</v>
      </c>
      <c r="H507" s="181" t="s">
        <v>279</v>
      </c>
      <c r="I507" s="181" t="s">
        <v>230</v>
      </c>
      <c r="J507" s="267"/>
      <c r="K507" s="269" t="n">
        <v>45911</v>
      </c>
      <c r="L507" s="267" t="n">
        <v>1.2</v>
      </c>
      <c r="M507" s="184" t="s">
        <v>237</v>
      </c>
      <c r="N507" s="184" t="n">
        <v>38410</v>
      </c>
      <c r="O507" s="184" t="n">
        <v>14950</v>
      </c>
      <c r="P507" s="185" t="n">
        <v>5</v>
      </c>
      <c r="Q507" s="184" t="n">
        <v>23460</v>
      </c>
      <c r="R507" s="184" t="n">
        <v>22287</v>
      </c>
      <c r="S507" s="184" t="s">
        <v>1375</v>
      </c>
      <c r="T507" s="187" t="n">
        <v>45912</v>
      </c>
    </row>
    <row r="508" customFormat="false" ht="46.25" hidden="true" customHeight="false" outlineLevel="0" collapsed="false">
      <c r="A508" s="181" t="s">
        <v>1378</v>
      </c>
      <c r="B508" s="182" t="n">
        <v>1571</v>
      </c>
      <c r="C508" s="183" t="n">
        <v>37348</v>
      </c>
      <c r="D508" s="181" t="s">
        <v>3327</v>
      </c>
      <c r="E508" s="181" t="s">
        <v>1023</v>
      </c>
      <c r="F508" s="181" t="s">
        <v>1024</v>
      </c>
      <c r="G508" s="181" t="s">
        <v>237</v>
      </c>
      <c r="H508" s="181" t="s">
        <v>279</v>
      </c>
      <c r="I508" s="181" t="s">
        <v>230</v>
      </c>
      <c r="J508" s="267"/>
      <c r="K508" s="269" t="n">
        <v>45911</v>
      </c>
      <c r="L508" s="267" t="n">
        <v>1.1</v>
      </c>
      <c r="M508" s="184" t="s">
        <v>237</v>
      </c>
      <c r="N508" s="184" t="n">
        <v>36940</v>
      </c>
      <c r="O508" s="184" t="n">
        <v>14740</v>
      </c>
      <c r="P508" s="185" t="n">
        <v>13</v>
      </c>
      <c r="Q508" s="184" t="n">
        <v>22200</v>
      </c>
      <c r="R508" s="184" t="n">
        <v>19314</v>
      </c>
      <c r="S508" s="184" t="s">
        <v>1379</v>
      </c>
      <c r="T508" s="187" t="n">
        <v>45912</v>
      </c>
    </row>
    <row r="509" customFormat="false" ht="46.25" hidden="true" customHeight="false" outlineLevel="0" collapsed="false">
      <c r="A509" s="181" t="s">
        <v>1380</v>
      </c>
      <c r="B509" s="182" t="n">
        <v>1572</v>
      </c>
      <c r="C509" s="183" t="n">
        <v>37318</v>
      </c>
      <c r="D509" s="181" t="s">
        <v>3327</v>
      </c>
      <c r="E509" s="181" t="s">
        <v>409</v>
      </c>
      <c r="F509" s="181" t="s">
        <v>410</v>
      </c>
      <c r="G509" s="181" t="s">
        <v>237</v>
      </c>
      <c r="H509" s="181" t="s">
        <v>279</v>
      </c>
      <c r="I509" s="181" t="s">
        <v>230</v>
      </c>
      <c r="J509" s="267"/>
      <c r="K509" s="269" t="n">
        <v>45911</v>
      </c>
      <c r="L509" s="267" t="n">
        <v>1.6</v>
      </c>
      <c r="M509" s="184" t="s">
        <v>237</v>
      </c>
      <c r="N509" s="184" t="n">
        <v>54940</v>
      </c>
      <c r="O509" s="184" t="n">
        <v>24080</v>
      </c>
      <c r="P509" s="185" t="n">
        <v>18</v>
      </c>
      <c r="Q509" s="184" t="n">
        <v>30860</v>
      </c>
      <c r="R509" s="184" t="n">
        <v>25305.2</v>
      </c>
      <c r="S509" s="184" t="s">
        <v>1381</v>
      </c>
      <c r="T509" s="187" t="n">
        <v>45912</v>
      </c>
    </row>
    <row r="510" customFormat="false" ht="46.25" hidden="true" customHeight="false" outlineLevel="0" collapsed="false">
      <c r="A510" s="181" t="s">
        <v>1382</v>
      </c>
      <c r="B510" s="182" t="n">
        <v>1576</v>
      </c>
      <c r="C510" s="183" t="n">
        <v>37326</v>
      </c>
      <c r="D510" s="181" t="s">
        <v>3327</v>
      </c>
      <c r="E510" s="181" t="s">
        <v>413</v>
      </c>
      <c r="F510" s="181" t="s">
        <v>414</v>
      </c>
      <c r="G510" s="181" t="s">
        <v>231</v>
      </c>
      <c r="H510" s="181" t="s">
        <v>279</v>
      </c>
      <c r="I510" s="181" t="s">
        <v>230</v>
      </c>
      <c r="J510" s="267"/>
      <c r="K510" s="269" t="n">
        <v>45912</v>
      </c>
      <c r="L510" s="267" t="n">
        <v>2</v>
      </c>
      <c r="M510" s="184" t="s">
        <v>231</v>
      </c>
      <c r="N510" s="184" t="n">
        <v>44390</v>
      </c>
      <c r="O510" s="184" t="n">
        <v>15590</v>
      </c>
      <c r="P510" s="185" t="n">
        <v>11</v>
      </c>
      <c r="Q510" s="184" t="n">
        <v>28800</v>
      </c>
      <c r="R510" s="184" t="n">
        <v>25632</v>
      </c>
      <c r="S510" s="184" t="s">
        <v>1383</v>
      </c>
      <c r="T510" s="187" t="n">
        <v>45912</v>
      </c>
    </row>
    <row r="511" customFormat="false" ht="46.25" hidden="true" customHeight="false" outlineLevel="0" collapsed="false">
      <c r="A511" s="181" t="s">
        <v>1384</v>
      </c>
      <c r="B511" s="182" t="n">
        <v>1577</v>
      </c>
      <c r="C511" s="183" t="n">
        <v>37257</v>
      </c>
      <c r="D511" s="181" t="s">
        <v>3327</v>
      </c>
      <c r="E511" s="181" t="s">
        <v>545</v>
      </c>
      <c r="F511" s="181" t="s">
        <v>546</v>
      </c>
      <c r="G511" s="181" t="s">
        <v>231</v>
      </c>
      <c r="H511" s="181" t="s">
        <v>279</v>
      </c>
      <c r="I511" s="181" t="s">
        <v>230</v>
      </c>
      <c r="J511" s="267"/>
      <c r="K511" s="269" t="n">
        <v>45912</v>
      </c>
      <c r="L511" s="267" t="n">
        <v>1.8</v>
      </c>
      <c r="M511" s="184" t="s">
        <v>231</v>
      </c>
      <c r="N511" s="184" t="n">
        <v>42170</v>
      </c>
      <c r="O511" s="184" t="n">
        <v>16050</v>
      </c>
      <c r="P511" s="185" t="n">
        <v>12</v>
      </c>
      <c r="Q511" s="184" t="n">
        <v>26120</v>
      </c>
      <c r="R511" s="184" t="n">
        <v>22985.6</v>
      </c>
      <c r="S511" s="184" t="s">
        <v>1385</v>
      </c>
      <c r="T511" s="187" t="n">
        <v>45912</v>
      </c>
    </row>
    <row r="512" customFormat="false" ht="46.25" hidden="true" customHeight="false" outlineLevel="0" collapsed="false">
      <c r="A512" s="181" t="s">
        <v>1386</v>
      </c>
      <c r="B512" s="182" t="n">
        <v>1578</v>
      </c>
      <c r="C512" s="183" t="n">
        <v>37330</v>
      </c>
      <c r="D512" s="181" t="s">
        <v>3327</v>
      </c>
      <c r="E512" s="181" t="s">
        <v>336</v>
      </c>
      <c r="F512" s="181" t="s">
        <v>337</v>
      </c>
      <c r="G512" s="181" t="s">
        <v>231</v>
      </c>
      <c r="H512" s="181" t="s">
        <v>279</v>
      </c>
      <c r="I512" s="181" t="s">
        <v>230</v>
      </c>
      <c r="J512" s="267"/>
      <c r="K512" s="269" t="n">
        <v>45912</v>
      </c>
      <c r="L512" s="267" t="n">
        <v>1.8</v>
      </c>
      <c r="M512" s="184" t="s">
        <v>231</v>
      </c>
      <c r="N512" s="184" t="n">
        <v>40000</v>
      </c>
      <c r="O512" s="184" t="n">
        <v>14510</v>
      </c>
      <c r="P512" s="185" t="n">
        <v>14</v>
      </c>
      <c r="Q512" s="184" t="n">
        <v>25490</v>
      </c>
      <c r="R512" s="184" t="n">
        <v>21921.4</v>
      </c>
      <c r="S512" s="184" t="s">
        <v>1387</v>
      </c>
      <c r="T512" s="187" t="n">
        <v>45912</v>
      </c>
    </row>
    <row r="513" customFormat="false" ht="46.25" hidden="true" customHeight="false" outlineLevel="0" collapsed="false">
      <c r="A513" s="181" t="s">
        <v>1388</v>
      </c>
      <c r="B513" s="182" t="n">
        <v>1579</v>
      </c>
      <c r="C513" s="183" t="n">
        <v>37332</v>
      </c>
      <c r="D513" s="181" t="s">
        <v>3327</v>
      </c>
      <c r="E513" s="181" t="s">
        <v>340</v>
      </c>
      <c r="F513" s="181" t="s">
        <v>341</v>
      </c>
      <c r="G513" s="181" t="s">
        <v>231</v>
      </c>
      <c r="H513" s="181" t="s">
        <v>279</v>
      </c>
      <c r="I513" s="181" t="s">
        <v>230</v>
      </c>
      <c r="J513" s="267"/>
      <c r="K513" s="269" t="n">
        <v>45912</v>
      </c>
      <c r="L513" s="267" t="n">
        <v>1.7</v>
      </c>
      <c r="M513" s="184" t="s">
        <v>231</v>
      </c>
      <c r="N513" s="184" t="n">
        <v>39680</v>
      </c>
      <c r="O513" s="184" t="n">
        <v>14970</v>
      </c>
      <c r="P513" s="185" t="n">
        <v>20</v>
      </c>
      <c r="Q513" s="184" t="n">
        <v>24710</v>
      </c>
      <c r="R513" s="184" t="n">
        <v>19768</v>
      </c>
      <c r="S513" s="184" t="s">
        <v>1389</v>
      </c>
      <c r="T513" s="187" t="n">
        <v>45912</v>
      </c>
    </row>
    <row r="514" customFormat="false" ht="46.25" hidden="true" customHeight="false" outlineLevel="0" collapsed="false">
      <c r="A514" s="181" t="s">
        <v>1390</v>
      </c>
      <c r="B514" s="182" t="n">
        <v>1580</v>
      </c>
      <c r="C514" s="183" t="n">
        <v>37334</v>
      </c>
      <c r="D514" s="181" t="s">
        <v>3327</v>
      </c>
      <c r="E514" s="181" t="s">
        <v>308</v>
      </c>
      <c r="F514" s="181" t="s">
        <v>309</v>
      </c>
      <c r="G514" s="181" t="s">
        <v>231</v>
      </c>
      <c r="H514" s="181" t="s">
        <v>279</v>
      </c>
      <c r="I514" s="181" t="s">
        <v>230</v>
      </c>
      <c r="J514" s="267"/>
      <c r="K514" s="269" t="n">
        <v>45912</v>
      </c>
      <c r="L514" s="267" t="n">
        <v>2.8</v>
      </c>
      <c r="M514" s="184" t="s">
        <v>231</v>
      </c>
      <c r="N514" s="184" t="n">
        <v>64250</v>
      </c>
      <c r="O514" s="184" t="n">
        <v>23990</v>
      </c>
      <c r="P514" s="185" t="n">
        <v>19</v>
      </c>
      <c r="Q514" s="184" t="n">
        <v>40260</v>
      </c>
      <c r="R514" s="184" t="n">
        <v>32610.6</v>
      </c>
      <c r="S514" s="184" t="s">
        <v>1391</v>
      </c>
      <c r="T514" s="187" t="n">
        <v>45912</v>
      </c>
    </row>
    <row r="515" customFormat="false" ht="46.25" hidden="true" customHeight="false" outlineLevel="0" collapsed="false">
      <c r="A515" s="181" t="s">
        <v>1392</v>
      </c>
      <c r="B515" s="182" t="n">
        <v>1583</v>
      </c>
      <c r="C515" s="183" t="n">
        <v>37338</v>
      </c>
      <c r="D515" s="181" t="s">
        <v>3327</v>
      </c>
      <c r="E515" s="181" t="s">
        <v>541</v>
      </c>
      <c r="F515" s="181" t="s">
        <v>542</v>
      </c>
      <c r="G515" s="181" t="s">
        <v>231</v>
      </c>
      <c r="H515" s="181" t="s">
        <v>279</v>
      </c>
      <c r="I515" s="181" t="s">
        <v>230</v>
      </c>
      <c r="J515" s="267"/>
      <c r="K515" s="269" t="n">
        <v>45912</v>
      </c>
      <c r="L515" s="267" t="n">
        <v>1.6</v>
      </c>
      <c r="M515" s="184" t="s">
        <v>231</v>
      </c>
      <c r="N515" s="184" t="n">
        <v>37600</v>
      </c>
      <c r="O515" s="184" t="n">
        <v>14890</v>
      </c>
      <c r="P515" s="185" t="n">
        <v>9</v>
      </c>
      <c r="Q515" s="184" t="n">
        <v>22710</v>
      </c>
      <c r="R515" s="184" t="n">
        <v>20666.1</v>
      </c>
      <c r="S515" s="184" t="s">
        <v>1393</v>
      </c>
      <c r="T515" s="187" t="n">
        <v>45912</v>
      </c>
    </row>
    <row r="516" customFormat="false" ht="46.25" hidden="true" customHeight="false" outlineLevel="0" collapsed="false">
      <c r="A516" s="181" t="s">
        <v>1394</v>
      </c>
      <c r="B516" s="182" t="n">
        <v>1584</v>
      </c>
      <c r="C516" s="183" t="n">
        <v>37336</v>
      </c>
      <c r="D516" s="181" t="s">
        <v>3327</v>
      </c>
      <c r="E516" s="181" t="s">
        <v>549</v>
      </c>
      <c r="F516" s="181" t="s">
        <v>550</v>
      </c>
      <c r="G516" s="181" t="s">
        <v>231</v>
      </c>
      <c r="H516" s="181" t="s">
        <v>279</v>
      </c>
      <c r="I516" s="181" t="s">
        <v>230</v>
      </c>
      <c r="J516" s="267"/>
      <c r="K516" s="269" t="n">
        <v>45912</v>
      </c>
      <c r="L516" s="267" t="n">
        <v>1.8</v>
      </c>
      <c r="M516" s="184" t="s">
        <v>231</v>
      </c>
      <c r="N516" s="184" t="n">
        <v>41560</v>
      </c>
      <c r="O516" s="184" t="n">
        <v>15840</v>
      </c>
      <c r="P516" s="185" t="n">
        <v>8</v>
      </c>
      <c r="Q516" s="184" t="n">
        <v>25720</v>
      </c>
      <c r="R516" s="184" t="n">
        <v>23662.4</v>
      </c>
      <c r="S516" s="184" t="s">
        <v>1395</v>
      </c>
      <c r="T516" s="187" t="n">
        <v>45912</v>
      </c>
    </row>
    <row r="517" customFormat="false" ht="46.25" hidden="true" customHeight="false" outlineLevel="0" collapsed="false">
      <c r="A517" s="181" t="s">
        <v>1396</v>
      </c>
      <c r="B517" s="182" t="n">
        <v>1585</v>
      </c>
      <c r="C517" s="183" t="n">
        <v>37350</v>
      </c>
      <c r="D517" s="181" t="s">
        <v>3327</v>
      </c>
      <c r="E517" s="181" t="s">
        <v>439</v>
      </c>
      <c r="F517" s="181" t="s">
        <v>440</v>
      </c>
      <c r="G517" s="181" t="s">
        <v>231</v>
      </c>
      <c r="H517" s="181" t="s">
        <v>279</v>
      </c>
      <c r="I517" s="181" t="s">
        <v>230</v>
      </c>
      <c r="J517" s="267"/>
      <c r="K517" s="269" t="n">
        <v>45912</v>
      </c>
      <c r="L517" s="267" t="n">
        <v>1.7</v>
      </c>
      <c r="M517" s="184" t="s">
        <v>231</v>
      </c>
      <c r="N517" s="184" t="n">
        <v>40250</v>
      </c>
      <c r="O517" s="184" t="n">
        <v>16260</v>
      </c>
      <c r="P517" s="185" t="n">
        <v>9</v>
      </c>
      <c r="Q517" s="184" t="n">
        <v>23990</v>
      </c>
      <c r="R517" s="184" t="n">
        <v>21830.9</v>
      </c>
      <c r="S517" s="184" t="s">
        <v>1397</v>
      </c>
      <c r="T517" s="187" t="n">
        <v>45912</v>
      </c>
    </row>
    <row r="518" customFormat="false" ht="46.25" hidden="true" customHeight="false" outlineLevel="0" collapsed="false">
      <c r="A518" s="181" t="s">
        <v>1398</v>
      </c>
      <c r="B518" s="182" t="n">
        <v>1587</v>
      </c>
      <c r="C518" s="183" t="n">
        <v>37342</v>
      </c>
      <c r="D518" s="181" t="s">
        <v>3327</v>
      </c>
      <c r="E518" s="181" t="s">
        <v>387</v>
      </c>
      <c r="F518" s="181" t="s">
        <v>388</v>
      </c>
      <c r="G518" s="181" t="s">
        <v>231</v>
      </c>
      <c r="H518" s="181" t="s">
        <v>279</v>
      </c>
      <c r="I518" s="181" t="s">
        <v>230</v>
      </c>
      <c r="J518" s="267"/>
      <c r="K518" s="269" t="n">
        <v>45912</v>
      </c>
      <c r="L518" s="267" t="n">
        <v>1.8</v>
      </c>
      <c r="M518" s="184" t="s">
        <v>231</v>
      </c>
      <c r="N518" s="184" t="n">
        <v>40020</v>
      </c>
      <c r="O518" s="184" t="n">
        <v>14930</v>
      </c>
      <c r="P518" s="185" t="n">
        <v>10</v>
      </c>
      <c r="Q518" s="184" t="n">
        <v>25090</v>
      </c>
      <c r="R518" s="184" t="n">
        <v>22581</v>
      </c>
      <c r="S518" s="184" t="s">
        <v>1399</v>
      </c>
      <c r="T518" s="187" t="n">
        <v>45913</v>
      </c>
    </row>
    <row r="519" customFormat="false" ht="46.25" hidden="true" customHeight="false" outlineLevel="0" collapsed="false">
      <c r="A519" s="181" t="s">
        <v>1400</v>
      </c>
      <c r="B519" s="182" t="n">
        <v>1588</v>
      </c>
      <c r="C519" s="183" t="n">
        <v>37340</v>
      </c>
      <c r="D519" s="181" t="s">
        <v>3327</v>
      </c>
      <c r="E519" s="181" t="s">
        <v>383</v>
      </c>
      <c r="F519" s="181" t="s">
        <v>384</v>
      </c>
      <c r="G519" s="181" t="s">
        <v>231</v>
      </c>
      <c r="H519" s="181" t="s">
        <v>279</v>
      </c>
      <c r="I519" s="181" t="s">
        <v>230</v>
      </c>
      <c r="J519" s="267"/>
      <c r="K519" s="269" t="n">
        <v>45912</v>
      </c>
      <c r="L519" s="267" t="n">
        <v>1.7</v>
      </c>
      <c r="M519" s="184" t="s">
        <v>231</v>
      </c>
      <c r="N519" s="184" t="n">
        <v>39610</v>
      </c>
      <c r="O519" s="184" t="n">
        <v>14750</v>
      </c>
      <c r="P519" s="185" t="n">
        <v>9</v>
      </c>
      <c r="Q519" s="184" t="n">
        <v>24860</v>
      </c>
      <c r="R519" s="184" t="n">
        <v>22622.6</v>
      </c>
      <c r="S519" s="184" t="s">
        <v>1401</v>
      </c>
      <c r="T519" s="187" t="n">
        <v>45913</v>
      </c>
    </row>
    <row r="520" customFormat="false" ht="46.25" hidden="true" customHeight="false" outlineLevel="0" collapsed="false">
      <c r="A520" s="181" t="s">
        <v>1402</v>
      </c>
      <c r="B520" s="182" t="n">
        <v>1594</v>
      </c>
      <c r="C520" s="183" t="n">
        <v>37352</v>
      </c>
      <c r="D520" s="181" t="s">
        <v>3327</v>
      </c>
      <c r="E520" s="181" t="s">
        <v>431</v>
      </c>
      <c r="F520" s="181" t="s">
        <v>432</v>
      </c>
      <c r="G520" s="181" t="s">
        <v>231</v>
      </c>
      <c r="H520" s="181" t="s">
        <v>279</v>
      </c>
      <c r="I520" s="181" t="s">
        <v>230</v>
      </c>
      <c r="J520" s="267"/>
      <c r="K520" s="269" t="n">
        <v>45912</v>
      </c>
      <c r="L520" s="267" t="n">
        <v>1.6</v>
      </c>
      <c r="M520" s="184" t="s">
        <v>231</v>
      </c>
      <c r="N520" s="184" t="n">
        <v>39680</v>
      </c>
      <c r="O520" s="184" t="n">
        <v>16390</v>
      </c>
      <c r="P520" s="185" t="n">
        <v>8</v>
      </c>
      <c r="Q520" s="184" t="n">
        <v>23290</v>
      </c>
      <c r="R520" s="184" t="n">
        <v>21426.8</v>
      </c>
      <c r="S520" s="184" t="s">
        <v>1403</v>
      </c>
      <c r="T520" s="187" t="n">
        <v>45913</v>
      </c>
    </row>
    <row r="521" customFormat="false" ht="46.25" hidden="true" customHeight="false" outlineLevel="0" collapsed="false">
      <c r="A521" s="181" t="s">
        <v>1404</v>
      </c>
      <c r="B521" s="182" t="n">
        <v>1599</v>
      </c>
      <c r="C521" s="183" t="n">
        <v>37359</v>
      </c>
      <c r="D521" s="181" t="s">
        <v>3327</v>
      </c>
      <c r="E521" s="181" t="s">
        <v>529</v>
      </c>
      <c r="F521" s="181" t="s">
        <v>530</v>
      </c>
      <c r="G521" s="181" t="s">
        <v>231</v>
      </c>
      <c r="H521" s="181" t="s">
        <v>279</v>
      </c>
      <c r="I521" s="181" t="s">
        <v>230</v>
      </c>
      <c r="J521" s="267"/>
      <c r="K521" s="269" t="n">
        <v>45912</v>
      </c>
      <c r="L521" s="267" t="n">
        <v>1.5</v>
      </c>
      <c r="M521" s="184" t="s">
        <v>231</v>
      </c>
      <c r="N521" s="184" t="n">
        <v>36500</v>
      </c>
      <c r="O521" s="184" t="n">
        <v>14810</v>
      </c>
      <c r="P521" s="185" t="n">
        <v>14</v>
      </c>
      <c r="Q521" s="184" t="n">
        <v>21690</v>
      </c>
      <c r="R521" s="184" t="n">
        <v>18653.4</v>
      </c>
      <c r="S521" s="184" t="s">
        <v>1405</v>
      </c>
      <c r="T521" s="187" t="n">
        <v>45913</v>
      </c>
    </row>
    <row r="522" customFormat="false" ht="46.25" hidden="true" customHeight="false" outlineLevel="0" collapsed="false">
      <c r="A522" s="181" t="s">
        <v>1406</v>
      </c>
      <c r="B522" s="182" t="n">
        <v>1600</v>
      </c>
      <c r="C522" s="183" t="n">
        <v>37361</v>
      </c>
      <c r="D522" s="181" t="s">
        <v>3327</v>
      </c>
      <c r="E522" s="181" t="s">
        <v>391</v>
      </c>
      <c r="F522" s="181" t="s">
        <v>392</v>
      </c>
      <c r="G522" s="181" t="s">
        <v>231</v>
      </c>
      <c r="H522" s="181" t="s">
        <v>279</v>
      </c>
      <c r="I522" s="181" t="s">
        <v>230</v>
      </c>
      <c r="J522" s="267"/>
      <c r="K522" s="269" t="n">
        <v>45912</v>
      </c>
      <c r="L522" s="267" t="n">
        <v>1.5</v>
      </c>
      <c r="M522" s="184" t="s">
        <v>231</v>
      </c>
      <c r="N522" s="184" t="n">
        <v>36620</v>
      </c>
      <c r="O522" s="184" t="n">
        <v>14440</v>
      </c>
      <c r="P522" s="185" t="n">
        <v>18</v>
      </c>
      <c r="Q522" s="184" t="n">
        <v>22180</v>
      </c>
      <c r="R522" s="184" t="n">
        <v>18187.6</v>
      </c>
      <c r="S522" s="184" t="s">
        <v>1407</v>
      </c>
      <c r="T522" s="187" t="n">
        <v>45913</v>
      </c>
    </row>
    <row r="523" customFormat="false" ht="46.25" hidden="true" customHeight="false" outlineLevel="0" collapsed="false">
      <c r="A523" s="181" t="s">
        <v>1408</v>
      </c>
      <c r="B523" s="182" t="n">
        <v>1603</v>
      </c>
      <c r="C523" s="183" t="n">
        <v>37365</v>
      </c>
      <c r="D523" s="181" t="s">
        <v>3327</v>
      </c>
      <c r="E523" s="181" t="s">
        <v>576</v>
      </c>
      <c r="F523" s="181" t="s">
        <v>577</v>
      </c>
      <c r="G523" s="181" t="s">
        <v>231</v>
      </c>
      <c r="H523" s="181" t="s">
        <v>279</v>
      </c>
      <c r="I523" s="181" t="s">
        <v>230</v>
      </c>
      <c r="J523" s="267"/>
      <c r="K523" s="269" t="n">
        <v>45912</v>
      </c>
      <c r="L523" s="267" t="n">
        <v>1.6</v>
      </c>
      <c r="M523" s="184" t="s">
        <v>231</v>
      </c>
      <c r="N523" s="184" t="n">
        <v>37810</v>
      </c>
      <c r="O523" s="184" t="n">
        <v>14430</v>
      </c>
      <c r="P523" s="185" t="n">
        <v>10</v>
      </c>
      <c r="Q523" s="184" t="n">
        <v>23380</v>
      </c>
      <c r="R523" s="184" t="n">
        <v>21042</v>
      </c>
      <c r="S523" s="184" t="s">
        <v>1409</v>
      </c>
      <c r="T523" s="187" t="n">
        <v>45913</v>
      </c>
    </row>
    <row r="524" customFormat="false" ht="46.25" hidden="true" customHeight="false" outlineLevel="0" collapsed="false">
      <c r="A524" s="181" t="s">
        <v>1410</v>
      </c>
      <c r="B524" s="182" t="n">
        <v>1604</v>
      </c>
      <c r="C524" s="183" t="n">
        <v>37363</v>
      </c>
      <c r="D524" s="181" t="s">
        <v>3327</v>
      </c>
      <c r="E524" s="181" t="s">
        <v>282</v>
      </c>
      <c r="F524" s="181" t="s">
        <v>283</v>
      </c>
      <c r="G524" s="181" t="s">
        <v>231</v>
      </c>
      <c r="H524" s="181" t="s">
        <v>279</v>
      </c>
      <c r="I524" s="181" t="s">
        <v>230</v>
      </c>
      <c r="J524" s="267"/>
      <c r="K524" s="269" t="n">
        <v>45913</v>
      </c>
      <c r="L524" s="267" t="n">
        <v>1.5</v>
      </c>
      <c r="M524" s="184" t="s">
        <v>231</v>
      </c>
      <c r="N524" s="184" t="n">
        <v>40390</v>
      </c>
      <c r="O524" s="184" t="n">
        <v>15010</v>
      </c>
      <c r="P524" s="185" t="n">
        <v>19</v>
      </c>
      <c r="Q524" s="184" t="n">
        <v>25380</v>
      </c>
      <c r="R524" s="184" t="n">
        <v>20557.8</v>
      </c>
      <c r="S524" s="184" t="s">
        <v>1411</v>
      </c>
      <c r="T524" s="187" t="n">
        <v>45913</v>
      </c>
    </row>
    <row r="525" customFormat="false" ht="46.25" hidden="true" customHeight="false" outlineLevel="0" collapsed="false">
      <c r="A525" s="181" t="s">
        <v>1428</v>
      </c>
      <c r="B525" s="182" t="n">
        <v>1616</v>
      </c>
      <c r="C525" s="183" t="n">
        <v>37432</v>
      </c>
      <c r="D525" s="181" t="s">
        <v>3327</v>
      </c>
      <c r="E525" s="181" t="s">
        <v>346</v>
      </c>
      <c r="F525" s="181" t="s">
        <v>347</v>
      </c>
      <c r="G525" s="181" t="s">
        <v>234</v>
      </c>
      <c r="H525" s="181" t="s">
        <v>279</v>
      </c>
      <c r="I525" s="181" t="s">
        <v>230</v>
      </c>
      <c r="J525" s="267"/>
      <c r="K525" s="269" t="n">
        <v>45913</v>
      </c>
      <c r="L525" s="267" t="n">
        <v>1.5</v>
      </c>
      <c r="M525" s="184" t="s">
        <v>234</v>
      </c>
      <c r="N525" s="184" t="n">
        <v>38410</v>
      </c>
      <c r="O525" s="184" t="n">
        <v>15020</v>
      </c>
      <c r="P525" s="185" t="n">
        <v>6</v>
      </c>
      <c r="Q525" s="184" t="n">
        <v>23390</v>
      </c>
      <c r="R525" s="184" t="n">
        <v>21986.6</v>
      </c>
      <c r="S525" s="184" t="s">
        <v>1429</v>
      </c>
      <c r="T525" s="187" t="n">
        <v>45913</v>
      </c>
    </row>
    <row r="526" customFormat="false" ht="46.25" hidden="true" customHeight="false" outlineLevel="0" collapsed="false">
      <c r="A526" s="181" t="s">
        <v>1412</v>
      </c>
      <c r="B526" s="182" t="n">
        <v>1606</v>
      </c>
      <c r="C526" s="183" t="n">
        <v>37367</v>
      </c>
      <c r="D526" s="181" t="s">
        <v>3327</v>
      </c>
      <c r="E526" s="181" t="s">
        <v>272</v>
      </c>
      <c r="F526" s="181" t="s">
        <v>273</v>
      </c>
      <c r="G526" s="181" t="s">
        <v>231</v>
      </c>
      <c r="H526" s="181" t="s">
        <v>279</v>
      </c>
      <c r="I526" s="181" t="s">
        <v>230</v>
      </c>
      <c r="J526" s="267"/>
      <c r="K526" s="269" t="n">
        <v>45913</v>
      </c>
      <c r="L526" s="267" t="n">
        <v>1.3</v>
      </c>
      <c r="M526" s="184" t="s">
        <v>231</v>
      </c>
      <c r="N526" s="184" t="n">
        <v>37980</v>
      </c>
      <c r="O526" s="184" t="n">
        <v>15520</v>
      </c>
      <c r="P526" s="185" t="n">
        <v>19</v>
      </c>
      <c r="Q526" s="184" t="n">
        <v>22460</v>
      </c>
      <c r="R526" s="184" t="n">
        <v>18192.6</v>
      </c>
      <c r="S526" s="184" t="s">
        <v>1413</v>
      </c>
      <c r="T526" s="187" t="n">
        <v>45913</v>
      </c>
    </row>
    <row r="527" customFormat="false" ht="46.25" hidden="true" customHeight="false" outlineLevel="0" collapsed="false">
      <c r="A527" s="181" t="s">
        <v>1414</v>
      </c>
      <c r="B527" s="182" t="n">
        <v>1607</v>
      </c>
      <c r="C527" s="183" t="n">
        <v>37369</v>
      </c>
      <c r="D527" s="181" t="s">
        <v>3327</v>
      </c>
      <c r="E527" s="181" t="s">
        <v>300</v>
      </c>
      <c r="F527" s="181" t="s">
        <v>301</v>
      </c>
      <c r="G527" s="181" t="s">
        <v>231</v>
      </c>
      <c r="H527" s="181" t="s">
        <v>279</v>
      </c>
      <c r="I527" s="181" t="s">
        <v>230</v>
      </c>
      <c r="J527" s="267"/>
      <c r="K527" s="269" t="n">
        <v>45912</v>
      </c>
      <c r="L527" s="267" t="n">
        <v>2.3</v>
      </c>
      <c r="M527" s="184" t="s">
        <v>231</v>
      </c>
      <c r="N527" s="184" t="n">
        <v>53780</v>
      </c>
      <c r="O527" s="184" t="n">
        <v>20920</v>
      </c>
      <c r="P527" s="185" t="n">
        <v>15</v>
      </c>
      <c r="Q527" s="184" t="n">
        <v>32860</v>
      </c>
      <c r="R527" s="184" t="n">
        <v>27931</v>
      </c>
      <c r="S527" s="184" t="s">
        <v>1415</v>
      </c>
      <c r="T527" s="187" t="n">
        <v>45913</v>
      </c>
    </row>
    <row r="528" customFormat="false" ht="46.25" hidden="true" customHeight="false" outlineLevel="0" collapsed="false">
      <c r="A528" s="181" t="s">
        <v>1416</v>
      </c>
      <c r="B528" s="182" t="n">
        <v>1608</v>
      </c>
      <c r="C528" s="183" t="n">
        <v>37380</v>
      </c>
      <c r="D528" s="181" t="s">
        <v>3327</v>
      </c>
      <c r="E528" s="181" t="s">
        <v>435</v>
      </c>
      <c r="F528" s="181" t="s">
        <v>436</v>
      </c>
      <c r="G528" s="181" t="s">
        <v>231</v>
      </c>
      <c r="H528" s="181" t="s">
        <v>279</v>
      </c>
      <c r="I528" s="181" t="s">
        <v>230</v>
      </c>
      <c r="J528" s="267"/>
      <c r="K528" s="269" t="n">
        <v>45912</v>
      </c>
      <c r="L528" s="267" t="n">
        <v>1.6</v>
      </c>
      <c r="M528" s="184" t="s">
        <v>231</v>
      </c>
      <c r="N528" s="184" t="n">
        <v>39180</v>
      </c>
      <c r="O528" s="184" t="n">
        <v>16310</v>
      </c>
      <c r="P528" s="185" t="n">
        <v>16</v>
      </c>
      <c r="Q528" s="184" t="n">
        <v>22870</v>
      </c>
      <c r="R528" s="184" t="n">
        <v>19210.8</v>
      </c>
      <c r="S528" s="184" t="s">
        <v>1417</v>
      </c>
      <c r="T528" s="187" t="n">
        <v>45913</v>
      </c>
    </row>
    <row r="529" customFormat="false" ht="46.25" hidden="true" customHeight="false" outlineLevel="0" collapsed="false">
      <c r="A529" s="181" t="s">
        <v>1418</v>
      </c>
      <c r="B529" s="182" t="n">
        <v>1609</v>
      </c>
      <c r="C529" s="183" t="n">
        <v>37372</v>
      </c>
      <c r="D529" s="181" t="s">
        <v>3327</v>
      </c>
      <c r="E529" s="181" t="s">
        <v>359</v>
      </c>
      <c r="F529" s="181" t="s">
        <v>360</v>
      </c>
      <c r="G529" s="181" t="s">
        <v>231</v>
      </c>
      <c r="H529" s="181" t="s">
        <v>279</v>
      </c>
      <c r="I529" s="181" t="s">
        <v>230</v>
      </c>
      <c r="J529" s="267"/>
      <c r="K529" s="269" t="n">
        <v>45913</v>
      </c>
      <c r="L529" s="267" t="n">
        <v>1.3</v>
      </c>
      <c r="M529" s="184" t="s">
        <v>231</v>
      </c>
      <c r="N529" s="184" t="n">
        <v>36680</v>
      </c>
      <c r="O529" s="184" t="n">
        <v>14790</v>
      </c>
      <c r="P529" s="185" t="n">
        <v>19</v>
      </c>
      <c r="Q529" s="184" t="n">
        <v>21890</v>
      </c>
      <c r="R529" s="184" t="n">
        <v>17730.9</v>
      </c>
      <c r="S529" s="184" t="s">
        <v>1419</v>
      </c>
      <c r="T529" s="187" t="n">
        <v>45913</v>
      </c>
    </row>
    <row r="530" customFormat="false" ht="46.25" hidden="true" customHeight="false" outlineLevel="0" collapsed="false">
      <c r="A530" s="181" t="s">
        <v>1420</v>
      </c>
      <c r="B530" s="182" t="n">
        <v>1612</v>
      </c>
      <c r="C530" s="183" t="n">
        <v>37382</v>
      </c>
      <c r="D530" s="181" t="s">
        <v>3327</v>
      </c>
      <c r="E530" s="181" t="s">
        <v>332</v>
      </c>
      <c r="F530" s="181" t="s">
        <v>333</v>
      </c>
      <c r="G530" s="181" t="s">
        <v>231</v>
      </c>
      <c r="H530" s="181" t="s">
        <v>279</v>
      </c>
      <c r="I530" s="181" t="s">
        <v>230</v>
      </c>
      <c r="J530" s="267"/>
      <c r="K530" s="269" t="n">
        <v>45913</v>
      </c>
      <c r="L530" s="267" t="n">
        <v>1.4</v>
      </c>
      <c r="M530" s="184" t="s">
        <v>231</v>
      </c>
      <c r="N530" s="184" t="n">
        <v>38450</v>
      </c>
      <c r="O530" s="184" t="n">
        <v>14680</v>
      </c>
      <c r="P530" s="185" t="n">
        <v>11</v>
      </c>
      <c r="Q530" s="184" t="n">
        <v>23770</v>
      </c>
      <c r="R530" s="184" t="n">
        <v>21155.3</v>
      </c>
      <c r="S530" s="184" t="s">
        <v>1421</v>
      </c>
      <c r="T530" s="187" t="n">
        <v>45913</v>
      </c>
    </row>
    <row r="531" customFormat="false" ht="46.25" hidden="true" customHeight="false" outlineLevel="0" collapsed="false">
      <c r="A531" s="181" t="s">
        <v>1422</v>
      </c>
      <c r="B531" s="182" t="n">
        <v>1613</v>
      </c>
      <c r="C531" s="183" t="n">
        <v>37384</v>
      </c>
      <c r="D531" s="181" t="s">
        <v>3327</v>
      </c>
      <c r="E531" s="181" t="s">
        <v>288</v>
      </c>
      <c r="F531" s="181" t="s">
        <v>289</v>
      </c>
      <c r="G531" s="181" t="s">
        <v>231</v>
      </c>
      <c r="H531" s="181" t="s">
        <v>279</v>
      </c>
      <c r="I531" s="181" t="s">
        <v>230</v>
      </c>
      <c r="J531" s="267"/>
      <c r="K531" s="269" t="n">
        <v>45912</v>
      </c>
      <c r="L531" s="267" t="n">
        <v>1.6</v>
      </c>
      <c r="M531" s="184" t="s">
        <v>231</v>
      </c>
      <c r="N531" s="184" t="n">
        <v>38130</v>
      </c>
      <c r="O531" s="184" t="n">
        <v>14540</v>
      </c>
      <c r="P531" s="185" t="n">
        <v>11</v>
      </c>
      <c r="Q531" s="184" t="n">
        <v>23590</v>
      </c>
      <c r="R531" s="184" t="n">
        <v>20995.1</v>
      </c>
      <c r="S531" s="184" t="s">
        <v>1423</v>
      </c>
      <c r="T531" s="187" t="n">
        <v>45913</v>
      </c>
    </row>
    <row r="532" customFormat="false" ht="46.25" hidden="true" customHeight="false" outlineLevel="0" collapsed="false">
      <c r="A532" s="181" t="s">
        <v>1438</v>
      </c>
      <c r="B532" s="182" t="n">
        <v>1622</v>
      </c>
      <c r="C532" s="183" t="n">
        <v>37458</v>
      </c>
      <c r="D532" s="181" t="s">
        <v>3327</v>
      </c>
      <c r="E532" s="181" t="s">
        <v>261</v>
      </c>
      <c r="F532" s="181" t="s">
        <v>262</v>
      </c>
      <c r="G532" s="181" t="s">
        <v>233</v>
      </c>
      <c r="H532" s="181" t="s">
        <v>279</v>
      </c>
      <c r="I532" s="181" t="s">
        <v>230</v>
      </c>
      <c r="J532" s="267"/>
      <c r="K532" s="269" t="n">
        <v>45913</v>
      </c>
      <c r="L532" s="267" t="n">
        <v>1.5</v>
      </c>
      <c r="M532" s="184" t="s">
        <v>233</v>
      </c>
      <c r="N532" s="184" t="n">
        <v>38350</v>
      </c>
      <c r="O532" s="184" t="n">
        <v>15060</v>
      </c>
      <c r="P532" s="185" t="n">
        <v>16</v>
      </c>
      <c r="Q532" s="184" t="n">
        <v>23290</v>
      </c>
      <c r="R532" s="184" t="n">
        <v>19563.6</v>
      </c>
      <c r="S532" s="184" t="s">
        <v>1439</v>
      </c>
      <c r="T532" s="187" t="n">
        <v>45914</v>
      </c>
    </row>
    <row r="533" customFormat="false" ht="46.25" hidden="true" customHeight="false" outlineLevel="0" collapsed="false">
      <c r="A533" s="181" t="s">
        <v>1424</v>
      </c>
      <c r="B533" s="182" t="n">
        <v>1614</v>
      </c>
      <c r="C533" s="183" t="n">
        <v>37421</v>
      </c>
      <c r="D533" s="181" t="s">
        <v>3327</v>
      </c>
      <c r="E533" s="181" t="s">
        <v>533</v>
      </c>
      <c r="F533" s="181" t="s">
        <v>534</v>
      </c>
      <c r="G533" s="181" t="s">
        <v>231</v>
      </c>
      <c r="H533" s="181" t="s">
        <v>279</v>
      </c>
      <c r="I533" s="181" t="s">
        <v>230</v>
      </c>
      <c r="J533" s="267"/>
      <c r="K533" s="269" t="n">
        <v>45913</v>
      </c>
      <c r="L533" s="267" t="n">
        <v>1.5</v>
      </c>
      <c r="M533" s="184" t="s">
        <v>231</v>
      </c>
      <c r="N533" s="184" t="n">
        <v>39780</v>
      </c>
      <c r="O533" s="184" t="n">
        <v>14510</v>
      </c>
      <c r="P533" s="185" t="n">
        <v>21</v>
      </c>
      <c r="Q533" s="184" t="n">
        <v>25270</v>
      </c>
      <c r="R533" s="184" t="n">
        <v>19963.3</v>
      </c>
      <c r="S533" s="184" t="s">
        <v>1425</v>
      </c>
      <c r="T533" s="187" t="n">
        <v>45913</v>
      </c>
    </row>
    <row r="534" customFormat="false" ht="46.25" hidden="true" customHeight="false" outlineLevel="0" collapsed="false">
      <c r="A534" s="181" t="s">
        <v>1426</v>
      </c>
      <c r="B534" s="182" t="n">
        <v>1615</v>
      </c>
      <c r="C534" s="183" t="n">
        <v>37399</v>
      </c>
      <c r="D534" s="181" t="s">
        <v>3327</v>
      </c>
      <c r="E534" s="181" t="s">
        <v>537</v>
      </c>
      <c r="F534" s="181" t="s">
        <v>538</v>
      </c>
      <c r="G534" s="181" t="s">
        <v>231</v>
      </c>
      <c r="H534" s="181" t="s">
        <v>279</v>
      </c>
      <c r="I534" s="181" t="s">
        <v>230</v>
      </c>
      <c r="J534" s="267"/>
      <c r="K534" s="269" t="n">
        <v>45912</v>
      </c>
      <c r="L534" s="267" t="n">
        <v>1.5</v>
      </c>
      <c r="M534" s="184" t="s">
        <v>231</v>
      </c>
      <c r="N534" s="184" t="n">
        <v>35640</v>
      </c>
      <c r="O534" s="184" t="n">
        <v>13890</v>
      </c>
      <c r="P534" s="185" t="n">
        <v>21</v>
      </c>
      <c r="Q534" s="184" t="n">
        <v>21750</v>
      </c>
      <c r="R534" s="184" t="n">
        <v>17182.5</v>
      </c>
      <c r="S534" s="184" t="s">
        <v>1427</v>
      </c>
      <c r="T534" s="187" t="n">
        <v>45913</v>
      </c>
    </row>
    <row r="535" customFormat="false" ht="46.25" hidden="true" customHeight="false" outlineLevel="0" collapsed="false">
      <c r="A535" s="181" t="s">
        <v>1430</v>
      </c>
      <c r="B535" s="182" t="n">
        <v>1618</v>
      </c>
      <c r="C535" s="183" t="n">
        <v>37423</v>
      </c>
      <c r="D535" s="181" t="s">
        <v>3327</v>
      </c>
      <c r="E535" s="181" t="s">
        <v>277</v>
      </c>
      <c r="F535" s="181" t="s">
        <v>278</v>
      </c>
      <c r="G535" s="181" t="s">
        <v>231</v>
      </c>
      <c r="H535" s="181" t="s">
        <v>279</v>
      </c>
      <c r="I535" s="181" t="s">
        <v>230</v>
      </c>
      <c r="J535" s="267"/>
      <c r="K535" s="269" t="n">
        <v>45912</v>
      </c>
      <c r="L535" s="267" t="n">
        <v>1.9</v>
      </c>
      <c r="M535" s="184" t="s">
        <v>231</v>
      </c>
      <c r="N535" s="184" t="n">
        <v>42270</v>
      </c>
      <c r="O535" s="184" t="n">
        <v>15050</v>
      </c>
      <c r="P535" s="185" t="n">
        <v>14</v>
      </c>
      <c r="Q535" s="184" t="n">
        <v>27220</v>
      </c>
      <c r="R535" s="184" t="n">
        <v>23409.2</v>
      </c>
      <c r="S535" s="184" t="s">
        <v>1431</v>
      </c>
      <c r="T535" s="187" t="n">
        <v>45913</v>
      </c>
    </row>
    <row r="536" customFormat="false" ht="46.25" hidden="true" customHeight="false" outlineLevel="0" collapsed="false">
      <c r="A536" s="181" t="s">
        <v>1432</v>
      </c>
      <c r="B536" s="182" t="n">
        <v>1619</v>
      </c>
      <c r="C536" s="183" t="n">
        <v>37428</v>
      </c>
      <c r="D536" s="181" t="s">
        <v>3327</v>
      </c>
      <c r="E536" s="181" t="s">
        <v>901</v>
      </c>
      <c r="F536" s="181" t="s">
        <v>902</v>
      </c>
      <c r="G536" s="181" t="s">
        <v>231</v>
      </c>
      <c r="H536" s="181" t="s">
        <v>279</v>
      </c>
      <c r="I536" s="181" t="s">
        <v>230</v>
      </c>
      <c r="J536" s="267"/>
      <c r="K536" s="269" t="n">
        <v>45913</v>
      </c>
      <c r="L536" s="267" t="n">
        <v>1.4</v>
      </c>
      <c r="M536" s="184" t="s">
        <v>231</v>
      </c>
      <c r="N536" s="184" t="n">
        <v>38540</v>
      </c>
      <c r="O536" s="184" t="n">
        <v>14780</v>
      </c>
      <c r="P536" s="185" t="n">
        <v>14</v>
      </c>
      <c r="Q536" s="184" t="n">
        <v>23760</v>
      </c>
      <c r="R536" s="184" t="n">
        <v>20433.6</v>
      </c>
      <c r="S536" s="184" t="s">
        <v>1433</v>
      </c>
      <c r="T536" s="187" t="n">
        <v>45914</v>
      </c>
    </row>
    <row r="537" customFormat="false" ht="46.25" hidden="true" customHeight="false" outlineLevel="0" collapsed="false">
      <c r="A537" s="181" t="s">
        <v>1434</v>
      </c>
      <c r="B537" s="182" t="n">
        <v>1620</v>
      </c>
      <c r="C537" s="183" t="n">
        <v>37426</v>
      </c>
      <c r="D537" s="181" t="s">
        <v>3327</v>
      </c>
      <c r="E537" s="181" t="s">
        <v>1289</v>
      </c>
      <c r="F537" s="181" t="s">
        <v>1290</v>
      </c>
      <c r="G537" s="181" t="s">
        <v>231</v>
      </c>
      <c r="H537" s="181" t="s">
        <v>279</v>
      </c>
      <c r="I537" s="181" t="s">
        <v>230</v>
      </c>
      <c r="J537" s="267"/>
      <c r="K537" s="269" t="n">
        <v>45913</v>
      </c>
      <c r="L537" s="267" t="n">
        <v>1.5</v>
      </c>
      <c r="M537" s="184" t="s">
        <v>231</v>
      </c>
      <c r="N537" s="184" t="n">
        <v>40350</v>
      </c>
      <c r="O537" s="184" t="n">
        <v>15760</v>
      </c>
      <c r="P537" s="185" t="n">
        <v>17</v>
      </c>
      <c r="Q537" s="184" t="n">
        <v>24590</v>
      </c>
      <c r="R537" s="184" t="n">
        <v>20409.7</v>
      </c>
      <c r="S537" s="184" t="s">
        <v>1435</v>
      </c>
      <c r="T537" s="187" t="n">
        <v>45914</v>
      </c>
    </row>
    <row r="538" customFormat="false" ht="46.25" hidden="true" customHeight="false" outlineLevel="0" collapsed="false">
      <c r="A538" s="181" t="s">
        <v>1436</v>
      </c>
      <c r="B538" s="182" t="n">
        <v>1621</v>
      </c>
      <c r="C538" s="183" t="n">
        <v>37430</v>
      </c>
      <c r="D538" s="181" t="s">
        <v>3327</v>
      </c>
      <c r="E538" s="181" t="s">
        <v>1309</v>
      </c>
      <c r="F538" s="181" t="s">
        <v>1310</v>
      </c>
      <c r="G538" s="181" t="s">
        <v>231</v>
      </c>
      <c r="H538" s="181" t="s">
        <v>279</v>
      </c>
      <c r="I538" s="181" t="s">
        <v>230</v>
      </c>
      <c r="J538" s="267"/>
      <c r="K538" s="269" t="n">
        <v>45913</v>
      </c>
      <c r="L538" s="267" t="n">
        <v>1.4</v>
      </c>
      <c r="M538" s="184" t="s">
        <v>231</v>
      </c>
      <c r="N538" s="184" t="n">
        <v>39490</v>
      </c>
      <c r="O538" s="184" t="n">
        <v>15530</v>
      </c>
      <c r="P538" s="185" t="n">
        <v>14</v>
      </c>
      <c r="Q538" s="184" t="n">
        <v>23960</v>
      </c>
      <c r="R538" s="184" t="n">
        <v>20605.6</v>
      </c>
      <c r="S538" s="184" t="s">
        <v>1437</v>
      </c>
      <c r="T538" s="187" t="n">
        <v>45914</v>
      </c>
    </row>
    <row r="539" customFormat="false" ht="46.25" hidden="true" customHeight="false" outlineLevel="0" collapsed="false">
      <c r="A539" s="181" t="s">
        <v>1440</v>
      </c>
      <c r="B539" s="182" t="n">
        <v>1625</v>
      </c>
      <c r="C539" s="183" t="n">
        <v>37434</v>
      </c>
      <c r="D539" s="181" t="s">
        <v>3327</v>
      </c>
      <c r="E539" s="181" t="s">
        <v>582</v>
      </c>
      <c r="F539" s="181" t="s">
        <v>583</v>
      </c>
      <c r="G539" s="181" t="s">
        <v>231</v>
      </c>
      <c r="H539" s="181" t="s">
        <v>279</v>
      </c>
      <c r="I539" s="181" t="s">
        <v>230</v>
      </c>
      <c r="J539" s="267"/>
      <c r="K539" s="269" t="n">
        <v>45913</v>
      </c>
      <c r="L539" s="267" t="n">
        <v>1.4</v>
      </c>
      <c r="M539" s="184" t="s">
        <v>231</v>
      </c>
      <c r="N539" s="184" t="n">
        <v>38860</v>
      </c>
      <c r="O539" s="184" t="n">
        <v>14700</v>
      </c>
      <c r="P539" s="185" t="n">
        <v>11</v>
      </c>
      <c r="Q539" s="184" t="n">
        <v>24160</v>
      </c>
      <c r="R539" s="184" t="n">
        <v>21502.4</v>
      </c>
      <c r="S539" s="184" t="s">
        <v>1441</v>
      </c>
      <c r="T539" s="187" t="n">
        <v>45914</v>
      </c>
    </row>
    <row r="540" customFormat="false" ht="46.25" hidden="true" customHeight="false" outlineLevel="0" collapsed="false">
      <c r="A540" s="181" t="s">
        <v>1442</v>
      </c>
      <c r="B540" s="182" t="n">
        <v>1626</v>
      </c>
      <c r="C540" s="183" t="n">
        <v>37456</v>
      </c>
      <c r="D540" s="181" t="s">
        <v>3327</v>
      </c>
      <c r="E540" s="181" t="s">
        <v>373</v>
      </c>
      <c r="F540" s="181" t="s">
        <v>374</v>
      </c>
      <c r="G540" s="181" t="s">
        <v>231</v>
      </c>
      <c r="H540" s="181" t="s">
        <v>279</v>
      </c>
      <c r="I540" s="181" t="s">
        <v>230</v>
      </c>
      <c r="J540" s="267"/>
      <c r="K540" s="269" t="n">
        <v>45913</v>
      </c>
      <c r="L540" s="267" t="n">
        <v>1.5</v>
      </c>
      <c r="M540" s="184" t="s">
        <v>231</v>
      </c>
      <c r="N540" s="184" t="n">
        <v>39090</v>
      </c>
      <c r="O540" s="184" t="n">
        <v>14170</v>
      </c>
      <c r="P540" s="185" t="n">
        <v>17</v>
      </c>
      <c r="Q540" s="184" t="n">
        <v>24920</v>
      </c>
      <c r="R540" s="184" t="n">
        <v>20683.6</v>
      </c>
      <c r="S540" s="184" t="s">
        <v>1443</v>
      </c>
      <c r="T540" s="187" t="n">
        <v>45914</v>
      </c>
    </row>
    <row r="541" customFormat="false" ht="46.25" hidden="true" customHeight="false" outlineLevel="0" collapsed="false">
      <c r="A541" s="181" t="s">
        <v>1444</v>
      </c>
      <c r="B541" s="182" t="n">
        <v>1627</v>
      </c>
      <c r="C541" s="183" t="n">
        <v>37436</v>
      </c>
      <c r="D541" s="181" t="s">
        <v>3327</v>
      </c>
      <c r="E541" s="181" t="s">
        <v>399</v>
      </c>
      <c r="F541" s="181" t="s">
        <v>400</v>
      </c>
      <c r="G541" s="181" t="s">
        <v>231</v>
      </c>
      <c r="H541" s="181" t="s">
        <v>279</v>
      </c>
      <c r="I541" s="181" t="s">
        <v>230</v>
      </c>
      <c r="J541" s="267"/>
      <c r="K541" s="269" t="n">
        <v>45913</v>
      </c>
      <c r="L541" s="267" t="n">
        <v>1.5</v>
      </c>
      <c r="M541" s="184" t="s">
        <v>231</v>
      </c>
      <c r="N541" s="184" t="n">
        <v>44800</v>
      </c>
      <c r="O541" s="184" t="n">
        <v>19280</v>
      </c>
      <c r="P541" s="185" t="n">
        <v>15</v>
      </c>
      <c r="Q541" s="184" t="n">
        <v>25520</v>
      </c>
      <c r="R541" s="184" t="n">
        <v>21692</v>
      </c>
      <c r="S541" s="184" t="s">
        <v>1445</v>
      </c>
      <c r="T541" s="187" t="n">
        <v>45914</v>
      </c>
    </row>
    <row r="542" customFormat="false" ht="46.25" hidden="true" customHeight="false" outlineLevel="0" collapsed="false">
      <c r="A542" s="181" t="s">
        <v>1446</v>
      </c>
      <c r="B542" s="182" t="n">
        <v>1629</v>
      </c>
      <c r="C542" s="183" t="n">
        <v>37460</v>
      </c>
      <c r="D542" s="181" t="s">
        <v>3327</v>
      </c>
      <c r="E542" s="181" t="s">
        <v>1019</v>
      </c>
      <c r="F542" s="181" t="s">
        <v>1020</v>
      </c>
      <c r="G542" s="181" t="s">
        <v>231</v>
      </c>
      <c r="H542" s="181" t="s">
        <v>279</v>
      </c>
      <c r="I542" s="181" t="s">
        <v>230</v>
      </c>
      <c r="J542" s="267"/>
      <c r="K542" s="269" t="n">
        <v>45913</v>
      </c>
      <c r="L542" s="267" t="n">
        <v>1.5</v>
      </c>
      <c r="M542" s="184" t="s">
        <v>231</v>
      </c>
      <c r="N542" s="184" t="n">
        <v>42170</v>
      </c>
      <c r="O542" s="184" t="n">
        <v>17020</v>
      </c>
      <c r="P542" s="185" t="n">
        <v>11</v>
      </c>
      <c r="Q542" s="184" t="n">
        <v>25150</v>
      </c>
      <c r="R542" s="184" t="n">
        <v>22383.5</v>
      </c>
      <c r="S542" s="184" t="s">
        <v>1447</v>
      </c>
      <c r="T542" s="187" t="n">
        <v>45914</v>
      </c>
    </row>
    <row r="543" customFormat="false" ht="46.25" hidden="true" customHeight="false" outlineLevel="0" collapsed="false">
      <c r="A543" s="181" t="s">
        <v>1448</v>
      </c>
      <c r="B543" s="182" t="n">
        <v>1630</v>
      </c>
      <c r="C543" s="183" t="n">
        <v>37462</v>
      </c>
      <c r="D543" s="181" t="s">
        <v>3327</v>
      </c>
      <c r="E543" s="181" t="s">
        <v>1023</v>
      </c>
      <c r="F543" s="181" t="s">
        <v>1024</v>
      </c>
      <c r="G543" s="181" t="s">
        <v>231</v>
      </c>
      <c r="H543" s="181" t="s">
        <v>279</v>
      </c>
      <c r="I543" s="181" t="s">
        <v>230</v>
      </c>
      <c r="J543" s="267"/>
      <c r="K543" s="269" t="n">
        <v>45913</v>
      </c>
      <c r="L543" s="267" t="n">
        <v>1.3</v>
      </c>
      <c r="M543" s="184" t="s">
        <v>231</v>
      </c>
      <c r="N543" s="184" t="n">
        <v>36030</v>
      </c>
      <c r="O543" s="184" t="n">
        <v>14810</v>
      </c>
      <c r="P543" s="185" t="n">
        <v>14</v>
      </c>
      <c r="Q543" s="184" t="n">
        <v>21220</v>
      </c>
      <c r="R543" s="184" t="n">
        <v>18249.2</v>
      </c>
      <c r="S543" s="184" t="s">
        <v>1449</v>
      </c>
      <c r="T543" s="187" t="n">
        <v>45914</v>
      </c>
    </row>
    <row r="544" customFormat="false" ht="46.25" hidden="true" customHeight="false" outlineLevel="0" collapsed="false">
      <c r="A544" s="181" t="s">
        <v>1450</v>
      </c>
      <c r="B544" s="182" t="n">
        <v>1631</v>
      </c>
      <c r="C544" s="183" t="n">
        <v>37464</v>
      </c>
      <c r="D544" s="181" t="s">
        <v>3327</v>
      </c>
      <c r="E544" s="181" t="s">
        <v>1027</v>
      </c>
      <c r="F544" s="181" t="s">
        <v>1028</v>
      </c>
      <c r="G544" s="181" t="s">
        <v>231</v>
      </c>
      <c r="H544" s="181" t="s">
        <v>279</v>
      </c>
      <c r="I544" s="181" t="s">
        <v>230</v>
      </c>
      <c r="J544" s="267"/>
      <c r="K544" s="269" t="n">
        <v>45913</v>
      </c>
      <c r="L544" s="267" t="n">
        <v>1.4</v>
      </c>
      <c r="M544" s="184" t="s">
        <v>231</v>
      </c>
      <c r="N544" s="184" t="n">
        <v>38530</v>
      </c>
      <c r="O544" s="184" t="n">
        <v>14920</v>
      </c>
      <c r="P544" s="185" t="n">
        <v>20</v>
      </c>
      <c r="Q544" s="184" t="n">
        <v>23610</v>
      </c>
      <c r="R544" s="184" t="n">
        <v>18888</v>
      </c>
      <c r="S544" s="184" t="s">
        <v>1451</v>
      </c>
      <c r="T544" s="187" t="n">
        <v>45914</v>
      </c>
    </row>
    <row r="545" customFormat="false" ht="46.25" hidden="true" customHeight="false" outlineLevel="0" collapsed="false">
      <c r="A545" s="181" t="s">
        <v>1454</v>
      </c>
      <c r="B545" s="182" t="n">
        <v>1633</v>
      </c>
      <c r="C545" s="183" t="n">
        <v>37480</v>
      </c>
      <c r="D545" s="181" t="s">
        <v>3327</v>
      </c>
      <c r="E545" s="181" t="s">
        <v>409</v>
      </c>
      <c r="F545" s="181" t="s">
        <v>410</v>
      </c>
      <c r="G545" s="181" t="s">
        <v>231</v>
      </c>
      <c r="H545" s="181" t="s">
        <v>279</v>
      </c>
      <c r="I545" s="181" t="s">
        <v>230</v>
      </c>
      <c r="J545" s="267"/>
      <c r="K545" s="269" t="n">
        <v>45913</v>
      </c>
      <c r="L545" s="267" t="n">
        <v>1.6</v>
      </c>
      <c r="M545" s="184" t="s">
        <v>231</v>
      </c>
      <c r="N545" s="184" t="n">
        <v>50980</v>
      </c>
      <c r="O545" s="184" t="n">
        <v>24120</v>
      </c>
      <c r="P545" s="185" t="n">
        <v>12</v>
      </c>
      <c r="Q545" s="184" t="n">
        <v>26860</v>
      </c>
      <c r="R545" s="184" t="n">
        <v>23636.8</v>
      </c>
      <c r="S545" s="184" t="s">
        <v>1455</v>
      </c>
      <c r="T545" s="187" t="n">
        <v>45914</v>
      </c>
    </row>
    <row r="546" customFormat="false" ht="46.25" hidden="true" customHeight="false" outlineLevel="0" collapsed="false">
      <c r="A546" s="181" t="s">
        <v>1452</v>
      </c>
      <c r="B546" s="182" t="n">
        <v>1632</v>
      </c>
      <c r="C546" s="183" t="n">
        <v>37486</v>
      </c>
      <c r="D546" s="181" t="s">
        <v>3327</v>
      </c>
      <c r="E546" s="181" t="s">
        <v>413</v>
      </c>
      <c r="F546" s="181" t="s">
        <v>414</v>
      </c>
      <c r="G546" s="181" t="s">
        <v>231</v>
      </c>
      <c r="H546" s="181" t="s">
        <v>279</v>
      </c>
      <c r="I546" s="181" t="s">
        <v>230</v>
      </c>
      <c r="J546" s="267"/>
      <c r="K546" s="269" t="n">
        <v>45913</v>
      </c>
      <c r="L546" s="267" t="n">
        <v>1.6</v>
      </c>
      <c r="M546" s="184" t="s">
        <v>231</v>
      </c>
      <c r="N546" s="184" t="n">
        <v>43180</v>
      </c>
      <c r="O546" s="184" t="n">
        <v>15610</v>
      </c>
      <c r="P546" s="185" t="n">
        <v>12</v>
      </c>
      <c r="Q546" s="184" t="n">
        <v>27570</v>
      </c>
      <c r="R546" s="184" t="n">
        <v>24261.6</v>
      </c>
      <c r="S546" s="184" t="s">
        <v>1453</v>
      </c>
      <c r="T546" s="187" t="n">
        <v>45914</v>
      </c>
    </row>
    <row r="547" customFormat="false" ht="46.25" hidden="true" customHeight="false" outlineLevel="0" collapsed="false">
      <c r="A547" s="181" t="s">
        <v>1456</v>
      </c>
      <c r="B547" s="182" t="n">
        <v>1637</v>
      </c>
      <c r="C547" s="183" t="n">
        <v>37494</v>
      </c>
      <c r="D547" s="181" t="s">
        <v>3327</v>
      </c>
      <c r="E547" s="181" t="s">
        <v>296</v>
      </c>
      <c r="F547" s="181" t="s">
        <v>297</v>
      </c>
      <c r="G547" s="181" t="s">
        <v>231</v>
      </c>
      <c r="H547" s="181" t="s">
        <v>279</v>
      </c>
      <c r="I547" s="181" t="s">
        <v>230</v>
      </c>
      <c r="J547" s="267"/>
      <c r="K547" s="269" t="n">
        <v>45913</v>
      </c>
      <c r="L547" s="267" t="n">
        <v>1.5</v>
      </c>
      <c r="M547" s="184" t="s">
        <v>231</v>
      </c>
      <c r="N547" s="184" t="n">
        <v>39910</v>
      </c>
      <c r="O547" s="184" t="n">
        <v>15310</v>
      </c>
      <c r="P547" s="185" t="n">
        <v>12</v>
      </c>
      <c r="Q547" s="184" t="n">
        <v>24600</v>
      </c>
      <c r="R547" s="184" t="n">
        <v>21648</v>
      </c>
      <c r="S547" s="184" t="s">
        <v>1457</v>
      </c>
      <c r="T547" s="187" t="n">
        <v>45914</v>
      </c>
    </row>
    <row r="548" customFormat="false" ht="46.25" hidden="true" customHeight="false" outlineLevel="0" collapsed="false">
      <c r="A548" s="181" t="s">
        <v>1458</v>
      </c>
      <c r="B548" s="182" t="n">
        <v>1639</v>
      </c>
      <c r="C548" s="183" t="n">
        <v>37492</v>
      </c>
      <c r="D548" s="181" t="s">
        <v>3327</v>
      </c>
      <c r="E548" s="181" t="s">
        <v>266</v>
      </c>
      <c r="F548" s="181" t="s">
        <v>267</v>
      </c>
      <c r="G548" s="181" t="s">
        <v>231</v>
      </c>
      <c r="H548" s="181" t="s">
        <v>279</v>
      </c>
      <c r="I548" s="181" t="s">
        <v>230</v>
      </c>
      <c r="J548" s="267"/>
      <c r="K548" s="269" t="n">
        <v>45913</v>
      </c>
      <c r="L548" s="267" t="n">
        <v>1.5</v>
      </c>
      <c r="M548" s="184" t="s">
        <v>231</v>
      </c>
      <c r="N548" s="184" t="n">
        <v>39710</v>
      </c>
      <c r="O548" s="184" t="n">
        <v>14840</v>
      </c>
      <c r="P548" s="185" t="n">
        <v>13</v>
      </c>
      <c r="Q548" s="184" t="n">
        <v>24870</v>
      </c>
      <c r="R548" s="184" t="n">
        <v>21636.9</v>
      </c>
      <c r="S548" s="184" t="s">
        <v>1459</v>
      </c>
      <c r="T548" s="187" t="n">
        <v>45914</v>
      </c>
    </row>
    <row r="549" customFormat="false" ht="46.25" hidden="true" customHeight="false" outlineLevel="0" collapsed="false">
      <c r="A549" s="181" t="s">
        <v>1460</v>
      </c>
      <c r="B549" s="182" t="n">
        <v>1640</v>
      </c>
      <c r="C549" s="183" t="n">
        <v>37499</v>
      </c>
      <c r="D549" s="181" t="s">
        <v>3327</v>
      </c>
      <c r="E549" s="181" t="s">
        <v>350</v>
      </c>
      <c r="F549" s="181" t="s">
        <v>351</v>
      </c>
      <c r="G549" s="181" t="s">
        <v>231</v>
      </c>
      <c r="H549" s="181" t="s">
        <v>279</v>
      </c>
      <c r="I549" s="181" t="s">
        <v>230</v>
      </c>
      <c r="J549" s="267"/>
      <c r="K549" s="269" t="n">
        <v>45913</v>
      </c>
      <c r="L549" s="267" t="n">
        <v>1.7</v>
      </c>
      <c r="M549" s="184" t="s">
        <v>231</v>
      </c>
      <c r="N549" s="184" t="n">
        <v>42770</v>
      </c>
      <c r="O549" s="184" t="n">
        <v>14850</v>
      </c>
      <c r="P549" s="185" t="n">
        <v>7</v>
      </c>
      <c r="Q549" s="184" t="n">
        <v>27920</v>
      </c>
      <c r="R549" s="184" t="n">
        <v>25965.6</v>
      </c>
      <c r="S549" s="184" t="s">
        <v>1461</v>
      </c>
      <c r="T549" s="187" t="n">
        <v>45914</v>
      </c>
    </row>
    <row r="550" customFormat="false" ht="46.25" hidden="true" customHeight="false" outlineLevel="0" collapsed="false">
      <c r="A550" s="181" t="s">
        <v>1462</v>
      </c>
      <c r="B550" s="182" t="n">
        <v>1641</v>
      </c>
      <c r="C550" s="183" t="n">
        <v>37501</v>
      </c>
      <c r="D550" s="181" t="s">
        <v>3327</v>
      </c>
      <c r="E550" s="181" t="s">
        <v>336</v>
      </c>
      <c r="F550" s="181" t="s">
        <v>337</v>
      </c>
      <c r="G550" s="181" t="s">
        <v>231</v>
      </c>
      <c r="H550" s="181" t="s">
        <v>279</v>
      </c>
      <c r="I550" s="181" t="s">
        <v>230</v>
      </c>
      <c r="J550" s="267"/>
      <c r="K550" s="269" t="n">
        <v>45913</v>
      </c>
      <c r="L550" s="267" t="n">
        <v>1.5</v>
      </c>
      <c r="M550" s="184" t="s">
        <v>231</v>
      </c>
      <c r="N550" s="184" t="n">
        <v>39480</v>
      </c>
      <c r="O550" s="184" t="n">
        <v>14490</v>
      </c>
      <c r="P550" s="185" t="n">
        <v>8</v>
      </c>
      <c r="Q550" s="184" t="n">
        <v>24990</v>
      </c>
      <c r="R550" s="184" t="n">
        <v>22990.8</v>
      </c>
      <c r="S550" s="184" t="s">
        <v>1463</v>
      </c>
      <c r="T550" s="187" t="n">
        <v>45914</v>
      </c>
    </row>
    <row r="551" customFormat="false" ht="46.25" hidden="true" customHeight="false" outlineLevel="0" collapsed="false">
      <c r="A551" s="181" t="s">
        <v>1464</v>
      </c>
      <c r="B551" s="182" t="n">
        <v>1642</v>
      </c>
      <c r="C551" s="183" t="n">
        <v>37503</v>
      </c>
      <c r="D551" s="181" t="s">
        <v>3327</v>
      </c>
      <c r="E551" s="181" t="s">
        <v>340</v>
      </c>
      <c r="F551" s="181" t="s">
        <v>341</v>
      </c>
      <c r="G551" s="181" t="s">
        <v>231</v>
      </c>
      <c r="H551" s="181" t="s">
        <v>279</v>
      </c>
      <c r="I551" s="181" t="s">
        <v>230</v>
      </c>
      <c r="J551" s="267"/>
      <c r="K551" s="269" t="n">
        <v>45913</v>
      </c>
      <c r="L551" s="267" t="n">
        <v>1.4</v>
      </c>
      <c r="M551" s="184" t="s">
        <v>231</v>
      </c>
      <c r="N551" s="184" t="n">
        <v>39400</v>
      </c>
      <c r="O551" s="184" t="n">
        <v>15090</v>
      </c>
      <c r="P551" s="185" t="n">
        <v>7</v>
      </c>
      <c r="Q551" s="184" t="n">
        <v>24310</v>
      </c>
      <c r="R551" s="184" t="n">
        <v>22608.3</v>
      </c>
      <c r="S551" s="184" t="s">
        <v>1465</v>
      </c>
      <c r="T551" s="187" t="n">
        <v>45914</v>
      </c>
    </row>
    <row r="552" customFormat="false" ht="46.25" hidden="true" customHeight="false" outlineLevel="0" collapsed="false">
      <c r="A552" s="181" t="s">
        <v>1466</v>
      </c>
      <c r="B552" s="182" t="n">
        <v>1644</v>
      </c>
      <c r="C552" s="183" t="n">
        <v>37521</v>
      </c>
      <c r="D552" s="181" t="s">
        <v>3327</v>
      </c>
      <c r="E552" s="181" t="s">
        <v>354</v>
      </c>
      <c r="F552" s="181" t="s">
        <v>355</v>
      </c>
      <c r="G552" s="181" t="s">
        <v>231</v>
      </c>
      <c r="H552" s="181" t="s">
        <v>279</v>
      </c>
      <c r="I552" s="181" t="s">
        <v>230</v>
      </c>
      <c r="J552" s="267"/>
      <c r="K552" s="269" t="n">
        <v>45913</v>
      </c>
      <c r="L552" s="267" t="n">
        <v>1.4</v>
      </c>
      <c r="M552" s="184" t="s">
        <v>231</v>
      </c>
      <c r="N552" s="184" t="n">
        <v>37600</v>
      </c>
      <c r="O552" s="184" t="n">
        <v>14670</v>
      </c>
      <c r="P552" s="185" t="n">
        <v>11</v>
      </c>
      <c r="Q552" s="184" t="n">
        <v>22930</v>
      </c>
      <c r="R552" s="184" t="n">
        <v>20407.7</v>
      </c>
      <c r="S552" s="184" t="s">
        <v>1467</v>
      </c>
      <c r="T552" s="187" t="n">
        <v>45914</v>
      </c>
    </row>
    <row r="553" customFormat="false" ht="46.25" hidden="true" customHeight="false" outlineLevel="0" collapsed="false">
      <c r="A553" s="181" t="s">
        <v>1468</v>
      </c>
      <c r="B553" s="182" t="n">
        <v>1646</v>
      </c>
      <c r="C553" s="183" t="n">
        <v>37517</v>
      </c>
      <c r="D553" s="181" t="s">
        <v>3327</v>
      </c>
      <c r="E553" s="181" t="s">
        <v>304</v>
      </c>
      <c r="F553" s="181" t="s">
        <v>305</v>
      </c>
      <c r="G553" s="181" t="s">
        <v>231</v>
      </c>
      <c r="H553" s="181" t="s">
        <v>279</v>
      </c>
      <c r="I553" s="181" t="s">
        <v>230</v>
      </c>
      <c r="J553" s="267"/>
      <c r="K553" s="269" t="n">
        <v>45914</v>
      </c>
      <c r="L553" s="267" t="n">
        <v>0.9</v>
      </c>
      <c r="M553" s="184" t="s">
        <v>231</v>
      </c>
      <c r="N553" s="184" t="n">
        <v>40200</v>
      </c>
      <c r="O553" s="184" t="n">
        <v>14990</v>
      </c>
      <c r="P553" s="185" t="n">
        <v>12</v>
      </c>
      <c r="Q553" s="184" t="n">
        <v>25210</v>
      </c>
      <c r="R553" s="184" t="n">
        <v>22184.8</v>
      </c>
      <c r="S553" s="184" t="s">
        <v>1469</v>
      </c>
      <c r="T553" s="187" t="n">
        <v>45914</v>
      </c>
    </row>
    <row r="554" customFormat="false" ht="46.25" hidden="true" customHeight="false" outlineLevel="0" collapsed="false">
      <c r="A554" s="181" t="s">
        <v>1470</v>
      </c>
      <c r="B554" s="182" t="n">
        <v>1647</v>
      </c>
      <c r="C554" s="183" t="n">
        <v>37515</v>
      </c>
      <c r="D554" s="181" t="s">
        <v>3327</v>
      </c>
      <c r="E554" s="181" t="s">
        <v>308</v>
      </c>
      <c r="F554" s="181" t="s">
        <v>309</v>
      </c>
      <c r="G554" s="181" t="s">
        <v>231</v>
      </c>
      <c r="H554" s="181" t="s">
        <v>279</v>
      </c>
      <c r="I554" s="181" t="s">
        <v>230</v>
      </c>
      <c r="J554" s="267"/>
      <c r="K554" s="269" t="n">
        <v>45914</v>
      </c>
      <c r="L554" s="267" t="n">
        <v>1.2</v>
      </c>
      <c r="M554" s="184" t="s">
        <v>231</v>
      </c>
      <c r="N554" s="184" t="n">
        <v>57060</v>
      </c>
      <c r="O554" s="184" t="n">
        <v>24040</v>
      </c>
      <c r="P554" s="185" t="n">
        <v>11</v>
      </c>
      <c r="Q554" s="184" t="n">
        <v>33020</v>
      </c>
      <c r="R554" s="184" t="n">
        <v>29387.8</v>
      </c>
      <c r="S554" s="184" t="s">
        <v>1471</v>
      </c>
      <c r="T554" s="187" t="n">
        <v>45914</v>
      </c>
    </row>
    <row r="555" customFormat="false" ht="46.25" hidden="true" customHeight="false" outlineLevel="0" collapsed="false">
      <c r="A555" s="181" t="s">
        <v>1472</v>
      </c>
      <c r="B555" s="182" t="n">
        <v>1649</v>
      </c>
      <c r="C555" s="183" t="n">
        <v>37523</v>
      </c>
      <c r="D555" s="181" t="s">
        <v>3327</v>
      </c>
      <c r="E555" s="181" t="s">
        <v>541</v>
      </c>
      <c r="F555" s="181" t="s">
        <v>542</v>
      </c>
      <c r="G555" s="181" t="s">
        <v>231</v>
      </c>
      <c r="H555" s="181" t="s">
        <v>279</v>
      </c>
      <c r="I555" s="181" t="s">
        <v>230</v>
      </c>
      <c r="J555" s="267"/>
      <c r="K555" s="269" t="n">
        <v>45914</v>
      </c>
      <c r="L555" s="267" t="n">
        <v>0.9</v>
      </c>
      <c r="M555" s="184" t="s">
        <v>231</v>
      </c>
      <c r="N555" s="184" t="n">
        <v>38800</v>
      </c>
      <c r="O555" s="184" t="n">
        <v>14880</v>
      </c>
      <c r="P555" s="185" t="n">
        <v>19</v>
      </c>
      <c r="Q555" s="184" t="n">
        <v>23920</v>
      </c>
      <c r="R555" s="184" t="n">
        <v>19375.2</v>
      </c>
      <c r="S555" s="184" t="s">
        <v>1473</v>
      </c>
      <c r="T555" s="187" t="n">
        <v>45914</v>
      </c>
    </row>
    <row r="556" customFormat="false" ht="46.25" hidden="true" customHeight="false" outlineLevel="0" collapsed="false">
      <c r="A556" s="181" t="s">
        <v>1474</v>
      </c>
      <c r="B556" s="182" t="n">
        <v>1651</v>
      </c>
      <c r="C556" s="183" t="n">
        <v>37527</v>
      </c>
      <c r="D556" s="181" t="s">
        <v>3327</v>
      </c>
      <c r="E556" s="181" t="s">
        <v>439</v>
      </c>
      <c r="F556" s="181" t="s">
        <v>440</v>
      </c>
      <c r="G556" s="181" t="s">
        <v>231</v>
      </c>
      <c r="H556" s="181" t="s">
        <v>279</v>
      </c>
      <c r="I556" s="181" t="s">
        <v>230</v>
      </c>
      <c r="J556" s="267"/>
      <c r="K556" s="269" t="n">
        <v>45914</v>
      </c>
      <c r="L556" s="267" t="n">
        <v>0.9</v>
      </c>
      <c r="M556" s="184" t="s">
        <v>231</v>
      </c>
      <c r="N556" s="184" t="n">
        <v>40980</v>
      </c>
      <c r="O556" s="184" t="n">
        <v>16250</v>
      </c>
      <c r="P556" s="185" t="n">
        <v>10</v>
      </c>
      <c r="Q556" s="184" t="n">
        <v>24730</v>
      </c>
      <c r="R556" s="184" t="n">
        <v>22257</v>
      </c>
      <c r="S556" s="184" t="s">
        <v>1475</v>
      </c>
      <c r="T556" s="187" t="n">
        <v>45914</v>
      </c>
    </row>
    <row r="557" customFormat="false" ht="46.25" hidden="true" customHeight="false" outlineLevel="0" collapsed="false">
      <c r="A557" s="181" t="s">
        <v>1476</v>
      </c>
      <c r="B557" s="182" t="n">
        <v>1652</v>
      </c>
      <c r="C557" s="183" t="n">
        <v>37529</v>
      </c>
      <c r="D557" s="181" t="s">
        <v>3327</v>
      </c>
      <c r="E557" s="181" t="s">
        <v>545</v>
      </c>
      <c r="F557" s="181" t="s">
        <v>546</v>
      </c>
      <c r="G557" s="181" t="s">
        <v>231</v>
      </c>
      <c r="H557" s="181" t="s">
        <v>279</v>
      </c>
      <c r="I557" s="181" t="s">
        <v>230</v>
      </c>
      <c r="J557" s="267"/>
      <c r="K557" s="269" t="n">
        <v>45914</v>
      </c>
      <c r="L557" s="267" t="n">
        <v>1</v>
      </c>
      <c r="M557" s="184" t="s">
        <v>231</v>
      </c>
      <c r="N557" s="184" t="n">
        <v>41580</v>
      </c>
      <c r="O557" s="184" t="n">
        <v>16050</v>
      </c>
      <c r="P557" s="185" t="n">
        <v>20</v>
      </c>
      <c r="Q557" s="184" t="n">
        <v>25530</v>
      </c>
      <c r="R557" s="184" t="n">
        <v>20424</v>
      </c>
      <c r="S557" s="184" t="s">
        <v>1477</v>
      </c>
      <c r="T557" s="187" t="n">
        <v>45915</v>
      </c>
    </row>
    <row r="558" customFormat="false" ht="46.25" hidden="true" customHeight="false" outlineLevel="0" collapsed="false">
      <c r="A558" s="181" t="s">
        <v>1478</v>
      </c>
      <c r="B558" s="182" t="n">
        <v>1653</v>
      </c>
      <c r="C558" s="183" t="n">
        <v>37533</v>
      </c>
      <c r="D558" s="181" t="s">
        <v>3327</v>
      </c>
      <c r="E558" s="181" t="s">
        <v>377</v>
      </c>
      <c r="F558" s="181" t="s">
        <v>378</v>
      </c>
      <c r="G558" s="181" t="s">
        <v>231</v>
      </c>
      <c r="H558" s="181" t="s">
        <v>279</v>
      </c>
      <c r="I558" s="181" t="s">
        <v>230</v>
      </c>
      <c r="J558" s="267"/>
      <c r="K558" s="269" t="n">
        <v>45914</v>
      </c>
      <c r="L558" s="267" t="n">
        <v>1.2</v>
      </c>
      <c r="M558" s="184" t="s">
        <v>231</v>
      </c>
      <c r="N558" s="184" t="n">
        <v>42660</v>
      </c>
      <c r="O558" s="184" t="n">
        <v>15580</v>
      </c>
      <c r="P558" s="185" t="n">
        <v>8</v>
      </c>
      <c r="Q558" s="184" t="n">
        <v>27080</v>
      </c>
      <c r="R558" s="184" t="n">
        <v>24913.6</v>
      </c>
      <c r="S558" s="184" t="s">
        <v>1479</v>
      </c>
      <c r="T558" s="187" t="n">
        <v>45915</v>
      </c>
    </row>
    <row r="559" customFormat="false" ht="46.25" hidden="true" customHeight="false" outlineLevel="0" collapsed="false">
      <c r="A559" s="181" t="s">
        <v>1480</v>
      </c>
      <c r="B559" s="182" t="n">
        <v>1654</v>
      </c>
      <c r="C559" s="183" t="n">
        <v>37535</v>
      </c>
      <c r="D559" s="181" t="s">
        <v>3327</v>
      </c>
      <c r="E559" s="181" t="s">
        <v>387</v>
      </c>
      <c r="F559" s="181" t="s">
        <v>388</v>
      </c>
      <c r="G559" s="181" t="s">
        <v>233</v>
      </c>
      <c r="H559" s="181" t="s">
        <v>279</v>
      </c>
      <c r="I559" s="181" t="s">
        <v>230</v>
      </c>
      <c r="J559" s="267"/>
      <c r="K559" s="269" t="n">
        <v>45914</v>
      </c>
      <c r="L559" s="267" t="n">
        <v>1.4</v>
      </c>
      <c r="M559" s="184" t="s">
        <v>233</v>
      </c>
      <c r="N559" s="184" t="n">
        <v>39050</v>
      </c>
      <c r="O559" s="184" t="n">
        <v>14870</v>
      </c>
      <c r="P559" s="185" t="n">
        <v>16</v>
      </c>
      <c r="Q559" s="184" t="n">
        <v>24180</v>
      </c>
      <c r="R559" s="184" t="n">
        <v>20311.2</v>
      </c>
      <c r="S559" s="184" t="s">
        <v>1481</v>
      </c>
      <c r="T559" s="187" t="n">
        <v>45915</v>
      </c>
    </row>
    <row r="560" customFormat="false" ht="46.25" hidden="true" customHeight="false" outlineLevel="0" collapsed="false">
      <c r="A560" s="181" t="s">
        <v>1504</v>
      </c>
      <c r="B560" s="182" t="n">
        <v>1675</v>
      </c>
      <c r="C560" s="183" t="n">
        <v>37559</v>
      </c>
      <c r="D560" s="181" t="s">
        <v>3327</v>
      </c>
      <c r="E560" s="181" t="s">
        <v>292</v>
      </c>
      <c r="F560" s="181" t="s">
        <v>293</v>
      </c>
      <c r="G560" s="181" t="s">
        <v>234</v>
      </c>
      <c r="H560" s="181" t="s">
        <v>279</v>
      </c>
      <c r="I560" s="181" t="s">
        <v>230</v>
      </c>
      <c r="J560" s="267"/>
      <c r="K560" s="269" t="n">
        <v>45915</v>
      </c>
      <c r="L560" s="267" t="n">
        <v>1.5</v>
      </c>
      <c r="M560" s="184" t="s">
        <v>234</v>
      </c>
      <c r="N560" s="184" t="n">
        <v>36360</v>
      </c>
      <c r="O560" s="184" t="n">
        <v>13850</v>
      </c>
      <c r="P560" s="185" t="n">
        <v>12</v>
      </c>
      <c r="Q560" s="184" t="n">
        <v>22510</v>
      </c>
      <c r="R560" s="184" t="n">
        <v>19808.8</v>
      </c>
      <c r="S560" s="184" t="s">
        <v>1505</v>
      </c>
      <c r="T560" s="187" t="n">
        <v>45915</v>
      </c>
    </row>
    <row r="561" customFormat="false" ht="46.25" hidden="true" customHeight="false" outlineLevel="0" collapsed="false">
      <c r="A561" s="181" t="s">
        <v>1506</v>
      </c>
      <c r="B561" s="182" t="n">
        <v>1676</v>
      </c>
      <c r="C561" s="183" t="n">
        <v>37561</v>
      </c>
      <c r="D561" s="181" t="s">
        <v>3327</v>
      </c>
      <c r="E561" s="181" t="s">
        <v>261</v>
      </c>
      <c r="F561" s="181" t="s">
        <v>262</v>
      </c>
      <c r="G561" s="181" t="s">
        <v>235</v>
      </c>
      <c r="H561" s="181" t="s">
        <v>279</v>
      </c>
      <c r="I561" s="181" t="s">
        <v>230</v>
      </c>
      <c r="J561" s="267"/>
      <c r="K561" s="269" t="n">
        <v>45915</v>
      </c>
      <c r="L561" s="267" t="n">
        <v>1.5</v>
      </c>
      <c r="M561" s="184" t="s">
        <v>235</v>
      </c>
      <c r="N561" s="184" t="n">
        <v>38050</v>
      </c>
      <c r="O561" s="184" t="n">
        <v>15000</v>
      </c>
      <c r="P561" s="185" t="n">
        <v>8</v>
      </c>
      <c r="Q561" s="184" t="n">
        <v>23050</v>
      </c>
      <c r="R561" s="184" t="n">
        <v>21206</v>
      </c>
      <c r="S561" s="184" t="s">
        <v>1507</v>
      </c>
      <c r="T561" s="187" t="n">
        <v>45915</v>
      </c>
    </row>
    <row r="562" customFormat="false" ht="46.25" hidden="true" customHeight="false" outlineLevel="0" collapsed="false">
      <c r="A562" s="181" t="s">
        <v>1482</v>
      </c>
      <c r="B562" s="182" t="n">
        <v>1655</v>
      </c>
      <c r="C562" s="183" t="n">
        <v>37537</v>
      </c>
      <c r="D562" s="181" t="s">
        <v>3327</v>
      </c>
      <c r="E562" s="181" t="s">
        <v>431</v>
      </c>
      <c r="F562" s="181" t="s">
        <v>432</v>
      </c>
      <c r="G562" s="181" t="s">
        <v>233</v>
      </c>
      <c r="H562" s="181" t="s">
        <v>279</v>
      </c>
      <c r="I562" s="181" t="s">
        <v>230</v>
      </c>
      <c r="J562" s="267"/>
      <c r="K562" s="269" t="n">
        <v>45914</v>
      </c>
      <c r="L562" s="267" t="n">
        <v>1.3</v>
      </c>
      <c r="M562" s="184" t="s">
        <v>233</v>
      </c>
      <c r="N562" s="184" t="n">
        <v>39470</v>
      </c>
      <c r="O562" s="184" t="n">
        <v>16330</v>
      </c>
      <c r="P562" s="185" t="n">
        <v>14</v>
      </c>
      <c r="Q562" s="184" t="n">
        <v>23140</v>
      </c>
      <c r="R562" s="184" t="n">
        <v>19900.4</v>
      </c>
      <c r="S562" s="184" t="s">
        <v>1483</v>
      </c>
      <c r="T562" s="187" t="n">
        <v>45915</v>
      </c>
    </row>
    <row r="563" customFormat="false" ht="46.25" hidden="true" customHeight="false" outlineLevel="0" collapsed="false">
      <c r="A563" s="181" t="s">
        <v>1484</v>
      </c>
      <c r="B563" s="182" t="n">
        <v>1656</v>
      </c>
      <c r="C563" s="183" t="n">
        <v>37539</v>
      </c>
      <c r="D563" s="181" t="s">
        <v>3327</v>
      </c>
      <c r="E563" s="181" t="s">
        <v>435</v>
      </c>
      <c r="F563" s="181" t="s">
        <v>436</v>
      </c>
      <c r="G563" s="181" t="s">
        <v>233</v>
      </c>
      <c r="H563" s="181" t="s">
        <v>279</v>
      </c>
      <c r="I563" s="181" t="s">
        <v>230</v>
      </c>
      <c r="J563" s="267"/>
      <c r="K563" s="269" t="n">
        <v>45914</v>
      </c>
      <c r="L563" s="267" t="n">
        <v>1.3</v>
      </c>
      <c r="M563" s="184" t="s">
        <v>233</v>
      </c>
      <c r="N563" s="184" t="n">
        <v>39250</v>
      </c>
      <c r="O563" s="184" t="n">
        <v>16320</v>
      </c>
      <c r="P563" s="185" t="n">
        <v>23</v>
      </c>
      <c r="Q563" s="184" t="n">
        <v>22930</v>
      </c>
      <c r="R563" s="184" t="n">
        <v>17656.1</v>
      </c>
      <c r="S563" s="184" t="s">
        <v>1485</v>
      </c>
      <c r="T563" s="187" t="n">
        <v>45915</v>
      </c>
    </row>
    <row r="564" customFormat="false" ht="46.25" hidden="true" customHeight="false" outlineLevel="0" collapsed="false">
      <c r="A564" s="181" t="s">
        <v>1486</v>
      </c>
      <c r="B564" s="182" t="n">
        <v>1657</v>
      </c>
      <c r="C564" s="183" t="n">
        <v>37541</v>
      </c>
      <c r="D564" s="181" t="s">
        <v>3327</v>
      </c>
      <c r="E564" s="181" t="s">
        <v>549</v>
      </c>
      <c r="F564" s="181" t="s">
        <v>550</v>
      </c>
      <c r="G564" s="181" t="s">
        <v>233</v>
      </c>
      <c r="H564" s="181" t="s">
        <v>279</v>
      </c>
      <c r="I564" s="181" t="s">
        <v>230</v>
      </c>
      <c r="J564" s="267"/>
      <c r="K564" s="269" t="n">
        <v>45914</v>
      </c>
      <c r="L564" s="267" t="n">
        <v>1.6</v>
      </c>
      <c r="M564" s="184" t="s">
        <v>233</v>
      </c>
      <c r="N564" s="184" t="n">
        <v>42870</v>
      </c>
      <c r="O564" s="184" t="n">
        <v>15830</v>
      </c>
      <c r="P564" s="185" t="n">
        <v>17</v>
      </c>
      <c r="Q564" s="184" t="n">
        <v>27040</v>
      </c>
      <c r="R564" s="184" t="n">
        <v>22443.2</v>
      </c>
      <c r="S564" s="184" t="s">
        <v>1487</v>
      </c>
      <c r="T564" s="187" t="n">
        <v>45915</v>
      </c>
    </row>
    <row r="565" customFormat="false" ht="46.25" hidden="true" customHeight="false" outlineLevel="0" collapsed="false">
      <c r="A565" s="181" t="s">
        <v>1488</v>
      </c>
      <c r="B565" s="182" t="n">
        <v>1658</v>
      </c>
      <c r="C565" s="183" t="n">
        <v>37543</v>
      </c>
      <c r="D565" s="181" t="s">
        <v>3327</v>
      </c>
      <c r="E565" s="181" t="s">
        <v>576</v>
      </c>
      <c r="F565" s="181" t="s">
        <v>577</v>
      </c>
      <c r="G565" s="181" t="s">
        <v>233</v>
      </c>
      <c r="H565" s="181" t="s">
        <v>279</v>
      </c>
      <c r="I565" s="181" t="s">
        <v>230</v>
      </c>
      <c r="J565" s="267"/>
      <c r="K565" s="269" t="n">
        <v>45914</v>
      </c>
      <c r="L565" s="267" t="n">
        <v>1.4</v>
      </c>
      <c r="M565" s="184" t="s">
        <v>233</v>
      </c>
      <c r="N565" s="184" t="n">
        <v>39170</v>
      </c>
      <c r="O565" s="184" t="n">
        <v>14420</v>
      </c>
      <c r="P565" s="185" t="n">
        <v>5</v>
      </c>
      <c r="Q565" s="184" t="n">
        <v>24750</v>
      </c>
      <c r="R565" s="184" t="n">
        <v>23512.5</v>
      </c>
      <c r="S565" s="184" t="s">
        <v>1489</v>
      </c>
      <c r="T565" s="187" t="n">
        <v>45915</v>
      </c>
    </row>
    <row r="566" customFormat="false" ht="46.25" hidden="true" customHeight="false" outlineLevel="0" collapsed="false">
      <c r="A566" s="181" t="s">
        <v>1490</v>
      </c>
      <c r="B566" s="182" t="n">
        <v>1660</v>
      </c>
      <c r="C566" s="183" t="n">
        <v>37545</v>
      </c>
      <c r="D566" s="181" t="s">
        <v>3327</v>
      </c>
      <c r="E566" s="181" t="s">
        <v>300</v>
      </c>
      <c r="F566" s="181" t="s">
        <v>301</v>
      </c>
      <c r="G566" s="181" t="s">
        <v>233</v>
      </c>
      <c r="H566" s="181" t="s">
        <v>279</v>
      </c>
      <c r="I566" s="181" t="s">
        <v>230</v>
      </c>
      <c r="J566" s="267"/>
      <c r="K566" s="269" t="n">
        <v>45914</v>
      </c>
      <c r="L566" s="267" t="n">
        <v>1.9</v>
      </c>
      <c r="M566" s="184" t="s">
        <v>233</v>
      </c>
      <c r="N566" s="184" t="n">
        <v>53280</v>
      </c>
      <c r="O566" s="184" t="n">
        <v>20830</v>
      </c>
      <c r="P566" s="185" t="n">
        <v>9</v>
      </c>
      <c r="Q566" s="184" t="n">
        <v>32450</v>
      </c>
      <c r="R566" s="184" t="n">
        <v>29529.5</v>
      </c>
      <c r="S566" s="184" t="s">
        <v>1491</v>
      </c>
      <c r="T566" s="187" t="n">
        <v>45915</v>
      </c>
    </row>
    <row r="567" customFormat="false" ht="46.25" hidden="true" customHeight="false" outlineLevel="0" collapsed="false">
      <c r="A567" s="181" t="s">
        <v>1492</v>
      </c>
      <c r="B567" s="182" t="n">
        <v>1662</v>
      </c>
      <c r="C567" s="183" t="n">
        <v>37547</v>
      </c>
      <c r="D567" s="181" t="s">
        <v>3327</v>
      </c>
      <c r="E567" s="181" t="s">
        <v>332</v>
      </c>
      <c r="F567" s="181" t="s">
        <v>333</v>
      </c>
      <c r="G567" s="181" t="s">
        <v>233</v>
      </c>
      <c r="H567" s="181" t="s">
        <v>279</v>
      </c>
      <c r="I567" s="181" t="s">
        <v>230</v>
      </c>
      <c r="J567" s="267"/>
      <c r="K567" s="269" t="n">
        <v>45914</v>
      </c>
      <c r="L567" s="267" t="n">
        <v>1.4</v>
      </c>
      <c r="M567" s="184" t="s">
        <v>233</v>
      </c>
      <c r="N567" s="184" t="n">
        <v>38160</v>
      </c>
      <c r="O567" s="184" t="n">
        <v>14690</v>
      </c>
      <c r="P567" s="185" t="n">
        <v>14</v>
      </c>
      <c r="Q567" s="184" t="n">
        <v>23470</v>
      </c>
      <c r="R567" s="184" t="n">
        <v>20184.2</v>
      </c>
      <c r="S567" s="184" t="s">
        <v>1493</v>
      </c>
      <c r="T567" s="187" t="n">
        <v>45915</v>
      </c>
    </row>
    <row r="568" customFormat="false" ht="46.25" hidden="true" customHeight="false" outlineLevel="0" collapsed="false">
      <c r="A568" s="181" t="s">
        <v>1494</v>
      </c>
      <c r="B568" s="182" t="n">
        <v>1663</v>
      </c>
      <c r="C568" s="183" t="n">
        <v>37549</v>
      </c>
      <c r="D568" s="181" t="s">
        <v>3327</v>
      </c>
      <c r="E568" s="181" t="s">
        <v>288</v>
      </c>
      <c r="F568" s="181" t="s">
        <v>289</v>
      </c>
      <c r="G568" s="181" t="s">
        <v>233</v>
      </c>
      <c r="H568" s="181" t="s">
        <v>279</v>
      </c>
      <c r="I568" s="181" t="s">
        <v>230</v>
      </c>
      <c r="J568" s="267"/>
      <c r="K568" s="269" t="n">
        <v>45914</v>
      </c>
      <c r="L568" s="267" t="n">
        <v>1.3</v>
      </c>
      <c r="M568" s="184" t="s">
        <v>233</v>
      </c>
      <c r="N568" s="184" t="n">
        <v>37000</v>
      </c>
      <c r="O568" s="184" t="n">
        <v>14540</v>
      </c>
      <c r="P568" s="185" t="n">
        <v>19</v>
      </c>
      <c r="Q568" s="184" t="n">
        <v>22460</v>
      </c>
      <c r="R568" s="184" t="n">
        <v>18192.6</v>
      </c>
      <c r="S568" s="184" t="s">
        <v>1495</v>
      </c>
      <c r="T568" s="187" t="n">
        <v>45915</v>
      </c>
    </row>
    <row r="569" customFormat="false" ht="46.25" hidden="true" customHeight="false" outlineLevel="0" collapsed="false">
      <c r="A569" s="181" t="s">
        <v>1496</v>
      </c>
      <c r="B569" s="182" t="n">
        <v>1666</v>
      </c>
      <c r="C569" s="183" t="n">
        <v>37551</v>
      </c>
      <c r="D569" s="181" t="s">
        <v>3327</v>
      </c>
      <c r="E569" s="181" t="s">
        <v>272</v>
      </c>
      <c r="F569" s="181" t="s">
        <v>273</v>
      </c>
      <c r="G569" s="181" t="s">
        <v>233</v>
      </c>
      <c r="H569" s="181" t="s">
        <v>279</v>
      </c>
      <c r="I569" s="181" t="s">
        <v>230</v>
      </c>
      <c r="J569" s="267"/>
      <c r="K569" s="269" t="n">
        <v>45914</v>
      </c>
      <c r="L569" s="267" t="n">
        <v>1.3</v>
      </c>
      <c r="M569" s="184" t="s">
        <v>233</v>
      </c>
      <c r="N569" s="184" t="n">
        <v>38670</v>
      </c>
      <c r="O569" s="184" t="n">
        <v>15500</v>
      </c>
      <c r="P569" s="185" t="n">
        <v>9</v>
      </c>
      <c r="Q569" s="184" t="n">
        <v>23170</v>
      </c>
      <c r="R569" s="184" t="n">
        <v>21084.7</v>
      </c>
      <c r="S569" s="184" t="s">
        <v>1497</v>
      </c>
      <c r="T569" s="187" t="n">
        <v>45915</v>
      </c>
    </row>
    <row r="570" customFormat="false" ht="46.25" hidden="true" customHeight="false" outlineLevel="0" collapsed="false">
      <c r="A570" s="181" t="s">
        <v>1498</v>
      </c>
      <c r="B570" s="182" t="n">
        <v>1667</v>
      </c>
      <c r="C570" s="183" t="n">
        <v>37553</v>
      </c>
      <c r="D570" s="181" t="s">
        <v>3327</v>
      </c>
      <c r="E570" s="181" t="s">
        <v>277</v>
      </c>
      <c r="F570" s="181" t="s">
        <v>278</v>
      </c>
      <c r="G570" s="181" t="s">
        <v>233</v>
      </c>
      <c r="H570" s="181" t="s">
        <v>279</v>
      </c>
      <c r="I570" s="181" t="s">
        <v>230</v>
      </c>
      <c r="J570" s="267"/>
      <c r="K570" s="269" t="n">
        <v>45914</v>
      </c>
      <c r="L570" s="267" t="n">
        <v>1.5</v>
      </c>
      <c r="M570" s="184" t="s">
        <v>233</v>
      </c>
      <c r="N570" s="184" t="n">
        <v>41710</v>
      </c>
      <c r="O570" s="184" t="n">
        <v>15130</v>
      </c>
      <c r="P570" s="185" t="n">
        <v>10</v>
      </c>
      <c r="Q570" s="184" t="n">
        <v>26580</v>
      </c>
      <c r="R570" s="184" t="n">
        <v>23922</v>
      </c>
      <c r="S570" s="184" t="s">
        <v>1499</v>
      </c>
      <c r="T570" s="187" t="n">
        <v>45915</v>
      </c>
    </row>
    <row r="571" customFormat="false" ht="46.25" hidden="true" customHeight="false" outlineLevel="0" collapsed="false">
      <c r="A571" s="181" t="s">
        <v>1500</v>
      </c>
      <c r="B571" s="182" t="n">
        <v>1671</v>
      </c>
      <c r="C571" s="183" t="n">
        <v>37555</v>
      </c>
      <c r="D571" s="181" t="s">
        <v>3327</v>
      </c>
      <c r="E571" s="181" t="s">
        <v>391</v>
      </c>
      <c r="F571" s="181" t="s">
        <v>392</v>
      </c>
      <c r="G571" s="181" t="s">
        <v>233</v>
      </c>
      <c r="H571" s="181" t="s">
        <v>279</v>
      </c>
      <c r="I571" s="181" t="s">
        <v>230</v>
      </c>
      <c r="J571" s="267"/>
      <c r="K571" s="269" t="n">
        <v>45914</v>
      </c>
      <c r="L571" s="267" t="n">
        <v>1.2</v>
      </c>
      <c r="M571" s="184" t="s">
        <v>233</v>
      </c>
      <c r="N571" s="184" t="n">
        <v>35140</v>
      </c>
      <c r="O571" s="184" t="n">
        <v>14430</v>
      </c>
      <c r="P571" s="185" t="n">
        <v>18</v>
      </c>
      <c r="Q571" s="184" t="n">
        <v>20710</v>
      </c>
      <c r="R571" s="184" t="n">
        <v>16982.2</v>
      </c>
      <c r="S571" s="184" t="s">
        <v>1501</v>
      </c>
      <c r="T571" s="187" t="n">
        <v>45915</v>
      </c>
    </row>
    <row r="572" customFormat="false" ht="46.25" hidden="true" customHeight="false" outlineLevel="0" collapsed="false">
      <c r="A572" s="181" t="s">
        <v>1502</v>
      </c>
      <c r="B572" s="182" t="n">
        <v>1674</v>
      </c>
      <c r="C572" s="183" t="n">
        <v>37557</v>
      </c>
      <c r="D572" s="181" t="s">
        <v>3327</v>
      </c>
      <c r="E572" s="181" t="s">
        <v>529</v>
      </c>
      <c r="F572" s="181" t="s">
        <v>530</v>
      </c>
      <c r="G572" s="181" t="s">
        <v>233</v>
      </c>
      <c r="H572" s="181" t="s">
        <v>279</v>
      </c>
      <c r="I572" s="181" t="s">
        <v>230</v>
      </c>
      <c r="J572" s="267"/>
      <c r="K572" s="269" t="n">
        <v>45915</v>
      </c>
      <c r="L572" s="267" t="n">
        <v>1.5</v>
      </c>
      <c r="M572" s="184" t="s">
        <v>233</v>
      </c>
      <c r="N572" s="184" t="n">
        <v>36190</v>
      </c>
      <c r="O572" s="184" t="n">
        <v>14790</v>
      </c>
      <c r="P572" s="185" t="n">
        <v>13</v>
      </c>
      <c r="Q572" s="184" t="n">
        <v>21400</v>
      </c>
      <c r="R572" s="184" t="n">
        <v>18618</v>
      </c>
      <c r="S572" s="184" t="s">
        <v>1503</v>
      </c>
      <c r="T572" s="187" t="n">
        <v>45915</v>
      </c>
    </row>
    <row r="573" customFormat="false" ht="35.05" hidden="true" customHeight="false" outlineLevel="0" collapsed="false">
      <c r="A573" s="181" t="s">
        <v>1508</v>
      </c>
      <c r="B573" s="182" t="n">
        <v>1682</v>
      </c>
      <c r="C573" s="183" t="n">
        <v>136</v>
      </c>
      <c r="D573" s="181" t="s">
        <v>1509</v>
      </c>
      <c r="E573" s="181" t="s">
        <v>1510</v>
      </c>
      <c r="F573" s="181" t="s">
        <v>1511</v>
      </c>
      <c r="G573" s="181" t="s">
        <v>3328</v>
      </c>
      <c r="H573" s="181" t="s">
        <v>1513</v>
      </c>
      <c r="I573" s="181" t="s">
        <v>238</v>
      </c>
      <c r="J573" s="267"/>
      <c r="K573" s="269" t="n">
        <v>45916</v>
      </c>
      <c r="L573" s="267" t="n">
        <v>0.8</v>
      </c>
      <c r="M573" s="184" t="s">
        <v>3328</v>
      </c>
      <c r="N573" s="184" t="n">
        <v>23210</v>
      </c>
      <c r="O573" s="184" t="n">
        <v>14110</v>
      </c>
      <c r="P573" s="185" t="n">
        <v>18</v>
      </c>
      <c r="Q573" s="184" t="n">
        <v>9100</v>
      </c>
      <c r="R573" s="184" t="n">
        <v>7462</v>
      </c>
      <c r="S573" s="184" t="s">
        <v>1514</v>
      </c>
      <c r="T573" s="187" t="n">
        <v>45916</v>
      </c>
    </row>
    <row r="574" customFormat="false" ht="35.05" hidden="true" customHeight="false" outlineLevel="0" collapsed="false">
      <c r="A574" s="181" t="s">
        <v>1515</v>
      </c>
      <c r="B574" s="182" t="n">
        <v>1684</v>
      </c>
      <c r="C574" s="183" t="n">
        <v>137</v>
      </c>
      <c r="D574" s="181" t="s">
        <v>1509</v>
      </c>
      <c r="E574" s="181" t="s">
        <v>277</v>
      </c>
      <c r="F574" s="181" t="s">
        <v>278</v>
      </c>
      <c r="G574" s="181" t="s">
        <v>3328</v>
      </c>
      <c r="H574" s="181" t="s">
        <v>1513</v>
      </c>
      <c r="I574" s="181" t="s">
        <v>238</v>
      </c>
      <c r="J574" s="267"/>
      <c r="K574" s="269" t="n">
        <v>45916</v>
      </c>
      <c r="L574" s="267" t="n">
        <v>2</v>
      </c>
      <c r="M574" s="184" t="s">
        <v>3328</v>
      </c>
      <c r="N574" s="184" t="n">
        <v>38560</v>
      </c>
      <c r="O574" s="184" t="n">
        <v>15090</v>
      </c>
      <c r="P574" s="185" t="n">
        <v>23</v>
      </c>
      <c r="Q574" s="184" t="n">
        <v>23470</v>
      </c>
      <c r="R574" s="184" t="n">
        <v>18071.9</v>
      </c>
      <c r="S574" s="184" t="s">
        <v>1516</v>
      </c>
      <c r="T574" s="187" t="n">
        <v>45916</v>
      </c>
    </row>
    <row r="575" customFormat="false" ht="35.05" hidden="true" customHeight="false" outlineLevel="0" collapsed="false">
      <c r="A575" s="181" t="s">
        <v>1517</v>
      </c>
      <c r="B575" s="182" t="n">
        <v>1685</v>
      </c>
      <c r="C575" s="183" t="n">
        <v>138</v>
      </c>
      <c r="D575" s="181" t="s">
        <v>1509</v>
      </c>
      <c r="E575" s="181" t="s">
        <v>332</v>
      </c>
      <c r="F575" s="181" t="s">
        <v>333</v>
      </c>
      <c r="G575" s="181" t="s">
        <v>3328</v>
      </c>
      <c r="H575" s="181" t="s">
        <v>1513</v>
      </c>
      <c r="I575" s="181" t="s">
        <v>238</v>
      </c>
      <c r="J575" s="267"/>
      <c r="K575" s="269" t="n">
        <v>45916</v>
      </c>
      <c r="L575" s="267" t="n">
        <v>1.5</v>
      </c>
      <c r="M575" s="184" t="s">
        <v>3328</v>
      </c>
      <c r="N575" s="184" t="n">
        <v>32100</v>
      </c>
      <c r="O575" s="184" t="n">
        <v>14880</v>
      </c>
      <c r="P575" s="185" t="n">
        <v>22</v>
      </c>
      <c r="Q575" s="184" t="n">
        <v>17220</v>
      </c>
      <c r="R575" s="184" t="n">
        <v>13431.6</v>
      </c>
      <c r="S575" s="184" t="s">
        <v>1518</v>
      </c>
      <c r="T575" s="187" t="n">
        <v>45916</v>
      </c>
    </row>
    <row r="576" customFormat="false" ht="35.05" hidden="true" customHeight="false" outlineLevel="0" collapsed="false">
      <c r="A576" s="181" t="s">
        <v>1519</v>
      </c>
      <c r="B576" s="182" t="n">
        <v>1686</v>
      </c>
      <c r="C576" s="183" t="n">
        <v>139</v>
      </c>
      <c r="D576" s="181" t="s">
        <v>1509</v>
      </c>
      <c r="E576" s="181" t="s">
        <v>1510</v>
      </c>
      <c r="F576" s="181" t="s">
        <v>1511</v>
      </c>
      <c r="G576" s="181" t="s">
        <v>3328</v>
      </c>
      <c r="H576" s="181" t="s">
        <v>1513</v>
      </c>
      <c r="I576" s="181" t="s">
        <v>238</v>
      </c>
      <c r="J576" s="267"/>
      <c r="K576" s="269" t="n">
        <v>45916</v>
      </c>
      <c r="L576" s="267" t="n">
        <v>1.3</v>
      </c>
      <c r="M576" s="184" t="s">
        <v>3328</v>
      </c>
      <c r="N576" s="184" t="n">
        <v>28680</v>
      </c>
      <c r="O576" s="184" t="n">
        <v>14180</v>
      </c>
      <c r="P576" s="185" t="n">
        <v>28</v>
      </c>
      <c r="Q576" s="184" t="n">
        <v>14500</v>
      </c>
      <c r="R576" s="184" t="n">
        <v>10440</v>
      </c>
      <c r="S576" s="184" t="s">
        <v>1520</v>
      </c>
      <c r="T576" s="187" t="n">
        <v>45917</v>
      </c>
    </row>
    <row r="577" customFormat="false" ht="35.05" hidden="true" customHeight="false" outlineLevel="0" collapsed="false">
      <c r="A577" s="181" t="s">
        <v>1521</v>
      </c>
      <c r="B577" s="182" t="n">
        <v>1687</v>
      </c>
      <c r="C577" s="183" t="n">
        <v>140</v>
      </c>
      <c r="D577" s="181" t="s">
        <v>1509</v>
      </c>
      <c r="E577" s="181" t="s">
        <v>277</v>
      </c>
      <c r="F577" s="181" t="s">
        <v>278</v>
      </c>
      <c r="G577" s="181" t="s">
        <v>3328</v>
      </c>
      <c r="H577" s="181" t="s">
        <v>1513</v>
      </c>
      <c r="I577" s="181" t="s">
        <v>238</v>
      </c>
      <c r="J577" s="267"/>
      <c r="K577" s="269" t="n">
        <v>45916</v>
      </c>
      <c r="L577" s="267" t="n">
        <v>1.5</v>
      </c>
      <c r="M577" s="184" t="s">
        <v>3328</v>
      </c>
      <c r="N577" s="184" t="n">
        <v>32420</v>
      </c>
      <c r="O577" s="184" t="n">
        <v>15070</v>
      </c>
      <c r="P577" s="185" t="n">
        <v>24</v>
      </c>
      <c r="Q577" s="184" t="n">
        <v>17350</v>
      </c>
      <c r="R577" s="184" t="n">
        <v>13186</v>
      </c>
      <c r="S577" s="184" t="s">
        <v>1523</v>
      </c>
      <c r="T577" s="187" t="n">
        <v>45917</v>
      </c>
    </row>
    <row r="578" customFormat="false" ht="35.05" hidden="true" customHeight="false" outlineLevel="0" collapsed="false">
      <c r="A578" s="181" t="s">
        <v>1524</v>
      </c>
      <c r="B578" s="182" t="n">
        <v>1688</v>
      </c>
      <c r="C578" s="183" t="n">
        <v>141</v>
      </c>
      <c r="D578" s="181" t="s">
        <v>1509</v>
      </c>
      <c r="E578" s="181" t="s">
        <v>1510</v>
      </c>
      <c r="F578" s="181" t="s">
        <v>1511</v>
      </c>
      <c r="G578" s="181" t="s">
        <v>3328</v>
      </c>
      <c r="H578" s="181" t="s">
        <v>1513</v>
      </c>
      <c r="I578" s="181" t="s">
        <v>238</v>
      </c>
      <c r="J578" s="267"/>
      <c r="K578" s="269" t="n">
        <v>45916</v>
      </c>
      <c r="L578" s="267" t="n">
        <v>0.9</v>
      </c>
      <c r="M578" s="184" t="s">
        <v>3328</v>
      </c>
      <c r="N578" s="184" t="n">
        <v>24510</v>
      </c>
      <c r="O578" s="184" t="n">
        <v>14170</v>
      </c>
      <c r="P578" s="185" t="n">
        <v>26</v>
      </c>
      <c r="Q578" s="184" t="n">
        <v>10340</v>
      </c>
      <c r="R578" s="184" t="n">
        <v>7651.6</v>
      </c>
      <c r="S578" s="184" t="s">
        <v>1525</v>
      </c>
      <c r="T578" s="187" t="n">
        <v>45917</v>
      </c>
    </row>
    <row r="579" customFormat="false" ht="46.25" hidden="true" customHeight="false" outlineLevel="0" collapsed="false">
      <c r="A579" s="181" t="s">
        <v>1526</v>
      </c>
      <c r="B579" s="182" t="n">
        <v>1691</v>
      </c>
      <c r="C579" s="183" t="n">
        <v>142</v>
      </c>
      <c r="D579" s="181" t="s">
        <v>1509</v>
      </c>
      <c r="E579" s="181" t="s">
        <v>288</v>
      </c>
      <c r="F579" s="181" t="s">
        <v>289</v>
      </c>
      <c r="G579" s="181" t="s">
        <v>3328</v>
      </c>
      <c r="H579" s="181" t="s">
        <v>1513</v>
      </c>
      <c r="I579" s="181" t="s">
        <v>238</v>
      </c>
      <c r="J579" s="267"/>
      <c r="K579" s="269" t="n">
        <v>45917</v>
      </c>
      <c r="L579" s="267" t="n">
        <v>1.3</v>
      </c>
      <c r="M579" s="184" t="s">
        <v>3328</v>
      </c>
      <c r="N579" s="184" t="n">
        <v>28250</v>
      </c>
      <c r="O579" s="184" t="n">
        <v>14750</v>
      </c>
      <c r="P579" s="185" t="n">
        <v>21</v>
      </c>
      <c r="Q579" s="184" t="n">
        <v>13500</v>
      </c>
      <c r="R579" s="184" t="n">
        <v>10665</v>
      </c>
      <c r="S579" s="184" t="s">
        <v>1527</v>
      </c>
      <c r="T579" s="187" t="n">
        <v>45917</v>
      </c>
    </row>
    <row r="580" customFormat="false" ht="23.85" hidden="true" customHeight="false" outlineLevel="0" collapsed="false">
      <c r="A580" s="181" t="s">
        <v>1528</v>
      </c>
      <c r="B580" s="182" t="n">
        <v>1692</v>
      </c>
      <c r="C580" s="183" t="n">
        <v>143</v>
      </c>
      <c r="D580" s="181" t="s">
        <v>1509</v>
      </c>
      <c r="E580" s="181" t="s">
        <v>292</v>
      </c>
      <c r="F580" s="181" t="s">
        <v>293</v>
      </c>
      <c r="G580" s="181" t="s">
        <v>3328</v>
      </c>
      <c r="H580" s="181" t="s">
        <v>1513</v>
      </c>
      <c r="I580" s="181" t="s">
        <v>238</v>
      </c>
      <c r="J580" s="267"/>
      <c r="K580" s="269" t="n">
        <v>45917</v>
      </c>
      <c r="L580" s="267" t="n">
        <v>1.3</v>
      </c>
      <c r="M580" s="184" t="s">
        <v>3328</v>
      </c>
      <c r="N580" s="184" t="n">
        <v>27900</v>
      </c>
      <c r="O580" s="184" t="n">
        <v>14020</v>
      </c>
      <c r="P580" s="185" t="n">
        <v>18</v>
      </c>
      <c r="Q580" s="184" t="n">
        <v>13880</v>
      </c>
      <c r="R580" s="184" t="n">
        <v>11381.6</v>
      </c>
      <c r="S580" s="184" t="s">
        <v>1529</v>
      </c>
      <c r="T580" s="187" t="n">
        <v>45917</v>
      </c>
    </row>
    <row r="581" customFormat="false" ht="46.25" hidden="true" customHeight="false" outlineLevel="0" collapsed="false">
      <c r="A581" s="181" t="s">
        <v>1530</v>
      </c>
      <c r="B581" s="182" t="n">
        <v>1694</v>
      </c>
      <c r="C581" s="183" t="n">
        <v>144</v>
      </c>
      <c r="D581" s="181" t="s">
        <v>1509</v>
      </c>
      <c r="E581" s="181" t="s">
        <v>288</v>
      </c>
      <c r="F581" s="181" t="s">
        <v>289</v>
      </c>
      <c r="G581" s="181" t="s">
        <v>3328</v>
      </c>
      <c r="H581" s="181" t="s">
        <v>1513</v>
      </c>
      <c r="I581" s="181" t="s">
        <v>238</v>
      </c>
      <c r="J581" s="267"/>
      <c r="K581" s="269" t="n">
        <v>45917</v>
      </c>
      <c r="L581" s="267" t="n">
        <v>1</v>
      </c>
      <c r="M581" s="184" t="s">
        <v>3328</v>
      </c>
      <c r="N581" s="184" t="n">
        <v>25200</v>
      </c>
      <c r="O581" s="184" t="n">
        <v>14730</v>
      </c>
      <c r="P581" s="185" t="n">
        <v>16</v>
      </c>
      <c r="Q581" s="184" t="n">
        <v>10470</v>
      </c>
      <c r="R581" s="184" t="n">
        <v>8794.8</v>
      </c>
      <c r="S581" s="184" t="s">
        <v>1531</v>
      </c>
      <c r="T581" s="187" t="n">
        <v>45917</v>
      </c>
    </row>
    <row r="582" customFormat="false" ht="23.85" hidden="true" customHeight="false" outlineLevel="0" collapsed="false">
      <c r="A582" s="181" t="s">
        <v>1532</v>
      </c>
      <c r="B582" s="182" t="n">
        <v>1697</v>
      </c>
      <c r="C582" s="183" t="n">
        <v>145</v>
      </c>
      <c r="D582" s="181" t="s">
        <v>1509</v>
      </c>
      <c r="E582" s="181" t="s">
        <v>292</v>
      </c>
      <c r="F582" s="181" t="s">
        <v>293</v>
      </c>
      <c r="G582" s="181" t="s">
        <v>3328</v>
      </c>
      <c r="H582" s="181" t="s">
        <v>1513</v>
      </c>
      <c r="I582" s="181" t="s">
        <v>238</v>
      </c>
      <c r="J582" s="267"/>
      <c r="K582" s="269" t="n">
        <v>45917</v>
      </c>
      <c r="L582" s="267" t="n">
        <v>1.5</v>
      </c>
      <c r="M582" s="184" t="s">
        <v>3328</v>
      </c>
      <c r="N582" s="184" t="n">
        <v>29610</v>
      </c>
      <c r="O582" s="184" t="n">
        <v>14010</v>
      </c>
      <c r="P582" s="185" t="n">
        <v>25</v>
      </c>
      <c r="Q582" s="184" t="n">
        <v>15600</v>
      </c>
      <c r="R582" s="184" t="n">
        <v>11700</v>
      </c>
      <c r="S582" s="184" t="s">
        <v>1533</v>
      </c>
      <c r="T582" s="187" t="n">
        <v>45917</v>
      </c>
    </row>
    <row r="583" customFormat="false" ht="46.25" hidden="true" customHeight="false" outlineLevel="0" collapsed="false">
      <c r="A583" s="181" t="s">
        <v>1534</v>
      </c>
      <c r="B583" s="182" t="n">
        <v>1698</v>
      </c>
      <c r="C583" s="183" t="n">
        <v>146</v>
      </c>
      <c r="D583" s="181" t="s">
        <v>1509</v>
      </c>
      <c r="E583" s="181" t="s">
        <v>288</v>
      </c>
      <c r="F583" s="181" t="s">
        <v>289</v>
      </c>
      <c r="G583" s="181" t="s">
        <v>3328</v>
      </c>
      <c r="H583" s="181" t="s">
        <v>1513</v>
      </c>
      <c r="I583" s="181" t="s">
        <v>238</v>
      </c>
      <c r="J583" s="267"/>
      <c r="K583" s="269" t="n">
        <v>45917</v>
      </c>
      <c r="L583" s="267" t="n">
        <v>1.3</v>
      </c>
      <c r="M583" s="184" t="s">
        <v>3328</v>
      </c>
      <c r="N583" s="184" t="n">
        <v>28690</v>
      </c>
      <c r="O583" s="184" t="n">
        <v>14720</v>
      </c>
      <c r="P583" s="185" t="n">
        <v>24</v>
      </c>
      <c r="Q583" s="184" t="n">
        <v>13970</v>
      </c>
      <c r="R583" s="184" t="n">
        <v>10617.2</v>
      </c>
      <c r="S583" s="184" t="s">
        <v>1535</v>
      </c>
      <c r="T583" s="187" t="n">
        <v>45917</v>
      </c>
    </row>
    <row r="584" customFormat="false" ht="23.85" hidden="true" customHeight="false" outlineLevel="0" collapsed="false">
      <c r="A584" s="181" t="s">
        <v>1536</v>
      </c>
      <c r="B584" s="182" t="n">
        <v>1699</v>
      </c>
      <c r="C584" s="183" t="n">
        <v>147</v>
      </c>
      <c r="D584" s="181" t="s">
        <v>1509</v>
      </c>
      <c r="E584" s="181" t="s">
        <v>292</v>
      </c>
      <c r="F584" s="181" t="s">
        <v>293</v>
      </c>
      <c r="G584" s="181" t="s">
        <v>3328</v>
      </c>
      <c r="H584" s="181" t="s">
        <v>1513</v>
      </c>
      <c r="I584" s="181" t="s">
        <v>238</v>
      </c>
      <c r="J584" s="267"/>
      <c r="K584" s="269" t="n">
        <v>45917</v>
      </c>
      <c r="L584" s="267" t="n">
        <v>1.7</v>
      </c>
      <c r="M584" s="184" t="s">
        <v>3328</v>
      </c>
      <c r="N584" s="184" t="n">
        <v>32120</v>
      </c>
      <c r="O584" s="184" t="n">
        <v>14000</v>
      </c>
      <c r="P584" s="185" t="n">
        <v>25</v>
      </c>
      <c r="Q584" s="184" t="n">
        <v>18120</v>
      </c>
      <c r="R584" s="184" t="n">
        <v>13590</v>
      </c>
      <c r="S584" s="184" t="s">
        <v>1537</v>
      </c>
      <c r="T584" s="187" t="n">
        <v>45917</v>
      </c>
    </row>
    <row r="585" customFormat="false" ht="46.25" hidden="true" customHeight="false" outlineLevel="0" collapsed="false">
      <c r="A585" s="181" t="s">
        <v>1538</v>
      </c>
      <c r="B585" s="182" t="n">
        <v>1700</v>
      </c>
      <c r="C585" s="183" t="n">
        <v>148</v>
      </c>
      <c r="D585" s="181" t="s">
        <v>1509</v>
      </c>
      <c r="E585" s="181" t="s">
        <v>288</v>
      </c>
      <c r="F585" s="181" t="s">
        <v>289</v>
      </c>
      <c r="G585" s="181" t="s">
        <v>3328</v>
      </c>
      <c r="H585" s="181" t="s">
        <v>1513</v>
      </c>
      <c r="I585" s="181" t="s">
        <v>238</v>
      </c>
      <c r="J585" s="267"/>
      <c r="K585" s="269" t="n">
        <v>45917</v>
      </c>
      <c r="L585" s="267" t="n">
        <v>1.8</v>
      </c>
      <c r="M585" s="184" t="s">
        <v>3328</v>
      </c>
      <c r="N585" s="184" t="n">
        <v>33450</v>
      </c>
      <c r="O585" s="184" t="n">
        <v>14720</v>
      </c>
      <c r="P585" s="185" t="n">
        <v>19</v>
      </c>
      <c r="Q585" s="184" t="n">
        <v>18730</v>
      </c>
      <c r="R585" s="184" t="n">
        <v>15171.3</v>
      </c>
      <c r="S585" s="184" t="s">
        <v>1539</v>
      </c>
      <c r="T585" s="187" t="n">
        <v>45917</v>
      </c>
    </row>
    <row r="586" customFormat="false" ht="35.05" hidden="true" customHeight="false" outlineLevel="0" collapsed="false">
      <c r="A586" s="181" t="s">
        <v>1540</v>
      </c>
      <c r="B586" s="182" t="n">
        <v>1701</v>
      </c>
      <c r="C586" s="183" t="n">
        <v>149</v>
      </c>
      <c r="D586" s="181" t="s">
        <v>1509</v>
      </c>
      <c r="E586" s="181" t="s">
        <v>261</v>
      </c>
      <c r="F586" s="181" t="s">
        <v>262</v>
      </c>
      <c r="G586" s="181" t="s">
        <v>3328</v>
      </c>
      <c r="H586" s="181" t="s">
        <v>1513</v>
      </c>
      <c r="I586" s="181" t="s">
        <v>238</v>
      </c>
      <c r="J586" s="267"/>
      <c r="K586" s="269" t="n">
        <v>45917</v>
      </c>
      <c r="L586" s="267" t="n">
        <v>1.5</v>
      </c>
      <c r="M586" s="184" t="s">
        <v>3328</v>
      </c>
      <c r="N586" s="184" t="n">
        <v>30660</v>
      </c>
      <c r="O586" s="184" t="n">
        <v>15130</v>
      </c>
      <c r="P586" s="185" t="n">
        <v>23</v>
      </c>
      <c r="Q586" s="184" t="n">
        <v>15530</v>
      </c>
      <c r="R586" s="184" t="n">
        <v>11958.1</v>
      </c>
      <c r="S586" s="184" t="s">
        <v>1541</v>
      </c>
      <c r="T586" s="187" t="n">
        <v>45917</v>
      </c>
    </row>
    <row r="587" customFormat="false" ht="23.85" hidden="true" customHeight="false" outlineLevel="0" collapsed="false">
      <c r="A587" s="181" t="s">
        <v>1542</v>
      </c>
      <c r="B587" s="182" t="n">
        <v>1702</v>
      </c>
      <c r="C587" s="183" t="n">
        <v>150</v>
      </c>
      <c r="D587" s="181" t="s">
        <v>1509</v>
      </c>
      <c r="E587" s="181" t="s">
        <v>292</v>
      </c>
      <c r="F587" s="181" t="s">
        <v>293</v>
      </c>
      <c r="G587" s="181" t="s">
        <v>3328</v>
      </c>
      <c r="H587" s="181" t="s">
        <v>1513</v>
      </c>
      <c r="I587" s="181" t="s">
        <v>238</v>
      </c>
      <c r="J587" s="267"/>
      <c r="K587" s="269" t="n">
        <v>45917</v>
      </c>
      <c r="L587" s="267" t="n">
        <v>1.4</v>
      </c>
      <c r="M587" s="184" t="s">
        <v>3328</v>
      </c>
      <c r="N587" s="184" t="n">
        <v>28770</v>
      </c>
      <c r="O587" s="184" t="n">
        <v>13990</v>
      </c>
      <c r="P587" s="185" t="n">
        <v>24</v>
      </c>
      <c r="Q587" s="184" t="n">
        <v>14780</v>
      </c>
      <c r="R587" s="184" t="n">
        <v>11232.8</v>
      </c>
      <c r="S587" s="184" t="s">
        <v>1543</v>
      </c>
      <c r="T587" s="187" t="n">
        <v>45917</v>
      </c>
    </row>
    <row r="588" customFormat="false" ht="46.25" hidden="true" customHeight="false" outlineLevel="0" collapsed="false">
      <c r="A588" s="181" t="s">
        <v>1544</v>
      </c>
      <c r="B588" s="182" t="n">
        <v>1704</v>
      </c>
      <c r="C588" s="183" t="n">
        <v>151</v>
      </c>
      <c r="D588" s="181" t="s">
        <v>1509</v>
      </c>
      <c r="E588" s="181" t="s">
        <v>288</v>
      </c>
      <c r="F588" s="181" t="s">
        <v>289</v>
      </c>
      <c r="G588" s="181" t="s">
        <v>3328</v>
      </c>
      <c r="H588" s="181" t="s">
        <v>1513</v>
      </c>
      <c r="I588" s="181" t="s">
        <v>238</v>
      </c>
      <c r="J588" s="267"/>
      <c r="K588" s="269" t="n">
        <v>45917</v>
      </c>
      <c r="L588" s="267" t="n">
        <v>1.2</v>
      </c>
      <c r="M588" s="184" t="s">
        <v>3328</v>
      </c>
      <c r="N588" s="184" t="n">
        <v>27380</v>
      </c>
      <c r="O588" s="184" t="n">
        <v>14700</v>
      </c>
      <c r="P588" s="185" t="n">
        <v>25</v>
      </c>
      <c r="Q588" s="184" t="n">
        <v>12680</v>
      </c>
      <c r="R588" s="184" t="n">
        <v>9510</v>
      </c>
      <c r="S588" s="184" t="s">
        <v>1545</v>
      </c>
      <c r="T588" s="187" t="n">
        <v>45918</v>
      </c>
    </row>
    <row r="589" customFormat="false" ht="23.85" hidden="true" customHeight="false" outlineLevel="0" collapsed="false">
      <c r="A589" s="181" t="s">
        <v>1546</v>
      </c>
      <c r="B589" s="182" t="n">
        <v>1705</v>
      </c>
      <c r="C589" s="183" t="n">
        <v>152</v>
      </c>
      <c r="D589" s="181" t="s">
        <v>1509</v>
      </c>
      <c r="E589" s="181" t="s">
        <v>292</v>
      </c>
      <c r="F589" s="181" t="s">
        <v>293</v>
      </c>
      <c r="G589" s="181" t="s">
        <v>3328</v>
      </c>
      <c r="H589" s="181" t="s">
        <v>1513</v>
      </c>
      <c r="I589" s="181" t="s">
        <v>238</v>
      </c>
      <c r="J589" s="267"/>
      <c r="K589" s="269" t="n">
        <v>45917</v>
      </c>
      <c r="L589" s="267" t="n">
        <v>1.3</v>
      </c>
      <c r="M589" s="184" t="s">
        <v>3328</v>
      </c>
      <c r="N589" s="184" t="n">
        <v>28110</v>
      </c>
      <c r="O589" s="184" t="n">
        <v>13990</v>
      </c>
      <c r="P589" s="185" t="n">
        <v>28</v>
      </c>
      <c r="Q589" s="184" t="n">
        <v>14120</v>
      </c>
      <c r="R589" s="184" t="n">
        <v>10166.4</v>
      </c>
      <c r="S589" s="184" t="s">
        <v>1547</v>
      </c>
      <c r="T589" s="187" t="n">
        <v>45918</v>
      </c>
    </row>
    <row r="590" customFormat="false" ht="46.25" hidden="true" customHeight="false" outlineLevel="0" collapsed="false">
      <c r="A590" s="181" t="s">
        <v>1548</v>
      </c>
      <c r="B590" s="182" t="n">
        <v>1706</v>
      </c>
      <c r="C590" s="183" t="n">
        <v>153</v>
      </c>
      <c r="D590" s="181" t="s">
        <v>1509</v>
      </c>
      <c r="E590" s="181" t="s">
        <v>288</v>
      </c>
      <c r="F590" s="181" t="s">
        <v>289</v>
      </c>
      <c r="G590" s="181" t="s">
        <v>3328</v>
      </c>
      <c r="H590" s="181" t="s">
        <v>1513</v>
      </c>
      <c r="I590" s="181" t="s">
        <v>238</v>
      </c>
      <c r="J590" s="267"/>
      <c r="K590" s="269" t="n">
        <v>45917</v>
      </c>
      <c r="L590" s="267" t="n">
        <v>1.3</v>
      </c>
      <c r="M590" s="184" t="s">
        <v>3328</v>
      </c>
      <c r="N590" s="184" t="n">
        <v>28410</v>
      </c>
      <c r="O590" s="184" t="n">
        <v>14700</v>
      </c>
      <c r="P590" s="185" t="n">
        <v>34</v>
      </c>
      <c r="Q590" s="184" t="n">
        <v>13710</v>
      </c>
      <c r="R590" s="184" t="n">
        <v>9048.6</v>
      </c>
      <c r="S590" s="184" t="s">
        <v>1549</v>
      </c>
      <c r="T590" s="187" t="n">
        <v>45918</v>
      </c>
    </row>
    <row r="591" customFormat="false" ht="23.85" hidden="true" customHeight="false" outlineLevel="0" collapsed="false">
      <c r="A591" s="181" t="s">
        <v>1550</v>
      </c>
      <c r="B591" s="182" t="n">
        <v>1707</v>
      </c>
      <c r="C591" s="183" t="n">
        <v>154</v>
      </c>
      <c r="D591" s="181" t="s">
        <v>1509</v>
      </c>
      <c r="E591" s="181" t="s">
        <v>292</v>
      </c>
      <c r="F591" s="181" t="s">
        <v>293</v>
      </c>
      <c r="G591" s="181" t="s">
        <v>3328</v>
      </c>
      <c r="H591" s="181" t="s">
        <v>1513</v>
      </c>
      <c r="I591" s="181" t="s">
        <v>238</v>
      </c>
      <c r="J591" s="267"/>
      <c r="K591" s="269" t="n">
        <v>45917</v>
      </c>
      <c r="L591" s="267" t="n">
        <v>1.5</v>
      </c>
      <c r="M591" s="184" t="s">
        <v>3328</v>
      </c>
      <c r="N591" s="184" t="n">
        <v>29600</v>
      </c>
      <c r="O591" s="184" t="n">
        <v>13970</v>
      </c>
      <c r="P591" s="185" t="n">
        <v>32</v>
      </c>
      <c r="Q591" s="184" t="n">
        <v>15630</v>
      </c>
      <c r="R591" s="184" t="n">
        <v>10628.4</v>
      </c>
      <c r="S591" s="184" t="s">
        <v>1551</v>
      </c>
      <c r="T591" s="187" t="n">
        <v>45918</v>
      </c>
    </row>
    <row r="592" customFormat="false" ht="46.25" hidden="true" customHeight="false" outlineLevel="0" collapsed="false">
      <c r="A592" s="181" t="s">
        <v>1552</v>
      </c>
      <c r="B592" s="182" t="n">
        <v>1708</v>
      </c>
      <c r="C592" s="183" t="n">
        <v>37563</v>
      </c>
      <c r="D592" s="181" t="s">
        <v>3327</v>
      </c>
      <c r="E592" s="181" t="s">
        <v>1309</v>
      </c>
      <c r="F592" s="181" t="s">
        <v>1310</v>
      </c>
      <c r="G592" s="181" t="s">
        <v>235</v>
      </c>
      <c r="H592" s="181" t="s">
        <v>279</v>
      </c>
      <c r="I592" s="181" t="s">
        <v>230</v>
      </c>
      <c r="J592" s="267"/>
      <c r="K592" s="269" t="n">
        <v>45917</v>
      </c>
      <c r="L592" s="267" t="n">
        <v>1.5</v>
      </c>
      <c r="M592" s="184" t="s">
        <v>235</v>
      </c>
      <c r="N592" s="184" t="n">
        <v>39270</v>
      </c>
      <c r="O592" s="184" t="n">
        <v>15480</v>
      </c>
      <c r="P592" s="185" t="n">
        <v>24</v>
      </c>
      <c r="Q592" s="184" t="n">
        <v>23790</v>
      </c>
      <c r="R592" s="184" t="n">
        <v>18080.4</v>
      </c>
      <c r="S592" s="184" t="s">
        <v>1553</v>
      </c>
      <c r="T592" s="187" t="n">
        <v>45918</v>
      </c>
    </row>
    <row r="593" customFormat="false" ht="46.25" hidden="true" customHeight="false" outlineLevel="0" collapsed="false">
      <c r="A593" s="181" t="s">
        <v>1554</v>
      </c>
      <c r="B593" s="182" t="n">
        <v>1710</v>
      </c>
      <c r="C593" s="183" t="n">
        <v>37565</v>
      </c>
      <c r="D593" s="181" t="s">
        <v>3327</v>
      </c>
      <c r="E593" s="181" t="s">
        <v>901</v>
      </c>
      <c r="F593" s="181" t="s">
        <v>902</v>
      </c>
      <c r="G593" s="181" t="s">
        <v>235</v>
      </c>
      <c r="H593" s="181" t="s">
        <v>279</v>
      </c>
      <c r="I593" s="181" t="s">
        <v>230</v>
      </c>
      <c r="J593" s="267"/>
      <c r="K593" s="269" t="n">
        <v>45917</v>
      </c>
      <c r="L593" s="267" t="n">
        <v>1.5</v>
      </c>
      <c r="M593" s="184" t="s">
        <v>235</v>
      </c>
      <c r="N593" s="184" t="n">
        <v>37930</v>
      </c>
      <c r="O593" s="184" t="n">
        <v>14740</v>
      </c>
      <c r="P593" s="185" t="n">
        <v>14</v>
      </c>
      <c r="Q593" s="184" t="n">
        <v>23190</v>
      </c>
      <c r="R593" s="184" t="n">
        <v>19943.4</v>
      </c>
      <c r="S593" s="184" t="s">
        <v>1555</v>
      </c>
      <c r="T593" s="187" t="n">
        <v>45918</v>
      </c>
    </row>
    <row r="594" customFormat="false" ht="46.25" hidden="true" customHeight="false" outlineLevel="0" collapsed="false">
      <c r="A594" s="181" t="s">
        <v>1556</v>
      </c>
      <c r="B594" s="182" t="n">
        <v>1711</v>
      </c>
      <c r="C594" s="183" t="n">
        <v>37567</v>
      </c>
      <c r="D594" s="181" t="s">
        <v>3327</v>
      </c>
      <c r="E594" s="181" t="s">
        <v>1289</v>
      </c>
      <c r="F594" s="181" t="s">
        <v>1290</v>
      </c>
      <c r="G594" s="181" t="s">
        <v>235</v>
      </c>
      <c r="H594" s="181" t="s">
        <v>279</v>
      </c>
      <c r="I594" s="181" t="s">
        <v>230</v>
      </c>
      <c r="J594" s="267"/>
      <c r="K594" s="269" t="n">
        <v>45917</v>
      </c>
      <c r="L594" s="267" t="n">
        <v>1.4</v>
      </c>
      <c r="M594" s="184" t="s">
        <v>235</v>
      </c>
      <c r="N594" s="184" t="n">
        <v>38430</v>
      </c>
      <c r="O594" s="184" t="n">
        <v>15700</v>
      </c>
      <c r="P594" s="185" t="n">
        <v>8</v>
      </c>
      <c r="Q594" s="184" t="n">
        <v>22730</v>
      </c>
      <c r="R594" s="184" t="n">
        <v>20911.6</v>
      </c>
      <c r="S594" s="184" t="s">
        <v>1557</v>
      </c>
      <c r="T594" s="187" t="n">
        <v>45918</v>
      </c>
    </row>
    <row r="595" customFormat="false" ht="46.25" hidden="true" customHeight="false" outlineLevel="0" collapsed="false">
      <c r="A595" s="181" t="s">
        <v>1558</v>
      </c>
      <c r="B595" s="182" t="n">
        <v>1712</v>
      </c>
      <c r="C595" s="183" t="n">
        <v>37569</v>
      </c>
      <c r="D595" s="181" t="s">
        <v>3327</v>
      </c>
      <c r="E595" s="181" t="s">
        <v>373</v>
      </c>
      <c r="F595" s="181" t="s">
        <v>374</v>
      </c>
      <c r="G595" s="181" t="s">
        <v>235</v>
      </c>
      <c r="H595" s="181" t="s">
        <v>279</v>
      </c>
      <c r="I595" s="181" t="s">
        <v>230</v>
      </c>
      <c r="J595" s="267"/>
      <c r="K595" s="269" t="n">
        <v>45917</v>
      </c>
      <c r="L595" s="267" t="n">
        <v>1.4</v>
      </c>
      <c r="M595" s="184" t="s">
        <v>235</v>
      </c>
      <c r="N595" s="184" t="n">
        <v>36030</v>
      </c>
      <c r="O595" s="184" t="n">
        <v>14160</v>
      </c>
      <c r="P595" s="185" t="n">
        <v>8</v>
      </c>
      <c r="Q595" s="184" t="n">
        <v>21870</v>
      </c>
      <c r="R595" s="184" t="n">
        <v>20120.4</v>
      </c>
      <c r="S595" s="184" t="s">
        <v>1559</v>
      </c>
      <c r="T595" s="187" t="n">
        <v>45918</v>
      </c>
    </row>
    <row r="596" customFormat="false" ht="46.25" hidden="true" customHeight="false" outlineLevel="0" collapsed="false">
      <c r="A596" s="181" t="s">
        <v>1560</v>
      </c>
      <c r="B596" s="182" t="n">
        <v>1713</v>
      </c>
      <c r="C596" s="183" t="n">
        <v>37571</v>
      </c>
      <c r="D596" s="181" t="s">
        <v>3327</v>
      </c>
      <c r="E596" s="181" t="s">
        <v>399</v>
      </c>
      <c r="F596" s="181" t="s">
        <v>400</v>
      </c>
      <c r="G596" s="181" t="s">
        <v>235</v>
      </c>
      <c r="H596" s="181" t="s">
        <v>279</v>
      </c>
      <c r="I596" s="181" t="s">
        <v>230</v>
      </c>
      <c r="J596" s="267"/>
      <c r="K596" s="269" t="n">
        <v>45917</v>
      </c>
      <c r="L596" s="267" t="n">
        <v>1.7</v>
      </c>
      <c r="M596" s="184" t="s">
        <v>235</v>
      </c>
      <c r="N596" s="184" t="n">
        <v>46400</v>
      </c>
      <c r="O596" s="184" t="n">
        <v>19180</v>
      </c>
      <c r="P596" s="185" t="n">
        <v>12</v>
      </c>
      <c r="Q596" s="184" t="n">
        <v>27220</v>
      </c>
      <c r="R596" s="184" t="n">
        <v>23953.6</v>
      </c>
      <c r="S596" s="184" t="s">
        <v>1561</v>
      </c>
      <c r="T596" s="187" t="n">
        <v>45918</v>
      </c>
    </row>
    <row r="597" customFormat="false" ht="46.25" hidden="true" customHeight="false" outlineLevel="0" collapsed="false">
      <c r="A597" s="181" t="s">
        <v>1562</v>
      </c>
      <c r="B597" s="182" t="n">
        <v>1714</v>
      </c>
      <c r="C597" s="183" t="n">
        <v>37573</v>
      </c>
      <c r="D597" s="181" t="s">
        <v>3327</v>
      </c>
      <c r="E597" s="181" t="s">
        <v>1019</v>
      </c>
      <c r="F597" s="181" t="s">
        <v>1020</v>
      </c>
      <c r="G597" s="181" t="s">
        <v>235</v>
      </c>
      <c r="H597" s="181" t="s">
        <v>279</v>
      </c>
      <c r="I597" s="181" t="s">
        <v>230</v>
      </c>
      <c r="J597" s="267"/>
      <c r="K597" s="269" t="n">
        <v>45917</v>
      </c>
      <c r="L597" s="267" t="n">
        <v>1.6</v>
      </c>
      <c r="M597" s="184" t="s">
        <v>235</v>
      </c>
      <c r="N597" s="184" t="n">
        <v>42250</v>
      </c>
      <c r="O597" s="184" t="n">
        <v>17000</v>
      </c>
      <c r="P597" s="185" t="n">
        <v>8</v>
      </c>
      <c r="Q597" s="184" t="n">
        <v>25250</v>
      </c>
      <c r="R597" s="184" t="n">
        <v>23230</v>
      </c>
      <c r="S597" s="184" t="s">
        <v>1563</v>
      </c>
      <c r="T597" s="187" t="n">
        <v>45918</v>
      </c>
    </row>
    <row r="598" customFormat="false" ht="46.25" hidden="true" customHeight="false" outlineLevel="0" collapsed="false">
      <c r="A598" s="181" t="s">
        <v>1564</v>
      </c>
      <c r="B598" s="182" t="n">
        <v>1715</v>
      </c>
      <c r="C598" s="183" t="n">
        <v>37577</v>
      </c>
      <c r="D598" s="181" t="s">
        <v>3327</v>
      </c>
      <c r="E598" s="181" t="s">
        <v>1027</v>
      </c>
      <c r="F598" s="181" t="s">
        <v>1028</v>
      </c>
      <c r="G598" s="181" t="s">
        <v>235</v>
      </c>
      <c r="H598" s="181" t="s">
        <v>279</v>
      </c>
      <c r="I598" s="181" t="s">
        <v>230</v>
      </c>
      <c r="J598" s="267"/>
      <c r="K598" s="269" t="n">
        <v>45917</v>
      </c>
      <c r="L598" s="267" t="n">
        <v>1.4</v>
      </c>
      <c r="M598" s="184" t="s">
        <v>235</v>
      </c>
      <c r="N598" s="184" t="n">
        <v>36960</v>
      </c>
      <c r="O598" s="184" t="n">
        <v>14920</v>
      </c>
      <c r="P598" s="185" t="n">
        <v>8</v>
      </c>
      <c r="Q598" s="184" t="n">
        <v>22040</v>
      </c>
      <c r="R598" s="184" t="n">
        <v>20276.8</v>
      </c>
      <c r="S598" s="184" t="s">
        <v>1565</v>
      </c>
      <c r="T598" s="187" t="n">
        <v>45918</v>
      </c>
    </row>
    <row r="599" customFormat="false" ht="46.25" hidden="true" customHeight="false" outlineLevel="0" collapsed="false">
      <c r="A599" s="181" t="s">
        <v>1566</v>
      </c>
      <c r="B599" s="182" t="n">
        <v>1716</v>
      </c>
      <c r="C599" s="183" t="n">
        <v>37575</v>
      </c>
      <c r="D599" s="181" t="s">
        <v>3327</v>
      </c>
      <c r="E599" s="181" t="s">
        <v>1023</v>
      </c>
      <c r="F599" s="181" t="s">
        <v>1024</v>
      </c>
      <c r="G599" s="181" t="s">
        <v>235</v>
      </c>
      <c r="H599" s="181" t="s">
        <v>279</v>
      </c>
      <c r="I599" s="181" t="s">
        <v>230</v>
      </c>
      <c r="J599" s="267"/>
      <c r="K599" s="269" t="n">
        <v>45917</v>
      </c>
      <c r="L599" s="267" t="n">
        <v>1.3</v>
      </c>
      <c r="M599" s="184" t="s">
        <v>235</v>
      </c>
      <c r="N599" s="184" t="n">
        <v>35480</v>
      </c>
      <c r="O599" s="184" t="n">
        <v>14820</v>
      </c>
      <c r="P599" s="185" t="n">
        <v>8</v>
      </c>
      <c r="Q599" s="184" t="n">
        <v>20660</v>
      </c>
      <c r="R599" s="184" t="n">
        <v>19007.2</v>
      </c>
      <c r="S599" s="184" t="s">
        <v>1567</v>
      </c>
      <c r="T599" s="187" t="n">
        <v>45918</v>
      </c>
    </row>
    <row r="600" customFormat="false" ht="46.25" hidden="true" customHeight="false" outlineLevel="0" collapsed="false">
      <c r="A600" s="181" t="s">
        <v>1568</v>
      </c>
      <c r="B600" s="182" t="n">
        <v>1718</v>
      </c>
      <c r="C600" s="183" t="n">
        <v>37581</v>
      </c>
      <c r="D600" s="181" t="s">
        <v>3327</v>
      </c>
      <c r="E600" s="181" t="s">
        <v>359</v>
      </c>
      <c r="F600" s="181" t="s">
        <v>360</v>
      </c>
      <c r="G600" s="181" t="s">
        <v>235</v>
      </c>
      <c r="H600" s="181" t="s">
        <v>279</v>
      </c>
      <c r="I600" s="181" t="s">
        <v>230</v>
      </c>
      <c r="J600" s="267"/>
      <c r="K600" s="269" t="n">
        <v>45918</v>
      </c>
      <c r="L600" s="267" t="n">
        <v>1.2</v>
      </c>
      <c r="M600" s="184" t="s">
        <v>235</v>
      </c>
      <c r="N600" s="184" t="n">
        <v>34990</v>
      </c>
      <c r="O600" s="184" t="n">
        <v>14800</v>
      </c>
      <c r="P600" s="185" t="n">
        <v>22</v>
      </c>
      <c r="Q600" s="184" t="n">
        <v>20190</v>
      </c>
      <c r="R600" s="184" t="n">
        <v>15748.2</v>
      </c>
      <c r="S600" s="184" t="s">
        <v>1569</v>
      </c>
      <c r="T600" s="187" t="n">
        <v>45918</v>
      </c>
    </row>
    <row r="601" customFormat="false" ht="46.25" hidden="true" customHeight="false" outlineLevel="0" collapsed="false">
      <c r="A601" s="181" t="s">
        <v>1570</v>
      </c>
      <c r="B601" s="182" t="n">
        <v>1719</v>
      </c>
      <c r="C601" s="183" t="n">
        <v>37579</v>
      </c>
      <c r="D601" s="181" t="s">
        <v>3327</v>
      </c>
      <c r="E601" s="181" t="s">
        <v>582</v>
      </c>
      <c r="F601" s="181" t="s">
        <v>583</v>
      </c>
      <c r="G601" s="181" t="s">
        <v>235</v>
      </c>
      <c r="H601" s="181" t="s">
        <v>279</v>
      </c>
      <c r="I601" s="181" t="s">
        <v>230</v>
      </c>
      <c r="J601" s="267"/>
      <c r="K601" s="269" t="n">
        <v>45918</v>
      </c>
      <c r="L601" s="267" t="n">
        <v>1.3</v>
      </c>
      <c r="M601" s="184" t="s">
        <v>235</v>
      </c>
      <c r="N601" s="184" t="n">
        <v>36500</v>
      </c>
      <c r="O601" s="184" t="n">
        <v>14710</v>
      </c>
      <c r="P601" s="185" t="n">
        <v>30</v>
      </c>
      <c r="Q601" s="184" t="n">
        <v>21790</v>
      </c>
      <c r="R601" s="184" t="n">
        <v>15253</v>
      </c>
      <c r="S601" s="184" t="s">
        <v>1571</v>
      </c>
      <c r="T601" s="187" t="n">
        <v>45918</v>
      </c>
    </row>
    <row r="602" customFormat="false" ht="46.25" hidden="true" customHeight="false" outlineLevel="0" collapsed="false">
      <c r="A602" s="181" t="s">
        <v>1572</v>
      </c>
      <c r="B602" s="182" t="n">
        <v>1720</v>
      </c>
      <c r="C602" s="183" t="n">
        <v>37590</v>
      </c>
      <c r="D602" s="181" t="s">
        <v>3327</v>
      </c>
      <c r="E602" s="181" t="s">
        <v>266</v>
      </c>
      <c r="F602" s="181" t="s">
        <v>267</v>
      </c>
      <c r="G602" s="181" t="s">
        <v>235</v>
      </c>
      <c r="H602" s="181" t="s">
        <v>279</v>
      </c>
      <c r="I602" s="181" t="s">
        <v>230</v>
      </c>
      <c r="J602" s="267"/>
      <c r="K602" s="269" t="n">
        <v>45918</v>
      </c>
      <c r="L602" s="267" t="n">
        <v>1.4</v>
      </c>
      <c r="M602" s="184" t="s">
        <v>235</v>
      </c>
      <c r="N602" s="184" t="n">
        <v>38540</v>
      </c>
      <c r="O602" s="184" t="n">
        <v>14900</v>
      </c>
      <c r="P602" s="185" t="n">
        <v>17</v>
      </c>
      <c r="Q602" s="184" t="n">
        <v>23640</v>
      </c>
      <c r="R602" s="184" t="n">
        <v>19621.2</v>
      </c>
      <c r="S602" s="184" t="s">
        <v>1573</v>
      </c>
      <c r="T602" s="187" t="n">
        <v>45918</v>
      </c>
    </row>
    <row r="603" customFormat="false" ht="46.25" hidden="true" customHeight="false" outlineLevel="0" collapsed="false">
      <c r="A603" s="181" t="s">
        <v>1574</v>
      </c>
      <c r="B603" s="182" t="n">
        <v>1721</v>
      </c>
      <c r="C603" s="183" t="n">
        <v>37593</v>
      </c>
      <c r="D603" s="181" t="s">
        <v>3327</v>
      </c>
      <c r="E603" s="181" t="s">
        <v>296</v>
      </c>
      <c r="F603" s="181" t="s">
        <v>297</v>
      </c>
      <c r="G603" s="181" t="s">
        <v>235</v>
      </c>
      <c r="H603" s="181" t="s">
        <v>279</v>
      </c>
      <c r="I603" s="181" t="s">
        <v>230</v>
      </c>
      <c r="J603" s="267"/>
      <c r="K603" s="269" t="n">
        <v>45918</v>
      </c>
      <c r="L603" s="267" t="n">
        <v>1.4</v>
      </c>
      <c r="M603" s="184" t="s">
        <v>235</v>
      </c>
      <c r="N603" s="184" t="n">
        <v>37810</v>
      </c>
      <c r="O603" s="184" t="n">
        <v>15380</v>
      </c>
      <c r="P603" s="185" t="n">
        <v>9</v>
      </c>
      <c r="Q603" s="184" t="n">
        <v>22430</v>
      </c>
      <c r="R603" s="184" t="n">
        <v>20411.3</v>
      </c>
      <c r="S603" s="184" t="s">
        <v>1575</v>
      </c>
      <c r="T603" s="187" t="n">
        <v>45918</v>
      </c>
    </row>
    <row r="604" customFormat="false" ht="46.25" hidden="true" customHeight="false" outlineLevel="0" collapsed="false">
      <c r="A604" s="181" t="s">
        <v>1576</v>
      </c>
      <c r="B604" s="182" t="n">
        <v>1722</v>
      </c>
      <c r="C604" s="183" t="n">
        <v>37595</v>
      </c>
      <c r="D604" s="181" t="s">
        <v>3327</v>
      </c>
      <c r="E604" s="181" t="s">
        <v>409</v>
      </c>
      <c r="F604" s="181" t="s">
        <v>410</v>
      </c>
      <c r="G604" s="181" t="s">
        <v>235</v>
      </c>
      <c r="H604" s="181" t="s">
        <v>279</v>
      </c>
      <c r="I604" s="181" t="s">
        <v>230</v>
      </c>
      <c r="J604" s="267"/>
      <c r="K604" s="269" t="n">
        <v>45918</v>
      </c>
      <c r="L604" s="267" t="n">
        <v>1.7</v>
      </c>
      <c r="M604" s="184" t="s">
        <v>235</v>
      </c>
      <c r="N604" s="184" t="n">
        <v>51930</v>
      </c>
      <c r="O604" s="184" t="n">
        <v>24090</v>
      </c>
      <c r="P604" s="185" t="n">
        <v>9</v>
      </c>
      <c r="Q604" s="184" t="n">
        <v>27840</v>
      </c>
      <c r="R604" s="184" t="n">
        <v>25334.4</v>
      </c>
      <c r="S604" s="184" t="s">
        <v>1577</v>
      </c>
      <c r="T604" s="187" t="n">
        <v>45918</v>
      </c>
    </row>
    <row r="605" customFormat="false" ht="46.25" hidden="true" customHeight="false" outlineLevel="0" collapsed="false">
      <c r="A605" s="181" t="s">
        <v>1578</v>
      </c>
      <c r="B605" s="182" t="n">
        <v>1723</v>
      </c>
      <c r="C605" s="183" t="n">
        <v>37602</v>
      </c>
      <c r="D605" s="181" t="s">
        <v>3327</v>
      </c>
      <c r="E605" s="181" t="s">
        <v>350</v>
      </c>
      <c r="F605" s="181" t="s">
        <v>351</v>
      </c>
      <c r="G605" s="181" t="s">
        <v>235</v>
      </c>
      <c r="H605" s="181" t="s">
        <v>279</v>
      </c>
      <c r="I605" s="181" t="s">
        <v>230</v>
      </c>
      <c r="J605" s="267"/>
      <c r="K605" s="269" t="n">
        <v>45918</v>
      </c>
      <c r="L605" s="267" t="n">
        <v>1.6</v>
      </c>
      <c r="M605" s="184" t="s">
        <v>235</v>
      </c>
      <c r="N605" s="184" t="n">
        <v>40860</v>
      </c>
      <c r="O605" s="184" t="n">
        <v>14910</v>
      </c>
      <c r="P605" s="185" t="n">
        <v>7</v>
      </c>
      <c r="Q605" s="184" t="n">
        <v>25950</v>
      </c>
      <c r="R605" s="184" t="n">
        <v>24133.5</v>
      </c>
      <c r="S605" s="184" t="s">
        <v>1579</v>
      </c>
      <c r="T605" s="187" t="n">
        <v>45918</v>
      </c>
    </row>
    <row r="606" customFormat="false" ht="46.25" hidden="true" customHeight="false" outlineLevel="0" collapsed="false">
      <c r="A606" s="181" t="s">
        <v>1580</v>
      </c>
      <c r="B606" s="182" t="n">
        <v>1724</v>
      </c>
      <c r="C606" s="183" t="n">
        <v>37616</v>
      </c>
      <c r="D606" s="181" t="s">
        <v>3327</v>
      </c>
      <c r="E606" s="181" t="s">
        <v>282</v>
      </c>
      <c r="F606" s="181" t="s">
        <v>283</v>
      </c>
      <c r="G606" s="181" t="s">
        <v>235</v>
      </c>
      <c r="H606" s="181" t="s">
        <v>279</v>
      </c>
      <c r="I606" s="181" t="s">
        <v>230</v>
      </c>
      <c r="J606" s="267"/>
      <c r="K606" s="269" t="n">
        <v>45918</v>
      </c>
      <c r="L606" s="267" t="n">
        <v>1.5</v>
      </c>
      <c r="M606" s="184" t="s">
        <v>235</v>
      </c>
      <c r="N606" s="184" t="n">
        <v>39270</v>
      </c>
      <c r="O606" s="184" t="n">
        <v>15040</v>
      </c>
      <c r="P606" s="185" t="n">
        <v>12</v>
      </c>
      <c r="Q606" s="184" t="n">
        <v>24230</v>
      </c>
      <c r="R606" s="184" t="n">
        <v>21322.4</v>
      </c>
      <c r="S606" s="184" t="s">
        <v>1581</v>
      </c>
      <c r="T606" s="187" t="n">
        <v>45918</v>
      </c>
    </row>
    <row r="607" customFormat="false" ht="46.25" hidden="true" customHeight="false" outlineLevel="0" collapsed="false">
      <c r="A607" s="181" t="s">
        <v>1582</v>
      </c>
      <c r="B607" s="182" t="n">
        <v>1725</v>
      </c>
      <c r="C607" s="183" t="n">
        <v>37618</v>
      </c>
      <c r="D607" s="181" t="s">
        <v>3327</v>
      </c>
      <c r="E607" s="181" t="s">
        <v>537</v>
      </c>
      <c r="F607" s="181" t="s">
        <v>538</v>
      </c>
      <c r="G607" s="181" t="s">
        <v>235</v>
      </c>
      <c r="H607" s="181" t="s">
        <v>279</v>
      </c>
      <c r="I607" s="181" t="s">
        <v>230</v>
      </c>
      <c r="J607" s="267"/>
      <c r="K607" s="269" t="n">
        <v>45918</v>
      </c>
      <c r="L607" s="267" t="n">
        <v>1.3</v>
      </c>
      <c r="M607" s="184" t="s">
        <v>235</v>
      </c>
      <c r="N607" s="184" t="n">
        <v>35090</v>
      </c>
      <c r="O607" s="184" t="n">
        <v>13970</v>
      </c>
      <c r="P607" s="185" t="n">
        <v>13</v>
      </c>
      <c r="Q607" s="184" t="n">
        <v>21120</v>
      </c>
      <c r="R607" s="184" t="n">
        <v>18374.4</v>
      </c>
      <c r="S607" s="184" t="s">
        <v>1583</v>
      </c>
      <c r="T607" s="187" t="n">
        <v>45918</v>
      </c>
    </row>
    <row r="608" customFormat="false" ht="46.25" hidden="true" customHeight="false" outlineLevel="0" collapsed="false">
      <c r="A608" s="181" t="s">
        <v>1584</v>
      </c>
      <c r="B608" s="182" t="n">
        <v>1726</v>
      </c>
      <c r="C608" s="183" t="n">
        <v>37624</v>
      </c>
      <c r="D608" s="181" t="s">
        <v>3327</v>
      </c>
      <c r="E608" s="181" t="s">
        <v>336</v>
      </c>
      <c r="F608" s="181" t="s">
        <v>337</v>
      </c>
      <c r="G608" s="181" t="s">
        <v>235</v>
      </c>
      <c r="H608" s="181" t="s">
        <v>279</v>
      </c>
      <c r="I608" s="181" t="s">
        <v>230</v>
      </c>
      <c r="J608" s="267"/>
      <c r="K608" s="269" t="n">
        <v>45918</v>
      </c>
      <c r="L608" s="267" t="n">
        <v>1.5</v>
      </c>
      <c r="M608" s="184" t="s">
        <v>235</v>
      </c>
      <c r="N608" s="184" t="n">
        <v>39280</v>
      </c>
      <c r="O608" s="184" t="n">
        <v>14530</v>
      </c>
      <c r="P608" s="185" t="n">
        <v>8</v>
      </c>
      <c r="Q608" s="184" t="n">
        <v>24750</v>
      </c>
      <c r="R608" s="184" t="n">
        <v>22770</v>
      </c>
      <c r="S608" s="184" t="s">
        <v>1585</v>
      </c>
      <c r="T608" s="187" t="n">
        <v>45918</v>
      </c>
    </row>
    <row r="609" customFormat="false" ht="46.25" hidden="true" customHeight="false" outlineLevel="0" collapsed="false">
      <c r="A609" s="181" t="s">
        <v>1586</v>
      </c>
      <c r="B609" s="182" t="n">
        <v>1727</v>
      </c>
      <c r="C609" s="183" t="n">
        <v>37626</v>
      </c>
      <c r="D609" s="181" t="s">
        <v>3327</v>
      </c>
      <c r="E609" s="181" t="s">
        <v>340</v>
      </c>
      <c r="F609" s="181" t="s">
        <v>341</v>
      </c>
      <c r="G609" s="181" t="s">
        <v>235</v>
      </c>
      <c r="H609" s="181" t="s">
        <v>279</v>
      </c>
      <c r="I609" s="181" t="s">
        <v>230</v>
      </c>
      <c r="J609" s="267"/>
      <c r="K609" s="269" t="n">
        <v>45918</v>
      </c>
      <c r="L609" s="267" t="n">
        <v>1.5</v>
      </c>
      <c r="M609" s="184" t="s">
        <v>235</v>
      </c>
      <c r="N609" s="184" t="n">
        <v>39690</v>
      </c>
      <c r="O609" s="184" t="n">
        <v>15120</v>
      </c>
      <c r="P609" s="185" t="n">
        <v>5</v>
      </c>
      <c r="Q609" s="184" t="n">
        <v>24570</v>
      </c>
      <c r="R609" s="184" t="n">
        <v>23341.5</v>
      </c>
      <c r="S609" s="184" t="s">
        <v>1587</v>
      </c>
      <c r="T609" s="187" t="n">
        <v>45918</v>
      </c>
    </row>
    <row r="610" customFormat="false" ht="46.25" hidden="true" customHeight="false" outlineLevel="0" collapsed="false">
      <c r="A610" s="181" t="s">
        <v>1588</v>
      </c>
      <c r="B610" s="182" t="n">
        <v>1728</v>
      </c>
      <c r="C610" s="183" t="n">
        <v>37622</v>
      </c>
      <c r="D610" s="181" t="s">
        <v>3327</v>
      </c>
      <c r="E610" s="181" t="s">
        <v>346</v>
      </c>
      <c r="F610" s="181" t="s">
        <v>347</v>
      </c>
      <c r="G610" s="181" t="s">
        <v>235</v>
      </c>
      <c r="H610" s="181" t="s">
        <v>279</v>
      </c>
      <c r="I610" s="181" t="s">
        <v>230</v>
      </c>
      <c r="J610" s="267"/>
      <c r="K610" s="269" t="n">
        <v>45918</v>
      </c>
      <c r="L610" s="267" t="n">
        <v>1.3</v>
      </c>
      <c r="M610" s="184" t="s">
        <v>235</v>
      </c>
      <c r="N610" s="184" t="n">
        <v>38880</v>
      </c>
      <c r="O610" s="184" t="n">
        <v>14980</v>
      </c>
      <c r="P610" s="185" t="n">
        <v>7</v>
      </c>
      <c r="Q610" s="184" t="n">
        <v>23900</v>
      </c>
      <c r="R610" s="184" t="n">
        <v>22227</v>
      </c>
      <c r="S610" s="184" t="s">
        <v>1589</v>
      </c>
      <c r="T610" s="187" t="n">
        <v>45918</v>
      </c>
    </row>
    <row r="611" customFormat="false" ht="46.25" hidden="true" customHeight="false" outlineLevel="0" collapsed="false">
      <c r="A611" s="181" t="s">
        <v>1590</v>
      </c>
      <c r="B611" s="182" t="n">
        <v>1730</v>
      </c>
      <c r="C611" s="183" t="n">
        <v>37693</v>
      </c>
      <c r="D611" s="181" t="s">
        <v>3327</v>
      </c>
      <c r="E611" s="181" t="s">
        <v>308</v>
      </c>
      <c r="F611" s="181" t="s">
        <v>309</v>
      </c>
      <c r="G611" s="181" t="s">
        <v>233</v>
      </c>
      <c r="H611" s="181" t="s">
        <v>279</v>
      </c>
      <c r="I611" s="181" t="s">
        <v>230</v>
      </c>
      <c r="J611" s="267"/>
      <c r="K611" s="269" t="n">
        <v>45918</v>
      </c>
      <c r="L611" s="267" t="n">
        <v>2.7</v>
      </c>
      <c r="M611" s="184" t="s">
        <v>233</v>
      </c>
      <c r="N611" s="184" t="n">
        <v>56660</v>
      </c>
      <c r="O611" s="184" t="n">
        <v>24020</v>
      </c>
      <c r="P611" s="185" t="n">
        <v>12</v>
      </c>
      <c r="Q611" s="184" t="n">
        <v>32640</v>
      </c>
      <c r="R611" s="184" t="n">
        <v>28723.2</v>
      </c>
      <c r="S611" s="184" t="s">
        <v>1591</v>
      </c>
      <c r="T611" s="187" t="n">
        <v>45919</v>
      </c>
    </row>
    <row r="612" customFormat="false" ht="46.25" hidden="true" customHeight="false" outlineLevel="0" collapsed="false">
      <c r="A612" s="181" t="s">
        <v>1592</v>
      </c>
      <c r="B612" s="182" t="n">
        <v>1731</v>
      </c>
      <c r="C612" s="183" t="n">
        <v>37695</v>
      </c>
      <c r="D612" s="181" t="s">
        <v>3327</v>
      </c>
      <c r="E612" s="181" t="s">
        <v>304</v>
      </c>
      <c r="F612" s="181" t="s">
        <v>305</v>
      </c>
      <c r="G612" s="181" t="s">
        <v>233</v>
      </c>
      <c r="H612" s="181" t="s">
        <v>279</v>
      </c>
      <c r="I612" s="181" t="s">
        <v>230</v>
      </c>
      <c r="J612" s="267"/>
      <c r="K612" s="269" t="n">
        <v>45918</v>
      </c>
      <c r="L612" s="267" t="n">
        <v>2</v>
      </c>
      <c r="M612" s="184" t="s">
        <v>233</v>
      </c>
      <c r="N612" s="184" t="n">
        <v>39540</v>
      </c>
      <c r="O612" s="184" t="n">
        <v>15060</v>
      </c>
      <c r="P612" s="185" t="n">
        <v>8</v>
      </c>
      <c r="Q612" s="184" t="n">
        <v>24480</v>
      </c>
      <c r="R612" s="184" t="n">
        <v>22521.6</v>
      </c>
      <c r="S612" s="184" t="s">
        <v>1593</v>
      </c>
      <c r="T612" s="187" t="n">
        <v>45919</v>
      </c>
    </row>
    <row r="613" customFormat="false" ht="46.25" hidden="true" customHeight="false" outlineLevel="0" collapsed="false">
      <c r="A613" s="181" t="s">
        <v>1594</v>
      </c>
      <c r="B613" s="182" t="n">
        <v>1732</v>
      </c>
      <c r="C613" s="183" t="n">
        <v>37628</v>
      </c>
      <c r="D613" s="181" t="s">
        <v>3327</v>
      </c>
      <c r="E613" s="181" t="s">
        <v>533</v>
      </c>
      <c r="F613" s="181" t="s">
        <v>534</v>
      </c>
      <c r="G613" s="181" t="s">
        <v>233</v>
      </c>
      <c r="H613" s="181" t="s">
        <v>279</v>
      </c>
      <c r="I613" s="181" t="s">
        <v>230</v>
      </c>
      <c r="J613" s="267"/>
      <c r="K613" s="269" t="n">
        <v>45918</v>
      </c>
      <c r="L613" s="267" t="n">
        <v>2.1</v>
      </c>
      <c r="M613" s="184" t="s">
        <v>233</v>
      </c>
      <c r="N613" s="184" t="n">
        <v>39670</v>
      </c>
      <c r="O613" s="184" t="n">
        <v>14570</v>
      </c>
      <c r="P613" s="185" t="n">
        <v>7</v>
      </c>
      <c r="Q613" s="184" t="n">
        <v>25100</v>
      </c>
      <c r="R613" s="184" t="n">
        <v>23343</v>
      </c>
      <c r="S613" s="184" t="s">
        <v>1595</v>
      </c>
      <c r="T613" s="187" t="n">
        <v>45919</v>
      </c>
    </row>
    <row r="614" customFormat="false" ht="46.25" hidden="true" customHeight="false" outlineLevel="0" collapsed="false">
      <c r="A614" s="181" t="s">
        <v>1596</v>
      </c>
      <c r="B614" s="182" t="n">
        <v>1733</v>
      </c>
      <c r="C614" s="183" t="n">
        <v>37683</v>
      </c>
      <c r="D614" s="181" t="s">
        <v>3327</v>
      </c>
      <c r="E614" s="181" t="s">
        <v>377</v>
      </c>
      <c r="F614" s="181" t="s">
        <v>378</v>
      </c>
      <c r="G614" s="181" t="s">
        <v>233</v>
      </c>
      <c r="H614" s="181" t="s">
        <v>279</v>
      </c>
      <c r="I614" s="181" t="s">
        <v>230</v>
      </c>
      <c r="J614" s="267"/>
      <c r="K614" s="269" t="n">
        <v>45918</v>
      </c>
      <c r="L614" s="267" t="n">
        <v>2.2</v>
      </c>
      <c r="M614" s="184" t="s">
        <v>233</v>
      </c>
      <c r="N614" s="184" t="n">
        <v>41470</v>
      </c>
      <c r="O614" s="184" t="n">
        <v>15550</v>
      </c>
      <c r="P614" s="185" t="n">
        <v>11</v>
      </c>
      <c r="Q614" s="184" t="n">
        <v>25920</v>
      </c>
      <c r="R614" s="184" t="n">
        <v>23068.8</v>
      </c>
      <c r="S614" s="184" t="s">
        <v>1597</v>
      </c>
      <c r="T614" s="187" t="n">
        <v>45919</v>
      </c>
    </row>
    <row r="615" customFormat="false" ht="46.25" hidden="true" customHeight="false" outlineLevel="0" collapsed="false">
      <c r="A615" s="181" t="s">
        <v>1598</v>
      </c>
      <c r="B615" s="182" t="n">
        <v>1734</v>
      </c>
      <c r="C615" s="183" t="n">
        <v>37689</v>
      </c>
      <c r="D615" s="181" t="s">
        <v>3327</v>
      </c>
      <c r="E615" s="181" t="s">
        <v>413</v>
      </c>
      <c r="F615" s="181" t="s">
        <v>414</v>
      </c>
      <c r="G615" s="181" t="s">
        <v>233</v>
      </c>
      <c r="H615" s="181" t="s">
        <v>279</v>
      </c>
      <c r="I615" s="181" t="s">
        <v>230</v>
      </c>
      <c r="J615" s="267"/>
      <c r="K615" s="269" t="n">
        <v>45918</v>
      </c>
      <c r="L615" s="267" t="n">
        <v>2.3</v>
      </c>
      <c r="M615" s="184" t="s">
        <v>233</v>
      </c>
      <c r="N615" s="184" t="n">
        <v>42850</v>
      </c>
      <c r="O615" s="184" t="n">
        <v>15520</v>
      </c>
      <c r="P615" s="185" t="n">
        <v>14</v>
      </c>
      <c r="Q615" s="184" t="n">
        <v>27330</v>
      </c>
      <c r="R615" s="184" t="n">
        <v>23503.8</v>
      </c>
      <c r="S615" s="184" t="s">
        <v>1599</v>
      </c>
      <c r="T615" s="187" t="n">
        <v>45919</v>
      </c>
    </row>
    <row r="616" customFormat="false" ht="46.25" hidden="true" customHeight="false" outlineLevel="0" collapsed="false">
      <c r="A616" s="181" t="s">
        <v>1600</v>
      </c>
      <c r="B616" s="182" t="n">
        <v>1735</v>
      </c>
      <c r="C616" s="183" t="n">
        <v>37697</v>
      </c>
      <c r="D616" s="181" t="s">
        <v>3327</v>
      </c>
      <c r="E616" s="181" t="s">
        <v>439</v>
      </c>
      <c r="F616" s="181" t="s">
        <v>440</v>
      </c>
      <c r="G616" s="181" t="s">
        <v>233</v>
      </c>
      <c r="H616" s="181" t="s">
        <v>279</v>
      </c>
      <c r="I616" s="181" t="s">
        <v>230</v>
      </c>
      <c r="J616" s="267"/>
      <c r="K616" s="269" t="n">
        <v>45918</v>
      </c>
      <c r="L616" s="267" t="n">
        <v>2.1</v>
      </c>
      <c r="M616" s="184" t="s">
        <v>233</v>
      </c>
      <c r="N616" s="184" t="n">
        <v>41270</v>
      </c>
      <c r="O616" s="184" t="n">
        <v>16310</v>
      </c>
      <c r="P616" s="185" t="n">
        <v>4</v>
      </c>
      <c r="Q616" s="184" t="n">
        <v>24960</v>
      </c>
      <c r="R616" s="184" t="n">
        <v>23961.6</v>
      </c>
      <c r="S616" s="184" t="s">
        <v>1601</v>
      </c>
      <c r="T616" s="187" t="n">
        <v>45919</v>
      </c>
    </row>
    <row r="617" customFormat="false" ht="46.25" hidden="true" customHeight="false" outlineLevel="0" collapsed="false">
      <c r="A617" s="181" t="s">
        <v>1602</v>
      </c>
      <c r="B617" s="182" t="n">
        <v>1737</v>
      </c>
      <c r="C617" s="183" t="n">
        <v>37699</v>
      </c>
      <c r="D617" s="181" t="s">
        <v>3327</v>
      </c>
      <c r="E617" s="181" t="s">
        <v>431</v>
      </c>
      <c r="F617" s="181" t="s">
        <v>432</v>
      </c>
      <c r="G617" s="181" t="s">
        <v>233</v>
      </c>
      <c r="H617" s="181" t="s">
        <v>279</v>
      </c>
      <c r="I617" s="181" t="s">
        <v>230</v>
      </c>
      <c r="J617" s="267"/>
      <c r="K617" s="269" t="n">
        <v>45918</v>
      </c>
      <c r="L617" s="267" t="n">
        <v>1.9</v>
      </c>
      <c r="M617" s="184" t="s">
        <v>233</v>
      </c>
      <c r="N617" s="184" t="n">
        <v>39830</v>
      </c>
      <c r="O617" s="184" t="n">
        <v>16410</v>
      </c>
      <c r="P617" s="185" t="n">
        <v>8</v>
      </c>
      <c r="Q617" s="184" t="n">
        <v>23420</v>
      </c>
      <c r="R617" s="184" t="n">
        <v>21546.4</v>
      </c>
      <c r="S617" s="184" t="s">
        <v>1603</v>
      </c>
      <c r="T617" s="187" t="n">
        <v>45919</v>
      </c>
    </row>
    <row r="618" customFormat="false" ht="46.25" hidden="true" customHeight="false" outlineLevel="0" collapsed="false">
      <c r="A618" s="181" t="s">
        <v>1604</v>
      </c>
      <c r="B618" s="182" t="n">
        <v>1738</v>
      </c>
      <c r="C618" s="183" t="n">
        <v>37701</v>
      </c>
      <c r="D618" s="181" t="s">
        <v>3327</v>
      </c>
      <c r="E618" s="181" t="s">
        <v>435</v>
      </c>
      <c r="F618" s="181" t="s">
        <v>436</v>
      </c>
      <c r="G618" s="181" t="s">
        <v>234</v>
      </c>
      <c r="H618" s="181" t="s">
        <v>279</v>
      </c>
      <c r="I618" s="181" t="s">
        <v>230</v>
      </c>
      <c r="J618" s="267"/>
      <c r="K618" s="269" t="n">
        <v>45918</v>
      </c>
      <c r="L618" s="267" t="n">
        <v>2</v>
      </c>
      <c r="M618" s="184" t="s">
        <v>234</v>
      </c>
      <c r="N618" s="184" t="n">
        <v>40400</v>
      </c>
      <c r="O618" s="184" t="n">
        <v>16310</v>
      </c>
      <c r="P618" s="185" t="n">
        <v>4</v>
      </c>
      <c r="Q618" s="184" t="n">
        <v>24090</v>
      </c>
      <c r="R618" s="184" t="n">
        <v>23126.4</v>
      </c>
      <c r="S618" s="184" t="s">
        <v>1605</v>
      </c>
      <c r="T618" s="187" t="n">
        <v>45919</v>
      </c>
    </row>
    <row r="619" customFormat="false" ht="46.25" hidden="true" customHeight="false" outlineLevel="0" collapsed="false">
      <c r="A619" s="181" t="s">
        <v>1606</v>
      </c>
      <c r="B619" s="182" t="n">
        <v>1739</v>
      </c>
      <c r="C619" s="183" t="n">
        <v>37703</v>
      </c>
      <c r="D619" s="181" t="s">
        <v>3327</v>
      </c>
      <c r="E619" s="181" t="s">
        <v>549</v>
      </c>
      <c r="F619" s="181" t="s">
        <v>550</v>
      </c>
      <c r="G619" s="181" t="s">
        <v>234</v>
      </c>
      <c r="H619" s="181" t="s">
        <v>279</v>
      </c>
      <c r="I619" s="181" t="s">
        <v>230</v>
      </c>
      <c r="J619" s="267"/>
      <c r="K619" s="269" t="n">
        <v>45918</v>
      </c>
      <c r="L619" s="267" t="n">
        <v>2</v>
      </c>
      <c r="M619" s="184" t="s">
        <v>234</v>
      </c>
      <c r="N619" s="184" t="n">
        <v>40680</v>
      </c>
      <c r="O619" s="184" t="n">
        <v>15850</v>
      </c>
      <c r="P619" s="185" t="n">
        <v>9</v>
      </c>
      <c r="Q619" s="184" t="n">
        <v>24830</v>
      </c>
      <c r="R619" s="184" t="n">
        <v>22595.3</v>
      </c>
      <c r="S619" s="184" t="s">
        <v>1607</v>
      </c>
      <c r="T619" s="187" t="n">
        <v>45919</v>
      </c>
    </row>
    <row r="620" customFormat="false" ht="46.25" hidden="true" customHeight="false" outlineLevel="0" collapsed="false">
      <c r="A620" s="181" t="s">
        <v>1608</v>
      </c>
      <c r="B620" s="182" t="n">
        <v>1740</v>
      </c>
      <c r="C620" s="183" t="n">
        <v>37705</v>
      </c>
      <c r="D620" s="181" t="s">
        <v>3327</v>
      </c>
      <c r="E620" s="181" t="s">
        <v>541</v>
      </c>
      <c r="F620" s="181" t="s">
        <v>542</v>
      </c>
      <c r="G620" s="181" t="s">
        <v>234</v>
      </c>
      <c r="H620" s="181" t="s">
        <v>279</v>
      </c>
      <c r="I620" s="181" t="s">
        <v>230</v>
      </c>
      <c r="J620" s="267"/>
      <c r="K620" s="269" t="n">
        <v>45918</v>
      </c>
      <c r="L620" s="267" t="n">
        <v>2.1</v>
      </c>
      <c r="M620" s="184" t="s">
        <v>234</v>
      </c>
      <c r="N620" s="184" t="n">
        <v>39970</v>
      </c>
      <c r="O620" s="184" t="n">
        <v>14930</v>
      </c>
      <c r="P620" s="185" t="n">
        <v>10</v>
      </c>
      <c r="Q620" s="184" t="n">
        <v>25040</v>
      </c>
      <c r="R620" s="184" t="n">
        <v>22536</v>
      </c>
      <c r="S620" s="184" t="s">
        <v>1609</v>
      </c>
      <c r="T620" s="187" t="n">
        <v>45919</v>
      </c>
    </row>
    <row r="621" customFormat="false" ht="46.25" hidden="true" customHeight="false" outlineLevel="0" collapsed="false">
      <c r="A621" s="181" t="s">
        <v>1610</v>
      </c>
      <c r="B621" s="182" t="n">
        <v>1743</v>
      </c>
      <c r="C621" s="183" t="n">
        <v>37709</v>
      </c>
      <c r="D621" s="181" t="s">
        <v>3327</v>
      </c>
      <c r="E621" s="181" t="s">
        <v>354</v>
      </c>
      <c r="F621" s="181" t="s">
        <v>355</v>
      </c>
      <c r="G621" s="181" t="s">
        <v>234</v>
      </c>
      <c r="H621" s="181" t="s">
        <v>279</v>
      </c>
      <c r="I621" s="181" t="s">
        <v>230</v>
      </c>
      <c r="J621" s="267"/>
      <c r="K621" s="269" t="n">
        <v>45918</v>
      </c>
      <c r="L621" s="267" t="n">
        <v>1.9</v>
      </c>
      <c r="M621" s="184" t="s">
        <v>234</v>
      </c>
      <c r="N621" s="184" t="n">
        <v>37740</v>
      </c>
      <c r="O621" s="184" t="n">
        <v>14670</v>
      </c>
      <c r="P621" s="185" t="n">
        <v>4</v>
      </c>
      <c r="Q621" s="184" t="n">
        <v>23070</v>
      </c>
      <c r="R621" s="184" t="n">
        <v>22147.2</v>
      </c>
      <c r="S621" s="184" t="s">
        <v>1611</v>
      </c>
      <c r="T621" s="187" t="n">
        <v>45919</v>
      </c>
    </row>
    <row r="622" customFormat="false" ht="46.25" hidden="true" customHeight="false" outlineLevel="0" collapsed="false">
      <c r="A622" s="181" t="s">
        <v>1612</v>
      </c>
      <c r="B622" s="182" t="n">
        <v>1745</v>
      </c>
      <c r="C622" s="183" t="n">
        <v>37711</v>
      </c>
      <c r="D622" s="181" t="s">
        <v>3327</v>
      </c>
      <c r="E622" s="181" t="s">
        <v>383</v>
      </c>
      <c r="F622" s="181" t="s">
        <v>384</v>
      </c>
      <c r="G622" s="181" t="s">
        <v>233</v>
      </c>
      <c r="H622" s="181" t="s">
        <v>279</v>
      </c>
      <c r="I622" s="181" t="s">
        <v>230</v>
      </c>
      <c r="J622" s="267"/>
      <c r="K622" s="269" t="n">
        <v>45918</v>
      </c>
      <c r="L622" s="267" t="n">
        <v>2.1</v>
      </c>
      <c r="M622" s="184" t="s">
        <v>233</v>
      </c>
      <c r="N622" s="184" t="n">
        <v>38820</v>
      </c>
      <c r="O622" s="184" t="n">
        <v>14760</v>
      </c>
      <c r="P622" s="185" t="n">
        <v>5</v>
      </c>
      <c r="Q622" s="184" t="n">
        <v>24060</v>
      </c>
      <c r="R622" s="184" t="n">
        <v>22857</v>
      </c>
      <c r="S622" s="184" t="s">
        <v>1613</v>
      </c>
      <c r="T622" s="187" t="n">
        <v>45919</v>
      </c>
    </row>
    <row r="623" customFormat="false" ht="46.25" hidden="true" customHeight="false" outlineLevel="0" collapsed="false">
      <c r="A623" s="181" t="s">
        <v>1614</v>
      </c>
      <c r="B623" s="182" t="n">
        <v>1746</v>
      </c>
      <c r="C623" s="183" t="n">
        <v>37715</v>
      </c>
      <c r="D623" s="181" t="s">
        <v>3327</v>
      </c>
      <c r="E623" s="181" t="s">
        <v>272</v>
      </c>
      <c r="F623" s="181" t="s">
        <v>273</v>
      </c>
      <c r="G623" s="181" t="s">
        <v>234</v>
      </c>
      <c r="H623" s="181" t="s">
        <v>279</v>
      </c>
      <c r="I623" s="181" t="s">
        <v>230</v>
      </c>
      <c r="J623" s="267"/>
      <c r="K623" s="269" t="n">
        <v>45919</v>
      </c>
      <c r="L623" s="267" t="n">
        <v>1.3</v>
      </c>
      <c r="M623" s="184" t="s">
        <v>234</v>
      </c>
      <c r="N623" s="184" t="n">
        <v>38620</v>
      </c>
      <c r="O623" s="184" t="n">
        <v>15550</v>
      </c>
      <c r="P623" s="185" t="n">
        <v>9</v>
      </c>
      <c r="Q623" s="184" t="n">
        <v>23070</v>
      </c>
      <c r="R623" s="184" t="n">
        <v>20993.7</v>
      </c>
      <c r="S623" s="184" t="s">
        <v>1615</v>
      </c>
      <c r="T623" s="187" t="n">
        <v>45919</v>
      </c>
    </row>
    <row r="624" customFormat="false" ht="46.25" hidden="true" customHeight="false" outlineLevel="0" collapsed="false">
      <c r="A624" s="181" t="s">
        <v>1616</v>
      </c>
      <c r="B624" s="182" t="n">
        <v>1747</v>
      </c>
      <c r="C624" s="183" t="n">
        <v>37719</v>
      </c>
      <c r="D624" s="181" t="s">
        <v>3327</v>
      </c>
      <c r="E624" s="181" t="s">
        <v>277</v>
      </c>
      <c r="F624" s="181" t="s">
        <v>278</v>
      </c>
      <c r="G624" s="181" t="s">
        <v>234</v>
      </c>
      <c r="H624" s="181" t="s">
        <v>279</v>
      </c>
      <c r="I624" s="181" t="s">
        <v>230</v>
      </c>
      <c r="J624" s="267"/>
      <c r="K624" s="269" t="n">
        <v>45919</v>
      </c>
      <c r="L624" s="267" t="n">
        <v>1.5</v>
      </c>
      <c r="M624" s="184" t="s">
        <v>234</v>
      </c>
      <c r="N624" s="184" t="n">
        <v>42670</v>
      </c>
      <c r="O624" s="184" t="n">
        <v>15080</v>
      </c>
      <c r="P624" s="185" t="n">
        <v>4</v>
      </c>
      <c r="Q624" s="184" t="n">
        <v>27590</v>
      </c>
      <c r="R624" s="184" t="n">
        <v>26486.4</v>
      </c>
      <c r="S624" s="184" t="s">
        <v>1617</v>
      </c>
      <c r="T624" s="187" t="n">
        <v>45919</v>
      </c>
    </row>
    <row r="625" customFormat="false" ht="46.25" hidden="true" customHeight="false" outlineLevel="0" collapsed="false">
      <c r="A625" s="181" t="s">
        <v>1618</v>
      </c>
      <c r="B625" s="182" t="n">
        <v>1748</v>
      </c>
      <c r="C625" s="183" t="n">
        <v>37724</v>
      </c>
      <c r="D625" s="181" t="s">
        <v>3327</v>
      </c>
      <c r="E625" s="181" t="s">
        <v>399</v>
      </c>
      <c r="F625" s="181" t="s">
        <v>400</v>
      </c>
      <c r="G625" s="181" t="s">
        <v>234</v>
      </c>
      <c r="H625" s="181" t="s">
        <v>279</v>
      </c>
      <c r="I625" s="181" t="s">
        <v>230</v>
      </c>
      <c r="J625" s="267"/>
      <c r="K625" s="269" t="n">
        <v>45919</v>
      </c>
      <c r="L625" s="267" t="n">
        <v>1.9</v>
      </c>
      <c r="M625" s="184" t="s">
        <v>234</v>
      </c>
      <c r="N625" s="184" t="n">
        <v>53330</v>
      </c>
      <c r="O625" s="184" t="n">
        <v>19220</v>
      </c>
      <c r="P625" s="185" t="n">
        <v>9</v>
      </c>
      <c r="Q625" s="184" t="n">
        <v>34110</v>
      </c>
      <c r="R625" s="184" t="n">
        <v>31040.1</v>
      </c>
      <c r="S625" s="184" t="s">
        <v>1619</v>
      </c>
      <c r="T625" s="187" t="n">
        <v>45919</v>
      </c>
    </row>
    <row r="626" customFormat="false" ht="46.25" hidden="true" customHeight="false" outlineLevel="0" collapsed="false">
      <c r="A626" s="181" t="s">
        <v>1620</v>
      </c>
      <c r="B626" s="182" t="n">
        <v>1749</v>
      </c>
      <c r="C626" s="183" t="s">
        <v>1621</v>
      </c>
      <c r="D626" s="181" t="s">
        <v>3327</v>
      </c>
      <c r="E626" s="181" t="s">
        <v>300</v>
      </c>
      <c r="F626" s="181" t="s">
        <v>301</v>
      </c>
      <c r="G626" s="181" t="s">
        <v>234</v>
      </c>
      <c r="H626" s="181" t="s">
        <v>279</v>
      </c>
      <c r="I626" s="181" t="s">
        <v>230</v>
      </c>
      <c r="J626" s="267"/>
      <c r="K626" s="269" t="n">
        <v>45919</v>
      </c>
      <c r="L626" s="267" t="n">
        <v>1.9</v>
      </c>
      <c r="M626" s="184" t="s">
        <v>234</v>
      </c>
      <c r="N626" s="184" t="n">
        <v>55380</v>
      </c>
      <c r="O626" s="184" t="n">
        <v>20890</v>
      </c>
      <c r="P626" s="185" t="n">
        <v>8</v>
      </c>
      <c r="Q626" s="184" t="n">
        <v>34490</v>
      </c>
      <c r="R626" s="184" t="n">
        <v>31730.8</v>
      </c>
      <c r="S626" s="184" t="s">
        <v>1622</v>
      </c>
      <c r="T626" s="187" t="n">
        <v>45919</v>
      </c>
    </row>
    <row r="627" customFormat="false" ht="46.25" hidden="true" customHeight="false" outlineLevel="0" collapsed="false">
      <c r="A627" s="181" t="s">
        <v>1623</v>
      </c>
      <c r="B627" s="182" t="n">
        <v>1751</v>
      </c>
      <c r="C627" s="183" t="n">
        <v>37728</v>
      </c>
      <c r="D627" s="181" t="s">
        <v>3327</v>
      </c>
      <c r="E627" s="181" t="s">
        <v>1019</v>
      </c>
      <c r="F627" s="181" t="s">
        <v>1020</v>
      </c>
      <c r="G627" s="181" t="s">
        <v>234</v>
      </c>
      <c r="H627" s="181" t="s">
        <v>279</v>
      </c>
      <c r="I627" s="181" t="s">
        <v>230</v>
      </c>
      <c r="J627" s="267"/>
      <c r="K627" s="269" t="n">
        <v>45919</v>
      </c>
      <c r="L627" s="267" t="n">
        <v>1.5</v>
      </c>
      <c r="M627" s="184" t="s">
        <v>234</v>
      </c>
      <c r="N627" s="184" t="n">
        <v>44420</v>
      </c>
      <c r="O627" s="184" t="n">
        <v>17030</v>
      </c>
      <c r="P627" s="185" t="n">
        <v>5</v>
      </c>
      <c r="Q627" s="184" t="n">
        <v>27390</v>
      </c>
      <c r="R627" s="184" t="n">
        <v>26020.5</v>
      </c>
      <c r="S627" s="184" t="s">
        <v>1624</v>
      </c>
      <c r="T627" s="187" t="n">
        <v>45919</v>
      </c>
    </row>
    <row r="628" customFormat="false" ht="46.25" hidden="true" customHeight="false" outlineLevel="0" collapsed="false">
      <c r="A628" s="181" t="s">
        <v>1625</v>
      </c>
      <c r="B628" s="182" t="n">
        <v>1752</v>
      </c>
      <c r="C628" s="183" t="n">
        <v>37726</v>
      </c>
      <c r="D628" s="181" t="s">
        <v>3327</v>
      </c>
      <c r="E628" s="181" t="s">
        <v>1027</v>
      </c>
      <c r="F628" s="181" t="s">
        <v>1028</v>
      </c>
      <c r="G628" s="181" t="s">
        <v>234</v>
      </c>
      <c r="H628" s="181" t="s">
        <v>279</v>
      </c>
      <c r="I628" s="181" t="s">
        <v>230</v>
      </c>
      <c r="J628" s="267"/>
      <c r="K628" s="269" t="n">
        <v>45919</v>
      </c>
      <c r="L628" s="267" t="n">
        <v>1.4</v>
      </c>
      <c r="M628" s="184" t="s">
        <v>234</v>
      </c>
      <c r="N628" s="184" t="n">
        <v>39350</v>
      </c>
      <c r="O628" s="184" t="n">
        <v>14940</v>
      </c>
      <c r="P628" s="185" t="n">
        <v>5</v>
      </c>
      <c r="Q628" s="184" t="n">
        <v>24410</v>
      </c>
      <c r="R628" s="184" t="n">
        <v>23189.5</v>
      </c>
      <c r="S628" s="184" t="s">
        <v>1626</v>
      </c>
      <c r="T628" s="187" t="n">
        <v>45919</v>
      </c>
    </row>
    <row r="629" customFormat="false" ht="46.25" hidden="true" customHeight="false" outlineLevel="0" collapsed="false">
      <c r="A629" s="181" t="s">
        <v>1627</v>
      </c>
      <c r="B629" s="182" t="n">
        <v>1753</v>
      </c>
      <c r="C629" s="183" t="n">
        <v>37730</v>
      </c>
      <c r="D629" s="181" t="s">
        <v>3327</v>
      </c>
      <c r="E629" s="181" t="s">
        <v>1023</v>
      </c>
      <c r="F629" s="181" t="s">
        <v>1024</v>
      </c>
      <c r="G629" s="181" t="s">
        <v>234</v>
      </c>
      <c r="H629" s="181" t="s">
        <v>279</v>
      </c>
      <c r="I629" s="181" t="s">
        <v>230</v>
      </c>
      <c r="J629" s="267"/>
      <c r="K629" s="269" t="n">
        <v>45919</v>
      </c>
      <c r="L629" s="267" t="n">
        <v>1.2</v>
      </c>
      <c r="M629" s="184" t="s">
        <v>234</v>
      </c>
      <c r="N629" s="184" t="n">
        <v>36890</v>
      </c>
      <c r="O629" s="184" t="n">
        <v>14720</v>
      </c>
      <c r="P629" s="185" t="n">
        <v>10</v>
      </c>
      <c r="Q629" s="184" t="n">
        <v>22170</v>
      </c>
      <c r="R629" s="184" t="n">
        <v>19953</v>
      </c>
      <c r="S629" s="184" t="s">
        <v>1628</v>
      </c>
      <c r="T629" s="187" t="n">
        <v>45919</v>
      </c>
    </row>
    <row r="630" customFormat="false" ht="46.25" hidden="true" customHeight="false" outlineLevel="0" collapsed="false">
      <c r="A630" s="181" t="s">
        <v>1629</v>
      </c>
      <c r="B630" s="182" t="n">
        <v>1754</v>
      </c>
      <c r="C630" s="183" t="n">
        <v>37736</v>
      </c>
      <c r="D630" s="181" t="s">
        <v>3327</v>
      </c>
      <c r="E630" s="181" t="s">
        <v>409</v>
      </c>
      <c r="F630" s="181" t="s">
        <v>410</v>
      </c>
      <c r="G630" s="181" t="s">
        <v>234</v>
      </c>
      <c r="H630" s="181" t="s">
        <v>279</v>
      </c>
      <c r="I630" s="181" t="s">
        <v>230</v>
      </c>
      <c r="J630" s="267"/>
      <c r="K630" s="269" t="n">
        <v>45919</v>
      </c>
      <c r="L630" s="267" t="n">
        <v>2</v>
      </c>
      <c r="M630" s="184" t="s">
        <v>234</v>
      </c>
      <c r="N630" s="184" t="n">
        <v>58870</v>
      </c>
      <c r="O630" s="184" t="n">
        <v>24080</v>
      </c>
      <c r="P630" s="185" t="n">
        <v>12</v>
      </c>
      <c r="Q630" s="184" t="n">
        <v>34790</v>
      </c>
      <c r="R630" s="184" t="n">
        <v>30615.2</v>
      </c>
      <c r="S630" s="184" t="s">
        <v>1630</v>
      </c>
      <c r="T630" s="187" t="n">
        <v>45920</v>
      </c>
    </row>
    <row r="631" customFormat="false" ht="46.25" hidden="true" customHeight="false" outlineLevel="0" collapsed="false">
      <c r="A631" s="181" t="s">
        <v>1631</v>
      </c>
      <c r="B631" s="182" t="n">
        <v>1755</v>
      </c>
      <c r="C631" s="183" t="n">
        <v>37738</v>
      </c>
      <c r="D631" s="181" t="s">
        <v>3327</v>
      </c>
      <c r="E631" s="181" t="s">
        <v>387</v>
      </c>
      <c r="F631" s="181" t="s">
        <v>388</v>
      </c>
      <c r="G631" s="181" t="s">
        <v>234</v>
      </c>
      <c r="H631" s="181" t="s">
        <v>279</v>
      </c>
      <c r="I631" s="181" t="s">
        <v>230</v>
      </c>
      <c r="J631" s="267"/>
      <c r="K631" s="269" t="n">
        <v>45919</v>
      </c>
      <c r="L631" s="267" t="n">
        <v>1.5</v>
      </c>
      <c r="M631" s="184" t="s">
        <v>234</v>
      </c>
      <c r="N631" s="184" t="n">
        <v>42430</v>
      </c>
      <c r="O631" s="184" t="n">
        <v>14930</v>
      </c>
      <c r="P631" s="185" t="n">
        <v>10</v>
      </c>
      <c r="Q631" s="184" t="n">
        <v>27500</v>
      </c>
      <c r="R631" s="184" t="n">
        <v>24750</v>
      </c>
      <c r="S631" s="184" t="s">
        <v>1632</v>
      </c>
      <c r="T631" s="187" t="n">
        <v>45920</v>
      </c>
    </row>
    <row r="632" customFormat="false" ht="46.25" hidden="true" customHeight="false" outlineLevel="0" collapsed="false">
      <c r="A632" s="181" t="s">
        <v>1633</v>
      </c>
      <c r="B632" s="182" t="n">
        <v>1756</v>
      </c>
      <c r="C632" s="183" t="n">
        <v>37742</v>
      </c>
      <c r="D632" s="181" t="s">
        <v>3327</v>
      </c>
      <c r="E632" s="181" t="s">
        <v>373</v>
      </c>
      <c r="F632" s="181" t="s">
        <v>374</v>
      </c>
      <c r="G632" s="181" t="s">
        <v>234</v>
      </c>
      <c r="H632" s="181" t="s">
        <v>279</v>
      </c>
      <c r="I632" s="181" t="s">
        <v>230</v>
      </c>
      <c r="J632" s="267"/>
      <c r="K632" s="269" t="n">
        <v>45919</v>
      </c>
      <c r="L632" s="267" t="n">
        <v>1.4</v>
      </c>
      <c r="M632" s="184" t="s">
        <v>234</v>
      </c>
      <c r="N632" s="184" t="n">
        <v>39630</v>
      </c>
      <c r="O632" s="184" t="n">
        <v>14170</v>
      </c>
      <c r="P632" s="185" t="n">
        <v>12</v>
      </c>
      <c r="Q632" s="184" t="n">
        <v>25460</v>
      </c>
      <c r="R632" s="184" t="n">
        <v>22404.8</v>
      </c>
      <c r="S632" s="184" t="s">
        <v>1634</v>
      </c>
      <c r="T632" s="187" t="n">
        <v>45920</v>
      </c>
    </row>
    <row r="633" customFormat="false" ht="46.25" hidden="true" customHeight="false" outlineLevel="0" collapsed="false">
      <c r="A633" s="181" t="s">
        <v>1635</v>
      </c>
      <c r="B633" s="182" t="n">
        <v>1757</v>
      </c>
      <c r="C633" s="183" t="n">
        <v>37744</v>
      </c>
      <c r="D633" s="181" t="s">
        <v>3327</v>
      </c>
      <c r="E633" s="181" t="s">
        <v>359</v>
      </c>
      <c r="F633" s="181" t="s">
        <v>360</v>
      </c>
      <c r="G633" s="181" t="s">
        <v>234</v>
      </c>
      <c r="H633" s="181" t="s">
        <v>279</v>
      </c>
      <c r="I633" s="181" t="s">
        <v>230</v>
      </c>
      <c r="J633" s="267"/>
      <c r="K633" s="269" t="n">
        <v>45919</v>
      </c>
      <c r="L633" s="267" t="n">
        <v>1.3</v>
      </c>
      <c r="M633" s="184" t="s">
        <v>234</v>
      </c>
      <c r="N633" s="184" t="n">
        <v>38110</v>
      </c>
      <c r="O633" s="184" t="n">
        <v>14860</v>
      </c>
      <c r="P633" s="185" t="n">
        <v>5</v>
      </c>
      <c r="Q633" s="184" t="n">
        <v>23250</v>
      </c>
      <c r="R633" s="184" t="n">
        <v>22087.5</v>
      </c>
      <c r="S633" s="184" t="s">
        <v>1636</v>
      </c>
      <c r="T633" s="187" t="n">
        <v>45920</v>
      </c>
    </row>
    <row r="634" customFormat="false" ht="46.25" hidden="true" customHeight="false" outlineLevel="0" collapsed="false">
      <c r="A634" s="181" t="s">
        <v>1637</v>
      </c>
      <c r="B634" s="182" t="n">
        <v>1758</v>
      </c>
      <c r="C634" s="183" t="n">
        <v>37747</v>
      </c>
      <c r="D634" s="181" t="s">
        <v>3327</v>
      </c>
      <c r="E634" s="181" t="s">
        <v>413</v>
      </c>
      <c r="F634" s="181" t="s">
        <v>414</v>
      </c>
      <c r="G634" s="181" t="s">
        <v>234</v>
      </c>
      <c r="H634" s="181" t="s">
        <v>279</v>
      </c>
      <c r="I634" s="181" t="s">
        <v>230</v>
      </c>
      <c r="J634" s="267"/>
      <c r="K634" s="269" t="n">
        <v>45919</v>
      </c>
      <c r="L634" s="267" t="n">
        <v>1.6</v>
      </c>
      <c r="M634" s="184" t="s">
        <v>234</v>
      </c>
      <c r="N634" s="184" t="n">
        <v>44560</v>
      </c>
      <c r="O634" s="184" t="n">
        <v>15750</v>
      </c>
      <c r="P634" s="185" t="n">
        <v>6</v>
      </c>
      <c r="Q634" s="184" t="n">
        <v>28810</v>
      </c>
      <c r="R634" s="184" t="n">
        <v>27081.4</v>
      </c>
      <c r="S634" s="184" t="s">
        <v>1638</v>
      </c>
      <c r="T634" s="187" t="n">
        <v>45920</v>
      </c>
    </row>
    <row r="635" customFormat="false" ht="46.25" hidden="true" customHeight="false" outlineLevel="0" collapsed="false">
      <c r="A635" s="181" t="s">
        <v>1639</v>
      </c>
      <c r="B635" s="182" t="n">
        <v>1759</v>
      </c>
      <c r="C635" s="183" t="n">
        <v>37749</v>
      </c>
      <c r="D635" s="181" t="s">
        <v>3327</v>
      </c>
      <c r="E635" s="181" t="s">
        <v>537</v>
      </c>
      <c r="F635" s="181" t="s">
        <v>538</v>
      </c>
      <c r="G635" s="181" t="s">
        <v>234</v>
      </c>
      <c r="H635" s="181" t="s">
        <v>279</v>
      </c>
      <c r="I635" s="181" t="s">
        <v>230</v>
      </c>
      <c r="J635" s="267"/>
      <c r="K635" s="269" t="n">
        <v>45919</v>
      </c>
      <c r="L635" s="267" t="n">
        <v>1.2</v>
      </c>
      <c r="M635" s="184" t="s">
        <v>234</v>
      </c>
      <c r="N635" s="184" t="n">
        <v>36170</v>
      </c>
      <c r="O635" s="184" t="n">
        <v>13990</v>
      </c>
      <c r="P635" s="185" t="n">
        <v>8</v>
      </c>
      <c r="Q635" s="184" t="n">
        <v>22180</v>
      </c>
      <c r="R635" s="184" t="n">
        <v>20405.6</v>
      </c>
      <c r="S635" s="184" t="s">
        <v>1640</v>
      </c>
      <c r="T635" s="187" t="n">
        <v>45920</v>
      </c>
    </row>
    <row r="636" customFormat="false" ht="46.25" hidden="true" customHeight="false" outlineLevel="0" collapsed="false">
      <c r="A636" s="181" t="s">
        <v>1641</v>
      </c>
      <c r="B636" s="182" t="n">
        <v>1761</v>
      </c>
      <c r="C636" s="183" t="n">
        <v>37755</v>
      </c>
      <c r="D636" s="181" t="s">
        <v>3327</v>
      </c>
      <c r="E636" s="181" t="s">
        <v>439</v>
      </c>
      <c r="F636" s="181" t="s">
        <v>440</v>
      </c>
      <c r="G636" s="181" t="s">
        <v>234</v>
      </c>
      <c r="H636" s="181" t="s">
        <v>279</v>
      </c>
      <c r="I636" s="181" t="s">
        <v>230</v>
      </c>
      <c r="J636" s="267"/>
      <c r="K636" s="269" t="n">
        <v>45919</v>
      </c>
      <c r="L636" s="267" t="n">
        <v>1.4</v>
      </c>
      <c r="M636" s="184" t="s">
        <v>234</v>
      </c>
      <c r="N636" s="184" t="n">
        <v>41690</v>
      </c>
      <c r="O636" s="184" t="n">
        <v>16310</v>
      </c>
      <c r="P636" s="185" t="n">
        <v>6</v>
      </c>
      <c r="Q636" s="184" t="n">
        <v>25380</v>
      </c>
      <c r="R636" s="184" t="n">
        <v>23857.2</v>
      </c>
      <c r="S636" s="184" t="s">
        <v>1642</v>
      </c>
      <c r="T636" s="187" t="n">
        <v>45920</v>
      </c>
    </row>
    <row r="637" customFormat="false" ht="46.25" hidden="true" customHeight="false" outlineLevel="0" collapsed="false">
      <c r="A637" s="181" t="s">
        <v>1643</v>
      </c>
      <c r="B637" s="182" t="n">
        <v>1764</v>
      </c>
      <c r="C637" s="183" t="n">
        <v>37753</v>
      </c>
      <c r="D637" s="181" t="s">
        <v>3327</v>
      </c>
      <c r="E637" s="181" t="s">
        <v>541</v>
      </c>
      <c r="F637" s="181" t="s">
        <v>542</v>
      </c>
      <c r="G637" s="181" t="s">
        <v>234</v>
      </c>
      <c r="H637" s="181" t="s">
        <v>279</v>
      </c>
      <c r="I637" s="181" t="s">
        <v>230</v>
      </c>
      <c r="J637" s="267"/>
      <c r="K637" s="269" t="n">
        <v>45920</v>
      </c>
      <c r="L637" s="267" t="n">
        <v>1.4</v>
      </c>
      <c r="M637" s="184" t="s">
        <v>234</v>
      </c>
      <c r="N637" s="184" t="n">
        <v>40790</v>
      </c>
      <c r="O637" s="184" t="n">
        <v>14950</v>
      </c>
      <c r="P637" s="185" t="n">
        <v>8</v>
      </c>
      <c r="Q637" s="184" t="n">
        <v>25840</v>
      </c>
      <c r="R637" s="184" t="n">
        <v>23772.8</v>
      </c>
      <c r="S637" s="184" t="s">
        <v>1644</v>
      </c>
      <c r="T637" s="187" t="n">
        <v>45920</v>
      </c>
    </row>
    <row r="638" customFormat="false" ht="23.85" hidden="true" customHeight="false" outlineLevel="0" collapsed="false">
      <c r="A638" s="181" t="s">
        <v>1645</v>
      </c>
      <c r="B638" s="182" t="n">
        <v>1768</v>
      </c>
      <c r="C638" s="183" t="n">
        <v>155</v>
      </c>
      <c r="D638" s="181" t="s">
        <v>1509</v>
      </c>
      <c r="E638" s="181" t="s">
        <v>1646</v>
      </c>
      <c r="F638" s="181" t="s">
        <v>1647</v>
      </c>
      <c r="G638" s="181" t="s">
        <v>3328</v>
      </c>
      <c r="H638" s="181" t="s">
        <v>1513</v>
      </c>
      <c r="I638" s="181" t="s">
        <v>238</v>
      </c>
      <c r="J638" s="267"/>
      <c r="K638" s="269" t="n">
        <v>45920</v>
      </c>
      <c r="L638" s="267" t="n">
        <v>1.5</v>
      </c>
      <c r="M638" s="184" t="s">
        <v>3328</v>
      </c>
      <c r="N638" s="184" t="n">
        <v>24080</v>
      </c>
      <c r="O638" s="184" t="n">
        <v>14330</v>
      </c>
      <c r="P638" s="185" t="n">
        <v>30</v>
      </c>
      <c r="Q638" s="184" t="n">
        <v>9750</v>
      </c>
      <c r="R638" s="184" t="n">
        <v>6825</v>
      </c>
      <c r="S638" s="184" t="s">
        <v>1648</v>
      </c>
      <c r="T638" s="187" t="n">
        <v>45920</v>
      </c>
    </row>
    <row r="639" customFormat="false" ht="35.05" hidden="true" customHeight="false" outlineLevel="0" collapsed="false">
      <c r="A639" s="181" t="s">
        <v>1649</v>
      </c>
      <c r="B639" s="182" t="n">
        <v>1769</v>
      </c>
      <c r="C639" s="183" t="n">
        <v>156</v>
      </c>
      <c r="D639" s="181" t="s">
        <v>1509</v>
      </c>
      <c r="E639" s="181" t="s">
        <v>261</v>
      </c>
      <c r="F639" s="181" t="s">
        <v>262</v>
      </c>
      <c r="G639" s="181" t="s">
        <v>3328</v>
      </c>
      <c r="H639" s="181" t="s">
        <v>1513</v>
      </c>
      <c r="I639" s="181" t="s">
        <v>238</v>
      </c>
      <c r="J639" s="267"/>
      <c r="K639" s="269" t="n">
        <v>45920</v>
      </c>
      <c r="L639" s="267" t="n">
        <v>3.1</v>
      </c>
      <c r="M639" s="184" t="s">
        <v>3328</v>
      </c>
      <c r="N639" s="184" t="n">
        <v>34840</v>
      </c>
      <c r="O639" s="184" t="n">
        <v>15140</v>
      </c>
      <c r="P639" s="185" t="n">
        <v>21</v>
      </c>
      <c r="Q639" s="184" t="n">
        <v>19700</v>
      </c>
      <c r="R639" s="184" t="n">
        <v>15563</v>
      </c>
      <c r="S639" s="184" t="s">
        <v>1650</v>
      </c>
      <c r="T639" s="187" t="n">
        <v>45920</v>
      </c>
    </row>
    <row r="640" customFormat="false" ht="46.25" hidden="true" customHeight="false" outlineLevel="0" collapsed="false">
      <c r="A640" s="181" t="s">
        <v>1653</v>
      </c>
      <c r="B640" s="182" t="n">
        <v>1771</v>
      </c>
      <c r="C640" s="183" t="n">
        <v>157</v>
      </c>
      <c r="D640" s="181" t="s">
        <v>1509</v>
      </c>
      <c r="E640" s="181" t="s">
        <v>296</v>
      </c>
      <c r="F640" s="181" t="s">
        <v>297</v>
      </c>
      <c r="G640" s="181" t="s">
        <v>3328</v>
      </c>
      <c r="H640" s="181" t="s">
        <v>1513</v>
      </c>
      <c r="I640" s="181" t="s">
        <v>238</v>
      </c>
      <c r="J640" s="267"/>
      <c r="K640" s="269" t="n">
        <v>45920</v>
      </c>
      <c r="L640" s="267" t="n">
        <v>3.5</v>
      </c>
      <c r="M640" s="184" t="s">
        <v>3328</v>
      </c>
      <c r="N640" s="184" t="n">
        <v>37700</v>
      </c>
      <c r="O640" s="184" t="n">
        <v>15500</v>
      </c>
      <c r="P640" s="185" t="n">
        <v>32</v>
      </c>
      <c r="Q640" s="184" t="n">
        <v>22200</v>
      </c>
      <c r="R640" s="184" t="n">
        <v>15096</v>
      </c>
      <c r="S640" s="184" t="s">
        <v>1654</v>
      </c>
      <c r="T640" s="187" t="n">
        <v>45920</v>
      </c>
    </row>
    <row r="641" customFormat="false" ht="35.05" hidden="true" customHeight="false" outlineLevel="0" collapsed="false">
      <c r="A641" s="181" t="s">
        <v>1655</v>
      </c>
      <c r="B641" s="182" t="n">
        <v>1772</v>
      </c>
      <c r="C641" s="183" t="n">
        <v>158</v>
      </c>
      <c r="D641" s="181" t="s">
        <v>1509</v>
      </c>
      <c r="E641" s="181" t="s">
        <v>576</v>
      </c>
      <c r="F641" s="181" t="s">
        <v>577</v>
      </c>
      <c r="G641" s="181" t="s">
        <v>3328</v>
      </c>
      <c r="H641" s="181" t="s">
        <v>1513</v>
      </c>
      <c r="I641" s="181" t="s">
        <v>238</v>
      </c>
      <c r="J641" s="267"/>
      <c r="K641" s="269" t="n">
        <v>45920</v>
      </c>
      <c r="L641" s="267" t="n">
        <v>3.5</v>
      </c>
      <c r="M641" s="184" t="s">
        <v>3328</v>
      </c>
      <c r="N641" s="184" t="n">
        <v>37170</v>
      </c>
      <c r="O641" s="184" t="n">
        <v>14620</v>
      </c>
      <c r="P641" s="185" t="n">
        <v>33</v>
      </c>
      <c r="Q641" s="184" t="n">
        <v>22550</v>
      </c>
      <c r="R641" s="184" t="n">
        <v>15108.5</v>
      </c>
      <c r="S641" s="184" t="s">
        <v>1656</v>
      </c>
      <c r="T641" s="187" t="n">
        <v>45920</v>
      </c>
    </row>
    <row r="642" customFormat="false" ht="23.85" hidden="true" customHeight="false" outlineLevel="0" collapsed="false">
      <c r="A642" s="181" t="s">
        <v>1657</v>
      </c>
      <c r="B642" s="182" t="n">
        <v>1773</v>
      </c>
      <c r="C642" s="183" t="n">
        <v>159</v>
      </c>
      <c r="D642" s="181" t="s">
        <v>1509</v>
      </c>
      <c r="E642" s="181" t="s">
        <v>1646</v>
      </c>
      <c r="F642" s="181" t="s">
        <v>1647</v>
      </c>
      <c r="G642" s="181" t="s">
        <v>3328</v>
      </c>
      <c r="H642" s="181" t="s">
        <v>1513</v>
      </c>
      <c r="I642" s="181" t="s">
        <v>238</v>
      </c>
      <c r="J642" s="267"/>
      <c r="K642" s="269" t="n">
        <v>45920</v>
      </c>
      <c r="L642" s="267" t="n">
        <v>1.7</v>
      </c>
      <c r="M642" s="184" t="s">
        <v>3328</v>
      </c>
      <c r="N642" s="184" t="n">
        <v>25480</v>
      </c>
      <c r="O642" s="184" t="n">
        <v>14600</v>
      </c>
      <c r="P642" s="185" t="n">
        <v>27</v>
      </c>
      <c r="Q642" s="184" t="n">
        <v>10880</v>
      </c>
      <c r="R642" s="184" t="n">
        <v>7942.4</v>
      </c>
      <c r="S642" s="184" t="s">
        <v>1658</v>
      </c>
      <c r="T642" s="187" t="n">
        <v>45920</v>
      </c>
    </row>
    <row r="643" customFormat="false" ht="35.05" hidden="true" customHeight="false" outlineLevel="0" collapsed="false">
      <c r="A643" s="181" t="s">
        <v>1659</v>
      </c>
      <c r="B643" s="182" t="n">
        <v>1774</v>
      </c>
      <c r="C643" s="183" t="n">
        <v>160</v>
      </c>
      <c r="D643" s="181" t="s">
        <v>1509</v>
      </c>
      <c r="E643" s="181" t="s">
        <v>261</v>
      </c>
      <c r="F643" s="181" t="s">
        <v>262</v>
      </c>
      <c r="G643" s="181" t="s">
        <v>3328</v>
      </c>
      <c r="H643" s="181" t="s">
        <v>1513</v>
      </c>
      <c r="I643" s="181" t="s">
        <v>238</v>
      </c>
      <c r="J643" s="267"/>
      <c r="K643" s="269" t="n">
        <v>45920</v>
      </c>
      <c r="L643" s="267" t="n">
        <v>3.5</v>
      </c>
      <c r="M643" s="184" t="s">
        <v>3328</v>
      </c>
      <c r="N643" s="184" t="n">
        <v>37590</v>
      </c>
      <c r="O643" s="184" t="n">
        <v>15380</v>
      </c>
      <c r="P643" s="185" t="n">
        <v>22</v>
      </c>
      <c r="Q643" s="184" t="n">
        <v>22210</v>
      </c>
      <c r="R643" s="184" t="n">
        <v>17323.8</v>
      </c>
      <c r="S643" s="184" t="s">
        <v>1660</v>
      </c>
      <c r="T643" s="187" t="n">
        <v>45920</v>
      </c>
    </row>
    <row r="644" customFormat="false" ht="46.25" hidden="true" customHeight="false" outlineLevel="0" collapsed="false">
      <c r="A644" s="181" t="s">
        <v>1663</v>
      </c>
      <c r="B644" s="182" t="n">
        <v>1776</v>
      </c>
      <c r="C644" s="183" t="n">
        <v>161</v>
      </c>
      <c r="D644" s="181" t="s">
        <v>1509</v>
      </c>
      <c r="E644" s="181" t="s">
        <v>296</v>
      </c>
      <c r="F644" s="181" t="s">
        <v>297</v>
      </c>
      <c r="G644" s="181" t="s">
        <v>3328</v>
      </c>
      <c r="H644" s="181" t="s">
        <v>1513</v>
      </c>
      <c r="I644" s="181" t="s">
        <v>238</v>
      </c>
      <c r="J644" s="267"/>
      <c r="K644" s="269" t="n">
        <v>45920</v>
      </c>
      <c r="L644" s="267" t="n">
        <v>2.7</v>
      </c>
      <c r="M644" s="184" t="s">
        <v>3328</v>
      </c>
      <c r="N644" s="184" t="n">
        <v>33080</v>
      </c>
      <c r="O644" s="184" t="n">
        <v>15820</v>
      </c>
      <c r="P644" s="185" t="n">
        <v>31</v>
      </c>
      <c r="Q644" s="184" t="n">
        <v>17260</v>
      </c>
      <c r="R644" s="184" t="n">
        <v>11909.4</v>
      </c>
      <c r="S644" s="184" t="s">
        <v>1664</v>
      </c>
      <c r="T644" s="187" t="n">
        <v>45920</v>
      </c>
    </row>
    <row r="645" customFormat="false" ht="46.25" hidden="true" customHeight="false" outlineLevel="0" collapsed="false">
      <c r="A645" s="181" t="s">
        <v>1651</v>
      </c>
      <c r="B645" s="182" t="n">
        <v>1770</v>
      </c>
      <c r="C645" s="183" t="n">
        <v>37751</v>
      </c>
      <c r="D645" s="181" t="s">
        <v>3327</v>
      </c>
      <c r="E645" s="181" t="s">
        <v>1510</v>
      </c>
      <c r="F645" s="181" t="s">
        <v>1511</v>
      </c>
      <c r="G645" s="181" t="s">
        <v>234</v>
      </c>
      <c r="H645" s="181" t="s">
        <v>279</v>
      </c>
      <c r="I645" s="181" t="s">
        <v>230</v>
      </c>
      <c r="J645" s="267"/>
      <c r="K645" s="269" t="n">
        <v>45920</v>
      </c>
      <c r="L645" s="267" t="n">
        <v>0.6</v>
      </c>
      <c r="M645" s="184" t="s">
        <v>234</v>
      </c>
      <c r="N645" s="184" t="n">
        <v>24020</v>
      </c>
      <c r="O645" s="184" t="n">
        <v>14170</v>
      </c>
      <c r="P645" s="185" t="n">
        <v>4</v>
      </c>
      <c r="Q645" s="184" t="n">
        <v>9850</v>
      </c>
      <c r="R645" s="184" t="n">
        <v>9456</v>
      </c>
      <c r="S645" s="184" t="s">
        <v>1652</v>
      </c>
      <c r="T645" s="187" t="n">
        <v>45920</v>
      </c>
    </row>
    <row r="646" customFormat="false" ht="46.25" hidden="true" customHeight="false" outlineLevel="0" collapsed="false">
      <c r="A646" s="181" t="s">
        <v>1661</v>
      </c>
      <c r="B646" s="182" t="n">
        <v>1775</v>
      </c>
      <c r="C646" s="183" t="n">
        <v>37740</v>
      </c>
      <c r="D646" s="181" t="s">
        <v>3327</v>
      </c>
      <c r="E646" s="181" t="s">
        <v>399</v>
      </c>
      <c r="F646" s="181" t="s">
        <v>400</v>
      </c>
      <c r="G646" s="181" t="s">
        <v>234</v>
      </c>
      <c r="H646" s="181" t="s">
        <v>279</v>
      </c>
      <c r="I646" s="181" t="s">
        <v>230</v>
      </c>
      <c r="J646" s="267"/>
      <c r="K646" s="269" t="n">
        <v>45919</v>
      </c>
      <c r="L646" s="267" t="n">
        <v>1.9</v>
      </c>
      <c r="M646" s="184" t="s">
        <v>234</v>
      </c>
      <c r="N646" s="184" t="n">
        <v>48500</v>
      </c>
      <c r="O646" s="184" t="n">
        <v>19270</v>
      </c>
      <c r="P646" s="185" t="n">
        <v>4</v>
      </c>
      <c r="Q646" s="184" t="n">
        <v>29230</v>
      </c>
      <c r="R646" s="184" t="n">
        <v>28060.8</v>
      </c>
      <c r="S646" s="184" t="s">
        <v>1662</v>
      </c>
      <c r="T646" s="187" t="n">
        <v>45920</v>
      </c>
    </row>
    <row r="647" customFormat="false" ht="35.05" hidden="true" customHeight="false" outlineLevel="0" collapsed="false">
      <c r="A647" s="181" t="s">
        <v>1665</v>
      </c>
      <c r="B647" s="182" t="n">
        <v>1777</v>
      </c>
      <c r="C647" s="183" t="n">
        <v>162</v>
      </c>
      <c r="D647" s="181" t="s">
        <v>1509</v>
      </c>
      <c r="E647" s="181" t="s">
        <v>576</v>
      </c>
      <c r="F647" s="181" t="s">
        <v>577</v>
      </c>
      <c r="G647" s="181" t="s">
        <v>3328</v>
      </c>
      <c r="H647" s="181" t="s">
        <v>1513</v>
      </c>
      <c r="I647" s="181" t="s">
        <v>238</v>
      </c>
      <c r="J647" s="267"/>
      <c r="K647" s="269" t="n">
        <v>45921</v>
      </c>
      <c r="L647" s="267" t="n">
        <v>1.6</v>
      </c>
      <c r="M647" s="184" t="s">
        <v>3328</v>
      </c>
      <c r="N647" s="184" t="n">
        <v>37650</v>
      </c>
      <c r="O647" s="184" t="n">
        <v>14710</v>
      </c>
      <c r="P647" s="185" t="n">
        <v>16</v>
      </c>
      <c r="Q647" s="184" t="n">
        <v>22940</v>
      </c>
      <c r="R647" s="184" t="n">
        <v>19269.6</v>
      </c>
      <c r="S647" s="184" t="s">
        <v>1666</v>
      </c>
      <c r="T647" s="187" t="n">
        <v>45921</v>
      </c>
    </row>
    <row r="648" customFormat="false" ht="35.05" hidden="true" customHeight="false" outlineLevel="0" collapsed="false">
      <c r="A648" s="181" t="s">
        <v>1667</v>
      </c>
      <c r="B648" s="182" t="n">
        <v>1778</v>
      </c>
      <c r="C648" s="183" t="n">
        <v>163</v>
      </c>
      <c r="D648" s="181" t="s">
        <v>1509</v>
      </c>
      <c r="E648" s="181" t="s">
        <v>1510</v>
      </c>
      <c r="F648" s="181" t="s">
        <v>1511</v>
      </c>
      <c r="G648" s="181" t="s">
        <v>3328</v>
      </c>
      <c r="H648" s="181" t="s">
        <v>1513</v>
      </c>
      <c r="I648" s="181" t="s">
        <v>238</v>
      </c>
      <c r="J648" s="267"/>
      <c r="K648" s="269" t="n">
        <v>45921</v>
      </c>
      <c r="L648" s="267" t="n">
        <v>1.3</v>
      </c>
      <c r="M648" s="184" t="s">
        <v>3328</v>
      </c>
      <c r="N648" s="184" t="n">
        <v>32320</v>
      </c>
      <c r="O648" s="184" t="n">
        <v>14210</v>
      </c>
      <c r="P648" s="185" t="n">
        <v>15</v>
      </c>
      <c r="Q648" s="184" t="n">
        <v>18110</v>
      </c>
      <c r="R648" s="184" t="n">
        <v>15393.5</v>
      </c>
      <c r="S648" s="184" t="s">
        <v>1668</v>
      </c>
      <c r="T648" s="187" t="n">
        <v>45921</v>
      </c>
    </row>
    <row r="649" customFormat="false" ht="69.75" hidden="true" customHeight="true" outlineLevel="0" collapsed="false">
      <c r="A649" s="181" t="s">
        <v>1669</v>
      </c>
      <c r="B649" s="182" t="n">
        <v>1779</v>
      </c>
      <c r="C649" s="183" t="n">
        <v>164</v>
      </c>
      <c r="D649" s="181" t="s">
        <v>1509</v>
      </c>
      <c r="E649" s="181" t="s">
        <v>261</v>
      </c>
      <c r="F649" s="181" t="s">
        <v>262</v>
      </c>
      <c r="G649" s="181" t="s">
        <v>3328</v>
      </c>
      <c r="H649" s="181" t="s">
        <v>1513</v>
      </c>
      <c r="I649" s="181" t="s">
        <v>238</v>
      </c>
      <c r="J649" s="267"/>
      <c r="K649" s="269" t="n">
        <v>45921</v>
      </c>
      <c r="L649" s="267" t="n">
        <v>1.5</v>
      </c>
      <c r="M649" s="184" t="s">
        <v>3328</v>
      </c>
      <c r="N649" s="184" t="n">
        <v>38100</v>
      </c>
      <c r="O649" s="184" t="n">
        <v>15150</v>
      </c>
      <c r="P649" s="185" t="n">
        <v>8</v>
      </c>
      <c r="Q649" s="184" t="n">
        <v>22950</v>
      </c>
      <c r="R649" s="184" t="n">
        <v>21114</v>
      </c>
      <c r="S649" s="184" t="s">
        <v>1670</v>
      </c>
      <c r="T649" s="187" t="n">
        <v>45921</v>
      </c>
    </row>
    <row r="650" customFormat="false" ht="69.75" hidden="true" customHeight="true" outlineLevel="0" collapsed="false">
      <c r="A650" s="181" t="s">
        <v>1671</v>
      </c>
      <c r="B650" s="182" t="n">
        <v>1780</v>
      </c>
      <c r="C650" s="183" t="n">
        <v>165</v>
      </c>
      <c r="D650" s="181" t="s">
        <v>1509</v>
      </c>
      <c r="E650" s="181" t="s">
        <v>576</v>
      </c>
      <c r="F650" s="181" t="s">
        <v>577</v>
      </c>
      <c r="G650" s="181" t="s">
        <v>1512</v>
      </c>
      <c r="H650" s="181" t="s">
        <v>1672</v>
      </c>
      <c r="I650" s="181" t="s">
        <v>238</v>
      </c>
      <c r="J650" s="267"/>
      <c r="K650" s="269" t="n">
        <v>45921</v>
      </c>
      <c r="L650" s="267" t="n">
        <v>6.2</v>
      </c>
      <c r="M650" s="184" t="s">
        <v>1512</v>
      </c>
      <c r="N650" s="184" t="n">
        <v>37510</v>
      </c>
      <c r="O650" s="184" t="n">
        <v>14680</v>
      </c>
      <c r="P650" s="185" t="n">
        <v>4</v>
      </c>
      <c r="Q650" s="184" t="n">
        <v>22830</v>
      </c>
      <c r="R650" s="184" t="n">
        <v>21916.8</v>
      </c>
      <c r="S650" s="184" t="s">
        <v>1673</v>
      </c>
      <c r="T650" s="187" t="n">
        <v>45921</v>
      </c>
    </row>
    <row r="651" customFormat="false" ht="69.75" hidden="true" customHeight="true" outlineLevel="0" collapsed="false">
      <c r="A651" s="181" t="s">
        <v>1674</v>
      </c>
      <c r="B651" s="182" t="n">
        <v>1781</v>
      </c>
      <c r="C651" s="183" t="n">
        <v>166</v>
      </c>
      <c r="D651" s="181" t="s">
        <v>1509</v>
      </c>
      <c r="E651" s="181" t="s">
        <v>1510</v>
      </c>
      <c r="F651" s="181" t="s">
        <v>1511</v>
      </c>
      <c r="G651" s="181" t="s">
        <v>1512</v>
      </c>
      <c r="H651" s="181" t="s">
        <v>1672</v>
      </c>
      <c r="I651" s="181" t="s">
        <v>238</v>
      </c>
      <c r="J651" s="267"/>
      <c r="K651" s="269" t="n">
        <v>45921</v>
      </c>
      <c r="L651" s="267" t="n">
        <v>2.3</v>
      </c>
      <c r="M651" s="184" t="s">
        <v>3535</v>
      </c>
      <c r="N651" s="184" t="n">
        <v>22380</v>
      </c>
      <c r="O651" s="184" t="n">
        <v>14190</v>
      </c>
      <c r="P651" s="185" t="n">
        <v>10</v>
      </c>
      <c r="Q651" s="184" t="n">
        <v>8190</v>
      </c>
      <c r="R651" s="184" t="n">
        <v>7371</v>
      </c>
      <c r="S651" s="184" t="s">
        <v>1675</v>
      </c>
      <c r="T651" s="187" t="n">
        <v>45921</v>
      </c>
    </row>
    <row r="652" customFormat="false" ht="35.05" hidden="true" customHeight="false" outlineLevel="0" collapsed="false">
      <c r="A652" s="181" t="s">
        <v>1676</v>
      </c>
      <c r="B652" s="182" t="n">
        <v>1789</v>
      </c>
      <c r="C652" s="183" t="n">
        <v>167</v>
      </c>
      <c r="D652" s="181" t="s">
        <v>1509</v>
      </c>
      <c r="E652" s="181" t="s">
        <v>332</v>
      </c>
      <c r="F652" s="181" t="s">
        <v>333</v>
      </c>
      <c r="G652" s="181" t="s">
        <v>103</v>
      </c>
      <c r="H652" s="181" t="s">
        <v>87</v>
      </c>
      <c r="I652" s="181" t="s">
        <v>229</v>
      </c>
      <c r="J652" s="267"/>
      <c r="K652" s="269" t="n">
        <v>45925</v>
      </c>
      <c r="L652" s="267" t="n">
        <v>1.8</v>
      </c>
      <c r="M652" s="184" t="s">
        <v>103</v>
      </c>
      <c r="N652" s="184" t="n">
        <v>37340</v>
      </c>
      <c r="O652" s="184" t="n">
        <v>14870</v>
      </c>
      <c r="P652" s="185" t="n">
        <v>17</v>
      </c>
      <c r="Q652" s="184" t="n">
        <v>22470</v>
      </c>
      <c r="R652" s="184" t="n">
        <v>18650.1</v>
      </c>
      <c r="S652" s="184" t="s">
        <v>1678</v>
      </c>
      <c r="T652" s="187" t="n">
        <v>45925</v>
      </c>
    </row>
    <row r="653" customFormat="false" ht="23.85" hidden="true" customHeight="false" outlineLevel="0" collapsed="false">
      <c r="A653" s="181" t="s">
        <v>1679</v>
      </c>
      <c r="B653" s="182" t="n">
        <v>1790</v>
      </c>
      <c r="C653" s="183" t="n">
        <v>168</v>
      </c>
      <c r="D653" s="181" t="s">
        <v>1509</v>
      </c>
      <c r="E653" s="181" t="s">
        <v>292</v>
      </c>
      <c r="F653" s="181" t="s">
        <v>293</v>
      </c>
      <c r="G653" s="181" t="s">
        <v>103</v>
      </c>
      <c r="H653" s="181" t="s">
        <v>87</v>
      </c>
      <c r="I653" s="181" t="s">
        <v>229</v>
      </c>
      <c r="J653" s="267"/>
      <c r="K653" s="269" t="n">
        <v>45925</v>
      </c>
      <c r="L653" s="267" t="n">
        <v>1.6</v>
      </c>
      <c r="M653" s="184" t="s">
        <v>103</v>
      </c>
      <c r="N653" s="184" t="n">
        <v>34150</v>
      </c>
      <c r="O653" s="184" t="n">
        <v>13950</v>
      </c>
      <c r="P653" s="185" t="n">
        <v>26</v>
      </c>
      <c r="Q653" s="184" t="n">
        <v>20200</v>
      </c>
      <c r="R653" s="184" t="n">
        <v>14948</v>
      </c>
      <c r="S653" s="184" t="s">
        <v>1680</v>
      </c>
      <c r="T653" s="187" t="n">
        <v>45925</v>
      </c>
    </row>
    <row r="654" customFormat="false" ht="46.25" hidden="true" customHeight="false" outlineLevel="0" collapsed="false">
      <c r="A654" s="181" t="s">
        <v>1681</v>
      </c>
      <c r="B654" s="182" t="n">
        <v>1791</v>
      </c>
      <c r="C654" s="183" t="n">
        <v>169</v>
      </c>
      <c r="D654" s="181" t="s">
        <v>1509</v>
      </c>
      <c r="E654" s="181" t="s">
        <v>288</v>
      </c>
      <c r="F654" s="181" t="s">
        <v>289</v>
      </c>
      <c r="G654" s="181" t="s">
        <v>103</v>
      </c>
      <c r="H654" s="181" t="s">
        <v>87</v>
      </c>
      <c r="I654" s="181" t="s">
        <v>229</v>
      </c>
      <c r="J654" s="267"/>
      <c r="K654" s="269" t="n">
        <v>45925</v>
      </c>
      <c r="L654" s="267" t="n">
        <v>1.6</v>
      </c>
      <c r="M654" s="184" t="s">
        <v>103</v>
      </c>
      <c r="N654" s="184" t="n">
        <v>34070</v>
      </c>
      <c r="O654" s="184" t="n">
        <v>14710</v>
      </c>
      <c r="P654" s="185" t="n">
        <v>10</v>
      </c>
      <c r="Q654" s="184" t="n">
        <v>19360</v>
      </c>
      <c r="R654" s="184" t="n">
        <v>17424</v>
      </c>
      <c r="S654" s="184" t="s">
        <v>1682</v>
      </c>
      <c r="T654" s="187" t="n">
        <v>45925</v>
      </c>
    </row>
    <row r="655" customFormat="false" ht="35.05" hidden="true" customHeight="false" outlineLevel="0" collapsed="false">
      <c r="A655" s="181" t="s">
        <v>1683</v>
      </c>
      <c r="B655" s="182" t="n">
        <v>1792</v>
      </c>
      <c r="C655" s="183" t="n">
        <v>170</v>
      </c>
      <c r="D655" s="181" t="s">
        <v>1509</v>
      </c>
      <c r="E655" s="181" t="s">
        <v>332</v>
      </c>
      <c r="F655" s="181" t="s">
        <v>333</v>
      </c>
      <c r="G655" s="181" t="s">
        <v>103</v>
      </c>
      <c r="H655" s="181" t="s">
        <v>87</v>
      </c>
      <c r="I655" s="181" t="s">
        <v>229</v>
      </c>
      <c r="J655" s="267"/>
      <c r="K655" s="269" t="n">
        <v>45925</v>
      </c>
      <c r="L655" s="267" t="n">
        <v>1.8</v>
      </c>
      <c r="M655" s="184" t="s">
        <v>103</v>
      </c>
      <c r="N655" s="184" t="n">
        <v>37180</v>
      </c>
      <c r="O655" s="184" t="n">
        <v>14860</v>
      </c>
      <c r="P655" s="185" t="n">
        <v>8</v>
      </c>
      <c r="Q655" s="184" t="n">
        <v>22320</v>
      </c>
      <c r="R655" s="184" t="n">
        <v>20534.4</v>
      </c>
      <c r="S655" s="184" t="s">
        <v>1684</v>
      </c>
      <c r="T655" s="187" t="n">
        <v>45925</v>
      </c>
    </row>
    <row r="656" customFormat="false" ht="46.25" hidden="true" customHeight="false" outlineLevel="0" collapsed="false">
      <c r="A656" s="181" t="s">
        <v>1685</v>
      </c>
      <c r="B656" s="182" t="n">
        <v>1793</v>
      </c>
      <c r="C656" s="183" t="n">
        <v>54984</v>
      </c>
      <c r="D656" s="181" t="s">
        <v>1686</v>
      </c>
      <c r="E656" s="181" t="s">
        <v>282</v>
      </c>
      <c r="F656" s="181" t="s">
        <v>283</v>
      </c>
      <c r="G656" s="181" t="s">
        <v>1687</v>
      </c>
      <c r="H656" s="181" t="s">
        <v>279</v>
      </c>
      <c r="I656" s="181" t="s">
        <v>239</v>
      </c>
      <c r="J656" s="267"/>
      <c r="K656" s="269" t="n">
        <v>45925</v>
      </c>
      <c r="L656" s="267" t="n">
        <v>1.3</v>
      </c>
      <c r="M656" s="184" t="s">
        <v>1687</v>
      </c>
      <c r="N656" s="184" t="n">
        <v>39420</v>
      </c>
      <c r="O656" s="184" t="n">
        <v>15110</v>
      </c>
      <c r="P656" s="185" t="n">
        <v>5</v>
      </c>
      <c r="Q656" s="184" t="n">
        <v>24310</v>
      </c>
      <c r="R656" s="184" t="n">
        <v>23094.5</v>
      </c>
      <c r="S656" s="184" t="s">
        <v>1688</v>
      </c>
      <c r="T656" s="187" t="n">
        <v>45925</v>
      </c>
    </row>
    <row r="657" customFormat="false" ht="23.85" hidden="true" customHeight="false" outlineLevel="0" collapsed="false">
      <c r="A657" s="181" t="s">
        <v>1689</v>
      </c>
      <c r="B657" s="182" t="n">
        <v>1794</v>
      </c>
      <c r="C657" s="183" t="n">
        <v>171</v>
      </c>
      <c r="D657" s="181" t="s">
        <v>1509</v>
      </c>
      <c r="E657" s="181" t="s">
        <v>292</v>
      </c>
      <c r="F657" s="181" t="s">
        <v>293</v>
      </c>
      <c r="G657" s="181" t="s">
        <v>103</v>
      </c>
      <c r="H657" s="181" t="s">
        <v>87</v>
      </c>
      <c r="I657" s="181" t="s">
        <v>229</v>
      </c>
      <c r="J657" s="267"/>
      <c r="K657" s="269" t="n">
        <v>45925</v>
      </c>
      <c r="L657" s="267" t="n">
        <v>1.7</v>
      </c>
      <c r="M657" s="184" t="s">
        <v>103</v>
      </c>
      <c r="N657" s="184" t="n">
        <v>34930</v>
      </c>
      <c r="O657" s="184" t="n">
        <v>13940</v>
      </c>
      <c r="P657" s="185" t="n">
        <v>8</v>
      </c>
      <c r="Q657" s="184" t="n">
        <v>20990</v>
      </c>
      <c r="R657" s="184" t="n">
        <v>19310.8</v>
      </c>
      <c r="S657" s="184" t="s">
        <v>1690</v>
      </c>
      <c r="T657" s="187" t="n">
        <v>45925</v>
      </c>
    </row>
    <row r="658" customFormat="false" ht="46.25" hidden="true" customHeight="false" outlineLevel="0" collapsed="false">
      <c r="A658" s="181" t="s">
        <v>1691</v>
      </c>
      <c r="B658" s="182" t="n">
        <v>1795</v>
      </c>
      <c r="C658" s="183" t="n">
        <v>172</v>
      </c>
      <c r="D658" s="181" t="s">
        <v>1509</v>
      </c>
      <c r="E658" s="181" t="s">
        <v>288</v>
      </c>
      <c r="F658" s="181" t="s">
        <v>289</v>
      </c>
      <c r="G658" s="181" t="s">
        <v>103</v>
      </c>
      <c r="H658" s="181" t="s">
        <v>87</v>
      </c>
      <c r="I658" s="181" t="s">
        <v>229</v>
      </c>
      <c r="J658" s="267"/>
      <c r="K658" s="269" t="n">
        <v>45925</v>
      </c>
      <c r="L658" s="267" t="n">
        <v>1.5</v>
      </c>
      <c r="M658" s="184" t="s">
        <v>103</v>
      </c>
      <c r="N658" s="184" t="n">
        <v>32550</v>
      </c>
      <c r="O658" s="184" t="n">
        <v>14700</v>
      </c>
      <c r="P658" s="185" t="n">
        <v>7</v>
      </c>
      <c r="Q658" s="184" t="n">
        <v>17850</v>
      </c>
      <c r="R658" s="184" t="n">
        <v>16600.5</v>
      </c>
      <c r="S658" s="184" t="s">
        <v>1692</v>
      </c>
      <c r="T658" s="187" t="n">
        <v>45925</v>
      </c>
    </row>
    <row r="659" customFormat="false" ht="35.05" hidden="true" customHeight="false" outlineLevel="0" collapsed="false">
      <c r="A659" s="181" t="s">
        <v>1693</v>
      </c>
      <c r="B659" s="182" t="n">
        <v>1797</v>
      </c>
      <c r="C659" s="183" t="n">
        <v>173</v>
      </c>
      <c r="D659" s="181" t="s">
        <v>1509</v>
      </c>
      <c r="E659" s="181" t="s">
        <v>332</v>
      </c>
      <c r="F659" s="181" t="s">
        <v>333</v>
      </c>
      <c r="G659" s="181" t="s">
        <v>103</v>
      </c>
      <c r="H659" s="181" t="s">
        <v>87</v>
      </c>
      <c r="I659" s="181" t="s">
        <v>229</v>
      </c>
      <c r="J659" s="267"/>
      <c r="K659" s="269" t="n">
        <v>45925</v>
      </c>
      <c r="L659" s="267" t="n">
        <v>1.7</v>
      </c>
      <c r="M659" s="184" t="s">
        <v>103</v>
      </c>
      <c r="N659" s="184" t="n">
        <v>36110</v>
      </c>
      <c r="O659" s="184" t="n">
        <v>14840</v>
      </c>
      <c r="P659" s="185" t="n">
        <v>14</v>
      </c>
      <c r="Q659" s="184" t="n">
        <v>21270</v>
      </c>
      <c r="R659" s="184" t="n">
        <v>18292.2</v>
      </c>
      <c r="S659" s="184" t="s">
        <v>1694</v>
      </c>
      <c r="T659" s="187" t="n">
        <v>45925</v>
      </c>
    </row>
    <row r="660" customFormat="false" ht="46.25" hidden="true" customHeight="false" outlineLevel="0" collapsed="false">
      <c r="A660" s="181" t="s">
        <v>1695</v>
      </c>
      <c r="B660" s="182" t="n">
        <v>1799</v>
      </c>
      <c r="C660" s="183" t="n">
        <v>174</v>
      </c>
      <c r="D660" s="181" t="s">
        <v>1509</v>
      </c>
      <c r="E660" s="181" t="s">
        <v>282</v>
      </c>
      <c r="F660" s="181" t="s">
        <v>283</v>
      </c>
      <c r="G660" s="181" t="s">
        <v>103</v>
      </c>
      <c r="H660" s="181" t="s">
        <v>87</v>
      </c>
      <c r="I660" s="181" t="s">
        <v>229</v>
      </c>
      <c r="J660" s="267"/>
      <c r="K660" s="269" t="n">
        <v>45925</v>
      </c>
      <c r="L660" s="267" t="n">
        <v>1.8</v>
      </c>
      <c r="M660" s="184" t="s">
        <v>103</v>
      </c>
      <c r="N660" s="184" t="n">
        <v>37490</v>
      </c>
      <c r="O660" s="184" t="n">
        <v>15110</v>
      </c>
      <c r="P660" s="185" t="n">
        <v>11</v>
      </c>
      <c r="Q660" s="184" t="n">
        <v>22380</v>
      </c>
      <c r="R660" s="184" t="n">
        <v>19918.2</v>
      </c>
      <c r="S660" s="184" t="s">
        <v>1696</v>
      </c>
      <c r="T660" s="187" t="n">
        <v>45925</v>
      </c>
    </row>
    <row r="661" customFormat="false" ht="23.85" hidden="true" customHeight="false" outlineLevel="0" collapsed="false">
      <c r="A661" s="181" t="s">
        <v>1697</v>
      </c>
      <c r="B661" s="182" t="n">
        <v>1801</v>
      </c>
      <c r="C661" s="183" t="n">
        <v>175</v>
      </c>
      <c r="D661" s="181" t="s">
        <v>1509</v>
      </c>
      <c r="E661" s="181" t="s">
        <v>292</v>
      </c>
      <c r="F661" s="181" t="s">
        <v>293</v>
      </c>
      <c r="G661" s="181" t="s">
        <v>103</v>
      </c>
      <c r="H661" s="181" t="s">
        <v>87</v>
      </c>
      <c r="I661" s="181" t="s">
        <v>229</v>
      </c>
      <c r="J661" s="267"/>
      <c r="K661" s="269" t="n">
        <v>45925</v>
      </c>
      <c r="L661" s="267" t="n">
        <v>1.8</v>
      </c>
      <c r="M661" s="184" t="s">
        <v>103</v>
      </c>
      <c r="N661" s="184" t="n">
        <v>35850</v>
      </c>
      <c r="O661" s="184" t="n">
        <v>13930</v>
      </c>
      <c r="P661" s="185" t="n">
        <v>20</v>
      </c>
      <c r="Q661" s="184" t="n">
        <v>21920</v>
      </c>
      <c r="R661" s="184" t="n">
        <v>17536</v>
      </c>
      <c r="S661" s="184" t="s">
        <v>1698</v>
      </c>
      <c r="T661" s="187" t="n">
        <v>45925</v>
      </c>
    </row>
    <row r="662" customFormat="false" ht="46.25" hidden="true" customHeight="false" outlineLevel="0" collapsed="false">
      <c r="A662" s="181" t="s">
        <v>1699</v>
      </c>
      <c r="B662" s="182" t="n">
        <v>1802</v>
      </c>
      <c r="C662" s="183" t="n">
        <v>176</v>
      </c>
      <c r="D662" s="181" t="s">
        <v>1509</v>
      </c>
      <c r="E662" s="181" t="s">
        <v>288</v>
      </c>
      <c r="F662" s="181" t="s">
        <v>289</v>
      </c>
      <c r="G662" s="181" t="s">
        <v>103</v>
      </c>
      <c r="H662" s="181" t="s">
        <v>87</v>
      </c>
      <c r="I662" s="181" t="s">
        <v>229</v>
      </c>
      <c r="J662" s="267"/>
      <c r="K662" s="269" t="n">
        <v>45925</v>
      </c>
      <c r="L662" s="267" t="n">
        <v>1.3</v>
      </c>
      <c r="M662" s="184" t="s">
        <v>103</v>
      </c>
      <c r="N662" s="184" t="n">
        <v>30940</v>
      </c>
      <c r="O662" s="184" t="n">
        <v>14690</v>
      </c>
      <c r="P662" s="185" t="n">
        <v>8</v>
      </c>
      <c r="Q662" s="184" t="n">
        <v>16250</v>
      </c>
      <c r="R662" s="184" t="n">
        <v>14950</v>
      </c>
      <c r="S662" s="184" t="s">
        <v>1700</v>
      </c>
      <c r="T662" s="187" t="n">
        <v>45925</v>
      </c>
    </row>
    <row r="663" customFormat="false" ht="35.05" hidden="true" customHeight="false" outlineLevel="0" collapsed="false">
      <c r="A663" s="181" t="s">
        <v>1701</v>
      </c>
      <c r="B663" s="182" t="n">
        <v>1803</v>
      </c>
      <c r="C663" s="183" t="n">
        <v>177</v>
      </c>
      <c r="D663" s="181" t="s">
        <v>1509</v>
      </c>
      <c r="E663" s="181" t="s">
        <v>332</v>
      </c>
      <c r="F663" s="181" t="s">
        <v>333</v>
      </c>
      <c r="G663" s="181" t="s">
        <v>103</v>
      </c>
      <c r="H663" s="181" t="s">
        <v>87</v>
      </c>
      <c r="I663" s="181" t="s">
        <v>229</v>
      </c>
      <c r="J663" s="267"/>
      <c r="K663" s="269" t="n">
        <v>45925</v>
      </c>
      <c r="L663" s="267" t="n">
        <v>1.8</v>
      </c>
      <c r="M663" s="184" t="s">
        <v>103</v>
      </c>
      <c r="N663" s="184" t="n">
        <v>37140</v>
      </c>
      <c r="O663" s="184" t="n">
        <v>14830</v>
      </c>
      <c r="P663" s="185" t="n">
        <v>13</v>
      </c>
      <c r="Q663" s="184" t="n">
        <v>22310</v>
      </c>
      <c r="R663" s="184" t="n">
        <v>19409.7</v>
      </c>
      <c r="S663" s="184" t="s">
        <v>1702</v>
      </c>
      <c r="T663" s="187" t="n">
        <v>45925</v>
      </c>
    </row>
    <row r="664" customFormat="false" ht="46.25" hidden="true" customHeight="false" outlineLevel="0" collapsed="false">
      <c r="A664" s="181" t="s">
        <v>1703</v>
      </c>
      <c r="B664" s="182" t="n">
        <v>1804</v>
      </c>
      <c r="C664" s="183" t="n">
        <v>178</v>
      </c>
      <c r="D664" s="181" t="s">
        <v>1509</v>
      </c>
      <c r="E664" s="181" t="s">
        <v>282</v>
      </c>
      <c r="F664" s="181" t="s">
        <v>283</v>
      </c>
      <c r="G664" s="181" t="s">
        <v>103</v>
      </c>
      <c r="H664" s="181" t="s">
        <v>87</v>
      </c>
      <c r="I664" s="181" t="s">
        <v>229</v>
      </c>
      <c r="J664" s="267"/>
      <c r="K664" s="269" t="n">
        <v>45925</v>
      </c>
      <c r="L664" s="267" t="n">
        <v>1.9</v>
      </c>
      <c r="M664" s="184" t="s">
        <v>103</v>
      </c>
      <c r="N664" s="184" t="n">
        <v>38710</v>
      </c>
      <c r="O664" s="184" t="n">
        <v>15090</v>
      </c>
      <c r="P664" s="185" t="n">
        <v>6</v>
      </c>
      <c r="Q664" s="184" t="n">
        <v>23620</v>
      </c>
      <c r="R664" s="184" t="n">
        <v>22202.8</v>
      </c>
      <c r="S664" s="184" t="s">
        <v>1704</v>
      </c>
      <c r="T664" s="187" t="n">
        <v>45925</v>
      </c>
    </row>
    <row r="665" customFormat="false" ht="23.85" hidden="true" customHeight="false" outlineLevel="0" collapsed="false">
      <c r="A665" s="181" t="s">
        <v>1705</v>
      </c>
      <c r="B665" s="182" t="n">
        <v>1806</v>
      </c>
      <c r="C665" s="183" t="n">
        <v>179</v>
      </c>
      <c r="D665" s="181" t="s">
        <v>1509</v>
      </c>
      <c r="E665" s="181" t="s">
        <v>292</v>
      </c>
      <c r="F665" s="181" t="s">
        <v>293</v>
      </c>
      <c r="G665" s="181" t="s">
        <v>103</v>
      </c>
      <c r="H665" s="181" t="s">
        <v>87</v>
      </c>
      <c r="I665" s="181" t="s">
        <v>229</v>
      </c>
      <c r="J665" s="267"/>
      <c r="K665" s="269" t="n">
        <v>45925</v>
      </c>
      <c r="L665" s="267" t="n">
        <v>1.6</v>
      </c>
      <c r="M665" s="184" t="s">
        <v>103</v>
      </c>
      <c r="N665" s="184" t="n">
        <v>34160</v>
      </c>
      <c r="O665" s="184" t="n">
        <v>13920</v>
      </c>
      <c r="P665" s="185" t="n">
        <v>8</v>
      </c>
      <c r="Q665" s="184" t="n">
        <v>20240</v>
      </c>
      <c r="R665" s="184" t="n">
        <v>18620.8</v>
      </c>
      <c r="S665" s="184" t="s">
        <v>1706</v>
      </c>
      <c r="T665" s="187" t="n">
        <v>45925</v>
      </c>
    </row>
    <row r="666" customFormat="false" ht="46.25" hidden="true" customHeight="false" outlineLevel="0" collapsed="false">
      <c r="A666" s="181" t="s">
        <v>1707</v>
      </c>
      <c r="B666" s="182" t="n">
        <v>1808</v>
      </c>
      <c r="C666" s="183" t="n">
        <v>180</v>
      </c>
      <c r="D666" s="181" t="s">
        <v>1509</v>
      </c>
      <c r="E666" s="181" t="s">
        <v>288</v>
      </c>
      <c r="F666" s="181" t="s">
        <v>289</v>
      </c>
      <c r="G666" s="181" t="s">
        <v>103</v>
      </c>
      <c r="H666" s="181" t="s">
        <v>87</v>
      </c>
      <c r="I666" s="181" t="s">
        <v>229</v>
      </c>
      <c r="J666" s="267"/>
      <c r="K666" s="269" t="n">
        <v>45925</v>
      </c>
      <c r="L666" s="267" t="n">
        <v>1.4</v>
      </c>
      <c r="M666" s="184" t="s">
        <v>103</v>
      </c>
      <c r="N666" s="184" t="n">
        <v>32270</v>
      </c>
      <c r="O666" s="184" t="n">
        <v>14680</v>
      </c>
      <c r="P666" s="185" t="n">
        <v>8</v>
      </c>
      <c r="Q666" s="184" t="n">
        <v>17590</v>
      </c>
      <c r="R666" s="184" t="n">
        <v>16182.8</v>
      </c>
      <c r="S666" s="184" t="s">
        <v>1708</v>
      </c>
      <c r="T666" s="187" t="n">
        <v>45925</v>
      </c>
    </row>
    <row r="667" customFormat="false" ht="35.05" hidden="true" customHeight="false" outlineLevel="0" collapsed="false">
      <c r="A667" s="181" t="s">
        <v>1709</v>
      </c>
      <c r="B667" s="182" t="n">
        <v>1809</v>
      </c>
      <c r="C667" s="183" t="n">
        <v>181</v>
      </c>
      <c r="D667" s="181" t="s">
        <v>1509</v>
      </c>
      <c r="E667" s="181" t="s">
        <v>332</v>
      </c>
      <c r="F667" s="181" t="s">
        <v>333</v>
      </c>
      <c r="G667" s="181" t="s">
        <v>103</v>
      </c>
      <c r="H667" s="181" t="s">
        <v>87</v>
      </c>
      <c r="I667" s="181" t="s">
        <v>229</v>
      </c>
      <c r="J667" s="267"/>
      <c r="K667" s="269" t="n">
        <v>45925</v>
      </c>
      <c r="L667" s="267" t="n">
        <v>1.9</v>
      </c>
      <c r="M667" s="184" t="s">
        <v>103</v>
      </c>
      <c r="N667" s="184" t="n">
        <v>37840</v>
      </c>
      <c r="O667" s="184" t="n">
        <v>14820</v>
      </c>
      <c r="P667" s="185" t="n">
        <v>29</v>
      </c>
      <c r="Q667" s="184" t="n">
        <v>23020</v>
      </c>
      <c r="R667" s="184" t="n">
        <v>16344.2</v>
      </c>
      <c r="S667" s="184" t="s">
        <v>1710</v>
      </c>
      <c r="T667" s="187" t="n">
        <v>45925</v>
      </c>
    </row>
    <row r="668" customFormat="false" ht="46.25" hidden="true" customHeight="false" outlineLevel="0" collapsed="false">
      <c r="A668" s="181" t="s">
        <v>1711</v>
      </c>
      <c r="B668" s="182" t="n">
        <v>1811</v>
      </c>
      <c r="C668" s="183" t="n">
        <v>182</v>
      </c>
      <c r="D668" s="181" t="s">
        <v>1509</v>
      </c>
      <c r="E668" s="181" t="s">
        <v>282</v>
      </c>
      <c r="F668" s="181" t="s">
        <v>283</v>
      </c>
      <c r="G668" s="181" t="s">
        <v>103</v>
      </c>
      <c r="H668" s="181" t="s">
        <v>87</v>
      </c>
      <c r="I668" s="181" t="s">
        <v>229</v>
      </c>
      <c r="J668" s="267"/>
      <c r="K668" s="269" t="n">
        <v>45925</v>
      </c>
      <c r="L668" s="267" t="n">
        <v>1.8</v>
      </c>
      <c r="M668" s="184" t="s">
        <v>103</v>
      </c>
      <c r="N668" s="184" t="n">
        <v>37150</v>
      </c>
      <c r="O668" s="184" t="n">
        <v>15080</v>
      </c>
      <c r="P668" s="185" t="n">
        <v>19</v>
      </c>
      <c r="Q668" s="184" t="n">
        <v>22070</v>
      </c>
      <c r="R668" s="184" t="n">
        <v>17876.7</v>
      </c>
      <c r="S668" s="184" t="s">
        <v>1712</v>
      </c>
      <c r="T668" s="187" t="n">
        <v>45925</v>
      </c>
    </row>
    <row r="669" customFormat="false" ht="23.85" hidden="true" customHeight="false" outlineLevel="0" collapsed="false">
      <c r="A669" s="181" t="s">
        <v>1713</v>
      </c>
      <c r="B669" s="182" t="n">
        <v>1812</v>
      </c>
      <c r="C669" s="183" t="n">
        <v>183</v>
      </c>
      <c r="D669" s="181" t="s">
        <v>1509</v>
      </c>
      <c r="E669" s="181" t="s">
        <v>292</v>
      </c>
      <c r="F669" s="181" t="s">
        <v>293</v>
      </c>
      <c r="G669" s="181" t="s">
        <v>103</v>
      </c>
      <c r="H669" s="181" t="s">
        <v>87</v>
      </c>
      <c r="I669" s="181" t="s">
        <v>229</v>
      </c>
      <c r="J669" s="267"/>
      <c r="K669" s="269" t="n">
        <v>45925</v>
      </c>
      <c r="L669" s="267" t="n">
        <v>1.7</v>
      </c>
      <c r="M669" s="184" t="s">
        <v>103</v>
      </c>
      <c r="N669" s="184" t="n">
        <v>34900</v>
      </c>
      <c r="O669" s="184" t="n">
        <v>13920</v>
      </c>
      <c r="P669" s="185" t="n">
        <v>18</v>
      </c>
      <c r="Q669" s="184" t="n">
        <v>20980</v>
      </c>
      <c r="R669" s="184" t="n">
        <v>17203.6</v>
      </c>
      <c r="S669" s="184" t="s">
        <v>1714</v>
      </c>
      <c r="T669" s="187" t="n">
        <v>45925</v>
      </c>
    </row>
    <row r="670" customFormat="false" ht="46.25" hidden="true" customHeight="false" outlineLevel="0" collapsed="false">
      <c r="A670" s="181" t="s">
        <v>1715</v>
      </c>
      <c r="B670" s="182" t="n">
        <v>1813</v>
      </c>
      <c r="C670" s="183" t="n">
        <v>184</v>
      </c>
      <c r="D670" s="181" t="s">
        <v>1509</v>
      </c>
      <c r="E670" s="181" t="s">
        <v>288</v>
      </c>
      <c r="F670" s="181" t="s">
        <v>289</v>
      </c>
      <c r="G670" s="181" t="s">
        <v>103</v>
      </c>
      <c r="H670" s="181" t="s">
        <v>87</v>
      </c>
      <c r="I670" s="181" t="s">
        <v>229</v>
      </c>
      <c r="J670" s="267"/>
      <c r="K670" s="269" t="n">
        <v>45925</v>
      </c>
      <c r="L670" s="267" t="n">
        <v>1.5</v>
      </c>
      <c r="M670" s="184" t="s">
        <v>103</v>
      </c>
      <c r="N670" s="184" t="n">
        <v>33330</v>
      </c>
      <c r="O670" s="184" t="n">
        <v>14700</v>
      </c>
      <c r="P670" s="185" t="n">
        <v>20</v>
      </c>
      <c r="Q670" s="184" t="n">
        <v>18630</v>
      </c>
      <c r="R670" s="184" t="n">
        <v>14904</v>
      </c>
      <c r="S670" s="184" t="s">
        <v>1716</v>
      </c>
      <c r="T670" s="187" t="n">
        <v>45925</v>
      </c>
    </row>
    <row r="671" customFormat="false" ht="35.05" hidden="true" customHeight="false" outlineLevel="0" collapsed="false">
      <c r="A671" s="181" t="s">
        <v>1717</v>
      </c>
      <c r="B671" s="182" t="n">
        <v>1814</v>
      </c>
      <c r="C671" s="183" t="n">
        <v>185</v>
      </c>
      <c r="D671" s="181" t="s">
        <v>1509</v>
      </c>
      <c r="E671" s="181" t="s">
        <v>332</v>
      </c>
      <c r="F671" s="181" t="s">
        <v>333</v>
      </c>
      <c r="G671" s="181" t="s">
        <v>103</v>
      </c>
      <c r="H671" s="181" t="s">
        <v>87</v>
      </c>
      <c r="I671" s="181" t="s">
        <v>229</v>
      </c>
      <c r="J671" s="267"/>
      <c r="K671" s="269" t="n">
        <v>45925</v>
      </c>
      <c r="L671" s="267" t="n">
        <v>1.7</v>
      </c>
      <c r="M671" s="184" t="s">
        <v>103</v>
      </c>
      <c r="N671" s="184" t="n">
        <v>36210</v>
      </c>
      <c r="O671" s="184" t="n">
        <v>14860</v>
      </c>
      <c r="P671" s="185" t="n">
        <v>30</v>
      </c>
      <c r="Q671" s="184" t="n">
        <v>21350</v>
      </c>
      <c r="R671" s="184" t="n">
        <v>14945</v>
      </c>
      <c r="S671" s="184" t="s">
        <v>1718</v>
      </c>
      <c r="T671" s="187" t="n">
        <v>45926</v>
      </c>
    </row>
    <row r="672" customFormat="false" ht="46.25" hidden="true" customHeight="false" outlineLevel="0" collapsed="false">
      <c r="A672" s="181" t="s">
        <v>1719</v>
      </c>
      <c r="B672" s="182" t="n">
        <v>1815</v>
      </c>
      <c r="C672" s="183" t="n">
        <v>186</v>
      </c>
      <c r="D672" s="181" t="s">
        <v>1509</v>
      </c>
      <c r="E672" s="181" t="s">
        <v>282</v>
      </c>
      <c r="F672" s="181" t="s">
        <v>283</v>
      </c>
      <c r="G672" s="181" t="s">
        <v>103</v>
      </c>
      <c r="H672" s="181" t="s">
        <v>87</v>
      </c>
      <c r="I672" s="181" t="s">
        <v>229</v>
      </c>
      <c r="J672" s="267"/>
      <c r="K672" s="269" t="n">
        <v>45925</v>
      </c>
      <c r="L672" s="267" t="n">
        <v>1.9</v>
      </c>
      <c r="M672" s="184" t="s">
        <v>103</v>
      </c>
      <c r="N672" s="184" t="n">
        <v>38190</v>
      </c>
      <c r="O672" s="184" t="n">
        <v>15160</v>
      </c>
      <c r="P672" s="185" t="n">
        <v>18</v>
      </c>
      <c r="Q672" s="184" t="n">
        <v>23030</v>
      </c>
      <c r="R672" s="184" t="n">
        <v>18884.6</v>
      </c>
      <c r="S672" s="184" t="s">
        <v>1720</v>
      </c>
      <c r="T672" s="187" t="n">
        <v>45926</v>
      </c>
    </row>
    <row r="673" customFormat="false" ht="35.05" hidden="true" customHeight="false" outlineLevel="0" collapsed="false">
      <c r="A673" s="181" t="s">
        <v>1721</v>
      </c>
      <c r="B673" s="182" t="n">
        <v>1819</v>
      </c>
      <c r="C673" s="183" t="n">
        <v>187</v>
      </c>
      <c r="D673" s="181" t="s">
        <v>1509</v>
      </c>
      <c r="E673" s="181" t="s">
        <v>261</v>
      </c>
      <c r="F673" s="181" t="s">
        <v>262</v>
      </c>
      <c r="G673" s="181" t="s">
        <v>103</v>
      </c>
      <c r="H673" s="181" t="s">
        <v>87</v>
      </c>
      <c r="I673" s="181" t="s">
        <v>229</v>
      </c>
      <c r="J673" s="267"/>
      <c r="K673" s="269" t="n">
        <v>45926</v>
      </c>
      <c r="L673" s="267" t="n">
        <v>1.6</v>
      </c>
      <c r="M673" s="184" t="s">
        <v>103</v>
      </c>
      <c r="N673" s="184" t="n">
        <v>36530</v>
      </c>
      <c r="O673" s="184" t="n">
        <v>15110</v>
      </c>
      <c r="P673" s="185" t="n">
        <v>15</v>
      </c>
      <c r="Q673" s="184" t="n">
        <v>21420</v>
      </c>
      <c r="R673" s="184" t="n">
        <v>18207</v>
      </c>
      <c r="S673" s="184" t="s">
        <v>1722</v>
      </c>
      <c r="T673" s="187" t="n">
        <v>45926</v>
      </c>
    </row>
    <row r="674" customFormat="false" ht="35.05" hidden="true" customHeight="false" outlineLevel="0" collapsed="false">
      <c r="A674" s="181" t="s">
        <v>1723</v>
      </c>
      <c r="B674" s="182" t="n">
        <v>1823</v>
      </c>
      <c r="C674" s="183" t="n">
        <v>188</v>
      </c>
      <c r="D674" s="181" t="s">
        <v>1509</v>
      </c>
      <c r="E674" s="181" t="s">
        <v>277</v>
      </c>
      <c r="F674" s="181" t="s">
        <v>278</v>
      </c>
      <c r="G674" s="181" t="s">
        <v>103</v>
      </c>
      <c r="H674" s="181" t="s">
        <v>87</v>
      </c>
      <c r="I674" s="181" t="s">
        <v>229</v>
      </c>
      <c r="J674" s="267"/>
      <c r="K674" s="269" t="n">
        <v>45926</v>
      </c>
      <c r="L674" s="267" t="n">
        <v>1.7</v>
      </c>
      <c r="M674" s="184" t="s">
        <v>103</v>
      </c>
      <c r="N674" s="184" t="n">
        <v>37710</v>
      </c>
      <c r="O674" s="184" t="n">
        <v>15140</v>
      </c>
      <c r="P674" s="185" t="n">
        <v>17</v>
      </c>
      <c r="Q674" s="184" t="n">
        <v>22570</v>
      </c>
      <c r="R674" s="184" t="n">
        <v>18733.1</v>
      </c>
      <c r="S674" s="184" t="s">
        <v>1724</v>
      </c>
      <c r="T674" s="187" t="n">
        <v>45926</v>
      </c>
    </row>
    <row r="675" customFormat="false" ht="23.85" hidden="true" customHeight="false" outlineLevel="0" collapsed="false">
      <c r="A675" s="181" t="s">
        <v>1725</v>
      </c>
      <c r="B675" s="182" t="n">
        <v>1824</v>
      </c>
      <c r="C675" s="183" t="n">
        <v>189</v>
      </c>
      <c r="D675" s="181" t="s">
        <v>1509</v>
      </c>
      <c r="E675" s="181" t="s">
        <v>272</v>
      </c>
      <c r="F675" s="181" t="s">
        <v>273</v>
      </c>
      <c r="G675" s="181" t="s">
        <v>103</v>
      </c>
      <c r="H675" s="181" t="s">
        <v>87</v>
      </c>
      <c r="I675" s="181" t="s">
        <v>229</v>
      </c>
      <c r="J675" s="267"/>
      <c r="K675" s="269" t="n">
        <v>45926</v>
      </c>
      <c r="L675" s="267" t="n">
        <v>1.9</v>
      </c>
      <c r="M675" s="184" t="s">
        <v>103</v>
      </c>
      <c r="N675" s="184" t="n">
        <v>38000</v>
      </c>
      <c r="O675" s="184" t="n">
        <v>15760</v>
      </c>
      <c r="P675" s="185" t="n">
        <v>16</v>
      </c>
      <c r="Q675" s="184" t="n">
        <v>22240</v>
      </c>
      <c r="R675" s="184" t="n">
        <v>18681.6</v>
      </c>
      <c r="S675" s="184" t="s">
        <v>1726</v>
      </c>
      <c r="T675" s="187" t="n">
        <v>45926</v>
      </c>
    </row>
    <row r="676" customFormat="false" ht="35.05" hidden="true" customHeight="false" outlineLevel="0" collapsed="false">
      <c r="A676" s="181" t="s">
        <v>1727</v>
      </c>
      <c r="B676" s="182" t="n">
        <v>1825</v>
      </c>
      <c r="C676" s="183" t="n">
        <v>190</v>
      </c>
      <c r="D676" s="181" t="s">
        <v>1509</v>
      </c>
      <c r="E676" s="181" t="s">
        <v>576</v>
      </c>
      <c r="F676" s="181" t="s">
        <v>577</v>
      </c>
      <c r="G676" s="181" t="s">
        <v>103</v>
      </c>
      <c r="H676" s="181" t="s">
        <v>279</v>
      </c>
      <c r="I676" s="181" t="s">
        <v>229</v>
      </c>
      <c r="J676" s="267"/>
      <c r="K676" s="269" t="n">
        <v>45926</v>
      </c>
      <c r="L676" s="267" t="n">
        <v>1.4</v>
      </c>
      <c r="M676" s="184" t="s">
        <v>103</v>
      </c>
      <c r="N676" s="184" t="n">
        <v>34460</v>
      </c>
      <c r="O676" s="184" t="n">
        <v>14560</v>
      </c>
      <c r="P676" s="185" t="n">
        <v>15</v>
      </c>
      <c r="Q676" s="184" t="n">
        <v>19900</v>
      </c>
      <c r="R676" s="184" t="n">
        <v>16915</v>
      </c>
      <c r="S676" s="184" t="s">
        <v>1728</v>
      </c>
      <c r="T676" s="187" t="n">
        <v>45926</v>
      </c>
    </row>
    <row r="677" customFormat="false" ht="35.05" hidden="true" customHeight="false" outlineLevel="0" collapsed="false">
      <c r="A677" s="181" t="s">
        <v>1729</v>
      </c>
      <c r="B677" s="182" t="n">
        <v>1827</v>
      </c>
      <c r="C677" s="183" t="n">
        <v>191</v>
      </c>
      <c r="D677" s="181" t="s">
        <v>1509</v>
      </c>
      <c r="E677" s="181" t="s">
        <v>261</v>
      </c>
      <c r="F677" s="181" t="s">
        <v>262</v>
      </c>
      <c r="G677" s="181" t="s">
        <v>103</v>
      </c>
      <c r="H677" s="181" t="s">
        <v>279</v>
      </c>
      <c r="I677" s="181" t="s">
        <v>229</v>
      </c>
      <c r="J677" s="267"/>
      <c r="K677" s="269" t="n">
        <v>45926</v>
      </c>
      <c r="L677" s="267" t="n">
        <v>1.4</v>
      </c>
      <c r="M677" s="184" t="s">
        <v>103</v>
      </c>
      <c r="N677" s="184" t="n">
        <v>34560</v>
      </c>
      <c r="O677" s="184" t="n">
        <v>15070</v>
      </c>
      <c r="P677" s="185" t="n">
        <v>15</v>
      </c>
      <c r="Q677" s="184" t="n">
        <v>19490</v>
      </c>
      <c r="R677" s="184" t="n">
        <v>16566.5</v>
      </c>
      <c r="S677" s="184" t="s">
        <v>1730</v>
      </c>
      <c r="T677" s="187" t="n">
        <v>45926</v>
      </c>
    </row>
    <row r="678" customFormat="false" ht="35.05" hidden="true" customHeight="false" outlineLevel="0" collapsed="false">
      <c r="A678" s="181" t="s">
        <v>1731</v>
      </c>
      <c r="B678" s="182" t="n">
        <v>1829</v>
      </c>
      <c r="C678" s="183" t="n">
        <v>192</v>
      </c>
      <c r="D678" s="181" t="s">
        <v>1509</v>
      </c>
      <c r="E678" s="181" t="s">
        <v>277</v>
      </c>
      <c r="F678" s="181" t="s">
        <v>278</v>
      </c>
      <c r="G678" s="181" t="s">
        <v>103</v>
      </c>
      <c r="H678" s="181" t="s">
        <v>279</v>
      </c>
      <c r="I678" s="181" t="s">
        <v>229</v>
      </c>
      <c r="J678" s="267"/>
      <c r="K678" s="269" t="n">
        <v>45926</v>
      </c>
      <c r="L678" s="267" t="n">
        <v>1.8</v>
      </c>
      <c r="M678" s="184" t="s">
        <v>103</v>
      </c>
      <c r="N678" s="184" t="n">
        <v>39260</v>
      </c>
      <c r="O678" s="184" t="n">
        <v>15130</v>
      </c>
      <c r="P678" s="185" t="n">
        <v>13</v>
      </c>
      <c r="Q678" s="184" t="n">
        <v>24130</v>
      </c>
      <c r="R678" s="184" t="n">
        <v>20993.1</v>
      </c>
      <c r="S678" s="184" t="s">
        <v>1732</v>
      </c>
      <c r="T678" s="187" t="n">
        <v>45926</v>
      </c>
    </row>
    <row r="679" customFormat="false" ht="23.85" hidden="true" customHeight="false" outlineLevel="0" collapsed="false">
      <c r="A679" s="181" t="s">
        <v>1733</v>
      </c>
      <c r="B679" s="182" t="n">
        <v>1830</v>
      </c>
      <c r="C679" s="183" t="n">
        <v>193</v>
      </c>
      <c r="D679" s="181" t="s">
        <v>1509</v>
      </c>
      <c r="E679" s="181" t="s">
        <v>272</v>
      </c>
      <c r="F679" s="181" t="s">
        <v>273</v>
      </c>
      <c r="G679" s="181" t="s">
        <v>103</v>
      </c>
      <c r="H679" s="181" t="s">
        <v>279</v>
      </c>
      <c r="I679" s="181" t="s">
        <v>229</v>
      </c>
      <c r="J679" s="267"/>
      <c r="K679" s="269" t="n">
        <v>45926</v>
      </c>
      <c r="L679" s="267" t="n">
        <v>1.4</v>
      </c>
      <c r="M679" s="184" t="s">
        <v>103</v>
      </c>
      <c r="N679" s="184" t="n">
        <v>35360</v>
      </c>
      <c r="O679" s="184" t="n">
        <v>15750</v>
      </c>
      <c r="P679" s="185" t="n">
        <v>26</v>
      </c>
      <c r="Q679" s="184" t="n">
        <v>19610</v>
      </c>
      <c r="R679" s="184" t="n">
        <v>14511.4</v>
      </c>
      <c r="S679" s="184" t="s">
        <v>1734</v>
      </c>
      <c r="T679" s="187" t="n">
        <v>45926</v>
      </c>
    </row>
    <row r="680" customFormat="false" ht="35.05" hidden="true" customHeight="false" outlineLevel="0" collapsed="false">
      <c r="A680" s="181" t="s">
        <v>1735</v>
      </c>
      <c r="B680" s="182" t="n">
        <v>1831</v>
      </c>
      <c r="C680" s="183" t="n">
        <v>194</v>
      </c>
      <c r="D680" s="181" t="s">
        <v>1509</v>
      </c>
      <c r="E680" s="181" t="s">
        <v>576</v>
      </c>
      <c r="F680" s="181" t="s">
        <v>577</v>
      </c>
      <c r="G680" s="181" t="s">
        <v>103</v>
      </c>
      <c r="H680" s="181" t="s">
        <v>279</v>
      </c>
      <c r="I680" s="181" t="s">
        <v>229</v>
      </c>
      <c r="J680" s="267"/>
      <c r="K680" s="269" t="n">
        <v>45926</v>
      </c>
      <c r="L680" s="267" t="n">
        <v>1.6</v>
      </c>
      <c r="M680" s="184" t="s">
        <v>103</v>
      </c>
      <c r="N680" s="184" t="n">
        <v>37220</v>
      </c>
      <c r="O680" s="184" t="n">
        <v>14540</v>
      </c>
      <c r="P680" s="185" t="n">
        <v>19</v>
      </c>
      <c r="Q680" s="184" t="n">
        <v>22680</v>
      </c>
      <c r="R680" s="184" t="n">
        <v>18370.8</v>
      </c>
      <c r="S680" s="184" t="s">
        <v>1736</v>
      </c>
      <c r="T680" s="187" t="n">
        <v>45926</v>
      </c>
    </row>
    <row r="681" customFormat="false" ht="35.05" hidden="true" customHeight="false" outlineLevel="0" collapsed="false">
      <c r="A681" s="181" t="s">
        <v>1737</v>
      </c>
      <c r="B681" s="182" t="n">
        <v>1832</v>
      </c>
      <c r="C681" s="183" t="n">
        <v>195</v>
      </c>
      <c r="D681" s="181" t="s">
        <v>1509</v>
      </c>
      <c r="E681" s="181" t="s">
        <v>261</v>
      </c>
      <c r="F681" s="181" t="s">
        <v>262</v>
      </c>
      <c r="G681" s="181" t="s">
        <v>103</v>
      </c>
      <c r="H681" s="181" t="s">
        <v>279</v>
      </c>
      <c r="I681" s="181" t="s">
        <v>229</v>
      </c>
      <c r="J681" s="267"/>
      <c r="K681" s="269" t="n">
        <v>45926</v>
      </c>
      <c r="L681" s="267" t="n">
        <v>1.5</v>
      </c>
      <c r="M681" s="184" t="s">
        <v>103</v>
      </c>
      <c r="N681" s="184" t="n">
        <v>35380</v>
      </c>
      <c r="O681" s="184" t="n">
        <v>15060</v>
      </c>
      <c r="P681" s="185" t="n">
        <v>16</v>
      </c>
      <c r="Q681" s="184" t="n">
        <v>20320</v>
      </c>
      <c r="R681" s="184" t="n">
        <v>17068.8</v>
      </c>
      <c r="S681" s="184" t="s">
        <v>1738</v>
      </c>
      <c r="T681" s="187" t="n">
        <v>45926</v>
      </c>
    </row>
    <row r="682" customFormat="false" ht="35.05" hidden="true" customHeight="false" outlineLevel="0" collapsed="false">
      <c r="A682" s="181" t="s">
        <v>1739</v>
      </c>
      <c r="B682" s="182" t="n">
        <v>1833</v>
      </c>
      <c r="C682" s="183" t="n">
        <v>196</v>
      </c>
      <c r="D682" s="181" t="s">
        <v>1509</v>
      </c>
      <c r="E682" s="181" t="s">
        <v>277</v>
      </c>
      <c r="F682" s="181" t="s">
        <v>278</v>
      </c>
      <c r="G682" s="181" t="s">
        <v>103</v>
      </c>
      <c r="H682" s="181" t="s">
        <v>279</v>
      </c>
      <c r="I682" s="181" t="s">
        <v>229</v>
      </c>
      <c r="J682" s="267"/>
      <c r="K682" s="269" t="n">
        <v>45926</v>
      </c>
      <c r="L682" s="267" t="n">
        <v>1.7</v>
      </c>
      <c r="M682" s="184" t="s">
        <v>103</v>
      </c>
      <c r="N682" s="184" t="n">
        <v>38820</v>
      </c>
      <c r="O682" s="184" t="n">
        <v>15110</v>
      </c>
      <c r="P682" s="185" t="n">
        <v>9</v>
      </c>
      <c r="Q682" s="184" t="n">
        <v>23710</v>
      </c>
      <c r="R682" s="184" t="n">
        <v>21576.1</v>
      </c>
      <c r="S682" s="184" t="s">
        <v>1740</v>
      </c>
      <c r="T682" s="187" t="n">
        <v>45926</v>
      </c>
    </row>
    <row r="683" customFormat="false" ht="23.85" hidden="true" customHeight="false" outlineLevel="0" collapsed="false">
      <c r="A683" s="181" t="s">
        <v>1741</v>
      </c>
      <c r="B683" s="182" t="n">
        <v>1834</v>
      </c>
      <c r="C683" s="183" t="n">
        <v>197</v>
      </c>
      <c r="D683" s="181" t="s">
        <v>1509</v>
      </c>
      <c r="E683" s="181" t="s">
        <v>272</v>
      </c>
      <c r="F683" s="181" t="s">
        <v>273</v>
      </c>
      <c r="G683" s="181" t="s">
        <v>103</v>
      </c>
      <c r="H683" s="181" t="s">
        <v>279</v>
      </c>
      <c r="I683" s="181" t="s">
        <v>229</v>
      </c>
      <c r="J683" s="267"/>
      <c r="K683" s="269" t="n">
        <v>45926</v>
      </c>
      <c r="L683" s="267" t="n">
        <v>1.7</v>
      </c>
      <c r="M683" s="184" t="s">
        <v>103</v>
      </c>
      <c r="N683" s="184" t="n">
        <v>39130</v>
      </c>
      <c r="O683" s="184" t="n">
        <v>15730</v>
      </c>
      <c r="P683" s="185" t="n">
        <v>10</v>
      </c>
      <c r="Q683" s="184" t="n">
        <v>23400</v>
      </c>
      <c r="R683" s="184" t="n">
        <v>21060</v>
      </c>
      <c r="S683" s="184" t="s">
        <v>1742</v>
      </c>
      <c r="T683" s="187" t="n">
        <v>45926</v>
      </c>
    </row>
    <row r="684" customFormat="false" ht="35.05" hidden="true" customHeight="false" outlineLevel="0" collapsed="false">
      <c r="A684" s="181" t="s">
        <v>1743</v>
      </c>
      <c r="B684" s="182" t="n">
        <v>1835</v>
      </c>
      <c r="C684" s="183" t="n">
        <v>198</v>
      </c>
      <c r="D684" s="181" t="s">
        <v>1509</v>
      </c>
      <c r="E684" s="181" t="s">
        <v>576</v>
      </c>
      <c r="F684" s="181" t="s">
        <v>577</v>
      </c>
      <c r="G684" s="181" t="s">
        <v>103</v>
      </c>
      <c r="H684" s="181" t="s">
        <v>279</v>
      </c>
      <c r="I684" s="181" t="s">
        <v>229</v>
      </c>
      <c r="J684" s="267"/>
      <c r="K684" s="269" t="n">
        <v>45926</v>
      </c>
      <c r="L684" s="267" t="n">
        <v>1.6</v>
      </c>
      <c r="M684" s="184" t="s">
        <v>103</v>
      </c>
      <c r="N684" s="184" t="n">
        <v>36560</v>
      </c>
      <c r="O684" s="184" t="n">
        <v>14530</v>
      </c>
      <c r="P684" s="185" t="n">
        <v>6</v>
      </c>
      <c r="Q684" s="184" t="n">
        <v>22030</v>
      </c>
      <c r="R684" s="184" t="n">
        <v>20708.2</v>
      </c>
      <c r="S684" s="184" t="s">
        <v>1744</v>
      </c>
      <c r="T684" s="187" t="n">
        <v>45926</v>
      </c>
    </row>
    <row r="685" customFormat="false" ht="35.05" hidden="true" customHeight="false" outlineLevel="0" collapsed="false">
      <c r="A685" s="181" t="s">
        <v>1745</v>
      </c>
      <c r="B685" s="182" t="n">
        <v>1837</v>
      </c>
      <c r="C685" s="183" t="n">
        <v>199</v>
      </c>
      <c r="D685" s="181" t="s">
        <v>1509</v>
      </c>
      <c r="E685" s="181" t="s">
        <v>261</v>
      </c>
      <c r="F685" s="181" t="s">
        <v>262</v>
      </c>
      <c r="G685" s="181" t="s">
        <v>103</v>
      </c>
      <c r="H685" s="181" t="s">
        <v>279</v>
      </c>
      <c r="I685" s="181" t="s">
        <v>229</v>
      </c>
      <c r="J685" s="267"/>
      <c r="K685" s="269" t="n">
        <v>45926</v>
      </c>
      <c r="L685" s="267" t="n">
        <v>1.4</v>
      </c>
      <c r="M685" s="184" t="s">
        <v>103</v>
      </c>
      <c r="N685" s="184" t="n">
        <v>34850</v>
      </c>
      <c r="O685" s="184" t="n">
        <v>15040</v>
      </c>
      <c r="P685" s="185" t="n">
        <v>17</v>
      </c>
      <c r="Q685" s="184" t="n">
        <v>19810</v>
      </c>
      <c r="R685" s="184" t="n">
        <v>16442.3</v>
      </c>
      <c r="S685" s="184" t="s">
        <v>1746</v>
      </c>
      <c r="T685" s="187" t="n">
        <v>45926</v>
      </c>
    </row>
    <row r="686" customFormat="false" ht="35.05" hidden="true" customHeight="false" outlineLevel="0" collapsed="false">
      <c r="A686" s="181" t="s">
        <v>1747</v>
      </c>
      <c r="B686" s="182" t="n">
        <v>1839</v>
      </c>
      <c r="C686" s="183" t="n">
        <v>200</v>
      </c>
      <c r="D686" s="181" t="s">
        <v>1509</v>
      </c>
      <c r="E686" s="181" t="s">
        <v>277</v>
      </c>
      <c r="F686" s="181" t="s">
        <v>278</v>
      </c>
      <c r="G686" s="181" t="s">
        <v>103</v>
      </c>
      <c r="H686" s="181" t="s">
        <v>279</v>
      </c>
      <c r="I686" s="181" t="s">
        <v>229</v>
      </c>
      <c r="J686" s="267"/>
      <c r="K686" s="269" t="n">
        <v>45926</v>
      </c>
      <c r="L686" s="267" t="n">
        <v>1.7</v>
      </c>
      <c r="M686" s="184" t="s">
        <v>103</v>
      </c>
      <c r="N686" s="184" t="n">
        <v>38420</v>
      </c>
      <c r="O686" s="184" t="n">
        <v>15180</v>
      </c>
      <c r="P686" s="185" t="n">
        <v>12</v>
      </c>
      <c r="Q686" s="184" t="n">
        <v>23240</v>
      </c>
      <c r="R686" s="184" t="n">
        <v>20451.2</v>
      </c>
      <c r="S686" s="184" t="s">
        <v>1748</v>
      </c>
      <c r="T686" s="187" t="n">
        <v>45926</v>
      </c>
    </row>
    <row r="687" customFormat="false" ht="23.85" hidden="true" customHeight="false" outlineLevel="0" collapsed="false">
      <c r="A687" s="181" t="s">
        <v>1749</v>
      </c>
      <c r="B687" s="182" t="n">
        <v>1840</v>
      </c>
      <c r="C687" s="183" t="n">
        <v>201</v>
      </c>
      <c r="D687" s="181" t="s">
        <v>1509</v>
      </c>
      <c r="E687" s="181" t="s">
        <v>272</v>
      </c>
      <c r="F687" s="181" t="s">
        <v>273</v>
      </c>
      <c r="G687" s="181" t="s">
        <v>103</v>
      </c>
      <c r="H687" s="181" t="s">
        <v>279</v>
      </c>
      <c r="I687" s="181" t="s">
        <v>229</v>
      </c>
      <c r="J687" s="267"/>
      <c r="K687" s="269" t="n">
        <v>45926</v>
      </c>
      <c r="L687" s="267" t="n">
        <v>1.7</v>
      </c>
      <c r="M687" s="184" t="s">
        <v>103</v>
      </c>
      <c r="N687" s="184" t="n">
        <v>38790</v>
      </c>
      <c r="O687" s="184" t="n">
        <v>15750</v>
      </c>
      <c r="P687" s="185" t="n">
        <v>6</v>
      </c>
      <c r="Q687" s="184" t="n">
        <v>23040</v>
      </c>
      <c r="R687" s="184" t="n">
        <v>21657.6</v>
      </c>
      <c r="S687" s="184" t="s">
        <v>1750</v>
      </c>
      <c r="T687" s="187" t="n">
        <v>45926</v>
      </c>
    </row>
    <row r="688" customFormat="false" ht="35.05" hidden="true" customHeight="false" outlineLevel="0" collapsed="false">
      <c r="A688" s="181" t="s">
        <v>1751</v>
      </c>
      <c r="B688" s="182" t="n">
        <v>1841</v>
      </c>
      <c r="C688" s="183" t="n">
        <v>202</v>
      </c>
      <c r="D688" s="181" t="s">
        <v>1509</v>
      </c>
      <c r="E688" s="181" t="s">
        <v>576</v>
      </c>
      <c r="F688" s="181" t="s">
        <v>577</v>
      </c>
      <c r="G688" s="181" t="s">
        <v>103</v>
      </c>
      <c r="H688" s="181" t="s">
        <v>279</v>
      </c>
      <c r="I688" s="181" t="s">
        <v>229</v>
      </c>
      <c r="J688" s="267"/>
      <c r="K688" s="269" t="n">
        <v>45926</v>
      </c>
      <c r="L688" s="267" t="n">
        <v>1.6</v>
      </c>
      <c r="M688" s="184" t="s">
        <v>103</v>
      </c>
      <c r="N688" s="184" t="n">
        <v>36040</v>
      </c>
      <c r="O688" s="184" t="n">
        <v>14510</v>
      </c>
      <c r="P688" s="185" t="n">
        <v>12</v>
      </c>
      <c r="Q688" s="184" t="n">
        <v>21530</v>
      </c>
      <c r="R688" s="184" t="n">
        <v>18946.4</v>
      </c>
      <c r="S688" s="184" t="s">
        <v>1752</v>
      </c>
      <c r="T688" s="187" t="n">
        <v>45926</v>
      </c>
    </row>
    <row r="689" customFormat="false" ht="35.05" hidden="true" customHeight="false" outlineLevel="0" collapsed="false">
      <c r="A689" s="181" t="s">
        <v>1753</v>
      </c>
      <c r="B689" s="182" t="n">
        <v>1842</v>
      </c>
      <c r="C689" s="183" t="n">
        <v>203</v>
      </c>
      <c r="D689" s="181" t="s">
        <v>1509</v>
      </c>
      <c r="E689" s="181" t="s">
        <v>261</v>
      </c>
      <c r="F689" s="181" t="s">
        <v>262</v>
      </c>
      <c r="G689" s="181" t="s">
        <v>103</v>
      </c>
      <c r="H689" s="181" t="s">
        <v>279</v>
      </c>
      <c r="I689" s="181" t="s">
        <v>229</v>
      </c>
      <c r="J689" s="267"/>
      <c r="K689" s="269" t="n">
        <v>45926</v>
      </c>
      <c r="L689" s="267" t="n">
        <v>1.6</v>
      </c>
      <c r="M689" s="184" t="s">
        <v>103</v>
      </c>
      <c r="N689" s="184" t="n">
        <v>36800</v>
      </c>
      <c r="O689" s="184" t="n">
        <v>15070</v>
      </c>
      <c r="P689" s="185" t="n">
        <v>7</v>
      </c>
      <c r="Q689" s="184" t="n">
        <v>21730</v>
      </c>
      <c r="R689" s="184" t="n">
        <v>20208.9</v>
      </c>
      <c r="S689" s="184" t="s">
        <v>1754</v>
      </c>
      <c r="T689" s="187" t="n">
        <v>45926</v>
      </c>
    </row>
    <row r="690" customFormat="false" ht="35.05" hidden="true" customHeight="false" outlineLevel="0" collapsed="false">
      <c r="A690" s="181" t="s">
        <v>1755</v>
      </c>
      <c r="B690" s="182" t="n">
        <v>1843</v>
      </c>
      <c r="C690" s="183" t="n">
        <v>204</v>
      </c>
      <c r="D690" s="181" t="s">
        <v>1509</v>
      </c>
      <c r="E690" s="181" t="s">
        <v>277</v>
      </c>
      <c r="F690" s="181" t="s">
        <v>278</v>
      </c>
      <c r="G690" s="181" t="s">
        <v>103</v>
      </c>
      <c r="H690" s="181" t="s">
        <v>279</v>
      </c>
      <c r="I690" s="181" t="s">
        <v>229</v>
      </c>
      <c r="J690" s="267"/>
      <c r="K690" s="269" t="n">
        <v>45926</v>
      </c>
      <c r="L690" s="267" t="n">
        <v>1.7</v>
      </c>
      <c r="M690" s="184" t="s">
        <v>103</v>
      </c>
      <c r="N690" s="184" t="n">
        <v>39100</v>
      </c>
      <c r="O690" s="184" t="n">
        <v>15090</v>
      </c>
      <c r="P690" s="185" t="n">
        <v>8</v>
      </c>
      <c r="Q690" s="184" t="n">
        <v>24010</v>
      </c>
      <c r="R690" s="184" t="n">
        <v>22089.2</v>
      </c>
      <c r="S690" s="184" t="s">
        <v>1756</v>
      </c>
      <c r="T690" s="187" t="n">
        <v>45927</v>
      </c>
    </row>
    <row r="691" customFormat="false" ht="23.85" hidden="true" customHeight="false" outlineLevel="0" collapsed="false">
      <c r="A691" s="181" t="s">
        <v>1757</v>
      </c>
      <c r="B691" s="182" t="n">
        <v>1846</v>
      </c>
      <c r="C691" s="183" t="n">
        <v>205</v>
      </c>
      <c r="D691" s="181" t="s">
        <v>1509</v>
      </c>
      <c r="E691" s="181" t="s">
        <v>272</v>
      </c>
      <c r="F691" s="181" t="s">
        <v>273</v>
      </c>
      <c r="G691" s="181" t="s">
        <v>103</v>
      </c>
      <c r="H691" s="181" t="s">
        <v>279</v>
      </c>
      <c r="I691" s="181" t="s">
        <v>229</v>
      </c>
      <c r="J691" s="267"/>
      <c r="K691" s="269" t="n">
        <v>45926</v>
      </c>
      <c r="L691" s="267" t="n">
        <v>1.6</v>
      </c>
      <c r="M691" s="184" t="s">
        <v>103</v>
      </c>
      <c r="N691" s="184" t="n">
        <v>37920</v>
      </c>
      <c r="O691" s="184" t="n">
        <v>15720</v>
      </c>
      <c r="P691" s="185" t="n">
        <v>11</v>
      </c>
      <c r="Q691" s="184" t="n">
        <v>22200</v>
      </c>
      <c r="R691" s="184" t="n">
        <v>19758</v>
      </c>
      <c r="S691" s="184" t="s">
        <v>1758</v>
      </c>
      <c r="T691" s="187" t="n">
        <v>45927</v>
      </c>
    </row>
    <row r="692" customFormat="false" ht="35.05" hidden="true" customHeight="false" outlineLevel="0" collapsed="false">
      <c r="A692" s="181" t="s">
        <v>1759</v>
      </c>
      <c r="B692" s="182" t="n">
        <v>1847</v>
      </c>
      <c r="C692" s="183" t="n">
        <v>206</v>
      </c>
      <c r="D692" s="181" t="s">
        <v>1509</v>
      </c>
      <c r="E692" s="181" t="s">
        <v>576</v>
      </c>
      <c r="F692" s="181" t="s">
        <v>577</v>
      </c>
      <c r="G692" s="181" t="s">
        <v>103</v>
      </c>
      <c r="H692" s="181" t="s">
        <v>279</v>
      </c>
      <c r="I692" s="181" t="s">
        <v>229</v>
      </c>
      <c r="J692" s="267"/>
      <c r="K692" s="269" t="n">
        <v>45926</v>
      </c>
      <c r="L692" s="267" t="n">
        <v>1.6</v>
      </c>
      <c r="M692" s="184" t="s">
        <v>103</v>
      </c>
      <c r="N692" s="184" t="n">
        <v>37070</v>
      </c>
      <c r="O692" s="184" t="n">
        <v>14510</v>
      </c>
      <c r="P692" s="185" t="n">
        <v>8</v>
      </c>
      <c r="Q692" s="184" t="n">
        <v>22560</v>
      </c>
      <c r="R692" s="184" t="n">
        <v>20755.2</v>
      </c>
      <c r="S692" s="184" t="s">
        <v>1760</v>
      </c>
      <c r="T692" s="187" t="n">
        <v>45927</v>
      </c>
    </row>
    <row r="693" customFormat="false" ht="35.05" hidden="true" customHeight="false" outlineLevel="0" collapsed="false">
      <c r="A693" s="181" t="s">
        <v>1761</v>
      </c>
      <c r="B693" s="182" t="n">
        <v>1848</v>
      </c>
      <c r="C693" s="183" t="n">
        <v>207</v>
      </c>
      <c r="D693" s="181" t="s">
        <v>1509</v>
      </c>
      <c r="E693" s="181" t="s">
        <v>261</v>
      </c>
      <c r="F693" s="181" t="s">
        <v>262</v>
      </c>
      <c r="G693" s="181" t="s">
        <v>103</v>
      </c>
      <c r="H693" s="181" t="s">
        <v>279</v>
      </c>
      <c r="I693" s="181" t="s">
        <v>229</v>
      </c>
      <c r="J693" s="267"/>
      <c r="K693" s="269" t="n">
        <v>45926</v>
      </c>
      <c r="L693" s="267" t="n">
        <v>1.6</v>
      </c>
      <c r="M693" s="184" t="s">
        <v>103</v>
      </c>
      <c r="N693" s="184" t="n">
        <v>36570</v>
      </c>
      <c r="O693" s="184" t="n">
        <v>15050</v>
      </c>
      <c r="P693" s="185" t="n">
        <v>10</v>
      </c>
      <c r="Q693" s="184" t="n">
        <v>21520</v>
      </c>
      <c r="R693" s="184" t="n">
        <v>19368</v>
      </c>
      <c r="S693" s="184" t="s">
        <v>1762</v>
      </c>
      <c r="T693" s="187" t="n">
        <v>45927</v>
      </c>
    </row>
    <row r="694" customFormat="false" ht="23.85" hidden="true" customHeight="false" outlineLevel="0" collapsed="false">
      <c r="A694" s="181" t="s">
        <v>1763</v>
      </c>
      <c r="B694" s="182" t="n">
        <v>1849</v>
      </c>
      <c r="C694" s="183" t="n">
        <v>208</v>
      </c>
      <c r="D694" s="181" t="s">
        <v>1509</v>
      </c>
      <c r="E694" s="181" t="s">
        <v>272</v>
      </c>
      <c r="F694" s="181" t="s">
        <v>273</v>
      </c>
      <c r="G694" s="181" t="s">
        <v>103</v>
      </c>
      <c r="H694" s="181" t="s">
        <v>279</v>
      </c>
      <c r="I694" s="181" t="s">
        <v>229</v>
      </c>
      <c r="J694" s="267"/>
      <c r="K694" s="269" t="n">
        <v>45926</v>
      </c>
      <c r="L694" s="267" t="n">
        <v>1.7</v>
      </c>
      <c r="M694" s="184" t="s">
        <v>103</v>
      </c>
      <c r="N694" s="184" t="n">
        <v>39150</v>
      </c>
      <c r="O694" s="184" t="n">
        <v>15720</v>
      </c>
      <c r="P694" s="185" t="n">
        <v>9</v>
      </c>
      <c r="Q694" s="184" t="n">
        <v>23430</v>
      </c>
      <c r="R694" s="184" t="n">
        <v>21321.3</v>
      </c>
      <c r="S694" s="184" t="s">
        <v>1764</v>
      </c>
      <c r="T694" s="187" t="n">
        <v>45927</v>
      </c>
    </row>
    <row r="695" customFormat="false" ht="35.05" hidden="true" customHeight="false" outlineLevel="0" collapsed="false">
      <c r="A695" s="181" t="s">
        <v>1765</v>
      </c>
      <c r="B695" s="182" t="n">
        <v>1850</v>
      </c>
      <c r="C695" s="183" t="n">
        <v>209</v>
      </c>
      <c r="D695" s="181" t="s">
        <v>1509</v>
      </c>
      <c r="E695" s="181" t="s">
        <v>576</v>
      </c>
      <c r="F695" s="181" t="s">
        <v>577</v>
      </c>
      <c r="G695" s="181" t="s">
        <v>103</v>
      </c>
      <c r="H695" s="181" t="s">
        <v>279</v>
      </c>
      <c r="I695" s="181" t="s">
        <v>229</v>
      </c>
      <c r="J695" s="267"/>
      <c r="K695" s="269" t="n">
        <v>45926</v>
      </c>
      <c r="L695" s="267" t="n">
        <v>1.6</v>
      </c>
      <c r="M695" s="184" t="s">
        <v>103</v>
      </c>
      <c r="N695" s="184" t="n">
        <v>36270</v>
      </c>
      <c r="O695" s="184" t="n">
        <v>14510</v>
      </c>
      <c r="P695" s="185" t="n">
        <v>8</v>
      </c>
      <c r="Q695" s="184" t="n">
        <v>21760</v>
      </c>
      <c r="R695" s="184" t="n">
        <v>20019.2</v>
      </c>
      <c r="S695" s="184" t="s">
        <v>1766</v>
      </c>
      <c r="T695" s="187" t="n">
        <v>45927</v>
      </c>
    </row>
    <row r="696" customFormat="false" ht="35.05" hidden="true" customHeight="false" outlineLevel="0" collapsed="false">
      <c r="A696" s="181" t="s">
        <v>1767</v>
      </c>
      <c r="B696" s="182" t="n">
        <v>1852</v>
      </c>
      <c r="C696" s="183" t="n">
        <v>210</v>
      </c>
      <c r="D696" s="181" t="s">
        <v>1509</v>
      </c>
      <c r="E696" s="181" t="s">
        <v>391</v>
      </c>
      <c r="F696" s="181" t="s">
        <v>392</v>
      </c>
      <c r="G696" s="181" t="s">
        <v>103</v>
      </c>
      <c r="H696" s="181" t="s">
        <v>279</v>
      </c>
      <c r="I696" s="181" t="s">
        <v>229</v>
      </c>
      <c r="J696" s="267"/>
      <c r="K696" s="269" t="n">
        <v>45927</v>
      </c>
      <c r="L696" s="267" t="n">
        <v>1.3</v>
      </c>
      <c r="M696" s="184" t="s">
        <v>103</v>
      </c>
      <c r="N696" s="184" t="n">
        <v>33980</v>
      </c>
      <c r="O696" s="184" t="n">
        <v>14560</v>
      </c>
      <c r="P696" s="185" t="n">
        <v>14</v>
      </c>
      <c r="Q696" s="184" t="n">
        <v>19420</v>
      </c>
      <c r="R696" s="184" t="n">
        <v>16701.2</v>
      </c>
      <c r="S696" s="184" t="s">
        <v>1768</v>
      </c>
      <c r="T696" s="187" t="n">
        <v>45927</v>
      </c>
    </row>
    <row r="697" customFormat="false" ht="23.85" hidden="true" customHeight="false" outlineLevel="0" collapsed="false">
      <c r="A697" s="181" t="s">
        <v>1769</v>
      </c>
      <c r="B697" s="182" t="n">
        <v>1854</v>
      </c>
      <c r="C697" s="183" t="n">
        <v>211</v>
      </c>
      <c r="D697" s="181" t="s">
        <v>1509</v>
      </c>
      <c r="E697" s="181" t="s">
        <v>529</v>
      </c>
      <c r="F697" s="181" t="s">
        <v>530</v>
      </c>
      <c r="G697" s="181" t="s">
        <v>103</v>
      </c>
      <c r="H697" s="181" t="s">
        <v>279</v>
      </c>
      <c r="I697" s="181" t="s">
        <v>229</v>
      </c>
      <c r="J697" s="267"/>
      <c r="K697" s="269" t="n">
        <v>45927</v>
      </c>
      <c r="L697" s="267" t="n">
        <v>1.4</v>
      </c>
      <c r="M697" s="184" t="s">
        <v>103</v>
      </c>
      <c r="N697" s="184" t="n">
        <v>34820</v>
      </c>
      <c r="O697" s="184" t="n">
        <v>14890</v>
      </c>
      <c r="P697" s="185" t="n">
        <v>18</v>
      </c>
      <c r="Q697" s="184" t="n">
        <v>19930</v>
      </c>
      <c r="R697" s="184" t="n">
        <v>16342.6</v>
      </c>
      <c r="S697" s="184" t="s">
        <v>1770</v>
      </c>
      <c r="T697" s="187" t="n">
        <v>45927</v>
      </c>
    </row>
    <row r="698" customFormat="false" ht="23.85" hidden="true" customHeight="false" outlineLevel="0" collapsed="false">
      <c r="A698" s="181" t="s">
        <v>1771</v>
      </c>
      <c r="B698" s="182" t="n">
        <v>1856</v>
      </c>
      <c r="C698" s="183" t="n">
        <v>212</v>
      </c>
      <c r="D698" s="181" t="s">
        <v>1509</v>
      </c>
      <c r="E698" s="181" t="s">
        <v>346</v>
      </c>
      <c r="F698" s="181" t="s">
        <v>347</v>
      </c>
      <c r="G698" s="181" t="s">
        <v>103</v>
      </c>
      <c r="H698" s="181" t="s">
        <v>279</v>
      </c>
      <c r="I698" s="181" t="s">
        <v>229</v>
      </c>
      <c r="J698" s="267"/>
      <c r="K698" s="269" t="n">
        <v>45927</v>
      </c>
      <c r="L698" s="267" t="n">
        <v>1.5</v>
      </c>
      <c r="M698" s="184" t="s">
        <v>103</v>
      </c>
      <c r="N698" s="184" t="n">
        <v>36510</v>
      </c>
      <c r="O698" s="184" t="n">
        <v>15250</v>
      </c>
      <c r="P698" s="185" t="n">
        <v>21</v>
      </c>
      <c r="Q698" s="184" t="n">
        <v>21260</v>
      </c>
      <c r="R698" s="184" t="n">
        <v>16795.4</v>
      </c>
      <c r="S698" s="184" t="s">
        <v>1772</v>
      </c>
      <c r="T698" s="187" t="n">
        <v>45927</v>
      </c>
    </row>
    <row r="699" customFormat="false" ht="35.05" hidden="true" customHeight="false" outlineLevel="0" collapsed="false">
      <c r="A699" s="181" t="s">
        <v>1773</v>
      </c>
      <c r="B699" s="182" t="n">
        <v>1857</v>
      </c>
      <c r="C699" s="183" t="n">
        <v>213</v>
      </c>
      <c r="D699" s="181" t="s">
        <v>1509</v>
      </c>
      <c r="E699" s="181" t="s">
        <v>266</v>
      </c>
      <c r="F699" s="181" t="s">
        <v>267</v>
      </c>
      <c r="G699" s="181" t="s">
        <v>103</v>
      </c>
      <c r="H699" s="181" t="s">
        <v>279</v>
      </c>
      <c r="I699" s="181" t="s">
        <v>229</v>
      </c>
      <c r="J699" s="267"/>
      <c r="K699" s="269" t="n">
        <v>45927</v>
      </c>
      <c r="L699" s="267" t="n">
        <v>1.5</v>
      </c>
      <c r="M699" s="184" t="s">
        <v>103</v>
      </c>
      <c r="N699" s="184" t="n">
        <v>36110</v>
      </c>
      <c r="O699" s="184" t="n">
        <v>15090</v>
      </c>
      <c r="P699" s="185" t="n">
        <v>23</v>
      </c>
      <c r="Q699" s="184" t="n">
        <v>21020</v>
      </c>
      <c r="R699" s="184" t="n">
        <v>16185.4</v>
      </c>
      <c r="S699" s="184" t="s">
        <v>1774</v>
      </c>
      <c r="T699" s="187" t="n">
        <v>45927</v>
      </c>
    </row>
    <row r="700" customFormat="false" ht="35.05" hidden="true" customHeight="false" outlineLevel="0" collapsed="false">
      <c r="A700" s="181" t="s">
        <v>1775</v>
      </c>
      <c r="B700" s="182" t="n">
        <v>1858</v>
      </c>
      <c r="C700" s="183" t="n">
        <v>214</v>
      </c>
      <c r="D700" s="181" t="s">
        <v>1509</v>
      </c>
      <c r="E700" s="181" t="s">
        <v>391</v>
      </c>
      <c r="F700" s="181" t="s">
        <v>392</v>
      </c>
      <c r="G700" s="181" t="s">
        <v>103</v>
      </c>
      <c r="H700" s="181" t="s">
        <v>279</v>
      </c>
      <c r="I700" s="181" t="s">
        <v>229</v>
      </c>
      <c r="J700" s="267"/>
      <c r="K700" s="269" t="n">
        <v>45927</v>
      </c>
      <c r="L700" s="267" t="n">
        <v>1.4</v>
      </c>
      <c r="M700" s="184" t="s">
        <v>103</v>
      </c>
      <c r="N700" s="184" t="n">
        <v>34360</v>
      </c>
      <c r="O700" s="184" t="n">
        <v>14550</v>
      </c>
      <c r="P700" s="185" t="n">
        <v>23</v>
      </c>
      <c r="Q700" s="184" t="n">
        <v>19810</v>
      </c>
      <c r="R700" s="184" t="n">
        <v>15253.7</v>
      </c>
      <c r="S700" s="184" t="s">
        <v>1776</v>
      </c>
      <c r="T700" s="187" t="n">
        <v>45927</v>
      </c>
    </row>
    <row r="701" customFormat="false" ht="23.85" hidden="true" customHeight="false" outlineLevel="0" collapsed="false">
      <c r="A701" s="181" t="s">
        <v>1777</v>
      </c>
      <c r="B701" s="182" t="n">
        <v>1861</v>
      </c>
      <c r="C701" s="183" t="n">
        <v>215</v>
      </c>
      <c r="D701" s="181" t="s">
        <v>1509</v>
      </c>
      <c r="E701" s="181" t="s">
        <v>529</v>
      </c>
      <c r="F701" s="181" t="s">
        <v>530</v>
      </c>
      <c r="G701" s="181" t="s">
        <v>103</v>
      </c>
      <c r="H701" s="181" t="s">
        <v>279</v>
      </c>
      <c r="I701" s="181" t="s">
        <v>229</v>
      </c>
      <c r="J701" s="267"/>
      <c r="K701" s="269" t="n">
        <v>45927</v>
      </c>
      <c r="L701" s="267" t="n">
        <v>1.4</v>
      </c>
      <c r="M701" s="184" t="s">
        <v>103</v>
      </c>
      <c r="N701" s="184" t="n">
        <v>34830</v>
      </c>
      <c r="O701" s="184" t="n">
        <v>14880</v>
      </c>
      <c r="P701" s="185" t="n">
        <v>16</v>
      </c>
      <c r="Q701" s="184" t="n">
        <v>19950</v>
      </c>
      <c r="R701" s="184" t="n">
        <v>16758</v>
      </c>
      <c r="S701" s="184" t="s">
        <v>1778</v>
      </c>
      <c r="T701" s="187" t="n">
        <v>45927</v>
      </c>
    </row>
    <row r="702" customFormat="false" ht="23.85" hidden="true" customHeight="false" outlineLevel="0" collapsed="false">
      <c r="A702" s="181" t="s">
        <v>1779</v>
      </c>
      <c r="B702" s="182" t="n">
        <v>1862</v>
      </c>
      <c r="C702" s="183" t="n">
        <v>216</v>
      </c>
      <c r="D702" s="181" t="s">
        <v>1509</v>
      </c>
      <c r="E702" s="181" t="s">
        <v>346</v>
      </c>
      <c r="F702" s="181" t="s">
        <v>347</v>
      </c>
      <c r="G702" s="181" t="s">
        <v>103</v>
      </c>
      <c r="H702" s="181" t="s">
        <v>279</v>
      </c>
      <c r="I702" s="181" t="s">
        <v>229</v>
      </c>
      <c r="J702" s="267"/>
      <c r="K702" s="269" t="n">
        <v>45927</v>
      </c>
      <c r="L702" s="267" t="n">
        <v>1.5</v>
      </c>
      <c r="M702" s="184" t="s">
        <v>103</v>
      </c>
      <c r="N702" s="184" t="n">
        <v>37530</v>
      </c>
      <c r="O702" s="184" t="n">
        <v>15230</v>
      </c>
      <c r="P702" s="185" t="n">
        <v>14</v>
      </c>
      <c r="Q702" s="184" t="n">
        <v>22300</v>
      </c>
      <c r="R702" s="184" t="n">
        <v>19178</v>
      </c>
      <c r="S702" s="184" t="s">
        <v>1780</v>
      </c>
      <c r="T702" s="187" t="n">
        <v>45927</v>
      </c>
    </row>
    <row r="703" customFormat="false" ht="35.05" hidden="true" customHeight="false" outlineLevel="0" collapsed="false">
      <c r="A703" s="181" t="s">
        <v>1781</v>
      </c>
      <c r="B703" s="182" t="n">
        <v>1863</v>
      </c>
      <c r="C703" s="183" t="n">
        <v>217</v>
      </c>
      <c r="D703" s="181" t="s">
        <v>1509</v>
      </c>
      <c r="E703" s="181" t="s">
        <v>266</v>
      </c>
      <c r="F703" s="181" t="s">
        <v>267</v>
      </c>
      <c r="G703" s="181" t="s">
        <v>103</v>
      </c>
      <c r="H703" s="181" t="s">
        <v>279</v>
      </c>
      <c r="I703" s="181" t="s">
        <v>229</v>
      </c>
      <c r="J703" s="267"/>
      <c r="K703" s="269" t="n">
        <v>45927</v>
      </c>
      <c r="L703" s="267" t="n">
        <v>1.4</v>
      </c>
      <c r="M703" s="184" t="s">
        <v>103</v>
      </c>
      <c r="N703" s="184" t="n">
        <v>34840</v>
      </c>
      <c r="O703" s="184" t="n">
        <v>15070</v>
      </c>
      <c r="P703" s="185" t="n">
        <v>22</v>
      </c>
      <c r="Q703" s="184" t="n">
        <v>19770</v>
      </c>
      <c r="R703" s="184" t="n">
        <v>15420.6</v>
      </c>
      <c r="S703" s="184" t="s">
        <v>1782</v>
      </c>
      <c r="T703" s="187" t="n">
        <v>45927</v>
      </c>
    </row>
    <row r="704" customFormat="false" ht="35.05" hidden="true" customHeight="false" outlineLevel="0" collapsed="false">
      <c r="A704" s="181" t="s">
        <v>1783</v>
      </c>
      <c r="B704" s="182" t="n">
        <v>1864</v>
      </c>
      <c r="C704" s="183" t="n">
        <v>218</v>
      </c>
      <c r="D704" s="181" t="s">
        <v>1509</v>
      </c>
      <c r="E704" s="181" t="s">
        <v>391</v>
      </c>
      <c r="F704" s="181" t="s">
        <v>392</v>
      </c>
      <c r="G704" s="181" t="s">
        <v>103</v>
      </c>
      <c r="H704" s="181" t="s">
        <v>279</v>
      </c>
      <c r="I704" s="181" t="s">
        <v>229</v>
      </c>
      <c r="J704" s="267"/>
      <c r="K704" s="269" t="n">
        <v>45927</v>
      </c>
      <c r="L704" s="267" t="n">
        <v>1.4</v>
      </c>
      <c r="M704" s="184" t="s">
        <v>103</v>
      </c>
      <c r="N704" s="184" t="n">
        <v>34370</v>
      </c>
      <c r="O704" s="184" t="n">
        <v>14550</v>
      </c>
      <c r="P704" s="185" t="n">
        <v>19</v>
      </c>
      <c r="Q704" s="184" t="n">
        <v>19820</v>
      </c>
      <c r="R704" s="184" t="n">
        <v>16054.2</v>
      </c>
      <c r="S704" s="184" t="s">
        <v>1784</v>
      </c>
      <c r="T704" s="187" t="n">
        <v>45927</v>
      </c>
    </row>
    <row r="705" customFormat="false" ht="23.85" hidden="true" customHeight="false" outlineLevel="0" collapsed="false">
      <c r="A705" s="181" t="s">
        <v>1785</v>
      </c>
      <c r="B705" s="182" t="n">
        <v>1865</v>
      </c>
      <c r="C705" s="183" t="n">
        <v>219</v>
      </c>
      <c r="D705" s="181" t="s">
        <v>1509</v>
      </c>
      <c r="E705" s="181" t="s">
        <v>529</v>
      </c>
      <c r="F705" s="181" t="s">
        <v>530</v>
      </c>
      <c r="G705" s="181" t="s">
        <v>103</v>
      </c>
      <c r="H705" s="181" t="s">
        <v>279</v>
      </c>
      <c r="I705" s="181" t="s">
        <v>229</v>
      </c>
      <c r="J705" s="267"/>
      <c r="K705" s="269" t="n">
        <v>45927</v>
      </c>
      <c r="L705" s="267" t="n">
        <v>1.4</v>
      </c>
      <c r="M705" s="184" t="s">
        <v>103</v>
      </c>
      <c r="N705" s="184" t="n">
        <v>35060</v>
      </c>
      <c r="O705" s="184" t="n">
        <v>14880</v>
      </c>
      <c r="P705" s="185" t="n">
        <v>18</v>
      </c>
      <c r="Q705" s="184" t="n">
        <v>20180</v>
      </c>
      <c r="R705" s="184" t="n">
        <v>16547.6</v>
      </c>
      <c r="S705" s="184" t="s">
        <v>1786</v>
      </c>
      <c r="T705" s="187" t="n">
        <v>45927</v>
      </c>
    </row>
    <row r="706" customFormat="false" ht="23.85" hidden="true" customHeight="false" outlineLevel="0" collapsed="false">
      <c r="A706" s="181" t="s">
        <v>1787</v>
      </c>
      <c r="B706" s="182" t="n">
        <v>1867</v>
      </c>
      <c r="C706" s="183" t="n">
        <v>220</v>
      </c>
      <c r="D706" s="181" t="s">
        <v>1509</v>
      </c>
      <c r="E706" s="181" t="s">
        <v>346</v>
      </c>
      <c r="F706" s="181" t="s">
        <v>347</v>
      </c>
      <c r="G706" s="181" t="s">
        <v>103</v>
      </c>
      <c r="H706" s="181" t="s">
        <v>279</v>
      </c>
      <c r="I706" s="181" t="s">
        <v>229</v>
      </c>
      <c r="J706" s="267"/>
      <c r="K706" s="269" t="n">
        <v>45927</v>
      </c>
      <c r="L706" s="267" t="n">
        <v>1.6</v>
      </c>
      <c r="M706" s="184" t="s">
        <v>103</v>
      </c>
      <c r="N706" s="184" t="n">
        <v>37830</v>
      </c>
      <c r="O706" s="184" t="n">
        <v>15230</v>
      </c>
      <c r="P706" s="185" t="n">
        <v>20</v>
      </c>
      <c r="Q706" s="184" t="n">
        <v>22600</v>
      </c>
      <c r="R706" s="184" t="n">
        <v>18080</v>
      </c>
      <c r="S706" s="184" t="s">
        <v>1788</v>
      </c>
      <c r="T706" s="187" t="n">
        <v>45927</v>
      </c>
    </row>
    <row r="707" customFormat="false" ht="35.05" hidden="true" customHeight="false" outlineLevel="0" collapsed="false">
      <c r="A707" s="181" t="s">
        <v>1789</v>
      </c>
      <c r="B707" s="182" t="n">
        <v>1868</v>
      </c>
      <c r="C707" s="183" t="n">
        <v>221</v>
      </c>
      <c r="D707" s="181" t="s">
        <v>1509</v>
      </c>
      <c r="E707" s="181" t="s">
        <v>266</v>
      </c>
      <c r="F707" s="181" t="s">
        <v>267</v>
      </c>
      <c r="G707" s="181" t="s">
        <v>103</v>
      </c>
      <c r="H707" s="181" t="s">
        <v>279</v>
      </c>
      <c r="I707" s="181" t="s">
        <v>229</v>
      </c>
      <c r="J707" s="267"/>
      <c r="K707" s="269" t="n">
        <v>45927</v>
      </c>
      <c r="L707" s="267" t="n">
        <v>1.5</v>
      </c>
      <c r="M707" s="184" t="s">
        <v>103</v>
      </c>
      <c r="N707" s="184" t="n">
        <v>36440</v>
      </c>
      <c r="O707" s="184" t="n">
        <v>15070</v>
      </c>
      <c r="P707" s="185" t="n">
        <v>16</v>
      </c>
      <c r="Q707" s="184" t="n">
        <v>21370</v>
      </c>
      <c r="R707" s="184" t="n">
        <v>17950.8</v>
      </c>
      <c r="S707" s="184" t="s">
        <v>1790</v>
      </c>
      <c r="T707" s="187" t="n">
        <v>45927</v>
      </c>
    </row>
    <row r="708" customFormat="false" ht="35.05" hidden="true" customHeight="false" outlineLevel="0" collapsed="false">
      <c r="A708" s="181" t="s">
        <v>1791</v>
      </c>
      <c r="B708" s="182" t="n">
        <v>1869</v>
      </c>
      <c r="C708" s="183" t="n">
        <v>222</v>
      </c>
      <c r="D708" s="181" t="s">
        <v>1509</v>
      </c>
      <c r="E708" s="181" t="s">
        <v>391</v>
      </c>
      <c r="F708" s="181" t="s">
        <v>392</v>
      </c>
      <c r="G708" s="181" t="s">
        <v>103</v>
      </c>
      <c r="H708" s="181" t="s">
        <v>279</v>
      </c>
      <c r="I708" s="181" t="s">
        <v>229</v>
      </c>
      <c r="J708" s="267"/>
      <c r="K708" s="269" t="n">
        <v>45927</v>
      </c>
      <c r="L708" s="267" t="n">
        <v>1.4</v>
      </c>
      <c r="M708" s="184" t="s">
        <v>103</v>
      </c>
      <c r="N708" s="184" t="n">
        <v>34030</v>
      </c>
      <c r="O708" s="184" t="n">
        <v>14520</v>
      </c>
      <c r="P708" s="185" t="n">
        <v>20</v>
      </c>
      <c r="Q708" s="184" t="n">
        <v>19510</v>
      </c>
      <c r="R708" s="184" t="n">
        <v>15608</v>
      </c>
      <c r="S708" s="184" t="s">
        <v>1792</v>
      </c>
      <c r="T708" s="187" t="n">
        <v>45927</v>
      </c>
    </row>
    <row r="709" customFormat="false" ht="23.85" hidden="true" customHeight="false" outlineLevel="0" collapsed="false">
      <c r="A709" s="181" t="s">
        <v>1793</v>
      </c>
      <c r="B709" s="182" t="n">
        <v>1870</v>
      </c>
      <c r="C709" s="183" t="n">
        <v>223</v>
      </c>
      <c r="D709" s="181" t="s">
        <v>1509</v>
      </c>
      <c r="E709" s="181" t="s">
        <v>529</v>
      </c>
      <c r="F709" s="181" t="s">
        <v>530</v>
      </c>
      <c r="G709" s="181" t="s">
        <v>103</v>
      </c>
      <c r="H709" s="181" t="s">
        <v>279</v>
      </c>
      <c r="I709" s="181" t="s">
        <v>229</v>
      </c>
      <c r="J709" s="267"/>
      <c r="K709" s="269" t="n">
        <v>45927</v>
      </c>
      <c r="L709" s="267" t="n">
        <v>1.4</v>
      </c>
      <c r="M709" s="184" t="s">
        <v>103</v>
      </c>
      <c r="N709" s="184" t="n">
        <v>34410</v>
      </c>
      <c r="O709" s="184" t="n">
        <v>14860</v>
      </c>
      <c r="P709" s="185" t="n">
        <v>16</v>
      </c>
      <c r="Q709" s="184" t="n">
        <v>19550</v>
      </c>
      <c r="R709" s="184" t="n">
        <v>16422</v>
      </c>
      <c r="S709" s="184" t="s">
        <v>1794</v>
      </c>
      <c r="T709" s="187" t="n">
        <v>45927</v>
      </c>
    </row>
    <row r="710" customFormat="false" ht="23.85" hidden="true" customHeight="false" outlineLevel="0" collapsed="false">
      <c r="A710" s="181" t="s">
        <v>1795</v>
      </c>
      <c r="B710" s="182" t="n">
        <v>1871</v>
      </c>
      <c r="C710" s="183" t="n">
        <v>224</v>
      </c>
      <c r="D710" s="181" t="s">
        <v>1509</v>
      </c>
      <c r="E710" s="181" t="s">
        <v>346</v>
      </c>
      <c r="F710" s="181" t="s">
        <v>347</v>
      </c>
      <c r="G710" s="181" t="s">
        <v>103</v>
      </c>
      <c r="H710" s="181" t="s">
        <v>279</v>
      </c>
      <c r="I710" s="181" t="s">
        <v>229</v>
      </c>
      <c r="J710" s="267"/>
      <c r="K710" s="269" t="n">
        <v>45927</v>
      </c>
      <c r="L710" s="267" t="n">
        <v>1.3</v>
      </c>
      <c r="M710" s="184" t="s">
        <v>103</v>
      </c>
      <c r="N710" s="184" t="n">
        <v>33930</v>
      </c>
      <c r="O710" s="184" t="n">
        <v>15210</v>
      </c>
      <c r="P710" s="185" t="n">
        <v>16</v>
      </c>
      <c r="Q710" s="184" t="n">
        <v>18720</v>
      </c>
      <c r="R710" s="184" t="n">
        <v>15724.8</v>
      </c>
      <c r="S710" s="184" t="s">
        <v>1796</v>
      </c>
      <c r="T710" s="187" t="n">
        <v>45927</v>
      </c>
    </row>
    <row r="711" customFormat="false" ht="35.05" hidden="true" customHeight="false" outlineLevel="0" collapsed="false">
      <c r="A711" s="181" t="s">
        <v>1799</v>
      </c>
      <c r="B711" s="182" t="n">
        <v>1875</v>
      </c>
      <c r="C711" s="183" t="n">
        <v>226</v>
      </c>
      <c r="D711" s="181" t="s">
        <v>1509</v>
      </c>
      <c r="E711" s="181" t="s">
        <v>391</v>
      </c>
      <c r="F711" s="181" t="s">
        <v>392</v>
      </c>
      <c r="G711" s="181" t="s">
        <v>103</v>
      </c>
      <c r="H711" s="181" t="s">
        <v>279</v>
      </c>
      <c r="I711" s="181" t="s">
        <v>229</v>
      </c>
      <c r="J711" s="267"/>
      <c r="K711" s="269" t="n">
        <v>45927</v>
      </c>
      <c r="L711" s="267" t="n">
        <v>1.3</v>
      </c>
      <c r="M711" s="184" t="s">
        <v>103</v>
      </c>
      <c r="N711" s="184" t="n">
        <v>33100</v>
      </c>
      <c r="O711" s="184" t="n">
        <v>14530</v>
      </c>
      <c r="P711" s="185" t="n">
        <v>6</v>
      </c>
      <c r="Q711" s="184" t="n">
        <v>18570</v>
      </c>
      <c r="R711" s="184" t="n">
        <v>17455.8</v>
      </c>
      <c r="S711" s="184" t="s">
        <v>1800</v>
      </c>
      <c r="T711" s="187" t="n">
        <v>45927</v>
      </c>
    </row>
    <row r="712" customFormat="false" ht="23.85" hidden="true" customHeight="false" outlineLevel="0" collapsed="false">
      <c r="A712" s="181" t="s">
        <v>1801</v>
      </c>
      <c r="B712" s="182" t="n">
        <v>1876</v>
      </c>
      <c r="C712" s="183" t="n">
        <v>227</v>
      </c>
      <c r="D712" s="181" t="s">
        <v>1509</v>
      </c>
      <c r="E712" s="181" t="s">
        <v>529</v>
      </c>
      <c r="F712" s="181" t="s">
        <v>530</v>
      </c>
      <c r="G712" s="181" t="s">
        <v>103</v>
      </c>
      <c r="H712" s="181" t="s">
        <v>279</v>
      </c>
      <c r="I712" s="181" t="s">
        <v>229</v>
      </c>
      <c r="J712" s="267"/>
      <c r="K712" s="269" t="n">
        <v>45927</v>
      </c>
      <c r="L712" s="267" t="n">
        <v>1.4</v>
      </c>
      <c r="M712" s="184" t="s">
        <v>103</v>
      </c>
      <c r="N712" s="184" t="n">
        <v>34630</v>
      </c>
      <c r="O712" s="184" t="n">
        <v>14860</v>
      </c>
      <c r="P712" s="185" t="n">
        <v>8</v>
      </c>
      <c r="Q712" s="184" t="n">
        <v>19770</v>
      </c>
      <c r="R712" s="184" t="n">
        <v>18188.4</v>
      </c>
      <c r="S712" s="184" t="s">
        <v>1802</v>
      </c>
      <c r="T712" s="187" t="n">
        <v>45927</v>
      </c>
    </row>
    <row r="713" customFormat="false" ht="23.85" hidden="true" customHeight="false" outlineLevel="0" collapsed="false">
      <c r="A713" s="181" t="s">
        <v>1803</v>
      </c>
      <c r="B713" s="182" t="n">
        <v>1877</v>
      </c>
      <c r="C713" s="183" t="n">
        <v>228</v>
      </c>
      <c r="D713" s="181" t="s">
        <v>1509</v>
      </c>
      <c r="E713" s="181" t="s">
        <v>346</v>
      </c>
      <c r="F713" s="181" t="s">
        <v>347</v>
      </c>
      <c r="G713" s="181" t="s">
        <v>103</v>
      </c>
      <c r="H713" s="181" t="s">
        <v>279</v>
      </c>
      <c r="I713" s="181" t="s">
        <v>229</v>
      </c>
      <c r="J713" s="267"/>
      <c r="K713" s="269" t="n">
        <v>45927</v>
      </c>
      <c r="L713" s="267" t="n">
        <v>1.4</v>
      </c>
      <c r="M713" s="184" t="s">
        <v>103</v>
      </c>
      <c r="N713" s="184" t="n">
        <v>35390</v>
      </c>
      <c r="O713" s="184" t="n">
        <v>15230</v>
      </c>
      <c r="P713" s="185" t="n">
        <v>10</v>
      </c>
      <c r="Q713" s="184" t="n">
        <v>20160</v>
      </c>
      <c r="R713" s="184" t="n">
        <v>18144</v>
      </c>
      <c r="S713" s="184" t="s">
        <v>1804</v>
      </c>
      <c r="T713" s="187" t="n">
        <v>45927</v>
      </c>
    </row>
    <row r="714" customFormat="false" ht="35.05" hidden="true" customHeight="false" outlineLevel="0" collapsed="false">
      <c r="A714" s="181" t="s">
        <v>1805</v>
      </c>
      <c r="B714" s="182" t="n">
        <v>1878</v>
      </c>
      <c r="C714" s="183" t="n">
        <v>229</v>
      </c>
      <c r="D714" s="181" t="s">
        <v>1509</v>
      </c>
      <c r="E714" s="181" t="s">
        <v>266</v>
      </c>
      <c r="F714" s="181" t="s">
        <v>267</v>
      </c>
      <c r="G714" s="181" t="s">
        <v>103</v>
      </c>
      <c r="H714" s="181" t="s">
        <v>279</v>
      </c>
      <c r="I714" s="181" t="s">
        <v>229</v>
      </c>
      <c r="J714" s="267"/>
      <c r="K714" s="269" t="n">
        <v>45927</v>
      </c>
      <c r="L714" s="267" t="n">
        <v>1.5</v>
      </c>
      <c r="M714" s="184" t="s">
        <v>103</v>
      </c>
      <c r="N714" s="184" t="n">
        <v>36180</v>
      </c>
      <c r="O714" s="184" t="n">
        <v>15050</v>
      </c>
      <c r="P714" s="185" t="n">
        <v>6</v>
      </c>
      <c r="Q714" s="184" t="n">
        <v>21130</v>
      </c>
      <c r="R714" s="184" t="n">
        <v>19862.2</v>
      </c>
      <c r="S714" s="184" t="s">
        <v>1806</v>
      </c>
      <c r="T714" s="187" t="n">
        <v>45927</v>
      </c>
    </row>
    <row r="715" customFormat="false" ht="35.05" hidden="true" customHeight="false" outlineLevel="0" collapsed="false">
      <c r="A715" s="181" t="s">
        <v>1807</v>
      </c>
      <c r="B715" s="182" t="n">
        <v>1879</v>
      </c>
      <c r="C715" s="183" t="n">
        <v>230</v>
      </c>
      <c r="D715" s="181" t="s">
        <v>1509</v>
      </c>
      <c r="E715" s="181" t="s">
        <v>391</v>
      </c>
      <c r="F715" s="181" t="s">
        <v>392</v>
      </c>
      <c r="G715" s="181" t="s">
        <v>103</v>
      </c>
      <c r="H715" s="181" t="s">
        <v>279</v>
      </c>
      <c r="I715" s="181" t="s">
        <v>229</v>
      </c>
      <c r="J715" s="267"/>
      <c r="K715" s="269" t="n">
        <v>45927</v>
      </c>
      <c r="L715" s="267" t="n">
        <v>1.3</v>
      </c>
      <c r="M715" s="184" t="s">
        <v>103</v>
      </c>
      <c r="N715" s="184" t="n">
        <v>33520</v>
      </c>
      <c r="O715" s="184" t="n">
        <v>14510</v>
      </c>
      <c r="P715" s="185" t="n">
        <v>22</v>
      </c>
      <c r="Q715" s="184" t="n">
        <v>19010</v>
      </c>
      <c r="R715" s="184" t="n">
        <v>14827.8</v>
      </c>
      <c r="S715" s="184" t="s">
        <v>1808</v>
      </c>
      <c r="T715" s="187" t="n">
        <v>45928</v>
      </c>
    </row>
    <row r="716" customFormat="false" ht="23.85" hidden="true" customHeight="false" outlineLevel="0" collapsed="false">
      <c r="A716" s="181" t="s">
        <v>1809</v>
      </c>
      <c r="B716" s="182" t="n">
        <v>1881</v>
      </c>
      <c r="C716" s="183" t="n">
        <v>231</v>
      </c>
      <c r="D716" s="181" t="s">
        <v>1509</v>
      </c>
      <c r="E716" s="181" t="s">
        <v>529</v>
      </c>
      <c r="F716" s="181" t="s">
        <v>530</v>
      </c>
      <c r="G716" s="181" t="s">
        <v>103</v>
      </c>
      <c r="H716" s="181" t="s">
        <v>279</v>
      </c>
      <c r="I716" s="181" t="s">
        <v>229</v>
      </c>
      <c r="J716" s="267"/>
      <c r="K716" s="269" t="n">
        <v>45927</v>
      </c>
      <c r="L716" s="267" t="n">
        <v>1.4</v>
      </c>
      <c r="M716" s="184" t="s">
        <v>103</v>
      </c>
      <c r="N716" s="184" t="n">
        <v>34290</v>
      </c>
      <c r="O716" s="184" t="n">
        <v>14850</v>
      </c>
      <c r="P716" s="185" t="n">
        <v>14</v>
      </c>
      <c r="Q716" s="184" t="n">
        <v>19440</v>
      </c>
      <c r="R716" s="184" t="n">
        <v>16718.4</v>
      </c>
      <c r="S716" s="184" t="s">
        <v>1810</v>
      </c>
      <c r="T716" s="187" t="n">
        <v>45928</v>
      </c>
    </row>
    <row r="717" customFormat="false" ht="30" hidden="true" customHeight="true" outlineLevel="0" collapsed="false">
      <c r="A717" s="181" t="s">
        <v>1797</v>
      </c>
      <c r="B717" s="182" t="n">
        <v>1874</v>
      </c>
      <c r="C717" s="183" t="n">
        <v>225</v>
      </c>
      <c r="D717" s="181" t="s">
        <v>1509</v>
      </c>
      <c r="E717" s="181" t="s">
        <v>266</v>
      </c>
      <c r="F717" s="181" t="s">
        <v>267</v>
      </c>
      <c r="G717" s="181" t="s">
        <v>103</v>
      </c>
      <c r="H717" s="181" t="s">
        <v>279</v>
      </c>
      <c r="I717" s="181" t="s">
        <v>229</v>
      </c>
      <c r="J717" s="267"/>
      <c r="K717" s="269" t="n">
        <v>45927</v>
      </c>
      <c r="L717" s="267" t="n">
        <v>1.4</v>
      </c>
      <c r="M717" s="184" t="s">
        <v>103</v>
      </c>
      <c r="N717" s="184" t="n">
        <v>37910</v>
      </c>
      <c r="O717" s="184" t="n">
        <v>15050</v>
      </c>
      <c r="P717" s="185" t="n">
        <v>21</v>
      </c>
      <c r="Q717" s="184" t="n">
        <v>22860</v>
      </c>
      <c r="R717" s="184" t="n">
        <v>18059.4</v>
      </c>
      <c r="S717" s="184" t="s">
        <v>1798</v>
      </c>
      <c r="T717" s="187" t="n">
        <v>45927</v>
      </c>
    </row>
    <row r="718" customFormat="false" ht="30" hidden="true" customHeight="true" outlineLevel="0" collapsed="false">
      <c r="A718" s="181" t="s">
        <v>1854</v>
      </c>
      <c r="B718" s="182" t="n">
        <v>1917</v>
      </c>
      <c r="C718" s="183" t="n">
        <v>253</v>
      </c>
      <c r="D718" s="181" t="s">
        <v>1509</v>
      </c>
      <c r="E718" s="181" t="s">
        <v>261</v>
      </c>
      <c r="F718" s="181" t="s">
        <v>262</v>
      </c>
      <c r="G718" s="181" t="s">
        <v>1512</v>
      </c>
      <c r="H718" s="181" t="s">
        <v>316</v>
      </c>
      <c r="I718" s="181" t="s">
        <v>238</v>
      </c>
      <c r="J718" s="267"/>
      <c r="K718" s="269" t="n">
        <v>45929</v>
      </c>
      <c r="L718" s="267" t="n">
        <v>1.5</v>
      </c>
      <c r="M718" s="184" t="s">
        <v>1512</v>
      </c>
      <c r="N718" s="184" t="n">
        <v>34200</v>
      </c>
      <c r="O718" s="184" t="n">
        <v>15090</v>
      </c>
      <c r="P718" s="185" t="n">
        <v>16</v>
      </c>
      <c r="Q718" s="184" t="n">
        <v>19110</v>
      </c>
      <c r="R718" s="184" t="n">
        <v>16052.4</v>
      </c>
      <c r="S718" s="184" t="s">
        <v>1855</v>
      </c>
      <c r="T718" s="187" t="n">
        <v>45929</v>
      </c>
    </row>
    <row r="719" customFormat="false" ht="30" hidden="true" customHeight="true" outlineLevel="0" collapsed="false">
      <c r="A719" s="181" t="s">
        <v>1856</v>
      </c>
      <c r="B719" s="182" t="n">
        <v>1921</v>
      </c>
      <c r="C719" s="183" t="n">
        <v>54990</v>
      </c>
      <c r="D719" s="181" t="s">
        <v>1686</v>
      </c>
      <c r="E719" s="181" t="s">
        <v>576</v>
      </c>
      <c r="F719" s="181" t="s">
        <v>577</v>
      </c>
      <c r="G719" s="181" t="s">
        <v>1687</v>
      </c>
      <c r="H719" s="181" t="s">
        <v>279</v>
      </c>
      <c r="I719" s="181" t="s">
        <v>239</v>
      </c>
      <c r="J719" s="267"/>
      <c r="K719" s="269" t="n">
        <v>45929</v>
      </c>
      <c r="L719" s="267" t="n">
        <v>1.4</v>
      </c>
      <c r="M719" s="184" t="s">
        <v>1687</v>
      </c>
      <c r="N719" s="184" t="n">
        <v>38510</v>
      </c>
      <c r="O719" s="184" t="n">
        <v>14580</v>
      </c>
      <c r="P719" s="185" t="n">
        <v>5</v>
      </c>
      <c r="Q719" s="184" t="n">
        <v>23930</v>
      </c>
      <c r="R719" s="184" t="n">
        <v>22733.5</v>
      </c>
      <c r="S719" s="184" t="s">
        <v>1857</v>
      </c>
      <c r="T719" s="187" t="n">
        <v>45929</v>
      </c>
    </row>
    <row r="720" customFormat="false" ht="30" hidden="true" customHeight="true" outlineLevel="0" collapsed="false">
      <c r="A720" s="181" t="s">
        <v>1858</v>
      </c>
      <c r="B720" s="182" t="n">
        <v>1922</v>
      </c>
      <c r="C720" s="183" t="n">
        <v>54991</v>
      </c>
      <c r="D720" s="181" t="s">
        <v>1686</v>
      </c>
      <c r="E720" s="181" t="s">
        <v>266</v>
      </c>
      <c r="F720" s="181" t="s">
        <v>267</v>
      </c>
      <c r="G720" s="181" t="s">
        <v>1687</v>
      </c>
      <c r="H720" s="181" t="s">
        <v>279</v>
      </c>
      <c r="I720" s="181" t="s">
        <v>239</v>
      </c>
      <c r="J720" s="267"/>
      <c r="K720" s="269" t="n">
        <v>45929</v>
      </c>
      <c r="L720" s="267" t="n">
        <v>1.3</v>
      </c>
      <c r="M720" s="184" t="s">
        <v>1687</v>
      </c>
      <c r="N720" s="184" t="n">
        <v>38390</v>
      </c>
      <c r="O720" s="184" t="n">
        <v>14970</v>
      </c>
      <c r="P720" s="185" t="n">
        <v>6</v>
      </c>
      <c r="Q720" s="184" t="n">
        <v>23420</v>
      </c>
      <c r="R720" s="184" t="n">
        <v>22014.8</v>
      </c>
      <c r="S720" s="184" t="s">
        <v>1859</v>
      </c>
      <c r="T720" s="187" t="n">
        <v>45929</v>
      </c>
    </row>
    <row r="721" customFormat="false" ht="30" hidden="true" customHeight="true" outlineLevel="0" collapsed="false">
      <c r="A721" s="181" t="s">
        <v>1860</v>
      </c>
      <c r="B721" s="182" t="n">
        <v>1923</v>
      </c>
      <c r="C721" s="183" t="n">
        <v>54992</v>
      </c>
      <c r="D721" s="181" t="s">
        <v>1686</v>
      </c>
      <c r="E721" s="181" t="s">
        <v>272</v>
      </c>
      <c r="F721" s="181" t="s">
        <v>273</v>
      </c>
      <c r="G721" s="181" t="s">
        <v>1687</v>
      </c>
      <c r="H721" s="181" t="s">
        <v>279</v>
      </c>
      <c r="I721" s="181" t="s">
        <v>239</v>
      </c>
      <c r="J721" s="267"/>
      <c r="K721" s="269" t="n">
        <v>45929</v>
      </c>
      <c r="L721" s="267" t="n">
        <v>1.4</v>
      </c>
      <c r="M721" s="184" t="s">
        <v>1687</v>
      </c>
      <c r="N721" s="184" t="n">
        <v>40940</v>
      </c>
      <c r="O721" s="184" t="n">
        <v>15730</v>
      </c>
      <c r="P721" s="185" t="n">
        <v>6</v>
      </c>
      <c r="Q721" s="184" t="n">
        <v>25210</v>
      </c>
      <c r="R721" s="184" t="n">
        <v>23697.4</v>
      </c>
      <c r="S721" s="184" t="s">
        <v>1861</v>
      </c>
      <c r="T721" s="187" t="n">
        <v>45929</v>
      </c>
    </row>
    <row r="722" customFormat="false" ht="30" hidden="true" customHeight="true" outlineLevel="0" collapsed="false">
      <c r="A722" s="181" t="s">
        <v>1811</v>
      </c>
      <c r="B722" s="182" t="n">
        <v>1882</v>
      </c>
      <c r="C722" s="183" t="n">
        <v>232</v>
      </c>
      <c r="D722" s="181" t="s">
        <v>1509</v>
      </c>
      <c r="E722" s="181" t="s">
        <v>346</v>
      </c>
      <c r="F722" s="181" t="s">
        <v>347</v>
      </c>
      <c r="G722" s="181" t="s">
        <v>1812</v>
      </c>
      <c r="H722" s="181" t="s">
        <v>87</v>
      </c>
      <c r="I722" s="181" t="s">
        <v>229</v>
      </c>
      <c r="J722" s="267"/>
      <c r="K722" s="269" t="n">
        <v>45927</v>
      </c>
      <c r="L722" s="267" t="n">
        <v>2.5</v>
      </c>
      <c r="M722" s="184" t="s">
        <v>1812</v>
      </c>
      <c r="N722" s="184" t="n">
        <v>36800</v>
      </c>
      <c r="O722" s="184" t="n">
        <v>15180</v>
      </c>
      <c r="P722" s="185" t="n">
        <v>24</v>
      </c>
      <c r="Q722" s="184" t="n">
        <v>21620</v>
      </c>
      <c r="R722" s="184" t="n">
        <v>16431.2</v>
      </c>
      <c r="S722" s="184" t="s">
        <v>1813</v>
      </c>
      <c r="T722" s="187" t="n">
        <v>45928</v>
      </c>
    </row>
    <row r="723" customFormat="false" ht="30" hidden="true" customHeight="true" outlineLevel="0" collapsed="false">
      <c r="A723" s="181" t="s">
        <v>1814</v>
      </c>
      <c r="B723" s="182" t="n">
        <v>1883</v>
      </c>
      <c r="C723" s="183" t="n">
        <v>233</v>
      </c>
      <c r="D723" s="181" t="s">
        <v>1509</v>
      </c>
      <c r="E723" s="181" t="s">
        <v>266</v>
      </c>
      <c r="F723" s="181" t="s">
        <v>267</v>
      </c>
      <c r="G723" s="181" t="s">
        <v>1812</v>
      </c>
      <c r="H723" s="181" t="s">
        <v>87</v>
      </c>
      <c r="I723" s="181" t="s">
        <v>229</v>
      </c>
      <c r="J723" s="267"/>
      <c r="K723" s="269" t="n">
        <v>45927</v>
      </c>
      <c r="L723" s="267" t="n">
        <v>2.5</v>
      </c>
      <c r="M723" s="184" t="s">
        <v>1812</v>
      </c>
      <c r="N723" s="184" t="n">
        <v>36630</v>
      </c>
      <c r="O723" s="184" t="n">
        <v>15020</v>
      </c>
      <c r="P723" s="185" t="n">
        <v>15</v>
      </c>
      <c r="Q723" s="184" t="n">
        <v>21610</v>
      </c>
      <c r="R723" s="184" t="n">
        <v>18368.5</v>
      </c>
      <c r="S723" s="184" t="s">
        <v>1815</v>
      </c>
      <c r="T723" s="187" t="n">
        <v>45928</v>
      </c>
    </row>
    <row r="724" customFormat="false" ht="30" hidden="true" customHeight="true" outlineLevel="0" collapsed="false">
      <c r="A724" s="181" t="s">
        <v>1862</v>
      </c>
      <c r="B724" s="182" t="n">
        <v>1924</v>
      </c>
      <c r="C724" s="183" t="n">
        <v>54992</v>
      </c>
      <c r="D724" s="181" t="s">
        <v>1686</v>
      </c>
      <c r="E724" s="181" t="s">
        <v>288</v>
      </c>
      <c r="F724" s="181" t="s">
        <v>289</v>
      </c>
      <c r="G724" s="181" t="s">
        <v>1687</v>
      </c>
      <c r="H724" s="181" t="s">
        <v>279</v>
      </c>
      <c r="I724" s="181" t="s">
        <v>239</v>
      </c>
      <c r="J724" s="267"/>
      <c r="K724" s="269" t="n">
        <v>45929</v>
      </c>
      <c r="L724" s="267" t="n">
        <v>1.4</v>
      </c>
      <c r="M724" s="184" t="s">
        <v>1687</v>
      </c>
      <c r="N724" s="184" t="n">
        <v>39870</v>
      </c>
      <c r="O724" s="184" t="n">
        <v>14700</v>
      </c>
      <c r="P724" s="185" t="n">
        <v>6</v>
      </c>
      <c r="Q724" s="184" t="n">
        <v>25170</v>
      </c>
      <c r="R724" s="184" t="n">
        <v>23659.8</v>
      </c>
      <c r="S724" s="184" t="s">
        <v>1863</v>
      </c>
      <c r="T724" s="187" t="n">
        <v>45929</v>
      </c>
    </row>
    <row r="725" customFormat="false" ht="30" hidden="true" customHeight="true" outlineLevel="0" collapsed="false">
      <c r="A725" s="181" t="s">
        <v>1816</v>
      </c>
      <c r="B725" s="182" t="n">
        <v>1884</v>
      </c>
      <c r="C725" s="183" t="n">
        <v>234</v>
      </c>
      <c r="D725" s="181" t="s">
        <v>1509</v>
      </c>
      <c r="E725" s="181" t="s">
        <v>391</v>
      </c>
      <c r="F725" s="181" t="s">
        <v>392</v>
      </c>
      <c r="G725" s="181" t="s">
        <v>1812</v>
      </c>
      <c r="H725" s="181" t="s">
        <v>87</v>
      </c>
      <c r="I725" s="181" t="s">
        <v>229</v>
      </c>
      <c r="J725" s="267"/>
      <c r="K725" s="269" t="n">
        <v>45927</v>
      </c>
      <c r="L725" s="267" t="n">
        <v>2.2</v>
      </c>
      <c r="M725" s="184" t="s">
        <v>1812</v>
      </c>
      <c r="N725" s="184" t="n">
        <v>33650</v>
      </c>
      <c r="O725" s="184" t="n">
        <v>14490</v>
      </c>
      <c r="P725" s="185" t="n">
        <v>24</v>
      </c>
      <c r="Q725" s="184" t="n">
        <v>19160</v>
      </c>
      <c r="R725" s="184" t="n">
        <v>14561.6</v>
      </c>
      <c r="S725" s="184" t="s">
        <v>1817</v>
      </c>
      <c r="T725" s="187" t="n">
        <v>45928</v>
      </c>
    </row>
    <row r="726" customFormat="false" ht="23.85" hidden="true" customHeight="false" outlineLevel="0" collapsed="false">
      <c r="A726" s="181" t="s">
        <v>1818</v>
      </c>
      <c r="B726" s="182" t="n">
        <v>1885</v>
      </c>
      <c r="C726" s="183" t="n">
        <v>235</v>
      </c>
      <c r="D726" s="181" t="s">
        <v>1509</v>
      </c>
      <c r="E726" s="181" t="s">
        <v>529</v>
      </c>
      <c r="F726" s="181" t="s">
        <v>530</v>
      </c>
      <c r="G726" s="181" t="s">
        <v>1812</v>
      </c>
      <c r="H726" s="181" t="s">
        <v>87</v>
      </c>
      <c r="I726" s="181" t="s">
        <v>229</v>
      </c>
      <c r="J726" s="267"/>
      <c r="K726" s="269" t="n">
        <v>45927</v>
      </c>
      <c r="L726" s="267" t="n">
        <v>2.2</v>
      </c>
      <c r="M726" s="184" t="s">
        <v>1812</v>
      </c>
      <c r="N726" s="184" t="n">
        <v>33770</v>
      </c>
      <c r="O726" s="184" t="n">
        <v>14840</v>
      </c>
      <c r="P726" s="185" t="n">
        <v>24</v>
      </c>
      <c r="Q726" s="184" t="n">
        <v>18930</v>
      </c>
      <c r="R726" s="184" t="n">
        <v>14386.8</v>
      </c>
      <c r="S726" s="184" t="s">
        <v>1819</v>
      </c>
      <c r="T726" s="187" t="n">
        <v>45928</v>
      </c>
    </row>
    <row r="727" customFormat="false" ht="23.85" hidden="true" customHeight="false" outlineLevel="0" collapsed="false">
      <c r="A727" s="181" t="s">
        <v>1820</v>
      </c>
      <c r="B727" s="182" t="n">
        <v>1886</v>
      </c>
      <c r="C727" s="183" t="n">
        <v>236</v>
      </c>
      <c r="D727" s="181" t="s">
        <v>1509</v>
      </c>
      <c r="E727" s="181" t="s">
        <v>346</v>
      </c>
      <c r="F727" s="181" t="s">
        <v>347</v>
      </c>
      <c r="G727" s="181" t="s">
        <v>1812</v>
      </c>
      <c r="H727" s="181" t="s">
        <v>87</v>
      </c>
      <c r="I727" s="181" t="s">
        <v>229</v>
      </c>
      <c r="J727" s="267"/>
      <c r="K727" s="269" t="n">
        <v>45927</v>
      </c>
      <c r="L727" s="267" t="n">
        <v>2.6</v>
      </c>
      <c r="M727" s="184" t="s">
        <v>1812</v>
      </c>
      <c r="N727" s="184" t="n">
        <v>38150</v>
      </c>
      <c r="O727" s="184" t="n">
        <v>15170</v>
      </c>
      <c r="P727" s="185" t="n">
        <v>23</v>
      </c>
      <c r="Q727" s="184" t="n">
        <v>22980</v>
      </c>
      <c r="R727" s="184" t="n">
        <v>17694.6</v>
      </c>
      <c r="S727" s="184" t="s">
        <v>1821</v>
      </c>
      <c r="T727" s="187" t="n">
        <v>45928</v>
      </c>
    </row>
    <row r="728" customFormat="false" ht="23.85" hidden="true" customHeight="false" outlineLevel="0" collapsed="false">
      <c r="A728" s="181" t="s">
        <v>1852</v>
      </c>
      <c r="B728" s="182" t="n">
        <v>1915</v>
      </c>
      <c r="C728" s="183" t="n">
        <v>252</v>
      </c>
      <c r="D728" s="181" t="s">
        <v>1509</v>
      </c>
      <c r="E728" s="181" t="s">
        <v>292</v>
      </c>
      <c r="F728" s="181" t="s">
        <v>293</v>
      </c>
      <c r="G728" s="181" t="s">
        <v>1812</v>
      </c>
      <c r="H728" s="181" t="s">
        <v>87</v>
      </c>
      <c r="I728" s="181" t="s">
        <v>229</v>
      </c>
      <c r="J728" s="267"/>
      <c r="K728" s="269" t="n">
        <v>45928</v>
      </c>
      <c r="L728" s="267" t="n">
        <v>1.7</v>
      </c>
      <c r="M728" s="184" t="s">
        <v>1812</v>
      </c>
      <c r="N728" s="184" t="n">
        <v>27540</v>
      </c>
      <c r="O728" s="184" t="n">
        <v>14050</v>
      </c>
      <c r="P728" s="185" t="n">
        <v>28</v>
      </c>
      <c r="Q728" s="184" t="n">
        <v>13490</v>
      </c>
      <c r="R728" s="184" t="n">
        <v>9712.8</v>
      </c>
      <c r="S728" s="184" t="s">
        <v>1853</v>
      </c>
      <c r="T728" s="187" t="n">
        <v>45928</v>
      </c>
    </row>
    <row r="729" customFormat="false" ht="35.05" hidden="true" customHeight="false" outlineLevel="0" collapsed="false">
      <c r="A729" s="181" t="s">
        <v>1822</v>
      </c>
      <c r="B729" s="182" t="n">
        <v>1888</v>
      </c>
      <c r="C729" s="183" t="n">
        <v>237</v>
      </c>
      <c r="D729" s="181" t="s">
        <v>1509</v>
      </c>
      <c r="E729" s="181" t="s">
        <v>266</v>
      </c>
      <c r="F729" s="181" t="s">
        <v>267</v>
      </c>
      <c r="G729" s="181" t="s">
        <v>1812</v>
      </c>
      <c r="H729" s="181" t="s">
        <v>87</v>
      </c>
      <c r="I729" s="181" t="s">
        <v>229</v>
      </c>
      <c r="J729" s="267"/>
      <c r="K729" s="269" t="n">
        <v>45928</v>
      </c>
      <c r="L729" s="267" t="n">
        <v>2.6</v>
      </c>
      <c r="M729" s="184" t="s">
        <v>1812</v>
      </c>
      <c r="N729" s="184" t="n">
        <v>36220</v>
      </c>
      <c r="O729" s="184" t="n">
        <v>15010</v>
      </c>
      <c r="P729" s="185" t="n">
        <v>34</v>
      </c>
      <c r="Q729" s="184" t="n">
        <v>21210</v>
      </c>
      <c r="R729" s="184" t="n">
        <v>13998.6</v>
      </c>
      <c r="S729" s="184" t="s">
        <v>1823</v>
      </c>
      <c r="T729" s="187" t="n">
        <v>45928</v>
      </c>
    </row>
    <row r="730" customFormat="false" ht="35.05" hidden="true" customHeight="false" outlineLevel="0" collapsed="false">
      <c r="A730" s="181" t="s">
        <v>1824</v>
      </c>
      <c r="B730" s="182" t="n">
        <v>1890</v>
      </c>
      <c r="C730" s="183" t="n">
        <v>238</v>
      </c>
      <c r="D730" s="181" t="s">
        <v>1509</v>
      </c>
      <c r="E730" s="181" t="s">
        <v>332</v>
      </c>
      <c r="F730" s="181" t="s">
        <v>333</v>
      </c>
      <c r="G730" s="181" t="s">
        <v>1812</v>
      </c>
      <c r="H730" s="181" t="s">
        <v>87</v>
      </c>
      <c r="I730" s="181" t="s">
        <v>229</v>
      </c>
      <c r="J730" s="267"/>
      <c r="K730" s="269" t="n">
        <v>45928</v>
      </c>
      <c r="L730" s="267" t="n">
        <v>2.7</v>
      </c>
      <c r="M730" s="184" t="s">
        <v>1812</v>
      </c>
      <c r="N730" s="184" t="n">
        <v>36180</v>
      </c>
      <c r="O730" s="184" t="n">
        <v>14810</v>
      </c>
      <c r="P730" s="185" t="n">
        <v>27</v>
      </c>
      <c r="Q730" s="184" t="n">
        <v>21370</v>
      </c>
      <c r="R730" s="184" t="n">
        <v>15600.1</v>
      </c>
      <c r="S730" s="184" t="s">
        <v>1825</v>
      </c>
      <c r="T730" s="187" t="n">
        <v>45928</v>
      </c>
    </row>
    <row r="731" customFormat="false" ht="46.25" hidden="true" customHeight="false" outlineLevel="0" collapsed="false">
      <c r="A731" s="181" t="s">
        <v>1850</v>
      </c>
      <c r="B731" s="182" t="n">
        <v>1914</v>
      </c>
      <c r="C731" s="183" t="n">
        <v>251</v>
      </c>
      <c r="D731" s="181" t="s">
        <v>1509</v>
      </c>
      <c r="E731" s="181" t="s">
        <v>282</v>
      </c>
      <c r="F731" s="181" t="s">
        <v>283</v>
      </c>
      <c r="G731" s="181" t="s">
        <v>1812</v>
      </c>
      <c r="H731" s="181" t="s">
        <v>87</v>
      </c>
      <c r="I731" s="181" t="s">
        <v>229</v>
      </c>
      <c r="J731" s="267"/>
      <c r="K731" s="269" t="n">
        <v>45928</v>
      </c>
      <c r="L731" s="267" t="n">
        <v>2.8</v>
      </c>
      <c r="M731" s="184" t="s">
        <v>1812</v>
      </c>
      <c r="N731" s="184" t="n">
        <v>37650</v>
      </c>
      <c r="O731" s="184" t="n">
        <v>15140</v>
      </c>
      <c r="P731" s="185" t="n">
        <v>32</v>
      </c>
      <c r="Q731" s="184" t="n">
        <v>22510</v>
      </c>
      <c r="R731" s="184" t="n">
        <v>15306.8</v>
      </c>
      <c r="S731" s="184" t="s">
        <v>1851</v>
      </c>
      <c r="T731" s="187" t="n">
        <v>45928</v>
      </c>
    </row>
    <row r="732" customFormat="false" ht="46.25" hidden="true" customHeight="false" outlineLevel="0" collapsed="false">
      <c r="A732" s="181" t="s">
        <v>1826</v>
      </c>
      <c r="B732" s="182" t="n">
        <v>1892</v>
      </c>
      <c r="C732" s="183" t="n">
        <v>239</v>
      </c>
      <c r="D732" s="181" t="s">
        <v>1509</v>
      </c>
      <c r="E732" s="181" t="s">
        <v>282</v>
      </c>
      <c r="F732" s="181" t="s">
        <v>283</v>
      </c>
      <c r="G732" s="181" t="s">
        <v>1812</v>
      </c>
      <c r="H732" s="181" t="s">
        <v>87</v>
      </c>
      <c r="I732" s="181" t="s">
        <v>229</v>
      </c>
      <c r="J732" s="267"/>
      <c r="K732" s="269" t="n">
        <v>45928</v>
      </c>
      <c r="L732" s="267" t="n">
        <v>2.7</v>
      </c>
      <c r="M732" s="184" t="s">
        <v>1812</v>
      </c>
      <c r="N732" s="184" t="n">
        <v>36890</v>
      </c>
      <c r="O732" s="184" t="n">
        <v>15050</v>
      </c>
      <c r="P732" s="185" t="n">
        <v>30</v>
      </c>
      <c r="Q732" s="184" t="n">
        <v>21840</v>
      </c>
      <c r="R732" s="184" t="n">
        <v>15288</v>
      </c>
      <c r="S732" s="184" t="s">
        <v>1827</v>
      </c>
      <c r="T732" s="187" t="n">
        <v>45928</v>
      </c>
    </row>
    <row r="733" customFormat="false" ht="35.05" hidden="true" customHeight="false" outlineLevel="0" collapsed="false">
      <c r="A733" s="181" t="s">
        <v>1848</v>
      </c>
      <c r="B733" s="182" t="n">
        <v>1913</v>
      </c>
      <c r="C733" s="183" t="n">
        <v>250</v>
      </c>
      <c r="D733" s="181" t="s">
        <v>1509</v>
      </c>
      <c r="E733" s="181" t="s">
        <v>332</v>
      </c>
      <c r="F733" s="181" t="s">
        <v>333</v>
      </c>
      <c r="G733" s="181" t="s">
        <v>1812</v>
      </c>
      <c r="H733" s="181" t="s">
        <v>87</v>
      </c>
      <c r="I733" s="181" t="s">
        <v>229</v>
      </c>
      <c r="J733" s="267"/>
      <c r="K733" s="269" t="n">
        <v>45928</v>
      </c>
      <c r="L733" s="267" t="n">
        <v>2.6</v>
      </c>
      <c r="M733" s="184" t="s">
        <v>1812</v>
      </c>
      <c r="N733" s="184" t="n">
        <v>35520</v>
      </c>
      <c r="O733" s="184" t="n">
        <v>14730</v>
      </c>
      <c r="P733" s="185" t="n">
        <v>31</v>
      </c>
      <c r="Q733" s="184" t="n">
        <v>20790</v>
      </c>
      <c r="R733" s="184" t="n">
        <v>14345.1</v>
      </c>
      <c r="S733" s="184" t="s">
        <v>1849</v>
      </c>
      <c r="T733" s="187" t="n">
        <v>45928</v>
      </c>
    </row>
    <row r="734" customFormat="false" ht="23.85" hidden="true" customHeight="false" outlineLevel="0" collapsed="false">
      <c r="A734" s="181" t="s">
        <v>1828</v>
      </c>
      <c r="B734" s="182" t="n">
        <v>1896</v>
      </c>
      <c r="C734" s="183" t="n">
        <v>240</v>
      </c>
      <c r="D734" s="181" t="s">
        <v>1509</v>
      </c>
      <c r="E734" s="181" t="s">
        <v>292</v>
      </c>
      <c r="F734" s="181" t="s">
        <v>293</v>
      </c>
      <c r="G734" s="181" t="s">
        <v>1812</v>
      </c>
      <c r="H734" s="181" t="s">
        <v>87</v>
      </c>
      <c r="I734" s="181" t="s">
        <v>229</v>
      </c>
      <c r="J734" s="267"/>
      <c r="K734" s="269" t="n">
        <v>45928</v>
      </c>
      <c r="L734" s="267" t="n">
        <v>2.5</v>
      </c>
      <c r="M734" s="184" t="s">
        <v>1812</v>
      </c>
      <c r="N734" s="184" t="n">
        <v>33960</v>
      </c>
      <c r="O734" s="184" t="n">
        <v>14000</v>
      </c>
      <c r="P734" s="185" t="n">
        <v>27</v>
      </c>
      <c r="Q734" s="184" t="n">
        <v>19960</v>
      </c>
      <c r="R734" s="184" t="n">
        <v>14570.8</v>
      </c>
      <c r="S734" s="184" t="s">
        <v>1829</v>
      </c>
      <c r="T734" s="187" t="n">
        <v>45928</v>
      </c>
    </row>
    <row r="735" customFormat="false" ht="35.05" hidden="true" customHeight="false" outlineLevel="0" collapsed="false">
      <c r="A735" s="181" t="s">
        <v>1830</v>
      </c>
      <c r="B735" s="182" t="n">
        <v>1897</v>
      </c>
      <c r="C735" s="183" t="n">
        <v>241</v>
      </c>
      <c r="D735" s="181" t="s">
        <v>1509</v>
      </c>
      <c r="E735" s="181" t="s">
        <v>261</v>
      </c>
      <c r="F735" s="181" t="s">
        <v>262</v>
      </c>
      <c r="G735" s="181" t="s">
        <v>1812</v>
      </c>
      <c r="H735" s="181" t="s">
        <v>87</v>
      </c>
      <c r="I735" s="181" t="s">
        <v>229</v>
      </c>
      <c r="J735" s="267"/>
      <c r="K735" s="269" t="n">
        <v>45928</v>
      </c>
      <c r="L735" s="267" t="n">
        <v>2.6</v>
      </c>
      <c r="M735" s="184" t="s">
        <v>1812</v>
      </c>
      <c r="N735" s="184" t="n">
        <v>36370</v>
      </c>
      <c r="O735" s="184" t="n">
        <v>15120</v>
      </c>
      <c r="P735" s="185" t="n">
        <v>31</v>
      </c>
      <c r="Q735" s="184" t="n">
        <v>21250</v>
      </c>
      <c r="R735" s="184" t="n">
        <v>14662.5</v>
      </c>
      <c r="S735" s="184" t="s">
        <v>1831</v>
      </c>
      <c r="T735" s="187" t="n">
        <v>45928</v>
      </c>
    </row>
    <row r="736" customFormat="false" ht="35.05" hidden="true" customHeight="false" outlineLevel="0" collapsed="false">
      <c r="A736" s="181" t="s">
        <v>1846</v>
      </c>
      <c r="B736" s="182" t="n">
        <v>1911</v>
      </c>
      <c r="C736" s="183" t="n">
        <v>249</v>
      </c>
      <c r="D736" s="181" t="s">
        <v>1509</v>
      </c>
      <c r="E736" s="181" t="s">
        <v>261</v>
      </c>
      <c r="F736" s="181" t="s">
        <v>262</v>
      </c>
      <c r="G736" s="181" t="s">
        <v>1812</v>
      </c>
      <c r="H736" s="181" t="s">
        <v>87</v>
      </c>
      <c r="I736" s="181" t="s">
        <v>229</v>
      </c>
      <c r="J736" s="267"/>
      <c r="K736" s="269" t="n">
        <v>45928</v>
      </c>
      <c r="L736" s="267" t="n">
        <v>2.5</v>
      </c>
      <c r="M736" s="184" t="s">
        <v>1812</v>
      </c>
      <c r="N736" s="184" t="n">
        <v>35330</v>
      </c>
      <c r="O736" s="184" t="n">
        <v>15100</v>
      </c>
      <c r="P736" s="185" t="n">
        <v>25</v>
      </c>
      <c r="Q736" s="184" t="n">
        <v>20230</v>
      </c>
      <c r="R736" s="184" t="n">
        <v>15172.5</v>
      </c>
      <c r="S736" s="184" t="s">
        <v>1847</v>
      </c>
      <c r="T736" s="187" t="n">
        <v>45928</v>
      </c>
    </row>
    <row r="737" customFormat="false" ht="35.05" hidden="true" customHeight="false" outlineLevel="0" collapsed="false">
      <c r="A737" s="181" t="s">
        <v>1832</v>
      </c>
      <c r="B737" s="182" t="n">
        <v>1900</v>
      </c>
      <c r="C737" s="183" t="n">
        <v>242</v>
      </c>
      <c r="D737" s="181" t="s">
        <v>1509</v>
      </c>
      <c r="E737" s="181" t="s">
        <v>332</v>
      </c>
      <c r="F737" s="181" t="s">
        <v>333</v>
      </c>
      <c r="G737" s="181" t="s">
        <v>1812</v>
      </c>
      <c r="H737" s="181" t="s">
        <v>87</v>
      </c>
      <c r="I737" s="181" t="s">
        <v>229</v>
      </c>
      <c r="J737" s="267"/>
      <c r="K737" s="269" t="n">
        <v>45928</v>
      </c>
      <c r="L737" s="267" t="n">
        <v>2.8</v>
      </c>
      <c r="M737" s="184" t="s">
        <v>1812</v>
      </c>
      <c r="N737" s="184" t="n">
        <v>37630</v>
      </c>
      <c r="O737" s="184" t="n">
        <v>14780</v>
      </c>
      <c r="P737" s="185" t="n">
        <v>22</v>
      </c>
      <c r="Q737" s="184" t="n">
        <v>22850</v>
      </c>
      <c r="R737" s="184" t="n">
        <v>17823</v>
      </c>
      <c r="S737" s="184" t="s">
        <v>1833</v>
      </c>
      <c r="T737" s="187" t="n">
        <v>45928</v>
      </c>
    </row>
    <row r="738" customFormat="false" ht="23.85" hidden="true" customHeight="false" outlineLevel="0" collapsed="false">
      <c r="A738" s="181" t="s">
        <v>1844</v>
      </c>
      <c r="B738" s="182" t="n">
        <v>1908</v>
      </c>
      <c r="C738" s="183" t="n">
        <v>248</v>
      </c>
      <c r="D738" s="181" t="s">
        <v>1509</v>
      </c>
      <c r="E738" s="181" t="s">
        <v>292</v>
      </c>
      <c r="F738" s="181" t="s">
        <v>293</v>
      </c>
      <c r="G738" s="181" t="s">
        <v>1812</v>
      </c>
      <c r="H738" s="181" t="s">
        <v>87</v>
      </c>
      <c r="I738" s="181" t="s">
        <v>229</v>
      </c>
      <c r="J738" s="267"/>
      <c r="K738" s="269" t="n">
        <v>45928</v>
      </c>
      <c r="L738" s="267" t="n">
        <v>2.7</v>
      </c>
      <c r="M738" s="184" t="s">
        <v>1812</v>
      </c>
      <c r="N738" s="184" t="n">
        <v>35450</v>
      </c>
      <c r="O738" s="184" t="n">
        <v>13970</v>
      </c>
      <c r="P738" s="185" t="n">
        <v>32</v>
      </c>
      <c r="Q738" s="184" t="n">
        <v>21480</v>
      </c>
      <c r="R738" s="184" t="n">
        <v>14606.4</v>
      </c>
      <c r="S738" s="184" t="s">
        <v>1845</v>
      </c>
      <c r="T738" s="187" t="n">
        <v>45928</v>
      </c>
    </row>
    <row r="739" customFormat="false" ht="46.25" hidden="true" customHeight="false" outlineLevel="0" collapsed="false">
      <c r="A739" s="181" t="s">
        <v>1834</v>
      </c>
      <c r="B739" s="182" t="n">
        <v>1901</v>
      </c>
      <c r="C739" s="183" t="n">
        <v>243</v>
      </c>
      <c r="D739" s="181" t="s">
        <v>1509</v>
      </c>
      <c r="E739" s="181" t="s">
        <v>282</v>
      </c>
      <c r="F739" s="181" t="s">
        <v>283</v>
      </c>
      <c r="G739" s="181" t="s">
        <v>1812</v>
      </c>
      <c r="H739" s="181" t="s">
        <v>87</v>
      </c>
      <c r="I739" s="181" t="s">
        <v>229</v>
      </c>
      <c r="J739" s="267"/>
      <c r="K739" s="269" t="n">
        <v>45928</v>
      </c>
      <c r="L739" s="267" t="n">
        <v>3</v>
      </c>
      <c r="M739" s="184" t="s">
        <v>1812</v>
      </c>
      <c r="N739" s="184" t="n">
        <v>39250</v>
      </c>
      <c r="O739" s="184" t="n">
        <v>15170</v>
      </c>
      <c r="P739" s="185" t="n">
        <v>29</v>
      </c>
      <c r="Q739" s="184" t="n">
        <v>24080</v>
      </c>
      <c r="R739" s="184" t="n">
        <v>17096.8</v>
      </c>
      <c r="S739" s="184" t="s">
        <v>1835</v>
      </c>
      <c r="T739" s="187" t="n">
        <v>45928</v>
      </c>
    </row>
    <row r="740" customFormat="false" ht="23.85" hidden="true" customHeight="false" outlineLevel="0" collapsed="false">
      <c r="A740" s="181" t="s">
        <v>1836</v>
      </c>
      <c r="B740" s="182" t="n">
        <v>1902</v>
      </c>
      <c r="C740" s="183" t="n">
        <v>244</v>
      </c>
      <c r="D740" s="181" t="s">
        <v>1509</v>
      </c>
      <c r="E740" s="181" t="s">
        <v>292</v>
      </c>
      <c r="F740" s="181" t="s">
        <v>293</v>
      </c>
      <c r="G740" s="181" t="s">
        <v>1812</v>
      </c>
      <c r="H740" s="181" t="s">
        <v>87</v>
      </c>
      <c r="I740" s="181" t="s">
        <v>229</v>
      </c>
      <c r="J740" s="267"/>
      <c r="K740" s="269" t="n">
        <v>45928</v>
      </c>
      <c r="L740" s="267" t="n">
        <v>2.6</v>
      </c>
      <c r="M740" s="184" t="s">
        <v>1812</v>
      </c>
      <c r="N740" s="184" t="n">
        <v>35190</v>
      </c>
      <c r="O740" s="184" t="n">
        <v>13980</v>
      </c>
      <c r="P740" s="185" t="n">
        <v>29</v>
      </c>
      <c r="Q740" s="184" t="n">
        <v>21210</v>
      </c>
      <c r="R740" s="184" t="n">
        <v>15059.1</v>
      </c>
      <c r="S740" s="184" t="s">
        <v>1837</v>
      </c>
      <c r="T740" s="187" t="n">
        <v>45928</v>
      </c>
    </row>
    <row r="741" customFormat="false" ht="46.25" hidden="true" customHeight="false" outlineLevel="0" collapsed="false">
      <c r="A741" s="181" t="s">
        <v>1842</v>
      </c>
      <c r="B741" s="182" t="n">
        <v>1907</v>
      </c>
      <c r="C741" s="183" t="n">
        <v>247</v>
      </c>
      <c r="D741" s="181" t="s">
        <v>1509</v>
      </c>
      <c r="E741" s="181" t="s">
        <v>282</v>
      </c>
      <c r="F741" s="181" t="s">
        <v>283</v>
      </c>
      <c r="G741" s="181" t="s">
        <v>1812</v>
      </c>
      <c r="H741" s="181" t="s">
        <v>87</v>
      </c>
      <c r="I741" s="181" t="s">
        <v>229</v>
      </c>
      <c r="J741" s="267"/>
      <c r="K741" s="269" t="n">
        <v>45928</v>
      </c>
      <c r="L741" s="267" t="n">
        <v>2.7</v>
      </c>
      <c r="M741" s="184" t="s">
        <v>1812</v>
      </c>
      <c r="N741" s="184" t="n">
        <v>36860</v>
      </c>
      <c r="O741" s="184" t="n">
        <v>15150</v>
      </c>
      <c r="P741" s="185" t="n">
        <v>33</v>
      </c>
      <c r="Q741" s="184" t="n">
        <v>21710</v>
      </c>
      <c r="R741" s="184" t="n">
        <v>14545.7</v>
      </c>
      <c r="S741" s="184" t="s">
        <v>1843</v>
      </c>
      <c r="T741" s="187" t="n">
        <v>45928</v>
      </c>
    </row>
    <row r="742" customFormat="false" ht="35.05" hidden="true" customHeight="false" outlineLevel="0" collapsed="false">
      <c r="A742" s="181" t="s">
        <v>1838</v>
      </c>
      <c r="B742" s="182" t="n">
        <v>1903</v>
      </c>
      <c r="C742" s="183" t="n">
        <v>245</v>
      </c>
      <c r="D742" s="181" t="s">
        <v>1509</v>
      </c>
      <c r="E742" s="181" t="s">
        <v>261</v>
      </c>
      <c r="F742" s="181" t="s">
        <v>262</v>
      </c>
      <c r="G742" s="181" t="s">
        <v>1812</v>
      </c>
      <c r="H742" s="181" t="s">
        <v>87</v>
      </c>
      <c r="I742" s="181" t="s">
        <v>229</v>
      </c>
      <c r="J742" s="267"/>
      <c r="K742" s="269" t="n">
        <v>45928</v>
      </c>
      <c r="L742" s="267" t="n">
        <v>2.7</v>
      </c>
      <c r="M742" s="184" t="s">
        <v>1812</v>
      </c>
      <c r="N742" s="184" t="n">
        <v>36680</v>
      </c>
      <c r="O742" s="184" t="n">
        <v>15100</v>
      </c>
      <c r="P742" s="185" t="n">
        <v>16</v>
      </c>
      <c r="Q742" s="184" t="n">
        <v>21580</v>
      </c>
      <c r="R742" s="184" t="n">
        <v>18127.2</v>
      </c>
      <c r="S742" s="184" t="s">
        <v>1839</v>
      </c>
      <c r="T742" s="187" t="n">
        <v>45928</v>
      </c>
    </row>
    <row r="743" customFormat="false" ht="35.05" hidden="true" customHeight="false" outlineLevel="0" collapsed="false">
      <c r="A743" s="181" t="s">
        <v>1840</v>
      </c>
      <c r="B743" s="182" t="n">
        <v>1904</v>
      </c>
      <c r="C743" s="183" t="n">
        <v>246</v>
      </c>
      <c r="D743" s="181" t="s">
        <v>1509</v>
      </c>
      <c r="E743" s="181" t="s">
        <v>332</v>
      </c>
      <c r="F743" s="181" t="s">
        <v>333</v>
      </c>
      <c r="G743" s="181" t="s">
        <v>1812</v>
      </c>
      <c r="H743" s="181" t="s">
        <v>87</v>
      </c>
      <c r="I743" s="181" t="s">
        <v>229</v>
      </c>
      <c r="J743" s="267"/>
      <c r="K743" s="269" t="n">
        <v>45928</v>
      </c>
      <c r="L743" s="267" t="n">
        <v>2.8</v>
      </c>
      <c r="M743" s="184" t="s">
        <v>1812</v>
      </c>
      <c r="N743" s="184" t="n">
        <v>36630</v>
      </c>
      <c r="O743" s="184" t="n">
        <v>14770</v>
      </c>
      <c r="P743" s="185" t="n">
        <v>31</v>
      </c>
      <c r="Q743" s="184" t="n">
        <v>21860</v>
      </c>
      <c r="R743" s="184" t="n">
        <v>15083.4</v>
      </c>
      <c r="S743" s="184" t="s">
        <v>1841</v>
      </c>
      <c r="T743" s="187" t="n">
        <v>45928</v>
      </c>
    </row>
    <row r="744" customFormat="false" ht="23.85" hidden="true" customHeight="false" outlineLevel="0" collapsed="false">
      <c r="A744" s="181" t="s">
        <v>1864</v>
      </c>
      <c r="B744" s="182" t="n">
        <v>1927</v>
      </c>
      <c r="C744" s="183" t="n">
        <v>54993</v>
      </c>
      <c r="D744" s="181" t="s">
        <v>1686</v>
      </c>
      <c r="E744" s="181" t="s">
        <v>336</v>
      </c>
      <c r="F744" s="181" t="s">
        <v>337</v>
      </c>
      <c r="G744" s="181" t="s">
        <v>1687</v>
      </c>
      <c r="H744" s="181" t="s">
        <v>279</v>
      </c>
      <c r="I744" s="181" t="s">
        <v>239</v>
      </c>
      <c r="J744" s="267"/>
      <c r="K744" s="269" t="n">
        <v>45929</v>
      </c>
      <c r="L744" s="267" t="n">
        <v>1.5</v>
      </c>
      <c r="M744" s="184" t="s">
        <v>1687</v>
      </c>
      <c r="N744" s="184" t="n">
        <v>41110</v>
      </c>
      <c r="O744" s="184" t="n">
        <v>14700</v>
      </c>
      <c r="P744" s="185" t="n">
        <v>5</v>
      </c>
      <c r="Q744" s="184" t="n">
        <v>26410</v>
      </c>
      <c r="R744" s="184" t="n">
        <v>25089.5</v>
      </c>
      <c r="S744" s="184" t="s">
        <v>1865</v>
      </c>
      <c r="T744" s="187" t="n">
        <v>45929</v>
      </c>
    </row>
    <row r="745" customFormat="false" ht="35.05" hidden="true" customHeight="false" outlineLevel="0" collapsed="false">
      <c r="A745" s="181" t="s">
        <v>1866</v>
      </c>
      <c r="B745" s="182" t="n">
        <v>1928</v>
      </c>
      <c r="C745" s="183" t="n">
        <v>54993</v>
      </c>
      <c r="D745" s="181" t="s">
        <v>1686</v>
      </c>
      <c r="E745" s="181" t="s">
        <v>340</v>
      </c>
      <c r="F745" s="181" t="s">
        <v>341</v>
      </c>
      <c r="G745" s="181" t="s">
        <v>1687</v>
      </c>
      <c r="H745" s="181" t="s">
        <v>279</v>
      </c>
      <c r="I745" s="181" t="s">
        <v>239</v>
      </c>
      <c r="J745" s="267"/>
      <c r="K745" s="269" t="n">
        <v>45929</v>
      </c>
      <c r="L745" s="267" t="n">
        <v>1.5</v>
      </c>
      <c r="M745" s="184" t="s">
        <v>1687</v>
      </c>
      <c r="N745" s="184" t="n">
        <v>40780</v>
      </c>
      <c r="O745" s="184" t="n">
        <v>15030</v>
      </c>
      <c r="P745" s="185" t="n">
        <v>5</v>
      </c>
      <c r="Q745" s="184" t="n">
        <v>25750</v>
      </c>
      <c r="R745" s="184" t="n">
        <v>24462.5</v>
      </c>
      <c r="S745" s="184" t="s">
        <v>1867</v>
      </c>
      <c r="T745" s="187" t="n">
        <v>45929</v>
      </c>
    </row>
    <row r="746" customFormat="false" ht="23.85" hidden="true" customHeight="false" outlineLevel="0" collapsed="false">
      <c r="A746" s="181" t="s">
        <v>1868</v>
      </c>
      <c r="B746" s="182" t="n">
        <v>1929</v>
      </c>
      <c r="C746" s="183" t="n">
        <v>54994</v>
      </c>
      <c r="D746" s="181" t="s">
        <v>1686</v>
      </c>
      <c r="E746" s="181" t="s">
        <v>308</v>
      </c>
      <c r="F746" s="181" t="s">
        <v>309</v>
      </c>
      <c r="G746" s="181" t="s">
        <v>1687</v>
      </c>
      <c r="H746" s="181" t="s">
        <v>279</v>
      </c>
      <c r="I746" s="181" t="s">
        <v>239</v>
      </c>
      <c r="J746" s="267"/>
      <c r="K746" s="269" t="n">
        <v>45929</v>
      </c>
      <c r="L746" s="267" t="n">
        <v>2.4</v>
      </c>
      <c r="M746" s="184" t="s">
        <v>1687</v>
      </c>
      <c r="N746" s="184" t="n">
        <v>66060</v>
      </c>
      <c r="O746" s="184" t="n">
        <v>24280</v>
      </c>
      <c r="P746" s="185" t="n">
        <v>7</v>
      </c>
      <c r="Q746" s="184" t="n">
        <v>41780</v>
      </c>
      <c r="R746" s="184" t="n">
        <v>38855.4</v>
      </c>
      <c r="S746" s="184" t="s">
        <v>1869</v>
      </c>
      <c r="T746" s="187" t="n">
        <v>45929</v>
      </c>
    </row>
    <row r="747" customFormat="false" ht="35.05" hidden="true" customHeight="false" outlineLevel="0" collapsed="false">
      <c r="A747" s="181" t="s">
        <v>1870</v>
      </c>
      <c r="B747" s="182" t="n">
        <v>1930</v>
      </c>
      <c r="C747" s="183" t="n">
        <v>54995</v>
      </c>
      <c r="D747" s="181" t="s">
        <v>1686</v>
      </c>
      <c r="E747" s="181" t="s">
        <v>304</v>
      </c>
      <c r="F747" s="181" t="s">
        <v>305</v>
      </c>
      <c r="G747" s="181" t="s">
        <v>1687</v>
      </c>
      <c r="H747" s="181" t="s">
        <v>279</v>
      </c>
      <c r="I747" s="181" t="s">
        <v>239</v>
      </c>
      <c r="J747" s="267"/>
      <c r="K747" s="269" t="n">
        <v>45929</v>
      </c>
      <c r="L747" s="267" t="n">
        <v>1.5</v>
      </c>
      <c r="M747" s="184" t="s">
        <v>1687</v>
      </c>
      <c r="N747" s="184" t="n">
        <v>41340</v>
      </c>
      <c r="O747" s="184" t="n">
        <v>15180</v>
      </c>
      <c r="P747" s="185" t="n">
        <v>8</v>
      </c>
      <c r="Q747" s="184" t="n">
        <v>26160</v>
      </c>
      <c r="R747" s="184" t="n">
        <v>24067.2</v>
      </c>
      <c r="S747" s="184" t="s">
        <v>1871</v>
      </c>
      <c r="T747" s="187" t="n">
        <v>45929</v>
      </c>
    </row>
    <row r="748" customFormat="false" ht="35.05" hidden="true" customHeight="false" outlineLevel="0" collapsed="false">
      <c r="A748" s="181" t="s">
        <v>1872</v>
      </c>
      <c r="B748" s="182" t="n">
        <v>1932</v>
      </c>
      <c r="C748" s="183" t="n">
        <v>54996</v>
      </c>
      <c r="D748" s="181" t="s">
        <v>1686</v>
      </c>
      <c r="E748" s="181" t="s">
        <v>300</v>
      </c>
      <c r="F748" s="181" t="s">
        <v>301</v>
      </c>
      <c r="G748" s="181" t="s">
        <v>1687</v>
      </c>
      <c r="H748" s="181" t="s">
        <v>279</v>
      </c>
      <c r="I748" s="181" t="s">
        <v>239</v>
      </c>
      <c r="J748" s="267"/>
      <c r="K748" s="269" t="n">
        <v>45929</v>
      </c>
      <c r="L748" s="267" t="n">
        <v>2</v>
      </c>
      <c r="M748" s="184" t="s">
        <v>1687</v>
      </c>
      <c r="N748" s="184" t="n">
        <v>55580</v>
      </c>
      <c r="O748" s="184" t="n">
        <v>21120</v>
      </c>
      <c r="P748" s="185" t="n">
        <v>7</v>
      </c>
      <c r="Q748" s="184" t="n">
        <v>34460</v>
      </c>
      <c r="R748" s="184" t="n">
        <v>32047.8</v>
      </c>
      <c r="S748" s="184" t="s">
        <v>1873</v>
      </c>
      <c r="T748" s="187" t="n">
        <v>45929</v>
      </c>
    </row>
    <row r="749" customFormat="false" ht="35.05" hidden="true" customHeight="false" outlineLevel="0" collapsed="false">
      <c r="A749" s="181" t="s">
        <v>1874</v>
      </c>
      <c r="B749" s="182" t="n">
        <v>1933</v>
      </c>
      <c r="C749" s="183"/>
      <c r="D749" s="181" t="s">
        <v>1686</v>
      </c>
      <c r="E749" s="181" t="s">
        <v>332</v>
      </c>
      <c r="F749" s="181" t="s">
        <v>333</v>
      </c>
      <c r="G749" s="181" t="s">
        <v>1687</v>
      </c>
      <c r="H749" s="181" t="s">
        <v>279</v>
      </c>
      <c r="I749" s="181" t="s">
        <v>239</v>
      </c>
      <c r="J749" s="267"/>
      <c r="K749" s="269" t="n">
        <v>45929</v>
      </c>
      <c r="L749" s="267" t="n">
        <v>1.4</v>
      </c>
      <c r="M749" s="184" t="s">
        <v>1687</v>
      </c>
      <c r="N749" s="184" t="n">
        <v>39360</v>
      </c>
      <c r="O749" s="184" t="n">
        <v>14970</v>
      </c>
      <c r="P749" s="185" t="n">
        <v>7</v>
      </c>
      <c r="Q749" s="184" t="n">
        <v>24390</v>
      </c>
      <c r="R749" s="184" t="n">
        <v>22682.7</v>
      </c>
      <c r="S749" s="184" t="s">
        <v>1875</v>
      </c>
      <c r="T749" s="187" t="n">
        <v>45929</v>
      </c>
    </row>
    <row r="750" customFormat="false" ht="35.05" hidden="true" customHeight="false" outlineLevel="0" collapsed="false">
      <c r="A750" s="181" t="s">
        <v>1876</v>
      </c>
      <c r="B750" s="182" t="n">
        <v>1934</v>
      </c>
      <c r="C750" s="183"/>
      <c r="D750" s="181" t="s">
        <v>1686</v>
      </c>
      <c r="E750" s="181" t="s">
        <v>582</v>
      </c>
      <c r="F750" s="181" t="s">
        <v>583</v>
      </c>
      <c r="G750" s="181" t="s">
        <v>1687</v>
      </c>
      <c r="H750" s="181" t="s">
        <v>279</v>
      </c>
      <c r="I750" s="181" t="s">
        <v>239</v>
      </c>
      <c r="J750" s="267"/>
      <c r="K750" s="269" t="n">
        <v>45929</v>
      </c>
      <c r="L750" s="267" t="n">
        <v>1.5</v>
      </c>
      <c r="M750" s="184" t="s">
        <v>1687</v>
      </c>
      <c r="N750" s="184" t="n">
        <v>41090</v>
      </c>
      <c r="O750" s="184" t="n">
        <v>15090</v>
      </c>
      <c r="P750" s="185" t="n">
        <v>7</v>
      </c>
      <c r="Q750" s="184" t="n">
        <v>26000</v>
      </c>
      <c r="R750" s="184" t="n">
        <v>24180</v>
      </c>
      <c r="S750" s="184" t="s">
        <v>1877</v>
      </c>
      <c r="T750" s="187" t="n">
        <v>45929</v>
      </c>
    </row>
    <row r="751" customFormat="false" ht="23.85" hidden="true" customHeight="false" outlineLevel="0" collapsed="false">
      <c r="A751" s="181" t="s">
        <v>1878</v>
      </c>
      <c r="B751" s="182" t="n">
        <v>1935</v>
      </c>
      <c r="C751" s="183"/>
      <c r="D751" s="181" t="s">
        <v>1686</v>
      </c>
      <c r="E751" s="181" t="s">
        <v>346</v>
      </c>
      <c r="F751" s="181" t="s">
        <v>347</v>
      </c>
      <c r="G751" s="181" t="s">
        <v>1687</v>
      </c>
      <c r="H751" s="181" t="s">
        <v>279</v>
      </c>
      <c r="I751" s="181" t="s">
        <v>239</v>
      </c>
      <c r="J751" s="267"/>
      <c r="K751" s="269" t="n">
        <v>45929</v>
      </c>
      <c r="L751" s="267" t="n">
        <v>1.5</v>
      </c>
      <c r="M751" s="184" t="s">
        <v>1687</v>
      </c>
      <c r="N751" s="184" t="n">
        <v>40960</v>
      </c>
      <c r="O751" s="184" t="n">
        <v>15210</v>
      </c>
      <c r="P751" s="185" t="n">
        <v>7</v>
      </c>
      <c r="Q751" s="184" t="n">
        <v>25750</v>
      </c>
      <c r="R751" s="184" t="n">
        <v>23947.5</v>
      </c>
      <c r="S751" s="184" t="s">
        <v>1879</v>
      </c>
      <c r="T751" s="187" t="n">
        <v>45929</v>
      </c>
    </row>
    <row r="752" customFormat="false" ht="23.85" hidden="true" customHeight="false" outlineLevel="0" collapsed="false">
      <c r="A752" s="181" t="s">
        <v>1880</v>
      </c>
      <c r="B752" s="182" t="n">
        <v>1955</v>
      </c>
      <c r="C752" s="183" t="n">
        <v>254</v>
      </c>
      <c r="D752" s="181" t="s">
        <v>1509</v>
      </c>
      <c r="E752" s="181" t="s">
        <v>1646</v>
      </c>
      <c r="F752" s="181" t="s">
        <v>1647</v>
      </c>
      <c r="G752" s="181" t="s">
        <v>1512</v>
      </c>
      <c r="H752" s="181" t="s">
        <v>316</v>
      </c>
      <c r="I752" s="181" t="s">
        <v>238</v>
      </c>
      <c r="J752" s="267"/>
      <c r="K752" s="269" t="n">
        <v>45931</v>
      </c>
      <c r="L752" s="267" t="n">
        <v>1.5</v>
      </c>
      <c r="M752" s="184" t="s">
        <v>1512</v>
      </c>
      <c r="N752" s="184" t="n">
        <v>28750</v>
      </c>
      <c r="O752" s="184" t="n">
        <v>14420</v>
      </c>
      <c r="P752" s="185" t="n">
        <v>31</v>
      </c>
      <c r="Q752" s="184" t="n">
        <v>14330</v>
      </c>
      <c r="R752" s="184" t="n">
        <v>9887.7</v>
      </c>
      <c r="S752" s="184" t="s">
        <v>1881</v>
      </c>
      <c r="T752" s="187" t="n">
        <v>45931</v>
      </c>
    </row>
    <row r="753" customFormat="false" ht="35.05" hidden="true" customHeight="false" outlineLevel="0" collapsed="false">
      <c r="A753" s="181" t="s">
        <v>1882</v>
      </c>
      <c r="B753" s="182" t="n">
        <v>1956</v>
      </c>
      <c r="C753" s="183" t="n">
        <v>255</v>
      </c>
      <c r="D753" s="181" t="s">
        <v>1509</v>
      </c>
      <c r="E753" s="181" t="s">
        <v>1510</v>
      </c>
      <c r="F753" s="181" t="s">
        <v>1511</v>
      </c>
      <c r="G753" s="181" t="s">
        <v>1512</v>
      </c>
      <c r="H753" s="181" t="s">
        <v>316</v>
      </c>
      <c r="I753" s="181" t="s">
        <v>238</v>
      </c>
      <c r="J753" s="267"/>
      <c r="K753" s="269" t="n">
        <v>45931</v>
      </c>
      <c r="L753" s="267" t="n">
        <v>1.5</v>
      </c>
      <c r="M753" s="184" t="s">
        <v>1512</v>
      </c>
      <c r="N753" s="184" t="n">
        <v>29430</v>
      </c>
      <c r="O753" s="184" t="n">
        <v>14250</v>
      </c>
      <c r="P753" s="185" t="n">
        <v>48</v>
      </c>
      <c r="Q753" s="184" t="n">
        <v>15180</v>
      </c>
      <c r="R753" s="184" t="n">
        <v>7893.6</v>
      </c>
      <c r="S753" s="184" t="s">
        <v>1883</v>
      </c>
      <c r="T753" s="187" t="n">
        <v>45931</v>
      </c>
    </row>
    <row r="754" customFormat="false" ht="46.25" hidden="true" customHeight="false" outlineLevel="0" collapsed="false">
      <c r="A754" s="181" t="s">
        <v>1884</v>
      </c>
      <c r="B754" s="182" t="n">
        <v>1957</v>
      </c>
      <c r="C754" s="183" t="s">
        <v>1885</v>
      </c>
      <c r="D754" s="181" t="s">
        <v>1686</v>
      </c>
      <c r="E754" s="181" t="s">
        <v>282</v>
      </c>
      <c r="F754" s="181" t="s">
        <v>283</v>
      </c>
      <c r="G754" s="181" t="s">
        <v>1687</v>
      </c>
      <c r="H754" s="181" t="s">
        <v>279</v>
      </c>
      <c r="I754" s="181" t="s">
        <v>239</v>
      </c>
      <c r="J754" s="267"/>
      <c r="K754" s="269" t="n">
        <v>45931</v>
      </c>
      <c r="L754" s="267" t="n">
        <v>0.8</v>
      </c>
      <c r="M754" s="184" t="s">
        <v>1687</v>
      </c>
      <c r="N754" s="184" t="n">
        <v>39690</v>
      </c>
      <c r="O754" s="184" t="n">
        <v>15100</v>
      </c>
      <c r="P754" s="185" t="n">
        <v>20</v>
      </c>
      <c r="Q754" s="184" t="n">
        <v>24590</v>
      </c>
      <c r="R754" s="184" t="n">
        <v>19672</v>
      </c>
      <c r="S754" s="184" t="s">
        <v>1886</v>
      </c>
      <c r="T754" s="187" t="n">
        <v>45931</v>
      </c>
    </row>
    <row r="755" customFormat="false" ht="35.05" hidden="true" customHeight="false" outlineLevel="0" collapsed="false">
      <c r="A755" s="181" t="s">
        <v>1887</v>
      </c>
      <c r="B755" s="182" t="n">
        <v>1958</v>
      </c>
      <c r="C755" s="183" t="s">
        <v>1885</v>
      </c>
      <c r="D755" s="181" t="s">
        <v>1686</v>
      </c>
      <c r="E755" s="181" t="s">
        <v>576</v>
      </c>
      <c r="F755" s="181" t="s">
        <v>577</v>
      </c>
      <c r="G755" s="181" t="s">
        <v>1687</v>
      </c>
      <c r="H755" s="181" t="s">
        <v>279</v>
      </c>
      <c r="I755" s="181" t="s">
        <v>239</v>
      </c>
      <c r="J755" s="267"/>
      <c r="K755" s="269" t="n">
        <v>45931</v>
      </c>
      <c r="L755" s="267" t="n">
        <v>0.9</v>
      </c>
      <c r="M755" s="184" t="s">
        <v>1687</v>
      </c>
      <c r="N755" s="184" t="n">
        <v>39460</v>
      </c>
      <c r="O755" s="184" t="n">
        <v>14590</v>
      </c>
      <c r="P755" s="185" t="n">
        <v>11</v>
      </c>
      <c r="Q755" s="184" t="n">
        <v>24870</v>
      </c>
      <c r="R755" s="184" t="n">
        <v>22134.3</v>
      </c>
      <c r="S755" s="184" t="s">
        <v>1888</v>
      </c>
      <c r="T755" s="187" t="n">
        <v>45931</v>
      </c>
    </row>
    <row r="756" customFormat="false" ht="35.05" hidden="true" customHeight="false" outlineLevel="0" collapsed="false">
      <c r="A756" s="181" t="s">
        <v>1889</v>
      </c>
      <c r="B756" s="182" t="n">
        <v>1959</v>
      </c>
      <c r="C756" s="183" t="s">
        <v>1885</v>
      </c>
      <c r="D756" s="181" t="s">
        <v>1686</v>
      </c>
      <c r="E756" s="181" t="s">
        <v>582</v>
      </c>
      <c r="F756" s="181" t="s">
        <v>583</v>
      </c>
      <c r="G756" s="181" t="s">
        <v>1687</v>
      </c>
      <c r="H756" s="181" t="s">
        <v>279</v>
      </c>
      <c r="I756" s="181" t="s">
        <v>239</v>
      </c>
      <c r="J756" s="267"/>
      <c r="K756" s="269" t="n">
        <v>45931</v>
      </c>
      <c r="L756" s="267" t="n">
        <v>0.9</v>
      </c>
      <c r="M756" s="184" t="s">
        <v>1687</v>
      </c>
      <c r="N756" s="184" t="n">
        <v>41130</v>
      </c>
      <c r="O756" s="184" t="n">
        <v>14980</v>
      </c>
      <c r="P756" s="185" t="n">
        <v>11</v>
      </c>
      <c r="Q756" s="184" t="n">
        <v>26150</v>
      </c>
      <c r="R756" s="184" t="n">
        <v>23273.5</v>
      </c>
      <c r="S756" s="184" t="s">
        <v>1890</v>
      </c>
      <c r="T756" s="187" t="n">
        <v>45931</v>
      </c>
    </row>
    <row r="757" customFormat="false" ht="35.05" hidden="true" customHeight="false" outlineLevel="0" collapsed="false">
      <c r="A757" s="181" t="s">
        <v>1891</v>
      </c>
      <c r="B757" s="182" t="n">
        <v>1961</v>
      </c>
      <c r="C757" s="183" t="s">
        <v>1885</v>
      </c>
      <c r="D757" s="181" t="s">
        <v>1686</v>
      </c>
      <c r="E757" s="181" t="s">
        <v>266</v>
      </c>
      <c r="F757" s="181" t="s">
        <v>267</v>
      </c>
      <c r="G757" s="181" t="s">
        <v>1687</v>
      </c>
      <c r="H757" s="181" t="s">
        <v>279</v>
      </c>
      <c r="I757" s="181" t="s">
        <v>239</v>
      </c>
      <c r="J757" s="267"/>
      <c r="K757" s="269" t="n">
        <v>45931</v>
      </c>
      <c r="L757" s="267" t="n">
        <v>0.8</v>
      </c>
      <c r="M757" s="184" t="s">
        <v>1687</v>
      </c>
      <c r="N757" s="184" t="n">
        <v>39410</v>
      </c>
      <c r="O757" s="184" t="n">
        <v>14860</v>
      </c>
      <c r="P757" s="185" t="n">
        <v>6</v>
      </c>
      <c r="Q757" s="184" t="n">
        <v>24550</v>
      </c>
      <c r="R757" s="184" t="n">
        <v>23077</v>
      </c>
      <c r="S757" s="184" t="s">
        <v>1892</v>
      </c>
      <c r="T757" s="187" t="n">
        <v>45931</v>
      </c>
    </row>
    <row r="758" customFormat="false" ht="23.85" hidden="true" customHeight="false" outlineLevel="0" collapsed="false">
      <c r="A758" s="181" t="s">
        <v>1893</v>
      </c>
      <c r="B758" s="182" t="n">
        <v>1962</v>
      </c>
      <c r="C758" s="183" t="s">
        <v>1885</v>
      </c>
      <c r="D758" s="181" t="s">
        <v>1686</v>
      </c>
      <c r="E758" s="181" t="s">
        <v>292</v>
      </c>
      <c r="F758" s="181" t="s">
        <v>293</v>
      </c>
      <c r="G758" s="181" t="s">
        <v>1687</v>
      </c>
      <c r="H758" s="181" t="s">
        <v>279</v>
      </c>
      <c r="I758" s="181" t="s">
        <v>239</v>
      </c>
      <c r="J758" s="267"/>
      <c r="K758" s="269" t="n">
        <v>45931</v>
      </c>
      <c r="L758" s="267" t="n">
        <v>0.8</v>
      </c>
      <c r="M758" s="184" t="s">
        <v>1687</v>
      </c>
      <c r="N758" s="184" t="n">
        <v>36920</v>
      </c>
      <c r="O758" s="184" t="n">
        <v>13920</v>
      </c>
      <c r="P758" s="185" t="n">
        <v>12</v>
      </c>
      <c r="Q758" s="184" t="n">
        <v>23000</v>
      </c>
      <c r="R758" s="184" t="n">
        <v>20240</v>
      </c>
      <c r="S758" s="184" t="s">
        <v>1894</v>
      </c>
      <c r="T758" s="187" t="n">
        <v>45931</v>
      </c>
    </row>
    <row r="759" customFormat="false" ht="23.85" hidden="true" customHeight="false" outlineLevel="0" collapsed="false">
      <c r="A759" s="181" t="s">
        <v>1895</v>
      </c>
      <c r="B759" s="182" t="n">
        <v>1963</v>
      </c>
      <c r="C759" s="183" t="s">
        <v>1885</v>
      </c>
      <c r="D759" s="181" t="s">
        <v>1686</v>
      </c>
      <c r="E759" s="181" t="s">
        <v>272</v>
      </c>
      <c r="F759" s="181" t="s">
        <v>273</v>
      </c>
      <c r="G759" s="181" t="s">
        <v>1687</v>
      </c>
      <c r="H759" s="181" t="s">
        <v>279</v>
      </c>
      <c r="I759" s="181" t="s">
        <v>239</v>
      </c>
      <c r="J759" s="267"/>
      <c r="K759" s="269" t="n">
        <v>45931</v>
      </c>
      <c r="L759" s="267" t="n">
        <v>0.9</v>
      </c>
      <c r="M759" s="184" t="s">
        <v>1687</v>
      </c>
      <c r="N759" s="184" t="n">
        <v>41340</v>
      </c>
      <c r="O759" s="184" t="n">
        <v>15650</v>
      </c>
      <c r="P759" s="185" t="n">
        <v>19</v>
      </c>
      <c r="Q759" s="184" t="n">
        <v>25690</v>
      </c>
      <c r="R759" s="184" t="n">
        <v>20808.9</v>
      </c>
      <c r="S759" s="184" t="s">
        <v>1896</v>
      </c>
      <c r="T759" s="187" t="n">
        <v>45931</v>
      </c>
    </row>
    <row r="760" customFormat="false" ht="46.25" hidden="true" customHeight="false" outlineLevel="0" collapsed="false">
      <c r="A760" s="181" t="s">
        <v>1897</v>
      </c>
      <c r="B760" s="182" t="n">
        <v>1964</v>
      </c>
      <c r="C760" s="183" t="s">
        <v>1885</v>
      </c>
      <c r="D760" s="181" t="s">
        <v>1686</v>
      </c>
      <c r="E760" s="181" t="s">
        <v>288</v>
      </c>
      <c r="F760" s="181" t="s">
        <v>289</v>
      </c>
      <c r="G760" s="181" t="s">
        <v>1687</v>
      </c>
      <c r="H760" s="181" t="s">
        <v>279</v>
      </c>
      <c r="I760" s="181" t="s">
        <v>239</v>
      </c>
      <c r="J760" s="267"/>
      <c r="K760" s="269" t="n">
        <v>45931</v>
      </c>
      <c r="L760" s="267" t="n">
        <v>0.8</v>
      </c>
      <c r="M760" s="184" t="s">
        <v>1687</v>
      </c>
      <c r="N760" s="184" t="n">
        <v>39930</v>
      </c>
      <c r="O760" s="184" t="n">
        <v>14660</v>
      </c>
      <c r="P760" s="185" t="n">
        <v>17</v>
      </c>
      <c r="Q760" s="184" t="n">
        <v>25270</v>
      </c>
      <c r="R760" s="184" t="n">
        <v>20974.1</v>
      </c>
      <c r="S760" s="184" t="s">
        <v>1898</v>
      </c>
      <c r="T760" s="187" t="n">
        <v>45931</v>
      </c>
    </row>
    <row r="761" customFormat="false" ht="35.05" hidden="true" customHeight="false" outlineLevel="0" collapsed="false">
      <c r="A761" s="181" t="s">
        <v>1902</v>
      </c>
      <c r="B761" s="182" t="n">
        <v>1966</v>
      </c>
      <c r="C761" s="183" t="n">
        <v>57726</v>
      </c>
      <c r="D761" s="181" t="s">
        <v>1686</v>
      </c>
      <c r="E761" s="181" t="s">
        <v>332</v>
      </c>
      <c r="F761" s="181" t="s">
        <v>333</v>
      </c>
      <c r="G761" s="181" t="s">
        <v>1900</v>
      </c>
      <c r="H761" s="181" t="s">
        <v>279</v>
      </c>
      <c r="I761" s="181" t="s">
        <v>239</v>
      </c>
      <c r="J761" s="267"/>
      <c r="K761" s="269" t="n">
        <v>45931</v>
      </c>
      <c r="L761" s="267" t="n">
        <v>1.8</v>
      </c>
      <c r="M761" s="184" t="s">
        <v>1900</v>
      </c>
      <c r="N761" s="184" t="n">
        <v>40340</v>
      </c>
      <c r="O761" s="184" t="n">
        <v>14820</v>
      </c>
      <c r="P761" s="185" t="n">
        <v>27</v>
      </c>
      <c r="Q761" s="184" t="n">
        <v>25520</v>
      </c>
      <c r="R761" s="184" t="n">
        <v>18629.6</v>
      </c>
      <c r="S761" s="184" t="s">
        <v>1903</v>
      </c>
      <c r="T761" s="187" t="n">
        <v>45931</v>
      </c>
    </row>
    <row r="762" customFormat="false" ht="35.05" hidden="true" customHeight="false" outlineLevel="0" collapsed="false">
      <c r="A762" s="181" t="s">
        <v>1908</v>
      </c>
      <c r="B762" s="182" t="n">
        <v>1969</v>
      </c>
      <c r="C762" s="183" t="s">
        <v>1909</v>
      </c>
      <c r="D762" s="181" t="s">
        <v>1686</v>
      </c>
      <c r="E762" s="181" t="s">
        <v>304</v>
      </c>
      <c r="F762" s="181" t="s">
        <v>305</v>
      </c>
      <c r="G762" s="181" t="s">
        <v>1900</v>
      </c>
      <c r="H762" s="181" t="s">
        <v>279</v>
      </c>
      <c r="I762" s="181" t="s">
        <v>239</v>
      </c>
      <c r="J762" s="267"/>
      <c r="K762" s="269" t="n">
        <v>45931</v>
      </c>
      <c r="L762" s="267" t="n">
        <v>1.9</v>
      </c>
      <c r="M762" s="184" t="s">
        <v>1900</v>
      </c>
      <c r="N762" s="184" t="n">
        <v>41690</v>
      </c>
      <c r="O762" s="184" t="n">
        <v>15080</v>
      </c>
      <c r="P762" s="185" t="n">
        <v>9</v>
      </c>
      <c r="Q762" s="184" t="n">
        <v>26610</v>
      </c>
      <c r="R762" s="184" t="n">
        <v>24215.1</v>
      </c>
      <c r="S762" s="184" t="s">
        <v>1910</v>
      </c>
      <c r="T762" s="187" t="n">
        <v>45931</v>
      </c>
    </row>
    <row r="763" customFormat="false" ht="23.85" hidden="true" customHeight="false" outlineLevel="0" collapsed="false">
      <c r="A763" s="181" t="s">
        <v>1899</v>
      </c>
      <c r="B763" s="182" t="n">
        <v>1970</v>
      </c>
      <c r="C763" s="183" t="s">
        <v>1885</v>
      </c>
      <c r="D763" s="181" t="s">
        <v>1686</v>
      </c>
      <c r="E763" s="181" t="s">
        <v>308</v>
      </c>
      <c r="F763" s="181" t="s">
        <v>309</v>
      </c>
      <c r="G763" s="181" t="s">
        <v>1900</v>
      </c>
      <c r="H763" s="181" t="s">
        <v>279</v>
      </c>
      <c r="I763" s="181" t="s">
        <v>239</v>
      </c>
      <c r="J763" s="267"/>
      <c r="K763" s="269" t="n">
        <v>45931</v>
      </c>
      <c r="L763" s="267" t="n">
        <v>2.9</v>
      </c>
      <c r="M763" s="184" t="s">
        <v>1900</v>
      </c>
      <c r="N763" s="184" t="n">
        <v>66000</v>
      </c>
      <c r="O763" s="184" t="n">
        <v>24150</v>
      </c>
      <c r="P763" s="185" t="n">
        <v>15</v>
      </c>
      <c r="Q763" s="184" t="n">
        <v>41850</v>
      </c>
      <c r="R763" s="184" t="n">
        <v>35572.5</v>
      </c>
      <c r="S763" s="184" t="s">
        <v>1901</v>
      </c>
      <c r="T763" s="187" t="n">
        <v>45931</v>
      </c>
    </row>
    <row r="764" customFormat="false" ht="23.85" hidden="true" customHeight="false" outlineLevel="0" collapsed="false">
      <c r="A764" s="181" t="s">
        <v>1906</v>
      </c>
      <c r="B764" s="182" t="n">
        <v>1973</v>
      </c>
      <c r="C764" s="183" t="s">
        <v>1885</v>
      </c>
      <c r="D764" s="181" t="s">
        <v>1686</v>
      </c>
      <c r="E764" s="181" t="s">
        <v>336</v>
      </c>
      <c r="F764" s="181" t="s">
        <v>337</v>
      </c>
      <c r="G764" s="181" t="s">
        <v>1900</v>
      </c>
      <c r="H764" s="181" t="s">
        <v>279</v>
      </c>
      <c r="I764" s="181" t="s">
        <v>239</v>
      </c>
      <c r="J764" s="267"/>
      <c r="K764" s="269" t="n">
        <v>45931</v>
      </c>
      <c r="L764" s="267" t="n">
        <v>1.8</v>
      </c>
      <c r="M764" s="184" t="s">
        <v>1900</v>
      </c>
      <c r="N764" s="184" t="n">
        <v>40200</v>
      </c>
      <c r="O764" s="184" t="n">
        <v>14620</v>
      </c>
      <c r="P764" s="185" t="n">
        <v>10</v>
      </c>
      <c r="Q764" s="184" t="n">
        <v>25580</v>
      </c>
      <c r="R764" s="184" t="n">
        <v>23022</v>
      </c>
      <c r="S764" s="184" t="s">
        <v>1907</v>
      </c>
      <c r="T764" s="187" t="n">
        <v>45931</v>
      </c>
    </row>
    <row r="765" customFormat="false" ht="23.85" hidden="true" customHeight="false" outlineLevel="0" collapsed="false">
      <c r="A765" s="181" t="s">
        <v>1911</v>
      </c>
      <c r="B765" s="182" t="n">
        <v>1974</v>
      </c>
      <c r="C765" s="183" t="s">
        <v>1885</v>
      </c>
      <c r="D765" s="181" t="s">
        <v>1686</v>
      </c>
      <c r="E765" s="181" t="s">
        <v>529</v>
      </c>
      <c r="F765" s="181" t="s">
        <v>530</v>
      </c>
      <c r="G765" s="181" t="s">
        <v>1900</v>
      </c>
      <c r="H765" s="181" t="s">
        <v>279</v>
      </c>
      <c r="I765" s="181" t="s">
        <v>239</v>
      </c>
      <c r="J765" s="267"/>
      <c r="K765" s="269" t="n">
        <v>45931</v>
      </c>
      <c r="L765" s="267" t="n">
        <v>1.6</v>
      </c>
      <c r="M765" s="184" t="s">
        <v>1900</v>
      </c>
      <c r="N765" s="184" t="n">
        <v>37610</v>
      </c>
      <c r="O765" s="184" t="n">
        <v>14930</v>
      </c>
      <c r="P765" s="185" t="n">
        <v>10</v>
      </c>
      <c r="Q765" s="184" t="n">
        <v>22680</v>
      </c>
      <c r="R765" s="184" t="n">
        <v>20412</v>
      </c>
      <c r="S765" s="184" t="s">
        <v>1912</v>
      </c>
      <c r="T765" s="187" t="n">
        <v>45931</v>
      </c>
    </row>
    <row r="766" customFormat="false" ht="35.05" hidden="true" customHeight="false" outlineLevel="0" collapsed="false">
      <c r="A766" s="181" t="s">
        <v>1913</v>
      </c>
      <c r="B766" s="182" t="n">
        <v>1975</v>
      </c>
      <c r="C766" s="183" t="s">
        <v>1885</v>
      </c>
      <c r="D766" s="181" t="s">
        <v>1686</v>
      </c>
      <c r="E766" s="181" t="s">
        <v>391</v>
      </c>
      <c r="F766" s="181" t="s">
        <v>392</v>
      </c>
      <c r="G766" s="181" t="s">
        <v>1900</v>
      </c>
      <c r="H766" s="181" t="s">
        <v>279</v>
      </c>
      <c r="I766" s="181" t="s">
        <v>239</v>
      </c>
      <c r="J766" s="267"/>
      <c r="K766" s="269" t="n">
        <v>45931</v>
      </c>
      <c r="L766" s="267" t="n">
        <v>1.5</v>
      </c>
      <c r="M766" s="184" t="s">
        <v>1900</v>
      </c>
      <c r="N766" s="184" t="n">
        <v>35620</v>
      </c>
      <c r="O766" s="184" t="n">
        <v>14550</v>
      </c>
      <c r="P766" s="185" t="n">
        <v>13</v>
      </c>
      <c r="Q766" s="184" t="n">
        <v>21070</v>
      </c>
      <c r="R766" s="184" t="n">
        <v>18330.9</v>
      </c>
      <c r="S766" s="184" t="s">
        <v>1914</v>
      </c>
      <c r="T766" s="187" t="n">
        <v>45931</v>
      </c>
    </row>
    <row r="767" customFormat="false" ht="46.25" hidden="true" customHeight="false" outlineLevel="0" collapsed="false">
      <c r="A767" s="181" t="s">
        <v>1915</v>
      </c>
      <c r="B767" s="182" t="n">
        <v>1976</v>
      </c>
      <c r="C767" s="183" t="s">
        <v>1885</v>
      </c>
      <c r="D767" s="181" t="s">
        <v>1686</v>
      </c>
      <c r="E767" s="181" t="s">
        <v>282</v>
      </c>
      <c r="F767" s="181" t="s">
        <v>283</v>
      </c>
      <c r="G767" s="181" t="s">
        <v>1900</v>
      </c>
      <c r="H767" s="181" t="s">
        <v>279</v>
      </c>
      <c r="I767" s="181" t="s">
        <v>239</v>
      </c>
      <c r="J767" s="267"/>
      <c r="K767" s="269" t="n">
        <v>45931</v>
      </c>
      <c r="L767" s="267" t="n">
        <v>1.8</v>
      </c>
      <c r="M767" s="184" t="s">
        <v>1900</v>
      </c>
      <c r="N767" s="184" t="n">
        <v>40780</v>
      </c>
      <c r="O767" s="184" t="n">
        <v>15160</v>
      </c>
      <c r="P767" s="185" t="n">
        <v>10</v>
      </c>
      <c r="Q767" s="184" t="n">
        <v>25620</v>
      </c>
      <c r="R767" s="184" t="n">
        <v>23058</v>
      </c>
      <c r="S767" s="184" t="s">
        <v>1916</v>
      </c>
      <c r="T767" s="187" t="n">
        <v>45932</v>
      </c>
    </row>
    <row r="768" customFormat="false" ht="35.05" hidden="true" customHeight="false" outlineLevel="0" collapsed="false">
      <c r="A768" s="181" t="s">
        <v>1917</v>
      </c>
      <c r="B768" s="182" t="n">
        <v>1978</v>
      </c>
      <c r="C768" s="183" t="s">
        <v>1885</v>
      </c>
      <c r="D768" s="181" t="s">
        <v>1686</v>
      </c>
      <c r="E768" s="181" t="s">
        <v>576</v>
      </c>
      <c r="F768" s="181" t="s">
        <v>577</v>
      </c>
      <c r="G768" s="181" t="s">
        <v>1900</v>
      </c>
      <c r="H768" s="181" t="s">
        <v>279</v>
      </c>
      <c r="I768" s="181" t="s">
        <v>239</v>
      </c>
      <c r="J768" s="267"/>
      <c r="K768" s="269" t="n">
        <v>45931</v>
      </c>
      <c r="L768" s="267" t="n">
        <v>1.7</v>
      </c>
      <c r="M768" s="184" t="s">
        <v>1900</v>
      </c>
      <c r="N768" s="184" t="n">
        <v>38860</v>
      </c>
      <c r="O768" s="184" t="n">
        <v>14600</v>
      </c>
      <c r="P768" s="185" t="n">
        <v>10</v>
      </c>
      <c r="Q768" s="184" t="n">
        <v>24260</v>
      </c>
      <c r="R768" s="184" t="n">
        <v>21834</v>
      </c>
      <c r="S768" s="184" t="s">
        <v>1918</v>
      </c>
      <c r="T768" s="187" t="n">
        <v>45932</v>
      </c>
    </row>
    <row r="769" customFormat="false" ht="23.85" hidden="true" customHeight="false" outlineLevel="0" collapsed="false">
      <c r="A769" s="181" t="s">
        <v>1919</v>
      </c>
      <c r="B769" s="182" t="n">
        <v>1979</v>
      </c>
      <c r="C769" s="183" t="s">
        <v>1885</v>
      </c>
      <c r="D769" s="181" t="s">
        <v>1686</v>
      </c>
      <c r="E769" s="181" t="s">
        <v>346</v>
      </c>
      <c r="F769" s="181" t="s">
        <v>347</v>
      </c>
      <c r="G769" s="181" t="s">
        <v>1900</v>
      </c>
      <c r="H769" s="181" t="s">
        <v>279</v>
      </c>
      <c r="I769" s="181" t="s">
        <v>239</v>
      </c>
      <c r="J769" s="267"/>
      <c r="K769" s="269" t="n">
        <v>45931</v>
      </c>
      <c r="L769" s="267" t="n">
        <v>1.7</v>
      </c>
      <c r="M769" s="184" t="s">
        <v>1900</v>
      </c>
      <c r="N769" s="184" t="n">
        <v>39950</v>
      </c>
      <c r="O769" s="184" t="n">
        <v>15260</v>
      </c>
      <c r="P769" s="185" t="n">
        <v>10</v>
      </c>
      <c r="Q769" s="184" t="n">
        <v>24690</v>
      </c>
      <c r="R769" s="184" t="n">
        <v>22221</v>
      </c>
      <c r="S769" s="184" t="s">
        <v>1920</v>
      </c>
      <c r="T769" s="187" t="n">
        <v>45932</v>
      </c>
    </row>
    <row r="770" customFormat="false" ht="35.05" hidden="true" customHeight="false" outlineLevel="0" collapsed="false">
      <c r="A770" s="181" t="s">
        <v>1921</v>
      </c>
      <c r="B770" s="182" t="n">
        <v>1980</v>
      </c>
      <c r="C770" s="183" t="s">
        <v>1885</v>
      </c>
      <c r="D770" s="181" t="s">
        <v>1686</v>
      </c>
      <c r="E770" s="181" t="s">
        <v>300</v>
      </c>
      <c r="F770" s="181" t="s">
        <v>301</v>
      </c>
      <c r="G770" s="181" t="s">
        <v>1900</v>
      </c>
      <c r="H770" s="181" t="s">
        <v>279</v>
      </c>
      <c r="I770" s="181" t="s">
        <v>239</v>
      </c>
      <c r="J770" s="267"/>
      <c r="K770" s="269" t="n">
        <v>45931</v>
      </c>
      <c r="L770" s="267" t="n">
        <v>2.4</v>
      </c>
      <c r="M770" s="184" t="s">
        <v>1900</v>
      </c>
      <c r="N770" s="184" t="n">
        <v>55700</v>
      </c>
      <c r="O770" s="184" t="n">
        <v>21030</v>
      </c>
      <c r="P770" s="185" t="n">
        <v>9</v>
      </c>
      <c r="Q770" s="184" t="n">
        <v>34670</v>
      </c>
      <c r="R770" s="184" t="n">
        <v>31549.7</v>
      </c>
      <c r="S770" s="184" t="s">
        <v>1922</v>
      </c>
      <c r="T770" s="187" t="n">
        <v>45932</v>
      </c>
    </row>
    <row r="771" customFormat="false" ht="35.05" hidden="true" customHeight="false" outlineLevel="0" collapsed="false">
      <c r="A771" s="181" t="s">
        <v>1923</v>
      </c>
      <c r="B771" s="182" t="n">
        <v>1981</v>
      </c>
      <c r="C771" s="183" t="n">
        <v>57727</v>
      </c>
      <c r="D771" s="181" t="s">
        <v>1686</v>
      </c>
      <c r="E771" s="181" t="s">
        <v>582</v>
      </c>
      <c r="F771" s="181" t="s">
        <v>583</v>
      </c>
      <c r="G771" s="181" t="s">
        <v>1900</v>
      </c>
      <c r="H771" s="181" t="s">
        <v>279</v>
      </c>
      <c r="I771" s="181" t="s">
        <v>239</v>
      </c>
      <c r="J771" s="267"/>
      <c r="K771" s="269" t="n">
        <v>45931</v>
      </c>
      <c r="L771" s="267" t="n">
        <v>1.7</v>
      </c>
      <c r="M771" s="184" t="s">
        <v>1900</v>
      </c>
      <c r="N771" s="184" t="n">
        <v>39090</v>
      </c>
      <c r="O771" s="184" t="n">
        <v>14900</v>
      </c>
      <c r="P771" s="185" t="n">
        <v>10</v>
      </c>
      <c r="Q771" s="184" t="n">
        <v>24190</v>
      </c>
      <c r="R771" s="184" t="n">
        <v>21771</v>
      </c>
      <c r="S771" s="184" t="s">
        <v>1924</v>
      </c>
      <c r="T771" s="187" t="n">
        <v>45932</v>
      </c>
    </row>
    <row r="772" customFormat="false" ht="35.05" hidden="true" customHeight="false" outlineLevel="0" collapsed="false">
      <c r="A772" s="181" t="s">
        <v>1904</v>
      </c>
      <c r="B772" s="182" t="n">
        <v>1972</v>
      </c>
      <c r="C772" s="183" t="s">
        <v>1885</v>
      </c>
      <c r="D772" s="181" t="s">
        <v>1686</v>
      </c>
      <c r="E772" s="181" t="s">
        <v>340</v>
      </c>
      <c r="F772" s="181" t="s">
        <v>341</v>
      </c>
      <c r="G772" s="181" t="s">
        <v>1900</v>
      </c>
      <c r="H772" s="181" t="s">
        <v>279</v>
      </c>
      <c r="I772" s="181" t="s">
        <v>239</v>
      </c>
      <c r="J772" s="267"/>
      <c r="K772" s="269" t="n">
        <v>45931</v>
      </c>
      <c r="L772" s="267" t="n">
        <v>1.7</v>
      </c>
      <c r="M772" s="184" t="s">
        <v>1900</v>
      </c>
      <c r="N772" s="184" t="n">
        <v>40140</v>
      </c>
      <c r="O772" s="184" t="n">
        <v>15210</v>
      </c>
      <c r="P772" s="185" t="n">
        <v>10</v>
      </c>
      <c r="Q772" s="184" t="n">
        <v>24930</v>
      </c>
      <c r="R772" s="184" t="n">
        <v>22437</v>
      </c>
      <c r="S772" s="184" t="s">
        <v>1905</v>
      </c>
      <c r="T772" s="187" t="n">
        <v>45931</v>
      </c>
    </row>
    <row r="773" customFormat="false" ht="35.05" hidden="true" customHeight="false" outlineLevel="0" collapsed="false">
      <c r="A773" s="181" t="s">
        <v>1925</v>
      </c>
      <c r="B773" s="182" t="n">
        <v>1983</v>
      </c>
      <c r="C773" s="183" t="n">
        <v>57728</v>
      </c>
      <c r="D773" s="181" t="s">
        <v>1686</v>
      </c>
      <c r="E773" s="181" t="s">
        <v>266</v>
      </c>
      <c r="F773" s="181" t="s">
        <v>267</v>
      </c>
      <c r="G773" s="181" t="s">
        <v>1900</v>
      </c>
      <c r="H773" s="181" t="s">
        <v>279</v>
      </c>
      <c r="I773" s="181" t="s">
        <v>239</v>
      </c>
      <c r="J773" s="267"/>
      <c r="K773" s="269" t="n">
        <v>45931</v>
      </c>
      <c r="L773" s="267" t="n">
        <v>1.6</v>
      </c>
      <c r="M773" s="184" t="s">
        <v>1900</v>
      </c>
      <c r="N773" s="184" t="n">
        <v>38010</v>
      </c>
      <c r="O773" s="184" t="n">
        <v>14820</v>
      </c>
      <c r="P773" s="185" t="n">
        <v>8</v>
      </c>
      <c r="Q773" s="184" t="n">
        <v>23190</v>
      </c>
      <c r="R773" s="184" t="n">
        <v>21334.8</v>
      </c>
      <c r="S773" s="184" t="s">
        <v>1926</v>
      </c>
      <c r="T773" s="187" t="n">
        <v>45932</v>
      </c>
    </row>
    <row r="774" customFormat="false" ht="35.05" hidden="true" customHeight="false" outlineLevel="0" collapsed="false">
      <c r="A774" s="181" t="s">
        <v>1927</v>
      </c>
      <c r="B774" s="182" t="n">
        <v>1984</v>
      </c>
      <c r="C774" s="183" t="n">
        <v>57729</v>
      </c>
      <c r="D774" s="181" t="s">
        <v>1686</v>
      </c>
      <c r="E774" s="181" t="s">
        <v>277</v>
      </c>
      <c r="F774" s="181" t="s">
        <v>278</v>
      </c>
      <c r="G774" s="181" t="s">
        <v>1900</v>
      </c>
      <c r="H774" s="181" t="s">
        <v>279</v>
      </c>
      <c r="I774" s="181" t="s">
        <v>239</v>
      </c>
      <c r="J774" s="267"/>
      <c r="K774" s="269" t="n">
        <v>45931</v>
      </c>
      <c r="L774" s="267" t="n">
        <v>1.9</v>
      </c>
      <c r="M774" s="184" t="s">
        <v>1900</v>
      </c>
      <c r="N774" s="184" t="n">
        <v>41820</v>
      </c>
      <c r="O774" s="184" t="n">
        <v>15120</v>
      </c>
      <c r="P774" s="185" t="n">
        <v>8</v>
      </c>
      <c r="Q774" s="184" t="n">
        <v>26700</v>
      </c>
      <c r="R774" s="184" t="n">
        <v>24564</v>
      </c>
      <c r="S774" s="184" t="s">
        <v>1928</v>
      </c>
      <c r="T774" s="187" t="n">
        <v>45932</v>
      </c>
    </row>
    <row r="775" customFormat="false" ht="46.25" hidden="true" customHeight="false" outlineLevel="0" collapsed="false">
      <c r="A775" s="181" t="s">
        <v>1929</v>
      </c>
      <c r="B775" s="182" t="n">
        <v>1987</v>
      </c>
      <c r="C775" s="183" t="n">
        <v>57730</v>
      </c>
      <c r="D775" s="181" t="s">
        <v>1686</v>
      </c>
      <c r="E775" s="181" t="s">
        <v>288</v>
      </c>
      <c r="F775" s="181" t="s">
        <v>289</v>
      </c>
      <c r="G775" s="181" t="s">
        <v>1900</v>
      </c>
      <c r="H775" s="181" t="s">
        <v>279</v>
      </c>
      <c r="I775" s="181" t="s">
        <v>239</v>
      </c>
      <c r="J775" s="267"/>
      <c r="K775" s="269" t="n">
        <v>45931</v>
      </c>
      <c r="L775" s="267" t="n">
        <v>1.7</v>
      </c>
      <c r="M775" s="184" t="s">
        <v>1900</v>
      </c>
      <c r="N775" s="184" t="n">
        <v>38420</v>
      </c>
      <c r="O775" s="184" t="n">
        <v>14580</v>
      </c>
      <c r="P775" s="185" t="n">
        <v>7</v>
      </c>
      <c r="Q775" s="184" t="n">
        <v>23840</v>
      </c>
      <c r="R775" s="184" t="n">
        <v>22171.2</v>
      </c>
      <c r="S775" s="184" t="s">
        <v>1930</v>
      </c>
      <c r="T775" s="187" t="n">
        <v>45932</v>
      </c>
    </row>
    <row r="776" customFormat="false" ht="35.05" hidden="true" customHeight="false" outlineLevel="0" collapsed="false">
      <c r="A776" s="181" t="s">
        <v>1931</v>
      </c>
      <c r="B776" s="182" t="n">
        <v>1992</v>
      </c>
      <c r="C776" s="183" t="n">
        <v>57730</v>
      </c>
      <c r="D776" s="181" t="s">
        <v>1686</v>
      </c>
      <c r="E776" s="181" t="s">
        <v>332</v>
      </c>
      <c r="F776" s="181" t="s">
        <v>333</v>
      </c>
      <c r="G776" s="181" t="s">
        <v>1932</v>
      </c>
      <c r="H776" s="181" t="s">
        <v>279</v>
      </c>
      <c r="I776" s="181" t="s">
        <v>239</v>
      </c>
      <c r="J776" s="267"/>
      <c r="K776" s="269" t="n">
        <v>45932</v>
      </c>
      <c r="L776" s="267" t="n">
        <v>2</v>
      </c>
      <c r="M776" s="184" t="s">
        <v>1932</v>
      </c>
      <c r="N776" s="184" t="n">
        <v>39900</v>
      </c>
      <c r="O776" s="184" t="n">
        <v>14740</v>
      </c>
      <c r="P776" s="185" t="n">
        <v>14</v>
      </c>
      <c r="Q776" s="184" t="n">
        <v>25160</v>
      </c>
      <c r="R776" s="184" t="n">
        <v>21637.6</v>
      </c>
      <c r="S776" s="184" t="s">
        <v>1933</v>
      </c>
      <c r="T776" s="187" t="n">
        <v>45932</v>
      </c>
    </row>
    <row r="777" customFormat="false" ht="23.85" hidden="true" customHeight="false" outlineLevel="0" collapsed="false">
      <c r="A777" s="181" t="s">
        <v>1934</v>
      </c>
      <c r="B777" s="182" t="n">
        <v>1993</v>
      </c>
      <c r="C777" s="183" t="n">
        <v>57731</v>
      </c>
      <c r="D777" s="181" t="s">
        <v>1686</v>
      </c>
      <c r="E777" s="181" t="s">
        <v>336</v>
      </c>
      <c r="F777" s="181" t="s">
        <v>337</v>
      </c>
      <c r="G777" s="181" t="s">
        <v>1932</v>
      </c>
      <c r="H777" s="181" t="s">
        <v>279</v>
      </c>
      <c r="I777" s="181" t="s">
        <v>239</v>
      </c>
      <c r="J777" s="267"/>
      <c r="K777" s="269" t="n">
        <v>45932</v>
      </c>
      <c r="L777" s="267" t="n">
        <v>2.1</v>
      </c>
      <c r="M777" s="184" t="s">
        <v>1932</v>
      </c>
      <c r="N777" s="184" t="n">
        <v>39830</v>
      </c>
      <c r="O777" s="184" t="n">
        <v>14550</v>
      </c>
      <c r="P777" s="185" t="n">
        <v>6</v>
      </c>
      <c r="Q777" s="184" t="n">
        <v>25280</v>
      </c>
      <c r="R777" s="184" t="n">
        <v>23763.2</v>
      </c>
      <c r="S777" s="184" t="s">
        <v>1935</v>
      </c>
      <c r="T777" s="187" t="n">
        <v>45932</v>
      </c>
    </row>
    <row r="778" customFormat="false" ht="35.05" hidden="true" customHeight="false" outlineLevel="0" collapsed="false">
      <c r="A778" s="181" t="s">
        <v>1936</v>
      </c>
      <c r="B778" s="182" t="n">
        <v>1994</v>
      </c>
      <c r="C778" s="183" t="s">
        <v>1909</v>
      </c>
      <c r="D778" s="181" t="s">
        <v>1686</v>
      </c>
      <c r="E778" s="181" t="s">
        <v>304</v>
      </c>
      <c r="F778" s="181" t="s">
        <v>305</v>
      </c>
      <c r="G778" s="181" t="s">
        <v>1932</v>
      </c>
      <c r="H778" s="181" t="s">
        <v>279</v>
      </c>
      <c r="I778" s="181" t="s">
        <v>239</v>
      </c>
      <c r="J778" s="267"/>
      <c r="K778" s="269" t="n">
        <v>45932</v>
      </c>
      <c r="L778" s="267" t="n">
        <v>2.1</v>
      </c>
      <c r="M778" s="184" t="s">
        <v>1932</v>
      </c>
      <c r="N778" s="184" t="n">
        <v>40780</v>
      </c>
      <c r="O778" s="184" t="n">
        <v>15150</v>
      </c>
      <c r="P778" s="185" t="n">
        <v>7</v>
      </c>
      <c r="Q778" s="184" t="n">
        <v>25630</v>
      </c>
      <c r="R778" s="184" t="n">
        <v>23835.9</v>
      </c>
      <c r="S778" s="184" t="s">
        <v>1937</v>
      </c>
      <c r="T778" s="187" t="n">
        <v>45932</v>
      </c>
    </row>
    <row r="779" customFormat="false" ht="23.85" hidden="true" customHeight="false" outlineLevel="0" collapsed="false">
      <c r="A779" s="181" t="s">
        <v>1944</v>
      </c>
      <c r="B779" s="182" t="n">
        <v>1995</v>
      </c>
      <c r="C779" s="183" t="s">
        <v>1885</v>
      </c>
      <c r="D779" s="181" t="s">
        <v>1686</v>
      </c>
      <c r="E779" s="181" t="s">
        <v>308</v>
      </c>
      <c r="F779" s="181" t="s">
        <v>309</v>
      </c>
      <c r="G779" s="181" t="s">
        <v>1932</v>
      </c>
      <c r="H779" s="181" t="s">
        <v>279</v>
      </c>
      <c r="I779" s="181" t="s">
        <v>239</v>
      </c>
      <c r="J779" s="267"/>
      <c r="K779" s="269" t="n">
        <v>45932</v>
      </c>
      <c r="L779" s="267" t="n">
        <v>3.3</v>
      </c>
      <c r="M779" s="184" t="s">
        <v>1932</v>
      </c>
      <c r="N779" s="184" t="n">
        <v>65180</v>
      </c>
      <c r="O779" s="184" t="n">
        <v>24220</v>
      </c>
      <c r="P779" s="185" t="n">
        <v>6</v>
      </c>
      <c r="Q779" s="184" t="n">
        <v>40960</v>
      </c>
      <c r="R779" s="184" t="n">
        <v>38502.4</v>
      </c>
      <c r="S779" s="184" t="s">
        <v>1945</v>
      </c>
      <c r="T779" s="187" t="n">
        <v>45932</v>
      </c>
    </row>
    <row r="780" customFormat="false" ht="23.85" hidden="true" customHeight="false" outlineLevel="0" collapsed="false">
      <c r="A780" s="181" t="s">
        <v>1946</v>
      </c>
      <c r="B780" s="182" t="n">
        <v>1996</v>
      </c>
      <c r="C780" s="183" t="s">
        <v>1885</v>
      </c>
      <c r="D780" s="181" t="s">
        <v>1686</v>
      </c>
      <c r="E780" s="181" t="s">
        <v>272</v>
      </c>
      <c r="F780" s="181" t="s">
        <v>273</v>
      </c>
      <c r="G780" s="181" t="s">
        <v>1932</v>
      </c>
      <c r="H780" s="181" t="s">
        <v>279</v>
      </c>
      <c r="I780" s="181" t="s">
        <v>239</v>
      </c>
      <c r="J780" s="267"/>
      <c r="K780" s="269" t="n">
        <v>45932</v>
      </c>
      <c r="L780" s="267" t="n">
        <v>2.1</v>
      </c>
      <c r="M780" s="184" t="s">
        <v>1932</v>
      </c>
      <c r="N780" s="184" t="n">
        <v>41130</v>
      </c>
      <c r="O780" s="184" t="n">
        <v>15710</v>
      </c>
      <c r="P780" s="185" t="n">
        <v>11</v>
      </c>
      <c r="Q780" s="184" t="n">
        <v>25420</v>
      </c>
      <c r="R780" s="184" t="n">
        <v>22623.8</v>
      </c>
      <c r="S780" s="184" t="s">
        <v>1947</v>
      </c>
      <c r="T780" s="187" t="n">
        <v>45932</v>
      </c>
    </row>
    <row r="781" customFormat="false" ht="35.05" hidden="true" customHeight="false" outlineLevel="0" collapsed="false">
      <c r="A781" s="181" t="s">
        <v>1950</v>
      </c>
      <c r="B781" s="182" t="n">
        <v>1998</v>
      </c>
      <c r="C781" s="183" t="s">
        <v>1885</v>
      </c>
      <c r="D781" s="181" t="s">
        <v>1686</v>
      </c>
      <c r="E781" s="181" t="s">
        <v>576</v>
      </c>
      <c r="F781" s="181" t="s">
        <v>577</v>
      </c>
      <c r="G781" s="181" t="s">
        <v>1932</v>
      </c>
      <c r="H781" s="181" t="s">
        <v>279</v>
      </c>
      <c r="I781" s="181" t="s">
        <v>239</v>
      </c>
      <c r="J781" s="267"/>
      <c r="K781" s="269" t="n">
        <v>45932</v>
      </c>
      <c r="L781" s="267" t="n">
        <v>2</v>
      </c>
      <c r="M781" s="184" t="s">
        <v>1932</v>
      </c>
      <c r="N781" s="184" t="n">
        <v>39340</v>
      </c>
      <c r="O781" s="184" t="n">
        <v>14580</v>
      </c>
      <c r="P781" s="185" t="n">
        <v>6</v>
      </c>
      <c r="Q781" s="184" t="n">
        <v>24760</v>
      </c>
      <c r="R781" s="184" t="n">
        <v>23274.4</v>
      </c>
      <c r="S781" s="184" t="s">
        <v>1951</v>
      </c>
      <c r="T781" s="187" t="n">
        <v>45932</v>
      </c>
    </row>
    <row r="782" customFormat="false" ht="46.25" hidden="true" customHeight="false" outlineLevel="0" collapsed="false">
      <c r="A782" s="181" t="s">
        <v>1956</v>
      </c>
      <c r="B782" s="182" t="n">
        <v>2000</v>
      </c>
      <c r="C782" s="183" t="s">
        <v>1885</v>
      </c>
      <c r="D782" s="181" t="s">
        <v>1686</v>
      </c>
      <c r="E782" s="181" t="s">
        <v>282</v>
      </c>
      <c r="F782" s="181" t="s">
        <v>283</v>
      </c>
      <c r="G782" s="181" t="s">
        <v>1932</v>
      </c>
      <c r="H782" s="181" t="s">
        <v>279</v>
      </c>
      <c r="I782" s="181" t="s">
        <v>239</v>
      </c>
      <c r="J782" s="267"/>
      <c r="K782" s="269" t="n">
        <v>45932</v>
      </c>
      <c r="L782" s="267" t="n">
        <v>2.1</v>
      </c>
      <c r="M782" s="184" t="s">
        <v>1932</v>
      </c>
      <c r="N782" s="184" t="n">
        <v>40640</v>
      </c>
      <c r="O782" s="184" t="n">
        <v>15090</v>
      </c>
      <c r="P782" s="185" t="n">
        <v>11</v>
      </c>
      <c r="Q782" s="184" t="n">
        <v>25550</v>
      </c>
      <c r="R782" s="184" t="n">
        <v>22739.5</v>
      </c>
      <c r="S782" s="184" t="s">
        <v>1957</v>
      </c>
      <c r="T782" s="187" t="n">
        <v>45932</v>
      </c>
    </row>
    <row r="783" customFormat="false" ht="35.05" hidden="true" customHeight="false" outlineLevel="0" collapsed="false">
      <c r="A783" s="181" t="s">
        <v>1958</v>
      </c>
      <c r="B783" s="182" t="n">
        <v>2001</v>
      </c>
      <c r="C783" s="183" t="s">
        <v>1885</v>
      </c>
      <c r="D783" s="181" t="s">
        <v>1686</v>
      </c>
      <c r="E783" s="181" t="s">
        <v>300</v>
      </c>
      <c r="F783" s="181" t="s">
        <v>301</v>
      </c>
      <c r="G783" s="181" t="s">
        <v>1932</v>
      </c>
      <c r="H783" s="181" t="s">
        <v>279</v>
      </c>
      <c r="I783" s="181" t="s">
        <v>239</v>
      </c>
      <c r="J783" s="267"/>
      <c r="K783" s="269" t="n">
        <v>45932</v>
      </c>
      <c r="L783" s="267" t="n">
        <v>2.9</v>
      </c>
      <c r="M783" s="184" t="s">
        <v>1932</v>
      </c>
      <c r="N783" s="184" t="n">
        <v>56280</v>
      </c>
      <c r="O783" s="184" t="n">
        <v>20970</v>
      </c>
      <c r="P783" s="185" t="n">
        <v>11</v>
      </c>
      <c r="Q783" s="184" t="n">
        <v>35310</v>
      </c>
      <c r="R783" s="184" t="n">
        <v>31425.9</v>
      </c>
      <c r="S783" s="184" t="s">
        <v>1959</v>
      </c>
      <c r="T783" s="187" t="n">
        <v>45932</v>
      </c>
    </row>
    <row r="784" customFormat="false" ht="35.05" hidden="true" customHeight="false" outlineLevel="0" collapsed="false">
      <c r="A784" s="181" t="s">
        <v>1966</v>
      </c>
      <c r="B784" s="182" t="n">
        <v>2003</v>
      </c>
      <c r="C784" s="183" t="s">
        <v>1885</v>
      </c>
      <c r="D784" s="181" t="s">
        <v>1686</v>
      </c>
      <c r="E784" s="181" t="s">
        <v>391</v>
      </c>
      <c r="F784" s="181" t="s">
        <v>392</v>
      </c>
      <c r="G784" s="181" t="s">
        <v>1932</v>
      </c>
      <c r="H784" s="181" t="s">
        <v>279</v>
      </c>
      <c r="I784" s="181" t="s">
        <v>239</v>
      </c>
      <c r="J784" s="267"/>
      <c r="K784" s="269" t="n">
        <v>45932</v>
      </c>
      <c r="L784" s="267" t="n">
        <v>1.7</v>
      </c>
      <c r="M784" s="184" t="s">
        <v>1932</v>
      </c>
      <c r="N784" s="184" t="n">
        <v>35970</v>
      </c>
      <c r="O784" s="184" t="n">
        <v>14490</v>
      </c>
      <c r="P784" s="185" t="n">
        <v>6</v>
      </c>
      <c r="Q784" s="184" t="n">
        <v>21480</v>
      </c>
      <c r="R784" s="184" t="n">
        <v>20191.2</v>
      </c>
      <c r="S784" s="184" t="s">
        <v>1967</v>
      </c>
      <c r="T784" s="187" t="n">
        <v>45932</v>
      </c>
    </row>
    <row r="785" customFormat="false" ht="23.85" hidden="true" customHeight="false" outlineLevel="0" collapsed="false">
      <c r="A785" s="181" t="s">
        <v>1938</v>
      </c>
      <c r="B785" s="182" t="n">
        <v>2004</v>
      </c>
      <c r="C785" s="183" t="s">
        <v>1885</v>
      </c>
      <c r="D785" s="181" t="s">
        <v>1686</v>
      </c>
      <c r="E785" s="181" t="s">
        <v>529</v>
      </c>
      <c r="F785" s="181" t="s">
        <v>530</v>
      </c>
      <c r="G785" s="181" t="s">
        <v>1932</v>
      </c>
      <c r="H785" s="181" t="s">
        <v>279</v>
      </c>
      <c r="I785" s="181" t="s">
        <v>239</v>
      </c>
      <c r="J785" s="267"/>
      <c r="K785" s="269" t="n">
        <v>45932</v>
      </c>
      <c r="L785" s="267" t="n">
        <v>1.6</v>
      </c>
      <c r="M785" s="184" t="s">
        <v>1932</v>
      </c>
      <c r="N785" s="184" t="n">
        <v>34630</v>
      </c>
      <c r="O785" s="184" t="n">
        <v>14870</v>
      </c>
      <c r="P785" s="185" t="n">
        <v>14</v>
      </c>
      <c r="Q785" s="184" t="n">
        <v>19760</v>
      </c>
      <c r="R785" s="184" t="n">
        <v>16993.6</v>
      </c>
      <c r="S785" s="184" t="s">
        <v>1939</v>
      </c>
      <c r="T785" s="187" t="n">
        <v>45932</v>
      </c>
    </row>
    <row r="786" customFormat="false" ht="35.05" hidden="true" customHeight="false" outlineLevel="0" collapsed="false">
      <c r="A786" s="181" t="s">
        <v>1940</v>
      </c>
      <c r="B786" s="182" t="n">
        <v>2005</v>
      </c>
      <c r="C786" s="183" t="s">
        <v>1885</v>
      </c>
      <c r="D786" s="181" t="s">
        <v>1686</v>
      </c>
      <c r="E786" s="181" t="s">
        <v>266</v>
      </c>
      <c r="F786" s="181" t="s">
        <v>267</v>
      </c>
      <c r="G786" s="181" t="s">
        <v>1932</v>
      </c>
      <c r="H786" s="181" t="s">
        <v>279</v>
      </c>
      <c r="I786" s="181" t="s">
        <v>239</v>
      </c>
      <c r="J786" s="267"/>
      <c r="K786" s="269" t="n">
        <v>45932</v>
      </c>
      <c r="L786" s="267" t="n">
        <v>1.9</v>
      </c>
      <c r="M786" s="184" t="s">
        <v>1932</v>
      </c>
      <c r="N786" s="184" t="n">
        <v>38450</v>
      </c>
      <c r="O786" s="184" t="n">
        <v>14940</v>
      </c>
      <c r="P786" s="185" t="n">
        <v>21</v>
      </c>
      <c r="Q786" s="184" t="n">
        <v>23510</v>
      </c>
      <c r="R786" s="184" t="n">
        <v>18572.9</v>
      </c>
      <c r="S786" s="184" t="s">
        <v>1941</v>
      </c>
      <c r="T786" s="187" t="n">
        <v>45932</v>
      </c>
    </row>
    <row r="787" customFormat="false" ht="35.05" hidden="true" customHeight="false" outlineLevel="0" collapsed="false">
      <c r="A787" s="181" t="s">
        <v>1942</v>
      </c>
      <c r="B787" s="182" t="n">
        <v>2006</v>
      </c>
      <c r="C787" s="183" t="s">
        <v>1885</v>
      </c>
      <c r="D787" s="181" t="s">
        <v>1686</v>
      </c>
      <c r="E787" s="181" t="s">
        <v>582</v>
      </c>
      <c r="F787" s="181" t="s">
        <v>583</v>
      </c>
      <c r="G787" s="181" t="s">
        <v>1932</v>
      </c>
      <c r="H787" s="181" t="s">
        <v>279</v>
      </c>
      <c r="I787" s="181" t="s">
        <v>239</v>
      </c>
      <c r="J787" s="267"/>
      <c r="K787" s="269" t="n">
        <v>45932</v>
      </c>
      <c r="L787" s="267" t="n">
        <v>2</v>
      </c>
      <c r="M787" s="184" t="s">
        <v>1932</v>
      </c>
      <c r="N787" s="184" t="n">
        <v>39040</v>
      </c>
      <c r="O787" s="184" t="n">
        <v>14790</v>
      </c>
      <c r="P787" s="185" t="n">
        <v>9</v>
      </c>
      <c r="Q787" s="184" t="n">
        <v>24250</v>
      </c>
      <c r="R787" s="184" t="n">
        <v>22067.5</v>
      </c>
      <c r="S787" s="184" t="s">
        <v>1943</v>
      </c>
      <c r="T787" s="187" t="n">
        <v>45932</v>
      </c>
    </row>
    <row r="788" customFormat="false" ht="35.05" hidden="true" customHeight="false" outlineLevel="0" collapsed="false">
      <c r="A788" s="181" t="s">
        <v>1948</v>
      </c>
      <c r="B788" s="182" t="n">
        <v>2007</v>
      </c>
      <c r="C788" s="183" t="s">
        <v>1885</v>
      </c>
      <c r="D788" s="181" t="s">
        <v>1686</v>
      </c>
      <c r="E788" s="181" t="s">
        <v>277</v>
      </c>
      <c r="F788" s="181" t="s">
        <v>278</v>
      </c>
      <c r="G788" s="181" t="s">
        <v>1932</v>
      </c>
      <c r="H788" s="181" t="s">
        <v>279</v>
      </c>
      <c r="I788" s="181" t="s">
        <v>239</v>
      </c>
      <c r="J788" s="267"/>
      <c r="K788" s="269" t="n">
        <v>45932</v>
      </c>
      <c r="L788" s="267" t="n">
        <v>2.3</v>
      </c>
      <c r="M788" s="184" t="s">
        <v>1932</v>
      </c>
      <c r="N788" s="184" t="n">
        <v>43570</v>
      </c>
      <c r="O788" s="184" t="n">
        <v>15200</v>
      </c>
      <c r="P788" s="185" t="n">
        <v>12</v>
      </c>
      <c r="Q788" s="184" t="n">
        <v>28370</v>
      </c>
      <c r="R788" s="184" t="n">
        <v>24965.6</v>
      </c>
      <c r="S788" s="184" t="s">
        <v>1949</v>
      </c>
      <c r="T788" s="187" t="n">
        <v>45932</v>
      </c>
    </row>
    <row r="789" customFormat="false" ht="23.85" hidden="true" customHeight="false" outlineLevel="0" collapsed="false">
      <c r="A789" s="181" t="s">
        <v>1952</v>
      </c>
      <c r="B789" s="182" t="n">
        <v>2008</v>
      </c>
      <c r="C789" s="183" t="s">
        <v>1885</v>
      </c>
      <c r="D789" s="181" t="s">
        <v>1686</v>
      </c>
      <c r="E789" s="181" t="s">
        <v>346</v>
      </c>
      <c r="F789" s="181" t="s">
        <v>347</v>
      </c>
      <c r="G789" s="181" t="s">
        <v>1932</v>
      </c>
      <c r="H789" s="181" t="s">
        <v>279</v>
      </c>
      <c r="I789" s="181" t="s">
        <v>239</v>
      </c>
      <c r="J789" s="267"/>
      <c r="K789" s="269" t="n">
        <v>45932</v>
      </c>
      <c r="L789" s="267" t="n">
        <v>2</v>
      </c>
      <c r="M789" s="184" t="s">
        <v>1932</v>
      </c>
      <c r="N789" s="184" t="n">
        <v>39790</v>
      </c>
      <c r="O789" s="184" t="n">
        <v>15190</v>
      </c>
      <c r="P789" s="185" t="n">
        <v>13</v>
      </c>
      <c r="Q789" s="184" t="n">
        <v>24600</v>
      </c>
      <c r="R789" s="184" t="n">
        <v>21402</v>
      </c>
      <c r="S789" s="184" t="s">
        <v>1953</v>
      </c>
      <c r="T789" s="187" t="n">
        <v>45932</v>
      </c>
    </row>
    <row r="790" customFormat="false" ht="23.85" hidden="true" customHeight="false" outlineLevel="0" collapsed="false">
      <c r="A790" s="181" t="s">
        <v>1954</v>
      </c>
      <c r="B790" s="182" t="n">
        <v>2009</v>
      </c>
      <c r="C790" s="183" t="s">
        <v>1885</v>
      </c>
      <c r="D790" s="181" t="s">
        <v>1686</v>
      </c>
      <c r="E790" s="181" t="s">
        <v>292</v>
      </c>
      <c r="F790" s="181" t="s">
        <v>293</v>
      </c>
      <c r="G790" s="181" t="s">
        <v>1932</v>
      </c>
      <c r="H790" s="181" t="s">
        <v>279</v>
      </c>
      <c r="I790" s="181" t="s">
        <v>239</v>
      </c>
      <c r="J790" s="267"/>
      <c r="K790" s="269" t="n">
        <v>45932</v>
      </c>
      <c r="L790" s="267" t="n">
        <v>1.8</v>
      </c>
      <c r="M790" s="184" t="s">
        <v>1932</v>
      </c>
      <c r="N790" s="184" t="n">
        <v>36600</v>
      </c>
      <c r="O790" s="184" t="n">
        <v>13980</v>
      </c>
      <c r="P790" s="185" t="n">
        <v>12</v>
      </c>
      <c r="Q790" s="184" t="n">
        <v>22620</v>
      </c>
      <c r="R790" s="184" t="n">
        <v>19905.6</v>
      </c>
      <c r="S790" s="184" t="s">
        <v>1955</v>
      </c>
      <c r="T790" s="187" t="n">
        <v>45932</v>
      </c>
    </row>
    <row r="791" customFormat="false" ht="23.85" hidden="true" customHeight="false" outlineLevel="0" collapsed="false">
      <c r="A791" s="181" t="s">
        <v>1960</v>
      </c>
      <c r="B791" s="182" t="n">
        <v>2010</v>
      </c>
      <c r="C791" s="183" t="s">
        <v>1885</v>
      </c>
      <c r="D791" s="181" t="s">
        <v>1686</v>
      </c>
      <c r="E791" s="181" t="s">
        <v>336</v>
      </c>
      <c r="F791" s="181" t="s">
        <v>337</v>
      </c>
      <c r="G791" s="181" t="s">
        <v>1932</v>
      </c>
      <c r="H791" s="181" t="s">
        <v>279</v>
      </c>
      <c r="I791" s="181" t="s">
        <v>239</v>
      </c>
      <c r="J791" s="267"/>
      <c r="K791" s="269" t="n">
        <v>45932</v>
      </c>
      <c r="L791" s="267" t="n">
        <v>2</v>
      </c>
      <c r="M791" s="184" t="s">
        <v>1932</v>
      </c>
      <c r="N791" s="184" t="n">
        <v>38560</v>
      </c>
      <c r="O791" s="184" t="n">
        <v>14490</v>
      </c>
      <c r="P791" s="185" t="n">
        <v>11</v>
      </c>
      <c r="Q791" s="184" t="n">
        <v>24070</v>
      </c>
      <c r="R791" s="184" t="n">
        <v>21422.3</v>
      </c>
      <c r="S791" s="184" t="s">
        <v>1961</v>
      </c>
      <c r="T791" s="187" t="n">
        <v>45932</v>
      </c>
    </row>
    <row r="792" customFormat="false" ht="35.05" hidden="true" customHeight="false" outlineLevel="0" collapsed="false">
      <c r="A792" s="181" t="s">
        <v>1962</v>
      </c>
      <c r="B792" s="182" t="n">
        <v>2011</v>
      </c>
      <c r="C792" s="183" t="s">
        <v>1885</v>
      </c>
      <c r="D792" s="181" t="s">
        <v>1686</v>
      </c>
      <c r="E792" s="181" t="s">
        <v>332</v>
      </c>
      <c r="F792" s="181" t="s">
        <v>333</v>
      </c>
      <c r="G792" s="181" t="s">
        <v>1932</v>
      </c>
      <c r="H792" s="181" t="s">
        <v>279</v>
      </c>
      <c r="I792" s="181" t="s">
        <v>239</v>
      </c>
      <c r="J792" s="267"/>
      <c r="K792" s="269" t="n">
        <v>45932</v>
      </c>
      <c r="L792" s="267" t="n">
        <v>1.9</v>
      </c>
      <c r="M792" s="184" t="s">
        <v>1932</v>
      </c>
      <c r="N792" s="184" t="n">
        <v>38730</v>
      </c>
      <c r="O792" s="184" t="n">
        <v>14840</v>
      </c>
      <c r="P792" s="185" t="n">
        <v>17</v>
      </c>
      <c r="Q792" s="184" t="n">
        <v>23890</v>
      </c>
      <c r="R792" s="184" t="n">
        <v>19828.7</v>
      </c>
      <c r="S792" s="184" t="s">
        <v>1963</v>
      </c>
      <c r="T792" s="187" t="n">
        <v>45932</v>
      </c>
    </row>
    <row r="793" customFormat="false" ht="46.25" hidden="true" customHeight="false" outlineLevel="0" collapsed="false">
      <c r="A793" s="181" t="s">
        <v>1964</v>
      </c>
      <c r="B793" s="182" t="n">
        <v>2012</v>
      </c>
      <c r="C793" s="183" t="s">
        <v>1885</v>
      </c>
      <c r="D793" s="181" t="s">
        <v>1686</v>
      </c>
      <c r="E793" s="181" t="s">
        <v>288</v>
      </c>
      <c r="F793" s="181" t="s">
        <v>289</v>
      </c>
      <c r="G793" s="181" t="s">
        <v>1932</v>
      </c>
      <c r="H793" s="181" t="s">
        <v>279</v>
      </c>
      <c r="I793" s="181" t="s">
        <v>239</v>
      </c>
      <c r="J793" s="267"/>
      <c r="K793" s="269" t="n">
        <v>45932</v>
      </c>
      <c r="L793" s="267" t="n">
        <v>1.9</v>
      </c>
      <c r="M793" s="184" t="s">
        <v>1932</v>
      </c>
      <c r="N793" s="184" t="n">
        <v>38530</v>
      </c>
      <c r="O793" s="184" t="n">
        <v>14660</v>
      </c>
      <c r="P793" s="185" t="n">
        <v>16</v>
      </c>
      <c r="Q793" s="184" t="n">
        <v>23870</v>
      </c>
      <c r="R793" s="184" t="n">
        <v>20050.8</v>
      </c>
      <c r="S793" s="184" t="s">
        <v>1965</v>
      </c>
      <c r="T793" s="187" t="n">
        <v>45932</v>
      </c>
    </row>
    <row r="794" customFormat="false" ht="23.85" hidden="true" customHeight="false" outlineLevel="0" collapsed="false">
      <c r="A794" s="181" t="s">
        <v>1968</v>
      </c>
      <c r="B794" s="182" t="n">
        <v>2013</v>
      </c>
      <c r="C794" s="183" t="s">
        <v>1885</v>
      </c>
      <c r="D794" s="181" t="s">
        <v>1686</v>
      </c>
      <c r="E794" s="181" t="s">
        <v>308</v>
      </c>
      <c r="F794" s="181" t="s">
        <v>309</v>
      </c>
      <c r="G794" s="181" t="s">
        <v>1932</v>
      </c>
      <c r="H794" s="181" t="s">
        <v>279</v>
      </c>
      <c r="I794" s="181" t="s">
        <v>239</v>
      </c>
      <c r="J794" s="267"/>
      <c r="K794" s="269" t="n">
        <v>45932</v>
      </c>
      <c r="L794" s="267" t="n">
        <v>3.3</v>
      </c>
      <c r="M794" s="184" t="s">
        <v>1932</v>
      </c>
      <c r="N794" s="184" t="n">
        <v>63840</v>
      </c>
      <c r="O794" s="184" t="n">
        <v>24140</v>
      </c>
      <c r="P794" s="185" t="n">
        <v>15</v>
      </c>
      <c r="Q794" s="184" t="n">
        <v>39700</v>
      </c>
      <c r="R794" s="184" t="n">
        <v>33745</v>
      </c>
      <c r="S794" s="184" t="s">
        <v>1969</v>
      </c>
      <c r="T794" s="187" t="n">
        <v>45933</v>
      </c>
    </row>
    <row r="795" customFormat="false" ht="35.05" hidden="true" customHeight="false" outlineLevel="0" collapsed="false">
      <c r="A795" s="181" t="s">
        <v>1970</v>
      </c>
      <c r="B795" s="182" t="n">
        <v>2017</v>
      </c>
      <c r="C795" s="183" t="s">
        <v>1885</v>
      </c>
      <c r="D795" s="181" t="s">
        <v>1686</v>
      </c>
      <c r="E795" s="181" t="s">
        <v>304</v>
      </c>
      <c r="F795" s="181" t="s">
        <v>305</v>
      </c>
      <c r="G795" s="181" t="s">
        <v>1900</v>
      </c>
      <c r="H795" s="181" t="s">
        <v>279</v>
      </c>
      <c r="I795" s="181" t="s">
        <v>239</v>
      </c>
      <c r="J795" s="267"/>
      <c r="K795" s="269" t="n">
        <v>45932</v>
      </c>
      <c r="L795" s="267" t="n">
        <v>1.6</v>
      </c>
      <c r="M795" s="184" t="s">
        <v>1900</v>
      </c>
      <c r="N795" s="184" t="n">
        <v>38600</v>
      </c>
      <c r="O795" s="184" t="n">
        <v>15070</v>
      </c>
      <c r="P795" s="185" t="n">
        <v>18</v>
      </c>
      <c r="Q795" s="184" t="n">
        <v>23530</v>
      </c>
      <c r="R795" s="184" t="n">
        <v>19294.6</v>
      </c>
      <c r="S795" s="184" t="s">
        <v>1971</v>
      </c>
      <c r="T795" s="187" t="n">
        <v>45933</v>
      </c>
    </row>
    <row r="796" customFormat="false" ht="23.85" hidden="true" customHeight="false" outlineLevel="0" collapsed="false">
      <c r="A796" s="181" t="s">
        <v>1972</v>
      </c>
      <c r="B796" s="182" t="n">
        <v>2018</v>
      </c>
      <c r="C796" s="183" t="s">
        <v>1885</v>
      </c>
      <c r="D796" s="181" t="s">
        <v>1686</v>
      </c>
      <c r="E796" s="181" t="s">
        <v>272</v>
      </c>
      <c r="F796" s="181" t="s">
        <v>273</v>
      </c>
      <c r="G796" s="181" t="s">
        <v>1900</v>
      </c>
      <c r="H796" s="181" t="s">
        <v>279</v>
      </c>
      <c r="I796" s="181" t="s">
        <v>239</v>
      </c>
      <c r="J796" s="267"/>
      <c r="K796" s="269" t="n">
        <v>45932</v>
      </c>
      <c r="L796" s="267" t="n">
        <v>1.7</v>
      </c>
      <c r="M796" s="184" t="s">
        <v>1900</v>
      </c>
      <c r="N796" s="184" t="n">
        <v>40640</v>
      </c>
      <c r="O796" s="184" t="n">
        <v>15650</v>
      </c>
      <c r="P796" s="185" t="n">
        <v>12</v>
      </c>
      <c r="Q796" s="184" t="n">
        <v>24990</v>
      </c>
      <c r="R796" s="184" t="n">
        <v>21991.2</v>
      </c>
      <c r="S796" s="184" t="s">
        <v>1973</v>
      </c>
      <c r="T796" s="187" t="n">
        <v>45933</v>
      </c>
    </row>
    <row r="797" customFormat="false" ht="35.05" hidden="true" customHeight="false" outlineLevel="0" collapsed="false">
      <c r="A797" s="181" t="s">
        <v>1974</v>
      </c>
      <c r="B797" s="182" t="n">
        <v>2019</v>
      </c>
      <c r="C797" s="183" t="s">
        <v>1885</v>
      </c>
      <c r="D797" s="181" t="s">
        <v>1686</v>
      </c>
      <c r="E797" s="181" t="s">
        <v>576</v>
      </c>
      <c r="F797" s="181" t="s">
        <v>577</v>
      </c>
      <c r="G797" s="181" t="s">
        <v>1900</v>
      </c>
      <c r="H797" s="181" t="s">
        <v>279</v>
      </c>
      <c r="I797" s="181" t="s">
        <v>239</v>
      </c>
      <c r="J797" s="267"/>
      <c r="K797" s="269" t="n">
        <v>45932</v>
      </c>
      <c r="L797" s="267" t="n">
        <v>1.7</v>
      </c>
      <c r="M797" s="184" t="s">
        <v>1900</v>
      </c>
      <c r="N797" s="184" t="n">
        <v>38770</v>
      </c>
      <c r="O797" s="184" t="n">
        <v>14580</v>
      </c>
      <c r="P797" s="185" t="n">
        <v>13</v>
      </c>
      <c r="Q797" s="184" t="n">
        <v>24190</v>
      </c>
      <c r="R797" s="184" t="n">
        <v>21045.3</v>
      </c>
      <c r="S797" s="184" t="s">
        <v>1975</v>
      </c>
      <c r="T797" s="187" t="n">
        <v>45933</v>
      </c>
    </row>
    <row r="798" customFormat="false" ht="46.25" hidden="true" customHeight="false" outlineLevel="0" collapsed="false">
      <c r="A798" s="197" t="s">
        <v>1976</v>
      </c>
      <c r="B798" s="182" t="n">
        <v>2026</v>
      </c>
      <c r="C798" s="183" t="s">
        <v>1885</v>
      </c>
      <c r="D798" s="181" t="s">
        <v>1686</v>
      </c>
      <c r="E798" s="181" t="s">
        <v>282</v>
      </c>
      <c r="F798" s="181" t="s">
        <v>283</v>
      </c>
      <c r="G798" s="181" t="s">
        <v>1900</v>
      </c>
      <c r="H798" s="181" t="s">
        <v>279</v>
      </c>
      <c r="I798" s="181" t="s">
        <v>239</v>
      </c>
      <c r="J798" s="267"/>
      <c r="K798" s="269" t="n">
        <v>45933</v>
      </c>
      <c r="L798" s="267" t="n">
        <v>1.7</v>
      </c>
      <c r="M798" s="184" t="s">
        <v>1900</v>
      </c>
      <c r="N798" s="184" t="n">
        <v>39840</v>
      </c>
      <c r="O798" s="184" t="n">
        <v>15050</v>
      </c>
      <c r="P798" s="185" t="n">
        <v>10</v>
      </c>
      <c r="Q798" s="184" t="n">
        <v>24790</v>
      </c>
      <c r="R798" s="184" t="n">
        <v>22311</v>
      </c>
      <c r="S798" s="184" t="s">
        <v>1977</v>
      </c>
      <c r="T798" s="187" t="n">
        <v>45933</v>
      </c>
    </row>
    <row r="799" customFormat="false" ht="35.05" hidden="true" customHeight="false" outlineLevel="0" collapsed="false">
      <c r="A799" s="181" t="s">
        <v>1978</v>
      </c>
      <c r="B799" s="182" t="n">
        <v>2027</v>
      </c>
      <c r="C799" s="183" t="s">
        <v>1885</v>
      </c>
      <c r="D799" s="181" t="s">
        <v>1686</v>
      </c>
      <c r="E799" s="181" t="s">
        <v>266</v>
      </c>
      <c r="F799" s="181" t="s">
        <v>267</v>
      </c>
      <c r="G799" s="181" t="s">
        <v>1900</v>
      </c>
      <c r="H799" s="181" t="s">
        <v>279</v>
      </c>
      <c r="I799" s="181" t="s">
        <v>239</v>
      </c>
      <c r="J799" s="267"/>
      <c r="K799" s="269" t="n">
        <v>45933</v>
      </c>
      <c r="L799" s="267" t="n">
        <v>1.7</v>
      </c>
      <c r="M799" s="184" t="s">
        <v>1900</v>
      </c>
      <c r="N799" s="184" t="n">
        <v>39140</v>
      </c>
      <c r="O799" s="184" t="n">
        <v>14870</v>
      </c>
      <c r="P799" s="185" t="n">
        <v>7</v>
      </c>
      <c r="Q799" s="184" t="n">
        <v>24270</v>
      </c>
      <c r="R799" s="184" t="n">
        <v>22571.1</v>
      </c>
      <c r="S799" s="184" t="s">
        <v>1979</v>
      </c>
      <c r="T799" s="187" t="n">
        <v>45933</v>
      </c>
    </row>
    <row r="800" customFormat="false" ht="35.05" hidden="true" customHeight="false" outlineLevel="0" collapsed="false">
      <c r="A800" s="181" t="s">
        <v>1980</v>
      </c>
      <c r="B800" s="182" t="n">
        <v>2028</v>
      </c>
      <c r="C800" s="183" t="s">
        <v>1885</v>
      </c>
      <c r="D800" s="181" t="s">
        <v>1686</v>
      </c>
      <c r="E800" s="181" t="s">
        <v>300</v>
      </c>
      <c r="F800" s="181" t="s">
        <v>301</v>
      </c>
      <c r="G800" s="181" t="s">
        <v>1900</v>
      </c>
      <c r="H800" s="181" t="s">
        <v>279</v>
      </c>
      <c r="I800" s="181" t="s">
        <v>239</v>
      </c>
      <c r="J800" s="267"/>
      <c r="K800" s="269" t="n">
        <v>45933</v>
      </c>
      <c r="L800" s="267" t="n">
        <v>2.3</v>
      </c>
      <c r="M800" s="184" t="s">
        <v>1900</v>
      </c>
      <c r="N800" s="184" t="n">
        <v>54420</v>
      </c>
      <c r="O800" s="184" t="n">
        <v>20910</v>
      </c>
      <c r="P800" s="185" t="n">
        <v>8</v>
      </c>
      <c r="Q800" s="184" t="n">
        <v>33510</v>
      </c>
      <c r="R800" s="184" t="n">
        <v>30829.2</v>
      </c>
      <c r="S800" s="184" t="s">
        <v>1981</v>
      </c>
      <c r="T800" s="187" t="n">
        <v>45933</v>
      </c>
    </row>
    <row r="801" customFormat="false" ht="35.05" hidden="true" customHeight="false" outlineLevel="0" collapsed="false">
      <c r="A801" s="181" t="s">
        <v>1994</v>
      </c>
      <c r="B801" s="182" t="n">
        <v>2030</v>
      </c>
      <c r="C801" s="183" t="s">
        <v>1885</v>
      </c>
      <c r="D801" s="181" t="s">
        <v>1686</v>
      </c>
      <c r="E801" s="181" t="s">
        <v>277</v>
      </c>
      <c r="F801" s="181" t="s">
        <v>278</v>
      </c>
      <c r="G801" s="181" t="s">
        <v>1900</v>
      </c>
      <c r="H801" s="181" t="s">
        <v>279</v>
      </c>
      <c r="I801" s="181" t="s">
        <v>239</v>
      </c>
      <c r="J801" s="267"/>
      <c r="K801" s="269" t="n">
        <v>45933</v>
      </c>
      <c r="L801" s="267" t="n">
        <v>1.9</v>
      </c>
      <c r="M801" s="184" t="s">
        <v>1900</v>
      </c>
      <c r="N801" s="184" t="n">
        <v>42320</v>
      </c>
      <c r="O801" s="184" t="n">
        <v>15130</v>
      </c>
      <c r="P801" s="185" t="n">
        <v>7</v>
      </c>
      <c r="Q801" s="184" t="n">
        <v>27190</v>
      </c>
      <c r="R801" s="184" t="n">
        <v>25286.7</v>
      </c>
      <c r="S801" s="184" t="s">
        <v>1995</v>
      </c>
      <c r="T801" s="187" t="n">
        <v>45933</v>
      </c>
    </row>
    <row r="802" customFormat="false" ht="35.05" hidden="true" customHeight="false" outlineLevel="0" collapsed="false">
      <c r="A802" s="181" t="s">
        <v>1996</v>
      </c>
      <c r="B802" s="182" t="n">
        <v>2031</v>
      </c>
      <c r="C802" s="183" t="s">
        <v>1885</v>
      </c>
      <c r="D802" s="181" t="s">
        <v>1686</v>
      </c>
      <c r="E802" s="181" t="s">
        <v>582</v>
      </c>
      <c r="F802" s="181" t="s">
        <v>583</v>
      </c>
      <c r="G802" s="181" t="s">
        <v>1900</v>
      </c>
      <c r="H802" s="181" t="s">
        <v>279</v>
      </c>
      <c r="I802" s="181" t="s">
        <v>239</v>
      </c>
      <c r="J802" s="267"/>
      <c r="K802" s="269" t="n">
        <v>45933</v>
      </c>
      <c r="L802" s="267" t="n">
        <v>1.8</v>
      </c>
      <c r="M802" s="184" t="s">
        <v>1900</v>
      </c>
      <c r="N802" s="184" t="n">
        <v>40530</v>
      </c>
      <c r="O802" s="184" t="n">
        <v>14720</v>
      </c>
      <c r="P802" s="185" t="n">
        <v>10</v>
      </c>
      <c r="Q802" s="184" t="n">
        <v>25810</v>
      </c>
      <c r="R802" s="184" t="n">
        <v>23229</v>
      </c>
      <c r="S802" s="184" t="s">
        <v>1997</v>
      </c>
      <c r="T802" s="187" t="n">
        <v>45933</v>
      </c>
    </row>
    <row r="803" customFormat="false" ht="23.85" hidden="true" customHeight="false" outlineLevel="0" collapsed="false">
      <c r="A803" s="181" t="s">
        <v>1998</v>
      </c>
      <c r="B803" s="182" t="n">
        <v>2032</v>
      </c>
      <c r="C803" s="183" t="s">
        <v>1885</v>
      </c>
      <c r="D803" s="181" t="s">
        <v>1686</v>
      </c>
      <c r="E803" s="181" t="s">
        <v>336</v>
      </c>
      <c r="F803" s="181" t="s">
        <v>337</v>
      </c>
      <c r="G803" s="181" t="s">
        <v>1900</v>
      </c>
      <c r="H803" s="181" t="s">
        <v>279</v>
      </c>
      <c r="I803" s="181" t="s">
        <v>239</v>
      </c>
      <c r="J803" s="267"/>
      <c r="K803" s="269" t="n">
        <v>45933</v>
      </c>
      <c r="L803" s="267" t="n">
        <v>1.8</v>
      </c>
      <c r="M803" s="184" t="s">
        <v>1900</v>
      </c>
      <c r="N803" s="184" t="n">
        <v>40010</v>
      </c>
      <c r="O803" s="184" t="n">
        <v>14520</v>
      </c>
      <c r="P803" s="185" t="n">
        <v>12</v>
      </c>
      <c r="Q803" s="184" t="n">
        <v>25490</v>
      </c>
      <c r="R803" s="184" t="n">
        <v>22431.2</v>
      </c>
      <c r="S803" s="184" t="s">
        <v>1999</v>
      </c>
      <c r="T803" s="187" t="n">
        <v>45933</v>
      </c>
    </row>
    <row r="804" customFormat="false" ht="23.85" hidden="true" customHeight="false" outlineLevel="0" collapsed="false">
      <c r="A804" s="181" t="s">
        <v>2000</v>
      </c>
      <c r="B804" s="182" t="n">
        <v>2035</v>
      </c>
      <c r="C804" s="183" t="s">
        <v>1885</v>
      </c>
      <c r="D804" s="181" t="s">
        <v>1686</v>
      </c>
      <c r="E804" s="181" t="s">
        <v>346</v>
      </c>
      <c r="F804" s="181" t="s">
        <v>347</v>
      </c>
      <c r="G804" s="181" t="s">
        <v>1900</v>
      </c>
      <c r="H804" s="181" t="s">
        <v>279</v>
      </c>
      <c r="I804" s="181" t="s">
        <v>239</v>
      </c>
      <c r="J804" s="267"/>
      <c r="K804" s="269" t="n">
        <v>45933</v>
      </c>
      <c r="L804" s="267" t="n">
        <v>1.8</v>
      </c>
      <c r="M804" s="184" t="s">
        <v>1900</v>
      </c>
      <c r="N804" s="184" t="n">
        <v>40370</v>
      </c>
      <c r="O804" s="184" t="n">
        <v>15120</v>
      </c>
      <c r="P804" s="185" t="n">
        <v>14</v>
      </c>
      <c r="Q804" s="184" t="n">
        <v>25250</v>
      </c>
      <c r="R804" s="184" t="n">
        <v>21715</v>
      </c>
      <c r="S804" s="184" t="s">
        <v>2001</v>
      </c>
      <c r="T804" s="187" t="n">
        <v>45933</v>
      </c>
    </row>
    <row r="805" customFormat="false" ht="46.25" hidden="true" customHeight="false" outlineLevel="0" collapsed="false">
      <c r="A805" s="181" t="s">
        <v>1982</v>
      </c>
      <c r="B805" s="182" t="n">
        <v>2036</v>
      </c>
      <c r="C805" s="183" t="s">
        <v>1885</v>
      </c>
      <c r="D805" s="181" t="s">
        <v>1686</v>
      </c>
      <c r="E805" s="181" t="s">
        <v>288</v>
      </c>
      <c r="F805" s="181" t="s">
        <v>289</v>
      </c>
      <c r="G805" s="181" t="s">
        <v>1900</v>
      </c>
      <c r="H805" s="181" t="s">
        <v>279</v>
      </c>
      <c r="I805" s="181" t="s">
        <v>239</v>
      </c>
      <c r="J805" s="267"/>
      <c r="K805" s="269" t="n">
        <v>45933</v>
      </c>
      <c r="L805" s="267" t="n">
        <v>1.6</v>
      </c>
      <c r="M805" s="184" t="s">
        <v>1900</v>
      </c>
      <c r="N805" s="184" t="n">
        <v>38250</v>
      </c>
      <c r="O805" s="184" t="n">
        <v>14760</v>
      </c>
      <c r="P805" s="185" t="n">
        <v>16</v>
      </c>
      <c r="Q805" s="184" t="n">
        <v>23490</v>
      </c>
      <c r="R805" s="184" t="n">
        <v>19731.6</v>
      </c>
      <c r="S805" s="184" t="s">
        <v>1983</v>
      </c>
      <c r="T805" s="187" t="n">
        <v>45933</v>
      </c>
    </row>
    <row r="806" customFormat="false" ht="23.85" hidden="true" customHeight="false" outlineLevel="0" collapsed="false">
      <c r="A806" s="181" t="s">
        <v>1984</v>
      </c>
      <c r="B806" s="182" t="n">
        <v>2037</v>
      </c>
      <c r="C806" s="183" t="s">
        <v>1885</v>
      </c>
      <c r="D806" s="181" t="s">
        <v>1686</v>
      </c>
      <c r="E806" s="181" t="s">
        <v>292</v>
      </c>
      <c r="F806" s="181" t="s">
        <v>293</v>
      </c>
      <c r="G806" s="181" t="s">
        <v>1900</v>
      </c>
      <c r="H806" s="181" t="s">
        <v>279</v>
      </c>
      <c r="I806" s="181" t="s">
        <v>239</v>
      </c>
      <c r="J806" s="267"/>
      <c r="K806" s="269" t="n">
        <v>45933</v>
      </c>
      <c r="L806" s="267" t="n">
        <v>1.6</v>
      </c>
      <c r="M806" s="184" t="s">
        <v>1900</v>
      </c>
      <c r="N806" s="184" t="n">
        <v>37280</v>
      </c>
      <c r="O806" s="184" t="n">
        <v>13910</v>
      </c>
      <c r="P806" s="185" t="n">
        <v>9</v>
      </c>
      <c r="Q806" s="184" t="n">
        <v>23370</v>
      </c>
      <c r="R806" s="184" t="n">
        <v>21266.7</v>
      </c>
      <c r="S806" s="184" t="s">
        <v>1985</v>
      </c>
      <c r="T806" s="187" t="n">
        <v>45933</v>
      </c>
    </row>
    <row r="807" customFormat="false" ht="35.05" hidden="true" customHeight="false" outlineLevel="0" collapsed="false">
      <c r="A807" s="181" t="s">
        <v>1986</v>
      </c>
      <c r="B807" s="182" t="n">
        <v>2039</v>
      </c>
      <c r="C807" s="183" t="s">
        <v>1885</v>
      </c>
      <c r="D807" s="181" t="s">
        <v>1686</v>
      </c>
      <c r="E807" s="181" t="s">
        <v>391</v>
      </c>
      <c r="F807" s="181" t="s">
        <v>392</v>
      </c>
      <c r="G807" s="181" t="s">
        <v>1900</v>
      </c>
      <c r="H807" s="181" t="s">
        <v>279</v>
      </c>
      <c r="I807" s="181" t="s">
        <v>239</v>
      </c>
      <c r="J807" s="267"/>
      <c r="K807" s="269" t="n">
        <v>45933</v>
      </c>
      <c r="L807" s="267" t="n">
        <v>1.4</v>
      </c>
      <c r="M807" s="184" t="s">
        <v>1900</v>
      </c>
      <c r="N807" s="184" t="n">
        <v>35150</v>
      </c>
      <c r="O807" s="184" t="n">
        <v>14490</v>
      </c>
      <c r="P807" s="185" t="n">
        <v>15</v>
      </c>
      <c r="Q807" s="184" t="n">
        <v>20660</v>
      </c>
      <c r="R807" s="184" t="n">
        <v>17561</v>
      </c>
      <c r="S807" s="184" t="s">
        <v>1987</v>
      </c>
      <c r="T807" s="187" t="n">
        <v>45933</v>
      </c>
    </row>
    <row r="808" customFormat="false" ht="35.05" hidden="true" customHeight="false" outlineLevel="0" collapsed="false">
      <c r="A808" s="181" t="s">
        <v>1988</v>
      </c>
      <c r="B808" s="182" t="n">
        <v>2042</v>
      </c>
      <c r="C808" s="183" t="s">
        <v>1885</v>
      </c>
      <c r="D808" s="181" t="s">
        <v>1686</v>
      </c>
      <c r="E808" s="181" t="s">
        <v>340</v>
      </c>
      <c r="F808" s="181" t="s">
        <v>341</v>
      </c>
      <c r="G808" s="181" t="s">
        <v>1900</v>
      </c>
      <c r="H808" s="181" t="s">
        <v>279</v>
      </c>
      <c r="I808" s="181" t="s">
        <v>239</v>
      </c>
      <c r="J808" s="267"/>
      <c r="K808" s="269" t="n">
        <v>45933</v>
      </c>
      <c r="L808" s="267" t="n">
        <v>1.8</v>
      </c>
      <c r="M808" s="184" t="s">
        <v>1900</v>
      </c>
      <c r="N808" s="184" t="n">
        <v>40170</v>
      </c>
      <c r="O808" s="184" t="n">
        <v>15120</v>
      </c>
      <c r="P808" s="185" t="n">
        <v>13</v>
      </c>
      <c r="Q808" s="184" t="n">
        <v>25050</v>
      </c>
      <c r="R808" s="184" t="n">
        <v>21793.5</v>
      </c>
      <c r="S808" s="184" t="s">
        <v>1989</v>
      </c>
      <c r="T808" s="187" t="n">
        <v>45933</v>
      </c>
    </row>
    <row r="809" customFormat="false" ht="23.85" hidden="true" customHeight="false" outlineLevel="0" collapsed="false">
      <c r="A809" s="181" t="s">
        <v>1992</v>
      </c>
      <c r="B809" s="182" t="n">
        <v>2044</v>
      </c>
      <c r="C809" s="183" t="s">
        <v>1885</v>
      </c>
      <c r="D809" s="181" t="s">
        <v>1686</v>
      </c>
      <c r="E809" s="181" t="s">
        <v>308</v>
      </c>
      <c r="F809" s="181" t="s">
        <v>309</v>
      </c>
      <c r="G809" s="181" t="s">
        <v>1900</v>
      </c>
      <c r="H809" s="181" t="s">
        <v>279</v>
      </c>
      <c r="I809" s="181" t="s">
        <v>239</v>
      </c>
      <c r="J809" s="267"/>
      <c r="K809" s="269" t="n">
        <v>45933</v>
      </c>
      <c r="L809" s="267" t="n">
        <v>2.8</v>
      </c>
      <c r="M809" s="184" t="s">
        <v>1900</v>
      </c>
      <c r="N809" s="184" t="n">
        <v>64730</v>
      </c>
      <c r="O809" s="184" t="n">
        <v>24080</v>
      </c>
      <c r="P809" s="185" t="n">
        <v>12</v>
      </c>
      <c r="Q809" s="184" t="n">
        <v>40650</v>
      </c>
      <c r="R809" s="184" t="n">
        <v>35772</v>
      </c>
      <c r="S809" s="184" t="s">
        <v>1993</v>
      </c>
      <c r="T809" s="187" t="n">
        <v>45933</v>
      </c>
    </row>
    <row r="810" customFormat="false" ht="35.05" hidden="true" customHeight="false" outlineLevel="0" collapsed="false">
      <c r="A810" s="181" t="s">
        <v>1990</v>
      </c>
      <c r="B810" s="182" t="n">
        <v>2043</v>
      </c>
      <c r="C810" s="183" t="s">
        <v>1885</v>
      </c>
      <c r="D810" s="181" t="s">
        <v>1686</v>
      </c>
      <c r="E810" s="181" t="s">
        <v>304</v>
      </c>
      <c r="F810" s="181" t="s">
        <v>305</v>
      </c>
      <c r="G810" s="181" t="s">
        <v>1900</v>
      </c>
      <c r="H810" s="181" t="s">
        <v>279</v>
      </c>
      <c r="I810" s="181" t="s">
        <v>239</v>
      </c>
      <c r="J810" s="267"/>
      <c r="K810" s="269" t="n">
        <v>45933</v>
      </c>
      <c r="L810" s="267" t="n">
        <v>1.8</v>
      </c>
      <c r="M810" s="184" t="s">
        <v>1900</v>
      </c>
      <c r="N810" s="184" t="n">
        <v>40950</v>
      </c>
      <c r="O810" s="184" t="n">
        <v>15020</v>
      </c>
      <c r="P810" s="185" t="n">
        <v>17</v>
      </c>
      <c r="Q810" s="184" t="n">
        <v>25930</v>
      </c>
      <c r="R810" s="184" t="n">
        <v>21521.9</v>
      </c>
      <c r="S810" s="184" t="s">
        <v>1991</v>
      </c>
      <c r="T810" s="187" t="n">
        <v>45933</v>
      </c>
    </row>
    <row r="811" customFormat="false" ht="23.85" hidden="true" customHeight="false" outlineLevel="0" collapsed="false">
      <c r="A811" s="181" t="s">
        <v>2002</v>
      </c>
      <c r="B811" s="182" t="n">
        <v>2045</v>
      </c>
      <c r="C811" s="183" t="n">
        <v>57732</v>
      </c>
      <c r="D811" s="181" t="s">
        <v>1686</v>
      </c>
      <c r="E811" s="181" t="s">
        <v>272</v>
      </c>
      <c r="F811" s="181" t="s">
        <v>273</v>
      </c>
      <c r="G811" s="181" t="s">
        <v>1900</v>
      </c>
      <c r="H811" s="181" t="s">
        <v>279</v>
      </c>
      <c r="I811" s="181" t="s">
        <v>239</v>
      </c>
      <c r="J811" s="267"/>
      <c r="K811" s="269" t="n">
        <v>45933</v>
      </c>
      <c r="L811" s="267" t="n">
        <v>1.3</v>
      </c>
      <c r="M811" s="184" t="s">
        <v>1900</v>
      </c>
      <c r="N811" s="184" t="n">
        <v>31590</v>
      </c>
      <c r="O811" s="184" t="n">
        <v>15570</v>
      </c>
      <c r="P811" s="185" t="n">
        <v>13</v>
      </c>
      <c r="Q811" s="184" t="n">
        <v>16020</v>
      </c>
      <c r="R811" s="184" t="n">
        <v>13937.4</v>
      </c>
      <c r="S811" s="184" t="s">
        <v>2003</v>
      </c>
      <c r="T811" s="187" t="n">
        <v>45934</v>
      </c>
    </row>
    <row r="812" customFormat="false" ht="46.25" hidden="true" customHeight="false" outlineLevel="0" collapsed="false">
      <c r="A812" s="181" t="s">
        <v>2004</v>
      </c>
      <c r="B812" s="182" t="n">
        <v>2047</v>
      </c>
      <c r="C812" s="183" t="n">
        <v>1</v>
      </c>
      <c r="D812" s="181" t="s">
        <v>2005</v>
      </c>
      <c r="E812" s="181" t="s">
        <v>383</v>
      </c>
      <c r="F812" s="181" t="s">
        <v>384</v>
      </c>
      <c r="G812" s="181" t="s">
        <v>2006</v>
      </c>
      <c r="H812" s="181" t="s">
        <v>279</v>
      </c>
      <c r="I812" s="181" t="s">
        <v>240</v>
      </c>
      <c r="J812" s="267"/>
      <c r="K812" s="269" t="n">
        <v>45934</v>
      </c>
      <c r="L812" s="267" t="n">
        <v>2.3</v>
      </c>
      <c r="M812" s="184" t="s">
        <v>2006</v>
      </c>
      <c r="N812" s="184" t="n">
        <v>40570</v>
      </c>
      <c r="O812" s="184" t="n">
        <v>14980</v>
      </c>
      <c r="P812" s="185" t="n">
        <v>27</v>
      </c>
      <c r="Q812" s="184" t="n">
        <v>25590</v>
      </c>
      <c r="R812" s="184" t="n">
        <v>18680.7</v>
      </c>
      <c r="S812" s="184" t="s">
        <v>2007</v>
      </c>
      <c r="T812" s="187" t="n">
        <v>45934</v>
      </c>
    </row>
    <row r="813" customFormat="false" ht="35.05" hidden="true" customHeight="false" outlineLevel="0" collapsed="false">
      <c r="A813" s="181" t="s">
        <v>2008</v>
      </c>
      <c r="B813" s="182" t="n">
        <v>2048</v>
      </c>
      <c r="C813" s="183" t="n">
        <v>2</v>
      </c>
      <c r="D813" s="181" t="s">
        <v>2005</v>
      </c>
      <c r="E813" s="181" t="s">
        <v>387</v>
      </c>
      <c r="F813" s="181" t="s">
        <v>388</v>
      </c>
      <c r="G813" s="181" t="s">
        <v>2006</v>
      </c>
      <c r="H813" s="181" t="s">
        <v>279</v>
      </c>
      <c r="I813" s="181" t="s">
        <v>240</v>
      </c>
      <c r="J813" s="267"/>
      <c r="K813" s="269" t="n">
        <v>45934</v>
      </c>
      <c r="L813" s="267" t="n">
        <v>2.5</v>
      </c>
      <c r="M813" s="184" t="s">
        <v>2006</v>
      </c>
      <c r="N813" s="184" t="n">
        <v>42870</v>
      </c>
      <c r="O813" s="184" t="n">
        <v>15190</v>
      </c>
      <c r="P813" s="185" t="n">
        <v>15</v>
      </c>
      <c r="Q813" s="184" t="n">
        <v>27680</v>
      </c>
      <c r="R813" s="184" t="n">
        <v>23528</v>
      </c>
      <c r="S813" s="184" t="s">
        <v>2009</v>
      </c>
      <c r="T813" s="187" t="n">
        <v>45934</v>
      </c>
    </row>
    <row r="814" customFormat="false" ht="35.05" hidden="true" customHeight="false" outlineLevel="0" collapsed="false">
      <c r="A814" s="181" t="s">
        <v>2010</v>
      </c>
      <c r="B814" s="182" t="n">
        <v>2049</v>
      </c>
      <c r="C814" s="183" t="n">
        <v>3</v>
      </c>
      <c r="D814" s="181" t="s">
        <v>2005</v>
      </c>
      <c r="E814" s="181" t="s">
        <v>350</v>
      </c>
      <c r="F814" s="181" t="s">
        <v>351</v>
      </c>
      <c r="G814" s="181" t="s">
        <v>2006</v>
      </c>
      <c r="H814" s="181" t="s">
        <v>279</v>
      </c>
      <c r="I814" s="181" t="s">
        <v>240</v>
      </c>
      <c r="J814" s="267"/>
      <c r="K814" s="269" t="n">
        <v>45934</v>
      </c>
      <c r="L814" s="267" t="n">
        <v>2.5</v>
      </c>
      <c r="M814" s="184" t="s">
        <v>2006</v>
      </c>
      <c r="N814" s="184" t="n">
        <v>43320</v>
      </c>
      <c r="O814" s="184" t="n">
        <v>15070</v>
      </c>
      <c r="P814" s="185" t="n">
        <v>15</v>
      </c>
      <c r="Q814" s="184" t="n">
        <v>28250</v>
      </c>
      <c r="R814" s="184" t="n">
        <v>24012.5</v>
      </c>
      <c r="S814" s="184" t="s">
        <v>2011</v>
      </c>
      <c r="T814" s="187" t="n">
        <v>45934</v>
      </c>
    </row>
    <row r="815" customFormat="false" ht="35.05" hidden="true" customHeight="false" outlineLevel="0" collapsed="false">
      <c r="A815" s="181" t="s">
        <v>2012</v>
      </c>
      <c r="B815" s="182" t="n">
        <v>2050</v>
      </c>
      <c r="C815" s="183" t="n">
        <v>4</v>
      </c>
      <c r="D815" s="181" t="s">
        <v>2005</v>
      </c>
      <c r="E815" s="181" t="s">
        <v>377</v>
      </c>
      <c r="F815" s="181" t="s">
        <v>378</v>
      </c>
      <c r="G815" s="181" t="s">
        <v>2006</v>
      </c>
      <c r="H815" s="181" t="s">
        <v>279</v>
      </c>
      <c r="I815" s="181" t="s">
        <v>240</v>
      </c>
      <c r="J815" s="267"/>
      <c r="K815" s="269" t="n">
        <v>45934</v>
      </c>
      <c r="L815" s="267" t="n">
        <v>2.4</v>
      </c>
      <c r="M815" s="184" t="s">
        <v>2006</v>
      </c>
      <c r="N815" s="184" t="n">
        <v>43110</v>
      </c>
      <c r="O815" s="184" t="n">
        <v>15750</v>
      </c>
      <c r="P815" s="185" t="n">
        <v>14</v>
      </c>
      <c r="Q815" s="184" t="n">
        <v>27360</v>
      </c>
      <c r="R815" s="184" t="n">
        <v>23529.6</v>
      </c>
      <c r="S815" s="184" t="s">
        <v>2013</v>
      </c>
      <c r="T815" s="187" t="n">
        <v>45934</v>
      </c>
    </row>
    <row r="816" customFormat="false" ht="35.05" hidden="true" customHeight="false" outlineLevel="0" collapsed="false">
      <c r="A816" s="181" t="s">
        <v>2014</v>
      </c>
      <c r="B816" s="182" t="n">
        <v>2051</v>
      </c>
      <c r="C816" s="183" t="n">
        <v>5</v>
      </c>
      <c r="D816" s="181" t="s">
        <v>2005</v>
      </c>
      <c r="E816" s="181" t="s">
        <v>399</v>
      </c>
      <c r="F816" s="181" t="s">
        <v>400</v>
      </c>
      <c r="G816" s="181" t="s">
        <v>2006</v>
      </c>
      <c r="H816" s="181" t="s">
        <v>279</v>
      </c>
      <c r="I816" s="181" t="s">
        <v>240</v>
      </c>
      <c r="J816" s="267"/>
      <c r="K816" s="269" t="n">
        <v>45934</v>
      </c>
      <c r="L816" s="267" t="n">
        <v>2.7</v>
      </c>
      <c r="M816" s="184" t="s">
        <v>2006</v>
      </c>
      <c r="N816" s="184" t="n">
        <v>49980</v>
      </c>
      <c r="O816" s="184" t="n">
        <v>19530</v>
      </c>
      <c r="P816" s="185" t="n">
        <v>29</v>
      </c>
      <c r="Q816" s="184" t="n">
        <v>30450</v>
      </c>
      <c r="R816" s="184" t="n">
        <v>21619.5</v>
      </c>
      <c r="S816" s="184" t="s">
        <v>2015</v>
      </c>
      <c r="T816" s="187" t="n">
        <v>45934</v>
      </c>
    </row>
    <row r="817" customFormat="false" ht="35.05" hidden="true" customHeight="false" outlineLevel="0" collapsed="false">
      <c r="A817" s="181" t="s">
        <v>2016</v>
      </c>
      <c r="B817" s="182" t="n">
        <v>2056</v>
      </c>
      <c r="C817" s="183" t="n">
        <v>6</v>
      </c>
      <c r="D817" s="181" t="s">
        <v>2005</v>
      </c>
      <c r="E817" s="181" t="s">
        <v>409</v>
      </c>
      <c r="F817" s="181" t="s">
        <v>410</v>
      </c>
      <c r="G817" s="181" t="s">
        <v>2006</v>
      </c>
      <c r="H817" s="181" t="s">
        <v>279</v>
      </c>
      <c r="I817" s="181" t="s">
        <v>240</v>
      </c>
      <c r="J817" s="267"/>
      <c r="K817" s="269" t="n">
        <v>45934</v>
      </c>
      <c r="L817" s="267" t="n">
        <v>3</v>
      </c>
      <c r="M817" s="184" t="s">
        <v>2006</v>
      </c>
      <c r="N817" s="184" t="n">
        <v>57850</v>
      </c>
      <c r="O817" s="184" t="n">
        <v>24260</v>
      </c>
      <c r="P817" s="185" t="n">
        <v>15</v>
      </c>
      <c r="Q817" s="184" t="n">
        <v>33590</v>
      </c>
      <c r="R817" s="184" t="n">
        <v>28551.5</v>
      </c>
      <c r="S817" s="184" t="s">
        <v>2017</v>
      </c>
      <c r="T817" s="187" t="n">
        <v>45934</v>
      </c>
    </row>
    <row r="818" customFormat="false" ht="35.05" hidden="true" customHeight="false" outlineLevel="0" collapsed="false">
      <c r="A818" s="181" t="s">
        <v>2018</v>
      </c>
      <c r="B818" s="182" t="n">
        <v>2057</v>
      </c>
      <c r="C818" s="183" t="n">
        <v>7</v>
      </c>
      <c r="D818" s="181" t="s">
        <v>2005</v>
      </c>
      <c r="E818" s="181" t="s">
        <v>413</v>
      </c>
      <c r="F818" s="181" t="s">
        <v>414</v>
      </c>
      <c r="G818" s="181" t="s">
        <v>2006</v>
      </c>
      <c r="H818" s="181" t="s">
        <v>279</v>
      </c>
      <c r="I818" s="181" t="s">
        <v>240</v>
      </c>
      <c r="J818" s="267"/>
      <c r="K818" s="269" t="n">
        <v>45934</v>
      </c>
      <c r="L818" s="267" t="n">
        <v>2.5</v>
      </c>
      <c r="M818" s="184" t="s">
        <v>2006</v>
      </c>
      <c r="N818" s="184" t="n">
        <v>43910</v>
      </c>
      <c r="O818" s="184" t="n">
        <v>15720</v>
      </c>
      <c r="P818" s="185" t="n">
        <v>22</v>
      </c>
      <c r="Q818" s="184" t="n">
        <v>28190</v>
      </c>
      <c r="R818" s="184" t="n">
        <v>21988.2</v>
      </c>
      <c r="S818" s="184" t="s">
        <v>2019</v>
      </c>
      <c r="T818" s="187" t="n">
        <v>45934</v>
      </c>
    </row>
    <row r="819" customFormat="false" ht="35.05" hidden="true" customHeight="false" outlineLevel="0" collapsed="false">
      <c r="A819" s="181" t="s">
        <v>2022</v>
      </c>
      <c r="B819" s="182" t="n">
        <v>2061</v>
      </c>
      <c r="C819" s="183" t="n">
        <v>9</v>
      </c>
      <c r="D819" s="181" t="s">
        <v>2005</v>
      </c>
      <c r="E819" s="181" t="s">
        <v>354</v>
      </c>
      <c r="F819" s="181" t="s">
        <v>355</v>
      </c>
      <c r="G819" s="181" t="s">
        <v>2006</v>
      </c>
      <c r="H819" s="181" t="s">
        <v>279</v>
      </c>
      <c r="I819" s="181" t="s">
        <v>240</v>
      </c>
      <c r="J819" s="267"/>
      <c r="K819" s="269" t="n">
        <v>45934</v>
      </c>
      <c r="L819" s="267" t="n">
        <v>2</v>
      </c>
      <c r="M819" s="184" t="s">
        <v>2006</v>
      </c>
      <c r="N819" s="184" t="n">
        <v>37380</v>
      </c>
      <c r="O819" s="184" t="n">
        <v>14800</v>
      </c>
      <c r="P819" s="185" t="n">
        <v>23</v>
      </c>
      <c r="Q819" s="184" t="n">
        <v>22580</v>
      </c>
      <c r="R819" s="184" t="n">
        <v>17386.6</v>
      </c>
      <c r="S819" s="184" t="s">
        <v>2023</v>
      </c>
      <c r="T819" s="187" t="n">
        <v>45934</v>
      </c>
    </row>
    <row r="820" customFormat="false" ht="35.05" hidden="true" customHeight="false" outlineLevel="0" collapsed="false">
      <c r="A820" s="181" t="s">
        <v>2020</v>
      </c>
      <c r="B820" s="182" t="n">
        <v>2060</v>
      </c>
      <c r="C820" s="183" t="n">
        <v>8</v>
      </c>
      <c r="D820" s="181" t="s">
        <v>2005</v>
      </c>
      <c r="E820" s="181" t="s">
        <v>340</v>
      </c>
      <c r="F820" s="181" t="s">
        <v>341</v>
      </c>
      <c r="G820" s="181" t="s">
        <v>2006</v>
      </c>
      <c r="H820" s="181" t="s">
        <v>279</v>
      </c>
      <c r="I820" s="181" t="s">
        <v>240</v>
      </c>
      <c r="J820" s="267"/>
      <c r="K820" s="269" t="n">
        <v>45934</v>
      </c>
      <c r="L820" s="267" t="n">
        <v>2.3</v>
      </c>
      <c r="M820" s="184" t="s">
        <v>2006</v>
      </c>
      <c r="N820" s="184" t="n">
        <v>40440</v>
      </c>
      <c r="O820" s="184" t="n">
        <v>15020</v>
      </c>
      <c r="P820" s="185" t="n">
        <v>19</v>
      </c>
      <c r="Q820" s="184" t="n">
        <v>25420</v>
      </c>
      <c r="R820" s="184" t="n">
        <v>20590.2</v>
      </c>
      <c r="S820" s="184" t="s">
        <v>2021</v>
      </c>
      <c r="T820" s="187" t="n">
        <v>45934</v>
      </c>
    </row>
    <row r="821" customFormat="false" ht="35.05" hidden="true" customHeight="false" outlineLevel="0" collapsed="false">
      <c r="A821" s="181" t="s">
        <v>2024</v>
      </c>
      <c r="B821" s="182" t="n">
        <v>2064</v>
      </c>
      <c r="C821" s="183" t="n">
        <v>2</v>
      </c>
      <c r="D821" s="181" t="s">
        <v>2005</v>
      </c>
      <c r="E821" s="181" t="s">
        <v>266</v>
      </c>
      <c r="F821" s="181" t="s">
        <v>267</v>
      </c>
      <c r="G821" s="181" t="s">
        <v>2006</v>
      </c>
      <c r="H821" s="181" t="s">
        <v>279</v>
      </c>
      <c r="I821" s="181" t="s">
        <v>240</v>
      </c>
      <c r="J821" s="267"/>
      <c r="K821" s="269" t="n">
        <v>45934</v>
      </c>
      <c r="L821" s="267" t="n">
        <v>2.2</v>
      </c>
      <c r="M821" s="184" t="s">
        <v>2006</v>
      </c>
      <c r="N821" s="184" t="n">
        <v>39350</v>
      </c>
      <c r="O821" s="184" t="n">
        <v>15010</v>
      </c>
      <c r="P821" s="185" t="n">
        <v>12</v>
      </c>
      <c r="Q821" s="184" t="n">
        <v>24340</v>
      </c>
      <c r="R821" s="184" t="n">
        <v>21419.2</v>
      </c>
      <c r="S821" s="184" t="s">
        <v>2025</v>
      </c>
      <c r="T821" s="187" t="n">
        <v>45934</v>
      </c>
    </row>
    <row r="822" customFormat="false" ht="35.05" hidden="true" customHeight="false" outlineLevel="0" collapsed="false">
      <c r="A822" s="181" t="s">
        <v>2026</v>
      </c>
      <c r="B822" s="182" t="n">
        <v>2066</v>
      </c>
      <c r="C822" s="183" t="n">
        <v>1</v>
      </c>
      <c r="D822" s="181" t="s">
        <v>2005</v>
      </c>
      <c r="E822" s="181" t="s">
        <v>300</v>
      </c>
      <c r="F822" s="181" t="s">
        <v>301</v>
      </c>
      <c r="G822" s="181" t="s">
        <v>2006</v>
      </c>
      <c r="H822" s="181" t="s">
        <v>279</v>
      </c>
      <c r="I822" s="181" t="s">
        <v>240</v>
      </c>
      <c r="J822" s="267"/>
      <c r="K822" s="269" t="n">
        <v>45934</v>
      </c>
      <c r="L822" s="267" t="n">
        <v>3.1</v>
      </c>
      <c r="M822" s="184" t="s">
        <v>2006</v>
      </c>
      <c r="N822" s="184" t="n">
        <v>55700</v>
      </c>
      <c r="O822" s="184" t="n">
        <v>21000</v>
      </c>
      <c r="P822" s="185" t="n">
        <v>9</v>
      </c>
      <c r="Q822" s="184" t="n">
        <v>34700</v>
      </c>
      <c r="R822" s="184" t="n">
        <v>31577</v>
      </c>
      <c r="S822" s="184" t="s">
        <v>2027</v>
      </c>
      <c r="T822" s="187" t="n">
        <v>45934</v>
      </c>
    </row>
    <row r="823" customFormat="false" ht="35.05" hidden="true" customHeight="false" outlineLevel="0" collapsed="false">
      <c r="A823" s="181" t="s">
        <v>2028</v>
      </c>
      <c r="B823" s="182" t="n">
        <v>2067</v>
      </c>
      <c r="C823" s="183" t="n">
        <v>3</v>
      </c>
      <c r="D823" s="181" t="s">
        <v>2005</v>
      </c>
      <c r="E823" s="181" t="s">
        <v>582</v>
      </c>
      <c r="F823" s="181" t="s">
        <v>583</v>
      </c>
      <c r="G823" s="181" t="s">
        <v>2006</v>
      </c>
      <c r="H823" s="181" t="s">
        <v>279</v>
      </c>
      <c r="I823" s="181" t="s">
        <v>240</v>
      </c>
      <c r="J823" s="267"/>
      <c r="K823" s="269" t="n">
        <v>45934</v>
      </c>
      <c r="L823" s="267" t="n">
        <v>2.3</v>
      </c>
      <c r="M823" s="184" t="s">
        <v>2006</v>
      </c>
      <c r="N823" s="184" t="n">
        <v>41050</v>
      </c>
      <c r="O823" s="184" t="n">
        <v>14940</v>
      </c>
      <c r="P823" s="185" t="n">
        <v>7</v>
      </c>
      <c r="Q823" s="184" t="n">
        <v>26110</v>
      </c>
      <c r="R823" s="184" t="n">
        <v>24282.3</v>
      </c>
      <c r="S823" s="184" t="s">
        <v>2029</v>
      </c>
      <c r="T823" s="187" t="n">
        <v>45934</v>
      </c>
    </row>
    <row r="824" customFormat="false" ht="35.05" hidden="true" customHeight="false" outlineLevel="0" collapsed="false">
      <c r="A824" s="181" t="s">
        <v>2030</v>
      </c>
      <c r="B824" s="182" t="n">
        <v>2068</v>
      </c>
      <c r="C824" s="183" t="n">
        <v>4</v>
      </c>
      <c r="D824" s="181" t="s">
        <v>2005</v>
      </c>
      <c r="E824" s="181" t="s">
        <v>332</v>
      </c>
      <c r="F824" s="181" t="s">
        <v>333</v>
      </c>
      <c r="G824" s="181" t="s">
        <v>2006</v>
      </c>
      <c r="H824" s="181" t="s">
        <v>279</v>
      </c>
      <c r="I824" s="181" t="s">
        <v>240</v>
      </c>
      <c r="J824" s="267"/>
      <c r="K824" s="269" t="n">
        <v>45934</v>
      </c>
      <c r="L824" s="267" t="n">
        <v>2.2</v>
      </c>
      <c r="M824" s="184" t="s">
        <v>2006</v>
      </c>
      <c r="N824" s="184" t="n">
        <v>39460</v>
      </c>
      <c r="O824" s="184" t="n">
        <v>14810</v>
      </c>
      <c r="P824" s="185" t="n">
        <v>12</v>
      </c>
      <c r="Q824" s="184" t="n">
        <v>24650</v>
      </c>
      <c r="R824" s="184" t="n">
        <v>21692</v>
      </c>
      <c r="S824" s="184" t="s">
        <v>2031</v>
      </c>
      <c r="T824" s="187" t="n">
        <v>45934</v>
      </c>
    </row>
    <row r="825" customFormat="false" ht="35.05" hidden="true" customHeight="false" outlineLevel="0" collapsed="false">
      <c r="A825" s="181" t="s">
        <v>2032</v>
      </c>
      <c r="B825" s="182" t="n">
        <v>2069</v>
      </c>
      <c r="C825" s="183" t="n">
        <v>8</v>
      </c>
      <c r="D825" s="181" t="s">
        <v>2005</v>
      </c>
      <c r="E825" s="181" t="s">
        <v>576</v>
      </c>
      <c r="F825" s="181" t="s">
        <v>577</v>
      </c>
      <c r="G825" s="181" t="s">
        <v>2006</v>
      </c>
      <c r="H825" s="181" t="s">
        <v>279</v>
      </c>
      <c r="I825" s="181" t="s">
        <v>240</v>
      </c>
      <c r="J825" s="267"/>
      <c r="K825" s="269" t="n">
        <v>45934</v>
      </c>
      <c r="L825" s="267" t="n">
        <v>2.2</v>
      </c>
      <c r="M825" s="184" t="s">
        <v>2006</v>
      </c>
      <c r="N825" s="184" t="n">
        <v>38800</v>
      </c>
      <c r="O825" s="184" t="n">
        <v>14550</v>
      </c>
      <c r="P825" s="185" t="n">
        <v>8</v>
      </c>
      <c r="Q825" s="184" t="n">
        <v>24250</v>
      </c>
      <c r="R825" s="184" t="n">
        <v>22310</v>
      </c>
      <c r="S825" s="184" t="s">
        <v>2033</v>
      </c>
      <c r="T825" s="187" t="n">
        <v>45934</v>
      </c>
    </row>
    <row r="826" customFormat="false" ht="46.25" hidden="true" customHeight="false" outlineLevel="0" collapsed="false">
      <c r="A826" s="181" t="s">
        <v>2034</v>
      </c>
      <c r="B826" s="182" t="n">
        <v>2070</v>
      </c>
      <c r="C826" s="183" t="n">
        <v>9</v>
      </c>
      <c r="D826" s="181" t="s">
        <v>2005</v>
      </c>
      <c r="E826" s="181" t="s">
        <v>282</v>
      </c>
      <c r="F826" s="181" t="s">
        <v>283</v>
      </c>
      <c r="G826" s="181" t="s">
        <v>2006</v>
      </c>
      <c r="H826" s="181" t="s">
        <v>279</v>
      </c>
      <c r="I826" s="181" t="s">
        <v>240</v>
      </c>
      <c r="J826" s="267"/>
      <c r="K826" s="269" t="n">
        <v>45934</v>
      </c>
      <c r="L826" s="267" t="n">
        <v>2.3</v>
      </c>
      <c r="M826" s="184" t="s">
        <v>2006</v>
      </c>
      <c r="N826" s="184" t="n">
        <v>40960</v>
      </c>
      <c r="O826" s="184" t="n">
        <v>15130</v>
      </c>
      <c r="P826" s="185" t="n">
        <v>12</v>
      </c>
      <c r="Q826" s="184" t="n">
        <v>25830</v>
      </c>
      <c r="R826" s="184" t="n">
        <v>22730.4</v>
      </c>
      <c r="S826" s="184" t="s">
        <v>2035</v>
      </c>
      <c r="T826" s="187" t="n">
        <v>45934</v>
      </c>
    </row>
    <row r="827" customFormat="false" ht="35.05" hidden="true" customHeight="false" outlineLevel="0" collapsed="false">
      <c r="A827" s="181" t="s">
        <v>2036</v>
      </c>
      <c r="B827" s="182" t="n">
        <v>2071</v>
      </c>
      <c r="C827" s="183" t="n">
        <v>5</v>
      </c>
      <c r="D827" s="181" t="s">
        <v>2005</v>
      </c>
      <c r="E827" s="181" t="s">
        <v>308</v>
      </c>
      <c r="F827" s="181" t="s">
        <v>309</v>
      </c>
      <c r="G827" s="181" t="s">
        <v>2006</v>
      </c>
      <c r="H827" s="181" t="s">
        <v>279</v>
      </c>
      <c r="I827" s="181" t="s">
        <v>240</v>
      </c>
      <c r="J827" s="267"/>
      <c r="K827" s="269" t="n">
        <v>45934</v>
      </c>
      <c r="L827" s="267" t="n">
        <v>3.6</v>
      </c>
      <c r="M827" s="184" t="s">
        <v>2006</v>
      </c>
      <c r="N827" s="184" t="n">
        <v>65020</v>
      </c>
      <c r="O827" s="184" t="n">
        <v>24160</v>
      </c>
      <c r="P827" s="185" t="n">
        <v>12</v>
      </c>
      <c r="Q827" s="184" t="n">
        <v>40860</v>
      </c>
      <c r="R827" s="184" t="n">
        <v>35956.8</v>
      </c>
      <c r="S827" s="184" t="s">
        <v>2037</v>
      </c>
      <c r="T827" s="187" t="n">
        <v>45934</v>
      </c>
    </row>
    <row r="828" customFormat="false" ht="35.05" hidden="true" customHeight="false" outlineLevel="0" collapsed="false">
      <c r="A828" s="181" t="s">
        <v>2038</v>
      </c>
      <c r="B828" s="182" t="n">
        <v>2072</v>
      </c>
      <c r="C828" s="183" t="n">
        <v>6</v>
      </c>
      <c r="D828" s="181" t="s">
        <v>2005</v>
      </c>
      <c r="E828" s="181" t="s">
        <v>272</v>
      </c>
      <c r="F828" s="181" t="s">
        <v>273</v>
      </c>
      <c r="G828" s="181" t="s">
        <v>2006</v>
      </c>
      <c r="H828" s="181" t="s">
        <v>279</v>
      </c>
      <c r="I828" s="181" t="s">
        <v>240</v>
      </c>
      <c r="J828" s="267"/>
      <c r="K828" s="269" t="n">
        <v>45934</v>
      </c>
      <c r="L828" s="267" t="n">
        <v>2.2</v>
      </c>
      <c r="M828" s="184" t="s">
        <v>2006</v>
      </c>
      <c r="N828" s="184" t="n">
        <v>40330</v>
      </c>
      <c r="O828" s="184" t="n">
        <v>15700</v>
      </c>
      <c r="P828" s="185" t="n">
        <v>6</v>
      </c>
      <c r="Q828" s="184" t="n">
        <v>24630</v>
      </c>
      <c r="R828" s="184" t="n">
        <v>23152.2</v>
      </c>
      <c r="S828" s="184" t="s">
        <v>2039</v>
      </c>
      <c r="T828" s="187" t="n">
        <v>45934</v>
      </c>
    </row>
    <row r="829" customFormat="false" ht="35.05" hidden="true" customHeight="false" outlineLevel="0" collapsed="false">
      <c r="A829" s="181" t="s">
        <v>2040</v>
      </c>
      <c r="B829" s="182" t="n">
        <v>2073</v>
      </c>
      <c r="C829" s="183" t="n">
        <v>7</v>
      </c>
      <c r="D829" s="181" t="s">
        <v>2005</v>
      </c>
      <c r="E829" s="181" t="s">
        <v>292</v>
      </c>
      <c r="F829" s="181" t="s">
        <v>293</v>
      </c>
      <c r="G829" s="181" t="s">
        <v>2006</v>
      </c>
      <c r="H829" s="181" t="s">
        <v>279</v>
      </c>
      <c r="I829" s="181" t="s">
        <v>240</v>
      </c>
      <c r="J829" s="267"/>
      <c r="K829" s="269" t="n">
        <v>45934</v>
      </c>
      <c r="L829" s="267" t="n">
        <v>2.1</v>
      </c>
      <c r="M829" s="184" t="s">
        <v>2006</v>
      </c>
      <c r="N829" s="184" t="n">
        <v>37300</v>
      </c>
      <c r="O829" s="184" t="n">
        <v>13890</v>
      </c>
      <c r="P829" s="185" t="n">
        <v>11</v>
      </c>
      <c r="Q829" s="184" t="n">
        <v>23410</v>
      </c>
      <c r="R829" s="184" t="n">
        <v>20834.9</v>
      </c>
      <c r="S829" s="184" t="s">
        <v>2041</v>
      </c>
      <c r="T829" s="187" t="n">
        <v>45934</v>
      </c>
    </row>
    <row r="830" customFormat="false" ht="46.25" hidden="true" customHeight="false" outlineLevel="0" collapsed="false">
      <c r="A830" s="181" t="s">
        <v>2042</v>
      </c>
      <c r="B830" s="182" t="n">
        <v>2074</v>
      </c>
      <c r="C830" s="183" t="n">
        <v>13</v>
      </c>
      <c r="D830" s="181" t="s">
        <v>2005</v>
      </c>
      <c r="E830" s="181" t="s">
        <v>383</v>
      </c>
      <c r="F830" s="181" t="s">
        <v>384</v>
      </c>
      <c r="G830" s="181" t="s">
        <v>2006</v>
      </c>
      <c r="H830" s="181" t="s">
        <v>279</v>
      </c>
      <c r="I830" s="181" t="s">
        <v>240</v>
      </c>
      <c r="J830" s="267"/>
      <c r="K830" s="269" t="n">
        <v>45934</v>
      </c>
      <c r="L830" s="267" t="n">
        <v>2.2</v>
      </c>
      <c r="M830" s="184" t="s">
        <v>2006</v>
      </c>
      <c r="N830" s="184" t="n">
        <v>40380</v>
      </c>
      <c r="O830" s="184" t="n">
        <v>14890</v>
      </c>
      <c r="P830" s="185" t="n">
        <v>5</v>
      </c>
      <c r="Q830" s="184" t="n">
        <v>25490</v>
      </c>
      <c r="R830" s="184" t="n">
        <v>24215.5</v>
      </c>
      <c r="S830" s="184" t="s">
        <v>2043</v>
      </c>
      <c r="T830" s="187" t="n">
        <v>45935</v>
      </c>
    </row>
    <row r="831" customFormat="false" ht="35.05" hidden="true" customHeight="false" outlineLevel="0" collapsed="false">
      <c r="A831" s="181" t="s">
        <v>2044</v>
      </c>
      <c r="B831" s="182" t="n">
        <v>2075</v>
      </c>
      <c r="C831" s="183" t="n">
        <v>15</v>
      </c>
      <c r="D831" s="181" t="s">
        <v>2005</v>
      </c>
      <c r="E831" s="181" t="s">
        <v>387</v>
      </c>
      <c r="F831" s="181" t="s">
        <v>388</v>
      </c>
      <c r="G831" s="181" t="s">
        <v>2006</v>
      </c>
      <c r="H831" s="181" t="s">
        <v>279</v>
      </c>
      <c r="I831" s="181" t="s">
        <v>240</v>
      </c>
      <c r="J831" s="267"/>
      <c r="K831" s="269" t="n">
        <v>45934</v>
      </c>
      <c r="L831" s="267" t="n">
        <v>2.4</v>
      </c>
      <c r="M831" s="184" t="s">
        <v>2006</v>
      </c>
      <c r="N831" s="184" t="n">
        <v>43210</v>
      </c>
      <c r="O831" s="184" t="n">
        <v>15110</v>
      </c>
      <c r="P831" s="185" t="n">
        <v>18</v>
      </c>
      <c r="Q831" s="184" t="n">
        <v>28100</v>
      </c>
      <c r="R831" s="184" t="n">
        <v>23042</v>
      </c>
      <c r="S831" s="184" t="s">
        <v>2045</v>
      </c>
      <c r="T831" s="187" t="n">
        <v>45935</v>
      </c>
    </row>
    <row r="832" customFormat="false" ht="35.05" hidden="true" customHeight="false" outlineLevel="0" collapsed="false">
      <c r="A832" s="181" t="s">
        <v>2046</v>
      </c>
      <c r="B832" s="182" t="n">
        <v>2077</v>
      </c>
      <c r="C832" s="183" t="n">
        <v>10</v>
      </c>
      <c r="D832" s="181" t="s">
        <v>2005</v>
      </c>
      <c r="E832" s="181" t="s">
        <v>377</v>
      </c>
      <c r="F832" s="181" t="s">
        <v>378</v>
      </c>
      <c r="G832" s="181" t="s">
        <v>2006</v>
      </c>
      <c r="H832" s="181" t="s">
        <v>279</v>
      </c>
      <c r="I832" s="181" t="s">
        <v>240</v>
      </c>
      <c r="J832" s="267"/>
      <c r="K832" s="269" t="n">
        <v>45934</v>
      </c>
      <c r="L832" s="267" t="n">
        <v>2.4</v>
      </c>
      <c r="M832" s="184" t="s">
        <v>2006</v>
      </c>
      <c r="N832" s="184" t="n">
        <v>43730</v>
      </c>
      <c r="O832" s="184" t="n">
        <v>15760</v>
      </c>
      <c r="P832" s="185" t="n">
        <v>8</v>
      </c>
      <c r="Q832" s="184" t="n">
        <v>27970</v>
      </c>
      <c r="R832" s="184" t="n">
        <v>25732.4</v>
      </c>
      <c r="S832" s="184" t="s">
        <v>2047</v>
      </c>
      <c r="T832" s="187" t="n">
        <v>45935</v>
      </c>
    </row>
    <row r="833" customFormat="false" ht="35.05" hidden="true" customHeight="false" outlineLevel="0" collapsed="false">
      <c r="A833" s="181" t="s">
        <v>2048</v>
      </c>
      <c r="B833" s="182" t="n">
        <v>2078</v>
      </c>
      <c r="C833" s="183" t="n">
        <v>11</v>
      </c>
      <c r="D833" s="181" t="s">
        <v>2005</v>
      </c>
      <c r="E833" s="181" t="s">
        <v>277</v>
      </c>
      <c r="F833" s="181" t="s">
        <v>278</v>
      </c>
      <c r="G833" s="181" t="s">
        <v>2049</v>
      </c>
      <c r="H833" s="181" t="s">
        <v>279</v>
      </c>
      <c r="I833" s="181" t="s">
        <v>240</v>
      </c>
      <c r="J833" s="267"/>
      <c r="K833" s="269" t="n">
        <v>45934</v>
      </c>
      <c r="L833" s="267" t="n">
        <v>1.8</v>
      </c>
      <c r="M833" s="184" t="s">
        <v>2049</v>
      </c>
      <c r="N833" s="184" t="n">
        <v>42740</v>
      </c>
      <c r="O833" s="184" t="n">
        <v>15120</v>
      </c>
      <c r="P833" s="185" t="n">
        <v>16</v>
      </c>
      <c r="Q833" s="184" t="n">
        <v>27620</v>
      </c>
      <c r="R833" s="184" t="n">
        <v>23200.8</v>
      </c>
      <c r="S833" s="184" t="s">
        <v>2050</v>
      </c>
      <c r="T833" s="187" t="n">
        <v>45935</v>
      </c>
    </row>
    <row r="834" customFormat="false" ht="35.05" hidden="true" customHeight="false" outlineLevel="0" collapsed="false">
      <c r="A834" s="181" t="s">
        <v>2051</v>
      </c>
      <c r="B834" s="182" t="n">
        <v>2079</v>
      </c>
      <c r="C834" s="183" t="n">
        <v>12</v>
      </c>
      <c r="D834" s="181" t="s">
        <v>2005</v>
      </c>
      <c r="E834" s="181" t="s">
        <v>399</v>
      </c>
      <c r="F834" s="181" t="s">
        <v>400</v>
      </c>
      <c r="G834" s="181" t="s">
        <v>2049</v>
      </c>
      <c r="H834" s="181" t="s">
        <v>279</v>
      </c>
      <c r="I834" s="181" t="s">
        <v>240</v>
      </c>
      <c r="J834" s="267"/>
      <c r="K834" s="269" t="n">
        <v>45934</v>
      </c>
      <c r="L834" s="267" t="n">
        <v>2.3</v>
      </c>
      <c r="M834" s="184" t="s">
        <v>2049</v>
      </c>
      <c r="N834" s="184" t="n">
        <v>54350</v>
      </c>
      <c r="O834" s="184" t="n">
        <v>19420</v>
      </c>
      <c r="P834" s="185" t="n">
        <v>21</v>
      </c>
      <c r="Q834" s="184" t="n">
        <v>34930</v>
      </c>
      <c r="R834" s="184" t="n">
        <v>27594.7</v>
      </c>
      <c r="S834" s="184" t="s">
        <v>2052</v>
      </c>
      <c r="T834" s="187" t="n">
        <v>45935</v>
      </c>
    </row>
    <row r="835" customFormat="false" ht="35.05" hidden="true" customHeight="false" outlineLevel="0" collapsed="false">
      <c r="A835" s="181" t="s">
        <v>2063</v>
      </c>
      <c r="B835" s="182" t="n">
        <v>2080</v>
      </c>
      <c r="C835" s="183" t="n">
        <v>14</v>
      </c>
      <c r="D835" s="181" t="s">
        <v>2005</v>
      </c>
      <c r="E835" s="181" t="s">
        <v>346</v>
      </c>
      <c r="F835" s="181" t="s">
        <v>347</v>
      </c>
      <c r="G835" s="181" t="s">
        <v>2049</v>
      </c>
      <c r="H835" s="181" t="s">
        <v>279</v>
      </c>
      <c r="I835" s="181" t="s">
        <v>240</v>
      </c>
      <c r="J835" s="267"/>
      <c r="K835" s="269" t="n">
        <v>45934</v>
      </c>
      <c r="L835" s="267" t="n">
        <v>1.5</v>
      </c>
      <c r="M835" s="184" t="s">
        <v>2049</v>
      </c>
      <c r="N835" s="184" t="n">
        <v>38630</v>
      </c>
      <c r="O835" s="184" t="n">
        <v>15240</v>
      </c>
      <c r="P835" s="185" t="n">
        <v>26</v>
      </c>
      <c r="Q835" s="184" t="n">
        <v>23390</v>
      </c>
      <c r="R835" s="184" t="n">
        <v>17308.6</v>
      </c>
      <c r="S835" s="184" t="s">
        <v>2064</v>
      </c>
      <c r="T835" s="187" t="n">
        <v>45935</v>
      </c>
    </row>
    <row r="836" customFormat="false" ht="35.05" hidden="true" customHeight="false" outlineLevel="0" collapsed="false">
      <c r="A836" s="181" t="s">
        <v>2053</v>
      </c>
      <c r="B836" s="182" t="n">
        <v>2082</v>
      </c>
      <c r="C836" s="183" t="n">
        <v>18</v>
      </c>
      <c r="D836" s="181" t="s">
        <v>2005</v>
      </c>
      <c r="E836" s="181" t="s">
        <v>354</v>
      </c>
      <c r="F836" s="181" t="s">
        <v>355</v>
      </c>
      <c r="G836" s="181" t="s">
        <v>2049</v>
      </c>
      <c r="H836" s="181" t="s">
        <v>279</v>
      </c>
      <c r="I836" s="181" t="s">
        <v>240</v>
      </c>
      <c r="J836" s="267"/>
      <c r="K836" s="269" t="n">
        <v>45934</v>
      </c>
      <c r="L836" s="267" t="n">
        <v>1.5</v>
      </c>
      <c r="M836" s="184" t="s">
        <v>2049</v>
      </c>
      <c r="N836" s="184" t="n">
        <v>38520</v>
      </c>
      <c r="O836" s="184" t="n">
        <v>14740</v>
      </c>
      <c r="P836" s="185" t="n">
        <v>51</v>
      </c>
      <c r="Q836" s="184" t="n">
        <v>23780</v>
      </c>
      <c r="R836" s="184" t="n">
        <v>11652.2</v>
      </c>
      <c r="S836" s="184" t="s">
        <v>2054</v>
      </c>
      <c r="T836" s="187" t="n">
        <v>45935</v>
      </c>
    </row>
    <row r="837" customFormat="false" ht="35.05" hidden="true" customHeight="false" outlineLevel="0" collapsed="false">
      <c r="A837" s="181" t="s">
        <v>2057</v>
      </c>
      <c r="B837" s="182" t="n">
        <v>2085</v>
      </c>
      <c r="C837" s="183" t="n">
        <v>16</v>
      </c>
      <c r="D837" s="181" t="s">
        <v>2005</v>
      </c>
      <c r="E837" s="181" t="s">
        <v>409</v>
      </c>
      <c r="F837" s="181" t="s">
        <v>410</v>
      </c>
      <c r="G837" s="181" t="s">
        <v>2049</v>
      </c>
      <c r="H837" s="181" t="s">
        <v>279</v>
      </c>
      <c r="I837" s="181" t="s">
        <v>240</v>
      </c>
      <c r="J837" s="267"/>
      <c r="K837" s="269" t="n">
        <v>45934</v>
      </c>
      <c r="L837" s="267" t="n">
        <v>2.2</v>
      </c>
      <c r="M837" s="184" t="s">
        <v>2049</v>
      </c>
      <c r="N837" s="184" t="n">
        <v>58110</v>
      </c>
      <c r="O837" s="184" t="n">
        <v>24240</v>
      </c>
      <c r="P837" s="185" t="n">
        <v>21</v>
      </c>
      <c r="Q837" s="184" t="n">
        <v>33870</v>
      </c>
      <c r="R837" s="184" t="n">
        <v>26757.3</v>
      </c>
      <c r="S837" s="184" t="s">
        <v>2058</v>
      </c>
      <c r="T837" s="187" t="n">
        <v>45935</v>
      </c>
    </row>
    <row r="838" customFormat="false" ht="35.05" hidden="true" customHeight="false" outlineLevel="0" collapsed="false">
      <c r="A838" s="181" t="s">
        <v>2055</v>
      </c>
      <c r="B838" s="182" t="n">
        <v>2084</v>
      </c>
      <c r="C838" s="183" t="n">
        <v>17</v>
      </c>
      <c r="D838" s="181" t="s">
        <v>2005</v>
      </c>
      <c r="E838" s="181" t="s">
        <v>413</v>
      </c>
      <c r="F838" s="181" t="s">
        <v>414</v>
      </c>
      <c r="G838" s="181" t="s">
        <v>2049</v>
      </c>
      <c r="H838" s="181" t="s">
        <v>279</v>
      </c>
      <c r="I838" s="181" t="s">
        <v>240</v>
      </c>
      <c r="J838" s="267"/>
      <c r="K838" s="269" t="n">
        <v>45934</v>
      </c>
      <c r="L838" s="267" t="n">
        <v>1.8</v>
      </c>
      <c r="M838" s="184" t="s">
        <v>2049</v>
      </c>
      <c r="N838" s="184" t="n">
        <v>44230</v>
      </c>
      <c r="O838" s="184" t="n">
        <v>15680</v>
      </c>
      <c r="P838" s="185" t="n">
        <v>30</v>
      </c>
      <c r="Q838" s="184" t="n">
        <v>28550</v>
      </c>
      <c r="R838" s="184" t="n">
        <v>19985</v>
      </c>
      <c r="S838" s="184" t="s">
        <v>2056</v>
      </c>
      <c r="T838" s="187" t="n">
        <v>45935</v>
      </c>
    </row>
    <row r="839" customFormat="false" ht="35.05" hidden="true" customHeight="false" outlineLevel="0" collapsed="false">
      <c r="A839" s="181" t="s">
        <v>2059</v>
      </c>
      <c r="B839" s="182" t="n">
        <v>2086</v>
      </c>
      <c r="C839" s="183" t="n">
        <v>19</v>
      </c>
      <c r="D839" s="181" t="s">
        <v>2005</v>
      </c>
      <c r="E839" s="181" t="s">
        <v>336</v>
      </c>
      <c r="F839" s="181" t="s">
        <v>337</v>
      </c>
      <c r="G839" s="181" t="s">
        <v>2049</v>
      </c>
      <c r="H839" s="181" t="s">
        <v>279</v>
      </c>
      <c r="I839" s="181" t="s">
        <v>240</v>
      </c>
      <c r="J839" s="267"/>
      <c r="K839" s="269" t="n">
        <v>45934</v>
      </c>
      <c r="L839" s="267" t="n">
        <v>1.6</v>
      </c>
      <c r="M839" s="184" t="s">
        <v>2049</v>
      </c>
      <c r="N839" s="184" t="n">
        <v>39990</v>
      </c>
      <c r="O839" s="184" t="n">
        <v>14650</v>
      </c>
      <c r="P839" s="185" t="n">
        <v>28</v>
      </c>
      <c r="Q839" s="184" t="n">
        <v>25340</v>
      </c>
      <c r="R839" s="184" t="n">
        <v>18244.8</v>
      </c>
      <c r="S839" s="184" t="s">
        <v>2060</v>
      </c>
      <c r="T839" s="187" t="n">
        <v>45935</v>
      </c>
    </row>
    <row r="840" customFormat="false" ht="35.05" hidden="true" customHeight="false" outlineLevel="0" collapsed="false">
      <c r="A840" s="181" t="s">
        <v>2061</v>
      </c>
      <c r="B840" s="182" t="n">
        <v>2087</v>
      </c>
      <c r="C840" s="183" t="n">
        <v>20</v>
      </c>
      <c r="D840" s="181" t="s">
        <v>2005</v>
      </c>
      <c r="E840" s="181" t="s">
        <v>340</v>
      </c>
      <c r="F840" s="181" t="s">
        <v>341</v>
      </c>
      <c r="G840" s="181" t="s">
        <v>2049</v>
      </c>
      <c r="H840" s="181" t="s">
        <v>279</v>
      </c>
      <c r="I840" s="181" t="s">
        <v>240</v>
      </c>
      <c r="J840" s="267"/>
      <c r="K840" s="269" t="n">
        <v>45934</v>
      </c>
      <c r="L840" s="267" t="n">
        <v>1.6</v>
      </c>
      <c r="M840" s="184" t="s">
        <v>2049</v>
      </c>
      <c r="N840" s="184" t="n">
        <v>39750</v>
      </c>
      <c r="O840" s="184" t="n">
        <v>14980</v>
      </c>
      <c r="P840" s="185" t="n">
        <v>12</v>
      </c>
      <c r="Q840" s="184" t="n">
        <v>24770</v>
      </c>
      <c r="R840" s="184" t="n">
        <v>21797.6</v>
      </c>
      <c r="S840" s="184" t="s">
        <v>2062</v>
      </c>
      <c r="T840" s="187" t="n">
        <v>45935</v>
      </c>
    </row>
    <row r="841" customFormat="false" ht="46.25" hidden="true" customHeight="false" outlineLevel="0" collapsed="false">
      <c r="A841" s="181" t="s">
        <v>2069</v>
      </c>
      <c r="B841" s="182" t="n">
        <v>2092</v>
      </c>
      <c r="C841" s="183" t="n">
        <v>1</v>
      </c>
      <c r="D841" s="181" t="s">
        <v>2005</v>
      </c>
      <c r="E841" s="181" t="s">
        <v>288</v>
      </c>
      <c r="F841" s="181" t="s">
        <v>289</v>
      </c>
      <c r="G841" s="181" t="s">
        <v>2070</v>
      </c>
      <c r="H841" s="181" t="s">
        <v>2071</v>
      </c>
      <c r="I841" s="181" t="s">
        <v>240</v>
      </c>
      <c r="J841" s="267"/>
      <c r="K841" s="269" t="n">
        <v>45935</v>
      </c>
      <c r="L841" s="267" t="n">
        <v>1.5</v>
      </c>
      <c r="M841" s="184" t="s">
        <v>2070</v>
      </c>
      <c r="N841" s="184" t="n">
        <v>38960</v>
      </c>
      <c r="O841" s="184" t="n">
        <v>14640</v>
      </c>
      <c r="P841" s="185" t="n">
        <v>11</v>
      </c>
      <c r="Q841" s="184" t="n">
        <v>24320</v>
      </c>
      <c r="R841" s="184" t="n">
        <v>21644.8</v>
      </c>
      <c r="S841" s="184" t="s">
        <v>2072</v>
      </c>
      <c r="T841" s="187" t="n">
        <v>45935</v>
      </c>
    </row>
    <row r="842" customFormat="false" ht="35.05" hidden="true" customHeight="false" outlineLevel="0" collapsed="false">
      <c r="A842" s="181" t="s">
        <v>2073</v>
      </c>
      <c r="B842" s="182" t="n">
        <v>2094</v>
      </c>
      <c r="C842" s="183" t="n">
        <v>8</v>
      </c>
      <c r="D842" s="181" t="s">
        <v>2005</v>
      </c>
      <c r="E842" s="181" t="s">
        <v>582</v>
      </c>
      <c r="F842" s="181" t="s">
        <v>583</v>
      </c>
      <c r="G842" s="181" t="s">
        <v>2070</v>
      </c>
      <c r="H842" s="181" t="s">
        <v>2071</v>
      </c>
      <c r="I842" s="181" t="s">
        <v>240</v>
      </c>
      <c r="J842" s="267"/>
      <c r="K842" s="269" t="n">
        <v>45935</v>
      </c>
      <c r="L842" s="267" t="n">
        <v>1.6</v>
      </c>
      <c r="M842" s="184" t="s">
        <v>2070</v>
      </c>
      <c r="N842" s="184" t="n">
        <v>40580</v>
      </c>
      <c r="O842" s="184" t="n">
        <v>14900</v>
      </c>
      <c r="P842" s="185" t="n">
        <v>11</v>
      </c>
      <c r="Q842" s="184" t="n">
        <v>25680</v>
      </c>
      <c r="R842" s="184" t="n">
        <v>22855.2</v>
      </c>
      <c r="S842" s="184" t="s">
        <v>2074</v>
      </c>
      <c r="T842" s="187" t="n">
        <v>45935</v>
      </c>
    </row>
    <row r="843" customFormat="false" ht="35.05" hidden="true" customHeight="false" outlineLevel="0" collapsed="false">
      <c r="A843" s="181" t="s">
        <v>2075</v>
      </c>
      <c r="B843" s="182" t="n">
        <v>2095</v>
      </c>
      <c r="C843" s="183" t="n">
        <v>9</v>
      </c>
      <c r="D843" s="181" t="s">
        <v>2005</v>
      </c>
      <c r="E843" s="181" t="s">
        <v>300</v>
      </c>
      <c r="F843" s="181" t="s">
        <v>301</v>
      </c>
      <c r="G843" s="181" t="s">
        <v>2070</v>
      </c>
      <c r="H843" s="181" t="s">
        <v>2071</v>
      </c>
      <c r="I843" s="181" t="s">
        <v>240</v>
      </c>
      <c r="J843" s="267"/>
      <c r="K843" s="269" t="n">
        <v>45935</v>
      </c>
      <c r="L843" s="267" t="n">
        <v>2.7</v>
      </c>
      <c r="M843" s="184" t="s">
        <v>2070</v>
      </c>
      <c r="N843" s="184" t="n">
        <v>63510</v>
      </c>
      <c r="O843" s="184" t="n">
        <v>21300</v>
      </c>
      <c r="P843" s="185" t="n">
        <v>10</v>
      </c>
      <c r="Q843" s="184" t="n">
        <v>42210</v>
      </c>
      <c r="R843" s="184" t="n">
        <v>37989</v>
      </c>
      <c r="S843" s="184" t="s">
        <v>2076</v>
      </c>
      <c r="T843" s="187" t="n">
        <v>45935</v>
      </c>
    </row>
    <row r="844" customFormat="false" ht="35.05" hidden="true" customHeight="false" outlineLevel="0" collapsed="false">
      <c r="A844" s="181" t="s">
        <v>2065</v>
      </c>
      <c r="B844" s="182" t="n">
        <v>2102</v>
      </c>
      <c r="C844" s="183" t="n">
        <v>7776</v>
      </c>
      <c r="D844" s="181" t="s">
        <v>2066</v>
      </c>
      <c r="E844" s="181" t="s">
        <v>533</v>
      </c>
      <c r="F844" s="181" t="s">
        <v>534</v>
      </c>
      <c r="G844" s="181" t="s">
        <v>2067</v>
      </c>
      <c r="H844" s="181" t="s">
        <v>279</v>
      </c>
      <c r="I844" s="181" t="s">
        <v>241</v>
      </c>
      <c r="J844" s="267"/>
      <c r="K844" s="269" t="n">
        <v>45935</v>
      </c>
      <c r="L844" s="267" t="n">
        <v>1.5</v>
      </c>
      <c r="M844" s="184" t="s">
        <v>2067</v>
      </c>
      <c r="N844" s="184" t="n">
        <v>40310</v>
      </c>
      <c r="O844" s="184" t="n">
        <v>14620</v>
      </c>
      <c r="P844" s="185" t="n">
        <v>11</v>
      </c>
      <c r="Q844" s="184" t="n">
        <v>25690</v>
      </c>
      <c r="R844" s="184" t="n">
        <v>22864.1</v>
      </c>
      <c r="S844" s="184" t="s">
        <v>2068</v>
      </c>
      <c r="T844" s="187" t="n">
        <v>45935</v>
      </c>
    </row>
    <row r="845" customFormat="false" ht="35.05" hidden="true" customHeight="false" outlineLevel="0" collapsed="false">
      <c r="A845" s="181" t="s">
        <v>2077</v>
      </c>
      <c r="B845" s="182" t="n">
        <v>2096</v>
      </c>
      <c r="C845" s="183" t="n">
        <v>2</v>
      </c>
      <c r="D845" s="181" t="s">
        <v>2005</v>
      </c>
      <c r="E845" s="181" t="s">
        <v>332</v>
      </c>
      <c r="F845" s="181" t="s">
        <v>333</v>
      </c>
      <c r="G845" s="181" t="s">
        <v>2070</v>
      </c>
      <c r="H845" s="181" t="s">
        <v>2071</v>
      </c>
      <c r="I845" s="181" t="s">
        <v>240</v>
      </c>
      <c r="J845" s="267"/>
      <c r="K845" s="269" t="n">
        <v>45935</v>
      </c>
      <c r="L845" s="267" t="n">
        <v>1.6</v>
      </c>
      <c r="M845" s="184" t="s">
        <v>2070</v>
      </c>
      <c r="N845" s="184" t="n">
        <v>39540</v>
      </c>
      <c r="O845" s="184" t="n">
        <v>14900</v>
      </c>
      <c r="P845" s="185" t="n">
        <v>18</v>
      </c>
      <c r="Q845" s="184" t="n">
        <v>24640</v>
      </c>
      <c r="R845" s="184" t="n">
        <v>20204.8</v>
      </c>
      <c r="S845" s="184" t="s">
        <v>2078</v>
      </c>
      <c r="T845" s="187" t="n">
        <v>45935</v>
      </c>
    </row>
    <row r="846" customFormat="false" ht="35.05" hidden="true" customHeight="false" outlineLevel="0" collapsed="false">
      <c r="A846" s="181" t="s">
        <v>2079</v>
      </c>
      <c r="B846" s="182" t="n">
        <v>2097</v>
      </c>
      <c r="C846" s="183" t="n">
        <v>3</v>
      </c>
      <c r="D846" s="181" t="s">
        <v>2005</v>
      </c>
      <c r="E846" s="181" t="s">
        <v>304</v>
      </c>
      <c r="F846" s="181" t="s">
        <v>305</v>
      </c>
      <c r="G846" s="181" t="s">
        <v>2070</v>
      </c>
      <c r="H846" s="181" t="s">
        <v>2071</v>
      </c>
      <c r="I846" s="181" t="s">
        <v>240</v>
      </c>
      <c r="J846" s="267"/>
      <c r="K846" s="269" t="n">
        <v>45935</v>
      </c>
      <c r="L846" s="267" t="n">
        <v>1.7</v>
      </c>
      <c r="M846" s="184" t="s">
        <v>2070</v>
      </c>
      <c r="N846" s="184" t="n">
        <v>41540</v>
      </c>
      <c r="O846" s="184" t="n">
        <v>15150</v>
      </c>
      <c r="P846" s="185" t="n">
        <v>7</v>
      </c>
      <c r="Q846" s="184" t="n">
        <v>26390</v>
      </c>
      <c r="R846" s="184" t="n">
        <v>24542.7</v>
      </c>
      <c r="S846" s="184" t="s">
        <v>2080</v>
      </c>
      <c r="T846" s="187" t="n">
        <v>45935</v>
      </c>
    </row>
    <row r="847" customFormat="false" ht="35.05" hidden="true" customHeight="false" outlineLevel="0" collapsed="false">
      <c r="A847" s="181" t="s">
        <v>2081</v>
      </c>
      <c r="B847" s="182" t="n">
        <v>2098</v>
      </c>
      <c r="C847" s="183" t="n">
        <v>4</v>
      </c>
      <c r="D847" s="181" t="s">
        <v>2005</v>
      </c>
      <c r="E847" s="181" t="s">
        <v>377</v>
      </c>
      <c r="F847" s="181" t="s">
        <v>378</v>
      </c>
      <c r="G847" s="181" t="s">
        <v>2070</v>
      </c>
      <c r="H847" s="181" t="s">
        <v>2071</v>
      </c>
      <c r="I847" s="181" t="s">
        <v>240</v>
      </c>
      <c r="J847" s="267"/>
      <c r="K847" s="269" t="n">
        <v>45935</v>
      </c>
      <c r="L847" s="267" t="n">
        <v>1.7</v>
      </c>
      <c r="M847" s="184" t="s">
        <v>2070</v>
      </c>
      <c r="N847" s="184" t="n">
        <v>42660</v>
      </c>
      <c r="O847" s="184" t="n">
        <v>15800</v>
      </c>
      <c r="P847" s="185" t="n">
        <v>13</v>
      </c>
      <c r="Q847" s="184" t="n">
        <v>26860</v>
      </c>
      <c r="R847" s="184" t="n">
        <v>23368.2</v>
      </c>
      <c r="S847" s="184" t="s">
        <v>2082</v>
      </c>
      <c r="T847" s="187" t="n">
        <v>45935</v>
      </c>
    </row>
    <row r="848" customFormat="false" ht="35.05" hidden="true" customHeight="false" outlineLevel="0" collapsed="false">
      <c r="A848" s="181" t="s">
        <v>2083</v>
      </c>
      <c r="B848" s="182" t="n">
        <v>2099</v>
      </c>
      <c r="C848" s="183" t="n">
        <v>7</v>
      </c>
      <c r="D848" s="181" t="s">
        <v>2005</v>
      </c>
      <c r="E848" s="181" t="s">
        <v>266</v>
      </c>
      <c r="F848" s="181" t="s">
        <v>267</v>
      </c>
      <c r="G848" s="181" t="s">
        <v>2070</v>
      </c>
      <c r="H848" s="181" t="s">
        <v>2071</v>
      </c>
      <c r="I848" s="181" t="s">
        <v>240</v>
      </c>
      <c r="J848" s="267"/>
      <c r="K848" s="269" t="n">
        <v>45935</v>
      </c>
      <c r="L848" s="267" t="n">
        <v>1.5</v>
      </c>
      <c r="M848" s="184" t="s">
        <v>2070</v>
      </c>
      <c r="N848" s="184" t="n">
        <v>39450</v>
      </c>
      <c r="O848" s="184" t="n">
        <v>15010</v>
      </c>
      <c r="P848" s="185" t="n">
        <v>16</v>
      </c>
      <c r="Q848" s="184" t="n">
        <v>24440</v>
      </c>
      <c r="R848" s="184" t="n">
        <v>20529.6</v>
      </c>
      <c r="S848" s="184" t="s">
        <v>2084</v>
      </c>
      <c r="T848" s="187" t="n">
        <v>45935</v>
      </c>
    </row>
    <row r="849" customFormat="false" ht="46.25" hidden="true" customHeight="false" outlineLevel="0" collapsed="false">
      <c r="A849" s="181" t="s">
        <v>2085</v>
      </c>
      <c r="B849" s="182" t="n">
        <v>2100</v>
      </c>
      <c r="C849" s="183" t="n">
        <v>5</v>
      </c>
      <c r="D849" s="181" t="s">
        <v>2005</v>
      </c>
      <c r="E849" s="181" t="s">
        <v>383</v>
      </c>
      <c r="F849" s="181" t="s">
        <v>384</v>
      </c>
      <c r="G849" s="181" t="s">
        <v>2070</v>
      </c>
      <c r="H849" s="181" t="s">
        <v>2071</v>
      </c>
      <c r="I849" s="181" t="s">
        <v>240</v>
      </c>
      <c r="J849" s="267"/>
      <c r="K849" s="269" t="n">
        <v>45935</v>
      </c>
      <c r="L849" s="267" t="n">
        <v>1.6</v>
      </c>
      <c r="M849" s="184" t="s">
        <v>2070</v>
      </c>
      <c r="N849" s="184" t="n">
        <v>40810</v>
      </c>
      <c r="O849" s="184" t="n">
        <v>15010</v>
      </c>
      <c r="P849" s="185" t="n">
        <v>8</v>
      </c>
      <c r="Q849" s="184" t="n">
        <v>25800</v>
      </c>
      <c r="R849" s="184" t="n">
        <v>23736</v>
      </c>
      <c r="S849" s="184" t="s">
        <v>2086</v>
      </c>
      <c r="T849" s="187" t="n">
        <v>45935</v>
      </c>
    </row>
    <row r="850" customFormat="false" ht="35.05" hidden="true" customHeight="false" outlineLevel="0" collapsed="false">
      <c r="A850" s="181" t="s">
        <v>2087</v>
      </c>
      <c r="B850" s="182" t="n">
        <v>2101</v>
      </c>
      <c r="C850" s="183" t="n">
        <v>6</v>
      </c>
      <c r="D850" s="181" t="s">
        <v>2005</v>
      </c>
      <c r="E850" s="181" t="s">
        <v>387</v>
      </c>
      <c r="F850" s="181" t="s">
        <v>388</v>
      </c>
      <c r="G850" s="181" t="s">
        <v>2070</v>
      </c>
      <c r="H850" s="181" t="s">
        <v>2071</v>
      </c>
      <c r="I850" s="181" t="s">
        <v>240</v>
      </c>
      <c r="J850" s="267"/>
      <c r="K850" s="269" t="n">
        <v>45935</v>
      </c>
      <c r="L850" s="267" t="n">
        <v>1.7</v>
      </c>
      <c r="M850" s="184" t="s">
        <v>2070</v>
      </c>
      <c r="N850" s="184" t="n">
        <v>42010</v>
      </c>
      <c r="O850" s="184" t="n">
        <v>15260</v>
      </c>
      <c r="P850" s="185" t="n">
        <v>8</v>
      </c>
      <c r="Q850" s="184" t="n">
        <v>26750</v>
      </c>
      <c r="R850" s="184" t="n">
        <v>24610</v>
      </c>
      <c r="S850" s="184" t="s">
        <v>2088</v>
      </c>
      <c r="T850" s="187" t="n">
        <v>45935</v>
      </c>
    </row>
    <row r="851" customFormat="false" ht="35.05" hidden="true" customHeight="false" outlineLevel="0" collapsed="false">
      <c r="A851" s="181" t="s">
        <v>2093</v>
      </c>
      <c r="B851" s="182" t="n">
        <v>2107</v>
      </c>
      <c r="C851" s="183" t="n">
        <v>12</v>
      </c>
      <c r="D851" s="181" t="s">
        <v>2005</v>
      </c>
      <c r="E851" s="181" t="s">
        <v>346</v>
      </c>
      <c r="F851" s="181" t="s">
        <v>347</v>
      </c>
      <c r="G851" s="181" t="s">
        <v>2070</v>
      </c>
      <c r="H851" s="181" t="s">
        <v>2071</v>
      </c>
      <c r="I851" s="181" t="s">
        <v>240</v>
      </c>
      <c r="J851" s="267"/>
      <c r="K851" s="269" t="n">
        <v>45935</v>
      </c>
      <c r="L851" s="267" t="n">
        <v>1.6</v>
      </c>
      <c r="M851" s="184" t="s">
        <v>2070</v>
      </c>
      <c r="N851" s="184" t="n">
        <v>40000</v>
      </c>
      <c r="O851" s="184" t="n">
        <v>15290</v>
      </c>
      <c r="P851" s="185" t="n">
        <v>22</v>
      </c>
      <c r="Q851" s="184" t="n">
        <v>24710</v>
      </c>
      <c r="R851" s="184" t="n">
        <v>19273.8</v>
      </c>
      <c r="S851" s="184" t="s">
        <v>2094</v>
      </c>
      <c r="T851" s="187" t="n">
        <v>45936</v>
      </c>
    </row>
    <row r="852" customFormat="false" ht="35.05" hidden="true" customHeight="false" outlineLevel="0" collapsed="false">
      <c r="A852" s="181" t="s">
        <v>2091</v>
      </c>
      <c r="B852" s="182" t="n">
        <v>2105</v>
      </c>
      <c r="C852" s="183" t="n">
        <v>11</v>
      </c>
      <c r="D852" s="181" t="s">
        <v>2005</v>
      </c>
      <c r="E852" s="181" t="s">
        <v>277</v>
      </c>
      <c r="F852" s="181" t="s">
        <v>278</v>
      </c>
      <c r="G852" s="181" t="s">
        <v>2070</v>
      </c>
      <c r="H852" s="181" t="s">
        <v>2071</v>
      </c>
      <c r="I852" s="181" t="s">
        <v>240</v>
      </c>
      <c r="J852" s="267"/>
      <c r="K852" s="269" t="n">
        <v>45935</v>
      </c>
      <c r="L852" s="267" t="n">
        <v>1.7</v>
      </c>
      <c r="M852" s="184" t="s">
        <v>2070</v>
      </c>
      <c r="N852" s="184" t="n">
        <v>42790</v>
      </c>
      <c r="O852" s="184" t="n">
        <v>15190</v>
      </c>
      <c r="P852" s="185" t="n">
        <v>9</v>
      </c>
      <c r="Q852" s="184" t="n">
        <v>27600</v>
      </c>
      <c r="R852" s="184" t="n">
        <v>25116</v>
      </c>
      <c r="S852" s="184" t="s">
        <v>2092</v>
      </c>
      <c r="T852" s="187" t="n">
        <v>45935</v>
      </c>
    </row>
    <row r="853" customFormat="false" ht="35.05" hidden="true" customHeight="false" outlineLevel="0" collapsed="false">
      <c r="A853" s="181" t="s">
        <v>2089</v>
      </c>
      <c r="B853" s="182" t="n">
        <v>2104</v>
      </c>
      <c r="C853" s="183" t="n">
        <v>10</v>
      </c>
      <c r="D853" s="181" t="s">
        <v>2005</v>
      </c>
      <c r="E853" s="181" t="s">
        <v>308</v>
      </c>
      <c r="F853" s="181" t="s">
        <v>309</v>
      </c>
      <c r="G853" s="181" t="s">
        <v>2070</v>
      </c>
      <c r="H853" s="181" t="s">
        <v>2071</v>
      </c>
      <c r="I853" s="181" t="s">
        <v>240</v>
      </c>
      <c r="J853" s="267"/>
      <c r="K853" s="269" t="n">
        <v>45935</v>
      </c>
      <c r="L853" s="267" t="n">
        <v>2.6</v>
      </c>
      <c r="M853" s="184" t="s">
        <v>2070</v>
      </c>
      <c r="N853" s="184" t="n">
        <v>65350</v>
      </c>
      <c r="O853" s="184" t="n">
        <v>24070</v>
      </c>
      <c r="P853" s="185" t="n">
        <v>8</v>
      </c>
      <c r="Q853" s="184" t="n">
        <v>41280</v>
      </c>
      <c r="R853" s="184" t="n">
        <v>37977.6</v>
      </c>
      <c r="S853" s="184" t="s">
        <v>2090</v>
      </c>
      <c r="T853" s="187" t="n">
        <v>45935</v>
      </c>
    </row>
    <row r="854" customFormat="false" ht="35.05" hidden="true" customHeight="false" outlineLevel="0" collapsed="false">
      <c r="A854" s="181" t="s">
        <v>2095</v>
      </c>
      <c r="B854" s="182" t="n">
        <v>2108</v>
      </c>
      <c r="C854" s="183" t="n">
        <v>13</v>
      </c>
      <c r="D854" s="181" t="s">
        <v>2005</v>
      </c>
      <c r="E854" s="181" t="s">
        <v>399</v>
      </c>
      <c r="F854" s="181" t="s">
        <v>400</v>
      </c>
      <c r="G854" s="181" t="s">
        <v>2070</v>
      </c>
      <c r="H854" s="181" t="s">
        <v>2071</v>
      </c>
      <c r="I854" s="181" t="s">
        <v>240</v>
      </c>
      <c r="J854" s="267"/>
      <c r="K854" s="269" t="n">
        <v>45935</v>
      </c>
      <c r="L854" s="267" t="n">
        <v>2.1</v>
      </c>
      <c r="M854" s="184" t="s">
        <v>2070</v>
      </c>
      <c r="N854" s="184" t="n">
        <v>53310</v>
      </c>
      <c r="O854" s="184" t="n">
        <v>19420</v>
      </c>
      <c r="P854" s="185" t="n">
        <v>7</v>
      </c>
      <c r="Q854" s="184" t="n">
        <v>33890</v>
      </c>
      <c r="R854" s="184" t="n">
        <v>31517.7</v>
      </c>
      <c r="S854" s="184" t="s">
        <v>2096</v>
      </c>
      <c r="T854" s="187" t="n">
        <v>45936</v>
      </c>
    </row>
    <row r="855" customFormat="false" ht="35.05" hidden="true" customHeight="false" outlineLevel="0" collapsed="false">
      <c r="A855" s="181" t="s">
        <v>2097</v>
      </c>
      <c r="B855" s="182" t="n">
        <v>2109</v>
      </c>
      <c r="C855" s="183" t="n">
        <v>14</v>
      </c>
      <c r="D855" s="181" t="s">
        <v>2005</v>
      </c>
      <c r="E855" s="181" t="s">
        <v>409</v>
      </c>
      <c r="F855" s="181" t="s">
        <v>410</v>
      </c>
      <c r="G855" s="181" t="s">
        <v>2070</v>
      </c>
      <c r="H855" s="181" t="s">
        <v>2071</v>
      </c>
      <c r="I855" s="181" t="s">
        <v>240</v>
      </c>
      <c r="J855" s="267"/>
      <c r="K855" s="269" t="n">
        <v>45935</v>
      </c>
      <c r="L855" s="267" t="n">
        <v>2.1</v>
      </c>
      <c r="M855" s="184" t="s">
        <v>2070</v>
      </c>
      <c r="N855" s="184" t="n">
        <v>57980</v>
      </c>
      <c r="O855" s="184" t="n">
        <v>24220</v>
      </c>
      <c r="P855" s="185" t="n">
        <v>12</v>
      </c>
      <c r="Q855" s="184" t="n">
        <v>33760</v>
      </c>
      <c r="R855" s="184" t="n">
        <v>29708.8</v>
      </c>
      <c r="S855" s="184" t="s">
        <v>2098</v>
      </c>
      <c r="T855" s="187" t="n">
        <v>45936</v>
      </c>
    </row>
    <row r="856" customFormat="false" ht="35.05" hidden="true" customHeight="false" outlineLevel="0" collapsed="false">
      <c r="A856" s="181" t="s">
        <v>2099</v>
      </c>
      <c r="B856" s="182" t="n">
        <v>2110</v>
      </c>
      <c r="C856" s="183" t="n">
        <v>15</v>
      </c>
      <c r="D856" s="181" t="s">
        <v>2005</v>
      </c>
      <c r="E856" s="181" t="s">
        <v>413</v>
      </c>
      <c r="F856" s="181" t="s">
        <v>414</v>
      </c>
      <c r="G856" s="181" t="s">
        <v>2070</v>
      </c>
      <c r="H856" s="181" t="s">
        <v>2071</v>
      </c>
      <c r="I856" s="181" t="s">
        <v>240</v>
      </c>
      <c r="J856" s="267"/>
      <c r="K856" s="269" t="n">
        <v>45935</v>
      </c>
      <c r="L856" s="267" t="n">
        <v>1.8</v>
      </c>
      <c r="M856" s="184" t="s">
        <v>2070</v>
      </c>
      <c r="N856" s="184" t="n">
        <v>44690</v>
      </c>
      <c r="O856" s="184" t="n">
        <v>15670</v>
      </c>
      <c r="P856" s="185" t="n">
        <v>11</v>
      </c>
      <c r="Q856" s="184" t="n">
        <v>29020</v>
      </c>
      <c r="R856" s="184" t="n">
        <v>25827.8</v>
      </c>
      <c r="S856" s="184" t="s">
        <v>2100</v>
      </c>
      <c r="T856" s="187" t="n">
        <v>45936</v>
      </c>
    </row>
    <row r="857" customFormat="false" ht="35.05" hidden="true" customHeight="false" outlineLevel="0" collapsed="false">
      <c r="A857" s="181" t="s">
        <v>2101</v>
      </c>
      <c r="B857" s="182" t="n">
        <v>2111</v>
      </c>
      <c r="C857" s="183" t="n">
        <v>16</v>
      </c>
      <c r="D857" s="181" t="s">
        <v>2005</v>
      </c>
      <c r="E857" s="181" t="s">
        <v>354</v>
      </c>
      <c r="F857" s="181" t="s">
        <v>355</v>
      </c>
      <c r="G857" s="181" t="s">
        <v>2070</v>
      </c>
      <c r="H857" s="181" t="s">
        <v>2071</v>
      </c>
      <c r="I857" s="181" t="s">
        <v>240</v>
      </c>
      <c r="J857" s="267"/>
      <c r="K857" s="269" t="n">
        <v>45935</v>
      </c>
      <c r="L857" s="267" t="n">
        <v>1.5</v>
      </c>
      <c r="M857" s="184" t="s">
        <v>2070</v>
      </c>
      <c r="N857" s="184" t="n">
        <v>39120</v>
      </c>
      <c r="O857" s="184" t="n">
        <v>14710</v>
      </c>
      <c r="P857" s="185" t="n">
        <v>12</v>
      </c>
      <c r="Q857" s="184" t="n">
        <v>24410</v>
      </c>
      <c r="R857" s="184" t="n">
        <v>21480.8</v>
      </c>
      <c r="S857" s="184" t="s">
        <v>2102</v>
      </c>
      <c r="T857" s="187" t="n">
        <v>45936</v>
      </c>
    </row>
    <row r="858" customFormat="false" ht="35.05" hidden="true" customHeight="false" outlineLevel="0" collapsed="false">
      <c r="A858" s="181" t="s">
        <v>2105</v>
      </c>
      <c r="B858" s="182" t="n">
        <v>2113</v>
      </c>
      <c r="C858" s="183" t="n">
        <v>17</v>
      </c>
      <c r="D858" s="181" t="s">
        <v>2005</v>
      </c>
      <c r="E858" s="181" t="s">
        <v>336</v>
      </c>
      <c r="F858" s="181" t="s">
        <v>337</v>
      </c>
      <c r="G858" s="181" t="s">
        <v>2070</v>
      </c>
      <c r="H858" s="181" t="s">
        <v>2071</v>
      </c>
      <c r="I858" s="181" t="s">
        <v>240</v>
      </c>
      <c r="J858" s="267"/>
      <c r="K858" s="269" t="n">
        <v>45935</v>
      </c>
      <c r="L858" s="267" t="n">
        <v>1.6</v>
      </c>
      <c r="M858" s="184" t="s">
        <v>2070</v>
      </c>
      <c r="N858" s="184" t="n">
        <v>39800</v>
      </c>
      <c r="O858" s="184" t="n">
        <v>14640</v>
      </c>
      <c r="P858" s="185" t="n">
        <v>15</v>
      </c>
      <c r="Q858" s="184" t="n">
        <v>25160</v>
      </c>
      <c r="R858" s="184" t="n">
        <v>21386</v>
      </c>
      <c r="S858" s="184" t="s">
        <v>2106</v>
      </c>
      <c r="T858" s="187" t="n">
        <v>45936</v>
      </c>
    </row>
    <row r="859" customFormat="false" ht="35.05" hidden="true" customHeight="false" outlineLevel="0" collapsed="false">
      <c r="A859" s="181" t="s">
        <v>2107</v>
      </c>
      <c r="B859" s="182" t="n">
        <v>2114</v>
      </c>
      <c r="C859" s="183" t="n">
        <v>18</v>
      </c>
      <c r="D859" s="181" t="s">
        <v>2005</v>
      </c>
      <c r="E859" s="181" t="s">
        <v>340</v>
      </c>
      <c r="F859" s="181" t="s">
        <v>341</v>
      </c>
      <c r="G859" s="181" t="s">
        <v>2070</v>
      </c>
      <c r="H859" s="181" t="s">
        <v>2071</v>
      </c>
      <c r="I859" s="181" t="s">
        <v>240</v>
      </c>
      <c r="J859" s="267"/>
      <c r="K859" s="269" t="n">
        <v>45935</v>
      </c>
      <c r="L859" s="267" t="n">
        <v>1.7</v>
      </c>
      <c r="M859" s="184" t="s">
        <v>2070</v>
      </c>
      <c r="N859" s="184" t="n">
        <v>39980</v>
      </c>
      <c r="O859" s="184" t="n">
        <v>15230</v>
      </c>
      <c r="P859" s="185" t="n">
        <v>9</v>
      </c>
      <c r="Q859" s="184" t="n">
        <v>24750</v>
      </c>
      <c r="R859" s="184" t="n">
        <v>22522.5</v>
      </c>
      <c r="S859" s="184" t="s">
        <v>2108</v>
      </c>
      <c r="T859" s="187" t="n">
        <v>45936</v>
      </c>
    </row>
    <row r="860" customFormat="false" ht="35.05" hidden="true" customHeight="false" outlineLevel="0" collapsed="false">
      <c r="A860" s="181" t="s">
        <v>2111</v>
      </c>
      <c r="B860" s="182" t="n">
        <v>2115</v>
      </c>
      <c r="C860" s="183" t="n">
        <v>19</v>
      </c>
      <c r="D860" s="181" t="s">
        <v>2005</v>
      </c>
      <c r="E860" s="181" t="s">
        <v>529</v>
      </c>
      <c r="F860" s="181" t="s">
        <v>530</v>
      </c>
      <c r="G860" s="181" t="s">
        <v>2070</v>
      </c>
      <c r="H860" s="181" t="s">
        <v>158</v>
      </c>
      <c r="I860" s="181" t="s">
        <v>240</v>
      </c>
      <c r="J860" s="267"/>
      <c r="K860" s="269" t="n">
        <v>45935</v>
      </c>
      <c r="L860" s="267" t="n">
        <v>3.4</v>
      </c>
      <c r="M860" s="184" t="s">
        <v>2070</v>
      </c>
      <c r="N860" s="184" t="n">
        <v>37540</v>
      </c>
      <c r="O860" s="184" t="n">
        <v>14980</v>
      </c>
      <c r="P860" s="185" t="n">
        <v>15</v>
      </c>
      <c r="Q860" s="184" t="n">
        <v>22560</v>
      </c>
      <c r="R860" s="184" t="n">
        <v>19176</v>
      </c>
      <c r="S860" s="184" t="s">
        <v>2112</v>
      </c>
      <c r="T860" s="187" t="n">
        <v>45936</v>
      </c>
    </row>
    <row r="861" customFormat="false" ht="35.05" hidden="true" customHeight="false" outlineLevel="0" collapsed="false">
      <c r="A861" s="181" t="s">
        <v>2115</v>
      </c>
      <c r="B861" s="182" t="n">
        <v>2116</v>
      </c>
      <c r="C861" s="183" t="n">
        <v>20</v>
      </c>
      <c r="D861" s="181" t="s">
        <v>2005</v>
      </c>
      <c r="E861" s="181" t="s">
        <v>391</v>
      </c>
      <c r="F861" s="181" t="s">
        <v>392</v>
      </c>
      <c r="G861" s="181" t="s">
        <v>2070</v>
      </c>
      <c r="H861" s="181" t="s">
        <v>158</v>
      </c>
      <c r="I861" s="181" t="s">
        <v>240</v>
      </c>
      <c r="J861" s="267"/>
      <c r="K861" s="269" t="n">
        <v>45935</v>
      </c>
      <c r="L861" s="267" t="n">
        <v>3.2</v>
      </c>
      <c r="M861" s="184" t="s">
        <v>2070</v>
      </c>
      <c r="N861" s="184" t="n">
        <v>35640</v>
      </c>
      <c r="O861" s="184" t="n">
        <v>14560</v>
      </c>
      <c r="P861" s="185" t="n">
        <v>9</v>
      </c>
      <c r="Q861" s="184" t="n">
        <v>21080</v>
      </c>
      <c r="R861" s="184" t="n">
        <v>19182.8</v>
      </c>
      <c r="S861" s="184" t="s">
        <v>2116</v>
      </c>
      <c r="T861" s="187" t="n">
        <v>45936</v>
      </c>
    </row>
    <row r="862" customFormat="false" ht="35.05" hidden="true" customHeight="false" outlineLevel="0" collapsed="false">
      <c r="A862" s="181" t="s">
        <v>2117</v>
      </c>
      <c r="B862" s="182" t="n">
        <v>2120</v>
      </c>
      <c r="C862" s="183" t="n">
        <v>21</v>
      </c>
      <c r="D862" s="181" t="s">
        <v>2005</v>
      </c>
      <c r="E862" s="181" t="s">
        <v>272</v>
      </c>
      <c r="F862" s="181" t="s">
        <v>273</v>
      </c>
      <c r="G862" s="181" t="s">
        <v>2070</v>
      </c>
      <c r="H862" s="181" t="s">
        <v>158</v>
      </c>
      <c r="I862" s="181" t="s">
        <v>240</v>
      </c>
      <c r="J862" s="267"/>
      <c r="K862" s="269" t="n">
        <v>45935</v>
      </c>
      <c r="L862" s="267" t="n">
        <v>4</v>
      </c>
      <c r="M862" s="184" t="s">
        <v>2070</v>
      </c>
      <c r="N862" s="184" t="n">
        <v>42180</v>
      </c>
      <c r="O862" s="184" t="n">
        <v>15570</v>
      </c>
      <c r="P862" s="185" t="n">
        <v>7</v>
      </c>
      <c r="Q862" s="184" t="n">
        <v>26610</v>
      </c>
      <c r="R862" s="184" t="n">
        <v>24747.3</v>
      </c>
      <c r="S862" s="184" t="s">
        <v>2118</v>
      </c>
      <c r="T862" s="187" t="n">
        <v>45936</v>
      </c>
    </row>
    <row r="863" customFormat="false" ht="35.05" hidden="true" customHeight="false" outlineLevel="0" collapsed="false">
      <c r="A863" s="181" t="s">
        <v>2119</v>
      </c>
      <c r="B863" s="182" t="n">
        <v>2131</v>
      </c>
      <c r="C863" s="183" t="n">
        <v>7810</v>
      </c>
      <c r="D863" s="181" t="s">
        <v>2066</v>
      </c>
      <c r="E863" s="181" t="s">
        <v>300</v>
      </c>
      <c r="F863" s="181" t="s">
        <v>301</v>
      </c>
      <c r="G863" s="181" t="s">
        <v>2067</v>
      </c>
      <c r="H863" s="181" t="s">
        <v>279</v>
      </c>
      <c r="I863" s="181" t="s">
        <v>241</v>
      </c>
      <c r="J863" s="267"/>
      <c r="K863" s="269" t="n">
        <v>45936</v>
      </c>
      <c r="L863" s="267" t="n">
        <v>2.5</v>
      </c>
      <c r="M863" s="184" t="s">
        <v>2067</v>
      </c>
      <c r="N863" s="184" t="n">
        <v>62860</v>
      </c>
      <c r="O863" s="184" t="n">
        <v>21250</v>
      </c>
      <c r="P863" s="185" t="n">
        <v>1</v>
      </c>
      <c r="Q863" s="184" t="n">
        <v>41610</v>
      </c>
      <c r="R863" s="184" t="n">
        <v>41193.9</v>
      </c>
      <c r="S863" s="184" t="s">
        <v>2120</v>
      </c>
      <c r="T863" s="187" t="n">
        <v>45936</v>
      </c>
    </row>
    <row r="864" customFormat="false" ht="35.05" hidden="true" customHeight="false" outlineLevel="0" collapsed="false">
      <c r="A864" s="181" t="s">
        <v>2125</v>
      </c>
      <c r="B864" s="182" t="n">
        <v>2132</v>
      </c>
      <c r="C864" s="183" t="n">
        <v>7811</v>
      </c>
      <c r="D864" s="181" t="s">
        <v>2066</v>
      </c>
      <c r="E864" s="181" t="s">
        <v>549</v>
      </c>
      <c r="F864" s="181" t="s">
        <v>550</v>
      </c>
      <c r="G864" s="181" t="s">
        <v>2067</v>
      </c>
      <c r="H864" s="181" t="s">
        <v>279</v>
      </c>
      <c r="I864" s="181" t="s">
        <v>241</v>
      </c>
      <c r="J864" s="267"/>
      <c r="K864" s="269" t="n">
        <v>45936</v>
      </c>
      <c r="L864" s="267" t="n">
        <v>1.7</v>
      </c>
      <c r="M864" s="184" t="s">
        <v>2067</v>
      </c>
      <c r="N864" s="184" t="n">
        <v>43480</v>
      </c>
      <c r="O864" s="184" t="n">
        <v>15890</v>
      </c>
      <c r="P864" s="185" t="n">
        <v>4</v>
      </c>
      <c r="Q864" s="184" t="n">
        <v>27590</v>
      </c>
      <c r="R864" s="184" t="n">
        <v>26486.4</v>
      </c>
      <c r="S864" s="184" t="s">
        <v>2126</v>
      </c>
      <c r="T864" s="187" t="n">
        <v>45936</v>
      </c>
    </row>
    <row r="865" customFormat="false" ht="35.05" hidden="true" customHeight="false" outlineLevel="0" collapsed="false">
      <c r="A865" s="181" t="s">
        <v>2103</v>
      </c>
      <c r="B865" s="182" t="n">
        <v>2133</v>
      </c>
      <c r="C865" s="183" t="n">
        <v>7812</v>
      </c>
      <c r="D865" s="181" t="s">
        <v>2066</v>
      </c>
      <c r="E865" s="181" t="s">
        <v>545</v>
      </c>
      <c r="F865" s="181" t="s">
        <v>546</v>
      </c>
      <c r="G865" s="181" t="s">
        <v>2067</v>
      </c>
      <c r="H865" s="181" t="s">
        <v>279</v>
      </c>
      <c r="I865" s="181" t="s">
        <v>241</v>
      </c>
      <c r="J865" s="267"/>
      <c r="K865" s="269" t="n">
        <v>45936</v>
      </c>
      <c r="L865" s="267" t="n">
        <v>1.6</v>
      </c>
      <c r="M865" s="184" t="s">
        <v>2067</v>
      </c>
      <c r="N865" s="184" t="n">
        <v>42180</v>
      </c>
      <c r="O865" s="184" t="n">
        <v>16120</v>
      </c>
      <c r="P865" s="185" t="n">
        <v>5</v>
      </c>
      <c r="Q865" s="184" t="n">
        <v>26060</v>
      </c>
      <c r="R865" s="184" t="n">
        <v>24757</v>
      </c>
      <c r="S865" s="184" t="s">
        <v>2104</v>
      </c>
      <c r="T865" s="187" t="n">
        <v>45936</v>
      </c>
    </row>
    <row r="866" customFormat="false" ht="35.05" hidden="true" customHeight="false" outlineLevel="0" collapsed="false">
      <c r="A866" s="181" t="s">
        <v>2109</v>
      </c>
      <c r="B866" s="182" t="n">
        <v>2135</v>
      </c>
      <c r="C866" s="183" t="n">
        <v>7814</v>
      </c>
      <c r="D866" s="181" t="s">
        <v>2066</v>
      </c>
      <c r="E866" s="181" t="s">
        <v>541</v>
      </c>
      <c r="F866" s="181" t="s">
        <v>542</v>
      </c>
      <c r="G866" s="181" t="s">
        <v>2067</v>
      </c>
      <c r="H866" s="181" t="s">
        <v>279</v>
      </c>
      <c r="I866" s="181" t="s">
        <v>241</v>
      </c>
      <c r="J866" s="267"/>
      <c r="K866" s="269" t="n">
        <v>45936</v>
      </c>
      <c r="L866" s="267" t="n">
        <v>1.6</v>
      </c>
      <c r="M866" s="184" t="s">
        <v>2067</v>
      </c>
      <c r="N866" s="184" t="n">
        <v>41270</v>
      </c>
      <c r="O866" s="184" t="n">
        <v>14960</v>
      </c>
      <c r="P866" s="185" t="n">
        <v>5</v>
      </c>
      <c r="Q866" s="184" t="n">
        <v>26310</v>
      </c>
      <c r="R866" s="184" t="n">
        <v>24994.5</v>
      </c>
      <c r="S866" s="184" t="s">
        <v>2110</v>
      </c>
      <c r="T866" s="187" t="n">
        <v>45936</v>
      </c>
    </row>
    <row r="867" customFormat="false" ht="35.05" hidden="true" customHeight="false" outlineLevel="0" collapsed="false">
      <c r="A867" s="181" t="s">
        <v>2113</v>
      </c>
      <c r="B867" s="182" t="n">
        <v>2136</v>
      </c>
      <c r="C867" s="183" t="n">
        <v>7815</v>
      </c>
      <c r="D867" s="181" t="s">
        <v>2066</v>
      </c>
      <c r="E867" s="181" t="s">
        <v>537</v>
      </c>
      <c r="F867" s="181" t="s">
        <v>538</v>
      </c>
      <c r="G867" s="181" t="s">
        <v>2067</v>
      </c>
      <c r="H867" s="181" t="s">
        <v>279</v>
      </c>
      <c r="I867" s="181" t="s">
        <v>241</v>
      </c>
      <c r="J867" s="267"/>
      <c r="K867" s="269" t="n">
        <v>45936</v>
      </c>
      <c r="L867" s="267" t="n">
        <v>1.4</v>
      </c>
      <c r="M867" s="184" t="s">
        <v>2067</v>
      </c>
      <c r="N867" s="184" t="n">
        <v>36090</v>
      </c>
      <c r="O867" s="184" t="n">
        <v>13980</v>
      </c>
      <c r="P867" s="185" t="n">
        <v>5</v>
      </c>
      <c r="Q867" s="184" t="n">
        <v>22110</v>
      </c>
      <c r="R867" s="184" t="n">
        <v>21004.5</v>
      </c>
      <c r="S867" s="184" t="s">
        <v>2114</v>
      </c>
      <c r="T867" s="187" t="n">
        <v>45936</v>
      </c>
    </row>
    <row r="868" customFormat="false" ht="35.05" hidden="true" customHeight="false" outlineLevel="0" collapsed="false">
      <c r="A868" s="181" t="s">
        <v>2121</v>
      </c>
      <c r="B868" s="182" t="n">
        <v>2139</v>
      </c>
      <c r="C868" s="183" t="n">
        <v>7823</v>
      </c>
      <c r="D868" s="181" t="s">
        <v>2066</v>
      </c>
      <c r="E868" s="181" t="s">
        <v>332</v>
      </c>
      <c r="F868" s="181" t="s">
        <v>333</v>
      </c>
      <c r="G868" s="181" t="s">
        <v>2067</v>
      </c>
      <c r="H868" s="181" t="s">
        <v>279</v>
      </c>
      <c r="I868" s="181" t="s">
        <v>241</v>
      </c>
      <c r="J868" s="267"/>
      <c r="K868" s="269" t="n">
        <v>45936</v>
      </c>
      <c r="L868" s="267" t="n">
        <v>1.4</v>
      </c>
      <c r="M868" s="184" t="s">
        <v>2067</v>
      </c>
      <c r="N868" s="184" t="n">
        <v>37970</v>
      </c>
      <c r="O868" s="184" t="n">
        <v>14720</v>
      </c>
      <c r="P868" s="185" t="n">
        <v>4</v>
      </c>
      <c r="Q868" s="184" t="n">
        <v>23250</v>
      </c>
      <c r="R868" s="184" t="n">
        <v>22320</v>
      </c>
      <c r="S868" s="184" t="s">
        <v>2122</v>
      </c>
      <c r="T868" s="187" t="n">
        <v>45936</v>
      </c>
    </row>
    <row r="869" customFormat="false" ht="46.25" hidden="true" customHeight="false" outlineLevel="0" collapsed="false">
      <c r="A869" s="181" t="s">
        <v>2123</v>
      </c>
      <c r="B869" s="182" t="n">
        <v>2140</v>
      </c>
      <c r="C869" s="183" t="n">
        <v>7824</v>
      </c>
      <c r="D869" s="181" t="s">
        <v>2066</v>
      </c>
      <c r="E869" s="181" t="s">
        <v>288</v>
      </c>
      <c r="F869" s="181" t="s">
        <v>289</v>
      </c>
      <c r="G869" s="181" t="s">
        <v>2067</v>
      </c>
      <c r="H869" s="181" t="s">
        <v>279</v>
      </c>
      <c r="I869" s="181" t="s">
        <v>241</v>
      </c>
      <c r="J869" s="267"/>
      <c r="K869" s="269" t="n">
        <v>45936</v>
      </c>
      <c r="L869" s="267" t="n">
        <v>1.4</v>
      </c>
      <c r="M869" s="184" t="s">
        <v>2067</v>
      </c>
      <c r="N869" s="184" t="n">
        <v>37130</v>
      </c>
      <c r="O869" s="184" t="n">
        <v>14560</v>
      </c>
      <c r="P869" s="185" t="n">
        <v>4</v>
      </c>
      <c r="Q869" s="184" t="n">
        <v>22570</v>
      </c>
      <c r="R869" s="184" t="n">
        <v>21667.2</v>
      </c>
      <c r="S869" s="184" t="s">
        <v>2124</v>
      </c>
      <c r="T869" s="187" t="n">
        <v>45936</v>
      </c>
    </row>
    <row r="870" customFormat="false" ht="35.05" hidden="true" customHeight="false" outlineLevel="0" collapsed="false">
      <c r="A870" s="181" t="s">
        <v>2127</v>
      </c>
      <c r="B870" s="182" t="n">
        <v>2142</v>
      </c>
      <c r="C870" s="183" t="n">
        <v>7829</v>
      </c>
      <c r="D870" s="181" t="s">
        <v>2066</v>
      </c>
      <c r="E870" s="181" t="s">
        <v>439</v>
      </c>
      <c r="F870" s="181" t="s">
        <v>440</v>
      </c>
      <c r="G870" s="181" t="s">
        <v>2067</v>
      </c>
      <c r="H870" s="181" t="s">
        <v>279</v>
      </c>
      <c r="I870" s="181" t="s">
        <v>241</v>
      </c>
      <c r="J870" s="267"/>
      <c r="K870" s="269" t="n">
        <v>45936</v>
      </c>
      <c r="L870" s="267" t="n">
        <v>1.5</v>
      </c>
      <c r="M870" s="184" t="s">
        <v>2067</v>
      </c>
      <c r="N870" s="184" t="n">
        <v>40780</v>
      </c>
      <c r="O870" s="184" t="n">
        <v>16330</v>
      </c>
      <c r="P870" s="185" t="n">
        <v>6</v>
      </c>
      <c r="Q870" s="184" t="n">
        <v>24450</v>
      </c>
      <c r="R870" s="184" t="n">
        <v>22983</v>
      </c>
      <c r="S870" s="184" t="s">
        <v>2128</v>
      </c>
      <c r="T870" s="187" t="n">
        <v>45937</v>
      </c>
    </row>
    <row r="871" customFormat="false" ht="35.05" hidden="true" customHeight="false" outlineLevel="0" collapsed="false">
      <c r="A871" s="181" t="s">
        <v>2129</v>
      </c>
      <c r="B871" s="182" t="n">
        <v>2143</v>
      </c>
      <c r="C871" s="183" t="n">
        <v>7828</v>
      </c>
      <c r="D871" s="181" t="s">
        <v>2066</v>
      </c>
      <c r="E871" s="181" t="s">
        <v>377</v>
      </c>
      <c r="F871" s="181" t="s">
        <v>378</v>
      </c>
      <c r="G871" s="181" t="s">
        <v>2067</v>
      </c>
      <c r="H871" s="181" t="s">
        <v>279</v>
      </c>
      <c r="I871" s="181" t="s">
        <v>241</v>
      </c>
      <c r="J871" s="267"/>
      <c r="K871" s="269" t="n">
        <v>45936</v>
      </c>
      <c r="L871" s="267" t="n">
        <v>1.7</v>
      </c>
      <c r="M871" s="184" t="s">
        <v>2067</v>
      </c>
      <c r="N871" s="184" t="n">
        <v>42870</v>
      </c>
      <c r="O871" s="184" t="n">
        <v>15700</v>
      </c>
      <c r="P871" s="185" t="n">
        <v>5</v>
      </c>
      <c r="Q871" s="184" t="n">
        <v>27170</v>
      </c>
      <c r="R871" s="184" t="n">
        <v>25811.5</v>
      </c>
      <c r="S871" s="184" t="s">
        <v>2130</v>
      </c>
      <c r="T871" s="187" t="n">
        <v>45937</v>
      </c>
    </row>
    <row r="872" customFormat="false" ht="35.05" hidden="true" customHeight="false" outlineLevel="0" collapsed="false">
      <c r="A872" s="181" t="s">
        <v>2131</v>
      </c>
      <c r="B872" s="182" t="n">
        <v>2144</v>
      </c>
      <c r="C872" s="183" t="n">
        <v>7776</v>
      </c>
      <c r="D872" s="181" t="s">
        <v>2066</v>
      </c>
      <c r="E872" s="181" t="s">
        <v>533</v>
      </c>
      <c r="F872" s="181" t="s">
        <v>534</v>
      </c>
      <c r="G872" s="181" t="s">
        <v>2067</v>
      </c>
      <c r="H872" s="181" t="s">
        <v>279</v>
      </c>
      <c r="I872" s="181" t="s">
        <v>241</v>
      </c>
      <c r="J872" s="267"/>
      <c r="K872" s="269" t="n">
        <v>45936</v>
      </c>
      <c r="L872" s="267" t="n">
        <v>1.5</v>
      </c>
      <c r="M872" s="184" t="s">
        <v>2067</v>
      </c>
      <c r="N872" s="184" t="n">
        <v>39200</v>
      </c>
      <c r="O872" s="184" t="n">
        <v>14380</v>
      </c>
      <c r="P872" s="185" t="n">
        <v>7</v>
      </c>
      <c r="Q872" s="184" t="n">
        <v>24820</v>
      </c>
      <c r="R872" s="184" t="n">
        <v>23082.6</v>
      </c>
      <c r="S872" s="184" t="s">
        <v>2132</v>
      </c>
      <c r="T872" s="187" t="n">
        <v>45937</v>
      </c>
    </row>
    <row r="873" customFormat="false" ht="35.05" hidden="true" customHeight="false" outlineLevel="0" collapsed="false">
      <c r="A873" s="181" t="s">
        <v>2133</v>
      </c>
      <c r="B873" s="182" t="n">
        <v>2145</v>
      </c>
      <c r="C873" s="183" t="n">
        <v>7843</v>
      </c>
      <c r="D873" s="181" t="s">
        <v>2066</v>
      </c>
      <c r="E873" s="181" t="s">
        <v>277</v>
      </c>
      <c r="F873" s="181" t="s">
        <v>278</v>
      </c>
      <c r="G873" s="181" t="s">
        <v>2067</v>
      </c>
      <c r="H873" s="181" t="s">
        <v>279</v>
      </c>
      <c r="I873" s="181" t="s">
        <v>241</v>
      </c>
      <c r="J873" s="267"/>
      <c r="K873" s="269" t="n">
        <v>45936</v>
      </c>
      <c r="L873" s="267" t="n">
        <v>1.7</v>
      </c>
      <c r="M873" s="184" t="s">
        <v>2067</v>
      </c>
      <c r="N873" s="184" t="n">
        <v>42760</v>
      </c>
      <c r="O873" s="184" t="n">
        <v>15080</v>
      </c>
      <c r="P873" s="185" t="n">
        <v>6</v>
      </c>
      <c r="Q873" s="184" t="n">
        <v>27680</v>
      </c>
      <c r="R873" s="184" t="n">
        <v>26019.2</v>
      </c>
      <c r="S873" s="184" t="s">
        <v>2134</v>
      </c>
      <c r="T873" s="187" t="n">
        <v>45937</v>
      </c>
    </row>
    <row r="874" customFormat="false" ht="35.05" hidden="true" customHeight="false" outlineLevel="0" collapsed="false">
      <c r="A874" s="181" t="s">
        <v>2135</v>
      </c>
      <c r="B874" s="182" t="n">
        <v>2147</v>
      </c>
      <c r="C874" s="183" t="n">
        <v>7847</v>
      </c>
      <c r="D874" s="181" t="s">
        <v>2066</v>
      </c>
      <c r="E874" s="181" t="s">
        <v>431</v>
      </c>
      <c r="F874" s="181" t="s">
        <v>432</v>
      </c>
      <c r="G874" s="181" t="s">
        <v>2067</v>
      </c>
      <c r="H874" s="181" t="s">
        <v>279</v>
      </c>
      <c r="I874" s="181" t="s">
        <v>241</v>
      </c>
      <c r="J874" s="267"/>
      <c r="K874" s="269" t="n">
        <v>45936</v>
      </c>
      <c r="L874" s="267" t="n">
        <v>1.5</v>
      </c>
      <c r="M874" s="184" t="s">
        <v>2067</v>
      </c>
      <c r="N874" s="184" t="n">
        <v>41170</v>
      </c>
      <c r="O874" s="184" t="n">
        <v>16480</v>
      </c>
      <c r="P874" s="185" t="n">
        <v>6</v>
      </c>
      <c r="Q874" s="184" t="n">
        <v>24690</v>
      </c>
      <c r="R874" s="184" t="n">
        <v>23208.6</v>
      </c>
      <c r="S874" s="184" t="s">
        <v>2136</v>
      </c>
      <c r="T874" s="187" t="n">
        <v>45937</v>
      </c>
    </row>
    <row r="875" customFormat="false" ht="46.25" hidden="true" customHeight="false" outlineLevel="0" collapsed="false">
      <c r="A875" s="181" t="s">
        <v>2137</v>
      </c>
      <c r="B875" s="182" t="n">
        <v>2148</v>
      </c>
      <c r="C875" s="183" t="n">
        <v>7848</v>
      </c>
      <c r="D875" s="181" t="s">
        <v>2066</v>
      </c>
      <c r="E875" s="181" t="s">
        <v>435</v>
      </c>
      <c r="F875" s="181" t="s">
        <v>436</v>
      </c>
      <c r="G875" s="181" t="s">
        <v>2067</v>
      </c>
      <c r="H875" s="181" t="s">
        <v>279</v>
      </c>
      <c r="I875" s="181" t="s">
        <v>241</v>
      </c>
      <c r="J875" s="267"/>
      <c r="K875" s="269" t="n">
        <v>45936</v>
      </c>
      <c r="L875" s="267" t="n">
        <v>1.5</v>
      </c>
      <c r="M875" s="184" t="s">
        <v>2067</v>
      </c>
      <c r="N875" s="184" t="n">
        <v>41130</v>
      </c>
      <c r="O875" s="184" t="n">
        <v>16370</v>
      </c>
      <c r="P875" s="185" t="n">
        <v>4</v>
      </c>
      <c r="Q875" s="184" t="n">
        <v>24760</v>
      </c>
      <c r="R875" s="184" t="n">
        <v>23769.6</v>
      </c>
      <c r="S875" s="184" t="s">
        <v>2138</v>
      </c>
      <c r="T875" s="187" t="n">
        <v>45937</v>
      </c>
    </row>
    <row r="876" customFormat="false" ht="35.05" hidden="true" customHeight="false" outlineLevel="0" collapsed="false">
      <c r="A876" s="181" t="s">
        <v>2139</v>
      </c>
      <c r="B876" s="182" t="n">
        <v>2156</v>
      </c>
      <c r="C876" s="183" t="n">
        <v>1</v>
      </c>
      <c r="D876" s="181" t="s">
        <v>2005</v>
      </c>
      <c r="E876" s="181" t="s">
        <v>308</v>
      </c>
      <c r="F876" s="181" t="s">
        <v>309</v>
      </c>
      <c r="G876" s="181" t="s">
        <v>2049</v>
      </c>
      <c r="H876" s="181" t="s">
        <v>279</v>
      </c>
      <c r="I876" s="181" t="s">
        <v>240</v>
      </c>
      <c r="J876" s="267"/>
      <c r="K876" s="269" t="n">
        <v>45937</v>
      </c>
      <c r="L876" s="267" t="n">
        <v>2.6</v>
      </c>
      <c r="M876" s="184" t="s">
        <v>2049</v>
      </c>
      <c r="N876" s="184" t="n">
        <v>64650</v>
      </c>
      <c r="O876" s="184" t="n">
        <v>24150</v>
      </c>
      <c r="P876" s="185" t="n">
        <v>4</v>
      </c>
      <c r="Q876" s="184" t="n">
        <v>40500</v>
      </c>
      <c r="R876" s="184" t="n">
        <v>38880</v>
      </c>
      <c r="S876" s="184" t="s">
        <v>2140</v>
      </c>
      <c r="T876" s="187" t="n">
        <v>45937</v>
      </c>
    </row>
    <row r="877" customFormat="false" ht="35.05" hidden="true" customHeight="false" outlineLevel="0" collapsed="false">
      <c r="A877" s="181" t="s">
        <v>2141</v>
      </c>
      <c r="B877" s="182" t="n">
        <v>2157</v>
      </c>
      <c r="C877" s="183" t="n">
        <v>2</v>
      </c>
      <c r="D877" s="181" t="s">
        <v>2005</v>
      </c>
      <c r="E877" s="181" t="s">
        <v>304</v>
      </c>
      <c r="F877" s="181" t="s">
        <v>305</v>
      </c>
      <c r="G877" s="181" t="s">
        <v>2049</v>
      </c>
      <c r="H877" s="181" t="s">
        <v>279</v>
      </c>
      <c r="I877" s="181" t="s">
        <v>240</v>
      </c>
      <c r="J877" s="267"/>
      <c r="K877" s="269" t="n">
        <v>45937</v>
      </c>
      <c r="L877" s="267" t="n">
        <v>1.7</v>
      </c>
      <c r="M877" s="184" t="s">
        <v>2049</v>
      </c>
      <c r="N877" s="184" t="n">
        <v>40870</v>
      </c>
      <c r="O877" s="184" t="n">
        <v>15130</v>
      </c>
      <c r="P877" s="185" t="n">
        <v>6</v>
      </c>
      <c r="Q877" s="184" t="n">
        <v>25740</v>
      </c>
      <c r="R877" s="184" t="n">
        <v>24195.6</v>
      </c>
      <c r="S877" s="184" t="s">
        <v>2142</v>
      </c>
      <c r="T877" s="187" t="n">
        <v>45937</v>
      </c>
    </row>
    <row r="878" customFormat="false" ht="35.05" hidden="true" customHeight="false" outlineLevel="0" collapsed="false">
      <c r="A878" s="181" t="s">
        <v>2143</v>
      </c>
      <c r="B878" s="182" t="n">
        <v>2159</v>
      </c>
      <c r="C878" s="183" t="n">
        <v>3</v>
      </c>
      <c r="D878" s="181" t="s">
        <v>2005</v>
      </c>
      <c r="E878" s="181" t="s">
        <v>582</v>
      </c>
      <c r="F878" s="181" t="s">
        <v>583</v>
      </c>
      <c r="G878" s="181" t="s">
        <v>2049</v>
      </c>
      <c r="H878" s="181" t="s">
        <v>279</v>
      </c>
      <c r="I878" s="181" t="s">
        <v>240</v>
      </c>
      <c r="J878" s="267"/>
      <c r="K878" s="269" t="n">
        <v>45937</v>
      </c>
      <c r="L878" s="267" t="n">
        <v>1.7</v>
      </c>
      <c r="M878" s="184" t="s">
        <v>2049</v>
      </c>
      <c r="N878" s="184" t="n">
        <v>40600</v>
      </c>
      <c r="O878" s="184" t="n">
        <v>14960</v>
      </c>
      <c r="P878" s="185" t="n">
        <v>9</v>
      </c>
      <c r="Q878" s="184" t="n">
        <v>25640</v>
      </c>
      <c r="R878" s="184" t="n">
        <v>23332.4</v>
      </c>
      <c r="S878" s="184" t="s">
        <v>2144</v>
      </c>
      <c r="T878" s="187" t="n">
        <v>45937</v>
      </c>
    </row>
    <row r="879" customFormat="false" ht="35.05" hidden="true" customHeight="false" outlineLevel="0" collapsed="false">
      <c r="A879" s="181" t="s">
        <v>2145</v>
      </c>
      <c r="B879" s="182" t="n">
        <v>2164</v>
      </c>
      <c r="C879" s="183" t="n">
        <v>4</v>
      </c>
      <c r="D879" s="181" t="s">
        <v>2005</v>
      </c>
      <c r="E879" s="181" t="s">
        <v>413</v>
      </c>
      <c r="F879" s="181" t="s">
        <v>414</v>
      </c>
      <c r="G879" s="181" t="s">
        <v>2049</v>
      </c>
      <c r="H879" s="181" t="s">
        <v>279</v>
      </c>
      <c r="I879" s="181" t="s">
        <v>240</v>
      </c>
      <c r="J879" s="267"/>
      <c r="K879" s="269" t="n">
        <v>45937</v>
      </c>
      <c r="L879" s="267" t="n">
        <v>1.9</v>
      </c>
      <c r="M879" s="184" t="s">
        <v>2049</v>
      </c>
      <c r="N879" s="184" t="n">
        <v>45180</v>
      </c>
      <c r="O879" s="184" t="n">
        <v>15840</v>
      </c>
      <c r="P879" s="185" t="n">
        <v>5</v>
      </c>
      <c r="Q879" s="184" t="n">
        <v>29340</v>
      </c>
      <c r="R879" s="184" t="n">
        <v>27873</v>
      </c>
      <c r="S879" s="184" t="s">
        <v>2146</v>
      </c>
      <c r="T879" s="187" t="n">
        <v>45937</v>
      </c>
    </row>
    <row r="880" customFormat="false" ht="35.05" hidden="true" customHeight="false" outlineLevel="0" collapsed="false">
      <c r="A880" s="181" t="s">
        <v>2147</v>
      </c>
      <c r="B880" s="182" t="n">
        <v>2165</v>
      </c>
      <c r="C880" s="183" t="n">
        <v>5</v>
      </c>
      <c r="D880" s="181" t="s">
        <v>2005</v>
      </c>
      <c r="E880" s="181" t="s">
        <v>350</v>
      </c>
      <c r="F880" s="181" t="s">
        <v>351</v>
      </c>
      <c r="G880" s="181" t="s">
        <v>2049</v>
      </c>
      <c r="H880" s="181" t="s">
        <v>279</v>
      </c>
      <c r="I880" s="181" t="s">
        <v>240</v>
      </c>
      <c r="J880" s="267"/>
      <c r="K880" s="269" t="n">
        <v>45937</v>
      </c>
      <c r="L880" s="267" t="n">
        <v>1.9</v>
      </c>
      <c r="M880" s="184" t="s">
        <v>2049</v>
      </c>
      <c r="N880" s="184" t="n">
        <v>44360</v>
      </c>
      <c r="O880" s="184" t="n">
        <v>15080</v>
      </c>
      <c r="P880" s="185" t="n">
        <v>10</v>
      </c>
      <c r="Q880" s="184" t="n">
        <v>29280</v>
      </c>
      <c r="R880" s="184" t="n">
        <v>26352</v>
      </c>
      <c r="S880" s="184" t="s">
        <v>2148</v>
      </c>
      <c r="T880" s="187" t="n">
        <v>45937</v>
      </c>
    </row>
    <row r="881" customFormat="false" ht="35.05" hidden="true" customHeight="false" outlineLevel="0" collapsed="false">
      <c r="A881" s="181" t="s">
        <v>2149</v>
      </c>
      <c r="B881" s="182" t="n">
        <v>2166</v>
      </c>
      <c r="C881" s="183" t="n">
        <v>6</v>
      </c>
      <c r="D881" s="181" t="s">
        <v>2005</v>
      </c>
      <c r="E881" s="181" t="s">
        <v>373</v>
      </c>
      <c r="F881" s="181" t="s">
        <v>374</v>
      </c>
      <c r="G881" s="181" t="s">
        <v>2049</v>
      </c>
      <c r="H881" s="181" t="s">
        <v>279</v>
      </c>
      <c r="I881" s="181" t="s">
        <v>240</v>
      </c>
      <c r="J881" s="267"/>
      <c r="K881" s="269" t="n">
        <v>45937</v>
      </c>
      <c r="L881" s="267" t="n">
        <v>1.6</v>
      </c>
      <c r="M881" s="184" t="s">
        <v>2049</v>
      </c>
      <c r="N881" s="184" t="n">
        <v>39660</v>
      </c>
      <c r="O881" s="184" t="n">
        <v>14410</v>
      </c>
      <c r="P881" s="185" t="n">
        <v>14</v>
      </c>
      <c r="Q881" s="184" t="n">
        <v>25250</v>
      </c>
      <c r="R881" s="184" t="n">
        <v>21715</v>
      </c>
      <c r="S881" s="184" t="s">
        <v>2150</v>
      </c>
      <c r="T881" s="187" t="n">
        <v>45937</v>
      </c>
    </row>
    <row r="882" customFormat="false" ht="35.05" hidden="true" customHeight="false" outlineLevel="0" collapsed="false">
      <c r="A882" s="181" t="s">
        <v>2151</v>
      </c>
      <c r="B882" s="182" t="n">
        <v>2169</v>
      </c>
      <c r="C882" s="183" t="n">
        <v>7</v>
      </c>
      <c r="D882" s="181" t="s">
        <v>2005</v>
      </c>
      <c r="E882" s="181" t="s">
        <v>399</v>
      </c>
      <c r="F882" s="181" t="s">
        <v>400</v>
      </c>
      <c r="G882" s="181" t="s">
        <v>2049</v>
      </c>
      <c r="H882" s="181" t="s">
        <v>279</v>
      </c>
      <c r="I882" s="181" t="s">
        <v>240</v>
      </c>
      <c r="J882" s="267"/>
      <c r="K882" s="269" t="n">
        <v>45937</v>
      </c>
      <c r="L882" s="267" t="n">
        <v>2.1</v>
      </c>
      <c r="M882" s="184" t="s">
        <v>2049</v>
      </c>
      <c r="N882" s="184" t="n">
        <v>51660</v>
      </c>
      <c r="O882" s="184" t="n">
        <v>19570</v>
      </c>
      <c r="P882" s="185" t="n">
        <v>8</v>
      </c>
      <c r="Q882" s="184" t="n">
        <v>32090</v>
      </c>
      <c r="R882" s="184" t="n">
        <v>29522.8</v>
      </c>
      <c r="S882" s="184" t="s">
        <v>2152</v>
      </c>
      <c r="T882" s="187" t="n">
        <v>45937</v>
      </c>
    </row>
    <row r="883" customFormat="false" ht="35.05" hidden="true" customHeight="false" outlineLevel="0" collapsed="false">
      <c r="A883" s="181" t="s">
        <v>2159</v>
      </c>
      <c r="B883" s="182" t="n">
        <v>2170</v>
      </c>
      <c r="C883" s="183" t="n">
        <v>8</v>
      </c>
      <c r="D883" s="181" t="s">
        <v>2005</v>
      </c>
      <c r="E883" s="181" t="s">
        <v>354</v>
      </c>
      <c r="F883" s="181" t="s">
        <v>355</v>
      </c>
      <c r="G883" s="181" t="s">
        <v>2049</v>
      </c>
      <c r="H883" s="181" t="s">
        <v>279</v>
      </c>
      <c r="I883" s="181" t="s">
        <v>240</v>
      </c>
      <c r="J883" s="267"/>
      <c r="K883" s="269" t="n">
        <v>45937</v>
      </c>
      <c r="L883" s="267" t="n">
        <v>1.6</v>
      </c>
      <c r="M883" s="184" t="s">
        <v>2049</v>
      </c>
      <c r="N883" s="184" t="n">
        <v>40270</v>
      </c>
      <c r="O883" s="184" t="n">
        <v>14800</v>
      </c>
      <c r="P883" s="185" t="n">
        <v>15</v>
      </c>
      <c r="Q883" s="184" t="n">
        <v>25470</v>
      </c>
      <c r="R883" s="184" t="n">
        <v>21649.5</v>
      </c>
      <c r="S883" s="184" t="s">
        <v>2160</v>
      </c>
      <c r="T883" s="187" t="n">
        <v>45937</v>
      </c>
    </row>
    <row r="884" customFormat="false" ht="35.05" hidden="true" customHeight="false" outlineLevel="0" collapsed="false">
      <c r="A884" s="181" t="s">
        <v>2161</v>
      </c>
      <c r="B884" s="182" t="n">
        <v>2172</v>
      </c>
      <c r="C884" s="183" t="n">
        <v>9</v>
      </c>
      <c r="D884" s="181" t="s">
        <v>2005</v>
      </c>
      <c r="E884" s="181" t="s">
        <v>359</v>
      </c>
      <c r="F884" s="181" t="s">
        <v>360</v>
      </c>
      <c r="G884" s="181" t="s">
        <v>2049</v>
      </c>
      <c r="H884" s="181" t="s">
        <v>279</v>
      </c>
      <c r="I884" s="181" t="s">
        <v>240</v>
      </c>
      <c r="J884" s="267"/>
      <c r="K884" s="269" t="n">
        <v>45937</v>
      </c>
      <c r="L884" s="267" t="n">
        <v>1.5</v>
      </c>
      <c r="M884" s="184" t="s">
        <v>2049</v>
      </c>
      <c r="N884" s="184" t="n">
        <v>38530</v>
      </c>
      <c r="O884" s="184" t="n">
        <v>14940</v>
      </c>
      <c r="P884" s="185" t="n">
        <v>7</v>
      </c>
      <c r="Q884" s="184" t="n">
        <v>23590</v>
      </c>
      <c r="R884" s="184" t="n">
        <v>21938.7</v>
      </c>
      <c r="S884" s="184" t="s">
        <v>2162</v>
      </c>
      <c r="T884" s="187" t="n">
        <v>45937</v>
      </c>
    </row>
    <row r="885" customFormat="false" ht="35.05" hidden="true" customHeight="false" outlineLevel="0" collapsed="false">
      <c r="A885" s="181" t="s">
        <v>2163</v>
      </c>
      <c r="B885" s="182" t="n">
        <v>2174</v>
      </c>
      <c r="C885" s="183" t="n">
        <v>10</v>
      </c>
      <c r="D885" s="181" t="s">
        <v>2005</v>
      </c>
      <c r="E885" s="181" t="s">
        <v>336</v>
      </c>
      <c r="F885" s="181" t="s">
        <v>337</v>
      </c>
      <c r="G885" s="181" t="s">
        <v>2049</v>
      </c>
      <c r="H885" s="181" t="s">
        <v>279</v>
      </c>
      <c r="I885" s="181" t="s">
        <v>240</v>
      </c>
      <c r="J885" s="267"/>
      <c r="K885" s="269" t="n">
        <v>45937</v>
      </c>
      <c r="L885" s="267" t="n">
        <v>1.7</v>
      </c>
      <c r="M885" s="184" t="s">
        <v>2049</v>
      </c>
      <c r="N885" s="184" t="n">
        <v>40510</v>
      </c>
      <c r="O885" s="184" t="n">
        <v>14550</v>
      </c>
      <c r="P885" s="185" t="n">
        <v>12</v>
      </c>
      <c r="Q885" s="184" t="n">
        <v>25960</v>
      </c>
      <c r="R885" s="184" t="n">
        <v>22844.8</v>
      </c>
      <c r="S885" s="184" t="s">
        <v>2164</v>
      </c>
      <c r="T885" s="187" t="n">
        <v>45937</v>
      </c>
    </row>
    <row r="886" customFormat="false" ht="35.05" hidden="true" customHeight="false" outlineLevel="0" collapsed="false">
      <c r="A886" s="181" t="s">
        <v>2153</v>
      </c>
      <c r="B886" s="182" t="n">
        <v>2175</v>
      </c>
      <c r="C886" s="183" t="n">
        <v>12</v>
      </c>
      <c r="D886" s="181" t="s">
        <v>2005</v>
      </c>
      <c r="E886" s="181" t="s">
        <v>576</v>
      </c>
      <c r="F886" s="181" t="s">
        <v>577</v>
      </c>
      <c r="G886" s="181" t="s">
        <v>2049</v>
      </c>
      <c r="H886" s="181" t="s">
        <v>279</v>
      </c>
      <c r="I886" s="181" t="s">
        <v>240</v>
      </c>
      <c r="J886" s="267"/>
      <c r="K886" s="269" t="n">
        <v>45937</v>
      </c>
      <c r="L886" s="267" t="n">
        <v>1.5</v>
      </c>
      <c r="M886" s="184" t="s">
        <v>2049</v>
      </c>
      <c r="N886" s="184" t="n">
        <v>37170</v>
      </c>
      <c r="O886" s="184" t="n">
        <v>14570</v>
      </c>
      <c r="P886" s="185" t="n">
        <v>8</v>
      </c>
      <c r="Q886" s="184" t="n">
        <v>22600</v>
      </c>
      <c r="R886" s="184" t="n">
        <v>20792</v>
      </c>
      <c r="S886" s="184" t="s">
        <v>2154</v>
      </c>
      <c r="T886" s="187" t="n">
        <v>45937</v>
      </c>
    </row>
    <row r="887" customFormat="false" ht="35.05" hidden="true" customHeight="false" outlineLevel="0" collapsed="false">
      <c r="A887" s="181" t="s">
        <v>2155</v>
      </c>
      <c r="B887" s="182" t="n">
        <v>2176</v>
      </c>
      <c r="C887" s="183" t="n">
        <v>11</v>
      </c>
      <c r="D887" s="181" t="s">
        <v>2005</v>
      </c>
      <c r="E887" s="181" t="s">
        <v>340</v>
      </c>
      <c r="F887" s="181" t="s">
        <v>341</v>
      </c>
      <c r="G887" s="181" t="s">
        <v>2049</v>
      </c>
      <c r="H887" s="181" t="s">
        <v>279</v>
      </c>
      <c r="I887" s="181" t="s">
        <v>240</v>
      </c>
      <c r="J887" s="267"/>
      <c r="K887" s="269" t="n">
        <v>45937</v>
      </c>
      <c r="L887" s="267" t="n">
        <v>1.6</v>
      </c>
      <c r="M887" s="184" t="s">
        <v>2049</v>
      </c>
      <c r="N887" s="184" t="n">
        <v>39720</v>
      </c>
      <c r="O887" s="184" t="n">
        <v>15120</v>
      </c>
      <c r="P887" s="185" t="n">
        <v>16</v>
      </c>
      <c r="Q887" s="184" t="n">
        <v>24600</v>
      </c>
      <c r="R887" s="184" t="n">
        <v>20664</v>
      </c>
      <c r="S887" s="184" t="s">
        <v>2156</v>
      </c>
      <c r="T887" s="187" t="n">
        <v>45937</v>
      </c>
    </row>
    <row r="888" customFormat="false" ht="46.25" hidden="true" customHeight="false" outlineLevel="0" collapsed="false">
      <c r="A888" s="181" t="s">
        <v>2157</v>
      </c>
      <c r="B888" s="182" t="n">
        <v>2177</v>
      </c>
      <c r="C888" s="183" t="n">
        <v>13</v>
      </c>
      <c r="D888" s="181" t="s">
        <v>2005</v>
      </c>
      <c r="E888" s="181" t="s">
        <v>282</v>
      </c>
      <c r="F888" s="181" t="s">
        <v>283</v>
      </c>
      <c r="G888" s="181" t="s">
        <v>2049</v>
      </c>
      <c r="H888" s="181" t="s">
        <v>279</v>
      </c>
      <c r="I888" s="181" t="s">
        <v>240</v>
      </c>
      <c r="J888" s="267"/>
      <c r="K888" s="269" t="n">
        <v>45937</v>
      </c>
      <c r="L888" s="267" t="n">
        <v>1.6</v>
      </c>
      <c r="M888" s="184" t="s">
        <v>2049</v>
      </c>
      <c r="N888" s="184" t="n">
        <v>39490</v>
      </c>
      <c r="O888" s="184" t="n">
        <v>15120</v>
      </c>
      <c r="P888" s="185" t="n">
        <v>15</v>
      </c>
      <c r="Q888" s="184" t="n">
        <v>24370</v>
      </c>
      <c r="R888" s="184" t="n">
        <v>20714.5</v>
      </c>
      <c r="S888" s="184" t="s">
        <v>2158</v>
      </c>
      <c r="T888" s="187" t="n">
        <v>45937</v>
      </c>
    </row>
    <row r="889" customFormat="false" ht="35.05" hidden="true" customHeight="false" outlineLevel="0" collapsed="false">
      <c r="A889" s="181" t="s">
        <v>2165</v>
      </c>
      <c r="B889" s="182" t="n">
        <v>2179</v>
      </c>
      <c r="C889" s="183" t="n">
        <v>14</v>
      </c>
      <c r="D889" s="181" t="s">
        <v>2005</v>
      </c>
      <c r="E889" s="181" t="s">
        <v>409</v>
      </c>
      <c r="F889" s="181" t="s">
        <v>410</v>
      </c>
      <c r="G889" s="181" t="s">
        <v>2049</v>
      </c>
      <c r="H889" s="181" t="s">
        <v>279</v>
      </c>
      <c r="I889" s="181" t="s">
        <v>240</v>
      </c>
      <c r="J889" s="267"/>
      <c r="K889" s="269" t="n">
        <v>45937</v>
      </c>
      <c r="L889" s="267" t="n">
        <v>2.6</v>
      </c>
      <c r="M889" s="184" t="s">
        <v>2049</v>
      </c>
      <c r="N889" s="184" t="n">
        <v>64150</v>
      </c>
      <c r="O889" s="184" t="n">
        <v>24560</v>
      </c>
      <c r="P889" s="185" t="n">
        <v>17</v>
      </c>
      <c r="Q889" s="184" t="n">
        <v>39590</v>
      </c>
      <c r="R889" s="184" t="n">
        <v>32859.7</v>
      </c>
      <c r="S889" s="184" t="s">
        <v>2166</v>
      </c>
      <c r="T889" s="187" t="n">
        <v>45937</v>
      </c>
    </row>
    <row r="890" customFormat="false" ht="35.05" hidden="true" customHeight="false" outlineLevel="0" collapsed="false">
      <c r="A890" s="181" t="s">
        <v>2167</v>
      </c>
      <c r="B890" s="182" t="n">
        <v>2180</v>
      </c>
      <c r="C890" s="183" t="n">
        <v>15</v>
      </c>
      <c r="D890" s="181" t="s">
        <v>2005</v>
      </c>
      <c r="E890" s="181" t="s">
        <v>300</v>
      </c>
      <c r="F890" s="181" t="s">
        <v>301</v>
      </c>
      <c r="G890" s="181" t="s">
        <v>2049</v>
      </c>
      <c r="H890" s="181" t="s">
        <v>279</v>
      </c>
      <c r="I890" s="181" t="s">
        <v>240</v>
      </c>
      <c r="J890" s="267"/>
      <c r="K890" s="269" t="n">
        <v>45937</v>
      </c>
      <c r="L890" s="267" t="n">
        <v>2.7</v>
      </c>
      <c r="M890" s="184" t="s">
        <v>2049</v>
      </c>
      <c r="N890" s="184" t="n">
        <v>62530</v>
      </c>
      <c r="O890" s="184" t="n">
        <v>21380</v>
      </c>
      <c r="P890" s="185" t="n">
        <v>20</v>
      </c>
      <c r="Q890" s="184" t="n">
        <v>41150</v>
      </c>
      <c r="R890" s="184" t="n">
        <v>32920</v>
      </c>
      <c r="S890" s="184" t="s">
        <v>2168</v>
      </c>
      <c r="T890" s="187" t="n">
        <v>45937</v>
      </c>
    </row>
    <row r="891" customFormat="false" ht="35.05" hidden="true" customHeight="false" outlineLevel="0" collapsed="false">
      <c r="A891" s="181" t="s">
        <v>2169</v>
      </c>
      <c r="B891" s="182" t="n">
        <v>2181</v>
      </c>
      <c r="C891" s="183" t="n">
        <v>16</v>
      </c>
      <c r="D891" s="181" t="s">
        <v>2005</v>
      </c>
      <c r="E891" s="181" t="s">
        <v>901</v>
      </c>
      <c r="F891" s="181" t="s">
        <v>902</v>
      </c>
      <c r="G891" s="181" t="s">
        <v>2049</v>
      </c>
      <c r="H891" s="181" t="s">
        <v>279</v>
      </c>
      <c r="I891" s="181" t="s">
        <v>240</v>
      </c>
      <c r="J891" s="267"/>
      <c r="K891" s="269" t="n">
        <v>45937</v>
      </c>
      <c r="L891" s="267" t="n">
        <v>1.4</v>
      </c>
      <c r="M891" s="184" t="s">
        <v>2049</v>
      </c>
      <c r="N891" s="184" t="n">
        <v>36870</v>
      </c>
      <c r="O891" s="184" t="n">
        <v>14780</v>
      </c>
      <c r="P891" s="185" t="n">
        <v>19</v>
      </c>
      <c r="Q891" s="184" t="n">
        <v>22090</v>
      </c>
      <c r="R891" s="184" t="n">
        <v>17892.9</v>
      </c>
      <c r="S891" s="184" t="s">
        <v>2170</v>
      </c>
      <c r="T891" s="187" t="n">
        <v>45938</v>
      </c>
    </row>
    <row r="892" customFormat="false" ht="35.05" hidden="true" customHeight="false" outlineLevel="0" collapsed="false">
      <c r="A892" s="181" t="s">
        <v>2171</v>
      </c>
      <c r="B892" s="182" t="n">
        <v>2182</v>
      </c>
      <c r="C892" s="183" t="n">
        <v>17</v>
      </c>
      <c r="D892" s="181" t="s">
        <v>2005</v>
      </c>
      <c r="E892" s="181" t="s">
        <v>377</v>
      </c>
      <c r="F892" s="181" t="s">
        <v>378</v>
      </c>
      <c r="G892" s="181" t="s">
        <v>2049</v>
      </c>
      <c r="H892" s="181" t="s">
        <v>279</v>
      </c>
      <c r="I892" s="181" t="s">
        <v>240</v>
      </c>
      <c r="J892" s="267"/>
      <c r="K892" s="269" t="n">
        <v>45937</v>
      </c>
      <c r="L892" s="267" t="n">
        <v>1.7</v>
      </c>
      <c r="M892" s="184" t="s">
        <v>2049</v>
      </c>
      <c r="N892" s="184" t="n">
        <v>41690</v>
      </c>
      <c r="O892" s="184" t="n">
        <v>15810</v>
      </c>
      <c r="P892" s="185" t="n">
        <v>9</v>
      </c>
      <c r="Q892" s="184" t="n">
        <v>25880</v>
      </c>
      <c r="R892" s="184" t="n">
        <v>23550.8</v>
      </c>
      <c r="S892" s="184" t="s">
        <v>2172</v>
      </c>
      <c r="T892" s="187" t="n">
        <v>45938</v>
      </c>
    </row>
    <row r="893" customFormat="false" ht="35.05" hidden="true" customHeight="false" outlineLevel="0" collapsed="false">
      <c r="A893" s="181" t="s">
        <v>2173</v>
      </c>
      <c r="B893" s="182" t="n">
        <v>2184</v>
      </c>
      <c r="C893" s="183" t="n">
        <v>18</v>
      </c>
      <c r="D893" s="181" t="s">
        <v>2005</v>
      </c>
      <c r="E893" s="181" t="s">
        <v>277</v>
      </c>
      <c r="F893" s="181" t="s">
        <v>278</v>
      </c>
      <c r="G893" s="181" t="s">
        <v>2049</v>
      </c>
      <c r="H893" s="181" t="s">
        <v>279</v>
      </c>
      <c r="I893" s="181" t="s">
        <v>240</v>
      </c>
      <c r="J893" s="267"/>
      <c r="K893" s="269" t="n">
        <v>45937</v>
      </c>
      <c r="L893" s="267" t="n">
        <v>1.7</v>
      </c>
      <c r="M893" s="184" t="s">
        <v>2049</v>
      </c>
      <c r="N893" s="184" t="n">
        <v>41670</v>
      </c>
      <c r="O893" s="184" t="n">
        <v>15240</v>
      </c>
      <c r="P893" s="185" t="n">
        <v>22</v>
      </c>
      <c r="Q893" s="184" t="n">
        <v>26430</v>
      </c>
      <c r="R893" s="184" t="n">
        <v>20615.4</v>
      </c>
      <c r="S893" s="184" t="s">
        <v>2174</v>
      </c>
      <c r="T893" s="187" t="n">
        <v>45938</v>
      </c>
    </row>
    <row r="894" customFormat="false" ht="35.05" hidden="true" customHeight="false" outlineLevel="0" collapsed="false">
      <c r="A894" s="181" t="s">
        <v>2175</v>
      </c>
      <c r="B894" s="182" t="n">
        <v>2185</v>
      </c>
      <c r="C894" s="183" t="n">
        <v>19</v>
      </c>
      <c r="D894" s="181" t="s">
        <v>2005</v>
      </c>
      <c r="E894" s="181" t="s">
        <v>332</v>
      </c>
      <c r="F894" s="181" t="s">
        <v>333</v>
      </c>
      <c r="G894" s="181" t="s">
        <v>2049</v>
      </c>
      <c r="H894" s="181" t="s">
        <v>279</v>
      </c>
      <c r="I894" s="181" t="s">
        <v>240</v>
      </c>
      <c r="J894" s="267"/>
      <c r="K894" s="269" t="n">
        <v>45937</v>
      </c>
      <c r="L894" s="267" t="n">
        <v>1.6</v>
      </c>
      <c r="M894" s="184" t="s">
        <v>2049</v>
      </c>
      <c r="N894" s="184" t="n">
        <v>39650</v>
      </c>
      <c r="O894" s="184" t="n">
        <v>14830</v>
      </c>
      <c r="P894" s="185" t="n">
        <v>16</v>
      </c>
      <c r="Q894" s="184" t="n">
        <v>24820</v>
      </c>
      <c r="R894" s="184" t="n">
        <v>20848.8</v>
      </c>
      <c r="S894" s="184" t="s">
        <v>2176</v>
      </c>
      <c r="T894" s="187" t="n">
        <v>45938</v>
      </c>
    </row>
    <row r="895" customFormat="false" ht="56.25" hidden="true" customHeight="true" outlineLevel="0" collapsed="false">
      <c r="A895" s="181" t="s">
        <v>2177</v>
      </c>
      <c r="B895" s="182" t="n">
        <v>2186</v>
      </c>
      <c r="C895" s="183" t="n">
        <v>21</v>
      </c>
      <c r="D895" s="181" t="s">
        <v>2005</v>
      </c>
      <c r="E895" s="181" t="s">
        <v>391</v>
      </c>
      <c r="F895" s="181" t="s">
        <v>392</v>
      </c>
      <c r="G895" s="181" t="s">
        <v>2049</v>
      </c>
      <c r="H895" s="181" t="s">
        <v>279</v>
      </c>
      <c r="I895" s="181" t="s">
        <v>240</v>
      </c>
      <c r="J895" s="267"/>
      <c r="K895" s="269" t="n">
        <v>45937</v>
      </c>
      <c r="L895" s="267" t="n">
        <v>1.3</v>
      </c>
      <c r="M895" s="184" t="s">
        <v>2049</v>
      </c>
      <c r="N895" s="184" t="n">
        <v>34960</v>
      </c>
      <c r="O895" s="184" t="n">
        <v>14490</v>
      </c>
      <c r="P895" s="185" t="n">
        <v>24</v>
      </c>
      <c r="Q895" s="184" t="n">
        <v>20470</v>
      </c>
      <c r="R895" s="184" t="n">
        <v>15557.2</v>
      </c>
      <c r="S895" s="184" t="s">
        <v>2178</v>
      </c>
      <c r="T895" s="187" t="n">
        <v>45938</v>
      </c>
    </row>
    <row r="896" customFormat="false" ht="56.25" hidden="true" customHeight="true" outlineLevel="0" collapsed="false">
      <c r="A896" s="181" t="s">
        <v>2179</v>
      </c>
      <c r="B896" s="182" t="n">
        <v>2188</v>
      </c>
      <c r="C896" s="183" t="n">
        <v>20</v>
      </c>
      <c r="D896" s="181" t="s">
        <v>2005</v>
      </c>
      <c r="E896" s="181" t="s">
        <v>288</v>
      </c>
      <c r="F896" s="181" t="s">
        <v>289</v>
      </c>
      <c r="G896" s="181" t="s">
        <v>2049</v>
      </c>
      <c r="H896" s="181" t="s">
        <v>279</v>
      </c>
      <c r="I896" s="181" t="s">
        <v>240</v>
      </c>
      <c r="J896" s="267"/>
      <c r="K896" s="269" t="n">
        <v>45937</v>
      </c>
      <c r="L896" s="267" t="n">
        <v>1.2</v>
      </c>
      <c r="M896" s="184" t="s">
        <v>2049</v>
      </c>
      <c r="N896" s="184" t="n">
        <v>36690</v>
      </c>
      <c r="O896" s="184" t="n">
        <v>14680</v>
      </c>
      <c r="P896" s="185" t="n">
        <v>12</v>
      </c>
      <c r="Q896" s="184" t="n">
        <v>22010</v>
      </c>
      <c r="R896" s="184" t="n">
        <v>19368.8</v>
      </c>
      <c r="S896" s="184" t="s">
        <v>2180</v>
      </c>
      <c r="T896" s="187" t="n">
        <v>45938</v>
      </c>
    </row>
    <row r="897" customFormat="false" ht="56.25" hidden="true" customHeight="true" outlineLevel="0" collapsed="false">
      <c r="A897" s="181" t="s">
        <v>2181</v>
      </c>
      <c r="B897" s="182" t="n">
        <v>2187</v>
      </c>
      <c r="C897" s="183" t="n">
        <v>22</v>
      </c>
      <c r="D897" s="181" t="s">
        <v>2005</v>
      </c>
      <c r="E897" s="181" t="s">
        <v>529</v>
      </c>
      <c r="F897" s="181" t="s">
        <v>530</v>
      </c>
      <c r="G897" s="181" t="s">
        <v>2070</v>
      </c>
      <c r="H897" s="181" t="s">
        <v>158</v>
      </c>
      <c r="I897" s="181" t="s">
        <v>240</v>
      </c>
      <c r="J897" s="267"/>
      <c r="K897" s="269" t="n">
        <v>45937</v>
      </c>
      <c r="L897" s="267" t="n">
        <v>3.4</v>
      </c>
      <c r="M897" s="184" t="s">
        <v>2070</v>
      </c>
      <c r="N897" s="184" t="n">
        <v>37310</v>
      </c>
      <c r="O897" s="184" t="n">
        <v>14970</v>
      </c>
      <c r="P897" s="185" t="n">
        <v>13</v>
      </c>
      <c r="Q897" s="184" t="n">
        <v>22340</v>
      </c>
      <c r="R897" s="184" t="n">
        <v>19435.8</v>
      </c>
      <c r="S897" s="184" t="s">
        <v>2182</v>
      </c>
      <c r="T897" s="187" t="n">
        <v>45938</v>
      </c>
    </row>
    <row r="898" customFormat="false" ht="35.05" hidden="true" customHeight="false" outlineLevel="0" collapsed="false">
      <c r="A898" s="181" t="s">
        <v>2183</v>
      </c>
      <c r="B898" s="182" t="n">
        <v>2189</v>
      </c>
      <c r="C898" s="183" t="n">
        <v>23</v>
      </c>
      <c r="D898" s="181" t="s">
        <v>2005</v>
      </c>
      <c r="E898" s="181" t="s">
        <v>292</v>
      </c>
      <c r="F898" s="181" t="s">
        <v>293</v>
      </c>
      <c r="G898" s="181" t="s">
        <v>2070</v>
      </c>
      <c r="H898" s="181" t="s">
        <v>158</v>
      </c>
      <c r="I898" s="181" t="s">
        <v>240</v>
      </c>
      <c r="J898" s="267"/>
      <c r="K898" s="269" t="n">
        <v>45937</v>
      </c>
      <c r="L898" s="267" t="n">
        <v>3.5</v>
      </c>
      <c r="M898" s="184" t="s">
        <v>2070</v>
      </c>
      <c r="N898" s="184" t="n">
        <v>36970</v>
      </c>
      <c r="O898" s="184" t="n">
        <v>13930</v>
      </c>
      <c r="P898" s="185" t="n">
        <v>18</v>
      </c>
      <c r="Q898" s="184" t="n">
        <v>23040</v>
      </c>
      <c r="R898" s="184" t="n">
        <v>18892.8</v>
      </c>
      <c r="S898" s="184" t="s">
        <v>2184</v>
      </c>
      <c r="T898" s="187" t="n">
        <v>45938</v>
      </c>
    </row>
    <row r="899" customFormat="false" ht="35.05" hidden="true" customHeight="false" outlineLevel="0" collapsed="false">
      <c r="A899" s="181" t="s">
        <v>2185</v>
      </c>
      <c r="B899" s="182" t="n">
        <v>2191</v>
      </c>
      <c r="C899" s="183" t="n">
        <v>24</v>
      </c>
      <c r="D899" s="181" t="s">
        <v>2005</v>
      </c>
      <c r="E899" s="181" t="s">
        <v>266</v>
      </c>
      <c r="F899" s="181" t="s">
        <v>267</v>
      </c>
      <c r="G899" s="181" t="s">
        <v>2070</v>
      </c>
      <c r="H899" s="181" t="s">
        <v>158</v>
      </c>
      <c r="I899" s="181" t="s">
        <v>240</v>
      </c>
      <c r="J899" s="267"/>
      <c r="K899" s="269" t="n">
        <v>45937</v>
      </c>
      <c r="L899" s="267" t="n">
        <v>3.7</v>
      </c>
      <c r="M899" s="184" t="s">
        <v>2070</v>
      </c>
      <c r="N899" s="184" t="n">
        <v>39190</v>
      </c>
      <c r="O899" s="184" t="n">
        <v>15110</v>
      </c>
      <c r="P899" s="185" t="n">
        <v>9</v>
      </c>
      <c r="Q899" s="184" t="n">
        <v>24080</v>
      </c>
      <c r="R899" s="184" t="n">
        <v>21912.8</v>
      </c>
      <c r="S899" s="184" t="s">
        <v>2186</v>
      </c>
      <c r="T899" s="187" t="n">
        <v>45938</v>
      </c>
    </row>
    <row r="900" customFormat="false" ht="35.05" hidden="true" customHeight="false" outlineLevel="0" collapsed="false">
      <c r="A900" s="181" t="s">
        <v>2187</v>
      </c>
      <c r="B900" s="182" t="n">
        <v>2192</v>
      </c>
      <c r="C900" s="183" t="n">
        <v>25</v>
      </c>
      <c r="D900" s="181" t="s">
        <v>2005</v>
      </c>
      <c r="E900" s="181" t="s">
        <v>582</v>
      </c>
      <c r="F900" s="181" t="s">
        <v>583</v>
      </c>
      <c r="G900" s="181" t="s">
        <v>2070</v>
      </c>
      <c r="H900" s="181" t="s">
        <v>158</v>
      </c>
      <c r="I900" s="181" t="s">
        <v>240</v>
      </c>
      <c r="J900" s="267"/>
      <c r="K900" s="269" t="n">
        <v>45937</v>
      </c>
      <c r="L900" s="267" t="n">
        <v>4.1</v>
      </c>
      <c r="M900" s="184" t="s">
        <v>2070</v>
      </c>
      <c r="N900" s="184" t="n">
        <v>42070</v>
      </c>
      <c r="O900" s="184" t="n">
        <v>14900</v>
      </c>
      <c r="P900" s="185" t="n">
        <v>9</v>
      </c>
      <c r="Q900" s="184" t="n">
        <v>27170</v>
      </c>
      <c r="R900" s="184" t="n">
        <v>24724.7</v>
      </c>
      <c r="S900" s="184" t="s">
        <v>2188</v>
      </c>
      <c r="T900" s="187" t="n">
        <v>45938</v>
      </c>
    </row>
    <row r="901" customFormat="false" ht="35.05" hidden="true" customHeight="false" outlineLevel="0" collapsed="false">
      <c r="A901" s="181" t="s">
        <v>2189</v>
      </c>
      <c r="B901" s="182" t="n">
        <v>2198</v>
      </c>
      <c r="C901" s="183" t="n">
        <v>27</v>
      </c>
      <c r="D901" s="181" t="s">
        <v>2005</v>
      </c>
      <c r="E901" s="181" t="s">
        <v>346</v>
      </c>
      <c r="F901" s="181" t="s">
        <v>347</v>
      </c>
      <c r="G901" s="181" t="s">
        <v>2070</v>
      </c>
      <c r="H901" s="181" t="s">
        <v>158</v>
      </c>
      <c r="I901" s="181" t="s">
        <v>240</v>
      </c>
      <c r="J901" s="267"/>
      <c r="K901" s="269" t="n">
        <v>45938</v>
      </c>
      <c r="L901" s="267" t="n">
        <v>4.2</v>
      </c>
      <c r="M901" s="184" t="s">
        <v>2070</v>
      </c>
      <c r="N901" s="184" t="n">
        <v>42650</v>
      </c>
      <c r="O901" s="184" t="n">
        <v>15250</v>
      </c>
      <c r="P901" s="185" t="n">
        <v>10</v>
      </c>
      <c r="Q901" s="184" t="n">
        <v>27400</v>
      </c>
      <c r="R901" s="184" t="n">
        <v>24660</v>
      </c>
      <c r="S901" s="184" t="s">
        <v>2190</v>
      </c>
      <c r="T901" s="187" t="n">
        <v>45938</v>
      </c>
    </row>
    <row r="902" customFormat="false" ht="35.05" hidden="true" customHeight="false" outlineLevel="0" collapsed="false">
      <c r="A902" s="181" t="s">
        <v>2193</v>
      </c>
      <c r="B902" s="182" t="n">
        <v>2200</v>
      </c>
      <c r="C902" s="183" t="n">
        <v>26</v>
      </c>
      <c r="D902" s="181" t="s">
        <v>2005</v>
      </c>
      <c r="E902" s="181" t="s">
        <v>272</v>
      </c>
      <c r="F902" s="181" t="s">
        <v>273</v>
      </c>
      <c r="G902" s="181" t="s">
        <v>2070</v>
      </c>
      <c r="H902" s="181" t="s">
        <v>158</v>
      </c>
      <c r="I902" s="181" t="s">
        <v>240</v>
      </c>
      <c r="J902" s="267"/>
      <c r="K902" s="269" t="n">
        <v>45938</v>
      </c>
      <c r="L902" s="267" t="n">
        <v>3.7</v>
      </c>
      <c r="M902" s="184" t="s">
        <v>2070</v>
      </c>
      <c r="N902" s="184" t="n">
        <v>40100</v>
      </c>
      <c r="O902" s="184" t="n">
        <v>15720</v>
      </c>
      <c r="P902" s="185" t="n">
        <v>9</v>
      </c>
      <c r="Q902" s="184" t="n">
        <v>24380</v>
      </c>
      <c r="R902" s="184" t="n">
        <v>22185.8</v>
      </c>
      <c r="S902" s="184" t="s">
        <v>2194</v>
      </c>
      <c r="T902" s="187" t="n">
        <v>45938</v>
      </c>
    </row>
    <row r="903" customFormat="false" ht="35.05" hidden="true" customHeight="false" outlineLevel="0" collapsed="false">
      <c r="A903" s="181" t="s">
        <v>2199</v>
      </c>
      <c r="B903" s="182" t="n">
        <v>2201</v>
      </c>
      <c r="C903" s="183" t="n">
        <v>28</v>
      </c>
      <c r="D903" s="181" t="s">
        <v>2005</v>
      </c>
      <c r="E903" s="181" t="s">
        <v>413</v>
      </c>
      <c r="F903" s="181" t="s">
        <v>414</v>
      </c>
      <c r="G903" s="181" t="s">
        <v>2070</v>
      </c>
      <c r="H903" s="181" t="s">
        <v>158</v>
      </c>
      <c r="I903" s="181" t="s">
        <v>240</v>
      </c>
      <c r="J903" s="267" t="n">
        <f aca="false">Таблица24[[#This Row],[Вес нетто]]</f>
        <v>29910</v>
      </c>
      <c r="K903" s="269" t="n">
        <v>45938</v>
      </c>
      <c r="L903" s="267" t="n">
        <v>0.7</v>
      </c>
      <c r="M903" s="184" t="s">
        <v>3395</v>
      </c>
      <c r="N903" s="184" t="n">
        <v>45650</v>
      </c>
      <c r="O903" s="184" t="n">
        <v>15740</v>
      </c>
      <c r="P903" s="185" t="n">
        <v>9</v>
      </c>
      <c r="Q903" s="184" t="n">
        <v>29910</v>
      </c>
      <c r="R903" s="184" t="n">
        <v>27218.1</v>
      </c>
      <c r="S903" s="184" t="s">
        <v>2200</v>
      </c>
      <c r="T903" s="187" t="n">
        <v>45938</v>
      </c>
    </row>
    <row r="904" customFormat="false" ht="46.25" hidden="true" customHeight="false" outlineLevel="0" collapsed="false">
      <c r="A904" s="181" t="s">
        <v>2205</v>
      </c>
      <c r="B904" s="182" t="n">
        <v>2205</v>
      </c>
      <c r="C904" s="183" t="n">
        <v>29</v>
      </c>
      <c r="D904" s="181" t="s">
        <v>2005</v>
      </c>
      <c r="E904" s="181" t="s">
        <v>383</v>
      </c>
      <c r="F904" s="181" t="s">
        <v>384</v>
      </c>
      <c r="G904" s="181" t="s">
        <v>2070</v>
      </c>
      <c r="H904" s="181" t="s">
        <v>158</v>
      </c>
      <c r="I904" s="181" t="s">
        <v>240</v>
      </c>
      <c r="J904" s="267" t="n">
        <f aca="false">Таблица24[[#This Row],[Вес нетто]]</f>
        <v>27180</v>
      </c>
      <c r="K904" s="269" t="n">
        <v>45938</v>
      </c>
      <c r="L904" s="267" t="n">
        <v>0.7</v>
      </c>
      <c r="M904" s="184" t="s">
        <v>3395</v>
      </c>
      <c r="N904" s="184" t="n">
        <v>42240</v>
      </c>
      <c r="O904" s="184" t="n">
        <v>15060</v>
      </c>
      <c r="P904" s="185" t="n">
        <v>6</v>
      </c>
      <c r="Q904" s="184" t="n">
        <v>27180</v>
      </c>
      <c r="R904" s="184" t="n">
        <v>25549.2</v>
      </c>
      <c r="S904" s="184" t="s">
        <v>2206</v>
      </c>
      <c r="T904" s="187" t="n">
        <v>45938</v>
      </c>
    </row>
    <row r="905" customFormat="false" ht="35.05" hidden="true" customHeight="false" outlineLevel="0" collapsed="false">
      <c r="A905" s="181" t="s">
        <v>2209</v>
      </c>
      <c r="B905" s="182" t="n">
        <v>2206</v>
      </c>
      <c r="C905" s="183" t="n">
        <v>1</v>
      </c>
      <c r="D905" s="181" t="s">
        <v>2005</v>
      </c>
      <c r="E905" s="181" t="s">
        <v>387</v>
      </c>
      <c r="F905" s="181" t="s">
        <v>388</v>
      </c>
      <c r="G905" s="181" t="s">
        <v>2070</v>
      </c>
      <c r="H905" s="181" t="s">
        <v>158</v>
      </c>
      <c r="I905" s="181" t="s">
        <v>240</v>
      </c>
      <c r="J905" s="267" t="n">
        <f aca="false">Таблица24[[#This Row],[Вес нетто]]</f>
        <v>28850</v>
      </c>
      <c r="K905" s="269" t="n">
        <v>45938</v>
      </c>
      <c r="L905" s="267" t="n">
        <v>0.7</v>
      </c>
      <c r="M905" s="184" t="s">
        <v>3395</v>
      </c>
      <c r="N905" s="184" t="n">
        <v>44060</v>
      </c>
      <c r="O905" s="184" t="n">
        <v>15210</v>
      </c>
      <c r="P905" s="185" t="n">
        <v>9</v>
      </c>
      <c r="Q905" s="184" t="n">
        <v>28850</v>
      </c>
      <c r="R905" s="184" t="n">
        <v>26253.5</v>
      </c>
      <c r="S905" s="184" t="s">
        <v>2210</v>
      </c>
      <c r="T905" s="187" t="n">
        <v>45938</v>
      </c>
    </row>
    <row r="906" customFormat="false" ht="35.05" hidden="true" customHeight="false" outlineLevel="0" collapsed="false">
      <c r="A906" s="181" t="s">
        <v>2214</v>
      </c>
      <c r="B906" s="182" t="n">
        <v>2207</v>
      </c>
      <c r="C906" s="183" t="n">
        <v>2</v>
      </c>
      <c r="D906" s="181" t="s">
        <v>2005</v>
      </c>
      <c r="E906" s="181" t="s">
        <v>350</v>
      </c>
      <c r="F906" s="181" t="s">
        <v>351</v>
      </c>
      <c r="G906" s="181" t="s">
        <v>2070</v>
      </c>
      <c r="H906" s="181" t="s">
        <v>158</v>
      </c>
      <c r="I906" s="181" t="s">
        <v>240</v>
      </c>
      <c r="J906" s="267" t="n">
        <f aca="false">Таблица24[[#This Row],[Вес нетто]]</f>
        <v>28930</v>
      </c>
      <c r="K906" s="269" t="n">
        <v>45938</v>
      </c>
      <c r="L906" s="267" t="n">
        <v>0.7</v>
      </c>
      <c r="M906" s="184" t="s">
        <v>3395</v>
      </c>
      <c r="N906" s="184" t="n">
        <v>43910</v>
      </c>
      <c r="O906" s="184" t="n">
        <v>14980</v>
      </c>
      <c r="P906" s="185" t="n">
        <v>7</v>
      </c>
      <c r="Q906" s="184" t="n">
        <v>28930</v>
      </c>
      <c r="R906" s="184" t="n">
        <v>26904.9</v>
      </c>
      <c r="S906" s="184" t="s">
        <v>2215</v>
      </c>
      <c r="T906" s="187" t="n">
        <v>45938</v>
      </c>
    </row>
    <row r="907" customFormat="false" ht="35.05" hidden="true" customHeight="false" outlineLevel="0" collapsed="false">
      <c r="A907" s="181" t="s">
        <v>2191</v>
      </c>
      <c r="B907" s="182" t="n">
        <v>2209</v>
      </c>
      <c r="C907" s="183" t="n">
        <v>4</v>
      </c>
      <c r="D907" s="181" t="s">
        <v>2005</v>
      </c>
      <c r="E907" s="181" t="s">
        <v>399</v>
      </c>
      <c r="F907" s="181" t="s">
        <v>400</v>
      </c>
      <c r="G907" s="181" t="s">
        <v>2070</v>
      </c>
      <c r="H907" s="181" t="s">
        <v>158</v>
      </c>
      <c r="I907" s="181" t="s">
        <v>240</v>
      </c>
      <c r="J907" s="267"/>
      <c r="K907" s="269" t="n">
        <v>45938</v>
      </c>
      <c r="L907" s="267" t="n">
        <v>3.6</v>
      </c>
      <c r="M907" s="184" t="s">
        <v>2070</v>
      </c>
      <c r="N907" s="184" t="n">
        <v>43020</v>
      </c>
      <c r="O907" s="184" t="n">
        <v>19460</v>
      </c>
      <c r="P907" s="185" t="n">
        <v>8</v>
      </c>
      <c r="Q907" s="184" t="n">
        <v>23560</v>
      </c>
      <c r="R907" s="184" t="n">
        <v>21675.2</v>
      </c>
      <c r="S907" s="184" t="s">
        <v>2192</v>
      </c>
      <c r="T907" s="187" t="n">
        <v>45938</v>
      </c>
    </row>
    <row r="908" customFormat="false" ht="35.05" hidden="true" customHeight="false" outlineLevel="0" collapsed="false">
      <c r="A908" s="181" t="s">
        <v>2195</v>
      </c>
      <c r="B908" s="182" t="n">
        <v>2210</v>
      </c>
      <c r="C908" s="183" t="n">
        <v>3</v>
      </c>
      <c r="D908" s="181" t="s">
        <v>2005</v>
      </c>
      <c r="E908" s="181" t="s">
        <v>373</v>
      </c>
      <c r="F908" s="181" t="s">
        <v>374</v>
      </c>
      <c r="G908" s="181" t="s">
        <v>2070</v>
      </c>
      <c r="H908" s="181" t="s">
        <v>158</v>
      </c>
      <c r="I908" s="181" t="s">
        <v>240</v>
      </c>
      <c r="J908" s="267"/>
      <c r="K908" s="269" t="n">
        <v>45938</v>
      </c>
      <c r="L908" s="267" t="n">
        <v>4.1</v>
      </c>
      <c r="M908" s="184" t="s">
        <v>2070</v>
      </c>
      <c r="N908" s="184" t="n">
        <v>41080</v>
      </c>
      <c r="O908" s="184" t="n">
        <v>14320</v>
      </c>
      <c r="P908" s="185" t="n">
        <v>11</v>
      </c>
      <c r="Q908" s="184" t="n">
        <v>26760</v>
      </c>
      <c r="R908" s="184" t="n">
        <v>23816.4</v>
      </c>
      <c r="S908" s="184" t="s">
        <v>2196</v>
      </c>
      <c r="T908" s="187" t="n">
        <v>45938</v>
      </c>
    </row>
    <row r="909" customFormat="false" ht="35.05" hidden="true" customHeight="false" outlineLevel="0" collapsed="false">
      <c r="A909" s="181" t="s">
        <v>2197</v>
      </c>
      <c r="B909" s="182" t="n">
        <v>2212</v>
      </c>
      <c r="C909" s="183" t="n">
        <v>5</v>
      </c>
      <c r="D909" s="181" t="s">
        <v>2005</v>
      </c>
      <c r="E909" s="181" t="s">
        <v>308</v>
      </c>
      <c r="F909" s="181" t="s">
        <v>309</v>
      </c>
      <c r="G909" s="181" t="s">
        <v>2070</v>
      </c>
      <c r="H909" s="181" t="s">
        <v>158</v>
      </c>
      <c r="I909" s="181" t="s">
        <v>240</v>
      </c>
      <c r="J909" s="267"/>
      <c r="K909" s="269" t="n">
        <v>45938</v>
      </c>
      <c r="L909" s="267" t="n">
        <v>3.9</v>
      </c>
      <c r="M909" s="184" t="s">
        <v>2070</v>
      </c>
      <c r="N909" s="184" t="n">
        <v>49570</v>
      </c>
      <c r="O909" s="184" t="n">
        <v>24060</v>
      </c>
      <c r="P909" s="185" t="n">
        <v>11</v>
      </c>
      <c r="Q909" s="184" t="n">
        <v>25510</v>
      </c>
      <c r="R909" s="184" t="n">
        <v>22703.9</v>
      </c>
      <c r="S909" s="184" t="s">
        <v>2198</v>
      </c>
      <c r="T909" s="187" t="n">
        <v>45938</v>
      </c>
    </row>
    <row r="910" customFormat="false" ht="35.05" hidden="true" customHeight="false" outlineLevel="0" collapsed="false">
      <c r="A910" s="181" t="s">
        <v>2201</v>
      </c>
      <c r="B910" s="182" t="n">
        <v>2213</v>
      </c>
      <c r="C910" s="183" t="n">
        <v>6</v>
      </c>
      <c r="D910" s="181" t="s">
        <v>2005</v>
      </c>
      <c r="E910" s="181" t="s">
        <v>354</v>
      </c>
      <c r="F910" s="181" t="s">
        <v>355</v>
      </c>
      <c r="G910" s="181" t="s">
        <v>2070</v>
      </c>
      <c r="H910" s="181" t="s">
        <v>158</v>
      </c>
      <c r="I910" s="181" t="s">
        <v>240</v>
      </c>
      <c r="J910" s="267" t="n">
        <f aca="false">Таблица24[[#This Row],[Вес нетто]]</f>
        <v>25680</v>
      </c>
      <c r="K910" s="269" t="n">
        <v>45938</v>
      </c>
      <c r="L910" s="267" t="n">
        <v>0.6</v>
      </c>
      <c r="M910" s="184" t="s">
        <v>3395</v>
      </c>
      <c r="N910" s="184" t="n">
        <v>40390</v>
      </c>
      <c r="O910" s="184" t="n">
        <v>14710</v>
      </c>
      <c r="P910" s="185" t="n">
        <v>8</v>
      </c>
      <c r="Q910" s="184" t="n">
        <v>25680</v>
      </c>
      <c r="R910" s="184" t="n">
        <v>23625.6</v>
      </c>
      <c r="S910" s="184" t="s">
        <v>2202</v>
      </c>
      <c r="T910" s="187" t="n">
        <v>45938</v>
      </c>
    </row>
    <row r="911" customFormat="false" ht="35.05" hidden="true" customHeight="false" outlineLevel="0" collapsed="false">
      <c r="A911" s="181" t="s">
        <v>2203</v>
      </c>
      <c r="B911" s="182" t="n">
        <v>2214</v>
      </c>
      <c r="C911" s="183" t="n">
        <v>7</v>
      </c>
      <c r="D911" s="181" t="s">
        <v>2005</v>
      </c>
      <c r="E911" s="181" t="s">
        <v>359</v>
      </c>
      <c r="F911" s="181" t="s">
        <v>360</v>
      </c>
      <c r="G911" s="181" t="s">
        <v>2070</v>
      </c>
      <c r="H911" s="181" t="s">
        <v>158</v>
      </c>
      <c r="I911" s="181" t="s">
        <v>240</v>
      </c>
      <c r="J911" s="267" t="n">
        <f aca="false">Таблица24[[#This Row],[Вес нетто]]</f>
        <v>22560</v>
      </c>
      <c r="K911" s="269" t="n">
        <v>45938</v>
      </c>
      <c r="L911" s="267" t="n">
        <v>0.6</v>
      </c>
      <c r="M911" s="184" t="s">
        <v>3395</v>
      </c>
      <c r="N911" s="184" t="n">
        <v>37450</v>
      </c>
      <c r="O911" s="184" t="n">
        <v>14890</v>
      </c>
      <c r="P911" s="185" t="n">
        <v>13</v>
      </c>
      <c r="Q911" s="184" t="n">
        <v>22560</v>
      </c>
      <c r="R911" s="184" t="n">
        <v>19627.2</v>
      </c>
      <c r="S911" s="184" t="s">
        <v>2204</v>
      </c>
      <c r="T911" s="187" t="n">
        <v>45938</v>
      </c>
    </row>
    <row r="912" customFormat="false" ht="35.05" hidden="true" customHeight="false" outlineLevel="0" collapsed="false">
      <c r="A912" s="181" t="s">
        <v>2207</v>
      </c>
      <c r="B912" s="182" t="n">
        <v>2215</v>
      </c>
      <c r="C912" s="183" t="n">
        <v>8</v>
      </c>
      <c r="D912" s="181" t="s">
        <v>2005</v>
      </c>
      <c r="E912" s="181" t="s">
        <v>409</v>
      </c>
      <c r="F912" s="181" t="s">
        <v>410</v>
      </c>
      <c r="G912" s="181" t="s">
        <v>2070</v>
      </c>
      <c r="H912" s="181" t="s">
        <v>158</v>
      </c>
      <c r="I912" s="181" t="s">
        <v>240</v>
      </c>
      <c r="J912" s="267" t="n">
        <f aca="false">Таблица24[[#This Row],[Вес нетто]]</f>
        <v>30390</v>
      </c>
      <c r="K912" s="269" t="n">
        <v>45938</v>
      </c>
      <c r="L912" s="267" t="n">
        <v>0.7</v>
      </c>
      <c r="M912" s="184" t="s">
        <v>3395</v>
      </c>
      <c r="N912" s="184" t="n">
        <v>54820</v>
      </c>
      <c r="O912" s="184" t="n">
        <v>24430</v>
      </c>
      <c r="P912" s="185" t="n">
        <v>9</v>
      </c>
      <c r="Q912" s="184" t="n">
        <v>30390</v>
      </c>
      <c r="R912" s="184" t="n">
        <v>27654.9</v>
      </c>
      <c r="S912" s="184" t="s">
        <v>2208</v>
      </c>
      <c r="T912" s="187" t="n">
        <v>45938</v>
      </c>
    </row>
    <row r="913" customFormat="false" ht="35.05" hidden="true" customHeight="false" outlineLevel="0" collapsed="false">
      <c r="A913" s="181" t="s">
        <v>2211</v>
      </c>
      <c r="B913" s="182" t="n">
        <v>2216</v>
      </c>
      <c r="C913" s="183" t="s">
        <v>2212</v>
      </c>
      <c r="D913" s="181" t="s">
        <v>2005</v>
      </c>
      <c r="E913" s="181" t="s">
        <v>336</v>
      </c>
      <c r="F913" s="181" t="s">
        <v>337</v>
      </c>
      <c r="G913" s="181" t="s">
        <v>2070</v>
      </c>
      <c r="H913" s="181" t="s">
        <v>158</v>
      </c>
      <c r="I913" s="181" t="s">
        <v>240</v>
      </c>
      <c r="J913" s="267" t="n">
        <f aca="false">Таблица24[[#This Row],[Вес нетто]]</f>
        <v>21610</v>
      </c>
      <c r="K913" s="269" t="n">
        <v>45938</v>
      </c>
      <c r="L913" s="267" t="n">
        <v>0.5</v>
      </c>
      <c r="M913" s="184" t="s">
        <v>3395</v>
      </c>
      <c r="N913" s="184" t="n">
        <v>36240</v>
      </c>
      <c r="O913" s="184" t="n">
        <v>14630</v>
      </c>
      <c r="P913" s="185" t="n">
        <v>10</v>
      </c>
      <c r="Q913" s="184" t="n">
        <v>21610</v>
      </c>
      <c r="R913" s="184" t="n">
        <v>19449</v>
      </c>
      <c r="S913" s="184" t="s">
        <v>2213</v>
      </c>
      <c r="T913" s="187" t="n">
        <v>45938</v>
      </c>
    </row>
    <row r="914" customFormat="false" ht="35.05" hidden="true" customHeight="false" outlineLevel="0" collapsed="false">
      <c r="A914" s="181" t="s">
        <v>2216</v>
      </c>
      <c r="B914" s="182" t="n">
        <v>2217</v>
      </c>
      <c r="C914" s="183" t="n">
        <v>11</v>
      </c>
      <c r="D914" s="181" t="s">
        <v>2005</v>
      </c>
      <c r="E914" s="181" t="s">
        <v>377</v>
      </c>
      <c r="F914" s="181" t="s">
        <v>378</v>
      </c>
      <c r="G914" s="181" t="s">
        <v>2070</v>
      </c>
      <c r="H914" s="181" t="s">
        <v>158</v>
      </c>
      <c r="I914" s="181" t="s">
        <v>240</v>
      </c>
      <c r="J914" s="267" t="n">
        <f aca="false">Таблица24[[#This Row],[Вес нетто]]</f>
        <v>20720</v>
      </c>
      <c r="K914" s="269" t="n">
        <v>45938</v>
      </c>
      <c r="L914" s="267" t="n">
        <v>0.5</v>
      </c>
      <c r="M914" s="184" t="s">
        <v>3395</v>
      </c>
      <c r="N914" s="184" t="n">
        <v>36620</v>
      </c>
      <c r="O914" s="184" t="n">
        <v>15900</v>
      </c>
      <c r="P914" s="185" t="n">
        <v>16</v>
      </c>
      <c r="Q914" s="184" t="n">
        <v>20720</v>
      </c>
      <c r="R914" s="184" t="n">
        <v>17404.8</v>
      </c>
      <c r="S914" s="184" t="s">
        <v>2217</v>
      </c>
      <c r="T914" s="187" t="n">
        <v>45938</v>
      </c>
    </row>
    <row r="915" customFormat="false" ht="35.05" hidden="true" customHeight="false" outlineLevel="0" collapsed="false">
      <c r="A915" s="181" t="s">
        <v>2218</v>
      </c>
      <c r="B915" s="182" t="n">
        <v>2218</v>
      </c>
      <c r="C915" s="183" t="n">
        <v>10</v>
      </c>
      <c r="D915" s="181" t="s">
        <v>2005</v>
      </c>
      <c r="E915" s="181" t="s">
        <v>340</v>
      </c>
      <c r="F915" s="181" t="s">
        <v>341</v>
      </c>
      <c r="G915" s="181" t="s">
        <v>2070</v>
      </c>
      <c r="H915" s="181" t="s">
        <v>158</v>
      </c>
      <c r="I915" s="181" t="s">
        <v>240</v>
      </c>
      <c r="J915" s="267" t="n">
        <f aca="false">Таблица24[[#This Row],[Вес нетто]]</f>
        <v>21540</v>
      </c>
      <c r="K915" s="269" t="n">
        <v>45938</v>
      </c>
      <c r="L915" s="267" t="n">
        <v>0.5</v>
      </c>
      <c r="M915" s="184" t="s">
        <v>3395</v>
      </c>
      <c r="N915" s="184" t="n">
        <v>36600</v>
      </c>
      <c r="O915" s="184" t="n">
        <v>15060</v>
      </c>
      <c r="P915" s="185" t="n">
        <v>8</v>
      </c>
      <c r="Q915" s="184" t="n">
        <v>21540</v>
      </c>
      <c r="R915" s="184" t="n">
        <v>19816.8</v>
      </c>
      <c r="S915" s="184" t="s">
        <v>2219</v>
      </c>
      <c r="T915" s="187" t="n">
        <v>45938</v>
      </c>
    </row>
    <row r="916" customFormat="false" ht="35.05" hidden="true" customHeight="false" outlineLevel="0" collapsed="false">
      <c r="A916" s="181" t="s">
        <v>2220</v>
      </c>
      <c r="B916" s="182" t="n">
        <v>2220</v>
      </c>
      <c r="C916" s="183" t="n">
        <v>12</v>
      </c>
      <c r="D916" s="181" t="s">
        <v>2005</v>
      </c>
      <c r="E916" s="181" t="s">
        <v>901</v>
      </c>
      <c r="F916" s="181" t="s">
        <v>902</v>
      </c>
      <c r="G916" s="181" t="s">
        <v>2070</v>
      </c>
      <c r="H916" s="181" t="s">
        <v>158</v>
      </c>
      <c r="I916" s="181" t="s">
        <v>240</v>
      </c>
      <c r="J916" s="267" t="n">
        <f aca="false">Таблица24[[#This Row],[Вес нетто]]</f>
        <v>19230</v>
      </c>
      <c r="K916" s="269" t="n">
        <v>45938</v>
      </c>
      <c r="L916" s="267" t="n">
        <v>0.5</v>
      </c>
      <c r="M916" s="184" t="s">
        <v>3395</v>
      </c>
      <c r="N916" s="184" t="n">
        <v>33910</v>
      </c>
      <c r="O916" s="184" t="n">
        <v>14680</v>
      </c>
      <c r="P916" s="185" t="n">
        <v>5</v>
      </c>
      <c r="Q916" s="184" t="n">
        <v>19230</v>
      </c>
      <c r="R916" s="184" t="n">
        <v>18268.5</v>
      </c>
      <c r="S916" s="184" t="s">
        <v>2221</v>
      </c>
      <c r="T916" s="187" t="n">
        <v>45938</v>
      </c>
    </row>
    <row r="917" customFormat="false" ht="35.05" hidden="true" customHeight="false" outlineLevel="0" collapsed="false">
      <c r="A917" s="181" t="s">
        <v>2222</v>
      </c>
      <c r="B917" s="182" t="n">
        <v>2221</v>
      </c>
      <c r="C917" s="183" t="n">
        <v>19</v>
      </c>
      <c r="D917" s="181" t="s">
        <v>2005</v>
      </c>
      <c r="E917" s="181" t="s">
        <v>332</v>
      </c>
      <c r="F917" s="181" t="s">
        <v>333</v>
      </c>
      <c r="G917" s="181" t="s">
        <v>2070</v>
      </c>
      <c r="H917" s="181" t="s">
        <v>158</v>
      </c>
      <c r="I917" s="181" t="s">
        <v>240</v>
      </c>
      <c r="J917" s="267" t="n">
        <f aca="false">Таблица24[[#This Row],[Вес нетто]]</f>
        <v>16210</v>
      </c>
      <c r="K917" s="269" t="n">
        <v>45938</v>
      </c>
      <c r="L917" s="267" t="n">
        <v>0.4</v>
      </c>
      <c r="M917" s="184" t="s">
        <v>3395</v>
      </c>
      <c r="N917" s="184" t="n">
        <v>30970</v>
      </c>
      <c r="O917" s="184" t="n">
        <v>14760</v>
      </c>
      <c r="P917" s="185" t="n">
        <v>12</v>
      </c>
      <c r="Q917" s="184" t="n">
        <v>16210</v>
      </c>
      <c r="R917" s="184" t="n">
        <v>14264.8</v>
      </c>
      <c r="S917" s="184" t="s">
        <v>2223</v>
      </c>
      <c r="T917" s="187" t="n">
        <v>45938</v>
      </c>
    </row>
    <row r="918" customFormat="false" ht="35.05" hidden="true" customHeight="false" outlineLevel="0" collapsed="false">
      <c r="A918" s="181" t="s">
        <v>2224</v>
      </c>
      <c r="B918" s="182" t="n">
        <v>2222</v>
      </c>
      <c r="C918" s="183" t="n">
        <v>18</v>
      </c>
      <c r="D918" s="181" t="s">
        <v>2005</v>
      </c>
      <c r="E918" s="181" t="s">
        <v>277</v>
      </c>
      <c r="F918" s="181" t="s">
        <v>278</v>
      </c>
      <c r="G918" s="181" t="s">
        <v>2070</v>
      </c>
      <c r="H918" s="181" t="s">
        <v>158</v>
      </c>
      <c r="I918" s="181" t="s">
        <v>240</v>
      </c>
      <c r="J918" s="267" t="n">
        <f aca="false">Таблица24[[#This Row],[Вес нетто]]</f>
        <v>19900</v>
      </c>
      <c r="K918" s="269" t="n">
        <v>45938</v>
      </c>
      <c r="L918" s="267" t="n">
        <v>0.5</v>
      </c>
      <c r="M918" s="184" t="s">
        <v>3395</v>
      </c>
      <c r="N918" s="184" t="n">
        <v>35060</v>
      </c>
      <c r="O918" s="184" t="n">
        <v>15160</v>
      </c>
      <c r="P918" s="185" t="n">
        <v>17</v>
      </c>
      <c r="Q918" s="184" t="n">
        <v>19900</v>
      </c>
      <c r="R918" s="184" t="n">
        <v>16517</v>
      </c>
      <c r="S918" s="184" t="s">
        <v>2225</v>
      </c>
      <c r="T918" s="187" t="n">
        <v>45938</v>
      </c>
    </row>
    <row r="919" customFormat="false" ht="35.05" hidden="true" customHeight="false" outlineLevel="0" collapsed="false">
      <c r="A919" s="181" t="s">
        <v>2226</v>
      </c>
      <c r="B919" s="182" t="n">
        <v>2224</v>
      </c>
      <c r="C919" s="183" t="n">
        <v>7951</v>
      </c>
      <c r="D919" s="181" t="s">
        <v>2066</v>
      </c>
      <c r="E919" s="181" t="s">
        <v>545</v>
      </c>
      <c r="F919" s="181" t="s">
        <v>546</v>
      </c>
      <c r="G919" s="181" t="s">
        <v>2067</v>
      </c>
      <c r="H919" s="181" t="s">
        <v>279</v>
      </c>
      <c r="I919" s="181" t="s">
        <v>241</v>
      </c>
      <c r="J919" s="267"/>
      <c r="K919" s="269" t="n">
        <v>45938</v>
      </c>
      <c r="L919" s="267" t="n">
        <v>1.6</v>
      </c>
      <c r="M919" s="184" t="s">
        <v>2067</v>
      </c>
      <c r="N919" s="184" t="n">
        <v>43310</v>
      </c>
      <c r="O919" s="184" t="n">
        <v>16150</v>
      </c>
      <c r="P919" s="185" t="n">
        <v>5</v>
      </c>
      <c r="Q919" s="184" t="n">
        <v>27160</v>
      </c>
      <c r="R919" s="184" t="n">
        <v>25802</v>
      </c>
      <c r="S919" s="184" t="s">
        <v>2227</v>
      </c>
      <c r="T919" s="187" t="n">
        <v>45939</v>
      </c>
    </row>
    <row r="920" customFormat="false" ht="35.05" hidden="true" customHeight="false" outlineLevel="0" collapsed="false">
      <c r="A920" s="181" t="s">
        <v>2228</v>
      </c>
      <c r="B920" s="182" t="n">
        <v>2225</v>
      </c>
      <c r="C920" s="183" t="n">
        <v>7952</v>
      </c>
      <c r="D920" s="181" t="s">
        <v>2066</v>
      </c>
      <c r="E920" s="181" t="s">
        <v>549</v>
      </c>
      <c r="F920" s="181" t="s">
        <v>550</v>
      </c>
      <c r="G920" s="181" t="s">
        <v>2067</v>
      </c>
      <c r="H920" s="181" t="s">
        <v>279</v>
      </c>
      <c r="I920" s="181" t="s">
        <v>241</v>
      </c>
      <c r="J920" s="267"/>
      <c r="K920" s="269" t="n">
        <v>45938</v>
      </c>
      <c r="L920" s="267" t="n">
        <v>1.6</v>
      </c>
      <c r="M920" s="184" t="s">
        <v>2067</v>
      </c>
      <c r="N920" s="184" t="n">
        <v>43110</v>
      </c>
      <c r="O920" s="184" t="n">
        <v>15940</v>
      </c>
      <c r="P920" s="185" t="n">
        <v>5</v>
      </c>
      <c r="Q920" s="184" t="n">
        <v>27170</v>
      </c>
      <c r="R920" s="184" t="n">
        <v>25811.5</v>
      </c>
      <c r="S920" s="184" t="s">
        <v>2229</v>
      </c>
      <c r="T920" s="187" t="n">
        <v>45939</v>
      </c>
    </row>
    <row r="921" customFormat="false" ht="35.05" hidden="true" customHeight="false" outlineLevel="0" collapsed="false">
      <c r="A921" s="181" t="s">
        <v>2230</v>
      </c>
      <c r="B921" s="182" t="n">
        <v>2227</v>
      </c>
      <c r="C921" s="183" t="n">
        <v>7853</v>
      </c>
      <c r="D921" s="181" t="s">
        <v>2066</v>
      </c>
      <c r="E921" s="181" t="s">
        <v>537</v>
      </c>
      <c r="F921" s="181" t="s">
        <v>538</v>
      </c>
      <c r="G921" s="181" t="s">
        <v>2067</v>
      </c>
      <c r="H921" s="181" t="s">
        <v>279</v>
      </c>
      <c r="I921" s="181" t="s">
        <v>241</v>
      </c>
      <c r="J921" s="267"/>
      <c r="K921" s="269" t="n">
        <v>45938</v>
      </c>
      <c r="L921" s="267" t="n">
        <v>1.3</v>
      </c>
      <c r="M921" s="184" t="s">
        <v>2067</v>
      </c>
      <c r="N921" s="184" t="n">
        <v>36340</v>
      </c>
      <c r="O921" s="184" t="n">
        <v>14030</v>
      </c>
      <c r="P921" s="185" t="n">
        <v>10</v>
      </c>
      <c r="Q921" s="184" t="n">
        <v>22310</v>
      </c>
      <c r="R921" s="184" t="n">
        <v>20079</v>
      </c>
      <c r="S921" s="184" t="s">
        <v>2231</v>
      </c>
      <c r="T921" s="187" t="n">
        <v>45939</v>
      </c>
    </row>
    <row r="922" customFormat="false" ht="35.05" hidden="true" customHeight="false" outlineLevel="0" collapsed="false">
      <c r="A922" s="181" t="s">
        <v>2232</v>
      </c>
      <c r="B922" s="182" t="n">
        <v>2231</v>
      </c>
      <c r="C922" s="183" t="n">
        <v>7955</v>
      </c>
      <c r="D922" s="181" t="s">
        <v>2066</v>
      </c>
      <c r="E922" s="181" t="s">
        <v>533</v>
      </c>
      <c r="F922" s="181" t="s">
        <v>534</v>
      </c>
      <c r="G922" s="181" t="s">
        <v>2067</v>
      </c>
      <c r="H922" s="181" t="s">
        <v>279</v>
      </c>
      <c r="I922" s="181" t="s">
        <v>241</v>
      </c>
      <c r="J922" s="267"/>
      <c r="K922" s="269" t="n">
        <v>45938</v>
      </c>
      <c r="L922" s="267" t="n">
        <v>1.5</v>
      </c>
      <c r="M922" s="184" t="s">
        <v>2067</v>
      </c>
      <c r="N922" s="184" t="n">
        <v>39920</v>
      </c>
      <c r="O922" s="184" t="n">
        <v>14700</v>
      </c>
      <c r="P922" s="185" t="n">
        <v>10</v>
      </c>
      <c r="Q922" s="184" t="n">
        <v>25220</v>
      </c>
      <c r="R922" s="184" t="n">
        <v>22698</v>
      </c>
      <c r="S922" s="184" t="s">
        <v>2233</v>
      </c>
      <c r="T922" s="187" t="n">
        <v>45939</v>
      </c>
    </row>
    <row r="923" customFormat="false" ht="35.05" hidden="true" customHeight="false" outlineLevel="0" collapsed="false">
      <c r="A923" s="181" t="s">
        <v>2234</v>
      </c>
      <c r="B923" s="182" t="n">
        <v>2232</v>
      </c>
      <c r="C923" s="183" t="n">
        <v>7954</v>
      </c>
      <c r="D923" s="181" t="s">
        <v>2066</v>
      </c>
      <c r="E923" s="181" t="s">
        <v>541</v>
      </c>
      <c r="F923" s="181" t="s">
        <v>542</v>
      </c>
      <c r="G923" s="181" t="s">
        <v>2067</v>
      </c>
      <c r="H923" s="181" t="s">
        <v>279</v>
      </c>
      <c r="I923" s="181" t="s">
        <v>241</v>
      </c>
      <c r="J923" s="267"/>
      <c r="K923" s="269" t="n">
        <v>45938</v>
      </c>
      <c r="L923" s="267" t="n">
        <v>1.5</v>
      </c>
      <c r="M923" s="184" t="s">
        <v>2067</v>
      </c>
      <c r="N923" s="184" t="n">
        <v>41100</v>
      </c>
      <c r="O923" s="184" t="n">
        <v>15060</v>
      </c>
      <c r="P923" s="185" t="n">
        <v>5</v>
      </c>
      <c r="Q923" s="184" t="n">
        <v>26040</v>
      </c>
      <c r="R923" s="184" t="n">
        <v>24738</v>
      </c>
      <c r="S923" s="184" t="s">
        <v>2235</v>
      </c>
      <c r="T923" s="187" t="n">
        <v>45939</v>
      </c>
    </row>
    <row r="924" customFormat="false" ht="35.05" hidden="true" customHeight="false" outlineLevel="0" collapsed="false">
      <c r="A924" s="181" t="s">
        <v>2236</v>
      </c>
      <c r="B924" s="182" t="n">
        <v>2234</v>
      </c>
      <c r="C924" s="183" t="n">
        <v>7958</v>
      </c>
      <c r="D924" s="181" t="s">
        <v>2066</v>
      </c>
      <c r="E924" s="181" t="s">
        <v>1019</v>
      </c>
      <c r="F924" s="181" t="s">
        <v>1020</v>
      </c>
      <c r="G924" s="181" t="s">
        <v>2067</v>
      </c>
      <c r="H924" s="181" t="s">
        <v>279</v>
      </c>
      <c r="I924" s="181" t="s">
        <v>241</v>
      </c>
      <c r="J924" s="267"/>
      <c r="K924" s="269" t="n">
        <v>45938</v>
      </c>
      <c r="L924" s="267" t="n">
        <v>1.5</v>
      </c>
      <c r="M924" s="184" t="s">
        <v>2067</v>
      </c>
      <c r="N924" s="184" t="n">
        <v>42410</v>
      </c>
      <c r="O924" s="184" t="n">
        <v>17130</v>
      </c>
      <c r="P924" s="185" t="n">
        <v>10</v>
      </c>
      <c r="Q924" s="184" t="n">
        <v>25280</v>
      </c>
      <c r="R924" s="184" t="n">
        <v>22752</v>
      </c>
      <c r="S924" s="184" t="s">
        <v>2237</v>
      </c>
      <c r="T924" s="187" t="n">
        <v>45939</v>
      </c>
    </row>
    <row r="925" customFormat="false" ht="35.05" hidden="true" customHeight="false" outlineLevel="0" collapsed="false">
      <c r="A925" s="181" t="s">
        <v>2238</v>
      </c>
      <c r="B925" s="182" t="n">
        <v>2236</v>
      </c>
      <c r="C925" s="183" t="n">
        <v>7959</v>
      </c>
      <c r="D925" s="181" t="s">
        <v>2066</v>
      </c>
      <c r="E925" s="181" t="s">
        <v>1027</v>
      </c>
      <c r="F925" s="181" t="s">
        <v>1028</v>
      </c>
      <c r="G925" s="181" t="s">
        <v>2067</v>
      </c>
      <c r="H925" s="181" t="s">
        <v>279</v>
      </c>
      <c r="I925" s="181" t="s">
        <v>241</v>
      </c>
      <c r="J925" s="267"/>
      <c r="K925" s="269" t="n">
        <v>45938</v>
      </c>
      <c r="L925" s="267" t="n">
        <v>1.5</v>
      </c>
      <c r="M925" s="184" t="s">
        <v>2067</v>
      </c>
      <c r="N925" s="184" t="n">
        <v>39830</v>
      </c>
      <c r="O925" s="184" t="n">
        <v>14980</v>
      </c>
      <c r="P925" s="185" t="n">
        <v>9</v>
      </c>
      <c r="Q925" s="184" t="n">
        <v>24850</v>
      </c>
      <c r="R925" s="184" t="n">
        <v>22613.5</v>
      </c>
      <c r="S925" s="184" t="s">
        <v>2239</v>
      </c>
      <c r="T925" s="187" t="n">
        <v>45939</v>
      </c>
    </row>
    <row r="926" customFormat="false" ht="35.05" hidden="true" customHeight="false" outlineLevel="0" collapsed="false">
      <c r="A926" s="181" t="s">
        <v>2240</v>
      </c>
      <c r="B926" s="182" t="n">
        <v>2237</v>
      </c>
      <c r="C926" s="183" t="n">
        <v>7960</v>
      </c>
      <c r="D926" s="181" t="s">
        <v>2066</v>
      </c>
      <c r="E926" s="181" t="s">
        <v>1023</v>
      </c>
      <c r="F926" s="181" t="s">
        <v>1024</v>
      </c>
      <c r="G926" s="181" t="s">
        <v>2067</v>
      </c>
      <c r="H926" s="181" t="s">
        <v>279</v>
      </c>
      <c r="I926" s="181" t="s">
        <v>241</v>
      </c>
      <c r="J926" s="267"/>
      <c r="K926" s="269" t="n">
        <v>45939</v>
      </c>
      <c r="L926" s="267" t="n">
        <v>1.4</v>
      </c>
      <c r="M926" s="184" t="s">
        <v>2067</v>
      </c>
      <c r="N926" s="184" t="n">
        <v>37100</v>
      </c>
      <c r="O926" s="184" t="n">
        <v>14760</v>
      </c>
      <c r="P926" s="185" t="n">
        <v>5</v>
      </c>
      <c r="Q926" s="184" t="n">
        <v>22340</v>
      </c>
      <c r="R926" s="184" t="n">
        <v>21223</v>
      </c>
      <c r="S926" s="184" t="s">
        <v>2241</v>
      </c>
      <c r="T926" s="187" t="n">
        <v>45939</v>
      </c>
    </row>
    <row r="927" customFormat="false" ht="35.05" hidden="true" customHeight="false" outlineLevel="0" collapsed="false">
      <c r="A927" s="181" t="s">
        <v>2242</v>
      </c>
      <c r="B927" s="182" t="n">
        <v>2238</v>
      </c>
      <c r="C927" s="183" t="n">
        <v>7961</v>
      </c>
      <c r="D927" s="181" t="s">
        <v>2066</v>
      </c>
      <c r="E927" s="181" t="s">
        <v>439</v>
      </c>
      <c r="F927" s="181" t="s">
        <v>440</v>
      </c>
      <c r="G927" s="181" t="s">
        <v>2067</v>
      </c>
      <c r="H927" s="181" t="s">
        <v>279</v>
      </c>
      <c r="I927" s="181" t="s">
        <v>241</v>
      </c>
      <c r="J927" s="267"/>
      <c r="K927" s="269" t="n">
        <v>45939</v>
      </c>
      <c r="L927" s="267" t="n">
        <v>1.5</v>
      </c>
      <c r="M927" s="184" t="s">
        <v>2067</v>
      </c>
      <c r="N927" s="184" t="n">
        <v>40670</v>
      </c>
      <c r="O927" s="184" t="n">
        <v>16330</v>
      </c>
      <c r="P927" s="185" t="n">
        <v>11</v>
      </c>
      <c r="Q927" s="184" t="n">
        <v>24340</v>
      </c>
      <c r="R927" s="184" t="n">
        <v>21662.6</v>
      </c>
      <c r="S927" s="184" t="s">
        <v>2243</v>
      </c>
      <c r="T927" s="187" t="n">
        <v>45939</v>
      </c>
    </row>
    <row r="928" customFormat="false" ht="35.05" hidden="true" customHeight="false" outlineLevel="0" collapsed="false">
      <c r="A928" s="181" t="s">
        <v>2244</v>
      </c>
      <c r="B928" s="182" t="n">
        <v>2240</v>
      </c>
      <c r="C928" s="183" t="n">
        <v>7962</v>
      </c>
      <c r="D928" s="181" t="s">
        <v>2066</v>
      </c>
      <c r="E928" s="181" t="s">
        <v>431</v>
      </c>
      <c r="F928" s="181" t="s">
        <v>432</v>
      </c>
      <c r="G928" s="181" t="s">
        <v>2067</v>
      </c>
      <c r="H928" s="181" t="s">
        <v>279</v>
      </c>
      <c r="I928" s="181" t="s">
        <v>241</v>
      </c>
      <c r="J928" s="267"/>
      <c r="K928" s="269" t="n">
        <v>45939</v>
      </c>
      <c r="L928" s="267" t="n">
        <v>1.4</v>
      </c>
      <c r="M928" s="184" t="s">
        <v>2067</v>
      </c>
      <c r="N928" s="184" t="n">
        <v>39060</v>
      </c>
      <c r="O928" s="184" t="n">
        <v>16560</v>
      </c>
      <c r="P928" s="185" t="n">
        <v>13</v>
      </c>
      <c r="Q928" s="184" t="n">
        <v>22500</v>
      </c>
      <c r="R928" s="184" t="n">
        <v>19575</v>
      </c>
      <c r="S928" s="184" t="s">
        <v>2245</v>
      </c>
      <c r="T928" s="187" t="n">
        <v>45939</v>
      </c>
    </row>
    <row r="929" customFormat="false" ht="46.25" hidden="true" customHeight="false" outlineLevel="0" collapsed="false">
      <c r="A929" s="181" t="s">
        <v>2246</v>
      </c>
      <c r="B929" s="182" t="n">
        <v>2241</v>
      </c>
      <c r="C929" s="183" t="n">
        <v>7963</v>
      </c>
      <c r="D929" s="181" t="s">
        <v>2066</v>
      </c>
      <c r="E929" s="181" t="s">
        <v>435</v>
      </c>
      <c r="F929" s="181" t="s">
        <v>436</v>
      </c>
      <c r="G929" s="181" t="s">
        <v>2067</v>
      </c>
      <c r="H929" s="181" t="s">
        <v>279</v>
      </c>
      <c r="I929" s="181" t="s">
        <v>241</v>
      </c>
      <c r="J929" s="267"/>
      <c r="K929" s="269" t="n">
        <v>45939</v>
      </c>
      <c r="L929" s="267" t="n">
        <v>1.4</v>
      </c>
      <c r="M929" s="184" t="s">
        <v>2067</v>
      </c>
      <c r="N929" s="184" t="n">
        <v>39900</v>
      </c>
      <c r="O929" s="184" t="n">
        <v>16470</v>
      </c>
      <c r="P929" s="185" t="n">
        <v>12</v>
      </c>
      <c r="Q929" s="184" t="n">
        <v>23430</v>
      </c>
      <c r="R929" s="184" t="n">
        <v>20618.4</v>
      </c>
      <c r="S929" s="184" t="s">
        <v>2247</v>
      </c>
      <c r="T929" s="187" t="n">
        <v>45939</v>
      </c>
    </row>
    <row r="930" customFormat="false" ht="35.05" hidden="true" customHeight="false" outlineLevel="0" collapsed="false">
      <c r="A930" s="181" t="s">
        <v>2248</v>
      </c>
      <c r="B930" s="182" t="n">
        <v>2243</v>
      </c>
      <c r="C930" s="183" t="n">
        <v>7974</v>
      </c>
      <c r="D930" s="181" t="s">
        <v>2066</v>
      </c>
      <c r="E930" s="181" t="s">
        <v>300</v>
      </c>
      <c r="F930" s="181" t="s">
        <v>301</v>
      </c>
      <c r="G930" s="181" t="s">
        <v>2067</v>
      </c>
      <c r="H930" s="181" t="s">
        <v>279</v>
      </c>
      <c r="I930" s="181" t="s">
        <v>241</v>
      </c>
      <c r="J930" s="267"/>
      <c r="K930" s="269" t="n">
        <v>45939</v>
      </c>
      <c r="L930" s="267" t="n">
        <v>2.4</v>
      </c>
      <c r="M930" s="184" t="s">
        <v>2067</v>
      </c>
      <c r="N930" s="184" t="n">
        <v>60510</v>
      </c>
      <c r="O930" s="184" t="n">
        <v>21280</v>
      </c>
      <c r="P930" s="185" t="n">
        <v>13</v>
      </c>
      <c r="Q930" s="184" t="n">
        <v>39230</v>
      </c>
      <c r="R930" s="184" t="n">
        <v>34130.1</v>
      </c>
      <c r="S930" s="184" t="s">
        <v>2249</v>
      </c>
      <c r="T930" s="187" t="n">
        <v>45939</v>
      </c>
    </row>
    <row r="931" customFormat="false" ht="35.05" hidden="true" customHeight="false" outlineLevel="0" collapsed="false">
      <c r="A931" s="181" t="s">
        <v>2250</v>
      </c>
      <c r="B931" s="182" t="n">
        <v>2244</v>
      </c>
      <c r="C931" s="183" t="n">
        <v>7975</v>
      </c>
      <c r="D931" s="181" t="s">
        <v>2066</v>
      </c>
      <c r="E931" s="181" t="s">
        <v>350</v>
      </c>
      <c r="F931" s="181" t="s">
        <v>351</v>
      </c>
      <c r="G931" s="181" t="s">
        <v>2067</v>
      </c>
      <c r="H931" s="181" t="s">
        <v>279</v>
      </c>
      <c r="I931" s="181" t="s">
        <v>241</v>
      </c>
      <c r="J931" s="267"/>
      <c r="K931" s="269" t="n">
        <v>45939</v>
      </c>
      <c r="L931" s="267" t="n">
        <v>1.8</v>
      </c>
      <c r="M931" s="184" t="s">
        <v>2067</v>
      </c>
      <c r="N931" s="184" t="n">
        <v>43940</v>
      </c>
      <c r="O931" s="184" t="n">
        <v>14990</v>
      </c>
      <c r="P931" s="185" t="n">
        <v>8</v>
      </c>
      <c r="Q931" s="184" t="n">
        <v>28950</v>
      </c>
      <c r="R931" s="184" t="n">
        <v>26634</v>
      </c>
      <c r="S931" s="184" t="s">
        <v>2251</v>
      </c>
      <c r="T931" s="187" t="n">
        <v>45939</v>
      </c>
    </row>
    <row r="932" customFormat="false" ht="46.25" hidden="true" customHeight="false" outlineLevel="0" collapsed="false">
      <c r="A932" s="181" t="s">
        <v>2252</v>
      </c>
      <c r="B932" s="182" t="n">
        <v>2245</v>
      </c>
      <c r="C932" s="183" t="n">
        <v>7977</v>
      </c>
      <c r="D932" s="181" t="s">
        <v>2066</v>
      </c>
      <c r="E932" s="181" t="s">
        <v>383</v>
      </c>
      <c r="F932" s="181" t="s">
        <v>384</v>
      </c>
      <c r="G932" s="181" t="s">
        <v>2067</v>
      </c>
      <c r="H932" s="181" t="s">
        <v>279</v>
      </c>
      <c r="I932" s="181" t="s">
        <v>241</v>
      </c>
      <c r="J932" s="267"/>
      <c r="K932" s="269" t="n">
        <v>45939</v>
      </c>
      <c r="L932" s="267" t="n">
        <v>1.6</v>
      </c>
      <c r="M932" s="184" t="s">
        <v>2067</v>
      </c>
      <c r="N932" s="184" t="n">
        <v>41370</v>
      </c>
      <c r="O932" s="184" t="n">
        <v>14910</v>
      </c>
      <c r="P932" s="185" t="n">
        <v>9</v>
      </c>
      <c r="Q932" s="184" t="n">
        <v>26460</v>
      </c>
      <c r="R932" s="184" t="n">
        <v>24078.6</v>
      </c>
      <c r="S932" s="184" t="s">
        <v>2253</v>
      </c>
      <c r="T932" s="187" t="n">
        <v>45939</v>
      </c>
    </row>
    <row r="933" customFormat="false" ht="35.05" hidden="true" customHeight="false" outlineLevel="0" collapsed="false">
      <c r="A933" s="181" t="s">
        <v>2254</v>
      </c>
      <c r="B933" s="182" t="n">
        <v>2246</v>
      </c>
      <c r="C933" s="183" t="n">
        <v>7978</v>
      </c>
      <c r="D933" s="181" t="s">
        <v>2066</v>
      </c>
      <c r="E933" s="181" t="s">
        <v>387</v>
      </c>
      <c r="F933" s="181" t="s">
        <v>388</v>
      </c>
      <c r="G933" s="181" t="s">
        <v>2067</v>
      </c>
      <c r="H933" s="181" t="s">
        <v>279</v>
      </c>
      <c r="I933" s="181" t="s">
        <v>241</v>
      </c>
      <c r="J933" s="267"/>
      <c r="K933" s="269" t="n">
        <v>45939</v>
      </c>
      <c r="L933" s="267" t="n">
        <v>1.8</v>
      </c>
      <c r="M933" s="184" t="s">
        <v>2067</v>
      </c>
      <c r="N933" s="184" t="n">
        <v>43900</v>
      </c>
      <c r="O933" s="184" t="n">
        <v>15050</v>
      </c>
      <c r="P933" s="185" t="n">
        <v>14</v>
      </c>
      <c r="Q933" s="184" t="n">
        <v>28850</v>
      </c>
      <c r="R933" s="184" t="n">
        <v>24811</v>
      </c>
      <c r="S933" s="184" t="s">
        <v>2255</v>
      </c>
      <c r="T933" s="187" t="n">
        <v>45939</v>
      </c>
    </row>
    <row r="934" customFormat="false" ht="35.05" hidden="true" customHeight="false" outlineLevel="0" collapsed="false">
      <c r="A934" s="181" t="s">
        <v>2256</v>
      </c>
      <c r="B934" s="182" t="n">
        <v>2247</v>
      </c>
      <c r="C934" s="183" t="n">
        <v>7982</v>
      </c>
      <c r="D934" s="181" t="s">
        <v>2066</v>
      </c>
      <c r="E934" s="181" t="s">
        <v>308</v>
      </c>
      <c r="F934" s="181" t="s">
        <v>309</v>
      </c>
      <c r="G934" s="181" t="s">
        <v>2067</v>
      </c>
      <c r="H934" s="181" t="s">
        <v>279</v>
      </c>
      <c r="I934" s="181" t="s">
        <v>241</v>
      </c>
      <c r="J934" s="267"/>
      <c r="K934" s="269" t="n">
        <v>45939</v>
      </c>
      <c r="L934" s="267" t="n">
        <v>2.5</v>
      </c>
      <c r="M934" s="184" t="s">
        <v>2067</v>
      </c>
      <c r="N934" s="184" t="n">
        <v>64040</v>
      </c>
      <c r="O934" s="184" t="n">
        <v>24020</v>
      </c>
      <c r="P934" s="185" t="n">
        <v>14</v>
      </c>
      <c r="Q934" s="184" t="n">
        <v>40020</v>
      </c>
      <c r="R934" s="184" t="n">
        <v>34417.2</v>
      </c>
      <c r="S934" s="184" t="s">
        <v>2257</v>
      </c>
      <c r="T934" s="187" t="n">
        <v>45939</v>
      </c>
    </row>
    <row r="935" customFormat="false" ht="35.05" hidden="true" customHeight="false" outlineLevel="0" collapsed="false">
      <c r="A935" s="181" t="s">
        <v>2258</v>
      </c>
      <c r="B935" s="182" t="n">
        <v>2248</v>
      </c>
      <c r="C935" s="183" t="n">
        <v>7987</v>
      </c>
      <c r="D935" s="181" t="s">
        <v>2066</v>
      </c>
      <c r="E935" s="181" t="s">
        <v>399</v>
      </c>
      <c r="F935" s="181" t="s">
        <v>400</v>
      </c>
      <c r="G935" s="181" t="s">
        <v>2067</v>
      </c>
      <c r="H935" s="181" t="s">
        <v>279</v>
      </c>
      <c r="I935" s="181" t="s">
        <v>241</v>
      </c>
      <c r="J935" s="267"/>
      <c r="K935" s="269" t="n">
        <v>45939</v>
      </c>
      <c r="L935" s="267" t="n">
        <v>1.9</v>
      </c>
      <c r="M935" s="184" t="s">
        <v>2067</v>
      </c>
      <c r="N935" s="184" t="n">
        <v>50900</v>
      </c>
      <c r="O935" s="184" t="n">
        <v>19430</v>
      </c>
      <c r="P935" s="185" t="n">
        <v>12</v>
      </c>
      <c r="Q935" s="184" t="n">
        <v>31470</v>
      </c>
      <c r="R935" s="184" t="n">
        <v>27693.6</v>
      </c>
      <c r="S935" s="184" t="s">
        <v>2259</v>
      </c>
      <c r="T935" s="187" t="n">
        <v>45939</v>
      </c>
    </row>
    <row r="936" customFormat="false" ht="35.05" hidden="true" customHeight="false" outlineLevel="0" collapsed="false">
      <c r="A936" s="181" t="s">
        <v>2260</v>
      </c>
      <c r="B936" s="182" t="n">
        <v>2249</v>
      </c>
      <c r="C936" s="183" t="n">
        <v>7993</v>
      </c>
      <c r="D936" s="181" t="s">
        <v>2066</v>
      </c>
      <c r="E936" s="181" t="s">
        <v>272</v>
      </c>
      <c r="F936" s="181" t="s">
        <v>273</v>
      </c>
      <c r="G936" s="181" t="s">
        <v>2067</v>
      </c>
      <c r="H936" s="181" t="s">
        <v>279</v>
      </c>
      <c r="I936" s="181" t="s">
        <v>241</v>
      </c>
      <c r="J936" s="267"/>
      <c r="K936" s="269" t="n">
        <v>45939</v>
      </c>
      <c r="L936" s="267" t="n">
        <v>1.5</v>
      </c>
      <c r="M936" s="184" t="s">
        <v>2067</v>
      </c>
      <c r="N936" s="184" t="n">
        <v>40210</v>
      </c>
      <c r="O936" s="184" t="n">
        <v>15610</v>
      </c>
      <c r="P936" s="185" t="n">
        <v>12</v>
      </c>
      <c r="Q936" s="184" t="n">
        <v>24600</v>
      </c>
      <c r="R936" s="184" t="n">
        <v>21648</v>
      </c>
      <c r="S936" s="184" t="s">
        <v>2261</v>
      </c>
      <c r="T936" s="187" t="n">
        <v>45940</v>
      </c>
    </row>
    <row r="937" customFormat="false" ht="35.05" hidden="true" customHeight="false" outlineLevel="0" collapsed="false">
      <c r="A937" s="181" t="s">
        <v>2262</v>
      </c>
      <c r="B937" s="182" t="n">
        <v>2250</v>
      </c>
      <c r="C937" s="183" t="n">
        <v>7994</v>
      </c>
      <c r="D937" s="181" t="s">
        <v>2066</v>
      </c>
      <c r="E937" s="181" t="s">
        <v>582</v>
      </c>
      <c r="F937" s="181" t="s">
        <v>583</v>
      </c>
      <c r="G937" s="181" t="s">
        <v>2067</v>
      </c>
      <c r="H937" s="181" t="s">
        <v>279</v>
      </c>
      <c r="I937" s="181" t="s">
        <v>241</v>
      </c>
      <c r="J937" s="267"/>
      <c r="K937" s="269" t="n">
        <v>45939</v>
      </c>
      <c r="L937" s="267" t="n">
        <v>1.5</v>
      </c>
      <c r="M937" s="184" t="s">
        <v>2067</v>
      </c>
      <c r="N937" s="184" t="n">
        <v>39940</v>
      </c>
      <c r="O937" s="184" t="n">
        <v>14910</v>
      </c>
      <c r="P937" s="185" t="n">
        <v>13</v>
      </c>
      <c r="Q937" s="184" t="n">
        <v>25030</v>
      </c>
      <c r="R937" s="184" t="n">
        <v>21776.1</v>
      </c>
      <c r="S937" s="184" t="s">
        <v>2263</v>
      </c>
      <c r="T937" s="187" t="n">
        <v>45940</v>
      </c>
    </row>
    <row r="938" customFormat="false" ht="35.05" hidden="true" customHeight="false" outlineLevel="0" collapsed="false">
      <c r="A938" s="181" t="s">
        <v>2264</v>
      </c>
      <c r="B938" s="182" t="n">
        <v>2251</v>
      </c>
      <c r="C938" s="183" t="n">
        <v>7995</v>
      </c>
      <c r="D938" s="181" t="s">
        <v>2066</v>
      </c>
      <c r="E938" s="181" t="s">
        <v>266</v>
      </c>
      <c r="F938" s="181" t="s">
        <v>267</v>
      </c>
      <c r="G938" s="181" t="s">
        <v>2067</v>
      </c>
      <c r="H938" s="181" t="s">
        <v>279</v>
      </c>
      <c r="I938" s="181" t="s">
        <v>241</v>
      </c>
      <c r="J938" s="267"/>
      <c r="K938" s="269" t="n">
        <v>45939</v>
      </c>
      <c r="L938" s="267" t="n">
        <v>1.3</v>
      </c>
      <c r="M938" s="184" t="s">
        <v>2067</v>
      </c>
      <c r="N938" s="184" t="n">
        <v>36810</v>
      </c>
      <c r="O938" s="184" t="n">
        <v>14910</v>
      </c>
      <c r="P938" s="185" t="n">
        <v>16</v>
      </c>
      <c r="Q938" s="184" t="n">
        <v>21900</v>
      </c>
      <c r="R938" s="184" t="n">
        <v>18396</v>
      </c>
      <c r="S938" s="184" t="s">
        <v>2265</v>
      </c>
      <c r="T938" s="187" t="n">
        <v>45940</v>
      </c>
    </row>
    <row r="939" customFormat="false" ht="35.05" hidden="true" customHeight="false" outlineLevel="0" collapsed="false">
      <c r="A939" s="181" t="s">
        <v>2266</v>
      </c>
      <c r="B939" s="182" t="n">
        <v>2252</v>
      </c>
      <c r="C939" s="183" t="n">
        <v>7998</v>
      </c>
      <c r="D939" s="181" t="s">
        <v>2066</v>
      </c>
      <c r="E939" s="181" t="s">
        <v>409</v>
      </c>
      <c r="F939" s="181" t="s">
        <v>410</v>
      </c>
      <c r="G939" s="181" t="s">
        <v>2067</v>
      </c>
      <c r="H939" s="181" t="s">
        <v>279</v>
      </c>
      <c r="I939" s="181" t="s">
        <v>241</v>
      </c>
      <c r="J939" s="267"/>
      <c r="K939" s="269" t="n">
        <v>45939</v>
      </c>
      <c r="L939" s="267" t="n">
        <v>2.5</v>
      </c>
      <c r="M939" s="184" t="s">
        <v>2067</v>
      </c>
      <c r="N939" s="184" t="n">
        <v>64690</v>
      </c>
      <c r="O939" s="184" t="n">
        <v>24450</v>
      </c>
      <c r="P939" s="185" t="n">
        <v>7</v>
      </c>
      <c r="Q939" s="184" t="n">
        <v>40240</v>
      </c>
      <c r="R939" s="184" t="n">
        <v>37423.2</v>
      </c>
      <c r="S939" s="184" t="s">
        <v>2267</v>
      </c>
      <c r="T939" s="187" t="n">
        <v>45940</v>
      </c>
    </row>
    <row r="940" customFormat="false" ht="35.05" hidden="true" customHeight="false" outlineLevel="0" collapsed="false">
      <c r="A940" s="181" t="s">
        <v>2268</v>
      </c>
      <c r="B940" s="182" t="n">
        <v>2253</v>
      </c>
      <c r="C940" s="183" t="n">
        <v>7999</v>
      </c>
      <c r="D940" s="181" t="s">
        <v>2066</v>
      </c>
      <c r="E940" s="181" t="s">
        <v>413</v>
      </c>
      <c r="F940" s="181" t="s">
        <v>414</v>
      </c>
      <c r="G940" s="181" t="s">
        <v>2067</v>
      </c>
      <c r="H940" s="181" t="s">
        <v>279</v>
      </c>
      <c r="I940" s="181" t="s">
        <v>241</v>
      </c>
      <c r="J940" s="267"/>
      <c r="K940" s="269" t="n">
        <v>45939</v>
      </c>
      <c r="L940" s="267" t="n">
        <v>1.8</v>
      </c>
      <c r="M940" s="184" t="s">
        <v>2067</v>
      </c>
      <c r="N940" s="184" t="n">
        <v>44900</v>
      </c>
      <c r="O940" s="184" t="n">
        <v>15720</v>
      </c>
      <c r="P940" s="185" t="n">
        <v>16</v>
      </c>
      <c r="Q940" s="184" t="n">
        <v>29180</v>
      </c>
      <c r="R940" s="184" t="n">
        <v>24511.2</v>
      </c>
      <c r="S940" s="184" t="s">
        <v>2269</v>
      </c>
      <c r="T940" s="187" t="n">
        <v>45940</v>
      </c>
    </row>
    <row r="941" customFormat="false" ht="35.05" hidden="true" customHeight="false" outlineLevel="0" collapsed="false">
      <c r="A941" s="181" t="s">
        <v>2271</v>
      </c>
      <c r="B941" s="182" t="n">
        <v>2254</v>
      </c>
      <c r="C941" s="183" t="n">
        <v>8000</v>
      </c>
      <c r="D941" s="181" t="s">
        <v>2066</v>
      </c>
      <c r="E941" s="181" t="s">
        <v>377</v>
      </c>
      <c r="F941" s="181" t="s">
        <v>378</v>
      </c>
      <c r="G941" s="181" t="s">
        <v>2067</v>
      </c>
      <c r="H941" s="181" t="s">
        <v>279</v>
      </c>
      <c r="I941" s="181" t="s">
        <v>241</v>
      </c>
      <c r="J941" s="267"/>
      <c r="K941" s="269" t="n">
        <v>45939</v>
      </c>
      <c r="L941" s="267" t="n">
        <v>1.6</v>
      </c>
      <c r="M941" s="184" t="s">
        <v>2067</v>
      </c>
      <c r="N941" s="184" t="n">
        <v>41590</v>
      </c>
      <c r="O941" s="184" t="n">
        <v>15670</v>
      </c>
      <c r="P941" s="185" t="n">
        <v>14</v>
      </c>
      <c r="Q941" s="184" t="n">
        <v>25920</v>
      </c>
      <c r="R941" s="184" t="n">
        <v>22291.2</v>
      </c>
      <c r="S941" s="184" t="s">
        <v>2272</v>
      </c>
      <c r="T941" s="187" t="n">
        <v>45940</v>
      </c>
    </row>
    <row r="942" customFormat="false" ht="35.05" hidden="true" customHeight="false" outlineLevel="0" collapsed="false">
      <c r="A942" s="181" t="s">
        <v>2273</v>
      </c>
      <c r="B942" s="182" t="n">
        <v>2255</v>
      </c>
      <c r="C942" s="183" t="n">
        <v>8005</v>
      </c>
      <c r="D942" s="181" t="s">
        <v>2066</v>
      </c>
      <c r="E942" s="181" t="s">
        <v>277</v>
      </c>
      <c r="F942" s="181" t="s">
        <v>278</v>
      </c>
      <c r="G942" s="181" t="s">
        <v>2067</v>
      </c>
      <c r="H942" s="181" t="s">
        <v>279</v>
      </c>
      <c r="I942" s="181" t="s">
        <v>241</v>
      </c>
      <c r="J942" s="267"/>
      <c r="K942" s="269" t="n">
        <v>45939</v>
      </c>
      <c r="L942" s="267" t="n">
        <v>1.7</v>
      </c>
      <c r="M942" s="184" t="s">
        <v>2067</v>
      </c>
      <c r="N942" s="184" t="n">
        <v>43180</v>
      </c>
      <c r="O942" s="184" t="n">
        <v>15080</v>
      </c>
      <c r="P942" s="185" t="n">
        <v>8</v>
      </c>
      <c r="Q942" s="184" t="n">
        <v>28100</v>
      </c>
      <c r="R942" s="184" t="n">
        <v>25852</v>
      </c>
      <c r="S942" s="184" t="s">
        <v>2274</v>
      </c>
      <c r="T942" s="187" t="n">
        <v>45940</v>
      </c>
    </row>
    <row r="943" customFormat="false" ht="35.05" hidden="true" customHeight="false" outlineLevel="0" collapsed="false">
      <c r="A943" s="181" t="s">
        <v>2275</v>
      </c>
      <c r="B943" s="182" t="n">
        <v>2256</v>
      </c>
      <c r="C943" s="183" t="n">
        <v>8006</v>
      </c>
      <c r="D943" s="181" t="s">
        <v>2066</v>
      </c>
      <c r="E943" s="181" t="s">
        <v>346</v>
      </c>
      <c r="F943" s="181" t="s">
        <v>347</v>
      </c>
      <c r="G943" s="181" t="s">
        <v>2067</v>
      </c>
      <c r="H943" s="181" t="s">
        <v>279</v>
      </c>
      <c r="I943" s="181" t="s">
        <v>241</v>
      </c>
      <c r="J943" s="267"/>
      <c r="K943" s="269" t="n">
        <v>45939</v>
      </c>
      <c r="L943" s="267" t="n">
        <v>1.6</v>
      </c>
      <c r="M943" s="184" t="s">
        <v>2067</v>
      </c>
      <c r="N943" s="184" t="n">
        <v>40820</v>
      </c>
      <c r="O943" s="184" t="n">
        <v>15050</v>
      </c>
      <c r="P943" s="185" t="n">
        <v>7</v>
      </c>
      <c r="Q943" s="184" t="n">
        <v>25770</v>
      </c>
      <c r="R943" s="184" t="n">
        <v>23966.1</v>
      </c>
      <c r="S943" s="184" t="s">
        <v>2276</v>
      </c>
      <c r="T943" s="187" t="n">
        <v>45940</v>
      </c>
    </row>
    <row r="944" customFormat="false" ht="35.05" hidden="true" customHeight="false" outlineLevel="0" collapsed="false">
      <c r="A944" s="181" t="s">
        <v>2277</v>
      </c>
      <c r="B944" s="182" t="n">
        <v>2257</v>
      </c>
      <c r="C944" s="183" t="n">
        <v>8007</v>
      </c>
      <c r="D944" s="181" t="s">
        <v>2066</v>
      </c>
      <c r="E944" s="181" t="s">
        <v>545</v>
      </c>
      <c r="F944" s="181" t="s">
        <v>546</v>
      </c>
      <c r="G944" s="181" t="s">
        <v>2067</v>
      </c>
      <c r="H944" s="181" t="s">
        <v>279</v>
      </c>
      <c r="I944" s="181" t="s">
        <v>241</v>
      </c>
      <c r="J944" s="267"/>
      <c r="K944" s="269" t="n">
        <v>45939</v>
      </c>
      <c r="L944" s="267" t="n">
        <v>1.7</v>
      </c>
      <c r="M944" s="184" t="s">
        <v>2067</v>
      </c>
      <c r="N944" s="184" t="n">
        <v>43140</v>
      </c>
      <c r="O944" s="184" t="n">
        <v>15940</v>
      </c>
      <c r="P944" s="185" t="n">
        <v>23</v>
      </c>
      <c r="Q944" s="184" t="n">
        <v>27200</v>
      </c>
      <c r="R944" s="184" t="n">
        <v>20944</v>
      </c>
      <c r="S944" s="184" t="s">
        <v>2278</v>
      </c>
      <c r="T944" s="187" t="n">
        <v>45940</v>
      </c>
    </row>
    <row r="945" customFormat="false" ht="35.05" hidden="true" customHeight="false" outlineLevel="0" collapsed="false">
      <c r="A945" s="181" t="s">
        <v>2279</v>
      </c>
      <c r="B945" s="182" t="n">
        <v>2259</v>
      </c>
      <c r="C945" s="183" t="n">
        <v>8010</v>
      </c>
      <c r="D945" s="181" t="s">
        <v>2066</v>
      </c>
      <c r="E945" s="181" t="s">
        <v>549</v>
      </c>
      <c r="F945" s="181" t="s">
        <v>550</v>
      </c>
      <c r="G945" s="181" t="s">
        <v>2067</v>
      </c>
      <c r="H945" s="181" t="s">
        <v>279</v>
      </c>
      <c r="I945" s="181" t="s">
        <v>241</v>
      </c>
      <c r="J945" s="267"/>
      <c r="K945" s="269" t="n">
        <v>45939</v>
      </c>
      <c r="L945" s="267" t="n">
        <v>1.6</v>
      </c>
      <c r="M945" s="184" t="s">
        <v>2067</v>
      </c>
      <c r="N945" s="184" t="n">
        <v>42450</v>
      </c>
      <c r="O945" s="184" t="n">
        <v>15720</v>
      </c>
      <c r="P945" s="185" t="n">
        <v>9</v>
      </c>
      <c r="Q945" s="184" t="n">
        <v>26730</v>
      </c>
      <c r="R945" s="184" t="n">
        <v>24324.3</v>
      </c>
      <c r="S945" s="184" t="s">
        <v>2280</v>
      </c>
      <c r="T945" s="187" t="n">
        <v>45940</v>
      </c>
    </row>
    <row r="946" customFormat="false" ht="35.05" hidden="true" customHeight="false" outlineLevel="0" collapsed="false">
      <c r="A946" s="181" t="s">
        <v>2281</v>
      </c>
      <c r="B946" s="182" t="n">
        <v>2262</v>
      </c>
      <c r="C946" s="183" t="n">
        <v>8012</v>
      </c>
      <c r="D946" s="181" t="s">
        <v>2066</v>
      </c>
      <c r="E946" s="181" t="s">
        <v>537</v>
      </c>
      <c r="F946" s="181" t="s">
        <v>538</v>
      </c>
      <c r="G946" s="181" t="s">
        <v>2067</v>
      </c>
      <c r="H946" s="181" t="s">
        <v>279</v>
      </c>
      <c r="I946" s="181" t="s">
        <v>241</v>
      </c>
      <c r="J946" s="267"/>
      <c r="K946" s="269" t="n">
        <v>45939</v>
      </c>
      <c r="L946" s="267" t="n">
        <v>1.4</v>
      </c>
      <c r="M946" s="184" t="s">
        <v>2067</v>
      </c>
      <c r="N946" s="184" t="n">
        <v>36100</v>
      </c>
      <c r="O946" s="184" t="n">
        <v>13800</v>
      </c>
      <c r="P946" s="185" t="n">
        <v>10</v>
      </c>
      <c r="Q946" s="184" t="n">
        <v>22300</v>
      </c>
      <c r="R946" s="184" t="n">
        <v>20070</v>
      </c>
      <c r="S946" s="184" t="s">
        <v>2282</v>
      </c>
      <c r="T946" s="187" t="n">
        <v>45940</v>
      </c>
    </row>
    <row r="947" customFormat="false" ht="35.05" hidden="true" customHeight="false" outlineLevel="0" collapsed="false">
      <c r="A947" s="181" t="s">
        <v>2283</v>
      </c>
      <c r="B947" s="182" t="n">
        <v>2265</v>
      </c>
      <c r="C947" s="183" t="n">
        <v>8017</v>
      </c>
      <c r="D947" s="181" t="s">
        <v>2066</v>
      </c>
      <c r="E947" s="181" t="s">
        <v>533</v>
      </c>
      <c r="F947" s="181" t="s">
        <v>534</v>
      </c>
      <c r="G947" s="181" t="s">
        <v>2067</v>
      </c>
      <c r="H947" s="181" t="s">
        <v>279</v>
      </c>
      <c r="I947" s="181" t="s">
        <v>241</v>
      </c>
      <c r="J947" s="267"/>
      <c r="K947" s="269" t="n">
        <v>45940</v>
      </c>
      <c r="L947" s="267" t="n">
        <v>1.6</v>
      </c>
      <c r="M947" s="184" t="s">
        <v>2067</v>
      </c>
      <c r="N947" s="184" t="n">
        <v>39530</v>
      </c>
      <c r="O947" s="184" t="n">
        <v>14450</v>
      </c>
      <c r="P947" s="185" t="n">
        <v>13</v>
      </c>
      <c r="Q947" s="184" t="n">
        <v>25080</v>
      </c>
      <c r="R947" s="184" t="n">
        <v>21819.6</v>
      </c>
      <c r="S947" s="184" t="s">
        <v>2284</v>
      </c>
      <c r="T947" s="187" t="n">
        <v>45940</v>
      </c>
    </row>
    <row r="948" customFormat="false" ht="35.05" hidden="true" customHeight="false" outlineLevel="0" collapsed="false">
      <c r="A948" s="181" t="s">
        <v>2285</v>
      </c>
      <c r="B948" s="182" t="n">
        <v>2266</v>
      </c>
      <c r="C948" s="183" t="n">
        <v>8019</v>
      </c>
      <c r="D948" s="181" t="s">
        <v>2066</v>
      </c>
      <c r="E948" s="181" t="s">
        <v>541</v>
      </c>
      <c r="F948" s="181" t="s">
        <v>542</v>
      </c>
      <c r="G948" s="181" t="s">
        <v>2067</v>
      </c>
      <c r="H948" s="181" t="s">
        <v>279</v>
      </c>
      <c r="I948" s="181" t="s">
        <v>241</v>
      </c>
      <c r="J948" s="267"/>
      <c r="K948" s="269" t="n">
        <v>45940</v>
      </c>
      <c r="L948" s="267" t="n">
        <v>1.6</v>
      </c>
      <c r="M948" s="184" t="s">
        <v>2067</v>
      </c>
      <c r="N948" s="184" t="n">
        <v>40370</v>
      </c>
      <c r="O948" s="184" t="n">
        <v>14810</v>
      </c>
      <c r="P948" s="185" t="n">
        <v>6</v>
      </c>
      <c r="Q948" s="184" t="n">
        <v>25560</v>
      </c>
      <c r="R948" s="184" t="n">
        <v>24026.4</v>
      </c>
      <c r="S948" s="184" t="s">
        <v>2286</v>
      </c>
      <c r="T948" s="187" t="n">
        <v>45940</v>
      </c>
    </row>
    <row r="949" customFormat="false" ht="35.05" hidden="true" customHeight="false" outlineLevel="0" collapsed="false">
      <c r="A949" s="181" t="s">
        <v>2287</v>
      </c>
      <c r="B949" s="182" t="n">
        <v>2267</v>
      </c>
      <c r="C949" s="183" t="n">
        <v>8028</v>
      </c>
      <c r="D949" s="181" t="s">
        <v>2066</v>
      </c>
      <c r="E949" s="181" t="s">
        <v>1019</v>
      </c>
      <c r="F949" s="181" t="s">
        <v>1020</v>
      </c>
      <c r="G949" s="181" t="s">
        <v>2067</v>
      </c>
      <c r="H949" s="181" t="s">
        <v>279</v>
      </c>
      <c r="I949" s="181" t="s">
        <v>241</v>
      </c>
      <c r="J949" s="267"/>
      <c r="K949" s="269" t="n">
        <v>45940</v>
      </c>
      <c r="L949" s="267" t="n">
        <v>1.7</v>
      </c>
      <c r="M949" s="184" t="s">
        <v>2067</v>
      </c>
      <c r="N949" s="184" t="n">
        <v>44620</v>
      </c>
      <c r="O949" s="184" t="n">
        <v>17090</v>
      </c>
      <c r="P949" s="185" t="n">
        <v>4</v>
      </c>
      <c r="Q949" s="184" t="n">
        <v>27530</v>
      </c>
      <c r="R949" s="184" t="n">
        <v>26428.8</v>
      </c>
      <c r="S949" s="184" t="s">
        <v>2288</v>
      </c>
      <c r="T949" s="187" t="n">
        <v>45940</v>
      </c>
    </row>
    <row r="950" customFormat="false" ht="35.05" hidden="true" customHeight="false" outlineLevel="0" collapsed="false">
      <c r="A950" s="181" t="s">
        <v>2289</v>
      </c>
      <c r="B950" s="182" t="n">
        <v>2269</v>
      </c>
      <c r="C950" s="183" t="n">
        <v>8029</v>
      </c>
      <c r="D950" s="181" t="s">
        <v>2066</v>
      </c>
      <c r="E950" s="181" t="s">
        <v>1027</v>
      </c>
      <c r="F950" s="181" t="s">
        <v>1028</v>
      </c>
      <c r="G950" s="181" t="s">
        <v>2067</v>
      </c>
      <c r="H950" s="181" t="s">
        <v>279</v>
      </c>
      <c r="I950" s="181" t="s">
        <v>241</v>
      </c>
      <c r="J950" s="267"/>
      <c r="K950" s="269" t="n">
        <v>45940</v>
      </c>
      <c r="L950" s="267" t="n">
        <v>1.6</v>
      </c>
      <c r="M950" s="184" t="s">
        <v>2067</v>
      </c>
      <c r="N950" s="184" t="n">
        <v>39260</v>
      </c>
      <c r="O950" s="184" t="n">
        <v>15000</v>
      </c>
      <c r="P950" s="185" t="n">
        <v>15</v>
      </c>
      <c r="Q950" s="184" t="n">
        <v>24260</v>
      </c>
      <c r="R950" s="184" t="n">
        <v>20621</v>
      </c>
      <c r="S950" s="184" t="s">
        <v>2290</v>
      </c>
      <c r="T950" s="187" t="n">
        <v>45940</v>
      </c>
    </row>
    <row r="951" customFormat="false" ht="35.05" hidden="true" customHeight="false" outlineLevel="0" collapsed="false">
      <c r="A951" s="181" t="s">
        <v>2291</v>
      </c>
      <c r="B951" s="182" t="n">
        <v>2270</v>
      </c>
      <c r="C951" s="183" t="n">
        <v>8030</v>
      </c>
      <c r="D951" s="181" t="s">
        <v>2066</v>
      </c>
      <c r="E951" s="181" t="s">
        <v>1023</v>
      </c>
      <c r="F951" s="181" t="s">
        <v>1024</v>
      </c>
      <c r="G951" s="181" t="s">
        <v>2292</v>
      </c>
      <c r="H951" s="181" t="s">
        <v>279</v>
      </c>
      <c r="I951" s="181" t="s">
        <v>241</v>
      </c>
      <c r="J951" s="267"/>
      <c r="K951" s="269" t="n">
        <v>45940</v>
      </c>
      <c r="L951" s="267" t="n">
        <v>1.3</v>
      </c>
      <c r="M951" s="184" t="s">
        <v>2292</v>
      </c>
      <c r="N951" s="184" t="n">
        <v>37000</v>
      </c>
      <c r="O951" s="184" t="n">
        <v>14770</v>
      </c>
      <c r="P951" s="185" t="n">
        <v>12</v>
      </c>
      <c r="Q951" s="184" t="n">
        <v>22230</v>
      </c>
      <c r="R951" s="184" t="n">
        <v>19562.4</v>
      </c>
      <c r="S951" s="184" t="s">
        <v>2293</v>
      </c>
      <c r="T951" s="187" t="n">
        <v>45940</v>
      </c>
    </row>
    <row r="952" customFormat="false" ht="35.05" hidden="true" customHeight="false" outlineLevel="0" collapsed="false">
      <c r="A952" s="181" t="s">
        <v>2294</v>
      </c>
      <c r="B952" s="182" t="n">
        <v>2272</v>
      </c>
      <c r="C952" s="183" t="n">
        <v>8035</v>
      </c>
      <c r="D952" s="181" t="s">
        <v>2066</v>
      </c>
      <c r="E952" s="181" t="s">
        <v>439</v>
      </c>
      <c r="F952" s="181" t="s">
        <v>440</v>
      </c>
      <c r="G952" s="181" t="s">
        <v>2292</v>
      </c>
      <c r="H952" s="181" t="s">
        <v>279</v>
      </c>
      <c r="I952" s="181" t="s">
        <v>241</v>
      </c>
      <c r="J952" s="267"/>
      <c r="K952" s="269" t="n">
        <v>45940</v>
      </c>
      <c r="L952" s="267" t="n">
        <v>1.4</v>
      </c>
      <c r="M952" s="184" t="s">
        <v>2292</v>
      </c>
      <c r="N952" s="184" t="n">
        <v>40260</v>
      </c>
      <c r="O952" s="184" t="n">
        <v>16390</v>
      </c>
      <c r="P952" s="185" t="n">
        <v>4</v>
      </c>
      <c r="Q952" s="184" t="n">
        <v>23870</v>
      </c>
      <c r="R952" s="184" t="n">
        <v>22915.2</v>
      </c>
      <c r="S952" s="184" t="s">
        <v>2295</v>
      </c>
      <c r="T952" s="187" t="n">
        <v>45940</v>
      </c>
    </row>
    <row r="953" customFormat="false" ht="35.05" hidden="true" customHeight="false" outlineLevel="0" collapsed="false">
      <c r="A953" s="181" t="s">
        <v>2296</v>
      </c>
      <c r="B953" s="182" t="n">
        <v>2273</v>
      </c>
      <c r="C953" s="183" t="n">
        <v>8036</v>
      </c>
      <c r="D953" s="181" t="s">
        <v>2066</v>
      </c>
      <c r="E953" s="181" t="s">
        <v>431</v>
      </c>
      <c r="F953" s="181" t="s">
        <v>432</v>
      </c>
      <c r="G953" s="181" t="s">
        <v>2292</v>
      </c>
      <c r="H953" s="181" t="s">
        <v>279</v>
      </c>
      <c r="I953" s="181" t="s">
        <v>241</v>
      </c>
      <c r="J953" s="267"/>
      <c r="K953" s="269" t="n">
        <v>45940</v>
      </c>
      <c r="L953" s="267" t="n">
        <v>1.4</v>
      </c>
      <c r="M953" s="184" t="s">
        <v>2292</v>
      </c>
      <c r="N953" s="184" t="n">
        <v>41390</v>
      </c>
      <c r="O953" s="184" t="n">
        <v>16500</v>
      </c>
      <c r="P953" s="185" t="n">
        <v>7</v>
      </c>
      <c r="Q953" s="184" t="n">
        <v>24890</v>
      </c>
      <c r="R953" s="184" t="n">
        <v>23147.7</v>
      </c>
      <c r="S953" s="184" t="s">
        <v>2297</v>
      </c>
      <c r="T953" s="187" t="n">
        <v>45940</v>
      </c>
    </row>
    <row r="954" customFormat="false" ht="46.25" hidden="true" customHeight="false" outlineLevel="0" collapsed="false">
      <c r="A954" s="181" t="s">
        <v>2298</v>
      </c>
      <c r="B954" s="182" t="n">
        <v>2276</v>
      </c>
      <c r="C954" s="183" t="n">
        <v>8037</v>
      </c>
      <c r="D954" s="181" t="s">
        <v>2066</v>
      </c>
      <c r="E954" s="181" t="s">
        <v>435</v>
      </c>
      <c r="F954" s="181" t="s">
        <v>436</v>
      </c>
      <c r="G954" s="181" t="s">
        <v>2292</v>
      </c>
      <c r="H954" s="181" t="s">
        <v>279</v>
      </c>
      <c r="I954" s="181" t="s">
        <v>241</v>
      </c>
      <c r="J954" s="267"/>
      <c r="K954" s="269" t="n">
        <v>45940</v>
      </c>
      <c r="L954" s="267" t="n">
        <v>1.4</v>
      </c>
      <c r="M954" s="184" t="s">
        <v>2292</v>
      </c>
      <c r="N954" s="184" t="n">
        <v>40310</v>
      </c>
      <c r="O954" s="184" t="n">
        <v>16450</v>
      </c>
      <c r="P954" s="185" t="n">
        <v>8</v>
      </c>
      <c r="Q954" s="184" t="n">
        <v>23860</v>
      </c>
      <c r="R954" s="184" t="n">
        <v>21951.2</v>
      </c>
      <c r="S954" s="184" t="s">
        <v>2299</v>
      </c>
      <c r="T954" s="187" t="n">
        <v>45940</v>
      </c>
    </row>
    <row r="955" customFormat="false" ht="35.05" hidden="true" customHeight="false" outlineLevel="0" collapsed="false">
      <c r="A955" s="181" t="s">
        <v>2300</v>
      </c>
      <c r="B955" s="182" t="n">
        <v>2277</v>
      </c>
      <c r="C955" s="183" t="n">
        <v>8041</v>
      </c>
      <c r="D955" s="181" t="s">
        <v>2066</v>
      </c>
      <c r="E955" s="181" t="s">
        <v>373</v>
      </c>
      <c r="F955" s="181" t="s">
        <v>374</v>
      </c>
      <c r="G955" s="181" t="s">
        <v>2292</v>
      </c>
      <c r="H955" s="181" t="s">
        <v>279</v>
      </c>
      <c r="I955" s="181" t="s">
        <v>241</v>
      </c>
      <c r="J955" s="267"/>
      <c r="K955" s="269" t="n">
        <v>45940</v>
      </c>
      <c r="L955" s="267" t="n">
        <v>1.5</v>
      </c>
      <c r="M955" s="184" t="s">
        <v>2292</v>
      </c>
      <c r="N955" s="184" t="n">
        <v>40760</v>
      </c>
      <c r="O955" s="184" t="n">
        <v>14360</v>
      </c>
      <c r="P955" s="185" t="n">
        <v>9</v>
      </c>
      <c r="Q955" s="184" t="n">
        <v>26400</v>
      </c>
      <c r="R955" s="184" t="n">
        <v>24024</v>
      </c>
      <c r="S955" s="184" t="s">
        <v>2301</v>
      </c>
      <c r="T955" s="187" t="n">
        <v>45940</v>
      </c>
    </row>
    <row r="956" customFormat="false" ht="35.05" hidden="true" customHeight="false" outlineLevel="0" collapsed="false">
      <c r="A956" s="181" t="s">
        <v>2302</v>
      </c>
      <c r="B956" s="182" t="n">
        <v>2278</v>
      </c>
      <c r="C956" s="183" t="n">
        <v>8044</v>
      </c>
      <c r="D956" s="181" t="s">
        <v>2066</v>
      </c>
      <c r="E956" s="181" t="s">
        <v>359</v>
      </c>
      <c r="F956" s="181" t="s">
        <v>360</v>
      </c>
      <c r="G956" s="181" t="s">
        <v>2292</v>
      </c>
      <c r="H956" s="181" t="s">
        <v>279</v>
      </c>
      <c r="I956" s="181" t="s">
        <v>241</v>
      </c>
      <c r="J956" s="267"/>
      <c r="K956" s="269" t="n">
        <v>45940</v>
      </c>
      <c r="L956" s="267" t="n">
        <v>1.3</v>
      </c>
      <c r="M956" s="184" t="s">
        <v>2292</v>
      </c>
      <c r="N956" s="184" t="n">
        <v>37080</v>
      </c>
      <c r="O956" s="184" t="n">
        <v>14970</v>
      </c>
      <c r="P956" s="185" t="n">
        <v>8</v>
      </c>
      <c r="Q956" s="184" t="n">
        <v>22110</v>
      </c>
      <c r="R956" s="184" t="n">
        <v>20341.2</v>
      </c>
      <c r="S956" s="184" t="s">
        <v>2303</v>
      </c>
      <c r="T956" s="187" t="n">
        <v>45941</v>
      </c>
    </row>
    <row r="957" customFormat="false" ht="35.05" hidden="true" customHeight="false" outlineLevel="0" collapsed="false">
      <c r="A957" s="181" t="s">
        <v>2304</v>
      </c>
      <c r="B957" s="182" t="n">
        <v>2279</v>
      </c>
      <c r="C957" s="183" t="n">
        <v>8043</v>
      </c>
      <c r="D957" s="181" t="s">
        <v>2066</v>
      </c>
      <c r="E957" s="181" t="s">
        <v>354</v>
      </c>
      <c r="F957" s="181" t="s">
        <v>355</v>
      </c>
      <c r="G957" s="181" t="s">
        <v>2292</v>
      </c>
      <c r="H957" s="181" t="s">
        <v>279</v>
      </c>
      <c r="I957" s="181" t="s">
        <v>241</v>
      </c>
      <c r="J957" s="267"/>
      <c r="K957" s="269" t="n">
        <v>45940</v>
      </c>
      <c r="L957" s="267" t="n">
        <v>1.4</v>
      </c>
      <c r="M957" s="184" t="s">
        <v>2292</v>
      </c>
      <c r="N957" s="184" t="n">
        <v>38710</v>
      </c>
      <c r="O957" s="184" t="n">
        <v>14800</v>
      </c>
      <c r="P957" s="185" t="n">
        <v>9</v>
      </c>
      <c r="Q957" s="184" t="n">
        <v>23910</v>
      </c>
      <c r="R957" s="184" t="n">
        <v>21758.1</v>
      </c>
      <c r="S957" s="184" t="s">
        <v>2305</v>
      </c>
      <c r="T957" s="187" t="n">
        <v>45941</v>
      </c>
    </row>
    <row r="958" customFormat="false" ht="35.05" hidden="true" customHeight="false" outlineLevel="0" collapsed="false">
      <c r="A958" s="181" t="s">
        <v>2306</v>
      </c>
      <c r="B958" s="182" t="n">
        <v>2280</v>
      </c>
      <c r="C958" s="183" t="n">
        <v>8046</v>
      </c>
      <c r="D958" s="181" t="s">
        <v>2066</v>
      </c>
      <c r="E958" s="181" t="s">
        <v>350</v>
      </c>
      <c r="F958" s="181" t="s">
        <v>351</v>
      </c>
      <c r="G958" s="181" t="s">
        <v>2292</v>
      </c>
      <c r="H958" s="181" t="s">
        <v>279</v>
      </c>
      <c r="I958" s="181" t="s">
        <v>241</v>
      </c>
      <c r="J958" s="267"/>
      <c r="K958" s="269" t="n">
        <v>45940</v>
      </c>
      <c r="L958" s="267" t="n">
        <v>1.6</v>
      </c>
      <c r="M958" s="184" t="s">
        <v>2292</v>
      </c>
      <c r="N958" s="184" t="n">
        <v>43140</v>
      </c>
      <c r="O958" s="184" t="n">
        <v>14990</v>
      </c>
      <c r="P958" s="185" t="n">
        <v>6</v>
      </c>
      <c r="Q958" s="184" t="n">
        <v>28150</v>
      </c>
      <c r="R958" s="184" t="n">
        <v>26461</v>
      </c>
      <c r="S958" s="184" t="s">
        <v>2307</v>
      </c>
      <c r="T958" s="187" t="n">
        <v>45941</v>
      </c>
    </row>
    <row r="959" customFormat="false" ht="46.25" hidden="true" customHeight="false" outlineLevel="0" collapsed="false">
      <c r="A959" s="181" t="s">
        <v>2308</v>
      </c>
      <c r="B959" s="182" t="n">
        <v>2281</v>
      </c>
      <c r="C959" s="183" t="n">
        <v>8055</v>
      </c>
      <c r="D959" s="181" t="s">
        <v>2066</v>
      </c>
      <c r="E959" s="181" t="s">
        <v>383</v>
      </c>
      <c r="F959" s="181" t="s">
        <v>384</v>
      </c>
      <c r="G959" s="181" t="s">
        <v>2292</v>
      </c>
      <c r="H959" s="181" t="s">
        <v>279</v>
      </c>
      <c r="I959" s="181" t="s">
        <v>241</v>
      </c>
      <c r="J959" s="267"/>
      <c r="K959" s="269" t="n">
        <v>45940</v>
      </c>
      <c r="L959" s="267" t="n">
        <v>1.5</v>
      </c>
      <c r="M959" s="184" t="s">
        <v>2292</v>
      </c>
      <c r="N959" s="184" t="n">
        <v>41040</v>
      </c>
      <c r="O959" s="184" t="n">
        <v>14840</v>
      </c>
      <c r="P959" s="185" t="n">
        <v>5</v>
      </c>
      <c r="Q959" s="184" t="n">
        <v>26200</v>
      </c>
      <c r="R959" s="184" t="n">
        <v>24890</v>
      </c>
      <c r="S959" s="184" t="s">
        <v>2309</v>
      </c>
      <c r="T959" s="187" t="n">
        <v>45941</v>
      </c>
    </row>
    <row r="960" customFormat="false" ht="35.05" hidden="true" customHeight="false" outlineLevel="0" collapsed="false">
      <c r="A960" s="181" t="s">
        <v>2310</v>
      </c>
      <c r="B960" s="182" t="n">
        <v>2282</v>
      </c>
      <c r="C960" s="183" t="n">
        <v>8054</v>
      </c>
      <c r="D960" s="181" t="s">
        <v>2066</v>
      </c>
      <c r="E960" s="181" t="s">
        <v>387</v>
      </c>
      <c r="F960" s="181" t="s">
        <v>388</v>
      </c>
      <c r="G960" s="181" t="s">
        <v>2292</v>
      </c>
      <c r="H960" s="181" t="s">
        <v>279</v>
      </c>
      <c r="I960" s="181" t="s">
        <v>241</v>
      </c>
      <c r="J960" s="267"/>
      <c r="K960" s="269" t="n">
        <v>45940</v>
      </c>
      <c r="L960" s="267" t="n">
        <v>1.7</v>
      </c>
      <c r="M960" s="184" t="s">
        <v>2292</v>
      </c>
      <c r="N960" s="184" t="n">
        <v>43820</v>
      </c>
      <c r="O960" s="184" t="n">
        <v>15060</v>
      </c>
      <c r="P960" s="185" t="n">
        <v>8</v>
      </c>
      <c r="Q960" s="184" t="n">
        <v>28760</v>
      </c>
      <c r="R960" s="184" t="n">
        <v>26459.2</v>
      </c>
      <c r="S960" s="184" t="s">
        <v>2311</v>
      </c>
      <c r="T960" s="187" t="n">
        <v>45941</v>
      </c>
    </row>
    <row r="961" customFormat="false" ht="35.05" hidden="true" customHeight="false" outlineLevel="0" collapsed="false">
      <c r="A961" s="181" t="s">
        <v>2312</v>
      </c>
      <c r="B961" s="182" t="n">
        <v>2283</v>
      </c>
      <c r="C961" s="183" t="n">
        <v>8069</v>
      </c>
      <c r="D961" s="181" t="s">
        <v>2066</v>
      </c>
      <c r="E961" s="181" t="s">
        <v>340</v>
      </c>
      <c r="F961" s="181" t="s">
        <v>341</v>
      </c>
      <c r="G961" s="181" t="s">
        <v>2292</v>
      </c>
      <c r="H961" s="181" t="s">
        <v>279</v>
      </c>
      <c r="I961" s="181" t="s">
        <v>241</v>
      </c>
      <c r="J961" s="267"/>
      <c r="K961" s="269" t="n">
        <v>45940</v>
      </c>
      <c r="L961" s="267" t="n">
        <v>1.4</v>
      </c>
      <c r="M961" s="184" t="s">
        <v>2292</v>
      </c>
      <c r="N961" s="184" t="n">
        <v>39210</v>
      </c>
      <c r="O961" s="184" t="n">
        <v>15130</v>
      </c>
      <c r="P961" s="185" t="n">
        <v>11</v>
      </c>
      <c r="Q961" s="184" t="n">
        <v>24080</v>
      </c>
      <c r="R961" s="184" t="n">
        <v>21431.2</v>
      </c>
      <c r="S961" s="184" t="s">
        <v>2313</v>
      </c>
      <c r="T961" s="187" t="n">
        <v>45941</v>
      </c>
    </row>
    <row r="962" customFormat="false" ht="35.05" hidden="true" customHeight="false" outlineLevel="0" collapsed="false">
      <c r="A962" s="181" t="s">
        <v>2314</v>
      </c>
      <c r="B962" s="182" t="n">
        <v>2285</v>
      </c>
      <c r="C962" s="183" t="n">
        <v>8059</v>
      </c>
      <c r="D962" s="181" t="s">
        <v>2066</v>
      </c>
      <c r="E962" s="181" t="s">
        <v>300</v>
      </c>
      <c r="F962" s="181" t="s">
        <v>301</v>
      </c>
      <c r="G962" s="181" t="s">
        <v>2292</v>
      </c>
      <c r="H962" s="181" t="s">
        <v>279</v>
      </c>
      <c r="I962" s="181" t="s">
        <v>241</v>
      </c>
      <c r="J962" s="267"/>
      <c r="K962" s="269" t="n">
        <v>45940</v>
      </c>
      <c r="L962" s="267" t="n">
        <v>2.4</v>
      </c>
      <c r="M962" s="184" t="s">
        <v>2292</v>
      </c>
      <c r="N962" s="184" t="n">
        <v>62730</v>
      </c>
      <c r="O962" s="184" t="n">
        <v>21170</v>
      </c>
      <c r="P962" s="185" t="n">
        <v>8</v>
      </c>
      <c r="Q962" s="184" t="n">
        <v>41560</v>
      </c>
      <c r="R962" s="184" t="n">
        <v>38235.2</v>
      </c>
      <c r="S962" s="184" t="s">
        <v>2315</v>
      </c>
      <c r="T962" s="187" t="n">
        <v>45941</v>
      </c>
    </row>
    <row r="963" customFormat="false" ht="35.05" hidden="true" customHeight="false" outlineLevel="0" collapsed="false">
      <c r="A963" s="181" t="s">
        <v>2316</v>
      </c>
      <c r="B963" s="182" t="n">
        <v>2286</v>
      </c>
      <c r="C963" s="183" t="n">
        <v>8072</v>
      </c>
      <c r="D963" s="181" t="s">
        <v>2066</v>
      </c>
      <c r="E963" s="181" t="s">
        <v>266</v>
      </c>
      <c r="F963" s="181" t="s">
        <v>267</v>
      </c>
      <c r="G963" s="181" t="s">
        <v>2292</v>
      </c>
      <c r="H963" s="181" t="s">
        <v>279</v>
      </c>
      <c r="I963" s="181" t="s">
        <v>241</v>
      </c>
      <c r="J963" s="267"/>
      <c r="K963" s="269" t="n">
        <v>45940</v>
      </c>
      <c r="L963" s="267" t="n">
        <v>1.4</v>
      </c>
      <c r="M963" s="184" t="s">
        <v>2292</v>
      </c>
      <c r="N963" s="184" t="n">
        <v>38730</v>
      </c>
      <c r="O963" s="184" t="n">
        <v>14950</v>
      </c>
      <c r="P963" s="185" t="n">
        <v>9</v>
      </c>
      <c r="Q963" s="184" t="n">
        <v>23780</v>
      </c>
      <c r="R963" s="184" t="n">
        <v>21639.8</v>
      </c>
      <c r="S963" s="184" t="s">
        <v>2317</v>
      </c>
      <c r="T963" s="187" t="n">
        <v>45941</v>
      </c>
    </row>
    <row r="964" customFormat="false" ht="35.05" hidden="true" customHeight="false" outlineLevel="0" collapsed="false">
      <c r="A964" s="181" t="s">
        <v>2318</v>
      </c>
      <c r="B964" s="182" t="n">
        <v>2289</v>
      </c>
      <c r="C964" s="183" t="n">
        <v>8073</v>
      </c>
      <c r="D964" s="181" t="s">
        <v>2066</v>
      </c>
      <c r="E964" s="181" t="s">
        <v>582</v>
      </c>
      <c r="F964" s="181" t="s">
        <v>583</v>
      </c>
      <c r="G964" s="181" t="s">
        <v>2292</v>
      </c>
      <c r="H964" s="181" t="s">
        <v>279</v>
      </c>
      <c r="I964" s="181" t="s">
        <v>241</v>
      </c>
      <c r="J964" s="267"/>
      <c r="K964" s="269" t="n">
        <v>45941</v>
      </c>
      <c r="L964" s="267" t="n">
        <v>1.7</v>
      </c>
      <c r="M964" s="184" t="s">
        <v>2292</v>
      </c>
      <c r="N964" s="184" t="n">
        <v>39790</v>
      </c>
      <c r="O964" s="184" t="n">
        <v>14850</v>
      </c>
      <c r="P964" s="185" t="n">
        <v>7</v>
      </c>
      <c r="Q964" s="184" t="n">
        <v>24940</v>
      </c>
      <c r="R964" s="184" t="n">
        <v>23194.2</v>
      </c>
      <c r="S964" s="184" t="s">
        <v>2319</v>
      </c>
      <c r="T964" s="187" t="n">
        <v>45941</v>
      </c>
    </row>
    <row r="965" customFormat="false" ht="35.05" hidden="true" customHeight="false" outlineLevel="0" collapsed="false">
      <c r="A965" s="181" t="s">
        <v>2320</v>
      </c>
      <c r="B965" s="182" t="n">
        <v>2291</v>
      </c>
      <c r="C965" s="183" t="n">
        <v>8076</v>
      </c>
      <c r="D965" s="181" t="s">
        <v>2066</v>
      </c>
      <c r="E965" s="181" t="s">
        <v>399</v>
      </c>
      <c r="F965" s="181" t="s">
        <v>400</v>
      </c>
      <c r="G965" s="181" t="s">
        <v>2292</v>
      </c>
      <c r="H965" s="181" t="s">
        <v>279</v>
      </c>
      <c r="I965" s="181" t="s">
        <v>241</v>
      </c>
      <c r="J965" s="267"/>
      <c r="K965" s="269" t="n">
        <v>45941</v>
      </c>
      <c r="L965" s="267" t="n">
        <v>2.2</v>
      </c>
      <c r="M965" s="184" t="s">
        <v>2292</v>
      </c>
      <c r="N965" s="184" t="n">
        <v>50680</v>
      </c>
      <c r="O965" s="184" t="n">
        <v>19290</v>
      </c>
      <c r="P965" s="185" t="n">
        <v>7</v>
      </c>
      <c r="Q965" s="184" t="n">
        <v>31390</v>
      </c>
      <c r="R965" s="184" t="n">
        <v>29192.7</v>
      </c>
      <c r="S965" s="184" t="s">
        <v>2321</v>
      </c>
      <c r="T965" s="187" t="n">
        <v>45941</v>
      </c>
    </row>
    <row r="966" customFormat="false" ht="35.05" hidden="true" customHeight="false" outlineLevel="0" collapsed="false">
      <c r="A966" s="181" t="s">
        <v>2322</v>
      </c>
      <c r="B966" s="182" t="n">
        <v>2294</v>
      </c>
      <c r="C966" s="183" t="n">
        <v>8083</v>
      </c>
      <c r="D966" s="181" t="s">
        <v>2066</v>
      </c>
      <c r="E966" s="181" t="s">
        <v>377</v>
      </c>
      <c r="F966" s="181" t="s">
        <v>378</v>
      </c>
      <c r="G966" s="181" t="s">
        <v>2292</v>
      </c>
      <c r="H966" s="181" t="s">
        <v>279</v>
      </c>
      <c r="I966" s="181" t="s">
        <v>241</v>
      </c>
      <c r="J966" s="267"/>
      <c r="K966" s="269" t="n">
        <v>45941</v>
      </c>
      <c r="L966" s="267" t="n">
        <v>2</v>
      </c>
      <c r="M966" s="184" t="s">
        <v>2292</v>
      </c>
      <c r="N966" s="184" t="n">
        <v>43880</v>
      </c>
      <c r="O966" s="184" t="n">
        <v>15650</v>
      </c>
      <c r="P966" s="185" t="n">
        <v>8</v>
      </c>
      <c r="Q966" s="184" t="n">
        <v>28230</v>
      </c>
      <c r="R966" s="184" t="n">
        <v>25971.6</v>
      </c>
      <c r="S966" s="184" t="s">
        <v>2323</v>
      </c>
      <c r="T966" s="187" t="n">
        <v>45941</v>
      </c>
    </row>
    <row r="967" customFormat="false" ht="35.05" hidden="true" customHeight="false" outlineLevel="0" collapsed="false">
      <c r="A967" s="181" t="s">
        <v>2330</v>
      </c>
      <c r="B967" s="182" t="n">
        <v>2296</v>
      </c>
      <c r="C967" s="183" t="n">
        <v>8085</v>
      </c>
      <c r="D967" s="181" t="s">
        <v>2066</v>
      </c>
      <c r="E967" s="181" t="s">
        <v>409</v>
      </c>
      <c r="F967" s="181" t="s">
        <v>410</v>
      </c>
      <c r="G967" s="181" t="s">
        <v>2292</v>
      </c>
      <c r="H967" s="181" t="s">
        <v>279</v>
      </c>
      <c r="I967" s="181" t="s">
        <v>241</v>
      </c>
      <c r="J967" s="267"/>
      <c r="K967" s="269" t="n">
        <v>45941</v>
      </c>
      <c r="L967" s="267" t="n">
        <v>2.9</v>
      </c>
      <c r="M967" s="184" t="s">
        <v>2292</v>
      </c>
      <c r="N967" s="184" t="n">
        <v>65180</v>
      </c>
      <c r="O967" s="184" t="n">
        <v>24450</v>
      </c>
      <c r="P967" s="185" t="n">
        <v>6</v>
      </c>
      <c r="Q967" s="184" t="n">
        <v>40730</v>
      </c>
      <c r="R967" s="184" t="n">
        <v>38286.2</v>
      </c>
      <c r="S967" s="184" t="s">
        <v>2331</v>
      </c>
      <c r="T967" s="187" t="n">
        <v>45941</v>
      </c>
    </row>
    <row r="968" customFormat="false" ht="35.05" hidden="true" customHeight="false" outlineLevel="0" collapsed="false">
      <c r="A968" s="181" t="s">
        <v>2332</v>
      </c>
      <c r="B968" s="182" t="n">
        <v>2297</v>
      </c>
      <c r="C968" s="183" t="n">
        <v>8086</v>
      </c>
      <c r="D968" s="181" t="s">
        <v>2066</v>
      </c>
      <c r="E968" s="181" t="s">
        <v>413</v>
      </c>
      <c r="F968" s="181" t="s">
        <v>414</v>
      </c>
      <c r="G968" s="181" t="s">
        <v>2292</v>
      </c>
      <c r="H968" s="181" t="s">
        <v>279</v>
      </c>
      <c r="I968" s="181" t="s">
        <v>241</v>
      </c>
      <c r="J968" s="267"/>
      <c r="K968" s="269" t="n">
        <v>45941</v>
      </c>
      <c r="L968" s="267" t="n">
        <v>2.1</v>
      </c>
      <c r="M968" s="184" t="s">
        <v>2292</v>
      </c>
      <c r="N968" s="184" t="n">
        <v>45260</v>
      </c>
      <c r="O968" s="184" t="n">
        <v>15650</v>
      </c>
      <c r="P968" s="185" t="n">
        <v>7</v>
      </c>
      <c r="Q968" s="184" t="n">
        <v>29610</v>
      </c>
      <c r="R968" s="184" t="n">
        <v>27537.3</v>
      </c>
      <c r="S968" s="184" t="s">
        <v>2333</v>
      </c>
      <c r="T968" s="187" t="n">
        <v>45941</v>
      </c>
    </row>
    <row r="969" customFormat="false" ht="35.05" hidden="true" customHeight="false" outlineLevel="0" collapsed="false">
      <c r="A969" s="181" t="s">
        <v>2338</v>
      </c>
      <c r="B969" s="182" t="n">
        <v>2299</v>
      </c>
      <c r="C969" s="183" t="n">
        <v>4</v>
      </c>
      <c r="D969" s="181" t="s">
        <v>2005</v>
      </c>
      <c r="E969" s="181" t="s">
        <v>292</v>
      </c>
      <c r="F969" s="181" t="s">
        <v>293</v>
      </c>
      <c r="G969" s="181" t="s">
        <v>2049</v>
      </c>
      <c r="H969" s="181" t="s">
        <v>279</v>
      </c>
      <c r="I969" s="181" t="s">
        <v>240</v>
      </c>
      <c r="J969" s="267" t="n">
        <f aca="false">Таблица24[[#This Row],[Вес нетто]]</f>
        <v>22760</v>
      </c>
      <c r="K969" s="269" t="n">
        <v>45941</v>
      </c>
      <c r="L969" s="267" t="n">
        <v>2.7</v>
      </c>
      <c r="M969" s="184" t="s">
        <v>3395</v>
      </c>
      <c r="N969" s="184" t="n">
        <v>36750</v>
      </c>
      <c r="O969" s="184" t="n">
        <v>13990</v>
      </c>
      <c r="P969" s="185" t="n">
        <v>7</v>
      </c>
      <c r="Q969" s="184" t="n">
        <v>22760</v>
      </c>
      <c r="R969" s="184" t="n">
        <v>21166.8</v>
      </c>
      <c r="S969" s="184" t="s">
        <v>2339</v>
      </c>
      <c r="T969" s="187" t="n">
        <v>45941</v>
      </c>
    </row>
    <row r="970" customFormat="false" ht="35.05" hidden="true" customHeight="false" outlineLevel="0" collapsed="false">
      <c r="A970" s="181" t="s">
        <v>2340</v>
      </c>
      <c r="B970" s="182" t="n">
        <v>2298</v>
      </c>
      <c r="C970" s="183" t="n">
        <v>2</v>
      </c>
      <c r="D970" s="181" t="s">
        <v>2005</v>
      </c>
      <c r="E970" s="181" t="s">
        <v>340</v>
      </c>
      <c r="F970" s="181" t="s">
        <v>341</v>
      </c>
      <c r="G970" s="181" t="s">
        <v>2049</v>
      </c>
      <c r="H970" s="181" t="s">
        <v>279</v>
      </c>
      <c r="I970" s="181" t="s">
        <v>240</v>
      </c>
      <c r="J970" s="267" t="n">
        <f aca="false">Таблица24[[#This Row],[Вес нетто]]</f>
        <v>24230</v>
      </c>
      <c r="K970" s="269" t="n">
        <v>45941</v>
      </c>
      <c r="L970" s="267" t="n">
        <v>2.9</v>
      </c>
      <c r="M970" s="184" t="s">
        <v>3395</v>
      </c>
      <c r="N970" s="184" t="n">
        <v>39250</v>
      </c>
      <c r="O970" s="184" t="n">
        <v>15020</v>
      </c>
      <c r="P970" s="185" t="n">
        <v>9</v>
      </c>
      <c r="Q970" s="184" t="n">
        <v>24230</v>
      </c>
      <c r="R970" s="184" t="n">
        <v>22049.3</v>
      </c>
      <c r="S970" s="184" t="s">
        <v>2341</v>
      </c>
      <c r="T970" s="187" t="n">
        <v>45941</v>
      </c>
    </row>
    <row r="971" customFormat="false" ht="35.05" hidden="true" customHeight="false" outlineLevel="0" collapsed="false">
      <c r="A971" s="181" t="s">
        <v>2342</v>
      </c>
      <c r="B971" s="182" t="n">
        <v>2300</v>
      </c>
      <c r="C971" s="183" t="n">
        <v>3</v>
      </c>
      <c r="D971" s="181" t="s">
        <v>2005</v>
      </c>
      <c r="E971" s="181" t="s">
        <v>346</v>
      </c>
      <c r="F971" s="181" t="s">
        <v>347</v>
      </c>
      <c r="G971" s="181" t="s">
        <v>2049</v>
      </c>
      <c r="H971" s="181" t="s">
        <v>279</v>
      </c>
      <c r="I971" s="181" t="s">
        <v>240</v>
      </c>
      <c r="J971" s="267" t="n">
        <f aca="false">Таблица24[[#This Row],[Вес нетто]]</f>
        <v>25000</v>
      </c>
      <c r="K971" s="269" t="n">
        <v>45941</v>
      </c>
      <c r="L971" s="267" t="n">
        <v>3</v>
      </c>
      <c r="M971" s="184" t="s">
        <v>3395</v>
      </c>
      <c r="N971" s="184" t="n">
        <v>40230</v>
      </c>
      <c r="O971" s="184" t="n">
        <v>15230</v>
      </c>
      <c r="P971" s="185" t="n">
        <v>8</v>
      </c>
      <c r="Q971" s="184" t="n">
        <v>25000</v>
      </c>
      <c r="R971" s="184" t="n">
        <v>23000</v>
      </c>
      <c r="S971" s="184" t="s">
        <v>2343</v>
      </c>
      <c r="T971" s="187" t="n">
        <v>45941</v>
      </c>
    </row>
    <row r="972" customFormat="false" ht="35.05" hidden="true" customHeight="false" outlineLevel="0" collapsed="false">
      <c r="A972" s="181" t="s">
        <v>2324</v>
      </c>
      <c r="B972" s="182" t="n">
        <v>2301</v>
      </c>
      <c r="C972" s="183" t="n">
        <v>8093</v>
      </c>
      <c r="D972" s="181" t="s">
        <v>2066</v>
      </c>
      <c r="E972" s="181" t="s">
        <v>272</v>
      </c>
      <c r="F972" s="181" t="s">
        <v>273</v>
      </c>
      <c r="G972" s="181" t="s">
        <v>2292</v>
      </c>
      <c r="H972" s="181" t="s">
        <v>279</v>
      </c>
      <c r="I972" s="181" t="s">
        <v>241</v>
      </c>
      <c r="J972" s="267"/>
      <c r="K972" s="269" t="n">
        <v>45941</v>
      </c>
      <c r="L972" s="267" t="n">
        <v>1.7</v>
      </c>
      <c r="M972" s="184" t="s">
        <v>2292</v>
      </c>
      <c r="N972" s="184" t="n">
        <v>40130</v>
      </c>
      <c r="O972" s="184" t="n">
        <v>15580</v>
      </c>
      <c r="P972" s="185" t="n">
        <v>8</v>
      </c>
      <c r="Q972" s="184" t="n">
        <v>24550</v>
      </c>
      <c r="R972" s="184" t="n">
        <v>22586</v>
      </c>
      <c r="S972" s="184" t="s">
        <v>2325</v>
      </c>
      <c r="T972" s="187" t="n">
        <v>45941</v>
      </c>
    </row>
    <row r="973" customFormat="false" ht="35.05" hidden="true" customHeight="false" outlineLevel="0" collapsed="false">
      <c r="A973" s="181" t="s">
        <v>2326</v>
      </c>
      <c r="B973" s="182" t="n">
        <v>2302</v>
      </c>
      <c r="C973" s="183" t="n">
        <v>1</v>
      </c>
      <c r="D973" s="181" t="s">
        <v>2005</v>
      </c>
      <c r="E973" s="181" t="s">
        <v>266</v>
      </c>
      <c r="F973" s="181" t="s">
        <v>267</v>
      </c>
      <c r="G973" s="181" t="s">
        <v>2049</v>
      </c>
      <c r="H973" s="181" t="s">
        <v>279</v>
      </c>
      <c r="I973" s="181" t="s">
        <v>240</v>
      </c>
      <c r="J973" s="267" t="n">
        <f aca="false">Таблица24[[#This Row],[Вес нетто]]</f>
        <v>23580</v>
      </c>
      <c r="K973" s="269" t="n">
        <v>45941</v>
      </c>
      <c r="L973" s="267" t="n">
        <v>2.8</v>
      </c>
      <c r="M973" s="184" t="s">
        <v>3395</v>
      </c>
      <c r="N973" s="184" t="n">
        <v>38700</v>
      </c>
      <c r="O973" s="184" t="n">
        <v>15120</v>
      </c>
      <c r="P973" s="185" t="n">
        <v>7</v>
      </c>
      <c r="Q973" s="184" t="n">
        <v>23580</v>
      </c>
      <c r="R973" s="184" t="n">
        <v>21929.4</v>
      </c>
      <c r="S973" s="184" t="s">
        <v>2327</v>
      </c>
      <c r="T973" s="187" t="n">
        <v>45941</v>
      </c>
    </row>
    <row r="974" customFormat="false" ht="35.05" hidden="true" customHeight="false" outlineLevel="0" collapsed="false">
      <c r="A974" s="181" t="s">
        <v>2346</v>
      </c>
      <c r="B974" s="182" t="n">
        <v>2313</v>
      </c>
      <c r="C974" s="183" t="n">
        <v>7</v>
      </c>
      <c r="D974" s="181" t="s">
        <v>2005</v>
      </c>
      <c r="E974" s="181" t="s">
        <v>582</v>
      </c>
      <c r="F974" s="181" t="s">
        <v>583</v>
      </c>
      <c r="G974" s="181"/>
      <c r="H974" s="181" t="s">
        <v>279</v>
      </c>
      <c r="I974" s="181" t="s">
        <v>240</v>
      </c>
      <c r="J974" s="267" t="n">
        <f aca="false">Таблица24[[#This Row],[Вес нетто]]</f>
        <v>7120</v>
      </c>
      <c r="K974" s="269" t="n">
        <v>45941</v>
      </c>
      <c r="L974" s="267" t="n">
        <v>0.9</v>
      </c>
      <c r="M974" s="184" t="s">
        <v>3395</v>
      </c>
      <c r="N974" s="184" t="n">
        <v>21960</v>
      </c>
      <c r="O974" s="184" t="n">
        <v>14840</v>
      </c>
      <c r="P974" s="185" t="n">
        <v>21</v>
      </c>
      <c r="Q974" s="184" t="n">
        <v>7120</v>
      </c>
      <c r="R974" s="184" t="n">
        <v>5624.8</v>
      </c>
      <c r="S974" s="184" t="s">
        <v>2347</v>
      </c>
      <c r="T974" s="187" t="n">
        <v>45942</v>
      </c>
    </row>
    <row r="975" customFormat="false" ht="35.05" hidden="true" customHeight="false" outlineLevel="0" collapsed="false">
      <c r="A975" s="181" t="s">
        <v>2334</v>
      </c>
      <c r="B975" s="182" t="n">
        <v>2305</v>
      </c>
      <c r="C975" s="183" t="n">
        <v>3</v>
      </c>
      <c r="D975" s="181" t="s">
        <v>2005</v>
      </c>
      <c r="E975" s="181" t="s">
        <v>1646</v>
      </c>
      <c r="F975" s="181" t="s">
        <v>1647</v>
      </c>
      <c r="G975" s="181" t="s">
        <v>2049</v>
      </c>
      <c r="H975" s="181" t="s">
        <v>279</v>
      </c>
      <c r="I975" s="181" t="s">
        <v>240</v>
      </c>
      <c r="J975" s="267" t="n">
        <f aca="false">Таблица24[[#This Row],[Вес нетто]]</f>
        <v>16830</v>
      </c>
      <c r="K975" s="269" t="n">
        <v>45941</v>
      </c>
      <c r="L975" s="267" t="n">
        <v>2</v>
      </c>
      <c r="M975" s="184" t="s">
        <v>3395</v>
      </c>
      <c r="N975" s="184" t="n">
        <v>31230</v>
      </c>
      <c r="O975" s="184" t="n">
        <v>14400</v>
      </c>
      <c r="P975" s="185" t="n">
        <v>7</v>
      </c>
      <c r="Q975" s="184" t="n">
        <v>16830</v>
      </c>
      <c r="R975" s="184" t="n">
        <v>15651.9</v>
      </c>
      <c r="S975" s="184" t="s">
        <v>2335</v>
      </c>
      <c r="T975" s="187" t="n">
        <v>45941</v>
      </c>
    </row>
    <row r="976" customFormat="false" ht="35.05" hidden="true" customHeight="false" outlineLevel="0" collapsed="false">
      <c r="A976" s="181" t="s">
        <v>2336</v>
      </c>
      <c r="B976" s="182" t="n">
        <v>2306</v>
      </c>
      <c r="C976" s="183" t="n">
        <v>2</v>
      </c>
      <c r="D976" s="181" t="s">
        <v>2005</v>
      </c>
      <c r="E976" s="181" t="s">
        <v>1510</v>
      </c>
      <c r="F976" s="181" t="s">
        <v>1511</v>
      </c>
      <c r="G976" s="181" t="s">
        <v>2049</v>
      </c>
      <c r="H976" s="181" t="s">
        <v>279</v>
      </c>
      <c r="I976" s="181" t="s">
        <v>240</v>
      </c>
      <c r="J976" s="267" t="n">
        <f aca="false">Таблица24[[#This Row],[Вес нетто]]</f>
        <v>9620</v>
      </c>
      <c r="K976" s="269" t="n">
        <v>45941</v>
      </c>
      <c r="L976" s="267" t="n">
        <v>1.2</v>
      </c>
      <c r="M976" s="184" t="s">
        <v>3395</v>
      </c>
      <c r="N976" s="184" t="n">
        <v>19190</v>
      </c>
      <c r="O976" s="184" t="n">
        <v>9570</v>
      </c>
      <c r="P976" s="185" t="n">
        <v>10</v>
      </c>
      <c r="Q976" s="184" t="n">
        <v>9620</v>
      </c>
      <c r="R976" s="184" t="n">
        <v>8658</v>
      </c>
      <c r="S976" s="184" t="s">
        <v>2337</v>
      </c>
      <c r="T976" s="187" t="n">
        <v>45941</v>
      </c>
    </row>
    <row r="977" customFormat="false" ht="35.05" hidden="true" customHeight="false" outlineLevel="0" collapsed="false">
      <c r="A977" s="181" t="s">
        <v>2344</v>
      </c>
      <c r="B977" s="182" t="n">
        <v>2307</v>
      </c>
      <c r="C977" s="183" t="n">
        <v>8091</v>
      </c>
      <c r="D977" s="181" t="s">
        <v>2066</v>
      </c>
      <c r="E977" s="181" t="s">
        <v>336</v>
      </c>
      <c r="F977" s="181" t="s">
        <v>337</v>
      </c>
      <c r="G977" s="181" t="s">
        <v>2292</v>
      </c>
      <c r="H977" s="181" t="s">
        <v>279</v>
      </c>
      <c r="I977" s="181" t="s">
        <v>241</v>
      </c>
      <c r="J977" s="267"/>
      <c r="K977" s="269" t="n">
        <v>45941</v>
      </c>
      <c r="L977" s="267" t="n">
        <v>1.7</v>
      </c>
      <c r="M977" s="184" t="s">
        <v>2292</v>
      </c>
      <c r="N977" s="184" t="n">
        <v>38350</v>
      </c>
      <c r="O977" s="184" t="n">
        <v>14520</v>
      </c>
      <c r="P977" s="185" t="n">
        <v>14</v>
      </c>
      <c r="Q977" s="184" t="n">
        <v>23830</v>
      </c>
      <c r="R977" s="184" t="n">
        <v>20493.8</v>
      </c>
      <c r="S977" s="184" t="s">
        <v>2345</v>
      </c>
      <c r="T977" s="187" t="n">
        <v>45941</v>
      </c>
    </row>
    <row r="978" s="181" customFormat="true" ht="35.05" hidden="true" customHeight="false" outlineLevel="0" collapsed="false">
      <c r="A978" s="181" t="s">
        <v>2348</v>
      </c>
      <c r="B978" s="182" t="n">
        <v>2309</v>
      </c>
      <c r="C978" s="183" t="n">
        <v>9444</v>
      </c>
      <c r="D978" s="181" t="s">
        <v>2066</v>
      </c>
      <c r="E978" s="181" t="s">
        <v>367</v>
      </c>
      <c r="F978" s="181" t="s">
        <v>368</v>
      </c>
      <c r="G978" s="181" t="s">
        <v>2292</v>
      </c>
      <c r="H978" s="181" t="s">
        <v>279</v>
      </c>
      <c r="I978" s="181" t="s">
        <v>241</v>
      </c>
      <c r="J978" s="267"/>
      <c r="K978" s="269" t="n">
        <v>45941</v>
      </c>
      <c r="L978" s="267" t="n">
        <v>2.2</v>
      </c>
      <c r="M978" s="184" t="s">
        <v>2292</v>
      </c>
      <c r="N978" s="184" t="n">
        <v>50600</v>
      </c>
      <c r="O978" s="184" t="n">
        <v>18710</v>
      </c>
      <c r="P978" s="185" t="n">
        <v>12</v>
      </c>
      <c r="Q978" s="184" t="n">
        <v>31890</v>
      </c>
      <c r="R978" s="184" t="n">
        <v>28063.2</v>
      </c>
      <c r="S978" s="184" t="s">
        <v>2349</v>
      </c>
      <c r="T978" s="187" t="n">
        <v>45942</v>
      </c>
      <c r="U978" s="185"/>
      <c r="V978" s="184"/>
      <c r="W978" s="184"/>
      <c r="X978" s="184"/>
      <c r="Y978" s="187"/>
      <c r="Z978" s="188"/>
      <c r="AB978" s="182"/>
      <c r="AC978" s="183"/>
      <c r="AJ978" s="267"/>
      <c r="AK978" s="269"/>
      <c r="AL978" s="267"/>
      <c r="AM978" s="267"/>
      <c r="AN978" s="184"/>
      <c r="AO978" s="184"/>
      <c r="AP978" s="185"/>
      <c r="AQ978" s="184"/>
      <c r="AR978" s="184"/>
      <c r="AS978" s="184"/>
      <c r="AT978" s="187"/>
      <c r="AU978" s="188"/>
      <c r="AW978" s="182"/>
      <c r="AX978" s="183"/>
      <c r="BE978" s="267"/>
      <c r="BF978" s="269"/>
      <c r="BG978" s="267"/>
      <c r="BH978" s="267"/>
      <c r="BI978" s="184"/>
      <c r="BJ978" s="184"/>
      <c r="BK978" s="185"/>
      <c r="BL978" s="184"/>
      <c r="BM978" s="184"/>
      <c r="BN978" s="184"/>
      <c r="BO978" s="187"/>
      <c r="BP978" s="188"/>
      <c r="BR978" s="182"/>
      <c r="BS978" s="183"/>
      <c r="BZ978" s="267"/>
      <c r="CA978" s="269"/>
      <c r="CB978" s="267"/>
      <c r="CC978" s="267"/>
      <c r="CD978" s="184"/>
      <c r="CE978" s="184"/>
      <c r="CF978" s="185"/>
      <c r="CG978" s="184"/>
      <c r="CH978" s="184"/>
      <c r="CI978" s="184"/>
      <c r="CJ978" s="187"/>
      <c r="CK978" s="188"/>
      <c r="CM978" s="182"/>
      <c r="CN978" s="183"/>
      <c r="CU978" s="267"/>
      <c r="CV978" s="269"/>
      <c r="CW978" s="267"/>
      <c r="CX978" s="267"/>
      <c r="CY978" s="184"/>
      <c r="CZ978" s="184"/>
      <c r="DA978" s="185"/>
      <c r="DB978" s="184"/>
      <c r="DC978" s="184"/>
      <c r="DD978" s="184"/>
      <c r="DE978" s="187"/>
      <c r="DF978" s="188"/>
      <c r="DH978" s="182"/>
      <c r="DI978" s="183"/>
      <c r="DP978" s="267"/>
      <c r="DQ978" s="269"/>
      <c r="DR978" s="267"/>
      <c r="DS978" s="267"/>
      <c r="DT978" s="184"/>
      <c r="DU978" s="184"/>
      <c r="DV978" s="185"/>
      <c r="DW978" s="184"/>
      <c r="DX978" s="184"/>
      <c r="DY978" s="184"/>
      <c r="DZ978" s="187"/>
      <c r="EA978" s="188"/>
      <c r="EC978" s="182"/>
      <c r="ED978" s="183"/>
      <c r="EK978" s="267"/>
      <c r="EL978" s="269"/>
      <c r="EM978" s="267"/>
      <c r="EN978" s="267"/>
      <c r="EO978" s="184"/>
      <c r="EP978" s="184"/>
      <c r="EQ978" s="185"/>
      <c r="ER978" s="184"/>
      <c r="ES978" s="184"/>
      <c r="ET978" s="184"/>
      <c r="EU978" s="187"/>
      <c r="EV978" s="188"/>
      <c r="EX978" s="182"/>
      <c r="EY978" s="183"/>
      <c r="FF978" s="267"/>
      <c r="FG978" s="269"/>
      <c r="FH978" s="267"/>
      <c r="FI978" s="267"/>
      <c r="FJ978" s="184"/>
      <c r="FK978" s="184"/>
      <c r="FL978" s="185"/>
      <c r="FM978" s="184"/>
      <c r="FN978" s="184"/>
      <c r="FO978" s="184"/>
      <c r="FP978" s="187"/>
      <c r="FQ978" s="188"/>
      <c r="FS978" s="182"/>
      <c r="FT978" s="183"/>
      <c r="GA978" s="267"/>
      <c r="GB978" s="269"/>
      <c r="GC978" s="267"/>
      <c r="GD978" s="267"/>
      <c r="GE978" s="184"/>
      <c r="GF978" s="184"/>
      <c r="GG978" s="185"/>
      <c r="GH978" s="184"/>
      <c r="GI978" s="184"/>
      <c r="GJ978" s="184"/>
      <c r="GK978" s="187"/>
      <c r="GL978" s="188"/>
      <c r="GN978" s="182"/>
      <c r="GO978" s="183"/>
      <c r="GV978" s="267"/>
      <c r="GW978" s="269"/>
      <c r="GX978" s="267"/>
      <c r="GY978" s="267"/>
      <c r="GZ978" s="184"/>
      <c r="HA978" s="184"/>
      <c r="HB978" s="185"/>
      <c r="HC978" s="184"/>
      <c r="HD978" s="184"/>
      <c r="HE978" s="184"/>
      <c r="HF978" s="187"/>
      <c r="HG978" s="188"/>
      <c r="HI978" s="182"/>
      <c r="HJ978" s="183"/>
      <c r="HQ978" s="267"/>
      <c r="HR978" s="269"/>
      <c r="HS978" s="267"/>
      <c r="HT978" s="267"/>
      <c r="HU978" s="184"/>
      <c r="HV978" s="184"/>
      <c r="HW978" s="185"/>
      <c r="HX978" s="184"/>
      <c r="HY978" s="184"/>
      <c r="HZ978" s="184"/>
      <c r="IA978" s="187"/>
      <c r="IB978" s="188"/>
      <c r="ID978" s="182"/>
      <c r="IE978" s="183"/>
      <c r="IL978" s="267"/>
      <c r="IM978" s="269"/>
      <c r="IN978" s="267"/>
      <c r="IO978" s="267"/>
      <c r="IP978" s="184"/>
      <c r="IQ978" s="184"/>
      <c r="IR978" s="185"/>
      <c r="IS978" s="184"/>
      <c r="IT978" s="184"/>
      <c r="IU978" s="184"/>
      <c r="IV978" s="187"/>
      <c r="IW978" s="188"/>
      <c r="IY978" s="182"/>
      <c r="IZ978" s="183"/>
      <c r="JG978" s="267"/>
      <c r="JH978" s="269"/>
      <c r="JI978" s="267"/>
      <c r="JJ978" s="267"/>
      <c r="JK978" s="184"/>
      <c r="JL978" s="184"/>
      <c r="JM978" s="185"/>
      <c r="JN978" s="184"/>
      <c r="JO978" s="184"/>
      <c r="JP978" s="184"/>
      <c r="JQ978" s="187"/>
      <c r="JR978" s="188"/>
      <c r="JT978" s="182"/>
      <c r="JU978" s="183"/>
      <c r="KB978" s="267"/>
      <c r="KC978" s="269"/>
      <c r="KD978" s="267"/>
      <c r="KE978" s="267"/>
      <c r="KF978" s="184"/>
      <c r="KG978" s="184"/>
      <c r="KH978" s="185"/>
      <c r="KI978" s="184"/>
      <c r="KJ978" s="184"/>
      <c r="KK978" s="184"/>
      <c r="KL978" s="187"/>
      <c r="KM978" s="188"/>
      <c r="KO978" s="182"/>
      <c r="KP978" s="183"/>
      <c r="KW978" s="267"/>
      <c r="KX978" s="269"/>
      <c r="KY978" s="267"/>
      <c r="KZ978" s="267"/>
      <c r="LA978" s="184"/>
      <c r="LB978" s="184"/>
      <c r="LC978" s="185"/>
      <c r="LD978" s="184"/>
      <c r="LE978" s="184"/>
      <c r="LF978" s="184"/>
      <c r="LG978" s="187"/>
      <c r="LH978" s="188"/>
      <c r="LJ978" s="182"/>
      <c r="LK978" s="183"/>
      <c r="LR978" s="267"/>
      <c r="LS978" s="269"/>
      <c r="LT978" s="267"/>
      <c r="LU978" s="267"/>
      <c r="LV978" s="184"/>
      <c r="LW978" s="184"/>
      <c r="LX978" s="185"/>
      <c r="LY978" s="184"/>
      <c r="LZ978" s="184"/>
      <c r="MA978" s="184"/>
      <c r="MB978" s="187"/>
      <c r="MC978" s="188"/>
      <c r="ME978" s="182"/>
      <c r="MF978" s="183"/>
      <c r="MM978" s="267"/>
      <c r="MN978" s="269"/>
      <c r="MO978" s="267"/>
      <c r="MP978" s="267"/>
      <c r="MQ978" s="184"/>
      <c r="MR978" s="184"/>
      <c r="MS978" s="185"/>
      <c r="MT978" s="184"/>
      <c r="MU978" s="184"/>
      <c r="MV978" s="184"/>
      <c r="MW978" s="187"/>
      <c r="MX978" s="188"/>
      <c r="MZ978" s="182"/>
      <c r="NA978" s="183"/>
      <c r="NH978" s="267"/>
      <c r="NI978" s="269"/>
      <c r="NJ978" s="267"/>
      <c r="NK978" s="267"/>
      <c r="NL978" s="184"/>
      <c r="NM978" s="184"/>
      <c r="NN978" s="185"/>
      <c r="NO978" s="184"/>
      <c r="NP978" s="184"/>
      <c r="NQ978" s="184"/>
      <c r="NR978" s="187"/>
      <c r="NS978" s="188"/>
      <c r="NU978" s="182"/>
      <c r="NV978" s="183"/>
      <c r="OC978" s="267"/>
      <c r="OD978" s="269"/>
      <c r="OE978" s="267"/>
      <c r="OF978" s="267"/>
      <c r="OG978" s="184"/>
      <c r="OH978" s="184"/>
      <c r="OI978" s="185"/>
      <c r="OJ978" s="184"/>
      <c r="OK978" s="184"/>
      <c r="OL978" s="184"/>
      <c r="OM978" s="187"/>
      <c r="ON978" s="188"/>
      <c r="OP978" s="182"/>
      <c r="OQ978" s="183"/>
      <c r="OX978" s="267"/>
      <c r="OY978" s="269"/>
      <c r="OZ978" s="267"/>
      <c r="PA978" s="267"/>
      <c r="PB978" s="184"/>
      <c r="PC978" s="184"/>
      <c r="PD978" s="185"/>
      <c r="PE978" s="184"/>
      <c r="PF978" s="184"/>
      <c r="PG978" s="184"/>
      <c r="PH978" s="187"/>
      <c r="PI978" s="188"/>
      <c r="PK978" s="182"/>
      <c r="PL978" s="183"/>
      <c r="PS978" s="267"/>
      <c r="PT978" s="269"/>
      <c r="PU978" s="267"/>
      <c r="PV978" s="267"/>
      <c r="PW978" s="184"/>
      <c r="PX978" s="184"/>
      <c r="PY978" s="185"/>
      <c r="PZ978" s="184"/>
      <c r="QA978" s="184"/>
      <c r="QB978" s="184"/>
      <c r="QC978" s="187"/>
      <c r="QD978" s="188"/>
      <c r="QF978" s="182"/>
      <c r="QG978" s="183"/>
      <c r="QN978" s="267"/>
      <c r="QO978" s="269"/>
      <c r="QP978" s="267"/>
      <c r="QQ978" s="267"/>
      <c r="QR978" s="184"/>
      <c r="QS978" s="184"/>
      <c r="QT978" s="185"/>
      <c r="QU978" s="184"/>
      <c r="QV978" s="184"/>
      <c r="QW978" s="184"/>
      <c r="QX978" s="187"/>
      <c r="QY978" s="188"/>
      <c r="RA978" s="182"/>
      <c r="RB978" s="183"/>
      <c r="RI978" s="267"/>
      <c r="RJ978" s="269"/>
      <c r="RK978" s="267"/>
      <c r="RL978" s="267"/>
      <c r="RM978" s="184"/>
      <c r="RN978" s="184"/>
      <c r="RO978" s="185"/>
      <c r="RP978" s="184"/>
      <c r="RQ978" s="184"/>
      <c r="RR978" s="184"/>
      <c r="RS978" s="187"/>
      <c r="RT978" s="188"/>
      <c r="RV978" s="182"/>
      <c r="RW978" s="183"/>
      <c r="SD978" s="267"/>
      <c r="SE978" s="269"/>
      <c r="SF978" s="267"/>
      <c r="SG978" s="267"/>
      <c r="SH978" s="184"/>
      <c r="SI978" s="184"/>
      <c r="SJ978" s="185"/>
      <c r="SK978" s="184"/>
      <c r="SL978" s="184"/>
      <c r="SM978" s="184"/>
      <c r="SN978" s="187"/>
      <c r="SO978" s="188"/>
      <c r="SQ978" s="182"/>
      <c r="SR978" s="183"/>
      <c r="SY978" s="267"/>
      <c r="SZ978" s="269"/>
      <c r="TA978" s="267"/>
      <c r="TB978" s="267"/>
      <c r="TC978" s="184"/>
      <c r="TD978" s="184"/>
      <c r="TE978" s="185"/>
      <c r="TF978" s="184"/>
      <c r="TG978" s="184"/>
      <c r="TH978" s="184"/>
      <c r="TI978" s="187"/>
      <c r="TJ978" s="188"/>
      <c r="TL978" s="182"/>
      <c r="TM978" s="183"/>
      <c r="TT978" s="267"/>
      <c r="TU978" s="269"/>
      <c r="TV978" s="267"/>
      <c r="TW978" s="267"/>
      <c r="TX978" s="184"/>
      <c r="TY978" s="184"/>
      <c r="TZ978" s="185"/>
      <c r="UA978" s="184"/>
      <c r="UB978" s="184"/>
      <c r="UC978" s="184"/>
      <c r="UD978" s="187"/>
      <c r="UE978" s="188"/>
      <c r="UG978" s="182"/>
      <c r="UH978" s="183"/>
      <c r="UO978" s="267"/>
      <c r="UP978" s="269"/>
      <c r="UQ978" s="267"/>
      <c r="UR978" s="267"/>
      <c r="US978" s="184"/>
      <c r="UT978" s="184"/>
      <c r="UU978" s="185"/>
      <c r="UV978" s="184"/>
      <c r="UW978" s="184"/>
      <c r="UX978" s="184"/>
      <c r="UY978" s="187"/>
      <c r="UZ978" s="188"/>
      <c r="VB978" s="182"/>
      <c r="VC978" s="183"/>
      <c r="VJ978" s="267"/>
      <c r="VK978" s="269"/>
      <c r="VL978" s="267"/>
      <c r="VM978" s="267"/>
      <c r="VN978" s="184"/>
      <c r="VO978" s="184"/>
      <c r="VP978" s="185"/>
      <c r="VQ978" s="184"/>
      <c r="VR978" s="184"/>
      <c r="VS978" s="184"/>
      <c r="VT978" s="187"/>
      <c r="VU978" s="188"/>
      <c r="VW978" s="182"/>
      <c r="VX978" s="183"/>
      <c r="WE978" s="267"/>
      <c r="WF978" s="269"/>
      <c r="WG978" s="267"/>
      <c r="WH978" s="267"/>
      <c r="WI978" s="184"/>
      <c r="WJ978" s="184"/>
      <c r="WK978" s="185"/>
      <c r="WL978" s="184"/>
      <c r="WM978" s="184"/>
      <c r="WN978" s="184"/>
      <c r="WO978" s="187"/>
      <c r="WP978" s="188"/>
      <c r="WR978" s="182"/>
      <c r="WS978" s="183"/>
      <c r="WZ978" s="267"/>
      <c r="XA978" s="269"/>
      <c r="XB978" s="267"/>
      <c r="XC978" s="267"/>
      <c r="XD978" s="184"/>
      <c r="XE978" s="184"/>
      <c r="XF978" s="185"/>
      <c r="XG978" s="184"/>
      <c r="XH978" s="184"/>
      <c r="XI978" s="184"/>
      <c r="XJ978" s="187"/>
      <c r="XK978" s="188"/>
      <c r="XM978" s="182"/>
      <c r="XN978" s="183"/>
      <c r="XU978" s="267"/>
      <c r="XV978" s="269"/>
      <c r="XW978" s="267"/>
      <c r="XX978" s="267"/>
      <c r="XY978" s="184"/>
      <c r="XZ978" s="184"/>
      <c r="YA978" s="185"/>
      <c r="YB978" s="184"/>
      <c r="YC978" s="184"/>
      <c r="YD978" s="184"/>
      <c r="YE978" s="187"/>
      <c r="YF978" s="188"/>
      <c r="YH978" s="182"/>
      <c r="YI978" s="183"/>
      <c r="YP978" s="267"/>
      <c r="YQ978" s="269"/>
      <c r="YR978" s="267"/>
      <c r="YS978" s="267"/>
      <c r="YT978" s="184"/>
      <c r="YU978" s="184"/>
      <c r="YV978" s="185"/>
      <c r="YW978" s="184"/>
      <c r="YX978" s="184"/>
      <c r="YY978" s="184"/>
      <c r="YZ978" s="187"/>
      <c r="ZA978" s="188"/>
      <c r="ZC978" s="182"/>
      <c r="ZD978" s="183"/>
      <c r="ZK978" s="267"/>
      <c r="ZL978" s="269"/>
      <c r="ZM978" s="267"/>
      <c r="ZN978" s="267"/>
      <c r="ZO978" s="184"/>
      <c r="ZP978" s="184"/>
      <c r="ZQ978" s="185"/>
      <c r="ZR978" s="184"/>
      <c r="ZS978" s="184"/>
      <c r="ZT978" s="184"/>
      <c r="ZU978" s="187"/>
      <c r="ZV978" s="188"/>
      <c r="ZX978" s="182"/>
      <c r="ZY978" s="183"/>
      <c r="AAF978" s="267"/>
      <c r="AAG978" s="269"/>
      <c r="AAH978" s="267"/>
      <c r="AAI978" s="267"/>
      <c r="AAJ978" s="184"/>
      <c r="AAK978" s="184"/>
      <c r="AAL978" s="185"/>
      <c r="AAM978" s="184"/>
      <c r="AAN978" s="184"/>
      <c r="AAO978" s="184"/>
      <c r="AAP978" s="187"/>
      <c r="AAQ978" s="188"/>
      <c r="AAS978" s="182"/>
      <c r="AAT978" s="183"/>
      <c r="ABA978" s="267"/>
      <c r="ABB978" s="269"/>
      <c r="ABC978" s="267"/>
      <c r="ABD978" s="267"/>
      <c r="ABE978" s="184"/>
      <c r="ABF978" s="184"/>
      <c r="ABG978" s="185"/>
      <c r="ABH978" s="184"/>
      <c r="ABI978" s="184"/>
      <c r="ABJ978" s="184"/>
      <c r="ABK978" s="187"/>
      <c r="ABL978" s="188"/>
      <c r="ABN978" s="182"/>
      <c r="ABO978" s="183"/>
      <c r="ABV978" s="267"/>
      <c r="ABW978" s="269"/>
      <c r="ABX978" s="267"/>
      <c r="ABY978" s="267"/>
      <c r="ABZ978" s="184"/>
      <c r="ACA978" s="184"/>
      <c r="ACB978" s="185"/>
      <c r="ACC978" s="184"/>
      <c r="ACD978" s="184"/>
      <c r="ACE978" s="184"/>
      <c r="ACF978" s="187"/>
      <c r="ACG978" s="188"/>
      <c r="ACI978" s="182"/>
      <c r="ACJ978" s="183"/>
      <c r="ACQ978" s="267"/>
      <c r="ACR978" s="269"/>
      <c r="ACS978" s="267"/>
      <c r="ACT978" s="267"/>
      <c r="ACU978" s="184"/>
      <c r="ACV978" s="184"/>
      <c r="ACW978" s="185"/>
      <c r="ACX978" s="184"/>
      <c r="ACY978" s="184"/>
      <c r="ACZ978" s="184"/>
      <c r="ADA978" s="187"/>
      <c r="ADB978" s="188"/>
      <c r="ADD978" s="182"/>
      <c r="ADE978" s="183"/>
      <c r="ADL978" s="267"/>
      <c r="ADM978" s="269"/>
      <c r="ADN978" s="267"/>
      <c r="ADO978" s="267"/>
      <c r="ADP978" s="184"/>
      <c r="ADQ978" s="184"/>
      <c r="ADR978" s="185"/>
      <c r="ADS978" s="184"/>
      <c r="ADT978" s="184"/>
      <c r="ADU978" s="184"/>
      <c r="ADV978" s="187"/>
      <c r="ADW978" s="188"/>
      <c r="ADY978" s="182"/>
      <c r="ADZ978" s="183"/>
      <c r="AEG978" s="267"/>
      <c r="AEH978" s="269"/>
      <c r="AEI978" s="267"/>
      <c r="AEJ978" s="267"/>
      <c r="AEK978" s="184"/>
      <c r="AEL978" s="184"/>
      <c r="AEM978" s="185"/>
      <c r="AEN978" s="184"/>
      <c r="AEO978" s="184"/>
      <c r="AEP978" s="184"/>
      <c r="AEQ978" s="187"/>
      <c r="AER978" s="188"/>
      <c r="AET978" s="182"/>
      <c r="AEU978" s="183"/>
      <c r="AFB978" s="267"/>
      <c r="AFC978" s="269"/>
      <c r="AFD978" s="267"/>
      <c r="AFE978" s="267"/>
      <c r="AFF978" s="184"/>
      <c r="AFG978" s="184"/>
      <c r="AFH978" s="185"/>
      <c r="AFI978" s="184"/>
      <c r="AFJ978" s="184"/>
      <c r="AFK978" s="184"/>
      <c r="AFL978" s="187"/>
      <c r="AFM978" s="188"/>
      <c r="AFO978" s="182"/>
      <c r="AFP978" s="183"/>
      <c r="AFW978" s="267"/>
      <c r="AFX978" s="269"/>
      <c r="AFY978" s="267"/>
      <c r="AFZ978" s="267"/>
      <c r="AGA978" s="184"/>
      <c r="AGB978" s="184"/>
      <c r="AGC978" s="185"/>
      <c r="AGD978" s="184"/>
      <c r="AGE978" s="184"/>
      <c r="AGF978" s="184"/>
      <c r="AGG978" s="187"/>
      <c r="AGH978" s="188"/>
      <c r="AGJ978" s="182"/>
      <c r="AGK978" s="183"/>
      <c r="AGR978" s="267"/>
      <c r="AGS978" s="269"/>
      <c r="AGT978" s="267"/>
      <c r="AGU978" s="267"/>
      <c r="AGV978" s="184"/>
      <c r="AGW978" s="184"/>
      <c r="AGX978" s="185"/>
      <c r="AGY978" s="184"/>
      <c r="AGZ978" s="184"/>
      <c r="AHA978" s="184"/>
      <c r="AHB978" s="187"/>
      <c r="AHC978" s="188"/>
      <c r="AHE978" s="182"/>
      <c r="AHF978" s="183"/>
      <c r="AHM978" s="267"/>
      <c r="AHN978" s="269"/>
      <c r="AHO978" s="267"/>
      <c r="AHP978" s="267"/>
      <c r="AHQ978" s="184"/>
      <c r="AHR978" s="184"/>
      <c r="AHS978" s="185"/>
      <c r="AHT978" s="184"/>
      <c r="AHU978" s="184"/>
      <c r="AHV978" s="184"/>
      <c r="AHW978" s="187"/>
      <c r="AHX978" s="188"/>
      <c r="AHZ978" s="182"/>
      <c r="AIA978" s="183"/>
      <c r="AIH978" s="267"/>
      <c r="AII978" s="269"/>
      <c r="AIJ978" s="267"/>
      <c r="AIK978" s="267"/>
      <c r="AIL978" s="184"/>
      <c r="AIM978" s="184"/>
      <c r="AIN978" s="185"/>
      <c r="AIO978" s="184"/>
      <c r="AIP978" s="184"/>
      <c r="AIQ978" s="184"/>
      <c r="AIR978" s="187"/>
      <c r="AIS978" s="188"/>
      <c r="AIU978" s="182"/>
      <c r="AIV978" s="183"/>
      <c r="AJC978" s="267"/>
      <c r="AJD978" s="269"/>
      <c r="AJE978" s="267"/>
      <c r="AJF978" s="267"/>
      <c r="AJG978" s="184"/>
      <c r="AJH978" s="184"/>
      <c r="AJI978" s="185"/>
      <c r="AJJ978" s="184"/>
      <c r="AJK978" s="184"/>
      <c r="AJL978" s="184"/>
      <c r="AJM978" s="187"/>
      <c r="AJN978" s="188"/>
      <c r="AJP978" s="182"/>
      <c r="AJQ978" s="183"/>
      <c r="AJX978" s="267"/>
      <c r="AJY978" s="269"/>
      <c r="AJZ978" s="267"/>
      <c r="AKA978" s="267"/>
      <c r="AKB978" s="184"/>
      <c r="AKC978" s="184"/>
      <c r="AKD978" s="185"/>
      <c r="AKE978" s="184"/>
      <c r="AKF978" s="184"/>
      <c r="AKG978" s="184"/>
      <c r="AKH978" s="187"/>
      <c r="AKI978" s="188"/>
      <c r="AKK978" s="182"/>
      <c r="AKL978" s="183"/>
      <c r="AKS978" s="267"/>
      <c r="AKT978" s="269"/>
      <c r="AKU978" s="267"/>
      <c r="AKV978" s="267"/>
      <c r="AKW978" s="184"/>
      <c r="AKX978" s="184"/>
      <c r="AKY978" s="185"/>
      <c r="AKZ978" s="184"/>
      <c r="ALA978" s="184"/>
      <c r="ALB978" s="184"/>
      <c r="ALC978" s="187"/>
      <c r="ALD978" s="188"/>
      <c r="ALF978" s="182"/>
      <c r="ALG978" s="183"/>
      <c r="ALN978" s="267"/>
      <c r="ALO978" s="269"/>
      <c r="ALP978" s="267"/>
      <c r="ALQ978" s="267"/>
      <c r="ALR978" s="184"/>
      <c r="ALS978" s="184"/>
      <c r="ALT978" s="185"/>
      <c r="ALU978" s="184"/>
      <c r="ALV978" s="184"/>
      <c r="ALW978" s="184"/>
      <c r="ALX978" s="187"/>
      <c r="ALY978" s="188"/>
      <c r="AMA978" s="182"/>
      <c r="AMB978" s="183"/>
      <c r="AMI978" s="267"/>
      <c r="AMJ978" s="269"/>
      <c r="AMK978" s="267"/>
      <c r="AML978" s="267"/>
      <c r="AMM978" s="184"/>
      <c r="AMN978" s="184"/>
      <c r="AMO978" s="185"/>
      <c r="AMP978" s="184"/>
      <c r="AMQ978" s="184"/>
      <c r="AMR978" s="184"/>
      <c r="AMS978" s="187"/>
      <c r="AMT978" s="188"/>
      <c r="AMV978" s="182"/>
      <c r="AMW978" s="183"/>
      <c r="AND978" s="267"/>
      <c r="ANE978" s="269"/>
      <c r="ANF978" s="267"/>
      <c r="ANG978" s="267"/>
      <c r="ANH978" s="184"/>
      <c r="ANI978" s="184"/>
      <c r="ANJ978" s="185"/>
      <c r="ANK978" s="184"/>
      <c r="ANL978" s="184"/>
      <c r="ANM978" s="184"/>
      <c r="ANN978" s="187"/>
      <c r="ANO978" s="188"/>
      <c r="ANQ978" s="182"/>
      <c r="ANR978" s="183"/>
      <c r="ANY978" s="267"/>
      <c r="ANZ978" s="269"/>
      <c r="AOA978" s="267"/>
      <c r="AOB978" s="267"/>
      <c r="AOC978" s="184"/>
      <c r="AOD978" s="184"/>
      <c r="AOE978" s="185"/>
      <c r="AOF978" s="184"/>
      <c r="AOG978" s="184"/>
      <c r="AOH978" s="184"/>
      <c r="AOI978" s="187"/>
      <c r="AOJ978" s="188"/>
      <c r="AOL978" s="182"/>
      <c r="AOM978" s="183"/>
      <c r="AOT978" s="267"/>
      <c r="AOU978" s="269"/>
      <c r="AOV978" s="267"/>
      <c r="AOW978" s="267"/>
      <c r="AOX978" s="184"/>
      <c r="AOY978" s="184"/>
      <c r="AOZ978" s="185"/>
      <c r="APA978" s="184"/>
      <c r="APB978" s="184"/>
      <c r="APC978" s="184"/>
      <c r="APD978" s="187"/>
      <c r="APE978" s="188"/>
      <c r="APG978" s="182"/>
      <c r="APH978" s="183"/>
      <c r="APO978" s="267"/>
      <c r="APP978" s="269"/>
      <c r="APQ978" s="267"/>
      <c r="APR978" s="267"/>
      <c r="APS978" s="184"/>
      <c r="APT978" s="184"/>
      <c r="APU978" s="185"/>
      <c r="APV978" s="184"/>
      <c r="APW978" s="184"/>
      <c r="APX978" s="184"/>
      <c r="APY978" s="187"/>
      <c r="APZ978" s="188"/>
      <c r="AQB978" s="182"/>
      <c r="AQC978" s="183"/>
      <c r="AQJ978" s="267"/>
      <c r="AQK978" s="269"/>
      <c r="AQL978" s="267"/>
      <c r="AQM978" s="267"/>
      <c r="AQN978" s="184"/>
      <c r="AQO978" s="184"/>
      <c r="AQP978" s="185"/>
      <c r="AQQ978" s="184"/>
      <c r="AQR978" s="184"/>
      <c r="AQS978" s="184"/>
      <c r="AQT978" s="187"/>
      <c r="AQU978" s="188"/>
      <c r="AQW978" s="182"/>
      <c r="AQX978" s="183"/>
      <c r="ARE978" s="267"/>
      <c r="ARF978" s="269"/>
      <c r="ARG978" s="267"/>
      <c r="ARH978" s="267"/>
      <c r="ARI978" s="184"/>
      <c r="ARJ978" s="184"/>
      <c r="ARK978" s="185"/>
      <c r="ARL978" s="184"/>
      <c r="ARM978" s="184"/>
      <c r="ARN978" s="184"/>
      <c r="ARO978" s="187"/>
      <c r="ARP978" s="188"/>
      <c r="ARR978" s="182"/>
      <c r="ARS978" s="183"/>
      <c r="ARZ978" s="267"/>
      <c r="ASA978" s="269"/>
      <c r="ASB978" s="267"/>
      <c r="ASC978" s="267"/>
      <c r="ASD978" s="184"/>
      <c r="ASE978" s="184"/>
      <c r="ASF978" s="185"/>
      <c r="ASG978" s="184"/>
      <c r="ASH978" s="184"/>
      <c r="ASI978" s="184"/>
      <c r="ASJ978" s="187"/>
      <c r="ASK978" s="188"/>
      <c r="ASM978" s="182"/>
      <c r="ASN978" s="183"/>
      <c r="ASU978" s="267"/>
      <c r="ASV978" s="269"/>
      <c r="ASW978" s="267"/>
      <c r="ASX978" s="267"/>
      <c r="ASY978" s="184"/>
      <c r="ASZ978" s="184"/>
      <c r="ATA978" s="185"/>
      <c r="ATB978" s="184"/>
      <c r="ATC978" s="184"/>
      <c r="ATD978" s="184"/>
      <c r="ATE978" s="187"/>
      <c r="ATF978" s="188"/>
      <c r="ATH978" s="182"/>
      <c r="ATI978" s="183"/>
      <c r="ATP978" s="267"/>
      <c r="ATQ978" s="269"/>
      <c r="ATR978" s="267"/>
      <c r="ATS978" s="267"/>
      <c r="ATT978" s="184"/>
      <c r="ATU978" s="184"/>
      <c r="ATV978" s="185"/>
      <c r="ATW978" s="184"/>
      <c r="ATX978" s="184"/>
      <c r="ATY978" s="184"/>
      <c r="ATZ978" s="187"/>
      <c r="AUA978" s="188"/>
      <c r="AUC978" s="182"/>
      <c r="AUD978" s="183"/>
      <c r="AUK978" s="267"/>
      <c r="AUL978" s="269"/>
      <c r="AUM978" s="267"/>
      <c r="AUN978" s="267"/>
      <c r="AUO978" s="184"/>
      <c r="AUP978" s="184"/>
      <c r="AUQ978" s="185"/>
      <c r="AUR978" s="184"/>
      <c r="AUS978" s="184"/>
      <c r="AUT978" s="184"/>
      <c r="AUU978" s="187"/>
      <c r="AUV978" s="188"/>
      <c r="AUX978" s="182"/>
      <c r="AUY978" s="183"/>
      <c r="AVF978" s="267"/>
      <c r="AVG978" s="269"/>
      <c r="AVH978" s="267"/>
      <c r="AVI978" s="267"/>
      <c r="AVJ978" s="184"/>
      <c r="AVK978" s="184"/>
      <c r="AVL978" s="185"/>
      <c r="AVM978" s="184"/>
      <c r="AVN978" s="184"/>
      <c r="AVO978" s="184"/>
      <c r="AVP978" s="187"/>
      <c r="AVQ978" s="188"/>
      <c r="AVS978" s="182"/>
      <c r="AVT978" s="183"/>
      <c r="AWA978" s="267"/>
      <c r="AWB978" s="269"/>
      <c r="AWC978" s="267"/>
      <c r="AWD978" s="267"/>
      <c r="AWE978" s="184"/>
      <c r="AWF978" s="184"/>
      <c r="AWG978" s="185"/>
      <c r="AWH978" s="184"/>
      <c r="AWI978" s="184"/>
      <c r="AWJ978" s="184"/>
      <c r="AWK978" s="187"/>
      <c r="AWL978" s="188"/>
      <c r="AWN978" s="182"/>
      <c r="AWO978" s="183"/>
      <c r="AWV978" s="267"/>
      <c r="AWW978" s="269"/>
      <c r="AWX978" s="267"/>
      <c r="AWY978" s="267"/>
      <c r="AWZ978" s="184"/>
      <c r="AXA978" s="184"/>
      <c r="AXB978" s="185"/>
      <c r="AXC978" s="184"/>
      <c r="AXD978" s="184"/>
      <c r="AXE978" s="184"/>
      <c r="AXF978" s="187"/>
      <c r="AXG978" s="188"/>
      <c r="AXI978" s="182"/>
      <c r="AXJ978" s="183"/>
      <c r="AXQ978" s="267"/>
      <c r="AXR978" s="269"/>
      <c r="AXS978" s="267"/>
      <c r="AXT978" s="267"/>
      <c r="AXU978" s="184"/>
      <c r="AXV978" s="184"/>
      <c r="AXW978" s="185"/>
      <c r="AXX978" s="184"/>
      <c r="AXY978" s="184"/>
      <c r="AXZ978" s="184"/>
      <c r="AYA978" s="187"/>
      <c r="AYB978" s="188"/>
      <c r="AYD978" s="182"/>
      <c r="AYE978" s="183"/>
      <c r="AYL978" s="267"/>
      <c r="AYM978" s="269"/>
      <c r="AYN978" s="267"/>
      <c r="AYO978" s="267"/>
      <c r="AYP978" s="184"/>
      <c r="AYQ978" s="184"/>
      <c r="AYR978" s="185"/>
      <c r="AYS978" s="184"/>
      <c r="AYT978" s="184"/>
      <c r="AYU978" s="184"/>
      <c r="AYV978" s="187"/>
      <c r="AYW978" s="188"/>
      <c r="AYY978" s="182"/>
      <c r="AYZ978" s="183"/>
      <c r="AZG978" s="267"/>
      <c r="AZH978" s="269"/>
      <c r="AZI978" s="267"/>
      <c r="AZJ978" s="267"/>
      <c r="AZK978" s="184"/>
      <c r="AZL978" s="184"/>
      <c r="AZM978" s="185"/>
      <c r="AZN978" s="184"/>
      <c r="AZO978" s="184"/>
      <c r="AZP978" s="184"/>
      <c r="AZQ978" s="187"/>
      <c r="AZR978" s="188"/>
      <c r="AZT978" s="182"/>
      <c r="AZU978" s="183"/>
      <c r="BAB978" s="267"/>
      <c r="BAC978" s="269"/>
      <c r="BAD978" s="267"/>
      <c r="BAE978" s="267"/>
      <c r="BAF978" s="184"/>
      <c r="BAG978" s="184"/>
      <c r="BAH978" s="185"/>
      <c r="BAI978" s="184"/>
      <c r="BAJ978" s="184"/>
      <c r="BAK978" s="184"/>
      <c r="BAL978" s="187"/>
      <c r="BAM978" s="188"/>
      <c r="BAO978" s="182"/>
      <c r="BAP978" s="183"/>
      <c r="BAW978" s="267"/>
      <c r="BAX978" s="269"/>
      <c r="BAY978" s="267"/>
      <c r="BAZ978" s="267"/>
      <c r="BBA978" s="184"/>
      <c r="BBB978" s="184"/>
      <c r="BBC978" s="185"/>
      <c r="BBD978" s="184"/>
      <c r="BBE978" s="184"/>
      <c r="BBF978" s="184"/>
      <c r="BBG978" s="187"/>
      <c r="BBH978" s="188"/>
      <c r="BBJ978" s="182"/>
      <c r="BBK978" s="183"/>
      <c r="BBR978" s="267"/>
      <c r="BBS978" s="269"/>
      <c r="BBT978" s="267"/>
      <c r="BBU978" s="267"/>
      <c r="BBV978" s="184"/>
      <c r="BBW978" s="184"/>
      <c r="BBX978" s="185"/>
      <c r="BBY978" s="184"/>
      <c r="BBZ978" s="184"/>
      <c r="BCA978" s="184"/>
      <c r="BCB978" s="187"/>
      <c r="BCC978" s="188"/>
      <c r="BCE978" s="182"/>
      <c r="BCF978" s="183"/>
      <c r="BCM978" s="267"/>
      <c r="BCN978" s="269"/>
      <c r="BCO978" s="267"/>
      <c r="BCP978" s="267"/>
      <c r="BCQ978" s="184"/>
      <c r="BCR978" s="184"/>
      <c r="BCS978" s="185"/>
      <c r="BCT978" s="184"/>
      <c r="BCU978" s="184"/>
      <c r="BCV978" s="184"/>
      <c r="BCW978" s="187"/>
      <c r="BCX978" s="188"/>
      <c r="BCZ978" s="182"/>
      <c r="BDA978" s="183"/>
      <c r="BDH978" s="267"/>
      <c r="BDI978" s="269"/>
      <c r="BDJ978" s="267"/>
      <c r="BDK978" s="267"/>
      <c r="BDL978" s="184"/>
      <c r="BDM978" s="184"/>
      <c r="BDN978" s="185"/>
      <c r="BDO978" s="184"/>
      <c r="BDP978" s="184"/>
      <c r="BDQ978" s="184"/>
      <c r="BDR978" s="187"/>
      <c r="BDS978" s="188"/>
      <c r="BDU978" s="182"/>
      <c r="BDV978" s="183"/>
      <c r="BEC978" s="267"/>
      <c r="BED978" s="269"/>
      <c r="BEE978" s="267"/>
      <c r="BEF978" s="267"/>
      <c r="BEG978" s="184"/>
      <c r="BEH978" s="184"/>
      <c r="BEI978" s="185"/>
      <c r="BEJ978" s="184"/>
      <c r="BEK978" s="184"/>
      <c r="BEL978" s="184"/>
      <c r="BEM978" s="187"/>
      <c r="BEN978" s="188"/>
      <c r="BEP978" s="182"/>
      <c r="BEQ978" s="183"/>
      <c r="BEX978" s="267"/>
      <c r="BEY978" s="269"/>
      <c r="BEZ978" s="267"/>
      <c r="BFA978" s="267"/>
      <c r="BFB978" s="184"/>
      <c r="BFC978" s="184"/>
      <c r="BFD978" s="185"/>
      <c r="BFE978" s="184"/>
      <c r="BFF978" s="184"/>
      <c r="BFG978" s="184"/>
      <c r="BFH978" s="187"/>
      <c r="BFI978" s="188"/>
      <c r="BFK978" s="182"/>
      <c r="BFL978" s="183"/>
      <c r="BFS978" s="267"/>
      <c r="BFT978" s="269"/>
      <c r="BFU978" s="267"/>
      <c r="BFV978" s="267"/>
      <c r="BFW978" s="184"/>
      <c r="BFX978" s="184"/>
      <c r="BFY978" s="185"/>
      <c r="BFZ978" s="184"/>
      <c r="BGA978" s="184"/>
      <c r="BGB978" s="184"/>
      <c r="BGC978" s="187"/>
      <c r="BGD978" s="188"/>
      <c r="BGF978" s="182"/>
      <c r="BGG978" s="183"/>
      <c r="BGN978" s="267"/>
      <c r="BGO978" s="269"/>
      <c r="BGP978" s="267"/>
      <c r="BGQ978" s="267"/>
      <c r="BGR978" s="184"/>
      <c r="BGS978" s="184"/>
      <c r="BGT978" s="185"/>
      <c r="BGU978" s="184"/>
      <c r="BGV978" s="184"/>
      <c r="BGW978" s="184"/>
      <c r="BGX978" s="187"/>
      <c r="BGY978" s="188"/>
      <c r="BHA978" s="182"/>
      <c r="BHB978" s="183"/>
      <c r="BHI978" s="267"/>
      <c r="BHJ978" s="269"/>
      <c r="BHK978" s="267"/>
      <c r="BHL978" s="267"/>
      <c r="BHM978" s="184"/>
      <c r="BHN978" s="184"/>
      <c r="BHO978" s="185"/>
      <c r="BHP978" s="184"/>
      <c r="BHQ978" s="184"/>
      <c r="BHR978" s="184"/>
      <c r="BHS978" s="187"/>
      <c r="BHT978" s="188"/>
      <c r="BHV978" s="182"/>
      <c r="BHW978" s="183"/>
      <c r="BID978" s="267"/>
      <c r="BIE978" s="269"/>
      <c r="BIF978" s="267"/>
      <c r="BIG978" s="267"/>
      <c r="BIH978" s="184"/>
      <c r="BII978" s="184"/>
      <c r="BIJ978" s="185"/>
      <c r="BIK978" s="184"/>
      <c r="BIL978" s="184"/>
      <c r="BIM978" s="184"/>
      <c r="BIN978" s="187"/>
      <c r="BIO978" s="188"/>
      <c r="BIQ978" s="182"/>
      <c r="BIR978" s="183"/>
      <c r="BIY978" s="267"/>
      <c r="BIZ978" s="269"/>
      <c r="BJA978" s="267"/>
      <c r="BJB978" s="267"/>
      <c r="BJC978" s="184"/>
      <c r="BJD978" s="184"/>
      <c r="BJE978" s="185"/>
      <c r="BJF978" s="184"/>
      <c r="BJG978" s="184"/>
      <c r="BJH978" s="184"/>
      <c r="BJI978" s="187"/>
      <c r="BJJ978" s="188"/>
      <c r="BJL978" s="182"/>
      <c r="BJM978" s="183"/>
      <c r="BJT978" s="267"/>
      <c r="BJU978" s="269"/>
      <c r="BJV978" s="267"/>
      <c r="BJW978" s="267"/>
      <c r="BJX978" s="184"/>
      <c r="BJY978" s="184"/>
      <c r="BJZ978" s="185"/>
      <c r="BKA978" s="184"/>
      <c r="BKB978" s="184"/>
      <c r="BKC978" s="184"/>
      <c r="BKD978" s="187"/>
      <c r="BKE978" s="188"/>
      <c r="BKG978" s="182"/>
      <c r="BKH978" s="183"/>
      <c r="BKO978" s="267"/>
      <c r="BKP978" s="269"/>
      <c r="BKQ978" s="267"/>
      <c r="BKR978" s="267"/>
      <c r="BKS978" s="184"/>
      <c r="BKT978" s="184"/>
      <c r="BKU978" s="185"/>
      <c r="BKV978" s="184"/>
      <c r="BKW978" s="184"/>
      <c r="BKX978" s="184"/>
      <c r="BKY978" s="187"/>
      <c r="BKZ978" s="188"/>
      <c r="BLB978" s="182"/>
      <c r="BLC978" s="183"/>
      <c r="BLJ978" s="267"/>
      <c r="BLK978" s="269"/>
      <c r="BLL978" s="267"/>
      <c r="BLM978" s="267"/>
      <c r="BLN978" s="184"/>
      <c r="BLO978" s="184"/>
      <c r="BLP978" s="185"/>
      <c r="BLQ978" s="184"/>
      <c r="BLR978" s="184"/>
      <c r="BLS978" s="184"/>
      <c r="BLT978" s="187"/>
      <c r="BLU978" s="188"/>
      <c r="BLW978" s="182"/>
      <c r="BLX978" s="183"/>
      <c r="BME978" s="267"/>
      <c r="BMF978" s="269"/>
      <c r="BMG978" s="267"/>
      <c r="BMH978" s="267"/>
      <c r="BMI978" s="184"/>
      <c r="BMJ978" s="184"/>
      <c r="BMK978" s="185"/>
      <c r="BML978" s="184"/>
      <c r="BMM978" s="184"/>
      <c r="BMN978" s="184"/>
      <c r="BMO978" s="187"/>
      <c r="BMP978" s="188"/>
      <c r="BMR978" s="182"/>
      <c r="BMS978" s="183"/>
      <c r="BMZ978" s="267"/>
      <c r="BNA978" s="269"/>
      <c r="BNB978" s="267"/>
      <c r="BNC978" s="267"/>
      <c r="BND978" s="184"/>
      <c r="BNE978" s="184"/>
      <c r="BNF978" s="185"/>
      <c r="BNG978" s="184"/>
      <c r="BNH978" s="184"/>
      <c r="BNI978" s="184"/>
      <c r="BNJ978" s="187"/>
      <c r="BNK978" s="188"/>
      <c r="BNM978" s="182"/>
      <c r="BNN978" s="183"/>
      <c r="BNU978" s="267"/>
      <c r="BNV978" s="269"/>
      <c r="BNW978" s="267"/>
      <c r="BNX978" s="267"/>
      <c r="BNY978" s="184"/>
      <c r="BNZ978" s="184"/>
      <c r="BOA978" s="185"/>
      <c r="BOB978" s="184"/>
      <c r="BOC978" s="184"/>
      <c r="BOD978" s="184"/>
      <c r="BOE978" s="187"/>
      <c r="BOF978" s="188"/>
      <c r="BOH978" s="182"/>
      <c r="BOI978" s="183"/>
      <c r="BOP978" s="267"/>
      <c r="BOQ978" s="269"/>
      <c r="BOR978" s="267"/>
      <c r="BOS978" s="267"/>
      <c r="BOT978" s="184"/>
      <c r="BOU978" s="184"/>
      <c r="BOV978" s="185"/>
      <c r="BOW978" s="184"/>
      <c r="BOX978" s="184"/>
      <c r="BOY978" s="184"/>
      <c r="BOZ978" s="187"/>
      <c r="BPA978" s="188"/>
      <c r="BPC978" s="182"/>
      <c r="BPD978" s="183"/>
      <c r="BPK978" s="267"/>
      <c r="BPL978" s="269"/>
      <c r="BPM978" s="267"/>
      <c r="BPN978" s="267"/>
      <c r="BPO978" s="184"/>
      <c r="BPP978" s="184"/>
      <c r="BPQ978" s="185"/>
      <c r="BPR978" s="184"/>
      <c r="BPS978" s="184"/>
      <c r="BPT978" s="184"/>
      <c r="BPU978" s="187"/>
      <c r="BPV978" s="188"/>
      <c r="BPX978" s="182"/>
      <c r="BPY978" s="183"/>
      <c r="BQF978" s="267"/>
      <c r="BQG978" s="269"/>
      <c r="BQH978" s="267"/>
      <c r="BQI978" s="267"/>
      <c r="BQJ978" s="184"/>
      <c r="BQK978" s="184"/>
      <c r="BQL978" s="185"/>
      <c r="BQM978" s="184"/>
      <c r="BQN978" s="184"/>
      <c r="BQO978" s="184"/>
      <c r="BQP978" s="187"/>
      <c r="BQQ978" s="188"/>
      <c r="BQS978" s="182"/>
      <c r="BQT978" s="183"/>
      <c r="BRA978" s="267"/>
      <c r="BRB978" s="269"/>
      <c r="BRC978" s="267"/>
      <c r="BRD978" s="267"/>
      <c r="BRE978" s="184"/>
      <c r="BRF978" s="184"/>
      <c r="BRG978" s="185"/>
      <c r="BRH978" s="184"/>
      <c r="BRI978" s="184"/>
      <c r="BRJ978" s="184"/>
      <c r="BRK978" s="187"/>
      <c r="BRL978" s="188"/>
      <c r="BRN978" s="182"/>
      <c r="BRO978" s="183"/>
      <c r="BRV978" s="267"/>
      <c r="BRW978" s="269"/>
      <c r="BRX978" s="267"/>
      <c r="BRY978" s="267"/>
      <c r="BRZ978" s="184"/>
      <c r="BSA978" s="184"/>
      <c r="BSB978" s="185"/>
      <c r="BSC978" s="184"/>
      <c r="BSD978" s="184"/>
      <c r="BSE978" s="184"/>
      <c r="BSF978" s="187"/>
      <c r="BSG978" s="188"/>
      <c r="BSI978" s="182"/>
      <c r="BSJ978" s="183"/>
      <c r="BSQ978" s="267"/>
      <c r="BSR978" s="269"/>
      <c r="BSS978" s="267"/>
      <c r="BST978" s="267"/>
      <c r="BSU978" s="184"/>
      <c r="BSV978" s="184"/>
      <c r="BSW978" s="185"/>
      <c r="BSX978" s="184"/>
      <c r="BSY978" s="184"/>
      <c r="BSZ978" s="184"/>
      <c r="BTA978" s="187"/>
      <c r="BTB978" s="188"/>
      <c r="BTD978" s="182"/>
      <c r="BTE978" s="183"/>
      <c r="BTL978" s="267"/>
      <c r="BTM978" s="269"/>
      <c r="BTN978" s="267"/>
      <c r="BTO978" s="267"/>
      <c r="BTP978" s="184"/>
      <c r="BTQ978" s="184"/>
      <c r="BTR978" s="185"/>
      <c r="BTS978" s="184"/>
      <c r="BTT978" s="184"/>
      <c r="BTU978" s="184"/>
      <c r="BTV978" s="187"/>
      <c r="BTW978" s="188"/>
      <c r="BTY978" s="182"/>
      <c r="BTZ978" s="183"/>
      <c r="BUG978" s="267"/>
      <c r="BUH978" s="269"/>
      <c r="BUI978" s="267"/>
      <c r="BUJ978" s="267"/>
      <c r="BUK978" s="184"/>
      <c r="BUL978" s="184"/>
      <c r="BUM978" s="185"/>
      <c r="BUN978" s="184"/>
      <c r="BUO978" s="184"/>
      <c r="BUP978" s="184"/>
      <c r="BUQ978" s="187"/>
      <c r="BUR978" s="188"/>
      <c r="BUT978" s="182"/>
      <c r="BUU978" s="183"/>
      <c r="BVB978" s="267"/>
      <c r="BVC978" s="269"/>
      <c r="BVD978" s="267"/>
      <c r="BVE978" s="267"/>
      <c r="BVF978" s="184"/>
      <c r="BVG978" s="184"/>
      <c r="BVH978" s="185"/>
      <c r="BVI978" s="184"/>
      <c r="BVJ978" s="184"/>
      <c r="BVK978" s="184"/>
      <c r="BVL978" s="187"/>
      <c r="BVM978" s="188"/>
      <c r="BVO978" s="182"/>
      <c r="BVP978" s="183"/>
      <c r="BVW978" s="267"/>
      <c r="BVX978" s="269"/>
      <c r="BVY978" s="267"/>
      <c r="BVZ978" s="267"/>
      <c r="BWA978" s="184"/>
      <c r="BWB978" s="184"/>
      <c r="BWC978" s="185"/>
      <c r="BWD978" s="184"/>
      <c r="BWE978" s="184"/>
      <c r="BWF978" s="184"/>
      <c r="BWG978" s="187"/>
      <c r="BWH978" s="188"/>
      <c r="BWJ978" s="182"/>
      <c r="BWK978" s="183"/>
      <c r="BWR978" s="267"/>
      <c r="BWS978" s="269"/>
      <c r="BWT978" s="267"/>
      <c r="BWU978" s="267"/>
      <c r="BWV978" s="184"/>
      <c r="BWW978" s="184"/>
      <c r="BWX978" s="185"/>
      <c r="BWY978" s="184"/>
      <c r="BWZ978" s="184"/>
      <c r="BXA978" s="184"/>
      <c r="BXB978" s="187"/>
      <c r="BXC978" s="188"/>
      <c r="BXE978" s="182"/>
      <c r="BXF978" s="183"/>
      <c r="BXM978" s="267"/>
      <c r="BXN978" s="269"/>
      <c r="BXO978" s="267"/>
      <c r="BXP978" s="267"/>
      <c r="BXQ978" s="184"/>
      <c r="BXR978" s="184"/>
      <c r="BXS978" s="185"/>
      <c r="BXT978" s="184"/>
      <c r="BXU978" s="184"/>
      <c r="BXV978" s="184"/>
      <c r="BXW978" s="187"/>
      <c r="BXX978" s="188"/>
      <c r="BXZ978" s="182"/>
      <c r="BYA978" s="183"/>
      <c r="BYH978" s="267"/>
      <c r="BYI978" s="269"/>
      <c r="BYJ978" s="267"/>
      <c r="BYK978" s="267"/>
      <c r="BYL978" s="184"/>
      <c r="BYM978" s="184"/>
      <c r="BYN978" s="185"/>
      <c r="BYO978" s="184"/>
      <c r="BYP978" s="184"/>
      <c r="BYQ978" s="184"/>
      <c r="BYR978" s="187"/>
      <c r="BYS978" s="188"/>
      <c r="BYU978" s="182"/>
      <c r="BYV978" s="183"/>
      <c r="BZC978" s="267"/>
      <c r="BZD978" s="269"/>
      <c r="BZE978" s="267"/>
      <c r="BZF978" s="267"/>
      <c r="BZG978" s="184"/>
      <c r="BZH978" s="184"/>
      <c r="BZI978" s="185"/>
      <c r="BZJ978" s="184"/>
      <c r="BZK978" s="184"/>
      <c r="BZL978" s="184"/>
      <c r="BZM978" s="187"/>
      <c r="BZN978" s="188"/>
      <c r="BZP978" s="182"/>
      <c r="BZQ978" s="183"/>
      <c r="BZX978" s="267"/>
      <c r="BZY978" s="269"/>
      <c r="BZZ978" s="267"/>
      <c r="CAA978" s="267"/>
      <c r="CAB978" s="184"/>
      <c r="CAC978" s="184"/>
      <c r="CAD978" s="185"/>
      <c r="CAE978" s="184"/>
      <c r="CAF978" s="184"/>
      <c r="CAG978" s="184"/>
      <c r="CAH978" s="187"/>
      <c r="CAI978" s="188"/>
      <c r="CAK978" s="182"/>
      <c r="CAL978" s="183"/>
      <c r="CAS978" s="267"/>
      <c r="CAT978" s="269"/>
      <c r="CAU978" s="267"/>
      <c r="CAV978" s="267"/>
      <c r="CAW978" s="184"/>
      <c r="CAX978" s="184"/>
      <c r="CAY978" s="185"/>
      <c r="CAZ978" s="184"/>
      <c r="CBA978" s="184"/>
      <c r="CBB978" s="184"/>
      <c r="CBC978" s="187"/>
      <c r="CBD978" s="188"/>
      <c r="CBF978" s="182"/>
      <c r="CBG978" s="183"/>
      <c r="CBN978" s="267"/>
      <c r="CBO978" s="269"/>
      <c r="CBP978" s="267"/>
      <c r="CBQ978" s="267"/>
      <c r="CBR978" s="184"/>
      <c r="CBS978" s="184"/>
      <c r="CBT978" s="185"/>
      <c r="CBU978" s="184"/>
      <c r="CBV978" s="184"/>
      <c r="CBW978" s="184"/>
      <c r="CBX978" s="187"/>
      <c r="CBY978" s="188"/>
      <c r="CCA978" s="182"/>
      <c r="CCB978" s="183"/>
      <c r="CCI978" s="267"/>
      <c r="CCJ978" s="269"/>
      <c r="CCK978" s="267"/>
      <c r="CCL978" s="267"/>
      <c r="CCM978" s="184"/>
      <c r="CCN978" s="184"/>
      <c r="CCO978" s="185"/>
      <c r="CCP978" s="184"/>
      <c r="CCQ978" s="184"/>
      <c r="CCR978" s="184"/>
      <c r="CCS978" s="187"/>
      <c r="CCT978" s="188"/>
      <c r="CCV978" s="182"/>
      <c r="CCW978" s="183"/>
      <c r="CDD978" s="267"/>
      <c r="CDE978" s="269"/>
      <c r="CDF978" s="267"/>
      <c r="CDG978" s="267"/>
      <c r="CDH978" s="184"/>
      <c r="CDI978" s="184"/>
      <c r="CDJ978" s="185"/>
      <c r="CDK978" s="184"/>
      <c r="CDL978" s="184"/>
      <c r="CDM978" s="184"/>
      <c r="CDN978" s="187"/>
      <c r="CDO978" s="188"/>
      <c r="CDQ978" s="182"/>
      <c r="CDR978" s="183"/>
      <c r="CDY978" s="267"/>
      <c r="CDZ978" s="269"/>
      <c r="CEA978" s="267"/>
      <c r="CEB978" s="267"/>
      <c r="CEC978" s="184"/>
      <c r="CED978" s="184"/>
      <c r="CEE978" s="185"/>
      <c r="CEF978" s="184"/>
      <c r="CEG978" s="184"/>
      <c r="CEH978" s="184"/>
      <c r="CEI978" s="187"/>
      <c r="CEJ978" s="188"/>
      <c r="CEL978" s="182"/>
      <c r="CEM978" s="183"/>
      <c r="CET978" s="267"/>
      <c r="CEU978" s="269"/>
      <c r="CEV978" s="267"/>
      <c r="CEW978" s="267"/>
      <c r="CEX978" s="184"/>
      <c r="CEY978" s="184"/>
      <c r="CEZ978" s="185"/>
      <c r="CFA978" s="184"/>
      <c r="CFB978" s="184"/>
      <c r="CFC978" s="184"/>
      <c r="CFD978" s="187"/>
      <c r="CFE978" s="188"/>
      <c r="CFG978" s="182"/>
      <c r="CFH978" s="183"/>
      <c r="CFO978" s="267"/>
      <c r="CFP978" s="269"/>
      <c r="CFQ978" s="267"/>
      <c r="CFR978" s="267"/>
      <c r="CFS978" s="184"/>
      <c r="CFT978" s="184"/>
      <c r="CFU978" s="185"/>
      <c r="CFV978" s="184"/>
      <c r="CFW978" s="184"/>
      <c r="CFX978" s="184"/>
      <c r="CFY978" s="187"/>
      <c r="CFZ978" s="188"/>
      <c r="CGB978" s="182"/>
      <c r="CGC978" s="183"/>
      <c r="CGJ978" s="267"/>
      <c r="CGK978" s="269"/>
      <c r="CGL978" s="267"/>
      <c r="CGM978" s="267"/>
      <c r="CGN978" s="184"/>
      <c r="CGO978" s="184"/>
      <c r="CGP978" s="185"/>
      <c r="CGQ978" s="184"/>
      <c r="CGR978" s="184"/>
      <c r="CGS978" s="184"/>
      <c r="CGT978" s="187"/>
      <c r="CGU978" s="188"/>
      <c r="CGW978" s="182"/>
      <c r="CGX978" s="183"/>
      <c r="CHE978" s="267"/>
      <c r="CHF978" s="269"/>
      <c r="CHG978" s="267"/>
      <c r="CHH978" s="267"/>
      <c r="CHI978" s="184"/>
      <c r="CHJ978" s="184"/>
      <c r="CHK978" s="185"/>
      <c r="CHL978" s="184"/>
      <c r="CHM978" s="184"/>
      <c r="CHN978" s="184"/>
      <c r="CHO978" s="187"/>
      <c r="CHP978" s="188"/>
      <c r="CHR978" s="182"/>
      <c r="CHS978" s="183"/>
      <c r="CHZ978" s="267"/>
      <c r="CIA978" s="269"/>
      <c r="CIB978" s="267"/>
      <c r="CIC978" s="267"/>
      <c r="CID978" s="184"/>
      <c r="CIE978" s="184"/>
      <c r="CIF978" s="185"/>
      <c r="CIG978" s="184"/>
      <c r="CIH978" s="184"/>
      <c r="CII978" s="184"/>
      <c r="CIJ978" s="187"/>
      <c r="CIK978" s="188"/>
      <c r="CIM978" s="182"/>
      <c r="CIN978" s="183"/>
      <c r="CIU978" s="267"/>
      <c r="CIV978" s="269"/>
      <c r="CIW978" s="267"/>
      <c r="CIX978" s="267"/>
      <c r="CIY978" s="184"/>
      <c r="CIZ978" s="184"/>
      <c r="CJA978" s="185"/>
      <c r="CJB978" s="184"/>
      <c r="CJC978" s="184"/>
      <c r="CJD978" s="184"/>
      <c r="CJE978" s="187"/>
      <c r="CJF978" s="188"/>
      <c r="CJH978" s="182"/>
      <c r="CJI978" s="183"/>
      <c r="CJP978" s="267"/>
      <c r="CJQ978" s="269"/>
      <c r="CJR978" s="267"/>
      <c r="CJS978" s="267"/>
      <c r="CJT978" s="184"/>
      <c r="CJU978" s="184"/>
      <c r="CJV978" s="185"/>
      <c r="CJW978" s="184"/>
      <c r="CJX978" s="184"/>
      <c r="CJY978" s="184"/>
      <c r="CJZ978" s="187"/>
      <c r="CKA978" s="188"/>
      <c r="CKC978" s="182"/>
      <c r="CKD978" s="183"/>
      <c r="CKK978" s="267"/>
      <c r="CKL978" s="269"/>
      <c r="CKM978" s="267"/>
      <c r="CKN978" s="267"/>
      <c r="CKO978" s="184"/>
      <c r="CKP978" s="184"/>
      <c r="CKQ978" s="185"/>
      <c r="CKR978" s="184"/>
      <c r="CKS978" s="184"/>
      <c r="CKT978" s="184"/>
      <c r="CKU978" s="187"/>
      <c r="CKV978" s="188"/>
      <c r="CKX978" s="182"/>
      <c r="CKY978" s="183"/>
      <c r="CLF978" s="267"/>
      <c r="CLG978" s="269"/>
      <c r="CLH978" s="267"/>
      <c r="CLI978" s="267"/>
      <c r="CLJ978" s="184"/>
      <c r="CLK978" s="184"/>
      <c r="CLL978" s="185"/>
      <c r="CLM978" s="184"/>
      <c r="CLN978" s="184"/>
      <c r="CLO978" s="184"/>
      <c r="CLP978" s="187"/>
      <c r="CLQ978" s="188"/>
      <c r="CLS978" s="182"/>
      <c r="CLT978" s="183"/>
      <c r="CMA978" s="267"/>
      <c r="CMB978" s="269"/>
      <c r="CMC978" s="267"/>
      <c r="CMD978" s="267"/>
      <c r="CME978" s="184"/>
      <c r="CMF978" s="184"/>
      <c r="CMG978" s="185"/>
      <c r="CMH978" s="184"/>
      <c r="CMI978" s="184"/>
      <c r="CMJ978" s="184"/>
      <c r="CMK978" s="187"/>
      <c r="CML978" s="188"/>
      <c r="CMN978" s="182"/>
      <c r="CMO978" s="183"/>
      <c r="CMV978" s="267"/>
      <c r="CMW978" s="269"/>
      <c r="CMX978" s="267"/>
      <c r="CMY978" s="267"/>
      <c r="CMZ978" s="184"/>
      <c r="CNA978" s="184"/>
      <c r="CNB978" s="185"/>
      <c r="CNC978" s="184"/>
      <c r="CND978" s="184"/>
      <c r="CNE978" s="184"/>
      <c r="CNF978" s="187"/>
      <c r="CNG978" s="188"/>
      <c r="CNI978" s="182"/>
      <c r="CNJ978" s="183"/>
      <c r="CNQ978" s="267"/>
      <c r="CNR978" s="269"/>
      <c r="CNS978" s="267"/>
      <c r="CNT978" s="267"/>
      <c r="CNU978" s="184"/>
      <c r="CNV978" s="184"/>
      <c r="CNW978" s="185"/>
      <c r="CNX978" s="184"/>
      <c r="CNY978" s="184"/>
      <c r="CNZ978" s="184"/>
      <c r="COA978" s="187"/>
      <c r="COB978" s="188"/>
      <c r="COD978" s="182"/>
      <c r="COE978" s="183"/>
      <c r="COL978" s="267"/>
      <c r="COM978" s="269"/>
      <c r="CON978" s="267"/>
      <c r="COO978" s="267"/>
      <c r="COP978" s="184"/>
      <c r="COQ978" s="184"/>
      <c r="COR978" s="185"/>
      <c r="COS978" s="184"/>
      <c r="COT978" s="184"/>
      <c r="COU978" s="184"/>
      <c r="COV978" s="187"/>
      <c r="COW978" s="188"/>
      <c r="COY978" s="182"/>
      <c r="COZ978" s="183"/>
      <c r="CPG978" s="267"/>
      <c r="CPH978" s="269"/>
      <c r="CPI978" s="267"/>
      <c r="CPJ978" s="267"/>
      <c r="CPK978" s="184"/>
      <c r="CPL978" s="184"/>
      <c r="CPM978" s="185"/>
      <c r="CPN978" s="184"/>
      <c r="CPO978" s="184"/>
      <c r="CPP978" s="184"/>
      <c r="CPQ978" s="187"/>
      <c r="CPR978" s="188"/>
      <c r="CPT978" s="182"/>
      <c r="CPU978" s="183"/>
      <c r="CQB978" s="267"/>
      <c r="CQC978" s="269"/>
      <c r="CQD978" s="267"/>
      <c r="CQE978" s="267"/>
      <c r="CQF978" s="184"/>
      <c r="CQG978" s="184"/>
      <c r="CQH978" s="185"/>
      <c r="CQI978" s="184"/>
      <c r="CQJ978" s="184"/>
      <c r="CQK978" s="184"/>
      <c r="CQL978" s="187"/>
      <c r="CQM978" s="188"/>
      <c r="CQO978" s="182"/>
      <c r="CQP978" s="183"/>
      <c r="CQW978" s="267"/>
      <c r="CQX978" s="269"/>
      <c r="CQY978" s="267"/>
      <c r="CQZ978" s="267"/>
      <c r="CRA978" s="184"/>
      <c r="CRB978" s="184"/>
      <c r="CRC978" s="185"/>
      <c r="CRD978" s="184"/>
      <c r="CRE978" s="184"/>
      <c r="CRF978" s="184"/>
      <c r="CRG978" s="187"/>
      <c r="CRH978" s="188"/>
      <c r="CRJ978" s="182"/>
      <c r="CRK978" s="183"/>
      <c r="CRR978" s="267"/>
      <c r="CRS978" s="269"/>
      <c r="CRT978" s="267"/>
      <c r="CRU978" s="267"/>
      <c r="CRV978" s="184"/>
      <c r="CRW978" s="184"/>
      <c r="CRX978" s="185"/>
      <c r="CRY978" s="184"/>
      <c r="CRZ978" s="184"/>
      <c r="CSA978" s="184"/>
      <c r="CSB978" s="187"/>
      <c r="CSC978" s="188"/>
      <c r="CSE978" s="182"/>
      <c r="CSF978" s="183"/>
      <c r="CSM978" s="267"/>
      <c r="CSN978" s="269"/>
      <c r="CSO978" s="267"/>
      <c r="CSP978" s="267"/>
      <c r="CSQ978" s="184"/>
      <c r="CSR978" s="184"/>
      <c r="CSS978" s="185"/>
      <c r="CST978" s="184"/>
      <c r="CSU978" s="184"/>
      <c r="CSV978" s="184"/>
      <c r="CSW978" s="187"/>
      <c r="CSX978" s="188"/>
      <c r="CSZ978" s="182"/>
      <c r="CTA978" s="183"/>
      <c r="CTH978" s="267"/>
      <c r="CTI978" s="269"/>
      <c r="CTJ978" s="267"/>
      <c r="CTK978" s="267"/>
      <c r="CTL978" s="184"/>
      <c r="CTM978" s="184"/>
      <c r="CTN978" s="185"/>
      <c r="CTO978" s="184"/>
      <c r="CTP978" s="184"/>
      <c r="CTQ978" s="184"/>
      <c r="CTR978" s="187"/>
      <c r="CTS978" s="188"/>
      <c r="CTU978" s="182"/>
      <c r="CTV978" s="183"/>
      <c r="CUC978" s="267"/>
      <c r="CUD978" s="269"/>
      <c r="CUE978" s="267"/>
      <c r="CUF978" s="267"/>
      <c r="CUG978" s="184"/>
      <c r="CUH978" s="184"/>
      <c r="CUI978" s="185"/>
      <c r="CUJ978" s="184"/>
      <c r="CUK978" s="184"/>
      <c r="CUL978" s="184"/>
      <c r="CUM978" s="187"/>
      <c r="CUN978" s="188"/>
      <c r="CUP978" s="182"/>
      <c r="CUQ978" s="183"/>
      <c r="CUX978" s="267"/>
      <c r="CUY978" s="269"/>
      <c r="CUZ978" s="267"/>
      <c r="CVA978" s="267"/>
      <c r="CVB978" s="184"/>
      <c r="CVC978" s="184"/>
      <c r="CVD978" s="185"/>
      <c r="CVE978" s="184"/>
      <c r="CVF978" s="184"/>
      <c r="CVG978" s="184"/>
      <c r="CVH978" s="187"/>
      <c r="CVI978" s="188"/>
      <c r="CVK978" s="182"/>
      <c r="CVL978" s="183"/>
      <c r="CVS978" s="267"/>
      <c r="CVT978" s="269"/>
      <c r="CVU978" s="267"/>
      <c r="CVV978" s="267"/>
      <c r="CVW978" s="184"/>
      <c r="CVX978" s="184"/>
      <c r="CVY978" s="185"/>
      <c r="CVZ978" s="184"/>
      <c r="CWA978" s="184"/>
      <c r="CWB978" s="184"/>
      <c r="CWC978" s="187"/>
      <c r="CWD978" s="188"/>
      <c r="CWF978" s="182"/>
      <c r="CWG978" s="183"/>
      <c r="CWN978" s="267"/>
      <c r="CWO978" s="269"/>
      <c r="CWP978" s="267"/>
      <c r="CWQ978" s="267"/>
      <c r="CWR978" s="184"/>
      <c r="CWS978" s="184"/>
      <c r="CWT978" s="185"/>
      <c r="CWU978" s="184"/>
      <c r="CWV978" s="184"/>
      <c r="CWW978" s="184"/>
      <c r="CWX978" s="187"/>
      <c r="CWY978" s="188"/>
      <c r="CXA978" s="182"/>
      <c r="CXB978" s="183"/>
      <c r="CXI978" s="267"/>
      <c r="CXJ978" s="269"/>
      <c r="CXK978" s="267"/>
      <c r="CXL978" s="267"/>
      <c r="CXM978" s="184"/>
      <c r="CXN978" s="184"/>
      <c r="CXO978" s="185"/>
      <c r="CXP978" s="184"/>
      <c r="CXQ978" s="184"/>
      <c r="CXR978" s="184"/>
      <c r="CXS978" s="187"/>
      <c r="CXT978" s="188"/>
      <c r="CXV978" s="182"/>
      <c r="CXW978" s="183"/>
      <c r="CYD978" s="267"/>
      <c r="CYE978" s="269"/>
      <c r="CYF978" s="267"/>
      <c r="CYG978" s="267"/>
      <c r="CYH978" s="184"/>
      <c r="CYI978" s="184"/>
      <c r="CYJ978" s="185"/>
      <c r="CYK978" s="184"/>
      <c r="CYL978" s="184"/>
      <c r="CYM978" s="184"/>
      <c r="CYN978" s="187"/>
      <c r="CYO978" s="188"/>
      <c r="CYQ978" s="182"/>
      <c r="CYR978" s="183"/>
      <c r="CYY978" s="267"/>
      <c r="CYZ978" s="269"/>
      <c r="CZA978" s="267"/>
      <c r="CZB978" s="267"/>
      <c r="CZC978" s="184"/>
      <c r="CZD978" s="184"/>
      <c r="CZE978" s="185"/>
      <c r="CZF978" s="184"/>
      <c r="CZG978" s="184"/>
      <c r="CZH978" s="184"/>
      <c r="CZI978" s="187"/>
      <c r="CZJ978" s="188"/>
      <c r="CZL978" s="182"/>
      <c r="CZM978" s="183"/>
      <c r="CZT978" s="267"/>
      <c r="CZU978" s="269"/>
      <c r="CZV978" s="267"/>
      <c r="CZW978" s="267"/>
      <c r="CZX978" s="184"/>
      <c r="CZY978" s="184"/>
      <c r="CZZ978" s="185"/>
      <c r="DAA978" s="184"/>
      <c r="DAB978" s="184"/>
      <c r="DAC978" s="184"/>
      <c r="DAD978" s="187"/>
      <c r="DAE978" s="188"/>
      <c r="DAG978" s="182"/>
      <c r="DAH978" s="183"/>
      <c r="DAO978" s="267"/>
      <c r="DAP978" s="269"/>
      <c r="DAQ978" s="267"/>
      <c r="DAR978" s="267"/>
      <c r="DAS978" s="184"/>
      <c r="DAT978" s="184"/>
      <c r="DAU978" s="185"/>
      <c r="DAV978" s="184"/>
      <c r="DAW978" s="184"/>
      <c r="DAX978" s="184"/>
      <c r="DAY978" s="187"/>
      <c r="DAZ978" s="188"/>
      <c r="DBB978" s="182"/>
      <c r="DBC978" s="183"/>
      <c r="DBJ978" s="267"/>
      <c r="DBK978" s="269"/>
      <c r="DBL978" s="267"/>
      <c r="DBM978" s="267"/>
      <c r="DBN978" s="184"/>
      <c r="DBO978" s="184"/>
      <c r="DBP978" s="185"/>
      <c r="DBQ978" s="184"/>
      <c r="DBR978" s="184"/>
      <c r="DBS978" s="184"/>
      <c r="DBT978" s="187"/>
      <c r="DBU978" s="188"/>
      <c r="DBW978" s="182"/>
      <c r="DBX978" s="183"/>
      <c r="DCE978" s="267"/>
      <c r="DCF978" s="269"/>
      <c r="DCG978" s="267"/>
      <c r="DCH978" s="267"/>
      <c r="DCI978" s="184"/>
      <c r="DCJ978" s="184"/>
      <c r="DCK978" s="185"/>
      <c r="DCL978" s="184"/>
      <c r="DCM978" s="184"/>
      <c r="DCN978" s="184"/>
      <c r="DCO978" s="187"/>
      <c r="DCP978" s="188"/>
      <c r="DCR978" s="182"/>
      <c r="DCS978" s="183"/>
      <c r="DCZ978" s="267"/>
      <c r="DDA978" s="269"/>
      <c r="DDB978" s="267"/>
      <c r="DDC978" s="267"/>
      <c r="DDD978" s="184"/>
      <c r="DDE978" s="184"/>
      <c r="DDF978" s="185"/>
      <c r="DDG978" s="184"/>
      <c r="DDH978" s="184"/>
      <c r="DDI978" s="184"/>
      <c r="DDJ978" s="187"/>
      <c r="DDK978" s="188"/>
      <c r="DDM978" s="182"/>
      <c r="DDN978" s="183"/>
      <c r="DDU978" s="267"/>
      <c r="DDV978" s="269"/>
      <c r="DDW978" s="267"/>
      <c r="DDX978" s="267"/>
      <c r="DDY978" s="184"/>
      <c r="DDZ978" s="184"/>
      <c r="DEA978" s="185"/>
      <c r="DEB978" s="184"/>
      <c r="DEC978" s="184"/>
      <c r="DED978" s="184"/>
      <c r="DEE978" s="187"/>
      <c r="DEF978" s="188"/>
      <c r="DEH978" s="182"/>
      <c r="DEI978" s="183"/>
      <c r="DEP978" s="267"/>
      <c r="DEQ978" s="269"/>
      <c r="DER978" s="267"/>
      <c r="DES978" s="267"/>
      <c r="DET978" s="184"/>
      <c r="DEU978" s="184"/>
      <c r="DEV978" s="185"/>
      <c r="DEW978" s="184"/>
      <c r="DEX978" s="184"/>
      <c r="DEY978" s="184"/>
      <c r="DEZ978" s="187"/>
      <c r="DFA978" s="188"/>
      <c r="DFC978" s="182"/>
      <c r="DFD978" s="183"/>
      <c r="DFK978" s="267"/>
      <c r="DFL978" s="269"/>
      <c r="DFM978" s="267"/>
      <c r="DFN978" s="267"/>
      <c r="DFO978" s="184"/>
      <c r="DFP978" s="184"/>
      <c r="DFQ978" s="185"/>
      <c r="DFR978" s="184"/>
      <c r="DFS978" s="184"/>
      <c r="DFT978" s="184"/>
      <c r="DFU978" s="187"/>
      <c r="DFV978" s="188"/>
      <c r="DFX978" s="182"/>
      <c r="DFY978" s="183"/>
      <c r="DGF978" s="267"/>
      <c r="DGG978" s="269"/>
      <c r="DGH978" s="267"/>
      <c r="DGI978" s="267"/>
      <c r="DGJ978" s="184"/>
      <c r="DGK978" s="184"/>
      <c r="DGL978" s="185"/>
      <c r="DGM978" s="184"/>
      <c r="DGN978" s="184"/>
      <c r="DGO978" s="184"/>
      <c r="DGP978" s="187"/>
      <c r="DGQ978" s="188"/>
      <c r="DGS978" s="182"/>
      <c r="DGT978" s="183"/>
      <c r="DHA978" s="267"/>
      <c r="DHB978" s="269"/>
      <c r="DHC978" s="267"/>
      <c r="DHD978" s="267"/>
      <c r="DHE978" s="184"/>
      <c r="DHF978" s="184"/>
      <c r="DHG978" s="185"/>
      <c r="DHH978" s="184"/>
      <c r="DHI978" s="184"/>
      <c r="DHJ978" s="184"/>
      <c r="DHK978" s="187"/>
      <c r="DHL978" s="188"/>
      <c r="DHN978" s="182"/>
      <c r="DHO978" s="183"/>
      <c r="DHV978" s="267"/>
      <c r="DHW978" s="269"/>
      <c r="DHX978" s="267"/>
      <c r="DHY978" s="267"/>
      <c r="DHZ978" s="184"/>
      <c r="DIA978" s="184"/>
      <c r="DIB978" s="185"/>
      <c r="DIC978" s="184"/>
      <c r="DID978" s="184"/>
      <c r="DIE978" s="184"/>
      <c r="DIF978" s="187"/>
      <c r="DIG978" s="188"/>
      <c r="DII978" s="182"/>
      <c r="DIJ978" s="183"/>
      <c r="DIQ978" s="267"/>
      <c r="DIR978" s="269"/>
      <c r="DIS978" s="267"/>
      <c r="DIT978" s="267"/>
      <c r="DIU978" s="184"/>
      <c r="DIV978" s="184"/>
      <c r="DIW978" s="185"/>
      <c r="DIX978" s="184"/>
      <c r="DIY978" s="184"/>
      <c r="DIZ978" s="184"/>
      <c r="DJA978" s="187"/>
      <c r="DJB978" s="188"/>
      <c r="DJD978" s="182"/>
      <c r="DJE978" s="183"/>
      <c r="DJL978" s="267"/>
      <c r="DJM978" s="269"/>
      <c r="DJN978" s="267"/>
      <c r="DJO978" s="267"/>
      <c r="DJP978" s="184"/>
      <c r="DJQ978" s="184"/>
      <c r="DJR978" s="185"/>
      <c r="DJS978" s="184"/>
      <c r="DJT978" s="184"/>
      <c r="DJU978" s="184"/>
      <c r="DJV978" s="187"/>
      <c r="DJW978" s="188"/>
      <c r="DJY978" s="182"/>
      <c r="DJZ978" s="183"/>
      <c r="DKG978" s="267"/>
      <c r="DKH978" s="269"/>
      <c r="DKI978" s="267"/>
      <c r="DKJ978" s="267"/>
      <c r="DKK978" s="184"/>
      <c r="DKL978" s="184"/>
      <c r="DKM978" s="185"/>
      <c r="DKN978" s="184"/>
      <c r="DKO978" s="184"/>
      <c r="DKP978" s="184"/>
      <c r="DKQ978" s="187"/>
      <c r="DKR978" s="188"/>
      <c r="DKT978" s="182"/>
      <c r="DKU978" s="183"/>
      <c r="DLB978" s="267"/>
      <c r="DLC978" s="269"/>
      <c r="DLD978" s="267"/>
      <c r="DLE978" s="267"/>
      <c r="DLF978" s="184"/>
      <c r="DLG978" s="184"/>
      <c r="DLH978" s="185"/>
      <c r="DLI978" s="184"/>
      <c r="DLJ978" s="184"/>
      <c r="DLK978" s="184"/>
      <c r="DLL978" s="187"/>
      <c r="DLM978" s="188"/>
      <c r="DLO978" s="182"/>
      <c r="DLP978" s="183"/>
      <c r="DLW978" s="267"/>
      <c r="DLX978" s="269"/>
      <c r="DLY978" s="267"/>
      <c r="DLZ978" s="267"/>
      <c r="DMA978" s="184"/>
      <c r="DMB978" s="184"/>
      <c r="DMC978" s="185"/>
      <c r="DMD978" s="184"/>
      <c r="DME978" s="184"/>
      <c r="DMF978" s="184"/>
      <c r="DMG978" s="187"/>
      <c r="DMH978" s="188"/>
      <c r="DMJ978" s="182"/>
      <c r="DMK978" s="183"/>
      <c r="DMR978" s="267"/>
      <c r="DMS978" s="269"/>
      <c r="DMT978" s="267"/>
      <c r="DMU978" s="267"/>
      <c r="DMV978" s="184"/>
      <c r="DMW978" s="184"/>
      <c r="DMX978" s="185"/>
      <c r="DMY978" s="184"/>
      <c r="DMZ978" s="184"/>
      <c r="DNA978" s="184"/>
      <c r="DNB978" s="187"/>
      <c r="DNC978" s="188"/>
      <c r="DNE978" s="182"/>
      <c r="DNF978" s="183"/>
      <c r="DNM978" s="267"/>
      <c r="DNN978" s="269"/>
      <c r="DNO978" s="267"/>
      <c r="DNP978" s="267"/>
      <c r="DNQ978" s="184"/>
      <c r="DNR978" s="184"/>
      <c r="DNS978" s="185"/>
      <c r="DNT978" s="184"/>
      <c r="DNU978" s="184"/>
      <c r="DNV978" s="184"/>
      <c r="DNW978" s="187"/>
      <c r="DNX978" s="188"/>
      <c r="DNZ978" s="182"/>
      <c r="DOA978" s="183"/>
      <c r="DOH978" s="267"/>
      <c r="DOI978" s="269"/>
      <c r="DOJ978" s="267"/>
      <c r="DOK978" s="267"/>
      <c r="DOL978" s="184"/>
      <c r="DOM978" s="184"/>
      <c r="DON978" s="185"/>
      <c r="DOO978" s="184"/>
      <c r="DOP978" s="184"/>
      <c r="DOQ978" s="184"/>
      <c r="DOR978" s="187"/>
      <c r="DOS978" s="188"/>
      <c r="DOU978" s="182"/>
      <c r="DOV978" s="183"/>
      <c r="DPC978" s="267"/>
      <c r="DPD978" s="269"/>
      <c r="DPE978" s="267"/>
      <c r="DPF978" s="267"/>
      <c r="DPG978" s="184"/>
      <c r="DPH978" s="184"/>
      <c r="DPI978" s="185"/>
      <c r="DPJ978" s="184"/>
      <c r="DPK978" s="184"/>
      <c r="DPL978" s="184"/>
      <c r="DPM978" s="187"/>
      <c r="DPN978" s="188"/>
      <c r="DPP978" s="182"/>
      <c r="DPQ978" s="183"/>
      <c r="DPX978" s="267"/>
      <c r="DPY978" s="269"/>
      <c r="DPZ978" s="267"/>
      <c r="DQA978" s="267"/>
      <c r="DQB978" s="184"/>
      <c r="DQC978" s="184"/>
      <c r="DQD978" s="185"/>
      <c r="DQE978" s="184"/>
      <c r="DQF978" s="184"/>
      <c r="DQG978" s="184"/>
      <c r="DQH978" s="187"/>
      <c r="DQI978" s="188"/>
      <c r="DQK978" s="182"/>
      <c r="DQL978" s="183"/>
      <c r="DQS978" s="267"/>
      <c r="DQT978" s="269"/>
      <c r="DQU978" s="267"/>
      <c r="DQV978" s="267"/>
      <c r="DQW978" s="184"/>
      <c r="DQX978" s="184"/>
      <c r="DQY978" s="185"/>
      <c r="DQZ978" s="184"/>
      <c r="DRA978" s="184"/>
      <c r="DRB978" s="184"/>
      <c r="DRC978" s="187"/>
      <c r="DRD978" s="188"/>
      <c r="DRF978" s="182"/>
      <c r="DRG978" s="183"/>
      <c r="DRN978" s="267"/>
      <c r="DRO978" s="269"/>
      <c r="DRP978" s="267"/>
      <c r="DRQ978" s="267"/>
      <c r="DRR978" s="184"/>
      <c r="DRS978" s="184"/>
      <c r="DRT978" s="185"/>
      <c r="DRU978" s="184"/>
      <c r="DRV978" s="184"/>
      <c r="DRW978" s="184"/>
      <c r="DRX978" s="187"/>
      <c r="DRY978" s="188"/>
      <c r="DSA978" s="182"/>
      <c r="DSB978" s="183"/>
      <c r="DSI978" s="267"/>
      <c r="DSJ978" s="269"/>
      <c r="DSK978" s="267"/>
      <c r="DSL978" s="267"/>
      <c r="DSM978" s="184"/>
      <c r="DSN978" s="184"/>
      <c r="DSO978" s="185"/>
      <c r="DSP978" s="184"/>
      <c r="DSQ978" s="184"/>
      <c r="DSR978" s="184"/>
      <c r="DSS978" s="187"/>
      <c r="DST978" s="188"/>
      <c r="DSV978" s="182"/>
      <c r="DSW978" s="183"/>
      <c r="DTD978" s="267"/>
      <c r="DTE978" s="269"/>
      <c r="DTF978" s="267"/>
      <c r="DTG978" s="267"/>
      <c r="DTH978" s="184"/>
      <c r="DTI978" s="184"/>
      <c r="DTJ978" s="185"/>
      <c r="DTK978" s="184"/>
      <c r="DTL978" s="184"/>
      <c r="DTM978" s="184"/>
      <c r="DTN978" s="187"/>
      <c r="DTO978" s="188"/>
      <c r="DTQ978" s="182"/>
      <c r="DTR978" s="183"/>
      <c r="DTY978" s="267"/>
      <c r="DTZ978" s="269"/>
      <c r="DUA978" s="267"/>
      <c r="DUB978" s="267"/>
      <c r="DUC978" s="184"/>
      <c r="DUD978" s="184"/>
      <c r="DUE978" s="185"/>
      <c r="DUF978" s="184"/>
      <c r="DUG978" s="184"/>
      <c r="DUH978" s="184"/>
      <c r="DUI978" s="187"/>
      <c r="DUJ978" s="188"/>
      <c r="DUL978" s="182"/>
      <c r="DUM978" s="183"/>
      <c r="DUT978" s="267"/>
      <c r="DUU978" s="269"/>
      <c r="DUV978" s="267"/>
      <c r="DUW978" s="267"/>
      <c r="DUX978" s="184"/>
      <c r="DUY978" s="184"/>
      <c r="DUZ978" s="185"/>
      <c r="DVA978" s="184"/>
      <c r="DVB978" s="184"/>
      <c r="DVC978" s="184"/>
      <c r="DVD978" s="187"/>
      <c r="DVE978" s="188"/>
      <c r="DVG978" s="182"/>
      <c r="DVH978" s="183"/>
      <c r="DVO978" s="267"/>
      <c r="DVP978" s="269"/>
      <c r="DVQ978" s="267"/>
      <c r="DVR978" s="267"/>
      <c r="DVS978" s="184"/>
      <c r="DVT978" s="184"/>
      <c r="DVU978" s="185"/>
      <c r="DVV978" s="184"/>
      <c r="DVW978" s="184"/>
      <c r="DVX978" s="184"/>
      <c r="DVY978" s="187"/>
      <c r="DVZ978" s="188"/>
      <c r="DWB978" s="182"/>
      <c r="DWC978" s="183"/>
      <c r="DWJ978" s="267"/>
      <c r="DWK978" s="269"/>
      <c r="DWL978" s="267"/>
      <c r="DWM978" s="267"/>
      <c r="DWN978" s="184"/>
      <c r="DWO978" s="184"/>
      <c r="DWP978" s="185"/>
      <c r="DWQ978" s="184"/>
      <c r="DWR978" s="184"/>
      <c r="DWS978" s="184"/>
      <c r="DWT978" s="187"/>
      <c r="DWU978" s="188"/>
      <c r="DWW978" s="182"/>
      <c r="DWX978" s="183"/>
      <c r="DXE978" s="267"/>
      <c r="DXF978" s="269"/>
      <c r="DXG978" s="267"/>
      <c r="DXH978" s="267"/>
      <c r="DXI978" s="184"/>
      <c r="DXJ978" s="184"/>
      <c r="DXK978" s="185"/>
      <c r="DXL978" s="184"/>
      <c r="DXM978" s="184"/>
      <c r="DXN978" s="184"/>
      <c r="DXO978" s="187"/>
      <c r="DXP978" s="188"/>
      <c r="DXR978" s="182"/>
      <c r="DXS978" s="183"/>
      <c r="DXZ978" s="267"/>
      <c r="DYA978" s="269"/>
      <c r="DYB978" s="267"/>
      <c r="DYC978" s="267"/>
      <c r="DYD978" s="184"/>
      <c r="DYE978" s="184"/>
      <c r="DYF978" s="185"/>
      <c r="DYG978" s="184"/>
      <c r="DYH978" s="184"/>
      <c r="DYI978" s="184"/>
      <c r="DYJ978" s="187"/>
      <c r="DYK978" s="188"/>
      <c r="DYM978" s="182"/>
      <c r="DYN978" s="183"/>
      <c r="DYU978" s="267"/>
      <c r="DYV978" s="269"/>
      <c r="DYW978" s="267"/>
      <c r="DYX978" s="267"/>
      <c r="DYY978" s="184"/>
      <c r="DYZ978" s="184"/>
      <c r="DZA978" s="185"/>
      <c r="DZB978" s="184"/>
      <c r="DZC978" s="184"/>
      <c r="DZD978" s="184"/>
      <c r="DZE978" s="187"/>
      <c r="DZF978" s="188"/>
      <c r="DZH978" s="182"/>
      <c r="DZI978" s="183"/>
      <c r="DZP978" s="267"/>
      <c r="DZQ978" s="269"/>
      <c r="DZR978" s="267"/>
      <c r="DZS978" s="267"/>
      <c r="DZT978" s="184"/>
      <c r="DZU978" s="184"/>
      <c r="DZV978" s="185"/>
      <c r="DZW978" s="184"/>
      <c r="DZX978" s="184"/>
      <c r="DZY978" s="184"/>
      <c r="DZZ978" s="187"/>
      <c r="EAA978" s="188"/>
      <c r="EAC978" s="182"/>
      <c r="EAD978" s="183"/>
      <c r="EAK978" s="267"/>
      <c r="EAL978" s="269"/>
      <c r="EAM978" s="267"/>
      <c r="EAN978" s="267"/>
      <c r="EAO978" s="184"/>
      <c r="EAP978" s="184"/>
      <c r="EAQ978" s="185"/>
      <c r="EAR978" s="184"/>
      <c r="EAS978" s="184"/>
      <c r="EAT978" s="184"/>
      <c r="EAU978" s="187"/>
      <c r="EAV978" s="188"/>
      <c r="EAX978" s="182"/>
      <c r="EAY978" s="183"/>
      <c r="EBF978" s="267"/>
      <c r="EBG978" s="269"/>
      <c r="EBH978" s="267"/>
      <c r="EBI978" s="267"/>
      <c r="EBJ978" s="184"/>
      <c r="EBK978" s="184"/>
      <c r="EBL978" s="185"/>
      <c r="EBM978" s="184"/>
      <c r="EBN978" s="184"/>
      <c r="EBO978" s="184"/>
      <c r="EBP978" s="187"/>
      <c r="EBQ978" s="188"/>
      <c r="EBS978" s="182"/>
      <c r="EBT978" s="183"/>
      <c r="ECA978" s="267"/>
      <c r="ECB978" s="269"/>
      <c r="ECC978" s="267"/>
      <c r="ECD978" s="267"/>
      <c r="ECE978" s="184"/>
      <c r="ECF978" s="184"/>
      <c r="ECG978" s="185"/>
      <c r="ECH978" s="184"/>
      <c r="ECI978" s="184"/>
      <c r="ECJ978" s="184"/>
      <c r="ECK978" s="187"/>
      <c r="ECL978" s="188"/>
      <c r="ECN978" s="182"/>
      <c r="ECO978" s="183"/>
      <c r="ECV978" s="267"/>
      <c r="ECW978" s="269"/>
      <c r="ECX978" s="267"/>
      <c r="ECY978" s="267"/>
      <c r="ECZ978" s="184"/>
      <c r="EDA978" s="184"/>
      <c r="EDB978" s="185"/>
      <c r="EDC978" s="184"/>
      <c r="EDD978" s="184"/>
      <c r="EDE978" s="184"/>
      <c r="EDF978" s="187"/>
      <c r="EDG978" s="188"/>
      <c r="EDI978" s="182"/>
      <c r="EDJ978" s="183"/>
      <c r="EDQ978" s="267"/>
      <c r="EDR978" s="269"/>
      <c r="EDS978" s="267"/>
      <c r="EDT978" s="267"/>
      <c r="EDU978" s="184"/>
      <c r="EDV978" s="184"/>
      <c r="EDW978" s="185"/>
      <c r="EDX978" s="184"/>
      <c r="EDY978" s="184"/>
      <c r="EDZ978" s="184"/>
      <c r="EEA978" s="187"/>
      <c r="EEB978" s="188"/>
      <c r="EED978" s="182"/>
      <c r="EEE978" s="183"/>
      <c r="EEL978" s="267"/>
      <c r="EEM978" s="269"/>
      <c r="EEN978" s="267"/>
      <c r="EEO978" s="267"/>
      <c r="EEP978" s="184"/>
      <c r="EEQ978" s="184"/>
      <c r="EER978" s="185"/>
      <c r="EES978" s="184"/>
      <c r="EET978" s="184"/>
      <c r="EEU978" s="184"/>
      <c r="EEV978" s="187"/>
      <c r="EEW978" s="188"/>
      <c r="EEY978" s="182"/>
      <c r="EEZ978" s="183"/>
      <c r="EFG978" s="267"/>
      <c r="EFH978" s="269"/>
      <c r="EFI978" s="267"/>
      <c r="EFJ978" s="267"/>
      <c r="EFK978" s="184"/>
      <c r="EFL978" s="184"/>
      <c r="EFM978" s="185"/>
      <c r="EFN978" s="184"/>
      <c r="EFO978" s="184"/>
      <c r="EFP978" s="184"/>
      <c r="EFQ978" s="187"/>
      <c r="EFR978" s="188"/>
      <c r="EFT978" s="182"/>
      <c r="EFU978" s="183"/>
      <c r="EGB978" s="267"/>
      <c r="EGC978" s="269"/>
      <c r="EGD978" s="267"/>
      <c r="EGE978" s="267"/>
      <c r="EGF978" s="184"/>
      <c r="EGG978" s="184"/>
      <c r="EGH978" s="185"/>
      <c r="EGI978" s="184"/>
      <c r="EGJ978" s="184"/>
      <c r="EGK978" s="184"/>
      <c r="EGL978" s="187"/>
      <c r="EGM978" s="188"/>
      <c r="EGO978" s="182"/>
      <c r="EGP978" s="183"/>
      <c r="EGW978" s="267"/>
      <c r="EGX978" s="269"/>
      <c r="EGY978" s="267"/>
      <c r="EGZ978" s="267"/>
      <c r="EHA978" s="184"/>
      <c r="EHB978" s="184"/>
      <c r="EHC978" s="185"/>
      <c r="EHD978" s="184"/>
      <c r="EHE978" s="184"/>
      <c r="EHF978" s="184"/>
      <c r="EHG978" s="187"/>
      <c r="EHH978" s="188"/>
      <c r="EHJ978" s="182"/>
      <c r="EHK978" s="183"/>
      <c r="EHR978" s="267"/>
      <c r="EHS978" s="269"/>
      <c r="EHT978" s="267"/>
      <c r="EHU978" s="267"/>
      <c r="EHV978" s="184"/>
      <c r="EHW978" s="184"/>
      <c r="EHX978" s="185"/>
      <c r="EHY978" s="184"/>
      <c r="EHZ978" s="184"/>
      <c r="EIA978" s="184"/>
      <c r="EIB978" s="187"/>
      <c r="EIC978" s="188"/>
      <c r="EIE978" s="182"/>
      <c r="EIF978" s="183"/>
      <c r="EIM978" s="267"/>
      <c r="EIN978" s="269"/>
      <c r="EIO978" s="267"/>
      <c r="EIP978" s="267"/>
      <c r="EIQ978" s="184"/>
      <c r="EIR978" s="184"/>
      <c r="EIS978" s="185"/>
      <c r="EIT978" s="184"/>
      <c r="EIU978" s="184"/>
      <c r="EIV978" s="184"/>
      <c r="EIW978" s="187"/>
      <c r="EIX978" s="188"/>
      <c r="EIZ978" s="182"/>
      <c r="EJA978" s="183"/>
      <c r="EJH978" s="267"/>
      <c r="EJI978" s="269"/>
      <c r="EJJ978" s="267"/>
      <c r="EJK978" s="267"/>
      <c r="EJL978" s="184"/>
      <c r="EJM978" s="184"/>
      <c r="EJN978" s="185"/>
      <c r="EJO978" s="184"/>
      <c r="EJP978" s="184"/>
      <c r="EJQ978" s="184"/>
      <c r="EJR978" s="187"/>
      <c r="EJS978" s="188"/>
      <c r="EJU978" s="182"/>
      <c r="EJV978" s="183"/>
      <c r="EKC978" s="267"/>
      <c r="EKD978" s="269"/>
      <c r="EKE978" s="267"/>
      <c r="EKF978" s="267"/>
      <c r="EKG978" s="184"/>
      <c r="EKH978" s="184"/>
      <c r="EKI978" s="185"/>
      <c r="EKJ978" s="184"/>
      <c r="EKK978" s="184"/>
      <c r="EKL978" s="184"/>
      <c r="EKM978" s="187"/>
      <c r="EKN978" s="188"/>
      <c r="EKP978" s="182"/>
      <c r="EKQ978" s="183"/>
      <c r="EKX978" s="267"/>
      <c r="EKY978" s="269"/>
      <c r="EKZ978" s="267"/>
      <c r="ELA978" s="267"/>
      <c r="ELB978" s="184"/>
      <c r="ELC978" s="184"/>
      <c r="ELD978" s="185"/>
      <c r="ELE978" s="184"/>
      <c r="ELF978" s="184"/>
      <c r="ELG978" s="184"/>
      <c r="ELH978" s="187"/>
      <c r="ELI978" s="188"/>
      <c r="ELK978" s="182"/>
      <c r="ELL978" s="183"/>
      <c r="ELS978" s="267"/>
      <c r="ELT978" s="269"/>
      <c r="ELU978" s="267"/>
      <c r="ELV978" s="267"/>
      <c r="ELW978" s="184"/>
      <c r="ELX978" s="184"/>
      <c r="ELY978" s="185"/>
      <c r="ELZ978" s="184"/>
      <c r="EMA978" s="184"/>
      <c r="EMB978" s="184"/>
      <c r="EMC978" s="187"/>
      <c r="EMD978" s="188"/>
      <c r="EMF978" s="182"/>
      <c r="EMG978" s="183"/>
      <c r="EMN978" s="267"/>
      <c r="EMO978" s="269"/>
      <c r="EMP978" s="267"/>
      <c r="EMQ978" s="267"/>
      <c r="EMR978" s="184"/>
      <c r="EMS978" s="184"/>
      <c r="EMT978" s="185"/>
      <c r="EMU978" s="184"/>
      <c r="EMV978" s="184"/>
      <c r="EMW978" s="184"/>
      <c r="EMX978" s="187"/>
      <c r="EMY978" s="188"/>
      <c r="ENA978" s="182"/>
      <c r="ENB978" s="183"/>
      <c r="ENI978" s="267"/>
      <c r="ENJ978" s="269"/>
      <c r="ENK978" s="267"/>
      <c r="ENL978" s="267"/>
      <c r="ENM978" s="184"/>
      <c r="ENN978" s="184"/>
      <c r="ENO978" s="185"/>
      <c r="ENP978" s="184"/>
      <c r="ENQ978" s="184"/>
      <c r="ENR978" s="184"/>
      <c r="ENS978" s="187"/>
      <c r="ENT978" s="188"/>
      <c r="ENV978" s="182"/>
      <c r="ENW978" s="183"/>
      <c r="EOD978" s="267"/>
      <c r="EOE978" s="269"/>
      <c r="EOF978" s="267"/>
      <c r="EOG978" s="267"/>
      <c r="EOH978" s="184"/>
      <c r="EOI978" s="184"/>
      <c r="EOJ978" s="185"/>
      <c r="EOK978" s="184"/>
      <c r="EOL978" s="184"/>
      <c r="EOM978" s="184"/>
      <c r="EON978" s="187"/>
      <c r="EOO978" s="188"/>
      <c r="EOQ978" s="182"/>
      <c r="EOR978" s="183"/>
      <c r="EOY978" s="267"/>
      <c r="EOZ978" s="269"/>
      <c r="EPA978" s="267"/>
      <c r="EPB978" s="267"/>
      <c r="EPC978" s="184"/>
      <c r="EPD978" s="184"/>
      <c r="EPE978" s="185"/>
      <c r="EPF978" s="184"/>
      <c r="EPG978" s="184"/>
      <c r="EPH978" s="184"/>
      <c r="EPI978" s="187"/>
      <c r="EPJ978" s="188"/>
      <c r="EPL978" s="182"/>
      <c r="EPM978" s="183"/>
      <c r="EPT978" s="267"/>
      <c r="EPU978" s="269"/>
      <c r="EPV978" s="267"/>
      <c r="EPW978" s="267"/>
      <c r="EPX978" s="184"/>
      <c r="EPY978" s="184"/>
      <c r="EPZ978" s="185"/>
      <c r="EQA978" s="184"/>
      <c r="EQB978" s="184"/>
      <c r="EQC978" s="184"/>
      <c r="EQD978" s="187"/>
      <c r="EQE978" s="188"/>
      <c r="EQG978" s="182"/>
      <c r="EQH978" s="183"/>
      <c r="EQO978" s="267"/>
      <c r="EQP978" s="269"/>
      <c r="EQQ978" s="267"/>
      <c r="EQR978" s="267"/>
      <c r="EQS978" s="184"/>
      <c r="EQT978" s="184"/>
      <c r="EQU978" s="185"/>
      <c r="EQV978" s="184"/>
      <c r="EQW978" s="184"/>
      <c r="EQX978" s="184"/>
      <c r="EQY978" s="187"/>
      <c r="EQZ978" s="188"/>
      <c r="ERB978" s="182"/>
      <c r="ERC978" s="183"/>
      <c r="ERJ978" s="267"/>
      <c r="ERK978" s="269"/>
      <c r="ERL978" s="267"/>
      <c r="ERM978" s="267"/>
      <c r="ERN978" s="184"/>
      <c r="ERO978" s="184"/>
      <c r="ERP978" s="185"/>
      <c r="ERQ978" s="184"/>
      <c r="ERR978" s="184"/>
      <c r="ERS978" s="184"/>
      <c r="ERT978" s="187"/>
      <c r="ERU978" s="188"/>
      <c r="ERW978" s="182"/>
      <c r="ERX978" s="183"/>
      <c r="ESE978" s="267"/>
      <c r="ESF978" s="269"/>
      <c r="ESG978" s="267"/>
      <c r="ESH978" s="267"/>
      <c r="ESI978" s="184"/>
      <c r="ESJ978" s="184"/>
      <c r="ESK978" s="185"/>
      <c r="ESL978" s="184"/>
      <c r="ESM978" s="184"/>
      <c r="ESN978" s="184"/>
      <c r="ESO978" s="187"/>
      <c r="ESP978" s="188"/>
      <c r="ESR978" s="182"/>
      <c r="ESS978" s="183"/>
      <c r="ESZ978" s="267"/>
      <c r="ETA978" s="269"/>
      <c r="ETB978" s="267"/>
      <c r="ETC978" s="267"/>
      <c r="ETD978" s="184"/>
      <c r="ETE978" s="184"/>
      <c r="ETF978" s="185"/>
      <c r="ETG978" s="184"/>
      <c r="ETH978" s="184"/>
      <c r="ETI978" s="184"/>
      <c r="ETJ978" s="187"/>
      <c r="ETK978" s="188"/>
      <c r="ETM978" s="182"/>
      <c r="ETN978" s="183"/>
      <c r="ETU978" s="267"/>
      <c r="ETV978" s="269"/>
      <c r="ETW978" s="267"/>
      <c r="ETX978" s="267"/>
      <c r="ETY978" s="184"/>
      <c r="ETZ978" s="184"/>
      <c r="EUA978" s="185"/>
      <c r="EUB978" s="184"/>
      <c r="EUC978" s="184"/>
      <c r="EUD978" s="184"/>
      <c r="EUE978" s="187"/>
      <c r="EUF978" s="188"/>
      <c r="EUH978" s="182"/>
      <c r="EUI978" s="183"/>
      <c r="EUP978" s="267"/>
      <c r="EUQ978" s="269"/>
      <c r="EUR978" s="267"/>
      <c r="EUS978" s="267"/>
      <c r="EUT978" s="184"/>
      <c r="EUU978" s="184"/>
      <c r="EUV978" s="185"/>
      <c r="EUW978" s="184"/>
      <c r="EUX978" s="184"/>
      <c r="EUY978" s="184"/>
      <c r="EUZ978" s="187"/>
      <c r="EVA978" s="188"/>
      <c r="EVC978" s="182"/>
      <c r="EVD978" s="183"/>
      <c r="EVK978" s="267"/>
      <c r="EVL978" s="269"/>
      <c r="EVM978" s="267"/>
      <c r="EVN978" s="267"/>
      <c r="EVO978" s="184"/>
      <c r="EVP978" s="184"/>
      <c r="EVQ978" s="185"/>
      <c r="EVR978" s="184"/>
      <c r="EVS978" s="184"/>
      <c r="EVT978" s="184"/>
      <c r="EVU978" s="187"/>
      <c r="EVV978" s="188"/>
      <c r="EVX978" s="182"/>
      <c r="EVY978" s="183"/>
      <c r="EWF978" s="267"/>
      <c r="EWG978" s="269"/>
      <c r="EWH978" s="267"/>
      <c r="EWI978" s="267"/>
      <c r="EWJ978" s="184"/>
      <c r="EWK978" s="184"/>
      <c r="EWL978" s="185"/>
      <c r="EWM978" s="184"/>
      <c r="EWN978" s="184"/>
      <c r="EWO978" s="184"/>
      <c r="EWP978" s="187"/>
      <c r="EWQ978" s="188"/>
      <c r="EWS978" s="182"/>
      <c r="EWT978" s="183"/>
      <c r="EXA978" s="267"/>
      <c r="EXB978" s="269"/>
      <c r="EXC978" s="267"/>
      <c r="EXD978" s="267"/>
      <c r="EXE978" s="184"/>
      <c r="EXF978" s="184"/>
      <c r="EXG978" s="185"/>
      <c r="EXH978" s="184"/>
      <c r="EXI978" s="184"/>
      <c r="EXJ978" s="184"/>
      <c r="EXK978" s="187"/>
      <c r="EXL978" s="188"/>
      <c r="EXN978" s="182"/>
      <c r="EXO978" s="183"/>
      <c r="EXV978" s="267"/>
      <c r="EXW978" s="269"/>
      <c r="EXX978" s="267"/>
      <c r="EXY978" s="267"/>
      <c r="EXZ978" s="184"/>
      <c r="EYA978" s="184"/>
      <c r="EYB978" s="185"/>
      <c r="EYC978" s="184"/>
      <c r="EYD978" s="184"/>
      <c r="EYE978" s="184"/>
      <c r="EYF978" s="187"/>
      <c r="EYG978" s="188"/>
      <c r="EYI978" s="182"/>
      <c r="EYJ978" s="183"/>
      <c r="EYQ978" s="267"/>
      <c r="EYR978" s="269"/>
      <c r="EYS978" s="267"/>
      <c r="EYT978" s="267"/>
      <c r="EYU978" s="184"/>
      <c r="EYV978" s="184"/>
      <c r="EYW978" s="185"/>
      <c r="EYX978" s="184"/>
      <c r="EYY978" s="184"/>
      <c r="EYZ978" s="184"/>
      <c r="EZA978" s="187"/>
      <c r="EZB978" s="188"/>
      <c r="EZD978" s="182"/>
      <c r="EZE978" s="183"/>
      <c r="EZL978" s="267"/>
      <c r="EZM978" s="269"/>
      <c r="EZN978" s="267"/>
      <c r="EZO978" s="267"/>
      <c r="EZP978" s="184"/>
      <c r="EZQ978" s="184"/>
      <c r="EZR978" s="185"/>
      <c r="EZS978" s="184"/>
      <c r="EZT978" s="184"/>
      <c r="EZU978" s="184"/>
      <c r="EZV978" s="187"/>
      <c r="EZW978" s="188"/>
      <c r="EZY978" s="182"/>
      <c r="EZZ978" s="183"/>
      <c r="FAG978" s="267"/>
      <c r="FAH978" s="269"/>
      <c r="FAI978" s="267"/>
      <c r="FAJ978" s="267"/>
      <c r="FAK978" s="184"/>
      <c r="FAL978" s="184"/>
      <c r="FAM978" s="185"/>
      <c r="FAN978" s="184"/>
      <c r="FAO978" s="184"/>
      <c r="FAP978" s="184"/>
      <c r="FAQ978" s="187"/>
      <c r="FAR978" s="188"/>
      <c r="FAT978" s="182"/>
      <c r="FAU978" s="183"/>
      <c r="FBB978" s="267"/>
      <c r="FBC978" s="269"/>
      <c r="FBD978" s="267"/>
      <c r="FBE978" s="267"/>
      <c r="FBF978" s="184"/>
      <c r="FBG978" s="184"/>
      <c r="FBH978" s="185"/>
      <c r="FBI978" s="184"/>
      <c r="FBJ978" s="184"/>
      <c r="FBK978" s="184"/>
      <c r="FBL978" s="187"/>
      <c r="FBM978" s="188"/>
      <c r="FBO978" s="182"/>
      <c r="FBP978" s="183"/>
      <c r="FBW978" s="267"/>
      <c r="FBX978" s="269"/>
      <c r="FBY978" s="267"/>
      <c r="FBZ978" s="267"/>
      <c r="FCA978" s="184"/>
      <c r="FCB978" s="184"/>
      <c r="FCC978" s="185"/>
      <c r="FCD978" s="184"/>
      <c r="FCE978" s="184"/>
      <c r="FCF978" s="184"/>
      <c r="FCG978" s="187"/>
      <c r="FCH978" s="188"/>
      <c r="FCJ978" s="182"/>
      <c r="FCK978" s="183"/>
      <c r="FCR978" s="267"/>
      <c r="FCS978" s="269"/>
      <c r="FCT978" s="267"/>
      <c r="FCU978" s="267"/>
      <c r="FCV978" s="184"/>
      <c r="FCW978" s="184"/>
      <c r="FCX978" s="185"/>
      <c r="FCY978" s="184"/>
      <c r="FCZ978" s="184"/>
      <c r="FDA978" s="184"/>
      <c r="FDB978" s="187"/>
      <c r="FDC978" s="188"/>
      <c r="FDE978" s="182"/>
      <c r="FDF978" s="183"/>
      <c r="FDM978" s="267"/>
      <c r="FDN978" s="269"/>
      <c r="FDO978" s="267"/>
      <c r="FDP978" s="267"/>
      <c r="FDQ978" s="184"/>
      <c r="FDR978" s="184"/>
      <c r="FDS978" s="185"/>
      <c r="FDT978" s="184"/>
      <c r="FDU978" s="184"/>
      <c r="FDV978" s="184"/>
      <c r="FDW978" s="187"/>
      <c r="FDX978" s="188"/>
      <c r="FDZ978" s="182"/>
      <c r="FEA978" s="183"/>
      <c r="FEH978" s="267"/>
      <c r="FEI978" s="269"/>
      <c r="FEJ978" s="267"/>
      <c r="FEK978" s="267"/>
      <c r="FEL978" s="184"/>
      <c r="FEM978" s="184"/>
      <c r="FEN978" s="185"/>
      <c r="FEO978" s="184"/>
      <c r="FEP978" s="184"/>
      <c r="FEQ978" s="184"/>
      <c r="FER978" s="187"/>
      <c r="FES978" s="188"/>
      <c r="FEU978" s="182"/>
      <c r="FEV978" s="183"/>
      <c r="FFC978" s="267"/>
      <c r="FFD978" s="269"/>
      <c r="FFE978" s="267"/>
      <c r="FFF978" s="267"/>
      <c r="FFG978" s="184"/>
      <c r="FFH978" s="184"/>
      <c r="FFI978" s="185"/>
      <c r="FFJ978" s="184"/>
      <c r="FFK978" s="184"/>
      <c r="FFL978" s="184"/>
      <c r="FFM978" s="187"/>
      <c r="FFN978" s="188"/>
      <c r="FFP978" s="182"/>
      <c r="FFQ978" s="183"/>
      <c r="FFX978" s="267"/>
      <c r="FFY978" s="269"/>
      <c r="FFZ978" s="267"/>
      <c r="FGA978" s="267"/>
      <c r="FGB978" s="184"/>
      <c r="FGC978" s="184"/>
      <c r="FGD978" s="185"/>
      <c r="FGE978" s="184"/>
      <c r="FGF978" s="184"/>
      <c r="FGG978" s="184"/>
      <c r="FGH978" s="187"/>
      <c r="FGI978" s="188"/>
      <c r="FGK978" s="182"/>
      <c r="FGL978" s="183"/>
      <c r="FGS978" s="267"/>
      <c r="FGT978" s="269"/>
      <c r="FGU978" s="267"/>
      <c r="FGV978" s="267"/>
      <c r="FGW978" s="184"/>
      <c r="FGX978" s="184"/>
      <c r="FGY978" s="185"/>
      <c r="FGZ978" s="184"/>
      <c r="FHA978" s="184"/>
      <c r="FHB978" s="184"/>
      <c r="FHC978" s="187"/>
      <c r="FHD978" s="188"/>
      <c r="FHF978" s="182"/>
      <c r="FHG978" s="183"/>
      <c r="FHN978" s="267"/>
      <c r="FHO978" s="269"/>
      <c r="FHP978" s="267"/>
      <c r="FHQ978" s="267"/>
      <c r="FHR978" s="184"/>
      <c r="FHS978" s="184"/>
      <c r="FHT978" s="185"/>
      <c r="FHU978" s="184"/>
      <c r="FHV978" s="184"/>
      <c r="FHW978" s="184"/>
      <c r="FHX978" s="187"/>
      <c r="FHY978" s="188"/>
      <c r="FIA978" s="182"/>
      <c r="FIB978" s="183"/>
      <c r="FII978" s="267"/>
      <c r="FIJ978" s="269"/>
      <c r="FIK978" s="267"/>
      <c r="FIL978" s="267"/>
      <c r="FIM978" s="184"/>
      <c r="FIN978" s="184"/>
      <c r="FIO978" s="185"/>
      <c r="FIP978" s="184"/>
      <c r="FIQ978" s="184"/>
      <c r="FIR978" s="184"/>
      <c r="FIS978" s="187"/>
      <c r="FIT978" s="188"/>
      <c r="FIV978" s="182"/>
      <c r="FIW978" s="183"/>
      <c r="FJD978" s="267"/>
      <c r="FJE978" s="269"/>
      <c r="FJF978" s="267"/>
      <c r="FJG978" s="267"/>
      <c r="FJH978" s="184"/>
      <c r="FJI978" s="184"/>
      <c r="FJJ978" s="185"/>
      <c r="FJK978" s="184"/>
      <c r="FJL978" s="184"/>
      <c r="FJM978" s="184"/>
      <c r="FJN978" s="187"/>
      <c r="FJO978" s="188"/>
      <c r="FJQ978" s="182"/>
      <c r="FJR978" s="183"/>
      <c r="FJY978" s="267"/>
      <c r="FJZ978" s="269"/>
      <c r="FKA978" s="267"/>
      <c r="FKB978" s="267"/>
      <c r="FKC978" s="184"/>
      <c r="FKD978" s="184"/>
      <c r="FKE978" s="185"/>
      <c r="FKF978" s="184"/>
      <c r="FKG978" s="184"/>
      <c r="FKH978" s="184"/>
      <c r="FKI978" s="187"/>
      <c r="FKJ978" s="188"/>
      <c r="FKL978" s="182"/>
      <c r="FKM978" s="183"/>
      <c r="FKT978" s="267"/>
      <c r="FKU978" s="269"/>
      <c r="FKV978" s="267"/>
      <c r="FKW978" s="267"/>
      <c r="FKX978" s="184"/>
      <c r="FKY978" s="184"/>
      <c r="FKZ978" s="185"/>
      <c r="FLA978" s="184"/>
      <c r="FLB978" s="184"/>
      <c r="FLC978" s="184"/>
      <c r="FLD978" s="187"/>
      <c r="FLE978" s="188"/>
      <c r="FLG978" s="182"/>
      <c r="FLH978" s="183"/>
      <c r="FLO978" s="267"/>
      <c r="FLP978" s="269"/>
      <c r="FLQ978" s="267"/>
      <c r="FLR978" s="267"/>
      <c r="FLS978" s="184"/>
      <c r="FLT978" s="184"/>
      <c r="FLU978" s="185"/>
      <c r="FLV978" s="184"/>
      <c r="FLW978" s="184"/>
      <c r="FLX978" s="184"/>
      <c r="FLY978" s="187"/>
      <c r="FLZ978" s="188"/>
      <c r="FMB978" s="182"/>
      <c r="FMC978" s="183"/>
      <c r="FMJ978" s="267"/>
      <c r="FMK978" s="269"/>
      <c r="FML978" s="267"/>
      <c r="FMM978" s="267"/>
      <c r="FMN978" s="184"/>
      <c r="FMO978" s="184"/>
      <c r="FMP978" s="185"/>
      <c r="FMQ978" s="184"/>
      <c r="FMR978" s="184"/>
      <c r="FMS978" s="184"/>
      <c r="FMT978" s="187"/>
      <c r="FMU978" s="188"/>
      <c r="FMW978" s="182"/>
      <c r="FMX978" s="183"/>
      <c r="FNE978" s="267"/>
      <c r="FNF978" s="269"/>
      <c r="FNG978" s="267"/>
      <c r="FNH978" s="267"/>
      <c r="FNI978" s="184"/>
      <c r="FNJ978" s="184"/>
      <c r="FNK978" s="185"/>
      <c r="FNL978" s="184"/>
      <c r="FNM978" s="184"/>
      <c r="FNN978" s="184"/>
      <c r="FNO978" s="187"/>
      <c r="FNP978" s="188"/>
      <c r="FNR978" s="182"/>
      <c r="FNS978" s="183"/>
      <c r="FNZ978" s="267"/>
      <c r="FOA978" s="269"/>
      <c r="FOB978" s="267"/>
      <c r="FOC978" s="267"/>
      <c r="FOD978" s="184"/>
      <c r="FOE978" s="184"/>
      <c r="FOF978" s="185"/>
      <c r="FOG978" s="184"/>
      <c r="FOH978" s="184"/>
      <c r="FOI978" s="184"/>
      <c r="FOJ978" s="187"/>
      <c r="FOK978" s="188"/>
      <c r="FOM978" s="182"/>
      <c r="FON978" s="183"/>
      <c r="FOU978" s="267"/>
      <c r="FOV978" s="269"/>
      <c r="FOW978" s="267"/>
      <c r="FOX978" s="267"/>
      <c r="FOY978" s="184"/>
      <c r="FOZ978" s="184"/>
      <c r="FPA978" s="185"/>
      <c r="FPB978" s="184"/>
      <c r="FPC978" s="184"/>
      <c r="FPD978" s="184"/>
      <c r="FPE978" s="187"/>
      <c r="FPF978" s="188"/>
      <c r="FPH978" s="182"/>
      <c r="FPI978" s="183"/>
      <c r="FPP978" s="267"/>
      <c r="FPQ978" s="269"/>
      <c r="FPR978" s="267"/>
      <c r="FPS978" s="267"/>
      <c r="FPT978" s="184"/>
      <c r="FPU978" s="184"/>
      <c r="FPV978" s="185"/>
      <c r="FPW978" s="184"/>
      <c r="FPX978" s="184"/>
      <c r="FPY978" s="184"/>
      <c r="FPZ978" s="187"/>
      <c r="FQA978" s="188"/>
      <c r="FQC978" s="182"/>
      <c r="FQD978" s="183"/>
      <c r="FQK978" s="267"/>
      <c r="FQL978" s="269"/>
      <c r="FQM978" s="267"/>
      <c r="FQN978" s="267"/>
      <c r="FQO978" s="184"/>
      <c r="FQP978" s="184"/>
      <c r="FQQ978" s="185"/>
      <c r="FQR978" s="184"/>
      <c r="FQS978" s="184"/>
      <c r="FQT978" s="184"/>
      <c r="FQU978" s="187"/>
      <c r="FQV978" s="188"/>
      <c r="FQX978" s="182"/>
      <c r="FQY978" s="183"/>
      <c r="FRF978" s="267"/>
      <c r="FRG978" s="269"/>
      <c r="FRH978" s="267"/>
      <c r="FRI978" s="267"/>
      <c r="FRJ978" s="184"/>
      <c r="FRK978" s="184"/>
      <c r="FRL978" s="185"/>
      <c r="FRM978" s="184"/>
      <c r="FRN978" s="184"/>
      <c r="FRO978" s="184"/>
      <c r="FRP978" s="187"/>
      <c r="FRQ978" s="188"/>
      <c r="FRS978" s="182"/>
      <c r="FRT978" s="183"/>
      <c r="FSA978" s="267"/>
      <c r="FSB978" s="269"/>
      <c r="FSC978" s="267"/>
      <c r="FSD978" s="267"/>
      <c r="FSE978" s="184"/>
      <c r="FSF978" s="184"/>
      <c r="FSG978" s="185"/>
      <c r="FSH978" s="184"/>
      <c r="FSI978" s="184"/>
      <c r="FSJ978" s="184"/>
      <c r="FSK978" s="187"/>
      <c r="FSL978" s="188"/>
      <c r="FSN978" s="182"/>
      <c r="FSO978" s="183"/>
      <c r="FSV978" s="267"/>
      <c r="FSW978" s="269"/>
      <c r="FSX978" s="267"/>
      <c r="FSY978" s="267"/>
      <c r="FSZ978" s="184"/>
      <c r="FTA978" s="184"/>
      <c r="FTB978" s="185"/>
      <c r="FTC978" s="184"/>
      <c r="FTD978" s="184"/>
      <c r="FTE978" s="184"/>
      <c r="FTF978" s="187"/>
      <c r="FTG978" s="188"/>
      <c r="FTI978" s="182"/>
      <c r="FTJ978" s="183"/>
      <c r="FTQ978" s="267"/>
      <c r="FTR978" s="269"/>
      <c r="FTS978" s="267"/>
      <c r="FTT978" s="267"/>
      <c r="FTU978" s="184"/>
      <c r="FTV978" s="184"/>
      <c r="FTW978" s="185"/>
      <c r="FTX978" s="184"/>
      <c r="FTY978" s="184"/>
      <c r="FTZ978" s="184"/>
      <c r="FUA978" s="187"/>
      <c r="FUB978" s="188"/>
      <c r="FUD978" s="182"/>
      <c r="FUE978" s="183"/>
      <c r="FUL978" s="267"/>
      <c r="FUM978" s="269"/>
      <c r="FUN978" s="267"/>
      <c r="FUO978" s="267"/>
      <c r="FUP978" s="184"/>
      <c r="FUQ978" s="184"/>
      <c r="FUR978" s="185"/>
      <c r="FUS978" s="184"/>
      <c r="FUT978" s="184"/>
      <c r="FUU978" s="184"/>
      <c r="FUV978" s="187"/>
      <c r="FUW978" s="188"/>
      <c r="FUY978" s="182"/>
      <c r="FUZ978" s="183"/>
      <c r="FVG978" s="267"/>
      <c r="FVH978" s="269"/>
      <c r="FVI978" s="267"/>
      <c r="FVJ978" s="267"/>
      <c r="FVK978" s="184"/>
      <c r="FVL978" s="184"/>
      <c r="FVM978" s="185"/>
      <c r="FVN978" s="184"/>
      <c r="FVO978" s="184"/>
      <c r="FVP978" s="184"/>
      <c r="FVQ978" s="187"/>
      <c r="FVR978" s="188"/>
      <c r="FVT978" s="182"/>
      <c r="FVU978" s="183"/>
      <c r="FWB978" s="267"/>
      <c r="FWC978" s="269"/>
      <c r="FWD978" s="267"/>
      <c r="FWE978" s="267"/>
      <c r="FWF978" s="184"/>
      <c r="FWG978" s="184"/>
      <c r="FWH978" s="185"/>
      <c r="FWI978" s="184"/>
      <c r="FWJ978" s="184"/>
      <c r="FWK978" s="184"/>
      <c r="FWL978" s="187"/>
      <c r="FWM978" s="188"/>
      <c r="FWO978" s="182"/>
      <c r="FWP978" s="183"/>
      <c r="FWW978" s="267"/>
      <c r="FWX978" s="269"/>
      <c r="FWY978" s="267"/>
      <c r="FWZ978" s="267"/>
      <c r="FXA978" s="184"/>
      <c r="FXB978" s="184"/>
      <c r="FXC978" s="185"/>
      <c r="FXD978" s="184"/>
      <c r="FXE978" s="184"/>
      <c r="FXF978" s="184"/>
      <c r="FXG978" s="187"/>
      <c r="FXH978" s="188"/>
      <c r="FXJ978" s="182"/>
      <c r="FXK978" s="183"/>
      <c r="FXR978" s="267"/>
      <c r="FXS978" s="269"/>
      <c r="FXT978" s="267"/>
      <c r="FXU978" s="267"/>
      <c r="FXV978" s="184"/>
      <c r="FXW978" s="184"/>
      <c r="FXX978" s="185"/>
      <c r="FXY978" s="184"/>
      <c r="FXZ978" s="184"/>
      <c r="FYA978" s="184"/>
      <c r="FYB978" s="187"/>
      <c r="FYC978" s="188"/>
      <c r="FYE978" s="182"/>
      <c r="FYF978" s="183"/>
      <c r="FYM978" s="267"/>
      <c r="FYN978" s="269"/>
      <c r="FYO978" s="267"/>
      <c r="FYP978" s="267"/>
      <c r="FYQ978" s="184"/>
      <c r="FYR978" s="184"/>
      <c r="FYS978" s="185"/>
      <c r="FYT978" s="184"/>
      <c r="FYU978" s="184"/>
      <c r="FYV978" s="184"/>
      <c r="FYW978" s="187"/>
      <c r="FYX978" s="188"/>
      <c r="FYZ978" s="182"/>
      <c r="FZA978" s="183"/>
      <c r="FZH978" s="267"/>
      <c r="FZI978" s="269"/>
      <c r="FZJ978" s="267"/>
      <c r="FZK978" s="267"/>
      <c r="FZL978" s="184"/>
      <c r="FZM978" s="184"/>
      <c r="FZN978" s="185"/>
      <c r="FZO978" s="184"/>
      <c r="FZP978" s="184"/>
      <c r="FZQ978" s="184"/>
      <c r="FZR978" s="187"/>
      <c r="FZS978" s="188"/>
      <c r="FZU978" s="182"/>
      <c r="FZV978" s="183"/>
      <c r="GAC978" s="267"/>
      <c r="GAD978" s="269"/>
      <c r="GAE978" s="267"/>
      <c r="GAF978" s="267"/>
      <c r="GAG978" s="184"/>
      <c r="GAH978" s="184"/>
      <c r="GAI978" s="185"/>
      <c r="GAJ978" s="184"/>
      <c r="GAK978" s="184"/>
      <c r="GAL978" s="184"/>
      <c r="GAM978" s="187"/>
      <c r="GAN978" s="188"/>
      <c r="GAP978" s="182"/>
      <c r="GAQ978" s="183"/>
      <c r="GAX978" s="267"/>
      <c r="GAY978" s="269"/>
      <c r="GAZ978" s="267"/>
      <c r="GBA978" s="267"/>
      <c r="GBB978" s="184"/>
      <c r="GBC978" s="184"/>
      <c r="GBD978" s="185"/>
      <c r="GBE978" s="184"/>
      <c r="GBF978" s="184"/>
      <c r="GBG978" s="184"/>
      <c r="GBH978" s="187"/>
      <c r="GBI978" s="188"/>
      <c r="GBK978" s="182"/>
      <c r="GBL978" s="183"/>
      <c r="GBS978" s="267"/>
      <c r="GBT978" s="269"/>
      <c r="GBU978" s="267"/>
      <c r="GBV978" s="267"/>
      <c r="GBW978" s="184"/>
      <c r="GBX978" s="184"/>
      <c r="GBY978" s="185"/>
      <c r="GBZ978" s="184"/>
      <c r="GCA978" s="184"/>
      <c r="GCB978" s="184"/>
      <c r="GCC978" s="187"/>
      <c r="GCD978" s="188"/>
      <c r="GCF978" s="182"/>
      <c r="GCG978" s="183"/>
      <c r="GCN978" s="267"/>
      <c r="GCO978" s="269"/>
      <c r="GCP978" s="267"/>
      <c r="GCQ978" s="267"/>
      <c r="GCR978" s="184"/>
      <c r="GCS978" s="184"/>
      <c r="GCT978" s="185"/>
      <c r="GCU978" s="184"/>
      <c r="GCV978" s="184"/>
      <c r="GCW978" s="184"/>
      <c r="GCX978" s="187"/>
      <c r="GCY978" s="188"/>
      <c r="GDA978" s="182"/>
      <c r="GDB978" s="183"/>
      <c r="GDI978" s="267"/>
      <c r="GDJ978" s="269"/>
      <c r="GDK978" s="267"/>
      <c r="GDL978" s="267"/>
      <c r="GDM978" s="184"/>
      <c r="GDN978" s="184"/>
      <c r="GDO978" s="185"/>
      <c r="GDP978" s="184"/>
      <c r="GDQ978" s="184"/>
      <c r="GDR978" s="184"/>
      <c r="GDS978" s="187"/>
      <c r="GDT978" s="188"/>
      <c r="GDV978" s="182"/>
      <c r="GDW978" s="183"/>
      <c r="GED978" s="267"/>
      <c r="GEE978" s="269"/>
      <c r="GEF978" s="267"/>
      <c r="GEG978" s="267"/>
      <c r="GEH978" s="184"/>
      <c r="GEI978" s="184"/>
      <c r="GEJ978" s="185"/>
      <c r="GEK978" s="184"/>
      <c r="GEL978" s="184"/>
      <c r="GEM978" s="184"/>
      <c r="GEN978" s="187"/>
      <c r="GEO978" s="188"/>
      <c r="GEQ978" s="182"/>
      <c r="GER978" s="183"/>
      <c r="GEY978" s="267"/>
      <c r="GEZ978" s="269"/>
      <c r="GFA978" s="267"/>
      <c r="GFB978" s="267"/>
      <c r="GFC978" s="184"/>
      <c r="GFD978" s="184"/>
      <c r="GFE978" s="185"/>
      <c r="GFF978" s="184"/>
      <c r="GFG978" s="184"/>
      <c r="GFH978" s="184"/>
      <c r="GFI978" s="187"/>
      <c r="GFJ978" s="188"/>
      <c r="GFL978" s="182"/>
      <c r="GFM978" s="183"/>
      <c r="GFT978" s="267"/>
      <c r="GFU978" s="269"/>
      <c r="GFV978" s="267"/>
      <c r="GFW978" s="267"/>
      <c r="GFX978" s="184"/>
      <c r="GFY978" s="184"/>
      <c r="GFZ978" s="185"/>
      <c r="GGA978" s="184"/>
      <c r="GGB978" s="184"/>
      <c r="GGC978" s="184"/>
      <c r="GGD978" s="187"/>
      <c r="GGE978" s="188"/>
      <c r="GGG978" s="182"/>
      <c r="GGH978" s="183"/>
      <c r="GGO978" s="267"/>
      <c r="GGP978" s="269"/>
      <c r="GGQ978" s="267"/>
      <c r="GGR978" s="267"/>
      <c r="GGS978" s="184"/>
      <c r="GGT978" s="184"/>
      <c r="GGU978" s="185"/>
      <c r="GGV978" s="184"/>
      <c r="GGW978" s="184"/>
      <c r="GGX978" s="184"/>
      <c r="GGY978" s="187"/>
      <c r="GGZ978" s="188"/>
      <c r="GHB978" s="182"/>
      <c r="GHC978" s="183"/>
      <c r="GHJ978" s="267"/>
      <c r="GHK978" s="269"/>
      <c r="GHL978" s="267"/>
      <c r="GHM978" s="267"/>
      <c r="GHN978" s="184"/>
      <c r="GHO978" s="184"/>
      <c r="GHP978" s="185"/>
      <c r="GHQ978" s="184"/>
      <c r="GHR978" s="184"/>
      <c r="GHS978" s="184"/>
      <c r="GHT978" s="187"/>
      <c r="GHU978" s="188"/>
      <c r="GHW978" s="182"/>
      <c r="GHX978" s="183"/>
      <c r="GIE978" s="267"/>
      <c r="GIF978" s="269"/>
      <c r="GIG978" s="267"/>
      <c r="GIH978" s="267"/>
      <c r="GII978" s="184"/>
      <c r="GIJ978" s="184"/>
      <c r="GIK978" s="185"/>
      <c r="GIL978" s="184"/>
      <c r="GIM978" s="184"/>
      <c r="GIN978" s="184"/>
      <c r="GIO978" s="187"/>
      <c r="GIP978" s="188"/>
      <c r="GIR978" s="182"/>
      <c r="GIS978" s="183"/>
      <c r="GIZ978" s="267"/>
      <c r="GJA978" s="269"/>
      <c r="GJB978" s="267"/>
      <c r="GJC978" s="267"/>
      <c r="GJD978" s="184"/>
      <c r="GJE978" s="184"/>
      <c r="GJF978" s="185"/>
      <c r="GJG978" s="184"/>
      <c r="GJH978" s="184"/>
      <c r="GJI978" s="184"/>
      <c r="GJJ978" s="187"/>
      <c r="GJK978" s="188"/>
      <c r="GJM978" s="182"/>
      <c r="GJN978" s="183"/>
      <c r="GJU978" s="267"/>
      <c r="GJV978" s="269"/>
      <c r="GJW978" s="267"/>
      <c r="GJX978" s="267"/>
      <c r="GJY978" s="184"/>
      <c r="GJZ978" s="184"/>
      <c r="GKA978" s="185"/>
      <c r="GKB978" s="184"/>
      <c r="GKC978" s="184"/>
      <c r="GKD978" s="184"/>
      <c r="GKE978" s="187"/>
      <c r="GKF978" s="188"/>
      <c r="GKH978" s="182"/>
      <c r="GKI978" s="183"/>
      <c r="GKP978" s="267"/>
      <c r="GKQ978" s="269"/>
      <c r="GKR978" s="267"/>
      <c r="GKS978" s="267"/>
      <c r="GKT978" s="184"/>
      <c r="GKU978" s="184"/>
      <c r="GKV978" s="185"/>
      <c r="GKW978" s="184"/>
      <c r="GKX978" s="184"/>
      <c r="GKY978" s="184"/>
      <c r="GKZ978" s="187"/>
      <c r="GLA978" s="188"/>
      <c r="GLC978" s="182"/>
      <c r="GLD978" s="183"/>
      <c r="GLK978" s="267"/>
      <c r="GLL978" s="269"/>
      <c r="GLM978" s="267"/>
      <c r="GLN978" s="267"/>
      <c r="GLO978" s="184"/>
      <c r="GLP978" s="184"/>
      <c r="GLQ978" s="185"/>
      <c r="GLR978" s="184"/>
      <c r="GLS978" s="184"/>
      <c r="GLT978" s="184"/>
      <c r="GLU978" s="187"/>
      <c r="GLV978" s="188"/>
      <c r="GLX978" s="182"/>
      <c r="GLY978" s="183"/>
      <c r="GMF978" s="267"/>
      <c r="GMG978" s="269"/>
      <c r="GMH978" s="267"/>
      <c r="GMI978" s="267"/>
      <c r="GMJ978" s="184"/>
      <c r="GMK978" s="184"/>
      <c r="GML978" s="185"/>
      <c r="GMM978" s="184"/>
      <c r="GMN978" s="184"/>
      <c r="GMO978" s="184"/>
      <c r="GMP978" s="187"/>
      <c r="GMQ978" s="188"/>
      <c r="GMS978" s="182"/>
      <c r="GMT978" s="183"/>
      <c r="GNA978" s="267"/>
      <c r="GNB978" s="269"/>
      <c r="GNC978" s="267"/>
      <c r="GND978" s="267"/>
      <c r="GNE978" s="184"/>
      <c r="GNF978" s="184"/>
      <c r="GNG978" s="185"/>
      <c r="GNH978" s="184"/>
      <c r="GNI978" s="184"/>
      <c r="GNJ978" s="184"/>
      <c r="GNK978" s="187"/>
      <c r="GNL978" s="188"/>
      <c r="GNN978" s="182"/>
      <c r="GNO978" s="183"/>
      <c r="GNV978" s="267"/>
      <c r="GNW978" s="269"/>
      <c r="GNX978" s="267"/>
      <c r="GNY978" s="267"/>
      <c r="GNZ978" s="184"/>
      <c r="GOA978" s="184"/>
      <c r="GOB978" s="185"/>
      <c r="GOC978" s="184"/>
      <c r="GOD978" s="184"/>
      <c r="GOE978" s="184"/>
      <c r="GOF978" s="187"/>
      <c r="GOG978" s="188"/>
      <c r="GOI978" s="182"/>
      <c r="GOJ978" s="183"/>
      <c r="GOQ978" s="267"/>
      <c r="GOR978" s="269"/>
      <c r="GOS978" s="267"/>
      <c r="GOT978" s="267"/>
      <c r="GOU978" s="184"/>
      <c r="GOV978" s="184"/>
      <c r="GOW978" s="185"/>
      <c r="GOX978" s="184"/>
      <c r="GOY978" s="184"/>
      <c r="GOZ978" s="184"/>
      <c r="GPA978" s="187"/>
      <c r="GPB978" s="188"/>
      <c r="GPD978" s="182"/>
      <c r="GPE978" s="183"/>
      <c r="GPL978" s="267"/>
      <c r="GPM978" s="269"/>
      <c r="GPN978" s="267"/>
      <c r="GPO978" s="267"/>
      <c r="GPP978" s="184"/>
      <c r="GPQ978" s="184"/>
      <c r="GPR978" s="185"/>
      <c r="GPS978" s="184"/>
      <c r="GPT978" s="184"/>
      <c r="GPU978" s="184"/>
      <c r="GPV978" s="187"/>
      <c r="GPW978" s="188"/>
      <c r="GPY978" s="182"/>
      <c r="GPZ978" s="183"/>
      <c r="GQG978" s="267"/>
      <c r="GQH978" s="269"/>
      <c r="GQI978" s="267"/>
      <c r="GQJ978" s="267"/>
      <c r="GQK978" s="184"/>
      <c r="GQL978" s="184"/>
      <c r="GQM978" s="185"/>
      <c r="GQN978" s="184"/>
      <c r="GQO978" s="184"/>
      <c r="GQP978" s="184"/>
      <c r="GQQ978" s="187"/>
      <c r="GQR978" s="188"/>
      <c r="GQT978" s="182"/>
      <c r="GQU978" s="183"/>
      <c r="GRB978" s="267"/>
      <c r="GRC978" s="269"/>
      <c r="GRD978" s="267"/>
      <c r="GRE978" s="267"/>
      <c r="GRF978" s="184"/>
      <c r="GRG978" s="184"/>
      <c r="GRH978" s="185"/>
      <c r="GRI978" s="184"/>
      <c r="GRJ978" s="184"/>
      <c r="GRK978" s="184"/>
      <c r="GRL978" s="187"/>
      <c r="GRM978" s="188"/>
      <c r="GRO978" s="182"/>
      <c r="GRP978" s="183"/>
      <c r="GRW978" s="267"/>
      <c r="GRX978" s="269"/>
      <c r="GRY978" s="267"/>
      <c r="GRZ978" s="267"/>
      <c r="GSA978" s="184"/>
      <c r="GSB978" s="184"/>
      <c r="GSC978" s="185"/>
      <c r="GSD978" s="184"/>
      <c r="GSE978" s="184"/>
      <c r="GSF978" s="184"/>
      <c r="GSG978" s="187"/>
      <c r="GSH978" s="188"/>
      <c r="GSJ978" s="182"/>
      <c r="GSK978" s="183"/>
      <c r="GSR978" s="267"/>
      <c r="GSS978" s="269"/>
      <c r="GST978" s="267"/>
      <c r="GSU978" s="267"/>
      <c r="GSV978" s="184"/>
      <c r="GSW978" s="184"/>
      <c r="GSX978" s="185"/>
      <c r="GSY978" s="184"/>
      <c r="GSZ978" s="184"/>
      <c r="GTA978" s="184"/>
      <c r="GTB978" s="187"/>
      <c r="GTC978" s="188"/>
      <c r="GTE978" s="182"/>
      <c r="GTF978" s="183"/>
      <c r="GTM978" s="267"/>
      <c r="GTN978" s="269"/>
      <c r="GTO978" s="267"/>
      <c r="GTP978" s="267"/>
      <c r="GTQ978" s="184"/>
      <c r="GTR978" s="184"/>
      <c r="GTS978" s="185"/>
      <c r="GTT978" s="184"/>
      <c r="GTU978" s="184"/>
      <c r="GTV978" s="184"/>
      <c r="GTW978" s="187"/>
      <c r="GTX978" s="188"/>
      <c r="GTZ978" s="182"/>
      <c r="GUA978" s="183"/>
      <c r="GUH978" s="267"/>
      <c r="GUI978" s="269"/>
      <c r="GUJ978" s="267"/>
      <c r="GUK978" s="267"/>
      <c r="GUL978" s="184"/>
      <c r="GUM978" s="184"/>
      <c r="GUN978" s="185"/>
      <c r="GUO978" s="184"/>
      <c r="GUP978" s="184"/>
      <c r="GUQ978" s="184"/>
      <c r="GUR978" s="187"/>
      <c r="GUS978" s="188"/>
      <c r="GUU978" s="182"/>
      <c r="GUV978" s="183"/>
      <c r="GVC978" s="267"/>
      <c r="GVD978" s="269"/>
      <c r="GVE978" s="267"/>
      <c r="GVF978" s="267"/>
      <c r="GVG978" s="184"/>
      <c r="GVH978" s="184"/>
      <c r="GVI978" s="185"/>
      <c r="GVJ978" s="184"/>
      <c r="GVK978" s="184"/>
      <c r="GVL978" s="184"/>
      <c r="GVM978" s="187"/>
      <c r="GVN978" s="188"/>
      <c r="GVP978" s="182"/>
      <c r="GVQ978" s="183"/>
      <c r="GVX978" s="267"/>
      <c r="GVY978" s="269"/>
      <c r="GVZ978" s="267"/>
      <c r="GWA978" s="267"/>
      <c r="GWB978" s="184"/>
      <c r="GWC978" s="184"/>
      <c r="GWD978" s="185"/>
      <c r="GWE978" s="184"/>
      <c r="GWF978" s="184"/>
      <c r="GWG978" s="184"/>
      <c r="GWH978" s="187"/>
      <c r="GWI978" s="188"/>
      <c r="GWK978" s="182"/>
      <c r="GWL978" s="183"/>
      <c r="GWS978" s="267"/>
      <c r="GWT978" s="269"/>
      <c r="GWU978" s="267"/>
      <c r="GWV978" s="267"/>
      <c r="GWW978" s="184"/>
      <c r="GWX978" s="184"/>
      <c r="GWY978" s="185"/>
      <c r="GWZ978" s="184"/>
      <c r="GXA978" s="184"/>
      <c r="GXB978" s="184"/>
      <c r="GXC978" s="187"/>
      <c r="GXD978" s="188"/>
      <c r="GXF978" s="182"/>
      <c r="GXG978" s="183"/>
      <c r="GXN978" s="267"/>
      <c r="GXO978" s="269"/>
      <c r="GXP978" s="267"/>
      <c r="GXQ978" s="267"/>
      <c r="GXR978" s="184"/>
      <c r="GXS978" s="184"/>
      <c r="GXT978" s="185"/>
      <c r="GXU978" s="184"/>
      <c r="GXV978" s="184"/>
      <c r="GXW978" s="184"/>
      <c r="GXX978" s="187"/>
      <c r="GXY978" s="188"/>
      <c r="GYA978" s="182"/>
      <c r="GYB978" s="183"/>
      <c r="GYI978" s="267"/>
      <c r="GYJ978" s="269"/>
      <c r="GYK978" s="267"/>
      <c r="GYL978" s="267"/>
      <c r="GYM978" s="184"/>
      <c r="GYN978" s="184"/>
      <c r="GYO978" s="185"/>
      <c r="GYP978" s="184"/>
      <c r="GYQ978" s="184"/>
      <c r="GYR978" s="184"/>
      <c r="GYS978" s="187"/>
      <c r="GYT978" s="188"/>
      <c r="GYV978" s="182"/>
      <c r="GYW978" s="183"/>
      <c r="GZD978" s="267"/>
      <c r="GZE978" s="269"/>
      <c r="GZF978" s="267"/>
      <c r="GZG978" s="267"/>
      <c r="GZH978" s="184"/>
      <c r="GZI978" s="184"/>
      <c r="GZJ978" s="185"/>
      <c r="GZK978" s="184"/>
      <c r="GZL978" s="184"/>
      <c r="GZM978" s="184"/>
      <c r="GZN978" s="187"/>
      <c r="GZO978" s="188"/>
      <c r="GZQ978" s="182"/>
      <c r="GZR978" s="183"/>
      <c r="GZY978" s="267"/>
      <c r="GZZ978" s="269"/>
      <c r="HAA978" s="267"/>
      <c r="HAB978" s="267"/>
      <c r="HAC978" s="184"/>
      <c r="HAD978" s="184"/>
      <c r="HAE978" s="185"/>
      <c r="HAF978" s="184"/>
      <c r="HAG978" s="184"/>
      <c r="HAH978" s="184"/>
      <c r="HAI978" s="187"/>
      <c r="HAJ978" s="188"/>
      <c r="HAL978" s="182"/>
      <c r="HAM978" s="183"/>
      <c r="HAT978" s="267"/>
      <c r="HAU978" s="269"/>
      <c r="HAV978" s="267"/>
      <c r="HAW978" s="267"/>
      <c r="HAX978" s="184"/>
      <c r="HAY978" s="184"/>
      <c r="HAZ978" s="185"/>
      <c r="HBA978" s="184"/>
      <c r="HBB978" s="184"/>
      <c r="HBC978" s="184"/>
      <c r="HBD978" s="187"/>
      <c r="HBE978" s="188"/>
      <c r="HBG978" s="182"/>
      <c r="HBH978" s="183"/>
      <c r="HBO978" s="267"/>
      <c r="HBP978" s="269"/>
      <c r="HBQ978" s="267"/>
      <c r="HBR978" s="267"/>
      <c r="HBS978" s="184"/>
      <c r="HBT978" s="184"/>
      <c r="HBU978" s="185"/>
      <c r="HBV978" s="184"/>
      <c r="HBW978" s="184"/>
      <c r="HBX978" s="184"/>
      <c r="HBY978" s="187"/>
      <c r="HBZ978" s="188"/>
      <c r="HCB978" s="182"/>
      <c r="HCC978" s="183"/>
      <c r="HCJ978" s="267"/>
      <c r="HCK978" s="269"/>
      <c r="HCL978" s="267"/>
      <c r="HCM978" s="267"/>
      <c r="HCN978" s="184"/>
      <c r="HCO978" s="184"/>
      <c r="HCP978" s="185"/>
      <c r="HCQ978" s="184"/>
      <c r="HCR978" s="184"/>
      <c r="HCS978" s="184"/>
      <c r="HCT978" s="187"/>
      <c r="HCU978" s="188"/>
      <c r="HCW978" s="182"/>
      <c r="HCX978" s="183"/>
      <c r="HDE978" s="267"/>
      <c r="HDF978" s="269"/>
      <c r="HDG978" s="267"/>
      <c r="HDH978" s="267"/>
      <c r="HDI978" s="184"/>
      <c r="HDJ978" s="184"/>
      <c r="HDK978" s="185"/>
      <c r="HDL978" s="184"/>
      <c r="HDM978" s="184"/>
      <c r="HDN978" s="184"/>
      <c r="HDO978" s="187"/>
      <c r="HDP978" s="188"/>
      <c r="HDR978" s="182"/>
      <c r="HDS978" s="183"/>
      <c r="HDZ978" s="267"/>
      <c r="HEA978" s="269"/>
      <c r="HEB978" s="267"/>
      <c r="HEC978" s="267"/>
      <c r="HED978" s="184"/>
      <c r="HEE978" s="184"/>
      <c r="HEF978" s="185"/>
      <c r="HEG978" s="184"/>
      <c r="HEH978" s="184"/>
      <c r="HEI978" s="184"/>
      <c r="HEJ978" s="187"/>
      <c r="HEK978" s="188"/>
      <c r="HEM978" s="182"/>
      <c r="HEN978" s="183"/>
      <c r="HEU978" s="267"/>
      <c r="HEV978" s="269"/>
      <c r="HEW978" s="267"/>
      <c r="HEX978" s="267"/>
      <c r="HEY978" s="184"/>
      <c r="HEZ978" s="184"/>
      <c r="HFA978" s="185"/>
      <c r="HFB978" s="184"/>
      <c r="HFC978" s="184"/>
      <c r="HFD978" s="184"/>
      <c r="HFE978" s="187"/>
      <c r="HFF978" s="188"/>
      <c r="HFH978" s="182"/>
      <c r="HFI978" s="183"/>
      <c r="HFP978" s="267"/>
      <c r="HFQ978" s="269"/>
      <c r="HFR978" s="267"/>
      <c r="HFS978" s="267"/>
      <c r="HFT978" s="184"/>
      <c r="HFU978" s="184"/>
      <c r="HFV978" s="185"/>
      <c r="HFW978" s="184"/>
      <c r="HFX978" s="184"/>
      <c r="HFY978" s="184"/>
      <c r="HFZ978" s="187"/>
      <c r="HGA978" s="188"/>
      <c r="HGC978" s="182"/>
      <c r="HGD978" s="183"/>
      <c r="HGK978" s="267"/>
      <c r="HGL978" s="269"/>
      <c r="HGM978" s="267"/>
      <c r="HGN978" s="267"/>
      <c r="HGO978" s="184"/>
      <c r="HGP978" s="184"/>
      <c r="HGQ978" s="185"/>
      <c r="HGR978" s="184"/>
      <c r="HGS978" s="184"/>
      <c r="HGT978" s="184"/>
      <c r="HGU978" s="187"/>
      <c r="HGV978" s="188"/>
      <c r="HGX978" s="182"/>
      <c r="HGY978" s="183"/>
      <c r="HHF978" s="267"/>
      <c r="HHG978" s="269"/>
      <c r="HHH978" s="267"/>
      <c r="HHI978" s="267"/>
      <c r="HHJ978" s="184"/>
      <c r="HHK978" s="184"/>
      <c r="HHL978" s="185"/>
      <c r="HHM978" s="184"/>
      <c r="HHN978" s="184"/>
      <c r="HHO978" s="184"/>
      <c r="HHP978" s="187"/>
      <c r="HHQ978" s="188"/>
      <c r="HHS978" s="182"/>
      <c r="HHT978" s="183"/>
      <c r="HIA978" s="267"/>
      <c r="HIB978" s="269"/>
      <c r="HIC978" s="267"/>
      <c r="HID978" s="267"/>
      <c r="HIE978" s="184"/>
      <c r="HIF978" s="184"/>
      <c r="HIG978" s="185"/>
      <c r="HIH978" s="184"/>
      <c r="HII978" s="184"/>
      <c r="HIJ978" s="184"/>
      <c r="HIK978" s="187"/>
      <c r="HIL978" s="188"/>
      <c r="HIN978" s="182"/>
      <c r="HIO978" s="183"/>
      <c r="HIV978" s="267"/>
      <c r="HIW978" s="269"/>
      <c r="HIX978" s="267"/>
      <c r="HIY978" s="267"/>
      <c r="HIZ978" s="184"/>
      <c r="HJA978" s="184"/>
      <c r="HJB978" s="185"/>
      <c r="HJC978" s="184"/>
      <c r="HJD978" s="184"/>
      <c r="HJE978" s="184"/>
      <c r="HJF978" s="187"/>
      <c r="HJG978" s="188"/>
      <c r="HJI978" s="182"/>
      <c r="HJJ978" s="183"/>
      <c r="HJQ978" s="267"/>
      <c r="HJR978" s="269"/>
      <c r="HJS978" s="267"/>
      <c r="HJT978" s="267"/>
      <c r="HJU978" s="184"/>
      <c r="HJV978" s="184"/>
      <c r="HJW978" s="185"/>
      <c r="HJX978" s="184"/>
      <c r="HJY978" s="184"/>
      <c r="HJZ978" s="184"/>
      <c r="HKA978" s="187"/>
      <c r="HKB978" s="188"/>
      <c r="HKD978" s="182"/>
      <c r="HKE978" s="183"/>
      <c r="HKL978" s="267"/>
      <c r="HKM978" s="269"/>
      <c r="HKN978" s="267"/>
      <c r="HKO978" s="267"/>
      <c r="HKP978" s="184"/>
      <c r="HKQ978" s="184"/>
      <c r="HKR978" s="185"/>
      <c r="HKS978" s="184"/>
      <c r="HKT978" s="184"/>
      <c r="HKU978" s="184"/>
      <c r="HKV978" s="187"/>
      <c r="HKW978" s="188"/>
      <c r="HKY978" s="182"/>
      <c r="HKZ978" s="183"/>
      <c r="HLG978" s="267"/>
      <c r="HLH978" s="269"/>
      <c r="HLI978" s="267"/>
      <c r="HLJ978" s="267"/>
      <c r="HLK978" s="184"/>
      <c r="HLL978" s="184"/>
      <c r="HLM978" s="185"/>
      <c r="HLN978" s="184"/>
      <c r="HLO978" s="184"/>
      <c r="HLP978" s="184"/>
      <c r="HLQ978" s="187"/>
      <c r="HLR978" s="188"/>
      <c r="HLT978" s="182"/>
      <c r="HLU978" s="183"/>
      <c r="HMB978" s="267"/>
      <c r="HMC978" s="269"/>
      <c r="HMD978" s="267"/>
      <c r="HME978" s="267"/>
      <c r="HMF978" s="184"/>
      <c r="HMG978" s="184"/>
      <c r="HMH978" s="185"/>
      <c r="HMI978" s="184"/>
      <c r="HMJ978" s="184"/>
      <c r="HMK978" s="184"/>
      <c r="HML978" s="187"/>
      <c r="HMM978" s="188"/>
      <c r="HMO978" s="182"/>
      <c r="HMP978" s="183"/>
      <c r="HMW978" s="267"/>
      <c r="HMX978" s="269"/>
      <c r="HMY978" s="267"/>
      <c r="HMZ978" s="267"/>
      <c r="HNA978" s="184"/>
      <c r="HNB978" s="184"/>
      <c r="HNC978" s="185"/>
      <c r="HND978" s="184"/>
      <c r="HNE978" s="184"/>
      <c r="HNF978" s="184"/>
      <c r="HNG978" s="187"/>
      <c r="HNH978" s="188"/>
      <c r="HNJ978" s="182"/>
      <c r="HNK978" s="183"/>
      <c r="HNR978" s="267"/>
      <c r="HNS978" s="269"/>
      <c r="HNT978" s="267"/>
      <c r="HNU978" s="267"/>
      <c r="HNV978" s="184"/>
      <c r="HNW978" s="184"/>
      <c r="HNX978" s="185"/>
      <c r="HNY978" s="184"/>
      <c r="HNZ978" s="184"/>
      <c r="HOA978" s="184"/>
      <c r="HOB978" s="187"/>
      <c r="HOC978" s="188"/>
      <c r="HOE978" s="182"/>
      <c r="HOF978" s="183"/>
      <c r="HOM978" s="267"/>
      <c r="HON978" s="269"/>
      <c r="HOO978" s="267"/>
      <c r="HOP978" s="267"/>
      <c r="HOQ978" s="184"/>
      <c r="HOR978" s="184"/>
      <c r="HOS978" s="185"/>
      <c r="HOT978" s="184"/>
      <c r="HOU978" s="184"/>
      <c r="HOV978" s="184"/>
      <c r="HOW978" s="187"/>
      <c r="HOX978" s="188"/>
      <c r="HOZ978" s="182"/>
      <c r="HPA978" s="183"/>
      <c r="HPH978" s="267"/>
      <c r="HPI978" s="269"/>
      <c r="HPJ978" s="267"/>
      <c r="HPK978" s="267"/>
      <c r="HPL978" s="184"/>
      <c r="HPM978" s="184"/>
      <c r="HPN978" s="185"/>
      <c r="HPO978" s="184"/>
      <c r="HPP978" s="184"/>
      <c r="HPQ978" s="184"/>
      <c r="HPR978" s="187"/>
      <c r="HPS978" s="188"/>
      <c r="HPU978" s="182"/>
      <c r="HPV978" s="183"/>
      <c r="HQC978" s="267"/>
      <c r="HQD978" s="269"/>
      <c r="HQE978" s="267"/>
      <c r="HQF978" s="267"/>
      <c r="HQG978" s="184"/>
      <c r="HQH978" s="184"/>
      <c r="HQI978" s="185"/>
      <c r="HQJ978" s="184"/>
      <c r="HQK978" s="184"/>
      <c r="HQL978" s="184"/>
      <c r="HQM978" s="187"/>
      <c r="HQN978" s="188"/>
      <c r="HQP978" s="182"/>
      <c r="HQQ978" s="183"/>
      <c r="HQX978" s="267"/>
      <c r="HQY978" s="269"/>
      <c r="HQZ978" s="267"/>
      <c r="HRA978" s="267"/>
      <c r="HRB978" s="184"/>
      <c r="HRC978" s="184"/>
      <c r="HRD978" s="185"/>
      <c r="HRE978" s="184"/>
      <c r="HRF978" s="184"/>
      <c r="HRG978" s="184"/>
      <c r="HRH978" s="187"/>
      <c r="HRI978" s="188"/>
      <c r="HRK978" s="182"/>
      <c r="HRL978" s="183"/>
      <c r="HRS978" s="267"/>
      <c r="HRT978" s="269"/>
      <c r="HRU978" s="267"/>
      <c r="HRV978" s="267"/>
      <c r="HRW978" s="184"/>
      <c r="HRX978" s="184"/>
      <c r="HRY978" s="185"/>
      <c r="HRZ978" s="184"/>
      <c r="HSA978" s="184"/>
      <c r="HSB978" s="184"/>
      <c r="HSC978" s="187"/>
      <c r="HSD978" s="188"/>
      <c r="HSF978" s="182"/>
      <c r="HSG978" s="183"/>
      <c r="HSN978" s="267"/>
      <c r="HSO978" s="269"/>
      <c r="HSP978" s="267"/>
      <c r="HSQ978" s="267"/>
      <c r="HSR978" s="184"/>
      <c r="HSS978" s="184"/>
      <c r="HST978" s="185"/>
      <c r="HSU978" s="184"/>
      <c r="HSV978" s="184"/>
      <c r="HSW978" s="184"/>
      <c r="HSX978" s="187"/>
      <c r="HSY978" s="188"/>
      <c r="HTA978" s="182"/>
      <c r="HTB978" s="183"/>
      <c r="HTI978" s="267"/>
      <c r="HTJ978" s="269"/>
      <c r="HTK978" s="267"/>
      <c r="HTL978" s="267"/>
      <c r="HTM978" s="184"/>
      <c r="HTN978" s="184"/>
      <c r="HTO978" s="185"/>
      <c r="HTP978" s="184"/>
      <c r="HTQ978" s="184"/>
      <c r="HTR978" s="184"/>
      <c r="HTS978" s="187"/>
      <c r="HTT978" s="188"/>
      <c r="HTV978" s="182"/>
      <c r="HTW978" s="183"/>
      <c r="HUD978" s="267"/>
      <c r="HUE978" s="269"/>
      <c r="HUF978" s="267"/>
      <c r="HUG978" s="267"/>
      <c r="HUH978" s="184"/>
      <c r="HUI978" s="184"/>
      <c r="HUJ978" s="185"/>
      <c r="HUK978" s="184"/>
      <c r="HUL978" s="184"/>
      <c r="HUM978" s="184"/>
      <c r="HUN978" s="187"/>
      <c r="HUO978" s="188"/>
      <c r="HUQ978" s="182"/>
      <c r="HUR978" s="183"/>
      <c r="HUY978" s="267"/>
      <c r="HUZ978" s="269"/>
      <c r="HVA978" s="267"/>
      <c r="HVB978" s="267"/>
      <c r="HVC978" s="184"/>
      <c r="HVD978" s="184"/>
      <c r="HVE978" s="185"/>
      <c r="HVF978" s="184"/>
      <c r="HVG978" s="184"/>
      <c r="HVH978" s="184"/>
      <c r="HVI978" s="187"/>
      <c r="HVJ978" s="188"/>
      <c r="HVL978" s="182"/>
      <c r="HVM978" s="183"/>
      <c r="HVT978" s="267"/>
      <c r="HVU978" s="269"/>
      <c r="HVV978" s="267"/>
      <c r="HVW978" s="267"/>
      <c r="HVX978" s="184"/>
      <c r="HVY978" s="184"/>
      <c r="HVZ978" s="185"/>
      <c r="HWA978" s="184"/>
      <c r="HWB978" s="184"/>
      <c r="HWC978" s="184"/>
      <c r="HWD978" s="187"/>
      <c r="HWE978" s="188"/>
      <c r="HWG978" s="182"/>
      <c r="HWH978" s="183"/>
      <c r="HWO978" s="267"/>
      <c r="HWP978" s="269"/>
      <c r="HWQ978" s="267"/>
      <c r="HWR978" s="267"/>
      <c r="HWS978" s="184"/>
      <c r="HWT978" s="184"/>
      <c r="HWU978" s="185"/>
      <c r="HWV978" s="184"/>
      <c r="HWW978" s="184"/>
      <c r="HWX978" s="184"/>
      <c r="HWY978" s="187"/>
      <c r="HWZ978" s="188"/>
      <c r="HXB978" s="182"/>
      <c r="HXC978" s="183"/>
      <c r="HXJ978" s="267"/>
      <c r="HXK978" s="269"/>
      <c r="HXL978" s="267"/>
      <c r="HXM978" s="267"/>
      <c r="HXN978" s="184"/>
      <c r="HXO978" s="184"/>
      <c r="HXP978" s="185"/>
      <c r="HXQ978" s="184"/>
      <c r="HXR978" s="184"/>
      <c r="HXS978" s="184"/>
      <c r="HXT978" s="187"/>
      <c r="HXU978" s="188"/>
      <c r="HXW978" s="182"/>
      <c r="HXX978" s="183"/>
      <c r="HYE978" s="267"/>
      <c r="HYF978" s="269"/>
      <c r="HYG978" s="267"/>
      <c r="HYH978" s="267"/>
      <c r="HYI978" s="184"/>
      <c r="HYJ978" s="184"/>
      <c r="HYK978" s="185"/>
      <c r="HYL978" s="184"/>
      <c r="HYM978" s="184"/>
      <c r="HYN978" s="184"/>
      <c r="HYO978" s="187"/>
      <c r="HYP978" s="188"/>
      <c r="HYR978" s="182"/>
      <c r="HYS978" s="183"/>
      <c r="HYZ978" s="267"/>
      <c r="HZA978" s="269"/>
      <c r="HZB978" s="267"/>
      <c r="HZC978" s="267"/>
      <c r="HZD978" s="184"/>
      <c r="HZE978" s="184"/>
      <c r="HZF978" s="185"/>
      <c r="HZG978" s="184"/>
      <c r="HZH978" s="184"/>
      <c r="HZI978" s="184"/>
      <c r="HZJ978" s="187"/>
      <c r="HZK978" s="188"/>
      <c r="HZM978" s="182"/>
      <c r="HZN978" s="183"/>
      <c r="HZU978" s="267"/>
      <c r="HZV978" s="269"/>
      <c r="HZW978" s="267"/>
      <c r="HZX978" s="267"/>
      <c r="HZY978" s="184"/>
      <c r="HZZ978" s="184"/>
      <c r="IAA978" s="185"/>
      <c r="IAB978" s="184"/>
      <c r="IAC978" s="184"/>
      <c r="IAD978" s="184"/>
      <c r="IAE978" s="187"/>
      <c r="IAF978" s="188"/>
      <c r="IAH978" s="182"/>
      <c r="IAI978" s="183"/>
      <c r="IAP978" s="267"/>
      <c r="IAQ978" s="269"/>
      <c r="IAR978" s="267"/>
      <c r="IAS978" s="267"/>
      <c r="IAT978" s="184"/>
      <c r="IAU978" s="184"/>
      <c r="IAV978" s="185"/>
      <c r="IAW978" s="184"/>
      <c r="IAX978" s="184"/>
      <c r="IAY978" s="184"/>
      <c r="IAZ978" s="187"/>
      <c r="IBA978" s="188"/>
      <c r="IBC978" s="182"/>
      <c r="IBD978" s="183"/>
      <c r="IBK978" s="267"/>
      <c r="IBL978" s="269"/>
      <c r="IBM978" s="267"/>
      <c r="IBN978" s="267"/>
      <c r="IBO978" s="184"/>
      <c r="IBP978" s="184"/>
      <c r="IBQ978" s="185"/>
      <c r="IBR978" s="184"/>
      <c r="IBS978" s="184"/>
      <c r="IBT978" s="184"/>
      <c r="IBU978" s="187"/>
      <c r="IBV978" s="188"/>
      <c r="IBX978" s="182"/>
      <c r="IBY978" s="183"/>
      <c r="ICF978" s="267"/>
      <c r="ICG978" s="269"/>
      <c r="ICH978" s="267"/>
      <c r="ICI978" s="267"/>
      <c r="ICJ978" s="184"/>
      <c r="ICK978" s="184"/>
      <c r="ICL978" s="185"/>
      <c r="ICM978" s="184"/>
      <c r="ICN978" s="184"/>
      <c r="ICO978" s="184"/>
      <c r="ICP978" s="187"/>
      <c r="ICQ978" s="188"/>
      <c r="ICS978" s="182"/>
      <c r="ICT978" s="183"/>
      <c r="IDA978" s="267"/>
      <c r="IDB978" s="269"/>
      <c r="IDC978" s="267"/>
      <c r="IDD978" s="267"/>
      <c r="IDE978" s="184"/>
      <c r="IDF978" s="184"/>
      <c r="IDG978" s="185"/>
      <c r="IDH978" s="184"/>
      <c r="IDI978" s="184"/>
      <c r="IDJ978" s="184"/>
      <c r="IDK978" s="187"/>
      <c r="IDL978" s="188"/>
      <c r="IDN978" s="182"/>
      <c r="IDO978" s="183"/>
      <c r="IDV978" s="267"/>
      <c r="IDW978" s="269"/>
      <c r="IDX978" s="267"/>
      <c r="IDY978" s="267"/>
      <c r="IDZ978" s="184"/>
      <c r="IEA978" s="184"/>
      <c r="IEB978" s="185"/>
      <c r="IEC978" s="184"/>
      <c r="IED978" s="184"/>
      <c r="IEE978" s="184"/>
      <c r="IEF978" s="187"/>
      <c r="IEG978" s="188"/>
      <c r="IEI978" s="182"/>
      <c r="IEJ978" s="183"/>
      <c r="IEQ978" s="267"/>
      <c r="IER978" s="269"/>
      <c r="IES978" s="267"/>
      <c r="IET978" s="267"/>
      <c r="IEU978" s="184"/>
      <c r="IEV978" s="184"/>
      <c r="IEW978" s="185"/>
      <c r="IEX978" s="184"/>
      <c r="IEY978" s="184"/>
      <c r="IEZ978" s="184"/>
      <c r="IFA978" s="187"/>
      <c r="IFB978" s="188"/>
      <c r="IFD978" s="182"/>
      <c r="IFE978" s="183"/>
      <c r="IFL978" s="267"/>
      <c r="IFM978" s="269"/>
      <c r="IFN978" s="267"/>
      <c r="IFO978" s="267"/>
      <c r="IFP978" s="184"/>
      <c r="IFQ978" s="184"/>
      <c r="IFR978" s="185"/>
      <c r="IFS978" s="184"/>
      <c r="IFT978" s="184"/>
      <c r="IFU978" s="184"/>
      <c r="IFV978" s="187"/>
      <c r="IFW978" s="188"/>
      <c r="IFY978" s="182"/>
      <c r="IFZ978" s="183"/>
      <c r="IGG978" s="267"/>
      <c r="IGH978" s="269"/>
      <c r="IGI978" s="267"/>
      <c r="IGJ978" s="267"/>
      <c r="IGK978" s="184"/>
      <c r="IGL978" s="184"/>
      <c r="IGM978" s="185"/>
      <c r="IGN978" s="184"/>
      <c r="IGO978" s="184"/>
      <c r="IGP978" s="184"/>
      <c r="IGQ978" s="187"/>
      <c r="IGR978" s="188"/>
      <c r="IGT978" s="182"/>
      <c r="IGU978" s="183"/>
      <c r="IHB978" s="267"/>
      <c r="IHC978" s="269"/>
      <c r="IHD978" s="267"/>
      <c r="IHE978" s="267"/>
      <c r="IHF978" s="184"/>
      <c r="IHG978" s="184"/>
      <c r="IHH978" s="185"/>
      <c r="IHI978" s="184"/>
      <c r="IHJ978" s="184"/>
      <c r="IHK978" s="184"/>
      <c r="IHL978" s="187"/>
      <c r="IHM978" s="188"/>
      <c r="IHO978" s="182"/>
      <c r="IHP978" s="183"/>
      <c r="IHW978" s="267"/>
      <c r="IHX978" s="269"/>
      <c r="IHY978" s="267"/>
      <c r="IHZ978" s="267"/>
      <c r="IIA978" s="184"/>
      <c r="IIB978" s="184"/>
      <c r="IIC978" s="185"/>
      <c r="IID978" s="184"/>
      <c r="IIE978" s="184"/>
      <c r="IIF978" s="184"/>
      <c r="IIG978" s="187"/>
      <c r="IIH978" s="188"/>
      <c r="IIJ978" s="182"/>
      <c r="IIK978" s="183"/>
      <c r="IIR978" s="267"/>
      <c r="IIS978" s="269"/>
      <c r="IIT978" s="267"/>
      <c r="IIU978" s="267"/>
      <c r="IIV978" s="184"/>
      <c r="IIW978" s="184"/>
      <c r="IIX978" s="185"/>
      <c r="IIY978" s="184"/>
      <c r="IIZ978" s="184"/>
      <c r="IJA978" s="184"/>
      <c r="IJB978" s="187"/>
      <c r="IJC978" s="188"/>
      <c r="IJE978" s="182"/>
      <c r="IJF978" s="183"/>
      <c r="IJM978" s="267"/>
      <c r="IJN978" s="269"/>
      <c r="IJO978" s="267"/>
      <c r="IJP978" s="267"/>
      <c r="IJQ978" s="184"/>
      <c r="IJR978" s="184"/>
      <c r="IJS978" s="185"/>
      <c r="IJT978" s="184"/>
      <c r="IJU978" s="184"/>
      <c r="IJV978" s="184"/>
      <c r="IJW978" s="187"/>
      <c r="IJX978" s="188"/>
      <c r="IJZ978" s="182"/>
      <c r="IKA978" s="183"/>
      <c r="IKH978" s="267"/>
      <c r="IKI978" s="269"/>
      <c r="IKJ978" s="267"/>
      <c r="IKK978" s="267"/>
      <c r="IKL978" s="184"/>
      <c r="IKM978" s="184"/>
      <c r="IKN978" s="185"/>
      <c r="IKO978" s="184"/>
      <c r="IKP978" s="184"/>
      <c r="IKQ978" s="184"/>
      <c r="IKR978" s="187"/>
      <c r="IKS978" s="188"/>
      <c r="IKU978" s="182"/>
      <c r="IKV978" s="183"/>
      <c r="ILC978" s="267"/>
      <c r="ILD978" s="269"/>
      <c r="ILE978" s="267"/>
      <c r="ILF978" s="267"/>
      <c r="ILG978" s="184"/>
      <c r="ILH978" s="184"/>
      <c r="ILI978" s="185"/>
      <c r="ILJ978" s="184"/>
      <c r="ILK978" s="184"/>
      <c r="ILL978" s="184"/>
      <c r="ILM978" s="187"/>
      <c r="ILN978" s="188"/>
      <c r="ILP978" s="182"/>
      <c r="ILQ978" s="183"/>
      <c r="ILX978" s="267"/>
      <c r="ILY978" s="269"/>
      <c r="ILZ978" s="267"/>
      <c r="IMA978" s="267"/>
      <c r="IMB978" s="184"/>
      <c r="IMC978" s="184"/>
      <c r="IMD978" s="185"/>
      <c r="IME978" s="184"/>
      <c r="IMF978" s="184"/>
      <c r="IMG978" s="184"/>
      <c r="IMH978" s="187"/>
      <c r="IMI978" s="188"/>
      <c r="IMK978" s="182"/>
      <c r="IML978" s="183"/>
      <c r="IMS978" s="267"/>
      <c r="IMT978" s="269"/>
      <c r="IMU978" s="267"/>
      <c r="IMV978" s="267"/>
      <c r="IMW978" s="184"/>
      <c r="IMX978" s="184"/>
      <c r="IMY978" s="185"/>
      <c r="IMZ978" s="184"/>
      <c r="INA978" s="184"/>
      <c r="INB978" s="184"/>
      <c r="INC978" s="187"/>
      <c r="IND978" s="188"/>
      <c r="INF978" s="182"/>
      <c r="ING978" s="183"/>
      <c r="INN978" s="267"/>
      <c r="INO978" s="269"/>
      <c r="INP978" s="267"/>
      <c r="INQ978" s="267"/>
      <c r="INR978" s="184"/>
      <c r="INS978" s="184"/>
      <c r="INT978" s="185"/>
      <c r="INU978" s="184"/>
      <c r="INV978" s="184"/>
      <c r="INW978" s="184"/>
      <c r="INX978" s="187"/>
      <c r="INY978" s="188"/>
      <c r="IOA978" s="182"/>
      <c r="IOB978" s="183"/>
      <c r="IOI978" s="267"/>
      <c r="IOJ978" s="269"/>
      <c r="IOK978" s="267"/>
      <c r="IOL978" s="267"/>
      <c r="IOM978" s="184"/>
      <c r="ION978" s="184"/>
      <c r="IOO978" s="185"/>
      <c r="IOP978" s="184"/>
      <c r="IOQ978" s="184"/>
      <c r="IOR978" s="184"/>
      <c r="IOS978" s="187"/>
      <c r="IOT978" s="188"/>
      <c r="IOV978" s="182"/>
      <c r="IOW978" s="183"/>
      <c r="IPD978" s="267"/>
      <c r="IPE978" s="269"/>
      <c r="IPF978" s="267"/>
      <c r="IPG978" s="267"/>
      <c r="IPH978" s="184"/>
      <c r="IPI978" s="184"/>
      <c r="IPJ978" s="185"/>
      <c r="IPK978" s="184"/>
      <c r="IPL978" s="184"/>
      <c r="IPM978" s="184"/>
      <c r="IPN978" s="187"/>
      <c r="IPO978" s="188"/>
      <c r="IPQ978" s="182"/>
      <c r="IPR978" s="183"/>
      <c r="IPY978" s="267"/>
      <c r="IPZ978" s="269"/>
      <c r="IQA978" s="267"/>
      <c r="IQB978" s="267"/>
      <c r="IQC978" s="184"/>
      <c r="IQD978" s="184"/>
      <c r="IQE978" s="185"/>
      <c r="IQF978" s="184"/>
      <c r="IQG978" s="184"/>
      <c r="IQH978" s="184"/>
      <c r="IQI978" s="187"/>
      <c r="IQJ978" s="188"/>
      <c r="IQL978" s="182"/>
      <c r="IQM978" s="183"/>
      <c r="IQT978" s="267"/>
      <c r="IQU978" s="269"/>
      <c r="IQV978" s="267"/>
      <c r="IQW978" s="267"/>
      <c r="IQX978" s="184"/>
      <c r="IQY978" s="184"/>
      <c r="IQZ978" s="185"/>
      <c r="IRA978" s="184"/>
      <c r="IRB978" s="184"/>
      <c r="IRC978" s="184"/>
      <c r="IRD978" s="187"/>
      <c r="IRE978" s="188"/>
      <c r="IRG978" s="182"/>
      <c r="IRH978" s="183"/>
      <c r="IRO978" s="267"/>
      <c r="IRP978" s="269"/>
      <c r="IRQ978" s="267"/>
      <c r="IRR978" s="267"/>
      <c r="IRS978" s="184"/>
      <c r="IRT978" s="184"/>
      <c r="IRU978" s="185"/>
      <c r="IRV978" s="184"/>
      <c r="IRW978" s="184"/>
      <c r="IRX978" s="184"/>
      <c r="IRY978" s="187"/>
      <c r="IRZ978" s="188"/>
      <c r="ISB978" s="182"/>
      <c r="ISC978" s="183"/>
      <c r="ISJ978" s="267"/>
      <c r="ISK978" s="269"/>
      <c r="ISL978" s="267"/>
      <c r="ISM978" s="267"/>
      <c r="ISN978" s="184"/>
      <c r="ISO978" s="184"/>
      <c r="ISP978" s="185"/>
      <c r="ISQ978" s="184"/>
      <c r="ISR978" s="184"/>
      <c r="ISS978" s="184"/>
      <c r="IST978" s="187"/>
      <c r="ISU978" s="188"/>
      <c r="ISW978" s="182"/>
      <c r="ISX978" s="183"/>
      <c r="ITE978" s="267"/>
      <c r="ITF978" s="269"/>
      <c r="ITG978" s="267"/>
      <c r="ITH978" s="267"/>
      <c r="ITI978" s="184"/>
      <c r="ITJ978" s="184"/>
      <c r="ITK978" s="185"/>
      <c r="ITL978" s="184"/>
      <c r="ITM978" s="184"/>
      <c r="ITN978" s="184"/>
      <c r="ITO978" s="187"/>
      <c r="ITP978" s="188"/>
      <c r="ITR978" s="182"/>
      <c r="ITS978" s="183"/>
      <c r="ITZ978" s="267"/>
      <c r="IUA978" s="269"/>
      <c r="IUB978" s="267"/>
      <c r="IUC978" s="267"/>
      <c r="IUD978" s="184"/>
      <c r="IUE978" s="184"/>
      <c r="IUF978" s="185"/>
      <c r="IUG978" s="184"/>
      <c r="IUH978" s="184"/>
      <c r="IUI978" s="184"/>
      <c r="IUJ978" s="187"/>
      <c r="IUK978" s="188"/>
      <c r="IUM978" s="182"/>
      <c r="IUN978" s="183"/>
      <c r="IUU978" s="267"/>
      <c r="IUV978" s="269"/>
      <c r="IUW978" s="267"/>
      <c r="IUX978" s="267"/>
      <c r="IUY978" s="184"/>
      <c r="IUZ978" s="184"/>
      <c r="IVA978" s="185"/>
      <c r="IVB978" s="184"/>
      <c r="IVC978" s="184"/>
      <c r="IVD978" s="184"/>
      <c r="IVE978" s="187"/>
      <c r="IVF978" s="188"/>
      <c r="IVH978" s="182"/>
      <c r="IVI978" s="183"/>
      <c r="IVP978" s="267"/>
      <c r="IVQ978" s="269"/>
      <c r="IVR978" s="267"/>
      <c r="IVS978" s="267"/>
      <c r="IVT978" s="184"/>
      <c r="IVU978" s="184"/>
      <c r="IVV978" s="185"/>
      <c r="IVW978" s="184"/>
      <c r="IVX978" s="184"/>
      <c r="IVY978" s="184"/>
      <c r="IVZ978" s="187"/>
      <c r="IWA978" s="188"/>
      <c r="IWC978" s="182"/>
      <c r="IWD978" s="183"/>
      <c r="IWK978" s="267"/>
      <c r="IWL978" s="269"/>
      <c r="IWM978" s="267"/>
      <c r="IWN978" s="267"/>
      <c r="IWO978" s="184"/>
      <c r="IWP978" s="184"/>
      <c r="IWQ978" s="185"/>
      <c r="IWR978" s="184"/>
      <c r="IWS978" s="184"/>
      <c r="IWT978" s="184"/>
      <c r="IWU978" s="187"/>
      <c r="IWV978" s="188"/>
      <c r="IWX978" s="182"/>
      <c r="IWY978" s="183"/>
      <c r="IXF978" s="267"/>
      <c r="IXG978" s="269"/>
      <c r="IXH978" s="267"/>
      <c r="IXI978" s="267"/>
      <c r="IXJ978" s="184"/>
      <c r="IXK978" s="184"/>
      <c r="IXL978" s="185"/>
      <c r="IXM978" s="184"/>
      <c r="IXN978" s="184"/>
      <c r="IXO978" s="184"/>
      <c r="IXP978" s="187"/>
      <c r="IXQ978" s="188"/>
      <c r="IXS978" s="182"/>
      <c r="IXT978" s="183"/>
      <c r="IYA978" s="267"/>
      <c r="IYB978" s="269"/>
      <c r="IYC978" s="267"/>
      <c r="IYD978" s="267"/>
      <c r="IYE978" s="184"/>
      <c r="IYF978" s="184"/>
      <c r="IYG978" s="185"/>
      <c r="IYH978" s="184"/>
      <c r="IYI978" s="184"/>
      <c r="IYJ978" s="184"/>
      <c r="IYK978" s="187"/>
      <c r="IYL978" s="188"/>
      <c r="IYN978" s="182"/>
      <c r="IYO978" s="183"/>
      <c r="IYV978" s="267"/>
      <c r="IYW978" s="269"/>
      <c r="IYX978" s="267"/>
      <c r="IYY978" s="267"/>
      <c r="IYZ978" s="184"/>
      <c r="IZA978" s="184"/>
      <c r="IZB978" s="185"/>
      <c r="IZC978" s="184"/>
      <c r="IZD978" s="184"/>
      <c r="IZE978" s="184"/>
      <c r="IZF978" s="187"/>
      <c r="IZG978" s="188"/>
      <c r="IZI978" s="182"/>
      <c r="IZJ978" s="183"/>
      <c r="IZQ978" s="267"/>
      <c r="IZR978" s="269"/>
      <c r="IZS978" s="267"/>
      <c r="IZT978" s="267"/>
      <c r="IZU978" s="184"/>
      <c r="IZV978" s="184"/>
      <c r="IZW978" s="185"/>
      <c r="IZX978" s="184"/>
      <c r="IZY978" s="184"/>
      <c r="IZZ978" s="184"/>
      <c r="JAA978" s="187"/>
      <c r="JAB978" s="188"/>
      <c r="JAD978" s="182"/>
      <c r="JAE978" s="183"/>
      <c r="JAL978" s="267"/>
      <c r="JAM978" s="269"/>
      <c r="JAN978" s="267"/>
      <c r="JAO978" s="267"/>
      <c r="JAP978" s="184"/>
      <c r="JAQ978" s="184"/>
      <c r="JAR978" s="185"/>
      <c r="JAS978" s="184"/>
      <c r="JAT978" s="184"/>
      <c r="JAU978" s="184"/>
      <c r="JAV978" s="187"/>
      <c r="JAW978" s="188"/>
      <c r="JAY978" s="182"/>
      <c r="JAZ978" s="183"/>
      <c r="JBG978" s="267"/>
      <c r="JBH978" s="269"/>
      <c r="JBI978" s="267"/>
      <c r="JBJ978" s="267"/>
      <c r="JBK978" s="184"/>
      <c r="JBL978" s="184"/>
      <c r="JBM978" s="185"/>
      <c r="JBN978" s="184"/>
      <c r="JBO978" s="184"/>
      <c r="JBP978" s="184"/>
      <c r="JBQ978" s="187"/>
      <c r="JBR978" s="188"/>
      <c r="JBT978" s="182"/>
      <c r="JBU978" s="183"/>
      <c r="JCB978" s="267"/>
      <c r="JCC978" s="269"/>
      <c r="JCD978" s="267"/>
      <c r="JCE978" s="267"/>
      <c r="JCF978" s="184"/>
      <c r="JCG978" s="184"/>
      <c r="JCH978" s="185"/>
      <c r="JCI978" s="184"/>
      <c r="JCJ978" s="184"/>
      <c r="JCK978" s="184"/>
      <c r="JCL978" s="187"/>
      <c r="JCM978" s="188"/>
      <c r="JCO978" s="182"/>
      <c r="JCP978" s="183"/>
      <c r="JCW978" s="267"/>
      <c r="JCX978" s="269"/>
      <c r="JCY978" s="267"/>
      <c r="JCZ978" s="267"/>
      <c r="JDA978" s="184"/>
      <c r="JDB978" s="184"/>
      <c r="JDC978" s="185"/>
      <c r="JDD978" s="184"/>
      <c r="JDE978" s="184"/>
      <c r="JDF978" s="184"/>
      <c r="JDG978" s="187"/>
      <c r="JDH978" s="188"/>
      <c r="JDJ978" s="182"/>
      <c r="JDK978" s="183"/>
      <c r="JDR978" s="267"/>
      <c r="JDS978" s="269"/>
      <c r="JDT978" s="267"/>
      <c r="JDU978" s="267"/>
      <c r="JDV978" s="184"/>
      <c r="JDW978" s="184"/>
      <c r="JDX978" s="185"/>
      <c r="JDY978" s="184"/>
      <c r="JDZ978" s="184"/>
      <c r="JEA978" s="184"/>
      <c r="JEB978" s="187"/>
      <c r="JEC978" s="188"/>
      <c r="JEE978" s="182"/>
      <c r="JEF978" s="183"/>
      <c r="JEM978" s="267"/>
      <c r="JEN978" s="269"/>
      <c r="JEO978" s="267"/>
      <c r="JEP978" s="267"/>
      <c r="JEQ978" s="184"/>
      <c r="JER978" s="184"/>
      <c r="JES978" s="185"/>
      <c r="JET978" s="184"/>
      <c r="JEU978" s="184"/>
      <c r="JEV978" s="184"/>
      <c r="JEW978" s="187"/>
      <c r="JEX978" s="188"/>
      <c r="JEZ978" s="182"/>
      <c r="JFA978" s="183"/>
      <c r="JFH978" s="267"/>
      <c r="JFI978" s="269"/>
      <c r="JFJ978" s="267"/>
      <c r="JFK978" s="267"/>
      <c r="JFL978" s="184"/>
      <c r="JFM978" s="184"/>
      <c r="JFN978" s="185"/>
      <c r="JFO978" s="184"/>
      <c r="JFP978" s="184"/>
      <c r="JFQ978" s="184"/>
      <c r="JFR978" s="187"/>
      <c r="JFS978" s="188"/>
      <c r="JFU978" s="182"/>
      <c r="JFV978" s="183"/>
      <c r="JGC978" s="267"/>
      <c r="JGD978" s="269"/>
      <c r="JGE978" s="267"/>
      <c r="JGF978" s="267"/>
      <c r="JGG978" s="184"/>
      <c r="JGH978" s="184"/>
      <c r="JGI978" s="185"/>
      <c r="JGJ978" s="184"/>
      <c r="JGK978" s="184"/>
      <c r="JGL978" s="184"/>
      <c r="JGM978" s="187"/>
      <c r="JGN978" s="188"/>
      <c r="JGP978" s="182"/>
      <c r="JGQ978" s="183"/>
      <c r="JGX978" s="267"/>
      <c r="JGY978" s="269"/>
      <c r="JGZ978" s="267"/>
      <c r="JHA978" s="267"/>
      <c r="JHB978" s="184"/>
      <c r="JHC978" s="184"/>
      <c r="JHD978" s="185"/>
      <c r="JHE978" s="184"/>
      <c r="JHF978" s="184"/>
      <c r="JHG978" s="184"/>
      <c r="JHH978" s="187"/>
      <c r="JHI978" s="188"/>
      <c r="JHK978" s="182"/>
      <c r="JHL978" s="183"/>
      <c r="JHS978" s="267"/>
      <c r="JHT978" s="269"/>
      <c r="JHU978" s="267"/>
      <c r="JHV978" s="267"/>
      <c r="JHW978" s="184"/>
      <c r="JHX978" s="184"/>
      <c r="JHY978" s="185"/>
      <c r="JHZ978" s="184"/>
      <c r="JIA978" s="184"/>
      <c r="JIB978" s="184"/>
      <c r="JIC978" s="187"/>
      <c r="JID978" s="188"/>
      <c r="JIF978" s="182"/>
      <c r="JIG978" s="183"/>
      <c r="JIN978" s="267"/>
      <c r="JIO978" s="269"/>
      <c r="JIP978" s="267"/>
      <c r="JIQ978" s="267"/>
      <c r="JIR978" s="184"/>
      <c r="JIS978" s="184"/>
      <c r="JIT978" s="185"/>
      <c r="JIU978" s="184"/>
      <c r="JIV978" s="184"/>
      <c r="JIW978" s="184"/>
      <c r="JIX978" s="187"/>
      <c r="JIY978" s="188"/>
      <c r="JJA978" s="182"/>
      <c r="JJB978" s="183"/>
      <c r="JJI978" s="267"/>
      <c r="JJJ978" s="269"/>
      <c r="JJK978" s="267"/>
      <c r="JJL978" s="267"/>
      <c r="JJM978" s="184"/>
      <c r="JJN978" s="184"/>
      <c r="JJO978" s="185"/>
      <c r="JJP978" s="184"/>
      <c r="JJQ978" s="184"/>
      <c r="JJR978" s="184"/>
      <c r="JJS978" s="187"/>
      <c r="JJT978" s="188"/>
      <c r="JJV978" s="182"/>
      <c r="JJW978" s="183"/>
      <c r="JKD978" s="267"/>
      <c r="JKE978" s="269"/>
      <c r="JKF978" s="267"/>
      <c r="JKG978" s="267"/>
      <c r="JKH978" s="184"/>
      <c r="JKI978" s="184"/>
      <c r="JKJ978" s="185"/>
      <c r="JKK978" s="184"/>
      <c r="JKL978" s="184"/>
      <c r="JKM978" s="184"/>
      <c r="JKN978" s="187"/>
      <c r="JKO978" s="188"/>
      <c r="JKQ978" s="182"/>
      <c r="JKR978" s="183"/>
      <c r="JKY978" s="267"/>
      <c r="JKZ978" s="269"/>
      <c r="JLA978" s="267"/>
      <c r="JLB978" s="267"/>
      <c r="JLC978" s="184"/>
      <c r="JLD978" s="184"/>
      <c r="JLE978" s="185"/>
      <c r="JLF978" s="184"/>
      <c r="JLG978" s="184"/>
      <c r="JLH978" s="184"/>
      <c r="JLI978" s="187"/>
      <c r="JLJ978" s="188"/>
      <c r="JLL978" s="182"/>
      <c r="JLM978" s="183"/>
      <c r="JLT978" s="267"/>
      <c r="JLU978" s="269"/>
      <c r="JLV978" s="267"/>
      <c r="JLW978" s="267"/>
      <c r="JLX978" s="184"/>
      <c r="JLY978" s="184"/>
      <c r="JLZ978" s="185"/>
      <c r="JMA978" s="184"/>
      <c r="JMB978" s="184"/>
      <c r="JMC978" s="184"/>
      <c r="JMD978" s="187"/>
      <c r="JME978" s="188"/>
      <c r="JMG978" s="182"/>
      <c r="JMH978" s="183"/>
      <c r="JMO978" s="267"/>
      <c r="JMP978" s="269"/>
      <c r="JMQ978" s="267"/>
      <c r="JMR978" s="267"/>
      <c r="JMS978" s="184"/>
      <c r="JMT978" s="184"/>
      <c r="JMU978" s="185"/>
      <c r="JMV978" s="184"/>
      <c r="JMW978" s="184"/>
      <c r="JMX978" s="184"/>
      <c r="JMY978" s="187"/>
      <c r="JMZ978" s="188"/>
      <c r="JNB978" s="182"/>
      <c r="JNC978" s="183"/>
      <c r="JNJ978" s="267"/>
      <c r="JNK978" s="269"/>
      <c r="JNL978" s="267"/>
      <c r="JNM978" s="267"/>
      <c r="JNN978" s="184"/>
      <c r="JNO978" s="184"/>
      <c r="JNP978" s="185"/>
      <c r="JNQ978" s="184"/>
      <c r="JNR978" s="184"/>
      <c r="JNS978" s="184"/>
      <c r="JNT978" s="187"/>
      <c r="JNU978" s="188"/>
      <c r="JNW978" s="182"/>
      <c r="JNX978" s="183"/>
      <c r="JOE978" s="267"/>
      <c r="JOF978" s="269"/>
      <c r="JOG978" s="267"/>
      <c r="JOH978" s="267"/>
      <c r="JOI978" s="184"/>
      <c r="JOJ978" s="184"/>
      <c r="JOK978" s="185"/>
      <c r="JOL978" s="184"/>
      <c r="JOM978" s="184"/>
      <c r="JON978" s="184"/>
      <c r="JOO978" s="187"/>
      <c r="JOP978" s="188"/>
      <c r="JOR978" s="182"/>
      <c r="JOS978" s="183"/>
      <c r="JOZ978" s="267"/>
      <c r="JPA978" s="269"/>
      <c r="JPB978" s="267"/>
      <c r="JPC978" s="267"/>
      <c r="JPD978" s="184"/>
      <c r="JPE978" s="184"/>
      <c r="JPF978" s="185"/>
      <c r="JPG978" s="184"/>
      <c r="JPH978" s="184"/>
      <c r="JPI978" s="184"/>
      <c r="JPJ978" s="187"/>
      <c r="JPK978" s="188"/>
      <c r="JPM978" s="182"/>
      <c r="JPN978" s="183"/>
      <c r="JPU978" s="267"/>
      <c r="JPV978" s="269"/>
      <c r="JPW978" s="267"/>
      <c r="JPX978" s="267"/>
      <c r="JPY978" s="184"/>
      <c r="JPZ978" s="184"/>
      <c r="JQA978" s="185"/>
      <c r="JQB978" s="184"/>
      <c r="JQC978" s="184"/>
      <c r="JQD978" s="184"/>
      <c r="JQE978" s="187"/>
      <c r="JQF978" s="188"/>
      <c r="JQH978" s="182"/>
      <c r="JQI978" s="183"/>
      <c r="JQP978" s="267"/>
      <c r="JQQ978" s="269"/>
      <c r="JQR978" s="267"/>
      <c r="JQS978" s="267"/>
      <c r="JQT978" s="184"/>
      <c r="JQU978" s="184"/>
      <c r="JQV978" s="185"/>
      <c r="JQW978" s="184"/>
      <c r="JQX978" s="184"/>
      <c r="JQY978" s="184"/>
      <c r="JQZ978" s="187"/>
      <c r="JRA978" s="188"/>
      <c r="JRC978" s="182"/>
      <c r="JRD978" s="183"/>
      <c r="JRK978" s="267"/>
      <c r="JRL978" s="269"/>
      <c r="JRM978" s="267"/>
      <c r="JRN978" s="267"/>
      <c r="JRO978" s="184"/>
      <c r="JRP978" s="184"/>
      <c r="JRQ978" s="185"/>
      <c r="JRR978" s="184"/>
      <c r="JRS978" s="184"/>
      <c r="JRT978" s="184"/>
      <c r="JRU978" s="187"/>
      <c r="JRV978" s="188"/>
      <c r="JRX978" s="182"/>
      <c r="JRY978" s="183"/>
      <c r="JSF978" s="267"/>
      <c r="JSG978" s="269"/>
      <c r="JSH978" s="267"/>
      <c r="JSI978" s="267"/>
      <c r="JSJ978" s="184"/>
      <c r="JSK978" s="184"/>
      <c r="JSL978" s="185"/>
      <c r="JSM978" s="184"/>
      <c r="JSN978" s="184"/>
      <c r="JSO978" s="184"/>
      <c r="JSP978" s="187"/>
      <c r="JSQ978" s="188"/>
      <c r="JSS978" s="182"/>
      <c r="JST978" s="183"/>
      <c r="JTA978" s="267"/>
      <c r="JTB978" s="269"/>
      <c r="JTC978" s="267"/>
      <c r="JTD978" s="267"/>
      <c r="JTE978" s="184"/>
      <c r="JTF978" s="184"/>
      <c r="JTG978" s="185"/>
      <c r="JTH978" s="184"/>
      <c r="JTI978" s="184"/>
      <c r="JTJ978" s="184"/>
      <c r="JTK978" s="187"/>
      <c r="JTL978" s="188"/>
      <c r="JTN978" s="182"/>
      <c r="JTO978" s="183"/>
      <c r="JTV978" s="267"/>
      <c r="JTW978" s="269"/>
      <c r="JTX978" s="267"/>
      <c r="JTY978" s="267"/>
      <c r="JTZ978" s="184"/>
      <c r="JUA978" s="184"/>
      <c r="JUB978" s="185"/>
      <c r="JUC978" s="184"/>
      <c r="JUD978" s="184"/>
      <c r="JUE978" s="184"/>
      <c r="JUF978" s="187"/>
      <c r="JUG978" s="188"/>
      <c r="JUI978" s="182"/>
      <c r="JUJ978" s="183"/>
      <c r="JUQ978" s="267"/>
      <c r="JUR978" s="269"/>
      <c r="JUS978" s="267"/>
      <c r="JUT978" s="267"/>
      <c r="JUU978" s="184"/>
      <c r="JUV978" s="184"/>
      <c r="JUW978" s="185"/>
      <c r="JUX978" s="184"/>
      <c r="JUY978" s="184"/>
      <c r="JUZ978" s="184"/>
      <c r="JVA978" s="187"/>
      <c r="JVB978" s="188"/>
      <c r="JVD978" s="182"/>
      <c r="JVE978" s="183"/>
      <c r="JVL978" s="267"/>
      <c r="JVM978" s="269"/>
      <c r="JVN978" s="267"/>
      <c r="JVO978" s="267"/>
      <c r="JVP978" s="184"/>
      <c r="JVQ978" s="184"/>
      <c r="JVR978" s="185"/>
      <c r="JVS978" s="184"/>
      <c r="JVT978" s="184"/>
      <c r="JVU978" s="184"/>
      <c r="JVV978" s="187"/>
      <c r="JVW978" s="188"/>
      <c r="JVY978" s="182"/>
      <c r="JVZ978" s="183"/>
      <c r="JWG978" s="267"/>
      <c r="JWH978" s="269"/>
      <c r="JWI978" s="267"/>
      <c r="JWJ978" s="267"/>
      <c r="JWK978" s="184"/>
      <c r="JWL978" s="184"/>
      <c r="JWM978" s="185"/>
      <c r="JWN978" s="184"/>
      <c r="JWO978" s="184"/>
      <c r="JWP978" s="184"/>
      <c r="JWQ978" s="187"/>
      <c r="JWR978" s="188"/>
      <c r="JWT978" s="182"/>
      <c r="JWU978" s="183"/>
      <c r="JXB978" s="267"/>
      <c r="JXC978" s="269"/>
      <c r="JXD978" s="267"/>
      <c r="JXE978" s="267"/>
      <c r="JXF978" s="184"/>
      <c r="JXG978" s="184"/>
      <c r="JXH978" s="185"/>
      <c r="JXI978" s="184"/>
      <c r="JXJ978" s="184"/>
      <c r="JXK978" s="184"/>
      <c r="JXL978" s="187"/>
      <c r="JXM978" s="188"/>
      <c r="JXO978" s="182"/>
      <c r="JXP978" s="183"/>
      <c r="JXW978" s="267"/>
      <c r="JXX978" s="269"/>
      <c r="JXY978" s="267"/>
      <c r="JXZ978" s="267"/>
      <c r="JYA978" s="184"/>
      <c r="JYB978" s="184"/>
      <c r="JYC978" s="185"/>
      <c r="JYD978" s="184"/>
      <c r="JYE978" s="184"/>
      <c r="JYF978" s="184"/>
      <c r="JYG978" s="187"/>
      <c r="JYH978" s="188"/>
      <c r="JYJ978" s="182"/>
      <c r="JYK978" s="183"/>
      <c r="JYR978" s="267"/>
      <c r="JYS978" s="269"/>
      <c r="JYT978" s="267"/>
      <c r="JYU978" s="267"/>
      <c r="JYV978" s="184"/>
      <c r="JYW978" s="184"/>
      <c r="JYX978" s="185"/>
      <c r="JYY978" s="184"/>
      <c r="JYZ978" s="184"/>
      <c r="JZA978" s="184"/>
      <c r="JZB978" s="187"/>
      <c r="JZC978" s="188"/>
      <c r="JZE978" s="182"/>
      <c r="JZF978" s="183"/>
      <c r="JZM978" s="267"/>
      <c r="JZN978" s="269"/>
      <c r="JZO978" s="267"/>
      <c r="JZP978" s="267"/>
      <c r="JZQ978" s="184"/>
      <c r="JZR978" s="184"/>
      <c r="JZS978" s="185"/>
      <c r="JZT978" s="184"/>
      <c r="JZU978" s="184"/>
      <c r="JZV978" s="184"/>
      <c r="JZW978" s="187"/>
      <c r="JZX978" s="188"/>
      <c r="JZZ978" s="182"/>
      <c r="KAA978" s="183"/>
      <c r="KAH978" s="267"/>
      <c r="KAI978" s="269"/>
      <c r="KAJ978" s="267"/>
      <c r="KAK978" s="267"/>
      <c r="KAL978" s="184"/>
      <c r="KAM978" s="184"/>
      <c r="KAN978" s="185"/>
      <c r="KAO978" s="184"/>
      <c r="KAP978" s="184"/>
      <c r="KAQ978" s="184"/>
      <c r="KAR978" s="187"/>
      <c r="KAS978" s="188"/>
      <c r="KAU978" s="182"/>
      <c r="KAV978" s="183"/>
      <c r="KBC978" s="267"/>
      <c r="KBD978" s="269"/>
      <c r="KBE978" s="267"/>
      <c r="KBF978" s="267"/>
      <c r="KBG978" s="184"/>
      <c r="KBH978" s="184"/>
      <c r="KBI978" s="185"/>
      <c r="KBJ978" s="184"/>
      <c r="KBK978" s="184"/>
      <c r="KBL978" s="184"/>
      <c r="KBM978" s="187"/>
      <c r="KBN978" s="188"/>
      <c r="KBP978" s="182"/>
      <c r="KBQ978" s="183"/>
      <c r="KBX978" s="267"/>
      <c r="KBY978" s="269"/>
      <c r="KBZ978" s="267"/>
      <c r="KCA978" s="267"/>
      <c r="KCB978" s="184"/>
      <c r="KCC978" s="184"/>
      <c r="KCD978" s="185"/>
      <c r="KCE978" s="184"/>
      <c r="KCF978" s="184"/>
      <c r="KCG978" s="184"/>
      <c r="KCH978" s="187"/>
      <c r="KCI978" s="188"/>
      <c r="KCK978" s="182"/>
      <c r="KCL978" s="183"/>
      <c r="KCS978" s="267"/>
      <c r="KCT978" s="269"/>
      <c r="KCU978" s="267"/>
      <c r="KCV978" s="267"/>
      <c r="KCW978" s="184"/>
      <c r="KCX978" s="184"/>
      <c r="KCY978" s="185"/>
      <c r="KCZ978" s="184"/>
      <c r="KDA978" s="184"/>
      <c r="KDB978" s="184"/>
      <c r="KDC978" s="187"/>
      <c r="KDD978" s="188"/>
      <c r="KDF978" s="182"/>
      <c r="KDG978" s="183"/>
      <c r="KDN978" s="267"/>
      <c r="KDO978" s="269"/>
      <c r="KDP978" s="267"/>
      <c r="KDQ978" s="267"/>
      <c r="KDR978" s="184"/>
      <c r="KDS978" s="184"/>
      <c r="KDT978" s="185"/>
      <c r="KDU978" s="184"/>
      <c r="KDV978" s="184"/>
      <c r="KDW978" s="184"/>
      <c r="KDX978" s="187"/>
      <c r="KDY978" s="188"/>
      <c r="KEA978" s="182"/>
      <c r="KEB978" s="183"/>
      <c r="KEI978" s="267"/>
      <c r="KEJ978" s="269"/>
      <c r="KEK978" s="267"/>
      <c r="KEL978" s="267"/>
      <c r="KEM978" s="184"/>
      <c r="KEN978" s="184"/>
      <c r="KEO978" s="185"/>
      <c r="KEP978" s="184"/>
      <c r="KEQ978" s="184"/>
      <c r="KER978" s="184"/>
      <c r="KES978" s="187"/>
      <c r="KET978" s="188"/>
      <c r="KEV978" s="182"/>
      <c r="KEW978" s="183"/>
      <c r="KFD978" s="267"/>
      <c r="KFE978" s="269"/>
      <c r="KFF978" s="267"/>
      <c r="KFG978" s="267"/>
      <c r="KFH978" s="184"/>
      <c r="KFI978" s="184"/>
      <c r="KFJ978" s="185"/>
      <c r="KFK978" s="184"/>
      <c r="KFL978" s="184"/>
      <c r="KFM978" s="184"/>
      <c r="KFN978" s="187"/>
      <c r="KFO978" s="188"/>
      <c r="KFQ978" s="182"/>
      <c r="KFR978" s="183"/>
      <c r="KFY978" s="267"/>
      <c r="KFZ978" s="269"/>
      <c r="KGA978" s="267"/>
      <c r="KGB978" s="267"/>
      <c r="KGC978" s="184"/>
      <c r="KGD978" s="184"/>
      <c r="KGE978" s="185"/>
      <c r="KGF978" s="184"/>
      <c r="KGG978" s="184"/>
      <c r="KGH978" s="184"/>
      <c r="KGI978" s="187"/>
      <c r="KGJ978" s="188"/>
      <c r="KGL978" s="182"/>
      <c r="KGM978" s="183"/>
      <c r="KGT978" s="267"/>
      <c r="KGU978" s="269"/>
      <c r="KGV978" s="267"/>
      <c r="KGW978" s="267"/>
      <c r="KGX978" s="184"/>
      <c r="KGY978" s="184"/>
      <c r="KGZ978" s="185"/>
      <c r="KHA978" s="184"/>
      <c r="KHB978" s="184"/>
      <c r="KHC978" s="184"/>
      <c r="KHD978" s="187"/>
      <c r="KHE978" s="188"/>
      <c r="KHG978" s="182"/>
      <c r="KHH978" s="183"/>
      <c r="KHO978" s="267"/>
      <c r="KHP978" s="269"/>
      <c r="KHQ978" s="267"/>
      <c r="KHR978" s="267"/>
      <c r="KHS978" s="184"/>
      <c r="KHT978" s="184"/>
      <c r="KHU978" s="185"/>
      <c r="KHV978" s="184"/>
      <c r="KHW978" s="184"/>
      <c r="KHX978" s="184"/>
      <c r="KHY978" s="187"/>
      <c r="KHZ978" s="188"/>
      <c r="KIB978" s="182"/>
      <c r="KIC978" s="183"/>
      <c r="KIJ978" s="267"/>
      <c r="KIK978" s="269"/>
      <c r="KIL978" s="267"/>
      <c r="KIM978" s="267"/>
      <c r="KIN978" s="184"/>
      <c r="KIO978" s="184"/>
      <c r="KIP978" s="185"/>
      <c r="KIQ978" s="184"/>
      <c r="KIR978" s="184"/>
      <c r="KIS978" s="184"/>
      <c r="KIT978" s="187"/>
      <c r="KIU978" s="188"/>
      <c r="KIW978" s="182"/>
      <c r="KIX978" s="183"/>
      <c r="KJE978" s="267"/>
      <c r="KJF978" s="269"/>
      <c r="KJG978" s="267"/>
      <c r="KJH978" s="267"/>
      <c r="KJI978" s="184"/>
      <c r="KJJ978" s="184"/>
      <c r="KJK978" s="185"/>
      <c r="KJL978" s="184"/>
      <c r="KJM978" s="184"/>
      <c r="KJN978" s="184"/>
      <c r="KJO978" s="187"/>
      <c r="KJP978" s="188"/>
      <c r="KJR978" s="182"/>
      <c r="KJS978" s="183"/>
      <c r="KJZ978" s="267"/>
      <c r="KKA978" s="269"/>
      <c r="KKB978" s="267"/>
      <c r="KKC978" s="267"/>
      <c r="KKD978" s="184"/>
      <c r="KKE978" s="184"/>
      <c r="KKF978" s="185"/>
      <c r="KKG978" s="184"/>
      <c r="KKH978" s="184"/>
      <c r="KKI978" s="184"/>
      <c r="KKJ978" s="187"/>
      <c r="KKK978" s="188"/>
      <c r="KKM978" s="182"/>
      <c r="KKN978" s="183"/>
      <c r="KKU978" s="267"/>
      <c r="KKV978" s="269"/>
      <c r="KKW978" s="267"/>
      <c r="KKX978" s="267"/>
      <c r="KKY978" s="184"/>
      <c r="KKZ978" s="184"/>
      <c r="KLA978" s="185"/>
      <c r="KLB978" s="184"/>
      <c r="KLC978" s="184"/>
      <c r="KLD978" s="184"/>
      <c r="KLE978" s="187"/>
      <c r="KLF978" s="188"/>
      <c r="KLH978" s="182"/>
      <c r="KLI978" s="183"/>
      <c r="KLP978" s="267"/>
      <c r="KLQ978" s="269"/>
      <c r="KLR978" s="267"/>
      <c r="KLS978" s="267"/>
      <c r="KLT978" s="184"/>
      <c r="KLU978" s="184"/>
      <c r="KLV978" s="185"/>
      <c r="KLW978" s="184"/>
      <c r="KLX978" s="184"/>
      <c r="KLY978" s="184"/>
      <c r="KLZ978" s="187"/>
      <c r="KMA978" s="188"/>
      <c r="KMC978" s="182"/>
      <c r="KMD978" s="183"/>
      <c r="KMK978" s="267"/>
      <c r="KML978" s="269"/>
      <c r="KMM978" s="267"/>
      <c r="KMN978" s="267"/>
      <c r="KMO978" s="184"/>
      <c r="KMP978" s="184"/>
      <c r="KMQ978" s="185"/>
      <c r="KMR978" s="184"/>
      <c r="KMS978" s="184"/>
      <c r="KMT978" s="184"/>
      <c r="KMU978" s="187"/>
      <c r="KMV978" s="188"/>
      <c r="KMX978" s="182"/>
      <c r="KMY978" s="183"/>
      <c r="KNF978" s="267"/>
      <c r="KNG978" s="269"/>
      <c r="KNH978" s="267"/>
      <c r="KNI978" s="267"/>
      <c r="KNJ978" s="184"/>
      <c r="KNK978" s="184"/>
      <c r="KNL978" s="185"/>
      <c r="KNM978" s="184"/>
      <c r="KNN978" s="184"/>
      <c r="KNO978" s="184"/>
      <c r="KNP978" s="187"/>
      <c r="KNQ978" s="188"/>
      <c r="KNS978" s="182"/>
      <c r="KNT978" s="183"/>
      <c r="KOA978" s="267"/>
      <c r="KOB978" s="269"/>
      <c r="KOC978" s="267"/>
      <c r="KOD978" s="267"/>
      <c r="KOE978" s="184"/>
      <c r="KOF978" s="184"/>
      <c r="KOG978" s="185"/>
      <c r="KOH978" s="184"/>
      <c r="KOI978" s="184"/>
      <c r="KOJ978" s="184"/>
      <c r="KOK978" s="187"/>
      <c r="KOL978" s="188"/>
      <c r="KON978" s="182"/>
      <c r="KOO978" s="183"/>
      <c r="KOV978" s="267"/>
      <c r="KOW978" s="269"/>
      <c r="KOX978" s="267"/>
      <c r="KOY978" s="267"/>
      <c r="KOZ978" s="184"/>
      <c r="KPA978" s="184"/>
      <c r="KPB978" s="185"/>
      <c r="KPC978" s="184"/>
      <c r="KPD978" s="184"/>
      <c r="KPE978" s="184"/>
      <c r="KPF978" s="187"/>
      <c r="KPG978" s="188"/>
      <c r="KPI978" s="182"/>
      <c r="KPJ978" s="183"/>
      <c r="KPQ978" s="267"/>
      <c r="KPR978" s="269"/>
      <c r="KPS978" s="267"/>
      <c r="KPT978" s="267"/>
      <c r="KPU978" s="184"/>
      <c r="KPV978" s="184"/>
      <c r="KPW978" s="185"/>
      <c r="KPX978" s="184"/>
      <c r="KPY978" s="184"/>
      <c r="KPZ978" s="184"/>
      <c r="KQA978" s="187"/>
      <c r="KQB978" s="188"/>
      <c r="KQD978" s="182"/>
      <c r="KQE978" s="183"/>
      <c r="KQL978" s="267"/>
      <c r="KQM978" s="269"/>
      <c r="KQN978" s="267"/>
      <c r="KQO978" s="267"/>
      <c r="KQP978" s="184"/>
      <c r="KQQ978" s="184"/>
      <c r="KQR978" s="185"/>
      <c r="KQS978" s="184"/>
      <c r="KQT978" s="184"/>
      <c r="KQU978" s="184"/>
      <c r="KQV978" s="187"/>
      <c r="KQW978" s="188"/>
      <c r="KQY978" s="182"/>
      <c r="KQZ978" s="183"/>
      <c r="KRG978" s="267"/>
      <c r="KRH978" s="269"/>
      <c r="KRI978" s="267"/>
      <c r="KRJ978" s="267"/>
      <c r="KRK978" s="184"/>
      <c r="KRL978" s="184"/>
      <c r="KRM978" s="185"/>
      <c r="KRN978" s="184"/>
      <c r="KRO978" s="184"/>
      <c r="KRP978" s="184"/>
      <c r="KRQ978" s="187"/>
      <c r="KRR978" s="188"/>
      <c r="KRT978" s="182"/>
      <c r="KRU978" s="183"/>
      <c r="KSB978" s="267"/>
      <c r="KSC978" s="269"/>
      <c r="KSD978" s="267"/>
      <c r="KSE978" s="267"/>
      <c r="KSF978" s="184"/>
      <c r="KSG978" s="184"/>
      <c r="KSH978" s="185"/>
      <c r="KSI978" s="184"/>
      <c r="KSJ978" s="184"/>
      <c r="KSK978" s="184"/>
      <c r="KSL978" s="187"/>
      <c r="KSM978" s="188"/>
      <c r="KSO978" s="182"/>
      <c r="KSP978" s="183"/>
      <c r="KSW978" s="267"/>
      <c r="KSX978" s="269"/>
      <c r="KSY978" s="267"/>
      <c r="KSZ978" s="267"/>
      <c r="KTA978" s="184"/>
      <c r="KTB978" s="184"/>
      <c r="KTC978" s="185"/>
      <c r="KTD978" s="184"/>
      <c r="KTE978" s="184"/>
      <c r="KTF978" s="184"/>
      <c r="KTG978" s="187"/>
      <c r="KTH978" s="188"/>
      <c r="KTJ978" s="182"/>
      <c r="KTK978" s="183"/>
      <c r="KTR978" s="267"/>
      <c r="KTS978" s="269"/>
      <c r="KTT978" s="267"/>
      <c r="KTU978" s="267"/>
      <c r="KTV978" s="184"/>
      <c r="KTW978" s="184"/>
      <c r="KTX978" s="185"/>
      <c r="KTY978" s="184"/>
      <c r="KTZ978" s="184"/>
      <c r="KUA978" s="184"/>
      <c r="KUB978" s="187"/>
      <c r="KUC978" s="188"/>
      <c r="KUE978" s="182"/>
      <c r="KUF978" s="183"/>
      <c r="KUM978" s="267"/>
      <c r="KUN978" s="269"/>
      <c r="KUO978" s="267"/>
      <c r="KUP978" s="267"/>
      <c r="KUQ978" s="184"/>
      <c r="KUR978" s="184"/>
      <c r="KUS978" s="185"/>
      <c r="KUT978" s="184"/>
      <c r="KUU978" s="184"/>
      <c r="KUV978" s="184"/>
      <c r="KUW978" s="187"/>
      <c r="KUX978" s="188"/>
      <c r="KUZ978" s="182"/>
      <c r="KVA978" s="183"/>
      <c r="KVH978" s="267"/>
      <c r="KVI978" s="269"/>
      <c r="KVJ978" s="267"/>
      <c r="KVK978" s="267"/>
      <c r="KVL978" s="184"/>
      <c r="KVM978" s="184"/>
      <c r="KVN978" s="185"/>
      <c r="KVO978" s="184"/>
      <c r="KVP978" s="184"/>
      <c r="KVQ978" s="184"/>
      <c r="KVR978" s="187"/>
      <c r="KVS978" s="188"/>
      <c r="KVU978" s="182"/>
      <c r="KVV978" s="183"/>
      <c r="KWC978" s="267"/>
      <c r="KWD978" s="269"/>
      <c r="KWE978" s="267"/>
      <c r="KWF978" s="267"/>
      <c r="KWG978" s="184"/>
      <c r="KWH978" s="184"/>
      <c r="KWI978" s="185"/>
      <c r="KWJ978" s="184"/>
      <c r="KWK978" s="184"/>
      <c r="KWL978" s="184"/>
      <c r="KWM978" s="187"/>
      <c r="KWN978" s="188"/>
      <c r="KWP978" s="182"/>
      <c r="KWQ978" s="183"/>
      <c r="KWX978" s="267"/>
      <c r="KWY978" s="269"/>
      <c r="KWZ978" s="267"/>
      <c r="KXA978" s="267"/>
      <c r="KXB978" s="184"/>
      <c r="KXC978" s="184"/>
      <c r="KXD978" s="185"/>
      <c r="KXE978" s="184"/>
      <c r="KXF978" s="184"/>
      <c r="KXG978" s="184"/>
      <c r="KXH978" s="187"/>
      <c r="KXI978" s="188"/>
      <c r="KXK978" s="182"/>
      <c r="KXL978" s="183"/>
      <c r="KXS978" s="267"/>
      <c r="KXT978" s="269"/>
      <c r="KXU978" s="267"/>
      <c r="KXV978" s="267"/>
      <c r="KXW978" s="184"/>
      <c r="KXX978" s="184"/>
      <c r="KXY978" s="185"/>
      <c r="KXZ978" s="184"/>
      <c r="KYA978" s="184"/>
      <c r="KYB978" s="184"/>
      <c r="KYC978" s="187"/>
      <c r="KYD978" s="188"/>
      <c r="KYF978" s="182"/>
      <c r="KYG978" s="183"/>
      <c r="KYN978" s="267"/>
      <c r="KYO978" s="269"/>
      <c r="KYP978" s="267"/>
      <c r="KYQ978" s="267"/>
      <c r="KYR978" s="184"/>
      <c r="KYS978" s="184"/>
      <c r="KYT978" s="185"/>
      <c r="KYU978" s="184"/>
      <c r="KYV978" s="184"/>
      <c r="KYW978" s="184"/>
      <c r="KYX978" s="187"/>
      <c r="KYY978" s="188"/>
      <c r="KZA978" s="182"/>
      <c r="KZB978" s="183"/>
      <c r="KZI978" s="267"/>
      <c r="KZJ978" s="269"/>
      <c r="KZK978" s="267"/>
      <c r="KZL978" s="267"/>
      <c r="KZM978" s="184"/>
      <c r="KZN978" s="184"/>
      <c r="KZO978" s="185"/>
      <c r="KZP978" s="184"/>
      <c r="KZQ978" s="184"/>
      <c r="KZR978" s="184"/>
      <c r="KZS978" s="187"/>
      <c r="KZT978" s="188"/>
      <c r="KZV978" s="182"/>
      <c r="KZW978" s="183"/>
      <c r="LAD978" s="267"/>
      <c r="LAE978" s="269"/>
      <c r="LAF978" s="267"/>
      <c r="LAG978" s="267"/>
      <c r="LAH978" s="184"/>
      <c r="LAI978" s="184"/>
      <c r="LAJ978" s="185"/>
      <c r="LAK978" s="184"/>
      <c r="LAL978" s="184"/>
      <c r="LAM978" s="184"/>
      <c r="LAN978" s="187"/>
      <c r="LAO978" s="188"/>
      <c r="LAQ978" s="182"/>
      <c r="LAR978" s="183"/>
      <c r="LAY978" s="267"/>
      <c r="LAZ978" s="269"/>
      <c r="LBA978" s="267"/>
      <c r="LBB978" s="267"/>
      <c r="LBC978" s="184"/>
      <c r="LBD978" s="184"/>
      <c r="LBE978" s="185"/>
      <c r="LBF978" s="184"/>
      <c r="LBG978" s="184"/>
      <c r="LBH978" s="184"/>
      <c r="LBI978" s="187"/>
      <c r="LBJ978" s="188"/>
      <c r="LBL978" s="182"/>
      <c r="LBM978" s="183"/>
      <c r="LBT978" s="267"/>
      <c r="LBU978" s="269"/>
      <c r="LBV978" s="267"/>
      <c r="LBW978" s="267"/>
      <c r="LBX978" s="184"/>
      <c r="LBY978" s="184"/>
      <c r="LBZ978" s="185"/>
      <c r="LCA978" s="184"/>
      <c r="LCB978" s="184"/>
      <c r="LCC978" s="184"/>
      <c r="LCD978" s="187"/>
      <c r="LCE978" s="188"/>
      <c r="LCG978" s="182"/>
      <c r="LCH978" s="183"/>
      <c r="LCO978" s="267"/>
      <c r="LCP978" s="269"/>
      <c r="LCQ978" s="267"/>
      <c r="LCR978" s="267"/>
      <c r="LCS978" s="184"/>
      <c r="LCT978" s="184"/>
      <c r="LCU978" s="185"/>
      <c r="LCV978" s="184"/>
      <c r="LCW978" s="184"/>
      <c r="LCX978" s="184"/>
      <c r="LCY978" s="187"/>
      <c r="LCZ978" s="188"/>
      <c r="LDB978" s="182"/>
      <c r="LDC978" s="183"/>
      <c r="LDJ978" s="267"/>
      <c r="LDK978" s="269"/>
      <c r="LDL978" s="267"/>
      <c r="LDM978" s="267"/>
      <c r="LDN978" s="184"/>
      <c r="LDO978" s="184"/>
      <c r="LDP978" s="185"/>
      <c r="LDQ978" s="184"/>
      <c r="LDR978" s="184"/>
      <c r="LDS978" s="184"/>
      <c r="LDT978" s="187"/>
      <c r="LDU978" s="188"/>
      <c r="LDW978" s="182"/>
      <c r="LDX978" s="183"/>
      <c r="LEE978" s="267"/>
      <c r="LEF978" s="269"/>
      <c r="LEG978" s="267"/>
      <c r="LEH978" s="267"/>
      <c r="LEI978" s="184"/>
      <c r="LEJ978" s="184"/>
      <c r="LEK978" s="185"/>
      <c r="LEL978" s="184"/>
      <c r="LEM978" s="184"/>
      <c r="LEN978" s="184"/>
      <c r="LEO978" s="187"/>
      <c r="LEP978" s="188"/>
      <c r="LER978" s="182"/>
      <c r="LES978" s="183"/>
      <c r="LEZ978" s="267"/>
      <c r="LFA978" s="269"/>
      <c r="LFB978" s="267"/>
      <c r="LFC978" s="267"/>
      <c r="LFD978" s="184"/>
      <c r="LFE978" s="184"/>
      <c r="LFF978" s="185"/>
      <c r="LFG978" s="184"/>
      <c r="LFH978" s="184"/>
      <c r="LFI978" s="184"/>
      <c r="LFJ978" s="187"/>
      <c r="LFK978" s="188"/>
      <c r="LFM978" s="182"/>
      <c r="LFN978" s="183"/>
      <c r="LFU978" s="267"/>
      <c r="LFV978" s="269"/>
      <c r="LFW978" s="267"/>
      <c r="LFX978" s="267"/>
      <c r="LFY978" s="184"/>
      <c r="LFZ978" s="184"/>
      <c r="LGA978" s="185"/>
      <c r="LGB978" s="184"/>
      <c r="LGC978" s="184"/>
      <c r="LGD978" s="184"/>
      <c r="LGE978" s="187"/>
      <c r="LGF978" s="188"/>
      <c r="LGH978" s="182"/>
      <c r="LGI978" s="183"/>
      <c r="LGP978" s="267"/>
      <c r="LGQ978" s="269"/>
      <c r="LGR978" s="267"/>
      <c r="LGS978" s="267"/>
      <c r="LGT978" s="184"/>
      <c r="LGU978" s="184"/>
      <c r="LGV978" s="185"/>
      <c r="LGW978" s="184"/>
      <c r="LGX978" s="184"/>
      <c r="LGY978" s="184"/>
      <c r="LGZ978" s="187"/>
      <c r="LHA978" s="188"/>
      <c r="LHC978" s="182"/>
      <c r="LHD978" s="183"/>
      <c r="LHK978" s="267"/>
      <c r="LHL978" s="269"/>
      <c r="LHM978" s="267"/>
      <c r="LHN978" s="267"/>
      <c r="LHO978" s="184"/>
      <c r="LHP978" s="184"/>
      <c r="LHQ978" s="185"/>
      <c r="LHR978" s="184"/>
      <c r="LHS978" s="184"/>
      <c r="LHT978" s="184"/>
      <c r="LHU978" s="187"/>
      <c r="LHV978" s="188"/>
      <c r="LHX978" s="182"/>
      <c r="LHY978" s="183"/>
      <c r="LIF978" s="267"/>
      <c r="LIG978" s="269"/>
      <c r="LIH978" s="267"/>
      <c r="LII978" s="267"/>
      <c r="LIJ978" s="184"/>
      <c r="LIK978" s="184"/>
      <c r="LIL978" s="185"/>
      <c r="LIM978" s="184"/>
      <c r="LIN978" s="184"/>
      <c r="LIO978" s="184"/>
      <c r="LIP978" s="187"/>
      <c r="LIQ978" s="188"/>
      <c r="LIS978" s="182"/>
      <c r="LIT978" s="183"/>
      <c r="LJA978" s="267"/>
      <c r="LJB978" s="269"/>
      <c r="LJC978" s="267"/>
      <c r="LJD978" s="267"/>
      <c r="LJE978" s="184"/>
      <c r="LJF978" s="184"/>
      <c r="LJG978" s="185"/>
      <c r="LJH978" s="184"/>
      <c r="LJI978" s="184"/>
      <c r="LJJ978" s="184"/>
      <c r="LJK978" s="187"/>
      <c r="LJL978" s="188"/>
      <c r="LJN978" s="182"/>
      <c r="LJO978" s="183"/>
      <c r="LJV978" s="267"/>
      <c r="LJW978" s="269"/>
      <c r="LJX978" s="267"/>
      <c r="LJY978" s="267"/>
      <c r="LJZ978" s="184"/>
      <c r="LKA978" s="184"/>
      <c r="LKB978" s="185"/>
      <c r="LKC978" s="184"/>
      <c r="LKD978" s="184"/>
      <c r="LKE978" s="184"/>
      <c r="LKF978" s="187"/>
      <c r="LKG978" s="188"/>
      <c r="LKI978" s="182"/>
      <c r="LKJ978" s="183"/>
      <c r="LKQ978" s="267"/>
      <c r="LKR978" s="269"/>
      <c r="LKS978" s="267"/>
      <c r="LKT978" s="267"/>
      <c r="LKU978" s="184"/>
      <c r="LKV978" s="184"/>
      <c r="LKW978" s="185"/>
      <c r="LKX978" s="184"/>
      <c r="LKY978" s="184"/>
      <c r="LKZ978" s="184"/>
      <c r="LLA978" s="187"/>
      <c r="LLB978" s="188"/>
      <c r="LLD978" s="182"/>
      <c r="LLE978" s="183"/>
      <c r="LLL978" s="267"/>
      <c r="LLM978" s="269"/>
      <c r="LLN978" s="267"/>
      <c r="LLO978" s="267"/>
      <c r="LLP978" s="184"/>
      <c r="LLQ978" s="184"/>
      <c r="LLR978" s="185"/>
      <c r="LLS978" s="184"/>
      <c r="LLT978" s="184"/>
      <c r="LLU978" s="184"/>
      <c r="LLV978" s="187"/>
      <c r="LLW978" s="188"/>
      <c r="LLY978" s="182"/>
      <c r="LLZ978" s="183"/>
      <c r="LMG978" s="267"/>
      <c r="LMH978" s="269"/>
      <c r="LMI978" s="267"/>
      <c r="LMJ978" s="267"/>
      <c r="LMK978" s="184"/>
      <c r="LML978" s="184"/>
      <c r="LMM978" s="185"/>
      <c r="LMN978" s="184"/>
      <c r="LMO978" s="184"/>
      <c r="LMP978" s="184"/>
      <c r="LMQ978" s="187"/>
      <c r="LMR978" s="188"/>
      <c r="LMT978" s="182"/>
      <c r="LMU978" s="183"/>
      <c r="LNB978" s="267"/>
      <c r="LNC978" s="269"/>
      <c r="LND978" s="267"/>
      <c r="LNE978" s="267"/>
      <c r="LNF978" s="184"/>
      <c r="LNG978" s="184"/>
      <c r="LNH978" s="185"/>
      <c r="LNI978" s="184"/>
      <c r="LNJ978" s="184"/>
      <c r="LNK978" s="184"/>
      <c r="LNL978" s="187"/>
      <c r="LNM978" s="188"/>
      <c r="LNO978" s="182"/>
      <c r="LNP978" s="183"/>
      <c r="LNW978" s="267"/>
      <c r="LNX978" s="269"/>
      <c r="LNY978" s="267"/>
      <c r="LNZ978" s="267"/>
      <c r="LOA978" s="184"/>
      <c r="LOB978" s="184"/>
      <c r="LOC978" s="185"/>
      <c r="LOD978" s="184"/>
      <c r="LOE978" s="184"/>
      <c r="LOF978" s="184"/>
      <c r="LOG978" s="187"/>
      <c r="LOH978" s="188"/>
      <c r="LOJ978" s="182"/>
      <c r="LOK978" s="183"/>
      <c r="LOR978" s="267"/>
      <c r="LOS978" s="269"/>
      <c r="LOT978" s="267"/>
      <c r="LOU978" s="267"/>
      <c r="LOV978" s="184"/>
      <c r="LOW978" s="184"/>
      <c r="LOX978" s="185"/>
      <c r="LOY978" s="184"/>
      <c r="LOZ978" s="184"/>
      <c r="LPA978" s="184"/>
      <c r="LPB978" s="187"/>
      <c r="LPC978" s="188"/>
      <c r="LPE978" s="182"/>
      <c r="LPF978" s="183"/>
      <c r="LPM978" s="267"/>
      <c r="LPN978" s="269"/>
      <c r="LPO978" s="267"/>
      <c r="LPP978" s="267"/>
      <c r="LPQ978" s="184"/>
      <c r="LPR978" s="184"/>
      <c r="LPS978" s="185"/>
      <c r="LPT978" s="184"/>
      <c r="LPU978" s="184"/>
      <c r="LPV978" s="184"/>
      <c r="LPW978" s="187"/>
      <c r="LPX978" s="188"/>
      <c r="LPZ978" s="182"/>
      <c r="LQA978" s="183"/>
      <c r="LQH978" s="267"/>
      <c r="LQI978" s="269"/>
      <c r="LQJ978" s="267"/>
      <c r="LQK978" s="267"/>
      <c r="LQL978" s="184"/>
      <c r="LQM978" s="184"/>
      <c r="LQN978" s="185"/>
      <c r="LQO978" s="184"/>
      <c r="LQP978" s="184"/>
      <c r="LQQ978" s="184"/>
      <c r="LQR978" s="187"/>
      <c r="LQS978" s="188"/>
      <c r="LQU978" s="182"/>
      <c r="LQV978" s="183"/>
      <c r="LRC978" s="267"/>
      <c r="LRD978" s="269"/>
      <c r="LRE978" s="267"/>
      <c r="LRF978" s="267"/>
      <c r="LRG978" s="184"/>
      <c r="LRH978" s="184"/>
      <c r="LRI978" s="185"/>
      <c r="LRJ978" s="184"/>
      <c r="LRK978" s="184"/>
      <c r="LRL978" s="184"/>
      <c r="LRM978" s="187"/>
      <c r="LRN978" s="188"/>
      <c r="LRP978" s="182"/>
      <c r="LRQ978" s="183"/>
      <c r="LRX978" s="267"/>
      <c r="LRY978" s="269"/>
      <c r="LRZ978" s="267"/>
      <c r="LSA978" s="267"/>
      <c r="LSB978" s="184"/>
      <c r="LSC978" s="184"/>
      <c r="LSD978" s="185"/>
      <c r="LSE978" s="184"/>
      <c r="LSF978" s="184"/>
      <c r="LSG978" s="184"/>
      <c r="LSH978" s="187"/>
      <c r="LSI978" s="188"/>
      <c r="LSK978" s="182"/>
      <c r="LSL978" s="183"/>
      <c r="LSS978" s="267"/>
      <c r="LST978" s="269"/>
      <c r="LSU978" s="267"/>
      <c r="LSV978" s="267"/>
      <c r="LSW978" s="184"/>
      <c r="LSX978" s="184"/>
      <c r="LSY978" s="185"/>
      <c r="LSZ978" s="184"/>
      <c r="LTA978" s="184"/>
      <c r="LTB978" s="184"/>
      <c r="LTC978" s="187"/>
      <c r="LTD978" s="188"/>
      <c r="LTF978" s="182"/>
      <c r="LTG978" s="183"/>
      <c r="LTN978" s="267"/>
      <c r="LTO978" s="269"/>
      <c r="LTP978" s="267"/>
      <c r="LTQ978" s="267"/>
      <c r="LTR978" s="184"/>
      <c r="LTS978" s="184"/>
      <c r="LTT978" s="185"/>
      <c r="LTU978" s="184"/>
      <c r="LTV978" s="184"/>
      <c r="LTW978" s="184"/>
      <c r="LTX978" s="187"/>
      <c r="LTY978" s="188"/>
      <c r="LUA978" s="182"/>
      <c r="LUB978" s="183"/>
      <c r="LUI978" s="267"/>
      <c r="LUJ978" s="269"/>
      <c r="LUK978" s="267"/>
      <c r="LUL978" s="267"/>
      <c r="LUM978" s="184"/>
      <c r="LUN978" s="184"/>
      <c r="LUO978" s="185"/>
      <c r="LUP978" s="184"/>
      <c r="LUQ978" s="184"/>
      <c r="LUR978" s="184"/>
      <c r="LUS978" s="187"/>
      <c r="LUT978" s="188"/>
      <c r="LUV978" s="182"/>
      <c r="LUW978" s="183"/>
      <c r="LVD978" s="267"/>
      <c r="LVE978" s="269"/>
      <c r="LVF978" s="267"/>
      <c r="LVG978" s="267"/>
      <c r="LVH978" s="184"/>
      <c r="LVI978" s="184"/>
      <c r="LVJ978" s="185"/>
      <c r="LVK978" s="184"/>
      <c r="LVL978" s="184"/>
      <c r="LVM978" s="184"/>
      <c r="LVN978" s="187"/>
      <c r="LVO978" s="188"/>
      <c r="LVQ978" s="182"/>
      <c r="LVR978" s="183"/>
      <c r="LVY978" s="267"/>
      <c r="LVZ978" s="269"/>
      <c r="LWA978" s="267"/>
      <c r="LWB978" s="267"/>
      <c r="LWC978" s="184"/>
      <c r="LWD978" s="184"/>
      <c r="LWE978" s="185"/>
      <c r="LWF978" s="184"/>
      <c r="LWG978" s="184"/>
      <c r="LWH978" s="184"/>
      <c r="LWI978" s="187"/>
      <c r="LWJ978" s="188"/>
      <c r="LWL978" s="182"/>
      <c r="LWM978" s="183"/>
      <c r="LWT978" s="267"/>
      <c r="LWU978" s="269"/>
      <c r="LWV978" s="267"/>
      <c r="LWW978" s="267"/>
      <c r="LWX978" s="184"/>
      <c r="LWY978" s="184"/>
      <c r="LWZ978" s="185"/>
      <c r="LXA978" s="184"/>
      <c r="LXB978" s="184"/>
      <c r="LXC978" s="184"/>
      <c r="LXD978" s="187"/>
      <c r="LXE978" s="188"/>
      <c r="LXG978" s="182"/>
      <c r="LXH978" s="183"/>
      <c r="LXO978" s="267"/>
      <c r="LXP978" s="269"/>
      <c r="LXQ978" s="267"/>
      <c r="LXR978" s="267"/>
      <c r="LXS978" s="184"/>
      <c r="LXT978" s="184"/>
      <c r="LXU978" s="185"/>
      <c r="LXV978" s="184"/>
      <c r="LXW978" s="184"/>
      <c r="LXX978" s="184"/>
      <c r="LXY978" s="187"/>
      <c r="LXZ978" s="188"/>
      <c r="LYB978" s="182"/>
      <c r="LYC978" s="183"/>
      <c r="LYJ978" s="267"/>
      <c r="LYK978" s="269"/>
      <c r="LYL978" s="267"/>
      <c r="LYM978" s="267"/>
      <c r="LYN978" s="184"/>
      <c r="LYO978" s="184"/>
      <c r="LYP978" s="185"/>
      <c r="LYQ978" s="184"/>
      <c r="LYR978" s="184"/>
      <c r="LYS978" s="184"/>
      <c r="LYT978" s="187"/>
      <c r="LYU978" s="188"/>
      <c r="LYW978" s="182"/>
      <c r="LYX978" s="183"/>
      <c r="LZE978" s="267"/>
      <c r="LZF978" s="269"/>
      <c r="LZG978" s="267"/>
      <c r="LZH978" s="267"/>
      <c r="LZI978" s="184"/>
      <c r="LZJ978" s="184"/>
      <c r="LZK978" s="185"/>
      <c r="LZL978" s="184"/>
      <c r="LZM978" s="184"/>
      <c r="LZN978" s="184"/>
      <c r="LZO978" s="187"/>
      <c r="LZP978" s="188"/>
      <c r="LZR978" s="182"/>
      <c r="LZS978" s="183"/>
      <c r="LZZ978" s="267"/>
      <c r="MAA978" s="269"/>
      <c r="MAB978" s="267"/>
      <c r="MAC978" s="267"/>
      <c r="MAD978" s="184"/>
      <c r="MAE978" s="184"/>
      <c r="MAF978" s="185"/>
      <c r="MAG978" s="184"/>
      <c r="MAH978" s="184"/>
      <c r="MAI978" s="184"/>
      <c r="MAJ978" s="187"/>
      <c r="MAK978" s="188"/>
      <c r="MAM978" s="182"/>
      <c r="MAN978" s="183"/>
      <c r="MAU978" s="267"/>
      <c r="MAV978" s="269"/>
      <c r="MAW978" s="267"/>
      <c r="MAX978" s="267"/>
      <c r="MAY978" s="184"/>
      <c r="MAZ978" s="184"/>
      <c r="MBA978" s="185"/>
      <c r="MBB978" s="184"/>
      <c r="MBC978" s="184"/>
      <c r="MBD978" s="184"/>
      <c r="MBE978" s="187"/>
      <c r="MBF978" s="188"/>
      <c r="MBH978" s="182"/>
      <c r="MBI978" s="183"/>
      <c r="MBP978" s="267"/>
      <c r="MBQ978" s="269"/>
      <c r="MBR978" s="267"/>
      <c r="MBS978" s="267"/>
      <c r="MBT978" s="184"/>
      <c r="MBU978" s="184"/>
      <c r="MBV978" s="185"/>
      <c r="MBW978" s="184"/>
      <c r="MBX978" s="184"/>
      <c r="MBY978" s="184"/>
      <c r="MBZ978" s="187"/>
      <c r="MCA978" s="188"/>
      <c r="MCC978" s="182"/>
      <c r="MCD978" s="183"/>
      <c r="MCK978" s="267"/>
      <c r="MCL978" s="269"/>
      <c r="MCM978" s="267"/>
      <c r="MCN978" s="267"/>
      <c r="MCO978" s="184"/>
      <c r="MCP978" s="184"/>
      <c r="MCQ978" s="185"/>
      <c r="MCR978" s="184"/>
      <c r="MCS978" s="184"/>
      <c r="MCT978" s="184"/>
      <c r="MCU978" s="187"/>
      <c r="MCV978" s="188"/>
      <c r="MCX978" s="182"/>
      <c r="MCY978" s="183"/>
      <c r="MDF978" s="267"/>
      <c r="MDG978" s="269"/>
      <c r="MDH978" s="267"/>
      <c r="MDI978" s="267"/>
      <c r="MDJ978" s="184"/>
      <c r="MDK978" s="184"/>
      <c r="MDL978" s="185"/>
      <c r="MDM978" s="184"/>
      <c r="MDN978" s="184"/>
      <c r="MDO978" s="184"/>
      <c r="MDP978" s="187"/>
      <c r="MDQ978" s="188"/>
      <c r="MDS978" s="182"/>
      <c r="MDT978" s="183"/>
      <c r="MEA978" s="267"/>
      <c r="MEB978" s="269"/>
      <c r="MEC978" s="267"/>
      <c r="MED978" s="267"/>
      <c r="MEE978" s="184"/>
      <c r="MEF978" s="184"/>
      <c r="MEG978" s="185"/>
      <c r="MEH978" s="184"/>
      <c r="MEI978" s="184"/>
      <c r="MEJ978" s="184"/>
      <c r="MEK978" s="187"/>
      <c r="MEL978" s="188"/>
      <c r="MEN978" s="182"/>
      <c r="MEO978" s="183"/>
      <c r="MEV978" s="267"/>
      <c r="MEW978" s="269"/>
      <c r="MEX978" s="267"/>
      <c r="MEY978" s="267"/>
      <c r="MEZ978" s="184"/>
      <c r="MFA978" s="184"/>
      <c r="MFB978" s="185"/>
      <c r="MFC978" s="184"/>
      <c r="MFD978" s="184"/>
      <c r="MFE978" s="184"/>
      <c r="MFF978" s="187"/>
      <c r="MFG978" s="188"/>
      <c r="MFI978" s="182"/>
      <c r="MFJ978" s="183"/>
      <c r="MFQ978" s="267"/>
      <c r="MFR978" s="269"/>
      <c r="MFS978" s="267"/>
      <c r="MFT978" s="267"/>
      <c r="MFU978" s="184"/>
      <c r="MFV978" s="184"/>
      <c r="MFW978" s="185"/>
      <c r="MFX978" s="184"/>
      <c r="MFY978" s="184"/>
      <c r="MFZ978" s="184"/>
      <c r="MGA978" s="187"/>
      <c r="MGB978" s="188"/>
      <c r="MGD978" s="182"/>
      <c r="MGE978" s="183"/>
      <c r="MGL978" s="267"/>
      <c r="MGM978" s="269"/>
      <c r="MGN978" s="267"/>
      <c r="MGO978" s="267"/>
      <c r="MGP978" s="184"/>
      <c r="MGQ978" s="184"/>
      <c r="MGR978" s="185"/>
      <c r="MGS978" s="184"/>
      <c r="MGT978" s="184"/>
      <c r="MGU978" s="184"/>
      <c r="MGV978" s="187"/>
      <c r="MGW978" s="188"/>
      <c r="MGY978" s="182"/>
      <c r="MGZ978" s="183"/>
      <c r="MHG978" s="267"/>
      <c r="MHH978" s="269"/>
      <c r="MHI978" s="267"/>
      <c r="MHJ978" s="267"/>
      <c r="MHK978" s="184"/>
      <c r="MHL978" s="184"/>
      <c r="MHM978" s="185"/>
      <c r="MHN978" s="184"/>
      <c r="MHO978" s="184"/>
      <c r="MHP978" s="184"/>
      <c r="MHQ978" s="187"/>
      <c r="MHR978" s="188"/>
      <c r="MHT978" s="182"/>
      <c r="MHU978" s="183"/>
      <c r="MIB978" s="267"/>
      <c r="MIC978" s="269"/>
      <c r="MID978" s="267"/>
      <c r="MIE978" s="267"/>
      <c r="MIF978" s="184"/>
      <c r="MIG978" s="184"/>
      <c r="MIH978" s="185"/>
      <c r="MII978" s="184"/>
      <c r="MIJ978" s="184"/>
      <c r="MIK978" s="184"/>
      <c r="MIL978" s="187"/>
      <c r="MIM978" s="188"/>
      <c r="MIO978" s="182"/>
      <c r="MIP978" s="183"/>
      <c r="MIW978" s="267"/>
      <c r="MIX978" s="269"/>
      <c r="MIY978" s="267"/>
      <c r="MIZ978" s="267"/>
      <c r="MJA978" s="184"/>
      <c r="MJB978" s="184"/>
      <c r="MJC978" s="185"/>
      <c r="MJD978" s="184"/>
      <c r="MJE978" s="184"/>
      <c r="MJF978" s="184"/>
      <c r="MJG978" s="187"/>
      <c r="MJH978" s="188"/>
      <c r="MJJ978" s="182"/>
      <c r="MJK978" s="183"/>
      <c r="MJR978" s="267"/>
      <c r="MJS978" s="269"/>
      <c r="MJT978" s="267"/>
      <c r="MJU978" s="267"/>
      <c r="MJV978" s="184"/>
      <c r="MJW978" s="184"/>
      <c r="MJX978" s="185"/>
      <c r="MJY978" s="184"/>
      <c r="MJZ978" s="184"/>
      <c r="MKA978" s="184"/>
      <c r="MKB978" s="187"/>
      <c r="MKC978" s="188"/>
      <c r="MKE978" s="182"/>
      <c r="MKF978" s="183"/>
      <c r="MKM978" s="267"/>
      <c r="MKN978" s="269"/>
      <c r="MKO978" s="267"/>
      <c r="MKP978" s="267"/>
      <c r="MKQ978" s="184"/>
      <c r="MKR978" s="184"/>
      <c r="MKS978" s="185"/>
      <c r="MKT978" s="184"/>
      <c r="MKU978" s="184"/>
      <c r="MKV978" s="184"/>
      <c r="MKW978" s="187"/>
      <c r="MKX978" s="188"/>
      <c r="MKZ978" s="182"/>
      <c r="MLA978" s="183"/>
      <c r="MLH978" s="267"/>
      <c r="MLI978" s="269"/>
      <c r="MLJ978" s="267"/>
      <c r="MLK978" s="267"/>
      <c r="MLL978" s="184"/>
      <c r="MLM978" s="184"/>
      <c r="MLN978" s="185"/>
      <c r="MLO978" s="184"/>
      <c r="MLP978" s="184"/>
      <c r="MLQ978" s="184"/>
      <c r="MLR978" s="187"/>
      <c r="MLS978" s="188"/>
      <c r="MLU978" s="182"/>
      <c r="MLV978" s="183"/>
      <c r="MMC978" s="267"/>
      <c r="MMD978" s="269"/>
      <c r="MME978" s="267"/>
      <c r="MMF978" s="267"/>
      <c r="MMG978" s="184"/>
      <c r="MMH978" s="184"/>
      <c r="MMI978" s="185"/>
      <c r="MMJ978" s="184"/>
      <c r="MMK978" s="184"/>
      <c r="MML978" s="184"/>
      <c r="MMM978" s="187"/>
      <c r="MMN978" s="188"/>
      <c r="MMP978" s="182"/>
      <c r="MMQ978" s="183"/>
      <c r="MMX978" s="267"/>
      <c r="MMY978" s="269"/>
      <c r="MMZ978" s="267"/>
      <c r="MNA978" s="267"/>
      <c r="MNB978" s="184"/>
      <c r="MNC978" s="184"/>
      <c r="MND978" s="185"/>
      <c r="MNE978" s="184"/>
      <c r="MNF978" s="184"/>
      <c r="MNG978" s="184"/>
      <c r="MNH978" s="187"/>
      <c r="MNI978" s="188"/>
      <c r="MNK978" s="182"/>
      <c r="MNL978" s="183"/>
      <c r="MNS978" s="267"/>
      <c r="MNT978" s="269"/>
      <c r="MNU978" s="267"/>
      <c r="MNV978" s="267"/>
      <c r="MNW978" s="184"/>
      <c r="MNX978" s="184"/>
      <c r="MNY978" s="185"/>
      <c r="MNZ978" s="184"/>
      <c r="MOA978" s="184"/>
      <c r="MOB978" s="184"/>
      <c r="MOC978" s="187"/>
      <c r="MOD978" s="188"/>
      <c r="MOF978" s="182"/>
      <c r="MOG978" s="183"/>
      <c r="MON978" s="267"/>
      <c r="MOO978" s="269"/>
      <c r="MOP978" s="267"/>
      <c r="MOQ978" s="267"/>
      <c r="MOR978" s="184"/>
      <c r="MOS978" s="184"/>
      <c r="MOT978" s="185"/>
      <c r="MOU978" s="184"/>
      <c r="MOV978" s="184"/>
      <c r="MOW978" s="184"/>
      <c r="MOX978" s="187"/>
      <c r="MOY978" s="188"/>
      <c r="MPA978" s="182"/>
      <c r="MPB978" s="183"/>
      <c r="MPI978" s="267"/>
      <c r="MPJ978" s="269"/>
      <c r="MPK978" s="267"/>
      <c r="MPL978" s="267"/>
      <c r="MPM978" s="184"/>
      <c r="MPN978" s="184"/>
      <c r="MPO978" s="185"/>
      <c r="MPP978" s="184"/>
      <c r="MPQ978" s="184"/>
      <c r="MPR978" s="184"/>
      <c r="MPS978" s="187"/>
      <c r="MPT978" s="188"/>
      <c r="MPV978" s="182"/>
      <c r="MPW978" s="183"/>
      <c r="MQD978" s="267"/>
      <c r="MQE978" s="269"/>
      <c r="MQF978" s="267"/>
      <c r="MQG978" s="267"/>
      <c r="MQH978" s="184"/>
      <c r="MQI978" s="184"/>
      <c r="MQJ978" s="185"/>
      <c r="MQK978" s="184"/>
      <c r="MQL978" s="184"/>
      <c r="MQM978" s="184"/>
      <c r="MQN978" s="187"/>
      <c r="MQO978" s="188"/>
      <c r="MQQ978" s="182"/>
      <c r="MQR978" s="183"/>
      <c r="MQY978" s="267"/>
      <c r="MQZ978" s="269"/>
      <c r="MRA978" s="267"/>
      <c r="MRB978" s="267"/>
      <c r="MRC978" s="184"/>
      <c r="MRD978" s="184"/>
      <c r="MRE978" s="185"/>
      <c r="MRF978" s="184"/>
      <c r="MRG978" s="184"/>
      <c r="MRH978" s="184"/>
      <c r="MRI978" s="187"/>
      <c r="MRJ978" s="188"/>
      <c r="MRL978" s="182"/>
      <c r="MRM978" s="183"/>
      <c r="MRT978" s="267"/>
      <c r="MRU978" s="269"/>
      <c r="MRV978" s="267"/>
      <c r="MRW978" s="267"/>
      <c r="MRX978" s="184"/>
      <c r="MRY978" s="184"/>
      <c r="MRZ978" s="185"/>
      <c r="MSA978" s="184"/>
      <c r="MSB978" s="184"/>
      <c r="MSC978" s="184"/>
      <c r="MSD978" s="187"/>
      <c r="MSE978" s="188"/>
      <c r="MSG978" s="182"/>
      <c r="MSH978" s="183"/>
      <c r="MSO978" s="267"/>
      <c r="MSP978" s="269"/>
      <c r="MSQ978" s="267"/>
      <c r="MSR978" s="267"/>
      <c r="MSS978" s="184"/>
      <c r="MST978" s="184"/>
      <c r="MSU978" s="185"/>
      <c r="MSV978" s="184"/>
      <c r="MSW978" s="184"/>
      <c r="MSX978" s="184"/>
      <c r="MSY978" s="187"/>
      <c r="MSZ978" s="188"/>
      <c r="MTB978" s="182"/>
      <c r="MTC978" s="183"/>
      <c r="MTJ978" s="267"/>
      <c r="MTK978" s="269"/>
      <c r="MTL978" s="267"/>
      <c r="MTM978" s="267"/>
      <c r="MTN978" s="184"/>
      <c r="MTO978" s="184"/>
      <c r="MTP978" s="185"/>
      <c r="MTQ978" s="184"/>
      <c r="MTR978" s="184"/>
      <c r="MTS978" s="184"/>
      <c r="MTT978" s="187"/>
      <c r="MTU978" s="188"/>
      <c r="MTW978" s="182"/>
      <c r="MTX978" s="183"/>
      <c r="MUE978" s="267"/>
      <c r="MUF978" s="269"/>
      <c r="MUG978" s="267"/>
      <c r="MUH978" s="267"/>
      <c r="MUI978" s="184"/>
      <c r="MUJ978" s="184"/>
      <c r="MUK978" s="185"/>
      <c r="MUL978" s="184"/>
      <c r="MUM978" s="184"/>
      <c r="MUN978" s="184"/>
      <c r="MUO978" s="187"/>
      <c r="MUP978" s="188"/>
      <c r="MUR978" s="182"/>
      <c r="MUS978" s="183"/>
      <c r="MUZ978" s="267"/>
      <c r="MVA978" s="269"/>
      <c r="MVB978" s="267"/>
      <c r="MVC978" s="267"/>
      <c r="MVD978" s="184"/>
      <c r="MVE978" s="184"/>
      <c r="MVF978" s="185"/>
      <c r="MVG978" s="184"/>
      <c r="MVH978" s="184"/>
      <c r="MVI978" s="184"/>
      <c r="MVJ978" s="187"/>
      <c r="MVK978" s="188"/>
      <c r="MVM978" s="182"/>
      <c r="MVN978" s="183"/>
      <c r="MVU978" s="267"/>
      <c r="MVV978" s="269"/>
      <c r="MVW978" s="267"/>
      <c r="MVX978" s="267"/>
      <c r="MVY978" s="184"/>
      <c r="MVZ978" s="184"/>
      <c r="MWA978" s="185"/>
      <c r="MWB978" s="184"/>
      <c r="MWC978" s="184"/>
      <c r="MWD978" s="184"/>
      <c r="MWE978" s="187"/>
      <c r="MWF978" s="188"/>
      <c r="MWH978" s="182"/>
      <c r="MWI978" s="183"/>
      <c r="MWP978" s="267"/>
      <c r="MWQ978" s="269"/>
      <c r="MWR978" s="267"/>
      <c r="MWS978" s="267"/>
      <c r="MWT978" s="184"/>
      <c r="MWU978" s="184"/>
      <c r="MWV978" s="185"/>
      <c r="MWW978" s="184"/>
      <c r="MWX978" s="184"/>
      <c r="MWY978" s="184"/>
      <c r="MWZ978" s="187"/>
      <c r="MXA978" s="188"/>
      <c r="MXC978" s="182"/>
      <c r="MXD978" s="183"/>
      <c r="MXK978" s="267"/>
      <c r="MXL978" s="269"/>
      <c r="MXM978" s="267"/>
      <c r="MXN978" s="267"/>
      <c r="MXO978" s="184"/>
      <c r="MXP978" s="184"/>
      <c r="MXQ978" s="185"/>
      <c r="MXR978" s="184"/>
      <c r="MXS978" s="184"/>
      <c r="MXT978" s="184"/>
      <c r="MXU978" s="187"/>
      <c r="MXV978" s="188"/>
      <c r="MXX978" s="182"/>
      <c r="MXY978" s="183"/>
      <c r="MYF978" s="267"/>
      <c r="MYG978" s="269"/>
      <c r="MYH978" s="267"/>
      <c r="MYI978" s="267"/>
      <c r="MYJ978" s="184"/>
      <c r="MYK978" s="184"/>
      <c r="MYL978" s="185"/>
      <c r="MYM978" s="184"/>
      <c r="MYN978" s="184"/>
      <c r="MYO978" s="184"/>
      <c r="MYP978" s="187"/>
      <c r="MYQ978" s="188"/>
      <c r="MYS978" s="182"/>
      <c r="MYT978" s="183"/>
      <c r="MZA978" s="267"/>
      <c r="MZB978" s="269"/>
      <c r="MZC978" s="267"/>
      <c r="MZD978" s="267"/>
      <c r="MZE978" s="184"/>
      <c r="MZF978" s="184"/>
      <c r="MZG978" s="185"/>
      <c r="MZH978" s="184"/>
      <c r="MZI978" s="184"/>
      <c r="MZJ978" s="184"/>
      <c r="MZK978" s="187"/>
      <c r="MZL978" s="188"/>
      <c r="MZN978" s="182"/>
      <c r="MZO978" s="183"/>
      <c r="MZV978" s="267"/>
      <c r="MZW978" s="269"/>
      <c r="MZX978" s="267"/>
      <c r="MZY978" s="267"/>
      <c r="MZZ978" s="184"/>
      <c r="NAA978" s="184"/>
      <c r="NAB978" s="185"/>
      <c r="NAC978" s="184"/>
      <c r="NAD978" s="184"/>
      <c r="NAE978" s="184"/>
      <c r="NAF978" s="187"/>
      <c r="NAG978" s="188"/>
      <c r="NAI978" s="182"/>
      <c r="NAJ978" s="183"/>
      <c r="NAQ978" s="267"/>
      <c r="NAR978" s="269"/>
      <c r="NAS978" s="267"/>
      <c r="NAT978" s="267"/>
      <c r="NAU978" s="184"/>
      <c r="NAV978" s="184"/>
      <c r="NAW978" s="185"/>
      <c r="NAX978" s="184"/>
      <c r="NAY978" s="184"/>
      <c r="NAZ978" s="184"/>
      <c r="NBA978" s="187"/>
      <c r="NBB978" s="188"/>
      <c r="NBD978" s="182"/>
      <c r="NBE978" s="183"/>
      <c r="NBL978" s="267"/>
      <c r="NBM978" s="269"/>
      <c r="NBN978" s="267"/>
      <c r="NBO978" s="267"/>
      <c r="NBP978" s="184"/>
      <c r="NBQ978" s="184"/>
      <c r="NBR978" s="185"/>
      <c r="NBS978" s="184"/>
      <c r="NBT978" s="184"/>
      <c r="NBU978" s="184"/>
      <c r="NBV978" s="187"/>
      <c r="NBW978" s="188"/>
      <c r="NBY978" s="182"/>
      <c r="NBZ978" s="183"/>
      <c r="NCG978" s="267"/>
      <c r="NCH978" s="269"/>
      <c r="NCI978" s="267"/>
      <c r="NCJ978" s="267"/>
      <c r="NCK978" s="184"/>
      <c r="NCL978" s="184"/>
      <c r="NCM978" s="185"/>
      <c r="NCN978" s="184"/>
      <c r="NCO978" s="184"/>
      <c r="NCP978" s="184"/>
      <c r="NCQ978" s="187"/>
      <c r="NCR978" s="188"/>
      <c r="NCT978" s="182"/>
      <c r="NCU978" s="183"/>
      <c r="NDB978" s="267"/>
      <c r="NDC978" s="269"/>
      <c r="NDD978" s="267"/>
      <c r="NDE978" s="267"/>
      <c r="NDF978" s="184"/>
      <c r="NDG978" s="184"/>
      <c r="NDH978" s="185"/>
      <c r="NDI978" s="184"/>
      <c r="NDJ978" s="184"/>
      <c r="NDK978" s="184"/>
      <c r="NDL978" s="187"/>
      <c r="NDM978" s="188"/>
      <c r="NDO978" s="182"/>
      <c r="NDP978" s="183"/>
      <c r="NDW978" s="267"/>
      <c r="NDX978" s="269"/>
      <c r="NDY978" s="267"/>
      <c r="NDZ978" s="267"/>
      <c r="NEA978" s="184"/>
      <c r="NEB978" s="184"/>
      <c r="NEC978" s="185"/>
      <c r="NED978" s="184"/>
      <c r="NEE978" s="184"/>
      <c r="NEF978" s="184"/>
      <c r="NEG978" s="187"/>
      <c r="NEH978" s="188"/>
      <c r="NEJ978" s="182"/>
      <c r="NEK978" s="183"/>
      <c r="NER978" s="267"/>
      <c r="NES978" s="269"/>
      <c r="NET978" s="267"/>
      <c r="NEU978" s="267"/>
      <c r="NEV978" s="184"/>
      <c r="NEW978" s="184"/>
      <c r="NEX978" s="185"/>
      <c r="NEY978" s="184"/>
      <c r="NEZ978" s="184"/>
      <c r="NFA978" s="184"/>
      <c r="NFB978" s="187"/>
      <c r="NFC978" s="188"/>
      <c r="NFE978" s="182"/>
      <c r="NFF978" s="183"/>
      <c r="NFM978" s="267"/>
      <c r="NFN978" s="269"/>
      <c r="NFO978" s="267"/>
      <c r="NFP978" s="267"/>
      <c r="NFQ978" s="184"/>
      <c r="NFR978" s="184"/>
      <c r="NFS978" s="185"/>
      <c r="NFT978" s="184"/>
      <c r="NFU978" s="184"/>
      <c r="NFV978" s="184"/>
      <c r="NFW978" s="187"/>
      <c r="NFX978" s="188"/>
      <c r="NFZ978" s="182"/>
      <c r="NGA978" s="183"/>
      <c r="NGH978" s="267"/>
      <c r="NGI978" s="269"/>
      <c r="NGJ978" s="267"/>
      <c r="NGK978" s="267"/>
      <c r="NGL978" s="184"/>
      <c r="NGM978" s="184"/>
      <c r="NGN978" s="185"/>
      <c r="NGO978" s="184"/>
      <c r="NGP978" s="184"/>
      <c r="NGQ978" s="184"/>
      <c r="NGR978" s="187"/>
      <c r="NGS978" s="188"/>
      <c r="NGU978" s="182"/>
      <c r="NGV978" s="183"/>
      <c r="NHC978" s="267"/>
      <c r="NHD978" s="269"/>
      <c r="NHE978" s="267"/>
      <c r="NHF978" s="267"/>
      <c r="NHG978" s="184"/>
      <c r="NHH978" s="184"/>
      <c r="NHI978" s="185"/>
      <c r="NHJ978" s="184"/>
      <c r="NHK978" s="184"/>
      <c r="NHL978" s="184"/>
      <c r="NHM978" s="187"/>
      <c r="NHN978" s="188"/>
      <c r="NHP978" s="182"/>
      <c r="NHQ978" s="183"/>
      <c r="NHX978" s="267"/>
      <c r="NHY978" s="269"/>
      <c r="NHZ978" s="267"/>
      <c r="NIA978" s="267"/>
      <c r="NIB978" s="184"/>
      <c r="NIC978" s="184"/>
      <c r="NID978" s="185"/>
      <c r="NIE978" s="184"/>
      <c r="NIF978" s="184"/>
      <c r="NIG978" s="184"/>
      <c r="NIH978" s="187"/>
      <c r="NII978" s="188"/>
      <c r="NIK978" s="182"/>
      <c r="NIL978" s="183"/>
      <c r="NIS978" s="267"/>
      <c r="NIT978" s="269"/>
      <c r="NIU978" s="267"/>
      <c r="NIV978" s="267"/>
      <c r="NIW978" s="184"/>
      <c r="NIX978" s="184"/>
      <c r="NIY978" s="185"/>
      <c r="NIZ978" s="184"/>
      <c r="NJA978" s="184"/>
      <c r="NJB978" s="184"/>
      <c r="NJC978" s="187"/>
      <c r="NJD978" s="188"/>
      <c r="NJF978" s="182"/>
      <c r="NJG978" s="183"/>
      <c r="NJN978" s="267"/>
      <c r="NJO978" s="269"/>
      <c r="NJP978" s="267"/>
      <c r="NJQ978" s="267"/>
      <c r="NJR978" s="184"/>
      <c r="NJS978" s="184"/>
      <c r="NJT978" s="185"/>
      <c r="NJU978" s="184"/>
      <c r="NJV978" s="184"/>
      <c r="NJW978" s="184"/>
      <c r="NJX978" s="187"/>
      <c r="NJY978" s="188"/>
      <c r="NKA978" s="182"/>
      <c r="NKB978" s="183"/>
      <c r="NKI978" s="267"/>
      <c r="NKJ978" s="269"/>
      <c r="NKK978" s="267"/>
      <c r="NKL978" s="267"/>
      <c r="NKM978" s="184"/>
      <c r="NKN978" s="184"/>
      <c r="NKO978" s="185"/>
      <c r="NKP978" s="184"/>
      <c r="NKQ978" s="184"/>
      <c r="NKR978" s="184"/>
      <c r="NKS978" s="187"/>
      <c r="NKT978" s="188"/>
      <c r="NKV978" s="182"/>
      <c r="NKW978" s="183"/>
      <c r="NLD978" s="267"/>
      <c r="NLE978" s="269"/>
      <c r="NLF978" s="267"/>
      <c r="NLG978" s="267"/>
      <c r="NLH978" s="184"/>
      <c r="NLI978" s="184"/>
      <c r="NLJ978" s="185"/>
      <c r="NLK978" s="184"/>
      <c r="NLL978" s="184"/>
      <c r="NLM978" s="184"/>
      <c r="NLN978" s="187"/>
      <c r="NLO978" s="188"/>
      <c r="NLQ978" s="182"/>
      <c r="NLR978" s="183"/>
      <c r="NLY978" s="267"/>
      <c r="NLZ978" s="269"/>
      <c r="NMA978" s="267"/>
      <c r="NMB978" s="267"/>
      <c r="NMC978" s="184"/>
      <c r="NMD978" s="184"/>
      <c r="NME978" s="185"/>
      <c r="NMF978" s="184"/>
      <c r="NMG978" s="184"/>
      <c r="NMH978" s="184"/>
      <c r="NMI978" s="187"/>
      <c r="NMJ978" s="188"/>
      <c r="NML978" s="182"/>
      <c r="NMM978" s="183"/>
      <c r="NMT978" s="267"/>
      <c r="NMU978" s="269"/>
      <c r="NMV978" s="267"/>
      <c r="NMW978" s="267"/>
      <c r="NMX978" s="184"/>
      <c r="NMY978" s="184"/>
      <c r="NMZ978" s="185"/>
      <c r="NNA978" s="184"/>
      <c r="NNB978" s="184"/>
      <c r="NNC978" s="184"/>
      <c r="NND978" s="187"/>
      <c r="NNE978" s="188"/>
      <c r="NNG978" s="182"/>
      <c r="NNH978" s="183"/>
      <c r="NNO978" s="267"/>
      <c r="NNP978" s="269"/>
      <c r="NNQ978" s="267"/>
      <c r="NNR978" s="267"/>
      <c r="NNS978" s="184"/>
      <c r="NNT978" s="184"/>
      <c r="NNU978" s="185"/>
      <c r="NNV978" s="184"/>
      <c r="NNW978" s="184"/>
      <c r="NNX978" s="184"/>
      <c r="NNY978" s="187"/>
      <c r="NNZ978" s="188"/>
      <c r="NOB978" s="182"/>
      <c r="NOC978" s="183"/>
      <c r="NOJ978" s="267"/>
      <c r="NOK978" s="269"/>
      <c r="NOL978" s="267"/>
      <c r="NOM978" s="267"/>
      <c r="NON978" s="184"/>
      <c r="NOO978" s="184"/>
      <c r="NOP978" s="185"/>
      <c r="NOQ978" s="184"/>
      <c r="NOR978" s="184"/>
      <c r="NOS978" s="184"/>
      <c r="NOT978" s="187"/>
      <c r="NOU978" s="188"/>
      <c r="NOW978" s="182"/>
      <c r="NOX978" s="183"/>
      <c r="NPE978" s="267"/>
      <c r="NPF978" s="269"/>
      <c r="NPG978" s="267"/>
      <c r="NPH978" s="267"/>
      <c r="NPI978" s="184"/>
      <c r="NPJ978" s="184"/>
      <c r="NPK978" s="185"/>
      <c r="NPL978" s="184"/>
      <c r="NPM978" s="184"/>
      <c r="NPN978" s="184"/>
      <c r="NPO978" s="187"/>
      <c r="NPP978" s="188"/>
      <c r="NPR978" s="182"/>
      <c r="NPS978" s="183"/>
      <c r="NPZ978" s="267"/>
      <c r="NQA978" s="269"/>
      <c r="NQB978" s="267"/>
      <c r="NQC978" s="267"/>
      <c r="NQD978" s="184"/>
      <c r="NQE978" s="184"/>
      <c r="NQF978" s="185"/>
      <c r="NQG978" s="184"/>
      <c r="NQH978" s="184"/>
      <c r="NQI978" s="184"/>
      <c r="NQJ978" s="187"/>
      <c r="NQK978" s="188"/>
      <c r="NQM978" s="182"/>
      <c r="NQN978" s="183"/>
      <c r="NQU978" s="267"/>
      <c r="NQV978" s="269"/>
      <c r="NQW978" s="267"/>
      <c r="NQX978" s="267"/>
      <c r="NQY978" s="184"/>
      <c r="NQZ978" s="184"/>
      <c r="NRA978" s="185"/>
      <c r="NRB978" s="184"/>
      <c r="NRC978" s="184"/>
      <c r="NRD978" s="184"/>
      <c r="NRE978" s="187"/>
      <c r="NRF978" s="188"/>
      <c r="NRH978" s="182"/>
      <c r="NRI978" s="183"/>
      <c r="NRP978" s="267"/>
      <c r="NRQ978" s="269"/>
      <c r="NRR978" s="267"/>
      <c r="NRS978" s="267"/>
      <c r="NRT978" s="184"/>
      <c r="NRU978" s="184"/>
      <c r="NRV978" s="185"/>
      <c r="NRW978" s="184"/>
      <c r="NRX978" s="184"/>
      <c r="NRY978" s="184"/>
      <c r="NRZ978" s="187"/>
      <c r="NSA978" s="188"/>
      <c r="NSC978" s="182"/>
      <c r="NSD978" s="183"/>
      <c r="NSK978" s="267"/>
      <c r="NSL978" s="269"/>
      <c r="NSM978" s="267"/>
      <c r="NSN978" s="267"/>
      <c r="NSO978" s="184"/>
      <c r="NSP978" s="184"/>
      <c r="NSQ978" s="185"/>
      <c r="NSR978" s="184"/>
      <c r="NSS978" s="184"/>
      <c r="NST978" s="184"/>
      <c r="NSU978" s="187"/>
      <c r="NSV978" s="188"/>
      <c r="NSX978" s="182"/>
      <c r="NSY978" s="183"/>
      <c r="NTF978" s="267"/>
      <c r="NTG978" s="269"/>
      <c r="NTH978" s="267"/>
      <c r="NTI978" s="267"/>
      <c r="NTJ978" s="184"/>
      <c r="NTK978" s="184"/>
      <c r="NTL978" s="185"/>
      <c r="NTM978" s="184"/>
      <c r="NTN978" s="184"/>
      <c r="NTO978" s="184"/>
      <c r="NTP978" s="187"/>
      <c r="NTQ978" s="188"/>
      <c r="NTS978" s="182"/>
      <c r="NTT978" s="183"/>
      <c r="NUA978" s="267"/>
      <c r="NUB978" s="269"/>
      <c r="NUC978" s="267"/>
      <c r="NUD978" s="267"/>
      <c r="NUE978" s="184"/>
      <c r="NUF978" s="184"/>
      <c r="NUG978" s="185"/>
      <c r="NUH978" s="184"/>
      <c r="NUI978" s="184"/>
      <c r="NUJ978" s="184"/>
      <c r="NUK978" s="187"/>
      <c r="NUL978" s="188"/>
      <c r="NUN978" s="182"/>
      <c r="NUO978" s="183"/>
      <c r="NUV978" s="267"/>
      <c r="NUW978" s="269"/>
      <c r="NUX978" s="267"/>
      <c r="NUY978" s="267"/>
      <c r="NUZ978" s="184"/>
      <c r="NVA978" s="184"/>
      <c r="NVB978" s="185"/>
      <c r="NVC978" s="184"/>
      <c r="NVD978" s="184"/>
      <c r="NVE978" s="184"/>
      <c r="NVF978" s="187"/>
      <c r="NVG978" s="188"/>
      <c r="NVI978" s="182"/>
      <c r="NVJ978" s="183"/>
      <c r="NVQ978" s="267"/>
      <c r="NVR978" s="269"/>
      <c r="NVS978" s="267"/>
      <c r="NVT978" s="267"/>
      <c r="NVU978" s="184"/>
      <c r="NVV978" s="184"/>
      <c r="NVW978" s="185"/>
      <c r="NVX978" s="184"/>
      <c r="NVY978" s="184"/>
      <c r="NVZ978" s="184"/>
      <c r="NWA978" s="187"/>
      <c r="NWB978" s="188"/>
      <c r="NWD978" s="182"/>
      <c r="NWE978" s="183"/>
      <c r="NWL978" s="267"/>
      <c r="NWM978" s="269"/>
      <c r="NWN978" s="267"/>
      <c r="NWO978" s="267"/>
      <c r="NWP978" s="184"/>
      <c r="NWQ978" s="184"/>
      <c r="NWR978" s="185"/>
      <c r="NWS978" s="184"/>
      <c r="NWT978" s="184"/>
      <c r="NWU978" s="184"/>
      <c r="NWV978" s="187"/>
      <c r="NWW978" s="188"/>
      <c r="NWY978" s="182"/>
      <c r="NWZ978" s="183"/>
      <c r="NXG978" s="267"/>
      <c r="NXH978" s="269"/>
      <c r="NXI978" s="267"/>
      <c r="NXJ978" s="267"/>
      <c r="NXK978" s="184"/>
      <c r="NXL978" s="184"/>
      <c r="NXM978" s="185"/>
      <c r="NXN978" s="184"/>
      <c r="NXO978" s="184"/>
      <c r="NXP978" s="184"/>
      <c r="NXQ978" s="187"/>
      <c r="NXR978" s="188"/>
      <c r="NXT978" s="182"/>
      <c r="NXU978" s="183"/>
      <c r="NYB978" s="267"/>
      <c r="NYC978" s="269"/>
      <c r="NYD978" s="267"/>
      <c r="NYE978" s="267"/>
      <c r="NYF978" s="184"/>
      <c r="NYG978" s="184"/>
      <c r="NYH978" s="185"/>
      <c r="NYI978" s="184"/>
      <c r="NYJ978" s="184"/>
      <c r="NYK978" s="184"/>
      <c r="NYL978" s="187"/>
      <c r="NYM978" s="188"/>
      <c r="NYO978" s="182"/>
      <c r="NYP978" s="183"/>
      <c r="NYW978" s="267"/>
      <c r="NYX978" s="269"/>
      <c r="NYY978" s="267"/>
      <c r="NYZ978" s="267"/>
      <c r="NZA978" s="184"/>
      <c r="NZB978" s="184"/>
      <c r="NZC978" s="185"/>
      <c r="NZD978" s="184"/>
      <c r="NZE978" s="184"/>
      <c r="NZF978" s="184"/>
      <c r="NZG978" s="187"/>
      <c r="NZH978" s="188"/>
      <c r="NZJ978" s="182"/>
      <c r="NZK978" s="183"/>
      <c r="NZR978" s="267"/>
      <c r="NZS978" s="269"/>
      <c r="NZT978" s="267"/>
      <c r="NZU978" s="267"/>
      <c r="NZV978" s="184"/>
      <c r="NZW978" s="184"/>
      <c r="NZX978" s="185"/>
      <c r="NZY978" s="184"/>
      <c r="NZZ978" s="184"/>
      <c r="OAA978" s="184"/>
      <c r="OAB978" s="187"/>
      <c r="OAC978" s="188"/>
      <c r="OAE978" s="182"/>
      <c r="OAF978" s="183"/>
      <c r="OAM978" s="267"/>
      <c r="OAN978" s="269"/>
      <c r="OAO978" s="267"/>
      <c r="OAP978" s="267"/>
      <c r="OAQ978" s="184"/>
      <c r="OAR978" s="184"/>
      <c r="OAS978" s="185"/>
      <c r="OAT978" s="184"/>
      <c r="OAU978" s="184"/>
      <c r="OAV978" s="184"/>
      <c r="OAW978" s="187"/>
      <c r="OAX978" s="188"/>
      <c r="OAZ978" s="182"/>
      <c r="OBA978" s="183"/>
      <c r="OBH978" s="267"/>
      <c r="OBI978" s="269"/>
      <c r="OBJ978" s="267"/>
      <c r="OBK978" s="267"/>
      <c r="OBL978" s="184"/>
      <c r="OBM978" s="184"/>
      <c r="OBN978" s="185"/>
      <c r="OBO978" s="184"/>
      <c r="OBP978" s="184"/>
      <c r="OBQ978" s="184"/>
      <c r="OBR978" s="187"/>
      <c r="OBS978" s="188"/>
      <c r="OBU978" s="182"/>
      <c r="OBV978" s="183"/>
      <c r="OCC978" s="267"/>
      <c r="OCD978" s="269"/>
      <c r="OCE978" s="267"/>
      <c r="OCF978" s="267"/>
      <c r="OCG978" s="184"/>
      <c r="OCH978" s="184"/>
      <c r="OCI978" s="185"/>
      <c r="OCJ978" s="184"/>
      <c r="OCK978" s="184"/>
      <c r="OCL978" s="184"/>
      <c r="OCM978" s="187"/>
      <c r="OCN978" s="188"/>
      <c r="OCP978" s="182"/>
      <c r="OCQ978" s="183"/>
      <c r="OCX978" s="267"/>
      <c r="OCY978" s="269"/>
      <c r="OCZ978" s="267"/>
      <c r="ODA978" s="267"/>
      <c r="ODB978" s="184"/>
      <c r="ODC978" s="184"/>
      <c r="ODD978" s="185"/>
      <c r="ODE978" s="184"/>
      <c r="ODF978" s="184"/>
      <c r="ODG978" s="184"/>
      <c r="ODH978" s="187"/>
      <c r="ODI978" s="188"/>
      <c r="ODK978" s="182"/>
      <c r="ODL978" s="183"/>
      <c r="ODS978" s="267"/>
      <c r="ODT978" s="269"/>
      <c r="ODU978" s="267"/>
      <c r="ODV978" s="267"/>
      <c r="ODW978" s="184"/>
      <c r="ODX978" s="184"/>
      <c r="ODY978" s="185"/>
      <c r="ODZ978" s="184"/>
      <c r="OEA978" s="184"/>
      <c r="OEB978" s="184"/>
      <c r="OEC978" s="187"/>
      <c r="OED978" s="188"/>
      <c r="OEF978" s="182"/>
      <c r="OEG978" s="183"/>
      <c r="OEN978" s="267"/>
      <c r="OEO978" s="269"/>
      <c r="OEP978" s="267"/>
      <c r="OEQ978" s="267"/>
      <c r="OER978" s="184"/>
      <c r="OES978" s="184"/>
      <c r="OET978" s="185"/>
      <c r="OEU978" s="184"/>
      <c r="OEV978" s="184"/>
      <c r="OEW978" s="184"/>
      <c r="OEX978" s="187"/>
      <c r="OEY978" s="188"/>
      <c r="OFA978" s="182"/>
      <c r="OFB978" s="183"/>
      <c r="OFI978" s="267"/>
      <c r="OFJ978" s="269"/>
      <c r="OFK978" s="267"/>
      <c r="OFL978" s="267"/>
      <c r="OFM978" s="184"/>
      <c r="OFN978" s="184"/>
      <c r="OFO978" s="185"/>
      <c r="OFP978" s="184"/>
      <c r="OFQ978" s="184"/>
      <c r="OFR978" s="184"/>
      <c r="OFS978" s="187"/>
      <c r="OFT978" s="188"/>
      <c r="OFV978" s="182"/>
      <c r="OFW978" s="183"/>
      <c r="OGD978" s="267"/>
      <c r="OGE978" s="269"/>
      <c r="OGF978" s="267"/>
      <c r="OGG978" s="267"/>
      <c r="OGH978" s="184"/>
      <c r="OGI978" s="184"/>
      <c r="OGJ978" s="185"/>
      <c r="OGK978" s="184"/>
      <c r="OGL978" s="184"/>
      <c r="OGM978" s="184"/>
      <c r="OGN978" s="187"/>
      <c r="OGO978" s="188"/>
      <c r="OGQ978" s="182"/>
      <c r="OGR978" s="183"/>
      <c r="OGY978" s="267"/>
      <c r="OGZ978" s="269"/>
      <c r="OHA978" s="267"/>
      <c r="OHB978" s="267"/>
      <c r="OHC978" s="184"/>
      <c r="OHD978" s="184"/>
      <c r="OHE978" s="185"/>
      <c r="OHF978" s="184"/>
      <c r="OHG978" s="184"/>
      <c r="OHH978" s="184"/>
      <c r="OHI978" s="187"/>
      <c r="OHJ978" s="188"/>
      <c r="OHL978" s="182"/>
      <c r="OHM978" s="183"/>
      <c r="OHT978" s="267"/>
      <c r="OHU978" s="269"/>
      <c r="OHV978" s="267"/>
      <c r="OHW978" s="267"/>
      <c r="OHX978" s="184"/>
      <c r="OHY978" s="184"/>
      <c r="OHZ978" s="185"/>
      <c r="OIA978" s="184"/>
      <c r="OIB978" s="184"/>
      <c r="OIC978" s="184"/>
      <c r="OID978" s="187"/>
      <c r="OIE978" s="188"/>
      <c r="OIG978" s="182"/>
      <c r="OIH978" s="183"/>
      <c r="OIO978" s="267"/>
      <c r="OIP978" s="269"/>
      <c r="OIQ978" s="267"/>
      <c r="OIR978" s="267"/>
      <c r="OIS978" s="184"/>
      <c r="OIT978" s="184"/>
      <c r="OIU978" s="185"/>
      <c r="OIV978" s="184"/>
      <c r="OIW978" s="184"/>
      <c r="OIX978" s="184"/>
      <c r="OIY978" s="187"/>
      <c r="OIZ978" s="188"/>
      <c r="OJB978" s="182"/>
      <c r="OJC978" s="183"/>
      <c r="OJJ978" s="267"/>
      <c r="OJK978" s="269"/>
      <c r="OJL978" s="267"/>
      <c r="OJM978" s="267"/>
      <c r="OJN978" s="184"/>
      <c r="OJO978" s="184"/>
      <c r="OJP978" s="185"/>
      <c r="OJQ978" s="184"/>
      <c r="OJR978" s="184"/>
      <c r="OJS978" s="184"/>
      <c r="OJT978" s="187"/>
      <c r="OJU978" s="188"/>
      <c r="OJW978" s="182"/>
      <c r="OJX978" s="183"/>
      <c r="OKE978" s="267"/>
      <c r="OKF978" s="269"/>
      <c r="OKG978" s="267"/>
      <c r="OKH978" s="267"/>
      <c r="OKI978" s="184"/>
      <c r="OKJ978" s="184"/>
      <c r="OKK978" s="185"/>
      <c r="OKL978" s="184"/>
      <c r="OKM978" s="184"/>
      <c r="OKN978" s="184"/>
      <c r="OKO978" s="187"/>
      <c r="OKP978" s="188"/>
      <c r="OKR978" s="182"/>
      <c r="OKS978" s="183"/>
      <c r="OKZ978" s="267"/>
      <c r="OLA978" s="269"/>
      <c r="OLB978" s="267"/>
      <c r="OLC978" s="267"/>
      <c r="OLD978" s="184"/>
      <c r="OLE978" s="184"/>
      <c r="OLF978" s="185"/>
      <c r="OLG978" s="184"/>
      <c r="OLH978" s="184"/>
      <c r="OLI978" s="184"/>
      <c r="OLJ978" s="187"/>
      <c r="OLK978" s="188"/>
      <c r="OLM978" s="182"/>
      <c r="OLN978" s="183"/>
      <c r="OLU978" s="267"/>
      <c r="OLV978" s="269"/>
      <c r="OLW978" s="267"/>
      <c r="OLX978" s="267"/>
      <c r="OLY978" s="184"/>
      <c r="OLZ978" s="184"/>
      <c r="OMA978" s="185"/>
      <c r="OMB978" s="184"/>
      <c r="OMC978" s="184"/>
      <c r="OMD978" s="184"/>
      <c r="OME978" s="187"/>
      <c r="OMF978" s="188"/>
      <c r="OMH978" s="182"/>
      <c r="OMI978" s="183"/>
      <c r="OMP978" s="267"/>
      <c r="OMQ978" s="269"/>
      <c r="OMR978" s="267"/>
      <c r="OMS978" s="267"/>
      <c r="OMT978" s="184"/>
      <c r="OMU978" s="184"/>
      <c r="OMV978" s="185"/>
      <c r="OMW978" s="184"/>
      <c r="OMX978" s="184"/>
      <c r="OMY978" s="184"/>
      <c r="OMZ978" s="187"/>
      <c r="ONA978" s="188"/>
      <c r="ONC978" s="182"/>
      <c r="OND978" s="183"/>
      <c r="ONK978" s="267"/>
      <c r="ONL978" s="269"/>
      <c r="ONM978" s="267"/>
      <c r="ONN978" s="267"/>
      <c r="ONO978" s="184"/>
      <c r="ONP978" s="184"/>
      <c r="ONQ978" s="185"/>
      <c r="ONR978" s="184"/>
      <c r="ONS978" s="184"/>
      <c r="ONT978" s="184"/>
      <c r="ONU978" s="187"/>
      <c r="ONV978" s="188"/>
      <c r="ONX978" s="182"/>
      <c r="ONY978" s="183"/>
      <c r="OOF978" s="267"/>
      <c r="OOG978" s="269"/>
      <c r="OOH978" s="267"/>
      <c r="OOI978" s="267"/>
      <c r="OOJ978" s="184"/>
      <c r="OOK978" s="184"/>
      <c r="OOL978" s="185"/>
      <c r="OOM978" s="184"/>
      <c r="OON978" s="184"/>
      <c r="OOO978" s="184"/>
      <c r="OOP978" s="187"/>
      <c r="OOQ978" s="188"/>
      <c r="OOS978" s="182"/>
      <c r="OOT978" s="183"/>
      <c r="OPA978" s="267"/>
      <c r="OPB978" s="269"/>
      <c r="OPC978" s="267"/>
      <c r="OPD978" s="267"/>
      <c r="OPE978" s="184"/>
      <c r="OPF978" s="184"/>
      <c r="OPG978" s="185"/>
      <c r="OPH978" s="184"/>
      <c r="OPI978" s="184"/>
      <c r="OPJ978" s="184"/>
      <c r="OPK978" s="187"/>
      <c r="OPL978" s="188"/>
      <c r="OPN978" s="182"/>
      <c r="OPO978" s="183"/>
      <c r="OPV978" s="267"/>
      <c r="OPW978" s="269"/>
      <c r="OPX978" s="267"/>
      <c r="OPY978" s="267"/>
      <c r="OPZ978" s="184"/>
      <c r="OQA978" s="184"/>
      <c r="OQB978" s="185"/>
      <c r="OQC978" s="184"/>
      <c r="OQD978" s="184"/>
      <c r="OQE978" s="184"/>
      <c r="OQF978" s="187"/>
      <c r="OQG978" s="188"/>
      <c r="OQI978" s="182"/>
      <c r="OQJ978" s="183"/>
      <c r="OQQ978" s="267"/>
      <c r="OQR978" s="269"/>
      <c r="OQS978" s="267"/>
      <c r="OQT978" s="267"/>
      <c r="OQU978" s="184"/>
      <c r="OQV978" s="184"/>
      <c r="OQW978" s="185"/>
      <c r="OQX978" s="184"/>
      <c r="OQY978" s="184"/>
      <c r="OQZ978" s="184"/>
      <c r="ORA978" s="187"/>
      <c r="ORB978" s="188"/>
      <c r="ORD978" s="182"/>
      <c r="ORE978" s="183"/>
      <c r="ORL978" s="267"/>
      <c r="ORM978" s="269"/>
      <c r="ORN978" s="267"/>
      <c r="ORO978" s="267"/>
      <c r="ORP978" s="184"/>
      <c r="ORQ978" s="184"/>
      <c r="ORR978" s="185"/>
      <c r="ORS978" s="184"/>
      <c r="ORT978" s="184"/>
      <c r="ORU978" s="184"/>
      <c r="ORV978" s="187"/>
      <c r="ORW978" s="188"/>
      <c r="ORY978" s="182"/>
      <c r="ORZ978" s="183"/>
      <c r="OSG978" s="267"/>
      <c r="OSH978" s="269"/>
      <c r="OSI978" s="267"/>
      <c r="OSJ978" s="267"/>
      <c r="OSK978" s="184"/>
      <c r="OSL978" s="184"/>
      <c r="OSM978" s="185"/>
      <c r="OSN978" s="184"/>
      <c r="OSO978" s="184"/>
      <c r="OSP978" s="184"/>
      <c r="OSQ978" s="187"/>
      <c r="OSR978" s="188"/>
      <c r="OST978" s="182"/>
      <c r="OSU978" s="183"/>
      <c r="OTB978" s="267"/>
      <c r="OTC978" s="269"/>
      <c r="OTD978" s="267"/>
      <c r="OTE978" s="267"/>
      <c r="OTF978" s="184"/>
      <c r="OTG978" s="184"/>
      <c r="OTH978" s="185"/>
      <c r="OTI978" s="184"/>
      <c r="OTJ978" s="184"/>
      <c r="OTK978" s="184"/>
      <c r="OTL978" s="187"/>
      <c r="OTM978" s="188"/>
      <c r="OTO978" s="182"/>
      <c r="OTP978" s="183"/>
      <c r="OTW978" s="267"/>
      <c r="OTX978" s="269"/>
      <c r="OTY978" s="267"/>
      <c r="OTZ978" s="267"/>
      <c r="OUA978" s="184"/>
      <c r="OUB978" s="184"/>
      <c r="OUC978" s="185"/>
      <c r="OUD978" s="184"/>
      <c r="OUE978" s="184"/>
      <c r="OUF978" s="184"/>
      <c r="OUG978" s="187"/>
      <c r="OUH978" s="188"/>
      <c r="OUJ978" s="182"/>
      <c r="OUK978" s="183"/>
      <c r="OUR978" s="267"/>
      <c r="OUS978" s="269"/>
      <c r="OUT978" s="267"/>
      <c r="OUU978" s="267"/>
      <c r="OUV978" s="184"/>
      <c r="OUW978" s="184"/>
      <c r="OUX978" s="185"/>
      <c r="OUY978" s="184"/>
      <c r="OUZ978" s="184"/>
      <c r="OVA978" s="184"/>
      <c r="OVB978" s="187"/>
      <c r="OVC978" s="188"/>
      <c r="OVE978" s="182"/>
      <c r="OVF978" s="183"/>
      <c r="OVM978" s="267"/>
      <c r="OVN978" s="269"/>
      <c r="OVO978" s="267"/>
      <c r="OVP978" s="267"/>
      <c r="OVQ978" s="184"/>
      <c r="OVR978" s="184"/>
      <c r="OVS978" s="185"/>
      <c r="OVT978" s="184"/>
      <c r="OVU978" s="184"/>
      <c r="OVV978" s="184"/>
      <c r="OVW978" s="187"/>
      <c r="OVX978" s="188"/>
      <c r="OVZ978" s="182"/>
      <c r="OWA978" s="183"/>
      <c r="OWH978" s="267"/>
      <c r="OWI978" s="269"/>
      <c r="OWJ978" s="267"/>
      <c r="OWK978" s="267"/>
      <c r="OWL978" s="184"/>
      <c r="OWM978" s="184"/>
      <c r="OWN978" s="185"/>
      <c r="OWO978" s="184"/>
      <c r="OWP978" s="184"/>
      <c r="OWQ978" s="184"/>
      <c r="OWR978" s="187"/>
      <c r="OWS978" s="188"/>
      <c r="OWU978" s="182"/>
      <c r="OWV978" s="183"/>
      <c r="OXC978" s="267"/>
      <c r="OXD978" s="269"/>
      <c r="OXE978" s="267"/>
      <c r="OXF978" s="267"/>
      <c r="OXG978" s="184"/>
      <c r="OXH978" s="184"/>
      <c r="OXI978" s="185"/>
      <c r="OXJ978" s="184"/>
      <c r="OXK978" s="184"/>
      <c r="OXL978" s="184"/>
      <c r="OXM978" s="187"/>
      <c r="OXN978" s="188"/>
      <c r="OXP978" s="182"/>
      <c r="OXQ978" s="183"/>
      <c r="OXX978" s="267"/>
      <c r="OXY978" s="269"/>
      <c r="OXZ978" s="267"/>
      <c r="OYA978" s="267"/>
      <c r="OYB978" s="184"/>
      <c r="OYC978" s="184"/>
      <c r="OYD978" s="185"/>
      <c r="OYE978" s="184"/>
      <c r="OYF978" s="184"/>
      <c r="OYG978" s="184"/>
      <c r="OYH978" s="187"/>
      <c r="OYI978" s="188"/>
      <c r="OYK978" s="182"/>
      <c r="OYL978" s="183"/>
      <c r="OYS978" s="267"/>
      <c r="OYT978" s="269"/>
      <c r="OYU978" s="267"/>
      <c r="OYV978" s="267"/>
      <c r="OYW978" s="184"/>
      <c r="OYX978" s="184"/>
      <c r="OYY978" s="185"/>
      <c r="OYZ978" s="184"/>
      <c r="OZA978" s="184"/>
      <c r="OZB978" s="184"/>
      <c r="OZC978" s="187"/>
      <c r="OZD978" s="188"/>
      <c r="OZF978" s="182"/>
      <c r="OZG978" s="183"/>
      <c r="OZN978" s="267"/>
      <c r="OZO978" s="269"/>
      <c r="OZP978" s="267"/>
      <c r="OZQ978" s="267"/>
      <c r="OZR978" s="184"/>
      <c r="OZS978" s="184"/>
      <c r="OZT978" s="185"/>
      <c r="OZU978" s="184"/>
      <c r="OZV978" s="184"/>
      <c r="OZW978" s="184"/>
      <c r="OZX978" s="187"/>
      <c r="OZY978" s="188"/>
      <c r="PAA978" s="182"/>
      <c r="PAB978" s="183"/>
      <c r="PAI978" s="267"/>
      <c r="PAJ978" s="269"/>
      <c r="PAK978" s="267"/>
      <c r="PAL978" s="267"/>
      <c r="PAM978" s="184"/>
      <c r="PAN978" s="184"/>
      <c r="PAO978" s="185"/>
      <c r="PAP978" s="184"/>
      <c r="PAQ978" s="184"/>
      <c r="PAR978" s="184"/>
      <c r="PAS978" s="187"/>
      <c r="PAT978" s="188"/>
      <c r="PAV978" s="182"/>
      <c r="PAW978" s="183"/>
      <c r="PBD978" s="267"/>
      <c r="PBE978" s="269"/>
      <c r="PBF978" s="267"/>
      <c r="PBG978" s="267"/>
      <c r="PBH978" s="184"/>
      <c r="PBI978" s="184"/>
      <c r="PBJ978" s="185"/>
      <c r="PBK978" s="184"/>
      <c r="PBL978" s="184"/>
      <c r="PBM978" s="184"/>
      <c r="PBN978" s="187"/>
      <c r="PBO978" s="188"/>
      <c r="PBQ978" s="182"/>
      <c r="PBR978" s="183"/>
      <c r="PBY978" s="267"/>
      <c r="PBZ978" s="269"/>
      <c r="PCA978" s="267"/>
      <c r="PCB978" s="267"/>
      <c r="PCC978" s="184"/>
      <c r="PCD978" s="184"/>
      <c r="PCE978" s="185"/>
      <c r="PCF978" s="184"/>
      <c r="PCG978" s="184"/>
      <c r="PCH978" s="184"/>
      <c r="PCI978" s="187"/>
      <c r="PCJ978" s="188"/>
      <c r="PCL978" s="182"/>
      <c r="PCM978" s="183"/>
      <c r="PCT978" s="267"/>
      <c r="PCU978" s="269"/>
      <c r="PCV978" s="267"/>
      <c r="PCW978" s="267"/>
      <c r="PCX978" s="184"/>
      <c r="PCY978" s="184"/>
      <c r="PCZ978" s="185"/>
      <c r="PDA978" s="184"/>
      <c r="PDB978" s="184"/>
      <c r="PDC978" s="184"/>
      <c r="PDD978" s="187"/>
      <c r="PDE978" s="188"/>
      <c r="PDG978" s="182"/>
      <c r="PDH978" s="183"/>
      <c r="PDO978" s="267"/>
      <c r="PDP978" s="269"/>
      <c r="PDQ978" s="267"/>
      <c r="PDR978" s="267"/>
      <c r="PDS978" s="184"/>
      <c r="PDT978" s="184"/>
      <c r="PDU978" s="185"/>
      <c r="PDV978" s="184"/>
      <c r="PDW978" s="184"/>
      <c r="PDX978" s="184"/>
      <c r="PDY978" s="187"/>
      <c r="PDZ978" s="188"/>
      <c r="PEB978" s="182"/>
      <c r="PEC978" s="183"/>
      <c r="PEJ978" s="267"/>
      <c r="PEK978" s="269"/>
      <c r="PEL978" s="267"/>
      <c r="PEM978" s="267"/>
      <c r="PEN978" s="184"/>
      <c r="PEO978" s="184"/>
      <c r="PEP978" s="185"/>
      <c r="PEQ978" s="184"/>
      <c r="PER978" s="184"/>
      <c r="PES978" s="184"/>
      <c r="PET978" s="187"/>
      <c r="PEU978" s="188"/>
      <c r="PEW978" s="182"/>
      <c r="PEX978" s="183"/>
      <c r="PFE978" s="267"/>
      <c r="PFF978" s="269"/>
      <c r="PFG978" s="267"/>
      <c r="PFH978" s="267"/>
      <c r="PFI978" s="184"/>
      <c r="PFJ978" s="184"/>
      <c r="PFK978" s="185"/>
      <c r="PFL978" s="184"/>
      <c r="PFM978" s="184"/>
      <c r="PFN978" s="184"/>
      <c r="PFO978" s="187"/>
      <c r="PFP978" s="188"/>
      <c r="PFR978" s="182"/>
      <c r="PFS978" s="183"/>
      <c r="PFZ978" s="267"/>
      <c r="PGA978" s="269"/>
      <c r="PGB978" s="267"/>
      <c r="PGC978" s="267"/>
      <c r="PGD978" s="184"/>
      <c r="PGE978" s="184"/>
      <c r="PGF978" s="185"/>
      <c r="PGG978" s="184"/>
      <c r="PGH978" s="184"/>
      <c r="PGI978" s="184"/>
      <c r="PGJ978" s="187"/>
      <c r="PGK978" s="188"/>
      <c r="PGM978" s="182"/>
      <c r="PGN978" s="183"/>
      <c r="PGU978" s="267"/>
      <c r="PGV978" s="269"/>
      <c r="PGW978" s="267"/>
      <c r="PGX978" s="267"/>
      <c r="PGY978" s="184"/>
      <c r="PGZ978" s="184"/>
      <c r="PHA978" s="185"/>
      <c r="PHB978" s="184"/>
      <c r="PHC978" s="184"/>
      <c r="PHD978" s="184"/>
      <c r="PHE978" s="187"/>
      <c r="PHF978" s="188"/>
      <c r="PHH978" s="182"/>
      <c r="PHI978" s="183"/>
      <c r="PHP978" s="267"/>
      <c r="PHQ978" s="269"/>
      <c r="PHR978" s="267"/>
      <c r="PHS978" s="267"/>
      <c r="PHT978" s="184"/>
      <c r="PHU978" s="184"/>
      <c r="PHV978" s="185"/>
      <c r="PHW978" s="184"/>
      <c r="PHX978" s="184"/>
      <c r="PHY978" s="184"/>
      <c r="PHZ978" s="187"/>
      <c r="PIA978" s="188"/>
      <c r="PIC978" s="182"/>
      <c r="PID978" s="183"/>
      <c r="PIK978" s="267"/>
      <c r="PIL978" s="269"/>
      <c r="PIM978" s="267"/>
      <c r="PIN978" s="267"/>
      <c r="PIO978" s="184"/>
      <c r="PIP978" s="184"/>
      <c r="PIQ978" s="185"/>
      <c r="PIR978" s="184"/>
      <c r="PIS978" s="184"/>
      <c r="PIT978" s="184"/>
      <c r="PIU978" s="187"/>
      <c r="PIV978" s="188"/>
      <c r="PIX978" s="182"/>
      <c r="PIY978" s="183"/>
      <c r="PJF978" s="267"/>
      <c r="PJG978" s="269"/>
      <c r="PJH978" s="267"/>
      <c r="PJI978" s="267"/>
      <c r="PJJ978" s="184"/>
      <c r="PJK978" s="184"/>
      <c r="PJL978" s="185"/>
      <c r="PJM978" s="184"/>
      <c r="PJN978" s="184"/>
      <c r="PJO978" s="184"/>
      <c r="PJP978" s="187"/>
      <c r="PJQ978" s="188"/>
      <c r="PJS978" s="182"/>
      <c r="PJT978" s="183"/>
      <c r="PKA978" s="267"/>
      <c r="PKB978" s="269"/>
      <c r="PKC978" s="267"/>
      <c r="PKD978" s="267"/>
      <c r="PKE978" s="184"/>
      <c r="PKF978" s="184"/>
      <c r="PKG978" s="185"/>
      <c r="PKH978" s="184"/>
      <c r="PKI978" s="184"/>
      <c r="PKJ978" s="184"/>
      <c r="PKK978" s="187"/>
      <c r="PKL978" s="188"/>
      <c r="PKN978" s="182"/>
      <c r="PKO978" s="183"/>
      <c r="PKV978" s="267"/>
      <c r="PKW978" s="269"/>
      <c r="PKX978" s="267"/>
      <c r="PKY978" s="267"/>
      <c r="PKZ978" s="184"/>
      <c r="PLA978" s="184"/>
      <c r="PLB978" s="185"/>
      <c r="PLC978" s="184"/>
      <c r="PLD978" s="184"/>
      <c r="PLE978" s="184"/>
      <c r="PLF978" s="187"/>
      <c r="PLG978" s="188"/>
      <c r="PLI978" s="182"/>
      <c r="PLJ978" s="183"/>
      <c r="PLQ978" s="267"/>
      <c r="PLR978" s="269"/>
      <c r="PLS978" s="267"/>
      <c r="PLT978" s="267"/>
      <c r="PLU978" s="184"/>
      <c r="PLV978" s="184"/>
      <c r="PLW978" s="185"/>
      <c r="PLX978" s="184"/>
      <c r="PLY978" s="184"/>
      <c r="PLZ978" s="184"/>
      <c r="PMA978" s="187"/>
      <c r="PMB978" s="188"/>
      <c r="PMD978" s="182"/>
      <c r="PME978" s="183"/>
      <c r="PML978" s="267"/>
      <c r="PMM978" s="269"/>
      <c r="PMN978" s="267"/>
      <c r="PMO978" s="267"/>
      <c r="PMP978" s="184"/>
      <c r="PMQ978" s="184"/>
      <c r="PMR978" s="185"/>
      <c r="PMS978" s="184"/>
      <c r="PMT978" s="184"/>
      <c r="PMU978" s="184"/>
      <c r="PMV978" s="187"/>
      <c r="PMW978" s="188"/>
      <c r="PMY978" s="182"/>
      <c r="PMZ978" s="183"/>
      <c r="PNG978" s="267"/>
      <c r="PNH978" s="269"/>
      <c r="PNI978" s="267"/>
      <c r="PNJ978" s="267"/>
      <c r="PNK978" s="184"/>
      <c r="PNL978" s="184"/>
      <c r="PNM978" s="185"/>
      <c r="PNN978" s="184"/>
      <c r="PNO978" s="184"/>
      <c r="PNP978" s="184"/>
      <c r="PNQ978" s="187"/>
      <c r="PNR978" s="188"/>
      <c r="PNT978" s="182"/>
      <c r="PNU978" s="183"/>
      <c r="POB978" s="267"/>
      <c r="POC978" s="269"/>
      <c r="POD978" s="267"/>
      <c r="POE978" s="267"/>
      <c r="POF978" s="184"/>
      <c r="POG978" s="184"/>
      <c r="POH978" s="185"/>
      <c r="POI978" s="184"/>
      <c r="POJ978" s="184"/>
      <c r="POK978" s="184"/>
      <c r="POL978" s="187"/>
      <c r="POM978" s="188"/>
      <c r="POO978" s="182"/>
      <c r="POP978" s="183"/>
      <c r="POW978" s="267"/>
      <c r="POX978" s="269"/>
      <c r="POY978" s="267"/>
      <c r="POZ978" s="267"/>
      <c r="PPA978" s="184"/>
      <c r="PPB978" s="184"/>
      <c r="PPC978" s="185"/>
      <c r="PPD978" s="184"/>
      <c r="PPE978" s="184"/>
      <c r="PPF978" s="184"/>
      <c r="PPG978" s="187"/>
      <c r="PPH978" s="188"/>
      <c r="PPJ978" s="182"/>
      <c r="PPK978" s="183"/>
      <c r="PPR978" s="267"/>
      <c r="PPS978" s="269"/>
      <c r="PPT978" s="267"/>
      <c r="PPU978" s="267"/>
      <c r="PPV978" s="184"/>
      <c r="PPW978" s="184"/>
      <c r="PPX978" s="185"/>
      <c r="PPY978" s="184"/>
      <c r="PPZ978" s="184"/>
      <c r="PQA978" s="184"/>
      <c r="PQB978" s="187"/>
      <c r="PQC978" s="188"/>
      <c r="PQE978" s="182"/>
      <c r="PQF978" s="183"/>
      <c r="PQM978" s="267"/>
      <c r="PQN978" s="269"/>
      <c r="PQO978" s="267"/>
      <c r="PQP978" s="267"/>
      <c r="PQQ978" s="184"/>
      <c r="PQR978" s="184"/>
      <c r="PQS978" s="185"/>
      <c r="PQT978" s="184"/>
      <c r="PQU978" s="184"/>
      <c r="PQV978" s="184"/>
      <c r="PQW978" s="187"/>
      <c r="PQX978" s="188"/>
      <c r="PQZ978" s="182"/>
      <c r="PRA978" s="183"/>
      <c r="PRH978" s="267"/>
      <c r="PRI978" s="269"/>
      <c r="PRJ978" s="267"/>
      <c r="PRK978" s="267"/>
      <c r="PRL978" s="184"/>
      <c r="PRM978" s="184"/>
      <c r="PRN978" s="185"/>
      <c r="PRO978" s="184"/>
      <c r="PRP978" s="184"/>
      <c r="PRQ978" s="184"/>
      <c r="PRR978" s="187"/>
      <c r="PRS978" s="188"/>
      <c r="PRU978" s="182"/>
      <c r="PRV978" s="183"/>
      <c r="PSC978" s="267"/>
      <c r="PSD978" s="269"/>
      <c r="PSE978" s="267"/>
      <c r="PSF978" s="267"/>
      <c r="PSG978" s="184"/>
      <c r="PSH978" s="184"/>
      <c r="PSI978" s="185"/>
      <c r="PSJ978" s="184"/>
      <c r="PSK978" s="184"/>
      <c r="PSL978" s="184"/>
      <c r="PSM978" s="187"/>
      <c r="PSN978" s="188"/>
      <c r="PSP978" s="182"/>
      <c r="PSQ978" s="183"/>
      <c r="PSX978" s="267"/>
      <c r="PSY978" s="269"/>
      <c r="PSZ978" s="267"/>
      <c r="PTA978" s="267"/>
      <c r="PTB978" s="184"/>
      <c r="PTC978" s="184"/>
      <c r="PTD978" s="185"/>
      <c r="PTE978" s="184"/>
      <c r="PTF978" s="184"/>
      <c r="PTG978" s="184"/>
      <c r="PTH978" s="187"/>
      <c r="PTI978" s="188"/>
      <c r="PTK978" s="182"/>
      <c r="PTL978" s="183"/>
      <c r="PTS978" s="267"/>
      <c r="PTT978" s="269"/>
      <c r="PTU978" s="267"/>
      <c r="PTV978" s="267"/>
      <c r="PTW978" s="184"/>
      <c r="PTX978" s="184"/>
      <c r="PTY978" s="185"/>
      <c r="PTZ978" s="184"/>
      <c r="PUA978" s="184"/>
      <c r="PUB978" s="184"/>
      <c r="PUC978" s="187"/>
      <c r="PUD978" s="188"/>
      <c r="PUF978" s="182"/>
      <c r="PUG978" s="183"/>
      <c r="PUN978" s="267"/>
      <c r="PUO978" s="269"/>
      <c r="PUP978" s="267"/>
      <c r="PUQ978" s="267"/>
      <c r="PUR978" s="184"/>
      <c r="PUS978" s="184"/>
      <c r="PUT978" s="185"/>
      <c r="PUU978" s="184"/>
      <c r="PUV978" s="184"/>
      <c r="PUW978" s="184"/>
      <c r="PUX978" s="187"/>
      <c r="PUY978" s="188"/>
      <c r="PVA978" s="182"/>
      <c r="PVB978" s="183"/>
      <c r="PVI978" s="267"/>
      <c r="PVJ978" s="269"/>
      <c r="PVK978" s="267"/>
      <c r="PVL978" s="267"/>
      <c r="PVM978" s="184"/>
      <c r="PVN978" s="184"/>
      <c r="PVO978" s="185"/>
      <c r="PVP978" s="184"/>
      <c r="PVQ978" s="184"/>
      <c r="PVR978" s="184"/>
      <c r="PVS978" s="187"/>
      <c r="PVT978" s="188"/>
      <c r="PVV978" s="182"/>
      <c r="PVW978" s="183"/>
      <c r="PWD978" s="267"/>
      <c r="PWE978" s="269"/>
      <c r="PWF978" s="267"/>
      <c r="PWG978" s="267"/>
      <c r="PWH978" s="184"/>
      <c r="PWI978" s="184"/>
      <c r="PWJ978" s="185"/>
      <c r="PWK978" s="184"/>
      <c r="PWL978" s="184"/>
      <c r="PWM978" s="184"/>
      <c r="PWN978" s="187"/>
      <c r="PWO978" s="188"/>
      <c r="PWQ978" s="182"/>
      <c r="PWR978" s="183"/>
      <c r="PWY978" s="267"/>
      <c r="PWZ978" s="269"/>
      <c r="PXA978" s="267"/>
      <c r="PXB978" s="267"/>
      <c r="PXC978" s="184"/>
      <c r="PXD978" s="184"/>
      <c r="PXE978" s="185"/>
      <c r="PXF978" s="184"/>
      <c r="PXG978" s="184"/>
      <c r="PXH978" s="184"/>
      <c r="PXI978" s="187"/>
      <c r="PXJ978" s="188"/>
      <c r="PXL978" s="182"/>
      <c r="PXM978" s="183"/>
      <c r="PXT978" s="267"/>
      <c r="PXU978" s="269"/>
      <c r="PXV978" s="267"/>
      <c r="PXW978" s="267"/>
      <c r="PXX978" s="184"/>
      <c r="PXY978" s="184"/>
      <c r="PXZ978" s="185"/>
      <c r="PYA978" s="184"/>
      <c r="PYB978" s="184"/>
      <c r="PYC978" s="184"/>
      <c r="PYD978" s="187"/>
      <c r="PYE978" s="188"/>
      <c r="PYG978" s="182"/>
      <c r="PYH978" s="183"/>
      <c r="PYO978" s="267"/>
      <c r="PYP978" s="269"/>
      <c r="PYQ978" s="267"/>
      <c r="PYR978" s="267"/>
      <c r="PYS978" s="184"/>
      <c r="PYT978" s="184"/>
      <c r="PYU978" s="185"/>
      <c r="PYV978" s="184"/>
      <c r="PYW978" s="184"/>
      <c r="PYX978" s="184"/>
      <c r="PYY978" s="187"/>
      <c r="PYZ978" s="188"/>
      <c r="PZB978" s="182"/>
      <c r="PZC978" s="183"/>
      <c r="PZJ978" s="267"/>
      <c r="PZK978" s="269"/>
      <c r="PZL978" s="267"/>
      <c r="PZM978" s="267"/>
      <c r="PZN978" s="184"/>
      <c r="PZO978" s="184"/>
      <c r="PZP978" s="185"/>
      <c r="PZQ978" s="184"/>
      <c r="PZR978" s="184"/>
      <c r="PZS978" s="184"/>
      <c r="PZT978" s="187"/>
      <c r="PZU978" s="188"/>
      <c r="PZW978" s="182"/>
      <c r="PZX978" s="183"/>
      <c r="QAE978" s="267"/>
      <c r="QAF978" s="269"/>
      <c r="QAG978" s="267"/>
      <c r="QAH978" s="267"/>
      <c r="QAI978" s="184"/>
      <c r="QAJ978" s="184"/>
      <c r="QAK978" s="185"/>
      <c r="QAL978" s="184"/>
      <c r="QAM978" s="184"/>
      <c r="QAN978" s="184"/>
      <c r="QAO978" s="187"/>
      <c r="QAP978" s="188"/>
      <c r="QAR978" s="182"/>
      <c r="QAS978" s="183"/>
      <c r="QAZ978" s="267"/>
      <c r="QBA978" s="269"/>
      <c r="QBB978" s="267"/>
      <c r="QBC978" s="267"/>
      <c r="QBD978" s="184"/>
      <c r="QBE978" s="184"/>
      <c r="QBF978" s="185"/>
      <c r="QBG978" s="184"/>
      <c r="QBH978" s="184"/>
      <c r="QBI978" s="184"/>
      <c r="QBJ978" s="187"/>
      <c r="QBK978" s="188"/>
      <c r="QBM978" s="182"/>
      <c r="QBN978" s="183"/>
      <c r="QBU978" s="267"/>
      <c r="QBV978" s="269"/>
      <c r="QBW978" s="267"/>
      <c r="QBX978" s="267"/>
      <c r="QBY978" s="184"/>
      <c r="QBZ978" s="184"/>
      <c r="QCA978" s="185"/>
      <c r="QCB978" s="184"/>
      <c r="QCC978" s="184"/>
      <c r="QCD978" s="184"/>
      <c r="QCE978" s="187"/>
      <c r="QCF978" s="188"/>
      <c r="QCH978" s="182"/>
      <c r="QCI978" s="183"/>
      <c r="QCP978" s="267"/>
      <c r="QCQ978" s="269"/>
      <c r="QCR978" s="267"/>
      <c r="QCS978" s="267"/>
      <c r="QCT978" s="184"/>
      <c r="QCU978" s="184"/>
      <c r="QCV978" s="185"/>
      <c r="QCW978" s="184"/>
      <c r="QCX978" s="184"/>
      <c r="QCY978" s="184"/>
      <c r="QCZ978" s="187"/>
      <c r="QDA978" s="188"/>
      <c r="QDC978" s="182"/>
      <c r="QDD978" s="183"/>
      <c r="QDK978" s="267"/>
      <c r="QDL978" s="269"/>
      <c r="QDM978" s="267"/>
      <c r="QDN978" s="267"/>
      <c r="QDO978" s="184"/>
      <c r="QDP978" s="184"/>
      <c r="QDQ978" s="185"/>
      <c r="QDR978" s="184"/>
      <c r="QDS978" s="184"/>
      <c r="QDT978" s="184"/>
      <c r="QDU978" s="187"/>
      <c r="QDV978" s="188"/>
      <c r="QDX978" s="182"/>
      <c r="QDY978" s="183"/>
      <c r="QEF978" s="267"/>
      <c r="QEG978" s="269"/>
      <c r="QEH978" s="267"/>
      <c r="QEI978" s="267"/>
      <c r="QEJ978" s="184"/>
      <c r="QEK978" s="184"/>
      <c r="QEL978" s="185"/>
      <c r="QEM978" s="184"/>
      <c r="QEN978" s="184"/>
      <c r="QEO978" s="184"/>
      <c r="QEP978" s="187"/>
      <c r="QEQ978" s="188"/>
      <c r="QES978" s="182"/>
      <c r="QET978" s="183"/>
      <c r="QFA978" s="267"/>
      <c r="QFB978" s="269"/>
      <c r="QFC978" s="267"/>
      <c r="QFD978" s="267"/>
      <c r="QFE978" s="184"/>
      <c r="QFF978" s="184"/>
      <c r="QFG978" s="185"/>
      <c r="QFH978" s="184"/>
      <c r="QFI978" s="184"/>
      <c r="QFJ978" s="184"/>
      <c r="QFK978" s="187"/>
      <c r="QFL978" s="188"/>
      <c r="QFN978" s="182"/>
      <c r="QFO978" s="183"/>
      <c r="QFV978" s="267"/>
      <c r="QFW978" s="269"/>
      <c r="QFX978" s="267"/>
      <c r="QFY978" s="267"/>
      <c r="QFZ978" s="184"/>
      <c r="QGA978" s="184"/>
      <c r="QGB978" s="185"/>
      <c r="QGC978" s="184"/>
      <c r="QGD978" s="184"/>
      <c r="QGE978" s="184"/>
      <c r="QGF978" s="187"/>
      <c r="QGG978" s="188"/>
      <c r="QGI978" s="182"/>
      <c r="QGJ978" s="183"/>
      <c r="QGQ978" s="267"/>
      <c r="QGR978" s="269"/>
      <c r="QGS978" s="267"/>
      <c r="QGT978" s="267"/>
      <c r="QGU978" s="184"/>
      <c r="QGV978" s="184"/>
      <c r="QGW978" s="185"/>
      <c r="QGX978" s="184"/>
      <c r="QGY978" s="184"/>
      <c r="QGZ978" s="184"/>
      <c r="QHA978" s="187"/>
      <c r="QHB978" s="188"/>
      <c r="QHD978" s="182"/>
      <c r="QHE978" s="183"/>
      <c r="QHL978" s="267"/>
      <c r="QHM978" s="269"/>
      <c r="QHN978" s="267"/>
      <c r="QHO978" s="267"/>
      <c r="QHP978" s="184"/>
      <c r="QHQ978" s="184"/>
      <c r="QHR978" s="185"/>
      <c r="QHS978" s="184"/>
      <c r="QHT978" s="184"/>
      <c r="QHU978" s="184"/>
      <c r="QHV978" s="187"/>
      <c r="QHW978" s="188"/>
      <c r="QHY978" s="182"/>
      <c r="QHZ978" s="183"/>
      <c r="QIG978" s="267"/>
      <c r="QIH978" s="269"/>
      <c r="QII978" s="267"/>
      <c r="QIJ978" s="267"/>
      <c r="QIK978" s="184"/>
      <c r="QIL978" s="184"/>
      <c r="QIM978" s="185"/>
      <c r="QIN978" s="184"/>
      <c r="QIO978" s="184"/>
      <c r="QIP978" s="184"/>
      <c r="QIQ978" s="187"/>
      <c r="QIR978" s="188"/>
      <c r="QIT978" s="182"/>
      <c r="QIU978" s="183"/>
      <c r="QJB978" s="267"/>
      <c r="QJC978" s="269"/>
      <c r="QJD978" s="267"/>
      <c r="QJE978" s="267"/>
      <c r="QJF978" s="184"/>
      <c r="QJG978" s="184"/>
      <c r="QJH978" s="185"/>
      <c r="QJI978" s="184"/>
      <c r="QJJ978" s="184"/>
      <c r="QJK978" s="184"/>
      <c r="QJL978" s="187"/>
      <c r="QJM978" s="188"/>
      <c r="QJO978" s="182"/>
      <c r="QJP978" s="183"/>
      <c r="QJW978" s="267"/>
      <c r="QJX978" s="269"/>
      <c r="QJY978" s="267"/>
      <c r="QJZ978" s="267"/>
      <c r="QKA978" s="184"/>
      <c r="QKB978" s="184"/>
      <c r="QKC978" s="185"/>
      <c r="QKD978" s="184"/>
      <c r="QKE978" s="184"/>
      <c r="QKF978" s="184"/>
      <c r="QKG978" s="187"/>
      <c r="QKH978" s="188"/>
      <c r="QKJ978" s="182"/>
      <c r="QKK978" s="183"/>
      <c r="QKR978" s="267"/>
      <c r="QKS978" s="269"/>
      <c r="QKT978" s="267"/>
      <c r="QKU978" s="267"/>
      <c r="QKV978" s="184"/>
      <c r="QKW978" s="184"/>
      <c r="QKX978" s="185"/>
      <c r="QKY978" s="184"/>
      <c r="QKZ978" s="184"/>
      <c r="QLA978" s="184"/>
      <c r="QLB978" s="187"/>
      <c r="QLC978" s="188"/>
      <c r="QLE978" s="182"/>
      <c r="QLF978" s="183"/>
      <c r="QLM978" s="267"/>
      <c r="QLN978" s="269"/>
      <c r="QLO978" s="267"/>
      <c r="QLP978" s="267"/>
      <c r="QLQ978" s="184"/>
      <c r="QLR978" s="184"/>
      <c r="QLS978" s="185"/>
      <c r="QLT978" s="184"/>
      <c r="QLU978" s="184"/>
      <c r="QLV978" s="184"/>
      <c r="QLW978" s="187"/>
      <c r="QLX978" s="188"/>
      <c r="QLZ978" s="182"/>
      <c r="QMA978" s="183"/>
      <c r="QMH978" s="267"/>
      <c r="QMI978" s="269"/>
      <c r="QMJ978" s="267"/>
      <c r="QMK978" s="267"/>
      <c r="QML978" s="184"/>
      <c r="QMM978" s="184"/>
      <c r="QMN978" s="185"/>
      <c r="QMO978" s="184"/>
      <c r="QMP978" s="184"/>
      <c r="QMQ978" s="184"/>
      <c r="QMR978" s="187"/>
      <c r="QMS978" s="188"/>
      <c r="QMU978" s="182"/>
      <c r="QMV978" s="183"/>
      <c r="QNC978" s="267"/>
      <c r="QND978" s="269"/>
      <c r="QNE978" s="267"/>
      <c r="QNF978" s="267"/>
      <c r="QNG978" s="184"/>
      <c r="QNH978" s="184"/>
      <c r="QNI978" s="185"/>
      <c r="QNJ978" s="184"/>
      <c r="QNK978" s="184"/>
      <c r="QNL978" s="184"/>
      <c r="QNM978" s="187"/>
      <c r="QNN978" s="188"/>
      <c r="QNP978" s="182"/>
      <c r="QNQ978" s="183"/>
      <c r="QNX978" s="267"/>
      <c r="QNY978" s="269"/>
      <c r="QNZ978" s="267"/>
      <c r="QOA978" s="267"/>
      <c r="QOB978" s="184"/>
      <c r="QOC978" s="184"/>
      <c r="QOD978" s="185"/>
      <c r="QOE978" s="184"/>
      <c r="QOF978" s="184"/>
      <c r="QOG978" s="184"/>
      <c r="QOH978" s="187"/>
      <c r="QOI978" s="188"/>
      <c r="QOK978" s="182"/>
      <c r="QOL978" s="183"/>
      <c r="QOS978" s="267"/>
      <c r="QOT978" s="269"/>
      <c r="QOU978" s="267"/>
      <c r="QOV978" s="267"/>
      <c r="QOW978" s="184"/>
      <c r="QOX978" s="184"/>
      <c r="QOY978" s="185"/>
      <c r="QOZ978" s="184"/>
      <c r="QPA978" s="184"/>
      <c r="QPB978" s="184"/>
      <c r="QPC978" s="187"/>
      <c r="QPD978" s="188"/>
      <c r="QPF978" s="182"/>
      <c r="QPG978" s="183"/>
      <c r="QPN978" s="267"/>
      <c r="QPO978" s="269"/>
      <c r="QPP978" s="267"/>
      <c r="QPQ978" s="267"/>
      <c r="QPR978" s="184"/>
      <c r="QPS978" s="184"/>
      <c r="QPT978" s="185"/>
      <c r="QPU978" s="184"/>
      <c r="QPV978" s="184"/>
      <c r="QPW978" s="184"/>
      <c r="QPX978" s="187"/>
      <c r="QPY978" s="188"/>
      <c r="QQA978" s="182"/>
      <c r="QQB978" s="183"/>
      <c r="QQI978" s="267"/>
      <c r="QQJ978" s="269"/>
      <c r="QQK978" s="267"/>
      <c r="QQL978" s="267"/>
      <c r="QQM978" s="184"/>
      <c r="QQN978" s="184"/>
      <c r="QQO978" s="185"/>
      <c r="QQP978" s="184"/>
      <c r="QQQ978" s="184"/>
      <c r="QQR978" s="184"/>
      <c r="QQS978" s="187"/>
      <c r="QQT978" s="188"/>
      <c r="QQV978" s="182"/>
      <c r="QQW978" s="183"/>
      <c r="QRD978" s="267"/>
      <c r="QRE978" s="269"/>
      <c r="QRF978" s="267"/>
      <c r="QRG978" s="267"/>
      <c r="QRH978" s="184"/>
      <c r="QRI978" s="184"/>
      <c r="QRJ978" s="185"/>
      <c r="QRK978" s="184"/>
      <c r="QRL978" s="184"/>
      <c r="QRM978" s="184"/>
      <c r="QRN978" s="187"/>
      <c r="QRO978" s="188"/>
      <c r="QRQ978" s="182"/>
      <c r="QRR978" s="183"/>
      <c r="QRY978" s="267"/>
      <c r="QRZ978" s="269"/>
      <c r="QSA978" s="267"/>
      <c r="QSB978" s="267"/>
      <c r="QSC978" s="184"/>
      <c r="QSD978" s="184"/>
      <c r="QSE978" s="185"/>
      <c r="QSF978" s="184"/>
      <c r="QSG978" s="184"/>
      <c r="QSH978" s="184"/>
      <c r="QSI978" s="187"/>
      <c r="QSJ978" s="188"/>
      <c r="QSL978" s="182"/>
      <c r="QSM978" s="183"/>
      <c r="QST978" s="267"/>
      <c r="QSU978" s="269"/>
      <c r="QSV978" s="267"/>
      <c r="QSW978" s="267"/>
      <c r="QSX978" s="184"/>
      <c r="QSY978" s="184"/>
      <c r="QSZ978" s="185"/>
      <c r="QTA978" s="184"/>
      <c r="QTB978" s="184"/>
      <c r="QTC978" s="184"/>
      <c r="QTD978" s="187"/>
      <c r="QTE978" s="188"/>
      <c r="QTG978" s="182"/>
      <c r="QTH978" s="183"/>
      <c r="QTO978" s="267"/>
      <c r="QTP978" s="269"/>
      <c r="QTQ978" s="267"/>
      <c r="QTR978" s="267"/>
      <c r="QTS978" s="184"/>
      <c r="QTT978" s="184"/>
      <c r="QTU978" s="185"/>
      <c r="QTV978" s="184"/>
      <c r="QTW978" s="184"/>
      <c r="QTX978" s="184"/>
      <c r="QTY978" s="187"/>
      <c r="QTZ978" s="188"/>
      <c r="QUB978" s="182"/>
      <c r="QUC978" s="183"/>
      <c r="QUJ978" s="267"/>
      <c r="QUK978" s="269"/>
      <c r="QUL978" s="267"/>
      <c r="QUM978" s="267"/>
      <c r="QUN978" s="184"/>
      <c r="QUO978" s="184"/>
      <c r="QUP978" s="185"/>
      <c r="QUQ978" s="184"/>
      <c r="QUR978" s="184"/>
      <c r="QUS978" s="184"/>
      <c r="QUT978" s="187"/>
      <c r="QUU978" s="188"/>
      <c r="QUW978" s="182"/>
      <c r="QUX978" s="183"/>
      <c r="QVE978" s="267"/>
      <c r="QVF978" s="269"/>
      <c r="QVG978" s="267"/>
      <c r="QVH978" s="267"/>
      <c r="QVI978" s="184"/>
      <c r="QVJ978" s="184"/>
      <c r="QVK978" s="185"/>
      <c r="QVL978" s="184"/>
      <c r="QVM978" s="184"/>
      <c r="QVN978" s="184"/>
      <c r="QVO978" s="187"/>
      <c r="QVP978" s="188"/>
      <c r="QVR978" s="182"/>
      <c r="QVS978" s="183"/>
      <c r="QVZ978" s="267"/>
      <c r="QWA978" s="269"/>
      <c r="QWB978" s="267"/>
      <c r="QWC978" s="267"/>
      <c r="QWD978" s="184"/>
      <c r="QWE978" s="184"/>
      <c r="QWF978" s="185"/>
      <c r="QWG978" s="184"/>
      <c r="QWH978" s="184"/>
      <c r="QWI978" s="184"/>
      <c r="QWJ978" s="187"/>
      <c r="QWK978" s="188"/>
      <c r="QWM978" s="182"/>
      <c r="QWN978" s="183"/>
      <c r="QWU978" s="267"/>
      <c r="QWV978" s="269"/>
      <c r="QWW978" s="267"/>
      <c r="QWX978" s="267"/>
      <c r="QWY978" s="184"/>
      <c r="QWZ978" s="184"/>
      <c r="QXA978" s="185"/>
      <c r="QXB978" s="184"/>
      <c r="QXC978" s="184"/>
      <c r="QXD978" s="184"/>
      <c r="QXE978" s="187"/>
      <c r="QXF978" s="188"/>
      <c r="QXH978" s="182"/>
      <c r="QXI978" s="183"/>
      <c r="QXP978" s="267"/>
      <c r="QXQ978" s="269"/>
      <c r="QXR978" s="267"/>
      <c r="QXS978" s="267"/>
      <c r="QXT978" s="184"/>
      <c r="QXU978" s="184"/>
      <c r="QXV978" s="185"/>
      <c r="QXW978" s="184"/>
      <c r="QXX978" s="184"/>
      <c r="QXY978" s="184"/>
      <c r="QXZ978" s="187"/>
      <c r="QYA978" s="188"/>
      <c r="QYC978" s="182"/>
      <c r="QYD978" s="183"/>
      <c r="QYK978" s="267"/>
      <c r="QYL978" s="269"/>
      <c r="QYM978" s="267"/>
      <c r="QYN978" s="267"/>
      <c r="QYO978" s="184"/>
      <c r="QYP978" s="184"/>
      <c r="QYQ978" s="185"/>
      <c r="QYR978" s="184"/>
      <c r="QYS978" s="184"/>
      <c r="QYT978" s="184"/>
      <c r="QYU978" s="187"/>
      <c r="QYV978" s="188"/>
      <c r="QYX978" s="182"/>
      <c r="QYY978" s="183"/>
      <c r="QZF978" s="267"/>
      <c r="QZG978" s="269"/>
      <c r="QZH978" s="267"/>
      <c r="QZI978" s="267"/>
      <c r="QZJ978" s="184"/>
      <c r="QZK978" s="184"/>
      <c r="QZL978" s="185"/>
      <c r="QZM978" s="184"/>
      <c r="QZN978" s="184"/>
      <c r="QZO978" s="184"/>
      <c r="QZP978" s="187"/>
      <c r="QZQ978" s="188"/>
      <c r="QZS978" s="182"/>
      <c r="QZT978" s="183"/>
      <c r="RAA978" s="267"/>
      <c r="RAB978" s="269"/>
      <c r="RAC978" s="267"/>
      <c r="RAD978" s="267"/>
      <c r="RAE978" s="184"/>
      <c r="RAF978" s="184"/>
      <c r="RAG978" s="185"/>
      <c r="RAH978" s="184"/>
      <c r="RAI978" s="184"/>
      <c r="RAJ978" s="184"/>
      <c r="RAK978" s="187"/>
      <c r="RAL978" s="188"/>
      <c r="RAN978" s="182"/>
      <c r="RAO978" s="183"/>
      <c r="RAV978" s="267"/>
      <c r="RAW978" s="269"/>
      <c r="RAX978" s="267"/>
      <c r="RAY978" s="267"/>
      <c r="RAZ978" s="184"/>
      <c r="RBA978" s="184"/>
      <c r="RBB978" s="185"/>
      <c r="RBC978" s="184"/>
      <c r="RBD978" s="184"/>
      <c r="RBE978" s="184"/>
      <c r="RBF978" s="187"/>
      <c r="RBG978" s="188"/>
      <c r="RBI978" s="182"/>
      <c r="RBJ978" s="183"/>
      <c r="RBQ978" s="267"/>
      <c r="RBR978" s="269"/>
      <c r="RBS978" s="267"/>
      <c r="RBT978" s="267"/>
      <c r="RBU978" s="184"/>
      <c r="RBV978" s="184"/>
      <c r="RBW978" s="185"/>
      <c r="RBX978" s="184"/>
      <c r="RBY978" s="184"/>
      <c r="RBZ978" s="184"/>
      <c r="RCA978" s="187"/>
      <c r="RCB978" s="188"/>
      <c r="RCD978" s="182"/>
      <c r="RCE978" s="183"/>
      <c r="RCL978" s="267"/>
      <c r="RCM978" s="269"/>
      <c r="RCN978" s="267"/>
      <c r="RCO978" s="267"/>
      <c r="RCP978" s="184"/>
      <c r="RCQ978" s="184"/>
      <c r="RCR978" s="185"/>
      <c r="RCS978" s="184"/>
      <c r="RCT978" s="184"/>
      <c r="RCU978" s="184"/>
      <c r="RCV978" s="187"/>
      <c r="RCW978" s="188"/>
      <c r="RCY978" s="182"/>
      <c r="RCZ978" s="183"/>
      <c r="RDG978" s="267"/>
      <c r="RDH978" s="269"/>
      <c r="RDI978" s="267"/>
      <c r="RDJ978" s="267"/>
      <c r="RDK978" s="184"/>
      <c r="RDL978" s="184"/>
      <c r="RDM978" s="185"/>
      <c r="RDN978" s="184"/>
      <c r="RDO978" s="184"/>
      <c r="RDP978" s="184"/>
      <c r="RDQ978" s="187"/>
      <c r="RDR978" s="188"/>
      <c r="RDT978" s="182"/>
      <c r="RDU978" s="183"/>
      <c r="REB978" s="267"/>
      <c r="REC978" s="269"/>
      <c r="RED978" s="267"/>
      <c r="REE978" s="267"/>
      <c r="REF978" s="184"/>
      <c r="REG978" s="184"/>
      <c r="REH978" s="185"/>
      <c r="REI978" s="184"/>
      <c r="REJ978" s="184"/>
      <c r="REK978" s="184"/>
      <c r="REL978" s="187"/>
      <c r="REM978" s="188"/>
      <c r="REO978" s="182"/>
      <c r="REP978" s="183"/>
      <c r="REW978" s="267"/>
      <c r="REX978" s="269"/>
      <c r="REY978" s="267"/>
      <c r="REZ978" s="267"/>
      <c r="RFA978" s="184"/>
      <c r="RFB978" s="184"/>
      <c r="RFC978" s="185"/>
      <c r="RFD978" s="184"/>
      <c r="RFE978" s="184"/>
      <c r="RFF978" s="184"/>
      <c r="RFG978" s="187"/>
      <c r="RFH978" s="188"/>
      <c r="RFJ978" s="182"/>
      <c r="RFK978" s="183"/>
      <c r="RFR978" s="267"/>
      <c r="RFS978" s="269"/>
      <c r="RFT978" s="267"/>
      <c r="RFU978" s="267"/>
      <c r="RFV978" s="184"/>
      <c r="RFW978" s="184"/>
      <c r="RFX978" s="185"/>
      <c r="RFY978" s="184"/>
      <c r="RFZ978" s="184"/>
      <c r="RGA978" s="184"/>
      <c r="RGB978" s="187"/>
      <c r="RGC978" s="188"/>
      <c r="RGE978" s="182"/>
      <c r="RGF978" s="183"/>
      <c r="RGM978" s="267"/>
      <c r="RGN978" s="269"/>
      <c r="RGO978" s="267"/>
      <c r="RGP978" s="267"/>
      <c r="RGQ978" s="184"/>
      <c r="RGR978" s="184"/>
      <c r="RGS978" s="185"/>
      <c r="RGT978" s="184"/>
      <c r="RGU978" s="184"/>
      <c r="RGV978" s="184"/>
      <c r="RGW978" s="187"/>
      <c r="RGX978" s="188"/>
      <c r="RGZ978" s="182"/>
      <c r="RHA978" s="183"/>
      <c r="RHH978" s="267"/>
      <c r="RHI978" s="269"/>
      <c r="RHJ978" s="267"/>
      <c r="RHK978" s="267"/>
      <c r="RHL978" s="184"/>
      <c r="RHM978" s="184"/>
      <c r="RHN978" s="185"/>
      <c r="RHO978" s="184"/>
      <c r="RHP978" s="184"/>
      <c r="RHQ978" s="184"/>
      <c r="RHR978" s="187"/>
      <c r="RHS978" s="188"/>
      <c r="RHU978" s="182"/>
      <c r="RHV978" s="183"/>
      <c r="RIC978" s="267"/>
      <c r="RID978" s="269"/>
      <c r="RIE978" s="267"/>
      <c r="RIF978" s="267"/>
      <c r="RIG978" s="184"/>
      <c r="RIH978" s="184"/>
      <c r="RII978" s="185"/>
      <c r="RIJ978" s="184"/>
      <c r="RIK978" s="184"/>
      <c r="RIL978" s="184"/>
      <c r="RIM978" s="187"/>
      <c r="RIN978" s="188"/>
      <c r="RIP978" s="182"/>
      <c r="RIQ978" s="183"/>
      <c r="RIX978" s="267"/>
      <c r="RIY978" s="269"/>
      <c r="RIZ978" s="267"/>
      <c r="RJA978" s="267"/>
      <c r="RJB978" s="184"/>
      <c r="RJC978" s="184"/>
      <c r="RJD978" s="185"/>
      <c r="RJE978" s="184"/>
      <c r="RJF978" s="184"/>
      <c r="RJG978" s="184"/>
      <c r="RJH978" s="187"/>
      <c r="RJI978" s="188"/>
      <c r="RJK978" s="182"/>
      <c r="RJL978" s="183"/>
      <c r="RJS978" s="267"/>
      <c r="RJT978" s="269"/>
      <c r="RJU978" s="267"/>
      <c r="RJV978" s="267"/>
      <c r="RJW978" s="184"/>
      <c r="RJX978" s="184"/>
      <c r="RJY978" s="185"/>
      <c r="RJZ978" s="184"/>
      <c r="RKA978" s="184"/>
      <c r="RKB978" s="184"/>
      <c r="RKC978" s="187"/>
      <c r="RKD978" s="188"/>
      <c r="RKF978" s="182"/>
      <c r="RKG978" s="183"/>
      <c r="RKN978" s="267"/>
      <c r="RKO978" s="269"/>
      <c r="RKP978" s="267"/>
      <c r="RKQ978" s="267"/>
      <c r="RKR978" s="184"/>
      <c r="RKS978" s="184"/>
      <c r="RKT978" s="185"/>
      <c r="RKU978" s="184"/>
      <c r="RKV978" s="184"/>
      <c r="RKW978" s="184"/>
      <c r="RKX978" s="187"/>
      <c r="RKY978" s="188"/>
      <c r="RLA978" s="182"/>
      <c r="RLB978" s="183"/>
      <c r="RLI978" s="267"/>
      <c r="RLJ978" s="269"/>
      <c r="RLK978" s="267"/>
      <c r="RLL978" s="267"/>
      <c r="RLM978" s="184"/>
      <c r="RLN978" s="184"/>
      <c r="RLO978" s="185"/>
      <c r="RLP978" s="184"/>
      <c r="RLQ978" s="184"/>
      <c r="RLR978" s="184"/>
      <c r="RLS978" s="187"/>
      <c r="RLT978" s="188"/>
      <c r="RLV978" s="182"/>
      <c r="RLW978" s="183"/>
      <c r="RMD978" s="267"/>
      <c r="RME978" s="269"/>
      <c r="RMF978" s="267"/>
      <c r="RMG978" s="267"/>
      <c r="RMH978" s="184"/>
      <c r="RMI978" s="184"/>
      <c r="RMJ978" s="185"/>
      <c r="RMK978" s="184"/>
      <c r="RML978" s="184"/>
      <c r="RMM978" s="184"/>
      <c r="RMN978" s="187"/>
      <c r="RMO978" s="188"/>
      <c r="RMQ978" s="182"/>
      <c r="RMR978" s="183"/>
      <c r="RMY978" s="267"/>
      <c r="RMZ978" s="269"/>
      <c r="RNA978" s="267"/>
      <c r="RNB978" s="267"/>
      <c r="RNC978" s="184"/>
      <c r="RND978" s="184"/>
      <c r="RNE978" s="185"/>
      <c r="RNF978" s="184"/>
      <c r="RNG978" s="184"/>
      <c r="RNH978" s="184"/>
      <c r="RNI978" s="187"/>
      <c r="RNJ978" s="188"/>
      <c r="RNL978" s="182"/>
      <c r="RNM978" s="183"/>
      <c r="RNT978" s="267"/>
      <c r="RNU978" s="269"/>
      <c r="RNV978" s="267"/>
      <c r="RNW978" s="267"/>
      <c r="RNX978" s="184"/>
      <c r="RNY978" s="184"/>
      <c r="RNZ978" s="185"/>
      <c r="ROA978" s="184"/>
      <c r="ROB978" s="184"/>
      <c r="ROC978" s="184"/>
      <c r="ROD978" s="187"/>
      <c r="ROE978" s="188"/>
      <c r="ROG978" s="182"/>
      <c r="ROH978" s="183"/>
      <c r="ROO978" s="267"/>
      <c r="ROP978" s="269"/>
      <c r="ROQ978" s="267"/>
      <c r="ROR978" s="267"/>
      <c r="ROS978" s="184"/>
      <c r="ROT978" s="184"/>
      <c r="ROU978" s="185"/>
      <c r="ROV978" s="184"/>
      <c r="ROW978" s="184"/>
      <c r="ROX978" s="184"/>
      <c r="ROY978" s="187"/>
      <c r="ROZ978" s="188"/>
      <c r="RPB978" s="182"/>
      <c r="RPC978" s="183"/>
      <c r="RPJ978" s="267"/>
      <c r="RPK978" s="269"/>
      <c r="RPL978" s="267"/>
      <c r="RPM978" s="267"/>
      <c r="RPN978" s="184"/>
      <c r="RPO978" s="184"/>
      <c r="RPP978" s="185"/>
      <c r="RPQ978" s="184"/>
      <c r="RPR978" s="184"/>
      <c r="RPS978" s="184"/>
      <c r="RPT978" s="187"/>
      <c r="RPU978" s="188"/>
      <c r="RPW978" s="182"/>
      <c r="RPX978" s="183"/>
      <c r="RQE978" s="267"/>
      <c r="RQF978" s="269"/>
      <c r="RQG978" s="267"/>
      <c r="RQH978" s="267"/>
      <c r="RQI978" s="184"/>
      <c r="RQJ978" s="184"/>
      <c r="RQK978" s="185"/>
      <c r="RQL978" s="184"/>
      <c r="RQM978" s="184"/>
      <c r="RQN978" s="184"/>
      <c r="RQO978" s="187"/>
      <c r="RQP978" s="188"/>
      <c r="RQR978" s="182"/>
      <c r="RQS978" s="183"/>
      <c r="RQZ978" s="267"/>
      <c r="RRA978" s="269"/>
      <c r="RRB978" s="267"/>
      <c r="RRC978" s="267"/>
      <c r="RRD978" s="184"/>
      <c r="RRE978" s="184"/>
      <c r="RRF978" s="185"/>
      <c r="RRG978" s="184"/>
      <c r="RRH978" s="184"/>
      <c r="RRI978" s="184"/>
      <c r="RRJ978" s="187"/>
      <c r="RRK978" s="188"/>
      <c r="RRM978" s="182"/>
      <c r="RRN978" s="183"/>
      <c r="RRU978" s="267"/>
      <c r="RRV978" s="269"/>
      <c r="RRW978" s="267"/>
      <c r="RRX978" s="267"/>
      <c r="RRY978" s="184"/>
      <c r="RRZ978" s="184"/>
      <c r="RSA978" s="185"/>
      <c r="RSB978" s="184"/>
      <c r="RSC978" s="184"/>
      <c r="RSD978" s="184"/>
      <c r="RSE978" s="187"/>
      <c r="RSF978" s="188"/>
      <c r="RSH978" s="182"/>
      <c r="RSI978" s="183"/>
      <c r="RSP978" s="267"/>
      <c r="RSQ978" s="269"/>
      <c r="RSR978" s="267"/>
      <c r="RSS978" s="267"/>
      <c r="RST978" s="184"/>
      <c r="RSU978" s="184"/>
      <c r="RSV978" s="185"/>
      <c r="RSW978" s="184"/>
      <c r="RSX978" s="184"/>
      <c r="RSY978" s="184"/>
      <c r="RSZ978" s="187"/>
      <c r="RTA978" s="188"/>
      <c r="RTC978" s="182"/>
      <c r="RTD978" s="183"/>
      <c r="RTK978" s="267"/>
      <c r="RTL978" s="269"/>
      <c r="RTM978" s="267"/>
      <c r="RTN978" s="267"/>
      <c r="RTO978" s="184"/>
      <c r="RTP978" s="184"/>
      <c r="RTQ978" s="185"/>
      <c r="RTR978" s="184"/>
      <c r="RTS978" s="184"/>
      <c r="RTT978" s="184"/>
      <c r="RTU978" s="187"/>
      <c r="RTV978" s="188"/>
      <c r="RTX978" s="182"/>
      <c r="RTY978" s="183"/>
      <c r="RUF978" s="267"/>
      <c r="RUG978" s="269"/>
      <c r="RUH978" s="267"/>
      <c r="RUI978" s="267"/>
      <c r="RUJ978" s="184"/>
      <c r="RUK978" s="184"/>
      <c r="RUL978" s="185"/>
      <c r="RUM978" s="184"/>
      <c r="RUN978" s="184"/>
      <c r="RUO978" s="184"/>
      <c r="RUP978" s="187"/>
      <c r="RUQ978" s="188"/>
      <c r="RUS978" s="182"/>
      <c r="RUT978" s="183"/>
      <c r="RVA978" s="267"/>
      <c r="RVB978" s="269"/>
      <c r="RVC978" s="267"/>
      <c r="RVD978" s="267"/>
      <c r="RVE978" s="184"/>
      <c r="RVF978" s="184"/>
      <c r="RVG978" s="185"/>
      <c r="RVH978" s="184"/>
      <c r="RVI978" s="184"/>
      <c r="RVJ978" s="184"/>
      <c r="RVK978" s="187"/>
      <c r="RVL978" s="188"/>
      <c r="RVN978" s="182"/>
      <c r="RVO978" s="183"/>
      <c r="RVV978" s="267"/>
      <c r="RVW978" s="269"/>
      <c r="RVX978" s="267"/>
      <c r="RVY978" s="267"/>
      <c r="RVZ978" s="184"/>
      <c r="RWA978" s="184"/>
      <c r="RWB978" s="185"/>
      <c r="RWC978" s="184"/>
      <c r="RWD978" s="184"/>
      <c r="RWE978" s="184"/>
      <c r="RWF978" s="187"/>
      <c r="RWG978" s="188"/>
      <c r="RWI978" s="182"/>
      <c r="RWJ978" s="183"/>
      <c r="RWQ978" s="267"/>
      <c r="RWR978" s="269"/>
      <c r="RWS978" s="267"/>
      <c r="RWT978" s="267"/>
      <c r="RWU978" s="184"/>
      <c r="RWV978" s="184"/>
      <c r="RWW978" s="185"/>
      <c r="RWX978" s="184"/>
      <c r="RWY978" s="184"/>
      <c r="RWZ978" s="184"/>
      <c r="RXA978" s="187"/>
      <c r="RXB978" s="188"/>
      <c r="RXD978" s="182"/>
      <c r="RXE978" s="183"/>
      <c r="RXL978" s="267"/>
      <c r="RXM978" s="269"/>
      <c r="RXN978" s="267"/>
      <c r="RXO978" s="267"/>
      <c r="RXP978" s="184"/>
      <c r="RXQ978" s="184"/>
      <c r="RXR978" s="185"/>
      <c r="RXS978" s="184"/>
      <c r="RXT978" s="184"/>
      <c r="RXU978" s="184"/>
      <c r="RXV978" s="187"/>
      <c r="RXW978" s="188"/>
      <c r="RXY978" s="182"/>
      <c r="RXZ978" s="183"/>
      <c r="RYG978" s="267"/>
      <c r="RYH978" s="269"/>
      <c r="RYI978" s="267"/>
      <c r="RYJ978" s="267"/>
      <c r="RYK978" s="184"/>
      <c r="RYL978" s="184"/>
      <c r="RYM978" s="185"/>
      <c r="RYN978" s="184"/>
      <c r="RYO978" s="184"/>
      <c r="RYP978" s="184"/>
      <c r="RYQ978" s="187"/>
      <c r="RYR978" s="188"/>
      <c r="RYT978" s="182"/>
      <c r="RYU978" s="183"/>
      <c r="RZB978" s="267"/>
      <c r="RZC978" s="269"/>
      <c r="RZD978" s="267"/>
      <c r="RZE978" s="267"/>
      <c r="RZF978" s="184"/>
      <c r="RZG978" s="184"/>
      <c r="RZH978" s="185"/>
      <c r="RZI978" s="184"/>
      <c r="RZJ978" s="184"/>
      <c r="RZK978" s="184"/>
      <c r="RZL978" s="187"/>
      <c r="RZM978" s="188"/>
      <c r="RZO978" s="182"/>
      <c r="RZP978" s="183"/>
      <c r="RZW978" s="267"/>
      <c r="RZX978" s="269"/>
      <c r="RZY978" s="267"/>
      <c r="RZZ978" s="267"/>
      <c r="SAA978" s="184"/>
      <c r="SAB978" s="184"/>
      <c r="SAC978" s="185"/>
      <c r="SAD978" s="184"/>
      <c r="SAE978" s="184"/>
      <c r="SAF978" s="184"/>
      <c r="SAG978" s="187"/>
      <c r="SAH978" s="188"/>
      <c r="SAJ978" s="182"/>
      <c r="SAK978" s="183"/>
      <c r="SAR978" s="267"/>
      <c r="SAS978" s="269"/>
      <c r="SAT978" s="267"/>
      <c r="SAU978" s="267"/>
      <c r="SAV978" s="184"/>
      <c r="SAW978" s="184"/>
      <c r="SAX978" s="185"/>
      <c r="SAY978" s="184"/>
      <c r="SAZ978" s="184"/>
      <c r="SBA978" s="184"/>
      <c r="SBB978" s="187"/>
      <c r="SBC978" s="188"/>
      <c r="SBE978" s="182"/>
      <c r="SBF978" s="183"/>
      <c r="SBM978" s="267"/>
      <c r="SBN978" s="269"/>
      <c r="SBO978" s="267"/>
      <c r="SBP978" s="267"/>
      <c r="SBQ978" s="184"/>
      <c r="SBR978" s="184"/>
      <c r="SBS978" s="185"/>
      <c r="SBT978" s="184"/>
      <c r="SBU978" s="184"/>
      <c r="SBV978" s="184"/>
      <c r="SBW978" s="187"/>
      <c r="SBX978" s="188"/>
      <c r="SBZ978" s="182"/>
      <c r="SCA978" s="183"/>
      <c r="SCH978" s="267"/>
      <c r="SCI978" s="269"/>
      <c r="SCJ978" s="267"/>
      <c r="SCK978" s="267"/>
      <c r="SCL978" s="184"/>
      <c r="SCM978" s="184"/>
      <c r="SCN978" s="185"/>
      <c r="SCO978" s="184"/>
      <c r="SCP978" s="184"/>
      <c r="SCQ978" s="184"/>
      <c r="SCR978" s="187"/>
      <c r="SCS978" s="188"/>
      <c r="SCU978" s="182"/>
      <c r="SCV978" s="183"/>
      <c r="SDC978" s="267"/>
      <c r="SDD978" s="269"/>
      <c r="SDE978" s="267"/>
      <c r="SDF978" s="267"/>
      <c r="SDG978" s="184"/>
      <c r="SDH978" s="184"/>
      <c r="SDI978" s="185"/>
      <c r="SDJ978" s="184"/>
      <c r="SDK978" s="184"/>
      <c r="SDL978" s="184"/>
      <c r="SDM978" s="187"/>
      <c r="SDN978" s="188"/>
      <c r="SDP978" s="182"/>
      <c r="SDQ978" s="183"/>
      <c r="SDX978" s="267"/>
      <c r="SDY978" s="269"/>
      <c r="SDZ978" s="267"/>
      <c r="SEA978" s="267"/>
      <c r="SEB978" s="184"/>
      <c r="SEC978" s="184"/>
      <c r="SED978" s="185"/>
      <c r="SEE978" s="184"/>
      <c r="SEF978" s="184"/>
      <c r="SEG978" s="184"/>
      <c r="SEH978" s="187"/>
      <c r="SEI978" s="188"/>
      <c r="SEK978" s="182"/>
      <c r="SEL978" s="183"/>
      <c r="SES978" s="267"/>
      <c r="SET978" s="269"/>
      <c r="SEU978" s="267"/>
      <c r="SEV978" s="267"/>
      <c r="SEW978" s="184"/>
      <c r="SEX978" s="184"/>
      <c r="SEY978" s="185"/>
      <c r="SEZ978" s="184"/>
      <c r="SFA978" s="184"/>
      <c r="SFB978" s="184"/>
      <c r="SFC978" s="187"/>
      <c r="SFD978" s="188"/>
      <c r="SFF978" s="182"/>
      <c r="SFG978" s="183"/>
      <c r="SFN978" s="267"/>
      <c r="SFO978" s="269"/>
      <c r="SFP978" s="267"/>
      <c r="SFQ978" s="267"/>
      <c r="SFR978" s="184"/>
      <c r="SFS978" s="184"/>
      <c r="SFT978" s="185"/>
      <c r="SFU978" s="184"/>
      <c r="SFV978" s="184"/>
      <c r="SFW978" s="184"/>
      <c r="SFX978" s="187"/>
      <c r="SFY978" s="188"/>
      <c r="SGA978" s="182"/>
      <c r="SGB978" s="183"/>
      <c r="SGI978" s="267"/>
      <c r="SGJ978" s="269"/>
      <c r="SGK978" s="267"/>
      <c r="SGL978" s="267"/>
      <c r="SGM978" s="184"/>
      <c r="SGN978" s="184"/>
      <c r="SGO978" s="185"/>
      <c r="SGP978" s="184"/>
      <c r="SGQ978" s="184"/>
      <c r="SGR978" s="184"/>
      <c r="SGS978" s="187"/>
      <c r="SGT978" s="188"/>
      <c r="SGV978" s="182"/>
      <c r="SGW978" s="183"/>
      <c r="SHD978" s="267"/>
      <c r="SHE978" s="269"/>
      <c r="SHF978" s="267"/>
      <c r="SHG978" s="267"/>
      <c r="SHH978" s="184"/>
      <c r="SHI978" s="184"/>
      <c r="SHJ978" s="185"/>
      <c r="SHK978" s="184"/>
      <c r="SHL978" s="184"/>
      <c r="SHM978" s="184"/>
      <c r="SHN978" s="187"/>
      <c r="SHO978" s="188"/>
      <c r="SHQ978" s="182"/>
      <c r="SHR978" s="183"/>
      <c r="SHY978" s="267"/>
      <c r="SHZ978" s="269"/>
      <c r="SIA978" s="267"/>
      <c r="SIB978" s="267"/>
      <c r="SIC978" s="184"/>
      <c r="SID978" s="184"/>
      <c r="SIE978" s="185"/>
      <c r="SIF978" s="184"/>
      <c r="SIG978" s="184"/>
      <c r="SIH978" s="184"/>
      <c r="SII978" s="187"/>
      <c r="SIJ978" s="188"/>
      <c r="SIL978" s="182"/>
      <c r="SIM978" s="183"/>
      <c r="SIT978" s="267"/>
      <c r="SIU978" s="269"/>
      <c r="SIV978" s="267"/>
      <c r="SIW978" s="267"/>
      <c r="SIX978" s="184"/>
      <c r="SIY978" s="184"/>
      <c r="SIZ978" s="185"/>
      <c r="SJA978" s="184"/>
      <c r="SJB978" s="184"/>
      <c r="SJC978" s="184"/>
      <c r="SJD978" s="187"/>
      <c r="SJE978" s="188"/>
      <c r="SJG978" s="182"/>
      <c r="SJH978" s="183"/>
      <c r="SJO978" s="267"/>
      <c r="SJP978" s="269"/>
      <c r="SJQ978" s="267"/>
      <c r="SJR978" s="267"/>
      <c r="SJS978" s="184"/>
      <c r="SJT978" s="184"/>
      <c r="SJU978" s="185"/>
      <c r="SJV978" s="184"/>
      <c r="SJW978" s="184"/>
      <c r="SJX978" s="184"/>
      <c r="SJY978" s="187"/>
      <c r="SJZ978" s="188"/>
      <c r="SKB978" s="182"/>
      <c r="SKC978" s="183"/>
      <c r="SKJ978" s="267"/>
      <c r="SKK978" s="269"/>
      <c r="SKL978" s="267"/>
      <c r="SKM978" s="267"/>
      <c r="SKN978" s="184"/>
      <c r="SKO978" s="184"/>
      <c r="SKP978" s="185"/>
      <c r="SKQ978" s="184"/>
      <c r="SKR978" s="184"/>
      <c r="SKS978" s="184"/>
      <c r="SKT978" s="187"/>
      <c r="SKU978" s="188"/>
      <c r="SKW978" s="182"/>
      <c r="SKX978" s="183"/>
      <c r="SLE978" s="267"/>
      <c r="SLF978" s="269"/>
      <c r="SLG978" s="267"/>
      <c r="SLH978" s="267"/>
      <c r="SLI978" s="184"/>
      <c r="SLJ978" s="184"/>
      <c r="SLK978" s="185"/>
      <c r="SLL978" s="184"/>
      <c r="SLM978" s="184"/>
      <c r="SLN978" s="184"/>
      <c r="SLO978" s="187"/>
      <c r="SLP978" s="188"/>
      <c r="SLR978" s="182"/>
      <c r="SLS978" s="183"/>
      <c r="SLZ978" s="267"/>
      <c r="SMA978" s="269"/>
      <c r="SMB978" s="267"/>
      <c r="SMC978" s="267"/>
      <c r="SMD978" s="184"/>
      <c r="SME978" s="184"/>
      <c r="SMF978" s="185"/>
      <c r="SMG978" s="184"/>
      <c r="SMH978" s="184"/>
      <c r="SMI978" s="184"/>
      <c r="SMJ978" s="187"/>
      <c r="SMK978" s="188"/>
      <c r="SMM978" s="182"/>
      <c r="SMN978" s="183"/>
      <c r="SMU978" s="267"/>
      <c r="SMV978" s="269"/>
      <c r="SMW978" s="267"/>
      <c r="SMX978" s="267"/>
      <c r="SMY978" s="184"/>
      <c r="SMZ978" s="184"/>
      <c r="SNA978" s="185"/>
      <c r="SNB978" s="184"/>
      <c r="SNC978" s="184"/>
      <c r="SND978" s="184"/>
      <c r="SNE978" s="187"/>
      <c r="SNF978" s="188"/>
      <c r="SNH978" s="182"/>
      <c r="SNI978" s="183"/>
      <c r="SNP978" s="267"/>
      <c r="SNQ978" s="269"/>
      <c r="SNR978" s="267"/>
      <c r="SNS978" s="267"/>
      <c r="SNT978" s="184"/>
      <c r="SNU978" s="184"/>
      <c r="SNV978" s="185"/>
      <c r="SNW978" s="184"/>
      <c r="SNX978" s="184"/>
      <c r="SNY978" s="184"/>
      <c r="SNZ978" s="187"/>
      <c r="SOA978" s="188"/>
      <c r="SOC978" s="182"/>
      <c r="SOD978" s="183"/>
      <c r="SOK978" s="267"/>
      <c r="SOL978" s="269"/>
      <c r="SOM978" s="267"/>
      <c r="SON978" s="267"/>
      <c r="SOO978" s="184"/>
      <c r="SOP978" s="184"/>
      <c r="SOQ978" s="185"/>
      <c r="SOR978" s="184"/>
      <c r="SOS978" s="184"/>
      <c r="SOT978" s="184"/>
      <c r="SOU978" s="187"/>
      <c r="SOV978" s="188"/>
      <c r="SOX978" s="182"/>
      <c r="SOY978" s="183"/>
      <c r="SPF978" s="267"/>
      <c r="SPG978" s="269"/>
      <c r="SPH978" s="267"/>
      <c r="SPI978" s="267"/>
      <c r="SPJ978" s="184"/>
      <c r="SPK978" s="184"/>
      <c r="SPL978" s="185"/>
      <c r="SPM978" s="184"/>
      <c r="SPN978" s="184"/>
      <c r="SPO978" s="184"/>
      <c r="SPP978" s="187"/>
      <c r="SPQ978" s="188"/>
      <c r="SPS978" s="182"/>
      <c r="SPT978" s="183"/>
      <c r="SQA978" s="267"/>
      <c r="SQB978" s="269"/>
      <c r="SQC978" s="267"/>
      <c r="SQD978" s="267"/>
      <c r="SQE978" s="184"/>
      <c r="SQF978" s="184"/>
      <c r="SQG978" s="185"/>
      <c r="SQH978" s="184"/>
      <c r="SQI978" s="184"/>
      <c r="SQJ978" s="184"/>
      <c r="SQK978" s="187"/>
      <c r="SQL978" s="188"/>
      <c r="SQN978" s="182"/>
      <c r="SQO978" s="183"/>
      <c r="SQV978" s="267"/>
      <c r="SQW978" s="269"/>
      <c r="SQX978" s="267"/>
      <c r="SQY978" s="267"/>
      <c r="SQZ978" s="184"/>
      <c r="SRA978" s="184"/>
      <c r="SRB978" s="185"/>
      <c r="SRC978" s="184"/>
      <c r="SRD978" s="184"/>
      <c r="SRE978" s="184"/>
      <c r="SRF978" s="187"/>
      <c r="SRG978" s="188"/>
      <c r="SRI978" s="182"/>
      <c r="SRJ978" s="183"/>
      <c r="SRQ978" s="267"/>
      <c r="SRR978" s="269"/>
      <c r="SRS978" s="267"/>
      <c r="SRT978" s="267"/>
      <c r="SRU978" s="184"/>
      <c r="SRV978" s="184"/>
      <c r="SRW978" s="185"/>
      <c r="SRX978" s="184"/>
      <c r="SRY978" s="184"/>
      <c r="SRZ978" s="184"/>
      <c r="SSA978" s="187"/>
      <c r="SSB978" s="188"/>
      <c r="SSD978" s="182"/>
      <c r="SSE978" s="183"/>
      <c r="SSL978" s="267"/>
      <c r="SSM978" s="269"/>
      <c r="SSN978" s="267"/>
      <c r="SSO978" s="267"/>
      <c r="SSP978" s="184"/>
      <c r="SSQ978" s="184"/>
      <c r="SSR978" s="185"/>
      <c r="SSS978" s="184"/>
      <c r="SST978" s="184"/>
      <c r="SSU978" s="184"/>
      <c r="SSV978" s="187"/>
      <c r="SSW978" s="188"/>
      <c r="SSY978" s="182"/>
      <c r="SSZ978" s="183"/>
      <c r="STG978" s="267"/>
      <c r="STH978" s="269"/>
      <c r="STI978" s="267"/>
      <c r="STJ978" s="267"/>
      <c r="STK978" s="184"/>
      <c r="STL978" s="184"/>
      <c r="STM978" s="185"/>
      <c r="STN978" s="184"/>
      <c r="STO978" s="184"/>
      <c r="STP978" s="184"/>
      <c r="STQ978" s="187"/>
      <c r="STR978" s="188"/>
      <c r="STT978" s="182"/>
      <c r="STU978" s="183"/>
      <c r="SUB978" s="267"/>
      <c r="SUC978" s="269"/>
      <c r="SUD978" s="267"/>
      <c r="SUE978" s="267"/>
      <c r="SUF978" s="184"/>
      <c r="SUG978" s="184"/>
      <c r="SUH978" s="185"/>
      <c r="SUI978" s="184"/>
      <c r="SUJ978" s="184"/>
      <c r="SUK978" s="184"/>
      <c r="SUL978" s="187"/>
      <c r="SUM978" s="188"/>
      <c r="SUO978" s="182"/>
      <c r="SUP978" s="183"/>
      <c r="SUW978" s="267"/>
      <c r="SUX978" s="269"/>
      <c r="SUY978" s="267"/>
      <c r="SUZ978" s="267"/>
      <c r="SVA978" s="184"/>
      <c r="SVB978" s="184"/>
      <c r="SVC978" s="185"/>
      <c r="SVD978" s="184"/>
      <c r="SVE978" s="184"/>
      <c r="SVF978" s="184"/>
      <c r="SVG978" s="187"/>
      <c r="SVH978" s="188"/>
      <c r="SVJ978" s="182"/>
      <c r="SVK978" s="183"/>
      <c r="SVR978" s="267"/>
      <c r="SVS978" s="269"/>
      <c r="SVT978" s="267"/>
      <c r="SVU978" s="267"/>
      <c r="SVV978" s="184"/>
      <c r="SVW978" s="184"/>
      <c r="SVX978" s="185"/>
      <c r="SVY978" s="184"/>
      <c r="SVZ978" s="184"/>
      <c r="SWA978" s="184"/>
      <c r="SWB978" s="187"/>
      <c r="SWC978" s="188"/>
      <c r="SWE978" s="182"/>
      <c r="SWF978" s="183"/>
      <c r="SWM978" s="267"/>
      <c r="SWN978" s="269"/>
      <c r="SWO978" s="267"/>
      <c r="SWP978" s="267"/>
      <c r="SWQ978" s="184"/>
      <c r="SWR978" s="184"/>
      <c r="SWS978" s="185"/>
      <c r="SWT978" s="184"/>
      <c r="SWU978" s="184"/>
      <c r="SWV978" s="184"/>
      <c r="SWW978" s="187"/>
      <c r="SWX978" s="188"/>
      <c r="SWZ978" s="182"/>
      <c r="SXA978" s="183"/>
      <c r="SXH978" s="267"/>
      <c r="SXI978" s="269"/>
      <c r="SXJ978" s="267"/>
      <c r="SXK978" s="267"/>
      <c r="SXL978" s="184"/>
      <c r="SXM978" s="184"/>
      <c r="SXN978" s="185"/>
      <c r="SXO978" s="184"/>
      <c r="SXP978" s="184"/>
      <c r="SXQ978" s="184"/>
      <c r="SXR978" s="187"/>
      <c r="SXS978" s="188"/>
      <c r="SXU978" s="182"/>
      <c r="SXV978" s="183"/>
      <c r="SYC978" s="267"/>
      <c r="SYD978" s="269"/>
      <c r="SYE978" s="267"/>
      <c r="SYF978" s="267"/>
      <c r="SYG978" s="184"/>
      <c r="SYH978" s="184"/>
      <c r="SYI978" s="185"/>
      <c r="SYJ978" s="184"/>
      <c r="SYK978" s="184"/>
      <c r="SYL978" s="184"/>
      <c r="SYM978" s="187"/>
      <c r="SYN978" s="188"/>
      <c r="SYP978" s="182"/>
      <c r="SYQ978" s="183"/>
      <c r="SYX978" s="267"/>
      <c r="SYY978" s="269"/>
      <c r="SYZ978" s="267"/>
      <c r="SZA978" s="267"/>
      <c r="SZB978" s="184"/>
      <c r="SZC978" s="184"/>
      <c r="SZD978" s="185"/>
      <c r="SZE978" s="184"/>
      <c r="SZF978" s="184"/>
      <c r="SZG978" s="184"/>
      <c r="SZH978" s="187"/>
      <c r="SZI978" s="188"/>
      <c r="SZK978" s="182"/>
      <c r="SZL978" s="183"/>
      <c r="SZS978" s="267"/>
      <c r="SZT978" s="269"/>
      <c r="SZU978" s="267"/>
      <c r="SZV978" s="267"/>
      <c r="SZW978" s="184"/>
      <c r="SZX978" s="184"/>
      <c r="SZY978" s="185"/>
      <c r="SZZ978" s="184"/>
      <c r="TAA978" s="184"/>
      <c r="TAB978" s="184"/>
      <c r="TAC978" s="187"/>
      <c r="TAD978" s="188"/>
      <c r="TAF978" s="182"/>
      <c r="TAG978" s="183"/>
      <c r="TAN978" s="267"/>
      <c r="TAO978" s="269"/>
      <c r="TAP978" s="267"/>
      <c r="TAQ978" s="267"/>
      <c r="TAR978" s="184"/>
      <c r="TAS978" s="184"/>
      <c r="TAT978" s="185"/>
      <c r="TAU978" s="184"/>
      <c r="TAV978" s="184"/>
      <c r="TAW978" s="184"/>
      <c r="TAX978" s="187"/>
      <c r="TAY978" s="188"/>
      <c r="TBA978" s="182"/>
      <c r="TBB978" s="183"/>
      <c r="TBI978" s="267"/>
      <c r="TBJ978" s="269"/>
      <c r="TBK978" s="267"/>
      <c r="TBL978" s="267"/>
      <c r="TBM978" s="184"/>
      <c r="TBN978" s="184"/>
      <c r="TBO978" s="185"/>
      <c r="TBP978" s="184"/>
      <c r="TBQ978" s="184"/>
      <c r="TBR978" s="184"/>
      <c r="TBS978" s="187"/>
      <c r="TBT978" s="188"/>
      <c r="TBV978" s="182"/>
      <c r="TBW978" s="183"/>
      <c r="TCD978" s="267"/>
      <c r="TCE978" s="269"/>
      <c r="TCF978" s="267"/>
      <c r="TCG978" s="267"/>
      <c r="TCH978" s="184"/>
      <c r="TCI978" s="184"/>
      <c r="TCJ978" s="185"/>
      <c r="TCK978" s="184"/>
      <c r="TCL978" s="184"/>
      <c r="TCM978" s="184"/>
      <c r="TCN978" s="187"/>
      <c r="TCO978" s="188"/>
      <c r="TCQ978" s="182"/>
      <c r="TCR978" s="183"/>
      <c r="TCY978" s="267"/>
      <c r="TCZ978" s="269"/>
      <c r="TDA978" s="267"/>
      <c r="TDB978" s="267"/>
      <c r="TDC978" s="184"/>
      <c r="TDD978" s="184"/>
      <c r="TDE978" s="185"/>
      <c r="TDF978" s="184"/>
      <c r="TDG978" s="184"/>
      <c r="TDH978" s="184"/>
      <c r="TDI978" s="187"/>
      <c r="TDJ978" s="188"/>
      <c r="TDL978" s="182"/>
      <c r="TDM978" s="183"/>
      <c r="TDT978" s="267"/>
      <c r="TDU978" s="269"/>
      <c r="TDV978" s="267"/>
      <c r="TDW978" s="267"/>
      <c r="TDX978" s="184"/>
      <c r="TDY978" s="184"/>
      <c r="TDZ978" s="185"/>
      <c r="TEA978" s="184"/>
      <c r="TEB978" s="184"/>
      <c r="TEC978" s="184"/>
      <c r="TED978" s="187"/>
      <c r="TEE978" s="188"/>
      <c r="TEG978" s="182"/>
      <c r="TEH978" s="183"/>
      <c r="TEO978" s="267"/>
      <c r="TEP978" s="269"/>
      <c r="TEQ978" s="267"/>
      <c r="TER978" s="267"/>
      <c r="TES978" s="184"/>
      <c r="TET978" s="184"/>
      <c r="TEU978" s="185"/>
      <c r="TEV978" s="184"/>
      <c r="TEW978" s="184"/>
      <c r="TEX978" s="184"/>
      <c r="TEY978" s="187"/>
      <c r="TEZ978" s="188"/>
      <c r="TFB978" s="182"/>
      <c r="TFC978" s="183"/>
      <c r="TFJ978" s="267"/>
      <c r="TFK978" s="269"/>
      <c r="TFL978" s="267"/>
      <c r="TFM978" s="267"/>
      <c r="TFN978" s="184"/>
      <c r="TFO978" s="184"/>
      <c r="TFP978" s="185"/>
      <c r="TFQ978" s="184"/>
      <c r="TFR978" s="184"/>
      <c r="TFS978" s="184"/>
      <c r="TFT978" s="187"/>
      <c r="TFU978" s="188"/>
      <c r="TFW978" s="182"/>
      <c r="TFX978" s="183"/>
      <c r="TGE978" s="267"/>
      <c r="TGF978" s="269"/>
      <c r="TGG978" s="267"/>
      <c r="TGH978" s="267"/>
      <c r="TGI978" s="184"/>
      <c r="TGJ978" s="184"/>
      <c r="TGK978" s="185"/>
      <c r="TGL978" s="184"/>
      <c r="TGM978" s="184"/>
      <c r="TGN978" s="184"/>
      <c r="TGO978" s="187"/>
      <c r="TGP978" s="188"/>
      <c r="TGR978" s="182"/>
      <c r="TGS978" s="183"/>
      <c r="TGZ978" s="267"/>
      <c r="THA978" s="269"/>
      <c r="THB978" s="267"/>
      <c r="THC978" s="267"/>
      <c r="THD978" s="184"/>
      <c r="THE978" s="184"/>
      <c r="THF978" s="185"/>
      <c r="THG978" s="184"/>
      <c r="THH978" s="184"/>
      <c r="THI978" s="184"/>
      <c r="THJ978" s="187"/>
      <c r="THK978" s="188"/>
      <c r="THM978" s="182"/>
      <c r="THN978" s="183"/>
      <c r="THU978" s="267"/>
      <c r="THV978" s="269"/>
      <c r="THW978" s="267"/>
      <c r="THX978" s="267"/>
      <c r="THY978" s="184"/>
      <c r="THZ978" s="184"/>
      <c r="TIA978" s="185"/>
      <c r="TIB978" s="184"/>
      <c r="TIC978" s="184"/>
      <c r="TID978" s="184"/>
      <c r="TIE978" s="187"/>
      <c r="TIF978" s="188"/>
      <c r="TIH978" s="182"/>
      <c r="TII978" s="183"/>
      <c r="TIP978" s="267"/>
      <c r="TIQ978" s="269"/>
      <c r="TIR978" s="267"/>
      <c r="TIS978" s="267"/>
      <c r="TIT978" s="184"/>
      <c r="TIU978" s="184"/>
      <c r="TIV978" s="185"/>
      <c r="TIW978" s="184"/>
      <c r="TIX978" s="184"/>
      <c r="TIY978" s="184"/>
      <c r="TIZ978" s="187"/>
      <c r="TJA978" s="188"/>
      <c r="TJC978" s="182"/>
      <c r="TJD978" s="183"/>
      <c r="TJK978" s="267"/>
      <c r="TJL978" s="269"/>
      <c r="TJM978" s="267"/>
      <c r="TJN978" s="267"/>
      <c r="TJO978" s="184"/>
      <c r="TJP978" s="184"/>
      <c r="TJQ978" s="185"/>
      <c r="TJR978" s="184"/>
      <c r="TJS978" s="184"/>
      <c r="TJT978" s="184"/>
      <c r="TJU978" s="187"/>
      <c r="TJV978" s="188"/>
      <c r="TJX978" s="182"/>
      <c r="TJY978" s="183"/>
      <c r="TKF978" s="267"/>
      <c r="TKG978" s="269"/>
      <c r="TKH978" s="267"/>
      <c r="TKI978" s="267"/>
      <c r="TKJ978" s="184"/>
      <c r="TKK978" s="184"/>
      <c r="TKL978" s="185"/>
      <c r="TKM978" s="184"/>
      <c r="TKN978" s="184"/>
      <c r="TKO978" s="184"/>
      <c r="TKP978" s="187"/>
      <c r="TKQ978" s="188"/>
      <c r="TKS978" s="182"/>
      <c r="TKT978" s="183"/>
      <c r="TLA978" s="267"/>
      <c r="TLB978" s="269"/>
      <c r="TLC978" s="267"/>
      <c r="TLD978" s="267"/>
      <c r="TLE978" s="184"/>
      <c r="TLF978" s="184"/>
      <c r="TLG978" s="185"/>
      <c r="TLH978" s="184"/>
      <c r="TLI978" s="184"/>
      <c r="TLJ978" s="184"/>
      <c r="TLK978" s="187"/>
      <c r="TLL978" s="188"/>
      <c r="TLN978" s="182"/>
      <c r="TLO978" s="183"/>
      <c r="TLV978" s="267"/>
      <c r="TLW978" s="269"/>
      <c r="TLX978" s="267"/>
      <c r="TLY978" s="267"/>
      <c r="TLZ978" s="184"/>
      <c r="TMA978" s="184"/>
      <c r="TMB978" s="185"/>
      <c r="TMC978" s="184"/>
      <c r="TMD978" s="184"/>
      <c r="TME978" s="184"/>
      <c r="TMF978" s="187"/>
      <c r="TMG978" s="188"/>
      <c r="TMI978" s="182"/>
      <c r="TMJ978" s="183"/>
      <c r="TMQ978" s="267"/>
      <c r="TMR978" s="269"/>
      <c r="TMS978" s="267"/>
      <c r="TMT978" s="267"/>
      <c r="TMU978" s="184"/>
      <c r="TMV978" s="184"/>
      <c r="TMW978" s="185"/>
      <c r="TMX978" s="184"/>
      <c r="TMY978" s="184"/>
      <c r="TMZ978" s="184"/>
      <c r="TNA978" s="187"/>
      <c r="TNB978" s="188"/>
      <c r="TND978" s="182"/>
      <c r="TNE978" s="183"/>
      <c r="TNL978" s="267"/>
      <c r="TNM978" s="269"/>
      <c r="TNN978" s="267"/>
      <c r="TNO978" s="267"/>
      <c r="TNP978" s="184"/>
      <c r="TNQ978" s="184"/>
      <c r="TNR978" s="185"/>
      <c r="TNS978" s="184"/>
      <c r="TNT978" s="184"/>
      <c r="TNU978" s="184"/>
      <c r="TNV978" s="187"/>
      <c r="TNW978" s="188"/>
      <c r="TNY978" s="182"/>
      <c r="TNZ978" s="183"/>
      <c r="TOG978" s="267"/>
      <c r="TOH978" s="269"/>
      <c r="TOI978" s="267"/>
      <c r="TOJ978" s="267"/>
      <c r="TOK978" s="184"/>
      <c r="TOL978" s="184"/>
      <c r="TOM978" s="185"/>
      <c r="TON978" s="184"/>
      <c r="TOO978" s="184"/>
      <c r="TOP978" s="184"/>
      <c r="TOQ978" s="187"/>
      <c r="TOR978" s="188"/>
      <c r="TOT978" s="182"/>
      <c r="TOU978" s="183"/>
      <c r="TPB978" s="267"/>
      <c r="TPC978" s="269"/>
      <c r="TPD978" s="267"/>
      <c r="TPE978" s="267"/>
      <c r="TPF978" s="184"/>
      <c r="TPG978" s="184"/>
      <c r="TPH978" s="185"/>
      <c r="TPI978" s="184"/>
      <c r="TPJ978" s="184"/>
      <c r="TPK978" s="184"/>
      <c r="TPL978" s="187"/>
      <c r="TPM978" s="188"/>
      <c r="TPO978" s="182"/>
      <c r="TPP978" s="183"/>
      <c r="TPW978" s="267"/>
      <c r="TPX978" s="269"/>
      <c r="TPY978" s="267"/>
      <c r="TPZ978" s="267"/>
      <c r="TQA978" s="184"/>
      <c r="TQB978" s="184"/>
      <c r="TQC978" s="185"/>
      <c r="TQD978" s="184"/>
      <c r="TQE978" s="184"/>
      <c r="TQF978" s="184"/>
      <c r="TQG978" s="187"/>
      <c r="TQH978" s="188"/>
      <c r="TQJ978" s="182"/>
      <c r="TQK978" s="183"/>
      <c r="TQR978" s="267"/>
      <c r="TQS978" s="269"/>
      <c r="TQT978" s="267"/>
      <c r="TQU978" s="267"/>
      <c r="TQV978" s="184"/>
      <c r="TQW978" s="184"/>
      <c r="TQX978" s="185"/>
      <c r="TQY978" s="184"/>
      <c r="TQZ978" s="184"/>
      <c r="TRA978" s="184"/>
      <c r="TRB978" s="187"/>
      <c r="TRC978" s="188"/>
      <c r="TRE978" s="182"/>
      <c r="TRF978" s="183"/>
      <c r="TRM978" s="267"/>
      <c r="TRN978" s="269"/>
      <c r="TRO978" s="267"/>
      <c r="TRP978" s="267"/>
      <c r="TRQ978" s="184"/>
      <c r="TRR978" s="184"/>
      <c r="TRS978" s="185"/>
      <c r="TRT978" s="184"/>
      <c r="TRU978" s="184"/>
      <c r="TRV978" s="184"/>
      <c r="TRW978" s="187"/>
      <c r="TRX978" s="188"/>
      <c r="TRZ978" s="182"/>
      <c r="TSA978" s="183"/>
      <c r="TSH978" s="267"/>
      <c r="TSI978" s="269"/>
      <c r="TSJ978" s="267"/>
      <c r="TSK978" s="267"/>
      <c r="TSL978" s="184"/>
      <c r="TSM978" s="184"/>
      <c r="TSN978" s="185"/>
      <c r="TSO978" s="184"/>
      <c r="TSP978" s="184"/>
      <c r="TSQ978" s="184"/>
      <c r="TSR978" s="187"/>
      <c r="TSS978" s="188"/>
      <c r="TSU978" s="182"/>
      <c r="TSV978" s="183"/>
      <c r="TTC978" s="267"/>
      <c r="TTD978" s="269"/>
      <c r="TTE978" s="267"/>
      <c r="TTF978" s="267"/>
      <c r="TTG978" s="184"/>
      <c r="TTH978" s="184"/>
      <c r="TTI978" s="185"/>
      <c r="TTJ978" s="184"/>
      <c r="TTK978" s="184"/>
      <c r="TTL978" s="184"/>
      <c r="TTM978" s="187"/>
      <c r="TTN978" s="188"/>
      <c r="TTP978" s="182"/>
      <c r="TTQ978" s="183"/>
      <c r="TTX978" s="267"/>
      <c r="TTY978" s="269"/>
      <c r="TTZ978" s="267"/>
      <c r="TUA978" s="267"/>
      <c r="TUB978" s="184"/>
      <c r="TUC978" s="184"/>
      <c r="TUD978" s="185"/>
      <c r="TUE978" s="184"/>
      <c r="TUF978" s="184"/>
      <c r="TUG978" s="184"/>
      <c r="TUH978" s="187"/>
      <c r="TUI978" s="188"/>
      <c r="TUK978" s="182"/>
      <c r="TUL978" s="183"/>
      <c r="TUS978" s="267"/>
      <c r="TUT978" s="269"/>
      <c r="TUU978" s="267"/>
      <c r="TUV978" s="267"/>
      <c r="TUW978" s="184"/>
      <c r="TUX978" s="184"/>
      <c r="TUY978" s="185"/>
      <c r="TUZ978" s="184"/>
      <c r="TVA978" s="184"/>
      <c r="TVB978" s="184"/>
      <c r="TVC978" s="187"/>
      <c r="TVD978" s="188"/>
      <c r="TVF978" s="182"/>
      <c r="TVG978" s="183"/>
      <c r="TVN978" s="267"/>
      <c r="TVO978" s="269"/>
      <c r="TVP978" s="267"/>
      <c r="TVQ978" s="267"/>
      <c r="TVR978" s="184"/>
      <c r="TVS978" s="184"/>
      <c r="TVT978" s="185"/>
      <c r="TVU978" s="184"/>
      <c r="TVV978" s="184"/>
      <c r="TVW978" s="184"/>
      <c r="TVX978" s="187"/>
      <c r="TVY978" s="188"/>
      <c r="TWA978" s="182"/>
      <c r="TWB978" s="183"/>
      <c r="TWI978" s="267"/>
      <c r="TWJ978" s="269"/>
      <c r="TWK978" s="267"/>
      <c r="TWL978" s="267"/>
      <c r="TWM978" s="184"/>
      <c r="TWN978" s="184"/>
      <c r="TWO978" s="185"/>
      <c r="TWP978" s="184"/>
      <c r="TWQ978" s="184"/>
      <c r="TWR978" s="184"/>
      <c r="TWS978" s="187"/>
      <c r="TWT978" s="188"/>
      <c r="TWV978" s="182"/>
      <c r="TWW978" s="183"/>
      <c r="TXD978" s="267"/>
      <c r="TXE978" s="269"/>
      <c r="TXF978" s="267"/>
      <c r="TXG978" s="267"/>
      <c r="TXH978" s="184"/>
      <c r="TXI978" s="184"/>
      <c r="TXJ978" s="185"/>
      <c r="TXK978" s="184"/>
      <c r="TXL978" s="184"/>
      <c r="TXM978" s="184"/>
      <c r="TXN978" s="187"/>
      <c r="TXO978" s="188"/>
      <c r="TXQ978" s="182"/>
      <c r="TXR978" s="183"/>
      <c r="TXY978" s="267"/>
      <c r="TXZ978" s="269"/>
      <c r="TYA978" s="267"/>
      <c r="TYB978" s="267"/>
      <c r="TYC978" s="184"/>
      <c r="TYD978" s="184"/>
      <c r="TYE978" s="185"/>
      <c r="TYF978" s="184"/>
      <c r="TYG978" s="184"/>
      <c r="TYH978" s="184"/>
      <c r="TYI978" s="187"/>
      <c r="TYJ978" s="188"/>
      <c r="TYL978" s="182"/>
      <c r="TYM978" s="183"/>
      <c r="TYT978" s="267"/>
      <c r="TYU978" s="269"/>
      <c r="TYV978" s="267"/>
      <c r="TYW978" s="267"/>
      <c r="TYX978" s="184"/>
      <c r="TYY978" s="184"/>
      <c r="TYZ978" s="185"/>
      <c r="TZA978" s="184"/>
      <c r="TZB978" s="184"/>
      <c r="TZC978" s="184"/>
      <c r="TZD978" s="187"/>
      <c r="TZE978" s="188"/>
      <c r="TZG978" s="182"/>
      <c r="TZH978" s="183"/>
      <c r="TZO978" s="267"/>
      <c r="TZP978" s="269"/>
      <c r="TZQ978" s="267"/>
      <c r="TZR978" s="267"/>
      <c r="TZS978" s="184"/>
      <c r="TZT978" s="184"/>
      <c r="TZU978" s="185"/>
      <c r="TZV978" s="184"/>
      <c r="TZW978" s="184"/>
      <c r="TZX978" s="184"/>
      <c r="TZY978" s="187"/>
      <c r="TZZ978" s="188"/>
      <c r="UAB978" s="182"/>
      <c r="UAC978" s="183"/>
      <c r="UAJ978" s="267"/>
      <c r="UAK978" s="269"/>
      <c r="UAL978" s="267"/>
      <c r="UAM978" s="267"/>
      <c r="UAN978" s="184"/>
      <c r="UAO978" s="184"/>
      <c r="UAP978" s="185"/>
      <c r="UAQ978" s="184"/>
      <c r="UAR978" s="184"/>
      <c r="UAS978" s="184"/>
      <c r="UAT978" s="187"/>
      <c r="UAU978" s="188"/>
      <c r="UAW978" s="182"/>
      <c r="UAX978" s="183"/>
      <c r="UBE978" s="267"/>
      <c r="UBF978" s="269"/>
      <c r="UBG978" s="267"/>
      <c r="UBH978" s="267"/>
      <c r="UBI978" s="184"/>
      <c r="UBJ978" s="184"/>
      <c r="UBK978" s="185"/>
      <c r="UBL978" s="184"/>
      <c r="UBM978" s="184"/>
      <c r="UBN978" s="184"/>
      <c r="UBO978" s="187"/>
      <c r="UBP978" s="188"/>
      <c r="UBR978" s="182"/>
      <c r="UBS978" s="183"/>
      <c r="UBZ978" s="267"/>
      <c r="UCA978" s="269"/>
      <c r="UCB978" s="267"/>
      <c r="UCC978" s="267"/>
      <c r="UCD978" s="184"/>
      <c r="UCE978" s="184"/>
      <c r="UCF978" s="185"/>
      <c r="UCG978" s="184"/>
      <c r="UCH978" s="184"/>
      <c r="UCI978" s="184"/>
      <c r="UCJ978" s="187"/>
      <c r="UCK978" s="188"/>
      <c r="UCM978" s="182"/>
      <c r="UCN978" s="183"/>
      <c r="UCU978" s="267"/>
      <c r="UCV978" s="269"/>
      <c r="UCW978" s="267"/>
      <c r="UCX978" s="267"/>
      <c r="UCY978" s="184"/>
      <c r="UCZ978" s="184"/>
      <c r="UDA978" s="185"/>
      <c r="UDB978" s="184"/>
      <c r="UDC978" s="184"/>
      <c r="UDD978" s="184"/>
      <c r="UDE978" s="187"/>
      <c r="UDF978" s="188"/>
      <c r="UDH978" s="182"/>
      <c r="UDI978" s="183"/>
      <c r="UDP978" s="267"/>
      <c r="UDQ978" s="269"/>
      <c r="UDR978" s="267"/>
      <c r="UDS978" s="267"/>
      <c r="UDT978" s="184"/>
      <c r="UDU978" s="184"/>
      <c r="UDV978" s="185"/>
      <c r="UDW978" s="184"/>
      <c r="UDX978" s="184"/>
      <c r="UDY978" s="184"/>
      <c r="UDZ978" s="187"/>
      <c r="UEA978" s="188"/>
      <c r="UEC978" s="182"/>
      <c r="UED978" s="183"/>
      <c r="UEK978" s="267"/>
      <c r="UEL978" s="269"/>
      <c r="UEM978" s="267"/>
      <c r="UEN978" s="267"/>
      <c r="UEO978" s="184"/>
      <c r="UEP978" s="184"/>
      <c r="UEQ978" s="185"/>
      <c r="UER978" s="184"/>
      <c r="UES978" s="184"/>
      <c r="UET978" s="184"/>
      <c r="UEU978" s="187"/>
      <c r="UEV978" s="188"/>
      <c r="UEX978" s="182"/>
      <c r="UEY978" s="183"/>
      <c r="UFF978" s="267"/>
      <c r="UFG978" s="269"/>
      <c r="UFH978" s="267"/>
      <c r="UFI978" s="267"/>
      <c r="UFJ978" s="184"/>
      <c r="UFK978" s="184"/>
      <c r="UFL978" s="185"/>
      <c r="UFM978" s="184"/>
      <c r="UFN978" s="184"/>
      <c r="UFO978" s="184"/>
      <c r="UFP978" s="187"/>
      <c r="UFQ978" s="188"/>
      <c r="UFS978" s="182"/>
      <c r="UFT978" s="183"/>
      <c r="UGA978" s="267"/>
      <c r="UGB978" s="269"/>
      <c r="UGC978" s="267"/>
      <c r="UGD978" s="267"/>
      <c r="UGE978" s="184"/>
      <c r="UGF978" s="184"/>
      <c r="UGG978" s="185"/>
      <c r="UGH978" s="184"/>
      <c r="UGI978" s="184"/>
      <c r="UGJ978" s="184"/>
      <c r="UGK978" s="187"/>
      <c r="UGL978" s="188"/>
      <c r="UGN978" s="182"/>
      <c r="UGO978" s="183"/>
      <c r="UGV978" s="267"/>
      <c r="UGW978" s="269"/>
      <c r="UGX978" s="267"/>
      <c r="UGY978" s="267"/>
      <c r="UGZ978" s="184"/>
      <c r="UHA978" s="184"/>
      <c r="UHB978" s="185"/>
      <c r="UHC978" s="184"/>
      <c r="UHD978" s="184"/>
      <c r="UHE978" s="184"/>
      <c r="UHF978" s="187"/>
      <c r="UHG978" s="188"/>
      <c r="UHI978" s="182"/>
      <c r="UHJ978" s="183"/>
      <c r="UHQ978" s="267"/>
      <c r="UHR978" s="269"/>
      <c r="UHS978" s="267"/>
      <c r="UHT978" s="267"/>
      <c r="UHU978" s="184"/>
      <c r="UHV978" s="184"/>
      <c r="UHW978" s="185"/>
      <c r="UHX978" s="184"/>
      <c r="UHY978" s="184"/>
      <c r="UHZ978" s="184"/>
      <c r="UIA978" s="187"/>
      <c r="UIB978" s="188"/>
      <c r="UID978" s="182"/>
      <c r="UIE978" s="183"/>
      <c r="UIL978" s="267"/>
      <c r="UIM978" s="269"/>
      <c r="UIN978" s="267"/>
      <c r="UIO978" s="267"/>
      <c r="UIP978" s="184"/>
      <c r="UIQ978" s="184"/>
      <c r="UIR978" s="185"/>
      <c r="UIS978" s="184"/>
      <c r="UIT978" s="184"/>
      <c r="UIU978" s="184"/>
      <c r="UIV978" s="187"/>
      <c r="UIW978" s="188"/>
      <c r="UIY978" s="182"/>
      <c r="UIZ978" s="183"/>
      <c r="UJG978" s="267"/>
      <c r="UJH978" s="269"/>
      <c r="UJI978" s="267"/>
      <c r="UJJ978" s="267"/>
      <c r="UJK978" s="184"/>
      <c r="UJL978" s="184"/>
      <c r="UJM978" s="185"/>
      <c r="UJN978" s="184"/>
      <c r="UJO978" s="184"/>
      <c r="UJP978" s="184"/>
      <c r="UJQ978" s="187"/>
      <c r="UJR978" s="188"/>
      <c r="UJT978" s="182"/>
      <c r="UJU978" s="183"/>
      <c r="UKB978" s="267"/>
      <c r="UKC978" s="269"/>
      <c r="UKD978" s="267"/>
      <c r="UKE978" s="267"/>
      <c r="UKF978" s="184"/>
      <c r="UKG978" s="184"/>
      <c r="UKH978" s="185"/>
      <c r="UKI978" s="184"/>
      <c r="UKJ978" s="184"/>
      <c r="UKK978" s="184"/>
      <c r="UKL978" s="187"/>
      <c r="UKM978" s="188"/>
      <c r="UKO978" s="182"/>
      <c r="UKP978" s="183"/>
      <c r="UKW978" s="267"/>
      <c r="UKX978" s="269"/>
      <c r="UKY978" s="267"/>
      <c r="UKZ978" s="267"/>
      <c r="ULA978" s="184"/>
      <c r="ULB978" s="184"/>
      <c r="ULC978" s="185"/>
      <c r="ULD978" s="184"/>
      <c r="ULE978" s="184"/>
      <c r="ULF978" s="184"/>
      <c r="ULG978" s="187"/>
      <c r="ULH978" s="188"/>
      <c r="ULJ978" s="182"/>
      <c r="ULK978" s="183"/>
      <c r="ULR978" s="267"/>
      <c r="ULS978" s="269"/>
      <c r="ULT978" s="267"/>
      <c r="ULU978" s="267"/>
      <c r="ULV978" s="184"/>
      <c r="ULW978" s="184"/>
      <c r="ULX978" s="185"/>
      <c r="ULY978" s="184"/>
      <c r="ULZ978" s="184"/>
      <c r="UMA978" s="184"/>
      <c r="UMB978" s="187"/>
      <c r="UMC978" s="188"/>
      <c r="UME978" s="182"/>
      <c r="UMF978" s="183"/>
      <c r="UMM978" s="267"/>
      <c r="UMN978" s="269"/>
      <c r="UMO978" s="267"/>
      <c r="UMP978" s="267"/>
      <c r="UMQ978" s="184"/>
      <c r="UMR978" s="184"/>
      <c r="UMS978" s="185"/>
      <c r="UMT978" s="184"/>
      <c r="UMU978" s="184"/>
      <c r="UMV978" s="184"/>
      <c r="UMW978" s="187"/>
      <c r="UMX978" s="188"/>
      <c r="UMZ978" s="182"/>
      <c r="UNA978" s="183"/>
      <c r="UNH978" s="267"/>
      <c r="UNI978" s="269"/>
      <c r="UNJ978" s="267"/>
      <c r="UNK978" s="267"/>
      <c r="UNL978" s="184"/>
      <c r="UNM978" s="184"/>
      <c r="UNN978" s="185"/>
      <c r="UNO978" s="184"/>
      <c r="UNP978" s="184"/>
      <c r="UNQ978" s="184"/>
      <c r="UNR978" s="187"/>
      <c r="UNS978" s="188"/>
      <c r="UNU978" s="182"/>
      <c r="UNV978" s="183"/>
      <c r="UOC978" s="267"/>
      <c r="UOD978" s="269"/>
      <c r="UOE978" s="267"/>
      <c r="UOF978" s="267"/>
      <c r="UOG978" s="184"/>
      <c r="UOH978" s="184"/>
      <c r="UOI978" s="185"/>
      <c r="UOJ978" s="184"/>
      <c r="UOK978" s="184"/>
      <c r="UOL978" s="184"/>
      <c r="UOM978" s="187"/>
      <c r="UON978" s="188"/>
      <c r="UOP978" s="182"/>
      <c r="UOQ978" s="183"/>
      <c r="UOX978" s="267"/>
      <c r="UOY978" s="269"/>
      <c r="UOZ978" s="267"/>
      <c r="UPA978" s="267"/>
      <c r="UPB978" s="184"/>
      <c r="UPC978" s="184"/>
      <c r="UPD978" s="185"/>
      <c r="UPE978" s="184"/>
      <c r="UPF978" s="184"/>
      <c r="UPG978" s="184"/>
      <c r="UPH978" s="187"/>
      <c r="UPI978" s="188"/>
      <c r="UPK978" s="182"/>
      <c r="UPL978" s="183"/>
      <c r="UPS978" s="267"/>
      <c r="UPT978" s="269"/>
      <c r="UPU978" s="267"/>
      <c r="UPV978" s="267"/>
      <c r="UPW978" s="184"/>
      <c r="UPX978" s="184"/>
      <c r="UPY978" s="185"/>
      <c r="UPZ978" s="184"/>
      <c r="UQA978" s="184"/>
      <c r="UQB978" s="184"/>
      <c r="UQC978" s="187"/>
      <c r="UQD978" s="188"/>
      <c r="UQF978" s="182"/>
      <c r="UQG978" s="183"/>
      <c r="UQN978" s="267"/>
      <c r="UQO978" s="269"/>
      <c r="UQP978" s="267"/>
      <c r="UQQ978" s="267"/>
      <c r="UQR978" s="184"/>
      <c r="UQS978" s="184"/>
      <c r="UQT978" s="185"/>
      <c r="UQU978" s="184"/>
      <c r="UQV978" s="184"/>
      <c r="UQW978" s="184"/>
      <c r="UQX978" s="187"/>
      <c r="UQY978" s="188"/>
      <c r="URA978" s="182"/>
      <c r="URB978" s="183"/>
      <c r="URI978" s="267"/>
      <c r="URJ978" s="269"/>
      <c r="URK978" s="267"/>
      <c r="URL978" s="267"/>
      <c r="URM978" s="184"/>
      <c r="URN978" s="184"/>
      <c r="URO978" s="185"/>
      <c r="URP978" s="184"/>
      <c r="URQ978" s="184"/>
      <c r="URR978" s="184"/>
      <c r="URS978" s="187"/>
      <c r="URT978" s="188"/>
      <c r="URV978" s="182"/>
      <c r="URW978" s="183"/>
      <c r="USD978" s="267"/>
      <c r="USE978" s="269"/>
      <c r="USF978" s="267"/>
      <c r="USG978" s="267"/>
      <c r="USH978" s="184"/>
      <c r="USI978" s="184"/>
      <c r="USJ978" s="185"/>
      <c r="USK978" s="184"/>
      <c r="USL978" s="184"/>
      <c r="USM978" s="184"/>
      <c r="USN978" s="187"/>
      <c r="USO978" s="188"/>
      <c r="USQ978" s="182"/>
      <c r="USR978" s="183"/>
      <c r="USY978" s="267"/>
      <c r="USZ978" s="269"/>
      <c r="UTA978" s="267"/>
      <c r="UTB978" s="267"/>
      <c r="UTC978" s="184"/>
      <c r="UTD978" s="184"/>
      <c r="UTE978" s="185"/>
      <c r="UTF978" s="184"/>
      <c r="UTG978" s="184"/>
      <c r="UTH978" s="184"/>
      <c r="UTI978" s="187"/>
      <c r="UTJ978" s="188"/>
      <c r="UTL978" s="182"/>
      <c r="UTM978" s="183"/>
      <c r="UTT978" s="267"/>
      <c r="UTU978" s="269"/>
      <c r="UTV978" s="267"/>
      <c r="UTW978" s="267"/>
      <c r="UTX978" s="184"/>
      <c r="UTY978" s="184"/>
      <c r="UTZ978" s="185"/>
      <c r="UUA978" s="184"/>
      <c r="UUB978" s="184"/>
      <c r="UUC978" s="184"/>
      <c r="UUD978" s="187"/>
      <c r="UUE978" s="188"/>
      <c r="UUG978" s="182"/>
      <c r="UUH978" s="183"/>
      <c r="UUO978" s="267"/>
      <c r="UUP978" s="269"/>
      <c r="UUQ978" s="267"/>
      <c r="UUR978" s="267"/>
      <c r="UUS978" s="184"/>
      <c r="UUT978" s="184"/>
      <c r="UUU978" s="185"/>
      <c r="UUV978" s="184"/>
      <c r="UUW978" s="184"/>
      <c r="UUX978" s="184"/>
      <c r="UUY978" s="187"/>
      <c r="UUZ978" s="188"/>
      <c r="UVB978" s="182"/>
      <c r="UVC978" s="183"/>
      <c r="UVJ978" s="267"/>
      <c r="UVK978" s="269"/>
      <c r="UVL978" s="267"/>
      <c r="UVM978" s="267"/>
      <c r="UVN978" s="184"/>
      <c r="UVO978" s="184"/>
      <c r="UVP978" s="185"/>
      <c r="UVQ978" s="184"/>
      <c r="UVR978" s="184"/>
      <c r="UVS978" s="184"/>
      <c r="UVT978" s="187"/>
      <c r="UVU978" s="188"/>
      <c r="UVW978" s="182"/>
      <c r="UVX978" s="183"/>
      <c r="UWE978" s="267"/>
      <c r="UWF978" s="269"/>
      <c r="UWG978" s="267"/>
      <c r="UWH978" s="267"/>
      <c r="UWI978" s="184"/>
      <c r="UWJ978" s="184"/>
      <c r="UWK978" s="185"/>
      <c r="UWL978" s="184"/>
      <c r="UWM978" s="184"/>
      <c r="UWN978" s="184"/>
      <c r="UWO978" s="187"/>
      <c r="UWP978" s="188"/>
      <c r="UWR978" s="182"/>
      <c r="UWS978" s="183"/>
      <c r="UWZ978" s="267"/>
      <c r="UXA978" s="269"/>
      <c r="UXB978" s="267"/>
      <c r="UXC978" s="267"/>
      <c r="UXD978" s="184"/>
      <c r="UXE978" s="184"/>
      <c r="UXF978" s="185"/>
      <c r="UXG978" s="184"/>
      <c r="UXH978" s="184"/>
      <c r="UXI978" s="184"/>
      <c r="UXJ978" s="187"/>
      <c r="UXK978" s="188"/>
      <c r="UXM978" s="182"/>
      <c r="UXN978" s="183"/>
      <c r="UXU978" s="267"/>
      <c r="UXV978" s="269"/>
      <c r="UXW978" s="267"/>
      <c r="UXX978" s="267"/>
      <c r="UXY978" s="184"/>
      <c r="UXZ978" s="184"/>
      <c r="UYA978" s="185"/>
      <c r="UYB978" s="184"/>
      <c r="UYC978" s="184"/>
      <c r="UYD978" s="184"/>
      <c r="UYE978" s="187"/>
      <c r="UYF978" s="188"/>
      <c r="UYH978" s="182"/>
      <c r="UYI978" s="183"/>
      <c r="UYP978" s="267"/>
      <c r="UYQ978" s="269"/>
      <c r="UYR978" s="267"/>
      <c r="UYS978" s="267"/>
      <c r="UYT978" s="184"/>
      <c r="UYU978" s="184"/>
      <c r="UYV978" s="185"/>
      <c r="UYW978" s="184"/>
      <c r="UYX978" s="184"/>
      <c r="UYY978" s="184"/>
      <c r="UYZ978" s="187"/>
      <c r="UZA978" s="188"/>
      <c r="UZC978" s="182"/>
      <c r="UZD978" s="183"/>
      <c r="UZK978" s="267"/>
      <c r="UZL978" s="269"/>
      <c r="UZM978" s="267"/>
      <c r="UZN978" s="267"/>
      <c r="UZO978" s="184"/>
      <c r="UZP978" s="184"/>
      <c r="UZQ978" s="185"/>
      <c r="UZR978" s="184"/>
      <c r="UZS978" s="184"/>
      <c r="UZT978" s="184"/>
      <c r="UZU978" s="187"/>
      <c r="UZV978" s="188"/>
      <c r="UZX978" s="182"/>
      <c r="UZY978" s="183"/>
      <c r="VAF978" s="267"/>
      <c r="VAG978" s="269"/>
      <c r="VAH978" s="267"/>
      <c r="VAI978" s="267"/>
      <c r="VAJ978" s="184"/>
      <c r="VAK978" s="184"/>
      <c r="VAL978" s="185"/>
      <c r="VAM978" s="184"/>
      <c r="VAN978" s="184"/>
      <c r="VAO978" s="184"/>
      <c r="VAP978" s="187"/>
      <c r="VAQ978" s="188"/>
      <c r="VAS978" s="182"/>
      <c r="VAT978" s="183"/>
      <c r="VBA978" s="267"/>
      <c r="VBB978" s="269"/>
      <c r="VBC978" s="267"/>
      <c r="VBD978" s="267"/>
      <c r="VBE978" s="184"/>
      <c r="VBF978" s="184"/>
      <c r="VBG978" s="185"/>
      <c r="VBH978" s="184"/>
      <c r="VBI978" s="184"/>
      <c r="VBJ978" s="184"/>
      <c r="VBK978" s="187"/>
      <c r="VBL978" s="188"/>
      <c r="VBN978" s="182"/>
      <c r="VBO978" s="183"/>
      <c r="VBV978" s="267"/>
      <c r="VBW978" s="269"/>
      <c r="VBX978" s="267"/>
      <c r="VBY978" s="267"/>
      <c r="VBZ978" s="184"/>
      <c r="VCA978" s="184"/>
      <c r="VCB978" s="185"/>
      <c r="VCC978" s="184"/>
      <c r="VCD978" s="184"/>
      <c r="VCE978" s="184"/>
      <c r="VCF978" s="187"/>
      <c r="VCG978" s="188"/>
      <c r="VCI978" s="182"/>
      <c r="VCJ978" s="183"/>
      <c r="VCQ978" s="267"/>
      <c r="VCR978" s="269"/>
      <c r="VCS978" s="267"/>
      <c r="VCT978" s="267"/>
      <c r="VCU978" s="184"/>
      <c r="VCV978" s="184"/>
      <c r="VCW978" s="185"/>
      <c r="VCX978" s="184"/>
      <c r="VCY978" s="184"/>
      <c r="VCZ978" s="184"/>
      <c r="VDA978" s="187"/>
      <c r="VDB978" s="188"/>
      <c r="VDD978" s="182"/>
      <c r="VDE978" s="183"/>
      <c r="VDL978" s="267"/>
      <c r="VDM978" s="269"/>
      <c r="VDN978" s="267"/>
      <c r="VDO978" s="267"/>
      <c r="VDP978" s="184"/>
      <c r="VDQ978" s="184"/>
      <c r="VDR978" s="185"/>
      <c r="VDS978" s="184"/>
      <c r="VDT978" s="184"/>
      <c r="VDU978" s="184"/>
      <c r="VDV978" s="187"/>
      <c r="VDW978" s="188"/>
      <c r="VDY978" s="182"/>
      <c r="VDZ978" s="183"/>
      <c r="VEG978" s="267"/>
      <c r="VEH978" s="269"/>
      <c r="VEI978" s="267"/>
      <c r="VEJ978" s="267"/>
      <c r="VEK978" s="184"/>
      <c r="VEL978" s="184"/>
      <c r="VEM978" s="185"/>
      <c r="VEN978" s="184"/>
      <c r="VEO978" s="184"/>
      <c r="VEP978" s="184"/>
      <c r="VEQ978" s="187"/>
      <c r="VER978" s="188"/>
      <c r="VET978" s="182"/>
      <c r="VEU978" s="183"/>
      <c r="VFB978" s="267"/>
      <c r="VFC978" s="269"/>
      <c r="VFD978" s="267"/>
      <c r="VFE978" s="267"/>
      <c r="VFF978" s="184"/>
      <c r="VFG978" s="184"/>
      <c r="VFH978" s="185"/>
      <c r="VFI978" s="184"/>
      <c r="VFJ978" s="184"/>
      <c r="VFK978" s="184"/>
      <c r="VFL978" s="187"/>
      <c r="VFM978" s="188"/>
      <c r="VFO978" s="182"/>
      <c r="VFP978" s="183"/>
      <c r="VFW978" s="267"/>
      <c r="VFX978" s="269"/>
      <c r="VFY978" s="267"/>
      <c r="VFZ978" s="267"/>
      <c r="VGA978" s="184"/>
      <c r="VGB978" s="184"/>
      <c r="VGC978" s="185"/>
      <c r="VGD978" s="184"/>
      <c r="VGE978" s="184"/>
      <c r="VGF978" s="184"/>
      <c r="VGG978" s="187"/>
      <c r="VGH978" s="188"/>
      <c r="VGJ978" s="182"/>
      <c r="VGK978" s="183"/>
      <c r="VGR978" s="267"/>
      <c r="VGS978" s="269"/>
      <c r="VGT978" s="267"/>
      <c r="VGU978" s="267"/>
      <c r="VGV978" s="184"/>
      <c r="VGW978" s="184"/>
      <c r="VGX978" s="185"/>
      <c r="VGY978" s="184"/>
      <c r="VGZ978" s="184"/>
      <c r="VHA978" s="184"/>
      <c r="VHB978" s="187"/>
      <c r="VHC978" s="188"/>
      <c r="VHE978" s="182"/>
      <c r="VHF978" s="183"/>
      <c r="VHM978" s="267"/>
      <c r="VHN978" s="269"/>
      <c r="VHO978" s="267"/>
      <c r="VHP978" s="267"/>
      <c r="VHQ978" s="184"/>
      <c r="VHR978" s="184"/>
      <c r="VHS978" s="185"/>
      <c r="VHT978" s="184"/>
      <c r="VHU978" s="184"/>
      <c r="VHV978" s="184"/>
      <c r="VHW978" s="187"/>
      <c r="VHX978" s="188"/>
      <c r="VHZ978" s="182"/>
      <c r="VIA978" s="183"/>
      <c r="VIH978" s="267"/>
      <c r="VII978" s="269"/>
      <c r="VIJ978" s="267"/>
      <c r="VIK978" s="267"/>
      <c r="VIL978" s="184"/>
      <c r="VIM978" s="184"/>
      <c r="VIN978" s="185"/>
      <c r="VIO978" s="184"/>
      <c r="VIP978" s="184"/>
      <c r="VIQ978" s="184"/>
      <c r="VIR978" s="187"/>
      <c r="VIS978" s="188"/>
      <c r="VIU978" s="182"/>
      <c r="VIV978" s="183"/>
      <c r="VJC978" s="267"/>
      <c r="VJD978" s="269"/>
      <c r="VJE978" s="267"/>
      <c r="VJF978" s="267"/>
      <c r="VJG978" s="184"/>
      <c r="VJH978" s="184"/>
      <c r="VJI978" s="185"/>
      <c r="VJJ978" s="184"/>
      <c r="VJK978" s="184"/>
      <c r="VJL978" s="184"/>
      <c r="VJM978" s="187"/>
      <c r="VJN978" s="188"/>
      <c r="VJP978" s="182"/>
      <c r="VJQ978" s="183"/>
      <c r="VJX978" s="267"/>
      <c r="VJY978" s="269"/>
      <c r="VJZ978" s="267"/>
      <c r="VKA978" s="267"/>
      <c r="VKB978" s="184"/>
      <c r="VKC978" s="184"/>
      <c r="VKD978" s="185"/>
      <c r="VKE978" s="184"/>
      <c r="VKF978" s="184"/>
      <c r="VKG978" s="184"/>
      <c r="VKH978" s="187"/>
      <c r="VKI978" s="188"/>
      <c r="VKK978" s="182"/>
      <c r="VKL978" s="183"/>
      <c r="VKS978" s="267"/>
      <c r="VKT978" s="269"/>
      <c r="VKU978" s="267"/>
      <c r="VKV978" s="267"/>
      <c r="VKW978" s="184"/>
      <c r="VKX978" s="184"/>
      <c r="VKY978" s="185"/>
      <c r="VKZ978" s="184"/>
      <c r="VLA978" s="184"/>
      <c r="VLB978" s="184"/>
      <c r="VLC978" s="187"/>
      <c r="VLD978" s="188"/>
      <c r="VLF978" s="182"/>
      <c r="VLG978" s="183"/>
      <c r="VLN978" s="267"/>
      <c r="VLO978" s="269"/>
      <c r="VLP978" s="267"/>
      <c r="VLQ978" s="267"/>
      <c r="VLR978" s="184"/>
      <c r="VLS978" s="184"/>
      <c r="VLT978" s="185"/>
      <c r="VLU978" s="184"/>
      <c r="VLV978" s="184"/>
      <c r="VLW978" s="184"/>
      <c r="VLX978" s="187"/>
      <c r="VLY978" s="188"/>
      <c r="VMA978" s="182"/>
      <c r="VMB978" s="183"/>
      <c r="VMI978" s="267"/>
      <c r="VMJ978" s="269"/>
      <c r="VMK978" s="267"/>
      <c r="VML978" s="267"/>
      <c r="VMM978" s="184"/>
      <c r="VMN978" s="184"/>
      <c r="VMO978" s="185"/>
      <c r="VMP978" s="184"/>
      <c r="VMQ978" s="184"/>
      <c r="VMR978" s="184"/>
      <c r="VMS978" s="187"/>
      <c r="VMT978" s="188"/>
      <c r="VMV978" s="182"/>
      <c r="VMW978" s="183"/>
      <c r="VND978" s="267"/>
      <c r="VNE978" s="269"/>
      <c r="VNF978" s="267"/>
      <c r="VNG978" s="267"/>
      <c r="VNH978" s="184"/>
      <c r="VNI978" s="184"/>
      <c r="VNJ978" s="185"/>
      <c r="VNK978" s="184"/>
      <c r="VNL978" s="184"/>
      <c r="VNM978" s="184"/>
      <c r="VNN978" s="187"/>
      <c r="VNO978" s="188"/>
      <c r="VNQ978" s="182"/>
      <c r="VNR978" s="183"/>
      <c r="VNY978" s="267"/>
      <c r="VNZ978" s="269"/>
      <c r="VOA978" s="267"/>
      <c r="VOB978" s="267"/>
      <c r="VOC978" s="184"/>
      <c r="VOD978" s="184"/>
      <c r="VOE978" s="185"/>
      <c r="VOF978" s="184"/>
      <c r="VOG978" s="184"/>
      <c r="VOH978" s="184"/>
      <c r="VOI978" s="187"/>
      <c r="VOJ978" s="188"/>
      <c r="VOL978" s="182"/>
      <c r="VOM978" s="183"/>
      <c r="VOT978" s="267"/>
      <c r="VOU978" s="269"/>
      <c r="VOV978" s="267"/>
      <c r="VOW978" s="267"/>
      <c r="VOX978" s="184"/>
      <c r="VOY978" s="184"/>
      <c r="VOZ978" s="185"/>
      <c r="VPA978" s="184"/>
      <c r="VPB978" s="184"/>
      <c r="VPC978" s="184"/>
      <c r="VPD978" s="187"/>
      <c r="VPE978" s="188"/>
      <c r="VPG978" s="182"/>
      <c r="VPH978" s="183"/>
      <c r="VPO978" s="267"/>
      <c r="VPP978" s="269"/>
      <c r="VPQ978" s="267"/>
      <c r="VPR978" s="267"/>
      <c r="VPS978" s="184"/>
      <c r="VPT978" s="184"/>
      <c r="VPU978" s="185"/>
      <c r="VPV978" s="184"/>
      <c r="VPW978" s="184"/>
      <c r="VPX978" s="184"/>
      <c r="VPY978" s="187"/>
      <c r="VPZ978" s="188"/>
      <c r="VQB978" s="182"/>
      <c r="VQC978" s="183"/>
      <c r="VQJ978" s="267"/>
      <c r="VQK978" s="269"/>
      <c r="VQL978" s="267"/>
      <c r="VQM978" s="267"/>
      <c r="VQN978" s="184"/>
      <c r="VQO978" s="184"/>
      <c r="VQP978" s="185"/>
      <c r="VQQ978" s="184"/>
      <c r="VQR978" s="184"/>
      <c r="VQS978" s="184"/>
      <c r="VQT978" s="187"/>
      <c r="VQU978" s="188"/>
      <c r="VQW978" s="182"/>
      <c r="VQX978" s="183"/>
      <c r="VRE978" s="267"/>
      <c r="VRF978" s="269"/>
      <c r="VRG978" s="267"/>
      <c r="VRH978" s="267"/>
      <c r="VRI978" s="184"/>
      <c r="VRJ978" s="184"/>
      <c r="VRK978" s="185"/>
      <c r="VRL978" s="184"/>
      <c r="VRM978" s="184"/>
      <c r="VRN978" s="184"/>
      <c r="VRO978" s="187"/>
      <c r="VRP978" s="188"/>
      <c r="VRR978" s="182"/>
      <c r="VRS978" s="183"/>
      <c r="VRZ978" s="267"/>
      <c r="VSA978" s="269"/>
      <c r="VSB978" s="267"/>
      <c r="VSC978" s="267"/>
      <c r="VSD978" s="184"/>
      <c r="VSE978" s="184"/>
      <c r="VSF978" s="185"/>
      <c r="VSG978" s="184"/>
      <c r="VSH978" s="184"/>
      <c r="VSI978" s="184"/>
      <c r="VSJ978" s="187"/>
      <c r="VSK978" s="188"/>
      <c r="VSM978" s="182"/>
      <c r="VSN978" s="183"/>
      <c r="VSU978" s="267"/>
      <c r="VSV978" s="269"/>
      <c r="VSW978" s="267"/>
      <c r="VSX978" s="267"/>
      <c r="VSY978" s="184"/>
      <c r="VSZ978" s="184"/>
      <c r="VTA978" s="185"/>
      <c r="VTB978" s="184"/>
      <c r="VTC978" s="184"/>
      <c r="VTD978" s="184"/>
      <c r="VTE978" s="187"/>
      <c r="VTF978" s="188"/>
      <c r="VTH978" s="182"/>
      <c r="VTI978" s="183"/>
      <c r="VTP978" s="267"/>
      <c r="VTQ978" s="269"/>
      <c r="VTR978" s="267"/>
      <c r="VTS978" s="267"/>
      <c r="VTT978" s="184"/>
      <c r="VTU978" s="184"/>
      <c r="VTV978" s="185"/>
      <c r="VTW978" s="184"/>
      <c r="VTX978" s="184"/>
      <c r="VTY978" s="184"/>
      <c r="VTZ978" s="187"/>
      <c r="VUA978" s="188"/>
      <c r="VUC978" s="182"/>
      <c r="VUD978" s="183"/>
      <c r="VUK978" s="267"/>
      <c r="VUL978" s="269"/>
      <c r="VUM978" s="267"/>
      <c r="VUN978" s="267"/>
      <c r="VUO978" s="184"/>
      <c r="VUP978" s="184"/>
      <c r="VUQ978" s="185"/>
      <c r="VUR978" s="184"/>
      <c r="VUS978" s="184"/>
      <c r="VUT978" s="184"/>
      <c r="VUU978" s="187"/>
      <c r="VUV978" s="188"/>
      <c r="VUX978" s="182"/>
      <c r="VUY978" s="183"/>
      <c r="VVF978" s="267"/>
      <c r="VVG978" s="269"/>
      <c r="VVH978" s="267"/>
      <c r="VVI978" s="267"/>
      <c r="VVJ978" s="184"/>
      <c r="VVK978" s="184"/>
      <c r="VVL978" s="185"/>
      <c r="VVM978" s="184"/>
      <c r="VVN978" s="184"/>
      <c r="VVO978" s="184"/>
      <c r="VVP978" s="187"/>
      <c r="VVQ978" s="188"/>
      <c r="VVS978" s="182"/>
      <c r="VVT978" s="183"/>
      <c r="VWA978" s="267"/>
      <c r="VWB978" s="269"/>
      <c r="VWC978" s="267"/>
      <c r="VWD978" s="267"/>
      <c r="VWE978" s="184"/>
      <c r="VWF978" s="184"/>
      <c r="VWG978" s="185"/>
      <c r="VWH978" s="184"/>
      <c r="VWI978" s="184"/>
      <c r="VWJ978" s="184"/>
      <c r="VWK978" s="187"/>
      <c r="VWL978" s="188"/>
      <c r="VWN978" s="182"/>
      <c r="VWO978" s="183"/>
      <c r="VWV978" s="267"/>
      <c r="VWW978" s="269"/>
      <c r="VWX978" s="267"/>
      <c r="VWY978" s="267"/>
      <c r="VWZ978" s="184"/>
      <c r="VXA978" s="184"/>
      <c r="VXB978" s="185"/>
      <c r="VXC978" s="184"/>
      <c r="VXD978" s="184"/>
      <c r="VXE978" s="184"/>
      <c r="VXF978" s="187"/>
      <c r="VXG978" s="188"/>
      <c r="VXI978" s="182"/>
      <c r="VXJ978" s="183"/>
      <c r="VXQ978" s="267"/>
      <c r="VXR978" s="269"/>
      <c r="VXS978" s="267"/>
      <c r="VXT978" s="267"/>
      <c r="VXU978" s="184"/>
      <c r="VXV978" s="184"/>
      <c r="VXW978" s="185"/>
      <c r="VXX978" s="184"/>
      <c r="VXY978" s="184"/>
      <c r="VXZ978" s="184"/>
      <c r="VYA978" s="187"/>
      <c r="VYB978" s="188"/>
      <c r="VYD978" s="182"/>
      <c r="VYE978" s="183"/>
      <c r="VYL978" s="267"/>
      <c r="VYM978" s="269"/>
      <c r="VYN978" s="267"/>
      <c r="VYO978" s="267"/>
      <c r="VYP978" s="184"/>
      <c r="VYQ978" s="184"/>
      <c r="VYR978" s="185"/>
      <c r="VYS978" s="184"/>
      <c r="VYT978" s="184"/>
      <c r="VYU978" s="184"/>
      <c r="VYV978" s="187"/>
      <c r="VYW978" s="188"/>
      <c r="VYY978" s="182"/>
      <c r="VYZ978" s="183"/>
      <c r="VZG978" s="267"/>
      <c r="VZH978" s="269"/>
      <c r="VZI978" s="267"/>
      <c r="VZJ978" s="267"/>
      <c r="VZK978" s="184"/>
      <c r="VZL978" s="184"/>
      <c r="VZM978" s="185"/>
      <c r="VZN978" s="184"/>
      <c r="VZO978" s="184"/>
      <c r="VZP978" s="184"/>
      <c r="VZQ978" s="187"/>
      <c r="VZR978" s="188"/>
      <c r="VZT978" s="182"/>
      <c r="VZU978" s="183"/>
      <c r="WAB978" s="267"/>
      <c r="WAC978" s="269"/>
      <c r="WAD978" s="267"/>
      <c r="WAE978" s="267"/>
      <c r="WAF978" s="184"/>
      <c r="WAG978" s="184"/>
      <c r="WAH978" s="185"/>
      <c r="WAI978" s="184"/>
      <c r="WAJ978" s="184"/>
      <c r="WAK978" s="184"/>
      <c r="WAL978" s="187"/>
      <c r="WAM978" s="188"/>
      <c r="WAO978" s="182"/>
      <c r="WAP978" s="183"/>
      <c r="WAW978" s="267"/>
      <c r="WAX978" s="269"/>
      <c r="WAY978" s="267"/>
      <c r="WAZ978" s="267"/>
      <c r="WBA978" s="184"/>
      <c r="WBB978" s="184"/>
      <c r="WBC978" s="185"/>
      <c r="WBD978" s="184"/>
      <c r="WBE978" s="184"/>
      <c r="WBF978" s="184"/>
      <c r="WBG978" s="187"/>
      <c r="WBH978" s="188"/>
      <c r="WBJ978" s="182"/>
      <c r="WBK978" s="183"/>
      <c r="WBR978" s="267"/>
      <c r="WBS978" s="269"/>
      <c r="WBT978" s="267"/>
      <c r="WBU978" s="267"/>
      <c r="WBV978" s="184"/>
      <c r="WBW978" s="184"/>
      <c r="WBX978" s="185"/>
      <c r="WBY978" s="184"/>
      <c r="WBZ978" s="184"/>
      <c r="WCA978" s="184"/>
      <c r="WCB978" s="187"/>
      <c r="WCC978" s="188"/>
      <c r="WCE978" s="182"/>
      <c r="WCF978" s="183"/>
      <c r="WCM978" s="267"/>
      <c r="WCN978" s="269"/>
      <c r="WCO978" s="267"/>
      <c r="WCP978" s="267"/>
      <c r="WCQ978" s="184"/>
      <c r="WCR978" s="184"/>
      <c r="WCS978" s="185"/>
      <c r="WCT978" s="184"/>
      <c r="WCU978" s="184"/>
      <c r="WCV978" s="184"/>
      <c r="WCW978" s="187"/>
      <c r="WCX978" s="188"/>
      <c r="WCZ978" s="182"/>
      <c r="WDA978" s="183"/>
      <c r="WDH978" s="267"/>
      <c r="WDI978" s="269"/>
      <c r="WDJ978" s="267"/>
      <c r="WDK978" s="267"/>
      <c r="WDL978" s="184"/>
      <c r="WDM978" s="184"/>
      <c r="WDN978" s="185"/>
      <c r="WDO978" s="184"/>
      <c r="WDP978" s="184"/>
      <c r="WDQ978" s="184"/>
      <c r="WDR978" s="187"/>
      <c r="WDS978" s="188"/>
      <c r="WDU978" s="182"/>
      <c r="WDV978" s="183"/>
      <c r="WEC978" s="267"/>
      <c r="WED978" s="269"/>
      <c r="WEE978" s="267"/>
      <c r="WEF978" s="267"/>
      <c r="WEG978" s="184"/>
      <c r="WEH978" s="184"/>
      <c r="WEI978" s="185"/>
      <c r="WEJ978" s="184"/>
      <c r="WEK978" s="184"/>
      <c r="WEL978" s="184"/>
      <c r="WEM978" s="187"/>
      <c r="WEN978" s="188"/>
      <c r="WEP978" s="182"/>
      <c r="WEQ978" s="183"/>
      <c r="WEX978" s="267"/>
      <c r="WEY978" s="269"/>
      <c r="WEZ978" s="267"/>
      <c r="WFA978" s="267"/>
      <c r="WFB978" s="184"/>
      <c r="WFC978" s="184"/>
      <c r="WFD978" s="185"/>
      <c r="WFE978" s="184"/>
      <c r="WFF978" s="184"/>
      <c r="WFG978" s="184"/>
      <c r="WFH978" s="187"/>
      <c r="WFI978" s="188"/>
      <c r="WFK978" s="182"/>
      <c r="WFL978" s="183"/>
      <c r="WFS978" s="267"/>
      <c r="WFT978" s="269"/>
      <c r="WFU978" s="267"/>
      <c r="WFV978" s="267"/>
      <c r="WFW978" s="184"/>
      <c r="WFX978" s="184"/>
      <c r="WFY978" s="185"/>
      <c r="WFZ978" s="184"/>
      <c r="WGA978" s="184"/>
      <c r="WGB978" s="184"/>
      <c r="WGC978" s="187"/>
      <c r="WGD978" s="188"/>
      <c r="WGF978" s="182"/>
      <c r="WGG978" s="183"/>
      <c r="WGN978" s="267"/>
      <c r="WGO978" s="269"/>
      <c r="WGP978" s="267"/>
      <c r="WGQ978" s="267"/>
      <c r="WGR978" s="184"/>
      <c r="WGS978" s="184"/>
      <c r="WGT978" s="185"/>
      <c r="WGU978" s="184"/>
      <c r="WGV978" s="184"/>
      <c r="WGW978" s="184"/>
      <c r="WGX978" s="187"/>
      <c r="WGY978" s="188"/>
      <c r="WHA978" s="182"/>
      <c r="WHB978" s="183"/>
      <c r="WHI978" s="267"/>
      <c r="WHJ978" s="269"/>
      <c r="WHK978" s="267"/>
      <c r="WHL978" s="267"/>
      <c r="WHM978" s="184"/>
      <c r="WHN978" s="184"/>
      <c r="WHO978" s="185"/>
      <c r="WHP978" s="184"/>
      <c r="WHQ978" s="184"/>
      <c r="WHR978" s="184"/>
      <c r="WHS978" s="187"/>
      <c r="WHT978" s="188"/>
      <c r="WHV978" s="182"/>
      <c r="WHW978" s="183"/>
      <c r="WID978" s="267"/>
      <c r="WIE978" s="269"/>
      <c r="WIF978" s="267"/>
      <c r="WIG978" s="267"/>
      <c r="WIH978" s="184"/>
      <c r="WII978" s="184"/>
      <c r="WIJ978" s="185"/>
      <c r="WIK978" s="184"/>
      <c r="WIL978" s="184"/>
      <c r="WIM978" s="184"/>
      <c r="WIN978" s="187"/>
      <c r="WIO978" s="188"/>
      <c r="WIQ978" s="182"/>
      <c r="WIR978" s="183"/>
      <c r="WIY978" s="267"/>
      <c r="WIZ978" s="269"/>
      <c r="WJA978" s="267"/>
      <c r="WJB978" s="267"/>
      <c r="WJC978" s="184"/>
      <c r="WJD978" s="184"/>
      <c r="WJE978" s="185"/>
      <c r="WJF978" s="184"/>
      <c r="WJG978" s="184"/>
      <c r="WJH978" s="184"/>
      <c r="WJI978" s="187"/>
      <c r="WJJ978" s="188"/>
      <c r="WJL978" s="182"/>
      <c r="WJM978" s="183"/>
      <c r="WJT978" s="267"/>
      <c r="WJU978" s="269"/>
      <c r="WJV978" s="267"/>
      <c r="WJW978" s="267"/>
      <c r="WJX978" s="184"/>
      <c r="WJY978" s="184"/>
      <c r="WJZ978" s="185"/>
      <c r="WKA978" s="184"/>
      <c r="WKB978" s="184"/>
      <c r="WKC978" s="184"/>
      <c r="WKD978" s="187"/>
      <c r="WKE978" s="188"/>
      <c r="WKG978" s="182"/>
      <c r="WKH978" s="183"/>
      <c r="WKO978" s="267"/>
      <c r="WKP978" s="269"/>
      <c r="WKQ978" s="267"/>
      <c r="WKR978" s="267"/>
      <c r="WKS978" s="184"/>
      <c r="WKT978" s="184"/>
      <c r="WKU978" s="185"/>
      <c r="WKV978" s="184"/>
      <c r="WKW978" s="184"/>
      <c r="WKX978" s="184"/>
      <c r="WKY978" s="187"/>
      <c r="WKZ978" s="188"/>
      <c r="WLB978" s="182"/>
      <c r="WLC978" s="183"/>
      <c r="WLJ978" s="267"/>
      <c r="WLK978" s="269"/>
      <c r="WLL978" s="267"/>
      <c r="WLM978" s="267"/>
      <c r="WLN978" s="184"/>
      <c r="WLO978" s="184"/>
      <c r="WLP978" s="185"/>
      <c r="WLQ978" s="184"/>
      <c r="WLR978" s="184"/>
      <c r="WLS978" s="184"/>
      <c r="WLT978" s="187"/>
      <c r="WLU978" s="188"/>
      <c r="WLW978" s="182"/>
      <c r="WLX978" s="183"/>
      <c r="WME978" s="267"/>
      <c r="WMF978" s="269"/>
      <c r="WMG978" s="267"/>
      <c r="WMH978" s="267"/>
      <c r="WMI978" s="184"/>
      <c r="WMJ978" s="184"/>
      <c r="WMK978" s="185"/>
      <c r="WML978" s="184"/>
      <c r="WMM978" s="184"/>
      <c r="WMN978" s="184"/>
      <c r="WMO978" s="187"/>
      <c r="WMP978" s="188"/>
      <c r="WMR978" s="182"/>
      <c r="WMS978" s="183"/>
      <c r="WMZ978" s="267"/>
      <c r="WNA978" s="269"/>
      <c r="WNB978" s="267"/>
      <c r="WNC978" s="267"/>
      <c r="WND978" s="184"/>
      <c r="WNE978" s="184"/>
      <c r="WNF978" s="185"/>
      <c r="WNG978" s="184"/>
      <c r="WNH978" s="184"/>
      <c r="WNI978" s="184"/>
      <c r="WNJ978" s="187"/>
      <c r="WNK978" s="188"/>
      <c r="WNM978" s="182"/>
      <c r="WNN978" s="183"/>
      <c r="WNU978" s="267"/>
      <c r="WNV978" s="269"/>
      <c r="WNW978" s="267"/>
      <c r="WNX978" s="267"/>
      <c r="WNY978" s="184"/>
      <c r="WNZ978" s="184"/>
      <c r="WOA978" s="185"/>
      <c r="WOB978" s="184"/>
      <c r="WOC978" s="184"/>
      <c r="WOD978" s="184"/>
      <c r="WOE978" s="187"/>
      <c r="WOF978" s="188"/>
      <c r="WOH978" s="182"/>
      <c r="WOI978" s="183"/>
      <c r="WOP978" s="267"/>
      <c r="WOQ978" s="269"/>
      <c r="WOR978" s="267"/>
      <c r="WOS978" s="267"/>
      <c r="WOT978" s="184"/>
      <c r="WOU978" s="184"/>
      <c r="WOV978" s="185"/>
      <c r="WOW978" s="184"/>
      <c r="WOX978" s="184"/>
      <c r="WOY978" s="184"/>
      <c r="WOZ978" s="187"/>
      <c r="WPA978" s="188"/>
      <c r="WPC978" s="182"/>
      <c r="WPD978" s="183"/>
      <c r="WPK978" s="267"/>
      <c r="WPL978" s="269"/>
      <c r="WPM978" s="267"/>
      <c r="WPN978" s="267"/>
      <c r="WPO978" s="184"/>
      <c r="WPP978" s="184"/>
      <c r="WPQ978" s="185"/>
      <c r="WPR978" s="184"/>
      <c r="WPS978" s="184"/>
      <c r="WPT978" s="184"/>
      <c r="WPU978" s="187"/>
      <c r="WPV978" s="188"/>
      <c r="WPX978" s="182"/>
      <c r="WPY978" s="183"/>
      <c r="WQF978" s="267"/>
      <c r="WQG978" s="269"/>
      <c r="WQH978" s="267"/>
      <c r="WQI978" s="267"/>
      <c r="WQJ978" s="184"/>
      <c r="WQK978" s="184"/>
      <c r="WQL978" s="185"/>
      <c r="WQM978" s="184"/>
      <c r="WQN978" s="184"/>
      <c r="WQO978" s="184"/>
      <c r="WQP978" s="187"/>
      <c r="WQQ978" s="188"/>
      <c r="WQS978" s="182"/>
      <c r="WQT978" s="183"/>
      <c r="WRA978" s="267"/>
      <c r="WRB978" s="269"/>
      <c r="WRC978" s="267"/>
      <c r="WRD978" s="267"/>
      <c r="WRE978" s="184"/>
      <c r="WRF978" s="184"/>
      <c r="WRG978" s="185"/>
      <c r="WRH978" s="184"/>
      <c r="WRI978" s="184"/>
      <c r="WRJ978" s="184"/>
      <c r="WRK978" s="187"/>
      <c r="WRL978" s="188"/>
      <c r="WRN978" s="182"/>
      <c r="WRO978" s="183"/>
      <c r="WRV978" s="267"/>
      <c r="WRW978" s="269"/>
      <c r="WRX978" s="267"/>
      <c r="WRY978" s="267"/>
      <c r="WRZ978" s="184"/>
      <c r="WSA978" s="184"/>
      <c r="WSB978" s="185"/>
      <c r="WSC978" s="184"/>
      <c r="WSD978" s="184"/>
      <c r="WSE978" s="184"/>
      <c r="WSF978" s="187"/>
      <c r="WSG978" s="188"/>
      <c r="WSI978" s="182"/>
      <c r="WSJ978" s="183"/>
      <c r="WSQ978" s="267"/>
      <c r="WSR978" s="269"/>
      <c r="WSS978" s="267"/>
      <c r="WST978" s="267"/>
      <c r="WSU978" s="184"/>
      <c r="WSV978" s="184"/>
      <c r="WSW978" s="185"/>
      <c r="WSX978" s="184"/>
      <c r="WSY978" s="184"/>
      <c r="WSZ978" s="184"/>
      <c r="WTA978" s="187"/>
      <c r="WTB978" s="188"/>
      <c r="WTD978" s="182"/>
      <c r="WTE978" s="183"/>
      <c r="WTL978" s="267"/>
      <c r="WTM978" s="269"/>
      <c r="WTN978" s="267"/>
      <c r="WTO978" s="267"/>
      <c r="WTP978" s="184"/>
      <c r="WTQ978" s="184"/>
      <c r="WTR978" s="185"/>
      <c r="WTS978" s="184"/>
      <c r="WTT978" s="184"/>
      <c r="WTU978" s="184"/>
      <c r="WTV978" s="187"/>
      <c r="WTW978" s="188"/>
      <c r="WTY978" s="182"/>
      <c r="WTZ978" s="183"/>
      <c r="WUG978" s="267"/>
      <c r="WUH978" s="269"/>
      <c r="WUI978" s="267"/>
      <c r="WUJ978" s="267"/>
      <c r="WUK978" s="184"/>
      <c r="WUL978" s="184"/>
      <c r="WUM978" s="185"/>
      <c r="WUN978" s="184"/>
      <c r="WUO978" s="184"/>
      <c r="WUP978" s="184"/>
      <c r="WUQ978" s="187"/>
      <c r="WUR978" s="188"/>
      <c r="WUT978" s="182"/>
      <c r="WUU978" s="183"/>
      <c r="WVB978" s="267"/>
      <c r="WVC978" s="269"/>
      <c r="WVD978" s="267"/>
      <c r="WVE978" s="267"/>
      <c r="WVF978" s="184"/>
      <c r="WVG978" s="184"/>
      <c r="WVH978" s="185"/>
      <c r="WVI978" s="184"/>
      <c r="WVJ978" s="184"/>
      <c r="WVK978" s="184"/>
      <c r="WVL978" s="187"/>
      <c r="WVM978" s="188"/>
      <c r="WVO978" s="182"/>
      <c r="WVP978" s="183"/>
      <c r="WVW978" s="267"/>
      <c r="WVX978" s="269"/>
      <c r="WVY978" s="267"/>
      <c r="WVZ978" s="267"/>
      <c r="WWA978" s="184"/>
      <c r="WWB978" s="184"/>
      <c r="WWC978" s="185"/>
      <c r="WWD978" s="184"/>
      <c r="WWE978" s="184"/>
      <c r="WWF978" s="184"/>
      <c r="WWG978" s="187"/>
      <c r="WWH978" s="188"/>
      <c r="WWJ978" s="182"/>
      <c r="WWK978" s="183"/>
      <c r="WWR978" s="267"/>
      <c r="WWS978" s="269"/>
      <c r="WWT978" s="267"/>
      <c r="WWU978" s="267"/>
      <c r="WWV978" s="184"/>
      <c r="WWW978" s="184"/>
      <c r="WWX978" s="185"/>
      <c r="WWY978" s="184"/>
      <c r="WWZ978" s="184"/>
      <c r="WXA978" s="184"/>
      <c r="WXB978" s="187"/>
      <c r="WXC978" s="188"/>
      <c r="WXE978" s="182"/>
      <c r="WXF978" s="183"/>
      <c r="WXM978" s="267"/>
      <c r="WXN978" s="269"/>
      <c r="WXO978" s="267"/>
      <c r="WXP978" s="267"/>
      <c r="WXQ978" s="184"/>
      <c r="WXR978" s="184"/>
      <c r="WXS978" s="185"/>
      <c r="WXT978" s="184"/>
      <c r="WXU978" s="184"/>
      <c r="WXV978" s="184"/>
      <c r="WXW978" s="187"/>
      <c r="WXX978" s="188"/>
      <c r="WXZ978" s="182"/>
      <c r="WYA978" s="183"/>
      <c r="WYH978" s="267"/>
      <c r="WYI978" s="269"/>
      <c r="WYJ978" s="267"/>
      <c r="WYK978" s="267"/>
      <c r="WYL978" s="184"/>
      <c r="WYM978" s="184"/>
      <c r="WYN978" s="185"/>
      <c r="WYO978" s="184"/>
      <c r="WYP978" s="184"/>
      <c r="WYQ978" s="184"/>
      <c r="WYR978" s="187"/>
      <c r="WYS978" s="188"/>
      <c r="WYU978" s="182"/>
      <c r="WYV978" s="183"/>
      <c r="WZC978" s="267"/>
      <c r="WZD978" s="269"/>
      <c r="WZE978" s="267"/>
      <c r="WZF978" s="267"/>
      <c r="WZG978" s="184"/>
      <c r="WZH978" s="184"/>
      <c r="WZI978" s="185"/>
      <c r="WZJ978" s="184"/>
      <c r="WZK978" s="184"/>
      <c r="WZL978" s="184"/>
      <c r="WZM978" s="187"/>
      <c r="WZN978" s="188"/>
      <c r="WZP978" s="182"/>
      <c r="WZQ978" s="183"/>
      <c r="WZX978" s="267"/>
      <c r="WZY978" s="269"/>
      <c r="WZZ978" s="267"/>
      <c r="XAA978" s="267"/>
      <c r="XAB978" s="184"/>
      <c r="XAC978" s="184"/>
      <c r="XAD978" s="185"/>
      <c r="XAE978" s="184"/>
      <c r="XAF978" s="184"/>
      <c r="XAG978" s="184"/>
      <c r="XAH978" s="187"/>
      <c r="XAI978" s="188"/>
      <c r="XAK978" s="182"/>
      <c r="XAL978" s="183"/>
      <c r="XAS978" s="267"/>
      <c r="XAT978" s="269"/>
      <c r="XAU978" s="267"/>
      <c r="XAV978" s="267"/>
      <c r="XAW978" s="184"/>
      <c r="XAX978" s="184"/>
      <c r="XAY978" s="185"/>
      <c r="XAZ978" s="184"/>
      <c r="XBA978" s="184"/>
      <c r="XBB978" s="184"/>
      <c r="XBC978" s="187"/>
      <c r="XBD978" s="188"/>
      <c r="XBF978" s="182"/>
      <c r="XBG978" s="183"/>
      <c r="XBN978" s="267"/>
      <c r="XBO978" s="269"/>
      <c r="XBP978" s="267"/>
      <c r="XBQ978" s="267"/>
      <c r="XBR978" s="184"/>
      <c r="XBS978" s="184"/>
      <c r="XBT978" s="185"/>
      <c r="XBU978" s="184"/>
      <c r="XBV978" s="184"/>
      <c r="XBW978" s="184"/>
      <c r="XBX978" s="187"/>
      <c r="XBY978" s="188"/>
      <c r="XCA978" s="182"/>
      <c r="XCB978" s="183"/>
      <c r="XCI978" s="267"/>
      <c r="XCJ978" s="269"/>
      <c r="XCK978" s="267"/>
      <c r="XCL978" s="267"/>
      <c r="XCM978" s="184"/>
      <c r="XCN978" s="184"/>
      <c r="XCO978" s="185"/>
      <c r="XCP978" s="184"/>
      <c r="XCQ978" s="184"/>
      <c r="XCR978" s="184"/>
      <c r="XCS978" s="187"/>
      <c r="XCT978" s="188"/>
      <c r="XCV978" s="182"/>
      <c r="XCW978" s="183"/>
      <c r="XDD978" s="267"/>
      <c r="XDE978" s="269"/>
      <c r="XDF978" s="267"/>
      <c r="XDG978" s="267"/>
      <c r="XDH978" s="184"/>
      <c r="XDI978" s="184"/>
      <c r="XDJ978" s="185"/>
      <c r="XDK978" s="184"/>
      <c r="XDL978" s="184"/>
      <c r="XDM978" s="184"/>
      <c r="XDN978" s="187"/>
      <c r="XDO978" s="188"/>
      <c r="XDQ978" s="182"/>
      <c r="XDR978" s="183"/>
      <c r="XDY978" s="267"/>
      <c r="XDZ978" s="269"/>
      <c r="XEA978" s="267"/>
      <c r="XEB978" s="267"/>
      <c r="XEC978" s="184"/>
      <c r="XED978" s="184"/>
      <c r="XEE978" s="185"/>
      <c r="XEF978" s="184"/>
      <c r="XEG978" s="184"/>
      <c r="XEH978" s="184"/>
      <c r="XEI978" s="187"/>
      <c r="XEJ978" s="188"/>
      <c r="XEL978" s="182"/>
      <c r="XEM978" s="183"/>
      <c r="XEO978" s="0"/>
      <c r="XEP978" s="0"/>
      <c r="XEQ978" s="0"/>
      <c r="XER978" s="0"/>
      <c r="XES978" s="0"/>
      <c r="XET978" s="0"/>
      <c r="XEU978" s="0"/>
      <c r="XEV978" s="0"/>
      <c r="XEW978" s="0"/>
      <c r="XEX978" s="0"/>
      <c r="XEY978" s="0"/>
      <c r="XEZ978" s="0"/>
      <c r="XFA978" s="0"/>
      <c r="XFB978" s="0"/>
      <c r="XFC978" s="0"/>
      <c r="XFD978" s="0"/>
    </row>
    <row r="979" customFormat="false" ht="35.05" hidden="true" customHeight="false" outlineLevel="0" collapsed="false">
      <c r="A979" s="181" t="s">
        <v>2350</v>
      </c>
      <c r="B979" s="182" t="n">
        <v>2312</v>
      </c>
      <c r="C979" s="183" t="n">
        <v>9445</v>
      </c>
      <c r="D979" s="181" t="s">
        <v>2066</v>
      </c>
      <c r="E979" s="181" t="s">
        <v>2351</v>
      </c>
      <c r="F979" s="181" t="s">
        <v>2352</v>
      </c>
      <c r="G979" s="181" t="s">
        <v>2292</v>
      </c>
      <c r="H979" s="181" t="s">
        <v>279</v>
      </c>
      <c r="I979" s="181" t="s">
        <v>241</v>
      </c>
      <c r="J979" s="267"/>
      <c r="K979" s="269" t="n">
        <v>45941</v>
      </c>
      <c r="L979" s="267" t="n">
        <v>2.1</v>
      </c>
      <c r="M979" s="184" t="s">
        <v>2292</v>
      </c>
      <c r="N979" s="184" t="n">
        <v>47990</v>
      </c>
      <c r="O979" s="184" t="n">
        <v>17490</v>
      </c>
      <c r="P979" s="185" t="n">
        <v>7</v>
      </c>
      <c r="Q979" s="184" t="n">
        <v>30500</v>
      </c>
      <c r="R979" s="184" t="n">
        <v>28365</v>
      </c>
      <c r="S979" s="184" t="s">
        <v>2353</v>
      </c>
      <c r="T979" s="187" t="n">
        <v>45942</v>
      </c>
    </row>
    <row r="980" customFormat="false" ht="35.05" hidden="true" customHeight="false" outlineLevel="0" collapsed="false">
      <c r="A980" s="181" t="s">
        <v>2328</v>
      </c>
      <c r="B980" s="182" t="n">
        <v>2303</v>
      </c>
      <c r="C980" s="183" t="n">
        <v>9430</v>
      </c>
      <c r="D980" s="181" t="s">
        <v>2066</v>
      </c>
      <c r="E980" s="181" t="s">
        <v>545</v>
      </c>
      <c r="F980" s="181" t="s">
        <v>546</v>
      </c>
      <c r="G980" s="181" t="s">
        <v>2292</v>
      </c>
      <c r="H980" s="181" t="s">
        <v>279</v>
      </c>
      <c r="I980" s="181" t="s">
        <v>241</v>
      </c>
      <c r="J980" s="267"/>
      <c r="K980" s="269" t="n">
        <v>45941</v>
      </c>
      <c r="L980" s="267" t="n">
        <v>1.8</v>
      </c>
      <c r="M980" s="184" t="s">
        <v>2292</v>
      </c>
      <c r="N980" s="184" t="n">
        <v>42180</v>
      </c>
      <c r="O980" s="184" t="n">
        <v>16000</v>
      </c>
      <c r="P980" s="185" t="n">
        <v>6</v>
      </c>
      <c r="Q980" s="184" t="n">
        <v>26180</v>
      </c>
      <c r="R980" s="184" t="n">
        <v>24609.2</v>
      </c>
      <c r="S980" s="184" t="s">
        <v>2329</v>
      </c>
      <c r="T980" s="187" t="n">
        <v>45941</v>
      </c>
    </row>
    <row r="981" customFormat="false" ht="35.05" hidden="true" customHeight="false" outlineLevel="0" collapsed="false">
      <c r="A981" s="181" t="s">
        <v>2354</v>
      </c>
      <c r="B981" s="182" t="n">
        <v>2315</v>
      </c>
      <c r="C981" s="183" t="n">
        <v>9449</v>
      </c>
      <c r="D981" s="181" t="s">
        <v>2066</v>
      </c>
      <c r="E981" s="181" t="s">
        <v>304</v>
      </c>
      <c r="F981" s="181" t="s">
        <v>305</v>
      </c>
      <c r="G981" s="181" t="s">
        <v>2292</v>
      </c>
      <c r="H981" s="181" t="s">
        <v>279</v>
      </c>
      <c r="I981" s="181" t="s">
        <v>241</v>
      </c>
      <c r="J981" s="267"/>
      <c r="K981" s="269" t="n">
        <v>45941</v>
      </c>
      <c r="L981" s="267" t="n">
        <v>1.8</v>
      </c>
      <c r="M981" s="184" t="s">
        <v>2292</v>
      </c>
      <c r="N981" s="184" t="n">
        <v>41170</v>
      </c>
      <c r="O981" s="184" t="n">
        <v>15030</v>
      </c>
      <c r="P981" s="185" t="n">
        <v>8</v>
      </c>
      <c r="Q981" s="184" t="n">
        <v>26140</v>
      </c>
      <c r="R981" s="184" t="n">
        <v>24048.8</v>
      </c>
      <c r="S981" s="184" t="s">
        <v>2355</v>
      </c>
      <c r="T981" s="187" t="n">
        <v>45942</v>
      </c>
    </row>
    <row r="982" customFormat="false" ht="35.05" hidden="true" customHeight="false" outlineLevel="0" collapsed="false">
      <c r="A982" s="181" t="s">
        <v>2356</v>
      </c>
      <c r="B982" s="182" t="n">
        <v>2314</v>
      </c>
      <c r="C982" s="183" t="n">
        <v>9450</v>
      </c>
      <c r="D982" s="181" t="s">
        <v>2066</v>
      </c>
      <c r="E982" s="181" t="s">
        <v>308</v>
      </c>
      <c r="F982" s="181" t="s">
        <v>309</v>
      </c>
      <c r="G982" s="181" t="s">
        <v>2292</v>
      </c>
      <c r="H982" s="181" t="s">
        <v>279</v>
      </c>
      <c r="I982" s="181" t="s">
        <v>241</v>
      </c>
      <c r="J982" s="267"/>
      <c r="K982" s="269" t="n">
        <v>45941</v>
      </c>
      <c r="L982" s="267" t="n">
        <v>2.8</v>
      </c>
      <c r="M982" s="184" t="s">
        <v>2292</v>
      </c>
      <c r="N982" s="184" t="n">
        <v>64080</v>
      </c>
      <c r="O982" s="184" t="n">
        <v>24130</v>
      </c>
      <c r="P982" s="185" t="n">
        <v>10</v>
      </c>
      <c r="Q982" s="184" t="n">
        <v>39950</v>
      </c>
      <c r="R982" s="184" t="n">
        <v>35955</v>
      </c>
      <c r="S982" s="184" t="s">
        <v>2357</v>
      </c>
      <c r="T982" s="187" t="n">
        <v>45942</v>
      </c>
    </row>
    <row r="983" customFormat="false" ht="35.05" hidden="true" customHeight="false" outlineLevel="0" collapsed="false">
      <c r="A983" s="181" t="s">
        <v>2358</v>
      </c>
      <c r="B983" s="182" t="n">
        <v>2317</v>
      </c>
      <c r="C983" s="183" t="n">
        <v>9453</v>
      </c>
      <c r="D983" s="181" t="s">
        <v>2066</v>
      </c>
      <c r="E983" s="181" t="s">
        <v>332</v>
      </c>
      <c r="F983" s="181" t="s">
        <v>333</v>
      </c>
      <c r="G983" s="181" t="s">
        <v>2292</v>
      </c>
      <c r="H983" s="181" t="s">
        <v>279</v>
      </c>
      <c r="I983" s="181" t="s">
        <v>241</v>
      </c>
      <c r="J983" s="267"/>
      <c r="K983" s="269" t="n">
        <v>45941</v>
      </c>
      <c r="L983" s="267" t="n">
        <v>1.7</v>
      </c>
      <c r="M983" s="184" t="s">
        <v>2292</v>
      </c>
      <c r="N983" s="184" t="n">
        <v>39390</v>
      </c>
      <c r="O983" s="184" t="n">
        <v>14780</v>
      </c>
      <c r="P983" s="185" t="n">
        <v>16</v>
      </c>
      <c r="Q983" s="184" t="n">
        <v>24610</v>
      </c>
      <c r="R983" s="184" t="n">
        <v>20672.4</v>
      </c>
      <c r="S983" s="184" t="s">
        <v>2359</v>
      </c>
      <c r="T983" s="187" t="n">
        <v>45942</v>
      </c>
    </row>
    <row r="984" customFormat="false" ht="46.25" hidden="true" customHeight="false" outlineLevel="0" collapsed="false">
      <c r="A984" s="181" t="s">
        <v>2360</v>
      </c>
      <c r="B984" s="182" t="n">
        <v>2318</v>
      </c>
      <c r="C984" s="183" t="n">
        <v>9455</v>
      </c>
      <c r="D984" s="181" t="s">
        <v>2066</v>
      </c>
      <c r="E984" s="181" t="s">
        <v>288</v>
      </c>
      <c r="F984" s="181" t="s">
        <v>289</v>
      </c>
      <c r="G984" s="181" t="s">
        <v>2292</v>
      </c>
      <c r="H984" s="181" t="s">
        <v>279</v>
      </c>
      <c r="I984" s="181" t="s">
        <v>241</v>
      </c>
      <c r="J984" s="267"/>
      <c r="K984" s="269" t="n">
        <v>45941</v>
      </c>
      <c r="L984" s="267" t="n">
        <v>1.6</v>
      </c>
      <c r="M984" s="184" t="s">
        <v>2292</v>
      </c>
      <c r="N984" s="184" t="n">
        <v>37380</v>
      </c>
      <c r="O984" s="184" t="n">
        <v>14610</v>
      </c>
      <c r="P984" s="185" t="n">
        <v>13</v>
      </c>
      <c r="Q984" s="184" t="n">
        <v>22770</v>
      </c>
      <c r="R984" s="184" t="n">
        <v>19809.9</v>
      </c>
      <c r="S984" s="184" t="s">
        <v>2361</v>
      </c>
      <c r="T984" s="187" t="n">
        <v>45942</v>
      </c>
    </row>
    <row r="985" customFormat="false" ht="35.05" hidden="true" customHeight="false" outlineLevel="0" collapsed="false">
      <c r="A985" s="181" t="s">
        <v>2362</v>
      </c>
      <c r="B985" s="182" t="n">
        <v>2320</v>
      </c>
      <c r="C985" s="183" t="n">
        <v>9459</v>
      </c>
      <c r="D985" s="181" t="s">
        <v>2066</v>
      </c>
      <c r="E985" s="181" t="s">
        <v>533</v>
      </c>
      <c r="F985" s="181" t="s">
        <v>534</v>
      </c>
      <c r="G985" s="181" t="s">
        <v>2292</v>
      </c>
      <c r="H985" s="181" t="s">
        <v>279</v>
      </c>
      <c r="I985" s="181" t="s">
        <v>241</v>
      </c>
      <c r="J985" s="267"/>
      <c r="K985" s="269" t="n">
        <v>45941</v>
      </c>
      <c r="L985" s="267" t="n">
        <v>1.7</v>
      </c>
      <c r="M985" s="184" t="s">
        <v>2292</v>
      </c>
      <c r="N985" s="184" t="n">
        <v>38580</v>
      </c>
      <c r="O985" s="184" t="n">
        <v>14490</v>
      </c>
      <c r="P985" s="185" t="n">
        <v>12</v>
      </c>
      <c r="Q985" s="184" t="n">
        <v>24090</v>
      </c>
      <c r="R985" s="184" t="n">
        <v>21199.2</v>
      </c>
      <c r="S985" s="184" t="s">
        <v>2363</v>
      </c>
      <c r="T985" s="187" t="n">
        <v>45942</v>
      </c>
    </row>
    <row r="986" customFormat="false" ht="35.05" hidden="true" customHeight="false" outlineLevel="0" collapsed="false">
      <c r="A986" s="181" t="s">
        <v>2364</v>
      </c>
      <c r="B986" s="182" t="n">
        <v>2321</v>
      </c>
      <c r="C986" s="183" t="n">
        <v>9462</v>
      </c>
      <c r="D986" s="181" t="s">
        <v>2066</v>
      </c>
      <c r="E986" s="181" t="s">
        <v>901</v>
      </c>
      <c r="F986" s="181" t="s">
        <v>902</v>
      </c>
      <c r="G986" s="181" t="s">
        <v>2292</v>
      </c>
      <c r="H986" s="181" t="s">
        <v>279</v>
      </c>
      <c r="I986" s="181" t="s">
        <v>241</v>
      </c>
      <c r="J986" s="267"/>
      <c r="K986" s="269" t="n">
        <v>45941</v>
      </c>
      <c r="L986" s="267" t="n">
        <v>1.5</v>
      </c>
      <c r="M986" s="184" t="s">
        <v>2292</v>
      </c>
      <c r="N986" s="184" t="n">
        <v>35980</v>
      </c>
      <c r="O986" s="184" t="n">
        <v>14780</v>
      </c>
      <c r="P986" s="185" t="n">
        <v>7</v>
      </c>
      <c r="Q986" s="184" t="n">
        <v>21200</v>
      </c>
      <c r="R986" s="184" t="n">
        <v>19716</v>
      </c>
      <c r="S986" s="184" t="s">
        <v>2365</v>
      </c>
      <c r="T986" s="187" t="n">
        <v>45942</v>
      </c>
    </row>
    <row r="987" customFormat="false" ht="35.05" hidden="true" customHeight="false" outlineLevel="0" collapsed="false">
      <c r="A987" s="181" t="s">
        <v>2366</v>
      </c>
      <c r="B987" s="182" t="n">
        <v>2323</v>
      </c>
      <c r="C987" s="183" t="n">
        <v>9410</v>
      </c>
      <c r="D987" s="181" t="s">
        <v>2066</v>
      </c>
      <c r="E987" s="181" t="s">
        <v>537</v>
      </c>
      <c r="F987" s="181" t="s">
        <v>538</v>
      </c>
      <c r="G987" s="181" t="s">
        <v>2292</v>
      </c>
      <c r="H987" s="181" t="s">
        <v>279</v>
      </c>
      <c r="I987" s="181" t="s">
        <v>241</v>
      </c>
      <c r="J987" s="267"/>
      <c r="K987" s="269" t="n">
        <v>45941</v>
      </c>
      <c r="L987" s="267" t="n">
        <v>1.5</v>
      </c>
      <c r="M987" s="184" t="s">
        <v>2292</v>
      </c>
      <c r="N987" s="184" t="n">
        <v>35870</v>
      </c>
      <c r="O987" s="184" t="n">
        <v>13850</v>
      </c>
      <c r="P987" s="185" t="n">
        <v>9</v>
      </c>
      <c r="Q987" s="184" t="n">
        <v>22020</v>
      </c>
      <c r="R987" s="184" t="n">
        <v>20038.2</v>
      </c>
      <c r="S987" s="184" t="s">
        <v>2367</v>
      </c>
      <c r="T987" s="187" t="n">
        <v>45942</v>
      </c>
    </row>
    <row r="988" customFormat="false" ht="35.05" hidden="true" customHeight="false" outlineLevel="0" collapsed="false">
      <c r="A988" s="181" t="s">
        <v>2368</v>
      </c>
      <c r="B988" s="182" t="n">
        <v>2326</v>
      </c>
      <c r="C988" s="183" t="n">
        <v>9411</v>
      </c>
      <c r="D988" s="181" t="s">
        <v>2066</v>
      </c>
      <c r="E988" s="181" t="s">
        <v>529</v>
      </c>
      <c r="F988" s="181" t="s">
        <v>530</v>
      </c>
      <c r="G988" s="181" t="s">
        <v>2292</v>
      </c>
      <c r="H988" s="181" t="s">
        <v>279</v>
      </c>
      <c r="I988" s="181" t="s">
        <v>241</v>
      </c>
      <c r="J988" s="267"/>
      <c r="K988" s="269" t="n">
        <v>45941</v>
      </c>
      <c r="L988" s="267" t="n">
        <v>1.6</v>
      </c>
      <c r="M988" s="184" t="s">
        <v>2292</v>
      </c>
      <c r="N988" s="184" t="n">
        <v>37320</v>
      </c>
      <c r="O988" s="184" t="n">
        <v>14940</v>
      </c>
      <c r="P988" s="185" t="n">
        <v>10</v>
      </c>
      <c r="Q988" s="184" t="n">
        <v>22380</v>
      </c>
      <c r="R988" s="184" t="n">
        <v>20142</v>
      </c>
      <c r="S988" s="184" t="s">
        <v>2369</v>
      </c>
      <c r="T988" s="187" t="n">
        <v>45942</v>
      </c>
    </row>
    <row r="989" customFormat="false" ht="35.05" hidden="true" customHeight="false" outlineLevel="0" collapsed="false">
      <c r="A989" s="181" t="s">
        <v>2372</v>
      </c>
      <c r="B989" s="182" t="n">
        <v>2327</v>
      </c>
      <c r="C989" s="183" t="n">
        <v>9412</v>
      </c>
      <c r="D989" s="181" t="s">
        <v>2066</v>
      </c>
      <c r="E989" s="181" t="s">
        <v>391</v>
      </c>
      <c r="F989" s="181" t="s">
        <v>392</v>
      </c>
      <c r="G989" s="181" t="s">
        <v>2292</v>
      </c>
      <c r="H989" s="181" t="s">
        <v>279</v>
      </c>
      <c r="I989" s="181" t="s">
        <v>241</v>
      </c>
      <c r="J989" s="267"/>
      <c r="K989" s="269" t="n">
        <v>45941</v>
      </c>
      <c r="L989" s="267" t="n">
        <v>1.5</v>
      </c>
      <c r="M989" s="184" t="s">
        <v>2292</v>
      </c>
      <c r="N989" s="184" t="n">
        <v>35520</v>
      </c>
      <c r="O989" s="184" t="n">
        <v>14470</v>
      </c>
      <c r="P989" s="185" t="n">
        <v>10</v>
      </c>
      <c r="Q989" s="184" t="n">
        <v>21050</v>
      </c>
      <c r="R989" s="184" t="n">
        <v>18945</v>
      </c>
      <c r="S989" s="184" t="s">
        <v>2373</v>
      </c>
      <c r="T989" s="187" t="n">
        <v>45942</v>
      </c>
    </row>
    <row r="990" customFormat="false" ht="35.05" hidden="true" customHeight="false" outlineLevel="0" collapsed="false">
      <c r="A990" s="181" t="s">
        <v>2374</v>
      </c>
      <c r="B990" s="182" t="n">
        <v>2328</v>
      </c>
      <c r="C990" s="183" t="n">
        <v>9413</v>
      </c>
      <c r="D990" s="181" t="s">
        <v>2066</v>
      </c>
      <c r="E990" s="181" t="s">
        <v>549</v>
      </c>
      <c r="F990" s="181" t="s">
        <v>550</v>
      </c>
      <c r="G990" s="181" t="s">
        <v>2292</v>
      </c>
      <c r="H990" s="181" t="s">
        <v>279</v>
      </c>
      <c r="I990" s="181" t="s">
        <v>241</v>
      </c>
      <c r="J990" s="267"/>
      <c r="K990" s="269" t="n">
        <v>45941</v>
      </c>
      <c r="L990" s="267" t="n">
        <v>1.9</v>
      </c>
      <c r="M990" s="184" t="s">
        <v>2292</v>
      </c>
      <c r="N990" s="184" t="n">
        <v>42540</v>
      </c>
      <c r="O990" s="184" t="n">
        <v>15940</v>
      </c>
      <c r="P990" s="185" t="n">
        <v>8</v>
      </c>
      <c r="Q990" s="184" t="n">
        <v>26600</v>
      </c>
      <c r="R990" s="184" t="n">
        <v>24472</v>
      </c>
      <c r="S990" s="184" t="s">
        <v>2375</v>
      </c>
      <c r="T990" s="187" t="n">
        <v>45942</v>
      </c>
    </row>
    <row r="991" customFormat="false" ht="35.05" hidden="true" customHeight="false" outlineLevel="0" collapsed="false">
      <c r="A991" s="181" t="s">
        <v>2376</v>
      </c>
      <c r="B991" s="182" t="n">
        <v>2333</v>
      </c>
      <c r="C991" s="183" t="n">
        <v>9416</v>
      </c>
      <c r="D991" s="181" t="s">
        <v>2066</v>
      </c>
      <c r="E991" s="181" t="s">
        <v>1027</v>
      </c>
      <c r="F991" s="181" t="s">
        <v>1028</v>
      </c>
      <c r="G991" s="181" t="s">
        <v>2292</v>
      </c>
      <c r="H991" s="181" t="s">
        <v>279</v>
      </c>
      <c r="I991" s="181" t="s">
        <v>241</v>
      </c>
      <c r="J991" s="267"/>
      <c r="K991" s="269" t="n">
        <v>45942</v>
      </c>
      <c r="L991" s="267" t="n">
        <v>1.4</v>
      </c>
      <c r="M991" s="184" t="s">
        <v>2292</v>
      </c>
      <c r="N991" s="184" t="n">
        <v>38860</v>
      </c>
      <c r="O991" s="184" t="n">
        <v>14960</v>
      </c>
      <c r="P991" s="185" t="n">
        <v>7</v>
      </c>
      <c r="Q991" s="184" t="n">
        <v>23900</v>
      </c>
      <c r="R991" s="184" t="n">
        <v>22227</v>
      </c>
      <c r="S991" s="184" t="s">
        <v>2377</v>
      </c>
      <c r="T991" s="187" t="n">
        <v>45942</v>
      </c>
    </row>
    <row r="992" customFormat="false" ht="35.05" hidden="true" customHeight="false" outlineLevel="0" collapsed="false">
      <c r="A992" s="181" t="s">
        <v>2370</v>
      </c>
      <c r="B992" s="182" t="n">
        <v>2334</v>
      </c>
      <c r="C992" s="183" t="n">
        <v>9417</v>
      </c>
      <c r="D992" s="181" t="s">
        <v>2066</v>
      </c>
      <c r="E992" s="181" t="s">
        <v>1023</v>
      </c>
      <c r="F992" s="181" t="s">
        <v>1024</v>
      </c>
      <c r="G992" s="181" t="s">
        <v>2292</v>
      </c>
      <c r="H992" s="181" t="s">
        <v>279</v>
      </c>
      <c r="I992" s="181" t="s">
        <v>241</v>
      </c>
      <c r="J992" s="267"/>
      <c r="K992" s="269" t="n">
        <v>45942</v>
      </c>
      <c r="L992" s="267" t="n">
        <v>1.3</v>
      </c>
      <c r="M992" s="184" t="s">
        <v>2292</v>
      </c>
      <c r="N992" s="184" t="n">
        <v>36170</v>
      </c>
      <c r="O992" s="184" t="n">
        <v>14740</v>
      </c>
      <c r="P992" s="185" t="n">
        <v>6</v>
      </c>
      <c r="Q992" s="184" t="n">
        <v>21430</v>
      </c>
      <c r="R992" s="184" t="n">
        <v>20144.2</v>
      </c>
      <c r="S992" s="184" t="s">
        <v>2371</v>
      </c>
      <c r="T992" s="187" t="n">
        <v>45942</v>
      </c>
    </row>
    <row r="993" customFormat="false" ht="35.05" hidden="true" customHeight="false" outlineLevel="0" collapsed="false">
      <c r="A993" s="181" t="s">
        <v>2382</v>
      </c>
      <c r="B993" s="182" t="n">
        <v>2335</v>
      </c>
      <c r="C993" s="183" t="n">
        <v>9415</v>
      </c>
      <c r="D993" s="181" t="s">
        <v>2066</v>
      </c>
      <c r="E993" s="181" t="s">
        <v>1019</v>
      </c>
      <c r="F993" s="181" t="s">
        <v>1020</v>
      </c>
      <c r="G993" s="181" t="s">
        <v>2292</v>
      </c>
      <c r="H993" s="181" t="s">
        <v>279</v>
      </c>
      <c r="I993" s="181" t="s">
        <v>241</v>
      </c>
      <c r="J993" s="267"/>
      <c r="K993" s="269" t="n">
        <v>45942</v>
      </c>
      <c r="L993" s="267" t="n">
        <v>1.5</v>
      </c>
      <c r="M993" s="184" t="s">
        <v>2292</v>
      </c>
      <c r="N993" s="184" t="n">
        <v>43410</v>
      </c>
      <c r="O993" s="184" t="n">
        <v>17080</v>
      </c>
      <c r="P993" s="185" t="n">
        <v>6</v>
      </c>
      <c r="Q993" s="184" t="n">
        <v>26330</v>
      </c>
      <c r="R993" s="184" t="n">
        <v>24750.2</v>
      </c>
      <c r="S993" s="184" t="s">
        <v>2383</v>
      </c>
      <c r="T993" s="187" t="n">
        <v>45942</v>
      </c>
    </row>
    <row r="994" customFormat="false" ht="35.05" hidden="true" customHeight="false" outlineLevel="0" collapsed="false">
      <c r="A994" s="181" t="s">
        <v>2384</v>
      </c>
      <c r="B994" s="182" t="n">
        <v>2336</v>
      </c>
      <c r="C994" s="183" t="n">
        <v>9419</v>
      </c>
      <c r="D994" s="181" t="s">
        <v>2066</v>
      </c>
      <c r="E994" s="181" t="s">
        <v>541</v>
      </c>
      <c r="F994" s="181" t="s">
        <v>542</v>
      </c>
      <c r="G994" s="181" t="s">
        <v>2292</v>
      </c>
      <c r="H994" s="181" t="s">
        <v>279</v>
      </c>
      <c r="I994" s="181" t="s">
        <v>241</v>
      </c>
      <c r="J994" s="267"/>
      <c r="K994" s="269" t="n">
        <v>45942</v>
      </c>
      <c r="L994" s="267" t="n">
        <v>1.5</v>
      </c>
      <c r="M994" s="184" t="s">
        <v>2292</v>
      </c>
      <c r="N994" s="184" t="n">
        <v>40210</v>
      </c>
      <c r="O994" s="184" t="n">
        <v>14880</v>
      </c>
      <c r="P994" s="185" t="n">
        <v>4</v>
      </c>
      <c r="Q994" s="184" t="n">
        <v>25330</v>
      </c>
      <c r="R994" s="184" t="n">
        <v>24316.8</v>
      </c>
      <c r="S994" s="184" t="s">
        <v>2385</v>
      </c>
      <c r="T994" s="187" t="n">
        <v>45942</v>
      </c>
    </row>
    <row r="995" customFormat="false" ht="35.05" hidden="true" customHeight="false" outlineLevel="0" collapsed="false">
      <c r="A995" s="181" t="s">
        <v>2388</v>
      </c>
      <c r="B995" s="182" t="n">
        <v>2338</v>
      </c>
      <c r="C995" s="183" t="n">
        <v>9470</v>
      </c>
      <c r="D995" s="181" t="s">
        <v>2066</v>
      </c>
      <c r="E995" s="181" t="s">
        <v>350</v>
      </c>
      <c r="F995" s="181" t="s">
        <v>351</v>
      </c>
      <c r="G995" s="181" t="s">
        <v>2292</v>
      </c>
      <c r="H995" s="181" t="s">
        <v>279</v>
      </c>
      <c r="I995" s="181" t="s">
        <v>241</v>
      </c>
      <c r="J995" s="267"/>
      <c r="K995" s="269" t="n">
        <v>45942</v>
      </c>
      <c r="L995" s="267" t="n">
        <v>1.6</v>
      </c>
      <c r="M995" s="184" t="s">
        <v>2292</v>
      </c>
      <c r="N995" s="184" t="n">
        <v>42970</v>
      </c>
      <c r="O995" s="184" t="n">
        <v>14970</v>
      </c>
      <c r="P995" s="185" t="n">
        <v>7</v>
      </c>
      <c r="Q995" s="184" t="n">
        <v>28000</v>
      </c>
      <c r="R995" s="184" t="n">
        <v>26040</v>
      </c>
      <c r="S995" s="184" t="s">
        <v>2389</v>
      </c>
      <c r="T995" s="187" t="n">
        <v>45942</v>
      </c>
    </row>
    <row r="996" customFormat="false" ht="35.05" hidden="true" customHeight="false" outlineLevel="0" collapsed="false">
      <c r="A996" s="181" t="s">
        <v>2390</v>
      </c>
      <c r="B996" s="182" t="n">
        <v>2341</v>
      </c>
      <c r="C996" s="183" t="n">
        <v>8041</v>
      </c>
      <c r="D996" s="181" t="s">
        <v>2066</v>
      </c>
      <c r="E996" s="181" t="s">
        <v>373</v>
      </c>
      <c r="F996" s="181" t="s">
        <v>374</v>
      </c>
      <c r="G996" s="181" t="s">
        <v>2292</v>
      </c>
      <c r="H996" s="181" t="s">
        <v>279</v>
      </c>
      <c r="I996" s="181" t="s">
        <v>241</v>
      </c>
      <c r="J996" s="267"/>
      <c r="K996" s="269" t="n">
        <v>45942</v>
      </c>
      <c r="L996" s="267" t="n">
        <v>1.5</v>
      </c>
      <c r="M996" s="184" t="s">
        <v>2292</v>
      </c>
      <c r="N996" s="184" t="n">
        <v>39970</v>
      </c>
      <c r="O996" s="184" t="n">
        <v>14400</v>
      </c>
      <c r="P996" s="185" t="n">
        <v>12</v>
      </c>
      <c r="Q996" s="184" t="n">
        <v>25570</v>
      </c>
      <c r="R996" s="184" t="n">
        <v>22501.6</v>
      </c>
      <c r="S996" s="184" t="s">
        <v>2391</v>
      </c>
      <c r="T996" s="187" t="n">
        <v>45942</v>
      </c>
    </row>
    <row r="997" customFormat="false" ht="46.25" hidden="true" customHeight="false" outlineLevel="0" collapsed="false">
      <c r="A997" s="181" t="s">
        <v>2378</v>
      </c>
      <c r="B997" s="182" t="n">
        <v>2342</v>
      </c>
      <c r="C997" s="183" t="n">
        <v>9476</v>
      </c>
      <c r="D997" s="181" t="s">
        <v>2066</v>
      </c>
      <c r="E997" s="181" t="s">
        <v>282</v>
      </c>
      <c r="F997" s="181" t="s">
        <v>283</v>
      </c>
      <c r="G997" s="181" t="s">
        <v>2292</v>
      </c>
      <c r="H997" s="181" t="s">
        <v>279</v>
      </c>
      <c r="I997" s="181" t="s">
        <v>241</v>
      </c>
      <c r="J997" s="267"/>
      <c r="K997" s="269" t="n">
        <v>45942</v>
      </c>
      <c r="L997" s="267" t="n">
        <v>1.4</v>
      </c>
      <c r="M997" s="184" t="s">
        <v>2292</v>
      </c>
      <c r="N997" s="184" t="n">
        <v>39290</v>
      </c>
      <c r="O997" s="184" t="n">
        <v>15100</v>
      </c>
      <c r="P997" s="185" t="n">
        <v>12</v>
      </c>
      <c r="Q997" s="184" t="n">
        <v>24190</v>
      </c>
      <c r="R997" s="184" t="n">
        <v>21287.2</v>
      </c>
      <c r="S997" s="184" t="s">
        <v>2379</v>
      </c>
      <c r="T997" s="187" t="n">
        <v>45942</v>
      </c>
    </row>
    <row r="998" customFormat="false" ht="35.05" hidden="true" customHeight="false" outlineLevel="0" collapsed="false">
      <c r="A998" s="181" t="s">
        <v>2380</v>
      </c>
      <c r="B998" s="182" t="n">
        <v>2343</v>
      </c>
      <c r="C998" s="183" t="n">
        <v>9504</v>
      </c>
      <c r="D998" s="181" t="s">
        <v>2066</v>
      </c>
      <c r="E998" s="181" t="s">
        <v>439</v>
      </c>
      <c r="F998" s="181" t="s">
        <v>440</v>
      </c>
      <c r="G998" s="181" t="s">
        <v>2292</v>
      </c>
      <c r="H998" s="181" t="s">
        <v>279</v>
      </c>
      <c r="I998" s="181" t="s">
        <v>241</v>
      </c>
      <c r="J998" s="267"/>
      <c r="K998" s="269" t="n">
        <v>45942</v>
      </c>
      <c r="L998" s="267" t="n">
        <v>1.4</v>
      </c>
      <c r="M998" s="184" t="s">
        <v>2292</v>
      </c>
      <c r="N998" s="184" t="n">
        <v>39920</v>
      </c>
      <c r="O998" s="184" t="n">
        <v>16350</v>
      </c>
      <c r="P998" s="185" t="n">
        <v>7</v>
      </c>
      <c r="Q998" s="184" t="n">
        <v>23570</v>
      </c>
      <c r="R998" s="184" t="n">
        <v>21920.1</v>
      </c>
      <c r="S998" s="184" t="s">
        <v>2381</v>
      </c>
      <c r="T998" s="187" t="n">
        <v>45942</v>
      </c>
    </row>
    <row r="999" customFormat="false" ht="35.05" hidden="true" customHeight="false" outlineLevel="0" collapsed="false">
      <c r="A999" s="181" t="s">
        <v>2386</v>
      </c>
      <c r="B999" s="182" t="n">
        <v>2344</v>
      </c>
      <c r="C999" s="183" t="n">
        <v>9505</v>
      </c>
      <c r="D999" s="181" t="s">
        <v>2066</v>
      </c>
      <c r="E999" s="181" t="s">
        <v>545</v>
      </c>
      <c r="F999" s="181" t="s">
        <v>546</v>
      </c>
      <c r="G999" s="181" t="s">
        <v>2292</v>
      </c>
      <c r="H999" s="181" t="s">
        <v>279</v>
      </c>
      <c r="I999" s="181" t="s">
        <v>241</v>
      </c>
      <c r="J999" s="267"/>
      <c r="K999" s="269" t="n">
        <v>45942</v>
      </c>
      <c r="L999" s="267" t="n">
        <v>1.5</v>
      </c>
      <c r="M999" s="184" t="s">
        <v>2292</v>
      </c>
      <c r="N999" s="184" t="n">
        <v>42460</v>
      </c>
      <c r="O999" s="184" t="n">
        <v>16030</v>
      </c>
      <c r="P999" s="185" t="n">
        <v>7</v>
      </c>
      <c r="Q999" s="184" t="n">
        <v>26430</v>
      </c>
      <c r="R999" s="184" t="n">
        <v>24579.9</v>
      </c>
      <c r="S999" s="184" t="s">
        <v>2387</v>
      </c>
      <c r="T999" s="187" t="n">
        <v>45942</v>
      </c>
    </row>
    <row r="1000" customFormat="false" ht="35.05" hidden="true" customHeight="false" outlineLevel="0" collapsed="false">
      <c r="A1000" s="181" t="s">
        <v>2392</v>
      </c>
      <c r="B1000" s="182" t="n">
        <v>2346</v>
      </c>
      <c r="C1000" s="183" t="n">
        <v>9506</v>
      </c>
      <c r="D1000" s="181" t="s">
        <v>2066</v>
      </c>
      <c r="E1000" s="181" t="s">
        <v>431</v>
      </c>
      <c r="F1000" s="181" t="s">
        <v>432</v>
      </c>
      <c r="G1000" s="181" t="s">
        <v>2292</v>
      </c>
      <c r="H1000" s="181" t="s">
        <v>279</v>
      </c>
      <c r="I1000" s="181" t="s">
        <v>241</v>
      </c>
      <c r="J1000" s="267"/>
      <c r="K1000" s="269" t="n">
        <v>45942</v>
      </c>
      <c r="L1000" s="267" t="n">
        <v>1.4</v>
      </c>
      <c r="M1000" s="184" t="s">
        <v>2292</v>
      </c>
      <c r="N1000" s="184" t="n">
        <v>40740</v>
      </c>
      <c r="O1000" s="184" t="n">
        <v>16450</v>
      </c>
      <c r="P1000" s="185" t="n">
        <v>7</v>
      </c>
      <c r="Q1000" s="184" t="n">
        <v>24290</v>
      </c>
      <c r="R1000" s="184" t="n">
        <v>22589.7</v>
      </c>
      <c r="S1000" s="184" t="s">
        <v>2393</v>
      </c>
      <c r="T1000" s="187" t="n">
        <v>45943</v>
      </c>
    </row>
    <row r="1001" customFormat="false" ht="46.25" hidden="true" customHeight="false" outlineLevel="0" collapsed="false">
      <c r="A1001" s="181" t="s">
        <v>2394</v>
      </c>
      <c r="B1001" s="182" t="n">
        <v>2347</v>
      </c>
      <c r="C1001" s="183" t="n">
        <v>9507</v>
      </c>
      <c r="D1001" s="181" t="s">
        <v>2066</v>
      </c>
      <c r="E1001" s="181" t="s">
        <v>435</v>
      </c>
      <c r="F1001" s="181" t="s">
        <v>436</v>
      </c>
      <c r="G1001" s="181" t="s">
        <v>2292</v>
      </c>
      <c r="H1001" s="181" t="s">
        <v>279</v>
      </c>
      <c r="I1001" s="181" t="s">
        <v>241</v>
      </c>
      <c r="J1001" s="267"/>
      <c r="K1001" s="269" t="n">
        <v>45942</v>
      </c>
      <c r="L1001" s="267" t="n">
        <v>1.5</v>
      </c>
      <c r="M1001" s="184" t="s">
        <v>2292</v>
      </c>
      <c r="N1001" s="184" t="n">
        <v>40490</v>
      </c>
      <c r="O1001" s="184" t="n">
        <v>16400</v>
      </c>
      <c r="P1001" s="185" t="n">
        <v>9</v>
      </c>
      <c r="Q1001" s="184" t="n">
        <v>24090</v>
      </c>
      <c r="R1001" s="184" t="n">
        <v>21921.9</v>
      </c>
      <c r="S1001" s="184" t="s">
        <v>2395</v>
      </c>
      <c r="T1001" s="187" t="n">
        <v>45943</v>
      </c>
    </row>
    <row r="1002" customFormat="false" ht="35.05" hidden="true" customHeight="false" outlineLevel="0" collapsed="false">
      <c r="A1002" s="181" t="s">
        <v>2396</v>
      </c>
      <c r="B1002" s="182" t="n">
        <v>2348</v>
      </c>
      <c r="C1002" s="183" t="n">
        <v>9559</v>
      </c>
      <c r="D1002" s="181" t="s">
        <v>2066</v>
      </c>
      <c r="E1002" s="181" t="s">
        <v>549</v>
      </c>
      <c r="F1002" s="181" t="s">
        <v>550</v>
      </c>
      <c r="G1002" s="181" t="s">
        <v>3329</v>
      </c>
      <c r="H1002" s="181" t="s">
        <v>279</v>
      </c>
      <c r="I1002" s="181" t="s">
        <v>241</v>
      </c>
      <c r="J1002" s="267"/>
      <c r="K1002" s="269" t="n">
        <v>45942</v>
      </c>
      <c r="L1002" s="267" t="n">
        <v>1.4</v>
      </c>
      <c r="M1002" s="184" t="s">
        <v>3329</v>
      </c>
      <c r="N1002" s="184" t="n">
        <v>37520</v>
      </c>
      <c r="O1002" s="184" t="n">
        <v>15680</v>
      </c>
      <c r="P1002" s="185" t="n">
        <v>16</v>
      </c>
      <c r="Q1002" s="184" t="n">
        <v>21840</v>
      </c>
      <c r="R1002" s="184" t="n">
        <v>18345.6</v>
      </c>
      <c r="S1002" s="184" t="s">
        <v>2397</v>
      </c>
      <c r="T1002" s="187" t="n">
        <v>45943</v>
      </c>
    </row>
    <row r="1003" customFormat="false" ht="35.05" hidden="true" customHeight="false" outlineLevel="0" collapsed="false">
      <c r="A1003" s="181" t="s">
        <v>2398</v>
      </c>
      <c r="B1003" s="182" t="n">
        <v>2350</v>
      </c>
      <c r="C1003" s="183" t="n">
        <v>1</v>
      </c>
      <c r="D1003" s="181" t="s">
        <v>2005</v>
      </c>
      <c r="E1003" s="181" t="s">
        <v>901</v>
      </c>
      <c r="F1003" s="181" t="s">
        <v>902</v>
      </c>
      <c r="G1003" s="181" t="s">
        <v>2049</v>
      </c>
      <c r="H1003" s="181" t="s">
        <v>279</v>
      </c>
      <c r="I1003" s="181" t="s">
        <v>240</v>
      </c>
      <c r="J1003" s="267" t="n">
        <f aca="false">Таблица24[[#This Row],[Вес нетто]]</f>
        <v>20910</v>
      </c>
      <c r="K1003" s="269" t="n">
        <v>45943</v>
      </c>
      <c r="L1003" s="267" t="n">
        <v>2.5</v>
      </c>
      <c r="M1003" s="184" t="s">
        <v>3395</v>
      </c>
      <c r="N1003" s="184" t="n">
        <v>35650</v>
      </c>
      <c r="O1003" s="184" t="n">
        <v>14740</v>
      </c>
      <c r="P1003" s="185" t="n">
        <v>29</v>
      </c>
      <c r="Q1003" s="184" t="n">
        <v>20910</v>
      </c>
      <c r="R1003" s="184" t="n">
        <v>14846.1</v>
      </c>
      <c r="S1003" s="184" t="s">
        <v>2399</v>
      </c>
      <c r="T1003" s="187" t="n">
        <v>45943</v>
      </c>
    </row>
    <row r="1004" customFormat="false" ht="35.05" hidden="true" customHeight="false" outlineLevel="0" collapsed="false">
      <c r="A1004" s="181" t="s">
        <v>2400</v>
      </c>
      <c r="B1004" s="182" t="n">
        <v>2351</v>
      </c>
      <c r="C1004" s="183" t="n">
        <v>1</v>
      </c>
      <c r="D1004" s="181" t="s">
        <v>2401</v>
      </c>
      <c r="E1004" s="181" t="s">
        <v>387</v>
      </c>
      <c r="F1004" s="181" t="s">
        <v>388</v>
      </c>
      <c r="G1004" s="181" t="s">
        <v>2402</v>
      </c>
      <c r="H1004" s="181" t="s">
        <v>279</v>
      </c>
      <c r="I1004" s="181" t="s">
        <v>242</v>
      </c>
      <c r="J1004" s="267"/>
      <c r="K1004" s="269" t="n">
        <v>45943</v>
      </c>
      <c r="L1004" s="267" t="n">
        <v>1.2</v>
      </c>
      <c r="M1004" s="184" t="s">
        <v>2402</v>
      </c>
      <c r="N1004" s="184" t="n">
        <v>40030</v>
      </c>
      <c r="O1004" s="184" t="n">
        <v>15160</v>
      </c>
      <c r="P1004" s="185" t="n">
        <v>5</v>
      </c>
      <c r="Q1004" s="184" t="n">
        <v>24870</v>
      </c>
      <c r="R1004" s="184" t="n">
        <v>23626.5</v>
      </c>
      <c r="S1004" s="184" t="s">
        <v>2403</v>
      </c>
      <c r="T1004" s="187" t="n">
        <v>45943</v>
      </c>
    </row>
    <row r="1005" customFormat="false" ht="35.05" hidden="true" customHeight="false" outlineLevel="0" collapsed="false">
      <c r="A1005" s="181" t="s">
        <v>2404</v>
      </c>
      <c r="B1005" s="182" t="n">
        <v>2353</v>
      </c>
      <c r="C1005" s="183" t="n">
        <v>2</v>
      </c>
      <c r="D1005" s="181" t="s">
        <v>2401</v>
      </c>
      <c r="E1005" s="181" t="s">
        <v>377</v>
      </c>
      <c r="F1005" s="181" t="s">
        <v>378</v>
      </c>
      <c r="G1005" s="181" t="s">
        <v>142</v>
      </c>
      <c r="H1005" s="181" t="s">
        <v>158</v>
      </c>
      <c r="I1005" s="181" t="s">
        <v>242</v>
      </c>
      <c r="J1005" s="267"/>
      <c r="K1005" s="269" t="n">
        <v>45943</v>
      </c>
      <c r="L1005" s="267" t="n">
        <v>1.1</v>
      </c>
      <c r="M1005" s="184" t="s">
        <v>142</v>
      </c>
      <c r="N1005" s="184" t="n">
        <v>41510</v>
      </c>
      <c r="O1005" s="184" t="n">
        <v>15790</v>
      </c>
      <c r="P1005" s="185" t="n">
        <v>5</v>
      </c>
      <c r="Q1005" s="184" t="n">
        <v>25720</v>
      </c>
      <c r="R1005" s="184" t="n">
        <v>24434</v>
      </c>
      <c r="S1005" s="184" t="s">
        <v>2405</v>
      </c>
      <c r="T1005" s="187" t="n">
        <v>45943</v>
      </c>
    </row>
    <row r="1006" customFormat="false" ht="46.25" hidden="true" customHeight="false" outlineLevel="0" collapsed="false">
      <c r="A1006" s="181" t="s">
        <v>2406</v>
      </c>
      <c r="B1006" s="182" t="n">
        <v>2355</v>
      </c>
      <c r="C1006" s="183" t="n">
        <v>3</v>
      </c>
      <c r="D1006" s="181" t="s">
        <v>2401</v>
      </c>
      <c r="E1006" s="181" t="s">
        <v>383</v>
      </c>
      <c r="F1006" s="181" t="s">
        <v>384</v>
      </c>
      <c r="G1006" s="181" t="s">
        <v>144</v>
      </c>
      <c r="H1006" s="181" t="s">
        <v>279</v>
      </c>
      <c r="I1006" s="181" t="s">
        <v>242</v>
      </c>
      <c r="J1006" s="267"/>
      <c r="K1006" s="269" t="n">
        <v>45943</v>
      </c>
      <c r="L1006" s="267" t="n">
        <v>1.5</v>
      </c>
      <c r="M1006" s="186" t="s">
        <v>144</v>
      </c>
      <c r="N1006" s="184" t="n">
        <v>39040</v>
      </c>
      <c r="O1006" s="184" t="n">
        <v>15070</v>
      </c>
      <c r="P1006" s="185" t="n">
        <v>5</v>
      </c>
      <c r="Q1006" s="184" t="n">
        <v>23970</v>
      </c>
      <c r="R1006" s="184" t="n">
        <v>22771.5</v>
      </c>
      <c r="S1006" s="184" t="s">
        <v>2407</v>
      </c>
      <c r="T1006" s="187" t="n">
        <v>45943</v>
      </c>
    </row>
    <row r="1007" customFormat="false" ht="23.85" hidden="true" customHeight="false" outlineLevel="0" collapsed="false">
      <c r="A1007" s="197" t="s">
        <v>2408</v>
      </c>
      <c r="B1007" s="182" t="n">
        <v>2363</v>
      </c>
      <c r="C1007" s="183" t="n">
        <v>4</v>
      </c>
      <c r="D1007" s="181" t="s">
        <v>2401</v>
      </c>
      <c r="E1007" s="181" t="s">
        <v>292</v>
      </c>
      <c r="F1007" s="181" t="s">
        <v>293</v>
      </c>
      <c r="G1007" s="181" t="s">
        <v>142</v>
      </c>
      <c r="H1007" s="181" t="s">
        <v>158</v>
      </c>
      <c r="I1007" s="181" t="s">
        <v>242</v>
      </c>
      <c r="J1007" s="267"/>
      <c r="K1007" s="269" t="n">
        <v>45945</v>
      </c>
      <c r="L1007" s="267" t="n">
        <v>1</v>
      </c>
      <c r="M1007" s="184" t="s">
        <v>142</v>
      </c>
      <c r="N1007" s="184" t="n">
        <v>36500</v>
      </c>
      <c r="O1007" s="184" t="n">
        <v>13950</v>
      </c>
      <c r="P1007" s="185" t="n">
        <v>15</v>
      </c>
      <c r="Q1007" s="184" t="n">
        <v>22550</v>
      </c>
      <c r="R1007" s="184" t="n">
        <v>19167.5</v>
      </c>
      <c r="S1007" s="184" t="s">
        <v>2409</v>
      </c>
      <c r="T1007" s="187" t="n">
        <v>45945</v>
      </c>
    </row>
    <row r="1008" customFormat="false" ht="35.05" hidden="true" customHeight="false" outlineLevel="0" collapsed="false">
      <c r="A1008" s="181" t="s">
        <v>2410</v>
      </c>
      <c r="B1008" s="182" t="n">
        <v>2364</v>
      </c>
      <c r="C1008" s="183" t="n">
        <v>5</v>
      </c>
      <c r="D1008" s="181" t="s">
        <v>2401</v>
      </c>
      <c r="E1008" s="181" t="s">
        <v>576</v>
      </c>
      <c r="F1008" s="181" t="s">
        <v>577</v>
      </c>
      <c r="G1008" s="181" t="s">
        <v>142</v>
      </c>
      <c r="H1008" s="181" t="s">
        <v>158</v>
      </c>
      <c r="I1008" s="181" t="s">
        <v>242</v>
      </c>
      <c r="J1008" s="267"/>
      <c r="K1008" s="269" t="n">
        <v>45945</v>
      </c>
      <c r="L1008" s="267" t="n">
        <v>1.1</v>
      </c>
      <c r="M1008" s="184" t="s">
        <v>142</v>
      </c>
      <c r="N1008" s="184" t="n">
        <v>39090</v>
      </c>
      <c r="O1008" s="184" t="n">
        <v>14640</v>
      </c>
      <c r="P1008" s="185" t="n">
        <v>12</v>
      </c>
      <c r="Q1008" s="184" t="n">
        <v>24450</v>
      </c>
      <c r="R1008" s="184" t="n">
        <v>21516</v>
      </c>
      <c r="S1008" s="184" t="s">
        <v>2411</v>
      </c>
      <c r="T1008" s="187" t="n">
        <v>45945</v>
      </c>
    </row>
    <row r="1009" customFormat="false" ht="35.05" hidden="true" customHeight="false" outlineLevel="0" collapsed="false">
      <c r="A1009" s="181" t="s">
        <v>2412</v>
      </c>
      <c r="B1009" s="182" t="n">
        <v>2365</v>
      </c>
      <c r="C1009" s="183" t="n">
        <v>6</v>
      </c>
      <c r="D1009" s="181" t="s">
        <v>2401</v>
      </c>
      <c r="E1009" s="181" t="s">
        <v>261</v>
      </c>
      <c r="F1009" s="181" t="s">
        <v>262</v>
      </c>
      <c r="G1009" s="181" t="s">
        <v>142</v>
      </c>
      <c r="H1009" s="181" t="s">
        <v>158</v>
      </c>
      <c r="I1009" s="181" t="s">
        <v>242</v>
      </c>
      <c r="J1009" s="267"/>
      <c r="K1009" s="269" t="n">
        <v>45945</v>
      </c>
      <c r="L1009" s="267" t="n">
        <v>1</v>
      </c>
      <c r="M1009" s="184" t="s">
        <v>142</v>
      </c>
      <c r="N1009" s="184" t="n">
        <v>38780</v>
      </c>
      <c r="O1009" s="184" t="n">
        <v>15250</v>
      </c>
      <c r="P1009" s="185" t="n">
        <v>9</v>
      </c>
      <c r="Q1009" s="184" t="n">
        <v>23530</v>
      </c>
      <c r="R1009" s="184" t="n">
        <v>21412.3</v>
      </c>
      <c r="S1009" s="184" t="s">
        <v>2413</v>
      </c>
      <c r="T1009" s="187" t="n">
        <v>45945</v>
      </c>
    </row>
    <row r="1010" customFormat="false" ht="46.25" hidden="true" customHeight="false" outlineLevel="0" collapsed="false">
      <c r="A1010" s="181" t="s">
        <v>2414</v>
      </c>
      <c r="B1010" s="182" t="n">
        <v>2366</v>
      </c>
      <c r="C1010" s="183" t="n">
        <v>7</v>
      </c>
      <c r="D1010" s="181" t="s">
        <v>2401</v>
      </c>
      <c r="E1010" s="181" t="s">
        <v>282</v>
      </c>
      <c r="F1010" s="181" t="s">
        <v>283</v>
      </c>
      <c r="G1010" s="181" t="s">
        <v>142</v>
      </c>
      <c r="H1010" s="181" t="s">
        <v>158</v>
      </c>
      <c r="I1010" s="181" t="s">
        <v>242</v>
      </c>
      <c r="J1010" s="267"/>
      <c r="K1010" s="269" t="n">
        <v>45945</v>
      </c>
      <c r="L1010" s="267" t="n">
        <v>1.2</v>
      </c>
      <c r="M1010" s="184" t="s">
        <v>142</v>
      </c>
      <c r="N1010" s="184" t="n">
        <v>41350</v>
      </c>
      <c r="O1010" s="184" t="n">
        <v>15190</v>
      </c>
      <c r="P1010" s="185" t="n">
        <v>6</v>
      </c>
      <c r="Q1010" s="184" t="n">
        <v>26160</v>
      </c>
      <c r="R1010" s="184" t="n">
        <v>24590.4</v>
      </c>
      <c r="S1010" s="184" t="s">
        <v>2415</v>
      </c>
      <c r="T1010" s="187" t="n">
        <v>45945</v>
      </c>
    </row>
    <row r="1011" customFormat="false" ht="23.85" hidden="true" customHeight="false" outlineLevel="0" collapsed="false">
      <c r="A1011" s="181" t="s">
        <v>2416</v>
      </c>
      <c r="B1011" s="182" t="n">
        <v>2367</v>
      </c>
      <c r="C1011" s="183" t="n">
        <v>8</v>
      </c>
      <c r="D1011" s="181" t="s">
        <v>2401</v>
      </c>
      <c r="E1011" s="181" t="s">
        <v>272</v>
      </c>
      <c r="F1011" s="181" t="s">
        <v>273</v>
      </c>
      <c r="G1011" s="181" t="s">
        <v>142</v>
      </c>
      <c r="H1011" s="181" t="s">
        <v>158</v>
      </c>
      <c r="I1011" s="181" t="s">
        <v>242</v>
      </c>
      <c r="J1011" s="267"/>
      <c r="K1011" s="269" t="n">
        <v>45945</v>
      </c>
      <c r="L1011" s="267" t="n">
        <v>1.1</v>
      </c>
      <c r="M1011" s="184" t="s">
        <v>142</v>
      </c>
      <c r="N1011" s="184" t="n">
        <v>41760</v>
      </c>
      <c r="O1011" s="184" t="n">
        <v>15730</v>
      </c>
      <c r="P1011" s="185" t="n">
        <v>13</v>
      </c>
      <c r="Q1011" s="184" t="n">
        <v>26030</v>
      </c>
      <c r="R1011" s="184" t="n">
        <v>22646.1</v>
      </c>
      <c r="S1011" s="184" t="s">
        <v>2417</v>
      </c>
      <c r="T1011" s="187" t="n">
        <v>45946</v>
      </c>
    </row>
    <row r="1012" customFormat="false" ht="35.05" hidden="true" customHeight="false" outlineLevel="0" collapsed="false">
      <c r="A1012" s="181" t="s">
        <v>2418</v>
      </c>
      <c r="B1012" s="182" t="n">
        <v>2368</v>
      </c>
      <c r="C1012" s="183" t="n">
        <v>9</v>
      </c>
      <c r="D1012" s="181" t="s">
        <v>2401</v>
      </c>
      <c r="E1012" s="181" t="s">
        <v>582</v>
      </c>
      <c r="F1012" s="181" t="s">
        <v>583</v>
      </c>
      <c r="G1012" s="181" t="s">
        <v>142</v>
      </c>
      <c r="H1012" s="181" t="s">
        <v>158</v>
      </c>
      <c r="I1012" s="181" t="s">
        <v>242</v>
      </c>
      <c r="J1012" s="267"/>
      <c r="K1012" s="269" t="n">
        <v>45945</v>
      </c>
      <c r="L1012" s="267" t="n">
        <v>1.2</v>
      </c>
      <c r="M1012" s="184" t="s">
        <v>142</v>
      </c>
      <c r="N1012" s="184" t="n">
        <v>42560</v>
      </c>
      <c r="O1012" s="184" t="n">
        <v>14950</v>
      </c>
      <c r="P1012" s="185" t="n">
        <v>8</v>
      </c>
      <c r="Q1012" s="184" t="n">
        <v>27610</v>
      </c>
      <c r="R1012" s="184" t="n">
        <v>25401.2</v>
      </c>
      <c r="S1012" s="184" t="s">
        <v>2419</v>
      </c>
      <c r="T1012" s="187" t="n">
        <v>45946</v>
      </c>
    </row>
    <row r="1013" customFormat="false" ht="35.05" hidden="true" customHeight="false" outlineLevel="0" collapsed="false">
      <c r="A1013" s="181" t="s">
        <v>2420</v>
      </c>
      <c r="B1013" s="182" t="n">
        <v>2369</v>
      </c>
      <c r="C1013" s="183" t="n">
        <v>10</v>
      </c>
      <c r="D1013" s="181" t="s">
        <v>2401</v>
      </c>
      <c r="E1013" s="181" t="s">
        <v>901</v>
      </c>
      <c r="F1013" s="181" t="s">
        <v>902</v>
      </c>
      <c r="G1013" s="181" t="s">
        <v>142</v>
      </c>
      <c r="H1013" s="181" t="s">
        <v>158</v>
      </c>
      <c r="I1013" s="181" t="s">
        <v>242</v>
      </c>
      <c r="J1013" s="267"/>
      <c r="K1013" s="269" t="n">
        <v>45945</v>
      </c>
      <c r="L1013" s="267" t="n">
        <v>1</v>
      </c>
      <c r="M1013" s="184" t="s">
        <v>142</v>
      </c>
      <c r="N1013" s="184" t="n">
        <v>38420</v>
      </c>
      <c r="O1013" s="184" t="n">
        <v>14800</v>
      </c>
      <c r="P1013" s="185" t="n">
        <v>17</v>
      </c>
      <c r="Q1013" s="184" t="n">
        <v>23620</v>
      </c>
      <c r="R1013" s="184" t="n">
        <v>19604.6</v>
      </c>
      <c r="S1013" s="184" t="s">
        <v>2421</v>
      </c>
      <c r="T1013" s="187" t="n">
        <v>45946</v>
      </c>
    </row>
    <row r="1014" customFormat="false" ht="35.05" hidden="true" customHeight="false" outlineLevel="0" collapsed="false">
      <c r="A1014" s="181" t="s">
        <v>2422</v>
      </c>
      <c r="B1014" s="182" t="n">
        <v>2370</v>
      </c>
      <c r="C1014" s="183" t="n">
        <v>11</v>
      </c>
      <c r="D1014" s="181" t="s">
        <v>2401</v>
      </c>
      <c r="E1014" s="181" t="s">
        <v>266</v>
      </c>
      <c r="F1014" s="181" t="s">
        <v>267</v>
      </c>
      <c r="G1014" s="181" t="s">
        <v>142</v>
      </c>
      <c r="H1014" s="181" t="s">
        <v>158</v>
      </c>
      <c r="I1014" s="181" t="s">
        <v>242</v>
      </c>
      <c r="J1014" s="267"/>
      <c r="K1014" s="269" t="n">
        <v>45945</v>
      </c>
      <c r="L1014" s="267" t="n">
        <v>1.1</v>
      </c>
      <c r="M1014" s="184" t="s">
        <v>142</v>
      </c>
      <c r="N1014" s="184" t="n">
        <v>40190</v>
      </c>
      <c r="O1014" s="184" t="n">
        <v>15040</v>
      </c>
      <c r="P1014" s="185" t="n">
        <v>10</v>
      </c>
      <c r="Q1014" s="184" t="n">
        <v>25150</v>
      </c>
      <c r="R1014" s="184" t="n">
        <v>22635</v>
      </c>
      <c r="S1014" s="184" t="s">
        <v>2423</v>
      </c>
      <c r="T1014" s="187" t="n">
        <v>45946</v>
      </c>
    </row>
    <row r="1015" customFormat="false" ht="35.05" hidden="true" customHeight="false" outlineLevel="0" collapsed="false">
      <c r="A1015" s="181" t="s">
        <v>3330</v>
      </c>
      <c r="B1015" s="182" t="n">
        <v>2371</v>
      </c>
      <c r="C1015" s="183" t="n">
        <v>12</v>
      </c>
      <c r="D1015" s="181" t="s">
        <v>2401</v>
      </c>
      <c r="E1015" s="181" t="s">
        <v>277</v>
      </c>
      <c r="F1015" s="181" t="s">
        <v>278</v>
      </c>
      <c r="G1015" s="181" t="s">
        <v>142</v>
      </c>
      <c r="H1015" s="181" t="s">
        <v>158</v>
      </c>
      <c r="I1015" s="181" t="s">
        <v>242</v>
      </c>
      <c r="J1015" s="267"/>
      <c r="K1015" s="269" t="n">
        <v>45945</v>
      </c>
      <c r="L1015" s="267" t="n">
        <v>1.3</v>
      </c>
      <c r="M1015" s="184" t="s">
        <v>142</v>
      </c>
      <c r="N1015" s="184" t="n">
        <v>43730</v>
      </c>
      <c r="O1015" s="184" t="n">
        <v>15240</v>
      </c>
      <c r="P1015" s="185" t="n">
        <v>9</v>
      </c>
      <c r="Q1015" s="184" t="n">
        <v>28490</v>
      </c>
      <c r="R1015" s="184" t="n">
        <v>25925.9</v>
      </c>
      <c r="S1015" s="184" t="s">
        <v>2425</v>
      </c>
      <c r="T1015" s="187" t="n">
        <v>45946</v>
      </c>
    </row>
    <row r="1016" customFormat="false" ht="23.85" hidden="true" customHeight="false" outlineLevel="0" collapsed="false">
      <c r="A1016" s="181" t="s">
        <v>2430</v>
      </c>
      <c r="B1016" s="182" t="n">
        <v>2372</v>
      </c>
      <c r="C1016" s="183" t="n">
        <v>13</v>
      </c>
      <c r="D1016" s="181" t="s">
        <v>2401</v>
      </c>
      <c r="E1016" s="181" t="s">
        <v>346</v>
      </c>
      <c r="F1016" s="181" t="s">
        <v>347</v>
      </c>
      <c r="G1016" s="181" t="s">
        <v>142</v>
      </c>
      <c r="H1016" s="181" t="s">
        <v>158</v>
      </c>
      <c r="I1016" s="181" t="s">
        <v>242</v>
      </c>
      <c r="J1016" s="267"/>
      <c r="K1016" s="269" t="n">
        <v>45945</v>
      </c>
      <c r="L1016" s="267" t="n">
        <v>1.1</v>
      </c>
      <c r="M1016" s="184" t="s">
        <v>142</v>
      </c>
      <c r="N1016" s="184" t="n">
        <v>40790</v>
      </c>
      <c r="O1016" s="184" t="n">
        <v>15300</v>
      </c>
      <c r="P1016" s="185" t="n">
        <v>13</v>
      </c>
      <c r="Q1016" s="184" t="n">
        <v>25490</v>
      </c>
      <c r="R1016" s="184" t="n">
        <v>22176.3</v>
      </c>
      <c r="S1016" s="184" t="s">
        <v>3331</v>
      </c>
      <c r="T1016" s="187" t="n">
        <v>45946</v>
      </c>
    </row>
    <row r="1017" customFormat="false" ht="35.05" hidden="true" customHeight="false" outlineLevel="0" collapsed="false">
      <c r="A1017" s="181" t="s">
        <v>2427</v>
      </c>
      <c r="B1017" s="182" t="n">
        <v>2373</v>
      </c>
      <c r="C1017" s="183" t="n">
        <v>14</v>
      </c>
      <c r="D1017" s="181" t="s">
        <v>2401</v>
      </c>
      <c r="E1017" s="181" t="s">
        <v>332</v>
      </c>
      <c r="F1017" s="181" t="s">
        <v>333</v>
      </c>
      <c r="G1017" s="181" t="s">
        <v>142</v>
      </c>
      <c r="H1017" s="181" t="s">
        <v>158</v>
      </c>
      <c r="I1017" s="181" t="s">
        <v>242</v>
      </c>
      <c r="J1017" s="267"/>
      <c r="K1017" s="269" t="n">
        <v>45945</v>
      </c>
      <c r="L1017" s="267" t="n">
        <v>1.1</v>
      </c>
      <c r="M1017" s="184" t="s">
        <v>142</v>
      </c>
      <c r="N1017" s="184" t="n">
        <v>39590</v>
      </c>
      <c r="O1017" s="184" t="n">
        <v>14910</v>
      </c>
      <c r="P1017" s="185" t="n">
        <v>16</v>
      </c>
      <c r="Q1017" s="184" t="n">
        <v>24680</v>
      </c>
      <c r="R1017" s="184" t="n">
        <v>20731.2</v>
      </c>
      <c r="S1017" s="184" t="s">
        <v>3332</v>
      </c>
      <c r="T1017" s="187" t="n">
        <v>45946</v>
      </c>
    </row>
    <row r="1018" customFormat="false" ht="23.85" hidden="true" customHeight="false" outlineLevel="0" collapsed="false">
      <c r="A1018" s="181" t="s">
        <v>2433</v>
      </c>
      <c r="B1018" s="182" t="n">
        <v>2378</v>
      </c>
      <c r="C1018" s="183" t="n">
        <v>15</v>
      </c>
      <c r="D1018" s="181" t="s">
        <v>2401</v>
      </c>
      <c r="E1018" s="181" t="s">
        <v>367</v>
      </c>
      <c r="F1018" s="181" t="s">
        <v>368</v>
      </c>
      <c r="G1018" s="181" t="s">
        <v>142</v>
      </c>
      <c r="H1018" s="181" t="s">
        <v>158</v>
      </c>
      <c r="I1018" s="181" t="s">
        <v>242</v>
      </c>
      <c r="J1018" s="267"/>
      <c r="K1018" s="269" t="n">
        <v>45945</v>
      </c>
      <c r="L1018" s="267" t="n">
        <v>1.4</v>
      </c>
      <c r="M1018" s="184" t="s">
        <v>142</v>
      </c>
      <c r="N1018" s="184" t="n">
        <v>50820</v>
      </c>
      <c r="O1018" s="184" t="n">
        <v>18920</v>
      </c>
      <c r="P1018" s="185" t="n">
        <v>12</v>
      </c>
      <c r="Q1018" s="184" t="n">
        <v>31900</v>
      </c>
      <c r="R1018" s="184" t="n">
        <v>28072</v>
      </c>
      <c r="S1018" s="184" t="s">
        <v>2434</v>
      </c>
      <c r="T1018" s="187" t="n">
        <v>45946</v>
      </c>
    </row>
    <row r="1019" customFormat="false" ht="23.85" hidden="true" customHeight="false" outlineLevel="0" collapsed="false">
      <c r="A1019" s="181" t="s">
        <v>2436</v>
      </c>
      <c r="B1019" s="182" t="n">
        <v>2380</v>
      </c>
      <c r="C1019" s="183" t="n">
        <v>16</v>
      </c>
      <c r="D1019" s="181" t="s">
        <v>2401</v>
      </c>
      <c r="E1019" s="181" t="s">
        <v>2351</v>
      </c>
      <c r="F1019" s="181" t="s">
        <v>2352</v>
      </c>
      <c r="G1019" s="181" t="s">
        <v>142</v>
      </c>
      <c r="H1019" s="181" t="s">
        <v>158</v>
      </c>
      <c r="I1019" s="181" t="s">
        <v>242</v>
      </c>
      <c r="J1019" s="267"/>
      <c r="K1019" s="269" t="n">
        <v>45945</v>
      </c>
      <c r="L1019" s="267" t="n">
        <v>1.4</v>
      </c>
      <c r="M1019" s="184" t="s">
        <v>142</v>
      </c>
      <c r="N1019" s="184" t="n">
        <v>49390</v>
      </c>
      <c r="O1019" s="184" t="n">
        <v>17650</v>
      </c>
      <c r="P1019" s="185" t="n">
        <v>13</v>
      </c>
      <c r="Q1019" s="184" t="n">
        <v>31740</v>
      </c>
      <c r="R1019" s="184" t="n">
        <v>27613.8</v>
      </c>
      <c r="S1019" s="184" t="s">
        <v>2437</v>
      </c>
      <c r="T1019" s="187" t="n">
        <v>45946</v>
      </c>
    </row>
    <row r="1020" customFormat="false" ht="35.05" hidden="true" customHeight="false" outlineLevel="0" collapsed="false">
      <c r="A1020" s="181" t="s">
        <v>2438</v>
      </c>
      <c r="B1020" s="182" t="n">
        <v>2385</v>
      </c>
      <c r="C1020" s="183" t="n">
        <v>17</v>
      </c>
      <c r="D1020" s="181" t="s">
        <v>2401</v>
      </c>
      <c r="E1020" s="181" t="s">
        <v>300</v>
      </c>
      <c r="F1020" s="181" t="s">
        <v>301</v>
      </c>
      <c r="G1020" s="181" t="s">
        <v>142</v>
      </c>
      <c r="H1020" s="181" t="s">
        <v>158</v>
      </c>
      <c r="I1020" s="181" t="s">
        <v>242</v>
      </c>
      <c r="J1020" s="267"/>
      <c r="K1020" s="269" t="n">
        <v>45945</v>
      </c>
      <c r="L1020" s="267" t="n">
        <v>1.9</v>
      </c>
      <c r="M1020" s="184" t="s">
        <v>142</v>
      </c>
      <c r="N1020" s="184" t="n">
        <v>63670</v>
      </c>
      <c r="O1020" s="184" t="n">
        <v>21410</v>
      </c>
      <c r="P1020" s="185" t="n">
        <v>10</v>
      </c>
      <c r="Q1020" s="184" t="n">
        <v>42260</v>
      </c>
      <c r="R1020" s="184" t="n">
        <v>38034</v>
      </c>
      <c r="S1020" s="184" t="s">
        <v>2439</v>
      </c>
      <c r="T1020" s="187" t="n">
        <v>45946</v>
      </c>
    </row>
    <row r="1021" customFormat="false" ht="23.85" hidden="true" customHeight="false" outlineLevel="0" collapsed="false">
      <c r="A1021" s="181" t="s">
        <v>2440</v>
      </c>
      <c r="B1021" s="182" t="n">
        <v>2387</v>
      </c>
      <c r="C1021" s="183" t="n">
        <v>18</v>
      </c>
      <c r="D1021" s="181" t="s">
        <v>2401</v>
      </c>
      <c r="E1021" s="181" t="s">
        <v>354</v>
      </c>
      <c r="F1021" s="181" t="s">
        <v>355</v>
      </c>
      <c r="G1021" s="181" t="s">
        <v>142</v>
      </c>
      <c r="H1021" s="181" t="s">
        <v>158</v>
      </c>
      <c r="I1021" s="181" t="s">
        <v>242</v>
      </c>
      <c r="J1021" s="267"/>
      <c r="K1021" s="269" t="n">
        <v>45946</v>
      </c>
      <c r="L1021" s="267" t="n">
        <v>1.1</v>
      </c>
      <c r="M1021" s="184" t="s">
        <v>142</v>
      </c>
      <c r="N1021" s="184" t="n">
        <v>40550</v>
      </c>
      <c r="O1021" s="184" t="n">
        <v>14940</v>
      </c>
      <c r="P1021" s="185" t="n">
        <v>13</v>
      </c>
      <c r="Q1021" s="184" t="n">
        <v>25610</v>
      </c>
      <c r="R1021" s="184" t="n">
        <v>22280.7</v>
      </c>
      <c r="S1021" s="184" t="s">
        <v>2441</v>
      </c>
      <c r="T1021" s="187" t="n">
        <v>45946</v>
      </c>
    </row>
    <row r="1022" customFormat="false" ht="35.05" hidden="true" customHeight="false" outlineLevel="0" collapsed="false">
      <c r="A1022" s="181" t="s">
        <v>2442</v>
      </c>
      <c r="B1022" s="182" t="n">
        <v>2388</v>
      </c>
      <c r="C1022" s="183" t="n">
        <v>20</v>
      </c>
      <c r="D1022" s="181" t="s">
        <v>2401</v>
      </c>
      <c r="E1022" s="181" t="s">
        <v>359</v>
      </c>
      <c r="F1022" s="181" t="s">
        <v>360</v>
      </c>
      <c r="G1022" s="181" t="s">
        <v>142</v>
      </c>
      <c r="H1022" s="181" t="s">
        <v>158</v>
      </c>
      <c r="I1022" s="181" t="s">
        <v>242</v>
      </c>
      <c r="J1022" s="267"/>
      <c r="K1022" s="269" t="n">
        <v>45946</v>
      </c>
      <c r="L1022" s="267" t="n">
        <v>0.9</v>
      </c>
      <c r="M1022" s="184" t="s">
        <v>142</v>
      </c>
      <c r="N1022" s="184" t="n">
        <v>35970</v>
      </c>
      <c r="O1022" s="184" t="n">
        <v>15110</v>
      </c>
      <c r="P1022" s="185" t="n">
        <v>15</v>
      </c>
      <c r="Q1022" s="184" t="n">
        <v>20860</v>
      </c>
      <c r="R1022" s="184" t="n">
        <v>17731</v>
      </c>
      <c r="S1022" s="184" t="s">
        <v>2443</v>
      </c>
      <c r="T1022" s="187" t="n">
        <v>45946</v>
      </c>
    </row>
    <row r="1023" customFormat="false" ht="35.05" hidden="true" customHeight="false" outlineLevel="0" collapsed="false">
      <c r="A1023" s="181" t="s">
        <v>2444</v>
      </c>
      <c r="B1023" s="182" t="n">
        <v>2389</v>
      </c>
      <c r="C1023" s="183" t="n">
        <v>19</v>
      </c>
      <c r="D1023" s="181" t="s">
        <v>2401</v>
      </c>
      <c r="E1023" s="181" t="s">
        <v>413</v>
      </c>
      <c r="F1023" s="181" t="s">
        <v>414</v>
      </c>
      <c r="G1023" s="181" t="s">
        <v>142</v>
      </c>
      <c r="H1023" s="181" t="s">
        <v>158</v>
      </c>
      <c r="I1023" s="181" t="s">
        <v>242</v>
      </c>
      <c r="J1023" s="267"/>
      <c r="K1023" s="269" t="n">
        <v>45946</v>
      </c>
      <c r="L1023" s="267" t="n">
        <v>1.4</v>
      </c>
      <c r="M1023" s="184" t="s">
        <v>142</v>
      </c>
      <c r="N1023" s="184" t="n">
        <v>47070</v>
      </c>
      <c r="O1023" s="184" t="n">
        <v>15930</v>
      </c>
      <c r="P1023" s="185" t="n">
        <v>17</v>
      </c>
      <c r="Q1023" s="184" t="n">
        <v>31140</v>
      </c>
      <c r="R1023" s="184" t="n">
        <v>25846.2</v>
      </c>
      <c r="S1023" s="184" t="s">
        <v>2445</v>
      </c>
      <c r="T1023" s="187" t="n">
        <v>45946</v>
      </c>
    </row>
    <row r="1024" customFormat="false" ht="35.05" hidden="true" customHeight="false" outlineLevel="0" collapsed="false">
      <c r="A1024" s="181" t="s">
        <v>2448</v>
      </c>
      <c r="B1024" s="182" t="n">
        <v>2390</v>
      </c>
      <c r="C1024" s="183" t="n">
        <v>22</v>
      </c>
      <c r="D1024" s="181" t="s">
        <v>2401</v>
      </c>
      <c r="E1024" s="181" t="s">
        <v>399</v>
      </c>
      <c r="F1024" s="181" t="s">
        <v>400</v>
      </c>
      <c r="G1024" s="181" t="s">
        <v>142</v>
      </c>
      <c r="H1024" s="181" t="s">
        <v>158</v>
      </c>
      <c r="I1024" s="181" t="s">
        <v>242</v>
      </c>
      <c r="J1024" s="267"/>
      <c r="K1024" s="269" t="n">
        <v>45946</v>
      </c>
      <c r="L1024" s="267" t="n">
        <v>1.5</v>
      </c>
      <c r="M1024" s="184" t="s">
        <v>142</v>
      </c>
      <c r="N1024" s="184" t="n">
        <v>53680</v>
      </c>
      <c r="O1024" s="184" t="n">
        <v>19660</v>
      </c>
      <c r="P1024" s="185" t="n">
        <v>17</v>
      </c>
      <c r="Q1024" s="184" t="n">
        <v>34020</v>
      </c>
      <c r="R1024" s="184" t="n">
        <v>28236.6</v>
      </c>
      <c r="S1024" s="184" t="s">
        <v>2449</v>
      </c>
      <c r="T1024" s="187" t="n">
        <v>45946</v>
      </c>
    </row>
    <row r="1025" customFormat="false" ht="35.05" hidden="true" customHeight="false" outlineLevel="0" collapsed="false">
      <c r="A1025" s="181" t="s">
        <v>2456</v>
      </c>
      <c r="B1025" s="182" t="n">
        <v>2393</v>
      </c>
      <c r="C1025" s="183" t="n">
        <v>21</v>
      </c>
      <c r="D1025" s="181" t="s">
        <v>2401</v>
      </c>
      <c r="E1025" s="181" t="s">
        <v>409</v>
      </c>
      <c r="F1025" s="181" t="s">
        <v>410</v>
      </c>
      <c r="G1025" s="181" t="s">
        <v>142</v>
      </c>
      <c r="H1025" s="181" t="s">
        <v>158</v>
      </c>
      <c r="I1025" s="181" t="s">
        <v>242</v>
      </c>
      <c r="J1025" s="267"/>
      <c r="K1025" s="269" t="n">
        <v>45946</v>
      </c>
      <c r="L1025" s="267" t="n">
        <v>1.8</v>
      </c>
      <c r="M1025" s="184" t="s">
        <v>142</v>
      </c>
      <c r="N1025" s="184" t="n">
        <v>64850</v>
      </c>
      <c r="O1025" s="184" t="n">
        <v>24610</v>
      </c>
      <c r="P1025" s="185" t="n">
        <v>6</v>
      </c>
      <c r="Q1025" s="184" t="n">
        <v>40240</v>
      </c>
      <c r="R1025" s="184" t="n">
        <v>37825.6</v>
      </c>
      <c r="S1025" s="184" t="s">
        <v>2457</v>
      </c>
      <c r="T1025" s="187" t="n">
        <v>45946</v>
      </c>
    </row>
    <row r="1026" customFormat="false" ht="23.85" hidden="true" customHeight="false" outlineLevel="0" collapsed="false">
      <c r="A1026" s="181" t="s">
        <v>2460</v>
      </c>
      <c r="B1026" s="182" t="n">
        <v>2394</v>
      </c>
      <c r="C1026" s="183" t="n">
        <v>23</v>
      </c>
      <c r="D1026" s="181" t="s">
        <v>2401</v>
      </c>
      <c r="E1026" s="181" t="s">
        <v>308</v>
      </c>
      <c r="F1026" s="181" t="s">
        <v>309</v>
      </c>
      <c r="G1026" s="181" t="s">
        <v>142</v>
      </c>
      <c r="H1026" s="181" t="s">
        <v>158</v>
      </c>
      <c r="I1026" s="181" t="s">
        <v>242</v>
      </c>
      <c r="J1026" s="267"/>
      <c r="K1026" s="269" t="n">
        <v>45946</v>
      </c>
      <c r="L1026" s="267" t="n">
        <v>1.7</v>
      </c>
      <c r="M1026" s="184" t="s">
        <v>142</v>
      </c>
      <c r="N1026" s="184" t="n">
        <v>63210</v>
      </c>
      <c r="O1026" s="184" t="n">
        <v>24240</v>
      </c>
      <c r="P1026" s="185" t="n">
        <v>17</v>
      </c>
      <c r="Q1026" s="184" t="n">
        <v>38970</v>
      </c>
      <c r="R1026" s="184" t="n">
        <v>32345.1</v>
      </c>
      <c r="S1026" s="184" t="s">
        <v>2461</v>
      </c>
      <c r="T1026" s="187" t="n">
        <v>45946</v>
      </c>
    </row>
    <row r="1027" customFormat="false" ht="35.05" hidden="true" customHeight="false" outlineLevel="0" collapsed="false">
      <c r="A1027" s="181" t="s">
        <v>2446</v>
      </c>
      <c r="B1027" s="182" t="n">
        <v>2395</v>
      </c>
      <c r="C1027" s="183" t="n">
        <v>25</v>
      </c>
      <c r="D1027" s="181" t="s">
        <v>2401</v>
      </c>
      <c r="E1027" s="181" t="s">
        <v>350</v>
      </c>
      <c r="F1027" s="181" t="s">
        <v>351</v>
      </c>
      <c r="G1027" s="181" t="s">
        <v>142</v>
      </c>
      <c r="H1027" s="181" t="s">
        <v>158</v>
      </c>
      <c r="I1027" s="181" t="s">
        <v>242</v>
      </c>
      <c r="J1027" s="267"/>
      <c r="K1027" s="269" t="n">
        <v>45946</v>
      </c>
      <c r="L1027" s="267" t="n">
        <v>1.3</v>
      </c>
      <c r="M1027" s="184" t="s">
        <v>142</v>
      </c>
      <c r="N1027" s="184" t="n">
        <v>43820</v>
      </c>
      <c r="O1027" s="184" t="n">
        <v>15240</v>
      </c>
      <c r="P1027" s="185" t="n">
        <v>6</v>
      </c>
      <c r="Q1027" s="184" t="n">
        <v>28580</v>
      </c>
      <c r="R1027" s="184" t="n">
        <v>26865.2</v>
      </c>
      <c r="S1027" s="184" t="s">
        <v>2447</v>
      </c>
      <c r="T1027" s="187" t="n">
        <v>45946</v>
      </c>
    </row>
    <row r="1028" customFormat="false" ht="35.05" hidden="true" customHeight="false" outlineLevel="0" collapsed="false">
      <c r="A1028" s="181" t="s">
        <v>2450</v>
      </c>
      <c r="B1028" s="182" t="n">
        <v>2396</v>
      </c>
      <c r="C1028" s="183" t="n">
        <v>24</v>
      </c>
      <c r="D1028" s="181" t="s">
        <v>2401</v>
      </c>
      <c r="E1028" s="181" t="s">
        <v>304</v>
      </c>
      <c r="F1028" s="181" t="s">
        <v>305</v>
      </c>
      <c r="G1028" s="181" t="s">
        <v>142</v>
      </c>
      <c r="H1028" s="181" t="s">
        <v>158</v>
      </c>
      <c r="I1028" s="181" t="s">
        <v>242</v>
      </c>
      <c r="J1028" s="267"/>
      <c r="K1028" s="269" t="n">
        <v>45946</v>
      </c>
      <c r="L1028" s="267" t="n">
        <v>1.1</v>
      </c>
      <c r="M1028" s="184" t="s">
        <v>142</v>
      </c>
      <c r="N1028" s="184" t="n">
        <v>39450</v>
      </c>
      <c r="O1028" s="184" t="n">
        <v>15180</v>
      </c>
      <c r="P1028" s="185" t="n">
        <v>10</v>
      </c>
      <c r="Q1028" s="184" t="n">
        <v>24270</v>
      </c>
      <c r="R1028" s="184" t="n">
        <v>21843</v>
      </c>
      <c r="S1028" s="184" t="s">
        <v>2451</v>
      </c>
      <c r="T1028" s="187" t="n">
        <v>45946</v>
      </c>
    </row>
    <row r="1029" customFormat="false" ht="23.85" hidden="true" customHeight="false" outlineLevel="0" collapsed="false">
      <c r="A1029" s="181" t="s">
        <v>2452</v>
      </c>
      <c r="B1029" s="182" t="n">
        <v>2398</v>
      </c>
      <c r="C1029" s="183" t="n">
        <v>27</v>
      </c>
      <c r="D1029" s="181" t="s">
        <v>2401</v>
      </c>
      <c r="E1029" s="181" t="s">
        <v>373</v>
      </c>
      <c r="F1029" s="181" t="s">
        <v>374</v>
      </c>
      <c r="G1029" s="181" t="s">
        <v>142</v>
      </c>
      <c r="H1029" s="181" t="s">
        <v>158</v>
      </c>
      <c r="I1029" s="181" t="s">
        <v>242</v>
      </c>
      <c r="J1029" s="267"/>
      <c r="K1029" s="269" t="n">
        <v>45946</v>
      </c>
      <c r="L1029" s="267" t="n">
        <v>1.2</v>
      </c>
      <c r="M1029" s="184" t="s">
        <v>142</v>
      </c>
      <c r="N1029" s="184" t="n">
        <v>42810</v>
      </c>
      <c r="O1029" s="184" t="n">
        <v>14600</v>
      </c>
      <c r="P1029" s="185" t="n">
        <v>12</v>
      </c>
      <c r="Q1029" s="184" t="n">
        <v>28210</v>
      </c>
      <c r="R1029" s="184" t="n">
        <v>24824.8</v>
      </c>
      <c r="S1029" s="184" t="s">
        <v>2453</v>
      </c>
      <c r="T1029" s="187" t="n">
        <v>45946</v>
      </c>
    </row>
    <row r="1030" customFormat="false" ht="46.25" hidden="true" customHeight="false" outlineLevel="0" collapsed="false">
      <c r="A1030" s="181" t="s">
        <v>2454</v>
      </c>
      <c r="B1030" s="182" t="n">
        <v>2399</v>
      </c>
      <c r="C1030" s="183" t="n">
        <v>26</v>
      </c>
      <c r="D1030" s="181" t="s">
        <v>2401</v>
      </c>
      <c r="E1030" s="181" t="s">
        <v>383</v>
      </c>
      <c r="F1030" s="181" t="s">
        <v>384</v>
      </c>
      <c r="G1030" s="181" t="s">
        <v>142</v>
      </c>
      <c r="H1030" s="181" t="s">
        <v>158</v>
      </c>
      <c r="I1030" s="181" t="s">
        <v>242</v>
      </c>
      <c r="J1030" s="267"/>
      <c r="K1030" s="269" t="n">
        <v>45946</v>
      </c>
      <c r="L1030" s="267" t="n">
        <v>1.2</v>
      </c>
      <c r="M1030" s="184" t="s">
        <v>142</v>
      </c>
      <c r="N1030" s="184" t="n">
        <v>42560</v>
      </c>
      <c r="O1030" s="184" t="n">
        <v>15130</v>
      </c>
      <c r="P1030" s="185" t="n">
        <v>9</v>
      </c>
      <c r="Q1030" s="184" t="n">
        <v>27430</v>
      </c>
      <c r="R1030" s="184" t="n">
        <v>24961.3</v>
      </c>
      <c r="S1030" s="184" t="s">
        <v>2455</v>
      </c>
      <c r="T1030" s="187" t="n">
        <v>45946</v>
      </c>
    </row>
    <row r="1031" customFormat="false" ht="35.05" hidden="true" customHeight="false" outlineLevel="0" collapsed="false">
      <c r="A1031" s="181" t="s">
        <v>2458</v>
      </c>
      <c r="B1031" s="182" t="n">
        <v>2401</v>
      </c>
      <c r="C1031" s="183" t="n">
        <v>28</v>
      </c>
      <c r="D1031" s="181" t="s">
        <v>2401</v>
      </c>
      <c r="E1031" s="181" t="s">
        <v>387</v>
      </c>
      <c r="F1031" s="181" t="s">
        <v>388</v>
      </c>
      <c r="G1031" s="181" t="s">
        <v>142</v>
      </c>
      <c r="H1031" s="181" t="s">
        <v>158</v>
      </c>
      <c r="I1031" s="181" t="s">
        <v>242</v>
      </c>
      <c r="J1031" s="267"/>
      <c r="K1031" s="269" t="n">
        <v>45946</v>
      </c>
      <c r="L1031" s="267" t="n">
        <v>1.2</v>
      </c>
      <c r="M1031" s="184" t="s">
        <v>142</v>
      </c>
      <c r="N1031" s="184" t="n">
        <v>43310</v>
      </c>
      <c r="O1031" s="184" t="n">
        <v>15310</v>
      </c>
      <c r="P1031" s="185" t="n">
        <v>12</v>
      </c>
      <c r="Q1031" s="184" t="n">
        <v>28000</v>
      </c>
      <c r="R1031" s="184" t="n">
        <v>24640</v>
      </c>
      <c r="S1031" s="184" t="s">
        <v>2459</v>
      </c>
      <c r="T1031" s="187" t="n">
        <v>45946</v>
      </c>
    </row>
    <row r="1032" customFormat="false" ht="46.25" hidden="true" customHeight="false" outlineLevel="0" collapsed="false">
      <c r="A1032" s="181" t="s">
        <v>2466</v>
      </c>
      <c r="B1032" s="182" t="n">
        <v>2402</v>
      </c>
      <c r="C1032" s="183" t="n">
        <v>29</v>
      </c>
      <c r="D1032" s="181" t="s">
        <v>2401</v>
      </c>
      <c r="E1032" s="181" t="s">
        <v>288</v>
      </c>
      <c r="F1032" s="181" t="s">
        <v>289</v>
      </c>
      <c r="G1032" s="181" t="s">
        <v>142</v>
      </c>
      <c r="H1032" s="181" t="s">
        <v>158</v>
      </c>
      <c r="I1032" s="181" t="s">
        <v>242</v>
      </c>
      <c r="J1032" s="267"/>
      <c r="K1032" s="269" t="n">
        <v>45946</v>
      </c>
      <c r="L1032" s="267" t="n">
        <v>1</v>
      </c>
      <c r="M1032" s="184" t="s">
        <v>142</v>
      </c>
      <c r="N1032" s="184" t="n">
        <v>37530</v>
      </c>
      <c r="O1032" s="184" t="n">
        <v>14680</v>
      </c>
      <c r="P1032" s="185" t="n">
        <v>16</v>
      </c>
      <c r="Q1032" s="184" t="n">
        <v>22850</v>
      </c>
      <c r="R1032" s="184" t="n">
        <v>19194</v>
      </c>
      <c r="S1032" s="184" t="s">
        <v>2467</v>
      </c>
      <c r="T1032" s="187" t="n">
        <v>45946</v>
      </c>
    </row>
    <row r="1033" customFormat="false" ht="23.85" hidden="true" customHeight="false" outlineLevel="0" collapsed="false">
      <c r="A1033" s="181" t="s">
        <v>2462</v>
      </c>
      <c r="B1033" s="182" t="n">
        <v>2403</v>
      </c>
      <c r="C1033" s="183" t="n">
        <v>30</v>
      </c>
      <c r="D1033" s="181" t="s">
        <v>2401</v>
      </c>
      <c r="E1033" s="181" t="s">
        <v>292</v>
      </c>
      <c r="F1033" s="181" t="s">
        <v>293</v>
      </c>
      <c r="G1033" s="181" t="s">
        <v>142</v>
      </c>
      <c r="H1033" s="181" t="s">
        <v>158</v>
      </c>
      <c r="I1033" s="181" t="s">
        <v>242</v>
      </c>
      <c r="J1033" s="267"/>
      <c r="K1033" s="269" t="n">
        <v>45946</v>
      </c>
      <c r="L1033" s="267" t="n">
        <v>1</v>
      </c>
      <c r="M1033" s="184" t="s">
        <v>142</v>
      </c>
      <c r="N1033" s="184" t="n">
        <v>36800</v>
      </c>
      <c r="O1033" s="184" t="n">
        <v>13980</v>
      </c>
      <c r="P1033" s="185" t="n">
        <v>17</v>
      </c>
      <c r="Q1033" s="184" t="n">
        <v>22820</v>
      </c>
      <c r="R1033" s="184" t="n">
        <v>18940.6</v>
      </c>
      <c r="S1033" s="184" t="s">
        <v>2463</v>
      </c>
      <c r="T1033" s="187" t="n">
        <v>45946</v>
      </c>
    </row>
    <row r="1034" customFormat="false" ht="23.85" hidden="true" customHeight="false" outlineLevel="0" collapsed="false">
      <c r="A1034" s="181" t="s">
        <v>2464</v>
      </c>
      <c r="B1034" s="182" t="n">
        <v>2405</v>
      </c>
      <c r="C1034" s="183" t="n">
        <v>31</v>
      </c>
      <c r="D1034" s="181" t="s">
        <v>2401</v>
      </c>
      <c r="E1034" s="181" t="s">
        <v>346</v>
      </c>
      <c r="F1034" s="181" t="s">
        <v>347</v>
      </c>
      <c r="G1034" s="181" t="s">
        <v>142</v>
      </c>
      <c r="H1034" s="181" t="s">
        <v>158</v>
      </c>
      <c r="I1034" s="181" t="s">
        <v>242</v>
      </c>
      <c r="J1034" s="267"/>
      <c r="K1034" s="269" t="n">
        <v>45946</v>
      </c>
      <c r="L1034" s="267" t="n">
        <v>1</v>
      </c>
      <c r="M1034" s="184" t="s">
        <v>142</v>
      </c>
      <c r="N1034" s="184" t="n">
        <v>37870</v>
      </c>
      <c r="O1034" s="184" t="n">
        <v>15230</v>
      </c>
      <c r="P1034" s="185" t="n">
        <v>14</v>
      </c>
      <c r="Q1034" s="184" t="n">
        <v>22640</v>
      </c>
      <c r="R1034" s="184" t="n">
        <v>19470.4</v>
      </c>
      <c r="S1034" s="184" t="s">
        <v>2465</v>
      </c>
      <c r="T1034" s="187" t="n">
        <v>45947</v>
      </c>
    </row>
    <row r="1035" customFormat="false" ht="35.05" hidden="true" customHeight="false" outlineLevel="0" collapsed="false">
      <c r="A1035" s="181" t="s">
        <v>2468</v>
      </c>
      <c r="B1035" s="182" t="n">
        <v>2406</v>
      </c>
      <c r="C1035" s="183" t="n">
        <v>32</v>
      </c>
      <c r="D1035" s="181" t="s">
        <v>2401</v>
      </c>
      <c r="E1035" s="181" t="s">
        <v>901</v>
      </c>
      <c r="F1035" s="181" t="s">
        <v>902</v>
      </c>
      <c r="G1035" s="181" t="s">
        <v>142</v>
      </c>
      <c r="H1035" s="181" t="s">
        <v>158</v>
      </c>
      <c r="I1035" s="181" t="s">
        <v>242</v>
      </c>
      <c r="J1035" s="267"/>
      <c r="K1035" s="269" t="n">
        <v>45946</v>
      </c>
      <c r="L1035" s="267" t="n">
        <v>1</v>
      </c>
      <c r="M1035" s="184" t="s">
        <v>142</v>
      </c>
      <c r="N1035" s="184" t="n">
        <v>37820</v>
      </c>
      <c r="O1035" s="184" t="n">
        <v>14860</v>
      </c>
      <c r="P1035" s="185" t="n">
        <v>9</v>
      </c>
      <c r="Q1035" s="184" t="n">
        <v>22960</v>
      </c>
      <c r="R1035" s="184" t="n">
        <v>20893.6</v>
      </c>
      <c r="S1035" s="184" t="s">
        <v>2469</v>
      </c>
      <c r="T1035" s="187" t="n">
        <v>45947</v>
      </c>
    </row>
    <row r="1036" customFormat="false" ht="35.05" hidden="true" customHeight="false" outlineLevel="0" collapsed="false">
      <c r="A1036" s="181" t="s">
        <v>2470</v>
      </c>
      <c r="B1036" s="182" t="n">
        <v>2407</v>
      </c>
      <c r="C1036" s="183" t="n">
        <v>33</v>
      </c>
      <c r="D1036" s="181" t="s">
        <v>2401</v>
      </c>
      <c r="E1036" s="181" t="s">
        <v>582</v>
      </c>
      <c r="F1036" s="181" t="s">
        <v>583</v>
      </c>
      <c r="G1036" s="181" t="s">
        <v>142</v>
      </c>
      <c r="H1036" s="181" t="s">
        <v>158</v>
      </c>
      <c r="I1036" s="181" t="s">
        <v>242</v>
      </c>
      <c r="J1036" s="267"/>
      <c r="K1036" s="269" t="n">
        <v>45946</v>
      </c>
      <c r="L1036" s="267" t="n">
        <v>1.2</v>
      </c>
      <c r="M1036" s="184" t="s">
        <v>142</v>
      </c>
      <c r="N1036" s="184" t="n">
        <v>41270</v>
      </c>
      <c r="O1036" s="184" t="n">
        <v>14850</v>
      </c>
      <c r="P1036" s="185" t="n">
        <v>15</v>
      </c>
      <c r="Q1036" s="184" t="n">
        <v>26420</v>
      </c>
      <c r="R1036" s="184" t="n">
        <v>22457</v>
      </c>
      <c r="S1036" s="184" t="s">
        <v>2471</v>
      </c>
      <c r="T1036" s="187" t="n">
        <v>45947</v>
      </c>
    </row>
    <row r="1037" customFormat="false" ht="23.85" hidden="true" customHeight="false" outlineLevel="0" collapsed="false">
      <c r="A1037" s="181" t="s">
        <v>2472</v>
      </c>
      <c r="B1037" s="182" t="n">
        <v>2408</v>
      </c>
      <c r="C1037" s="183" t="n">
        <v>34</v>
      </c>
      <c r="D1037" s="181" t="s">
        <v>2401</v>
      </c>
      <c r="E1037" s="181" t="s">
        <v>336</v>
      </c>
      <c r="F1037" s="181" t="s">
        <v>337</v>
      </c>
      <c r="G1037" s="181" t="s">
        <v>142</v>
      </c>
      <c r="H1037" s="181" t="s">
        <v>158</v>
      </c>
      <c r="I1037" s="181" t="s">
        <v>242</v>
      </c>
      <c r="J1037" s="267"/>
      <c r="K1037" s="269" t="n">
        <v>45946</v>
      </c>
      <c r="L1037" s="267" t="n">
        <v>1.1</v>
      </c>
      <c r="M1037" s="184" t="s">
        <v>142</v>
      </c>
      <c r="N1037" s="184" t="n">
        <v>39310</v>
      </c>
      <c r="O1037" s="184" t="n">
        <v>14660</v>
      </c>
      <c r="P1037" s="185" t="n">
        <v>15</v>
      </c>
      <c r="Q1037" s="184" t="n">
        <v>24650</v>
      </c>
      <c r="R1037" s="184" t="n">
        <v>20952.5</v>
      </c>
      <c r="S1037" s="184" t="s">
        <v>2473</v>
      </c>
      <c r="T1037" s="187" t="n">
        <v>45947</v>
      </c>
    </row>
    <row r="1038" customFormat="false" ht="35.05" hidden="true" customHeight="false" outlineLevel="0" collapsed="false">
      <c r="A1038" s="181" t="s">
        <v>2474</v>
      </c>
      <c r="B1038" s="182" t="n">
        <v>2409</v>
      </c>
      <c r="C1038" s="183" t="n">
        <v>35</v>
      </c>
      <c r="D1038" s="181" t="s">
        <v>2401</v>
      </c>
      <c r="E1038" s="181" t="s">
        <v>340</v>
      </c>
      <c r="F1038" s="181" t="s">
        <v>341</v>
      </c>
      <c r="G1038" s="181" t="s">
        <v>142</v>
      </c>
      <c r="H1038" s="181" t="s">
        <v>158</v>
      </c>
      <c r="I1038" s="181" t="s">
        <v>242</v>
      </c>
      <c r="J1038" s="267"/>
      <c r="K1038" s="269" t="n">
        <v>45946</v>
      </c>
      <c r="L1038" s="267" t="n">
        <v>1.1</v>
      </c>
      <c r="M1038" s="184" t="s">
        <v>142</v>
      </c>
      <c r="N1038" s="184" t="n">
        <v>39690</v>
      </c>
      <c r="O1038" s="184" t="n">
        <v>15260</v>
      </c>
      <c r="P1038" s="185" t="n">
        <v>15</v>
      </c>
      <c r="Q1038" s="184" t="n">
        <v>24430</v>
      </c>
      <c r="R1038" s="184" t="n">
        <v>20765.5</v>
      </c>
      <c r="S1038" s="184" t="s">
        <v>2475</v>
      </c>
      <c r="T1038" s="187" t="n">
        <v>45947</v>
      </c>
    </row>
    <row r="1039" customFormat="false" ht="46.25" hidden="true" customHeight="false" outlineLevel="0" collapsed="false">
      <c r="A1039" s="181" t="s">
        <v>2476</v>
      </c>
      <c r="B1039" s="182" t="n">
        <v>2410</v>
      </c>
      <c r="C1039" s="183" t="n">
        <v>36</v>
      </c>
      <c r="D1039" s="181" t="s">
        <v>2401</v>
      </c>
      <c r="E1039" s="181" t="s">
        <v>282</v>
      </c>
      <c r="F1039" s="181" t="s">
        <v>283</v>
      </c>
      <c r="G1039" s="181" t="s">
        <v>142</v>
      </c>
      <c r="H1039" s="181" t="s">
        <v>158</v>
      </c>
      <c r="I1039" s="181" t="s">
        <v>242</v>
      </c>
      <c r="J1039" s="267"/>
      <c r="K1039" s="269" t="n">
        <v>45946</v>
      </c>
      <c r="L1039" s="267" t="n">
        <v>1.1</v>
      </c>
      <c r="M1039" s="184" t="s">
        <v>142</v>
      </c>
      <c r="N1039" s="184" t="n">
        <v>39480</v>
      </c>
      <c r="O1039" s="184" t="n">
        <v>15210</v>
      </c>
      <c r="P1039" s="185" t="n">
        <v>12</v>
      </c>
      <c r="Q1039" s="184" t="n">
        <v>24270</v>
      </c>
      <c r="R1039" s="184" t="n">
        <v>21357.6</v>
      </c>
      <c r="S1039" s="184" t="s">
        <v>2477</v>
      </c>
      <c r="T1039" s="187" t="n">
        <v>45947</v>
      </c>
    </row>
    <row r="1040" customFormat="false" ht="35.05" hidden="true" customHeight="false" outlineLevel="0" collapsed="false">
      <c r="A1040" s="181" t="s">
        <v>2478</v>
      </c>
      <c r="B1040" s="182" t="n">
        <v>2412</v>
      </c>
      <c r="C1040" s="183" t="n">
        <v>39</v>
      </c>
      <c r="D1040" s="181" t="s">
        <v>2401</v>
      </c>
      <c r="E1040" s="181" t="s">
        <v>332</v>
      </c>
      <c r="F1040" s="181" t="s">
        <v>333</v>
      </c>
      <c r="G1040" s="181" t="s">
        <v>142</v>
      </c>
      <c r="H1040" s="181" t="s">
        <v>158</v>
      </c>
      <c r="I1040" s="181" t="s">
        <v>242</v>
      </c>
      <c r="J1040" s="267"/>
      <c r="K1040" s="269" t="n">
        <v>45946</v>
      </c>
      <c r="L1040" s="267" t="n">
        <v>1.1</v>
      </c>
      <c r="M1040" s="184" t="s">
        <v>142</v>
      </c>
      <c r="N1040" s="184" t="n">
        <v>39070</v>
      </c>
      <c r="O1040" s="184" t="n">
        <v>14820</v>
      </c>
      <c r="P1040" s="185" t="n">
        <v>13</v>
      </c>
      <c r="Q1040" s="184" t="n">
        <v>24250</v>
      </c>
      <c r="R1040" s="184" t="n">
        <v>21097.5</v>
      </c>
      <c r="S1040" s="184" t="s">
        <v>2479</v>
      </c>
      <c r="T1040" s="187" t="n">
        <v>45947</v>
      </c>
    </row>
    <row r="1041" customFormat="false" ht="35.05" hidden="true" customHeight="false" outlineLevel="0" collapsed="false">
      <c r="A1041" s="181" t="s">
        <v>2480</v>
      </c>
      <c r="B1041" s="182" t="n">
        <v>2420</v>
      </c>
      <c r="C1041" s="183" t="n">
        <v>37</v>
      </c>
      <c r="D1041" s="181" t="s">
        <v>2401</v>
      </c>
      <c r="E1041" s="181" t="s">
        <v>391</v>
      </c>
      <c r="F1041" s="181" t="s">
        <v>392</v>
      </c>
      <c r="G1041" s="181" t="s">
        <v>142</v>
      </c>
      <c r="H1041" s="181" t="s">
        <v>158</v>
      </c>
      <c r="I1041" s="181" t="s">
        <v>242</v>
      </c>
      <c r="J1041" s="267"/>
      <c r="K1041" s="269" t="n">
        <v>45947</v>
      </c>
      <c r="L1041" s="267" t="n">
        <v>0.9</v>
      </c>
      <c r="M1041" s="184" t="s">
        <v>142</v>
      </c>
      <c r="N1041" s="184" t="n">
        <v>35460</v>
      </c>
      <c r="O1041" s="184" t="n">
        <v>14470</v>
      </c>
      <c r="P1041" s="185" t="n">
        <v>11</v>
      </c>
      <c r="Q1041" s="184" t="n">
        <v>20990</v>
      </c>
      <c r="R1041" s="184" t="n">
        <v>18681.1</v>
      </c>
      <c r="S1041" s="184" t="s">
        <v>2481</v>
      </c>
      <c r="T1041" s="187" t="n">
        <v>45947</v>
      </c>
    </row>
    <row r="1042" customFormat="false" ht="23.85" hidden="true" customHeight="false" outlineLevel="0" collapsed="false">
      <c r="A1042" s="181" t="s">
        <v>2482</v>
      </c>
      <c r="B1042" s="182" t="n">
        <v>2422</v>
      </c>
      <c r="C1042" s="183" t="n">
        <v>38</v>
      </c>
      <c r="D1042" s="181" t="s">
        <v>2401</v>
      </c>
      <c r="E1042" s="181" t="s">
        <v>529</v>
      </c>
      <c r="F1042" s="181" t="s">
        <v>530</v>
      </c>
      <c r="G1042" s="181" t="s">
        <v>142</v>
      </c>
      <c r="H1042" s="181" t="s">
        <v>158</v>
      </c>
      <c r="I1042" s="181" t="s">
        <v>242</v>
      </c>
      <c r="J1042" s="267"/>
      <c r="K1042" s="269" t="n">
        <v>45947</v>
      </c>
      <c r="L1042" s="267" t="n">
        <v>1</v>
      </c>
      <c r="M1042" s="184" t="s">
        <v>142</v>
      </c>
      <c r="N1042" s="184" t="n">
        <v>38040</v>
      </c>
      <c r="O1042" s="184" t="n">
        <v>14950</v>
      </c>
      <c r="P1042" s="185" t="n">
        <v>9</v>
      </c>
      <c r="Q1042" s="184" t="n">
        <v>23090</v>
      </c>
      <c r="R1042" s="184" t="n">
        <v>21011.9</v>
      </c>
      <c r="S1042" s="184" t="s">
        <v>2483</v>
      </c>
      <c r="T1042" s="187" t="n">
        <v>45947</v>
      </c>
    </row>
    <row r="1043" customFormat="false" ht="35.05" hidden="true" customHeight="false" outlineLevel="0" collapsed="false">
      <c r="A1043" s="181" t="s">
        <v>2484</v>
      </c>
      <c r="B1043" s="182" t="n">
        <v>2423</v>
      </c>
      <c r="C1043" s="183" t="n">
        <v>40</v>
      </c>
      <c r="D1043" s="181" t="s">
        <v>2401</v>
      </c>
      <c r="E1043" s="181" t="s">
        <v>277</v>
      </c>
      <c r="F1043" s="181" t="s">
        <v>278</v>
      </c>
      <c r="G1043" s="181" t="s">
        <v>142</v>
      </c>
      <c r="H1043" s="181" t="s">
        <v>158</v>
      </c>
      <c r="I1043" s="181" t="s">
        <v>242</v>
      </c>
      <c r="J1043" s="267"/>
      <c r="K1043" s="269" t="n">
        <v>45947</v>
      </c>
      <c r="L1043" s="267" t="n">
        <v>1.2</v>
      </c>
      <c r="M1043" s="184" t="s">
        <v>142</v>
      </c>
      <c r="N1043" s="184" t="n">
        <v>43530</v>
      </c>
      <c r="O1043" s="184" t="n">
        <v>15170</v>
      </c>
      <c r="P1043" s="185" t="n">
        <v>7</v>
      </c>
      <c r="Q1043" s="184" t="n">
        <v>28360</v>
      </c>
      <c r="R1043" s="184" t="n">
        <v>26374.8</v>
      </c>
      <c r="S1043" s="184" t="s">
        <v>2485</v>
      </c>
      <c r="T1043" s="187" t="n">
        <v>45947</v>
      </c>
    </row>
    <row r="1044" customFormat="false" ht="35.05" hidden="true" customHeight="false" outlineLevel="0" collapsed="false">
      <c r="A1044" s="181" t="s">
        <v>2486</v>
      </c>
      <c r="B1044" s="182" t="n">
        <v>2425</v>
      </c>
      <c r="C1044" s="183" t="n">
        <v>41</v>
      </c>
      <c r="D1044" s="181" t="s">
        <v>2401</v>
      </c>
      <c r="E1044" s="181" t="s">
        <v>266</v>
      </c>
      <c r="F1044" s="181" t="s">
        <v>267</v>
      </c>
      <c r="G1044" s="181" t="s">
        <v>142</v>
      </c>
      <c r="H1044" s="181" t="s">
        <v>158</v>
      </c>
      <c r="I1044" s="181" t="s">
        <v>242</v>
      </c>
      <c r="J1044" s="267"/>
      <c r="K1044" s="269" t="n">
        <v>45947</v>
      </c>
      <c r="L1044" s="267" t="n">
        <v>1.1</v>
      </c>
      <c r="M1044" s="184" t="s">
        <v>142</v>
      </c>
      <c r="N1044" s="184" t="n">
        <v>40890</v>
      </c>
      <c r="O1044" s="184" t="n">
        <v>15100</v>
      </c>
      <c r="P1044" s="185" t="n">
        <v>9</v>
      </c>
      <c r="Q1044" s="184" t="n">
        <v>25790</v>
      </c>
      <c r="R1044" s="184" t="n">
        <v>23468.9</v>
      </c>
      <c r="S1044" s="184" t="s">
        <v>2487</v>
      </c>
      <c r="T1044" s="187" t="n">
        <v>45947</v>
      </c>
    </row>
    <row r="1045" customFormat="false" ht="46.25" hidden="true" customHeight="false" outlineLevel="0" collapsed="false">
      <c r="A1045" s="181" t="s">
        <v>2488</v>
      </c>
      <c r="B1045" s="182" t="n">
        <v>2426</v>
      </c>
      <c r="C1045" s="183" t="n">
        <v>1</v>
      </c>
      <c r="D1045" s="181" t="s">
        <v>2005</v>
      </c>
      <c r="E1045" s="181" t="s">
        <v>288</v>
      </c>
      <c r="F1045" s="181" t="s">
        <v>289</v>
      </c>
      <c r="G1045" s="181" t="s">
        <v>2049</v>
      </c>
      <c r="H1045" s="181" t="s">
        <v>279</v>
      </c>
      <c r="I1045" s="181" t="s">
        <v>240</v>
      </c>
      <c r="J1045" s="267" t="n">
        <v>23420</v>
      </c>
      <c r="K1045" s="269" t="n">
        <v>45947</v>
      </c>
      <c r="L1045" s="267" t="n">
        <v>2.8</v>
      </c>
      <c r="M1045" s="184" t="s">
        <v>3395</v>
      </c>
      <c r="N1045" s="184" t="n">
        <v>38270</v>
      </c>
      <c r="O1045" s="184" t="n">
        <v>14850</v>
      </c>
      <c r="P1045" s="185" t="n">
        <v>34</v>
      </c>
      <c r="Q1045" s="184" t="n">
        <v>23420</v>
      </c>
      <c r="R1045" s="184" t="n">
        <v>15457.2</v>
      </c>
      <c r="S1045" s="184" t="s">
        <v>2489</v>
      </c>
      <c r="T1045" s="187" t="n">
        <v>45947</v>
      </c>
    </row>
    <row r="1046" customFormat="false" ht="35.05" hidden="true" customHeight="false" outlineLevel="0" collapsed="false">
      <c r="A1046" s="181" t="s">
        <v>2490</v>
      </c>
      <c r="B1046" s="182" t="n">
        <v>2428</v>
      </c>
      <c r="C1046" s="183" t="n">
        <v>10008</v>
      </c>
      <c r="D1046" s="181" t="s">
        <v>2066</v>
      </c>
      <c r="E1046" s="181" t="s">
        <v>439</v>
      </c>
      <c r="F1046" s="181" t="s">
        <v>440</v>
      </c>
      <c r="G1046" s="181" t="s">
        <v>3329</v>
      </c>
      <c r="H1046" s="181" t="s">
        <v>279</v>
      </c>
      <c r="I1046" s="181" t="s">
        <v>241</v>
      </c>
      <c r="J1046" s="267"/>
      <c r="K1046" s="269" t="n">
        <v>45947</v>
      </c>
      <c r="L1046" s="267" t="n">
        <v>1.6</v>
      </c>
      <c r="M1046" s="184" t="s">
        <v>3329</v>
      </c>
      <c r="N1046" s="184" t="n">
        <v>41210</v>
      </c>
      <c r="O1046" s="184" t="n">
        <v>16330</v>
      </c>
      <c r="P1046" s="185" t="n">
        <v>18</v>
      </c>
      <c r="Q1046" s="184" t="n">
        <v>24880</v>
      </c>
      <c r="R1046" s="184" t="n">
        <v>20401.6</v>
      </c>
      <c r="S1046" s="184" t="s">
        <v>2491</v>
      </c>
      <c r="T1046" s="187" t="n">
        <v>45947</v>
      </c>
    </row>
    <row r="1047" customFormat="false" ht="23.85" hidden="true" customHeight="false" outlineLevel="0" collapsed="false">
      <c r="A1047" s="181" t="s">
        <v>2492</v>
      </c>
      <c r="B1047" s="182" t="n">
        <v>2429</v>
      </c>
      <c r="C1047" s="183" t="n">
        <v>42</v>
      </c>
      <c r="D1047" s="181" t="s">
        <v>2401</v>
      </c>
      <c r="E1047" s="181" t="s">
        <v>272</v>
      </c>
      <c r="F1047" s="181" t="s">
        <v>273</v>
      </c>
      <c r="G1047" s="181" t="s">
        <v>142</v>
      </c>
      <c r="H1047" s="181" t="s">
        <v>158</v>
      </c>
      <c r="I1047" s="181" t="s">
        <v>242</v>
      </c>
      <c r="J1047" s="267"/>
      <c r="K1047" s="269" t="n">
        <v>45947</v>
      </c>
      <c r="L1047" s="267" t="n">
        <v>1.1</v>
      </c>
      <c r="M1047" s="184" t="s">
        <v>142</v>
      </c>
      <c r="N1047" s="184" t="n">
        <v>42020</v>
      </c>
      <c r="O1047" s="184" t="n">
        <v>15700</v>
      </c>
      <c r="P1047" s="185" t="n">
        <v>10</v>
      </c>
      <c r="Q1047" s="184" t="n">
        <v>26320</v>
      </c>
      <c r="R1047" s="184" t="n">
        <v>23688</v>
      </c>
      <c r="S1047" s="184" t="s">
        <v>2493</v>
      </c>
      <c r="T1047" s="187" t="n">
        <v>45947</v>
      </c>
    </row>
    <row r="1048" customFormat="false" ht="35.05" hidden="true" customHeight="false" outlineLevel="0" collapsed="false">
      <c r="A1048" s="181" t="s">
        <v>2494</v>
      </c>
      <c r="B1048" s="182" t="n">
        <v>2430</v>
      </c>
      <c r="C1048" s="183" t="n">
        <v>43</v>
      </c>
      <c r="D1048" s="181" t="s">
        <v>2401</v>
      </c>
      <c r="E1048" s="181" t="s">
        <v>576</v>
      </c>
      <c r="F1048" s="181" t="s">
        <v>577</v>
      </c>
      <c r="G1048" s="181" t="s">
        <v>142</v>
      </c>
      <c r="H1048" s="181" t="s">
        <v>158</v>
      </c>
      <c r="I1048" s="181" t="s">
        <v>242</v>
      </c>
      <c r="J1048" s="267"/>
      <c r="K1048" s="269" t="n">
        <v>45947</v>
      </c>
      <c r="L1048" s="267" t="n">
        <v>1</v>
      </c>
      <c r="M1048" s="184" t="s">
        <v>142</v>
      </c>
      <c r="N1048" s="184" t="n">
        <v>38530</v>
      </c>
      <c r="O1048" s="184" t="n">
        <v>14580</v>
      </c>
      <c r="P1048" s="185" t="n">
        <v>8</v>
      </c>
      <c r="Q1048" s="184" t="n">
        <v>23950</v>
      </c>
      <c r="R1048" s="184" t="n">
        <v>22034</v>
      </c>
      <c r="S1048" s="184" t="s">
        <v>2495</v>
      </c>
      <c r="T1048" s="187" t="n">
        <v>45947</v>
      </c>
    </row>
    <row r="1049" customFormat="false" ht="35.05" hidden="true" customHeight="false" outlineLevel="0" collapsed="false">
      <c r="A1049" s="181" t="s">
        <v>2496</v>
      </c>
      <c r="B1049" s="182" t="n">
        <v>2432</v>
      </c>
      <c r="C1049" s="183" t="n">
        <v>44</v>
      </c>
      <c r="D1049" s="181" t="s">
        <v>2401</v>
      </c>
      <c r="E1049" s="181" t="s">
        <v>261</v>
      </c>
      <c r="F1049" s="181" t="s">
        <v>262</v>
      </c>
      <c r="G1049" s="181" t="s">
        <v>142</v>
      </c>
      <c r="H1049" s="181" t="s">
        <v>158</v>
      </c>
      <c r="I1049" s="181" t="s">
        <v>242</v>
      </c>
      <c r="J1049" s="267"/>
      <c r="K1049" s="269" t="n">
        <v>45947</v>
      </c>
      <c r="L1049" s="267" t="n">
        <v>0.9</v>
      </c>
      <c r="M1049" s="184" t="s">
        <v>142</v>
      </c>
      <c r="N1049" s="184" t="n">
        <v>37660</v>
      </c>
      <c r="O1049" s="184" t="n">
        <v>15240</v>
      </c>
      <c r="P1049" s="185" t="n">
        <v>10</v>
      </c>
      <c r="Q1049" s="184" t="n">
        <v>22420</v>
      </c>
      <c r="R1049" s="184" t="n">
        <v>20178</v>
      </c>
      <c r="S1049" s="184" t="s">
        <v>2497</v>
      </c>
      <c r="T1049" s="187" t="n">
        <v>45947</v>
      </c>
    </row>
    <row r="1050" customFormat="false" ht="23.85" hidden="true" customHeight="false" outlineLevel="0" collapsed="false">
      <c r="A1050" s="181" t="s">
        <v>2498</v>
      </c>
      <c r="B1050" s="182" t="n">
        <v>2434</v>
      </c>
      <c r="C1050" s="183" t="n">
        <v>45</v>
      </c>
      <c r="D1050" s="181" t="s">
        <v>2401</v>
      </c>
      <c r="E1050" s="181" t="s">
        <v>367</v>
      </c>
      <c r="F1050" s="181" t="s">
        <v>368</v>
      </c>
      <c r="G1050" s="181" t="s">
        <v>142</v>
      </c>
      <c r="H1050" s="181" t="s">
        <v>158</v>
      </c>
      <c r="I1050" s="181" t="s">
        <v>242</v>
      </c>
      <c r="J1050" s="267"/>
      <c r="K1050" s="269" t="n">
        <v>45947</v>
      </c>
      <c r="L1050" s="267" t="n">
        <v>1.3</v>
      </c>
      <c r="M1050" s="184" t="s">
        <v>142</v>
      </c>
      <c r="N1050" s="184" t="n">
        <v>50510</v>
      </c>
      <c r="O1050" s="184" t="n">
        <v>18770</v>
      </c>
      <c r="P1050" s="185" t="n">
        <v>8</v>
      </c>
      <c r="Q1050" s="184" t="n">
        <v>31740</v>
      </c>
      <c r="R1050" s="184" t="n">
        <v>29200.8</v>
      </c>
      <c r="S1050" s="184" t="s">
        <v>2499</v>
      </c>
      <c r="T1050" s="187" t="n">
        <v>45948</v>
      </c>
    </row>
    <row r="1051" customFormat="false" ht="23.85" hidden="true" customHeight="false" outlineLevel="0" collapsed="false">
      <c r="A1051" s="181" t="s">
        <v>2500</v>
      </c>
      <c r="B1051" s="182" t="n">
        <v>2435</v>
      </c>
      <c r="C1051" s="183" t="n">
        <v>46</v>
      </c>
      <c r="D1051" s="181" t="s">
        <v>2401</v>
      </c>
      <c r="E1051" s="181" t="s">
        <v>2351</v>
      </c>
      <c r="F1051" s="181" t="s">
        <v>2352</v>
      </c>
      <c r="G1051" s="181" t="s">
        <v>142</v>
      </c>
      <c r="H1051" s="181" t="s">
        <v>158</v>
      </c>
      <c r="I1051" s="181" t="s">
        <v>242</v>
      </c>
      <c r="J1051" s="267"/>
      <c r="K1051" s="269" t="n">
        <v>45947</v>
      </c>
      <c r="L1051" s="267" t="n">
        <v>1.3</v>
      </c>
      <c r="M1051" s="184" t="s">
        <v>142</v>
      </c>
      <c r="N1051" s="184" t="n">
        <v>47860</v>
      </c>
      <c r="O1051" s="184" t="n">
        <v>17550</v>
      </c>
      <c r="P1051" s="185" t="n">
        <v>9</v>
      </c>
      <c r="Q1051" s="184" t="n">
        <v>30310</v>
      </c>
      <c r="R1051" s="184" t="n">
        <v>27582.1</v>
      </c>
      <c r="S1051" s="184" t="s">
        <v>2501</v>
      </c>
      <c r="T1051" s="187" t="n">
        <v>45948</v>
      </c>
    </row>
    <row r="1052" customFormat="false" ht="35.05" hidden="true" customHeight="false" outlineLevel="0" collapsed="false">
      <c r="A1052" s="181" t="s">
        <v>2502</v>
      </c>
      <c r="B1052" s="182" t="n">
        <v>2436</v>
      </c>
      <c r="C1052" s="183" t="n">
        <v>2</v>
      </c>
      <c r="D1052" s="181" t="s">
        <v>2401</v>
      </c>
      <c r="E1052" s="181" t="s">
        <v>377</v>
      </c>
      <c r="F1052" s="181" t="s">
        <v>378</v>
      </c>
      <c r="G1052" s="181" t="s">
        <v>142</v>
      </c>
      <c r="H1052" s="181" t="s">
        <v>158</v>
      </c>
      <c r="I1052" s="181" t="s">
        <v>242</v>
      </c>
      <c r="J1052" s="267"/>
      <c r="K1052" s="269" t="n">
        <v>45947</v>
      </c>
      <c r="L1052" s="267" t="n">
        <v>1.2</v>
      </c>
      <c r="M1052" s="184" t="s">
        <v>142</v>
      </c>
      <c r="N1052" s="184" t="n">
        <v>43740</v>
      </c>
      <c r="O1052" s="184" t="n">
        <v>15820</v>
      </c>
      <c r="P1052" s="185" t="n">
        <v>13</v>
      </c>
      <c r="Q1052" s="184" t="n">
        <v>27920</v>
      </c>
      <c r="R1052" s="184" t="n">
        <v>24290.4</v>
      </c>
      <c r="S1052" s="184" t="s">
        <v>2503</v>
      </c>
      <c r="T1052" s="187" t="n">
        <v>45948</v>
      </c>
    </row>
    <row r="1053" customFormat="false" ht="35.05" hidden="false" customHeight="false" outlineLevel="0" collapsed="false">
      <c r="A1053" s="181" t="s">
        <v>2504</v>
      </c>
      <c r="B1053" s="182" t="n">
        <v>2437</v>
      </c>
      <c r="C1053" s="183" t="n">
        <v>48</v>
      </c>
      <c r="D1053" s="181" t="s">
        <v>2401</v>
      </c>
      <c r="E1053" s="181" t="s">
        <v>300</v>
      </c>
      <c r="F1053" s="181" t="s">
        <v>301</v>
      </c>
      <c r="G1053" s="181" t="s">
        <v>144</v>
      </c>
      <c r="H1053" s="181" t="s">
        <v>158</v>
      </c>
      <c r="I1053" s="181" t="s">
        <v>242</v>
      </c>
      <c r="J1053" s="267"/>
      <c r="K1053" s="269" t="n">
        <v>45947</v>
      </c>
      <c r="L1053" s="267" t="n">
        <v>1.7</v>
      </c>
      <c r="M1053" s="184" t="s">
        <v>144</v>
      </c>
      <c r="N1053" s="184" t="n">
        <v>62760</v>
      </c>
      <c r="O1053" s="184" t="n">
        <v>21360</v>
      </c>
      <c r="P1053" s="185" t="n">
        <v>14</v>
      </c>
      <c r="Q1053" s="184" t="n">
        <v>41400</v>
      </c>
      <c r="R1053" s="184" t="n">
        <v>35604</v>
      </c>
      <c r="S1053" s="184" t="s">
        <v>2505</v>
      </c>
      <c r="T1053" s="187" t="n">
        <v>45948</v>
      </c>
    </row>
    <row r="1054" customFormat="false" ht="35.05" hidden="false" customHeight="false" outlineLevel="0" collapsed="false">
      <c r="A1054" s="181" t="s">
        <v>2506</v>
      </c>
      <c r="B1054" s="182" t="n">
        <v>2439</v>
      </c>
      <c r="C1054" s="183" t="n">
        <v>49</v>
      </c>
      <c r="D1054" s="181" t="s">
        <v>2401</v>
      </c>
      <c r="E1054" s="181" t="s">
        <v>413</v>
      </c>
      <c r="F1054" s="181" t="s">
        <v>414</v>
      </c>
      <c r="G1054" s="181" t="s">
        <v>144</v>
      </c>
      <c r="H1054" s="181" t="s">
        <v>158</v>
      </c>
      <c r="I1054" s="181" t="s">
        <v>242</v>
      </c>
      <c r="J1054" s="267"/>
      <c r="K1054" s="269" t="n">
        <v>45947</v>
      </c>
      <c r="L1054" s="267" t="n">
        <v>1.3</v>
      </c>
      <c r="M1054" s="184" t="s">
        <v>144</v>
      </c>
      <c r="N1054" s="184" t="n">
        <v>46500</v>
      </c>
      <c r="O1054" s="184" t="n">
        <v>15850</v>
      </c>
      <c r="P1054" s="185" t="n">
        <v>11</v>
      </c>
      <c r="Q1054" s="184" t="n">
        <v>30650</v>
      </c>
      <c r="R1054" s="184" t="n">
        <v>27278.5</v>
      </c>
      <c r="S1054" s="184" t="s">
        <v>2507</v>
      </c>
      <c r="T1054" s="187" t="n">
        <v>45948</v>
      </c>
    </row>
    <row r="1055" customFormat="false" ht="35.05" hidden="false" customHeight="false" outlineLevel="0" collapsed="false">
      <c r="A1055" s="181" t="s">
        <v>2508</v>
      </c>
      <c r="B1055" s="182" t="n">
        <v>2445</v>
      </c>
      <c r="C1055" s="183" t="n">
        <v>50</v>
      </c>
      <c r="D1055" s="181" t="s">
        <v>2401</v>
      </c>
      <c r="E1055" s="181" t="s">
        <v>399</v>
      </c>
      <c r="F1055" s="181" t="s">
        <v>400</v>
      </c>
      <c r="G1055" s="181" t="s">
        <v>144</v>
      </c>
      <c r="H1055" s="181" t="s">
        <v>158</v>
      </c>
      <c r="I1055" s="181" t="s">
        <v>242</v>
      </c>
      <c r="J1055" s="267"/>
      <c r="K1055" s="269" t="n">
        <v>45947</v>
      </c>
      <c r="L1055" s="267" t="n">
        <v>1.5</v>
      </c>
      <c r="M1055" s="184" t="s">
        <v>144</v>
      </c>
      <c r="N1055" s="184" t="n">
        <v>54440</v>
      </c>
      <c r="O1055" s="184" t="n">
        <v>19540</v>
      </c>
      <c r="P1055" s="185" t="n">
        <v>16</v>
      </c>
      <c r="Q1055" s="184" t="n">
        <v>34900</v>
      </c>
      <c r="R1055" s="184" t="n">
        <v>29316</v>
      </c>
      <c r="S1055" s="184" t="s">
        <v>2509</v>
      </c>
      <c r="T1055" s="187" t="n">
        <v>45948</v>
      </c>
    </row>
    <row r="1056" customFormat="false" ht="35.05" hidden="false" customHeight="false" outlineLevel="0" collapsed="false">
      <c r="A1056" s="181" t="s">
        <v>2510</v>
      </c>
      <c r="B1056" s="182" t="n">
        <v>2446</v>
      </c>
      <c r="C1056" s="183" t="n">
        <v>51</v>
      </c>
      <c r="D1056" s="181" t="s">
        <v>2401</v>
      </c>
      <c r="E1056" s="181" t="s">
        <v>409</v>
      </c>
      <c r="F1056" s="181" t="s">
        <v>410</v>
      </c>
      <c r="G1056" s="181" t="s">
        <v>144</v>
      </c>
      <c r="H1056" s="181" t="s">
        <v>158</v>
      </c>
      <c r="I1056" s="181" t="s">
        <v>242</v>
      </c>
      <c r="J1056" s="267"/>
      <c r="K1056" s="269" t="n">
        <v>45947</v>
      </c>
      <c r="L1056" s="267" t="n">
        <v>1.7</v>
      </c>
      <c r="M1056" s="184" t="s">
        <v>144</v>
      </c>
      <c r="N1056" s="184" t="n">
        <v>64490</v>
      </c>
      <c r="O1056" s="184" t="n">
        <v>24530</v>
      </c>
      <c r="P1056" s="185" t="n">
        <v>8</v>
      </c>
      <c r="Q1056" s="184" t="n">
        <v>39960</v>
      </c>
      <c r="R1056" s="184" t="n">
        <v>36763.2</v>
      </c>
      <c r="S1056" s="184" t="s">
        <v>2511</v>
      </c>
      <c r="T1056" s="187" t="n">
        <v>45948</v>
      </c>
    </row>
    <row r="1057" customFormat="false" ht="35.05" hidden="false" customHeight="false" outlineLevel="0" collapsed="false">
      <c r="A1057" s="181" t="s">
        <v>2512</v>
      </c>
      <c r="B1057" s="182" t="n">
        <v>2448</v>
      </c>
      <c r="C1057" s="183" t="n">
        <v>53</v>
      </c>
      <c r="D1057" s="181" t="s">
        <v>2401</v>
      </c>
      <c r="E1057" s="181" t="s">
        <v>350</v>
      </c>
      <c r="F1057" s="181" t="s">
        <v>351</v>
      </c>
      <c r="G1057" s="181" t="s">
        <v>144</v>
      </c>
      <c r="H1057" s="181" t="s">
        <v>158</v>
      </c>
      <c r="I1057" s="181" t="s">
        <v>242</v>
      </c>
      <c r="J1057" s="267"/>
      <c r="K1057" s="269" t="n">
        <v>45948</v>
      </c>
      <c r="L1057" s="267" t="n">
        <v>1.2</v>
      </c>
      <c r="M1057" s="184" t="s">
        <v>144</v>
      </c>
      <c r="N1057" s="184" t="n">
        <v>43460</v>
      </c>
      <c r="O1057" s="184" t="n">
        <v>15070</v>
      </c>
      <c r="P1057" s="185" t="n">
        <v>13</v>
      </c>
      <c r="Q1057" s="184" t="n">
        <v>28390</v>
      </c>
      <c r="R1057" s="184" t="n">
        <v>24699.3</v>
      </c>
      <c r="S1057" s="184" t="s">
        <v>2513</v>
      </c>
      <c r="T1057" s="187" t="n">
        <v>45948</v>
      </c>
    </row>
    <row r="1058" customFormat="false" ht="23.85" hidden="false" customHeight="false" outlineLevel="0" collapsed="false">
      <c r="A1058" s="181" t="s">
        <v>2514</v>
      </c>
      <c r="B1058" s="182" t="n">
        <v>2449</v>
      </c>
      <c r="C1058" s="183" t="n">
        <v>52</v>
      </c>
      <c r="D1058" s="181" t="s">
        <v>2401</v>
      </c>
      <c r="E1058" s="181" t="s">
        <v>308</v>
      </c>
      <c r="F1058" s="181" t="s">
        <v>309</v>
      </c>
      <c r="G1058" s="181" t="s">
        <v>144</v>
      </c>
      <c r="H1058" s="181" t="s">
        <v>158</v>
      </c>
      <c r="I1058" s="181" t="s">
        <v>242</v>
      </c>
      <c r="J1058" s="267"/>
      <c r="K1058" s="269" t="n">
        <v>45948</v>
      </c>
      <c r="L1058" s="267" t="n">
        <v>1.5</v>
      </c>
      <c r="M1058" s="184" t="s">
        <v>144</v>
      </c>
      <c r="N1058" s="184" t="n">
        <v>60950</v>
      </c>
      <c r="O1058" s="184" t="n">
        <v>24240</v>
      </c>
      <c r="P1058" s="185" t="n">
        <v>50</v>
      </c>
      <c r="Q1058" s="184" t="n">
        <v>36710</v>
      </c>
      <c r="R1058" s="184" t="n">
        <v>18355</v>
      </c>
      <c r="S1058" s="184" t="s">
        <v>2515</v>
      </c>
      <c r="T1058" s="187" t="n">
        <v>45948</v>
      </c>
    </row>
    <row r="1059" customFormat="false" ht="23.85" hidden="false" customHeight="false" outlineLevel="0" collapsed="false">
      <c r="A1059" s="181" t="s">
        <v>2516</v>
      </c>
      <c r="B1059" s="182" t="n">
        <v>2450</v>
      </c>
      <c r="C1059" s="183" t="n">
        <v>54</v>
      </c>
      <c r="D1059" s="181" t="s">
        <v>2401</v>
      </c>
      <c r="E1059" s="181" t="s">
        <v>373</v>
      </c>
      <c r="F1059" s="181" t="s">
        <v>374</v>
      </c>
      <c r="G1059" s="181" t="s">
        <v>144</v>
      </c>
      <c r="H1059" s="181" t="s">
        <v>158</v>
      </c>
      <c r="I1059" s="181" t="s">
        <v>242</v>
      </c>
      <c r="J1059" s="267"/>
      <c r="K1059" s="269" t="n">
        <v>45948</v>
      </c>
      <c r="L1059" s="267" t="n">
        <v>1.1</v>
      </c>
      <c r="M1059" s="184" t="s">
        <v>144</v>
      </c>
      <c r="N1059" s="184" t="n">
        <v>41100</v>
      </c>
      <c r="O1059" s="184" t="n">
        <v>14440</v>
      </c>
      <c r="P1059" s="185" t="n">
        <v>10</v>
      </c>
      <c r="Q1059" s="184" t="n">
        <v>26660</v>
      </c>
      <c r="R1059" s="184" t="n">
        <v>23994</v>
      </c>
      <c r="S1059" s="184" t="s">
        <v>2517</v>
      </c>
      <c r="T1059" s="187" t="n">
        <v>45948</v>
      </c>
    </row>
    <row r="1060" customFormat="false" ht="46.25" hidden="false" customHeight="false" outlineLevel="0" collapsed="false">
      <c r="A1060" s="181" t="s">
        <v>2518</v>
      </c>
      <c r="B1060" s="182" t="n">
        <v>2451</v>
      </c>
      <c r="C1060" s="183" t="n">
        <v>55</v>
      </c>
      <c r="D1060" s="181" t="s">
        <v>2401</v>
      </c>
      <c r="E1060" s="181" t="s">
        <v>383</v>
      </c>
      <c r="F1060" s="181" t="s">
        <v>384</v>
      </c>
      <c r="G1060" s="181" t="s">
        <v>144</v>
      </c>
      <c r="H1060" s="181" t="s">
        <v>158</v>
      </c>
      <c r="I1060" s="181" t="s">
        <v>242</v>
      </c>
      <c r="J1060" s="267"/>
      <c r="K1060" s="269" t="n">
        <v>45948</v>
      </c>
      <c r="L1060" s="267" t="n">
        <v>1.1</v>
      </c>
      <c r="M1060" s="184" t="s">
        <v>144</v>
      </c>
      <c r="N1060" s="184" t="n">
        <v>40580</v>
      </c>
      <c r="O1060" s="184" t="n">
        <v>15010</v>
      </c>
      <c r="P1060" s="185" t="n">
        <v>11</v>
      </c>
      <c r="Q1060" s="184" t="n">
        <v>25570</v>
      </c>
      <c r="R1060" s="184" t="n">
        <v>22757.3</v>
      </c>
      <c r="S1060" s="184" t="s">
        <v>2519</v>
      </c>
      <c r="T1060" s="187" t="n">
        <v>45948</v>
      </c>
    </row>
    <row r="1061" customFormat="false" ht="35.05" hidden="false" customHeight="false" outlineLevel="0" collapsed="false">
      <c r="A1061" s="181" t="s">
        <v>2520</v>
      </c>
      <c r="B1061" s="182" t="n">
        <v>2453</v>
      </c>
      <c r="C1061" s="183" t="n">
        <v>56</v>
      </c>
      <c r="D1061" s="181" t="s">
        <v>2401</v>
      </c>
      <c r="E1061" s="181" t="s">
        <v>387</v>
      </c>
      <c r="F1061" s="181" t="s">
        <v>388</v>
      </c>
      <c r="G1061" s="181" t="s">
        <v>144</v>
      </c>
      <c r="H1061" s="181" t="s">
        <v>158</v>
      </c>
      <c r="I1061" s="181" t="s">
        <v>242</v>
      </c>
      <c r="J1061" s="267"/>
      <c r="K1061" s="269" t="n">
        <v>45948</v>
      </c>
      <c r="L1061" s="267" t="n">
        <v>1.1</v>
      </c>
      <c r="M1061" s="184" t="s">
        <v>144</v>
      </c>
      <c r="N1061" s="184" t="n">
        <v>41980</v>
      </c>
      <c r="O1061" s="184" t="n">
        <v>15250</v>
      </c>
      <c r="P1061" s="185" t="n">
        <v>39</v>
      </c>
      <c r="Q1061" s="184" t="n">
        <v>26730</v>
      </c>
      <c r="R1061" s="184" t="n">
        <v>16305.3</v>
      </c>
      <c r="S1061" s="184" t="s">
        <v>2521</v>
      </c>
      <c r="T1061" s="187" t="n">
        <v>45948</v>
      </c>
    </row>
    <row r="1062" customFormat="false" ht="35.05" hidden="false" customHeight="false" outlineLevel="0" collapsed="false">
      <c r="A1062" s="181" t="s">
        <v>2522</v>
      </c>
      <c r="B1062" s="182" t="n">
        <v>2454</v>
      </c>
      <c r="C1062" s="183" t="n">
        <v>57</v>
      </c>
      <c r="D1062" s="181" t="s">
        <v>2401</v>
      </c>
      <c r="E1062" s="181" t="s">
        <v>901</v>
      </c>
      <c r="F1062" s="181" t="s">
        <v>902</v>
      </c>
      <c r="G1062" s="181" t="s">
        <v>144</v>
      </c>
      <c r="H1062" s="181" t="s">
        <v>158</v>
      </c>
      <c r="I1062" s="181" t="s">
        <v>242</v>
      </c>
      <c r="J1062" s="267"/>
      <c r="K1062" s="269" t="n">
        <v>45948</v>
      </c>
      <c r="L1062" s="267" t="n">
        <v>0.9</v>
      </c>
      <c r="M1062" s="184" t="s">
        <v>144</v>
      </c>
      <c r="N1062" s="184" t="n">
        <v>36080</v>
      </c>
      <c r="O1062" s="184" t="n">
        <v>14880</v>
      </c>
      <c r="P1062" s="185" t="n">
        <v>24</v>
      </c>
      <c r="Q1062" s="184" t="n">
        <v>21200</v>
      </c>
      <c r="R1062" s="184" t="n">
        <v>16112</v>
      </c>
      <c r="S1062" s="184" t="s">
        <v>2523</v>
      </c>
      <c r="T1062" s="187" t="n">
        <v>45948</v>
      </c>
    </row>
    <row r="1063" customFormat="false" ht="35.05" hidden="false" customHeight="false" outlineLevel="0" collapsed="false">
      <c r="A1063" s="181" t="s">
        <v>2524</v>
      </c>
      <c r="B1063" s="182" t="n">
        <v>2455</v>
      </c>
      <c r="C1063" s="183" t="n">
        <v>56</v>
      </c>
      <c r="D1063" s="181" t="s">
        <v>2401</v>
      </c>
      <c r="E1063" s="181" t="s">
        <v>340</v>
      </c>
      <c r="F1063" s="181" t="s">
        <v>341</v>
      </c>
      <c r="G1063" s="181" t="s">
        <v>144</v>
      </c>
      <c r="H1063" s="181" t="s">
        <v>158</v>
      </c>
      <c r="I1063" s="181" t="s">
        <v>242</v>
      </c>
      <c r="J1063" s="267"/>
      <c r="K1063" s="269" t="n">
        <v>45948</v>
      </c>
      <c r="L1063" s="267" t="n">
        <v>1</v>
      </c>
      <c r="M1063" s="184" t="s">
        <v>144</v>
      </c>
      <c r="N1063" s="184" t="n">
        <v>40240</v>
      </c>
      <c r="O1063" s="184" t="n">
        <v>15140</v>
      </c>
      <c r="P1063" s="185" t="n">
        <v>27</v>
      </c>
      <c r="Q1063" s="184" t="n">
        <v>25100</v>
      </c>
      <c r="R1063" s="184" t="n">
        <v>18323</v>
      </c>
      <c r="S1063" s="184" t="s">
        <v>2525</v>
      </c>
      <c r="T1063" s="187" t="n">
        <v>45948</v>
      </c>
    </row>
    <row r="1064" customFormat="false" ht="23.85" hidden="false" customHeight="false" outlineLevel="0" collapsed="false">
      <c r="A1064" s="181" t="s">
        <v>2526</v>
      </c>
      <c r="B1064" s="182" t="n">
        <v>2456</v>
      </c>
      <c r="C1064" s="183" t="n">
        <v>58</v>
      </c>
      <c r="D1064" s="181" t="s">
        <v>2401</v>
      </c>
      <c r="E1064" s="181" t="s">
        <v>336</v>
      </c>
      <c r="F1064" s="181" t="s">
        <v>337</v>
      </c>
      <c r="G1064" s="181" t="s">
        <v>144</v>
      </c>
      <c r="H1064" s="181" t="s">
        <v>158</v>
      </c>
      <c r="I1064" s="181" t="s">
        <v>242</v>
      </c>
      <c r="J1064" s="267"/>
      <c r="K1064" s="269" t="n">
        <v>45948</v>
      </c>
      <c r="L1064" s="267" t="n">
        <v>1</v>
      </c>
      <c r="M1064" s="184" t="s">
        <v>144</v>
      </c>
      <c r="N1064" s="184" t="n">
        <v>39560</v>
      </c>
      <c r="O1064" s="184" t="n">
        <v>14640</v>
      </c>
      <c r="P1064" s="185" t="n">
        <v>17</v>
      </c>
      <c r="Q1064" s="184" t="n">
        <v>24920</v>
      </c>
      <c r="R1064" s="184" t="n">
        <v>20683.6</v>
      </c>
      <c r="S1064" s="184" t="s">
        <v>2527</v>
      </c>
      <c r="T1064" s="187" t="n">
        <v>45948</v>
      </c>
    </row>
    <row r="1065" customFormat="false" ht="46.25" hidden="false" customHeight="false" outlineLevel="0" collapsed="false">
      <c r="A1065" s="181" t="s">
        <v>2528</v>
      </c>
      <c r="B1065" s="182" t="n">
        <v>2457</v>
      </c>
      <c r="C1065" s="183" t="n">
        <v>60</v>
      </c>
      <c r="D1065" s="181" t="s">
        <v>2401</v>
      </c>
      <c r="E1065" s="181" t="s">
        <v>282</v>
      </c>
      <c r="F1065" s="181" t="s">
        <v>283</v>
      </c>
      <c r="G1065" s="181" t="s">
        <v>144</v>
      </c>
      <c r="H1065" s="181" t="s">
        <v>158</v>
      </c>
      <c r="I1065" s="181" t="s">
        <v>242</v>
      </c>
      <c r="J1065" s="267"/>
      <c r="K1065" s="269" t="n">
        <v>45948</v>
      </c>
      <c r="L1065" s="267" t="n">
        <v>1</v>
      </c>
      <c r="M1065" s="184" t="s">
        <v>144</v>
      </c>
      <c r="N1065" s="184" t="n">
        <v>40410</v>
      </c>
      <c r="O1065" s="184" t="n">
        <v>15220</v>
      </c>
      <c r="P1065" s="185" t="n">
        <v>4</v>
      </c>
      <c r="Q1065" s="184" t="n">
        <v>25190</v>
      </c>
      <c r="R1065" s="184" t="n">
        <v>24182.4</v>
      </c>
      <c r="S1065" s="184" t="s">
        <v>2529</v>
      </c>
      <c r="T1065" s="187" t="n">
        <v>45948</v>
      </c>
    </row>
    <row r="1066" customFormat="false" ht="35.05" hidden="false" customHeight="false" outlineLevel="0" collapsed="false">
      <c r="A1066" s="181" t="s">
        <v>2532</v>
      </c>
      <c r="B1066" s="182" t="n">
        <v>2460</v>
      </c>
      <c r="C1066" s="183" t="n">
        <v>61</v>
      </c>
      <c r="D1066" s="181" t="s">
        <v>2401</v>
      </c>
      <c r="E1066" s="181" t="s">
        <v>277</v>
      </c>
      <c r="F1066" s="181" t="s">
        <v>278</v>
      </c>
      <c r="G1066" s="181" t="s">
        <v>144</v>
      </c>
      <c r="H1066" s="181" t="s">
        <v>158</v>
      </c>
      <c r="I1066" s="181" t="s">
        <v>242</v>
      </c>
      <c r="J1066" s="267"/>
      <c r="K1066" s="269" t="n">
        <v>45948</v>
      </c>
      <c r="L1066" s="267" t="n">
        <v>1.1</v>
      </c>
      <c r="M1066" s="184" t="s">
        <v>144</v>
      </c>
      <c r="N1066" s="184" t="n">
        <v>42550</v>
      </c>
      <c r="O1066" s="184" t="n">
        <v>15310</v>
      </c>
      <c r="P1066" s="185" t="n">
        <v>10</v>
      </c>
      <c r="Q1066" s="184" t="n">
        <v>27240</v>
      </c>
      <c r="R1066" s="184" t="n">
        <v>24516</v>
      </c>
      <c r="S1066" s="184" t="s">
        <v>2533</v>
      </c>
      <c r="T1066" s="187" t="n">
        <v>45948</v>
      </c>
    </row>
    <row r="1067" customFormat="false" ht="23.85" hidden="false" customHeight="false" outlineLevel="0" collapsed="false">
      <c r="A1067" s="181" t="s">
        <v>2538</v>
      </c>
      <c r="B1067" s="182" t="n">
        <v>2464</v>
      </c>
      <c r="C1067" s="183" t="n">
        <v>63</v>
      </c>
      <c r="D1067" s="181" t="s">
        <v>2401</v>
      </c>
      <c r="E1067" s="181" t="s">
        <v>529</v>
      </c>
      <c r="F1067" s="181" t="s">
        <v>530</v>
      </c>
      <c r="G1067" s="181" t="s">
        <v>144</v>
      </c>
      <c r="H1067" s="181" t="s">
        <v>158</v>
      </c>
      <c r="I1067" s="181" t="s">
        <v>242</v>
      </c>
      <c r="J1067" s="267"/>
      <c r="K1067" s="269" t="n">
        <v>45948</v>
      </c>
      <c r="L1067" s="267" t="n">
        <v>0.9</v>
      </c>
      <c r="M1067" s="184" t="s">
        <v>144</v>
      </c>
      <c r="N1067" s="184" t="n">
        <v>36350</v>
      </c>
      <c r="O1067" s="184" t="n">
        <v>14960</v>
      </c>
      <c r="P1067" s="185" t="n">
        <v>7</v>
      </c>
      <c r="Q1067" s="184" t="n">
        <v>21390</v>
      </c>
      <c r="R1067" s="184" t="n">
        <v>19892.7</v>
      </c>
      <c r="S1067" s="184" t="s">
        <v>2539</v>
      </c>
      <c r="T1067" s="187" t="n">
        <v>45948</v>
      </c>
    </row>
    <row r="1068" customFormat="false" ht="35.05" hidden="false" customHeight="false" outlineLevel="0" collapsed="false">
      <c r="A1068" s="181" t="s">
        <v>2540</v>
      </c>
      <c r="B1068" s="182" t="n">
        <v>2465</v>
      </c>
      <c r="C1068" s="183" t="n">
        <v>64</v>
      </c>
      <c r="D1068" s="181" t="s">
        <v>2401</v>
      </c>
      <c r="E1068" s="181" t="s">
        <v>391</v>
      </c>
      <c r="F1068" s="181" t="s">
        <v>392</v>
      </c>
      <c r="G1068" s="181" t="s">
        <v>144</v>
      </c>
      <c r="H1068" s="181" t="s">
        <v>158</v>
      </c>
      <c r="I1068" s="181" t="s">
        <v>242</v>
      </c>
      <c r="J1068" s="267"/>
      <c r="K1068" s="269" t="n">
        <v>45948</v>
      </c>
      <c r="L1068" s="267" t="n">
        <v>0.9</v>
      </c>
      <c r="M1068" s="184" t="s">
        <v>144</v>
      </c>
      <c r="N1068" s="184" t="n">
        <v>35300</v>
      </c>
      <c r="O1068" s="184" t="n">
        <v>14520</v>
      </c>
      <c r="P1068" s="185" t="n">
        <v>39</v>
      </c>
      <c r="Q1068" s="184" t="n">
        <v>20780</v>
      </c>
      <c r="R1068" s="184" t="n">
        <v>12675.8</v>
      </c>
      <c r="S1068" s="184" t="s">
        <v>2541</v>
      </c>
      <c r="T1068" s="187" t="n">
        <v>45949</v>
      </c>
    </row>
    <row r="1069" customFormat="false" ht="23.85" hidden="false" customHeight="false" outlineLevel="0" collapsed="false">
      <c r="A1069" s="181" t="s">
        <v>2542</v>
      </c>
      <c r="B1069" s="182" t="n">
        <v>2466</v>
      </c>
      <c r="C1069" s="183" t="n">
        <v>70</v>
      </c>
      <c r="D1069" s="181" t="s">
        <v>2401</v>
      </c>
      <c r="E1069" s="181" t="s">
        <v>272</v>
      </c>
      <c r="F1069" s="181" t="s">
        <v>273</v>
      </c>
      <c r="G1069" s="181" t="s">
        <v>144</v>
      </c>
      <c r="H1069" s="181" t="s">
        <v>158</v>
      </c>
      <c r="I1069" s="181" t="s">
        <v>242</v>
      </c>
      <c r="J1069" s="267"/>
      <c r="K1069" s="269" t="n">
        <v>45948</v>
      </c>
      <c r="L1069" s="267" t="n">
        <v>1</v>
      </c>
      <c r="M1069" s="184" t="s">
        <v>144</v>
      </c>
      <c r="N1069" s="184" t="n">
        <v>39400</v>
      </c>
      <c r="O1069" s="184" t="n">
        <v>15610</v>
      </c>
      <c r="P1069" s="185" t="n">
        <v>7</v>
      </c>
      <c r="Q1069" s="184" t="n">
        <v>23790</v>
      </c>
      <c r="R1069" s="184" t="n">
        <v>22124.7</v>
      </c>
      <c r="S1069" s="184" t="s">
        <v>2543</v>
      </c>
      <c r="T1069" s="187" t="n">
        <v>45949</v>
      </c>
    </row>
    <row r="1070" customFormat="false" ht="35.05" hidden="false" customHeight="false" outlineLevel="0" collapsed="false">
      <c r="A1070" s="181" t="s">
        <v>2534</v>
      </c>
      <c r="B1070" s="182" t="n">
        <v>2461</v>
      </c>
      <c r="C1070" s="183" t="n">
        <v>62</v>
      </c>
      <c r="D1070" s="181" t="s">
        <v>2401</v>
      </c>
      <c r="E1070" s="181" t="s">
        <v>266</v>
      </c>
      <c r="F1070" s="181" t="s">
        <v>267</v>
      </c>
      <c r="G1070" s="181" t="s">
        <v>144</v>
      </c>
      <c r="H1070" s="181" t="s">
        <v>158</v>
      </c>
      <c r="I1070" s="181" t="s">
        <v>242</v>
      </c>
      <c r="J1070" s="267"/>
      <c r="K1070" s="269" t="n">
        <v>45948</v>
      </c>
      <c r="L1070" s="267" t="n">
        <v>0.9</v>
      </c>
      <c r="M1070" s="184" t="s">
        <v>144</v>
      </c>
      <c r="N1070" s="184" t="n">
        <v>37430</v>
      </c>
      <c r="O1070" s="184" t="n">
        <v>15010</v>
      </c>
      <c r="P1070" s="185" t="n">
        <v>17</v>
      </c>
      <c r="Q1070" s="184" t="n">
        <v>22420</v>
      </c>
      <c r="R1070" s="184" t="n">
        <v>18608.6</v>
      </c>
      <c r="S1070" s="184" t="s">
        <v>2535</v>
      </c>
      <c r="T1070" s="187" t="n">
        <v>45948</v>
      </c>
    </row>
    <row r="1071" customFormat="false" ht="35.05" hidden="false" customHeight="false" outlineLevel="0" collapsed="false">
      <c r="A1071" s="181" t="s">
        <v>2546</v>
      </c>
      <c r="B1071" s="182" t="n">
        <v>2468</v>
      </c>
      <c r="C1071" s="183" t="n">
        <v>66</v>
      </c>
      <c r="D1071" s="181" t="s">
        <v>2401</v>
      </c>
      <c r="E1071" s="181" t="s">
        <v>332</v>
      </c>
      <c r="F1071" s="181" t="s">
        <v>333</v>
      </c>
      <c r="G1071" s="181" t="s">
        <v>144</v>
      </c>
      <c r="H1071" s="181" t="s">
        <v>158</v>
      </c>
      <c r="I1071" s="181" t="s">
        <v>242</v>
      </c>
      <c r="J1071" s="267"/>
      <c r="K1071" s="269" t="n">
        <v>45948</v>
      </c>
      <c r="L1071" s="267" t="n">
        <v>1.1</v>
      </c>
      <c r="M1071" s="184" t="s">
        <v>144</v>
      </c>
      <c r="N1071" s="184" t="n">
        <v>40080</v>
      </c>
      <c r="O1071" s="184" t="n">
        <v>14840</v>
      </c>
      <c r="P1071" s="185" t="n">
        <v>6</v>
      </c>
      <c r="Q1071" s="184" t="n">
        <v>25240</v>
      </c>
      <c r="R1071" s="184" t="n">
        <v>23725.6</v>
      </c>
      <c r="S1071" s="184" t="s">
        <v>2547</v>
      </c>
      <c r="T1071" s="187" t="n">
        <v>45949</v>
      </c>
    </row>
    <row r="1072" customFormat="false" ht="35.05" hidden="true" customHeight="false" outlineLevel="0" collapsed="false">
      <c r="A1072" s="181" t="s">
        <v>2530</v>
      </c>
      <c r="B1072" s="182" t="n">
        <v>2458</v>
      </c>
      <c r="C1072" s="183" t="n">
        <v>1</v>
      </c>
      <c r="D1072" s="181" t="s">
        <v>2005</v>
      </c>
      <c r="E1072" s="181" t="s">
        <v>292</v>
      </c>
      <c r="F1072" s="181" t="s">
        <v>293</v>
      </c>
      <c r="G1072" s="181" t="s">
        <v>2070</v>
      </c>
      <c r="H1072" s="181" t="s">
        <v>279</v>
      </c>
      <c r="I1072" s="181" t="s">
        <v>240</v>
      </c>
      <c r="J1072" s="267" t="n">
        <v>22230</v>
      </c>
      <c r="K1072" s="269" t="n">
        <v>45948</v>
      </c>
      <c r="L1072" s="267" t="n">
        <v>2.7</v>
      </c>
      <c r="M1072" s="184" t="s">
        <v>3395</v>
      </c>
      <c r="N1072" s="184" t="n">
        <v>36250</v>
      </c>
      <c r="O1072" s="184" t="n">
        <v>14020</v>
      </c>
      <c r="P1072" s="185" t="n">
        <v>34</v>
      </c>
      <c r="Q1072" s="184" t="n">
        <v>22230</v>
      </c>
      <c r="R1072" s="184" t="n">
        <v>14671.8</v>
      </c>
      <c r="S1072" s="184" t="s">
        <v>2531</v>
      </c>
      <c r="T1072" s="187" t="n">
        <v>45948</v>
      </c>
    </row>
    <row r="1073" customFormat="false" ht="35.05" hidden="true" customHeight="false" outlineLevel="0" collapsed="false">
      <c r="A1073" s="181" t="s">
        <v>2544</v>
      </c>
      <c r="B1073" s="182" t="n">
        <v>2467</v>
      </c>
      <c r="C1073" s="183" t="n">
        <v>3</v>
      </c>
      <c r="D1073" s="181" t="s">
        <v>2005</v>
      </c>
      <c r="E1073" s="181" t="s">
        <v>2351</v>
      </c>
      <c r="F1073" s="181" t="s">
        <v>2352</v>
      </c>
      <c r="G1073" s="181" t="s">
        <v>2070</v>
      </c>
      <c r="H1073" s="181" t="s">
        <v>279</v>
      </c>
      <c r="I1073" s="181" t="s">
        <v>240</v>
      </c>
      <c r="J1073" s="267" t="n">
        <v>9080</v>
      </c>
      <c r="K1073" s="269" t="n">
        <v>45948</v>
      </c>
      <c r="L1073" s="267" t="n">
        <v>1.1</v>
      </c>
      <c r="M1073" s="184" t="s">
        <v>3395</v>
      </c>
      <c r="N1073" s="184" t="n">
        <v>26720</v>
      </c>
      <c r="O1073" s="184" t="n">
        <v>17640</v>
      </c>
      <c r="P1073" s="185" t="n">
        <v>5</v>
      </c>
      <c r="Q1073" s="184" t="n">
        <v>9080</v>
      </c>
      <c r="R1073" s="184" t="n">
        <v>8626</v>
      </c>
      <c r="S1073" s="184" t="s">
        <v>2545</v>
      </c>
      <c r="T1073" s="187" t="n">
        <v>45949</v>
      </c>
    </row>
    <row r="1074" customFormat="false" ht="35.05" hidden="true" customHeight="false" outlineLevel="0" collapsed="false">
      <c r="A1074" s="181" t="s">
        <v>2536</v>
      </c>
      <c r="B1074" s="182" t="n">
        <v>2463</v>
      </c>
      <c r="C1074" s="183" t="n">
        <v>2</v>
      </c>
      <c r="D1074" s="181" t="s">
        <v>2005</v>
      </c>
      <c r="E1074" s="181" t="s">
        <v>367</v>
      </c>
      <c r="F1074" s="181" t="s">
        <v>368</v>
      </c>
      <c r="G1074" s="181" t="s">
        <v>2070</v>
      </c>
      <c r="H1074" s="181" t="s">
        <v>279</v>
      </c>
      <c r="I1074" s="181" t="s">
        <v>240</v>
      </c>
      <c r="J1074" s="267" t="n">
        <v>32910</v>
      </c>
      <c r="K1074" s="269" t="n">
        <v>45948</v>
      </c>
      <c r="L1074" s="267" t="n">
        <v>3.9</v>
      </c>
      <c r="M1074" s="184" t="s">
        <v>3395</v>
      </c>
      <c r="N1074" s="184" t="n">
        <v>51770</v>
      </c>
      <c r="O1074" s="184" t="n">
        <v>18860</v>
      </c>
      <c r="P1074" s="185" t="n">
        <v>25</v>
      </c>
      <c r="Q1074" s="184" t="n">
        <v>32910</v>
      </c>
      <c r="R1074" s="184" t="n">
        <v>24682.5</v>
      </c>
      <c r="S1074" s="184" t="s">
        <v>2537</v>
      </c>
      <c r="T1074" s="187" t="n">
        <v>45948</v>
      </c>
    </row>
    <row r="1075" customFormat="false" ht="35.05" hidden="true" customHeight="false" outlineLevel="0" collapsed="false">
      <c r="A1075" s="181" t="s">
        <v>2548</v>
      </c>
      <c r="B1075" s="182" t="n">
        <v>2469</v>
      </c>
      <c r="C1075" s="183" t="n">
        <v>65</v>
      </c>
      <c r="D1075" s="181" t="s">
        <v>2401</v>
      </c>
      <c r="E1075" s="181" t="s">
        <v>377</v>
      </c>
      <c r="F1075" s="181" t="s">
        <v>378</v>
      </c>
      <c r="G1075" s="181" t="s">
        <v>144</v>
      </c>
      <c r="H1075" s="181" t="s">
        <v>279</v>
      </c>
      <c r="I1075" s="181" t="s">
        <v>242</v>
      </c>
      <c r="J1075" s="267"/>
      <c r="K1075" s="269" t="n">
        <v>45948</v>
      </c>
      <c r="L1075" s="267" t="n">
        <v>1.8</v>
      </c>
      <c r="M1075" s="184" t="s">
        <v>144</v>
      </c>
      <c r="N1075" s="184" t="n">
        <v>44210</v>
      </c>
      <c r="O1075" s="184" t="n">
        <v>15900</v>
      </c>
      <c r="P1075" s="185" t="n">
        <v>6</v>
      </c>
      <c r="Q1075" s="184" t="n">
        <v>28310</v>
      </c>
      <c r="R1075" s="184" t="n">
        <v>26611.4</v>
      </c>
      <c r="S1075" s="184" t="s">
        <v>2549</v>
      </c>
      <c r="T1075" s="187" t="n">
        <v>45949</v>
      </c>
    </row>
    <row r="1076" customFormat="false" ht="46.25" hidden="true" customHeight="false" outlineLevel="0" collapsed="false">
      <c r="A1076" s="181" t="s">
        <v>2550</v>
      </c>
      <c r="B1076" s="182" t="n">
        <v>2470</v>
      </c>
      <c r="C1076" s="183" t="n">
        <v>67</v>
      </c>
      <c r="D1076" s="181" t="s">
        <v>2401</v>
      </c>
      <c r="E1076" s="181" t="s">
        <v>288</v>
      </c>
      <c r="F1076" s="181" t="s">
        <v>289</v>
      </c>
      <c r="G1076" s="181" t="s">
        <v>144</v>
      </c>
      <c r="H1076" s="181" t="s">
        <v>279</v>
      </c>
      <c r="I1076" s="181" t="s">
        <v>242</v>
      </c>
      <c r="J1076" s="267"/>
      <c r="K1076" s="269" t="n">
        <v>45948</v>
      </c>
      <c r="L1076" s="267" t="n">
        <v>1.3</v>
      </c>
      <c r="M1076" s="184" t="s">
        <v>144</v>
      </c>
      <c r="N1076" s="184" t="n">
        <v>35440</v>
      </c>
      <c r="O1076" s="184" t="n">
        <v>14760</v>
      </c>
      <c r="P1076" s="185" t="n">
        <v>10</v>
      </c>
      <c r="Q1076" s="184" t="n">
        <v>20680</v>
      </c>
      <c r="R1076" s="184" t="n">
        <v>18612</v>
      </c>
      <c r="S1076" s="184" t="s">
        <v>2551</v>
      </c>
      <c r="T1076" s="187" t="n">
        <v>45949</v>
      </c>
    </row>
    <row r="1077" customFormat="false" ht="23.85" hidden="true" customHeight="false" outlineLevel="0" collapsed="false">
      <c r="A1077" s="181" t="s">
        <v>2552</v>
      </c>
      <c r="B1077" s="182" t="n">
        <v>2471</v>
      </c>
      <c r="C1077" s="183" t="n">
        <v>69</v>
      </c>
      <c r="D1077" s="181" t="s">
        <v>2401</v>
      </c>
      <c r="E1077" s="181" t="s">
        <v>354</v>
      </c>
      <c r="F1077" s="181" t="s">
        <v>355</v>
      </c>
      <c r="G1077" s="181" t="s">
        <v>144</v>
      </c>
      <c r="H1077" s="181" t="s">
        <v>279</v>
      </c>
      <c r="I1077" s="181" t="s">
        <v>242</v>
      </c>
      <c r="J1077" s="267"/>
      <c r="K1077" s="269" t="n">
        <v>45948</v>
      </c>
      <c r="L1077" s="267" t="n">
        <v>1.5</v>
      </c>
      <c r="M1077" s="184" t="s">
        <v>144</v>
      </c>
      <c r="N1077" s="184" t="n">
        <v>39110</v>
      </c>
      <c r="O1077" s="184" t="n">
        <v>14800</v>
      </c>
      <c r="P1077" s="185" t="n">
        <v>9</v>
      </c>
      <c r="Q1077" s="184" t="n">
        <v>24310</v>
      </c>
      <c r="R1077" s="184" t="n">
        <v>22122.1</v>
      </c>
      <c r="S1077" s="184" t="s">
        <v>2553</v>
      </c>
      <c r="T1077" s="187" t="n">
        <v>45949</v>
      </c>
    </row>
    <row r="1078" customFormat="false" ht="35.05" hidden="true" customHeight="false" outlineLevel="0" collapsed="false">
      <c r="A1078" s="181" t="s">
        <v>2554</v>
      </c>
      <c r="B1078" s="182" t="n">
        <v>2472</v>
      </c>
      <c r="C1078" s="183" t="n">
        <v>68</v>
      </c>
      <c r="D1078" s="181" t="s">
        <v>2401</v>
      </c>
      <c r="E1078" s="181" t="s">
        <v>359</v>
      </c>
      <c r="F1078" s="181" t="s">
        <v>360</v>
      </c>
      <c r="G1078" s="181" t="s">
        <v>144</v>
      </c>
      <c r="H1078" s="181" t="s">
        <v>279</v>
      </c>
      <c r="I1078" s="181" t="s">
        <v>242</v>
      </c>
      <c r="J1078" s="267"/>
      <c r="K1078" s="269" t="n">
        <v>45948</v>
      </c>
      <c r="L1078" s="267" t="n">
        <v>1.4</v>
      </c>
      <c r="M1078" s="184" t="s">
        <v>144</v>
      </c>
      <c r="N1078" s="184" t="n">
        <v>37550</v>
      </c>
      <c r="O1078" s="184" t="n">
        <v>14980</v>
      </c>
      <c r="P1078" s="185" t="n">
        <v>11</v>
      </c>
      <c r="Q1078" s="184" t="n">
        <v>22570</v>
      </c>
      <c r="R1078" s="184" t="n">
        <v>20087.3</v>
      </c>
      <c r="S1078" s="184" t="s">
        <v>2555</v>
      </c>
      <c r="T1078" s="187" t="n">
        <v>45949</v>
      </c>
    </row>
    <row r="1079" customFormat="false" ht="35.05" hidden="true" customHeight="false" outlineLevel="0" collapsed="false">
      <c r="A1079" s="181" t="s">
        <v>2556</v>
      </c>
      <c r="B1079" s="182" t="n">
        <v>2480</v>
      </c>
      <c r="C1079" s="183" t="n">
        <v>1</v>
      </c>
      <c r="D1079" s="181" t="s">
        <v>2005</v>
      </c>
      <c r="E1079" s="181" t="s">
        <v>413</v>
      </c>
      <c r="F1079" s="181" t="s">
        <v>414</v>
      </c>
      <c r="G1079" s="181" t="s">
        <v>2070</v>
      </c>
      <c r="H1079" s="181" t="s">
        <v>279</v>
      </c>
      <c r="I1079" s="181" t="s">
        <v>240</v>
      </c>
      <c r="J1079" s="267" t="n">
        <v>32200</v>
      </c>
      <c r="K1079" s="269" t="n">
        <v>45949</v>
      </c>
      <c r="L1079" s="267" t="n">
        <v>3.9</v>
      </c>
      <c r="M1079" s="184" t="s">
        <v>3395</v>
      </c>
      <c r="N1079" s="184" t="n">
        <v>47940</v>
      </c>
      <c r="O1079" s="184" t="n">
        <v>15740</v>
      </c>
      <c r="P1079" s="185" t="n">
        <v>22</v>
      </c>
      <c r="Q1079" s="184" t="n">
        <v>32200</v>
      </c>
      <c r="R1079" s="184" t="n">
        <v>25116</v>
      </c>
      <c r="S1079" s="184" t="s">
        <v>2557</v>
      </c>
      <c r="T1079" s="187" t="n">
        <v>45949</v>
      </c>
    </row>
    <row r="1080" customFormat="false" ht="35.05" hidden="true" customHeight="false" outlineLevel="0" collapsed="false">
      <c r="A1080" s="181" t="s">
        <v>2558</v>
      </c>
      <c r="B1080" s="182" t="n">
        <v>2481</v>
      </c>
      <c r="C1080" s="183" t="n">
        <v>2</v>
      </c>
      <c r="D1080" s="181" t="s">
        <v>2005</v>
      </c>
      <c r="E1080" s="181" t="s">
        <v>576</v>
      </c>
      <c r="F1080" s="181" t="s">
        <v>577</v>
      </c>
      <c r="G1080" s="181" t="s">
        <v>2070</v>
      </c>
      <c r="H1080" s="181" t="s">
        <v>279</v>
      </c>
      <c r="I1080" s="181" t="s">
        <v>240</v>
      </c>
      <c r="J1080" s="267" t="n">
        <v>24350</v>
      </c>
      <c r="K1080" s="269" t="n">
        <v>45949</v>
      </c>
      <c r="L1080" s="267" t="n">
        <v>2.9</v>
      </c>
      <c r="M1080" s="184" t="s">
        <v>3395</v>
      </c>
      <c r="N1080" s="184" t="n">
        <v>38970</v>
      </c>
      <c r="O1080" s="184" t="n">
        <v>14620</v>
      </c>
      <c r="P1080" s="185" t="n">
        <v>26</v>
      </c>
      <c r="Q1080" s="184" t="n">
        <v>24350</v>
      </c>
      <c r="R1080" s="184" t="n">
        <v>18019</v>
      </c>
      <c r="S1080" s="184" t="s">
        <v>2559</v>
      </c>
      <c r="T1080" s="187" t="n">
        <v>45949</v>
      </c>
    </row>
    <row r="1081" customFormat="false" ht="56.25" hidden="true" customHeight="true" outlineLevel="0" collapsed="false">
      <c r="A1081" s="181" t="s">
        <v>2560</v>
      </c>
      <c r="B1081" s="182" t="n">
        <v>2483</v>
      </c>
      <c r="C1081" s="183" t="n">
        <v>3</v>
      </c>
      <c r="D1081" s="181" t="s">
        <v>2005</v>
      </c>
      <c r="E1081" s="181" t="s">
        <v>261</v>
      </c>
      <c r="F1081" s="181" t="s">
        <v>262</v>
      </c>
      <c r="G1081" s="181" t="s">
        <v>2070</v>
      </c>
      <c r="H1081" s="181" t="s">
        <v>279</v>
      </c>
      <c r="I1081" s="181" t="s">
        <v>240</v>
      </c>
      <c r="J1081" s="267" t="n">
        <v>24350</v>
      </c>
      <c r="K1081" s="269" t="n">
        <v>45949</v>
      </c>
      <c r="L1081" s="267" t="n">
        <v>2.9</v>
      </c>
      <c r="M1081" s="184" t="s">
        <v>3395</v>
      </c>
      <c r="N1081" s="184" t="n">
        <v>39260</v>
      </c>
      <c r="O1081" s="184" t="n">
        <v>15280</v>
      </c>
      <c r="P1081" s="185" t="n">
        <v>37</v>
      </c>
      <c r="Q1081" s="184" t="n">
        <v>23980</v>
      </c>
      <c r="R1081" s="184" t="n">
        <v>15107.4</v>
      </c>
      <c r="S1081" s="184" t="s">
        <v>2561</v>
      </c>
      <c r="T1081" s="187" t="n">
        <v>45949</v>
      </c>
    </row>
    <row r="1082" customFormat="false" ht="56.25" hidden="true" customHeight="true" outlineLevel="0" collapsed="false">
      <c r="A1082" s="181" t="s">
        <v>2566</v>
      </c>
      <c r="B1082" s="182" t="n">
        <v>2486</v>
      </c>
      <c r="C1082" s="183" t="n">
        <v>4</v>
      </c>
      <c r="D1082" s="181" t="s">
        <v>2005</v>
      </c>
      <c r="E1082" s="181" t="s">
        <v>582</v>
      </c>
      <c r="F1082" s="181" t="s">
        <v>583</v>
      </c>
      <c r="G1082" s="181" t="s">
        <v>2049</v>
      </c>
      <c r="H1082" s="181" t="s">
        <v>279</v>
      </c>
      <c r="I1082" s="181" t="s">
        <v>240</v>
      </c>
      <c r="J1082" s="267" t="n">
        <f aca="false">Таблица24[[#This Row],[Вес нетто]]</f>
        <v>26930</v>
      </c>
      <c r="K1082" s="269" t="n">
        <v>45950</v>
      </c>
      <c r="L1082" s="267" t="n">
        <v>3.2</v>
      </c>
      <c r="M1082" s="184" t="s">
        <v>3395</v>
      </c>
      <c r="N1082" s="184" t="n">
        <v>42460</v>
      </c>
      <c r="O1082" s="184" t="n">
        <v>15530</v>
      </c>
      <c r="P1082" s="185" t="n">
        <v>16</v>
      </c>
      <c r="Q1082" s="184" t="n">
        <v>26930</v>
      </c>
      <c r="R1082" s="184" t="n">
        <v>22621.2</v>
      </c>
      <c r="S1082" s="184" t="s">
        <v>2567</v>
      </c>
      <c r="T1082" s="187" t="n">
        <v>45950</v>
      </c>
    </row>
    <row r="1083" customFormat="false" ht="56.25" hidden="true" customHeight="true" outlineLevel="0" collapsed="false">
      <c r="A1083" s="181" t="s">
        <v>2568</v>
      </c>
      <c r="B1083" s="182" t="n">
        <v>2487</v>
      </c>
      <c r="C1083" s="183" t="n">
        <v>71</v>
      </c>
      <c r="D1083" s="181" t="s">
        <v>2401</v>
      </c>
      <c r="E1083" s="181" t="s">
        <v>399</v>
      </c>
      <c r="F1083" s="181" t="s">
        <v>400</v>
      </c>
      <c r="G1083" s="181" t="s">
        <v>2402</v>
      </c>
      <c r="H1083" s="181" t="s">
        <v>279</v>
      </c>
      <c r="I1083" s="181" t="s">
        <v>242</v>
      </c>
      <c r="J1083" s="267"/>
      <c r="K1083" s="269" t="n">
        <v>45950</v>
      </c>
      <c r="L1083" s="267" t="n">
        <v>1.1</v>
      </c>
      <c r="M1083" s="184" t="s">
        <v>2402</v>
      </c>
      <c r="N1083" s="184" t="n">
        <v>39270</v>
      </c>
      <c r="O1083" s="184" t="n">
        <v>16020</v>
      </c>
      <c r="P1083" s="185" t="n">
        <v>7</v>
      </c>
      <c r="Q1083" s="184" t="n">
        <v>23250</v>
      </c>
      <c r="R1083" s="184" t="n">
        <v>21622.5</v>
      </c>
      <c r="S1083" s="184" t="s">
        <v>2569</v>
      </c>
      <c r="T1083" s="187" t="n">
        <v>45950</v>
      </c>
    </row>
    <row r="1084" customFormat="false" ht="35.05" hidden="true" customHeight="false" outlineLevel="0" collapsed="false">
      <c r="A1084" s="181" t="s">
        <v>2562</v>
      </c>
      <c r="B1084" s="182" t="n">
        <v>2488</v>
      </c>
      <c r="C1084" s="183" t="n">
        <v>5</v>
      </c>
      <c r="D1084" s="181" t="s">
        <v>2005</v>
      </c>
      <c r="E1084" s="181" t="s">
        <v>409</v>
      </c>
      <c r="F1084" s="181" t="s">
        <v>410</v>
      </c>
      <c r="G1084" s="181" t="s">
        <v>2049</v>
      </c>
      <c r="H1084" s="181" t="s">
        <v>279</v>
      </c>
      <c r="I1084" s="181" t="s">
        <v>240</v>
      </c>
      <c r="J1084" s="267" t="n">
        <f aca="false">Таблица24[[#This Row],[Вес нетто]]</f>
        <v>30960</v>
      </c>
      <c r="K1084" s="269" t="n">
        <v>45950</v>
      </c>
      <c r="L1084" s="267" t="n">
        <v>3.7</v>
      </c>
      <c r="M1084" s="184" t="s">
        <v>3395</v>
      </c>
      <c r="N1084" s="184" t="n">
        <v>55660</v>
      </c>
      <c r="O1084" s="184" t="n">
        <v>24700</v>
      </c>
      <c r="P1084" s="185" t="n">
        <v>7</v>
      </c>
      <c r="Q1084" s="184" t="n">
        <v>30960</v>
      </c>
      <c r="R1084" s="184" t="n">
        <v>28792.8</v>
      </c>
      <c r="S1084" s="184" t="s">
        <v>2563</v>
      </c>
      <c r="T1084" s="187" t="n">
        <v>45950</v>
      </c>
    </row>
    <row r="1085" customFormat="false" ht="23.85" hidden="true" customHeight="false" outlineLevel="0" collapsed="false">
      <c r="A1085" s="181" t="s">
        <v>2564</v>
      </c>
      <c r="B1085" s="182" t="n">
        <v>2489</v>
      </c>
      <c r="C1085" s="183" t="n">
        <v>72</v>
      </c>
      <c r="D1085" s="181" t="s">
        <v>2401</v>
      </c>
      <c r="E1085" s="181" t="s">
        <v>373</v>
      </c>
      <c r="F1085" s="181" t="s">
        <v>374</v>
      </c>
      <c r="G1085" s="181" t="s">
        <v>2402</v>
      </c>
      <c r="H1085" s="181" t="s">
        <v>279</v>
      </c>
      <c r="I1085" s="181" t="s">
        <v>242</v>
      </c>
      <c r="J1085" s="267"/>
      <c r="K1085" s="269" t="n">
        <v>45950</v>
      </c>
      <c r="L1085" s="267" t="n">
        <v>1.2</v>
      </c>
      <c r="M1085" s="184" t="s">
        <v>2402</v>
      </c>
      <c r="N1085" s="184" t="n">
        <v>39880</v>
      </c>
      <c r="O1085" s="184" t="n">
        <v>14610</v>
      </c>
      <c r="P1085" s="185" t="n">
        <v>10</v>
      </c>
      <c r="Q1085" s="184" t="n">
        <v>25270</v>
      </c>
      <c r="R1085" s="184" t="n">
        <v>22743</v>
      </c>
      <c r="S1085" s="184" t="s">
        <v>2565</v>
      </c>
      <c r="T1085" s="187" t="n">
        <v>45950</v>
      </c>
    </row>
    <row r="1086" customFormat="false" ht="46.25" hidden="true" customHeight="false" outlineLevel="0" collapsed="false">
      <c r="A1086" s="181" t="s">
        <v>2570</v>
      </c>
      <c r="B1086" s="182" t="n">
        <v>2490</v>
      </c>
      <c r="C1086" s="183" t="n">
        <v>75</v>
      </c>
      <c r="D1086" s="181" t="s">
        <v>2401</v>
      </c>
      <c r="E1086" s="181" t="s">
        <v>383</v>
      </c>
      <c r="F1086" s="181" t="s">
        <v>384</v>
      </c>
      <c r="G1086" s="181" t="s">
        <v>2402</v>
      </c>
      <c r="H1086" s="181" t="s">
        <v>279</v>
      </c>
      <c r="I1086" s="181" t="s">
        <v>242</v>
      </c>
      <c r="J1086" s="267"/>
      <c r="K1086" s="269" t="n">
        <v>45950</v>
      </c>
      <c r="L1086" s="267" t="n">
        <v>1.2</v>
      </c>
      <c r="M1086" s="184" t="s">
        <v>2402</v>
      </c>
      <c r="N1086" s="184" t="n">
        <v>40450</v>
      </c>
      <c r="O1086" s="184" t="n">
        <v>15170</v>
      </c>
      <c r="P1086" s="185" t="n">
        <v>8</v>
      </c>
      <c r="Q1086" s="184" t="n">
        <v>25280</v>
      </c>
      <c r="R1086" s="184" t="n">
        <v>23257.6</v>
      </c>
      <c r="S1086" s="184" t="s">
        <v>2571</v>
      </c>
      <c r="T1086" s="187" t="n">
        <v>45950</v>
      </c>
    </row>
    <row r="1087" customFormat="false" ht="35.05" hidden="true" customHeight="false" outlineLevel="0" collapsed="false">
      <c r="A1087" s="181" t="s">
        <v>2572</v>
      </c>
      <c r="B1087" s="182" t="n">
        <v>2491</v>
      </c>
      <c r="C1087" s="183" t="n">
        <v>76</v>
      </c>
      <c r="D1087" s="181" t="s">
        <v>2401</v>
      </c>
      <c r="E1087" s="181" t="s">
        <v>387</v>
      </c>
      <c r="F1087" s="181" t="s">
        <v>388</v>
      </c>
      <c r="G1087" s="181" t="s">
        <v>2402</v>
      </c>
      <c r="H1087" s="181" t="s">
        <v>279</v>
      </c>
      <c r="I1087" s="181" t="s">
        <v>242</v>
      </c>
      <c r="J1087" s="267"/>
      <c r="K1087" s="269" t="n">
        <v>45950</v>
      </c>
      <c r="L1087" s="267" t="n">
        <v>1.3</v>
      </c>
      <c r="M1087" s="184" t="s">
        <v>2402</v>
      </c>
      <c r="N1087" s="184" t="n">
        <v>43540</v>
      </c>
      <c r="O1087" s="184" t="n">
        <v>15370</v>
      </c>
      <c r="P1087" s="185" t="n">
        <v>15</v>
      </c>
      <c r="Q1087" s="184" t="n">
        <v>28170</v>
      </c>
      <c r="R1087" s="184" t="n">
        <v>23944.5</v>
      </c>
      <c r="S1087" s="184" t="s">
        <v>2573</v>
      </c>
      <c r="T1087" s="187" t="n">
        <v>45950</v>
      </c>
    </row>
    <row r="1088" customFormat="false" ht="35.05" hidden="true" customHeight="false" outlineLevel="0" collapsed="false">
      <c r="A1088" s="181" t="s">
        <v>2574</v>
      </c>
      <c r="B1088" s="182" t="n">
        <v>2493</v>
      </c>
      <c r="C1088" s="183" t="n">
        <v>6</v>
      </c>
      <c r="D1088" s="181" t="s">
        <v>2005</v>
      </c>
      <c r="E1088" s="181" t="s">
        <v>350</v>
      </c>
      <c r="F1088" s="181" t="s">
        <v>351</v>
      </c>
      <c r="G1088" s="181" t="s">
        <v>2070</v>
      </c>
      <c r="H1088" s="181" t="s">
        <v>279</v>
      </c>
      <c r="I1088" s="181" t="s">
        <v>240</v>
      </c>
      <c r="J1088" s="267" t="n">
        <f aca="false">Таблица24[[#This Row],[Вес нетто]]</f>
        <v>27830</v>
      </c>
      <c r="K1088" s="269" t="n">
        <v>45950</v>
      </c>
      <c r="L1088" s="267" t="n">
        <v>3.3</v>
      </c>
      <c r="M1088" s="184" t="s">
        <v>3395</v>
      </c>
      <c r="N1088" s="184" t="n">
        <v>42980</v>
      </c>
      <c r="O1088" s="184" t="n">
        <v>15150</v>
      </c>
      <c r="P1088" s="185" t="n">
        <v>15</v>
      </c>
      <c r="Q1088" s="184" t="n">
        <v>27830</v>
      </c>
      <c r="R1088" s="184" t="n">
        <v>23655.5</v>
      </c>
      <c r="S1088" s="184" t="s">
        <v>2575</v>
      </c>
      <c r="T1088" s="187" t="n">
        <v>45950</v>
      </c>
    </row>
    <row r="1089" customFormat="false" ht="35.05" hidden="true" customHeight="false" outlineLevel="0" collapsed="false">
      <c r="A1089" s="181" t="s">
        <v>2576</v>
      </c>
      <c r="B1089" s="182" t="n">
        <v>2495</v>
      </c>
      <c r="C1089" s="183" t="n">
        <v>7</v>
      </c>
      <c r="D1089" s="181" t="s">
        <v>2005</v>
      </c>
      <c r="E1089" s="181" t="s">
        <v>308</v>
      </c>
      <c r="F1089" s="181" t="s">
        <v>309</v>
      </c>
      <c r="G1089" s="181" t="s">
        <v>2070</v>
      </c>
      <c r="H1089" s="181" t="s">
        <v>279</v>
      </c>
      <c r="I1089" s="181" t="s">
        <v>240</v>
      </c>
      <c r="J1089" s="267" t="n">
        <f aca="false">Таблица24[[#This Row],[Вес нетто]]</f>
        <v>25580</v>
      </c>
      <c r="K1089" s="269" t="n">
        <v>45950</v>
      </c>
      <c r="L1089" s="267" t="n">
        <v>3.1</v>
      </c>
      <c r="M1089" s="184" t="s">
        <v>3395</v>
      </c>
      <c r="N1089" s="184" t="n">
        <v>49850</v>
      </c>
      <c r="O1089" s="184" t="n">
        <v>24270</v>
      </c>
      <c r="P1089" s="185" t="n">
        <v>36</v>
      </c>
      <c r="Q1089" s="184" t="n">
        <v>25580</v>
      </c>
      <c r="R1089" s="184" t="n">
        <v>16371.2</v>
      </c>
      <c r="S1089" s="184" t="s">
        <v>2577</v>
      </c>
      <c r="T1089" s="187" t="n">
        <v>45950</v>
      </c>
    </row>
    <row r="1090" customFormat="false" ht="46.25" hidden="true" customHeight="false" outlineLevel="0" collapsed="false">
      <c r="A1090" s="181" t="s">
        <v>2578</v>
      </c>
      <c r="B1090" s="182" t="n">
        <v>2497</v>
      </c>
      <c r="C1090" s="183" t="n">
        <v>8</v>
      </c>
      <c r="D1090" s="181" t="s">
        <v>2005</v>
      </c>
      <c r="E1090" s="181" t="s">
        <v>282</v>
      </c>
      <c r="F1090" s="181" t="s">
        <v>283</v>
      </c>
      <c r="G1090" s="181" t="s">
        <v>2070</v>
      </c>
      <c r="H1090" s="181" t="s">
        <v>279</v>
      </c>
      <c r="I1090" s="181" t="s">
        <v>240</v>
      </c>
      <c r="J1090" s="267" t="n">
        <f aca="false">Таблица24[[#This Row],[Вес нетто]]</f>
        <v>22430</v>
      </c>
      <c r="K1090" s="269" t="n">
        <v>45950</v>
      </c>
      <c r="L1090" s="267" t="n">
        <v>2.7</v>
      </c>
      <c r="M1090" s="184" t="s">
        <v>3395</v>
      </c>
      <c r="N1090" s="184" t="n">
        <v>37800</v>
      </c>
      <c r="O1090" s="184" t="n">
        <v>15370</v>
      </c>
      <c r="P1090" s="185" t="n">
        <v>37</v>
      </c>
      <c r="Q1090" s="184" t="n">
        <v>22430</v>
      </c>
      <c r="R1090" s="184" t="n">
        <v>14130.9</v>
      </c>
      <c r="S1090" s="184" t="s">
        <v>2579</v>
      </c>
      <c r="T1090" s="187" t="n">
        <v>45950</v>
      </c>
    </row>
    <row r="1091" customFormat="false" ht="23.85" hidden="true" customHeight="false" outlineLevel="0" collapsed="false">
      <c r="A1091" s="181" t="s">
        <v>2580</v>
      </c>
      <c r="B1091" s="182" t="n">
        <v>2498</v>
      </c>
      <c r="C1091" s="183" t="n">
        <v>77</v>
      </c>
      <c r="D1091" s="181" t="s">
        <v>2401</v>
      </c>
      <c r="E1091" s="181" t="s">
        <v>354</v>
      </c>
      <c r="F1091" s="181" t="s">
        <v>355</v>
      </c>
      <c r="G1091" s="181" t="s">
        <v>2402</v>
      </c>
      <c r="H1091" s="181" t="s">
        <v>279</v>
      </c>
      <c r="I1091" s="181" t="s">
        <v>242</v>
      </c>
      <c r="J1091" s="267"/>
      <c r="K1091" s="269" t="n">
        <v>45950</v>
      </c>
      <c r="L1091" s="267" t="n">
        <v>1.1</v>
      </c>
      <c r="M1091" s="184" t="s">
        <v>2402</v>
      </c>
      <c r="N1091" s="184" t="n">
        <v>38280</v>
      </c>
      <c r="O1091" s="184" t="n">
        <v>15030</v>
      </c>
      <c r="P1091" s="185" t="n">
        <v>22</v>
      </c>
      <c r="Q1091" s="184" t="n">
        <v>23250</v>
      </c>
      <c r="R1091" s="184" t="n">
        <v>18135</v>
      </c>
      <c r="S1091" s="184" t="s">
        <v>2581</v>
      </c>
      <c r="T1091" s="187" t="n">
        <v>45950</v>
      </c>
    </row>
    <row r="1092" customFormat="false" ht="35.05" hidden="true" customHeight="false" outlineLevel="0" collapsed="false">
      <c r="A1092" s="181" t="s">
        <v>2582</v>
      </c>
      <c r="B1092" s="182" t="n">
        <v>2499</v>
      </c>
      <c r="C1092" s="183" t="n">
        <v>78</v>
      </c>
      <c r="D1092" s="181" t="s">
        <v>2401</v>
      </c>
      <c r="E1092" s="181" t="s">
        <v>359</v>
      </c>
      <c r="F1092" s="181" t="s">
        <v>360</v>
      </c>
      <c r="G1092" s="181" t="s">
        <v>2402</v>
      </c>
      <c r="H1092" s="181" t="s">
        <v>279</v>
      </c>
      <c r="I1092" s="181" t="s">
        <v>242</v>
      </c>
      <c r="J1092" s="267"/>
      <c r="K1092" s="269" t="n">
        <v>45950</v>
      </c>
      <c r="L1092" s="267" t="n">
        <v>1</v>
      </c>
      <c r="M1092" s="184" t="s">
        <v>2402</v>
      </c>
      <c r="N1092" s="184" t="n">
        <v>36970</v>
      </c>
      <c r="O1092" s="184" t="n">
        <v>15200</v>
      </c>
      <c r="P1092" s="185" t="n">
        <v>11</v>
      </c>
      <c r="Q1092" s="184" t="n">
        <v>21770</v>
      </c>
      <c r="R1092" s="184" t="n">
        <v>19375.3</v>
      </c>
      <c r="S1092" s="184" t="s">
        <v>2583</v>
      </c>
      <c r="T1092" s="187" t="n">
        <v>45950</v>
      </c>
    </row>
    <row r="1093" customFormat="false" ht="35.05" hidden="true" customHeight="false" outlineLevel="0" collapsed="false">
      <c r="A1093" s="181" t="s">
        <v>2584</v>
      </c>
      <c r="B1093" s="182" t="n">
        <v>2501</v>
      </c>
      <c r="C1093" s="183" t="n">
        <v>79</v>
      </c>
      <c r="D1093" s="181" t="s">
        <v>2401</v>
      </c>
      <c r="E1093" s="181" t="s">
        <v>413</v>
      </c>
      <c r="F1093" s="181" t="s">
        <v>414</v>
      </c>
      <c r="G1093" s="181" t="s">
        <v>2402</v>
      </c>
      <c r="H1093" s="181" t="s">
        <v>279</v>
      </c>
      <c r="I1093" s="181" t="s">
        <v>242</v>
      </c>
      <c r="J1093" s="267"/>
      <c r="K1093" s="269" t="n">
        <v>45950</v>
      </c>
      <c r="L1093" s="267" t="n">
        <v>1.3</v>
      </c>
      <c r="M1093" s="184" t="s">
        <v>2402</v>
      </c>
      <c r="N1093" s="184" t="n">
        <v>45180</v>
      </c>
      <c r="O1093" s="184" t="n">
        <v>16220</v>
      </c>
      <c r="P1093" s="185" t="n">
        <v>12</v>
      </c>
      <c r="Q1093" s="184" t="n">
        <v>28960</v>
      </c>
      <c r="R1093" s="184" t="n">
        <v>25484.8</v>
      </c>
      <c r="S1093" s="184" t="s">
        <v>2585</v>
      </c>
      <c r="T1093" s="187" t="n">
        <v>45950</v>
      </c>
    </row>
    <row r="1094" customFormat="false" ht="35.05" hidden="true" customHeight="false" outlineLevel="0" collapsed="false">
      <c r="A1094" s="181" t="s">
        <v>2586</v>
      </c>
      <c r="B1094" s="182" t="n">
        <v>2502</v>
      </c>
      <c r="C1094" s="183" t="n">
        <v>80</v>
      </c>
      <c r="D1094" s="181" t="s">
        <v>2401</v>
      </c>
      <c r="E1094" s="181" t="s">
        <v>277</v>
      </c>
      <c r="F1094" s="181" t="s">
        <v>278</v>
      </c>
      <c r="G1094" s="181" t="s">
        <v>2402</v>
      </c>
      <c r="H1094" s="181" t="s">
        <v>279</v>
      </c>
      <c r="I1094" s="181" t="s">
        <v>242</v>
      </c>
      <c r="J1094" s="267"/>
      <c r="K1094" s="269" t="n">
        <v>45950</v>
      </c>
      <c r="L1094" s="267" t="n">
        <v>1.1</v>
      </c>
      <c r="M1094" s="184" t="s">
        <v>2402</v>
      </c>
      <c r="N1094" s="184" t="n">
        <v>40060</v>
      </c>
      <c r="O1094" s="184" t="n">
        <v>15290</v>
      </c>
      <c r="P1094" s="185" t="n">
        <v>11</v>
      </c>
      <c r="Q1094" s="184" t="n">
        <v>24770</v>
      </c>
      <c r="R1094" s="184" t="n">
        <v>22045.3</v>
      </c>
      <c r="S1094" s="184" t="s">
        <v>2587</v>
      </c>
      <c r="T1094" s="187" t="n">
        <v>45950</v>
      </c>
    </row>
    <row r="1095" customFormat="false" ht="23.85" hidden="true" customHeight="false" outlineLevel="0" collapsed="false">
      <c r="A1095" s="181" t="s">
        <v>3333</v>
      </c>
      <c r="B1095" s="182" t="n">
        <v>2503</v>
      </c>
      <c r="C1095" s="183" t="n">
        <v>81</v>
      </c>
      <c r="D1095" s="181" t="s">
        <v>2401</v>
      </c>
      <c r="E1095" s="181" t="s">
        <v>292</v>
      </c>
      <c r="F1095" s="181" t="s">
        <v>293</v>
      </c>
      <c r="G1095" s="181" t="s">
        <v>2402</v>
      </c>
      <c r="H1095" s="181" t="s">
        <v>279</v>
      </c>
      <c r="I1095" s="181" t="s">
        <v>242</v>
      </c>
      <c r="J1095" s="267"/>
      <c r="K1095" s="269" t="n">
        <v>45950</v>
      </c>
      <c r="L1095" s="267" t="n">
        <v>1</v>
      </c>
      <c r="M1095" s="184" t="s">
        <v>2402</v>
      </c>
      <c r="N1095" s="184" t="n">
        <v>35000</v>
      </c>
      <c r="O1095" s="184" t="n">
        <v>14040</v>
      </c>
      <c r="P1095" s="185" t="n">
        <v>17</v>
      </c>
      <c r="Q1095" s="184" t="n">
        <v>20960</v>
      </c>
      <c r="R1095" s="184" t="n">
        <v>17396.8</v>
      </c>
      <c r="S1095" s="184" t="s">
        <v>2589</v>
      </c>
      <c r="T1095" s="187" t="n">
        <v>45951</v>
      </c>
    </row>
    <row r="1096" customFormat="false" ht="35.05" hidden="true" customHeight="false" outlineLevel="0" collapsed="false">
      <c r="A1096" s="181" t="s">
        <v>2590</v>
      </c>
      <c r="B1096" s="182" t="n">
        <v>2504</v>
      </c>
      <c r="C1096" s="183" t="n">
        <v>82</v>
      </c>
      <c r="D1096" s="181" t="s">
        <v>2401</v>
      </c>
      <c r="E1096" s="181" t="s">
        <v>332</v>
      </c>
      <c r="F1096" s="181" t="s">
        <v>333</v>
      </c>
      <c r="G1096" s="181" t="s">
        <v>2402</v>
      </c>
      <c r="H1096" s="181" t="s">
        <v>279</v>
      </c>
      <c r="I1096" s="181" t="s">
        <v>242</v>
      </c>
      <c r="J1096" s="267"/>
      <c r="K1096" s="269" t="n">
        <v>45950</v>
      </c>
      <c r="L1096" s="267" t="n">
        <v>1</v>
      </c>
      <c r="M1096" s="184" t="s">
        <v>2402</v>
      </c>
      <c r="N1096" s="184" t="n">
        <v>37350</v>
      </c>
      <c r="O1096" s="184" t="n">
        <v>14880</v>
      </c>
      <c r="P1096" s="185" t="n">
        <v>19</v>
      </c>
      <c r="Q1096" s="184" t="n">
        <v>22470</v>
      </c>
      <c r="R1096" s="184" t="n">
        <v>18200.7</v>
      </c>
      <c r="S1096" s="184" t="s">
        <v>2591</v>
      </c>
      <c r="T1096" s="187" t="n">
        <v>45951</v>
      </c>
    </row>
    <row r="1097" customFormat="false" ht="35.05" hidden="true" customHeight="false" outlineLevel="0" collapsed="false">
      <c r="A1097" s="181" t="s">
        <v>2592</v>
      </c>
      <c r="B1097" s="182" t="n">
        <v>2505</v>
      </c>
      <c r="C1097" s="183" t="n">
        <v>83</v>
      </c>
      <c r="D1097" s="181" t="s">
        <v>2401</v>
      </c>
      <c r="E1097" s="181" t="s">
        <v>576</v>
      </c>
      <c r="F1097" s="181" t="s">
        <v>577</v>
      </c>
      <c r="G1097" s="181" t="s">
        <v>2402</v>
      </c>
      <c r="H1097" s="181" t="s">
        <v>279</v>
      </c>
      <c r="I1097" s="181" t="s">
        <v>242</v>
      </c>
      <c r="J1097" s="267"/>
      <c r="K1097" s="269" t="n">
        <v>45950</v>
      </c>
      <c r="L1097" s="267" t="n">
        <v>1.1</v>
      </c>
      <c r="M1097" s="184" t="s">
        <v>2402</v>
      </c>
      <c r="N1097" s="184" t="n">
        <v>38050</v>
      </c>
      <c r="O1097" s="184" t="n">
        <v>14640</v>
      </c>
      <c r="P1097" s="185" t="n">
        <v>12</v>
      </c>
      <c r="Q1097" s="184" t="n">
        <v>23410</v>
      </c>
      <c r="R1097" s="184" t="n">
        <v>20600.8</v>
      </c>
      <c r="S1097" s="184" t="s">
        <v>2593</v>
      </c>
      <c r="T1097" s="187" t="n">
        <v>45951</v>
      </c>
    </row>
    <row r="1098" customFormat="false" ht="35.05" hidden="true" customHeight="false" outlineLevel="0" collapsed="false">
      <c r="A1098" s="181" t="s">
        <v>2594</v>
      </c>
      <c r="B1098" s="182" t="n">
        <v>2507</v>
      </c>
      <c r="C1098" s="183" t="n">
        <v>84</v>
      </c>
      <c r="D1098" s="181" t="s">
        <v>2401</v>
      </c>
      <c r="E1098" s="181" t="s">
        <v>261</v>
      </c>
      <c r="F1098" s="181" t="s">
        <v>262</v>
      </c>
      <c r="G1098" s="181" t="s">
        <v>2402</v>
      </c>
      <c r="H1098" s="181" t="s">
        <v>279</v>
      </c>
      <c r="I1098" s="181" t="s">
        <v>242</v>
      </c>
      <c r="J1098" s="267"/>
      <c r="K1098" s="269" t="n">
        <v>45950</v>
      </c>
      <c r="L1098" s="267" t="n">
        <v>1</v>
      </c>
      <c r="M1098" s="184" t="s">
        <v>2402</v>
      </c>
      <c r="N1098" s="184" t="n">
        <v>37520</v>
      </c>
      <c r="O1098" s="184" t="n">
        <v>15320</v>
      </c>
      <c r="P1098" s="185" t="n">
        <v>19</v>
      </c>
      <c r="Q1098" s="184" t="n">
        <v>22200</v>
      </c>
      <c r="R1098" s="184" t="n">
        <v>17982</v>
      </c>
      <c r="S1098" s="184" t="s">
        <v>2595</v>
      </c>
      <c r="T1098" s="187" t="n">
        <v>45951</v>
      </c>
    </row>
    <row r="1099" customFormat="false" ht="35.05" hidden="true" customHeight="false" outlineLevel="0" collapsed="false">
      <c r="A1099" s="181" t="s">
        <v>2596</v>
      </c>
      <c r="B1099" s="182" t="n">
        <v>2508</v>
      </c>
      <c r="C1099" s="183" t="n">
        <v>85</v>
      </c>
      <c r="D1099" s="181" t="s">
        <v>2401</v>
      </c>
      <c r="E1099" s="181" t="s">
        <v>399</v>
      </c>
      <c r="F1099" s="181" t="s">
        <v>400</v>
      </c>
      <c r="G1099" s="181" t="s">
        <v>2402</v>
      </c>
      <c r="H1099" s="181" t="s">
        <v>279</v>
      </c>
      <c r="I1099" s="181" t="s">
        <v>242</v>
      </c>
      <c r="J1099" s="267"/>
      <c r="K1099" s="269" t="n">
        <v>45950</v>
      </c>
      <c r="L1099" s="267" t="n">
        <v>1.1</v>
      </c>
      <c r="M1099" s="184" t="s">
        <v>2402</v>
      </c>
      <c r="N1099" s="184" t="n">
        <v>40140</v>
      </c>
      <c r="O1099" s="184" t="n">
        <v>15910</v>
      </c>
      <c r="P1099" s="185" t="n">
        <v>15</v>
      </c>
      <c r="Q1099" s="184" t="n">
        <v>24230</v>
      </c>
      <c r="R1099" s="184" t="n">
        <v>20595.5</v>
      </c>
      <c r="S1099" s="184" t="s">
        <v>2597</v>
      </c>
      <c r="T1099" s="187" t="n">
        <v>45951</v>
      </c>
    </row>
    <row r="1100" customFormat="false" ht="35.05" hidden="true" customHeight="false" outlineLevel="0" collapsed="false">
      <c r="A1100" s="181" t="s">
        <v>2598</v>
      </c>
      <c r="B1100" s="182" t="n">
        <v>2509</v>
      </c>
      <c r="C1100" s="183" t="n">
        <v>86</v>
      </c>
      <c r="D1100" s="181" t="s">
        <v>2401</v>
      </c>
      <c r="E1100" s="181" t="s">
        <v>582</v>
      </c>
      <c r="F1100" s="181" t="s">
        <v>583</v>
      </c>
      <c r="G1100" s="181" t="s">
        <v>2402</v>
      </c>
      <c r="H1100" s="181" t="s">
        <v>279</v>
      </c>
      <c r="I1100" s="181" t="s">
        <v>242</v>
      </c>
      <c r="J1100" s="267"/>
      <c r="K1100" s="269" t="n">
        <v>45950</v>
      </c>
      <c r="L1100" s="267" t="n">
        <v>1.2</v>
      </c>
      <c r="M1100" s="184" t="s">
        <v>2402</v>
      </c>
      <c r="N1100" s="184" t="n">
        <v>40400</v>
      </c>
      <c r="O1100" s="184" t="n">
        <v>15280</v>
      </c>
      <c r="P1100" s="185" t="n">
        <v>26</v>
      </c>
      <c r="Q1100" s="184" t="n">
        <v>25120</v>
      </c>
      <c r="R1100" s="184" t="n">
        <v>18588.8</v>
      </c>
      <c r="S1100" s="184" t="s">
        <v>2599</v>
      </c>
      <c r="T1100" s="187" t="n">
        <v>45951</v>
      </c>
    </row>
    <row r="1101" customFormat="false" ht="23.85" hidden="true" customHeight="false" outlineLevel="0" collapsed="false">
      <c r="A1101" s="181" t="s">
        <v>2600</v>
      </c>
      <c r="B1101" s="182" t="n">
        <v>2511</v>
      </c>
      <c r="C1101" s="183" t="n">
        <v>87</v>
      </c>
      <c r="D1101" s="181" t="s">
        <v>2401</v>
      </c>
      <c r="E1101" s="181" t="s">
        <v>373</v>
      </c>
      <c r="F1101" s="181" t="s">
        <v>374</v>
      </c>
      <c r="G1101" s="181" t="s">
        <v>2402</v>
      </c>
      <c r="H1101" s="181" t="s">
        <v>279</v>
      </c>
      <c r="I1101" s="181" t="s">
        <v>242</v>
      </c>
      <c r="J1101" s="267"/>
      <c r="K1101" s="269" t="n">
        <v>45950</v>
      </c>
      <c r="L1101" s="267" t="n">
        <v>1.2</v>
      </c>
      <c r="M1101" s="184" t="s">
        <v>2402</v>
      </c>
      <c r="N1101" s="184" t="n">
        <v>40870</v>
      </c>
      <c r="O1101" s="184" t="n">
        <v>14480</v>
      </c>
      <c r="P1101" s="185" t="n">
        <v>16</v>
      </c>
      <c r="Q1101" s="184" t="n">
        <v>26390</v>
      </c>
      <c r="R1101" s="184" t="n">
        <v>22167.6</v>
      </c>
      <c r="S1101" s="184" t="s">
        <v>2601</v>
      </c>
      <c r="T1101" s="187" t="n">
        <v>45951</v>
      </c>
    </row>
    <row r="1102" customFormat="false" ht="35.05" hidden="true" customHeight="false" outlineLevel="0" collapsed="false">
      <c r="A1102" s="181" t="s">
        <v>2602</v>
      </c>
      <c r="B1102" s="182" t="n">
        <v>2513</v>
      </c>
      <c r="C1102" s="183" t="n">
        <v>88</v>
      </c>
      <c r="D1102" s="181" t="s">
        <v>2401</v>
      </c>
      <c r="E1102" s="181" t="s">
        <v>391</v>
      </c>
      <c r="F1102" s="181" t="s">
        <v>392</v>
      </c>
      <c r="G1102" s="181" t="s">
        <v>2402</v>
      </c>
      <c r="H1102" s="181" t="s">
        <v>279</v>
      </c>
      <c r="I1102" s="181" t="s">
        <v>242</v>
      </c>
      <c r="J1102" s="267"/>
      <c r="K1102" s="269" t="n">
        <v>45950</v>
      </c>
      <c r="L1102" s="267" t="n">
        <v>0.9</v>
      </c>
      <c r="M1102" s="184" t="s">
        <v>2402</v>
      </c>
      <c r="N1102" s="184" t="n">
        <v>34330</v>
      </c>
      <c r="O1102" s="184" t="n">
        <v>14710</v>
      </c>
      <c r="P1102" s="185" t="n">
        <v>18</v>
      </c>
      <c r="Q1102" s="184" t="n">
        <v>19620</v>
      </c>
      <c r="R1102" s="184" t="n">
        <v>16088.4</v>
      </c>
      <c r="S1102" s="184" t="s">
        <v>2603</v>
      </c>
      <c r="T1102" s="187" t="n">
        <v>45951</v>
      </c>
    </row>
    <row r="1103" customFormat="false" ht="23.85" hidden="true" customHeight="false" outlineLevel="0" collapsed="false">
      <c r="A1103" s="181" t="s">
        <v>2604</v>
      </c>
      <c r="B1103" s="182" t="n">
        <v>2518</v>
      </c>
      <c r="C1103" s="183" t="n">
        <v>89</v>
      </c>
      <c r="D1103" s="181" t="s">
        <v>2401</v>
      </c>
      <c r="E1103" s="181" t="s">
        <v>529</v>
      </c>
      <c r="F1103" s="181" t="s">
        <v>530</v>
      </c>
      <c r="G1103" s="181" t="s">
        <v>2402</v>
      </c>
      <c r="H1103" s="181" t="s">
        <v>279</v>
      </c>
      <c r="I1103" s="181" t="s">
        <v>242</v>
      </c>
      <c r="J1103" s="267"/>
      <c r="K1103" s="269" t="n">
        <v>45951</v>
      </c>
      <c r="L1103" s="267" t="n">
        <v>0.9</v>
      </c>
      <c r="M1103" s="184" t="s">
        <v>2402</v>
      </c>
      <c r="N1103" s="184" t="n">
        <v>34900</v>
      </c>
      <c r="O1103" s="184" t="n">
        <v>15120</v>
      </c>
      <c r="P1103" s="185" t="n">
        <v>13</v>
      </c>
      <c r="Q1103" s="184" t="n">
        <v>19780</v>
      </c>
      <c r="R1103" s="184" t="n">
        <v>17208.6</v>
      </c>
      <c r="S1103" s="184" t="s">
        <v>2605</v>
      </c>
      <c r="T1103" s="187" t="n">
        <v>45951</v>
      </c>
    </row>
    <row r="1104" customFormat="false" ht="35.05" hidden="true" customHeight="false" outlineLevel="0" collapsed="false">
      <c r="A1104" s="181" t="s">
        <v>2606</v>
      </c>
      <c r="B1104" s="182" t="n">
        <v>2521</v>
      </c>
      <c r="C1104" s="183" t="n">
        <v>1</v>
      </c>
      <c r="D1104" s="181" t="s">
        <v>2005</v>
      </c>
      <c r="E1104" s="181" t="s">
        <v>304</v>
      </c>
      <c r="F1104" s="181" t="s">
        <v>305</v>
      </c>
      <c r="G1104" s="181" t="s">
        <v>2049</v>
      </c>
      <c r="H1104" s="181" t="s">
        <v>279</v>
      </c>
      <c r="I1104" s="181" t="s">
        <v>240</v>
      </c>
      <c r="J1104" s="267" t="n">
        <f aca="false">Таблица24[[#This Row],[Вес нетто]]</f>
        <v>24200</v>
      </c>
      <c r="K1104" s="269" t="n">
        <v>45950</v>
      </c>
      <c r="L1104" s="267" t="n">
        <v>2.9</v>
      </c>
      <c r="M1104" s="184" t="s">
        <v>3395</v>
      </c>
      <c r="N1104" s="184" t="n">
        <v>39290</v>
      </c>
      <c r="O1104" s="184" t="n">
        <v>15090</v>
      </c>
      <c r="P1104" s="185" t="n">
        <v>27</v>
      </c>
      <c r="Q1104" s="184" t="n">
        <v>24200</v>
      </c>
      <c r="R1104" s="184" t="n">
        <v>17666</v>
      </c>
      <c r="S1104" s="184" t="s">
        <v>2607</v>
      </c>
      <c r="T1104" s="187" t="n">
        <v>45951</v>
      </c>
    </row>
    <row r="1105" customFormat="false" ht="23.85" hidden="true" customHeight="false" outlineLevel="0" collapsed="false">
      <c r="A1105" s="181" t="s">
        <v>2608</v>
      </c>
      <c r="B1105" s="182" t="n">
        <v>2523</v>
      </c>
      <c r="C1105" s="183" t="n">
        <v>92</v>
      </c>
      <c r="D1105" s="181" t="s">
        <v>2401</v>
      </c>
      <c r="E1105" s="181" t="s">
        <v>272</v>
      </c>
      <c r="F1105" s="181" t="s">
        <v>273</v>
      </c>
      <c r="G1105" s="181" t="s">
        <v>2402</v>
      </c>
      <c r="H1105" s="181" t="s">
        <v>279</v>
      </c>
      <c r="I1105" s="181" t="s">
        <v>242</v>
      </c>
      <c r="J1105" s="267"/>
      <c r="K1105" s="269" t="n">
        <v>45951</v>
      </c>
      <c r="L1105" s="267" t="n">
        <v>1.1</v>
      </c>
      <c r="M1105" s="184" t="s">
        <v>2402</v>
      </c>
      <c r="N1105" s="184" t="n">
        <v>39510</v>
      </c>
      <c r="O1105" s="184" t="n">
        <v>15800</v>
      </c>
      <c r="P1105" s="185" t="n">
        <v>5</v>
      </c>
      <c r="Q1105" s="184" t="n">
        <v>23710</v>
      </c>
      <c r="R1105" s="184" t="n">
        <v>22524.5</v>
      </c>
      <c r="S1105" s="184" t="s">
        <v>2609</v>
      </c>
      <c r="T1105" s="187" t="n">
        <v>45951</v>
      </c>
    </row>
    <row r="1106" customFormat="false" ht="46.25" hidden="true" customHeight="false" outlineLevel="0" collapsed="false">
      <c r="A1106" s="181" t="s">
        <v>2610</v>
      </c>
      <c r="B1106" s="182" t="n">
        <v>2524</v>
      </c>
      <c r="C1106" s="183" t="n">
        <v>90</v>
      </c>
      <c r="D1106" s="181" t="s">
        <v>2401</v>
      </c>
      <c r="E1106" s="181" t="s">
        <v>383</v>
      </c>
      <c r="F1106" s="181" t="s">
        <v>384</v>
      </c>
      <c r="G1106" s="181" t="s">
        <v>2402</v>
      </c>
      <c r="H1106" s="181" t="s">
        <v>279</v>
      </c>
      <c r="I1106" s="181" t="s">
        <v>242</v>
      </c>
      <c r="J1106" s="267"/>
      <c r="K1106" s="269" t="n">
        <v>45951</v>
      </c>
      <c r="L1106" s="267" t="n">
        <v>1.1</v>
      </c>
      <c r="M1106" s="184" t="s">
        <v>2402</v>
      </c>
      <c r="N1106" s="184" t="n">
        <v>39990</v>
      </c>
      <c r="O1106" s="184" t="n">
        <v>15210</v>
      </c>
      <c r="P1106" s="185" t="n">
        <v>7</v>
      </c>
      <c r="Q1106" s="184" t="n">
        <v>24780</v>
      </c>
      <c r="R1106" s="184" t="n">
        <v>23045.4</v>
      </c>
      <c r="S1106" s="184" t="s">
        <v>2611</v>
      </c>
      <c r="T1106" s="187" t="n">
        <v>45951</v>
      </c>
    </row>
    <row r="1107" customFormat="false" ht="35.05" hidden="true" customHeight="false" outlineLevel="0" collapsed="false">
      <c r="A1107" s="181" t="s">
        <v>2616</v>
      </c>
      <c r="B1107" s="182" t="n">
        <v>2525</v>
      </c>
      <c r="C1107" s="183" t="n">
        <v>91</v>
      </c>
      <c r="D1107" s="181" t="s">
        <v>2401</v>
      </c>
      <c r="E1107" s="181" t="s">
        <v>387</v>
      </c>
      <c r="F1107" s="181" t="s">
        <v>388</v>
      </c>
      <c r="G1107" s="181" t="s">
        <v>2402</v>
      </c>
      <c r="H1107" s="181" t="s">
        <v>279</v>
      </c>
      <c r="I1107" s="181" t="s">
        <v>242</v>
      </c>
      <c r="J1107" s="267"/>
      <c r="K1107" s="269" t="n">
        <v>45951</v>
      </c>
      <c r="L1107" s="267" t="n">
        <v>1.2</v>
      </c>
      <c r="M1107" s="184" t="s">
        <v>2402</v>
      </c>
      <c r="N1107" s="184" t="n">
        <v>42050</v>
      </c>
      <c r="O1107" s="184" t="n">
        <v>15420</v>
      </c>
      <c r="P1107" s="185" t="n">
        <v>28</v>
      </c>
      <c r="Q1107" s="184" t="n">
        <v>26630</v>
      </c>
      <c r="R1107" s="184" t="n">
        <v>19173.6</v>
      </c>
      <c r="S1107" s="184" t="s">
        <v>2617</v>
      </c>
      <c r="T1107" s="187" t="n">
        <v>45951</v>
      </c>
    </row>
    <row r="1108" customFormat="false" ht="35.05" hidden="true" customHeight="false" outlineLevel="0" collapsed="false">
      <c r="A1108" s="181" t="s">
        <v>2622</v>
      </c>
      <c r="B1108" s="182" t="n">
        <v>2526</v>
      </c>
      <c r="C1108" s="183" t="n">
        <v>93</v>
      </c>
      <c r="D1108" s="181" t="s">
        <v>2401</v>
      </c>
      <c r="E1108" s="181" t="s">
        <v>350</v>
      </c>
      <c r="F1108" s="181" t="s">
        <v>351</v>
      </c>
      <c r="G1108" s="181" t="s">
        <v>2402</v>
      </c>
      <c r="H1108" s="181" t="s">
        <v>279</v>
      </c>
      <c r="I1108" s="181" t="s">
        <v>242</v>
      </c>
      <c r="J1108" s="267"/>
      <c r="K1108" s="269" t="n">
        <v>45951</v>
      </c>
      <c r="L1108" s="267" t="n">
        <v>1.3</v>
      </c>
      <c r="M1108" s="184" t="s">
        <v>2402</v>
      </c>
      <c r="N1108" s="184" t="n">
        <v>42910</v>
      </c>
      <c r="O1108" s="184" t="n">
        <v>15260</v>
      </c>
      <c r="P1108" s="185" t="n">
        <v>7</v>
      </c>
      <c r="Q1108" s="184" t="n">
        <v>27650</v>
      </c>
      <c r="R1108" s="184" t="n">
        <v>25714.5</v>
      </c>
      <c r="S1108" s="184" t="s">
        <v>2623</v>
      </c>
      <c r="T1108" s="187" t="n">
        <v>45951</v>
      </c>
    </row>
    <row r="1109" customFormat="false" ht="23.85" hidden="true" customHeight="false" outlineLevel="0" collapsed="false">
      <c r="A1109" s="181" t="s">
        <v>2612</v>
      </c>
      <c r="B1109" s="182" t="n">
        <v>2527</v>
      </c>
      <c r="C1109" s="183" t="n">
        <v>94</v>
      </c>
      <c r="D1109" s="181" t="s">
        <v>2401</v>
      </c>
      <c r="E1109" s="181" t="s">
        <v>354</v>
      </c>
      <c r="F1109" s="181" t="s">
        <v>355</v>
      </c>
      <c r="G1109" s="181" t="s">
        <v>2402</v>
      </c>
      <c r="H1109" s="181" t="s">
        <v>279</v>
      </c>
      <c r="I1109" s="181" t="s">
        <v>242</v>
      </c>
      <c r="J1109" s="267"/>
      <c r="K1109" s="269" t="n">
        <v>45951</v>
      </c>
      <c r="L1109" s="267" t="n">
        <v>1.1</v>
      </c>
      <c r="M1109" s="184" t="s">
        <v>2402</v>
      </c>
      <c r="N1109" s="184" t="n">
        <v>39240</v>
      </c>
      <c r="O1109" s="184" t="n">
        <v>15010</v>
      </c>
      <c r="P1109" s="185" t="n">
        <v>13</v>
      </c>
      <c r="Q1109" s="184" t="n">
        <v>24230</v>
      </c>
      <c r="R1109" s="184" t="n">
        <v>21080.1</v>
      </c>
      <c r="S1109" s="184" t="s">
        <v>2613</v>
      </c>
      <c r="T1109" s="187" t="n">
        <v>45951</v>
      </c>
    </row>
    <row r="1110" customFormat="false" ht="35.05" hidden="true" customHeight="false" outlineLevel="0" collapsed="false">
      <c r="A1110" s="181" t="s">
        <v>2614</v>
      </c>
      <c r="B1110" s="182" t="n">
        <v>2528</v>
      </c>
      <c r="C1110" s="183" t="n">
        <v>95</v>
      </c>
      <c r="D1110" s="181" t="s">
        <v>2401</v>
      </c>
      <c r="E1110" s="181" t="s">
        <v>359</v>
      </c>
      <c r="F1110" s="181" t="s">
        <v>360</v>
      </c>
      <c r="G1110" s="181" t="s">
        <v>2402</v>
      </c>
      <c r="H1110" s="181" t="s">
        <v>279</v>
      </c>
      <c r="I1110" s="181" t="s">
        <v>242</v>
      </c>
      <c r="J1110" s="267"/>
      <c r="K1110" s="269" t="n">
        <v>45951</v>
      </c>
      <c r="L1110" s="267" t="n">
        <v>1</v>
      </c>
      <c r="M1110" s="184" t="s">
        <v>2402</v>
      </c>
      <c r="N1110" s="184" t="n">
        <v>37070</v>
      </c>
      <c r="O1110" s="184" t="n">
        <v>15020</v>
      </c>
      <c r="P1110" s="185" t="n">
        <v>21</v>
      </c>
      <c r="Q1110" s="184" t="n">
        <v>22050</v>
      </c>
      <c r="R1110" s="184" t="n">
        <v>17419.5</v>
      </c>
      <c r="S1110" s="184" t="s">
        <v>2615</v>
      </c>
      <c r="T1110" s="187" t="n">
        <v>45951</v>
      </c>
    </row>
    <row r="1111" customFormat="false" ht="35.05" hidden="true" customHeight="false" outlineLevel="0" collapsed="false">
      <c r="A1111" s="181" t="s">
        <v>2618</v>
      </c>
      <c r="B1111" s="182" t="n">
        <v>2530</v>
      </c>
      <c r="C1111" s="183" t="n">
        <v>97</v>
      </c>
      <c r="D1111" s="181" t="s">
        <v>2401</v>
      </c>
      <c r="E1111" s="181" t="s">
        <v>277</v>
      </c>
      <c r="F1111" s="181" t="s">
        <v>278</v>
      </c>
      <c r="G1111" s="181" t="s">
        <v>2402</v>
      </c>
      <c r="H1111" s="181" t="s">
        <v>279</v>
      </c>
      <c r="I1111" s="181" t="s">
        <v>242</v>
      </c>
      <c r="J1111" s="267"/>
      <c r="K1111" s="269" t="n">
        <v>45951</v>
      </c>
      <c r="L1111" s="267" t="n">
        <v>1.3</v>
      </c>
      <c r="M1111" s="184" t="s">
        <v>2402</v>
      </c>
      <c r="N1111" s="184" t="n">
        <v>42430</v>
      </c>
      <c r="O1111" s="184" t="n">
        <v>15310</v>
      </c>
      <c r="P1111" s="185" t="n">
        <v>7</v>
      </c>
      <c r="Q1111" s="184" t="n">
        <v>27120</v>
      </c>
      <c r="R1111" s="184" t="n">
        <v>25221.6</v>
      </c>
      <c r="S1111" s="184" t="s">
        <v>2619</v>
      </c>
      <c r="T1111" s="187" t="n">
        <v>45951</v>
      </c>
    </row>
    <row r="1112" customFormat="false" ht="35.05" hidden="true" customHeight="false" outlineLevel="0" collapsed="false">
      <c r="A1112" s="181" t="s">
        <v>2620</v>
      </c>
      <c r="B1112" s="182" t="n">
        <v>2531</v>
      </c>
      <c r="C1112" s="183" t="n">
        <v>10324</v>
      </c>
      <c r="D1112" s="181" t="s">
        <v>2066</v>
      </c>
      <c r="E1112" s="181" t="s">
        <v>439</v>
      </c>
      <c r="F1112" s="181" t="s">
        <v>440</v>
      </c>
      <c r="G1112" s="181" t="s">
        <v>3329</v>
      </c>
      <c r="H1112" s="181" t="s">
        <v>279</v>
      </c>
      <c r="I1112" s="181" t="s">
        <v>241</v>
      </c>
      <c r="J1112" s="267"/>
      <c r="K1112" s="269" t="n">
        <v>45951</v>
      </c>
      <c r="L1112" s="267" t="n">
        <v>1.5</v>
      </c>
      <c r="M1112" s="184" t="s">
        <v>3329</v>
      </c>
      <c r="N1112" s="184" t="n">
        <v>39440</v>
      </c>
      <c r="O1112" s="184" t="n">
        <v>16350</v>
      </c>
      <c r="P1112" s="185" t="n">
        <v>15</v>
      </c>
      <c r="Q1112" s="184" t="n">
        <v>23090</v>
      </c>
      <c r="R1112" s="184" t="n">
        <v>19626.5</v>
      </c>
      <c r="S1112" s="184" t="s">
        <v>2621</v>
      </c>
      <c r="T1112" s="187" t="n">
        <v>45951</v>
      </c>
    </row>
    <row r="1113" customFormat="false" ht="35.05" hidden="true" customHeight="false" outlineLevel="0" collapsed="false">
      <c r="A1113" s="181" t="s">
        <v>2624</v>
      </c>
      <c r="B1113" s="182" t="n">
        <v>2532</v>
      </c>
      <c r="C1113" s="183" t="n">
        <v>10325</v>
      </c>
      <c r="D1113" s="181" t="s">
        <v>2066</v>
      </c>
      <c r="E1113" s="181" t="s">
        <v>431</v>
      </c>
      <c r="F1113" s="181" t="s">
        <v>432</v>
      </c>
      <c r="G1113" s="181" t="s">
        <v>3329</v>
      </c>
      <c r="H1113" s="181" t="s">
        <v>279</v>
      </c>
      <c r="I1113" s="181" t="s">
        <v>241</v>
      </c>
      <c r="J1113" s="267"/>
      <c r="K1113" s="269" t="n">
        <v>45951</v>
      </c>
      <c r="L1113" s="267" t="n">
        <v>1.5</v>
      </c>
      <c r="M1113" s="184" t="s">
        <v>3329</v>
      </c>
      <c r="N1113" s="184" t="n">
        <v>40740</v>
      </c>
      <c r="O1113" s="184" t="n">
        <v>16460</v>
      </c>
      <c r="P1113" s="185" t="n">
        <v>11</v>
      </c>
      <c r="Q1113" s="184" t="n">
        <v>24280</v>
      </c>
      <c r="R1113" s="184" t="n">
        <v>21609.2</v>
      </c>
      <c r="S1113" s="184" t="s">
        <v>2625</v>
      </c>
      <c r="T1113" s="187" t="n">
        <v>45951</v>
      </c>
    </row>
    <row r="1114" customFormat="false" ht="35.05" hidden="true" customHeight="false" outlineLevel="0" collapsed="false">
      <c r="A1114" s="181" t="s">
        <v>2626</v>
      </c>
      <c r="B1114" s="182" t="n">
        <v>2533</v>
      </c>
      <c r="C1114" s="183" t="n">
        <v>96</v>
      </c>
      <c r="D1114" s="181" t="s">
        <v>2401</v>
      </c>
      <c r="E1114" s="181" t="s">
        <v>413</v>
      </c>
      <c r="F1114" s="181" t="s">
        <v>414</v>
      </c>
      <c r="G1114" s="181" t="s">
        <v>2402</v>
      </c>
      <c r="H1114" s="181" t="s">
        <v>279</v>
      </c>
      <c r="I1114" s="181" t="s">
        <v>242</v>
      </c>
      <c r="J1114" s="267"/>
      <c r="K1114" s="269" t="n">
        <v>45951</v>
      </c>
      <c r="L1114" s="267" t="n">
        <v>1.4</v>
      </c>
      <c r="M1114" s="184" t="s">
        <v>2402</v>
      </c>
      <c r="N1114" s="184" t="n">
        <v>45390</v>
      </c>
      <c r="O1114" s="184" t="n">
        <v>16090</v>
      </c>
      <c r="P1114" s="185" t="n">
        <v>12</v>
      </c>
      <c r="Q1114" s="184" t="n">
        <v>29300</v>
      </c>
      <c r="R1114" s="184" t="n">
        <v>25784</v>
      </c>
      <c r="S1114" s="184" t="s">
        <v>2627</v>
      </c>
      <c r="T1114" s="187" t="n">
        <v>45951</v>
      </c>
    </row>
    <row r="1115" customFormat="false" ht="35.05" hidden="true" customHeight="false" outlineLevel="0" collapsed="false">
      <c r="A1115" s="181" t="s">
        <v>2628</v>
      </c>
      <c r="B1115" s="182" t="n">
        <v>2535</v>
      </c>
      <c r="C1115" s="183" t="n">
        <v>10327</v>
      </c>
      <c r="D1115" s="181" t="s">
        <v>2066</v>
      </c>
      <c r="E1115" s="181" t="s">
        <v>549</v>
      </c>
      <c r="F1115" s="181" t="s">
        <v>550</v>
      </c>
      <c r="G1115" s="181" t="s">
        <v>3329</v>
      </c>
      <c r="H1115" s="181" t="s">
        <v>279</v>
      </c>
      <c r="I1115" s="181" t="s">
        <v>241</v>
      </c>
      <c r="J1115" s="267"/>
      <c r="K1115" s="269" t="n">
        <v>45951</v>
      </c>
      <c r="L1115" s="267" t="n">
        <v>1.6</v>
      </c>
      <c r="M1115" s="184" t="s">
        <v>3329</v>
      </c>
      <c r="N1115" s="184" t="n">
        <v>41850</v>
      </c>
      <c r="O1115" s="184" t="n">
        <v>15910</v>
      </c>
      <c r="P1115" s="185" t="n">
        <v>9</v>
      </c>
      <c r="Q1115" s="184" t="n">
        <v>25940</v>
      </c>
      <c r="R1115" s="184" t="n">
        <v>23605.4</v>
      </c>
      <c r="S1115" s="184" t="s">
        <v>2629</v>
      </c>
      <c r="T1115" s="187" t="n">
        <v>45951</v>
      </c>
    </row>
    <row r="1116" customFormat="false" ht="35.05" hidden="true" customHeight="false" outlineLevel="0" collapsed="false">
      <c r="A1116" s="181" t="s">
        <v>2630</v>
      </c>
      <c r="B1116" s="182" t="n">
        <v>2536</v>
      </c>
      <c r="C1116" s="183" t="n">
        <v>10326</v>
      </c>
      <c r="D1116" s="181" t="s">
        <v>2066</v>
      </c>
      <c r="E1116" s="181" t="s">
        <v>541</v>
      </c>
      <c r="F1116" s="181" t="s">
        <v>542</v>
      </c>
      <c r="G1116" s="181" t="s">
        <v>3329</v>
      </c>
      <c r="H1116" s="181" t="s">
        <v>279</v>
      </c>
      <c r="I1116" s="181" t="s">
        <v>241</v>
      </c>
      <c r="J1116" s="267"/>
      <c r="K1116" s="269" t="n">
        <v>45951</v>
      </c>
      <c r="L1116" s="267" t="n">
        <v>1.6</v>
      </c>
      <c r="M1116" s="184" t="s">
        <v>3329</v>
      </c>
      <c r="N1116" s="184" t="n">
        <v>39980</v>
      </c>
      <c r="O1116" s="184" t="n">
        <v>14970</v>
      </c>
      <c r="P1116" s="185" t="n">
        <v>14</v>
      </c>
      <c r="Q1116" s="184" t="n">
        <v>25010</v>
      </c>
      <c r="R1116" s="184" t="n">
        <v>21508.6</v>
      </c>
      <c r="S1116" s="184" t="s">
        <v>2631</v>
      </c>
      <c r="T1116" s="187" t="n">
        <v>45951</v>
      </c>
    </row>
    <row r="1117" customFormat="false" ht="35.05" hidden="true" customHeight="false" outlineLevel="0" collapsed="false">
      <c r="A1117" s="181" t="s">
        <v>2632</v>
      </c>
      <c r="B1117" s="182" t="n">
        <v>2537</v>
      </c>
      <c r="C1117" s="183" t="n">
        <v>10328</v>
      </c>
      <c r="D1117" s="181" t="s">
        <v>2066</v>
      </c>
      <c r="E1117" s="181" t="s">
        <v>545</v>
      </c>
      <c r="F1117" s="181" t="s">
        <v>546</v>
      </c>
      <c r="G1117" s="181" t="s">
        <v>3329</v>
      </c>
      <c r="H1117" s="181" t="s">
        <v>279</v>
      </c>
      <c r="I1117" s="181" t="s">
        <v>241</v>
      </c>
      <c r="J1117" s="267"/>
      <c r="K1117" s="269" t="n">
        <v>45951</v>
      </c>
      <c r="L1117" s="267" t="n">
        <v>1.5</v>
      </c>
      <c r="M1117" s="184" t="s">
        <v>3329</v>
      </c>
      <c r="N1117" s="184" t="n">
        <v>40600</v>
      </c>
      <c r="O1117" s="184" t="n">
        <v>16140</v>
      </c>
      <c r="P1117" s="185" t="n">
        <v>8</v>
      </c>
      <c r="Q1117" s="184" t="n">
        <v>24460</v>
      </c>
      <c r="R1117" s="184" t="n">
        <v>22503.2</v>
      </c>
      <c r="S1117" s="184" t="s">
        <v>2633</v>
      </c>
      <c r="T1117" s="187" t="n">
        <v>45951</v>
      </c>
    </row>
    <row r="1118" customFormat="false" ht="35.05" hidden="true" customHeight="false" outlineLevel="0" collapsed="false">
      <c r="A1118" s="181" t="s">
        <v>2634</v>
      </c>
      <c r="B1118" s="182" t="n">
        <v>2540</v>
      </c>
      <c r="C1118" s="183" t="n">
        <v>10329</v>
      </c>
      <c r="D1118" s="181" t="s">
        <v>2066</v>
      </c>
      <c r="E1118" s="181" t="s">
        <v>537</v>
      </c>
      <c r="F1118" s="181" t="s">
        <v>538</v>
      </c>
      <c r="G1118" s="181" t="s">
        <v>3329</v>
      </c>
      <c r="H1118" s="181" t="s">
        <v>279</v>
      </c>
      <c r="I1118" s="181" t="s">
        <v>241</v>
      </c>
      <c r="J1118" s="267"/>
      <c r="K1118" s="269" t="n">
        <v>45951</v>
      </c>
      <c r="L1118" s="267" t="n">
        <v>1.4</v>
      </c>
      <c r="M1118" s="184" t="s">
        <v>3329</v>
      </c>
      <c r="N1118" s="184" t="n">
        <v>35810</v>
      </c>
      <c r="O1118" s="184" t="n">
        <v>13990</v>
      </c>
      <c r="P1118" s="185" t="n">
        <v>9</v>
      </c>
      <c r="Q1118" s="184" t="n">
        <v>21820</v>
      </c>
      <c r="R1118" s="184" t="n">
        <v>19856.2</v>
      </c>
      <c r="S1118" s="184" t="s">
        <v>2635</v>
      </c>
      <c r="T1118" s="187" t="n">
        <v>45952</v>
      </c>
    </row>
    <row r="1119" customFormat="false" ht="35.05" hidden="true" customHeight="false" outlineLevel="0" collapsed="false">
      <c r="A1119" s="181" t="s">
        <v>2636</v>
      </c>
      <c r="B1119" s="182" t="n">
        <v>2541</v>
      </c>
      <c r="C1119" s="183" t="n">
        <v>10343</v>
      </c>
      <c r="D1119" s="181" t="s">
        <v>2066</v>
      </c>
      <c r="E1119" s="181" t="s">
        <v>533</v>
      </c>
      <c r="F1119" s="181" t="s">
        <v>534</v>
      </c>
      <c r="G1119" s="181" t="s">
        <v>3329</v>
      </c>
      <c r="H1119" s="181" t="s">
        <v>279</v>
      </c>
      <c r="I1119" s="181" t="s">
        <v>241</v>
      </c>
      <c r="J1119" s="267"/>
      <c r="K1119" s="269" t="n">
        <v>45951</v>
      </c>
      <c r="L1119" s="267" t="n">
        <v>1.5</v>
      </c>
      <c r="M1119" s="184" t="s">
        <v>3329</v>
      </c>
      <c r="N1119" s="184" t="n">
        <v>38400</v>
      </c>
      <c r="O1119" s="184" t="n">
        <v>14640</v>
      </c>
      <c r="P1119" s="185" t="n">
        <v>10</v>
      </c>
      <c r="Q1119" s="184" t="n">
        <v>23760</v>
      </c>
      <c r="R1119" s="184" t="n">
        <v>21384</v>
      </c>
      <c r="S1119" s="184" t="s">
        <v>2637</v>
      </c>
      <c r="T1119" s="187" t="n">
        <v>45952</v>
      </c>
    </row>
    <row r="1120" customFormat="false" ht="46.25" hidden="true" customHeight="false" outlineLevel="0" collapsed="false">
      <c r="A1120" s="181" t="s">
        <v>2638</v>
      </c>
      <c r="B1120" s="182" t="n">
        <v>2542</v>
      </c>
      <c r="C1120" s="183" t="n">
        <v>10335</v>
      </c>
      <c r="D1120" s="181" t="s">
        <v>2066</v>
      </c>
      <c r="E1120" s="181" t="s">
        <v>282</v>
      </c>
      <c r="F1120" s="181" t="s">
        <v>283</v>
      </c>
      <c r="G1120" s="181" t="s">
        <v>3329</v>
      </c>
      <c r="H1120" s="181" t="s">
        <v>279</v>
      </c>
      <c r="I1120" s="181" t="s">
        <v>241</v>
      </c>
      <c r="J1120" s="267"/>
      <c r="K1120" s="269" t="n">
        <v>45951</v>
      </c>
      <c r="L1120" s="267" t="n">
        <v>1.5</v>
      </c>
      <c r="M1120" s="184" t="s">
        <v>3329</v>
      </c>
      <c r="N1120" s="184" t="n">
        <v>39480</v>
      </c>
      <c r="O1120" s="184" t="n">
        <v>15210</v>
      </c>
      <c r="P1120" s="185" t="n">
        <v>17</v>
      </c>
      <c r="Q1120" s="184" t="n">
        <v>24270</v>
      </c>
      <c r="R1120" s="184" t="n">
        <v>20144.1</v>
      </c>
      <c r="S1120" s="184" t="s">
        <v>2639</v>
      </c>
      <c r="T1120" s="187" t="n">
        <v>45952</v>
      </c>
    </row>
    <row r="1121" customFormat="false" ht="35.05" hidden="true" customHeight="false" outlineLevel="0" collapsed="false">
      <c r="A1121" s="181" t="s">
        <v>2640</v>
      </c>
      <c r="B1121" s="182" t="n">
        <v>2544</v>
      </c>
      <c r="C1121" s="183" t="n">
        <v>10338</v>
      </c>
      <c r="D1121" s="181" t="s">
        <v>2066</v>
      </c>
      <c r="E1121" s="181" t="s">
        <v>1019</v>
      </c>
      <c r="F1121" s="181" t="s">
        <v>1020</v>
      </c>
      <c r="G1121" s="181" t="s">
        <v>3329</v>
      </c>
      <c r="H1121" s="181" t="s">
        <v>279</v>
      </c>
      <c r="I1121" s="181" t="s">
        <v>241</v>
      </c>
      <c r="J1121" s="267"/>
      <c r="K1121" s="269" t="n">
        <v>45951</v>
      </c>
      <c r="L1121" s="267" t="n">
        <v>1.6</v>
      </c>
      <c r="M1121" s="184" t="s">
        <v>3329</v>
      </c>
      <c r="N1121" s="184" t="n">
        <v>42400</v>
      </c>
      <c r="O1121" s="184" t="n">
        <v>17160</v>
      </c>
      <c r="P1121" s="185" t="n">
        <v>16</v>
      </c>
      <c r="Q1121" s="184" t="n">
        <v>25240</v>
      </c>
      <c r="R1121" s="184" t="n">
        <v>21201.6</v>
      </c>
      <c r="S1121" s="184" t="s">
        <v>2641</v>
      </c>
      <c r="T1121" s="187" t="n">
        <v>45952</v>
      </c>
    </row>
    <row r="1122" customFormat="false" ht="35.05" hidden="true" customHeight="false" outlineLevel="0" collapsed="false">
      <c r="A1122" s="181" t="s">
        <v>2642</v>
      </c>
      <c r="B1122" s="182" t="n">
        <v>2545</v>
      </c>
      <c r="C1122" s="183" t="n">
        <v>10348</v>
      </c>
      <c r="D1122" s="181" t="s">
        <v>2066</v>
      </c>
      <c r="E1122" s="181" t="s">
        <v>1023</v>
      </c>
      <c r="F1122" s="181" t="s">
        <v>1024</v>
      </c>
      <c r="G1122" s="181" t="s">
        <v>3329</v>
      </c>
      <c r="H1122" s="181" t="s">
        <v>279</v>
      </c>
      <c r="I1122" s="181" t="s">
        <v>241</v>
      </c>
      <c r="J1122" s="267"/>
      <c r="K1122" s="269" t="n">
        <v>45951</v>
      </c>
      <c r="L1122" s="267" t="n">
        <v>1.4</v>
      </c>
      <c r="M1122" s="184" t="s">
        <v>3329</v>
      </c>
      <c r="N1122" s="184" t="n">
        <v>36500</v>
      </c>
      <c r="O1122" s="184" t="n">
        <v>14750</v>
      </c>
      <c r="P1122" s="185" t="n">
        <v>6</v>
      </c>
      <c r="Q1122" s="184" t="n">
        <v>21750</v>
      </c>
      <c r="R1122" s="184" t="n">
        <v>20445</v>
      </c>
      <c r="S1122" s="184" t="s">
        <v>2643</v>
      </c>
      <c r="T1122" s="187" t="n">
        <v>45952</v>
      </c>
    </row>
    <row r="1123" customFormat="false" ht="35.05" hidden="true" customHeight="false" outlineLevel="0" collapsed="false">
      <c r="A1123" s="181" t="s">
        <v>2644</v>
      </c>
      <c r="B1123" s="182" t="n">
        <v>2546</v>
      </c>
      <c r="C1123" s="183" t="n">
        <v>10350</v>
      </c>
      <c r="D1123" s="181" t="s">
        <v>2066</v>
      </c>
      <c r="E1123" s="181" t="s">
        <v>1027</v>
      </c>
      <c r="F1123" s="181" t="s">
        <v>1028</v>
      </c>
      <c r="G1123" s="181" t="s">
        <v>3329</v>
      </c>
      <c r="H1123" s="181" t="s">
        <v>279</v>
      </c>
      <c r="I1123" s="181" t="s">
        <v>241</v>
      </c>
      <c r="J1123" s="267"/>
      <c r="K1123" s="269" t="n">
        <v>45951</v>
      </c>
      <c r="L1123" s="267" t="n">
        <v>1.5</v>
      </c>
      <c r="M1123" s="184" t="s">
        <v>3329</v>
      </c>
      <c r="N1123" s="184" t="n">
        <v>38610</v>
      </c>
      <c r="O1123" s="184" t="n">
        <v>15040</v>
      </c>
      <c r="P1123" s="185" t="n">
        <v>14</v>
      </c>
      <c r="Q1123" s="184" t="n">
        <v>23570</v>
      </c>
      <c r="R1123" s="184" t="n">
        <v>20270.2</v>
      </c>
      <c r="S1123" s="184" t="s">
        <v>2645</v>
      </c>
      <c r="T1123" s="187" t="n">
        <v>45952</v>
      </c>
    </row>
    <row r="1124" customFormat="false" ht="35.05" hidden="true" customHeight="false" outlineLevel="0" collapsed="false">
      <c r="A1124" s="181" t="s">
        <v>2646</v>
      </c>
      <c r="B1124" s="182" t="n">
        <v>2548</v>
      </c>
      <c r="C1124" s="183" t="n">
        <v>10351</v>
      </c>
      <c r="D1124" s="181" t="s">
        <v>2066</v>
      </c>
      <c r="E1124" s="181" t="s">
        <v>409</v>
      </c>
      <c r="F1124" s="181" t="s">
        <v>410</v>
      </c>
      <c r="G1124" s="181" t="s">
        <v>3329</v>
      </c>
      <c r="H1124" s="181" t="s">
        <v>279</v>
      </c>
      <c r="I1124" s="181" t="s">
        <v>241</v>
      </c>
      <c r="J1124" s="267"/>
      <c r="K1124" s="269" t="n">
        <v>45951</v>
      </c>
      <c r="L1124" s="267" t="n">
        <v>2.6</v>
      </c>
      <c r="M1124" s="184" t="s">
        <v>3329</v>
      </c>
      <c r="N1124" s="184" t="n">
        <v>65670</v>
      </c>
      <c r="O1124" s="184" t="n">
        <v>24580</v>
      </c>
      <c r="P1124" s="185" t="n">
        <v>25</v>
      </c>
      <c r="Q1124" s="184" t="n">
        <v>41090</v>
      </c>
      <c r="R1124" s="184" t="n">
        <v>30817.5</v>
      </c>
      <c r="S1124" s="184" t="s">
        <v>2647</v>
      </c>
      <c r="T1124" s="187" t="n">
        <v>45952</v>
      </c>
    </row>
    <row r="1125" customFormat="false" ht="35.05" hidden="true" customHeight="false" outlineLevel="0" collapsed="false">
      <c r="A1125" s="181" t="s">
        <v>2648</v>
      </c>
      <c r="B1125" s="182" t="n">
        <v>2550</v>
      </c>
      <c r="C1125" s="183" t="n">
        <v>10364</v>
      </c>
      <c r="D1125" s="181" t="s">
        <v>2066</v>
      </c>
      <c r="E1125" s="181" t="s">
        <v>2351</v>
      </c>
      <c r="F1125" s="181" t="s">
        <v>2352</v>
      </c>
      <c r="G1125" s="181" t="s">
        <v>3329</v>
      </c>
      <c r="H1125" s="181" t="s">
        <v>279</v>
      </c>
      <c r="I1125" s="181" t="s">
        <v>241</v>
      </c>
      <c r="J1125" s="267"/>
      <c r="K1125" s="269" t="n">
        <v>45951</v>
      </c>
      <c r="L1125" s="267" t="n">
        <v>1.9</v>
      </c>
      <c r="M1125" s="184" t="s">
        <v>3329</v>
      </c>
      <c r="N1125" s="184" t="n">
        <v>47450</v>
      </c>
      <c r="O1125" s="184" t="n">
        <v>17540</v>
      </c>
      <c r="P1125" s="185" t="n">
        <v>18</v>
      </c>
      <c r="Q1125" s="184" t="n">
        <v>29910</v>
      </c>
      <c r="R1125" s="184" t="n">
        <v>24526.2</v>
      </c>
      <c r="S1125" s="184" t="s">
        <v>2649</v>
      </c>
      <c r="T1125" s="187" t="n">
        <v>45952</v>
      </c>
    </row>
    <row r="1126" customFormat="false" ht="35.05" hidden="true" customHeight="false" outlineLevel="0" collapsed="false">
      <c r="A1126" s="181" t="s">
        <v>2650</v>
      </c>
      <c r="B1126" s="182" t="n">
        <v>2534</v>
      </c>
      <c r="C1126" s="183" t="n">
        <v>2</v>
      </c>
      <c r="D1126" s="181" t="s">
        <v>2005</v>
      </c>
      <c r="E1126" s="181" t="s">
        <v>300</v>
      </c>
      <c r="F1126" s="181" t="s">
        <v>301</v>
      </c>
      <c r="G1126" s="181" t="s">
        <v>2049</v>
      </c>
      <c r="H1126" s="181" t="s">
        <v>158</v>
      </c>
      <c r="I1126" s="181" t="s">
        <v>240</v>
      </c>
      <c r="J1126" s="267" t="n">
        <f aca="false">Таблица24[[#This Row],[Вес нетто]]</f>
        <v>6050</v>
      </c>
      <c r="K1126" s="269" t="n">
        <v>45953</v>
      </c>
      <c r="L1126" s="267" t="n">
        <v>0.1</v>
      </c>
      <c r="M1126" s="184" t="s">
        <v>3395</v>
      </c>
      <c r="N1126" s="184" t="n">
        <v>27570</v>
      </c>
      <c r="O1126" s="184" t="n">
        <v>21520</v>
      </c>
      <c r="P1126" s="185" t="n">
        <v>12</v>
      </c>
      <c r="Q1126" s="184" t="n">
        <v>6050</v>
      </c>
      <c r="R1126" s="184" t="n">
        <v>5324</v>
      </c>
      <c r="S1126" s="184" t="s">
        <v>2651</v>
      </c>
      <c r="T1126" s="187" t="n">
        <v>45951</v>
      </c>
    </row>
    <row r="1127" customFormat="false" ht="35.05" hidden="true" customHeight="false" outlineLevel="0" collapsed="false">
      <c r="A1127" s="181" t="s">
        <v>2652</v>
      </c>
      <c r="B1127" s="182" t="n">
        <v>2551</v>
      </c>
      <c r="C1127" s="183" t="n">
        <v>10361</v>
      </c>
      <c r="D1127" s="181" t="s">
        <v>2066</v>
      </c>
      <c r="E1127" s="181" t="s">
        <v>367</v>
      </c>
      <c r="F1127" s="181" t="s">
        <v>368</v>
      </c>
      <c r="G1127" s="181" t="s">
        <v>3329</v>
      </c>
      <c r="H1127" s="181" t="s">
        <v>279</v>
      </c>
      <c r="I1127" s="181" t="s">
        <v>241</v>
      </c>
      <c r="J1127" s="267"/>
      <c r="K1127" s="269" t="n">
        <v>45951</v>
      </c>
      <c r="L1127" s="267" t="n">
        <v>2</v>
      </c>
      <c r="M1127" s="184" t="s">
        <v>3329</v>
      </c>
      <c r="N1127" s="184" t="n">
        <v>51140</v>
      </c>
      <c r="O1127" s="184" t="n">
        <v>18760</v>
      </c>
      <c r="P1127" s="185" t="n">
        <v>12</v>
      </c>
      <c r="Q1127" s="184" t="n">
        <v>32380</v>
      </c>
      <c r="R1127" s="184" t="n">
        <v>28494.4</v>
      </c>
      <c r="S1127" s="184" t="s">
        <v>2653</v>
      </c>
      <c r="T1127" s="187" t="n">
        <v>45952</v>
      </c>
    </row>
    <row r="1128" customFormat="false" ht="35.05" hidden="true" customHeight="false" outlineLevel="0" collapsed="false">
      <c r="A1128" s="181" t="s">
        <v>2654</v>
      </c>
      <c r="B1128" s="182" t="n">
        <v>2554</v>
      </c>
      <c r="C1128" s="183" t="n">
        <v>10401</v>
      </c>
      <c r="D1128" s="181" t="s">
        <v>2066</v>
      </c>
      <c r="E1128" s="181" t="s">
        <v>300</v>
      </c>
      <c r="F1128" s="181" t="s">
        <v>301</v>
      </c>
      <c r="G1128" s="181" t="s">
        <v>3329</v>
      </c>
      <c r="H1128" s="181" t="s">
        <v>279</v>
      </c>
      <c r="I1128" s="181" t="s">
        <v>241</v>
      </c>
      <c r="J1128" s="267"/>
      <c r="K1128" s="269" t="n">
        <v>45952</v>
      </c>
      <c r="L1128" s="267" t="n">
        <v>2.6</v>
      </c>
      <c r="M1128" s="184" t="s">
        <v>3329</v>
      </c>
      <c r="N1128" s="184" t="n">
        <v>62070</v>
      </c>
      <c r="O1128" s="184" t="n">
        <v>21360</v>
      </c>
      <c r="P1128" s="185" t="n">
        <v>7</v>
      </c>
      <c r="Q1128" s="184" t="n">
        <v>40710</v>
      </c>
      <c r="R1128" s="184" t="n">
        <v>37860.3</v>
      </c>
      <c r="S1128" s="184" t="s">
        <v>2655</v>
      </c>
      <c r="T1128" s="187" t="n">
        <v>45952</v>
      </c>
    </row>
    <row r="1129" customFormat="false" ht="35.05" hidden="true" customHeight="false" outlineLevel="0" collapsed="false">
      <c r="A1129" s="181" t="s">
        <v>2656</v>
      </c>
      <c r="B1129" s="182" t="n">
        <v>2555</v>
      </c>
      <c r="C1129" s="183" t="n">
        <v>10384</v>
      </c>
      <c r="D1129" s="181" t="s">
        <v>2066</v>
      </c>
      <c r="E1129" s="181" t="s">
        <v>373</v>
      </c>
      <c r="F1129" s="181" t="s">
        <v>374</v>
      </c>
      <c r="G1129" s="181" t="s">
        <v>3329</v>
      </c>
      <c r="H1129" s="181" t="s">
        <v>279</v>
      </c>
      <c r="I1129" s="181" t="s">
        <v>241</v>
      </c>
      <c r="J1129" s="267"/>
      <c r="K1129" s="269" t="n">
        <v>45952</v>
      </c>
      <c r="L1129" s="267" t="n">
        <v>1.7</v>
      </c>
      <c r="M1129" s="184" t="s">
        <v>3329</v>
      </c>
      <c r="N1129" s="184" t="n">
        <v>42030</v>
      </c>
      <c r="O1129" s="184" t="n">
        <v>14450</v>
      </c>
      <c r="P1129" s="185" t="n">
        <v>19</v>
      </c>
      <c r="Q1129" s="184" t="n">
        <v>27580</v>
      </c>
      <c r="R1129" s="184" t="n">
        <v>22339.8</v>
      </c>
      <c r="S1129" s="184" t="s">
        <v>2657</v>
      </c>
      <c r="T1129" s="187" t="n">
        <v>45952</v>
      </c>
    </row>
    <row r="1130" customFormat="false" ht="46.25" hidden="true" customHeight="false" outlineLevel="0" collapsed="false">
      <c r="A1130" s="181" t="s">
        <v>2658</v>
      </c>
      <c r="B1130" s="182" t="n">
        <v>2556</v>
      </c>
      <c r="C1130" s="183" t="n">
        <v>1</v>
      </c>
      <c r="D1130" s="181" t="s">
        <v>2005</v>
      </c>
      <c r="E1130" s="181" t="s">
        <v>288</v>
      </c>
      <c r="F1130" s="181" t="s">
        <v>289</v>
      </c>
      <c r="G1130" s="181" t="s">
        <v>2049</v>
      </c>
      <c r="H1130" s="181" t="s">
        <v>279</v>
      </c>
      <c r="I1130" s="181" t="s">
        <v>240</v>
      </c>
      <c r="J1130" s="267" t="n">
        <f aca="false">Таблица24[[#This Row],[Вес нетто]]</f>
        <v>23670</v>
      </c>
      <c r="K1130" s="269" t="n">
        <v>45952</v>
      </c>
      <c r="L1130" s="267" t="n">
        <v>2.8</v>
      </c>
      <c r="M1130" s="184" t="s">
        <v>3395</v>
      </c>
      <c r="N1130" s="184" t="n">
        <v>38420</v>
      </c>
      <c r="O1130" s="184" t="n">
        <v>14750</v>
      </c>
      <c r="P1130" s="185" t="n">
        <v>13</v>
      </c>
      <c r="Q1130" s="184" t="n">
        <v>23670</v>
      </c>
      <c r="R1130" s="184" t="n">
        <v>20592.9</v>
      </c>
      <c r="S1130" s="184" t="s">
        <v>2659</v>
      </c>
      <c r="T1130" s="187" t="n">
        <v>45952</v>
      </c>
    </row>
    <row r="1131" customFormat="false" ht="46.25" hidden="true" customHeight="false" outlineLevel="0" collapsed="false">
      <c r="A1131" s="181" t="s">
        <v>2660</v>
      </c>
      <c r="B1131" s="182" t="n">
        <v>2557</v>
      </c>
      <c r="C1131" s="183" t="n">
        <v>10371</v>
      </c>
      <c r="D1131" s="181" t="s">
        <v>2066</v>
      </c>
      <c r="E1131" s="181" t="s">
        <v>435</v>
      </c>
      <c r="F1131" s="181" t="s">
        <v>436</v>
      </c>
      <c r="G1131" s="181" t="s">
        <v>3329</v>
      </c>
      <c r="H1131" s="181" t="s">
        <v>279</v>
      </c>
      <c r="I1131" s="181" t="s">
        <v>241</v>
      </c>
      <c r="J1131" s="267"/>
      <c r="K1131" s="269" t="n">
        <v>45952</v>
      </c>
      <c r="L1131" s="267" t="n">
        <v>1.5</v>
      </c>
      <c r="M1131" s="184" t="s">
        <v>3329</v>
      </c>
      <c r="N1131" s="184" t="n">
        <v>40550</v>
      </c>
      <c r="O1131" s="184" t="n">
        <v>16210</v>
      </c>
      <c r="P1131" s="185" t="n">
        <v>11</v>
      </c>
      <c r="Q1131" s="184" t="n">
        <v>24340</v>
      </c>
      <c r="R1131" s="184" t="n">
        <v>21662.6</v>
      </c>
      <c r="S1131" s="184" t="s">
        <v>2661</v>
      </c>
      <c r="T1131" s="187" t="n">
        <v>45952</v>
      </c>
    </row>
    <row r="1132" customFormat="false" ht="35.05" hidden="true" customHeight="false" outlineLevel="0" collapsed="false">
      <c r="A1132" s="181" t="s">
        <v>2662</v>
      </c>
      <c r="B1132" s="182" t="n">
        <v>2558</v>
      </c>
      <c r="C1132" s="183" t="n">
        <v>2</v>
      </c>
      <c r="D1132" s="181" t="s">
        <v>2005</v>
      </c>
      <c r="E1132" s="181" t="s">
        <v>332</v>
      </c>
      <c r="F1132" s="181" t="s">
        <v>333</v>
      </c>
      <c r="G1132" s="181" t="s">
        <v>2006</v>
      </c>
      <c r="H1132" s="181" t="s">
        <v>279</v>
      </c>
      <c r="I1132" s="181" t="s">
        <v>240</v>
      </c>
      <c r="J1132" s="267" t="n">
        <f aca="false">Таблица24[[#This Row],[Вес нетто]]</f>
        <v>24990</v>
      </c>
      <c r="K1132" s="269" t="n">
        <v>45952</v>
      </c>
      <c r="L1132" s="267" t="n">
        <v>3</v>
      </c>
      <c r="M1132" s="184" t="s">
        <v>3395</v>
      </c>
      <c r="N1132" s="184" t="n">
        <v>39860</v>
      </c>
      <c r="O1132" s="184" t="n">
        <v>14870</v>
      </c>
      <c r="P1132" s="185" t="n">
        <v>15</v>
      </c>
      <c r="Q1132" s="184" t="n">
        <v>24990</v>
      </c>
      <c r="R1132" s="184" t="n">
        <v>21241.5</v>
      </c>
      <c r="S1132" s="184" t="s">
        <v>2663</v>
      </c>
      <c r="T1132" s="187" t="n">
        <v>45952</v>
      </c>
    </row>
    <row r="1133" customFormat="false" ht="35.05" hidden="true" customHeight="false" outlineLevel="0" collapsed="false">
      <c r="A1133" s="181" t="s">
        <v>2670</v>
      </c>
      <c r="B1133" s="182" t="n">
        <v>2559</v>
      </c>
      <c r="C1133" s="183" t="n">
        <v>3</v>
      </c>
      <c r="D1133" s="181" t="s">
        <v>2005</v>
      </c>
      <c r="E1133" s="181" t="s">
        <v>292</v>
      </c>
      <c r="F1133" s="181" t="s">
        <v>293</v>
      </c>
      <c r="G1133" s="181" t="s">
        <v>2006</v>
      </c>
      <c r="H1133" s="181" t="s">
        <v>279</v>
      </c>
      <c r="I1133" s="181" t="s">
        <v>240</v>
      </c>
      <c r="J1133" s="267" t="n">
        <f aca="false">Таблица24[[#This Row],[Вес нетто]]</f>
        <v>22510</v>
      </c>
      <c r="K1133" s="269" t="n">
        <v>45952</v>
      </c>
      <c r="L1133" s="267" t="n">
        <v>2.7</v>
      </c>
      <c r="M1133" s="184" t="s">
        <v>3395</v>
      </c>
      <c r="N1133" s="184" t="n">
        <v>36500</v>
      </c>
      <c r="O1133" s="184" t="n">
        <v>13990</v>
      </c>
      <c r="P1133" s="185" t="n">
        <v>12</v>
      </c>
      <c r="Q1133" s="184" t="n">
        <v>22510</v>
      </c>
      <c r="R1133" s="184" t="n">
        <v>19808.8</v>
      </c>
      <c r="S1133" s="184" t="s">
        <v>2671</v>
      </c>
      <c r="T1133" s="187" t="n">
        <v>45952</v>
      </c>
    </row>
    <row r="1134" customFormat="false" ht="35.05" hidden="true" customHeight="false" outlineLevel="0" collapsed="false">
      <c r="A1134" s="181" t="s">
        <v>2674</v>
      </c>
      <c r="B1134" s="182" t="n">
        <v>2560</v>
      </c>
      <c r="C1134" s="183" t="n">
        <v>10387</v>
      </c>
      <c r="D1134" s="181" t="s">
        <v>2066</v>
      </c>
      <c r="E1134" s="181" t="s">
        <v>582</v>
      </c>
      <c r="F1134" s="181" t="s">
        <v>583</v>
      </c>
      <c r="G1134" s="181" t="s">
        <v>3329</v>
      </c>
      <c r="H1134" s="181" t="s">
        <v>279</v>
      </c>
      <c r="I1134" s="181" t="s">
        <v>241</v>
      </c>
      <c r="J1134" s="267"/>
      <c r="K1134" s="269" t="n">
        <v>45952</v>
      </c>
      <c r="L1134" s="267" t="n">
        <v>1.8</v>
      </c>
      <c r="M1134" s="184" t="s">
        <v>3329</v>
      </c>
      <c r="N1134" s="184" t="n">
        <v>43350</v>
      </c>
      <c r="O1134" s="184" t="n">
        <v>14990</v>
      </c>
      <c r="P1134" s="185" t="n">
        <v>16</v>
      </c>
      <c r="Q1134" s="184" t="n">
        <v>28360</v>
      </c>
      <c r="R1134" s="184" t="n">
        <v>23822.4</v>
      </c>
      <c r="S1134" s="184" t="s">
        <v>2675</v>
      </c>
      <c r="T1134" s="187" t="n">
        <v>45952</v>
      </c>
    </row>
    <row r="1135" customFormat="false" ht="35.05" hidden="true" customHeight="false" outlineLevel="0" collapsed="false">
      <c r="A1135" s="181" t="s">
        <v>2664</v>
      </c>
      <c r="B1135" s="182" t="n">
        <v>2562</v>
      </c>
      <c r="C1135" s="183" t="n">
        <v>10386</v>
      </c>
      <c r="D1135" s="181" t="s">
        <v>2066</v>
      </c>
      <c r="E1135" s="181" t="s">
        <v>399</v>
      </c>
      <c r="F1135" s="181" t="s">
        <v>400</v>
      </c>
      <c r="G1135" s="181" t="s">
        <v>3329</v>
      </c>
      <c r="H1135" s="181" t="s">
        <v>279</v>
      </c>
      <c r="I1135" s="181" t="s">
        <v>241</v>
      </c>
      <c r="J1135" s="267"/>
      <c r="K1135" s="269" t="n">
        <v>45952</v>
      </c>
      <c r="L1135" s="267" t="n">
        <v>2.1</v>
      </c>
      <c r="M1135" s="184" t="s">
        <v>3329</v>
      </c>
      <c r="N1135" s="184" t="n">
        <v>52800</v>
      </c>
      <c r="O1135" s="184" t="n">
        <v>19540</v>
      </c>
      <c r="P1135" s="185" t="n">
        <v>5</v>
      </c>
      <c r="Q1135" s="184" t="n">
        <v>33260</v>
      </c>
      <c r="R1135" s="184" t="n">
        <v>31597</v>
      </c>
      <c r="S1135" s="184" t="s">
        <v>2665</v>
      </c>
      <c r="T1135" s="187" t="n">
        <v>45952</v>
      </c>
    </row>
    <row r="1136" customFormat="false" ht="35.05" hidden="true" customHeight="false" outlineLevel="0" collapsed="false">
      <c r="A1136" s="181" t="s">
        <v>2666</v>
      </c>
      <c r="B1136" s="182" t="n">
        <v>2563</v>
      </c>
      <c r="C1136" s="183" t="n">
        <v>10388</v>
      </c>
      <c r="D1136" s="181" t="s">
        <v>2066</v>
      </c>
      <c r="E1136" s="181" t="s">
        <v>308</v>
      </c>
      <c r="F1136" s="181" t="s">
        <v>309</v>
      </c>
      <c r="G1136" s="181" t="s">
        <v>3329</v>
      </c>
      <c r="H1136" s="181" t="s">
        <v>279</v>
      </c>
      <c r="I1136" s="181" t="s">
        <v>241</v>
      </c>
      <c r="J1136" s="267"/>
      <c r="K1136" s="269" t="n">
        <v>45952</v>
      </c>
      <c r="L1136" s="267" t="n">
        <v>2.5</v>
      </c>
      <c r="M1136" s="184" t="s">
        <v>3329</v>
      </c>
      <c r="N1136" s="184" t="n">
        <v>64590</v>
      </c>
      <c r="O1136" s="184" t="n">
        <v>24190</v>
      </c>
      <c r="P1136" s="185" t="n">
        <v>5</v>
      </c>
      <c r="Q1136" s="184" t="n">
        <v>40400</v>
      </c>
      <c r="R1136" s="184" t="n">
        <v>38380</v>
      </c>
      <c r="S1136" s="184" t="s">
        <v>2667</v>
      </c>
      <c r="T1136" s="187" t="n">
        <v>45952</v>
      </c>
    </row>
    <row r="1137" customFormat="false" ht="35.05" hidden="true" customHeight="false" outlineLevel="0" collapsed="false">
      <c r="A1137" s="181" t="s">
        <v>2668</v>
      </c>
      <c r="B1137" s="182" t="n">
        <v>2564</v>
      </c>
      <c r="C1137" s="183" t="n">
        <v>10389</v>
      </c>
      <c r="D1137" s="181" t="s">
        <v>2066</v>
      </c>
      <c r="E1137" s="181" t="s">
        <v>304</v>
      </c>
      <c r="F1137" s="181" t="s">
        <v>305</v>
      </c>
      <c r="G1137" s="181" t="s">
        <v>3329</v>
      </c>
      <c r="H1137" s="181" t="s">
        <v>279</v>
      </c>
      <c r="I1137" s="181" t="s">
        <v>241</v>
      </c>
      <c r="J1137" s="267"/>
      <c r="K1137" s="269" t="n">
        <v>45952</v>
      </c>
      <c r="L1137" s="267" t="n">
        <v>1.5</v>
      </c>
      <c r="M1137" s="184" t="s">
        <v>3329</v>
      </c>
      <c r="N1137" s="184" t="n">
        <v>38780</v>
      </c>
      <c r="O1137" s="184" t="n">
        <v>15030</v>
      </c>
      <c r="P1137" s="185" t="n">
        <v>13</v>
      </c>
      <c r="Q1137" s="184" t="n">
        <v>23750</v>
      </c>
      <c r="R1137" s="184" t="n">
        <v>20662.5</v>
      </c>
      <c r="S1137" s="184" t="s">
        <v>2669</v>
      </c>
      <c r="T1137" s="187" t="n">
        <v>45952</v>
      </c>
    </row>
    <row r="1138" customFormat="false" ht="35.05" hidden="true" customHeight="false" outlineLevel="0" collapsed="false">
      <c r="A1138" s="181" t="s">
        <v>2672</v>
      </c>
      <c r="B1138" s="182" t="n">
        <v>2565</v>
      </c>
      <c r="C1138" s="183" t="n">
        <v>4</v>
      </c>
      <c r="D1138" s="181" t="s">
        <v>2005</v>
      </c>
      <c r="E1138" s="181" t="s">
        <v>529</v>
      </c>
      <c r="F1138" s="181" t="s">
        <v>530</v>
      </c>
      <c r="G1138" s="181" t="s">
        <v>2006</v>
      </c>
      <c r="H1138" s="181" t="s">
        <v>279</v>
      </c>
      <c r="I1138" s="181" t="s">
        <v>240</v>
      </c>
      <c r="J1138" s="267" t="n">
        <f aca="false">Таблица24[[#This Row],[Вес нетто]]</f>
        <v>21900</v>
      </c>
      <c r="K1138" s="269" t="n">
        <v>45952</v>
      </c>
      <c r="L1138" s="267" t="n">
        <v>2.6</v>
      </c>
      <c r="M1138" s="184" t="s">
        <v>3395</v>
      </c>
      <c r="N1138" s="184" t="n">
        <v>36950</v>
      </c>
      <c r="O1138" s="184" t="n">
        <v>15050</v>
      </c>
      <c r="P1138" s="185" t="n">
        <v>22</v>
      </c>
      <c r="Q1138" s="184" t="n">
        <v>21900</v>
      </c>
      <c r="R1138" s="184" t="n">
        <v>17082</v>
      </c>
      <c r="S1138" s="184" t="s">
        <v>2673</v>
      </c>
      <c r="T1138" s="187" t="n">
        <v>45952</v>
      </c>
    </row>
    <row r="1139" customFormat="false" ht="35.05" hidden="true" customHeight="false" outlineLevel="0" collapsed="false">
      <c r="A1139" s="181" t="s">
        <v>2676</v>
      </c>
      <c r="B1139" s="182" t="n">
        <v>2566</v>
      </c>
      <c r="C1139" s="183" t="n">
        <v>5</v>
      </c>
      <c r="D1139" s="181" t="s">
        <v>2005</v>
      </c>
      <c r="E1139" s="181" t="s">
        <v>391</v>
      </c>
      <c r="F1139" s="181" t="s">
        <v>392</v>
      </c>
      <c r="G1139" s="181" t="s">
        <v>2006</v>
      </c>
      <c r="H1139" s="181" t="s">
        <v>279</v>
      </c>
      <c r="I1139" s="181" t="s">
        <v>240</v>
      </c>
      <c r="J1139" s="267" t="n">
        <v>21420</v>
      </c>
      <c r="K1139" s="269" t="n">
        <v>45952</v>
      </c>
      <c r="L1139" s="267" t="n">
        <v>2.6</v>
      </c>
      <c r="M1139" s="184" t="s">
        <v>3395</v>
      </c>
      <c r="N1139" s="184" t="n">
        <v>36060</v>
      </c>
      <c r="O1139" s="184" t="n">
        <v>14640</v>
      </c>
      <c r="P1139" s="185" t="n">
        <v>29</v>
      </c>
      <c r="Q1139" s="184" t="n">
        <v>21420</v>
      </c>
      <c r="R1139" s="184" t="n">
        <v>15208.2</v>
      </c>
      <c r="S1139" s="184" t="s">
        <v>2677</v>
      </c>
      <c r="T1139" s="187" t="n">
        <v>45953</v>
      </c>
    </row>
    <row r="1140" customFormat="false" ht="35.05" hidden="true" customHeight="false" outlineLevel="0" collapsed="false">
      <c r="A1140" s="181" t="s">
        <v>2678</v>
      </c>
      <c r="B1140" s="182" t="n">
        <v>2567</v>
      </c>
      <c r="C1140" s="183" t="n">
        <v>10390</v>
      </c>
      <c r="D1140" s="181" t="s">
        <v>2066</v>
      </c>
      <c r="E1140" s="181" t="s">
        <v>576</v>
      </c>
      <c r="F1140" s="181" t="s">
        <v>577</v>
      </c>
      <c r="G1140" s="181" t="s">
        <v>3329</v>
      </c>
      <c r="H1140" s="181" t="s">
        <v>279</v>
      </c>
      <c r="I1140" s="181" t="s">
        <v>241</v>
      </c>
      <c r="J1140" s="267"/>
      <c r="K1140" s="269" t="n">
        <v>45952</v>
      </c>
      <c r="L1140" s="267" t="n">
        <v>1.5</v>
      </c>
      <c r="M1140" s="184" t="s">
        <v>3329</v>
      </c>
      <c r="N1140" s="184" t="n">
        <v>38200</v>
      </c>
      <c r="O1140" s="184" t="n">
        <v>14520</v>
      </c>
      <c r="P1140" s="185" t="n">
        <v>6</v>
      </c>
      <c r="Q1140" s="184" t="n">
        <v>23680</v>
      </c>
      <c r="R1140" s="184" t="n">
        <v>22259.2</v>
      </c>
      <c r="S1140" s="184" t="s">
        <v>2679</v>
      </c>
      <c r="T1140" s="187" t="n">
        <v>45953</v>
      </c>
    </row>
    <row r="1141" customFormat="false" ht="35.05" hidden="true" customHeight="false" outlineLevel="0" collapsed="false">
      <c r="A1141" s="181" t="s">
        <v>2680</v>
      </c>
      <c r="B1141" s="182" t="n">
        <v>2568</v>
      </c>
      <c r="C1141" s="183" t="n">
        <v>10391</v>
      </c>
      <c r="D1141" s="181" t="s">
        <v>2066</v>
      </c>
      <c r="E1141" s="181" t="s">
        <v>261</v>
      </c>
      <c r="F1141" s="181" t="s">
        <v>262</v>
      </c>
      <c r="G1141" s="181" t="s">
        <v>3329</v>
      </c>
      <c r="H1141" s="181" t="s">
        <v>279</v>
      </c>
      <c r="I1141" s="181" t="s">
        <v>241</v>
      </c>
      <c r="J1141" s="267"/>
      <c r="K1141" s="269" t="n">
        <v>45952</v>
      </c>
      <c r="L1141" s="267" t="n">
        <v>1.5</v>
      </c>
      <c r="M1141" s="184" t="s">
        <v>3329</v>
      </c>
      <c r="N1141" s="184" t="n">
        <v>38670</v>
      </c>
      <c r="O1141" s="184" t="n">
        <v>15160</v>
      </c>
      <c r="P1141" s="185" t="n">
        <v>14</v>
      </c>
      <c r="Q1141" s="184" t="n">
        <v>23510</v>
      </c>
      <c r="R1141" s="184" t="n">
        <v>20218.6</v>
      </c>
      <c r="S1141" s="184" t="s">
        <v>2681</v>
      </c>
      <c r="T1141" s="187" t="n">
        <v>45953</v>
      </c>
    </row>
    <row r="1142" customFormat="false" ht="35.05" hidden="true" customHeight="false" outlineLevel="0" collapsed="false">
      <c r="A1142" s="181" t="s">
        <v>2682</v>
      </c>
      <c r="B1142" s="182" t="n">
        <v>2569</v>
      </c>
      <c r="C1142" s="183" t="n">
        <v>6</v>
      </c>
      <c r="D1142" s="181" t="s">
        <v>2005</v>
      </c>
      <c r="E1142" s="181" t="s">
        <v>409</v>
      </c>
      <c r="F1142" s="181" t="s">
        <v>410</v>
      </c>
      <c r="G1142" s="181" t="s">
        <v>2070</v>
      </c>
      <c r="H1142" s="181" t="s">
        <v>279</v>
      </c>
      <c r="I1142" s="181" t="s">
        <v>240</v>
      </c>
      <c r="J1142" s="267" t="n">
        <f aca="false">Таблица24[[#This Row],[Вес нетто]]</f>
        <v>41190</v>
      </c>
      <c r="K1142" s="269" t="n">
        <v>45952</v>
      </c>
      <c r="L1142" s="267" t="n">
        <v>4.9</v>
      </c>
      <c r="M1142" s="184" t="s">
        <v>3395</v>
      </c>
      <c r="N1142" s="184" t="n">
        <v>65700</v>
      </c>
      <c r="O1142" s="184" t="n">
        <v>24510</v>
      </c>
      <c r="P1142" s="185" t="n">
        <v>16</v>
      </c>
      <c r="Q1142" s="184" t="n">
        <v>41190</v>
      </c>
      <c r="R1142" s="184" t="n">
        <v>34599.6</v>
      </c>
      <c r="S1142" s="184" t="s">
        <v>2683</v>
      </c>
      <c r="T1142" s="187" t="n">
        <v>45953</v>
      </c>
    </row>
    <row r="1143" customFormat="false" ht="46.25" hidden="true" customHeight="false" outlineLevel="0" collapsed="false">
      <c r="A1143" s="181" t="s">
        <v>2684</v>
      </c>
      <c r="B1143" s="182" t="n">
        <v>2570</v>
      </c>
      <c r="C1143" s="183" t="n">
        <v>10392</v>
      </c>
      <c r="D1143" s="181" t="s">
        <v>2066</v>
      </c>
      <c r="E1143" s="181" t="s">
        <v>383</v>
      </c>
      <c r="F1143" s="181" t="s">
        <v>384</v>
      </c>
      <c r="G1143" s="181" t="s">
        <v>3329</v>
      </c>
      <c r="H1143" s="181" t="s">
        <v>279</v>
      </c>
      <c r="I1143" s="181" t="s">
        <v>241</v>
      </c>
      <c r="J1143" s="267"/>
      <c r="K1143" s="269" t="n">
        <v>45952</v>
      </c>
      <c r="L1143" s="267" t="n">
        <v>1.6</v>
      </c>
      <c r="M1143" s="184" t="s">
        <v>3329</v>
      </c>
      <c r="N1143" s="184" t="n">
        <v>40890</v>
      </c>
      <c r="O1143" s="184" t="n">
        <v>14910</v>
      </c>
      <c r="P1143" s="185" t="n">
        <v>5</v>
      </c>
      <c r="Q1143" s="184" t="n">
        <v>25980</v>
      </c>
      <c r="R1143" s="184" t="n">
        <v>24681</v>
      </c>
      <c r="S1143" s="184" t="s">
        <v>2685</v>
      </c>
      <c r="T1143" s="187" t="n">
        <v>45953</v>
      </c>
    </row>
    <row r="1144" customFormat="false" ht="35.05" hidden="true" customHeight="false" outlineLevel="0" collapsed="false">
      <c r="A1144" s="181" t="s">
        <v>2686</v>
      </c>
      <c r="B1144" s="182" t="n">
        <v>2571</v>
      </c>
      <c r="C1144" s="183" t="n">
        <v>10393</v>
      </c>
      <c r="D1144" s="181" t="s">
        <v>2066</v>
      </c>
      <c r="E1144" s="181" t="s">
        <v>387</v>
      </c>
      <c r="F1144" s="181" t="s">
        <v>388</v>
      </c>
      <c r="G1144" s="181" t="s">
        <v>3329</v>
      </c>
      <c r="H1144" s="181" t="s">
        <v>279</v>
      </c>
      <c r="I1144" s="181" t="s">
        <v>241</v>
      </c>
      <c r="J1144" s="267"/>
      <c r="K1144" s="269" t="n">
        <v>45952</v>
      </c>
      <c r="L1144" s="267" t="n">
        <v>1.8</v>
      </c>
      <c r="M1144" s="184" t="s">
        <v>3329</v>
      </c>
      <c r="N1144" s="184" t="n">
        <v>43700</v>
      </c>
      <c r="O1144" s="184" t="n">
        <v>15110</v>
      </c>
      <c r="P1144" s="185" t="n">
        <v>9</v>
      </c>
      <c r="Q1144" s="184" t="n">
        <v>28590</v>
      </c>
      <c r="R1144" s="184" t="n">
        <v>26016.9</v>
      </c>
      <c r="S1144" s="184" t="s">
        <v>2687</v>
      </c>
      <c r="T1144" s="187" t="n">
        <v>45953</v>
      </c>
    </row>
    <row r="1145" customFormat="false" ht="35.05" hidden="true" customHeight="false" outlineLevel="0" collapsed="false">
      <c r="A1145" s="181" t="s">
        <v>2688</v>
      </c>
      <c r="B1145" s="182" t="n">
        <v>2572</v>
      </c>
      <c r="C1145" s="183" t="n">
        <v>10394</v>
      </c>
      <c r="D1145" s="181" t="s">
        <v>2066</v>
      </c>
      <c r="E1145" s="181" t="s">
        <v>350</v>
      </c>
      <c r="F1145" s="181" t="s">
        <v>351</v>
      </c>
      <c r="G1145" s="181" t="s">
        <v>3329</v>
      </c>
      <c r="H1145" s="181" t="s">
        <v>279</v>
      </c>
      <c r="I1145" s="181" t="s">
        <v>241</v>
      </c>
      <c r="J1145" s="267"/>
      <c r="K1145" s="269" t="n">
        <v>45952</v>
      </c>
      <c r="L1145" s="267" t="n">
        <v>1.8</v>
      </c>
      <c r="M1145" s="184" t="s">
        <v>3329</v>
      </c>
      <c r="N1145" s="184" t="n">
        <v>44290</v>
      </c>
      <c r="O1145" s="184" t="n">
        <v>15070</v>
      </c>
      <c r="P1145" s="185" t="n">
        <v>10</v>
      </c>
      <c r="Q1145" s="184" t="n">
        <v>29220</v>
      </c>
      <c r="R1145" s="184" t="n">
        <v>26298</v>
      </c>
      <c r="S1145" s="184" t="s">
        <v>2689</v>
      </c>
      <c r="T1145" s="187" t="n">
        <v>45953</v>
      </c>
    </row>
    <row r="1146" customFormat="false" ht="35.05" hidden="true" customHeight="false" outlineLevel="0" collapsed="false">
      <c r="A1146" s="181" t="s">
        <v>2700</v>
      </c>
      <c r="B1146" s="182" t="n">
        <v>2573</v>
      </c>
      <c r="C1146" s="183" t="n">
        <v>10395</v>
      </c>
      <c r="D1146" s="181" t="s">
        <v>2066</v>
      </c>
      <c r="E1146" s="181" t="s">
        <v>346</v>
      </c>
      <c r="F1146" s="181" t="s">
        <v>347</v>
      </c>
      <c r="G1146" s="181" t="s">
        <v>3329</v>
      </c>
      <c r="H1146" s="181" t="s">
        <v>279</v>
      </c>
      <c r="I1146" s="181" t="s">
        <v>241</v>
      </c>
      <c r="J1146" s="267"/>
      <c r="K1146" s="269" t="n">
        <v>45952</v>
      </c>
      <c r="L1146" s="267" t="n">
        <v>1.6</v>
      </c>
      <c r="M1146" s="184" t="s">
        <v>3329</v>
      </c>
      <c r="N1146" s="184" t="n">
        <v>39800</v>
      </c>
      <c r="O1146" s="184" t="n">
        <v>15050</v>
      </c>
      <c r="P1146" s="185" t="n">
        <v>12</v>
      </c>
      <c r="Q1146" s="184" t="n">
        <v>24750</v>
      </c>
      <c r="R1146" s="184" t="n">
        <v>21780</v>
      </c>
      <c r="S1146" s="184" t="s">
        <v>2701</v>
      </c>
      <c r="T1146" s="187" t="n">
        <v>45953</v>
      </c>
    </row>
    <row r="1147" customFormat="false" ht="46.25" hidden="true" customHeight="false" outlineLevel="0" collapsed="false">
      <c r="A1147" s="181" t="s">
        <v>2692</v>
      </c>
      <c r="B1147" s="182" t="n">
        <v>2575</v>
      </c>
      <c r="C1147" s="183" t="n">
        <v>11</v>
      </c>
      <c r="D1147" s="181" t="s">
        <v>2005</v>
      </c>
      <c r="E1147" s="181" t="s">
        <v>288</v>
      </c>
      <c r="F1147" s="181" t="s">
        <v>289</v>
      </c>
      <c r="G1147" s="181" t="s">
        <v>2070</v>
      </c>
      <c r="H1147" s="181" t="s">
        <v>158</v>
      </c>
      <c r="I1147" s="181" t="s">
        <v>240</v>
      </c>
      <c r="J1147" s="267" t="n">
        <f aca="false">Таблица24[[#This Row],[Вес нетто]]</f>
        <v>14610</v>
      </c>
      <c r="K1147" s="269" t="n">
        <v>45953</v>
      </c>
      <c r="L1147" s="267" t="n">
        <v>0.4</v>
      </c>
      <c r="M1147" s="184" t="s">
        <v>3395</v>
      </c>
      <c r="N1147" s="184" t="n">
        <v>29340</v>
      </c>
      <c r="O1147" s="184" t="n">
        <v>14730</v>
      </c>
      <c r="P1147" s="185" t="n">
        <v>9</v>
      </c>
      <c r="Q1147" s="184" t="n">
        <v>14610</v>
      </c>
      <c r="R1147" s="184" t="n">
        <v>13295.1</v>
      </c>
      <c r="S1147" s="184" t="s">
        <v>2693</v>
      </c>
      <c r="T1147" s="187" t="n">
        <v>45953</v>
      </c>
    </row>
    <row r="1148" customFormat="false" ht="35.05" hidden="true" customHeight="false" outlineLevel="0" collapsed="false">
      <c r="A1148" s="181" t="s">
        <v>2702</v>
      </c>
      <c r="B1148" s="182" t="n">
        <v>2576</v>
      </c>
      <c r="C1148" s="183" t="n">
        <v>10396</v>
      </c>
      <c r="D1148" s="181" t="s">
        <v>2066</v>
      </c>
      <c r="E1148" s="181" t="s">
        <v>377</v>
      </c>
      <c r="F1148" s="181" t="s">
        <v>378</v>
      </c>
      <c r="G1148" s="181" t="s">
        <v>3329</v>
      </c>
      <c r="H1148" s="181" t="s">
        <v>279</v>
      </c>
      <c r="I1148" s="181" t="s">
        <v>241</v>
      </c>
      <c r="J1148" s="267"/>
      <c r="K1148" s="269" t="n">
        <v>45952</v>
      </c>
      <c r="L1148" s="267" t="n">
        <v>1.8</v>
      </c>
      <c r="M1148" s="184" t="s">
        <v>3329</v>
      </c>
      <c r="N1148" s="184" t="n">
        <v>44690</v>
      </c>
      <c r="O1148" s="184" t="n">
        <v>15780</v>
      </c>
      <c r="P1148" s="185" t="n">
        <v>12</v>
      </c>
      <c r="Q1148" s="184" t="n">
        <v>28910</v>
      </c>
      <c r="R1148" s="184" t="n">
        <v>25440.8</v>
      </c>
      <c r="S1148" s="184" t="s">
        <v>2703</v>
      </c>
      <c r="T1148" s="187" t="n">
        <v>45953</v>
      </c>
    </row>
    <row r="1149" customFormat="false" ht="40.5" hidden="true" customHeight="true" outlineLevel="0" collapsed="false">
      <c r="A1149" s="181" t="s">
        <v>2708</v>
      </c>
      <c r="B1149" s="182" t="n">
        <v>2580</v>
      </c>
      <c r="C1149" s="183" t="n">
        <v>10397</v>
      </c>
      <c r="D1149" s="181" t="s">
        <v>2066</v>
      </c>
      <c r="E1149" s="181" t="s">
        <v>336</v>
      </c>
      <c r="F1149" s="181" t="s">
        <v>337</v>
      </c>
      <c r="G1149" s="181" t="s">
        <v>3329</v>
      </c>
      <c r="H1149" s="181" t="s">
        <v>279</v>
      </c>
      <c r="I1149" s="181" t="s">
        <v>241</v>
      </c>
      <c r="J1149" s="267"/>
      <c r="K1149" s="269" t="n">
        <v>45953</v>
      </c>
      <c r="L1149" s="267" t="n">
        <v>1.6</v>
      </c>
      <c r="M1149" s="184" t="s">
        <v>3329</v>
      </c>
      <c r="N1149" s="184" t="n">
        <v>39390</v>
      </c>
      <c r="O1149" s="184" t="n">
        <v>14580</v>
      </c>
      <c r="P1149" s="185" t="n">
        <v>28</v>
      </c>
      <c r="Q1149" s="184" t="n">
        <v>24810</v>
      </c>
      <c r="R1149" s="184" t="n">
        <v>17863.2</v>
      </c>
      <c r="S1149" s="184" t="s">
        <v>2709</v>
      </c>
      <c r="T1149" s="187" t="n">
        <v>45953</v>
      </c>
    </row>
    <row r="1150" customFormat="false" ht="40.5" hidden="true" customHeight="true" outlineLevel="0" collapsed="false">
      <c r="A1150" s="181" t="s">
        <v>2710</v>
      </c>
      <c r="B1150" s="182" t="n">
        <v>2581</v>
      </c>
      <c r="C1150" s="183" t="n">
        <v>10398</v>
      </c>
      <c r="D1150" s="181" t="s">
        <v>2066</v>
      </c>
      <c r="E1150" s="181" t="s">
        <v>340</v>
      </c>
      <c r="F1150" s="181" t="s">
        <v>341</v>
      </c>
      <c r="G1150" s="181" t="s">
        <v>3329</v>
      </c>
      <c r="H1150" s="181" t="s">
        <v>279</v>
      </c>
      <c r="I1150" s="181" t="s">
        <v>241</v>
      </c>
      <c r="J1150" s="267"/>
      <c r="K1150" s="269" t="n">
        <v>45953</v>
      </c>
      <c r="L1150" s="267" t="n">
        <v>1.5</v>
      </c>
      <c r="M1150" s="184" t="s">
        <v>3329</v>
      </c>
      <c r="N1150" s="184" t="n">
        <v>39540</v>
      </c>
      <c r="O1150" s="184" t="n">
        <v>15120</v>
      </c>
      <c r="P1150" s="185" t="n">
        <v>21</v>
      </c>
      <c r="Q1150" s="184" t="n">
        <v>24420</v>
      </c>
      <c r="R1150" s="184" t="n">
        <v>19291.8</v>
      </c>
      <c r="S1150" s="184" t="s">
        <v>2711</v>
      </c>
      <c r="T1150" s="187" t="n">
        <v>45953</v>
      </c>
    </row>
    <row r="1151" customFormat="false" ht="40.5" hidden="true" customHeight="true" outlineLevel="0" collapsed="false">
      <c r="A1151" s="181" t="s">
        <v>2732</v>
      </c>
      <c r="B1151" s="182" t="n">
        <v>2584</v>
      </c>
      <c r="C1151" s="183" t="n">
        <v>10399</v>
      </c>
      <c r="D1151" s="181" t="s">
        <v>2066</v>
      </c>
      <c r="E1151" s="181" t="s">
        <v>354</v>
      </c>
      <c r="F1151" s="181" t="s">
        <v>355</v>
      </c>
      <c r="G1151" s="181" t="s">
        <v>3329</v>
      </c>
      <c r="H1151" s="181" t="s">
        <v>279</v>
      </c>
      <c r="I1151" s="181" t="s">
        <v>241</v>
      </c>
      <c r="J1151" s="267"/>
      <c r="K1151" s="269" t="n">
        <v>45953</v>
      </c>
      <c r="L1151" s="267" t="n">
        <v>1.5</v>
      </c>
      <c r="M1151" s="184" t="s">
        <v>3329</v>
      </c>
      <c r="N1151" s="184" t="n">
        <v>38940</v>
      </c>
      <c r="O1151" s="184" t="n">
        <v>14770</v>
      </c>
      <c r="P1151" s="185" t="n">
        <v>4</v>
      </c>
      <c r="Q1151" s="184" t="n">
        <v>24170</v>
      </c>
      <c r="R1151" s="184" t="n">
        <v>23203.2</v>
      </c>
      <c r="S1151" s="184" t="s">
        <v>2733</v>
      </c>
      <c r="T1151" s="187" t="n">
        <v>45953</v>
      </c>
    </row>
    <row r="1152" customFormat="false" ht="40.5" hidden="true" customHeight="true" outlineLevel="0" collapsed="false">
      <c r="A1152" s="181" t="s">
        <v>2734</v>
      </c>
      <c r="B1152" s="182" t="n">
        <v>2587</v>
      </c>
      <c r="C1152" s="183" t="n">
        <v>10400</v>
      </c>
      <c r="D1152" s="181" t="s">
        <v>2066</v>
      </c>
      <c r="E1152" s="181" t="s">
        <v>359</v>
      </c>
      <c r="F1152" s="181" t="s">
        <v>360</v>
      </c>
      <c r="G1152" s="181" t="s">
        <v>3329</v>
      </c>
      <c r="H1152" s="181" t="s">
        <v>279</v>
      </c>
      <c r="I1152" s="181" t="s">
        <v>241</v>
      </c>
      <c r="J1152" s="267"/>
      <c r="K1152" s="269" t="n">
        <v>45953</v>
      </c>
      <c r="L1152" s="267" t="n">
        <v>1.5</v>
      </c>
      <c r="M1152" s="184" t="s">
        <v>3329</v>
      </c>
      <c r="N1152" s="184" t="n">
        <v>38070</v>
      </c>
      <c r="O1152" s="184" t="n">
        <v>15030</v>
      </c>
      <c r="P1152" s="185" t="n">
        <v>7</v>
      </c>
      <c r="Q1152" s="184" t="n">
        <v>23040</v>
      </c>
      <c r="R1152" s="184" t="n">
        <v>21427.2</v>
      </c>
      <c r="S1152" s="184" t="s">
        <v>2735</v>
      </c>
      <c r="T1152" s="187" t="n">
        <v>45953</v>
      </c>
    </row>
    <row r="1153" customFormat="false" ht="40.5" hidden="true" customHeight="true" outlineLevel="0" collapsed="false">
      <c r="A1153" s="181" t="s">
        <v>2694</v>
      </c>
      <c r="B1153" s="182" t="n">
        <v>2590</v>
      </c>
      <c r="C1153" s="183" t="n">
        <v>9</v>
      </c>
      <c r="D1153" s="181" t="s">
        <v>2005</v>
      </c>
      <c r="E1153" s="181" t="s">
        <v>1027</v>
      </c>
      <c r="F1153" s="181" t="s">
        <v>1028</v>
      </c>
      <c r="G1153" s="181" t="s">
        <v>2049</v>
      </c>
      <c r="H1153" s="181" t="s">
        <v>158</v>
      </c>
      <c r="I1153" s="181" t="s">
        <v>240</v>
      </c>
      <c r="J1153" s="267" t="n">
        <f aca="false">Таблица24[[#This Row],[Вес нетто]]</f>
        <v>24300</v>
      </c>
      <c r="K1153" s="269" t="n">
        <v>45953</v>
      </c>
      <c r="L1153" s="267" t="n">
        <v>0.6</v>
      </c>
      <c r="M1153" s="184" t="s">
        <v>3395</v>
      </c>
      <c r="N1153" s="184" t="n">
        <v>39370</v>
      </c>
      <c r="O1153" s="184" t="n">
        <v>15070</v>
      </c>
      <c r="P1153" s="185" t="n">
        <v>24</v>
      </c>
      <c r="Q1153" s="184" t="n">
        <v>24300</v>
      </c>
      <c r="R1153" s="184" t="n">
        <v>18468</v>
      </c>
      <c r="S1153" s="184" t="s">
        <v>2695</v>
      </c>
      <c r="T1153" s="187" t="n">
        <v>45953</v>
      </c>
    </row>
    <row r="1154" customFormat="false" ht="40.5" hidden="true" customHeight="true" outlineLevel="0" collapsed="false">
      <c r="A1154" s="181" t="s">
        <v>2696</v>
      </c>
      <c r="B1154" s="182" t="n">
        <v>2591</v>
      </c>
      <c r="C1154" s="183" t="n">
        <v>8</v>
      </c>
      <c r="D1154" s="181" t="s">
        <v>2005</v>
      </c>
      <c r="E1154" s="181" t="s">
        <v>1023</v>
      </c>
      <c r="F1154" s="181" t="s">
        <v>1024</v>
      </c>
      <c r="G1154" s="181" t="s">
        <v>2049</v>
      </c>
      <c r="H1154" s="181" t="s">
        <v>158</v>
      </c>
      <c r="I1154" s="181" t="s">
        <v>240</v>
      </c>
      <c r="J1154" s="267" t="n">
        <f aca="false">Таблица24[[#This Row],[Вес нетто]]</f>
        <v>22690</v>
      </c>
      <c r="K1154" s="269" t="n">
        <v>45953</v>
      </c>
      <c r="L1154" s="267" t="n">
        <v>0.6</v>
      </c>
      <c r="M1154" s="184" t="s">
        <v>3395</v>
      </c>
      <c r="N1154" s="184" t="n">
        <v>37650</v>
      </c>
      <c r="O1154" s="184" t="n">
        <v>14960</v>
      </c>
      <c r="P1154" s="185" t="n">
        <v>10</v>
      </c>
      <c r="Q1154" s="184" t="n">
        <v>22690</v>
      </c>
      <c r="R1154" s="184" t="n">
        <v>20421</v>
      </c>
      <c r="S1154" s="184" t="s">
        <v>2697</v>
      </c>
      <c r="T1154" s="187" t="n">
        <v>45953</v>
      </c>
    </row>
    <row r="1155" customFormat="false" ht="40.5" hidden="true" customHeight="true" outlineLevel="0" collapsed="false">
      <c r="A1155" s="181" t="s">
        <v>2698</v>
      </c>
      <c r="B1155" s="182" t="n">
        <v>2592</v>
      </c>
      <c r="C1155" s="183" t="n">
        <v>10402</v>
      </c>
      <c r="D1155" s="181" t="s">
        <v>2066</v>
      </c>
      <c r="E1155" s="181" t="s">
        <v>277</v>
      </c>
      <c r="F1155" s="181" t="s">
        <v>278</v>
      </c>
      <c r="G1155" s="181" t="s">
        <v>3329</v>
      </c>
      <c r="H1155" s="181" t="s">
        <v>279</v>
      </c>
      <c r="I1155" s="181" t="s">
        <v>241</v>
      </c>
      <c r="J1155" s="267"/>
      <c r="K1155" s="269" t="n">
        <v>45952</v>
      </c>
      <c r="L1155" s="267" t="n">
        <v>1.8</v>
      </c>
      <c r="M1155" s="184" t="s">
        <v>3329</v>
      </c>
      <c r="N1155" s="184" t="n">
        <v>43410</v>
      </c>
      <c r="O1155" s="184" t="n">
        <v>15310</v>
      </c>
      <c r="P1155" s="185" t="n">
        <v>21</v>
      </c>
      <c r="Q1155" s="184" t="n">
        <v>28100</v>
      </c>
      <c r="R1155" s="184" t="n">
        <v>22199</v>
      </c>
      <c r="S1155" s="184" t="s">
        <v>2699</v>
      </c>
      <c r="T1155" s="187" t="n">
        <v>45953</v>
      </c>
    </row>
    <row r="1156" customFormat="false" ht="40.5" hidden="true" customHeight="true" outlineLevel="0" collapsed="false">
      <c r="A1156" s="181" t="s">
        <v>2704</v>
      </c>
      <c r="B1156" s="182" t="n">
        <v>2593</v>
      </c>
      <c r="C1156" s="183" t="n">
        <v>10404</v>
      </c>
      <c r="D1156" s="181" t="s">
        <v>2066</v>
      </c>
      <c r="E1156" s="181" t="s">
        <v>439</v>
      </c>
      <c r="F1156" s="181" t="s">
        <v>440</v>
      </c>
      <c r="G1156" s="181" t="s">
        <v>3329</v>
      </c>
      <c r="H1156" s="181" t="s">
        <v>279</v>
      </c>
      <c r="I1156" s="181" t="s">
        <v>241</v>
      </c>
      <c r="J1156" s="267"/>
      <c r="K1156" s="269" t="n">
        <v>45952</v>
      </c>
      <c r="L1156" s="267" t="n">
        <v>1.5</v>
      </c>
      <c r="M1156" s="184" t="s">
        <v>3329</v>
      </c>
      <c r="N1156" s="184" t="n">
        <v>40070</v>
      </c>
      <c r="O1156" s="184" t="n">
        <v>16520</v>
      </c>
      <c r="P1156" s="185" t="n">
        <v>17</v>
      </c>
      <c r="Q1156" s="184" t="n">
        <v>23550</v>
      </c>
      <c r="R1156" s="184" t="n">
        <v>19546.5</v>
      </c>
      <c r="S1156" s="184" t="s">
        <v>2705</v>
      </c>
      <c r="T1156" s="187" t="n">
        <v>45953</v>
      </c>
    </row>
    <row r="1157" customFormat="false" ht="40.5" hidden="true" customHeight="true" outlineLevel="0" collapsed="false">
      <c r="A1157" s="181" t="s">
        <v>2706</v>
      </c>
      <c r="B1157" s="182" t="n">
        <v>2594</v>
      </c>
      <c r="C1157" s="183" t="n">
        <v>10405</v>
      </c>
      <c r="D1157" s="181" t="s">
        <v>2066</v>
      </c>
      <c r="E1157" s="181" t="s">
        <v>431</v>
      </c>
      <c r="F1157" s="181" t="s">
        <v>432</v>
      </c>
      <c r="G1157" s="181" t="s">
        <v>3329</v>
      </c>
      <c r="H1157" s="181" t="s">
        <v>279</v>
      </c>
      <c r="I1157" s="181" t="s">
        <v>241</v>
      </c>
      <c r="J1157" s="267"/>
      <c r="K1157" s="269" t="n">
        <v>45952</v>
      </c>
      <c r="L1157" s="267" t="n">
        <v>1.5</v>
      </c>
      <c r="M1157" s="184" t="s">
        <v>3329</v>
      </c>
      <c r="N1157" s="184" t="n">
        <v>39890</v>
      </c>
      <c r="O1157" s="184" t="n">
        <v>16580</v>
      </c>
      <c r="P1157" s="185" t="n">
        <v>23</v>
      </c>
      <c r="Q1157" s="184" t="n">
        <v>23310</v>
      </c>
      <c r="R1157" s="184" t="n">
        <v>17948.7</v>
      </c>
      <c r="S1157" s="184" t="s">
        <v>2707</v>
      </c>
      <c r="T1157" s="187" t="n">
        <v>45953</v>
      </c>
    </row>
    <row r="1158" customFormat="false" ht="40.5" hidden="true" customHeight="true" outlineLevel="0" collapsed="false">
      <c r="A1158" s="181" t="s">
        <v>2712</v>
      </c>
      <c r="B1158" s="182" t="n">
        <v>2595</v>
      </c>
      <c r="C1158" s="183" t="n">
        <v>98</v>
      </c>
      <c r="D1158" s="181" t="s">
        <v>2401</v>
      </c>
      <c r="E1158" s="181" t="s">
        <v>435</v>
      </c>
      <c r="F1158" s="181" t="s">
        <v>436</v>
      </c>
      <c r="G1158" s="181" t="s">
        <v>144</v>
      </c>
      <c r="H1158" s="181" t="s">
        <v>279</v>
      </c>
      <c r="I1158" s="181" t="s">
        <v>242</v>
      </c>
      <c r="J1158" s="267"/>
      <c r="K1158" s="269" t="n">
        <v>45953</v>
      </c>
      <c r="L1158" s="267" t="n">
        <v>1.6</v>
      </c>
      <c r="M1158" s="184" t="s">
        <v>144</v>
      </c>
      <c r="N1158" s="184" t="n">
        <v>42440</v>
      </c>
      <c r="O1158" s="184" t="n">
        <v>16580</v>
      </c>
      <c r="P1158" s="185" t="n">
        <v>9</v>
      </c>
      <c r="Q1158" s="184" t="n">
        <v>25860</v>
      </c>
      <c r="R1158" s="184" t="n">
        <v>23532.6</v>
      </c>
      <c r="S1158" s="184" t="s">
        <v>2713</v>
      </c>
      <c r="T1158" s="187" t="n">
        <v>45953</v>
      </c>
    </row>
    <row r="1159" customFormat="false" ht="40.5" hidden="true" customHeight="true" outlineLevel="0" collapsed="false">
      <c r="A1159" s="181" t="s">
        <v>2714</v>
      </c>
      <c r="B1159" s="182" t="n">
        <v>2596</v>
      </c>
      <c r="C1159" s="183" t="n">
        <v>101</v>
      </c>
      <c r="D1159" s="181" t="s">
        <v>2401</v>
      </c>
      <c r="E1159" s="181" t="s">
        <v>373</v>
      </c>
      <c r="F1159" s="181" t="s">
        <v>374</v>
      </c>
      <c r="G1159" s="181" t="s">
        <v>2715</v>
      </c>
      <c r="H1159" s="181" t="s">
        <v>279</v>
      </c>
      <c r="I1159" s="181" t="s">
        <v>242</v>
      </c>
      <c r="J1159" s="267"/>
      <c r="K1159" s="269" t="n">
        <v>45953</v>
      </c>
      <c r="L1159" s="267" t="n">
        <v>1.1</v>
      </c>
      <c r="M1159" s="184" t="s">
        <v>2715</v>
      </c>
      <c r="N1159" s="184" t="n">
        <v>41720</v>
      </c>
      <c r="O1159" s="184" t="n">
        <v>14690</v>
      </c>
      <c r="P1159" s="185" t="n">
        <v>20</v>
      </c>
      <c r="Q1159" s="184" t="n">
        <v>27030</v>
      </c>
      <c r="R1159" s="184" t="n">
        <v>21624</v>
      </c>
      <c r="S1159" s="184" t="s">
        <v>2716</v>
      </c>
      <c r="T1159" s="187" t="n">
        <v>45953</v>
      </c>
    </row>
    <row r="1160" customFormat="false" ht="40.5" hidden="true" customHeight="true" outlineLevel="0" collapsed="false">
      <c r="A1160" s="181" t="s">
        <v>2717</v>
      </c>
      <c r="B1160" s="182" t="n">
        <v>2597</v>
      </c>
      <c r="C1160" s="183" t="n">
        <v>10406</v>
      </c>
      <c r="D1160" s="181" t="s">
        <v>2066</v>
      </c>
      <c r="E1160" s="181" t="s">
        <v>413</v>
      </c>
      <c r="F1160" s="181" t="s">
        <v>414</v>
      </c>
      <c r="G1160" s="181" t="s">
        <v>3329</v>
      </c>
      <c r="H1160" s="181" t="s">
        <v>279</v>
      </c>
      <c r="I1160" s="181" t="s">
        <v>241</v>
      </c>
      <c r="J1160" s="267"/>
      <c r="K1160" s="269" t="n">
        <v>45953</v>
      </c>
      <c r="L1160" s="267" t="n">
        <v>2</v>
      </c>
      <c r="M1160" s="184" t="s">
        <v>3329</v>
      </c>
      <c r="N1160" s="184" t="n">
        <v>47500</v>
      </c>
      <c r="O1160" s="184" t="n">
        <v>15870</v>
      </c>
      <c r="P1160" s="185" t="n">
        <v>12</v>
      </c>
      <c r="Q1160" s="184" t="n">
        <v>31630</v>
      </c>
      <c r="R1160" s="184" t="n">
        <v>27834.4</v>
      </c>
      <c r="S1160" s="184" t="s">
        <v>2718</v>
      </c>
      <c r="T1160" s="187" t="n">
        <v>45953</v>
      </c>
    </row>
    <row r="1161" customFormat="false" ht="40.5" hidden="true" customHeight="true" outlineLevel="0" collapsed="false">
      <c r="A1161" s="181" t="s">
        <v>2719</v>
      </c>
      <c r="B1161" s="182" t="n">
        <v>2599</v>
      </c>
      <c r="C1161" s="183" t="n">
        <v>10422</v>
      </c>
      <c r="D1161" s="181" t="s">
        <v>2066</v>
      </c>
      <c r="E1161" s="181" t="s">
        <v>549</v>
      </c>
      <c r="F1161" s="181" t="s">
        <v>550</v>
      </c>
      <c r="G1161" s="181" t="s">
        <v>3329</v>
      </c>
      <c r="H1161" s="181" t="s">
        <v>279</v>
      </c>
      <c r="I1161" s="181" t="s">
        <v>241</v>
      </c>
      <c r="J1161" s="267"/>
      <c r="K1161" s="269" t="n">
        <v>45953</v>
      </c>
      <c r="L1161" s="267" t="n">
        <v>1.7</v>
      </c>
      <c r="M1161" s="184" t="s">
        <v>3329</v>
      </c>
      <c r="N1161" s="184" t="n">
        <v>42510</v>
      </c>
      <c r="O1161" s="184" t="n">
        <v>15760</v>
      </c>
      <c r="P1161" s="185" t="n">
        <v>6</v>
      </c>
      <c r="Q1161" s="184" t="n">
        <v>26750</v>
      </c>
      <c r="R1161" s="184" t="n">
        <v>25145</v>
      </c>
      <c r="S1161" s="184" t="s">
        <v>2720</v>
      </c>
      <c r="T1161" s="187" t="n">
        <v>45953</v>
      </c>
    </row>
    <row r="1162" customFormat="false" ht="40.5" hidden="true" customHeight="true" outlineLevel="0" collapsed="false">
      <c r="A1162" s="181" t="s">
        <v>2690</v>
      </c>
      <c r="B1162" s="182" t="n">
        <v>2589</v>
      </c>
      <c r="C1162" s="183" t="n">
        <v>7</v>
      </c>
      <c r="D1162" s="181" t="s">
        <v>2005</v>
      </c>
      <c r="E1162" s="181" t="s">
        <v>1019</v>
      </c>
      <c r="F1162" s="181" t="s">
        <v>1020</v>
      </c>
      <c r="G1162" s="181" t="s">
        <v>2049</v>
      </c>
      <c r="H1162" s="181" t="s">
        <v>279</v>
      </c>
      <c r="I1162" s="181" t="s">
        <v>240</v>
      </c>
      <c r="J1162" s="267" t="n">
        <f aca="false">Таблица24[[#This Row],[Вес нетто]]</f>
        <v>26240</v>
      </c>
      <c r="K1162" s="269" t="n">
        <v>45952</v>
      </c>
      <c r="L1162" s="267" t="n">
        <v>3</v>
      </c>
      <c r="M1162" s="184" t="s">
        <v>3395</v>
      </c>
      <c r="N1162" s="184" t="n">
        <v>43490</v>
      </c>
      <c r="O1162" s="184" t="n">
        <v>17250</v>
      </c>
      <c r="P1162" s="185" t="n">
        <v>5</v>
      </c>
      <c r="Q1162" s="184" t="n">
        <v>26240</v>
      </c>
      <c r="R1162" s="184" t="n">
        <v>24928</v>
      </c>
      <c r="S1162" s="184" t="s">
        <v>2691</v>
      </c>
      <c r="T1162" s="187" t="n">
        <v>45953</v>
      </c>
    </row>
    <row r="1163" customFormat="false" ht="40.5" hidden="true" customHeight="true" outlineLevel="0" collapsed="false">
      <c r="A1163" s="181" t="s">
        <v>2721</v>
      </c>
      <c r="B1163" s="182" t="n">
        <v>2600</v>
      </c>
      <c r="C1163" s="183" t="n">
        <v>99</v>
      </c>
      <c r="D1163" s="181" t="s">
        <v>2401</v>
      </c>
      <c r="E1163" s="181" t="s">
        <v>533</v>
      </c>
      <c r="F1163" s="181" t="s">
        <v>534</v>
      </c>
      <c r="G1163" s="181" t="s">
        <v>2402</v>
      </c>
      <c r="H1163" s="181" t="s">
        <v>279</v>
      </c>
      <c r="I1163" s="181" t="s">
        <v>242</v>
      </c>
      <c r="J1163" s="267"/>
      <c r="K1163" s="269" t="n">
        <v>45953</v>
      </c>
      <c r="L1163" s="267" t="n">
        <v>1.1</v>
      </c>
      <c r="M1163" s="184" t="s">
        <v>2402</v>
      </c>
      <c r="N1163" s="184" t="n">
        <v>39310</v>
      </c>
      <c r="O1163" s="184" t="n">
        <v>14640</v>
      </c>
      <c r="P1163" s="185" t="n">
        <v>13</v>
      </c>
      <c r="Q1163" s="184" t="n">
        <v>24670</v>
      </c>
      <c r="R1163" s="184" t="n">
        <v>21462.9</v>
      </c>
      <c r="S1163" s="184" t="s">
        <v>2722</v>
      </c>
      <c r="T1163" s="187" t="n">
        <v>45953</v>
      </c>
    </row>
    <row r="1164" customFormat="false" ht="40.5" hidden="true" customHeight="true" outlineLevel="0" collapsed="false">
      <c r="A1164" s="181" t="s">
        <v>2723</v>
      </c>
      <c r="B1164" s="182" t="n">
        <v>2601</v>
      </c>
      <c r="C1164" s="183" t="n">
        <v>10429</v>
      </c>
      <c r="D1164" s="181" t="s">
        <v>2066</v>
      </c>
      <c r="E1164" s="181" t="s">
        <v>545</v>
      </c>
      <c r="F1164" s="181" t="s">
        <v>546</v>
      </c>
      <c r="G1164" s="181" t="s">
        <v>3329</v>
      </c>
      <c r="H1164" s="181" t="s">
        <v>279</v>
      </c>
      <c r="I1164" s="181" t="s">
        <v>241</v>
      </c>
      <c r="J1164" s="267"/>
      <c r="K1164" s="269" t="n">
        <v>45953</v>
      </c>
      <c r="L1164" s="267" t="n">
        <v>1.7</v>
      </c>
      <c r="M1164" s="184" t="s">
        <v>3329</v>
      </c>
      <c r="N1164" s="184" t="n">
        <v>42490</v>
      </c>
      <c r="O1164" s="184" t="n">
        <v>16080</v>
      </c>
      <c r="P1164" s="185" t="n">
        <v>9</v>
      </c>
      <c r="Q1164" s="184" t="n">
        <v>26410</v>
      </c>
      <c r="R1164" s="184" t="n">
        <v>24033.1</v>
      </c>
      <c r="S1164" s="184" t="s">
        <v>2724</v>
      </c>
      <c r="T1164" s="187" t="n">
        <v>45953</v>
      </c>
    </row>
    <row r="1165" customFormat="false" ht="40.5" hidden="true" customHeight="true" outlineLevel="0" collapsed="false">
      <c r="A1165" s="181" t="s">
        <v>2725</v>
      </c>
      <c r="B1165" s="182" t="n">
        <v>2603</v>
      </c>
      <c r="C1165" s="183" t="n">
        <v>10424</v>
      </c>
      <c r="D1165" s="181" t="s">
        <v>2066</v>
      </c>
      <c r="E1165" s="181" t="s">
        <v>541</v>
      </c>
      <c r="F1165" s="181" t="s">
        <v>542</v>
      </c>
      <c r="G1165" s="181" t="s">
        <v>3329</v>
      </c>
      <c r="H1165" s="181" t="s">
        <v>279</v>
      </c>
      <c r="I1165" s="181" t="s">
        <v>241</v>
      </c>
      <c r="J1165" s="267"/>
      <c r="K1165" s="269" t="n">
        <v>45953</v>
      </c>
      <c r="L1165" s="267" t="n">
        <v>1.6</v>
      </c>
      <c r="M1165" s="184" t="s">
        <v>3329</v>
      </c>
      <c r="N1165" s="184" t="n">
        <v>40770</v>
      </c>
      <c r="O1165" s="184" t="n">
        <v>14910</v>
      </c>
      <c r="P1165" s="185" t="n">
        <v>22</v>
      </c>
      <c r="Q1165" s="184" t="n">
        <v>25860</v>
      </c>
      <c r="R1165" s="184" t="n">
        <v>20170.8</v>
      </c>
      <c r="S1165" s="184" t="s">
        <v>2726</v>
      </c>
      <c r="T1165" s="187" t="n">
        <v>45953</v>
      </c>
    </row>
    <row r="1166" customFormat="false" ht="40.5" hidden="true" customHeight="true" outlineLevel="0" collapsed="false">
      <c r="A1166" s="181" t="s">
        <v>2727</v>
      </c>
      <c r="B1166" s="182" t="n">
        <v>2604</v>
      </c>
      <c r="C1166" s="183" t="n">
        <v>100</v>
      </c>
      <c r="D1166" s="181" t="s">
        <v>2401</v>
      </c>
      <c r="E1166" s="181" t="s">
        <v>537</v>
      </c>
      <c r="F1166" s="181" t="s">
        <v>538</v>
      </c>
      <c r="G1166" s="181" t="s">
        <v>2728</v>
      </c>
      <c r="H1166" s="181" t="s">
        <v>279</v>
      </c>
      <c r="I1166" s="181" t="s">
        <v>242</v>
      </c>
      <c r="J1166" s="267"/>
      <c r="K1166" s="269" t="n">
        <v>45953</v>
      </c>
      <c r="L1166" s="267" t="n">
        <v>1</v>
      </c>
      <c r="M1166" s="184" t="s">
        <v>2728</v>
      </c>
      <c r="N1166" s="184" t="n">
        <v>35540</v>
      </c>
      <c r="O1166" s="184" t="n">
        <v>13860</v>
      </c>
      <c r="P1166" s="185" t="n">
        <v>18</v>
      </c>
      <c r="Q1166" s="184" t="n">
        <v>21680</v>
      </c>
      <c r="R1166" s="184" t="n">
        <v>17777.6</v>
      </c>
      <c r="S1166" s="184" t="s">
        <v>2729</v>
      </c>
      <c r="T1166" s="187" t="n">
        <v>45953</v>
      </c>
    </row>
    <row r="1167" customFormat="false" ht="40.5" hidden="true" customHeight="true" outlineLevel="0" collapsed="false">
      <c r="A1167" s="181" t="s">
        <v>2730</v>
      </c>
      <c r="B1167" s="182" t="n">
        <v>2605</v>
      </c>
      <c r="C1167" s="183" t="n">
        <v>10592</v>
      </c>
      <c r="D1167" s="181" t="s">
        <v>2066</v>
      </c>
      <c r="E1167" s="181" t="s">
        <v>282</v>
      </c>
      <c r="F1167" s="181" t="s">
        <v>283</v>
      </c>
      <c r="G1167" s="181" t="s">
        <v>3329</v>
      </c>
      <c r="H1167" s="181" t="s">
        <v>279</v>
      </c>
      <c r="I1167" s="181" t="s">
        <v>241</v>
      </c>
      <c r="J1167" s="267"/>
      <c r="K1167" s="269" t="n">
        <v>45953</v>
      </c>
      <c r="L1167" s="267" t="n">
        <v>1.6</v>
      </c>
      <c r="M1167" s="184" t="s">
        <v>3329</v>
      </c>
      <c r="N1167" s="184" t="n">
        <v>40040</v>
      </c>
      <c r="O1167" s="184" t="n">
        <v>15100</v>
      </c>
      <c r="P1167" s="185" t="n">
        <v>12</v>
      </c>
      <c r="Q1167" s="184" t="n">
        <v>24940</v>
      </c>
      <c r="R1167" s="184" t="n">
        <v>21947.2</v>
      </c>
      <c r="S1167" s="184" t="s">
        <v>2731</v>
      </c>
      <c r="T1167" s="187" t="n">
        <v>45953</v>
      </c>
    </row>
    <row r="1168" customFormat="false" ht="40.5" hidden="true" customHeight="true" outlineLevel="0" collapsed="false">
      <c r="A1168" s="181" t="s">
        <v>2736</v>
      </c>
      <c r="B1168" s="182" t="n">
        <v>2606</v>
      </c>
      <c r="C1168" s="183" t="n">
        <v>10643</v>
      </c>
      <c r="D1168" s="181" t="s">
        <v>2066</v>
      </c>
      <c r="E1168" s="181" t="s">
        <v>266</v>
      </c>
      <c r="F1168" s="181" t="s">
        <v>267</v>
      </c>
      <c r="G1168" s="181" t="s">
        <v>3329</v>
      </c>
      <c r="H1168" s="181" t="s">
        <v>279</v>
      </c>
      <c r="I1168" s="181" t="s">
        <v>241</v>
      </c>
      <c r="J1168" s="267"/>
      <c r="K1168" s="269" t="n">
        <v>45953</v>
      </c>
      <c r="L1168" s="267" t="n">
        <v>1.5</v>
      </c>
      <c r="M1168" s="184" t="s">
        <v>3329</v>
      </c>
      <c r="N1168" s="184" t="n">
        <v>39190</v>
      </c>
      <c r="O1168" s="184" t="n">
        <v>15080</v>
      </c>
      <c r="P1168" s="185" t="n">
        <v>26</v>
      </c>
      <c r="Q1168" s="184" t="n">
        <v>24110</v>
      </c>
      <c r="R1168" s="184" t="n">
        <v>17841.4</v>
      </c>
      <c r="S1168" s="184" t="s">
        <v>2737</v>
      </c>
      <c r="T1168" s="187" t="n">
        <v>45954</v>
      </c>
    </row>
    <row r="1169" customFormat="false" ht="40.5" hidden="true" customHeight="true" outlineLevel="0" collapsed="false">
      <c r="A1169" s="181" t="s">
        <v>2738</v>
      </c>
      <c r="B1169" s="182" t="n">
        <v>2607</v>
      </c>
      <c r="C1169" s="183" t="n">
        <v>10653</v>
      </c>
      <c r="D1169" s="181" t="s">
        <v>2066</v>
      </c>
      <c r="E1169" s="181" t="s">
        <v>399</v>
      </c>
      <c r="F1169" s="181" t="s">
        <v>400</v>
      </c>
      <c r="G1169" s="181" t="s">
        <v>3329</v>
      </c>
      <c r="H1169" s="181" t="s">
        <v>279</v>
      </c>
      <c r="I1169" s="181" t="s">
        <v>241</v>
      </c>
      <c r="J1169" s="267"/>
      <c r="K1169" s="269" t="n">
        <v>45953</v>
      </c>
      <c r="L1169" s="267" t="n">
        <v>0.9</v>
      </c>
      <c r="M1169" s="184" t="s">
        <v>3329</v>
      </c>
      <c r="N1169" s="184" t="n">
        <v>35510</v>
      </c>
      <c r="O1169" s="184" t="n">
        <v>19560</v>
      </c>
      <c r="P1169" s="185" t="n">
        <v>16</v>
      </c>
      <c r="Q1169" s="184" t="n">
        <v>15950</v>
      </c>
      <c r="R1169" s="184" t="n">
        <v>13398</v>
      </c>
      <c r="S1169" s="184" t="s">
        <v>2739</v>
      </c>
      <c r="T1169" s="187" t="n">
        <v>45954</v>
      </c>
    </row>
    <row r="1170" customFormat="false" ht="40.5" hidden="true" customHeight="true" outlineLevel="0" collapsed="false">
      <c r="A1170" s="181" t="s">
        <v>2740</v>
      </c>
      <c r="B1170" s="182" t="n">
        <v>2613</v>
      </c>
      <c r="C1170" s="183" t="n">
        <v>10630</v>
      </c>
      <c r="D1170" s="181" t="s">
        <v>2066</v>
      </c>
      <c r="E1170" s="181" t="s">
        <v>1510</v>
      </c>
      <c r="F1170" s="181" t="s">
        <v>1511</v>
      </c>
      <c r="G1170" s="181" t="s">
        <v>3334</v>
      </c>
      <c r="H1170" s="181" t="s">
        <v>158</v>
      </c>
      <c r="I1170" s="181" t="s">
        <v>241</v>
      </c>
      <c r="J1170" s="267"/>
      <c r="K1170" s="269" t="n">
        <v>45953</v>
      </c>
      <c r="L1170" s="267" t="n">
        <v>1</v>
      </c>
      <c r="M1170" s="184" t="s">
        <v>3334</v>
      </c>
      <c r="N1170" s="184" t="n">
        <v>25770</v>
      </c>
      <c r="O1170" s="184" t="n">
        <v>14250</v>
      </c>
      <c r="P1170" s="185" t="n">
        <v>24</v>
      </c>
      <c r="Q1170" s="184" t="n">
        <v>11520</v>
      </c>
      <c r="R1170" s="184" t="n">
        <v>8755.2</v>
      </c>
      <c r="S1170" s="184" t="s">
        <v>2741</v>
      </c>
      <c r="T1170" s="187" t="n">
        <v>45954</v>
      </c>
    </row>
    <row r="1171" customFormat="false" ht="40.5" hidden="true" customHeight="true" outlineLevel="0" collapsed="false">
      <c r="A1171" s="181" t="s">
        <v>2742</v>
      </c>
      <c r="B1171" s="182" t="n">
        <v>2614</v>
      </c>
      <c r="C1171" s="183" t="n">
        <v>104</v>
      </c>
      <c r="D1171" s="181" t="s">
        <v>2401</v>
      </c>
      <c r="E1171" s="181" t="s">
        <v>261</v>
      </c>
      <c r="F1171" s="181" t="s">
        <v>262</v>
      </c>
      <c r="G1171" s="181" t="s">
        <v>144</v>
      </c>
      <c r="H1171" s="181" t="s">
        <v>279</v>
      </c>
      <c r="I1171" s="181" t="s">
        <v>242</v>
      </c>
      <c r="J1171" s="267"/>
      <c r="K1171" s="269" t="n">
        <v>45954</v>
      </c>
      <c r="L1171" s="267" t="n">
        <v>1.5</v>
      </c>
      <c r="M1171" s="184" t="s">
        <v>144</v>
      </c>
      <c r="N1171" s="184" t="n">
        <v>39360</v>
      </c>
      <c r="O1171" s="184" t="n">
        <v>15280</v>
      </c>
      <c r="P1171" s="185" t="n">
        <v>6</v>
      </c>
      <c r="Q1171" s="184" t="n">
        <v>24080</v>
      </c>
      <c r="R1171" s="184" t="n">
        <v>22635.2</v>
      </c>
      <c r="S1171" s="184" t="s">
        <v>2743</v>
      </c>
      <c r="T1171" s="187" t="n">
        <v>45954</v>
      </c>
    </row>
    <row r="1172" customFormat="false" ht="40.5" hidden="true" customHeight="true" outlineLevel="0" collapsed="false">
      <c r="A1172" s="181" t="s">
        <v>2744</v>
      </c>
      <c r="B1172" s="182" t="n">
        <v>2615</v>
      </c>
      <c r="C1172" s="183" t="n">
        <v>107</v>
      </c>
      <c r="D1172" s="181" t="s">
        <v>2401</v>
      </c>
      <c r="E1172" s="181" t="s">
        <v>304</v>
      </c>
      <c r="F1172" s="181" t="s">
        <v>305</v>
      </c>
      <c r="G1172" s="181" t="s">
        <v>144</v>
      </c>
      <c r="H1172" s="181" t="s">
        <v>279</v>
      </c>
      <c r="I1172" s="181" t="s">
        <v>242</v>
      </c>
      <c r="J1172" s="267"/>
      <c r="K1172" s="269" t="n">
        <v>45954</v>
      </c>
      <c r="L1172" s="267" t="n">
        <v>1.5</v>
      </c>
      <c r="M1172" s="184" t="s">
        <v>144</v>
      </c>
      <c r="N1172" s="184" t="n">
        <v>39860</v>
      </c>
      <c r="O1172" s="184" t="n">
        <v>15190</v>
      </c>
      <c r="P1172" s="185" t="n">
        <v>7</v>
      </c>
      <c r="Q1172" s="184" t="n">
        <v>24670</v>
      </c>
      <c r="R1172" s="184" t="n">
        <v>22943.1</v>
      </c>
      <c r="S1172" s="184" t="s">
        <v>2745</v>
      </c>
      <c r="T1172" s="187" t="n">
        <v>45954</v>
      </c>
    </row>
    <row r="1173" customFormat="false" ht="40.5" hidden="true" customHeight="true" outlineLevel="0" collapsed="false">
      <c r="A1173" s="181" t="s">
        <v>2746</v>
      </c>
      <c r="B1173" s="182" t="n">
        <v>2617</v>
      </c>
      <c r="C1173" s="183" t="n">
        <v>105</v>
      </c>
      <c r="D1173" s="181" t="s">
        <v>2401</v>
      </c>
      <c r="E1173" s="181" t="s">
        <v>391</v>
      </c>
      <c r="F1173" s="181" t="s">
        <v>392</v>
      </c>
      <c r="G1173" s="181" t="s">
        <v>144</v>
      </c>
      <c r="H1173" s="181" t="s">
        <v>279</v>
      </c>
      <c r="I1173" s="181" t="s">
        <v>242</v>
      </c>
      <c r="J1173" s="267"/>
      <c r="K1173" s="269" t="n">
        <v>45954</v>
      </c>
      <c r="L1173" s="267" t="n">
        <v>1.3</v>
      </c>
      <c r="M1173" s="184" t="s">
        <v>144</v>
      </c>
      <c r="N1173" s="184" t="n">
        <v>35770</v>
      </c>
      <c r="O1173" s="184" t="n">
        <v>14630</v>
      </c>
      <c r="P1173" s="185" t="n">
        <v>7</v>
      </c>
      <c r="Q1173" s="184" t="n">
        <v>21140</v>
      </c>
      <c r="R1173" s="184" t="n">
        <v>19660.2</v>
      </c>
      <c r="S1173" s="184" t="s">
        <v>2747</v>
      </c>
      <c r="T1173" s="187" t="n">
        <v>45954</v>
      </c>
    </row>
    <row r="1174" customFormat="false" ht="40.5" hidden="true" customHeight="true" outlineLevel="0" collapsed="false">
      <c r="A1174" s="181" t="s">
        <v>2748</v>
      </c>
      <c r="B1174" s="182" t="n">
        <v>2618</v>
      </c>
      <c r="C1174" s="183" t="n">
        <v>102</v>
      </c>
      <c r="D1174" s="181" t="s">
        <v>2401</v>
      </c>
      <c r="E1174" s="181" t="s">
        <v>377</v>
      </c>
      <c r="F1174" s="181" t="s">
        <v>378</v>
      </c>
      <c r="G1174" s="181" t="s">
        <v>144</v>
      </c>
      <c r="H1174" s="181" t="s">
        <v>279</v>
      </c>
      <c r="I1174" s="181" t="s">
        <v>242</v>
      </c>
      <c r="J1174" s="267"/>
      <c r="K1174" s="269" t="n">
        <v>45954</v>
      </c>
      <c r="L1174" s="267" t="n">
        <v>2</v>
      </c>
      <c r="M1174" s="184" t="s">
        <v>144</v>
      </c>
      <c r="N1174" s="184" t="n">
        <v>47420</v>
      </c>
      <c r="O1174" s="184" t="n">
        <v>15920</v>
      </c>
      <c r="P1174" s="185" t="n">
        <v>7</v>
      </c>
      <c r="Q1174" s="184" t="n">
        <v>31500</v>
      </c>
      <c r="R1174" s="184" t="n">
        <v>29295</v>
      </c>
      <c r="S1174" s="184" t="s">
        <v>2749</v>
      </c>
      <c r="T1174" s="187" t="n">
        <v>45954</v>
      </c>
    </row>
    <row r="1175" customFormat="false" ht="40.5" hidden="true" customHeight="true" outlineLevel="0" collapsed="false">
      <c r="A1175" s="181" t="s">
        <v>2752</v>
      </c>
      <c r="B1175" s="182" t="n">
        <v>2620</v>
      </c>
      <c r="C1175" s="183" t="n">
        <v>109</v>
      </c>
      <c r="D1175" s="181" t="s">
        <v>2401</v>
      </c>
      <c r="E1175" s="181" t="s">
        <v>383</v>
      </c>
      <c r="F1175" s="181" t="s">
        <v>384</v>
      </c>
      <c r="G1175" s="181" t="s">
        <v>144</v>
      </c>
      <c r="H1175" s="181" t="s">
        <v>279</v>
      </c>
      <c r="I1175" s="181" t="s">
        <v>242</v>
      </c>
      <c r="J1175" s="267"/>
      <c r="K1175" s="269" t="n">
        <v>45954</v>
      </c>
      <c r="L1175" s="267" t="n">
        <v>1.7</v>
      </c>
      <c r="M1175" s="184" t="s">
        <v>144</v>
      </c>
      <c r="N1175" s="184" t="n">
        <v>42450</v>
      </c>
      <c r="O1175" s="184" t="n">
        <v>15120</v>
      </c>
      <c r="P1175" s="185" t="n">
        <v>8</v>
      </c>
      <c r="Q1175" s="184" t="n">
        <v>27330</v>
      </c>
      <c r="R1175" s="184" t="n">
        <v>25143.6</v>
      </c>
      <c r="S1175" s="184" t="s">
        <v>2753</v>
      </c>
      <c r="T1175" s="187" t="n">
        <v>45954</v>
      </c>
    </row>
    <row r="1176" customFormat="false" ht="40.5" hidden="true" customHeight="true" outlineLevel="0" collapsed="false">
      <c r="A1176" s="181" t="s">
        <v>2758</v>
      </c>
      <c r="B1176" s="182" t="n">
        <v>2621</v>
      </c>
      <c r="C1176" s="183" t="n">
        <v>108</v>
      </c>
      <c r="D1176" s="181" t="s">
        <v>2401</v>
      </c>
      <c r="E1176" s="181" t="s">
        <v>435</v>
      </c>
      <c r="F1176" s="181" t="s">
        <v>436</v>
      </c>
      <c r="G1176" s="181" t="s">
        <v>144</v>
      </c>
      <c r="H1176" s="181" t="s">
        <v>279</v>
      </c>
      <c r="I1176" s="181" t="s">
        <v>242</v>
      </c>
      <c r="J1176" s="267"/>
      <c r="K1176" s="269" t="n">
        <v>45954</v>
      </c>
      <c r="L1176" s="267" t="n">
        <v>1.6</v>
      </c>
      <c r="M1176" s="184" t="s">
        <v>144</v>
      </c>
      <c r="N1176" s="184" t="n">
        <v>42930</v>
      </c>
      <c r="O1176" s="184" t="n">
        <v>16560</v>
      </c>
      <c r="P1176" s="185" t="n">
        <v>9</v>
      </c>
      <c r="Q1176" s="184" t="n">
        <v>26370</v>
      </c>
      <c r="R1176" s="184" t="n">
        <v>23996.7</v>
      </c>
      <c r="S1176" s="184" t="s">
        <v>2759</v>
      </c>
      <c r="T1176" s="187" t="n">
        <v>45954</v>
      </c>
    </row>
    <row r="1177" customFormat="false" ht="40.5" hidden="true" customHeight="true" outlineLevel="0" collapsed="false">
      <c r="A1177" s="181" t="s">
        <v>2750</v>
      </c>
      <c r="B1177" s="182" t="n">
        <v>2623</v>
      </c>
      <c r="C1177" s="183" t="n">
        <v>110</v>
      </c>
      <c r="D1177" s="181" t="s">
        <v>2401</v>
      </c>
      <c r="E1177" s="181" t="s">
        <v>387</v>
      </c>
      <c r="F1177" s="181" t="s">
        <v>388</v>
      </c>
      <c r="G1177" s="181" t="s">
        <v>144</v>
      </c>
      <c r="H1177" s="181" t="s">
        <v>279</v>
      </c>
      <c r="I1177" s="181" t="s">
        <v>242</v>
      </c>
      <c r="J1177" s="267"/>
      <c r="K1177" s="269" t="n">
        <v>45954</v>
      </c>
      <c r="L1177" s="267" t="n">
        <v>1.8</v>
      </c>
      <c r="M1177" s="184" t="s">
        <v>144</v>
      </c>
      <c r="N1177" s="184" t="n">
        <v>43580</v>
      </c>
      <c r="O1177" s="184" t="n">
        <v>15320</v>
      </c>
      <c r="P1177" s="185" t="n">
        <v>5</v>
      </c>
      <c r="Q1177" s="184" t="n">
        <v>28260</v>
      </c>
      <c r="R1177" s="184" t="n">
        <v>26847</v>
      </c>
      <c r="S1177" s="184" t="s">
        <v>2751</v>
      </c>
      <c r="T1177" s="187" t="n">
        <v>45954</v>
      </c>
    </row>
    <row r="1178" customFormat="false" ht="40.5" hidden="true" customHeight="true" outlineLevel="0" collapsed="false">
      <c r="A1178" s="181" t="s">
        <v>2754</v>
      </c>
      <c r="B1178" s="182" t="n">
        <v>2624</v>
      </c>
      <c r="C1178" s="183" t="n">
        <v>111</v>
      </c>
      <c r="D1178" s="181" t="s">
        <v>2401</v>
      </c>
      <c r="E1178" s="181" t="s">
        <v>350</v>
      </c>
      <c r="F1178" s="181" t="s">
        <v>351</v>
      </c>
      <c r="G1178" s="181" t="s">
        <v>144</v>
      </c>
      <c r="H1178" s="181" t="s">
        <v>279</v>
      </c>
      <c r="I1178" s="181" t="s">
        <v>242</v>
      </c>
      <c r="J1178" s="267"/>
      <c r="K1178" s="269" t="n">
        <v>45954</v>
      </c>
      <c r="L1178" s="267" t="n">
        <v>1.9</v>
      </c>
      <c r="M1178" s="184" t="s">
        <v>144</v>
      </c>
      <c r="N1178" s="184" t="n">
        <v>45360</v>
      </c>
      <c r="O1178" s="184" t="n">
        <v>15180</v>
      </c>
      <c r="P1178" s="185" t="n">
        <v>6</v>
      </c>
      <c r="Q1178" s="184" t="n">
        <v>30180</v>
      </c>
      <c r="R1178" s="184" t="n">
        <v>28369.2</v>
      </c>
      <c r="S1178" s="184" t="s">
        <v>2755</v>
      </c>
      <c r="T1178" s="187" t="n">
        <v>45954</v>
      </c>
    </row>
    <row r="1179" customFormat="false" ht="40.5" hidden="true" customHeight="true" outlineLevel="0" collapsed="false">
      <c r="A1179" s="181" t="s">
        <v>2756</v>
      </c>
      <c r="B1179" s="182" t="n">
        <v>2625</v>
      </c>
      <c r="C1179" s="183" t="n">
        <v>106</v>
      </c>
      <c r="D1179" s="181" t="s">
        <v>2401</v>
      </c>
      <c r="E1179" s="181" t="s">
        <v>308</v>
      </c>
      <c r="F1179" s="181" t="s">
        <v>309</v>
      </c>
      <c r="G1179" s="181" t="s">
        <v>144</v>
      </c>
      <c r="H1179" s="181" t="s">
        <v>279</v>
      </c>
      <c r="I1179" s="181" t="s">
        <v>242</v>
      </c>
      <c r="J1179" s="267"/>
      <c r="K1179" s="269" t="n">
        <v>45954</v>
      </c>
      <c r="L1179" s="267" t="n">
        <v>2.6</v>
      </c>
      <c r="M1179" s="184" t="s">
        <v>144</v>
      </c>
      <c r="N1179" s="184" t="n">
        <v>65370</v>
      </c>
      <c r="O1179" s="184" t="n">
        <v>24190</v>
      </c>
      <c r="P1179" s="185" t="n">
        <v>10</v>
      </c>
      <c r="Q1179" s="184" t="n">
        <v>41180</v>
      </c>
      <c r="R1179" s="184" t="n">
        <v>37062</v>
      </c>
      <c r="S1179" s="184" t="s">
        <v>2757</v>
      </c>
      <c r="T1179" s="187" t="n">
        <v>45954</v>
      </c>
    </row>
    <row r="1180" customFormat="false" ht="40.5" hidden="true" customHeight="true" outlineLevel="0" collapsed="false">
      <c r="A1180" s="181" t="s">
        <v>2760</v>
      </c>
      <c r="B1180" s="182" t="n">
        <v>2626</v>
      </c>
      <c r="C1180" s="183" t="n">
        <v>112</v>
      </c>
      <c r="D1180" s="181" t="s">
        <v>2401</v>
      </c>
      <c r="E1180" s="181" t="s">
        <v>373</v>
      </c>
      <c r="F1180" s="181" t="s">
        <v>374</v>
      </c>
      <c r="G1180" s="181" t="s">
        <v>144</v>
      </c>
      <c r="H1180" s="181" t="s">
        <v>279</v>
      </c>
      <c r="I1180" s="181" t="s">
        <v>242</v>
      </c>
      <c r="J1180" s="267"/>
      <c r="K1180" s="269" t="n">
        <v>45954</v>
      </c>
      <c r="L1180" s="267" t="n">
        <v>1.8</v>
      </c>
      <c r="M1180" s="184" t="s">
        <v>144</v>
      </c>
      <c r="N1180" s="184" t="n">
        <v>43030</v>
      </c>
      <c r="O1180" s="184" t="n">
        <v>14520</v>
      </c>
      <c r="P1180" s="185" t="n">
        <v>13</v>
      </c>
      <c r="Q1180" s="184" t="n">
        <v>28510</v>
      </c>
      <c r="R1180" s="184" t="n">
        <v>24803.7</v>
      </c>
      <c r="S1180" s="184" t="s">
        <v>2761</v>
      </c>
      <c r="T1180" s="187" t="n">
        <v>45954</v>
      </c>
    </row>
    <row r="1181" customFormat="false" ht="40.5" hidden="true" customHeight="true" outlineLevel="0" collapsed="false">
      <c r="A1181" s="181" t="s">
        <v>2762</v>
      </c>
      <c r="B1181" s="182" t="n">
        <v>2629</v>
      </c>
      <c r="C1181" s="183" t="n">
        <v>115</v>
      </c>
      <c r="D1181" s="181" t="s">
        <v>2401</v>
      </c>
      <c r="E1181" s="181" t="s">
        <v>354</v>
      </c>
      <c r="F1181" s="181" t="s">
        <v>355</v>
      </c>
      <c r="G1181" s="181" t="s">
        <v>144</v>
      </c>
      <c r="H1181" s="181" t="s">
        <v>279</v>
      </c>
      <c r="I1181" s="181" t="s">
        <v>242</v>
      </c>
      <c r="J1181" s="267"/>
      <c r="K1181" s="269" t="n">
        <v>45954</v>
      </c>
      <c r="L1181" s="267" t="n">
        <v>1.5</v>
      </c>
      <c r="M1181" s="184" t="s">
        <v>144</v>
      </c>
      <c r="N1181" s="184" t="n">
        <v>39760</v>
      </c>
      <c r="O1181" s="184" t="n">
        <v>14960</v>
      </c>
      <c r="P1181" s="185" t="n">
        <v>8</v>
      </c>
      <c r="Q1181" s="184" t="n">
        <v>24800</v>
      </c>
      <c r="R1181" s="184" t="n">
        <v>22816</v>
      </c>
      <c r="S1181" s="184" t="s">
        <v>2763</v>
      </c>
      <c r="T1181" s="187" t="n">
        <v>45955</v>
      </c>
    </row>
    <row r="1182" customFormat="false" ht="40.5" hidden="true" customHeight="true" outlineLevel="0" collapsed="false">
      <c r="A1182" s="181" t="s">
        <v>2764</v>
      </c>
      <c r="B1182" s="182" t="n">
        <v>2630</v>
      </c>
      <c r="C1182" s="183" t="n">
        <v>114</v>
      </c>
      <c r="D1182" s="181" t="s">
        <v>2401</v>
      </c>
      <c r="E1182" s="181" t="s">
        <v>413</v>
      </c>
      <c r="F1182" s="181" t="s">
        <v>414</v>
      </c>
      <c r="G1182" s="181" t="s">
        <v>144</v>
      </c>
      <c r="H1182" s="181" t="s">
        <v>279</v>
      </c>
      <c r="I1182" s="181" t="s">
        <v>242</v>
      </c>
      <c r="J1182" s="267"/>
      <c r="K1182" s="269" t="n">
        <v>45954</v>
      </c>
      <c r="L1182" s="267" t="n">
        <v>2</v>
      </c>
      <c r="M1182" s="184" t="s">
        <v>144</v>
      </c>
      <c r="N1182" s="184" t="n">
        <v>48380</v>
      </c>
      <c r="O1182" s="184" t="n">
        <v>16100</v>
      </c>
      <c r="P1182" s="185" t="n">
        <v>5</v>
      </c>
      <c r="Q1182" s="184" t="n">
        <v>32280</v>
      </c>
      <c r="R1182" s="184" t="n">
        <v>30666</v>
      </c>
      <c r="S1182" s="184" t="s">
        <v>2765</v>
      </c>
      <c r="T1182" s="187" t="n">
        <v>45955</v>
      </c>
    </row>
    <row r="1183" customFormat="false" ht="40.5" hidden="true" customHeight="true" outlineLevel="0" collapsed="false">
      <c r="A1183" s="181" t="s">
        <v>2766</v>
      </c>
      <c r="B1183" s="182" t="n">
        <v>2631</v>
      </c>
      <c r="C1183" s="183" t="n">
        <v>103</v>
      </c>
      <c r="D1183" s="181" t="s">
        <v>2401</v>
      </c>
      <c r="E1183" s="181" t="s">
        <v>300</v>
      </c>
      <c r="F1183" s="181" t="s">
        <v>301</v>
      </c>
      <c r="G1183" s="181" t="s">
        <v>144</v>
      </c>
      <c r="H1183" s="181" t="s">
        <v>279</v>
      </c>
      <c r="I1183" s="181" t="s">
        <v>242</v>
      </c>
      <c r="J1183" s="267"/>
      <c r="K1183" s="269" t="n">
        <v>45954</v>
      </c>
      <c r="L1183" s="267" t="n">
        <v>2.7</v>
      </c>
      <c r="M1183" s="184" t="s">
        <v>144</v>
      </c>
      <c r="N1183" s="184" t="n">
        <v>65510</v>
      </c>
      <c r="O1183" s="184" t="n">
        <v>21340</v>
      </c>
      <c r="P1183" s="185" t="n">
        <v>9</v>
      </c>
      <c r="Q1183" s="184" t="n">
        <v>44170</v>
      </c>
      <c r="R1183" s="184" t="n">
        <v>40194.7</v>
      </c>
      <c r="S1183" s="184" t="s">
        <v>2767</v>
      </c>
      <c r="T1183" s="187" t="n">
        <v>45955</v>
      </c>
    </row>
    <row r="1184" customFormat="false" ht="40.5" hidden="true" customHeight="true" outlineLevel="0" collapsed="false">
      <c r="A1184" s="181" t="s">
        <v>2768</v>
      </c>
      <c r="B1184" s="182" t="n">
        <v>2632</v>
      </c>
      <c r="C1184" s="183" t="n">
        <v>116</v>
      </c>
      <c r="D1184" s="181" t="s">
        <v>2401</v>
      </c>
      <c r="E1184" s="181" t="s">
        <v>359</v>
      </c>
      <c r="F1184" s="181" t="s">
        <v>360</v>
      </c>
      <c r="G1184" s="181" t="s">
        <v>2402</v>
      </c>
      <c r="H1184" s="181" t="s">
        <v>279</v>
      </c>
      <c r="I1184" s="181" t="s">
        <v>242</v>
      </c>
      <c r="J1184" s="267"/>
      <c r="K1184" s="269" t="n">
        <v>45954</v>
      </c>
      <c r="L1184" s="267" t="n">
        <v>1</v>
      </c>
      <c r="M1184" s="184" t="s">
        <v>2402</v>
      </c>
      <c r="N1184" s="184" t="n">
        <v>36960</v>
      </c>
      <c r="O1184" s="184" t="n">
        <v>15100</v>
      </c>
      <c r="P1184" s="185" t="n">
        <v>36</v>
      </c>
      <c r="Q1184" s="184" t="n">
        <v>21860</v>
      </c>
      <c r="R1184" s="184" t="n">
        <v>13990.4</v>
      </c>
      <c r="S1184" s="184" t="s">
        <v>2769</v>
      </c>
      <c r="T1184" s="187" t="n">
        <v>45955</v>
      </c>
    </row>
    <row r="1185" customFormat="false" ht="40.5" hidden="true" customHeight="true" outlineLevel="0" collapsed="false">
      <c r="A1185" s="181" t="s">
        <v>2770</v>
      </c>
      <c r="B1185" s="182" t="n">
        <v>2633</v>
      </c>
      <c r="C1185" s="183" t="n">
        <v>113</v>
      </c>
      <c r="D1185" s="181" t="s">
        <v>2401</v>
      </c>
      <c r="E1185" s="181" t="s">
        <v>409</v>
      </c>
      <c r="F1185" s="181" t="s">
        <v>410</v>
      </c>
      <c r="G1185" s="181" t="s">
        <v>2402</v>
      </c>
      <c r="H1185" s="181" t="s">
        <v>279</v>
      </c>
      <c r="I1185" s="181" t="s">
        <v>242</v>
      </c>
      <c r="J1185" s="267"/>
      <c r="K1185" s="269" t="n">
        <v>45954</v>
      </c>
      <c r="L1185" s="267" t="n">
        <v>1.9</v>
      </c>
      <c r="M1185" s="184" t="s">
        <v>2402</v>
      </c>
      <c r="N1185" s="184" t="n">
        <v>65120</v>
      </c>
      <c r="O1185" s="184" t="n">
        <v>24710</v>
      </c>
      <c r="P1185" s="185" t="n">
        <v>20</v>
      </c>
      <c r="Q1185" s="184" t="n">
        <v>40410</v>
      </c>
      <c r="R1185" s="184" t="n">
        <v>32328</v>
      </c>
      <c r="S1185" s="184" t="s">
        <v>2771</v>
      </c>
      <c r="T1185" s="187" t="n">
        <v>45955</v>
      </c>
    </row>
    <row r="1186" customFormat="false" ht="40.5" hidden="true" customHeight="true" outlineLevel="0" collapsed="false">
      <c r="A1186" s="181" t="s">
        <v>2772</v>
      </c>
      <c r="B1186" s="182" t="n">
        <v>2634</v>
      </c>
      <c r="C1186" s="183" t="n">
        <v>117</v>
      </c>
      <c r="D1186" s="181" t="s">
        <v>2401</v>
      </c>
      <c r="E1186" s="181" t="s">
        <v>332</v>
      </c>
      <c r="F1186" s="181" t="s">
        <v>333</v>
      </c>
      <c r="G1186" s="181" t="s">
        <v>2402</v>
      </c>
      <c r="H1186" s="181" t="s">
        <v>279</v>
      </c>
      <c r="I1186" s="181" t="s">
        <v>242</v>
      </c>
      <c r="J1186" s="267"/>
      <c r="K1186" s="269" t="n">
        <v>45954</v>
      </c>
      <c r="L1186" s="267" t="n">
        <v>1.2</v>
      </c>
      <c r="M1186" s="184" t="s">
        <v>2402</v>
      </c>
      <c r="N1186" s="184" t="n">
        <v>40430</v>
      </c>
      <c r="O1186" s="184" t="n">
        <v>14910</v>
      </c>
      <c r="P1186" s="185" t="n">
        <v>15</v>
      </c>
      <c r="Q1186" s="184" t="n">
        <v>25520</v>
      </c>
      <c r="R1186" s="184" t="n">
        <v>21692</v>
      </c>
      <c r="S1186" s="184" t="s">
        <v>2773</v>
      </c>
      <c r="T1186" s="187" t="n">
        <v>45955</v>
      </c>
    </row>
    <row r="1187" customFormat="false" ht="40.5" hidden="true" customHeight="true" outlineLevel="0" collapsed="false">
      <c r="A1187" s="181" t="s">
        <v>2774</v>
      </c>
      <c r="B1187" s="182" t="n">
        <v>2635</v>
      </c>
      <c r="C1187" s="183" t="n">
        <v>118</v>
      </c>
      <c r="D1187" s="181" t="s">
        <v>2401</v>
      </c>
      <c r="E1187" s="181" t="s">
        <v>288</v>
      </c>
      <c r="F1187" s="181" t="s">
        <v>289</v>
      </c>
      <c r="G1187" s="181" t="s">
        <v>2402</v>
      </c>
      <c r="H1187" s="181" t="s">
        <v>279</v>
      </c>
      <c r="I1187" s="181" t="s">
        <v>242</v>
      </c>
      <c r="J1187" s="267"/>
      <c r="K1187" s="269" t="n">
        <v>45954</v>
      </c>
      <c r="L1187" s="267" t="n">
        <v>1</v>
      </c>
      <c r="M1187" s="184" t="s">
        <v>2402</v>
      </c>
      <c r="N1187" s="184" t="n">
        <v>36670</v>
      </c>
      <c r="O1187" s="184" t="n">
        <v>14860</v>
      </c>
      <c r="P1187" s="185" t="n">
        <v>27</v>
      </c>
      <c r="Q1187" s="184" t="n">
        <v>21810</v>
      </c>
      <c r="R1187" s="184" t="n">
        <v>15921.3</v>
      </c>
      <c r="S1187" s="184" t="s">
        <v>2775</v>
      </c>
      <c r="T1187" s="187" t="n">
        <v>45955</v>
      </c>
    </row>
    <row r="1188" customFormat="false" ht="40.5" hidden="true" customHeight="true" outlineLevel="0" collapsed="false">
      <c r="A1188" s="181" t="s">
        <v>2776</v>
      </c>
      <c r="B1188" s="182" t="n">
        <v>2636</v>
      </c>
      <c r="C1188" s="183" t="n">
        <v>119</v>
      </c>
      <c r="D1188" s="181" t="s">
        <v>2401</v>
      </c>
      <c r="E1188" s="181" t="s">
        <v>549</v>
      </c>
      <c r="F1188" s="181" t="s">
        <v>550</v>
      </c>
      <c r="G1188" s="181" t="s">
        <v>2402</v>
      </c>
      <c r="H1188" s="181" t="s">
        <v>279</v>
      </c>
      <c r="I1188" s="181" t="s">
        <v>242</v>
      </c>
      <c r="J1188" s="267"/>
      <c r="K1188" s="269" t="n">
        <v>45954</v>
      </c>
      <c r="L1188" s="267" t="n">
        <v>1.2</v>
      </c>
      <c r="M1188" s="184" t="s">
        <v>2402</v>
      </c>
      <c r="N1188" s="184" t="n">
        <v>41660</v>
      </c>
      <c r="O1188" s="184" t="n">
        <v>15900</v>
      </c>
      <c r="P1188" s="185" t="n">
        <v>9</v>
      </c>
      <c r="Q1188" s="184" t="n">
        <v>25760</v>
      </c>
      <c r="R1188" s="184" t="n">
        <v>23441.6</v>
      </c>
      <c r="S1188" s="184" t="s">
        <v>2777</v>
      </c>
      <c r="T1188" s="187" t="n">
        <v>45955</v>
      </c>
    </row>
    <row r="1189" customFormat="false" ht="40.5" hidden="true" customHeight="true" outlineLevel="0" collapsed="false">
      <c r="A1189" s="181" t="s">
        <v>2778</v>
      </c>
      <c r="B1189" s="182" t="n">
        <v>2637</v>
      </c>
      <c r="C1189" s="183" t="n">
        <v>120</v>
      </c>
      <c r="D1189" s="181" t="s">
        <v>2401</v>
      </c>
      <c r="E1189" s="181" t="s">
        <v>367</v>
      </c>
      <c r="F1189" s="181" t="s">
        <v>368</v>
      </c>
      <c r="G1189" s="181" t="s">
        <v>2402</v>
      </c>
      <c r="H1189" s="181" t="s">
        <v>279</v>
      </c>
      <c r="I1189" s="181" t="s">
        <v>242</v>
      </c>
      <c r="J1189" s="267"/>
      <c r="K1189" s="269" t="n">
        <v>45954</v>
      </c>
      <c r="L1189" s="267" t="n">
        <v>1.3</v>
      </c>
      <c r="M1189" s="184" t="s">
        <v>2402</v>
      </c>
      <c r="N1189" s="184" t="n">
        <v>47570</v>
      </c>
      <c r="O1189" s="184" t="n">
        <v>18960</v>
      </c>
      <c r="P1189" s="185" t="n">
        <v>13</v>
      </c>
      <c r="Q1189" s="184" t="n">
        <v>28610</v>
      </c>
      <c r="R1189" s="184" t="n">
        <v>24890.7</v>
      </c>
      <c r="S1189" s="184" t="s">
        <v>2779</v>
      </c>
      <c r="T1189" s="187" t="n">
        <v>45955</v>
      </c>
    </row>
    <row r="1190" customFormat="false" ht="40.5" hidden="true" customHeight="true" outlineLevel="0" collapsed="false">
      <c r="A1190" s="181" t="s">
        <v>2780</v>
      </c>
      <c r="B1190" s="182" t="n">
        <v>2638</v>
      </c>
      <c r="C1190" s="183" t="n">
        <v>122</v>
      </c>
      <c r="D1190" s="181" t="s">
        <v>2401</v>
      </c>
      <c r="E1190" s="181" t="s">
        <v>292</v>
      </c>
      <c r="F1190" s="181" t="s">
        <v>293</v>
      </c>
      <c r="G1190" s="181" t="s">
        <v>2402</v>
      </c>
      <c r="H1190" s="181" t="s">
        <v>279</v>
      </c>
      <c r="I1190" s="181" t="s">
        <v>242</v>
      </c>
      <c r="J1190" s="267"/>
      <c r="K1190" s="269" t="n">
        <v>45954</v>
      </c>
      <c r="L1190" s="267" t="n">
        <v>1</v>
      </c>
      <c r="M1190" s="184" t="s">
        <v>2402</v>
      </c>
      <c r="N1190" s="184" t="n">
        <v>35900</v>
      </c>
      <c r="O1190" s="184" t="n">
        <v>14090</v>
      </c>
      <c r="P1190" s="185" t="n">
        <v>9</v>
      </c>
      <c r="Q1190" s="184" t="n">
        <v>21810</v>
      </c>
      <c r="R1190" s="184" t="n">
        <v>19847.1</v>
      </c>
      <c r="S1190" s="184" t="s">
        <v>2781</v>
      </c>
      <c r="T1190" s="187" t="n">
        <v>45955</v>
      </c>
    </row>
    <row r="1191" customFormat="false" ht="40.5" hidden="true" customHeight="true" outlineLevel="0" collapsed="false">
      <c r="A1191" s="181" t="s">
        <v>2782</v>
      </c>
      <c r="B1191" s="182" t="n">
        <v>2639</v>
      </c>
      <c r="C1191" s="183" t="n">
        <v>121</v>
      </c>
      <c r="D1191" s="181" t="s">
        <v>2401</v>
      </c>
      <c r="E1191" s="181" t="s">
        <v>2351</v>
      </c>
      <c r="F1191" s="181" t="s">
        <v>2352</v>
      </c>
      <c r="G1191" s="181" t="s">
        <v>2402</v>
      </c>
      <c r="H1191" s="181" t="s">
        <v>279</v>
      </c>
      <c r="I1191" s="181" t="s">
        <v>242</v>
      </c>
      <c r="J1191" s="267"/>
      <c r="K1191" s="269" t="n">
        <v>45954</v>
      </c>
      <c r="L1191" s="267" t="n">
        <v>1.4</v>
      </c>
      <c r="M1191" s="184" t="s">
        <v>2402</v>
      </c>
      <c r="N1191" s="184" t="n">
        <v>47350</v>
      </c>
      <c r="O1191" s="184" t="n">
        <v>17730</v>
      </c>
      <c r="P1191" s="185" t="n">
        <v>14</v>
      </c>
      <c r="Q1191" s="184" t="n">
        <v>29620</v>
      </c>
      <c r="R1191" s="184" t="n">
        <v>25473.2</v>
      </c>
      <c r="S1191" s="184" t="s">
        <v>2783</v>
      </c>
      <c r="T1191" s="187" t="n">
        <v>45955</v>
      </c>
    </row>
    <row r="1192" customFormat="false" ht="40.5" hidden="true" customHeight="true" outlineLevel="0" collapsed="false">
      <c r="A1192" s="181" t="s">
        <v>2784</v>
      </c>
      <c r="B1192" s="182" t="n">
        <v>2642</v>
      </c>
      <c r="C1192" s="183" t="n">
        <v>123</v>
      </c>
      <c r="D1192" s="181" t="s">
        <v>2401</v>
      </c>
      <c r="E1192" s="181" t="s">
        <v>533</v>
      </c>
      <c r="F1192" s="181" t="s">
        <v>534</v>
      </c>
      <c r="G1192" s="181" t="s">
        <v>2402</v>
      </c>
      <c r="H1192" s="181" t="s">
        <v>279</v>
      </c>
      <c r="I1192" s="181" t="s">
        <v>242</v>
      </c>
      <c r="J1192" s="267"/>
      <c r="K1192" s="269" t="n">
        <v>45955</v>
      </c>
      <c r="L1192" s="267" t="n">
        <v>1.2</v>
      </c>
      <c r="M1192" s="184" t="s">
        <v>2402</v>
      </c>
      <c r="N1192" s="184" t="n">
        <v>39590</v>
      </c>
      <c r="O1192" s="184" t="n">
        <v>14630</v>
      </c>
      <c r="P1192" s="185" t="n">
        <v>7</v>
      </c>
      <c r="Q1192" s="184" t="n">
        <v>24960</v>
      </c>
      <c r="R1192" s="184" t="n">
        <v>23212.8</v>
      </c>
      <c r="S1192" s="184" t="s">
        <v>2785</v>
      </c>
      <c r="T1192" s="187" t="n">
        <v>45955</v>
      </c>
    </row>
    <row r="1193" customFormat="false" ht="40.5" hidden="true" customHeight="true" outlineLevel="0" collapsed="false">
      <c r="A1193" s="181" t="s">
        <v>2786</v>
      </c>
      <c r="B1193" s="182" t="n">
        <v>2644</v>
      </c>
      <c r="C1193" s="183" t="n">
        <v>124</v>
      </c>
      <c r="D1193" s="181" t="s">
        <v>2401</v>
      </c>
      <c r="E1193" s="181" t="s">
        <v>336</v>
      </c>
      <c r="F1193" s="181" t="s">
        <v>337</v>
      </c>
      <c r="G1193" s="181" t="s">
        <v>2402</v>
      </c>
      <c r="H1193" s="181" t="s">
        <v>279</v>
      </c>
      <c r="I1193" s="181" t="s">
        <v>242</v>
      </c>
      <c r="J1193" s="267"/>
      <c r="K1193" s="269" t="n">
        <v>45955</v>
      </c>
      <c r="L1193" s="267" t="n">
        <v>1.2</v>
      </c>
      <c r="M1193" s="184" t="s">
        <v>2402</v>
      </c>
      <c r="N1193" s="184" t="n">
        <v>40220</v>
      </c>
      <c r="O1193" s="184" t="n">
        <v>14710</v>
      </c>
      <c r="P1193" s="185" t="n">
        <v>11</v>
      </c>
      <c r="Q1193" s="184" t="n">
        <v>25510</v>
      </c>
      <c r="R1193" s="184" t="n">
        <v>22703.9</v>
      </c>
      <c r="S1193" s="184" t="s">
        <v>2787</v>
      </c>
      <c r="T1193" s="187" t="n">
        <v>45955</v>
      </c>
    </row>
    <row r="1194" customFormat="false" ht="40.5" hidden="true" customHeight="true" outlineLevel="0" collapsed="false">
      <c r="A1194" s="181" t="s">
        <v>2788</v>
      </c>
      <c r="B1194" s="182" t="n">
        <v>2645</v>
      </c>
      <c r="C1194" s="183" t="n">
        <v>125</v>
      </c>
      <c r="D1194" s="181" t="s">
        <v>2401</v>
      </c>
      <c r="E1194" s="181" t="s">
        <v>340</v>
      </c>
      <c r="F1194" s="181" t="s">
        <v>341</v>
      </c>
      <c r="G1194" s="181" t="s">
        <v>2402</v>
      </c>
      <c r="H1194" s="181" t="s">
        <v>279</v>
      </c>
      <c r="I1194" s="181" t="s">
        <v>242</v>
      </c>
      <c r="J1194" s="267"/>
      <c r="K1194" s="269" t="n">
        <v>45955</v>
      </c>
      <c r="L1194" s="267" t="n">
        <v>1.1</v>
      </c>
      <c r="M1194" s="184" t="s">
        <v>2402</v>
      </c>
      <c r="N1194" s="184" t="n">
        <v>39450</v>
      </c>
      <c r="O1194" s="184" t="n">
        <v>15280</v>
      </c>
      <c r="P1194" s="185" t="n">
        <v>9</v>
      </c>
      <c r="Q1194" s="184" t="n">
        <v>24170</v>
      </c>
      <c r="R1194" s="184" t="n">
        <v>21994.7</v>
      </c>
      <c r="S1194" s="184" t="s">
        <v>2789</v>
      </c>
      <c r="T1194" s="187" t="n">
        <v>45955</v>
      </c>
    </row>
    <row r="1195" customFormat="false" ht="40.5" hidden="true" customHeight="true" outlineLevel="0" collapsed="false">
      <c r="A1195" s="181" t="s">
        <v>2790</v>
      </c>
      <c r="B1195" s="182" t="n">
        <v>2646</v>
      </c>
      <c r="C1195" s="183" t="n">
        <v>126</v>
      </c>
      <c r="D1195" s="181" t="s">
        <v>2401</v>
      </c>
      <c r="E1195" s="181" t="s">
        <v>545</v>
      </c>
      <c r="F1195" s="181" t="s">
        <v>546</v>
      </c>
      <c r="G1195" s="181" t="s">
        <v>2402</v>
      </c>
      <c r="H1195" s="181" t="s">
        <v>279</v>
      </c>
      <c r="I1195" s="181" t="s">
        <v>242</v>
      </c>
      <c r="J1195" s="267"/>
      <c r="K1195" s="269" t="n">
        <v>45955</v>
      </c>
      <c r="L1195" s="267" t="n">
        <v>1.2</v>
      </c>
      <c r="M1195" s="184" t="s">
        <v>2402</v>
      </c>
      <c r="N1195" s="184" t="n">
        <v>42790</v>
      </c>
      <c r="O1195" s="184" t="n">
        <v>16240</v>
      </c>
      <c r="P1195" s="185" t="n">
        <v>11</v>
      </c>
      <c r="Q1195" s="184" t="n">
        <v>26550</v>
      </c>
      <c r="R1195" s="184" t="n">
        <v>23629.5</v>
      </c>
      <c r="S1195" s="184" t="s">
        <v>2791</v>
      </c>
      <c r="T1195" s="187" t="n">
        <v>45955</v>
      </c>
    </row>
    <row r="1196" customFormat="false" ht="40.5" hidden="true" customHeight="true" outlineLevel="0" collapsed="false">
      <c r="A1196" s="181" t="s">
        <v>2792</v>
      </c>
      <c r="B1196" s="182" t="n">
        <v>2648</v>
      </c>
      <c r="C1196" s="183" t="n">
        <v>127</v>
      </c>
      <c r="D1196" s="181" t="s">
        <v>2401</v>
      </c>
      <c r="E1196" s="181" t="s">
        <v>541</v>
      </c>
      <c r="F1196" s="181" t="s">
        <v>542</v>
      </c>
      <c r="G1196" s="181" t="s">
        <v>2402</v>
      </c>
      <c r="H1196" s="181" t="s">
        <v>279</v>
      </c>
      <c r="I1196" s="181" t="s">
        <v>242</v>
      </c>
      <c r="J1196" s="267"/>
      <c r="K1196" s="269" t="n">
        <v>45956</v>
      </c>
      <c r="L1196" s="267" t="n">
        <v>1.2</v>
      </c>
      <c r="M1196" s="184" t="s">
        <v>2402</v>
      </c>
      <c r="N1196" s="184" t="n">
        <v>40190</v>
      </c>
      <c r="O1196" s="184" t="n">
        <v>15090</v>
      </c>
      <c r="P1196" s="185" t="n">
        <v>8</v>
      </c>
      <c r="Q1196" s="184" t="n">
        <v>25100</v>
      </c>
      <c r="R1196" s="184" t="n">
        <v>23092</v>
      </c>
      <c r="S1196" s="184" t="s">
        <v>2793</v>
      </c>
      <c r="T1196" s="187" t="n">
        <v>45955</v>
      </c>
    </row>
    <row r="1197" customFormat="false" ht="40.5" hidden="true" customHeight="true" outlineLevel="0" collapsed="false">
      <c r="A1197" s="181" t="s">
        <v>2794</v>
      </c>
      <c r="B1197" s="182" t="n">
        <v>2650</v>
      </c>
      <c r="C1197" s="183" t="n">
        <v>128</v>
      </c>
      <c r="D1197" s="181" t="s">
        <v>2401</v>
      </c>
      <c r="E1197" s="181" t="s">
        <v>537</v>
      </c>
      <c r="F1197" s="181" t="s">
        <v>538</v>
      </c>
      <c r="G1197" s="181" t="s">
        <v>2402</v>
      </c>
      <c r="H1197" s="181" t="s">
        <v>279</v>
      </c>
      <c r="I1197" s="181" t="s">
        <v>242</v>
      </c>
      <c r="J1197" s="267"/>
      <c r="K1197" s="269" t="n">
        <v>45956</v>
      </c>
      <c r="L1197" s="267" t="n">
        <v>1</v>
      </c>
      <c r="M1197" s="184" t="s">
        <v>2402</v>
      </c>
      <c r="N1197" s="184" t="n">
        <v>34860</v>
      </c>
      <c r="O1197" s="184" t="n">
        <v>13990</v>
      </c>
      <c r="P1197" s="185" t="n">
        <v>9</v>
      </c>
      <c r="Q1197" s="184" t="n">
        <v>20870</v>
      </c>
      <c r="R1197" s="184" t="n">
        <v>18991.7</v>
      </c>
      <c r="S1197" s="184" t="s">
        <v>2795</v>
      </c>
      <c r="T1197" s="187" t="n">
        <v>45955</v>
      </c>
    </row>
    <row r="1198" customFormat="false" ht="46.25" hidden="true" customHeight="false" outlineLevel="0" collapsed="false">
      <c r="A1198" s="181" t="s">
        <v>2796</v>
      </c>
      <c r="B1198" s="182" t="n">
        <v>2652</v>
      </c>
      <c r="C1198" s="183" t="n">
        <v>129</v>
      </c>
      <c r="D1198" s="181" t="s">
        <v>2401</v>
      </c>
      <c r="E1198" s="181" t="s">
        <v>282</v>
      </c>
      <c r="F1198" s="181" t="s">
        <v>283</v>
      </c>
      <c r="G1198" s="181" t="s">
        <v>2402</v>
      </c>
      <c r="H1198" s="181" t="s">
        <v>279</v>
      </c>
      <c r="I1198" s="181" t="s">
        <v>242</v>
      </c>
      <c r="J1198" s="267"/>
      <c r="K1198" s="269" t="n">
        <v>45955</v>
      </c>
      <c r="L1198" s="267" t="n">
        <v>1.1</v>
      </c>
      <c r="M1198" s="184" t="s">
        <v>2402</v>
      </c>
      <c r="N1198" s="184" t="n">
        <v>39070</v>
      </c>
      <c r="O1198" s="184" t="n">
        <v>15260</v>
      </c>
      <c r="P1198" s="185" t="n">
        <v>15</v>
      </c>
      <c r="Q1198" s="184" t="n">
        <v>23810</v>
      </c>
      <c r="R1198" s="184" t="n">
        <v>20238.5</v>
      </c>
      <c r="S1198" s="184" t="s">
        <v>2797</v>
      </c>
      <c r="T1198" s="187" t="n">
        <v>45955</v>
      </c>
    </row>
    <row r="1199" customFormat="false" ht="35.05" hidden="true" customHeight="false" outlineLevel="0" collapsed="false">
      <c r="A1199" s="181" t="s">
        <v>2800</v>
      </c>
      <c r="B1199" s="182" t="n">
        <v>2654</v>
      </c>
      <c r="C1199" s="183" t="n">
        <v>130</v>
      </c>
      <c r="D1199" s="181" t="s">
        <v>2401</v>
      </c>
      <c r="E1199" s="181" t="s">
        <v>399</v>
      </c>
      <c r="F1199" s="181" t="s">
        <v>400</v>
      </c>
      <c r="G1199" s="181" t="s">
        <v>2402</v>
      </c>
      <c r="H1199" s="181" t="s">
        <v>279</v>
      </c>
      <c r="I1199" s="181" t="s">
        <v>242</v>
      </c>
      <c r="J1199" s="267"/>
      <c r="K1199" s="269" t="n">
        <v>45955</v>
      </c>
      <c r="L1199" s="267" t="n">
        <v>1.3</v>
      </c>
      <c r="M1199" s="184" t="s">
        <v>2402</v>
      </c>
      <c r="N1199" s="184" t="n">
        <v>47720</v>
      </c>
      <c r="O1199" s="184" t="n">
        <v>19870</v>
      </c>
      <c r="P1199" s="185" t="n">
        <v>25</v>
      </c>
      <c r="Q1199" s="184" t="n">
        <v>27850</v>
      </c>
      <c r="R1199" s="184" t="n">
        <v>20887.5</v>
      </c>
      <c r="S1199" s="184" t="s">
        <v>2801</v>
      </c>
      <c r="T1199" s="187" t="n">
        <v>45955</v>
      </c>
    </row>
    <row r="1200" customFormat="false" ht="35.05" hidden="true" customHeight="false" outlineLevel="0" collapsed="false">
      <c r="A1200" s="181" t="s">
        <v>2798</v>
      </c>
      <c r="B1200" s="182" t="n">
        <v>2655</v>
      </c>
      <c r="C1200" s="183" t="n">
        <v>131</v>
      </c>
      <c r="D1200" s="181" t="s">
        <v>2401</v>
      </c>
      <c r="E1200" s="181" t="s">
        <v>266</v>
      </c>
      <c r="F1200" s="181" t="s">
        <v>267</v>
      </c>
      <c r="G1200" s="181" t="s">
        <v>2402</v>
      </c>
      <c r="H1200" s="181" t="s">
        <v>279</v>
      </c>
      <c r="I1200" s="181" t="s">
        <v>242</v>
      </c>
      <c r="J1200" s="267"/>
      <c r="K1200" s="269" t="n">
        <v>45955</v>
      </c>
      <c r="L1200" s="267" t="n">
        <v>1</v>
      </c>
      <c r="M1200" s="184" t="s">
        <v>2402</v>
      </c>
      <c r="N1200" s="184" t="n">
        <v>37840</v>
      </c>
      <c r="O1200" s="184" t="n">
        <v>15190</v>
      </c>
      <c r="P1200" s="185" t="n">
        <v>11</v>
      </c>
      <c r="Q1200" s="184" t="n">
        <v>22650</v>
      </c>
      <c r="R1200" s="184" t="n">
        <v>20158.5</v>
      </c>
      <c r="S1200" s="184" t="s">
        <v>2799</v>
      </c>
      <c r="T1200" s="187" t="n">
        <v>45955</v>
      </c>
    </row>
    <row r="1201" customFormat="false" ht="35.05" hidden="true" customHeight="false" outlineLevel="0" collapsed="false">
      <c r="A1201" s="181" t="s">
        <v>2802</v>
      </c>
      <c r="B1201" s="182" t="n">
        <v>2656</v>
      </c>
      <c r="C1201" s="183" t="n">
        <v>132</v>
      </c>
      <c r="D1201" s="181" t="s">
        <v>2401</v>
      </c>
      <c r="E1201" s="181" t="s">
        <v>261</v>
      </c>
      <c r="F1201" s="181" t="s">
        <v>262</v>
      </c>
      <c r="G1201" s="181" t="s">
        <v>2402</v>
      </c>
      <c r="H1201" s="181" t="s">
        <v>279</v>
      </c>
      <c r="I1201" s="181" t="s">
        <v>242</v>
      </c>
      <c r="J1201" s="267"/>
      <c r="K1201" s="269" t="n">
        <v>45955</v>
      </c>
      <c r="L1201" s="267" t="n">
        <v>1.1</v>
      </c>
      <c r="M1201" s="184" t="s">
        <v>2402</v>
      </c>
      <c r="N1201" s="184" t="n">
        <v>38140</v>
      </c>
      <c r="O1201" s="184" t="n">
        <v>15310</v>
      </c>
      <c r="P1201" s="185" t="n">
        <v>18</v>
      </c>
      <c r="Q1201" s="184" t="n">
        <v>22830</v>
      </c>
      <c r="R1201" s="184" t="n">
        <v>18720.6</v>
      </c>
      <c r="S1201" s="184" t="s">
        <v>2803</v>
      </c>
      <c r="T1201" s="187" t="n">
        <v>45956</v>
      </c>
    </row>
    <row r="1202" customFormat="false" ht="35.05" hidden="true" customHeight="false" outlineLevel="0" collapsed="false">
      <c r="A1202" s="181" t="s">
        <v>2804</v>
      </c>
      <c r="B1202" s="182" t="n">
        <v>2657</v>
      </c>
      <c r="C1202" s="183" t="n">
        <v>133</v>
      </c>
      <c r="D1202" s="181" t="s">
        <v>2401</v>
      </c>
      <c r="E1202" s="181" t="s">
        <v>377</v>
      </c>
      <c r="F1202" s="181" t="s">
        <v>378</v>
      </c>
      <c r="G1202" s="181" t="s">
        <v>2402</v>
      </c>
      <c r="H1202" s="181" t="s">
        <v>279</v>
      </c>
      <c r="I1202" s="181" t="s">
        <v>242</v>
      </c>
      <c r="J1202" s="267"/>
      <c r="K1202" s="269" t="n">
        <v>45956</v>
      </c>
      <c r="L1202" s="267" t="n">
        <v>1.2</v>
      </c>
      <c r="M1202" s="184" t="s">
        <v>2402</v>
      </c>
      <c r="N1202" s="184" t="n">
        <v>42840</v>
      </c>
      <c r="O1202" s="184" t="n">
        <v>16220</v>
      </c>
      <c r="P1202" s="185" t="n">
        <v>12</v>
      </c>
      <c r="Q1202" s="184" t="n">
        <v>26620</v>
      </c>
      <c r="R1202" s="184" t="n">
        <v>23425.6</v>
      </c>
      <c r="S1202" s="184" t="s">
        <v>2805</v>
      </c>
      <c r="T1202" s="187" t="n">
        <v>45956</v>
      </c>
    </row>
    <row r="1203" customFormat="false" ht="46.25" hidden="true" customHeight="false" outlineLevel="0" collapsed="false">
      <c r="A1203" s="181" t="s">
        <v>2806</v>
      </c>
      <c r="B1203" s="182" t="n">
        <v>2659</v>
      </c>
      <c r="C1203" s="183" t="n">
        <v>134</v>
      </c>
      <c r="D1203" s="181" t="s">
        <v>2401</v>
      </c>
      <c r="E1203" s="181" t="s">
        <v>383</v>
      </c>
      <c r="F1203" s="181" t="s">
        <v>384</v>
      </c>
      <c r="G1203" s="181" t="s">
        <v>2402</v>
      </c>
      <c r="H1203" s="181" t="s">
        <v>279</v>
      </c>
      <c r="I1203" s="181" t="s">
        <v>242</v>
      </c>
      <c r="J1203" s="267"/>
      <c r="K1203" s="269" t="n">
        <v>45955</v>
      </c>
      <c r="L1203" s="267" t="n">
        <v>1.2</v>
      </c>
      <c r="M1203" s="184" t="s">
        <v>2402</v>
      </c>
      <c r="N1203" s="184" t="n">
        <v>40760</v>
      </c>
      <c r="O1203" s="184" t="n">
        <v>15190</v>
      </c>
      <c r="P1203" s="185" t="n">
        <v>6</v>
      </c>
      <c r="Q1203" s="184" t="n">
        <v>25570</v>
      </c>
      <c r="R1203" s="184" t="n">
        <v>24035.8</v>
      </c>
      <c r="S1203" s="184" t="s">
        <v>2807</v>
      </c>
      <c r="T1203" s="187" t="n">
        <v>45956</v>
      </c>
    </row>
    <row r="1204" customFormat="false" ht="35.05" hidden="true" customHeight="false" outlineLevel="0" collapsed="false">
      <c r="A1204" s="181" t="s">
        <v>2808</v>
      </c>
      <c r="B1204" s="182" t="n">
        <v>2660</v>
      </c>
      <c r="C1204" s="183" t="n">
        <v>135</v>
      </c>
      <c r="D1204" s="181" t="s">
        <v>2401</v>
      </c>
      <c r="E1204" s="181" t="s">
        <v>387</v>
      </c>
      <c r="F1204" s="181" t="s">
        <v>388</v>
      </c>
      <c r="G1204" s="181" t="s">
        <v>2402</v>
      </c>
      <c r="H1204" s="181" t="s">
        <v>279</v>
      </c>
      <c r="I1204" s="181" t="s">
        <v>242</v>
      </c>
      <c r="J1204" s="267"/>
      <c r="K1204" s="269" t="n">
        <v>45955</v>
      </c>
      <c r="L1204" s="267" t="n">
        <v>1.2</v>
      </c>
      <c r="M1204" s="184" t="s">
        <v>2402</v>
      </c>
      <c r="N1204" s="184" t="n">
        <v>42230</v>
      </c>
      <c r="O1204" s="184" t="n">
        <v>15350</v>
      </c>
      <c r="P1204" s="185" t="n">
        <v>11</v>
      </c>
      <c r="Q1204" s="184" t="n">
        <v>26880</v>
      </c>
      <c r="R1204" s="184" t="n">
        <v>23923.2</v>
      </c>
      <c r="S1204" s="184" t="s">
        <v>2809</v>
      </c>
      <c r="T1204" s="187" t="n">
        <v>45956</v>
      </c>
    </row>
    <row r="1205" customFormat="false" ht="35.05" hidden="true" customHeight="false" outlineLevel="0" collapsed="false">
      <c r="A1205" s="181" t="s">
        <v>2810</v>
      </c>
      <c r="B1205" s="182" t="n">
        <v>2661</v>
      </c>
      <c r="C1205" s="183" t="n">
        <v>136</v>
      </c>
      <c r="D1205" s="181" t="s">
        <v>2401</v>
      </c>
      <c r="E1205" s="181" t="s">
        <v>350</v>
      </c>
      <c r="F1205" s="181" t="s">
        <v>351</v>
      </c>
      <c r="G1205" s="181" t="s">
        <v>2402</v>
      </c>
      <c r="H1205" s="181" t="s">
        <v>279</v>
      </c>
      <c r="I1205" s="181" t="s">
        <v>242</v>
      </c>
      <c r="J1205" s="267"/>
      <c r="K1205" s="269" t="n">
        <v>45955</v>
      </c>
      <c r="L1205" s="267" t="n">
        <v>1.3</v>
      </c>
      <c r="M1205" s="184" t="s">
        <v>2402</v>
      </c>
      <c r="N1205" s="184" t="n">
        <v>42640</v>
      </c>
      <c r="O1205" s="184" t="n">
        <v>15310</v>
      </c>
      <c r="P1205" s="185" t="n">
        <v>16</v>
      </c>
      <c r="Q1205" s="184" t="n">
        <v>27330</v>
      </c>
      <c r="R1205" s="184" t="n">
        <v>22957.2</v>
      </c>
      <c r="S1205" s="184" t="s">
        <v>2811</v>
      </c>
      <c r="T1205" s="187" t="n">
        <v>45956</v>
      </c>
    </row>
    <row r="1206" customFormat="false" ht="23.85" hidden="true" customHeight="false" outlineLevel="0" collapsed="false">
      <c r="A1206" s="181" t="s">
        <v>2812</v>
      </c>
      <c r="B1206" s="182" t="n">
        <v>2662</v>
      </c>
      <c r="C1206" s="183" t="n">
        <v>137</v>
      </c>
      <c r="D1206" s="181" t="s">
        <v>2401</v>
      </c>
      <c r="E1206" s="181" t="s">
        <v>373</v>
      </c>
      <c r="F1206" s="181" t="s">
        <v>374</v>
      </c>
      <c r="G1206" s="181" t="s">
        <v>2402</v>
      </c>
      <c r="H1206" s="181" t="s">
        <v>279</v>
      </c>
      <c r="I1206" s="181" t="s">
        <v>242</v>
      </c>
      <c r="J1206" s="267"/>
      <c r="K1206" s="269" t="n">
        <v>45955</v>
      </c>
      <c r="L1206" s="267" t="n">
        <v>1.3</v>
      </c>
      <c r="M1206" s="184" t="s">
        <v>2402</v>
      </c>
      <c r="N1206" s="184" t="n">
        <v>41830</v>
      </c>
      <c r="O1206" s="184" t="n">
        <v>14660</v>
      </c>
      <c r="P1206" s="185" t="n">
        <v>5</v>
      </c>
      <c r="Q1206" s="184" t="n">
        <v>27170</v>
      </c>
      <c r="R1206" s="184" t="n">
        <v>25811.5</v>
      </c>
      <c r="S1206" s="184" t="s">
        <v>2813</v>
      </c>
      <c r="T1206" s="187" t="n">
        <v>45956</v>
      </c>
    </row>
    <row r="1207" customFormat="false" ht="23.85" hidden="true" customHeight="false" outlineLevel="0" collapsed="false">
      <c r="A1207" s="181" t="s">
        <v>2814</v>
      </c>
      <c r="B1207" s="182" t="n">
        <v>2663</v>
      </c>
      <c r="C1207" s="183" t="n">
        <v>138</v>
      </c>
      <c r="D1207" s="181" t="s">
        <v>2401</v>
      </c>
      <c r="E1207" s="181" t="s">
        <v>354</v>
      </c>
      <c r="F1207" s="181" t="s">
        <v>355</v>
      </c>
      <c r="G1207" s="181" t="s">
        <v>2402</v>
      </c>
      <c r="H1207" s="181" t="s">
        <v>279</v>
      </c>
      <c r="I1207" s="181" t="s">
        <v>242</v>
      </c>
      <c r="J1207" s="267"/>
      <c r="K1207" s="269" t="n">
        <v>45955</v>
      </c>
      <c r="L1207" s="267" t="n">
        <v>1.1</v>
      </c>
      <c r="M1207" s="184" t="s">
        <v>2402</v>
      </c>
      <c r="N1207" s="184" t="n">
        <v>39500</v>
      </c>
      <c r="O1207" s="184" t="n">
        <v>14960</v>
      </c>
      <c r="P1207" s="185" t="n">
        <v>17</v>
      </c>
      <c r="Q1207" s="184" t="n">
        <v>24540</v>
      </c>
      <c r="R1207" s="184" t="n">
        <v>20368.2</v>
      </c>
      <c r="S1207" s="184" t="s">
        <v>2815</v>
      </c>
      <c r="T1207" s="187" t="n">
        <v>45956</v>
      </c>
    </row>
    <row r="1208" customFormat="false" ht="35.05" hidden="true" customHeight="false" outlineLevel="0" collapsed="false">
      <c r="A1208" s="181" t="s">
        <v>2818</v>
      </c>
      <c r="B1208" s="182" t="n">
        <v>2664</v>
      </c>
      <c r="C1208" s="183" t="n">
        <v>139</v>
      </c>
      <c r="D1208" s="181" t="s">
        <v>2401</v>
      </c>
      <c r="E1208" s="181" t="s">
        <v>413</v>
      </c>
      <c r="F1208" s="181" t="s">
        <v>414</v>
      </c>
      <c r="G1208" s="181" t="s">
        <v>2402</v>
      </c>
      <c r="H1208" s="181" t="s">
        <v>279</v>
      </c>
      <c r="I1208" s="181" t="s">
        <v>242</v>
      </c>
      <c r="J1208" s="267"/>
      <c r="K1208" s="269" t="n">
        <v>45955</v>
      </c>
      <c r="L1208" s="267" t="n">
        <v>1.4</v>
      </c>
      <c r="M1208" s="184" t="s">
        <v>2402</v>
      </c>
      <c r="N1208" s="184" t="n">
        <v>47160</v>
      </c>
      <c r="O1208" s="184" t="n">
        <v>16140</v>
      </c>
      <c r="P1208" s="185" t="n">
        <v>10</v>
      </c>
      <c r="Q1208" s="184" t="n">
        <v>31020</v>
      </c>
      <c r="R1208" s="184" t="n">
        <v>27918</v>
      </c>
      <c r="S1208" s="184" t="s">
        <v>2819</v>
      </c>
      <c r="T1208" s="187" t="n">
        <v>45956</v>
      </c>
    </row>
    <row r="1209" customFormat="false" ht="35.05" hidden="true" customHeight="false" outlineLevel="0" collapsed="false">
      <c r="A1209" s="181" t="s">
        <v>2820</v>
      </c>
      <c r="B1209" s="182" t="n">
        <v>2665</v>
      </c>
      <c r="C1209" s="183" t="n">
        <v>141</v>
      </c>
      <c r="D1209" s="181" t="s">
        <v>2401</v>
      </c>
      <c r="E1209" s="181" t="s">
        <v>359</v>
      </c>
      <c r="F1209" s="181" t="s">
        <v>360</v>
      </c>
      <c r="G1209" s="181" t="s">
        <v>2402</v>
      </c>
      <c r="H1209" s="181" t="s">
        <v>279</v>
      </c>
      <c r="I1209" s="181" t="s">
        <v>242</v>
      </c>
      <c r="J1209" s="267"/>
      <c r="K1209" s="269" t="n">
        <v>45955</v>
      </c>
      <c r="L1209" s="267" t="n">
        <v>1</v>
      </c>
      <c r="M1209" s="184" t="s">
        <v>2402</v>
      </c>
      <c r="N1209" s="184" t="n">
        <v>37460</v>
      </c>
      <c r="O1209" s="184" t="n">
        <v>15070</v>
      </c>
      <c r="P1209" s="185" t="n">
        <v>9</v>
      </c>
      <c r="Q1209" s="184" t="n">
        <v>22390</v>
      </c>
      <c r="R1209" s="184" t="n">
        <v>20374.9</v>
      </c>
      <c r="S1209" s="184" t="s">
        <v>2821</v>
      </c>
      <c r="T1209" s="187" t="n">
        <v>45956</v>
      </c>
    </row>
    <row r="1210" customFormat="false" ht="35.05" hidden="true" customHeight="false" outlineLevel="0" collapsed="false">
      <c r="A1210" s="181" t="s">
        <v>2824</v>
      </c>
      <c r="B1210" s="182" t="n">
        <v>2666</v>
      </c>
      <c r="C1210" s="183" t="n">
        <v>143</v>
      </c>
      <c r="D1210" s="181" t="s">
        <v>2401</v>
      </c>
      <c r="E1210" s="181" t="s">
        <v>549</v>
      </c>
      <c r="F1210" s="181" t="s">
        <v>550</v>
      </c>
      <c r="G1210" s="181" t="s">
        <v>2402</v>
      </c>
      <c r="H1210" s="181" t="s">
        <v>279</v>
      </c>
      <c r="I1210" s="181" t="s">
        <v>242</v>
      </c>
      <c r="J1210" s="267"/>
      <c r="K1210" s="269" t="n">
        <v>45955</v>
      </c>
      <c r="L1210" s="267" t="n">
        <v>1.1</v>
      </c>
      <c r="M1210" s="184" t="s">
        <v>2402</v>
      </c>
      <c r="N1210" s="184" t="n">
        <v>39580</v>
      </c>
      <c r="O1210" s="184" t="n">
        <v>15960</v>
      </c>
      <c r="P1210" s="185" t="n">
        <v>14</v>
      </c>
      <c r="Q1210" s="184" t="n">
        <v>23620</v>
      </c>
      <c r="R1210" s="184" t="n">
        <v>20313.2</v>
      </c>
      <c r="S1210" s="184" t="s">
        <v>2825</v>
      </c>
      <c r="T1210" s="187" t="n">
        <v>45956</v>
      </c>
    </row>
    <row r="1211" customFormat="false" ht="35.05" hidden="true" customHeight="false" outlineLevel="0" collapsed="false">
      <c r="A1211" s="181" t="s">
        <v>2830</v>
      </c>
      <c r="B1211" s="182" t="n">
        <v>2668</v>
      </c>
      <c r="C1211" s="183" t="n">
        <v>142</v>
      </c>
      <c r="D1211" s="181" t="s">
        <v>2401</v>
      </c>
      <c r="E1211" s="181" t="s">
        <v>409</v>
      </c>
      <c r="F1211" s="181" t="s">
        <v>410</v>
      </c>
      <c r="G1211" s="181" t="s">
        <v>2402</v>
      </c>
      <c r="H1211" s="181" t="s">
        <v>279</v>
      </c>
      <c r="I1211" s="181" t="s">
        <v>242</v>
      </c>
      <c r="J1211" s="267"/>
      <c r="K1211" s="269" t="n">
        <v>45955</v>
      </c>
      <c r="L1211" s="267" t="n">
        <v>1.6</v>
      </c>
      <c r="M1211" s="184" t="s">
        <v>2402</v>
      </c>
      <c r="N1211" s="184" t="n">
        <v>60070</v>
      </c>
      <c r="O1211" s="184" t="n">
        <v>24880</v>
      </c>
      <c r="P1211" s="185" t="n">
        <v>19</v>
      </c>
      <c r="Q1211" s="184" t="n">
        <v>35190</v>
      </c>
      <c r="R1211" s="184" t="n">
        <v>28503.9</v>
      </c>
      <c r="S1211" s="184" t="s">
        <v>2831</v>
      </c>
      <c r="T1211" s="187" t="n">
        <v>45956</v>
      </c>
    </row>
    <row r="1212" customFormat="false" ht="35.05" hidden="true" customHeight="false" outlineLevel="0" collapsed="false">
      <c r="A1212" s="181" t="s">
        <v>2834</v>
      </c>
      <c r="B1212" s="182" t="n">
        <v>2669</v>
      </c>
      <c r="C1212" s="183" t="n">
        <v>140</v>
      </c>
      <c r="D1212" s="181" t="s">
        <v>2401</v>
      </c>
      <c r="E1212" s="181" t="s">
        <v>300</v>
      </c>
      <c r="F1212" s="181" t="s">
        <v>301</v>
      </c>
      <c r="G1212" s="181" t="s">
        <v>2402</v>
      </c>
      <c r="H1212" s="181" t="s">
        <v>279</v>
      </c>
      <c r="I1212" s="181" t="s">
        <v>242</v>
      </c>
      <c r="J1212" s="267"/>
      <c r="K1212" s="269" t="n">
        <v>45955</v>
      </c>
      <c r="L1212" s="267" t="n">
        <v>1.7</v>
      </c>
      <c r="M1212" s="184" t="s">
        <v>2402</v>
      </c>
      <c r="N1212" s="184" t="n">
        <v>57650</v>
      </c>
      <c r="O1212" s="184" t="n">
        <v>21550</v>
      </c>
      <c r="P1212" s="185" t="n">
        <v>12</v>
      </c>
      <c r="Q1212" s="184" t="n">
        <v>36100</v>
      </c>
      <c r="R1212" s="184" t="n">
        <v>31768</v>
      </c>
      <c r="S1212" s="184" t="s">
        <v>2835</v>
      </c>
      <c r="T1212" s="187" t="n">
        <v>45956</v>
      </c>
    </row>
    <row r="1213" customFormat="false" ht="35.05" hidden="true" customHeight="false" outlineLevel="0" collapsed="false">
      <c r="A1213" s="181" t="s">
        <v>2836</v>
      </c>
      <c r="B1213" s="182" t="n">
        <v>2670</v>
      </c>
      <c r="C1213" s="183" t="n">
        <v>144</v>
      </c>
      <c r="D1213" s="181" t="s">
        <v>2401</v>
      </c>
      <c r="E1213" s="181" t="s">
        <v>582</v>
      </c>
      <c r="F1213" s="181" t="s">
        <v>583</v>
      </c>
      <c r="G1213" s="181" t="s">
        <v>2402</v>
      </c>
      <c r="H1213" s="181" t="s">
        <v>279</v>
      </c>
      <c r="I1213" s="181" t="s">
        <v>242</v>
      </c>
      <c r="J1213" s="267"/>
      <c r="K1213" s="269" t="n">
        <v>45955</v>
      </c>
      <c r="L1213" s="267" t="n">
        <v>1.2</v>
      </c>
      <c r="M1213" s="184" t="s">
        <v>2402</v>
      </c>
      <c r="N1213" s="184" t="n">
        <v>41370</v>
      </c>
      <c r="O1213" s="184" t="n">
        <v>15080</v>
      </c>
      <c r="P1213" s="185" t="n">
        <v>14</v>
      </c>
      <c r="Q1213" s="184" t="n">
        <v>26290</v>
      </c>
      <c r="R1213" s="184" t="n">
        <v>22609.4</v>
      </c>
      <c r="S1213" s="184" t="s">
        <v>2837</v>
      </c>
      <c r="T1213" s="187" t="n">
        <v>45956</v>
      </c>
    </row>
    <row r="1214" customFormat="false" ht="35.05" hidden="true" customHeight="false" outlineLevel="0" collapsed="false">
      <c r="A1214" s="181" t="s">
        <v>2838</v>
      </c>
      <c r="B1214" s="182" t="n">
        <v>2671</v>
      </c>
      <c r="C1214" s="183" t="n">
        <v>145</v>
      </c>
      <c r="D1214" s="181" t="s">
        <v>2401</v>
      </c>
      <c r="E1214" s="181" t="s">
        <v>332</v>
      </c>
      <c r="F1214" s="181" t="s">
        <v>333</v>
      </c>
      <c r="G1214" s="181" t="s">
        <v>2402</v>
      </c>
      <c r="H1214" s="181" t="s">
        <v>279</v>
      </c>
      <c r="I1214" s="181" t="s">
        <v>242</v>
      </c>
      <c r="J1214" s="267"/>
      <c r="K1214" s="269" t="n">
        <v>45955</v>
      </c>
      <c r="L1214" s="267" t="n">
        <v>1.1</v>
      </c>
      <c r="M1214" s="184" t="s">
        <v>2402</v>
      </c>
      <c r="N1214" s="184" t="n">
        <v>39590</v>
      </c>
      <c r="O1214" s="184" t="n">
        <v>14960</v>
      </c>
      <c r="P1214" s="185" t="n">
        <v>16</v>
      </c>
      <c r="Q1214" s="184" t="n">
        <v>24630</v>
      </c>
      <c r="R1214" s="184" t="n">
        <v>20689.2</v>
      </c>
      <c r="S1214" s="184" t="s">
        <v>2839</v>
      </c>
      <c r="T1214" s="187" t="n">
        <v>45956</v>
      </c>
    </row>
    <row r="1215" customFormat="false" ht="23.85" hidden="true" customHeight="false" outlineLevel="0" collapsed="false">
      <c r="A1215" s="181" t="s">
        <v>2846</v>
      </c>
      <c r="B1215" s="182" t="n">
        <v>2672</v>
      </c>
      <c r="C1215" s="183" t="n">
        <v>146</v>
      </c>
      <c r="D1215" s="181" t="s">
        <v>2401</v>
      </c>
      <c r="E1215" s="181" t="s">
        <v>346</v>
      </c>
      <c r="F1215" s="181" t="s">
        <v>347</v>
      </c>
      <c r="G1215" s="181" t="s">
        <v>2402</v>
      </c>
      <c r="H1215" s="181" t="s">
        <v>279</v>
      </c>
      <c r="I1215" s="181" t="s">
        <v>242</v>
      </c>
      <c r="J1215" s="267"/>
      <c r="K1215" s="269" t="n">
        <v>45955</v>
      </c>
      <c r="L1215" s="267" t="n">
        <v>1.1</v>
      </c>
      <c r="M1215" s="184" t="s">
        <v>2402</v>
      </c>
      <c r="N1215" s="184" t="n">
        <v>39870</v>
      </c>
      <c r="O1215" s="184" t="n">
        <v>15470</v>
      </c>
      <c r="P1215" s="185" t="n">
        <v>17</v>
      </c>
      <c r="Q1215" s="184" t="n">
        <v>24400</v>
      </c>
      <c r="R1215" s="184" t="n">
        <v>20252</v>
      </c>
      <c r="S1215" s="184" t="s">
        <v>2847</v>
      </c>
      <c r="T1215" s="187" t="n">
        <v>45956</v>
      </c>
    </row>
    <row r="1216" customFormat="false" ht="46.25" hidden="true" customHeight="false" outlineLevel="0" collapsed="false">
      <c r="A1216" s="181" t="s">
        <v>2816</v>
      </c>
      <c r="B1216" s="182" t="n">
        <v>2674</v>
      </c>
      <c r="C1216" s="183" t="n">
        <v>147</v>
      </c>
      <c r="D1216" s="181" t="s">
        <v>2401</v>
      </c>
      <c r="E1216" s="181" t="s">
        <v>288</v>
      </c>
      <c r="F1216" s="181" t="s">
        <v>289</v>
      </c>
      <c r="G1216" s="181" t="s">
        <v>2402</v>
      </c>
      <c r="H1216" s="181" t="s">
        <v>279</v>
      </c>
      <c r="I1216" s="181" t="s">
        <v>242</v>
      </c>
      <c r="J1216" s="267"/>
      <c r="K1216" s="269" t="n">
        <v>45955</v>
      </c>
      <c r="L1216" s="267" t="n">
        <v>1.1</v>
      </c>
      <c r="M1216" s="184" t="s">
        <v>2402</v>
      </c>
      <c r="N1216" s="184" t="n">
        <v>37950</v>
      </c>
      <c r="O1216" s="184" t="n">
        <v>14920</v>
      </c>
      <c r="P1216" s="185" t="n">
        <v>12</v>
      </c>
      <c r="Q1216" s="184" t="n">
        <v>23030</v>
      </c>
      <c r="R1216" s="184" t="n">
        <v>20266.4</v>
      </c>
      <c r="S1216" s="184" t="s">
        <v>2817</v>
      </c>
      <c r="T1216" s="187" t="n">
        <v>45956</v>
      </c>
    </row>
    <row r="1217" customFormat="false" ht="35.05" hidden="true" customHeight="false" outlineLevel="0" collapsed="false">
      <c r="A1217" s="181" t="s">
        <v>2822</v>
      </c>
      <c r="B1217" s="182" t="n">
        <v>2676</v>
      </c>
      <c r="C1217" s="183" t="n">
        <v>148</v>
      </c>
      <c r="D1217" s="181" t="s">
        <v>2401</v>
      </c>
      <c r="E1217" s="181" t="s">
        <v>304</v>
      </c>
      <c r="F1217" s="181" t="s">
        <v>305</v>
      </c>
      <c r="G1217" s="181" t="s">
        <v>2402</v>
      </c>
      <c r="H1217" s="181" t="s">
        <v>279</v>
      </c>
      <c r="I1217" s="181" t="s">
        <v>242</v>
      </c>
      <c r="J1217" s="267"/>
      <c r="K1217" s="269" t="n">
        <v>45956</v>
      </c>
      <c r="L1217" s="267" t="n">
        <v>1.1</v>
      </c>
      <c r="M1217" s="184" t="s">
        <v>2402</v>
      </c>
      <c r="N1217" s="184" t="n">
        <v>38650</v>
      </c>
      <c r="O1217" s="184" t="n">
        <v>15170</v>
      </c>
      <c r="P1217" s="185" t="n">
        <v>15</v>
      </c>
      <c r="Q1217" s="184" t="n">
        <v>23480</v>
      </c>
      <c r="R1217" s="184" t="n">
        <v>19958</v>
      </c>
      <c r="S1217" s="184" t="s">
        <v>2823</v>
      </c>
      <c r="T1217" s="187" t="n">
        <v>45956</v>
      </c>
    </row>
    <row r="1218" customFormat="false" ht="23.85" hidden="true" customHeight="false" outlineLevel="0" collapsed="false">
      <c r="A1218" s="181" t="s">
        <v>2826</v>
      </c>
      <c r="B1218" s="182" t="n">
        <v>2679</v>
      </c>
      <c r="C1218" s="183" t="n">
        <v>150</v>
      </c>
      <c r="D1218" s="181" t="s">
        <v>2401</v>
      </c>
      <c r="E1218" s="181" t="s">
        <v>533</v>
      </c>
      <c r="F1218" s="181" t="s">
        <v>534</v>
      </c>
      <c r="G1218" s="181" t="s">
        <v>2402</v>
      </c>
      <c r="H1218" s="181" t="s">
        <v>279</v>
      </c>
      <c r="I1218" s="181" t="s">
        <v>242</v>
      </c>
      <c r="J1218" s="267"/>
      <c r="K1218" s="269" t="n">
        <v>45956</v>
      </c>
      <c r="L1218" s="267" t="n">
        <v>1.1</v>
      </c>
      <c r="M1218" s="184" t="s">
        <v>2402</v>
      </c>
      <c r="N1218" s="184" t="n">
        <v>38380</v>
      </c>
      <c r="O1218" s="184" t="n">
        <v>14800</v>
      </c>
      <c r="P1218" s="185" t="n">
        <v>20</v>
      </c>
      <c r="Q1218" s="184" t="n">
        <v>23580</v>
      </c>
      <c r="R1218" s="184" t="n">
        <v>18864</v>
      </c>
      <c r="S1218" s="184" t="s">
        <v>2827</v>
      </c>
      <c r="T1218" s="187" t="n">
        <v>45956</v>
      </c>
    </row>
    <row r="1219" customFormat="false" ht="23.85" hidden="true" customHeight="false" outlineLevel="0" collapsed="false">
      <c r="A1219" s="181" t="s">
        <v>2828</v>
      </c>
      <c r="B1219" s="182" t="n">
        <v>2681</v>
      </c>
      <c r="C1219" s="183" t="n">
        <v>151</v>
      </c>
      <c r="D1219" s="181" t="s">
        <v>2401</v>
      </c>
      <c r="E1219" s="181" t="s">
        <v>545</v>
      </c>
      <c r="F1219" s="181" t="s">
        <v>546</v>
      </c>
      <c r="G1219" s="181" t="s">
        <v>2402</v>
      </c>
      <c r="H1219" s="181" t="s">
        <v>279</v>
      </c>
      <c r="I1219" s="181" t="s">
        <v>242</v>
      </c>
      <c r="J1219" s="267"/>
      <c r="K1219" s="269" t="n">
        <v>45956</v>
      </c>
      <c r="L1219" s="267" t="n">
        <v>1.1</v>
      </c>
      <c r="M1219" s="184" t="s">
        <v>2402</v>
      </c>
      <c r="N1219" s="184" t="n">
        <v>40120</v>
      </c>
      <c r="O1219" s="184" t="n">
        <v>16280</v>
      </c>
      <c r="P1219" s="185" t="n">
        <v>10</v>
      </c>
      <c r="Q1219" s="184" t="n">
        <v>23840</v>
      </c>
      <c r="R1219" s="184" t="n">
        <v>21456</v>
      </c>
      <c r="S1219" s="184" t="s">
        <v>2829</v>
      </c>
      <c r="T1219" s="187" t="n">
        <v>45956</v>
      </c>
    </row>
    <row r="1220" customFormat="false" ht="23.85" hidden="true" customHeight="false" outlineLevel="0" collapsed="false">
      <c r="A1220" s="181" t="s">
        <v>2832</v>
      </c>
      <c r="B1220" s="182" t="n">
        <v>2682</v>
      </c>
      <c r="C1220" s="183" t="n">
        <v>152</v>
      </c>
      <c r="D1220" s="181" t="s">
        <v>2401</v>
      </c>
      <c r="E1220" s="181" t="s">
        <v>336</v>
      </c>
      <c r="F1220" s="181" t="s">
        <v>337</v>
      </c>
      <c r="G1220" s="181" t="s">
        <v>2402</v>
      </c>
      <c r="H1220" s="181" t="s">
        <v>279</v>
      </c>
      <c r="I1220" s="181" t="s">
        <v>242</v>
      </c>
      <c r="J1220" s="267"/>
      <c r="K1220" s="269" t="n">
        <v>45956</v>
      </c>
      <c r="L1220" s="267" t="n">
        <v>1.2</v>
      </c>
      <c r="M1220" s="184" t="s">
        <v>2402</v>
      </c>
      <c r="N1220" s="184" t="n">
        <v>38970</v>
      </c>
      <c r="O1220" s="184" t="n">
        <v>14770</v>
      </c>
      <c r="P1220" s="185" t="n">
        <v>21</v>
      </c>
      <c r="Q1220" s="184" t="n">
        <v>24200</v>
      </c>
      <c r="R1220" s="184" t="n">
        <v>19118</v>
      </c>
      <c r="S1220" s="184" t="s">
        <v>2833</v>
      </c>
      <c r="T1220" s="187" t="n">
        <v>45956</v>
      </c>
    </row>
    <row r="1221" customFormat="false" ht="23.85" hidden="true" customHeight="false" outlineLevel="0" collapsed="false">
      <c r="A1221" s="181" t="s">
        <v>2840</v>
      </c>
      <c r="B1221" s="182" t="n">
        <v>2683</v>
      </c>
      <c r="C1221" s="183" t="n">
        <v>149</v>
      </c>
      <c r="D1221" s="181" t="s">
        <v>2401</v>
      </c>
      <c r="E1221" s="181" t="s">
        <v>308</v>
      </c>
      <c r="F1221" s="181" t="s">
        <v>309</v>
      </c>
      <c r="G1221" s="181" t="s">
        <v>2728</v>
      </c>
      <c r="H1221" s="181" t="s">
        <v>279</v>
      </c>
      <c r="I1221" s="181" t="s">
        <v>242</v>
      </c>
      <c r="J1221" s="267"/>
      <c r="K1221" s="269" t="n">
        <v>45955</v>
      </c>
      <c r="L1221" s="267" t="n">
        <v>1.8</v>
      </c>
      <c r="M1221" s="184" t="s">
        <v>2728</v>
      </c>
      <c r="N1221" s="184" t="n">
        <v>62600</v>
      </c>
      <c r="O1221" s="184" t="n">
        <v>24250</v>
      </c>
      <c r="P1221" s="185" t="n">
        <v>18</v>
      </c>
      <c r="Q1221" s="184" t="n">
        <v>38350</v>
      </c>
      <c r="R1221" s="184" t="n">
        <v>31447</v>
      </c>
      <c r="S1221" s="184" t="s">
        <v>2841</v>
      </c>
      <c r="T1221" s="187" t="n">
        <v>45956</v>
      </c>
    </row>
    <row r="1222" customFormat="false" ht="35.05" hidden="true" customHeight="false" outlineLevel="0" collapsed="false">
      <c r="A1222" s="181" t="s">
        <v>2842</v>
      </c>
      <c r="B1222" s="182" t="n">
        <v>2685</v>
      </c>
      <c r="C1222" s="183" t="n">
        <v>154</v>
      </c>
      <c r="D1222" s="181" t="s">
        <v>2401</v>
      </c>
      <c r="E1222" s="181" t="s">
        <v>391</v>
      </c>
      <c r="F1222" s="181" t="s">
        <v>392</v>
      </c>
      <c r="G1222" s="181" t="s">
        <v>2728</v>
      </c>
      <c r="H1222" s="181" t="s">
        <v>279</v>
      </c>
      <c r="I1222" s="181" t="s">
        <v>242</v>
      </c>
      <c r="J1222" s="267"/>
      <c r="K1222" s="269" t="n">
        <v>45955</v>
      </c>
      <c r="L1222" s="267" t="n">
        <v>0.9</v>
      </c>
      <c r="M1222" s="184" t="s">
        <v>2728</v>
      </c>
      <c r="N1222" s="184" t="n">
        <v>34980</v>
      </c>
      <c r="O1222" s="184" t="n">
        <v>14840</v>
      </c>
      <c r="P1222" s="185" t="n">
        <v>18</v>
      </c>
      <c r="Q1222" s="184" t="n">
        <v>20140</v>
      </c>
      <c r="R1222" s="184" t="n">
        <v>16514.8</v>
      </c>
      <c r="S1222" s="184" t="s">
        <v>2843</v>
      </c>
      <c r="T1222" s="187" t="n">
        <v>45956</v>
      </c>
    </row>
    <row r="1223" customFormat="false" ht="35.05" hidden="true" customHeight="false" outlineLevel="0" collapsed="false">
      <c r="A1223" s="181" t="s">
        <v>2844</v>
      </c>
      <c r="B1223" s="182" t="n">
        <v>2686</v>
      </c>
      <c r="C1223" s="183" t="n">
        <v>155</v>
      </c>
      <c r="D1223" s="181" t="s">
        <v>2401</v>
      </c>
      <c r="E1223" s="181" t="s">
        <v>537</v>
      </c>
      <c r="F1223" s="181" t="s">
        <v>538</v>
      </c>
      <c r="G1223" s="181" t="s">
        <v>2728</v>
      </c>
      <c r="H1223" s="181" t="s">
        <v>279</v>
      </c>
      <c r="I1223" s="181" t="s">
        <v>242</v>
      </c>
      <c r="J1223" s="267"/>
      <c r="K1223" s="269" t="n">
        <v>45955</v>
      </c>
      <c r="L1223" s="267" t="n">
        <v>1</v>
      </c>
      <c r="M1223" s="184" t="s">
        <v>2728</v>
      </c>
      <c r="N1223" s="184" t="n">
        <v>36390</v>
      </c>
      <c r="O1223" s="184" t="n">
        <v>14210</v>
      </c>
      <c r="P1223" s="185" t="n">
        <v>5</v>
      </c>
      <c r="Q1223" s="184" t="n">
        <v>22180</v>
      </c>
      <c r="R1223" s="184" t="n">
        <v>21071</v>
      </c>
      <c r="S1223" s="184" t="s">
        <v>2845</v>
      </c>
      <c r="T1223" s="187" t="n">
        <v>45956</v>
      </c>
    </row>
    <row r="1224" customFormat="false" ht="23.85" hidden="true" customHeight="false" outlineLevel="0" collapsed="false">
      <c r="A1224" s="181" t="s">
        <v>2848</v>
      </c>
      <c r="B1224" s="182" t="n">
        <v>2688</v>
      </c>
      <c r="C1224" s="183" t="n">
        <v>153</v>
      </c>
      <c r="D1224" s="181" t="s">
        <v>2401</v>
      </c>
      <c r="E1224" s="181" t="s">
        <v>541</v>
      </c>
      <c r="F1224" s="181" t="s">
        <v>542</v>
      </c>
      <c r="G1224" s="181" t="s">
        <v>2728</v>
      </c>
      <c r="H1224" s="181" t="s">
        <v>279</v>
      </c>
      <c r="I1224" s="181" t="s">
        <v>242</v>
      </c>
      <c r="J1224" s="267"/>
      <c r="K1224" s="269" t="n">
        <v>45956</v>
      </c>
      <c r="L1224" s="267" t="n">
        <v>1.1</v>
      </c>
      <c r="M1224" s="184" t="s">
        <v>2728</v>
      </c>
      <c r="N1224" s="184" t="n">
        <v>39260</v>
      </c>
      <c r="O1224" s="184" t="n">
        <v>15160</v>
      </c>
      <c r="P1224" s="185" t="n">
        <v>5</v>
      </c>
      <c r="Q1224" s="184" t="n">
        <v>24100</v>
      </c>
      <c r="R1224" s="184" t="n">
        <v>22895</v>
      </c>
      <c r="S1224" s="184" t="s">
        <v>2849</v>
      </c>
      <c r="T1224" s="187" t="n">
        <v>45956</v>
      </c>
    </row>
    <row r="1225" customFormat="false" ht="35.05" hidden="true" customHeight="false" outlineLevel="0" collapsed="false">
      <c r="A1225" s="181" t="s">
        <v>2850</v>
      </c>
      <c r="B1225" s="182" t="n">
        <v>2689</v>
      </c>
      <c r="C1225" s="183" t="n">
        <v>157</v>
      </c>
      <c r="D1225" s="181" t="s">
        <v>2401</v>
      </c>
      <c r="E1225" s="181" t="s">
        <v>266</v>
      </c>
      <c r="F1225" s="181" t="s">
        <v>267</v>
      </c>
      <c r="G1225" s="181" t="s">
        <v>2728</v>
      </c>
      <c r="H1225" s="181" t="s">
        <v>279</v>
      </c>
      <c r="I1225" s="181" t="s">
        <v>242</v>
      </c>
      <c r="J1225" s="267"/>
      <c r="K1225" s="269" t="n">
        <v>45956</v>
      </c>
      <c r="L1225" s="267" t="n">
        <v>1.1</v>
      </c>
      <c r="M1225" s="184" t="s">
        <v>2728</v>
      </c>
      <c r="N1225" s="184" t="n">
        <v>39280</v>
      </c>
      <c r="O1225" s="184" t="n">
        <v>15360</v>
      </c>
      <c r="P1225" s="185" t="n">
        <v>10</v>
      </c>
      <c r="Q1225" s="184" t="n">
        <v>23920</v>
      </c>
      <c r="R1225" s="184" t="n">
        <v>21528</v>
      </c>
      <c r="S1225" s="184" t="s">
        <v>2851</v>
      </c>
      <c r="T1225" s="187" t="n">
        <v>45956</v>
      </c>
    </row>
    <row r="1226" customFormat="false" ht="35.05" hidden="true" customHeight="false" outlineLevel="0" collapsed="false">
      <c r="A1226" s="181" t="s">
        <v>2852</v>
      </c>
      <c r="B1226" s="182" t="n">
        <v>2691</v>
      </c>
      <c r="C1226" s="183" t="n">
        <v>156</v>
      </c>
      <c r="D1226" s="181" t="s">
        <v>2401</v>
      </c>
      <c r="E1226" s="181" t="s">
        <v>399</v>
      </c>
      <c r="F1226" s="181" t="s">
        <v>400</v>
      </c>
      <c r="G1226" s="181" t="s">
        <v>2728</v>
      </c>
      <c r="H1226" s="181" t="s">
        <v>279</v>
      </c>
      <c r="I1226" s="181" t="s">
        <v>242</v>
      </c>
      <c r="J1226" s="267"/>
      <c r="K1226" s="269" t="n">
        <v>45956</v>
      </c>
      <c r="L1226" s="267" t="n">
        <v>1.6</v>
      </c>
      <c r="M1226" s="184" t="s">
        <v>2728</v>
      </c>
      <c r="N1226" s="184" t="n">
        <v>53440</v>
      </c>
      <c r="O1226" s="184" t="n">
        <v>19890</v>
      </c>
      <c r="P1226" s="185" t="n">
        <v>11</v>
      </c>
      <c r="Q1226" s="184" t="n">
        <v>33550</v>
      </c>
      <c r="R1226" s="184" t="n">
        <v>29859.5</v>
      </c>
      <c r="S1226" s="184" t="s">
        <v>2853</v>
      </c>
      <c r="T1226" s="187" t="n">
        <v>45956</v>
      </c>
    </row>
    <row r="1227" customFormat="false" ht="46.25" hidden="true" customHeight="false" outlineLevel="0" collapsed="false">
      <c r="A1227" s="181" t="s">
        <v>2860</v>
      </c>
      <c r="B1227" s="182" t="n">
        <v>2692</v>
      </c>
      <c r="C1227" s="183" t="n">
        <v>159</v>
      </c>
      <c r="D1227" s="181" t="s">
        <v>2401</v>
      </c>
      <c r="E1227" s="181" t="s">
        <v>383</v>
      </c>
      <c r="F1227" s="181" t="s">
        <v>384</v>
      </c>
      <c r="G1227" s="181" t="s">
        <v>2728</v>
      </c>
      <c r="H1227" s="181" t="s">
        <v>279</v>
      </c>
      <c r="I1227" s="181" t="s">
        <v>242</v>
      </c>
      <c r="J1227" s="267"/>
      <c r="K1227" s="269" t="n">
        <v>45956</v>
      </c>
      <c r="L1227" s="267" t="n">
        <v>1.2</v>
      </c>
      <c r="M1227" s="184" t="s">
        <v>2728</v>
      </c>
      <c r="N1227" s="184" t="n">
        <v>41170</v>
      </c>
      <c r="O1227" s="184" t="n">
        <v>15440</v>
      </c>
      <c r="P1227" s="185" t="n">
        <v>8</v>
      </c>
      <c r="Q1227" s="184" t="n">
        <v>25730</v>
      </c>
      <c r="R1227" s="184" t="n">
        <v>23671.6</v>
      </c>
      <c r="S1227" s="184" t="s">
        <v>2861</v>
      </c>
      <c r="T1227" s="187" t="n">
        <v>45957</v>
      </c>
    </row>
    <row r="1228" customFormat="false" ht="35.05" hidden="true" customHeight="false" outlineLevel="0" collapsed="false">
      <c r="A1228" s="181" t="s">
        <v>2862</v>
      </c>
      <c r="B1228" s="182" t="n">
        <v>2695</v>
      </c>
      <c r="C1228" s="183" t="n">
        <v>160</v>
      </c>
      <c r="D1228" s="181" t="s">
        <v>2401</v>
      </c>
      <c r="E1228" s="181" t="s">
        <v>387</v>
      </c>
      <c r="F1228" s="181" t="s">
        <v>388</v>
      </c>
      <c r="G1228" s="181" t="s">
        <v>2728</v>
      </c>
      <c r="H1228" s="181" t="s">
        <v>279</v>
      </c>
      <c r="I1228" s="181" t="s">
        <v>242</v>
      </c>
      <c r="J1228" s="267"/>
      <c r="K1228" s="269" t="n">
        <v>45956</v>
      </c>
      <c r="L1228" s="267" t="n">
        <v>1.3</v>
      </c>
      <c r="M1228" s="184" t="s">
        <v>2728</v>
      </c>
      <c r="N1228" s="184" t="n">
        <v>43410</v>
      </c>
      <c r="O1228" s="184" t="n">
        <v>15450</v>
      </c>
      <c r="P1228" s="185" t="n">
        <v>9</v>
      </c>
      <c r="Q1228" s="184" t="n">
        <v>27960</v>
      </c>
      <c r="R1228" s="184" t="n">
        <v>25443.6</v>
      </c>
      <c r="S1228" s="184" t="s">
        <v>2863</v>
      </c>
      <c r="T1228" s="187" t="n">
        <v>45957</v>
      </c>
    </row>
    <row r="1229" customFormat="false" ht="35.05" hidden="true" customHeight="false" outlineLevel="0" collapsed="false">
      <c r="A1229" s="181" t="s">
        <v>2866</v>
      </c>
      <c r="B1229" s="182" t="n">
        <v>2694</v>
      </c>
      <c r="C1229" s="183" t="n">
        <v>158</v>
      </c>
      <c r="D1229" s="181" t="s">
        <v>2401</v>
      </c>
      <c r="E1229" s="181" t="s">
        <v>377</v>
      </c>
      <c r="F1229" s="181" t="s">
        <v>378</v>
      </c>
      <c r="G1229" s="181" t="s">
        <v>2728</v>
      </c>
      <c r="H1229" s="181" t="s">
        <v>279</v>
      </c>
      <c r="I1229" s="181" t="s">
        <v>242</v>
      </c>
      <c r="J1229" s="267"/>
      <c r="K1229" s="269" t="n">
        <v>45957</v>
      </c>
      <c r="L1229" s="267" t="n">
        <v>1.3</v>
      </c>
      <c r="M1229" s="184" t="s">
        <v>2728</v>
      </c>
      <c r="N1229" s="184" t="n">
        <v>43310</v>
      </c>
      <c r="O1229" s="184" t="n">
        <v>15910</v>
      </c>
      <c r="P1229" s="185" t="n">
        <v>8</v>
      </c>
      <c r="Q1229" s="184" t="n">
        <v>27400</v>
      </c>
      <c r="R1229" s="184" t="n">
        <v>25208</v>
      </c>
      <c r="S1229" s="184" t="s">
        <v>2867</v>
      </c>
      <c r="T1229" s="187" t="n">
        <v>45957</v>
      </c>
    </row>
    <row r="1230" customFormat="false" ht="35.05" hidden="true" customHeight="false" outlineLevel="0" collapsed="false">
      <c r="A1230" s="181" t="s">
        <v>2874</v>
      </c>
      <c r="B1230" s="182" t="n">
        <v>2697</v>
      </c>
      <c r="C1230" s="183" t="n">
        <v>161</v>
      </c>
      <c r="D1230" s="181" t="s">
        <v>2401</v>
      </c>
      <c r="E1230" s="181" t="s">
        <v>350</v>
      </c>
      <c r="F1230" s="181" t="s">
        <v>351</v>
      </c>
      <c r="G1230" s="181" t="s">
        <v>2728</v>
      </c>
      <c r="H1230" s="181" t="s">
        <v>279</v>
      </c>
      <c r="I1230" s="181" t="s">
        <v>242</v>
      </c>
      <c r="J1230" s="267"/>
      <c r="K1230" s="269" t="n">
        <v>45957</v>
      </c>
      <c r="L1230" s="267" t="n">
        <v>1.3</v>
      </c>
      <c r="M1230" s="184" t="s">
        <v>2728</v>
      </c>
      <c r="N1230" s="184" t="n">
        <v>43460</v>
      </c>
      <c r="O1230" s="184" t="n">
        <v>15230</v>
      </c>
      <c r="P1230" s="185" t="n">
        <v>9</v>
      </c>
      <c r="Q1230" s="184" t="n">
        <v>28230</v>
      </c>
      <c r="R1230" s="184" t="n">
        <v>25689.3</v>
      </c>
      <c r="S1230" s="184" t="s">
        <v>2875</v>
      </c>
      <c r="T1230" s="187" t="n">
        <v>45957</v>
      </c>
    </row>
    <row r="1231" customFormat="false" ht="23.85" hidden="true" customHeight="false" outlineLevel="0" collapsed="false">
      <c r="A1231" s="181" t="s">
        <v>2878</v>
      </c>
      <c r="B1231" s="182" t="n">
        <v>2698</v>
      </c>
      <c r="C1231" s="183" t="n">
        <v>162</v>
      </c>
      <c r="D1231" s="181" t="s">
        <v>2401</v>
      </c>
      <c r="E1231" s="181" t="s">
        <v>373</v>
      </c>
      <c r="F1231" s="181" t="s">
        <v>374</v>
      </c>
      <c r="G1231" s="181" t="s">
        <v>2728</v>
      </c>
      <c r="H1231" s="181" t="s">
        <v>279</v>
      </c>
      <c r="I1231" s="181" t="s">
        <v>242</v>
      </c>
      <c r="J1231" s="267"/>
      <c r="K1231" s="269" t="n">
        <v>45957</v>
      </c>
      <c r="L1231" s="267" t="n">
        <v>1.2</v>
      </c>
      <c r="M1231" s="184" t="s">
        <v>2728</v>
      </c>
      <c r="N1231" s="184" t="n">
        <v>40650</v>
      </c>
      <c r="O1231" s="184" t="n">
        <v>14530</v>
      </c>
      <c r="P1231" s="185" t="n">
        <v>11</v>
      </c>
      <c r="Q1231" s="184" t="n">
        <v>26120</v>
      </c>
      <c r="R1231" s="184" t="n">
        <v>23246.8</v>
      </c>
      <c r="S1231" s="184" t="s">
        <v>2879</v>
      </c>
      <c r="T1231" s="187" t="n">
        <v>45957</v>
      </c>
    </row>
    <row r="1232" customFormat="false" ht="35.05" hidden="true" customHeight="false" outlineLevel="0" collapsed="false">
      <c r="A1232" s="181" t="s">
        <v>2880</v>
      </c>
      <c r="B1232" s="182" t="n">
        <v>2703</v>
      </c>
      <c r="C1232" s="183" t="n">
        <v>163</v>
      </c>
      <c r="D1232" s="181" t="s">
        <v>2401</v>
      </c>
      <c r="E1232" s="181" t="s">
        <v>261</v>
      </c>
      <c r="F1232" s="181" t="s">
        <v>262</v>
      </c>
      <c r="G1232" s="181" t="s">
        <v>2728</v>
      </c>
      <c r="H1232" s="181" t="s">
        <v>279</v>
      </c>
      <c r="I1232" s="181" t="s">
        <v>242</v>
      </c>
      <c r="J1232" s="267"/>
      <c r="K1232" s="269" t="n">
        <v>45957</v>
      </c>
      <c r="L1232" s="267" t="n">
        <v>1.1</v>
      </c>
      <c r="M1232" s="184" t="s">
        <v>2728</v>
      </c>
      <c r="N1232" s="184" t="n">
        <v>38230</v>
      </c>
      <c r="O1232" s="184" t="n">
        <v>15680</v>
      </c>
      <c r="P1232" s="185" t="n">
        <v>7</v>
      </c>
      <c r="Q1232" s="184" t="n">
        <v>22550</v>
      </c>
      <c r="R1232" s="184" t="n">
        <v>20971.5</v>
      </c>
      <c r="S1232" s="184" t="s">
        <v>2881</v>
      </c>
      <c r="T1232" s="187" t="n">
        <v>45957</v>
      </c>
    </row>
    <row r="1233" customFormat="false" ht="23.85" hidden="true" customHeight="false" outlineLevel="0" collapsed="false">
      <c r="A1233" s="181" t="s">
        <v>2854</v>
      </c>
      <c r="B1233" s="182" t="n">
        <v>2707</v>
      </c>
      <c r="C1233" s="183" t="n">
        <v>164</v>
      </c>
      <c r="D1233" s="181" t="s">
        <v>2401</v>
      </c>
      <c r="E1233" s="181" t="s">
        <v>367</v>
      </c>
      <c r="F1233" s="181" t="s">
        <v>368</v>
      </c>
      <c r="G1233" s="181" t="s">
        <v>2728</v>
      </c>
      <c r="H1233" s="181" t="s">
        <v>279</v>
      </c>
      <c r="I1233" s="181" t="s">
        <v>242</v>
      </c>
      <c r="J1233" s="267"/>
      <c r="K1233" s="269" t="n">
        <v>45956</v>
      </c>
      <c r="L1233" s="267" t="n">
        <v>1.5</v>
      </c>
      <c r="M1233" s="184" t="s">
        <v>2728</v>
      </c>
      <c r="N1233" s="184" t="n">
        <v>50770</v>
      </c>
      <c r="O1233" s="184" t="n">
        <v>18900</v>
      </c>
      <c r="P1233" s="185" t="n">
        <v>5</v>
      </c>
      <c r="Q1233" s="184" t="n">
        <v>31870</v>
      </c>
      <c r="R1233" s="184" t="n">
        <v>30276.5</v>
      </c>
      <c r="S1233" s="184" t="s">
        <v>2855</v>
      </c>
      <c r="T1233" s="187" t="n">
        <v>45957</v>
      </c>
    </row>
    <row r="1234" customFormat="false" ht="23.85" hidden="true" customHeight="false" outlineLevel="0" collapsed="false">
      <c r="A1234" s="181" t="s">
        <v>2856</v>
      </c>
      <c r="B1234" s="182" t="n">
        <v>2712</v>
      </c>
      <c r="C1234" s="183" t="n">
        <v>165</v>
      </c>
      <c r="D1234" s="181" t="s">
        <v>2401</v>
      </c>
      <c r="E1234" s="181" t="s">
        <v>354</v>
      </c>
      <c r="F1234" s="181" t="s">
        <v>355</v>
      </c>
      <c r="G1234" s="181" t="s">
        <v>2728</v>
      </c>
      <c r="H1234" s="181" t="s">
        <v>279</v>
      </c>
      <c r="I1234" s="181" t="s">
        <v>242</v>
      </c>
      <c r="J1234" s="267"/>
      <c r="K1234" s="269" t="n">
        <v>45956</v>
      </c>
      <c r="L1234" s="267" t="n">
        <v>1.2</v>
      </c>
      <c r="M1234" s="184" t="s">
        <v>2728</v>
      </c>
      <c r="N1234" s="184" t="n">
        <v>39960</v>
      </c>
      <c r="O1234" s="184" t="n">
        <v>15130</v>
      </c>
      <c r="P1234" s="185" t="n">
        <v>7</v>
      </c>
      <c r="Q1234" s="184" t="n">
        <v>24830</v>
      </c>
      <c r="R1234" s="184" t="n">
        <v>23091.9</v>
      </c>
      <c r="S1234" s="184" t="s">
        <v>2857</v>
      </c>
      <c r="T1234" s="187" t="n">
        <v>45957</v>
      </c>
    </row>
    <row r="1235" customFormat="false" ht="35.05" hidden="true" customHeight="false" outlineLevel="0" collapsed="false">
      <c r="A1235" s="181" t="s">
        <v>2858</v>
      </c>
      <c r="B1235" s="182" t="n">
        <v>2713</v>
      </c>
      <c r="C1235" s="183" t="n">
        <v>166</v>
      </c>
      <c r="D1235" s="181" t="s">
        <v>2401</v>
      </c>
      <c r="E1235" s="181" t="s">
        <v>359</v>
      </c>
      <c r="F1235" s="181" t="s">
        <v>360</v>
      </c>
      <c r="G1235" s="181" t="s">
        <v>2728</v>
      </c>
      <c r="H1235" s="181" t="s">
        <v>279</v>
      </c>
      <c r="I1235" s="181" t="s">
        <v>242</v>
      </c>
      <c r="J1235" s="267"/>
      <c r="K1235" s="269" t="n">
        <v>45956</v>
      </c>
      <c r="L1235" s="267" t="n">
        <v>1.1</v>
      </c>
      <c r="M1235" s="184" t="s">
        <v>2728</v>
      </c>
      <c r="N1235" s="184" t="n">
        <v>38270</v>
      </c>
      <c r="O1235" s="184" t="n">
        <v>15200</v>
      </c>
      <c r="P1235" s="185" t="n">
        <v>9</v>
      </c>
      <c r="Q1235" s="184" t="n">
        <v>23070</v>
      </c>
      <c r="R1235" s="184" t="n">
        <v>20993.7</v>
      </c>
      <c r="S1235" s="184" t="s">
        <v>2859</v>
      </c>
      <c r="T1235" s="187" t="n">
        <v>45957</v>
      </c>
    </row>
    <row r="1236" customFormat="false" ht="35.05" hidden="true" customHeight="false" outlineLevel="0" collapsed="false">
      <c r="A1236" s="181" t="s">
        <v>2864</v>
      </c>
      <c r="B1236" s="182" t="n">
        <v>2715</v>
      </c>
      <c r="C1236" s="183" t="n">
        <v>167</v>
      </c>
      <c r="D1236" s="181" t="s">
        <v>2401</v>
      </c>
      <c r="E1236" s="181" t="s">
        <v>413</v>
      </c>
      <c r="F1236" s="181" t="s">
        <v>414</v>
      </c>
      <c r="G1236" s="181" t="s">
        <v>2728</v>
      </c>
      <c r="H1236" s="181" t="s">
        <v>279</v>
      </c>
      <c r="I1236" s="181" t="s">
        <v>242</v>
      </c>
      <c r="J1236" s="267"/>
      <c r="K1236" s="269" t="n">
        <v>45956</v>
      </c>
      <c r="L1236" s="267" t="n">
        <v>1.5</v>
      </c>
      <c r="M1236" s="184" t="s">
        <v>2728</v>
      </c>
      <c r="N1236" s="184" t="n">
        <v>47940</v>
      </c>
      <c r="O1236" s="184" t="n">
        <v>16130</v>
      </c>
      <c r="P1236" s="185" t="n">
        <v>10</v>
      </c>
      <c r="Q1236" s="184" t="n">
        <v>31810</v>
      </c>
      <c r="R1236" s="184" t="n">
        <v>28629</v>
      </c>
      <c r="S1236" s="184" t="s">
        <v>2865</v>
      </c>
      <c r="T1236" s="187" t="n">
        <v>45957</v>
      </c>
    </row>
    <row r="1237" customFormat="false" ht="35.05" hidden="true" customHeight="false" outlineLevel="0" collapsed="false">
      <c r="A1237" s="181" t="s">
        <v>2868</v>
      </c>
      <c r="B1237" s="182" t="n">
        <v>2716</v>
      </c>
      <c r="C1237" s="183" t="n">
        <v>168</v>
      </c>
      <c r="D1237" s="181" t="s">
        <v>2401</v>
      </c>
      <c r="E1237" s="181" t="s">
        <v>277</v>
      </c>
      <c r="F1237" s="181" t="s">
        <v>278</v>
      </c>
      <c r="G1237" s="181" t="s">
        <v>2728</v>
      </c>
      <c r="H1237" s="181" t="s">
        <v>279</v>
      </c>
      <c r="I1237" s="181" t="s">
        <v>242</v>
      </c>
      <c r="J1237" s="267"/>
      <c r="K1237" s="269" t="n">
        <v>45957</v>
      </c>
      <c r="L1237" s="267" t="n">
        <v>1.3</v>
      </c>
      <c r="M1237" s="184" t="s">
        <v>2728</v>
      </c>
      <c r="N1237" s="184" t="n">
        <v>43360</v>
      </c>
      <c r="O1237" s="184" t="n">
        <v>15450</v>
      </c>
      <c r="P1237" s="185" t="n">
        <v>11</v>
      </c>
      <c r="Q1237" s="184" t="n">
        <v>27910</v>
      </c>
      <c r="R1237" s="184" t="n">
        <v>24839.9</v>
      </c>
      <c r="S1237" s="184" t="s">
        <v>2869</v>
      </c>
      <c r="T1237" s="187" t="n">
        <v>45957</v>
      </c>
    </row>
    <row r="1238" customFormat="false" ht="35.05" hidden="true" customHeight="false" outlineLevel="0" collapsed="false">
      <c r="A1238" s="181" t="s">
        <v>2870</v>
      </c>
      <c r="B1238" s="182" t="n">
        <v>2718</v>
      </c>
      <c r="C1238" s="183" t="n">
        <v>169</v>
      </c>
      <c r="D1238" s="181" t="s">
        <v>2401</v>
      </c>
      <c r="E1238" s="181" t="s">
        <v>549</v>
      </c>
      <c r="F1238" s="181" t="s">
        <v>550</v>
      </c>
      <c r="G1238" s="181" t="s">
        <v>2728</v>
      </c>
      <c r="H1238" s="181" t="s">
        <v>279</v>
      </c>
      <c r="I1238" s="181" t="s">
        <v>242</v>
      </c>
      <c r="J1238" s="267"/>
      <c r="K1238" s="269" t="n">
        <v>45957</v>
      </c>
      <c r="L1238" s="267" t="n">
        <v>1.2</v>
      </c>
      <c r="M1238" s="184" t="s">
        <v>2728</v>
      </c>
      <c r="N1238" s="184" t="n">
        <v>41890</v>
      </c>
      <c r="O1238" s="184" t="n">
        <v>16080</v>
      </c>
      <c r="P1238" s="185" t="n">
        <v>9</v>
      </c>
      <c r="Q1238" s="184" t="n">
        <v>25810</v>
      </c>
      <c r="R1238" s="184" t="n">
        <v>23487.1</v>
      </c>
      <c r="S1238" s="184" t="s">
        <v>2871</v>
      </c>
      <c r="T1238" s="187" t="n">
        <v>45957</v>
      </c>
    </row>
    <row r="1239" customFormat="false" ht="35.05" hidden="true" customHeight="false" outlineLevel="0" collapsed="false">
      <c r="A1239" s="181" t="s">
        <v>2872</v>
      </c>
      <c r="B1239" s="182" t="n">
        <v>2719</v>
      </c>
      <c r="C1239" s="183" t="n">
        <v>170</v>
      </c>
      <c r="D1239" s="181" t="s">
        <v>2401</v>
      </c>
      <c r="E1239" s="181" t="s">
        <v>409</v>
      </c>
      <c r="F1239" s="181" t="s">
        <v>410</v>
      </c>
      <c r="G1239" s="181" t="s">
        <v>2728</v>
      </c>
      <c r="H1239" s="181" t="s">
        <v>279</v>
      </c>
      <c r="I1239" s="181" t="s">
        <v>242</v>
      </c>
      <c r="J1239" s="267"/>
      <c r="K1239" s="269" t="n">
        <v>45957</v>
      </c>
      <c r="L1239" s="267" t="n">
        <v>2</v>
      </c>
      <c r="M1239" s="184" t="s">
        <v>2728</v>
      </c>
      <c r="N1239" s="184" t="n">
        <v>66710</v>
      </c>
      <c r="O1239" s="184" t="n">
        <v>24970</v>
      </c>
      <c r="P1239" s="185" t="n">
        <v>14</v>
      </c>
      <c r="Q1239" s="184" t="n">
        <v>41740</v>
      </c>
      <c r="R1239" s="184" t="n">
        <v>35896.4</v>
      </c>
      <c r="S1239" s="184" t="s">
        <v>2873</v>
      </c>
      <c r="T1239" s="187" t="n">
        <v>45957</v>
      </c>
    </row>
    <row r="1240" customFormat="false" ht="35.05" hidden="true" customHeight="false" outlineLevel="0" collapsed="false">
      <c r="A1240" s="181" t="s">
        <v>2882</v>
      </c>
      <c r="B1240" s="182" t="n">
        <v>2721</v>
      </c>
      <c r="C1240" s="183" t="n">
        <v>174</v>
      </c>
      <c r="D1240" s="181" t="s">
        <v>2401</v>
      </c>
      <c r="E1240" s="181" t="s">
        <v>332</v>
      </c>
      <c r="F1240" s="181" t="s">
        <v>333</v>
      </c>
      <c r="G1240" s="181" t="s">
        <v>2728</v>
      </c>
      <c r="H1240" s="181" t="s">
        <v>279</v>
      </c>
      <c r="I1240" s="181" t="s">
        <v>242</v>
      </c>
      <c r="J1240" s="267"/>
      <c r="K1240" s="269" t="n">
        <v>45957</v>
      </c>
      <c r="L1240" s="267" t="n">
        <v>1.1</v>
      </c>
      <c r="M1240" s="184" t="s">
        <v>2728</v>
      </c>
      <c r="N1240" s="184" t="n">
        <v>37930</v>
      </c>
      <c r="O1240" s="184" t="n">
        <v>14950</v>
      </c>
      <c r="P1240" s="185" t="n">
        <v>6</v>
      </c>
      <c r="Q1240" s="184" t="n">
        <v>22980</v>
      </c>
      <c r="R1240" s="184" t="n">
        <v>21601.2</v>
      </c>
      <c r="S1240" s="184" t="s">
        <v>2883</v>
      </c>
      <c r="T1240" s="187" t="n">
        <v>45957</v>
      </c>
    </row>
    <row r="1241" customFormat="false" ht="35.05" hidden="true" customHeight="false" outlineLevel="0" collapsed="false">
      <c r="A1241" s="181" t="s">
        <v>2884</v>
      </c>
      <c r="B1241" s="182" t="n">
        <v>2722</v>
      </c>
      <c r="C1241" s="183" t="n">
        <v>172</v>
      </c>
      <c r="D1241" s="181" t="s">
        <v>2401</v>
      </c>
      <c r="E1241" s="181" t="s">
        <v>300</v>
      </c>
      <c r="F1241" s="181" t="s">
        <v>301</v>
      </c>
      <c r="G1241" s="181" t="s">
        <v>2728</v>
      </c>
      <c r="H1241" s="181" t="s">
        <v>279</v>
      </c>
      <c r="I1241" s="181" t="s">
        <v>242</v>
      </c>
      <c r="J1241" s="267"/>
      <c r="K1241" s="269" t="n">
        <v>45957</v>
      </c>
      <c r="L1241" s="267" t="n">
        <v>1.9</v>
      </c>
      <c r="M1241" s="184" t="s">
        <v>2728</v>
      </c>
      <c r="N1241" s="184" t="n">
        <v>62830</v>
      </c>
      <c r="O1241" s="184" t="n">
        <v>21410</v>
      </c>
      <c r="P1241" s="185" t="n">
        <v>16</v>
      </c>
      <c r="Q1241" s="184" t="n">
        <v>41420</v>
      </c>
      <c r="R1241" s="184" t="n">
        <v>34792.8</v>
      </c>
      <c r="S1241" s="184" t="s">
        <v>2885</v>
      </c>
      <c r="T1241" s="187" t="n">
        <v>45957</v>
      </c>
    </row>
    <row r="1242" customFormat="false" ht="46.25" hidden="true" customHeight="false" outlineLevel="0" collapsed="false">
      <c r="A1242" s="181" t="s">
        <v>2886</v>
      </c>
      <c r="B1242" s="182" t="n">
        <v>2724</v>
      </c>
      <c r="C1242" s="183" t="n">
        <v>175</v>
      </c>
      <c r="D1242" s="181" t="s">
        <v>2401</v>
      </c>
      <c r="E1242" s="181" t="s">
        <v>288</v>
      </c>
      <c r="F1242" s="181" t="s">
        <v>289</v>
      </c>
      <c r="G1242" s="181" t="s">
        <v>2728</v>
      </c>
      <c r="H1242" s="181" t="s">
        <v>279</v>
      </c>
      <c r="I1242" s="181" t="s">
        <v>242</v>
      </c>
      <c r="J1242" s="267"/>
      <c r="K1242" s="269" t="n">
        <v>45957</v>
      </c>
      <c r="L1242" s="267" t="n">
        <v>1</v>
      </c>
      <c r="M1242" s="184" t="s">
        <v>2728</v>
      </c>
      <c r="N1242" s="184" t="n">
        <v>36980</v>
      </c>
      <c r="O1242" s="184" t="n">
        <v>14950</v>
      </c>
      <c r="P1242" s="185" t="n">
        <v>6</v>
      </c>
      <c r="Q1242" s="184" t="n">
        <v>22030</v>
      </c>
      <c r="R1242" s="184" t="n">
        <v>20708.2</v>
      </c>
      <c r="S1242" s="184" t="s">
        <v>2887</v>
      </c>
      <c r="T1242" s="187" t="n">
        <v>45957</v>
      </c>
    </row>
    <row r="1243" customFormat="false" ht="35.05" hidden="true" customHeight="false" outlineLevel="0" collapsed="false">
      <c r="A1243" s="181" t="s">
        <v>2876</v>
      </c>
      <c r="B1243" s="182" t="n">
        <v>2720</v>
      </c>
      <c r="C1243" s="183" t="n">
        <v>173</v>
      </c>
      <c r="D1243" s="181" t="s">
        <v>2401</v>
      </c>
      <c r="E1243" s="181" t="s">
        <v>582</v>
      </c>
      <c r="F1243" s="181" t="s">
        <v>583</v>
      </c>
      <c r="G1243" s="181" t="s">
        <v>2728</v>
      </c>
      <c r="H1243" s="181" t="s">
        <v>279</v>
      </c>
      <c r="I1243" s="181" t="s">
        <v>242</v>
      </c>
      <c r="J1243" s="267"/>
      <c r="K1243" s="269" t="n">
        <v>45957</v>
      </c>
      <c r="L1243" s="267" t="n">
        <v>1.2</v>
      </c>
      <c r="M1243" s="184" t="s">
        <v>2728</v>
      </c>
      <c r="N1243" s="184" t="n">
        <v>40500</v>
      </c>
      <c r="O1243" s="184" t="n">
        <v>15220</v>
      </c>
      <c r="P1243" s="185" t="n">
        <v>8</v>
      </c>
      <c r="Q1243" s="184" t="n">
        <v>25280</v>
      </c>
      <c r="R1243" s="184" t="n">
        <v>23257.6</v>
      </c>
      <c r="S1243" s="184" t="s">
        <v>2877</v>
      </c>
      <c r="T1243" s="187" t="n">
        <v>45957</v>
      </c>
    </row>
    <row r="1244" customFormat="false" ht="23.85" hidden="true" customHeight="false" outlineLevel="0" collapsed="false">
      <c r="A1244" s="181" t="s">
        <v>2888</v>
      </c>
      <c r="B1244" s="182" t="n">
        <v>2725</v>
      </c>
      <c r="C1244" s="183" t="n">
        <v>176</v>
      </c>
      <c r="D1244" s="181" t="s">
        <v>2401</v>
      </c>
      <c r="E1244" s="181" t="s">
        <v>533</v>
      </c>
      <c r="F1244" s="181" t="s">
        <v>534</v>
      </c>
      <c r="G1244" s="181" t="s">
        <v>2728</v>
      </c>
      <c r="H1244" s="181" t="s">
        <v>279</v>
      </c>
      <c r="I1244" s="181" t="s">
        <v>242</v>
      </c>
      <c r="J1244" s="267"/>
      <c r="K1244" s="269" t="n">
        <v>45957</v>
      </c>
      <c r="L1244" s="267" t="n">
        <v>1.1</v>
      </c>
      <c r="M1244" s="184" t="s">
        <v>2728</v>
      </c>
      <c r="N1244" s="184" t="n">
        <v>39170</v>
      </c>
      <c r="O1244" s="184" t="n">
        <v>14840</v>
      </c>
      <c r="P1244" s="185" t="n">
        <v>5</v>
      </c>
      <c r="Q1244" s="184" t="n">
        <v>24330</v>
      </c>
      <c r="R1244" s="184" t="n">
        <v>23113.5</v>
      </c>
      <c r="S1244" s="184" t="s">
        <v>2889</v>
      </c>
      <c r="T1244" s="187" t="n">
        <v>45957</v>
      </c>
    </row>
    <row r="1245" customFormat="false" ht="23.85" hidden="true" customHeight="false" outlineLevel="0" collapsed="false">
      <c r="A1245" s="181" t="s">
        <v>2890</v>
      </c>
      <c r="B1245" s="182" t="n">
        <v>2727</v>
      </c>
      <c r="C1245" s="183" t="n">
        <v>177</v>
      </c>
      <c r="D1245" s="181" t="s">
        <v>2401</v>
      </c>
      <c r="E1245" s="181" t="s">
        <v>545</v>
      </c>
      <c r="F1245" s="181" t="s">
        <v>546</v>
      </c>
      <c r="G1245" s="181" t="s">
        <v>2728</v>
      </c>
      <c r="H1245" s="181" t="s">
        <v>279</v>
      </c>
      <c r="I1245" s="181" t="s">
        <v>242</v>
      </c>
      <c r="J1245" s="267"/>
      <c r="K1245" s="269" t="n">
        <v>45957</v>
      </c>
      <c r="L1245" s="267" t="n">
        <v>1.1</v>
      </c>
      <c r="M1245" s="184" t="s">
        <v>2728</v>
      </c>
      <c r="N1245" s="184" t="n">
        <v>39930</v>
      </c>
      <c r="O1245" s="184" t="n">
        <v>16150</v>
      </c>
      <c r="P1245" s="185" t="n">
        <v>8</v>
      </c>
      <c r="Q1245" s="184" t="n">
        <v>23780</v>
      </c>
      <c r="R1245" s="184" t="n">
        <v>21877.6</v>
      </c>
      <c r="S1245" s="184" t="s">
        <v>2891</v>
      </c>
      <c r="T1245" s="187" t="n">
        <v>45958</v>
      </c>
    </row>
    <row r="1246" customFormat="false" ht="23.85" hidden="true" customHeight="false" outlineLevel="0" collapsed="false">
      <c r="A1246" s="181" t="s">
        <v>2898</v>
      </c>
      <c r="B1246" s="182" t="n">
        <v>2728</v>
      </c>
      <c r="C1246" s="183" t="n">
        <v>178</v>
      </c>
      <c r="D1246" s="181" t="s">
        <v>2401</v>
      </c>
      <c r="E1246" s="181" t="s">
        <v>336</v>
      </c>
      <c r="F1246" s="181" t="s">
        <v>337</v>
      </c>
      <c r="G1246" s="181" t="s">
        <v>2728</v>
      </c>
      <c r="H1246" s="181" t="s">
        <v>279</v>
      </c>
      <c r="I1246" s="181" t="s">
        <v>242</v>
      </c>
      <c r="J1246" s="267"/>
      <c r="K1246" s="269" t="n">
        <v>45957</v>
      </c>
      <c r="L1246" s="267" t="n">
        <v>1.1</v>
      </c>
      <c r="M1246" s="184" t="s">
        <v>2728</v>
      </c>
      <c r="N1246" s="184" t="n">
        <v>39210</v>
      </c>
      <c r="O1246" s="184" t="n">
        <v>14730</v>
      </c>
      <c r="P1246" s="185" t="n">
        <v>10</v>
      </c>
      <c r="Q1246" s="184" t="n">
        <v>24480</v>
      </c>
      <c r="R1246" s="184" t="n">
        <v>22032</v>
      </c>
      <c r="S1246" s="184" t="s">
        <v>2899</v>
      </c>
      <c r="T1246" s="187" t="n">
        <v>45958</v>
      </c>
    </row>
    <row r="1247" customFormat="false" ht="23.85" hidden="true" customHeight="false" outlineLevel="0" collapsed="false">
      <c r="A1247" s="181" t="s">
        <v>2900</v>
      </c>
      <c r="B1247" s="182" t="n">
        <v>2730</v>
      </c>
      <c r="C1247" s="183" t="n">
        <v>179</v>
      </c>
      <c r="D1247" s="181" t="s">
        <v>2401</v>
      </c>
      <c r="E1247" s="181" t="s">
        <v>292</v>
      </c>
      <c r="F1247" s="181" t="s">
        <v>293</v>
      </c>
      <c r="G1247" s="181" t="s">
        <v>2728</v>
      </c>
      <c r="H1247" s="181" t="s">
        <v>279</v>
      </c>
      <c r="I1247" s="181" t="s">
        <v>242</v>
      </c>
      <c r="J1247" s="267"/>
      <c r="K1247" s="269" t="n">
        <v>45957</v>
      </c>
      <c r="L1247" s="267" t="n">
        <v>1</v>
      </c>
      <c r="M1247" s="184" t="s">
        <v>2728</v>
      </c>
      <c r="N1247" s="184" t="n">
        <v>35840</v>
      </c>
      <c r="O1247" s="184" t="n">
        <v>14030</v>
      </c>
      <c r="P1247" s="185" t="n">
        <v>32</v>
      </c>
      <c r="Q1247" s="184" t="n">
        <v>21810</v>
      </c>
      <c r="R1247" s="184" t="n">
        <v>14830.8</v>
      </c>
      <c r="S1247" s="184" t="s">
        <v>2901</v>
      </c>
      <c r="T1247" s="187" t="n">
        <v>45958</v>
      </c>
    </row>
    <row r="1248" customFormat="false" ht="35.05" hidden="true" customHeight="false" outlineLevel="0" collapsed="false">
      <c r="A1248" s="181" t="s">
        <v>2902</v>
      </c>
      <c r="B1248" s="182" t="n">
        <v>2733</v>
      </c>
      <c r="C1248" s="183" t="n">
        <v>180</v>
      </c>
      <c r="D1248" s="181" t="s">
        <v>2401</v>
      </c>
      <c r="E1248" s="181" t="s">
        <v>304</v>
      </c>
      <c r="F1248" s="181" t="s">
        <v>305</v>
      </c>
      <c r="G1248" s="181" t="s">
        <v>2728</v>
      </c>
      <c r="H1248" s="181" t="s">
        <v>279</v>
      </c>
      <c r="I1248" s="181" t="s">
        <v>242</v>
      </c>
      <c r="J1248" s="267"/>
      <c r="K1248" s="269" t="n">
        <v>45957</v>
      </c>
      <c r="L1248" s="267" t="n">
        <v>1.1</v>
      </c>
      <c r="M1248" s="184" t="s">
        <v>2728</v>
      </c>
      <c r="N1248" s="184" t="n">
        <v>39030</v>
      </c>
      <c r="O1248" s="184" t="n">
        <v>15220</v>
      </c>
      <c r="P1248" s="185" t="n">
        <v>8</v>
      </c>
      <c r="Q1248" s="184" t="n">
        <v>23810</v>
      </c>
      <c r="R1248" s="184" t="n">
        <v>21905.2</v>
      </c>
      <c r="S1248" s="184" t="s">
        <v>2903</v>
      </c>
      <c r="T1248" s="187" t="n">
        <v>45958</v>
      </c>
    </row>
    <row r="1249" customFormat="false" ht="35.05" hidden="true" customHeight="false" outlineLevel="0" collapsed="false">
      <c r="A1249" s="181" t="s">
        <v>2904</v>
      </c>
      <c r="B1249" s="182" t="n">
        <v>2734</v>
      </c>
      <c r="C1249" s="183" t="n">
        <v>182</v>
      </c>
      <c r="D1249" s="181" t="s">
        <v>2401</v>
      </c>
      <c r="E1249" s="181" t="s">
        <v>537</v>
      </c>
      <c r="F1249" s="181" t="s">
        <v>538</v>
      </c>
      <c r="G1249" s="181" t="s">
        <v>2728</v>
      </c>
      <c r="H1249" s="181" t="s">
        <v>279</v>
      </c>
      <c r="I1249" s="181" t="s">
        <v>242</v>
      </c>
      <c r="J1249" s="267"/>
      <c r="K1249" s="269" t="n">
        <v>45957</v>
      </c>
      <c r="L1249" s="267" t="n">
        <v>1</v>
      </c>
      <c r="M1249" s="184" t="s">
        <v>2728</v>
      </c>
      <c r="N1249" s="184" t="n">
        <v>35240</v>
      </c>
      <c r="O1249" s="184" t="n">
        <v>14150</v>
      </c>
      <c r="P1249" s="185" t="n">
        <v>18</v>
      </c>
      <c r="Q1249" s="184" t="n">
        <v>21090</v>
      </c>
      <c r="R1249" s="184" t="n">
        <v>17293.8</v>
      </c>
      <c r="S1249" s="184" t="s">
        <v>2905</v>
      </c>
      <c r="T1249" s="187" t="n">
        <v>45958</v>
      </c>
    </row>
    <row r="1250" customFormat="false" ht="46.25" hidden="true" customHeight="false" outlineLevel="0" collapsed="false">
      <c r="A1250" s="181" t="s">
        <v>2906</v>
      </c>
      <c r="B1250" s="182" t="n">
        <v>2735</v>
      </c>
      <c r="C1250" s="183" t="n">
        <v>183</v>
      </c>
      <c r="D1250" s="181" t="s">
        <v>2401</v>
      </c>
      <c r="E1250" s="181" t="s">
        <v>282</v>
      </c>
      <c r="F1250" s="181" t="s">
        <v>283</v>
      </c>
      <c r="G1250" s="181" t="s">
        <v>2728</v>
      </c>
      <c r="H1250" s="181" t="s">
        <v>279</v>
      </c>
      <c r="I1250" s="181" t="s">
        <v>242</v>
      </c>
      <c r="J1250" s="267"/>
      <c r="K1250" s="269" t="n">
        <v>45957</v>
      </c>
      <c r="L1250" s="267" t="n">
        <v>1.1</v>
      </c>
      <c r="M1250" s="184" t="s">
        <v>2728</v>
      </c>
      <c r="N1250" s="184" t="n">
        <v>39530</v>
      </c>
      <c r="O1250" s="184" t="n">
        <v>15200</v>
      </c>
      <c r="P1250" s="185" t="n">
        <v>20</v>
      </c>
      <c r="Q1250" s="184" t="n">
        <v>24330</v>
      </c>
      <c r="R1250" s="184" t="n">
        <v>19464</v>
      </c>
      <c r="S1250" s="184" t="s">
        <v>2907</v>
      </c>
      <c r="T1250" s="187" t="n">
        <v>45958</v>
      </c>
    </row>
    <row r="1251" customFormat="false" ht="35.05" hidden="true" customHeight="false" outlineLevel="0" collapsed="false">
      <c r="A1251" s="181" t="s">
        <v>2908</v>
      </c>
      <c r="B1251" s="182" t="n">
        <v>2736</v>
      </c>
      <c r="C1251" s="183" t="n">
        <v>171</v>
      </c>
      <c r="D1251" s="181" t="s">
        <v>2401</v>
      </c>
      <c r="E1251" s="181" t="s">
        <v>340</v>
      </c>
      <c r="F1251" s="181" t="s">
        <v>341</v>
      </c>
      <c r="G1251" s="181" t="s">
        <v>2728</v>
      </c>
      <c r="H1251" s="181" t="s">
        <v>279</v>
      </c>
      <c r="I1251" s="181" t="s">
        <v>242</v>
      </c>
      <c r="J1251" s="267"/>
      <c r="K1251" s="269" t="n">
        <v>45957</v>
      </c>
      <c r="L1251" s="267" t="n">
        <v>1.1</v>
      </c>
      <c r="M1251" s="184" t="s">
        <v>2728</v>
      </c>
      <c r="N1251" s="184" t="n">
        <v>39290</v>
      </c>
      <c r="O1251" s="184" t="n">
        <v>15280</v>
      </c>
      <c r="P1251" s="185" t="n">
        <v>27</v>
      </c>
      <c r="Q1251" s="184" t="n">
        <v>24010</v>
      </c>
      <c r="R1251" s="184" t="n">
        <v>17527.3</v>
      </c>
      <c r="S1251" s="184" t="s">
        <v>2909</v>
      </c>
      <c r="T1251" s="187" t="n">
        <v>45958</v>
      </c>
    </row>
    <row r="1252" customFormat="false" ht="23.85" hidden="true" customHeight="false" outlineLevel="0" collapsed="false">
      <c r="A1252" s="181" t="s">
        <v>2912</v>
      </c>
      <c r="B1252" s="182" t="n">
        <v>2737</v>
      </c>
      <c r="C1252" s="183" t="n">
        <v>184</v>
      </c>
      <c r="D1252" s="181" t="s">
        <v>2401</v>
      </c>
      <c r="E1252" s="181" t="s">
        <v>541</v>
      </c>
      <c r="F1252" s="181" t="s">
        <v>542</v>
      </c>
      <c r="G1252" s="181" t="s">
        <v>2728</v>
      </c>
      <c r="H1252" s="181" t="s">
        <v>279</v>
      </c>
      <c r="I1252" s="181" t="s">
        <v>242</v>
      </c>
      <c r="J1252" s="267"/>
      <c r="K1252" s="269" t="n">
        <v>45957</v>
      </c>
      <c r="L1252" s="267" t="n">
        <v>1.2</v>
      </c>
      <c r="M1252" s="184" t="s">
        <v>2728</v>
      </c>
      <c r="N1252" s="184" t="n">
        <v>40110</v>
      </c>
      <c r="O1252" s="184" t="n">
        <v>15070</v>
      </c>
      <c r="P1252" s="185" t="n">
        <v>14</v>
      </c>
      <c r="Q1252" s="184" t="n">
        <v>25040</v>
      </c>
      <c r="R1252" s="184" t="n">
        <v>21534.4</v>
      </c>
      <c r="S1252" s="184" t="s">
        <v>2913</v>
      </c>
      <c r="T1252" s="187" t="n">
        <v>45958</v>
      </c>
    </row>
    <row r="1253" customFormat="false" ht="35.05" hidden="true" customHeight="false" outlineLevel="0" collapsed="false">
      <c r="A1253" s="181" t="s">
        <v>2910</v>
      </c>
      <c r="B1253" s="182" t="n">
        <v>2755</v>
      </c>
      <c r="C1253" s="183" t="n">
        <v>8206</v>
      </c>
      <c r="D1253" s="181" t="s">
        <v>2066</v>
      </c>
      <c r="E1253" s="181" t="s">
        <v>1646</v>
      </c>
      <c r="F1253" s="181" t="s">
        <v>1647</v>
      </c>
      <c r="G1253" s="181" t="s">
        <v>3334</v>
      </c>
      <c r="H1253" s="181" t="s">
        <v>158</v>
      </c>
      <c r="I1253" s="181" t="s">
        <v>241</v>
      </c>
      <c r="J1253" s="267"/>
      <c r="K1253" s="269" t="n">
        <v>45958</v>
      </c>
      <c r="L1253" s="267" t="n">
        <v>1</v>
      </c>
      <c r="M1253" s="184" t="s">
        <v>3334</v>
      </c>
      <c r="N1253" s="184" t="n">
        <v>30390</v>
      </c>
      <c r="O1253" s="184" t="n">
        <v>14430</v>
      </c>
      <c r="P1253" s="185" t="n">
        <v>17</v>
      </c>
      <c r="Q1253" s="184" t="n">
        <v>15960</v>
      </c>
      <c r="R1253" s="184" t="n">
        <v>13246.8</v>
      </c>
      <c r="S1253" s="184" t="s">
        <v>2911</v>
      </c>
      <c r="T1253" s="187" t="n">
        <v>45958</v>
      </c>
    </row>
    <row r="1254" customFormat="false" ht="23.85" hidden="true" customHeight="false" outlineLevel="0" collapsed="false">
      <c r="A1254" s="181" t="s">
        <v>2914</v>
      </c>
      <c r="B1254" s="182" t="n">
        <v>2738</v>
      </c>
      <c r="C1254" s="183" t="n">
        <v>185</v>
      </c>
      <c r="D1254" s="181" t="s">
        <v>2401</v>
      </c>
      <c r="E1254" s="181" t="s">
        <v>2351</v>
      </c>
      <c r="F1254" s="181" t="s">
        <v>2352</v>
      </c>
      <c r="G1254" s="181" t="s">
        <v>2728</v>
      </c>
      <c r="H1254" s="181" t="s">
        <v>279</v>
      </c>
      <c r="I1254" s="181" t="s">
        <v>242</v>
      </c>
      <c r="J1254" s="267"/>
      <c r="K1254" s="269" t="n">
        <v>45957</v>
      </c>
      <c r="L1254" s="267" t="n">
        <v>1.4</v>
      </c>
      <c r="M1254" s="184" t="s">
        <v>2728</v>
      </c>
      <c r="N1254" s="184" t="n">
        <v>47920</v>
      </c>
      <c r="O1254" s="184" t="n">
        <v>17670</v>
      </c>
      <c r="P1254" s="185" t="n">
        <v>11</v>
      </c>
      <c r="Q1254" s="184" t="n">
        <v>30250</v>
      </c>
      <c r="R1254" s="184" t="n">
        <v>26922.5</v>
      </c>
      <c r="S1254" s="184" t="s">
        <v>2915</v>
      </c>
      <c r="T1254" s="187" t="n">
        <v>45958</v>
      </c>
    </row>
    <row r="1255" customFormat="false" ht="23.85" hidden="true" customHeight="false" outlineLevel="0" collapsed="false">
      <c r="A1255" s="181" t="s">
        <v>2916</v>
      </c>
      <c r="B1255" s="182" t="n">
        <v>2739</v>
      </c>
      <c r="C1255" s="183" t="n">
        <v>186</v>
      </c>
      <c r="D1255" s="181" t="s">
        <v>2401</v>
      </c>
      <c r="E1255" s="181" t="s">
        <v>346</v>
      </c>
      <c r="F1255" s="181" t="s">
        <v>347</v>
      </c>
      <c r="G1255" s="181" t="s">
        <v>2728</v>
      </c>
      <c r="H1255" s="181" t="s">
        <v>279</v>
      </c>
      <c r="I1255" s="181" t="s">
        <v>242</v>
      </c>
      <c r="J1255" s="267"/>
      <c r="K1255" s="269" t="n">
        <v>45957</v>
      </c>
      <c r="L1255" s="267" t="n">
        <v>1.1</v>
      </c>
      <c r="M1255" s="184" t="s">
        <v>2728</v>
      </c>
      <c r="N1255" s="184" t="n">
        <v>38550</v>
      </c>
      <c r="O1255" s="184" t="n">
        <v>15300</v>
      </c>
      <c r="P1255" s="185" t="n">
        <v>12</v>
      </c>
      <c r="Q1255" s="184" t="n">
        <v>23250</v>
      </c>
      <c r="R1255" s="184" t="n">
        <v>20460</v>
      </c>
      <c r="S1255" s="184" t="s">
        <v>2917</v>
      </c>
      <c r="T1255" s="187" t="n">
        <v>45958</v>
      </c>
    </row>
    <row r="1256" customFormat="false" ht="35.05" hidden="true" customHeight="false" outlineLevel="0" collapsed="false">
      <c r="A1256" s="181" t="s">
        <v>2920</v>
      </c>
      <c r="B1256" s="182" t="n">
        <v>2740</v>
      </c>
      <c r="C1256" s="183" t="n">
        <v>187</v>
      </c>
      <c r="D1256" s="181" t="s">
        <v>2401</v>
      </c>
      <c r="E1256" s="181" t="s">
        <v>399</v>
      </c>
      <c r="F1256" s="181" t="s">
        <v>400</v>
      </c>
      <c r="G1256" s="181" t="s">
        <v>2728</v>
      </c>
      <c r="H1256" s="181" t="s">
        <v>279</v>
      </c>
      <c r="I1256" s="181" t="s">
        <v>242</v>
      </c>
      <c r="J1256" s="267"/>
      <c r="K1256" s="269" t="n">
        <v>45957</v>
      </c>
      <c r="L1256" s="267" t="n">
        <v>1.5</v>
      </c>
      <c r="M1256" s="184" t="s">
        <v>2728</v>
      </c>
      <c r="N1256" s="184" t="n">
        <v>52090</v>
      </c>
      <c r="O1256" s="184" t="n">
        <v>19730</v>
      </c>
      <c r="P1256" s="185" t="n">
        <v>9</v>
      </c>
      <c r="Q1256" s="184" t="n">
        <v>32360</v>
      </c>
      <c r="R1256" s="184" t="n">
        <v>29447.6</v>
      </c>
      <c r="S1256" s="184" t="s">
        <v>2921</v>
      </c>
      <c r="T1256" s="187" t="n">
        <v>45958</v>
      </c>
    </row>
    <row r="1257" customFormat="false" ht="35.05" hidden="true" customHeight="false" outlineLevel="0" collapsed="false">
      <c r="A1257" s="181" t="s">
        <v>2892</v>
      </c>
      <c r="B1257" s="182" t="n">
        <v>2743</v>
      </c>
      <c r="C1257" s="183" t="n">
        <v>188</v>
      </c>
      <c r="D1257" s="181" t="s">
        <v>2401</v>
      </c>
      <c r="E1257" s="181" t="s">
        <v>576</v>
      </c>
      <c r="F1257" s="181" t="s">
        <v>577</v>
      </c>
      <c r="G1257" s="181" t="s">
        <v>2728</v>
      </c>
      <c r="H1257" s="181" t="s">
        <v>279</v>
      </c>
      <c r="I1257" s="181" t="s">
        <v>242</v>
      </c>
      <c r="J1257" s="267"/>
      <c r="K1257" s="269" t="n">
        <v>45957</v>
      </c>
      <c r="L1257" s="267" t="n">
        <v>1.1</v>
      </c>
      <c r="M1257" s="184" t="s">
        <v>2728</v>
      </c>
      <c r="N1257" s="184" t="n">
        <v>38980</v>
      </c>
      <c r="O1257" s="184" t="n">
        <v>14630</v>
      </c>
      <c r="P1257" s="185" t="n">
        <v>10</v>
      </c>
      <c r="Q1257" s="184" t="n">
        <v>24350</v>
      </c>
      <c r="R1257" s="184" t="n">
        <v>21915</v>
      </c>
      <c r="S1257" s="184" t="s">
        <v>2893</v>
      </c>
      <c r="T1257" s="187" t="n">
        <v>45958</v>
      </c>
    </row>
    <row r="1258" customFormat="false" ht="35.05" hidden="true" customHeight="false" outlineLevel="0" collapsed="false">
      <c r="A1258" s="181" t="s">
        <v>2922</v>
      </c>
      <c r="B1258" s="182" t="n">
        <v>2746</v>
      </c>
      <c r="C1258" s="183" t="n">
        <v>189</v>
      </c>
      <c r="D1258" s="181" t="s">
        <v>2401</v>
      </c>
      <c r="E1258" s="181" t="s">
        <v>266</v>
      </c>
      <c r="F1258" s="181" t="s">
        <v>267</v>
      </c>
      <c r="G1258" s="181" t="s">
        <v>2728</v>
      </c>
      <c r="H1258" s="181" t="s">
        <v>279</v>
      </c>
      <c r="I1258" s="181" t="s">
        <v>242</v>
      </c>
      <c r="J1258" s="267"/>
      <c r="K1258" s="269" t="n">
        <v>45957</v>
      </c>
      <c r="L1258" s="267" t="n">
        <v>1.1</v>
      </c>
      <c r="M1258" s="184" t="s">
        <v>2728</v>
      </c>
      <c r="N1258" s="184" t="n">
        <v>38570</v>
      </c>
      <c r="O1258" s="184" t="n">
        <v>15160</v>
      </c>
      <c r="P1258" s="185" t="n">
        <v>10</v>
      </c>
      <c r="Q1258" s="184" t="n">
        <v>23410</v>
      </c>
      <c r="R1258" s="184" t="n">
        <v>21069</v>
      </c>
      <c r="S1258" s="184" t="s">
        <v>2923</v>
      </c>
      <c r="T1258" s="187" t="n">
        <v>45958</v>
      </c>
    </row>
    <row r="1259" customFormat="false" ht="46.25" hidden="true" customHeight="false" outlineLevel="0" collapsed="false">
      <c r="A1259" s="181" t="s">
        <v>2894</v>
      </c>
      <c r="B1259" s="182" t="n">
        <v>2747</v>
      </c>
      <c r="C1259" s="183" t="n">
        <v>190</v>
      </c>
      <c r="D1259" s="181" t="s">
        <v>2401</v>
      </c>
      <c r="E1259" s="181" t="s">
        <v>383</v>
      </c>
      <c r="F1259" s="181" t="s">
        <v>384</v>
      </c>
      <c r="G1259" s="181" t="s">
        <v>2728</v>
      </c>
      <c r="H1259" s="181" t="s">
        <v>279</v>
      </c>
      <c r="I1259" s="181" t="s">
        <v>242</v>
      </c>
      <c r="J1259" s="267"/>
      <c r="K1259" s="269" t="n">
        <v>45958</v>
      </c>
      <c r="L1259" s="267" t="n">
        <v>1.2</v>
      </c>
      <c r="M1259" s="184" t="s">
        <v>2728</v>
      </c>
      <c r="N1259" s="184" t="n">
        <v>40840</v>
      </c>
      <c r="O1259" s="184" t="n">
        <v>15090</v>
      </c>
      <c r="P1259" s="185" t="n">
        <v>7</v>
      </c>
      <c r="Q1259" s="184" t="n">
        <v>25750</v>
      </c>
      <c r="R1259" s="184" t="n">
        <v>23947.5</v>
      </c>
      <c r="S1259" s="184" t="s">
        <v>2895</v>
      </c>
      <c r="T1259" s="187" t="n">
        <v>45958</v>
      </c>
    </row>
    <row r="1260" customFormat="false" ht="35.05" hidden="true" customHeight="false" outlineLevel="0" collapsed="false">
      <c r="A1260" s="181" t="s">
        <v>2896</v>
      </c>
      <c r="B1260" s="182" t="n">
        <v>2748</v>
      </c>
      <c r="C1260" s="183" t="n">
        <v>191</v>
      </c>
      <c r="D1260" s="181" t="s">
        <v>2401</v>
      </c>
      <c r="E1260" s="181" t="s">
        <v>377</v>
      </c>
      <c r="F1260" s="181" t="s">
        <v>378</v>
      </c>
      <c r="G1260" s="181" t="s">
        <v>2728</v>
      </c>
      <c r="H1260" s="181" t="s">
        <v>279</v>
      </c>
      <c r="I1260" s="181" t="s">
        <v>242</v>
      </c>
      <c r="J1260" s="267"/>
      <c r="K1260" s="269" t="n">
        <v>45958</v>
      </c>
      <c r="L1260" s="267" t="n">
        <v>1.3</v>
      </c>
      <c r="M1260" s="184" t="s">
        <v>2728</v>
      </c>
      <c r="N1260" s="184" t="n">
        <v>43030</v>
      </c>
      <c r="O1260" s="184" t="n">
        <v>15910</v>
      </c>
      <c r="P1260" s="185" t="n">
        <v>14</v>
      </c>
      <c r="Q1260" s="184" t="n">
        <v>27120</v>
      </c>
      <c r="R1260" s="184" t="n">
        <v>23323.2</v>
      </c>
      <c r="S1260" s="184" t="s">
        <v>2897</v>
      </c>
      <c r="T1260" s="187" t="n">
        <v>45958</v>
      </c>
    </row>
    <row r="1261" customFormat="false" ht="46.25" hidden="true" customHeight="false" outlineLevel="0" collapsed="false">
      <c r="A1261" s="181" t="s">
        <v>2918</v>
      </c>
      <c r="B1261" s="182" t="n">
        <v>2758</v>
      </c>
      <c r="C1261" s="183" t="n">
        <v>203</v>
      </c>
      <c r="D1261" s="181" t="s">
        <v>2401</v>
      </c>
      <c r="E1261" s="181" t="s">
        <v>288</v>
      </c>
      <c r="F1261" s="181" t="s">
        <v>289</v>
      </c>
      <c r="G1261" s="181" t="s">
        <v>2715</v>
      </c>
      <c r="H1261" s="181" t="s">
        <v>279</v>
      </c>
      <c r="I1261" s="181" t="s">
        <v>242</v>
      </c>
      <c r="J1261" s="267"/>
      <c r="K1261" s="269" t="n">
        <v>45958</v>
      </c>
      <c r="L1261" s="267" t="n">
        <v>1.2</v>
      </c>
      <c r="M1261" s="184" t="s">
        <v>2728</v>
      </c>
      <c r="N1261" s="184" t="n">
        <v>34500</v>
      </c>
      <c r="O1261" s="184" t="n">
        <v>14970</v>
      </c>
      <c r="P1261" s="185" t="n">
        <v>5</v>
      </c>
      <c r="Q1261" s="184" t="n">
        <v>19530</v>
      </c>
      <c r="R1261" s="184" t="n">
        <v>18553.5</v>
      </c>
      <c r="S1261" s="184" t="s">
        <v>2919</v>
      </c>
      <c r="T1261" s="187" t="n">
        <v>45958</v>
      </c>
    </row>
    <row r="1262" customFormat="false" ht="35.05" hidden="true" customHeight="false" outlineLevel="0" collapsed="false">
      <c r="A1262" s="181" t="s">
        <v>2924</v>
      </c>
      <c r="B1262" s="182" t="n">
        <v>2761</v>
      </c>
      <c r="C1262" s="183" t="n">
        <v>196</v>
      </c>
      <c r="D1262" s="181" t="s">
        <v>2401</v>
      </c>
      <c r="E1262" s="181" t="s">
        <v>413</v>
      </c>
      <c r="F1262" s="181" t="s">
        <v>414</v>
      </c>
      <c r="G1262" s="181" t="s">
        <v>2715</v>
      </c>
      <c r="H1262" s="181" t="s">
        <v>279</v>
      </c>
      <c r="I1262" s="181" t="s">
        <v>242</v>
      </c>
      <c r="J1262" s="267"/>
      <c r="K1262" s="269" t="n">
        <v>45957</v>
      </c>
      <c r="L1262" s="267" t="n">
        <v>1.3</v>
      </c>
      <c r="M1262" s="184" t="s">
        <v>2715</v>
      </c>
      <c r="N1262" s="184" t="n">
        <v>43680</v>
      </c>
      <c r="O1262" s="184" t="n">
        <v>16350</v>
      </c>
      <c r="P1262" s="185" t="n">
        <v>12</v>
      </c>
      <c r="Q1262" s="184" t="n">
        <v>27330</v>
      </c>
      <c r="R1262" s="184" t="n">
        <v>24050.4</v>
      </c>
      <c r="S1262" s="184" t="s">
        <v>2925</v>
      </c>
      <c r="T1262" s="187" t="n">
        <v>45958</v>
      </c>
    </row>
    <row r="1263" customFormat="false" ht="35.05" hidden="true" customHeight="false" outlineLevel="0" collapsed="false">
      <c r="A1263" s="181" t="s">
        <v>2926</v>
      </c>
      <c r="B1263" s="182" t="n">
        <v>2762</v>
      </c>
      <c r="C1263" s="183" t="n">
        <v>193</v>
      </c>
      <c r="D1263" s="181" t="s">
        <v>2401</v>
      </c>
      <c r="E1263" s="181" t="s">
        <v>350</v>
      </c>
      <c r="F1263" s="181" t="s">
        <v>351</v>
      </c>
      <c r="G1263" s="181" t="s">
        <v>2715</v>
      </c>
      <c r="H1263" s="181" t="s">
        <v>279</v>
      </c>
      <c r="I1263" s="181" t="s">
        <v>242</v>
      </c>
      <c r="J1263" s="267"/>
      <c r="K1263" s="269" t="n">
        <v>45958</v>
      </c>
      <c r="L1263" s="267" t="n">
        <v>1.4</v>
      </c>
      <c r="M1263" s="184" t="s">
        <v>2715</v>
      </c>
      <c r="N1263" s="184" t="n">
        <v>39000</v>
      </c>
      <c r="O1263" s="184" t="n">
        <v>15240</v>
      </c>
      <c r="P1263" s="185" t="n">
        <v>14</v>
      </c>
      <c r="Q1263" s="184" t="n">
        <v>23760</v>
      </c>
      <c r="R1263" s="184" t="n">
        <v>20433.6</v>
      </c>
      <c r="S1263" s="184" t="s">
        <v>2927</v>
      </c>
      <c r="T1263" s="187" t="n">
        <v>45959</v>
      </c>
    </row>
    <row r="1264" customFormat="false" ht="35.05" hidden="true" customHeight="false" outlineLevel="0" collapsed="false">
      <c r="A1264" s="181" t="s">
        <v>2928</v>
      </c>
      <c r="B1264" s="182" t="n">
        <v>2763</v>
      </c>
      <c r="C1264" s="183" t="n">
        <v>192</v>
      </c>
      <c r="D1264" s="181" t="s">
        <v>2401</v>
      </c>
      <c r="E1264" s="181" t="s">
        <v>387</v>
      </c>
      <c r="F1264" s="181" t="s">
        <v>388</v>
      </c>
      <c r="G1264" s="181" t="s">
        <v>2715</v>
      </c>
      <c r="H1264" s="181" t="s">
        <v>279</v>
      </c>
      <c r="I1264" s="181" t="s">
        <v>242</v>
      </c>
      <c r="J1264" s="267"/>
      <c r="K1264" s="269" t="n">
        <v>45958</v>
      </c>
      <c r="L1264" s="267" t="n">
        <v>1.5</v>
      </c>
      <c r="M1264" s="184" t="s">
        <v>2715</v>
      </c>
      <c r="N1264" s="184" t="n">
        <v>39910</v>
      </c>
      <c r="O1264" s="184" t="n">
        <v>15280</v>
      </c>
      <c r="P1264" s="185" t="n">
        <v>21</v>
      </c>
      <c r="Q1264" s="184" t="n">
        <v>24630</v>
      </c>
      <c r="R1264" s="184" t="n">
        <v>19457.7</v>
      </c>
      <c r="S1264" s="184" t="s">
        <v>2929</v>
      </c>
      <c r="T1264" s="187" t="n">
        <v>45959</v>
      </c>
    </row>
    <row r="1265" customFormat="false" ht="23.85" hidden="true" customHeight="false" outlineLevel="0" collapsed="false">
      <c r="A1265" s="181" t="s">
        <v>2930</v>
      </c>
      <c r="B1265" s="182" t="n">
        <v>2764</v>
      </c>
      <c r="C1265" s="183" t="n">
        <v>194</v>
      </c>
      <c r="D1265" s="181" t="s">
        <v>2401</v>
      </c>
      <c r="E1265" s="181" t="s">
        <v>373</v>
      </c>
      <c r="F1265" s="181" t="s">
        <v>374</v>
      </c>
      <c r="G1265" s="181" t="s">
        <v>2715</v>
      </c>
      <c r="H1265" s="181" t="s">
        <v>279</v>
      </c>
      <c r="I1265" s="181" t="s">
        <v>242</v>
      </c>
      <c r="J1265" s="267"/>
      <c r="K1265" s="269" t="n">
        <v>45958</v>
      </c>
      <c r="L1265" s="267" t="n">
        <v>1.4</v>
      </c>
      <c r="M1265" s="184" t="s">
        <v>2715</v>
      </c>
      <c r="N1265" s="184" t="n">
        <v>37630</v>
      </c>
      <c r="O1265" s="184" t="n">
        <v>14510</v>
      </c>
      <c r="P1265" s="185" t="n">
        <v>20</v>
      </c>
      <c r="Q1265" s="184" t="n">
        <v>23120</v>
      </c>
      <c r="R1265" s="184" t="n">
        <v>18496</v>
      </c>
      <c r="S1265" s="184" t="s">
        <v>2931</v>
      </c>
      <c r="T1265" s="187" t="n">
        <v>45959</v>
      </c>
    </row>
    <row r="1266" customFormat="false" ht="23.85" hidden="true" customHeight="false" outlineLevel="0" collapsed="false">
      <c r="A1266" s="181" t="s">
        <v>2932</v>
      </c>
      <c r="B1266" s="182" t="n">
        <v>2765</v>
      </c>
      <c r="C1266" s="183" t="n">
        <v>181</v>
      </c>
      <c r="D1266" s="181" t="s">
        <v>2401</v>
      </c>
      <c r="E1266" s="181" t="s">
        <v>308</v>
      </c>
      <c r="F1266" s="181" t="s">
        <v>309</v>
      </c>
      <c r="G1266" s="181" t="s">
        <v>2715</v>
      </c>
      <c r="H1266" s="181" t="s">
        <v>279</v>
      </c>
      <c r="I1266" s="181" t="s">
        <v>242</v>
      </c>
      <c r="J1266" s="267"/>
      <c r="K1266" s="269" t="n">
        <v>45958</v>
      </c>
      <c r="L1266" s="267" t="n">
        <v>1.2</v>
      </c>
      <c r="M1266" s="184" t="s">
        <v>2715</v>
      </c>
      <c r="N1266" s="184" t="n">
        <v>43510</v>
      </c>
      <c r="O1266" s="184" t="n">
        <v>24180</v>
      </c>
      <c r="P1266" s="185" t="n">
        <v>4</v>
      </c>
      <c r="Q1266" s="184" t="n">
        <v>19330</v>
      </c>
      <c r="R1266" s="184" t="n">
        <v>18556.8</v>
      </c>
      <c r="S1266" s="184" t="s">
        <v>2933</v>
      </c>
      <c r="T1266" s="187" t="n">
        <v>45959</v>
      </c>
    </row>
    <row r="1267" customFormat="false" ht="35.05" hidden="true" customHeight="false" outlineLevel="0" collapsed="false">
      <c r="A1267" s="181" t="s">
        <v>2934</v>
      </c>
      <c r="B1267" s="182" t="n">
        <v>2766</v>
      </c>
      <c r="C1267" s="183" t="n">
        <v>195</v>
      </c>
      <c r="D1267" s="181" t="s">
        <v>2401</v>
      </c>
      <c r="E1267" s="181" t="s">
        <v>261</v>
      </c>
      <c r="F1267" s="181" t="s">
        <v>262</v>
      </c>
      <c r="G1267" s="181" t="s">
        <v>2715</v>
      </c>
      <c r="H1267" s="181" t="s">
        <v>279</v>
      </c>
      <c r="I1267" s="181" t="s">
        <v>242</v>
      </c>
      <c r="J1267" s="267"/>
      <c r="K1267" s="269" t="n">
        <v>45958</v>
      </c>
      <c r="L1267" s="267" t="n">
        <v>1.3</v>
      </c>
      <c r="M1267" s="184" t="s">
        <v>2715</v>
      </c>
      <c r="N1267" s="184" t="n">
        <v>36500</v>
      </c>
      <c r="O1267" s="184" t="n">
        <v>15380</v>
      </c>
      <c r="P1267" s="185" t="n">
        <v>6</v>
      </c>
      <c r="Q1267" s="184" t="n">
        <v>21120</v>
      </c>
      <c r="R1267" s="184" t="n">
        <v>19852.8</v>
      </c>
      <c r="S1267" s="184" t="s">
        <v>2935</v>
      </c>
      <c r="T1267" s="187" t="n">
        <v>45959</v>
      </c>
    </row>
    <row r="1268" customFormat="false" ht="35.05" hidden="true" customHeight="false" outlineLevel="0" collapsed="false">
      <c r="A1268" s="181" t="s">
        <v>2938</v>
      </c>
      <c r="B1268" s="182" t="n">
        <v>2772</v>
      </c>
      <c r="C1268" s="183" t="n">
        <v>197</v>
      </c>
      <c r="D1268" s="181" t="s">
        <v>2401</v>
      </c>
      <c r="E1268" s="181" t="s">
        <v>277</v>
      </c>
      <c r="F1268" s="181" t="s">
        <v>278</v>
      </c>
      <c r="G1268" s="181" t="s">
        <v>2715</v>
      </c>
      <c r="H1268" s="181" t="s">
        <v>279</v>
      </c>
      <c r="I1268" s="181" t="s">
        <v>242</v>
      </c>
      <c r="J1268" s="267"/>
      <c r="K1268" s="269" t="n">
        <v>45959</v>
      </c>
      <c r="L1268" s="267" t="n">
        <v>1.3</v>
      </c>
      <c r="M1268" s="184" t="s">
        <v>2715</v>
      </c>
      <c r="N1268" s="184" t="n">
        <v>38740</v>
      </c>
      <c r="O1268" s="184" t="n">
        <v>15430</v>
      </c>
      <c r="P1268" s="185" t="n">
        <v>12</v>
      </c>
      <c r="Q1268" s="184" t="n">
        <v>23310</v>
      </c>
      <c r="R1268" s="184" t="n">
        <v>20512.8</v>
      </c>
      <c r="S1268" s="184" t="s">
        <v>2939</v>
      </c>
      <c r="T1268" s="187" t="n">
        <v>45959</v>
      </c>
    </row>
    <row r="1269" customFormat="false" ht="35.05" hidden="true" customHeight="false" outlineLevel="0" collapsed="false">
      <c r="A1269" s="181" t="s">
        <v>2942</v>
      </c>
      <c r="B1269" s="182" t="n">
        <v>2773</v>
      </c>
      <c r="C1269" s="183" t="n">
        <v>198</v>
      </c>
      <c r="D1269" s="181" t="s">
        <v>2401</v>
      </c>
      <c r="E1269" s="181" t="s">
        <v>549</v>
      </c>
      <c r="F1269" s="181" t="s">
        <v>550</v>
      </c>
      <c r="G1269" s="181" t="s">
        <v>2715</v>
      </c>
      <c r="H1269" s="181" t="s">
        <v>279</v>
      </c>
      <c r="I1269" s="181" t="s">
        <v>242</v>
      </c>
      <c r="J1269" s="267"/>
      <c r="K1269" s="269" t="n">
        <v>45959</v>
      </c>
      <c r="L1269" s="267" t="n">
        <v>1.3</v>
      </c>
      <c r="M1269" s="184" t="s">
        <v>2715</v>
      </c>
      <c r="N1269" s="184" t="n">
        <v>39210</v>
      </c>
      <c r="O1269" s="184" t="n">
        <v>15840</v>
      </c>
      <c r="P1269" s="185" t="n">
        <v>6</v>
      </c>
      <c r="Q1269" s="184" t="n">
        <v>23370</v>
      </c>
      <c r="R1269" s="184" t="n">
        <v>21967.8</v>
      </c>
      <c r="S1269" s="184" t="s">
        <v>2943</v>
      </c>
      <c r="T1269" s="187" t="n">
        <v>45959</v>
      </c>
    </row>
    <row r="1270" customFormat="false" ht="35.05" hidden="true" customHeight="false" outlineLevel="0" collapsed="false">
      <c r="A1270" s="181" t="s">
        <v>2948</v>
      </c>
      <c r="B1270" s="182" t="n">
        <v>2774</v>
      </c>
      <c r="C1270" s="183" t="n">
        <v>200</v>
      </c>
      <c r="D1270" s="181" t="s">
        <v>2401</v>
      </c>
      <c r="E1270" s="181" t="s">
        <v>582</v>
      </c>
      <c r="F1270" s="181" t="s">
        <v>583</v>
      </c>
      <c r="G1270" s="181" t="s">
        <v>2715</v>
      </c>
      <c r="H1270" s="181" t="s">
        <v>279</v>
      </c>
      <c r="I1270" s="181" t="s">
        <v>242</v>
      </c>
      <c r="J1270" s="267"/>
      <c r="K1270" s="269" t="n">
        <v>45959</v>
      </c>
      <c r="L1270" s="267" t="n">
        <v>1.4</v>
      </c>
      <c r="M1270" s="184" t="s">
        <v>2715</v>
      </c>
      <c r="N1270" s="184" t="n">
        <v>39740</v>
      </c>
      <c r="O1270" s="184" t="n">
        <v>15150</v>
      </c>
      <c r="P1270" s="185" t="n">
        <v>14</v>
      </c>
      <c r="Q1270" s="184" t="n">
        <v>24590</v>
      </c>
      <c r="R1270" s="184" t="n">
        <v>21147.4</v>
      </c>
      <c r="S1270" s="184" t="s">
        <v>2949</v>
      </c>
      <c r="T1270" s="187" t="n">
        <v>45959</v>
      </c>
    </row>
    <row r="1271" customFormat="false" ht="35.05" hidden="true" customHeight="false" outlineLevel="0" collapsed="false">
      <c r="A1271" s="181" t="s">
        <v>2952</v>
      </c>
      <c r="B1271" s="182" t="n">
        <v>2775</v>
      </c>
      <c r="C1271" s="183" t="n">
        <v>201</v>
      </c>
      <c r="D1271" s="181" t="s">
        <v>2401</v>
      </c>
      <c r="E1271" s="181" t="s">
        <v>332</v>
      </c>
      <c r="F1271" s="181" t="s">
        <v>333</v>
      </c>
      <c r="G1271" s="181" t="s">
        <v>2715</v>
      </c>
      <c r="H1271" s="181" t="s">
        <v>279</v>
      </c>
      <c r="I1271" s="181" t="s">
        <v>242</v>
      </c>
      <c r="J1271" s="267"/>
      <c r="K1271" s="269" t="n">
        <v>45959</v>
      </c>
      <c r="L1271" s="267" t="n">
        <v>1.3</v>
      </c>
      <c r="M1271" s="184" t="s">
        <v>2715</v>
      </c>
      <c r="N1271" s="184" t="n">
        <v>37990</v>
      </c>
      <c r="O1271" s="184" t="n">
        <v>15020</v>
      </c>
      <c r="P1271" s="185" t="n">
        <v>14</v>
      </c>
      <c r="Q1271" s="184" t="n">
        <v>22970</v>
      </c>
      <c r="R1271" s="184" t="n">
        <v>19754.2</v>
      </c>
      <c r="S1271" s="184" t="s">
        <v>2953</v>
      </c>
      <c r="T1271" s="187" t="n">
        <v>45959</v>
      </c>
    </row>
    <row r="1272" customFormat="false" ht="35.05" hidden="true" customHeight="false" outlineLevel="0" collapsed="false">
      <c r="A1272" s="181" t="s">
        <v>2936</v>
      </c>
      <c r="B1272" s="182" t="n">
        <v>2776</v>
      </c>
      <c r="C1272" s="183" t="n">
        <v>199</v>
      </c>
      <c r="D1272" s="181" t="s">
        <v>2401</v>
      </c>
      <c r="E1272" s="181" t="s">
        <v>409</v>
      </c>
      <c r="F1272" s="181" t="s">
        <v>410</v>
      </c>
      <c r="G1272" s="181" t="s">
        <v>2715</v>
      </c>
      <c r="H1272" s="181" t="s">
        <v>279</v>
      </c>
      <c r="I1272" s="181" t="s">
        <v>242</v>
      </c>
      <c r="J1272" s="267"/>
      <c r="K1272" s="269" t="n">
        <v>45959</v>
      </c>
      <c r="L1272" s="267" t="n">
        <v>2.2</v>
      </c>
      <c r="M1272" s="184" t="s">
        <v>2715</v>
      </c>
      <c r="N1272" s="184" t="n">
        <v>64100</v>
      </c>
      <c r="O1272" s="184" t="n">
        <v>24740</v>
      </c>
      <c r="P1272" s="185" t="n">
        <v>7</v>
      </c>
      <c r="Q1272" s="184" t="n">
        <v>39360</v>
      </c>
      <c r="R1272" s="184" t="n">
        <v>36604.8</v>
      </c>
      <c r="S1272" s="184" t="s">
        <v>2937</v>
      </c>
      <c r="T1272" s="187" t="n">
        <v>45959</v>
      </c>
    </row>
    <row r="1273" customFormat="false" ht="23.85" hidden="true" customHeight="false" outlineLevel="0" collapsed="false">
      <c r="A1273" s="181" t="s">
        <v>2940</v>
      </c>
      <c r="B1273" s="182" t="n">
        <v>2777</v>
      </c>
      <c r="C1273" s="183" t="n">
        <v>202</v>
      </c>
      <c r="D1273" s="181" t="s">
        <v>2401</v>
      </c>
      <c r="E1273" s="181" t="s">
        <v>367</v>
      </c>
      <c r="F1273" s="181" t="s">
        <v>368</v>
      </c>
      <c r="G1273" s="181" t="s">
        <v>2715</v>
      </c>
      <c r="H1273" s="181" t="s">
        <v>279</v>
      </c>
      <c r="I1273" s="181" t="s">
        <v>242</v>
      </c>
      <c r="J1273" s="267"/>
      <c r="K1273" s="269" t="n">
        <v>45959</v>
      </c>
      <c r="L1273" s="267" t="n">
        <v>1.7</v>
      </c>
      <c r="M1273" s="184" t="s">
        <v>2715</v>
      </c>
      <c r="N1273" s="184" t="n">
        <v>50270</v>
      </c>
      <c r="O1273" s="184" t="n">
        <v>18920</v>
      </c>
      <c r="P1273" s="185" t="n">
        <v>9</v>
      </c>
      <c r="Q1273" s="184" t="n">
        <v>31350</v>
      </c>
      <c r="R1273" s="184" t="n">
        <v>28528.5</v>
      </c>
      <c r="S1273" s="184" t="s">
        <v>2941</v>
      </c>
      <c r="T1273" s="187" t="n">
        <v>45959</v>
      </c>
    </row>
    <row r="1274" customFormat="false" ht="23.85" hidden="true" customHeight="false" outlineLevel="0" collapsed="false">
      <c r="A1274" s="181" t="s">
        <v>2944</v>
      </c>
      <c r="B1274" s="182" t="n">
        <v>2778</v>
      </c>
      <c r="C1274" s="183" t="n">
        <v>205</v>
      </c>
      <c r="D1274" s="181" t="s">
        <v>2401</v>
      </c>
      <c r="E1274" s="181" t="s">
        <v>533</v>
      </c>
      <c r="F1274" s="181" t="s">
        <v>534</v>
      </c>
      <c r="G1274" s="181" t="s">
        <v>2715</v>
      </c>
      <c r="H1274" s="181" t="s">
        <v>279</v>
      </c>
      <c r="I1274" s="181" t="s">
        <v>242</v>
      </c>
      <c r="J1274" s="267"/>
      <c r="K1274" s="269" t="n">
        <v>45959</v>
      </c>
      <c r="L1274" s="267" t="n">
        <v>1.3</v>
      </c>
      <c r="M1274" s="184" t="s">
        <v>2715</v>
      </c>
      <c r="N1274" s="184" t="n">
        <v>38130</v>
      </c>
      <c r="O1274" s="184" t="n">
        <v>14880</v>
      </c>
      <c r="P1274" s="185" t="n">
        <v>7</v>
      </c>
      <c r="Q1274" s="184" t="n">
        <v>23250</v>
      </c>
      <c r="R1274" s="184" t="n">
        <v>21622.5</v>
      </c>
      <c r="S1274" s="184" t="s">
        <v>2945</v>
      </c>
      <c r="T1274" s="187" t="n">
        <v>45959</v>
      </c>
    </row>
    <row r="1275" customFormat="false" ht="23.85" hidden="true" customHeight="false" outlineLevel="0" collapsed="false">
      <c r="A1275" s="181" t="s">
        <v>2946</v>
      </c>
      <c r="B1275" s="182" t="n">
        <v>2779</v>
      </c>
      <c r="C1275" s="183" t="n">
        <v>206</v>
      </c>
      <c r="D1275" s="181" t="s">
        <v>2401</v>
      </c>
      <c r="E1275" s="181" t="s">
        <v>545</v>
      </c>
      <c r="F1275" s="181" t="s">
        <v>546</v>
      </c>
      <c r="G1275" s="181" t="s">
        <v>2715</v>
      </c>
      <c r="H1275" s="181" t="s">
        <v>279</v>
      </c>
      <c r="I1275" s="181" t="s">
        <v>242</v>
      </c>
      <c r="J1275" s="267"/>
      <c r="K1275" s="269" t="n">
        <v>45959</v>
      </c>
      <c r="L1275" s="267" t="n">
        <v>1.4</v>
      </c>
      <c r="M1275" s="184" t="s">
        <v>2715</v>
      </c>
      <c r="N1275" s="184" t="n">
        <v>41100</v>
      </c>
      <c r="O1275" s="184" t="n">
        <v>16280</v>
      </c>
      <c r="P1275" s="185" t="n">
        <v>14</v>
      </c>
      <c r="Q1275" s="184" t="n">
        <v>24820</v>
      </c>
      <c r="R1275" s="184" t="n">
        <v>21345.2</v>
      </c>
      <c r="S1275" s="184" t="s">
        <v>2947</v>
      </c>
      <c r="T1275" s="187" t="n">
        <v>45959</v>
      </c>
    </row>
    <row r="1276" customFormat="false" ht="35.05" hidden="true" customHeight="false" outlineLevel="0" collapsed="false">
      <c r="A1276" s="181" t="s">
        <v>2950</v>
      </c>
      <c r="B1276" s="182" t="n">
        <v>2780</v>
      </c>
      <c r="C1276" s="183" t="n">
        <v>204</v>
      </c>
      <c r="D1276" s="181" t="s">
        <v>2401</v>
      </c>
      <c r="E1276" s="181" t="s">
        <v>537</v>
      </c>
      <c r="F1276" s="181" t="s">
        <v>538</v>
      </c>
      <c r="G1276" s="181" t="s">
        <v>2715</v>
      </c>
      <c r="H1276" s="181" t="s">
        <v>279</v>
      </c>
      <c r="I1276" s="181" t="s">
        <v>242</v>
      </c>
      <c r="J1276" s="267"/>
      <c r="K1276" s="269" t="n">
        <v>45959</v>
      </c>
      <c r="L1276" s="267" t="n">
        <v>1.2</v>
      </c>
      <c r="M1276" s="184" t="s">
        <v>2715</v>
      </c>
      <c r="N1276" s="184" t="n">
        <v>35310</v>
      </c>
      <c r="O1276" s="184" t="n">
        <v>14100</v>
      </c>
      <c r="P1276" s="185" t="n">
        <v>22</v>
      </c>
      <c r="Q1276" s="184" t="n">
        <v>21210</v>
      </c>
      <c r="R1276" s="184" t="n">
        <v>16543.8</v>
      </c>
      <c r="S1276" s="184" t="s">
        <v>2951</v>
      </c>
      <c r="T1276" s="187" t="n">
        <v>45959</v>
      </c>
    </row>
    <row r="1277" customFormat="false" ht="23.85" hidden="true" customHeight="false" outlineLevel="0" collapsed="false">
      <c r="A1277" s="181" t="s">
        <v>2954</v>
      </c>
      <c r="B1277" s="182" t="n">
        <v>2781</v>
      </c>
      <c r="C1277" s="183" t="n">
        <v>207</v>
      </c>
      <c r="D1277" s="181" t="s">
        <v>2401</v>
      </c>
      <c r="E1277" s="181" t="s">
        <v>354</v>
      </c>
      <c r="F1277" s="181" t="s">
        <v>355</v>
      </c>
      <c r="G1277" s="181" t="s">
        <v>2715</v>
      </c>
      <c r="H1277" s="181" t="s">
        <v>279</v>
      </c>
      <c r="I1277" s="181" t="s">
        <v>242</v>
      </c>
      <c r="J1277" s="267"/>
      <c r="K1277" s="269" t="n">
        <v>45959</v>
      </c>
      <c r="L1277" s="267" t="n">
        <v>1.4</v>
      </c>
      <c r="M1277" s="184" t="s">
        <v>2715</v>
      </c>
      <c r="N1277" s="184" t="n">
        <v>39290</v>
      </c>
      <c r="O1277" s="184" t="n">
        <v>14960</v>
      </c>
      <c r="P1277" s="185" t="n">
        <v>14</v>
      </c>
      <c r="Q1277" s="184" t="n">
        <v>24330</v>
      </c>
      <c r="R1277" s="184" t="n">
        <v>20923.8</v>
      </c>
      <c r="S1277" s="184" t="s">
        <v>2955</v>
      </c>
      <c r="T1277" s="187" t="n">
        <v>45960</v>
      </c>
    </row>
    <row r="1278" customFormat="false" ht="35.05" hidden="true" customHeight="false" outlineLevel="0" collapsed="false">
      <c r="A1278" s="181" t="s">
        <v>2956</v>
      </c>
      <c r="B1278" s="182" t="n">
        <v>2782</v>
      </c>
      <c r="C1278" s="183" t="n">
        <v>208</v>
      </c>
      <c r="D1278" s="181" t="s">
        <v>2401</v>
      </c>
      <c r="E1278" s="181" t="s">
        <v>359</v>
      </c>
      <c r="F1278" s="181" t="s">
        <v>360</v>
      </c>
      <c r="G1278" s="181" t="s">
        <v>2715</v>
      </c>
      <c r="H1278" s="181" t="s">
        <v>279</v>
      </c>
      <c r="I1278" s="181" t="s">
        <v>242</v>
      </c>
      <c r="J1278" s="267"/>
      <c r="K1278" s="269" t="n">
        <v>45959</v>
      </c>
      <c r="L1278" s="267" t="n">
        <v>1.2</v>
      </c>
      <c r="M1278" s="184" t="s">
        <v>2715</v>
      </c>
      <c r="N1278" s="184" t="n">
        <v>36590</v>
      </c>
      <c r="O1278" s="184" t="n">
        <v>15100</v>
      </c>
      <c r="P1278" s="185" t="n">
        <v>24</v>
      </c>
      <c r="Q1278" s="184" t="n">
        <v>21490</v>
      </c>
      <c r="R1278" s="184" t="n">
        <v>16332.4</v>
      </c>
      <c r="S1278" s="184" t="s">
        <v>2957</v>
      </c>
      <c r="T1278" s="187" t="n">
        <v>45960</v>
      </c>
    </row>
    <row r="1279" customFormat="false" ht="23.85" hidden="true" customHeight="false" outlineLevel="0" collapsed="false">
      <c r="A1279" s="181" t="s">
        <v>2958</v>
      </c>
      <c r="B1279" s="182" t="n">
        <v>2783</v>
      </c>
      <c r="C1279" s="183" t="n">
        <v>209</v>
      </c>
      <c r="D1279" s="181" t="s">
        <v>2401</v>
      </c>
      <c r="E1279" s="181" t="s">
        <v>541</v>
      </c>
      <c r="F1279" s="181" t="s">
        <v>542</v>
      </c>
      <c r="G1279" s="181" t="s">
        <v>2715</v>
      </c>
      <c r="H1279" s="181" t="s">
        <v>279</v>
      </c>
      <c r="I1279" s="181" t="s">
        <v>242</v>
      </c>
      <c r="J1279" s="267"/>
      <c r="K1279" s="269" t="n">
        <v>45959</v>
      </c>
      <c r="L1279" s="267" t="n">
        <v>1.3</v>
      </c>
      <c r="M1279" s="184" t="s">
        <v>2715</v>
      </c>
      <c r="N1279" s="184" t="n">
        <v>39010</v>
      </c>
      <c r="O1279" s="184" t="n">
        <v>15210</v>
      </c>
      <c r="P1279" s="185" t="n">
        <v>21</v>
      </c>
      <c r="Q1279" s="184" t="n">
        <v>23800</v>
      </c>
      <c r="R1279" s="184" t="n">
        <v>18802</v>
      </c>
      <c r="S1279" s="184" t="s">
        <v>2959</v>
      </c>
      <c r="T1279" s="187" t="n">
        <v>45960</v>
      </c>
    </row>
    <row r="1280" customFormat="false" ht="35.05" hidden="true" customHeight="false" outlineLevel="0" collapsed="false">
      <c r="A1280" s="181" t="s">
        <v>2960</v>
      </c>
      <c r="B1280" s="182" t="n">
        <v>2784</v>
      </c>
      <c r="C1280" s="183" t="n">
        <v>211</v>
      </c>
      <c r="D1280" s="181" t="s">
        <v>2401</v>
      </c>
      <c r="E1280" s="181" t="s">
        <v>304</v>
      </c>
      <c r="F1280" s="181" t="s">
        <v>305</v>
      </c>
      <c r="G1280" s="181" t="s">
        <v>2715</v>
      </c>
      <c r="H1280" s="181" t="s">
        <v>279</v>
      </c>
      <c r="I1280" s="181" t="s">
        <v>242</v>
      </c>
      <c r="J1280" s="267"/>
      <c r="K1280" s="269" t="n">
        <v>45959</v>
      </c>
      <c r="L1280" s="267" t="n">
        <v>1.3</v>
      </c>
      <c r="M1280" s="184" t="s">
        <v>2715</v>
      </c>
      <c r="N1280" s="184" t="n">
        <v>38810</v>
      </c>
      <c r="O1280" s="184" t="n">
        <v>15190</v>
      </c>
      <c r="P1280" s="185" t="n">
        <v>12</v>
      </c>
      <c r="Q1280" s="184" t="n">
        <v>23620</v>
      </c>
      <c r="R1280" s="184" t="n">
        <v>20785.6</v>
      </c>
      <c r="S1280" s="184" t="s">
        <v>2961</v>
      </c>
      <c r="T1280" s="187" t="n">
        <v>45960</v>
      </c>
    </row>
    <row r="1281" customFormat="false" ht="35.05" hidden="true" customHeight="false" outlineLevel="0" collapsed="false">
      <c r="A1281" s="181" t="s">
        <v>2962</v>
      </c>
      <c r="B1281" s="182" t="n">
        <v>2785</v>
      </c>
      <c r="C1281" s="183" t="n">
        <v>210</v>
      </c>
      <c r="D1281" s="181" t="s">
        <v>2401</v>
      </c>
      <c r="E1281" s="181" t="s">
        <v>300</v>
      </c>
      <c r="F1281" s="181" t="s">
        <v>301</v>
      </c>
      <c r="G1281" s="181" t="s">
        <v>2715</v>
      </c>
      <c r="H1281" s="181" t="s">
        <v>279</v>
      </c>
      <c r="I1281" s="181" t="s">
        <v>242</v>
      </c>
      <c r="J1281" s="267"/>
      <c r="K1281" s="269" t="n">
        <v>45959</v>
      </c>
      <c r="L1281" s="267" t="n">
        <v>2.2</v>
      </c>
      <c r="M1281" s="184" t="s">
        <v>2715</v>
      </c>
      <c r="N1281" s="184" t="n">
        <v>59920</v>
      </c>
      <c r="O1281" s="184" t="n">
        <v>21330</v>
      </c>
      <c r="P1281" s="185" t="n">
        <v>24</v>
      </c>
      <c r="Q1281" s="184" t="n">
        <v>38590</v>
      </c>
      <c r="R1281" s="184" t="n">
        <v>29328.4</v>
      </c>
      <c r="S1281" s="184" t="s">
        <v>2963</v>
      </c>
      <c r="T1281" s="187" t="n">
        <v>45960</v>
      </c>
    </row>
    <row r="1282" customFormat="false" ht="35.05" hidden="true" customHeight="false" outlineLevel="0" collapsed="false">
      <c r="A1282" s="181" t="s">
        <v>2964</v>
      </c>
      <c r="B1282" s="182" t="n">
        <v>2786</v>
      </c>
      <c r="C1282" s="183" t="n">
        <v>212</v>
      </c>
      <c r="D1282" s="181" t="s">
        <v>2401</v>
      </c>
      <c r="E1282" s="181" t="s">
        <v>399</v>
      </c>
      <c r="F1282" s="181" t="s">
        <v>400</v>
      </c>
      <c r="G1282" s="181" t="s">
        <v>2715</v>
      </c>
      <c r="H1282" s="181" t="s">
        <v>279</v>
      </c>
      <c r="I1282" s="181" t="s">
        <v>242</v>
      </c>
      <c r="J1282" s="267"/>
      <c r="K1282" s="269" t="n">
        <v>45959</v>
      </c>
      <c r="L1282" s="267" t="n">
        <v>1.8</v>
      </c>
      <c r="M1282" s="184" t="s">
        <v>2715</v>
      </c>
      <c r="N1282" s="184" t="n">
        <v>52000</v>
      </c>
      <c r="O1282" s="184" t="n">
        <v>19590</v>
      </c>
      <c r="P1282" s="185" t="n">
        <v>8</v>
      </c>
      <c r="Q1282" s="184" t="n">
        <v>32410</v>
      </c>
      <c r="R1282" s="184" t="n">
        <v>29817.2</v>
      </c>
      <c r="S1282" s="184" t="s">
        <v>2965</v>
      </c>
      <c r="T1282" s="187" t="n">
        <v>45960</v>
      </c>
    </row>
    <row r="1283" customFormat="false" ht="35.05" hidden="true" customHeight="false" outlineLevel="0" collapsed="false">
      <c r="A1283" s="181" t="s">
        <v>2966</v>
      </c>
      <c r="B1283" s="182" t="n">
        <v>2787</v>
      </c>
      <c r="C1283" s="183" t="n">
        <v>213</v>
      </c>
      <c r="D1283" s="181" t="s">
        <v>2401</v>
      </c>
      <c r="E1283" s="181" t="s">
        <v>266</v>
      </c>
      <c r="F1283" s="181" t="s">
        <v>267</v>
      </c>
      <c r="G1283" s="181" t="s">
        <v>2715</v>
      </c>
      <c r="H1283" s="181" t="s">
        <v>279</v>
      </c>
      <c r="I1283" s="181" t="s">
        <v>242</v>
      </c>
      <c r="J1283" s="267"/>
      <c r="K1283" s="269" t="n">
        <v>45959</v>
      </c>
      <c r="L1283" s="267" t="n">
        <v>1.3</v>
      </c>
      <c r="M1283" s="184" t="s">
        <v>2715</v>
      </c>
      <c r="N1283" s="184" t="n">
        <v>38140</v>
      </c>
      <c r="O1283" s="184" t="n">
        <v>15080</v>
      </c>
      <c r="P1283" s="185" t="n">
        <v>11</v>
      </c>
      <c r="Q1283" s="184" t="n">
        <v>23060</v>
      </c>
      <c r="R1283" s="184" t="n">
        <v>20523.4</v>
      </c>
      <c r="S1283" s="184" t="s">
        <v>2967</v>
      </c>
      <c r="T1283" s="187" t="n">
        <v>45960</v>
      </c>
    </row>
    <row r="1284" customFormat="false" ht="35.05" hidden="true" customHeight="false" outlineLevel="0" collapsed="false">
      <c r="A1284" s="181" t="s">
        <v>2968</v>
      </c>
      <c r="B1284" s="182" t="n">
        <v>2788</v>
      </c>
      <c r="C1284" s="183" t="n">
        <v>215</v>
      </c>
      <c r="D1284" s="181" t="s">
        <v>2401</v>
      </c>
      <c r="E1284" s="181" t="s">
        <v>377</v>
      </c>
      <c r="F1284" s="181" t="s">
        <v>378</v>
      </c>
      <c r="G1284" s="181" t="s">
        <v>2715</v>
      </c>
      <c r="H1284" s="181" t="s">
        <v>279</v>
      </c>
      <c r="I1284" s="181" t="s">
        <v>242</v>
      </c>
      <c r="J1284" s="267"/>
      <c r="K1284" s="269" t="n">
        <v>45959</v>
      </c>
      <c r="L1284" s="267" t="n">
        <v>1.5</v>
      </c>
      <c r="M1284" s="184" t="s">
        <v>2715</v>
      </c>
      <c r="N1284" s="184" t="n">
        <v>43040</v>
      </c>
      <c r="O1284" s="184" t="n">
        <v>16020</v>
      </c>
      <c r="P1284" s="185" t="n">
        <v>15</v>
      </c>
      <c r="Q1284" s="184" t="n">
        <v>27020</v>
      </c>
      <c r="R1284" s="184" t="n">
        <v>22967</v>
      </c>
      <c r="S1284" s="184" t="s">
        <v>2969</v>
      </c>
      <c r="T1284" s="187" t="n">
        <v>45960</v>
      </c>
    </row>
    <row r="1285" customFormat="false" ht="35.05" hidden="true" customHeight="false" outlineLevel="0" collapsed="false">
      <c r="A1285" s="181" t="s">
        <v>2970</v>
      </c>
      <c r="B1285" s="182" t="n">
        <v>2790</v>
      </c>
      <c r="C1285" s="183" t="n">
        <v>214</v>
      </c>
      <c r="D1285" s="181" t="s">
        <v>2401</v>
      </c>
      <c r="E1285" s="181" t="s">
        <v>350</v>
      </c>
      <c r="F1285" s="181" t="s">
        <v>351</v>
      </c>
      <c r="G1285" s="181" t="s">
        <v>2715</v>
      </c>
      <c r="H1285" s="181" t="s">
        <v>279</v>
      </c>
      <c r="I1285" s="181" t="s">
        <v>242</v>
      </c>
      <c r="J1285" s="267"/>
      <c r="K1285" s="269" t="n">
        <v>45959</v>
      </c>
      <c r="L1285" s="267" t="n">
        <v>1.4</v>
      </c>
      <c r="M1285" s="184" t="s">
        <v>2715</v>
      </c>
      <c r="N1285" s="184" t="n">
        <v>40560</v>
      </c>
      <c r="O1285" s="184" t="n">
        <v>15130</v>
      </c>
      <c r="P1285" s="185" t="n">
        <v>16</v>
      </c>
      <c r="Q1285" s="184" t="n">
        <v>25430</v>
      </c>
      <c r="R1285" s="184" t="n">
        <v>21361.2</v>
      </c>
      <c r="S1285" s="184" t="s">
        <v>2971</v>
      </c>
      <c r="T1285" s="187" t="n">
        <v>45960</v>
      </c>
    </row>
    <row r="1286" customFormat="false" ht="35.05" hidden="true" customHeight="false" outlineLevel="0" collapsed="false">
      <c r="A1286" s="181" t="s">
        <v>2972</v>
      </c>
      <c r="B1286" s="182" t="n">
        <v>2793</v>
      </c>
      <c r="C1286" s="183" t="n">
        <v>216</v>
      </c>
      <c r="D1286" s="181" t="s">
        <v>2401</v>
      </c>
      <c r="E1286" s="181" t="s">
        <v>387</v>
      </c>
      <c r="F1286" s="181" t="s">
        <v>388</v>
      </c>
      <c r="G1286" s="181" t="s">
        <v>2715</v>
      </c>
      <c r="H1286" s="181" t="s">
        <v>279</v>
      </c>
      <c r="I1286" s="181" t="s">
        <v>242</v>
      </c>
      <c r="J1286" s="267"/>
      <c r="K1286" s="269" t="n">
        <v>45959</v>
      </c>
      <c r="L1286" s="267" t="n">
        <v>1.5</v>
      </c>
      <c r="M1286" s="184" t="s">
        <v>2715</v>
      </c>
      <c r="N1286" s="184" t="n">
        <v>42970</v>
      </c>
      <c r="O1286" s="184" t="n">
        <v>15290</v>
      </c>
      <c r="P1286" s="185" t="n">
        <v>18</v>
      </c>
      <c r="Q1286" s="184" t="n">
        <v>27680</v>
      </c>
      <c r="R1286" s="184" t="n">
        <v>22697.6</v>
      </c>
      <c r="S1286" s="184" t="s">
        <v>2973</v>
      </c>
      <c r="T1286" s="187" t="n">
        <v>45960</v>
      </c>
    </row>
    <row r="1287" customFormat="false" ht="23.85" hidden="true" customHeight="false" outlineLevel="0" collapsed="false">
      <c r="A1287" s="181" t="s">
        <v>2974</v>
      </c>
      <c r="B1287" s="182" t="n">
        <v>2795</v>
      </c>
      <c r="C1287" s="183" t="n">
        <v>217</v>
      </c>
      <c r="D1287" s="181" t="s">
        <v>2401</v>
      </c>
      <c r="E1287" s="181" t="s">
        <v>373</v>
      </c>
      <c r="F1287" s="181" t="s">
        <v>374</v>
      </c>
      <c r="G1287" s="181" t="s">
        <v>2715</v>
      </c>
      <c r="H1287" s="181" t="s">
        <v>279</v>
      </c>
      <c r="I1287" s="181" t="s">
        <v>242</v>
      </c>
      <c r="J1287" s="267"/>
      <c r="K1287" s="269" t="n">
        <v>45960</v>
      </c>
      <c r="L1287" s="267" t="n">
        <v>1.3</v>
      </c>
      <c r="M1287" s="184" t="s">
        <v>2715</v>
      </c>
      <c r="N1287" s="184" t="n">
        <v>38470</v>
      </c>
      <c r="O1287" s="184" t="n">
        <v>14670</v>
      </c>
      <c r="P1287" s="185" t="n">
        <v>8</v>
      </c>
      <c r="Q1287" s="184" t="n">
        <v>23800</v>
      </c>
      <c r="R1287" s="184" t="n">
        <v>21896</v>
      </c>
      <c r="S1287" s="184" t="s">
        <v>2975</v>
      </c>
      <c r="T1287" s="187" t="n">
        <v>45960</v>
      </c>
    </row>
    <row r="1288" customFormat="false" ht="35.05" hidden="true" customHeight="false" outlineLevel="0" collapsed="false">
      <c r="A1288" s="181" t="s">
        <v>2976</v>
      </c>
      <c r="B1288" s="182" t="n">
        <v>2796</v>
      </c>
      <c r="C1288" s="183" t="n">
        <v>218</v>
      </c>
      <c r="D1288" s="181" t="s">
        <v>2401</v>
      </c>
      <c r="E1288" s="181" t="s">
        <v>413</v>
      </c>
      <c r="F1288" s="181" t="s">
        <v>414</v>
      </c>
      <c r="G1288" s="181" t="s">
        <v>2715</v>
      </c>
      <c r="H1288" s="181" t="s">
        <v>279</v>
      </c>
      <c r="I1288" s="181" t="s">
        <v>242</v>
      </c>
      <c r="J1288" s="267"/>
      <c r="K1288" s="269" t="n">
        <v>45960</v>
      </c>
      <c r="L1288" s="267" t="n">
        <v>1.4</v>
      </c>
      <c r="M1288" s="184" t="s">
        <v>2715</v>
      </c>
      <c r="N1288" s="184" t="n">
        <v>41540</v>
      </c>
      <c r="O1288" s="184" t="n">
        <v>16290</v>
      </c>
      <c r="P1288" s="185" t="n">
        <v>29</v>
      </c>
      <c r="Q1288" s="184" t="n">
        <v>25250</v>
      </c>
      <c r="R1288" s="184" t="n">
        <v>17927.5</v>
      </c>
      <c r="S1288" s="184" t="s">
        <v>2977</v>
      </c>
      <c r="T1288" s="187" t="n">
        <v>45960</v>
      </c>
    </row>
    <row r="1289" customFormat="false" ht="46.25" hidden="true" customHeight="false" outlineLevel="0" collapsed="false">
      <c r="A1289" s="181" t="s">
        <v>2984</v>
      </c>
      <c r="B1289" s="182" t="n">
        <v>2797</v>
      </c>
      <c r="C1289" s="183" t="n">
        <v>219</v>
      </c>
      <c r="D1289" s="181" t="s">
        <v>2401</v>
      </c>
      <c r="E1289" s="181" t="s">
        <v>383</v>
      </c>
      <c r="F1289" s="181" t="s">
        <v>384</v>
      </c>
      <c r="G1289" s="181" t="s">
        <v>2715</v>
      </c>
      <c r="H1289" s="181" t="s">
        <v>279</v>
      </c>
      <c r="I1289" s="181" t="s">
        <v>242</v>
      </c>
      <c r="J1289" s="267"/>
      <c r="K1289" s="269" t="n">
        <v>45960</v>
      </c>
      <c r="L1289" s="267" t="n">
        <v>1.3</v>
      </c>
      <c r="M1289" s="184" t="s">
        <v>2715</v>
      </c>
      <c r="N1289" s="184" t="n">
        <v>38490</v>
      </c>
      <c r="O1289" s="184" t="n">
        <v>15230</v>
      </c>
      <c r="P1289" s="185" t="n">
        <v>14</v>
      </c>
      <c r="Q1289" s="184" t="n">
        <v>23260</v>
      </c>
      <c r="R1289" s="184" t="n">
        <v>20003.6</v>
      </c>
      <c r="S1289" s="184" t="s">
        <v>2985</v>
      </c>
      <c r="T1289" s="187" t="n">
        <v>45960</v>
      </c>
    </row>
    <row r="1290" customFormat="false" ht="23.85" hidden="true" customHeight="false" outlineLevel="0" collapsed="false">
      <c r="A1290" s="181" t="s">
        <v>2986</v>
      </c>
      <c r="B1290" s="182" t="n">
        <v>2798</v>
      </c>
      <c r="C1290" s="183" t="n">
        <v>220</v>
      </c>
      <c r="D1290" s="181" t="s">
        <v>2401</v>
      </c>
      <c r="E1290" s="181" t="s">
        <v>308</v>
      </c>
      <c r="F1290" s="181" t="s">
        <v>309</v>
      </c>
      <c r="G1290" s="181" t="s">
        <v>2728</v>
      </c>
      <c r="H1290" s="181" t="s">
        <v>279</v>
      </c>
      <c r="I1290" s="181" t="s">
        <v>242</v>
      </c>
      <c r="J1290" s="267"/>
      <c r="K1290" s="269" t="n">
        <v>45960</v>
      </c>
      <c r="L1290" s="267" t="n">
        <v>1.1</v>
      </c>
      <c r="M1290" s="184" t="s">
        <v>2728</v>
      </c>
      <c r="N1290" s="184" t="n">
        <v>50670</v>
      </c>
      <c r="O1290" s="184" t="n">
        <v>24380</v>
      </c>
      <c r="P1290" s="185" t="n">
        <v>15</v>
      </c>
      <c r="Q1290" s="184" t="n">
        <v>26290</v>
      </c>
      <c r="R1290" s="184" t="n">
        <v>22346.5</v>
      </c>
      <c r="S1290" s="184" t="s">
        <v>2987</v>
      </c>
      <c r="T1290" s="187" t="n">
        <v>45960</v>
      </c>
    </row>
    <row r="1291" customFormat="false" ht="35.05" hidden="true" customHeight="false" outlineLevel="0" collapsed="false">
      <c r="A1291" s="181" t="s">
        <v>2990</v>
      </c>
      <c r="B1291" s="182" t="n">
        <v>2799</v>
      </c>
      <c r="C1291" s="183" t="n">
        <v>11284</v>
      </c>
      <c r="D1291" s="181" t="s">
        <v>2066</v>
      </c>
      <c r="E1291" s="181" t="s">
        <v>576</v>
      </c>
      <c r="F1291" s="181" t="s">
        <v>577</v>
      </c>
      <c r="G1291" s="181" t="s">
        <v>3334</v>
      </c>
      <c r="H1291" s="181" t="s">
        <v>158</v>
      </c>
      <c r="I1291" s="181" t="s">
        <v>241</v>
      </c>
      <c r="J1291" s="267"/>
      <c r="K1291" s="269" t="n">
        <v>45960</v>
      </c>
      <c r="L1291" s="267" t="n">
        <v>1.7</v>
      </c>
      <c r="M1291" s="184" t="s">
        <v>3334</v>
      </c>
      <c r="N1291" s="184" t="n">
        <v>40270</v>
      </c>
      <c r="O1291" s="184" t="n">
        <v>14630</v>
      </c>
      <c r="P1291" s="185" t="n">
        <v>6</v>
      </c>
      <c r="Q1291" s="184" t="n">
        <v>25640</v>
      </c>
      <c r="R1291" s="184" t="n">
        <v>24101.6</v>
      </c>
      <c r="S1291" s="184" t="s">
        <v>2991</v>
      </c>
      <c r="T1291" s="187" t="n">
        <v>45960</v>
      </c>
    </row>
    <row r="1292" customFormat="false" ht="35.05" hidden="true" customHeight="false" outlineLevel="0" collapsed="false">
      <c r="A1292" s="181" t="s">
        <v>2994</v>
      </c>
      <c r="B1292" s="182" t="n">
        <v>2800</v>
      </c>
      <c r="C1292" s="183" t="n">
        <v>11285</v>
      </c>
      <c r="D1292" s="181" t="s">
        <v>2066</v>
      </c>
      <c r="E1292" s="181" t="s">
        <v>261</v>
      </c>
      <c r="F1292" s="181" t="s">
        <v>262</v>
      </c>
      <c r="G1292" s="181" t="s">
        <v>3334</v>
      </c>
      <c r="H1292" s="181" t="s">
        <v>158</v>
      </c>
      <c r="I1292" s="181" t="s">
        <v>241</v>
      </c>
      <c r="J1292" s="267"/>
      <c r="K1292" s="269" t="n">
        <v>45960</v>
      </c>
      <c r="L1292" s="267" t="n">
        <v>1.6</v>
      </c>
      <c r="M1292" s="184" t="s">
        <v>3334</v>
      </c>
      <c r="N1292" s="184" t="n">
        <v>40310</v>
      </c>
      <c r="O1292" s="184" t="n">
        <v>15310</v>
      </c>
      <c r="P1292" s="185" t="n">
        <v>11</v>
      </c>
      <c r="Q1292" s="184" t="n">
        <v>25000</v>
      </c>
      <c r="R1292" s="184" t="n">
        <v>22250</v>
      </c>
      <c r="S1292" s="184" t="s">
        <v>2995</v>
      </c>
      <c r="T1292" s="187" t="n">
        <v>45960</v>
      </c>
    </row>
    <row r="1293" customFormat="false" ht="46.25" hidden="true" customHeight="false" outlineLevel="0" collapsed="false">
      <c r="A1293" s="181" t="s">
        <v>2978</v>
      </c>
      <c r="B1293" s="182" t="n">
        <v>2801</v>
      </c>
      <c r="C1293" s="183" t="n">
        <v>11294</v>
      </c>
      <c r="D1293" s="181" t="s">
        <v>2066</v>
      </c>
      <c r="E1293" s="181" t="s">
        <v>282</v>
      </c>
      <c r="F1293" s="181" t="s">
        <v>283</v>
      </c>
      <c r="G1293" s="181" t="s">
        <v>3334</v>
      </c>
      <c r="H1293" s="181" t="s">
        <v>158</v>
      </c>
      <c r="I1293" s="181" t="s">
        <v>241</v>
      </c>
      <c r="J1293" s="267"/>
      <c r="K1293" s="269" t="n">
        <v>45960</v>
      </c>
      <c r="L1293" s="267" t="n">
        <v>1.7</v>
      </c>
      <c r="M1293" s="184" t="s">
        <v>3334</v>
      </c>
      <c r="N1293" s="184" t="n">
        <v>40300</v>
      </c>
      <c r="O1293" s="184" t="n">
        <v>15120</v>
      </c>
      <c r="P1293" s="185" t="n">
        <v>6</v>
      </c>
      <c r="Q1293" s="184" t="n">
        <v>25180</v>
      </c>
      <c r="R1293" s="184" t="n">
        <v>23669.2</v>
      </c>
      <c r="S1293" s="184" t="s">
        <v>2979</v>
      </c>
      <c r="T1293" s="187" t="n">
        <v>45960</v>
      </c>
    </row>
    <row r="1294" customFormat="false" ht="35.05" hidden="true" customHeight="false" outlineLevel="0" collapsed="false">
      <c r="A1294" s="181" t="s">
        <v>2980</v>
      </c>
      <c r="B1294" s="182" t="n">
        <v>2802</v>
      </c>
      <c r="C1294" s="183" t="n">
        <v>221</v>
      </c>
      <c r="D1294" s="181" t="s">
        <v>2401</v>
      </c>
      <c r="E1294" s="181" t="s">
        <v>549</v>
      </c>
      <c r="F1294" s="181" t="s">
        <v>550</v>
      </c>
      <c r="G1294" s="181" t="s">
        <v>2728</v>
      </c>
      <c r="H1294" s="181" t="s">
        <v>279</v>
      </c>
      <c r="I1294" s="181" t="s">
        <v>242</v>
      </c>
      <c r="J1294" s="267"/>
      <c r="K1294" s="269" t="n">
        <v>45960</v>
      </c>
      <c r="L1294" s="267" t="n">
        <v>0.9</v>
      </c>
      <c r="M1294" s="184" t="s">
        <v>2728</v>
      </c>
      <c r="N1294" s="184" t="n">
        <v>38170</v>
      </c>
      <c r="O1294" s="184" t="n">
        <v>16110</v>
      </c>
      <c r="P1294" s="185" t="n">
        <v>6</v>
      </c>
      <c r="Q1294" s="184" t="n">
        <v>22060</v>
      </c>
      <c r="R1294" s="184" t="n">
        <v>20736.4</v>
      </c>
      <c r="S1294" s="184" t="s">
        <v>2981</v>
      </c>
      <c r="T1294" s="187" t="n">
        <v>45960</v>
      </c>
    </row>
    <row r="1295" customFormat="false" ht="35.05" hidden="true" customHeight="false" outlineLevel="0" collapsed="false">
      <c r="A1295" s="181" t="s">
        <v>2982</v>
      </c>
      <c r="B1295" s="182" t="n">
        <v>2803</v>
      </c>
      <c r="C1295" s="183" t="n">
        <v>222</v>
      </c>
      <c r="D1295" s="181" t="s">
        <v>2401</v>
      </c>
      <c r="E1295" s="181" t="s">
        <v>409</v>
      </c>
      <c r="F1295" s="181" t="s">
        <v>410</v>
      </c>
      <c r="G1295" s="181" t="s">
        <v>2728</v>
      </c>
      <c r="H1295" s="181" t="s">
        <v>279</v>
      </c>
      <c r="I1295" s="181" t="s">
        <v>242</v>
      </c>
      <c r="J1295" s="267"/>
      <c r="K1295" s="269" t="n">
        <v>45960</v>
      </c>
      <c r="L1295" s="267" t="n">
        <v>1.3</v>
      </c>
      <c r="M1295" s="184" t="s">
        <v>2728</v>
      </c>
      <c r="N1295" s="184" t="n">
        <v>56080</v>
      </c>
      <c r="O1295" s="184" t="n">
        <v>24950</v>
      </c>
      <c r="P1295" s="185" t="n">
        <v>10</v>
      </c>
      <c r="Q1295" s="184" t="n">
        <v>31130</v>
      </c>
      <c r="R1295" s="184" t="n">
        <v>28017</v>
      </c>
      <c r="S1295" s="184" t="s">
        <v>2983</v>
      </c>
      <c r="T1295" s="187" t="n">
        <v>45960</v>
      </c>
    </row>
    <row r="1296" customFormat="false" ht="23.85" hidden="true" customHeight="false" outlineLevel="0" collapsed="false">
      <c r="A1296" s="181" t="s">
        <v>2988</v>
      </c>
      <c r="B1296" s="182" t="n">
        <v>2804</v>
      </c>
      <c r="C1296" s="183" t="n">
        <v>223</v>
      </c>
      <c r="D1296" s="181" t="s">
        <v>2401</v>
      </c>
      <c r="E1296" s="181" t="s">
        <v>367</v>
      </c>
      <c r="F1296" s="181" t="s">
        <v>368</v>
      </c>
      <c r="G1296" s="181" t="s">
        <v>2728</v>
      </c>
      <c r="H1296" s="181" t="s">
        <v>279</v>
      </c>
      <c r="I1296" s="181" t="s">
        <v>242</v>
      </c>
      <c r="J1296" s="267"/>
      <c r="K1296" s="269" t="n">
        <v>45960</v>
      </c>
      <c r="L1296" s="267" t="n">
        <v>1.2</v>
      </c>
      <c r="M1296" s="184" t="s">
        <v>2728</v>
      </c>
      <c r="N1296" s="184" t="n">
        <v>48210</v>
      </c>
      <c r="O1296" s="184" t="n">
        <v>18970</v>
      </c>
      <c r="P1296" s="185" t="n">
        <v>4</v>
      </c>
      <c r="Q1296" s="184" t="n">
        <v>29240</v>
      </c>
      <c r="R1296" s="184" t="n">
        <v>28070.4</v>
      </c>
      <c r="S1296" s="184" t="s">
        <v>2989</v>
      </c>
      <c r="T1296" s="187" t="n">
        <v>45960</v>
      </c>
    </row>
    <row r="1297" customFormat="false" ht="23.85" hidden="true" customHeight="false" outlineLevel="0" collapsed="false">
      <c r="A1297" s="181" t="s">
        <v>2992</v>
      </c>
      <c r="B1297" s="182" t="n">
        <v>2805</v>
      </c>
      <c r="C1297" s="183" t="n">
        <v>224</v>
      </c>
      <c r="D1297" s="181" t="s">
        <v>2401</v>
      </c>
      <c r="E1297" s="181" t="s">
        <v>533</v>
      </c>
      <c r="F1297" s="181" t="s">
        <v>534</v>
      </c>
      <c r="G1297" s="181" t="s">
        <v>2728</v>
      </c>
      <c r="H1297" s="181" t="s">
        <v>279</v>
      </c>
      <c r="I1297" s="181" t="s">
        <v>242</v>
      </c>
      <c r="J1297" s="267"/>
      <c r="K1297" s="269" t="n">
        <v>45960</v>
      </c>
      <c r="L1297" s="267" t="n">
        <v>1</v>
      </c>
      <c r="M1297" s="184" t="s">
        <v>2728</v>
      </c>
      <c r="N1297" s="184" t="n">
        <v>38220</v>
      </c>
      <c r="O1297" s="184" t="n">
        <v>14880</v>
      </c>
      <c r="P1297" s="185" t="n">
        <v>15</v>
      </c>
      <c r="Q1297" s="184" t="n">
        <v>23340</v>
      </c>
      <c r="R1297" s="184" t="n">
        <v>19839</v>
      </c>
      <c r="S1297" s="184" t="s">
        <v>2993</v>
      </c>
      <c r="T1297" s="187" t="n">
        <v>45960</v>
      </c>
    </row>
    <row r="1298" customFormat="false" ht="23.85" hidden="true" customHeight="false" outlineLevel="0" collapsed="false">
      <c r="A1298" s="181" t="s">
        <v>2996</v>
      </c>
      <c r="B1298" s="182" t="n">
        <v>2806</v>
      </c>
      <c r="C1298" s="183" t="n">
        <v>225</v>
      </c>
      <c r="D1298" s="181" t="s">
        <v>2401</v>
      </c>
      <c r="E1298" s="181" t="s">
        <v>545</v>
      </c>
      <c r="F1298" s="181" t="s">
        <v>546</v>
      </c>
      <c r="G1298" s="181" t="s">
        <v>2728</v>
      </c>
      <c r="H1298" s="181" t="s">
        <v>279</v>
      </c>
      <c r="I1298" s="181" t="s">
        <v>242</v>
      </c>
      <c r="J1298" s="267"/>
      <c r="K1298" s="269" t="n">
        <v>45960</v>
      </c>
      <c r="L1298" s="267" t="n">
        <v>1</v>
      </c>
      <c r="M1298" s="184" t="s">
        <v>2728</v>
      </c>
      <c r="N1298" s="184" t="n">
        <v>40660</v>
      </c>
      <c r="O1298" s="184" t="n">
        <v>16440</v>
      </c>
      <c r="P1298" s="185" t="n">
        <v>9</v>
      </c>
      <c r="Q1298" s="184" t="n">
        <v>24220</v>
      </c>
      <c r="R1298" s="184" t="n">
        <v>22040.2</v>
      </c>
      <c r="S1298" s="184" t="s">
        <v>2997</v>
      </c>
      <c r="T1298" s="187" t="n">
        <v>45961</v>
      </c>
    </row>
    <row r="1299" customFormat="false" ht="35.05" hidden="true" customHeight="false" outlineLevel="0" collapsed="false">
      <c r="A1299" s="181" t="s">
        <v>2998</v>
      </c>
      <c r="B1299" s="182" t="n">
        <v>2807</v>
      </c>
      <c r="C1299" s="183" t="n">
        <v>226</v>
      </c>
      <c r="D1299" s="181" t="s">
        <v>2401</v>
      </c>
      <c r="E1299" s="181" t="s">
        <v>537</v>
      </c>
      <c r="F1299" s="181" t="s">
        <v>538</v>
      </c>
      <c r="G1299" s="181" t="s">
        <v>2728</v>
      </c>
      <c r="H1299" s="181" t="s">
        <v>279</v>
      </c>
      <c r="I1299" s="181" t="s">
        <v>242</v>
      </c>
      <c r="J1299" s="267"/>
      <c r="K1299" s="269" t="n">
        <v>45960</v>
      </c>
      <c r="L1299" s="267" t="n">
        <v>0.9</v>
      </c>
      <c r="M1299" s="184" t="s">
        <v>2728</v>
      </c>
      <c r="N1299" s="184" t="n">
        <v>34970</v>
      </c>
      <c r="O1299" s="184" t="n">
        <v>14020</v>
      </c>
      <c r="P1299" s="185" t="n">
        <v>7</v>
      </c>
      <c r="Q1299" s="184" t="n">
        <v>20950</v>
      </c>
      <c r="R1299" s="184" t="n">
        <v>19483.5</v>
      </c>
      <c r="S1299" s="184" t="s">
        <v>2999</v>
      </c>
      <c r="T1299" s="187" t="n">
        <v>45961</v>
      </c>
    </row>
    <row r="1300" customFormat="false" ht="23.85" hidden="true" customHeight="false" outlineLevel="0" collapsed="false">
      <c r="A1300" s="181" t="s">
        <v>3000</v>
      </c>
      <c r="B1300" s="182" t="n">
        <v>2808</v>
      </c>
      <c r="C1300" s="183" t="n">
        <v>227</v>
      </c>
      <c r="D1300" s="181" t="s">
        <v>2401</v>
      </c>
      <c r="E1300" s="181" t="s">
        <v>354</v>
      </c>
      <c r="F1300" s="181" t="s">
        <v>355</v>
      </c>
      <c r="G1300" s="181" t="s">
        <v>2728</v>
      </c>
      <c r="H1300" s="181" t="s">
        <v>279</v>
      </c>
      <c r="I1300" s="181" t="s">
        <v>242</v>
      </c>
      <c r="J1300" s="267"/>
      <c r="K1300" s="269" t="n">
        <v>45960</v>
      </c>
      <c r="L1300" s="267" t="n">
        <v>1</v>
      </c>
      <c r="M1300" s="184" t="s">
        <v>2728</v>
      </c>
      <c r="N1300" s="184" t="n">
        <v>38690</v>
      </c>
      <c r="O1300" s="184" t="n">
        <v>15060</v>
      </c>
      <c r="P1300" s="185" t="n">
        <v>7</v>
      </c>
      <c r="Q1300" s="184" t="n">
        <v>23630</v>
      </c>
      <c r="R1300" s="184" t="n">
        <v>21975.9</v>
      </c>
      <c r="S1300" s="184" t="s">
        <v>3001</v>
      </c>
      <c r="T1300" s="187" t="n">
        <v>45961</v>
      </c>
    </row>
    <row r="1301" customFormat="false" ht="35.05" hidden="true" customHeight="false" outlineLevel="0" collapsed="false">
      <c r="A1301" s="181" t="s">
        <v>3002</v>
      </c>
      <c r="B1301" s="182" t="n">
        <v>2809</v>
      </c>
      <c r="C1301" s="183" t="n">
        <v>228</v>
      </c>
      <c r="D1301" s="181" t="s">
        <v>2401</v>
      </c>
      <c r="E1301" s="181" t="s">
        <v>359</v>
      </c>
      <c r="F1301" s="181" t="s">
        <v>360</v>
      </c>
      <c r="G1301" s="181" t="s">
        <v>2728</v>
      </c>
      <c r="H1301" s="181" t="s">
        <v>279</v>
      </c>
      <c r="I1301" s="181" t="s">
        <v>242</v>
      </c>
      <c r="J1301" s="267"/>
      <c r="K1301" s="269" t="n">
        <v>45960</v>
      </c>
      <c r="L1301" s="267" t="n">
        <v>0.9</v>
      </c>
      <c r="M1301" s="184" t="s">
        <v>2728</v>
      </c>
      <c r="N1301" s="184" t="n">
        <v>36990</v>
      </c>
      <c r="O1301" s="184" t="n">
        <v>15220</v>
      </c>
      <c r="P1301" s="185" t="n">
        <v>7</v>
      </c>
      <c r="Q1301" s="184" t="n">
        <v>21770</v>
      </c>
      <c r="R1301" s="184" t="n">
        <v>20246.1</v>
      </c>
      <c r="S1301" s="184" t="s">
        <v>3003</v>
      </c>
      <c r="T1301" s="187" t="n">
        <v>45961</v>
      </c>
    </row>
    <row r="1302" customFormat="false" ht="23.85" hidden="true" customHeight="false" outlineLevel="0" collapsed="false">
      <c r="A1302" s="181" t="s">
        <v>3004</v>
      </c>
      <c r="B1302" s="182" t="n">
        <v>2810</v>
      </c>
      <c r="C1302" s="183" t="n">
        <v>229</v>
      </c>
      <c r="D1302" s="181" t="s">
        <v>2401</v>
      </c>
      <c r="E1302" s="181" t="s">
        <v>541</v>
      </c>
      <c r="F1302" s="181" t="s">
        <v>542</v>
      </c>
      <c r="G1302" s="181" t="s">
        <v>2728</v>
      </c>
      <c r="H1302" s="181" t="s">
        <v>279</v>
      </c>
      <c r="I1302" s="181" t="s">
        <v>242</v>
      </c>
      <c r="J1302" s="267"/>
      <c r="K1302" s="269" t="n">
        <v>45960</v>
      </c>
      <c r="L1302" s="267" t="n">
        <v>1</v>
      </c>
      <c r="M1302" s="184" t="s">
        <v>2728</v>
      </c>
      <c r="N1302" s="184" t="n">
        <v>38680</v>
      </c>
      <c r="O1302" s="184" t="n">
        <v>15130</v>
      </c>
      <c r="P1302" s="185" t="n">
        <v>5</v>
      </c>
      <c r="Q1302" s="184" t="n">
        <v>23550</v>
      </c>
      <c r="R1302" s="184" t="n">
        <v>22372.5</v>
      </c>
      <c r="S1302" s="184" t="s">
        <v>3005</v>
      </c>
      <c r="T1302" s="187" t="n">
        <v>45961</v>
      </c>
    </row>
    <row r="1303" customFormat="false" ht="46.25" hidden="true" customHeight="false" outlineLevel="0" collapsed="false">
      <c r="A1303" s="181" t="s">
        <v>3006</v>
      </c>
      <c r="B1303" s="182" t="n">
        <v>2811</v>
      </c>
      <c r="C1303" s="183" t="n">
        <v>230</v>
      </c>
      <c r="D1303" s="181" t="s">
        <v>2401</v>
      </c>
      <c r="E1303" s="181" t="s">
        <v>288</v>
      </c>
      <c r="F1303" s="181" t="s">
        <v>289</v>
      </c>
      <c r="G1303" s="181" t="s">
        <v>2728</v>
      </c>
      <c r="H1303" s="181" t="s">
        <v>279</v>
      </c>
      <c r="I1303" s="181" t="s">
        <v>242</v>
      </c>
      <c r="J1303" s="267"/>
      <c r="K1303" s="269" t="n">
        <v>45960</v>
      </c>
      <c r="L1303" s="267" t="n">
        <v>0.9</v>
      </c>
      <c r="M1303" s="184" t="s">
        <v>2728</v>
      </c>
      <c r="N1303" s="184" t="n">
        <v>36090</v>
      </c>
      <c r="O1303" s="184" t="n">
        <v>15050</v>
      </c>
      <c r="P1303" s="185" t="n">
        <v>6</v>
      </c>
      <c r="Q1303" s="184" t="n">
        <v>21040</v>
      </c>
      <c r="R1303" s="184" t="n">
        <v>19777.6</v>
      </c>
      <c r="S1303" s="184" t="s">
        <v>3007</v>
      </c>
      <c r="T1303" s="187" t="n">
        <v>45961</v>
      </c>
    </row>
    <row r="1304" customFormat="false" ht="35.05" hidden="true" customHeight="false" outlineLevel="0" collapsed="false">
      <c r="A1304" s="181" t="s">
        <v>3008</v>
      </c>
      <c r="B1304" s="182" t="n">
        <v>2812</v>
      </c>
      <c r="C1304" s="183" t="n">
        <v>231</v>
      </c>
      <c r="D1304" s="181" t="s">
        <v>2401</v>
      </c>
      <c r="E1304" s="181" t="s">
        <v>332</v>
      </c>
      <c r="F1304" s="181" t="s">
        <v>333</v>
      </c>
      <c r="G1304" s="181" t="s">
        <v>2728</v>
      </c>
      <c r="H1304" s="181" t="s">
        <v>279</v>
      </c>
      <c r="I1304" s="181" t="s">
        <v>242</v>
      </c>
      <c r="J1304" s="267"/>
      <c r="K1304" s="269" t="n">
        <v>45960</v>
      </c>
      <c r="L1304" s="267" t="n">
        <v>1</v>
      </c>
      <c r="M1304" s="184" t="s">
        <v>2728</v>
      </c>
      <c r="N1304" s="184" t="n">
        <v>39020</v>
      </c>
      <c r="O1304" s="184" t="n">
        <v>15140</v>
      </c>
      <c r="P1304" s="185" t="n">
        <v>8</v>
      </c>
      <c r="Q1304" s="184" t="n">
        <v>23880</v>
      </c>
      <c r="R1304" s="184" t="n">
        <v>21969.6</v>
      </c>
      <c r="S1304" s="184" t="s">
        <v>3009</v>
      </c>
      <c r="T1304" s="187" t="n">
        <v>45961</v>
      </c>
    </row>
    <row r="1305" customFormat="false" ht="23.85" hidden="true" customHeight="false" outlineLevel="0" collapsed="false">
      <c r="A1305" s="181" t="s">
        <v>3010</v>
      </c>
      <c r="B1305" s="182" t="n">
        <v>2813</v>
      </c>
      <c r="C1305" s="183" t="n">
        <v>232</v>
      </c>
      <c r="D1305" s="181" t="s">
        <v>2401</v>
      </c>
      <c r="E1305" s="181" t="s">
        <v>336</v>
      </c>
      <c r="F1305" s="181" t="s">
        <v>337</v>
      </c>
      <c r="G1305" s="181" t="s">
        <v>2728</v>
      </c>
      <c r="H1305" s="181" t="s">
        <v>279</v>
      </c>
      <c r="I1305" s="181" t="s">
        <v>242</v>
      </c>
      <c r="J1305" s="267"/>
      <c r="K1305" s="269" t="n">
        <v>45960</v>
      </c>
      <c r="L1305" s="267" t="n">
        <v>1</v>
      </c>
      <c r="M1305" s="184" t="s">
        <v>2728</v>
      </c>
      <c r="N1305" s="184" t="n">
        <v>38890</v>
      </c>
      <c r="O1305" s="184" t="n">
        <v>14750</v>
      </c>
      <c r="P1305" s="185" t="n">
        <v>14</v>
      </c>
      <c r="Q1305" s="184" t="n">
        <v>24140</v>
      </c>
      <c r="R1305" s="184" t="n">
        <v>20760.4</v>
      </c>
      <c r="S1305" s="184" t="s">
        <v>3011</v>
      </c>
      <c r="T1305" s="187" t="n">
        <v>45961</v>
      </c>
    </row>
    <row r="1306" customFormat="false" ht="35.05" hidden="true" customHeight="false" outlineLevel="0" collapsed="false">
      <c r="A1306" s="181" t="s">
        <v>3012</v>
      </c>
      <c r="B1306" s="182" t="n">
        <v>2816</v>
      </c>
      <c r="C1306" s="183" t="n">
        <v>233</v>
      </c>
      <c r="D1306" s="181" t="s">
        <v>2401</v>
      </c>
      <c r="E1306" s="181" t="s">
        <v>340</v>
      </c>
      <c r="F1306" s="181" t="s">
        <v>341</v>
      </c>
      <c r="G1306" s="181" t="s">
        <v>2728</v>
      </c>
      <c r="H1306" s="181" t="s">
        <v>279</v>
      </c>
      <c r="I1306" s="181" t="s">
        <v>242</v>
      </c>
      <c r="J1306" s="267"/>
      <c r="K1306" s="269" t="n">
        <v>45960</v>
      </c>
      <c r="L1306" s="267" t="n">
        <v>0.9</v>
      </c>
      <c r="M1306" s="184" t="s">
        <v>2728</v>
      </c>
      <c r="N1306" s="184" t="n">
        <v>37530</v>
      </c>
      <c r="O1306" s="184" t="n">
        <v>15190</v>
      </c>
      <c r="P1306" s="185" t="n">
        <v>17</v>
      </c>
      <c r="Q1306" s="184" t="n">
        <v>22340</v>
      </c>
      <c r="R1306" s="184" t="n">
        <v>18542.2</v>
      </c>
      <c r="S1306" s="184" t="s">
        <v>3013</v>
      </c>
      <c r="T1306" s="187" t="n">
        <v>45961</v>
      </c>
    </row>
    <row r="1307" customFormat="false" ht="35.05" hidden="true" customHeight="false" outlineLevel="0" collapsed="false">
      <c r="A1307" s="181" t="s">
        <v>3014</v>
      </c>
      <c r="B1307" s="182" t="n">
        <v>2817</v>
      </c>
      <c r="C1307" s="183" t="n">
        <v>234</v>
      </c>
      <c r="D1307" s="181" t="s">
        <v>2401</v>
      </c>
      <c r="E1307" s="181" t="s">
        <v>391</v>
      </c>
      <c r="F1307" s="181" t="s">
        <v>392</v>
      </c>
      <c r="G1307" s="181" t="s">
        <v>2728</v>
      </c>
      <c r="H1307" s="181" t="s">
        <v>279</v>
      </c>
      <c r="I1307" s="181" t="s">
        <v>242</v>
      </c>
      <c r="J1307" s="267"/>
      <c r="K1307" s="269" t="n">
        <v>45961</v>
      </c>
      <c r="L1307" s="267" t="n">
        <v>0.9</v>
      </c>
      <c r="M1307" s="184" t="s">
        <v>2728</v>
      </c>
      <c r="N1307" s="184" t="n">
        <v>34350</v>
      </c>
      <c r="O1307" s="184" t="n">
        <v>14680</v>
      </c>
      <c r="P1307" s="185" t="n">
        <v>29</v>
      </c>
      <c r="Q1307" s="184" t="n">
        <v>19670</v>
      </c>
      <c r="R1307" s="184" t="n">
        <v>13965.7</v>
      </c>
      <c r="S1307" s="184" t="s">
        <v>3015</v>
      </c>
      <c r="T1307" s="187" t="n">
        <v>45961</v>
      </c>
    </row>
    <row r="1308" customFormat="false" ht="23.85" hidden="true" customHeight="false" outlineLevel="0" collapsed="false">
      <c r="A1308" s="181" t="s">
        <v>3016</v>
      </c>
      <c r="B1308" s="182" t="n">
        <v>2818</v>
      </c>
      <c r="C1308" s="183" t="n">
        <v>235</v>
      </c>
      <c r="D1308" s="181" t="s">
        <v>2401</v>
      </c>
      <c r="E1308" s="181" t="s">
        <v>272</v>
      </c>
      <c r="F1308" s="181" t="s">
        <v>273</v>
      </c>
      <c r="G1308" s="181" t="s">
        <v>2728</v>
      </c>
      <c r="H1308" s="181" t="s">
        <v>279</v>
      </c>
      <c r="I1308" s="181" t="s">
        <v>242</v>
      </c>
      <c r="J1308" s="267"/>
      <c r="K1308" s="269" t="n">
        <v>45961</v>
      </c>
      <c r="L1308" s="267" t="n">
        <v>1.1</v>
      </c>
      <c r="M1308" s="184" t="s">
        <v>2728</v>
      </c>
      <c r="N1308" s="184" t="n">
        <v>38830</v>
      </c>
      <c r="O1308" s="184" t="n">
        <v>15730</v>
      </c>
      <c r="P1308" s="185" t="n">
        <v>5</v>
      </c>
      <c r="Q1308" s="184" t="n">
        <v>23100</v>
      </c>
      <c r="R1308" s="184" t="n">
        <v>21945</v>
      </c>
      <c r="S1308" s="184" t="s">
        <v>3017</v>
      </c>
      <c r="T1308" s="187" t="n">
        <v>45961</v>
      </c>
    </row>
    <row r="1309" customFormat="false" ht="35.05" hidden="true" customHeight="false" outlineLevel="0" collapsed="false">
      <c r="A1309" s="181" t="s">
        <v>3018</v>
      </c>
      <c r="B1309" s="182" t="n">
        <v>2820</v>
      </c>
      <c r="C1309" s="183" t="n">
        <v>236</v>
      </c>
      <c r="D1309" s="181" t="s">
        <v>2401</v>
      </c>
      <c r="E1309" s="181" t="s">
        <v>399</v>
      </c>
      <c r="F1309" s="181" t="s">
        <v>400</v>
      </c>
      <c r="G1309" s="181" t="s">
        <v>2728</v>
      </c>
      <c r="H1309" s="181" t="s">
        <v>279</v>
      </c>
      <c r="I1309" s="181" t="s">
        <v>242</v>
      </c>
      <c r="J1309" s="267"/>
      <c r="K1309" s="269" t="n">
        <v>45961</v>
      </c>
      <c r="L1309" s="267" t="n">
        <v>1.5</v>
      </c>
      <c r="M1309" s="184" t="s">
        <v>2728</v>
      </c>
      <c r="N1309" s="184" t="n">
        <v>50150</v>
      </c>
      <c r="O1309" s="184" t="n">
        <v>19580</v>
      </c>
      <c r="P1309" s="185" t="n">
        <v>8</v>
      </c>
      <c r="Q1309" s="184" t="n">
        <v>30570</v>
      </c>
      <c r="R1309" s="184" t="n">
        <v>28124.4</v>
      </c>
      <c r="S1309" s="184" t="s">
        <v>3019</v>
      </c>
      <c r="T1309" s="187" t="n">
        <v>45961</v>
      </c>
    </row>
    <row r="1310" customFormat="false" ht="35.05" hidden="true" customHeight="false" outlineLevel="0" collapsed="false">
      <c r="A1310" s="181" t="s">
        <v>3020</v>
      </c>
      <c r="B1310" s="182" t="n">
        <v>2821</v>
      </c>
      <c r="C1310" s="183" t="n">
        <v>238</v>
      </c>
      <c r="D1310" s="181" t="s">
        <v>2401</v>
      </c>
      <c r="E1310" s="181" t="s">
        <v>277</v>
      </c>
      <c r="F1310" s="181" t="s">
        <v>278</v>
      </c>
      <c r="G1310" s="181" t="s">
        <v>2728</v>
      </c>
      <c r="H1310" s="181" t="s">
        <v>279</v>
      </c>
      <c r="I1310" s="181" t="s">
        <v>242</v>
      </c>
      <c r="J1310" s="267"/>
      <c r="K1310" s="269" t="n">
        <v>45961</v>
      </c>
      <c r="L1310" s="267" t="n">
        <v>1.3</v>
      </c>
      <c r="M1310" s="184" t="s">
        <v>2728</v>
      </c>
      <c r="N1310" s="184" t="n">
        <v>42080</v>
      </c>
      <c r="O1310" s="184" t="n">
        <v>15350</v>
      </c>
      <c r="P1310" s="185" t="n">
        <v>8</v>
      </c>
      <c r="Q1310" s="184" t="n">
        <v>26730</v>
      </c>
      <c r="R1310" s="184" t="n">
        <v>24591.6</v>
      </c>
      <c r="S1310" s="184" t="s">
        <v>3021</v>
      </c>
      <c r="T1310" s="187" t="n">
        <v>45961</v>
      </c>
    </row>
    <row r="1311" customFormat="false" ht="35.05" hidden="true" customHeight="false" outlineLevel="0" collapsed="false">
      <c r="A1311" s="181" t="s">
        <v>3022</v>
      </c>
      <c r="B1311" s="182" t="n">
        <v>2822</v>
      </c>
      <c r="C1311" s="183" t="n">
        <v>237</v>
      </c>
      <c r="D1311" s="181" t="s">
        <v>2401</v>
      </c>
      <c r="E1311" s="181" t="s">
        <v>300</v>
      </c>
      <c r="F1311" s="181" t="s">
        <v>301</v>
      </c>
      <c r="G1311" s="181" t="s">
        <v>2728</v>
      </c>
      <c r="H1311" s="181" t="s">
        <v>279</v>
      </c>
      <c r="I1311" s="181" t="s">
        <v>242</v>
      </c>
      <c r="J1311" s="267"/>
      <c r="K1311" s="269" t="n">
        <v>45961</v>
      </c>
      <c r="L1311" s="267" t="n">
        <v>2.1</v>
      </c>
      <c r="M1311" s="184" t="s">
        <v>2728</v>
      </c>
      <c r="N1311" s="184" t="n">
        <v>62880</v>
      </c>
      <c r="O1311" s="184" t="n">
        <v>21410</v>
      </c>
      <c r="P1311" s="185" t="n">
        <v>9</v>
      </c>
      <c r="Q1311" s="184" t="n">
        <v>41470</v>
      </c>
      <c r="R1311" s="184" t="n">
        <v>37737.7</v>
      </c>
      <c r="S1311" s="184" t="s">
        <v>3023</v>
      </c>
      <c r="T1311" s="187" t="n">
        <v>45961</v>
      </c>
    </row>
    <row r="1312" customFormat="false" ht="35.05" hidden="true" customHeight="false" outlineLevel="0" collapsed="false">
      <c r="A1312" s="181" t="s">
        <v>3024</v>
      </c>
      <c r="B1312" s="182" t="n">
        <v>2823</v>
      </c>
      <c r="C1312" s="183" t="n">
        <v>239</v>
      </c>
      <c r="D1312" s="181" t="s">
        <v>2401</v>
      </c>
      <c r="E1312" s="181" t="s">
        <v>377</v>
      </c>
      <c r="F1312" s="181" t="s">
        <v>378</v>
      </c>
      <c r="G1312" s="181" t="s">
        <v>2728</v>
      </c>
      <c r="H1312" s="181" t="s">
        <v>279</v>
      </c>
      <c r="I1312" s="181" t="s">
        <v>242</v>
      </c>
      <c r="J1312" s="267"/>
      <c r="K1312" s="269" t="n">
        <v>45961</v>
      </c>
      <c r="L1312" s="267" t="n">
        <v>1.3</v>
      </c>
      <c r="M1312" s="184" t="s">
        <v>2728</v>
      </c>
      <c r="N1312" s="184" t="n">
        <v>44970</v>
      </c>
      <c r="O1312" s="184" t="n">
        <v>15990</v>
      </c>
      <c r="P1312" s="185" t="n">
        <v>13</v>
      </c>
      <c r="Q1312" s="184" t="n">
        <v>28980</v>
      </c>
      <c r="R1312" s="184" t="n">
        <v>25212.6</v>
      </c>
      <c r="S1312" s="184" t="s">
        <v>3025</v>
      </c>
      <c r="T1312" s="187" t="n">
        <v>45961</v>
      </c>
    </row>
    <row r="1313" customFormat="false" ht="35.05" hidden="true" customHeight="false" outlineLevel="0" collapsed="false">
      <c r="A1313" s="181" t="s">
        <v>3026</v>
      </c>
      <c r="B1313" s="182" t="n">
        <v>2824</v>
      </c>
      <c r="C1313" s="183" t="n">
        <v>240</v>
      </c>
      <c r="D1313" s="181" t="s">
        <v>2401</v>
      </c>
      <c r="E1313" s="181" t="s">
        <v>350</v>
      </c>
      <c r="F1313" s="181" t="s">
        <v>351</v>
      </c>
      <c r="G1313" s="181" t="s">
        <v>2728</v>
      </c>
      <c r="H1313" s="181" t="s">
        <v>279</v>
      </c>
      <c r="I1313" s="181" t="s">
        <v>242</v>
      </c>
      <c r="J1313" s="267"/>
      <c r="K1313" s="269" t="n">
        <v>45961</v>
      </c>
      <c r="L1313" s="267" t="n">
        <v>1.3</v>
      </c>
      <c r="M1313" s="184" t="s">
        <v>2728</v>
      </c>
      <c r="N1313" s="184" t="n">
        <v>44250</v>
      </c>
      <c r="O1313" s="184" t="n">
        <v>15310</v>
      </c>
      <c r="P1313" s="185" t="n">
        <v>7</v>
      </c>
      <c r="Q1313" s="184" t="n">
        <v>28940</v>
      </c>
      <c r="R1313" s="184" t="n">
        <v>26914.2</v>
      </c>
      <c r="S1313" s="184" t="s">
        <v>3027</v>
      </c>
      <c r="T1313" s="187" t="n">
        <v>45961</v>
      </c>
    </row>
    <row r="1314" customFormat="false" ht="23.85" hidden="true" customHeight="false" outlineLevel="0" collapsed="false">
      <c r="A1314" s="181" t="s">
        <v>3028</v>
      </c>
      <c r="B1314" s="182" t="n">
        <v>2825</v>
      </c>
      <c r="C1314" s="183" t="n">
        <v>241</v>
      </c>
      <c r="D1314" s="181" t="s">
        <v>2401</v>
      </c>
      <c r="E1314" s="181" t="s">
        <v>373</v>
      </c>
      <c r="F1314" s="181" t="s">
        <v>374</v>
      </c>
      <c r="G1314" s="181" t="s">
        <v>2728</v>
      </c>
      <c r="H1314" s="181" t="s">
        <v>279</v>
      </c>
      <c r="I1314" s="181" t="s">
        <v>242</v>
      </c>
      <c r="J1314" s="267"/>
      <c r="K1314" s="269" t="n">
        <v>45961</v>
      </c>
      <c r="L1314" s="267" t="n">
        <v>1.3</v>
      </c>
      <c r="M1314" s="184" t="s">
        <v>2728</v>
      </c>
      <c r="N1314" s="184" t="n">
        <v>42810</v>
      </c>
      <c r="O1314" s="184" t="n">
        <v>14590</v>
      </c>
      <c r="P1314" s="185" t="n">
        <v>4</v>
      </c>
      <c r="Q1314" s="184" t="n">
        <v>28220</v>
      </c>
      <c r="R1314" s="184" t="n">
        <v>27091.2</v>
      </c>
      <c r="S1314" s="184" t="s">
        <v>3029</v>
      </c>
      <c r="T1314" s="187" t="n">
        <v>45961</v>
      </c>
    </row>
    <row r="1315" customFormat="false" ht="35.05" hidden="true" customHeight="false" outlineLevel="0" collapsed="false">
      <c r="A1315" s="181" t="s">
        <v>3030</v>
      </c>
      <c r="B1315" s="182" t="n">
        <v>2826</v>
      </c>
      <c r="C1315" s="183" t="n">
        <v>242</v>
      </c>
      <c r="D1315" s="181" t="s">
        <v>2401</v>
      </c>
      <c r="E1315" s="181" t="s">
        <v>387</v>
      </c>
      <c r="F1315" s="181" t="s">
        <v>388</v>
      </c>
      <c r="G1315" s="181" t="s">
        <v>2728</v>
      </c>
      <c r="H1315" s="181" t="s">
        <v>279</v>
      </c>
      <c r="I1315" s="181" t="s">
        <v>242</v>
      </c>
      <c r="J1315" s="267"/>
      <c r="K1315" s="269" t="n">
        <v>45961</v>
      </c>
      <c r="L1315" s="267" t="n">
        <v>1.4</v>
      </c>
      <c r="M1315" s="184" t="s">
        <v>2728</v>
      </c>
      <c r="N1315" s="184" t="n">
        <v>44670</v>
      </c>
      <c r="O1315" s="184" t="n">
        <v>15410</v>
      </c>
      <c r="P1315" s="185" t="n">
        <v>13</v>
      </c>
      <c r="Q1315" s="184" t="n">
        <v>29260</v>
      </c>
      <c r="R1315" s="184" t="n">
        <v>25456.2</v>
      </c>
      <c r="S1315" s="184" t="s">
        <v>3031</v>
      </c>
      <c r="T1315" s="187" t="n">
        <v>45961</v>
      </c>
    </row>
    <row r="1316" customFormat="false" ht="46.25" hidden="true" customHeight="false" outlineLevel="0" collapsed="false">
      <c r="A1316" s="181" t="s">
        <v>3032</v>
      </c>
      <c r="B1316" s="182" t="n">
        <v>2828</v>
      </c>
      <c r="C1316" s="183" t="n">
        <v>244</v>
      </c>
      <c r="D1316" s="181" t="s">
        <v>2401</v>
      </c>
      <c r="E1316" s="181" t="s">
        <v>383</v>
      </c>
      <c r="F1316" s="181" t="s">
        <v>384</v>
      </c>
      <c r="G1316" s="181" t="s">
        <v>2728</v>
      </c>
      <c r="H1316" s="181" t="s">
        <v>279</v>
      </c>
      <c r="I1316" s="181" t="s">
        <v>242</v>
      </c>
      <c r="J1316" s="267"/>
      <c r="K1316" s="269" t="n">
        <v>45961</v>
      </c>
      <c r="L1316" s="267" t="n">
        <v>1.1</v>
      </c>
      <c r="M1316" s="184" t="s">
        <v>2728</v>
      </c>
      <c r="N1316" s="184" t="n">
        <v>42230</v>
      </c>
      <c r="O1316" s="184" t="n">
        <v>15100</v>
      </c>
      <c r="P1316" s="185" t="n">
        <v>9</v>
      </c>
      <c r="Q1316" s="184" t="n">
        <v>27130</v>
      </c>
      <c r="R1316" s="184" t="n">
        <v>24688.3</v>
      </c>
      <c r="S1316" s="184" t="s">
        <v>3033</v>
      </c>
      <c r="T1316" s="187" t="n">
        <v>45961</v>
      </c>
    </row>
    <row r="1317" customFormat="false" ht="35.05" hidden="true" customHeight="false" outlineLevel="0" collapsed="false">
      <c r="A1317" s="181" t="s">
        <v>3034</v>
      </c>
      <c r="B1317" s="182" t="n">
        <v>2827</v>
      </c>
      <c r="C1317" s="183" t="n">
        <v>243</v>
      </c>
      <c r="D1317" s="181" t="s">
        <v>2401</v>
      </c>
      <c r="E1317" s="181" t="s">
        <v>413</v>
      </c>
      <c r="F1317" s="181" t="s">
        <v>414</v>
      </c>
      <c r="G1317" s="181" t="s">
        <v>2728</v>
      </c>
      <c r="H1317" s="181" t="s">
        <v>279</v>
      </c>
      <c r="I1317" s="181" t="s">
        <v>242</v>
      </c>
      <c r="J1317" s="267"/>
      <c r="K1317" s="269" t="n">
        <v>45961</v>
      </c>
      <c r="L1317" s="267" t="n">
        <v>1.2</v>
      </c>
      <c r="M1317" s="184" t="s">
        <v>2728</v>
      </c>
      <c r="N1317" s="184" t="n">
        <v>47460</v>
      </c>
      <c r="O1317" s="184" t="n">
        <v>16110</v>
      </c>
      <c r="P1317" s="185" t="n">
        <v>8</v>
      </c>
      <c r="Q1317" s="184" t="n">
        <v>31350</v>
      </c>
      <c r="R1317" s="184" t="n">
        <v>28842</v>
      </c>
      <c r="S1317" s="184" t="s">
        <v>3035</v>
      </c>
      <c r="T1317" s="187" t="n">
        <v>45961</v>
      </c>
    </row>
    <row r="1318" customFormat="false" ht="35.05" hidden="true" customHeight="false" outlineLevel="0" collapsed="false">
      <c r="A1318" s="181" t="s">
        <v>3036</v>
      </c>
      <c r="B1318" s="182" t="n">
        <v>2829</v>
      </c>
      <c r="C1318" s="183" t="n">
        <v>246</v>
      </c>
      <c r="D1318" s="181" t="s">
        <v>2401</v>
      </c>
      <c r="E1318" s="181" t="s">
        <v>409</v>
      </c>
      <c r="F1318" s="181" t="s">
        <v>410</v>
      </c>
      <c r="G1318" s="181" t="s">
        <v>2728</v>
      </c>
      <c r="H1318" s="181" t="s">
        <v>279</v>
      </c>
      <c r="I1318" s="181" t="s">
        <v>242</v>
      </c>
      <c r="J1318" s="267"/>
      <c r="K1318" s="269" t="n">
        <v>45961</v>
      </c>
      <c r="L1318" s="267" t="n">
        <v>1.1</v>
      </c>
      <c r="M1318" s="186" t="s">
        <v>2728</v>
      </c>
      <c r="N1318" s="184" t="n">
        <v>65660</v>
      </c>
      <c r="O1318" s="184" t="n">
        <v>24820</v>
      </c>
      <c r="P1318" s="185" t="n">
        <v>10</v>
      </c>
      <c r="Q1318" s="184" t="n">
        <v>40840</v>
      </c>
      <c r="R1318" s="184" t="n">
        <v>36756</v>
      </c>
      <c r="S1318" s="184" t="s">
        <v>3037</v>
      </c>
      <c r="T1318" s="187" t="n">
        <v>45961</v>
      </c>
    </row>
    <row r="1319" customFormat="false" ht="35.05" hidden="true" customHeight="false" outlineLevel="0" collapsed="false">
      <c r="A1319" s="181" t="s">
        <v>3038</v>
      </c>
      <c r="B1319" s="182" t="n">
        <v>2830</v>
      </c>
      <c r="C1319" s="183" t="n">
        <v>245</v>
      </c>
      <c r="D1319" s="181" t="s">
        <v>2401</v>
      </c>
      <c r="E1319" s="181" t="s">
        <v>549</v>
      </c>
      <c r="F1319" s="181" t="s">
        <v>550</v>
      </c>
      <c r="G1319" s="181" t="s">
        <v>2728</v>
      </c>
      <c r="H1319" s="181" t="s">
        <v>279</v>
      </c>
      <c r="I1319" s="181" t="s">
        <v>242</v>
      </c>
      <c r="J1319" s="267"/>
      <c r="K1319" s="269" t="n">
        <v>45961</v>
      </c>
      <c r="L1319" s="267" t="n">
        <v>1.1</v>
      </c>
      <c r="M1319" s="184" t="s">
        <v>2728</v>
      </c>
      <c r="N1319" s="184" t="n">
        <v>43100</v>
      </c>
      <c r="O1319" s="184" t="n">
        <v>15930</v>
      </c>
      <c r="P1319" s="185" t="n">
        <v>11</v>
      </c>
      <c r="Q1319" s="184" t="n">
        <v>27170</v>
      </c>
      <c r="R1319" s="184" t="n">
        <v>24181.3</v>
      </c>
      <c r="S1319" s="184" t="s">
        <v>3039</v>
      </c>
      <c r="T1319" s="187" t="n">
        <v>45962</v>
      </c>
    </row>
    <row r="1320" customFormat="false" ht="23.85" hidden="true" customHeight="false" outlineLevel="0" collapsed="false">
      <c r="A1320" s="181" t="s">
        <v>3040</v>
      </c>
      <c r="B1320" s="182" t="n">
        <v>2831</v>
      </c>
      <c r="C1320" s="183" t="n">
        <v>247</v>
      </c>
      <c r="D1320" s="181" t="s">
        <v>2401</v>
      </c>
      <c r="E1320" s="181" t="s">
        <v>533</v>
      </c>
      <c r="F1320" s="181" t="s">
        <v>534</v>
      </c>
      <c r="G1320" s="181" t="s">
        <v>2728</v>
      </c>
      <c r="H1320" s="181" t="s">
        <v>279</v>
      </c>
      <c r="I1320" s="181" t="s">
        <v>242</v>
      </c>
      <c r="J1320" s="267"/>
      <c r="K1320" s="269" t="n">
        <v>45961</v>
      </c>
      <c r="L1320" s="267" t="n">
        <v>0.8</v>
      </c>
      <c r="M1320" s="186" t="s">
        <v>2728</v>
      </c>
      <c r="N1320" s="184" t="n">
        <v>39120</v>
      </c>
      <c r="O1320" s="184" t="n">
        <v>14840</v>
      </c>
      <c r="P1320" s="185" t="n">
        <v>23</v>
      </c>
      <c r="Q1320" s="184" t="n">
        <v>24280</v>
      </c>
      <c r="R1320" s="184" t="n">
        <v>18695.6</v>
      </c>
      <c r="S1320" s="184" t="s">
        <v>3041</v>
      </c>
      <c r="T1320" s="187" t="n">
        <v>45962</v>
      </c>
    </row>
    <row r="1321" customFormat="false" ht="35.05" hidden="true" customHeight="false" outlineLevel="0" collapsed="false">
      <c r="A1321" s="181" t="s">
        <v>3042</v>
      </c>
      <c r="B1321" s="182" t="n">
        <v>2832</v>
      </c>
      <c r="C1321" s="183" t="n">
        <v>248</v>
      </c>
      <c r="D1321" s="181" t="s">
        <v>2401</v>
      </c>
      <c r="E1321" s="181" t="s">
        <v>537</v>
      </c>
      <c r="F1321" s="181" t="s">
        <v>538</v>
      </c>
      <c r="G1321" s="181" t="s">
        <v>2728</v>
      </c>
      <c r="H1321" s="181" t="s">
        <v>279</v>
      </c>
      <c r="I1321" s="181" t="s">
        <v>242</v>
      </c>
      <c r="J1321" s="267"/>
      <c r="K1321" s="269" t="n">
        <v>45961</v>
      </c>
      <c r="L1321" s="267" t="n">
        <v>0.8</v>
      </c>
      <c r="M1321" s="186" t="s">
        <v>2728</v>
      </c>
      <c r="N1321" s="184" t="n">
        <v>35970</v>
      </c>
      <c r="O1321" s="184" t="n">
        <v>14040</v>
      </c>
      <c r="P1321" s="185" t="n">
        <v>12</v>
      </c>
      <c r="Q1321" s="184" t="n">
        <v>21930</v>
      </c>
      <c r="R1321" s="184" t="n">
        <v>19298.4</v>
      </c>
      <c r="S1321" s="184" t="s">
        <v>3043</v>
      </c>
      <c r="T1321" s="187" t="n">
        <v>45962</v>
      </c>
    </row>
    <row r="1322" customFormat="false" ht="35.05" hidden="true" customHeight="false" outlineLevel="0" collapsed="false">
      <c r="A1322" s="181" t="s">
        <v>3044</v>
      </c>
      <c r="B1322" s="182" t="n">
        <v>2833</v>
      </c>
      <c r="C1322" s="183" t="n">
        <v>250</v>
      </c>
      <c r="D1322" s="181" t="s">
        <v>2401</v>
      </c>
      <c r="E1322" s="181" t="s">
        <v>266</v>
      </c>
      <c r="F1322" s="181" t="s">
        <v>267</v>
      </c>
      <c r="G1322" s="181" t="s">
        <v>2715</v>
      </c>
      <c r="H1322" s="181" t="s">
        <v>279</v>
      </c>
      <c r="I1322" s="181" t="s">
        <v>242</v>
      </c>
      <c r="J1322" s="267"/>
      <c r="K1322" s="269" t="n">
        <v>45961</v>
      </c>
      <c r="L1322" s="267" t="n">
        <v>0.8</v>
      </c>
      <c r="M1322" s="184" t="s">
        <v>2715</v>
      </c>
      <c r="N1322" s="184" t="n">
        <v>37510</v>
      </c>
      <c r="O1322" s="184" t="n">
        <v>15240</v>
      </c>
      <c r="P1322" s="185" t="n">
        <v>8</v>
      </c>
      <c r="Q1322" s="184" t="n">
        <v>22270</v>
      </c>
      <c r="R1322" s="184" t="n">
        <v>20488.4</v>
      </c>
      <c r="S1322" s="184" t="s">
        <v>3045</v>
      </c>
      <c r="T1322" s="187" t="n">
        <v>45962</v>
      </c>
    </row>
    <row r="1323" customFormat="false" ht="46.25" hidden="true" customHeight="false" outlineLevel="0" collapsed="false">
      <c r="A1323" s="181" t="s">
        <v>3046</v>
      </c>
      <c r="B1323" s="182" t="n">
        <v>2834</v>
      </c>
      <c r="C1323" s="183" t="n">
        <v>249</v>
      </c>
      <c r="D1323" s="181" t="s">
        <v>2401</v>
      </c>
      <c r="E1323" s="181" t="s">
        <v>282</v>
      </c>
      <c r="F1323" s="181" t="s">
        <v>283</v>
      </c>
      <c r="G1323" s="181" t="s">
        <v>2715</v>
      </c>
      <c r="H1323" s="181" t="s">
        <v>279</v>
      </c>
      <c r="I1323" s="181" t="s">
        <v>242</v>
      </c>
      <c r="J1323" s="267"/>
      <c r="K1323" s="269" t="n">
        <v>45961</v>
      </c>
      <c r="L1323" s="267" t="n">
        <v>0.8</v>
      </c>
      <c r="M1323" s="184" t="s">
        <v>2715</v>
      </c>
      <c r="N1323" s="184" t="n">
        <v>39390</v>
      </c>
      <c r="O1323" s="184" t="n">
        <v>15220</v>
      </c>
      <c r="P1323" s="185" t="n">
        <v>18</v>
      </c>
      <c r="Q1323" s="184" t="n">
        <v>24170</v>
      </c>
      <c r="R1323" s="184" t="n">
        <v>19819.4</v>
      </c>
      <c r="S1323" s="184" t="s">
        <v>3047</v>
      </c>
      <c r="T1323" s="187" t="n">
        <v>45962</v>
      </c>
    </row>
    <row r="1324" customFormat="false" ht="35.05" hidden="true" customHeight="false" outlineLevel="0" collapsed="false">
      <c r="A1324" s="181" t="s">
        <v>3050</v>
      </c>
      <c r="B1324" s="182" t="n">
        <v>2836</v>
      </c>
      <c r="C1324" s="183" t="n">
        <v>252</v>
      </c>
      <c r="D1324" s="181" t="s">
        <v>2401</v>
      </c>
      <c r="E1324" s="181" t="s">
        <v>261</v>
      </c>
      <c r="F1324" s="181" t="s">
        <v>262</v>
      </c>
      <c r="G1324" s="181" t="s">
        <v>2715</v>
      </c>
      <c r="H1324" s="181" t="s">
        <v>279</v>
      </c>
      <c r="I1324" s="181" t="s">
        <v>242</v>
      </c>
      <c r="J1324" s="267"/>
      <c r="K1324" s="269" t="n">
        <v>45961</v>
      </c>
      <c r="L1324" s="267" t="n">
        <v>0.9</v>
      </c>
      <c r="M1324" s="184" t="s">
        <v>2715</v>
      </c>
      <c r="N1324" s="184" t="n">
        <v>39980</v>
      </c>
      <c r="O1324" s="184" t="n">
        <v>15310</v>
      </c>
      <c r="P1324" s="185" t="n">
        <v>12</v>
      </c>
      <c r="Q1324" s="184" t="n">
        <v>24670</v>
      </c>
      <c r="R1324" s="184" t="n">
        <v>21709.6</v>
      </c>
      <c r="S1324" s="184" t="s">
        <v>3051</v>
      </c>
      <c r="T1324" s="187" t="n">
        <v>45962</v>
      </c>
    </row>
    <row r="1325" customFormat="false" ht="23.85" hidden="true" customHeight="false" outlineLevel="0" collapsed="false">
      <c r="A1325" s="181" t="s">
        <v>3052</v>
      </c>
      <c r="B1325" s="182" t="n">
        <v>2837</v>
      </c>
      <c r="C1325" s="183" t="n">
        <v>253</v>
      </c>
      <c r="D1325" s="181" t="s">
        <v>2401</v>
      </c>
      <c r="E1325" s="181" t="s">
        <v>354</v>
      </c>
      <c r="F1325" s="181" t="s">
        <v>355</v>
      </c>
      <c r="G1325" s="181" t="s">
        <v>2715</v>
      </c>
      <c r="H1325" s="181" t="s">
        <v>279</v>
      </c>
      <c r="I1325" s="181" t="s">
        <v>242</v>
      </c>
      <c r="J1325" s="267"/>
      <c r="K1325" s="269" t="n">
        <v>45961</v>
      </c>
      <c r="L1325" s="267" t="n">
        <v>0.9</v>
      </c>
      <c r="M1325" s="184" t="s">
        <v>2715</v>
      </c>
      <c r="N1325" s="184" t="n">
        <v>39610</v>
      </c>
      <c r="O1325" s="184" t="n">
        <v>14920</v>
      </c>
      <c r="P1325" s="185" t="n">
        <v>14</v>
      </c>
      <c r="Q1325" s="184" t="n">
        <v>24690</v>
      </c>
      <c r="R1325" s="184" t="n">
        <v>21233.4</v>
      </c>
      <c r="S1325" s="184" t="s">
        <v>3053</v>
      </c>
      <c r="T1325" s="187" t="n">
        <v>45962</v>
      </c>
    </row>
    <row r="1326" customFormat="false" ht="23.85" hidden="true" customHeight="false" outlineLevel="0" collapsed="false">
      <c r="A1326" s="181" t="s">
        <v>3054</v>
      </c>
      <c r="B1326" s="182" t="n">
        <v>2844</v>
      </c>
      <c r="C1326" s="183" t="n">
        <v>254</v>
      </c>
      <c r="D1326" s="181" t="s">
        <v>2401</v>
      </c>
      <c r="E1326" s="181" t="s">
        <v>541</v>
      </c>
      <c r="F1326" s="181" t="s">
        <v>542</v>
      </c>
      <c r="G1326" s="181" t="s">
        <v>2715</v>
      </c>
      <c r="H1326" s="181" t="s">
        <v>279</v>
      </c>
      <c r="I1326" s="181" t="s">
        <v>242</v>
      </c>
      <c r="J1326" s="267"/>
      <c r="K1326" s="269" t="n">
        <v>45961</v>
      </c>
      <c r="L1326" s="267" t="n">
        <v>0.9</v>
      </c>
      <c r="M1326" s="184" t="s">
        <v>2715</v>
      </c>
      <c r="N1326" s="184" t="n">
        <v>39820</v>
      </c>
      <c r="O1326" s="184" t="n">
        <v>15190</v>
      </c>
      <c r="P1326" s="185" t="n">
        <v>6</v>
      </c>
      <c r="Q1326" s="184" t="n">
        <v>24630</v>
      </c>
      <c r="R1326" s="184" t="n">
        <v>23152.2</v>
      </c>
      <c r="S1326" s="184" t="s">
        <v>3055</v>
      </c>
      <c r="T1326" s="187" t="n">
        <v>45962</v>
      </c>
    </row>
    <row r="1327" customFormat="false" ht="23.85" hidden="true" customHeight="false" outlineLevel="0" collapsed="false">
      <c r="A1327" s="181" t="s">
        <v>3068</v>
      </c>
      <c r="B1327" s="182" t="n">
        <v>2842</v>
      </c>
      <c r="C1327" s="183" t="n">
        <v>255</v>
      </c>
      <c r="D1327" s="181" t="s">
        <v>2401</v>
      </c>
      <c r="E1327" s="181" t="s">
        <v>367</v>
      </c>
      <c r="F1327" s="181" t="s">
        <v>368</v>
      </c>
      <c r="G1327" s="181" t="s">
        <v>2715</v>
      </c>
      <c r="H1327" s="181" t="s">
        <v>279</v>
      </c>
      <c r="I1327" s="181" t="s">
        <v>242</v>
      </c>
      <c r="J1327" s="267"/>
      <c r="K1327" s="269" t="n">
        <v>45962</v>
      </c>
      <c r="L1327" s="267" t="n">
        <v>1.6</v>
      </c>
      <c r="M1327" s="184" t="s">
        <v>2715</v>
      </c>
      <c r="N1327" s="184" t="n">
        <v>51070</v>
      </c>
      <c r="O1327" s="184" t="n">
        <v>18870</v>
      </c>
      <c r="P1327" s="185" t="n">
        <v>10</v>
      </c>
      <c r="Q1327" s="184" t="n">
        <v>32200</v>
      </c>
      <c r="R1327" s="184" t="n">
        <v>28980</v>
      </c>
      <c r="S1327" s="184" t="s">
        <v>3069</v>
      </c>
      <c r="T1327" s="187" t="n">
        <v>45962</v>
      </c>
    </row>
    <row r="1328" customFormat="false" ht="35.05" hidden="true" customHeight="false" outlineLevel="0" collapsed="false">
      <c r="A1328" s="181" t="s">
        <v>3070</v>
      </c>
      <c r="B1328" s="182" t="n">
        <v>2846</v>
      </c>
      <c r="C1328" s="183" t="n">
        <v>256</v>
      </c>
      <c r="D1328" s="181" t="s">
        <v>2401</v>
      </c>
      <c r="E1328" s="181" t="s">
        <v>332</v>
      </c>
      <c r="F1328" s="181" t="s">
        <v>333</v>
      </c>
      <c r="G1328" s="181" t="s">
        <v>2715</v>
      </c>
      <c r="H1328" s="181" t="s">
        <v>279</v>
      </c>
      <c r="I1328" s="181" t="s">
        <v>242</v>
      </c>
      <c r="J1328" s="267"/>
      <c r="K1328" s="269" t="n">
        <v>45962</v>
      </c>
      <c r="L1328" s="267" t="n">
        <v>1.3</v>
      </c>
      <c r="M1328" s="184" t="s">
        <v>2715</v>
      </c>
      <c r="N1328" s="184" t="n">
        <v>40220</v>
      </c>
      <c r="O1328" s="184" t="n">
        <v>15070</v>
      </c>
      <c r="P1328" s="185" t="n">
        <v>13</v>
      </c>
      <c r="Q1328" s="184" t="n">
        <v>25150</v>
      </c>
      <c r="R1328" s="184" t="n">
        <v>21880.5</v>
      </c>
      <c r="S1328" s="184" t="s">
        <v>3071</v>
      </c>
      <c r="T1328" s="187" t="n">
        <v>45962</v>
      </c>
    </row>
    <row r="1329" customFormat="false" ht="35.05" hidden="true" customHeight="false" outlineLevel="0" collapsed="false">
      <c r="A1329" s="181" t="s">
        <v>3076</v>
      </c>
      <c r="B1329" s="182" t="n">
        <v>2852</v>
      </c>
      <c r="C1329" s="183" t="n">
        <v>258</v>
      </c>
      <c r="D1329" s="181" t="s">
        <v>2401</v>
      </c>
      <c r="E1329" s="181" t="s">
        <v>304</v>
      </c>
      <c r="F1329" s="181" t="s">
        <v>305</v>
      </c>
      <c r="G1329" s="181" t="s">
        <v>2715</v>
      </c>
      <c r="H1329" s="181" t="s">
        <v>279</v>
      </c>
      <c r="I1329" s="181" t="s">
        <v>242</v>
      </c>
      <c r="J1329" s="267"/>
      <c r="K1329" s="269" t="n">
        <v>45962</v>
      </c>
      <c r="L1329" s="267" t="n">
        <v>1.3</v>
      </c>
      <c r="M1329" s="184" t="s">
        <v>2715</v>
      </c>
      <c r="N1329" s="184" t="n">
        <v>40860</v>
      </c>
      <c r="O1329" s="184" t="n">
        <v>15150</v>
      </c>
      <c r="P1329" s="185" t="n">
        <v>8</v>
      </c>
      <c r="Q1329" s="184" t="n">
        <v>25710</v>
      </c>
      <c r="R1329" s="184" t="n">
        <v>23653.2</v>
      </c>
      <c r="S1329" s="184" t="s">
        <v>3077</v>
      </c>
      <c r="T1329" s="187" t="n">
        <v>45962</v>
      </c>
    </row>
    <row r="1330" customFormat="false" ht="23.85" hidden="true" customHeight="false" outlineLevel="0" collapsed="false">
      <c r="A1330" s="181" t="s">
        <v>3078</v>
      </c>
      <c r="B1330" s="182" t="n">
        <v>2858</v>
      </c>
      <c r="C1330" s="183" t="n">
        <v>271</v>
      </c>
      <c r="D1330" s="181" t="s">
        <v>2401</v>
      </c>
      <c r="E1330" s="181" t="s">
        <v>1646</v>
      </c>
      <c r="F1330" s="181" t="s">
        <v>1647</v>
      </c>
      <c r="G1330" s="181" t="s">
        <v>2715</v>
      </c>
      <c r="H1330" s="181" t="s">
        <v>279</v>
      </c>
      <c r="I1330" s="181" t="s">
        <v>242</v>
      </c>
      <c r="J1330" s="267"/>
      <c r="K1330" s="269" t="n">
        <v>45962</v>
      </c>
      <c r="L1330" s="267" t="n">
        <v>0.8</v>
      </c>
      <c r="M1330" s="184" t="s">
        <v>2715</v>
      </c>
      <c r="N1330" s="184" t="n">
        <v>29670</v>
      </c>
      <c r="O1330" s="184" t="n">
        <v>14320</v>
      </c>
      <c r="P1330" s="185" t="n">
        <v>10</v>
      </c>
      <c r="Q1330" s="184" t="n">
        <v>15350</v>
      </c>
      <c r="R1330" s="184" t="n">
        <v>13815</v>
      </c>
      <c r="S1330" s="184" t="s">
        <v>3079</v>
      </c>
      <c r="T1330" s="187" t="n">
        <v>45962</v>
      </c>
    </row>
    <row r="1331" customFormat="false" ht="23.85" hidden="true" customHeight="false" outlineLevel="0" collapsed="false">
      <c r="A1331" s="181" t="s">
        <v>3088</v>
      </c>
      <c r="B1331" s="182" t="n">
        <v>2849</v>
      </c>
      <c r="C1331" s="183" t="n">
        <v>257</v>
      </c>
      <c r="D1331" s="181" t="s">
        <v>2401</v>
      </c>
      <c r="E1331" s="181" t="s">
        <v>308</v>
      </c>
      <c r="F1331" s="181" t="s">
        <v>309</v>
      </c>
      <c r="G1331" s="181" t="s">
        <v>2715</v>
      </c>
      <c r="H1331" s="181" t="s">
        <v>279</v>
      </c>
      <c r="I1331" s="181" t="s">
        <v>242</v>
      </c>
      <c r="J1331" s="267"/>
      <c r="K1331" s="269" t="n">
        <v>45962</v>
      </c>
      <c r="L1331" s="267" t="n">
        <v>1.9</v>
      </c>
      <c r="M1331" s="184" t="s">
        <v>2715</v>
      </c>
      <c r="N1331" s="184" t="n">
        <v>61960</v>
      </c>
      <c r="O1331" s="184" t="n">
        <v>24260</v>
      </c>
      <c r="P1331" s="185" t="n">
        <v>9</v>
      </c>
      <c r="Q1331" s="184" t="n">
        <v>37700</v>
      </c>
      <c r="R1331" s="184" t="n">
        <v>34307</v>
      </c>
      <c r="S1331" s="184" t="s">
        <v>3089</v>
      </c>
      <c r="T1331" s="187" t="n">
        <v>45962</v>
      </c>
    </row>
    <row r="1332" customFormat="false" ht="35.05" hidden="true" customHeight="false" outlineLevel="0" collapsed="false">
      <c r="A1332" s="181" t="s">
        <v>3090</v>
      </c>
      <c r="B1332" s="182" t="n">
        <v>2853</v>
      </c>
      <c r="C1332" s="183" t="n">
        <v>259</v>
      </c>
      <c r="D1332" s="181" t="s">
        <v>2401</v>
      </c>
      <c r="E1332" s="181" t="s">
        <v>399</v>
      </c>
      <c r="F1332" s="181" t="s">
        <v>400</v>
      </c>
      <c r="G1332" s="181" t="s">
        <v>2715</v>
      </c>
      <c r="H1332" s="181" t="s">
        <v>279</v>
      </c>
      <c r="I1332" s="181" t="s">
        <v>242</v>
      </c>
      <c r="J1332" s="267"/>
      <c r="K1332" s="269" t="n">
        <v>45962</v>
      </c>
      <c r="L1332" s="267" t="n">
        <v>1.7</v>
      </c>
      <c r="M1332" s="184" t="s">
        <v>2715</v>
      </c>
      <c r="N1332" s="184" t="n">
        <v>52710</v>
      </c>
      <c r="O1332" s="184" t="n">
        <v>19690</v>
      </c>
      <c r="P1332" s="185" t="n">
        <v>8</v>
      </c>
      <c r="Q1332" s="184" t="n">
        <v>33020</v>
      </c>
      <c r="R1332" s="184" t="n">
        <v>30378.4</v>
      </c>
      <c r="S1332" s="184" t="s">
        <v>3091</v>
      </c>
      <c r="T1332" s="187" t="n">
        <v>45962</v>
      </c>
    </row>
    <row r="1333" customFormat="false" ht="35.05" hidden="true" customHeight="false" outlineLevel="0" collapsed="false">
      <c r="A1333" s="181" t="s">
        <v>3056</v>
      </c>
      <c r="B1333" s="182" t="n">
        <v>2854</v>
      </c>
      <c r="C1333" s="183" t="n">
        <v>260</v>
      </c>
      <c r="D1333" s="181" t="s">
        <v>2401</v>
      </c>
      <c r="E1333" s="181" t="s">
        <v>582</v>
      </c>
      <c r="F1333" s="181" t="s">
        <v>583</v>
      </c>
      <c r="G1333" s="181" t="s">
        <v>2715</v>
      </c>
      <c r="H1333" s="181" t="s">
        <v>279</v>
      </c>
      <c r="I1333" s="181" t="s">
        <v>242</v>
      </c>
      <c r="J1333" s="267"/>
      <c r="K1333" s="269" t="n">
        <v>45962</v>
      </c>
      <c r="L1333" s="267" t="n">
        <v>1.4</v>
      </c>
      <c r="M1333" s="184" t="s">
        <v>2715</v>
      </c>
      <c r="N1333" s="184" t="n">
        <v>42170</v>
      </c>
      <c r="O1333" s="184" t="n">
        <v>15200</v>
      </c>
      <c r="P1333" s="185" t="n">
        <v>8</v>
      </c>
      <c r="Q1333" s="184" t="n">
        <v>26970</v>
      </c>
      <c r="R1333" s="184" t="n">
        <v>24812.4</v>
      </c>
      <c r="S1333" s="184" t="s">
        <v>3057</v>
      </c>
      <c r="T1333" s="187" t="n">
        <v>45962</v>
      </c>
    </row>
    <row r="1334" customFormat="false" ht="35.05" hidden="true" customHeight="false" outlineLevel="0" collapsed="false">
      <c r="A1334" s="181" t="s">
        <v>3058</v>
      </c>
      <c r="B1334" s="182" t="n">
        <v>2855</v>
      </c>
      <c r="C1334" s="183" t="n">
        <v>261</v>
      </c>
      <c r="D1334" s="181" t="s">
        <v>2401</v>
      </c>
      <c r="E1334" s="181" t="s">
        <v>377</v>
      </c>
      <c r="F1334" s="181" t="s">
        <v>378</v>
      </c>
      <c r="G1334" s="181" t="s">
        <v>2715</v>
      </c>
      <c r="H1334" s="181" t="s">
        <v>279</v>
      </c>
      <c r="I1334" s="181" t="s">
        <v>242</v>
      </c>
      <c r="J1334" s="267"/>
      <c r="K1334" s="269" t="n">
        <v>45962</v>
      </c>
      <c r="L1334" s="267" t="n">
        <v>1.4</v>
      </c>
      <c r="M1334" s="184" t="s">
        <v>2715</v>
      </c>
      <c r="N1334" s="184" t="n">
        <v>43170</v>
      </c>
      <c r="O1334" s="184" t="n">
        <v>15860</v>
      </c>
      <c r="P1334" s="185" t="n">
        <v>8</v>
      </c>
      <c r="Q1334" s="184" t="n">
        <v>27310</v>
      </c>
      <c r="R1334" s="184" t="n">
        <v>25125.2</v>
      </c>
      <c r="S1334" s="184" t="s">
        <v>3059</v>
      </c>
      <c r="T1334" s="187" t="n">
        <v>45962</v>
      </c>
    </row>
    <row r="1335" customFormat="false" ht="35.05" hidden="true" customHeight="false" outlineLevel="0" collapsed="false">
      <c r="A1335" s="181" t="s">
        <v>3060</v>
      </c>
      <c r="B1335" s="182" t="n">
        <v>2856</v>
      </c>
      <c r="C1335" s="183" t="n">
        <v>11480</v>
      </c>
      <c r="D1335" s="181" t="s">
        <v>2066</v>
      </c>
      <c r="E1335" s="181" t="s">
        <v>336</v>
      </c>
      <c r="F1335" s="181" t="s">
        <v>337</v>
      </c>
      <c r="G1335" s="181" t="s">
        <v>3334</v>
      </c>
      <c r="H1335" s="181" t="s">
        <v>158</v>
      </c>
      <c r="I1335" s="181" t="s">
        <v>241</v>
      </c>
      <c r="J1335" s="267"/>
      <c r="K1335" s="269" t="n">
        <v>45962</v>
      </c>
      <c r="L1335" s="267" t="n">
        <v>1.6</v>
      </c>
      <c r="M1335" s="184" t="s">
        <v>3334</v>
      </c>
      <c r="N1335" s="184" t="n">
        <v>40400</v>
      </c>
      <c r="O1335" s="184" t="n">
        <v>14630</v>
      </c>
      <c r="P1335" s="185" t="n">
        <v>15</v>
      </c>
      <c r="Q1335" s="184" t="n">
        <v>25770</v>
      </c>
      <c r="R1335" s="184" t="n">
        <v>21904.5</v>
      </c>
      <c r="S1335" s="184" t="s">
        <v>3061</v>
      </c>
      <c r="T1335" s="187" t="n">
        <v>45962</v>
      </c>
    </row>
    <row r="1336" customFormat="false" ht="35.05" hidden="true" customHeight="false" outlineLevel="0" collapsed="false">
      <c r="A1336" s="181" t="s">
        <v>3062</v>
      </c>
      <c r="B1336" s="182" t="n">
        <v>2857</v>
      </c>
      <c r="C1336" s="183" t="n">
        <v>11482</v>
      </c>
      <c r="D1336" s="181" t="s">
        <v>2066</v>
      </c>
      <c r="E1336" s="181" t="s">
        <v>340</v>
      </c>
      <c r="F1336" s="181" t="s">
        <v>341</v>
      </c>
      <c r="G1336" s="181" t="s">
        <v>3334</v>
      </c>
      <c r="H1336" s="181" t="s">
        <v>158</v>
      </c>
      <c r="I1336" s="181" t="s">
        <v>241</v>
      </c>
      <c r="J1336" s="267"/>
      <c r="K1336" s="269" t="n">
        <v>45962</v>
      </c>
      <c r="L1336" s="267" t="n">
        <v>1.6</v>
      </c>
      <c r="M1336" s="184" t="s">
        <v>3334</v>
      </c>
      <c r="N1336" s="184" t="n">
        <v>41350</v>
      </c>
      <c r="O1336" s="184" t="n">
        <v>15130</v>
      </c>
      <c r="P1336" s="185" t="n">
        <v>8</v>
      </c>
      <c r="Q1336" s="184" t="n">
        <v>26220</v>
      </c>
      <c r="R1336" s="184" t="n">
        <v>24122.4</v>
      </c>
      <c r="S1336" s="184" t="s">
        <v>3063</v>
      </c>
      <c r="T1336" s="187" t="n">
        <v>45962</v>
      </c>
    </row>
    <row r="1337" customFormat="false" ht="35.05" hidden="true" customHeight="false" outlineLevel="0" collapsed="false">
      <c r="A1337" s="181" t="s">
        <v>3064</v>
      </c>
      <c r="B1337" s="182" t="n">
        <v>2859</v>
      </c>
      <c r="C1337" s="183" t="n">
        <v>11499</v>
      </c>
      <c r="D1337" s="181" t="s">
        <v>2066</v>
      </c>
      <c r="E1337" s="181" t="s">
        <v>277</v>
      </c>
      <c r="F1337" s="181" t="s">
        <v>278</v>
      </c>
      <c r="G1337" s="181" t="s">
        <v>3334</v>
      </c>
      <c r="H1337" s="181" t="s">
        <v>158</v>
      </c>
      <c r="I1337" s="181" t="s">
        <v>241</v>
      </c>
      <c r="J1337" s="267"/>
      <c r="K1337" s="269" t="n">
        <v>45962</v>
      </c>
      <c r="L1337" s="267" t="n">
        <v>1.8</v>
      </c>
      <c r="M1337" s="184" t="s">
        <v>3334</v>
      </c>
      <c r="N1337" s="184" t="n">
        <v>43770</v>
      </c>
      <c r="O1337" s="184" t="n">
        <v>15270</v>
      </c>
      <c r="P1337" s="185" t="n">
        <v>8</v>
      </c>
      <c r="Q1337" s="184" t="n">
        <v>28500</v>
      </c>
      <c r="R1337" s="184" t="n">
        <v>26220</v>
      </c>
      <c r="S1337" s="184" t="s">
        <v>3065</v>
      </c>
      <c r="T1337" s="187" t="n">
        <v>45962</v>
      </c>
    </row>
    <row r="1338" customFormat="false" ht="35.05" hidden="true" customHeight="false" outlineLevel="0" collapsed="false">
      <c r="A1338" s="181" t="s">
        <v>3066</v>
      </c>
      <c r="B1338" s="182" t="n">
        <v>2860</v>
      </c>
      <c r="C1338" s="183" t="n">
        <v>263</v>
      </c>
      <c r="D1338" s="181" t="s">
        <v>2401</v>
      </c>
      <c r="E1338" s="181" t="s">
        <v>350</v>
      </c>
      <c r="F1338" s="181" t="s">
        <v>351</v>
      </c>
      <c r="G1338" s="181" t="s">
        <v>2715</v>
      </c>
      <c r="H1338" s="181" t="s">
        <v>279</v>
      </c>
      <c r="I1338" s="181" t="s">
        <v>242</v>
      </c>
      <c r="J1338" s="267"/>
      <c r="K1338" s="269" t="n">
        <v>45962</v>
      </c>
      <c r="L1338" s="267" t="n">
        <v>1.5</v>
      </c>
      <c r="M1338" s="184" t="s">
        <v>2715</v>
      </c>
      <c r="N1338" s="184" t="n">
        <v>44900</v>
      </c>
      <c r="O1338" s="184" t="n">
        <v>15130</v>
      </c>
      <c r="P1338" s="185" t="n">
        <v>15</v>
      </c>
      <c r="Q1338" s="184" t="n">
        <v>29770</v>
      </c>
      <c r="R1338" s="184" t="n">
        <v>25304.5</v>
      </c>
      <c r="S1338" s="184" t="s">
        <v>3067</v>
      </c>
      <c r="T1338" s="187" t="n">
        <v>45962</v>
      </c>
    </row>
    <row r="1339" customFormat="false" ht="35.05" hidden="true" customHeight="false" outlineLevel="0" collapsed="false">
      <c r="A1339" s="181" t="s">
        <v>3048</v>
      </c>
      <c r="B1339" s="182" t="n">
        <v>2835</v>
      </c>
      <c r="C1339" s="183" t="n">
        <v>251</v>
      </c>
      <c r="D1339" s="181" t="s">
        <v>2401</v>
      </c>
      <c r="E1339" s="181" t="s">
        <v>576</v>
      </c>
      <c r="F1339" s="181" t="s">
        <v>577</v>
      </c>
      <c r="G1339" s="181" t="s">
        <v>2715</v>
      </c>
      <c r="H1339" s="181" t="s">
        <v>279</v>
      </c>
      <c r="I1339" s="181" t="s">
        <v>242</v>
      </c>
      <c r="J1339" s="267"/>
      <c r="K1339" s="269" t="n">
        <v>45961</v>
      </c>
      <c r="L1339" s="267" t="n">
        <v>0.8</v>
      </c>
      <c r="M1339" s="184" t="s">
        <v>2715</v>
      </c>
      <c r="N1339" s="184" t="n">
        <v>37990</v>
      </c>
      <c r="O1339" s="184" t="n">
        <v>14660</v>
      </c>
      <c r="P1339" s="185" t="n">
        <v>16</v>
      </c>
      <c r="Q1339" s="184" t="n">
        <v>23330</v>
      </c>
      <c r="R1339" s="184" t="n">
        <v>19597.2</v>
      </c>
      <c r="S1339" s="184" t="s">
        <v>3049</v>
      </c>
      <c r="T1339" s="187" t="n">
        <v>45962</v>
      </c>
    </row>
    <row r="1340" customFormat="false" ht="35.05" hidden="true" customHeight="false" outlineLevel="0" collapsed="false">
      <c r="A1340" s="181" t="s">
        <v>3072</v>
      </c>
      <c r="B1340" s="182" t="n">
        <v>2861</v>
      </c>
      <c r="C1340" s="183" t="n">
        <v>262</v>
      </c>
      <c r="D1340" s="181" t="s">
        <v>2401</v>
      </c>
      <c r="E1340" s="181" t="s">
        <v>300</v>
      </c>
      <c r="F1340" s="181" t="s">
        <v>301</v>
      </c>
      <c r="G1340" s="181" t="s">
        <v>2715</v>
      </c>
      <c r="H1340" s="181" t="s">
        <v>279</v>
      </c>
      <c r="I1340" s="181" t="s">
        <v>242</v>
      </c>
      <c r="J1340" s="267"/>
      <c r="K1340" s="269" t="n">
        <v>45962</v>
      </c>
      <c r="L1340" s="267" t="n">
        <v>2.1</v>
      </c>
      <c r="M1340" s="184" t="s">
        <v>2715</v>
      </c>
      <c r="N1340" s="184" t="n">
        <v>63860</v>
      </c>
      <c r="O1340" s="184" t="n">
        <v>21510</v>
      </c>
      <c r="P1340" s="185" t="n">
        <v>10</v>
      </c>
      <c r="Q1340" s="184" t="n">
        <v>42350</v>
      </c>
      <c r="R1340" s="184" t="n">
        <v>38115</v>
      </c>
      <c r="S1340" s="184" t="s">
        <v>3073</v>
      </c>
      <c r="T1340" s="187" t="n">
        <v>45962</v>
      </c>
    </row>
    <row r="1341" customFormat="false" ht="35.05" hidden="true" customHeight="false" outlineLevel="0" collapsed="false">
      <c r="A1341" s="181" t="s">
        <v>3074</v>
      </c>
      <c r="B1341" s="182" t="n">
        <v>2862</v>
      </c>
      <c r="C1341" s="183" t="n">
        <v>265</v>
      </c>
      <c r="D1341" s="181" t="s">
        <v>2401</v>
      </c>
      <c r="E1341" s="181" t="s">
        <v>387</v>
      </c>
      <c r="F1341" s="181" t="s">
        <v>388</v>
      </c>
      <c r="G1341" s="181" t="s">
        <v>2715</v>
      </c>
      <c r="H1341" s="181" t="s">
        <v>279</v>
      </c>
      <c r="I1341" s="181" t="s">
        <v>242</v>
      </c>
      <c r="J1341" s="267"/>
      <c r="K1341" s="269" t="n">
        <v>45962</v>
      </c>
      <c r="L1341" s="267" t="n">
        <v>1.5</v>
      </c>
      <c r="M1341" s="184" t="s">
        <v>2715</v>
      </c>
      <c r="N1341" s="184" t="n">
        <v>45950</v>
      </c>
      <c r="O1341" s="184" t="n">
        <v>15380</v>
      </c>
      <c r="P1341" s="185" t="n">
        <v>7</v>
      </c>
      <c r="Q1341" s="184" t="n">
        <v>30570</v>
      </c>
      <c r="R1341" s="184" t="n">
        <v>28430.1</v>
      </c>
      <c r="S1341" s="184" t="s">
        <v>3075</v>
      </c>
      <c r="T1341" s="187" t="n">
        <v>45962</v>
      </c>
    </row>
    <row r="1342" customFormat="false" ht="46.25" hidden="true" customHeight="false" outlineLevel="0" collapsed="false">
      <c r="A1342" s="181" t="s">
        <v>3080</v>
      </c>
      <c r="B1342" s="182" t="n">
        <v>2864</v>
      </c>
      <c r="C1342" s="183" t="n">
        <v>264</v>
      </c>
      <c r="D1342" s="181" t="s">
        <v>2401</v>
      </c>
      <c r="E1342" s="181" t="s">
        <v>288</v>
      </c>
      <c r="F1342" s="181" t="s">
        <v>289</v>
      </c>
      <c r="G1342" s="181" t="s">
        <v>2715</v>
      </c>
      <c r="H1342" s="181" t="s">
        <v>279</v>
      </c>
      <c r="I1342" s="181" t="s">
        <v>242</v>
      </c>
      <c r="J1342" s="267"/>
      <c r="K1342" s="269" t="n">
        <v>45962</v>
      </c>
      <c r="L1342" s="267" t="n">
        <v>1.2</v>
      </c>
      <c r="M1342" s="184" t="s">
        <v>2715</v>
      </c>
      <c r="N1342" s="184" t="n">
        <v>38830</v>
      </c>
      <c r="O1342" s="184" t="n">
        <v>14970</v>
      </c>
      <c r="P1342" s="185" t="n">
        <v>11</v>
      </c>
      <c r="Q1342" s="184" t="n">
        <v>23860</v>
      </c>
      <c r="R1342" s="184" t="n">
        <v>21235.4</v>
      </c>
      <c r="S1342" s="184" t="s">
        <v>3081</v>
      </c>
      <c r="T1342" s="187" t="n">
        <v>45962</v>
      </c>
    </row>
    <row r="1343" customFormat="false" ht="35.05" hidden="true" customHeight="false" outlineLevel="0" collapsed="false">
      <c r="A1343" s="181" t="s">
        <v>3082</v>
      </c>
      <c r="B1343" s="182" t="n">
        <v>2865</v>
      </c>
      <c r="C1343" s="183" t="n">
        <v>266</v>
      </c>
      <c r="D1343" s="181" t="s">
        <v>2401</v>
      </c>
      <c r="E1343" s="181" t="s">
        <v>413</v>
      </c>
      <c r="F1343" s="181" t="s">
        <v>414</v>
      </c>
      <c r="G1343" s="181" t="s">
        <v>2715</v>
      </c>
      <c r="H1343" s="181" t="s">
        <v>279</v>
      </c>
      <c r="I1343" s="181" t="s">
        <v>242</v>
      </c>
      <c r="J1343" s="267"/>
      <c r="K1343" s="269" t="n">
        <v>45962</v>
      </c>
      <c r="L1343" s="267" t="n">
        <v>1.6</v>
      </c>
      <c r="M1343" s="184" t="s">
        <v>2715</v>
      </c>
      <c r="N1343" s="184" t="n">
        <v>49030</v>
      </c>
      <c r="O1343" s="184" t="n">
        <v>16210</v>
      </c>
      <c r="P1343" s="185" t="n">
        <v>6</v>
      </c>
      <c r="Q1343" s="184" t="n">
        <v>32820</v>
      </c>
      <c r="R1343" s="184" t="n">
        <v>30850.8</v>
      </c>
      <c r="S1343" s="184" t="s">
        <v>3083</v>
      </c>
      <c r="T1343" s="187" t="n">
        <v>45962</v>
      </c>
    </row>
    <row r="1344" customFormat="false" ht="46.25" hidden="true" customHeight="false" outlineLevel="0" collapsed="false">
      <c r="A1344" s="181" t="s">
        <v>3084</v>
      </c>
      <c r="B1344" s="182" t="n">
        <v>2866</v>
      </c>
      <c r="C1344" s="183" t="n">
        <v>267</v>
      </c>
      <c r="D1344" s="181" t="s">
        <v>2401</v>
      </c>
      <c r="E1344" s="181" t="s">
        <v>383</v>
      </c>
      <c r="F1344" s="181" t="s">
        <v>384</v>
      </c>
      <c r="G1344" s="181" t="s">
        <v>2715</v>
      </c>
      <c r="H1344" s="181" t="s">
        <v>279</v>
      </c>
      <c r="I1344" s="181" t="s">
        <v>242</v>
      </c>
      <c r="J1344" s="267"/>
      <c r="K1344" s="269" t="n">
        <v>45962</v>
      </c>
      <c r="L1344" s="267" t="n">
        <v>1.3</v>
      </c>
      <c r="M1344" s="184" t="s">
        <v>2715</v>
      </c>
      <c r="N1344" s="184" t="n">
        <v>41610</v>
      </c>
      <c r="O1344" s="184" t="n">
        <v>15010</v>
      </c>
      <c r="P1344" s="185" t="n">
        <v>10</v>
      </c>
      <c r="Q1344" s="184" t="n">
        <v>26600</v>
      </c>
      <c r="R1344" s="184" t="n">
        <v>23940</v>
      </c>
      <c r="S1344" s="184" t="s">
        <v>3085</v>
      </c>
      <c r="T1344" s="187" t="n">
        <v>45962</v>
      </c>
    </row>
    <row r="1345" customFormat="false" ht="35.05" hidden="true" customHeight="false" outlineLevel="0" collapsed="false">
      <c r="A1345" s="181" t="s">
        <v>3086</v>
      </c>
      <c r="B1345" s="182" t="n">
        <v>2867</v>
      </c>
      <c r="C1345" s="183" t="n">
        <v>269</v>
      </c>
      <c r="D1345" s="181" t="s">
        <v>2401</v>
      </c>
      <c r="E1345" s="181" t="s">
        <v>549</v>
      </c>
      <c r="F1345" s="181" t="s">
        <v>550</v>
      </c>
      <c r="G1345" s="181" t="s">
        <v>2715</v>
      </c>
      <c r="H1345" s="181" t="s">
        <v>279</v>
      </c>
      <c r="I1345" s="181" t="s">
        <v>242</v>
      </c>
      <c r="J1345" s="267"/>
      <c r="K1345" s="269" t="n">
        <v>45962</v>
      </c>
      <c r="L1345" s="267" t="n">
        <v>1.4</v>
      </c>
      <c r="M1345" s="184" t="s">
        <v>2715</v>
      </c>
      <c r="N1345" s="184" t="n">
        <v>44800</v>
      </c>
      <c r="O1345" s="184" t="n">
        <v>16020</v>
      </c>
      <c r="P1345" s="185" t="n">
        <v>6</v>
      </c>
      <c r="Q1345" s="184" t="n">
        <v>28780</v>
      </c>
      <c r="R1345" s="184" t="n">
        <v>27053.2</v>
      </c>
      <c r="S1345" s="184" t="s">
        <v>3087</v>
      </c>
      <c r="T1345" s="187" t="n">
        <v>45962</v>
      </c>
    </row>
    <row r="1346" customFormat="false" ht="23.85" hidden="true" customHeight="false" outlineLevel="0" collapsed="false">
      <c r="A1346" s="181" t="s">
        <v>3092</v>
      </c>
      <c r="B1346" s="182" t="n">
        <v>2868</v>
      </c>
      <c r="C1346" s="183" t="n">
        <v>270</v>
      </c>
      <c r="D1346" s="181" t="s">
        <v>2401</v>
      </c>
      <c r="E1346" s="181" t="s">
        <v>533</v>
      </c>
      <c r="F1346" s="181" t="s">
        <v>534</v>
      </c>
      <c r="G1346" s="181" t="s">
        <v>2715</v>
      </c>
      <c r="H1346" s="181" t="s">
        <v>279</v>
      </c>
      <c r="I1346" s="181" t="s">
        <v>242</v>
      </c>
      <c r="J1346" s="267"/>
      <c r="K1346" s="269" t="n">
        <v>45962</v>
      </c>
      <c r="L1346" s="267" t="n">
        <v>1.3</v>
      </c>
      <c r="M1346" s="184" t="s">
        <v>2715</v>
      </c>
      <c r="N1346" s="184" t="n">
        <v>40230</v>
      </c>
      <c r="O1346" s="184" t="n">
        <v>14760</v>
      </c>
      <c r="P1346" s="185" t="n">
        <v>9</v>
      </c>
      <c r="Q1346" s="184" t="n">
        <v>25470</v>
      </c>
      <c r="R1346" s="184" t="n">
        <v>23177.7</v>
      </c>
      <c r="S1346" s="184" t="s">
        <v>3093</v>
      </c>
      <c r="T1346" s="187" t="n">
        <v>45962</v>
      </c>
    </row>
    <row r="1347" customFormat="false" ht="35.05" hidden="true" customHeight="false" outlineLevel="0" collapsed="false">
      <c r="A1347" s="181" t="s">
        <v>3094</v>
      </c>
      <c r="B1347" s="182" t="n">
        <v>2869</v>
      </c>
      <c r="C1347" s="183" t="n">
        <v>274</v>
      </c>
      <c r="D1347" s="181" t="s">
        <v>2401</v>
      </c>
      <c r="E1347" s="181" t="s">
        <v>266</v>
      </c>
      <c r="F1347" s="181" t="s">
        <v>267</v>
      </c>
      <c r="G1347" s="181" t="s">
        <v>2715</v>
      </c>
      <c r="H1347" s="181" t="s">
        <v>279</v>
      </c>
      <c r="I1347" s="181" t="s">
        <v>242</v>
      </c>
      <c r="J1347" s="267"/>
      <c r="K1347" s="269" t="n">
        <v>45962</v>
      </c>
      <c r="L1347" s="267" t="n">
        <v>1.3</v>
      </c>
      <c r="M1347" s="184" t="s">
        <v>2715</v>
      </c>
      <c r="N1347" s="184" t="n">
        <v>40450</v>
      </c>
      <c r="O1347" s="184" t="n">
        <v>15080</v>
      </c>
      <c r="P1347" s="185" t="n">
        <v>31</v>
      </c>
      <c r="Q1347" s="184" t="n">
        <v>25370</v>
      </c>
      <c r="R1347" s="184" t="n">
        <v>17505.3</v>
      </c>
      <c r="S1347" s="184" t="s">
        <v>3095</v>
      </c>
      <c r="T1347" s="187" t="n">
        <v>45962</v>
      </c>
    </row>
    <row r="1348" customFormat="false" ht="35.05" hidden="true" customHeight="false" outlineLevel="0" collapsed="false">
      <c r="A1348" s="181" t="s">
        <v>3112</v>
      </c>
      <c r="B1348" s="182" t="n">
        <v>2870</v>
      </c>
      <c r="C1348" s="183" t="n">
        <v>268</v>
      </c>
      <c r="D1348" s="181" t="s">
        <v>2401</v>
      </c>
      <c r="E1348" s="181" t="s">
        <v>409</v>
      </c>
      <c r="F1348" s="181" t="s">
        <v>410</v>
      </c>
      <c r="G1348" s="181" t="s">
        <v>2715</v>
      </c>
      <c r="H1348" s="181" t="s">
        <v>279</v>
      </c>
      <c r="I1348" s="181" t="s">
        <v>242</v>
      </c>
      <c r="J1348" s="267"/>
      <c r="K1348" s="269" t="n">
        <v>45963</v>
      </c>
      <c r="L1348" s="267" t="n">
        <v>2.3</v>
      </c>
      <c r="M1348" s="184" t="s">
        <v>2715</v>
      </c>
      <c r="N1348" s="184" t="n">
        <v>68260</v>
      </c>
      <c r="O1348" s="184" t="n">
        <v>24870</v>
      </c>
      <c r="P1348" s="185" t="n">
        <v>6</v>
      </c>
      <c r="Q1348" s="184" t="n">
        <v>43390</v>
      </c>
      <c r="R1348" s="184" t="n">
        <v>40786.6</v>
      </c>
      <c r="S1348" s="184" t="s">
        <v>3113</v>
      </c>
      <c r="T1348" s="187" t="n">
        <v>45963</v>
      </c>
    </row>
    <row r="1349" customFormat="false" ht="46.25" hidden="true" customHeight="false" outlineLevel="0" collapsed="false">
      <c r="A1349" s="181" t="s">
        <v>3124</v>
      </c>
      <c r="B1349" s="182" t="n">
        <v>2871</v>
      </c>
      <c r="C1349" s="183" t="n">
        <v>273</v>
      </c>
      <c r="D1349" s="181" t="s">
        <v>2401</v>
      </c>
      <c r="E1349" s="181" t="s">
        <v>282</v>
      </c>
      <c r="F1349" s="181" t="s">
        <v>283</v>
      </c>
      <c r="G1349" s="181" t="s">
        <v>2715</v>
      </c>
      <c r="H1349" s="181" t="s">
        <v>279</v>
      </c>
      <c r="I1349" s="181" t="s">
        <v>242</v>
      </c>
      <c r="J1349" s="267"/>
      <c r="K1349" s="269" t="n">
        <v>45963</v>
      </c>
      <c r="L1349" s="267" t="n">
        <v>1.4</v>
      </c>
      <c r="M1349" s="184" t="s">
        <v>2715</v>
      </c>
      <c r="N1349" s="184" t="n">
        <v>41280</v>
      </c>
      <c r="O1349" s="184" t="n">
        <v>15280</v>
      </c>
      <c r="P1349" s="185" t="n">
        <v>7</v>
      </c>
      <c r="Q1349" s="184" t="n">
        <v>26000</v>
      </c>
      <c r="R1349" s="184" t="n">
        <v>24180</v>
      </c>
      <c r="S1349" s="184" t="s">
        <v>3125</v>
      </c>
      <c r="T1349" s="187" t="n">
        <v>45963</v>
      </c>
    </row>
    <row r="1350" customFormat="false" ht="35.05" hidden="true" customHeight="false" outlineLevel="0" collapsed="false">
      <c r="A1350" s="181" t="s">
        <v>3126</v>
      </c>
      <c r="B1350" s="182" t="n">
        <v>2872</v>
      </c>
      <c r="C1350" s="183" t="n">
        <v>272</v>
      </c>
      <c r="D1350" s="181" t="s">
        <v>2401</v>
      </c>
      <c r="E1350" s="181" t="s">
        <v>537</v>
      </c>
      <c r="F1350" s="181" t="s">
        <v>538</v>
      </c>
      <c r="G1350" s="181" t="s">
        <v>2715</v>
      </c>
      <c r="H1350" s="181" t="s">
        <v>279</v>
      </c>
      <c r="I1350" s="181" t="s">
        <v>242</v>
      </c>
      <c r="J1350" s="267"/>
      <c r="K1350" s="269" t="n">
        <v>45963</v>
      </c>
      <c r="L1350" s="267" t="n">
        <v>1.3</v>
      </c>
      <c r="M1350" s="184" t="s">
        <v>2715</v>
      </c>
      <c r="N1350" s="184" t="n">
        <v>38420</v>
      </c>
      <c r="O1350" s="184" t="n">
        <v>14120</v>
      </c>
      <c r="P1350" s="185" t="n">
        <v>13</v>
      </c>
      <c r="Q1350" s="184" t="n">
        <v>24300</v>
      </c>
      <c r="R1350" s="184" t="n">
        <v>21141</v>
      </c>
      <c r="S1350" s="184" t="s">
        <v>3127</v>
      </c>
      <c r="T1350" s="187" t="n">
        <v>45963</v>
      </c>
    </row>
    <row r="1351" customFormat="false" ht="35.05" hidden="true" customHeight="false" outlineLevel="0" collapsed="false">
      <c r="A1351" s="181" t="s">
        <v>3128</v>
      </c>
      <c r="B1351" s="182" t="n">
        <v>2874</v>
      </c>
      <c r="C1351" s="183" t="n">
        <v>276</v>
      </c>
      <c r="D1351" s="181" t="s">
        <v>2401</v>
      </c>
      <c r="E1351" s="181" t="s">
        <v>359</v>
      </c>
      <c r="F1351" s="181" t="s">
        <v>360</v>
      </c>
      <c r="G1351" s="181" t="s">
        <v>2715</v>
      </c>
      <c r="H1351" s="181" t="s">
        <v>279</v>
      </c>
      <c r="I1351" s="181" t="s">
        <v>242</v>
      </c>
      <c r="J1351" s="267"/>
      <c r="K1351" s="269" t="n">
        <v>45963</v>
      </c>
      <c r="L1351" s="267" t="n">
        <v>1.2</v>
      </c>
      <c r="M1351" s="184" t="s">
        <v>2715</v>
      </c>
      <c r="N1351" s="184" t="n">
        <v>38580</v>
      </c>
      <c r="O1351" s="184" t="n">
        <v>15060</v>
      </c>
      <c r="P1351" s="185" t="n">
        <v>24</v>
      </c>
      <c r="Q1351" s="184" t="n">
        <v>23520</v>
      </c>
      <c r="R1351" s="184" t="n">
        <v>17875.2</v>
      </c>
      <c r="S1351" s="184" t="s">
        <v>3129</v>
      </c>
      <c r="T1351" s="187" t="n">
        <v>45963</v>
      </c>
    </row>
    <row r="1352" customFormat="false" ht="23.85" hidden="true" customHeight="false" outlineLevel="0" collapsed="false">
      <c r="A1352" s="181" t="s">
        <v>3130</v>
      </c>
      <c r="B1352" s="182" t="n">
        <v>2875</v>
      </c>
      <c r="C1352" s="183" t="n">
        <v>275</v>
      </c>
      <c r="D1352" s="181" t="s">
        <v>2401</v>
      </c>
      <c r="E1352" s="181" t="s">
        <v>354</v>
      </c>
      <c r="F1352" s="181" t="s">
        <v>355</v>
      </c>
      <c r="G1352" s="181" t="s">
        <v>2715</v>
      </c>
      <c r="H1352" s="181" t="s">
        <v>279</v>
      </c>
      <c r="I1352" s="181" t="s">
        <v>242</v>
      </c>
      <c r="J1352" s="267"/>
      <c r="K1352" s="269" t="n">
        <v>45963</v>
      </c>
      <c r="L1352" s="267" t="n">
        <v>1.4</v>
      </c>
      <c r="M1352" s="184" t="s">
        <v>2715</v>
      </c>
      <c r="N1352" s="184" t="n">
        <v>41060</v>
      </c>
      <c r="O1352" s="184" t="n">
        <v>15010</v>
      </c>
      <c r="P1352" s="185" t="n">
        <v>9</v>
      </c>
      <c r="Q1352" s="184" t="n">
        <v>26050</v>
      </c>
      <c r="R1352" s="184" t="n">
        <v>23705.5</v>
      </c>
      <c r="S1352" s="184" t="s">
        <v>3131</v>
      </c>
      <c r="T1352" s="187" t="n">
        <v>45963</v>
      </c>
    </row>
    <row r="1353" customFormat="false" ht="35.05" hidden="true" customHeight="false" outlineLevel="0" collapsed="false">
      <c r="A1353" s="181" t="s">
        <v>3096</v>
      </c>
      <c r="B1353" s="182" t="n">
        <v>2873</v>
      </c>
      <c r="C1353" s="183" t="n">
        <v>279</v>
      </c>
      <c r="D1353" s="181" t="s">
        <v>2401</v>
      </c>
      <c r="E1353" s="181" t="s">
        <v>332</v>
      </c>
      <c r="F1353" s="181" t="s">
        <v>333</v>
      </c>
      <c r="G1353" s="181" t="s">
        <v>2715</v>
      </c>
      <c r="H1353" s="181" t="s">
        <v>279</v>
      </c>
      <c r="I1353" s="181" t="s">
        <v>242</v>
      </c>
      <c r="J1353" s="267"/>
      <c r="K1353" s="269" t="n">
        <v>45962</v>
      </c>
      <c r="L1353" s="267" t="n">
        <v>1.3</v>
      </c>
      <c r="M1353" s="184" t="s">
        <v>2715</v>
      </c>
      <c r="N1353" s="184" t="n">
        <v>40440</v>
      </c>
      <c r="O1353" s="184" t="n">
        <v>15020</v>
      </c>
      <c r="P1353" s="185" t="n">
        <v>23</v>
      </c>
      <c r="Q1353" s="184" t="n">
        <v>25420</v>
      </c>
      <c r="R1353" s="184" t="n">
        <v>19573.4</v>
      </c>
      <c r="S1353" s="184" t="s">
        <v>3097</v>
      </c>
      <c r="T1353" s="187" t="n">
        <v>45963</v>
      </c>
    </row>
    <row r="1354" customFormat="false" ht="23.85" hidden="true" customHeight="false" outlineLevel="0" collapsed="false">
      <c r="A1354" s="181" t="s">
        <v>3104</v>
      </c>
      <c r="B1354" s="182" t="n">
        <v>2881</v>
      </c>
      <c r="C1354" s="183" t="n">
        <v>277</v>
      </c>
      <c r="D1354" s="181" t="s">
        <v>2401</v>
      </c>
      <c r="E1354" s="181" t="s">
        <v>367</v>
      </c>
      <c r="F1354" s="181" t="s">
        <v>368</v>
      </c>
      <c r="G1354" s="181" t="s">
        <v>2715</v>
      </c>
      <c r="H1354" s="181" t="s">
        <v>279</v>
      </c>
      <c r="I1354" s="181" t="s">
        <v>242</v>
      </c>
      <c r="J1354" s="267"/>
      <c r="K1354" s="269" t="n">
        <v>45962</v>
      </c>
      <c r="L1354" s="267" t="n">
        <v>1.6</v>
      </c>
      <c r="M1354" s="184" t="s">
        <v>2715</v>
      </c>
      <c r="N1354" s="184" t="n">
        <v>51190</v>
      </c>
      <c r="O1354" s="184" t="n">
        <v>18780</v>
      </c>
      <c r="P1354" s="185" t="n">
        <v>8</v>
      </c>
      <c r="Q1354" s="184" t="n">
        <v>32410</v>
      </c>
      <c r="R1354" s="184" t="n">
        <v>29817.2</v>
      </c>
      <c r="S1354" s="184" t="s">
        <v>3105</v>
      </c>
      <c r="T1354" s="187" t="n">
        <v>45963</v>
      </c>
    </row>
    <row r="1355" customFormat="false" ht="23.85" hidden="true" customHeight="false" outlineLevel="0" collapsed="false">
      <c r="A1355" s="181" t="s">
        <v>3102</v>
      </c>
      <c r="B1355" s="182" t="n">
        <v>2880</v>
      </c>
      <c r="C1355" s="183" t="n">
        <v>278</v>
      </c>
      <c r="D1355" s="181" t="s">
        <v>2401</v>
      </c>
      <c r="E1355" s="181" t="s">
        <v>2351</v>
      </c>
      <c r="F1355" s="181" t="s">
        <v>2352</v>
      </c>
      <c r="G1355" s="181" t="s">
        <v>2715</v>
      </c>
      <c r="H1355" s="181" t="s">
        <v>279</v>
      </c>
      <c r="I1355" s="181" t="s">
        <v>242</v>
      </c>
      <c r="J1355" s="267"/>
      <c r="K1355" s="269" t="n">
        <v>45962</v>
      </c>
      <c r="L1355" s="267" t="n">
        <v>1.6</v>
      </c>
      <c r="M1355" s="184" t="s">
        <v>2715</v>
      </c>
      <c r="N1355" s="184" t="n">
        <v>48470</v>
      </c>
      <c r="O1355" s="184" t="n">
        <v>17490</v>
      </c>
      <c r="P1355" s="185" t="n">
        <v>11</v>
      </c>
      <c r="Q1355" s="184" t="n">
        <v>30980</v>
      </c>
      <c r="R1355" s="184" t="n">
        <v>27572.2</v>
      </c>
      <c r="S1355" s="184" t="s">
        <v>3103</v>
      </c>
      <c r="T1355" s="187" t="n">
        <v>45963</v>
      </c>
    </row>
    <row r="1356" customFormat="false" ht="35.05" hidden="true" customHeight="false" outlineLevel="0" collapsed="false">
      <c r="A1356" s="181" t="s">
        <v>3106</v>
      </c>
      <c r="B1356" s="182" t="n">
        <v>2882</v>
      </c>
      <c r="C1356" s="183" t="n">
        <v>280</v>
      </c>
      <c r="D1356" s="181" t="s">
        <v>2401</v>
      </c>
      <c r="E1356" s="181" t="s">
        <v>399</v>
      </c>
      <c r="F1356" s="181" t="s">
        <v>400</v>
      </c>
      <c r="G1356" s="181" t="s">
        <v>2715</v>
      </c>
      <c r="H1356" s="181" t="s">
        <v>279</v>
      </c>
      <c r="I1356" s="181" t="s">
        <v>242</v>
      </c>
      <c r="J1356" s="267"/>
      <c r="K1356" s="269" t="n">
        <v>45962</v>
      </c>
      <c r="L1356" s="267" t="n">
        <v>1.7</v>
      </c>
      <c r="M1356" s="184" t="s">
        <v>2715</v>
      </c>
      <c r="N1356" s="184" t="n">
        <v>53920</v>
      </c>
      <c r="O1356" s="184" t="n">
        <v>19540</v>
      </c>
      <c r="P1356" s="185" t="n">
        <v>4</v>
      </c>
      <c r="Q1356" s="184" t="n">
        <v>34380</v>
      </c>
      <c r="R1356" s="184" t="n">
        <v>33004.8</v>
      </c>
      <c r="S1356" s="184" t="s">
        <v>3107</v>
      </c>
      <c r="T1356" s="187" t="n">
        <v>45963</v>
      </c>
    </row>
    <row r="1357" customFormat="false" ht="23.85" hidden="true" customHeight="false" outlineLevel="0" collapsed="false">
      <c r="A1357" s="181" t="s">
        <v>3122</v>
      </c>
      <c r="B1357" s="182" t="n">
        <v>2889</v>
      </c>
      <c r="C1357" s="183" t="n">
        <v>281</v>
      </c>
      <c r="D1357" s="181" t="s">
        <v>2401</v>
      </c>
      <c r="E1357" s="181" t="s">
        <v>308</v>
      </c>
      <c r="F1357" s="181" t="s">
        <v>309</v>
      </c>
      <c r="G1357" s="181" t="s">
        <v>2715</v>
      </c>
      <c r="H1357" s="181" t="s">
        <v>279</v>
      </c>
      <c r="I1357" s="181" t="s">
        <v>242</v>
      </c>
      <c r="J1357" s="267"/>
      <c r="K1357" s="269" t="n">
        <v>45963</v>
      </c>
      <c r="L1357" s="267" t="n">
        <v>2.1</v>
      </c>
      <c r="M1357" s="184" t="s">
        <v>2715</v>
      </c>
      <c r="N1357" s="184" t="n">
        <v>63830</v>
      </c>
      <c r="O1357" s="184" t="n">
        <v>24290</v>
      </c>
      <c r="P1357" s="185" t="n">
        <v>9</v>
      </c>
      <c r="Q1357" s="184" t="n">
        <v>39540</v>
      </c>
      <c r="R1357" s="184" t="n">
        <v>35981.4</v>
      </c>
      <c r="S1357" s="184" t="s">
        <v>3123</v>
      </c>
      <c r="T1357" s="187" t="n">
        <v>45963</v>
      </c>
    </row>
    <row r="1358" customFormat="false" ht="35.05" hidden="true" customHeight="false" outlineLevel="0" collapsed="false">
      <c r="A1358" s="181" t="s">
        <v>3098</v>
      </c>
      <c r="B1358" s="182" t="n">
        <v>2878</v>
      </c>
      <c r="C1358" s="183" t="n">
        <v>11576</v>
      </c>
      <c r="D1358" s="181" t="s">
        <v>2066</v>
      </c>
      <c r="E1358" s="181" t="s">
        <v>576</v>
      </c>
      <c r="F1358" s="181" t="s">
        <v>577</v>
      </c>
      <c r="G1358" s="181" t="s">
        <v>3334</v>
      </c>
      <c r="H1358" s="181" t="s">
        <v>158</v>
      </c>
      <c r="I1358" s="181" t="s">
        <v>241</v>
      </c>
      <c r="J1358" s="267"/>
      <c r="K1358" s="269" t="n">
        <v>45963</v>
      </c>
      <c r="L1358" s="267" t="n">
        <v>1.6</v>
      </c>
      <c r="M1358" s="184" t="s">
        <v>3334</v>
      </c>
      <c r="N1358" s="184" t="n">
        <v>38580</v>
      </c>
      <c r="O1358" s="184" t="n">
        <v>14540</v>
      </c>
      <c r="P1358" s="185" t="n">
        <v>13</v>
      </c>
      <c r="Q1358" s="184" t="n">
        <v>24040</v>
      </c>
      <c r="R1358" s="184" t="n">
        <v>20914.8</v>
      </c>
      <c r="S1358" s="184" t="s">
        <v>3099</v>
      </c>
      <c r="T1358" s="187" t="n">
        <v>45963</v>
      </c>
    </row>
    <row r="1359" customFormat="false" ht="35.05" hidden="true" customHeight="false" outlineLevel="0" collapsed="false">
      <c r="A1359" s="181" t="s">
        <v>3100</v>
      </c>
      <c r="B1359" s="182" t="n">
        <v>2879</v>
      </c>
      <c r="C1359" s="183" t="n">
        <v>11577</v>
      </c>
      <c r="D1359" s="181" t="s">
        <v>2066</v>
      </c>
      <c r="E1359" s="181" t="s">
        <v>261</v>
      </c>
      <c r="F1359" s="181" t="s">
        <v>262</v>
      </c>
      <c r="G1359" s="181" t="s">
        <v>3334</v>
      </c>
      <c r="H1359" s="181" t="s">
        <v>158</v>
      </c>
      <c r="I1359" s="181" t="s">
        <v>241</v>
      </c>
      <c r="J1359" s="267"/>
      <c r="K1359" s="269" t="n">
        <v>45963</v>
      </c>
      <c r="L1359" s="267" t="n">
        <v>1.7</v>
      </c>
      <c r="M1359" s="184" t="s">
        <v>3334</v>
      </c>
      <c r="N1359" s="184" t="n">
        <v>39560</v>
      </c>
      <c r="O1359" s="184" t="n">
        <v>15220</v>
      </c>
      <c r="P1359" s="185" t="n">
        <v>9</v>
      </c>
      <c r="Q1359" s="184" t="n">
        <v>24340</v>
      </c>
      <c r="R1359" s="184" t="n">
        <v>22149.4</v>
      </c>
      <c r="S1359" s="184" t="s">
        <v>3101</v>
      </c>
      <c r="T1359" s="187" t="n">
        <v>45963</v>
      </c>
    </row>
    <row r="1360" customFormat="false" ht="35.05" hidden="true" customHeight="false" outlineLevel="0" collapsed="false">
      <c r="A1360" s="181" t="s">
        <v>3108</v>
      </c>
      <c r="B1360" s="182" t="n">
        <v>2883</v>
      </c>
      <c r="C1360" s="183" t="n">
        <v>11579</v>
      </c>
      <c r="D1360" s="181" t="s">
        <v>2066</v>
      </c>
      <c r="E1360" s="181" t="s">
        <v>541</v>
      </c>
      <c r="F1360" s="181" t="s">
        <v>542</v>
      </c>
      <c r="G1360" s="181" t="s">
        <v>3334</v>
      </c>
      <c r="H1360" s="181" t="s">
        <v>158</v>
      </c>
      <c r="I1360" s="181" t="s">
        <v>241</v>
      </c>
      <c r="J1360" s="267"/>
      <c r="K1360" s="269" t="n">
        <v>45963</v>
      </c>
      <c r="L1360" s="267" t="n">
        <v>1.8</v>
      </c>
      <c r="M1360" s="184" t="s">
        <v>3334</v>
      </c>
      <c r="N1360" s="184" t="n">
        <v>41850</v>
      </c>
      <c r="O1360" s="184" t="n">
        <v>15050</v>
      </c>
      <c r="P1360" s="185" t="n">
        <v>12</v>
      </c>
      <c r="Q1360" s="184" t="n">
        <v>26800</v>
      </c>
      <c r="R1360" s="184" t="n">
        <v>23584</v>
      </c>
      <c r="S1360" s="184" t="s">
        <v>3109</v>
      </c>
      <c r="T1360" s="187" t="n">
        <v>45963</v>
      </c>
    </row>
    <row r="1361" customFormat="false" ht="35.05" hidden="true" customHeight="false" outlineLevel="0" collapsed="false">
      <c r="A1361" s="181" t="s">
        <v>3114</v>
      </c>
      <c r="B1361" s="182" t="n">
        <v>2885</v>
      </c>
      <c r="C1361" s="183" t="n">
        <v>11602</v>
      </c>
      <c r="D1361" s="181" t="s">
        <v>2066</v>
      </c>
      <c r="E1361" s="181" t="s">
        <v>1019</v>
      </c>
      <c r="F1361" s="181" t="s">
        <v>1020</v>
      </c>
      <c r="G1361" s="181" t="s">
        <v>3334</v>
      </c>
      <c r="H1361" s="181" t="s">
        <v>158</v>
      </c>
      <c r="I1361" s="181" t="s">
        <v>241</v>
      </c>
      <c r="J1361" s="267"/>
      <c r="K1361" s="269" t="n">
        <v>45963</v>
      </c>
      <c r="L1361" s="267" t="n">
        <v>1.8</v>
      </c>
      <c r="M1361" s="184" t="s">
        <v>3334</v>
      </c>
      <c r="N1361" s="184" t="n">
        <v>43490</v>
      </c>
      <c r="O1361" s="184" t="n">
        <v>17170</v>
      </c>
      <c r="P1361" s="185" t="n">
        <v>8</v>
      </c>
      <c r="Q1361" s="184" t="n">
        <v>26320</v>
      </c>
      <c r="R1361" s="184" t="n">
        <v>24214.4</v>
      </c>
      <c r="S1361" s="184" t="s">
        <v>3115</v>
      </c>
      <c r="T1361" s="187" t="n">
        <v>45963</v>
      </c>
    </row>
    <row r="1362" customFormat="false" ht="35.05" hidden="true" customHeight="false" outlineLevel="0" collapsed="false">
      <c r="A1362" s="181" t="s">
        <v>3116</v>
      </c>
      <c r="B1362" s="182" t="n">
        <v>2886</v>
      </c>
      <c r="C1362" s="183" t="n">
        <v>11601</v>
      </c>
      <c r="D1362" s="181" t="s">
        <v>2066</v>
      </c>
      <c r="E1362" s="181" t="s">
        <v>1027</v>
      </c>
      <c r="F1362" s="181" t="s">
        <v>1028</v>
      </c>
      <c r="G1362" s="181" t="s">
        <v>3334</v>
      </c>
      <c r="H1362" s="181" t="s">
        <v>158</v>
      </c>
      <c r="I1362" s="181" t="s">
        <v>241</v>
      </c>
      <c r="J1362" s="267"/>
      <c r="K1362" s="269" t="n">
        <v>45963</v>
      </c>
      <c r="L1362" s="267" t="n">
        <v>1.7</v>
      </c>
      <c r="M1362" s="184" t="s">
        <v>3334</v>
      </c>
      <c r="N1362" s="184" t="n">
        <v>40260</v>
      </c>
      <c r="O1362" s="184" t="n">
        <v>15000</v>
      </c>
      <c r="P1362" s="185" t="n">
        <v>11</v>
      </c>
      <c r="Q1362" s="184" t="n">
        <v>25260</v>
      </c>
      <c r="R1362" s="184" t="n">
        <v>22481.4</v>
      </c>
      <c r="S1362" s="184" t="s">
        <v>3117</v>
      </c>
      <c r="T1362" s="187" t="n">
        <v>45963</v>
      </c>
    </row>
    <row r="1363" customFormat="false" ht="35.05" hidden="true" customHeight="false" outlineLevel="0" collapsed="false">
      <c r="A1363" s="181" t="s">
        <v>3118</v>
      </c>
      <c r="B1363" s="182" t="n">
        <v>2887</v>
      </c>
      <c r="C1363" s="183" t="n">
        <v>283</v>
      </c>
      <c r="D1363" s="181" t="s">
        <v>2401</v>
      </c>
      <c r="E1363" s="181" t="s">
        <v>582</v>
      </c>
      <c r="F1363" s="181" t="s">
        <v>583</v>
      </c>
      <c r="G1363" s="181" t="s">
        <v>2715</v>
      </c>
      <c r="H1363" s="181" t="s">
        <v>279</v>
      </c>
      <c r="I1363" s="181" t="s">
        <v>242</v>
      </c>
      <c r="J1363" s="267"/>
      <c r="K1363" s="269" t="n">
        <v>45963</v>
      </c>
      <c r="L1363" s="267" t="n">
        <v>1.5</v>
      </c>
      <c r="M1363" s="184" t="s">
        <v>2715</v>
      </c>
      <c r="N1363" s="184" t="n">
        <v>42850</v>
      </c>
      <c r="O1363" s="184" t="n">
        <v>14990</v>
      </c>
      <c r="P1363" s="185" t="n">
        <v>10</v>
      </c>
      <c r="Q1363" s="184" t="n">
        <v>27860</v>
      </c>
      <c r="R1363" s="184" t="n">
        <v>25074</v>
      </c>
      <c r="S1363" s="184" t="s">
        <v>3119</v>
      </c>
      <c r="T1363" s="187" t="n">
        <v>45963</v>
      </c>
    </row>
    <row r="1364" customFormat="false" ht="35.05" hidden="true" customHeight="false" outlineLevel="0" collapsed="false">
      <c r="A1364" s="181" t="s">
        <v>3120</v>
      </c>
      <c r="B1364" s="182" t="n">
        <v>2888</v>
      </c>
      <c r="C1364" s="183" t="n">
        <v>284</v>
      </c>
      <c r="D1364" s="181" t="s">
        <v>2401</v>
      </c>
      <c r="E1364" s="181" t="s">
        <v>377</v>
      </c>
      <c r="F1364" s="181" t="s">
        <v>378</v>
      </c>
      <c r="G1364" s="181" t="s">
        <v>2715</v>
      </c>
      <c r="H1364" s="181" t="s">
        <v>279</v>
      </c>
      <c r="I1364" s="181" t="s">
        <v>242</v>
      </c>
      <c r="J1364" s="267"/>
      <c r="K1364" s="269" t="n">
        <v>45963</v>
      </c>
      <c r="L1364" s="267" t="n">
        <v>1.6</v>
      </c>
      <c r="M1364" s="184" t="s">
        <v>2715</v>
      </c>
      <c r="N1364" s="184" t="n">
        <v>45660</v>
      </c>
      <c r="O1364" s="184" t="n">
        <v>15970</v>
      </c>
      <c r="P1364" s="185" t="n">
        <v>7</v>
      </c>
      <c r="Q1364" s="184" t="n">
        <v>29690</v>
      </c>
      <c r="R1364" s="184" t="n">
        <v>27611.7</v>
      </c>
      <c r="S1364" s="184" t="s">
        <v>3121</v>
      </c>
      <c r="T1364" s="187" t="n">
        <v>45963</v>
      </c>
    </row>
    <row r="1365" customFormat="false" ht="35.05" hidden="true" customHeight="false" outlineLevel="0" collapsed="false">
      <c r="A1365" s="181" t="s">
        <v>3110</v>
      </c>
      <c r="B1365" s="182" t="n">
        <v>2884</v>
      </c>
      <c r="C1365" s="183" t="n">
        <v>282</v>
      </c>
      <c r="D1365" s="181" t="s">
        <v>2401</v>
      </c>
      <c r="E1365" s="181" t="s">
        <v>304</v>
      </c>
      <c r="F1365" s="181" t="s">
        <v>305</v>
      </c>
      <c r="G1365" s="181" t="s">
        <v>2715</v>
      </c>
      <c r="H1365" s="181" t="s">
        <v>279</v>
      </c>
      <c r="I1365" s="181" t="s">
        <v>242</v>
      </c>
      <c r="J1365" s="267"/>
      <c r="K1365" s="269" t="n">
        <v>45962</v>
      </c>
      <c r="L1365" s="267" t="n">
        <v>1.3</v>
      </c>
      <c r="M1365" s="184" t="s">
        <v>2715</v>
      </c>
      <c r="N1365" s="184" t="n">
        <v>41350</v>
      </c>
      <c r="O1365" s="184" t="n">
        <v>15120</v>
      </c>
      <c r="P1365" s="185" t="n">
        <v>10</v>
      </c>
      <c r="Q1365" s="184" t="n">
        <v>26230</v>
      </c>
      <c r="R1365" s="184" t="n">
        <v>23607</v>
      </c>
      <c r="S1365" s="184" t="s">
        <v>3111</v>
      </c>
      <c r="T1365" s="187" t="n">
        <v>45963</v>
      </c>
    </row>
    <row r="1366" customFormat="false" ht="35.05" hidden="true" customHeight="false" outlineLevel="0" collapsed="false">
      <c r="A1366" s="181" t="s">
        <v>3132</v>
      </c>
      <c r="B1366" s="182" t="n">
        <v>2890</v>
      </c>
      <c r="C1366" s="183" t="n">
        <v>286</v>
      </c>
      <c r="D1366" s="181" t="s">
        <v>2401</v>
      </c>
      <c r="E1366" s="181" t="s">
        <v>340</v>
      </c>
      <c r="F1366" s="181" t="s">
        <v>341</v>
      </c>
      <c r="G1366" s="181" t="s">
        <v>2715</v>
      </c>
      <c r="H1366" s="181" t="s">
        <v>279</v>
      </c>
      <c r="I1366" s="181" t="s">
        <v>242</v>
      </c>
      <c r="J1366" s="267"/>
      <c r="K1366" s="269" t="n">
        <v>45963</v>
      </c>
      <c r="L1366" s="267" t="n">
        <v>1.4</v>
      </c>
      <c r="M1366" s="184" t="s">
        <v>2715</v>
      </c>
      <c r="N1366" s="184" t="n">
        <v>41140</v>
      </c>
      <c r="O1366" s="184" t="n">
        <v>15260</v>
      </c>
      <c r="P1366" s="185" t="n">
        <v>5</v>
      </c>
      <c r="Q1366" s="184" t="n">
        <v>25880</v>
      </c>
      <c r="R1366" s="184" t="n">
        <v>24586</v>
      </c>
      <c r="S1366" s="184" t="s">
        <v>3133</v>
      </c>
      <c r="T1366" s="187" t="n">
        <v>45963</v>
      </c>
    </row>
    <row r="1367" customFormat="false" ht="23.85" hidden="true" customHeight="false" outlineLevel="0" collapsed="false">
      <c r="A1367" s="181" t="s">
        <v>3142</v>
      </c>
      <c r="B1367" s="182" t="n">
        <v>2891</v>
      </c>
      <c r="C1367" s="183" t="n">
        <v>285</v>
      </c>
      <c r="D1367" s="181" t="s">
        <v>2401</v>
      </c>
      <c r="E1367" s="181" t="s">
        <v>336</v>
      </c>
      <c r="F1367" s="181" t="s">
        <v>337</v>
      </c>
      <c r="G1367" s="181" t="s">
        <v>2715</v>
      </c>
      <c r="H1367" s="181" t="s">
        <v>279</v>
      </c>
      <c r="I1367" s="181" t="s">
        <v>242</v>
      </c>
      <c r="J1367" s="267"/>
      <c r="K1367" s="269" t="n">
        <v>45964</v>
      </c>
      <c r="L1367" s="267" t="n">
        <v>1.6</v>
      </c>
      <c r="M1367" s="184" t="s">
        <v>2715</v>
      </c>
      <c r="N1367" s="184" t="n">
        <v>40350</v>
      </c>
      <c r="O1367" s="184" t="n">
        <v>14620</v>
      </c>
      <c r="P1367" s="185" t="n">
        <v>12</v>
      </c>
      <c r="Q1367" s="184" t="n">
        <v>25730</v>
      </c>
      <c r="R1367" s="184" t="n">
        <v>22642.4</v>
      </c>
      <c r="S1367" s="184" t="s">
        <v>3143</v>
      </c>
      <c r="T1367" s="187" t="n">
        <v>45964</v>
      </c>
    </row>
    <row r="1368" customFormat="false" ht="35.05" hidden="true" customHeight="false" outlineLevel="0" collapsed="false">
      <c r="A1368" s="181" t="s">
        <v>3144</v>
      </c>
      <c r="B1368" s="182" t="n">
        <v>2896</v>
      </c>
      <c r="C1368" s="183" t="n">
        <v>287</v>
      </c>
      <c r="D1368" s="181" t="s">
        <v>2401</v>
      </c>
      <c r="E1368" s="181" t="s">
        <v>277</v>
      </c>
      <c r="F1368" s="181" t="s">
        <v>278</v>
      </c>
      <c r="G1368" s="181" t="s">
        <v>2715</v>
      </c>
      <c r="H1368" s="181" t="s">
        <v>279</v>
      </c>
      <c r="I1368" s="181" t="s">
        <v>242</v>
      </c>
      <c r="J1368" s="267"/>
      <c r="K1368" s="269" t="n">
        <v>45964</v>
      </c>
      <c r="L1368" s="267" t="n">
        <v>1.7</v>
      </c>
      <c r="M1368" s="184" t="s">
        <v>2715</v>
      </c>
      <c r="N1368" s="184" t="n">
        <v>42510</v>
      </c>
      <c r="O1368" s="184" t="n">
        <v>15310</v>
      </c>
      <c r="P1368" s="185" t="n">
        <v>3</v>
      </c>
      <c r="Q1368" s="184" t="n">
        <v>27200</v>
      </c>
      <c r="R1368" s="184" t="n">
        <v>26384</v>
      </c>
      <c r="S1368" s="184" t="s">
        <v>3145</v>
      </c>
      <c r="T1368" s="187" t="n">
        <v>45964</v>
      </c>
    </row>
    <row r="1369" customFormat="false" ht="35.05" hidden="true" customHeight="false" outlineLevel="0" collapsed="false">
      <c r="A1369" s="181" t="s">
        <v>3148</v>
      </c>
      <c r="B1369" s="182" t="n">
        <v>2897</v>
      </c>
      <c r="C1369" s="183" t="n">
        <v>288</v>
      </c>
      <c r="D1369" s="181" t="s">
        <v>2401</v>
      </c>
      <c r="E1369" s="181" t="s">
        <v>350</v>
      </c>
      <c r="F1369" s="181" t="s">
        <v>351</v>
      </c>
      <c r="G1369" s="181" t="s">
        <v>2715</v>
      </c>
      <c r="H1369" s="181" t="s">
        <v>279</v>
      </c>
      <c r="I1369" s="181" t="s">
        <v>242</v>
      </c>
      <c r="J1369" s="267"/>
      <c r="K1369" s="269" t="n">
        <v>45964</v>
      </c>
      <c r="L1369" s="267" t="n">
        <v>1.8</v>
      </c>
      <c r="M1369" s="184" t="s">
        <v>2715</v>
      </c>
      <c r="N1369" s="184" t="n">
        <v>44190</v>
      </c>
      <c r="O1369" s="184" t="n">
        <v>15230</v>
      </c>
      <c r="P1369" s="185" t="n">
        <v>7</v>
      </c>
      <c r="Q1369" s="184" t="n">
        <v>28960</v>
      </c>
      <c r="R1369" s="184" t="n">
        <v>26932.8</v>
      </c>
      <c r="S1369" s="184" t="s">
        <v>3149</v>
      </c>
      <c r="T1369" s="187" t="n">
        <v>45964</v>
      </c>
    </row>
    <row r="1370" customFormat="false" ht="35.05" hidden="true" customHeight="false" outlineLevel="0" collapsed="false">
      <c r="A1370" s="181" t="s">
        <v>3152</v>
      </c>
      <c r="B1370" s="182" t="n">
        <v>2898</v>
      </c>
      <c r="C1370" s="183" t="n">
        <v>290</v>
      </c>
      <c r="D1370" s="181" t="s">
        <v>2401</v>
      </c>
      <c r="E1370" s="181" t="s">
        <v>387</v>
      </c>
      <c r="F1370" s="181" t="s">
        <v>388</v>
      </c>
      <c r="G1370" s="181" t="s">
        <v>2715</v>
      </c>
      <c r="H1370" s="181" t="s">
        <v>279</v>
      </c>
      <c r="I1370" s="181" t="s">
        <v>242</v>
      </c>
      <c r="J1370" s="267"/>
      <c r="K1370" s="269" t="n">
        <v>45964</v>
      </c>
      <c r="L1370" s="267" t="n">
        <v>1.8</v>
      </c>
      <c r="M1370" s="184" t="s">
        <v>2715</v>
      </c>
      <c r="N1370" s="184" t="n">
        <v>45140</v>
      </c>
      <c r="O1370" s="184" t="n">
        <v>15240</v>
      </c>
      <c r="P1370" s="185" t="n">
        <v>13</v>
      </c>
      <c r="Q1370" s="184" t="n">
        <v>29900</v>
      </c>
      <c r="R1370" s="184" t="n">
        <v>26013</v>
      </c>
      <c r="S1370" s="184" t="s">
        <v>3153</v>
      </c>
      <c r="T1370" s="187" t="n">
        <v>45964</v>
      </c>
    </row>
    <row r="1371" customFormat="false" ht="23.85" hidden="true" customHeight="false" outlineLevel="0" collapsed="false">
      <c r="A1371" s="181" t="s">
        <v>3158</v>
      </c>
      <c r="B1371" s="182" t="n">
        <v>2899</v>
      </c>
      <c r="C1371" s="183" t="n">
        <v>289</v>
      </c>
      <c r="D1371" s="181" t="s">
        <v>2401</v>
      </c>
      <c r="E1371" s="181" t="s">
        <v>292</v>
      </c>
      <c r="F1371" s="181" t="s">
        <v>293</v>
      </c>
      <c r="G1371" s="181" t="s">
        <v>2715</v>
      </c>
      <c r="H1371" s="181" t="s">
        <v>279</v>
      </c>
      <c r="I1371" s="181" t="s">
        <v>242</v>
      </c>
      <c r="J1371" s="267"/>
      <c r="K1371" s="269" t="n">
        <v>45964</v>
      </c>
      <c r="L1371" s="267" t="n">
        <v>1.4</v>
      </c>
      <c r="M1371" s="184" t="s">
        <v>2715</v>
      </c>
      <c r="N1371" s="184" t="n">
        <v>37060</v>
      </c>
      <c r="O1371" s="184" t="n">
        <v>13940</v>
      </c>
      <c r="P1371" s="185" t="n">
        <v>14</v>
      </c>
      <c r="Q1371" s="184" t="n">
        <v>23120</v>
      </c>
      <c r="R1371" s="184" t="n">
        <v>19883.2</v>
      </c>
      <c r="S1371" s="184" t="s">
        <v>3159</v>
      </c>
      <c r="T1371" s="187" t="n">
        <v>45964</v>
      </c>
    </row>
    <row r="1372" customFormat="false" ht="23.85" hidden="true" customHeight="false" outlineLevel="0" collapsed="false">
      <c r="A1372" s="181" t="s">
        <v>3134</v>
      </c>
      <c r="B1372" s="182" t="n">
        <v>2900</v>
      </c>
      <c r="C1372" s="183" t="n">
        <v>291</v>
      </c>
      <c r="D1372" s="181" t="s">
        <v>2401</v>
      </c>
      <c r="E1372" s="181" t="s">
        <v>272</v>
      </c>
      <c r="F1372" s="181" t="s">
        <v>273</v>
      </c>
      <c r="G1372" s="181" t="s">
        <v>2715</v>
      </c>
      <c r="H1372" s="181" t="s">
        <v>279</v>
      </c>
      <c r="I1372" s="181" t="s">
        <v>242</v>
      </c>
      <c r="J1372" s="267"/>
      <c r="K1372" s="269" t="n">
        <v>45964</v>
      </c>
      <c r="L1372" s="267" t="n">
        <v>1.5</v>
      </c>
      <c r="M1372" s="184" t="s">
        <v>2715</v>
      </c>
      <c r="N1372" s="184" t="n">
        <v>40740</v>
      </c>
      <c r="O1372" s="184" t="n">
        <v>15700</v>
      </c>
      <c r="P1372" s="185" t="n">
        <v>15</v>
      </c>
      <c r="Q1372" s="184" t="n">
        <v>25040</v>
      </c>
      <c r="R1372" s="184" t="n">
        <v>21284</v>
      </c>
      <c r="S1372" s="184" t="s">
        <v>3135</v>
      </c>
      <c r="T1372" s="187" t="n">
        <v>45964</v>
      </c>
    </row>
    <row r="1373" customFormat="false" ht="35.05" hidden="true" customHeight="false" outlineLevel="0" collapsed="false">
      <c r="A1373" s="181" t="s">
        <v>3136</v>
      </c>
      <c r="B1373" s="182" t="n">
        <v>2902</v>
      </c>
      <c r="C1373" s="183" t="n">
        <v>293</v>
      </c>
      <c r="D1373" s="181" t="s">
        <v>2401</v>
      </c>
      <c r="E1373" s="181" t="s">
        <v>413</v>
      </c>
      <c r="F1373" s="181" t="s">
        <v>414</v>
      </c>
      <c r="G1373" s="181" t="s">
        <v>2715</v>
      </c>
      <c r="H1373" s="181" t="s">
        <v>279</v>
      </c>
      <c r="I1373" s="181" t="s">
        <v>242</v>
      </c>
      <c r="J1373" s="267"/>
      <c r="K1373" s="269" t="n">
        <v>45964</v>
      </c>
      <c r="L1373" s="267" t="n">
        <v>2</v>
      </c>
      <c r="M1373" s="184" t="s">
        <v>2715</v>
      </c>
      <c r="N1373" s="184" t="n">
        <v>48850</v>
      </c>
      <c r="O1373" s="184" t="n">
        <v>16010</v>
      </c>
      <c r="P1373" s="185" t="n">
        <v>13</v>
      </c>
      <c r="Q1373" s="184" t="n">
        <v>32840</v>
      </c>
      <c r="R1373" s="184" t="n">
        <v>28570.8</v>
      </c>
      <c r="S1373" s="184" t="s">
        <v>3137</v>
      </c>
      <c r="T1373" s="187" t="n">
        <v>45964</v>
      </c>
    </row>
    <row r="1374" customFormat="false" ht="46.25" hidden="true" customHeight="false" outlineLevel="0" collapsed="false">
      <c r="A1374" s="181" t="s">
        <v>3138</v>
      </c>
      <c r="B1374" s="182" t="n">
        <v>2903</v>
      </c>
      <c r="C1374" s="183" t="n">
        <v>294</v>
      </c>
      <c r="D1374" s="181" t="s">
        <v>2401</v>
      </c>
      <c r="E1374" s="181" t="s">
        <v>288</v>
      </c>
      <c r="F1374" s="181" t="s">
        <v>289</v>
      </c>
      <c r="G1374" s="181" t="s">
        <v>2715</v>
      </c>
      <c r="H1374" s="181" t="s">
        <v>279</v>
      </c>
      <c r="I1374" s="181" t="s">
        <v>242</v>
      </c>
      <c r="J1374" s="267"/>
      <c r="K1374" s="269" t="n">
        <v>45964</v>
      </c>
      <c r="L1374" s="267" t="n">
        <v>1.6</v>
      </c>
      <c r="M1374" s="184" t="s">
        <v>2715</v>
      </c>
      <c r="N1374" s="184" t="n">
        <v>40580</v>
      </c>
      <c r="O1374" s="184" t="n">
        <v>14920</v>
      </c>
      <c r="P1374" s="185" t="n">
        <v>13</v>
      </c>
      <c r="Q1374" s="184" t="n">
        <v>25660</v>
      </c>
      <c r="R1374" s="184" t="n">
        <v>22324.2</v>
      </c>
      <c r="S1374" s="184" t="s">
        <v>3139</v>
      </c>
      <c r="T1374" s="187" t="n">
        <v>45964</v>
      </c>
    </row>
    <row r="1375" customFormat="false" ht="35.05" hidden="true" customHeight="false" outlineLevel="0" collapsed="false">
      <c r="A1375" s="181" t="s">
        <v>3146</v>
      </c>
      <c r="B1375" s="182" t="n">
        <v>2905</v>
      </c>
      <c r="C1375" s="183" t="n">
        <v>292</v>
      </c>
      <c r="D1375" s="181" t="s">
        <v>2401</v>
      </c>
      <c r="E1375" s="181" t="s">
        <v>300</v>
      </c>
      <c r="F1375" s="181" t="s">
        <v>301</v>
      </c>
      <c r="G1375" s="181" t="s">
        <v>2715</v>
      </c>
      <c r="H1375" s="181" t="s">
        <v>279</v>
      </c>
      <c r="I1375" s="181" t="s">
        <v>242</v>
      </c>
      <c r="J1375" s="267"/>
      <c r="K1375" s="269" t="n">
        <v>45964</v>
      </c>
      <c r="L1375" s="267" t="n">
        <v>2.7</v>
      </c>
      <c r="M1375" s="184" t="s">
        <v>2715</v>
      </c>
      <c r="N1375" s="184" t="n">
        <v>65330</v>
      </c>
      <c r="O1375" s="184" t="n">
        <v>21320</v>
      </c>
      <c r="P1375" s="185" t="n">
        <v>4</v>
      </c>
      <c r="Q1375" s="184" t="n">
        <v>44010</v>
      </c>
      <c r="R1375" s="184" t="n">
        <v>42249.6</v>
      </c>
      <c r="S1375" s="184" t="s">
        <v>3147</v>
      </c>
      <c r="T1375" s="187" t="n">
        <v>45964</v>
      </c>
    </row>
    <row r="1376" customFormat="false" ht="23.85" hidden="true" customHeight="false" outlineLevel="0" collapsed="false">
      <c r="A1376" s="181" t="s">
        <v>3140</v>
      </c>
      <c r="B1376" s="182" t="n">
        <v>2904</v>
      </c>
      <c r="C1376" s="183" t="n">
        <v>295</v>
      </c>
      <c r="D1376" s="181" t="s">
        <v>2401</v>
      </c>
      <c r="E1376" s="181" t="s">
        <v>373</v>
      </c>
      <c r="F1376" s="181" t="s">
        <v>374</v>
      </c>
      <c r="G1376" s="181" t="s">
        <v>2715</v>
      </c>
      <c r="H1376" s="181" t="s">
        <v>279</v>
      </c>
      <c r="I1376" s="181" t="s">
        <v>242</v>
      </c>
      <c r="J1376" s="267"/>
      <c r="K1376" s="269" t="n">
        <v>45964</v>
      </c>
      <c r="L1376" s="267" t="n">
        <v>1.9</v>
      </c>
      <c r="M1376" s="184" t="s">
        <v>2715</v>
      </c>
      <c r="N1376" s="184" t="n">
        <v>45150</v>
      </c>
      <c r="O1376" s="184" t="n">
        <v>14660</v>
      </c>
      <c r="P1376" s="185" t="n">
        <v>13</v>
      </c>
      <c r="Q1376" s="184" t="n">
        <v>30490</v>
      </c>
      <c r="R1376" s="184" t="n">
        <v>26526.3</v>
      </c>
      <c r="S1376" s="184" t="s">
        <v>3141</v>
      </c>
      <c r="T1376" s="187" t="n">
        <v>45964</v>
      </c>
    </row>
    <row r="1377" customFormat="false" ht="46.25" hidden="true" customHeight="false" outlineLevel="0" collapsed="false">
      <c r="A1377" s="181" t="s">
        <v>3150</v>
      </c>
      <c r="B1377" s="182" t="n">
        <v>2907</v>
      </c>
      <c r="C1377" s="183" t="n">
        <v>296</v>
      </c>
      <c r="D1377" s="181" t="s">
        <v>2401</v>
      </c>
      <c r="E1377" s="181" t="s">
        <v>383</v>
      </c>
      <c r="F1377" s="181" t="s">
        <v>384</v>
      </c>
      <c r="G1377" s="181" t="s">
        <v>2715</v>
      </c>
      <c r="H1377" s="181" t="s">
        <v>279</v>
      </c>
      <c r="I1377" s="181" t="s">
        <v>242</v>
      </c>
      <c r="J1377" s="267"/>
      <c r="K1377" s="269" t="n">
        <v>45964</v>
      </c>
      <c r="L1377" s="267" t="n">
        <v>1.8</v>
      </c>
      <c r="M1377" s="184" t="s">
        <v>2715</v>
      </c>
      <c r="N1377" s="184" t="n">
        <v>43790</v>
      </c>
      <c r="O1377" s="184" t="n">
        <v>15130</v>
      </c>
      <c r="P1377" s="185" t="n">
        <v>6</v>
      </c>
      <c r="Q1377" s="184" t="n">
        <v>28660</v>
      </c>
      <c r="R1377" s="184" t="n">
        <v>26940.4</v>
      </c>
      <c r="S1377" s="184" t="s">
        <v>3151</v>
      </c>
      <c r="T1377" s="187" t="n">
        <v>45964</v>
      </c>
    </row>
    <row r="1378" customFormat="false" ht="23.85" hidden="true" customHeight="false" outlineLevel="0" collapsed="false">
      <c r="A1378" s="181" t="s">
        <v>3154</v>
      </c>
      <c r="B1378" s="182" t="n">
        <v>2908</v>
      </c>
      <c r="C1378" s="183" t="n">
        <v>298</v>
      </c>
      <c r="D1378" s="181" t="s">
        <v>2401</v>
      </c>
      <c r="E1378" s="181" t="s">
        <v>533</v>
      </c>
      <c r="F1378" s="181" t="s">
        <v>534</v>
      </c>
      <c r="G1378" s="181" t="s">
        <v>2715</v>
      </c>
      <c r="H1378" s="181" t="s">
        <v>279</v>
      </c>
      <c r="I1378" s="181" t="s">
        <v>242</v>
      </c>
      <c r="J1378" s="267"/>
      <c r="K1378" s="269" t="n">
        <v>45964</v>
      </c>
      <c r="L1378" s="267" t="n">
        <v>1.5</v>
      </c>
      <c r="M1378" s="184" t="s">
        <v>2715</v>
      </c>
      <c r="N1378" s="184" t="n">
        <v>39290</v>
      </c>
      <c r="O1378" s="184" t="n">
        <v>14810</v>
      </c>
      <c r="P1378" s="185" t="n">
        <v>6</v>
      </c>
      <c r="Q1378" s="184" t="n">
        <v>24480</v>
      </c>
      <c r="R1378" s="184" t="n">
        <v>23011.2</v>
      </c>
      <c r="S1378" s="184" t="s">
        <v>3155</v>
      </c>
      <c r="T1378" s="187" t="n">
        <v>45964</v>
      </c>
    </row>
    <row r="1379" customFormat="false" ht="35.05" hidden="true" customHeight="false" outlineLevel="0" collapsed="false">
      <c r="A1379" s="181" t="s">
        <v>3156</v>
      </c>
      <c r="B1379" s="182" t="n">
        <v>2909</v>
      </c>
      <c r="C1379" s="183" t="n">
        <v>297</v>
      </c>
      <c r="D1379" s="181" t="s">
        <v>2401</v>
      </c>
      <c r="E1379" s="181" t="s">
        <v>549</v>
      </c>
      <c r="F1379" s="181" t="s">
        <v>550</v>
      </c>
      <c r="G1379" s="181" t="s">
        <v>2715</v>
      </c>
      <c r="H1379" s="181" t="s">
        <v>279</v>
      </c>
      <c r="I1379" s="181" t="s">
        <v>242</v>
      </c>
      <c r="J1379" s="267"/>
      <c r="K1379" s="269" t="n">
        <v>45964</v>
      </c>
      <c r="L1379" s="267" t="n">
        <v>1.7</v>
      </c>
      <c r="M1379" s="184" t="s">
        <v>2715</v>
      </c>
      <c r="N1379" s="184" t="n">
        <v>43960</v>
      </c>
      <c r="O1379" s="184" t="n">
        <v>15890</v>
      </c>
      <c r="P1379" s="185" t="n">
        <v>11</v>
      </c>
      <c r="Q1379" s="184" t="n">
        <v>28070</v>
      </c>
      <c r="R1379" s="184" t="n">
        <v>24982.3</v>
      </c>
      <c r="S1379" s="184" t="s">
        <v>3157</v>
      </c>
      <c r="T1379" s="187" t="n">
        <v>45964</v>
      </c>
    </row>
    <row r="1380" customFormat="false" ht="35.05" hidden="true" customHeight="false" outlineLevel="0" collapsed="false">
      <c r="A1380" s="181" t="s">
        <v>3160</v>
      </c>
      <c r="B1380" s="182" t="n">
        <v>2910</v>
      </c>
      <c r="C1380" s="183" t="n">
        <v>299</v>
      </c>
      <c r="D1380" s="181" t="s">
        <v>2401</v>
      </c>
      <c r="E1380" s="181" t="s">
        <v>391</v>
      </c>
      <c r="F1380" s="181" t="s">
        <v>392</v>
      </c>
      <c r="G1380" s="181" t="s">
        <v>2715</v>
      </c>
      <c r="H1380" s="181" t="s">
        <v>279</v>
      </c>
      <c r="I1380" s="181" t="s">
        <v>242</v>
      </c>
      <c r="J1380" s="267"/>
      <c r="K1380" s="269" t="n">
        <v>45964</v>
      </c>
      <c r="L1380" s="267" t="n">
        <v>1.3</v>
      </c>
      <c r="M1380" s="184" t="s">
        <v>2715</v>
      </c>
      <c r="N1380" s="184" t="n">
        <v>36130</v>
      </c>
      <c r="O1380" s="184" t="n">
        <v>14640</v>
      </c>
      <c r="P1380" s="185" t="n">
        <v>14</v>
      </c>
      <c r="Q1380" s="184" t="n">
        <v>21490</v>
      </c>
      <c r="R1380" s="184" t="n">
        <v>18481.4</v>
      </c>
      <c r="S1380" s="184" t="s">
        <v>3161</v>
      </c>
      <c r="T1380" s="187" t="n">
        <v>45964</v>
      </c>
    </row>
    <row r="1381" customFormat="false" ht="46.25" hidden="true" customHeight="false" outlineLevel="0" collapsed="false">
      <c r="A1381" s="181" t="s">
        <v>3166</v>
      </c>
      <c r="B1381" s="182" t="n">
        <v>2911</v>
      </c>
      <c r="C1381" s="183" t="n">
        <v>301</v>
      </c>
      <c r="D1381" s="181" t="s">
        <v>2401</v>
      </c>
      <c r="E1381" s="181" t="s">
        <v>282</v>
      </c>
      <c r="F1381" s="181" t="s">
        <v>283</v>
      </c>
      <c r="G1381" s="181" t="s">
        <v>2715</v>
      </c>
      <c r="H1381" s="181" t="s">
        <v>279</v>
      </c>
      <c r="I1381" s="181" t="s">
        <v>242</v>
      </c>
      <c r="J1381" s="267"/>
      <c r="K1381" s="269" t="n">
        <v>45964</v>
      </c>
      <c r="L1381" s="267" t="n">
        <v>1.6</v>
      </c>
      <c r="M1381" s="184" t="s">
        <v>2715</v>
      </c>
      <c r="N1381" s="184" t="n">
        <v>41260</v>
      </c>
      <c r="O1381" s="184" t="n">
        <v>15220</v>
      </c>
      <c r="P1381" s="185" t="n">
        <v>9</v>
      </c>
      <c r="Q1381" s="184" t="n">
        <v>26040</v>
      </c>
      <c r="R1381" s="184" t="n">
        <v>23696.4</v>
      </c>
      <c r="S1381" s="184" t="s">
        <v>3167</v>
      </c>
      <c r="T1381" s="187" t="n">
        <v>45965</v>
      </c>
    </row>
    <row r="1382" customFormat="false" ht="35.05" hidden="true" customHeight="false" outlineLevel="0" collapsed="false">
      <c r="A1382" s="181" t="s">
        <v>3168</v>
      </c>
      <c r="B1382" s="182" t="n">
        <v>2913</v>
      </c>
      <c r="C1382" s="183" t="n">
        <v>302</v>
      </c>
      <c r="D1382" s="181" t="s">
        <v>2401</v>
      </c>
      <c r="E1382" s="181" t="s">
        <v>537</v>
      </c>
      <c r="F1382" s="181" t="s">
        <v>538</v>
      </c>
      <c r="G1382" s="181" t="s">
        <v>2715</v>
      </c>
      <c r="H1382" s="181" t="s">
        <v>279</v>
      </c>
      <c r="I1382" s="181" t="s">
        <v>242</v>
      </c>
      <c r="J1382" s="267"/>
      <c r="K1382" s="269" t="n">
        <v>45964</v>
      </c>
      <c r="L1382" s="267" t="n">
        <v>1.4</v>
      </c>
      <c r="M1382" s="184" t="s">
        <v>2715</v>
      </c>
      <c r="N1382" s="184" t="n">
        <v>36730</v>
      </c>
      <c r="O1382" s="184" t="n">
        <v>13980</v>
      </c>
      <c r="P1382" s="185" t="n">
        <v>17</v>
      </c>
      <c r="Q1382" s="184" t="n">
        <v>22750</v>
      </c>
      <c r="R1382" s="184" t="n">
        <v>18882.5</v>
      </c>
      <c r="S1382" s="184" t="s">
        <v>3169</v>
      </c>
      <c r="T1382" s="187" t="n">
        <v>45965</v>
      </c>
    </row>
    <row r="1383" customFormat="false" ht="23.85" hidden="true" customHeight="false" outlineLevel="0" collapsed="false">
      <c r="A1383" s="181" t="s">
        <v>3172</v>
      </c>
      <c r="B1383" s="182" t="n">
        <v>2914</v>
      </c>
      <c r="C1383" s="183" t="n">
        <v>303</v>
      </c>
      <c r="D1383" s="181" t="s">
        <v>2401</v>
      </c>
      <c r="E1383" s="181" t="s">
        <v>354</v>
      </c>
      <c r="F1383" s="181" t="s">
        <v>355</v>
      </c>
      <c r="G1383" s="181" t="s">
        <v>2715</v>
      </c>
      <c r="H1383" s="181" t="s">
        <v>279</v>
      </c>
      <c r="I1383" s="181" t="s">
        <v>242</v>
      </c>
      <c r="J1383" s="267"/>
      <c r="K1383" s="269" t="n">
        <v>45964</v>
      </c>
      <c r="L1383" s="267" t="n">
        <v>1.5</v>
      </c>
      <c r="M1383" s="184" t="s">
        <v>2715</v>
      </c>
      <c r="N1383" s="184" t="n">
        <v>39450</v>
      </c>
      <c r="O1383" s="184" t="n">
        <v>14860</v>
      </c>
      <c r="P1383" s="185" t="n">
        <v>6</v>
      </c>
      <c r="Q1383" s="184" t="n">
        <v>24590</v>
      </c>
      <c r="R1383" s="184" t="n">
        <v>23114.6</v>
      </c>
      <c r="S1383" s="184" t="s">
        <v>3173</v>
      </c>
      <c r="T1383" s="187" t="n">
        <v>45965</v>
      </c>
    </row>
    <row r="1384" customFormat="false" ht="35.05" hidden="true" customHeight="false" outlineLevel="0" collapsed="false">
      <c r="A1384" s="181" t="s">
        <v>3176</v>
      </c>
      <c r="B1384" s="182" t="n">
        <v>2915</v>
      </c>
      <c r="C1384" s="183" t="n">
        <v>300</v>
      </c>
      <c r="D1384" s="181" t="s">
        <v>2401</v>
      </c>
      <c r="E1384" s="181" t="s">
        <v>409</v>
      </c>
      <c r="F1384" s="181" t="s">
        <v>410</v>
      </c>
      <c r="G1384" s="181" t="s">
        <v>2715</v>
      </c>
      <c r="H1384" s="181" t="s">
        <v>279</v>
      </c>
      <c r="I1384" s="181" t="s">
        <v>242</v>
      </c>
      <c r="J1384" s="267"/>
      <c r="K1384" s="269" t="n">
        <v>45965</v>
      </c>
      <c r="L1384" s="267" t="n">
        <v>1.8</v>
      </c>
      <c r="M1384" s="184" t="s">
        <v>2715</v>
      </c>
      <c r="N1384" s="184" t="n">
        <v>68020</v>
      </c>
      <c r="O1384" s="184" t="n">
        <v>24790</v>
      </c>
      <c r="P1384" s="185" t="n">
        <v>10</v>
      </c>
      <c r="Q1384" s="184" t="n">
        <v>43230</v>
      </c>
      <c r="R1384" s="184" t="n">
        <v>38907</v>
      </c>
      <c r="S1384" s="184" t="s">
        <v>3177</v>
      </c>
      <c r="T1384" s="187" t="n">
        <v>45965</v>
      </c>
    </row>
    <row r="1385" customFormat="false" ht="35.05" hidden="true" customHeight="false" outlineLevel="0" collapsed="false">
      <c r="A1385" s="181" t="s">
        <v>3178</v>
      </c>
      <c r="B1385" s="182" t="n">
        <v>2916</v>
      </c>
      <c r="C1385" s="183" t="n">
        <v>304</v>
      </c>
      <c r="D1385" s="181" t="s">
        <v>2401</v>
      </c>
      <c r="E1385" s="181" t="s">
        <v>359</v>
      </c>
      <c r="F1385" s="181" t="s">
        <v>360</v>
      </c>
      <c r="G1385" s="181" t="s">
        <v>2715</v>
      </c>
      <c r="H1385" s="181" t="s">
        <v>279</v>
      </c>
      <c r="I1385" s="181" t="s">
        <v>242</v>
      </c>
      <c r="J1385" s="267"/>
      <c r="K1385" s="269" t="n">
        <v>45965</v>
      </c>
      <c r="L1385" s="267" t="n">
        <v>1.3</v>
      </c>
      <c r="M1385" s="184" t="s">
        <v>2715</v>
      </c>
      <c r="N1385" s="184" t="n">
        <v>39940</v>
      </c>
      <c r="O1385" s="184" t="n">
        <v>15110</v>
      </c>
      <c r="P1385" s="185" t="n">
        <v>13</v>
      </c>
      <c r="Q1385" s="184" t="n">
        <v>24830</v>
      </c>
      <c r="R1385" s="184" t="n">
        <v>21602.1</v>
      </c>
      <c r="S1385" s="184" t="s">
        <v>3179</v>
      </c>
      <c r="T1385" s="187" t="n">
        <v>45965</v>
      </c>
    </row>
    <row r="1386" customFormat="false" ht="23.85" hidden="true" customHeight="false" outlineLevel="0" collapsed="false">
      <c r="A1386" s="181" t="s">
        <v>3182</v>
      </c>
      <c r="B1386" s="182" t="n">
        <v>2917</v>
      </c>
      <c r="C1386" s="183" t="n">
        <v>306</v>
      </c>
      <c r="D1386" s="181" t="s">
        <v>2401</v>
      </c>
      <c r="E1386" s="181" t="s">
        <v>545</v>
      </c>
      <c r="F1386" s="181" t="s">
        <v>546</v>
      </c>
      <c r="G1386" s="181" t="s">
        <v>2715</v>
      </c>
      <c r="H1386" s="181" t="s">
        <v>279</v>
      </c>
      <c r="I1386" s="181" t="s">
        <v>242</v>
      </c>
      <c r="J1386" s="267"/>
      <c r="K1386" s="269" t="n">
        <v>45965</v>
      </c>
      <c r="L1386" s="267" t="n">
        <v>1.3</v>
      </c>
      <c r="M1386" s="184" t="s">
        <v>2715</v>
      </c>
      <c r="N1386" s="184" t="n">
        <v>43260</v>
      </c>
      <c r="O1386" s="184" t="n">
        <v>16300</v>
      </c>
      <c r="P1386" s="185" t="n">
        <v>8</v>
      </c>
      <c r="Q1386" s="184" t="n">
        <v>26960</v>
      </c>
      <c r="R1386" s="184" t="n">
        <v>24803.2</v>
      </c>
      <c r="S1386" s="184" t="s">
        <v>3183</v>
      </c>
      <c r="T1386" s="187" t="n">
        <v>45965</v>
      </c>
    </row>
    <row r="1387" customFormat="false" ht="35.05" hidden="true" customHeight="false" outlineLevel="0" collapsed="false">
      <c r="A1387" s="181" t="s">
        <v>3184</v>
      </c>
      <c r="B1387" s="182" t="n">
        <v>2918</v>
      </c>
      <c r="C1387" s="183" t="n">
        <v>307</v>
      </c>
      <c r="D1387" s="181" t="s">
        <v>2401</v>
      </c>
      <c r="E1387" s="181" t="s">
        <v>576</v>
      </c>
      <c r="F1387" s="181" t="s">
        <v>577</v>
      </c>
      <c r="G1387" s="181" t="s">
        <v>2715</v>
      </c>
      <c r="H1387" s="181" t="s">
        <v>279</v>
      </c>
      <c r="I1387" s="181" t="s">
        <v>242</v>
      </c>
      <c r="J1387" s="267"/>
      <c r="K1387" s="269" t="n">
        <v>45965</v>
      </c>
      <c r="L1387" s="267" t="n">
        <v>1.3</v>
      </c>
      <c r="M1387" s="184" t="s">
        <v>2715</v>
      </c>
      <c r="N1387" s="184" t="n">
        <v>39590</v>
      </c>
      <c r="O1387" s="184" t="n">
        <v>14580</v>
      </c>
      <c r="P1387" s="185" t="n">
        <v>14</v>
      </c>
      <c r="Q1387" s="184" t="n">
        <v>25010</v>
      </c>
      <c r="R1387" s="184" t="n">
        <v>21508.6</v>
      </c>
      <c r="S1387" s="184" t="s">
        <v>3185</v>
      </c>
      <c r="T1387" s="187" t="n">
        <v>45965</v>
      </c>
    </row>
    <row r="1388" customFormat="false" ht="35.05" hidden="true" customHeight="false" outlineLevel="0" collapsed="false">
      <c r="A1388" s="181" t="s">
        <v>3190</v>
      </c>
      <c r="B1388" s="182" t="n">
        <v>2919</v>
      </c>
      <c r="C1388" s="183" t="n">
        <v>308</v>
      </c>
      <c r="D1388" s="181" t="s">
        <v>2401</v>
      </c>
      <c r="E1388" s="181" t="s">
        <v>261</v>
      </c>
      <c r="F1388" s="181" t="s">
        <v>262</v>
      </c>
      <c r="G1388" s="181" t="s">
        <v>2715</v>
      </c>
      <c r="H1388" s="181" t="s">
        <v>279</v>
      </c>
      <c r="I1388" s="181" t="s">
        <v>242</v>
      </c>
      <c r="J1388" s="267"/>
      <c r="K1388" s="269" t="n">
        <v>45965</v>
      </c>
      <c r="L1388" s="267" t="n">
        <v>1.2</v>
      </c>
      <c r="M1388" s="184" t="s">
        <v>2715</v>
      </c>
      <c r="N1388" s="184" t="n">
        <v>40280</v>
      </c>
      <c r="O1388" s="184" t="n">
        <v>15270</v>
      </c>
      <c r="P1388" s="185" t="n">
        <v>10</v>
      </c>
      <c r="Q1388" s="184" t="n">
        <v>25010</v>
      </c>
      <c r="R1388" s="184" t="n">
        <v>22509</v>
      </c>
      <c r="S1388" s="184" t="s">
        <v>3191</v>
      </c>
      <c r="T1388" s="187" t="n">
        <v>45965</v>
      </c>
    </row>
    <row r="1389" customFormat="false" ht="35.05" hidden="true" customHeight="false" outlineLevel="0" collapsed="false">
      <c r="A1389" s="181" t="s">
        <v>3162</v>
      </c>
      <c r="B1389" s="182" t="n">
        <v>2921</v>
      </c>
      <c r="C1389" s="183" t="n">
        <v>305</v>
      </c>
      <c r="D1389" s="181" t="s">
        <v>2401</v>
      </c>
      <c r="E1389" s="181" t="s">
        <v>399</v>
      </c>
      <c r="F1389" s="181" t="s">
        <v>400</v>
      </c>
      <c r="G1389" s="181" t="s">
        <v>2715</v>
      </c>
      <c r="H1389" s="181" t="s">
        <v>279</v>
      </c>
      <c r="I1389" s="181" t="s">
        <v>242</v>
      </c>
      <c r="J1389" s="267"/>
      <c r="K1389" s="269" t="n">
        <v>45964</v>
      </c>
      <c r="L1389" s="267" t="n">
        <v>2.3</v>
      </c>
      <c r="M1389" s="184" t="s">
        <v>2715</v>
      </c>
      <c r="N1389" s="184" t="n">
        <v>54770</v>
      </c>
      <c r="O1389" s="184" t="n">
        <v>19680</v>
      </c>
      <c r="P1389" s="185" t="n">
        <v>17</v>
      </c>
      <c r="Q1389" s="184" t="n">
        <v>35090</v>
      </c>
      <c r="R1389" s="184" t="n">
        <v>29124.7</v>
      </c>
      <c r="S1389" s="184" t="s">
        <v>3163</v>
      </c>
      <c r="T1389" s="187" t="n">
        <v>45965</v>
      </c>
    </row>
    <row r="1390" customFormat="false" ht="23.85" hidden="true" customHeight="false" outlineLevel="0" collapsed="false">
      <c r="A1390" s="181" t="s">
        <v>3164</v>
      </c>
      <c r="B1390" s="182" t="n">
        <v>2922</v>
      </c>
      <c r="C1390" s="183" t="n">
        <v>309</v>
      </c>
      <c r="D1390" s="181" t="s">
        <v>2401</v>
      </c>
      <c r="E1390" s="181" t="s">
        <v>541</v>
      </c>
      <c r="F1390" s="181" t="s">
        <v>542</v>
      </c>
      <c r="G1390" s="181" t="s">
        <v>2715</v>
      </c>
      <c r="H1390" s="181" t="s">
        <v>279</v>
      </c>
      <c r="I1390" s="181" t="s">
        <v>242</v>
      </c>
      <c r="J1390" s="267"/>
      <c r="K1390" s="269" t="n">
        <v>45964</v>
      </c>
      <c r="L1390" s="267" t="n">
        <v>1.7</v>
      </c>
      <c r="M1390" s="184" t="s">
        <v>2715</v>
      </c>
      <c r="N1390" s="184" t="n">
        <v>41000</v>
      </c>
      <c r="O1390" s="184" t="n">
        <v>15130</v>
      </c>
      <c r="P1390" s="185" t="n">
        <v>4</v>
      </c>
      <c r="Q1390" s="184" t="n">
        <v>25870</v>
      </c>
      <c r="R1390" s="184" t="n">
        <v>24835.2</v>
      </c>
      <c r="S1390" s="184" t="s">
        <v>3165</v>
      </c>
      <c r="T1390" s="187" t="n">
        <v>45965</v>
      </c>
    </row>
    <row r="1391" customFormat="false" ht="35.05" hidden="true" customHeight="false" outlineLevel="0" collapsed="false">
      <c r="A1391" s="181" t="s">
        <v>3170</v>
      </c>
      <c r="B1391" s="182" t="n">
        <v>2923</v>
      </c>
      <c r="C1391" s="183" t="n">
        <v>311</v>
      </c>
      <c r="D1391" s="181" t="s">
        <v>2401</v>
      </c>
      <c r="E1391" s="181" t="s">
        <v>332</v>
      </c>
      <c r="F1391" s="181" t="s">
        <v>333</v>
      </c>
      <c r="G1391" s="181" t="s">
        <v>2715</v>
      </c>
      <c r="H1391" s="181" t="s">
        <v>279</v>
      </c>
      <c r="I1391" s="181" t="s">
        <v>242</v>
      </c>
      <c r="J1391" s="267"/>
      <c r="K1391" s="269" t="n">
        <v>45964</v>
      </c>
      <c r="L1391" s="267" t="n">
        <v>1.7</v>
      </c>
      <c r="M1391" s="184" t="s">
        <v>2715</v>
      </c>
      <c r="N1391" s="184" t="n">
        <v>40350</v>
      </c>
      <c r="O1391" s="184" t="n">
        <v>14940</v>
      </c>
      <c r="P1391" s="185" t="n">
        <v>11</v>
      </c>
      <c r="Q1391" s="184" t="n">
        <v>25410</v>
      </c>
      <c r="R1391" s="184" t="n">
        <v>22614.9</v>
      </c>
      <c r="S1391" s="184" t="s">
        <v>3171</v>
      </c>
      <c r="T1391" s="187" t="n">
        <v>45965</v>
      </c>
    </row>
    <row r="1392" customFormat="false" ht="23.85" hidden="true" customHeight="false" outlineLevel="0" collapsed="false">
      <c r="A1392" s="181" t="s">
        <v>3174</v>
      </c>
      <c r="B1392" s="182" t="n">
        <v>2924</v>
      </c>
      <c r="C1392" s="183" t="n">
        <v>310</v>
      </c>
      <c r="D1392" s="181" t="s">
        <v>2401</v>
      </c>
      <c r="E1392" s="181" t="s">
        <v>2351</v>
      </c>
      <c r="F1392" s="181" t="s">
        <v>2352</v>
      </c>
      <c r="G1392" s="181" t="s">
        <v>2715</v>
      </c>
      <c r="H1392" s="181" t="s">
        <v>279</v>
      </c>
      <c r="I1392" s="181" t="s">
        <v>242</v>
      </c>
      <c r="J1392" s="267"/>
      <c r="K1392" s="269" t="n">
        <v>45965</v>
      </c>
      <c r="L1392" s="267" t="n">
        <v>1.5</v>
      </c>
      <c r="M1392" s="184" t="s">
        <v>2715</v>
      </c>
      <c r="N1392" s="184" t="n">
        <v>48070</v>
      </c>
      <c r="O1392" s="184" t="n">
        <v>17560</v>
      </c>
      <c r="P1392" s="185" t="n">
        <v>16</v>
      </c>
      <c r="Q1392" s="184" t="n">
        <v>30510</v>
      </c>
      <c r="R1392" s="184" t="n">
        <v>25628.4</v>
      </c>
      <c r="S1392" s="184" t="s">
        <v>3175</v>
      </c>
      <c r="T1392" s="187" t="n">
        <v>45965</v>
      </c>
    </row>
    <row r="1393" customFormat="false" ht="35.05" hidden="true" customHeight="false" outlineLevel="0" collapsed="false">
      <c r="A1393" s="181" t="s">
        <v>3180</v>
      </c>
      <c r="B1393" s="182" t="n">
        <v>2926</v>
      </c>
      <c r="C1393" s="183" t="n">
        <v>312</v>
      </c>
      <c r="D1393" s="181" t="s">
        <v>2401</v>
      </c>
      <c r="E1393" s="181" t="s">
        <v>266</v>
      </c>
      <c r="F1393" s="181" t="s">
        <v>267</v>
      </c>
      <c r="G1393" s="181" t="s">
        <v>2715</v>
      </c>
      <c r="H1393" s="181" t="s">
        <v>279</v>
      </c>
      <c r="I1393" s="181" t="s">
        <v>242</v>
      </c>
      <c r="J1393" s="267"/>
      <c r="K1393" s="269" t="n">
        <v>45965</v>
      </c>
      <c r="L1393" s="267" t="n">
        <v>1.3</v>
      </c>
      <c r="M1393" s="184" t="s">
        <v>2715</v>
      </c>
      <c r="N1393" s="184" t="n">
        <v>41640</v>
      </c>
      <c r="O1393" s="184" t="n">
        <v>15140</v>
      </c>
      <c r="P1393" s="185" t="n">
        <v>11</v>
      </c>
      <c r="Q1393" s="184" t="n">
        <v>26500</v>
      </c>
      <c r="R1393" s="184" t="n">
        <v>23585</v>
      </c>
      <c r="S1393" s="184" t="s">
        <v>3181</v>
      </c>
      <c r="T1393" s="187" t="n">
        <v>45965</v>
      </c>
    </row>
    <row r="1394" customFormat="false" ht="35.05" hidden="true" customHeight="false" outlineLevel="0" collapsed="false">
      <c r="A1394" s="181" t="s">
        <v>3188</v>
      </c>
      <c r="B1394" s="182" t="n">
        <v>2928</v>
      </c>
      <c r="C1394" s="183" t="n">
        <v>313</v>
      </c>
      <c r="D1394" s="181" t="s">
        <v>2401</v>
      </c>
      <c r="E1394" s="181" t="s">
        <v>1019</v>
      </c>
      <c r="F1394" s="181" t="s">
        <v>1020</v>
      </c>
      <c r="G1394" s="181" t="s">
        <v>2715</v>
      </c>
      <c r="H1394" s="181" t="s">
        <v>279</v>
      </c>
      <c r="I1394" s="181" t="s">
        <v>242</v>
      </c>
      <c r="J1394" s="267"/>
      <c r="K1394" s="269" t="n">
        <v>45965</v>
      </c>
      <c r="L1394" s="267" t="n">
        <v>1.4</v>
      </c>
      <c r="M1394" s="184" t="s">
        <v>2715</v>
      </c>
      <c r="N1394" s="184" t="n">
        <v>46470</v>
      </c>
      <c r="O1394" s="184" t="n">
        <v>16990</v>
      </c>
      <c r="P1394" s="185" t="n">
        <v>8</v>
      </c>
      <c r="Q1394" s="184" t="n">
        <v>29480</v>
      </c>
      <c r="R1394" s="184" t="n">
        <v>27121.6</v>
      </c>
      <c r="S1394" s="184" t="s">
        <v>3189</v>
      </c>
      <c r="T1394" s="187" t="n">
        <v>45965</v>
      </c>
    </row>
    <row r="1395" customFormat="false" ht="35.05" hidden="true" customHeight="false" outlineLevel="0" collapsed="false">
      <c r="A1395" s="181" t="s">
        <v>3186</v>
      </c>
      <c r="B1395" s="182" t="n">
        <v>2927</v>
      </c>
      <c r="C1395" s="183" t="n">
        <v>314</v>
      </c>
      <c r="D1395" s="181" t="s">
        <v>2401</v>
      </c>
      <c r="E1395" s="181" t="s">
        <v>1027</v>
      </c>
      <c r="F1395" s="181" t="s">
        <v>1028</v>
      </c>
      <c r="G1395" s="181" t="s">
        <v>2715</v>
      </c>
      <c r="H1395" s="181" t="s">
        <v>279</v>
      </c>
      <c r="I1395" s="181" t="s">
        <v>242</v>
      </c>
      <c r="J1395" s="267"/>
      <c r="K1395" s="269" t="n">
        <v>45965</v>
      </c>
      <c r="L1395" s="267" t="n">
        <v>1.3</v>
      </c>
      <c r="M1395" s="184" t="s">
        <v>2715</v>
      </c>
      <c r="N1395" s="184" t="n">
        <v>40160</v>
      </c>
      <c r="O1395" s="184" t="n">
        <v>14810</v>
      </c>
      <c r="P1395" s="185" t="n">
        <v>4</v>
      </c>
      <c r="Q1395" s="184" t="n">
        <v>25350</v>
      </c>
      <c r="R1395" s="184" t="n">
        <v>24336</v>
      </c>
      <c r="S1395" s="184" t="s">
        <v>3187</v>
      </c>
      <c r="T1395" s="187" t="n">
        <v>45965</v>
      </c>
    </row>
    <row r="1396" customFormat="false" ht="35.05" hidden="true" customHeight="false" outlineLevel="0" collapsed="false">
      <c r="A1396" s="181" t="s">
        <v>3335</v>
      </c>
      <c r="B1396" s="182" t="n">
        <v>2929</v>
      </c>
      <c r="C1396" s="183" t="n">
        <v>8319</v>
      </c>
      <c r="D1396" s="181" t="s">
        <v>2066</v>
      </c>
      <c r="E1396" s="181" t="s">
        <v>277</v>
      </c>
      <c r="F1396" s="181" t="s">
        <v>278</v>
      </c>
      <c r="G1396" s="181" t="s">
        <v>3334</v>
      </c>
      <c r="H1396" s="181" t="s">
        <v>158</v>
      </c>
      <c r="I1396" s="181" t="s">
        <v>241</v>
      </c>
      <c r="J1396" s="267"/>
      <c r="K1396" s="269" t="n">
        <v>45965</v>
      </c>
      <c r="L1396" s="267" t="n">
        <v>1.8</v>
      </c>
      <c r="M1396" s="184" t="s">
        <v>3334</v>
      </c>
      <c r="N1396" s="184" t="n">
        <v>43270</v>
      </c>
      <c r="O1396" s="184" t="n">
        <v>15200</v>
      </c>
      <c r="P1396" s="185" t="n">
        <v>22</v>
      </c>
      <c r="Q1396" s="184" t="n">
        <v>28070</v>
      </c>
      <c r="R1396" s="184" t="n">
        <v>21894.6</v>
      </c>
      <c r="S1396" s="184" t="s">
        <v>3193</v>
      </c>
      <c r="T1396" s="187" t="n">
        <v>45966</v>
      </c>
    </row>
    <row r="1397" customFormat="false" ht="43.5" hidden="true" customHeight="true" outlineLevel="0" collapsed="false">
      <c r="A1397" s="181" t="s">
        <v>3336</v>
      </c>
      <c r="B1397" s="182" t="n">
        <v>2930</v>
      </c>
      <c r="C1397" s="183" t="n">
        <v>8320</v>
      </c>
      <c r="D1397" s="181" t="s">
        <v>2066</v>
      </c>
      <c r="E1397" s="181" t="s">
        <v>350</v>
      </c>
      <c r="F1397" s="181" t="s">
        <v>351</v>
      </c>
      <c r="G1397" s="181" t="s">
        <v>3334</v>
      </c>
      <c r="H1397" s="181" t="s">
        <v>158</v>
      </c>
      <c r="I1397" s="181" t="s">
        <v>241</v>
      </c>
      <c r="J1397" s="267"/>
      <c r="K1397" s="269" t="n">
        <v>45965</v>
      </c>
      <c r="L1397" s="267" t="n">
        <v>1.9</v>
      </c>
      <c r="M1397" s="184" t="s">
        <v>3334</v>
      </c>
      <c r="N1397" s="184" t="n">
        <v>45580</v>
      </c>
      <c r="O1397" s="184" t="n">
        <v>15080</v>
      </c>
      <c r="P1397" s="185" t="n">
        <v>14</v>
      </c>
      <c r="Q1397" s="184" t="n">
        <v>30500</v>
      </c>
      <c r="R1397" s="184" t="n">
        <v>26230</v>
      </c>
      <c r="S1397" s="184" t="s">
        <v>3195</v>
      </c>
      <c r="T1397" s="187" t="n">
        <v>45966</v>
      </c>
    </row>
    <row r="1398" customFormat="false" ht="43.5" hidden="true" customHeight="true" outlineLevel="0" collapsed="false">
      <c r="A1398" s="181" t="s">
        <v>3200</v>
      </c>
      <c r="B1398" s="182" t="n">
        <v>2931</v>
      </c>
      <c r="C1398" s="183" t="n">
        <v>8322</v>
      </c>
      <c r="D1398" s="181" t="s">
        <v>2066</v>
      </c>
      <c r="E1398" s="181" t="s">
        <v>292</v>
      </c>
      <c r="F1398" s="181" t="s">
        <v>293</v>
      </c>
      <c r="G1398" s="181" t="s">
        <v>3334</v>
      </c>
      <c r="H1398" s="181" t="s">
        <v>158</v>
      </c>
      <c r="I1398" s="181" t="s">
        <v>241</v>
      </c>
      <c r="J1398" s="267"/>
      <c r="K1398" s="269" t="n">
        <v>45965</v>
      </c>
      <c r="L1398" s="267" t="n">
        <v>1.5</v>
      </c>
      <c r="M1398" s="184" t="s">
        <v>3334</v>
      </c>
      <c r="N1398" s="184" t="n">
        <v>37080</v>
      </c>
      <c r="O1398" s="184" t="n">
        <v>13930</v>
      </c>
      <c r="P1398" s="185" t="n">
        <v>20</v>
      </c>
      <c r="Q1398" s="184" t="n">
        <v>23150</v>
      </c>
      <c r="R1398" s="184" t="n">
        <v>18520</v>
      </c>
      <c r="S1398" s="184" t="s">
        <v>3201</v>
      </c>
      <c r="T1398" s="187" t="n">
        <v>45966</v>
      </c>
    </row>
    <row r="1399" customFormat="false" ht="43.5" hidden="true" customHeight="true" outlineLevel="0" collapsed="false">
      <c r="A1399" s="181" t="s">
        <v>3202</v>
      </c>
      <c r="B1399" s="182" t="n">
        <v>2933</v>
      </c>
      <c r="C1399" s="183" t="n">
        <v>8323</v>
      </c>
      <c r="D1399" s="181" t="s">
        <v>2066</v>
      </c>
      <c r="E1399" s="181" t="s">
        <v>377</v>
      </c>
      <c r="F1399" s="181" t="s">
        <v>378</v>
      </c>
      <c r="G1399" s="181" t="s">
        <v>3334</v>
      </c>
      <c r="H1399" s="181" t="s">
        <v>158</v>
      </c>
      <c r="I1399" s="181" t="s">
        <v>241</v>
      </c>
      <c r="J1399" s="267"/>
      <c r="K1399" s="269" t="n">
        <v>45965</v>
      </c>
      <c r="L1399" s="267" t="n">
        <v>1.9</v>
      </c>
      <c r="M1399" s="184" t="s">
        <v>3334</v>
      </c>
      <c r="N1399" s="184" t="n">
        <v>46390</v>
      </c>
      <c r="O1399" s="184" t="n">
        <v>15780</v>
      </c>
      <c r="P1399" s="185" t="n">
        <v>7</v>
      </c>
      <c r="Q1399" s="184" t="n">
        <v>30610</v>
      </c>
      <c r="R1399" s="184" t="n">
        <v>28467.3</v>
      </c>
      <c r="S1399" s="184" t="s">
        <v>3203</v>
      </c>
      <c r="T1399" s="187" t="n">
        <v>45966</v>
      </c>
    </row>
    <row r="1400" customFormat="false" ht="43.5" hidden="true" customHeight="true" outlineLevel="0" collapsed="false">
      <c r="A1400" s="181" t="s">
        <v>3204</v>
      </c>
      <c r="B1400" s="182" t="n">
        <v>2934</v>
      </c>
      <c r="C1400" s="183" t="n">
        <v>8321</v>
      </c>
      <c r="D1400" s="181" t="s">
        <v>2066</v>
      </c>
      <c r="E1400" s="181" t="s">
        <v>308</v>
      </c>
      <c r="F1400" s="181" t="s">
        <v>309</v>
      </c>
      <c r="G1400" s="181" t="s">
        <v>3334</v>
      </c>
      <c r="H1400" s="181" t="s">
        <v>158</v>
      </c>
      <c r="I1400" s="181" t="s">
        <v>241</v>
      </c>
      <c r="J1400" s="267"/>
      <c r="K1400" s="269" t="n">
        <v>45965</v>
      </c>
      <c r="L1400" s="267" t="n">
        <v>2.5</v>
      </c>
      <c r="M1400" s="184" t="s">
        <v>3334</v>
      </c>
      <c r="N1400" s="184" t="n">
        <v>64280</v>
      </c>
      <c r="O1400" s="184" t="n">
        <v>24140</v>
      </c>
      <c r="P1400" s="185" t="n">
        <v>10</v>
      </c>
      <c r="Q1400" s="184" t="n">
        <v>40140</v>
      </c>
      <c r="R1400" s="184" t="n">
        <v>36126</v>
      </c>
      <c r="S1400" s="184" t="s">
        <v>3205</v>
      </c>
      <c r="T1400" s="187" t="n">
        <v>45966</v>
      </c>
    </row>
    <row r="1401" customFormat="false" ht="43.5" hidden="true" customHeight="true" outlineLevel="0" collapsed="false">
      <c r="A1401" s="181" t="s">
        <v>3208</v>
      </c>
      <c r="B1401" s="182" t="n">
        <v>2935</v>
      </c>
      <c r="C1401" s="183" t="n">
        <v>8324</v>
      </c>
      <c r="D1401" s="181" t="s">
        <v>2066</v>
      </c>
      <c r="E1401" s="181" t="s">
        <v>304</v>
      </c>
      <c r="F1401" s="181" t="s">
        <v>305</v>
      </c>
      <c r="G1401" s="181" t="s">
        <v>3334</v>
      </c>
      <c r="H1401" s="181" t="s">
        <v>158</v>
      </c>
      <c r="I1401" s="181" t="s">
        <v>241</v>
      </c>
      <c r="J1401" s="267"/>
      <c r="K1401" s="269" t="n">
        <v>45965</v>
      </c>
      <c r="L1401" s="267" t="n">
        <v>1.7</v>
      </c>
      <c r="M1401" s="184" t="s">
        <v>3334</v>
      </c>
      <c r="N1401" s="184" t="n">
        <v>41600</v>
      </c>
      <c r="O1401" s="184" t="n">
        <v>15030</v>
      </c>
      <c r="P1401" s="185" t="n">
        <v>20</v>
      </c>
      <c r="Q1401" s="184" t="n">
        <v>26570</v>
      </c>
      <c r="R1401" s="184" t="n">
        <v>21256</v>
      </c>
      <c r="S1401" s="184" t="s">
        <v>3209</v>
      </c>
      <c r="T1401" s="187" t="n">
        <v>45966</v>
      </c>
    </row>
    <row r="1402" customFormat="false" ht="43.5" hidden="true" customHeight="true" outlineLevel="0" collapsed="false">
      <c r="A1402" s="181" t="s">
        <v>3214</v>
      </c>
      <c r="B1402" s="182" t="n">
        <v>2938</v>
      </c>
      <c r="C1402" s="183" t="n">
        <v>8325</v>
      </c>
      <c r="D1402" s="181" t="s">
        <v>2066</v>
      </c>
      <c r="E1402" s="181" t="s">
        <v>300</v>
      </c>
      <c r="F1402" s="181" t="s">
        <v>301</v>
      </c>
      <c r="G1402" s="181" t="s">
        <v>3334</v>
      </c>
      <c r="H1402" s="181" t="s">
        <v>158</v>
      </c>
      <c r="I1402" s="181" t="s">
        <v>241</v>
      </c>
      <c r="J1402" s="267"/>
      <c r="K1402" s="269" t="n">
        <v>45965</v>
      </c>
      <c r="L1402" s="267" t="n">
        <v>2.7</v>
      </c>
      <c r="M1402" s="184" t="s">
        <v>3334</v>
      </c>
      <c r="N1402" s="184" t="n">
        <v>63940</v>
      </c>
      <c r="O1402" s="184" t="n">
        <v>21240</v>
      </c>
      <c r="P1402" s="185" t="n">
        <v>7</v>
      </c>
      <c r="Q1402" s="184" t="n">
        <v>42700</v>
      </c>
      <c r="R1402" s="184" t="n">
        <v>39711</v>
      </c>
      <c r="S1402" s="184" t="s">
        <v>3215</v>
      </c>
      <c r="T1402" s="187" t="n">
        <v>45966</v>
      </c>
    </row>
    <row r="1403" customFormat="false" ht="43.5" hidden="true" customHeight="true" outlineLevel="0" collapsed="false">
      <c r="A1403" s="181" t="s">
        <v>3216</v>
      </c>
      <c r="B1403" s="182" t="n">
        <v>2952</v>
      </c>
      <c r="C1403" s="183" t="n">
        <v>319</v>
      </c>
      <c r="D1403" s="181" t="s">
        <v>2401</v>
      </c>
      <c r="E1403" s="181" t="s">
        <v>1646</v>
      </c>
      <c r="F1403" s="181" t="s">
        <v>1647</v>
      </c>
      <c r="G1403" s="181" t="s">
        <v>3217</v>
      </c>
      <c r="H1403" s="181" t="s">
        <v>279</v>
      </c>
      <c r="I1403" s="181" t="s">
        <v>242</v>
      </c>
      <c r="J1403" s="267"/>
      <c r="K1403" s="269" t="n">
        <v>45966</v>
      </c>
      <c r="L1403" s="267" t="n">
        <v>0.8</v>
      </c>
      <c r="M1403" s="184" t="s">
        <v>3217</v>
      </c>
      <c r="N1403" s="184" t="n">
        <v>27770</v>
      </c>
      <c r="O1403" s="184" t="n">
        <v>14360</v>
      </c>
      <c r="P1403" s="185" t="n">
        <v>22</v>
      </c>
      <c r="Q1403" s="184" t="n">
        <v>13410</v>
      </c>
      <c r="R1403" s="184" t="n">
        <v>10459.8</v>
      </c>
      <c r="S1403" s="184" t="s">
        <v>3218</v>
      </c>
      <c r="T1403" s="187" t="n">
        <v>45966</v>
      </c>
    </row>
    <row r="1404" customFormat="false" ht="43.5" hidden="true" customHeight="true" outlineLevel="0" collapsed="false">
      <c r="A1404" s="181" t="s">
        <v>3219</v>
      </c>
      <c r="B1404" s="182" t="n">
        <v>2941</v>
      </c>
      <c r="C1404" s="183" t="n">
        <v>8326</v>
      </c>
      <c r="D1404" s="181" t="s">
        <v>2066</v>
      </c>
      <c r="E1404" s="181" t="s">
        <v>373</v>
      </c>
      <c r="F1404" s="181" t="s">
        <v>374</v>
      </c>
      <c r="G1404" s="181" t="s">
        <v>3334</v>
      </c>
      <c r="H1404" s="181" t="s">
        <v>158</v>
      </c>
      <c r="I1404" s="181" t="s">
        <v>241</v>
      </c>
      <c r="J1404" s="267"/>
      <c r="K1404" s="269" t="n">
        <v>45965</v>
      </c>
      <c r="L1404" s="267" t="n">
        <v>1.9</v>
      </c>
      <c r="M1404" s="184" t="s">
        <v>3334</v>
      </c>
      <c r="N1404" s="184" t="n">
        <v>44150</v>
      </c>
      <c r="O1404" s="184" t="n">
        <v>14480</v>
      </c>
      <c r="P1404" s="185" t="n">
        <v>14</v>
      </c>
      <c r="Q1404" s="184" t="n">
        <v>29670</v>
      </c>
      <c r="R1404" s="184" t="n">
        <v>25516.2</v>
      </c>
      <c r="S1404" s="184" t="s">
        <v>3220</v>
      </c>
      <c r="T1404" s="187" t="n">
        <v>45966</v>
      </c>
    </row>
    <row r="1405" customFormat="false" ht="43.5" hidden="true" customHeight="true" outlineLevel="0" collapsed="false">
      <c r="A1405" s="181" t="s">
        <v>3196</v>
      </c>
      <c r="B1405" s="182" t="n">
        <v>2947</v>
      </c>
      <c r="C1405" s="183" t="n">
        <v>8327</v>
      </c>
      <c r="D1405" s="181" t="s">
        <v>2066</v>
      </c>
      <c r="E1405" s="181" t="s">
        <v>383</v>
      </c>
      <c r="F1405" s="181" t="s">
        <v>384</v>
      </c>
      <c r="G1405" s="181" t="s">
        <v>3334</v>
      </c>
      <c r="H1405" s="181" t="s">
        <v>158</v>
      </c>
      <c r="I1405" s="181" t="s">
        <v>241</v>
      </c>
      <c r="J1405" s="267"/>
      <c r="K1405" s="269" t="n">
        <v>45966</v>
      </c>
      <c r="L1405" s="267" t="n">
        <v>1.9</v>
      </c>
      <c r="M1405" s="184" t="s">
        <v>3334</v>
      </c>
      <c r="N1405" s="184" t="n">
        <v>42180</v>
      </c>
      <c r="O1405" s="184" t="n">
        <v>14980</v>
      </c>
      <c r="P1405" s="185" t="n">
        <v>24</v>
      </c>
      <c r="Q1405" s="184" t="n">
        <v>27200</v>
      </c>
      <c r="R1405" s="184" t="n">
        <v>20672</v>
      </c>
      <c r="S1405" s="184" t="s">
        <v>3197</v>
      </c>
      <c r="T1405" s="187" t="n">
        <v>45966</v>
      </c>
    </row>
    <row r="1406" customFormat="false" ht="43.5" hidden="true" customHeight="true" outlineLevel="0" collapsed="false">
      <c r="A1406" s="181" t="s">
        <v>3198</v>
      </c>
      <c r="B1406" s="182" t="n">
        <v>2948</v>
      </c>
      <c r="C1406" s="183" t="n">
        <v>8328</v>
      </c>
      <c r="D1406" s="181" t="s">
        <v>2066</v>
      </c>
      <c r="E1406" s="181" t="s">
        <v>387</v>
      </c>
      <c r="F1406" s="181" t="s">
        <v>388</v>
      </c>
      <c r="G1406" s="181" t="s">
        <v>3334</v>
      </c>
      <c r="H1406" s="181" t="s">
        <v>158</v>
      </c>
      <c r="I1406" s="181" t="s">
        <v>241</v>
      </c>
      <c r="J1406" s="267"/>
      <c r="K1406" s="269" t="n">
        <v>45966</v>
      </c>
      <c r="L1406" s="267" t="n">
        <v>2.1</v>
      </c>
      <c r="M1406" s="184" t="s">
        <v>3334</v>
      </c>
      <c r="N1406" s="184" t="n">
        <v>46070</v>
      </c>
      <c r="O1406" s="184" t="n">
        <v>15250</v>
      </c>
      <c r="P1406" s="185" t="n">
        <v>27</v>
      </c>
      <c r="Q1406" s="184" t="n">
        <v>30820</v>
      </c>
      <c r="R1406" s="184" t="n">
        <v>22498.6</v>
      </c>
      <c r="S1406" s="184" t="s">
        <v>3199</v>
      </c>
      <c r="T1406" s="187" t="n">
        <v>45966</v>
      </c>
    </row>
    <row r="1407" customFormat="false" ht="43.5" hidden="true" customHeight="true" outlineLevel="0" collapsed="false">
      <c r="A1407" s="181" t="s">
        <v>3206</v>
      </c>
      <c r="B1407" s="182" t="n">
        <v>2951</v>
      </c>
      <c r="C1407" s="183" t="n">
        <v>8329</v>
      </c>
      <c r="D1407" s="181" t="s">
        <v>2066</v>
      </c>
      <c r="E1407" s="181" t="s">
        <v>582</v>
      </c>
      <c r="F1407" s="181" t="s">
        <v>583</v>
      </c>
      <c r="G1407" s="181" t="s">
        <v>3334</v>
      </c>
      <c r="H1407" s="181" t="s">
        <v>158</v>
      </c>
      <c r="I1407" s="181" t="s">
        <v>241</v>
      </c>
      <c r="J1407" s="267"/>
      <c r="K1407" s="269" t="n">
        <v>45966</v>
      </c>
      <c r="L1407" s="267" t="n">
        <v>2</v>
      </c>
      <c r="M1407" s="184" t="s">
        <v>3334</v>
      </c>
      <c r="N1407" s="184" t="n">
        <v>43320</v>
      </c>
      <c r="O1407" s="184" t="n">
        <v>15010</v>
      </c>
      <c r="P1407" s="185" t="n">
        <v>20</v>
      </c>
      <c r="Q1407" s="184" t="n">
        <v>28310</v>
      </c>
      <c r="R1407" s="184" t="n">
        <v>22648</v>
      </c>
      <c r="S1407" s="184" t="s">
        <v>3207</v>
      </c>
      <c r="T1407" s="187" t="n">
        <v>45966</v>
      </c>
    </row>
    <row r="1408" customFormat="false" ht="43.5" hidden="true" customHeight="true" outlineLevel="0" collapsed="false">
      <c r="A1408" s="181" t="s">
        <v>3210</v>
      </c>
      <c r="B1408" s="182" t="n">
        <v>2953</v>
      </c>
      <c r="C1408" s="183" t="n">
        <v>8330</v>
      </c>
      <c r="D1408" s="181" t="s">
        <v>2066</v>
      </c>
      <c r="E1408" s="181" t="s">
        <v>272</v>
      </c>
      <c r="F1408" s="181" t="s">
        <v>273</v>
      </c>
      <c r="G1408" s="181" t="s">
        <v>3334</v>
      </c>
      <c r="H1408" s="181" t="s">
        <v>158</v>
      </c>
      <c r="I1408" s="181" t="s">
        <v>241</v>
      </c>
      <c r="J1408" s="267"/>
      <c r="K1408" s="269" t="n">
        <v>45966</v>
      </c>
      <c r="L1408" s="267" t="n">
        <v>1.7</v>
      </c>
      <c r="M1408" s="184" t="s">
        <v>3334</v>
      </c>
      <c r="N1408" s="184" t="n">
        <v>40390</v>
      </c>
      <c r="O1408" s="184" t="n">
        <v>15640</v>
      </c>
      <c r="P1408" s="185" t="n">
        <v>18</v>
      </c>
      <c r="Q1408" s="184" t="n">
        <v>24750</v>
      </c>
      <c r="R1408" s="184" t="n">
        <v>20295</v>
      </c>
      <c r="S1408" s="184" t="s">
        <v>3211</v>
      </c>
      <c r="T1408" s="187" t="n">
        <v>45966</v>
      </c>
    </row>
    <row r="1409" customFormat="false" ht="43.5" hidden="true" customHeight="true" outlineLevel="0" collapsed="false">
      <c r="A1409" s="181" t="s">
        <v>3212</v>
      </c>
      <c r="B1409" s="182" t="n">
        <v>2954</v>
      </c>
      <c r="C1409" s="183" t="n">
        <v>8333</v>
      </c>
      <c r="D1409" s="181" t="s">
        <v>2066</v>
      </c>
      <c r="E1409" s="181" t="s">
        <v>282</v>
      </c>
      <c r="F1409" s="181" t="s">
        <v>283</v>
      </c>
      <c r="G1409" s="181" t="s">
        <v>3334</v>
      </c>
      <c r="H1409" s="181" t="s">
        <v>158</v>
      </c>
      <c r="I1409" s="181" t="s">
        <v>241</v>
      </c>
      <c r="J1409" s="267"/>
      <c r="K1409" s="269" t="n">
        <v>45966</v>
      </c>
      <c r="L1409" s="267" t="n">
        <v>1.8</v>
      </c>
      <c r="M1409" s="184" t="s">
        <v>3334</v>
      </c>
      <c r="N1409" s="184" t="n">
        <v>40920</v>
      </c>
      <c r="O1409" s="184" t="n">
        <v>15110</v>
      </c>
      <c r="P1409" s="185" t="n">
        <v>24</v>
      </c>
      <c r="Q1409" s="184" t="n">
        <v>25810</v>
      </c>
      <c r="R1409" s="184" t="n">
        <v>19615.6</v>
      </c>
      <c r="S1409" s="184" t="s">
        <v>3213</v>
      </c>
      <c r="T1409" s="187" t="n">
        <v>45966</v>
      </c>
    </row>
    <row r="1410" customFormat="false" ht="43.5" hidden="true" customHeight="true" outlineLevel="0" collapsed="false">
      <c r="A1410" s="181" t="s">
        <v>3221</v>
      </c>
      <c r="B1410" s="182" t="n">
        <v>2956</v>
      </c>
      <c r="C1410" s="183" t="n">
        <v>8334</v>
      </c>
      <c r="D1410" s="181" t="s">
        <v>2066</v>
      </c>
      <c r="E1410" s="181" t="s">
        <v>336</v>
      </c>
      <c r="F1410" s="181" t="s">
        <v>337</v>
      </c>
      <c r="G1410" s="181" t="s">
        <v>3334</v>
      </c>
      <c r="H1410" s="181" t="s">
        <v>158</v>
      </c>
      <c r="I1410" s="181" t="s">
        <v>241</v>
      </c>
      <c r="J1410" s="267"/>
      <c r="K1410" s="269" t="n">
        <v>45966</v>
      </c>
      <c r="L1410" s="267" t="n">
        <v>1.8</v>
      </c>
      <c r="M1410" s="184" t="s">
        <v>3334</v>
      </c>
      <c r="N1410" s="184" t="n">
        <v>40240</v>
      </c>
      <c r="O1410" s="184" t="n">
        <v>14610</v>
      </c>
      <c r="P1410" s="185" t="n">
        <v>18</v>
      </c>
      <c r="Q1410" s="184" t="n">
        <v>25630</v>
      </c>
      <c r="R1410" s="184" t="n">
        <v>21016.6</v>
      </c>
      <c r="S1410" s="184" t="s">
        <v>3222</v>
      </c>
      <c r="T1410" s="187" t="n">
        <v>45966</v>
      </c>
    </row>
    <row r="1411" customFormat="false" ht="43.5" hidden="true" customHeight="true" outlineLevel="0" collapsed="false">
      <c r="A1411" s="181" t="s">
        <v>3223</v>
      </c>
      <c r="B1411" s="182" t="n">
        <v>2957</v>
      </c>
      <c r="C1411" s="183" t="n">
        <v>8335</v>
      </c>
      <c r="D1411" s="181" t="s">
        <v>2066</v>
      </c>
      <c r="E1411" s="181" t="s">
        <v>340</v>
      </c>
      <c r="F1411" s="181" t="s">
        <v>341</v>
      </c>
      <c r="G1411" s="181" t="s">
        <v>3334</v>
      </c>
      <c r="H1411" s="181" t="s">
        <v>158</v>
      </c>
      <c r="I1411" s="181" t="s">
        <v>241</v>
      </c>
      <c r="J1411" s="267"/>
      <c r="K1411" s="269" t="n">
        <v>45966</v>
      </c>
      <c r="L1411" s="267" t="n">
        <v>1.9</v>
      </c>
      <c r="M1411" s="184" t="s">
        <v>3334</v>
      </c>
      <c r="N1411" s="184" t="n">
        <v>41950</v>
      </c>
      <c r="O1411" s="184" t="n">
        <v>15140</v>
      </c>
      <c r="P1411" s="185" t="n">
        <v>11</v>
      </c>
      <c r="Q1411" s="184" t="n">
        <v>26810</v>
      </c>
      <c r="R1411" s="184" t="n">
        <v>23860.9</v>
      </c>
      <c r="S1411" s="184" t="s">
        <v>3224</v>
      </c>
      <c r="T1411" s="187" t="n">
        <v>45966</v>
      </c>
    </row>
    <row r="1412" customFormat="false" ht="43.5" hidden="true" customHeight="true" outlineLevel="0" collapsed="false">
      <c r="A1412" s="181" t="s">
        <v>3225</v>
      </c>
      <c r="B1412" s="182" t="n">
        <v>2958</v>
      </c>
      <c r="C1412" s="183" t="n">
        <v>8337</v>
      </c>
      <c r="D1412" s="181" t="s">
        <v>2066</v>
      </c>
      <c r="E1412" s="181" t="s">
        <v>288</v>
      </c>
      <c r="F1412" s="181" t="s">
        <v>289</v>
      </c>
      <c r="G1412" s="181" t="s">
        <v>3334</v>
      </c>
      <c r="H1412" s="181" t="s">
        <v>158</v>
      </c>
      <c r="I1412" s="181" t="s">
        <v>241</v>
      </c>
      <c r="J1412" s="267"/>
      <c r="K1412" s="269" t="n">
        <v>45966</v>
      </c>
      <c r="L1412" s="267" t="n">
        <v>1.7</v>
      </c>
      <c r="M1412" s="184" t="s">
        <v>3334</v>
      </c>
      <c r="N1412" s="184" t="n">
        <v>39290</v>
      </c>
      <c r="O1412" s="184" t="n">
        <v>14770</v>
      </c>
      <c r="P1412" s="185" t="n">
        <v>25</v>
      </c>
      <c r="Q1412" s="184" t="n">
        <v>24520</v>
      </c>
      <c r="R1412" s="184" t="n">
        <v>18390</v>
      </c>
      <c r="S1412" s="184" t="s">
        <v>3226</v>
      </c>
      <c r="T1412" s="187" t="n">
        <v>45967</v>
      </c>
    </row>
    <row r="1413" customFormat="false" ht="43.5" hidden="true" customHeight="true" outlineLevel="0" collapsed="false">
      <c r="A1413" s="181" t="s">
        <v>3233</v>
      </c>
      <c r="B1413" s="182" t="n">
        <v>2959</v>
      </c>
      <c r="C1413" s="183" t="n">
        <v>8339</v>
      </c>
      <c r="D1413" s="181" t="s">
        <v>2066</v>
      </c>
      <c r="E1413" s="181" t="s">
        <v>409</v>
      </c>
      <c r="F1413" s="181" t="s">
        <v>410</v>
      </c>
      <c r="G1413" s="181" t="s">
        <v>3334</v>
      </c>
      <c r="H1413" s="181" t="s">
        <v>158</v>
      </c>
      <c r="I1413" s="181" t="s">
        <v>241</v>
      </c>
      <c r="J1413" s="267"/>
      <c r="K1413" s="269" t="n">
        <v>45966</v>
      </c>
      <c r="L1413" s="267" t="n">
        <v>2.9</v>
      </c>
      <c r="M1413" s="184" t="s">
        <v>3334</v>
      </c>
      <c r="N1413" s="184" t="n">
        <v>66540</v>
      </c>
      <c r="O1413" s="184" t="n">
        <v>24550</v>
      </c>
      <c r="P1413" s="185" t="n">
        <v>20</v>
      </c>
      <c r="Q1413" s="184" t="n">
        <v>41990</v>
      </c>
      <c r="R1413" s="184" t="n">
        <v>33592</v>
      </c>
      <c r="S1413" s="184" t="s">
        <v>3234</v>
      </c>
      <c r="T1413" s="187" t="n">
        <v>45967</v>
      </c>
    </row>
    <row r="1414" customFormat="false" ht="43.5" hidden="true" customHeight="true" outlineLevel="0" collapsed="false">
      <c r="A1414" s="181" t="s">
        <v>3235</v>
      </c>
      <c r="B1414" s="182" t="n">
        <v>2960</v>
      </c>
      <c r="C1414" s="183" t="n">
        <v>8342</v>
      </c>
      <c r="D1414" s="181" t="s">
        <v>2066</v>
      </c>
      <c r="E1414" s="181" t="s">
        <v>545</v>
      </c>
      <c r="F1414" s="181" t="s">
        <v>546</v>
      </c>
      <c r="G1414" s="181" t="s">
        <v>3334</v>
      </c>
      <c r="H1414" s="181" t="s">
        <v>158</v>
      </c>
      <c r="I1414" s="181" t="s">
        <v>241</v>
      </c>
      <c r="J1414" s="267"/>
      <c r="K1414" s="269" t="n">
        <v>45966</v>
      </c>
      <c r="L1414" s="267" t="n">
        <v>1.9</v>
      </c>
      <c r="M1414" s="184" t="s">
        <v>3334</v>
      </c>
      <c r="N1414" s="184" t="n">
        <v>43090</v>
      </c>
      <c r="O1414" s="184" t="n">
        <v>16200</v>
      </c>
      <c r="P1414" s="185" t="n">
        <v>8</v>
      </c>
      <c r="Q1414" s="184" t="n">
        <v>26890</v>
      </c>
      <c r="R1414" s="184" t="n">
        <v>24738.8</v>
      </c>
      <c r="S1414" s="184" t="s">
        <v>3236</v>
      </c>
      <c r="T1414" s="187" t="n">
        <v>45967</v>
      </c>
    </row>
    <row r="1415" customFormat="false" ht="43.5" hidden="true" customHeight="true" outlineLevel="0" collapsed="false">
      <c r="A1415" s="181" t="s">
        <v>3241</v>
      </c>
      <c r="B1415" s="182" t="n">
        <v>2961</v>
      </c>
      <c r="C1415" s="183" t="n">
        <v>8340</v>
      </c>
      <c r="D1415" s="181" t="s">
        <v>2066</v>
      </c>
      <c r="E1415" s="181" t="s">
        <v>354</v>
      </c>
      <c r="F1415" s="181" t="s">
        <v>355</v>
      </c>
      <c r="G1415" s="181" t="s">
        <v>3334</v>
      </c>
      <c r="H1415" s="181" t="s">
        <v>158</v>
      </c>
      <c r="I1415" s="181" t="s">
        <v>241</v>
      </c>
      <c r="J1415" s="267"/>
      <c r="K1415" s="269" t="n">
        <v>45966</v>
      </c>
      <c r="L1415" s="267" t="n">
        <v>1.8</v>
      </c>
      <c r="M1415" s="184" t="s">
        <v>3334</v>
      </c>
      <c r="N1415" s="184" t="n">
        <v>40410</v>
      </c>
      <c r="O1415" s="184" t="n">
        <v>14810</v>
      </c>
      <c r="P1415" s="185" t="n">
        <v>27</v>
      </c>
      <c r="Q1415" s="184" t="n">
        <v>25600</v>
      </c>
      <c r="R1415" s="184" t="n">
        <v>18688</v>
      </c>
      <c r="S1415" s="184" t="s">
        <v>3242</v>
      </c>
      <c r="T1415" s="187" t="n">
        <v>45967</v>
      </c>
    </row>
    <row r="1416" customFormat="false" ht="43.5" hidden="true" customHeight="true" outlineLevel="0" collapsed="false">
      <c r="A1416" s="181" t="s">
        <v>3243</v>
      </c>
      <c r="B1416" s="182" t="n">
        <v>2962</v>
      </c>
      <c r="C1416" s="183" t="n">
        <v>8341</v>
      </c>
      <c r="D1416" s="181" t="s">
        <v>2066</v>
      </c>
      <c r="E1416" s="181" t="s">
        <v>359</v>
      </c>
      <c r="F1416" s="181" t="s">
        <v>360</v>
      </c>
      <c r="G1416" s="181" t="s">
        <v>3334</v>
      </c>
      <c r="H1416" s="181" t="s">
        <v>158</v>
      </c>
      <c r="I1416" s="181" t="s">
        <v>241</v>
      </c>
      <c r="J1416" s="267"/>
      <c r="K1416" s="269" t="n">
        <v>45966</v>
      </c>
      <c r="L1416" s="267" t="n">
        <v>1.6</v>
      </c>
      <c r="M1416" s="184" t="s">
        <v>3334</v>
      </c>
      <c r="N1416" s="184" t="n">
        <v>38670</v>
      </c>
      <c r="O1416" s="184" t="n">
        <v>14980</v>
      </c>
      <c r="P1416" s="185" t="n">
        <v>27</v>
      </c>
      <c r="Q1416" s="184" t="n">
        <v>23690</v>
      </c>
      <c r="R1416" s="184" t="n">
        <v>17293.7</v>
      </c>
      <c r="S1416" s="184" t="s">
        <v>3244</v>
      </c>
      <c r="T1416" s="187" t="n">
        <v>45967</v>
      </c>
    </row>
    <row r="1417" customFormat="false" ht="43.5" hidden="true" customHeight="true" outlineLevel="0" collapsed="false">
      <c r="A1417" s="181" t="s">
        <v>3245</v>
      </c>
      <c r="B1417" s="182" t="n">
        <v>2963</v>
      </c>
      <c r="C1417" s="183" t="n">
        <v>8344</v>
      </c>
      <c r="D1417" s="181" t="s">
        <v>2066</v>
      </c>
      <c r="E1417" s="181" t="s">
        <v>576</v>
      </c>
      <c r="F1417" s="181" t="s">
        <v>577</v>
      </c>
      <c r="G1417" s="181" t="s">
        <v>3334</v>
      </c>
      <c r="H1417" s="181" t="s">
        <v>158</v>
      </c>
      <c r="I1417" s="181" t="s">
        <v>241</v>
      </c>
      <c r="J1417" s="267"/>
      <c r="K1417" s="269" t="n">
        <v>45966</v>
      </c>
      <c r="L1417" s="267" t="n">
        <v>1.7</v>
      </c>
      <c r="M1417" s="184" t="s">
        <v>3334</v>
      </c>
      <c r="N1417" s="184" t="n">
        <v>39440</v>
      </c>
      <c r="O1417" s="184" t="n">
        <v>14550</v>
      </c>
      <c r="P1417" s="185" t="n">
        <v>30</v>
      </c>
      <c r="Q1417" s="184" t="n">
        <v>24890</v>
      </c>
      <c r="R1417" s="184" t="n">
        <v>17423</v>
      </c>
      <c r="S1417" s="184" t="s">
        <v>3246</v>
      </c>
      <c r="T1417" s="187" t="n">
        <v>45967</v>
      </c>
    </row>
    <row r="1418" customFormat="false" ht="43.5" hidden="true" customHeight="true" outlineLevel="0" collapsed="false">
      <c r="A1418" s="181" t="s">
        <v>3247</v>
      </c>
      <c r="B1418" s="182" t="n">
        <v>2964</v>
      </c>
      <c r="C1418" s="183" t="n">
        <v>8345</v>
      </c>
      <c r="D1418" s="181" t="s">
        <v>2066</v>
      </c>
      <c r="E1418" s="181" t="s">
        <v>261</v>
      </c>
      <c r="F1418" s="181" t="s">
        <v>262</v>
      </c>
      <c r="G1418" s="181" t="s">
        <v>3334</v>
      </c>
      <c r="H1418" s="181" t="s">
        <v>158</v>
      </c>
      <c r="I1418" s="181" t="s">
        <v>241</v>
      </c>
      <c r="J1418" s="267"/>
      <c r="K1418" s="269" t="n">
        <v>45966</v>
      </c>
      <c r="L1418" s="267" t="n">
        <v>1.7</v>
      </c>
      <c r="M1418" s="184" t="s">
        <v>3334</v>
      </c>
      <c r="N1418" s="184" t="n">
        <v>39310</v>
      </c>
      <c r="O1418" s="184" t="n">
        <v>15230</v>
      </c>
      <c r="P1418" s="185" t="n">
        <v>14</v>
      </c>
      <c r="Q1418" s="184" t="n">
        <v>24080</v>
      </c>
      <c r="R1418" s="184" t="n">
        <v>20708.8</v>
      </c>
      <c r="S1418" s="184" t="s">
        <v>3248</v>
      </c>
      <c r="T1418" s="187" t="n">
        <v>45967</v>
      </c>
    </row>
    <row r="1419" customFormat="false" ht="43.5" hidden="true" customHeight="true" outlineLevel="0" collapsed="false">
      <c r="A1419" s="181" t="s">
        <v>3227</v>
      </c>
      <c r="B1419" s="182" t="n">
        <v>2967</v>
      </c>
      <c r="C1419" s="183" t="n">
        <v>8348</v>
      </c>
      <c r="D1419" s="181" t="s">
        <v>2066</v>
      </c>
      <c r="E1419" s="181" t="s">
        <v>541</v>
      </c>
      <c r="F1419" s="181" t="s">
        <v>542</v>
      </c>
      <c r="G1419" s="181" t="s">
        <v>3334</v>
      </c>
      <c r="H1419" s="181" t="s">
        <v>158</v>
      </c>
      <c r="I1419" s="181" t="s">
        <v>241</v>
      </c>
      <c r="J1419" s="267"/>
      <c r="K1419" s="269" t="n">
        <v>45966</v>
      </c>
      <c r="L1419" s="267" t="n">
        <v>1.8</v>
      </c>
      <c r="M1419" s="184" t="s">
        <v>3334</v>
      </c>
      <c r="N1419" s="184" t="n">
        <v>41120</v>
      </c>
      <c r="O1419" s="184" t="n">
        <v>15020</v>
      </c>
      <c r="P1419" s="185" t="n">
        <v>14</v>
      </c>
      <c r="Q1419" s="184" t="n">
        <v>26100</v>
      </c>
      <c r="R1419" s="184" t="n">
        <v>22446</v>
      </c>
      <c r="S1419" s="184" t="s">
        <v>3228</v>
      </c>
      <c r="T1419" s="187" t="n">
        <v>45967</v>
      </c>
    </row>
    <row r="1420" customFormat="false" ht="43.5" hidden="true" customHeight="true" outlineLevel="0" collapsed="false">
      <c r="A1420" s="181" t="s">
        <v>3229</v>
      </c>
      <c r="B1420" s="182" t="n">
        <v>2969</v>
      </c>
      <c r="C1420" s="183" t="n">
        <v>8353</v>
      </c>
      <c r="D1420" s="181" t="s">
        <v>2066</v>
      </c>
      <c r="E1420" s="181" t="s">
        <v>533</v>
      </c>
      <c r="F1420" s="181" t="s">
        <v>534</v>
      </c>
      <c r="G1420" s="181" t="s">
        <v>3334</v>
      </c>
      <c r="H1420" s="181" t="s">
        <v>158</v>
      </c>
      <c r="I1420" s="181" t="s">
        <v>241</v>
      </c>
      <c r="J1420" s="267"/>
      <c r="K1420" s="269" t="n">
        <v>45966</v>
      </c>
      <c r="L1420" s="267" t="n">
        <v>1.8</v>
      </c>
      <c r="M1420" s="184" t="s">
        <v>3334</v>
      </c>
      <c r="N1420" s="184" t="n">
        <v>40590</v>
      </c>
      <c r="O1420" s="184" t="n">
        <v>14790</v>
      </c>
      <c r="P1420" s="185" t="n">
        <v>13</v>
      </c>
      <c r="Q1420" s="184" t="n">
        <v>25800</v>
      </c>
      <c r="R1420" s="184" t="n">
        <v>22446</v>
      </c>
      <c r="S1420" s="184" t="s">
        <v>3230</v>
      </c>
      <c r="T1420" s="187" t="n">
        <v>45967</v>
      </c>
    </row>
    <row r="1421" customFormat="false" ht="35.05" hidden="true" customHeight="false" outlineLevel="0" collapsed="false">
      <c r="A1421" s="181" t="s">
        <v>3231</v>
      </c>
      <c r="B1421" s="182" t="n">
        <v>2970</v>
      </c>
      <c r="C1421" s="183" t="n">
        <v>8354</v>
      </c>
      <c r="D1421" s="181" t="s">
        <v>2066</v>
      </c>
      <c r="E1421" s="181" t="s">
        <v>537</v>
      </c>
      <c r="F1421" s="181" t="s">
        <v>538</v>
      </c>
      <c r="G1421" s="181" t="s">
        <v>3334</v>
      </c>
      <c r="H1421" s="181" t="s">
        <v>158</v>
      </c>
      <c r="I1421" s="181" t="s">
        <v>241</v>
      </c>
      <c r="J1421" s="267"/>
      <c r="K1421" s="269" t="n">
        <v>45967</v>
      </c>
      <c r="L1421" s="267" t="n">
        <v>1.2</v>
      </c>
      <c r="M1421" s="184" t="s">
        <v>3334</v>
      </c>
      <c r="N1421" s="184" t="n">
        <v>37050</v>
      </c>
      <c r="O1421" s="184" t="n">
        <v>14120</v>
      </c>
      <c r="P1421" s="185" t="n">
        <v>27</v>
      </c>
      <c r="Q1421" s="184" t="n">
        <v>22930</v>
      </c>
      <c r="R1421" s="184" t="n">
        <v>16738.9</v>
      </c>
      <c r="S1421" s="184" t="s">
        <v>3232</v>
      </c>
      <c r="T1421" s="187" t="n">
        <v>45967</v>
      </c>
    </row>
    <row r="1422" customFormat="false" ht="35.05" hidden="true" customHeight="false" outlineLevel="0" collapsed="false">
      <c r="A1422" s="181" t="s">
        <v>3237</v>
      </c>
      <c r="B1422" s="182" t="n">
        <v>2971</v>
      </c>
      <c r="C1422" s="183" t="n">
        <v>8010</v>
      </c>
      <c r="D1422" s="181" t="s">
        <v>2066</v>
      </c>
      <c r="E1422" s="181" t="s">
        <v>549</v>
      </c>
      <c r="F1422" s="181" t="s">
        <v>550</v>
      </c>
      <c r="G1422" s="181" t="s">
        <v>3334</v>
      </c>
      <c r="H1422" s="181" t="s">
        <v>158</v>
      </c>
      <c r="I1422" s="181" t="s">
        <v>241</v>
      </c>
      <c r="J1422" s="267"/>
      <c r="K1422" s="269" t="n">
        <v>45967</v>
      </c>
      <c r="L1422" s="267" t="n">
        <v>1.5</v>
      </c>
      <c r="M1422" s="184" t="s">
        <v>3334</v>
      </c>
      <c r="N1422" s="184" t="n">
        <v>43960</v>
      </c>
      <c r="O1422" s="184" t="n">
        <v>16200</v>
      </c>
      <c r="P1422" s="185" t="n">
        <v>13</v>
      </c>
      <c r="Q1422" s="184" t="n">
        <v>27760</v>
      </c>
      <c r="R1422" s="184" t="n">
        <v>24151.2</v>
      </c>
      <c r="S1422" s="184" t="s">
        <v>3238</v>
      </c>
      <c r="T1422" s="187" t="n">
        <v>45967</v>
      </c>
    </row>
    <row r="1423" customFormat="false" ht="35.05" hidden="true" customHeight="false" outlineLevel="0" collapsed="false">
      <c r="A1423" s="181" t="s">
        <v>3239</v>
      </c>
      <c r="B1423" s="182" t="n">
        <v>2972</v>
      </c>
      <c r="C1423" s="183" t="n">
        <v>8355</v>
      </c>
      <c r="D1423" s="181" t="s">
        <v>2066</v>
      </c>
      <c r="E1423" s="181" t="s">
        <v>399</v>
      </c>
      <c r="F1423" s="181" t="s">
        <v>400</v>
      </c>
      <c r="G1423" s="181" t="s">
        <v>3334</v>
      </c>
      <c r="H1423" s="181" t="s">
        <v>158</v>
      </c>
      <c r="I1423" s="181" t="s">
        <v>241</v>
      </c>
      <c r="J1423" s="267"/>
      <c r="K1423" s="269" t="n">
        <v>45967</v>
      </c>
      <c r="L1423" s="267" t="n">
        <v>1.8</v>
      </c>
      <c r="M1423" s="184" t="s">
        <v>3334</v>
      </c>
      <c r="N1423" s="184" t="n">
        <v>52590</v>
      </c>
      <c r="O1423" s="184" t="n">
        <v>19380</v>
      </c>
      <c r="P1423" s="185" t="n">
        <v>8</v>
      </c>
      <c r="Q1423" s="184" t="n">
        <v>33210</v>
      </c>
      <c r="R1423" s="184" t="n">
        <v>30553.2</v>
      </c>
      <c r="S1423" s="184" t="s">
        <v>3240</v>
      </c>
      <c r="T1423" s="187" t="n">
        <v>45967</v>
      </c>
    </row>
    <row r="1424" customFormat="false" ht="35.05" hidden="true" customHeight="false" outlineLevel="0" collapsed="false">
      <c r="A1424" s="181" t="s">
        <v>3249</v>
      </c>
      <c r="B1424" s="182" t="n">
        <v>2973</v>
      </c>
      <c r="C1424" s="183" t="n">
        <v>8387</v>
      </c>
      <c r="D1424" s="181" t="s">
        <v>2066</v>
      </c>
      <c r="E1424" s="181" t="s">
        <v>1019</v>
      </c>
      <c r="F1424" s="181" t="s">
        <v>1020</v>
      </c>
      <c r="G1424" s="181" t="s">
        <v>3334</v>
      </c>
      <c r="H1424" s="181" t="s">
        <v>158</v>
      </c>
      <c r="I1424" s="181" t="s">
        <v>241</v>
      </c>
      <c r="J1424" s="267"/>
      <c r="K1424" s="269" t="n">
        <v>45967</v>
      </c>
      <c r="L1424" s="267" t="n">
        <v>1.5</v>
      </c>
      <c r="M1424" s="184" t="s">
        <v>3334</v>
      </c>
      <c r="N1424" s="184" t="n">
        <v>45520</v>
      </c>
      <c r="O1424" s="184" t="n">
        <v>17120</v>
      </c>
      <c r="P1424" s="185" t="n">
        <v>5</v>
      </c>
      <c r="Q1424" s="184" t="n">
        <v>28400</v>
      </c>
      <c r="R1424" s="184" t="n">
        <v>26980</v>
      </c>
      <c r="S1424" s="184" t="s">
        <v>3250</v>
      </c>
      <c r="T1424" s="187" t="n">
        <v>45967</v>
      </c>
    </row>
    <row r="1425" customFormat="false" ht="23.85" hidden="true" customHeight="false" outlineLevel="0" collapsed="false">
      <c r="A1425" s="181" t="s">
        <v>3251</v>
      </c>
      <c r="B1425" s="182" t="n">
        <v>2984</v>
      </c>
      <c r="C1425" s="183" t="n">
        <v>328</v>
      </c>
      <c r="D1425" s="181" t="s">
        <v>2401</v>
      </c>
      <c r="E1425" s="181" t="s">
        <v>1646</v>
      </c>
      <c r="F1425" s="181" t="s">
        <v>1647</v>
      </c>
      <c r="G1425" s="181" t="s">
        <v>3217</v>
      </c>
      <c r="H1425" s="181" t="s">
        <v>279</v>
      </c>
      <c r="I1425" s="181" t="s">
        <v>242</v>
      </c>
      <c r="J1425" s="267"/>
      <c r="K1425" s="269" t="n">
        <v>45969</v>
      </c>
      <c r="L1425" s="267" t="n">
        <v>0.7</v>
      </c>
      <c r="M1425" s="184" t="s">
        <v>3217</v>
      </c>
      <c r="N1425" s="184" t="n">
        <v>28290</v>
      </c>
      <c r="O1425" s="184" t="n">
        <v>14290</v>
      </c>
      <c r="P1425" s="185" t="n">
        <v>25</v>
      </c>
      <c r="Q1425" s="184" t="n">
        <v>14000</v>
      </c>
      <c r="R1425" s="184" t="n">
        <v>10500</v>
      </c>
      <c r="S1425" s="184" t="s">
        <v>3252</v>
      </c>
      <c r="T1425" s="187" t="n">
        <v>45969</v>
      </c>
    </row>
    <row r="1426" customFormat="false" ht="35.05" hidden="true" customHeight="false" outlineLevel="0" collapsed="false">
      <c r="A1426" s="181" t="s">
        <v>3253</v>
      </c>
      <c r="B1426" s="182" t="n">
        <v>2986</v>
      </c>
      <c r="C1426" s="183" t="n">
        <v>320</v>
      </c>
      <c r="D1426" s="181" t="s">
        <v>2401</v>
      </c>
      <c r="E1426" s="181" t="s">
        <v>391</v>
      </c>
      <c r="F1426" s="181" t="s">
        <v>392</v>
      </c>
      <c r="G1426" s="181" t="s">
        <v>3217</v>
      </c>
      <c r="H1426" s="181" t="s">
        <v>279</v>
      </c>
      <c r="I1426" s="181" t="s">
        <v>242</v>
      </c>
      <c r="J1426" s="267"/>
      <c r="K1426" s="269" t="n">
        <v>45969</v>
      </c>
      <c r="L1426" s="267" t="n">
        <v>1</v>
      </c>
      <c r="M1426" s="184" t="s">
        <v>3217</v>
      </c>
      <c r="N1426" s="184" t="n">
        <v>34810</v>
      </c>
      <c r="O1426" s="184" t="n">
        <v>14650</v>
      </c>
      <c r="P1426" s="185" t="n">
        <v>24</v>
      </c>
      <c r="Q1426" s="184" t="n">
        <v>20160</v>
      </c>
      <c r="R1426" s="184" t="n">
        <v>15321.6</v>
      </c>
      <c r="S1426" s="184" t="s">
        <v>3254</v>
      </c>
      <c r="T1426" s="187" t="n">
        <v>45969</v>
      </c>
    </row>
    <row r="1427" customFormat="false" ht="23.85" hidden="true" customHeight="false" outlineLevel="0" collapsed="false">
      <c r="A1427" s="181" t="s">
        <v>3255</v>
      </c>
      <c r="B1427" s="182" t="n">
        <v>2987</v>
      </c>
      <c r="C1427" s="183" t="n">
        <v>321</v>
      </c>
      <c r="D1427" s="181" t="s">
        <v>2401</v>
      </c>
      <c r="E1427" s="181" t="s">
        <v>529</v>
      </c>
      <c r="F1427" s="181" t="s">
        <v>530</v>
      </c>
      <c r="G1427" s="181" t="s">
        <v>3217</v>
      </c>
      <c r="H1427" s="181" t="s">
        <v>279</v>
      </c>
      <c r="I1427" s="181" t="s">
        <v>242</v>
      </c>
      <c r="J1427" s="267"/>
      <c r="K1427" s="269" t="n">
        <v>45969</v>
      </c>
      <c r="L1427" s="267" t="n">
        <v>1.1</v>
      </c>
      <c r="M1427" s="184" t="s">
        <v>3217</v>
      </c>
      <c r="N1427" s="184" t="n">
        <v>35670</v>
      </c>
      <c r="O1427" s="184" t="n">
        <v>15010</v>
      </c>
      <c r="P1427" s="185" t="n">
        <v>29</v>
      </c>
      <c r="Q1427" s="184" t="n">
        <v>20660</v>
      </c>
      <c r="R1427" s="184" t="n">
        <v>14668.6</v>
      </c>
      <c r="S1427" s="184" t="s">
        <v>3256</v>
      </c>
      <c r="T1427" s="187" t="n">
        <v>45969</v>
      </c>
    </row>
    <row r="1428" customFormat="false" ht="23.85" hidden="true" customHeight="false" outlineLevel="0" collapsed="false">
      <c r="A1428" s="181" t="s">
        <v>3257</v>
      </c>
      <c r="B1428" s="182" t="n">
        <v>2989</v>
      </c>
      <c r="C1428" s="183" t="n">
        <v>322</v>
      </c>
      <c r="D1428" s="181" t="s">
        <v>2401</v>
      </c>
      <c r="E1428" s="181" t="s">
        <v>292</v>
      </c>
      <c r="F1428" s="181" t="s">
        <v>293</v>
      </c>
      <c r="G1428" s="181" t="s">
        <v>3217</v>
      </c>
      <c r="H1428" s="181" t="s">
        <v>279</v>
      </c>
      <c r="I1428" s="181" t="s">
        <v>242</v>
      </c>
      <c r="J1428" s="267"/>
      <c r="K1428" s="269" t="n">
        <v>45969</v>
      </c>
      <c r="L1428" s="267" t="n">
        <v>1.1</v>
      </c>
      <c r="M1428" s="184" t="s">
        <v>3217</v>
      </c>
      <c r="N1428" s="184" t="n">
        <v>35450</v>
      </c>
      <c r="O1428" s="184" t="n">
        <v>13920</v>
      </c>
      <c r="P1428" s="185" t="n">
        <v>29</v>
      </c>
      <c r="Q1428" s="184" t="n">
        <v>21530</v>
      </c>
      <c r="R1428" s="184" t="n">
        <v>15286.3</v>
      </c>
      <c r="S1428" s="184" t="s">
        <v>3258</v>
      </c>
      <c r="T1428" s="187" t="n">
        <v>45969</v>
      </c>
    </row>
    <row r="1429" customFormat="false" ht="35.05" hidden="true" customHeight="false" outlineLevel="0" collapsed="false">
      <c r="A1429" s="181" t="s">
        <v>3259</v>
      </c>
      <c r="B1429" s="182" t="n">
        <v>2990</v>
      </c>
      <c r="C1429" s="183" t="n">
        <v>323</v>
      </c>
      <c r="D1429" s="181" t="s">
        <v>2401</v>
      </c>
      <c r="E1429" s="181" t="s">
        <v>266</v>
      </c>
      <c r="F1429" s="181" t="s">
        <v>267</v>
      </c>
      <c r="G1429" s="181" t="s">
        <v>3217</v>
      </c>
      <c r="H1429" s="181" t="s">
        <v>279</v>
      </c>
      <c r="I1429" s="181" t="s">
        <v>242</v>
      </c>
      <c r="J1429" s="267"/>
      <c r="K1429" s="269" t="n">
        <v>45969</v>
      </c>
      <c r="L1429" s="267" t="n">
        <v>1.2</v>
      </c>
      <c r="M1429" s="184" t="s">
        <v>3217</v>
      </c>
      <c r="N1429" s="184" t="n">
        <v>38240</v>
      </c>
      <c r="O1429" s="184" t="n">
        <v>15010</v>
      </c>
      <c r="P1429" s="185" t="n">
        <v>25</v>
      </c>
      <c r="Q1429" s="184" t="n">
        <v>23230</v>
      </c>
      <c r="R1429" s="184" t="n">
        <v>17422.5</v>
      </c>
      <c r="S1429" s="184" t="s">
        <v>3260</v>
      </c>
      <c r="T1429" s="187" t="n">
        <v>45969</v>
      </c>
    </row>
    <row r="1430" customFormat="false" ht="35.05" hidden="true" customHeight="false" outlineLevel="0" collapsed="false">
      <c r="A1430" s="181" t="s">
        <v>3261</v>
      </c>
      <c r="B1430" s="182" t="n">
        <v>2991</v>
      </c>
      <c r="C1430" s="183" t="n">
        <v>324</v>
      </c>
      <c r="D1430" s="181" t="s">
        <v>2401</v>
      </c>
      <c r="E1430" s="181" t="s">
        <v>576</v>
      </c>
      <c r="F1430" s="181" t="s">
        <v>577</v>
      </c>
      <c r="G1430" s="181" t="s">
        <v>3217</v>
      </c>
      <c r="H1430" s="181" t="s">
        <v>279</v>
      </c>
      <c r="I1430" s="181" t="s">
        <v>242</v>
      </c>
      <c r="J1430" s="267"/>
      <c r="K1430" s="269" t="n">
        <v>45969</v>
      </c>
      <c r="L1430" s="267" t="n">
        <v>1.2</v>
      </c>
      <c r="M1430" s="184" t="s">
        <v>3217</v>
      </c>
      <c r="N1430" s="184" t="n">
        <v>37440</v>
      </c>
      <c r="O1430" s="184" t="n">
        <v>14610</v>
      </c>
      <c r="P1430" s="185" t="n">
        <v>32</v>
      </c>
      <c r="Q1430" s="184" t="n">
        <v>22830</v>
      </c>
      <c r="R1430" s="184" t="n">
        <v>15524.4</v>
      </c>
      <c r="S1430" s="184" t="s">
        <v>3262</v>
      </c>
      <c r="T1430" s="187" t="n">
        <v>45969</v>
      </c>
    </row>
    <row r="1431" customFormat="false" ht="35.05" hidden="true" customHeight="false" outlineLevel="0" collapsed="false">
      <c r="A1431" s="181" t="s">
        <v>3263</v>
      </c>
      <c r="B1431" s="182" t="n">
        <v>2992</v>
      </c>
      <c r="C1431" s="183" t="n">
        <v>325</v>
      </c>
      <c r="D1431" s="181" t="s">
        <v>2401</v>
      </c>
      <c r="E1431" s="181" t="s">
        <v>261</v>
      </c>
      <c r="F1431" s="181" t="s">
        <v>262</v>
      </c>
      <c r="G1431" s="181" t="s">
        <v>3217</v>
      </c>
      <c r="H1431" s="181" t="s">
        <v>279</v>
      </c>
      <c r="I1431" s="181" t="s">
        <v>242</v>
      </c>
      <c r="J1431" s="267"/>
      <c r="K1431" s="269" t="n">
        <v>45969</v>
      </c>
      <c r="L1431" s="267" t="n">
        <v>1.2</v>
      </c>
      <c r="M1431" s="184" t="s">
        <v>3217</v>
      </c>
      <c r="N1431" s="184" t="n">
        <v>37700</v>
      </c>
      <c r="O1431" s="184" t="n">
        <v>15250</v>
      </c>
      <c r="P1431" s="185" t="n">
        <v>35</v>
      </c>
      <c r="Q1431" s="184" t="n">
        <v>22450</v>
      </c>
      <c r="R1431" s="184" t="n">
        <v>14592.5</v>
      </c>
      <c r="S1431" s="184" t="s">
        <v>3264</v>
      </c>
      <c r="T1431" s="187" t="n">
        <v>45969</v>
      </c>
    </row>
    <row r="1432" customFormat="false" ht="46.25" hidden="true" customHeight="false" outlineLevel="0" collapsed="false">
      <c r="A1432" s="181" t="s">
        <v>3265</v>
      </c>
      <c r="B1432" s="182" t="n">
        <v>2993</v>
      </c>
      <c r="C1432" s="183" t="n">
        <v>326</v>
      </c>
      <c r="D1432" s="181" t="s">
        <v>2401</v>
      </c>
      <c r="E1432" s="181" t="s">
        <v>282</v>
      </c>
      <c r="F1432" s="181" t="s">
        <v>283</v>
      </c>
      <c r="G1432" s="181" t="s">
        <v>3217</v>
      </c>
      <c r="H1432" s="181" t="s">
        <v>279</v>
      </c>
      <c r="I1432" s="181" t="s">
        <v>242</v>
      </c>
      <c r="J1432" s="267"/>
      <c r="K1432" s="269" t="n">
        <v>45969</v>
      </c>
      <c r="L1432" s="267" t="n">
        <v>1.2</v>
      </c>
      <c r="M1432" s="184" t="s">
        <v>3217</v>
      </c>
      <c r="N1432" s="184" t="n">
        <v>38530</v>
      </c>
      <c r="O1432" s="184" t="n">
        <v>15180</v>
      </c>
      <c r="P1432" s="185" t="n">
        <v>23</v>
      </c>
      <c r="Q1432" s="184" t="n">
        <v>23350</v>
      </c>
      <c r="R1432" s="184" t="n">
        <v>17979.5</v>
      </c>
      <c r="S1432" s="184" t="s">
        <v>3266</v>
      </c>
      <c r="T1432" s="187" t="n">
        <v>45969</v>
      </c>
    </row>
    <row r="1433" customFormat="false" ht="35.05" hidden="true" customHeight="false" outlineLevel="0" collapsed="false">
      <c r="A1433" s="181" t="s">
        <v>3267</v>
      </c>
      <c r="B1433" s="182" t="n">
        <v>2994</v>
      </c>
      <c r="C1433" s="183" t="n">
        <v>327</v>
      </c>
      <c r="D1433" s="181" t="s">
        <v>2401</v>
      </c>
      <c r="E1433" s="181" t="s">
        <v>332</v>
      </c>
      <c r="F1433" s="181" t="s">
        <v>333</v>
      </c>
      <c r="G1433" s="181" t="s">
        <v>3217</v>
      </c>
      <c r="H1433" s="181" t="s">
        <v>279</v>
      </c>
      <c r="I1433" s="181" t="s">
        <v>242</v>
      </c>
      <c r="J1433" s="267"/>
      <c r="K1433" s="269" t="n">
        <v>45969</v>
      </c>
      <c r="L1433" s="267" t="n">
        <v>1.2</v>
      </c>
      <c r="M1433" s="184" t="s">
        <v>3217</v>
      </c>
      <c r="N1433" s="184" t="n">
        <v>38760</v>
      </c>
      <c r="O1433" s="184" t="n">
        <v>15000</v>
      </c>
      <c r="P1433" s="185" t="n">
        <v>38</v>
      </c>
      <c r="Q1433" s="184" t="n">
        <v>23760</v>
      </c>
      <c r="R1433" s="184" t="n">
        <v>14731.2</v>
      </c>
      <c r="S1433" s="184" t="s">
        <v>3268</v>
      </c>
      <c r="T1433" s="187" t="n">
        <v>45970</v>
      </c>
    </row>
    <row r="1434" customFormat="false" ht="35.05" hidden="true" customHeight="false" outlineLevel="0" collapsed="false">
      <c r="A1434" s="181" t="s">
        <v>3269</v>
      </c>
      <c r="B1434" s="182" t="n">
        <v>2995</v>
      </c>
      <c r="C1434" s="183" t="n">
        <v>329</v>
      </c>
      <c r="D1434" s="181" t="s">
        <v>2401</v>
      </c>
      <c r="E1434" s="181" t="s">
        <v>582</v>
      </c>
      <c r="F1434" s="181" t="s">
        <v>583</v>
      </c>
      <c r="G1434" s="181" t="s">
        <v>3217</v>
      </c>
      <c r="H1434" s="181" t="s">
        <v>279</v>
      </c>
      <c r="I1434" s="181" t="s">
        <v>242</v>
      </c>
      <c r="J1434" s="267"/>
      <c r="K1434" s="269" t="n">
        <v>45969</v>
      </c>
      <c r="L1434" s="267" t="n">
        <v>1.3</v>
      </c>
      <c r="M1434" s="184" t="s">
        <v>3217</v>
      </c>
      <c r="N1434" s="184" t="n">
        <v>40920</v>
      </c>
      <c r="O1434" s="184" t="n">
        <v>14930</v>
      </c>
      <c r="P1434" s="185" t="n">
        <v>24</v>
      </c>
      <c r="Q1434" s="184" t="n">
        <v>25990</v>
      </c>
      <c r="R1434" s="184" t="n">
        <v>19752.4</v>
      </c>
      <c r="S1434" s="184" t="s">
        <v>3270</v>
      </c>
      <c r="T1434" s="187" t="n">
        <v>45970</v>
      </c>
    </row>
    <row r="1435" customFormat="false" ht="23.85" hidden="true" customHeight="false" outlineLevel="0" collapsed="false">
      <c r="A1435" s="181" t="s">
        <v>3271</v>
      </c>
      <c r="B1435" s="182" t="n">
        <v>2996</v>
      </c>
      <c r="C1435" s="183" t="n">
        <v>330</v>
      </c>
      <c r="D1435" s="181" t="s">
        <v>2401</v>
      </c>
      <c r="E1435" s="181" t="s">
        <v>272</v>
      </c>
      <c r="F1435" s="181" t="s">
        <v>273</v>
      </c>
      <c r="G1435" s="181" t="s">
        <v>3217</v>
      </c>
      <c r="H1435" s="181" t="s">
        <v>279</v>
      </c>
      <c r="I1435" s="181" t="s">
        <v>242</v>
      </c>
      <c r="J1435" s="267"/>
      <c r="K1435" s="269" t="n">
        <v>45969</v>
      </c>
      <c r="L1435" s="267" t="n">
        <v>1.3</v>
      </c>
      <c r="M1435" s="184" t="s">
        <v>3217</v>
      </c>
      <c r="N1435" s="184" t="n">
        <v>39980</v>
      </c>
      <c r="O1435" s="184" t="n">
        <v>15730</v>
      </c>
      <c r="P1435" s="185" t="n">
        <v>23</v>
      </c>
      <c r="Q1435" s="184" t="n">
        <v>24250</v>
      </c>
      <c r="R1435" s="184" t="n">
        <v>18672.5</v>
      </c>
      <c r="S1435" s="184" t="s">
        <v>3272</v>
      </c>
      <c r="T1435" s="187" t="n">
        <v>45970</v>
      </c>
    </row>
    <row r="1436" customFormat="false" ht="23.85" hidden="true" customHeight="false" outlineLevel="0" collapsed="false">
      <c r="A1436" s="181" t="s">
        <v>3273</v>
      </c>
      <c r="B1436" s="182" t="n">
        <v>2997</v>
      </c>
      <c r="C1436" s="183" t="n">
        <v>332</v>
      </c>
      <c r="D1436" s="181" t="s">
        <v>2401</v>
      </c>
      <c r="E1436" s="181" t="s">
        <v>367</v>
      </c>
      <c r="F1436" s="181" t="s">
        <v>368</v>
      </c>
      <c r="G1436" s="181" t="s">
        <v>3217</v>
      </c>
      <c r="H1436" s="181" t="s">
        <v>279</v>
      </c>
      <c r="I1436" s="181" t="s">
        <v>242</v>
      </c>
      <c r="J1436" s="267"/>
      <c r="K1436" s="269" t="n">
        <v>45969</v>
      </c>
      <c r="L1436" s="267" t="n">
        <v>1.6</v>
      </c>
      <c r="M1436" s="184" t="s">
        <v>3217</v>
      </c>
      <c r="N1436" s="184" t="n">
        <v>49950</v>
      </c>
      <c r="O1436" s="184" t="n">
        <v>18900</v>
      </c>
      <c r="P1436" s="185" t="n">
        <v>28</v>
      </c>
      <c r="Q1436" s="184" t="n">
        <v>31050</v>
      </c>
      <c r="R1436" s="184" t="n">
        <v>22356</v>
      </c>
      <c r="S1436" s="184" t="s">
        <v>3274</v>
      </c>
      <c r="T1436" s="187" t="n">
        <v>45970</v>
      </c>
    </row>
    <row r="1437" customFormat="false" ht="35.05" hidden="true" customHeight="false" outlineLevel="0" collapsed="false">
      <c r="A1437" s="181" t="s">
        <v>3275</v>
      </c>
      <c r="B1437" s="182" t="n">
        <v>2998</v>
      </c>
      <c r="C1437" s="183" t="n">
        <v>331</v>
      </c>
      <c r="D1437" s="181" t="s">
        <v>2401</v>
      </c>
      <c r="E1437" s="181" t="s">
        <v>300</v>
      </c>
      <c r="F1437" s="181" t="s">
        <v>301</v>
      </c>
      <c r="G1437" s="181" t="s">
        <v>3217</v>
      </c>
      <c r="H1437" s="181" t="s">
        <v>279</v>
      </c>
      <c r="I1437" s="181" t="s">
        <v>242</v>
      </c>
      <c r="J1437" s="267"/>
      <c r="K1437" s="269" t="n">
        <v>45969</v>
      </c>
      <c r="L1437" s="267" t="n">
        <v>2.1</v>
      </c>
      <c r="M1437" s="184" t="s">
        <v>3217</v>
      </c>
      <c r="N1437" s="184" t="n">
        <v>61810</v>
      </c>
      <c r="O1437" s="184" t="n">
        <v>21330</v>
      </c>
      <c r="P1437" s="185" t="n">
        <v>23</v>
      </c>
      <c r="Q1437" s="184" t="n">
        <v>40480</v>
      </c>
      <c r="R1437" s="184" t="n">
        <v>31169.6</v>
      </c>
      <c r="S1437" s="184" t="s">
        <v>3276</v>
      </c>
      <c r="T1437" s="187" t="n">
        <v>45970</v>
      </c>
    </row>
    <row r="1438" customFormat="false" ht="23.85" hidden="true" customHeight="false" outlineLevel="0" collapsed="false">
      <c r="A1438" s="181" t="s">
        <v>3277</v>
      </c>
      <c r="B1438" s="182" t="n">
        <v>2999</v>
      </c>
      <c r="C1438" s="183" t="n">
        <v>333</v>
      </c>
      <c r="D1438" s="181" t="s">
        <v>2401</v>
      </c>
      <c r="E1438" s="181" t="s">
        <v>2351</v>
      </c>
      <c r="F1438" s="181" t="s">
        <v>2352</v>
      </c>
      <c r="G1438" s="181" t="s">
        <v>3217</v>
      </c>
      <c r="H1438" s="181" t="s">
        <v>279</v>
      </c>
      <c r="I1438" s="181" t="s">
        <v>242</v>
      </c>
      <c r="J1438" s="267"/>
      <c r="K1438" s="269" t="n">
        <v>45969</v>
      </c>
      <c r="L1438" s="267" t="n">
        <v>1.4</v>
      </c>
      <c r="M1438" s="184" t="s">
        <v>3217</v>
      </c>
      <c r="N1438" s="184" t="n">
        <v>44980</v>
      </c>
      <c r="O1438" s="184" t="n">
        <v>17590</v>
      </c>
      <c r="P1438" s="185" t="n">
        <v>37</v>
      </c>
      <c r="Q1438" s="184" t="n">
        <v>27390</v>
      </c>
      <c r="R1438" s="184" t="n">
        <v>17255.7</v>
      </c>
      <c r="S1438" s="184" t="s">
        <v>3278</v>
      </c>
      <c r="T1438" s="187" t="n">
        <v>45970</v>
      </c>
    </row>
    <row r="1439" customFormat="false" ht="35.05" hidden="true" customHeight="false" outlineLevel="0" collapsed="false">
      <c r="A1439" s="181" t="s">
        <v>3279</v>
      </c>
      <c r="B1439" s="182" t="n">
        <v>3000</v>
      </c>
      <c r="C1439" s="183" t="n">
        <v>334</v>
      </c>
      <c r="D1439" s="181" t="s">
        <v>2401</v>
      </c>
      <c r="E1439" s="181" t="s">
        <v>277</v>
      </c>
      <c r="F1439" s="181" t="s">
        <v>278</v>
      </c>
      <c r="G1439" s="181" t="s">
        <v>3217</v>
      </c>
      <c r="H1439" s="181" t="s">
        <v>279</v>
      </c>
      <c r="I1439" s="181" t="s">
        <v>242</v>
      </c>
      <c r="J1439" s="267"/>
      <c r="K1439" s="269" t="n">
        <v>45969</v>
      </c>
      <c r="L1439" s="267" t="n">
        <v>1.3</v>
      </c>
      <c r="M1439" s="184" t="s">
        <v>3217</v>
      </c>
      <c r="N1439" s="184" t="n">
        <v>40940</v>
      </c>
      <c r="O1439" s="184" t="n">
        <v>15200</v>
      </c>
      <c r="P1439" s="185" t="n">
        <v>39</v>
      </c>
      <c r="Q1439" s="184" t="n">
        <v>25740</v>
      </c>
      <c r="R1439" s="184" t="n">
        <v>15701.4</v>
      </c>
      <c r="S1439" s="184" t="s">
        <v>3280</v>
      </c>
      <c r="T1439" s="187" t="n">
        <v>45970</v>
      </c>
    </row>
    <row r="1440" customFormat="false" ht="23.85" hidden="true" customHeight="false" outlineLevel="0" collapsed="false">
      <c r="A1440" s="181" t="s">
        <v>3281</v>
      </c>
      <c r="B1440" s="182" t="n">
        <v>3001</v>
      </c>
      <c r="C1440" s="183" t="n">
        <v>335</v>
      </c>
      <c r="D1440" s="181" t="s">
        <v>2401</v>
      </c>
      <c r="E1440" s="181" t="s">
        <v>336</v>
      </c>
      <c r="F1440" s="181" t="s">
        <v>337</v>
      </c>
      <c r="G1440" s="181" t="s">
        <v>3217</v>
      </c>
      <c r="H1440" s="181" t="s">
        <v>279</v>
      </c>
      <c r="I1440" s="181" t="s">
        <v>242</v>
      </c>
      <c r="J1440" s="267"/>
      <c r="K1440" s="269" t="n">
        <v>45969</v>
      </c>
      <c r="L1440" s="267" t="n">
        <v>1.2</v>
      </c>
      <c r="M1440" s="184" t="s">
        <v>3217</v>
      </c>
      <c r="N1440" s="184" t="n">
        <v>38080</v>
      </c>
      <c r="O1440" s="184" t="n">
        <v>14600</v>
      </c>
      <c r="P1440" s="185" t="n">
        <v>34</v>
      </c>
      <c r="Q1440" s="184" t="n">
        <v>23480</v>
      </c>
      <c r="R1440" s="184" t="n">
        <v>15496.8</v>
      </c>
      <c r="S1440" s="184" t="s">
        <v>3282</v>
      </c>
      <c r="T1440" s="187" t="n">
        <v>45970</v>
      </c>
    </row>
    <row r="1441" customFormat="false" ht="35.05" hidden="true" customHeight="false" outlineLevel="0" collapsed="false">
      <c r="A1441" s="181" t="s">
        <v>3283</v>
      </c>
      <c r="B1441" s="182" t="n">
        <v>3002</v>
      </c>
      <c r="C1441" s="183" t="n">
        <v>336</v>
      </c>
      <c r="D1441" s="181" t="s">
        <v>2401</v>
      </c>
      <c r="E1441" s="181" t="s">
        <v>340</v>
      </c>
      <c r="F1441" s="181" t="s">
        <v>341</v>
      </c>
      <c r="G1441" s="181" t="s">
        <v>3217</v>
      </c>
      <c r="H1441" s="181" t="s">
        <v>279</v>
      </c>
      <c r="I1441" s="181" t="s">
        <v>242</v>
      </c>
      <c r="J1441" s="267"/>
      <c r="K1441" s="269" t="n">
        <v>45969</v>
      </c>
      <c r="L1441" s="267" t="n">
        <v>1.2</v>
      </c>
      <c r="M1441" s="184" t="s">
        <v>3217</v>
      </c>
      <c r="N1441" s="184" t="n">
        <v>38030</v>
      </c>
      <c r="O1441" s="184" t="n">
        <v>15230</v>
      </c>
      <c r="P1441" s="185" t="n">
        <v>27</v>
      </c>
      <c r="Q1441" s="184" t="n">
        <v>22800</v>
      </c>
      <c r="R1441" s="184" t="n">
        <v>16644</v>
      </c>
      <c r="S1441" s="184" t="s">
        <v>3284</v>
      </c>
      <c r="T1441" s="187" t="n">
        <v>45970</v>
      </c>
    </row>
    <row r="1442" customFormat="false" ht="23.85" hidden="true" customHeight="false" outlineLevel="0" collapsed="false">
      <c r="A1442" s="181" t="s">
        <v>3285</v>
      </c>
      <c r="B1442" s="182" t="n">
        <v>3003</v>
      </c>
      <c r="C1442" s="183" t="n">
        <v>337</v>
      </c>
      <c r="D1442" s="181" t="s">
        <v>2401</v>
      </c>
      <c r="E1442" s="181" t="s">
        <v>308</v>
      </c>
      <c r="F1442" s="181" t="s">
        <v>309</v>
      </c>
      <c r="G1442" s="181" t="s">
        <v>3217</v>
      </c>
      <c r="H1442" s="181" t="s">
        <v>279</v>
      </c>
      <c r="I1442" s="181" t="s">
        <v>242</v>
      </c>
      <c r="J1442" s="267"/>
      <c r="K1442" s="269" t="n">
        <v>45969</v>
      </c>
      <c r="L1442" s="267" t="n">
        <v>2</v>
      </c>
      <c r="M1442" s="184" t="s">
        <v>3217</v>
      </c>
      <c r="N1442" s="184" t="n">
        <v>62190</v>
      </c>
      <c r="O1442" s="184" t="n">
        <v>24320</v>
      </c>
      <c r="P1442" s="185" t="n">
        <v>23</v>
      </c>
      <c r="Q1442" s="184" t="n">
        <v>37870</v>
      </c>
      <c r="R1442" s="184" t="n">
        <v>29159.9</v>
      </c>
      <c r="S1442" s="184" t="s">
        <v>3286</v>
      </c>
      <c r="T1442" s="187" t="n">
        <v>45970</v>
      </c>
    </row>
    <row r="1443" customFormat="false" ht="35.05" hidden="true" customHeight="false" outlineLevel="0" collapsed="false">
      <c r="A1443" s="181" t="s">
        <v>3287</v>
      </c>
      <c r="B1443" s="182" t="n">
        <v>3004</v>
      </c>
      <c r="C1443" s="183" t="n">
        <v>338</v>
      </c>
      <c r="D1443" s="181" t="s">
        <v>2401</v>
      </c>
      <c r="E1443" s="181" t="s">
        <v>350</v>
      </c>
      <c r="F1443" s="181" t="s">
        <v>351</v>
      </c>
      <c r="G1443" s="181" t="s">
        <v>3217</v>
      </c>
      <c r="H1443" s="181" t="s">
        <v>279</v>
      </c>
      <c r="I1443" s="181" t="s">
        <v>242</v>
      </c>
      <c r="J1443" s="267"/>
      <c r="K1443" s="269" t="n">
        <v>45970</v>
      </c>
      <c r="L1443" s="267" t="n">
        <v>1.3</v>
      </c>
      <c r="M1443" s="184" t="s">
        <v>3217</v>
      </c>
      <c r="N1443" s="184" t="n">
        <v>41780</v>
      </c>
      <c r="O1443" s="184" t="n">
        <v>15240</v>
      </c>
      <c r="P1443" s="185" t="n">
        <v>18</v>
      </c>
      <c r="Q1443" s="184" t="n">
        <v>26540</v>
      </c>
      <c r="R1443" s="184" t="n">
        <v>21762.8</v>
      </c>
      <c r="S1443" s="184" t="s">
        <v>3288</v>
      </c>
      <c r="T1443" s="187" t="n">
        <v>45970</v>
      </c>
    </row>
    <row r="1444" customFormat="false" ht="35.05" hidden="true" customHeight="false" outlineLevel="0" collapsed="false">
      <c r="A1444" s="181" t="s">
        <v>3289</v>
      </c>
      <c r="B1444" s="182" t="n">
        <v>3005</v>
      </c>
      <c r="C1444" s="183" t="n">
        <v>339</v>
      </c>
      <c r="D1444" s="181" t="s">
        <v>2401</v>
      </c>
      <c r="E1444" s="181" t="s">
        <v>377</v>
      </c>
      <c r="F1444" s="181" t="s">
        <v>378</v>
      </c>
      <c r="G1444" s="181" t="s">
        <v>3217</v>
      </c>
      <c r="H1444" s="181" t="s">
        <v>279</v>
      </c>
      <c r="I1444" s="181" t="s">
        <v>242</v>
      </c>
      <c r="J1444" s="267"/>
      <c r="K1444" s="269" t="n">
        <v>45970</v>
      </c>
      <c r="L1444" s="267" t="n">
        <v>1.4</v>
      </c>
      <c r="M1444" s="184" t="s">
        <v>3217</v>
      </c>
      <c r="N1444" s="184" t="n">
        <v>43500</v>
      </c>
      <c r="O1444" s="184" t="n">
        <v>15920</v>
      </c>
      <c r="P1444" s="185" t="n">
        <v>23</v>
      </c>
      <c r="Q1444" s="184" t="n">
        <v>27580</v>
      </c>
      <c r="R1444" s="184" t="n">
        <v>21236.6</v>
      </c>
      <c r="S1444" s="184" t="s">
        <v>3290</v>
      </c>
      <c r="T1444" s="187" t="n">
        <v>45970</v>
      </c>
    </row>
    <row r="1445" customFormat="false" ht="23.85" hidden="true" customHeight="false" outlineLevel="0" collapsed="false">
      <c r="A1445" s="181" t="s">
        <v>3291</v>
      </c>
      <c r="B1445" s="182" t="n">
        <v>3006</v>
      </c>
      <c r="C1445" s="183" t="n">
        <v>340</v>
      </c>
      <c r="D1445" s="181" t="s">
        <v>2401</v>
      </c>
      <c r="E1445" s="181" t="s">
        <v>373</v>
      </c>
      <c r="F1445" s="181" t="s">
        <v>374</v>
      </c>
      <c r="G1445" s="181" t="s">
        <v>3217</v>
      </c>
      <c r="H1445" s="181" t="s">
        <v>279</v>
      </c>
      <c r="I1445" s="181" t="s">
        <v>242</v>
      </c>
      <c r="J1445" s="267"/>
      <c r="K1445" s="269" t="n">
        <v>45970</v>
      </c>
      <c r="L1445" s="267" t="n">
        <v>1.4</v>
      </c>
      <c r="M1445" s="184" t="s">
        <v>3217</v>
      </c>
      <c r="N1445" s="184" t="n">
        <v>41930</v>
      </c>
      <c r="O1445" s="184" t="n">
        <v>14610</v>
      </c>
      <c r="P1445" s="185" t="n">
        <v>19</v>
      </c>
      <c r="Q1445" s="184" t="n">
        <v>27320</v>
      </c>
      <c r="R1445" s="184" t="n">
        <v>22129.2</v>
      </c>
      <c r="S1445" s="184" t="s">
        <v>3292</v>
      </c>
      <c r="T1445" s="187" t="n">
        <v>45970</v>
      </c>
    </row>
    <row r="1446" customFormat="false" ht="46.25" hidden="true" customHeight="false" outlineLevel="0" collapsed="false">
      <c r="A1446" s="181" t="s">
        <v>3293</v>
      </c>
      <c r="B1446" s="182" t="n">
        <v>3008</v>
      </c>
      <c r="C1446" s="183" t="n">
        <v>341</v>
      </c>
      <c r="D1446" s="181" t="s">
        <v>2401</v>
      </c>
      <c r="E1446" s="181" t="s">
        <v>383</v>
      </c>
      <c r="F1446" s="181" t="s">
        <v>384</v>
      </c>
      <c r="G1446" s="181" t="s">
        <v>3217</v>
      </c>
      <c r="H1446" s="181" t="s">
        <v>279</v>
      </c>
      <c r="I1446" s="181" t="s">
        <v>242</v>
      </c>
      <c r="J1446" s="267"/>
      <c r="K1446" s="269" t="n">
        <v>45970</v>
      </c>
      <c r="L1446" s="267" t="n">
        <v>1.3</v>
      </c>
      <c r="M1446" s="184" t="s">
        <v>3217</v>
      </c>
      <c r="N1446" s="184" t="n">
        <v>40410</v>
      </c>
      <c r="O1446" s="184" t="n">
        <v>15120</v>
      </c>
      <c r="P1446" s="185" t="n">
        <v>21</v>
      </c>
      <c r="Q1446" s="184" t="n">
        <v>25290</v>
      </c>
      <c r="R1446" s="184" t="n">
        <v>19979.1</v>
      </c>
      <c r="S1446" s="184" t="s">
        <v>3294</v>
      </c>
      <c r="T1446" s="187" t="n">
        <v>45970</v>
      </c>
    </row>
    <row r="1447" customFormat="false" ht="35.05" hidden="true" customHeight="false" outlineLevel="0" collapsed="false">
      <c r="A1447" s="181" t="s">
        <v>3295</v>
      </c>
      <c r="B1447" s="182" t="n">
        <v>3009</v>
      </c>
      <c r="C1447" s="183" t="n">
        <v>342</v>
      </c>
      <c r="D1447" s="181" t="s">
        <v>2401</v>
      </c>
      <c r="E1447" s="181" t="s">
        <v>387</v>
      </c>
      <c r="F1447" s="181" t="s">
        <v>388</v>
      </c>
      <c r="G1447" s="181" t="s">
        <v>3217</v>
      </c>
      <c r="H1447" s="181" t="s">
        <v>279</v>
      </c>
      <c r="I1447" s="181" t="s">
        <v>242</v>
      </c>
      <c r="J1447" s="267"/>
      <c r="K1447" s="269" t="n">
        <v>45970</v>
      </c>
      <c r="L1447" s="267" t="n">
        <v>1.4</v>
      </c>
      <c r="M1447" s="184" t="s">
        <v>3217</v>
      </c>
      <c r="N1447" s="184" t="n">
        <v>44030</v>
      </c>
      <c r="O1447" s="184" t="n">
        <v>15320</v>
      </c>
      <c r="P1447" s="185" t="n">
        <v>26</v>
      </c>
      <c r="Q1447" s="184" t="n">
        <v>28710</v>
      </c>
      <c r="R1447" s="184" t="n">
        <v>21245.4</v>
      </c>
      <c r="S1447" s="184" t="s">
        <v>3296</v>
      </c>
      <c r="T1447" s="187" t="n">
        <v>45970</v>
      </c>
    </row>
    <row r="1448" customFormat="false" ht="35.05" hidden="true" customHeight="false" outlineLevel="0" collapsed="false">
      <c r="A1448" s="181" t="s">
        <v>3297</v>
      </c>
      <c r="B1448" s="182" t="n">
        <v>3010</v>
      </c>
      <c r="C1448" s="183" t="n">
        <v>343</v>
      </c>
      <c r="D1448" s="181" t="s">
        <v>2401</v>
      </c>
      <c r="E1448" s="181" t="s">
        <v>399</v>
      </c>
      <c r="F1448" s="181" t="s">
        <v>400</v>
      </c>
      <c r="G1448" s="181" t="s">
        <v>3217</v>
      </c>
      <c r="H1448" s="181" t="s">
        <v>279</v>
      </c>
      <c r="I1448" s="181" t="s">
        <v>242</v>
      </c>
      <c r="J1448" s="267"/>
      <c r="K1448" s="269" t="n">
        <v>45970</v>
      </c>
      <c r="L1448" s="267" t="n">
        <v>1.7</v>
      </c>
      <c r="M1448" s="184" t="s">
        <v>3217</v>
      </c>
      <c r="N1448" s="184" t="n">
        <v>52560</v>
      </c>
      <c r="O1448" s="184" t="n">
        <v>19660</v>
      </c>
      <c r="P1448" s="185" t="n">
        <v>40</v>
      </c>
      <c r="Q1448" s="184" t="n">
        <v>32900</v>
      </c>
      <c r="R1448" s="184" t="n">
        <v>19740</v>
      </c>
      <c r="S1448" s="184" t="s">
        <v>3298</v>
      </c>
      <c r="T1448" s="187" t="n">
        <v>45970</v>
      </c>
    </row>
    <row r="1449" customFormat="false" ht="35.05" hidden="true" customHeight="false" outlineLevel="0" collapsed="false">
      <c r="A1449" s="181" t="s">
        <v>3299</v>
      </c>
      <c r="B1449" s="182" t="n">
        <v>3011</v>
      </c>
      <c r="C1449" s="183" t="n">
        <v>344</v>
      </c>
      <c r="D1449" s="181" t="s">
        <v>2401</v>
      </c>
      <c r="E1449" s="181" t="s">
        <v>409</v>
      </c>
      <c r="F1449" s="181" t="s">
        <v>410</v>
      </c>
      <c r="G1449" s="181" t="s">
        <v>3217</v>
      </c>
      <c r="H1449" s="181" t="s">
        <v>279</v>
      </c>
      <c r="I1449" s="181" t="s">
        <v>242</v>
      </c>
      <c r="J1449" s="267"/>
      <c r="K1449" s="269" t="n">
        <v>45970</v>
      </c>
      <c r="L1449" s="267" t="n">
        <v>2.1</v>
      </c>
      <c r="M1449" s="184" t="s">
        <v>3217</v>
      </c>
      <c r="N1449" s="184" t="n">
        <v>65320</v>
      </c>
      <c r="O1449" s="184" t="n">
        <v>24720</v>
      </c>
      <c r="P1449" s="185" t="n">
        <v>17</v>
      </c>
      <c r="Q1449" s="184" t="n">
        <v>40600</v>
      </c>
      <c r="R1449" s="184" t="n">
        <v>33698</v>
      </c>
      <c r="S1449" s="184" t="s">
        <v>3300</v>
      </c>
      <c r="T1449" s="187" t="n">
        <v>45970</v>
      </c>
    </row>
    <row r="1450" customFormat="false" ht="35.05" hidden="true" customHeight="false" outlineLevel="0" collapsed="false">
      <c r="A1450" s="181" t="s">
        <v>3301</v>
      </c>
      <c r="B1450" s="182" t="n">
        <v>2932</v>
      </c>
      <c r="C1450" s="183" t="n">
        <v>8336</v>
      </c>
      <c r="D1450" s="181" t="s">
        <v>2066</v>
      </c>
      <c r="E1450" s="181" t="s">
        <v>413</v>
      </c>
      <c r="F1450" s="181" t="s">
        <v>414</v>
      </c>
      <c r="G1450" s="181" t="s">
        <v>3334</v>
      </c>
      <c r="H1450" s="181" t="s">
        <v>158</v>
      </c>
      <c r="I1450" s="181" t="s">
        <v>241</v>
      </c>
      <c r="J1450" s="267"/>
      <c r="K1450" s="269" t="n">
        <v>45965</v>
      </c>
      <c r="L1450" s="267" t="n">
        <v>2</v>
      </c>
      <c r="M1450" s="184" t="s">
        <v>3334</v>
      </c>
      <c r="N1450" s="184" t="n">
        <v>49130</v>
      </c>
      <c r="O1450" s="184" t="n">
        <v>15960</v>
      </c>
      <c r="P1450" s="185" t="n">
        <v>19</v>
      </c>
      <c r="Q1450" s="184" t="n">
        <v>28130</v>
      </c>
      <c r="R1450" s="184" t="n">
        <v>22785.3</v>
      </c>
      <c r="S1450" s="184" t="s">
        <v>3302</v>
      </c>
      <c r="T1450" s="187" t="n">
        <v>45966</v>
      </c>
    </row>
    <row r="1451" customFormat="false" ht="35.05" hidden="true" customHeight="false" outlineLevel="0" collapsed="false">
      <c r="A1451" s="181" t="s">
        <v>3303</v>
      </c>
      <c r="B1451" s="182" t="n">
        <v>3012</v>
      </c>
      <c r="C1451" s="183" t="n">
        <v>345</v>
      </c>
      <c r="D1451" s="181" t="s">
        <v>2401</v>
      </c>
      <c r="E1451" s="181" t="s">
        <v>413</v>
      </c>
      <c r="F1451" s="181" t="s">
        <v>414</v>
      </c>
      <c r="G1451" s="181" t="s">
        <v>3217</v>
      </c>
      <c r="H1451" s="181" t="s">
        <v>279</v>
      </c>
      <c r="I1451" s="181" t="s">
        <v>242</v>
      </c>
      <c r="J1451" s="267"/>
      <c r="K1451" s="269" t="n">
        <v>45970</v>
      </c>
      <c r="L1451" s="267" t="n">
        <v>1.6</v>
      </c>
      <c r="M1451" s="184" t="s">
        <v>3217</v>
      </c>
      <c r="N1451" s="184" t="n">
        <v>46980</v>
      </c>
      <c r="O1451" s="184" t="n">
        <v>16090</v>
      </c>
      <c r="P1451" s="185" t="n">
        <v>26</v>
      </c>
      <c r="Q1451" s="184" t="n">
        <v>30890</v>
      </c>
      <c r="R1451" s="184" t="n">
        <v>22858.6</v>
      </c>
      <c r="S1451" s="184" t="s">
        <v>3304</v>
      </c>
      <c r="T1451" s="187" t="n">
        <v>45970</v>
      </c>
    </row>
    <row r="1452" customFormat="false" ht="23.85" hidden="true" customHeight="false" outlineLevel="0" collapsed="false">
      <c r="A1452" s="181" t="s">
        <v>3305</v>
      </c>
      <c r="B1452" s="182" t="n">
        <v>3013</v>
      </c>
      <c r="C1452" s="183" t="n">
        <v>348</v>
      </c>
      <c r="D1452" s="181" t="s">
        <v>2401</v>
      </c>
      <c r="E1452" s="181" t="s">
        <v>292</v>
      </c>
      <c r="F1452" s="181" t="s">
        <v>293</v>
      </c>
      <c r="G1452" s="181" t="s">
        <v>3217</v>
      </c>
      <c r="H1452" s="181" t="s">
        <v>279</v>
      </c>
      <c r="I1452" s="181" t="s">
        <v>242</v>
      </c>
      <c r="J1452" s="267"/>
      <c r="K1452" s="269" t="n">
        <v>45970</v>
      </c>
      <c r="L1452" s="267" t="n">
        <v>1.1</v>
      </c>
      <c r="M1452" s="184" t="s">
        <v>3217</v>
      </c>
      <c r="N1452" s="184" t="n">
        <v>35360</v>
      </c>
      <c r="O1452" s="184" t="n">
        <v>13940</v>
      </c>
      <c r="P1452" s="185" t="n">
        <v>33</v>
      </c>
      <c r="Q1452" s="184" t="n">
        <v>21420</v>
      </c>
      <c r="R1452" s="184" t="n">
        <v>14351.4</v>
      </c>
      <c r="S1452" s="184" t="s">
        <v>3306</v>
      </c>
      <c r="T1452" s="187" t="n">
        <v>45970</v>
      </c>
    </row>
    <row r="1453" customFormat="false" ht="35.05" hidden="true" customHeight="false" outlineLevel="0" collapsed="false">
      <c r="A1453" s="181" t="s">
        <v>3307</v>
      </c>
      <c r="B1453" s="182" t="n">
        <v>3014</v>
      </c>
      <c r="C1453" s="183" t="n">
        <v>347</v>
      </c>
      <c r="D1453" s="181" t="s">
        <v>2401</v>
      </c>
      <c r="E1453" s="181" t="s">
        <v>359</v>
      </c>
      <c r="F1453" s="181" t="s">
        <v>360</v>
      </c>
      <c r="G1453" s="181" t="s">
        <v>3217</v>
      </c>
      <c r="H1453" s="181" t="s">
        <v>279</v>
      </c>
      <c r="I1453" s="181" t="s">
        <v>242</v>
      </c>
      <c r="J1453" s="267"/>
      <c r="K1453" s="269" t="n">
        <v>45970</v>
      </c>
      <c r="L1453" s="267" t="n">
        <v>1.1</v>
      </c>
      <c r="M1453" s="184" t="s">
        <v>3217</v>
      </c>
      <c r="N1453" s="184" t="n">
        <v>37640</v>
      </c>
      <c r="O1453" s="184" t="n">
        <v>15090</v>
      </c>
      <c r="P1453" s="185" t="n">
        <v>47</v>
      </c>
      <c r="Q1453" s="184" t="n">
        <v>22550</v>
      </c>
      <c r="R1453" s="184" t="n">
        <v>11951.5</v>
      </c>
      <c r="S1453" s="184" t="s">
        <v>3308</v>
      </c>
      <c r="T1453" s="187" t="n">
        <v>45970</v>
      </c>
    </row>
    <row r="1454" customFormat="false" ht="23.85" hidden="true" customHeight="false" outlineLevel="0" collapsed="false">
      <c r="A1454" s="181" t="s">
        <v>3309</v>
      </c>
      <c r="B1454" s="182" t="n">
        <v>3015</v>
      </c>
      <c r="C1454" s="183" t="n">
        <v>346</v>
      </c>
      <c r="D1454" s="181" t="s">
        <v>2401</v>
      </c>
      <c r="E1454" s="181" t="s">
        <v>354</v>
      </c>
      <c r="F1454" s="181" t="s">
        <v>355</v>
      </c>
      <c r="G1454" s="181" t="s">
        <v>3217</v>
      </c>
      <c r="H1454" s="181" t="s">
        <v>279</v>
      </c>
      <c r="I1454" s="181" t="s">
        <v>242</v>
      </c>
      <c r="J1454" s="267"/>
      <c r="K1454" s="269" t="n">
        <v>45970</v>
      </c>
      <c r="L1454" s="267" t="n">
        <v>1.2</v>
      </c>
      <c r="M1454" s="184" t="s">
        <v>3217</v>
      </c>
      <c r="N1454" s="184" t="n">
        <v>37810</v>
      </c>
      <c r="O1454" s="184" t="n">
        <v>14970</v>
      </c>
      <c r="P1454" s="185" t="n">
        <v>36</v>
      </c>
      <c r="Q1454" s="184" t="n">
        <v>22840</v>
      </c>
      <c r="R1454" s="184" t="n">
        <v>14617.6</v>
      </c>
      <c r="S1454" s="184" t="s">
        <v>3310</v>
      </c>
      <c r="T1454" s="187" t="n">
        <v>45970</v>
      </c>
    </row>
    <row r="1455" customFormat="false" ht="23.85" hidden="true" customHeight="false" outlineLevel="0" collapsed="false">
      <c r="A1455" s="181" t="s">
        <v>3311</v>
      </c>
      <c r="B1455" s="182" t="n">
        <v>3016</v>
      </c>
      <c r="C1455" s="183" t="n">
        <v>349</v>
      </c>
      <c r="D1455" s="181" t="s">
        <v>2401</v>
      </c>
      <c r="E1455" s="181" t="s">
        <v>529</v>
      </c>
      <c r="F1455" s="181" t="s">
        <v>530</v>
      </c>
      <c r="G1455" s="181" t="s">
        <v>3217</v>
      </c>
      <c r="H1455" s="181" t="s">
        <v>279</v>
      </c>
      <c r="I1455" s="181" t="s">
        <v>242</v>
      </c>
      <c r="J1455" s="267"/>
      <c r="K1455" s="269" t="n">
        <v>45970</v>
      </c>
      <c r="L1455" s="267" t="n">
        <v>1.1</v>
      </c>
      <c r="M1455" s="184" t="s">
        <v>3217</v>
      </c>
      <c r="N1455" s="184" t="n">
        <v>36200</v>
      </c>
      <c r="O1455" s="184" t="n">
        <v>14980</v>
      </c>
      <c r="P1455" s="185" t="n">
        <v>39</v>
      </c>
      <c r="Q1455" s="184" t="n">
        <v>21220</v>
      </c>
      <c r="R1455" s="184" t="n">
        <v>12944.2</v>
      </c>
      <c r="S1455" s="184" t="s">
        <v>3312</v>
      </c>
      <c r="T1455" s="187" t="n">
        <v>45970</v>
      </c>
    </row>
    <row r="1456" customFormat="false" ht="35.05" hidden="true" customHeight="false" outlineLevel="0" collapsed="false">
      <c r="A1456" s="181" t="s">
        <v>3313</v>
      </c>
      <c r="B1456" s="182" t="n">
        <v>3017</v>
      </c>
      <c r="C1456" s="183" t="n">
        <v>350</v>
      </c>
      <c r="D1456" s="181" t="s">
        <v>2401</v>
      </c>
      <c r="E1456" s="181" t="s">
        <v>391</v>
      </c>
      <c r="F1456" s="181" t="s">
        <v>392</v>
      </c>
      <c r="G1456" s="181" t="s">
        <v>3217</v>
      </c>
      <c r="H1456" s="181" t="s">
        <v>279</v>
      </c>
      <c r="I1456" s="181" t="s">
        <v>242</v>
      </c>
      <c r="J1456" s="267"/>
      <c r="K1456" s="269" t="n">
        <v>45970</v>
      </c>
      <c r="L1456" s="267" t="n">
        <v>1</v>
      </c>
      <c r="M1456" s="184" t="s">
        <v>3217</v>
      </c>
      <c r="N1456" s="184" t="n">
        <v>34090</v>
      </c>
      <c r="O1456" s="184" t="n">
        <v>14640</v>
      </c>
      <c r="P1456" s="185" t="n">
        <v>43</v>
      </c>
      <c r="Q1456" s="184" t="n">
        <v>19450</v>
      </c>
      <c r="R1456" s="184" t="n">
        <v>11086.5</v>
      </c>
      <c r="S1456" s="184" t="s">
        <v>3314</v>
      </c>
      <c r="T1456" s="187" t="n">
        <v>45970</v>
      </c>
    </row>
    <row r="1457" customFormat="false" ht="23.85" hidden="true" customHeight="false" outlineLevel="0" collapsed="false">
      <c r="A1457" s="181" t="s">
        <v>3315</v>
      </c>
      <c r="B1457" s="182" t="n">
        <v>3018</v>
      </c>
      <c r="C1457" s="183" t="n">
        <v>351</v>
      </c>
      <c r="D1457" s="181" t="s">
        <v>2401</v>
      </c>
      <c r="E1457" s="181" t="s">
        <v>367</v>
      </c>
      <c r="F1457" s="181" t="s">
        <v>368</v>
      </c>
      <c r="G1457" s="181" t="s">
        <v>3217</v>
      </c>
      <c r="H1457" s="181" t="s">
        <v>279</v>
      </c>
      <c r="I1457" s="181" t="s">
        <v>242</v>
      </c>
      <c r="J1457" s="267"/>
      <c r="K1457" s="269" t="n">
        <v>45970</v>
      </c>
      <c r="L1457" s="267" t="n">
        <v>1.6</v>
      </c>
      <c r="M1457" s="184" t="s">
        <v>3217</v>
      </c>
      <c r="N1457" s="184" t="n">
        <v>50930</v>
      </c>
      <c r="O1457" s="184" t="n">
        <v>18800</v>
      </c>
      <c r="P1457" s="185" t="n">
        <v>27</v>
      </c>
      <c r="Q1457" s="184" t="n">
        <v>32130</v>
      </c>
      <c r="R1457" s="184" t="n">
        <v>23454.9</v>
      </c>
      <c r="S1457" s="184" t="s">
        <v>3316</v>
      </c>
      <c r="T1457" s="187" t="n">
        <v>45970</v>
      </c>
    </row>
    <row r="1458" customFormat="false" ht="35.05" hidden="true" customHeight="false" outlineLevel="0" collapsed="false">
      <c r="A1458" s="181" t="s">
        <v>3317</v>
      </c>
      <c r="B1458" s="182" t="n">
        <v>3019</v>
      </c>
      <c r="C1458" s="183" t="n">
        <v>353</v>
      </c>
      <c r="D1458" s="181" t="s">
        <v>2401</v>
      </c>
      <c r="E1458" s="181" t="s">
        <v>266</v>
      </c>
      <c r="F1458" s="181" t="s">
        <v>267</v>
      </c>
      <c r="G1458" s="181" t="s">
        <v>3217</v>
      </c>
      <c r="H1458" s="181" t="s">
        <v>279</v>
      </c>
      <c r="I1458" s="181" t="s">
        <v>242</v>
      </c>
      <c r="J1458" s="267"/>
      <c r="K1458" s="269" t="n">
        <v>45970</v>
      </c>
      <c r="L1458" s="267" t="n">
        <v>0.6</v>
      </c>
      <c r="M1458" s="184" t="s">
        <v>3217</v>
      </c>
      <c r="N1458" s="184" t="n">
        <v>26840</v>
      </c>
      <c r="O1458" s="184" t="n">
        <v>14980</v>
      </c>
      <c r="P1458" s="185" t="n">
        <v>37</v>
      </c>
      <c r="Q1458" s="184" t="n">
        <v>11860</v>
      </c>
      <c r="R1458" s="184" t="n">
        <v>7471.8</v>
      </c>
      <c r="S1458" s="184" t="s">
        <v>3318</v>
      </c>
      <c r="T1458" s="187" t="n">
        <v>45970</v>
      </c>
    </row>
    <row r="1459" customFormat="false" ht="35.05" hidden="true" customHeight="false" outlineLevel="0" collapsed="false">
      <c r="A1459" s="181" t="s">
        <v>3319</v>
      </c>
      <c r="B1459" s="182" t="n">
        <v>3020</v>
      </c>
      <c r="C1459" s="183" t="n">
        <v>352</v>
      </c>
      <c r="D1459" s="181" t="s">
        <v>2401</v>
      </c>
      <c r="E1459" s="181" t="s">
        <v>300</v>
      </c>
      <c r="F1459" s="181" t="s">
        <v>301</v>
      </c>
      <c r="G1459" s="181" t="s">
        <v>3217</v>
      </c>
      <c r="H1459" s="181" t="s">
        <v>279</v>
      </c>
      <c r="I1459" s="181" t="s">
        <v>242</v>
      </c>
      <c r="J1459" s="267"/>
      <c r="K1459" s="269" t="n">
        <v>45970</v>
      </c>
      <c r="L1459" s="267" t="n">
        <v>1</v>
      </c>
      <c r="M1459" s="184" t="s">
        <v>3217</v>
      </c>
      <c r="N1459" s="184" t="n">
        <v>45980</v>
      </c>
      <c r="O1459" s="184" t="n">
        <v>21380</v>
      </c>
      <c r="P1459" s="185" t="n">
        <v>35</v>
      </c>
      <c r="Q1459" s="184" t="n">
        <v>24600</v>
      </c>
      <c r="R1459" s="184" t="n">
        <v>15990</v>
      </c>
      <c r="S1459" s="184" t="s">
        <v>3320</v>
      </c>
      <c r="T1459" s="187" t="n">
        <v>45970</v>
      </c>
    </row>
    <row r="1460" customFormat="false" ht="35.05" hidden="true" customHeight="false" outlineLevel="0" collapsed="false">
      <c r="A1460" s="181" t="s">
        <v>3321</v>
      </c>
      <c r="B1460" s="182" t="n">
        <v>2932</v>
      </c>
      <c r="C1460" s="183" t="n">
        <v>8336</v>
      </c>
      <c r="D1460" s="181" t="s">
        <v>2401</v>
      </c>
      <c r="E1460" s="181" t="s">
        <v>413</v>
      </c>
      <c r="F1460" s="181" t="s">
        <v>414</v>
      </c>
      <c r="G1460" s="181" t="s">
        <v>2715</v>
      </c>
      <c r="H1460" s="181" t="s">
        <v>158</v>
      </c>
      <c r="I1460" s="181" t="s">
        <v>242</v>
      </c>
      <c r="J1460" s="267"/>
      <c r="K1460" s="269" t="n">
        <v>45965</v>
      </c>
      <c r="L1460" s="267" t="n">
        <v>0.5</v>
      </c>
      <c r="M1460" s="184" t="s">
        <v>2715</v>
      </c>
      <c r="N1460" s="184" t="n">
        <v>49130</v>
      </c>
      <c r="O1460" s="184" t="n">
        <v>15960</v>
      </c>
      <c r="P1460" s="185" t="n">
        <v>19</v>
      </c>
      <c r="Q1460" s="184" t="n">
        <v>5040</v>
      </c>
      <c r="R1460" s="184" t="n">
        <v>4082.4</v>
      </c>
      <c r="S1460" s="184" t="s">
        <v>3322</v>
      </c>
      <c r="T1460" s="187" t="n">
        <v>45966</v>
      </c>
    </row>
    <row r="1461" customFormat="false" ht="15" hidden="false" customHeight="false" outlineLevel="0" collapsed="false">
      <c r="A1461" s="181"/>
      <c r="B1461" s="182"/>
      <c r="C1461" s="183"/>
      <c r="D1461" s="181"/>
      <c r="E1461" s="181"/>
      <c r="F1461" s="181"/>
      <c r="G1461" s="181"/>
      <c r="H1461" s="181"/>
      <c r="I1461" s="181"/>
      <c r="J1461" s="267" t="n">
        <f aca="false">SUBTOTAL(109,Таблица24[Вес нетто ЗАКУПКА])</f>
        <v>0</v>
      </c>
      <c r="K1461" s="269"/>
      <c r="L1461" s="267" t="n">
        <f aca="false">SUBTOTAL(109,Таблица24[Площадь уборки, га])</f>
        <v>22</v>
      </c>
      <c r="M1461" s="184"/>
      <c r="N1461" s="184"/>
      <c r="O1461" s="184"/>
      <c r="P1461" s="185"/>
      <c r="Q1461" s="184" t="n">
        <f aca="false">SUBTOTAL(109,Таблица24[Вес нетто])</f>
        <v>528240</v>
      </c>
      <c r="R1461" s="184" t="n">
        <f aca="false">SUBTOTAL(109,Таблица24[Зачетный вес])</f>
        <v>435917</v>
      </c>
      <c r="S1461" s="184"/>
      <c r="T1461" s="18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B2:W54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F36" activeCellId="0" sqref="F36"/>
    </sheetView>
  </sheetViews>
  <sheetFormatPr defaultColWidth="9.1484375" defaultRowHeight="14.25" customHeight="true" zeroHeight="false" outlineLevelRow="0" outlineLevelCol="1"/>
  <cols>
    <col collapsed="false" customWidth="true" hidden="false" outlineLevel="0" max="1" min="1" style="89" width="3.29"/>
    <col collapsed="false" customWidth="true" hidden="false" outlineLevel="0" max="2" min="2" style="89" width="46.29"/>
    <col collapsed="false" customWidth="true" hidden="false" outlineLevel="0" max="9" min="3" style="89" width="14.57"/>
    <col collapsed="false" customWidth="true" hidden="false" outlineLevel="0" max="10" min="10" style="89" width="8.57"/>
    <col collapsed="false" customWidth="true" hidden="false" outlineLevel="0" max="11" min="11" style="89" width="10.85"/>
    <col collapsed="false" customWidth="true" hidden="false" outlineLevel="0" max="12" min="12" style="89" width="13.86"/>
    <col collapsed="false" customWidth="true" hidden="false" outlineLevel="1" max="13" min="13" style="89" width="18.86"/>
    <col collapsed="false" customWidth="true" hidden="false" outlineLevel="1" max="14" min="14" style="89" width="12.15"/>
    <col collapsed="false" customWidth="true" hidden="false" outlineLevel="1" max="15" min="15" style="89" width="16.85"/>
    <col collapsed="false" customWidth="true" hidden="false" outlineLevel="1" max="16" min="16" style="90" width="13.42"/>
    <col collapsed="false" customWidth="true" hidden="false" outlineLevel="0" max="17" min="17" style="89" width="11.14"/>
    <col collapsed="false" customWidth="true" hidden="true" outlineLevel="1" max="18" min="18" style="89" width="20.57"/>
    <col collapsed="false" customWidth="true" hidden="true" outlineLevel="1" max="19" min="19" style="89" width="17.57"/>
    <col collapsed="false" customWidth="true" hidden="false" outlineLevel="0" max="20" min="20" style="89" width="15.57"/>
    <col collapsed="false" customWidth="true" hidden="false" outlineLevel="0" max="21" min="21" style="89" width="17.57"/>
    <col collapsed="false" customWidth="true" hidden="false" outlineLevel="0" max="22" min="22" style="89" width="63.71"/>
    <col collapsed="false" customWidth="true" hidden="false" outlineLevel="0" max="24" min="23" style="89" width="14.42"/>
    <col collapsed="false" customWidth="false" hidden="false" outlineLevel="0" max="16384" min="25" style="89" width="9.14"/>
  </cols>
  <sheetData>
    <row r="2" customFormat="false" ht="60" hidden="false" customHeight="true" outlineLevel="0" collapsed="false">
      <c r="B2" s="91" t="s">
        <v>3536</v>
      </c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2"/>
    </row>
    <row r="3" customFormat="false" ht="39.55" hidden="false" customHeight="false" outlineLevel="0" collapsed="false">
      <c r="J3" s="94"/>
      <c r="K3" s="94"/>
      <c r="L3" s="95" t="s">
        <v>3413</v>
      </c>
      <c r="M3" s="95" t="s">
        <v>75</v>
      </c>
      <c r="N3" s="95" t="s">
        <v>168</v>
      </c>
      <c r="O3" s="95" t="s">
        <v>76</v>
      </c>
      <c r="P3" s="95" t="s">
        <v>169</v>
      </c>
      <c r="Q3" s="95" t="s">
        <v>18</v>
      </c>
      <c r="R3" s="95" t="s">
        <v>170</v>
      </c>
      <c r="S3" s="95" t="s">
        <v>171</v>
      </c>
      <c r="T3" s="96" t="s">
        <v>172</v>
      </c>
      <c r="U3" s="95" t="s">
        <v>173</v>
      </c>
    </row>
    <row r="4" customFormat="false" ht="17.25" hidden="false" customHeight="true" outlineLevel="0" collapsed="false">
      <c r="B4" s="97" t="s">
        <v>174</v>
      </c>
      <c r="C4" s="98" t="s">
        <v>175</v>
      </c>
      <c r="D4" s="98" t="s">
        <v>176</v>
      </c>
      <c r="E4" s="98" t="s">
        <v>62</v>
      </c>
      <c r="F4" s="98" t="s">
        <v>63</v>
      </c>
      <c r="G4" s="98" t="s">
        <v>64</v>
      </c>
      <c r="H4" s="98" t="s">
        <v>65</v>
      </c>
      <c r="I4" s="271"/>
      <c r="L4" s="272" t="n">
        <v>45943</v>
      </c>
      <c r="M4" s="272" t="s">
        <v>2402</v>
      </c>
      <c r="N4" s="114" t="n">
        <v>75</v>
      </c>
      <c r="O4" s="114" t="s">
        <v>279</v>
      </c>
      <c r="P4" s="273" t="n">
        <v>1</v>
      </c>
      <c r="Q4" s="114" t="n">
        <v>1.2</v>
      </c>
      <c r="R4" s="107"/>
      <c r="S4" s="274"/>
      <c r="T4" s="107" t="n">
        <v>24870</v>
      </c>
      <c r="U4" s="274" t="n">
        <f aca="false">IFERROR(T4/Q4/100, "-")</f>
        <v>207.25</v>
      </c>
    </row>
    <row r="5" s="90" customFormat="true" ht="17.25" hidden="false" customHeight="true" outlineLevel="0" collapsed="false">
      <c r="B5" s="105" t="s">
        <v>12</v>
      </c>
      <c r="C5" s="106" t="n">
        <v>44095</v>
      </c>
      <c r="D5" s="106" t="n">
        <v>44437</v>
      </c>
      <c r="E5" s="106" t="n">
        <v>44828</v>
      </c>
      <c r="F5" s="106" t="n">
        <v>45201</v>
      </c>
      <c r="G5" s="106" t="n">
        <v>45557</v>
      </c>
      <c r="H5" s="106" t="n">
        <f aca="false">L4</f>
        <v>45943</v>
      </c>
      <c r="I5" s="106"/>
      <c r="L5" s="272"/>
      <c r="M5" s="272" t="s">
        <v>142</v>
      </c>
      <c r="N5" s="114" t="n">
        <v>53</v>
      </c>
      <c r="O5" s="114" t="s">
        <v>158</v>
      </c>
      <c r="P5" s="273" t="n">
        <v>1</v>
      </c>
      <c r="Q5" s="114" t="n">
        <v>1.1</v>
      </c>
      <c r="R5" s="107"/>
      <c r="S5" s="274"/>
      <c r="T5" s="107" t="n">
        <v>25720</v>
      </c>
      <c r="U5" s="274" t="n">
        <f aca="false">IFERROR(T5/Q5/100, "-")</f>
        <v>233.818181818182</v>
      </c>
      <c r="V5" s="275"/>
    </row>
    <row r="6" customFormat="false" ht="17.25" hidden="false" customHeight="true" outlineLevel="0" collapsed="false">
      <c r="B6" s="105" t="s">
        <v>20</v>
      </c>
      <c r="C6" s="106" t="n">
        <v>44127</v>
      </c>
      <c r="D6" s="106" t="n">
        <v>44499</v>
      </c>
      <c r="E6" s="106" t="n">
        <v>44860</v>
      </c>
      <c r="F6" s="106" t="n">
        <v>45229</v>
      </c>
      <c r="G6" s="106" t="n">
        <v>45585</v>
      </c>
      <c r="H6" s="106"/>
      <c r="I6" s="106"/>
      <c r="J6" s="109"/>
      <c r="L6" s="272"/>
      <c r="M6" s="272" t="s">
        <v>144</v>
      </c>
      <c r="N6" s="114" t="n">
        <v>33</v>
      </c>
      <c r="O6" s="114" t="s">
        <v>279</v>
      </c>
      <c r="P6" s="273" t="n">
        <v>1</v>
      </c>
      <c r="Q6" s="114" t="n">
        <v>1.5</v>
      </c>
      <c r="R6" s="107"/>
      <c r="S6" s="274"/>
      <c r="T6" s="107" t="n">
        <v>23970</v>
      </c>
      <c r="U6" s="274" t="n">
        <f aca="false">IFERROR(T6/Q6/100, "-")</f>
        <v>159.8</v>
      </c>
    </row>
    <row r="7" customFormat="false" ht="17.25" hidden="false" customHeight="true" outlineLevel="0" collapsed="false">
      <c r="B7" s="105" t="s">
        <v>178</v>
      </c>
      <c r="C7" s="111" t="n">
        <f aca="false">IF(C6=0,"-",C6-C5+1)</f>
        <v>33</v>
      </c>
      <c r="D7" s="111" t="n">
        <f aca="false">IF(D6=0,"-",D6-D5+1)</f>
        <v>63</v>
      </c>
      <c r="E7" s="111" t="n">
        <f aca="false">IF(E6=0,"-",E6-E5+1)</f>
        <v>33</v>
      </c>
      <c r="F7" s="111" t="n">
        <f aca="false">IF(F6=0,"-",F6-F5+1)</f>
        <v>29</v>
      </c>
      <c r="G7" s="111" t="n">
        <v>29</v>
      </c>
      <c r="H7" s="111" t="str">
        <f aca="false">IF(H6=0,"-",H6-H5+1)</f>
        <v>-</v>
      </c>
      <c r="I7" s="111"/>
      <c r="L7" s="272" t="n">
        <v>45944</v>
      </c>
      <c r="M7" s="272"/>
      <c r="N7" s="114"/>
      <c r="O7" s="114"/>
      <c r="P7" s="273"/>
      <c r="Q7" s="114"/>
      <c r="R7" s="107"/>
      <c r="S7" s="274"/>
      <c r="T7" s="276"/>
      <c r="U7" s="277" t="str">
        <f aca="false">IFERROR(T7/Q7/100, "-")</f>
        <v>-</v>
      </c>
    </row>
    <row r="8" customFormat="false" ht="17.25" hidden="false" customHeight="true" outlineLevel="0" collapsed="false">
      <c r="B8" s="105" t="s">
        <v>179</v>
      </c>
      <c r="C8" s="111"/>
      <c r="D8" s="111"/>
      <c r="E8" s="111" t="n">
        <v>8</v>
      </c>
      <c r="F8" s="111" t="n">
        <v>8</v>
      </c>
      <c r="G8" s="111" t="n">
        <v>19</v>
      </c>
      <c r="H8" s="111"/>
      <c r="I8" s="111"/>
      <c r="L8" s="272" t="n">
        <v>45945</v>
      </c>
      <c r="M8" s="272" t="s">
        <v>142</v>
      </c>
      <c r="N8" s="114" t="n">
        <v>53</v>
      </c>
      <c r="O8" s="114" t="s">
        <v>158</v>
      </c>
      <c r="P8" s="273" t="n">
        <v>14</v>
      </c>
      <c r="Q8" s="114" t="n">
        <v>16.89</v>
      </c>
      <c r="R8" s="107"/>
      <c r="S8" s="274"/>
      <c r="T8" s="276" t="n">
        <v>383660</v>
      </c>
      <c r="U8" s="277" t="n">
        <f aca="false">IFERROR(T8/Q8/100, "-")</f>
        <v>227.152161042037</v>
      </c>
      <c r="V8" s="278"/>
    </row>
    <row r="9" customFormat="false" ht="17.25" hidden="false" customHeight="true" outlineLevel="0" collapsed="false">
      <c r="B9" s="105" t="s">
        <v>181</v>
      </c>
      <c r="C9" s="112"/>
      <c r="D9" s="112"/>
      <c r="E9" s="112"/>
      <c r="F9" s="112"/>
      <c r="G9" s="112" t="s">
        <v>3537</v>
      </c>
      <c r="H9" s="112" t="s">
        <v>3417</v>
      </c>
      <c r="I9" s="112"/>
      <c r="L9" s="272" t="n">
        <v>45946</v>
      </c>
      <c r="M9" s="272" t="s">
        <v>142</v>
      </c>
      <c r="N9" s="114" t="n">
        <v>53</v>
      </c>
      <c r="O9" s="114" t="s">
        <v>158</v>
      </c>
      <c r="P9" s="273" t="n">
        <v>20</v>
      </c>
      <c r="Q9" s="114" t="n">
        <v>24</v>
      </c>
      <c r="R9" s="107"/>
      <c r="S9" s="274"/>
      <c r="T9" s="279" t="n">
        <v>542620</v>
      </c>
      <c r="U9" s="280" t="n">
        <f aca="false">IFERROR(T9/Q9/100, "-")</f>
        <v>226.091666666667</v>
      </c>
      <c r="V9" s="146"/>
    </row>
    <row r="10" customFormat="false" ht="17.25" hidden="false" customHeight="true" outlineLevel="0" collapsed="false">
      <c r="B10" s="105" t="s">
        <v>187</v>
      </c>
      <c r="C10" s="117" t="n">
        <v>9394.42</v>
      </c>
      <c r="D10" s="117" t="n">
        <v>7409.64</v>
      </c>
      <c r="E10" s="117" t="n">
        <v>9977.4</v>
      </c>
      <c r="F10" s="117" t="n">
        <v>10250.58</v>
      </c>
      <c r="G10" s="117" t="n">
        <v>7397.2</v>
      </c>
      <c r="H10" s="117" t="n">
        <f aca="false">T47/1000</f>
        <v>9223.7003</v>
      </c>
      <c r="I10" s="117"/>
      <c r="L10" s="272" t="n">
        <v>45947</v>
      </c>
      <c r="M10" s="272" t="s">
        <v>142</v>
      </c>
      <c r="N10" s="114" t="n">
        <v>53</v>
      </c>
      <c r="O10" s="114" t="s">
        <v>158</v>
      </c>
      <c r="P10" s="273" t="n">
        <v>10</v>
      </c>
      <c r="Q10" s="114" t="n">
        <v>11</v>
      </c>
      <c r="R10" s="107"/>
      <c r="S10" s="274"/>
      <c r="T10" s="279" t="n">
        <v>260890</v>
      </c>
      <c r="U10" s="280" t="n">
        <f aca="false">IFERROR(T10/Q10/100, "-")</f>
        <v>237.172727272727</v>
      </c>
    </row>
    <row r="11" customFormat="false" ht="17.25" hidden="false" customHeight="true" outlineLevel="0" collapsed="false">
      <c r="B11" s="105" t="s">
        <v>191</v>
      </c>
      <c r="C11" s="119" t="n">
        <v>459</v>
      </c>
      <c r="D11" s="119" t="n">
        <v>448.5</v>
      </c>
      <c r="E11" s="119" t="n">
        <v>510</v>
      </c>
      <c r="F11" s="119" t="n">
        <v>552.6</v>
      </c>
      <c r="G11" s="281" t="n">
        <v>460.5</v>
      </c>
      <c r="H11" s="281" t="n">
        <v>451</v>
      </c>
      <c r="I11" s="281"/>
      <c r="K11" s="282"/>
      <c r="L11" s="272"/>
      <c r="M11" s="272" t="s">
        <v>144</v>
      </c>
      <c r="N11" s="114" t="n">
        <v>22</v>
      </c>
      <c r="O11" s="114" t="s">
        <v>158</v>
      </c>
      <c r="P11" s="273" t="n">
        <v>4</v>
      </c>
      <c r="Q11" s="114" t="n">
        <v>6.1</v>
      </c>
      <c r="R11" s="107"/>
      <c r="S11" s="274"/>
      <c r="T11" s="279" t="n">
        <v>146910</v>
      </c>
      <c r="U11" s="280" t="n">
        <f aca="false">IFERROR(T11/Q11/100, "-")</f>
        <v>240.836065573771</v>
      </c>
    </row>
    <row r="12" customFormat="false" ht="17.25" hidden="false" customHeight="true" outlineLevel="0" collapsed="false">
      <c r="B12" s="105" t="s">
        <v>18</v>
      </c>
      <c r="C12" s="119" t="n">
        <v>459</v>
      </c>
      <c r="D12" s="119" t="n">
        <v>448.5</v>
      </c>
      <c r="E12" s="119" t="n">
        <v>510</v>
      </c>
      <c r="F12" s="119" t="n">
        <v>552.6</v>
      </c>
      <c r="G12" s="119" t="n">
        <v>460.5</v>
      </c>
      <c r="H12" s="119" t="n">
        <f aca="false">Q47</f>
        <v>451.029480048368</v>
      </c>
      <c r="I12" s="119"/>
      <c r="J12" s="109"/>
      <c r="L12" s="272" t="n">
        <v>45948</v>
      </c>
      <c r="M12" s="272" t="s">
        <v>144</v>
      </c>
      <c r="N12" s="114" t="n">
        <v>33</v>
      </c>
      <c r="O12" s="114" t="s">
        <v>279</v>
      </c>
      <c r="P12" s="273" t="n">
        <v>4</v>
      </c>
      <c r="Q12" s="114" t="n">
        <v>6</v>
      </c>
      <c r="R12" s="107"/>
      <c r="S12" s="274"/>
      <c r="T12" s="279" t="n">
        <v>95870</v>
      </c>
      <c r="U12" s="280" t="n">
        <f aca="false">IFERROR(T12/Q12/100, "-")</f>
        <v>159.783333333333</v>
      </c>
    </row>
    <row r="13" customFormat="false" ht="17.25" hidden="false" customHeight="true" outlineLevel="0" collapsed="false">
      <c r="B13" s="105" t="s">
        <v>195</v>
      </c>
      <c r="C13" s="120" t="n">
        <f aca="false">C10*10/C12</f>
        <v>204.671459694989</v>
      </c>
      <c r="D13" s="120" t="n">
        <f aca="false">D10*10/D12</f>
        <v>165.209364548495</v>
      </c>
      <c r="E13" s="120" t="n">
        <f aca="false">E10*10/E12</f>
        <v>195.635294117647</v>
      </c>
      <c r="F13" s="120" t="n">
        <f aca="false">F10*10/F12</f>
        <v>185.497285559175</v>
      </c>
      <c r="G13" s="120" t="n">
        <v>160.634093376764</v>
      </c>
      <c r="H13" s="120" t="n">
        <f aca="false">IFERROR(H10/H12*10,0)</f>
        <v>204.503268810963</v>
      </c>
      <c r="I13" s="120"/>
      <c r="L13" s="272"/>
      <c r="M13" s="272" t="s">
        <v>144</v>
      </c>
      <c r="N13" s="114" t="n">
        <v>22</v>
      </c>
      <c r="O13" s="114" t="s">
        <v>158</v>
      </c>
      <c r="P13" s="273" t="n">
        <v>15</v>
      </c>
      <c r="Q13" s="114" t="n">
        <v>15.9</v>
      </c>
      <c r="R13" s="107"/>
      <c r="S13" s="274"/>
      <c r="T13" s="279" t="n">
        <v>381330</v>
      </c>
      <c r="U13" s="280" t="n">
        <f aca="false">IFERROR(T13/Q13/100, "-")</f>
        <v>239.830188679245</v>
      </c>
    </row>
    <row r="14" customFormat="false" ht="17.25" hidden="false" customHeight="true" outlineLevel="0" collapsed="false">
      <c r="B14" s="105"/>
      <c r="C14" s="121"/>
      <c r="D14" s="121"/>
      <c r="E14" s="121"/>
      <c r="F14" s="121"/>
      <c r="G14" s="121"/>
      <c r="H14" s="121"/>
      <c r="I14" s="121"/>
      <c r="L14" s="272" t="n">
        <v>45949</v>
      </c>
      <c r="M14" s="272"/>
      <c r="N14" s="114"/>
      <c r="O14" s="114"/>
      <c r="P14" s="273"/>
      <c r="Q14" s="114"/>
      <c r="R14" s="107"/>
      <c r="S14" s="274"/>
      <c r="T14" s="107"/>
      <c r="U14" s="277" t="str">
        <f aca="false">IFERROR(T14/Q14/100, "-")</f>
        <v>-</v>
      </c>
    </row>
    <row r="15" customFormat="false" ht="17.25" hidden="false" customHeight="true" outlineLevel="0" collapsed="false">
      <c r="B15" s="123" t="s">
        <v>3538</v>
      </c>
      <c r="C15" s="124"/>
      <c r="D15" s="124"/>
      <c r="E15" s="124"/>
      <c r="L15" s="272" t="n">
        <v>45950</v>
      </c>
      <c r="M15" s="272" t="s">
        <v>2402</v>
      </c>
      <c r="N15" s="114" t="n">
        <v>75</v>
      </c>
      <c r="O15" s="114" t="s">
        <v>279</v>
      </c>
      <c r="P15" s="273" t="n">
        <v>16</v>
      </c>
      <c r="Q15" s="114" t="n">
        <v>17.8</v>
      </c>
      <c r="R15" s="107"/>
      <c r="S15" s="274"/>
      <c r="T15" s="107" t="n">
        <v>385120</v>
      </c>
      <c r="U15" s="277" t="n">
        <f aca="false">IFERROR(T15/Q15/100, "-")</f>
        <v>216.359550561798</v>
      </c>
      <c r="V15" s="283"/>
    </row>
    <row r="16" s="122" customFormat="true" ht="17.25" hidden="false" customHeight="true" outlineLevel="0" collapsed="false">
      <c r="B16" s="105" t="s">
        <v>16</v>
      </c>
      <c r="C16" s="117" t="n">
        <v>8569</v>
      </c>
      <c r="D16" s="251" t="n">
        <f aca="false">C16/E16</f>
        <v>19</v>
      </c>
      <c r="E16" s="262" t="n">
        <v>451</v>
      </c>
      <c r="F16" s="284"/>
      <c r="G16" s="284"/>
      <c r="H16" s="275"/>
      <c r="I16" s="275"/>
      <c r="J16" s="89"/>
      <c r="L16" s="272" t="n">
        <v>45951</v>
      </c>
      <c r="M16" s="272" t="s">
        <v>2402</v>
      </c>
      <c r="N16" s="114" t="n">
        <v>75</v>
      </c>
      <c r="O16" s="114" t="s">
        <v>279</v>
      </c>
      <c r="P16" s="273" t="n">
        <v>9</v>
      </c>
      <c r="Q16" s="114" t="n">
        <v>10.4</v>
      </c>
      <c r="R16" s="107"/>
      <c r="S16" s="274"/>
      <c r="T16" s="276" t="n">
        <v>225250</v>
      </c>
      <c r="U16" s="285" t="n">
        <f aca="false">IFERROR(T16/Q16/100, "-")</f>
        <v>216.586538461538</v>
      </c>
      <c r="V16" s="286"/>
    </row>
    <row r="17" customFormat="false" ht="17.25" hidden="false" customHeight="true" outlineLevel="0" collapsed="false">
      <c r="B17" s="259" t="s">
        <v>17</v>
      </c>
      <c r="C17" s="143" t="n">
        <f aca="false">T47/1000</f>
        <v>9223.7003</v>
      </c>
      <c r="D17" s="260" t="n">
        <f aca="false">IFERROR(C17/E17,)</f>
        <v>20.4503268810963</v>
      </c>
      <c r="E17" s="287" t="n">
        <f aca="false">Q47</f>
        <v>451.029480048368</v>
      </c>
      <c r="G17" s="135"/>
      <c r="H17" s="135"/>
      <c r="I17" s="135"/>
      <c r="L17" s="272" t="n">
        <v>45952</v>
      </c>
      <c r="M17" s="272"/>
      <c r="N17" s="114"/>
      <c r="O17" s="114"/>
      <c r="P17" s="273"/>
      <c r="Q17" s="114"/>
      <c r="R17" s="107"/>
      <c r="S17" s="274"/>
      <c r="T17" s="276"/>
      <c r="U17" s="285" t="str">
        <f aca="false">IFERROR(T17/Q17/100, "-")</f>
        <v>-</v>
      </c>
    </row>
    <row r="18" customFormat="false" ht="17.25" hidden="false" customHeight="true" outlineLevel="0" collapsed="false">
      <c r="B18" s="105" t="s">
        <v>204</v>
      </c>
      <c r="C18" s="133" t="n">
        <f aca="false">C17/C16</f>
        <v>1.0764033492823</v>
      </c>
      <c r="D18" s="134"/>
      <c r="E18" s="262"/>
      <c r="G18" s="135"/>
      <c r="H18" s="135"/>
      <c r="I18" s="135"/>
      <c r="L18" s="272" t="n">
        <v>45953</v>
      </c>
      <c r="M18" s="272" t="s">
        <v>144</v>
      </c>
      <c r="N18" s="114" t="n">
        <v>33</v>
      </c>
      <c r="O18" s="114" t="s">
        <v>279</v>
      </c>
      <c r="P18" s="273" t="n">
        <v>1</v>
      </c>
      <c r="Q18" s="114" t="n">
        <v>1.6</v>
      </c>
      <c r="R18" s="107"/>
      <c r="S18" s="274"/>
      <c r="T18" s="107" t="n">
        <v>25860</v>
      </c>
      <c r="U18" s="277" t="n">
        <f aca="false">IFERROR(T18/Q18/100, "-")</f>
        <v>161.625</v>
      </c>
      <c r="V18" s="89" t="s">
        <v>3539</v>
      </c>
    </row>
    <row r="19" customFormat="false" ht="17.25" hidden="false" customHeight="true" outlineLevel="0" collapsed="false">
      <c r="B19" s="105" t="s">
        <v>205</v>
      </c>
      <c r="C19" s="133" t="n">
        <f aca="false">IFERROR(E17/E16, )</f>
        <v>1.0000653659609</v>
      </c>
      <c r="G19" s="135"/>
      <c r="H19" s="135"/>
      <c r="I19" s="135"/>
      <c r="L19" s="272"/>
      <c r="M19" s="272" t="s">
        <v>2715</v>
      </c>
      <c r="N19" s="114" t="n">
        <v>140</v>
      </c>
      <c r="O19" s="114" t="s">
        <v>279</v>
      </c>
      <c r="P19" s="273" t="n">
        <v>1</v>
      </c>
      <c r="Q19" s="114" t="n">
        <v>1.08948004836759</v>
      </c>
      <c r="R19" s="107"/>
      <c r="S19" s="274"/>
      <c r="T19" s="107" t="n">
        <v>27030</v>
      </c>
      <c r="U19" s="277" t="n">
        <f aca="false">IFERROR(T19/Q19/100, "-")</f>
        <v>248.1</v>
      </c>
      <c r="V19" s="89" t="s">
        <v>3539</v>
      </c>
    </row>
    <row r="20" customFormat="false" ht="17.25" hidden="false" customHeight="true" outlineLevel="0" collapsed="false">
      <c r="B20" s="105"/>
      <c r="C20" s="133"/>
      <c r="E20" s="258"/>
      <c r="G20" s="135"/>
      <c r="H20" s="135"/>
      <c r="I20" s="135"/>
      <c r="L20" s="272"/>
      <c r="M20" s="272" t="s">
        <v>2402</v>
      </c>
      <c r="N20" s="114" t="n">
        <v>75</v>
      </c>
      <c r="O20" s="114" t="s">
        <v>279</v>
      </c>
      <c r="P20" s="273" t="n">
        <v>1</v>
      </c>
      <c r="Q20" s="114" t="n">
        <v>1.1</v>
      </c>
      <c r="R20" s="107"/>
      <c r="S20" s="274"/>
      <c r="T20" s="107" t="n">
        <v>24670</v>
      </c>
      <c r="U20" s="277" t="n">
        <f aca="false">IFERROR(T20/Q20/100, "-")</f>
        <v>224.272727272727</v>
      </c>
      <c r="V20" s="89" t="s">
        <v>3539</v>
      </c>
    </row>
    <row r="21" customFormat="false" ht="17.25" hidden="false" customHeight="true" outlineLevel="0" collapsed="false">
      <c r="B21" s="105"/>
      <c r="C21" s="133"/>
      <c r="G21" s="135"/>
      <c r="H21" s="135"/>
      <c r="I21" s="135"/>
      <c r="L21" s="272"/>
      <c r="M21" s="272" t="s">
        <v>2728</v>
      </c>
      <c r="N21" s="114" t="n">
        <v>83</v>
      </c>
      <c r="O21" s="114" t="s">
        <v>279</v>
      </c>
      <c r="P21" s="273" t="n">
        <v>1</v>
      </c>
      <c r="Q21" s="114" t="n">
        <v>1</v>
      </c>
      <c r="R21" s="107"/>
      <c r="S21" s="274"/>
      <c r="T21" s="107" t="n">
        <v>21680</v>
      </c>
      <c r="U21" s="277" t="n">
        <f aca="false">IFERROR(T21/Q21/100, "-")</f>
        <v>216.8</v>
      </c>
      <c r="V21" s="89" t="s">
        <v>3539</v>
      </c>
    </row>
    <row r="22" customFormat="false" ht="17.25" hidden="false" customHeight="true" outlineLevel="0" collapsed="false">
      <c r="B22" s="105"/>
      <c r="C22" s="133"/>
      <c r="G22" s="135"/>
      <c r="H22" s="135"/>
      <c r="I22" s="135"/>
      <c r="L22" s="272" t="n">
        <v>45954</v>
      </c>
      <c r="M22" s="272" t="s">
        <v>2402</v>
      </c>
      <c r="N22" s="114" t="n">
        <v>75</v>
      </c>
      <c r="O22" s="114" t="s">
        <v>279</v>
      </c>
      <c r="P22" s="273" t="n">
        <v>8</v>
      </c>
      <c r="Q22" s="114" t="n">
        <v>10</v>
      </c>
      <c r="R22" s="107"/>
      <c r="S22" s="274"/>
      <c r="T22" s="107" t="n">
        <v>215400</v>
      </c>
      <c r="U22" s="277" t="n">
        <f aca="false">IFERROR(T22/Q22/100, "-")</f>
        <v>215.4</v>
      </c>
    </row>
    <row r="23" customFormat="false" ht="17.25" hidden="false" customHeight="true" outlineLevel="0" collapsed="false">
      <c r="B23" s="105"/>
      <c r="C23" s="133"/>
      <c r="G23" s="135"/>
      <c r="H23" s="135"/>
      <c r="I23" s="135"/>
      <c r="L23" s="272"/>
      <c r="M23" s="272" t="s">
        <v>144</v>
      </c>
      <c r="N23" s="114" t="n">
        <v>33</v>
      </c>
      <c r="O23" s="114" t="s">
        <v>279</v>
      </c>
      <c r="P23" s="273" t="n">
        <v>13</v>
      </c>
      <c r="Q23" s="114" t="n">
        <v>23.9</v>
      </c>
      <c r="R23" s="107"/>
      <c r="S23" s="274"/>
      <c r="T23" s="107" t="n">
        <v>384470</v>
      </c>
      <c r="U23" s="277" t="n">
        <f aca="false">IFERROR(T23/Q23/100, "-")</f>
        <v>160.866108786611</v>
      </c>
      <c r="W23" s="110"/>
    </row>
    <row r="24" customFormat="false" ht="17.25" hidden="false" customHeight="true" outlineLevel="0" collapsed="false">
      <c r="B24" s="105"/>
      <c r="C24" s="133"/>
      <c r="G24" s="135"/>
      <c r="H24" s="135"/>
      <c r="I24" s="135"/>
      <c r="L24" s="272" t="n">
        <v>45955</v>
      </c>
      <c r="M24" s="272" t="s">
        <v>2402</v>
      </c>
      <c r="N24" s="114" t="n">
        <v>75</v>
      </c>
      <c r="O24" s="114" t="s">
        <v>279</v>
      </c>
      <c r="P24" s="273" t="n">
        <v>22</v>
      </c>
      <c r="Q24" s="114" t="n">
        <v>26.7</v>
      </c>
      <c r="R24" s="107"/>
      <c r="S24" s="274"/>
      <c r="T24" s="107" t="n">
        <v>576490</v>
      </c>
      <c r="U24" s="277" t="n">
        <f aca="false">IFERROR(T24/Q24/100, "-")</f>
        <v>215.913857677903</v>
      </c>
      <c r="W24" s="110"/>
    </row>
    <row r="25" customFormat="false" ht="17.25" hidden="false" customHeight="true" outlineLevel="0" collapsed="false">
      <c r="B25" s="105"/>
      <c r="C25" s="133"/>
      <c r="G25" s="135"/>
      <c r="H25" s="135"/>
      <c r="I25" s="135"/>
      <c r="L25" s="272"/>
      <c r="M25" s="272" t="s">
        <v>2728</v>
      </c>
      <c r="N25" s="114" t="n">
        <v>83</v>
      </c>
      <c r="O25" s="114" t="s">
        <v>279</v>
      </c>
      <c r="P25" s="273" t="n">
        <v>3</v>
      </c>
      <c r="Q25" s="114" t="n">
        <v>3.8</v>
      </c>
      <c r="R25" s="107"/>
      <c r="S25" s="274"/>
      <c r="T25" s="107" t="n">
        <v>80670</v>
      </c>
      <c r="U25" s="277" t="n">
        <f aca="false">IFERROR(T25/Q25/100, "-")</f>
        <v>212.289473684211</v>
      </c>
      <c r="W25" s="110"/>
    </row>
    <row r="26" customFormat="false" ht="17.25" hidden="false" customHeight="true" outlineLevel="0" collapsed="false">
      <c r="B26" s="105"/>
      <c r="C26" s="133"/>
      <c r="G26" s="135"/>
      <c r="H26" s="135"/>
      <c r="I26" s="135"/>
      <c r="L26" s="272" t="n">
        <v>45956</v>
      </c>
      <c r="M26" s="272" t="s">
        <v>2402</v>
      </c>
      <c r="N26" s="114" t="n">
        <v>75</v>
      </c>
      <c r="O26" s="114" t="s">
        <v>279</v>
      </c>
      <c r="P26" s="273" t="n">
        <v>7</v>
      </c>
      <c r="Q26" s="114" t="n">
        <v>7.8</v>
      </c>
      <c r="R26" s="107"/>
      <c r="S26" s="274"/>
      <c r="T26" s="107" t="n">
        <v>167690</v>
      </c>
      <c r="U26" s="277" t="n">
        <f aca="false">IFERROR(T26/Q26/100, "-")</f>
        <v>214.98717948718</v>
      </c>
      <c r="W26" s="110"/>
    </row>
    <row r="27" customFormat="false" ht="17.25" hidden="false" customHeight="true" outlineLevel="0" collapsed="false">
      <c r="G27" s="135"/>
      <c r="H27" s="135"/>
      <c r="I27" s="135"/>
      <c r="L27" s="272"/>
      <c r="M27" s="272" t="s">
        <v>2728</v>
      </c>
      <c r="N27" s="114" t="n">
        <v>83</v>
      </c>
      <c r="O27" s="114" t="s">
        <v>279</v>
      </c>
      <c r="P27" s="273" t="n">
        <v>9</v>
      </c>
      <c r="Q27" s="114" t="n">
        <v>11.6</v>
      </c>
      <c r="R27" s="107"/>
      <c r="S27" s="274"/>
      <c r="T27" s="279" t="n">
        <v>246840</v>
      </c>
      <c r="U27" s="280" t="n">
        <f aca="false">IFERROR(T27/Q27/100, "-")</f>
        <v>212.793103448276</v>
      </c>
      <c r="W27" s="110"/>
    </row>
    <row r="28" customFormat="false" ht="17.25" hidden="false" customHeight="true" outlineLevel="0" collapsed="false">
      <c r="C28" s="149"/>
      <c r="G28" s="135"/>
      <c r="H28" s="135"/>
      <c r="I28" s="135"/>
      <c r="L28" s="272" t="n">
        <v>45957</v>
      </c>
      <c r="M28" s="272" t="s">
        <v>2728</v>
      </c>
      <c r="N28" s="114" t="n">
        <v>83</v>
      </c>
      <c r="O28" s="114" t="s">
        <v>279</v>
      </c>
      <c r="P28" s="273" t="n">
        <v>26</v>
      </c>
      <c r="Q28" s="114" t="n">
        <v>32.1</v>
      </c>
      <c r="R28" s="107"/>
      <c r="S28" s="274"/>
      <c r="T28" s="107" t="n">
        <v>685100</v>
      </c>
      <c r="U28" s="280" t="n">
        <f aca="false">IFERROR(T28/Q28/100, "-")</f>
        <v>213.426791277259</v>
      </c>
      <c r="W28" s="110"/>
    </row>
    <row r="29" customFormat="false" ht="17.25" hidden="false" customHeight="true" outlineLevel="0" collapsed="false">
      <c r="G29" s="135"/>
      <c r="H29" s="135"/>
      <c r="I29" s="135"/>
      <c r="L29" s="272" t="n">
        <v>45958</v>
      </c>
      <c r="M29" s="272" t="s">
        <v>2728</v>
      </c>
      <c r="N29" s="114" t="n">
        <v>83</v>
      </c>
      <c r="O29" s="114" t="s">
        <v>279</v>
      </c>
      <c r="P29" s="273" t="n">
        <v>2</v>
      </c>
      <c r="Q29" s="114" t="n">
        <v>2.5</v>
      </c>
      <c r="R29" s="107"/>
      <c r="S29" s="274"/>
      <c r="T29" s="107" t="n">
        <v>52870</v>
      </c>
      <c r="U29" s="280" t="n">
        <f aca="false">IFERROR(T29/Q29/100, "-")</f>
        <v>211.48</v>
      </c>
      <c r="W29" s="110"/>
    </row>
    <row r="30" customFormat="false" ht="17.25" hidden="false" customHeight="true" outlineLevel="0" collapsed="false">
      <c r="C30" s="149"/>
      <c r="G30" s="136"/>
      <c r="H30" s="136"/>
      <c r="I30" s="136"/>
      <c r="L30" s="272"/>
      <c r="M30" s="272" t="s">
        <v>2715</v>
      </c>
      <c r="N30" s="114" t="n">
        <v>140</v>
      </c>
      <c r="O30" s="114" t="s">
        <v>279</v>
      </c>
      <c r="P30" s="273" t="n">
        <v>6</v>
      </c>
      <c r="Q30" s="114" t="n">
        <v>8</v>
      </c>
      <c r="R30" s="107"/>
      <c r="S30" s="274"/>
      <c r="T30" s="107" t="n">
        <v>131490</v>
      </c>
      <c r="U30" s="280" t="n">
        <f aca="false">IFERROR(T30/Q30/100, "-")</f>
        <v>164.3625</v>
      </c>
      <c r="W30" s="110"/>
    </row>
    <row r="31" customFormat="false" ht="17.25" hidden="false" customHeight="true" outlineLevel="0" collapsed="false">
      <c r="L31" s="272" t="n">
        <v>45959</v>
      </c>
      <c r="M31" s="272" t="s">
        <v>2715</v>
      </c>
      <c r="N31" s="114" t="n">
        <v>140</v>
      </c>
      <c r="O31" s="114" t="s">
        <v>279</v>
      </c>
      <c r="P31" s="273" t="n">
        <v>19</v>
      </c>
      <c r="Q31" s="114" t="n">
        <v>28</v>
      </c>
      <c r="R31" s="107"/>
      <c r="S31" s="274"/>
      <c r="T31" s="107" t="n">
        <v>501660</v>
      </c>
      <c r="U31" s="280" t="n">
        <f aca="false">IFERROR(T31/Q31/100, "-")</f>
        <v>179.164285714286</v>
      </c>
      <c r="W31" s="110"/>
    </row>
    <row r="32" customFormat="false" ht="17.25" hidden="false" customHeight="true" outlineLevel="0" collapsed="false">
      <c r="L32" s="272" t="n">
        <v>45960</v>
      </c>
      <c r="M32" s="272" t="s">
        <v>2715</v>
      </c>
      <c r="N32" s="114" t="n">
        <v>140</v>
      </c>
      <c r="O32" s="114" t="s">
        <v>279</v>
      </c>
      <c r="P32" s="273" t="n">
        <v>3</v>
      </c>
      <c r="Q32" s="114" t="n">
        <v>4</v>
      </c>
      <c r="R32" s="107"/>
      <c r="S32" s="274"/>
      <c r="T32" s="107" t="n">
        <v>72310</v>
      </c>
      <c r="U32" s="280" t="n">
        <f aca="false">IFERROR(T32/Q32/100, "-")</f>
        <v>180.775</v>
      </c>
      <c r="W32" s="110"/>
    </row>
    <row r="33" customFormat="false" ht="16.5" hidden="false" customHeight="true" outlineLevel="0" collapsed="false">
      <c r="L33" s="272"/>
      <c r="M33" s="272" t="s">
        <v>2728</v>
      </c>
      <c r="N33" s="114" t="n">
        <v>83</v>
      </c>
      <c r="O33" s="114" t="s">
        <v>279</v>
      </c>
      <c r="P33" s="273" t="n">
        <v>14</v>
      </c>
      <c r="Q33" s="114" t="n">
        <v>14</v>
      </c>
      <c r="R33" s="107"/>
      <c r="S33" s="274"/>
      <c r="T33" s="107" t="n">
        <v>337580</v>
      </c>
      <c r="U33" s="280" t="n">
        <f aca="false">IFERROR(T33/Q33/100, "-")</f>
        <v>241.128571428571</v>
      </c>
      <c r="W33" s="110"/>
    </row>
    <row r="34" customFormat="false" ht="16.5" hidden="false" customHeight="true" outlineLevel="0" collapsed="false">
      <c r="L34" s="272" t="n">
        <v>45961</v>
      </c>
      <c r="M34" s="272" t="s">
        <v>2728</v>
      </c>
      <c r="N34" s="114" t="n">
        <v>83</v>
      </c>
      <c r="O34" s="114" t="s">
        <v>279</v>
      </c>
      <c r="P34" s="273" t="n">
        <v>12</v>
      </c>
      <c r="Q34" s="114" t="n">
        <v>18</v>
      </c>
      <c r="R34" s="107"/>
      <c r="S34" s="274"/>
      <c r="T34" s="107" t="n">
        <v>342590</v>
      </c>
      <c r="U34" s="280" t="n">
        <f aca="false">IFERROR(T34/Q34/100, "-")</f>
        <v>190.327777777778</v>
      </c>
      <c r="W34" s="110"/>
    </row>
    <row r="35" customFormat="false" ht="16.5" hidden="false" customHeight="true" outlineLevel="0" collapsed="false">
      <c r="L35" s="272"/>
      <c r="M35" s="272" t="s">
        <v>2715</v>
      </c>
      <c r="N35" s="114" t="n">
        <v>140</v>
      </c>
      <c r="O35" s="114" t="s">
        <v>279</v>
      </c>
      <c r="P35" s="273" t="n">
        <v>9</v>
      </c>
      <c r="Q35" s="114" t="n">
        <v>8</v>
      </c>
      <c r="R35" s="107"/>
      <c r="S35" s="274"/>
      <c r="T35" s="107" t="n">
        <v>230810</v>
      </c>
      <c r="U35" s="280" t="n">
        <f aca="false">IFERROR(T35/Q35/100, "-")</f>
        <v>288.5125</v>
      </c>
      <c r="W35" s="110"/>
    </row>
    <row r="36" customFormat="false" ht="16.5" hidden="false" customHeight="true" outlineLevel="0" collapsed="false">
      <c r="L36" s="272" t="n">
        <v>45962</v>
      </c>
      <c r="M36" s="272" t="s">
        <v>2715</v>
      </c>
      <c r="N36" s="114" t="n">
        <v>140</v>
      </c>
      <c r="O36" s="114" t="s">
        <v>279</v>
      </c>
      <c r="P36" s="273" t="n">
        <v>22</v>
      </c>
      <c r="Q36" s="114" t="n">
        <v>32</v>
      </c>
      <c r="R36" s="107"/>
      <c r="S36" s="274"/>
      <c r="T36" s="107" t="n">
        <v>638420</v>
      </c>
      <c r="U36" s="280" t="n">
        <f aca="false">IFERROR(T36/Q36/100, "-")</f>
        <v>199.50625</v>
      </c>
      <c r="W36" s="110"/>
    </row>
    <row r="37" customFormat="false" ht="16.5" hidden="false" customHeight="true" outlineLevel="0" collapsed="false">
      <c r="L37" s="272" t="n">
        <v>45963</v>
      </c>
      <c r="M37" s="272" t="s">
        <v>2715</v>
      </c>
      <c r="N37" s="114" t="n">
        <v>140</v>
      </c>
      <c r="O37" s="114" t="s">
        <v>279</v>
      </c>
      <c r="P37" s="273" t="n">
        <v>9</v>
      </c>
      <c r="Q37" s="114" t="n">
        <v>14</v>
      </c>
      <c r="R37" s="107"/>
      <c r="S37" s="274"/>
      <c r="T37" s="107" t="n">
        <v>266230</v>
      </c>
      <c r="U37" s="280" t="n">
        <f aca="false">IFERROR(T37/Q37/100, "-")</f>
        <v>190.164285714286</v>
      </c>
    </row>
    <row r="38" customFormat="false" ht="16.5" hidden="false" customHeight="true" outlineLevel="0" collapsed="false">
      <c r="L38" s="272" t="n">
        <v>45964</v>
      </c>
      <c r="M38" s="272" t="s">
        <v>2715</v>
      </c>
      <c r="N38" s="114" t="n">
        <v>140</v>
      </c>
      <c r="O38" s="114" t="s">
        <v>279</v>
      </c>
      <c r="P38" s="273" t="n">
        <v>20</v>
      </c>
      <c r="Q38" s="114" t="n">
        <v>34</v>
      </c>
      <c r="R38" s="107"/>
      <c r="S38" s="274"/>
      <c r="T38" s="107" t="n">
        <v>555400</v>
      </c>
      <c r="U38" s="280" t="n">
        <f aca="false">IFERROR(T38/Q38/100, "-")</f>
        <v>163.352941176471</v>
      </c>
    </row>
    <row r="39" customFormat="false" ht="16.5" hidden="false" customHeight="true" outlineLevel="0" collapsed="false">
      <c r="L39" s="272" t="n">
        <v>45965</v>
      </c>
      <c r="M39" s="272" t="s">
        <v>2715</v>
      </c>
      <c r="N39" s="114" t="n">
        <v>140</v>
      </c>
      <c r="O39" s="114" t="s">
        <v>279</v>
      </c>
      <c r="P39" s="273" t="n">
        <v>9</v>
      </c>
      <c r="Q39" s="114" t="n">
        <v>10.9</v>
      </c>
      <c r="R39" s="107"/>
      <c r="S39" s="274"/>
      <c r="T39" s="107" t="n">
        <v>261900.3</v>
      </c>
      <c r="U39" s="280" t="n">
        <f aca="false">IFERROR(T39/Q39/100, "-")</f>
        <v>240.275504587156</v>
      </c>
      <c r="V39" s="89" t="s">
        <v>3540</v>
      </c>
    </row>
    <row r="40" customFormat="false" ht="16.5" hidden="false" customHeight="true" outlineLevel="0" collapsed="false">
      <c r="L40" s="272" t="n">
        <v>45966</v>
      </c>
      <c r="M40" s="272" t="s">
        <v>3217</v>
      </c>
      <c r="N40" s="114" t="n">
        <v>45</v>
      </c>
      <c r="O40" s="114" t="s">
        <v>279</v>
      </c>
      <c r="P40" s="273" t="n">
        <v>1</v>
      </c>
      <c r="Q40" s="114" t="n">
        <v>0.8</v>
      </c>
      <c r="R40" s="107"/>
      <c r="S40" s="274"/>
      <c r="T40" s="107" t="n">
        <v>13410</v>
      </c>
      <c r="U40" s="280" t="n">
        <f aca="false">IFERROR(T40/Q40/100, "-")</f>
        <v>167.625</v>
      </c>
      <c r="V40" s="89" t="s">
        <v>3541</v>
      </c>
    </row>
    <row r="41" customFormat="false" ht="14.25" hidden="false" customHeight="false" outlineLevel="0" collapsed="false">
      <c r="L41" s="272" t="n">
        <v>45967</v>
      </c>
      <c r="M41" s="272"/>
      <c r="N41" s="114"/>
      <c r="O41" s="114"/>
      <c r="P41" s="273"/>
      <c r="Q41" s="114"/>
      <c r="R41" s="107"/>
      <c r="S41" s="274"/>
      <c r="T41" s="107"/>
      <c r="U41" s="280"/>
    </row>
    <row r="42" customFormat="false" ht="14.25" hidden="false" customHeight="false" outlineLevel="0" collapsed="false">
      <c r="L42" s="272" t="n">
        <v>45968</v>
      </c>
      <c r="M42" s="272"/>
      <c r="N42" s="114"/>
      <c r="O42" s="114"/>
      <c r="P42" s="273"/>
      <c r="Q42" s="114"/>
      <c r="R42" s="107"/>
      <c r="S42" s="274"/>
      <c r="T42" s="107"/>
      <c r="U42" s="280"/>
    </row>
    <row r="43" customFormat="false" ht="14.25" hidden="false" customHeight="false" outlineLevel="0" collapsed="false">
      <c r="L43" s="272" t="n">
        <v>45969</v>
      </c>
      <c r="M43" s="272" t="s">
        <v>3217</v>
      </c>
      <c r="N43" s="114" t="n">
        <v>45</v>
      </c>
      <c r="O43" s="114" t="s">
        <v>279</v>
      </c>
      <c r="P43" s="273" t="n">
        <v>18</v>
      </c>
      <c r="Q43" s="114" t="n">
        <v>23.25</v>
      </c>
      <c r="R43" s="107"/>
      <c r="S43" s="274"/>
      <c r="T43" s="107" t="n">
        <v>451020</v>
      </c>
      <c r="U43" s="280" t="n">
        <f aca="false">IFERROR(T43/Q43/100, "-")</f>
        <v>193.987096774194</v>
      </c>
    </row>
    <row r="44" customFormat="false" ht="14.25" hidden="false" customHeight="false" outlineLevel="0" collapsed="false">
      <c r="L44" s="272" t="n">
        <v>45970</v>
      </c>
      <c r="M44" s="272" t="s">
        <v>3217</v>
      </c>
      <c r="N44" s="114" t="n">
        <v>45</v>
      </c>
      <c r="O44" s="114" t="s">
        <v>279</v>
      </c>
      <c r="P44" s="273" t="n">
        <v>16</v>
      </c>
      <c r="Q44" s="114" t="n">
        <v>21</v>
      </c>
      <c r="R44" s="107"/>
      <c r="S44" s="274"/>
      <c r="T44" s="107" t="n">
        <v>415900</v>
      </c>
      <c r="U44" s="280" t="n">
        <f aca="false">IFERROR(T44/Q44/100, "-")</f>
        <v>198.047619047619</v>
      </c>
    </row>
    <row r="45" customFormat="false" ht="14.25" hidden="false" customHeight="false" outlineLevel="0" collapsed="false">
      <c r="L45" s="272"/>
      <c r="M45" s="272"/>
      <c r="N45" s="114"/>
      <c r="O45" s="114"/>
      <c r="P45" s="273"/>
      <c r="Q45" s="114"/>
      <c r="R45" s="107"/>
      <c r="S45" s="274"/>
      <c r="T45" s="107"/>
      <c r="U45" s="280"/>
    </row>
    <row r="46" customFormat="false" ht="16.5" hidden="false" customHeight="true" outlineLevel="0" collapsed="false">
      <c r="L46" s="272"/>
      <c r="M46" s="272"/>
      <c r="N46" s="114"/>
      <c r="O46" s="114"/>
      <c r="P46" s="273"/>
      <c r="Q46" s="114"/>
      <c r="R46" s="107"/>
      <c r="S46" s="274"/>
      <c r="T46" s="107"/>
      <c r="U46" s="280" t="str">
        <f aca="false">IFERROR(T46/Q46/100, "-")</f>
        <v>-</v>
      </c>
    </row>
    <row r="47" customFormat="false" ht="14.25" hidden="false" customHeight="false" outlineLevel="0" collapsed="false">
      <c r="L47" s="95" t="s">
        <v>149</v>
      </c>
      <c r="M47" s="95"/>
      <c r="N47" s="95"/>
      <c r="O47" s="95"/>
      <c r="P47" s="95" t="n">
        <f aca="false">SUM(P4:P46)</f>
        <v>347</v>
      </c>
      <c r="Q47" s="288" t="n">
        <f aca="false">SUM(Q4:Q46)</f>
        <v>451.029480048368</v>
      </c>
      <c r="R47" s="289" t="n">
        <f aca="false">SUM(R4:R46)</f>
        <v>0</v>
      </c>
      <c r="S47" s="290"/>
      <c r="T47" s="289" t="n">
        <f aca="false">SUM(T4:T46)</f>
        <v>9223700.3</v>
      </c>
      <c r="U47" s="131" t="n">
        <f aca="false">T47/Q47/100</f>
        <v>204.503268810963</v>
      </c>
    </row>
    <row r="51" customFormat="false" ht="14.25" hidden="false" customHeight="false" outlineLevel="0" collapsed="false">
      <c r="Q51" s="142"/>
      <c r="R51" s="142"/>
      <c r="S51" s="142"/>
      <c r="T51" s="142"/>
    </row>
    <row r="52" customFormat="false" ht="14.25" hidden="false" customHeight="false" outlineLevel="0" collapsed="false">
      <c r="Q52" s="142"/>
      <c r="R52" s="110"/>
      <c r="T52" s="110"/>
    </row>
    <row r="53" customFormat="false" ht="14.25" hidden="false" customHeight="false" outlineLevel="0" collapsed="false">
      <c r="T53" s="110"/>
    </row>
    <row r="54" customFormat="false" ht="14.25" hidden="false" customHeight="false" outlineLevel="0" collapsed="false">
      <c r="T54" s="110"/>
    </row>
  </sheetData>
  <autoFilter ref="L3:U47"/>
  <mergeCells count="2">
    <mergeCell ref="B2:T2"/>
    <mergeCell ref="F16:G1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B2:W49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1" ySplit="4" topLeftCell="D23" activePane="bottomRight" state="frozen"/>
      <selection pane="topLeft" activeCell="A1" activeCellId="0" sqref="A1"/>
      <selection pane="topRight" activeCell="D1" activeCellId="0" sqref="D1"/>
      <selection pane="bottomLeft" activeCell="A23" activeCellId="0" sqref="A23"/>
      <selection pane="bottomRight" activeCell="I14" activeCellId="0" sqref="I14"/>
    </sheetView>
  </sheetViews>
  <sheetFormatPr defaultColWidth="9.1484375" defaultRowHeight="14.25" customHeight="true" zeroHeight="false" outlineLevelRow="0" outlineLevelCol="1"/>
  <cols>
    <col collapsed="false" customWidth="true" hidden="false" outlineLevel="0" max="1" min="1" style="89" width="3.29"/>
    <col collapsed="false" customWidth="true" hidden="false" outlineLevel="0" max="2" min="2" style="89" width="46.29"/>
    <col collapsed="false" customWidth="true" hidden="false" outlineLevel="0" max="7" min="3" style="89" width="14.57"/>
    <col collapsed="false" customWidth="true" hidden="false" outlineLevel="0" max="9" min="8" style="89" width="12.71"/>
    <col collapsed="false" customWidth="true" hidden="false" outlineLevel="0" max="10" min="10" style="89" width="10.85"/>
    <col collapsed="false" customWidth="true" hidden="false" outlineLevel="0" max="11" min="11" style="89" width="17.71"/>
    <col collapsed="false" customWidth="true" hidden="false" outlineLevel="1" max="12" min="12" style="89" width="24.71"/>
    <col collapsed="false" customWidth="true" hidden="false" outlineLevel="1" max="13" min="13" style="89" width="12.15"/>
    <col collapsed="false" customWidth="true" hidden="false" outlineLevel="1" max="14" min="14" style="89" width="13.57"/>
    <col collapsed="false" customWidth="true" hidden="false" outlineLevel="1" max="15" min="15" style="90" width="13.42"/>
    <col collapsed="false" customWidth="true" hidden="false" outlineLevel="0" max="16" min="16" style="89" width="11.14"/>
    <col collapsed="false" customWidth="true" hidden="true" outlineLevel="1" max="17" min="17" style="89" width="18"/>
    <col collapsed="false" customWidth="true" hidden="true" outlineLevel="1" max="18" min="18" style="89" width="17.57"/>
    <col collapsed="false" customWidth="true" hidden="false" outlineLevel="0" max="19" min="19" style="89" width="15.57"/>
    <col collapsed="false" customWidth="true" hidden="false" outlineLevel="0" max="20" min="20" style="89" width="17.57"/>
    <col collapsed="false" customWidth="true" hidden="false" outlineLevel="0" max="21" min="21" style="89" width="64"/>
    <col collapsed="false" customWidth="true" hidden="false" outlineLevel="0" max="22" min="22" style="89" width="11.71"/>
    <col collapsed="false" customWidth="true" hidden="false" outlineLevel="0" max="24" min="23" style="89" width="14.42"/>
    <col collapsed="false" customWidth="false" hidden="false" outlineLevel="0" max="16384" min="25" style="89" width="9.14"/>
  </cols>
  <sheetData>
    <row r="2" customFormat="false" ht="60" hidden="false" customHeight="true" outlineLevel="0" collapsed="false">
      <c r="B2" s="91" t="s">
        <v>3542</v>
      </c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2"/>
    </row>
    <row r="3" customFormat="false" ht="64.9" hidden="false" customHeight="false" outlineLevel="0" collapsed="false">
      <c r="H3" s="94"/>
      <c r="I3" s="94"/>
      <c r="J3" s="94"/>
      <c r="K3" s="95" t="s">
        <v>3413</v>
      </c>
      <c r="L3" s="95" t="s">
        <v>75</v>
      </c>
      <c r="M3" s="95" t="s">
        <v>168</v>
      </c>
      <c r="N3" s="95" t="s">
        <v>76</v>
      </c>
      <c r="O3" s="95" t="s">
        <v>169</v>
      </c>
      <c r="P3" s="95" t="s">
        <v>18</v>
      </c>
      <c r="Q3" s="95" t="s">
        <v>170</v>
      </c>
      <c r="R3" s="95" t="s">
        <v>171</v>
      </c>
      <c r="S3" s="95" t="s">
        <v>172</v>
      </c>
      <c r="T3" s="95" t="s">
        <v>173</v>
      </c>
    </row>
    <row r="4" customFormat="false" ht="18.75" hidden="false" customHeight="true" outlineLevel="0" collapsed="false">
      <c r="B4" s="97" t="s">
        <v>174</v>
      </c>
      <c r="C4" s="98" t="s">
        <v>175</v>
      </c>
      <c r="D4" s="98" t="s">
        <v>176</v>
      </c>
      <c r="E4" s="98" t="s">
        <v>62</v>
      </c>
      <c r="F4" s="98" t="s">
        <v>63</v>
      </c>
      <c r="G4" s="98" t="s">
        <v>64</v>
      </c>
      <c r="H4" s="98" t="s">
        <v>65</v>
      </c>
      <c r="I4" s="271"/>
      <c r="K4" s="99" t="n">
        <v>45935</v>
      </c>
      <c r="L4" s="99" t="s">
        <v>2067</v>
      </c>
      <c r="M4" s="100" t="n">
        <v>75.4</v>
      </c>
      <c r="N4" s="100" t="s">
        <v>279</v>
      </c>
      <c r="O4" s="101" t="n">
        <v>1</v>
      </c>
      <c r="P4" s="100" t="n">
        <v>1.5</v>
      </c>
      <c r="Q4" s="107"/>
      <c r="R4" s="103"/>
      <c r="S4" s="107" t="n">
        <v>25690</v>
      </c>
      <c r="T4" s="291" t="n">
        <f aca="false">IFERROR(S4/P4/100, "-")</f>
        <v>171.266666666667</v>
      </c>
      <c r="U4" s="292" t="s">
        <v>3543</v>
      </c>
    </row>
    <row r="5" s="90" customFormat="true" ht="18.75" hidden="false" customHeight="true" outlineLevel="0" collapsed="false">
      <c r="B5" s="105" t="s">
        <v>12</v>
      </c>
      <c r="C5" s="106"/>
      <c r="D5" s="106"/>
      <c r="E5" s="106" t="n">
        <v>44856</v>
      </c>
      <c r="F5" s="106" t="n">
        <v>45164</v>
      </c>
      <c r="G5" s="106" t="n">
        <v>45553</v>
      </c>
      <c r="H5" s="106" t="n">
        <f aca="false">K4</f>
        <v>45935</v>
      </c>
      <c r="I5" s="106"/>
      <c r="K5" s="99" t="n">
        <v>45936</v>
      </c>
      <c r="L5" s="99" t="s">
        <v>2067</v>
      </c>
      <c r="M5" s="100" t="n">
        <v>75.4</v>
      </c>
      <c r="N5" s="100" t="s">
        <v>279</v>
      </c>
      <c r="O5" s="273" t="n">
        <v>13</v>
      </c>
      <c r="P5" s="114" t="n">
        <v>21</v>
      </c>
      <c r="Q5" s="107"/>
      <c r="R5" s="103"/>
      <c r="S5" s="107" t="n">
        <v>343070</v>
      </c>
      <c r="T5" s="291" t="n">
        <f aca="false">IFERROR(S5/P5/100, "-")</f>
        <v>163.366666666667</v>
      </c>
      <c r="U5" s="292"/>
      <c r="V5" s="275"/>
    </row>
    <row r="6" customFormat="false" ht="18.75" hidden="false" customHeight="true" outlineLevel="0" collapsed="false">
      <c r="B6" s="105" t="s">
        <v>20</v>
      </c>
      <c r="C6" s="106"/>
      <c r="D6" s="106"/>
      <c r="E6" s="106" t="n">
        <v>44864</v>
      </c>
      <c r="F6" s="106" t="n">
        <v>45171</v>
      </c>
      <c r="G6" s="106" t="n">
        <v>45569</v>
      </c>
      <c r="H6" s="106" t="n">
        <f aca="false">K39</f>
        <v>45967</v>
      </c>
      <c r="I6" s="106"/>
      <c r="K6" s="272" t="n">
        <v>45937</v>
      </c>
      <c r="L6" s="99"/>
      <c r="M6" s="114"/>
      <c r="O6" s="273"/>
      <c r="P6" s="114"/>
      <c r="Q6" s="107"/>
      <c r="R6" s="103"/>
      <c r="S6" s="107"/>
      <c r="T6" s="291" t="str">
        <f aca="false">IFERROR(S6/P6/100, "-")</f>
        <v>-</v>
      </c>
      <c r="U6" s="292"/>
    </row>
    <row r="7" customFormat="false" ht="18.75" hidden="false" customHeight="true" outlineLevel="0" collapsed="false">
      <c r="B7" s="105" t="s">
        <v>178</v>
      </c>
      <c r="C7" s="111"/>
      <c r="D7" s="111"/>
      <c r="E7" s="111" t="n">
        <f aca="false">IF(E6=0,"-",E6-E5+1)</f>
        <v>9</v>
      </c>
      <c r="F7" s="111" t="n">
        <f aca="false">IF(F6=0,"-",F6-F5+1)</f>
        <v>8</v>
      </c>
      <c r="G7" s="111" t="n">
        <v>17</v>
      </c>
      <c r="H7" s="111" t="n">
        <f aca="false">IF(H6=0,"-",H6-H5+1)</f>
        <v>33</v>
      </c>
      <c r="I7" s="111"/>
      <c r="K7" s="272" t="n">
        <v>45938</v>
      </c>
      <c r="L7" s="99" t="s">
        <v>2067</v>
      </c>
      <c r="M7" s="114" t="n">
        <v>75.4</v>
      </c>
      <c r="N7" s="114" t="s">
        <v>279</v>
      </c>
      <c r="O7" s="273" t="n">
        <v>7</v>
      </c>
      <c r="P7" s="114" t="n">
        <v>10.5</v>
      </c>
      <c r="Q7" s="107"/>
      <c r="R7" s="103"/>
      <c r="S7" s="276" t="n">
        <v>178030</v>
      </c>
      <c r="T7" s="291" t="n">
        <f aca="false">IFERROR(S7/P7/100, "-")</f>
        <v>169.552380952381</v>
      </c>
      <c r="U7" s="292"/>
    </row>
    <row r="8" customFormat="false" ht="18.75" hidden="false" customHeight="true" outlineLevel="0" collapsed="false">
      <c r="B8" s="105" t="s">
        <v>179</v>
      </c>
      <c r="C8" s="111"/>
      <c r="D8" s="111"/>
      <c r="E8" s="111" t="n">
        <v>8</v>
      </c>
      <c r="F8" s="111" t="n">
        <v>8</v>
      </c>
      <c r="G8" s="111" t="n">
        <v>13</v>
      </c>
      <c r="H8" s="111" t="n">
        <v>17</v>
      </c>
      <c r="I8" s="111"/>
      <c r="K8" s="272" t="n">
        <v>45939</v>
      </c>
      <c r="L8" s="99" t="s">
        <v>2067</v>
      </c>
      <c r="M8" s="114" t="n">
        <v>75.4</v>
      </c>
      <c r="N8" s="114" t="s">
        <v>279</v>
      </c>
      <c r="O8" s="273" t="n">
        <v>21</v>
      </c>
      <c r="P8" s="114" t="n">
        <v>36</v>
      </c>
      <c r="Q8" s="107"/>
      <c r="R8" s="103"/>
      <c r="S8" s="276" t="n">
        <v>584560</v>
      </c>
      <c r="T8" s="291" t="n">
        <f aca="false">IFERROR(S8/P8/100, "-")</f>
        <v>162.377777777778</v>
      </c>
      <c r="U8" s="275"/>
    </row>
    <row r="9" customFormat="false" ht="18.75" hidden="false" customHeight="true" outlineLevel="0" collapsed="false">
      <c r="B9" s="105" t="s">
        <v>181</v>
      </c>
      <c r="C9" s="112"/>
      <c r="D9" s="112"/>
      <c r="E9" s="112"/>
      <c r="F9" s="112"/>
      <c r="G9" s="112" t="s">
        <v>3544</v>
      </c>
      <c r="H9" s="112" t="s">
        <v>3545</v>
      </c>
      <c r="I9" s="112"/>
      <c r="K9" s="272" t="n">
        <v>45940</v>
      </c>
      <c r="L9" s="99" t="s">
        <v>2067</v>
      </c>
      <c r="M9" s="114" t="n">
        <v>75.4</v>
      </c>
      <c r="N9" s="114" t="s">
        <v>279</v>
      </c>
      <c r="O9" s="273" t="n">
        <v>4</v>
      </c>
      <c r="P9" s="114" t="n">
        <v>6.4</v>
      </c>
      <c r="Q9" s="107"/>
      <c r="R9" s="103"/>
      <c r="S9" s="276" t="n">
        <v>102430</v>
      </c>
      <c r="T9" s="291" t="n">
        <f aca="false">IFERROR(S9/P9/100, "-")</f>
        <v>160.046875</v>
      </c>
      <c r="U9" s="275"/>
    </row>
    <row r="10" customFormat="false" ht="18.75" hidden="false" customHeight="true" outlineLevel="0" collapsed="false">
      <c r="B10" s="105" t="s">
        <v>187</v>
      </c>
      <c r="C10" s="117"/>
      <c r="D10" s="117"/>
      <c r="E10" s="117" t="n">
        <v>1823.61</v>
      </c>
      <c r="F10" s="117" t="n">
        <v>1986.55</v>
      </c>
      <c r="G10" s="117" t="n">
        <v>3497.07</v>
      </c>
      <c r="H10" s="117" t="n">
        <f aca="false">S43/1000</f>
        <v>4688.0497</v>
      </c>
      <c r="I10" s="117"/>
      <c r="K10" s="272"/>
      <c r="L10" s="272" t="s">
        <v>2292</v>
      </c>
      <c r="M10" s="114" t="n">
        <v>73.7</v>
      </c>
      <c r="N10" s="114" t="s">
        <v>279</v>
      </c>
      <c r="O10" s="273" t="n">
        <v>13</v>
      </c>
      <c r="P10" s="114" t="n">
        <v>19.7</v>
      </c>
      <c r="Q10" s="107"/>
      <c r="R10" s="274"/>
      <c r="S10" s="107" t="n">
        <v>339800</v>
      </c>
      <c r="T10" s="291" t="n">
        <f aca="false">IFERROR(S10/P10/100, "-")</f>
        <v>172.48730964467</v>
      </c>
      <c r="U10" s="275"/>
    </row>
    <row r="11" customFormat="false" ht="18.75" hidden="false" customHeight="true" outlineLevel="0" collapsed="false">
      <c r="B11" s="105" t="s">
        <v>191</v>
      </c>
      <c r="C11" s="119"/>
      <c r="D11" s="119"/>
      <c r="E11" s="119" t="n">
        <v>110</v>
      </c>
      <c r="F11" s="119" t="n">
        <v>150</v>
      </c>
      <c r="G11" s="119" t="n">
        <v>302</v>
      </c>
      <c r="H11" s="119" t="n">
        <v>297</v>
      </c>
      <c r="I11" s="119"/>
      <c r="J11" s="282"/>
      <c r="K11" s="272" t="n">
        <v>45941</v>
      </c>
      <c r="L11" s="272" t="s">
        <v>2292</v>
      </c>
      <c r="M11" s="114" t="n">
        <v>73.7</v>
      </c>
      <c r="N11" s="114" t="s">
        <v>279</v>
      </c>
      <c r="O11" s="273" t="n">
        <v>20</v>
      </c>
      <c r="P11" s="114" t="n">
        <v>38</v>
      </c>
      <c r="Q11" s="107"/>
      <c r="R11" s="274"/>
      <c r="S11" s="107" t="n">
        <v>542660</v>
      </c>
      <c r="T11" s="291" t="n">
        <f aca="false">IFERROR(S11/P11/100, "-")</f>
        <v>142.805263157895</v>
      </c>
      <c r="U11" s="292"/>
    </row>
    <row r="12" customFormat="false" ht="18.75" hidden="false" customHeight="true" outlineLevel="0" collapsed="false">
      <c r="B12" s="105" t="s">
        <v>18</v>
      </c>
      <c r="C12" s="119"/>
      <c r="D12" s="119"/>
      <c r="E12" s="119" t="n">
        <v>110</v>
      </c>
      <c r="F12" s="119" t="n">
        <v>136</v>
      </c>
      <c r="G12" s="119" t="n">
        <v>302</v>
      </c>
      <c r="H12" s="119" t="n">
        <f aca="false">P43</f>
        <v>297</v>
      </c>
      <c r="I12" s="119"/>
      <c r="K12" s="272" t="n">
        <v>45942</v>
      </c>
      <c r="L12" s="272" t="s">
        <v>2292</v>
      </c>
      <c r="M12" s="114" t="n">
        <v>73.7</v>
      </c>
      <c r="N12" s="114" t="s">
        <v>279</v>
      </c>
      <c r="O12" s="273" t="n">
        <v>11</v>
      </c>
      <c r="P12" s="114" t="n">
        <v>16</v>
      </c>
      <c r="Q12" s="107"/>
      <c r="R12" s="274"/>
      <c r="S12" s="107" t="n">
        <v>273130</v>
      </c>
      <c r="T12" s="291" t="n">
        <f aca="false">IFERROR(S12/P12/100, "-")</f>
        <v>170.70625</v>
      </c>
      <c r="U12" s="275"/>
    </row>
    <row r="13" customFormat="false" ht="18.75" hidden="false" customHeight="true" outlineLevel="0" collapsed="false">
      <c r="B13" s="105" t="s">
        <v>195</v>
      </c>
      <c r="C13" s="120"/>
      <c r="D13" s="120"/>
      <c r="E13" s="120" t="n">
        <f aca="false">E10*10/E12</f>
        <v>165.782727272727</v>
      </c>
      <c r="F13" s="120" t="n">
        <f aca="false">F10*10/F12</f>
        <v>146.069852941176</v>
      </c>
      <c r="G13" s="120" t="n">
        <f aca="false">G10*10/G12</f>
        <v>115.79701986755</v>
      </c>
      <c r="H13" s="120" t="n">
        <f aca="false">IFERROR(H10/H12*10,0)</f>
        <v>157.846791245791</v>
      </c>
      <c r="I13" s="120"/>
      <c r="K13" s="272"/>
      <c r="L13" s="272" t="s">
        <v>3329</v>
      </c>
      <c r="M13" s="114" t="n">
        <v>73.3</v>
      </c>
      <c r="N13" s="114" t="s">
        <v>279</v>
      </c>
      <c r="O13" s="273" t="n">
        <v>1</v>
      </c>
      <c r="P13" s="114" t="n">
        <v>1.4</v>
      </c>
      <c r="Q13" s="107"/>
      <c r="R13" s="274"/>
      <c r="S13" s="107" t="n">
        <v>21840</v>
      </c>
      <c r="T13" s="291" t="n">
        <f aca="false">IFERROR(S13/P13/100, "-")</f>
        <v>156</v>
      </c>
      <c r="U13" s="275"/>
    </row>
    <row r="14" customFormat="false" ht="18.75" hidden="false" customHeight="true" outlineLevel="0" collapsed="false">
      <c r="B14" s="105"/>
      <c r="C14" s="121"/>
      <c r="D14" s="121"/>
      <c r="E14" s="121"/>
      <c r="F14" s="121"/>
      <c r="G14" s="121"/>
      <c r="K14" s="272" t="n">
        <v>45943</v>
      </c>
      <c r="L14" s="272"/>
      <c r="M14" s="114"/>
      <c r="N14" s="114"/>
      <c r="O14" s="273"/>
      <c r="P14" s="114"/>
      <c r="Q14" s="107"/>
      <c r="R14" s="274"/>
      <c r="S14" s="107"/>
      <c r="T14" s="291" t="str">
        <f aca="false">IFERROR(S14/P14/100, "-")</f>
        <v>-</v>
      </c>
      <c r="U14" s="292"/>
    </row>
    <row r="15" customFormat="false" ht="18.75" hidden="false" customHeight="true" outlineLevel="0" collapsed="false">
      <c r="K15" s="272" t="n">
        <v>45944</v>
      </c>
      <c r="L15" s="272"/>
      <c r="M15" s="114"/>
      <c r="N15" s="114"/>
      <c r="O15" s="273"/>
      <c r="P15" s="114"/>
      <c r="Q15" s="107"/>
      <c r="R15" s="274"/>
      <c r="S15" s="107"/>
      <c r="T15" s="291" t="str">
        <f aca="false">IFERROR(S15/P15/100, "-")</f>
        <v>-</v>
      </c>
      <c r="U15" s="292"/>
    </row>
    <row r="16" customFormat="false" ht="18.75" hidden="false" customHeight="true" outlineLevel="0" collapsed="false">
      <c r="B16" s="123" t="s">
        <v>3538</v>
      </c>
      <c r="C16" s="124"/>
      <c r="D16" s="124"/>
      <c r="E16" s="124"/>
      <c r="K16" s="272" t="n">
        <v>45945</v>
      </c>
      <c r="L16" s="272"/>
      <c r="M16" s="114"/>
      <c r="N16" s="114"/>
      <c r="O16" s="273"/>
      <c r="P16" s="114"/>
      <c r="Q16" s="107"/>
      <c r="R16" s="274"/>
      <c r="S16" s="107"/>
      <c r="T16" s="291" t="str">
        <f aca="false">IFERROR(S16/P16/100, "-")</f>
        <v>-</v>
      </c>
    </row>
    <row r="17" customFormat="false" ht="18.75" hidden="false" customHeight="true" outlineLevel="0" collapsed="false">
      <c r="B17" s="105" t="s">
        <v>16</v>
      </c>
      <c r="C17" s="117" t="n">
        <v>5049</v>
      </c>
      <c r="D17" s="251" t="n">
        <f aca="false">C17/E17</f>
        <v>17</v>
      </c>
      <c r="E17" s="262" t="n">
        <v>297</v>
      </c>
      <c r="K17" s="272" t="n">
        <v>45946</v>
      </c>
      <c r="L17" s="272"/>
      <c r="M17" s="114"/>
      <c r="N17" s="114"/>
      <c r="O17" s="273"/>
      <c r="P17" s="114"/>
      <c r="Q17" s="107"/>
      <c r="R17" s="274"/>
      <c r="S17" s="107"/>
      <c r="T17" s="291" t="str">
        <f aca="false">IFERROR(S17/P17/100, "-")</f>
        <v>-</v>
      </c>
    </row>
    <row r="18" customFormat="false" ht="18.75" hidden="false" customHeight="true" outlineLevel="0" collapsed="false">
      <c r="B18" s="259" t="s">
        <v>17</v>
      </c>
      <c r="C18" s="143" t="n">
        <f aca="false">S43/1000</f>
        <v>4688.0497</v>
      </c>
      <c r="D18" s="260" t="n">
        <f aca="false">IFERROR(C18/E18,)</f>
        <v>15.7846791245791</v>
      </c>
      <c r="E18" s="261" t="n">
        <f aca="false">P43</f>
        <v>297</v>
      </c>
      <c r="K18" s="272" t="n">
        <v>45947</v>
      </c>
      <c r="L18" s="272" t="s">
        <v>3329</v>
      </c>
      <c r="M18" s="114" t="n">
        <v>73.3</v>
      </c>
      <c r="N18" s="114" t="s">
        <v>279</v>
      </c>
      <c r="O18" s="273" t="n">
        <v>1</v>
      </c>
      <c r="P18" s="114" t="n">
        <v>1.6</v>
      </c>
      <c r="Q18" s="107"/>
      <c r="R18" s="274"/>
      <c r="S18" s="107" t="n">
        <v>24880</v>
      </c>
      <c r="T18" s="291" t="n">
        <f aca="false">IFERROR(S18/P18/100, "-")</f>
        <v>155.5</v>
      </c>
    </row>
    <row r="19" customFormat="false" ht="18.75" hidden="false" customHeight="true" outlineLevel="0" collapsed="false">
      <c r="B19" s="105" t="s">
        <v>204</v>
      </c>
      <c r="C19" s="133" t="n">
        <f aca="false">C18/C17</f>
        <v>0.928510536739949</v>
      </c>
      <c r="D19" s="134"/>
      <c r="E19" s="262"/>
      <c r="K19" s="272" t="n">
        <v>45948</v>
      </c>
      <c r="L19" s="272"/>
      <c r="M19" s="114"/>
      <c r="N19" s="114"/>
      <c r="O19" s="273"/>
      <c r="P19" s="114"/>
      <c r="Q19" s="107"/>
      <c r="R19" s="274"/>
      <c r="S19" s="107"/>
      <c r="T19" s="291" t="str">
        <f aca="false">IFERROR(S19/P19/100, "-")</f>
        <v>-</v>
      </c>
    </row>
    <row r="20" customFormat="false" ht="18.75" hidden="false" customHeight="true" outlineLevel="0" collapsed="false">
      <c r="B20" s="105" t="s">
        <v>205</v>
      </c>
      <c r="C20" s="133" t="n">
        <f aca="false">IFERROR(E18/E17, )</f>
        <v>1</v>
      </c>
      <c r="K20" s="272" t="n">
        <v>45949</v>
      </c>
      <c r="L20" s="272"/>
      <c r="M20" s="114"/>
      <c r="N20" s="114"/>
      <c r="O20" s="273"/>
      <c r="P20" s="114"/>
      <c r="Q20" s="107"/>
      <c r="R20" s="274"/>
      <c r="S20" s="107"/>
      <c r="T20" s="291" t="str">
        <f aca="false">IFERROR(S20/P20/100, "-")</f>
        <v>-</v>
      </c>
    </row>
    <row r="21" customFormat="false" ht="17.25" hidden="false" customHeight="true" outlineLevel="0" collapsed="false">
      <c r="B21" s="105"/>
      <c r="C21" s="133"/>
      <c r="E21" s="258"/>
      <c r="F21" s="284"/>
      <c r="G21" s="284"/>
      <c r="K21" s="272" t="n">
        <v>45950</v>
      </c>
      <c r="L21" s="272"/>
      <c r="M21" s="114"/>
      <c r="N21" s="114"/>
      <c r="O21" s="273"/>
      <c r="P21" s="114"/>
      <c r="Q21" s="107"/>
      <c r="R21" s="274"/>
      <c r="S21" s="107"/>
      <c r="T21" s="291" t="str">
        <f aca="false">IFERROR(S21/P21/100, "-")</f>
        <v>-</v>
      </c>
      <c r="U21" s="110"/>
    </row>
    <row r="22" customFormat="false" ht="17.25" hidden="false" customHeight="true" outlineLevel="0" collapsed="false">
      <c r="B22" s="105"/>
      <c r="C22" s="133"/>
      <c r="E22" s="262"/>
      <c r="F22" s="284"/>
      <c r="G22" s="284"/>
      <c r="K22" s="272" t="n">
        <v>45951</v>
      </c>
      <c r="L22" s="272" t="s">
        <v>3329</v>
      </c>
      <c r="M22" s="114" t="n">
        <v>73.3</v>
      </c>
      <c r="N22" s="114" t="s">
        <v>279</v>
      </c>
      <c r="O22" s="273" t="n">
        <v>14</v>
      </c>
      <c r="P22" s="114" t="n">
        <v>23.1</v>
      </c>
      <c r="Q22" s="107"/>
      <c r="R22" s="274"/>
      <c r="S22" s="107" t="n">
        <v>366570</v>
      </c>
      <c r="T22" s="291" t="n">
        <f aca="false">IFERROR(S22/P22/100, "-")</f>
        <v>158.688311688312</v>
      </c>
      <c r="U22" s="293"/>
      <c r="W22" s="110"/>
    </row>
    <row r="23" customFormat="false" ht="17.25" hidden="false" customHeight="true" outlineLevel="0" collapsed="false">
      <c r="B23" s="105"/>
      <c r="C23" s="133"/>
      <c r="E23" s="142"/>
      <c r="G23" s="135"/>
      <c r="K23" s="272" t="n">
        <v>45952</v>
      </c>
      <c r="L23" s="272" t="s">
        <v>3329</v>
      </c>
      <c r="M23" s="114" t="n">
        <v>73.3</v>
      </c>
      <c r="N23" s="114" t="s">
        <v>279</v>
      </c>
      <c r="O23" s="273" t="n">
        <v>17</v>
      </c>
      <c r="P23" s="114" t="n">
        <v>30.1</v>
      </c>
      <c r="Q23" s="107"/>
      <c r="R23" s="274"/>
      <c r="S23" s="107" t="n">
        <v>478000</v>
      </c>
      <c r="T23" s="291" t="n">
        <f aca="false">IFERROR(S23/P23/100, "-")</f>
        <v>158.803986710963</v>
      </c>
      <c r="U23" s="293"/>
      <c r="W23" s="110"/>
    </row>
    <row r="24" customFormat="false" ht="17.25" hidden="false" customHeight="true" outlineLevel="0" collapsed="false">
      <c r="B24" s="105"/>
      <c r="C24" s="133"/>
      <c r="G24" s="135"/>
      <c r="K24" s="272" t="n">
        <v>45953</v>
      </c>
      <c r="L24" s="272" t="s">
        <v>3329</v>
      </c>
      <c r="M24" s="114" t="n">
        <v>73.3</v>
      </c>
      <c r="N24" s="114" t="s">
        <v>279</v>
      </c>
      <c r="O24" s="273" t="n">
        <v>12</v>
      </c>
      <c r="P24" s="114" t="n">
        <v>17.1</v>
      </c>
      <c r="Q24" s="107"/>
      <c r="R24" s="274"/>
      <c r="S24" s="107" t="n">
        <v>272090</v>
      </c>
      <c r="T24" s="291" t="n">
        <f aca="false">IFERROR(S24/P24/100, "-")</f>
        <v>159.116959064328</v>
      </c>
      <c r="U24" s="292"/>
      <c r="W24" s="110"/>
    </row>
    <row r="25" customFormat="false" ht="17.25" hidden="false" customHeight="true" outlineLevel="0" collapsed="false">
      <c r="B25" s="105"/>
      <c r="C25" s="133"/>
      <c r="G25" s="135"/>
      <c r="K25" s="272"/>
      <c r="L25" s="99" t="s">
        <v>3334</v>
      </c>
      <c r="M25" s="114" t="n">
        <v>74.6</v>
      </c>
      <c r="N25" s="114" t="s">
        <v>158</v>
      </c>
      <c r="O25" s="273" t="n">
        <v>1</v>
      </c>
      <c r="P25" s="114" t="n">
        <v>1</v>
      </c>
      <c r="Q25" s="107"/>
      <c r="R25" s="274"/>
      <c r="S25" s="107" t="n">
        <v>11520</v>
      </c>
      <c r="T25" s="291" t="n">
        <f aca="false">IFERROR(S25/P25/100, "-")</f>
        <v>115.2</v>
      </c>
      <c r="U25" s="292"/>
      <c r="W25" s="110"/>
    </row>
    <row r="26" customFormat="false" ht="17.25" hidden="false" customHeight="true" outlineLevel="0" collapsed="false">
      <c r="B26" s="105"/>
      <c r="C26" s="133"/>
      <c r="G26" s="135"/>
      <c r="K26" s="272" t="n">
        <v>45954</v>
      </c>
      <c r="L26" s="272"/>
      <c r="M26" s="114"/>
      <c r="N26" s="114"/>
      <c r="O26" s="273"/>
      <c r="P26" s="114"/>
      <c r="Q26" s="107"/>
      <c r="R26" s="274"/>
      <c r="S26" s="107"/>
      <c r="T26" s="291" t="str">
        <f aca="false">IFERROR(S26/P26/100, "-")</f>
        <v>-</v>
      </c>
      <c r="U26" s="292"/>
      <c r="W26" s="110"/>
    </row>
    <row r="27" customFormat="false" ht="17.25" hidden="false" customHeight="true" outlineLevel="0" collapsed="false">
      <c r="B27" s="105"/>
      <c r="C27" s="133"/>
      <c r="G27" s="135"/>
      <c r="K27" s="272" t="n">
        <v>45955</v>
      </c>
      <c r="L27" s="272"/>
      <c r="M27" s="114"/>
      <c r="N27" s="114"/>
      <c r="O27" s="273"/>
      <c r="P27" s="114"/>
      <c r="Q27" s="107"/>
      <c r="R27" s="274"/>
      <c r="S27" s="107"/>
      <c r="T27" s="291" t="str">
        <f aca="false">IFERROR(S27/P27/100, "-")</f>
        <v>-</v>
      </c>
      <c r="U27" s="292"/>
      <c r="W27" s="110"/>
    </row>
    <row r="28" customFormat="false" ht="17.25" hidden="false" customHeight="true" outlineLevel="0" collapsed="false">
      <c r="B28" s="105"/>
      <c r="C28" s="133"/>
      <c r="G28" s="135"/>
      <c r="K28" s="272" t="n">
        <v>45956</v>
      </c>
      <c r="L28" s="272"/>
      <c r="M28" s="114"/>
      <c r="N28" s="114"/>
      <c r="O28" s="273"/>
      <c r="P28" s="114"/>
      <c r="Q28" s="107"/>
      <c r="R28" s="274"/>
      <c r="S28" s="107"/>
      <c r="T28" s="291" t="str">
        <f aca="false">IFERROR(S28/P28/100, "-")</f>
        <v>-</v>
      </c>
      <c r="U28" s="292"/>
      <c r="W28" s="110"/>
    </row>
    <row r="29" customFormat="false" ht="17.25" hidden="false" customHeight="true" outlineLevel="0" collapsed="false">
      <c r="B29" s="105"/>
      <c r="C29" s="133"/>
      <c r="G29" s="135"/>
      <c r="K29" s="272" t="n">
        <v>45957</v>
      </c>
      <c r="L29" s="272"/>
      <c r="M29" s="114"/>
      <c r="N29" s="114"/>
      <c r="O29" s="273"/>
      <c r="P29" s="114"/>
      <c r="Q29" s="107"/>
      <c r="R29" s="274"/>
      <c r="S29" s="107"/>
      <c r="T29" s="291" t="str">
        <f aca="false">IFERROR(S29/P29/100, "-")</f>
        <v>-</v>
      </c>
      <c r="U29" s="292"/>
      <c r="W29" s="110"/>
    </row>
    <row r="30" customFormat="false" ht="17.25" hidden="false" customHeight="true" outlineLevel="0" collapsed="false">
      <c r="B30" s="105"/>
      <c r="C30" s="133"/>
      <c r="G30" s="135"/>
      <c r="K30" s="272" t="n">
        <v>45958</v>
      </c>
      <c r="L30" s="99" t="s">
        <v>3334</v>
      </c>
      <c r="M30" s="114" t="n">
        <v>74.6</v>
      </c>
      <c r="N30" s="114" t="s">
        <v>158</v>
      </c>
      <c r="O30" s="273" t="n">
        <v>1</v>
      </c>
      <c r="P30" s="114" t="n">
        <v>1</v>
      </c>
      <c r="Q30" s="107"/>
      <c r="R30" s="274"/>
      <c r="S30" s="107" t="n">
        <v>15960</v>
      </c>
      <c r="T30" s="291" t="n">
        <f aca="false">IFERROR(S30/P30/100, "-")</f>
        <v>159.6</v>
      </c>
      <c r="U30" s="275"/>
      <c r="W30" s="110"/>
    </row>
    <row r="31" customFormat="false" ht="17.25" hidden="false" customHeight="true" outlineLevel="0" collapsed="false">
      <c r="B31" s="105"/>
      <c r="C31" s="133"/>
      <c r="G31" s="135"/>
      <c r="K31" s="272" t="n">
        <v>45959</v>
      </c>
      <c r="L31" s="272"/>
      <c r="M31" s="114"/>
      <c r="N31" s="114"/>
      <c r="O31" s="273"/>
      <c r="P31" s="114"/>
      <c r="Q31" s="107"/>
      <c r="R31" s="274"/>
      <c r="S31" s="107"/>
      <c r="T31" s="291" t="str">
        <f aca="false">IFERROR(S31/P31/100, "-")</f>
        <v>-</v>
      </c>
      <c r="U31" s="275"/>
      <c r="W31" s="110"/>
    </row>
    <row r="32" customFormat="false" ht="17.25" hidden="false" customHeight="true" outlineLevel="0" collapsed="false">
      <c r="B32" s="105"/>
      <c r="C32" s="133"/>
      <c r="G32" s="135"/>
      <c r="K32" s="272" t="n">
        <v>45960</v>
      </c>
      <c r="L32" s="99" t="s">
        <v>3334</v>
      </c>
      <c r="M32" s="114" t="n">
        <v>74.6</v>
      </c>
      <c r="N32" s="100" t="s">
        <v>158</v>
      </c>
      <c r="O32" s="273" t="n">
        <v>3</v>
      </c>
      <c r="P32" s="114" t="n">
        <v>5</v>
      </c>
      <c r="Q32" s="107"/>
      <c r="R32" s="274"/>
      <c r="S32" s="107" t="n">
        <v>75820</v>
      </c>
      <c r="T32" s="291" t="n">
        <f aca="false">IFERROR(S32/P32/100, "-")</f>
        <v>151.64</v>
      </c>
      <c r="U32" s="275"/>
      <c r="W32" s="110"/>
    </row>
    <row r="33" customFormat="false" ht="17.25" hidden="false" customHeight="true" outlineLevel="0" collapsed="false">
      <c r="B33" s="105"/>
      <c r="C33" s="133"/>
      <c r="G33" s="135"/>
      <c r="K33" s="272" t="n">
        <v>45961</v>
      </c>
      <c r="L33" s="99"/>
      <c r="M33" s="100"/>
      <c r="N33" s="100"/>
      <c r="O33" s="273"/>
      <c r="P33" s="114"/>
      <c r="Q33" s="107"/>
      <c r="R33" s="274"/>
      <c r="S33" s="107"/>
      <c r="T33" s="291" t="str">
        <f aca="false">IFERROR(S33/P33/100, "-")</f>
        <v>-</v>
      </c>
      <c r="U33" s="275"/>
      <c r="W33" s="110"/>
    </row>
    <row r="34" customFormat="false" ht="17.25" hidden="false" customHeight="true" outlineLevel="0" collapsed="false">
      <c r="B34" s="105"/>
      <c r="C34" s="133"/>
      <c r="G34" s="135"/>
      <c r="K34" s="272" t="n">
        <v>45962</v>
      </c>
      <c r="L34" s="99" t="s">
        <v>3334</v>
      </c>
      <c r="M34" s="100" t="n">
        <v>74.6</v>
      </c>
      <c r="N34" s="100" t="s">
        <v>158</v>
      </c>
      <c r="O34" s="273" t="n">
        <v>3</v>
      </c>
      <c r="P34" s="114" t="n">
        <v>5</v>
      </c>
      <c r="Q34" s="107"/>
      <c r="R34" s="274"/>
      <c r="S34" s="107" t="n">
        <v>80490</v>
      </c>
      <c r="T34" s="291" t="n">
        <f aca="false">IFERROR(S34/P34/100, "-")</f>
        <v>160.98</v>
      </c>
      <c r="U34" s="275"/>
      <c r="W34" s="110"/>
    </row>
    <row r="35" customFormat="false" ht="17.25" hidden="false" customHeight="true" outlineLevel="0" collapsed="false">
      <c r="B35" s="105"/>
      <c r="C35" s="133"/>
      <c r="G35" s="135"/>
      <c r="K35" s="272" t="n">
        <v>45963</v>
      </c>
      <c r="L35" s="99" t="s">
        <v>3334</v>
      </c>
      <c r="M35" s="100" t="n">
        <v>74.6</v>
      </c>
      <c r="N35" s="100" t="s">
        <v>158</v>
      </c>
      <c r="O35" s="273" t="n">
        <v>5</v>
      </c>
      <c r="P35" s="114" t="n">
        <v>8.6</v>
      </c>
      <c r="Q35" s="107"/>
      <c r="R35" s="274"/>
      <c r="S35" s="107" t="n">
        <v>126760</v>
      </c>
      <c r="T35" s="291" t="n">
        <f aca="false">IFERROR(S35/P35/100, "-")</f>
        <v>147.395348837209</v>
      </c>
      <c r="U35" s="275"/>
      <c r="W35" s="110"/>
    </row>
    <row r="36" customFormat="false" ht="14.25" hidden="false" customHeight="false" outlineLevel="0" collapsed="false">
      <c r="G36" s="136"/>
      <c r="K36" s="272" t="n">
        <v>45964</v>
      </c>
      <c r="L36" s="99"/>
      <c r="M36" s="100"/>
      <c r="N36" s="100"/>
      <c r="O36" s="273"/>
      <c r="P36" s="114"/>
      <c r="Q36" s="107"/>
      <c r="R36" s="274"/>
      <c r="S36" s="107"/>
      <c r="T36" s="291" t="str">
        <f aca="false">IFERROR(S36/P36/100, "-")</f>
        <v>-</v>
      </c>
    </row>
    <row r="37" customFormat="false" ht="12.75" hidden="false" customHeight="true" outlineLevel="0" collapsed="false">
      <c r="C37" s="149"/>
      <c r="K37" s="272" t="n">
        <v>45965</v>
      </c>
      <c r="L37" s="99" t="s">
        <v>3334</v>
      </c>
      <c r="M37" s="100" t="n">
        <v>74.6</v>
      </c>
      <c r="N37" s="100" t="s">
        <v>158</v>
      </c>
      <c r="O37" s="273" t="n">
        <v>9</v>
      </c>
      <c r="P37" s="114" t="n">
        <v>18</v>
      </c>
      <c r="Q37" s="107"/>
      <c r="R37" s="274"/>
      <c r="S37" s="107" t="n">
        <v>279559.7</v>
      </c>
      <c r="T37" s="291" t="n">
        <f aca="false">IFERROR(S37/P37/100, "-")</f>
        <v>155.310944444444</v>
      </c>
      <c r="U37" s="294"/>
    </row>
    <row r="38" customFormat="false" ht="14.25" hidden="false" customHeight="false" outlineLevel="0" collapsed="false">
      <c r="K38" s="272" t="n">
        <v>45966</v>
      </c>
      <c r="L38" s="99" t="s">
        <v>3334</v>
      </c>
      <c r="M38" s="100" t="n">
        <v>74.6</v>
      </c>
      <c r="N38" s="100" t="s">
        <v>158</v>
      </c>
      <c r="O38" s="273" t="n">
        <v>16</v>
      </c>
      <c r="P38" s="114" t="n">
        <v>30</v>
      </c>
      <c r="Q38" s="107"/>
      <c r="R38" s="274"/>
      <c r="S38" s="107" t="n">
        <v>432890</v>
      </c>
      <c r="T38" s="291" t="n">
        <f aca="false">IFERROR(S38/P38/100, "-")</f>
        <v>144.296666666667</v>
      </c>
    </row>
    <row r="39" customFormat="false" ht="14.25" hidden="false" customHeight="false" outlineLevel="0" collapsed="false">
      <c r="C39" s="149"/>
      <c r="K39" s="272" t="n">
        <v>45967</v>
      </c>
      <c r="L39" s="99" t="s">
        <v>3334</v>
      </c>
      <c r="M39" s="100" t="n">
        <v>74.6</v>
      </c>
      <c r="N39" s="100" t="s">
        <v>158</v>
      </c>
      <c r="O39" s="273" t="n">
        <v>3</v>
      </c>
      <c r="P39" s="114" t="n">
        <v>6</v>
      </c>
      <c r="Q39" s="107"/>
      <c r="R39" s="274"/>
      <c r="S39" s="107" t="n">
        <v>112300</v>
      </c>
      <c r="T39" s="291" t="n">
        <f aca="false">IFERROR(S39/P39/100, "-")</f>
        <v>187.166666666667</v>
      </c>
    </row>
    <row r="40" customFormat="false" ht="14.25" hidden="false" customHeight="false" outlineLevel="0" collapsed="false">
      <c r="K40" s="272"/>
      <c r="L40" s="99"/>
      <c r="M40" s="100"/>
      <c r="N40" s="100"/>
      <c r="O40" s="273"/>
      <c r="P40" s="114"/>
      <c r="Q40" s="107"/>
      <c r="R40" s="274"/>
      <c r="S40" s="107"/>
      <c r="T40" s="291" t="str">
        <f aca="false">IFERROR(S40/P40/100, "-")</f>
        <v>-</v>
      </c>
    </row>
    <row r="41" customFormat="false" ht="14.25" hidden="false" customHeight="false" outlineLevel="0" collapsed="false">
      <c r="K41" s="272"/>
      <c r="L41" s="99"/>
      <c r="M41" s="100"/>
      <c r="N41" s="100"/>
      <c r="O41" s="273"/>
      <c r="P41" s="114"/>
      <c r="Q41" s="107"/>
      <c r="R41" s="274"/>
      <c r="S41" s="107"/>
      <c r="T41" s="291"/>
    </row>
    <row r="42" customFormat="false" ht="14.25" hidden="false" customHeight="false" outlineLevel="0" collapsed="false">
      <c r="K42" s="272"/>
      <c r="L42" s="99"/>
      <c r="M42" s="100"/>
      <c r="N42" s="100"/>
      <c r="O42" s="273"/>
      <c r="P42" s="114"/>
      <c r="Q42" s="107"/>
      <c r="R42" s="274"/>
      <c r="S42" s="107"/>
      <c r="T42" s="291"/>
    </row>
    <row r="43" customFormat="false" ht="14.25" hidden="false" customHeight="false" outlineLevel="0" collapsed="false">
      <c r="K43" s="95" t="s">
        <v>149</v>
      </c>
      <c r="L43" s="95"/>
      <c r="M43" s="95"/>
      <c r="N43" s="95"/>
      <c r="O43" s="95" t="n">
        <f aca="false">SUM(O4:O40)</f>
        <v>176</v>
      </c>
      <c r="P43" s="288" t="n">
        <f aca="false">SUM(P4:P42)</f>
        <v>297</v>
      </c>
      <c r="Q43" s="289" t="n">
        <f aca="false">SUM(Q4:Q32)</f>
        <v>0</v>
      </c>
      <c r="R43" s="290" t="n">
        <f aca="false">Q43/P43/100</f>
        <v>0</v>
      </c>
      <c r="S43" s="289" t="n">
        <f aca="false">SUM(S4:S42)</f>
        <v>4688049.7</v>
      </c>
      <c r="T43" s="295" t="n">
        <f aca="false">IFERROR(S43/P43/100, "-")</f>
        <v>157.846791245791</v>
      </c>
    </row>
    <row r="44" s="89" customFormat="true" ht="14.25" hidden="false" customHeight="false" outlineLevel="0" collapsed="false">
      <c r="N44" s="90"/>
      <c r="R44" s="110"/>
    </row>
    <row r="45" s="89" customFormat="true" ht="16.5" hidden="false" customHeight="true" outlineLevel="0" collapsed="false">
      <c r="N45" s="90"/>
      <c r="R45" s="110"/>
    </row>
    <row r="46" s="89" customFormat="true" ht="14.25" hidden="false" customHeight="false" outlineLevel="0" collapsed="false">
      <c r="N46" s="90"/>
    </row>
    <row r="47" s="89" customFormat="true" ht="14.25" hidden="false" customHeight="false" outlineLevel="0" collapsed="false">
      <c r="N47" s="90"/>
    </row>
    <row r="48" s="89" customFormat="true" ht="14.25" hidden="false" customHeight="false" outlineLevel="0" collapsed="false">
      <c r="N48" s="90"/>
    </row>
    <row r="49" s="89" customFormat="true" ht="14.25" hidden="false" customHeight="false" outlineLevel="0" collapsed="false">
      <c r="N49" s="90"/>
    </row>
  </sheetData>
  <autoFilter ref="K3:T43"/>
  <mergeCells count="3">
    <mergeCell ref="B2:S2"/>
    <mergeCell ref="F21:G21"/>
    <mergeCell ref="F22:G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B2:U44"/>
  <sheetViews>
    <sheetView showFormulas="false" showGridLines="true" showRowColHeaders="true" showZeros="true" rightToLeft="false" tabSelected="false" showOutlineSymbols="true" defaultGridColor="true" view="normal" topLeftCell="B1" colorId="64" zoomScale="70" zoomScaleNormal="70" zoomScalePageLayoutView="100" workbookViewId="0">
      <selection pane="topLeft" activeCell="I14" activeCellId="0" sqref="I14"/>
    </sheetView>
  </sheetViews>
  <sheetFormatPr defaultColWidth="9.1484375" defaultRowHeight="14.25" customHeight="true" zeroHeight="false" outlineLevelRow="0" outlineLevelCol="1"/>
  <cols>
    <col collapsed="false" customWidth="true" hidden="false" outlineLevel="0" max="1" min="1" style="89" width="3.29"/>
    <col collapsed="false" customWidth="true" hidden="false" outlineLevel="0" max="2" min="2" style="89" width="46.29"/>
    <col collapsed="false" customWidth="true" hidden="false" outlineLevel="0" max="5" min="3" style="89" width="13.57"/>
    <col collapsed="false" customWidth="true" hidden="false" outlineLevel="0" max="6" min="6" style="89" width="25.85"/>
    <col collapsed="false" customWidth="true" hidden="false" outlineLevel="0" max="8" min="7" style="89" width="13.57"/>
    <col collapsed="false" customWidth="true" hidden="false" outlineLevel="0" max="9" min="9" style="89" width="21.29"/>
    <col collapsed="false" customWidth="true" hidden="false" outlineLevel="0" max="10" min="10" style="89" width="19.42"/>
    <col collapsed="false" customWidth="true" hidden="false" outlineLevel="1" max="11" min="11" style="89" width="23.71"/>
    <col collapsed="false" customWidth="true" hidden="false" outlineLevel="1" max="12" min="12" style="89" width="16.29"/>
    <col collapsed="false" customWidth="true" hidden="false" outlineLevel="1" max="13" min="13" style="89" width="15.71"/>
    <col collapsed="false" customWidth="true" hidden="false" outlineLevel="1" max="14" min="14" style="90" width="11.29"/>
    <col collapsed="false" customWidth="true" hidden="false" outlineLevel="0" max="15" min="15" style="89" width="11.14"/>
    <col collapsed="false" customWidth="true" hidden="true" outlineLevel="1" max="16" min="16" style="89" width="20.57"/>
    <col collapsed="false" customWidth="true" hidden="true" outlineLevel="1" max="17" min="17" style="89" width="17.57"/>
    <col collapsed="false" customWidth="true" hidden="false" outlineLevel="0" max="18" min="18" style="89" width="15.57"/>
    <col collapsed="false" customWidth="true" hidden="false" outlineLevel="0" max="19" min="19" style="89" width="17.57"/>
    <col collapsed="false" customWidth="true" hidden="false" outlineLevel="0" max="20" min="20" style="89" width="88.71"/>
    <col collapsed="false" customWidth="true" hidden="false" outlineLevel="0" max="22" min="21" style="89" width="14.42"/>
    <col collapsed="false" customWidth="false" hidden="false" outlineLevel="0" max="16384" min="23" style="89" width="9.14"/>
  </cols>
  <sheetData>
    <row r="2" customFormat="false" ht="60" hidden="false" customHeight="true" outlineLevel="0" collapsed="false">
      <c r="B2" s="91" t="s">
        <v>3546</v>
      </c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2"/>
    </row>
    <row r="3" customFormat="false" ht="77.6" hidden="false" customHeight="false" outlineLevel="0" collapsed="false">
      <c r="H3" s="94"/>
      <c r="I3" s="94"/>
      <c r="J3" s="296" t="s">
        <v>3413</v>
      </c>
      <c r="K3" s="296" t="s">
        <v>75</v>
      </c>
      <c r="L3" s="296" t="s">
        <v>168</v>
      </c>
      <c r="M3" s="296" t="s">
        <v>76</v>
      </c>
      <c r="N3" s="296" t="s">
        <v>169</v>
      </c>
      <c r="O3" s="296" t="s">
        <v>18</v>
      </c>
      <c r="P3" s="296" t="s">
        <v>170</v>
      </c>
      <c r="Q3" s="296" t="s">
        <v>171</v>
      </c>
      <c r="R3" s="296" t="s">
        <v>172</v>
      </c>
      <c r="S3" s="296" t="s">
        <v>173</v>
      </c>
      <c r="T3" s="297"/>
    </row>
    <row r="4" customFormat="false" ht="20.25" hidden="false" customHeight="true" outlineLevel="0" collapsed="false">
      <c r="B4" s="97" t="s">
        <v>174</v>
      </c>
      <c r="C4" s="98" t="s">
        <v>175</v>
      </c>
      <c r="D4" s="98" t="s">
        <v>176</v>
      </c>
      <c r="E4" s="98" t="s">
        <v>62</v>
      </c>
      <c r="F4" s="98" t="s">
        <v>63</v>
      </c>
      <c r="G4" s="98" t="s">
        <v>64</v>
      </c>
      <c r="H4" s="98" t="s">
        <v>65</v>
      </c>
      <c r="J4" s="298" t="n">
        <v>45934</v>
      </c>
      <c r="K4" s="298" t="s">
        <v>2006</v>
      </c>
      <c r="L4" s="299" t="n">
        <v>51.4</v>
      </c>
      <c r="M4" s="299" t="s">
        <v>279</v>
      </c>
      <c r="N4" s="300" t="n">
        <v>21</v>
      </c>
      <c r="O4" s="299" t="n">
        <v>51.4</v>
      </c>
      <c r="P4" s="301"/>
      <c r="Q4" s="302"/>
      <c r="R4" s="301" t="n">
        <v>579450</v>
      </c>
      <c r="S4" s="303" t="n">
        <f aca="false">IFERROR(R4/O4/100, "-")</f>
        <v>112.733463035019</v>
      </c>
      <c r="T4" s="293"/>
    </row>
    <row r="5" s="90" customFormat="true" ht="20.25" hidden="false" customHeight="true" outlineLevel="0" collapsed="false">
      <c r="B5" s="105" t="s">
        <v>12</v>
      </c>
      <c r="C5" s="106"/>
      <c r="D5" s="106"/>
      <c r="E5" s="106"/>
      <c r="F5" s="106"/>
      <c r="G5" s="106"/>
      <c r="H5" s="106" t="n">
        <f aca="false">J4</f>
        <v>45934</v>
      </c>
      <c r="J5" s="298"/>
      <c r="K5" s="298" t="s">
        <v>2049</v>
      </c>
      <c r="L5" s="299" t="n">
        <v>51.5</v>
      </c>
      <c r="M5" s="299" t="s">
        <v>279</v>
      </c>
      <c r="N5" s="300" t="n">
        <v>8</v>
      </c>
      <c r="O5" s="299" t="n">
        <v>14.3</v>
      </c>
      <c r="P5" s="301"/>
      <c r="Q5" s="302"/>
      <c r="R5" s="301" t="n">
        <v>222250</v>
      </c>
      <c r="S5" s="303" t="n">
        <f aca="false">IFERROR(R5/O5/100, "-")</f>
        <v>155.41958041958</v>
      </c>
      <c r="T5" s="304"/>
    </row>
    <row r="6" customFormat="false" ht="20.25" hidden="false" customHeight="true" outlineLevel="0" collapsed="false">
      <c r="B6" s="105" t="s">
        <v>20</v>
      </c>
      <c r="C6" s="106"/>
      <c r="D6" s="106"/>
      <c r="E6" s="106"/>
      <c r="F6" s="106"/>
      <c r="G6" s="106"/>
      <c r="H6" s="106" t="n">
        <f aca="false">J27</f>
        <v>45953</v>
      </c>
      <c r="J6" s="298" t="n">
        <v>45935</v>
      </c>
      <c r="K6" s="298" t="s">
        <v>2070</v>
      </c>
      <c r="L6" s="299" t="n">
        <v>44.8</v>
      </c>
      <c r="M6" s="299" t="s">
        <v>158</v>
      </c>
      <c r="N6" s="300" t="n">
        <v>3</v>
      </c>
      <c r="O6" s="299" t="n">
        <v>10.7</v>
      </c>
      <c r="P6" s="301"/>
      <c r="Q6" s="302"/>
      <c r="R6" s="301" t="n">
        <v>70250</v>
      </c>
      <c r="S6" s="303" t="n">
        <f aca="false">IFERROR(R6/O6/100, "-")</f>
        <v>65.6542056074766</v>
      </c>
      <c r="T6" s="304"/>
    </row>
    <row r="7" customFormat="false" ht="20.25" hidden="false" customHeight="true" outlineLevel="0" collapsed="false">
      <c r="B7" s="105" t="s">
        <v>178</v>
      </c>
      <c r="C7" s="111"/>
      <c r="D7" s="111"/>
      <c r="E7" s="111"/>
      <c r="F7" s="111"/>
      <c r="G7" s="111"/>
      <c r="H7" s="111" t="n">
        <f aca="false">IF(H6=0,"-",H6-H5+1)</f>
        <v>20</v>
      </c>
      <c r="J7" s="298"/>
      <c r="K7" s="298" t="s">
        <v>2070</v>
      </c>
      <c r="L7" s="299" t="n">
        <v>32.3</v>
      </c>
      <c r="M7" s="299" t="s">
        <v>2071</v>
      </c>
      <c r="N7" s="300" t="n">
        <v>18</v>
      </c>
      <c r="O7" s="299" t="n">
        <v>32.3</v>
      </c>
      <c r="P7" s="301"/>
      <c r="Q7" s="302"/>
      <c r="R7" s="301" t="n">
        <v>511670</v>
      </c>
      <c r="S7" s="303" t="n">
        <f aca="false">IFERROR(R7/O7/100, "-")</f>
        <v>158.411764705882</v>
      </c>
      <c r="T7" s="297"/>
    </row>
    <row r="8" customFormat="false" ht="20.25" hidden="false" customHeight="true" outlineLevel="0" collapsed="false">
      <c r="B8" s="105" t="s">
        <v>179</v>
      </c>
      <c r="C8" s="111"/>
      <c r="D8" s="111"/>
      <c r="E8" s="111"/>
      <c r="F8" s="111"/>
      <c r="G8" s="111"/>
      <c r="H8" s="111" t="n">
        <v>12</v>
      </c>
      <c r="J8" s="298" t="n">
        <v>45936</v>
      </c>
      <c r="K8" s="298"/>
      <c r="L8" s="299"/>
      <c r="M8" s="299"/>
      <c r="N8" s="300"/>
      <c r="O8" s="299"/>
      <c r="P8" s="301"/>
      <c r="Q8" s="302"/>
      <c r="R8" s="301"/>
      <c r="S8" s="303"/>
      <c r="T8" s="297"/>
    </row>
    <row r="9" customFormat="false" ht="20.25" hidden="false" customHeight="true" outlineLevel="0" collapsed="false">
      <c r="B9" s="105" t="s">
        <v>181</v>
      </c>
      <c r="C9" s="112"/>
      <c r="D9" s="112"/>
      <c r="E9" s="112"/>
      <c r="F9" s="112"/>
      <c r="G9" s="112"/>
      <c r="H9" s="112" t="s">
        <v>3417</v>
      </c>
      <c r="J9" s="298" t="n">
        <v>45937</v>
      </c>
      <c r="K9" s="298" t="s">
        <v>2049</v>
      </c>
      <c r="L9" s="299" t="n">
        <v>51.5</v>
      </c>
      <c r="M9" s="299" t="s">
        <v>279</v>
      </c>
      <c r="N9" s="300" t="n">
        <v>21</v>
      </c>
      <c r="O9" s="299" t="n">
        <v>37.2</v>
      </c>
      <c r="P9" s="301"/>
      <c r="Q9" s="302"/>
      <c r="R9" s="301" t="n">
        <v>576870</v>
      </c>
      <c r="S9" s="303" t="n">
        <f aca="false">IFERROR(R9/O9/100, "-")</f>
        <v>155.072580645161</v>
      </c>
      <c r="T9" s="305"/>
    </row>
    <row r="10" customFormat="false" ht="20.25" hidden="false" customHeight="true" outlineLevel="0" collapsed="false">
      <c r="B10" s="105" t="s">
        <v>187</v>
      </c>
      <c r="C10" s="117"/>
      <c r="D10" s="117"/>
      <c r="E10" s="117"/>
      <c r="F10" s="117"/>
      <c r="G10" s="117"/>
      <c r="H10" s="117" t="n">
        <f aca="false">R28/1000</f>
        <v>3223.16</v>
      </c>
      <c r="J10" s="298"/>
      <c r="K10" s="298" t="s">
        <v>2070</v>
      </c>
      <c r="L10" s="299" t="n">
        <v>44.8</v>
      </c>
      <c r="M10" s="299" t="s">
        <v>158</v>
      </c>
      <c r="N10" s="300" t="n">
        <v>4</v>
      </c>
      <c r="O10" s="299" t="n">
        <v>14.7</v>
      </c>
      <c r="P10" s="301"/>
      <c r="Q10" s="302"/>
      <c r="R10" s="301" t="n">
        <v>96630</v>
      </c>
      <c r="S10" s="303" t="n">
        <f aca="false">IFERROR(R10/O10/100, "-")</f>
        <v>65.734693877551</v>
      </c>
      <c r="T10" s="305"/>
    </row>
    <row r="11" customFormat="false" ht="20.25" hidden="false" customHeight="true" outlineLevel="0" collapsed="false">
      <c r="B11" s="105" t="s">
        <v>191</v>
      </c>
      <c r="C11" s="119"/>
      <c r="D11" s="119"/>
      <c r="E11" s="119"/>
      <c r="F11" s="119"/>
      <c r="G11" s="281"/>
      <c r="H11" s="281" t="n">
        <v>268</v>
      </c>
      <c r="I11" s="306" t="s">
        <v>3547</v>
      </c>
      <c r="J11" s="298" t="n">
        <v>45938</v>
      </c>
      <c r="K11" s="298" t="s">
        <v>2070</v>
      </c>
      <c r="L11" s="299" t="n">
        <v>44.8</v>
      </c>
      <c r="M11" s="299" t="s">
        <v>158</v>
      </c>
      <c r="N11" s="300" t="n">
        <v>5</v>
      </c>
      <c r="O11" s="299" t="n">
        <v>19.4</v>
      </c>
      <c r="P11" s="301"/>
      <c r="Q11" s="302"/>
      <c r="R11" s="301" t="n">
        <v>127610</v>
      </c>
      <c r="S11" s="303" t="n">
        <v>129.505882352941</v>
      </c>
      <c r="T11" s="283"/>
    </row>
    <row r="12" customFormat="false" ht="20.25" hidden="false" customHeight="true" outlineLevel="0" collapsed="false">
      <c r="B12" s="105" t="s">
        <v>18</v>
      </c>
      <c r="C12" s="119"/>
      <c r="D12" s="119"/>
      <c r="E12" s="119"/>
      <c r="F12" s="119"/>
      <c r="G12" s="119"/>
      <c r="H12" s="281" t="n">
        <f aca="false">O28</f>
        <v>268</v>
      </c>
      <c r="J12" s="298"/>
      <c r="K12" s="298"/>
      <c r="L12" s="299"/>
      <c r="M12" s="299" t="s">
        <v>158</v>
      </c>
      <c r="N12" s="300" t="n">
        <v>13</v>
      </c>
      <c r="O12" s="299" t="n">
        <v>7.6</v>
      </c>
      <c r="P12" s="301"/>
      <c r="Q12" s="302"/>
      <c r="R12" s="307" t="n">
        <v>312710</v>
      </c>
      <c r="S12" s="303" t="n">
        <f aca="false">IFERROR(R12/O12/100, "-")</f>
        <v>411.46052631579</v>
      </c>
      <c r="T12" s="283" t="s">
        <v>190</v>
      </c>
    </row>
    <row r="13" customFormat="false" ht="20.25" hidden="false" customHeight="true" outlineLevel="0" collapsed="false">
      <c r="B13" s="105" t="s">
        <v>195</v>
      </c>
      <c r="C13" s="120"/>
      <c r="D13" s="120"/>
      <c r="E13" s="120"/>
      <c r="F13" s="120"/>
      <c r="G13" s="120"/>
      <c r="H13" s="120" t="n">
        <f aca="false">IFERROR(H10/H12*10,0)</f>
        <v>120.267164179104</v>
      </c>
      <c r="J13" s="298" t="n">
        <v>45939</v>
      </c>
      <c r="K13" s="298"/>
      <c r="L13" s="299"/>
      <c r="M13" s="299"/>
      <c r="N13" s="300"/>
      <c r="O13" s="299"/>
      <c r="P13" s="301"/>
      <c r="Q13" s="302"/>
      <c r="R13" s="307"/>
      <c r="S13" s="303"/>
      <c r="T13" s="283"/>
    </row>
    <row r="14" customFormat="false" ht="20.25" hidden="false" customHeight="true" outlineLevel="0" collapsed="false">
      <c r="B14" s="105"/>
      <c r="C14" s="121"/>
      <c r="D14" s="121"/>
      <c r="E14" s="121"/>
      <c r="F14" s="121"/>
      <c r="G14" s="121"/>
      <c r="J14" s="298" t="n">
        <v>45940</v>
      </c>
      <c r="K14" s="298"/>
      <c r="L14" s="299"/>
      <c r="M14" s="299"/>
      <c r="N14" s="300"/>
      <c r="O14" s="299"/>
      <c r="P14" s="301"/>
      <c r="Q14" s="302"/>
      <c r="R14" s="307"/>
      <c r="S14" s="303"/>
      <c r="T14" s="297"/>
    </row>
    <row r="15" customFormat="false" ht="20.25" hidden="false" customHeight="true" outlineLevel="0" collapsed="false">
      <c r="J15" s="298" t="n">
        <v>45941</v>
      </c>
      <c r="K15" s="298" t="s">
        <v>2049</v>
      </c>
      <c r="L15" s="299"/>
      <c r="M15" s="299" t="s">
        <v>279</v>
      </c>
      <c r="N15" s="300" t="n">
        <v>7</v>
      </c>
      <c r="O15" s="299" t="n">
        <v>15.4</v>
      </c>
      <c r="P15" s="301"/>
      <c r="Q15" s="302"/>
      <c r="R15" s="307" t="n">
        <v>129140</v>
      </c>
      <c r="S15" s="303" t="n">
        <f aca="false">IFERROR(R15/O15/100, "-")</f>
        <v>83.8571428571429</v>
      </c>
      <c r="T15" s="283" t="s">
        <v>190</v>
      </c>
    </row>
    <row r="16" customFormat="false" ht="17.35" hidden="false" customHeight="false" outlineLevel="0" collapsed="false">
      <c r="B16" s="123" t="s">
        <v>3538</v>
      </c>
      <c r="C16" s="124"/>
      <c r="D16" s="124"/>
      <c r="E16" s="124"/>
      <c r="J16" s="298" t="n">
        <v>45942</v>
      </c>
      <c r="K16" s="298"/>
      <c r="L16" s="299"/>
      <c r="M16" s="299"/>
      <c r="N16" s="300"/>
      <c r="O16" s="299"/>
      <c r="P16" s="301"/>
      <c r="Q16" s="302"/>
      <c r="R16" s="307"/>
      <c r="S16" s="303"/>
      <c r="T16" s="297"/>
    </row>
    <row r="17" customFormat="false" ht="15" hidden="false" customHeight="false" outlineLevel="0" collapsed="false">
      <c r="B17" s="105" t="s">
        <v>16</v>
      </c>
      <c r="C17" s="117" t="n">
        <f aca="false">C25+C31</f>
        <v>4824</v>
      </c>
      <c r="D17" s="251" t="n">
        <f aca="false">C17/E17</f>
        <v>18</v>
      </c>
      <c r="E17" s="262" t="n">
        <f aca="false">E25+E31</f>
        <v>268</v>
      </c>
      <c r="J17" s="298" t="n">
        <v>45943</v>
      </c>
      <c r="K17" s="298" t="s">
        <v>2049</v>
      </c>
      <c r="L17" s="299"/>
      <c r="M17" s="299" t="s">
        <v>279</v>
      </c>
      <c r="N17" s="300" t="n">
        <v>1</v>
      </c>
      <c r="O17" s="299" t="n">
        <v>2.5</v>
      </c>
      <c r="P17" s="301"/>
      <c r="Q17" s="302"/>
      <c r="R17" s="307" t="n">
        <v>20910</v>
      </c>
      <c r="S17" s="303" t="n">
        <f aca="false">IFERROR(R17/O17/100, "-")</f>
        <v>83.64</v>
      </c>
      <c r="T17" s="297"/>
    </row>
    <row r="18" customFormat="false" ht="15" hidden="false" customHeight="false" outlineLevel="0" collapsed="false">
      <c r="B18" s="259" t="s">
        <v>17</v>
      </c>
      <c r="C18" s="143" t="n">
        <f aca="false">R28/1000</f>
        <v>3223.16</v>
      </c>
      <c r="D18" s="260" t="n">
        <f aca="false">IFERROR(C18/E18,)</f>
        <v>12.0267164179104</v>
      </c>
      <c r="E18" s="287" t="n">
        <f aca="false">O28</f>
        <v>268</v>
      </c>
      <c r="J18" s="298" t="n">
        <v>45944</v>
      </c>
      <c r="K18" s="298"/>
      <c r="L18" s="299"/>
      <c r="M18" s="299"/>
      <c r="N18" s="300"/>
      <c r="O18" s="299"/>
      <c r="P18" s="301"/>
      <c r="Q18" s="302"/>
      <c r="R18" s="307"/>
      <c r="S18" s="303" t="str">
        <f aca="false">IFERROR(R18/O18/100, "-")</f>
        <v>-</v>
      </c>
      <c r="T18" s="297"/>
    </row>
    <row r="19" customFormat="false" ht="15" hidden="false" customHeight="false" outlineLevel="0" collapsed="false">
      <c r="B19" s="105" t="s">
        <v>204</v>
      </c>
      <c r="C19" s="133" t="n">
        <f aca="false">C18/C17</f>
        <v>0.668150912106136</v>
      </c>
      <c r="D19" s="134"/>
      <c r="E19" s="262"/>
      <c r="J19" s="298" t="n">
        <v>45945</v>
      </c>
      <c r="K19" s="298"/>
      <c r="L19" s="299"/>
      <c r="M19" s="299"/>
      <c r="N19" s="300"/>
      <c r="O19" s="299"/>
      <c r="P19" s="301"/>
      <c r="Q19" s="302"/>
      <c r="R19" s="307"/>
      <c r="S19" s="303" t="str">
        <f aca="false">IFERROR(R19/O19/100, "-")</f>
        <v>-</v>
      </c>
      <c r="T19" s="283"/>
    </row>
    <row r="20" customFormat="false" ht="15" hidden="false" customHeight="false" outlineLevel="0" collapsed="false">
      <c r="B20" s="105" t="s">
        <v>205</v>
      </c>
      <c r="C20" s="133" t="n">
        <f aca="false">IFERROR(E18/E17, )</f>
        <v>1</v>
      </c>
      <c r="J20" s="298" t="n">
        <v>45946</v>
      </c>
      <c r="K20" s="298"/>
      <c r="L20" s="299"/>
      <c r="M20" s="299"/>
      <c r="N20" s="300"/>
      <c r="O20" s="299"/>
      <c r="P20" s="301"/>
      <c r="Q20" s="302"/>
      <c r="R20" s="307"/>
      <c r="S20" s="303" t="str">
        <f aca="false">IFERROR(R20/O20/100, "-")</f>
        <v>-</v>
      </c>
      <c r="T20" s="283"/>
    </row>
    <row r="21" customFormat="false" ht="17.25" hidden="false" customHeight="true" outlineLevel="0" collapsed="false">
      <c r="B21" s="105"/>
      <c r="C21" s="133"/>
      <c r="E21" s="258"/>
      <c r="F21" s="284"/>
      <c r="G21" s="284"/>
      <c r="J21" s="298" t="n">
        <v>45947</v>
      </c>
      <c r="K21" s="298" t="s">
        <v>2070</v>
      </c>
      <c r="L21" s="299"/>
      <c r="M21" s="299" t="s">
        <v>279</v>
      </c>
      <c r="N21" s="300" t="n">
        <v>1</v>
      </c>
      <c r="O21" s="299" t="n">
        <v>2.8</v>
      </c>
      <c r="P21" s="301"/>
      <c r="Q21" s="302"/>
      <c r="R21" s="307" t="n">
        <v>23420</v>
      </c>
      <c r="S21" s="303" t="n">
        <f aca="false">IFERROR(R21/O21/100, "-")</f>
        <v>83.6428571428572</v>
      </c>
      <c r="T21" s="283" t="s">
        <v>190</v>
      </c>
      <c r="U21" s="110"/>
    </row>
    <row r="22" customFormat="false" ht="17.25" hidden="false" customHeight="true" outlineLevel="0" collapsed="false">
      <c r="B22" s="105"/>
      <c r="C22" s="133"/>
      <c r="G22" s="135"/>
      <c r="J22" s="298" t="n">
        <v>45948</v>
      </c>
      <c r="K22" s="298" t="s">
        <v>2070</v>
      </c>
      <c r="L22" s="299"/>
      <c r="M22" s="299" t="s">
        <v>279</v>
      </c>
      <c r="N22" s="300" t="n">
        <v>3</v>
      </c>
      <c r="O22" s="299" t="n">
        <v>7.7</v>
      </c>
      <c r="P22" s="301"/>
      <c r="Q22" s="302"/>
      <c r="R22" s="307" t="n">
        <v>64220</v>
      </c>
      <c r="S22" s="303" t="n">
        <f aca="false">IFERROR(R22/O22/100, "-")</f>
        <v>83.4025974025974</v>
      </c>
      <c r="T22" s="283" t="s">
        <v>190</v>
      </c>
      <c r="U22" s="110"/>
    </row>
    <row r="23" customFormat="false" ht="17.25" hidden="false" customHeight="true" outlineLevel="0" collapsed="false">
      <c r="B23" s="147" t="s">
        <v>3548</v>
      </c>
      <c r="C23" s="133"/>
      <c r="G23" s="135"/>
      <c r="J23" s="298" t="n">
        <v>45949</v>
      </c>
      <c r="K23" s="298" t="s">
        <v>2070</v>
      </c>
      <c r="L23" s="299"/>
      <c r="M23" s="299" t="s">
        <v>279</v>
      </c>
      <c r="N23" s="300" t="n">
        <v>3</v>
      </c>
      <c r="O23" s="299" t="n">
        <v>9.6</v>
      </c>
      <c r="P23" s="301"/>
      <c r="Q23" s="302"/>
      <c r="R23" s="307" t="n">
        <v>80530</v>
      </c>
      <c r="S23" s="303" t="n">
        <f aca="false">IFERROR(R23/O23/100, "-")</f>
        <v>83.8854166666667</v>
      </c>
      <c r="T23" s="283" t="s">
        <v>190</v>
      </c>
      <c r="U23" s="110"/>
    </row>
    <row r="24" customFormat="false" ht="17.25" hidden="false" customHeight="true" outlineLevel="0" collapsed="false">
      <c r="B24" s="308" t="s">
        <v>3</v>
      </c>
      <c r="C24" s="309"/>
      <c r="D24" s="310"/>
      <c r="E24" s="310"/>
      <c r="G24" s="135"/>
      <c r="J24" s="298" t="n">
        <v>45950</v>
      </c>
      <c r="K24" s="298" t="s">
        <v>2070</v>
      </c>
      <c r="L24" s="299"/>
      <c r="M24" s="299" t="s">
        <v>279</v>
      </c>
      <c r="N24" s="300" t="n">
        <v>6</v>
      </c>
      <c r="O24" s="299" t="n">
        <v>18.9</v>
      </c>
      <c r="P24" s="301"/>
      <c r="Q24" s="302"/>
      <c r="R24" s="307" t="n">
        <v>157930</v>
      </c>
      <c r="S24" s="303" t="n">
        <f aca="false">IFERROR(R24/O24/100, "-")</f>
        <v>83.5608465608466</v>
      </c>
      <c r="T24" s="283" t="s">
        <v>190</v>
      </c>
      <c r="U24" s="110"/>
    </row>
    <row r="25" customFormat="false" ht="17.25" hidden="false" customHeight="true" outlineLevel="0" collapsed="false">
      <c r="B25" s="105" t="s">
        <v>16</v>
      </c>
      <c r="C25" s="117" t="n">
        <v>3240</v>
      </c>
      <c r="D25" s="251" t="n">
        <f aca="false">C25/E25</f>
        <v>18</v>
      </c>
      <c r="E25" s="262" t="n">
        <v>180</v>
      </c>
      <c r="G25" s="135"/>
      <c r="J25" s="298" t="n">
        <v>45951</v>
      </c>
      <c r="K25" s="298"/>
      <c r="L25" s="299"/>
      <c r="M25" s="299"/>
      <c r="N25" s="300"/>
      <c r="O25" s="299"/>
      <c r="P25" s="301"/>
      <c r="Q25" s="302"/>
      <c r="R25" s="307"/>
      <c r="S25" s="303"/>
      <c r="T25" s="283"/>
      <c r="U25" s="110"/>
    </row>
    <row r="26" customFormat="false" ht="17.25" hidden="false" customHeight="true" outlineLevel="0" collapsed="false">
      <c r="B26" s="259" t="s">
        <v>17</v>
      </c>
      <c r="C26" s="143" t="n">
        <f aca="false">SUM(R4:R11)/1000</f>
        <v>2184.73</v>
      </c>
      <c r="D26" s="260" t="n">
        <f aca="false">IFERROR(C26/E26,)</f>
        <v>12.1373888888889</v>
      </c>
      <c r="E26" s="287" t="n">
        <f aca="false">SUM(O4:Q11)</f>
        <v>180</v>
      </c>
      <c r="G26" s="135"/>
      <c r="J26" s="298" t="n">
        <v>45952</v>
      </c>
      <c r="K26" s="298" t="s">
        <v>2070</v>
      </c>
      <c r="L26" s="299"/>
      <c r="M26" s="299" t="s">
        <v>279</v>
      </c>
      <c r="N26" s="300" t="n">
        <v>7</v>
      </c>
      <c r="O26" s="299" t="n">
        <v>21.8</v>
      </c>
      <c r="P26" s="301"/>
      <c r="Q26" s="302"/>
      <c r="R26" s="307" t="n">
        <v>181920</v>
      </c>
      <c r="S26" s="303" t="n">
        <f aca="false">IFERROR(R26/O26/100, "-")</f>
        <v>83.4495412844037</v>
      </c>
      <c r="T26" s="283" t="s">
        <v>190</v>
      </c>
      <c r="U26" s="110"/>
    </row>
    <row r="27" customFormat="false" ht="17.25" hidden="false" customHeight="true" outlineLevel="0" collapsed="false">
      <c r="B27" s="105" t="s">
        <v>204</v>
      </c>
      <c r="C27" s="133" t="n">
        <f aca="false">C26/C25</f>
        <v>0.674299382716049</v>
      </c>
      <c r="D27" s="134"/>
      <c r="G27" s="135"/>
      <c r="J27" s="298" t="n">
        <v>45953</v>
      </c>
      <c r="K27" s="298" t="s">
        <v>2070</v>
      </c>
      <c r="L27" s="299"/>
      <c r="M27" s="299" t="s">
        <v>158</v>
      </c>
      <c r="N27" s="300" t="n">
        <v>4</v>
      </c>
      <c r="O27" s="299" t="n">
        <v>1.7</v>
      </c>
      <c r="P27" s="301"/>
      <c r="Q27" s="302"/>
      <c r="R27" s="307" t="n">
        <v>67650</v>
      </c>
      <c r="S27" s="303" t="n">
        <f aca="false">IFERROR(R27/O27/100, "-")</f>
        <v>397.941176470588</v>
      </c>
      <c r="T27" s="283" t="s">
        <v>190</v>
      </c>
      <c r="U27" s="110"/>
    </row>
    <row r="28" customFormat="false" ht="17.25" hidden="false" customHeight="true" outlineLevel="0" collapsed="false">
      <c r="B28" s="105" t="s">
        <v>205</v>
      </c>
      <c r="C28" s="133" t="n">
        <f aca="false">E26/E25</f>
        <v>1</v>
      </c>
      <c r="G28" s="135"/>
      <c r="J28" s="296" t="s">
        <v>149</v>
      </c>
      <c r="K28" s="296"/>
      <c r="L28" s="296"/>
      <c r="M28" s="296"/>
      <c r="N28" s="296" t="n">
        <f aca="false">SUM(N4:N27)</f>
        <v>125</v>
      </c>
      <c r="O28" s="288" t="n">
        <f aca="false">SUM(O4:O27)</f>
        <v>268</v>
      </c>
      <c r="P28" s="289" t="n">
        <f aca="false">SUM(P4:P15)</f>
        <v>0</v>
      </c>
      <c r="Q28" s="290" t="n">
        <f aca="false">P28/O28/100</f>
        <v>0</v>
      </c>
      <c r="R28" s="289" t="n">
        <f aca="false">SUM(R4:R27)</f>
        <v>3223160</v>
      </c>
      <c r="S28" s="311" t="n">
        <f aca="false">IFERROR(R28/O28/100, "-")</f>
        <v>120.267164179104</v>
      </c>
      <c r="T28" s="297"/>
      <c r="U28" s="110"/>
    </row>
    <row r="29" customFormat="false" ht="17.25" hidden="false" customHeight="true" outlineLevel="0" collapsed="false">
      <c r="G29" s="135"/>
      <c r="J29" s="297"/>
      <c r="K29" s="297"/>
      <c r="L29" s="297"/>
      <c r="M29" s="297"/>
      <c r="N29" s="312"/>
      <c r="O29" s="297"/>
      <c r="P29" s="297"/>
      <c r="Q29" s="297"/>
      <c r="R29" s="313"/>
      <c r="S29" s="297"/>
      <c r="T29" s="297"/>
      <c r="U29" s="110"/>
    </row>
    <row r="30" customFormat="false" ht="17.25" hidden="false" customHeight="true" outlineLevel="0" collapsed="false">
      <c r="B30" s="308" t="s">
        <v>3549</v>
      </c>
      <c r="C30" s="309"/>
      <c r="D30" s="310"/>
      <c r="E30" s="310"/>
      <c r="G30" s="135"/>
      <c r="R30" s="110"/>
      <c r="U30" s="110"/>
    </row>
    <row r="31" customFormat="false" ht="17.25" hidden="false" customHeight="true" outlineLevel="0" collapsed="false">
      <c r="B31" s="105" t="s">
        <v>16</v>
      </c>
      <c r="C31" s="117" t="n">
        <v>1584</v>
      </c>
      <c r="D31" s="251" t="n">
        <f aca="false">C31/E31</f>
        <v>18</v>
      </c>
      <c r="E31" s="262" t="n">
        <v>88</v>
      </c>
      <c r="G31" s="135"/>
      <c r="U31" s="110"/>
    </row>
    <row r="32" customFormat="false" ht="17.25" hidden="false" customHeight="true" outlineLevel="0" collapsed="false">
      <c r="B32" s="259" t="s">
        <v>17</v>
      </c>
      <c r="C32" s="143" t="n">
        <f aca="false">SUM(R12:R27)/1000</f>
        <v>1038.43</v>
      </c>
      <c r="D32" s="260" t="n">
        <f aca="false">IFERROR(C32/E32,)</f>
        <v>11.8003409090909</v>
      </c>
      <c r="E32" s="287" t="n">
        <f aca="false">SUM(O12:O27)</f>
        <v>88</v>
      </c>
      <c r="F32" s="125"/>
      <c r="G32" s="135"/>
      <c r="U32" s="110"/>
    </row>
    <row r="33" customFormat="false" ht="17.25" hidden="false" customHeight="true" outlineLevel="0" collapsed="false">
      <c r="B33" s="105" t="s">
        <v>204</v>
      </c>
      <c r="C33" s="133" t="n">
        <f aca="false">C32/C31</f>
        <v>0.655574494949495</v>
      </c>
      <c r="D33" s="134"/>
      <c r="G33" s="135"/>
      <c r="U33" s="110"/>
    </row>
    <row r="34" customFormat="false" ht="17.25" hidden="false" customHeight="true" outlineLevel="0" collapsed="false">
      <c r="B34" s="105" t="s">
        <v>205</v>
      </c>
      <c r="C34" s="133" t="n">
        <f aca="false">E32/E31</f>
        <v>1</v>
      </c>
      <c r="G34" s="135"/>
      <c r="U34" s="110"/>
    </row>
    <row r="35" customFormat="false" ht="14.25" hidden="false" customHeight="false" outlineLevel="0" collapsed="false">
      <c r="G35" s="136"/>
    </row>
    <row r="36" customFormat="false" ht="14.25" hidden="false" customHeight="false" outlineLevel="0" collapsed="false">
      <c r="C36" s="149"/>
    </row>
    <row r="38" customFormat="false" ht="14.25" hidden="false" customHeight="false" outlineLevel="0" collapsed="false">
      <c r="C38" s="149"/>
    </row>
    <row r="44" customFormat="false" ht="16.5" hidden="false" customHeight="true" outlineLevel="0" collapsed="false"/>
  </sheetData>
  <autoFilter ref="J3:S33"/>
  <mergeCells count="2">
    <mergeCell ref="B2:R2"/>
    <mergeCell ref="F21:G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B2:U44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I14" activeCellId="0" sqref="I14"/>
    </sheetView>
  </sheetViews>
  <sheetFormatPr defaultColWidth="9.1484375" defaultRowHeight="14.25" customHeight="true" zeroHeight="false" outlineLevelRow="0" outlineLevelCol="1"/>
  <cols>
    <col collapsed="false" customWidth="true" hidden="false" outlineLevel="0" max="1" min="1" style="89" width="3.29"/>
    <col collapsed="false" customWidth="true" hidden="false" outlineLevel="0" max="2" min="2" style="89" width="46.29"/>
    <col collapsed="false" customWidth="true" hidden="false" outlineLevel="0" max="8" min="3" style="89" width="13.57"/>
    <col collapsed="false" customWidth="true" hidden="false" outlineLevel="0" max="9" min="9" style="89" width="10.85"/>
    <col collapsed="false" customWidth="true" hidden="false" outlineLevel="0" max="10" min="10" style="89" width="13.86"/>
    <col collapsed="false" customWidth="true" hidden="false" outlineLevel="1" max="11" min="11" style="89" width="23.71"/>
    <col collapsed="false" customWidth="true" hidden="false" outlineLevel="1" max="12" min="12" style="89" width="12.15"/>
    <col collapsed="false" customWidth="true" hidden="false" outlineLevel="1" max="13" min="13" style="89" width="15.71"/>
    <col collapsed="false" customWidth="true" hidden="false" outlineLevel="1" max="14" min="14" style="90" width="11.29"/>
    <col collapsed="false" customWidth="true" hidden="false" outlineLevel="0" max="15" min="15" style="89" width="11.14"/>
    <col collapsed="false" customWidth="true" hidden="true" outlineLevel="1" max="16" min="16" style="89" width="20.57"/>
    <col collapsed="false" customWidth="true" hidden="true" outlineLevel="1" max="17" min="17" style="89" width="17.57"/>
    <col collapsed="false" customWidth="true" hidden="false" outlineLevel="0" max="18" min="18" style="89" width="15.57"/>
    <col collapsed="false" customWidth="true" hidden="false" outlineLevel="0" max="19" min="19" style="89" width="17.57"/>
    <col collapsed="false" customWidth="true" hidden="false" outlineLevel="0" max="20" min="20" style="89" width="57.29"/>
    <col collapsed="false" customWidth="true" hidden="false" outlineLevel="0" max="22" min="21" style="89" width="14.42"/>
    <col collapsed="false" customWidth="false" hidden="false" outlineLevel="0" max="16384" min="23" style="89" width="9.14"/>
  </cols>
  <sheetData>
    <row r="2" customFormat="false" ht="60" hidden="false" customHeight="true" outlineLevel="0" collapsed="false">
      <c r="B2" s="91" t="s">
        <v>3550</v>
      </c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2"/>
    </row>
    <row r="3" customFormat="false" ht="39.55" hidden="false" customHeight="false" outlineLevel="0" collapsed="false">
      <c r="H3" s="94"/>
      <c r="I3" s="94"/>
      <c r="J3" s="95" t="s">
        <v>3413</v>
      </c>
      <c r="K3" s="95" t="s">
        <v>75</v>
      </c>
      <c r="L3" s="95" t="s">
        <v>168</v>
      </c>
      <c r="M3" s="95" t="s">
        <v>76</v>
      </c>
      <c r="N3" s="95" t="s">
        <v>169</v>
      </c>
      <c r="O3" s="95" t="s">
        <v>18</v>
      </c>
      <c r="P3" s="95" t="s">
        <v>170</v>
      </c>
      <c r="Q3" s="95" t="s">
        <v>171</v>
      </c>
      <c r="R3" s="96" t="s">
        <v>172</v>
      </c>
      <c r="S3" s="95" t="s">
        <v>173</v>
      </c>
    </row>
    <row r="4" customFormat="false" ht="20.25" hidden="false" customHeight="true" outlineLevel="0" collapsed="false">
      <c r="B4" s="97" t="s">
        <v>174</v>
      </c>
      <c r="C4" s="98" t="s">
        <v>175</v>
      </c>
      <c r="D4" s="98" t="s">
        <v>176</v>
      </c>
      <c r="E4" s="98" t="s">
        <v>62</v>
      </c>
      <c r="F4" s="98" t="s">
        <v>63</v>
      </c>
      <c r="G4" s="98" t="s">
        <v>64</v>
      </c>
      <c r="H4" s="98" t="s">
        <v>65</v>
      </c>
      <c r="J4" s="272" t="n">
        <v>45925</v>
      </c>
      <c r="K4" s="272" t="s">
        <v>1687</v>
      </c>
      <c r="L4" s="114" t="n">
        <v>26</v>
      </c>
      <c r="M4" s="114" t="s">
        <v>279</v>
      </c>
      <c r="N4" s="273" t="n">
        <v>1</v>
      </c>
      <c r="O4" s="114" t="n">
        <v>1.3</v>
      </c>
      <c r="P4" s="107"/>
      <c r="Q4" s="274"/>
      <c r="R4" s="107" t="n">
        <v>24310</v>
      </c>
      <c r="S4" s="274" t="n">
        <f aca="false">R4/O4/100</f>
        <v>187</v>
      </c>
      <c r="T4" s="292"/>
    </row>
    <row r="5" s="90" customFormat="true" ht="20.25" hidden="false" customHeight="true" outlineLevel="0" collapsed="false">
      <c r="B5" s="105" t="s">
        <v>12</v>
      </c>
      <c r="C5" s="106"/>
      <c r="D5" s="106"/>
      <c r="E5" s="106"/>
      <c r="F5" s="106"/>
      <c r="G5" s="106"/>
      <c r="H5" s="106" t="n">
        <f aca="false">J4</f>
        <v>45925</v>
      </c>
      <c r="J5" s="272" t="n">
        <v>45926</v>
      </c>
      <c r="K5" s="272"/>
      <c r="L5" s="114"/>
      <c r="M5" s="114"/>
      <c r="N5" s="273"/>
      <c r="O5" s="114"/>
      <c r="P5" s="107"/>
      <c r="Q5" s="274"/>
      <c r="R5" s="107"/>
      <c r="S5" s="274"/>
      <c r="T5" s="275"/>
    </row>
    <row r="6" customFormat="false" ht="20.25" hidden="false" customHeight="true" outlineLevel="0" collapsed="false">
      <c r="B6" s="105" t="s">
        <v>20</v>
      </c>
      <c r="C6" s="106"/>
      <c r="D6" s="106"/>
      <c r="E6" s="106"/>
      <c r="F6" s="106"/>
      <c r="G6" s="106"/>
      <c r="H6" s="106" t="n">
        <f aca="false">J14</f>
        <v>45933</v>
      </c>
      <c r="J6" s="272" t="n">
        <v>45927</v>
      </c>
      <c r="K6" s="272"/>
      <c r="L6" s="114"/>
      <c r="M6" s="114"/>
      <c r="N6" s="273"/>
      <c r="O6" s="114"/>
      <c r="P6" s="107"/>
      <c r="Q6" s="274"/>
      <c r="R6" s="107"/>
      <c r="S6" s="274"/>
      <c r="T6" s="275"/>
    </row>
    <row r="7" customFormat="false" ht="20.25" hidden="false" customHeight="true" outlineLevel="0" collapsed="false">
      <c r="B7" s="105" t="s">
        <v>178</v>
      </c>
      <c r="C7" s="111"/>
      <c r="D7" s="111"/>
      <c r="E7" s="111"/>
      <c r="F7" s="111"/>
      <c r="G7" s="111"/>
      <c r="H7" s="111" t="n">
        <f aca="false">IF(H6=0,"-",H6-H5+1)</f>
        <v>9</v>
      </c>
      <c r="J7" s="272" t="n">
        <v>45928</v>
      </c>
      <c r="K7" s="272"/>
      <c r="L7" s="114"/>
      <c r="M7" s="114"/>
      <c r="N7" s="273"/>
      <c r="O7" s="114"/>
      <c r="P7" s="107"/>
      <c r="Q7" s="274"/>
      <c r="R7" s="107"/>
      <c r="S7" s="274"/>
    </row>
    <row r="8" customFormat="false" ht="20.25" hidden="false" customHeight="true" outlineLevel="0" collapsed="false">
      <c r="B8" s="105" t="s">
        <v>179</v>
      </c>
      <c r="C8" s="111"/>
      <c r="D8" s="111"/>
      <c r="E8" s="111"/>
      <c r="F8" s="111"/>
      <c r="G8" s="111"/>
      <c r="H8" s="111" t="n">
        <v>5</v>
      </c>
      <c r="J8" s="272" t="n">
        <v>45929</v>
      </c>
      <c r="K8" s="272" t="s">
        <v>1687</v>
      </c>
      <c r="L8" s="114" t="n">
        <v>26</v>
      </c>
      <c r="M8" s="114" t="s">
        <v>279</v>
      </c>
      <c r="N8" s="273" t="n">
        <v>12</v>
      </c>
      <c r="O8" s="114" t="n">
        <v>18.7</v>
      </c>
      <c r="P8" s="107"/>
      <c r="Q8" s="274"/>
      <c r="R8" s="107" t="n">
        <v>328430</v>
      </c>
      <c r="S8" s="274" t="n">
        <f aca="false">R8/O8/100</f>
        <v>175.631016042781</v>
      </c>
      <c r="T8" s="110"/>
    </row>
    <row r="9" customFormat="false" ht="20.25" hidden="false" customHeight="true" outlineLevel="0" collapsed="false">
      <c r="B9" s="105" t="s">
        <v>181</v>
      </c>
      <c r="C9" s="112"/>
      <c r="D9" s="112"/>
      <c r="E9" s="112"/>
      <c r="F9" s="112"/>
      <c r="G9" s="112"/>
      <c r="H9" s="112" t="s">
        <v>3417</v>
      </c>
      <c r="J9" s="272" t="n">
        <v>45930</v>
      </c>
      <c r="K9" s="272"/>
      <c r="L9" s="114"/>
      <c r="M9" s="114"/>
      <c r="N9" s="273"/>
      <c r="O9" s="114"/>
      <c r="P9" s="107"/>
      <c r="Q9" s="274"/>
      <c r="R9" s="107"/>
      <c r="S9" s="274"/>
    </row>
    <row r="10" customFormat="false" ht="20.25" hidden="false" customHeight="true" outlineLevel="0" collapsed="false">
      <c r="B10" s="105" t="s">
        <v>187</v>
      </c>
      <c r="C10" s="117"/>
      <c r="D10" s="117"/>
      <c r="E10" s="117"/>
      <c r="F10" s="117"/>
      <c r="G10" s="117"/>
      <c r="H10" s="117" t="n">
        <f aca="false">R15/1000</f>
        <v>1860.64</v>
      </c>
      <c r="J10" s="272" t="n">
        <v>45931</v>
      </c>
      <c r="K10" s="272" t="s">
        <v>1687</v>
      </c>
      <c r="L10" s="114" t="n">
        <v>26</v>
      </c>
      <c r="M10" s="114" t="s">
        <v>279</v>
      </c>
      <c r="N10" s="273" t="n">
        <v>7</v>
      </c>
      <c r="O10" s="114" t="n">
        <v>6</v>
      </c>
      <c r="P10" s="107"/>
      <c r="Q10" s="274"/>
      <c r="R10" s="107" t="n">
        <v>174120</v>
      </c>
      <c r="S10" s="274" t="n">
        <f aca="false">R10/O10/100</f>
        <v>290.2</v>
      </c>
      <c r="T10" s="275"/>
    </row>
    <row r="11" customFormat="false" ht="20.25" hidden="false" customHeight="true" outlineLevel="0" collapsed="false">
      <c r="B11" s="105" t="s">
        <v>191</v>
      </c>
      <c r="C11" s="119"/>
      <c r="D11" s="119"/>
      <c r="E11" s="119"/>
      <c r="F11" s="119"/>
      <c r="G11" s="281"/>
      <c r="H11" s="281" t="n">
        <v>125</v>
      </c>
      <c r="I11" s="282"/>
      <c r="J11" s="272"/>
      <c r="K11" s="272" t="s">
        <v>1900</v>
      </c>
      <c r="L11" s="114" t="n">
        <v>58</v>
      </c>
      <c r="M11" s="114" t="s">
        <v>279</v>
      </c>
      <c r="N11" s="273" t="n">
        <v>15</v>
      </c>
      <c r="O11" s="114" t="n">
        <v>27.6</v>
      </c>
      <c r="P11" s="107"/>
      <c r="Q11" s="274"/>
      <c r="R11" s="107" t="n">
        <v>395400</v>
      </c>
      <c r="S11" s="274" t="n">
        <f aca="false">R11/O11/100</f>
        <v>143.260869565217</v>
      </c>
      <c r="T11" s="275"/>
    </row>
    <row r="12" customFormat="false" ht="20.25" hidden="false" customHeight="true" outlineLevel="0" collapsed="false">
      <c r="B12" s="105" t="s">
        <v>18</v>
      </c>
      <c r="C12" s="119"/>
      <c r="D12" s="119"/>
      <c r="E12" s="119"/>
      <c r="F12" s="119"/>
      <c r="G12" s="119"/>
      <c r="H12" s="281" t="n">
        <f aca="false">O15</f>
        <v>125</v>
      </c>
      <c r="J12" s="272" t="n">
        <v>45932</v>
      </c>
      <c r="K12" s="272" t="s">
        <v>3551</v>
      </c>
      <c r="L12" s="114" t="n">
        <v>41</v>
      </c>
      <c r="M12" s="114" t="s">
        <v>279</v>
      </c>
      <c r="N12" s="273" t="n">
        <v>20</v>
      </c>
      <c r="O12" s="114" t="n">
        <v>41</v>
      </c>
      <c r="P12" s="107"/>
      <c r="Q12" s="274"/>
      <c r="R12" s="279" t="n">
        <v>504190</v>
      </c>
      <c r="S12" s="274" t="n">
        <f aca="false">R12/O12/100</f>
        <v>122.973170731707</v>
      </c>
      <c r="T12" s="275"/>
    </row>
    <row r="13" customFormat="false" ht="20.25" hidden="false" customHeight="true" outlineLevel="0" collapsed="false">
      <c r="B13" s="105" t="s">
        <v>195</v>
      </c>
      <c r="C13" s="120"/>
      <c r="D13" s="120"/>
      <c r="E13" s="120"/>
      <c r="F13" s="120"/>
      <c r="G13" s="120"/>
      <c r="H13" s="120" t="n">
        <f aca="false">IFERROR(H10/H12*10,0)</f>
        <v>148.8512</v>
      </c>
      <c r="J13" s="272"/>
      <c r="K13" s="272" t="s">
        <v>1900</v>
      </c>
      <c r="L13" s="114" t="n">
        <v>58</v>
      </c>
      <c r="M13" s="114" t="s">
        <v>279</v>
      </c>
      <c r="N13" s="273" t="n">
        <v>3</v>
      </c>
      <c r="O13" s="114" t="n">
        <v>5.1</v>
      </c>
      <c r="P13" s="107"/>
      <c r="Q13" s="274"/>
      <c r="R13" s="279" t="n">
        <v>72710</v>
      </c>
      <c r="S13" s="274" t="n">
        <f aca="false">R13/O13/100</f>
        <v>142.56862745098</v>
      </c>
      <c r="T13" s="275"/>
    </row>
    <row r="14" customFormat="false" ht="20.25" hidden="false" customHeight="true" outlineLevel="0" collapsed="false">
      <c r="B14" s="105"/>
      <c r="C14" s="121"/>
      <c r="D14" s="121"/>
      <c r="E14" s="121"/>
      <c r="F14" s="121"/>
      <c r="G14" s="121"/>
      <c r="J14" s="272" t="n">
        <v>45933</v>
      </c>
      <c r="K14" s="272" t="s">
        <v>1900</v>
      </c>
      <c r="L14" s="114" t="n">
        <v>58</v>
      </c>
      <c r="M14" s="114" t="s">
        <v>279</v>
      </c>
      <c r="N14" s="273" t="n">
        <v>14</v>
      </c>
      <c r="O14" s="114" t="n">
        <v>25.3</v>
      </c>
      <c r="P14" s="107"/>
      <c r="Q14" s="274"/>
      <c r="R14" s="279" t="n">
        <v>361480</v>
      </c>
      <c r="S14" s="274" t="n">
        <f aca="false">R14/O14/100</f>
        <v>142.877470355731</v>
      </c>
      <c r="T14" s="275"/>
    </row>
    <row r="15" customFormat="false" ht="20.25" hidden="false" customHeight="true" outlineLevel="0" collapsed="false">
      <c r="J15" s="95" t="s">
        <v>149</v>
      </c>
      <c r="K15" s="95"/>
      <c r="L15" s="95"/>
      <c r="M15" s="95"/>
      <c r="N15" s="95" t="n">
        <f aca="false">SUM(N4:N14)</f>
        <v>72</v>
      </c>
      <c r="O15" s="288" t="n">
        <f aca="false">SUM(O4:O14)</f>
        <v>125</v>
      </c>
      <c r="P15" s="289" t="n">
        <f aca="false">SUM(P4:P14)</f>
        <v>0</v>
      </c>
      <c r="Q15" s="290" t="n">
        <f aca="false">P15/O15/100</f>
        <v>0</v>
      </c>
      <c r="R15" s="289" t="n">
        <f aca="false">SUM(R4:R14)</f>
        <v>1860640</v>
      </c>
      <c r="S15" s="131" t="n">
        <f aca="false">R15/O15/100</f>
        <v>148.8512</v>
      </c>
      <c r="T15" s="286"/>
    </row>
    <row r="16" customFormat="false" ht="17.35" hidden="false" customHeight="false" outlineLevel="0" collapsed="false">
      <c r="B16" s="123" t="s">
        <v>3538</v>
      </c>
      <c r="C16" s="124"/>
      <c r="D16" s="124"/>
      <c r="E16" s="124"/>
      <c r="R16" s="110"/>
    </row>
    <row r="17" customFormat="false" ht="14.25" hidden="false" customHeight="false" outlineLevel="0" collapsed="false">
      <c r="B17" s="105" t="s">
        <v>16</v>
      </c>
      <c r="C17" s="117" t="n">
        <v>2250</v>
      </c>
      <c r="D17" s="251" t="n">
        <f aca="false">C17/E17</f>
        <v>18</v>
      </c>
      <c r="E17" s="262" t="n">
        <v>125</v>
      </c>
      <c r="F17" s="314" t="s">
        <v>3552</v>
      </c>
      <c r="R17" s="110"/>
    </row>
    <row r="18" customFormat="false" ht="14.25" hidden="false" customHeight="false" outlineLevel="0" collapsed="false">
      <c r="B18" s="259" t="s">
        <v>17</v>
      </c>
      <c r="C18" s="143" t="n">
        <f aca="false">R15/1000</f>
        <v>1860.64</v>
      </c>
      <c r="D18" s="260" t="n">
        <f aca="false">IFERROR(C18/E18,)</f>
        <v>14.88512</v>
      </c>
      <c r="E18" s="287" t="n">
        <f aca="false">O15</f>
        <v>125</v>
      </c>
    </row>
    <row r="19" customFormat="false" ht="14.25" hidden="false" customHeight="false" outlineLevel="0" collapsed="false">
      <c r="B19" s="105" t="s">
        <v>204</v>
      </c>
      <c r="C19" s="133" t="n">
        <f aca="false">C18/C17</f>
        <v>0.826951111111111</v>
      </c>
      <c r="D19" s="134"/>
      <c r="E19" s="262"/>
    </row>
    <row r="20" customFormat="false" ht="14.25" hidden="false" customHeight="false" outlineLevel="0" collapsed="false">
      <c r="B20" s="105" t="s">
        <v>205</v>
      </c>
      <c r="C20" s="133" t="n">
        <f aca="false">IFERROR(E18/E17, )</f>
        <v>1</v>
      </c>
    </row>
    <row r="21" customFormat="false" ht="17.25" hidden="false" customHeight="true" outlineLevel="0" collapsed="false">
      <c r="B21" s="105"/>
      <c r="C21" s="133"/>
      <c r="E21" s="258"/>
      <c r="F21" s="284"/>
      <c r="G21" s="284"/>
      <c r="U21" s="110"/>
    </row>
    <row r="22" customFormat="false" ht="17.25" hidden="false" customHeight="true" outlineLevel="0" collapsed="false">
      <c r="B22" s="105"/>
      <c r="C22" s="133"/>
      <c r="G22" s="135"/>
      <c r="U22" s="110"/>
    </row>
    <row r="23" customFormat="false" ht="17.25" hidden="false" customHeight="true" outlineLevel="0" collapsed="false">
      <c r="B23" s="105"/>
      <c r="C23" s="133"/>
      <c r="G23" s="135"/>
      <c r="U23" s="110"/>
    </row>
    <row r="24" customFormat="false" ht="17.25" hidden="false" customHeight="true" outlineLevel="0" collapsed="false">
      <c r="B24" s="105"/>
      <c r="C24" s="133"/>
      <c r="G24" s="135"/>
      <c r="U24" s="110"/>
    </row>
    <row r="25" customFormat="false" ht="17.25" hidden="false" customHeight="true" outlineLevel="0" collapsed="false">
      <c r="B25" s="105"/>
      <c r="C25" s="133"/>
      <c r="G25" s="135"/>
      <c r="U25" s="110"/>
    </row>
    <row r="26" customFormat="false" ht="17.25" hidden="false" customHeight="true" outlineLevel="0" collapsed="false">
      <c r="B26" s="105"/>
      <c r="C26" s="315"/>
      <c r="G26" s="135"/>
      <c r="U26" s="110"/>
    </row>
    <row r="27" customFormat="false" ht="17.25" hidden="false" customHeight="true" outlineLevel="0" collapsed="false">
      <c r="B27" s="105"/>
      <c r="C27" s="133"/>
      <c r="G27" s="135"/>
      <c r="U27" s="110"/>
    </row>
    <row r="28" customFormat="false" ht="17.25" hidden="false" customHeight="true" outlineLevel="0" collapsed="false">
      <c r="B28" s="105"/>
      <c r="C28" s="133"/>
      <c r="G28" s="135"/>
      <c r="U28" s="110"/>
    </row>
    <row r="29" customFormat="false" ht="17.25" hidden="false" customHeight="true" outlineLevel="0" collapsed="false">
      <c r="B29" s="105"/>
      <c r="C29" s="133"/>
      <c r="G29" s="135"/>
      <c r="U29" s="110"/>
    </row>
    <row r="30" customFormat="false" ht="17.25" hidden="false" customHeight="true" outlineLevel="0" collapsed="false">
      <c r="B30" s="105"/>
      <c r="C30" s="133"/>
      <c r="G30" s="135"/>
      <c r="U30" s="110"/>
    </row>
    <row r="31" customFormat="false" ht="17.25" hidden="false" customHeight="true" outlineLevel="0" collapsed="false">
      <c r="B31" s="105"/>
      <c r="C31" s="133"/>
      <c r="G31" s="135"/>
      <c r="U31" s="110"/>
    </row>
    <row r="32" customFormat="false" ht="17.25" hidden="false" customHeight="true" outlineLevel="0" collapsed="false">
      <c r="B32" s="105"/>
      <c r="C32" s="133"/>
      <c r="G32" s="135"/>
      <c r="U32" s="110"/>
    </row>
    <row r="33" customFormat="false" ht="17.25" hidden="false" customHeight="true" outlineLevel="0" collapsed="false">
      <c r="B33" s="105"/>
      <c r="C33" s="133"/>
      <c r="G33" s="135"/>
      <c r="U33" s="110"/>
    </row>
    <row r="34" customFormat="false" ht="17.25" hidden="false" customHeight="true" outlineLevel="0" collapsed="false">
      <c r="B34" s="105"/>
      <c r="C34" s="133"/>
      <c r="G34" s="135"/>
      <c r="U34" s="110"/>
    </row>
    <row r="35" customFormat="false" ht="14.25" hidden="false" customHeight="false" outlineLevel="0" collapsed="false">
      <c r="G35" s="136"/>
    </row>
    <row r="36" customFormat="false" ht="14.25" hidden="false" customHeight="false" outlineLevel="0" collapsed="false">
      <c r="C36" s="149"/>
    </row>
    <row r="38" customFormat="false" ht="14.25" hidden="false" customHeight="false" outlineLevel="0" collapsed="false">
      <c r="C38" s="149"/>
    </row>
    <row r="44" customFormat="false" ht="16.5" hidden="false" customHeight="true" outlineLevel="0" collapsed="false"/>
  </sheetData>
  <autoFilter ref="J3:S15"/>
  <mergeCells count="2">
    <mergeCell ref="B2:R2"/>
    <mergeCell ref="F21:G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B2:T23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I14" activeCellId="0" sqref="I14"/>
    </sheetView>
  </sheetViews>
  <sheetFormatPr defaultColWidth="9.1484375" defaultRowHeight="14.25" customHeight="true" zeroHeight="false" outlineLevelRow="0" outlineLevelCol="1"/>
  <cols>
    <col collapsed="false" customWidth="true" hidden="false" outlineLevel="0" max="1" min="1" style="89" width="3.29"/>
    <col collapsed="false" customWidth="true" hidden="false" outlineLevel="0" max="2" min="2" style="89" width="46.29"/>
    <col collapsed="false" customWidth="true" hidden="false" outlineLevel="0" max="7" min="3" style="89" width="14.57"/>
    <col collapsed="false" customWidth="true" hidden="false" outlineLevel="0" max="8" min="8" style="89" width="18.57"/>
    <col collapsed="false" customWidth="true" hidden="false" outlineLevel="0" max="9" min="9" style="89" width="10.85"/>
    <col collapsed="false" customWidth="true" hidden="false" outlineLevel="0" max="10" min="10" style="89" width="15.29"/>
    <col collapsed="false" customWidth="true" hidden="false" outlineLevel="1" max="11" min="11" style="89" width="18.86"/>
    <col collapsed="false" customWidth="true" hidden="false" outlineLevel="1" max="12" min="12" style="89" width="12.15"/>
    <col collapsed="false" customWidth="true" hidden="false" outlineLevel="1" max="13" min="13" style="89" width="21.29"/>
    <col collapsed="false" customWidth="false" hidden="false" outlineLevel="1" max="14" min="14" style="90" width="9.14"/>
    <col collapsed="false" customWidth="true" hidden="false" outlineLevel="0" max="15" min="15" style="89" width="12.29"/>
    <col collapsed="false" customWidth="true" hidden="true" outlineLevel="1" max="16" min="16" style="89" width="16.71"/>
    <col collapsed="false" customWidth="true" hidden="true" outlineLevel="1" max="17" min="17" style="89" width="17.57"/>
    <col collapsed="false" customWidth="true" hidden="false" outlineLevel="0" max="18" min="18" style="89" width="18.86"/>
    <col collapsed="false" customWidth="true" hidden="false" outlineLevel="0" max="19" min="19" style="89" width="17.57"/>
    <col collapsed="false" customWidth="true" hidden="false" outlineLevel="0" max="20" min="20" style="89" width="65.57"/>
    <col collapsed="false" customWidth="true" hidden="false" outlineLevel="0" max="21" min="21" style="89" width="11.71"/>
    <col collapsed="false" customWidth="true" hidden="false" outlineLevel="0" max="23" min="22" style="89" width="14.42"/>
    <col collapsed="false" customWidth="false" hidden="false" outlineLevel="0" max="16384" min="24" style="89" width="9.14"/>
  </cols>
  <sheetData>
    <row r="2" customFormat="false" ht="60" hidden="false" customHeight="true" outlineLevel="0" collapsed="false">
      <c r="B2" s="91" t="s">
        <v>3553</v>
      </c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2"/>
    </row>
    <row r="3" customFormat="false" ht="39.55" hidden="false" customHeight="false" outlineLevel="0" collapsed="false">
      <c r="H3" s="94"/>
      <c r="I3" s="94"/>
      <c r="J3" s="95" t="s">
        <v>3413</v>
      </c>
      <c r="K3" s="95" t="s">
        <v>75</v>
      </c>
      <c r="L3" s="95" t="s">
        <v>168</v>
      </c>
      <c r="M3" s="95" t="s">
        <v>76</v>
      </c>
      <c r="N3" s="95" t="s">
        <v>169</v>
      </c>
      <c r="O3" s="95" t="s">
        <v>18</v>
      </c>
      <c r="P3" s="95" t="s">
        <v>170</v>
      </c>
      <c r="Q3" s="95" t="s">
        <v>171</v>
      </c>
      <c r="R3" s="96" t="s">
        <v>172</v>
      </c>
      <c r="S3" s="95" t="s">
        <v>173</v>
      </c>
    </row>
    <row r="4" customFormat="false" ht="20.25" hidden="false" customHeight="true" outlineLevel="0" collapsed="false">
      <c r="B4" s="97" t="s">
        <v>174</v>
      </c>
      <c r="C4" s="98" t="s">
        <v>175</v>
      </c>
      <c r="D4" s="98" t="s">
        <v>176</v>
      </c>
      <c r="E4" s="98" t="s">
        <v>62</v>
      </c>
      <c r="F4" s="98" t="s">
        <v>63</v>
      </c>
      <c r="G4" s="98" t="s">
        <v>64</v>
      </c>
      <c r="H4" s="98" t="s">
        <v>65</v>
      </c>
      <c r="J4" s="272" t="n">
        <v>45925</v>
      </c>
      <c r="K4" s="272" t="s">
        <v>103</v>
      </c>
      <c r="L4" s="114" t="n">
        <v>39</v>
      </c>
      <c r="M4" s="242" t="s">
        <v>87</v>
      </c>
      <c r="N4" s="273" t="n">
        <v>20</v>
      </c>
      <c r="O4" s="114" t="n">
        <v>34</v>
      </c>
      <c r="P4" s="107"/>
      <c r="Q4" s="274"/>
      <c r="R4" s="107" t="n">
        <v>417850</v>
      </c>
      <c r="S4" s="316" t="n">
        <f aca="false">IFERROR(R4/100/O4, "-")</f>
        <v>122.897058823529</v>
      </c>
    </row>
    <row r="5" s="90" customFormat="true" ht="20.25" hidden="false" customHeight="true" outlineLevel="0" collapsed="false">
      <c r="B5" s="105" t="s">
        <v>12</v>
      </c>
      <c r="C5" s="106"/>
      <c r="D5" s="106"/>
      <c r="E5" s="106"/>
      <c r="F5" s="106" t="n">
        <v>45140</v>
      </c>
      <c r="G5" s="106" t="n">
        <v>45582</v>
      </c>
      <c r="H5" s="106" t="n">
        <f aca="false">J4</f>
        <v>45925</v>
      </c>
      <c r="J5" s="272" t="n">
        <v>45926</v>
      </c>
      <c r="K5" s="272" t="s">
        <v>103</v>
      </c>
      <c r="L5" s="114" t="n">
        <v>39</v>
      </c>
      <c r="M5" s="242" t="s">
        <v>87</v>
      </c>
      <c r="N5" s="273" t="n">
        <v>3</v>
      </c>
      <c r="O5" s="114" t="n">
        <v>5</v>
      </c>
      <c r="P5" s="107"/>
      <c r="Q5" s="274"/>
      <c r="R5" s="107" t="n">
        <v>66230</v>
      </c>
      <c r="S5" s="316" t="n">
        <f aca="false">IFERROR(R5/100/O5, "-")</f>
        <v>132.46</v>
      </c>
    </row>
    <row r="6" customFormat="false" ht="20.25" hidden="false" customHeight="true" outlineLevel="0" collapsed="false">
      <c r="B6" s="105" t="s">
        <v>20</v>
      </c>
      <c r="C6" s="106"/>
      <c r="D6" s="106"/>
      <c r="E6" s="106"/>
      <c r="F6" s="106" t="n">
        <v>45213</v>
      </c>
      <c r="G6" s="106" t="n">
        <v>45584</v>
      </c>
      <c r="H6" s="106" t="n">
        <v>45928</v>
      </c>
      <c r="J6" s="272"/>
      <c r="K6" s="272" t="s">
        <v>103</v>
      </c>
      <c r="L6" s="114" t="n">
        <v>63</v>
      </c>
      <c r="M6" s="242" t="s">
        <v>279</v>
      </c>
      <c r="N6" s="273" t="n">
        <v>20</v>
      </c>
      <c r="O6" s="114" t="n">
        <v>32</v>
      </c>
      <c r="P6" s="107"/>
      <c r="Q6" s="274"/>
      <c r="R6" s="107" t="n">
        <v>440100</v>
      </c>
      <c r="S6" s="316" t="n">
        <f aca="false">IFERROR(R6/100/O6, "-")</f>
        <v>137.53125</v>
      </c>
      <c r="T6" s="110"/>
    </row>
    <row r="7" customFormat="false" ht="20.25" hidden="false" customHeight="true" outlineLevel="0" collapsed="false">
      <c r="B7" s="105" t="s">
        <v>178</v>
      </c>
      <c r="C7" s="111"/>
      <c r="D7" s="111"/>
      <c r="E7" s="111"/>
      <c r="F7" s="111" t="n">
        <f aca="false">IF(F6=0,"-",F6-F5+1)</f>
        <v>74</v>
      </c>
      <c r="G7" s="111" t="n">
        <v>3</v>
      </c>
      <c r="H7" s="111" t="n">
        <f aca="false">IF(H6=0,"-",H6-H5+1)</f>
        <v>4</v>
      </c>
      <c r="J7" s="272" t="n">
        <v>45927</v>
      </c>
      <c r="K7" s="272" t="s">
        <v>103</v>
      </c>
      <c r="L7" s="114" t="n">
        <v>63</v>
      </c>
      <c r="M7" s="242" t="s">
        <v>279</v>
      </c>
      <c r="N7" s="273" t="n">
        <v>22</v>
      </c>
      <c r="O7" s="114" t="n">
        <v>31</v>
      </c>
      <c r="P7" s="107"/>
      <c r="Q7" s="274"/>
      <c r="R7" s="107" t="n">
        <v>446150</v>
      </c>
      <c r="S7" s="316" t="n">
        <f aca="false">IFERROR(R7/100/O7, "-")</f>
        <v>143.91935483871</v>
      </c>
    </row>
    <row r="8" customFormat="false" ht="20.25" hidden="false" customHeight="true" outlineLevel="0" collapsed="false">
      <c r="B8" s="105" t="s">
        <v>179</v>
      </c>
      <c r="C8" s="111"/>
      <c r="D8" s="111"/>
      <c r="E8" s="111"/>
      <c r="F8" s="111" t="n">
        <v>27</v>
      </c>
      <c r="G8" s="111" t="n">
        <v>2</v>
      </c>
      <c r="H8" s="111"/>
      <c r="J8" s="272"/>
      <c r="K8" s="272" t="s">
        <v>1812</v>
      </c>
      <c r="L8" s="114" t="n">
        <v>54</v>
      </c>
      <c r="M8" s="242" t="s">
        <v>87</v>
      </c>
      <c r="N8" s="273" t="n">
        <v>5</v>
      </c>
      <c r="O8" s="114" t="n">
        <v>12</v>
      </c>
      <c r="P8" s="107"/>
      <c r="Q8" s="274"/>
      <c r="R8" s="107" t="n">
        <v>104300</v>
      </c>
      <c r="S8" s="316" t="n">
        <f aca="false">IFERROR(R8/100/O8, "-")</f>
        <v>86.9166666666667</v>
      </c>
      <c r="T8" s="317"/>
    </row>
    <row r="9" customFormat="false" ht="20.25" hidden="false" customHeight="true" outlineLevel="0" collapsed="false">
      <c r="B9" s="105" t="s">
        <v>181</v>
      </c>
      <c r="C9" s="112"/>
      <c r="D9" s="112"/>
      <c r="E9" s="112"/>
      <c r="F9" s="112" t="s">
        <v>3537</v>
      </c>
      <c r="G9" s="112" t="s">
        <v>3545</v>
      </c>
      <c r="H9" s="112" t="s">
        <v>3545</v>
      </c>
      <c r="J9" s="272" t="n">
        <v>45928</v>
      </c>
      <c r="K9" s="272" t="s">
        <v>1812</v>
      </c>
      <c r="L9" s="114" t="n">
        <v>54</v>
      </c>
      <c r="M9" s="242" t="s">
        <v>87</v>
      </c>
      <c r="N9" s="273" t="n">
        <v>16</v>
      </c>
      <c r="O9" s="114" t="n">
        <v>42</v>
      </c>
      <c r="P9" s="107"/>
      <c r="Q9" s="274"/>
      <c r="R9" s="107" t="n">
        <v>337420</v>
      </c>
      <c r="S9" s="316" t="n">
        <f aca="false">IFERROR(R9/100/O9, "-")</f>
        <v>80.3380952380952</v>
      </c>
      <c r="T9" s="317"/>
    </row>
    <row r="10" customFormat="false" ht="20.25" hidden="false" customHeight="true" outlineLevel="0" collapsed="false">
      <c r="B10" s="105" t="s">
        <v>187</v>
      </c>
      <c r="C10" s="117"/>
      <c r="D10" s="117"/>
      <c r="E10" s="117"/>
      <c r="F10" s="117" t="n">
        <v>2829.55</v>
      </c>
      <c r="G10" s="117" t="n">
        <v>178.65</v>
      </c>
      <c r="H10" s="117" t="n">
        <f aca="false">R10/1000</f>
        <v>1812.05</v>
      </c>
      <c r="J10" s="95" t="s">
        <v>149</v>
      </c>
      <c r="K10" s="95"/>
      <c r="L10" s="95"/>
      <c r="M10" s="95"/>
      <c r="N10" s="95" t="n">
        <f aca="false">SUM(N4:N9)</f>
        <v>86</v>
      </c>
      <c r="O10" s="288" t="n">
        <f aca="false">SUM(O4:O9)</f>
        <v>156</v>
      </c>
      <c r="P10" s="289" t="n">
        <f aca="false">SUM(P4:P9)</f>
        <v>0</v>
      </c>
      <c r="Q10" s="290" t="n">
        <f aca="false">P10/O10/100</f>
        <v>0</v>
      </c>
      <c r="R10" s="289" t="n">
        <f aca="false">SUM(R4:R9)</f>
        <v>1812050</v>
      </c>
      <c r="S10" s="131" t="n">
        <f aca="false">R10/O10/100</f>
        <v>116.157051282051</v>
      </c>
    </row>
    <row r="11" customFormat="false" ht="20.25" hidden="false" customHeight="true" outlineLevel="0" collapsed="false">
      <c r="B11" s="105" t="s">
        <v>191</v>
      </c>
      <c r="C11" s="119"/>
      <c r="D11" s="119"/>
      <c r="E11" s="119"/>
      <c r="F11" s="119" t="n">
        <v>198</v>
      </c>
      <c r="G11" s="119" t="n">
        <v>23</v>
      </c>
      <c r="H11" s="119" t="n">
        <v>125</v>
      </c>
    </row>
    <row r="12" customFormat="false" ht="20.25" hidden="false" customHeight="true" outlineLevel="0" collapsed="false">
      <c r="B12" s="105" t="s">
        <v>18</v>
      </c>
      <c r="C12" s="119"/>
      <c r="D12" s="119"/>
      <c r="E12" s="119"/>
      <c r="F12" s="119" t="n">
        <v>197.6</v>
      </c>
      <c r="G12" s="119" t="n">
        <v>23</v>
      </c>
      <c r="H12" s="119" t="n">
        <f aca="false">O10</f>
        <v>156</v>
      </c>
    </row>
    <row r="13" customFormat="false" ht="20.25" hidden="false" customHeight="true" outlineLevel="0" collapsed="false">
      <c r="B13" s="105" t="s">
        <v>195</v>
      </c>
      <c r="C13" s="120"/>
      <c r="D13" s="120"/>
      <c r="E13" s="120"/>
      <c r="F13" s="120" t="n">
        <f aca="false">F10*10/F12</f>
        <v>143.195850202429</v>
      </c>
      <c r="G13" s="120" t="n">
        <v>77.6739130434783</v>
      </c>
      <c r="H13" s="120" t="n">
        <f aca="false">IFERROR(H10/H12*10,0)</f>
        <v>116.157051282051</v>
      </c>
    </row>
    <row r="14" customFormat="false" ht="20.25" hidden="false" customHeight="true" outlineLevel="0" collapsed="false">
      <c r="B14" s="105"/>
      <c r="C14" s="121"/>
      <c r="D14" s="121"/>
      <c r="E14" s="121"/>
      <c r="F14" s="121"/>
      <c r="G14" s="121"/>
    </row>
    <row r="15" customFormat="false" ht="20.25" hidden="false" customHeight="true" outlineLevel="0" collapsed="false">
      <c r="O15" s="142"/>
      <c r="R15" s="110"/>
    </row>
    <row r="16" customFormat="false" ht="14.25" hidden="false" customHeight="false" outlineLevel="0" collapsed="false">
      <c r="R16" s="110"/>
    </row>
    <row r="17" customFormat="false" ht="14.25" hidden="false" customHeight="false" outlineLevel="0" collapsed="false">
      <c r="R17" s="110"/>
    </row>
    <row r="19" customFormat="false" ht="17.35" hidden="false" customHeight="false" outlineLevel="0" collapsed="false">
      <c r="B19" s="123" t="s">
        <v>3538</v>
      </c>
      <c r="C19" s="124"/>
      <c r="D19" s="124"/>
      <c r="E19" s="124"/>
    </row>
    <row r="20" customFormat="false" ht="14.25" hidden="false" customHeight="false" outlineLevel="0" collapsed="false">
      <c r="B20" s="105" t="s">
        <v>16</v>
      </c>
      <c r="C20" s="117" t="n">
        <v>2808</v>
      </c>
      <c r="D20" s="251" t="n">
        <f aca="false">C20/E20</f>
        <v>18</v>
      </c>
      <c r="E20" s="262" t="n">
        <v>156</v>
      </c>
    </row>
    <row r="21" customFormat="false" ht="14.25" hidden="false" customHeight="false" outlineLevel="0" collapsed="false">
      <c r="B21" s="259" t="s">
        <v>17</v>
      </c>
      <c r="C21" s="143" t="n">
        <f aca="false">R10/1000</f>
        <v>1812.05</v>
      </c>
      <c r="D21" s="260" t="n">
        <f aca="false">IFERROR(C21/E21,)</f>
        <v>11.6157051282051</v>
      </c>
      <c r="E21" s="287" t="n">
        <f aca="false">O10</f>
        <v>156</v>
      </c>
    </row>
    <row r="22" customFormat="false" ht="14.25" hidden="false" customHeight="false" outlineLevel="0" collapsed="false">
      <c r="B22" s="105" t="s">
        <v>204</v>
      </c>
      <c r="C22" s="133" t="n">
        <f aca="false">C21/C20</f>
        <v>0.645316951566952</v>
      </c>
      <c r="D22" s="134"/>
      <c r="E22" s="262"/>
    </row>
    <row r="23" customFormat="false" ht="14.25" hidden="false" customHeight="false" outlineLevel="0" collapsed="false">
      <c r="B23" s="105" t="s">
        <v>205</v>
      </c>
      <c r="C23" s="133" t="n">
        <f aca="false">IFERROR(E21/E20, )</f>
        <v>1</v>
      </c>
    </row>
  </sheetData>
  <mergeCells count="1">
    <mergeCell ref="B2:R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B1:V1033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I14" activeCellId="0" sqref="I14"/>
    </sheetView>
  </sheetViews>
  <sheetFormatPr defaultColWidth="9.1484375" defaultRowHeight="14.25" customHeight="true" zeroHeight="false" outlineLevelRow="0" outlineLevelCol="1"/>
  <cols>
    <col collapsed="false" customWidth="true" hidden="false" outlineLevel="0" max="1" min="1" style="89" width="3.29"/>
    <col collapsed="false" customWidth="true" hidden="false" outlineLevel="0" max="2" min="2" style="89" width="46.29"/>
    <col collapsed="false" customWidth="true" hidden="false" outlineLevel="0" max="7" min="3" style="89" width="14.57"/>
    <col collapsed="false" customWidth="true" hidden="false" outlineLevel="0" max="8" min="8" style="89" width="13"/>
    <col collapsed="false" customWidth="true" hidden="false" outlineLevel="0" max="9" min="9" style="89" width="10.85"/>
    <col collapsed="false" customWidth="true" hidden="false" outlineLevel="0" max="10" min="10" style="89" width="13.86"/>
    <col collapsed="false" customWidth="true" hidden="false" outlineLevel="1" max="11" min="11" style="89" width="44.71"/>
    <col collapsed="false" customWidth="true" hidden="false" outlineLevel="1" max="12" min="12" style="89" width="12.15"/>
    <col collapsed="false" customWidth="true" hidden="false" outlineLevel="1" max="13" min="13" style="89" width="9.57"/>
    <col collapsed="false" customWidth="true" hidden="false" outlineLevel="1" max="14" min="14" style="90" width="13.42"/>
    <col collapsed="false" customWidth="true" hidden="false" outlineLevel="0" max="15" min="15" style="318" width="11.14"/>
    <col collapsed="false" customWidth="true" hidden="true" outlineLevel="1" max="16" min="16" style="89" width="18"/>
    <col collapsed="false" customWidth="true" hidden="true" outlineLevel="1" max="17" min="17" style="89" width="17.57"/>
    <col collapsed="false" customWidth="true" hidden="false" outlineLevel="0" max="18" min="18" style="318" width="15.57"/>
    <col collapsed="false" customWidth="true" hidden="false" outlineLevel="0" max="19" min="19" style="89" width="17.57"/>
    <col collapsed="false" customWidth="true" hidden="true" outlineLevel="0" max="20" min="20" style="89" width="8.15"/>
    <col collapsed="false" customWidth="true" hidden="false" outlineLevel="0" max="21" min="21" style="89" width="54.85"/>
    <col collapsed="false" customWidth="true" hidden="true" outlineLevel="0" max="22" min="22" style="89" width="21.43"/>
    <col collapsed="false" customWidth="false" hidden="false" outlineLevel="0" max="16384" min="23" style="89" width="9.14"/>
  </cols>
  <sheetData>
    <row r="1" s="89" customFormat="true" ht="14.25" hidden="false" customHeight="false" outlineLevel="0" collapsed="false">
      <c r="N1" s="90"/>
    </row>
    <row r="2" customFormat="false" ht="60" hidden="false" customHeight="true" outlineLevel="0" collapsed="false">
      <c r="B2" s="91" t="s">
        <v>3554</v>
      </c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2"/>
      <c r="T2" s="89" t="s">
        <v>3555</v>
      </c>
    </row>
    <row r="3" customFormat="false" ht="64.9" hidden="false" customHeight="false" outlineLevel="0" collapsed="false">
      <c r="H3" s="94"/>
      <c r="I3" s="94"/>
      <c r="J3" s="95" t="s">
        <v>3413</v>
      </c>
      <c r="K3" s="95" t="s">
        <v>75</v>
      </c>
      <c r="L3" s="95" t="s">
        <v>168</v>
      </c>
      <c r="M3" s="95" t="s">
        <v>76</v>
      </c>
      <c r="N3" s="95" t="s">
        <v>169</v>
      </c>
      <c r="O3" s="95" t="s">
        <v>18</v>
      </c>
      <c r="P3" s="95" t="s">
        <v>170</v>
      </c>
      <c r="Q3" s="95" t="s">
        <v>171</v>
      </c>
      <c r="R3" s="95" t="s">
        <v>172</v>
      </c>
      <c r="S3" s="95" t="s">
        <v>173</v>
      </c>
    </row>
    <row r="4" customFormat="false" ht="18" hidden="false" customHeight="true" outlineLevel="0" collapsed="false">
      <c r="B4" s="97" t="s">
        <v>174</v>
      </c>
      <c r="C4" s="98" t="s">
        <v>175</v>
      </c>
      <c r="D4" s="98" t="s">
        <v>176</v>
      </c>
      <c r="E4" s="98" t="s">
        <v>62</v>
      </c>
      <c r="F4" s="98" t="s">
        <v>63</v>
      </c>
      <c r="G4" s="98" t="s">
        <v>64</v>
      </c>
      <c r="H4" s="98" t="s">
        <v>65</v>
      </c>
      <c r="J4" s="272" t="n">
        <v>45903</v>
      </c>
      <c r="K4" s="272" t="s">
        <v>226</v>
      </c>
      <c r="L4" s="114" t="n">
        <v>26</v>
      </c>
      <c r="M4" s="114" t="s">
        <v>279</v>
      </c>
      <c r="N4" s="273" t="n">
        <v>15</v>
      </c>
      <c r="O4" s="319" t="n">
        <v>26</v>
      </c>
      <c r="P4" s="102"/>
      <c r="Q4" s="103"/>
      <c r="R4" s="320" t="n">
        <v>353090</v>
      </c>
      <c r="S4" s="321" t="n">
        <f aca="false">IFERROR(R4/100/O4, )</f>
        <v>135.803846153846</v>
      </c>
      <c r="T4" s="322" t="n">
        <v>196</v>
      </c>
      <c r="U4" s="323"/>
      <c r="V4" s="89" t="s">
        <v>3556</v>
      </c>
    </row>
    <row r="5" s="90" customFormat="true" ht="18" hidden="false" customHeight="true" outlineLevel="0" collapsed="false">
      <c r="B5" s="105" t="s">
        <v>12</v>
      </c>
      <c r="C5" s="106"/>
      <c r="D5" s="106"/>
      <c r="E5" s="106" t="n">
        <v>44860</v>
      </c>
      <c r="F5" s="106" t="n">
        <v>45170</v>
      </c>
      <c r="G5" s="106" t="n">
        <v>45538</v>
      </c>
      <c r="H5" s="106" t="n">
        <v>45903</v>
      </c>
      <c r="J5" s="272" t="n">
        <v>45904</v>
      </c>
      <c r="K5" s="272" t="s">
        <v>236</v>
      </c>
      <c r="L5" s="114" t="n">
        <v>36</v>
      </c>
      <c r="M5" s="114" t="s">
        <v>279</v>
      </c>
      <c r="N5" s="273" t="n">
        <v>18</v>
      </c>
      <c r="O5" s="100" t="n">
        <v>32</v>
      </c>
      <c r="P5" s="102"/>
      <c r="Q5" s="103"/>
      <c r="R5" s="320" t="n">
        <v>441880</v>
      </c>
      <c r="S5" s="103" t="n">
        <f aca="false">IFERROR(R5/100/O5, )</f>
        <v>138.0875</v>
      </c>
      <c r="T5" s="322" t="n">
        <v>781</v>
      </c>
      <c r="U5" s="323"/>
    </row>
    <row r="6" customFormat="false" ht="20.25" hidden="false" customHeight="true" outlineLevel="0" collapsed="false">
      <c r="B6" s="105" t="s">
        <v>20</v>
      </c>
      <c r="C6" s="106"/>
      <c r="D6" s="106"/>
      <c r="E6" s="106" t="n">
        <v>44874</v>
      </c>
      <c r="F6" s="106" t="n">
        <v>45189</v>
      </c>
      <c r="G6" s="106" t="n">
        <v>45550</v>
      </c>
      <c r="H6" s="106" t="n">
        <v>45920</v>
      </c>
      <c r="J6" s="272" t="n">
        <v>45905</v>
      </c>
      <c r="K6" s="272" t="s">
        <v>236</v>
      </c>
      <c r="L6" s="114" t="n">
        <v>36</v>
      </c>
      <c r="M6" s="114" t="s">
        <v>279</v>
      </c>
      <c r="N6" s="273" t="n">
        <v>7</v>
      </c>
      <c r="O6" s="100" t="n">
        <v>4</v>
      </c>
      <c r="P6" s="102"/>
      <c r="Q6" s="103"/>
      <c r="R6" s="102" t="n">
        <v>173560</v>
      </c>
      <c r="S6" s="103" t="n">
        <f aca="false">IFERROR(R6/100/O6, )</f>
        <v>433.9</v>
      </c>
      <c r="T6" s="322" t="n">
        <v>315</v>
      </c>
      <c r="U6" s="275"/>
    </row>
    <row r="7" customFormat="false" ht="20.25" hidden="false" customHeight="true" outlineLevel="0" collapsed="false">
      <c r="B7" s="105" t="s">
        <v>178</v>
      </c>
      <c r="C7" s="111"/>
      <c r="D7" s="111"/>
      <c r="E7" s="111" t="n">
        <f aca="false">IF(E6=0,"-",E6-E5+1)</f>
        <v>15</v>
      </c>
      <c r="F7" s="111" t="n">
        <f aca="false">IF(F6=0,"-",F6-F5+1)</f>
        <v>20</v>
      </c>
      <c r="G7" s="111" t="n">
        <v>13</v>
      </c>
      <c r="H7" s="111" t="n">
        <f aca="false">IF(H6=0,"-",H6-H5+1)</f>
        <v>18</v>
      </c>
      <c r="J7" s="272" t="n">
        <v>45906</v>
      </c>
      <c r="K7" s="272"/>
      <c r="L7" s="114"/>
      <c r="M7" s="114"/>
      <c r="N7" s="273"/>
      <c r="O7" s="100"/>
      <c r="P7" s="102"/>
      <c r="Q7" s="103"/>
      <c r="R7" s="102"/>
      <c r="S7" s="103"/>
      <c r="T7" s="275"/>
      <c r="U7" s="275"/>
    </row>
    <row r="8" customFormat="false" ht="20.25" hidden="false" customHeight="true" outlineLevel="0" collapsed="false">
      <c r="B8" s="105" t="s">
        <v>179</v>
      </c>
      <c r="C8" s="111"/>
      <c r="D8" s="111"/>
      <c r="E8" s="111" t="n">
        <v>13</v>
      </c>
      <c r="F8" s="111" t="n">
        <v>19</v>
      </c>
      <c r="G8" s="111" t="n">
        <v>13</v>
      </c>
      <c r="H8" s="111" t="n">
        <v>15</v>
      </c>
      <c r="J8" s="272" t="n">
        <v>45907</v>
      </c>
      <c r="K8" s="272" t="s">
        <v>232</v>
      </c>
      <c r="L8" s="114" t="n">
        <v>72</v>
      </c>
      <c r="M8" s="114" t="s">
        <v>279</v>
      </c>
      <c r="N8" s="273" t="n">
        <v>20</v>
      </c>
      <c r="O8" s="100" t="n">
        <v>36</v>
      </c>
      <c r="P8" s="102"/>
      <c r="Q8" s="103"/>
      <c r="R8" s="320" t="n">
        <v>475340</v>
      </c>
      <c r="S8" s="103" t="n">
        <f aca="false">IFERROR(R8/100/O8, )</f>
        <v>132.038888888889</v>
      </c>
      <c r="T8" s="322" t="s">
        <v>3557</v>
      </c>
      <c r="U8" s="304"/>
    </row>
    <row r="9" customFormat="false" ht="20.25" hidden="false" customHeight="true" outlineLevel="0" collapsed="false">
      <c r="B9" s="105" t="s">
        <v>181</v>
      </c>
      <c r="C9" s="112"/>
      <c r="D9" s="112"/>
      <c r="E9" s="112"/>
      <c r="F9" s="112"/>
      <c r="G9" s="112" t="s">
        <v>3544</v>
      </c>
      <c r="H9" s="112" t="s">
        <v>3544</v>
      </c>
      <c r="J9" s="272" t="n">
        <v>45908</v>
      </c>
      <c r="K9" s="272" t="s">
        <v>232</v>
      </c>
      <c r="L9" s="114" t="n">
        <v>72</v>
      </c>
      <c r="M9" s="114" t="s">
        <v>279</v>
      </c>
      <c r="N9" s="273" t="n">
        <v>22</v>
      </c>
      <c r="O9" s="100" t="n">
        <v>36</v>
      </c>
      <c r="P9" s="102"/>
      <c r="Q9" s="103"/>
      <c r="R9" s="320" t="n">
        <v>567420</v>
      </c>
      <c r="S9" s="103" t="n">
        <f aca="false">IFERROR(R9/100/O9, )</f>
        <v>157.616666666667</v>
      </c>
      <c r="T9" s="324" t="n">
        <v>94</v>
      </c>
      <c r="U9" s="323"/>
    </row>
    <row r="10" customFormat="false" ht="20.25" hidden="false" customHeight="true" outlineLevel="0" collapsed="false">
      <c r="B10" s="105" t="s">
        <v>187</v>
      </c>
      <c r="C10" s="117"/>
      <c r="D10" s="117"/>
      <c r="E10" s="117" t="n">
        <v>3647.23</v>
      </c>
      <c r="F10" s="117" t="n">
        <v>5885.83</v>
      </c>
      <c r="G10" s="117" t="n">
        <v>6304.38</v>
      </c>
      <c r="H10" s="117" t="n">
        <f aca="false">R30/1000</f>
        <v>5445.72</v>
      </c>
      <c r="J10" s="272"/>
      <c r="K10" s="272" t="s">
        <v>237</v>
      </c>
      <c r="L10" s="114" t="n">
        <v>36</v>
      </c>
      <c r="M10" s="114" t="s">
        <v>279</v>
      </c>
      <c r="N10" s="273" t="n">
        <v>4</v>
      </c>
      <c r="O10" s="100" t="n">
        <v>6</v>
      </c>
      <c r="P10" s="102"/>
      <c r="Q10" s="103"/>
      <c r="R10" s="102" t="n">
        <v>81900</v>
      </c>
      <c r="S10" s="103" t="n">
        <f aca="false">IFERROR(R10/100/O10, )</f>
        <v>136.5</v>
      </c>
      <c r="T10" s="325" t="n">
        <v>896</v>
      </c>
      <c r="U10" s="326"/>
    </row>
    <row r="11" customFormat="false" ht="20.25" hidden="false" customHeight="true" outlineLevel="0" collapsed="false">
      <c r="B11" s="105" t="s">
        <v>191</v>
      </c>
      <c r="C11" s="119"/>
      <c r="D11" s="119"/>
      <c r="E11" s="119" t="n">
        <v>274.04</v>
      </c>
      <c r="F11" s="119" t="n">
        <v>304.9</v>
      </c>
      <c r="G11" s="119" t="n">
        <v>305</v>
      </c>
      <c r="H11" s="119" t="n">
        <v>343</v>
      </c>
      <c r="I11" s="282"/>
      <c r="J11" s="272" t="n">
        <v>45909</v>
      </c>
      <c r="K11" s="272" t="s">
        <v>237</v>
      </c>
      <c r="L11" s="114" t="n">
        <v>36</v>
      </c>
      <c r="M11" s="114" t="s">
        <v>279</v>
      </c>
      <c r="N11" s="273" t="n">
        <v>7</v>
      </c>
      <c r="O11" s="100" t="n">
        <v>10</v>
      </c>
      <c r="P11" s="107"/>
      <c r="Q11" s="274"/>
      <c r="R11" s="102" t="n">
        <v>190240</v>
      </c>
      <c r="S11" s="103" t="n">
        <f aca="false">IFERROR(R11/100/O11, )</f>
        <v>190.24</v>
      </c>
      <c r="T11" s="322" t="n">
        <v>780</v>
      </c>
      <c r="U11" s="275"/>
    </row>
    <row r="12" customFormat="false" ht="20.25" hidden="false" customHeight="true" outlineLevel="0" collapsed="false">
      <c r="B12" s="105" t="s">
        <v>18</v>
      </c>
      <c r="C12" s="119"/>
      <c r="D12" s="119"/>
      <c r="E12" s="119" t="n">
        <v>274.04</v>
      </c>
      <c r="F12" s="119" t="n">
        <v>304.9</v>
      </c>
      <c r="G12" s="119" t="n">
        <v>305</v>
      </c>
      <c r="H12" s="119" t="n">
        <f aca="false">O30</f>
        <v>343</v>
      </c>
      <c r="J12" s="272" t="n">
        <v>45910</v>
      </c>
      <c r="K12" s="272"/>
      <c r="L12" s="114"/>
      <c r="M12" s="114"/>
      <c r="N12" s="273"/>
      <c r="O12" s="100"/>
      <c r="P12" s="107"/>
      <c r="Q12" s="274"/>
      <c r="R12" s="102"/>
      <c r="S12" s="103" t="n">
        <f aca="false">IFERROR(R12/100/O12, )</f>
        <v>0</v>
      </c>
      <c r="T12" s="322" t="n">
        <v>347</v>
      </c>
      <c r="U12" s="275"/>
    </row>
    <row r="13" customFormat="false" ht="20.25" hidden="false" customHeight="true" outlineLevel="0" collapsed="false">
      <c r="B13" s="105" t="s">
        <v>195</v>
      </c>
      <c r="C13" s="120"/>
      <c r="D13" s="120"/>
      <c r="E13" s="120" t="n">
        <f aca="false">E10*10/E12</f>
        <v>133.091154575974</v>
      </c>
      <c r="F13" s="120" t="n">
        <f aca="false">F10*10/F12</f>
        <v>193.041325024598</v>
      </c>
      <c r="G13" s="120" t="n">
        <v>206.700983606557</v>
      </c>
      <c r="H13" s="120" t="n">
        <f aca="false">S30</f>
        <v>158.767346938776</v>
      </c>
      <c r="J13" s="272" t="n">
        <v>45911</v>
      </c>
      <c r="K13" s="272" t="s">
        <v>237</v>
      </c>
      <c r="L13" s="114" t="n">
        <v>36</v>
      </c>
      <c r="M13" s="114" t="s">
        <v>279</v>
      </c>
      <c r="N13" s="273" t="n">
        <v>16</v>
      </c>
      <c r="O13" s="100" t="n">
        <v>20</v>
      </c>
      <c r="P13" s="102"/>
      <c r="Q13" s="103"/>
      <c r="R13" s="102" t="n">
        <v>394370</v>
      </c>
      <c r="S13" s="103" t="n">
        <f aca="false">IFERROR(R13/100/O13, )</f>
        <v>197.185</v>
      </c>
      <c r="T13" s="325" t="n">
        <v>514</v>
      </c>
      <c r="U13" s="326"/>
    </row>
    <row r="14" customFormat="false" ht="20.25" hidden="false" customHeight="true" outlineLevel="0" collapsed="false">
      <c r="B14" s="105"/>
      <c r="C14" s="121"/>
      <c r="D14" s="121"/>
      <c r="E14" s="121"/>
      <c r="F14" s="121"/>
      <c r="G14" s="121"/>
      <c r="J14" s="272" t="n">
        <v>45912</v>
      </c>
      <c r="K14" s="272" t="s">
        <v>231</v>
      </c>
      <c r="L14" s="114" t="n">
        <v>72</v>
      </c>
      <c r="M14" s="114" t="s">
        <v>279</v>
      </c>
      <c r="N14" s="273" t="n">
        <v>19</v>
      </c>
      <c r="O14" s="100" t="n">
        <v>34</v>
      </c>
      <c r="P14" s="102"/>
      <c r="Q14" s="103"/>
      <c r="R14" s="320" t="n">
        <v>483750</v>
      </c>
      <c r="S14" s="103" t="n">
        <f aca="false">IFERROR(R14/100/O14, )</f>
        <v>142.279411764706</v>
      </c>
      <c r="T14" s="322" t="n">
        <v>393</v>
      </c>
      <c r="U14" s="275"/>
    </row>
    <row r="15" customFormat="false" ht="17.25" hidden="false" customHeight="true" outlineLevel="0" collapsed="false">
      <c r="J15" s="99" t="n">
        <v>45913</v>
      </c>
      <c r="K15" s="272" t="s">
        <v>231</v>
      </c>
      <c r="L15" s="114" t="n">
        <v>72</v>
      </c>
      <c r="M15" s="114" t="s">
        <v>279</v>
      </c>
      <c r="N15" s="101" t="n">
        <v>22</v>
      </c>
      <c r="O15" s="100" t="n">
        <v>32</v>
      </c>
      <c r="P15" s="102"/>
      <c r="Q15" s="103"/>
      <c r="R15" s="320" t="n">
        <v>555940</v>
      </c>
      <c r="S15" s="103" t="n">
        <f aca="false">IFERROR(R15/100/O15, )</f>
        <v>173.73125</v>
      </c>
      <c r="T15" s="322" t="n">
        <v>701</v>
      </c>
      <c r="U15" s="275"/>
    </row>
    <row r="16" s="122" customFormat="true" ht="17.25" hidden="false" customHeight="true" outlineLevel="0" collapsed="false">
      <c r="B16" s="105"/>
      <c r="C16" s="133"/>
      <c r="D16" s="89"/>
      <c r="E16" s="89"/>
      <c r="F16" s="89"/>
      <c r="G16" s="135"/>
      <c r="H16" s="89"/>
      <c r="J16" s="99"/>
      <c r="K16" s="272" t="s">
        <v>234</v>
      </c>
      <c r="L16" s="114" t="n">
        <v>36</v>
      </c>
      <c r="M16" s="114" t="s">
        <v>279</v>
      </c>
      <c r="N16" s="101" t="n">
        <v>1</v>
      </c>
      <c r="O16" s="100" t="n">
        <v>1.5</v>
      </c>
      <c r="P16" s="102"/>
      <c r="Q16" s="103"/>
      <c r="R16" s="320" t="n">
        <v>23390</v>
      </c>
      <c r="S16" s="103" t="n">
        <f aca="false">IFERROR(R16/100/O16, )</f>
        <v>155.933333333333</v>
      </c>
      <c r="T16" s="322" t="n">
        <v>780</v>
      </c>
      <c r="U16" s="275"/>
    </row>
    <row r="17" customFormat="false" ht="17.25" hidden="false" customHeight="true" outlineLevel="0" collapsed="false">
      <c r="B17" s="123" t="s">
        <v>3538</v>
      </c>
      <c r="C17" s="124"/>
      <c r="D17" s="124"/>
      <c r="E17" s="124"/>
      <c r="G17" s="135"/>
      <c r="J17" s="272"/>
      <c r="K17" s="272" t="s">
        <v>233</v>
      </c>
      <c r="L17" s="114" t="n">
        <v>36</v>
      </c>
      <c r="M17" s="114" t="s">
        <v>279</v>
      </c>
      <c r="N17" s="273" t="n">
        <v>1</v>
      </c>
      <c r="O17" s="100" t="n">
        <v>1.5</v>
      </c>
      <c r="P17" s="102"/>
      <c r="Q17" s="103"/>
      <c r="R17" s="320" t="n">
        <v>23290</v>
      </c>
      <c r="S17" s="103" t="n">
        <f aca="false">IFERROR(R17/100/O17, )</f>
        <v>155.266666666667</v>
      </c>
      <c r="T17" s="322" t="n">
        <v>317</v>
      </c>
      <c r="U17" s="275"/>
    </row>
    <row r="18" customFormat="false" ht="17.25" hidden="false" customHeight="true" outlineLevel="0" collapsed="false">
      <c r="B18" s="105" t="s">
        <v>16</v>
      </c>
      <c r="C18" s="117" t="n">
        <v>6860</v>
      </c>
      <c r="D18" s="251" t="n">
        <f aca="false">C18/E18</f>
        <v>20</v>
      </c>
      <c r="E18" s="262" t="n">
        <f aca="false">H11</f>
        <v>343</v>
      </c>
      <c r="G18" s="135"/>
      <c r="J18" s="272" t="n">
        <v>45914</v>
      </c>
      <c r="K18" s="272" t="s">
        <v>231</v>
      </c>
      <c r="L18" s="114" t="n">
        <v>72</v>
      </c>
      <c r="M18" s="114" t="s">
        <v>279</v>
      </c>
      <c r="N18" s="273" t="n">
        <v>6</v>
      </c>
      <c r="O18" s="100" t="n">
        <v>6</v>
      </c>
      <c r="P18" s="102"/>
      <c r="Q18" s="103"/>
      <c r="R18" s="320" t="n">
        <v>146090</v>
      </c>
      <c r="S18" s="103" t="n">
        <f aca="false">IFERROR(R18/100/O18, )</f>
        <v>243.483333333333</v>
      </c>
      <c r="T18" s="327" t="n">
        <v>72</v>
      </c>
      <c r="U18" s="275"/>
    </row>
    <row r="19" customFormat="false" ht="17.25" hidden="false" customHeight="true" outlineLevel="0" collapsed="false">
      <c r="B19" s="259" t="s">
        <v>17</v>
      </c>
      <c r="C19" s="143" t="n">
        <f aca="false">R30/1000</f>
        <v>5445.72</v>
      </c>
      <c r="D19" s="260" t="n">
        <f aca="false">IFERROR(C19/E19,)</f>
        <v>15.8767346938776</v>
      </c>
      <c r="E19" s="287" t="n">
        <f aca="false">O30</f>
        <v>343</v>
      </c>
      <c r="G19" s="135"/>
      <c r="J19" s="272"/>
      <c r="K19" s="99" t="s">
        <v>233</v>
      </c>
      <c r="L19" s="114" t="n">
        <v>36</v>
      </c>
      <c r="M19" s="114" t="s">
        <v>279</v>
      </c>
      <c r="N19" s="273" t="n">
        <v>11</v>
      </c>
      <c r="O19" s="100" t="n">
        <v>15.7</v>
      </c>
      <c r="P19" s="102"/>
      <c r="Q19" s="103"/>
      <c r="R19" s="320" t="n">
        <v>270880</v>
      </c>
      <c r="S19" s="103" t="n">
        <f aca="false">IFERROR(R19/100/O19, )</f>
        <v>172.535031847134</v>
      </c>
      <c r="T19" s="325" t="n">
        <v>866</v>
      </c>
      <c r="U19" s="328"/>
    </row>
    <row r="20" customFormat="false" ht="17.25" hidden="false" customHeight="true" outlineLevel="0" collapsed="false">
      <c r="B20" s="105" t="s">
        <v>204</v>
      </c>
      <c r="C20" s="133" t="n">
        <f aca="false">C19/C18</f>
        <v>0.793836734693878</v>
      </c>
      <c r="D20" s="134"/>
      <c r="E20" s="262"/>
      <c r="G20" s="135"/>
      <c r="J20" s="272" t="n">
        <v>45915</v>
      </c>
      <c r="K20" s="272" t="s">
        <v>235</v>
      </c>
      <c r="L20" s="114" t="n">
        <v>29</v>
      </c>
      <c r="M20" s="114" t="s">
        <v>279</v>
      </c>
      <c r="N20" s="273" t="n">
        <v>1</v>
      </c>
      <c r="O20" s="100" t="n">
        <v>1.5</v>
      </c>
      <c r="P20" s="102"/>
      <c r="Q20" s="103"/>
      <c r="R20" s="102" t="n">
        <v>23050</v>
      </c>
      <c r="S20" s="103" t="n">
        <f aca="false">IFERROR(R20/100/O20, )</f>
        <v>153.666666666667</v>
      </c>
      <c r="T20" s="322" t="n">
        <v>347</v>
      </c>
      <c r="U20" s="292"/>
    </row>
    <row r="21" customFormat="false" ht="17.25" hidden="false" customHeight="true" outlineLevel="0" collapsed="false">
      <c r="B21" s="105" t="s">
        <v>205</v>
      </c>
      <c r="C21" s="133" t="n">
        <f aca="false">IFERROR(E19/E18, )</f>
        <v>1</v>
      </c>
      <c r="G21" s="136"/>
      <c r="J21" s="272"/>
      <c r="K21" s="272" t="s">
        <v>234</v>
      </c>
      <c r="L21" s="114" t="n">
        <v>36</v>
      </c>
      <c r="M21" s="114" t="s">
        <v>279</v>
      </c>
      <c r="N21" s="273" t="n">
        <v>1</v>
      </c>
      <c r="O21" s="100" t="n">
        <v>1.5</v>
      </c>
      <c r="P21" s="102"/>
      <c r="Q21" s="103"/>
      <c r="R21" s="320" t="n">
        <v>22510</v>
      </c>
      <c r="S21" s="103" t="n">
        <f aca="false">IFERROR(R21/100/O21, )</f>
        <v>150.066666666667</v>
      </c>
      <c r="T21" s="322" t="n">
        <v>425</v>
      </c>
      <c r="U21" s="275"/>
    </row>
    <row r="22" customFormat="false" ht="17.25" hidden="false" customHeight="true" outlineLevel="0" collapsed="false">
      <c r="B22" s="89" t="s">
        <v>3548</v>
      </c>
      <c r="J22" s="272"/>
      <c r="K22" s="272" t="s">
        <v>233</v>
      </c>
      <c r="L22" s="114" t="n">
        <v>36</v>
      </c>
      <c r="M22" s="114" t="s">
        <v>279</v>
      </c>
      <c r="N22" s="273" t="n">
        <v>1</v>
      </c>
      <c r="O22" s="100" t="n">
        <v>1.5</v>
      </c>
      <c r="P22" s="102"/>
      <c r="Q22" s="103"/>
      <c r="R22" s="320" t="n">
        <v>21400</v>
      </c>
      <c r="S22" s="103" t="n">
        <f aca="false">IFERROR(R22/100/O22, )</f>
        <v>142.666666666667</v>
      </c>
      <c r="T22" s="322" t="n">
        <v>400</v>
      </c>
      <c r="U22" s="292"/>
    </row>
    <row r="23" customFormat="false" ht="17.25" hidden="false" customHeight="true" outlineLevel="0" collapsed="false">
      <c r="B23" s="308" t="s">
        <v>3558</v>
      </c>
      <c r="C23" s="309"/>
      <c r="D23" s="310"/>
      <c r="E23" s="310"/>
      <c r="J23" s="272" t="n">
        <v>45916</v>
      </c>
      <c r="K23" s="272"/>
      <c r="L23" s="114"/>
      <c r="M23" s="114"/>
      <c r="N23" s="273"/>
      <c r="O23" s="100"/>
      <c r="P23" s="102"/>
      <c r="Q23" s="103"/>
      <c r="R23" s="320"/>
      <c r="S23" s="103"/>
      <c r="T23" s="322" t="n">
        <v>258</v>
      </c>
      <c r="U23" s="275"/>
    </row>
    <row r="24" customFormat="false" ht="17.25" hidden="false" customHeight="true" outlineLevel="0" collapsed="false">
      <c r="B24" s="105" t="s">
        <v>16</v>
      </c>
      <c r="C24" s="117" t="n">
        <v>520</v>
      </c>
      <c r="D24" s="251" t="n">
        <f aca="false">C24/E24</f>
        <v>20</v>
      </c>
      <c r="E24" s="262" t="n">
        <v>26</v>
      </c>
      <c r="J24" s="272" t="n">
        <v>45917</v>
      </c>
      <c r="K24" s="272" t="s">
        <v>235</v>
      </c>
      <c r="L24" s="114" t="n">
        <v>29</v>
      </c>
      <c r="M24" s="114" t="s">
        <v>279</v>
      </c>
      <c r="N24" s="273" t="n">
        <v>8</v>
      </c>
      <c r="O24" s="100" t="n">
        <v>11.8</v>
      </c>
      <c r="P24" s="102"/>
      <c r="Q24" s="103"/>
      <c r="R24" s="320" t="n">
        <v>186750</v>
      </c>
      <c r="S24" s="103" t="n">
        <f aca="false">IFERROR(R24/100/O24, )</f>
        <v>158.262711864407</v>
      </c>
      <c r="T24" s="322" t="n">
        <v>613</v>
      </c>
      <c r="U24" s="275"/>
    </row>
    <row r="25" customFormat="false" ht="17.25" hidden="false" customHeight="true" outlineLevel="0" collapsed="false">
      <c r="B25" s="259" t="s">
        <v>17</v>
      </c>
      <c r="C25" s="143" t="n">
        <f aca="false">R4/1000</f>
        <v>353.09</v>
      </c>
      <c r="D25" s="260" t="n">
        <f aca="false">C25/E25</f>
        <v>13.5803846153846</v>
      </c>
      <c r="E25" s="287" t="n">
        <f aca="false">O4</f>
        <v>26</v>
      </c>
      <c r="J25" s="272" t="n">
        <v>45918</v>
      </c>
      <c r="K25" s="272" t="s">
        <v>233</v>
      </c>
      <c r="L25" s="114" t="n">
        <v>36</v>
      </c>
      <c r="M25" s="114" t="s">
        <v>279</v>
      </c>
      <c r="N25" s="273" t="n">
        <v>8</v>
      </c>
      <c r="O25" s="100" t="n">
        <v>17.3</v>
      </c>
      <c r="P25" s="102"/>
      <c r="Q25" s="103"/>
      <c r="R25" s="320" t="n">
        <v>207910</v>
      </c>
      <c r="S25" s="103" t="n">
        <f aca="false">IFERROR(R25/100/O25, )</f>
        <v>120.179190751445</v>
      </c>
      <c r="T25" s="322" t="s">
        <v>3559</v>
      </c>
      <c r="U25" s="292"/>
    </row>
    <row r="26" customFormat="false" ht="17.25" hidden="false" customHeight="true" outlineLevel="0" collapsed="false">
      <c r="B26" s="105" t="s">
        <v>204</v>
      </c>
      <c r="C26" s="133" t="n">
        <f aca="false">C25/C24</f>
        <v>0.679019230769231</v>
      </c>
      <c r="D26" s="134"/>
      <c r="J26" s="272"/>
      <c r="K26" s="272" t="s">
        <v>234</v>
      </c>
      <c r="L26" s="114" t="n">
        <v>36</v>
      </c>
      <c r="M26" s="114" t="s">
        <v>279</v>
      </c>
      <c r="N26" s="273" t="n">
        <v>4</v>
      </c>
      <c r="O26" s="100" t="n">
        <v>8</v>
      </c>
      <c r="P26" s="102"/>
      <c r="Q26" s="103"/>
      <c r="R26" s="320" t="n">
        <v>97030</v>
      </c>
      <c r="S26" s="103" t="n">
        <f aca="false">IFERROR(R26/100/O26, )</f>
        <v>121.2875</v>
      </c>
      <c r="T26" s="322" t="s">
        <v>3560</v>
      </c>
      <c r="U26" s="292"/>
    </row>
    <row r="27" customFormat="false" ht="17.25" hidden="false" customHeight="true" outlineLevel="0" collapsed="false">
      <c r="B27" s="105" t="s">
        <v>205</v>
      </c>
      <c r="C27" s="133" t="n">
        <f aca="false">E25/E24</f>
        <v>1</v>
      </c>
      <c r="J27" s="272"/>
      <c r="K27" s="272" t="s">
        <v>235</v>
      </c>
      <c r="L27" s="114" t="n">
        <v>29</v>
      </c>
      <c r="M27" s="114" t="s">
        <v>279</v>
      </c>
      <c r="N27" s="273" t="n">
        <v>11</v>
      </c>
      <c r="O27" s="100" t="n">
        <v>15.7</v>
      </c>
      <c r="P27" s="102"/>
      <c r="Q27" s="103"/>
      <c r="R27" s="320" t="n">
        <v>260410</v>
      </c>
      <c r="S27" s="103" t="n">
        <f aca="false">IFERROR(R27/100/O27, )</f>
        <v>165.866242038217</v>
      </c>
      <c r="T27" s="322" t="s">
        <v>3561</v>
      </c>
      <c r="U27" s="275"/>
    </row>
    <row r="28" customFormat="false" ht="17.25" hidden="false" customHeight="true" outlineLevel="0" collapsed="false">
      <c r="J28" s="272" t="n">
        <v>45919</v>
      </c>
      <c r="K28" s="272" t="s">
        <v>234</v>
      </c>
      <c r="L28" s="114" t="n">
        <v>36</v>
      </c>
      <c r="M28" s="114" t="s">
        <v>279</v>
      </c>
      <c r="N28" s="273" t="n">
        <v>15</v>
      </c>
      <c r="O28" s="100" t="n">
        <v>23</v>
      </c>
      <c r="P28" s="102"/>
      <c r="Q28" s="103"/>
      <c r="R28" s="320" t="n">
        <v>409830</v>
      </c>
      <c r="S28" s="103" t="n">
        <f aca="false">IFERROR(R28/100/O28, )</f>
        <v>178.186956521739</v>
      </c>
      <c r="T28" s="322"/>
      <c r="U28" s="275"/>
    </row>
    <row r="29" customFormat="false" ht="17.25" hidden="false" customHeight="true" outlineLevel="0" collapsed="false">
      <c r="B29" s="308" t="s">
        <v>3562</v>
      </c>
      <c r="C29" s="309"/>
      <c r="D29" s="310"/>
      <c r="E29" s="310"/>
      <c r="J29" s="272" t="n">
        <v>45920</v>
      </c>
      <c r="K29" s="272" t="s">
        <v>234</v>
      </c>
      <c r="L29" s="114" t="n">
        <v>36</v>
      </c>
      <c r="M29" s="114" t="s">
        <v>279</v>
      </c>
      <c r="N29" s="273" t="n">
        <v>2</v>
      </c>
      <c r="O29" s="100" t="n">
        <v>2</v>
      </c>
      <c r="P29" s="102"/>
      <c r="Q29" s="103"/>
      <c r="R29" s="320" t="n">
        <v>35690</v>
      </c>
      <c r="S29" s="103" t="n">
        <f aca="false">IFERROR(R29/100/O29, )</f>
        <v>178.45</v>
      </c>
      <c r="T29" s="322"/>
      <c r="U29" s="275"/>
    </row>
    <row r="30" customFormat="false" ht="17.25" hidden="false" customHeight="true" outlineLevel="0" collapsed="false">
      <c r="B30" s="105" t="s">
        <v>16</v>
      </c>
      <c r="C30" s="117" t="n">
        <v>6340</v>
      </c>
      <c r="D30" s="251" t="n">
        <f aca="false">C30/E30</f>
        <v>20</v>
      </c>
      <c r="E30" s="262" t="n">
        <v>317</v>
      </c>
      <c r="J30" s="95" t="s">
        <v>149</v>
      </c>
      <c r="K30" s="95"/>
      <c r="L30" s="329"/>
      <c r="M30" s="95"/>
      <c r="N30" s="95" t="n">
        <f aca="false">SUM(N4:N29)</f>
        <v>220</v>
      </c>
      <c r="O30" s="288" t="n">
        <f aca="false">SUM(O4:O29)</f>
        <v>343</v>
      </c>
      <c r="P30" s="289" t="n">
        <f aca="false">SUM(P4:P29)</f>
        <v>0</v>
      </c>
      <c r="Q30" s="290"/>
      <c r="R30" s="289" t="n">
        <f aca="false">SUM(R4:R29)</f>
        <v>5445720</v>
      </c>
      <c r="S30" s="131" t="n">
        <f aca="false">IFERROR(R30/100/O30, )</f>
        <v>158.767346938776</v>
      </c>
      <c r="T30" s="322"/>
      <c r="U30" s="275"/>
    </row>
    <row r="31" s="89" customFormat="true" ht="17.25" hidden="false" customHeight="true" outlineLevel="0" collapsed="false">
      <c r="B31" s="259" t="s">
        <v>17</v>
      </c>
      <c r="C31" s="143" t="n">
        <f aca="false">SUM(R5:R29)/1000</f>
        <v>5092.63</v>
      </c>
      <c r="D31" s="260" t="n">
        <f aca="false">C31/E31</f>
        <v>16.0650788643533</v>
      </c>
      <c r="E31" s="287" t="n">
        <f aca="false">SUM(O5:O29)</f>
        <v>317</v>
      </c>
      <c r="N31" s="90"/>
      <c r="T31" s="322"/>
      <c r="U31" s="275"/>
    </row>
    <row r="32" customFormat="false" ht="14.25" hidden="false" customHeight="false" outlineLevel="0" collapsed="false">
      <c r="B32" s="105" t="s">
        <v>204</v>
      </c>
      <c r="C32" s="133" t="n">
        <f aca="false">C31/C30</f>
        <v>0.803253943217666</v>
      </c>
      <c r="D32" s="134"/>
      <c r="O32" s="89"/>
      <c r="R32" s="110"/>
    </row>
    <row r="33" s="89" customFormat="true" ht="14.25" hidden="false" customHeight="false" outlineLevel="0" collapsed="false">
      <c r="B33" s="105" t="s">
        <v>205</v>
      </c>
      <c r="C33" s="133" t="n">
        <f aca="false">E31/E30</f>
        <v>1</v>
      </c>
      <c r="N33" s="90"/>
      <c r="T33" s="322"/>
    </row>
    <row r="34" s="89" customFormat="true" ht="14.25" hidden="false" customHeight="false" outlineLevel="0" collapsed="false">
      <c r="N34" s="90"/>
    </row>
    <row r="35" s="89" customFormat="true" ht="14.25" hidden="false" customHeight="false" outlineLevel="0" collapsed="false">
      <c r="N35" s="90"/>
      <c r="T35" s="322"/>
    </row>
    <row r="36" s="89" customFormat="true" ht="14.25" hidden="false" customHeight="false" outlineLevel="0" collapsed="false">
      <c r="N36" s="90"/>
    </row>
    <row r="37" s="89" customFormat="true" ht="14.25" hidden="false" customHeight="false" outlineLevel="0" collapsed="false">
      <c r="N37" s="90"/>
    </row>
    <row r="38" s="89" customFormat="true" ht="14.25" hidden="false" customHeight="false" outlineLevel="0" collapsed="false">
      <c r="N38" s="90"/>
    </row>
    <row r="39" s="89" customFormat="true" ht="14.25" hidden="false" customHeight="false" outlineLevel="0" collapsed="false">
      <c r="N39" s="90"/>
      <c r="T39" s="322"/>
    </row>
    <row r="40" s="89" customFormat="true" ht="14.25" hidden="false" customHeight="false" outlineLevel="0" collapsed="false">
      <c r="N40" s="90"/>
    </row>
    <row r="41" s="89" customFormat="true" ht="16.5" hidden="false" customHeight="true" outlineLevel="0" collapsed="false">
      <c r="N41" s="90"/>
      <c r="T41" s="322"/>
    </row>
    <row r="42" s="89" customFormat="true" ht="14.25" hidden="false" customHeight="false" outlineLevel="0" collapsed="false">
      <c r="N42" s="90"/>
    </row>
    <row r="43" s="89" customFormat="true" ht="14.25" hidden="false" customHeight="false" outlineLevel="0" collapsed="false">
      <c r="N43" s="90"/>
    </row>
    <row r="44" s="89" customFormat="true" ht="14.25" hidden="false" customHeight="false" outlineLevel="0" collapsed="false">
      <c r="N44" s="90"/>
    </row>
    <row r="45" s="89" customFormat="true" ht="14.25" hidden="false" customHeight="false" outlineLevel="0" collapsed="false">
      <c r="N45" s="90"/>
    </row>
    <row r="46" s="89" customFormat="true" ht="14.25" hidden="false" customHeight="false" outlineLevel="0" collapsed="false">
      <c r="N46" s="90"/>
    </row>
    <row r="47" s="89" customFormat="true" ht="14.25" hidden="false" customHeight="false" outlineLevel="0" collapsed="false">
      <c r="N47" s="90"/>
    </row>
    <row r="48" s="89" customFormat="true" ht="14.25" hidden="false" customHeight="false" outlineLevel="0" collapsed="false">
      <c r="N48" s="90"/>
    </row>
    <row r="49" s="89" customFormat="true" ht="14.25" hidden="false" customHeight="false" outlineLevel="0" collapsed="false">
      <c r="N49" s="90"/>
    </row>
    <row r="50" s="89" customFormat="true" ht="14.25" hidden="false" customHeight="false" outlineLevel="0" collapsed="false">
      <c r="N50" s="90"/>
    </row>
    <row r="51" s="89" customFormat="true" ht="14.25" hidden="false" customHeight="false" outlineLevel="0" collapsed="false">
      <c r="N51" s="90"/>
    </row>
    <row r="52" s="89" customFormat="true" ht="14.25" hidden="false" customHeight="false" outlineLevel="0" collapsed="false">
      <c r="N52" s="90"/>
    </row>
    <row r="53" s="89" customFormat="true" ht="14.25" hidden="false" customHeight="false" outlineLevel="0" collapsed="false">
      <c r="N53" s="90"/>
    </row>
    <row r="54" s="89" customFormat="true" ht="14.25" hidden="false" customHeight="false" outlineLevel="0" collapsed="false">
      <c r="N54" s="90"/>
    </row>
    <row r="55" s="89" customFormat="true" ht="14.25" hidden="false" customHeight="false" outlineLevel="0" collapsed="false">
      <c r="N55" s="90"/>
    </row>
    <row r="56" s="89" customFormat="true" ht="14.25" hidden="false" customHeight="false" outlineLevel="0" collapsed="false">
      <c r="N56" s="90"/>
    </row>
    <row r="57" s="89" customFormat="true" ht="14.25" hidden="false" customHeight="false" outlineLevel="0" collapsed="false">
      <c r="N57" s="90"/>
    </row>
    <row r="58" s="89" customFormat="true" ht="14.25" hidden="false" customHeight="false" outlineLevel="0" collapsed="false">
      <c r="N58" s="90"/>
    </row>
    <row r="59" s="89" customFormat="true" ht="14.25" hidden="false" customHeight="false" outlineLevel="0" collapsed="false">
      <c r="N59" s="90"/>
    </row>
    <row r="60" s="89" customFormat="true" ht="14.25" hidden="false" customHeight="false" outlineLevel="0" collapsed="false">
      <c r="N60" s="90"/>
    </row>
    <row r="61" s="89" customFormat="true" ht="14.25" hidden="false" customHeight="false" outlineLevel="0" collapsed="false">
      <c r="N61" s="90"/>
    </row>
    <row r="62" s="89" customFormat="true" ht="14.25" hidden="false" customHeight="false" outlineLevel="0" collapsed="false">
      <c r="N62" s="90"/>
    </row>
    <row r="63" s="89" customFormat="true" ht="14.25" hidden="false" customHeight="false" outlineLevel="0" collapsed="false">
      <c r="N63" s="90"/>
    </row>
    <row r="64" s="89" customFormat="true" ht="14.25" hidden="false" customHeight="false" outlineLevel="0" collapsed="false">
      <c r="N64" s="90"/>
    </row>
    <row r="65" s="89" customFormat="true" ht="14.25" hidden="false" customHeight="false" outlineLevel="0" collapsed="false">
      <c r="N65" s="90"/>
    </row>
    <row r="66" s="89" customFormat="true" ht="14.25" hidden="false" customHeight="false" outlineLevel="0" collapsed="false">
      <c r="N66" s="90"/>
    </row>
    <row r="67" s="89" customFormat="true" ht="14.25" hidden="false" customHeight="false" outlineLevel="0" collapsed="false">
      <c r="N67" s="90"/>
    </row>
    <row r="68" s="89" customFormat="true" ht="14.25" hidden="false" customHeight="false" outlineLevel="0" collapsed="false">
      <c r="N68" s="90"/>
    </row>
    <row r="69" s="89" customFormat="true" ht="14.25" hidden="false" customHeight="false" outlineLevel="0" collapsed="false">
      <c r="N69" s="90"/>
    </row>
    <row r="70" s="89" customFormat="true" ht="14.25" hidden="false" customHeight="false" outlineLevel="0" collapsed="false">
      <c r="N70" s="90"/>
    </row>
    <row r="71" s="89" customFormat="true" ht="14.25" hidden="false" customHeight="false" outlineLevel="0" collapsed="false">
      <c r="N71" s="90"/>
    </row>
    <row r="72" s="89" customFormat="true" ht="14.25" hidden="false" customHeight="false" outlineLevel="0" collapsed="false">
      <c r="N72" s="90"/>
    </row>
    <row r="73" s="89" customFormat="true" ht="14.25" hidden="false" customHeight="false" outlineLevel="0" collapsed="false">
      <c r="N73" s="90"/>
    </row>
    <row r="74" s="89" customFormat="true" ht="14.25" hidden="false" customHeight="false" outlineLevel="0" collapsed="false">
      <c r="N74" s="90"/>
    </row>
    <row r="75" s="89" customFormat="true" ht="14.25" hidden="false" customHeight="false" outlineLevel="0" collapsed="false">
      <c r="N75" s="90"/>
    </row>
    <row r="76" s="89" customFormat="true" ht="14.25" hidden="false" customHeight="false" outlineLevel="0" collapsed="false">
      <c r="N76" s="90"/>
    </row>
    <row r="77" s="89" customFormat="true" ht="14.25" hidden="false" customHeight="false" outlineLevel="0" collapsed="false">
      <c r="N77" s="90"/>
    </row>
    <row r="78" s="89" customFormat="true" ht="14.25" hidden="false" customHeight="false" outlineLevel="0" collapsed="false">
      <c r="N78" s="90"/>
    </row>
    <row r="79" s="89" customFormat="true" ht="14.25" hidden="false" customHeight="false" outlineLevel="0" collapsed="false">
      <c r="N79" s="90"/>
    </row>
    <row r="80" s="89" customFormat="true" ht="14.25" hidden="false" customHeight="false" outlineLevel="0" collapsed="false">
      <c r="N80" s="90"/>
    </row>
    <row r="81" s="89" customFormat="true" ht="14.25" hidden="false" customHeight="false" outlineLevel="0" collapsed="false">
      <c r="N81" s="90"/>
    </row>
    <row r="82" s="89" customFormat="true" ht="14.25" hidden="false" customHeight="false" outlineLevel="0" collapsed="false">
      <c r="N82" s="90"/>
    </row>
    <row r="83" s="89" customFormat="true" ht="14.25" hidden="false" customHeight="false" outlineLevel="0" collapsed="false">
      <c r="N83" s="90"/>
    </row>
    <row r="84" s="89" customFormat="true" ht="14.25" hidden="false" customHeight="false" outlineLevel="0" collapsed="false">
      <c r="N84" s="90"/>
    </row>
    <row r="85" s="89" customFormat="true" ht="14.25" hidden="false" customHeight="false" outlineLevel="0" collapsed="false">
      <c r="N85" s="90"/>
    </row>
    <row r="86" s="89" customFormat="true" ht="14.25" hidden="false" customHeight="false" outlineLevel="0" collapsed="false">
      <c r="N86" s="90"/>
    </row>
    <row r="87" s="89" customFormat="true" ht="14.25" hidden="false" customHeight="false" outlineLevel="0" collapsed="false">
      <c r="N87" s="90"/>
    </row>
    <row r="88" s="89" customFormat="true" ht="14.25" hidden="false" customHeight="false" outlineLevel="0" collapsed="false">
      <c r="N88" s="90"/>
    </row>
    <row r="89" s="89" customFormat="true" ht="14.25" hidden="false" customHeight="false" outlineLevel="0" collapsed="false">
      <c r="N89" s="90"/>
    </row>
    <row r="90" s="89" customFormat="true" ht="14.25" hidden="false" customHeight="false" outlineLevel="0" collapsed="false">
      <c r="N90" s="90"/>
    </row>
    <row r="91" s="89" customFormat="true" ht="14.25" hidden="false" customHeight="false" outlineLevel="0" collapsed="false">
      <c r="N91" s="90"/>
    </row>
    <row r="92" s="89" customFormat="true" ht="14.25" hidden="false" customHeight="false" outlineLevel="0" collapsed="false">
      <c r="N92" s="90"/>
    </row>
    <row r="93" s="89" customFormat="true" ht="14.25" hidden="false" customHeight="false" outlineLevel="0" collapsed="false">
      <c r="N93" s="90"/>
    </row>
    <row r="94" s="89" customFormat="true" ht="14.25" hidden="false" customHeight="false" outlineLevel="0" collapsed="false">
      <c r="N94" s="90"/>
    </row>
    <row r="95" s="89" customFormat="true" ht="14.25" hidden="false" customHeight="false" outlineLevel="0" collapsed="false">
      <c r="N95" s="90"/>
    </row>
    <row r="96" s="89" customFormat="true" ht="14.25" hidden="false" customHeight="false" outlineLevel="0" collapsed="false">
      <c r="N96" s="90"/>
    </row>
    <row r="97" s="89" customFormat="true" ht="14.25" hidden="false" customHeight="false" outlineLevel="0" collapsed="false">
      <c r="N97" s="90"/>
    </row>
    <row r="98" s="89" customFormat="true" ht="14.25" hidden="false" customHeight="false" outlineLevel="0" collapsed="false">
      <c r="N98" s="90"/>
    </row>
    <row r="99" s="89" customFormat="true" ht="14.25" hidden="false" customHeight="false" outlineLevel="0" collapsed="false">
      <c r="N99" s="90"/>
    </row>
    <row r="100" s="89" customFormat="true" ht="14.25" hidden="false" customHeight="false" outlineLevel="0" collapsed="false">
      <c r="N100" s="90"/>
    </row>
    <row r="101" s="89" customFormat="true" ht="14.25" hidden="false" customHeight="false" outlineLevel="0" collapsed="false">
      <c r="N101" s="90"/>
    </row>
    <row r="102" s="89" customFormat="true" ht="14.25" hidden="false" customHeight="false" outlineLevel="0" collapsed="false">
      <c r="N102" s="90"/>
    </row>
    <row r="103" s="89" customFormat="true" ht="14.25" hidden="false" customHeight="false" outlineLevel="0" collapsed="false">
      <c r="N103" s="90"/>
    </row>
    <row r="104" s="89" customFormat="true" ht="14.25" hidden="false" customHeight="false" outlineLevel="0" collapsed="false">
      <c r="N104" s="90"/>
    </row>
    <row r="105" s="89" customFormat="true" ht="14.25" hidden="false" customHeight="false" outlineLevel="0" collapsed="false">
      <c r="N105" s="90"/>
    </row>
    <row r="106" s="89" customFormat="true" ht="14.25" hidden="false" customHeight="false" outlineLevel="0" collapsed="false">
      <c r="N106" s="90"/>
    </row>
    <row r="107" s="89" customFormat="true" ht="14.25" hidden="false" customHeight="false" outlineLevel="0" collapsed="false">
      <c r="N107" s="90"/>
    </row>
    <row r="108" s="89" customFormat="true" ht="14.25" hidden="false" customHeight="false" outlineLevel="0" collapsed="false">
      <c r="N108" s="90"/>
    </row>
    <row r="109" s="89" customFormat="true" ht="14.25" hidden="false" customHeight="false" outlineLevel="0" collapsed="false">
      <c r="N109" s="90"/>
    </row>
    <row r="110" s="89" customFormat="true" ht="14.25" hidden="false" customHeight="false" outlineLevel="0" collapsed="false">
      <c r="N110" s="90"/>
    </row>
    <row r="111" s="89" customFormat="true" ht="14.25" hidden="false" customHeight="false" outlineLevel="0" collapsed="false">
      <c r="N111" s="90"/>
    </row>
    <row r="112" s="89" customFormat="true" ht="14.25" hidden="false" customHeight="false" outlineLevel="0" collapsed="false">
      <c r="N112" s="90"/>
    </row>
    <row r="113" s="89" customFormat="true" ht="14.25" hidden="false" customHeight="false" outlineLevel="0" collapsed="false">
      <c r="N113" s="90"/>
    </row>
    <row r="114" s="89" customFormat="true" ht="14.25" hidden="false" customHeight="false" outlineLevel="0" collapsed="false">
      <c r="N114" s="90"/>
    </row>
    <row r="115" s="89" customFormat="true" ht="14.25" hidden="false" customHeight="false" outlineLevel="0" collapsed="false">
      <c r="N115" s="90"/>
    </row>
    <row r="116" s="89" customFormat="true" ht="14.25" hidden="false" customHeight="false" outlineLevel="0" collapsed="false">
      <c r="N116" s="90"/>
    </row>
    <row r="117" s="89" customFormat="true" ht="14.25" hidden="false" customHeight="false" outlineLevel="0" collapsed="false">
      <c r="N117" s="90"/>
    </row>
    <row r="118" s="89" customFormat="true" ht="14.25" hidden="false" customHeight="false" outlineLevel="0" collapsed="false">
      <c r="N118" s="90"/>
    </row>
    <row r="119" s="89" customFormat="true" ht="14.25" hidden="false" customHeight="false" outlineLevel="0" collapsed="false">
      <c r="N119" s="90"/>
    </row>
    <row r="120" s="89" customFormat="true" ht="14.25" hidden="false" customHeight="false" outlineLevel="0" collapsed="false">
      <c r="N120" s="90"/>
    </row>
    <row r="121" s="89" customFormat="true" ht="14.25" hidden="false" customHeight="false" outlineLevel="0" collapsed="false">
      <c r="N121" s="90"/>
    </row>
    <row r="122" s="89" customFormat="true" ht="14.25" hidden="false" customHeight="false" outlineLevel="0" collapsed="false">
      <c r="N122" s="90"/>
    </row>
    <row r="123" s="89" customFormat="true" ht="14.25" hidden="false" customHeight="false" outlineLevel="0" collapsed="false">
      <c r="N123" s="90"/>
    </row>
    <row r="124" s="89" customFormat="true" ht="14.25" hidden="false" customHeight="false" outlineLevel="0" collapsed="false">
      <c r="N124" s="90"/>
    </row>
    <row r="125" s="89" customFormat="true" ht="14.25" hidden="false" customHeight="false" outlineLevel="0" collapsed="false">
      <c r="N125" s="90"/>
    </row>
    <row r="126" s="89" customFormat="true" ht="14.25" hidden="false" customHeight="false" outlineLevel="0" collapsed="false">
      <c r="N126" s="90"/>
    </row>
    <row r="127" s="89" customFormat="true" ht="14.25" hidden="false" customHeight="false" outlineLevel="0" collapsed="false">
      <c r="N127" s="90"/>
    </row>
    <row r="128" s="89" customFormat="true" ht="14.25" hidden="false" customHeight="false" outlineLevel="0" collapsed="false">
      <c r="N128" s="90"/>
    </row>
    <row r="129" s="89" customFormat="true" ht="14.25" hidden="false" customHeight="false" outlineLevel="0" collapsed="false">
      <c r="N129" s="90"/>
    </row>
    <row r="130" s="89" customFormat="true" ht="14.25" hidden="false" customHeight="false" outlineLevel="0" collapsed="false">
      <c r="N130" s="90"/>
    </row>
    <row r="131" s="89" customFormat="true" ht="14.25" hidden="false" customHeight="false" outlineLevel="0" collapsed="false">
      <c r="N131" s="90"/>
    </row>
    <row r="132" s="89" customFormat="true" ht="14.25" hidden="false" customHeight="false" outlineLevel="0" collapsed="false">
      <c r="N132" s="90"/>
    </row>
    <row r="133" s="89" customFormat="true" ht="14.25" hidden="false" customHeight="false" outlineLevel="0" collapsed="false">
      <c r="N133" s="90"/>
    </row>
    <row r="134" s="89" customFormat="true" ht="14.25" hidden="false" customHeight="false" outlineLevel="0" collapsed="false">
      <c r="N134" s="90"/>
    </row>
    <row r="135" s="89" customFormat="true" ht="14.25" hidden="false" customHeight="false" outlineLevel="0" collapsed="false">
      <c r="N135" s="90"/>
    </row>
    <row r="136" s="89" customFormat="true" ht="14.25" hidden="false" customHeight="false" outlineLevel="0" collapsed="false">
      <c r="N136" s="90"/>
    </row>
    <row r="137" s="89" customFormat="true" ht="14.25" hidden="false" customHeight="false" outlineLevel="0" collapsed="false">
      <c r="N137" s="90"/>
    </row>
    <row r="138" s="89" customFormat="true" ht="14.25" hidden="false" customHeight="false" outlineLevel="0" collapsed="false">
      <c r="N138" s="90"/>
    </row>
    <row r="139" s="89" customFormat="true" ht="14.25" hidden="false" customHeight="false" outlineLevel="0" collapsed="false">
      <c r="N139" s="90"/>
    </row>
    <row r="140" s="89" customFormat="true" ht="14.25" hidden="false" customHeight="false" outlineLevel="0" collapsed="false">
      <c r="N140" s="90"/>
    </row>
    <row r="141" s="89" customFormat="true" ht="14.25" hidden="false" customHeight="false" outlineLevel="0" collapsed="false">
      <c r="N141" s="90"/>
    </row>
    <row r="142" s="89" customFormat="true" ht="14.25" hidden="false" customHeight="false" outlineLevel="0" collapsed="false">
      <c r="N142" s="90"/>
    </row>
    <row r="143" s="89" customFormat="true" ht="14.25" hidden="false" customHeight="false" outlineLevel="0" collapsed="false">
      <c r="N143" s="90"/>
    </row>
    <row r="144" s="89" customFormat="true" ht="14.25" hidden="false" customHeight="false" outlineLevel="0" collapsed="false">
      <c r="N144" s="90"/>
    </row>
    <row r="145" s="89" customFormat="true" ht="14.25" hidden="false" customHeight="false" outlineLevel="0" collapsed="false">
      <c r="N145" s="90"/>
    </row>
    <row r="146" s="89" customFormat="true" ht="14.25" hidden="false" customHeight="false" outlineLevel="0" collapsed="false">
      <c r="N146" s="90"/>
    </row>
    <row r="147" s="89" customFormat="true" ht="14.25" hidden="false" customHeight="false" outlineLevel="0" collapsed="false">
      <c r="N147" s="90"/>
    </row>
    <row r="148" s="89" customFormat="true" ht="14.25" hidden="false" customHeight="false" outlineLevel="0" collapsed="false">
      <c r="N148" s="90"/>
    </row>
    <row r="149" s="89" customFormat="true" ht="14.25" hidden="false" customHeight="false" outlineLevel="0" collapsed="false">
      <c r="N149" s="90"/>
    </row>
    <row r="150" s="89" customFormat="true" ht="14.25" hidden="false" customHeight="false" outlineLevel="0" collapsed="false">
      <c r="N150" s="90"/>
    </row>
    <row r="151" s="89" customFormat="true" ht="14.25" hidden="false" customHeight="false" outlineLevel="0" collapsed="false">
      <c r="N151" s="90"/>
    </row>
    <row r="152" s="89" customFormat="true" ht="14.25" hidden="false" customHeight="false" outlineLevel="0" collapsed="false">
      <c r="N152" s="90"/>
    </row>
    <row r="153" s="89" customFormat="true" ht="14.25" hidden="false" customHeight="false" outlineLevel="0" collapsed="false">
      <c r="N153" s="90"/>
    </row>
    <row r="154" s="89" customFormat="true" ht="14.25" hidden="false" customHeight="false" outlineLevel="0" collapsed="false">
      <c r="N154" s="90"/>
    </row>
    <row r="155" s="89" customFormat="true" ht="14.25" hidden="false" customHeight="false" outlineLevel="0" collapsed="false">
      <c r="N155" s="90"/>
    </row>
    <row r="156" s="89" customFormat="true" ht="14.25" hidden="false" customHeight="false" outlineLevel="0" collapsed="false">
      <c r="N156" s="90"/>
    </row>
    <row r="157" s="89" customFormat="true" ht="14.25" hidden="false" customHeight="false" outlineLevel="0" collapsed="false">
      <c r="N157" s="90"/>
    </row>
    <row r="158" s="89" customFormat="true" ht="14.25" hidden="false" customHeight="false" outlineLevel="0" collapsed="false">
      <c r="N158" s="90"/>
    </row>
    <row r="159" s="89" customFormat="true" ht="14.25" hidden="false" customHeight="false" outlineLevel="0" collapsed="false">
      <c r="N159" s="90"/>
    </row>
    <row r="160" s="89" customFormat="true" ht="14.25" hidden="false" customHeight="false" outlineLevel="0" collapsed="false">
      <c r="N160" s="90"/>
    </row>
    <row r="161" s="89" customFormat="true" ht="14.25" hidden="false" customHeight="false" outlineLevel="0" collapsed="false">
      <c r="N161" s="90"/>
    </row>
    <row r="162" s="89" customFormat="true" ht="14.25" hidden="false" customHeight="false" outlineLevel="0" collapsed="false">
      <c r="N162" s="90"/>
    </row>
    <row r="163" s="89" customFormat="true" ht="14.25" hidden="false" customHeight="false" outlineLevel="0" collapsed="false">
      <c r="N163" s="90"/>
    </row>
    <row r="164" s="89" customFormat="true" ht="14.25" hidden="false" customHeight="false" outlineLevel="0" collapsed="false">
      <c r="N164" s="90"/>
    </row>
    <row r="165" s="89" customFormat="true" ht="14.25" hidden="false" customHeight="false" outlineLevel="0" collapsed="false">
      <c r="N165" s="90"/>
    </row>
    <row r="166" s="89" customFormat="true" ht="14.25" hidden="false" customHeight="false" outlineLevel="0" collapsed="false">
      <c r="N166" s="90"/>
    </row>
    <row r="167" s="89" customFormat="true" ht="14.25" hidden="false" customHeight="false" outlineLevel="0" collapsed="false">
      <c r="N167" s="90"/>
    </row>
    <row r="168" s="89" customFormat="true" ht="14.25" hidden="false" customHeight="false" outlineLevel="0" collapsed="false">
      <c r="N168" s="90"/>
    </row>
    <row r="169" s="89" customFormat="true" ht="14.25" hidden="false" customHeight="false" outlineLevel="0" collapsed="false">
      <c r="N169" s="90"/>
    </row>
    <row r="170" s="89" customFormat="true" ht="14.25" hidden="false" customHeight="false" outlineLevel="0" collapsed="false">
      <c r="N170" s="90"/>
    </row>
    <row r="171" s="89" customFormat="true" ht="14.25" hidden="false" customHeight="false" outlineLevel="0" collapsed="false">
      <c r="N171" s="90"/>
    </row>
    <row r="172" s="89" customFormat="true" ht="14.25" hidden="false" customHeight="false" outlineLevel="0" collapsed="false">
      <c r="N172" s="90"/>
    </row>
    <row r="173" s="89" customFormat="true" ht="14.25" hidden="false" customHeight="false" outlineLevel="0" collapsed="false">
      <c r="N173" s="90"/>
    </row>
    <row r="174" s="89" customFormat="true" ht="14.25" hidden="false" customHeight="false" outlineLevel="0" collapsed="false">
      <c r="N174" s="90"/>
    </row>
    <row r="175" s="89" customFormat="true" ht="14.25" hidden="false" customHeight="false" outlineLevel="0" collapsed="false">
      <c r="N175" s="90"/>
    </row>
    <row r="176" s="89" customFormat="true" ht="14.25" hidden="false" customHeight="false" outlineLevel="0" collapsed="false">
      <c r="N176" s="90"/>
    </row>
    <row r="177" s="89" customFormat="true" ht="14.25" hidden="false" customHeight="false" outlineLevel="0" collapsed="false">
      <c r="N177" s="90"/>
    </row>
    <row r="178" s="89" customFormat="true" ht="14.25" hidden="false" customHeight="false" outlineLevel="0" collapsed="false">
      <c r="N178" s="90"/>
    </row>
    <row r="179" s="89" customFormat="true" ht="14.25" hidden="false" customHeight="false" outlineLevel="0" collapsed="false">
      <c r="N179" s="90"/>
    </row>
    <row r="180" s="89" customFormat="true" ht="14.25" hidden="false" customHeight="false" outlineLevel="0" collapsed="false">
      <c r="N180" s="90"/>
    </row>
    <row r="181" s="89" customFormat="true" ht="14.25" hidden="false" customHeight="false" outlineLevel="0" collapsed="false">
      <c r="N181" s="90"/>
    </row>
    <row r="182" s="89" customFormat="true" ht="14.25" hidden="false" customHeight="false" outlineLevel="0" collapsed="false">
      <c r="N182" s="90"/>
    </row>
    <row r="183" s="89" customFormat="true" ht="14.25" hidden="false" customHeight="false" outlineLevel="0" collapsed="false">
      <c r="N183" s="90"/>
    </row>
    <row r="184" s="89" customFormat="true" ht="14.25" hidden="false" customHeight="false" outlineLevel="0" collapsed="false">
      <c r="N184" s="90"/>
    </row>
    <row r="185" s="89" customFormat="true" ht="14.25" hidden="false" customHeight="false" outlineLevel="0" collapsed="false">
      <c r="N185" s="90"/>
    </row>
    <row r="186" s="89" customFormat="true" ht="14.25" hidden="false" customHeight="false" outlineLevel="0" collapsed="false">
      <c r="N186" s="90"/>
    </row>
    <row r="187" s="89" customFormat="true" ht="14.25" hidden="false" customHeight="false" outlineLevel="0" collapsed="false">
      <c r="N187" s="90"/>
    </row>
    <row r="188" s="89" customFormat="true" ht="14.25" hidden="false" customHeight="false" outlineLevel="0" collapsed="false">
      <c r="N188" s="90"/>
    </row>
    <row r="189" s="89" customFormat="true" ht="14.25" hidden="false" customHeight="false" outlineLevel="0" collapsed="false">
      <c r="N189" s="90"/>
    </row>
    <row r="190" s="89" customFormat="true" ht="14.25" hidden="false" customHeight="false" outlineLevel="0" collapsed="false">
      <c r="N190" s="90"/>
    </row>
    <row r="191" s="89" customFormat="true" ht="14.25" hidden="false" customHeight="false" outlineLevel="0" collapsed="false">
      <c r="N191" s="90"/>
    </row>
    <row r="192" s="89" customFormat="true" ht="14.25" hidden="false" customHeight="false" outlineLevel="0" collapsed="false">
      <c r="N192" s="90"/>
    </row>
    <row r="193" s="89" customFormat="true" ht="14.25" hidden="false" customHeight="false" outlineLevel="0" collapsed="false">
      <c r="N193" s="90"/>
    </row>
    <row r="194" s="89" customFormat="true" ht="14.25" hidden="false" customHeight="false" outlineLevel="0" collapsed="false">
      <c r="N194" s="90"/>
    </row>
    <row r="195" s="89" customFormat="true" ht="14.25" hidden="false" customHeight="false" outlineLevel="0" collapsed="false">
      <c r="N195" s="90"/>
    </row>
    <row r="196" s="89" customFormat="true" ht="14.25" hidden="false" customHeight="false" outlineLevel="0" collapsed="false">
      <c r="N196" s="90"/>
    </row>
    <row r="197" s="89" customFormat="true" ht="14.25" hidden="false" customHeight="false" outlineLevel="0" collapsed="false">
      <c r="N197" s="90"/>
    </row>
    <row r="198" s="89" customFormat="true" ht="14.25" hidden="false" customHeight="false" outlineLevel="0" collapsed="false">
      <c r="N198" s="90"/>
    </row>
    <row r="199" s="89" customFormat="true" ht="14.25" hidden="false" customHeight="false" outlineLevel="0" collapsed="false">
      <c r="N199" s="90"/>
    </row>
    <row r="200" s="89" customFormat="true" ht="14.25" hidden="false" customHeight="false" outlineLevel="0" collapsed="false">
      <c r="N200" s="90"/>
    </row>
    <row r="201" s="89" customFormat="true" ht="14.25" hidden="false" customHeight="false" outlineLevel="0" collapsed="false">
      <c r="N201" s="90"/>
    </row>
    <row r="202" s="89" customFormat="true" ht="14.25" hidden="false" customHeight="false" outlineLevel="0" collapsed="false">
      <c r="N202" s="90"/>
    </row>
    <row r="203" s="89" customFormat="true" ht="14.25" hidden="false" customHeight="false" outlineLevel="0" collapsed="false">
      <c r="N203" s="90"/>
    </row>
    <row r="204" s="89" customFormat="true" ht="14.25" hidden="false" customHeight="false" outlineLevel="0" collapsed="false">
      <c r="N204" s="90"/>
    </row>
    <row r="205" s="89" customFormat="true" ht="14.25" hidden="false" customHeight="false" outlineLevel="0" collapsed="false">
      <c r="N205" s="90"/>
    </row>
    <row r="206" s="89" customFormat="true" ht="14.25" hidden="false" customHeight="false" outlineLevel="0" collapsed="false">
      <c r="N206" s="90"/>
    </row>
    <row r="207" s="89" customFormat="true" ht="14.25" hidden="false" customHeight="false" outlineLevel="0" collapsed="false">
      <c r="N207" s="90"/>
    </row>
    <row r="208" s="89" customFormat="true" ht="14.25" hidden="false" customHeight="false" outlineLevel="0" collapsed="false">
      <c r="N208" s="90"/>
    </row>
    <row r="209" s="89" customFormat="true" ht="14.25" hidden="false" customHeight="false" outlineLevel="0" collapsed="false">
      <c r="N209" s="90"/>
    </row>
    <row r="210" s="89" customFormat="true" ht="14.25" hidden="false" customHeight="false" outlineLevel="0" collapsed="false">
      <c r="N210" s="90"/>
    </row>
    <row r="211" s="89" customFormat="true" ht="14.25" hidden="false" customHeight="false" outlineLevel="0" collapsed="false">
      <c r="N211" s="90"/>
    </row>
    <row r="212" s="89" customFormat="true" ht="14.25" hidden="false" customHeight="false" outlineLevel="0" collapsed="false">
      <c r="N212" s="90"/>
    </row>
    <row r="213" s="89" customFormat="true" ht="14.25" hidden="false" customHeight="false" outlineLevel="0" collapsed="false">
      <c r="N213" s="90"/>
    </row>
    <row r="214" s="89" customFormat="true" ht="14.25" hidden="false" customHeight="false" outlineLevel="0" collapsed="false">
      <c r="N214" s="90"/>
    </row>
    <row r="215" s="89" customFormat="true" ht="14.25" hidden="false" customHeight="false" outlineLevel="0" collapsed="false">
      <c r="N215" s="90"/>
    </row>
    <row r="216" s="89" customFormat="true" ht="14.25" hidden="false" customHeight="false" outlineLevel="0" collapsed="false">
      <c r="N216" s="90"/>
    </row>
    <row r="217" s="89" customFormat="true" ht="14.25" hidden="false" customHeight="false" outlineLevel="0" collapsed="false">
      <c r="N217" s="90"/>
    </row>
    <row r="218" s="89" customFormat="true" ht="14.25" hidden="false" customHeight="false" outlineLevel="0" collapsed="false">
      <c r="N218" s="90"/>
    </row>
    <row r="219" s="89" customFormat="true" ht="14.25" hidden="false" customHeight="false" outlineLevel="0" collapsed="false">
      <c r="N219" s="90"/>
    </row>
    <row r="220" s="89" customFormat="true" ht="14.25" hidden="false" customHeight="false" outlineLevel="0" collapsed="false">
      <c r="N220" s="90"/>
    </row>
    <row r="221" s="89" customFormat="true" ht="14.25" hidden="false" customHeight="false" outlineLevel="0" collapsed="false">
      <c r="N221" s="90"/>
    </row>
    <row r="222" s="89" customFormat="true" ht="14.25" hidden="false" customHeight="false" outlineLevel="0" collapsed="false">
      <c r="N222" s="90"/>
    </row>
    <row r="223" s="89" customFormat="true" ht="14.25" hidden="false" customHeight="false" outlineLevel="0" collapsed="false">
      <c r="N223" s="90"/>
    </row>
    <row r="224" s="89" customFormat="true" ht="14.25" hidden="false" customHeight="false" outlineLevel="0" collapsed="false">
      <c r="N224" s="90"/>
    </row>
    <row r="225" s="89" customFormat="true" ht="14.25" hidden="false" customHeight="false" outlineLevel="0" collapsed="false">
      <c r="N225" s="90"/>
    </row>
    <row r="226" s="89" customFormat="true" ht="14.25" hidden="false" customHeight="false" outlineLevel="0" collapsed="false">
      <c r="N226" s="90"/>
    </row>
    <row r="227" s="89" customFormat="true" ht="14.25" hidden="false" customHeight="false" outlineLevel="0" collapsed="false">
      <c r="N227" s="90"/>
    </row>
    <row r="228" s="89" customFormat="true" ht="14.25" hidden="false" customHeight="false" outlineLevel="0" collapsed="false">
      <c r="N228" s="90"/>
    </row>
    <row r="229" s="89" customFormat="true" ht="14.25" hidden="false" customHeight="false" outlineLevel="0" collapsed="false">
      <c r="N229" s="90"/>
    </row>
    <row r="230" s="89" customFormat="true" ht="14.25" hidden="false" customHeight="false" outlineLevel="0" collapsed="false">
      <c r="N230" s="90"/>
    </row>
    <row r="231" s="89" customFormat="true" ht="14.25" hidden="false" customHeight="false" outlineLevel="0" collapsed="false">
      <c r="N231" s="90"/>
    </row>
    <row r="232" s="89" customFormat="true" ht="14.25" hidden="false" customHeight="false" outlineLevel="0" collapsed="false">
      <c r="N232" s="90"/>
    </row>
    <row r="233" s="89" customFormat="true" ht="14.25" hidden="false" customHeight="false" outlineLevel="0" collapsed="false">
      <c r="N233" s="90"/>
    </row>
    <row r="234" s="89" customFormat="true" ht="14.25" hidden="false" customHeight="false" outlineLevel="0" collapsed="false">
      <c r="N234" s="90"/>
    </row>
    <row r="235" s="89" customFormat="true" ht="14.25" hidden="false" customHeight="false" outlineLevel="0" collapsed="false">
      <c r="N235" s="90"/>
    </row>
    <row r="236" s="89" customFormat="true" ht="14.25" hidden="false" customHeight="false" outlineLevel="0" collapsed="false">
      <c r="N236" s="90"/>
    </row>
    <row r="237" s="89" customFormat="true" ht="14.25" hidden="false" customHeight="false" outlineLevel="0" collapsed="false">
      <c r="N237" s="90"/>
    </row>
    <row r="238" s="89" customFormat="true" ht="14.25" hidden="false" customHeight="false" outlineLevel="0" collapsed="false">
      <c r="N238" s="90"/>
    </row>
    <row r="239" s="89" customFormat="true" ht="14.25" hidden="false" customHeight="false" outlineLevel="0" collapsed="false">
      <c r="N239" s="90"/>
    </row>
    <row r="240" s="89" customFormat="true" ht="14.25" hidden="false" customHeight="false" outlineLevel="0" collapsed="false">
      <c r="N240" s="90"/>
    </row>
    <row r="241" s="89" customFormat="true" ht="14.25" hidden="false" customHeight="false" outlineLevel="0" collapsed="false">
      <c r="N241" s="90"/>
    </row>
    <row r="242" s="89" customFormat="true" ht="14.25" hidden="false" customHeight="false" outlineLevel="0" collapsed="false">
      <c r="N242" s="90"/>
    </row>
    <row r="243" s="89" customFormat="true" ht="14.25" hidden="false" customHeight="false" outlineLevel="0" collapsed="false">
      <c r="N243" s="90"/>
    </row>
    <row r="244" s="89" customFormat="true" ht="14.25" hidden="false" customHeight="false" outlineLevel="0" collapsed="false">
      <c r="N244" s="90"/>
    </row>
    <row r="245" s="89" customFormat="true" ht="14.25" hidden="false" customHeight="false" outlineLevel="0" collapsed="false">
      <c r="N245" s="90"/>
    </row>
    <row r="246" s="89" customFormat="true" ht="14.25" hidden="false" customHeight="false" outlineLevel="0" collapsed="false">
      <c r="N246" s="90"/>
    </row>
    <row r="247" s="89" customFormat="true" ht="14.25" hidden="false" customHeight="false" outlineLevel="0" collapsed="false">
      <c r="N247" s="90"/>
    </row>
    <row r="248" s="89" customFormat="true" ht="14.25" hidden="false" customHeight="false" outlineLevel="0" collapsed="false">
      <c r="N248" s="90"/>
    </row>
    <row r="249" s="89" customFormat="true" ht="14.25" hidden="false" customHeight="false" outlineLevel="0" collapsed="false">
      <c r="N249" s="90"/>
    </row>
    <row r="250" s="89" customFormat="true" ht="14.25" hidden="false" customHeight="false" outlineLevel="0" collapsed="false">
      <c r="N250" s="90"/>
    </row>
    <row r="251" s="89" customFormat="true" ht="14.25" hidden="false" customHeight="false" outlineLevel="0" collapsed="false">
      <c r="N251" s="90"/>
    </row>
    <row r="252" s="89" customFormat="true" ht="14.25" hidden="false" customHeight="false" outlineLevel="0" collapsed="false">
      <c r="N252" s="90"/>
    </row>
    <row r="253" s="89" customFormat="true" ht="14.25" hidden="false" customHeight="false" outlineLevel="0" collapsed="false">
      <c r="N253" s="90"/>
    </row>
    <row r="254" s="89" customFormat="true" ht="14.25" hidden="false" customHeight="false" outlineLevel="0" collapsed="false">
      <c r="N254" s="90"/>
    </row>
    <row r="255" s="89" customFormat="true" ht="14.25" hidden="false" customHeight="false" outlineLevel="0" collapsed="false">
      <c r="N255" s="90"/>
    </row>
    <row r="256" s="89" customFormat="true" ht="14.25" hidden="false" customHeight="false" outlineLevel="0" collapsed="false">
      <c r="N256" s="90"/>
    </row>
    <row r="257" s="89" customFormat="true" ht="14.25" hidden="false" customHeight="false" outlineLevel="0" collapsed="false">
      <c r="N257" s="90"/>
    </row>
    <row r="258" s="89" customFormat="true" ht="14.25" hidden="false" customHeight="false" outlineLevel="0" collapsed="false">
      <c r="N258" s="90"/>
    </row>
    <row r="259" s="89" customFormat="true" ht="14.25" hidden="false" customHeight="false" outlineLevel="0" collapsed="false">
      <c r="N259" s="90"/>
    </row>
    <row r="260" s="89" customFormat="true" ht="14.25" hidden="false" customHeight="false" outlineLevel="0" collapsed="false">
      <c r="N260" s="90"/>
    </row>
    <row r="261" s="89" customFormat="true" ht="14.25" hidden="false" customHeight="false" outlineLevel="0" collapsed="false">
      <c r="N261" s="90"/>
    </row>
    <row r="262" s="89" customFormat="true" ht="14.25" hidden="false" customHeight="false" outlineLevel="0" collapsed="false">
      <c r="N262" s="90"/>
    </row>
    <row r="263" s="89" customFormat="true" ht="14.25" hidden="false" customHeight="false" outlineLevel="0" collapsed="false">
      <c r="N263" s="90"/>
    </row>
    <row r="264" s="89" customFormat="true" ht="14.25" hidden="false" customHeight="false" outlineLevel="0" collapsed="false">
      <c r="N264" s="90"/>
    </row>
    <row r="265" s="89" customFormat="true" ht="14.25" hidden="false" customHeight="false" outlineLevel="0" collapsed="false">
      <c r="N265" s="90"/>
    </row>
    <row r="266" s="89" customFormat="true" ht="14.25" hidden="false" customHeight="false" outlineLevel="0" collapsed="false">
      <c r="N266" s="90"/>
    </row>
    <row r="267" s="89" customFormat="true" ht="14.25" hidden="false" customHeight="false" outlineLevel="0" collapsed="false">
      <c r="N267" s="90"/>
    </row>
    <row r="268" s="89" customFormat="true" ht="14.25" hidden="false" customHeight="false" outlineLevel="0" collapsed="false">
      <c r="N268" s="90"/>
    </row>
    <row r="269" s="89" customFormat="true" ht="14.25" hidden="false" customHeight="false" outlineLevel="0" collapsed="false">
      <c r="N269" s="90"/>
    </row>
    <row r="270" s="89" customFormat="true" ht="14.25" hidden="false" customHeight="false" outlineLevel="0" collapsed="false">
      <c r="N270" s="90"/>
    </row>
    <row r="271" s="89" customFormat="true" ht="14.25" hidden="false" customHeight="false" outlineLevel="0" collapsed="false">
      <c r="N271" s="90"/>
    </row>
    <row r="272" s="89" customFormat="true" ht="14.25" hidden="false" customHeight="false" outlineLevel="0" collapsed="false">
      <c r="N272" s="90"/>
    </row>
    <row r="273" s="89" customFormat="true" ht="14.25" hidden="false" customHeight="false" outlineLevel="0" collapsed="false">
      <c r="N273" s="90"/>
    </row>
    <row r="274" s="89" customFormat="true" ht="14.25" hidden="false" customHeight="false" outlineLevel="0" collapsed="false">
      <c r="N274" s="90"/>
    </row>
    <row r="275" s="89" customFormat="true" ht="14.25" hidden="false" customHeight="false" outlineLevel="0" collapsed="false">
      <c r="N275" s="90"/>
    </row>
    <row r="276" s="89" customFormat="true" ht="14.25" hidden="false" customHeight="false" outlineLevel="0" collapsed="false">
      <c r="N276" s="90"/>
    </row>
    <row r="277" s="89" customFormat="true" ht="14.25" hidden="false" customHeight="false" outlineLevel="0" collapsed="false">
      <c r="N277" s="90"/>
    </row>
    <row r="278" s="89" customFormat="true" ht="14.25" hidden="false" customHeight="false" outlineLevel="0" collapsed="false">
      <c r="N278" s="90"/>
    </row>
    <row r="279" s="89" customFormat="true" ht="14.25" hidden="false" customHeight="false" outlineLevel="0" collapsed="false">
      <c r="N279" s="90"/>
    </row>
    <row r="280" s="89" customFormat="true" ht="14.25" hidden="false" customHeight="false" outlineLevel="0" collapsed="false">
      <c r="N280" s="90"/>
    </row>
    <row r="281" s="89" customFormat="true" ht="14.25" hidden="false" customHeight="false" outlineLevel="0" collapsed="false">
      <c r="N281" s="90"/>
    </row>
    <row r="282" s="89" customFormat="true" ht="14.25" hidden="false" customHeight="false" outlineLevel="0" collapsed="false">
      <c r="N282" s="90"/>
    </row>
    <row r="283" s="89" customFormat="true" ht="14.25" hidden="false" customHeight="false" outlineLevel="0" collapsed="false">
      <c r="N283" s="90"/>
    </row>
    <row r="284" s="89" customFormat="true" ht="14.25" hidden="false" customHeight="false" outlineLevel="0" collapsed="false">
      <c r="N284" s="90"/>
    </row>
    <row r="285" s="89" customFormat="true" ht="14.25" hidden="false" customHeight="false" outlineLevel="0" collapsed="false">
      <c r="N285" s="90"/>
    </row>
    <row r="286" s="89" customFormat="true" ht="14.25" hidden="false" customHeight="false" outlineLevel="0" collapsed="false">
      <c r="N286" s="90"/>
    </row>
    <row r="287" s="89" customFormat="true" ht="14.25" hidden="false" customHeight="false" outlineLevel="0" collapsed="false">
      <c r="N287" s="90"/>
    </row>
    <row r="288" s="89" customFormat="true" ht="14.25" hidden="false" customHeight="false" outlineLevel="0" collapsed="false">
      <c r="N288" s="90"/>
    </row>
    <row r="289" s="89" customFormat="true" ht="14.25" hidden="false" customHeight="false" outlineLevel="0" collapsed="false">
      <c r="N289" s="90"/>
    </row>
    <row r="290" s="89" customFormat="true" ht="14.25" hidden="false" customHeight="false" outlineLevel="0" collapsed="false">
      <c r="N290" s="90"/>
    </row>
    <row r="291" s="89" customFormat="true" ht="14.25" hidden="false" customHeight="false" outlineLevel="0" collapsed="false">
      <c r="N291" s="90"/>
    </row>
    <row r="292" s="89" customFormat="true" ht="14.25" hidden="false" customHeight="false" outlineLevel="0" collapsed="false">
      <c r="N292" s="90"/>
    </row>
    <row r="293" s="89" customFormat="true" ht="14.25" hidden="false" customHeight="false" outlineLevel="0" collapsed="false">
      <c r="N293" s="90"/>
    </row>
    <row r="294" s="89" customFormat="true" ht="14.25" hidden="false" customHeight="false" outlineLevel="0" collapsed="false">
      <c r="N294" s="90"/>
    </row>
    <row r="295" s="89" customFormat="true" ht="14.25" hidden="false" customHeight="false" outlineLevel="0" collapsed="false">
      <c r="N295" s="90"/>
    </row>
    <row r="296" s="89" customFormat="true" ht="14.25" hidden="false" customHeight="false" outlineLevel="0" collapsed="false">
      <c r="N296" s="90"/>
    </row>
    <row r="297" s="89" customFormat="true" ht="14.25" hidden="false" customHeight="false" outlineLevel="0" collapsed="false">
      <c r="N297" s="90"/>
    </row>
    <row r="298" s="89" customFormat="true" ht="14.25" hidden="false" customHeight="false" outlineLevel="0" collapsed="false">
      <c r="N298" s="90"/>
    </row>
    <row r="299" s="89" customFormat="true" ht="14.25" hidden="false" customHeight="false" outlineLevel="0" collapsed="false">
      <c r="N299" s="90"/>
    </row>
    <row r="300" s="89" customFormat="true" ht="14.25" hidden="false" customHeight="false" outlineLevel="0" collapsed="false">
      <c r="N300" s="90"/>
    </row>
    <row r="301" s="89" customFormat="true" ht="14.25" hidden="false" customHeight="false" outlineLevel="0" collapsed="false">
      <c r="N301" s="90"/>
    </row>
    <row r="302" s="89" customFormat="true" ht="14.25" hidden="false" customHeight="false" outlineLevel="0" collapsed="false">
      <c r="N302" s="90"/>
    </row>
    <row r="303" s="89" customFormat="true" ht="14.25" hidden="false" customHeight="false" outlineLevel="0" collapsed="false">
      <c r="N303" s="90"/>
    </row>
    <row r="304" s="89" customFormat="true" ht="14.25" hidden="false" customHeight="false" outlineLevel="0" collapsed="false">
      <c r="N304" s="90"/>
    </row>
    <row r="305" s="89" customFormat="true" ht="14.25" hidden="false" customHeight="false" outlineLevel="0" collapsed="false">
      <c r="N305" s="90"/>
    </row>
    <row r="306" s="89" customFormat="true" ht="14.25" hidden="false" customHeight="false" outlineLevel="0" collapsed="false">
      <c r="N306" s="90"/>
    </row>
    <row r="307" s="89" customFormat="true" ht="14.25" hidden="false" customHeight="false" outlineLevel="0" collapsed="false">
      <c r="N307" s="90"/>
    </row>
    <row r="308" s="89" customFormat="true" ht="14.25" hidden="false" customHeight="false" outlineLevel="0" collapsed="false">
      <c r="N308" s="90"/>
    </row>
    <row r="309" s="89" customFormat="true" ht="14.25" hidden="false" customHeight="false" outlineLevel="0" collapsed="false">
      <c r="N309" s="90"/>
    </row>
    <row r="310" s="89" customFormat="true" ht="14.25" hidden="false" customHeight="false" outlineLevel="0" collapsed="false">
      <c r="N310" s="90"/>
    </row>
    <row r="311" s="89" customFormat="true" ht="14.25" hidden="false" customHeight="false" outlineLevel="0" collapsed="false">
      <c r="N311" s="90"/>
    </row>
    <row r="312" s="89" customFormat="true" ht="14.25" hidden="false" customHeight="false" outlineLevel="0" collapsed="false">
      <c r="N312" s="90"/>
    </row>
    <row r="313" s="89" customFormat="true" ht="14.25" hidden="false" customHeight="false" outlineLevel="0" collapsed="false">
      <c r="N313" s="90"/>
    </row>
    <row r="314" s="89" customFormat="true" ht="14.25" hidden="false" customHeight="false" outlineLevel="0" collapsed="false">
      <c r="N314" s="90"/>
    </row>
    <row r="315" s="89" customFormat="true" ht="14.25" hidden="false" customHeight="false" outlineLevel="0" collapsed="false">
      <c r="N315" s="90"/>
    </row>
    <row r="316" s="89" customFormat="true" ht="14.25" hidden="false" customHeight="false" outlineLevel="0" collapsed="false">
      <c r="N316" s="90"/>
    </row>
    <row r="317" s="89" customFormat="true" ht="14.25" hidden="false" customHeight="false" outlineLevel="0" collapsed="false">
      <c r="N317" s="90"/>
    </row>
    <row r="318" s="89" customFormat="true" ht="14.25" hidden="false" customHeight="false" outlineLevel="0" collapsed="false">
      <c r="N318" s="90"/>
    </row>
    <row r="319" s="89" customFormat="true" ht="14.25" hidden="false" customHeight="false" outlineLevel="0" collapsed="false">
      <c r="N319" s="90"/>
    </row>
    <row r="320" s="89" customFormat="true" ht="14.25" hidden="false" customHeight="false" outlineLevel="0" collapsed="false">
      <c r="N320" s="90"/>
    </row>
    <row r="321" s="89" customFormat="true" ht="14.25" hidden="false" customHeight="false" outlineLevel="0" collapsed="false">
      <c r="N321" s="90"/>
    </row>
    <row r="322" s="89" customFormat="true" ht="14.25" hidden="false" customHeight="false" outlineLevel="0" collapsed="false">
      <c r="N322" s="90"/>
    </row>
    <row r="323" s="89" customFormat="true" ht="14.25" hidden="false" customHeight="false" outlineLevel="0" collapsed="false">
      <c r="N323" s="90"/>
    </row>
    <row r="324" s="89" customFormat="true" ht="14.25" hidden="false" customHeight="false" outlineLevel="0" collapsed="false">
      <c r="N324" s="90"/>
    </row>
    <row r="325" s="89" customFormat="true" ht="14.25" hidden="false" customHeight="false" outlineLevel="0" collapsed="false">
      <c r="N325" s="90"/>
    </row>
    <row r="326" s="89" customFormat="true" ht="14.25" hidden="false" customHeight="false" outlineLevel="0" collapsed="false">
      <c r="N326" s="90"/>
    </row>
    <row r="327" s="89" customFormat="true" ht="14.25" hidden="false" customHeight="false" outlineLevel="0" collapsed="false">
      <c r="N327" s="90"/>
    </row>
    <row r="328" s="89" customFormat="true" ht="14.25" hidden="false" customHeight="false" outlineLevel="0" collapsed="false">
      <c r="N328" s="90"/>
    </row>
    <row r="329" s="89" customFormat="true" ht="14.25" hidden="false" customHeight="false" outlineLevel="0" collapsed="false">
      <c r="N329" s="90"/>
    </row>
    <row r="330" s="89" customFormat="true" ht="14.25" hidden="false" customHeight="false" outlineLevel="0" collapsed="false">
      <c r="N330" s="90"/>
    </row>
    <row r="331" s="89" customFormat="true" ht="14.25" hidden="false" customHeight="false" outlineLevel="0" collapsed="false">
      <c r="N331" s="90"/>
    </row>
    <row r="332" s="89" customFormat="true" ht="14.25" hidden="false" customHeight="false" outlineLevel="0" collapsed="false">
      <c r="N332" s="90"/>
    </row>
    <row r="333" s="89" customFormat="true" ht="14.25" hidden="false" customHeight="false" outlineLevel="0" collapsed="false">
      <c r="N333" s="90"/>
    </row>
    <row r="334" s="89" customFormat="true" ht="14.25" hidden="false" customHeight="false" outlineLevel="0" collapsed="false">
      <c r="N334" s="90"/>
    </row>
    <row r="335" s="89" customFormat="true" ht="14.25" hidden="false" customHeight="false" outlineLevel="0" collapsed="false">
      <c r="N335" s="90"/>
    </row>
    <row r="336" s="89" customFormat="true" ht="14.25" hidden="false" customHeight="false" outlineLevel="0" collapsed="false">
      <c r="N336" s="90"/>
    </row>
    <row r="337" s="89" customFormat="true" ht="14.25" hidden="false" customHeight="false" outlineLevel="0" collapsed="false">
      <c r="N337" s="90"/>
    </row>
    <row r="338" s="89" customFormat="true" ht="14.25" hidden="false" customHeight="false" outlineLevel="0" collapsed="false">
      <c r="N338" s="90"/>
    </row>
    <row r="339" s="89" customFormat="true" ht="14.25" hidden="false" customHeight="false" outlineLevel="0" collapsed="false">
      <c r="N339" s="90"/>
    </row>
    <row r="340" s="89" customFormat="true" ht="14.25" hidden="false" customHeight="false" outlineLevel="0" collapsed="false">
      <c r="N340" s="90"/>
    </row>
    <row r="341" s="89" customFormat="true" ht="14.25" hidden="false" customHeight="false" outlineLevel="0" collapsed="false">
      <c r="N341" s="90"/>
    </row>
    <row r="342" s="89" customFormat="true" ht="14.25" hidden="false" customHeight="false" outlineLevel="0" collapsed="false">
      <c r="N342" s="90"/>
    </row>
    <row r="343" s="89" customFormat="true" ht="14.25" hidden="false" customHeight="false" outlineLevel="0" collapsed="false">
      <c r="N343" s="90"/>
    </row>
    <row r="344" s="89" customFormat="true" ht="14.25" hidden="false" customHeight="false" outlineLevel="0" collapsed="false">
      <c r="N344" s="90"/>
    </row>
    <row r="345" s="89" customFormat="true" ht="14.25" hidden="false" customHeight="false" outlineLevel="0" collapsed="false">
      <c r="N345" s="90"/>
    </row>
    <row r="346" s="89" customFormat="true" ht="14.25" hidden="false" customHeight="false" outlineLevel="0" collapsed="false">
      <c r="N346" s="90"/>
    </row>
    <row r="347" s="89" customFormat="true" ht="14.25" hidden="false" customHeight="false" outlineLevel="0" collapsed="false">
      <c r="N347" s="90"/>
    </row>
    <row r="348" s="89" customFormat="true" ht="14.25" hidden="false" customHeight="false" outlineLevel="0" collapsed="false">
      <c r="N348" s="90"/>
    </row>
    <row r="349" s="89" customFormat="true" ht="14.25" hidden="false" customHeight="false" outlineLevel="0" collapsed="false">
      <c r="N349" s="90"/>
    </row>
    <row r="350" s="89" customFormat="true" ht="14.25" hidden="false" customHeight="false" outlineLevel="0" collapsed="false">
      <c r="N350" s="90"/>
    </row>
    <row r="351" s="89" customFormat="true" ht="14.25" hidden="false" customHeight="false" outlineLevel="0" collapsed="false">
      <c r="N351" s="90"/>
    </row>
    <row r="352" s="89" customFormat="true" ht="14.25" hidden="false" customHeight="false" outlineLevel="0" collapsed="false">
      <c r="N352" s="90"/>
    </row>
    <row r="353" s="89" customFormat="true" ht="14.25" hidden="false" customHeight="false" outlineLevel="0" collapsed="false">
      <c r="N353" s="90"/>
    </row>
    <row r="354" s="89" customFormat="true" ht="14.25" hidden="false" customHeight="false" outlineLevel="0" collapsed="false">
      <c r="N354" s="90"/>
    </row>
    <row r="355" s="89" customFormat="true" ht="14.25" hidden="false" customHeight="false" outlineLevel="0" collapsed="false">
      <c r="N355" s="90"/>
    </row>
    <row r="356" s="89" customFormat="true" ht="14.25" hidden="false" customHeight="false" outlineLevel="0" collapsed="false">
      <c r="N356" s="90"/>
    </row>
    <row r="357" s="89" customFormat="true" ht="14.25" hidden="false" customHeight="false" outlineLevel="0" collapsed="false">
      <c r="N357" s="90"/>
    </row>
    <row r="358" s="89" customFormat="true" ht="14.25" hidden="false" customHeight="false" outlineLevel="0" collapsed="false">
      <c r="N358" s="90"/>
    </row>
    <row r="359" s="89" customFormat="true" ht="14.25" hidden="false" customHeight="false" outlineLevel="0" collapsed="false">
      <c r="N359" s="90"/>
    </row>
    <row r="360" s="89" customFormat="true" ht="14.25" hidden="false" customHeight="false" outlineLevel="0" collapsed="false">
      <c r="N360" s="90"/>
    </row>
    <row r="361" s="89" customFormat="true" ht="14.25" hidden="false" customHeight="false" outlineLevel="0" collapsed="false">
      <c r="N361" s="90"/>
    </row>
    <row r="362" s="89" customFormat="true" ht="14.25" hidden="false" customHeight="false" outlineLevel="0" collapsed="false">
      <c r="N362" s="90"/>
    </row>
    <row r="363" s="89" customFormat="true" ht="14.25" hidden="false" customHeight="false" outlineLevel="0" collapsed="false">
      <c r="N363" s="90"/>
    </row>
    <row r="364" s="89" customFormat="true" ht="14.25" hidden="false" customHeight="false" outlineLevel="0" collapsed="false">
      <c r="N364" s="90"/>
    </row>
    <row r="365" s="89" customFormat="true" ht="14.25" hidden="false" customHeight="false" outlineLevel="0" collapsed="false">
      <c r="N365" s="90"/>
    </row>
    <row r="366" s="89" customFormat="true" ht="14.25" hidden="false" customHeight="false" outlineLevel="0" collapsed="false">
      <c r="N366" s="90"/>
    </row>
    <row r="367" s="89" customFormat="true" ht="14.25" hidden="false" customHeight="false" outlineLevel="0" collapsed="false">
      <c r="N367" s="90"/>
    </row>
    <row r="368" s="89" customFormat="true" ht="14.25" hidden="false" customHeight="false" outlineLevel="0" collapsed="false">
      <c r="N368" s="90"/>
    </row>
    <row r="369" s="89" customFormat="true" ht="14.25" hidden="false" customHeight="false" outlineLevel="0" collapsed="false">
      <c r="N369" s="90"/>
    </row>
    <row r="370" s="89" customFormat="true" ht="14.25" hidden="false" customHeight="false" outlineLevel="0" collapsed="false">
      <c r="N370" s="90"/>
    </row>
    <row r="371" s="89" customFormat="true" ht="14.25" hidden="false" customHeight="false" outlineLevel="0" collapsed="false">
      <c r="N371" s="90"/>
    </row>
    <row r="372" s="89" customFormat="true" ht="14.25" hidden="false" customHeight="false" outlineLevel="0" collapsed="false">
      <c r="N372" s="90"/>
    </row>
    <row r="373" s="89" customFormat="true" ht="14.25" hidden="false" customHeight="false" outlineLevel="0" collapsed="false">
      <c r="N373" s="90"/>
    </row>
    <row r="374" s="89" customFormat="true" ht="14.25" hidden="false" customHeight="false" outlineLevel="0" collapsed="false">
      <c r="N374" s="90"/>
    </row>
    <row r="375" s="89" customFormat="true" ht="14.25" hidden="false" customHeight="false" outlineLevel="0" collapsed="false">
      <c r="N375" s="90"/>
    </row>
    <row r="376" s="89" customFormat="true" ht="14.25" hidden="false" customHeight="false" outlineLevel="0" collapsed="false">
      <c r="N376" s="90"/>
    </row>
    <row r="377" s="89" customFormat="true" ht="14.25" hidden="false" customHeight="false" outlineLevel="0" collapsed="false">
      <c r="N377" s="90"/>
    </row>
    <row r="378" s="89" customFormat="true" ht="14.25" hidden="false" customHeight="false" outlineLevel="0" collapsed="false">
      <c r="N378" s="90"/>
    </row>
    <row r="379" s="89" customFormat="true" ht="14.25" hidden="false" customHeight="false" outlineLevel="0" collapsed="false">
      <c r="N379" s="90"/>
    </row>
    <row r="380" s="89" customFormat="true" ht="14.25" hidden="false" customHeight="false" outlineLevel="0" collapsed="false">
      <c r="N380" s="90"/>
    </row>
    <row r="381" s="89" customFormat="true" ht="14.25" hidden="false" customHeight="false" outlineLevel="0" collapsed="false">
      <c r="N381" s="90"/>
    </row>
    <row r="382" s="89" customFormat="true" ht="14.25" hidden="false" customHeight="false" outlineLevel="0" collapsed="false">
      <c r="N382" s="90"/>
    </row>
    <row r="383" s="89" customFormat="true" ht="14.25" hidden="false" customHeight="false" outlineLevel="0" collapsed="false">
      <c r="N383" s="90"/>
    </row>
    <row r="384" s="89" customFormat="true" ht="14.25" hidden="false" customHeight="false" outlineLevel="0" collapsed="false">
      <c r="N384" s="90"/>
    </row>
    <row r="385" s="89" customFormat="true" ht="14.25" hidden="false" customHeight="false" outlineLevel="0" collapsed="false">
      <c r="N385" s="90"/>
    </row>
    <row r="386" s="89" customFormat="true" ht="14.25" hidden="false" customHeight="false" outlineLevel="0" collapsed="false">
      <c r="N386" s="90"/>
    </row>
    <row r="387" s="89" customFormat="true" ht="14.25" hidden="false" customHeight="false" outlineLevel="0" collapsed="false">
      <c r="N387" s="90"/>
    </row>
    <row r="388" s="89" customFormat="true" ht="14.25" hidden="false" customHeight="false" outlineLevel="0" collapsed="false">
      <c r="N388" s="90"/>
    </row>
    <row r="389" s="89" customFormat="true" ht="14.25" hidden="false" customHeight="false" outlineLevel="0" collapsed="false">
      <c r="N389" s="90"/>
    </row>
    <row r="390" s="89" customFormat="true" ht="14.25" hidden="false" customHeight="false" outlineLevel="0" collapsed="false">
      <c r="N390" s="90"/>
    </row>
    <row r="391" s="89" customFormat="true" ht="14.25" hidden="false" customHeight="false" outlineLevel="0" collapsed="false">
      <c r="N391" s="90"/>
    </row>
    <row r="392" s="89" customFormat="true" ht="14.25" hidden="false" customHeight="false" outlineLevel="0" collapsed="false">
      <c r="N392" s="90"/>
    </row>
    <row r="393" s="89" customFormat="true" ht="14.25" hidden="false" customHeight="false" outlineLevel="0" collapsed="false">
      <c r="N393" s="90"/>
    </row>
    <row r="394" s="89" customFormat="true" ht="14.25" hidden="false" customHeight="false" outlineLevel="0" collapsed="false">
      <c r="N394" s="90"/>
    </row>
    <row r="395" s="89" customFormat="true" ht="14.25" hidden="false" customHeight="false" outlineLevel="0" collapsed="false">
      <c r="N395" s="90"/>
    </row>
    <row r="396" s="89" customFormat="true" ht="14.25" hidden="false" customHeight="false" outlineLevel="0" collapsed="false">
      <c r="N396" s="90"/>
    </row>
    <row r="397" s="89" customFormat="true" ht="14.25" hidden="false" customHeight="false" outlineLevel="0" collapsed="false">
      <c r="N397" s="90"/>
    </row>
    <row r="398" s="89" customFormat="true" ht="14.25" hidden="false" customHeight="false" outlineLevel="0" collapsed="false">
      <c r="N398" s="90"/>
    </row>
    <row r="399" s="89" customFormat="true" ht="14.25" hidden="false" customHeight="false" outlineLevel="0" collapsed="false">
      <c r="N399" s="90"/>
    </row>
    <row r="400" s="89" customFormat="true" ht="14.25" hidden="false" customHeight="false" outlineLevel="0" collapsed="false">
      <c r="N400" s="90"/>
    </row>
    <row r="401" s="89" customFormat="true" ht="14.25" hidden="false" customHeight="false" outlineLevel="0" collapsed="false">
      <c r="N401" s="90"/>
    </row>
    <row r="402" s="89" customFormat="true" ht="14.25" hidden="false" customHeight="false" outlineLevel="0" collapsed="false">
      <c r="N402" s="90"/>
    </row>
    <row r="403" s="89" customFormat="true" ht="14.25" hidden="false" customHeight="false" outlineLevel="0" collapsed="false">
      <c r="N403" s="90"/>
    </row>
    <row r="404" s="89" customFormat="true" ht="14.25" hidden="false" customHeight="false" outlineLevel="0" collapsed="false">
      <c r="N404" s="90"/>
    </row>
    <row r="405" s="89" customFormat="true" ht="14.25" hidden="false" customHeight="false" outlineLevel="0" collapsed="false">
      <c r="N405" s="90"/>
    </row>
    <row r="406" s="89" customFormat="true" ht="14.25" hidden="false" customHeight="false" outlineLevel="0" collapsed="false">
      <c r="N406" s="90"/>
    </row>
    <row r="407" s="89" customFormat="true" ht="14.25" hidden="false" customHeight="false" outlineLevel="0" collapsed="false">
      <c r="N407" s="90"/>
    </row>
    <row r="408" s="89" customFormat="true" ht="14.25" hidden="false" customHeight="false" outlineLevel="0" collapsed="false">
      <c r="N408" s="90"/>
    </row>
    <row r="409" s="89" customFormat="true" ht="14.25" hidden="false" customHeight="false" outlineLevel="0" collapsed="false">
      <c r="N409" s="90"/>
    </row>
    <row r="410" s="89" customFormat="true" ht="14.25" hidden="false" customHeight="false" outlineLevel="0" collapsed="false">
      <c r="N410" s="90"/>
    </row>
    <row r="411" s="89" customFormat="true" ht="14.25" hidden="false" customHeight="false" outlineLevel="0" collapsed="false">
      <c r="N411" s="90"/>
    </row>
    <row r="412" s="89" customFormat="true" ht="14.25" hidden="false" customHeight="false" outlineLevel="0" collapsed="false">
      <c r="N412" s="90"/>
    </row>
    <row r="413" s="89" customFormat="true" ht="14.25" hidden="false" customHeight="false" outlineLevel="0" collapsed="false">
      <c r="N413" s="90"/>
    </row>
    <row r="414" s="89" customFormat="true" ht="14.25" hidden="false" customHeight="false" outlineLevel="0" collapsed="false">
      <c r="N414" s="90"/>
    </row>
    <row r="415" s="89" customFormat="true" ht="14.25" hidden="false" customHeight="false" outlineLevel="0" collapsed="false">
      <c r="N415" s="90"/>
    </row>
    <row r="416" s="89" customFormat="true" ht="14.25" hidden="false" customHeight="false" outlineLevel="0" collapsed="false">
      <c r="N416" s="90"/>
    </row>
    <row r="417" s="89" customFormat="true" ht="14.25" hidden="false" customHeight="false" outlineLevel="0" collapsed="false">
      <c r="N417" s="90"/>
    </row>
    <row r="418" s="89" customFormat="true" ht="14.25" hidden="false" customHeight="false" outlineLevel="0" collapsed="false">
      <c r="N418" s="90"/>
    </row>
    <row r="419" s="89" customFormat="true" ht="14.25" hidden="false" customHeight="false" outlineLevel="0" collapsed="false">
      <c r="N419" s="90"/>
    </row>
    <row r="420" s="89" customFormat="true" ht="14.25" hidden="false" customHeight="false" outlineLevel="0" collapsed="false">
      <c r="N420" s="90"/>
    </row>
    <row r="421" s="89" customFormat="true" ht="14.25" hidden="false" customHeight="false" outlineLevel="0" collapsed="false">
      <c r="N421" s="90"/>
    </row>
    <row r="422" s="89" customFormat="true" ht="14.25" hidden="false" customHeight="false" outlineLevel="0" collapsed="false">
      <c r="N422" s="90"/>
    </row>
    <row r="423" s="89" customFormat="true" ht="14.25" hidden="false" customHeight="false" outlineLevel="0" collapsed="false">
      <c r="N423" s="90"/>
    </row>
    <row r="424" s="89" customFormat="true" ht="14.25" hidden="false" customHeight="false" outlineLevel="0" collapsed="false">
      <c r="N424" s="90"/>
    </row>
    <row r="425" s="89" customFormat="true" ht="14.25" hidden="false" customHeight="false" outlineLevel="0" collapsed="false">
      <c r="N425" s="90"/>
    </row>
    <row r="426" s="89" customFormat="true" ht="14.25" hidden="false" customHeight="false" outlineLevel="0" collapsed="false">
      <c r="N426" s="90"/>
    </row>
    <row r="427" s="89" customFormat="true" ht="14.25" hidden="false" customHeight="false" outlineLevel="0" collapsed="false">
      <c r="N427" s="90"/>
    </row>
    <row r="428" s="89" customFormat="true" ht="14.25" hidden="false" customHeight="false" outlineLevel="0" collapsed="false">
      <c r="N428" s="90"/>
    </row>
    <row r="429" s="89" customFormat="true" ht="14.25" hidden="false" customHeight="false" outlineLevel="0" collapsed="false">
      <c r="N429" s="90"/>
    </row>
    <row r="430" s="89" customFormat="true" ht="14.25" hidden="false" customHeight="false" outlineLevel="0" collapsed="false">
      <c r="N430" s="90"/>
    </row>
    <row r="431" s="89" customFormat="true" ht="14.25" hidden="false" customHeight="false" outlineLevel="0" collapsed="false">
      <c r="N431" s="90"/>
    </row>
    <row r="432" s="89" customFormat="true" ht="14.25" hidden="false" customHeight="false" outlineLevel="0" collapsed="false">
      <c r="N432" s="90"/>
    </row>
    <row r="433" s="89" customFormat="true" ht="14.25" hidden="false" customHeight="false" outlineLevel="0" collapsed="false">
      <c r="N433" s="90"/>
    </row>
    <row r="434" s="89" customFormat="true" ht="14.25" hidden="false" customHeight="false" outlineLevel="0" collapsed="false">
      <c r="N434" s="90"/>
    </row>
    <row r="435" s="89" customFormat="true" ht="14.25" hidden="false" customHeight="false" outlineLevel="0" collapsed="false">
      <c r="N435" s="90"/>
    </row>
    <row r="436" s="89" customFormat="true" ht="14.25" hidden="false" customHeight="false" outlineLevel="0" collapsed="false">
      <c r="N436" s="90"/>
    </row>
    <row r="437" s="89" customFormat="true" ht="14.25" hidden="false" customHeight="false" outlineLevel="0" collapsed="false">
      <c r="N437" s="90"/>
    </row>
    <row r="438" s="89" customFormat="true" ht="14.25" hidden="false" customHeight="false" outlineLevel="0" collapsed="false">
      <c r="N438" s="90"/>
    </row>
    <row r="439" s="89" customFormat="true" ht="14.25" hidden="false" customHeight="false" outlineLevel="0" collapsed="false">
      <c r="N439" s="90"/>
    </row>
    <row r="440" s="89" customFormat="true" ht="14.25" hidden="false" customHeight="false" outlineLevel="0" collapsed="false">
      <c r="N440" s="90"/>
    </row>
    <row r="441" s="89" customFormat="true" ht="14.25" hidden="false" customHeight="false" outlineLevel="0" collapsed="false">
      <c r="N441" s="90"/>
    </row>
    <row r="442" s="89" customFormat="true" ht="14.25" hidden="false" customHeight="false" outlineLevel="0" collapsed="false">
      <c r="N442" s="90"/>
    </row>
    <row r="443" s="89" customFormat="true" ht="14.25" hidden="false" customHeight="false" outlineLevel="0" collapsed="false">
      <c r="N443" s="90"/>
    </row>
    <row r="444" s="89" customFormat="true" ht="14.25" hidden="false" customHeight="false" outlineLevel="0" collapsed="false">
      <c r="N444" s="90"/>
    </row>
    <row r="445" s="89" customFormat="true" ht="14.25" hidden="false" customHeight="false" outlineLevel="0" collapsed="false">
      <c r="N445" s="90"/>
    </row>
    <row r="446" s="89" customFormat="true" ht="14.25" hidden="false" customHeight="false" outlineLevel="0" collapsed="false">
      <c r="N446" s="90"/>
    </row>
    <row r="447" s="89" customFormat="true" ht="14.25" hidden="false" customHeight="false" outlineLevel="0" collapsed="false">
      <c r="N447" s="90"/>
    </row>
    <row r="448" s="89" customFormat="true" ht="14.25" hidden="false" customHeight="false" outlineLevel="0" collapsed="false">
      <c r="N448" s="90"/>
    </row>
    <row r="449" s="89" customFormat="true" ht="14.25" hidden="false" customHeight="false" outlineLevel="0" collapsed="false">
      <c r="N449" s="90"/>
    </row>
    <row r="450" s="89" customFormat="true" ht="14.25" hidden="false" customHeight="false" outlineLevel="0" collapsed="false">
      <c r="N450" s="90"/>
    </row>
    <row r="451" s="89" customFormat="true" ht="14.25" hidden="false" customHeight="false" outlineLevel="0" collapsed="false">
      <c r="N451" s="90"/>
    </row>
    <row r="452" s="89" customFormat="true" ht="14.25" hidden="false" customHeight="false" outlineLevel="0" collapsed="false">
      <c r="N452" s="90"/>
    </row>
    <row r="453" s="89" customFormat="true" ht="14.25" hidden="false" customHeight="false" outlineLevel="0" collapsed="false">
      <c r="N453" s="90"/>
    </row>
    <row r="454" s="89" customFormat="true" ht="14.25" hidden="false" customHeight="false" outlineLevel="0" collapsed="false">
      <c r="N454" s="90"/>
    </row>
    <row r="455" s="89" customFormat="true" ht="14.25" hidden="false" customHeight="false" outlineLevel="0" collapsed="false">
      <c r="N455" s="90"/>
    </row>
    <row r="456" s="89" customFormat="true" ht="14.25" hidden="false" customHeight="false" outlineLevel="0" collapsed="false">
      <c r="N456" s="90"/>
    </row>
    <row r="457" s="89" customFormat="true" ht="14.25" hidden="false" customHeight="false" outlineLevel="0" collapsed="false">
      <c r="N457" s="90"/>
    </row>
    <row r="458" s="89" customFormat="true" ht="14.25" hidden="false" customHeight="false" outlineLevel="0" collapsed="false">
      <c r="N458" s="90"/>
    </row>
    <row r="459" s="89" customFormat="true" ht="14.25" hidden="false" customHeight="false" outlineLevel="0" collapsed="false">
      <c r="N459" s="90"/>
    </row>
    <row r="460" s="89" customFormat="true" ht="14.25" hidden="false" customHeight="false" outlineLevel="0" collapsed="false">
      <c r="N460" s="90"/>
    </row>
    <row r="461" s="89" customFormat="true" ht="14.25" hidden="false" customHeight="false" outlineLevel="0" collapsed="false">
      <c r="N461" s="90"/>
    </row>
    <row r="462" s="89" customFormat="true" ht="14.25" hidden="false" customHeight="false" outlineLevel="0" collapsed="false">
      <c r="N462" s="90"/>
    </row>
    <row r="463" s="89" customFormat="true" ht="14.25" hidden="false" customHeight="false" outlineLevel="0" collapsed="false">
      <c r="N463" s="90"/>
    </row>
    <row r="464" s="89" customFormat="true" ht="14.25" hidden="false" customHeight="false" outlineLevel="0" collapsed="false">
      <c r="N464" s="90"/>
    </row>
    <row r="465" s="89" customFormat="true" ht="14.25" hidden="false" customHeight="false" outlineLevel="0" collapsed="false">
      <c r="N465" s="90"/>
    </row>
    <row r="466" s="89" customFormat="true" ht="14.25" hidden="false" customHeight="false" outlineLevel="0" collapsed="false">
      <c r="N466" s="90"/>
    </row>
    <row r="467" s="89" customFormat="true" ht="14.25" hidden="false" customHeight="false" outlineLevel="0" collapsed="false">
      <c r="N467" s="90"/>
    </row>
    <row r="468" s="89" customFormat="true" ht="14.25" hidden="false" customHeight="false" outlineLevel="0" collapsed="false">
      <c r="N468" s="90"/>
    </row>
    <row r="469" s="89" customFormat="true" ht="14.25" hidden="false" customHeight="false" outlineLevel="0" collapsed="false">
      <c r="N469" s="90"/>
    </row>
    <row r="470" s="89" customFormat="true" ht="14.25" hidden="false" customHeight="false" outlineLevel="0" collapsed="false">
      <c r="N470" s="90"/>
    </row>
    <row r="471" s="89" customFormat="true" ht="14.25" hidden="false" customHeight="false" outlineLevel="0" collapsed="false">
      <c r="N471" s="90"/>
    </row>
    <row r="472" s="89" customFormat="true" ht="14.25" hidden="false" customHeight="false" outlineLevel="0" collapsed="false">
      <c r="N472" s="90"/>
    </row>
    <row r="473" s="89" customFormat="true" ht="14.25" hidden="false" customHeight="false" outlineLevel="0" collapsed="false">
      <c r="N473" s="90"/>
    </row>
    <row r="474" s="89" customFormat="true" ht="14.25" hidden="false" customHeight="false" outlineLevel="0" collapsed="false">
      <c r="N474" s="90"/>
    </row>
    <row r="475" s="89" customFormat="true" ht="14.25" hidden="false" customHeight="false" outlineLevel="0" collapsed="false">
      <c r="N475" s="90"/>
    </row>
    <row r="476" s="89" customFormat="true" ht="14.25" hidden="false" customHeight="false" outlineLevel="0" collapsed="false">
      <c r="N476" s="90"/>
    </row>
    <row r="477" s="89" customFormat="true" ht="14.25" hidden="false" customHeight="false" outlineLevel="0" collapsed="false">
      <c r="N477" s="90"/>
    </row>
    <row r="478" s="89" customFormat="true" ht="14.25" hidden="false" customHeight="false" outlineLevel="0" collapsed="false">
      <c r="N478" s="90"/>
    </row>
    <row r="479" s="89" customFormat="true" ht="14.25" hidden="false" customHeight="false" outlineLevel="0" collapsed="false">
      <c r="N479" s="90"/>
    </row>
    <row r="480" s="89" customFormat="true" ht="14.25" hidden="false" customHeight="false" outlineLevel="0" collapsed="false">
      <c r="N480" s="90"/>
    </row>
    <row r="481" s="89" customFormat="true" ht="14.25" hidden="false" customHeight="false" outlineLevel="0" collapsed="false">
      <c r="N481" s="90"/>
    </row>
    <row r="482" s="89" customFormat="true" ht="14.25" hidden="false" customHeight="false" outlineLevel="0" collapsed="false">
      <c r="N482" s="90"/>
    </row>
    <row r="483" s="89" customFormat="true" ht="14.25" hidden="false" customHeight="false" outlineLevel="0" collapsed="false">
      <c r="N483" s="90"/>
    </row>
    <row r="484" s="89" customFormat="true" ht="14.25" hidden="false" customHeight="false" outlineLevel="0" collapsed="false">
      <c r="N484" s="90"/>
    </row>
    <row r="485" s="89" customFormat="true" ht="14.25" hidden="false" customHeight="false" outlineLevel="0" collapsed="false">
      <c r="N485" s="90"/>
    </row>
    <row r="486" s="89" customFormat="true" ht="14.25" hidden="false" customHeight="false" outlineLevel="0" collapsed="false">
      <c r="N486" s="90"/>
    </row>
    <row r="487" s="89" customFormat="true" ht="14.25" hidden="false" customHeight="false" outlineLevel="0" collapsed="false">
      <c r="N487" s="90"/>
    </row>
    <row r="488" s="89" customFormat="true" ht="14.25" hidden="false" customHeight="false" outlineLevel="0" collapsed="false">
      <c r="N488" s="90"/>
    </row>
    <row r="489" s="89" customFormat="true" ht="14.25" hidden="false" customHeight="false" outlineLevel="0" collapsed="false">
      <c r="N489" s="90"/>
    </row>
    <row r="490" s="89" customFormat="true" ht="14.25" hidden="false" customHeight="false" outlineLevel="0" collapsed="false">
      <c r="N490" s="90"/>
    </row>
    <row r="491" s="89" customFormat="true" ht="14.25" hidden="false" customHeight="false" outlineLevel="0" collapsed="false">
      <c r="N491" s="90"/>
    </row>
    <row r="492" s="89" customFormat="true" ht="14.25" hidden="false" customHeight="false" outlineLevel="0" collapsed="false">
      <c r="N492" s="90"/>
    </row>
    <row r="493" s="89" customFormat="true" ht="14.25" hidden="false" customHeight="false" outlineLevel="0" collapsed="false">
      <c r="N493" s="90"/>
    </row>
    <row r="494" s="89" customFormat="true" ht="14.25" hidden="false" customHeight="false" outlineLevel="0" collapsed="false">
      <c r="N494" s="90"/>
    </row>
    <row r="495" s="89" customFormat="true" ht="14.25" hidden="false" customHeight="false" outlineLevel="0" collapsed="false">
      <c r="N495" s="90"/>
    </row>
    <row r="496" s="89" customFormat="true" ht="14.25" hidden="false" customHeight="false" outlineLevel="0" collapsed="false">
      <c r="N496" s="90"/>
    </row>
    <row r="497" s="89" customFormat="true" ht="14.25" hidden="false" customHeight="false" outlineLevel="0" collapsed="false">
      <c r="N497" s="90"/>
    </row>
    <row r="498" s="89" customFormat="true" ht="14.25" hidden="false" customHeight="false" outlineLevel="0" collapsed="false">
      <c r="N498" s="90"/>
    </row>
    <row r="499" s="89" customFormat="true" ht="14.25" hidden="false" customHeight="false" outlineLevel="0" collapsed="false">
      <c r="N499" s="90"/>
    </row>
    <row r="500" s="89" customFormat="true" ht="14.25" hidden="false" customHeight="false" outlineLevel="0" collapsed="false">
      <c r="N500" s="90"/>
    </row>
    <row r="501" s="89" customFormat="true" ht="14.25" hidden="false" customHeight="false" outlineLevel="0" collapsed="false">
      <c r="N501" s="90"/>
    </row>
    <row r="502" s="89" customFormat="true" ht="14.25" hidden="false" customHeight="false" outlineLevel="0" collapsed="false">
      <c r="N502" s="90"/>
    </row>
    <row r="503" s="89" customFormat="true" ht="14.25" hidden="false" customHeight="false" outlineLevel="0" collapsed="false">
      <c r="N503" s="90"/>
    </row>
    <row r="504" s="89" customFormat="true" ht="14.25" hidden="false" customHeight="false" outlineLevel="0" collapsed="false">
      <c r="N504" s="90"/>
    </row>
    <row r="505" s="89" customFormat="true" ht="14.25" hidden="false" customHeight="false" outlineLevel="0" collapsed="false">
      <c r="N505" s="90"/>
    </row>
    <row r="506" s="89" customFormat="true" ht="14.25" hidden="false" customHeight="false" outlineLevel="0" collapsed="false">
      <c r="N506" s="90"/>
    </row>
    <row r="507" s="89" customFormat="true" ht="14.25" hidden="false" customHeight="false" outlineLevel="0" collapsed="false">
      <c r="N507" s="90"/>
    </row>
    <row r="508" s="89" customFormat="true" ht="14.25" hidden="false" customHeight="false" outlineLevel="0" collapsed="false">
      <c r="N508" s="90"/>
    </row>
    <row r="509" s="89" customFormat="true" ht="14.25" hidden="false" customHeight="false" outlineLevel="0" collapsed="false">
      <c r="N509" s="90"/>
    </row>
    <row r="510" s="89" customFormat="true" ht="14.25" hidden="false" customHeight="false" outlineLevel="0" collapsed="false">
      <c r="N510" s="90"/>
    </row>
    <row r="511" s="89" customFormat="true" ht="14.25" hidden="false" customHeight="false" outlineLevel="0" collapsed="false">
      <c r="N511" s="90"/>
    </row>
    <row r="512" s="89" customFormat="true" ht="14.25" hidden="false" customHeight="false" outlineLevel="0" collapsed="false">
      <c r="N512" s="90"/>
    </row>
    <row r="513" s="89" customFormat="true" ht="14.25" hidden="false" customHeight="false" outlineLevel="0" collapsed="false">
      <c r="N513" s="90"/>
    </row>
    <row r="514" s="89" customFormat="true" ht="14.25" hidden="false" customHeight="false" outlineLevel="0" collapsed="false">
      <c r="N514" s="90"/>
    </row>
    <row r="515" s="89" customFormat="true" ht="14.25" hidden="false" customHeight="false" outlineLevel="0" collapsed="false">
      <c r="N515" s="90"/>
    </row>
    <row r="516" s="89" customFormat="true" ht="14.25" hidden="false" customHeight="false" outlineLevel="0" collapsed="false">
      <c r="N516" s="90"/>
    </row>
    <row r="517" s="89" customFormat="true" ht="14.25" hidden="false" customHeight="false" outlineLevel="0" collapsed="false">
      <c r="N517" s="90"/>
    </row>
    <row r="518" s="89" customFormat="true" ht="14.25" hidden="false" customHeight="false" outlineLevel="0" collapsed="false">
      <c r="N518" s="90"/>
    </row>
    <row r="519" s="89" customFormat="true" ht="14.25" hidden="false" customHeight="false" outlineLevel="0" collapsed="false">
      <c r="N519" s="90"/>
    </row>
    <row r="520" s="89" customFormat="true" ht="14.25" hidden="false" customHeight="false" outlineLevel="0" collapsed="false">
      <c r="N520" s="90"/>
    </row>
    <row r="521" s="89" customFormat="true" ht="14.25" hidden="false" customHeight="false" outlineLevel="0" collapsed="false">
      <c r="N521" s="90"/>
    </row>
    <row r="522" s="89" customFormat="true" ht="14.25" hidden="false" customHeight="false" outlineLevel="0" collapsed="false">
      <c r="N522" s="90"/>
    </row>
    <row r="523" s="89" customFormat="true" ht="14.25" hidden="false" customHeight="false" outlineLevel="0" collapsed="false">
      <c r="N523" s="90"/>
    </row>
    <row r="524" s="89" customFormat="true" ht="14.25" hidden="false" customHeight="false" outlineLevel="0" collapsed="false">
      <c r="N524" s="90"/>
    </row>
    <row r="525" s="89" customFormat="true" ht="14.25" hidden="false" customHeight="false" outlineLevel="0" collapsed="false">
      <c r="N525" s="90"/>
    </row>
    <row r="526" s="89" customFormat="true" ht="14.25" hidden="false" customHeight="false" outlineLevel="0" collapsed="false">
      <c r="N526" s="90"/>
    </row>
    <row r="527" s="89" customFormat="true" ht="14.25" hidden="false" customHeight="false" outlineLevel="0" collapsed="false">
      <c r="N527" s="90"/>
    </row>
    <row r="528" s="89" customFormat="true" ht="14.25" hidden="false" customHeight="false" outlineLevel="0" collapsed="false">
      <c r="N528" s="90"/>
    </row>
    <row r="529" s="89" customFormat="true" ht="14.25" hidden="false" customHeight="false" outlineLevel="0" collapsed="false">
      <c r="N529" s="90"/>
    </row>
    <row r="530" s="89" customFormat="true" ht="14.25" hidden="false" customHeight="false" outlineLevel="0" collapsed="false">
      <c r="N530" s="90"/>
    </row>
    <row r="531" s="89" customFormat="true" ht="14.25" hidden="false" customHeight="false" outlineLevel="0" collapsed="false">
      <c r="N531" s="90"/>
    </row>
    <row r="532" s="89" customFormat="true" ht="14.25" hidden="false" customHeight="false" outlineLevel="0" collapsed="false">
      <c r="N532" s="90"/>
    </row>
    <row r="533" s="89" customFormat="true" ht="14.25" hidden="false" customHeight="false" outlineLevel="0" collapsed="false">
      <c r="N533" s="90"/>
    </row>
    <row r="534" s="89" customFormat="true" ht="14.25" hidden="false" customHeight="false" outlineLevel="0" collapsed="false">
      <c r="N534" s="90"/>
    </row>
    <row r="535" s="89" customFormat="true" ht="14.25" hidden="false" customHeight="false" outlineLevel="0" collapsed="false">
      <c r="N535" s="90"/>
    </row>
    <row r="536" s="89" customFormat="true" ht="14.25" hidden="false" customHeight="false" outlineLevel="0" collapsed="false">
      <c r="N536" s="90"/>
    </row>
    <row r="537" s="89" customFormat="true" ht="14.25" hidden="false" customHeight="false" outlineLevel="0" collapsed="false">
      <c r="N537" s="90"/>
    </row>
    <row r="538" s="89" customFormat="true" ht="14.25" hidden="false" customHeight="false" outlineLevel="0" collapsed="false">
      <c r="N538" s="90"/>
    </row>
    <row r="539" s="89" customFormat="true" ht="14.25" hidden="false" customHeight="false" outlineLevel="0" collapsed="false">
      <c r="N539" s="90"/>
    </row>
    <row r="540" s="89" customFormat="true" ht="14.25" hidden="false" customHeight="false" outlineLevel="0" collapsed="false">
      <c r="N540" s="90"/>
    </row>
    <row r="541" s="89" customFormat="true" ht="14.25" hidden="false" customHeight="false" outlineLevel="0" collapsed="false">
      <c r="N541" s="90"/>
    </row>
    <row r="542" s="89" customFormat="true" ht="14.25" hidden="false" customHeight="false" outlineLevel="0" collapsed="false">
      <c r="N542" s="90"/>
    </row>
    <row r="543" s="89" customFormat="true" ht="14.25" hidden="false" customHeight="false" outlineLevel="0" collapsed="false">
      <c r="N543" s="90"/>
    </row>
    <row r="544" s="89" customFormat="true" ht="14.25" hidden="false" customHeight="false" outlineLevel="0" collapsed="false">
      <c r="N544" s="90"/>
    </row>
    <row r="545" s="89" customFormat="true" ht="14.25" hidden="false" customHeight="false" outlineLevel="0" collapsed="false">
      <c r="N545" s="90"/>
    </row>
    <row r="546" s="89" customFormat="true" ht="14.25" hidden="false" customHeight="false" outlineLevel="0" collapsed="false">
      <c r="N546" s="90"/>
    </row>
    <row r="547" s="89" customFormat="true" ht="14.25" hidden="false" customHeight="false" outlineLevel="0" collapsed="false">
      <c r="N547" s="90"/>
    </row>
    <row r="548" s="89" customFormat="true" ht="14.25" hidden="false" customHeight="false" outlineLevel="0" collapsed="false">
      <c r="N548" s="90"/>
    </row>
    <row r="549" s="89" customFormat="true" ht="14.25" hidden="false" customHeight="false" outlineLevel="0" collapsed="false">
      <c r="N549" s="90"/>
    </row>
    <row r="550" s="89" customFormat="true" ht="14.25" hidden="false" customHeight="false" outlineLevel="0" collapsed="false">
      <c r="N550" s="90"/>
    </row>
    <row r="551" s="89" customFormat="true" ht="14.25" hidden="false" customHeight="false" outlineLevel="0" collapsed="false">
      <c r="N551" s="90"/>
    </row>
    <row r="552" s="89" customFormat="true" ht="14.25" hidden="false" customHeight="false" outlineLevel="0" collapsed="false">
      <c r="N552" s="90"/>
    </row>
    <row r="553" s="89" customFormat="true" ht="14.25" hidden="false" customHeight="false" outlineLevel="0" collapsed="false">
      <c r="N553" s="90"/>
    </row>
    <row r="554" s="89" customFormat="true" ht="14.25" hidden="false" customHeight="false" outlineLevel="0" collapsed="false">
      <c r="N554" s="90"/>
    </row>
    <row r="555" s="89" customFormat="true" ht="14.25" hidden="false" customHeight="false" outlineLevel="0" collapsed="false">
      <c r="N555" s="90"/>
    </row>
    <row r="556" s="89" customFormat="true" ht="14.25" hidden="false" customHeight="false" outlineLevel="0" collapsed="false">
      <c r="N556" s="90"/>
    </row>
    <row r="557" s="89" customFormat="true" ht="14.25" hidden="false" customHeight="false" outlineLevel="0" collapsed="false">
      <c r="N557" s="90"/>
    </row>
    <row r="558" s="89" customFormat="true" ht="14.25" hidden="false" customHeight="false" outlineLevel="0" collapsed="false">
      <c r="N558" s="90"/>
    </row>
    <row r="559" s="89" customFormat="true" ht="14.25" hidden="false" customHeight="false" outlineLevel="0" collapsed="false">
      <c r="N559" s="90"/>
    </row>
    <row r="560" s="89" customFormat="true" ht="14.25" hidden="false" customHeight="false" outlineLevel="0" collapsed="false">
      <c r="N560" s="90"/>
    </row>
    <row r="561" s="89" customFormat="true" ht="14.25" hidden="false" customHeight="false" outlineLevel="0" collapsed="false">
      <c r="N561" s="90"/>
    </row>
    <row r="562" s="89" customFormat="true" ht="14.25" hidden="false" customHeight="false" outlineLevel="0" collapsed="false">
      <c r="N562" s="90"/>
    </row>
    <row r="563" s="89" customFormat="true" ht="14.25" hidden="false" customHeight="false" outlineLevel="0" collapsed="false">
      <c r="N563" s="90"/>
    </row>
    <row r="564" s="89" customFormat="true" ht="14.25" hidden="false" customHeight="false" outlineLevel="0" collapsed="false">
      <c r="N564" s="90"/>
    </row>
    <row r="565" s="89" customFormat="true" ht="14.25" hidden="false" customHeight="false" outlineLevel="0" collapsed="false">
      <c r="N565" s="90"/>
    </row>
    <row r="566" s="89" customFormat="true" ht="14.25" hidden="false" customHeight="false" outlineLevel="0" collapsed="false">
      <c r="N566" s="90"/>
    </row>
    <row r="567" s="89" customFormat="true" ht="14.25" hidden="false" customHeight="false" outlineLevel="0" collapsed="false">
      <c r="N567" s="90"/>
    </row>
    <row r="568" s="89" customFormat="true" ht="14.25" hidden="false" customHeight="false" outlineLevel="0" collapsed="false">
      <c r="N568" s="90"/>
    </row>
    <row r="569" s="89" customFormat="true" ht="14.25" hidden="false" customHeight="false" outlineLevel="0" collapsed="false">
      <c r="N569" s="90"/>
    </row>
    <row r="570" s="89" customFormat="true" ht="14.25" hidden="false" customHeight="false" outlineLevel="0" collapsed="false">
      <c r="N570" s="90"/>
    </row>
    <row r="571" s="89" customFormat="true" ht="14.25" hidden="false" customHeight="false" outlineLevel="0" collapsed="false">
      <c r="N571" s="90"/>
    </row>
    <row r="572" s="89" customFormat="true" ht="14.25" hidden="false" customHeight="false" outlineLevel="0" collapsed="false">
      <c r="N572" s="90"/>
    </row>
    <row r="573" s="89" customFormat="true" ht="14.25" hidden="false" customHeight="false" outlineLevel="0" collapsed="false">
      <c r="N573" s="90"/>
    </row>
    <row r="574" s="89" customFormat="true" ht="14.25" hidden="false" customHeight="false" outlineLevel="0" collapsed="false">
      <c r="N574" s="90"/>
    </row>
    <row r="575" s="89" customFormat="true" ht="14.25" hidden="false" customHeight="false" outlineLevel="0" collapsed="false">
      <c r="N575" s="90"/>
    </row>
    <row r="576" s="89" customFormat="true" ht="14.25" hidden="false" customHeight="false" outlineLevel="0" collapsed="false">
      <c r="N576" s="90"/>
    </row>
    <row r="577" s="89" customFormat="true" ht="14.25" hidden="false" customHeight="false" outlineLevel="0" collapsed="false">
      <c r="N577" s="90"/>
    </row>
    <row r="578" s="89" customFormat="true" ht="14.25" hidden="false" customHeight="false" outlineLevel="0" collapsed="false">
      <c r="N578" s="90"/>
    </row>
    <row r="579" s="89" customFormat="true" ht="14.25" hidden="false" customHeight="false" outlineLevel="0" collapsed="false">
      <c r="N579" s="90"/>
    </row>
    <row r="580" s="89" customFormat="true" ht="14.25" hidden="false" customHeight="false" outlineLevel="0" collapsed="false">
      <c r="N580" s="90"/>
    </row>
    <row r="581" s="89" customFormat="true" ht="14.25" hidden="false" customHeight="false" outlineLevel="0" collapsed="false">
      <c r="N581" s="90"/>
    </row>
    <row r="582" s="89" customFormat="true" ht="14.25" hidden="false" customHeight="false" outlineLevel="0" collapsed="false">
      <c r="N582" s="90"/>
    </row>
    <row r="583" s="89" customFormat="true" ht="14.25" hidden="false" customHeight="false" outlineLevel="0" collapsed="false">
      <c r="N583" s="90"/>
    </row>
    <row r="584" s="89" customFormat="true" ht="14.25" hidden="false" customHeight="false" outlineLevel="0" collapsed="false">
      <c r="N584" s="90"/>
    </row>
    <row r="585" s="89" customFormat="true" ht="14.25" hidden="false" customHeight="false" outlineLevel="0" collapsed="false">
      <c r="N585" s="90"/>
    </row>
    <row r="586" s="89" customFormat="true" ht="14.25" hidden="false" customHeight="false" outlineLevel="0" collapsed="false">
      <c r="N586" s="90"/>
    </row>
    <row r="587" s="89" customFormat="true" ht="14.25" hidden="false" customHeight="false" outlineLevel="0" collapsed="false">
      <c r="N587" s="90"/>
    </row>
    <row r="588" s="89" customFormat="true" ht="14.25" hidden="false" customHeight="false" outlineLevel="0" collapsed="false">
      <c r="N588" s="90"/>
    </row>
    <row r="589" s="89" customFormat="true" ht="14.25" hidden="false" customHeight="false" outlineLevel="0" collapsed="false">
      <c r="N589" s="90"/>
    </row>
    <row r="590" s="89" customFormat="true" ht="14.25" hidden="false" customHeight="false" outlineLevel="0" collapsed="false">
      <c r="N590" s="90"/>
    </row>
    <row r="591" s="89" customFormat="true" ht="14.25" hidden="false" customHeight="false" outlineLevel="0" collapsed="false">
      <c r="N591" s="90"/>
    </row>
    <row r="592" s="89" customFormat="true" ht="14.25" hidden="false" customHeight="false" outlineLevel="0" collapsed="false">
      <c r="N592" s="90"/>
    </row>
    <row r="593" s="89" customFormat="true" ht="14.25" hidden="false" customHeight="false" outlineLevel="0" collapsed="false">
      <c r="N593" s="90"/>
    </row>
    <row r="594" s="89" customFormat="true" ht="14.25" hidden="false" customHeight="false" outlineLevel="0" collapsed="false">
      <c r="N594" s="90"/>
    </row>
    <row r="595" s="89" customFormat="true" ht="14.25" hidden="false" customHeight="false" outlineLevel="0" collapsed="false">
      <c r="N595" s="90"/>
    </row>
    <row r="596" s="89" customFormat="true" ht="14.25" hidden="false" customHeight="false" outlineLevel="0" collapsed="false">
      <c r="N596" s="90"/>
    </row>
    <row r="597" s="89" customFormat="true" ht="14.25" hidden="false" customHeight="false" outlineLevel="0" collapsed="false">
      <c r="N597" s="90"/>
    </row>
    <row r="598" s="89" customFormat="true" ht="14.25" hidden="false" customHeight="false" outlineLevel="0" collapsed="false">
      <c r="N598" s="90"/>
    </row>
    <row r="599" s="89" customFormat="true" ht="14.25" hidden="false" customHeight="false" outlineLevel="0" collapsed="false">
      <c r="N599" s="90"/>
    </row>
    <row r="600" s="89" customFormat="true" ht="14.25" hidden="false" customHeight="false" outlineLevel="0" collapsed="false">
      <c r="N600" s="90"/>
    </row>
    <row r="601" s="89" customFormat="true" ht="14.25" hidden="false" customHeight="false" outlineLevel="0" collapsed="false">
      <c r="N601" s="90"/>
    </row>
    <row r="602" s="89" customFormat="true" ht="14.25" hidden="false" customHeight="false" outlineLevel="0" collapsed="false">
      <c r="N602" s="90"/>
    </row>
    <row r="603" s="89" customFormat="true" ht="14.25" hidden="false" customHeight="false" outlineLevel="0" collapsed="false">
      <c r="N603" s="90"/>
    </row>
    <row r="604" s="89" customFormat="true" ht="14.25" hidden="false" customHeight="false" outlineLevel="0" collapsed="false">
      <c r="N604" s="90"/>
    </row>
    <row r="605" s="89" customFormat="true" ht="14.25" hidden="false" customHeight="false" outlineLevel="0" collapsed="false">
      <c r="N605" s="90"/>
    </row>
    <row r="606" s="89" customFormat="true" ht="14.25" hidden="false" customHeight="false" outlineLevel="0" collapsed="false">
      <c r="N606" s="90"/>
    </row>
    <row r="607" s="89" customFormat="true" ht="14.25" hidden="false" customHeight="false" outlineLevel="0" collapsed="false">
      <c r="N607" s="90"/>
    </row>
    <row r="608" s="89" customFormat="true" ht="14.25" hidden="false" customHeight="false" outlineLevel="0" collapsed="false">
      <c r="N608" s="90"/>
    </row>
    <row r="609" s="89" customFormat="true" ht="14.25" hidden="false" customHeight="false" outlineLevel="0" collapsed="false">
      <c r="N609" s="90"/>
    </row>
    <row r="610" s="89" customFormat="true" ht="14.25" hidden="false" customHeight="false" outlineLevel="0" collapsed="false">
      <c r="N610" s="90"/>
    </row>
    <row r="611" s="89" customFormat="true" ht="14.25" hidden="false" customHeight="false" outlineLevel="0" collapsed="false">
      <c r="N611" s="90"/>
    </row>
    <row r="612" s="89" customFormat="true" ht="14.25" hidden="false" customHeight="false" outlineLevel="0" collapsed="false">
      <c r="N612" s="90"/>
    </row>
    <row r="613" s="89" customFormat="true" ht="14.25" hidden="false" customHeight="false" outlineLevel="0" collapsed="false">
      <c r="N613" s="90"/>
    </row>
    <row r="614" s="89" customFormat="true" ht="14.25" hidden="false" customHeight="false" outlineLevel="0" collapsed="false">
      <c r="N614" s="90"/>
    </row>
    <row r="615" s="89" customFormat="true" ht="14.25" hidden="false" customHeight="false" outlineLevel="0" collapsed="false">
      <c r="N615" s="90"/>
    </row>
    <row r="616" s="89" customFormat="true" ht="14.25" hidden="false" customHeight="false" outlineLevel="0" collapsed="false">
      <c r="N616" s="90"/>
    </row>
    <row r="617" s="89" customFormat="true" ht="14.25" hidden="false" customHeight="false" outlineLevel="0" collapsed="false">
      <c r="N617" s="90"/>
    </row>
    <row r="618" s="89" customFormat="true" ht="14.25" hidden="false" customHeight="false" outlineLevel="0" collapsed="false">
      <c r="N618" s="90"/>
    </row>
    <row r="619" s="89" customFormat="true" ht="14.25" hidden="false" customHeight="false" outlineLevel="0" collapsed="false">
      <c r="N619" s="90"/>
    </row>
    <row r="620" s="89" customFormat="true" ht="14.25" hidden="false" customHeight="false" outlineLevel="0" collapsed="false">
      <c r="N620" s="90"/>
    </row>
    <row r="621" s="89" customFormat="true" ht="14.25" hidden="false" customHeight="false" outlineLevel="0" collapsed="false">
      <c r="N621" s="90"/>
    </row>
    <row r="622" s="89" customFormat="true" ht="14.25" hidden="false" customHeight="false" outlineLevel="0" collapsed="false">
      <c r="N622" s="90"/>
    </row>
    <row r="623" s="89" customFormat="true" ht="14.25" hidden="false" customHeight="false" outlineLevel="0" collapsed="false">
      <c r="N623" s="90"/>
    </row>
    <row r="624" s="89" customFormat="true" ht="14.25" hidden="false" customHeight="false" outlineLevel="0" collapsed="false">
      <c r="N624" s="90"/>
    </row>
    <row r="625" s="89" customFormat="true" ht="14.25" hidden="false" customHeight="false" outlineLevel="0" collapsed="false">
      <c r="N625" s="90"/>
    </row>
    <row r="626" s="89" customFormat="true" ht="14.25" hidden="false" customHeight="false" outlineLevel="0" collapsed="false">
      <c r="N626" s="90"/>
    </row>
    <row r="627" s="89" customFormat="true" ht="14.25" hidden="false" customHeight="false" outlineLevel="0" collapsed="false">
      <c r="N627" s="90"/>
    </row>
    <row r="628" s="89" customFormat="true" ht="14.25" hidden="false" customHeight="false" outlineLevel="0" collapsed="false">
      <c r="N628" s="90"/>
    </row>
    <row r="629" s="89" customFormat="true" ht="14.25" hidden="false" customHeight="false" outlineLevel="0" collapsed="false">
      <c r="N629" s="90"/>
    </row>
    <row r="630" s="89" customFormat="true" ht="14.25" hidden="false" customHeight="false" outlineLevel="0" collapsed="false">
      <c r="N630" s="90"/>
    </row>
    <row r="631" s="89" customFormat="true" ht="14.25" hidden="false" customHeight="false" outlineLevel="0" collapsed="false">
      <c r="N631" s="90"/>
    </row>
    <row r="632" s="89" customFormat="true" ht="14.25" hidden="false" customHeight="false" outlineLevel="0" collapsed="false">
      <c r="N632" s="90"/>
    </row>
    <row r="633" s="89" customFormat="true" ht="14.25" hidden="false" customHeight="false" outlineLevel="0" collapsed="false">
      <c r="N633" s="90"/>
    </row>
    <row r="634" s="89" customFormat="true" ht="14.25" hidden="false" customHeight="false" outlineLevel="0" collapsed="false">
      <c r="N634" s="90"/>
    </row>
    <row r="635" s="89" customFormat="true" ht="14.25" hidden="false" customHeight="false" outlineLevel="0" collapsed="false">
      <c r="N635" s="90"/>
    </row>
    <row r="636" s="89" customFormat="true" ht="14.25" hidden="false" customHeight="false" outlineLevel="0" collapsed="false">
      <c r="N636" s="90"/>
    </row>
    <row r="637" s="89" customFormat="true" ht="14.25" hidden="false" customHeight="false" outlineLevel="0" collapsed="false">
      <c r="N637" s="90"/>
    </row>
    <row r="638" s="89" customFormat="true" ht="14.25" hidden="false" customHeight="false" outlineLevel="0" collapsed="false">
      <c r="N638" s="90"/>
    </row>
    <row r="639" s="89" customFormat="true" ht="14.25" hidden="false" customHeight="false" outlineLevel="0" collapsed="false">
      <c r="N639" s="90"/>
    </row>
    <row r="640" s="89" customFormat="true" ht="14.25" hidden="false" customHeight="false" outlineLevel="0" collapsed="false">
      <c r="N640" s="90"/>
    </row>
    <row r="641" s="89" customFormat="true" ht="14.25" hidden="false" customHeight="false" outlineLevel="0" collapsed="false">
      <c r="N641" s="90"/>
    </row>
    <row r="642" s="89" customFormat="true" ht="14.25" hidden="false" customHeight="false" outlineLevel="0" collapsed="false">
      <c r="N642" s="90"/>
    </row>
    <row r="643" s="89" customFormat="true" ht="14.25" hidden="false" customHeight="false" outlineLevel="0" collapsed="false">
      <c r="N643" s="90"/>
    </row>
    <row r="644" s="89" customFormat="true" ht="14.25" hidden="false" customHeight="false" outlineLevel="0" collapsed="false">
      <c r="N644" s="90"/>
    </row>
    <row r="645" s="89" customFormat="true" ht="14.25" hidden="false" customHeight="false" outlineLevel="0" collapsed="false">
      <c r="N645" s="90"/>
    </row>
    <row r="646" s="89" customFormat="true" ht="14.25" hidden="false" customHeight="false" outlineLevel="0" collapsed="false">
      <c r="N646" s="90"/>
    </row>
    <row r="647" s="89" customFormat="true" ht="14.25" hidden="false" customHeight="false" outlineLevel="0" collapsed="false">
      <c r="N647" s="90"/>
    </row>
    <row r="648" s="89" customFormat="true" ht="14.25" hidden="false" customHeight="false" outlineLevel="0" collapsed="false">
      <c r="N648" s="90"/>
    </row>
    <row r="649" s="89" customFormat="true" ht="14.25" hidden="false" customHeight="false" outlineLevel="0" collapsed="false">
      <c r="N649" s="90"/>
    </row>
    <row r="650" s="89" customFormat="true" ht="14.25" hidden="false" customHeight="false" outlineLevel="0" collapsed="false">
      <c r="N650" s="90"/>
    </row>
    <row r="651" s="89" customFormat="true" ht="14.25" hidden="false" customHeight="false" outlineLevel="0" collapsed="false">
      <c r="N651" s="90"/>
    </row>
    <row r="652" s="89" customFormat="true" ht="14.25" hidden="false" customHeight="false" outlineLevel="0" collapsed="false">
      <c r="N652" s="90"/>
    </row>
    <row r="653" s="89" customFormat="true" ht="14.25" hidden="false" customHeight="false" outlineLevel="0" collapsed="false">
      <c r="N653" s="90"/>
    </row>
    <row r="654" s="89" customFormat="true" ht="14.25" hidden="false" customHeight="false" outlineLevel="0" collapsed="false">
      <c r="N654" s="90"/>
    </row>
    <row r="655" s="89" customFormat="true" ht="14.25" hidden="false" customHeight="false" outlineLevel="0" collapsed="false">
      <c r="N655" s="90"/>
    </row>
    <row r="656" s="89" customFormat="true" ht="14.25" hidden="false" customHeight="false" outlineLevel="0" collapsed="false">
      <c r="N656" s="90"/>
    </row>
    <row r="657" s="89" customFormat="true" ht="14.25" hidden="false" customHeight="false" outlineLevel="0" collapsed="false">
      <c r="N657" s="90"/>
    </row>
    <row r="658" s="89" customFormat="true" ht="14.25" hidden="false" customHeight="false" outlineLevel="0" collapsed="false">
      <c r="N658" s="90"/>
    </row>
    <row r="659" s="89" customFormat="true" ht="14.25" hidden="false" customHeight="false" outlineLevel="0" collapsed="false">
      <c r="N659" s="90"/>
    </row>
    <row r="660" s="89" customFormat="true" ht="14.25" hidden="false" customHeight="false" outlineLevel="0" collapsed="false">
      <c r="N660" s="90"/>
    </row>
    <row r="661" s="89" customFormat="true" ht="14.25" hidden="false" customHeight="false" outlineLevel="0" collapsed="false">
      <c r="N661" s="90"/>
    </row>
    <row r="662" s="89" customFormat="true" ht="14.25" hidden="false" customHeight="false" outlineLevel="0" collapsed="false">
      <c r="N662" s="90"/>
    </row>
    <row r="663" s="89" customFormat="true" ht="14.25" hidden="false" customHeight="false" outlineLevel="0" collapsed="false">
      <c r="N663" s="90"/>
    </row>
    <row r="664" s="89" customFormat="true" ht="14.25" hidden="false" customHeight="false" outlineLevel="0" collapsed="false">
      <c r="N664" s="90"/>
    </row>
    <row r="665" s="89" customFormat="true" ht="14.25" hidden="false" customHeight="false" outlineLevel="0" collapsed="false">
      <c r="N665" s="90"/>
    </row>
    <row r="666" s="89" customFormat="true" ht="14.25" hidden="false" customHeight="false" outlineLevel="0" collapsed="false">
      <c r="N666" s="90"/>
    </row>
    <row r="667" s="89" customFormat="true" ht="14.25" hidden="false" customHeight="false" outlineLevel="0" collapsed="false">
      <c r="N667" s="90"/>
    </row>
    <row r="668" s="89" customFormat="true" ht="14.25" hidden="false" customHeight="false" outlineLevel="0" collapsed="false">
      <c r="N668" s="90"/>
    </row>
    <row r="669" s="89" customFormat="true" ht="14.25" hidden="false" customHeight="false" outlineLevel="0" collapsed="false">
      <c r="N669" s="90"/>
    </row>
    <row r="670" s="89" customFormat="true" ht="14.25" hidden="false" customHeight="false" outlineLevel="0" collapsed="false">
      <c r="N670" s="90"/>
    </row>
    <row r="671" s="89" customFormat="true" ht="14.25" hidden="false" customHeight="false" outlineLevel="0" collapsed="false">
      <c r="N671" s="90"/>
    </row>
    <row r="672" s="89" customFormat="true" ht="14.25" hidden="false" customHeight="false" outlineLevel="0" collapsed="false">
      <c r="N672" s="90"/>
    </row>
    <row r="673" s="89" customFormat="true" ht="14.25" hidden="false" customHeight="false" outlineLevel="0" collapsed="false">
      <c r="N673" s="90"/>
    </row>
    <row r="674" s="89" customFormat="true" ht="14.25" hidden="false" customHeight="false" outlineLevel="0" collapsed="false">
      <c r="N674" s="90"/>
    </row>
    <row r="675" s="89" customFormat="true" ht="14.25" hidden="false" customHeight="false" outlineLevel="0" collapsed="false">
      <c r="N675" s="90"/>
    </row>
    <row r="676" s="89" customFormat="true" ht="14.25" hidden="false" customHeight="false" outlineLevel="0" collapsed="false">
      <c r="N676" s="90"/>
    </row>
    <row r="677" s="89" customFormat="true" ht="14.25" hidden="false" customHeight="false" outlineLevel="0" collapsed="false">
      <c r="N677" s="90"/>
    </row>
    <row r="678" s="89" customFormat="true" ht="14.25" hidden="false" customHeight="false" outlineLevel="0" collapsed="false">
      <c r="N678" s="90"/>
    </row>
    <row r="679" s="89" customFormat="true" ht="14.25" hidden="false" customHeight="false" outlineLevel="0" collapsed="false">
      <c r="N679" s="90"/>
    </row>
    <row r="680" s="89" customFormat="true" ht="14.25" hidden="false" customHeight="false" outlineLevel="0" collapsed="false">
      <c r="N680" s="90"/>
    </row>
    <row r="681" s="89" customFormat="true" ht="14.25" hidden="false" customHeight="false" outlineLevel="0" collapsed="false">
      <c r="N681" s="90"/>
    </row>
    <row r="682" s="89" customFormat="true" ht="14.25" hidden="false" customHeight="false" outlineLevel="0" collapsed="false">
      <c r="N682" s="90"/>
    </row>
    <row r="683" s="89" customFormat="true" ht="14.25" hidden="false" customHeight="false" outlineLevel="0" collapsed="false">
      <c r="N683" s="90"/>
    </row>
    <row r="684" s="89" customFormat="true" ht="14.25" hidden="false" customHeight="false" outlineLevel="0" collapsed="false">
      <c r="N684" s="90"/>
    </row>
    <row r="685" s="89" customFormat="true" ht="14.25" hidden="false" customHeight="false" outlineLevel="0" collapsed="false">
      <c r="N685" s="90"/>
    </row>
    <row r="686" s="89" customFormat="true" ht="14.25" hidden="false" customHeight="false" outlineLevel="0" collapsed="false">
      <c r="N686" s="90"/>
    </row>
    <row r="687" s="89" customFormat="true" ht="14.25" hidden="false" customHeight="false" outlineLevel="0" collapsed="false">
      <c r="N687" s="90"/>
    </row>
    <row r="688" s="89" customFormat="true" ht="14.25" hidden="false" customHeight="false" outlineLevel="0" collapsed="false">
      <c r="N688" s="90"/>
    </row>
    <row r="689" s="89" customFormat="true" ht="14.25" hidden="false" customHeight="false" outlineLevel="0" collapsed="false">
      <c r="N689" s="90"/>
    </row>
    <row r="690" s="89" customFormat="true" ht="14.25" hidden="false" customHeight="false" outlineLevel="0" collapsed="false">
      <c r="N690" s="90"/>
    </row>
    <row r="691" s="89" customFormat="true" ht="14.25" hidden="false" customHeight="false" outlineLevel="0" collapsed="false">
      <c r="N691" s="90"/>
    </row>
    <row r="692" s="89" customFormat="true" ht="14.25" hidden="false" customHeight="false" outlineLevel="0" collapsed="false">
      <c r="N692" s="90"/>
    </row>
    <row r="693" s="89" customFormat="true" ht="14.25" hidden="false" customHeight="false" outlineLevel="0" collapsed="false">
      <c r="N693" s="90"/>
    </row>
    <row r="694" s="89" customFormat="true" ht="14.25" hidden="false" customHeight="false" outlineLevel="0" collapsed="false">
      <c r="N694" s="90"/>
    </row>
    <row r="695" s="89" customFormat="true" ht="14.25" hidden="false" customHeight="false" outlineLevel="0" collapsed="false">
      <c r="N695" s="90"/>
    </row>
    <row r="696" s="89" customFormat="true" ht="14.25" hidden="false" customHeight="false" outlineLevel="0" collapsed="false">
      <c r="N696" s="90"/>
    </row>
    <row r="697" s="89" customFormat="true" ht="14.25" hidden="false" customHeight="false" outlineLevel="0" collapsed="false">
      <c r="N697" s="90"/>
    </row>
    <row r="698" s="89" customFormat="true" ht="14.25" hidden="false" customHeight="false" outlineLevel="0" collapsed="false">
      <c r="N698" s="90"/>
    </row>
    <row r="699" s="89" customFormat="true" ht="14.25" hidden="false" customHeight="false" outlineLevel="0" collapsed="false">
      <c r="N699" s="90"/>
    </row>
    <row r="700" s="89" customFormat="true" ht="14.25" hidden="false" customHeight="false" outlineLevel="0" collapsed="false">
      <c r="N700" s="90"/>
    </row>
    <row r="701" s="89" customFormat="true" ht="14.25" hidden="false" customHeight="false" outlineLevel="0" collapsed="false">
      <c r="N701" s="90"/>
    </row>
    <row r="702" s="89" customFormat="true" ht="14.25" hidden="false" customHeight="false" outlineLevel="0" collapsed="false">
      <c r="N702" s="90"/>
    </row>
    <row r="703" s="89" customFormat="true" ht="14.25" hidden="false" customHeight="false" outlineLevel="0" collapsed="false">
      <c r="N703" s="90"/>
    </row>
    <row r="704" s="89" customFormat="true" ht="14.25" hidden="false" customHeight="false" outlineLevel="0" collapsed="false">
      <c r="N704" s="90"/>
    </row>
    <row r="705" s="89" customFormat="true" ht="14.25" hidden="false" customHeight="false" outlineLevel="0" collapsed="false">
      <c r="N705" s="90"/>
    </row>
    <row r="706" s="89" customFormat="true" ht="14.25" hidden="false" customHeight="false" outlineLevel="0" collapsed="false">
      <c r="N706" s="90"/>
    </row>
    <row r="707" s="89" customFormat="true" ht="14.25" hidden="false" customHeight="false" outlineLevel="0" collapsed="false">
      <c r="N707" s="90"/>
    </row>
    <row r="708" s="89" customFormat="true" ht="14.25" hidden="false" customHeight="false" outlineLevel="0" collapsed="false">
      <c r="N708" s="90"/>
    </row>
    <row r="709" s="89" customFormat="true" ht="14.25" hidden="false" customHeight="false" outlineLevel="0" collapsed="false">
      <c r="N709" s="90"/>
    </row>
    <row r="710" s="89" customFormat="true" ht="14.25" hidden="false" customHeight="false" outlineLevel="0" collapsed="false">
      <c r="N710" s="90"/>
    </row>
    <row r="711" s="89" customFormat="true" ht="14.25" hidden="false" customHeight="false" outlineLevel="0" collapsed="false">
      <c r="N711" s="90"/>
    </row>
    <row r="712" s="89" customFormat="true" ht="14.25" hidden="false" customHeight="false" outlineLevel="0" collapsed="false">
      <c r="N712" s="90"/>
    </row>
    <row r="713" s="89" customFormat="true" ht="14.25" hidden="false" customHeight="false" outlineLevel="0" collapsed="false">
      <c r="N713" s="90"/>
    </row>
    <row r="714" s="89" customFormat="true" ht="14.25" hidden="false" customHeight="false" outlineLevel="0" collapsed="false">
      <c r="N714" s="90"/>
    </row>
    <row r="715" s="89" customFormat="true" ht="14.25" hidden="false" customHeight="false" outlineLevel="0" collapsed="false">
      <c r="N715" s="90"/>
    </row>
    <row r="716" s="89" customFormat="true" ht="14.25" hidden="false" customHeight="false" outlineLevel="0" collapsed="false">
      <c r="N716" s="90"/>
    </row>
    <row r="717" s="89" customFormat="true" ht="14.25" hidden="false" customHeight="false" outlineLevel="0" collapsed="false">
      <c r="N717" s="90"/>
    </row>
    <row r="718" s="89" customFormat="true" ht="14.25" hidden="false" customHeight="false" outlineLevel="0" collapsed="false">
      <c r="N718" s="90"/>
    </row>
    <row r="719" s="89" customFormat="true" ht="14.25" hidden="false" customHeight="false" outlineLevel="0" collapsed="false">
      <c r="N719" s="90"/>
    </row>
    <row r="720" s="89" customFormat="true" ht="14.25" hidden="false" customHeight="false" outlineLevel="0" collapsed="false">
      <c r="N720" s="90"/>
    </row>
    <row r="721" s="89" customFormat="true" ht="14.25" hidden="false" customHeight="false" outlineLevel="0" collapsed="false">
      <c r="N721" s="90"/>
    </row>
    <row r="722" s="89" customFormat="true" ht="14.25" hidden="false" customHeight="false" outlineLevel="0" collapsed="false">
      <c r="N722" s="90"/>
    </row>
    <row r="723" s="89" customFormat="true" ht="14.25" hidden="false" customHeight="false" outlineLevel="0" collapsed="false">
      <c r="N723" s="90"/>
    </row>
    <row r="724" s="89" customFormat="true" ht="14.25" hidden="false" customHeight="false" outlineLevel="0" collapsed="false">
      <c r="N724" s="90"/>
    </row>
    <row r="725" s="89" customFormat="true" ht="14.25" hidden="false" customHeight="false" outlineLevel="0" collapsed="false">
      <c r="N725" s="90"/>
    </row>
    <row r="726" s="89" customFormat="true" ht="14.25" hidden="false" customHeight="false" outlineLevel="0" collapsed="false">
      <c r="N726" s="90"/>
    </row>
    <row r="727" s="89" customFormat="true" ht="14.25" hidden="false" customHeight="false" outlineLevel="0" collapsed="false">
      <c r="N727" s="90"/>
    </row>
    <row r="728" s="89" customFormat="true" ht="14.25" hidden="false" customHeight="false" outlineLevel="0" collapsed="false">
      <c r="N728" s="90"/>
    </row>
    <row r="729" s="89" customFormat="true" ht="14.25" hidden="false" customHeight="false" outlineLevel="0" collapsed="false">
      <c r="N729" s="90"/>
    </row>
    <row r="730" s="89" customFormat="true" ht="14.25" hidden="false" customHeight="false" outlineLevel="0" collapsed="false">
      <c r="N730" s="90"/>
    </row>
    <row r="731" s="89" customFormat="true" ht="14.25" hidden="false" customHeight="false" outlineLevel="0" collapsed="false">
      <c r="N731" s="90"/>
    </row>
    <row r="732" s="89" customFormat="true" ht="14.25" hidden="false" customHeight="false" outlineLevel="0" collapsed="false">
      <c r="N732" s="90"/>
    </row>
    <row r="733" s="89" customFormat="true" ht="14.25" hidden="false" customHeight="false" outlineLevel="0" collapsed="false">
      <c r="N733" s="90"/>
    </row>
    <row r="734" s="89" customFormat="true" ht="14.25" hidden="false" customHeight="false" outlineLevel="0" collapsed="false">
      <c r="N734" s="90"/>
    </row>
    <row r="735" s="89" customFormat="true" ht="14.25" hidden="false" customHeight="false" outlineLevel="0" collapsed="false">
      <c r="N735" s="90"/>
    </row>
    <row r="736" s="89" customFormat="true" ht="14.25" hidden="false" customHeight="false" outlineLevel="0" collapsed="false">
      <c r="N736" s="90"/>
    </row>
    <row r="737" s="89" customFormat="true" ht="14.25" hidden="false" customHeight="false" outlineLevel="0" collapsed="false">
      <c r="N737" s="90"/>
    </row>
    <row r="738" s="89" customFormat="true" ht="14.25" hidden="false" customHeight="false" outlineLevel="0" collapsed="false">
      <c r="N738" s="90"/>
    </row>
    <row r="739" s="89" customFormat="true" ht="14.25" hidden="false" customHeight="false" outlineLevel="0" collapsed="false">
      <c r="N739" s="90"/>
    </row>
    <row r="740" s="89" customFormat="true" ht="14.25" hidden="false" customHeight="false" outlineLevel="0" collapsed="false">
      <c r="N740" s="90"/>
    </row>
    <row r="741" s="89" customFormat="true" ht="14.25" hidden="false" customHeight="false" outlineLevel="0" collapsed="false">
      <c r="N741" s="90"/>
    </row>
    <row r="742" s="89" customFormat="true" ht="14.25" hidden="false" customHeight="false" outlineLevel="0" collapsed="false">
      <c r="N742" s="90"/>
    </row>
    <row r="743" s="89" customFormat="true" ht="14.25" hidden="false" customHeight="false" outlineLevel="0" collapsed="false">
      <c r="N743" s="90"/>
    </row>
    <row r="744" s="89" customFormat="true" ht="14.25" hidden="false" customHeight="false" outlineLevel="0" collapsed="false">
      <c r="N744" s="90"/>
    </row>
    <row r="745" s="89" customFormat="true" ht="14.25" hidden="false" customHeight="false" outlineLevel="0" collapsed="false">
      <c r="N745" s="90"/>
    </row>
    <row r="746" s="89" customFormat="true" ht="14.25" hidden="false" customHeight="false" outlineLevel="0" collapsed="false">
      <c r="N746" s="90"/>
    </row>
    <row r="747" s="89" customFormat="true" ht="14.25" hidden="false" customHeight="false" outlineLevel="0" collapsed="false">
      <c r="N747" s="90"/>
    </row>
    <row r="748" s="89" customFormat="true" ht="14.25" hidden="false" customHeight="false" outlineLevel="0" collapsed="false">
      <c r="N748" s="90"/>
    </row>
    <row r="749" s="89" customFormat="true" ht="14.25" hidden="false" customHeight="false" outlineLevel="0" collapsed="false">
      <c r="N749" s="90"/>
    </row>
    <row r="750" s="89" customFormat="true" ht="14.25" hidden="false" customHeight="false" outlineLevel="0" collapsed="false">
      <c r="N750" s="90"/>
    </row>
    <row r="751" s="89" customFormat="true" ht="14.25" hidden="false" customHeight="false" outlineLevel="0" collapsed="false">
      <c r="N751" s="90"/>
    </row>
    <row r="752" s="89" customFormat="true" ht="14.25" hidden="false" customHeight="false" outlineLevel="0" collapsed="false">
      <c r="N752" s="90"/>
    </row>
    <row r="753" s="89" customFormat="true" ht="14.25" hidden="false" customHeight="false" outlineLevel="0" collapsed="false">
      <c r="N753" s="90"/>
    </row>
    <row r="754" s="89" customFormat="true" ht="14.25" hidden="false" customHeight="false" outlineLevel="0" collapsed="false">
      <c r="N754" s="90"/>
    </row>
    <row r="755" s="89" customFormat="true" ht="14.25" hidden="false" customHeight="false" outlineLevel="0" collapsed="false">
      <c r="N755" s="90"/>
    </row>
    <row r="756" s="89" customFormat="true" ht="14.25" hidden="false" customHeight="false" outlineLevel="0" collapsed="false">
      <c r="N756" s="90"/>
    </row>
    <row r="757" s="89" customFormat="true" ht="14.25" hidden="false" customHeight="false" outlineLevel="0" collapsed="false">
      <c r="N757" s="90"/>
    </row>
    <row r="758" s="89" customFormat="true" ht="14.25" hidden="false" customHeight="false" outlineLevel="0" collapsed="false">
      <c r="N758" s="90"/>
    </row>
    <row r="759" s="89" customFormat="true" ht="14.25" hidden="false" customHeight="false" outlineLevel="0" collapsed="false">
      <c r="N759" s="90"/>
    </row>
    <row r="760" s="89" customFormat="true" ht="14.25" hidden="false" customHeight="false" outlineLevel="0" collapsed="false">
      <c r="N760" s="90"/>
    </row>
    <row r="761" s="89" customFormat="true" ht="14.25" hidden="false" customHeight="false" outlineLevel="0" collapsed="false">
      <c r="N761" s="90"/>
    </row>
    <row r="762" s="89" customFormat="true" ht="14.25" hidden="false" customHeight="false" outlineLevel="0" collapsed="false">
      <c r="N762" s="90"/>
    </row>
    <row r="763" s="89" customFormat="true" ht="14.25" hidden="false" customHeight="false" outlineLevel="0" collapsed="false">
      <c r="N763" s="90"/>
    </row>
    <row r="764" s="89" customFormat="true" ht="14.25" hidden="false" customHeight="false" outlineLevel="0" collapsed="false">
      <c r="N764" s="90"/>
    </row>
    <row r="765" s="89" customFormat="true" ht="14.25" hidden="false" customHeight="false" outlineLevel="0" collapsed="false">
      <c r="N765" s="90"/>
    </row>
    <row r="766" s="89" customFormat="true" ht="14.25" hidden="false" customHeight="false" outlineLevel="0" collapsed="false">
      <c r="N766" s="90"/>
    </row>
    <row r="767" s="89" customFormat="true" ht="14.25" hidden="false" customHeight="false" outlineLevel="0" collapsed="false">
      <c r="N767" s="90"/>
    </row>
    <row r="768" s="89" customFormat="true" ht="14.25" hidden="false" customHeight="false" outlineLevel="0" collapsed="false">
      <c r="N768" s="90"/>
    </row>
    <row r="769" s="89" customFormat="true" ht="14.25" hidden="false" customHeight="false" outlineLevel="0" collapsed="false">
      <c r="N769" s="90"/>
    </row>
    <row r="770" s="89" customFormat="true" ht="14.25" hidden="false" customHeight="false" outlineLevel="0" collapsed="false">
      <c r="N770" s="90"/>
    </row>
    <row r="771" s="89" customFormat="true" ht="14.25" hidden="false" customHeight="false" outlineLevel="0" collapsed="false">
      <c r="N771" s="90"/>
    </row>
    <row r="772" s="89" customFormat="true" ht="14.25" hidden="false" customHeight="false" outlineLevel="0" collapsed="false">
      <c r="N772" s="90"/>
    </row>
    <row r="773" s="89" customFormat="true" ht="14.25" hidden="false" customHeight="false" outlineLevel="0" collapsed="false">
      <c r="N773" s="90"/>
    </row>
    <row r="774" s="89" customFormat="true" ht="14.25" hidden="false" customHeight="false" outlineLevel="0" collapsed="false">
      <c r="N774" s="90"/>
    </row>
    <row r="775" s="89" customFormat="true" ht="14.25" hidden="false" customHeight="false" outlineLevel="0" collapsed="false">
      <c r="N775" s="90"/>
    </row>
    <row r="776" s="89" customFormat="true" ht="14.25" hidden="false" customHeight="false" outlineLevel="0" collapsed="false">
      <c r="N776" s="90"/>
    </row>
    <row r="777" s="89" customFormat="true" ht="14.25" hidden="false" customHeight="false" outlineLevel="0" collapsed="false">
      <c r="N777" s="90"/>
    </row>
    <row r="778" s="89" customFormat="true" ht="14.25" hidden="false" customHeight="false" outlineLevel="0" collapsed="false">
      <c r="N778" s="90"/>
    </row>
    <row r="779" s="89" customFormat="true" ht="14.25" hidden="false" customHeight="false" outlineLevel="0" collapsed="false">
      <c r="N779" s="90"/>
    </row>
    <row r="780" s="89" customFormat="true" ht="14.25" hidden="false" customHeight="false" outlineLevel="0" collapsed="false">
      <c r="N780" s="90"/>
    </row>
    <row r="781" s="89" customFormat="true" ht="14.25" hidden="false" customHeight="false" outlineLevel="0" collapsed="false">
      <c r="N781" s="90"/>
    </row>
    <row r="782" s="89" customFormat="true" ht="14.25" hidden="false" customHeight="false" outlineLevel="0" collapsed="false">
      <c r="N782" s="90"/>
    </row>
    <row r="783" s="89" customFormat="true" ht="14.25" hidden="false" customHeight="false" outlineLevel="0" collapsed="false">
      <c r="N783" s="90"/>
    </row>
    <row r="784" s="89" customFormat="true" ht="14.25" hidden="false" customHeight="false" outlineLevel="0" collapsed="false">
      <c r="N784" s="90"/>
    </row>
    <row r="785" s="89" customFormat="true" ht="14.25" hidden="false" customHeight="false" outlineLevel="0" collapsed="false">
      <c r="N785" s="90"/>
    </row>
    <row r="786" s="89" customFormat="true" ht="14.25" hidden="false" customHeight="false" outlineLevel="0" collapsed="false">
      <c r="N786" s="90"/>
    </row>
    <row r="787" s="89" customFormat="true" ht="14.25" hidden="false" customHeight="false" outlineLevel="0" collapsed="false">
      <c r="N787" s="90"/>
    </row>
    <row r="788" s="89" customFormat="true" ht="14.25" hidden="false" customHeight="false" outlineLevel="0" collapsed="false">
      <c r="N788" s="90"/>
    </row>
    <row r="789" s="89" customFormat="true" ht="14.25" hidden="false" customHeight="false" outlineLevel="0" collapsed="false">
      <c r="N789" s="90"/>
    </row>
    <row r="790" s="89" customFormat="true" ht="14.25" hidden="false" customHeight="false" outlineLevel="0" collapsed="false">
      <c r="N790" s="90"/>
    </row>
    <row r="791" s="89" customFormat="true" ht="14.25" hidden="false" customHeight="false" outlineLevel="0" collapsed="false">
      <c r="N791" s="90"/>
    </row>
    <row r="792" s="89" customFormat="true" ht="14.25" hidden="false" customHeight="false" outlineLevel="0" collapsed="false">
      <c r="N792" s="90"/>
    </row>
    <row r="793" s="89" customFormat="true" ht="14.25" hidden="false" customHeight="false" outlineLevel="0" collapsed="false">
      <c r="N793" s="90"/>
    </row>
    <row r="794" s="89" customFormat="true" ht="14.25" hidden="false" customHeight="false" outlineLevel="0" collapsed="false">
      <c r="N794" s="90"/>
    </row>
    <row r="795" s="89" customFormat="true" ht="14.25" hidden="false" customHeight="false" outlineLevel="0" collapsed="false">
      <c r="N795" s="90"/>
    </row>
    <row r="796" s="89" customFormat="true" ht="14.25" hidden="false" customHeight="false" outlineLevel="0" collapsed="false">
      <c r="N796" s="90"/>
    </row>
    <row r="797" s="89" customFormat="true" ht="14.25" hidden="false" customHeight="false" outlineLevel="0" collapsed="false">
      <c r="N797" s="90"/>
    </row>
    <row r="798" s="89" customFormat="true" ht="14.25" hidden="false" customHeight="false" outlineLevel="0" collapsed="false">
      <c r="N798" s="90"/>
    </row>
    <row r="799" s="89" customFormat="true" ht="14.25" hidden="false" customHeight="false" outlineLevel="0" collapsed="false">
      <c r="N799" s="90"/>
    </row>
    <row r="800" s="89" customFormat="true" ht="14.25" hidden="false" customHeight="false" outlineLevel="0" collapsed="false">
      <c r="N800" s="90"/>
    </row>
    <row r="801" s="89" customFormat="true" ht="14.25" hidden="false" customHeight="false" outlineLevel="0" collapsed="false">
      <c r="N801" s="90"/>
    </row>
    <row r="802" s="89" customFormat="true" ht="14.25" hidden="false" customHeight="false" outlineLevel="0" collapsed="false">
      <c r="N802" s="90"/>
    </row>
    <row r="803" s="89" customFormat="true" ht="14.25" hidden="false" customHeight="false" outlineLevel="0" collapsed="false">
      <c r="N803" s="90"/>
    </row>
    <row r="804" s="89" customFormat="true" ht="14.25" hidden="false" customHeight="false" outlineLevel="0" collapsed="false">
      <c r="N804" s="90"/>
    </row>
    <row r="805" s="89" customFormat="true" ht="14.25" hidden="false" customHeight="false" outlineLevel="0" collapsed="false">
      <c r="N805" s="90"/>
    </row>
    <row r="806" s="89" customFormat="true" ht="14.25" hidden="false" customHeight="false" outlineLevel="0" collapsed="false">
      <c r="N806" s="90"/>
    </row>
    <row r="807" s="89" customFormat="true" ht="14.25" hidden="false" customHeight="false" outlineLevel="0" collapsed="false">
      <c r="N807" s="90"/>
    </row>
    <row r="808" s="89" customFormat="true" ht="14.25" hidden="false" customHeight="false" outlineLevel="0" collapsed="false">
      <c r="N808" s="90"/>
    </row>
    <row r="809" s="89" customFormat="true" ht="14.25" hidden="false" customHeight="false" outlineLevel="0" collapsed="false">
      <c r="N809" s="90"/>
    </row>
    <row r="810" s="89" customFormat="true" ht="14.25" hidden="false" customHeight="false" outlineLevel="0" collapsed="false">
      <c r="N810" s="90"/>
    </row>
    <row r="811" s="89" customFormat="true" ht="14.25" hidden="false" customHeight="false" outlineLevel="0" collapsed="false">
      <c r="N811" s="90"/>
    </row>
    <row r="812" s="89" customFormat="true" ht="14.25" hidden="false" customHeight="false" outlineLevel="0" collapsed="false">
      <c r="N812" s="90"/>
    </row>
    <row r="813" s="89" customFormat="true" ht="14.25" hidden="false" customHeight="false" outlineLevel="0" collapsed="false">
      <c r="N813" s="90"/>
    </row>
    <row r="814" s="89" customFormat="true" ht="14.25" hidden="false" customHeight="false" outlineLevel="0" collapsed="false">
      <c r="N814" s="90"/>
    </row>
    <row r="815" s="89" customFormat="true" ht="14.25" hidden="false" customHeight="false" outlineLevel="0" collapsed="false">
      <c r="N815" s="90"/>
    </row>
    <row r="816" s="89" customFormat="true" ht="14.25" hidden="false" customHeight="false" outlineLevel="0" collapsed="false">
      <c r="N816" s="90"/>
    </row>
    <row r="817" s="89" customFormat="true" ht="14.25" hidden="false" customHeight="false" outlineLevel="0" collapsed="false">
      <c r="N817" s="90"/>
    </row>
    <row r="818" s="89" customFormat="true" ht="14.25" hidden="false" customHeight="false" outlineLevel="0" collapsed="false">
      <c r="N818" s="90"/>
    </row>
    <row r="819" s="89" customFormat="true" ht="14.25" hidden="false" customHeight="false" outlineLevel="0" collapsed="false">
      <c r="N819" s="90"/>
    </row>
    <row r="820" s="89" customFormat="true" ht="14.25" hidden="false" customHeight="false" outlineLevel="0" collapsed="false">
      <c r="N820" s="90"/>
    </row>
    <row r="821" s="89" customFormat="true" ht="14.25" hidden="false" customHeight="false" outlineLevel="0" collapsed="false">
      <c r="N821" s="90"/>
    </row>
    <row r="822" s="89" customFormat="true" ht="14.25" hidden="false" customHeight="false" outlineLevel="0" collapsed="false">
      <c r="N822" s="90"/>
    </row>
    <row r="823" s="89" customFormat="true" ht="14.25" hidden="false" customHeight="false" outlineLevel="0" collapsed="false">
      <c r="N823" s="90"/>
    </row>
    <row r="824" s="89" customFormat="true" ht="14.25" hidden="false" customHeight="false" outlineLevel="0" collapsed="false">
      <c r="N824" s="90"/>
    </row>
    <row r="825" s="89" customFormat="true" ht="14.25" hidden="false" customHeight="false" outlineLevel="0" collapsed="false">
      <c r="N825" s="90"/>
    </row>
    <row r="826" s="89" customFormat="true" ht="14.25" hidden="false" customHeight="false" outlineLevel="0" collapsed="false">
      <c r="N826" s="90"/>
    </row>
    <row r="827" s="89" customFormat="true" ht="14.25" hidden="false" customHeight="false" outlineLevel="0" collapsed="false">
      <c r="N827" s="90"/>
    </row>
    <row r="828" s="89" customFormat="true" ht="14.25" hidden="false" customHeight="false" outlineLevel="0" collapsed="false">
      <c r="N828" s="90"/>
    </row>
    <row r="829" s="89" customFormat="true" ht="14.25" hidden="false" customHeight="false" outlineLevel="0" collapsed="false">
      <c r="N829" s="90"/>
    </row>
    <row r="830" s="89" customFormat="true" ht="14.25" hidden="false" customHeight="false" outlineLevel="0" collapsed="false">
      <c r="N830" s="90"/>
    </row>
    <row r="831" s="89" customFormat="true" ht="14.25" hidden="false" customHeight="false" outlineLevel="0" collapsed="false">
      <c r="N831" s="90"/>
    </row>
    <row r="832" s="89" customFormat="true" ht="14.25" hidden="false" customHeight="false" outlineLevel="0" collapsed="false">
      <c r="N832" s="90"/>
    </row>
    <row r="833" s="89" customFormat="true" ht="14.25" hidden="false" customHeight="false" outlineLevel="0" collapsed="false">
      <c r="N833" s="90"/>
    </row>
    <row r="834" s="89" customFormat="true" ht="14.25" hidden="false" customHeight="false" outlineLevel="0" collapsed="false">
      <c r="N834" s="90"/>
    </row>
    <row r="835" s="89" customFormat="true" ht="14.25" hidden="false" customHeight="false" outlineLevel="0" collapsed="false">
      <c r="N835" s="90"/>
    </row>
    <row r="836" s="89" customFormat="true" ht="14.25" hidden="false" customHeight="false" outlineLevel="0" collapsed="false">
      <c r="N836" s="90"/>
    </row>
    <row r="837" s="89" customFormat="true" ht="14.25" hidden="false" customHeight="false" outlineLevel="0" collapsed="false">
      <c r="N837" s="90"/>
    </row>
    <row r="838" s="89" customFormat="true" ht="14.25" hidden="false" customHeight="false" outlineLevel="0" collapsed="false">
      <c r="N838" s="90"/>
    </row>
    <row r="839" s="89" customFormat="true" ht="14.25" hidden="false" customHeight="false" outlineLevel="0" collapsed="false">
      <c r="N839" s="90"/>
    </row>
    <row r="840" s="89" customFormat="true" ht="14.25" hidden="false" customHeight="false" outlineLevel="0" collapsed="false">
      <c r="N840" s="90"/>
    </row>
    <row r="841" s="89" customFormat="true" ht="14.25" hidden="false" customHeight="false" outlineLevel="0" collapsed="false">
      <c r="N841" s="90"/>
    </row>
    <row r="842" s="89" customFormat="true" ht="14.25" hidden="false" customHeight="false" outlineLevel="0" collapsed="false">
      <c r="N842" s="90"/>
    </row>
    <row r="843" s="89" customFormat="true" ht="14.25" hidden="false" customHeight="false" outlineLevel="0" collapsed="false">
      <c r="N843" s="90"/>
    </row>
    <row r="844" s="89" customFormat="true" ht="14.25" hidden="false" customHeight="false" outlineLevel="0" collapsed="false">
      <c r="N844" s="90"/>
    </row>
    <row r="845" s="89" customFormat="true" ht="14.25" hidden="false" customHeight="false" outlineLevel="0" collapsed="false">
      <c r="N845" s="90"/>
    </row>
    <row r="846" s="89" customFormat="true" ht="14.25" hidden="false" customHeight="false" outlineLevel="0" collapsed="false">
      <c r="N846" s="90"/>
    </row>
    <row r="847" s="89" customFormat="true" ht="14.25" hidden="false" customHeight="false" outlineLevel="0" collapsed="false">
      <c r="N847" s="90"/>
    </row>
    <row r="848" s="89" customFormat="true" ht="14.25" hidden="false" customHeight="false" outlineLevel="0" collapsed="false">
      <c r="N848" s="90"/>
    </row>
    <row r="849" s="89" customFormat="true" ht="14.25" hidden="false" customHeight="false" outlineLevel="0" collapsed="false">
      <c r="N849" s="90"/>
    </row>
    <row r="850" s="89" customFormat="true" ht="14.25" hidden="false" customHeight="false" outlineLevel="0" collapsed="false">
      <c r="N850" s="90"/>
    </row>
    <row r="851" s="89" customFormat="true" ht="14.25" hidden="false" customHeight="false" outlineLevel="0" collapsed="false">
      <c r="N851" s="90"/>
    </row>
    <row r="852" s="89" customFormat="true" ht="14.25" hidden="false" customHeight="false" outlineLevel="0" collapsed="false">
      <c r="N852" s="90"/>
    </row>
    <row r="853" s="89" customFormat="true" ht="14.25" hidden="false" customHeight="false" outlineLevel="0" collapsed="false">
      <c r="N853" s="90"/>
    </row>
    <row r="854" s="89" customFormat="true" ht="14.25" hidden="false" customHeight="false" outlineLevel="0" collapsed="false">
      <c r="N854" s="90"/>
    </row>
    <row r="855" s="89" customFormat="true" ht="14.25" hidden="false" customHeight="false" outlineLevel="0" collapsed="false">
      <c r="N855" s="90"/>
    </row>
    <row r="856" s="89" customFormat="true" ht="14.25" hidden="false" customHeight="false" outlineLevel="0" collapsed="false">
      <c r="N856" s="90"/>
    </row>
    <row r="857" s="89" customFormat="true" ht="14.25" hidden="false" customHeight="false" outlineLevel="0" collapsed="false">
      <c r="N857" s="90"/>
    </row>
    <row r="858" s="89" customFormat="true" ht="14.25" hidden="false" customHeight="false" outlineLevel="0" collapsed="false">
      <c r="N858" s="90"/>
    </row>
    <row r="859" s="89" customFormat="true" ht="14.25" hidden="false" customHeight="false" outlineLevel="0" collapsed="false">
      <c r="N859" s="90"/>
    </row>
    <row r="860" s="89" customFormat="true" ht="14.25" hidden="false" customHeight="false" outlineLevel="0" collapsed="false">
      <c r="N860" s="90"/>
    </row>
    <row r="861" s="89" customFormat="true" ht="14.25" hidden="false" customHeight="false" outlineLevel="0" collapsed="false">
      <c r="N861" s="90"/>
    </row>
    <row r="862" s="89" customFormat="true" ht="14.25" hidden="false" customHeight="false" outlineLevel="0" collapsed="false">
      <c r="N862" s="90"/>
    </row>
    <row r="863" s="89" customFormat="true" ht="14.25" hidden="false" customHeight="false" outlineLevel="0" collapsed="false">
      <c r="N863" s="90"/>
    </row>
    <row r="864" s="89" customFormat="true" ht="14.25" hidden="false" customHeight="false" outlineLevel="0" collapsed="false">
      <c r="N864" s="90"/>
    </row>
    <row r="865" s="89" customFormat="true" ht="14.25" hidden="false" customHeight="false" outlineLevel="0" collapsed="false">
      <c r="N865" s="90"/>
    </row>
    <row r="866" s="89" customFormat="true" ht="14.25" hidden="false" customHeight="false" outlineLevel="0" collapsed="false">
      <c r="N866" s="90"/>
    </row>
    <row r="867" s="89" customFormat="true" ht="14.25" hidden="false" customHeight="false" outlineLevel="0" collapsed="false">
      <c r="N867" s="90"/>
    </row>
    <row r="868" s="89" customFormat="true" ht="14.25" hidden="false" customHeight="false" outlineLevel="0" collapsed="false">
      <c r="N868" s="90"/>
    </row>
    <row r="869" s="89" customFormat="true" ht="14.25" hidden="false" customHeight="false" outlineLevel="0" collapsed="false">
      <c r="N869" s="90"/>
    </row>
    <row r="870" s="89" customFormat="true" ht="14.25" hidden="false" customHeight="false" outlineLevel="0" collapsed="false">
      <c r="N870" s="90"/>
    </row>
    <row r="871" s="89" customFormat="true" ht="14.25" hidden="false" customHeight="false" outlineLevel="0" collapsed="false">
      <c r="N871" s="90"/>
    </row>
    <row r="872" s="89" customFormat="true" ht="14.25" hidden="false" customHeight="false" outlineLevel="0" collapsed="false">
      <c r="N872" s="90"/>
    </row>
    <row r="873" s="89" customFormat="true" ht="14.25" hidden="false" customHeight="false" outlineLevel="0" collapsed="false">
      <c r="N873" s="90"/>
    </row>
    <row r="874" s="89" customFormat="true" ht="14.25" hidden="false" customHeight="false" outlineLevel="0" collapsed="false">
      <c r="N874" s="90"/>
    </row>
    <row r="875" s="89" customFormat="true" ht="14.25" hidden="false" customHeight="false" outlineLevel="0" collapsed="false">
      <c r="N875" s="90"/>
    </row>
    <row r="876" s="89" customFormat="true" ht="14.25" hidden="false" customHeight="false" outlineLevel="0" collapsed="false">
      <c r="N876" s="90"/>
    </row>
    <row r="877" s="89" customFormat="true" ht="14.25" hidden="false" customHeight="false" outlineLevel="0" collapsed="false">
      <c r="N877" s="90"/>
    </row>
    <row r="878" s="89" customFormat="true" ht="14.25" hidden="false" customHeight="false" outlineLevel="0" collapsed="false">
      <c r="N878" s="90"/>
    </row>
    <row r="879" s="89" customFormat="true" ht="14.25" hidden="false" customHeight="false" outlineLevel="0" collapsed="false">
      <c r="N879" s="90"/>
    </row>
    <row r="880" s="89" customFormat="true" ht="14.25" hidden="false" customHeight="false" outlineLevel="0" collapsed="false">
      <c r="N880" s="90"/>
    </row>
    <row r="881" s="89" customFormat="true" ht="14.25" hidden="false" customHeight="false" outlineLevel="0" collapsed="false">
      <c r="N881" s="90"/>
    </row>
    <row r="882" s="89" customFormat="true" ht="14.25" hidden="false" customHeight="false" outlineLevel="0" collapsed="false">
      <c r="N882" s="90"/>
    </row>
    <row r="883" s="89" customFormat="true" ht="14.25" hidden="false" customHeight="false" outlineLevel="0" collapsed="false">
      <c r="N883" s="90"/>
    </row>
    <row r="884" s="89" customFormat="true" ht="14.25" hidden="false" customHeight="false" outlineLevel="0" collapsed="false">
      <c r="N884" s="90"/>
    </row>
    <row r="885" s="89" customFormat="true" ht="14.25" hidden="false" customHeight="false" outlineLevel="0" collapsed="false">
      <c r="N885" s="90"/>
    </row>
    <row r="886" s="89" customFormat="true" ht="14.25" hidden="false" customHeight="false" outlineLevel="0" collapsed="false">
      <c r="N886" s="90"/>
    </row>
    <row r="887" s="89" customFormat="true" ht="14.25" hidden="false" customHeight="false" outlineLevel="0" collapsed="false">
      <c r="N887" s="90"/>
    </row>
    <row r="888" s="89" customFormat="true" ht="14.25" hidden="false" customHeight="false" outlineLevel="0" collapsed="false">
      <c r="N888" s="90"/>
    </row>
    <row r="889" s="89" customFormat="true" ht="14.25" hidden="false" customHeight="false" outlineLevel="0" collapsed="false">
      <c r="N889" s="90"/>
    </row>
    <row r="890" s="89" customFormat="true" ht="14.25" hidden="false" customHeight="false" outlineLevel="0" collapsed="false">
      <c r="N890" s="90"/>
    </row>
    <row r="891" s="89" customFormat="true" ht="14.25" hidden="false" customHeight="false" outlineLevel="0" collapsed="false">
      <c r="N891" s="90"/>
    </row>
    <row r="892" s="89" customFormat="true" ht="14.25" hidden="false" customHeight="false" outlineLevel="0" collapsed="false">
      <c r="N892" s="90"/>
    </row>
    <row r="893" s="89" customFormat="true" ht="14.25" hidden="false" customHeight="false" outlineLevel="0" collapsed="false">
      <c r="N893" s="90"/>
    </row>
    <row r="894" s="89" customFormat="true" ht="14.25" hidden="false" customHeight="false" outlineLevel="0" collapsed="false">
      <c r="N894" s="90"/>
    </row>
    <row r="895" s="89" customFormat="true" ht="14.25" hidden="false" customHeight="false" outlineLevel="0" collapsed="false">
      <c r="N895" s="90"/>
    </row>
    <row r="896" s="89" customFormat="true" ht="14.25" hidden="false" customHeight="false" outlineLevel="0" collapsed="false">
      <c r="N896" s="90"/>
    </row>
    <row r="897" s="89" customFormat="true" ht="14.25" hidden="false" customHeight="false" outlineLevel="0" collapsed="false">
      <c r="N897" s="90"/>
    </row>
    <row r="898" s="89" customFormat="true" ht="14.25" hidden="false" customHeight="false" outlineLevel="0" collapsed="false">
      <c r="N898" s="90"/>
    </row>
    <row r="899" s="89" customFormat="true" ht="14.25" hidden="false" customHeight="false" outlineLevel="0" collapsed="false">
      <c r="N899" s="90"/>
    </row>
    <row r="900" s="89" customFormat="true" ht="14.25" hidden="false" customHeight="false" outlineLevel="0" collapsed="false">
      <c r="N900" s="90"/>
    </row>
    <row r="901" s="89" customFormat="true" ht="14.25" hidden="false" customHeight="false" outlineLevel="0" collapsed="false">
      <c r="N901" s="90"/>
    </row>
    <row r="902" s="89" customFormat="true" ht="14.25" hidden="false" customHeight="false" outlineLevel="0" collapsed="false">
      <c r="N902" s="90"/>
    </row>
    <row r="903" s="89" customFormat="true" ht="14.25" hidden="false" customHeight="false" outlineLevel="0" collapsed="false">
      <c r="N903" s="90"/>
    </row>
    <row r="904" s="89" customFormat="true" ht="14.25" hidden="false" customHeight="false" outlineLevel="0" collapsed="false">
      <c r="N904" s="90"/>
    </row>
    <row r="905" s="89" customFormat="true" ht="14.25" hidden="false" customHeight="false" outlineLevel="0" collapsed="false">
      <c r="N905" s="90"/>
    </row>
    <row r="906" s="89" customFormat="true" ht="14.25" hidden="false" customHeight="false" outlineLevel="0" collapsed="false">
      <c r="N906" s="90"/>
    </row>
    <row r="907" s="89" customFormat="true" ht="14.25" hidden="false" customHeight="false" outlineLevel="0" collapsed="false">
      <c r="N907" s="90"/>
    </row>
    <row r="908" s="89" customFormat="true" ht="14.25" hidden="false" customHeight="false" outlineLevel="0" collapsed="false">
      <c r="N908" s="90"/>
    </row>
    <row r="909" s="89" customFormat="true" ht="14.25" hidden="false" customHeight="false" outlineLevel="0" collapsed="false">
      <c r="N909" s="90"/>
    </row>
    <row r="910" s="89" customFormat="true" ht="14.25" hidden="false" customHeight="false" outlineLevel="0" collapsed="false">
      <c r="N910" s="90"/>
    </row>
    <row r="911" s="89" customFormat="true" ht="14.25" hidden="false" customHeight="false" outlineLevel="0" collapsed="false">
      <c r="N911" s="90"/>
    </row>
    <row r="912" s="89" customFormat="true" ht="14.25" hidden="false" customHeight="false" outlineLevel="0" collapsed="false">
      <c r="N912" s="90"/>
    </row>
    <row r="913" s="89" customFormat="true" ht="14.25" hidden="false" customHeight="false" outlineLevel="0" collapsed="false">
      <c r="N913" s="90"/>
    </row>
    <row r="914" s="89" customFormat="true" ht="14.25" hidden="false" customHeight="false" outlineLevel="0" collapsed="false">
      <c r="N914" s="90"/>
    </row>
    <row r="915" s="89" customFormat="true" ht="14.25" hidden="false" customHeight="false" outlineLevel="0" collapsed="false">
      <c r="N915" s="90"/>
    </row>
    <row r="916" s="89" customFormat="true" ht="14.25" hidden="false" customHeight="false" outlineLevel="0" collapsed="false">
      <c r="N916" s="90"/>
    </row>
    <row r="917" s="89" customFormat="true" ht="14.25" hidden="false" customHeight="false" outlineLevel="0" collapsed="false">
      <c r="N917" s="90"/>
    </row>
    <row r="918" s="89" customFormat="true" ht="14.25" hidden="false" customHeight="false" outlineLevel="0" collapsed="false">
      <c r="N918" s="90"/>
    </row>
    <row r="919" s="89" customFormat="true" ht="14.25" hidden="false" customHeight="false" outlineLevel="0" collapsed="false">
      <c r="N919" s="90"/>
    </row>
    <row r="920" s="89" customFormat="true" ht="14.25" hidden="false" customHeight="false" outlineLevel="0" collapsed="false">
      <c r="N920" s="90"/>
    </row>
    <row r="921" s="89" customFormat="true" ht="14.25" hidden="false" customHeight="false" outlineLevel="0" collapsed="false">
      <c r="N921" s="90"/>
    </row>
    <row r="922" s="89" customFormat="true" ht="14.25" hidden="false" customHeight="false" outlineLevel="0" collapsed="false">
      <c r="N922" s="90"/>
    </row>
    <row r="923" s="89" customFormat="true" ht="14.25" hidden="false" customHeight="false" outlineLevel="0" collapsed="false">
      <c r="N923" s="90"/>
    </row>
    <row r="924" s="89" customFormat="true" ht="14.25" hidden="false" customHeight="false" outlineLevel="0" collapsed="false">
      <c r="N924" s="90"/>
    </row>
    <row r="925" s="89" customFormat="true" ht="14.25" hidden="false" customHeight="false" outlineLevel="0" collapsed="false">
      <c r="N925" s="90"/>
    </row>
    <row r="926" s="89" customFormat="true" ht="14.25" hidden="false" customHeight="false" outlineLevel="0" collapsed="false">
      <c r="N926" s="90"/>
    </row>
    <row r="927" s="89" customFormat="true" ht="14.25" hidden="false" customHeight="false" outlineLevel="0" collapsed="false">
      <c r="N927" s="90"/>
    </row>
    <row r="928" s="89" customFormat="true" ht="14.25" hidden="false" customHeight="false" outlineLevel="0" collapsed="false">
      <c r="N928" s="90"/>
    </row>
    <row r="929" s="89" customFormat="true" ht="14.25" hidden="false" customHeight="false" outlineLevel="0" collapsed="false">
      <c r="N929" s="90"/>
    </row>
    <row r="930" s="89" customFormat="true" ht="14.25" hidden="false" customHeight="false" outlineLevel="0" collapsed="false">
      <c r="N930" s="90"/>
    </row>
    <row r="931" s="89" customFormat="true" ht="14.25" hidden="false" customHeight="false" outlineLevel="0" collapsed="false">
      <c r="N931" s="90"/>
    </row>
    <row r="932" s="89" customFormat="true" ht="14.25" hidden="false" customHeight="false" outlineLevel="0" collapsed="false">
      <c r="N932" s="90"/>
    </row>
    <row r="933" s="89" customFormat="true" ht="14.25" hidden="false" customHeight="false" outlineLevel="0" collapsed="false">
      <c r="N933" s="90"/>
    </row>
    <row r="934" s="89" customFormat="true" ht="14.25" hidden="false" customHeight="false" outlineLevel="0" collapsed="false">
      <c r="N934" s="90"/>
    </row>
    <row r="935" s="89" customFormat="true" ht="14.25" hidden="false" customHeight="false" outlineLevel="0" collapsed="false">
      <c r="N935" s="90"/>
    </row>
    <row r="936" s="89" customFormat="true" ht="14.25" hidden="false" customHeight="false" outlineLevel="0" collapsed="false">
      <c r="N936" s="90"/>
    </row>
    <row r="937" s="89" customFormat="true" ht="14.25" hidden="false" customHeight="false" outlineLevel="0" collapsed="false">
      <c r="N937" s="90"/>
    </row>
    <row r="938" s="89" customFormat="true" ht="14.25" hidden="false" customHeight="false" outlineLevel="0" collapsed="false">
      <c r="N938" s="90"/>
    </row>
    <row r="939" s="89" customFormat="true" ht="14.25" hidden="false" customHeight="false" outlineLevel="0" collapsed="false">
      <c r="N939" s="90"/>
    </row>
    <row r="940" s="89" customFormat="true" ht="14.25" hidden="false" customHeight="false" outlineLevel="0" collapsed="false">
      <c r="N940" s="90"/>
    </row>
    <row r="941" s="89" customFormat="true" ht="14.25" hidden="false" customHeight="false" outlineLevel="0" collapsed="false">
      <c r="N941" s="90"/>
    </row>
    <row r="942" s="89" customFormat="true" ht="14.25" hidden="false" customHeight="false" outlineLevel="0" collapsed="false">
      <c r="N942" s="90"/>
    </row>
    <row r="943" s="89" customFormat="true" ht="14.25" hidden="false" customHeight="false" outlineLevel="0" collapsed="false">
      <c r="N943" s="90"/>
    </row>
    <row r="944" s="89" customFormat="true" ht="14.25" hidden="false" customHeight="false" outlineLevel="0" collapsed="false">
      <c r="N944" s="90"/>
    </row>
    <row r="945" s="89" customFormat="true" ht="14.25" hidden="false" customHeight="false" outlineLevel="0" collapsed="false">
      <c r="N945" s="90"/>
    </row>
    <row r="946" s="89" customFormat="true" ht="14.25" hidden="false" customHeight="false" outlineLevel="0" collapsed="false">
      <c r="N946" s="90"/>
    </row>
    <row r="947" s="89" customFormat="true" ht="14.25" hidden="false" customHeight="false" outlineLevel="0" collapsed="false">
      <c r="N947" s="90"/>
    </row>
    <row r="948" s="89" customFormat="true" ht="14.25" hidden="false" customHeight="false" outlineLevel="0" collapsed="false">
      <c r="N948" s="90"/>
    </row>
    <row r="949" s="89" customFormat="true" ht="14.25" hidden="false" customHeight="false" outlineLevel="0" collapsed="false">
      <c r="N949" s="90"/>
    </row>
    <row r="950" s="89" customFormat="true" ht="14.25" hidden="false" customHeight="false" outlineLevel="0" collapsed="false">
      <c r="N950" s="90"/>
    </row>
    <row r="951" s="89" customFormat="true" ht="14.25" hidden="false" customHeight="false" outlineLevel="0" collapsed="false">
      <c r="N951" s="90"/>
    </row>
    <row r="952" s="89" customFormat="true" ht="14.25" hidden="false" customHeight="false" outlineLevel="0" collapsed="false">
      <c r="N952" s="90"/>
    </row>
    <row r="953" s="89" customFormat="true" ht="14.25" hidden="false" customHeight="false" outlineLevel="0" collapsed="false">
      <c r="N953" s="90"/>
    </row>
    <row r="954" s="89" customFormat="true" ht="14.25" hidden="false" customHeight="false" outlineLevel="0" collapsed="false">
      <c r="N954" s="90"/>
    </row>
    <row r="955" s="89" customFormat="true" ht="14.25" hidden="false" customHeight="false" outlineLevel="0" collapsed="false">
      <c r="N955" s="90"/>
    </row>
    <row r="956" s="89" customFormat="true" ht="14.25" hidden="false" customHeight="false" outlineLevel="0" collapsed="false">
      <c r="N956" s="90"/>
    </row>
    <row r="957" s="89" customFormat="true" ht="14.25" hidden="false" customHeight="false" outlineLevel="0" collapsed="false">
      <c r="N957" s="90"/>
    </row>
    <row r="958" s="89" customFormat="true" ht="14.25" hidden="false" customHeight="false" outlineLevel="0" collapsed="false">
      <c r="N958" s="90"/>
    </row>
    <row r="959" s="89" customFormat="true" ht="14.25" hidden="false" customHeight="false" outlineLevel="0" collapsed="false">
      <c r="N959" s="90"/>
    </row>
    <row r="960" s="89" customFormat="true" ht="14.25" hidden="false" customHeight="false" outlineLevel="0" collapsed="false">
      <c r="N960" s="90"/>
    </row>
    <row r="961" s="89" customFormat="true" ht="14.25" hidden="false" customHeight="false" outlineLevel="0" collapsed="false">
      <c r="N961" s="90"/>
    </row>
    <row r="962" s="89" customFormat="true" ht="14.25" hidden="false" customHeight="false" outlineLevel="0" collapsed="false">
      <c r="N962" s="90"/>
    </row>
    <row r="963" s="89" customFormat="true" ht="14.25" hidden="false" customHeight="false" outlineLevel="0" collapsed="false">
      <c r="N963" s="90"/>
    </row>
    <row r="964" s="89" customFormat="true" ht="14.25" hidden="false" customHeight="false" outlineLevel="0" collapsed="false">
      <c r="N964" s="90"/>
    </row>
    <row r="965" s="89" customFormat="true" ht="14.25" hidden="false" customHeight="false" outlineLevel="0" collapsed="false">
      <c r="N965" s="90"/>
    </row>
    <row r="966" s="89" customFormat="true" ht="14.25" hidden="false" customHeight="false" outlineLevel="0" collapsed="false">
      <c r="N966" s="90"/>
    </row>
    <row r="967" s="89" customFormat="true" ht="14.25" hidden="false" customHeight="false" outlineLevel="0" collapsed="false">
      <c r="N967" s="90"/>
    </row>
    <row r="968" s="89" customFormat="true" ht="14.25" hidden="false" customHeight="false" outlineLevel="0" collapsed="false">
      <c r="N968" s="90"/>
    </row>
    <row r="969" s="89" customFormat="true" ht="14.25" hidden="false" customHeight="false" outlineLevel="0" collapsed="false">
      <c r="N969" s="90"/>
    </row>
    <row r="970" s="89" customFormat="true" ht="14.25" hidden="false" customHeight="false" outlineLevel="0" collapsed="false">
      <c r="N970" s="90"/>
    </row>
    <row r="971" s="89" customFormat="true" ht="14.25" hidden="false" customHeight="false" outlineLevel="0" collapsed="false">
      <c r="N971" s="90"/>
    </row>
    <row r="972" s="89" customFormat="true" ht="14.25" hidden="false" customHeight="false" outlineLevel="0" collapsed="false">
      <c r="N972" s="90"/>
    </row>
    <row r="973" s="89" customFormat="true" ht="14.25" hidden="false" customHeight="false" outlineLevel="0" collapsed="false">
      <c r="N973" s="90"/>
    </row>
    <row r="974" s="89" customFormat="true" ht="14.25" hidden="false" customHeight="false" outlineLevel="0" collapsed="false">
      <c r="N974" s="90"/>
    </row>
    <row r="975" s="89" customFormat="true" ht="14.25" hidden="false" customHeight="false" outlineLevel="0" collapsed="false">
      <c r="N975" s="90"/>
    </row>
    <row r="976" s="89" customFormat="true" ht="14.25" hidden="false" customHeight="false" outlineLevel="0" collapsed="false">
      <c r="N976" s="90"/>
    </row>
    <row r="977" s="89" customFormat="true" ht="14.25" hidden="false" customHeight="false" outlineLevel="0" collapsed="false">
      <c r="N977" s="90"/>
    </row>
    <row r="978" s="89" customFormat="true" ht="14.25" hidden="false" customHeight="false" outlineLevel="0" collapsed="false">
      <c r="N978" s="90"/>
    </row>
    <row r="979" s="89" customFormat="true" ht="14.25" hidden="false" customHeight="false" outlineLevel="0" collapsed="false">
      <c r="N979" s="90"/>
    </row>
    <row r="980" s="89" customFormat="true" ht="14.25" hidden="false" customHeight="false" outlineLevel="0" collapsed="false">
      <c r="N980" s="90"/>
    </row>
    <row r="981" s="89" customFormat="true" ht="14.25" hidden="false" customHeight="false" outlineLevel="0" collapsed="false">
      <c r="N981" s="90"/>
    </row>
    <row r="982" s="89" customFormat="true" ht="14.25" hidden="false" customHeight="false" outlineLevel="0" collapsed="false">
      <c r="N982" s="90"/>
    </row>
    <row r="983" s="89" customFormat="true" ht="14.25" hidden="false" customHeight="false" outlineLevel="0" collapsed="false">
      <c r="N983" s="90"/>
    </row>
    <row r="984" s="89" customFormat="true" ht="14.25" hidden="false" customHeight="false" outlineLevel="0" collapsed="false">
      <c r="N984" s="90"/>
    </row>
    <row r="985" s="89" customFormat="true" ht="14.25" hidden="false" customHeight="false" outlineLevel="0" collapsed="false">
      <c r="N985" s="90"/>
    </row>
    <row r="986" s="89" customFormat="true" ht="14.25" hidden="false" customHeight="false" outlineLevel="0" collapsed="false">
      <c r="N986" s="90"/>
    </row>
    <row r="987" s="89" customFormat="true" ht="14.25" hidden="false" customHeight="false" outlineLevel="0" collapsed="false">
      <c r="N987" s="90"/>
    </row>
    <row r="988" s="89" customFormat="true" ht="14.25" hidden="false" customHeight="false" outlineLevel="0" collapsed="false">
      <c r="N988" s="90"/>
    </row>
    <row r="989" s="89" customFormat="true" ht="14.25" hidden="false" customHeight="false" outlineLevel="0" collapsed="false">
      <c r="N989" s="90"/>
    </row>
    <row r="990" s="89" customFormat="true" ht="14.25" hidden="false" customHeight="false" outlineLevel="0" collapsed="false">
      <c r="N990" s="90"/>
    </row>
    <row r="991" s="89" customFormat="true" ht="14.25" hidden="false" customHeight="false" outlineLevel="0" collapsed="false">
      <c r="N991" s="90"/>
    </row>
    <row r="992" s="89" customFormat="true" ht="14.25" hidden="false" customHeight="false" outlineLevel="0" collapsed="false">
      <c r="N992" s="90"/>
    </row>
    <row r="993" s="89" customFormat="true" ht="14.25" hidden="false" customHeight="false" outlineLevel="0" collapsed="false">
      <c r="N993" s="90"/>
    </row>
    <row r="994" s="89" customFormat="true" ht="14.25" hidden="false" customHeight="false" outlineLevel="0" collapsed="false">
      <c r="N994" s="90"/>
    </row>
    <row r="995" s="89" customFormat="true" ht="14.25" hidden="false" customHeight="false" outlineLevel="0" collapsed="false">
      <c r="N995" s="90"/>
    </row>
    <row r="996" s="89" customFormat="true" ht="14.25" hidden="false" customHeight="false" outlineLevel="0" collapsed="false">
      <c r="N996" s="90"/>
    </row>
    <row r="997" s="89" customFormat="true" ht="14.25" hidden="false" customHeight="false" outlineLevel="0" collapsed="false">
      <c r="N997" s="90"/>
    </row>
    <row r="998" s="89" customFormat="true" ht="14.25" hidden="false" customHeight="false" outlineLevel="0" collapsed="false">
      <c r="N998" s="90"/>
    </row>
    <row r="999" s="89" customFormat="true" ht="14.25" hidden="false" customHeight="false" outlineLevel="0" collapsed="false">
      <c r="N999" s="90"/>
    </row>
    <row r="1000" s="89" customFormat="true" ht="14.25" hidden="false" customHeight="false" outlineLevel="0" collapsed="false">
      <c r="N1000" s="90"/>
    </row>
    <row r="1001" s="89" customFormat="true" ht="14.25" hidden="false" customHeight="false" outlineLevel="0" collapsed="false">
      <c r="N1001" s="90"/>
    </row>
    <row r="1002" s="89" customFormat="true" ht="14.25" hidden="false" customHeight="false" outlineLevel="0" collapsed="false">
      <c r="N1002" s="90"/>
    </row>
    <row r="1003" s="89" customFormat="true" ht="14.25" hidden="false" customHeight="false" outlineLevel="0" collapsed="false">
      <c r="N1003" s="90"/>
    </row>
    <row r="1004" s="89" customFormat="true" ht="14.25" hidden="false" customHeight="false" outlineLevel="0" collapsed="false">
      <c r="N1004" s="90"/>
    </row>
    <row r="1005" s="89" customFormat="true" ht="14.25" hidden="false" customHeight="false" outlineLevel="0" collapsed="false">
      <c r="N1005" s="90"/>
    </row>
    <row r="1006" s="89" customFormat="true" ht="14.25" hidden="false" customHeight="false" outlineLevel="0" collapsed="false">
      <c r="N1006" s="90"/>
    </row>
    <row r="1007" s="89" customFormat="true" ht="14.25" hidden="false" customHeight="false" outlineLevel="0" collapsed="false">
      <c r="N1007" s="90"/>
    </row>
    <row r="1008" s="89" customFormat="true" ht="14.25" hidden="false" customHeight="false" outlineLevel="0" collapsed="false">
      <c r="N1008" s="90"/>
    </row>
    <row r="1009" s="89" customFormat="true" ht="14.25" hidden="false" customHeight="false" outlineLevel="0" collapsed="false">
      <c r="N1009" s="90"/>
    </row>
    <row r="1010" s="89" customFormat="true" ht="14.25" hidden="false" customHeight="false" outlineLevel="0" collapsed="false">
      <c r="N1010" s="90"/>
    </row>
    <row r="1011" s="89" customFormat="true" ht="14.25" hidden="false" customHeight="false" outlineLevel="0" collapsed="false">
      <c r="N1011" s="90"/>
    </row>
    <row r="1012" s="89" customFormat="true" ht="14.25" hidden="false" customHeight="false" outlineLevel="0" collapsed="false">
      <c r="N1012" s="90"/>
    </row>
    <row r="1013" s="89" customFormat="true" ht="14.25" hidden="false" customHeight="false" outlineLevel="0" collapsed="false">
      <c r="N1013" s="90"/>
    </row>
    <row r="1014" s="89" customFormat="true" ht="14.25" hidden="false" customHeight="false" outlineLevel="0" collapsed="false">
      <c r="N1014" s="90"/>
    </row>
    <row r="1015" s="89" customFormat="true" ht="14.25" hidden="false" customHeight="false" outlineLevel="0" collapsed="false">
      <c r="N1015" s="90"/>
    </row>
    <row r="1016" s="89" customFormat="true" ht="14.25" hidden="false" customHeight="false" outlineLevel="0" collapsed="false">
      <c r="N1016" s="90"/>
    </row>
    <row r="1017" s="89" customFormat="true" ht="14.25" hidden="false" customHeight="false" outlineLevel="0" collapsed="false">
      <c r="N1017" s="90"/>
    </row>
    <row r="1018" s="89" customFormat="true" ht="14.25" hidden="false" customHeight="false" outlineLevel="0" collapsed="false">
      <c r="N1018" s="90"/>
    </row>
    <row r="1019" s="89" customFormat="true" ht="14.25" hidden="false" customHeight="false" outlineLevel="0" collapsed="false">
      <c r="N1019" s="90"/>
    </row>
    <row r="1020" s="89" customFormat="true" ht="14.25" hidden="false" customHeight="false" outlineLevel="0" collapsed="false">
      <c r="N1020" s="90"/>
    </row>
    <row r="1021" s="89" customFormat="true" ht="14.25" hidden="false" customHeight="false" outlineLevel="0" collapsed="false">
      <c r="N1021" s="90"/>
    </row>
    <row r="1022" s="89" customFormat="true" ht="14.25" hidden="false" customHeight="false" outlineLevel="0" collapsed="false">
      <c r="N1022" s="90"/>
    </row>
    <row r="1023" s="89" customFormat="true" ht="14.25" hidden="false" customHeight="false" outlineLevel="0" collapsed="false">
      <c r="N1023" s="90"/>
    </row>
    <row r="1024" s="89" customFormat="true" ht="14.25" hidden="false" customHeight="false" outlineLevel="0" collapsed="false">
      <c r="N1024" s="90"/>
    </row>
    <row r="1025" s="89" customFormat="true" ht="14.25" hidden="false" customHeight="false" outlineLevel="0" collapsed="false">
      <c r="N1025" s="90"/>
    </row>
    <row r="1026" s="89" customFormat="true" ht="14.25" hidden="false" customHeight="false" outlineLevel="0" collapsed="false">
      <c r="N1026" s="90"/>
    </row>
    <row r="1027" s="89" customFormat="true" ht="14.25" hidden="false" customHeight="false" outlineLevel="0" collapsed="false">
      <c r="N1027" s="90"/>
    </row>
    <row r="1028" s="89" customFormat="true" ht="14.25" hidden="false" customHeight="false" outlineLevel="0" collapsed="false">
      <c r="N1028" s="90"/>
    </row>
    <row r="1029" s="89" customFormat="true" ht="14.25" hidden="false" customHeight="false" outlineLevel="0" collapsed="false">
      <c r="N1029" s="90"/>
    </row>
    <row r="1030" s="89" customFormat="true" ht="14.25" hidden="false" customHeight="false" outlineLevel="0" collapsed="false">
      <c r="N1030" s="90"/>
    </row>
    <row r="1031" s="89" customFormat="true" ht="14.25" hidden="false" customHeight="false" outlineLevel="0" collapsed="false">
      <c r="N1031" s="90"/>
    </row>
    <row r="1032" s="89" customFormat="true" ht="14.25" hidden="false" customHeight="false" outlineLevel="0" collapsed="false">
      <c r="N1032" s="90"/>
    </row>
    <row r="1033" s="89" customFormat="true" ht="14.25" hidden="false" customHeight="false" outlineLevel="0" collapsed="false">
      <c r="N1033" s="90"/>
    </row>
  </sheetData>
  <autoFilter ref="J3:S30"/>
  <mergeCells count="1">
    <mergeCell ref="B2:R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B2:T4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I14" activeCellId="0" sqref="I14"/>
    </sheetView>
  </sheetViews>
  <sheetFormatPr defaultColWidth="9.1484375" defaultRowHeight="14.25" customHeight="true" zeroHeight="false" outlineLevelRow="0" outlineLevelCol="1"/>
  <cols>
    <col collapsed="false" customWidth="true" hidden="false" outlineLevel="0" max="1" min="1" style="89" width="3.29"/>
    <col collapsed="false" customWidth="true" hidden="false" outlineLevel="0" max="2" min="2" style="89" width="46.29"/>
    <col collapsed="false" customWidth="true" hidden="false" outlineLevel="0" max="7" min="3" style="89" width="11.85"/>
    <col collapsed="false" customWidth="true" hidden="false" outlineLevel="0" max="8" min="8" style="89" width="14.57"/>
    <col collapsed="false" customWidth="true" hidden="false" outlineLevel="0" max="9" min="9" style="89" width="10.85"/>
    <col collapsed="false" customWidth="true" hidden="false" outlineLevel="0" max="10" min="10" style="89" width="13.86"/>
    <col collapsed="false" customWidth="true" hidden="false" outlineLevel="1" max="11" min="11" style="89" width="51.57"/>
    <col collapsed="false" customWidth="true" hidden="false" outlineLevel="1" max="12" min="12" style="89" width="12.15"/>
    <col collapsed="false" customWidth="true" hidden="false" outlineLevel="1" max="13" min="13" style="89" width="14.42"/>
    <col collapsed="false" customWidth="true" hidden="false" outlineLevel="1" max="14" min="14" style="90" width="13.42"/>
    <col collapsed="false" customWidth="true" hidden="false" outlineLevel="0" max="15" min="15" style="89" width="11.14"/>
    <col collapsed="false" customWidth="true" hidden="true" outlineLevel="1" max="16" min="16" style="89" width="18"/>
    <col collapsed="false" customWidth="true" hidden="true" outlineLevel="1" max="17" min="17" style="89" width="17.57"/>
    <col collapsed="false" customWidth="true" hidden="false" outlineLevel="0" max="18" min="18" style="89" width="19.29"/>
    <col collapsed="false" customWidth="true" hidden="false" outlineLevel="0" max="19" min="19" style="89" width="17.57"/>
    <col collapsed="false" customWidth="true" hidden="false" outlineLevel="0" max="20" min="20" style="89" width="29.86"/>
    <col collapsed="false" customWidth="true" hidden="false" outlineLevel="0" max="21" min="21" style="89" width="21.43"/>
    <col collapsed="false" customWidth="false" hidden="false" outlineLevel="0" max="16384" min="22" style="89" width="9.14"/>
  </cols>
  <sheetData>
    <row r="2" customFormat="false" ht="60" hidden="false" customHeight="true" outlineLevel="0" collapsed="false">
      <c r="B2" s="91" t="s">
        <v>3563</v>
      </c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2"/>
    </row>
    <row r="3" customFormat="false" ht="39.55" hidden="false" customHeight="false" outlineLevel="0" collapsed="false">
      <c r="I3" s="94"/>
      <c r="J3" s="95" t="s">
        <v>3413</v>
      </c>
      <c r="K3" s="95" t="s">
        <v>75</v>
      </c>
      <c r="L3" s="95" t="s">
        <v>168</v>
      </c>
      <c r="M3" s="95" t="s">
        <v>76</v>
      </c>
      <c r="N3" s="95" t="s">
        <v>169</v>
      </c>
      <c r="O3" s="95" t="s">
        <v>18</v>
      </c>
      <c r="P3" s="95" t="s">
        <v>170</v>
      </c>
      <c r="Q3" s="95" t="s">
        <v>171</v>
      </c>
      <c r="R3" s="96" t="s">
        <v>172</v>
      </c>
      <c r="S3" s="95" t="s">
        <v>3564</v>
      </c>
    </row>
    <row r="4" customFormat="false" ht="20.25" hidden="false" customHeight="true" outlineLevel="0" collapsed="false">
      <c r="B4" s="97" t="s">
        <v>174</v>
      </c>
      <c r="C4" s="98" t="s">
        <v>175</v>
      </c>
      <c r="D4" s="98" t="s">
        <v>176</v>
      </c>
      <c r="E4" s="98" t="s">
        <v>62</v>
      </c>
      <c r="F4" s="98" t="s">
        <v>63</v>
      </c>
      <c r="G4" s="98" t="s">
        <v>64</v>
      </c>
      <c r="H4" s="98" t="s">
        <v>65</v>
      </c>
      <c r="J4" s="99" t="n">
        <v>45877</v>
      </c>
      <c r="K4" s="99" t="s">
        <v>222</v>
      </c>
      <c r="L4" s="100" t="n">
        <v>78</v>
      </c>
      <c r="M4" s="100" t="s">
        <v>327</v>
      </c>
      <c r="N4" s="101" t="n">
        <v>9</v>
      </c>
      <c r="O4" s="114" t="n">
        <v>9</v>
      </c>
      <c r="P4" s="102"/>
      <c r="Q4" s="103"/>
      <c r="R4" s="107" t="n">
        <v>183900</v>
      </c>
      <c r="S4" s="103" t="n">
        <f aca="false">R4/100/O4</f>
        <v>204.333333333333</v>
      </c>
    </row>
    <row r="5" s="90" customFormat="true" ht="20.25" hidden="false" customHeight="true" outlineLevel="0" collapsed="false">
      <c r="B5" s="105" t="s">
        <v>12</v>
      </c>
      <c r="C5" s="106"/>
      <c r="D5" s="106"/>
      <c r="E5" s="106"/>
      <c r="F5" s="106"/>
      <c r="G5" s="106"/>
      <c r="H5" s="106" t="n">
        <v>45877</v>
      </c>
      <c r="J5" s="272" t="n">
        <v>45878</v>
      </c>
      <c r="K5" s="272" t="s">
        <v>222</v>
      </c>
      <c r="L5" s="100" t="n">
        <v>78</v>
      </c>
      <c r="M5" s="100" t="s">
        <v>327</v>
      </c>
      <c r="N5" s="273" t="n">
        <v>13</v>
      </c>
      <c r="O5" s="114" t="n">
        <v>24</v>
      </c>
      <c r="P5" s="102"/>
      <c r="Q5" s="103"/>
      <c r="R5" s="107" t="n">
        <v>280620</v>
      </c>
      <c r="S5" s="103" t="n">
        <f aca="false">R5/100/O5</f>
        <v>116.925</v>
      </c>
      <c r="T5" s="275"/>
    </row>
    <row r="6" customFormat="false" ht="20.25" hidden="false" customHeight="true" outlineLevel="0" collapsed="false">
      <c r="B6" s="105" t="s">
        <v>20</v>
      </c>
      <c r="C6" s="106"/>
      <c r="D6" s="106"/>
      <c r="E6" s="106"/>
      <c r="F6" s="106"/>
      <c r="G6" s="106"/>
      <c r="H6" s="106" t="n">
        <v>45900</v>
      </c>
      <c r="J6" s="272" t="n">
        <v>45879</v>
      </c>
      <c r="K6" s="272" t="s">
        <v>222</v>
      </c>
      <c r="L6" s="100" t="n">
        <v>78</v>
      </c>
      <c r="M6" s="100" t="s">
        <v>327</v>
      </c>
      <c r="N6" s="273" t="n">
        <v>19</v>
      </c>
      <c r="O6" s="114" t="n">
        <v>28</v>
      </c>
      <c r="P6" s="102"/>
      <c r="Q6" s="103"/>
      <c r="R6" s="107" t="n">
        <v>460840</v>
      </c>
      <c r="S6" s="103" t="n">
        <f aca="false">R6/100/O6</f>
        <v>164.585714285714</v>
      </c>
      <c r="T6" s="275"/>
    </row>
    <row r="7" customFormat="false" ht="20.25" hidden="false" customHeight="true" outlineLevel="0" collapsed="false">
      <c r="B7" s="105" t="s">
        <v>178</v>
      </c>
      <c r="C7" s="111"/>
      <c r="D7" s="111"/>
      <c r="E7" s="111"/>
      <c r="F7" s="111"/>
      <c r="G7" s="111"/>
      <c r="H7" s="111" t="n">
        <f aca="false">IF(H6=0,"-",H6-H5+1)</f>
        <v>24</v>
      </c>
      <c r="J7" s="272" t="n">
        <v>45880</v>
      </c>
      <c r="K7" s="272" t="s">
        <v>222</v>
      </c>
      <c r="L7" s="100" t="n">
        <v>78</v>
      </c>
      <c r="M7" s="100" t="s">
        <v>327</v>
      </c>
      <c r="N7" s="273" t="n">
        <v>11</v>
      </c>
      <c r="O7" s="114" t="n">
        <v>14</v>
      </c>
      <c r="P7" s="102"/>
      <c r="Q7" s="103"/>
      <c r="R7" s="276" t="n">
        <v>259250</v>
      </c>
      <c r="S7" s="103" t="n">
        <f aca="false">R7/100/O7</f>
        <v>185.178571428571</v>
      </c>
      <c r="T7" s="275"/>
    </row>
    <row r="8" customFormat="false" ht="20.25" hidden="false" customHeight="true" outlineLevel="0" collapsed="false">
      <c r="B8" s="105" t="s">
        <v>179</v>
      </c>
      <c r="C8" s="111"/>
      <c r="D8" s="111"/>
      <c r="E8" s="111"/>
      <c r="F8" s="111"/>
      <c r="G8" s="111"/>
      <c r="H8" s="111" t="n">
        <v>21</v>
      </c>
      <c r="J8" s="272" t="n">
        <v>45881</v>
      </c>
      <c r="K8" s="272"/>
      <c r="L8" s="100"/>
      <c r="M8" s="100"/>
      <c r="N8" s="273"/>
      <c r="O8" s="114"/>
      <c r="P8" s="102"/>
      <c r="Q8" s="103"/>
      <c r="R8" s="276"/>
      <c r="S8" s="103"/>
      <c r="T8" s="275"/>
    </row>
    <row r="9" customFormat="false" ht="20.25" hidden="false" customHeight="true" outlineLevel="0" collapsed="false">
      <c r="B9" s="105" t="s">
        <v>181</v>
      </c>
      <c r="C9" s="112"/>
      <c r="D9" s="112"/>
      <c r="E9" s="112"/>
      <c r="F9" s="112"/>
      <c r="G9" s="112"/>
      <c r="H9" s="112" t="s">
        <v>3544</v>
      </c>
      <c r="J9" s="272" t="n">
        <v>45882</v>
      </c>
      <c r="K9" s="272" t="s">
        <v>221</v>
      </c>
      <c r="L9" s="114" t="n">
        <v>42</v>
      </c>
      <c r="M9" s="114" t="s">
        <v>520</v>
      </c>
      <c r="N9" s="273" t="n">
        <v>10</v>
      </c>
      <c r="O9" s="114" t="n">
        <v>14</v>
      </c>
      <c r="P9" s="102"/>
      <c r="Q9" s="103"/>
      <c r="R9" s="276" t="n">
        <v>208990</v>
      </c>
      <c r="S9" s="103" t="n">
        <f aca="false">R9/100/O9</f>
        <v>149.278571428571</v>
      </c>
    </row>
    <row r="10" customFormat="false" ht="20.25" hidden="false" customHeight="true" outlineLevel="0" collapsed="false">
      <c r="B10" s="105" t="s">
        <v>187</v>
      </c>
      <c r="C10" s="117"/>
      <c r="D10" s="117"/>
      <c r="E10" s="117"/>
      <c r="F10" s="117"/>
      <c r="G10" s="117"/>
      <c r="H10" s="117" t="n">
        <f aca="false">R43/1000</f>
        <v>8295.44</v>
      </c>
      <c r="J10" s="272" t="n">
        <v>45883</v>
      </c>
      <c r="K10" s="272" t="s">
        <v>221</v>
      </c>
      <c r="L10" s="114" t="n">
        <v>42</v>
      </c>
      <c r="M10" s="114" t="s">
        <v>520</v>
      </c>
      <c r="N10" s="273" t="n">
        <v>9</v>
      </c>
      <c r="O10" s="114" t="n">
        <v>21</v>
      </c>
      <c r="P10" s="102"/>
      <c r="Q10" s="103"/>
      <c r="R10" s="107" t="n">
        <v>223220</v>
      </c>
      <c r="S10" s="103" t="n">
        <f aca="false">R10/100/O10</f>
        <v>106.295238095238</v>
      </c>
      <c r="T10" s="326"/>
    </row>
    <row r="11" customFormat="false" ht="20.25" hidden="false" customHeight="true" outlineLevel="0" collapsed="false">
      <c r="B11" s="105" t="s">
        <v>191</v>
      </c>
      <c r="C11" s="119"/>
      <c r="D11" s="119"/>
      <c r="E11" s="119"/>
      <c r="F11" s="119"/>
      <c r="G11" s="119"/>
      <c r="H11" s="119" t="n">
        <v>566</v>
      </c>
      <c r="I11" s="282"/>
      <c r="J11" s="272"/>
      <c r="K11" s="272" t="s">
        <v>221</v>
      </c>
      <c r="L11" s="114" t="n">
        <v>42</v>
      </c>
      <c r="M11" s="114" t="s">
        <v>571</v>
      </c>
      <c r="N11" s="273" t="n">
        <v>4</v>
      </c>
      <c r="O11" s="114" t="n">
        <v>7</v>
      </c>
      <c r="P11" s="102"/>
      <c r="Q11" s="103"/>
      <c r="R11" s="107" t="n">
        <v>87710</v>
      </c>
      <c r="S11" s="103" t="n">
        <f aca="false">R11/100/O11</f>
        <v>125.3</v>
      </c>
      <c r="T11" s="275"/>
    </row>
    <row r="12" customFormat="false" ht="20.25" hidden="false" customHeight="true" outlineLevel="0" collapsed="false">
      <c r="B12" s="105" t="s">
        <v>18</v>
      </c>
      <c r="C12" s="119"/>
      <c r="D12" s="119"/>
      <c r="E12" s="119"/>
      <c r="F12" s="119"/>
      <c r="G12" s="119"/>
      <c r="H12" s="119" t="n">
        <f aca="false">O43</f>
        <v>494</v>
      </c>
      <c r="J12" s="272"/>
      <c r="K12" s="272" t="s">
        <v>222</v>
      </c>
      <c r="L12" s="114" t="n">
        <v>78</v>
      </c>
      <c r="M12" s="114" t="s">
        <v>571</v>
      </c>
      <c r="N12" s="273" t="n">
        <v>3</v>
      </c>
      <c r="O12" s="114" t="n">
        <v>1</v>
      </c>
      <c r="P12" s="107"/>
      <c r="Q12" s="274"/>
      <c r="R12" s="107" t="n">
        <v>67790</v>
      </c>
      <c r="S12" s="103" t="n">
        <f aca="false">R12/100/O12</f>
        <v>677.9</v>
      </c>
      <c r="T12" s="275"/>
    </row>
    <row r="13" customFormat="false" ht="20.25" hidden="false" customHeight="true" outlineLevel="0" collapsed="false">
      <c r="B13" s="105" t="s">
        <v>195</v>
      </c>
      <c r="C13" s="120"/>
      <c r="D13" s="120"/>
      <c r="E13" s="120"/>
      <c r="F13" s="120"/>
      <c r="G13" s="120"/>
      <c r="H13" s="120" t="n">
        <f aca="false">S43</f>
        <v>167.923886639676</v>
      </c>
      <c r="J13" s="272"/>
      <c r="K13" s="272" t="s">
        <v>223</v>
      </c>
      <c r="L13" s="114" t="n">
        <v>74</v>
      </c>
      <c r="M13" s="114" t="s">
        <v>327</v>
      </c>
      <c r="N13" s="273" t="n">
        <v>1</v>
      </c>
      <c r="O13" s="114" t="n">
        <v>1</v>
      </c>
      <c r="P13" s="107"/>
      <c r="Q13" s="274"/>
      <c r="R13" s="107" t="n">
        <v>21640</v>
      </c>
      <c r="S13" s="274" t="n">
        <f aca="false">R13/100/O13</f>
        <v>216.4</v>
      </c>
      <c r="T13" s="326"/>
    </row>
    <row r="14" customFormat="false" ht="20.25" hidden="false" customHeight="true" outlineLevel="0" collapsed="false">
      <c r="B14" s="105"/>
      <c r="C14" s="121"/>
      <c r="D14" s="121"/>
      <c r="E14" s="121"/>
      <c r="F14" s="121"/>
      <c r="G14" s="121"/>
      <c r="H14" s="121"/>
      <c r="J14" s="272"/>
      <c r="K14" s="272" t="s">
        <v>223</v>
      </c>
      <c r="L14" s="114" t="n">
        <v>74</v>
      </c>
      <c r="M14" s="114" t="s">
        <v>586</v>
      </c>
      <c r="N14" s="273" t="n">
        <v>1</v>
      </c>
      <c r="O14" s="114" t="n">
        <v>1</v>
      </c>
      <c r="P14" s="102"/>
      <c r="Q14" s="103"/>
      <c r="R14" s="107" t="n">
        <v>20290</v>
      </c>
      <c r="S14" s="274" t="n">
        <f aca="false">R14/100/O14</f>
        <v>202.9</v>
      </c>
      <c r="T14" s="275"/>
    </row>
    <row r="15" customFormat="false" ht="20.25" hidden="false" customHeight="true" outlineLevel="0" collapsed="false">
      <c r="J15" s="272" t="n">
        <v>45884</v>
      </c>
      <c r="K15" s="272" t="s">
        <v>222</v>
      </c>
      <c r="L15" s="114" t="n">
        <v>78</v>
      </c>
      <c r="M15" s="114" t="s">
        <v>571</v>
      </c>
      <c r="N15" s="273" t="n">
        <v>2</v>
      </c>
      <c r="O15" s="114" t="n">
        <v>2</v>
      </c>
      <c r="P15" s="107"/>
      <c r="Q15" s="274"/>
      <c r="R15" s="276" t="n">
        <v>51140</v>
      </c>
      <c r="S15" s="274" t="n">
        <f aca="false">R15/100/O15</f>
        <v>255.7</v>
      </c>
      <c r="T15" s="330"/>
    </row>
    <row r="16" s="122" customFormat="true" ht="17.35" hidden="false" customHeight="false" outlineLevel="0" collapsed="false">
      <c r="B16" s="123" t="s">
        <v>3538</v>
      </c>
      <c r="C16" s="124"/>
      <c r="D16" s="124"/>
      <c r="E16" s="124"/>
      <c r="F16" s="94"/>
      <c r="G16" s="94"/>
      <c r="H16" s="94"/>
      <c r="J16" s="272" t="n">
        <v>45885</v>
      </c>
      <c r="K16" s="272"/>
      <c r="L16" s="114"/>
      <c r="M16" s="114"/>
      <c r="N16" s="273"/>
      <c r="O16" s="114"/>
      <c r="P16" s="107"/>
      <c r="Q16" s="274"/>
      <c r="R16" s="276"/>
      <c r="S16" s="274"/>
      <c r="T16" s="275"/>
    </row>
    <row r="17" customFormat="false" ht="17.25" hidden="false" customHeight="true" outlineLevel="0" collapsed="false">
      <c r="B17" s="105" t="s">
        <v>16</v>
      </c>
      <c r="C17" s="117" t="n">
        <v>7924</v>
      </c>
      <c r="D17" s="251" t="n">
        <f aca="false">C17/E17</f>
        <v>14</v>
      </c>
      <c r="E17" s="262" t="n">
        <f aca="false">H11</f>
        <v>566</v>
      </c>
      <c r="J17" s="272" t="n">
        <v>45886</v>
      </c>
      <c r="K17" s="272" t="s">
        <v>224</v>
      </c>
      <c r="L17" s="114" t="n">
        <v>78</v>
      </c>
      <c r="M17" s="114" t="s">
        <v>607</v>
      </c>
      <c r="N17" s="273" t="n">
        <v>7</v>
      </c>
      <c r="O17" s="114" t="n">
        <v>12</v>
      </c>
      <c r="P17" s="107"/>
      <c r="Q17" s="274"/>
      <c r="R17" s="276" t="n">
        <v>169460</v>
      </c>
      <c r="S17" s="274" t="n">
        <f aca="false">R17/100/O17</f>
        <v>141.216666666667</v>
      </c>
      <c r="T17" s="275"/>
    </row>
    <row r="18" customFormat="false" ht="17.25" hidden="false" customHeight="true" outlineLevel="0" collapsed="false">
      <c r="B18" s="259" t="s">
        <v>17</v>
      </c>
      <c r="C18" s="143" t="n">
        <f aca="false">R43/1000</f>
        <v>8295.44</v>
      </c>
      <c r="D18" s="260" t="n">
        <f aca="false">C18/E18</f>
        <v>16.7923886639676</v>
      </c>
      <c r="E18" s="287" t="n">
        <f aca="false">O43</f>
        <v>494</v>
      </c>
      <c r="J18" s="272" t="n">
        <v>45887</v>
      </c>
      <c r="K18" s="272" t="s">
        <v>224</v>
      </c>
      <c r="L18" s="114" t="n">
        <v>78</v>
      </c>
      <c r="M18" s="114" t="s">
        <v>607</v>
      </c>
      <c r="N18" s="273" t="n">
        <v>1</v>
      </c>
      <c r="O18" s="114" t="n">
        <v>2</v>
      </c>
      <c r="P18" s="107"/>
      <c r="Q18" s="274"/>
      <c r="R18" s="276" t="n">
        <v>25490</v>
      </c>
      <c r="S18" s="274" t="n">
        <f aca="false">R18/100/O18</f>
        <v>127.45</v>
      </c>
      <c r="T18" s="275"/>
    </row>
    <row r="19" customFormat="false" ht="17.25" hidden="false" customHeight="true" outlineLevel="0" collapsed="false">
      <c r="B19" s="105" t="s">
        <v>204</v>
      </c>
      <c r="C19" s="133" t="n">
        <f aca="false">C18/C17</f>
        <v>1.04687531549722</v>
      </c>
      <c r="D19" s="134"/>
      <c r="G19" s="135"/>
      <c r="H19" s="135"/>
      <c r="J19" s="272"/>
      <c r="K19" s="272" t="s">
        <v>224</v>
      </c>
      <c r="L19" s="114" t="n">
        <v>78</v>
      </c>
      <c r="M19" s="114" t="s">
        <v>626</v>
      </c>
      <c r="N19" s="273" t="n">
        <v>10</v>
      </c>
      <c r="O19" s="114" t="n">
        <v>18</v>
      </c>
      <c r="P19" s="107"/>
      <c r="Q19" s="274"/>
      <c r="R19" s="276" t="n">
        <v>246400</v>
      </c>
      <c r="S19" s="321" t="n">
        <f aca="false">R19/100/O19</f>
        <v>136.888888888889</v>
      </c>
      <c r="T19" s="328"/>
    </row>
    <row r="20" customFormat="false" ht="17.25" hidden="false" customHeight="true" outlineLevel="0" collapsed="false">
      <c r="B20" s="105" t="s">
        <v>205</v>
      </c>
      <c r="C20" s="133" t="n">
        <f aca="false">O43/H11</f>
        <v>0.872791519434629</v>
      </c>
      <c r="G20" s="135"/>
      <c r="H20" s="135"/>
      <c r="J20" s="272"/>
      <c r="K20" s="272" t="s">
        <v>225</v>
      </c>
      <c r="L20" s="114" t="n">
        <v>78</v>
      </c>
      <c r="M20" s="114" t="s">
        <v>586</v>
      </c>
      <c r="N20" s="273" t="n">
        <v>1</v>
      </c>
      <c r="O20" s="114" t="n">
        <v>2</v>
      </c>
      <c r="P20" s="107"/>
      <c r="Q20" s="274"/>
      <c r="R20" s="276" t="n">
        <v>22850</v>
      </c>
      <c r="S20" s="321" t="n">
        <f aca="false">R20/100/O20</f>
        <v>114.25</v>
      </c>
      <c r="T20" s="292"/>
    </row>
    <row r="21" customFormat="false" ht="17.25" hidden="false" customHeight="true" outlineLevel="0" collapsed="false">
      <c r="B21" s="147" t="s">
        <v>3548</v>
      </c>
      <c r="C21" s="133"/>
      <c r="G21" s="135"/>
      <c r="H21" s="135"/>
      <c r="J21" s="272"/>
      <c r="K21" s="272" t="s">
        <v>225</v>
      </c>
      <c r="L21" s="114" t="n">
        <v>78</v>
      </c>
      <c r="M21" s="114" t="s">
        <v>626</v>
      </c>
      <c r="N21" s="273" t="n">
        <v>1</v>
      </c>
      <c r="O21" s="114" t="n">
        <v>2</v>
      </c>
      <c r="P21" s="107"/>
      <c r="Q21" s="274"/>
      <c r="R21" s="276" t="n">
        <v>26970</v>
      </c>
      <c r="S21" s="321" t="n">
        <f aca="false">R21/100/O21</f>
        <v>134.85</v>
      </c>
      <c r="T21" s="275"/>
    </row>
    <row r="22" customFormat="false" ht="17.25" hidden="false" customHeight="true" outlineLevel="0" collapsed="false">
      <c r="B22" s="308" t="s">
        <v>3565</v>
      </c>
      <c r="C22" s="309"/>
      <c r="D22" s="310"/>
      <c r="E22" s="310"/>
      <c r="G22" s="135"/>
      <c r="H22" s="135"/>
      <c r="J22" s="272" t="n">
        <v>45888</v>
      </c>
      <c r="K22" s="272" t="s">
        <v>225</v>
      </c>
      <c r="L22" s="114" t="n">
        <v>78</v>
      </c>
      <c r="M22" s="114" t="s">
        <v>586</v>
      </c>
      <c r="N22" s="273" t="n">
        <v>23</v>
      </c>
      <c r="O22" s="331" t="n">
        <v>38</v>
      </c>
      <c r="P22" s="107"/>
      <c r="Q22" s="274"/>
      <c r="R22" s="276" t="n">
        <v>525990</v>
      </c>
      <c r="S22" s="321" t="n">
        <f aca="false">R22/100/O22</f>
        <v>138.418421052632</v>
      </c>
      <c r="T22" s="292"/>
    </row>
    <row r="23" customFormat="false" ht="17.25" hidden="false" customHeight="true" outlineLevel="0" collapsed="false">
      <c r="B23" s="105" t="s">
        <v>16</v>
      </c>
      <c r="C23" s="117" t="n">
        <v>4900</v>
      </c>
      <c r="D23" s="251" t="n">
        <f aca="false">C23/E23</f>
        <v>14</v>
      </c>
      <c r="E23" s="262" t="n">
        <v>350</v>
      </c>
      <c r="G23" s="135"/>
      <c r="H23" s="135"/>
      <c r="J23" s="272" t="n">
        <v>45889</v>
      </c>
      <c r="K23" s="272" t="s">
        <v>225</v>
      </c>
      <c r="L23" s="114" t="n">
        <v>78</v>
      </c>
      <c r="M23" s="114" t="s">
        <v>586</v>
      </c>
      <c r="N23" s="273" t="n">
        <v>2</v>
      </c>
      <c r="O23" s="331" t="n">
        <v>5</v>
      </c>
      <c r="P23" s="107"/>
      <c r="Q23" s="274"/>
      <c r="R23" s="276" t="n">
        <v>46100</v>
      </c>
      <c r="S23" s="321" t="n">
        <f aca="false">R23/100/O23</f>
        <v>92.2</v>
      </c>
      <c r="T23" s="275"/>
    </row>
    <row r="24" customFormat="false" ht="17.25" hidden="false" customHeight="true" outlineLevel="0" collapsed="false">
      <c r="B24" s="259" t="s">
        <v>17</v>
      </c>
      <c r="C24" s="143" t="n">
        <f aca="false">SUM(R4:R28)/1000</f>
        <v>4532.12</v>
      </c>
      <c r="D24" s="260" t="n">
        <f aca="false">C24/E24</f>
        <v>16.3025899280576</v>
      </c>
      <c r="E24" s="287" t="n">
        <f aca="false">SUM(O4:O28)</f>
        <v>278</v>
      </c>
      <c r="G24" s="135"/>
      <c r="H24" s="135"/>
      <c r="J24" s="272"/>
      <c r="K24" s="272" t="s">
        <v>225</v>
      </c>
      <c r="L24" s="114" t="n">
        <v>78</v>
      </c>
      <c r="M24" s="114" t="s">
        <v>626</v>
      </c>
      <c r="N24" s="273" t="n">
        <v>24</v>
      </c>
      <c r="O24" s="331" t="n">
        <v>27</v>
      </c>
      <c r="P24" s="107"/>
      <c r="Q24" s="274"/>
      <c r="R24" s="276" t="n">
        <v>576860</v>
      </c>
      <c r="S24" s="321" t="n">
        <f aca="false">R24/100/O24</f>
        <v>213.651851851852</v>
      </c>
      <c r="T24" s="275"/>
    </row>
    <row r="25" customFormat="false" ht="17.25" hidden="false" customHeight="true" outlineLevel="0" collapsed="false">
      <c r="B25" s="105" t="s">
        <v>204</v>
      </c>
      <c r="C25" s="133" t="n">
        <f aca="false">C24/C23</f>
        <v>0.924922448979592</v>
      </c>
      <c r="D25" s="134"/>
      <c r="G25" s="135"/>
      <c r="H25" s="135"/>
      <c r="J25" s="272" t="n">
        <v>45890</v>
      </c>
      <c r="K25" s="272"/>
      <c r="L25" s="114"/>
      <c r="M25" s="114"/>
      <c r="N25" s="273"/>
      <c r="O25" s="331"/>
      <c r="P25" s="107"/>
      <c r="Q25" s="274"/>
      <c r="R25" s="276"/>
      <c r="S25" s="321"/>
      <c r="T25" s="292"/>
    </row>
    <row r="26" customFormat="false" ht="17.25" hidden="false" customHeight="true" outlineLevel="0" collapsed="false">
      <c r="B26" s="105" t="s">
        <v>205</v>
      </c>
      <c r="C26" s="133" t="n">
        <f aca="false">E24/E23</f>
        <v>0.794285714285714</v>
      </c>
      <c r="G26" s="135"/>
      <c r="H26" s="135"/>
      <c r="J26" s="272" t="n">
        <v>45891</v>
      </c>
      <c r="K26" s="272" t="s">
        <v>225</v>
      </c>
      <c r="L26" s="114" t="n">
        <v>78</v>
      </c>
      <c r="M26" s="114" t="s">
        <v>626</v>
      </c>
      <c r="N26" s="273" t="n">
        <v>4</v>
      </c>
      <c r="O26" s="331" t="n">
        <v>4</v>
      </c>
      <c r="P26" s="107"/>
      <c r="Q26" s="274"/>
      <c r="R26" s="276" t="n">
        <v>95340</v>
      </c>
      <c r="S26" s="321" t="n">
        <f aca="false">R26/100/O26</f>
        <v>238.35</v>
      </c>
      <c r="T26" s="275"/>
    </row>
    <row r="27" customFormat="false" ht="17.25" hidden="false" customHeight="true" outlineLevel="0" collapsed="false">
      <c r="G27" s="136"/>
      <c r="H27" s="136"/>
      <c r="J27" s="272"/>
      <c r="K27" s="272" t="s">
        <v>224</v>
      </c>
      <c r="L27" s="114" t="n">
        <v>78</v>
      </c>
      <c r="M27" s="114" t="s">
        <v>607</v>
      </c>
      <c r="N27" s="273" t="n">
        <v>18</v>
      </c>
      <c r="O27" s="331" t="n">
        <v>20</v>
      </c>
      <c r="P27" s="107"/>
      <c r="Q27" s="274"/>
      <c r="R27" s="276" t="n">
        <v>441270</v>
      </c>
      <c r="S27" s="321" t="n">
        <f aca="false">R27/100/O27</f>
        <v>220.635</v>
      </c>
      <c r="T27" s="275"/>
    </row>
    <row r="28" customFormat="false" ht="17.25" hidden="false" customHeight="true" outlineLevel="0" collapsed="false">
      <c r="B28" s="308" t="s">
        <v>3558</v>
      </c>
      <c r="C28" s="309"/>
      <c r="D28" s="310"/>
      <c r="E28" s="310"/>
      <c r="J28" s="272" t="n">
        <v>45892</v>
      </c>
      <c r="K28" s="272" t="s">
        <v>224</v>
      </c>
      <c r="L28" s="114" t="n">
        <v>78</v>
      </c>
      <c r="M28" s="114" t="s">
        <v>607</v>
      </c>
      <c r="N28" s="273" t="n">
        <v>20</v>
      </c>
      <c r="O28" s="331" t="n">
        <v>26</v>
      </c>
      <c r="P28" s="107"/>
      <c r="Q28" s="274"/>
      <c r="R28" s="276" t="n">
        <v>490000</v>
      </c>
      <c r="S28" s="321" t="n">
        <f aca="false">R28/100/O28</f>
        <v>188.461538461538</v>
      </c>
      <c r="T28" s="275"/>
    </row>
    <row r="29" customFormat="false" ht="17.25" hidden="false" customHeight="true" outlineLevel="0" collapsed="false">
      <c r="B29" s="105" t="s">
        <v>16</v>
      </c>
      <c r="C29" s="117" t="n">
        <v>3024</v>
      </c>
      <c r="D29" s="251" t="n">
        <f aca="false">C29/E29</f>
        <v>14</v>
      </c>
      <c r="E29" s="262" t="n">
        <v>216</v>
      </c>
      <c r="J29" s="272" t="n">
        <v>45893</v>
      </c>
      <c r="K29" s="272" t="s">
        <v>227</v>
      </c>
      <c r="L29" s="114" t="n">
        <v>56</v>
      </c>
      <c r="M29" s="114" t="s">
        <v>520</v>
      </c>
      <c r="N29" s="273" t="n">
        <v>1</v>
      </c>
      <c r="O29" s="331" t="n">
        <v>1.5</v>
      </c>
      <c r="P29" s="107"/>
      <c r="Q29" s="274"/>
      <c r="R29" s="276" t="n">
        <v>25200</v>
      </c>
      <c r="S29" s="321" t="n">
        <f aca="false">R29/100/O29</f>
        <v>168</v>
      </c>
      <c r="T29" s="275"/>
    </row>
    <row r="30" customFormat="false" ht="14.25" hidden="false" customHeight="false" outlineLevel="0" collapsed="false">
      <c r="B30" s="259" t="s">
        <v>17</v>
      </c>
      <c r="C30" s="143" t="n">
        <f aca="false">SUM(R29:R42)/1000</f>
        <v>3763.32</v>
      </c>
      <c r="D30" s="260" t="n">
        <f aca="false">C30/E30</f>
        <v>17.4227777777778</v>
      </c>
      <c r="E30" s="287" t="n">
        <f aca="false">SUM(O29:O42)</f>
        <v>216</v>
      </c>
      <c r="J30" s="272"/>
      <c r="K30" s="272" t="s">
        <v>227</v>
      </c>
      <c r="L30" s="114" t="n">
        <v>56</v>
      </c>
      <c r="M30" s="114" t="s">
        <v>832</v>
      </c>
      <c r="N30" s="273" t="n">
        <v>1</v>
      </c>
      <c r="O30" s="331" t="n">
        <v>1.5</v>
      </c>
      <c r="P30" s="107"/>
      <c r="Q30" s="274"/>
      <c r="R30" s="276" t="n">
        <v>26290</v>
      </c>
      <c r="S30" s="321" t="n">
        <f aca="false">R30/100/O30</f>
        <v>175.266666666667</v>
      </c>
      <c r="T30" s="275"/>
    </row>
    <row r="31" customFormat="false" ht="18" hidden="false" customHeight="true" outlineLevel="0" collapsed="false">
      <c r="B31" s="105" t="s">
        <v>204</v>
      </c>
      <c r="C31" s="133" t="n">
        <f aca="false">C30/C29</f>
        <v>1.24448412698413</v>
      </c>
      <c r="D31" s="134"/>
      <c r="J31" s="272"/>
      <c r="K31" s="272" t="s">
        <v>228</v>
      </c>
      <c r="L31" s="114" t="n">
        <v>92</v>
      </c>
      <c r="M31" s="114" t="s">
        <v>832</v>
      </c>
      <c r="N31" s="273" t="n">
        <v>11</v>
      </c>
      <c r="O31" s="331" t="n">
        <v>14.8</v>
      </c>
      <c r="P31" s="107"/>
      <c r="Q31" s="274"/>
      <c r="R31" s="276" t="n">
        <v>260940</v>
      </c>
      <c r="S31" s="321" t="n">
        <f aca="false">R31/100/O31</f>
        <v>176.310810810811</v>
      </c>
      <c r="T31" s="332"/>
    </row>
    <row r="32" customFormat="false" ht="14.25" hidden="false" customHeight="false" outlineLevel="0" collapsed="false">
      <c r="B32" s="105" t="s">
        <v>205</v>
      </c>
      <c r="C32" s="133" t="n">
        <f aca="false">E30/E29</f>
        <v>1</v>
      </c>
      <c r="J32" s="272" t="n">
        <v>45894</v>
      </c>
      <c r="K32" s="272" t="s">
        <v>228</v>
      </c>
      <c r="L32" s="114" t="n">
        <v>92</v>
      </c>
      <c r="M32" s="114" t="s">
        <v>832</v>
      </c>
      <c r="N32" s="273" t="n">
        <v>20</v>
      </c>
      <c r="O32" s="331" t="n">
        <v>24</v>
      </c>
      <c r="P32" s="107"/>
      <c r="Q32" s="274"/>
      <c r="R32" s="276" t="n">
        <v>460490</v>
      </c>
      <c r="S32" s="321" t="n">
        <f aca="false">R32/100/O32</f>
        <v>191.870833333333</v>
      </c>
    </row>
    <row r="33" customFormat="false" ht="14.25" hidden="false" customHeight="false" outlineLevel="0" collapsed="false">
      <c r="J33" s="272" t="n">
        <v>45895</v>
      </c>
      <c r="K33" s="272" t="s">
        <v>228</v>
      </c>
      <c r="L33" s="114" t="n">
        <v>92</v>
      </c>
      <c r="M33" s="114" t="s">
        <v>832</v>
      </c>
      <c r="N33" s="273" t="n">
        <v>22</v>
      </c>
      <c r="O33" s="331" t="n">
        <v>27</v>
      </c>
      <c r="P33" s="107"/>
      <c r="Q33" s="274"/>
      <c r="R33" s="276" t="n">
        <v>529920</v>
      </c>
      <c r="S33" s="321" t="n">
        <f aca="false">R33/100/O33</f>
        <v>196.266666666667</v>
      </c>
    </row>
    <row r="34" customFormat="false" ht="14.25" hidden="false" customHeight="false" outlineLevel="0" collapsed="false">
      <c r="J34" s="272" t="n">
        <v>45896</v>
      </c>
      <c r="K34" s="272" t="s">
        <v>228</v>
      </c>
      <c r="L34" s="114" t="n">
        <v>92</v>
      </c>
      <c r="M34" s="114" t="s">
        <v>832</v>
      </c>
      <c r="N34" s="273" t="n">
        <v>27</v>
      </c>
      <c r="O34" s="331" t="n">
        <v>31</v>
      </c>
      <c r="P34" s="107"/>
      <c r="Q34" s="274"/>
      <c r="R34" s="276" t="n">
        <v>645090</v>
      </c>
      <c r="S34" s="321" t="n">
        <f aca="false">R34/100/O34</f>
        <v>208.093548387097</v>
      </c>
    </row>
    <row r="35" customFormat="false" ht="14.25" hidden="false" customHeight="false" outlineLevel="0" collapsed="false">
      <c r="J35" s="272" t="n">
        <v>45897</v>
      </c>
      <c r="K35" s="272" t="s">
        <v>228</v>
      </c>
      <c r="L35" s="114" t="n">
        <v>92</v>
      </c>
      <c r="M35" s="114" t="s">
        <v>832</v>
      </c>
      <c r="N35" s="273" t="n">
        <v>10</v>
      </c>
      <c r="O35" s="331" t="n">
        <v>21.2</v>
      </c>
      <c r="P35" s="107"/>
      <c r="Q35" s="274"/>
      <c r="R35" s="276" t="n">
        <v>251610</v>
      </c>
      <c r="S35" s="321" t="n">
        <f aca="false">R35/100/O35</f>
        <v>118.683962264151</v>
      </c>
    </row>
    <row r="36" customFormat="false" ht="14.25" hidden="false" customHeight="false" outlineLevel="0" collapsed="false">
      <c r="J36" s="272"/>
      <c r="K36" s="272" t="s">
        <v>227</v>
      </c>
      <c r="L36" s="114" t="n">
        <v>56</v>
      </c>
      <c r="M36" s="114" t="s">
        <v>520</v>
      </c>
      <c r="N36" s="273" t="n">
        <v>11</v>
      </c>
      <c r="O36" s="331" t="n">
        <v>13.5</v>
      </c>
      <c r="P36" s="107"/>
      <c r="Q36" s="274"/>
      <c r="R36" s="276" t="n">
        <v>255410</v>
      </c>
      <c r="S36" s="321" t="n">
        <f aca="false">R36/100/O36</f>
        <v>189.192592592593</v>
      </c>
    </row>
    <row r="37" customFormat="false" ht="14.25" hidden="false" customHeight="false" outlineLevel="0" collapsed="false">
      <c r="J37" s="272" t="n">
        <v>45898</v>
      </c>
      <c r="K37" s="272" t="s">
        <v>227</v>
      </c>
      <c r="L37" s="114" t="n">
        <v>56</v>
      </c>
      <c r="M37" s="114" t="s">
        <v>520</v>
      </c>
      <c r="N37" s="273" t="n">
        <v>20</v>
      </c>
      <c r="O37" s="331" t="n">
        <v>29</v>
      </c>
      <c r="P37" s="107"/>
      <c r="Q37" s="274"/>
      <c r="R37" s="276" t="n">
        <v>474890</v>
      </c>
      <c r="S37" s="321" t="n">
        <f aca="false">R37/100/O37</f>
        <v>163.755172413793</v>
      </c>
    </row>
    <row r="38" customFormat="false" ht="14.25" hidden="false" customHeight="false" outlineLevel="0" collapsed="false">
      <c r="J38" s="272" t="n">
        <v>45899</v>
      </c>
      <c r="K38" s="272" t="s">
        <v>227</v>
      </c>
      <c r="L38" s="114" t="n">
        <v>56</v>
      </c>
      <c r="M38" s="114" t="s">
        <v>520</v>
      </c>
      <c r="N38" s="273" t="n">
        <v>3</v>
      </c>
      <c r="O38" s="331" t="n">
        <v>2</v>
      </c>
      <c r="P38" s="107"/>
      <c r="Q38" s="274"/>
      <c r="R38" s="276" t="n">
        <v>76100</v>
      </c>
      <c r="S38" s="321" t="n">
        <f aca="false">R38/100/O38</f>
        <v>380.5</v>
      </c>
    </row>
    <row r="39" customFormat="false" ht="16.5" hidden="false" customHeight="true" outlineLevel="0" collapsed="false">
      <c r="J39" s="272"/>
      <c r="K39" s="272" t="s">
        <v>227</v>
      </c>
      <c r="L39" s="114" t="n">
        <v>56</v>
      </c>
      <c r="M39" s="114" t="s">
        <v>832</v>
      </c>
      <c r="N39" s="273" t="n">
        <v>7</v>
      </c>
      <c r="O39" s="331" t="n">
        <v>8.5</v>
      </c>
      <c r="P39" s="107"/>
      <c r="Q39" s="274"/>
      <c r="R39" s="276" t="n">
        <v>170470</v>
      </c>
      <c r="S39" s="321" t="n">
        <f aca="false">R39/100/O39</f>
        <v>200.552941176471</v>
      </c>
    </row>
    <row r="40" customFormat="false" ht="14.25" hidden="false" customHeight="false" outlineLevel="0" collapsed="false">
      <c r="J40" s="272"/>
      <c r="K40" s="272" t="s">
        <v>226</v>
      </c>
      <c r="L40" s="114" t="n">
        <v>68</v>
      </c>
      <c r="M40" s="114" t="s">
        <v>586</v>
      </c>
      <c r="N40" s="273" t="n">
        <v>9</v>
      </c>
      <c r="O40" s="331" t="n">
        <v>13.7</v>
      </c>
      <c r="P40" s="107"/>
      <c r="Q40" s="274"/>
      <c r="R40" s="276" t="n">
        <v>203880</v>
      </c>
      <c r="S40" s="321" t="n">
        <f aca="false">R40/100/O40</f>
        <v>148.817518248175</v>
      </c>
    </row>
    <row r="41" customFormat="false" ht="14.25" hidden="false" customHeight="false" outlineLevel="0" collapsed="false">
      <c r="J41" s="272" t="n">
        <v>45900</v>
      </c>
      <c r="K41" s="272" t="s">
        <v>226</v>
      </c>
      <c r="L41" s="114" t="n">
        <v>68</v>
      </c>
      <c r="M41" s="114" t="s">
        <v>586</v>
      </c>
      <c r="N41" s="273" t="n">
        <v>9</v>
      </c>
      <c r="O41" s="331" t="n">
        <v>17</v>
      </c>
      <c r="P41" s="107"/>
      <c r="Q41" s="274"/>
      <c r="R41" s="276" t="n">
        <v>204110</v>
      </c>
      <c r="S41" s="321" t="n">
        <f aca="false">R41/100/O41</f>
        <v>120.064705882353</v>
      </c>
    </row>
    <row r="42" customFormat="false" ht="14.25" hidden="false" customHeight="false" outlineLevel="0" collapsed="false">
      <c r="J42" s="272"/>
      <c r="K42" s="272" t="s">
        <v>226</v>
      </c>
      <c r="L42" s="114" t="n">
        <v>68</v>
      </c>
      <c r="M42" s="114" t="s">
        <v>832</v>
      </c>
      <c r="N42" s="273" t="n">
        <v>8</v>
      </c>
      <c r="O42" s="331" t="n">
        <v>11.3</v>
      </c>
      <c r="P42" s="107"/>
      <c r="Q42" s="274"/>
      <c r="R42" s="276" t="n">
        <v>178920</v>
      </c>
      <c r="S42" s="321" t="n">
        <f aca="false">R42/100/O42</f>
        <v>158.336283185841</v>
      </c>
    </row>
    <row r="43" customFormat="false" ht="14.25" hidden="false" customHeight="false" outlineLevel="0" collapsed="false">
      <c r="J43" s="95" t="s">
        <v>149</v>
      </c>
      <c r="K43" s="95"/>
      <c r="L43" s="95"/>
      <c r="M43" s="95"/>
      <c r="N43" s="95" t="n">
        <f aca="false">SUM(N4:N42)</f>
        <v>352</v>
      </c>
      <c r="O43" s="129" t="n">
        <f aca="false">SUM(O4:Q42)</f>
        <v>494</v>
      </c>
      <c r="P43" s="130" t="n">
        <f aca="false">SUM(P4:P22)</f>
        <v>0</v>
      </c>
      <c r="Q43" s="131" t="n">
        <f aca="false">P43/O43/100</f>
        <v>0</v>
      </c>
      <c r="R43" s="130" t="n">
        <f aca="false">SUM(R4:R42)</f>
        <v>8295440</v>
      </c>
      <c r="S43" s="131" t="n">
        <f aca="false">R43/O43/100</f>
        <v>167.923886639676</v>
      </c>
    </row>
    <row r="45" customFormat="false" ht="14.25" hidden="false" customHeight="false" outlineLevel="0" collapsed="false">
      <c r="R45" s="110"/>
    </row>
    <row r="46" customFormat="false" ht="14.25" hidden="false" customHeight="false" outlineLevel="0" collapsed="false">
      <c r="R46" s="110"/>
    </row>
  </sheetData>
  <autoFilter ref="J3:S43"/>
  <mergeCells count="1">
    <mergeCell ref="B2:R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8" topLeftCell="E267" activePane="bottomRight" state="frozen"/>
      <selection pane="topLeft" activeCell="A1" activeCellId="0" sqref="A1"/>
      <selection pane="topRight" activeCell="E1" activeCellId="0" sqref="E1"/>
      <selection pane="bottomLeft" activeCell="A267" activeCellId="0" sqref="A267"/>
      <selection pane="bottomRight" activeCell="M296" activeCellId="0" sqref="M296"/>
    </sheetView>
  </sheetViews>
  <sheetFormatPr defaultColWidth="8.1484375" defaultRowHeight="15" customHeight="true" zeroHeight="false" outlineLevelRow="1" outlineLevelCol="0"/>
  <cols>
    <col collapsed="false" customWidth="true" hidden="false" outlineLevel="0" max="1" min="1" style="333" width="4.57"/>
    <col collapsed="false" customWidth="true" hidden="false" outlineLevel="0" max="2" min="2" style="333" width="3.71"/>
    <col collapsed="false" customWidth="true" hidden="false" outlineLevel="0" max="3" min="3" style="333" width="3.29"/>
    <col collapsed="false" customWidth="true" hidden="false" outlineLevel="0" max="4" min="4" style="333" width="2.29"/>
    <col collapsed="false" customWidth="true" hidden="false" outlineLevel="0" max="5" min="5" style="333" width="30.85"/>
    <col collapsed="false" customWidth="true" hidden="false" outlineLevel="0" max="6" min="6" style="333" width="14.29"/>
    <col collapsed="false" customWidth="true" hidden="false" outlineLevel="0" max="7" min="7" style="333" width="7"/>
    <col collapsed="false" customWidth="true" hidden="false" outlineLevel="0" max="8" min="8" style="333" width="3.86"/>
    <col collapsed="false" customWidth="true" hidden="false" outlineLevel="0" max="9" min="9" style="333" width="10"/>
    <col collapsed="false" customWidth="true" hidden="false" outlineLevel="0" max="10" min="10" style="333" width="21.71"/>
    <col collapsed="false" customWidth="true" hidden="false" outlineLevel="0" max="11" min="11" style="333" width="26.29"/>
    <col collapsed="false" customWidth="true" hidden="false" outlineLevel="0" max="13" min="12" style="333" width="9.57"/>
    <col collapsed="false" customWidth="true" hidden="false" outlineLevel="0" max="14" min="14" style="333" width="9.29"/>
    <col collapsed="false" customWidth="true" hidden="false" outlineLevel="0" max="17" min="15" style="333" width="12"/>
    <col collapsed="false" customWidth="true" hidden="false" outlineLevel="0" max="18" min="18" style="333" width="11.29"/>
  </cols>
  <sheetData>
    <row r="1" s="333" customFormat="true" ht="9.75" hidden="false" customHeight="true" outlineLevel="0" collapsed="false"/>
    <row r="2" customFormat="false" ht="12.75" hidden="false" customHeight="true" outlineLevel="1" collapsed="false">
      <c r="A2" s="334" t="s">
        <v>3566</v>
      </c>
      <c r="B2" s="334"/>
      <c r="C2" s="334"/>
      <c r="D2" s="334" t="s">
        <v>3567</v>
      </c>
      <c r="E2" s="334"/>
      <c r="F2" s="334"/>
      <c r="G2" s="334"/>
    </row>
    <row r="3" customFormat="false" ht="12.75" hidden="false" customHeight="true" outlineLevel="1" collapsed="false">
      <c r="D3" s="334" t="s">
        <v>3568</v>
      </c>
      <c r="E3" s="334"/>
      <c r="F3" s="334"/>
      <c r="G3" s="334"/>
    </row>
    <row r="4" customFormat="false" ht="12.75" hidden="false" customHeight="true" outlineLevel="1" collapsed="false">
      <c r="A4" s="334" t="s">
        <v>3569</v>
      </c>
      <c r="B4" s="334"/>
      <c r="C4" s="334"/>
      <c r="D4" s="334" t="s">
        <v>3570</v>
      </c>
      <c r="E4" s="334"/>
      <c r="F4" s="334"/>
      <c r="G4" s="334"/>
    </row>
    <row r="5" s="333" customFormat="true" ht="9.75" hidden="false" customHeight="true" outlineLevel="0" collapsed="false"/>
    <row r="6" customFormat="false" ht="12.75" hidden="false" customHeight="true" outlineLevel="0" collapsed="false">
      <c r="A6" s="335" t="s">
        <v>3571</v>
      </c>
      <c r="B6" s="335" t="s">
        <v>3572</v>
      </c>
      <c r="C6" s="335"/>
      <c r="D6" s="335"/>
      <c r="E6" s="335" t="s">
        <v>247</v>
      </c>
      <c r="F6" s="335" t="s">
        <v>3573</v>
      </c>
      <c r="G6" s="335" t="s">
        <v>3574</v>
      </c>
      <c r="H6" s="335"/>
      <c r="I6" s="335" t="s">
        <v>3575</v>
      </c>
      <c r="J6" s="335" t="s">
        <v>3576</v>
      </c>
      <c r="K6" s="335" t="s">
        <v>3577</v>
      </c>
      <c r="L6" s="335" t="s">
        <v>3578</v>
      </c>
      <c r="M6" s="335" t="s">
        <v>3579</v>
      </c>
      <c r="N6" s="335" t="s">
        <v>3580</v>
      </c>
      <c r="O6" s="335" t="s">
        <v>3581</v>
      </c>
      <c r="P6" s="335" t="s">
        <v>3582</v>
      </c>
      <c r="Q6" s="335" t="s">
        <v>3583</v>
      </c>
      <c r="R6" s="335" t="s">
        <v>3584</v>
      </c>
    </row>
    <row r="7" customFormat="false" ht="12.75" hidden="false" customHeight="true" outlineLevel="0" collapsed="false">
      <c r="A7" s="335"/>
      <c r="B7" s="335"/>
      <c r="C7" s="335"/>
      <c r="D7" s="335"/>
      <c r="E7" s="335"/>
      <c r="F7" s="335"/>
      <c r="G7" s="335"/>
      <c r="H7" s="335"/>
      <c r="I7" s="335"/>
      <c r="J7" s="335" t="s">
        <v>3576</v>
      </c>
      <c r="K7" s="335" t="s">
        <v>3577</v>
      </c>
      <c r="L7" s="335"/>
      <c r="M7" s="335"/>
      <c r="N7" s="335"/>
      <c r="O7" s="335"/>
      <c r="P7" s="335"/>
      <c r="Q7" s="335"/>
      <c r="R7" s="335"/>
    </row>
    <row r="8" customFormat="false" ht="12.75" hidden="false" customHeight="true" outlineLevel="0" collapsed="false">
      <c r="A8" s="335"/>
      <c r="B8" s="335"/>
      <c r="C8" s="335"/>
      <c r="D8" s="335"/>
      <c r="E8" s="335"/>
      <c r="F8" s="335"/>
      <c r="G8" s="335"/>
      <c r="H8" s="335"/>
      <c r="I8" s="335"/>
      <c r="J8" s="335" t="s">
        <v>3585</v>
      </c>
      <c r="K8" s="335" t="s">
        <v>3586</v>
      </c>
      <c r="L8" s="335"/>
      <c r="M8" s="335"/>
      <c r="N8" s="335"/>
      <c r="O8" s="335"/>
      <c r="P8" s="335"/>
      <c r="Q8" s="335"/>
      <c r="R8" s="335"/>
    </row>
    <row r="9" customFormat="false" ht="10.5" hidden="false" customHeight="true" outlineLevel="0" collapsed="false">
      <c r="A9" s="336" t="n">
        <v>1</v>
      </c>
      <c r="B9" s="337" t="s">
        <v>3587</v>
      </c>
      <c r="C9" s="337"/>
      <c r="D9" s="337"/>
      <c r="E9" s="337" t="s">
        <v>261</v>
      </c>
      <c r="F9" s="338" t="s">
        <v>3588</v>
      </c>
      <c r="G9" s="337" t="s">
        <v>3589</v>
      </c>
      <c r="H9" s="337"/>
      <c r="I9" s="337" t="s">
        <v>263</v>
      </c>
      <c r="J9" s="337" t="s">
        <v>3590</v>
      </c>
      <c r="K9" s="337" t="s">
        <v>260</v>
      </c>
      <c r="L9" s="339" t="n">
        <v>36230</v>
      </c>
      <c r="M9" s="339" t="n">
        <v>15040</v>
      </c>
      <c r="N9" s="340" t="n">
        <v>21190</v>
      </c>
      <c r="O9" s="339" t="n">
        <v>36560</v>
      </c>
      <c r="P9" s="339" t="n">
        <v>15140</v>
      </c>
      <c r="Q9" s="339" t="n">
        <v>21420</v>
      </c>
      <c r="R9" s="341" t="n">
        <v>-230</v>
      </c>
    </row>
    <row r="10" customFormat="false" ht="10.5" hidden="false" customHeight="true" outlineLevel="0" collapsed="false">
      <c r="A10" s="336"/>
      <c r="B10" s="337"/>
      <c r="C10" s="337"/>
      <c r="D10" s="337"/>
      <c r="E10" s="337"/>
      <c r="F10" s="338"/>
      <c r="G10" s="337"/>
      <c r="H10" s="337"/>
      <c r="I10" s="337"/>
      <c r="J10" s="337"/>
      <c r="K10" s="337"/>
      <c r="L10" s="339"/>
      <c r="M10" s="339"/>
      <c r="N10" s="340"/>
      <c r="O10" s="339"/>
      <c r="P10" s="339"/>
      <c r="Q10" s="339"/>
      <c r="R10" s="339"/>
    </row>
    <row r="11" customFormat="false" ht="10.5" hidden="false" customHeight="true" outlineLevel="0" collapsed="false">
      <c r="A11" s="336" t="n">
        <v>2</v>
      </c>
      <c r="B11" s="337" t="s">
        <v>3591</v>
      </c>
      <c r="C11" s="337"/>
      <c r="D11" s="337"/>
      <c r="E11" s="337" t="s">
        <v>266</v>
      </c>
      <c r="F11" s="338" t="s">
        <v>3592</v>
      </c>
      <c r="G11" s="337" t="s">
        <v>3593</v>
      </c>
      <c r="H11" s="337"/>
      <c r="I11" s="337" t="s">
        <v>263</v>
      </c>
      <c r="J11" s="337" t="s">
        <v>3590</v>
      </c>
      <c r="K11" s="337" t="s">
        <v>260</v>
      </c>
      <c r="L11" s="339" t="n">
        <v>37090</v>
      </c>
      <c r="M11" s="339" t="n">
        <v>14910</v>
      </c>
      <c r="N11" s="340" t="n">
        <v>22180</v>
      </c>
      <c r="O11" s="339" t="n">
        <v>37460</v>
      </c>
      <c r="P11" s="339" t="n">
        <v>15060</v>
      </c>
      <c r="Q11" s="339" t="n">
        <v>22400</v>
      </c>
      <c r="R11" s="341" t="n">
        <v>-220</v>
      </c>
    </row>
    <row r="12" customFormat="false" ht="10.5" hidden="false" customHeight="true" outlineLevel="0" collapsed="false">
      <c r="A12" s="336"/>
      <c r="B12" s="337"/>
      <c r="C12" s="337"/>
      <c r="D12" s="337"/>
      <c r="E12" s="337"/>
      <c r="F12" s="338"/>
      <c r="G12" s="337"/>
      <c r="H12" s="337"/>
      <c r="I12" s="337"/>
      <c r="J12" s="337"/>
      <c r="K12" s="337"/>
      <c r="L12" s="339"/>
      <c r="M12" s="339"/>
      <c r="N12" s="340"/>
      <c r="O12" s="339"/>
      <c r="P12" s="339"/>
      <c r="Q12" s="339"/>
      <c r="R12" s="339"/>
    </row>
    <row r="13" customFormat="false" ht="10.5" hidden="false" customHeight="true" outlineLevel="0" collapsed="false">
      <c r="A13" s="336" t="n">
        <v>3</v>
      </c>
      <c r="B13" s="337" t="s">
        <v>3594</v>
      </c>
      <c r="C13" s="337"/>
      <c r="D13" s="337"/>
      <c r="E13" s="337" t="s">
        <v>261</v>
      </c>
      <c r="F13" s="338" t="s">
        <v>3588</v>
      </c>
      <c r="G13" s="337" t="s">
        <v>3589</v>
      </c>
      <c r="H13" s="337"/>
      <c r="I13" s="337" t="s">
        <v>263</v>
      </c>
      <c r="J13" s="337" t="s">
        <v>3590</v>
      </c>
      <c r="K13" s="337" t="s">
        <v>260</v>
      </c>
      <c r="L13" s="339" t="n">
        <v>37890</v>
      </c>
      <c r="M13" s="339" t="n">
        <v>15090</v>
      </c>
      <c r="N13" s="340" t="n">
        <v>22800</v>
      </c>
      <c r="O13" s="339" t="n">
        <v>38140</v>
      </c>
      <c r="P13" s="339" t="n">
        <v>15180</v>
      </c>
      <c r="Q13" s="339" t="n">
        <v>22960</v>
      </c>
      <c r="R13" s="341" t="n">
        <v>-160</v>
      </c>
    </row>
    <row r="14" customFormat="false" ht="10.5" hidden="false" customHeight="true" outlineLevel="0" collapsed="false">
      <c r="A14" s="336"/>
      <c r="B14" s="337"/>
      <c r="C14" s="337"/>
      <c r="D14" s="337"/>
      <c r="E14" s="337"/>
      <c r="F14" s="338"/>
      <c r="G14" s="337"/>
      <c r="H14" s="337"/>
      <c r="I14" s="337"/>
      <c r="J14" s="337"/>
      <c r="K14" s="337"/>
      <c r="L14" s="339"/>
      <c r="M14" s="339"/>
      <c r="N14" s="340"/>
      <c r="O14" s="339"/>
      <c r="P14" s="339"/>
      <c r="Q14" s="339"/>
      <c r="R14" s="339"/>
    </row>
    <row r="15" customFormat="false" ht="10.5" hidden="false" customHeight="true" outlineLevel="0" collapsed="false">
      <c r="A15" s="336" t="n">
        <v>4</v>
      </c>
      <c r="B15" s="337" t="s">
        <v>3595</v>
      </c>
      <c r="C15" s="337"/>
      <c r="D15" s="337"/>
      <c r="E15" s="337" t="s">
        <v>272</v>
      </c>
      <c r="F15" s="338" t="s">
        <v>3596</v>
      </c>
      <c r="G15" s="337" t="s">
        <v>3597</v>
      </c>
      <c r="H15" s="337"/>
      <c r="I15" s="337" t="s">
        <v>263</v>
      </c>
      <c r="J15" s="337" t="s">
        <v>3590</v>
      </c>
      <c r="K15" s="337" t="s">
        <v>260</v>
      </c>
      <c r="L15" s="339" t="n">
        <v>37200</v>
      </c>
      <c r="M15" s="339" t="n">
        <v>15430</v>
      </c>
      <c r="N15" s="340" t="n">
        <v>21770</v>
      </c>
      <c r="O15" s="339" t="n">
        <v>37500</v>
      </c>
      <c r="P15" s="339" t="n">
        <v>15520</v>
      </c>
      <c r="Q15" s="339" t="n">
        <v>21980</v>
      </c>
      <c r="R15" s="341" t="n">
        <v>-210</v>
      </c>
    </row>
    <row r="16" customFormat="false" ht="10.5" hidden="false" customHeight="true" outlineLevel="0" collapsed="false">
      <c r="A16" s="336"/>
      <c r="B16" s="337"/>
      <c r="C16" s="337"/>
      <c r="D16" s="337"/>
      <c r="E16" s="337"/>
      <c r="F16" s="338"/>
      <c r="G16" s="337"/>
      <c r="H16" s="337"/>
      <c r="I16" s="337"/>
      <c r="J16" s="337"/>
      <c r="K16" s="337"/>
      <c r="L16" s="339"/>
      <c r="M16" s="339"/>
      <c r="N16" s="340"/>
      <c r="O16" s="339"/>
      <c r="P16" s="339"/>
      <c r="Q16" s="339"/>
      <c r="R16" s="339"/>
    </row>
    <row r="17" customFormat="false" ht="10.5" hidden="false" customHeight="true" outlineLevel="0" collapsed="false">
      <c r="A17" s="336" t="n">
        <v>5</v>
      </c>
      <c r="B17" s="337" t="s">
        <v>3598</v>
      </c>
      <c r="C17" s="337"/>
      <c r="D17" s="337"/>
      <c r="E17" s="337" t="s">
        <v>277</v>
      </c>
      <c r="F17" s="338" t="s">
        <v>3599</v>
      </c>
      <c r="G17" s="337" t="s">
        <v>3600</v>
      </c>
      <c r="H17" s="337"/>
      <c r="I17" s="337" t="s">
        <v>279</v>
      </c>
      <c r="J17" s="337" t="s">
        <v>3590</v>
      </c>
      <c r="K17" s="337" t="s">
        <v>276</v>
      </c>
      <c r="L17" s="339" t="n">
        <v>41870</v>
      </c>
      <c r="M17" s="339" t="n">
        <v>15090</v>
      </c>
      <c r="N17" s="340" t="n">
        <v>26780</v>
      </c>
      <c r="O17" s="339" t="n">
        <v>42320</v>
      </c>
      <c r="P17" s="339" t="n">
        <v>15220</v>
      </c>
      <c r="Q17" s="339" t="n">
        <v>27100</v>
      </c>
      <c r="R17" s="341" t="n">
        <v>-320</v>
      </c>
    </row>
    <row r="18" customFormat="false" ht="10.5" hidden="false" customHeight="true" outlineLevel="0" collapsed="false">
      <c r="A18" s="336"/>
      <c r="B18" s="337"/>
      <c r="C18" s="337"/>
      <c r="D18" s="337"/>
      <c r="E18" s="337"/>
      <c r="F18" s="338"/>
      <c r="G18" s="337"/>
      <c r="H18" s="337"/>
      <c r="I18" s="337"/>
      <c r="J18" s="337"/>
      <c r="K18" s="337"/>
      <c r="L18" s="339"/>
      <c r="M18" s="339"/>
      <c r="N18" s="340"/>
      <c r="O18" s="339"/>
      <c r="P18" s="339"/>
      <c r="Q18" s="339"/>
      <c r="R18" s="339"/>
    </row>
    <row r="19" customFormat="false" ht="10.5" hidden="false" customHeight="true" outlineLevel="0" collapsed="false">
      <c r="A19" s="336" t="n">
        <v>6</v>
      </c>
      <c r="B19" s="337" t="s">
        <v>3601</v>
      </c>
      <c r="C19" s="337"/>
      <c r="D19" s="337"/>
      <c r="E19" s="337" t="s">
        <v>282</v>
      </c>
      <c r="F19" s="338" t="s">
        <v>3602</v>
      </c>
      <c r="G19" s="337" t="s">
        <v>3603</v>
      </c>
      <c r="H19" s="337"/>
      <c r="I19" s="337" t="s">
        <v>279</v>
      </c>
      <c r="J19" s="337" t="s">
        <v>1509</v>
      </c>
      <c r="K19" s="337" t="s">
        <v>276</v>
      </c>
      <c r="L19" s="339" t="n">
        <v>37590</v>
      </c>
      <c r="M19" s="339" t="n">
        <v>15090</v>
      </c>
      <c r="N19" s="340" t="n">
        <v>22500</v>
      </c>
      <c r="O19" s="339" t="n">
        <v>37940</v>
      </c>
      <c r="P19" s="339" t="n">
        <v>15200</v>
      </c>
      <c r="Q19" s="339" t="n">
        <v>22740</v>
      </c>
      <c r="R19" s="341" t="n">
        <v>-240</v>
      </c>
    </row>
    <row r="20" customFormat="false" ht="10.5" hidden="false" customHeight="true" outlineLevel="0" collapsed="false">
      <c r="A20" s="336"/>
      <c r="B20" s="337"/>
      <c r="C20" s="337"/>
      <c r="D20" s="337"/>
      <c r="E20" s="337"/>
      <c r="F20" s="338"/>
      <c r="G20" s="337"/>
      <c r="H20" s="337"/>
      <c r="I20" s="337"/>
      <c r="J20" s="337"/>
      <c r="K20" s="337"/>
      <c r="L20" s="339"/>
      <c r="M20" s="339"/>
      <c r="N20" s="340"/>
      <c r="O20" s="339"/>
      <c r="P20" s="339"/>
      <c r="Q20" s="339"/>
      <c r="R20" s="339"/>
    </row>
    <row r="21" customFormat="false" ht="10.5" hidden="false" customHeight="true" outlineLevel="0" collapsed="false">
      <c r="A21" s="336" t="n">
        <v>7</v>
      </c>
      <c r="B21" s="337" t="s">
        <v>3604</v>
      </c>
      <c r="C21" s="337"/>
      <c r="D21" s="337"/>
      <c r="E21" s="337" t="s">
        <v>266</v>
      </c>
      <c r="F21" s="338" t="s">
        <v>3592</v>
      </c>
      <c r="G21" s="337" t="s">
        <v>3593</v>
      </c>
      <c r="H21" s="337"/>
      <c r="I21" s="337" t="s">
        <v>279</v>
      </c>
      <c r="J21" s="337" t="s">
        <v>3590</v>
      </c>
      <c r="K21" s="337" t="s">
        <v>276</v>
      </c>
      <c r="L21" s="339" t="n">
        <v>38810</v>
      </c>
      <c r="M21" s="339" t="n">
        <v>14990</v>
      </c>
      <c r="N21" s="340" t="n">
        <v>23820</v>
      </c>
      <c r="O21" s="339" t="n">
        <v>39240</v>
      </c>
      <c r="P21" s="339" t="n">
        <v>15120</v>
      </c>
      <c r="Q21" s="339" t="n">
        <v>24120</v>
      </c>
      <c r="R21" s="341" t="n">
        <v>-300</v>
      </c>
    </row>
    <row r="22" customFormat="false" ht="10.5" hidden="false" customHeight="true" outlineLevel="0" collapsed="false">
      <c r="A22" s="336"/>
      <c r="B22" s="337"/>
      <c r="C22" s="337"/>
      <c r="D22" s="337"/>
      <c r="E22" s="337"/>
      <c r="F22" s="338"/>
      <c r="G22" s="337"/>
      <c r="H22" s="337"/>
      <c r="I22" s="337"/>
      <c r="J22" s="337"/>
      <c r="K22" s="337"/>
      <c r="L22" s="339"/>
      <c r="M22" s="339"/>
      <c r="N22" s="340"/>
      <c r="O22" s="339"/>
      <c r="P22" s="339"/>
      <c r="Q22" s="339"/>
      <c r="R22" s="339"/>
    </row>
    <row r="23" customFormat="false" ht="10.5" hidden="false" customHeight="true" outlineLevel="0" collapsed="false">
      <c r="A23" s="336" t="n">
        <v>8</v>
      </c>
      <c r="B23" s="337" t="s">
        <v>3605</v>
      </c>
      <c r="C23" s="337"/>
      <c r="D23" s="337"/>
      <c r="E23" s="337" t="s">
        <v>288</v>
      </c>
      <c r="F23" s="338" t="s">
        <v>3606</v>
      </c>
      <c r="G23" s="337" t="s">
        <v>3607</v>
      </c>
      <c r="H23" s="337"/>
      <c r="I23" s="337" t="s">
        <v>279</v>
      </c>
      <c r="J23" s="337" t="s">
        <v>1509</v>
      </c>
      <c r="K23" s="337" t="s">
        <v>276</v>
      </c>
      <c r="L23" s="339" t="n">
        <v>37320</v>
      </c>
      <c r="M23" s="339" t="n">
        <v>14630</v>
      </c>
      <c r="N23" s="340" t="n">
        <v>22690</v>
      </c>
      <c r="O23" s="339" t="n">
        <v>37660</v>
      </c>
      <c r="P23" s="339" t="n">
        <v>14760</v>
      </c>
      <c r="Q23" s="339" t="n">
        <v>22900</v>
      </c>
      <c r="R23" s="341" t="n">
        <v>-210</v>
      </c>
    </row>
    <row r="24" customFormat="false" ht="10.5" hidden="false" customHeight="true" outlineLevel="0" collapsed="false">
      <c r="A24" s="336"/>
      <c r="B24" s="337"/>
      <c r="C24" s="337"/>
      <c r="D24" s="337"/>
      <c r="E24" s="337"/>
      <c r="F24" s="338"/>
      <c r="G24" s="337"/>
      <c r="H24" s="337"/>
      <c r="I24" s="337"/>
      <c r="J24" s="337"/>
      <c r="K24" s="337"/>
      <c r="L24" s="339"/>
      <c r="M24" s="339"/>
      <c r="N24" s="340"/>
      <c r="O24" s="339"/>
      <c r="P24" s="339"/>
      <c r="Q24" s="339"/>
      <c r="R24" s="339"/>
    </row>
    <row r="25" customFormat="false" ht="10.5" hidden="false" customHeight="true" outlineLevel="0" collapsed="false">
      <c r="A25" s="336" t="n">
        <v>9</v>
      </c>
      <c r="B25" s="337" t="s">
        <v>3608</v>
      </c>
      <c r="C25" s="337"/>
      <c r="D25" s="337"/>
      <c r="E25" s="337" t="s">
        <v>292</v>
      </c>
      <c r="F25" s="338" t="s">
        <v>3609</v>
      </c>
      <c r="G25" s="337" t="s">
        <v>3610</v>
      </c>
      <c r="H25" s="337"/>
      <c r="I25" s="337" t="s">
        <v>263</v>
      </c>
      <c r="J25" s="337" t="s">
        <v>1509</v>
      </c>
      <c r="K25" s="337" t="s">
        <v>260</v>
      </c>
      <c r="L25" s="339" t="n">
        <v>37560</v>
      </c>
      <c r="M25" s="339" t="n">
        <v>13900</v>
      </c>
      <c r="N25" s="340" t="n">
        <v>23660</v>
      </c>
      <c r="O25" s="339" t="n">
        <v>37960</v>
      </c>
      <c r="P25" s="339" t="n">
        <v>14020</v>
      </c>
      <c r="Q25" s="339" t="n">
        <v>23940</v>
      </c>
      <c r="R25" s="341" t="n">
        <v>-280</v>
      </c>
    </row>
    <row r="26" customFormat="false" ht="10.5" hidden="false" customHeight="true" outlineLevel="0" collapsed="false">
      <c r="A26" s="336"/>
      <c r="B26" s="337"/>
      <c r="C26" s="337"/>
      <c r="D26" s="337"/>
      <c r="E26" s="337"/>
      <c r="F26" s="338"/>
      <c r="G26" s="337"/>
      <c r="H26" s="337"/>
      <c r="I26" s="337"/>
      <c r="J26" s="337"/>
      <c r="K26" s="337"/>
      <c r="L26" s="339"/>
      <c r="M26" s="339"/>
      <c r="N26" s="340"/>
      <c r="O26" s="339"/>
      <c r="P26" s="339"/>
      <c r="Q26" s="339"/>
      <c r="R26" s="339"/>
    </row>
    <row r="27" customFormat="false" ht="10.5" hidden="false" customHeight="true" outlineLevel="0" collapsed="false">
      <c r="A27" s="336" t="n">
        <v>10</v>
      </c>
      <c r="B27" s="337" t="s">
        <v>3611</v>
      </c>
      <c r="C27" s="337"/>
      <c r="D27" s="337"/>
      <c r="E27" s="337" t="s">
        <v>300</v>
      </c>
      <c r="F27" s="338" t="s">
        <v>3612</v>
      </c>
      <c r="G27" s="337" t="s">
        <v>3613</v>
      </c>
      <c r="H27" s="337"/>
      <c r="I27" s="337" t="s">
        <v>279</v>
      </c>
      <c r="J27" s="337" t="s">
        <v>1509</v>
      </c>
      <c r="K27" s="337" t="s">
        <v>276</v>
      </c>
      <c r="L27" s="339" t="n">
        <v>56030</v>
      </c>
      <c r="M27" s="339" t="n">
        <v>20980</v>
      </c>
      <c r="N27" s="340" t="n">
        <v>35050</v>
      </c>
      <c r="O27" s="339" t="n">
        <v>56660</v>
      </c>
      <c r="P27" s="339" t="n">
        <v>21140</v>
      </c>
      <c r="Q27" s="339" t="n">
        <v>35520</v>
      </c>
      <c r="R27" s="341" t="n">
        <v>-470</v>
      </c>
    </row>
    <row r="28" customFormat="false" ht="10.5" hidden="false" customHeight="true" outlineLevel="0" collapsed="false">
      <c r="A28" s="336"/>
      <c r="B28" s="337"/>
      <c r="C28" s="337"/>
      <c r="D28" s="337"/>
      <c r="E28" s="337"/>
      <c r="F28" s="338"/>
      <c r="G28" s="337"/>
      <c r="H28" s="337"/>
      <c r="I28" s="337"/>
      <c r="J28" s="337" t="s">
        <v>25</v>
      </c>
      <c r="K28" s="337" t="s">
        <v>3614</v>
      </c>
      <c r="L28" s="339"/>
      <c r="M28" s="339"/>
      <c r="N28" s="340"/>
      <c r="O28" s="339"/>
      <c r="P28" s="339"/>
      <c r="Q28" s="339"/>
      <c r="R28" s="339"/>
    </row>
    <row r="29" customFormat="false" ht="10.5" hidden="false" customHeight="true" outlineLevel="0" collapsed="false">
      <c r="A29" s="336" t="n">
        <v>11</v>
      </c>
      <c r="B29" s="337" t="s">
        <v>3615</v>
      </c>
      <c r="C29" s="337"/>
      <c r="D29" s="337"/>
      <c r="E29" s="337" t="s">
        <v>296</v>
      </c>
      <c r="F29" s="338" t="s">
        <v>3616</v>
      </c>
      <c r="G29" s="337" t="s">
        <v>3617</v>
      </c>
      <c r="H29" s="337"/>
      <c r="I29" s="337" t="s">
        <v>263</v>
      </c>
      <c r="J29" s="337" t="s">
        <v>1509</v>
      </c>
      <c r="K29" s="337" t="s">
        <v>260</v>
      </c>
      <c r="L29" s="339" t="n">
        <v>41540</v>
      </c>
      <c r="M29" s="339" t="n">
        <v>15320</v>
      </c>
      <c r="N29" s="340" t="n">
        <v>26220</v>
      </c>
      <c r="O29" s="339" t="n">
        <v>41980</v>
      </c>
      <c r="P29" s="339" t="n">
        <v>15460</v>
      </c>
      <c r="Q29" s="339" t="n">
        <v>26520</v>
      </c>
      <c r="R29" s="341" t="n">
        <v>-300</v>
      </c>
    </row>
    <row r="30" customFormat="false" ht="10.5" hidden="false" customHeight="true" outlineLevel="0" collapsed="false">
      <c r="A30" s="336"/>
      <c r="B30" s="337"/>
      <c r="C30" s="337"/>
      <c r="D30" s="337"/>
      <c r="E30" s="337"/>
      <c r="F30" s="338"/>
      <c r="G30" s="337"/>
      <c r="H30" s="337"/>
      <c r="I30" s="337"/>
      <c r="J30" s="337"/>
      <c r="K30" s="337"/>
      <c r="L30" s="339"/>
      <c r="M30" s="339"/>
      <c r="N30" s="340"/>
      <c r="O30" s="339"/>
      <c r="P30" s="339"/>
      <c r="Q30" s="339"/>
      <c r="R30" s="339"/>
    </row>
    <row r="31" customFormat="false" ht="10.5" hidden="false" customHeight="true" outlineLevel="0" collapsed="false">
      <c r="A31" s="336" t="n">
        <v>12</v>
      </c>
      <c r="B31" s="337" t="s">
        <v>3618</v>
      </c>
      <c r="C31" s="337"/>
      <c r="D31" s="337"/>
      <c r="E31" s="337" t="s">
        <v>304</v>
      </c>
      <c r="F31" s="338" t="s">
        <v>3619</v>
      </c>
      <c r="G31" s="337" t="s">
        <v>3620</v>
      </c>
      <c r="H31" s="337"/>
      <c r="I31" s="337" t="s">
        <v>279</v>
      </c>
      <c r="J31" s="337" t="s">
        <v>1509</v>
      </c>
      <c r="K31" s="337" t="s">
        <v>276</v>
      </c>
      <c r="L31" s="339" t="n">
        <v>39360</v>
      </c>
      <c r="M31" s="339" t="n">
        <v>14980</v>
      </c>
      <c r="N31" s="340" t="n">
        <v>24380</v>
      </c>
      <c r="O31" s="339" t="n">
        <v>39800</v>
      </c>
      <c r="P31" s="339" t="n">
        <v>15080</v>
      </c>
      <c r="Q31" s="339" t="n">
        <v>24720</v>
      </c>
      <c r="R31" s="341" t="n">
        <v>-340</v>
      </c>
    </row>
    <row r="32" customFormat="false" ht="10.5" hidden="false" customHeight="true" outlineLevel="0" collapsed="false">
      <c r="A32" s="336"/>
      <c r="B32" s="337"/>
      <c r="C32" s="337"/>
      <c r="D32" s="337"/>
      <c r="E32" s="337"/>
      <c r="F32" s="338"/>
      <c r="G32" s="337"/>
      <c r="H32" s="337"/>
      <c r="I32" s="337"/>
      <c r="J32" s="337"/>
      <c r="K32" s="337"/>
      <c r="L32" s="339"/>
      <c r="M32" s="339"/>
      <c r="N32" s="340"/>
      <c r="O32" s="339"/>
      <c r="P32" s="339"/>
      <c r="Q32" s="339"/>
      <c r="R32" s="339"/>
    </row>
    <row r="33" customFormat="false" ht="10.5" hidden="false" customHeight="true" outlineLevel="0" collapsed="false">
      <c r="A33" s="336" t="n">
        <v>13</v>
      </c>
      <c r="B33" s="337" t="s">
        <v>3621</v>
      </c>
      <c r="C33" s="337"/>
      <c r="D33" s="337"/>
      <c r="E33" s="337" t="s">
        <v>308</v>
      </c>
      <c r="F33" s="338" t="s">
        <v>3622</v>
      </c>
      <c r="G33" s="337" t="s">
        <v>3623</v>
      </c>
      <c r="H33" s="337"/>
      <c r="I33" s="337" t="s">
        <v>279</v>
      </c>
      <c r="J33" s="337" t="s">
        <v>1509</v>
      </c>
      <c r="K33" s="337" t="s">
        <v>276</v>
      </c>
      <c r="L33" s="339" t="n">
        <v>66280</v>
      </c>
      <c r="M33" s="339" t="n">
        <v>24090</v>
      </c>
      <c r="N33" s="340" t="n">
        <v>42190</v>
      </c>
      <c r="O33" s="339" t="n">
        <v>67100</v>
      </c>
      <c r="P33" s="339" t="n">
        <v>24300</v>
      </c>
      <c r="Q33" s="339" t="n">
        <v>42800</v>
      </c>
      <c r="R33" s="341" t="n">
        <v>-610</v>
      </c>
    </row>
    <row r="34" customFormat="false" ht="10.5" hidden="false" customHeight="true" outlineLevel="0" collapsed="false">
      <c r="A34" s="336"/>
      <c r="B34" s="337"/>
      <c r="C34" s="337"/>
      <c r="D34" s="337"/>
      <c r="E34" s="337"/>
      <c r="F34" s="338"/>
      <c r="G34" s="337"/>
      <c r="H34" s="337"/>
      <c r="I34" s="337"/>
      <c r="J34" s="337"/>
      <c r="K34" s="337"/>
      <c r="L34" s="339"/>
      <c r="M34" s="339"/>
      <c r="N34" s="340"/>
      <c r="O34" s="339"/>
      <c r="P34" s="339"/>
      <c r="Q34" s="339"/>
      <c r="R34" s="339"/>
    </row>
    <row r="35" customFormat="false" ht="10.5" hidden="false" customHeight="true" outlineLevel="0" collapsed="false">
      <c r="A35" s="336" t="n">
        <v>14</v>
      </c>
      <c r="B35" s="337" t="s">
        <v>3624</v>
      </c>
      <c r="C35" s="337"/>
      <c r="D35" s="337"/>
      <c r="E35" s="337" t="s">
        <v>277</v>
      </c>
      <c r="F35" s="338" t="s">
        <v>3599</v>
      </c>
      <c r="G35" s="337" t="s">
        <v>3600</v>
      </c>
      <c r="H35" s="337"/>
      <c r="I35" s="337" t="s">
        <v>279</v>
      </c>
      <c r="J35" s="337" t="s">
        <v>1509</v>
      </c>
      <c r="K35" s="337" t="s">
        <v>276</v>
      </c>
      <c r="L35" s="339" t="n">
        <v>42400</v>
      </c>
      <c r="M35" s="339" t="n">
        <v>15110</v>
      </c>
      <c r="N35" s="340" t="n">
        <v>27290</v>
      </c>
      <c r="O35" s="339" t="n">
        <v>42840</v>
      </c>
      <c r="P35" s="339" t="n">
        <v>15260</v>
      </c>
      <c r="Q35" s="339" t="n">
        <v>27580</v>
      </c>
      <c r="R35" s="341" t="n">
        <v>-290</v>
      </c>
    </row>
    <row r="36" customFormat="false" ht="10.5" hidden="false" customHeight="true" outlineLevel="0" collapsed="false">
      <c r="A36" s="336"/>
      <c r="B36" s="337"/>
      <c r="C36" s="337"/>
      <c r="D36" s="337"/>
      <c r="E36" s="337"/>
      <c r="F36" s="338"/>
      <c r="G36" s="337"/>
      <c r="H36" s="337"/>
      <c r="I36" s="337"/>
      <c r="J36" s="337"/>
      <c r="K36" s="337"/>
      <c r="L36" s="339"/>
      <c r="M36" s="339"/>
      <c r="N36" s="340"/>
      <c r="O36" s="339"/>
      <c r="P36" s="339"/>
      <c r="Q36" s="339"/>
      <c r="R36" s="339"/>
    </row>
    <row r="37" customFormat="false" ht="10.5" hidden="false" customHeight="true" outlineLevel="0" collapsed="false">
      <c r="A37" s="336" t="n">
        <v>15</v>
      </c>
      <c r="B37" s="337" t="s">
        <v>3625</v>
      </c>
      <c r="C37" s="337"/>
      <c r="D37" s="337"/>
      <c r="E37" s="337" t="s">
        <v>282</v>
      </c>
      <c r="F37" s="338" t="s">
        <v>3602</v>
      </c>
      <c r="G37" s="337" t="s">
        <v>3626</v>
      </c>
      <c r="H37" s="337"/>
      <c r="I37" s="337" t="s">
        <v>316</v>
      </c>
      <c r="J37" s="337" t="s">
        <v>1509</v>
      </c>
      <c r="K37" s="337" t="s">
        <v>276</v>
      </c>
      <c r="L37" s="339" t="n">
        <v>38360</v>
      </c>
      <c r="M37" s="339" t="n">
        <v>15080</v>
      </c>
      <c r="N37" s="340" t="n">
        <v>23280</v>
      </c>
      <c r="O37" s="339" t="n">
        <v>38780</v>
      </c>
      <c r="P37" s="339" t="n">
        <v>15200</v>
      </c>
      <c r="Q37" s="339" t="n">
        <v>23580</v>
      </c>
      <c r="R37" s="341" t="n">
        <v>-300</v>
      </c>
    </row>
    <row r="38" customFormat="false" ht="10.5" hidden="false" customHeight="true" outlineLevel="0" collapsed="false">
      <c r="A38" s="336"/>
      <c r="B38" s="337"/>
      <c r="C38" s="337"/>
      <c r="D38" s="337"/>
      <c r="E38" s="337"/>
      <c r="F38" s="338"/>
      <c r="G38" s="337"/>
      <c r="H38" s="337"/>
      <c r="I38" s="337"/>
      <c r="J38" s="337"/>
      <c r="K38" s="337"/>
      <c r="L38" s="339"/>
      <c r="M38" s="339"/>
      <c r="N38" s="340"/>
      <c r="O38" s="339"/>
      <c r="P38" s="339"/>
      <c r="Q38" s="339"/>
      <c r="R38" s="339"/>
    </row>
    <row r="39" customFormat="false" ht="10.5" hidden="false" customHeight="true" outlineLevel="0" collapsed="false">
      <c r="A39" s="336" t="n">
        <v>16</v>
      </c>
      <c r="B39" s="337" t="s">
        <v>3627</v>
      </c>
      <c r="C39" s="337"/>
      <c r="D39" s="337"/>
      <c r="E39" s="337" t="s">
        <v>266</v>
      </c>
      <c r="F39" s="338" t="s">
        <v>3592</v>
      </c>
      <c r="G39" s="337" t="s">
        <v>3593</v>
      </c>
      <c r="H39" s="337"/>
      <c r="I39" s="337" t="s">
        <v>316</v>
      </c>
      <c r="J39" s="337" t="s">
        <v>3590</v>
      </c>
      <c r="K39" s="337" t="s">
        <v>276</v>
      </c>
      <c r="L39" s="339" t="n">
        <v>39290</v>
      </c>
      <c r="M39" s="339" t="n">
        <v>15120</v>
      </c>
      <c r="N39" s="340" t="n">
        <v>24170</v>
      </c>
      <c r="O39" s="339" t="n">
        <v>39440</v>
      </c>
      <c r="P39" s="339" t="n">
        <v>14980</v>
      </c>
      <c r="Q39" s="339" t="n">
        <v>24460</v>
      </c>
      <c r="R39" s="341" t="n">
        <v>-290</v>
      </c>
    </row>
    <row r="40" customFormat="false" ht="10.5" hidden="false" customHeight="true" outlineLevel="0" collapsed="false">
      <c r="A40" s="336"/>
      <c r="B40" s="337"/>
      <c r="C40" s="337"/>
      <c r="D40" s="337"/>
      <c r="E40" s="337"/>
      <c r="F40" s="338"/>
      <c r="G40" s="337"/>
      <c r="H40" s="337"/>
      <c r="I40" s="337"/>
      <c r="J40" s="337"/>
      <c r="K40" s="337"/>
      <c r="L40" s="339"/>
      <c r="M40" s="339"/>
      <c r="N40" s="340"/>
      <c r="O40" s="339"/>
      <c r="P40" s="339"/>
      <c r="Q40" s="339"/>
      <c r="R40" s="339"/>
    </row>
    <row r="41" customFormat="false" ht="10.5" hidden="false" customHeight="true" outlineLevel="0" collapsed="false">
      <c r="A41" s="336" t="n">
        <v>17</v>
      </c>
      <c r="B41" s="337" t="s">
        <v>3628</v>
      </c>
      <c r="C41" s="337"/>
      <c r="D41" s="337"/>
      <c r="E41" s="337" t="s">
        <v>323</v>
      </c>
      <c r="F41" s="338" t="s">
        <v>3629</v>
      </c>
      <c r="G41" s="337" t="s">
        <v>3630</v>
      </c>
      <c r="H41" s="337"/>
      <c r="I41" s="337" t="s">
        <v>316</v>
      </c>
      <c r="J41" s="337" t="s">
        <v>3590</v>
      </c>
      <c r="K41" s="337" t="s">
        <v>276</v>
      </c>
      <c r="L41" s="339" t="n">
        <v>38920</v>
      </c>
      <c r="M41" s="339" t="n">
        <v>14650</v>
      </c>
      <c r="N41" s="340" t="n">
        <v>24270</v>
      </c>
      <c r="O41" s="339" t="n">
        <v>39280</v>
      </c>
      <c r="P41" s="339" t="n">
        <v>14740</v>
      </c>
      <c r="Q41" s="339" t="n">
        <v>24540</v>
      </c>
      <c r="R41" s="341" t="n">
        <v>-270</v>
      </c>
    </row>
    <row r="42" customFormat="false" ht="10.5" hidden="false" customHeight="true" outlineLevel="0" collapsed="false">
      <c r="A42" s="336"/>
      <c r="B42" s="337"/>
      <c r="C42" s="337"/>
      <c r="D42" s="337"/>
      <c r="E42" s="337"/>
      <c r="F42" s="338"/>
      <c r="G42" s="337"/>
      <c r="H42" s="337"/>
      <c r="I42" s="337"/>
      <c r="J42" s="337"/>
      <c r="K42" s="337"/>
      <c r="L42" s="339"/>
      <c r="M42" s="339"/>
      <c r="N42" s="340"/>
      <c r="O42" s="339"/>
      <c r="P42" s="339"/>
      <c r="Q42" s="339"/>
      <c r="R42" s="339"/>
    </row>
    <row r="43" customFormat="false" ht="10.5" hidden="false" customHeight="true" outlineLevel="0" collapsed="false">
      <c r="A43" s="336" t="n">
        <v>18</v>
      </c>
      <c r="B43" s="337" t="s">
        <v>3631</v>
      </c>
      <c r="C43" s="337"/>
      <c r="D43" s="337"/>
      <c r="E43" s="337" t="s">
        <v>261</v>
      </c>
      <c r="F43" s="338" t="s">
        <v>3588</v>
      </c>
      <c r="G43" s="337" t="s">
        <v>3589</v>
      </c>
      <c r="H43" s="337"/>
      <c r="I43" s="337" t="s">
        <v>263</v>
      </c>
      <c r="J43" s="337" t="s">
        <v>1509</v>
      </c>
      <c r="K43" s="337" t="s">
        <v>260</v>
      </c>
      <c r="L43" s="339" t="n">
        <v>38060</v>
      </c>
      <c r="M43" s="339" t="n">
        <v>15070</v>
      </c>
      <c r="N43" s="340" t="n">
        <v>22990</v>
      </c>
      <c r="O43" s="339" t="n">
        <v>38480</v>
      </c>
      <c r="P43" s="339" t="n">
        <v>15180</v>
      </c>
      <c r="Q43" s="339" t="n">
        <v>23300</v>
      </c>
      <c r="R43" s="341" t="n">
        <v>-310</v>
      </c>
    </row>
    <row r="44" customFormat="false" ht="10.5" hidden="false" customHeight="true" outlineLevel="0" collapsed="false">
      <c r="A44" s="336"/>
      <c r="B44" s="337"/>
      <c r="C44" s="337"/>
      <c r="D44" s="337"/>
      <c r="E44" s="337"/>
      <c r="F44" s="338"/>
      <c r="G44" s="337"/>
      <c r="H44" s="337"/>
      <c r="I44" s="337"/>
      <c r="J44" s="337"/>
      <c r="K44" s="337"/>
      <c r="L44" s="339"/>
      <c r="M44" s="339"/>
      <c r="N44" s="340"/>
      <c r="O44" s="339"/>
      <c r="P44" s="339"/>
      <c r="Q44" s="339"/>
      <c r="R44" s="339"/>
    </row>
    <row r="45" customFormat="false" ht="10.5" hidden="false" customHeight="true" outlineLevel="0" collapsed="false">
      <c r="A45" s="336" t="n">
        <v>19</v>
      </c>
      <c r="B45" s="337" t="s">
        <v>3632</v>
      </c>
      <c r="C45" s="337"/>
      <c r="D45" s="337"/>
      <c r="E45" s="337" t="s">
        <v>272</v>
      </c>
      <c r="F45" s="338" t="s">
        <v>3596</v>
      </c>
      <c r="G45" s="337" t="s">
        <v>3597</v>
      </c>
      <c r="H45" s="337"/>
      <c r="I45" s="337" t="s">
        <v>263</v>
      </c>
      <c r="J45" s="337" t="s">
        <v>1509</v>
      </c>
      <c r="K45" s="337" t="s">
        <v>260</v>
      </c>
      <c r="L45" s="339" t="n">
        <v>37360</v>
      </c>
      <c r="M45" s="339" t="n">
        <v>15460</v>
      </c>
      <c r="N45" s="340" t="n">
        <v>21900</v>
      </c>
      <c r="O45" s="339" t="n">
        <v>37820</v>
      </c>
      <c r="P45" s="339" t="n">
        <v>15580</v>
      </c>
      <c r="Q45" s="339" t="n">
        <v>22240</v>
      </c>
      <c r="R45" s="341" t="n">
        <v>-340</v>
      </c>
    </row>
    <row r="46" customFormat="false" ht="10.5" hidden="false" customHeight="true" outlineLevel="0" collapsed="false">
      <c r="A46" s="336"/>
      <c r="B46" s="337"/>
      <c r="C46" s="337"/>
      <c r="D46" s="337"/>
      <c r="E46" s="337"/>
      <c r="F46" s="338"/>
      <c r="G46" s="337"/>
      <c r="H46" s="337"/>
      <c r="I46" s="337"/>
      <c r="J46" s="337"/>
      <c r="K46" s="337"/>
      <c r="L46" s="339"/>
      <c r="M46" s="339"/>
      <c r="N46" s="340"/>
      <c r="O46" s="339"/>
      <c r="P46" s="339"/>
      <c r="Q46" s="339"/>
      <c r="R46" s="339"/>
    </row>
    <row r="47" customFormat="false" ht="10.5" hidden="false" customHeight="true" outlineLevel="0" collapsed="false">
      <c r="A47" s="336" t="n">
        <v>20</v>
      </c>
      <c r="B47" s="337" t="s">
        <v>3633</v>
      </c>
      <c r="C47" s="337"/>
      <c r="D47" s="337"/>
      <c r="E47" s="337" t="s">
        <v>292</v>
      </c>
      <c r="F47" s="338" t="s">
        <v>3609</v>
      </c>
      <c r="G47" s="337" t="s">
        <v>3610</v>
      </c>
      <c r="H47" s="337"/>
      <c r="I47" s="337" t="s">
        <v>327</v>
      </c>
      <c r="J47" s="337" t="s">
        <v>1509</v>
      </c>
      <c r="K47" s="337" t="s">
        <v>326</v>
      </c>
      <c r="L47" s="339" t="n">
        <v>34410</v>
      </c>
      <c r="M47" s="339" t="n">
        <v>13910</v>
      </c>
      <c r="N47" s="340" t="n">
        <v>20500</v>
      </c>
      <c r="O47" s="339" t="n">
        <v>34560</v>
      </c>
      <c r="P47" s="339" t="n">
        <v>13980</v>
      </c>
      <c r="Q47" s="339" t="n">
        <v>20580</v>
      </c>
      <c r="R47" s="341" t="n">
        <v>-80</v>
      </c>
    </row>
    <row r="48" customFormat="false" ht="10.5" hidden="false" customHeight="true" outlineLevel="0" collapsed="false">
      <c r="A48" s="336"/>
      <c r="B48" s="337"/>
      <c r="C48" s="337"/>
      <c r="D48" s="337"/>
      <c r="E48" s="337"/>
      <c r="F48" s="338"/>
      <c r="G48" s="337"/>
      <c r="H48" s="337"/>
      <c r="I48" s="337"/>
      <c r="J48" s="337" t="s">
        <v>3634</v>
      </c>
      <c r="K48" s="337" t="s">
        <v>3635</v>
      </c>
      <c r="L48" s="339"/>
      <c r="M48" s="339"/>
      <c r="N48" s="340"/>
      <c r="O48" s="339"/>
      <c r="P48" s="339"/>
      <c r="Q48" s="339"/>
      <c r="R48" s="339"/>
    </row>
    <row r="49" customFormat="false" ht="10.5" hidden="false" customHeight="true" outlineLevel="0" collapsed="false">
      <c r="A49" s="336" t="n">
        <v>21</v>
      </c>
      <c r="B49" s="337" t="s">
        <v>3636</v>
      </c>
      <c r="C49" s="337"/>
      <c r="D49" s="337"/>
      <c r="E49" s="337" t="s">
        <v>277</v>
      </c>
      <c r="F49" s="338" t="s">
        <v>3599</v>
      </c>
      <c r="G49" s="337" t="s">
        <v>3600</v>
      </c>
      <c r="H49" s="337"/>
      <c r="I49" s="337" t="s">
        <v>327</v>
      </c>
      <c r="J49" s="337" t="s">
        <v>1509</v>
      </c>
      <c r="K49" s="337" t="s">
        <v>326</v>
      </c>
      <c r="L49" s="339" t="n">
        <v>36660</v>
      </c>
      <c r="M49" s="339" t="n">
        <v>15050</v>
      </c>
      <c r="N49" s="340" t="n">
        <v>21610</v>
      </c>
      <c r="O49" s="339" t="n">
        <v>36820</v>
      </c>
      <c r="P49" s="339" t="n">
        <v>15120</v>
      </c>
      <c r="Q49" s="339" t="n">
        <v>21700</v>
      </c>
      <c r="R49" s="341" t="n">
        <v>-90</v>
      </c>
    </row>
    <row r="50" customFormat="false" ht="10.5" hidden="false" customHeight="true" outlineLevel="0" collapsed="false">
      <c r="A50" s="336"/>
      <c r="B50" s="337"/>
      <c r="C50" s="337"/>
      <c r="D50" s="337"/>
      <c r="E50" s="337"/>
      <c r="F50" s="338"/>
      <c r="G50" s="337"/>
      <c r="H50" s="337"/>
      <c r="I50" s="337"/>
      <c r="J50" s="337" t="s">
        <v>3634</v>
      </c>
      <c r="K50" s="337" t="s">
        <v>3635</v>
      </c>
      <c r="L50" s="339"/>
      <c r="M50" s="339"/>
      <c r="N50" s="340"/>
      <c r="O50" s="339"/>
      <c r="P50" s="339"/>
      <c r="Q50" s="339"/>
      <c r="R50" s="339"/>
    </row>
    <row r="51" customFormat="false" ht="10.5" hidden="false" customHeight="true" outlineLevel="0" collapsed="false">
      <c r="A51" s="336" t="n">
        <v>22</v>
      </c>
      <c r="B51" s="337" t="s">
        <v>3637</v>
      </c>
      <c r="C51" s="337"/>
      <c r="D51" s="337"/>
      <c r="E51" s="337" t="s">
        <v>332</v>
      </c>
      <c r="F51" s="338" t="s">
        <v>3638</v>
      </c>
      <c r="G51" s="337" t="s">
        <v>3639</v>
      </c>
      <c r="H51" s="337"/>
      <c r="I51" s="337" t="s">
        <v>327</v>
      </c>
      <c r="J51" s="337" t="s">
        <v>1509</v>
      </c>
      <c r="K51" s="337" t="s">
        <v>326</v>
      </c>
      <c r="L51" s="339" t="n">
        <v>36320</v>
      </c>
      <c r="M51" s="339" t="n">
        <v>14710</v>
      </c>
      <c r="N51" s="340" t="n">
        <v>21610</v>
      </c>
      <c r="O51" s="339" t="n">
        <v>36500</v>
      </c>
      <c r="P51" s="339" t="n">
        <v>14800</v>
      </c>
      <c r="Q51" s="339" t="n">
        <v>21700</v>
      </c>
      <c r="R51" s="341" t="n">
        <v>-90</v>
      </c>
    </row>
    <row r="52" customFormat="false" ht="10.5" hidden="false" customHeight="true" outlineLevel="0" collapsed="false">
      <c r="A52" s="336"/>
      <c r="B52" s="337"/>
      <c r="C52" s="337"/>
      <c r="D52" s="337"/>
      <c r="E52" s="337"/>
      <c r="F52" s="338"/>
      <c r="G52" s="337"/>
      <c r="H52" s="337"/>
      <c r="I52" s="337"/>
      <c r="J52" s="337" t="s">
        <v>3634</v>
      </c>
      <c r="K52" s="337" t="s">
        <v>3635</v>
      </c>
      <c r="L52" s="339"/>
      <c r="M52" s="339"/>
      <c r="N52" s="340"/>
      <c r="O52" s="339"/>
      <c r="P52" s="339"/>
      <c r="Q52" s="339"/>
      <c r="R52" s="339"/>
    </row>
    <row r="53" customFormat="false" ht="10.5" hidden="false" customHeight="true" outlineLevel="0" collapsed="false">
      <c r="A53" s="336" t="n">
        <v>23</v>
      </c>
      <c r="B53" s="337" t="s">
        <v>3640</v>
      </c>
      <c r="C53" s="337"/>
      <c r="D53" s="337"/>
      <c r="E53" s="337" t="s">
        <v>336</v>
      </c>
      <c r="F53" s="338" t="s">
        <v>3641</v>
      </c>
      <c r="G53" s="337" t="s">
        <v>3642</v>
      </c>
      <c r="H53" s="337"/>
      <c r="I53" s="337" t="s">
        <v>327</v>
      </c>
      <c r="J53" s="337" t="s">
        <v>1509</v>
      </c>
      <c r="K53" s="337" t="s">
        <v>326</v>
      </c>
      <c r="L53" s="339" t="n">
        <v>33220</v>
      </c>
      <c r="M53" s="339" t="n">
        <v>14490</v>
      </c>
      <c r="N53" s="340" t="n">
        <v>18730</v>
      </c>
      <c r="O53" s="339" t="n">
        <v>33380</v>
      </c>
      <c r="P53" s="339" t="n">
        <v>14560</v>
      </c>
      <c r="Q53" s="339" t="n">
        <v>18820</v>
      </c>
      <c r="R53" s="341" t="n">
        <v>-90</v>
      </c>
    </row>
    <row r="54" customFormat="false" ht="10.5" hidden="false" customHeight="true" outlineLevel="0" collapsed="false">
      <c r="A54" s="336"/>
      <c r="B54" s="337"/>
      <c r="C54" s="337"/>
      <c r="D54" s="337"/>
      <c r="E54" s="337"/>
      <c r="F54" s="338"/>
      <c r="G54" s="337"/>
      <c r="H54" s="337"/>
      <c r="I54" s="337"/>
      <c r="J54" s="337" t="s">
        <v>3634</v>
      </c>
      <c r="K54" s="337" t="s">
        <v>3635</v>
      </c>
      <c r="L54" s="339"/>
      <c r="M54" s="339"/>
      <c r="N54" s="340"/>
      <c r="O54" s="339"/>
      <c r="P54" s="339"/>
      <c r="Q54" s="339"/>
      <c r="R54" s="339"/>
    </row>
    <row r="55" customFormat="false" ht="10.5" hidden="false" customHeight="true" outlineLevel="0" collapsed="false">
      <c r="A55" s="336" t="n">
        <v>24</v>
      </c>
      <c r="B55" s="337" t="s">
        <v>3643</v>
      </c>
      <c r="C55" s="337"/>
      <c r="D55" s="337"/>
      <c r="E55" s="337" t="s">
        <v>340</v>
      </c>
      <c r="F55" s="338" t="s">
        <v>3644</v>
      </c>
      <c r="G55" s="337" t="s">
        <v>3645</v>
      </c>
      <c r="H55" s="337"/>
      <c r="I55" s="337" t="s">
        <v>327</v>
      </c>
      <c r="J55" s="337" t="s">
        <v>1509</v>
      </c>
      <c r="K55" s="337" t="s">
        <v>326</v>
      </c>
      <c r="L55" s="339" t="n">
        <v>36050</v>
      </c>
      <c r="M55" s="339" t="n">
        <v>15040</v>
      </c>
      <c r="N55" s="340" t="n">
        <v>21010</v>
      </c>
      <c r="O55" s="339" t="n">
        <v>36180</v>
      </c>
      <c r="P55" s="339" t="n">
        <v>15120</v>
      </c>
      <c r="Q55" s="339" t="n">
        <v>21060</v>
      </c>
      <c r="R55" s="341" t="n">
        <v>-50</v>
      </c>
    </row>
    <row r="56" customFormat="false" ht="10.5" hidden="false" customHeight="true" outlineLevel="0" collapsed="false">
      <c r="A56" s="336"/>
      <c r="B56" s="337"/>
      <c r="C56" s="337"/>
      <c r="D56" s="337"/>
      <c r="E56" s="337"/>
      <c r="F56" s="338"/>
      <c r="G56" s="337"/>
      <c r="H56" s="337"/>
      <c r="I56" s="337"/>
      <c r="J56" s="337" t="s">
        <v>3634</v>
      </c>
      <c r="K56" s="337" t="s">
        <v>3635</v>
      </c>
      <c r="L56" s="339"/>
      <c r="M56" s="339"/>
      <c r="N56" s="340"/>
      <c r="O56" s="339"/>
      <c r="P56" s="339"/>
      <c r="Q56" s="339"/>
      <c r="R56" s="339"/>
    </row>
    <row r="57" customFormat="false" ht="10.5" hidden="false" customHeight="true" outlineLevel="0" collapsed="false">
      <c r="A57" s="336" t="n">
        <v>25</v>
      </c>
      <c r="B57" s="337" t="s">
        <v>3646</v>
      </c>
      <c r="C57" s="337"/>
      <c r="D57" s="337"/>
      <c r="E57" s="337" t="s">
        <v>282</v>
      </c>
      <c r="F57" s="338" t="s">
        <v>3602</v>
      </c>
      <c r="G57" s="337" t="s">
        <v>3626</v>
      </c>
      <c r="H57" s="337"/>
      <c r="I57" s="337" t="s">
        <v>327</v>
      </c>
      <c r="J57" s="337" t="s">
        <v>1509</v>
      </c>
      <c r="K57" s="337" t="s">
        <v>326</v>
      </c>
      <c r="L57" s="339" t="n">
        <v>36350</v>
      </c>
      <c r="M57" s="339" t="n">
        <v>15040</v>
      </c>
      <c r="N57" s="340" t="n">
        <v>21310</v>
      </c>
      <c r="O57" s="339" t="n">
        <v>36460</v>
      </c>
      <c r="P57" s="339" t="n">
        <v>15100</v>
      </c>
      <c r="Q57" s="339" t="n">
        <v>21360</v>
      </c>
      <c r="R57" s="341" t="n">
        <v>-50</v>
      </c>
    </row>
    <row r="58" customFormat="false" ht="10.5" hidden="false" customHeight="true" outlineLevel="0" collapsed="false">
      <c r="A58" s="336"/>
      <c r="B58" s="337"/>
      <c r="C58" s="337"/>
      <c r="D58" s="337"/>
      <c r="E58" s="337"/>
      <c r="F58" s="338"/>
      <c r="G58" s="337"/>
      <c r="H58" s="337"/>
      <c r="I58" s="337"/>
      <c r="J58" s="337" t="s">
        <v>3634</v>
      </c>
      <c r="K58" s="337" t="s">
        <v>3635</v>
      </c>
      <c r="L58" s="339"/>
      <c r="M58" s="339"/>
      <c r="N58" s="340"/>
      <c r="O58" s="339"/>
      <c r="P58" s="339"/>
      <c r="Q58" s="339"/>
      <c r="R58" s="339"/>
    </row>
    <row r="59" customFormat="false" ht="10.5" hidden="false" customHeight="true" outlineLevel="0" collapsed="false">
      <c r="A59" s="336" t="n">
        <v>26</v>
      </c>
      <c r="B59" s="337" t="s">
        <v>3647</v>
      </c>
      <c r="C59" s="337"/>
      <c r="D59" s="337"/>
      <c r="E59" s="337" t="s">
        <v>346</v>
      </c>
      <c r="F59" s="338" t="s">
        <v>3648</v>
      </c>
      <c r="G59" s="337" t="s">
        <v>3649</v>
      </c>
      <c r="H59" s="337"/>
      <c r="I59" s="337" t="s">
        <v>327</v>
      </c>
      <c r="J59" s="337" t="s">
        <v>3590</v>
      </c>
      <c r="K59" s="337" t="s">
        <v>326</v>
      </c>
      <c r="L59" s="339" t="n">
        <v>33750</v>
      </c>
      <c r="M59" s="339" t="n">
        <v>15000</v>
      </c>
      <c r="N59" s="340" t="n">
        <v>18750</v>
      </c>
      <c r="O59" s="339" t="n">
        <v>33840</v>
      </c>
      <c r="P59" s="339" t="n">
        <v>15020</v>
      </c>
      <c r="Q59" s="339" t="n">
        <v>18820</v>
      </c>
      <c r="R59" s="341" t="n">
        <v>-70</v>
      </c>
    </row>
    <row r="60" customFormat="false" ht="10.5" hidden="false" customHeight="true" outlineLevel="0" collapsed="false">
      <c r="A60" s="336"/>
      <c r="B60" s="337"/>
      <c r="C60" s="337"/>
      <c r="D60" s="337"/>
      <c r="E60" s="337"/>
      <c r="F60" s="338"/>
      <c r="G60" s="337"/>
      <c r="H60" s="337"/>
      <c r="I60" s="337"/>
      <c r="J60" s="337" t="s">
        <v>3634</v>
      </c>
      <c r="K60" s="337" t="s">
        <v>3635</v>
      </c>
      <c r="L60" s="339"/>
      <c r="M60" s="339"/>
      <c r="N60" s="340"/>
      <c r="O60" s="339"/>
      <c r="P60" s="339"/>
      <c r="Q60" s="339"/>
      <c r="R60" s="339"/>
    </row>
    <row r="61" customFormat="false" ht="10.5" hidden="false" customHeight="true" outlineLevel="0" collapsed="false">
      <c r="A61" s="336" t="n">
        <v>27</v>
      </c>
      <c r="B61" s="337" t="s">
        <v>3650</v>
      </c>
      <c r="C61" s="337"/>
      <c r="D61" s="337"/>
      <c r="E61" s="337" t="s">
        <v>350</v>
      </c>
      <c r="F61" s="338" t="s">
        <v>3651</v>
      </c>
      <c r="G61" s="337" t="s">
        <v>3652</v>
      </c>
      <c r="H61" s="337"/>
      <c r="I61" s="337" t="s">
        <v>327</v>
      </c>
      <c r="J61" s="337" t="s">
        <v>3590</v>
      </c>
      <c r="K61" s="337" t="s">
        <v>326</v>
      </c>
      <c r="L61" s="339" t="n">
        <v>34870</v>
      </c>
      <c r="M61" s="339" t="n">
        <v>14920</v>
      </c>
      <c r="N61" s="340" t="n">
        <v>19950</v>
      </c>
      <c r="O61" s="339" t="n">
        <v>35060</v>
      </c>
      <c r="P61" s="339" t="n">
        <v>14960</v>
      </c>
      <c r="Q61" s="339" t="n">
        <v>20100</v>
      </c>
      <c r="R61" s="341" t="n">
        <v>-150</v>
      </c>
    </row>
    <row r="62" customFormat="false" ht="10.5" hidden="false" customHeight="true" outlineLevel="0" collapsed="false">
      <c r="A62" s="336"/>
      <c r="B62" s="337"/>
      <c r="C62" s="337"/>
      <c r="D62" s="337"/>
      <c r="E62" s="337"/>
      <c r="F62" s="338"/>
      <c r="G62" s="337"/>
      <c r="H62" s="337"/>
      <c r="I62" s="337"/>
      <c r="J62" s="337" t="s">
        <v>3634</v>
      </c>
      <c r="K62" s="337" t="s">
        <v>3635</v>
      </c>
      <c r="L62" s="339"/>
      <c r="M62" s="339"/>
      <c r="N62" s="340"/>
      <c r="O62" s="339"/>
      <c r="P62" s="339"/>
      <c r="Q62" s="339"/>
      <c r="R62" s="339"/>
    </row>
    <row r="63" customFormat="false" ht="10.5" hidden="false" customHeight="true" outlineLevel="0" collapsed="false">
      <c r="A63" s="336" t="n">
        <v>28</v>
      </c>
      <c r="B63" s="337" t="s">
        <v>3653</v>
      </c>
      <c r="C63" s="337"/>
      <c r="D63" s="337"/>
      <c r="E63" s="337" t="s">
        <v>354</v>
      </c>
      <c r="F63" s="338" t="s">
        <v>3654</v>
      </c>
      <c r="G63" s="337" t="s">
        <v>3655</v>
      </c>
      <c r="H63" s="337"/>
      <c r="I63" s="337" t="s">
        <v>327</v>
      </c>
      <c r="J63" s="337" t="s">
        <v>1509</v>
      </c>
      <c r="K63" s="337" t="s">
        <v>326</v>
      </c>
      <c r="L63" s="339" t="n">
        <v>35140</v>
      </c>
      <c r="M63" s="339" t="n">
        <v>14710</v>
      </c>
      <c r="N63" s="340" t="n">
        <v>20430</v>
      </c>
      <c r="O63" s="339" t="n">
        <v>35280</v>
      </c>
      <c r="P63" s="339" t="n">
        <v>14780</v>
      </c>
      <c r="Q63" s="339" t="n">
        <v>20500</v>
      </c>
      <c r="R63" s="341" t="n">
        <v>-70</v>
      </c>
    </row>
    <row r="64" customFormat="false" ht="10.5" hidden="false" customHeight="true" outlineLevel="0" collapsed="false">
      <c r="A64" s="336"/>
      <c r="B64" s="337"/>
      <c r="C64" s="337"/>
      <c r="D64" s="337"/>
      <c r="E64" s="337"/>
      <c r="F64" s="338"/>
      <c r="G64" s="337"/>
      <c r="H64" s="337"/>
      <c r="I64" s="337"/>
      <c r="J64" s="337" t="s">
        <v>3634</v>
      </c>
      <c r="K64" s="337" t="s">
        <v>3635</v>
      </c>
      <c r="L64" s="339"/>
      <c r="M64" s="339"/>
      <c r="N64" s="340"/>
      <c r="O64" s="339"/>
      <c r="P64" s="339"/>
      <c r="Q64" s="339"/>
      <c r="R64" s="339"/>
    </row>
    <row r="65" customFormat="false" ht="10.5" hidden="false" customHeight="true" outlineLevel="0" collapsed="false">
      <c r="A65" s="336" t="n">
        <v>29</v>
      </c>
      <c r="B65" s="337" t="s">
        <v>3656</v>
      </c>
      <c r="C65" s="337"/>
      <c r="D65" s="337"/>
      <c r="E65" s="337" t="s">
        <v>359</v>
      </c>
      <c r="F65" s="338" t="s">
        <v>3657</v>
      </c>
      <c r="G65" s="337" t="s">
        <v>3658</v>
      </c>
      <c r="H65" s="337"/>
      <c r="I65" s="337" t="s">
        <v>327</v>
      </c>
      <c r="J65" s="337" t="s">
        <v>3590</v>
      </c>
      <c r="K65" s="337" t="s">
        <v>326</v>
      </c>
      <c r="L65" s="339" t="n">
        <v>33680</v>
      </c>
      <c r="M65" s="339" t="n">
        <v>14870</v>
      </c>
      <c r="N65" s="340" t="n">
        <v>18810</v>
      </c>
      <c r="O65" s="339" t="n">
        <v>33900</v>
      </c>
      <c r="P65" s="339" t="n">
        <v>14920</v>
      </c>
      <c r="Q65" s="339" t="n">
        <v>18980</v>
      </c>
      <c r="R65" s="341" t="n">
        <v>-170</v>
      </c>
    </row>
    <row r="66" customFormat="false" ht="10.5" hidden="false" customHeight="true" outlineLevel="0" collapsed="false">
      <c r="A66" s="336"/>
      <c r="B66" s="337"/>
      <c r="C66" s="337"/>
      <c r="D66" s="337"/>
      <c r="E66" s="337"/>
      <c r="F66" s="338"/>
      <c r="G66" s="337"/>
      <c r="H66" s="337"/>
      <c r="I66" s="337"/>
      <c r="J66" s="337" t="s">
        <v>3634</v>
      </c>
      <c r="K66" s="337" t="s">
        <v>3635</v>
      </c>
      <c r="L66" s="339"/>
      <c r="M66" s="339"/>
      <c r="N66" s="340"/>
      <c r="O66" s="339"/>
      <c r="P66" s="339"/>
      <c r="Q66" s="339"/>
      <c r="R66" s="339"/>
    </row>
    <row r="67" customFormat="false" ht="10.5" hidden="false" customHeight="true" outlineLevel="0" collapsed="false">
      <c r="A67" s="336" t="n">
        <v>30</v>
      </c>
      <c r="B67" s="337" t="s">
        <v>3659</v>
      </c>
      <c r="C67" s="337"/>
      <c r="D67" s="337"/>
      <c r="E67" s="337" t="s">
        <v>304</v>
      </c>
      <c r="F67" s="338" t="s">
        <v>3619</v>
      </c>
      <c r="G67" s="337" t="s">
        <v>3620</v>
      </c>
      <c r="H67" s="337"/>
      <c r="I67" s="337" t="s">
        <v>327</v>
      </c>
      <c r="J67" s="337" t="s">
        <v>1509</v>
      </c>
      <c r="K67" s="337" t="s">
        <v>326</v>
      </c>
      <c r="L67" s="339" t="n">
        <v>36760</v>
      </c>
      <c r="M67" s="339" t="n">
        <v>14950</v>
      </c>
      <c r="N67" s="340" t="n">
        <v>21810</v>
      </c>
      <c r="O67" s="339" t="n">
        <v>36980</v>
      </c>
      <c r="P67" s="339" t="n">
        <v>14980</v>
      </c>
      <c r="Q67" s="339" t="n">
        <v>22000</v>
      </c>
      <c r="R67" s="341" t="n">
        <v>-190</v>
      </c>
    </row>
    <row r="68" customFormat="false" ht="10.5" hidden="false" customHeight="true" outlineLevel="0" collapsed="false">
      <c r="A68" s="336"/>
      <c r="B68" s="337"/>
      <c r="C68" s="337"/>
      <c r="D68" s="337"/>
      <c r="E68" s="337"/>
      <c r="F68" s="338"/>
      <c r="G68" s="337"/>
      <c r="H68" s="337"/>
      <c r="I68" s="337"/>
      <c r="J68" s="337" t="s">
        <v>3634</v>
      </c>
      <c r="K68" s="337" t="s">
        <v>3635</v>
      </c>
      <c r="L68" s="339"/>
      <c r="M68" s="339"/>
      <c r="N68" s="340"/>
      <c r="O68" s="339"/>
      <c r="P68" s="339"/>
      <c r="Q68" s="339"/>
      <c r="R68" s="339"/>
    </row>
    <row r="69" customFormat="false" ht="10.5" hidden="false" customHeight="true" outlineLevel="0" collapsed="false">
      <c r="A69" s="336" t="n">
        <v>31</v>
      </c>
      <c r="B69" s="337" t="s">
        <v>3660</v>
      </c>
      <c r="C69" s="337"/>
      <c r="D69" s="337"/>
      <c r="E69" s="337" t="s">
        <v>300</v>
      </c>
      <c r="F69" s="338" t="s">
        <v>3612</v>
      </c>
      <c r="G69" s="337" t="s">
        <v>3613</v>
      </c>
      <c r="H69" s="337"/>
      <c r="I69" s="337" t="s">
        <v>327</v>
      </c>
      <c r="J69" s="337" t="s">
        <v>1509</v>
      </c>
      <c r="K69" s="337" t="s">
        <v>326</v>
      </c>
      <c r="L69" s="339" t="n">
        <v>46180</v>
      </c>
      <c r="M69" s="339" t="n">
        <v>20940</v>
      </c>
      <c r="N69" s="340" t="n">
        <v>25240</v>
      </c>
      <c r="O69" s="339" t="n">
        <v>46480</v>
      </c>
      <c r="P69" s="339" t="n">
        <v>20940</v>
      </c>
      <c r="Q69" s="339" t="n">
        <v>25540</v>
      </c>
      <c r="R69" s="341" t="n">
        <v>-300</v>
      </c>
    </row>
    <row r="70" customFormat="false" ht="10.5" hidden="false" customHeight="true" outlineLevel="0" collapsed="false">
      <c r="A70" s="336"/>
      <c r="B70" s="337"/>
      <c r="C70" s="337"/>
      <c r="D70" s="337"/>
      <c r="E70" s="337"/>
      <c r="F70" s="338"/>
      <c r="G70" s="337"/>
      <c r="H70" s="337"/>
      <c r="I70" s="337"/>
      <c r="J70" s="337" t="s">
        <v>3634</v>
      </c>
      <c r="K70" s="337" t="s">
        <v>3635</v>
      </c>
      <c r="L70" s="339"/>
      <c r="M70" s="339"/>
      <c r="N70" s="340"/>
      <c r="O70" s="339"/>
      <c r="P70" s="339"/>
      <c r="Q70" s="339"/>
      <c r="R70" s="339"/>
    </row>
    <row r="71" customFormat="false" ht="10.5" hidden="false" customHeight="true" outlineLevel="0" collapsed="false">
      <c r="A71" s="336" t="n">
        <v>32</v>
      </c>
      <c r="B71" s="337" t="s">
        <v>3661</v>
      </c>
      <c r="C71" s="337"/>
      <c r="D71" s="337"/>
      <c r="E71" s="337" t="s">
        <v>3662</v>
      </c>
      <c r="F71" s="338" t="s">
        <v>3663</v>
      </c>
      <c r="G71" s="337" t="s">
        <v>3664</v>
      </c>
      <c r="H71" s="337"/>
      <c r="I71" s="337" t="s">
        <v>327</v>
      </c>
      <c r="J71" s="337" t="s">
        <v>1509</v>
      </c>
      <c r="K71" s="337" t="s">
        <v>326</v>
      </c>
      <c r="L71" s="339" t="n">
        <v>45100</v>
      </c>
      <c r="M71" s="339" t="n">
        <v>18610</v>
      </c>
      <c r="N71" s="340" t="n">
        <v>26490</v>
      </c>
      <c r="O71" s="339" t="n">
        <v>45380</v>
      </c>
      <c r="P71" s="339" t="n">
        <v>18660</v>
      </c>
      <c r="Q71" s="339" t="n">
        <v>26720</v>
      </c>
      <c r="R71" s="341" t="n">
        <v>-230</v>
      </c>
    </row>
    <row r="72" customFormat="false" ht="10.5" hidden="false" customHeight="true" outlineLevel="0" collapsed="false">
      <c r="A72" s="336"/>
      <c r="B72" s="337"/>
      <c r="C72" s="337"/>
      <c r="D72" s="337"/>
      <c r="E72" s="337"/>
      <c r="F72" s="338"/>
      <c r="G72" s="337"/>
      <c r="H72" s="337"/>
      <c r="I72" s="337"/>
      <c r="J72" s="337" t="s">
        <v>3634</v>
      </c>
      <c r="K72" s="337" t="s">
        <v>3635</v>
      </c>
      <c r="L72" s="339"/>
      <c r="M72" s="339"/>
      <c r="N72" s="340"/>
      <c r="O72" s="339"/>
      <c r="P72" s="339"/>
      <c r="Q72" s="339"/>
      <c r="R72" s="339"/>
    </row>
    <row r="73" customFormat="false" ht="10.5" hidden="false" customHeight="true" outlineLevel="0" collapsed="false">
      <c r="A73" s="336" t="n">
        <v>33</v>
      </c>
      <c r="B73" s="337" t="s">
        <v>3665</v>
      </c>
      <c r="C73" s="337"/>
      <c r="D73" s="337"/>
      <c r="E73" s="337" t="s">
        <v>288</v>
      </c>
      <c r="F73" s="338" t="s">
        <v>3606</v>
      </c>
      <c r="G73" s="337" t="s">
        <v>3607</v>
      </c>
      <c r="H73" s="337"/>
      <c r="I73" s="337" t="s">
        <v>327</v>
      </c>
      <c r="J73" s="337" t="s">
        <v>1509</v>
      </c>
      <c r="K73" s="337" t="s">
        <v>326</v>
      </c>
      <c r="L73" s="339" t="n">
        <v>33760</v>
      </c>
      <c r="M73" s="339" t="n">
        <v>14600</v>
      </c>
      <c r="N73" s="340" t="n">
        <v>19160</v>
      </c>
      <c r="O73" s="339" t="n">
        <v>33920</v>
      </c>
      <c r="P73" s="339" t="n">
        <v>14620</v>
      </c>
      <c r="Q73" s="339" t="n">
        <v>19300</v>
      </c>
      <c r="R73" s="341" t="n">
        <v>-140</v>
      </c>
    </row>
    <row r="74" customFormat="false" ht="10.5" hidden="false" customHeight="true" outlineLevel="0" collapsed="false">
      <c r="A74" s="336"/>
      <c r="B74" s="337"/>
      <c r="C74" s="337"/>
      <c r="D74" s="337"/>
      <c r="E74" s="337"/>
      <c r="F74" s="338"/>
      <c r="G74" s="337"/>
      <c r="H74" s="337"/>
      <c r="I74" s="337"/>
      <c r="J74" s="337" t="s">
        <v>3634</v>
      </c>
      <c r="K74" s="337" t="s">
        <v>3635</v>
      </c>
      <c r="L74" s="339"/>
      <c r="M74" s="339"/>
      <c r="N74" s="340"/>
      <c r="O74" s="339"/>
      <c r="P74" s="339"/>
      <c r="Q74" s="339"/>
      <c r="R74" s="339"/>
    </row>
    <row r="75" customFormat="false" ht="10.5" hidden="false" customHeight="true" outlineLevel="0" collapsed="false">
      <c r="A75" s="336" t="n">
        <v>34</v>
      </c>
      <c r="B75" s="337" t="s">
        <v>3666</v>
      </c>
      <c r="C75" s="337"/>
      <c r="D75" s="337"/>
      <c r="E75" s="337" t="s">
        <v>373</v>
      </c>
      <c r="F75" s="338" t="s">
        <v>3667</v>
      </c>
      <c r="G75" s="337" t="s">
        <v>3668</v>
      </c>
      <c r="H75" s="337"/>
      <c r="I75" s="337" t="s">
        <v>327</v>
      </c>
      <c r="J75" s="337" t="s">
        <v>1509</v>
      </c>
      <c r="K75" s="337" t="s">
        <v>326</v>
      </c>
      <c r="L75" s="339" t="n">
        <v>36930</v>
      </c>
      <c r="M75" s="339" t="n">
        <v>14240</v>
      </c>
      <c r="N75" s="340" t="n">
        <v>22690</v>
      </c>
      <c r="O75" s="339" t="n">
        <v>37120</v>
      </c>
      <c r="P75" s="339" t="n">
        <v>14380</v>
      </c>
      <c r="Q75" s="339" t="n">
        <v>22740</v>
      </c>
      <c r="R75" s="341" t="n">
        <v>-50</v>
      </c>
    </row>
    <row r="76" customFormat="false" ht="10.5" hidden="false" customHeight="true" outlineLevel="0" collapsed="false">
      <c r="A76" s="336"/>
      <c r="B76" s="337"/>
      <c r="C76" s="337"/>
      <c r="D76" s="337"/>
      <c r="E76" s="337"/>
      <c r="F76" s="338"/>
      <c r="G76" s="337"/>
      <c r="H76" s="337"/>
      <c r="I76" s="337"/>
      <c r="J76" s="337" t="s">
        <v>3634</v>
      </c>
      <c r="K76" s="337" t="s">
        <v>3635</v>
      </c>
      <c r="L76" s="339"/>
      <c r="M76" s="339"/>
      <c r="N76" s="340"/>
      <c r="O76" s="339"/>
      <c r="P76" s="339"/>
      <c r="Q76" s="339"/>
      <c r="R76" s="339"/>
    </row>
    <row r="77" customFormat="false" ht="10.5" hidden="false" customHeight="true" outlineLevel="0" collapsed="false">
      <c r="A77" s="336" t="n">
        <v>35</v>
      </c>
      <c r="B77" s="337" t="s">
        <v>3669</v>
      </c>
      <c r="C77" s="337"/>
      <c r="D77" s="337"/>
      <c r="E77" s="337" t="s">
        <v>377</v>
      </c>
      <c r="F77" s="338" t="s">
        <v>3670</v>
      </c>
      <c r="G77" s="337" t="s">
        <v>3671</v>
      </c>
      <c r="H77" s="337"/>
      <c r="I77" s="337" t="s">
        <v>327</v>
      </c>
      <c r="J77" s="337" t="s">
        <v>1509</v>
      </c>
      <c r="K77" s="337" t="s">
        <v>326</v>
      </c>
      <c r="L77" s="339" t="n">
        <v>38770</v>
      </c>
      <c r="M77" s="339" t="n">
        <v>15600</v>
      </c>
      <c r="N77" s="340" t="n">
        <v>23170</v>
      </c>
      <c r="O77" s="339" t="n">
        <v>38940</v>
      </c>
      <c r="P77" s="339" t="n">
        <v>15720</v>
      </c>
      <c r="Q77" s="339" t="n">
        <v>23220</v>
      </c>
      <c r="R77" s="341" t="n">
        <v>-50</v>
      </c>
    </row>
    <row r="78" customFormat="false" ht="10.5" hidden="false" customHeight="true" outlineLevel="0" collapsed="false">
      <c r="A78" s="336"/>
      <c r="B78" s="337"/>
      <c r="C78" s="337"/>
      <c r="D78" s="337"/>
      <c r="E78" s="337"/>
      <c r="F78" s="338"/>
      <c r="G78" s="337"/>
      <c r="H78" s="337"/>
      <c r="I78" s="337"/>
      <c r="J78" s="337" t="s">
        <v>3634</v>
      </c>
      <c r="K78" s="337" t="s">
        <v>3635</v>
      </c>
      <c r="L78" s="339"/>
      <c r="M78" s="339"/>
      <c r="N78" s="340"/>
      <c r="O78" s="339"/>
      <c r="P78" s="339"/>
      <c r="Q78" s="339"/>
      <c r="R78" s="339"/>
    </row>
    <row r="79" customFormat="false" ht="10.5" hidden="false" customHeight="true" outlineLevel="0" collapsed="false">
      <c r="A79" s="336" t="n">
        <v>36</v>
      </c>
      <c r="B79" s="337" t="s">
        <v>3672</v>
      </c>
      <c r="C79" s="337"/>
      <c r="D79" s="337"/>
      <c r="E79" s="337" t="s">
        <v>277</v>
      </c>
      <c r="F79" s="338" t="s">
        <v>3599</v>
      </c>
      <c r="G79" s="337" t="s">
        <v>3600</v>
      </c>
      <c r="H79" s="337"/>
      <c r="I79" s="337" t="s">
        <v>327</v>
      </c>
      <c r="J79" s="337" t="s">
        <v>1509</v>
      </c>
      <c r="K79" s="337" t="s">
        <v>326</v>
      </c>
      <c r="L79" s="339" t="n">
        <v>37280</v>
      </c>
      <c r="M79" s="339" t="n">
        <v>15070</v>
      </c>
      <c r="N79" s="340" t="n">
        <v>22210</v>
      </c>
      <c r="O79" s="339" t="n">
        <v>37380</v>
      </c>
      <c r="P79" s="339" t="n">
        <v>15120</v>
      </c>
      <c r="Q79" s="339" t="n">
        <v>22260</v>
      </c>
      <c r="R79" s="341" t="n">
        <v>-50</v>
      </c>
    </row>
    <row r="80" customFormat="false" ht="10.5" hidden="false" customHeight="true" outlineLevel="0" collapsed="false">
      <c r="A80" s="336"/>
      <c r="B80" s="337"/>
      <c r="C80" s="337"/>
      <c r="D80" s="337"/>
      <c r="E80" s="337"/>
      <c r="F80" s="338"/>
      <c r="G80" s="337"/>
      <c r="H80" s="337"/>
      <c r="I80" s="337"/>
      <c r="J80" s="337" t="s">
        <v>3634</v>
      </c>
      <c r="K80" s="337" t="s">
        <v>3635</v>
      </c>
      <c r="L80" s="339"/>
      <c r="M80" s="339"/>
      <c r="N80" s="340"/>
      <c r="O80" s="339"/>
      <c r="P80" s="339"/>
      <c r="Q80" s="339"/>
      <c r="R80" s="339"/>
    </row>
    <row r="81" customFormat="false" ht="10.5" hidden="false" customHeight="true" outlineLevel="0" collapsed="false">
      <c r="A81" s="336" t="n">
        <v>37</v>
      </c>
      <c r="B81" s="337" t="s">
        <v>3673</v>
      </c>
      <c r="C81" s="337"/>
      <c r="D81" s="337"/>
      <c r="E81" s="337" t="s">
        <v>3674</v>
      </c>
      <c r="F81" s="338" t="s">
        <v>3675</v>
      </c>
      <c r="G81" s="337" t="s">
        <v>3676</v>
      </c>
      <c r="H81" s="337"/>
      <c r="I81" s="337" t="s">
        <v>327</v>
      </c>
      <c r="J81" s="337" t="s">
        <v>1509</v>
      </c>
      <c r="K81" s="337" t="s">
        <v>326</v>
      </c>
      <c r="L81" s="339" t="n">
        <v>37960</v>
      </c>
      <c r="M81" s="339" t="n">
        <v>14900</v>
      </c>
      <c r="N81" s="340" t="n">
        <v>23060</v>
      </c>
      <c r="O81" s="339" t="n">
        <v>38140</v>
      </c>
      <c r="P81" s="339" t="n">
        <v>15020</v>
      </c>
      <c r="Q81" s="339" t="n">
        <v>23120</v>
      </c>
      <c r="R81" s="341" t="n">
        <v>-60</v>
      </c>
    </row>
    <row r="82" customFormat="false" ht="10.5" hidden="false" customHeight="true" outlineLevel="0" collapsed="false">
      <c r="A82" s="336"/>
      <c r="B82" s="337"/>
      <c r="C82" s="337"/>
      <c r="D82" s="337"/>
      <c r="E82" s="337"/>
      <c r="F82" s="338"/>
      <c r="G82" s="337"/>
      <c r="H82" s="337"/>
      <c r="I82" s="337"/>
      <c r="J82" s="337" t="s">
        <v>3634</v>
      </c>
      <c r="K82" s="337" t="s">
        <v>3635</v>
      </c>
      <c r="L82" s="339"/>
      <c r="M82" s="339"/>
      <c r="N82" s="340"/>
      <c r="O82" s="339"/>
      <c r="P82" s="339"/>
      <c r="Q82" s="339"/>
      <c r="R82" s="339"/>
    </row>
    <row r="83" customFormat="false" ht="10.5" hidden="false" customHeight="true" outlineLevel="0" collapsed="false">
      <c r="A83" s="336" t="n">
        <v>38</v>
      </c>
      <c r="B83" s="337" t="s">
        <v>3677</v>
      </c>
      <c r="C83" s="337"/>
      <c r="D83" s="337"/>
      <c r="E83" s="337" t="s">
        <v>387</v>
      </c>
      <c r="F83" s="338" t="s">
        <v>3678</v>
      </c>
      <c r="G83" s="337" t="s">
        <v>3679</v>
      </c>
      <c r="H83" s="337"/>
      <c r="I83" s="337" t="s">
        <v>327</v>
      </c>
      <c r="J83" s="337" t="s">
        <v>1509</v>
      </c>
      <c r="K83" s="337" t="s">
        <v>326</v>
      </c>
      <c r="L83" s="339" t="n">
        <v>36110</v>
      </c>
      <c r="M83" s="339" t="n">
        <v>14930</v>
      </c>
      <c r="N83" s="340" t="n">
        <v>21180</v>
      </c>
      <c r="O83" s="339" t="n">
        <v>36260</v>
      </c>
      <c r="P83" s="339" t="n">
        <v>15020</v>
      </c>
      <c r="Q83" s="339" t="n">
        <v>21240</v>
      </c>
      <c r="R83" s="341" t="n">
        <v>-60</v>
      </c>
    </row>
    <row r="84" customFormat="false" ht="10.5" hidden="false" customHeight="true" outlineLevel="0" collapsed="false">
      <c r="A84" s="336"/>
      <c r="B84" s="337"/>
      <c r="C84" s="337"/>
      <c r="D84" s="337"/>
      <c r="E84" s="337"/>
      <c r="F84" s="338"/>
      <c r="G84" s="337"/>
      <c r="H84" s="337"/>
      <c r="I84" s="337"/>
      <c r="J84" s="337" t="s">
        <v>3634</v>
      </c>
      <c r="K84" s="337" t="s">
        <v>3635</v>
      </c>
      <c r="L84" s="339"/>
      <c r="M84" s="339"/>
      <c r="N84" s="340"/>
      <c r="O84" s="339"/>
      <c r="P84" s="339"/>
      <c r="Q84" s="339"/>
      <c r="R84" s="339"/>
    </row>
    <row r="85" customFormat="false" ht="10.5" hidden="false" customHeight="true" outlineLevel="0" collapsed="false">
      <c r="A85" s="336" t="n">
        <v>39</v>
      </c>
      <c r="B85" s="337" t="s">
        <v>3680</v>
      </c>
      <c r="C85" s="337"/>
      <c r="D85" s="337"/>
      <c r="E85" s="337" t="s">
        <v>391</v>
      </c>
      <c r="F85" s="338" t="s">
        <v>3681</v>
      </c>
      <c r="G85" s="337" t="s">
        <v>3682</v>
      </c>
      <c r="H85" s="337"/>
      <c r="I85" s="337" t="s">
        <v>327</v>
      </c>
      <c r="J85" s="337" t="s">
        <v>1509</v>
      </c>
      <c r="K85" s="337" t="s">
        <v>326</v>
      </c>
      <c r="L85" s="339" t="n">
        <v>32690</v>
      </c>
      <c r="M85" s="339" t="n">
        <v>14460</v>
      </c>
      <c r="N85" s="340" t="n">
        <v>18230</v>
      </c>
      <c r="O85" s="339" t="n">
        <v>32780</v>
      </c>
      <c r="P85" s="339" t="n">
        <v>14520</v>
      </c>
      <c r="Q85" s="339" t="n">
        <v>18260</v>
      </c>
      <c r="R85" s="341" t="n">
        <v>-30</v>
      </c>
    </row>
    <row r="86" customFormat="false" ht="10.5" hidden="false" customHeight="true" outlineLevel="0" collapsed="false">
      <c r="A86" s="336"/>
      <c r="B86" s="337"/>
      <c r="C86" s="337"/>
      <c r="D86" s="337"/>
      <c r="E86" s="337"/>
      <c r="F86" s="338"/>
      <c r="G86" s="337"/>
      <c r="H86" s="337"/>
      <c r="I86" s="337"/>
      <c r="J86" s="337" t="s">
        <v>3634</v>
      </c>
      <c r="K86" s="337" t="s">
        <v>3635</v>
      </c>
      <c r="L86" s="339"/>
      <c r="M86" s="339"/>
      <c r="N86" s="340"/>
      <c r="O86" s="339"/>
      <c r="P86" s="339"/>
      <c r="Q86" s="339"/>
      <c r="R86" s="339"/>
    </row>
    <row r="87" customFormat="false" ht="10.5" hidden="false" customHeight="true" outlineLevel="0" collapsed="false">
      <c r="A87" s="336" t="n">
        <v>40</v>
      </c>
      <c r="B87" s="337" t="s">
        <v>3683</v>
      </c>
      <c r="C87" s="337"/>
      <c r="D87" s="337"/>
      <c r="E87" s="337" t="s">
        <v>282</v>
      </c>
      <c r="F87" s="338" t="s">
        <v>3602</v>
      </c>
      <c r="G87" s="337" t="s">
        <v>3626</v>
      </c>
      <c r="H87" s="337"/>
      <c r="I87" s="337" t="s">
        <v>327</v>
      </c>
      <c r="J87" s="337" t="s">
        <v>1509</v>
      </c>
      <c r="K87" s="337" t="s">
        <v>326</v>
      </c>
      <c r="L87" s="339" t="n">
        <v>34460</v>
      </c>
      <c r="M87" s="339" t="n">
        <v>15060</v>
      </c>
      <c r="N87" s="340" t="n">
        <v>19400</v>
      </c>
      <c r="O87" s="339" t="n">
        <v>34560</v>
      </c>
      <c r="P87" s="339" t="n">
        <v>15160</v>
      </c>
      <c r="Q87" s="339" t="n">
        <v>19400</v>
      </c>
      <c r="R87" s="342"/>
    </row>
    <row r="88" customFormat="false" ht="10.5" hidden="false" customHeight="true" outlineLevel="0" collapsed="false">
      <c r="A88" s="336"/>
      <c r="B88" s="337"/>
      <c r="C88" s="337"/>
      <c r="D88" s="337"/>
      <c r="E88" s="337"/>
      <c r="F88" s="338"/>
      <c r="G88" s="337"/>
      <c r="H88" s="337"/>
      <c r="I88" s="337"/>
      <c r="J88" s="337" t="s">
        <v>3634</v>
      </c>
      <c r="K88" s="337" t="s">
        <v>3635</v>
      </c>
      <c r="L88" s="339"/>
      <c r="M88" s="339"/>
      <c r="N88" s="340"/>
      <c r="O88" s="339"/>
      <c r="P88" s="339"/>
      <c r="Q88" s="339"/>
      <c r="R88" s="339"/>
    </row>
    <row r="89" customFormat="false" ht="10.5" hidden="false" customHeight="true" outlineLevel="0" collapsed="false">
      <c r="A89" s="336" t="n">
        <v>41</v>
      </c>
      <c r="B89" s="337" t="s">
        <v>3684</v>
      </c>
      <c r="C89" s="337"/>
      <c r="D89" s="337"/>
      <c r="E89" s="337" t="s">
        <v>346</v>
      </c>
      <c r="F89" s="338" t="s">
        <v>3648</v>
      </c>
      <c r="G89" s="337" t="s">
        <v>3649</v>
      </c>
      <c r="H89" s="337"/>
      <c r="I89" s="337" t="s">
        <v>327</v>
      </c>
      <c r="J89" s="337" t="s">
        <v>1509</v>
      </c>
      <c r="K89" s="337" t="s">
        <v>326</v>
      </c>
      <c r="L89" s="339" t="n">
        <v>34010</v>
      </c>
      <c r="M89" s="339" t="n">
        <v>14840</v>
      </c>
      <c r="N89" s="340" t="n">
        <v>19170</v>
      </c>
      <c r="O89" s="339" t="n">
        <v>34160</v>
      </c>
      <c r="P89" s="339" t="n">
        <v>15100</v>
      </c>
      <c r="Q89" s="339" t="n">
        <v>19060</v>
      </c>
      <c r="R89" s="341" t="n">
        <v>110</v>
      </c>
    </row>
    <row r="90" customFormat="false" ht="10.5" hidden="false" customHeight="true" outlineLevel="0" collapsed="false">
      <c r="A90" s="336"/>
      <c r="B90" s="337"/>
      <c r="C90" s="337"/>
      <c r="D90" s="337"/>
      <c r="E90" s="337"/>
      <c r="F90" s="338"/>
      <c r="G90" s="337"/>
      <c r="H90" s="337"/>
      <c r="I90" s="337"/>
      <c r="J90" s="337" t="s">
        <v>3634</v>
      </c>
      <c r="K90" s="337" t="s">
        <v>3635</v>
      </c>
      <c r="L90" s="339"/>
      <c r="M90" s="339"/>
      <c r="N90" s="340"/>
      <c r="O90" s="339"/>
      <c r="P90" s="339"/>
      <c r="Q90" s="339"/>
      <c r="R90" s="339"/>
    </row>
    <row r="91" customFormat="false" ht="10.5" hidden="false" customHeight="true" outlineLevel="0" collapsed="false">
      <c r="A91" s="336" t="n">
        <v>42</v>
      </c>
      <c r="B91" s="337" t="s">
        <v>3685</v>
      </c>
      <c r="C91" s="337"/>
      <c r="D91" s="337"/>
      <c r="E91" s="337" t="s">
        <v>3686</v>
      </c>
      <c r="F91" s="338" t="s">
        <v>3687</v>
      </c>
      <c r="G91" s="337" t="s">
        <v>3688</v>
      </c>
      <c r="H91" s="337"/>
      <c r="I91" s="337" t="s">
        <v>327</v>
      </c>
      <c r="J91" s="337" t="s">
        <v>1509</v>
      </c>
      <c r="K91" s="337" t="s">
        <v>326</v>
      </c>
      <c r="L91" s="339" t="n">
        <v>37300</v>
      </c>
      <c r="M91" s="339" t="n">
        <v>15680</v>
      </c>
      <c r="N91" s="340" t="n">
        <v>21620</v>
      </c>
      <c r="O91" s="339" t="n">
        <v>37580</v>
      </c>
      <c r="P91" s="339" t="n">
        <v>15780</v>
      </c>
      <c r="Q91" s="339" t="n">
        <v>21800</v>
      </c>
      <c r="R91" s="341" t="n">
        <v>-180</v>
      </c>
    </row>
    <row r="92" customFormat="false" ht="10.5" hidden="false" customHeight="true" outlineLevel="0" collapsed="false">
      <c r="A92" s="336"/>
      <c r="B92" s="337"/>
      <c r="C92" s="337"/>
      <c r="D92" s="337"/>
      <c r="E92" s="337"/>
      <c r="F92" s="338"/>
      <c r="G92" s="337"/>
      <c r="H92" s="337"/>
      <c r="I92" s="337"/>
      <c r="J92" s="337" t="s">
        <v>3634</v>
      </c>
      <c r="K92" s="337" t="s">
        <v>3635</v>
      </c>
      <c r="L92" s="339"/>
      <c r="M92" s="339"/>
      <c r="N92" s="340"/>
      <c r="O92" s="339"/>
      <c r="P92" s="339"/>
      <c r="Q92" s="339"/>
      <c r="R92" s="339"/>
    </row>
    <row r="93" customFormat="false" ht="10.5" hidden="false" customHeight="true" outlineLevel="0" collapsed="false">
      <c r="A93" s="336" t="n">
        <v>43</v>
      </c>
      <c r="B93" s="337" t="s">
        <v>3689</v>
      </c>
      <c r="C93" s="337"/>
      <c r="D93" s="337"/>
      <c r="E93" s="337" t="s">
        <v>308</v>
      </c>
      <c r="F93" s="338" t="s">
        <v>3622</v>
      </c>
      <c r="G93" s="337" t="s">
        <v>3623</v>
      </c>
      <c r="H93" s="337"/>
      <c r="I93" s="337" t="s">
        <v>327</v>
      </c>
      <c r="J93" s="337" t="s">
        <v>1509</v>
      </c>
      <c r="K93" s="337" t="s">
        <v>326</v>
      </c>
      <c r="L93" s="339" t="n">
        <v>59720</v>
      </c>
      <c r="M93" s="339" t="n">
        <v>24020</v>
      </c>
      <c r="N93" s="340" t="n">
        <v>35700</v>
      </c>
      <c r="O93" s="339" t="n">
        <v>60250</v>
      </c>
      <c r="P93" s="339" t="n">
        <v>24140</v>
      </c>
      <c r="Q93" s="339" t="n">
        <v>36110</v>
      </c>
      <c r="R93" s="341" t="n">
        <v>-410</v>
      </c>
    </row>
    <row r="94" customFormat="false" ht="10.5" hidden="false" customHeight="true" outlineLevel="0" collapsed="false">
      <c r="A94" s="336"/>
      <c r="B94" s="337"/>
      <c r="C94" s="337"/>
      <c r="D94" s="337"/>
      <c r="E94" s="337"/>
      <c r="F94" s="338"/>
      <c r="G94" s="337"/>
      <c r="H94" s="337"/>
      <c r="I94" s="337"/>
      <c r="J94" s="337" t="s">
        <v>3634</v>
      </c>
      <c r="K94" s="337" t="s">
        <v>3635</v>
      </c>
      <c r="L94" s="339"/>
      <c r="M94" s="339"/>
      <c r="N94" s="340"/>
      <c r="O94" s="339"/>
      <c r="P94" s="339"/>
      <c r="Q94" s="339"/>
      <c r="R94" s="339"/>
    </row>
    <row r="95" customFormat="false" ht="10.5" hidden="false" customHeight="true" outlineLevel="0" collapsed="false">
      <c r="A95" s="336" t="n">
        <v>44</v>
      </c>
      <c r="B95" s="337" t="s">
        <v>3690</v>
      </c>
      <c r="C95" s="337"/>
      <c r="D95" s="337"/>
      <c r="E95" s="337" t="s">
        <v>350</v>
      </c>
      <c r="F95" s="338" t="s">
        <v>3651</v>
      </c>
      <c r="G95" s="337" t="s">
        <v>3652</v>
      </c>
      <c r="H95" s="337"/>
      <c r="I95" s="337" t="s">
        <v>327</v>
      </c>
      <c r="J95" s="337" t="s">
        <v>1509</v>
      </c>
      <c r="K95" s="337" t="s">
        <v>326</v>
      </c>
      <c r="L95" s="339" t="n">
        <v>40070</v>
      </c>
      <c r="M95" s="339" t="n">
        <v>14930</v>
      </c>
      <c r="N95" s="340" t="n">
        <v>25140</v>
      </c>
      <c r="O95" s="339" t="n">
        <v>40520</v>
      </c>
      <c r="P95" s="339" t="n">
        <v>15060</v>
      </c>
      <c r="Q95" s="339" t="n">
        <v>25460</v>
      </c>
      <c r="R95" s="341" t="n">
        <v>-320</v>
      </c>
    </row>
    <row r="96" customFormat="false" ht="10.5" hidden="false" customHeight="true" outlineLevel="0" collapsed="false">
      <c r="A96" s="336"/>
      <c r="B96" s="337"/>
      <c r="C96" s="337"/>
      <c r="D96" s="337"/>
      <c r="E96" s="337"/>
      <c r="F96" s="338"/>
      <c r="G96" s="337"/>
      <c r="H96" s="337"/>
      <c r="I96" s="337"/>
      <c r="J96" s="337" t="s">
        <v>3634</v>
      </c>
      <c r="K96" s="337" t="s">
        <v>3635</v>
      </c>
      <c r="L96" s="339"/>
      <c r="M96" s="339"/>
      <c r="N96" s="340"/>
      <c r="O96" s="339"/>
      <c r="P96" s="339"/>
      <c r="Q96" s="339"/>
      <c r="R96" s="339"/>
    </row>
    <row r="97" customFormat="false" ht="10.5" hidden="false" customHeight="true" outlineLevel="0" collapsed="false">
      <c r="A97" s="336" t="n">
        <v>45</v>
      </c>
      <c r="B97" s="337" t="s">
        <v>3691</v>
      </c>
      <c r="C97" s="337"/>
      <c r="D97" s="337"/>
      <c r="E97" s="337" t="s">
        <v>354</v>
      </c>
      <c r="F97" s="338" t="s">
        <v>3654</v>
      </c>
      <c r="G97" s="337" t="s">
        <v>3655</v>
      </c>
      <c r="H97" s="337"/>
      <c r="I97" s="337" t="s">
        <v>327</v>
      </c>
      <c r="J97" s="337" t="s">
        <v>1509</v>
      </c>
      <c r="K97" s="337" t="s">
        <v>326</v>
      </c>
      <c r="L97" s="339" t="n">
        <v>37670</v>
      </c>
      <c r="M97" s="339" t="n">
        <v>14710</v>
      </c>
      <c r="N97" s="340" t="n">
        <v>22960</v>
      </c>
      <c r="O97" s="339" t="n">
        <v>38160</v>
      </c>
      <c r="P97" s="339" t="n">
        <v>14800</v>
      </c>
      <c r="Q97" s="339" t="n">
        <v>23360</v>
      </c>
      <c r="R97" s="341" t="n">
        <v>-400</v>
      </c>
    </row>
    <row r="98" customFormat="false" ht="10.5" hidden="false" customHeight="true" outlineLevel="0" collapsed="false">
      <c r="A98" s="336"/>
      <c r="B98" s="337"/>
      <c r="C98" s="337"/>
      <c r="D98" s="337"/>
      <c r="E98" s="337"/>
      <c r="F98" s="338"/>
      <c r="G98" s="337"/>
      <c r="H98" s="337"/>
      <c r="I98" s="337"/>
      <c r="J98" s="337" t="s">
        <v>3634</v>
      </c>
      <c r="K98" s="337" t="s">
        <v>3635</v>
      </c>
      <c r="L98" s="339"/>
      <c r="M98" s="339"/>
      <c r="N98" s="340"/>
      <c r="O98" s="339"/>
      <c r="P98" s="339"/>
      <c r="Q98" s="339"/>
      <c r="R98" s="339"/>
    </row>
    <row r="99" customFormat="false" ht="10.5" hidden="false" customHeight="true" outlineLevel="0" collapsed="false">
      <c r="A99" s="336" t="n">
        <v>46</v>
      </c>
      <c r="B99" s="337" t="s">
        <v>3692</v>
      </c>
      <c r="C99" s="337"/>
      <c r="D99" s="337"/>
      <c r="E99" s="337" t="s">
        <v>409</v>
      </c>
      <c r="F99" s="338" t="s">
        <v>3693</v>
      </c>
      <c r="G99" s="337" t="s">
        <v>3694</v>
      </c>
      <c r="H99" s="337"/>
      <c r="I99" s="337" t="s">
        <v>327</v>
      </c>
      <c r="J99" s="337" t="s">
        <v>1509</v>
      </c>
      <c r="K99" s="337" t="s">
        <v>326</v>
      </c>
      <c r="L99" s="339" t="n">
        <v>49720</v>
      </c>
      <c r="M99" s="339" t="n">
        <v>23560</v>
      </c>
      <c r="N99" s="340" t="n">
        <v>26160</v>
      </c>
      <c r="O99" s="339" t="n">
        <v>50360</v>
      </c>
      <c r="P99" s="339" t="n">
        <v>23700</v>
      </c>
      <c r="Q99" s="339" t="n">
        <v>26660</v>
      </c>
      <c r="R99" s="341" t="n">
        <v>-500</v>
      </c>
    </row>
    <row r="100" customFormat="false" ht="10.5" hidden="false" customHeight="true" outlineLevel="0" collapsed="false">
      <c r="A100" s="336"/>
      <c r="B100" s="337"/>
      <c r="C100" s="337"/>
      <c r="D100" s="337"/>
      <c r="E100" s="337"/>
      <c r="F100" s="338"/>
      <c r="G100" s="337"/>
      <c r="H100" s="337"/>
      <c r="I100" s="337"/>
      <c r="J100" s="337" t="s">
        <v>3634</v>
      </c>
      <c r="K100" s="337" t="s">
        <v>3635</v>
      </c>
      <c r="L100" s="339"/>
      <c r="M100" s="339"/>
      <c r="N100" s="340"/>
      <c r="O100" s="339"/>
      <c r="P100" s="339"/>
      <c r="Q100" s="339"/>
      <c r="R100" s="339"/>
    </row>
    <row r="101" customFormat="false" ht="10.5" hidden="false" customHeight="true" outlineLevel="0" collapsed="false">
      <c r="A101" s="336" t="n">
        <v>47</v>
      </c>
      <c r="B101" s="337" t="s">
        <v>3695</v>
      </c>
      <c r="C101" s="337"/>
      <c r="D101" s="337"/>
      <c r="E101" s="337" t="s">
        <v>413</v>
      </c>
      <c r="F101" s="338" t="s">
        <v>3696</v>
      </c>
      <c r="G101" s="337" t="s">
        <v>3697</v>
      </c>
      <c r="H101" s="337"/>
      <c r="I101" s="337" t="s">
        <v>327</v>
      </c>
      <c r="J101" s="337" t="s">
        <v>1509</v>
      </c>
      <c r="K101" s="337" t="s">
        <v>326</v>
      </c>
      <c r="L101" s="339" t="n">
        <v>40530</v>
      </c>
      <c r="M101" s="339" t="n">
        <v>15550</v>
      </c>
      <c r="N101" s="340" t="n">
        <v>24980</v>
      </c>
      <c r="O101" s="339" t="n">
        <v>41020</v>
      </c>
      <c r="P101" s="339" t="n">
        <v>15660</v>
      </c>
      <c r="Q101" s="339" t="n">
        <v>25360</v>
      </c>
      <c r="R101" s="341" t="n">
        <v>-380</v>
      </c>
    </row>
    <row r="102" customFormat="false" ht="10.5" hidden="false" customHeight="true" outlineLevel="0" collapsed="false">
      <c r="A102" s="336"/>
      <c r="B102" s="337"/>
      <c r="C102" s="337"/>
      <c r="D102" s="337"/>
      <c r="E102" s="337"/>
      <c r="F102" s="338"/>
      <c r="G102" s="337"/>
      <c r="H102" s="337"/>
      <c r="I102" s="337"/>
      <c r="J102" s="337" t="s">
        <v>3634</v>
      </c>
      <c r="K102" s="337" t="s">
        <v>3635</v>
      </c>
      <c r="L102" s="339"/>
      <c r="M102" s="339"/>
      <c r="N102" s="340"/>
      <c r="O102" s="339"/>
      <c r="P102" s="339"/>
      <c r="Q102" s="339"/>
      <c r="R102" s="339"/>
    </row>
    <row r="103" customFormat="false" ht="10.5" hidden="false" customHeight="true" outlineLevel="0" collapsed="false">
      <c r="A103" s="336" t="n">
        <v>48</v>
      </c>
      <c r="B103" s="337" t="s">
        <v>3698</v>
      </c>
      <c r="C103" s="337"/>
      <c r="D103" s="337"/>
      <c r="E103" s="337" t="s">
        <v>359</v>
      </c>
      <c r="F103" s="338" t="s">
        <v>3657</v>
      </c>
      <c r="G103" s="337" t="s">
        <v>3658</v>
      </c>
      <c r="H103" s="337"/>
      <c r="I103" s="337" t="s">
        <v>327</v>
      </c>
      <c r="J103" s="337" t="s">
        <v>1509</v>
      </c>
      <c r="K103" s="337" t="s">
        <v>326</v>
      </c>
      <c r="L103" s="339" t="n">
        <v>35910</v>
      </c>
      <c r="M103" s="339" t="n">
        <v>14880</v>
      </c>
      <c r="N103" s="340" t="n">
        <v>21030</v>
      </c>
      <c r="O103" s="339" t="n">
        <v>36280</v>
      </c>
      <c r="P103" s="339" t="n">
        <v>14960</v>
      </c>
      <c r="Q103" s="339" t="n">
        <v>21320</v>
      </c>
      <c r="R103" s="341" t="n">
        <v>-290</v>
      </c>
    </row>
    <row r="104" customFormat="false" ht="10.5" hidden="false" customHeight="true" outlineLevel="0" collapsed="false">
      <c r="A104" s="336"/>
      <c r="B104" s="337"/>
      <c r="C104" s="337"/>
      <c r="D104" s="337"/>
      <c r="E104" s="337"/>
      <c r="F104" s="338"/>
      <c r="G104" s="337"/>
      <c r="H104" s="337"/>
      <c r="I104" s="337"/>
      <c r="J104" s="337" t="s">
        <v>3634</v>
      </c>
      <c r="K104" s="337" t="s">
        <v>3635</v>
      </c>
      <c r="L104" s="339"/>
      <c r="M104" s="339"/>
      <c r="N104" s="340"/>
      <c r="O104" s="339"/>
      <c r="P104" s="339"/>
      <c r="Q104" s="339"/>
      <c r="R104" s="339"/>
    </row>
    <row r="105" customFormat="false" ht="10.5" hidden="false" customHeight="true" outlineLevel="0" collapsed="false">
      <c r="A105" s="336" t="n">
        <v>49</v>
      </c>
      <c r="B105" s="337" t="s">
        <v>3699</v>
      </c>
      <c r="C105" s="337"/>
      <c r="D105" s="337"/>
      <c r="E105" s="337" t="s">
        <v>266</v>
      </c>
      <c r="F105" s="338" t="s">
        <v>3592</v>
      </c>
      <c r="G105" s="337" t="s">
        <v>3593</v>
      </c>
      <c r="H105" s="337"/>
      <c r="I105" s="337" t="s">
        <v>327</v>
      </c>
      <c r="J105" s="337" t="s">
        <v>1509</v>
      </c>
      <c r="K105" s="337" t="s">
        <v>326</v>
      </c>
      <c r="L105" s="339" t="n">
        <v>38150</v>
      </c>
      <c r="M105" s="339" t="n">
        <v>14910</v>
      </c>
      <c r="N105" s="340" t="n">
        <v>23240</v>
      </c>
      <c r="O105" s="339" t="n">
        <v>38460</v>
      </c>
      <c r="P105" s="339" t="n">
        <v>14980</v>
      </c>
      <c r="Q105" s="339" t="n">
        <v>23480</v>
      </c>
      <c r="R105" s="341" t="n">
        <v>-240</v>
      </c>
    </row>
    <row r="106" customFormat="false" ht="10.5" hidden="false" customHeight="true" outlineLevel="0" collapsed="false">
      <c r="A106" s="336"/>
      <c r="B106" s="337"/>
      <c r="C106" s="337"/>
      <c r="D106" s="337"/>
      <c r="E106" s="337"/>
      <c r="F106" s="338"/>
      <c r="G106" s="337"/>
      <c r="H106" s="337"/>
      <c r="I106" s="337"/>
      <c r="J106" s="337" t="s">
        <v>3634</v>
      </c>
      <c r="K106" s="337" t="s">
        <v>3635</v>
      </c>
      <c r="L106" s="339"/>
      <c r="M106" s="339"/>
      <c r="N106" s="340"/>
      <c r="O106" s="339"/>
      <c r="P106" s="339"/>
      <c r="Q106" s="339"/>
      <c r="R106" s="339"/>
    </row>
    <row r="107" customFormat="false" ht="10.5" hidden="false" customHeight="true" outlineLevel="0" collapsed="false">
      <c r="A107" s="336" t="n">
        <v>50</v>
      </c>
      <c r="B107" s="337" t="s">
        <v>3700</v>
      </c>
      <c r="C107" s="337"/>
      <c r="D107" s="337"/>
      <c r="E107" s="337" t="s">
        <v>296</v>
      </c>
      <c r="F107" s="338" t="s">
        <v>3616</v>
      </c>
      <c r="G107" s="337" t="s">
        <v>3617</v>
      </c>
      <c r="H107" s="337"/>
      <c r="I107" s="337" t="s">
        <v>327</v>
      </c>
      <c r="J107" s="337" t="s">
        <v>1509</v>
      </c>
      <c r="K107" s="337" t="s">
        <v>326</v>
      </c>
      <c r="L107" s="339" t="n">
        <v>39770</v>
      </c>
      <c r="M107" s="339" t="n">
        <v>15410</v>
      </c>
      <c r="N107" s="340" t="n">
        <v>24360</v>
      </c>
      <c r="O107" s="339" t="n">
        <v>39980</v>
      </c>
      <c r="P107" s="339" t="n">
        <v>15400</v>
      </c>
      <c r="Q107" s="339" t="n">
        <v>24580</v>
      </c>
      <c r="R107" s="341" t="n">
        <v>-220</v>
      </c>
    </row>
    <row r="108" customFormat="false" ht="10.5" hidden="false" customHeight="true" outlineLevel="0" collapsed="false">
      <c r="A108" s="336"/>
      <c r="B108" s="337"/>
      <c r="C108" s="337"/>
      <c r="D108" s="337"/>
      <c r="E108" s="337"/>
      <c r="F108" s="338"/>
      <c r="G108" s="337"/>
      <c r="H108" s="337"/>
      <c r="I108" s="337"/>
      <c r="J108" s="337" t="s">
        <v>3634</v>
      </c>
      <c r="K108" s="337" t="s">
        <v>3635</v>
      </c>
      <c r="L108" s="339"/>
      <c r="M108" s="339"/>
      <c r="N108" s="340"/>
      <c r="O108" s="339"/>
      <c r="P108" s="339"/>
      <c r="Q108" s="339"/>
      <c r="R108" s="339"/>
    </row>
    <row r="109" customFormat="false" ht="10.5" hidden="false" customHeight="true" outlineLevel="0" collapsed="false">
      <c r="A109" s="336" t="n">
        <v>51</v>
      </c>
      <c r="B109" s="337" t="s">
        <v>3701</v>
      </c>
      <c r="C109" s="337"/>
      <c r="D109" s="337"/>
      <c r="E109" s="337" t="s">
        <v>261</v>
      </c>
      <c r="F109" s="338" t="s">
        <v>3588</v>
      </c>
      <c r="G109" s="337" t="s">
        <v>3589</v>
      </c>
      <c r="H109" s="337"/>
      <c r="I109" s="337" t="s">
        <v>327</v>
      </c>
      <c r="J109" s="337" t="s">
        <v>1509</v>
      </c>
      <c r="K109" s="337" t="s">
        <v>326</v>
      </c>
      <c r="L109" s="339" t="n">
        <v>37270</v>
      </c>
      <c r="M109" s="339" t="n">
        <v>15080</v>
      </c>
      <c r="N109" s="340" t="n">
        <v>22190</v>
      </c>
      <c r="O109" s="339" t="n">
        <v>37540</v>
      </c>
      <c r="P109" s="339" t="n">
        <v>15140</v>
      </c>
      <c r="Q109" s="339" t="n">
        <v>22400</v>
      </c>
      <c r="R109" s="341" t="n">
        <v>-210</v>
      </c>
    </row>
    <row r="110" customFormat="false" ht="10.5" hidden="false" customHeight="true" outlineLevel="0" collapsed="false">
      <c r="A110" s="336"/>
      <c r="B110" s="337"/>
      <c r="C110" s="337"/>
      <c r="D110" s="337"/>
      <c r="E110" s="337"/>
      <c r="F110" s="338"/>
      <c r="G110" s="337"/>
      <c r="H110" s="337"/>
      <c r="I110" s="337"/>
      <c r="J110" s="337" t="s">
        <v>3634</v>
      </c>
      <c r="K110" s="337" t="s">
        <v>3635</v>
      </c>
      <c r="L110" s="339"/>
      <c r="M110" s="339"/>
      <c r="N110" s="340"/>
      <c r="O110" s="339"/>
      <c r="P110" s="339"/>
      <c r="Q110" s="339"/>
      <c r="R110" s="339"/>
    </row>
    <row r="111" customFormat="false" ht="10.5" hidden="false" customHeight="true" outlineLevel="0" collapsed="false">
      <c r="A111" s="336" t="n">
        <v>52</v>
      </c>
      <c r="B111" s="337" t="s">
        <v>3702</v>
      </c>
      <c r="C111" s="337"/>
      <c r="D111" s="337"/>
      <c r="E111" s="337" t="s">
        <v>336</v>
      </c>
      <c r="F111" s="338" t="s">
        <v>3641</v>
      </c>
      <c r="G111" s="337" t="s">
        <v>3642</v>
      </c>
      <c r="H111" s="337"/>
      <c r="I111" s="337" t="s">
        <v>327</v>
      </c>
      <c r="J111" s="337" t="s">
        <v>1509</v>
      </c>
      <c r="K111" s="337" t="s">
        <v>326</v>
      </c>
      <c r="L111" s="339" t="n">
        <v>37590</v>
      </c>
      <c r="M111" s="339" t="n">
        <v>14500</v>
      </c>
      <c r="N111" s="340" t="n">
        <v>23090</v>
      </c>
      <c r="O111" s="339" t="n">
        <v>37840</v>
      </c>
      <c r="P111" s="339" t="n">
        <v>14580</v>
      </c>
      <c r="Q111" s="339" t="n">
        <v>23260</v>
      </c>
      <c r="R111" s="341" t="n">
        <v>-170</v>
      </c>
    </row>
    <row r="112" customFormat="false" ht="10.5" hidden="false" customHeight="true" outlineLevel="0" collapsed="false">
      <c r="A112" s="336"/>
      <c r="B112" s="337"/>
      <c r="C112" s="337"/>
      <c r="D112" s="337"/>
      <c r="E112" s="337"/>
      <c r="F112" s="338"/>
      <c r="G112" s="337"/>
      <c r="H112" s="337"/>
      <c r="I112" s="337"/>
      <c r="J112" s="337" t="s">
        <v>3634</v>
      </c>
      <c r="K112" s="337" t="s">
        <v>3635</v>
      </c>
      <c r="L112" s="339"/>
      <c r="M112" s="339"/>
      <c r="N112" s="340"/>
      <c r="O112" s="339"/>
      <c r="P112" s="339"/>
      <c r="Q112" s="339"/>
      <c r="R112" s="339"/>
    </row>
    <row r="113" customFormat="false" ht="10.5" hidden="false" customHeight="true" outlineLevel="0" collapsed="false">
      <c r="A113" s="336" t="n">
        <v>53</v>
      </c>
      <c r="B113" s="337" t="s">
        <v>3703</v>
      </c>
      <c r="C113" s="337"/>
      <c r="D113" s="337"/>
      <c r="E113" s="337" t="s">
        <v>340</v>
      </c>
      <c r="F113" s="338" t="s">
        <v>3644</v>
      </c>
      <c r="G113" s="337" t="s">
        <v>3645</v>
      </c>
      <c r="H113" s="337"/>
      <c r="I113" s="337" t="s">
        <v>327</v>
      </c>
      <c r="J113" s="337" t="s">
        <v>1509</v>
      </c>
      <c r="K113" s="337" t="s">
        <v>326</v>
      </c>
      <c r="L113" s="339" t="n">
        <v>37450</v>
      </c>
      <c r="M113" s="339" t="n">
        <v>15050</v>
      </c>
      <c r="N113" s="340" t="n">
        <v>22400</v>
      </c>
      <c r="O113" s="339" t="n">
        <v>37640</v>
      </c>
      <c r="P113" s="339" t="n">
        <v>15140</v>
      </c>
      <c r="Q113" s="339" t="n">
        <v>22500</v>
      </c>
      <c r="R113" s="341" t="n">
        <v>-100</v>
      </c>
    </row>
    <row r="114" customFormat="false" ht="10.5" hidden="false" customHeight="true" outlineLevel="0" collapsed="false">
      <c r="A114" s="336"/>
      <c r="B114" s="337"/>
      <c r="C114" s="337"/>
      <c r="D114" s="337"/>
      <c r="E114" s="337"/>
      <c r="F114" s="338"/>
      <c r="G114" s="337"/>
      <c r="H114" s="337"/>
      <c r="I114" s="337"/>
      <c r="J114" s="337" t="s">
        <v>3634</v>
      </c>
      <c r="K114" s="337" t="s">
        <v>3635</v>
      </c>
      <c r="L114" s="339"/>
      <c r="M114" s="339"/>
      <c r="N114" s="340"/>
      <c r="O114" s="339"/>
      <c r="P114" s="339"/>
      <c r="Q114" s="339"/>
      <c r="R114" s="339"/>
    </row>
    <row r="115" customFormat="false" ht="10.5" hidden="false" customHeight="true" outlineLevel="0" collapsed="false">
      <c r="A115" s="336" t="n">
        <v>54</v>
      </c>
      <c r="B115" s="337" t="s">
        <v>3704</v>
      </c>
      <c r="C115" s="337"/>
      <c r="D115" s="337"/>
      <c r="E115" s="337" t="s">
        <v>332</v>
      </c>
      <c r="F115" s="338" t="s">
        <v>3638</v>
      </c>
      <c r="G115" s="337" t="s">
        <v>3639</v>
      </c>
      <c r="H115" s="337"/>
      <c r="I115" s="337" t="s">
        <v>327</v>
      </c>
      <c r="J115" s="337" t="s">
        <v>1509</v>
      </c>
      <c r="K115" s="337" t="s">
        <v>326</v>
      </c>
      <c r="L115" s="339" t="n">
        <v>37010</v>
      </c>
      <c r="M115" s="339" t="n">
        <v>14660</v>
      </c>
      <c r="N115" s="340" t="n">
        <v>22350</v>
      </c>
      <c r="O115" s="339" t="n">
        <v>37220</v>
      </c>
      <c r="P115" s="339" t="n">
        <v>14720</v>
      </c>
      <c r="Q115" s="339" t="n">
        <v>22500</v>
      </c>
      <c r="R115" s="341" t="n">
        <v>-150</v>
      </c>
    </row>
    <row r="116" customFormat="false" ht="10.5" hidden="false" customHeight="true" outlineLevel="0" collapsed="false">
      <c r="A116" s="336"/>
      <c r="B116" s="337"/>
      <c r="C116" s="337"/>
      <c r="D116" s="337"/>
      <c r="E116" s="337"/>
      <c r="F116" s="338"/>
      <c r="G116" s="337"/>
      <c r="H116" s="337"/>
      <c r="I116" s="337"/>
      <c r="J116" s="337" t="s">
        <v>3634</v>
      </c>
      <c r="K116" s="337" t="s">
        <v>3635</v>
      </c>
      <c r="L116" s="339"/>
      <c r="M116" s="339"/>
      <c r="N116" s="340"/>
      <c r="O116" s="339"/>
      <c r="P116" s="339"/>
      <c r="Q116" s="339"/>
      <c r="R116" s="339"/>
    </row>
    <row r="117" customFormat="false" ht="10.5" hidden="false" customHeight="true" outlineLevel="0" collapsed="false">
      <c r="A117" s="336" t="n">
        <v>55</v>
      </c>
      <c r="B117" s="337" t="s">
        <v>3705</v>
      </c>
      <c r="C117" s="337"/>
      <c r="D117" s="337"/>
      <c r="E117" s="337" t="s">
        <v>431</v>
      </c>
      <c r="F117" s="338" t="s">
        <v>3706</v>
      </c>
      <c r="G117" s="337" t="s">
        <v>3707</v>
      </c>
      <c r="H117" s="337"/>
      <c r="I117" s="337" t="s">
        <v>327</v>
      </c>
      <c r="J117" s="337" t="s">
        <v>1509</v>
      </c>
      <c r="K117" s="337" t="s">
        <v>326</v>
      </c>
      <c r="L117" s="339" t="n">
        <v>39320</v>
      </c>
      <c r="M117" s="339" t="n">
        <v>16640</v>
      </c>
      <c r="N117" s="340" t="n">
        <v>22680</v>
      </c>
      <c r="O117" s="339" t="n">
        <v>39280</v>
      </c>
      <c r="P117" s="339" t="n">
        <v>16500</v>
      </c>
      <c r="Q117" s="339" t="n">
        <v>22780</v>
      </c>
      <c r="R117" s="341" t="n">
        <v>-100</v>
      </c>
    </row>
    <row r="118" customFormat="false" ht="10.5" hidden="false" customHeight="true" outlineLevel="0" collapsed="false">
      <c r="A118" s="336"/>
      <c r="B118" s="337"/>
      <c r="C118" s="337"/>
      <c r="D118" s="337"/>
      <c r="E118" s="337"/>
      <c r="F118" s="338"/>
      <c r="G118" s="337"/>
      <c r="H118" s="337"/>
      <c r="I118" s="337"/>
      <c r="J118" s="337" t="s">
        <v>3634</v>
      </c>
      <c r="K118" s="337" t="s">
        <v>3635</v>
      </c>
      <c r="L118" s="339"/>
      <c r="M118" s="339"/>
      <c r="N118" s="340"/>
      <c r="O118" s="339"/>
      <c r="P118" s="339"/>
      <c r="Q118" s="339"/>
      <c r="R118" s="339"/>
    </row>
    <row r="119" customFormat="false" ht="10.5" hidden="false" customHeight="true" outlineLevel="0" collapsed="false">
      <c r="A119" s="336" t="n">
        <v>56</v>
      </c>
      <c r="B119" s="337" t="s">
        <v>3708</v>
      </c>
      <c r="C119" s="337"/>
      <c r="D119" s="337"/>
      <c r="E119" s="337" t="s">
        <v>435</v>
      </c>
      <c r="F119" s="338" t="s">
        <v>3709</v>
      </c>
      <c r="G119" s="337" t="s">
        <v>3710</v>
      </c>
      <c r="H119" s="337"/>
      <c r="I119" s="337" t="s">
        <v>327</v>
      </c>
      <c r="J119" s="337" t="s">
        <v>1509</v>
      </c>
      <c r="K119" s="337" t="s">
        <v>326</v>
      </c>
      <c r="L119" s="339" t="n">
        <v>37420</v>
      </c>
      <c r="M119" s="339" t="n">
        <v>16330</v>
      </c>
      <c r="N119" s="340" t="n">
        <v>21090</v>
      </c>
      <c r="O119" s="339" t="n">
        <v>37560</v>
      </c>
      <c r="P119" s="339" t="n">
        <v>16400</v>
      </c>
      <c r="Q119" s="339" t="n">
        <v>21160</v>
      </c>
      <c r="R119" s="341" t="n">
        <v>-70</v>
      </c>
    </row>
    <row r="120" customFormat="false" ht="10.5" hidden="false" customHeight="true" outlineLevel="0" collapsed="false">
      <c r="A120" s="336"/>
      <c r="B120" s="337"/>
      <c r="C120" s="337"/>
      <c r="D120" s="337"/>
      <c r="E120" s="337"/>
      <c r="F120" s="338"/>
      <c r="G120" s="337"/>
      <c r="H120" s="337"/>
      <c r="I120" s="337"/>
      <c r="J120" s="337" t="s">
        <v>3634</v>
      </c>
      <c r="K120" s="337" t="s">
        <v>3635</v>
      </c>
      <c r="L120" s="339"/>
      <c r="M120" s="339"/>
      <c r="N120" s="340"/>
      <c r="O120" s="339"/>
      <c r="P120" s="339"/>
      <c r="Q120" s="339"/>
      <c r="R120" s="339"/>
    </row>
    <row r="121" customFormat="false" ht="10.5" hidden="false" customHeight="true" outlineLevel="0" collapsed="false">
      <c r="A121" s="336" t="n">
        <v>57</v>
      </c>
      <c r="B121" s="337" t="s">
        <v>3711</v>
      </c>
      <c r="C121" s="337"/>
      <c r="D121" s="337"/>
      <c r="E121" s="337" t="s">
        <v>439</v>
      </c>
      <c r="F121" s="338" t="s">
        <v>3712</v>
      </c>
      <c r="G121" s="337" t="s">
        <v>3713</v>
      </c>
      <c r="H121" s="337"/>
      <c r="I121" s="337" t="s">
        <v>327</v>
      </c>
      <c r="J121" s="337" t="s">
        <v>1509</v>
      </c>
      <c r="K121" s="337" t="s">
        <v>326</v>
      </c>
      <c r="L121" s="339" t="n">
        <v>37790</v>
      </c>
      <c r="M121" s="339" t="n">
        <v>16490</v>
      </c>
      <c r="N121" s="340" t="n">
        <v>21300</v>
      </c>
      <c r="O121" s="339" t="n">
        <v>37740</v>
      </c>
      <c r="P121" s="339" t="n">
        <v>16400</v>
      </c>
      <c r="Q121" s="339" t="n">
        <v>21340</v>
      </c>
      <c r="R121" s="341" t="n">
        <v>-40</v>
      </c>
    </row>
    <row r="122" customFormat="false" ht="10.5" hidden="false" customHeight="true" outlineLevel="0" collapsed="false">
      <c r="A122" s="336"/>
      <c r="B122" s="337"/>
      <c r="C122" s="337"/>
      <c r="D122" s="337"/>
      <c r="E122" s="337"/>
      <c r="F122" s="338"/>
      <c r="G122" s="337"/>
      <c r="H122" s="337"/>
      <c r="I122" s="337"/>
      <c r="J122" s="337" t="s">
        <v>3634</v>
      </c>
      <c r="K122" s="337" t="s">
        <v>3635</v>
      </c>
      <c r="L122" s="339"/>
      <c r="M122" s="339"/>
      <c r="N122" s="340"/>
      <c r="O122" s="339"/>
      <c r="P122" s="339"/>
      <c r="Q122" s="339"/>
      <c r="R122" s="339"/>
    </row>
    <row r="123" customFormat="false" ht="10.5" hidden="false" customHeight="true" outlineLevel="0" collapsed="false">
      <c r="A123" s="336" t="n">
        <v>58</v>
      </c>
      <c r="B123" s="337" t="s">
        <v>3714</v>
      </c>
      <c r="C123" s="337"/>
      <c r="D123" s="337"/>
      <c r="E123" s="337" t="s">
        <v>277</v>
      </c>
      <c r="F123" s="338" t="s">
        <v>3599</v>
      </c>
      <c r="G123" s="337" t="s">
        <v>3600</v>
      </c>
      <c r="H123" s="337"/>
      <c r="I123" s="337" t="s">
        <v>327</v>
      </c>
      <c r="J123" s="337" t="s">
        <v>1509</v>
      </c>
      <c r="K123" s="337" t="s">
        <v>326</v>
      </c>
      <c r="L123" s="339" t="n">
        <v>39060</v>
      </c>
      <c r="M123" s="339" t="n">
        <v>15080</v>
      </c>
      <c r="N123" s="340" t="n">
        <v>23980</v>
      </c>
      <c r="O123" s="339" t="n">
        <v>39220</v>
      </c>
      <c r="P123" s="339" t="n">
        <v>15160</v>
      </c>
      <c r="Q123" s="339" t="n">
        <v>24060</v>
      </c>
      <c r="R123" s="341" t="n">
        <v>-80</v>
      </c>
    </row>
    <row r="124" customFormat="false" ht="10.5" hidden="false" customHeight="true" outlineLevel="0" collapsed="false">
      <c r="A124" s="336"/>
      <c r="B124" s="337"/>
      <c r="C124" s="337"/>
      <c r="D124" s="337"/>
      <c r="E124" s="337"/>
      <c r="F124" s="338"/>
      <c r="G124" s="337"/>
      <c r="H124" s="337"/>
      <c r="I124" s="337"/>
      <c r="J124" s="337" t="s">
        <v>3634</v>
      </c>
      <c r="K124" s="337" t="s">
        <v>3635</v>
      </c>
      <c r="L124" s="339"/>
      <c r="M124" s="339"/>
      <c r="N124" s="340"/>
      <c r="O124" s="339"/>
      <c r="P124" s="339"/>
      <c r="Q124" s="339"/>
      <c r="R124" s="339"/>
    </row>
    <row r="125" customFormat="false" ht="10.5" hidden="false" customHeight="true" outlineLevel="0" collapsed="false">
      <c r="A125" s="336" t="n">
        <v>59</v>
      </c>
      <c r="B125" s="337" t="s">
        <v>3715</v>
      </c>
      <c r="C125" s="337"/>
      <c r="D125" s="337"/>
      <c r="E125" s="337" t="s">
        <v>3662</v>
      </c>
      <c r="F125" s="338" t="s">
        <v>3663</v>
      </c>
      <c r="G125" s="337" t="s">
        <v>3664</v>
      </c>
      <c r="H125" s="337"/>
      <c r="I125" s="337" t="s">
        <v>327</v>
      </c>
      <c r="J125" s="337" t="s">
        <v>1509</v>
      </c>
      <c r="K125" s="337" t="s">
        <v>326</v>
      </c>
      <c r="L125" s="339" t="n">
        <v>44540</v>
      </c>
      <c r="M125" s="339" t="n">
        <v>18590</v>
      </c>
      <c r="N125" s="340" t="n">
        <v>25950</v>
      </c>
      <c r="O125" s="339" t="n">
        <v>44700</v>
      </c>
      <c r="P125" s="339" t="n">
        <v>18680</v>
      </c>
      <c r="Q125" s="339" t="n">
        <v>26020</v>
      </c>
      <c r="R125" s="341" t="n">
        <v>-70</v>
      </c>
    </row>
    <row r="126" customFormat="false" ht="10.5" hidden="false" customHeight="true" outlineLevel="0" collapsed="false">
      <c r="A126" s="336"/>
      <c r="B126" s="337"/>
      <c r="C126" s="337"/>
      <c r="D126" s="337"/>
      <c r="E126" s="337"/>
      <c r="F126" s="338"/>
      <c r="G126" s="337"/>
      <c r="H126" s="337"/>
      <c r="I126" s="337"/>
      <c r="J126" s="337" t="s">
        <v>3634</v>
      </c>
      <c r="K126" s="337" t="s">
        <v>3635</v>
      </c>
      <c r="L126" s="339"/>
      <c r="M126" s="339"/>
      <c r="N126" s="340"/>
      <c r="O126" s="339"/>
      <c r="P126" s="339"/>
      <c r="Q126" s="339"/>
      <c r="R126" s="339"/>
    </row>
    <row r="127" customFormat="false" ht="10.5" hidden="false" customHeight="true" outlineLevel="0" collapsed="false">
      <c r="A127" s="336" t="n">
        <v>60</v>
      </c>
      <c r="B127" s="337" t="s">
        <v>3716</v>
      </c>
      <c r="C127" s="337"/>
      <c r="D127" s="337"/>
      <c r="E127" s="337" t="s">
        <v>300</v>
      </c>
      <c r="F127" s="338" t="s">
        <v>3612</v>
      </c>
      <c r="G127" s="337" t="s">
        <v>3613</v>
      </c>
      <c r="H127" s="337"/>
      <c r="I127" s="337" t="s">
        <v>327</v>
      </c>
      <c r="J127" s="337" t="s">
        <v>1509</v>
      </c>
      <c r="K127" s="337" t="s">
        <v>326</v>
      </c>
      <c r="L127" s="339" t="n">
        <v>51520</v>
      </c>
      <c r="M127" s="339" t="n">
        <v>20900</v>
      </c>
      <c r="N127" s="340" t="n">
        <v>30620</v>
      </c>
      <c r="O127" s="339" t="n">
        <v>51880</v>
      </c>
      <c r="P127" s="339" t="n">
        <v>21020</v>
      </c>
      <c r="Q127" s="339" t="n">
        <v>30860</v>
      </c>
      <c r="R127" s="341" t="n">
        <v>-240</v>
      </c>
    </row>
    <row r="128" customFormat="false" ht="10.5" hidden="false" customHeight="true" outlineLevel="0" collapsed="false">
      <c r="A128" s="336"/>
      <c r="B128" s="337"/>
      <c r="C128" s="337"/>
      <c r="D128" s="337"/>
      <c r="E128" s="337"/>
      <c r="F128" s="338"/>
      <c r="G128" s="337"/>
      <c r="H128" s="337"/>
      <c r="I128" s="337"/>
      <c r="J128" s="337" t="s">
        <v>3634</v>
      </c>
      <c r="K128" s="337" t="s">
        <v>3635</v>
      </c>
      <c r="L128" s="339"/>
      <c r="M128" s="339"/>
      <c r="N128" s="340"/>
      <c r="O128" s="339"/>
      <c r="P128" s="339"/>
      <c r="Q128" s="339"/>
      <c r="R128" s="339"/>
    </row>
    <row r="129" customFormat="false" ht="10.5" hidden="false" customHeight="true" outlineLevel="0" collapsed="false">
      <c r="A129" s="336" t="n">
        <v>61</v>
      </c>
      <c r="B129" s="337" t="s">
        <v>3717</v>
      </c>
      <c r="C129" s="337"/>
      <c r="D129" s="337"/>
      <c r="E129" s="337" t="s">
        <v>292</v>
      </c>
      <c r="F129" s="338" t="s">
        <v>3609</v>
      </c>
      <c r="G129" s="337" t="s">
        <v>3610</v>
      </c>
      <c r="H129" s="337"/>
      <c r="I129" s="337" t="s">
        <v>327</v>
      </c>
      <c r="J129" s="337" t="s">
        <v>1509</v>
      </c>
      <c r="K129" s="337" t="s">
        <v>326</v>
      </c>
      <c r="L129" s="339" t="n">
        <v>36720</v>
      </c>
      <c r="M129" s="339" t="n">
        <v>13890</v>
      </c>
      <c r="N129" s="340" t="n">
        <v>22830</v>
      </c>
      <c r="O129" s="339" t="n">
        <v>37120</v>
      </c>
      <c r="P129" s="339" t="n">
        <v>13980</v>
      </c>
      <c r="Q129" s="339" t="n">
        <v>23140</v>
      </c>
      <c r="R129" s="341" t="n">
        <v>-310</v>
      </c>
    </row>
    <row r="130" customFormat="false" ht="10.5" hidden="false" customHeight="true" outlineLevel="0" collapsed="false">
      <c r="A130" s="336"/>
      <c r="B130" s="337"/>
      <c r="C130" s="337"/>
      <c r="D130" s="337"/>
      <c r="E130" s="337"/>
      <c r="F130" s="338"/>
      <c r="G130" s="337"/>
      <c r="H130" s="337"/>
      <c r="I130" s="337"/>
      <c r="J130" s="337" t="s">
        <v>3634</v>
      </c>
      <c r="K130" s="337" t="s">
        <v>3635</v>
      </c>
      <c r="L130" s="339"/>
      <c r="M130" s="339"/>
      <c r="N130" s="340"/>
      <c r="O130" s="339"/>
      <c r="P130" s="339"/>
      <c r="Q130" s="339"/>
      <c r="R130" s="339"/>
    </row>
    <row r="131" customFormat="false" ht="10.5" hidden="false" customHeight="true" outlineLevel="0" collapsed="false">
      <c r="A131" s="336" t="n">
        <v>62</v>
      </c>
      <c r="B131" s="337" t="s">
        <v>3718</v>
      </c>
      <c r="C131" s="337"/>
      <c r="D131" s="337"/>
      <c r="E131" s="337" t="s">
        <v>377</v>
      </c>
      <c r="F131" s="338" t="s">
        <v>3670</v>
      </c>
      <c r="G131" s="337" t="s">
        <v>3671</v>
      </c>
      <c r="H131" s="337"/>
      <c r="I131" s="337" t="s">
        <v>327</v>
      </c>
      <c r="J131" s="337" t="s">
        <v>1509</v>
      </c>
      <c r="K131" s="337" t="s">
        <v>326</v>
      </c>
      <c r="L131" s="339" t="n">
        <v>39340</v>
      </c>
      <c r="M131" s="339" t="n">
        <v>15570</v>
      </c>
      <c r="N131" s="340" t="n">
        <v>23770</v>
      </c>
      <c r="O131" s="339" t="n">
        <v>39820</v>
      </c>
      <c r="P131" s="339" t="n">
        <v>15720</v>
      </c>
      <c r="Q131" s="339" t="n">
        <v>24100</v>
      </c>
      <c r="R131" s="341" t="n">
        <v>-330</v>
      </c>
    </row>
    <row r="132" customFormat="false" ht="10.5" hidden="false" customHeight="true" outlineLevel="0" collapsed="false">
      <c r="A132" s="336"/>
      <c r="B132" s="337"/>
      <c r="C132" s="337"/>
      <c r="D132" s="337"/>
      <c r="E132" s="337"/>
      <c r="F132" s="338"/>
      <c r="G132" s="337"/>
      <c r="H132" s="337"/>
      <c r="I132" s="337"/>
      <c r="J132" s="337" t="s">
        <v>3634</v>
      </c>
      <c r="K132" s="337" t="s">
        <v>3635</v>
      </c>
      <c r="L132" s="339"/>
      <c r="M132" s="339"/>
      <c r="N132" s="340"/>
      <c r="O132" s="339"/>
      <c r="P132" s="339"/>
      <c r="Q132" s="339"/>
      <c r="R132" s="339"/>
    </row>
    <row r="133" customFormat="false" ht="10.5" hidden="false" customHeight="true" outlineLevel="0" collapsed="false">
      <c r="A133" s="336" t="n">
        <v>63</v>
      </c>
      <c r="B133" s="337" t="s">
        <v>3719</v>
      </c>
      <c r="C133" s="337"/>
      <c r="D133" s="337"/>
      <c r="E133" s="337" t="s">
        <v>3686</v>
      </c>
      <c r="F133" s="338" t="s">
        <v>3687</v>
      </c>
      <c r="G133" s="337" t="s">
        <v>3688</v>
      </c>
      <c r="H133" s="337"/>
      <c r="I133" s="337" t="s">
        <v>327</v>
      </c>
      <c r="J133" s="337" t="s">
        <v>1509</v>
      </c>
      <c r="K133" s="337" t="s">
        <v>326</v>
      </c>
      <c r="L133" s="339" t="n">
        <v>37550</v>
      </c>
      <c r="M133" s="339" t="n">
        <v>15560</v>
      </c>
      <c r="N133" s="340" t="n">
        <v>21990</v>
      </c>
      <c r="O133" s="339" t="n">
        <v>37820</v>
      </c>
      <c r="P133" s="339" t="n">
        <v>15560</v>
      </c>
      <c r="Q133" s="339" t="n">
        <v>22260</v>
      </c>
      <c r="R133" s="341" t="n">
        <v>-270</v>
      </c>
    </row>
    <row r="134" customFormat="false" ht="10.5" hidden="false" customHeight="true" outlineLevel="0" collapsed="false">
      <c r="A134" s="336"/>
      <c r="B134" s="337"/>
      <c r="C134" s="337"/>
      <c r="D134" s="337"/>
      <c r="E134" s="337"/>
      <c r="F134" s="338"/>
      <c r="G134" s="337"/>
      <c r="H134" s="337"/>
      <c r="I134" s="337"/>
      <c r="J134" s="337" t="s">
        <v>3634</v>
      </c>
      <c r="K134" s="337" t="s">
        <v>3635</v>
      </c>
      <c r="L134" s="339"/>
      <c r="M134" s="339"/>
      <c r="N134" s="340"/>
      <c r="O134" s="339"/>
      <c r="P134" s="339"/>
      <c r="Q134" s="339"/>
      <c r="R134" s="339"/>
    </row>
    <row r="135" customFormat="false" ht="10.5" hidden="false" customHeight="true" outlineLevel="0" collapsed="false">
      <c r="A135" s="336" t="n">
        <v>64</v>
      </c>
      <c r="B135" s="337" t="s">
        <v>3720</v>
      </c>
      <c r="C135" s="337"/>
      <c r="D135" s="337"/>
      <c r="E135" s="337" t="s">
        <v>308</v>
      </c>
      <c r="F135" s="338" t="s">
        <v>3622</v>
      </c>
      <c r="G135" s="337" t="s">
        <v>3623</v>
      </c>
      <c r="H135" s="337"/>
      <c r="I135" s="337" t="s">
        <v>327</v>
      </c>
      <c r="J135" s="337" t="s">
        <v>1509</v>
      </c>
      <c r="K135" s="337" t="s">
        <v>326</v>
      </c>
      <c r="L135" s="339" t="n">
        <v>48510</v>
      </c>
      <c r="M135" s="339" t="n">
        <v>23920</v>
      </c>
      <c r="N135" s="340" t="n">
        <v>24590</v>
      </c>
      <c r="O135" s="339" t="n">
        <v>48980</v>
      </c>
      <c r="P135" s="339" t="n">
        <v>24140</v>
      </c>
      <c r="Q135" s="339" t="n">
        <v>24840</v>
      </c>
      <c r="R135" s="341" t="n">
        <v>-250</v>
      </c>
    </row>
    <row r="136" customFormat="false" ht="10.5" hidden="false" customHeight="true" outlineLevel="0" collapsed="false">
      <c r="A136" s="336"/>
      <c r="B136" s="337"/>
      <c r="C136" s="337"/>
      <c r="D136" s="337"/>
      <c r="E136" s="337"/>
      <c r="F136" s="338"/>
      <c r="G136" s="337"/>
      <c r="H136" s="337"/>
      <c r="I136" s="337"/>
      <c r="J136" s="337" t="s">
        <v>3634</v>
      </c>
      <c r="K136" s="337" t="s">
        <v>3635</v>
      </c>
      <c r="L136" s="339"/>
      <c r="M136" s="339"/>
      <c r="N136" s="340"/>
      <c r="O136" s="339"/>
      <c r="P136" s="339"/>
      <c r="Q136" s="339"/>
      <c r="R136" s="339"/>
    </row>
    <row r="137" customFormat="false" ht="10.5" hidden="false" customHeight="true" outlineLevel="0" collapsed="false">
      <c r="A137" s="336" t="n">
        <v>65</v>
      </c>
      <c r="B137" s="337" t="s">
        <v>3721</v>
      </c>
      <c r="C137" s="337"/>
      <c r="D137" s="337"/>
      <c r="E137" s="337" t="s">
        <v>304</v>
      </c>
      <c r="F137" s="338" t="s">
        <v>3619</v>
      </c>
      <c r="G137" s="337" t="s">
        <v>3620</v>
      </c>
      <c r="H137" s="337"/>
      <c r="I137" s="337" t="s">
        <v>327</v>
      </c>
      <c r="J137" s="337" t="s">
        <v>1509</v>
      </c>
      <c r="K137" s="337" t="s">
        <v>326</v>
      </c>
      <c r="L137" s="339" t="n">
        <v>36020</v>
      </c>
      <c r="M137" s="339" t="n">
        <v>14870</v>
      </c>
      <c r="N137" s="340" t="n">
        <v>21150</v>
      </c>
      <c r="O137" s="339" t="n">
        <v>36300</v>
      </c>
      <c r="P137" s="339" t="n">
        <v>14920</v>
      </c>
      <c r="Q137" s="339" t="n">
        <v>21380</v>
      </c>
      <c r="R137" s="341" t="n">
        <v>-230</v>
      </c>
    </row>
    <row r="138" customFormat="false" ht="10.5" hidden="false" customHeight="true" outlineLevel="0" collapsed="false">
      <c r="A138" s="336"/>
      <c r="B138" s="337"/>
      <c r="C138" s="337"/>
      <c r="D138" s="337"/>
      <c r="E138" s="337"/>
      <c r="F138" s="338"/>
      <c r="G138" s="337"/>
      <c r="H138" s="337"/>
      <c r="I138" s="337"/>
      <c r="J138" s="337" t="s">
        <v>3634</v>
      </c>
      <c r="K138" s="337" t="s">
        <v>3635</v>
      </c>
      <c r="L138" s="339"/>
      <c r="M138" s="339"/>
      <c r="N138" s="340"/>
      <c r="O138" s="339"/>
      <c r="P138" s="339"/>
      <c r="Q138" s="339"/>
      <c r="R138" s="339"/>
    </row>
    <row r="139" customFormat="false" ht="10.5" hidden="false" customHeight="true" outlineLevel="0" collapsed="false">
      <c r="A139" s="336" t="n">
        <v>66</v>
      </c>
      <c r="B139" s="337" t="s">
        <v>3722</v>
      </c>
      <c r="C139" s="337"/>
      <c r="D139" s="337"/>
      <c r="E139" s="337" t="s">
        <v>350</v>
      </c>
      <c r="F139" s="338" t="s">
        <v>3651</v>
      </c>
      <c r="G139" s="337" t="s">
        <v>3652</v>
      </c>
      <c r="H139" s="337"/>
      <c r="I139" s="337" t="s">
        <v>327</v>
      </c>
      <c r="J139" s="337" t="s">
        <v>1509</v>
      </c>
      <c r="K139" s="337" t="s">
        <v>326</v>
      </c>
      <c r="L139" s="339" t="n">
        <v>40380</v>
      </c>
      <c r="M139" s="339" t="n">
        <v>14930</v>
      </c>
      <c r="N139" s="340" t="n">
        <v>25450</v>
      </c>
      <c r="O139" s="339" t="n">
        <v>40680</v>
      </c>
      <c r="P139" s="339" t="n">
        <v>15020</v>
      </c>
      <c r="Q139" s="339" t="n">
        <v>25660</v>
      </c>
      <c r="R139" s="341" t="n">
        <v>-210</v>
      </c>
    </row>
    <row r="140" customFormat="false" ht="10.5" hidden="false" customHeight="true" outlineLevel="0" collapsed="false">
      <c r="A140" s="336"/>
      <c r="B140" s="337"/>
      <c r="C140" s="337"/>
      <c r="D140" s="337"/>
      <c r="E140" s="337"/>
      <c r="F140" s="338"/>
      <c r="G140" s="337"/>
      <c r="H140" s="337"/>
      <c r="I140" s="337"/>
      <c r="J140" s="337" t="s">
        <v>3634</v>
      </c>
      <c r="K140" s="337" t="s">
        <v>3635</v>
      </c>
      <c r="L140" s="339"/>
      <c r="M140" s="339"/>
      <c r="N140" s="340"/>
      <c r="O140" s="339"/>
      <c r="P140" s="339"/>
      <c r="Q140" s="339"/>
      <c r="R140" s="339"/>
    </row>
    <row r="141" customFormat="false" ht="10.5" hidden="false" customHeight="true" outlineLevel="0" collapsed="false">
      <c r="A141" s="336" t="n">
        <v>67</v>
      </c>
      <c r="B141" s="337" t="s">
        <v>3723</v>
      </c>
      <c r="C141" s="337"/>
      <c r="D141" s="337"/>
      <c r="E141" s="337" t="s">
        <v>354</v>
      </c>
      <c r="F141" s="338" t="s">
        <v>3654</v>
      </c>
      <c r="G141" s="337" t="s">
        <v>3655</v>
      </c>
      <c r="H141" s="337"/>
      <c r="I141" s="337" t="s">
        <v>327</v>
      </c>
      <c r="J141" s="337" t="s">
        <v>1509</v>
      </c>
      <c r="K141" s="337" t="s">
        <v>326</v>
      </c>
      <c r="L141" s="339" t="n">
        <v>37570</v>
      </c>
      <c r="M141" s="339" t="n">
        <v>14680</v>
      </c>
      <c r="N141" s="340" t="n">
        <v>22890</v>
      </c>
      <c r="O141" s="339" t="n">
        <v>37820</v>
      </c>
      <c r="P141" s="339" t="n">
        <v>14800</v>
      </c>
      <c r="Q141" s="339" t="n">
        <v>23020</v>
      </c>
      <c r="R141" s="341" t="n">
        <v>-130</v>
      </c>
    </row>
    <row r="142" customFormat="false" ht="10.5" hidden="false" customHeight="true" outlineLevel="0" collapsed="false">
      <c r="A142" s="336"/>
      <c r="B142" s="337"/>
      <c r="C142" s="337"/>
      <c r="D142" s="337"/>
      <c r="E142" s="337"/>
      <c r="F142" s="338"/>
      <c r="G142" s="337"/>
      <c r="H142" s="337"/>
      <c r="I142" s="337"/>
      <c r="J142" s="337" t="s">
        <v>3634</v>
      </c>
      <c r="K142" s="337" t="s">
        <v>3635</v>
      </c>
      <c r="L142" s="339"/>
      <c r="M142" s="339"/>
      <c r="N142" s="340"/>
      <c r="O142" s="339"/>
      <c r="P142" s="339"/>
      <c r="Q142" s="339"/>
      <c r="R142" s="339"/>
    </row>
    <row r="143" customFormat="false" ht="10.5" hidden="false" customHeight="true" outlineLevel="0" collapsed="false">
      <c r="A143" s="336" t="n">
        <v>68</v>
      </c>
      <c r="B143" s="337" t="s">
        <v>3724</v>
      </c>
      <c r="C143" s="337"/>
      <c r="D143" s="337"/>
      <c r="E143" s="337" t="s">
        <v>409</v>
      </c>
      <c r="F143" s="338" t="s">
        <v>3693</v>
      </c>
      <c r="G143" s="337" t="s">
        <v>3694</v>
      </c>
      <c r="H143" s="337"/>
      <c r="I143" s="337" t="s">
        <v>327</v>
      </c>
      <c r="J143" s="337" t="s">
        <v>1509</v>
      </c>
      <c r="K143" s="337" t="s">
        <v>326</v>
      </c>
      <c r="L143" s="339" t="n">
        <v>48220</v>
      </c>
      <c r="M143" s="339" t="n">
        <v>23430</v>
      </c>
      <c r="N143" s="340" t="n">
        <v>24790</v>
      </c>
      <c r="O143" s="339" t="n">
        <v>48440</v>
      </c>
      <c r="P143" s="339" t="n">
        <v>23440</v>
      </c>
      <c r="Q143" s="339" t="n">
        <v>25000</v>
      </c>
      <c r="R143" s="341" t="n">
        <v>-210</v>
      </c>
    </row>
    <row r="144" customFormat="false" ht="10.5" hidden="false" customHeight="true" outlineLevel="0" collapsed="false">
      <c r="A144" s="336"/>
      <c r="B144" s="337"/>
      <c r="C144" s="337"/>
      <c r="D144" s="337"/>
      <c r="E144" s="337"/>
      <c r="F144" s="338"/>
      <c r="G144" s="337"/>
      <c r="H144" s="337"/>
      <c r="I144" s="337"/>
      <c r="J144" s="337" t="s">
        <v>3634</v>
      </c>
      <c r="K144" s="337" t="s">
        <v>3635</v>
      </c>
      <c r="L144" s="339"/>
      <c r="M144" s="339"/>
      <c r="N144" s="340"/>
      <c r="O144" s="339"/>
      <c r="P144" s="339"/>
      <c r="Q144" s="339"/>
      <c r="R144" s="339"/>
    </row>
    <row r="145" customFormat="false" ht="10.5" hidden="false" customHeight="true" outlineLevel="0" collapsed="false">
      <c r="A145" s="336" t="n">
        <v>69</v>
      </c>
      <c r="B145" s="337" t="s">
        <v>3725</v>
      </c>
      <c r="C145" s="337"/>
      <c r="D145" s="337"/>
      <c r="E145" s="337" t="s">
        <v>413</v>
      </c>
      <c r="F145" s="338" t="s">
        <v>3696</v>
      </c>
      <c r="G145" s="337" t="s">
        <v>3697</v>
      </c>
      <c r="H145" s="337"/>
      <c r="I145" s="337" t="s">
        <v>327</v>
      </c>
      <c r="J145" s="337" t="s">
        <v>1509</v>
      </c>
      <c r="K145" s="337" t="s">
        <v>326</v>
      </c>
      <c r="L145" s="339" t="n">
        <v>41630</v>
      </c>
      <c r="M145" s="339" t="n">
        <v>15440</v>
      </c>
      <c r="N145" s="340" t="n">
        <v>26190</v>
      </c>
      <c r="O145" s="339" t="n">
        <v>41860</v>
      </c>
      <c r="P145" s="339" t="n">
        <v>15440</v>
      </c>
      <c r="Q145" s="339" t="n">
        <v>26420</v>
      </c>
      <c r="R145" s="341" t="n">
        <v>-230</v>
      </c>
    </row>
    <row r="146" customFormat="false" ht="10.5" hidden="false" customHeight="true" outlineLevel="0" collapsed="false">
      <c r="A146" s="336"/>
      <c r="B146" s="337"/>
      <c r="C146" s="337"/>
      <c r="D146" s="337"/>
      <c r="E146" s="337"/>
      <c r="F146" s="338"/>
      <c r="G146" s="337"/>
      <c r="H146" s="337"/>
      <c r="I146" s="337"/>
      <c r="J146" s="337" t="s">
        <v>3634</v>
      </c>
      <c r="K146" s="337" t="s">
        <v>3635</v>
      </c>
      <c r="L146" s="339"/>
      <c r="M146" s="339"/>
      <c r="N146" s="340"/>
      <c r="O146" s="339"/>
      <c r="P146" s="339"/>
      <c r="Q146" s="339"/>
      <c r="R146" s="339"/>
    </row>
    <row r="147" customFormat="false" ht="10.5" hidden="false" customHeight="true" outlineLevel="0" collapsed="false">
      <c r="A147" s="336" t="n">
        <v>70</v>
      </c>
      <c r="B147" s="337" t="s">
        <v>3726</v>
      </c>
      <c r="C147" s="337"/>
      <c r="D147" s="337"/>
      <c r="E147" s="337" t="s">
        <v>3674</v>
      </c>
      <c r="F147" s="338" t="s">
        <v>3675</v>
      </c>
      <c r="G147" s="337" t="s">
        <v>3676</v>
      </c>
      <c r="H147" s="337"/>
      <c r="I147" s="337" t="s">
        <v>327</v>
      </c>
      <c r="J147" s="337" t="s">
        <v>1509</v>
      </c>
      <c r="K147" s="337" t="s">
        <v>326</v>
      </c>
      <c r="L147" s="339" t="n">
        <v>38530</v>
      </c>
      <c r="M147" s="339" t="n">
        <v>14860</v>
      </c>
      <c r="N147" s="340" t="n">
        <v>23670</v>
      </c>
      <c r="O147" s="339" t="n">
        <v>38920</v>
      </c>
      <c r="P147" s="339" t="n">
        <v>15000</v>
      </c>
      <c r="Q147" s="339" t="n">
        <v>23920</v>
      </c>
      <c r="R147" s="341" t="n">
        <v>-250</v>
      </c>
    </row>
    <row r="148" customFormat="false" ht="10.5" hidden="false" customHeight="true" outlineLevel="0" collapsed="false">
      <c r="A148" s="336"/>
      <c r="B148" s="337"/>
      <c r="C148" s="337"/>
      <c r="D148" s="337"/>
      <c r="E148" s="337"/>
      <c r="F148" s="338"/>
      <c r="G148" s="337"/>
      <c r="H148" s="337"/>
      <c r="I148" s="337"/>
      <c r="J148" s="337" t="s">
        <v>3634</v>
      </c>
      <c r="K148" s="337" t="s">
        <v>3635</v>
      </c>
      <c r="L148" s="339"/>
      <c r="M148" s="339"/>
      <c r="N148" s="340"/>
      <c r="O148" s="339"/>
      <c r="P148" s="339"/>
      <c r="Q148" s="339"/>
      <c r="R148" s="339"/>
    </row>
    <row r="149" customFormat="false" ht="10.5" hidden="false" customHeight="true" outlineLevel="0" collapsed="false">
      <c r="A149" s="336" t="n">
        <v>71</v>
      </c>
      <c r="B149" s="337" t="s">
        <v>3727</v>
      </c>
      <c r="C149" s="337"/>
      <c r="D149" s="337"/>
      <c r="E149" s="337" t="s">
        <v>387</v>
      </c>
      <c r="F149" s="338" t="s">
        <v>3678</v>
      </c>
      <c r="G149" s="337" t="s">
        <v>3728</v>
      </c>
      <c r="H149" s="337"/>
      <c r="I149" s="337" t="s">
        <v>327</v>
      </c>
      <c r="J149" s="337" t="s">
        <v>1509</v>
      </c>
      <c r="K149" s="337" t="s">
        <v>326</v>
      </c>
      <c r="L149" s="339" t="n">
        <v>36940</v>
      </c>
      <c r="M149" s="339" t="n">
        <v>15010</v>
      </c>
      <c r="N149" s="340" t="n">
        <v>21930</v>
      </c>
      <c r="O149" s="339" t="n">
        <v>37300</v>
      </c>
      <c r="P149" s="339" t="n">
        <v>15040</v>
      </c>
      <c r="Q149" s="339" t="n">
        <v>22260</v>
      </c>
      <c r="R149" s="341" t="n">
        <v>-330</v>
      </c>
    </row>
    <row r="150" customFormat="false" ht="10.5" hidden="false" customHeight="true" outlineLevel="0" collapsed="false">
      <c r="A150" s="336"/>
      <c r="B150" s="337"/>
      <c r="C150" s="337"/>
      <c r="D150" s="337"/>
      <c r="E150" s="337"/>
      <c r="F150" s="338"/>
      <c r="G150" s="337"/>
      <c r="H150" s="337"/>
      <c r="I150" s="337"/>
      <c r="J150" s="337" t="s">
        <v>3634</v>
      </c>
      <c r="K150" s="337" t="s">
        <v>3635</v>
      </c>
      <c r="L150" s="339"/>
      <c r="M150" s="339"/>
      <c r="N150" s="340"/>
      <c r="O150" s="339"/>
      <c r="P150" s="339"/>
      <c r="Q150" s="339"/>
      <c r="R150" s="339"/>
    </row>
    <row r="151" customFormat="false" ht="10.5" hidden="false" customHeight="true" outlineLevel="0" collapsed="false">
      <c r="A151" s="336" t="n">
        <v>72</v>
      </c>
      <c r="B151" s="337" t="s">
        <v>3729</v>
      </c>
      <c r="C151" s="337"/>
      <c r="D151" s="337"/>
      <c r="E151" s="337" t="s">
        <v>266</v>
      </c>
      <c r="F151" s="338" t="s">
        <v>3592</v>
      </c>
      <c r="G151" s="337" t="s">
        <v>3593</v>
      </c>
      <c r="H151" s="337"/>
      <c r="I151" s="337" t="s">
        <v>471</v>
      </c>
      <c r="J151" s="337" t="s">
        <v>1509</v>
      </c>
      <c r="K151" s="337" t="s">
        <v>276</v>
      </c>
      <c r="L151" s="339" t="n">
        <v>40080</v>
      </c>
      <c r="M151" s="339" t="n">
        <v>15110</v>
      </c>
      <c r="N151" s="340" t="n">
        <v>24970</v>
      </c>
      <c r="O151" s="339" t="n">
        <v>40320</v>
      </c>
      <c r="P151" s="339" t="n">
        <v>15080</v>
      </c>
      <c r="Q151" s="339" t="n">
        <v>25240</v>
      </c>
      <c r="R151" s="341" t="n">
        <v>-270</v>
      </c>
    </row>
    <row r="152" customFormat="false" ht="10.5" hidden="false" customHeight="true" outlineLevel="0" collapsed="false">
      <c r="A152" s="336"/>
      <c r="B152" s="337"/>
      <c r="C152" s="337"/>
      <c r="D152" s="337"/>
      <c r="E152" s="337"/>
      <c r="F152" s="338"/>
      <c r="G152" s="337"/>
      <c r="H152" s="337"/>
      <c r="I152" s="337"/>
      <c r="J152" s="337" t="s">
        <v>3634</v>
      </c>
      <c r="K152" s="337" t="s">
        <v>3635</v>
      </c>
      <c r="L152" s="339"/>
      <c r="M152" s="339"/>
      <c r="N152" s="340"/>
      <c r="O152" s="339"/>
      <c r="P152" s="339"/>
      <c r="Q152" s="339"/>
      <c r="R152" s="339"/>
    </row>
    <row r="153" customFormat="false" ht="10.5" hidden="false" customHeight="true" outlineLevel="0" collapsed="false">
      <c r="A153" s="336" t="n">
        <v>73</v>
      </c>
      <c r="B153" s="337" t="s">
        <v>3730</v>
      </c>
      <c r="C153" s="337"/>
      <c r="D153" s="337"/>
      <c r="E153" s="337" t="s">
        <v>261</v>
      </c>
      <c r="F153" s="338" t="s">
        <v>3588</v>
      </c>
      <c r="G153" s="337" t="s">
        <v>3589</v>
      </c>
      <c r="H153" s="337"/>
      <c r="I153" s="337" t="s">
        <v>471</v>
      </c>
      <c r="J153" s="337" t="s">
        <v>1509</v>
      </c>
      <c r="K153" s="337" t="s">
        <v>276</v>
      </c>
      <c r="L153" s="339" t="n">
        <v>39940</v>
      </c>
      <c r="M153" s="339" t="n">
        <v>15110</v>
      </c>
      <c r="N153" s="340" t="n">
        <v>24830</v>
      </c>
      <c r="O153" s="339" t="n">
        <v>40360</v>
      </c>
      <c r="P153" s="339" t="n">
        <v>15200</v>
      </c>
      <c r="Q153" s="339" t="n">
        <v>25160</v>
      </c>
      <c r="R153" s="341" t="n">
        <v>-330</v>
      </c>
    </row>
    <row r="154" customFormat="false" ht="10.5" hidden="false" customHeight="true" outlineLevel="0" collapsed="false">
      <c r="A154" s="336"/>
      <c r="B154" s="337"/>
      <c r="C154" s="337"/>
      <c r="D154" s="337"/>
      <c r="E154" s="337"/>
      <c r="F154" s="338"/>
      <c r="G154" s="337"/>
      <c r="H154" s="337"/>
      <c r="I154" s="337"/>
      <c r="J154" s="337" t="s">
        <v>3634</v>
      </c>
      <c r="K154" s="337"/>
      <c r="L154" s="339"/>
      <c r="M154" s="339"/>
      <c r="N154" s="340"/>
      <c r="O154" s="339"/>
      <c r="P154" s="339"/>
      <c r="Q154" s="339"/>
      <c r="R154" s="339"/>
    </row>
    <row r="155" customFormat="false" ht="10.5" hidden="false" customHeight="true" outlineLevel="0" collapsed="false">
      <c r="A155" s="336" t="n">
        <v>74</v>
      </c>
      <c r="B155" s="337" t="s">
        <v>3731</v>
      </c>
      <c r="C155" s="337"/>
      <c r="D155" s="337"/>
      <c r="E155" s="337" t="s">
        <v>336</v>
      </c>
      <c r="F155" s="338" t="s">
        <v>3641</v>
      </c>
      <c r="G155" s="337" t="s">
        <v>3642</v>
      </c>
      <c r="H155" s="337"/>
      <c r="I155" s="337" t="s">
        <v>471</v>
      </c>
      <c r="J155" s="337" t="s">
        <v>1509</v>
      </c>
      <c r="K155" s="337" t="s">
        <v>276</v>
      </c>
      <c r="L155" s="339" t="n">
        <v>42080</v>
      </c>
      <c r="M155" s="339" t="n">
        <v>14540</v>
      </c>
      <c r="N155" s="340" t="n">
        <v>27540</v>
      </c>
      <c r="O155" s="339" t="n">
        <v>42520</v>
      </c>
      <c r="P155" s="339" t="n">
        <v>14660</v>
      </c>
      <c r="Q155" s="339" t="n">
        <v>27860</v>
      </c>
      <c r="R155" s="341" t="n">
        <v>-320</v>
      </c>
    </row>
    <row r="156" customFormat="false" ht="10.5" hidden="false" customHeight="true" outlineLevel="0" collapsed="false">
      <c r="A156" s="336"/>
      <c r="B156" s="337"/>
      <c r="C156" s="337"/>
      <c r="D156" s="337"/>
      <c r="E156" s="337"/>
      <c r="F156" s="338"/>
      <c r="G156" s="337"/>
      <c r="H156" s="337"/>
      <c r="I156" s="337"/>
      <c r="J156" s="337" t="s">
        <v>3634</v>
      </c>
      <c r="K156" s="337"/>
      <c r="L156" s="339"/>
      <c r="M156" s="339"/>
      <c r="N156" s="340"/>
      <c r="O156" s="339"/>
      <c r="P156" s="339"/>
      <c r="Q156" s="339"/>
      <c r="R156" s="339"/>
    </row>
    <row r="157" customFormat="false" ht="10.5" hidden="false" customHeight="true" outlineLevel="0" collapsed="false">
      <c r="A157" s="336" t="n">
        <v>75</v>
      </c>
      <c r="B157" s="337" t="s">
        <v>3732</v>
      </c>
      <c r="C157" s="337"/>
      <c r="D157" s="337"/>
      <c r="E157" s="337" t="s">
        <v>340</v>
      </c>
      <c r="F157" s="338" t="s">
        <v>3644</v>
      </c>
      <c r="G157" s="337" t="s">
        <v>3645</v>
      </c>
      <c r="H157" s="337"/>
      <c r="I157" s="337" t="s">
        <v>471</v>
      </c>
      <c r="J157" s="337" t="s">
        <v>1509</v>
      </c>
      <c r="K157" s="337" t="s">
        <v>276</v>
      </c>
      <c r="L157" s="339" t="n">
        <v>41830</v>
      </c>
      <c r="M157" s="339" t="n">
        <v>15090</v>
      </c>
      <c r="N157" s="340" t="n">
        <v>26740</v>
      </c>
      <c r="O157" s="339" t="n">
        <v>42280</v>
      </c>
      <c r="P157" s="339" t="n">
        <v>15240</v>
      </c>
      <c r="Q157" s="339" t="n">
        <v>27040</v>
      </c>
      <c r="R157" s="341" t="n">
        <v>-300</v>
      </c>
    </row>
    <row r="158" customFormat="false" ht="10.5" hidden="false" customHeight="true" outlineLevel="0" collapsed="false">
      <c r="A158" s="336"/>
      <c r="B158" s="337"/>
      <c r="C158" s="337"/>
      <c r="D158" s="337"/>
      <c r="E158" s="337"/>
      <c r="F158" s="338"/>
      <c r="G158" s="337"/>
      <c r="H158" s="337"/>
      <c r="I158" s="337"/>
      <c r="J158" s="337" t="s">
        <v>3634</v>
      </c>
      <c r="K158" s="337"/>
      <c r="L158" s="339"/>
      <c r="M158" s="339"/>
      <c r="N158" s="340"/>
      <c r="O158" s="339"/>
      <c r="P158" s="339"/>
      <c r="Q158" s="339"/>
      <c r="R158" s="339"/>
    </row>
    <row r="159" customFormat="false" ht="10.5" hidden="false" customHeight="true" outlineLevel="0" collapsed="false">
      <c r="A159" s="336" t="n">
        <v>76</v>
      </c>
      <c r="B159" s="337" t="s">
        <v>3733</v>
      </c>
      <c r="C159" s="337"/>
      <c r="D159" s="337"/>
      <c r="E159" s="337" t="s">
        <v>277</v>
      </c>
      <c r="F159" s="338" t="s">
        <v>3599</v>
      </c>
      <c r="G159" s="337" t="s">
        <v>3600</v>
      </c>
      <c r="H159" s="337"/>
      <c r="I159" s="337" t="s">
        <v>471</v>
      </c>
      <c r="J159" s="337" t="s">
        <v>1509</v>
      </c>
      <c r="K159" s="337" t="s">
        <v>276</v>
      </c>
      <c r="L159" s="339" t="n">
        <v>43510</v>
      </c>
      <c r="M159" s="339" t="n">
        <v>15130</v>
      </c>
      <c r="N159" s="340" t="n">
        <v>28380</v>
      </c>
      <c r="O159" s="339" t="n">
        <v>43900</v>
      </c>
      <c r="P159" s="339" t="n">
        <v>15240</v>
      </c>
      <c r="Q159" s="339" t="n">
        <v>28660</v>
      </c>
      <c r="R159" s="341" t="n">
        <v>-280</v>
      </c>
    </row>
    <row r="160" customFormat="false" ht="10.5" hidden="false" customHeight="true" outlineLevel="0" collapsed="false">
      <c r="A160" s="336"/>
      <c r="B160" s="337"/>
      <c r="C160" s="337"/>
      <c r="D160" s="337"/>
      <c r="E160" s="337"/>
      <c r="F160" s="338"/>
      <c r="G160" s="337"/>
      <c r="H160" s="337"/>
      <c r="I160" s="337"/>
      <c r="J160" s="337" t="s">
        <v>3634</v>
      </c>
      <c r="K160" s="337"/>
      <c r="L160" s="339"/>
      <c r="M160" s="339"/>
      <c r="N160" s="340"/>
      <c r="O160" s="339"/>
      <c r="P160" s="339"/>
      <c r="Q160" s="339"/>
      <c r="R160" s="339"/>
    </row>
    <row r="161" customFormat="false" ht="10.5" hidden="false" customHeight="true" outlineLevel="0" collapsed="false">
      <c r="A161" s="336" t="n">
        <v>77</v>
      </c>
      <c r="B161" s="337" t="s">
        <v>3734</v>
      </c>
      <c r="C161" s="337"/>
      <c r="D161" s="337"/>
      <c r="E161" s="337" t="s">
        <v>3662</v>
      </c>
      <c r="F161" s="338" t="s">
        <v>3663</v>
      </c>
      <c r="G161" s="337" t="s">
        <v>3664</v>
      </c>
      <c r="H161" s="337"/>
      <c r="I161" s="337" t="s">
        <v>471</v>
      </c>
      <c r="J161" s="337" t="s">
        <v>1509</v>
      </c>
      <c r="K161" s="337" t="s">
        <v>276</v>
      </c>
      <c r="L161" s="339" t="n">
        <v>49870</v>
      </c>
      <c r="M161" s="339" t="n">
        <v>18700</v>
      </c>
      <c r="N161" s="340" t="n">
        <v>31170</v>
      </c>
      <c r="O161" s="339" t="n">
        <v>50280</v>
      </c>
      <c r="P161" s="339" t="n">
        <v>18800</v>
      </c>
      <c r="Q161" s="339" t="n">
        <v>31480</v>
      </c>
      <c r="R161" s="341" t="n">
        <v>-310</v>
      </c>
    </row>
    <row r="162" customFormat="false" ht="10.5" hidden="false" customHeight="true" outlineLevel="0" collapsed="false">
      <c r="A162" s="336"/>
      <c r="B162" s="337"/>
      <c r="C162" s="337"/>
      <c r="D162" s="337"/>
      <c r="E162" s="337"/>
      <c r="F162" s="338"/>
      <c r="G162" s="337"/>
      <c r="H162" s="337"/>
      <c r="I162" s="337"/>
      <c r="J162" s="337" t="s">
        <v>3634</v>
      </c>
      <c r="K162" s="337"/>
      <c r="L162" s="339"/>
      <c r="M162" s="339"/>
      <c r="N162" s="340"/>
      <c r="O162" s="339"/>
      <c r="P162" s="339"/>
      <c r="Q162" s="339"/>
      <c r="R162" s="339"/>
    </row>
    <row r="163" customFormat="false" ht="10.5" hidden="false" customHeight="true" outlineLevel="0" collapsed="false">
      <c r="A163" s="336" t="n">
        <v>78</v>
      </c>
      <c r="B163" s="337" t="s">
        <v>3735</v>
      </c>
      <c r="C163" s="337"/>
      <c r="D163" s="337"/>
      <c r="E163" s="337" t="s">
        <v>377</v>
      </c>
      <c r="F163" s="338" t="s">
        <v>3670</v>
      </c>
      <c r="G163" s="337" t="s">
        <v>3671</v>
      </c>
      <c r="H163" s="337"/>
      <c r="I163" s="337" t="s">
        <v>471</v>
      </c>
      <c r="J163" s="337" t="s">
        <v>1509</v>
      </c>
      <c r="K163" s="337" t="s">
        <v>276</v>
      </c>
      <c r="L163" s="339" t="n">
        <v>44940</v>
      </c>
      <c r="M163" s="339" t="n">
        <v>15670</v>
      </c>
      <c r="N163" s="340" t="n">
        <v>29270</v>
      </c>
      <c r="O163" s="339" t="n">
        <v>45200</v>
      </c>
      <c r="P163" s="339" t="n">
        <v>15800</v>
      </c>
      <c r="Q163" s="339" t="n">
        <v>29400</v>
      </c>
      <c r="R163" s="341" t="n">
        <v>-130</v>
      </c>
    </row>
    <row r="164" customFormat="false" ht="10.5" hidden="false" customHeight="true" outlineLevel="0" collapsed="false">
      <c r="A164" s="336"/>
      <c r="B164" s="337"/>
      <c r="C164" s="337"/>
      <c r="D164" s="337"/>
      <c r="E164" s="337"/>
      <c r="F164" s="338"/>
      <c r="G164" s="337"/>
      <c r="H164" s="337"/>
      <c r="I164" s="337"/>
      <c r="J164" s="337" t="s">
        <v>3634</v>
      </c>
      <c r="K164" s="337"/>
      <c r="L164" s="339"/>
      <c r="M164" s="339"/>
      <c r="N164" s="340"/>
      <c r="O164" s="339"/>
      <c r="P164" s="339"/>
      <c r="Q164" s="339"/>
      <c r="R164" s="339"/>
    </row>
    <row r="165" customFormat="false" ht="10.5" hidden="false" customHeight="true" outlineLevel="0" collapsed="false">
      <c r="A165" s="336" t="n">
        <v>79</v>
      </c>
      <c r="B165" s="337" t="s">
        <v>3736</v>
      </c>
      <c r="C165" s="337"/>
      <c r="D165" s="337"/>
      <c r="E165" s="337" t="s">
        <v>350</v>
      </c>
      <c r="F165" s="338" t="s">
        <v>3651</v>
      </c>
      <c r="G165" s="337" t="s">
        <v>3652</v>
      </c>
      <c r="H165" s="337"/>
      <c r="I165" s="337" t="s">
        <v>471</v>
      </c>
      <c r="J165" s="337" t="s">
        <v>1509</v>
      </c>
      <c r="K165" s="337" t="s">
        <v>276</v>
      </c>
      <c r="L165" s="339" t="n">
        <v>42950</v>
      </c>
      <c r="M165" s="339" t="n">
        <v>15010</v>
      </c>
      <c r="N165" s="340" t="n">
        <v>27940</v>
      </c>
      <c r="O165" s="339" t="n">
        <v>43180</v>
      </c>
      <c r="P165" s="339" t="n">
        <v>15120</v>
      </c>
      <c r="Q165" s="339" t="n">
        <v>28060</v>
      </c>
      <c r="R165" s="341" t="n">
        <v>-120</v>
      </c>
    </row>
    <row r="166" customFormat="false" ht="10.5" hidden="false" customHeight="true" outlineLevel="0" collapsed="false">
      <c r="A166" s="336"/>
      <c r="B166" s="337"/>
      <c r="C166" s="337"/>
      <c r="D166" s="337"/>
      <c r="E166" s="337"/>
      <c r="F166" s="338"/>
      <c r="G166" s="337"/>
      <c r="H166" s="337"/>
      <c r="I166" s="337"/>
      <c r="J166" s="337" t="s">
        <v>3634</v>
      </c>
      <c r="K166" s="337"/>
      <c r="L166" s="339"/>
      <c r="M166" s="339"/>
      <c r="N166" s="340"/>
      <c r="O166" s="339"/>
      <c r="P166" s="339"/>
      <c r="Q166" s="339"/>
      <c r="R166" s="339"/>
    </row>
    <row r="167" customFormat="false" ht="10.5" hidden="false" customHeight="true" outlineLevel="0" collapsed="false">
      <c r="A167" s="336" t="n">
        <v>80</v>
      </c>
      <c r="B167" s="337" t="s">
        <v>3737</v>
      </c>
      <c r="C167" s="337"/>
      <c r="D167" s="337"/>
      <c r="E167" s="337" t="s">
        <v>332</v>
      </c>
      <c r="F167" s="338" t="s">
        <v>3638</v>
      </c>
      <c r="G167" s="337" t="s">
        <v>3639</v>
      </c>
      <c r="H167" s="337"/>
      <c r="I167" s="337" t="s">
        <v>471</v>
      </c>
      <c r="J167" s="337" t="s">
        <v>1509</v>
      </c>
      <c r="K167" s="337" t="s">
        <v>276</v>
      </c>
      <c r="L167" s="339" t="n">
        <v>40290</v>
      </c>
      <c r="M167" s="339" t="n">
        <v>14760</v>
      </c>
      <c r="N167" s="340" t="n">
        <v>25530</v>
      </c>
      <c r="O167" s="339" t="n">
        <v>40520</v>
      </c>
      <c r="P167" s="339" t="n">
        <v>14880</v>
      </c>
      <c r="Q167" s="339" t="n">
        <v>25640</v>
      </c>
      <c r="R167" s="341" t="n">
        <v>-110</v>
      </c>
    </row>
    <row r="168" customFormat="false" ht="10.5" hidden="false" customHeight="true" outlineLevel="0" collapsed="false">
      <c r="A168" s="336"/>
      <c r="B168" s="337"/>
      <c r="C168" s="337"/>
      <c r="D168" s="337"/>
      <c r="E168" s="337"/>
      <c r="F168" s="338"/>
      <c r="G168" s="337"/>
      <c r="H168" s="337"/>
      <c r="I168" s="337"/>
      <c r="J168" s="337" t="s">
        <v>3634</v>
      </c>
      <c r="K168" s="337"/>
      <c r="L168" s="339"/>
      <c r="M168" s="339"/>
      <c r="N168" s="340"/>
      <c r="O168" s="339"/>
      <c r="P168" s="339"/>
      <c r="Q168" s="339"/>
      <c r="R168" s="339"/>
    </row>
    <row r="169" customFormat="false" ht="10.5" hidden="false" customHeight="true" outlineLevel="0" collapsed="false">
      <c r="A169" s="336" t="n">
        <v>81</v>
      </c>
      <c r="B169" s="337" t="s">
        <v>3738</v>
      </c>
      <c r="C169" s="337"/>
      <c r="D169" s="337"/>
      <c r="E169" s="337" t="s">
        <v>300</v>
      </c>
      <c r="F169" s="338" t="s">
        <v>3612</v>
      </c>
      <c r="G169" s="337" t="s">
        <v>3613</v>
      </c>
      <c r="H169" s="337"/>
      <c r="I169" s="337" t="s">
        <v>471</v>
      </c>
      <c r="J169" s="337" t="s">
        <v>1509</v>
      </c>
      <c r="K169" s="337" t="s">
        <v>276</v>
      </c>
      <c r="L169" s="339" t="n">
        <v>56270</v>
      </c>
      <c r="M169" s="339" t="n">
        <v>20960</v>
      </c>
      <c r="N169" s="340" t="n">
        <v>35310</v>
      </c>
      <c r="O169" s="339" t="n">
        <v>56720</v>
      </c>
      <c r="P169" s="339" t="n">
        <v>21140</v>
      </c>
      <c r="Q169" s="339" t="n">
        <v>35580</v>
      </c>
      <c r="R169" s="341" t="n">
        <v>-270</v>
      </c>
    </row>
    <row r="170" customFormat="false" ht="10.5" hidden="false" customHeight="true" outlineLevel="0" collapsed="false">
      <c r="A170" s="336"/>
      <c r="B170" s="337"/>
      <c r="C170" s="337"/>
      <c r="D170" s="337"/>
      <c r="E170" s="337"/>
      <c r="F170" s="338"/>
      <c r="G170" s="337"/>
      <c r="H170" s="337"/>
      <c r="I170" s="337"/>
      <c r="J170" s="337" t="s">
        <v>3634</v>
      </c>
      <c r="K170" s="337"/>
      <c r="L170" s="339"/>
      <c r="M170" s="339"/>
      <c r="N170" s="340"/>
      <c r="O170" s="339"/>
      <c r="P170" s="339"/>
      <c r="Q170" s="339"/>
      <c r="R170" s="339"/>
    </row>
    <row r="171" customFormat="false" ht="10.5" hidden="false" customHeight="true" outlineLevel="0" collapsed="false">
      <c r="A171" s="336" t="n">
        <v>82</v>
      </c>
      <c r="B171" s="337" t="s">
        <v>3739</v>
      </c>
      <c r="C171" s="337"/>
      <c r="D171" s="337"/>
      <c r="E171" s="337" t="s">
        <v>304</v>
      </c>
      <c r="F171" s="338" t="s">
        <v>3619</v>
      </c>
      <c r="G171" s="337" t="s">
        <v>3620</v>
      </c>
      <c r="H171" s="337"/>
      <c r="I171" s="337" t="s">
        <v>471</v>
      </c>
      <c r="J171" s="337" t="s">
        <v>1509</v>
      </c>
      <c r="K171" s="337" t="s">
        <v>276</v>
      </c>
      <c r="L171" s="339" t="n">
        <v>39300</v>
      </c>
      <c r="M171" s="339" t="n">
        <v>14950</v>
      </c>
      <c r="N171" s="340" t="n">
        <v>24350</v>
      </c>
      <c r="O171" s="339" t="n">
        <v>39540</v>
      </c>
      <c r="P171" s="339" t="n">
        <v>15100</v>
      </c>
      <c r="Q171" s="339" t="n">
        <v>24440</v>
      </c>
      <c r="R171" s="341" t="n">
        <v>-90</v>
      </c>
    </row>
    <row r="172" customFormat="false" ht="10.5" hidden="false" customHeight="true" outlineLevel="0" collapsed="false">
      <c r="A172" s="336"/>
      <c r="B172" s="337"/>
      <c r="C172" s="337"/>
      <c r="D172" s="337"/>
      <c r="E172" s="337"/>
      <c r="F172" s="338"/>
      <c r="G172" s="337"/>
      <c r="H172" s="337"/>
      <c r="I172" s="337"/>
      <c r="J172" s="337" t="s">
        <v>3634</v>
      </c>
      <c r="K172" s="337"/>
      <c r="L172" s="339"/>
      <c r="M172" s="339"/>
      <c r="N172" s="340"/>
      <c r="O172" s="339"/>
      <c r="P172" s="339"/>
      <c r="Q172" s="339"/>
      <c r="R172" s="339"/>
    </row>
    <row r="173" customFormat="false" ht="10.5" hidden="false" customHeight="true" outlineLevel="0" collapsed="false">
      <c r="A173" s="336" t="n">
        <v>83</v>
      </c>
      <c r="B173" s="337" t="s">
        <v>3740</v>
      </c>
      <c r="C173" s="337"/>
      <c r="D173" s="337"/>
      <c r="E173" s="337" t="s">
        <v>409</v>
      </c>
      <c r="F173" s="338" t="s">
        <v>3693</v>
      </c>
      <c r="G173" s="337" t="s">
        <v>3694</v>
      </c>
      <c r="H173" s="337"/>
      <c r="I173" s="337" t="s">
        <v>471</v>
      </c>
      <c r="J173" s="337" t="s">
        <v>1509</v>
      </c>
      <c r="K173" s="337" t="s">
        <v>276</v>
      </c>
      <c r="L173" s="339" t="n">
        <v>52350</v>
      </c>
      <c r="M173" s="339" t="n">
        <v>23450</v>
      </c>
      <c r="N173" s="340" t="n">
        <v>28900</v>
      </c>
      <c r="O173" s="339" t="n">
        <v>53000</v>
      </c>
      <c r="P173" s="339" t="n">
        <v>23640</v>
      </c>
      <c r="Q173" s="339" t="n">
        <v>29360</v>
      </c>
      <c r="R173" s="341" t="n">
        <v>-460</v>
      </c>
    </row>
    <row r="174" customFormat="false" ht="10.5" hidden="false" customHeight="true" outlineLevel="0" collapsed="false">
      <c r="A174" s="336"/>
      <c r="B174" s="337"/>
      <c r="C174" s="337"/>
      <c r="D174" s="337"/>
      <c r="E174" s="337"/>
      <c r="F174" s="338"/>
      <c r="G174" s="337"/>
      <c r="H174" s="337"/>
      <c r="I174" s="337"/>
      <c r="J174" s="337" t="s">
        <v>3634</v>
      </c>
      <c r="K174" s="337"/>
      <c r="L174" s="339"/>
      <c r="M174" s="339"/>
      <c r="N174" s="340"/>
      <c r="O174" s="339"/>
      <c r="P174" s="339"/>
      <c r="Q174" s="339"/>
      <c r="R174" s="339"/>
    </row>
    <row r="175" customFormat="false" ht="10.5" hidden="false" customHeight="true" outlineLevel="0" collapsed="false">
      <c r="A175" s="336" t="n">
        <v>84</v>
      </c>
      <c r="B175" s="337" t="s">
        <v>3741</v>
      </c>
      <c r="C175" s="337"/>
      <c r="D175" s="337"/>
      <c r="E175" s="337" t="s">
        <v>413</v>
      </c>
      <c r="F175" s="338" t="s">
        <v>3696</v>
      </c>
      <c r="G175" s="337" t="s">
        <v>3697</v>
      </c>
      <c r="H175" s="337"/>
      <c r="I175" s="337" t="s">
        <v>471</v>
      </c>
      <c r="J175" s="337" t="s">
        <v>1509</v>
      </c>
      <c r="K175" s="337" t="s">
        <v>276</v>
      </c>
      <c r="L175" s="339" t="n">
        <v>43100</v>
      </c>
      <c r="M175" s="339" t="n">
        <v>15640</v>
      </c>
      <c r="N175" s="340" t="n">
        <v>27460</v>
      </c>
      <c r="O175" s="339" t="n">
        <v>43440</v>
      </c>
      <c r="P175" s="339" t="n">
        <v>15760</v>
      </c>
      <c r="Q175" s="339" t="n">
        <v>27680</v>
      </c>
      <c r="R175" s="341" t="n">
        <v>-220</v>
      </c>
    </row>
    <row r="176" customFormat="false" ht="10.5" hidden="false" customHeight="true" outlineLevel="0" collapsed="false">
      <c r="A176" s="336"/>
      <c r="B176" s="337"/>
      <c r="C176" s="337"/>
      <c r="D176" s="337"/>
      <c r="E176" s="337"/>
      <c r="F176" s="338"/>
      <c r="G176" s="337"/>
      <c r="H176" s="337"/>
      <c r="I176" s="337"/>
      <c r="J176" s="337" t="s">
        <v>3634</v>
      </c>
      <c r="K176" s="337"/>
      <c r="L176" s="339"/>
      <c r="M176" s="339"/>
      <c r="N176" s="340"/>
      <c r="O176" s="339"/>
      <c r="P176" s="339"/>
      <c r="Q176" s="339"/>
      <c r="R176" s="339"/>
    </row>
    <row r="177" customFormat="false" ht="10.5" hidden="false" customHeight="true" outlineLevel="0" collapsed="false">
      <c r="A177" s="336" t="n">
        <v>85</v>
      </c>
      <c r="B177" s="337" t="s">
        <v>3742</v>
      </c>
      <c r="C177" s="337"/>
      <c r="D177" s="337"/>
      <c r="E177" s="337" t="s">
        <v>308</v>
      </c>
      <c r="F177" s="338" t="s">
        <v>3622</v>
      </c>
      <c r="G177" s="337" t="s">
        <v>3623</v>
      </c>
      <c r="H177" s="337"/>
      <c r="I177" s="337" t="s">
        <v>471</v>
      </c>
      <c r="J177" s="337" t="s">
        <v>1509</v>
      </c>
      <c r="K177" s="337" t="s">
        <v>276</v>
      </c>
      <c r="L177" s="339" t="n">
        <v>63600</v>
      </c>
      <c r="M177" s="339" t="n">
        <v>24160</v>
      </c>
      <c r="N177" s="340" t="n">
        <v>39440</v>
      </c>
      <c r="O177" s="339" t="n">
        <v>64020</v>
      </c>
      <c r="P177" s="339" t="n">
        <v>24320</v>
      </c>
      <c r="Q177" s="339" t="n">
        <v>39700</v>
      </c>
      <c r="R177" s="341" t="n">
        <v>-260</v>
      </c>
    </row>
    <row r="178" customFormat="false" ht="10.5" hidden="false" customHeight="true" outlineLevel="0" collapsed="false">
      <c r="A178" s="336"/>
      <c r="B178" s="337"/>
      <c r="C178" s="337"/>
      <c r="D178" s="337"/>
      <c r="E178" s="337"/>
      <c r="F178" s="338"/>
      <c r="G178" s="337"/>
      <c r="H178" s="337"/>
      <c r="I178" s="337"/>
      <c r="J178" s="337" t="s">
        <v>3634</v>
      </c>
      <c r="K178" s="337"/>
      <c r="L178" s="339"/>
      <c r="M178" s="339"/>
      <c r="N178" s="340"/>
      <c r="O178" s="339"/>
      <c r="P178" s="339"/>
      <c r="Q178" s="339"/>
      <c r="R178" s="339"/>
    </row>
    <row r="179" customFormat="false" ht="10.5" hidden="false" customHeight="true" outlineLevel="0" collapsed="false">
      <c r="A179" s="336" t="n">
        <v>86</v>
      </c>
      <c r="B179" s="337" t="s">
        <v>3743</v>
      </c>
      <c r="C179" s="337"/>
      <c r="D179" s="337"/>
      <c r="E179" s="337" t="s">
        <v>3674</v>
      </c>
      <c r="F179" s="338" t="s">
        <v>3675</v>
      </c>
      <c r="G179" s="337" t="s">
        <v>3676</v>
      </c>
      <c r="H179" s="337"/>
      <c r="I179" s="337" t="s">
        <v>471</v>
      </c>
      <c r="J179" s="337" t="s">
        <v>1509</v>
      </c>
      <c r="K179" s="337" t="s">
        <v>276</v>
      </c>
      <c r="L179" s="339" t="n">
        <v>41440</v>
      </c>
      <c r="M179" s="339" t="n">
        <v>14910</v>
      </c>
      <c r="N179" s="340" t="n">
        <v>26530</v>
      </c>
      <c r="O179" s="339" t="n">
        <v>41820</v>
      </c>
      <c r="P179" s="339" t="n">
        <v>15020</v>
      </c>
      <c r="Q179" s="339" t="n">
        <v>26800</v>
      </c>
      <c r="R179" s="341" t="n">
        <v>-270</v>
      </c>
    </row>
    <row r="180" customFormat="false" ht="10.5" hidden="false" customHeight="true" outlineLevel="0" collapsed="false">
      <c r="A180" s="336"/>
      <c r="B180" s="337"/>
      <c r="C180" s="337"/>
      <c r="D180" s="337"/>
      <c r="E180" s="337"/>
      <c r="F180" s="338"/>
      <c r="G180" s="337"/>
      <c r="H180" s="337"/>
      <c r="I180" s="337"/>
      <c r="J180" s="337" t="s">
        <v>3634</v>
      </c>
      <c r="K180" s="337"/>
      <c r="L180" s="339"/>
      <c r="M180" s="339"/>
      <c r="N180" s="340"/>
      <c r="O180" s="339"/>
      <c r="P180" s="339"/>
      <c r="Q180" s="339"/>
      <c r="R180" s="339"/>
    </row>
    <row r="181" customFormat="false" ht="10.5" hidden="false" customHeight="true" outlineLevel="0" collapsed="false">
      <c r="A181" s="336" t="n">
        <v>87</v>
      </c>
      <c r="B181" s="337" t="s">
        <v>3744</v>
      </c>
      <c r="C181" s="337"/>
      <c r="D181" s="337"/>
      <c r="E181" s="337" t="s">
        <v>387</v>
      </c>
      <c r="F181" s="338" t="s">
        <v>3678</v>
      </c>
      <c r="G181" s="337" t="s">
        <v>3728</v>
      </c>
      <c r="H181" s="337"/>
      <c r="I181" s="337" t="s">
        <v>471</v>
      </c>
      <c r="J181" s="337" t="s">
        <v>1509</v>
      </c>
      <c r="K181" s="337" t="s">
        <v>276</v>
      </c>
      <c r="L181" s="339" t="n">
        <v>40150</v>
      </c>
      <c r="M181" s="339" t="n">
        <v>15130</v>
      </c>
      <c r="N181" s="340" t="n">
        <v>25020</v>
      </c>
      <c r="O181" s="339" t="n">
        <v>40480</v>
      </c>
      <c r="P181" s="339" t="n">
        <v>15060</v>
      </c>
      <c r="Q181" s="339" t="n">
        <v>25420</v>
      </c>
      <c r="R181" s="341" t="n">
        <v>-400</v>
      </c>
    </row>
    <row r="182" customFormat="false" ht="10.5" hidden="false" customHeight="true" outlineLevel="0" collapsed="false">
      <c r="A182" s="336"/>
      <c r="B182" s="337"/>
      <c r="C182" s="337"/>
      <c r="D182" s="337"/>
      <c r="E182" s="337"/>
      <c r="F182" s="338"/>
      <c r="G182" s="337"/>
      <c r="H182" s="337"/>
      <c r="I182" s="337"/>
      <c r="J182" s="337" t="s">
        <v>3634</v>
      </c>
      <c r="K182" s="337"/>
      <c r="L182" s="339"/>
      <c r="M182" s="339"/>
      <c r="N182" s="340"/>
      <c r="O182" s="339"/>
      <c r="P182" s="339"/>
      <c r="Q182" s="339"/>
      <c r="R182" s="339"/>
    </row>
    <row r="183" customFormat="false" ht="10.5" hidden="false" customHeight="true" outlineLevel="0" collapsed="false">
      <c r="A183" s="336" t="n">
        <v>88</v>
      </c>
      <c r="B183" s="337" t="s">
        <v>3745</v>
      </c>
      <c r="C183" s="337"/>
      <c r="D183" s="337"/>
      <c r="E183" s="337" t="s">
        <v>288</v>
      </c>
      <c r="F183" s="338" t="s">
        <v>3606</v>
      </c>
      <c r="G183" s="337" t="s">
        <v>3607</v>
      </c>
      <c r="H183" s="337"/>
      <c r="I183" s="337" t="s">
        <v>471</v>
      </c>
      <c r="J183" s="337" t="s">
        <v>1509</v>
      </c>
      <c r="K183" s="337" t="s">
        <v>276</v>
      </c>
      <c r="L183" s="339" t="n">
        <v>39350</v>
      </c>
      <c r="M183" s="339" t="n">
        <v>14580</v>
      </c>
      <c r="N183" s="340" t="n">
        <v>24770</v>
      </c>
      <c r="O183" s="339" t="n">
        <v>39720</v>
      </c>
      <c r="P183" s="339" t="n">
        <v>14640</v>
      </c>
      <c r="Q183" s="339" t="n">
        <v>25080</v>
      </c>
      <c r="R183" s="341" t="n">
        <v>-310</v>
      </c>
    </row>
    <row r="184" customFormat="false" ht="10.5" hidden="false" customHeight="true" outlineLevel="0" collapsed="false">
      <c r="A184" s="336"/>
      <c r="B184" s="337"/>
      <c r="C184" s="337"/>
      <c r="D184" s="337"/>
      <c r="E184" s="337"/>
      <c r="F184" s="338"/>
      <c r="G184" s="337"/>
      <c r="H184" s="337"/>
      <c r="I184" s="337"/>
      <c r="J184" s="337" t="s">
        <v>3634</v>
      </c>
      <c r="K184" s="337"/>
      <c r="L184" s="339"/>
      <c r="M184" s="339"/>
      <c r="N184" s="340"/>
      <c r="O184" s="339"/>
      <c r="P184" s="339"/>
      <c r="Q184" s="339"/>
      <c r="R184" s="339"/>
    </row>
    <row r="185" customFormat="false" ht="10.5" hidden="false" customHeight="true" outlineLevel="0" collapsed="false">
      <c r="A185" s="336" t="n">
        <v>89</v>
      </c>
      <c r="B185" s="337" t="s">
        <v>3746</v>
      </c>
      <c r="C185" s="337"/>
      <c r="D185" s="337"/>
      <c r="E185" s="337" t="s">
        <v>3686</v>
      </c>
      <c r="F185" s="338" t="s">
        <v>3687</v>
      </c>
      <c r="G185" s="337" t="s">
        <v>3747</v>
      </c>
      <c r="H185" s="337"/>
      <c r="I185" s="337" t="s">
        <v>471</v>
      </c>
      <c r="J185" s="337" t="s">
        <v>1509</v>
      </c>
      <c r="K185" s="337" t="s">
        <v>276</v>
      </c>
      <c r="L185" s="339" t="n">
        <v>51680</v>
      </c>
      <c r="M185" s="339" t="n">
        <v>19490</v>
      </c>
      <c r="N185" s="340" t="n">
        <v>32190</v>
      </c>
      <c r="O185" s="339" t="n">
        <v>52240</v>
      </c>
      <c r="P185" s="339" t="n">
        <v>19640</v>
      </c>
      <c r="Q185" s="339" t="n">
        <v>32600</v>
      </c>
      <c r="R185" s="341" t="n">
        <v>-410</v>
      </c>
    </row>
    <row r="186" customFormat="false" ht="10.5" hidden="false" customHeight="true" outlineLevel="0" collapsed="false">
      <c r="A186" s="336"/>
      <c r="B186" s="337"/>
      <c r="C186" s="337"/>
      <c r="D186" s="337"/>
      <c r="E186" s="337"/>
      <c r="F186" s="338"/>
      <c r="G186" s="337"/>
      <c r="H186" s="337"/>
      <c r="I186" s="337"/>
      <c r="J186" s="337" t="s">
        <v>3634</v>
      </c>
      <c r="K186" s="337"/>
      <c r="L186" s="339"/>
      <c r="M186" s="339"/>
      <c r="N186" s="340"/>
      <c r="O186" s="339"/>
      <c r="P186" s="339"/>
      <c r="Q186" s="339"/>
      <c r="R186" s="339"/>
    </row>
    <row r="187" customFormat="false" ht="10.5" hidden="false" customHeight="true" outlineLevel="0" collapsed="false">
      <c r="A187" s="336" t="n">
        <v>90</v>
      </c>
      <c r="B187" s="337" t="s">
        <v>3748</v>
      </c>
      <c r="C187" s="337"/>
      <c r="D187" s="337"/>
      <c r="E187" s="337" t="s">
        <v>292</v>
      </c>
      <c r="F187" s="338" t="s">
        <v>3609</v>
      </c>
      <c r="G187" s="337" t="s">
        <v>3610</v>
      </c>
      <c r="H187" s="337"/>
      <c r="I187" s="337" t="s">
        <v>471</v>
      </c>
      <c r="J187" s="337" t="s">
        <v>1509</v>
      </c>
      <c r="K187" s="337" t="s">
        <v>276</v>
      </c>
      <c r="L187" s="339" t="n">
        <v>38460</v>
      </c>
      <c r="M187" s="339" t="n">
        <v>13980</v>
      </c>
      <c r="N187" s="340" t="n">
        <v>24480</v>
      </c>
      <c r="O187" s="339" t="n">
        <v>38760</v>
      </c>
      <c r="P187" s="339" t="n">
        <v>14120</v>
      </c>
      <c r="Q187" s="339" t="n">
        <v>24640</v>
      </c>
      <c r="R187" s="341" t="n">
        <v>-160</v>
      </c>
    </row>
    <row r="188" customFormat="false" ht="10.5" hidden="false" customHeight="true" outlineLevel="0" collapsed="false">
      <c r="A188" s="336"/>
      <c r="B188" s="337"/>
      <c r="C188" s="337"/>
      <c r="D188" s="337"/>
      <c r="E188" s="337"/>
      <c r="F188" s="338"/>
      <c r="G188" s="337"/>
      <c r="H188" s="337"/>
      <c r="I188" s="337"/>
      <c r="J188" s="337" t="s">
        <v>3634</v>
      </c>
      <c r="K188" s="337"/>
      <c r="L188" s="339"/>
      <c r="M188" s="339"/>
      <c r="N188" s="340"/>
      <c r="O188" s="339"/>
      <c r="P188" s="339"/>
      <c r="Q188" s="339"/>
      <c r="R188" s="339"/>
    </row>
    <row r="189" customFormat="false" ht="10.5" hidden="false" customHeight="true" outlineLevel="0" collapsed="false">
      <c r="A189" s="336" t="n">
        <v>91</v>
      </c>
      <c r="B189" s="337" t="s">
        <v>3749</v>
      </c>
      <c r="C189" s="337"/>
      <c r="D189" s="337"/>
      <c r="E189" s="337" t="s">
        <v>296</v>
      </c>
      <c r="F189" s="338" t="s">
        <v>3616</v>
      </c>
      <c r="G189" s="337" t="s">
        <v>3617</v>
      </c>
      <c r="H189" s="337"/>
      <c r="I189" s="337" t="s">
        <v>471</v>
      </c>
      <c r="J189" s="337" t="s">
        <v>1509</v>
      </c>
      <c r="K189" s="337" t="s">
        <v>276</v>
      </c>
      <c r="L189" s="339" t="n">
        <v>43230</v>
      </c>
      <c r="M189" s="339" t="n">
        <v>15390</v>
      </c>
      <c r="N189" s="340" t="n">
        <v>27840</v>
      </c>
      <c r="O189" s="339" t="n">
        <v>43620</v>
      </c>
      <c r="P189" s="339" t="n">
        <v>15520</v>
      </c>
      <c r="Q189" s="339" t="n">
        <v>28100</v>
      </c>
      <c r="R189" s="341" t="n">
        <v>-260</v>
      </c>
    </row>
    <row r="190" customFormat="false" ht="10.5" hidden="false" customHeight="true" outlineLevel="0" collapsed="false">
      <c r="A190" s="336"/>
      <c r="B190" s="337"/>
      <c r="C190" s="337"/>
      <c r="D190" s="337"/>
      <c r="E190" s="337"/>
      <c r="F190" s="338"/>
      <c r="G190" s="337"/>
      <c r="H190" s="337"/>
      <c r="I190" s="337"/>
      <c r="J190" s="337" t="s">
        <v>3634</v>
      </c>
      <c r="K190" s="337"/>
      <c r="L190" s="339"/>
      <c r="M190" s="339"/>
      <c r="N190" s="340"/>
      <c r="O190" s="339"/>
      <c r="P190" s="339"/>
      <c r="Q190" s="339"/>
      <c r="R190" s="339"/>
    </row>
    <row r="191" customFormat="false" ht="10.5" hidden="false" customHeight="true" outlineLevel="0" collapsed="false">
      <c r="A191" s="336" t="n">
        <v>92</v>
      </c>
      <c r="B191" s="337" t="s">
        <v>3750</v>
      </c>
      <c r="C191" s="337"/>
      <c r="D191" s="337"/>
      <c r="E191" s="337" t="s">
        <v>266</v>
      </c>
      <c r="F191" s="338" t="s">
        <v>3592</v>
      </c>
      <c r="G191" s="337" t="s">
        <v>3593</v>
      </c>
      <c r="H191" s="337"/>
      <c r="I191" s="337" t="s">
        <v>471</v>
      </c>
      <c r="J191" s="337" t="s">
        <v>1509</v>
      </c>
      <c r="K191" s="337" t="s">
        <v>276</v>
      </c>
      <c r="L191" s="339" t="n">
        <v>41550</v>
      </c>
      <c r="M191" s="339" t="n">
        <v>15130</v>
      </c>
      <c r="N191" s="340" t="n">
        <v>26420</v>
      </c>
      <c r="O191" s="339" t="n">
        <v>41780</v>
      </c>
      <c r="P191" s="339" t="n">
        <v>15120</v>
      </c>
      <c r="Q191" s="339" t="n">
        <v>26660</v>
      </c>
      <c r="R191" s="341" t="n">
        <v>-240</v>
      </c>
    </row>
    <row r="192" customFormat="false" ht="10.5" hidden="false" customHeight="true" outlineLevel="0" collapsed="false">
      <c r="A192" s="336"/>
      <c r="B192" s="337"/>
      <c r="C192" s="337"/>
      <c r="D192" s="337"/>
      <c r="E192" s="337"/>
      <c r="F192" s="338"/>
      <c r="G192" s="337"/>
      <c r="H192" s="337"/>
      <c r="I192" s="337"/>
      <c r="J192" s="337" t="s">
        <v>3634</v>
      </c>
      <c r="K192" s="337"/>
      <c r="L192" s="339"/>
      <c r="M192" s="339"/>
      <c r="N192" s="340"/>
      <c r="O192" s="339"/>
      <c r="P192" s="339"/>
      <c r="Q192" s="339"/>
      <c r="R192" s="339"/>
    </row>
    <row r="193" customFormat="false" ht="10.5" hidden="false" customHeight="true" outlineLevel="0" collapsed="false">
      <c r="A193" s="336" t="n">
        <v>93</v>
      </c>
      <c r="B193" s="337" t="s">
        <v>3751</v>
      </c>
      <c r="C193" s="337"/>
      <c r="D193" s="337"/>
      <c r="E193" s="337" t="s">
        <v>277</v>
      </c>
      <c r="F193" s="338" t="s">
        <v>3752</v>
      </c>
      <c r="G193" s="337" t="s">
        <v>3753</v>
      </c>
      <c r="H193" s="337"/>
      <c r="I193" s="337" t="s">
        <v>471</v>
      </c>
      <c r="J193" s="337" t="s">
        <v>3590</v>
      </c>
      <c r="K193" s="337" t="s">
        <v>276</v>
      </c>
      <c r="L193" s="339" t="n">
        <v>41190</v>
      </c>
      <c r="M193" s="339" t="n">
        <v>15150</v>
      </c>
      <c r="N193" s="340" t="n">
        <v>26040</v>
      </c>
      <c r="O193" s="339" t="n">
        <v>41560</v>
      </c>
      <c r="P193" s="339" t="n">
        <v>15240</v>
      </c>
      <c r="Q193" s="339" t="n">
        <v>26320</v>
      </c>
      <c r="R193" s="341" t="n">
        <v>-280</v>
      </c>
    </row>
    <row r="194" customFormat="false" ht="10.5" hidden="false" customHeight="true" outlineLevel="0" collapsed="false">
      <c r="A194" s="336"/>
      <c r="B194" s="337"/>
      <c r="C194" s="337"/>
      <c r="D194" s="337"/>
      <c r="E194" s="337"/>
      <c r="F194" s="338"/>
      <c r="G194" s="337"/>
      <c r="H194" s="337"/>
      <c r="I194" s="337"/>
      <c r="J194" s="337"/>
      <c r="K194" s="337"/>
      <c r="L194" s="339"/>
      <c r="M194" s="339"/>
      <c r="N194" s="340"/>
      <c r="O194" s="339"/>
      <c r="P194" s="339"/>
      <c r="Q194" s="339"/>
      <c r="R194" s="339"/>
    </row>
    <row r="195" customFormat="false" ht="10.5" hidden="false" customHeight="true" outlineLevel="0" collapsed="false">
      <c r="A195" s="336" t="n">
        <v>94</v>
      </c>
      <c r="B195" s="337" t="s">
        <v>3754</v>
      </c>
      <c r="C195" s="337"/>
      <c r="D195" s="337"/>
      <c r="E195" s="337" t="s">
        <v>336</v>
      </c>
      <c r="F195" s="338" t="s">
        <v>3641</v>
      </c>
      <c r="G195" s="337" t="s">
        <v>3642</v>
      </c>
      <c r="H195" s="337"/>
      <c r="I195" s="337" t="s">
        <v>471</v>
      </c>
      <c r="J195" s="337" t="s">
        <v>1509</v>
      </c>
      <c r="K195" s="337" t="s">
        <v>276</v>
      </c>
      <c r="L195" s="339" t="n">
        <v>43580</v>
      </c>
      <c r="M195" s="339" t="n">
        <v>14520</v>
      </c>
      <c r="N195" s="340" t="n">
        <v>29060</v>
      </c>
      <c r="O195" s="339" t="n">
        <v>44040</v>
      </c>
      <c r="P195" s="339" t="n">
        <v>14600</v>
      </c>
      <c r="Q195" s="339" t="n">
        <v>29440</v>
      </c>
      <c r="R195" s="341" t="n">
        <v>-380</v>
      </c>
    </row>
    <row r="196" customFormat="false" ht="10.5" hidden="false" customHeight="true" outlineLevel="0" collapsed="false">
      <c r="A196" s="336"/>
      <c r="B196" s="337"/>
      <c r="C196" s="337"/>
      <c r="D196" s="337"/>
      <c r="E196" s="337"/>
      <c r="F196" s="338"/>
      <c r="G196" s="337"/>
      <c r="H196" s="337"/>
      <c r="I196" s="337"/>
      <c r="J196" s="337" t="s">
        <v>3634</v>
      </c>
      <c r="K196" s="337"/>
      <c r="L196" s="339"/>
      <c r="M196" s="339"/>
      <c r="N196" s="340"/>
      <c r="O196" s="339"/>
      <c r="P196" s="339"/>
      <c r="Q196" s="339"/>
      <c r="R196" s="339"/>
    </row>
    <row r="197" customFormat="false" ht="10.5" hidden="false" customHeight="true" outlineLevel="0" collapsed="false">
      <c r="A197" s="336" t="n">
        <v>95</v>
      </c>
      <c r="B197" s="337" t="s">
        <v>3755</v>
      </c>
      <c r="C197" s="337"/>
      <c r="D197" s="337"/>
      <c r="E197" s="337" t="s">
        <v>340</v>
      </c>
      <c r="F197" s="338" t="s">
        <v>3644</v>
      </c>
      <c r="G197" s="337" t="s">
        <v>3756</v>
      </c>
      <c r="H197" s="337"/>
      <c r="I197" s="337" t="s">
        <v>471</v>
      </c>
      <c r="J197" s="337" t="s">
        <v>1509</v>
      </c>
      <c r="K197" s="337" t="s">
        <v>276</v>
      </c>
      <c r="L197" s="339" t="n">
        <v>42250</v>
      </c>
      <c r="M197" s="339" t="n">
        <v>15130</v>
      </c>
      <c r="N197" s="340" t="n">
        <v>27120</v>
      </c>
      <c r="O197" s="339" t="n">
        <v>42500</v>
      </c>
      <c r="P197" s="339" t="n">
        <v>15240</v>
      </c>
      <c r="Q197" s="339" t="n">
        <v>27260</v>
      </c>
      <c r="R197" s="341" t="n">
        <v>-140</v>
      </c>
    </row>
    <row r="198" customFormat="false" ht="10.5" hidden="false" customHeight="true" outlineLevel="0" collapsed="false">
      <c r="A198" s="336"/>
      <c r="B198" s="337"/>
      <c r="C198" s="337"/>
      <c r="D198" s="337"/>
      <c r="E198" s="337"/>
      <c r="F198" s="338"/>
      <c r="G198" s="337"/>
      <c r="H198" s="337"/>
      <c r="I198" s="337"/>
      <c r="J198" s="337" t="s">
        <v>3634</v>
      </c>
      <c r="K198" s="337"/>
      <c r="L198" s="339"/>
      <c r="M198" s="339"/>
      <c r="N198" s="340"/>
      <c r="O198" s="339"/>
      <c r="P198" s="339"/>
      <c r="Q198" s="339"/>
      <c r="R198" s="339"/>
    </row>
    <row r="199" customFormat="false" ht="10.5" hidden="false" customHeight="true" outlineLevel="0" collapsed="false">
      <c r="A199" s="336" t="n">
        <v>96</v>
      </c>
      <c r="B199" s="337" t="s">
        <v>3757</v>
      </c>
      <c r="C199" s="337"/>
      <c r="D199" s="337"/>
      <c r="E199" s="337" t="s">
        <v>282</v>
      </c>
      <c r="F199" s="338" t="s">
        <v>3602</v>
      </c>
      <c r="G199" s="337" t="s">
        <v>3626</v>
      </c>
      <c r="H199" s="337"/>
      <c r="I199" s="337" t="s">
        <v>520</v>
      </c>
      <c r="J199" s="337" t="s">
        <v>1509</v>
      </c>
      <c r="K199" s="337" t="s">
        <v>326</v>
      </c>
      <c r="L199" s="339" t="n">
        <v>35530</v>
      </c>
      <c r="M199" s="339" t="n">
        <v>15060</v>
      </c>
      <c r="N199" s="340" t="n">
        <v>20470</v>
      </c>
      <c r="O199" s="339" t="n">
        <v>35740</v>
      </c>
      <c r="P199" s="339" t="n">
        <v>15100</v>
      </c>
      <c r="Q199" s="339" t="n">
        <v>20640</v>
      </c>
      <c r="R199" s="341" t="n">
        <v>-170</v>
      </c>
    </row>
    <row r="200" customFormat="false" ht="10.5" hidden="false" customHeight="true" outlineLevel="0" collapsed="false">
      <c r="A200" s="336"/>
      <c r="B200" s="337"/>
      <c r="C200" s="337"/>
      <c r="D200" s="337"/>
      <c r="E200" s="337"/>
      <c r="F200" s="338"/>
      <c r="G200" s="337"/>
      <c r="H200" s="337"/>
      <c r="I200" s="337"/>
      <c r="J200" s="337" t="s">
        <v>3634</v>
      </c>
      <c r="K200" s="337" t="s">
        <v>3635</v>
      </c>
      <c r="L200" s="339"/>
      <c r="M200" s="339"/>
      <c r="N200" s="340"/>
      <c r="O200" s="339"/>
      <c r="P200" s="339"/>
      <c r="Q200" s="339"/>
      <c r="R200" s="339"/>
    </row>
    <row r="201" customFormat="false" ht="10.5" hidden="false" customHeight="true" outlineLevel="0" collapsed="false">
      <c r="A201" s="336" t="n">
        <v>97</v>
      </c>
      <c r="B201" s="337" t="s">
        <v>3758</v>
      </c>
      <c r="C201" s="337"/>
      <c r="D201" s="337"/>
      <c r="E201" s="337" t="s">
        <v>346</v>
      </c>
      <c r="F201" s="338" t="s">
        <v>3648</v>
      </c>
      <c r="G201" s="337" t="s">
        <v>3649</v>
      </c>
      <c r="H201" s="337"/>
      <c r="I201" s="337" t="s">
        <v>520</v>
      </c>
      <c r="J201" s="337" t="s">
        <v>1509</v>
      </c>
      <c r="K201" s="337" t="s">
        <v>326</v>
      </c>
      <c r="L201" s="339" t="n">
        <v>36240</v>
      </c>
      <c r="M201" s="339" t="n">
        <v>14980</v>
      </c>
      <c r="N201" s="340" t="n">
        <v>21260</v>
      </c>
      <c r="O201" s="339" t="n">
        <v>36420</v>
      </c>
      <c r="P201" s="339" t="n">
        <v>15080</v>
      </c>
      <c r="Q201" s="339" t="n">
        <v>21340</v>
      </c>
      <c r="R201" s="341" t="n">
        <v>-80</v>
      </c>
    </row>
    <row r="202" customFormat="false" ht="10.5" hidden="false" customHeight="true" outlineLevel="0" collapsed="false">
      <c r="A202" s="336"/>
      <c r="B202" s="337"/>
      <c r="C202" s="337"/>
      <c r="D202" s="337"/>
      <c r="E202" s="337"/>
      <c r="F202" s="338"/>
      <c r="G202" s="337"/>
      <c r="H202" s="337"/>
      <c r="I202" s="337"/>
      <c r="J202" s="337" t="s">
        <v>3634</v>
      </c>
      <c r="K202" s="337" t="s">
        <v>3635</v>
      </c>
      <c r="L202" s="339"/>
      <c r="M202" s="339"/>
      <c r="N202" s="340"/>
      <c r="O202" s="339"/>
      <c r="P202" s="339"/>
      <c r="Q202" s="339"/>
      <c r="R202" s="339"/>
    </row>
    <row r="203" customFormat="false" ht="10.5" hidden="false" customHeight="true" outlineLevel="0" collapsed="false">
      <c r="A203" s="336" t="n">
        <v>98</v>
      </c>
      <c r="B203" s="337" t="s">
        <v>3759</v>
      </c>
      <c r="C203" s="337"/>
      <c r="D203" s="337"/>
      <c r="E203" s="337" t="s">
        <v>359</v>
      </c>
      <c r="F203" s="338" t="s">
        <v>3657</v>
      </c>
      <c r="G203" s="337" t="s">
        <v>3658</v>
      </c>
      <c r="H203" s="337"/>
      <c r="I203" s="337" t="s">
        <v>520</v>
      </c>
      <c r="J203" s="337" t="s">
        <v>1509</v>
      </c>
      <c r="K203" s="337" t="s">
        <v>326</v>
      </c>
      <c r="L203" s="339" t="n">
        <v>34280</v>
      </c>
      <c r="M203" s="339" t="n">
        <v>14870</v>
      </c>
      <c r="N203" s="340" t="n">
        <v>19410</v>
      </c>
      <c r="O203" s="339" t="n">
        <v>34440</v>
      </c>
      <c r="P203" s="339" t="n">
        <v>14940</v>
      </c>
      <c r="Q203" s="339" t="n">
        <v>19500</v>
      </c>
      <c r="R203" s="341" t="n">
        <v>-90</v>
      </c>
    </row>
    <row r="204" customFormat="false" ht="10.5" hidden="false" customHeight="true" outlineLevel="0" collapsed="false">
      <c r="A204" s="336"/>
      <c r="B204" s="337"/>
      <c r="C204" s="337"/>
      <c r="D204" s="337"/>
      <c r="E204" s="337"/>
      <c r="F204" s="338"/>
      <c r="G204" s="337"/>
      <c r="H204" s="337"/>
      <c r="I204" s="337"/>
      <c r="J204" s="337" t="s">
        <v>3634</v>
      </c>
      <c r="K204" s="337" t="s">
        <v>3635</v>
      </c>
      <c r="L204" s="339"/>
      <c r="M204" s="339"/>
      <c r="N204" s="340"/>
      <c r="O204" s="339"/>
      <c r="P204" s="339"/>
      <c r="Q204" s="339"/>
      <c r="R204" s="339"/>
    </row>
    <row r="205" customFormat="false" ht="10.5" hidden="false" customHeight="true" outlineLevel="0" collapsed="false">
      <c r="A205" s="336" t="n">
        <v>99</v>
      </c>
      <c r="B205" s="337" t="s">
        <v>3760</v>
      </c>
      <c r="C205" s="337"/>
      <c r="D205" s="337"/>
      <c r="E205" s="337" t="s">
        <v>391</v>
      </c>
      <c r="F205" s="338" t="s">
        <v>3681</v>
      </c>
      <c r="G205" s="337" t="s">
        <v>3682</v>
      </c>
      <c r="H205" s="337"/>
      <c r="I205" s="337" t="s">
        <v>520</v>
      </c>
      <c r="J205" s="337" t="s">
        <v>1509</v>
      </c>
      <c r="K205" s="337" t="s">
        <v>326</v>
      </c>
      <c r="L205" s="339" t="n">
        <v>33340</v>
      </c>
      <c r="M205" s="339" t="n">
        <v>14470</v>
      </c>
      <c r="N205" s="340" t="n">
        <v>18870</v>
      </c>
      <c r="O205" s="339" t="n">
        <v>33460</v>
      </c>
      <c r="P205" s="339" t="n">
        <v>14520</v>
      </c>
      <c r="Q205" s="339" t="n">
        <v>18940</v>
      </c>
      <c r="R205" s="341" t="n">
        <v>-70</v>
      </c>
    </row>
    <row r="206" customFormat="false" ht="10.5" hidden="false" customHeight="true" outlineLevel="0" collapsed="false">
      <c r="A206" s="336"/>
      <c r="B206" s="337"/>
      <c r="C206" s="337"/>
      <c r="D206" s="337"/>
      <c r="E206" s="337"/>
      <c r="F206" s="338"/>
      <c r="G206" s="337"/>
      <c r="H206" s="337"/>
      <c r="I206" s="337"/>
      <c r="J206" s="337" t="s">
        <v>3634</v>
      </c>
      <c r="K206" s="337" t="s">
        <v>3635</v>
      </c>
      <c r="L206" s="339"/>
      <c r="M206" s="339"/>
      <c r="N206" s="340"/>
      <c r="O206" s="339"/>
      <c r="P206" s="339"/>
      <c r="Q206" s="339"/>
      <c r="R206" s="339"/>
    </row>
    <row r="207" customFormat="false" ht="10.5" hidden="false" customHeight="true" outlineLevel="0" collapsed="false">
      <c r="A207" s="336" t="n">
        <v>100</v>
      </c>
      <c r="B207" s="337" t="s">
        <v>3761</v>
      </c>
      <c r="C207" s="337"/>
      <c r="D207" s="337"/>
      <c r="E207" s="337" t="s">
        <v>529</v>
      </c>
      <c r="F207" s="338" t="s">
        <v>3762</v>
      </c>
      <c r="G207" s="337" t="s">
        <v>3763</v>
      </c>
      <c r="H207" s="337"/>
      <c r="I207" s="337" t="s">
        <v>520</v>
      </c>
      <c r="J207" s="337" t="s">
        <v>3590</v>
      </c>
      <c r="K207" s="337" t="s">
        <v>326</v>
      </c>
      <c r="L207" s="339" t="n">
        <v>33680</v>
      </c>
      <c r="M207" s="339" t="n">
        <v>14890</v>
      </c>
      <c r="N207" s="340" t="n">
        <v>18790</v>
      </c>
      <c r="O207" s="339" t="n">
        <v>33840</v>
      </c>
      <c r="P207" s="339" t="n">
        <v>14980</v>
      </c>
      <c r="Q207" s="339" t="n">
        <v>18860</v>
      </c>
      <c r="R207" s="341" t="n">
        <v>-70</v>
      </c>
    </row>
    <row r="208" customFormat="false" ht="10.5" hidden="false" customHeight="true" outlineLevel="0" collapsed="false">
      <c r="A208" s="336"/>
      <c r="B208" s="337"/>
      <c r="C208" s="337"/>
      <c r="D208" s="337"/>
      <c r="E208" s="337"/>
      <c r="F208" s="338"/>
      <c r="G208" s="337"/>
      <c r="H208" s="337"/>
      <c r="I208" s="337"/>
      <c r="J208" s="337" t="s">
        <v>3634</v>
      </c>
      <c r="K208" s="337" t="s">
        <v>3635</v>
      </c>
      <c r="L208" s="339"/>
      <c r="M208" s="339"/>
      <c r="N208" s="340"/>
      <c r="O208" s="339"/>
      <c r="P208" s="339"/>
      <c r="Q208" s="339"/>
      <c r="R208" s="339"/>
    </row>
    <row r="209" customFormat="false" ht="10.5" hidden="false" customHeight="true" outlineLevel="0" collapsed="false">
      <c r="A209" s="336" t="n">
        <v>101</v>
      </c>
      <c r="B209" s="337" t="s">
        <v>3764</v>
      </c>
      <c r="C209" s="337"/>
      <c r="D209" s="337"/>
      <c r="E209" s="337" t="s">
        <v>533</v>
      </c>
      <c r="F209" s="338" t="s">
        <v>3765</v>
      </c>
      <c r="G209" s="337" t="s">
        <v>3766</v>
      </c>
      <c r="H209" s="337"/>
      <c r="I209" s="337" t="s">
        <v>520</v>
      </c>
      <c r="J209" s="337" t="s">
        <v>3590</v>
      </c>
      <c r="K209" s="337" t="s">
        <v>326</v>
      </c>
      <c r="L209" s="339" t="n">
        <v>37090</v>
      </c>
      <c r="M209" s="339" t="n">
        <v>14660</v>
      </c>
      <c r="N209" s="340" t="n">
        <v>22430</v>
      </c>
      <c r="O209" s="339" t="n">
        <v>37300</v>
      </c>
      <c r="P209" s="339" t="n">
        <v>14760</v>
      </c>
      <c r="Q209" s="339" t="n">
        <v>22540</v>
      </c>
      <c r="R209" s="341" t="n">
        <v>-110</v>
      </c>
    </row>
    <row r="210" customFormat="false" ht="10.5" hidden="false" customHeight="true" outlineLevel="0" collapsed="false">
      <c r="A210" s="336"/>
      <c r="B210" s="337"/>
      <c r="C210" s="337"/>
      <c r="D210" s="337"/>
      <c r="E210" s="337"/>
      <c r="F210" s="338"/>
      <c r="G210" s="337"/>
      <c r="H210" s="337"/>
      <c r="I210" s="337"/>
      <c r="J210" s="337" t="s">
        <v>3634</v>
      </c>
      <c r="K210" s="337" t="s">
        <v>3635</v>
      </c>
      <c r="L210" s="339"/>
      <c r="M210" s="339"/>
      <c r="N210" s="340"/>
      <c r="O210" s="339"/>
      <c r="P210" s="339"/>
      <c r="Q210" s="339"/>
      <c r="R210" s="339"/>
    </row>
    <row r="211" customFormat="false" ht="10.5" hidden="false" customHeight="true" outlineLevel="0" collapsed="false">
      <c r="A211" s="336" t="n">
        <v>102</v>
      </c>
      <c r="B211" s="337" t="s">
        <v>3767</v>
      </c>
      <c r="C211" s="337"/>
      <c r="D211" s="337"/>
      <c r="E211" s="337" t="s">
        <v>537</v>
      </c>
      <c r="F211" s="338" t="s">
        <v>3768</v>
      </c>
      <c r="G211" s="337" t="s">
        <v>3769</v>
      </c>
      <c r="H211" s="337"/>
      <c r="I211" s="337" t="s">
        <v>520</v>
      </c>
      <c r="J211" s="337" t="s">
        <v>3590</v>
      </c>
      <c r="K211" s="337" t="s">
        <v>326</v>
      </c>
      <c r="L211" s="339" t="n">
        <v>33150</v>
      </c>
      <c r="M211" s="339" t="n">
        <v>14010</v>
      </c>
      <c r="N211" s="340" t="n">
        <v>19140</v>
      </c>
      <c r="O211" s="339" t="n">
        <v>33320</v>
      </c>
      <c r="P211" s="339" t="n">
        <v>14120</v>
      </c>
      <c r="Q211" s="339" t="n">
        <v>19200</v>
      </c>
      <c r="R211" s="341" t="n">
        <v>-60</v>
      </c>
    </row>
    <row r="212" customFormat="false" ht="10.5" hidden="false" customHeight="true" outlineLevel="0" collapsed="false">
      <c r="A212" s="336"/>
      <c r="B212" s="337"/>
      <c r="C212" s="337"/>
      <c r="D212" s="337"/>
      <c r="E212" s="337"/>
      <c r="F212" s="338"/>
      <c r="G212" s="337"/>
      <c r="H212" s="337"/>
      <c r="I212" s="337"/>
      <c r="J212" s="337" t="s">
        <v>3634</v>
      </c>
      <c r="K212" s="337" t="s">
        <v>3635</v>
      </c>
      <c r="L212" s="339"/>
      <c r="M212" s="339"/>
      <c r="N212" s="340"/>
      <c r="O212" s="339"/>
      <c r="P212" s="339"/>
      <c r="Q212" s="339"/>
      <c r="R212" s="339"/>
    </row>
    <row r="213" customFormat="false" ht="10.5" hidden="false" customHeight="true" outlineLevel="0" collapsed="false">
      <c r="A213" s="336" t="n">
        <v>103</v>
      </c>
      <c r="B213" s="337" t="s">
        <v>3770</v>
      </c>
      <c r="C213" s="337"/>
      <c r="D213" s="337"/>
      <c r="E213" s="337" t="s">
        <v>541</v>
      </c>
      <c r="F213" s="338" t="s">
        <v>3771</v>
      </c>
      <c r="G213" s="337" t="s">
        <v>3772</v>
      </c>
      <c r="H213" s="337"/>
      <c r="I213" s="337" t="s">
        <v>520</v>
      </c>
      <c r="J213" s="337" t="s">
        <v>3590</v>
      </c>
      <c r="K213" s="337" t="s">
        <v>326</v>
      </c>
      <c r="L213" s="339" t="n">
        <v>36520</v>
      </c>
      <c r="M213" s="339" t="n">
        <v>14980</v>
      </c>
      <c r="N213" s="340" t="n">
        <v>21540</v>
      </c>
      <c r="O213" s="339" t="n">
        <v>36720</v>
      </c>
      <c r="P213" s="339" t="n">
        <v>15080</v>
      </c>
      <c r="Q213" s="339" t="n">
        <v>21640</v>
      </c>
      <c r="R213" s="341" t="n">
        <v>-100</v>
      </c>
    </row>
    <row r="214" customFormat="false" ht="10.5" hidden="false" customHeight="true" outlineLevel="0" collapsed="false">
      <c r="A214" s="336"/>
      <c r="B214" s="337"/>
      <c r="C214" s="337"/>
      <c r="D214" s="337"/>
      <c r="E214" s="337"/>
      <c r="F214" s="338"/>
      <c r="G214" s="337"/>
      <c r="H214" s="337"/>
      <c r="I214" s="337"/>
      <c r="J214" s="337" t="s">
        <v>3634</v>
      </c>
      <c r="K214" s="337" t="s">
        <v>3635</v>
      </c>
      <c r="L214" s="339"/>
      <c r="M214" s="339"/>
      <c r="N214" s="340"/>
      <c r="O214" s="339"/>
      <c r="P214" s="339"/>
      <c r="Q214" s="339"/>
      <c r="R214" s="339"/>
    </row>
    <row r="215" customFormat="false" ht="10.5" hidden="false" customHeight="true" outlineLevel="0" collapsed="false">
      <c r="A215" s="336" t="n">
        <v>104</v>
      </c>
      <c r="B215" s="337" t="s">
        <v>3773</v>
      </c>
      <c r="C215" s="337"/>
      <c r="D215" s="337"/>
      <c r="E215" s="337" t="s">
        <v>545</v>
      </c>
      <c r="F215" s="338" t="s">
        <v>3774</v>
      </c>
      <c r="G215" s="337" t="s">
        <v>3775</v>
      </c>
      <c r="H215" s="337"/>
      <c r="I215" s="337" t="s">
        <v>520</v>
      </c>
      <c r="J215" s="337" t="s">
        <v>3590</v>
      </c>
      <c r="K215" s="337" t="s">
        <v>326</v>
      </c>
      <c r="L215" s="339" t="n">
        <v>39640</v>
      </c>
      <c r="M215" s="339" t="n">
        <v>16100</v>
      </c>
      <c r="N215" s="340" t="n">
        <v>23540</v>
      </c>
      <c r="O215" s="339" t="n">
        <v>39880</v>
      </c>
      <c r="P215" s="339" t="n">
        <v>16220</v>
      </c>
      <c r="Q215" s="339" t="n">
        <v>23660</v>
      </c>
      <c r="R215" s="341" t="n">
        <v>-120</v>
      </c>
    </row>
    <row r="216" customFormat="false" ht="10.5" hidden="false" customHeight="true" outlineLevel="0" collapsed="false">
      <c r="A216" s="336"/>
      <c r="B216" s="337"/>
      <c r="C216" s="337"/>
      <c r="D216" s="337"/>
      <c r="E216" s="337"/>
      <c r="F216" s="338"/>
      <c r="G216" s="337"/>
      <c r="H216" s="337"/>
      <c r="I216" s="337"/>
      <c r="J216" s="337" t="s">
        <v>3634</v>
      </c>
      <c r="K216" s="337" t="s">
        <v>3635</v>
      </c>
      <c r="L216" s="339"/>
      <c r="M216" s="339"/>
      <c r="N216" s="340"/>
      <c r="O216" s="339"/>
      <c r="P216" s="339"/>
      <c r="Q216" s="339"/>
      <c r="R216" s="339"/>
    </row>
    <row r="217" customFormat="false" ht="10.5" hidden="false" customHeight="true" outlineLevel="0" collapsed="false">
      <c r="A217" s="336" t="n">
        <v>105</v>
      </c>
      <c r="B217" s="337" t="s">
        <v>3776</v>
      </c>
      <c r="C217" s="337"/>
      <c r="D217" s="337"/>
      <c r="E217" s="337" t="s">
        <v>549</v>
      </c>
      <c r="F217" s="338" t="s">
        <v>3777</v>
      </c>
      <c r="G217" s="337" t="s">
        <v>3778</v>
      </c>
      <c r="H217" s="337"/>
      <c r="I217" s="337" t="s">
        <v>520</v>
      </c>
      <c r="J217" s="337" t="s">
        <v>3590</v>
      </c>
      <c r="K217" s="337" t="s">
        <v>326</v>
      </c>
      <c r="L217" s="339" t="n">
        <v>39460</v>
      </c>
      <c r="M217" s="339" t="n">
        <v>15920</v>
      </c>
      <c r="N217" s="340" t="n">
        <v>23540</v>
      </c>
      <c r="O217" s="339" t="n">
        <v>39800</v>
      </c>
      <c r="P217" s="339" t="n">
        <v>16040</v>
      </c>
      <c r="Q217" s="339" t="n">
        <v>23760</v>
      </c>
      <c r="R217" s="341" t="n">
        <v>-220</v>
      </c>
    </row>
    <row r="218" customFormat="false" ht="10.5" hidden="false" customHeight="true" outlineLevel="0" collapsed="false">
      <c r="A218" s="336"/>
      <c r="B218" s="337"/>
      <c r="C218" s="337"/>
      <c r="D218" s="337"/>
      <c r="E218" s="337"/>
      <c r="F218" s="338"/>
      <c r="G218" s="337"/>
      <c r="H218" s="337"/>
      <c r="I218" s="337"/>
      <c r="J218" s="337" t="s">
        <v>3634</v>
      </c>
      <c r="K218" s="337" t="s">
        <v>3635</v>
      </c>
      <c r="L218" s="339"/>
      <c r="M218" s="339"/>
      <c r="N218" s="340"/>
      <c r="O218" s="339"/>
      <c r="P218" s="339"/>
      <c r="Q218" s="339"/>
      <c r="R218" s="339"/>
    </row>
    <row r="219" customFormat="false" ht="10.5" hidden="false" customHeight="true" outlineLevel="0" collapsed="false">
      <c r="A219" s="336" t="n">
        <v>106</v>
      </c>
      <c r="B219" s="337" t="s">
        <v>3779</v>
      </c>
      <c r="C219" s="337"/>
      <c r="D219" s="337"/>
      <c r="E219" s="337" t="s">
        <v>350</v>
      </c>
      <c r="F219" s="338" t="s">
        <v>3651</v>
      </c>
      <c r="G219" s="337" t="s">
        <v>3652</v>
      </c>
      <c r="H219" s="337"/>
      <c r="I219" s="337" t="s">
        <v>520</v>
      </c>
      <c r="J219" s="337" t="s">
        <v>1509</v>
      </c>
      <c r="K219" s="337" t="s">
        <v>326</v>
      </c>
      <c r="L219" s="339" t="n">
        <v>40140</v>
      </c>
      <c r="M219" s="339" t="n">
        <v>14920</v>
      </c>
      <c r="N219" s="340" t="n">
        <v>25220</v>
      </c>
      <c r="O219" s="339" t="n">
        <v>40520</v>
      </c>
      <c r="P219" s="339" t="n">
        <v>15040</v>
      </c>
      <c r="Q219" s="339" t="n">
        <v>25480</v>
      </c>
      <c r="R219" s="341" t="n">
        <v>-260</v>
      </c>
    </row>
    <row r="220" customFormat="false" ht="10.5" hidden="false" customHeight="true" outlineLevel="0" collapsed="false">
      <c r="A220" s="336"/>
      <c r="B220" s="337"/>
      <c r="C220" s="337"/>
      <c r="D220" s="337"/>
      <c r="E220" s="337"/>
      <c r="F220" s="338"/>
      <c r="G220" s="337"/>
      <c r="H220" s="337"/>
      <c r="I220" s="337"/>
      <c r="J220" s="337" t="s">
        <v>3634</v>
      </c>
      <c r="K220" s="337" t="s">
        <v>3635</v>
      </c>
      <c r="L220" s="339"/>
      <c r="M220" s="339"/>
      <c r="N220" s="340"/>
      <c r="O220" s="339"/>
      <c r="P220" s="339"/>
      <c r="Q220" s="339"/>
      <c r="R220" s="339"/>
    </row>
    <row r="221" customFormat="false" ht="10.5" hidden="false" customHeight="true" outlineLevel="0" collapsed="false">
      <c r="A221" s="336" t="n">
        <v>107</v>
      </c>
      <c r="B221" s="337" t="s">
        <v>3780</v>
      </c>
      <c r="C221" s="337"/>
      <c r="D221" s="337"/>
      <c r="E221" s="337" t="s">
        <v>377</v>
      </c>
      <c r="F221" s="338" t="s">
        <v>3670</v>
      </c>
      <c r="G221" s="337" t="s">
        <v>3671</v>
      </c>
      <c r="H221" s="337"/>
      <c r="I221" s="337" t="s">
        <v>520</v>
      </c>
      <c r="J221" s="337" t="s">
        <v>1509</v>
      </c>
      <c r="K221" s="337" t="s">
        <v>326</v>
      </c>
      <c r="L221" s="339" t="n">
        <v>41240</v>
      </c>
      <c r="M221" s="339" t="n">
        <v>15590</v>
      </c>
      <c r="N221" s="340" t="n">
        <v>25650</v>
      </c>
      <c r="O221" s="339" t="n">
        <v>41680</v>
      </c>
      <c r="P221" s="339" t="n">
        <v>15720</v>
      </c>
      <c r="Q221" s="339" t="n">
        <v>25960</v>
      </c>
      <c r="R221" s="341" t="n">
        <v>-310</v>
      </c>
    </row>
    <row r="222" customFormat="false" ht="10.5" hidden="false" customHeight="true" outlineLevel="0" collapsed="false">
      <c r="A222" s="336"/>
      <c r="B222" s="337"/>
      <c r="C222" s="337"/>
      <c r="D222" s="337"/>
      <c r="E222" s="337"/>
      <c r="F222" s="338"/>
      <c r="G222" s="337"/>
      <c r="H222" s="337"/>
      <c r="I222" s="337"/>
      <c r="J222" s="337" t="s">
        <v>3634</v>
      </c>
      <c r="K222" s="337" t="s">
        <v>3635</v>
      </c>
      <c r="L222" s="339"/>
      <c r="M222" s="339"/>
      <c r="N222" s="340"/>
      <c r="O222" s="339"/>
      <c r="P222" s="339"/>
      <c r="Q222" s="339"/>
      <c r="R222" s="339"/>
    </row>
    <row r="223" customFormat="false" ht="10.5" hidden="false" customHeight="true" outlineLevel="0" collapsed="false">
      <c r="A223" s="336" t="n">
        <v>108</v>
      </c>
      <c r="B223" s="337" t="s">
        <v>3781</v>
      </c>
      <c r="C223" s="337"/>
      <c r="D223" s="337"/>
      <c r="E223" s="337" t="s">
        <v>439</v>
      </c>
      <c r="F223" s="338" t="s">
        <v>3712</v>
      </c>
      <c r="G223" s="337" t="s">
        <v>3713</v>
      </c>
      <c r="H223" s="337"/>
      <c r="I223" s="337" t="s">
        <v>520</v>
      </c>
      <c r="J223" s="337" t="s">
        <v>1509</v>
      </c>
      <c r="K223" s="337" t="s">
        <v>326</v>
      </c>
      <c r="L223" s="339" t="n">
        <v>38470</v>
      </c>
      <c r="M223" s="339" t="n">
        <v>16400</v>
      </c>
      <c r="N223" s="340" t="n">
        <v>22070</v>
      </c>
      <c r="O223" s="339" t="n">
        <v>38600</v>
      </c>
      <c r="P223" s="339" t="n">
        <v>16260</v>
      </c>
      <c r="Q223" s="339" t="n">
        <v>22340</v>
      </c>
      <c r="R223" s="341" t="n">
        <v>-270</v>
      </c>
    </row>
    <row r="224" customFormat="false" ht="10.5" hidden="false" customHeight="true" outlineLevel="0" collapsed="false">
      <c r="A224" s="336"/>
      <c r="B224" s="337"/>
      <c r="C224" s="337"/>
      <c r="D224" s="337"/>
      <c r="E224" s="337"/>
      <c r="F224" s="338"/>
      <c r="G224" s="337"/>
      <c r="H224" s="337"/>
      <c r="I224" s="337"/>
      <c r="J224" s="337" t="s">
        <v>3634</v>
      </c>
      <c r="K224" s="337" t="s">
        <v>3635</v>
      </c>
      <c r="L224" s="339"/>
      <c r="M224" s="339"/>
      <c r="N224" s="340"/>
      <c r="O224" s="339"/>
      <c r="P224" s="339"/>
      <c r="Q224" s="339"/>
      <c r="R224" s="339"/>
    </row>
    <row r="225" customFormat="false" ht="10.5" hidden="false" customHeight="true" outlineLevel="0" collapsed="false">
      <c r="A225" s="336" t="n">
        <v>109</v>
      </c>
      <c r="B225" s="337" t="s">
        <v>3782</v>
      </c>
      <c r="C225" s="337"/>
      <c r="D225" s="337"/>
      <c r="E225" s="337" t="s">
        <v>3686</v>
      </c>
      <c r="F225" s="338" t="s">
        <v>3687</v>
      </c>
      <c r="G225" s="337" t="s">
        <v>3747</v>
      </c>
      <c r="H225" s="337"/>
      <c r="I225" s="337" t="s">
        <v>520</v>
      </c>
      <c r="J225" s="337" t="s">
        <v>1509</v>
      </c>
      <c r="K225" s="337" t="s">
        <v>326</v>
      </c>
      <c r="L225" s="339" t="n">
        <v>43920</v>
      </c>
      <c r="M225" s="339" t="n">
        <v>19310</v>
      </c>
      <c r="N225" s="340" t="n">
        <v>24610</v>
      </c>
      <c r="O225" s="339" t="n">
        <v>44400</v>
      </c>
      <c r="P225" s="339" t="n">
        <v>19360</v>
      </c>
      <c r="Q225" s="339" t="n">
        <v>25040</v>
      </c>
      <c r="R225" s="341" t="n">
        <v>-430</v>
      </c>
    </row>
    <row r="226" customFormat="false" ht="10.5" hidden="false" customHeight="true" outlineLevel="0" collapsed="false">
      <c r="A226" s="336"/>
      <c r="B226" s="337"/>
      <c r="C226" s="337"/>
      <c r="D226" s="337"/>
      <c r="E226" s="337"/>
      <c r="F226" s="338"/>
      <c r="G226" s="337"/>
      <c r="H226" s="337"/>
      <c r="I226" s="337"/>
      <c r="J226" s="337" t="s">
        <v>3634</v>
      </c>
      <c r="K226" s="337" t="s">
        <v>3635</v>
      </c>
      <c r="L226" s="339"/>
      <c r="M226" s="339"/>
      <c r="N226" s="340"/>
      <c r="O226" s="339"/>
      <c r="P226" s="339"/>
      <c r="Q226" s="339"/>
      <c r="R226" s="339"/>
    </row>
    <row r="227" customFormat="false" ht="10.5" hidden="false" customHeight="true" outlineLevel="0" collapsed="false">
      <c r="A227" s="336" t="n">
        <v>110</v>
      </c>
      <c r="B227" s="337" t="s">
        <v>3783</v>
      </c>
      <c r="C227" s="337"/>
      <c r="D227" s="337"/>
      <c r="E227" s="337" t="s">
        <v>413</v>
      </c>
      <c r="F227" s="338" t="s">
        <v>3696</v>
      </c>
      <c r="G227" s="337" t="s">
        <v>3697</v>
      </c>
      <c r="H227" s="337"/>
      <c r="I227" s="337" t="s">
        <v>520</v>
      </c>
      <c r="J227" s="337" t="s">
        <v>1509</v>
      </c>
      <c r="K227" s="337" t="s">
        <v>326</v>
      </c>
      <c r="L227" s="339" t="n">
        <v>41820</v>
      </c>
      <c r="M227" s="339" t="n">
        <v>15540</v>
      </c>
      <c r="N227" s="340" t="n">
        <v>26280</v>
      </c>
      <c r="O227" s="339" t="n">
        <v>42340</v>
      </c>
      <c r="P227" s="339" t="n">
        <v>15660</v>
      </c>
      <c r="Q227" s="339" t="n">
        <v>26680</v>
      </c>
      <c r="R227" s="341" t="n">
        <v>-400</v>
      </c>
    </row>
    <row r="228" customFormat="false" ht="10.5" hidden="false" customHeight="true" outlineLevel="0" collapsed="false">
      <c r="A228" s="336"/>
      <c r="B228" s="337"/>
      <c r="C228" s="337"/>
      <c r="D228" s="337"/>
      <c r="E228" s="337"/>
      <c r="F228" s="338"/>
      <c r="G228" s="337"/>
      <c r="H228" s="337"/>
      <c r="I228" s="337"/>
      <c r="J228" s="337" t="s">
        <v>3634</v>
      </c>
      <c r="K228" s="337" t="s">
        <v>3635</v>
      </c>
      <c r="L228" s="339"/>
      <c r="M228" s="339"/>
      <c r="N228" s="340"/>
      <c r="O228" s="339"/>
      <c r="P228" s="339"/>
      <c r="Q228" s="339"/>
      <c r="R228" s="339"/>
    </row>
    <row r="229" customFormat="false" ht="10.5" hidden="false" customHeight="true" outlineLevel="0" collapsed="false">
      <c r="A229" s="336" t="n">
        <v>111</v>
      </c>
      <c r="B229" s="337" t="s">
        <v>3784</v>
      </c>
      <c r="C229" s="337"/>
      <c r="D229" s="337"/>
      <c r="E229" s="337" t="s">
        <v>409</v>
      </c>
      <c r="F229" s="338" t="s">
        <v>3693</v>
      </c>
      <c r="G229" s="337" t="s">
        <v>3694</v>
      </c>
      <c r="H229" s="337"/>
      <c r="I229" s="337" t="s">
        <v>520</v>
      </c>
      <c r="J229" s="337" t="s">
        <v>1509</v>
      </c>
      <c r="K229" s="337" t="s">
        <v>326</v>
      </c>
      <c r="L229" s="339" t="n">
        <v>50440</v>
      </c>
      <c r="M229" s="339" t="n">
        <v>24130</v>
      </c>
      <c r="N229" s="340" t="n">
        <v>26310</v>
      </c>
      <c r="O229" s="339" t="n">
        <v>50980</v>
      </c>
      <c r="P229" s="339" t="n">
        <v>24300</v>
      </c>
      <c r="Q229" s="339" t="n">
        <v>26680</v>
      </c>
      <c r="R229" s="341" t="n">
        <v>-370</v>
      </c>
    </row>
    <row r="230" customFormat="false" ht="10.5" hidden="false" customHeight="true" outlineLevel="0" collapsed="false">
      <c r="A230" s="336"/>
      <c r="B230" s="337"/>
      <c r="C230" s="337"/>
      <c r="D230" s="337"/>
      <c r="E230" s="337"/>
      <c r="F230" s="338"/>
      <c r="G230" s="337"/>
      <c r="H230" s="337"/>
      <c r="I230" s="337"/>
      <c r="J230" s="337" t="s">
        <v>3634</v>
      </c>
      <c r="K230" s="337" t="s">
        <v>3635</v>
      </c>
      <c r="L230" s="339"/>
      <c r="M230" s="339"/>
      <c r="N230" s="340"/>
      <c r="O230" s="339"/>
      <c r="P230" s="339"/>
      <c r="Q230" s="339"/>
      <c r="R230" s="339"/>
    </row>
    <row r="231" customFormat="false" ht="10.5" hidden="false" customHeight="true" outlineLevel="0" collapsed="false">
      <c r="A231" s="336" t="n">
        <v>112</v>
      </c>
      <c r="B231" s="337" t="s">
        <v>3785</v>
      </c>
      <c r="C231" s="337"/>
      <c r="D231" s="337"/>
      <c r="E231" s="337" t="s">
        <v>308</v>
      </c>
      <c r="F231" s="338" t="s">
        <v>3622</v>
      </c>
      <c r="G231" s="337" t="s">
        <v>3623</v>
      </c>
      <c r="H231" s="337"/>
      <c r="I231" s="337" t="s">
        <v>520</v>
      </c>
      <c r="J231" s="337" t="s">
        <v>1509</v>
      </c>
      <c r="K231" s="337" t="s">
        <v>326</v>
      </c>
      <c r="L231" s="339" t="n">
        <v>47570</v>
      </c>
      <c r="M231" s="339" t="n">
        <v>24050</v>
      </c>
      <c r="N231" s="340" t="n">
        <v>23520</v>
      </c>
      <c r="O231" s="339" t="n">
        <v>48200</v>
      </c>
      <c r="P231" s="339" t="n">
        <v>24160</v>
      </c>
      <c r="Q231" s="339" t="n">
        <v>24040</v>
      </c>
      <c r="R231" s="341" t="n">
        <v>-520</v>
      </c>
    </row>
    <row r="232" customFormat="false" ht="10.5" hidden="false" customHeight="true" outlineLevel="0" collapsed="false">
      <c r="A232" s="336"/>
      <c r="B232" s="337"/>
      <c r="C232" s="337"/>
      <c r="D232" s="337"/>
      <c r="E232" s="337"/>
      <c r="F232" s="338"/>
      <c r="G232" s="337"/>
      <c r="H232" s="337"/>
      <c r="I232" s="337"/>
      <c r="J232" s="337" t="s">
        <v>3634</v>
      </c>
      <c r="K232" s="337" t="s">
        <v>3635</v>
      </c>
      <c r="L232" s="339"/>
      <c r="M232" s="339"/>
      <c r="N232" s="340"/>
      <c r="O232" s="339"/>
      <c r="P232" s="339"/>
      <c r="Q232" s="339"/>
      <c r="R232" s="339"/>
    </row>
    <row r="233" customFormat="false" ht="10.5" hidden="false" customHeight="true" outlineLevel="0" collapsed="false">
      <c r="A233" s="336" t="n">
        <v>113</v>
      </c>
      <c r="B233" s="337" t="s">
        <v>3786</v>
      </c>
      <c r="C233" s="337"/>
      <c r="D233" s="337"/>
      <c r="E233" s="337" t="s">
        <v>304</v>
      </c>
      <c r="F233" s="338" t="s">
        <v>3619</v>
      </c>
      <c r="G233" s="337" t="s">
        <v>3620</v>
      </c>
      <c r="H233" s="337"/>
      <c r="I233" s="337" t="s">
        <v>520</v>
      </c>
      <c r="J233" s="337" t="s">
        <v>1509</v>
      </c>
      <c r="K233" s="337" t="s">
        <v>326</v>
      </c>
      <c r="L233" s="339" t="n">
        <v>36940</v>
      </c>
      <c r="M233" s="339" t="n">
        <v>14830</v>
      </c>
      <c r="N233" s="340" t="n">
        <v>22110</v>
      </c>
      <c r="O233" s="339" t="n">
        <v>37500</v>
      </c>
      <c r="P233" s="339" t="n">
        <v>14960</v>
      </c>
      <c r="Q233" s="339" t="n">
        <v>22540</v>
      </c>
      <c r="R233" s="341" t="n">
        <v>-430</v>
      </c>
    </row>
    <row r="234" customFormat="false" ht="10.5" hidden="false" customHeight="true" outlineLevel="0" collapsed="false">
      <c r="A234" s="336"/>
      <c r="B234" s="337"/>
      <c r="C234" s="337"/>
      <c r="D234" s="337"/>
      <c r="E234" s="337"/>
      <c r="F234" s="338"/>
      <c r="G234" s="337"/>
      <c r="H234" s="337"/>
      <c r="I234" s="337"/>
      <c r="J234" s="337" t="s">
        <v>3634</v>
      </c>
      <c r="K234" s="337" t="s">
        <v>3635</v>
      </c>
      <c r="L234" s="339"/>
      <c r="M234" s="339"/>
      <c r="N234" s="340"/>
      <c r="O234" s="339"/>
      <c r="P234" s="339"/>
      <c r="Q234" s="339"/>
      <c r="R234" s="339"/>
    </row>
    <row r="235" customFormat="false" ht="10.5" hidden="false" customHeight="true" outlineLevel="0" collapsed="false">
      <c r="A235" s="336" t="n">
        <v>114</v>
      </c>
      <c r="B235" s="337" t="s">
        <v>3787</v>
      </c>
      <c r="C235" s="337"/>
      <c r="D235" s="337"/>
      <c r="E235" s="337" t="s">
        <v>300</v>
      </c>
      <c r="F235" s="338" t="s">
        <v>3612</v>
      </c>
      <c r="G235" s="337" t="s">
        <v>3613</v>
      </c>
      <c r="H235" s="337"/>
      <c r="I235" s="337" t="s">
        <v>520</v>
      </c>
      <c r="J235" s="337" t="s">
        <v>1509</v>
      </c>
      <c r="K235" s="337" t="s">
        <v>326</v>
      </c>
      <c r="L235" s="339" t="n">
        <v>48340</v>
      </c>
      <c r="M235" s="339" t="n">
        <v>20890</v>
      </c>
      <c r="N235" s="340" t="n">
        <v>27450</v>
      </c>
      <c r="O235" s="339" t="n">
        <v>48960</v>
      </c>
      <c r="P235" s="339" t="n">
        <v>21040</v>
      </c>
      <c r="Q235" s="339" t="n">
        <v>27920</v>
      </c>
      <c r="R235" s="341" t="n">
        <v>-470</v>
      </c>
    </row>
    <row r="236" customFormat="false" ht="10.5" hidden="false" customHeight="true" outlineLevel="0" collapsed="false">
      <c r="A236" s="336"/>
      <c r="B236" s="337"/>
      <c r="C236" s="337"/>
      <c r="D236" s="337"/>
      <c r="E236" s="337"/>
      <c r="F236" s="338"/>
      <c r="G236" s="337"/>
      <c r="H236" s="337"/>
      <c r="I236" s="337"/>
      <c r="J236" s="337" t="s">
        <v>3634</v>
      </c>
      <c r="K236" s="337" t="s">
        <v>3635</v>
      </c>
      <c r="L236" s="339"/>
      <c r="M236" s="339"/>
      <c r="N236" s="340"/>
      <c r="O236" s="339"/>
      <c r="P236" s="339"/>
      <c r="Q236" s="339"/>
      <c r="R236" s="339"/>
    </row>
    <row r="237" customFormat="false" ht="10.5" hidden="false" customHeight="true" outlineLevel="0" collapsed="false">
      <c r="A237" s="336" t="n">
        <v>115</v>
      </c>
      <c r="B237" s="337" t="s">
        <v>3788</v>
      </c>
      <c r="C237" s="337"/>
      <c r="D237" s="337"/>
      <c r="E237" s="337" t="s">
        <v>3674</v>
      </c>
      <c r="F237" s="338" t="s">
        <v>3675</v>
      </c>
      <c r="G237" s="337" t="s">
        <v>3676</v>
      </c>
      <c r="H237" s="337"/>
      <c r="I237" s="337" t="s">
        <v>571</v>
      </c>
      <c r="J237" s="337" t="s">
        <v>1509</v>
      </c>
      <c r="K237" s="337" t="s">
        <v>326</v>
      </c>
      <c r="L237" s="339" t="n">
        <v>38190</v>
      </c>
      <c r="M237" s="339" t="n">
        <v>14870</v>
      </c>
      <c r="N237" s="340" t="n">
        <v>23320</v>
      </c>
      <c r="O237" s="339" t="n">
        <v>38580</v>
      </c>
      <c r="P237" s="339" t="n">
        <v>15000</v>
      </c>
      <c r="Q237" s="339" t="n">
        <v>23580</v>
      </c>
      <c r="R237" s="341" t="n">
        <v>-260</v>
      </c>
    </row>
    <row r="238" customFormat="false" ht="10.5" hidden="false" customHeight="true" outlineLevel="0" collapsed="false">
      <c r="A238" s="336"/>
      <c r="B238" s="337"/>
      <c r="C238" s="337"/>
      <c r="D238" s="337"/>
      <c r="E238" s="337"/>
      <c r="F238" s="338"/>
      <c r="G238" s="337"/>
      <c r="H238" s="337"/>
      <c r="I238" s="337"/>
      <c r="J238" s="337" t="s">
        <v>3634</v>
      </c>
      <c r="K238" s="337" t="s">
        <v>3635</v>
      </c>
      <c r="L238" s="339"/>
      <c r="M238" s="339"/>
      <c r="N238" s="340"/>
      <c r="O238" s="339"/>
      <c r="P238" s="339"/>
      <c r="Q238" s="339"/>
      <c r="R238" s="339"/>
    </row>
    <row r="239" customFormat="false" ht="10.5" hidden="false" customHeight="true" outlineLevel="0" collapsed="false">
      <c r="A239" s="336" t="n">
        <v>116</v>
      </c>
      <c r="B239" s="337" t="s">
        <v>3789</v>
      </c>
      <c r="C239" s="337"/>
      <c r="D239" s="337"/>
      <c r="E239" s="337" t="s">
        <v>387</v>
      </c>
      <c r="F239" s="338" t="s">
        <v>3678</v>
      </c>
      <c r="G239" s="337" t="s">
        <v>3728</v>
      </c>
      <c r="H239" s="337"/>
      <c r="I239" s="337" t="s">
        <v>571</v>
      </c>
      <c r="J239" s="337" t="s">
        <v>1509</v>
      </c>
      <c r="K239" s="337" t="s">
        <v>326</v>
      </c>
      <c r="L239" s="339" t="n">
        <v>37190</v>
      </c>
      <c r="M239" s="339" t="n">
        <v>14880</v>
      </c>
      <c r="N239" s="340" t="n">
        <v>22310</v>
      </c>
      <c r="O239" s="339" t="n">
        <v>37560</v>
      </c>
      <c r="P239" s="339" t="n">
        <v>14980</v>
      </c>
      <c r="Q239" s="339" t="n">
        <v>22580</v>
      </c>
      <c r="R239" s="341" t="n">
        <v>-270</v>
      </c>
    </row>
    <row r="240" customFormat="false" ht="10.5" hidden="false" customHeight="true" outlineLevel="0" collapsed="false">
      <c r="A240" s="336"/>
      <c r="B240" s="337"/>
      <c r="C240" s="337"/>
      <c r="D240" s="337"/>
      <c r="E240" s="337"/>
      <c r="F240" s="338"/>
      <c r="G240" s="337"/>
      <c r="H240" s="337"/>
      <c r="I240" s="337"/>
      <c r="J240" s="337" t="s">
        <v>3634</v>
      </c>
      <c r="K240" s="337" t="s">
        <v>3635</v>
      </c>
      <c r="L240" s="339"/>
      <c r="M240" s="339"/>
      <c r="N240" s="340"/>
      <c r="O240" s="339"/>
      <c r="P240" s="339"/>
      <c r="Q240" s="339"/>
      <c r="R240" s="339"/>
    </row>
    <row r="241" customFormat="false" ht="10.5" hidden="false" customHeight="true" outlineLevel="0" collapsed="false">
      <c r="A241" s="336" t="n">
        <v>117</v>
      </c>
      <c r="B241" s="337" t="s">
        <v>3790</v>
      </c>
      <c r="C241" s="337"/>
      <c r="D241" s="337"/>
      <c r="E241" s="337" t="s">
        <v>576</v>
      </c>
      <c r="F241" s="338" t="s">
        <v>3791</v>
      </c>
      <c r="G241" s="337" t="s">
        <v>3792</v>
      </c>
      <c r="H241" s="337"/>
      <c r="I241" s="337" t="s">
        <v>571</v>
      </c>
      <c r="J241" s="337" t="s">
        <v>3590</v>
      </c>
      <c r="K241" s="337" t="s">
        <v>326</v>
      </c>
      <c r="L241" s="339" t="n">
        <v>37120</v>
      </c>
      <c r="M241" s="339" t="n">
        <v>14460</v>
      </c>
      <c r="N241" s="340" t="n">
        <v>22660</v>
      </c>
      <c r="O241" s="339" t="n">
        <v>37460</v>
      </c>
      <c r="P241" s="339" t="n">
        <v>14520</v>
      </c>
      <c r="Q241" s="339" t="n">
        <v>22940</v>
      </c>
      <c r="R241" s="341" t="n">
        <v>-280</v>
      </c>
    </row>
    <row r="242" customFormat="false" ht="10.5" hidden="false" customHeight="true" outlineLevel="0" collapsed="false">
      <c r="A242" s="336"/>
      <c r="B242" s="337"/>
      <c r="C242" s="337"/>
      <c r="D242" s="337"/>
      <c r="E242" s="337"/>
      <c r="F242" s="338"/>
      <c r="G242" s="337"/>
      <c r="H242" s="337"/>
      <c r="I242" s="337"/>
      <c r="J242" s="337" t="s">
        <v>3793</v>
      </c>
      <c r="K242" s="337" t="s">
        <v>3635</v>
      </c>
      <c r="L242" s="339"/>
      <c r="M242" s="339"/>
      <c r="N242" s="340"/>
      <c r="O242" s="339"/>
      <c r="P242" s="339"/>
      <c r="Q242" s="339"/>
      <c r="R242" s="339"/>
    </row>
    <row r="243" customFormat="false" ht="10.5" hidden="false" customHeight="true" outlineLevel="0" collapsed="false">
      <c r="A243" s="336" t="n">
        <v>118</v>
      </c>
      <c r="B243" s="337" t="s">
        <v>3794</v>
      </c>
      <c r="C243" s="337"/>
      <c r="D243" s="337"/>
      <c r="E243" s="337" t="s">
        <v>582</v>
      </c>
      <c r="F243" s="338" t="s">
        <v>3795</v>
      </c>
      <c r="G243" s="337" t="s">
        <v>3796</v>
      </c>
      <c r="H243" s="337"/>
      <c r="I243" s="337" t="s">
        <v>571</v>
      </c>
      <c r="J243" s="337" t="s">
        <v>1509</v>
      </c>
      <c r="K243" s="337" t="s">
        <v>326</v>
      </c>
      <c r="L243" s="339" t="n">
        <v>34000</v>
      </c>
      <c r="M243" s="339" t="n">
        <v>14580</v>
      </c>
      <c r="N243" s="340" t="n">
        <v>19420</v>
      </c>
      <c r="O243" s="339" t="n">
        <v>34240</v>
      </c>
      <c r="P243" s="339" t="n">
        <v>14680</v>
      </c>
      <c r="Q243" s="339" t="n">
        <v>19560</v>
      </c>
      <c r="R243" s="341" t="n">
        <v>-140</v>
      </c>
    </row>
    <row r="244" customFormat="false" ht="10.5" hidden="false" customHeight="true" outlineLevel="0" collapsed="false">
      <c r="A244" s="336"/>
      <c r="B244" s="337"/>
      <c r="C244" s="337"/>
      <c r="D244" s="337"/>
      <c r="E244" s="337"/>
      <c r="F244" s="338"/>
      <c r="G244" s="337"/>
      <c r="H244" s="337"/>
      <c r="I244" s="337"/>
      <c r="J244" s="337" t="s">
        <v>3634</v>
      </c>
      <c r="K244" s="337" t="s">
        <v>3635</v>
      </c>
      <c r="L244" s="339"/>
      <c r="M244" s="339"/>
      <c r="N244" s="340"/>
      <c r="O244" s="339"/>
      <c r="P244" s="339"/>
      <c r="Q244" s="339"/>
      <c r="R244" s="339"/>
    </row>
    <row r="245" customFormat="false" ht="10.5" hidden="false" customHeight="true" outlineLevel="0" collapsed="false">
      <c r="A245" s="336" t="n">
        <v>119</v>
      </c>
      <c r="B245" s="337" t="s">
        <v>3797</v>
      </c>
      <c r="C245" s="337"/>
      <c r="D245" s="337"/>
      <c r="E245" s="337" t="s">
        <v>266</v>
      </c>
      <c r="F245" s="338" t="s">
        <v>3592</v>
      </c>
      <c r="G245" s="337" t="s">
        <v>3593</v>
      </c>
      <c r="H245" s="337"/>
      <c r="I245" s="337" t="s">
        <v>586</v>
      </c>
      <c r="J245" s="337" t="s">
        <v>1509</v>
      </c>
      <c r="K245" s="337" t="s">
        <v>326</v>
      </c>
      <c r="L245" s="339" t="n">
        <v>35220</v>
      </c>
      <c r="M245" s="339" t="n">
        <v>14930</v>
      </c>
      <c r="N245" s="340" t="n">
        <v>20290</v>
      </c>
      <c r="O245" s="339" t="n">
        <v>35440</v>
      </c>
      <c r="P245" s="339" t="n">
        <v>15000</v>
      </c>
      <c r="Q245" s="339" t="n">
        <v>20440</v>
      </c>
      <c r="R245" s="341" t="n">
        <v>-150</v>
      </c>
    </row>
    <row r="246" customFormat="false" ht="10.5" hidden="false" customHeight="true" outlineLevel="0" collapsed="false">
      <c r="A246" s="336"/>
      <c r="B246" s="337"/>
      <c r="C246" s="337"/>
      <c r="D246" s="337"/>
      <c r="E246" s="337"/>
      <c r="F246" s="338"/>
      <c r="G246" s="337"/>
      <c r="H246" s="337"/>
      <c r="I246" s="337"/>
      <c r="J246" s="337" t="s">
        <v>3634</v>
      </c>
      <c r="K246" s="337" t="s">
        <v>3635</v>
      </c>
      <c r="L246" s="339"/>
      <c r="M246" s="339"/>
      <c r="N246" s="340"/>
      <c r="O246" s="339"/>
      <c r="P246" s="339"/>
      <c r="Q246" s="339"/>
      <c r="R246" s="339"/>
    </row>
    <row r="247" customFormat="false" ht="10.5" hidden="false" customHeight="true" outlineLevel="0" collapsed="false">
      <c r="A247" s="336" t="n">
        <v>120</v>
      </c>
      <c r="B247" s="337" t="s">
        <v>3798</v>
      </c>
      <c r="C247" s="337"/>
      <c r="D247" s="337"/>
      <c r="E247" s="337" t="s">
        <v>332</v>
      </c>
      <c r="F247" s="338" t="s">
        <v>3638</v>
      </c>
      <c r="G247" s="337" t="s">
        <v>3639</v>
      </c>
      <c r="H247" s="337"/>
      <c r="I247" s="337" t="s">
        <v>327</v>
      </c>
      <c r="J247" s="337" t="s">
        <v>1509</v>
      </c>
      <c r="K247" s="337" t="s">
        <v>326</v>
      </c>
      <c r="L247" s="339" t="n">
        <v>36340</v>
      </c>
      <c r="M247" s="339" t="n">
        <v>14700</v>
      </c>
      <c r="N247" s="340" t="n">
        <v>21640</v>
      </c>
      <c r="O247" s="339" t="n">
        <v>36560</v>
      </c>
      <c r="P247" s="339" t="n">
        <v>14800</v>
      </c>
      <c r="Q247" s="339" t="n">
        <v>21760</v>
      </c>
      <c r="R247" s="341" t="n">
        <v>-120</v>
      </c>
    </row>
    <row r="248" customFormat="false" ht="10.5" hidden="false" customHeight="true" outlineLevel="0" collapsed="false">
      <c r="A248" s="336"/>
      <c r="B248" s="337"/>
      <c r="C248" s="337"/>
      <c r="D248" s="337"/>
      <c r="E248" s="337"/>
      <c r="F248" s="338"/>
      <c r="G248" s="337"/>
      <c r="H248" s="337"/>
      <c r="I248" s="337"/>
      <c r="J248" s="337" t="s">
        <v>3634</v>
      </c>
      <c r="K248" s="337" t="s">
        <v>3635</v>
      </c>
      <c r="L248" s="339"/>
      <c r="M248" s="339"/>
      <c r="N248" s="340"/>
      <c r="O248" s="339"/>
      <c r="P248" s="339"/>
      <c r="Q248" s="339"/>
      <c r="R248" s="339"/>
    </row>
    <row r="249" customFormat="false" ht="10.5" hidden="false" customHeight="true" outlineLevel="0" collapsed="false">
      <c r="A249" s="336" t="n">
        <v>121</v>
      </c>
      <c r="B249" s="337" t="s">
        <v>3799</v>
      </c>
      <c r="C249" s="337"/>
      <c r="D249" s="337"/>
      <c r="E249" s="337" t="s">
        <v>261</v>
      </c>
      <c r="F249" s="338" t="s">
        <v>3588</v>
      </c>
      <c r="G249" s="337" t="s">
        <v>3589</v>
      </c>
      <c r="H249" s="337"/>
      <c r="I249" s="337" t="s">
        <v>571</v>
      </c>
      <c r="J249" s="337" t="s">
        <v>1509</v>
      </c>
      <c r="K249" s="337" t="s">
        <v>326</v>
      </c>
      <c r="L249" s="339" t="n">
        <v>37560</v>
      </c>
      <c r="M249" s="339" t="n">
        <v>15090</v>
      </c>
      <c r="N249" s="340" t="n">
        <v>22470</v>
      </c>
      <c r="O249" s="339" t="n">
        <v>37780</v>
      </c>
      <c r="P249" s="339" t="n">
        <v>15140</v>
      </c>
      <c r="Q249" s="339" t="n">
        <v>22640</v>
      </c>
      <c r="R249" s="341" t="n">
        <v>-170</v>
      </c>
    </row>
    <row r="250" customFormat="false" ht="10.5" hidden="false" customHeight="true" outlineLevel="0" collapsed="false">
      <c r="A250" s="336"/>
      <c r="B250" s="337"/>
      <c r="C250" s="337"/>
      <c r="D250" s="337"/>
      <c r="E250" s="337"/>
      <c r="F250" s="338"/>
      <c r="G250" s="337"/>
      <c r="H250" s="337"/>
      <c r="I250" s="337"/>
      <c r="J250" s="337" t="s">
        <v>3634</v>
      </c>
      <c r="K250" s="337" t="s">
        <v>3635</v>
      </c>
      <c r="L250" s="339"/>
      <c r="M250" s="339"/>
      <c r="N250" s="340"/>
      <c r="O250" s="339"/>
      <c r="P250" s="339"/>
      <c r="Q250" s="339"/>
      <c r="R250" s="339"/>
    </row>
    <row r="251" customFormat="false" ht="10.5" hidden="false" customHeight="true" outlineLevel="0" collapsed="false">
      <c r="A251" s="336" t="n">
        <v>122</v>
      </c>
      <c r="B251" s="337" t="s">
        <v>3800</v>
      </c>
      <c r="C251" s="337"/>
      <c r="D251" s="337"/>
      <c r="E251" s="337" t="s">
        <v>277</v>
      </c>
      <c r="F251" s="338" t="s">
        <v>3599</v>
      </c>
      <c r="G251" s="337" t="s">
        <v>3600</v>
      </c>
      <c r="H251" s="337"/>
      <c r="I251" s="337" t="s">
        <v>571</v>
      </c>
      <c r="J251" s="337" t="s">
        <v>1509</v>
      </c>
      <c r="K251" s="337" t="s">
        <v>326</v>
      </c>
      <c r="L251" s="339" t="n">
        <v>37490</v>
      </c>
      <c r="M251" s="339" t="n">
        <v>15070</v>
      </c>
      <c r="N251" s="340" t="n">
        <v>22420</v>
      </c>
      <c r="O251" s="339" t="n">
        <v>37680</v>
      </c>
      <c r="P251" s="339" t="n">
        <v>15140</v>
      </c>
      <c r="Q251" s="339" t="n">
        <v>22540</v>
      </c>
      <c r="R251" s="341" t="n">
        <v>-120</v>
      </c>
    </row>
    <row r="252" customFormat="false" ht="10.5" hidden="false" customHeight="true" outlineLevel="0" collapsed="false">
      <c r="A252" s="336"/>
      <c r="B252" s="337"/>
      <c r="C252" s="337"/>
      <c r="D252" s="337"/>
      <c r="E252" s="337"/>
      <c r="F252" s="338"/>
      <c r="G252" s="337"/>
      <c r="H252" s="337"/>
      <c r="I252" s="337"/>
      <c r="J252" s="337" t="s">
        <v>3634</v>
      </c>
      <c r="K252" s="337" t="s">
        <v>3635</v>
      </c>
      <c r="L252" s="339"/>
      <c r="M252" s="339"/>
      <c r="N252" s="340"/>
      <c r="O252" s="339"/>
      <c r="P252" s="339"/>
      <c r="Q252" s="339"/>
      <c r="R252" s="339"/>
    </row>
    <row r="253" customFormat="false" ht="10.5" hidden="false" customHeight="true" outlineLevel="0" collapsed="false">
      <c r="A253" s="336" t="n">
        <v>123</v>
      </c>
      <c r="B253" s="337" t="s">
        <v>3801</v>
      </c>
      <c r="C253" s="337"/>
      <c r="D253" s="337"/>
      <c r="E253" s="337" t="s">
        <v>439</v>
      </c>
      <c r="F253" s="338" t="s">
        <v>3712</v>
      </c>
      <c r="G253" s="337" t="s">
        <v>3713</v>
      </c>
      <c r="H253" s="337"/>
      <c r="I253" s="337" t="s">
        <v>571</v>
      </c>
      <c r="J253" s="337" t="s">
        <v>1509</v>
      </c>
      <c r="K253" s="337" t="s">
        <v>326</v>
      </c>
      <c r="L253" s="339" t="n">
        <v>39300</v>
      </c>
      <c r="M253" s="339" t="n">
        <v>16400</v>
      </c>
      <c r="N253" s="340" t="n">
        <v>22900</v>
      </c>
      <c r="O253" s="339" t="n">
        <v>39240</v>
      </c>
      <c r="P253" s="339" t="n">
        <v>16260</v>
      </c>
      <c r="Q253" s="339" t="n">
        <v>22980</v>
      </c>
      <c r="R253" s="341" t="n">
        <v>-80</v>
      </c>
    </row>
    <row r="254" customFormat="false" ht="10.5" hidden="false" customHeight="true" outlineLevel="0" collapsed="false">
      <c r="A254" s="336"/>
      <c r="B254" s="337"/>
      <c r="C254" s="337"/>
      <c r="D254" s="337"/>
      <c r="E254" s="337"/>
      <c r="F254" s="338"/>
      <c r="G254" s="337"/>
      <c r="H254" s="337"/>
      <c r="I254" s="337"/>
      <c r="J254" s="337" t="s">
        <v>3634</v>
      </c>
      <c r="K254" s="337" t="s">
        <v>3635</v>
      </c>
      <c r="L254" s="339"/>
      <c r="M254" s="339"/>
      <c r="N254" s="340"/>
      <c r="O254" s="339"/>
      <c r="P254" s="339"/>
      <c r="Q254" s="339"/>
      <c r="R254" s="339"/>
    </row>
    <row r="255" customFormat="false" ht="10.5" hidden="false" customHeight="true" outlineLevel="0" collapsed="false">
      <c r="A255" s="336" t="n">
        <v>124</v>
      </c>
      <c r="B255" s="337" t="s">
        <v>3802</v>
      </c>
      <c r="C255" s="337"/>
      <c r="D255" s="337"/>
      <c r="E255" s="337" t="s">
        <v>545</v>
      </c>
      <c r="F255" s="338" t="s">
        <v>3774</v>
      </c>
      <c r="G255" s="337" t="s">
        <v>3775</v>
      </c>
      <c r="H255" s="337"/>
      <c r="I255" s="337" t="s">
        <v>571</v>
      </c>
      <c r="J255" s="337" t="s">
        <v>1509</v>
      </c>
      <c r="K255" s="337" t="s">
        <v>326</v>
      </c>
      <c r="L255" s="339" t="n">
        <v>41480</v>
      </c>
      <c r="M255" s="339" t="n">
        <v>16090</v>
      </c>
      <c r="N255" s="340" t="n">
        <v>25390</v>
      </c>
      <c r="O255" s="339" t="n">
        <v>41980</v>
      </c>
      <c r="P255" s="339" t="n">
        <v>16240</v>
      </c>
      <c r="Q255" s="339" t="n">
        <v>25740</v>
      </c>
      <c r="R255" s="341" t="n">
        <v>-350</v>
      </c>
    </row>
    <row r="256" customFormat="false" ht="10.5" hidden="false" customHeight="true" outlineLevel="0" collapsed="false">
      <c r="A256" s="336"/>
      <c r="B256" s="337"/>
      <c r="C256" s="337"/>
      <c r="D256" s="337"/>
      <c r="E256" s="337"/>
      <c r="F256" s="338"/>
      <c r="G256" s="337"/>
      <c r="H256" s="337"/>
      <c r="I256" s="337"/>
      <c r="J256" s="337" t="s">
        <v>3634</v>
      </c>
      <c r="K256" s="337" t="s">
        <v>3635</v>
      </c>
      <c r="L256" s="339"/>
      <c r="M256" s="339"/>
      <c r="N256" s="340"/>
      <c r="O256" s="339"/>
      <c r="P256" s="339"/>
      <c r="Q256" s="339"/>
      <c r="R256" s="339"/>
    </row>
    <row r="257" customFormat="false" ht="10.5" hidden="false" customHeight="true" outlineLevel="0" collapsed="false">
      <c r="A257" s="336" t="n">
        <v>125</v>
      </c>
      <c r="B257" s="337" t="s">
        <v>3803</v>
      </c>
      <c r="C257" s="337"/>
      <c r="D257" s="337"/>
      <c r="E257" s="337" t="s">
        <v>336</v>
      </c>
      <c r="F257" s="338" t="s">
        <v>3641</v>
      </c>
      <c r="G257" s="337" t="s">
        <v>3642</v>
      </c>
      <c r="H257" s="337"/>
      <c r="I257" s="337" t="s">
        <v>263</v>
      </c>
      <c r="J257" s="337" t="s">
        <v>1509</v>
      </c>
      <c r="K257" s="337" t="s">
        <v>260</v>
      </c>
      <c r="L257" s="339" t="n">
        <v>36890</v>
      </c>
      <c r="M257" s="339" t="n">
        <v>14500</v>
      </c>
      <c r="N257" s="340" t="n">
        <v>22390</v>
      </c>
      <c r="O257" s="339" t="n">
        <v>37380</v>
      </c>
      <c r="P257" s="339" t="n">
        <v>14620</v>
      </c>
      <c r="Q257" s="339" t="n">
        <v>22760</v>
      </c>
      <c r="R257" s="341" t="n">
        <v>-370</v>
      </c>
    </row>
    <row r="258" customFormat="false" ht="10.5" hidden="false" customHeight="true" outlineLevel="0" collapsed="false">
      <c r="A258" s="336"/>
      <c r="B258" s="337"/>
      <c r="C258" s="337"/>
      <c r="D258" s="337"/>
      <c r="E258" s="337"/>
      <c r="F258" s="338"/>
      <c r="G258" s="337"/>
      <c r="H258" s="337"/>
      <c r="I258" s="337"/>
      <c r="J258" s="337" t="s">
        <v>3634</v>
      </c>
      <c r="K258" s="337" t="s">
        <v>3804</v>
      </c>
      <c r="L258" s="339"/>
      <c r="M258" s="339"/>
      <c r="N258" s="340"/>
      <c r="O258" s="339"/>
      <c r="P258" s="339"/>
      <c r="Q258" s="339"/>
      <c r="R258" s="339"/>
    </row>
    <row r="259" customFormat="false" ht="10.5" hidden="false" customHeight="true" outlineLevel="0" collapsed="false">
      <c r="A259" s="336" t="n">
        <v>126</v>
      </c>
      <c r="B259" s="337" t="s">
        <v>3805</v>
      </c>
      <c r="C259" s="337"/>
      <c r="D259" s="337"/>
      <c r="E259" s="337" t="s">
        <v>549</v>
      </c>
      <c r="F259" s="338" t="s">
        <v>3777</v>
      </c>
      <c r="G259" s="337" t="s">
        <v>3778</v>
      </c>
      <c r="H259" s="337"/>
      <c r="I259" s="337" t="s">
        <v>571</v>
      </c>
      <c r="J259" s="337" t="s">
        <v>1509</v>
      </c>
      <c r="K259" s="337" t="s">
        <v>326</v>
      </c>
      <c r="L259" s="339" t="n">
        <v>41680</v>
      </c>
      <c r="M259" s="339" t="n">
        <v>15930</v>
      </c>
      <c r="N259" s="340" t="n">
        <v>25750</v>
      </c>
      <c r="O259" s="339" t="n">
        <v>42200</v>
      </c>
      <c r="P259" s="339" t="n">
        <v>16040</v>
      </c>
      <c r="Q259" s="339" t="n">
        <v>26160</v>
      </c>
      <c r="R259" s="341" t="n">
        <v>-410</v>
      </c>
    </row>
    <row r="260" customFormat="false" ht="10.5" hidden="false" customHeight="true" outlineLevel="0" collapsed="false">
      <c r="A260" s="336"/>
      <c r="B260" s="337"/>
      <c r="C260" s="337"/>
      <c r="D260" s="337"/>
      <c r="E260" s="337"/>
      <c r="F260" s="338"/>
      <c r="G260" s="337"/>
      <c r="H260" s="337"/>
      <c r="I260" s="337"/>
      <c r="J260" s="337" t="s">
        <v>3634</v>
      </c>
      <c r="K260" s="337" t="s">
        <v>3635</v>
      </c>
      <c r="L260" s="339"/>
      <c r="M260" s="339"/>
      <c r="N260" s="340"/>
      <c r="O260" s="339"/>
      <c r="P260" s="339"/>
      <c r="Q260" s="339"/>
      <c r="R260" s="339"/>
    </row>
    <row r="261" customFormat="false" ht="10.5" hidden="false" customHeight="true" outlineLevel="0" collapsed="false">
      <c r="A261" s="336" t="n">
        <v>127</v>
      </c>
      <c r="B261" s="337" t="s">
        <v>3806</v>
      </c>
      <c r="C261" s="337"/>
      <c r="D261" s="337"/>
      <c r="E261" s="337" t="s">
        <v>340</v>
      </c>
      <c r="F261" s="338" t="s">
        <v>3644</v>
      </c>
      <c r="G261" s="337" t="s">
        <v>3645</v>
      </c>
      <c r="H261" s="337"/>
      <c r="I261" s="337" t="s">
        <v>263</v>
      </c>
      <c r="J261" s="337" t="s">
        <v>1509</v>
      </c>
      <c r="K261" s="337" t="s">
        <v>260</v>
      </c>
      <c r="L261" s="339" t="n">
        <v>38030</v>
      </c>
      <c r="M261" s="339" t="n">
        <v>15080</v>
      </c>
      <c r="N261" s="340" t="n">
        <v>22950</v>
      </c>
      <c r="O261" s="339" t="n">
        <v>38520</v>
      </c>
      <c r="P261" s="339" t="n">
        <v>15200</v>
      </c>
      <c r="Q261" s="339" t="n">
        <v>23320</v>
      </c>
      <c r="R261" s="341" t="n">
        <v>-370</v>
      </c>
    </row>
    <row r="262" customFormat="false" ht="10.5" hidden="false" customHeight="true" outlineLevel="0" collapsed="false">
      <c r="A262" s="336"/>
      <c r="B262" s="337"/>
      <c r="C262" s="337"/>
      <c r="D262" s="337"/>
      <c r="E262" s="337"/>
      <c r="F262" s="338"/>
      <c r="G262" s="337"/>
      <c r="H262" s="337"/>
      <c r="I262" s="337"/>
      <c r="J262" s="337" t="s">
        <v>3634</v>
      </c>
      <c r="K262" s="337" t="s">
        <v>3804</v>
      </c>
      <c r="L262" s="339"/>
      <c r="M262" s="339"/>
      <c r="N262" s="340"/>
      <c r="O262" s="339"/>
      <c r="P262" s="339"/>
      <c r="Q262" s="339"/>
      <c r="R262" s="339"/>
    </row>
    <row r="263" customFormat="false" ht="10.5" hidden="false" customHeight="true" outlineLevel="0" collapsed="false">
      <c r="A263" s="336" t="n">
        <v>128</v>
      </c>
      <c r="B263" s="337" t="s">
        <v>3807</v>
      </c>
      <c r="C263" s="337"/>
      <c r="D263" s="337"/>
      <c r="E263" s="337" t="s">
        <v>282</v>
      </c>
      <c r="F263" s="338" t="s">
        <v>3602</v>
      </c>
      <c r="G263" s="337" t="s">
        <v>3626</v>
      </c>
      <c r="H263" s="337"/>
      <c r="I263" s="337" t="s">
        <v>263</v>
      </c>
      <c r="J263" s="337" t="s">
        <v>1509</v>
      </c>
      <c r="K263" s="337" t="s">
        <v>260</v>
      </c>
      <c r="L263" s="339" t="n">
        <v>39230</v>
      </c>
      <c r="M263" s="339" t="n">
        <v>15040</v>
      </c>
      <c r="N263" s="340" t="n">
        <v>24190</v>
      </c>
      <c r="O263" s="339" t="n">
        <v>39760</v>
      </c>
      <c r="P263" s="339" t="n">
        <v>15140</v>
      </c>
      <c r="Q263" s="339" t="n">
        <v>24620</v>
      </c>
      <c r="R263" s="341" t="n">
        <v>-430</v>
      </c>
    </row>
    <row r="264" customFormat="false" ht="10.5" hidden="false" customHeight="true" outlineLevel="0" collapsed="false">
      <c r="A264" s="336"/>
      <c r="B264" s="337"/>
      <c r="C264" s="337"/>
      <c r="D264" s="337"/>
      <c r="E264" s="337"/>
      <c r="F264" s="338"/>
      <c r="G264" s="337"/>
      <c r="H264" s="337"/>
      <c r="I264" s="337"/>
      <c r="J264" s="337" t="s">
        <v>3634</v>
      </c>
      <c r="K264" s="337"/>
      <c r="L264" s="339"/>
      <c r="M264" s="339"/>
      <c r="N264" s="340"/>
      <c r="O264" s="339"/>
      <c r="P264" s="339"/>
      <c r="Q264" s="339"/>
      <c r="R264" s="339"/>
    </row>
    <row r="265" customFormat="false" ht="10.5" hidden="false" customHeight="true" outlineLevel="0" collapsed="false">
      <c r="A265" s="336" t="n">
        <v>129</v>
      </c>
      <c r="B265" s="337" t="s">
        <v>3808</v>
      </c>
      <c r="C265" s="337"/>
      <c r="D265" s="337"/>
      <c r="E265" s="337" t="s">
        <v>296</v>
      </c>
      <c r="F265" s="338" t="s">
        <v>3616</v>
      </c>
      <c r="G265" s="337" t="s">
        <v>3617</v>
      </c>
      <c r="H265" s="337"/>
      <c r="I265" s="337" t="s">
        <v>263</v>
      </c>
      <c r="J265" s="337" t="s">
        <v>1509</v>
      </c>
      <c r="K265" s="337" t="s">
        <v>260</v>
      </c>
      <c r="L265" s="339" t="n">
        <v>38110</v>
      </c>
      <c r="M265" s="339" t="n">
        <v>15540</v>
      </c>
      <c r="N265" s="340" t="n">
        <v>22570</v>
      </c>
      <c r="O265" s="339" t="n">
        <v>38440</v>
      </c>
      <c r="P265" s="339" t="n">
        <v>15460</v>
      </c>
      <c r="Q265" s="339" t="n">
        <v>22980</v>
      </c>
      <c r="R265" s="341" t="n">
        <v>-410</v>
      </c>
    </row>
    <row r="266" customFormat="false" ht="10.5" hidden="false" customHeight="true" outlineLevel="0" collapsed="false">
      <c r="A266" s="336"/>
      <c r="B266" s="337"/>
      <c r="C266" s="337"/>
      <c r="D266" s="337"/>
      <c r="E266" s="337"/>
      <c r="F266" s="338"/>
      <c r="G266" s="337"/>
      <c r="H266" s="337"/>
      <c r="I266" s="337"/>
      <c r="J266" s="337" t="s">
        <v>3634</v>
      </c>
      <c r="K266" s="337"/>
      <c r="L266" s="339"/>
      <c r="M266" s="339"/>
      <c r="N266" s="340"/>
      <c r="O266" s="339"/>
      <c r="P266" s="339"/>
      <c r="Q266" s="339"/>
      <c r="R266" s="339"/>
    </row>
    <row r="267" customFormat="false" ht="10.5" hidden="false" customHeight="true" outlineLevel="0" collapsed="false">
      <c r="A267" s="336" t="n">
        <v>130</v>
      </c>
      <c r="B267" s="337" t="s">
        <v>3809</v>
      </c>
      <c r="C267" s="337"/>
      <c r="D267" s="337"/>
      <c r="E267" s="337" t="s">
        <v>533</v>
      </c>
      <c r="F267" s="338" t="s">
        <v>3765</v>
      </c>
      <c r="G267" s="337" t="s">
        <v>3766</v>
      </c>
      <c r="H267" s="337"/>
      <c r="I267" s="337" t="s">
        <v>607</v>
      </c>
      <c r="J267" s="337" t="s">
        <v>3590</v>
      </c>
      <c r="K267" s="337" t="s">
        <v>326</v>
      </c>
      <c r="L267" s="339" t="n">
        <v>40930</v>
      </c>
      <c r="M267" s="339" t="n">
        <v>14640</v>
      </c>
      <c r="N267" s="340" t="n">
        <v>26290</v>
      </c>
      <c r="O267" s="339" t="n">
        <v>41340</v>
      </c>
      <c r="P267" s="339" t="n">
        <v>14780</v>
      </c>
      <c r="Q267" s="339" t="n">
        <v>26560</v>
      </c>
      <c r="R267" s="341" t="n">
        <v>-270</v>
      </c>
    </row>
    <row r="268" customFormat="false" ht="10.5" hidden="false" customHeight="true" outlineLevel="0" collapsed="false">
      <c r="A268" s="336"/>
      <c r="B268" s="337"/>
      <c r="C268" s="337"/>
      <c r="D268" s="337"/>
      <c r="E268" s="337"/>
      <c r="F268" s="338"/>
      <c r="G268" s="337"/>
      <c r="H268" s="337"/>
      <c r="I268" s="337"/>
      <c r="J268" s="337" t="s">
        <v>3634</v>
      </c>
      <c r="K268" s="337" t="s">
        <v>3635</v>
      </c>
      <c r="L268" s="339"/>
      <c r="M268" s="339"/>
      <c r="N268" s="340"/>
      <c r="O268" s="339"/>
      <c r="P268" s="339"/>
      <c r="Q268" s="339"/>
      <c r="R268" s="339"/>
    </row>
    <row r="269" customFormat="false" ht="10.5" hidden="false" customHeight="true" outlineLevel="0" collapsed="false">
      <c r="A269" s="336" t="n">
        <v>131</v>
      </c>
      <c r="B269" s="337" t="s">
        <v>3810</v>
      </c>
      <c r="C269" s="337"/>
      <c r="D269" s="337"/>
      <c r="E269" s="337" t="s">
        <v>537</v>
      </c>
      <c r="F269" s="338" t="s">
        <v>3768</v>
      </c>
      <c r="G269" s="337" t="s">
        <v>3769</v>
      </c>
      <c r="H269" s="337"/>
      <c r="I269" s="337" t="s">
        <v>607</v>
      </c>
      <c r="J269" s="337" t="s">
        <v>3590</v>
      </c>
      <c r="K269" s="337" t="s">
        <v>326</v>
      </c>
      <c r="L269" s="339" t="n">
        <v>35510</v>
      </c>
      <c r="M269" s="339" t="n">
        <v>14020</v>
      </c>
      <c r="N269" s="340" t="n">
        <v>21490</v>
      </c>
      <c r="O269" s="339" t="n">
        <v>35800</v>
      </c>
      <c r="P269" s="339" t="n">
        <v>14140</v>
      </c>
      <c r="Q269" s="339" t="n">
        <v>21660</v>
      </c>
      <c r="R269" s="341" t="n">
        <v>-170</v>
      </c>
    </row>
    <row r="270" customFormat="false" ht="10.5" hidden="false" customHeight="true" outlineLevel="0" collapsed="false">
      <c r="A270" s="336"/>
      <c r="B270" s="337"/>
      <c r="C270" s="337"/>
      <c r="D270" s="337"/>
      <c r="E270" s="337"/>
      <c r="F270" s="338"/>
      <c r="G270" s="337"/>
      <c r="H270" s="337"/>
      <c r="I270" s="337"/>
      <c r="J270" s="337" t="s">
        <v>3634</v>
      </c>
      <c r="K270" s="337" t="s">
        <v>3635</v>
      </c>
      <c r="L270" s="339"/>
      <c r="M270" s="339"/>
      <c r="N270" s="340"/>
      <c r="O270" s="339"/>
      <c r="P270" s="339"/>
      <c r="Q270" s="339"/>
      <c r="R270" s="339"/>
    </row>
    <row r="271" customFormat="false" ht="10.5" hidden="false" customHeight="true" outlineLevel="0" collapsed="false">
      <c r="A271" s="336" t="n">
        <v>132</v>
      </c>
      <c r="B271" s="337" t="s">
        <v>3811</v>
      </c>
      <c r="C271" s="337"/>
      <c r="D271" s="337"/>
      <c r="E271" s="337" t="s">
        <v>545</v>
      </c>
      <c r="F271" s="338" t="s">
        <v>3774</v>
      </c>
      <c r="G271" s="337" t="s">
        <v>3775</v>
      </c>
      <c r="H271" s="337"/>
      <c r="I271" s="337" t="s">
        <v>607</v>
      </c>
      <c r="J271" s="337" t="s">
        <v>1509</v>
      </c>
      <c r="K271" s="337" t="s">
        <v>326</v>
      </c>
      <c r="L271" s="339" t="n">
        <v>41350</v>
      </c>
      <c r="M271" s="339" t="n">
        <v>16110</v>
      </c>
      <c r="N271" s="340" t="n">
        <v>25240</v>
      </c>
      <c r="O271" s="339" t="n">
        <v>41620</v>
      </c>
      <c r="P271" s="339" t="n">
        <v>16240</v>
      </c>
      <c r="Q271" s="339" t="n">
        <v>25380</v>
      </c>
      <c r="R271" s="341" t="n">
        <v>-140</v>
      </c>
    </row>
    <row r="272" customFormat="false" ht="10.5" hidden="false" customHeight="true" outlineLevel="0" collapsed="false">
      <c r="A272" s="336"/>
      <c r="B272" s="337"/>
      <c r="C272" s="337"/>
      <c r="D272" s="337"/>
      <c r="E272" s="337"/>
      <c r="F272" s="338"/>
      <c r="G272" s="337"/>
      <c r="H272" s="337"/>
      <c r="I272" s="337"/>
      <c r="J272" s="337" t="s">
        <v>3634</v>
      </c>
      <c r="K272" s="337" t="s">
        <v>3635</v>
      </c>
      <c r="L272" s="339"/>
      <c r="M272" s="339"/>
      <c r="N272" s="340"/>
      <c r="O272" s="339"/>
      <c r="P272" s="339"/>
      <c r="Q272" s="339"/>
      <c r="R272" s="339"/>
    </row>
    <row r="273" customFormat="false" ht="10.5" hidden="false" customHeight="true" outlineLevel="0" collapsed="false">
      <c r="A273" s="336" t="n">
        <v>133</v>
      </c>
      <c r="B273" s="337" t="s">
        <v>3812</v>
      </c>
      <c r="C273" s="337"/>
      <c r="D273" s="337"/>
      <c r="E273" s="337" t="s">
        <v>277</v>
      </c>
      <c r="F273" s="338" t="s">
        <v>3599</v>
      </c>
      <c r="G273" s="337" t="s">
        <v>3600</v>
      </c>
      <c r="H273" s="337"/>
      <c r="I273" s="337" t="s">
        <v>607</v>
      </c>
      <c r="J273" s="337" t="s">
        <v>1509</v>
      </c>
      <c r="K273" s="337" t="s">
        <v>326</v>
      </c>
      <c r="L273" s="339" t="n">
        <v>41020</v>
      </c>
      <c r="M273" s="339" t="n">
        <v>15090</v>
      </c>
      <c r="N273" s="340" t="n">
        <v>25930</v>
      </c>
      <c r="O273" s="339" t="n">
        <v>41280</v>
      </c>
      <c r="P273" s="339" t="n">
        <v>15180</v>
      </c>
      <c r="Q273" s="339" t="n">
        <v>26100</v>
      </c>
      <c r="R273" s="341" t="n">
        <v>-170</v>
      </c>
    </row>
    <row r="274" customFormat="false" ht="10.5" hidden="false" customHeight="true" outlineLevel="0" collapsed="false">
      <c r="A274" s="336"/>
      <c r="B274" s="337"/>
      <c r="C274" s="337"/>
      <c r="D274" s="337"/>
      <c r="E274" s="337"/>
      <c r="F274" s="338"/>
      <c r="G274" s="337"/>
      <c r="H274" s="337"/>
      <c r="I274" s="337"/>
      <c r="J274" s="337" t="s">
        <v>3634</v>
      </c>
      <c r="K274" s="337" t="s">
        <v>3635</v>
      </c>
      <c r="L274" s="339"/>
      <c r="M274" s="339"/>
      <c r="N274" s="340"/>
      <c r="O274" s="339"/>
      <c r="P274" s="339"/>
      <c r="Q274" s="339"/>
      <c r="R274" s="339"/>
    </row>
    <row r="275" customFormat="false" ht="10.5" hidden="false" customHeight="true" outlineLevel="0" collapsed="false">
      <c r="A275" s="336" t="n">
        <v>134</v>
      </c>
      <c r="B275" s="337" t="s">
        <v>3813</v>
      </c>
      <c r="C275" s="337"/>
      <c r="D275" s="337"/>
      <c r="E275" s="337" t="s">
        <v>439</v>
      </c>
      <c r="F275" s="338" t="s">
        <v>3712</v>
      </c>
      <c r="G275" s="337" t="s">
        <v>3713</v>
      </c>
      <c r="H275" s="337"/>
      <c r="I275" s="337" t="s">
        <v>607</v>
      </c>
      <c r="J275" s="337" t="s">
        <v>1509</v>
      </c>
      <c r="K275" s="337" t="s">
        <v>326</v>
      </c>
      <c r="L275" s="339" t="n">
        <v>39670</v>
      </c>
      <c r="M275" s="339" t="n">
        <v>16400</v>
      </c>
      <c r="N275" s="340" t="n">
        <v>23270</v>
      </c>
      <c r="O275" s="339" t="n">
        <v>39660</v>
      </c>
      <c r="P275" s="339" t="n">
        <v>16260</v>
      </c>
      <c r="Q275" s="339" t="n">
        <v>23400</v>
      </c>
      <c r="R275" s="341" t="n">
        <v>-130</v>
      </c>
    </row>
    <row r="276" customFormat="false" ht="10.5" hidden="false" customHeight="true" outlineLevel="0" collapsed="false">
      <c r="A276" s="336"/>
      <c r="B276" s="337"/>
      <c r="C276" s="337"/>
      <c r="D276" s="337"/>
      <c r="E276" s="337"/>
      <c r="F276" s="338"/>
      <c r="G276" s="337"/>
      <c r="H276" s="337"/>
      <c r="I276" s="337"/>
      <c r="J276" s="337" t="s">
        <v>3634</v>
      </c>
      <c r="K276" s="337" t="s">
        <v>3635</v>
      </c>
      <c r="L276" s="339"/>
      <c r="M276" s="339"/>
      <c r="N276" s="340"/>
      <c r="O276" s="339"/>
      <c r="P276" s="339"/>
      <c r="Q276" s="339"/>
      <c r="R276" s="339"/>
    </row>
    <row r="277" customFormat="false" ht="10.5" hidden="false" customHeight="true" outlineLevel="0" collapsed="false">
      <c r="A277" s="336" t="n">
        <v>135</v>
      </c>
      <c r="B277" s="337" t="s">
        <v>3814</v>
      </c>
      <c r="C277" s="337"/>
      <c r="D277" s="337"/>
      <c r="E277" s="337" t="s">
        <v>549</v>
      </c>
      <c r="F277" s="338" t="s">
        <v>3777</v>
      </c>
      <c r="G277" s="337" t="s">
        <v>3778</v>
      </c>
      <c r="H277" s="337"/>
      <c r="I277" s="337" t="s">
        <v>607</v>
      </c>
      <c r="J277" s="337" t="s">
        <v>1509</v>
      </c>
      <c r="K277" s="337" t="s">
        <v>326</v>
      </c>
      <c r="L277" s="339" t="n">
        <v>41280</v>
      </c>
      <c r="M277" s="339" t="n">
        <v>15930</v>
      </c>
      <c r="N277" s="340" t="n">
        <v>25350</v>
      </c>
      <c r="O277" s="339" t="n">
        <v>41580</v>
      </c>
      <c r="P277" s="339" t="n">
        <v>16060</v>
      </c>
      <c r="Q277" s="339" t="n">
        <v>25520</v>
      </c>
      <c r="R277" s="341" t="n">
        <v>-170</v>
      </c>
    </row>
    <row r="278" customFormat="false" ht="10.5" hidden="false" customHeight="true" outlineLevel="0" collapsed="false">
      <c r="A278" s="336"/>
      <c r="B278" s="337"/>
      <c r="C278" s="337"/>
      <c r="D278" s="337"/>
      <c r="E278" s="337"/>
      <c r="F278" s="338"/>
      <c r="G278" s="337"/>
      <c r="H278" s="337"/>
      <c r="I278" s="337"/>
      <c r="J278" s="337" t="s">
        <v>3634</v>
      </c>
      <c r="K278" s="337" t="s">
        <v>3635</v>
      </c>
      <c r="L278" s="339"/>
      <c r="M278" s="339"/>
      <c r="N278" s="340"/>
      <c r="O278" s="339"/>
      <c r="P278" s="339"/>
      <c r="Q278" s="339"/>
      <c r="R278" s="339"/>
    </row>
    <row r="279" s="349" customFormat="true" ht="10.5" hidden="false" customHeight="true" outlineLevel="0" collapsed="false">
      <c r="A279" s="343" t="n">
        <v>136</v>
      </c>
      <c r="B279" s="344" t="s">
        <v>3815</v>
      </c>
      <c r="C279" s="344"/>
      <c r="D279" s="344"/>
      <c r="E279" s="344" t="s">
        <v>431</v>
      </c>
      <c r="F279" s="345" t="s">
        <v>3706</v>
      </c>
      <c r="G279" s="344" t="s">
        <v>3707</v>
      </c>
      <c r="H279" s="344"/>
      <c r="I279" s="344" t="s">
        <v>607</v>
      </c>
      <c r="J279" s="344" t="s">
        <v>1509</v>
      </c>
      <c r="K279" s="344" t="s">
        <v>326</v>
      </c>
      <c r="L279" s="346" t="n">
        <v>38520</v>
      </c>
      <c r="M279" s="346" t="n">
        <v>16630</v>
      </c>
      <c r="N279" s="347" t="n">
        <v>21890</v>
      </c>
      <c r="O279" s="346" t="n">
        <v>38520</v>
      </c>
      <c r="P279" s="346" t="n">
        <v>16500</v>
      </c>
      <c r="Q279" s="346" t="n">
        <v>22020</v>
      </c>
      <c r="R279" s="348" t="n">
        <v>-130</v>
      </c>
    </row>
    <row r="280" s="349" customFormat="true" ht="10.5" hidden="false" customHeight="true" outlineLevel="0" collapsed="false">
      <c r="A280" s="343"/>
      <c r="B280" s="344"/>
      <c r="C280" s="344"/>
      <c r="D280" s="344"/>
      <c r="E280" s="344"/>
      <c r="F280" s="345"/>
      <c r="G280" s="344"/>
      <c r="H280" s="344"/>
      <c r="I280" s="344"/>
      <c r="J280" s="344" t="s">
        <v>3634</v>
      </c>
      <c r="K280" s="344" t="s">
        <v>3635</v>
      </c>
      <c r="L280" s="346"/>
      <c r="M280" s="346"/>
      <c r="N280" s="347"/>
      <c r="O280" s="346"/>
      <c r="P280" s="346"/>
      <c r="Q280" s="346"/>
      <c r="R280" s="346"/>
    </row>
    <row r="281" s="349" customFormat="true" ht="10.5" hidden="false" customHeight="true" outlineLevel="0" collapsed="false">
      <c r="A281" s="343" t="n">
        <v>137</v>
      </c>
      <c r="B281" s="344" t="s">
        <v>3816</v>
      </c>
      <c r="C281" s="344"/>
      <c r="D281" s="344"/>
      <c r="E281" s="344" t="s">
        <v>541</v>
      </c>
      <c r="F281" s="345" t="s">
        <v>3771</v>
      </c>
      <c r="G281" s="344" t="s">
        <v>3772</v>
      </c>
      <c r="H281" s="344"/>
      <c r="I281" s="344" t="s">
        <v>607</v>
      </c>
      <c r="J281" s="344" t="s">
        <v>3590</v>
      </c>
      <c r="K281" s="344" t="s">
        <v>326</v>
      </c>
      <c r="L281" s="346" t="n">
        <v>40460</v>
      </c>
      <c r="M281" s="346" t="n">
        <v>14970</v>
      </c>
      <c r="N281" s="347" t="n">
        <v>25490</v>
      </c>
      <c r="O281" s="346" t="n">
        <v>41000</v>
      </c>
      <c r="P281" s="346" t="n">
        <v>15100</v>
      </c>
      <c r="Q281" s="346" t="n">
        <v>25900</v>
      </c>
      <c r="R281" s="348" t="n">
        <v>-410</v>
      </c>
    </row>
    <row r="282" s="349" customFormat="true" ht="10.5" hidden="false" customHeight="true" outlineLevel="0" collapsed="false">
      <c r="A282" s="343"/>
      <c r="B282" s="344"/>
      <c r="C282" s="344"/>
      <c r="D282" s="344"/>
      <c r="E282" s="344"/>
      <c r="F282" s="345"/>
      <c r="G282" s="344"/>
      <c r="H282" s="344"/>
      <c r="I282" s="344"/>
      <c r="J282" s="344" t="s">
        <v>3634</v>
      </c>
      <c r="K282" s="344" t="s">
        <v>3635</v>
      </c>
      <c r="L282" s="346"/>
      <c r="M282" s="346"/>
      <c r="N282" s="347"/>
      <c r="O282" s="346"/>
      <c r="P282" s="346"/>
      <c r="Q282" s="346"/>
      <c r="R282" s="346"/>
    </row>
    <row r="283" s="349" customFormat="true" ht="10.5" hidden="false" customHeight="true" outlineLevel="0" collapsed="false">
      <c r="A283" s="343" t="n">
        <v>138</v>
      </c>
      <c r="B283" s="344" t="s">
        <v>3817</v>
      </c>
      <c r="C283" s="344"/>
      <c r="D283" s="344"/>
      <c r="E283" s="344" t="s">
        <v>435</v>
      </c>
      <c r="F283" s="345" t="s">
        <v>3709</v>
      </c>
      <c r="G283" s="344" t="s">
        <v>3710</v>
      </c>
      <c r="H283" s="344"/>
      <c r="I283" s="344" t="s">
        <v>586</v>
      </c>
      <c r="J283" s="344" t="s">
        <v>1509</v>
      </c>
      <c r="K283" s="344" t="s">
        <v>326</v>
      </c>
      <c r="L283" s="346" t="n">
        <v>39420</v>
      </c>
      <c r="M283" s="346" t="n">
        <v>16570</v>
      </c>
      <c r="N283" s="347" t="n">
        <v>22850</v>
      </c>
      <c r="O283" s="346" t="n">
        <v>39540</v>
      </c>
      <c r="P283" s="346" t="n">
        <v>16360</v>
      </c>
      <c r="Q283" s="346" t="n">
        <v>23180</v>
      </c>
      <c r="R283" s="348" t="n">
        <v>-330</v>
      </c>
    </row>
    <row r="284" s="349" customFormat="true" ht="10.5" hidden="false" customHeight="true" outlineLevel="0" collapsed="false">
      <c r="A284" s="343"/>
      <c r="B284" s="344"/>
      <c r="C284" s="344"/>
      <c r="D284" s="344"/>
      <c r="E284" s="344"/>
      <c r="F284" s="345"/>
      <c r="G284" s="344"/>
      <c r="H284" s="344"/>
      <c r="I284" s="344"/>
      <c r="J284" s="344" t="s">
        <v>3634</v>
      </c>
      <c r="K284" s="344" t="s">
        <v>3635</v>
      </c>
      <c r="L284" s="346"/>
      <c r="M284" s="346"/>
      <c r="N284" s="347"/>
      <c r="O284" s="346"/>
      <c r="P284" s="346"/>
      <c r="Q284" s="346"/>
      <c r="R284" s="346"/>
    </row>
    <row r="285" s="349" customFormat="true" ht="10.5" hidden="false" customHeight="true" outlineLevel="0" collapsed="false">
      <c r="A285" s="343" t="n">
        <v>139</v>
      </c>
      <c r="B285" s="344" t="s">
        <v>3818</v>
      </c>
      <c r="C285" s="344"/>
      <c r="D285" s="344"/>
      <c r="E285" s="344" t="s">
        <v>350</v>
      </c>
      <c r="F285" s="345" t="s">
        <v>3651</v>
      </c>
      <c r="G285" s="344" t="s">
        <v>3819</v>
      </c>
      <c r="H285" s="344"/>
      <c r="I285" s="344" t="s">
        <v>626</v>
      </c>
      <c r="J285" s="344" t="s">
        <v>1509</v>
      </c>
      <c r="K285" s="344" t="s">
        <v>326</v>
      </c>
      <c r="L285" s="346" t="n">
        <v>41950</v>
      </c>
      <c r="M285" s="346" t="n">
        <v>14980</v>
      </c>
      <c r="N285" s="347" t="n">
        <v>26970</v>
      </c>
      <c r="O285" s="346" t="n">
        <v>42500</v>
      </c>
      <c r="P285" s="346" t="n">
        <v>15080</v>
      </c>
      <c r="Q285" s="346" t="n">
        <v>27420</v>
      </c>
      <c r="R285" s="348" t="n">
        <v>-450</v>
      </c>
    </row>
    <row r="286" s="349" customFormat="true" ht="10.5" hidden="false" customHeight="true" outlineLevel="0" collapsed="false">
      <c r="A286" s="343"/>
      <c r="B286" s="344"/>
      <c r="C286" s="344"/>
      <c r="D286" s="344"/>
      <c r="E286" s="344"/>
      <c r="F286" s="345"/>
      <c r="G286" s="344"/>
      <c r="H286" s="344"/>
      <c r="I286" s="344"/>
      <c r="J286" s="344" t="s">
        <v>3634</v>
      </c>
      <c r="K286" s="344" t="s">
        <v>3635</v>
      </c>
      <c r="L286" s="346"/>
      <c r="M286" s="346"/>
      <c r="N286" s="347"/>
      <c r="O286" s="346"/>
      <c r="P286" s="346"/>
      <c r="Q286" s="346"/>
      <c r="R286" s="346"/>
    </row>
    <row r="287" s="349" customFormat="true" ht="10.5" hidden="false" customHeight="true" outlineLevel="0" collapsed="false">
      <c r="A287" s="343" t="n">
        <v>140</v>
      </c>
      <c r="B287" s="344" t="s">
        <v>3820</v>
      </c>
      <c r="C287" s="344"/>
      <c r="D287" s="344"/>
      <c r="E287" s="344" t="s">
        <v>3686</v>
      </c>
      <c r="F287" s="345" t="s">
        <v>3687</v>
      </c>
      <c r="G287" s="344" t="s">
        <v>3747</v>
      </c>
      <c r="H287" s="344"/>
      <c r="I287" s="344" t="s">
        <v>626</v>
      </c>
      <c r="J287" s="344" t="s">
        <v>1509</v>
      </c>
      <c r="K287" s="344" t="s">
        <v>326</v>
      </c>
      <c r="L287" s="346" t="n">
        <v>46680</v>
      </c>
      <c r="M287" s="346" t="n">
        <v>19370</v>
      </c>
      <c r="N287" s="347" t="n">
        <v>27310</v>
      </c>
      <c r="O287" s="346" t="n">
        <v>47080</v>
      </c>
      <c r="P287" s="346" t="n">
        <v>19560</v>
      </c>
      <c r="Q287" s="346" t="n">
        <v>27520</v>
      </c>
      <c r="R287" s="348" t="n">
        <v>-210</v>
      </c>
    </row>
    <row r="288" s="349" customFormat="true" ht="10.5" hidden="false" customHeight="true" outlineLevel="0" collapsed="false">
      <c r="A288" s="343"/>
      <c r="B288" s="344"/>
      <c r="C288" s="344"/>
      <c r="D288" s="344"/>
      <c r="E288" s="344"/>
      <c r="F288" s="345"/>
      <c r="G288" s="344"/>
      <c r="H288" s="344"/>
      <c r="I288" s="344"/>
      <c r="J288" s="344" t="s">
        <v>3634</v>
      </c>
      <c r="K288" s="344" t="s">
        <v>3635</v>
      </c>
      <c r="L288" s="346"/>
      <c r="M288" s="346"/>
      <c r="N288" s="347"/>
      <c r="O288" s="346"/>
      <c r="P288" s="346"/>
      <c r="Q288" s="346"/>
      <c r="R288" s="346"/>
    </row>
    <row r="289" s="349" customFormat="true" ht="10.5" hidden="false" customHeight="true" outlineLevel="0" collapsed="false">
      <c r="A289" s="343" t="n">
        <v>141</v>
      </c>
      <c r="B289" s="344" t="s">
        <v>3821</v>
      </c>
      <c r="C289" s="344"/>
      <c r="D289" s="344"/>
      <c r="E289" s="344" t="s">
        <v>409</v>
      </c>
      <c r="F289" s="345" t="s">
        <v>3693</v>
      </c>
      <c r="G289" s="344" t="s">
        <v>3822</v>
      </c>
      <c r="H289" s="344"/>
      <c r="I289" s="344" t="s">
        <v>626</v>
      </c>
      <c r="J289" s="344" t="s">
        <v>1509</v>
      </c>
      <c r="K289" s="344" t="s">
        <v>326</v>
      </c>
      <c r="L289" s="346" t="n">
        <v>46150</v>
      </c>
      <c r="M289" s="346" t="n">
        <v>24180</v>
      </c>
      <c r="N289" s="347" t="n">
        <v>21970</v>
      </c>
      <c r="O289" s="346" t="n">
        <v>46540</v>
      </c>
      <c r="P289" s="346" t="n">
        <v>24300</v>
      </c>
      <c r="Q289" s="346" t="n">
        <v>22240</v>
      </c>
      <c r="R289" s="348" t="n">
        <v>-270</v>
      </c>
    </row>
    <row r="290" s="349" customFormat="true" ht="10.5" hidden="false" customHeight="true" outlineLevel="0" collapsed="false">
      <c r="A290" s="343"/>
      <c r="B290" s="344"/>
      <c r="C290" s="344"/>
      <c r="D290" s="344"/>
      <c r="E290" s="344"/>
      <c r="F290" s="345"/>
      <c r="G290" s="344"/>
      <c r="H290" s="344"/>
      <c r="I290" s="344"/>
      <c r="J290" s="344" t="s">
        <v>3634</v>
      </c>
      <c r="K290" s="344" t="s">
        <v>3635</v>
      </c>
      <c r="L290" s="346"/>
      <c r="M290" s="346"/>
      <c r="N290" s="347"/>
      <c r="O290" s="346"/>
      <c r="P290" s="346"/>
      <c r="Q290" s="346"/>
      <c r="R290" s="346"/>
    </row>
    <row r="291" s="349" customFormat="true" ht="10.5" hidden="false" customHeight="true" outlineLevel="0" collapsed="false">
      <c r="A291" s="343" t="n">
        <v>142</v>
      </c>
      <c r="B291" s="344" t="s">
        <v>3823</v>
      </c>
      <c r="C291" s="344"/>
      <c r="D291" s="344"/>
      <c r="E291" s="344" t="s">
        <v>413</v>
      </c>
      <c r="F291" s="345" t="s">
        <v>3696</v>
      </c>
      <c r="G291" s="344" t="s">
        <v>3697</v>
      </c>
      <c r="H291" s="344"/>
      <c r="I291" s="344" t="s">
        <v>626</v>
      </c>
      <c r="J291" s="344" t="s">
        <v>1509</v>
      </c>
      <c r="K291" s="344" t="s">
        <v>326</v>
      </c>
      <c r="L291" s="346" t="n">
        <v>42960</v>
      </c>
      <c r="M291" s="346" t="n">
        <v>15580</v>
      </c>
      <c r="N291" s="347" t="n">
        <v>27380</v>
      </c>
      <c r="O291" s="346" t="n">
        <v>43260</v>
      </c>
      <c r="P291" s="346" t="n">
        <v>15700</v>
      </c>
      <c r="Q291" s="346" t="n">
        <v>27560</v>
      </c>
      <c r="R291" s="348" t="n">
        <v>-180</v>
      </c>
    </row>
    <row r="292" s="349" customFormat="true" ht="10.5" hidden="false" customHeight="true" outlineLevel="0" collapsed="false">
      <c r="A292" s="343"/>
      <c r="B292" s="344"/>
      <c r="C292" s="344"/>
      <c r="D292" s="344"/>
      <c r="E292" s="344"/>
      <c r="F292" s="345"/>
      <c r="G292" s="344"/>
      <c r="H292" s="344"/>
      <c r="I292" s="344"/>
      <c r="J292" s="344" t="s">
        <v>3634</v>
      </c>
      <c r="K292" s="344" t="s">
        <v>3635</v>
      </c>
      <c r="L292" s="346"/>
      <c r="M292" s="346"/>
      <c r="N292" s="347"/>
      <c r="O292" s="346"/>
      <c r="P292" s="346"/>
      <c r="Q292" s="346"/>
      <c r="R292" s="346"/>
    </row>
    <row r="293" customFormat="false" ht="12.75" hidden="false" customHeight="true" outlineLevel="0" collapsed="false">
      <c r="A293" s="350" t="s">
        <v>3824</v>
      </c>
      <c r="B293" s="350"/>
      <c r="C293" s="350"/>
      <c r="D293" s="350"/>
      <c r="E293" s="350"/>
      <c r="F293" s="350"/>
      <c r="G293" s="350"/>
      <c r="H293" s="350"/>
      <c r="I293" s="350"/>
      <c r="J293" s="350"/>
      <c r="K293" s="350"/>
      <c r="L293" s="351" t="n">
        <v>5713370</v>
      </c>
      <c r="M293" s="351" t="n">
        <v>2284020</v>
      </c>
      <c r="N293" s="352" t="n">
        <v>3429350</v>
      </c>
      <c r="O293" s="351" t="n">
        <v>5757770</v>
      </c>
      <c r="P293" s="351" t="n">
        <v>2296020</v>
      </c>
      <c r="Q293" s="351" t="n">
        <v>3461750</v>
      </c>
      <c r="R293" s="351" t="n">
        <v>-32400</v>
      </c>
    </row>
  </sheetData>
  <mergeCells count="1860">
    <mergeCell ref="A6:A8"/>
    <mergeCell ref="B6:D8"/>
    <mergeCell ref="E6:E8"/>
    <mergeCell ref="F6:F8"/>
    <mergeCell ref="G6:H8"/>
    <mergeCell ref="I6:I8"/>
    <mergeCell ref="L6:L8"/>
    <mergeCell ref="M6:M8"/>
    <mergeCell ref="N6:N8"/>
    <mergeCell ref="O6:O8"/>
    <mergeCell ref="P6:P8"/>
    <mergeCell ref="Q6:Q8"/>
    <mergeCell ref="R6:R8"/>
    <mergeCell ref="A9:A10"/>
    <mergeCell ref="B9:D10"/>
    <mergeCell ref="E9:E10"/>
    <mergeCell ref="F9:F10"/>
    <mergeCell ref="G9:H10"/>
    <mergeCell ref="I9:I10"/>
    <mergeCell ref="L9:L10"/>
    <mergeCell ref="M9:M10"/>
    <mergeCell ref="N9:N10"/>
    <mergeCell ref="O9:O10"/>
    <mergeCell ref="P9:P10"/>
    <mergeCell ref="Q9:Q10"/>
    <mergeCell ref="R9:R10"/>
    <mergeCell ref="A11:A12"/>
    <mergeCell ref="B11:D12"/>
    <mergeCell ref="E11:E12"/>
    <mergeCell ref="F11:F12"/>
    <mergeCell ref="G11:H12"/>
    <mergeCell ref="I11:I12"/>
    <mergeCell ref="L11:L12"/>
    <mergeCell ref="M11:M12"/>
    <mergeCell ref="N11:N12"/>
    <mergeCell ref="O11:O12"/>
    <mergeCell ref="P11:P12"/>
    <mergeCell ref="Q11:Q12"/>
    <mergeCell ref="R11:R12"/>
    <mergeCell ref="A13:A14"/>
    <mergeCell ref="B13:D14"/>
    <mergeCell ref="E13:E14"/>
    <mergeCell ref="F13:F14"/>
    <mergeCell ref="G13:H14"/>
    <mergeCell ref="I13:I14"/>
    <mergeCell ref="L13:L14"/>
    <mergeCell ref="M13:M14"/>
    <mergeCell ref="N13:N14"/>
    <mergeCell ref="O13:O14"/>
    <mergeCell ref="P13:P14"/>
    <mergeCell ref="Q13:Q14"/>
    <mergeCell ref="R13:R14"/>
    <mergeCell ref="A15:A16"/>
    <mergeCell ref="B15:D16"/>
    <mergeCell ref="E15:E16"/>
    <mergeCell ref="F15:F16"/>
    <mergeCell ref="G15:H16"/>
    <mergeCell ref="I15:I16"/>
    <mergeCell ref="L15:L16"/>
    <mergeCell ref="M15:M16"/>
    <mergeCell ref="N15:N16"/>
    <mergeCell ref="O15:O16"/>
    <mergeCell ref="P15:P16"/>
    <mergeCell ref="Q15:Q16"/>
    <mergeCell ref="R15:R16"/>
    <mergeCell ref="A17:A18"/>
    <mergeCell ref="B17:D18"/>
    <mergeCell ref="E17:E18"/>
    <mergeCell ref="F17:F18"/>
    <mergeCell ref="G17:H18"/>
    <mergeCell ref="I17:I18"/>
    <mergeCell ref="L17:L18"/>
    <mergeCell ref="M17:M18"/>
    <mergeCell ref="N17:N18"/>
    <mergeCell ref="O17:O18"/>
    <mergeCell ref="P17:P18"/>
    <mergeCell ref="Q17:Q18"/>
    <mergeCell ref="R17:R18"/>
    <mergeCell ref="A19:A20"/>
    <mergeCell ref="B19:D20"/>
    <mergeCell ref="E19:E20"/>
    <mergeCell ref="F19:F20"/>
    <mergeCell ref="G19:H20"/>
    <mergeCell ref="I19:I20"/>
    <mergeCell ref="L19:L20"/>
    <mergeCell ref="M19:M20"/>
    <mergeCell ref="N19:N20"/>
    <mergeCell ref="O19:O20"/>
    <mergeCell ref="P19:P20"/>
    <mergeCell ref="Q19:Q20"/>
    <mergeCell ref="R19:R20"/>
    <mergeCell ref="A21:A22"/>
    <mergeCell ref="B21:D22"/>
    <mergeCell ref="E21:E22"/>
    <mergeCell ref="F21:F22"/>
    <mergeCell ref="G21:H22"/>
    <mergeCell ref="I21:I22"/>
    <mergeCell ref="L21:L22"/>
    <mergeCell ref="M21:M22"/>
    <mergeCell ref="N21:N22"/>
    <mergeCell ref="O21:O22"/>
    <mergeCell ref="P21:P22"/>
    <mergeCell ref="Q21:Q22"/>
    <mergeCell ref="R21:R22"/>
    <mergeCell ref="A23:A24"/>
    <mergeCell ref="B23:D24"/>
    <mergeCell ref="E23:E24"/>
    <mergeCell ref="F23:F24"/>
    <mergeCell ref="G23:H24"/>
    <mergeCell ref="I23:I24"/>
    <mergeCell ref="L23:L24"/>
    <mergeCell ref="M23:M24"/>
    <mergeCell ref="N23:N24"/>
    <mergeCell ref="O23:O24"/>
    <mergeCell ref="P23:P24"/>
    <mergeCell ref="Q23:Q24"/>
    <mergeCell ref="R23:R24"/>
    <mergeCell ref="A25:A26"/>
    <mergeCell ref="B25:D26"/>
    <mergeCell ref="E25:E26"/>
    <mergeCell ref="F25:F26"/>
    <mergeCell ref="G25:H26"/>
    <mergeCell ref="I25:I26"/>
    <mergeCell ref="L25:L26"/>
    <mergeCell ref="M25:M26"/>
    <mergeCell ref="N25:N26"/>
    <mergeCell ref="O25:O26"/>
    <mergeCell ref="P25:P26"/>
    <mergeCell ref="Q25:Q26"/>
    <mergeCell ref="R25:R26"/>
    <mergeCell ref="A27:A28"/>
    <mergeCell ref="B27:D28"/>
    <mergeCell ref="E27:E28"/>
    <mergeCell ref="F27:F28"/>
    <mergeCell ref="G27:H28"/>
    <mergeCell ref="I27:I28"/>
    <mergeCell ref="L27:L28"/>
    <mergeCell ref="M27:M28"/>
    <mergeCell ref="N27:N28"/>
    <mergeCell ref="O27:O28"/>
    <mergeCell ref="P27:P28"/>
    <mergeCell ref="Q27:Q28"/>
    <mergeCell ref="R27:R28"/>
    <mergeCell ref="A29:A30"/>
    <mergeCell ref="B29:D30"/>
    <mergeCell ref="E29:E30"/>
    <mergeCell ref="F29:F30"/>
    <mergeCell ref="G29:H30"/>
    <mergeCell ref="I29:I30"/>
    <mergeCell ref="L29:L30"/>
    <mergeCell ref="M29:M30"/>
    <mergeCell ref="N29:N30"/>
    <mergeCell ref="O29:O30"/>
    <mergeCell ref="P29:P30"/>
    <mergeCell ref="Q29:Q30"/>
    <mergeCell ref="R29:R30"/>
    <mergeCell ref="A31:A32"/>
    <mergeCell ref="B31:D32"/>
    <mergeCell ref="E31:E32"/>
    <mergeCell ref="F31:F32"/>
    <mergeCell ref="G31:H32"/>
    <mergeCell ref="I31:I32"/>
    <mergeCell ref="L31:L32"/>
    <mergeCell ref="M31:M32"/>
    <mergeCell ref="N31:N32"/>
    <mergeCell ref="O31:O32"/>
    <mergeCell ref="P31:P32"/>
    <mergeCell ref="Q31:Q32"/>
    <mergeCell ref="R31:R32"/>
    <mergeCell ref="A33:A34"/>
    <mergeCell ref="B33:D34"/>
    <mergeCell ref="E33:E34"/>
    <mergeCell ref="F33:F34"/>
    <mergeCell ref="G33:H34"/>
    <mergeCell ref="I33:I34"/>
    <mergeCell ref="L33:L34"/>
    <mergeCell ref="M33:M34"/>
    <mergeCell ref="N33:N34"/>
    <mergeCell ref="O33:O34"/>
    <mergeCell ref="P33:P34"/>
    <mergeCell ref="Q33:Q34"/>
    <mergeCell ref="R33:R34"/>
    <mergeCell ref="A35:A36"/>
    <mergeCell ref="B35:D36"/>
    <mergeCell ref="E35:E36"/>
    <mergeCell ref="F35:F36"/>
    <mergeCell ref="G35:H36"/>
    <mergeCell ref="I35:I36"/>
    <mergeCell ref="L35:L36"/>
    <mergeCell ref="M35:M36"/>
    <mergeCell ref="N35:N36"/>
    <mergeCell ref="O35:O36"/>
    <mergeCell ref="P35:P36"/>
    <mergeCell ref="Q35:Q36"/>
    <mergeCell ref="R35:R36"/>
    <mergeCell ref="A37:A38"/>
    <mergeCell ref="B37:D38"/>
    <mergeCell ref="E37:E38"/>
    <mergeCell ref="F37:F38"/>
    <mergeCell ref="G37:H38"/>
    <mergeCell ref="I37:I38"/>
    <mergeCell ref="L37:L38"/>
    <mergeCell ref="M37:M38"/>
    <mergeCell ref="N37:N38"/>
    <mergeCell ref="O37:O38"/>
    <mergeCell ref="P37:P38"/>
    <mergeCell ref="Q37:Q38"/>
    <mergeCell ref="R37:R38"/>
    <mergeCell ref="A39:A40"/>
    <mergeCell ref="B39:D40"/>
    <mergeCell ref="E39:E40"/>
    <mergeCell ref="F39:F40"/>
    <mergeCell ref="G39:H40"/>
    <mergeCell ref="I39:I40"/>
    <mergeCell ref="L39:L40"/>
    <mergeCell ref="M39:M40"/>
    <mergeCell ref="N39:N40"/>
    <mergeCell ref="O39:O40"/>
    <mergeCell ref="P39:P40"/>
    <mergeCell ref="Q39:Q40"/>
    <mergeCell ref="R39:R40"/>
    <mergeCell ref="A41:A42"/>
    <mergeCell ref="B41:D42"/>
    <mergeCell ref="E41:E42"/>
    <mergeCell ref="F41:F42"/>
    <mergeCell ref="G41:H42"/>
    <mergeCell ref="I41:I42"/>
    <mergeCell ref="L41:L42"/>
    <mergeCell ref="M41:M42"/>
    <mergeCell ref="N41:N42"/>
    <mergeCell ref="O41:O42"/>
    <mergeCell ref="P41:P42"/>
    <mergeCell ref="Q41:Q42"/>
    <mergeCell ref="R41:R42"/>
    <mergeCell ref="A43:A44"/>
    <mergeCell ref="B43:D44"/>
    <mergeCell ref="E43:E44"/>
    <mergeCell ref="F43:F44"/>
    <mergeCell ref="G43:H44"/>
    <mergeCell ref="I43:I44"/>
    <mergeCell ref="L43:L44"/>
    <mergeCell ref="M43:M44"/>
    <mergeCell ref="N43:N44"/>
    <mergeCell ref="O43:O44"/>
    <mergeCell ref="P43:P44"/>
    <mergeCell ref="Q43:Q44"/>
    <mergeCell ref="R43:R44"/>
    <mergeCell ref="A45:A46"/>
    <mergeCell ref="B45:D46"/>
    <mergeCell ref="E45:E46"/>
    <mergeCell ref="F45:F46"/>
    <mergeCell ref="G45:H46"/>
    <mergeCell ref="I45:I46"/>
    <mergeCell ref="L45:L46"/>
    <mergeCell ref="M45:M46"/>
    <mergeCell ref="N45:N46"/>
    <mergeCell ref="O45:O46"/>
    <mergeCell ref="P45:P46"/>
    <mergeCell ref="Q45:Q46"/>
    <mergeCell ref="R45:R46"/>
    <mergeCell ref="A47:A48"/>
    <mergeCell ref="B47:D48"/>
    <mergeCell ref="E47:E48"/>
    <mergeCell ref="F47:F48"/>
    <mergeCell ref="G47:H48"/>
    <mergeCell ref="I47:I48"/>
    <mergeCell ref="L47:L48"/>
    <mergeCell ref="M47:M48"/>
    <mergeCell ref="N47:N48"/>
    <mergeCell ref="O47:O48"/>
    <mergeCell ref="P47:P48"/>
    <mergeCell ref="Q47:Q48"/>
    <mergeCell ref="R47:R48"/>
    <mergeCell ref="A49:A50"/>
    <mergeCell ref="B49:D50"/>
    <mergeCell ref="E49:E50"/>
    <mergeCell ref="F49:F50"/>
    <mergeCell ref="G49:H50"/>
    <mergeCell ref="I49:I50"/>
    <mergeCell ref="L49:L50"/>
    <mergeCell ref="M49:M50"/>
    <mergeCell ref="N49:N50"/>
    <mergeCell ref="O49:O50"/>
    <mergeCell ref="P49:P50"/>
    <mergeCell ref="Q49:Q50"/>
    <mergeCell ref="R49:R50"/>
    <mergeCell ref="A51:A52"/>
    <mergeCell ref="B51:D52"/>
    <mergeCell ref="E51:E52"/>
    <mergeCell ref="F51:F52"/>
    <mergeCell ref="G51:H52"/>
    <mergeCell ref="I51:I52"/>
    <mergeCell ref="L51:L52"/>
    <mergeCell ref="M51:M52"/>
    <mergeCell ref="N51:N52"/>
    <mergeCell ref="O51:O52"/>
    <mergeCell ref="P51:P52"/>
    <mergeCell ref="Q51:Q52"/>
    <mergeCell ref="R51:R52"/>
    <mergeCell ref="A53:A54"/>
    <mergeCell ref="B53:D54"/>
    <mergeCell ref="E53:E54"/>
    <mergeCell ref="F53:F54"/>
    <mergeCell ref="G53:H54"/>
    <mergeCell ref="I53:I54"/>
    <mergeCell ref="L53:L54"/>
    <mergeCell ref="M53:M54"/>
    <mergeCell ref="N53:N54"/>
    <mergeCell ref="O53:O54"/>
    <mergeCell ref="P53:P54"/>
    <mergeCell ref="Q53:Q54"/>
    <mergeCell ref="R53:R54"/>
    <mergeCell ref="A55:A56"/>
    <mergeCell ref="B55:D56"/>
    <mergeCell ref="E55:E56"/>
    <mergeCell ref="F55:F56"/>
    <mergeCell ref="G55:H56"/>
    <mergeCell ref="I55:I56"/>
    <mergeCell ref="L55:L56"/>
    <mergeCell ref="M55:M56"/>
    <mergeCell ref="N55:N56"/>
    <mergeCell ref="O55:O56"/>
    <mergeCell ref="P55:P56"/>
    <mergeCell ref="Q55:Q56"/>
    <mergeCell ref="R55:R56"/>
    <mergeCell ref="A57:A58"/>
    <mergeCell ref="B57:D58"/>
    <mergeCell ref="E57:E58"/>
    <mergeCell ref="F57:F58"/>
    <mergeCell ref="G57:H58"/>
    <mergeCell ref="I57:I58"/>
    <mergeCell ref="L57:L58"/>
    <mergeCell ref="M57:M58"/>
    <mergeCell ref="N57:N58"/>
    <mergeCell ref="O57:O58"/>
    <mergeCell ref="P57:P58"/>
    <mergeCell ref="Q57:Q58"/>
    <mergeCell ref="R57:R58"/>
    <mergeCell ref="A59:A60"/>
    <mergeCell ref="B59:D60"/>
    <mergeCell ref="E59:E60"/>
    <mergeCell ref="F59:F60"/>
    <mergeCell ref="G59:H60"/>
    <mergeCell ref="I59:I60"/>
    <mergeCell ref="L59:L60"/>
    <mergeCell ref="M59:M60"/>
    <mergeCell ref="N59:N60"/>
    <mergeCell ref="O59:O60"/>
    <mergeCell ref="P59:P60"/>
    <mergeCell ref="Q59:Q60"/>
    <mergeCell ref="R59:R60"/>
    <mergeCell ref="A61:A62"/>
    <mergeCell ref="B61:D62"/>
    <mergeCell ref="E61:E62"/>
    <mergeCell ref="F61:F62"/>
    <mergeCell ref="G61:H62"/>
    <mergeCell ref="I61:I62"/>
    <mergeCell ref="L61:L62"/>
    <mergeCell ref="M61:M62"/>
    <mergeCell ref="N61:N62"/>
    <mergeCell ref="O61:O62"/>
    <mergeCell ref="P61:P62"/>
    <mergeCell ref="Q61:Q62"/>
    <mergeCell ref="R61:R62"/>
    <mergeCell ref="A63:A64"/>
    <mergeCell ref="B63:D64"/>
    <mergeCell ref="E63:E64"/>
    <mergeCell ref="F63:F64"/>
    <mergeCell ref="G63:H64"/>
    <mergeCell ref="I63:I64"/>
    <mergeCell ref="L63:L64"/>
    <mergeCell ref="M63:M64"/>
    <mergeCell ref="N63:N64"/>
    <mergeCell ref="O63:O64"/>
    <mergeCell ref="P63:P64"/>
    <mergeCell ref="Q63:Q64"/>
    <mergeCell ref="R63:R64"/>
    <mergeCell ref="A65:A66"/>
    <mergeCell ref="B65:D66"/>
    <mergeCell ref="E65:E66"/>
    <mergeCell ref="F65:F66"/>
    <mergeCell ref="G65:H66"/>
    <mergeCell ref="I65:I66"/>
    <mergeCell ref="L65:L66"/>
    <mergeCell ref="M65:M66"/>
    <mergeCell ref="N65:N66"/>
    <mergeCell ref="O65:O66"/>
    <mergeCell ref="P65:P66"/>
    <mergeCell ref="Q65:Q66"/>
    <mergeCell ref="R65:R66"/>
    <mergeCell ref="A67:A68"/>
    <mergeCell ref="B67:D68"/>
    <mergeCell ref="E67:E68"/>
    <mergeCell ref="F67:F68"/>
    <mergeCell ref="G67:H68"/>
    <mergeCell ref="I67:I68"/>
    <mergeCell ref="L67:L68"/>
    <mergeCell ref="M67:M68"/>
    <mergeCell ref="N67:N68"/>
    <mergeCell ref="O67:O68"/>
    <mergeCell ref="P67:P68"/>
    <mergeCell ref="Q67:Q68"/>
    <mergeCell ref="R67:R68"/>
    <mergeCell ref="A69:A70"/>
    <mergeCell ref="B69:D70"/>
    <mergeCell ref="E69:E70"/>
    <mergeCell ref="F69:F70"/>
    <mergeCell ref="G69:H70"/>
    <mergeCell ref="I69:I70"/>
    <mergeCell ref="L69:L70"/>
    <mergeCell ref="M69:M70"/>
    <mergeCell ref="N69:N70"/>
    <mergeCell ref="O69:O70"/>
    <mergeCell ref="P69:P70"/>
    <mergeCell ref="Q69:Q70"/>
    <mergeCell ref="R69:R70"/>
    <mergeCell ref="A71:A72"/>
    <mergeCell ref="B71:D72"/>
    <mergeCell ref="E71:E72"/>
    <mergeCell ref="F71:F72"/>
    <mergeCell ref="G71:H72"/>
    <mergeCell ref="I71:I72"/>
    <mergeCell ref="L71:L72"/>
    <mergeCell ref="M71:M72"/>
    <mergeCell ref="N71:N72"/>
    <mergeCell ref="O71:O72"/>
    <mergeCell ref="P71:P72"/>
    <mergeCell ref="Q71:Q72"/>
    <mergeCell ref="R71:R72"/>
    <mergeCell ref="A73:A74"/>
    <mergeCell ref="B73:D74"/>
    <mergeCell ref="E73:E74"/>
    <mergeCell ref="F73:F74"/>
    <mergeCell ref="G73:H74"/>
    <mergeCell ref="I73:I74"/>
    <mergeCell ref="L73:L74"/>
    <mergeCell ref="M73:M74"/>
    <mergeCell ref="N73:N74"/>
    <mergeCell ref="O73:O74"/>
    <mergeCell ref="P73:P74"/>
    <mergeCell ref="Q73:Q74"/>
    <mergeCell ref="R73:R74"/>
    <mergeCell ref="A75:A76"/>
    <mergeCell ref="B75:D76"/>
    <mergeCell ref="E75:E76"/>
    <mergeCell ref="F75:F76"/>
    <mergeCell ref="G75:H76"/>
    <mergeCell ref="I75:I76"/>
    <mergeCell ref="L75:L76"/>
    <mergeCell ref="M75:M76"/>
    <mergeCell ref="N75:N76"/>
    <mergeCell ref="O75:O76"/>
    <mergeCell ref="P75:P76"/>
    <mergeCell ref="Q75:Q76"/>
    <mergeCell ref="R75:R76"/>
    <mergeCell ref="A77:A78"/>
    <mergeCell ref="B77:D78"/>
    <mergeCell ref="E77:E78"/>
    <mergeCell ref="F77:F78"/>
    <mergeCell ref="G77:H78"/>
    <mergeCell ref="I77:I78"/>
    <mergeCell ref="L77:L78"/>
    <mergeCell ref="M77:M78"/>
    <mergeCell ref="N77:N78"/>
    <mergeCell ref="O77:O78"/>
    <mergeCell ref="P77:P78"/>
    <mergeCell ref="Q77:Q78"/>
    <mergeCell ref="R77:R78"/>
    <mergeCell ref="A79:A80"/>
    <mergeCell ref="B79:D80"/>
    <mergeCell ref="E79:E80"/>
    <mergeCell ref="F79:F80"/>
    <mergeCell ref="G79:H80"/>
    <mergeCell ref="I79:I80"/>
    <mergeCell ref="L79:L80"/>
    <mergeCell ref="M79:M80"/>
    <mergeCell ref="N79:N80"/>
    <mergeCell ref="O79:O80"/>
    <mergeCell ref="P79:P80"/>
    <mergeCell ref="Q79:Q80"/>
    <mergeCell ref="R79:R80"/>
    <mergeCell ref="A81:A82"/>
    <mergeCell ref="B81:D82"/>
    <mergeCell ref="E81:E82"/>
    <mergeCell ref="F81:F82"/>
    <mergeCell ref="G81:H82"/>
    <mergeCell ref="I81:I82"/>
    <mergeCell ref="L81:L82"/>
    <mergeCell ref="M81:M82"/>
    <mergeCell ref="N81:N82"/>
    <mergeCell ref="O81:O82"/>
    <mergeCell ref="P81:P82"/>
    <mergeCell ref="Q81:Q82"/>
    <mergeCell ref="R81:R82"/>
    <mergeCell ref="A83:A84"/>
    <mergeCell ref="B83:D84"/>
    <mergeCell ref="E83:E84"/>
    <mergeCell ref="F83:F84"/>
    <mergeCell ref="G83:H84"/>
    <mergeCell ref="I83:I84"/>
    <mergeCell ref="L83:L84"/>
    <mergeCell ref="M83:M84"/>
    <mergeCell ref="N83:N84"/>
    <mergeCell ref="O83:O84"/>
    <mergeCell ref="P83:P84"/>
    <mergeCell ref="Q83:Q84"/>
    <mergeCell ref="R83:R84"/>
    <mergeCell ref="A85:A86"/>
    <mergeCell ref="B85:D86"/>
    <mergeCell ref="E85:E86"/>
    <mergeCell ref="F85:F86"/>
    <mergeCell ref="G85:H86"/>
    <mergeCell ref="I85:I86"/>
    <mergeCell ref="L85:L86"/>
    <mergeCell ref="M85:M86"/>
    <mergeCell ref="N85:N86"/>
    <mergeCell ref="O85:O86"/>
    <mergeCell ref="P85:P86"/>
    <mergeCell ref="Q85:Q86"/>
    <mergeCell ref="R85:R86"/>
    <mergeCell ref="A87:A88"/>
    <mergeCell ref="B87:D88"/>
    <mergeCell ref="E87:E88"/>
    <mergeCell ref="F87:F88"/>
    <mergeCell ref="G87:H88"/>
    <mergeCell ref="I87:I88"/>
    <mergeCell ref="L87:L88"/>
    <mergeCell ref="M87:M88"/>
    <mergeCell ref="N87:N88"/>
    <mergeCell ref="O87:O88"/>
    <mergeCell ref="P87:P88"/>
    <mergeCell ref="Q87:Q88"/>
    <mergeCell ref="R87:R88"/>
    <mergeCell ref="A89:A90"/>
    <mergeCell ref="B89:D90"/>
    <mergeCell ref="E89:E90"/>
    <mergeCell ref="F89:F90"/>
    <mergeCell ref="G89:H90"/>
    <mergeCell ref="I89:I90"/>
    <mergeCell ref="L89:L90"/>
    <mergeCell ref="M89:M90"/>
    <mergeCell ref="N89:N90"/>
    <mergeCell ref="O89:O90"/>
    <mergeCell ref="P89:P90"/>
    <mergeCell ref="Q89:Q90"/>
    <mergeCell ref="R89:R90"/>
    <mergeCell ref="A91:A92"/>
    <mergeCell ref="B91:D92"/>
    <mergeCell ref="E91:E92"/>
    <mergeCell ref="F91:F92"/>
    <mergeCell ref="G91:H92"/>
    <mergeCell ref="I91:I92"/>
    <mergeCell ref="L91:L92"/>
    <mergeCell ref="M91:M92"/>
    <mergeCell ref="N91:N92"/>
    <mergeCell ref="O91:O92"/>
    <mergeCell ref="P91:P92"/>
    <mergeCell ref="Q91:Q92"/>
    <mergeCell ref="R91:R92"/>
    <mergeCell ref="A93:A94"/>
    <mergeCell ref="B93:D94"/>
    <mergeCell ref="E93:E94"/>
    <mergeCell ref="F93:F94"/>
    <mergeCell ref="G93:H94"/>
    <mergeCell ref="I93:I94"/>
    <mergeCell ref="L93:L94"/>
    <mergeCell ref="M93:M94"/>
    <mergeCell ref="N93:N94"/>
    <mergeCell ref="O93:O94"/>
    <mergeCell ref="P93:P94"/>
    <mergeCell ref="Q93:Q94"/>
    <mergeCell ref="R93:R94"/>
    <mergeCell ref="A95:A96"/>
    <mergeCell ref="B95:D96"/>
    <mergeCell ref="E95:E96"/>
    <mergeCell ref="F95:F96"/>
    <mergeCell ref="G95:H96"/>
    <mergeCell ref="I95:I96"/>
    <mergeCell ref="L95:L96"/>
    <mergeCell ref="M95:M96"/>
    <mergeCell ref="N95:N96"/>
    <mergeCell ref="O95:O96"/>
    <mergeCell ref="P95:P96"/>
    <mergeCell ref="Q95:Q96"/>
    <mergeCell ref="R95:R96"/>
    <mergeCell ref="A97:A98"/>
    <mergeCell ref="B97:D98"/>
    <mergeCell ref="E97:E98"/>
    <mergeCell ref="F97:F98"/>
    <mergeCell ref="G97:H98"/>
    <mergeCell ref="I97:I98"/>
    <mergeCell ref="L97:L98"/>
    <mergeCell ref="M97:M98"/>
    <mergeCell ref="N97:N98"/>
    <mergeCell ref="O97:O98"/>
    <mergeCell ref="P97:P98"/>
    <mergeCell ref="Q97:Q98"/>
    <mergeCell ref="R97:R98"/>
    <mergeCell ref="A99:A100"/>
    <mergeCell ref="B99:D100"/>
    <mergeCell ref="E99:E100"/>
    <mergeCell ref="F99:F100"/>
    <mergeCell ref="G99:H100"/>
    <mergeCell ref="I99:I100"/>
    <mergeCell ref="L99:L100"/>
    <mergeCell ref="M99:M100"/>
    <mergeCell ref="N99:N100"/>
    <mergeCell ref="O99:O100"/>
    <mergeCell ref="P99:P100"/>
    <mergeCell ref="Q99:Q100"/>
    <mergeCell ref="R99:R100"/>
    <mergeCell ref="A101:A102"/>
    <mergeCell ref="B101:D102"/>
    <mergeCell ref="E101:E102"/>
    <mergeCell ref="F101:F102"/>
    <mergeCell ref="G101:H102"/>
    <mergeCell ref="I101:I102"/>
    <mergeCell ref="L101:L102"/>
    <mergeCell ref="M101:M102"/>
    <mergeCell ref="N101:N102"/>
    <mergeCell ref="O101:O102"/>
    <mergeCell ref="P101:P102"/>
    <mergeCell ref="Q101:Q102"/>
    <mergeCell ref="R101:R102"/>
    <mergeCell ref="A103:A104"/>
    <mergeCell ref="B103:D104"/>
    <mergeCell ref="E103:E104"/>
    <mergeCell ref="F103:F104"/>
    <mergeCell ref="G103:H104"/>
    <mergeCell ref="I103:I104"/>
    <mergeCell ref="L103:L104"/>
    <mergeCell ref="M103:M104"/>
    <mergeCell ref="N103:N104"/>
    <mergeCell ref="O103:O104"/>
    <mergeCell ref="P103:P104"/>
    <mergeCell ref="Q103:Q104"/>
    <mergeCell ref="R103:R104"/>
    <mergeCell ref="A105:A106"/>
    <mergeCell ref="B105:D106"/>
    <mergeCell ref="E105:E106"/>
    <mergeCell ref="F105:F106"/>
    <mergeCell ref="G105:H106"/>
    <mergeCell ref="I105:I106"/>
    <mergeCell ref="L105:L106"/>
    <mergeCell ref="M105:M106"/>
    <mergeCell ref="N105:N106"/>
    <mergeCell ref="O105:O106"/>
    <mergeCell ref="P105:P106"/>
    <mergeCell ref="Q105:Q106"/>
    <mergeCell ref="R105:R106"/>
    <mergeCell ref="A107:A108"/>
    <mergeCell ref="B107:D108"/>
    <mergeCell ref="E107:E108"/>
    <mergeCell ref="F107:F108"/>
    <mergeCell ref="G107:H108"/>
    <mergeCell ref="I107:I108"/>
    <mergeCell ref="L107:L108"/>
    <mergeCell ref="M107:M108"/>
    <mergeCell ref="N107:N108"/>
    <mergeCell ref="O107:O108"/>
    <mergeCell ref="P107:P108"/>
    <mergeCell ref="Q107:Q108"/>
    <mergeCell ref="R107:R108"/>
    <mergeCell ref="A109:A110"/>
    <mergeCell ref="B109:D110"/>
    <mergeCell ref="E109:E110"/>
    <mergeCell ref="F109:F110"/>
    <mergeCell ref="G109:H110"/>
    <mergeCell ref="I109:I110"/>
    <mergeCell ref="L109:L110"/>
    <mergeCell ref="M109:M110"/>
    <mergeCell ref="N109:N110"/>
    <mergeCell ref="O109:O110"/>
    <mergeCell ref="P109:P110"/>
    <mergeCell ref="Q109:Q110"/>
    <mergeCell ref="R109:R110"/>
    <mergeCell ref="A111:A112"/>
    <mergeCell ref="B111:D112"/>
    <mergeCell ref="E111:E112"/>
    <mergeCell ref="F111:F112"/>
    <mergeCell ref="G111:H112"/>
    <mergeCell ref="I111:I112"/>
    <mergeCell ref="L111:L112"/>
    <mergeCell ref="M111:M112"/>
    <mergeCell ref="N111:N112"/>
    <mergeCell ref="O111:O112"/>
    <mergeCell ref="P111:P112"/>
    <mergeCell ref="Q111:Q112"/>
    <mergeCell ref="R111:R112"/>
    <mergeCell ref="A113:A114"/>
    <mergeCell ref="B113:D114"/>
    <mergeCell ref="E113:E114"/>
    <mergeCell ref="F113:F114"/>
    <mergeCell ref="G113:H114"/>
    <mergeCell ref="I113:I114"/>
    <mergeCell ref="L113:L114"/>
    <mergeCell ref="M113:M114"/>
    <mergeCell ref="N113:N114"/>
    <mergeCell ref="O113:O114"/>
    <mergeCell ref="P113:P114"/>
    <mergeCell ref="Q113:Q114"/>
    <mergeCell ref="R113:R114"/>
    <mergeCell ref="A115:A116"/>
    <mergeCell ref="B115:D116"/>
    <mergeCell ref="E115:E116"/>
    <mergeCell ref="F115:F116"/>
    <mergeCell ref="G115:H116"/>
    <mergeCell ref="I115:I116"/>
    <mergeCell ref="L115:L116"/>
    <mergeCell ref="M115:M116"/>
    <mergeCell ref="N115:N116"/>
    <mergeCell ref="O115:O116"/>
    <mergeCell ref="P115:P116"/>
    <mergeCell ref="Q115:Q116"/>
    <mergeCell ref="R115:R116"/>
    <mergeCell ref="A117:A118"/>
    <mergeCell ref="B117:D118"/>
    <mergeCell ref="E117:E118"/>
    <mergeCell ref="F117:F118"/>
    <mergeCell ref="G117:H118"/>
    <mergeCell ref="I117:I118"/>
    <mergeCell ref="L117:L118"/>
    <mergeCell ref="M117:M118"/>
    <mergeCell ref="N117:N118"/>
    <mergeCell ref="O117:O118"/>
    <mergeCell ref="P117:P118"/>
    <mergeCell ref="Q117:Q118"/>
    <mergeCell ref="R117:R118"/>
    <mergeCell ref="A119:A120"/>
    <mergeCell ref="B119:D120"/>
    <mergeCell ref="E119:E120"/>
    <mergeCell ref="F119:F120"/>
    <mergeCell ref="G119:H120"/>
    <mergeCell ref="I119:I120"/>
    <mergeCell ref="L119:L120"/>
    <mergeCell ref="M119:M120"/>
    <mergeCell ref="N119:N120"/>
    <mergeCell ref="O119:O120"/>
    <mergeCell ref="P119:P120"/>
    <mergeCell ref="Q119:Q120"/>
    <mergeCell ref="R119:R120"/>
    <mergeCell ref="A121:A122"/>
    <mergeCell ref="B121:D122"/>
    <mergeCell ref="E121:E122"/>
    <mergeCell ref="F121:F122"/>
    <mergeCell ref="G121:H122"/>
    <mergeCell ref="I121:I122"/>
    <mergeCell ref="L121:L122"/>
    <mergeCell ref="M121:M122"/>
    <mergeCell ref="N121:N122"/>
    <mergeCell ref="O121:O122"/>
    <mergeCell ref="P121:P122"/>
    <mergeCell ref="Q121:Q122"/>
    <mergeCell ref="R121:R122"/>
    <mergeCell ref="A123:A124"/>
    <mergeCell ref="B123:D124"/>
    <mergeCell ref="E123:E124"/>
    <mergeCell ref="F123:F124"/>
    <mergeCell ref="G123:H124"/>
    <mergeCell ref="I123:I124"/>
    <mergeCell ref="L123:L124"/>
    <mergeCell ref="M123:M124"/>
    <mergeCell ref="N123:N124"/>
    <mergeCell ref="O123:O124"/>
    <mergeCell ref="P123:P124"/>
    <mergeCell ref="Q123:Q124"/>
    <mergeCell ref="R123:R124"/>
    <mergeCell ref="A125:A126"/>
    <mergeCell ref="B125:D126"/>
    <mergeCell ref="E125:E126"/>
    <mergeCell ref="F125:F126"/>
    <mergeCell ref="G125:H126"/>
    <mergeCell ref="I125:I126"/>
    <mergeCell ref="L125:L126"/>
    <mergeCell ref="M125:M126"/>
    <mergeCell ref="N125:N126"/>
    <mergeCell ref="O125:O126"/>
    <mergeCell ref="P125:P126"/>
    <mergeCell ref="Q125:Q126"/>
    <mergeCell ref="R125:R126"/>
    <mergeCell ref="A127:A128"/>
    <mergeCell ref="B127:D128"/>
    <mergeCell ref="E127:E128"/>
    <mergeCell ref="F127:F128"/>
    <mergeCell ref="G127:H128"/>
    <mergeCell ref="I127:I128"/>
    <mergeCell ref="L127:L128"/>
    <mergeCell ref="M127:M128"/>
    <mergeCell ref="N127:N128"/>
    <mergeCell ref="O127:O128"/>
    <mergeCell ref="P127:P128"/>
    <mergeCell ref="Q127:Q128"/>
    <mergeCell ref="R127:R128"/>
    <mergeCell ref="A129:A130"/>
    <mergeCell ref="B129:D130"/>
    <mergeCell ref="E129:E130"/>
    <mergeCell ref="F129:F130"/>
    <mergeCell ref="G129:H130"/>
    <mergeCell ref="I129:I130"/>
    <mergeCell ref="L129:L130"/>
    <mergeCell ref="M129:M130"/>
    <mergeCell ref="N129:N130"/>
    <mergeCell ref="O129:O130"/>
    <mergeCell ref="P129:P130"/>
    <mergeCell ref="Q129:Q130"/>
    <mergeCell ref="R129:R130"/>
    <mergeCell ref="A131:A132"/>
    <mergeCell ref="B131:D132"/>
    <mergeCell ref="E131:E132"/>
    <mergeCell ref="F131:F132"/>
    <mergeCell ref="G131:H132"/>
    <mergeCell ref="I131:I132"/>
    <mergeCell ref="L131:L132"/>
    <mergeCell ref="M131:M132"/>
    <mergeCell ref="N131:N132"/>
    <mergeCell ref="O131:O132"/>
    <mergeCell ref="P131:P132"/>
    <mergeCell ref="Q131:Q132"/>
    <mergeCell ref="R131:R132"/>
    <mergeCell ref="A133:A134"/>
    <mergeCell ref="B133:D134"/>
    <mergeCell ref="E133:E134"/>
    <mergeCell ref="F133:F134"/>
    <mergeCell ref="G133:H134"/>
    <mergeCell ref="I133:I134"/>
    <mergeCell ref="L133:L134"/>
    <mergeCell ref="M133:M134"/>
    <mergeCell ref="N133:N134"/>
    <mergeCell ref="O133:O134"/>
    <mergeCell ref="P133:P134"/>
    <mergeCell ref="Q133:Q134"/>
    <mergeCell ref="R133:R134"/>
    <mergeCell ref="A135:A136"/>
    <mergeCell ref="B135:D136"/>
    <mergeCell ref="E135:E136"/>
    <mergeCell ref="F135:F136"/>
    <mergeCell ref="G135:H136"/>
    <mergeCell ref="I135:I136"/>
    <mergeCell ref="L135:L136"/>
    <mergeCell ref="M135:M136"/>
    <mergeCell ref="N135:N136"/>
    <mergeCell ref="O135:O136"/>
    <mergeCell ref="P135:P136"/>
    <mergeCell ref="Q135:Q136"/>
    <mergeCell ref="R135:R136"/>
    <mergeCell ref="A137:A138"/>
    <mergeCell ref="B137:D138"/>
    <mergeCell ref="E137:E138"/>
    <mergeCell ref="F137:F138"/>
    <mergeCell ref="G137:H138"/>
    <mergeCell ref="I137:I138"/>
    <mergeCell ref="L137:L138"/>
    <mergeCell ref="M137:M138"/>
    <mergeCell ref="N137:N138"/>
    <mergeCell ref="O137:O138"/>
    <mergeCell ref="P137:P138"/>
    <mergeCell ref="Q137:Q138"/>
    <mergeCell ref="R137:R138"/>
    <mergeCell ref="A139:A140"/>
    <mergeCell ref="B139:D140"/>
    <mergeCell ref="E139:E140"/>
    <mergeCell ref="F139:F140"/>
    <mergeCell ref="G139:H140"/>
    <mergeCell ref="I139:I140"/>
    <mergeCell ref="L139:L140"/>
    <mergeCell ref="M139:M140"/>
    <mergeCell ref="N139:N140"/>
    <mergeCell ref="O139:O140"/>
    <mergeCell ref="P139:P140"/>
    <mergeCell ref="Q139:Q140"/>
    <mergeCell ref="R139:R140"/>
    <mergeCell ref="A141:A142"/>
    <mergeCell ref="B141:D142"/>
    <mergeCell ref="E141:E142"/>
    <mergeCell ref="F141:F142"/>
    <mergeCell ref="G141:H142"/>
    <mergeCell ref="I141:I142"/>
    <mergeCell ref="L141:L142"/>
    <mergeCell ref="M141:M142"/>
    <mergeCell ref="N141:N142"/>
    <mergeCell ref="O141:O142"/>
    <mergeCell ref="P141:P142"/>
    <mergeCell ref="Q141:Q142"/>
    <mergeCell ref="R141:R142"/>
    <mergeCell ref="A143:A144"/>
    <mergeCell ref="B143:D144"/>
    <mergeCell ref="E143:E144"/>
    <mergeCell ref="F143:F144"/>
    <mergeCell ref="G143:H144"/>
    <mergeCell ref="I143:I144"/>
    <mergeCell ref="L143:L144"/>
    <mergeCell ref="M143:M144"/>
    <mergeCell ref="N143:N144"/>
    <mergeCell ref="O143:O144"/>
    <mergeCell ref="P143:P144"/>
    <mergeCell ref="Q143:Q144"/>
    <mergeCell ref="R143:R144"/>
    <mergeCell ref="A145:A146"/>
    <mergeCell ref="B145:D146"/>
    <mergeCell ref="E145:E146"/>
    <mergeCell ref="F145:F146"/>
    <mergeCell ref="G145:H146"/>
    <mergeCell ref="I145:I146"/>
    <mergeCell ref="L145:L146"/>
    <mergeCell ref="M145:M146"/>
    <mergeCell ref="N145:N146"/>
    <mergeCell ref="O145:O146"/>
    <mergeCell ref="P145:P146"/>
    <mergeCell ref="Q145:Q146"/>
    <mergeCell ref="R145:R146"/>
    <mergeCell ref="A147:A148"/>
    <mergeCell ref="B147:D148"/>
    <mergeCell ref="E147:E148"/>
    <mergeCell ref="F147:F148"/>
    <mergeCell ref="G147:H148"/>
    <mergeCell ref="I147:I148"/>
    <mergeCell ref="L147:L148"/>
    <mergeCell ref="M147:M148"/>
    <mergeCell ref="N147:N148"/>
    <mergeCell ref="O147:O148"/>
    <mergeCell ref="P147:P148"/>
    <mergeCell ref="Q147:Q148"/>
    <mergeCell ref="R147:R148"/>
    <mergeCell ref="A149:A150"/>
    <mergeCell ref="B149:D150"/>
    <mergeCell ref="E149:E150"/>
    <mergeCell ref="F149:F150"/>
    <mergeCell ref="G149:H150"/>
    <mergeCell ref="I149:I150"/>
    <mergeCell ref="L149:L150"/>
    <mergeCell ref="M149:M150"/>
    <mergeCell ref="N149:N150"/>
    <mergeCell ref="O149:O150"/>
    <mergeCell ref="P149:P150"/>
    <mergeCell ref="Q149:Q150"/>
    <mergeCell ref="R149:R150"/>
    <mergeCell ref="A151:A152"/>
    <mergeCell ref="B151:D152"/>
    <mergeCell ref="E151:E152"/>
    <mergeCell ref="F151:F152"/>
    <mergeCell ref="G151:H152"/>
    <mergeCell ref="I151:I152"/>
    <mergeCell ref="L151:L152"/>
    <mergeCell ref="M151:M152"/>
    <mergeCell ref="N151:N152"/>
    <mergeCell ref="O151:O152"/>
    <mergeCell ref="P151:P152"/>
    <mergeCell ref="Q151:Q152"/>
    <mergeCell ref="R151:R152"/>
    <mergeCell ref="A153:A154"/>
    <mergeCell ref="B153:D154"/>
    <mergeCell ref="E153:E154"/>
    <mergeCell ref="F153:F154"/>
    <mergeCell ref="G153:H154"/>
    <mergeCell ref="I153:I154"/>
    <mergeCell ref="L153:L154"/>
    <mergeCell ref="M153:M154"/>
    <mergeCell ref="N153:N154"/>
    <mergeCell ref="O153:O154"/>
    <mergeCell ref="P153:P154"/>
    <mergeCell ref="Q153:Q154"/>
    <mergeCell ref="R153:R154"/>
    <mergeCell ref="A155:A156"/>
    <mergeCell ref="B155:D156"/>
    <mergeCell ref="E155:E156"/>
    <mergeCell ref="F155:F156"/>
    <mergeCell ref="G155:H156"/>
    <mergeCell ref="I155:I156"/>
    <mergeCell ref="L155:L156"/>
    <mergeCell ref="M155:M156"/>
    <mergeCell ref="N155:N156"/>
    <mergeCell ref="O155:O156"/>
    <mergeCell ref="P155:P156"/>
    <mergeCell ref="Q155:Q156"/>
    <mergeCell ref="R155:R156"/>
    <mergeCell ref="A157:A158"/>
    <mergeCell ref="B157:D158"/>
    <mergeCell ref="E157:E158"/>
    <mergeCell ref="F157:F158"/>
    <mergeCell ref="G157:H158"/>
    <mergeCell ref="I157:I158"/>
    <mergeCell ref="L157:L158"/>
    <mergeCell ref="M157:M158"/>
    <mergeCell ref="N157:N158"/>
    <mergeCell ref="O157:O158"/>
    <mergeCell ref="P157:P158"/>
    <mergeCell ref="Q157:Q158"/>
    <mergeCell ref="R157:R158"/>
    <mergeCell ref="A159:A160"/>
    <mergeCell ref="B159:D160"/>
    <mergeCell ref="E159:E160"/>
    <mergeCell ref="F159:F160"/>
    <mergeCell ref="G159:H160"/>
    <mergeCell ref="I159:I160"/>
    <mergeCell ref="L159:L160"/>
    <mergeCell ref="M159:M160"/>
    <mergeCell ref="N159:N160"/>
    <mergeCell ref="O159:O160"/>
    <mergeCell ref="P159:P160"/>
    <mergeCell ref="Q159:Q160"/>
    <mergeCell ref="R159:R160"/>
    <mergeCell ref="A161:A162"/>
    <mergeCell ref="B161:D162"/>
    <mergeCell ref="E161:E162"/>
    <mergeCell ref="F161:F162"/>
    <mergeCell ref="G161:H162"/>
    <mergeCell ref="I161:I162"/>
    <mergeCell ref="L161:L162"/>
    <mergeCell ref="M161:M162"/>
    <mergeCell ref="N161:N162"/>
    <mergeCell ref="O161:O162"/>
    <mergeCell ref="P161:P162"/>
    <mergeCell ref="Q161:Q162"/>
    <mergeCell ref="R161:R162"/>
    <mergeCell ref="A163:A164"/>
    <mergeCell ref="B163:D164"/>
    <mergeCell ref="E163:E164"/>
    <mergeCell ref="F163:F164"/>
    <mergeCell ref="G163:H164"/>
    <mergeCell ref="I163:I164"/>
    <mergeCell ref="L163:L164"/>
    <mergeCell ref="M163:M164"/>
    <mergeCell ref="N163:N164"/>
    <mergeCell ref="O163:O164"/>
    <mergeCell ref="P163:P164"/>
    <mergeCell ref="Q163:Q164"/>
    <mergeCell ref="R163:R164"/>
    <mergeCell ref="A165:A166"/>
    <mergeCell ref="B165:D166"/>
    <mergeCell ref="E165:E166"/>
    <mergeCell ref="F165:F166"/>
    <mergeCell ref="G165:H166"/>
    <mergeCell ref="I165:I166"/>
    <mergeCell ref="L165:L166"/>
    <mergeCell ref="M165:M166"/>
    <mergeCell ref="N165:N166"/>
    <mergeCell ref="O165:O166"/>
    <mergeCell ref="P165:P166"/>
    <mergeCell ref="Q165:Q166"/>
    <mergeCell ref="R165:R166"/>
    <mergeCell ref="A167:A168"/>
    <mergeCell ref="B167:D168"/>
    <mergeCell ref="E167:E168"/>
    <mergeCell ref="F167:F168"/>
    <mergeCell ref="G167:H168"/>
    <mergeCell ref="I167:I168"/>
    <mergeCell ref="L167:L168"/>
    <mergeCell ref="M167:M168"/>
    <mergeCell ref="N167:N168"/>
    <mergeCell ref="O167:O168"/>
    <mergeCell ref="P167:P168"/>
    <mergeCell ref="Q167:Q168"/>
    <mergeCell ref="R167:R168"/>
    <mergeCell ref="A169:A170"/>
    <mergeCell ref="B169:D170"/>
    <mergeCell ref="E169:E170"/>
    <mergeCell ref="F169:F170"/>
    <mergeCell ref="G169:H170"/>
    <mergeCell ref="I169:I170"/>
    <mergeCell ref="L169:L170"/>
    <mergeCell ref="M169:M170"/>
    <mergeCell ref="N169:N170"/>
    <mergeCell ref="O169:O170"/>
    <mergeCell ref="P169:P170"/>
    <mergeCell ref="Q169:Q170"/>
    <mergeCell ref="R169:R170"/>
    <mergeCell ref="A171:A172"/>
    <mergeCell ref="B171:D172"/>
    <mergeCell ref="E171:E172"/>
    <mergeCell ref="F171:F172"/>
    <mergeCell ref="G171:H172"/>
    <mergeCell ref="I171:I172"/>
    <mergeCell ref="L171:L172"/>
    <mergeCell ref="M171:M172"/>
    <mergeCell ref="N171:N172"/>
    <mergeCell ref="O171:O172"/>
    <mergeCell ref="P171:P172"/>
    <mergeCell ref="Q171:Q172"/>
    <mergeCell ref="R171:R172"/>
    <mergeCell ref="A173:A174"/>
    <mergeCell ref="B173:D174"/>
    <mergeCell ref="E173:E174"/>
    <mergeCell ref="F173:F174"/>
    <mergeCell ref="G173:H174"/>
    <mergeCell ref="I173:I174"/>
    <mergeCell ref="L173:L174"/>
    <mergeCell ref="M173:M174"/>
    <mergeCell ref="N173:N174"/>
    <mergeCell ref="O173:O174"/>
    <mergeCell ref="P173:P174"/>
    <mergeCell ref="Q173:Q174"/>
    <mergeCell ref="R173:R174"/>
    <mergeCell ref="A175:A176"/>
    <mergeCell ref="B175:D176"/>
    <mergeCell ref="E175:E176"/>
    <mergeCell ref="F175:F176"/>
    <mergeCell ref="G175:H176"/>
    <mergeCell ref="I175:I176"/>
    <mergeCell ref="L175:L176"/>
    <mergeCell ref="M175:M176"/>
    <mergeCell ref="N175:N176"/>
    <mergeCell ref="O175:O176"/>
    <mergeCell ref="P175:P176"/>
    <mergeCell ref="Q175:Q176"/>
    <mergeCell ref="R175:R176"/>
    <mergeCell ref="A177:A178"/>
    <mergeCell ref="B177:D178"/>
    <mergeCell ref="E177:E178"/>
    <mergeCell ref="F177:F178"/>
    <mergeCell ref="G177:H178"/>
    <mergeCell ref="I177:I178"/>
    <mergeCell ref="L177:L178"/>
    <mergeCell ref="M177:M178"/>
    <mergeCell ref="N177:N178"/>
    <mergeCell ref="O177:O178"/>
    <mergeCell ref="P177:P178"/>
    <mergeCell ref="Q177:Q178"/>
    <mergeCell ref="R177:R178"/>
    <mergeCell ref="A179:A180"/>
    <mergeCell ref="B179:D180"/>
    <mergeCell ref="E179:E180"/>
    <mergeCell ref="F179:F180"/>
    <mergeCell ref="G179:H180"/>
    <mergeCell ref="I179:I180"/>
    <mergeCell ref="L179:L180"/>
    <mergeCell ref="M179:M180"/>
    <mergeCell ref="N179:N180"/>
    <mergeCell ref="O179:O180"/>
    <mergeCell ref="P179:P180"/>
    <mergeCell ref="Q179:Q180"/>
    <mergeCell ref="R179:R180"/>
    <mergeCell ref="A181:A182"/>
    <mergeCell ref="B181:D182"/>
    <mergeCell ref="E181:E182"/>
    <mergeCell ref="F181:F182"/>
    <mergeCell ref="G181:H182"/>
    <mergeCell ref="I181:I182"/>
    <mergeCell ref="L181:L182"/>
    <mergeCell ref="M181:M182"/>
    <mergeCell ref="N181:N182"/>
    <mergeCell ref="O181:O182"/>
    <mergeCell ref="P181:P182"/>
    <mergeCell ref="Q181:Q182"/>
    <mergeCell ref="R181:R182"/>
    <mergeCell ref="A183:A184"/>
    <mergeCell ref="B183:D184"/>
    <mergeCell ref="E183:E184"/>
    <mergeCell ref="F183:F184"/>
    <mergeCell ref="G183:H184"/>
    <mergeCell ref="I183:I184"/>
    <mergeCell ref="L183:L184"/>
    <mergeCell ref="M183:M184"/>
    <mergeCell ref="N183:N184"/>
    <mergeCell ref="O183:O184"/>
    <mergeCell ref="P183:P184"/>
    <mergeCell ref="Q183:Q184"/>
    <mergeCell ref="R183:R184"/>
    <mergeCell ref="A185:A186"/>
    <mergeCell ref="B185:D186"/>
    <mergeCell ref="E185:E186"/>
    <mergeCell ref="F185:F186"/>
    <mergeCell ref="G185:H186"/>
    <mergeCell ref="I185:I186"/>
    <mergeCell ref="L185:L186"/>
    <mergeCell ref="M185:M186"/>
    <mergeCell ref="N185:N186"/>
    <mergeCell ref="O185:O186"/>
    <mergeCell ref="P185:P186"/>
    <mergeCell ref="Q185:Q186"/>
    <mergeCell ref="R185:R186"/>
    <mergeCell ref="A187:A188"/>
    <mergeCell ref="B187:D188"/>
    <mergeCell ref="E187:E188"/>
    <mergeCell ref="F187:F188"/>
    <mergeCell ref="G187:H188"/>
    <mergeCell ref="I187:I188"/>
    <mergeCell ref="L187:L188"/>
    <mergeCell ref="M187:M188"/>
    <mergeCell ref="N187:N188"/>
    <mergeCell ref="O187:O188"/>
    <mergeCell ref="P187:P188"/>
    <mergeCell ref="Q187:Q188"/>
    <mergeCell ref="R187:R188"/>
    <mergeCell ref="A189:A190"/>
    <mergeCell ref="B189:D190"/>
    <mergeCell ref="E189:E190"/>
    <mergeCell ref="F189:F190"/>
    <mergeCell ref="G189:H190"/>
    <mergeCell ref="I189:I190"/>
    <mergeCell ref="L189:L190"/>
    <mergeCell ref="M189:M190"/>
    <mergeCell ref="N189:N190"/>
    <mergeCell ref="O189:O190"/>
    <mergeCell ref="P189:P190"/>
    <mergeCell ref="Q189:Q190"/>
    <mergeCell ref="R189:R190"/>
    <mergeCell ref="A191:A192"/>
    <mergeCell ref="B191:D192"/>
    <mergeCell ref="E191:E192"/>
    <mergeCell ref="F191:F192"/>
    <mergeCell ref="G191:H192"/>
    <mergeCell ref="I191:I192"/>
    <mergeCell ref="L191:L192"/>
    <mergeCell ref="M191:M192"/>
    <mergeCell ref="N191:N192"/>
    <mergeCell ref="O191:O192"/>
    <mergeCell ref="P191:P192"/>
    <mergeCell ref="Q191:Q192"/>
    <mergeCell ref="R191:R192"/>
    <mergeCell ref="A193:A194"/>
    <mergeCell ref="B193:D194"/>
    <mergeCell ref="E193:E194"/>
    <mergeCell ref="F193:F194"/>
    <mergeCell ref="G193:H194"/>
    <mergeCell ref="I193:I194"/>
    <mergeCell ref="L193:L194"/>
    <mergeCell ref="M193:M194"/>
    <mergeCell ref="N193:N194"/>
    <mergeCell ref="O193:O194"/>
    <mergeCell ref="P193:P194"/>
    <mergeCell ref="Q193:Q194"/>
    <mergeCell ref="R193:R194"/>
    <mergeCell ref="A195:A196"/>
    <mergeCell ref="B195:D196"/>
    <mergeCell ref="E195:E196"/>
    <mergeCell ref="F195:F196"/>
    <mergeCell ref="G195:H196"/>
    <mergeCell ref="I195:I196"/>
    <mergeCell ref="L195:L196"/>
    <mergeCell ref="M195:M196"/>
    <mergeCell ref="N195:N196"/>
    <mergeCell ref="O195:O196"/>
    <mergeCell ref="P195:P196"/>
    <mergeCell ref="Q195:Q196"/>
    <mergeCell ref="R195:R196"/>
    <mergeCell ref="A197:A198"/>
    <mergeCell ref="B197:D198"/>
    <mergeCell ref="E197:E198"/>
    <mergeCell ref="F197:F198"/>
    <mergeCell ref="G197:H198"/>
    <mergeCell ref="I197:I198"/>
    <mergeCell ref="L197:L198"/>
    <mergeCell ref="M197:M198"/>
    <mergeCell ref="N197:N198"/>
    <mergeCell ref="O197:O198"/>
    <mergeCell ref="P197:P198"/>
    <mergeCell ref="Q197:Q198"/>
    <mergeCell ref="R197:R198"/>
    <mergeCell ref="A199:A200"/>
    <mergeCell ref="B199:D200"/>
    <mergeCell ref="E199:E200"/>
    <mergeCell ref="F199:F200"/>
    <mergeCell ref="G199:H200"/>
    <mergeCell ref="I199:I200"/>
    <mergeCell ref="L199:L200"/>
    <mergeCell ref="M199:M200"/>
    <mergeCell ref="N199:N200"/>
    <mergeCell ref="O199:O200"/>
    <mergeCell ref="P199:P200"/>
    <mergeCell ref="Q199:Q200"/>
    <mergeCell ref="R199:R200"/>
    <mergeCell ref="A201:A202"/>
    <mergeCell ref="B201:D202"/>
    <mergeCell ref="E201:E202"/>
    <mergeCell ref="F201:F202"/>
    <mergeCell ref="G201:H202"/>
    <mergeCell ref="I201:I202"/>
    <mergeCell ref="L201:L202"/>
    <mergeCell ref="M201:M202"/>
    <mergeCell ref="N201:N202"/>
    <mergeCell ref="O201:O202"/>
    <mergeCell ref="P201:P202"/>
    <mergeCell ref="Q201:Q202"/>
    <mergeCell ref="R201:R202"/>
    <mergeCell ref="A203:A204"/>
    <mergeCell ref="B203:D204"/>
    <mergeCell ref="E203:E204"/>
    <mergeCell ref="F203:F204"/>
    <mergeCell ref="G203:H204"/>
    <mergeCell ref="I203:I204"/>
    <mergeCell ref="L203:L204"/>
    <mergeCell ref="M203:M204"/>
    <mergeCell ref="N203:N204"/>
    <mergeCell ref="O203:O204"/>
    <mergeCell ref="P203:P204"/>
    <mergeCell ref="Q203:Q204"/>
    <mergeCell ref="R203:R204"/>
    <mergeCell ref="A205:A206"/>
    <mergeCell ref="B205:D206"/>
    <mergeCell ref="E205:E206"/>
    <mergeCell ref="F205:F206"/>
    <mergeCell ref="G205:H206"/>
    <mergeCell ref="I205:I206"/>
    <mergeCell ref="L205:L206"/>
    <mergeCell ref="M205:M206"/>
    <mergeCell ref="N205:N206"/>
    <mergeCell ref="O205:O206"/>
    <mergeCell ref="P205:P206"/>
    <mergeCell ref="Q205:Q206"/>
    <mergeCell ref="R205:R206"/>
    <mergeCell ref="A207:A208"/>
    <mergeCell ref="B207:D208"/>
    <mergeCell ref="E207:E208"/>
    <mergeCell ref="F207:F208"/>
    <mergeCell ref="G207:H208"/>
    <mergeCell ref="I207:I208"/>
    <mergeCell ref="L207:L208"/>
    <mergeCell ref="M207:M208"/>
    <mergeCell ref="N207:N208"/>
    <mergeCell ref="O207:O208"/>
    <mergeCell ref="P207:P208"/>
    <mergeCell ref="Q207:Q208"/>
    <mergeCell ref="R207:R208"/>
    <mergeCell ref="A209:A210"/>
    <mergeCell ref="B209:D210"/>
    <mergeCell ref="E209:E210"/>
    <mergeCell ref="F209:F210"/>
    <mergeCell ref="G209:H210"/>
    <mergeCell ref="I209:I210"/>
    <mergeCell ref="L209:L210"/>
    <mergeCell ref="M209:M210"/>
    <mergeCell ref="N209:N210"/>
    <mergeCell ref="O209:O210"/>
    <mergeCell ref="P209:P210"/>
    <mergeCell ref="Q209:Q210"/>
    <mergeCell ref="R209:R210"/>
    <mergeCell ref="A211:A212"/>
    <mergeCell ref="B211:D212"/>
    <mergeCell ref="E211:E212"/>
    <mergeCell ref="F211:F212"/>
    <mergeCell ref="G211:H212"/>
    <mergeCell ref="I211:I212"/>
    <mergeCell ref="L211:L212"/>
    <mergeCell ref="M211:M212"/>
    <mergeCell ref="N211:N212"/>
    <mergeCell ref="O211:O212"/>
    <mergeCell ref="P211:P212"/>
    <mergeCell ref="Q211:Q212"/>
    <mergeCell ref="R211:R212"/>
    <mergeCell ref="A213:A214"/>
    <mergeCell ref="B213:D214"/>
    <mergeCell ref="E213:E214"/>
    <mergeCell ref="F213:F214"/>
    <mergeCell ref="G213:H214"/>
    <mergeCell ref="I213:I214"/>
    <mergeCell ref="L213:L214"/>
    <mergeCell ref="M213:M214"/>
    <mergeCell ref="N213:N214"/>
    <mergeCell ref="O213:O214"/>
    <mergeCell ref="P213:P214"/>
    <mergeCell ref="Q213:Q214"/>
    <mergeCell ref="R213:R214"/>
    <mergeCell ref="A215:A216"/>
    <mergeCell ref="B215:D216"/>
    <mergeCell ref="E215:E216"/>
    <mergeCell ref="F215:F216"/>
    <mergeCell ref="G215:H216"/>
    <mergeCell ref="I215:I216"/>
    <mergeCell ref="L215:L216"/>
    <mergeCell ref="M215:M216"/>
    <mergeCell ref="N215:N216"/>
    <mergeCell ref="O215:O216"/>
    <mergeCell ref="P215:P216"/>
    <mergeCell ref="Q215:Q216"/>
    <mergeCell ref="R215:R216"/>
    <mergeCell ref="A217:A218"/>
    <mergeCell ref="B217:D218"/>
    <mergeCell ref="E217:E218"/>
    <mergeCell ref="F217:F218"/>
    <mergeCell ref="G217:H218"/>
    <mergeCell ref="I217:I218"/>
    <mergeCell ref="L217:L218"/>
    <mergeCell ref="M217:M218"/>
    <mergeCell ref="N217:N218"/>
    <mergeCell ref="O217:O218"/>
    <mergeCell ref="P217:P218"/>
    <mergeCell ref="Q217:Q218"/>
    <mergeCell ref="R217:R218"/>
    <mergeCell ref="A219:A220"/>
    <mergeCell ref="B219:D220"/>
    <mergeCell ref="E219:E220"/>
    <mergeCell ref="F219:F220"/>
    <mergeCell ref="G219:H220"/>
    <mergeCell ref="I219:I220"/>
    <mergeCell ref="L219:L220"/>
    <mergeCell ref="M219:M220"/>
    <mergeCell ref="N219:N220"/>
    <mergeCell ref="O219:O220"/>
    <mergeCell ref="P219:P220"/>
    <mergeCell ref="Q219:Q220"/>
    <mergeCell ref="R219:R220"/>
    <mergeCell ref="A221:A222"/>
    <mergeCell ref="B221:D222"/>
    <mergeCell ref="E221:E222"/>
    <mergeCell ref="F221:F222"/>
    <mergeCell ref="G221:H222"/>
    <mergeCell ref="I221:I222"/>
    <mergeCell ref="L221:L222"/>
    <mergeCell ref="M221:M222"/>
    <mergeCell ref="N221:N222"/>
    <mergeCell ref="O221:O222"/>
    <mergeCell ref="P221:P222"/>
    <mergeCell ref="Q221:Q222"/>
    <mergeCell ref="R221:R222"/>
    <mergeCell ref="A223:A224"/>
    <mergeCell ref="B223:D224"/>
    <mergeCell ref="E223:E224"/>
    <mergeCell ref="F223:F224"/>
    <mergeCell ref="G223:H224"/>
    <mergeCell ref="I223:I224"/>
    <mergeCell ref="L223:L224"/>
    <mergeCell ref="M223:M224"/>
    <mergeCell ref="N223:N224"/>
    <mergeCell ref="O223:O224"/>
    <mergeCell ref="P223:P224"/>
    <mergeCell ref="Q223:Q224"/>
    <mergeCell ref="R223:R224"/>
    <mergeCell ref="A225:A226"/>
    <mergeCell ref="B225:D226"/>
    <mergeCell ref="E225:E226"/>
    <mergeCell ref="F225:F226"/>
    <mergeCell ref="G225:H226"/>
    <mergeCell ref="I225:I226"/>
    <mergeCell ref="L225:L226"/>
    <mergeCell ref="M225:M226"/>
    <mergeCell ref="N225:N226"/>
    <mergeCell ref="O225:O226"/>
    <mergeCell ref="P225:P226"/>
    <mergeCell ref="Q225:Q226"/>
    <mergeCell ref="R225:R226"/>
    <mergeCell ref="A227:A228"/>
    <mergeCell ref="B227:D228"/>
    <mergeCell ref="E227:E228"/>
    <mergeCell ref="F227:F228"/>
    <mergeCell ref="G227:H228"/>
    <mergeCell ref="I227:I228"/>
    <mergeCell ref="L227:L228"/>
    <mergeCell ref="M227:M228"/>
    <mergeCell ref="N227:N228"/>
    <mergeCell ref="O227:O228"/>
    <mergeCell ref="P227:P228"/>
    <mergeCell ref="Q227:Q228"/>
    <mergeCell ref="R227:R228"/>
    <mergeCell ref="A229:A230"/>
    <mergeCell ref="B229:D230"/>
    <mergeCell ref="E229:E230"/>
    <mergeCell ref="F229:F230"/>
    <mergeCell ref="G229:H230"/>
    <mergeCell ref="I229:I230"/>
    <mergeCell ref="L229:L230"/>
    <mergeCell ref="M229:M230"/>
    <mergeCell ref="N229:N230"/>
    <mergeCell ref="O229:O230"/>
    <mergeCell ref="P229:P230"/>
    <mergeCell ref="Q229:Q230"/>
    <mergeCell ref="R229:R230"/>
    <mergeCell ref="A231:A232"/>
    <mergeCell ref="B231:D232"/>
    <mergeCell ref="E231:E232"/>
    <mergeCell ref="F231:F232"/>
    <mergeCell ref="G231:H232"/>
    <mergeCell ref="I231:I232"/>
    <mergeCell ref="L231:L232"/>
    <mergeCell ref="M231:M232"/>
    <mergeCell ref="N231:N232"/>
    <mergeCell ref="O231:O232"/>
    <mergeCell ref="P231:P232"/>
    <mergeCell ref="Q231:Q232"/>
    <mergeCell ref="R231:R232"/>
    <mergeCell ref="A233:A234"/>
    <mergeCell ref="B233:D234"/>
    <mergeCell ref="E233:E234"/>
    <mergeCell ref="F233:F234"/>
    <mergeCell ref="G233:H234"/>
    <mergeCell ref="I233:I234"/>
    <mergeCell ref="L233:L234"/>
    <mergeCell ref="M233:M234"/>
    <mergeCell ref="N233:N234"/>
    <mergeCell ref="O233:O234"/>
    <mergeCell ref="P233:P234"/>
    <mergeCell ref="Q233:Q234"/>
    <mergeCell ref="R233:R234"/>
    <mergeCell ref="A235:A236"/>
    <mergeCell ref="B235:D236"/>
    <mergeCell ref="E235:E236"/>
    <mergeCell ref="F235:F236"/>
    <mergeCell ref="G235:H236"/>
    <mergeCell ref="I235:I236"/>
    <mergeCell ref="L235:L236"/>
    <mergeCell ref="M235:M236"/>
    <mergeCell ref="N235:N236"/>
    <mergeCell ref="O235:O236"/>
    <mergeCell ref="P235:P236"/>
    <mergeCell ref="Q235:Q236"/>
    <mergeCell ref="R235:R236"/>
    <mergeCell ref="A237:A238"/>
    <mergeCell ref="B237:D238"/>
    <mergeCell ref="E237:E238"/>
    <mergeCell ref="F237:F238"/>
    <mergeCell ref="G237:H238"/>
    <mergeCell ref="I237:I238"/>
    <mergeCell ref="L237:L238"/>
    <mergeCell ref="M237:M238"/>
    <mergeCell ref="N237:N238"/>
    <mergeCell ref="O237:O238"/>
    <mergeCell ref="P237:P238"/>
    <mergeCell ref="Q237:Q238"/>
    <mergeCell ref="R237:R238"/>
    <mergeCell ref="A239:A240"/>
    <mergeCell ref="B239:D240"/>
    <mergeCell ref="E239:E240"/>
    <mergeCell ref="F239:F240"/>
    <mergeCell ref="G239:H240"/>
    <mergeCell ref="I239:I240"/>
    <mergeCell ref="L239:L240"/>
    <mergeCell ref="M239:M240"/>
    <mergeCell ref="N239:N240"/>
    <mergeCell ref="O239:O240"/>
    <mergeCell ref="P239:P240"/>
    <mergeCell ref="Q239:Q240"/>
    <mergeCell ref="R239:R240"/>
    <mergeCell ref="A241:A242"/>
    <mergeCell ref="B241:D242"/>
    <mergeCell ref="E241:E242"/>
    <mergeCell ref="F241:F242"/>
    <mergeCell ref="G241:H242"/>
    <mergeCell ref="I241:I242"/>
    <mergeCell ref="L241:L242"/>
    <mergeCell ref="M241:M242"/>
    <mergeCell ref="N241:N242"/>
    <mergeCell ref="O241:O242"/>
    <mergeCell ref="P241:P242"/>
    <mergeCell ref="Q241:Q242"/>
    <mergeCell ref="R241:R242"/>
    <mergeCell ref="A243:A244"/>
    <mergeCell ref="B243:D244"/>
    <mergeCell ref="E243:E244"/>
    <mergeCell ref="F243:F244"/>
    <mergeCell ref="G243:H244"/>
    <mergeCell ref="I243:I244"/>
    <mergeCell ref="L243:L244"/>
    <mergeCell ref="M243:M244"/>
    <mergeCell ref="N243:N244"/>
    <mergeCell ref="O243:O244"/>
    <mergeCell ref="P243:P244"/>
    <mergeCell ref="Q243:Q244"/>
    <mergeCell ref="R243:R244"/>
    <mergeCell ref="A245:A246"/>
    <mergeCell ref="B245:D246"/>
    <mergeCell ref="E245:E246"/>
    <mergeCell ref="F245:F246"/>
    <mergeCell ref="G245:H246"/>
    <mergeCell ref="I245:I246"/>
    <mergeCell ref="L245:L246"/>
    <mergeCell ref="M245:M246"/>
    <mergeCell ref="N245:N246"/>
    <mergeCell ref="O245:O246"/>
    <mergeCell ref="P245:P246"/>
    <mergeCell ref="Q245:Q246"/>
    <mergeCell ref="R245:R246"/>
    <mergeCell ref="A247:A248"/>
    <mergeCell ref="B247:D248"/>
    <mergeCell ref="E247:E248"/>
    <mergeCell ref="F247:F248"/>
    <mergeCell ref="G247:H248"/>
    <mergeCell ref="I247:I248"/>
    <mergeCell ref="L247:L248"/>
    <mergeCell ref="M247:M248"/>
    <mergeCell ref="N247:N248"/>
    <mergeCell ref="O247:O248"/>
    <mergeCell ref="P247:P248"/>
    <mergeCell ref="Q247:Q248"/>
    <mergeCell ref="R247:R248"/>
    <mergeCell ref="A249:A250"/>
    <mergeCell ref="B249:D250"/>
    <mergeCell ref="E249:E250"/>
    <mergeCell ref="F249:F250"/>
    <mergeCell ref="G249:H250"/>
    <mergeCell ref="I249:I250"/>
    <mergeCell ref="L249:L250"/>
    <mergeCell ref="M249:M250"/>
    <mergeCell ref="N249:N250"/>
    <mergeCell ref="O249:O250"/>
    <mergeCell ref="P249:P250"/>
    <mergeCell ref="Q249:Q250"/>
    <mergeCell ref="R249:R250"/>
    <mergeCell ref="A251:A252"/>
    <mergeCell ref="B251:D252"/>
    <mergeCell ref="E251:E252"/>
    <mergeCell ref="F251:F252"/>
    <mergeCell ref="G251:H252"/>
    <mergeCell ref="I251:I252"/>
    <mergeCell ref="L251:L252"/>
    <mergeCell ref="M251:M252"/>
    <mergeCell ref="N251:N252"/>
    <mergeCell ref="O251:O252"/>
    <mergeCell ref="P251:P252"/>
    <mergeCell ref="Q251:Q252"/>
    <mergeCell ref="R251:R252"/>
    <mergeCell ref="A253:A254"/>
    <mergeCell ref="B253:D254"/>
    <mergeCell ref="E253:E254"/>
    <mergeCell ref="F253:F254"/>
    <mergeCell ref="G253:H254"/>
    <mergeCell ref="I253:I254"/>
    <mergeCell ref="L253:L254"/>
    <mergeCell ref="M253:M254"/>
    <mergeCell ref="N253:N254"/>
    <mergeCell ref="O253:O254"/>
    <mergeCell ref="P253:P254"/>
    <mergeCell ref="Q253:Q254"/>
    <mergeCell ref="R253:R254"/>
    <mergeCell ref="A255:A256"/>
    <mergeCell ref="B255:D256"/>
    <mergeCell ref="E255:E256"/>
    <mergeCell ref="F255:F256"/>
    <mergeCell ref="G255:H256"/>
    <mergeCell ref="I255:I256"/>
    <mergeCell ref="L255:L256"/>
    <mergeCell ref="M255:M256"/>
    <mergeCell ref="N255:N256"/>
    <mergeCell ref="O255:O256"/>
    <mergeCell ref="P255:P256"/>
    <mergeCell ref="Q255:Q256"/>
    <mergeCell ref="R255:R256"/>
    <mergeCell ref="A257:A258"/>
    <mergeCell ref="B257:D258"/>
    <mergeCell ref="E257:E258"/>
    <mergeCell ref="F257:F258"/>
    <mergeCell ref="G257:H258"/>
    <mergeCell ref="I257:I258"/>
    <mergeCell ref="L257:L258"/>
    <mergeCell ref="M257:M258"/>
    <mergeCell ref="N257:N258"/>
    <mergeCell ref="O257:O258"/>
    <mergeCell ref="P257:P258"/>
    <mergeCell ref="Q257:Q258"/>
    <mergeCell ref="R257:R258"/>
    <mergeCell ref="A259:A260"/>
    <mergeCell ref="B259:D260"/>
    <mergeCell ref="E259:E260"/>
    <mergeCell ref="F259:F260"/>
    <mergeCell ref="G259:H260"/>
    <mergeCell ref="I259:I260"/>
    <mergeCell ref="L259:L260"/>
    <mergeCell ref="M259:M260"/>
    <mergeCell ref="N259:N260"/>
    <mergeCell ref="O259:O260"/>
    <mergeCell ref="P259:P260"/>
    <mergeCell ref="Q259:Q260"/>
    <mergeCell ref="R259:R260"/>
    <mergeCell ref="A261:A262"/>
    <mergeCell ref="B261:D262"/>
    <mergeCell ref="E261:E262"/>
    <mergeCell ref="F261:F262"/>
    <mergeCell ref="G261:H262"/>
    <mergeCell ref="I261:I262"/>
    <mergeCell ref="L261:L262"/>
    <mergeCell ref="M261:M262"/>
    <mergeCell ref="N261:N262"/>
    <mergeCell ref="O261:O262"/>
    <mergeCell ref="P261:P262"/>
    <mergeCell ref="Q261:Q262"/>
    <mergeCell ref="R261:R262"/>
    <mergeCell ref="A263:A264"/>
    <mergeCell ref="B263:D264"/>
    <mergeCell ref="E263:E264"/>
    <mergeCell ref="F263:F264"/>
    <mergeCell ref="G263:H264"/>
    <mergeCell ref="I263:I264"/>
    <mergeCell ref="L263:L264"/>
    <mergeCell ref="M263:M264"/>
    <mergeCell ref="N263:N264"/>
    <mergeCell ref="O263:O264"/>
    <mergeCell ref="P263:P264"/>
    <mergeCell ref="Q263:Q264"/>
    <mergeCell ref="R263:R264"/>
    <mergeCell ref="A265:A266"/>
    <mergeCell ref="B265:D266"/>
    <mergeCell ref="E265:E266"/>
    <mergeCell ref="F265:F266"/>
    <mergeCell ref="G265:H266"/>
    <mergeCell ref="I265:I266"/>
    <mergeCell ref="L265:L266"/>
    <mergeCell ref="M265:M266"/>
    <mergeCell ref="N265:N266"/>
    <mergeCell ref="O265:O266"/>
    <mergeCell ref="P265:P266"/>
    <mergeCell ref="Q265:Q266"/>
    <mergeCell ref="R265:R266"/>
    <mergeCell ref="A267:A268"/>
    <mergeCell ref="B267:D268"/>
    <mergeCell ref="E267:E268"/>
    <mergeCell ref="F267:F268"/>
    <mergeCell ref="G267:H268"/>
    <mergeCell ref="I267:I268"/>
    <mergeCell ref="L267:L268"/>
    <mergeCell ref="M267:M268"/>
    <mergeCell ref="N267:N268"/>
    <mergeCell ref="O267:O268"/>
    <mergeCell ref="P267:P268"/>
    <mergeCell ref="Q267:Q268"/>
    <mergeCell ref="R267:R268"/>
    <mergeCell ref="A269:A270"/>
    <mergeCell ref="B269:D270"/>
    <mergeCell ref="E269:E270"/>
    <mergeCell ref="F269:F270"/>
    <mergeCell ref="G269:H270"/>
    <mergeCell ref="I269:I270"/>
    <mergeCell ref="L269:L270"/>
    <mergeCell ref="M269:M270"/>
    <mergeCell ref="N269:N270"/>
    <mergeCell ref="O269:O270"/>
    <mergeCell ref="P269:P270"/>
    <mergeCell ref="Q269:Q270"/>
    <mergeCell ref="R269:R270"/>
    <mergeCell ref="A271:A272"/>
    <mergeCell ref="B271:D272"/>
    <mergeCell ref="E271:E272"/>
    <mergeCell ref="F271:F272"/>
    <mergeCell ref="G271:H272"/>
    <mergeCell ref="I271:I272"/>
    <mergeCell ref="L271:L272"/>
    <mergeCell ref="M271:M272"/>
    <mergeCell ref="N271:N272"/>
    <mergeCell ref="O271:O272"/>
    <mergeCell ref="P271:P272"/>
    <mergeCell ref="Q271:Q272"/>
    <mergeCell ref="R271:R272"/>
    <mergeCell ref="A273:A274"/>
    <mergeCell ref="B273:D274"/>
    <mergeCell ref="E273:E274"/>
    <mergeCell ref="F273:F274"/>
    <mergeCell ref="G273:H274"/>
    <mergeCell ref="I273:I274"/>
    <mergeCell ref="L273:L274"/>
    <mergeCell ref="M273:M274"/>
    <mergeCell ref="N273:N274"/>
    <mergeCell ref="O273:O274"/>
    <mergeCell ref="P273:P274"/>
    <mergeCell ref="Q273:Q274"/>
    <mergeCell ref="R273:R274"/>
    <mergeCell ref="A275:A276"/>
    <mergeCell ref="B275:D276"/>
    <mergeCell ref="E275:E276"/>
    <mergeCell ref="F275:F276"/>
    <mergeCell ref="G275:H276"/>
    <mergeCell ref="I275:I276"/>
    <mergeCell ref="L275:L276"/>
    <mergeCell ref="M275:M276"/>
    <mergeCell ref="N275:N276"/>
    <mergeCell ref="O275:O276"/>
    <mergeCell ref="P275:P276"/>
    <mergeCell ref="Q275:Q276"/>
    <mergeCell ref="R275:R276"/>
    <mergeCell ref="A277:A278"/>
    <mergeCell ref="B277:D278"/>
    <mergeCell ref="E277:E278"/>
    <mergeCell ref="F277:F278"/>
    <mergeCell ref="G277:H278"/>
    <mergeCell ref="I277:I278"/>
    <mergeCell ref="L277:L278"/>
    <mergeCell ref="M277:M278"/>
    <mergeCell ref="N277:N278"/>
    <mergeCell ref="O277:O278"/>
    <mergeCell ref="P277:P278"/>
    <mergeCell ref="Q277:Q278"/>
    <mergeCell ref="R277:R278"/>
    <mergeCell ref="A279:A280"/>
    <mergeCell ref="B279:D280"/>
    <mergeCell ref="E279:E280"/>
    <mergeCell ref="F279:F280"/>
    <mergeCell ref="G279:H280"/>
    <mergeCell ref="I279:I280"/>
    <mergeCell ref="L279:L280"/>
    <mergeCell ref="M279:M280"/>
    <mergeCell ref="N279:N280"/>
    <mergeCell ref="O279:O280"/>
    <mergeCell ref="P279:P280"/>
    <mergeCell ref="Q279:Q280"/>
    <mergeCell ref="R279:R280"/>
    <mergeCell ref="A281:A282"/>
    <mergeCell ref="B281:D282"/>
    <mergeCell ref="E281:E282"/>
    <mergeCell ref="F281:F282"/>
    <mergeCell ref="G281:H282"/>
    <mergeCell ref="I281:I282"/>
    <mergeCell ref="L281:L282"/>
    <mergeCell ref="M281:M282"/>
    <mergeCell ref="N281:N282"/>
    <mergeCell ref="O281:O282"/>
    <mergeCell ref="P281:P282"/>
    <mergeCell ref="Q281:Q282"/>
    <mergeCell ref="R281:R282"/>
    <mergeCell ref="A283:A284"/>
    <mergeCell ref="B283:D284"/>
    <mergeCell ref="E283:E284"/>
    <mergeCell ref="F283:F284"/>
    <mergeCell ref="G283:H284"/>
    <mergeCell ref="I283:I284"/>
    <mergeCell ref="L283:L284"/>
    <mergeCell ref="M283:M284"/>
    <mergeCell ref="N283:N284"/>
    <mergeCell ref="O283:O284"/>
    <mergeCell ref="P283:P284"/>
    <mergeCell ref="Q283:Q284"/>
    <mergeCell ref="R283:R284"/>
    <mergeCell ref="A285:A286"/>
    <mergeCell ref="B285:D286"/>
    <mergeCell ref="E285:E286"/>
    <mergeCell ref="F285:F286"/>
    <mergeCell ref="G285:H286"/>
    <mergeCell ref="I285:I286"/>
    <mergeCell ref="L285:L286"/>
    <mergeCell ref="M285:M286"/>
    <mergeCell ref="N285:N286"/>
    <mergeCell ref="O285:O286"/>
    <mergeCell ref="P285:P286"/>
    <mergeCell ref="Q285:Q286"/>
    <mergeCell ref="R285:R286"/>
    <mergeCell ref="A287:A288"/>
    <mergeCell ref="B287:D288"/>
    <mergeCell ref="E287:E288"/>
    <mergeCell ref="F287:F288"/>
    <mergeCell ref="G287:H288"/>
    <mergeCell ref="I287:I288"/>
    <mergeCell ref="L287:L288"/>
    <mergeCell ref="M287:M288"/>
    <mergeCell ref="N287:N288"/>
    <mergeCell ref="O287:O288"/>
    <mergeCell ref="P287:P288"/>
    <mergeCell ref="Q287:Q288"/>
    <mergeCell ref="R287:R288"/>
    <mergeCell ref="A289:A290"/>
    <mergeCell ref="B289:D290"/>
    <mergeCell ref="E289:E290"/>
    <mergeCell ref="F289:F290"/>
    <mergeCell ref="G289:H290"/>
    <mergeCell ref="I289:I290"/>
    <mergeCell ref="L289:L290"/>
    <mergeCell ref="M289:M290"/>
    <mergeCell ref="N289:N290"/>
    <mergeCell ref="O289:O290"/>
    <mergeCell ref="P289:P290"/>
    <mergeCell ref="Q289:Q290"/>
    <mergeCell ref="R289:R290"/>
    <mergeCell ref="A291:A292"/>
    <mergeCell ref="B291:D292"/>
    <mergeCell ref="E291:E292"/>
    <mergeCell ref="F291:F292"/>
    <mergeCell ref="G291:H292"/>
    <mergeCell ref="I291:I292"/>
    <mergeCell ref="L291:L292"/>
    <mergeCell ref="M291:M292"/>
    <mergeCell ref="N291:N292"/>
    <mergeCell ref="O291:O292"/>
    <mergeCell ref="P291:P292"/>
    <mergeCell ref="Q291:Q292"/>
    <mergeCell ref="R291:R292"/>
    <mergeCell ref="A293:K29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V4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I24" activeCellId="0" sqref="I24"/>
    </sheetView>
  </sheetViews>
  <sheetFormatPr defaultColWidth="9.1484375" defaultRowHeight="14.25" customHeight="true" zeroHeight="false" outlineLevelRow="0" outlineLevelCol="1"/>
  <cols>
    <col collapsed="false" customWidth="true" hidden="false" outlineLevel="0" max="1" min="1" style="89" width="3.29"/>
    <col collapsed="false" customWidth="true" hidden="false" outlineLevel="0" max="2" min="2" style="89" width="46.29"/>
    <col collapsed="false" customWidth="true" hidden="false" outlineLevel="0" max="7" min="3" style="89" width="14.57"/>
    <col collapsed="false" customWidth="true" hidden="false" outlineLevel="0" max="8" min="8" style="89" width="8.57"/>
    <col collapsed="false" customWidth="true" hidden="false" outlineLevel="0" max="9" min="9" style="89" width="10.85"/>
    <col collapsed="false" customWidth="true" hidden="false" outlineLevel="0" max="10" min="10" style="89" width="13.86"/>
    <col collapsed="false" customWidth="true" hidden="false" outlineLevel="1" max="11" min="11" style="89" width="23.71"/>
    <col collapsed="false" customWidth="true" hidden="false" outlineLevel="1" max="12" min="12" style="89" width="12.15"/>
    <col collapsed="false" customWidth="true" hidden="false" outlineLevel="1" max="13" min="13" style="89" width="15.71"/>
    <col collapsed="false" customWidth="true" hidden="false" outlineLevel="1" max="14" min="14" style="90" width="11.29"/>
    <col collapsed="false" customWidth="true" hidden="false" outlineLevel="0" max="15" min="15" style="89" width="11.14"/>
    <col collapsed="false" customWidth="true" hidden="false" outlineLevel="1" max="16" min="16" style="89" width="20.57"/>
    <col collapsed="false" customWidth="true" hidden="false" outlineLevel="1" max="17" min="17" style="89" width="17.57"/>
    <col collapsed="false" customWidth="true" hidden="false" outlineLevel="0" max="18" min="18" style="89" width="15.57"/>
    <col collapsed="false" customWidth="true" hidden="false" outlineLevel="0" max="19" min="19" style="89" width="17.57"/>
    <col collapsed="false" customWidth="true" hidden="true" outlineLevel="0" max="20" min="20" style="89" width="35.85"/>
    <col collapsed="false" customWidth="true" hidden="false" outlineLevel="0" max="21" min="21" style="89" width="57.29"/>
    <col collapsed="false" customWidth="true" hidden="false" outlineLevel="0" max="23" min="22" style="89" width="14.42"/>
    <col collapsed="false" customWidth="false" hidden="false" outlineLevel="0" max="16384" min="24" style="89" width="9.14"/>
  </cols>
  <sheetData>
    <row r="2" customFormat="false" ht="60" hidden="false" customHeight="true" outlineLevel="0" collapsed="false">
      <c r="B2" s="91" t="s">
        <v>3825</v>
      </c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2"/>
      <c r="T2" s="89" t="s">
        <v>3555</v>
      </c>
    </row>
    <row r="3" customFormat="false" ht="39.55" hidden="false" customHeight="false" outlineLevel="0" collapsed="false">
      <c r="H3" s="94"/>
      <c r="I3" s="94"/>
      <c r="J3" s="95" t="s">
        <v>3413</v>
      </c>
      <c r="K3" s="95" t="s">
        <v>75</v>
      </c>
      <c r="L3" s="95" t="s">
        <v>168</v>
      </c>
      <c r="M3" s="95" t="s">
        <v>76</v>
      </c>
      <c r="N3" s="95" t="s">
        <v>169</v>
      </c>
      <c r="O3" s="95" t="s">
        <v>18</v>
      </c>
      <c r="P3" s="95" t="s">
        <v>170</v>
      </c>
      <c r="Q3" s="95" t="s">
        <v>171</v>
      </c>
      <c r="R3" s="96" t="s">
        <v>172</v>
      </c>
      <c r="S3" s="95" t="s">
        <v>173</v>
      </c>
    </row>
    <row r="4" customFormat="false" ht="20.25" hidden="false" customHeight="true" outlineLevel="0" collapsed="false">
      <c r="B4" s="97" t="s">
        <v>174</v>
      </c>
      <c r="C4" s="98" t="s">
        <v>175</v>
      </c>
      <c r="D4" s="98" t="s">
        <v>176</v>
      </c>
      <c r="E4" s="98" t="s">
        <v>62</v>
      </c>
      <c r="F4" s="98" t="s">
        <v>63</v>
      </c>
      <c r="G4" s="98" t="s">
        <v>64</v>
      </c>
      <c r="J4" s="272" t="n">
        <v>45564</v>
      </c>
      <c r="K4" s="272" t="s">
        <v>133</v>
      </c>
      <c r="L4" s="114" t="n">
        <v>45</v>
      </c>
      <c r="M4" s="114" t="s">
        <v>127</v>
      </c>
      <c r="N4" s="273" t="n">
        <v>2</v>
      </c>
      <c r="O4" s="114" t="n">
        <v>15</v>
      </c>
      <c r="P4" s="107" t="n">
        <v>48480</v>
      </c>
      <c r="Q4" s="274" t="n">
        <f aca="false">P4/100/O4</f>
        <v>32.32</v>
      </c>
      <c r="R4" s="107" t="n">
        <v>48330</v>
      </c>
      <c r="S4" s="274" t="n">
        <f aca="false">R4/100/O4</f>
        <v>32.22</v>
      </c>
      <c r="T4" s="322" t="n">
        <v>416</v>
      </c>
      <c r="U4" s="292" t="s">
        <v>3826</v>
      </c>
    </row>
    <row r="5" s="90" customFormat="true" ht="20.25" hidden="false" customHeight="true" outlineLevel="0" collapsed="false">
      <c r="B5" s="105" t="s">
        <v>12</v>
      </c>
      <c r="C5" s="106"/>
      <c r="D5" s="106"/>
      <c r="E5" s="106"/>
      <c r="F5" s="106"/>
      <c r="G5" s="106" t="n">
        <v>45564</v>
      </c>
      <c r="J5" s="272" t="n">
        <v>45565</v>
      </c>
      <c r="K5" s="272" t="s">
        <v>133</v>
      </c>
      <c r="L5" s="114" t="n">
        <v>45</v>
      </c>
      <c r="M5" s="114" t="s">
        <v>127</v>
      </c>
      <c r="N5" s="273" t="n">
        <v>6</v>
      </c>
      <c r="O5" s="114" t="n">
        <v>26</v>
      </c>
      <c r="P5" s="107" t="n">
        <v>128280</v>
      </c>
      <c r="Q5" s="274" t="n">
        <f aca="false">P5/100/O5</f>
        <v>49.3384615384615</v>
      </c>
      <c r="R5" s="107" t="n">
        <v>127840</v>
      </c>
      <c r="S5" s="274" t="n">
        <f aca="false">R5/100/O5</f>
        <v>49.1692307692308</v>
      </c>
      <c r="T5" s="322" t="n">
        <v>680</v>
      </c>
      <c r="U5" s="275" t="s">
        <v>3827</v>
      </c>
    </row>
    <row r="6" customFormat="false" ht="20.25" hidden="false" customHeight="true" outlineLevel="0" collapsed="false">
      <c r="B6" s="105" t="s">
        <v>20</v>
      </c>
      <c r="C6" s="106"/>
      <c r="D6" s="106"/>
      <c r="E6" s="106"/>
      <c r="F6" s="106"/>
      <c r="G6" s="106" t="n">
        <v>45572</v>
      </c>
      <c r="H6" s="109"/>
      <c r="J6" s="272" t="n">
        <v>45566</v>
      </c>
      <c r="K6" s="272" t="s">
        <v>133</v>
      </c>
      <c r="L6" s="114" t="n">
        <v>45</v>
      </c>
      <c r="M6" s="114" t="s">
        <v>127</v>
      </c>
      <c r="N6" s="273" t="n">
        <v>1</v>
      </c>
      <c r="O6" s="114" t="n">
        <v>4</v>
      </c>
      <c r="P6" s="107" t="n">
        <v>20900</v>
      </c>
      <c r="Q6" s="274" t="n">
        <f aca="false">P6/100/O6</f>
        <v>52.25</v>
      </c>
      <c r="R6" s="107" t="n">
        <v>20750</v>
      </c>
      <c r="S6" s="274" t="n">
        <f aca="false">R6/100/O6</f>
        <v>51.875</v>
      </c>
      <c r="T6" s="322" t="n">
        <v>416</v>
      </c>
      <c r="U6" s="275" t="s">
        <v>3828</v>
      </c>
    </row>
    <row r="7" customFormat="false" ht="20.25" hidden="false" customHeight="true" outlineLevel="0" collapsed="false">
      <c r="B7" s="105" t="s">
        <v>178</v>
      </c>
      <c r="C7" s="111"/>
      <c r="D7" s="111"/>
      <c r="E7" s="111"/>
      <c r="F7" s="111"/>
      <c r="G7" s="111" t="n">
        <f aca="false">IF(G6=0,"-",G6-G5+1)</f>
        <v>9</v>
      </c>
      <c r="J7" s="272" t="n">
        <v>45567</v>
      </c>
      <c r="K7" s="272"/>
      <c r="L7" s="114"/>
      <c r="M7" s="114"/>
      <c r="N7" s="273"/>
      <c r="O7" s="114"/>
      <c r="P7" s="107"/>
      <c r="Q7" s="274"/>
      <c r="R7" s="107"/>
      <c r="S7" s="274"/>
      <c r="T7" s="322"/>
    </row>
    <row r="8" customFormat="false" ht="20.25" hidden="false" customHeight="true" outlineLevel="0" collapsed="false">
      <c r="B8" s="105" t="s">
        <v>179</v>
      </c>
      <c r="C8" s="111"/>
      <c r="D8" s="111"/>
      <c r="E8" s="111"/>
      <c r="F8" s="111"/>
      <c r="G8" s="111" t="n">
        <v>6</v>
      </c>
      <c r="J8" s="272" t="n">
        <v>45568</v>
      </c>
      <c r="K8" s="272"/>
      <c r="L8" s="114"/>
      <c r="M8" s="114"/>
      <c r="N8" s="273"/>
      <c r="O8" s="114"/>
      <c r="P8" s="107"/>
      <c r="Q8" s="274"/>
      <c r="R8" s="107"/>
      <c r="S8" s="274"/>
      <c r="T8" s="322"/>
    </row>
    <row r="9" customFormat="false" ht="20.25" hidden="false" customHeight="true" outlineLevel="0" collapsed="false">
      <c r="B9" s="105" t="s">
        <v>181</v>
      </c>
      <c r="C9" s="112"/>
      <c r="D9" s="112"/>
      <c r="E9" s="112"/>
      <c r="F9" s="112"/>
      <c r="G9" s="112" t="s">
        <v>3417</v>
      </c>
      <c r="J9" s="272" t="n">
        <v>45569</v>
      </c>
      <c r="K9" s="272"/>
      <c r="L9" s="114"/>
      <c r="M9" s="114"/>
      <c r="N9" s="273"/>
      <c r="O9" s="114"/>
      <c r="P9" s="107"/>
      <c r="Q9" s="274"/>
      <c r="R9" s="107"/>
      <c r="S9" s="274"/>
      <c r="T9" s="327"/>
    </row>
    <row r="10" customFormat="false" ht="20.25" hidden="false" customHeight="true" outlineLevel="0" collapsed="false">
      <c r="B10" s="105" t="s">
        <v>187</v>
      </c>
      <c r="C10" s="117"/>
      <c r="D10" s="117"/>
      <c r="E10" s="117"/>
      <c r="F10" s="117"/>
      <c r="G10" s="117" t="n">
        <f aca="false">R15/1000</f>
        <v>499.75</v>
      </c>
      <c r="J10" s="272" t="n">
        <v>45570</v>
      </c>
      <c r="K10" s="272" t="s">
        <v>132</v>
      </c>
      <c r="L10" s="114" t="n">
        <v>52</v>
      </c>
      <c r="M10" s="114" t="s">
        <v>127</v>
      </c>
      <c r="N10" s="273" t="n">
        <v>3</v>
      </c>
      <c r="O10" s="114" t="n">
        <v>16.5</v>
      </c>
      <c r="P10" s="107" t="n">
        <v>80760</v>
      </c>
      <c r="Q10" s="274" t="n">
        <f aca="false">P10/100/O10</f>
        <v>48.9454545454545</v>
      </c>
      <c r="R10" s="107" t="n">
        <v>80540</v>
      </c>
      <c r="S10" s="274" t="n">
        <f aca="false">R10/100/O10</f>
        <v>48.8121212121212</v>
      </c>
      <c r="T10" s="322" t="s">
        <v>3829</v>
      </c>
      <c r="U10" s="275" t="s">
        <v>3830</v>
      </c>
    </row>
    <row r="11" customFormat="false" ht="20.25" hidden="false" customHeight="true" outlineLevel="0" collapsed="false">
      <c r="B11" s="105" t="s">
        <v>191</v>
      </c>
      <c r="C11" s="119"/>
      <c r="D11" s="119"/>
      <c r="E11" s="119"/>
      <c r="F11" s="119"/>
      <c r="G11" s="281" t="n">
        <v>169</v>
      </c>
      <c r="I11" s="282"/>
      <c r="J11" s="272"/>
      <c r="K11" s="272" t="s">
        <v>132</v>
      </c>
      <c r="L11" s="114" t="n">
        <v>52</v>
      </c>
      <c r="M11" s="114" t="s">
        <v>87</v>
      </c>
      <c r="N11" s="273" t="n">
        <v>2</v>
      </c>
      <c r="O11" s="114" t="n">
        <v>6.5</v>
      </c>
      <c r="P11" s="107" t="n">
        <v>51900</v>
      </c>
      <c r="Q11" s="274" t="n">
        <f aca="false">P11/100/O11</f>
        <v>79.8461538461538</v>
      </c>
      <c r="R11" s="107" t="n">
        <v>51760</v>
      </c>
      <c r="S11" s="274" t="n">
        <f aca="false">R11/100/O11</f>
        <v>79.6307692307692</v>
      </c>
      <c r="T11" s="322" t="s">
        <v>3831</v>
      </c>
      <c r="U11" s="275"/>
    </row>
    <row r="12" customFormat="false" ht="20.25" hidden="false" customHeight="true" outlineLevel="0" collapsed="false">
      <c r="B12" s="105" t="s">
        <v>18</v>
      </c>
      <c r="C12" s="119"/>
      <c r="D12" s="119"/>
      <c r="E12" s="119"/>
      <c r="F12" s="119"/>
      <c r="G12" s="119" t="n">
        <f aca="false">O15</f>
        <v>112</v>
      </c>
      <c r="H12" s="109"/>
      <c r="J12" s="272" t="n">
        <v>45571</v>
      </c>
      <c r="K12" s="272" t="s">
        <v>132</v>
      </c>
      <c r="L12" s="114" t="n">
        <v>52</v>
      </c>
      <c r="M12" s="114" t="s">
        <v>87</v>
      </c>
      <c r="N12" s="273" t="n">
        <v>5</v>
      </c>
      <c r="O12" s="114" t="n">
        <v>29</v>
      </c>
      <c r="P12" s="107" t="n">
        <f aca="false">140240-P13</f>
        <v>126650</v>
      </c>
      <c r="Q12" s="274" t="n">
        <f aca="false">P12/100/O12</f>
        <v>43.6724137931034</v>
      </c>
      <c r="R12" s="279" t="n">
        <f aca="false">139750-R13</f>
        <v>126220</v>
      </c>
      <c r="S12" s="353" t="n">
        <f aca="false">R12/100/O12</f>
        <v>43.5241379310345</v>
      </c>
      <c r="T12" s="322" t="s">
        <v>3832</v>
      </c>
      <c r="U12" s="275"/>
    </row>
    <row r="13" customFormat="false" ht="20.25" hidden="false" customHeight="true" outlineLevel="0" collapsed="false">
      <c r="B13" s="105" t="s">
        <v>195</v>
      </c>
      <c r="C13" s="120"/>
      <c r="D13" s="120"/>
      <c r="E13" s="120"/>
      <c r="F13" s="120"/>
      <c r="G13" s="120" t="n">
        <f aca="false">IFERROR(G10/O15*10,0)</f>
        <v>44.6205357142857</v>
      </c>
      <c r="J13" s="272"/>
      <c r="K13" s="272" t="s">
        <v>3833</v>
      </c>
      <c r="L13" s="114" t="n">
        <v>72</v>
      </c>
      <c r="M13" s="114" t="s">
        <v>87</v>
      </c>
      <c r="N13" s="273" t="n">
        <v>1</v>
      </c>
      <c r="O13" s="114" t="n">
        <v>1</v>
      </c>
      <c r="P13" s="107" t="n">
        <f aca="false">27180/2</f>
        <v>13590</v>
      </c>
      <c r="Q13" s="274" t="n">
        <f aca="false">P13/100/O13</f>
        <v>135.9</v>
      </c>
      <c r="R13" s="279" t="n">
        <f aca="false">27060/2</f>
        <v>13530</v>
      </c>
      <c r="S13" s="353" t="n">
        <f aca="false">R13/100/O13</f>
        <v>135.3</v>
      </c>
      <c r="T13" s="322" t="s">
        <v>3834</v>
      </c>
      <c r="U13" s="275"/>
    </row>
    <row r="14" customFormat="false" ht="20.25" hidden="false" customHeight="true" outlineLevel="0" collapsed="false">
      <c r="B14" s="105"/>
      <c r="C14" s="121"/>
      <c r="D14" s="121"/>
      <c r="E14" s="121"/>
      <c r="F14" s="121"/>
      <c r="G14" s="121"/>
      <c r="J14" s="272" t="n">
        <v>45572</v>
      </c>
      <c r="K14" s="272" t="s">
        <v>3833</v>
      </c>
      <c r="L14" s="114" t="n">
        <v>72</v>
      </c>
      <c r="M14" s="114" t="s">
        <v>87</v>
      </c>
      <c r="N14" s="273" t="n">
        <v>1</v>
      </c>
      <c r="O14" s="114" t="n">
        <v>14</v>
      </c>
      <c r="P14" s="107" t="n">
        <v>30900</v>
      </c>
      <c r="Q14" s="274" t="n">
        <f aca="false">P14/100/O14</f>
        <v>22.0714285714286</v>
      </c>
      <c r="R14" s="279" t="n">
        <v>30780</v>
      </c>
      <c r="S14" s="353" t="n">
        <f aca="false">R14/100/O14</f>
        <v>21.9857142857143</v>
      </c>
      <c r="T14" s="322" t="n">
        <v>258</v>
      </c>
      <c r="U14" s="275"/>
    </row>
    <row r="15" customFormat="false" ht="20.25" hidden="false" customHeight="true" outlineLevel="0" collapsed="false">
      <c r="J15" s="95" t="s">
        <v>149</v>
      </c>
      <c r="K15" s="95"/>
      <c r="L15" s="95"/>
      <c r="M15" s="95"/>
      <c r="N15" s="95" t="n">
        <f aca="false">SUM(N4:N14)</f>
        <v>21</v>
      </c>
      <c r="O15" s="129" t="n">
        <f aca="false">SUM(O4:O14)</f>
        <v>112</v>
      </c>
      <c r="P15" s="130" t="n">
        <f aca="false">SUM(P4:P14)</f>
        <v>501460</v>
      </c>
      <c r="Q15" s="131" t="n">
        <f aca="false">P15/O15/100</f>
        <v>44.7732142857143</v>
      </c>
      <c r="R15" s="130" t="n">
        <f aca="false">SUM(R4:R14)</f>
        <v>499750</v>
      </c>
      <c r="S15" s="131" t="n">
        <f aca="false">R15/O15/100</f>
        <v>44.6205357142857</v>
      </c>
      <c r="T15" s="322"/>
      <c r="U15" s="286"/>
    </row>
    <row r="16" s="122" customFormat="true" ht="17.35" hidden="false" customHeight="false" outlineLevel="0" collapsed="false">
      <c r="B16" s="123" t="s">
        <v>201</v>
      </c>
      <c r="C16" s="124"/>
      <c r="D16" s="94"/>
      <c r="E16" s="94"/>
      <c r="F16" s="94"/>
      <c r="G16" s="94"/>
      <c r="J16" s="89"/>
      <c r="K16" s="89"/>
      <c r="L16" s="89"/>
      <c r="M16" s="89"/>
      <c r="N16" s="90"/>
      <c r="O16" s="89"/>
      <c r="P16" s="89"/>
      <c r="Q16" s="89"/>
      <c r="R16" s="89"/>
      <c r="S16" s="89"/>
      <c r="T16" s="322"/>
      <c r="U16" s="89"/>
    </row>
    <row r="17" customFormat="false" ht="17.25" hidden="false" customHeight="true" outlineLevel="0" collapsed="false">
      <c r="B17" s="105" t="s">
        <v>16</v>
      </c>
      <c r="C17" s="117" t="n">
        <v>3042</v>
      </c>
      <c r="D17" s="120" t="n">
        <f aca="false">C17/G11*10</f>
        <v>180</v>
      </c>
      <c r="T17" s="327"/>
    </row>
    <row r="18" customFormat="false" ht="17.25" hidden="false" customHeight="true" outlineLevel="0" collapsed="false">
      <c r="B18" s="125" t="s">
        <v>202</v>
      </c>
      <c r="C18" s="126" t="n">
        <v>3042</v>
      </c>
      <c r="D18" s="127" t="n">
        <f aca="false">C18/G11*10</f>
        <v>180</v>
      </c>
      <c r="E18" s="354"/>
      <c r="F18" s="354"/>
      <c r="G18" s="354"/>
      <c r="H18" s="354"/>
      <c r="T18" s="322"/>
    </row>
    <row r="19" customFormat="false" ht="17.25" hidden="false" customHeight="true" outlineLevel="0" collapsed="false">
      <c r="B19" s="355" t="s">
        <v>3835</v>
      </c>
      <c r="C19" s="356" t="n">
        <v>2366</v>
      </c>
      <c r="D19" s="357" t="n">
        <f aca="false">C19/G11*10</f>
        <v>140</v>
      </c>
      <c r="E19" s="358"/>
      <c r="F19" s="358"/>
      <c r="G19" s="358"/>
      <c r="H19" s="94"/>
      <c r="O19" s="142"/>
      <c r="P19" s="142"/>
      <c r="Q19" s="142"/>
      <c r="R19" s="142"/>
      <c r="T19" s="322"/>
    </row>
    <row r="20" customFormat="false" ht="17.25" hidden="false" customHeight="true" outlineLevel="0" collapsed="false">
      <c r="B20" s="259" t="s">
        <v>17</v>
      </c>
      <c r="C20" s="143" t="n">
        <f aca="false">R15/1000</f>
        <v>499.75</v>
      </c>
      <c r="D20" s="359" t="n">
        <f aca="false">C20/O15*10</f>
        <v>44.6205357142857</v>
      </c>
      <c r="E20" s="287" t="n">
        <f aca="false">O15</f>
        <v>112</v>
      </c>
      <c r="O20" s="142"/>
      <c r="P20" s="110"/>
      <c r="R20" s="110"/>
      <c r="T20" s="322"/>
    </row>
    <row r="21" customFormat="false" ht="17.25" hidden="false" customHeight="true" outlineLevel="0" collapsed="false">
      <c r="B21" s="105" t="s">
        <v>3836</v>
      </c>
      <c r="C21" s="133" t="n">
        <f aca="false">C20/C17</f>
        <v>0.164283366206443</v>
      </c>
      <c r="D21" s="134"/>
      <c r="G21" s="135"/>
      <c r="R21" s="110"/>
      <c r="T21" s="322"/>
    </row>
    <row r="22" customFormat="false" ht="17.25" hidden="false" customHeight="true" outlineLevel="0" collapsed="false">
      <c r="B22" s="105" t="s">
        <v>3837</v>
      </c>
      <c r="C22" s="133" t="n">
        <f aca="false">C20/C18</f>
        <v>0.164283366206443</v>
      </c>
      <c r="D22" s="134"/>
      <c r="G22" s="135"/>
      <c r="R22" s="110"/>
      <c r="T22" s="322"/>
    </row>
    <row r="23" customFormat="false" ht="17.25" hidden="false" customHeight="true" outlineLevel="0" collapsed="false">
      <c r="B23" s="105" t="s">
        <v>205</v>
      </c>
      <c r="C23" s="133" t="n">
        <f aca="false">O15/G11</f>
        <v>0.662721893491124</v>
      </c>
      <c r="E23" s="258" t="n">
        <f aca="false">G11-E20</f>
        <v>57</v>
      </c>
      <c r="F23" s="284" t="s">
        <v>3838</v>
      </c>
      <c r="G23" s="284"/>
      <c r="T23" s="322"/>
      <c r="V23" s="110"/>
    </row>
    <row r="24" customFormat="false" ht="17.25" hidden="false" customHeight="true" outlineLevel="0" collapsed="false">
      <c r="B24" s="105"/>
      <c r="C24" s="133"/>
      <c r="G24" s="135"/>
      <c r="T24" s="322"/>
      <c r="V24" s="110"/>
    </row>
    <row r="25" customFormat="false" ht="17.25" hidden="false" customHeight="true" outlineLevel="0" collapsed="false">
      <c r="B25" s="105"/>
      <c r="C25" s="133"/>
      <c r="G25" s="135"/>
      <c r="T25" s="322"/>
      <c r="V25" s="110"/>
    </row>
    <row r="26" customFormat="false" ht="17.25" hidden="false" customHeight="true" outlineLevel="0" collapsed="false">
      <c r="B26" s="105"/>
      <c r="C26" s="133"/>
      <c r="G26" s="135"/>
      <c r="T26" s="322"/>
      <c r="V26" s="110"/>
    </row>
    <row r="27" customFormat="false" ht="17.25" hidden="false" customHeight="true" outlineLevel="0" collapsed="false">
      <c r="B27" s="105"/>
      <c r="C27" s="133"/>
      <c r="G27" s="135"/>
      <c r="T27" s="322"/>
      <c r="V27" s="110"/>
    </row>
    <row r="28" customFormat="false" ht="17.25" hidden="false" customHeight="true" outlineLevel="0" collapsed="false">
      <c r="B28" s="105"/>
      <c r="C28" s="315"/>
      <c r="G28" s="135"/>
      <c r="T28" s="322"/>
      <c r="V28" s="110"/>
    </row>
    <row r="29" customFormat="false" ht="17.25" hidden="false" customHeight="true" outlineLevel="0" collapsed="false">
      <c r="B29" s="105"/>
      <c r="C29" s="133"/>
      <c r="G29" s="135"/>
      <c r="T29" s="322"/>
      <c r="V29" s="110"/>
    </row>
    <row r="30" customFormat="false" ht="17.25" hidden="false" customHeight="true" outlineLevel="0" collapsed="false">
      <c r="B30" s="105"/>
      <c r="C30" s="133"/>
      <c r="G30" s="135"/>
      <c r="T30" s="322"/>
      <c r="V30" s="110"/>
    </row>
    <row r="31" customFormat="false" ht="17.25" hidden="false" customHeight="true" outlineLevel="0" collapsed="false">
      <c r="B31" s="105"/>
      <c r="C31" s="133"/>
      <c r="G31" s="135"/>
      <c r="T31" s="322"/>
      <c r="V31" s="110"/>
    </row>
    <row r="32" customFormat="false" ht="17.25" hidden="false" customHeight="true" outlineLevel="0" collapsed="false">
      <c r="B32" s="105"/>
      <c r="C32" s="133"/>
      <c r="G32" s="135"/>
      <c r="T32" s="322"/>
      <c r="V32" s="110"/>
    </row>
    <row r="33" customFormat="false" ht="17.25" hidden="false" customHeight="true" outlineLevel="0" collapsed="false">
      <c r="B33" s="105"/>
      <c r="C33" s="133"/>
      <c r="G33" s="135"/>
      <c r="T33" s="322"/>
      <c r="V33" s="110"/>
    </row>
    <row r="34" customFormat="false" ht="17.25" hidden="false" customHeight="true" outlineLevel="0" collapsed="false">
      <c r="B34" s="105"/>
      <c r="C34" s="133"/>
      <c r="G34" s="135"/>
      <c r="T34" s="322"/>
      <c r="V34" s="110"/>
    </row>
    <row r="35" customFormat="false" ht="17.25" hidden="false" customHeight="true" outlineLevel="0" collapsed="false">
      <c r="B35" s="105"/>
      <c r="C35" s="133"/>
      <c r="G35" s="135"/>
      <c r="T35" s="322"/>
      <c r="V35" s="110"/>
    </row>
    <row r="36" customFormat="false" ht="17.25" hidden="false" customHeight="true" outlineLevel="0" collapsed="false">
      <c r="B36" s="105"/>
      <c r="C36" s="133"/>
      <c r="G36" s="135"/>
      <c r="V36" s="110"/>
    </row>
    <row r="37" customFormat="false" ht="14.25" hidden="false" customHeight="false" outlineLevel="0" collapsed="false">
      <c r="G37" s="136"/>
      <c r="T37" s="322"/>
    </row>
    <row r="38" customFormat="false" ht="14.25" hidden="false" customHeight="false" outlineLevel="0" collapsed="false">
      <c r="C38" s="149"/>
    </row>
    <row r="39" customFormat="false" ht="14.25" hidden="false" customHeight="false" outlineLevel="0" collapsed="false">
      <c r="T39" s="322"/>
    </row>
    <row r="40" customFormat="false" ht="14.25" hidden="false" customHeight="false" outlineLevel="0" collapsed="false">
      <c r="C40" s="149"/>
    </row>
    <row r="43" customFormat="false" ht="14.25" hidden="false" customHeight="false" outlineLevel="0" collapsed="false">
      <c r="T43" s="322"/>
    </row>
    <row r="45" customFormat="false" ht="14.25" hidden="false" customHeight="false" outlineLevel="0" collapsed="false">
      <c r="T45" s="322"/>
    </row>
    <row r="46" customFormat="false" ht="16.5" hidden="false" customHeight="true" outlineLevel="0" collapsed="false"/>
  </sheetData>
  <autoFilter ref="J3:S15"/>
  <mergeCells count="4">
    <mergeCell ref="B2:R2"/>
    <mergeCell ref="E18:H18"/>
    <mergeCell ref="E19:G19"/>
    <mergeCell ref="F23:G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69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1" topLeftCell="A53" activePane="bottomLeft" state="frozen"/>
      <selection pane="topLeft" activeCell="A1" activeCellId="0" sqref="A1"/>
      <selection pane="bottomLeft" activeCell="N77" activeCellId="0" sqref="N77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3.29"/>
    <col collapsed="false" customWidth="true" hidden="true" outlineLevel="0" max="2" min="2" style="0" width="15"/>
    <col collapsed="false" customWidth="true" hidden="true" outlineLevel="0" max="3" min="3" style="0" width="15.85"/>
    <col collapsed="false" customWidth="true" hidden="false" outlineLevel="0" max="4" min="4" style="0" width="17"/>
    <col collapsed="false" customWidth="true" hidden="false" outlineLevel="0" max="6" min="5" style="0" width="14.29"/>
    <col collapsed="false" customWidth="true" hidden="true" outlineLevel="0" max="7" min="7" style="0" width="14.29"/>
    <col collapsed="false" customWidth="true" hidden="false" outlineLevel="0" max="8" min="8" style="0" width="27.71"/>
    <col collapsed="false" customWidth="true" hidden="false" outlineLevel="0" max="9" min="9" style="0" width="14.29"/>
    <col collapsed="false" customWidth="true" hidden="false" outlineLevel="0" max="10" min="10" style="0" width="12.29"/>
    <col collapsed="false" customWidth="true" hidden="true" outlineLevel="0" max="11" min="11" style="0" width="23.71"/>
    <col collapsed="false" customWidth="true" hidden="false" outlineLevel="0" max="12" min="12" style="0" width="14.57"/>
    <col collapsed="false" customWidth="true" hidden="true" outlineLevel="0" max="13" min="13" style="0" width="16.85"/>
    <col collapsed="false" customWidth="true" hidden="false" outlineLevel="0" max="14" min="14" style="0" width="16.29"/>
    <col collapsed="false" customWidth="true" hidden="false" outlineLevel="0" max="15" min="15" style="0" width="12.71"/>
    <col collapsed="false" customWidth="true" hidden="false" outlineLevel="0" max="16" min="16" style="23" width="10.71"/>
    <col collapsed="false" customWidth="true" hidden="false" outlineLevel="0" max="17" min="17" style="26" width="17.29"/>
    <col collapsed="false" customWidth="true" hidden="false" outlineLevel="0" max="18" min="18" style="26" width="17.15"/>
    <col collapsed="false" customWidth="true" hidden="false" outlineLevel="0" max="19" min="19" style="360" width="15.85"/>
    <col collapsed="false" customWidth="true" hidden="false" outlineLevel="0" max="20" min="20" style="360" width="18.29"/>
    <col collapsed="false" customWidth="true" hidden="false" outlineLevel="0" max="21" min="21" style="23" width="13.86"/>
    <col collapsed="false" customWidth="true" hidden="false" outlineLevel="0" max="22" min="22" style="0" width="88.71"/>
  </cols>
  <sheetData>
    <row r="1" s="365" customFormat="true" ht="51.75" hidden="false" customHeight="true" outlineLevel="0" collapsed="false">
      <c r="A1" s="361" t="s">
        <v>211</v>
      </c>
      <c r="B1" s="361" t="s">
        <v>3839</v>
      </c>
      <c r="C1" s="361" t="s">
        <v>3840</v>
      </c>
      <c r="D1" s="361" t="s">
        <v>3841</v>
      </c>
      <c r="E1" s="361" t="s">
        <v>3842</v>
      </c>
      <c r="F1" s="361" t="s">
        <v>3843</v>
      </c>
      <c r="G1" s="361" t="s">
        <v>3844</v>
      </c>
      <c r="H1" s="361" t="s">
        <v>3845</v>
      </c>
      <c r="I1" s="361" t="s">
        <v>3846</v>
      </c>
      <c r="J1" s="361" t="s">
        <v>3847</v>
      </c>
      <c r="K1" s="361" t="s">
        <v>3848</v>
      </c>
      <c r="L1" s="361" t="s">
        <v>3849</v>
      </c>
      <c r="M1" s="361" t="s">
        <v>3850</v>
      </c>
      <c r="N1" s="361" t="s">
        <v>49</v>
      </c>
      <c r="O1" s="361" t="s">
        <v>3851</v>
      </c>
      <c r="P1" s="362" t="s">
        <v>3852</v>
      </c>
      <c r="Q1" s="363" t="s">
        <v>3853</v>
      </c>
      <c r="R1" s="363" t="s">
        <v>3854</v>
      </c>
      <c r="S1" s="364" t="s">
        <v>3855</v>
      </c>
      <c r="T1" s="364" t="s">
        <v>3856</v>
      </c>
      <c r="U1" s="362" t="s">
        <v>3857</v>
      </c>
      <c r="V1" s="361" t="s">
        <v>3355</v>
      </c>
    </row>
    <row r="2" customFormat="false" ht="15" hidden="true" customHeight="false" outlineLevel="0" collapsed="false">
      <c r="A2" s="0" t="s">
        <v>3858</v>
      </c>
      <c r="B2" s="0" t="s">
        <v>3859</v>
      </c>
      <c r="C2" s="0" t="s">
        <v>3860</v>
      </c>
      <c r="E2" s="15" t="n">
        <v>45407</v>
      </c>
      <c r="F2" s="15" t="n">
        <f aca="false">Таблица1[[#This Row],[Дата сева агро]]+84</f>
        <v>45491</v>
      </c>
      <c r="G2" s="15"/>
      <c r="H2" s="366" t="s">
        <v>3861</v>
      </c>
      <c r="I2" s="15" t="s">
        <v>36</v>
      </c>
      <c r="J2" s="0" t="s">
        <v>164</v>
      </c>
      <c r="K2" s="0" t="s">
        <v>91</v>
      </c>
      <c r="L2" s="0" t="n">
        <v>12</v>
      </c>
      <c r="N2" s="0" t="n">
        <v>12</v>
      </c>
      <c r="O2" s="0" t="n">
        <f aca="false">Таблица1[[#This Row],[Площадь сева, га]]-Таблица1[[#This Row],[Площадь уборки, га]]</f>
        <v>0</v>
      </c>
      <c r="P2" s="23" t="n">
        <f aca="false">Таблица1[[#This Row],[Площадь уборки, га]]/Таблица1[[#This Row],[Площадь сева, га]]</f>
        <v>1</v>
      </c>
      <c r="Q2" s="26" t="n">
        <v>12.456</v>
      </c>
      <c r="R2" s="26" t="n">
        <f aca="false">IFERROR(Таблица1[[#This Row],[Валовый сбор фактический, т]]/Таблица1[[#This Row],[Площадь уборки, га]],"-")</f>
        <v>11.2078333333333</v>
      </c>
      <c r="S2" s="26" t="n">
        <f aca="false">Таблица1[[#This Row],[Урожайность плановая, т/га]]*Таблица1[[#This Row],[Площадь сева, га]]</f>
        <v>149.472</v>
      </c>
      <c r="T2" s="360" t="n">
        <f aca="false">(75560+58934)/1000</f>
        <v>134.494</v>
      </c>
      <c r="U2" s="23" t="n">
        <f aca="false">IFERROR(Таблица1[[#This Row],[Валовый сбор фактический, т]]/Таблица1[[#This Row],[Валовый сбор плановый, т]],"-")</f>
        <v>0.899793941340184</v>
      </c>
    </row>
    <row r="3" customFormat="false" ht="15" hidden="true" customHeight="false" outlineLevel="0" collapsed="false">
      <c r="A3" s="0" t="s">
        <v>3858</v>
      </c>
      <c r="B3" s="0" t="s">
        <v>3859</v>
      </c>
      <c r="C3" s="0" t="s">
        <v>3860</v>
      </c>
      <c r="E3" s="15" t="n">
        <v>45408</v>
      </c>
      <c r="F3" s="15" t="n">
        <f aca="false">Таблица1[[#This Row],[Дата сева агро]]+84</f>
        <v>45492</v>
      </c>
      <c r="G3" s="15"/>
      <c r="H3" s="366" t="s">
        <v>3862</v>
      </c>
      <c r="I3" s="15" t="s">
        <v>36</v>
      </c>
      <c r="J3" s="0" t="s">
        <v>164</v>
      </c>
      <c r="K3" s="0" t="s">
        <v>91</v>
      </c>
      <c r="L3" s="0" t="n">
        <v>30</v>
      </c>
      <c r="N3" s="0" t="n">
        <v>30</v>
      </c>
      <c r="O3" s="0" t="n">
        <f aca="false">Таблица1[[#This Row],[Площадь сева, га]]-Таблица1[[#This Row],[Площадь уборки, га]]</f>
        <v>0</v>
      </c>
      <c r="P3" s="23" t="n">
        <f aca="false">Таблица1[[#This Row],[Площадь уборки, га]]/Таблица1[[#This Row],[Площадь сева, га]]</f>
        <v>1</v>
      </c>
      <c r="Q3" s="26" t="n">
        <v>12.456</v>
      </c>
      <c r="R3" s="26" t="n">
        <f aca="false">IFERROR(Таблица1[[#This Row],[Валовый сбор фактический, т]]/Таблица1[[#This Row],[Площадь уборки, га]],"-")</f>
        <v>12.9423666666667</v>
      </c>
      <c r="S3" s="26" t="n">
        <f aca="false">Таблица1[[#This Row],[Урожайность плановая, т/га]]*Таблица1[[#This Row],[Площадь сева, га]]</f>
        <v>373.68</v>
      </c>
      <c r="T3" s="360" t="n">
        <f aca="false">(157156+231115)/1000</f>
        <v>388.271</v>
      </c>
      <c r="U3" s="23" t="n">
        <f aca="false">IFERROR(Таблица1[[#This Row],[Валовый сбор фактический, т]]/Таблица1[[#This Row],[Валовый сбор плановый, т]],"-")</f>
        <v>1.03904677799186</v>
      </c>
    </row>
    <row r="4" customFormat="false" ht="15" hidden="true" customHeight="false" outlineLevel="0" collapsed="false">
      <c r="A4" s="0" t="s">
        <v>3858</v>
      </c>
      <c r="B4" s="0" t="s">
        <v>3859</v>
      </c>
      <c r="C4" s="0" t="s">
        <v>3860</v>
      </c>
      <c r="D4" s="0" t="str">
        <f aca="false">Таблица1[[#This Row],[Номер поля агро уточн]]</f>
        <v>Поле-4</v>
      </c>
      <c r="E4" s="15" t="n">
        <v>45409</v>
      </c>
      <c r="F4" s="15" t="n">
        <f aca="false">Таблица1[[#This Row],[Дата сева агро]]+84</f>
        <v>45493</v>
      </c>
      <c r="G4" s="15"/>
      <c r="H4" s="366" t="s">
        <v>3863</v>
      </c>
      <c r="I4" s="15" t="s">
        <v>36</v>
      </c>
      <c r="J4" s="0" t="s">
        <v>164</v>
      </c>
      <c r="K4" s="0" t="s">
        <v>91</v>
      </c>
      <c r="L4" s="0" t="n">
        <v>13</v>
      </c>
      <c r="N4" s="0" t="n">
        <v>11</v>
      </c>
      <c r="O4" s="0" t="n">
        <f aca="false">Таблица1[[#This Row],[Площадь сева, га]]-Таблица1[[#This Row],[Площадь уборки, га]]</f>
        <v>2</v>
      </c>
      <c r="P4" s="23" t="n">
        <f aca="false">Таблица1[[#This Row],[Площадь уборки, га]]/Таблица1[[#This Row],[Площадь сева, га]]</f>
        <v>0.846153846153846</v>
      </c>
      <c r="Q4" s="26" t="n">
        <v>12.456</v>
      </c>
      <c r="R4" s="26" t="n">
        <f aca="false">IFERROR(Таблица1[[#This Row],[Валовый сбор фактический, т]]/Таблица1[[#This Row],[Площадь уборки, га]],"-")</f>
        <v>15.5822727272727</v>
      </c>
      <c r="S4" s="26" t="n">
        <f aca="false">Таблица1[[#This Row],[Урожайность плановая, т/га]]*Таблица1[[#This Row],[Площадь сева, га]]</f>
        <v>161.928</v>
      </c>
      <c r="T4" s="360" t="n">
        <f aca="false">(132065+39340)/1000</f>
        <v>171.405</v>
      </c>
      <c r="U4" s="23" t="n">
        <f aca="false">IFERROR(Таблица1[[#This Row],[Валовый сбор фактический, т]]/Таблица1[[#This Row],[Валовый сбор плановый, т]],"-")</f>
        <v>1.05852601156069</v>
      </c>
    </row>
    <row r="5" customFormat="false" ht="15" hidden="true" customHeight="false" outlineLevel="0" collapsed="false">
      <c r="A5" s="0" t="s">
        <v>3858</v>
      </c>
      <c r="B5" s="0" t="s">
        <v>3859</v>
      </c>
      <c r="C5" s="0" t="s">
        <v>3860</v>
      </c>
      <c r="D5" s="0" t="str">
        <f aca="false">Таблица1[[#This Row],[Номер поля агро уточн]]</f>
        <v>Поле-4</v>
      </c>
      <c r="E5" s="15" t="n">
        <v>45409</v>
      </c>
      <c r="F5" s="15" t="n">
        <f aca="false">Таблица1[[#This Row],[Дата сева агро]]+84</f>
        <v>45493</v>
      </c>
      <c r="G5" s="15"/>
      <c r="H5" s="366" t="n">
        <v>45509</v>
      </c>
      <c r="I5" s="15" t="s">
        <v>36</v>
      </c>
      <c r="J5" s="0" t="s">
        <v>161</v>
      </c>
      <c r="K5" s="0" t="s">
        <v>85</v>
      </c>
      <c r="L5" s="0" t="n">
        <v>5</v>
      </c>
      <c r="N5" s="0" t="n">
        <v>5</v>
      </c>
      <c r="O5" s="0" t="n">
        <f aca="false">Таблица1[[#This Row],[Площадь сева, га]]-Таблица1[[#This Row],[Площадь уборки, га]]</f>
        <v>0</v>
      </c>
      <c r="P5" s="23" t="n">
        <f aca="false">Таблица1[[#This Row],[Площадь уборки, га]]/Таблица1[[#This Row],[Площадь сева, га]]</f>
        <v>1</v>
      </c>
      <c r="Q5" s="26" t="n">
        <v>12.456</v>
      </c>
      <c r="R5" s="26" t="n">
        <f aca="false">IFERROR(Таблица1[[#This Row],[Валовый сбор фактический, т]]/Таблица1[[#This Row],[Площадь уборки, га]],"-")</f>
        <v>13.5872</v>
      </c>
      <c r="S5" s="26" t="n">
        <f aca="false">Таблица1[[#This Row],[Урожайность плановая, т/га]]*Таблица1[[#This Row],[Площадь сева, га]]</f>
        <v>62.28</v>
      </c>
      <c r="T5" s="360" t="n">
        <f aca="false">67936/1000</f>
        <v>67.936</v>
      </c>
      <c r="U5" s="23" t="n">
        <f aca="false">IFERROR(Таблица1[[#This Row],[Валовый сбор фактический, т]]/Таблица1[[#This Row],[Валовый сбор плановый, т]],"-")</f>
        <v>1.09081567116249</v>
      </c>
    </row>
    <row r="6" customFormat="false" ht="15" hidden="true" customHeight="false" outlineLevel="0" collapsed="false">
      <c r="A6" s="0" t="s">
        <v>3858</v>
      </c>
      <c r="B6" s="0" t="s">
        <v>3860</v>
      </c>
      <c r="C6" s="0" t="s">
        <v>3860</v>
      </c>
      <c r="D6" s="0" t="str">
        <f aca="false">Таблица1[[#This Row],[Номер поля агро уточн]]</f>
        <v>Поле-4</v>
      </c>
      <c r="E6" s="15" t="n">
        <v>45409</v>
      </c>
      <c r="F6" s="15" t="n">
        <f aca="false">Таблица1[[#This Row],[Дата сева агро]]+84</f>
        <v>45493</v>
      </c>
      <c r="G6" s="15"/>
      <c r="H6" s="366" t="s">
        <v>3864</v>
      </c>
      <c r="I6" s="15" t="s">
        <v>36</v>
      </c>
      <c r="J6" s="0" t="s">
        <v>161</v>
      </c>
      <c r="K6" s="0" t="s">
        <v>85</v>
      </c>
      <c r="L6" s="0" t="n">
        <v>16</v>
      </c>
      <c r="N6" s="0" t="n">
        <v>16</v>
      </c>
      <c r="O6" s="0" t="n">
        <f aca="false">Таблица1[[#This Row],[Площадь сева, га]]-Таблица1[[#This Row],[Площадь уборки, га]]</f>
        <v>0</v>
      </c>
      <c r="P6" s="23" t="n">
        <f aca="false">Таблица1[[#This Row],[Площадь уборки, га]]/Таблица1[[#This Row],[Площадь сева, га]]</f>
        <v>1</v>
      </c>
      <c r="Q6" s="26" t="n">
        <v>12.456</v>
      </c>
      <c r="R6" s="26" t="n">
        <f aca="false">IFERROR(Таблица1[[#This Row],[Валовый сбор фактический, т]]/Таблица1[[#This Row],[Площадь уборки, га]],"-")</f>
        <v>13.5871875</v>
      </c>
      <c r="S6" s="26" t="n">
        <f aca="false">Таблица1[[#This Row],[Урожайность плановая, т/га]]*Таблица1[[#This Row],[Площадь сева, га]]</f>
        <v>199.296</v>
      </c>
      <c r="T6" s="360" t="n">
        <f aca="false">217395/1000</f>
        <v>217.395</v>
      </c>
      <c r="U6" s="23" t="n">
        <f aca="false">IFERROR(Таблица1[[#This Row],[Валовый сбор фактический, т]]/Таблица1[[#This Row],[Валовый сбор плановый, т]],"-")</f>
        <v>1.09081466763006</v>
      </c>
    </row>
    <row r="7" customFormat="false" ht="15" hidden="true" customHeight="false" outlineLevel="0" collapsed="false">
      <c r="A7" s="0" t="s">
        <v>3858</v>
      </c>
      <c r="B7" s="0" t="s">
        <v>3860</v>
      </c>
      <c r="C7" s="0" t="s">
        <v>3860</v>
      </c>
      <c r="D7" s="0" t="str">
        <f aca="false">Таблица1[[#This Row],[Номер поля агро уточн]]</f>
        <v>Поле-4</v>
      </c>
      <c r="E7" s="15" t="n">
        <v>45410</v>
      </c>
      <c r="F7" s="15" t="n">
        <f aca="false">Таблица1[[#This Row],[Дата сева агро]]+84</f>
        <v>45494</v>
      </c>
      <c r="G7" s="15"/>
      <c r="H7" s="366" t="n">
        <v>45510</v>
      </c>
      <c r="I7" s="15" t="s">
        <v>36</v>
      </c>
      <c r="J7" s="0" t="s">
        <v>161</v>
      </c>
      <c r="K7" s="0" t="s">
        <v>85</v>
      </c>
      <c r="L7" s="0" t="n">
        <v>9</v>
      </c>
      <c r="N7" s="0" t="n">
        <v>9</v>
      </c>
      <c r="O7" s="0" t="n">
        <f aca="false">Таблица1[[#This Row],[Площадь сева, га]]-Таблица1[[#This Row],[Площадь уборки, га]]</f>
        <v>0</v>
      </c>
      <c r="P7" s="23" t="n">
        <f aca="false">Таблица1[[#This Row],[Площадь уборки, га]]/Таблица1[[#This Row],[Площадь сева, га]]</f>
        <v>1</v>
      </c>
      <c r="Q7" s="26" t="n">
        <v>12.456</v>
      </c>
      <c r="R7" s="26" t="n">
        <f aca="false">IFERROR(Таблица1[[#This Row],[Валовый сбор фактический, т]]/Таблица1[[#This Row],[Площадь уборки, га]],"-")</f>
        <v>10.918</v>
      </c>
      <c r="S7" s="26" t="n">
        <f aca="false">Таблица1[[#This Row],[Урожайность плановая, т/га]]*Таблица1[[#This Row],[Площадь сева, га]]</f>
        <v>112.104</v>
      </c>
      <c r="T7" s="360" t="n">
        <f aca="false">(54349+43933-20)/1000</f>
        <v>98.262</v>
      </c>
      <c r="U7" s="23" t="n">
        <f aca="false">IFERROR(Таблица1[[#This Row],[Валовый сбор фактический, т]]/Таблица1[[#This Row],[Валовый сбор плановый, т]],"-")</f>
        <v>0.876525369299936</v>
      </c>
    </row>
    <row r="8" customFormat="false" ht="15" hidden="true" customHeight="false" outlineLevel="0" collapsed="false">
      <c r="A8" s="0" t="s">
        <v>3858</v>
      </c>
      <c r="B8" s="0" t="s">
        <v>3860</v>
      </c>
      <c r="C8" s="0" t="s">
        <v>3860</v>
      </c>
      <c r="D8" s="0" t="str">
        <f aca="false">Таблица1[[#This Row],[Номер поля агро уточн]]</f>
        <v>Поле-4</v>
      </c>
      <c r="E8" s="15" t="n">
        <v>45414</v>
      </c>
      <c r="F8" s="15" t="n">
        <f aca="false">Таблица1[[#This Row],[Дата сева агро]]+84</f>
        <v>45498</v>
      </c>
      <c r="G8" s="15"/>
      <c r="H8" s="366" t="n">
        <v>45512</v>
      </c>
      <c r="I8" s="15" t="s">
        <v>36</v>
      </c>
      <c r="J8" s="0" t="s">
        <v>161</v>
      </c>
      <c r="K8" s="0" t="s">
        <v>85</v>
      </c>
      <c r="L8" s="0" t="n">
        <v>34</v>
      </c>
      <c r="N8" s="0" t="n">
        <v>34</v>
      </c>
      <c r="O8" s="0" t="n">
        <f aca="false">Таблица1[[#This Row],[Площадь сева, га]]-Таблица1[[#This Row],[Площадь уборки, га]]</f>
        <v>0</v>
      </c>
      <c r="P8" s="23" t="n">
        <f aca="false">Таблица1[[#This Row],[Площадь уборки, га]]/Таблица1[[#This Row],[Площадь сева, га]]</f>
        <v>1</v>
      </c>
      <c r="Q8" s="26" t="n">
        <v>12.456</v>
      </c>
      <c r="R8" s="26" t="n">
        <f aca="false">IFERROR(Таблица1[[#This Row],[Валовый сбор фактический, т]]/Таблица1[[#This Row],[Площадь уборки, га]],"-")</f>
        <v>12.4212647058824</v>
      </c>
      <c r="S8" s="26" t="n">
        <f aca="false">Таблица1[[#This Row],[Урожайность плановая, т/га]]*Таблица1[[#This Row],[Площадь сева, га]]</f>
        <v>423.504</v>
      </c>
      <c r="T8" s="360" t="n">
        <f aca="false">(35147+387176)/1000</f>
        <v>422.323</v>
      </c>
      <c r="U8" s="23" t="n">
        <f aca="false">IFERROR(Таблица1[[#This Row],[Валовый сбор фактический, т]]/Таблица1[[#This Row],[Валовый сбор плановый, т]],"-")</f>
        <v>0.997211360459405</v>
      </c>
    </row>
    <row r="9" customFormat="false" ht="15" hidden="true" customHeight="false" outlineLevel="0" collapsed="false">
      <c r="A9" s="0" t="s">
        <v>3858</v>
      </c>
      <c r="B9" s="0" t="s">
        <v>3860</v>
      </c>
      <c r="C9" s="0" t="s">
        <v>3860</v>
      </c>
      <c r="D9" s="0" t="str">
        <f aca="false">Таблица1[[#This Row],[Номер поля агро уточн]]</f>
        <v>Поле-4</v>
      </c>
      <c r="E9" s="15" t="n">
        <v>45415</v>
      </c>
      <c r="F9" s="15" t="n">
        <f aca="false">Таблица1[[#This Row],[Дата сева агро]]+84</f>
        <v>45499</v>
      </c>
      <c r="G9" s="15"/>
      <c r="H9" s="366" t="n">
        <v>45513</v>
      </c>
      <c r="I9" s="15" t="s">
        <v>36</v>
      </c>
      <c r="J9" s="0" t="s">
        <v>161</v>
      </c>
      <c r="K9" s="0" t="s">
        <v>85</v>
      </c>
      <c r="L9" s="0" t="n">
        <v>34</v>
      </c>
      <c r="N9" s="0" t="n">
        <v>34</v>
      </c>
      <c r="O9" s="0" t="n">
        <f aca="false">Таблица1[[#This Row],[Площадь сева, га]]-Таблица1[[#This Row],[Площадь уборки, га]]</f>
        <v>0</v>
      </c>
      <c r="P9" s="23" t="n">
        <f aca="false">Таблица1[[#This Row],[Площадь уборки, га]]/Таблица1[[#This Row],[Площадь сева, га]]</f>
        <v>1</v>
      </c>
      <c r="Q9" s="26" t="n">
        <v>12.456</v>
      </c>
      <c r="R9" s="26" t="n">
        <f aca="false">IFERROR(Таблица1[[#This Row],[Валовый сбор фактический, т]]/Таблица1[[#This Row],[Площадь уборки, га]],"-")</f>
        <v>13.4305</v>
      </c>
      <c r="S9" s="26" t="n">
        <f aca="false">Таблица1[[#This Row],[Урожайность плановая, т/га]]*Таблица1[[#This Row],[Площадь сева, га]]</f>
        <v>423.504</v>
      </c>
      <c r="T9" s="360" t="n">
        <f aca="false">(51624+405013)/1000</f>
        <v>456.637</v>
      </c>
      <c r="U9" s="23" t="n">
        <f aca="false">IFERROR(Таблица1[[#This Row],[Валовый сбор фактический, т]]/Таблица1[[#This Row],[Валовый сбор плановый, т]],"-")</f>
        <v>1.07823538856776</v>
      </c>
    </row>
    <row r="10" customFormat="false" ht="15" hidden="true" customHeight="false" outlineLevel="0" collapsed="false">
      <c r="A10" s="0" t="s">
        <v>3858</v>
      </c>
      <c r="B10" s="0" t="s">
        <v>3860</v>
      </c>
      <c r="C10" s="0" t="s">
        <v>3860</v>
      </c>
      <c r="D10" s="0" t="str">
        <f aca="false">Таблица1[[#This Row],[Номер поля агро уточн]]</f>
        <v>Поле-4</v>
      </c>
      <c r="E10" s="15" t="n">
        <v>45418</v>
      </c>
      <c r="F10" s="15" t="n">
        <f aca="false">Таблица1[[#This Row],[Дата сева агро]]+84</f>
        <v>45502</v>
      </c>
      <c r="G10" s="15"/>
      <c r="H10" s="366" t="n">
        <v>45513</v>
      </c>
      <c r="I10" s="15" t="s">
        <v>36</v>
      </c>
      <c r="J10" s="0" t="s">
        <v>161</v>
      </c>
      <c r="K10" s="0" t="s">
        <v>85</v>
      </c>
      <c r="L10" s="0" t="n">
        <v>10</v>
      </c>
      <c r="N10" s="0" t="n">
        <v>13</v>
      </c>
      <c r="O10" s="0" t="n">
        <f aca="false">Таблица1[[#This Row],[Площадь сева, га]]-Таблица1[[#This Row],[Площадь уборки, га]]</f>
        <v>-3</v>
      </c>
      <c r="P10" s="23" t="n">
        <f aca="false">Таблица1[[#This Row],[Площадь уборки, га]]/Таблица1[[#This Row],[Площадь сева, га]]</f>
        <v>1.3</v>
      </c>
      <c r="Q10" s="26" t="n">
        <v>12.456</v>
      </c>
      <c r="R10" s="26" t="n">
        <f aca="false">IFERROR(Таблица1[[#This Row],[Валовый сбор фактический, т]]/Таблица1[[#This Row],[Площадь уборки, га]],"-")</f>
        <v>16.6159230769231</v>
      </c>
      <c r="S10" s="26" t="n">
        <f aca="false">Таблица1[[#This Row],[Урожайность плановая, т/га]]*Таблица1[[#This Row],[Площадь сева, га]]</f>
        <v>124.56</v>
      </c>
      <c r="T10" s="360" t="n">
        <f aca="false">216007/1000</f>
        <v>216.007</v>
      </c>
      <c r="U10" s="23" t="n">
        <f aca="false">IFERROR(Таблица1[[#This Row],[Валовый сбор фактический, т]]/Таблица1[[#This Row],[Валовый сбор плановый, т]],"-")</f>
        <v>1.73416024405909</v>
      </c>
    </row>
    <row r="11" s="367" customFormat="true" ht="15" hidden="true" customHeight="false" outlineLevel="0" collapsed="false">
      <c r="A11" s="367" t="s">
        <v>3858</v>
      </c>
      <c r="B11" s="367" t="s">
        <v>3860</v>
      </c>
      <c r="C11" s="367" t="s">
        <v>3859</v>
      </c>
      <c r="D11" s="367" t="str">
        <f aca="false">Таблица1[[#This Row],[Номер поля агро уточн]]</f>
        <v>Поле-2</v>
      </c>
      <c r="E11" s="368" t="n">
        <v>45418</v>
      </c>
      <c r="F11" s="368" t="n">
        <f aca="false">Таблица1[[#This Row],[Дата сева агро]]+84</f>
        <v>45502</v>
      </c>
      <c r="G11" s="368"/>
      <c r="H11" s="369"/>
      <c r="I11" s="368" t="s">
        <v>36</v>
      </c>
      <c r="J11" s="367" t="s">
        <v>87</v>
      </c>
      <c r="K11" s="367" t="s">
        <v>87</v>
      </c>
      <c r="L11" s="367" t="n">
        <v>31</v>
      </c>
      <c r="O11" s="367" t="n">
        <f aca="false">Таблица1[[#This Row],[Площадь сева, га]]-Таблица1[[#This Row],[Площадь уборки, га]]</f>
        <v>31</v>
      </c>
      <c r="P11" s="370" t="n">
        <f aca="false">Таблица1[[#This Row],[Площадь уборки, га]]/Таблица1[[#This Row],[Площадь сева, га]]</f>
        <v>0</v>
      </c>
      <c r="Q11" s="26" t="n">
        <v>12.456</v>
      </c>
      <c r="R11" s="371" t="str">
        <f aca="false">IFERROR(Таблица1[[#This Row],[Валовый сбор фактический, т]]/Таблица1[[#This Row],[Площадь уборки, га]],"-")</f>
        <v>-</v>
      </c>
      <c r="S11" s="371" t="n">
        <f aca="false">Таблица1[[#This Row],[Урожайность плановая, т/га]]*Таблица1[[#This Row],[Площадь сева, га]]</f>
        <v>386.136</v>
      </c>
      <c r="T11" s="371"/>
      <c r="U11" s="23" t="n">
        <f aca="false">IFERROR(Таблица1[[#This Row],[Валовый сбор фактический, т]]/Таблица1[[#This Row],[Валовый сбор плановый, т]],"-")</f>
        <v>0</v>
      </c>
      <c r="V11" s="367" t="s">
        <v>3865</v>
      </c>
    </row>
    <row r="12" s="367" customFormat="true" ht="15" hidden="true" customHeight="false" outlineLevel="0" collapsed="false">
      <c r="A12" s="367" t="s">
        <v>3858</v>
      </c>
      <c r="B12" s="367" t="s">
        <v>3860</v>
      </c>
      <c r="C12" s="367" t="s">
        <v>3859</v>
      </c>
      <c r="D12" s="367" t="str">
        <f aca="false">Таблица1[[#This Row],[Номер поля агро уточн]]</f>
        <v>Поле-2</v>
      </c>
      <c r="E12" s="368" t="n">
        <v>45419</v>
      </c>
      <c r="F12" s="368" t="n">
        <f aca="false">Таблица1[[#This Row],[Дата сева агро]]+84</f>
        <v>45503</v>
      </c>
      <c r="G12" s="368"/>
      <c r="H12" s="369"/>
      <c r="I12" s="368" t="s">
        <v>36</v>
      </c>
      <c r="J12" s="367" t="s">
        <v>87</v>
      </c>
      <c r="K12" s="367" t="s">
        <v>87</v>
      </c>
      <c r="L12" s="367" t="n">
        <v>37</v>
      </c>
      <c r="O12" s="367" t="n">
        <f aca="false">Таблица1[[#This Row],[Площадь сева, га]]-Таблица1[[#This Row],[Площадь уборки, га]]</f>
        <v>37</v>
      </c>
      <c r="P12" s="370" t="n">
        <f aca="false">Таблица1[[#This Row],[Площадь уборки, га]]/Таблица1[[#This Row],[Площадь сева, га]]</f>
        <v>0</v>
      </c>
      <c r="Q12" s="26" t="n">
        <v>12.456</v>
      </c>
      <c r="R12" s="371" t="str">
        <f aca="false">IFERROR(Таблица1[[#This Row],[Валовый сбор фактический, т]]/Таблица1[[#This Row],[Площадь уборки, га]],"-")</f>
        <v>-</v>
      </c>
      <c r="S12" s="371" t="n">
        <f aca="false">Таблица1[[#This Row],[Урожайность плановая, т/га]]*Таблица1[[#This Row],[Площадь сева, га]]</f>
        <v>460.872</v>
      </c>
      <c r="T12" s="371"/>
      <c r="U12" s="23" t="n">
        <f aca="false">IFERROR(Таблица1[[#This Row],[Валовый сбор фактический, т]]/Таблица1[[#This Row],[Валовый сбор плановый, т]],"-")</f>
        <v>0</v>
      </c>
      <c r="V12" s="367" t="s">
        <v>3865</v>
      </c>
    </row>
    <row r="13" s="367" customFormat="true" ht="15" hidden="true" customHeight="false" outlineLevel="0" collapsed="false">
      <c r="A13" s="367" t="s">
        <v>3858</v>
      </c>
      <c r="B13" s="367" t="s">
        <v>3860</v>
      </c>
      <c r="C13" s="367" t="s">
        <v>3859</v>
      </c>
      <c r="D13" s="367" t="str">
        <f aca="false">Таблица1[[#This Row],[Номер поля агро уточн]]</f>
        <v>Поле-2</v>
      </c>
      <c r="E13" s="368" t="n">
        <v>45420</v>
      </c>
      <c r="F13" s="368" t="n">
        <f aca="false">Таблица1[[#This Row],[Дата сева агро]]+84</f>
        <v>45504</v>
      </c>
      <c r="G13" s="368"/>
      <c r="H13" s="369"/>
      <c r="I13" s="368" t="s">
        <v>36</v>
      </c>
      <c r="J13" s="367" t="s">
        <v>87</v>
      </c>
      <c r="K13" s="367" t="s">
        <v>87</v>
      </c>
      <c r="L13" s="367" t="n">
        <v>9</v>
      </c>
      <c r="O13" s="367" t="n">
        <f aca="false">Таблица1[[#This Row],[Площадь сева, га]]-Таблица1[[#This Row],[Площадь уборки, га]]</f>
        <v>9</v>
      </c>
      <c r="P13" s="370" t="n">
        <f aca="false">Таблица1[[#This Row],[Площадь уборки, га]]/Таблица1[[#This Row],[Площадь сева, га]]</f>
        <v>0</v>
      </c>
      <c r="Q13" s="26" t="n">
        <v>12.456</v>
      </c>
      <c r="R13" s="371" t="str">
        <f aca="false">IFERROR(Таблица1[[#This Row],[Валовый сбор фактический, т]]/Таблица1[[#This Row],[Площадь уборки, га]],"-")</f>
        <v>-</v>
      </c>
      <c r="S13" s="371" t="n">
        <f aca="false">Таблица1[[#This Row],[Урожайность плановая, т/га]]*Таблица1[[#This Row],[Площадь сева, га]]</f>
        <v>112.104</v>
      </c>
      <c r="T13" s="371"/>
      <c r="U13" s="23" t="n">
        <f aca="false">IFERROR(Таблица1[[#This Row],[Валовый сбор фактический, т]]/Таблица1[[#This Row],[Валовый сбор плановый, т]],"-")</f>
        <v>0</v>
      </c>
      <c r="V13" s="367" t="s">
        <v>3865</v>
      </c>
    </row>
    <row r="14" customFormat="false" ht="15" hidden="true" customHeight="false" outlineLevel="0" collapsed="false">
      <c r="A14" s="0" t="s">
        <v>3858</v>
      </c>
      <c r="B14" s="0" t="s">
        <v>3860</v>
      </c>
      <c r="C14" s="0" t="s">
        <v>3859</v>
      </c>
      <c r="D14" s="0" t="str">
        <f aca="false">Таблица1[[#This Row],[Номер поля агро уточн]]</f>
        <v>Поле-2</v>
      </c>
      <c r="E14" s="15" t="n">
        <v>45420</v>
      </c>
      <c r="F14" s="15" t="n">
        <f aca="false">Таблица1[[#This Row],[Дата сева агро]]+84</f>
        <v>45504</v>
      </c>
      <c r="G14" s="15"/>
      <c r="H14" s="366" t="n">
        <v>45515</v>
      </c>
      <c r="I14" s="15" t="s">
        <v>36</v>
      </c>
      <c r="J14" s="0" t="s">
        <v>158</v>
      </c>
      <c r="K14" s="0" t="s">
        <v>83</v>
      </c>
      <c r="L14" s="0" t="n">
        <v>11</v>
      </c>
      <c r="N14" s="0" t="n">
        <v>11</v>
      </c>
      <c r="O14" s="0" t="n">
        <f aca="false">Таблица1[[#This Row],[Площадь сева, га]]-Таблица1[[#This Row],[Площадь уборки, га]]</f>
        <v>0</v>
      </c>
      <c r="P14" s="23" t="n">
        <f aca="false">Таблица1[[#This Row],[Площадь уборки, га]]/Таблица1[[#This Row],[Площадь сева, га]]</f>
        <v>1</v>
      </c>
      <c r="Q14" s="26" t="n">
        <v>12.456</v>
      </c>
      <c r="R14" s="26" t="n">
        <f aca="false">IFERROR(Таблица1[[#This Row],[Валовый сбор фактический, т]]/Таблица1[[#This Row],[Площадь уборки, га]],"-")</f>
        <v>18.4454545454545</v>
      </c>
      <c r="S14" s="26" t="n">
        <f aca="false">Таблица1[[#This Row],[Урожайность плановая, т/га]]*Таблица1[[#This Row],[Площадь сева, га]]</f>
        <v>137.016</v>
      </c>
      <c r="T14" s="26" t="n">
        <f aca="false">202900/1000</f>
        <v>202.9</v>
      </c>
      <c r="U14" s="23" t="n">
        <f aca="false">IFERROR(Таблица1[[#This Row],[Валовый сбор фактический, т]]/Таблица1[[#This Row],[Валовый сбор плановый, т]],"-")</f>
        <v>1.48084895194722</v>
      </c>
    </row>
    <row r="15" customFormat="false" ht="15" hidden="true" customHeight="false" outlineLevel="0" collapsed="false">
      <c r="A15" s="0" t="s">
        <v>3866</v>
      </c>
      <c r="B15" s="0" t="s">
        <v>3867</v>
      </c>
      <c r="C15" s="0" t="s">
        <v>3867</v>
      </c>
      <c r="D15" s="0" t="str">
        <f aca="false">Таблица1[[#This Row],[Номер поля агро уточн]]</f>
        <v>А-82</v>
      </c>
      <c r="E15" s="15" t="n">
        <v>45425</v>
      </c>
      <c r="F15" s="15" t="n">
        <f aca="false">Таблица1[[#This Row],[Дата сева агро]]+84</f>
        <v>45509</v>
      </c>
      <c r="G15" s="15"/>
      <c r="H15" s="15" t="n">
        <v>45522</v>
      </c>
      <c r="I15" s="15" t="s">
        <v>38</v>
      </c>
      <c r="J15" s="0" t="s">
        <v>3868</v>
      </c>
      <c r="K15" s="0" t="s">
        <v>99</v>
      </c>
      <c r="L15" s="0" t="n">
        <v>19</v>
      </c>
      <c r="M15" s="0" t="n">
        <v>19</v>
      </c>
      <c r="N15" s="0" t="n">
        <v>19</v>
      </c>
      <c r="O15" s="0" t="n">
        <f aca="false">Таблица1[[#This Row],[Площадь сева, га]]-Таблица1[[#This Row],[Площадь уборки, га]]</f>
        <v>0</v>
      </c>
      <c r="P15" s="23" t="n">
        <f aca="false">Таблица1[[#This Row],[Площадь уборки, га]]/Таблица1[[#This Row],[Площадь сева, га]]</f>
        <v>1</v>
      </c>
      <c r="Q15" s="26" t="n">
        <v>8</v>
      </c>
      <c r="R15" s="26" t="n">
        <f aca="false">IFERROR(Таблица1[[#This Row],[Валовый сбор фактический, т]]/Таблица1[[#This Row],[Площадь уборки, га]],"-")</f>
        <v>4.94105263157895</v>
      </c>
      <c r="S15" s="360" t="n">
        <f aca="false">Таблица1[[#This Row],[Урожайность плановая, т/га]]*Таблица1[[#This Row],[Площадь сева, га]]</f>
        <v>152</v>
      </c>
      <c r="T15" s="360" t="n">
        <v>93.88</v>
      </c>
      <c r="U15" s="23" t="n">
        <f aca="false">IFERROR(Таблица1[[#This Row],[Валовый сбор фактический, т]]/Таблица1[[#This Row],[Валовый сбор плановый, т]],"-")</f>
        <v>0.617631578947368</v>
      </c>
    </row>
    <row r="16" customFormat="false" ht="15" hidden="true" customHeight="false" outlineLevel="0" collapsed="false">
      <c r="A16" s="0" t="s">
        <v>3866</v>
      </c>
      <c r="B16" s="0" t="s">
        <v>3869</v>
      </c>
      <c r="C16" s="0" t="s">
        <v>3869</v>
      </c>
      <c r="D16" s="0" t="str">
        <f aca="false">Таблица1[[#This Row],[Номер поля агро уточн]]</f>
        <v>А-53</v>
      </c>
      <c r="E16" s="15" t="n">
        <v>45430</v>
      </c>
      <c r="F16" s="15" t="n">
        <f aca="false">Таблица1[[#This Row],[Дата сева агро]]+84</f>
        <v>45514</v>
      </c>
      <c r="G16" s="15"/>
      <c r="H16" s="15" t="n">
        <v>45522</v>
      </c>
      <c r="I16" s="15" t="s">
        <v>38</v>
      </c>
      <c r="J16" s="0" t="s">
        <v>108</v>
      </c>
      <c r="K16" s="0" t="s">
        <v>108</v>
      </c>
      <c r="L16" s="0" t="n">
        <v>12</v>
      </c>
      <c r="M16" s="0" t="n">
        <v>12</v>
      </c>
      <c r="N16" s="0" t="n">
        <v>12</v>
      </c>
      <c r="O16" s="0" t="n">
        <f aca="false">Таблица1[[#This Row],[Площадь сева, га]]-Таблица1[[#This Row],[Площадь уборки, га]]</f>
        <v>0</v>
      </c>
      <c r="P16" s="23" t="n">
        <f aca="false">Таблица1[[#This Row],[Площадь уборки, га]]/Таблица1[[#This Row],[Площадь сева, га]]</f>
        <v>1</v>
      </c>
      <c r="Q16" s="26" t="n">
        <v>8</v>
      </c>
      <c r="R16" s="26" t="n">
        <f aca="false">IFERROR(Таблица1[[#This Row],[Валовый сбор фактический, т]]/Таблица1[[#This Row],[Площадь уборки, га]],"-")</f>
        <v>3.8135</v>
      </c>
      <c r="S16" s="360" t="n">
        <f aca="false">Таблица1[[#This Row],[Урожайность плановая, т/га]]*Таблица1[[#This Row],[Площадь сева, га]]</f>
        <v>96</v>
      </c>
      <c r="T16" s="360" t="n">
        <v>45.762</v>
      </c>
      <c r="U16" s="23" t="n">
        <f aca="false">IFERROR(Таблица1[[#This Row],[Валовый сбор фактический, т]]/Таблица1[[#This Row],[Валовый сбор плановый, т]],"-")</f>
        <v>0.4766875</v>
      </c>
    </row>
    <row r="17" customFormat="false" ht="15" hidden="true" customHeight="false" outlineLevel="0" collapsed="false">
      <c r="A17" s="0" t="s">
        <v>3866</v>
      </c>
      <c r="B17" s="0" t="s">
        <v>3869</v>
      </c>
      <c r="C17" s="0" t="s">
        <v>3869</v>
      </c>
      <c r="D17" s="0" t="str">
        <f aca="false">Таблица1[[#This Row],[Номер поля агро уточн]]</f>
        <v>А-53</v>
      </c>
      <c r="E17" s="15" t="n">
        <v>45431</v>
      </c>
      <c r="F17" s="15" t="n">
        <f aca="false">Таблица1[[#This Row],[Дата сева агро]]+84</f>
        <v>45515</v>
      </c>
      <c r="G17" s="15"/>
      <c r="H17" s="15" t="n">
        <v>45522</v>
      </c>
      <c r="I17" s="15" t="s">
        <v>38</v>
      </c>
      <c r="J17" s="0" t="s">
        <v>108</v>
      </c>
      <c r="K17" s="0" t="s">
        <v>108</v>
      </c>
      <c r="L17" s="0" t="n">
        <v>8</v>
      </c>
      <c r="M17" s="0" t="n">
        <v>8</v>
      </c>
      <c r="N17" s="0" t="n">
        <v>8</v>
      </c>
      <c r="O17" s="0" t="n">
        <f aca="false">Таблица1[[#This Row],[Площадь сева, га]]-Таблица1[[#This Row],[Площадь уборки, га]]</f>
        <v>0</v>
      </c>
      <c r="P17" s="23" t="n">
        <f aca="false">Таблица1[[#This Row],[Площадь уборки, га]]/Таблица1[[#This Row],[Площадь сева, га]]</f>
        <v>1</v>
      </c>
      <c r="Q17" s="26" t="n">
        <v>8</v>
      </c>
      <c r="R17" s="26" t="n">
        <f aca="false">IFERROR(Таблица1[[#This Row],[Валовый сбор фактический, т]]/Таблица1[[#This Row],[Площадь уборки, га]],"-")</f>
        <v>3.8135</v>
      </c>
      <c r="S17" s="360" t="n">
        <f aca="false">Таблица1[[#This Row],[Урожайность плановая, т/га]]*Таблица1[[#This Row],[Площадь сева, га]]</f>
        <v>64</v>
      </c>
      <c r="T17" s="360" t="n">
        <v>30.508</v>
      </c>
      <c r="U17" s="23" t="n">
        <f aca="false">IFERROR(Таблица1[[#This Row],[Валовый сбор фактический, т]]/Таблица1[[#This Row],[Валовый сбор плановый, т]],"-")</f>
        <v>0.4766875</v>
      </c>
    </row>
    <row r="18" customFormat="false" ht="15" hidden="true" customHeight="false" outlineLevel="0" collapsed="false">
      <c r="A18" s="0" t="s">
        <v>3866</v>
      </c>
      <c r="B18" s="0" t="s">
        <v>3869</v>
      </c>
      <c r="C18" s="0" t="s">
        <v>3869</v>
      </c>
      <c r="D18" s="0" t="str">
        <f aca="false">Таблица1[[#This Row],[Номер поля агро уточн]]</f>
        <v>А-53</v>
      </c>
      <c r="E18" s="15" t="n">
        <v>45432</v>
      </c>
      <c r="F18" s="15" t="n">
        <f aca="false">Таблица1[[#This Row],[Дата сева агро]]+84</f>
        <v>45516</v>
      </c>
      <c r="G18" s="15"/>
      <c r="H18" s="366" t="s">
        <v>3870</v>
      </c>
      <c r="I18" s="15" t="s">
        <v>38</v>
      </c>
      <c r="J18" s="0" t="s">
        <v>108</v>
      </c>
      <c r="K18" s="0" t="s">
        <v>108</v>
      </c>
      <c r="L18" s="0" t="n">
        <v>26</v>
      </c>
      <c r="M18" s="0" t="n">
        <v>26</v>
      </c>
      <c r="N18" s="0" t="n">
        <v>26</v>
      </c>
      <c r="O18" s="0" t="n">
        <f aca="false">Таблица1[[#This Row],[Площадь сева, га]]-Таблица1[[#This Row],[Площадь уборки, га]]</f>
        <v>0</v>
      </c>
      <c r="P18" s="23" t="n">
        <f aca="false">Таблица1[[#This Row],[Площадь уборки, га]]/Таблица1[[#This Row],[Площадь сева, га]]</f>
        <v>1</v>
      </c>
      <c r="Q18" s="26" t="n">
        <v>8</v>
      </c>
      <c r="R18" s="26" t="n">
        <f aca="false">IFERROR(Таблица1[[#This Row],[Валовый сбор фактический, т]]/Таблица1[[#This Row],[Площадь уборки, га]],"-")</f>
        <v>3.8135</v>
      </c>
      <c r="S18" s="360" t="n">
        <f aca="false">Таблица1[[#This Row],[Урожайность плановая, т/га]]*Таблица1[[#This Row],[Площадь сева, га]]</f>
        <v>208</v>
      </c>
      <c r="T18" s="360" t="n">
        <v>99.151</v>
      </c>
      <c r="U18" s="23" t="n">
        <f aca="false">IFERROR(Таблица1[[#This Row],[Валовый сбор фактический, т]]/Таблица1[[#This Row],[Валовый сбор плановый, т]],"-")</f>
        <v>0.4766875</v>
      </c>
    </row>
    <row r="19" customFormat="false" ht="15" hidden="true" customHeight="false" outlineLevel="0" collapsed="false">
      <c r="A19" s="0" t="s">
        <v>3866</v>
      </c>
      <c r="B19" s="0" t="s">
        <v>3869</v>
      </c>
      <c r="C19" s="0" t="s">
        <v>3869</v>
      </c>
      <c r="D19" s="0" t="str">
        <f aca="false">Таблица1[[#This Row],[Номер поля агро уточн]]</f>
        <v>А-53</v>
      </c>
      <c r="E19" s="15" t="n">
        <v>45433</v>
      </c>
      <c r="F19" s="15" t="n">
        <f aca="false">Таблица1[[#This Row],[Дата сева агро]]+84</f>
        <v>45517</v>
      </c>
      <c r="G19" s="15"/>
      <c r="H19" s="15" t="n">
        <v>45523</v>
      </c>
      <c r="I19" s="15" t="s">
        <v>38</v>
      </c>
      <c r="J19" s="0" t="s">
        <v>108</v>
      </c>
      <c r="K19" s="0" t="s">
        <v>108</v>
      </c>
      <c r="L19" s="0" t="n">
        <v>26</v>
      </c>
      <c r="M19" s="0" t="n">
        <v>26</v>
      </c>
      <c r="N19" s="0" t="n">
        <v>26</v>
      </c>
      <c r="O19" s="0" t="n">
        <f aca="false">Таблица1[[#This Row],[Площадь сева, га]]-Таблица1[[#This Row],[Площадь уборки, га]]</f>
        <v>0</v>
      </c>
      <c r="P19" s="23" t="n">
        <f aca="false">Таблица1[[#This Row],[Площадь уборки, га]]/Таблица1[[#This Row],[Площадь сева, га]]</f>
        <v>1</v>
      </c>
      <c r="Q19" s="26" t="n">
        <v>8</v>
      </c>
      <c r="R19" s="26" t="n">
        <f aca="false">IFERROR(Таблица1[[#This Row],[Валовый сбор фактический, т]]/Таблица1[[#This Row],[Площадь уборки, га]],"-")</f>
        <v>3.8135</v>
      </c>
      <c r="S19" s="360" t="n">
        <f aca="false">Таблица1[[#This Row],[Урожайность плановая, т/га]]*Таблица1[[#This Row],[Площадь сева, га]]</f>
        <v>208</v>
      </c>
      <c r="T19" s="360" t="n">
        <v>99.151</v>
      </c>
      <c r="U19" s="23" t="n">
        <f aca="false">IFERROR(Таблица1[[#This Row],[Валовый сбор фактический, т]]/Таблица1[[#This Row],[Валовый сбор плановый, т]],"-")</f>
        <v>0.4766875</v>
      </c>
    </row>
    <row r="20" customFormat="false" ht="15" hidden="true" customHeight="false" outlineLevel="0" collapsed="false">
      <c r="A20" s="0" t="s">
        <v>3866</v>
      </c>
      <c r="B20" s="0" t="s">
        <v>3869</v>
      </c>
      <c r="C20" s="0" t="s">
        <v>3869</v>
      </c>
      <c r="D20" s="0" t="str">
        <f aca="false">Таблица1[[#This Row],[Номер поля агро уточн]]</f>
        <v>А-53</v>
      </c>
      <c r="E20" s="15" t="n">
        <v>45433</v>
      </c>
      <c r="F20" s="15" t="n">
        <f aca="false">Таблица1[[#This Row],[Дата сева агро]]+84</f>
        <v>45517</v>
      </c>
      <c r="G20" s="15"/>
      <c r="H20" s="15" t="n">
        <v>45523</v>
      </c>
      <c r="I20" s="15" t="s">
        <v>38</v>
      </c>
      <c r="J20" s="0" t="s">
        <v>108</v>
      </c>
      <c r="K20" s="0" t="s">
        <v>108</v>
      </c>
      <c r="L20" s="0" t="n">
        <v>15</v>
      </c>
      <c r="M20" s="0" t="n">
        <v>14.2</v>
      </c>
      <c r="N20" s="0" t="n">
        <v>15</v>
      </c>
      <c r="O20" s="0" t="n">
        <f aca="false">Таблица1[[#This Row],[Площадь сева, га]]-Таблица1[[#This Row],[Площадь уборки, га]]</f>
        <v>0</v>
      </c>
      <c r="P20" s="23" t="n">
        <f aca="false">Таблица1[[#This Row],[Площадь уборки, га]]/Таблица1[[#This Row],[Площадь сева, га]]</f>
        <v>1</v>
      </c>
      <c r="Q20" s="26" t="n">
        <v>8</v>
      </c>
      <c r="R20" s="26" t="n">
        <f aca="false">IFERROR(Таблица1[[#This Row],[Валовый сбор фактический, т]]/Таблица1[[#This Row],[Площадь уборки, га]],"-")</f>
        <v>4.98453333333333</v>
      </c>
      <c r="S20" s="360" t="n">
        <f aca="false">Таблица1[[#This Row],[Урожайность плановая, т/га]]*Таблица1[[#This Row],[Площадь сева, га]]</f>
        <v>120</v>
      </c>
      <c r="T20" s="360" t="n">
        <v>74.768</v>
      </c>
      <c r="U20" s="23" t="n">
        <f aca="false">IFERROR(Таблица1[[#This Row],[Валовый сбор фактический, т]]/Таблица1[[#This Row],[Валовый сбор плановый, т]],"-")</f>
        <v>0.623066666666667</v>
      </c>
    </row>
    <row r="21" customFormat="false" ht="15" hidden="true" customHeight="false" outlineLevel="0" collapsed="false">
      <c r="A21" s="0" t="s">
        <v>3866</v>
      </c>
      <c r="B21" s="0" t="s">
        <v>110</v>
      </c>
      <c r="C21" s="0" t="s">
        <v>110</v>
      </c>
      <c r="D21" s="0" t="str">
        <f aca="false">Таблица1[[#This Row],[Номер поля агро уточн]]</f>
        <v>А-56</v>
      </c>
      <c r="E21" s="15" t="n">
        <v>45434</v>
      </c>
      <c r="F21" s="15" t="n">
        <f aca="false">Таблица1[[#This Row],[Дата сева агро]]+84</f>
        <v>45518</v>
      </c>
      <c r="G21" s="15"/>
      <c r="H21" s="366" t="s">
        <v>3871</v>
      </c>
      <c r="I21" s="15" t="s">
        <v>38</v>
      </c>
      <c r="J21" s="0" t="s">
        <v>3868</v>
      </c>
      <c r="K21" s="0" t="s">
        <v>99</v>
      </c>
      <c r="L21" s="0" t="n">
        <v>41</v>
      </c>
      <c r="M21" s="0" t="n">
        <v>41</v>
      </c>
      <c r="N21" s="0" t="n">
        <f aca="false">14+21+6</f>
        <v>41</v>
      </c>
      <c r="O21" s="0" t="n">
        <f aca="false">Таблица1[[#This Row],[Площадь сева, га]]-Таблица1[[#This Row],[Площадь уборки, га]]</f>
        <v>0</v>
      </c>
      <c r="P21" s="23" t="n">
        <f aca="false">Таблица1[[#This Row],[Площадь уборки, га]]/Таблица1[[#This Row],[Площадь сева, га]]</f>
        <v>1</v>
      </c>
      <c r="Q21" s="26" t="n">
        <v>8</v>
      </c>
      <c r="R21" s="26" t="n">
        <f aca="false">IFERROR(Таблица1[[#This Row],[Валовый сбор фактический, т]]/Таблица1[[#This Row],[Площадь уборки, га]],"-")</f>
        <v>8.80317073170732</v>
      </c>
      <c r="S21" s="360" t="n">
        <f aca="false">Таблица1[[#This Row],[Урожайность плановая, т/га]]*Таблица1[[#This Row],[Площадь сева, га]]</f>
        <v>328</v>
      </c>
      <c r="T21" s="360" t="n">
        <f aca="false">103.76+219.49+37.68</f>
        <v>360.93</v>
      </c>
      <c r="U21" s="23" t="n">
        <f aca="false">IFERROR(Таблица1[[#This Row],[Валовый сбор фактический, т]]/Таблица1[[#This Row],[Валовый сбор плановый, т]],"-")</f>
        <v>1.10039634146341</v>
      </c>
    </row>
    <row r="22" customFormat="false" ht="15" hidden="true" customHeight="false" outlineLevel="0" collapsed="false">
      <c r="A22" s="0" t="s">
        <v>3866</v>
      </c>
      <c r="B22" s="0" t="s">
        <v>3872</v>
      </c>
      <c r="C22" s="0" t="s">
        <v>3872</v>
      </c>
      <c r="D22" s="0" t="str">
        <f aca="false">Таблица1[[#This Row],[Номер поля агро уточн]]</f>
        <v>А-55</v>
      </c>
      <c r="E22" s="15" t="n">
        <v>45436</v>
      </c>
      <c r="F22" s="15" t="n">
        <f aca="false">Таблица1[[#This Row],[Дата сева агро]]+84</f>
        <v>45520</v>
      </c>
      <c r="G22" s="15"/>
      <c r="H22" s="366" t="s">
        <v>3873</v>
      </c>
      <c r="I22" s="15" t="s">
        <v>38</v>
      </c>
      <c r="J22" s="0" t="s">
        <v>3868</v>
      </c>
      <c r="K22" s="0" t="s">
        <v>99</v>
      </c>
      <c r="L22" s="0" t="n">
        <v>32</v>
      </c>
      <c r="M22" s="0" t="n">
        <v>32</v>
      </c>
      <c r="N22" s="0" t="n">
        <f aca="false">3+1.5+27.5</f>
        <v>32</v>
      </c>
      <c r="O22" s="0" t="n">
        <f aca="false">Таблица1[[#This Row],[Площадь сева, га]]-Таблица1[[#This Row],[Площадь уборки, га]]</f>
        <v>0</v>
      </c>
      <c r="P22" s="23" t="n">
        <f aca="false">Таблица1[[#This Row],[Площадь уборки, га]]/Таблица1[[#This Row],[Площадь сева, га]]</f>
        <v>1</v>
      </c>
      <c r="Q22" s="26" t="n">
        <v>8</v>
      </c>
      <c r="R22" s="26" t="n">
        <f aca="false">IFERROR(Таблица1[[#This Row],[Валовый сбор фактический, т]]/Таблица1[[#This Row],[Площадь уборки, га]],"-")</f>
        <v>8.180875</v>
      </c>
      <c r="S22" s="360" t="n">
        <f aca="false">Таблица1[[#This Row],[Урожайность плановая, т/га]]*Таблица1[[#This Row],[Площадь сева, га]]</f>
        <v>256</v>
      </c>
      <c r="T22" s="360" t="n">
        <f aca="false">19.54+11.05+231.198</f>
        <v>261.788</v>
      </c>
      <c r="U22" s="23" t="n">
        <f aca="false">IFERROR(Таблица1[[#This Row],[Валовый сбор фактический, т]]/Таблица1[[#This Row],[Валовый сбор плановый, т]],"-")</f>
        <v>1.022609375</v>
      </c>
    </row>
    <row r="23" customFormat="false" ht="15" hidden="true" customHeight="false" outlineLevel="0" collapsed="false">
      <c r="A23" s="0" t="s">
        <v>3866</v>
      </c>
      <c r="B23" s="0" t="s">
        <v>3872</v>
      </c>
      <c r="C23" s="0" t="s">
        <v>3872</v>
      </c>
      <c r="D23" s="0" t="str">
        <f aca="false">Таблица1[[#This Row],[Номер поля агро уточн]]</f>
        <v>А-55</v>
      </c>
      <c r="E23" s="15" t="n">
        <v>45438</v>
      </c>
      <c r="F23" s="15" t="n">
        <f aca="false">Таблица1[[#This Row],[Дата сева агро]]+84</f>
        <v>45522</v>
      </c>
      <c r="G23" s="15"/>
      <c r="H23" s="366" t="s">
        <v>3874</v>
      </c>
      <c r="I23" s="15" t="s">
        <v>38</v>
      </c>
      <c r="J23" s="0" t="s">
        <v>3868</v>
      </c>
      <c r="K23" s="0" t="s">
        <v>99</v>
      </c>
      <c r="L23" s="0" t="n">
        <v>30</v>
      </c>
      <c r="M23" s="0" t="n">
        <v>30</v>
      </c>
      <c r="N23" s="0" t="n">
        <f aca="false">1+20+9</f>
        <v>30</v>
      </c>
      <c r="O23" s="0" t="n">
        <f aca="false">Таблица1[[#This Row],[Площадь сева, га]]-Таблица1[[#This Row],[Площадь уборки, га]]</f>
        <v>0</v>
      </c>
      <c r="P23" s="23" t="n">
        <f aca="false">Таблица1[[#This Row],[Площадь уборки, га]]/Таблица1[[#This Row],[Площадь сева, га]]</f>
        <v>1</v>
      </c>
      <c r="Q23" s="26" t="n">
        <v>8</v>
      </c>
      <c r="R23" s="26" t="n">
        <f aca="false">IFERROR(Таблица1[[#This Row],[Валовый сбор фактический, т]]/Таблица1[[#This Row],[Площадь уборки, га]],"-")</f>
        <v>8.81923333333333</v>
      </c>
      <c r="S23" s="360" t="n">
        <f aca="false">Таблица1[[#This Row],[Урожайность плановая, т/га]]*Таблица1[[#This Row],[Площадь сева, га]]</f>
        <v>240</v>
      </c>
      <c r="T23" s="360" t="n">
        <f aca="false">176.552+88.025</f>
        <v>264.577</v>
      </c>
      <c r="U23" s="23" t="n">
        <f aca="false">IFERROR(Таблица1[[#This Row],[Валовый сбор фактический, т]]/Таблица1[[#This Row],[Валовый сбор плановый, т]],"-")</f>
        <v>1.10240416666667</v>
      </c>
    </row>
    <row r="24" customFormat="false" ht="15" hidden="true" customHeight="false" outlineLevel="0" collapsed="false">
      <c r="A24" s="0" t="s">
        <v>3866</v>
      </c>
      <c r="B24" s="0" t="s">
        <v>3872</v>
      </c>
      <c r="C24" s="0" t="s">
        <v>3872</v>
      </c>
      <c r="D24" s="0" t="str">
        <f aca="false">Таблица1[[#This Row],[Номер поля агро уточн]]</f>
        <v>А-55</v>
      </c>
      <c r="E24" s="15" t="n">
        <v>45439</v>
      </c>
      <c r="F24" s="15" t="n">
        <f aca="false">Таблица1[[#This Row],[Дата сева агро]]+84</f>
        <v>45523</v>
      </c>
      <c r="G24" s="15"/>
      <c r="H24" s="15" t="n">
        <v>45532</v>
      </c>
      <c r="I24" s="15" t="s">
        <v>38</v>
      </c>
      <c r="J24" s="0" t="s">
        <v>3868</v>
      </c>
      <c r="K24" s="0" t="s">
        <v>99</v>
      </c>
      <c r="L24" s="0" t="n">
        <v>10</v>
      </c>
      <c r="M24" s="0" t="n">
        <v>10</v>
      </c>
      <c r="N24" s="0" t="n">
        <f aca="false">10+0</f>
        <v>10</v>
      </c>
      <c r="O24" s="0" t="n">
        <f aca="false">Таблица1[[#This Row],[Площадь сева, га]]-Таблица1[[#This Row],[Площадь уборки, га]]</f>
        <v>0</v>
      </c>
      <c r="P24" s="23" t="n">
        <f aca="false">Таблица1[[#This Row],[Площадь уборки, га]]/Таблица1[[#This Row],[Площадь сева, га]]</f>
        <v>1</v>
      </c>
      <c r="Q24" s="26" t="n">
        <v>8</v>
      </c>
      <c r="R24" s="26" t="n">
        <f aca="false">IFERROR(Таблица1[[#This Row],[Валовый сбор фактический, т]]/Таблица1[[#This Row],[Площадь уборки, га]],"-")</f>
        <v>9.7805</v>
      </c>
      <c r="S24" s="360" t="n">
        <f aca="false">Таблица1[[#This Row],[Урожайность плановая, т/га]]*Таблица1[[#This Row],[Площадь сева, га]]</f>
        <v>80</v>
      </c>
      <c r="T24" s="360" t="n">
        <f aca="false">97.805+0</f>
        <v>97.805</v>
      </c>
      <c r="U24" s="23" t="n">
        <f aca="false">IFERROR(Таблица1[[#This Row],[Валовый сбор фактический, т]]/Таблица1[[#This Row],[Валовый сбор плановый, т]],"-")</f>
        <v>1.2225625</v>
      </c>
    </row>
    <row r="25" customFormat="false" ht="15" hidden="true" customHeight="false" outlineLevel="0" collapsed="false">
      <c r="A25" s="0" t="s">
        <v>3866</v>
      </c>
      <c r="B25" s="0" t="s">
        <v>3875</v>
      </c>
      <c r="C25" s="0" t="s">
        <v>3875</v>
      </c>
      <c r="D25" s="0" t="str">
        <f aca="false">Таблица1[[#This Row],[Номер поля агро уточн]]</f>
        <v>А-111</v>
      </c>
      <c r="E25" s="15" t="n">
        <v>45441</v>
      </c>
      <c r="F25" s="15" t="n">
        <f aca="false">Таблица1[[#This Row],[Дата сева агро]]+84</f>
        <v>45525</v>
      </c>
      <c r="G25" s="15"/>
      <c r="H25" s="366" t="s">
        <v>3876</v>
      </c>
      <c r="I25" s="15" t="s">
        <v>38</v>
      </c>
      <c r="J25" s="0" t="s">
        <v>263</v>
      </c>
      <c r="K25" s="0" t="s">
        <v>104</v>
      </c>
      <c r="L25" s="0" t="n">
        <v>44</v>
      </c>
      <c r="M25" s="0" t="n">
        <v>44</v>
      </c>
      <c r="N25" s="0" t="n">
        <f aca="false">22+17+5</f>
        <v>44</v>
      </c>
      <c r="O25" s="0" t="n">
        <f aca="false">Таблица1[[#This Row],[Площадь сева, га]]-Таблица1[[#This Row],[Площадь уборки, га]]</f>
        <v>0</v>
      </c>
      <c r="P25" s="23" t="n">
        <f aca="false">Таблица1[[#This Row],[Площадь уборки, га]]/Таблица1[[#This Row],[Площадь сева, га]]</f>
        <v>1</v>
      </c>
      <c r="Q25" s="26" t="n">
        <v>8</v>
      </c>
      <c r="R25" s="26" t="n">
        <f aca="false">IFERROR(Таблица1[[#This Row],[Валовый сбор фактический, т]]/Таблица1[[#This Row],[Площадь уборки, га]],"-")</f>
        <v>13.1904545454545</v>
      </c>
      <c r="S25" s="360" t="n">
        <f aca="false">Таблица1[[#This Row],[Урожайность плановая, т/га]]*Таблица1[[#This Row],[Площадь сева, га]]</f>
        <v>352</v>
      </c>
      <c r="T25" s="360" t="n">
        <f aca="false">283.6+212.66+84.12</f>
        <v>580.38</v>
      </c>
      <c r="U25" s="23" t="n">
        <f aca="false">IFERROR(Таблица1[[#This Row],[Валовый сбор фактический, т]]/Таблица1[[#This Row],[Валовый сбор плановый, т]],"-")</f>
        <v>1.64880681818182</v>
      </c>
    </row>
    <row r="26" customFormat="false" ht="15" hidden="true" customHeight="false" outlineLevel="0" collapsed="false">
      <c r="A26" s="0" t="s">
        <v>3866</v>
      </c>
      <c r="B26" s="0" t="s">
        <v>3877</v>
      </c>
      <c r="C26" s="0" t="s">
        <v>3877</v>
      </c>
      <c r="D26" s="0" t="str">
        <f aca="false">Таблица1[[#This Row],[Номер поля агро уточн]]</f>
        <v>А-108</v>
      </c>
      <c r="E26" s="15" t="n">
        <v>45442</v>
      </c>
      <c r="F26" s="15" t="n">
        <f aca="false">Таблица1[[#This Row],[Дата сева агро]]+84</f>
        <v>45526</v>
      </c>
      <c r="G26" s="15"/>
      <c r="H26" s="366" t="s">
        <v>3878</v>
      </c>
      <c r="I26" s="15" t="s">
        <v>38</v>
      </c>
      <c r="J26" s="0" t="s">
        <v>263</v>
      </c>
      <c r="K26" s="0" t="s">
        <v>104</v>
      </c>
      <c r="L26" s="0" t="n">
        <v>32.9</v>
      </c>
      <c r="M26" s="0" t="n">
        <v>32.9</v>
      </c>
      <c r="N26" s="0" t="n">
        <f aca="false">1+31.9</f>
        <v>32.9</v>
      </c>
      <c r="O26" s="0" t="n">
        <f aca="false">Таблица1[[#This Row],[Площадь сева, га]]-Таблица1[[#This Row],[Площадь уборки, га]]</f>
        <v>0</v>
      </c>
      <c r="P26" s="23" t="n">
        <f aca="false">Таблица1[[#This Row],[Площадь уборки, га]]/Таблица1[[#This Row],[Площадь сева, га]]</f>
        <v>1</v>
      </c>
      <c r="Q26" s="26" t="n">
        <v>8</v>
      </c>
      <c r="R26" s="26" t="n">
        <f aca="false">IFERROR(Таблица1[[#This Row],[Валовый сбор фактический, т]]/Таблица1[[#This Row],[Площадь уборки, га]],"-")</f>
        <v>9.95106382978723</v>
      </c>
      <c r="S26" s="360" t="n">
        <f aca="false">Таблица1[[#This Row],[Урожайность плановая, т/га]]*Таблица1[[#This Row],[Площадь сева, га]]</f>
        <v>263.2</v>
      </c>
      <c r="T26" s="360" t="n">
        <f aca="false">7.49+319.9</f>
        <v>327.39</v>
      </c>
      <c r="U26" s="23" t="n">
        <f aca="false">IFERROR(Таблица1[[#This Row],[Валовый сбор фактический, т]]/Таблица1[[#This Row],[Валовый сбор плановый, т]],"-")</f>
        <v>1.2438829787234</v>
      </c>
    </row>
    <row r="27" customFormat="false" ht="15" hidden="true" customHeight="false" outlineLevel="0" collapsed="false">
      <c r="A27" s="0" t="s">
        <v>3866</v>
      </c>
      <c r="B27" s="0" t="s">
        <v>3877</v>
      </c>
      <c r="C27" s="0" t="s">
        <v>3877</v>
      </c>
      <c r="D27" s="0" t="str">
        <f aca="false">Таблица1[[#This Row],[Номер поля агро уточн]]</f>
        <v>А-108</v>
      </c>
      <c r="E27" s="15" t="n">
        <v>45442</v>
      </c>
      <c r="F27" s="15" t="n">
        <f aca="false">Таблица1[[#This Row],[Дата сева агро]]+84</f>
        <v>45526</v>
      </c>
      <c r="G27" s="15"/>
      <c r="H27" s="366" t="s">
        <v>3879</v>
      </c>
      <c r="I27" s="15" t="s">
        <v>38</v>
      </c>
      <c r="J27" s="0" t="s">
        <v>832</v>
      </c>
      <c r="K27" s="0" t="s">
        <v>105</v>
      </c>
      <c r="L27" s="0" t="n">
        <v>23</v>
      </c>
      <c r="M27" s="0" t="n">
        <v>23</v>
      </c>
      <c r="N27" s="0" t="n">
        <f aca="false">2.5+20.5</f>
        <v>23</v>
      </c>
      <c r="O27" s="0" t="n">
        <f aca="false">Таблица1[[#This Row],[Площадь сева, га]]-Таблица1[[#This Row],[Площадь уборки, га]]</f>
        <v>0</v>
      </c>
      <c r="P27" s="23" t="n">
        <f aca="false">Таблица1[[#This Row],[Площадь уборки, га]]/Таблица1[[#This Row],[Площадь сева, га]]</f>
        <v>1</v>
      </c>
      <c r="Q27" s="26" t="n">
        <v>8</v>
      </c>
      <c r="R27" s="26" t="n">
        <f aca="false">IFERROR(Таблица1[[#This Row],[Валовый сбор фактический, т]]/Таблица1[[#This Row],[Площадь уборки, га]],"-")</f>
        <v>5.12652173913043</v>
      </c>
      <c r="S27" s="360" t="n">
        <f aca="false">Таблица1[[#This Row],[Урожайность плановая, т/га]]*Таблица1[[#This Row],[Площадь сева, га]]</f>
        <v>184</v>
      </c>
      <c r="T27" s="360" t="n">
        <f aca="false">43.36+74.55</f>
        <v>117.91</v>
      </c>
      <c r="U27" s="23" t="n">
        <f aca="false">IFERROR(Таблица1[[#This Row],[Валовый сбор фактический, т]]/Таблица1[[#This Row],[Валовый сбор плановый, т]],"-")</f>
        <v>0.640815217391304</v>
      </c>
    </row>
    <row r="28" customFormat="false" ht="15" hidden="true" customHeight="false" outlineLevel="0" collapsed="false">
      <c r="A28" s="0" t="s">
        <v>3866</v>
      </c>
      <c r="B28" s="0" t="s">
        <v>3877</v>
      </c>
      <c r="C28" s="0" t="s">
        <v>3877</v>
      </c>
      <c r="D28" s="0" t="str">
        <f aca="false">Таблица1[[#This Row],[Номер поля агро уточн]]</f>
        <v>А-108</v>
      </c>
      <c r="E28" s="15" t="n">
        <v>45444</v>
      </c>
      <c r="F28" s="15" t="n">
        <f aca="false">Таблица1[[#This Row],[Дата сева агро]]+84</f>
        <v>45528</v>
      </c>
      <c r="G28" s="15"/>
      <c r="H28" s="366" t="s">
        <v>3880</v>
      </c>
      <c r="I28" s="15" t="s">
        <v>38</v>
      </c>
      <c r="J28" s="0" t="s">
        <v>3881</v>
      </c>
      <c r="K28" s="0" t="s">
        <v>101</v>
      </c>
      <c r="L28" s="0" t="n">
        <v>45.1</v>
      </c>
      <c r="M28" s="0" t="n">
        <v>45.1</v>
      </c>
      <c r="N28" s="0" t="n">
        <f aca="false">24+21.1</f>
        <v>45.1</v>
      </c>
      <c r="O28" s="0" t="n">
        <f aca="false">Таблица1[[#This Row],[Площадь сева, га]]-Таблица1[[#This Row],[Площадь уборки, га]]</f>
        <v>0</v>
      </c>
      <c r="P28" s="23" t="n">
        <f aca="false">Таблица1[[#This Row],[Площадь уборки, га]]/Таблица1[[#This Row],[Площадь сева, га]]</f>
        <v>1</v>
      </c>
      <c r="Q28" s="26" t="n">
        <v>8</v>
      </c>
      <c r="R28" s="26" t="n">
        <f aca="false">IFERROR(Таблица1[[#This Row],[Валовый сбор фактический, т]]/Таблица1[[#This Row],[Площадь уборки, га]],"-")</f>
        <v>8.47782705099778</v>
      </c>
      <c r="S28" s="360" t="n">
        <f aca="false">Таблица1[[#This Row],[Урожайность плановая, т/га]]*Таблица1[[#This Row],[Площадь сева, га]]</f>
        <v>360.8</v>
      </c>
      <c r="T28" s="360" t="n">
        <f aca="false">224.97+157.38</f>
        <v>382.35</v>
      </c>
      <c r="U28" s="23" t="n">
        <f aca="false">IFERROR(Таблица1[[#This Row],[Валовый сбор фактический, т]]/Таблица1[[#This Row],[Валовый сбор плановый, т]],"-")</f>
        <v>1.05972838137472</v>
      </c>
    </row>
    <row r="29" customFormat="false" ht="15" hidden="true" customHeight="false" outlineLevel="0" collapsed="false">
      <c r="A29" s="0" t="s">
        <v>3866</v>
      </c>
      <c r="B29" s="0" t="s">
        <v>3882</v>
      </c>
      <c r="C29" s="0" t="s">
        <v>3882</v>
      </c>
      <c r="D29" s="0" t="str">
        <f aca="false">Таблица1[[#This Row],[Номер поля агро уточн]]</f>
        <v>А-106</v>
      </c>
      <c r="E29" s="15" t="n">
        <v>45446</v>
      </c>
      <c r="F29" s="15" t="n">
        <f aca="false">Таблица1[[#This Row],[Дата сева агро]]+84</f>
        <v>45530</v>
      </c>
      <c r="G29" s="15"/>
      <c r="H29" s="366" t="s">
        <v>3883</v>
      </c>
      <c r="I29" s="15" t="s">
        <v>38</v>
      </c>
      <c r="J29" s="0" t="s">
        <v>3881</v>
      </c>
      <c r="K29" s="0" t="s">
        <v>101</v>
      </c>
      <c r="L29" s="0" t="n">
        <v>16.5</v>
      </c>
      <c r="M29" s="0" t="n">
        <v>16.5</v>
      </c>
      <c r="N29" s="0" t="n">
        <f aca="false">3+13.5</f>
        <v>16.5</v>
      </c>
      <c r="O29" s="0" t="n">
        <f aca="false">Таблица1[[#This Row],[Площадь сева, га]]-Таблица1[[#This Row],[Площадь уборки, га]]</f>
        <v>0</v>
      </c>
      <c r="P29" s="23" t="n">
        <f aca="false">Таблица1[[#This Row],[Площадь уборки, га]]/Таблица1[[#This Row],[Площадь сева, га]]</f>
        <v>1</v>
      </c>
      <c r="Q29" s="26" t="n">
        <v>8</v>
      </c>
      <c r="R29" s="372" t="n">
        <f aca="false">IFERROR(Таблица1[[#This Row],[Валовый сбор фактический, т]]/Таблица1[[#This Row],[Площадь уборки, га]],"-")</f>
        <v>7.46727272727273</v>
      </c>
      <c r="S29" s="360" t="n">
        <f aca="false">Таблица1[[#This Row],[Урожайность плановая, т/га]]*Таблица1[[#This Row],[Площадь сева, га]]</f>
        <v>132</v>
      </c>
      <c r="T29" s="360" t="n">
        <f aca="false">22.48+100.73</f>
        <v>123.21</v>
      </c>
      <c r="U29" s="23" t="n">
        <f aca="false">IFERROR(Таблица1[[#This Row],[Валовый сбор фактический, т]]/Таблица1[[#This Row],[Валовый сбор плановый, т]],"-")</f>
        <v>0.933409090909091</v>
      </c>
      <c r="V29" s="0" t="s">
        <v>3884</v>
      </c>
    </row>
    <row r="30" customFormat="false" ht="15" hidden="true" customHeight="false" outlineLevel="0" collapsed="false">
      <c r="A30" s="0" t="s">
        <v>3866</v>
      </c>
      <c r="B30" s="0" t="s">
        <v>3882</v>
      </c>
      <c r="C30" s="0" t="s">
        <v>3882</v>
      </c>
      <c r="D30" s="0" t="str">
        <f aca="false">Таблица1[[#This Row],[Номер поля агро уточн]]</f>
        <v>А-106</v>
      </c>
      <c r="E30" s="15" t="n">
        <v>45446</v>
      </c>
      <c r="F30" s="15" t="n">
        <f aca="false">Таблица1[[#This Row],[Дата сева агро]]+84</f>
        <v>45530</v>
      </c>
      <c r="G30" s="15"/>
      <c r="H30" s="15" t="n">
        <v>45537</v>
      </c>
      <c r="I30" s="15" t="s">
        <v>38</v>
      </c>
      <c r="J30" s="0" t="s">
        <v>3868</v>
      </c>
      <c r="K30" s="0" t="s">
        <v>99</v>
      </c>
      <c r="L30" s="0" t="n">
        <v>29.5</v>
      </c>
      <c r="M30" s="0" t="n">
        <v>29.5</v>
      </c>
      <c r="N30" s="373" t="n">
        <f aca="false">29.5+12-23</f>
        <v>18.5</v>
      </c>
      <c r="O30" s="0" t="n">
        <f aca="false">Таблица1[[#This Row],[Площадь сева, га]]-Таблица1[[#This Row],[Площадь уборки, га]]</f>
        <v>11</v>
      </c>
      <c r="P30" s="23" t="n">
        <f aca="false">Таблица1[[#This Row],[Площадь уборки, га]]/Таблица1[[#This Row],[Площадь сева, га]]</f>
        <v>0.627118644067797</v>
      </c>
      <c r="Q30" s="26" t="n">
        <v>8</v>
      </c>
      <c r="R30" s="372" t="n">
        <f aca="false">IFERROR(Таблица1[[#This Row],[Валовый сбор фактический, т]]/Таблица1[[#This Row],[Площадь уборки, га]],"-")</f>
        <v>8.36054054054054</v>
      </c>
      <c r="S30" s="360" t="n">
        <f aca="false">Таблица1[[#This Row],[Урожайность плановая, т/га]]*Таблица1[[#This Row],[Площадь сева, га]]</f>
        <v>236</v>
      </c>
      <c r="T30" s="360" t="n">
        <v>154.67</v>
      </c>
      <c r="U30" s="23" t="n">
        <f aca="false">IFERROR(Таблица1[[#This Row],[Валовый сбор фактический, т]]/Таблица1[[#This Row],[Валовый сбор плановый, т]],"-")</f>
        <v>0.655381355932203</v>
      </c>
      <c r="V30" s="0" t="s">
        <v>3885</v>
      </c>
    </row>
    <row r="31" customFormat="false" ht="15" hidden="true" customHeight="false" outlineLevel="0" collapsed="false">
      <c r="A31" s="0" t="s">
        <v>3866</v>
      </c>
      <c r="B31" s="0" t="s">
        <v>3882</v>
      </c>
      <c r="C31" s="0" t="s">
        <v>3882</v>
      </c>
      <c r="D31" s="0" t="str">
        <f aca="false">Таблица1[[#This Row],[Номер поля агро уточн]]</f>
        <v>А-106</v>
      </c>
      <c r="E31" s="15" t="n">
        <v>45446</v>
      </c>
      <c r="F31" s="15" t="n">
        <f aca="false">Таблица1[[#This Row],[Дата сева агро]]+84</f>
        <v>45530</v>
      </c>
      <c r="G31" s="15"/>
      <c r="H31" s="15" t="n">
        <v>45537</v>
      </c>
      <c r="I31" s="15" t="s">
        <v>38</v>
      </c>
      <c r="J31" s="0" t="s">
        <v>571</v>
      </c>
      <c r="K31" s="0" t="s">
        <v>97</v>
      </c>
      <c r="L31" s="0" t="n">
        <v>12</v>
      </c>
      <c r="M31" s="0" t="n">
        <v>12</v>
      </c>
      <c r="N31" s="0" t="n">
        <v>0</v>
      </c>
      <c r="O31" s="0" t="n">
        <f aca="false">Таблица1[[#This Row],[Площадь сева, га]]-Таблица1[[#This Row],[Площадь уборки, га]]</f>
        <v>12</v>
      </c>
      <c r="P31" s="23" t="n">
        <f aca="false">Таблица1[[#This Row],[Площадь уборки, га]]/Таблица1[[#This Row],[Площадь сева, га]]</f>
        <v>0</v>
      </c>
      <c r="Q31" s="26" t="n">
        <v>8</v>
      </c>
      <c r="R31" s="372" t="str">
        <f aca="false">IFERROR(Таблица1[[#This Row],[Валовый сбор фактический, т]]/Таблица1[[#This Row],[Площадь уборки, га]],"-")</f>
        <v>-</v>
      </c>
      <c r="S31" s="360" t="n">
        <f aca="false">Таблица1[[#This Row],[Урожайность плановая, т/га]]*Таблица1[[#This Row],[Площадь сева, га]]</f>
        <v>96</v>
      </c>
      <c r="U31" s="23" t="n">
        <f aca="false">IFERROR(Таблица1[[#This Row],[Валовый сбор фактический, т]]/Таблица1[[#This Row],[Валовый сбор плановый, т]],"-")</f>
        <v>0</v>
      </c>
      <c r="V31" s="0" t="s">
        <v>102</v>
      </c>
    </row>
    <row r="32" customFormat="false" ht="15" hidden="true" customHeight="false" outlineLevel="0" collapsed="false">
      <c r="A32" s="0" t="s">
        <v>3866</v>
      </c>
      <c r="B32" s="0" t="s">
        <v>3886</v>
      </c>
      <c r="C32" s="0" t="s">
        <v>3886</v>
      </c>
      <c r="D32" s="0" t="str">
        <f aca="false">Таблица1[[#This Row],[Номер поля агро уточн]]</f>
        <v>А-104</v>
      </c>
      <c r="E32" s="15" t="n">
        <v>45447</v>
      </c>
      <c r="F32" s="15" t="n">
        <f aca="false">Таблица1[[#This Row],[Дата сева агро]]+84</f>
        <v>45531</v>
      </c>
      <c r="G32" s="15"/>
      <c r="H32" s="15" t="n">
        <v>45533</v>
      </c>
      <c r="I32" s="15" t="s">
        <v>38</v>
      </c>
      <c r="J32" s="0" t="s">
        <v>571</v>
      </c>
      <c r="K32" s="0" t="s">
        <v>97</v>
      </c>
      <c r="L32" s="0" t="n">
        <v>10</v>
      </c>
      <c r="M32" s="0" t="n">
        <v>10</v>
      </c>
      <c r="N32" s="0" t="n">
        <v>10</v>
      </c>
      <c r="O32" s="0" t="n">
        <f aca="false">Таблица1[[#This Row],[Площадь сева, га]]-Таблица1[[#This Row],[Площадь уборки, га]]</f>
        <v>0</v>
      </c>
      <c r="P32" s="23" t="n">
        <f aca="false">Таблица1[[#This Row],[Площадь уборки, га]]/Таблица1[[#This Row],[Площадь сева, га]]</f>
        <v>1</v>
      </c>
      <c r="Q32" s="26" t="n">
        <v>8</v>
      </c>
      <c r="R32" s="372" t="n">
        <f aca="false">IFERROR(Таблица1[[#This Row],[Валовый сбор фактический, т]]/Таблица1[[#This Row],[Площадь уборки, га]],"-")</f>
        <v>10.3031</v>
      </c>
      <c r="S32" s="360" t="n">
        <f aca="false">Таблица1[[#This Row],[Урожайность плановая, т/га]]*Таблица1[[#This Row],[Площадь сева, га]]</f>
        <v>80</v>
      </c>
      <c r="T32" s="360" t="n">
        <v>103.031</v>
      </c>
      <c r="U32" s="23" t="n">
        <f aca="false">IFERROR(Таблица1[[#This Row],[Валовый сбор фактический, т]]/Таблица1[[#This Row],[Валовый сбор плановый, т]],"-")</f>
        <v>1.2878875</v>
      </c>
    </row>
    <row r="33" customFormat="false" ht="15" hidden="true" customHeight="false" outlineLevel="0" collapsed="false">
      <c r="A33" s="0" t="s">
        <v>3866</v>
      </c>
      <c r="B33" s="0" t="s">
        <v>3886</v>
      </c>
      <c r="C33" s="0" t="s">
        <v>3886</v>
      </c>
      <c r="D33" s="0" t="str">
        <f aca="false">Таблица1[[#This Row],[Номер поля агро уточн]]</f>
        <v>А-104</v>
      </c>
      <c r="E33" s="15" t="n">
        <v>45448</v>
      </c>
      <c r="F33" s="15" t="n">
        <f aca="false">Таблица1[[#This Row],[Дата сева агро]]+84</f>
        <v>45532</v>
      </c>
      <c r="G33" s="15"/>
      <c r="H33" s="366" t="s">
        <v>3887</v>
      </c>
      <c r="I33" s="15" t="s">
        <v>38</v>
      </c>
      <c r="J33" s="0" t="s">
        <v>571</v>
      </c>
      <c r="K33" s="0" t="s">
        <v>97</v>
      </c>
      <c r="L33" s="0" t="n">
        <v>50</v>
      </c>
      <c r="M33" s="0" t="n">
        <v>50</v>
      </c>
      <c r="N33" s="0" t="n">
        <f aca="false">6+44</f>
        <v>50</v>
      </c>
      <c r="O33" s="0" t="n">
        <f aca="false">Таблица1[[#This Row],[Площадь сева, га]]-Таблица1[[#This Row],[Площадь уборки, га]]</f>
        <v>0</v>
      </c>
      <c r="P33" s="23" t="n">
        <f aca="false">Таблица1[[#This Row],[Площадь уборки, га]]/Таблица1[[#This Row],[Площадь сева, га]]</f>
        <v>1</v>
      </c>
      <c r="Q33" s="26" t="n">
        <v>8</v>
      </c>
      <c r="R33" s="372" t="n">
        <f aca="false">IFERROR(Таблица1[[#This Row],[Валовый сбор фактический, т]]/Таблица1[[#This Row],[Площадь уборки, га]],"-")</f>
        <v>9.80198</v>
      </c>
      <c r="S33" s="360" t="n">
        <f aca="false">Таблица1[[#This Row],[Урожайность плановая, т/га]]*Таблица1[[#This Row],[Площадь сева, га]]</f>
        <v>400</v>
      </c>
      <c r="T33" s="360" t="n">
        <f aca="false">61.819+428.28</f>
        <v>490.099</v>
      </c>
      <c r="U33" s="23" t="n">
        <f aca="false">IFERROR(Таблица1[[#This Row],[Валовый сбор фактический, т]]/Таблица1[[#This Row],[Валовый сбор плановый, т]],"-")</f>
        <v>1.2252475</v>
      </c>
    </row>
    <row r="34" customFormat="false" ht="15" hidden="true" customHeight="false" outlineLevel="0" collapsed="false">
      <c r="A34" s="0" t="s">
        <v>3888</v>
      </c>
      <c r="B34" s="0" t="s">
        <v>3889</v>
      </c>
      <c r="C34" s="0" t="s">
        <v>114</v>
      </c>
      <c r="D34" s="0" t="str">
        <f aca="false">Таблица1[[#This Row],[Номер поля агро уточн]]</f>
        <v>3.7 Иррико-Холдинг</v>
      </c>
      <c r="E34" s="15" t="n">
        <v>45451</v>
      </c>
      <c r="F34" s="15" t="n">
        <f aca="false">Таблица1[[#This Row],[Дата сева агро]]+84</f>
        <v>45535</v>
      </c>
      <c r="G34" s="15"/>
      <c r="H34" s="366" t="s">
        <v>3890</v>
      </c>
      <c r="I34" s="15" t="s">
        <v>36</v>
      </c>
      <c r="J34" s="0" t="s">
        <v>279</v>
      </c>
      <c r="K34" s="0" t="s">
        <v>115</v>
      </c>
      <c r="L34" s="0" t="n">
        <v>41.67</v>
      </c>
      <c r="M34" s="0" t="n">
        <v>42</v>
      </c>
      <c r="N34" s="0" t="n">
        <f aca="false">21.6+20.07</f>
        <v>41.67</v>
      </c>
      <c r="O34" s="0" t="n">
        <f aca="false">Таблица1[[#This Row],[Площадь сева, га]]-Таблица1[[#This Row],[Площадь уборки, га]]</f>
        <v>0</v>
      </c>
      <c r="P34" s="23" t="n">
        <f aca="false">Таблица1[[#This Row],[Площадь уборки, га]]/Таблица1[[#This Row],[Площадь сева, га]]</f>
        <v>1</v>
      </c>
      <c r="Q34" s="26" t="n">
        <v>18</v>
      </c>
      <c r="R34" s="26" t="n">
        <f aca="false">IFERROR(Таблица1[[#This Row],[Валовый сбор фактический, т]]/Таблица1[[#This Row],[Площадь уборки, га]],"-")</f>
        <v>20.3575713942885</v>
      </c>
      <c r="S34" s="360" t="n">
        <f aca="false">Таблица1[[#This Row],[Урожайность плановая, т/га]]*Таблица1[[#This Row],[Площадь сева, га]]</f>
        <v>750.06</v>
      </c>
      <c r="T34" s="360" t="n">
        <f aca="false">460.56+387.74</f>
        <v>848.3</v>
      </c>
      <c r="U34" s="23" t="n">
        <f aca="false">IFERROR(Таблица1[[#This Row],[Валовый сбор фактический, т]]/Таблица1[[#This Row],[Валовый сбор плановый, т]],"-")</f>
        <v>1.13097618857158</v>
      </c>
    </row>
    <row r="35" customFormat="false" ht="15" hidden="true" customHeight="false" outlineLevel="0" collapsed="false">
      <c r="A35" s="0" t="s">
        <v>3888</v>
      </c>
      <c r="B35" s="0" t="s">
        <v>3891</v>
      </c>
      <c r="C35" s="0" t="s">
        <v>116</v>
      </c>
      <c r="D35" s="0" t="str">
        <f aca="false">Таблица1[[#This Row],[Номер поля агро уточн]]</f>
        <v>2.19.1 Иррико-Холдинг</v>
      </c>
      <c r="E35" s="15" t="n">
        <v>45453</v>
      </c>
      <c r="F35" s="15" t="n">
        <f aca="false">Таблица1[[#This Row],[Дата сева агро]]+84</f>
        <v>45537</v>
      </c>
      <c r="G35" s="15"/>
      <c r="H35" s="366" t="s">
        <v>3892</v>
      </c>
      <c r="I35" s="15" t="s">
        <v>36</v>
      </c>
      <c r="J35" s="0" t="s">
        <v>279</v>
      </c>
      <c r="K35" s="0" t="s">
        <v>115</v>
      </c>
      <c r="L35" s="0" t="n">
        <v>33.33</v>
      </c>
      <c r="M35" s="0" t="n">
        <v>33</v>
      </c>
      <c r="N35" s="0" t="n">
        <f aca="false">11+15.33+7</f>
        <v>33.33</v>
      </c>
      <c r="O35" s="0" t="n">
        <f aca="false">Таблица1[[#This Row],[Площадь сева, га]]-Таблица1[[#This Row],[Площадь уборки, га]]</f>
        <v>0</v>
      </c>
      <c r="P35" s="23" t="n">
        <f aca="false">Таблица1[[#This Row],[Площадь уборки, га]]/Таблица1[[#This Row],[Площадь сева, га]]</f>
        <v>1</v>
      </c>
      <c r="Q35" s="26" t="n">
        <v>18</v>
      </c>
      <c r="R35" s="26" t="n">
        <f aca="false">IFERROR(Таблица1[[#This Row],[Валовый сбор фактический, т]]/Таблица1[[#This Row],[Площадь уборки, га]],"-")</f>
        <v>21.5301530153015</v>
      </c>
      <c r="S35" s="360" t="n">
        <f aca="false">Таблица1[[#This Row],[Урожайность плановая, т/га]]*Таблица1[[#This Row],[Площадь сева, га]]</f>
        <v>599.94</v>
      </c>
      <c r="T35" s="360" t="n">
        <f aca="false">210.26+339.24+168.1</f>
        <v>717.6</v>
      </c>
      <c r="U35" s="23" t="n">
        <f aca="false">IFERROR(Таблица1[[#This Row],[Валовый сбор фактический, т]]/Таблица1[[#This Row],[Валовый сбор плановый, т]],"-")</f>
        <v>1.1961196119612</v>
      </c>
    </row>
    <row r="36" customFormat="false" ht="15" hidden="true" customHeight="false" outlineLevel="0" collapsed="false">
      <c r="A36" s="0" t="s">
        <v>3888</v>
      </c>
      <c r="B36" s="0" t="s">
        <v>3893</v>
      </c>
      <c r="C36" s="0" t="s">
        <v>117</v>
      </c>
      <c r="D36" s="0" t="str">
        <f aca="false">Таблица1[[#This Row],[Номер поля агро уточн]]</f>
        <v>3.29 Иррико-Холдинг</v>
      </c>
      <c r="E36" s="15" t="n">
        <v>45454</v>
      </c>
      <c r="F36" s="15" t="n">
        <f aca="false">Таблица1[[#This Row],[Дата сева агро]]+84</f>
        <v>45538</v>
      </c>
      <c r="G36" s="15"/>
      <c r="H36" s="366" t="s">
        <v>3894</v>
      </c>
      <c r="I36" s="15" t="s">
        <v>36</v>
      </c>
      <c r="J36" s="0" t="s">
        <v>279</v>
      </c>
      <c r="K36" s="0" t="s">
        <v>115</v>
      </c>
      <c r="L36" s="0" t="n">
        <v>36.03</v>
      </c>
      <c r="M36" s="0" t="n">
        <v>36</v>
      </c>
      <c r="N36" s="0" t="n">
        <f aca="false">5+19+12.03</f>
        <v>36.03</v>
      </c>
      <c r="O36" s="0" t="n">
        <f aca="false">Таблица1[[#This Row],[Площадь сева, га]]-Таблица1[[#This Row],[Площадь уборки, га]]</f>
        <v>0</v>
      </c>
      <c r="P36" s="23" t="n">
        <f aca="false">Таблица1[[#This Row],[Площадь уборки, га]]/Таблица1[[#This Row],[Площадь сева, га]]</f>
        <v>1</v>
      </c>
      <c r="Q36" s="26" t="n">
        <v>18</v>
      </c>
      <c r="R36" s="26" t="n">
        <f aca="false">IFERROR(Таблица1[[#This Row],[Валовый сбор фактический, т]]/Таблица1[[#This Row],[Площадь уборки, га]],"-")</f>
        <v>17.8134887593672</v>
      </c>
      <c r="S36" s="360" t="n">
        <f aca="false">Таблица1[[#This Row],[Урожайность плановая, т/га]]*Таблица1[[#This Row],[Площадь сева, га]]</f>
        <v>648.54</v>
      </c>
      <c r="T36" s="360" t="n">
        <f aca="false">79.47+300.56+261.79</f>
        <v>641.82</v>
      </c>
      <c r="U36" s="23" t="n">
        <f aca="false">IFERROR(Таблица1[[#This Row],[Валовый сбор фактический, т]]/Таблица1[[#This Row],[Валовый сбор плановый, т]],"-")</f>
        <v>0.989638264409289</v>
      </c>
    </row>
    <row r="37" customFormat="false" ht="15" hidden="true" customHeight="false" outlineLevel="0" collapsed="false">
      <c r="A37" s="0" t="s">
        <v>3888</v>
      </c>
      <c r="B37" s="0" t="s">
        <v>3895</v>
      </c>
      <c r="C37" s="0" t="s">
        <v>118</v>
      </c>
      <c r="D37" s="0" t="str">
        <f aca="false">Таблица1[[#This Row],[Номер поля агро уточн]]</f>
        <v>3.32 Иррико-Холдинг</v>
      </c>
      <c r="E37" s="15" t="n">
        <v>45455</v>
      </c>
      <c r="F37" s="15" t="n">
        <f aca="false">Таблица1[[#This Row],[Дата сева агро]]+84</f>
        <v>45539</v>
      </c>
      <c r="G37" s="15"/>
      <c r="H37" s="366" t="s">
        <v>3896</v>
      </c>
      <c r="I37" s="15" t="s">
        <v>36</v>
      </c>
      <c r="J37" s="0" t="s">
        <v>279</v>
      </c>
      <c r="K37" s="0" t="s">
        <v>115</v>
      </c>
      <c r="L37" s="0" t="n">
        <v>37.45</v>
      </c>
      <c r="M37" s="0" t="n">
        <v>37</v>
      </c>
      <c r="N37" s="0" t="n">
        <f aca="false">21.5+15.5+0.45</f>
        <v>37.45</v>
      </c>
      <c r="O37" s="0" t="n">
        <f aca="false">Таблица1[[#This Row],[Площадь сева, га]]-Таблица1[[#This Row],[Площадь уборки, га]]</f>
        <v>0</v>
      </c>
      <c r="P37" s="23" t="n">
        <f aca="false">Таблица1[[#This Row],[Площадь уборки, га]]/Таблица1[[#This Row],[Площадь сева, га]]</f>
        <v>1</v>
      </c>
      <c r="Q37" s="26" t="n">
        <v>18</v>
      </c>
      <c r="R37" s="26" t="n">
        <f aca="false">IFERROR(Таблица1[[#This Row],[Валовый сбор фактический, т]]/Таблица1[[#This Row],[Площадь уборки, га]],"-")</f>
        <v>20.3898531375167</v>
      </c>
      <c r="S37" s="360" t="n">
        <f aca="false">Таблица1[[#This Row],[Урожайность плановая, т/га]]*Таблица1[[#This Row],[Площадь сева, га]]</f>
        <v>674.1</v>
      </c>
      <c r="T37" s="360" t="n">
        <f aca="false">464.81+298.79</f>
        <v>763.6</v>
      </c>
      <c r="U37" s="23" t="n">
        <f aca="false">IFERROR(Таблица1[[#This Row],[Валовый сбор фактический, т]]/Таблица1[[#This Row],[Валовый сбор плановый, т]],"-")</f>
        <v>1.13276961875093</v>
      </c>
    </row>
    <row r="38" customFormat="false" ht="15" hidden="true" customHeight="false" outlineLevel="0" collapsed="false">
      <c r="A38" s="0" t="s">
        <v>3888</v>
      </c>
      <c r="B38" s="0" t="s">
        <v>3897</v>
      </c>
      <c r="C38" s="0" t="s">
        <v>119</v>
      </c>
      <c r="D38" s="0" t="str">
        <f aca="false">Таблица1[[#This Row],[Номер поля агро уточн]]</f>
        <v>3.30 Иррико-Холдинг</v>
      </c>
      <c r="E38" s="15" t="n">
        <v>45456</v>
      </c>
      <c r="F38" s="15" t="n">
        <f aca="false">Таблица1[[#This Row],[Дата сева агро]]+84</f>
        <v>45540</v>
      </c>
      <c r="G38" s="15"/>
      <c r="H38" s="366" t="s">
        <v>3898</v>
      </c>
      <c r="I38" s="15" t="s">
        <v>36</v>
      </c>
      <c r="J38" s="0" t="s">
        <v>279</v>
      </c>
      <c r="K38" s="0" t="s">
        <v>115</v>
      </c>
      <c r="L38" s="0" t="n">
        <v>36.43</v>
      </c>
      <c r="M38" s="0" t="n">
        <v>36</v>
      </c>
      <c r="N38" s="0" t="n">
        <f aca="false">11+25.43</f>
        <v>36.43</v>
      </c>
      <c r="O38" s="0" t="n">
        <f aca="false">Таблица1[[#This Row],[Площадь сева, га]]-Таблица1[[#This Row],[Площадь уборки, га]]</f>
        <v>0</v>
      </c>
      <c r="P38" s="23" t="n">
        <f aca="false">Таблица1[[#This Row],[Площадь уборки, га]]/Таблица1[[#This Row],[Площадь сева, га]]</f>
        <v>1</v>
      </c>
      <c r="Q38" s="26" t="n">
        <v>18</v>
      </c>
      <c r="R38" s="26" t="n">
        <f aca="false">IFERROR(Таблица1[[#This Row],[Валовый сбор фактический, т]]/Таблица1[[#This Row],[Площадь уборки, га]],"-")</f>
        <v>22.1413670052155</v>
      </c>
      <c r="S38" s="360" t="n">
        <f aca="false">Таблица1[[#This Row],[Урожайность плановая, т/га]]*Таблица1[[#This Row],[Площадь сева, га]]</f>
        <v>655.74</v>
      </c>
      <c r="T38" s="360" t="n">
        <f aca="false">226.04+580.57</f>
        <v>806.61</v>
      </c>
      <c r="U38" s="23" t="n">
        <f aca="false">IFERROR(Таблица1[[#This Row],[Валовый сбор фактический, т]]/Таблица1[[#This Row],[Валовый сбор плановый, т]],"-")</f>
        <v>1.23007594473419</v>
      </c>
    </row>
    <row r="39" customFormat="false" ht="15" hidden="true" customHeight="false" outlineLevel="0" collapsed="false">
      <c r="A39" s="0" t="s">
        <v>3888</v>
      </c>
      <c r="B39" s="0" t="s">
        <v>3899</v>
      </c>
      <c r="C39" s="0" t="s">
        <v>120</v>
      </c>
      <c r="D39" s="0" t="str">
        <f aca="false">Таблица1[[#This Row],[Номер поля агро уточн]]</f>
        <v>3.33 Иррико-Холдинг</v>
      </c>
      <c r="E39" s="15" t="n">
        <v>45457</v>
      </c>
      <c r="F39" s="15" t="n">
        <f aca="false">Таблица1[[#This Row],[Дата сева агро]]+84</f>
        <v>45541</v>
      </c>
      <c r="G39" s="15"/>
      <c r="H39" s="366" t="s">
        <v>3900</v>
      </c>
      <c r="I39" s="15" t="s">
        <v>36</v>
      </c>
      <c r="J39" s="0" t="s">
        <v>279</v>
      </c>
      <c r="K39" s="0" t="s">
        <v>115</v>
      </c>
      <c r="L39" s="0" t="n">
        <v>31.9</v>
      </c>
      <c r="M39" s="0" t="n">
        <v>32</v>
      </c>
      <c r="N39" s="0" t="n">
        <f aca="false">4.1+11.6+7.3+8.9</f>
        <v>31.9</v>
      </c>
      <c r="O39" s="0" t="n">
        <f aca="false">Таблица1[[#This Row],[Площадь сева, га]]-Таблица1[[#This Row],[Площадь уборки, га]]</f>
        <v>0</v>
      </c>
      <c r="P39" s="23" t="n">
        <f aca="false">Таблица1[[#This Row],[Площадь уборки, га]]/Таблица1[[#This Row],[Площадь сева, га]]</f>
        <v>1</v>
      </c>
      <c r="Q39" s="26" t="n">
        <v>18</v>
      </c>
      <c r="R39" s="26" t="n">
        <f aca="false">IFERROR(Таблица1[[#This Row],[Валовый сбор фактический, т]]/Таблица1[[#This Row],[Площадь уборки, га]],"-")</f>
        <v>20.5739811912226</v>
      </c>
      <c r="S39" s="360" t="n">
        <f aca="false">Таблица1[[#This Row],[Урожайность плановая, т/га]]*Таблица1[[#This Row],[Площадь сева, га]]</f>
        <v>574.2</v>
      </c>
      <c r="T39" s="360" t="n">
        <f aca="false">52.77+206.63+169.95+226.96</f>
        <v>656.31</v>
      </c>
      <c r="U39" s="23" t="n">
        <f aca="false">IFERROR(Таблица1[[#This Row],[Валовый сбор фактический, т]]/Таблица1[[#This Row],[Валовый сбор плановый, т]],"-")</f>
        <v>1.14299895506792</v>
      </c>
    </row>
    <row r="40" customFormat="false" ht="15" hidden="true" customHeight="false" outlineLevel="0" collapsed="false">
      <c r="A40" s="0" t="s">
        <v>3888</v>
      </c>
      <c r="B40" s="0" t="s">
        <v>3901</v>
      </c>
      <c r="C40" s="0" t="s">
        <v>121</v>
      </c>
      <c r="D40" s="0" t="str">
        <f aca="false">Таблица1[[#This Row],[Номер поля агро уточн]]</f>
        <v>3.31 Иррико-Холдинг</v>
      </c>
      <c r="E40" s="15" t="n">
        <v>45458</v>
      </c>
      <c r="F40" s="15" t="n">
        <f aca="false">Таблица1[[#This Row],[Дата сева агро]]+84</f>
        <v>45542</v>
      </c>
      <c r="G40" s="15"/>
      <c r="H40" s="366" t="s">
        <v>3902</v>
      </c>
      <c r="I40" s="15" t="s">
        <v>36</v>
      </c>
      <c r="J40" s="0" t="s">
        <v>279</v>
      </c>
      <c r="K40" s="0" t="s">
        <v>115</v>
      </c>
      <c r="L40" s="0" t="n">
        <v>31.49</v>
      </c>
      <c r="M40" s="0" t="n">
        <v>32</v>
      </c>
      <c r="N40" s="0" t="n">
        <f aca="false">12+19.49</f>
        <v>31.49</v>
      </c>
      <c r="O40" s="0" t="n">
        <f aca="false">Таблица1[[#This Row],[Площадь сева, га]]-Таблица1[[#This Row],[Площадь уборки, га]]</f>
        <v>0</v>
      </c>
      <c r="P40" s="23" t="n">
        <f aca="false">Таблица1[[#This Row],[Площадь уборки, га]]/Таблица1[[#This Row],[Площадь сева, га]]</f>
        <v>1</v>
      </c>
      <c r="Q40" s="26" t="n">
        <v>18</v>
      </c>
      <c r="R40" s="26" t="n">
        <f aca="false">IFERROR(Таблица1[[#This Row],[Валовый сбор фактический, т]]/Таблица1[[#This Row],[Площадь уборки, га]],"-")</f>
        <v>22.0111146395681</v>
      </c>
      <c r="S40" s="360" t="n">
        <f aca="false">Таблица1[[#This Row],[Урожайность плановая, т/га]]*Таблица1[[#This Row],[Площадь сева, га]]</f>
        <v>566.82</v>
      </c>
      <c r="T40" s="360" t="n">
        <f aca="false">233.98+459.15</f>
        <v>693.13</v>
      </c>
      <c r="U40" s="23" t="n">
        <f aca="false">IFERROR(Таблица1[[#This Row],[Валовый сбор фактический, т]]/Таблица1[[#This Row],[Валовый сбор плановый, т]],"-")</f>
        <v>1.22283970219823</v>
      </c>
    </row>
    <row r="41" customFormat="false" ht="15" hidden="true" customHeight="false" outlineLevel="0" collapsed="false">
      <c r="A41" s="0" t="s">
        <v>3888</v>
      </c>
      <c r="B41" s="0" t="s">
        <v>3903</v>
      </c>
      <c r="C41" s="0" t="s">
        <v>122</v>
      </c>
      <c r="D41" s="0" t="str">
        <f aca="false">Таблица1[[#This Row],[Номер поля агро уточн]]</f>
        <v>3.34 Иррико-Холдинг</v>
      </c>
      <c r="E41" s="15" t="n">
        <v>45459</v>
      </c>
      <c r="F41" s="15" t="n">
        <f aca="false">Таблица1[[#This Row],[Дата сева агро]]+84</f>
        <v>45543</v>
      </c>
      <c r="G41" s="15"/>
      <c r="H41" s="366" t="s">
        <v>3904</v>
      </c>
      <c r="I41" s="15" t="s">
        <v>36</v>
      </c>
      <c r="J41" s="0" t="s">
        <v>279</v>
      </c>
      <c r="K41" s="0" t="s">
        <v>115</v>
      </c>
      <c r="L41" s="0" t="n">
        <v>37.27</v>
      </c>
      <c r="M41" s="0" t="n">
        <v>37</v>
      </c>
      <c r="N41" s="0" t="n">
        <f aca="false">1+2+19.27+15</f>
        <v>37.27</v>
      </c>
      <c r="O41" s="0" t="n">
        <f aca="false">Таблица1[[#This Row],[Площадь сева, га]]-Таблица1[[#This Row],[Площадь уборки, га]]</f>
        <v>0</v>
      </c>
      <c r="P41" s="23" t="n">
        <f aca="false">Таблица1[[#This Row],[Площадь уборки, га]]/Таблица1[[#This Row],[Площадь сева, га]]</f>
        <v>1</v>
      </c>
      <c r="Q41" s="26" t="n">
        <v>18</v>
      </c>
      <c r="R41" s="26" t="n">
        <f aca="false">IFERROR(Таблица1[[#This Row],[Валовый сбор фактический, т]]/Таблица1[[#This Row],[Площадь уборки, га]],"-")</f>
        <v>20.9839012610679</v>
      </c>
      <c r="S41" s="360" t="n">
        <f aca="false">Таблица1[[#This Row],[Урожайность плановая, т/га]]*Таблица1[[#This Row],[Площадь сева, га]]</f>
        <v>670.86</v>
      </c>
      <c r="T41" s="360" t="n">
        <f aca="false">30.64+29.3+320.26+364.8+37.07</f>
        <v>782.07</v>
      </c>
      <c r="U41" s="23" t="n">
        <f aca="false">IFERROR(Таблица1[[#This Row],[Валовый сбор фактический, т]]/Таблица1[[#This Row],[Валовый сбор плановый, т]],"-")</f>
        <v>1.16577229228155</v>
      </c>
    </row>
    <row r="42" customFormat="false" ht="15" hidden="true" customHeight="false" outlineLevel="0" collapsed="false">
      <c r="A42" s="0" t="s">
        <v>3888</v>
      </c>
      <c r="B42" s="0" t="s">
        <v>3905</v>
      </c>
      <c r="C42" s="0" t="s">
        <v>123</v>
      </c>
      <c r="D42" s="0" t="str">
        <f aca="false">Таблица1[[#This Row],[Номер поля агро уточн]]</f>
        <v>3.35 Иррико-Холдинг</v>
      </c>
      <c r="E42" s="15" t="n">
        <v>45459</v>
      </c>
      <c r="F42" s="15" t="n">
        <f aca="false">Таблица1[[#This Row],[Дата сева агро]]+84</f>
        <v>45543</v>
      </c>
      <c r="G42" s="15"/>
      <c r="H42" s="15" t="n">
        <v>45547</v>
      </c>
      <c r="I42" s="15" t="s">
        <v>36</v>
      </c>
      <c r="J42" s="0" t="s">
        <v>279</v>
      </c>
      <c r="K42" s="0" t="s">
        <v>115</v>
      </c>
      <c r="L42" s="0" t="n">
        <v>19.67</v>
      </c>
      <c r="M42" s="0" t="n">
        <v>20</v>
      </c>
      <c r="N42" s="0" t="n">
        <v>19.67</v>
      </c>
      <c r="O42" s="0" t="n">
        <f aca="false">Таблица1[[#This Row],[Площадь сева, га]]-Таблица1[[#This Row],[Площадь уборки, га]]</f>
        <v>0</v>
      </c>
      <c r="P42" s="23" t="n">
        <f aca="false">Таблица1[[#This Row],[Площадь уборки, га]]/Таблица1[[#This Row],[Площадь сева, га]]</f>
        <v>1</v>
      </c>
      <c r="Q42" s="26" t="n">
        <v>18</v>
      </c>
      <c r="R42" s="26" t="n">
        <f aca="false">IFERROR(Таблица1[[#This Row],[Валовый сбор фактический, т]]/Таблица1[[#This Row],[Площадь уборки, га]],"-")</f>
        <v>20.0782918149466</v>
      </c>
      <c r="S42" s="360" t="n">
        <f aca="false">Таблица1[[#This Row],[Урожайность плановая, т/га]]*Таблица1[[#This Row],[Площадь сева, га]]</f>
        <v>354.06</v>
      </c>
      <c r="T42" s="360" t="n">
        <v>394.94</v>
      </c>
      <c r="U42" s="23" t="n">
        <f aca="false">IFERROR(Таблица1[[#This Row],[Валовый сбор фактический, т]]/Таблица1[[#This Row],[Валовый сбор плановый, т]],"-")</f>
        <v>1.11546065638592</v>
      </c>
    </row>
    <row r="43" customFormat="false" ht="15" hidden="true" customHeight="false" outlineLevel="0" collapsed="false">
      <c r="A43" s="0" t="s">
        <v>3906</v>
      </c>
      <c r="B43" s="0" t="s">
        <v>3907</v>
      </c>
      <c r="D43" s="0" t="s">
        <v>126</v>
      </c>
      <c r="E43" s="15" t="n">
        <v>45463</v>
      </c>
      <c r="F43" s="15" t="n">
        <f aca="false">Таблица1[[#This Row],[Дата сева агро]]+84</f>
        <v>45547</v>
      </c>
      <c r="G43" s="15"/>
      <c r="H43" s="366" t="s">
        <v>3908</v>
      </c>
      <c r="I43" s="15" t="s">
        <v>36</v>
      </c>
      <c r="J43" s="0" t="s">
        <v>158</v>
      </c>
      <c r="L43" s="0" t="n">
        <v>76</v>
      </c>
      <c r="N43" s="0" t="n">
        <f aca="false">4+2+48+22</f>
        <v>76</v>
      </c>
      <c r="O43" s="0" t="n">
        <f aca="false">Таблица1[[#This Row],[Площадь сева, га]]-Таблица1[[#This Row],[Площадь уборки, га]]</f>
        <v>0</v>
      </c>
      <c r="P43" s="23" t="n">
        <f aca="false">Таблица1[[#This Row],[Площадь уборки, га]]/Таблица1[[#This Row],[Площадь сева, га]]</f>
        <v>1</v>
      </c>
      <c r="Q43" s="26" t="n">
        <v>17</v>
      </c>
      <c r="R43" s="26" t="n">
        <f aca="false">IFERROR(Таблица1[[#This Row],[Валовый сбор фактический, т]]/Таблица1[[#This Row],[Площадь уборки, га]],"-")</f>
        <v>9.46263157894737</v>
      </c>
      <c r="S43" s="360" t="n">
        <f aca="false">Таблица1[[#This Row],[Урожайность плановая, т/га]]*Таблица1[[#This Row],[Площадь сева, га]]</f>
        <v>1292</v>
      </c>
      <c r="T43" s="360" t="n">
        <f aca="false">42.66+23.49+428.06+224.95</f>
        <v>719.16</v>
      </c>
      <c r="U43" s="23" t="n">
        <f aca="false">IFERROR(Таблица1[[#This Row],[Валовый сбор фактический, т]]/Таблица1[[#This Row],[Валовый сбор плановый, т]],"-")</f>
        <v>0.556625386996904</v>
      </c>
    </row>
    <row r="44" customFormat="false" ht="15" hidden="true" customHeight="false" outlineLevel="0" collapsed="false">
      <c r="A44" s="0" t="s">
        <v>3906</v>
      </c>
      <c r="B44" s="0" t="s">
        <v>3907</v>
      </c>
      <c r="D44" s="0" t="s">
        <v>126</v>
      </c>
      <c r="E44" s="15" t="n">
        <v>45464</v>
      </c>
      <c r="F44" s="15" t="n">
        <f aca="false">Таблица1[[#This Row],[Дата сева агро]]+84</f>
        <v>45548</v>
      </c>
      <c r="G44" s="15"/>
      <c r="H44" s="366" t="s">
        <v>3909</v>
      </c>
      <c r="I44" s="15" t="s">
        <v>36</v>
      </c>
      <c r="J44" s="0" t="s">
        <v>158</v>
      </c>
      <c r="L44" s="0" t="n">
        <v>54</v>
      </c>
      <c r="N44" s="0" t="n">
        <f aca="false">4+1+1+15+33</f>
        <v>54</v>
      </c>
      <c r="O44" s="0" t="n">
        <f aca="false">Таблица1[[#This Row],[Площадь сева, га]]-Таблица1[[#This Row],[Площадь уборки, га]]</f>
        <v>0</v>
      </c>
      <c r="P44" s="23" t="n">
        <f aca="false">Таблица1[[#This Row],[Площадь уборки, га]]/Таблица1[[#This Row],[Площадь сева, га]]</f>
        <v>1</v>
      </c>
      <c r="Q44" s="26" t="n">
        <v>17</v>
      </c>
      <c r="R44" s="26" t="n">
        <f aca="false">IFERROR(Таблица1[[#This Row],[Валовый сбор фактический, т]]/Таблица1[[#This Row],[Площадь уборки, га]],"-")</f>
        <v>7.83481481481481</v>
      </c>
      <c r="S44" s="360" t="n">
        <f aca="false">Таблица1[[#This Row],[Урожайность плановая, т/га]]*Таблица1[[#This Row],[Площадь сева, га]]</f>
        <v>918</v>
      </c>
      <c r="T44" s="360" t="n">
        <f aca="false">61.35+14.16+12.35+135.09+200.13</f>
        <v>423.08</v>
      </c>
      <c r="U44" s="23" t="n">
        <f aca="false">IFERROR(Таблица1[[#This Row],[Валовый сбор фактический, т]]/Таблица1[[#This Row],[Валовый сбор плановый, т]],"-")</f>
        <v>0.460871459694989</v>
      </c>
      <c r="V44" s="374" t="s">
        <v>3910</v>
      </c>
    </row>
    <row r="45" customFormat="false" ht="15" hidden="true" customHeight="false" outlineLevel="0" collapsed="false">
      <c r="A45" s="0" t="s">
        <v>3906</v>
      </c>
      <c r="B45" s="0" t="s">
        <v>3907</v>
      </c>
      <c r="D45" s="0" t="s">
        <v>126</v>
      </c>
      <c r="E45" s="15" t="n">
        <v>45464</v>
      </c>
      <c r="F45" s="15" t="n">
        <v>45549</v>
      </c>
      <c r="G45" s="15"/>
      <c r="H45" s="366" t="s">
        <v>3911</v>
      </c>
      <c r="I45" s="15" t="s">
        <v>36</v>
      </c>
      <c r="J45" s="0" t="s">
        <v>279</v>
      </c>
      <c r="L45" s="0" t="n">
        <v>22</v>
      </c>
      <c r="N45" s="0" t="n">
        <f aca="false">19+3</f>
        <v>22</v>
      </c>
      <c r="O45" s="0" t="n">
        <f aca="false">Таблица1[[#This Row],[Площадь сева, га]]-Таблица1[[#This Row],[Площадь уборки, га]]</f>
        <v>0</v>
      </c>
      <c r="P45" s="23" t="n">
        <f aca="false">Таблица1[[#This Row],[Площадь уборки, га]]/Таблица1[[#This Row],[Площадь сева, га]]</f>
        <v>1</v>
      </c>
      <c r="Q45" s="26" t="n">
        <v>17</v>
      </c>
      <c r="R45" s="26" t="n">
        <f aca="false">IFERROR(Таблица1[[#This Row],[Валовый сбор фактический, т]]/Таблица1[[#This Row],[Площадь уборки, га]],"-")</f>
        <v>8.44772727272727</v>
      </c>
      <c r="S45" s="360" t="n">
        <f aca="false">Таблица1[[#This Row],[Урожайность плановая, т/га]]*Таблица1[[#This Row],[Площадь сева, га]]</f>
        <v>374</v>
      </c>
      <c r="T45" s="360" t="n">
        <f aca="false">121.79+64.06</f>
        <v>185.85</v>
      </c>
      <c r="U45" s="23" t="n">
        <f aca="false">IFERROR(Таблица1[[#This Row],[Валовый сбор фактический, т]]/Таблица1[[#This Row],[Валовый сбор плановый, т]],"-")</f>
        <v>0.49692513368984</v>
      </c>
      <c r="V45" s="374"/>
    </row>
    <row r="46" customFormat="false" ht="15" hidden="true" customHeight="false" outlineLevel="0" collapsed="false">
      <c r="A46" s="0" t="s">
        <v>3906</v>
      </c>
      <c r="B46" s="0" t="s">
        <v>3912</v>
      </c>
      <c r="D46" s="0" t="s">
        <v>126</v>
      </c>
      <c r="E46" s="15" t="n">
        <v>45466</v>
      </c>
      <c r="F46" s="15" t="n">
        <f aca="false">Таблица1[[#This Row],[Дата сева агро]]+84</f>
        <v>45550</v>
      </c>
      <c r="G46" s="15"/>
      <c r="H46" s="366" t="s">
        <v>3913</v>
      </c>
      <c r="I46" s="15" t="s">
        <v>36</v>
      </c>
      <c r="J46" s="0" t="s">
        <v>279</v>
      </c>
      <c r="L46" s="0" t="n">
        <v>58</v>
      </c>
      <c r="N46" s="0" t="n">
        <f aca="false">1+17+23+3+8+6</f>
        <v>58</v>
      </c>
      <c r="O46" s="0" t="n">
        <f aca="false">Таблица1[[#This Row],[Площадь сева, га]]-Таблица1[[#This Row],[Площадь уборки, га]]</f>
        <v>0</v>
      </c>
      <c r="P46" s="23" t="n">
        <f aca="false">Таблица1[[#This Row],[Площадь уборки, га]]/Таблица1[[#This Row],[Площадь сева, га]]</f>
        <v>1</v>
      </c>
      <c r="Q46" s="26" t="n">
        <v>17</v>
      </c>
      <c r="R46" s="26" t="n">
        <f aca="false">IFERROR(Таблица1[[#This Row],[Валовый сбор фактический, т]]/Таблица1[[#This Row],[Площадь уборки, га]],"-")</f>
        <v>15.6375862068966</v>
      </c>
      <c r="S46" s="360" t="n">
        <f aca="false">Таблица1[[#This Row],[Урожайность плановая, т/га]]*Таблица1[[#This Row],[Площадь сева, га]]</f>
        <v>986</v>
      </c>
      <c r="T46" s="360" t="n">
        <f aca="false">14.8+265.25+398.93+50.95+123.53+53.52</f>
        <v>906.98</v>
      </c>
      <c r="U46" s="23" t="n">
        <f aca="false">IFERROR(Таблица1[[#This Row],[Валовый сбор фактический, т]]/Таблица1[[#This Row],[Валовый сбор плановый, т]],"-")</f>
        <v>0.919858012170385</v>
      </c>
      <c r="V46" s="374"/>
    </row>
    <row r="47" customFormat="false" ht="15" hidden="true" customHeight="false" outlineLevel="0" collapsed="false">
      <c r="A47" s="0" t="s">
        <v>3906</v>
      </c>
      <c r="B47" s="0" t="s">
        <v>3912</v>
      </c>
      <c r="D47" s="0" t="s">
        <v>126</v>
      </c>
      <c r="E47" s="15" t="n">
        <v>45468</v>
      </c>
      <c r="F47" s="15" t="n">
        <f aca="false">Таблица1[[#This Row],[Дата сева агро]]+84</f>
        <v>45552</v>
      </c>
      <c r="G47" s="15"/>
      <c r="H47" s="366" t="s">
        <v>3914</v>
      </c>
      <c r="I47" s="15" t="s">
        <v>36</v>
      </c>
      <c r="J47" s="0" t="s">
        <v>127</v>
      </c>
      <c r="L47" s="0" t="n">
        <v>92</v>
      </c>
      <c r="N47" s="0" t="n">
        <f aca="false">4+2+2+19+27+21+2+15</f>
        <v>92</v>
      </c>
      <c r="O47" s="0" t="n">
        <f aca="false">Таблица1[[#This Row],[Площадь сева, га]]-Таблица1[[#This Row],[Площадь уборки, га]]</f>
        <v>0</v>
      </c>
      <c r="P47" s="23" t="n">
        <f aca="false">Таблица1[[#This Row],[Площадь уборки, га]]/Таблица1[[#This Row],[Площадь сева, га]]</f>
        <v>1</v>
      </c>
      <c r="Q47" s="26" t="n">
        <v>17</v>
      </c>
      <c r="R47" s="26" t="n">
        <f aca="false">IFERROR(Таблица1[[#This Row],[Валовый сбор фактический, т]]/Таблица1[[#This Row],[Площадь уборки, га]],"-")</f>
        <v>13.7173913043478</v>
      </c>
      <c r="S47" s="360" t="n">
        <f aca="false">Таблица1[[#This Row],[Урожайность плановая, т/га]]*Таблица1[[#This Row],[Площадь сева, га]]</f>
        <v>1564</v>
      </c>
      <c r="T47" s="360" t="n">
        <f aca="false">27.92+22.99+28.43+205.32+361.62+342.45+51.06+222.21</f>
        <v>1262</v>
      </c>
      <c r="U47" s="23" t="n">
        <f aca="false">IFERROR(Таблица1[[#This Row],[Валовый сбор фактический, т]]/Таблица1[[#This Row],[Валовый сбор плановый, т]],"-")</f>
        <v>0.80690537084399</v>
      </c>
      <c r="V47" s="374" t="s">
        <v>3915</v>
      </c>
    </row>
    <row r="48" customFormat="false" ht="15" hidden="true" customHeight="false" outlineLevel="0" collapsed="false">
      <c r="A48" s="0" t="s">
        <v>3916</v>
      </c>
      <c r="B48" s="0" t="s">
        <v>3917</v>
      </c>
      <c r="D48" s="0" t="s">
        <v>133</v>
      </c>
      <c r="E48" s="15" t="n">
        <v>45470</v>
      </c>
      <c r="F48" s="15" t="n">
        <f aca="false">Таблица1[[#This Row],[Дата сева агро]]+84</f>
        <v>45554</v>
      </c>
      <c r="G48" s="15" t="n">
        <v>45561</v>
      </c>
      <c r="H48" s="366" t="s">
        <v>3918</v>
      </c>
      <c r="I48" s="15" t="s">
        <v>36</v>
      </c>
      <c r="J48" s="0" t="s">
        <v>127</v>
      </c>
      <c r="L48" s="0" t="n">
        <v>45</v>
      </c>
      <c r="N48" s="0" t="n">
        <f aca="false">15+26+4</f>
        <v>45</v>
      </c>
      <c r="O48" s="0" t="n">
        <f aca="false">Таблица1[[#This Row],[Площадь сева, га]]-Таблица1[[#This Row],[Площадь уборки, га]]</f>
        <v>0</v>
      </c>
      <c r="P48" s="23" t="n">
        <f aca="false">Таблица1[[#This Row],[Площадь уборки, га]]/Таблица1[[#This Row],[Площадь сева, га]]</f>
        <v>1</v>
      </c>
      <c r="Q48" s="26" t="n">
        <v>18</v>
      </c>
      <c r="R48" s="26" t="n">
        <f aca="false">IFERROR(Таблица1[[#This Row],[Валовый сбор фактический, т]]/Таблица1[[#This Row],[Площадь уборки, га]],"-")</f>
        <v>4.376</v>
      </c>
      <c r="S48" s="360" t="n">
        <f aca="false">Таблица1[[#This Row],[Урожайность плановая, т/га]]*Таблица1[[#This Row],[Площадь сева, га]]</f>
        <v>810</v>
      </c>
      <c r="T48" s="360" t="n">
        <f aca="false">48.33+127.84+20.75</f>
        <v>196.92</v>
      </c>
      <c r="U48" s="23" t="n">
        <f aca="false">IFERROR(Таблица1[[#This Row],[Валовый сбор фактический, т]]/Таблица1[[#This Row],[Валовый сбор плановый, т]],"-")</f>
        <v>0.243111111111111</v>
      </c>
      <c r="V48" s="374" t="s">
        <v>3919</v>
      </c>
    </row>
    <row r="49" customFormat="false" ht="15" hidden="true" customHeight="false" outlineLevel="0" collapsed="false">
      <c r="A49" s="0" t="s">
        <v>3916</v>
      </c>
      <c r="B49" s="0" t="s">
        <v>3920</v>
      </c>
      <c r="D49" s="0" t="s">
        <v>132</v>
      </c>
      <c r="E49" s="15" t="n">
        <v>45473</v>
      </c>
      <c r="F49" s="15" t="n">
        <f aca="false">Таблица1[[#This Row],[Дата сева агро]]+84</f>
        <v>45557</v>
      </c>
      <c r="G49" s="15"/>
      <c r="H49" s="15" t="n">
        <v>45570</v>
      </c>
      <c r="I49" s="15" t="s">
        <v>36</v>
      </c>
      <c r="J49" s="0" t="s">
        <v>127</v>
      </c>
      <c r="L49" s="0" t="n">
        <v>16.5</v>
      </c>
      <c r="N49" s="0" t="n">
        <f aca="false">16.5</f>
        <v>16.5</v>
      </c>
      <c r="O49" s="0" t="n">
        <f aca="false">Таблица1[[#This Row],[Площадь сева, га]]-Таблица1[[#This Row],[Площадь уборки, га]]</f>
        <v>0</v>
      </c>
      <c r="P49" s="23" t="n">
        <f aca="false">Таблица1[[#This Row],[Площадь уборки, га]]/Таблица1[[#This Row],[Площадь сева, га]]</f>
        <v>1</v>
      </c>
      <c r="Q49" s="26" t="n">
        <v>18</v>
      </c>
      <c r="R49" s="26" t="n">
        <f aca="false">IFERROR(Таблица1[[#This Row],[Валовый сбор фактический, т]]/Таблица1[[#This Row],[Площадь уборки, га]],"-")</f>
        <v>4.88121212121212</v>
      </c>
      <c r="S49" s="360" t="n">
        <f aca="false">Таблица1[[#This Row],[Урожайность плановая, т/га]]*Таблица1[[#This Row],[Площадь сева, га]]</f>
        <v>297</v>
      </c>
      <c r="T49" s="360" t="n">
        <f aca="false">80.54</f>
        <v>80.54</v>
      </c>
      <c r="U49" s="23" t="n">
        <f aca="false">IFERROR(Таблица1[[#This Row],[Валовый сбор фактический, т]]/Таблица1[[#This Row],[Валовый сбор плановый, т]],"-")</f>
        <v>0.271178451178451</v>
      </c>
    </row>
    <row r="50" customFormat="false" ht="15" hidden="true" customHeight="false" outlineLevel="0" collapsed="false">
      <c r="A50" s="0" t="s">
        <v>3916</v>
      </c>
      <c r="B50" s="0" t="s">
        <v>3920</v>
      </c>
      <c r="D50" s="0" t="s">
        <v>132</v>
      </c>
      <c r="E50" s="15" t="n">
        <v>45473</v>
      </c>
      <c r="F50" s="15" t="n">
        <f aca="false">Таблица1[[#This Row],[Дата сева агро]]+84</f>
        <v>45557</v>
      </c>
      <c r="G50" s="15"/>
      <c r="H50" s="366" t="s">
        <v>3921</v>
      </c>
      <c r="I50" s="15" t="s">
        <v>36</v>
      </c>
      <c r="J50" s="0" t="s">
        <v>87</v>
      </c>
      <c r="L50" s="0" t="n">
        <v>35.5</v>
      </c>
      <c r="N50" s="0" t="n">
        <f aca="false">6.5+29</f>
        <v>35.5</v>
      </c>
      <c r="O50" s="0" t="n">
        <f aca="false">Таблица1[[#This Row],[Площадь сева, га]]-Таблица1[[#This Row],[Площадь уборки, га]]</f>
        <v>0</v>
      </c>
      <c r="P50" s="23" t="n">
        <f aca="false">Таблица1[[#This Row],[Площадь уборки, га]]/Таблица1[[#This Row],[Площадь сева, га]]</f>
        <v>1</v>
      </c>
      <c r="Q50" s="26" t="n">
        <v>18</v>
      </c>
      <c r="R50" s="26" t="n">
        <f aca="false">IFERROR(Таблица1[[#This Row],[Валовый сбор фактический, т]]/Таблица1[[#This Row],[Площадь уборки, га]],"-")</f>
        <v>5.01352112676056</v>
      </c>
      <c r="S50" s="360" t="n">
        <f aca="false">Таблица1[[#This Row],[Урожайность плановая, т/га]]*Таблица1[[#This Row],[Площадь сева, га]]</f>
        <v>639</v>
      </c>
      <c r="T50" s="360" t="n">
        <f aca="false">51.76+126.22</f>
        <v>177.98</v>
      </c>
      <c r="U50" s="23" t="n">
        <f aca="false">IFERROR(Таблица1[[#This Row],[Валовый сбор фактический, т]]/Таблица1[[#This Row],[Валовый сбор плановый, т]],"-")</f>
        <v>0.278528951486698</v>
      </c>
    </row>
    <row r="51" customFormat="false" ht="15" hidden="true" customHeight="false" outlineLevel="0" collapsed="false">
      <c r="A51" s="0" t="s">
        <v>3916</v>
      </c>
      <c r="B51" s="0" t="s">
        <v>3922</v>
      </c>
      <c r="D51" s="0" t="s">
        <v>130</v>
      </c>
      <c r="E51" s="15" t="n">
        <v>45474</v>
      </c>
      <c r="F51" s="15" t="n">
        <f aca="false">Таблица1[[#This Row],[Дата сева агро]]+84</f>
        <v>45558</v>
      </c>
      <c r="G51" s="15"/>
      <c r="H51" s="366" t="s">
        <v>3923</v>
      </c>
      <c r="I51" s="15" t="s">
        <v>36</v>
      </c>
      <c r="J51" s="0" t="s">
        <v>87</v>
      </c>
      <c r="L51" s="0" t="n">
        <v>35</v>
      </c>
      <c r="N51" s="0" t="n">
        <f aca="false">1+14</f>
        <v>15</v>
      </c>
      <c r="O51" s="367" t="n">
        <f aca="false">Таблица1[[#This Row],[Площадь сева, га]]-Таблица1[[#This Row],[Площадь уборки, га]]</f>
        <v>20</v>
      </c>
      <c r="P51" s="23" t="n">
        <f aca="false">Таблица1[[#This Row],[Площадь уборки, га]]/Таблица1[[#This Row],[Площадь сева, га]]</f>
        <v>0.428571428571429</v>
      </c>
      <c r="Q51" s="26" t="n">
        <v>18</v>
      </c>
      <c r="R51" s="26" t="n">
        <f aca="false">IFERROR(Таблица1[[#This Row],[Валовый сбор фактический, т]]/Таблица1[[#This Row],[Площадь уборки, га]],"-")</f>
        <v>2.954</v>
      </c>
      <c r="S51" s="360" t="n">
        <f aca="false">Таблица1[[#This Row],[Урожайность плановая, т/га]]*Таблица1[[#This Row],[Площадь сева, га]]</f>
        <v>630</v>
      </c>
      <c r="T51" s="360" t="n">
        <f aca="false">13.53+30.78</f>
        <v>44.31</v>
      </c>
      <c r="U51" s="23" t="n">
        <f aca="false">IFERROR(Таблица1[[#This Row],[Валовый сбор фактический, т]]/Таблица1[[#This Row],[Валовый сбор плановый, т]],"-")</f>
        <v>0.0703333333333333</v>
      </c>
      <c r="V51" s="0" t="s">
        <v>3924</v>
      </c>
    </row>
    <row r="52" customFormat="false" ht="15" hidden="true" customHeight="false" outlineLevel="0" collapsed="false">
      <c r="A52" s="0" t="s">
        <v>3916</v>
      </c>
      <c r="B52" s="0" t="s">
        <v>3922</v>
      </c>
      <c r="D52" s="0" t="s">
        <v>130</v>
      </c>
      <c r="E52" s="15" t="n">
        <v>45474</v>
      </c>
      <c r="F52" s="15" t="n">
        <f aca="false">Таблица1[[#This Row],[Дата сева агро]]+84</f>
        <v>45558</v>
      </c>
      <c r="G52" s="15" t="n">
        <v>45566</v>
      </c>
      <c r="H52" s="366"/>
      <c r="I52" s="15" t="s">
        <v>36</v>
      </c>
      <c r="J52" s="0" t="s">
        <v>279</v>
      </c>
      <c r="L52" s="0" t="n">
        <v>37</v>
      </c>
      <c r="O52" s="367" t="n">
        <f aca="false">Таблица1[[#This Row],[Площадь сева, га]]-Таблица1[[#This Row],[Площадь уборки, га]]</f>
        <v>37</v>
      </c>
      <c r="P52" s="23" t="n">
        <f aca="false">Таблица1[[#This Row],[Площадь уборки, га]]/Таблица1[[#This Row],[Площадь сева, га]]</f>
        <v>0</v>
      </c>
      <c r="Q52" s="26" t="n">
        <v>18</v>
      </c>
      <c r="R52" s="26" t="str">
        <f aca="false">IFERROR(Таблица1[[#This Row],[Валовый сбор фактический, т]]/Таблица1[[#This Row],[Площадь уборки, га]],"-")</f>
        <v>-</v>
      </c>
      <c r="S52" s="360" t="n">
        <f aca="false">Таблица1[[#This Row],[Урожайность плановая, т/га]]*Таблица1[[#This Row],[Площадь сева, га]]</f>
        <v>666</v>
      </c>
      <c r="U52" s="23" t="n">
        <f aca="false">IFERROR(Таблица1[[#This Row],[Валовый сбор фактический, т]]/Таблица1[[#This Row],[Валовый сбор плановый, т]],"-")</f>
        <v>0</v>
      </c>
      <c r="V52" s="0" t="s">
        <v>3925</v>
      </c>
    </row>
    <row r="53" customFormat="false" ht="15" hidden="false" customHeight="false" outlineLevel="0" collapsed="false">
      <c r="A53" s="0" t="s">
        <v>28</v>
      </c>
      <c r="B53" s="0" t="s">
        <v>3926</v>
      </c>
      <c r="D53" s="0" t="s">
        <v>143</v>
      </c>
      <c r="E53" s="15" t="n">
        <v>45476</v>
      </c>
      <c r="F53" s="15" t="n">
        <f aca="false">Таблица1[[#This Row],[Дата сева агро]]+84</f>
        <v>45560</v>
      </c>
      <c r="G53" s="15" t="n">
        <v>45567</v>
      </c>
      <c r="H53" s="366" t="s">
        <v>3927</v>
      </c>
      <c r="I53" s="15" t="s">
        <v>36</v>
      </c>
      <c r="J53" s="0" t="s">
        <v>279</v>
      </c>
      <c r="L53" s="0" t="n">
        <v>49</v>
      </c>
      <c r="N53" s="0" t="n">
        <f aca="false">9+28+12</f>
        <v>49</v>
      </c>
      <c r="O53" s="0" t="n">
        <f aca="false">Таблица1[[#This Row],[Площадь сева, га]]-Таблица1[[#This Row],[Площадь уборки, га]]</f>
        <v>0</v>
      </c>
      <c r="P53" s="23" t="n">
        <f aca="false">Таблица1[[#This Row],[Площадь уборки, га]]/Таблица1[[#This Row],[Площадь сева, га]]</f>
        <v>1</v>
      </c>
      <c r="Q53" s="26" t="n">
        <v>18.02</v>
      </c>
      <c r="R53" s="26" t="n">
        <f aca="false">IFERROR(Таблица1[[#This Row],[Валовый сбор фактический, т]]/Таблица1[[#This Row],[Площадь уборки, га]],"-")</f>
        <v>10.8671428571429</v>
      </c>
      <c r="S53" s="360" t="n">
        <f aca="false">Таблица1[[#This Row],[Урожайность плановая, т/га]]*Таблица1[[#This Row],[Площадь сева, га]]</f>
        <v>882.98</v>
      </c>
      <c r="T53" s="360" t="n">
        <f aca="false">104.46+233.7+194.33</f>
        <v>532.49</v>
      </c>
      <c r="U53" s="23" t="n">
        <f aca="false">IFERROR(Таблица1[[#This Row],[Валовый сбор фактический, т]]/Таблица1[[#This Row],[Валовый сбор плановый, т]],"-")</f>
        <v>0.603060091961313</v>
      </c>
    </row>
    <row r="54" customFormat="false" ht="15" hidden="false" customHeight="false" outlineLevel="0" collapsed="false">
      <c r="A54" s="0" t="s">
        <v>28</v>
      </c>
      <c r="B54" s="0" t="s">
        <v>3928</v>
      </c>
      <c r="D54" s="0" t="s">
        <v>144</v>
      </c>
      <c r="E54" s="15" t="n">
        <v>45477</v>
      </c>
      <c r="F54" s="15" t="n">
        <f aca="false">Таблица1[[#This Row],[Дата сева агро]]+84</f>
        <v>45561</v>
      </c>
      <c r="G54" s="15"/>
      <c r="H54" s="366" t="s">
        <v>3929</v>
      </c>
      <c r="I54" s="15" t="s">
        <v>36</v>
      </c>
      <c r="J54" s="0" t="s">
        <v>279</v>
      </c>
      <c r="L54" s="0" t="n">
        <v>45.4</v>
      </c>
      <c r="N54" s="0" t="n">
        <f aca="false">24+21.4</f>
        <v>45.4</v>
      </c>
      <c r="O54" s="0" t="n">
        <f aca="false">Таблица1[[#This Row],[Площадь сева, га]]-Таблица1[[#This Row],[Площадь уборки, га]]</f>
        <v>0</v>
      </c>
      <c r="P54" s="23" t="n">
        <f aca="false">Таблица1[[#This Row],[Площадь уборки, га]]/Таблица1[[#This Row],[Площадь сева, га]]</f>
        <v>1</v>
      </c>
      <c r="Q54" s="26" t="n">
        <v>18.02</v>
      </c>
      <c r="R54" s="26" t="n">
        <f aca="false">IFERROR(Таблица1[[#This Row],[Валовый сбор фактический, т]]/Таблица1[[#This Row],[Площадь уборки, га]],"-")</f>
        <v>12.8088105726872</v>
      </c>
      <c r="S54" s="360" t="n">
        <f aca="false">Таблица1[[#This Row],[Урожайность плановая, т/га]]*Таблица1[[#This Row],[Площадь сева, га]]</f>
        <v>818.108</v>
      </c>
      <c r="T54" s="360" t="n">
        <f aca="false">296.24+285.28</f>
        <v>581.52</v>
      </c>
      <c r="U54" s="23" t="n">
        <f aca="false">IFERROR(Таблица1[[#This Row],[Валовый сбор фактический, т]]/Таблица1[[#This Row],[Валовый сбор плановый, т]],"-")</f>
        <v>0.710810797596405</v>
      </c>
    </row>
    <row r="55" customFormat="false" ht="15" hidden="false" customHeight="false" outlineLevel="0" collapsed="false">
      <c r="A55" s="0" t="s">
        <v>28</v>
      </c>
      <c r="B55" s="0" t="s">
        <v>3928</v>
      </c>
      <c r="D55" s="0" t="s">
        <v>144</v>
      </c>
      <c r="E55" s="15" t="n">
        <v>45477</v>
      </c>
      <c r="F55" s="15" t="n">
        <f aca="false">Таблица1[[#This Row],[Дата сева агро]]+84</f>
        <v>45561</v>
      </c>
      <c r="G55" s="15"/>
      <c r="H55" s="366" t="n">
        <v>45561</v>
      </c>
      <c r="I55" s="15" t="s">
        <v>36</v>
      </c>
      <c r="J55" s="0" t="s">
        <v>3930</v>
      </c>
      <c r="L55" s="0" t="n">
        <v>4.6</v>
      </c>
      <c r="N55" s="0" t="n">
        <v>4.6</v>
      </c>
      <c r="O55" s="0" t="n">
        <f aca="false">Таблица1[[#This Row],[Площадь сева, га]]-Таблица1[[#This Row],[Площадь уборки, га]]</f>
        <v>0</v>
      </c>
      <c r="P55" s="23" t="n">
        <f aca="false">Таблица1[[#This Row],[Площадь уборки, га]]/Таблица1[[#This Row],[Площадь сева, га]]</f>
        <v>1</v>
      </c>
      <c r="Q55" s="26" t="n">
        <v>18.02</v>
      </c>
      <c r="R55" s="26" t="n">
        <f aca="false">IFERROR(Таблица1[[#This Row],[Валовый сбор фактический, т]]/Таблица1[[#This Row],[Площадь уборки, га]],"-")</f>
        <v>2.88695652173913</v>
      </c>
      <c r="S55" s="360" t="n">
        <f aca="false">Таблица1[[#This Row],[Урожайность плановая, т/га]]*Таблица1[[#This Row],[Площадь сева, га]]</f>
        <v>82.892</v>
      </c>
      <c r="T55" s="360" t="n">
        <v>13.28</v>
      </c>
      <c r="U55" s="23" t="n">
        <f aca="false">IFERROR(Таблица1[[#This Row],[Валовый сбор фактический, т]]/Таблица1[[#This Row],[Валовый сбор плановый, т]],"-")</f>
        <v>0.160208464025479</v>
      </c>
    </row>
    <row r="56" customFormat="false" ht="15" hidden="false" customHeight="false" outlineLevel="0" collapsed="false">
      <c r="A56" s="0" t="s">
        <v>28</v>
      </c>
      <c r="B56" s="0" t="s">
        <v>3931</v>
      </c>
      <c r="D56" s="0" t="s">
        <v>142</v>
      </c>
      <c r="E56" s="15" t="n">
        <v>45478</v>
      </c>
      <c r="F56" s="15" t="n">
        <f aca="false">Таблица1[[#This Row],[Дата сева агро]]+84</f>
        <v>45562</v>
      </c>
      <c r="G56" s="15"/>
      <c r="H56" s="366" t="s">
        <v>3932</v>
      </c>
      <c r="I56" s="15" t="s">
        <v>36</v>
      </c>
      <c r="J56" s="0" t="s">
        <v>279</v>
      </c>
      <c r="L56" s="0" t="n">
        <v>47</v>
      </c>
      <c r="N56" s="0" t="n">
        <f aca="false">8+25+8+6</f>
        <v>47</v>
      </c>
      <c r="O56" s="0" t="n">
        <f aca="false">Таблица1[[#This Row],[Площадь сева, га]]-Таблица1[[#This Row],[Площадь уборки, га]]</f>
        <v>0</v>
      </c>
      <c r="P56" s="23" t="n">
        <f aca="false">Таблица1[[#This Row],[Площадь уборки, га]]/Таблица1[[#This Row],[Площадь сева, га]]</f>
        <v>1</v>
      </c>
      <c r="Q56" s="26" t="n">
        <v>18.02</v>
      </c>
      <c r="R56" s="26" t="n">
        <f aca="false">IFERROR(Таблица1[[#This Row],[Валовый сбор фактический, т]]/Таблица1[[#This Row],[Площадь уборки, га]],"-")</f>
        <v>17.8627659574468</v>
      </c>
      <c r="S56" s="360" t="n">
        <f aca="false">Таблица1[[#This Row],[Урожайность плановая, т/га]]*Таблица1[[#This Row],[Площадь сева, га]]</f>
        <v>846.94</v>
      </c>
      <c r="T56" s="360" t="n">
        <f aca="false">261.13+272.34+189.95+116.13</f>
        <v>839.55</v>
      </c>
      <c r="U56" s="23" t="n">
        <f aca="false">IFERROR(Таблица1[[#This Row],[Валовый сбор фактический, т]]/Таблица1[[#This Row],[Валовый сбор плановый, т]],"-")</f>
        <v>0.991274470446549</v>
      </c>
    </row>
    <row r="57" customFormat="false" ht="15" hidden="false" customHeight="false" outlineLevel="0" collapsed="false">
      <c r="A57" s="0" t="s">
        <v>28</v>
      </c>
      <c r="B57" s="0" t="s">
        <v>3933</v>
      </c>
      <c r="D57" s="0" t="s">
        <v>139</v>
      </c>
      <c r="E57" s="15" t="n">
        <v>45479</v>
      </c>
      <c r="F57" s="15" t="n">
        <f aca="false">Таблица1[[#This Row],[Дата сева агро]]+84</f>
        <v>45563</v>
      </c>
      <c r="G57" s="15"/>
      <c r="H57" s="366" t="n">
        <v>45566</v>
      </c>
      <c r="I57" s="15" t="s">
        <v>36</v>
      </c>
      <c r="J57" s="0" t="s">
        <v>279</v>
      </c>
      <c r="L57" s="0" t="n">
        <v>2</v>
      </c>
      <c r="N57" s="0" t="n">
        <v>2</v>
      </c>
      <c r="O57" s="0" t="n">
        <f aca="false">Таблица1[[#This Row],[Площадь сева, га]]-Таблица1[[#This Row],[Площадь уборки, га]]</f>
        <v>0</v>
      </c>
      <c r="P57" s="23" t="n">
        <f aca="false">Таблица1[[#This Row],[Площадь уборки, га]]/Таблица1[[#This Row],[Площадь сева, га]]</f>
        <v>1</v>
      </c>
      <c r="Q57" s="26" t="n">
        <v>18.02</v>
      </c>
      <c r="R57" s="26" t="n">
        <f aca="false">IFERROR(Таблица1[[#This Row],[Валовый сбор фактический, т]]/Таблица1[[#This Row],[Площадь уборки, га]],"-")</f>
        <v>29.64</v>
      </c>
      <c r="S57" s="360" t="n">
        <f aca="false">Таблица1[[#This Row],[Урожайность плановая, т/га]]*Таблица1[[#This Row],[Площадь сева, га]]</f>
        <v>36.04</v>
      </c>
      <c r="T57" s="360" t="n">
        <v>59.28</v>
      </c>
      <c r="U57" s="23" t="n">
        <f aca="false">IFERROR(Таблица1[[#This Row],[Валовый сбор фактический, т]]/Таблица1[[#This Row],[Валовый сбор плановый, т]],"-")</f>
        <v>1.64483906770255</v>
      </c>
    </row>
    <row r="58" customFormat="false" ht="15" hidden="false" customHeight="false" outlineLevel="0" collapsed="false">
      <c r="A58" s="0" t="s">
        <v>28</v>
      </c>
      <c r="B58" s="0" t="s">
        <v>3933</v>
      </c>
      <c r="D58" s="0" t="s">
        <v>139</v>
      </c>
      <c r="E58" s="15" t="n">
        <v>45479</v>
      </c>
      <c r="F58" s="15" t="n">
        <v>45563</v>
      </c>
      <c r="G58" s="15"/>
      <c r="H58" s="366" t="s">
        <v>3934</v>
      </c>
      <c r="I58" s="15" t="s">
        <v>36</v>
      </c>
      <c r="J58" s="0" t="s">
        <v>161</v>
      </c>
      <c r="L58" s="0" t="n">
        <v>40</v>
      </c>
      <c r="N58" s="0" t="n">
        <f aca="false">8+12+20</f>
        <v>40</v>
      </c>
      <c r="O58" s="0" t="n">
        <f aca="false">Таблица1[[#This Row],[Площадь сева, га]]-Таблица1[[#This Row],[Площадь уборки, га]]</f>
        <v>0</v>
      </c>
      <c r="P58" s="23" t="n">
        <f aca="false">Таблица1[[#This Row],[Площадь уборки, га]]/Таблица1[[#This Row],[Площадь сева, га]]</f>
        <v>1</v>
      </c>
      <c r="Q58" s="26" t="n">
        <v>18.02</v>
      </c>
      <c r="R58" s="26" t="n">
        <f aca="false">IFERROR(Таблица1[[#This Row],[Валовый сбор фактический, т]]/Таблица1[[#This Row],[Площадь уборки, га]],"-")</f>
        <v>11.67225</v>
      </c>
      <c r="S58" s="360" t="n">
        <f aca="false">Таблица1[[#This Row],[Урожайность плановая, т/га]]*Таблица1[[#This Row],[Площадь сева, га]]</f>
        <v>720.8</v>
      </c>
      <c r="T58" s="360" t="n">
        <f aca="false">111.27+193.08+162.54</f>
        <v>466.89</v>
      </c>
      <c r="U58" s="23" t="n">
        <f aca="false">IFERROR(Таблица1[[#This Row],[Валовый сбор фактический, т]]/Таблица1[[#This Row],[Валовый сбор плановый, т]],"-")</f>
        <v>0.647738623751387</v>
      </c>
    </row>
    <row r="59" customFormat="false" ht="15" hidden="false" customHeight="false" outlineLevel="0" collapsed="false">
      <c r="A59" s="0" t="s">
        <v>28</v>
      </c>
      <c r="B59" s="0" t="s">
        <v>3933</v>
      </c>
      <c r="D59" s="0" t="s">
        <v>139</v>
      </c>
      <c r="E59" s="15" t="n">
        <v>45480</v>
      </c>
      <c r="F59" s="15" t="n">
        <v>45564</v>
      </c>
      <c r="G59" s="15"/>
      <c r="H59" s="366" t="s">
        <v>3935</v>
      </c>
      <c r="I59" s="15" t="s">
        <v>36</v>
      </c>
      <c r="J59" s="0" t="s">
        <v>161</v>
      </c>
      <c r="L59" s="0" t="n">
        <v>29</v>
      </c>
      <c r="N59" s="0" t="n">
        <f aca="false">5+4+12+8</f>
        <v>29</v>
      </c>
      <c r="O59" s="0" t="n">
        <f aca="false">Таблица1[[#This Row],[Площадь сева, га]]-Таблица1[[#This Row],[Площадь уборки, га]]</f>
        <v>0</v>
      </c>
      <c r="P59" s="23" t="n">
        <f aca="false">Таблица1[[#This Row],[Площадь уборки, га]]/Таблица1[[#This Row],[Площадь сева, га]]</f>
        <v>1</v>
      </c>
      <c r="Q59" s="26" t="n">
        <v>18.02</v>
      </c>
      <c r="R59" s="26" t="n">
        <f aca="false">IFERROR(Таблица1[[#This Row],[Валовый сбор фактический, т]]/Таблица1[[#This Row],[Площадь уборки, га]],"-")</f>
        <v>20.468275862069</v>
      </c>
      <c r="S59" s="360" t="n">
        <f aca="false">Таблица1[[#This Row],[Урожайность плановая, т/га]]*Таблица1[[#This Row],[Площадь сева, га]]</f>
        <v>522.58</v>
      </c>
      <c r="T59" s="360" t="n">
        <f aca="false">40.63+77.05+290+185.9</f>
        <v>593.58</v>
      </c>
      <c r="U59" s="23" t="n">
        <f aca="false">IFERROR(Таблица1[[#This Row],[Валовый сбор фактический, т]]/Таблица1[[#This Row],[Валовый сбор плановый, т]],"-")</f>
        <v>1.13586436526465</v>
      </c>
    </row>
    <row r="60" customFormat="false" ht="15" hidden="false" customHeight="false" outlineLevel="0" collapsed="false">
      <c r="A60" s="0" t="s">
        <v>28</v>
      </c>
      <c r="B60" s="0" t="s">
        <v>3936</v>
      </c>
      <c r="D60" s="0" t="s">
        <v>141</v>
      </c>
      <c r="E60" s="15" t="n">
        <v>45480</v>
      </c>
      <c r="F60" s="15" t="n">
        <v>45564</v>
      </c>
      <c r="G60" s="15"/>
      <c r="H60" s="366" t="s">
        <v>3937</v>
      </c>
      <c r="I60" s="15" t="s">
        <v>36</v>
      </c>
      <c r="J60" s="0" t="s">
        <v>161</v>
      </c>
      <c r="L60" s="0" t="n">
        <v>42</v>
      </c>
      <c r="N60" s="0" t="n">
        <f aca="false">2+23+17</f>
        <v>42</v>
      </c>
      <c r="O60" s="0" t="n">
        <f aca="false">Таблица1[[#This Row],[Площадь сева, га]]-Таблица1[[#This Row],[Площадь уборки, га]]</f>
        <v>0</v>
      </c>
      <c r="P60" s="23" t="n">
        <f aca="false">Таблица1[[#This Row],[Площадь уборки, га]]/Таблица1[[#This Row],[Площадь сева, га]]</f>
        <v>1</v>
      </c>
      <c r="Q60" s="26" t="n">
        <v>18.02</v>
      </c>
      <c r="R60" s="26" t="n">
        <f aca="false">IFERROR(Таблица1[[#This Row],[Валовый сбор фактический, т]]/Таблица1[[#This Row],[Площадь уборки, га]],"-")</f>
        <v>18.8719047619048</v>
      </c>
      <c r="S60" s="360" t="n">
        <f aca="false">Таблица1[[#This Row],[Урожайность плановая, т/га]]*Таблица1[[#This Row],[Площадь сева, га]]</f>
        <v>756.84</v>
      </c>
      <c r="T60" s="360" t="n">
        <f aca="false">44.47+505.02+243.13</f>
        <v>792.62</v>
      </c>
      <c r="U60" s="23" t="n">
        <f aca="false">IFERROR(Таблица1[[#This Row],[Валовый сбор фактический, т]]/Таблица1[[#This Row],[Валовый сбор плановый, т]],"-")</f>
        <v>1.04727551397918</v>
      </c>
    </row>
    <row r="61" customFormat="false" ht="15" hidden="false" customHeight="false" outlineLevel="0" collapsed="false">
      <c r="A61" s="0" t="s">
        <v>28</v>
      </c>
      <c r="B61" s="0" t="s">
        <v>3936</v>
      </c>
      <c r="D61" s="0" t="s">
        <v>141</v>
      </c>
      <c r="E61" s="15" t="n">
        <v>45481</v>
      </c>
      <c r="F61" s="15" t="n">
        <f aca="false">Таблица1[[#This Row],[Дата сева агро]]+84</f>
        <v>45565</v>
      </c>
      <c r="G61" s="15"/>
      <c r="H61" s="366" t="s">
        <v>3938</v>
      </c>
      <c r="I61" s="15" t="s">
        <v>36</v>
      </c>
      <c r="J61" s="0" t="s">
        <v>3939</v>
      </c>
      <c r="L61" s="0" t="n">
        <v>29</v>
      </c>
      <c r="N61" s="0" t="n">
        <f aca="false">9+20</f>
        <v>29</v>
      </c>
      <c r="O61" s="0" t="n">
        <f aca="false">Таблица1[[#This Row],[Площадь сева, га]]-Таблица1[[#This Row],[Площадь уборки, га]]</f>
        <v>0</v>
      </c>
      <c r="P61" s="23" t="n">
        <f aca="false">Таблица1[[#This Row],[Площадь уборки, га]]/Таблица1[[#This Row],[Площадь сева, га]]</f>
        <v>1</v>
      </c>
      <c r="Q61" s="26" t="n">
        <v>18.02</v>
      </c>
      <c r="R61" s="26" t="n">
        <f aca="false">IFERROR(Таблица1[[#This Row],[Валовый сбор фактический, т]]/Таблица1[[#This Row],[Площадь уборки, га]],"-")</f>
        <v>19.6879310344828</v>
      </c>
      <c r="S61" s="360" t="n">
        <f aca="false">Таблица1[[#This Row],[Урожайность плановая, т/га]]*Таблица1[[#This Row],[Площадь сева, га]]</f>
        <v>522.58</v>
      </c>
      <c r="T61" s="360" t="n">
        <f aca="false">281.27+289.68</f>
        <v>570.95</v>
      </c>
      <c r="U61" s="23" t="n">
        <f aca="false">IFERROR(Таблица1[[#This Row],[Валовый сбор фактический, т]]/Таблица1[[#This Row],[Валовый сбор плановый, т]],"-")</f>
        <v>1.0925599908148</v>
      </c>
    </row>
    <row r="62" customFormat="false" ht="15" hidden="false" customHeight="false" outlineLevel="0" collapsed="false">
      <c r="A62" s="0" t="s">
        <v>28</v>
      </c>
      <c r="B62" s="0" t="s">
        <v>3940</v>
      </c>
      <c r="D62" s="0" t="s">
        <v>136</v>
      </c>
      <c r="E62" s="15" t="n">
        <v>45481</v>
      </c>
      <c r="F62" s="15" t="n">
        <f aca="false">Таблица1[[#This Row],[Дата сева агро]]+84</f>
        <v>45565</v>
      </c>
      <c r="G62" s="15"/>
      <c r="H62" s="366" t="s">
        <v>3941</v>
      </c>
      <c r="I62" s="15" t="s">
        <v>36</v>
      </c>
      <c r="J62" s="0" t="s">
        <v>3939</v>
      </c>
      <c r="L62" s="0" t="n">
        <v>32.9</v>
      </c>
      <c r="N62" s="0" t="n">
        <f aca="false">7+25.9</f>
        <v>32.9</v>
      </c>
      <c r="O62" s="0" t="n">
        <f aca="false">Таблица1[[#This Row],[Площадь сева, га]]-Таблица1[[#This Row],[Площадь уборки, га]]</f>
        <v>0</v>
      </c>
      <c r="P62" s="23" t="n">
        <f aca="false">Таблица1[[#This Row],[Площадь уборки, га]]/Таблица1[[#This Row],[Площадь сева, га]]</f>
        <v>1</v>
      </c>
      <c r="Q62" s="26" t="n">
        <v>18.02</v>
      </c>
      <c r="R62" s="26" t="n">
        <f aca="false">IFERROR(Таблица1[[#This Row],[Валовый сбор фактический, т]]/Таблица1[[#This Row],[Площадь уборки, га]],"-")</f>
        <v>18.0474164133739</v>
      </c>
      <c r="S62" s="360" t="n">
        <f aca="false">Таблица1[[#This Row],[Урожайность плановая, т/га]]*Таблица1[[#This Row],[Площадь сева, га]]</f>
        <v>592.858</v>
      </c>
      <c r="T62" s="360" t="n">
        <f aca="false">164.22+429.54</f>
        <v>593.76</v>
      </c>
      <c r="U62" s="23" t="n">
        <f aca="false">IFERROR(Таблица1[[#This Row],[Валовый сбор фактический, т]]/Таблица1[[#This Row],[Валовый сбор плановый, т]],"-")</f>
        <v>1.00152144358346</v>
      </c>
    </row>
    <row r="63" s="375" customFormat="true" ht="15" hidden="false" customHeight="false" outlineLevel="0" collapsed="false">
      <c r="A63" s="375" t="s">
        <v>28</v>
      </c>
      <c r="B63" s="375" t="s">
        <v>3942</v>
      </c>
      <c r="D63" s="375" t="s">
        <v>138</v>
      </c>
      <c r="E63" s="376" t="n">
        <v>45482</v>
      </c>
      <c r="F63" s="376" t="n">
        <f aca="false">Таблица1[[#This Row],[Дата сева агро]]+84</f>
        <v>45566</v>
      </c>
      <c r="G63" s="15"/>
      <c r="H63" s="377" t="s">
        <v>3943</v>
      </c>
      <c r="I63" s="376" t="s">
        <v>36</v>
      </c>
      <c r="J63" s="375" t="s">
        <v>3939</v>
      </c>
      <c r="L63" s="375" t="n">
        <v>50.6</v>
      </c>
      <c r="N63" s="375" t="n">
        <f aca="false">4+11.6+25+10</f>
        <v>50.6</v>
      </c>
      <c r="O63" s="375" t="n">
        <f aca="false">Таблица1[[#This Row],[Площадь сева, га]]-Таблица1[[#This Row],[Площадь уборки, га]]</f>
        <v>0</v>
      </c>
      <c r="P63" s="378" t="n">
        <f aca="false">Таблица1[[#This Row],[Площадь уборки, га]]/Таблица1[[#This Row],[Площадь сева, га]]</f>
        <v>1</v>
      </c>
      <c r="Q63" s="375" t="n">
        <v>18.02</v>
      </c>
      <c r="R63" s="379" t="n">
        <f aca="false">IFERROR(Таблица1[[#This Row],[Валовый сбор фактический, т]]/Таблица1[[#This Row],[Площадь уборки, га]],"-")</f>
        <v>16.3579051383399</v>
      </c>
      <c r="S63" s="375" t="n">
        <f aca="false">Таблица1[[#This Row],[Урожайность плановая, т/га]]*Таблица1[[#This Row],[Площадь сева, га]]</f>
        <v>911.812</v>
      </c>
      <c r="T63" s="375" t="n">
        <f aca="false">82.44+212.33+476.4+113.08/2</f>
        <v>827.71</v>
      </c>
      <c r="U63" s="378" t="n">
        <f aca="false">IFERROR(Таблица1[[#This Row],[Валовый сбор фактический, т]]/Таблица1[[#This Row],[Валовый сбор плановый, т]],"-")</f>
        <v>0.907763881150939</v>
      </c>
      <c r="V63" s="375" t="s">
        <v>3944</v>
      </c>
    </row>
    <row r="64" s="375" customFormat="true" ht="15" hidden="false" customHeight="false" outlineLevel="0" collapsed="false">
      <c r="A64" s="375" t="s">
        <v>28</v>
      </c>
      <c r="B64" s="375" t="s">
        <v>3945</v>
      </c>
      <c r="D64" s="375" t="s">
        <v>140</v>
      </c>
      <c r="E64" s="376" t="n">
        <v>45483</v>
      </c>
      <c r="F64" s="376" t="n">
        <f aca="false">Таблица1[[#This Row],[Дата сева агро]]+84</f>
        <v>45567</v>
      </c>
      <c r="G64" s="15"/>
      <c r="H64" s="377" t="s">
        <v>3946</v>
      </c>
      <c r="I64" s="376" t="s">
        <v>36</v>
      </c>
      <c r="J64" s="375" t="s">
        <v>3939</v>
      </c>
      <c r="L64" s="375" t="n">
        <v>69</v>
      </c>
      <c r="N64" s="375" t="n">
        <f aca="false">5+2+12+25+2+13+10</f>
        <v>69</v>
      </c>
      <c r="O64" s="375" t="n">
        <f aca="false">Таблица1[[#This Row],[Площадь сева, га]]-Таблица1[[#This Row],[Площадь уборки, га]]</f>
        <v>0</v>
      </c>
      <c r="P64" s="378" t="n">
        <f aca="false">Таблица1[[#This Row],[Площадь уборки, га]]/Таблица1[[#This Row],[Площадь сева, га]]</f>
        <v>1</v>
      </c>
      <c r="Q64" s="375" t="n">
        <v>18.02</v>
      </c>
      <c r="R64" s="379" t="n">
        <f aca="false">IFERROR(Таблица1[[#This Row],[Валовый сбор фактический, т]]/Таблица1[[#This Row],[Площадь уборки, га]],"-")</f>
        <v>18.3771014492754</v>
      </c>
      <c r="S64" s="375" t="n">
        <f aca="false">Таблица1[[#This Row],[Урожайность плановая, т/га]]*Таблица1[[#This Row],[Площадь сева, га]]</f>
        <v>1243.38</v>
      </c>
      <c r="T64" s="375" t="n">
        <f aca="false">76.46+24.97+255.24+479.62+46.22+302.99+82.52</f>
        <v>1268.02</v>
      </c>
      <c r="U64" s="378" t="n">
        <f aca="false">IFERROR(Таблица1[[#This Row],[Валовый сбор фактический, т]]/Таблица1[[#This Row],[Валовый сбор плановый, т]],"-")</f>
        <v>1.01981695057022</v>
      </c>
    </row>
    <row r="65" s="375" customFormat="true" ht="15" hidden="false" customHeight="false" outlineLevel="0" collapsed="false">
      <c r="A65" s="375" t="s">
        <v>28</v>
      </c>
      <c r="B65" s="375" t="s">
        <v>3945</v>
      </c>
      <c r="D65" s="375" t="s">
        <v>138</v>
      </c>
      <c r="E65" s="376" t="n">
        <v>45484</v>
      </c>
      <c r="F65" s="376" t="n">
        <f aca="false">Таблица1[[#This Row],[Дата сева агро]]+84</f>
        <v>45568</v>
      </c>
      <c r="G65" s="15" t="n">
        <v>45581</v>
      </c>
      <c r="H65" s="377" t="s">
        <v>3947</v>
      </c>
      <c r="I65" s="376" t="s">
        <v>36</v>
      </c>
      <c r="J65" s="375" t="s">
        <v>3939</v>
      </c>
      <c r="L65" s="375" t="n">
        <v>20</v>
      </c>
      <c r="N65" s="375" t="n">
        <f aca="false">10+10</f>
        <v>20</v>
      </c>
      <c r="O65" s="375" t="n">
        <f aca="false">Таблица1[[#This Row],[Площадь сева, га]]-Таблица1[[#This Row],[Площадь уборки, га]]</f>
        <v>0</v>
      </c>
      <c r="P65" s="378" t="n">
        <f aca="false">Таблица1[[#This Row],[Площадь уборки, га]]/Таблица1[[#This Row],[Площадь сева, га]]</f>
        <v>1</v>
      </c>
      <c r="Q65" s="375" t="n">
        <v>18.02</v>
      </c>
      <c r="R65" s="379" t="n">
        <f aca="false">IFERROR(Таблица1[[#This Row],[Валовый сбор фактический, т]]/Таблица1[[#This Row],[Площадь уборки, га]],"-")</f>
        <v>12.8775</v>
      </c>
      <c r="S65" s="375" t="n">
        <f aca="false">Таблица1[[#This Row],[Урожайность плановая, т/га]]*Таблица1[[#This Row],[Площадь сева, га]]</f>
        <v>360.4</v>
      </c>
      <c r="T65" s="375" t="n">
        <f aca="false">113.08/2+201.01</f>
        <v>257.55</v>
      </c>
      <c r="U65" s="378" t="n">
        <f aca="false">IFERROR(Таблица1[[#This Row],[Валовый сбор фактический, т]]/Таблица1[[#This Row],[Валовый сбор плановый, т]],"-")</f>
        <v>0.714622641509434</v>
      </c>
      <c r="V65" s="375" t="s">
        <v>3944</v>
      </c>
    </row>
    <row r="66" s="375" customFormat="true" ht="15" hidden="false" customHeight="false" outlineLevel="0" collapsed="false">
      <c r="A66" s="375" t="s">
        <v>3866</v>
      </c>
      <c r="B66" s="375" t="s">
        <v>3882</v>
      </c>
      <c r="D66" s="375" t="s">
        <v>3882</v>
      </c>
      <c r="E66" s="376" t="n">
        <v>45484</v>
      </c>
      <c r="F66" s="376" t="n">
        <f aca="false">Таблица1[[#This Row],[Дата сева агро]]+84</f>
        <v>45568</v>
      </c>
      <c r="G66" s="15"/>
      <c r="H66" s="377" t="s">
        <v>3948</v>
      </c>
      <c r="I66" s="376" t="s">
        <v>36</v>
      </c>
      <c r="J66" s="375" t="s">
        <v>158</v>
      </c>
      <c r="L66" s="375" t="n">
        <v>17</v>
      </c>
      <c r="N66" s="375" t="n">
        <f aca="false">4+13</f>
        <v>17</v>
      </c>
      <c r="O66" s="375" t="n">
        <f aca="false">Таблица1[[#This Row],[Площадь сева, га]]-Таблица1[[#This Row],[Площадь уборки, га]]</f>
        <v>0</v>
      </c>
      <c r="P66" s="378" t="n">
        <f aca="false">Таблица1[[#This Row],[Площадь уборки, га]]/Таблица1[[#This Row],[Площадь сева, га]]</f>
        <v>1</v>
      </c>
      <c r="Q66" s="375" t="n">
        <v>8</v>
      </c>
      <c r="R66" s="380" t="n">
        <f aca="false">IFERROR(Таблица1[[#This Row],[Валовый сбор фактический, т]]/Таблица1[[#This Row],[Площадь уборки, га]],"-")</f>
        <v>8.93764705882353</v>
      </c>
      <c r="S66" s="381" t="n">
        <f aca="false">Таблица1[[#This Row],[Урожайность плановая, т/га]]*Таблица1[[#This Row],[Площадь сева, га]]</f>
        <v>136</v>
      </c>
      <c r="T66" s="381" t="n">
        <f aca="false">51.56+100.38</f>
        <v>151.94</v>
      </c>
      <c r="U66" s="378" t="n">
        <f aca="false">IFERROR(Таблица1[[#This Row],[Валовый сбор фактический, т]]/Таблица1[[#This Row],[Валовый сбор плановый, т]],"-")</f>
        <v>1.11720588235294</v>
      </c>
      <c r="V66" s="375" t="s">
        <v>3944</v>
      </c>
    </row>
    <row r="67" s="375" customFormat="true" ht="15" hidden="false" customHeight="false" outlineLevel="0" collapsed="false">
      <c r="A67" s="375" t="s">
        <v>3866</v>
      </c>
      <c r="B67" s="375" t="s">
        <v>3882</v>
      </c>
      <c r="D67" s="375" t="s">
        <v>3882</v>
      </c>
      <c r="E67" s="376" t="n">
        <v>45484</v>
      </c>
      <c r="F67" s="376" t="n">
        <f aca="false">Таблица1[[#This Row],[Дата сева агро]]+84</f>
        <v>45568</v>
      </c>
      <c r="G67" s="15"/>
      <c r="H67" s="376" t="n">
        <v>45582</v>
      </c>
      <c r="I67" s="376" t="s">
        <v>36</v>
      </c>
      <c r="J67" s="375" t="s">
        <v>1672</v>
      </c>
      <c r="L67" s="375" t="n">
        <v>6</v>
      </c>
      <c r="N67" s="375" t="n">
        <v>6</v>
      </c>
      <c r="O67" s="375" t="n">
        <f aca="false">Таблица1[[#This Row],[Площадь сева, га]]-Таблица1[[#This Row],[Площадь уборки, га]]</f>
        <v>0</v>
      </c>
      <c r="P67" s="378" t="n">
        <f aca="false">Таблица1[[#This Row],[Площадь уборки, га]]/Таблица1[[#This Row],[Площадь сева, га]]</f>
        <v>1</v>
      </c>
      <c r="Q67" s="375" t="n">
        <v>8</v>
      </c>
      <c r="R67" s="380" t="n">
        <f aca="false">IFERROR(Таблица1[[#This Row],[Валовый сбор фактический, т]]/Таблица1[[#This Row],[Площадь уборки, га]],"-")</f>
        <v>4.45166666666667</v>
      </c>
      <c r="S67" s="381" t="n">
        <f aca="false">Таблица1[[#This Row],[Урожайность плановая, т/га]]*Таблица1[[#This Row],[Площадь сева, га]]</f>
        <v>48</v>
      </c>
      <c r="T67" s="381" t="n">
        <v>26.71</v>
      </c>
      <c r="U67" s="378" t="n">
        <f aca="false">IFERROR(Таблица1[[#This Row],[Валовый сбор фактический, т]]/Таблица1[[#This Row],[Валовый сбор плановый, т]],"-")</f>
        <v>0.556458333333333</v>
      </c>
      <c r="V67" s="375" t="s">
        <v>3944</v>
      </c>
    </row>
    <row r="68" customFormat="false" ht="15" hidden="false" customHeight="false" outlineLevel="0" collapsed="false">
      <c r="E68" s="15"/>
      <c r="F68" s="15"/>
      <c r="G68" s="15"/>
      <c r="H68" s="15"/>
      <c r="I68" s="15"/>
      <c r="L68" s="0" t="n">
        <f aca="false">SUBTOTAL(109,Таблица1[Площадь сева, га])</f>
        <v>483.5</v>
      </c>
      <c r="M68" s="0" t="n">
        <f aca="false">SUBTOTAL(109,Таблица1[Площадь сева по акту, га])</f>
        <v>0</v>
      </c>
      <c r="N68" s="0" t="n">
        <f aca="false">SUBTOTAL(109,Таблица1[Площадь уборки, га])</f>
        <v>483.5</v>
      </c>
      <c r="O68" s="0" t="n">
        <f aca="false">SUBTOTAL(109,Таблица1[Остаток площади])</f>
        <v>0</v>
      </c>
      <c r="R68" s="26" t="n">
        <f aca="false">Таблица1[[#Totals],[Валовый сбор фактический, т]]/Таблица1[[#Totals],[Площадь уборки, га]]</f>
        <v>15.6687693898656</v>
      </c>
      <c r="S68" s="360" t="n">
        <f aca="false">SUBTOTAL(109,Таблица1[Валовый сбор плановый, т])</f>
        <v>8482.21</v>
      </c>
      <c r="T68" s="360" t="n">
        <f aca="false">SUBTOTAL(109,Таблица1[Валовый сбор фактический, т])</f>
        <v>7575.85</v>
      </c>
      <c r="U68" s="23" t="n">
        <f aca="false">Таблица1[[#Totals],[Валовый сбор фактический, т]]/Таблица1[[#Totals],[Валовый сбор плановый, т]]</f>
        <v>0.893145772151361</v>
      </c>
    </row>
    <row r="69" customFormat="false" ht="15" hidden="false" customHeight="false" outlineLevel="0" collapsed="false">
      <c r="E69" s="15"/>
      <c r="F69" s="15"/>
      <c r="G69" s="15"/>
      <c r="H69" s="15"/>
      <c r="I69" s="1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Неезжалова Анастасия Викторовна</dc:creator>
  <dc:description/>
  <dc:language>ru-RU</dc:language>
  <cp:lastModifiedBy/>
  <cp:lastPrinted>2026-08-06T11:43:41Z</cp:lastPrinted>
  <dcterms:modified xsi:type="dcterms:W3CDTF">2026-08-07T13:21:04Z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